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8DF05FA2-D295-406A-B715-5C38D372824B}" xr6:coauthVersionLast="47" xr6:coauthVersionMax="47" xr10:uidLastSave="{00000000-0000-0000-0000-000000000000}"/>
  <bookViews>
    <workbookView xWindow="1020" yWindow="0" windowWidth="34605" windowHeight="18645" firstSheet="2" activeTab="3" xr2:uid="{992023F3-CAB7-4E5B-A348-08D563A0EF40}"/>
  </bookViews>
  <sheets>
    <sheet name="Home" sheetId="71" r:id="rId1"/>
    <sheet name="Overview" sheetId="118" r:id="rId2"/>
    <sheet name="Results" sheetId="13" r:id="rId3"/>
    <sheet name="Input - Site" sheetId="121" r:id="rId4"/>
    <sheet name="Input - Electricity" sheetId="70" r:id="rId5"/>
    <sheet name="14.1.1-2 Purchased electricity" sheetId="69" r:id="rId6"/>
    <sheet name="Constants - Electricity" sheetId="110" r:id="rId7"/>
    <sheet name="Constants - Common" sheetId="125" r:id="rId8"/>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Range_LivestockStartingValues">#REF!</definedName>
    <definedName name="Step1">#REF!</definedName>
    <definedName name="Step2">#REF!</definedName>
    <definedName name="Step3">#REF!</definedName>
    <definedName name="VEERG_14_1_1__1_LocationBasedScopeElectricityEmissions_Result_Method1">'14.1.1-2 Purchased electricity'!$E$18</definedName>
    <definedName name="VEERG_14_1_2__1_MarketBasedScopeElectricityEmissionsVariation_Result_Method1">'14.1.1-2 Purchased electricity'!$E$39</definedName>
    <definedName name="X_Cell_Electricity_Location_AmountPurchasedInkWh">'Input - Electricity'!$E$11</definedName>
    <definedName name="X_Cell_Electricity_Location_GridElectricityPurchasedFrom">'Input - Electricity'!$E$13</definedName>
    <definedName name="X_Cell_Electricity_Market_AmountPurchasedExcludingGreenPower">'Input - Electricity'!$E$19</definedName>
    <definedName name="X_Cell_Electricity_Market_AmountPurchasedGreenPower">'Input - Electricity'!$E$23</definedName>
    <definedName name="X_Cell_Electricity_Market_JurisdictionalRenewablePowerPercentage">'Input - Electricity'!$E$21</definedName>
    <definedName name="X_Cell_Electricity_Market_RenewablePowerPercentage">'Input - Electricity'!$E$20</definedName>
    <definedName name="X_Cell_Site_FarmName">'Input - Site'!$E$7</definedName>
    <definedName name="X_Cell_Site_Region">'Input - Site'!$E$22</definedName>
    <definedName name="X_Cell_Site_ReportingEntityName">'Input - Site'!$E$8</definedName>
    <definedName name="X_Cell_Site_StartDate">'Input - Site'!$E$12</definedName>
    <definedName name="X_Cell_Site_State">'Input - Site'!$E$21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9" i="125" l="1" a="1"/>
  <c r="E259" i="125" s="1"/>
  <c r="D259" i="125" a="1"/>
  <c r="D259" i="125" s="1"/>
  <c r="E258" i="125" a="1"/>
  <c r="E258" i="125" s="1"/>
  <c r="D258" i="125" a="1"/>
  <c r="D258" i="125" s="1"/>
  <c r="D256" i="125" a="1"/>
  <c r="D256" i="125" s="1"/>
  <c r="D255" i="125" a="1"/>
  <c r="D255" i="125" s="1"/>
  <c r="D254" i="125" a="1"/>
  <c r="D254" i="125" s="1"/>
  <c r="D253" i="125" a="1"/>
  <c r="D253" i="125" s="1"/>
  <c r="S250" i="125" a="1"/>
  <c r="S250" i="125" s="1"/>
  <c r="R250" i="125" a="1"/>
  <c r="R250" i="125" s="1"/>
  <c r="Q250" i="125" a="1"/>
  <c r="Q250" i="125" s="1"/>
  <c r="P250" i="125" a="1"/>
  <c r="P250" i="125" s="1"/>
  <c r="O250" i="125" a="1"/>
  <c r="O250" i="125" s="1"/>
  <c r="N250" i="125" a="1"/>
  <c r="N250" i="125" s="1"/>
  <c r="M250" i="125" a="1"/>
  <c r="M250" i="125" s="1"/>
  <c r="L250" i="125" a="1"/>
  <c r="L250" i="125" s="1"/>
  <c r="K250" i="125" a="1"/>
  <c r="K250" i="125" s="1"/>
  <c r="J250" i="125" a="1"/>
  <c r="J250" i="125" s="1"/>
  <c r="I250" i="125" a="1"/>
  <c r="I250" i="125" s="1"/>
  <c r="H250" i="125" a="1"/>
  <c r="H250" i="125" s="1"/>
  <c r="G250" i="125" a="1"/>
  <c r="G250" i="125" s="1"/>
  <c r="F250" i="125" a="1"/>
  <c r="F250" i="125" s="1"/>
  <c r="E250" i="125" a="1"/>
  <c r="E250" i="125" s="1"/>
  <c r="D250" i="125" a="1"/>
  <c r="D250" i="125" s="1"/>
  <c r="S249" i="125" a="1"/>
  <c r="S249" i="125" s="1"/>
  <c r="R249" i="125" a="1"/>
  <c r="R249" i="125" s="1"/>
  <c r="Q249" i="125" a="1"/>
  <c r="Q249" i="125" s="1"/>
  <c r="P249" i="125" a="1"/>
  <c r="P249" i="125" s="1"/>
  <c r="O249" i="125" a="1"/>
  <c r="O249" i="125" s="1"/>
  <c r="N249" i="125" a="1"/>
  <c r="N249" i="125" s="1"/>
  <c r="M249" i="125" a="1"/>
  <c r="M249" i="125" s="1"/>
  <c r="L249" i="125" a="1"/>
  <c r="L249" i="125" s="1"/>
  <c r="K249" i="125" a="1"/>
  <c r="K249" i="125" s="1"/>
  <c r="J249" i="125" a="1"/>
  <c r="J249" i="125" s="1"/>
  <c r="I249" i="125" a="1"/>
  <c r="I249" i="125" s="1"/>
  <c r="H249" i="125" a="1"/>
  <c r="H249" i="125" s="1"/>
  <c r="G249" i="125" a="1"/>
  <c r="G249" i="125" s="1"/>
  <c r="F249" i="125" a="1"/>
  <c r="F249" i="125" s="1"/>
  <c r="E249" i="125" a="1"/>
  <c r="E249" i="125" s="1"/>
  <c r="D249" i="125" a="1"/>
  <c r="D249" i="125" s="1"/>
  <c r="S248" i="125" a="1"/>
  <c r="S248" i="125" s="1"/>
  <c r="R248" i="125" a="1"/>
  <c r="R248" i="125" s="1"/>
  <c r="Q248" i="125" a="1"/>
  <c r="Q248" i="125" s="1"/>
  <c r="P248" i="125" a="1"/>
  <c r="P248" i="125" s="1"/>
  <c r="O248" i="125" a="1"/>
  <c r="O248" i="125" s="1"/>
  <c r="N248" i="125" a="1"/>
  <c r="N248" i="125" s="1"/>
  <c r="M248" i="125" a="1"/>
  <c r="M248" i="125" s="1"/>
  <c r="L248" i="125" a="1"/>
  <c r="L248" i="125" s="1"/>
  <c r="K248" i="125" a="1"/>
  <c r="K248" i="125" s="1"/>
  <c r="J248" i="125" a="1"/>
  <c r="J248" i="125" s="1"/>
  <c r="I248" i="125" a="1"/>
  <c r="I248" i="125" s="1"/>
  <c r="H248" i="125" a="1"/>
  <c r="H248" i="125" s="1"/>
  <c r="G248" i="125" a="1"/>
  <c r="G248" i="125" s="1"/>
  <c r="F248" i="125" a="1"/>
  <c r="F248" i="125" s="1"/>
  <c r="E248" i="125" a="1"/>
  <c r="E248" i="125" s="1"/>
  <c r="D248" i="125" a="1"/>
  <c r="D248" i="125" s="1"/>
  <c r="S247" i="125" a="1"/>
  <c r="S247" i="125" s="1"/>
  <c r="R247" i="125" a="1"/>
  <c r="R247" i="125" s="1"/>
  <c r="Q247" i="125" a="1"/>
  <c r="Q247" i="125" s="1"/>
  <c r="P247" i="125" a="1"/>
  <c r="P247" i="125" s="1"/>
  <c r="O247" i="125" a="1"/>
  <c r="O247" i="125" s="1"/>
  <c r="N247" i="125" a="1"/>
  <c r="N247" i="125" s="1"/>
  <c r="M247" i="125" a="1"/>
  <c r="M247" i="125" s="1"/>
  <c r="L247" i="125" a="1"/>
  <c r="L247" i="125" s="1"/>
  <c r="K247" i="125" a="1"/>
  <c r="K247" i="125" s="1"/>
  <c r="J247" i="125" a="1"/>
  <c r="J247" i="125" s="1"/>
  <c r="I247" i="125" a="1"/>
  <c r="I247" i="125" s="1"/>
  <c r="H247" i="125" a="1"/>
  <c r="H247" i="125" s="1"/>
  <c r="G247" i="125" a="1"/>
  <c r="G247" i="125" s="1"/>
  <c r="F247" i="125" a="1"/>
  <c r="F247" i="125" s="1"/>
  <c r="E247" i="125" a="1"/>
  <c r="E247" i="125" s="1"/>
  <c r="D247" i="125" a="1"/>
  <c r="D247" i="125" s="1"/>
  <c r="S246" i="125" a="1"/>
  <c r="S246" i="125" s="1"/>
  <c r="R246" i="125" a="1"/>
  <c r="R246" i="125" s="1"/>
  <c r="Q246" i="125" a="1"/>
  <c r="Q246" i="125" s="1"/>
  <c r="P246" i="125" a="1"/>
  <c r="P246" i="125" s="1"/>
  <c r="O246" i="125" a="1"/>
  <c r="O246" i="125" s="1"/>
  <c r="N246" i="125" a="1"/>
  <c r="N246" i="125" s="1"/>
  <c r="M246" i="125" a="1"/>
  <c r="M246" i="125" s="1"/>
  <c r="L246" i="125" a="1"/>
  <c r="L246" i="125" s="1"/>
  <c r="K246" i="125" a="1"/>
  <c r="K246" i="125" s="1"/>
  <c r="J246" i="125" a="1"/>
  <c r="J246" i="125" s="1"/>
  <c r="I246" i="125" a="1"/>
  <c r="I246" i="125" s="1"/>
  <c r="H246" i="125" a="1"/>
  <c r="H246" i="125" s="1"/>
  <c r="G246" i="125" a="1"/>
  <c r="G246" i="125" s="1"/>
  <c r="F246" i="125" a="1"/>
  <c r="F246" i="125" s="1"/>
  <c r="E246" i="125" a="1"/>
  <c r="E246" i="125" s="1"/>
  <c r="D246" i="125" a="1"/>
  <c r="D246" i="125" s="1"/>
  <c r="S245" i="125" a="1"/>
  <c r="S245" i="125" s="1"/>
  <c r="R245" i="125" a="1"/>
  <c r="R245" i="125" s="1"/>
  <c r="Q245" i="125" a="1"/>
  <c r="Q245" i="125" s="1"/>
  <c r="P245" i="125" a="1"/>
  <c r="P245" i="125" s="1"/>
  <c r="O245" i="125" a="1"/>
  <c r="O245" i="125" s="1"/>
  <c r="N245" i="125" a="1"/>
  <c r="N245" i="125" s="1"/>
  <c r="M245" i="125" a="1"/>
  <c r="M245" i="125" s="1"/>
  <c r="L245" i="125" a="1"/>
  <c r="L245" i="125" s="1"/>
  <c r="K245" i="125" a="1"/>
  <c r="K245" i="125" s="1"/>
  <c r="J245" i="125" a="1"/>
  <c r="J245" i="125" s="1"/>
  <c r="I245" i="125" a="1"/>
  <c r="I245" i="125" s="1"/>
  <c r="H245" i="125" a="1"/>
  <c r="H245" i="125" s="1"/>
  <c r="G245" i="125" a="1"/>
  <c r="G245" i="125" s="1"/>
  <c r="F245" i="125" a="1"/>
  <c r="F245" i="125" s="1"/>
  <c r="E245" i="125" a="1"/>
  <c r="E245" i="125" s="1"/>
  <c r="D245" i="125" a="1"/>
  <c r="D245" i="125" s="1"/>
  <c r="S244" i="125" a="1"/>
  <c r="S244" i="125" s="1"/>
  <c r="R244" i="125" a="1"/>
  <c r="R244" i="125" s="1"/>
  <c r="Q244" i="125" a="1"/>
  <c r="Q244" i="125" s="1"/>
  <c r="P244" i="125" a="1"/>
  <c r="P244" i="125" s="1"/>
  <c r="O244" i="125" a="1"/>
  <c r="O244" i="125" s="1"/>
  <c r="N244" i="125" a="1"/>
  <c r="N244" i="125" s="1"/>
  <c r="M244" i="125" a="1"/>
  <c r="M244" i="125" s="1"/>
  <c r="L244" i="125" a="1"/>
  <c r="L244" i="125" s="1"/>
  <c r="K244" i="125" a="1"/>
  <c r="K244" i="125" s="1"/>
  <c r="J244" i="125" a="1"/>
  <c r="J244" i="125" s="1"/>
  <c r="I244" i="125" a="1"/>
  <c r="I244" i="125" s="1"/>
  <c r="H244" i="125" a="1"/>
  <c r="H244" i="125" s="1"/>
  <c r="G244" i="125" a="1"/>
  <c r="G244" i="125" s="1"/>
  <c r="F244" i="125" a="1"/>
  <c r="F244" i="125" s="1"/>
  <c r="E244" i="125" a="1"/>
  <c r="E244" i="125" s="1"/>
  <c r="D244" i="125" a="1"/>
  <c r="D244" i="125" s="1"/>
  <c r="S243" i="125" a="1"/>
  <c r="S243" i="125" s="1"/>
  <c r="R243" i="125" a="1"/>
  <c r="R243" i="125" s="1"/>
  <c r="Q243" i="125" a="1"/>
  <c r="Q243" i="125" s="1"/>
  <c r="P243" i="125" a="1"/>
  <c r="P243" i="125" s="1"/>
  <c r="O243" i="125" a="1"/>
  <c r="O243" i="125" s="1"/>
  <c r="N243" i="125" a="1"/>
  <c r="N243" i="125" s="1"/>
  <c r="M243" i="125" a="1"/>
  <c r="M243" i="125" s="1"/>
  <c r="L243" i="125" a="1"/>
  <c r="L243" i="125" s="1"/>
  <c r="K243" i="125" a="1"/>
  <c r="K243" i="125" s="1"/>
  <c r="J243" i="125" a="1"/>
  <c r="J243" i="125" s="1"/>
  <c r="I243" i="125" a="1"/>
  <c r="I243" i="125" s="1"/>
  <c r="H243" i="125" a="1"/>
  <c r="H243" i="125" s="1"/>
  <c r="G243" i="125" a="1"/>
  <c r="G243" i="125" s="1"/>
  <c r="F243" i="125" a="1"/>
  <c r="F243" i="125" s="1"/>
  <c r="E243" i="125" a="1"/>
  <c r="E243" i="125" s="1"/>
  <c r="D243" i="125" a="1"/>
  <c r="D243" i="125" s="1"/>
  <c r="S242" i="125" a="1"/>
  <c r="S242" i="125" s="1"/>
  <c r="R242" i="125" a="1"/>
  <c r="R242" i="125" s="1"/>
  <c r="Q242" i="125" a="1"/>
  <c r="Q242" i="125" s="1"/>
  <c r="P242" i="125" a="1"/>
  <c r="P242" i="125" s="1"/>
  <c r="O242" i="125" a="1"/>
  <c r="O242" i="125" s="1"/>
  <c r="N242" i="125" a="1"/>
  <c r="N242" i="125" s="1"/>
  <c r="M242" i="125" a="1"/>
  <c r="M242" i="125" s="1"/>
  <c r="L242" i="125" a="1"/>
  <c r="L242" i="125" s="1"/>
  <c r="K242" i="125" a="1"/>
  <c r="K242" i="125" s="1"/>
  <c r="J242" i="125" a="1"/>
  <c r="J242" i="125" s="1"/>
  <c r="I242" i="125" a="1"/>
  <c r="I242" i="125" s="1"/>
  <c r="H242" i="125" a="1"/>
  <c r="H242" i="125" s="1"/>
  <c r="G242" i="125" a="1"/>
  <c r="G242" i="125" s="1"/>
  <c r="F242" i="125" a="1"/>
  <c r="F242" i="125" s="1"/>
  <c r="E242" i="125" a="1"/>
  <c r="E242" i="125" s="1"/>
  <c r="D242" i="125" a="1"/>
  <c r="D242" i="125" s="1"/>
  <c r="S241" i="125" a="1"/>
  <c r="S241" i="125" s="1"/>
  <c r="R241" i="125" a="1"/>
  <c r="R241" i="125" s="1"/>
  <c r="Q241" i="125" a="1"/>
  <c r="Q241" i="125" s="1"/>
  <c r="P241" i="125" a="1"/>
  <c r="P241" i="125" s="1"/>
  <c r="O241" i="125" a="1"/>
  <c r="O241" i="125" s="1"/>
  <c r="N241" i="125" a="1"/>
  <c r="N241" i="125" s="1"/>
  <c r="M241" i="125" a="1"/>
  <c r="M241" i="125" s="1"/>
  <c r="L241" i="125" a="1"/>
  <c r="L241" i="125" s="1"/>
  <c r="K241" i="125" a="1"/>
  <c r="K241" i="125" s="1"/>
  <c r="J241" i="125" a="1"/>
  <c r="J241" i="125" s="1"/>
  <c r="I241" i="125" a="1"/>
  <c r="I241" i="125" s="1"/>
  <c r="H241" i="125" a="1"/>
  <c r="H241" i="125" s="1"/>
  <c r="G241" i="125" a="1"/>
  <c r="G241" i="125" s="1"/>
  <c r="F241" i="125" a="1"/>
  <c r="F241" i="125" s="1"/>
  <c r="E241" i="125" a="1"/>
  <c r="E241" i="125" s="1"/>
  <c r="D241" i="125" a="1"/>
  <c r="D241" i="125" s="1"/>
  <c r="S240" i="125" a="1"/>
  <c r="S240" i="125" s="1"/>
  <c r="R240" i="125" a="1"/>
  <c r="R240" i="125" s="1"/>
  <c r="Q240" i="125" a="1"/>
  <c r="Q240" i="125" s="1"/>
  <c r="P240" i="125" a="1"/>
  <c r="P240" i="125" s="1"/>
  <c r="O240" i="125" a="1"/>
  <c r="O240" i="125" s="1"/>
  <c r="N240" i="125" a="1"/>
  <c r="N240" i="125" s="1"/>
  <c r="M240" i="125" a="1"/>
  <c r="M240" i="125" s="1"/>
  <c r="L240" i="125" a="1"/>
  <c r="L240" i="125" s="1"/>
  <c r="K240" i="125" a="1"/>
  <c r="K240" i="125" s="1"/>
  <c r="J240" i="125" a="1"/>
  <c r="J240" i="125" s="1"/>
  <c r="I240" i="125" a="1"/>
  <c r="I240" i="125" s="1"/>
  <c r="H240" i="125" a="1"/>
  <c r="H240" i="125" s="1"/>
  <c r="G240" i="125" a="1"/>
  <c r="G240" i="125" s="1"/>
  <c r="F240" i="125" a="1"/>
  <c r="F240" i="125" s="1"/>
  <c r="E240" i="125" a="1"/>
  <c r="E240" i="125" s="1"/>
  <c r="D240" i="125" a="1"/>
  <c r="D240" i="125" s="1"/>
  <c r="S239" i="125" a="1"/>
  <c r="S239" i="125" s="1"/>
  <c r="R239" i="125" a="1"/>
  <c r="R239" i="125" s="1"/>
  <c r="Q239" i="125" a="1"/>
  <c r="Q239" i="125" s="1"/>
  <c r="P239" i="125" a="1"/>
  <c r="P239" i="125" s="1"/>
  <c r="O239" i="125" a="1"/>
  <c r="O239" i="125" s="1"/>
  <c r="N239" i="125" a="1"/>
  <c r="N239" i="125" s="1"/>
  <c r="M239" i="125" a="1"/>
  <c r="M239" i="125" s="1"/>
  <c r="L239" i="125" a="1"/>
  <c r="L239" i="125" s="1"/>
  <c r="K239" i="125" a="1"/>
  <c r="K239" i="125" s="1"/>
  <c r="J239" i="125" a="1"/>
  <c r="J239" i="125" s="1"/>
  <c r="I239" i="125" a="1"/>
  <c r="I239" i="125" s="1"/>
  <c r="H239" i="125" a="1"/>
  <c r="H239" i="125" s="1"/>
  <c r="G239" i="125" a="1"/>
  <c r="G239" i="125" s="1"/>
  <c r="F239" i="125" a="1"/>
  <c r="F239" i="125" s="1"/>
  <c r="E239" i="125" a="1"/>
  <c r="E239" i="125" s="1"/>
  <c r="D239" i="125" a="1"/>
  <c r="D239" i="125" s="1"/>
  <c r="S238" i="125" a="1"/>
  <c r="S238" i="125" s="1"/>
  <c r="R238" i="125" a="1"/>
  <c r="R238" i="125" s="1"/>
  <c r="Q238" i="125" a="1"/>
  <c r="Q238" i="125" s="1"/>
  <c r="P238" i="125" a="1"/>
  <c r="P238" i="125" s="1"/>
  <c r="O238" i="125" a="1"/>
  <c r="O238" i="125" s="1"/>
  <c r="N238" i="125" a="1"/>
  <c r="N238" i="125" s="1"/>
  <c r="M238" i="125" a="1"/>
  <c r="M238" i="125" s="1"/>
  <c r="L238" i="125" a="1"/>
  <c r="L238" i="125" s="1"/>
  <c r="K238" i="125" a="1"/>
  <c r="K238" i="125" s="1"/>
  <c r="J238" i="125" a="1"/>
  <c r="J238" i="125" s="1"/>
  <c r="I238" i="125" a="1"/>
  <c r="I238" i="125" s="1"/>
  <c r="H238" i="125" a="1"/>
  <c r="H238" i="125" s="1"/>
  <c r="G238" i="125" a="1"/>
  <c r="G238" i="125" s="1"/>
  <c r="F238" i="125" a="1"/>
  <c r="F238" i="125" s="1"/>
  <c r="E238" i="125" a="1"/>
  <c r="E238" i="125" s="1"/>
  <c r="D238" i="125" a="1"/>
  <c r="D238" i="125" s="1"/>
  <c r="S237" i="125" a="1"/>
  <c r="S237" i="125" s="1"/>
  <c r="R237" i="125" a="1"/>
  <c r="R237" i="125" s="1"/>
  <c r="Q237" i="125" a="1"/>
  <c r="Q237" i="125" s="1"/>
  <c r="P237" i="125" a="1"/>
  <c r="P237" i="125" s="1"/>
  <c r="O237" i="125" a="1"/>
  <c r="O237" i="125" s="1"/>
  <c r="N237" i="125" a="1"/>
  <c r="N237" i="125" s="1"/>
  <c r="M237" i="125" a="1"/>
  <c r="M237" i="125" s="1"/>
  <c r="L237" i="125" a="1"/>
  <c r="L237" i="125" s="1"/>
  <c r="K237" i="125" a="1"/>
  <c r="K237" i="125" s="1"/>
  <c r="J237" i="125" a="1"/>
  <c r="J237" i="125" s="1"/>
  <c r="I237" i="125" a="1"/>
  <c r="I237" i="125" s="1"/>
  <c r="H237" i="125" a="1"/>
  <c r="H237" i="125" s="1"/>
  <c r="G237" i="125" a="1"/>
  <c r="G237" i="125" s="1"/>
  <c r="F237" i="125" a="1"/>
  <c r="F237" i="125" s="1"/>
  <c r="E237" i="125" a="1"/>
  <c r="E237" i="125" s="1"/>
  <c r="D237" i="125" a="1"/>
  <c r="D237" i="125" s="1"/>
  <c r="S236" i="125" a="1"/>
  <c r="S236" i="125" s="1"/>
  <c r="R236" i="125" a="1"/>
  <c r="R236" i="125" s="1"/>
  <c r="Q236" i="125" a="1"/>
  <c r="Q236" i="125" s="1"/>
  <c r="P236" i="125" a="1"/>
  <c r="P236" i="125" s="1"/>
  <c r="O236" i="125" a="1"/>
  <c r="O236" i="125" s="1"/>
  <c r="N236" i="125" a="1"/>
  <c r="N236" i="125" s="1"/>
  <c r="M236" i="125" a="1"/>
  <c r="M236" i="125" s="1"/>
  <c r="L236" i="125" a="1"/>
  <c r="L236" i="125" s="1"/>
  <c r="K236" i="125" a="1"/>
  <c r="K236" i="125" s="1"/>
  <c r="J236" i="125" a="1"/>
  <c r="J236" i="125" s="1"/>
  <c r="I236" i="125" a="1"/>
  <c r="I236" i="125" s="1"/>
  <c r="H236" i="125" a="1"/>
  <c r="H236" i="125" s="1"/>
  <c r="G236" i="125" a="1"/>
  <c r="G236" i="125" s="1"/>
  <c r="F236" i="125" a="1"/>
  <c r="F236" i="125" s="1"/>
  <c r="E236" i="125" a="1"/>
  <c r="E236" i="125" s="1"/>
  <c r="D236" i="125" a="1"/>
  <c r="D236" i="125" s="1"/>
  <c r="S235" i="125" a="1"/>
  <c r="S235" i="125" s="1"/>
  <c r="R235" i="125" a="1"/>
  <c r="R235" i="125" s="1"/>
  <c r="Q235" i="125" a="1"/>
  <c r="Q235" i="125" s="1"/>
  <c r="P235" i="125" a="1"/>
  <c r="P235" i="125" s="1"/>
  <c r="O235" i="125" a="1"/>
  <c r="O235" i="125" s="1"/>
  <c r="N235" i="125" a="1"/>
  <c r="N235" i="125" s="1"/>
  <c r="M235" i="125" a="1"/>
  <c r="M235" i="125" s="1"/>
  <c r="L235" i="125" a="1"/>
  <c r="L235" i="125" s="1"/>
  <c r="K235" i="125" a="1"/>
  <c r="K235" i="125" s="1"/>
  <c r="J235" i="125" a="1"/>
  <c r="J235" i="125" s="1"/>
  <c r="I235" i="125" a="1"/>
  <c r="I235" i="125" s="1"/>
  <c r="H235" i="125" a="1"/>
  <c r="H235" i="125" s="1"/>
  <c r="G235" i="125" a="1"/>
  <c r="G235" i="125" s="1"/>
  <c r="F235" i="125" a="1"/>
  <c r="F235" i="125" s="1"/>
  <c r="E235" i="125" a="1"/>
  <c r="E235" i="125" s="1"/>
  <c r="D235" i="125" a="1"/>
  <c r="D235" i="125" s="1"/>
  <c r="S234" i="125" a="1"/>
  <c r="S234" i="125" s="1"/>
  <c r="R234" i="125" a="1"/>
  <c r="R234" i="125" s="1"/>
  <c r="Q234" i="125" a="1"/>
  <c r="Q234" i="125" s="1"/>
  <c r="P234" i="125" a="1"/>
  <c r="P234" i="125" s="1"/>
  <c r="O234" i="125" a="1"/>
  <c r="O234" i="125" s="1"/>
  <c r="N234" i="125" a="1"/>
  <c r="N234" i="125" s="1"/>
  <c r="M234" i="125" a="1"/>
  <c r="M234" i="125" s="1"/>
  <c r="L234" i="125" a="1"/>
  <c r="L234" i="125" s="1"/>
  <c r="K234" i="125" a="1"/>
  <c r="K234" i="125" s="1"/>
  <c r="J234" i="125" a="1"/>
  <c r="J234" i="125" s="1"/>
  <c r="I234" i="125" a="1"/>
  <c r="I234" i="125" s="1"/>
  <c r="H234" i="125" a="1"/>
  <c r="H234" i="125" s="1"/>
  <c r="G234" i="125" a="1"/>
  <c r="G234" i="125" s="1"/>
  <c r="F234" i="125" a="1"/>
  <c r="F234" i="125" s="1"/>
  <c r="E234" i="125" a="1"/>
  <c r="E234" i="125" s="1"/>
  <c r="D234" i="125" a="1"/>
  <c r="D234" i="125" s="1"/>
  <c r="S233" i="125" a="1"/>
  <c r="S233" i="125" s="1"/>
  <c r="R233" i="125" a="1"/>
  <c r="R233" i="125" s="1"/>
  <c r="Q233" i="125" a="1"/>
  <c r="Q233" i="125" s="1"/>
  <c r="P233" i="125" a="1"/>
  <c r="P233" i="125" s="1"/>
  <c r="O233" i="125" a="1"/>
  <c r="O233" i="125" s="1"/>
  <c r="N233" i="125" a="1"/>
  <c r="N233" i="125" s="1"/>
  <c r="M233" i="125" a="1"/>
  <c r="M233" i="125" s="1"/>
  <c r="L233" i="125" a="1"/>
  <c r="L233" i="125" s="1"/>
  <c r="K233" i="125" a="1"/>
  <c r="K233" i="125" s="1"/>
  <c r="J233" i="125" a="1"/>
  <c r="J233" i="125" s="1"/>
  <c r="I233" i="125" a="1"/>
  <c r="I233" i="125" s="1"/>
  <c r="H233" i="125" a="1"/>
  <c r="H233" i="125" s="1"/>
  <c r="G233" i="125" a="1"/>
  <c r="G233" i="125" s="1"/>
  <c r="F233" i="125" a="1"/>
  <c r="F233" i="125" s="1"/>
  <c r="E233" i="125" a="1"/>
  <c r="E233" i="125" s="1"/>
  <c r="D233" i="125" a="1"/>
  <c r="D233" i="125" s="1"/>
  <c r="S232" i="125" a="1"/>
  <c r="S232" i="125" s="1"/>
  <c r="R232" i="125" a="1"/>
  <c r="R232" i="125" s="1"/>
  <c r="Q232" i="125" a="1"/>
  <c r="Q232" i="125" s="1"/>
  <c r="P232" i="125" a="1"/>
  <c r="P232" i="125" s="1"/>
  <c r="O232" i="125" a="1"/>
  <c r="O232" i="125" s="1"/>
  <c r="N232" i="125" a="1"/>
  <c r="N232" i="125" s="1"/>
  <c r="M232" i="125" a="1"/>
  <c r="M232" i="125" s="1"/>
  <c r="L232" i="125" a="1"/>
  <c r="L232" i="125" s="1"/>
  <c r="K232" i="125" a="1"/>
  <c r="K232" i="125" s="1"/>
  <c r="J232" i="125" a="1"/>
  <c r="J232" i="125" s="1"/>
  <c r="I232" i="125" a="1"/>
  <c r="I232" i="125" s="1"/>
  <c r="H232" i="125" a="1"/>
  <c r="H232" i="125" s="1"/>
  <c r="G232" i="125" a="1"/>
  <c r="G232" i="125" s="1"/>
  <c r="F232" i="125" a="1"/>
  <c r="F232" i="125" s="1"/>
  <c r="E232" i="125" a="1"/>
  <c r="E232" i="125" s="1"/>
  <c r="D232" i="125" a="1"/>
  <c r="D232" i="125" s="1"/>
  <c r="D229" i="125" a="1"/>
  <c r="D229" i="125" s="1"/>
  <c r="D228" i="125" a="1"/>
  <c r="D228" i="125" s="1"/>
  <c r="D227" i="125" a="1"/>
  <c r="D227" i="125" s="1"/>
  <c r="E224" i="125" a="1"/>
  <c r="E224" i="125" s="1"/>
  <c r="D224" i="125" a="1"/>
  <c r="D224" i="125" s="1"/>
  <c r="E223" i="125" a="1"/>
  <c r="E223" i="125" s="1"/>
  <c r="D223" i="125" a="1"/>
  <c r="D223" i="125" s="1"/>
  <c r="E222" i="125" a="1"/>
  <c r="E222" i="125" s="1"/>
  <c r="D222" i="125" a="1"/>
  <c r="D222" i="125" s="1"/>
  <c r="E221" i="125" a="1"/>
  <c r="E221" i="125" s="1"/>
  <c r="D221" i="125" a="1"/>
  <c r="D221" i="125" s="1"/>
  <c r="E220" i="125" a="1"/>
  <c r="E220" i="125" s="1"/>
  <c r="D220" i="125" a="1"/>
  <c r="D220" i="125" s="1"/>
  <c r="E219" i="125" a="1"/>
  <c r="E219" i="125" s="1"/>
  <c r="D219" i="125" a="1"/>
  <c r="D219" i="125" s="1"/>
  <c r="E218" i="125" a="1"/>
  <c r="E218" i="125" s="1"/>
  <c r="D218" i="125" a="1"/>
  <c r="D218" i="125" s="1"/>
  <c r="E217" i="125" a="1"/>
  <c r="E217" i="125" s="1"/>
  <c r="D217" i="125" a="1"/>
  <c r="D217" i="125" s="1"/>
  <c r="E216" i="125" a="1"/>
  <c r="E216" i="125" s="1"/>
  <c r="D216" i="125" a="1"/>
  <c r="D216" i="125" s="1"/>
  <c r="E215" i="125" a="1"/>
  <c r="E215" i="125" s="1"/>
  <c r="D215" i="125" a="1"/>
  <c r="D215" i="125" s="1"/>
  <c r="E214" i="125" a="1"/>
  <c r="E214" i="125" s="1"/>
  <c r="D214" i="125" a="1"/>
  <c r="D214" i="125" s="1"/>
  <c r="E213" i="125" a="1"/>
  <c r="E213" i="125" s="1"/>
  <c r="D213" i="125" a="1"/>
  <c r="D213" i="125" s="1"/>
  <c r="D211" i="125" a="1"/>
  <c r="D211" i="125" s="1"/>
  <c r="E208" i="125" a="1"/>
  <c r="E208" i="125" s="1"/>
  <c r="D208" i="125" a="1"/>
  <c r="D208" i="125" s="1"/>
  <c r="E207" i="125" a="1"/>
  <c r="E207" i="125" s="1"/>
  <c r="D207" i="125" a="1"/>
  <c r="D207" i="125" s="1"/>
  <c r="D205" i="125" a="1"/>
  <c r="D205" i="125" s="1"/>
  <c r="D204" i="125" a="1"/>
  <c r="D204" i="125" s="1"/>
  <c r="D203" i="125" a="1"/>
  <c r="D203" i="125" s="1"/>
  <c r="D202" i="125" a="1"/>
  <c r="D202" i="125" s="1"/>
  <c r="H199" i="125" a="1"/>
  <c r="H199" i="125" s="1"/>
  <c r="G199" i="125" a="1"/>
  <c r="G199" i="125" s="1"/>
  <c r="F199" i="125" a="1"/>
  <c r="F199" i="125" s="1"/>
  <c r="E199" i="125" a="1"/>
  <c r="E199" i="125" s="1"/>
  <c r="D199" i="125" a="1"/>
  <c r="D199" i="125" s="1"/>
  <c r="H198" i="125" a="1"/>
  <c r="H198" i="125" s="1"/>
  <c r="G198" i="125" a="1"/>
  <c r="G198" i="125" s="1"/>
  <c r="F198" i="125" a="1"/>
  <c r="F198" i="125" s="1"/>
  <c r="E198" i="125" a="1"/>
  <c r="E198" i="125" s="1"/>
  <c r="D198" i="125" a="1"/>
  <c r="D198" i="125" s="1"/>
  <c r="H197" i="125" a="1"/>
  <c r="H197" i="125" s="1"/>
  <c r="G197" i="125" a="1"/>
  <c r="G197" i="125" s="1"/>
  <c r="F197" i="125" a="1"/>
  <c r="F197" i="125" s="1"/>
  <c r="E197" i="125" a="1"/>
  <c r="E197" i="125" s="1"/>
  <c r="D197" i="125" a="1"/>
  <c r="D197" i="125" s="1"/>
  <c r="H196" i="125" a="1"/>
  <c r="H196" i="125" s="1"/>
  <c r="G196" i="125" a="1"/>
  <c r="G196" i="125" s="1"/>
  <c r="F196" i="125" a="1"/>
  <c r="F196" i="125" s="1"/>
  <c r="E196" i="125" a="1"/>
  <c r="E196" i="125" s="1"/>
  <c r="D196" i="125" a="1"/>
  <c r="D196" i="125" s="1"/>
  <c r="H195" i="125" a="1"/>
  <c r="H195" i="125" s="1"/>
  <c r="G195" i="125" a="1"/>
  <c r="G195" i="125" s="1"/>
  <c r="F195" i="125" a="1"/>
  <c r="F195" i="125" s="1"/>
  <c r="E195" i="125" a="1"/>
  <c r="E195" i="125" s="1"/>
  <c r="D195" i="125" a="1"/>
  <c r="D195" i="125" s="1"/>
  <c r="H194" i="125" a="1"/>
  <c r="H194" i="125" s="1"/>
  <c r="G194" i="125" a="1"/>
  <c r="G194" i="125" s="1"/>
  <c r="F194" i="125" a="1"/>
  <c r="F194" i="125" s="1"/>
  <c r="E194" i="125" a="1"/>
  <c r="E194" i="125" s="1"/>
  <c r="D194" i="125" a="1"/>
  <c r="D194" i="125" s="1"/>
  <c r="H193" i="125" a="1"/>
  <c r="H193" i="125" s="1"/>
  <c r="G193" i="125" a="1"/>
  <c r="G193" i="125" s="1"/>
  <c r="F193" i="125" a="1"/>
  <c r="F193" i="125" s="1"/>
  <c r="E193" i="125" a="1"/>
  <c r="E193" i="125" s="1"/>
  <c r="D193" i="125" a="1"/>
  <c r="D193" i="125" s="1"/>
  <c r="H192" i="125" a="1"/>
  <c r="H192" i="125" s="1"/>
  <c r="G192" i="125" a="1"/>
  <c r="G192" i="125" s="1"/>
  <c r="F192" i="125" a="1"/>
  <c r="F192" i="125" s="1"/>
  <c r="E192" i="125" a="1"/>
  <c r="E192" i="125" s="1"/>
  <c r="D192" i="125" a="1"/>
  <c r="D192" i="125" s="1"/>
  <c r="H191" i="125" a="1"/>
  <c r="H191" i="125" s="1"/>
  <c r="G191" i="125" a="1"/>
  <c r="G191" i="125" s="1"/>
  <c r="F191" i="125" a="1"/>
  <c r="F191" i="125" s="1"/>
  <c r="E191" i="125" a="1"/>
  <c r="E191" i="125" s="1"/>
  <c r="D191" i="125" a="1"/>
  <c r="D191" i="125" s="1"/>
  <c r="H190" i="125" a="1"/>
  <c r="H190" i="125" s="1"/>
  <c r="G190" i="125" a="1"/>
  <c r="G190" i="125" s="1"/>
  <c r="F190" i="125" a="1"/>
  <c r="F190" i="125" s="1"/>
  <c r="E190" i="125" a="1"/>
  <c r="E190" i="125" s="1"/>
  <c r="D190" i="125" a="1"/>
  <c r="D190" i="125" s="1"/>
  <c r="H189" i="125" a="1"/>
  <c r="H189" i="125" s="1"/>
  <c r="G189" i="125" a="1"/>
  <c r="G189" i="125" s="1"/>
  <c r="F189" i="125" a="1"/>
  <c r="F189" i="125" s="1"/>
  <c r="E189" i="125" a="1"/>
  <c r="E189" i="125" s="1"/>
  <c r="D189" i="125" a="1"/>
  <c r="D189" i="125" s="1"/>
  <c r="H188" i="125" a="1"/>
  <c r="H188" i="125" s="1"/>
  <c r="G188" i="125" a="1"/>
  <c r="G188" i="125" s="1"/>
  <c r="F188" i="125" a="1"/>
  <c r="F188" i="125" s="1"/>
  <c r="E188" i="125" a="1"/>
  <c r="E188" i="125" s="1"/>
  <c r="D188" i="125" a="1"/>
  <c r="D188" i="125" s="1"/>
  <c r="H187" i="125" a="1"/>
  <c r="H187" i="125" s="1"/>
  <c r="G187" i="125" a="1"/>
  <c r="G187" i="125" s="1"/>
  <c r="F187" i="125" a="1"/>
  <c r="F187" i="125" s="1"/>
  <c r="E187" i="125" a="1"/>
  <c r="E187" i="125" s="1"/>
  <c r="D187" i="125" a="1"/>
  <c r="D187" i="125" s="1"/>
  <c r="D181" i="125" a="1"/>
  <c r="D181" i="125" s="1"/>
  <c r="D180" i="125" a="1"/>
  <c r="D180" i="125" s="1"/>
  <c r="D179" i="125" a="1"/>
  <c r="D179" i="125" s="1"/>
  <c r="D178" i="125" a="1"/>
  <c r="D178" i="125" s="1"/>
  <c r="E175" i="125" a="1"/>
  <c r="E175" i="125" s="1"/>
  <c r="D175" i="125" a="1"/>
  <c r="D175" i="125" s="1"/>
  <c r="D174" i="125" a="1"/>
  <c r="D174" i="125" s="1"/>
  <c r="D173" i="125" a="1"/>
  <c r="D173" i="125" s="1"/>
  <c r="D170" i="125" a="1"/>
  <c r="D170" i="125" s="1"/>
  <c r="D169" i="125" a="1"/>
  <c r="D169" i="125" s="1"/>
  <c r="D168" i="125" a="1"/>
  <c r="D168" i="125" s="1"/>
  <c r="D167" i="125" a="1"/>
  <c r="D167" i="125" s="1"/>
  <c r="D164" i="125" a="1"/>
  <c r="D164" i="125" s="1"/>
  <c r="D163" i="125" a="1"/>
  <c r="D163" i="125" s="1"/>
  <c r="D162" i="125" a="1"/>
  <c r="D162" i="125" s="1"/>
  <c r="D161" i="125" a="1"/>
  <c r="D161" i="125" s="1"/>
  <c r="E158" i="125" a="1"/>
  <c r="E158" i="125" s="1"/>
  <c r="D158" i="125" a="1"/>
  <c r="D158" i="125" s="1"/>
  <c r="E157" i="125" a="1"/>
  <c r="E157" i="125" s="1"/>
  <c r="D157" i="125" a="1"/>
  <c r="D157" i="125" s="1"/>
  <c r="E156" i="125" a="1"/>
  <c r="E156" i="125" s="1"/>
  <c r="D156" i="125" a="1"/>
  <c r="D156" i="125" s="1"/>
  <c r="E155" i="125" a="1"/>
  <c r="E155" i="125" s="1"/>
  <c r="D155" i="125" a="1"/>
  <c r="D155" i="125" s="1"/>
  <c r="E154" i="125" a="1"/>
  <c r="E154" i="125" s="1"/>
  <c r="D154" i="125" a="1"/>
  <c r="D154" i="125" s="1"/>
  <c r="D151" i="125" a="1"/>
  <c r="D151" i="125" s="1"/>
  <c r="D150" i="125" a="1"/>
  <c r="D150" i="125" s="1"/>
  <c r="E147" i="125" a="1"/>
  <c r="E147" i="125" s="1"/>
  <c r="D147" i="125" a="1"/>
  <c r="D147" i="125" s="1"/>
  <c r="E146" i="125" a="1"/>
  <c r="E146" i="125" s="1"/>
  <c r="D146" i="125" a="1"/>
  <c r="D146" i="125" s="1"/>
  <c r="E145" i="125" a="1"/>
  <c r="E145" i="125" s="1"/>
  <c r="D145" i="125" a="1"/>
  <c r="D145" i="125" s="1"/>
  <c r="E144" i="125" a="1"/>
  <c r="E144" i="125" s="1"/>
  <c r="D144" i="125" a="1"/>
  <c r="D144" i="125" s="1"/>
  <c r="E143" i="125" a="1"/>
  <c r="E143" i="125" s="1"/>
  <c r="D143" i="125" a="1"/>
  <c r="D143" i="125" s="1"/>
  <c r="D141" i="125" a="1"/>
  <c r="D141" i="125" s="1"/>
  <c r="D140" i="125" a="1"/>
  <c r="D140" i="125" s="1"/>
  <c r="D139" i="125" a="1"/>
  <c r="D139" i="125" s="1"/>
  <c r="E136" i="125" a="1"/>
  <c r="E136" i="125" s="1"/>
  <c r="D136" i="125" a="1"/>
  <c r="D136" i="125" s="1"/>
  <c r="E135" i="125" a="1"/>
  <c r="E135" i="125" s="1"/>
  <c r="D135" i="125" a="1"/>
  <c r="D135" i="125" s="1"/>
  <c r="D133" i="125" a="1"/>
  <c r="D133" i="125" s="1"/>
  <c r="D132" i="125" a="1"/>
  <c r="D132" i="125" s="1"/>
  <c r="E129" i="125" a="1"/>
  <c r="E129" i="125" s="1"/>
  <c r="D129" i="125" a="1"/>
  <c r="D129" i="125" s="1"/>
  <c r="E128" i="125" a="1"/>
  <c r="E128" i="125" s="1"/>
  <c r="D128" i="125" a="1"/>
  <c r="D128" i="125" s="1"/>
  <c r="D125" i="125" a="1"/>
  <c r="D125" i="125" s="1"/>
  <c r="D124" i="125" a="1"/>
  <c r="D124" i="125" s="1"/>
  <c r="G121" i="125" a="1"/>
  <c r="G121" i="125" s="1"/>
  <c r="F121" i="125" a="1"/>
  <c r="F121" i="125" s="1"/>
  <c r="E121" i="125" a="1"/>
  <c r="E121" i="125" s="1"/>
  <c r="D121" i="125" a="1"/>
  <c r="D121" i="125" s="1"/>
  <c r="G120" i="125" a="1"/>
  <c r="G120" i="125" s="1"/>
  <c r="F120" i="125" a="1"/>
  <c r="F120" i="125" s="1"/>
  <c r="E120" i="125" a="1"/>
  <c r="E120" i="125" s="1"/>
  <c r="D120" i="125" a="1"/>
  <c r="D120" i="125" s="1"/>
  <c r="D117" i="125" a="1"/>
  <c r="D117" i="125" s="1"/>
  <c r="D116" i="125" a="1"/>
  <c r="D116" i="125" s="1"/>
  <c r="D115" i="125" a="1"/>
  <c r="D115" i="125" s="1"/>
  <c r="G112" i="125" a="1"/>
  <c r="G112" i="125" s="1"/>
  <c r="F112" i="125" a="1"/>
  <c r="F112" i="125" s="1"/>
  <c r="E112" i="125" a="1"/>
  <c r="E112" i="125" s="1"/>
  <c r="D112" i="125" a="1"/>
  <c r="D112" i="125" s="1"/>
  <c r="G111" i="125" a="1"/>
  <c r="G111" i="125" s="1"/>
  <c r="F111" i="125" a="1"/>
  <c r="F111" i="125" s="1"/>
  <c r="E111" i="125" a="1"/>
  <c r="E111" i="125" s="1"/>
  <c r="D111" i="125" a="1"/>
  <c r="D111" i="125" s="1"/>
  <c r="G110" i="125" a="1"/>
  <c r="G110" i="125" s="1"/>
  <c r="F110" i="125" a="1"/>
  <c r="F110" i="125" s="1"/>
  <c r="E110" i="125" a="1"/>
  <c r="E110" i="125" s="1"/>
  <c r="D110" i="125" a="1"/>
  <c r="D110" i="125" s="1"/>
  <c r="D107" i="125" a="1"/>
  <c r="D107" i="125" s="1"/>
  <c r="D106" i="125" a="1"/>
  <c r="D106" i="125" s="1"/>
  <c r="D105" i="125" a="1"/>
  <c r="D105" i="125" s="1"/>
  <c r="D99" i="125" a="1"/>
  <c r="D99" i="125" s="1"/>
  <c r="S97" i="125" a="1"/>
  <c r="S97" i="125" s="1"/>
  <c r="R97" i="125" a="1"/>
  <c r="R97" i="125" s="1"/>
  <c r="Q97" i="125" a="1"/>
  <c r="Q97" i="125" s="1"/>
  <c r="P97" i="125" a="1"/>
  <c r="P97" i="125" s="1"/>
  <c r="O97" i="125" a="1"/>
  <c r="O97" i="125" s="1"/>
  <c r="N97" i="125" a="1"/>
  <c r="N97" i="125" s="1"/>
  <c r="M97" i="125" a="1"/>
  <c r="M97" i="125" s="1"/>
  <c r="L97" i="125" a="1"/>
  <c r="L97" i="125" s="1"/>
  <c r="K97" i="125" a="1"/>
  <c r="K97" i="125" s="1"/>
  <c r="J97" i="125" a="1"/>
  <c r="J97" i="125" s="1"/>
  <c r="I97" i="125" a="1"/>
  <c r="I97" i="125" s="1"/>
  <c r="H97" i="125" a="1"/>
  <c r="H97" i="125" s="1"/>
  <c r="G97" i="125" a="1"/>
  <c r="G97" i="125" s="1"/>
  <c r="F97" i="125" a="1"/>
  <c r="F97" i="125" s="1"/>
  <c r="E97" i="125" a="1"/>
  <c r="E97" i="125" s="1"/>
  <c r="D97" i="125" a="1"/>
  <c r="D97" i="125" s="1"/>
  <c r="S96" i="125" a="1"/>
  <c r="S96" i="125" s="1"/>
  <c r="R96" i="125" a="1"/>
  <c r="R96" i="125" s="1"/>
  <c r="Q96" i="125" a="1"/>
  <c r="Q96" i="125" s="1"/>
  <c r="P96" i="125" a="1"/>
  <c r="P96" i="125" s="1"/>
  <c r="O96" i="125" a="1"/>
  <c r="O96" i="125" s="1"/>
  <c r="N96" i="125" a="1"/>
  <c r="N96" i="125" s="1"/>
  <c r="M96" i="125" a="1"/>
  <c r="M96" i="125" s="1"/>
  <c r="L96" i="125" a="1"/>
  <c r="L96" i="125" s="1"/>
  <c r="K96" i="125" a="1"/>
  <c r="K96" i="125" s="1"/>
  <c r="J96" i="125" a="1"/>
  <c r="J96" i="125" s="1"/>
  <c r="I96" i="125" a="1"/>
  <c r="I96" i="125" s="1"/>
  <c r="H96" i="125" a="1"/>
  <c r="H96" i="125" s="1"/>
  <c r="G96" i="125" a="1"/>
  <c r="G96" i="125" s="1"/>
  <c r="F96" i="125" a="1"/>
  <c r="F96" i="125" s="1"/>
  <c r="E96" i="125" a="1"/>
  <c r="E96" i="125" s="1"/>
  <c r="D96" i="125" a="1"/>
  <c r="D96" i="125" s="1"/>
  <c r="S95" i="125" a="1"/>
  <c r="S95" i="125" s="1"/>
  <c r="R95" i="125" a="1"/>
  <c r="R95" i="125" s="1"/>
  <c r="Q95" i="125" a="1"/>
  <c r="Q95" i="125" s="1"/>
  <c r="P95" i="125" a="1"/>
  <c r="P95" i="125" s="1"/>
  <c r="O95" i="125" a="1"/>
  <c r="O95" i="125" s="1"/>
  <c r="N95" i="125" a="1"/>
  <c r="N95" i="125" s="1"/>
  <c r="M95" i="125" a="1"/>
  <c r="M95" i="125" s="1"/>
  <c r="L95" i="125" a="1"/>
  <c r="L95" i="125" s="1"/>
  <c r="K95" i="125" a="1"/>
  <c r="K95" i="125" s="1"/>
  <c r="J95" i="125" a="1"/>
  <c r="J95" i="125" s="1"/>
  <c r="I95" i="125" a="1"/>
  <c r="I95" i="125" s="1"/>
  <c r="H95" i="125" a="1"/>
  <c r="H95" i="125" s="1"/>
  <c r="G95" i="125" a="1"/>
  <c r="G95" i="125" s="1"/>
  <c r="F95" i="125" a="1"/>
  <c r="F95" i="125" s="1"/>
  <c r="E95" i="125" a="1"/>
  <c r="E95" i="125" s="1"/>
  <c r="D95" i="125" a="1"/>
  <c r="D95" i="125" s="1"/>
  <c r="S94" i="125" a="1"/>
  <c r="S94" i="125" s="1"/>
  <c r="R94" i="125" a="1"/>
  <c r="R94" i="125" s="1"/>
  <c r="Q94" i="125" a="1"/>
  <c r="Q94" i="125" s="1"/>
  <c r="P94" i="125" a="1"/>
  <c r="P94" i="125" s="1"/>
  <c r="O94" i="125" a="1"/>
  <c r="O94" i="125" s="1"/>
  <c r="N94" i="125" a="1"/>
  <c r="N94" i="125" s="1"/>
  <c r="M94" i="125" a="1"/>
  <c r="M94" i="125" s="1"/>
  <c r="L94" i="125" a="1"/>
  <c r="L94" i="125" s="1"/>
  <c r="K94" i="125" a="1"/>
  <c r="K94" i="125" s="1"/>
  <c r="J94" i="125" a="1"/>
  <c r="J94" i="125" s="1"/>
  <c r="I94" i="125" a="1"/>
  <c r="I94" i="125" s="1"/>
  <c r="H94" i="125" a="1"/>
  <c r="H94" i="125" s="1"/>
  <c r="G94" i="125" a="1"/>
  <c r="G94" i="125" s="1"/>
  <c r="F94" i="125" a="1"/>
  <c r="F94" i="125" s="1"/>
  <c r="E94" i="125" a="1"/>
  <c r="E94" i="125" s="1"/>
  <c r="D94" i="125" a="1"/>
  <c r="D94" i="125" s="1"/>
  <c r="S93" i="125" a="1"/>
  <c r="S93" i="125" s="1"/>
  <c r="R93" i="125" a="1"/>
  <c r="R93" i="125" s="1"/>
  <c r="Q93" i="125" a="1"/>
  <c r="Q93" i="125" s="1"/>
  <c r="P93" i="125" a="1"/>
  <c r="P93" i="125" s="1"/>
  <c r="O93" i="125" a="1"/>
  <c r="O93" i="125" s="1"/>
  <c r="N93" i="125" a="1"/>
  <c r="N93" i="125" s="1"/>
  <c r="M93" i="125" a="1"/>
  <c r="M93" i="125" s="1"/>
  <c r="L93" i="125" a="1"/>
  <c r="L93" i="125" s="1"/>
  <c r="K93" i="125" a="1"/>
  <c r="K93" i="125" s="1"/>
  <c r="J93" i="125" a="1"/>
  <c r="J93" i="125" s="1"/>
  <c r="I93" i="125" a="1"/>
  <c r="I93" i="125" s="1"/>
  <c r="H93" i="125" a="1"/>
  <c r="H93" i="125" s="1"/>
  <c r="G93" i="125" a="1"/>
  <c r="G93" i="125" s="1"/>
  <c r="F93" i="125" a="1"/>
  <c r="F93" i="125" s="1"/>
  <c r="E93" i="125" a="1"/>
  <c r="E93" i="125" s="1"/>
  <c r="D93" i="125" a="1"/>
  <c r="D93" i="125" s="1"/>
  <c r="S92" i="125" a="1"/>
  <c r="S92" i="125" s="1"/>
  <c r="R92" i="125" a="1"/>
  <c r="R92" i="125" s="1"/>
  <c r="Q92" i="125" a="1"/>
  <c r="Q92" i="125" s="1"/>
  <c r="P92" i="125" a="1"/>
  <c r="P92" i="125" s="1"/>
  <c r="O92" i="125" a="1"/>
  <c r="O92" i="125" s="1"/>
  <c r="N92" i="125" a="1"/>
  <c r="N92" i="125" s="1"/>
  <c r="M92" i="125" a="1"/>
  <c r="M92" i="125" s="1"/>
  <c r="L92" i="125" a="1"/>
  <c r="L92" i="125" s="1"/>
  <c r="K92" i="125" a="1"/>
  <c r="K92" i="125" s="1"/>
  <c r="J92" i="125" a="1"/>
  <c r="J92" i="125" s="1"/>
  <c r="I92" i="125" a="1"/>
  <c r="I92" i="125" s="1"/>
  <c r="H92" i="125" a="1"/>
  <c r="H92" i="125" s="1"/>
  <c r="G92" i="125" a="1"/>
  <c r="G92" i="125" s="1"/>
  <c r="F92" i="125" a="1"/>
  <c r="F92" i="125" s="1"/>
  <c r="E92" i="125" a="1"/>
  <c r="E92" i="125" s="1"/>
  <c r="D92" i="125" a="1"/>
  <c r="D92" i="125" s="1"/>
  <c r="S91" i="125" a="1"/>
  <c r="S91" i="125" s="1"/>
  <c r="R91" i="125" a="1"/>
  <c r="R91" i="125" s="1"/>
  <c r="Q91" i="125" a="1"/>
  <c r="Q91" i="125" s="1"/>
  <c r="P91" i="125" a="1"/>
  <c r="P91" i="125" s="1"/>
  <c r="O91" i="125" a="1"/>
  <c r="O91" i="125" s="1"/>
  <c r="N91" i="125" a="1"/>
  <c r="N91" i="125" s="1"/>
  <c r="M91" i="125" a="1"/>
  <c r="M91" i="125" s="1"/>
  <c r="L91" i="125" a="1"/>
  <c r="L91" i="125" s="1"/>
  <c r="K91" i="125" a="1"/>
  <c r="K91" i="125" s="1"/>
  <c r="J91" i="125" a="1"/>
  <c r="J91" i="125" s="1"/>
  <c r="I91" i="125" a="1"/>
  <c r="I91" i="125" s="1"/>
  <c r="H91" i="125" a="1"/>
  <c r="H91" i="125" s="1"/>
  <c r="G91" i="125" a="1"/>
  <c r="G91" i="125" s="1"/>
  <c r="F91" i="125" a="1"/>
  <c r="F91" i="125" s="1"/>
  <c r="E91" i="125" a="1"/>
  <c r="E91" i="125" s="1"/>
  <c r="D91" i="125" a="1"/>
  <c r="D91" i="125" s="1"/>
  <c r="S90" i="125" a="1"/>
  <c r="S90" i="125" s="1"/>
  <c r="R90" i="125" a="1"/>
  <c r="R90" i="125" s="1"/>
  <c r="Q90" i="125" a="1"/>
  <c r="Q90" i="125" s="1"/>
  <c r="P90" i="125" a="1"/>
  <c r="P90" i="125" s="1"/>
  <c r="O90" i="125" a="1"/>
  <c r="O90" i="125" s="1"/>
  <c r="N90" i="125" a="1"/>
  <c r="N90" i="125" s="1"/>
  <c r="M90" i="125" a="1"/>
  <c r="M90" i="125" s="1"/>
  <c r="L90" i="125" a="1"/>
  <c r="L90" i="125" s="1"/>
  <c r="K90" i="125" a="1"/>
  <c r="K90" i="125" s="1"/>
  <c r="J90" i="125" a="1"/>
  <c r="J90" i="125" s="1"/>
  <c r="I90" i="125" a="1"/>
  <c r="I90" i="125" s="1"/>
  <c r="H90" i="125" a="1"/>
  <c r="H90" i="125" s="1"/>
  <c r="G90" i="125" a="1"/>
  <c r="G90" i="125" s="1"/>
  <c r="F90" i="125" a="1"/>
  <c r="F90" i="125" s="1"/>
  <c r="E90" i="125" a="1"/>
  <c r="E90" i="125" s="1"/>
  <c r="D90" i="125" a="1"/>
  <c r="D90" i="125" s="1"/>
  <c r="D83" i="125" a="1"/>
  <c r="D83" i="125" s="1"/>
  <c r="D82" i="125" a="1"/>
  <c r="D82" i="125" s="1"/>
  <c r="D81" i="125" a="1"/>
  <c r="D81" i="125" s="1"/>
  <c r="E77" i="125" a="1"/>
  <c r="E77" i="125" s="1"/>
  <c r="D77" i="125" a="1"/>
  <c r="D77" i="125" s="1"/>
  <c r="E76" i="125" a="1"/>
  <c r="E76" i="125" s="1"/>
  <c r="D76" i="125" a="1"/>
  <c r="D76" i="125" s="1"/>
  <c r="E75" i="125" a="1"/>
  <c r="E75" i="125" s="1"/>
  <c r="D75" i="125" a="1"/>
  <c r="D75" i="125" s="1"/>
  <c r="E74" i="125" a="1"/>
  <c r="E74" i="125" s="1"/>
  <c r="D74" i="125" a="1"/>
  <c r="D74" i="125" s="1"/>
  <c r="E73" i="125" a="1"/>
  <c r="E73" i="125" s="1"/>
  <c r="D73" i="125" a="1"/>
  <c r="D73" i="125" s="1"/>
  <c r="E72" i="125" a="1"/>
  <c r="E72" i="125" s="1"/>
  <c r="D72" i="125" a="1"/>
  <c r="D72" i="125" s="1"/>
  <c r="E71" i="125" a="1"/>
  <c r="E71" i="125" s="1"/>
  <c r="D71" i="125" a="1"/>
  <c r="D71" i="125" s="1"/>
  <c r="E70" i="125" a="1"/>
  <c r="E70" i="125" s="1"/>
  <c r="D70" i="125" a="1"/>
  <c r="D70" i="125" s="1"/>
  <c r="E69" i="125" a="1"/>
  <c r="E69" i="125" s="1"/>
  <c r="D69" i="125" a="1"/>
  <c r="D69" i="125" s="1"/>
  <c r="E68" i="125" a="1"/>
  <c r="E68" i="125" s="1"/>
  <c r="D68" i="125" a="1"/>
  <c r="D68" i="125" s="1"/>
  <c r="E67" i="125" a="1"/>
  <c r="E67" i="125" s="1"/>
  <c r="D67" i="125" a="1"/>
  <c r="D67" i="125" s="1"/>
  <c r="E66" i="125" a="1"/>
  <c r="E66" i="125" s="1"/>
  <c r="D66" i="125" a="1"/>
  <c r="D66" i="125" s="1"/>
  <c r="E65" i="125" a="1"/>
  <c r="E65" i="125" s="1"/>
  <c r="D65" i="125" a="1"/>
  <c r="D65" i="125" s="1"/>
  <c r="E64" i="125" a="1"/>
  <c r="E64" i="125" s="1"/>
  <c r="D64" i="125" a="1"/>
  <c r="D64" i="125" s="1"/>
  <c r="D59" i="125" a="1"/>
  <c r="D59" i="125" s="1"/>
  <c r="D58" i="125" a="1"/>
  <c r="D58" i="125" s="1"/>
  <c r="D57" i="125" a="1"/>
  <c r="D57" i="125" s="1"/>
  <c r="G54" i="125" a="1"/>
  <c r="G54" i="125" s="1"/>
  <c r="F54" i="125" a="1"/>
  <c r="F54" i="125" s="1"/>
  <c r="E54" i="125" a="1"/>
  <c r="E54" i="125" s="1"/>
  <c r="D54" i="125" a="1"/>
  <c r="D54" i="125" s="1"/>
  <c r="G53" i="125" a="1"/>
  <c r="G53" i="125" s="1"/>
  <c r="F53" i="125" a="1"/>
  <c r="F53" i="125" s="1"/>
  <c r="E53" i="125" a="1"/>
  <c r="E53" i="125" s="1"/>
  <c r="D53" i="125" a="1"/>
  <c r="D53" i="125" s="1"/>
  <c r="G52" i="125" a="1"/>
  <c r="G52" i="125" s="1"/>
  <c r="F52" i="125" a="1"/>
  <c r="F52" i="125" s="1"/>
  <c r="E52" i="125" a="1"/>
  <c r="E52" i="125" s="1"/>
  <c r="D52" i="125" a="1"/>
  <c r="D52" i="125" s="1"/>
  <c r="G51" i="125" a="1"/>
  <c r="G51" i="125" s="1"/>
  <c r="F51" i="125" a="1"/>
  <c r="F51" i="125" s="1"/>
  <c r="E51" i="125" a="1"/>
  <c r="E51" i="125" s="1"/>
  <c r="D51" i="125" a="1"/>
  <c r="D51" i="125" s="1"/>
  <c r="G50" i="125" a="1"/>
  <c r="G50" i="125" s="1"/>
  <c r="F50" i="125" a="1"/>
  <c r="F50" i="125" s="1"/>
  <c r="E50" i="125" a="1"/>
  <c r="E50" i="125" s="1"/>
  <c r="D50" i="125" a="1"/>
  <c r="D50" i="125" s="1"/>
  <c r="G49" i="125" a="1"/>
  <c r="G49" i="125" s="1"/>
  <c r="F49" i="125" a="1"/>
  <c r="F49" i="125" s="1"/>
  <c r="E49" i="125" a="1"/>
  <c r="E49" i="125" s="1"/>
  <c r="D49" i="125" a="1"/>
  <c r="D49" i="125" s="1"/>
  <c r="G48" i="125" a="1"/>
  <c r="G48" i="125" s="1"/>
  <c r="F48" i="125" a="1"/>
  <c r="F48" i="125" s="1"/>
  <c r="E48" i="125" a="1"/>
  <c r="E48" i="125" s="1"/>
  <c r="D48" i="125" a="1"/>
  <c r="D48" i="125" s="1"/>
  <c r="D46" i="125"/>
  <c r="D46" i="125" a="1"/>
  <c r="D45" i="125" a="1"/>
  <c r="D45" i="125" s="1"/>
  <c r="E43" i="125" a="1"/>
  <c r="E43" i="125" s="1"/>
  <c r="D43" i="125" a="1"/>
  <c r="D43" i="125" s="1"/>
  <c r="E42" i="125" a="1"/>
  <c r="E42" i="125" s="1"/>
  <c r="D42" i="125" a="1"/>
  <c r="D42" i="125" s="1"/>
  <c r="E41" i="125" a="1"/>
  <c r="E41" i="125" s="1"/>
  <c r="D41" i="125" a="1"/>
  <c r="D41" i="125" s="1"/>
  <c r="E40" i="125" a="1"/>
  <c r="E40" i="125" s="1"/>
  <c r="D40" i="125" a="1"/>
  <c r="D40" i="125" s="1"/>
  <c r="E39" i="125" a="1"/>
  <c r="E39" i="125" s="1"/>
  <c r="D39" i="125" a="1"/>
  <c r="D39" i="125" s="1"/>
  <c r="E38" i="125" a="1"/>
  <c r="E38" i="125" s="1"/>
  <c r="D38" i="125" a="1"/>
  <c r="D38" i="125" s="1"/>
  <c r="E37" i="125" a="1"/>
  <c r="E37" i="125" s="1"/>
  <c r="D37" i="125" a="1"/>
  <c r="D37" i="125" s="1"/>
  <c r="D35" i="125"/>
  <c r="D35" i="125" a="1"/>
  <c r="D34" i="125" a="1"/>
  <c r="D34" i="125" s="1"/>
  <c r="D30" i="125" a="1"/>
  <c r="D30" i="125" s="1"/>
  <c r="D29" i="125" a="1"/>
  <c r="D29" i="125" s="1"/>
  <c r="D28" i="125" a="1"/>
  <c r="D28" i="125" s="1"/>
  <c r="D27" i="125" a="1"/>
  <c r="D27" i="125" s="1"/>
  <c r="D26" i="125" a="1"/>
  <c r="D26" i="125" s="1"/>
  <c r="D25" i="125" a="1"/>
  <c r="D25" i="125" s="1"/>
  <c r="D24" i="125" a="1"/>
  <c r="D24" i="125" s="1"/>
  <c r="D23" i="125" a="1"/>
  <c r="D23" i="125" s="1"/>
  <c r="D22" i="125" a="1"/>
  <c r="D22" i="125" s="1"/>
  <c r="D21" i="125" a="1"/>
  <c r="D21" i="125" s="1"/>
  <c r="D19" i="125"/>
  <c r="D19" i="125" a="1"/>
  <c r="D18" i="125" a="1"/>
  <c r="D18" i="125" s="1"/>
  <c r="F14" i="125" a="1"/>
  <c r="F14" i="125" s="1"/>
  <c r="E14" i="125" a="1"/>
  <c r="E14" i="125" s="1"/>
  <c r="D14" i="125" a="1"/>
  <c r="D14" i="125" s="1"/>
  <c r="F13" i="125" a="1"/>
  <c r="F13" i="125" s="1"/>
  <c r="E13" i="125" a="1"/>
  <c r="E13" i="125" s="1"/>
  <c r="D13" i="125" a="1"/>
  <c r="D13" i="125" s="1"/>
  <c r="F12" i="125" a="1"/>
  <c r="F12" i="125" s="1"/>
  <c r="E12" i="125" a="1"/>
  <c r="E12" i="125" s="1"/>
  <c r="D12" i="125" a="1"/>
  <c r="D12" i="125" s="1"/>
  <c r="F11" i="125" a="1"/>
  <c r="F11" i="125" s="1"/>
  <c r="E11" i="125" a="1"/>
  <c r="E11" i="125" s="1"/>
  <c r="D11" i="125" a="1"/>
  <c r="D11" i="125" s="1"/>
  <c r="F10" i="125" a="1"/>
  <c r="F10" i="125" s="1"/>
  <c r="E10" i="125" a="1"/>
  <c r="E10" i="125" s="1"/>
  <c r="D10" i="125" a="1"/>
  <c r="D10" i="125" s="1"/>
  <c r="F9" i="125" a="1"/>
  <c r="F9" i="125" s="1"/>
  <c r="E9" i="125" a="1"/>
  <c r="E9" i="125" s="1"/>
  <c r="D9" i="125" a="1"/>
  <c r="D9" i="125" s="1"/>
  <c r="F8" i="125" a="1"/>
  <c r="F8" i="125" s="1"/>
  <c r="E8" i="125" a="1"/>
  <c r="E8" i="125" s="1"/>
  <c r="D8" i="125" a="1"/>
  <c r="D8" i="125" s="1"/>
  <c r="F7" i="125" a="1"/>
  <c r="F7" i="125" s="1"/>
  <c r="E7" i="125" a="1"/>
  <c r="E7" i="125" s="1"/>
  <c r="D7" i="125" a="1"/>
  <c r="D7" i="125" s="1"/>
  <c r="D5" i="125" a="1"/>
  <c r="D5" i="125" s="1"/>
  <c r="D24" i="69" a="1"/>
  <c r="D24" i="69" s="1"/>
  <c r="H53" i="125" l="1"/>
  <c r="H48" i="125"/>
  <c r="H49" i="125"/>
  <c r="H50" i="125"/>
  <c r="H52" i="125"/>
  <c r="H51" i="125"/>
  <c r="H54" i="125"/>
  <c r="A15" i="110"/>
  <c r="A14" i="110"/>
  <c r="A11" i="110"/>
  <c r="A8" i="110"/>
  <c r="A5" i="110"/>
  <c r="A4" i="110"/>
  <c r="A3" i="110"/>
  <c r="A15" i="70"/>
  <c r="A14" i="70"/>
  <c r="A11" i="70"/>
  <c r="A8" i="70"/>
  <c r="A5" i="70"/>
  <c r="A4" i="70"/>
  <c r="A3" i="70"/>
  <c r="A15" i="121"/>
  <c r="A14" i="121"/>
  <c r="A11" i="121"/>
  <c r="A8" i="121"/>
  <c r="A5" i="121"/>
  <c r="A4" i="121"/>
  <c r="A3" i="121"/>
  <c r="A15" i="13"/>
  <c r="A14" i="13"/>
  <c r="A11" i="13"/>
  <c r="A8" i="13"/>
  <c r="A5" i="13"/>
  <c r="A4" i="13"/>
  <c r="A3" i="13"/>
  <c r="A15" i="118"/>
  <c r="A14" i="118"/>
  <c r="A11" i="118"/>
  <c r="A8" i="118"/>
  <c r="A5" i="118"/>
  <c r="A4" i="118"/>
  <c r="A3" i="118"/>
  <c r="A14" i="69"/>
  <c r="A8" i="69"/>
  <c r="E44" i="70"/>
  <c r="H44" i="70"/>
  <c r="H35" i="70"/>
  <c r="H34" i="70"/>
  <c r="E43" i="70"/>
  <c r="H43" i="70"/>
  <c r="H42" i="70"/>
  <c r="E42" i="70"/>
  <c r="H33" i="70"/>
  <c r="E25" i="70"/>
  <c r="H25" i="110" a="1"/>
  <c r="H25" i="110" s="1"/>
  <c r="G25" i="110" a="1"/>
  <c r="G25" i="110" s="1"/>
  <c r="F25" i="110" a="1"/>
  <c r="F25" i="110" s="1"/>
  <c r="E25" i="110" a="1"/>
  <c r="E25" i="110" s="1"/>
  <c r="J36" i="69" s="1" a="1"/>
  <c r="J36" i="69" s="1"/>
  <c r="D25" i="110" a="1"/>
  <c r="D25" i="110" s="1"/>
  <c r="D22" i="110" a="1"/>
  <c r="D22" i="110" s="1"/>
  <c r="D21" i="110" a="1"/>
  <c r="D21" i="110" s="1"/>
  <c r="E25" i="69" a="1"/>
  <c r="E25" i="69" l="1"/>
  <c r="J37" i="69"/>
  <c r="J33" i="69" s="1"/>
  <c r="J32" i="69"/>
  <c r="J31" i="69"/>
  <c r="D7" i="69" a="1"/>
  <c r="D7" i="69" s="1"/>
  <c r="H31" i="69" a="1"/>
  <c r="H31" i="69" s="1"/>
  <c r="D31" i="69" a="1"/>
  <c r="D31" i="69" s="1"/>
  <c r="E29" i="69" a="1"/>
  <c r="E29" i="69" s="1"/>
  <c r="F39" i="69" s="1"/>
  <c r="E28" i="69" a="1"/>
  <c r="E28" i="69" s="1"/>
  <c r="D23" i="69" a="1"/>
  <c r="D23" i="69" s="1"/>
  <c r="D22" i="69" a="1"/>
  <c r="D22" i="69" s="1"/>
  <c r="A11" i="69"/>
  <c r="I16" i="69"/>
  <c r="I14" i="69"/>
  <c r="G14" i="69" a="1"/>
  <c r="G14" i="69" s="1"/>
  <c r="D14" i="69" a="1"/>
  <c r="D14" i="69" s="1"/>
  <c r="E12" i="69" a="1"/>
  <c r="E12" i="69" s="1"/>
  <c r="F18" i="69" s="1"/>
  <c r="E11" i="69" a="1"/>
  <c r="E11" i="69" s="1"/>
  <c r="D6" i="69" a="1"/>
  <c r="D6" i="69" s="1"/>
  <c r="D5" i="69" a="1"/>
  <c r="D5" i="69" s="1"/>
  <c r="F19" i="110" a="1"/>
  <c r="F19" i="110" s="1"/>
  <c r="E19" i="110" a="1"/>
  <c r="E19" i="110" s="1"/>
  <c r="D19" i="110" a="1"/>
  <c r="D19" i="110" s="1"/>
  <c r="F18" i="110" a="1"/>
  <c r="F18" i="110" s="1"/>
  <c r="E18" i="110" a="1"/>
  <c r="E18" i="110" s="1"/>
  <c r="D18" i="110" a="1"/>
  <c r="D18" i="110" s="1"/>
  <c r="F17" i="110" a="1"/>
  <c r="F17" i="110" s="1"/>
  <c r="E17" i="110" a="1"/>
  <c r="E17" i="110" s="1"/>
  <c r="D17" i="110" a="1"/>
  <c r="D17" i="110" s="1"/>
  <c r="F16" i="110" a="1"/>
  <c r="F16" i="110" s="1"/>
  <c r="E16" i="110" a="1"/>
  <c r="E16" i="110" s="1"/>
  <c r="D16" i="110" a="1"/>
  <c r="D16" i="110" s="1"/>
  <c r="F15" i="110" a="1"/>
  <c r="F15" i="110" s="1"/>
  <c r="E15" i="110" a="1"/>
  <c r="E15" i="110" s="1"/>
  <c r="D15" i="110" a="1"/>
  <c r="D15" i="110" s="1"/>
  <c r="F14" i="110" a="1"/>
  <c r="F14" i="110" s="1"/>
  <c r="E14" i="110" a="1"/>
  <c r="E14" i="110" s="1"/>
  <c r="D14" i="110" a="1"/>
  <c r="D14" i="110" s="1"/>
  <c r="F13" i="110" a="1"/>
  <c r="F13" i="110" s="1"/>
  <c r="E13" i="110" a="1"/>
  <c r="E13" i="110" s="1"/>
  <c r="D13" i="110" a="1"/>
  <c r="D13" i="110" s="1"/>
  <c r="F12" i="110" a="1"/>
  <c r="F12" i="110" s="1"/>
  <c r="E12" i="110" a="1"/>
  <c r="E12" i="110" s="1"/>
  <c r="D12" i="110" a="1"/>
  <c r="D12" i="110" s="1"/>
  <c r="F11" i="110" a="1"/>
  <c r="F11" i="110" s="1"/>
  <c r="E11" i="110" a="1"/>
  <c r="E11" i="110" s="1"/>
  <c r="D11" i="110" a="1"/>
  <c r="D11" i="110" s="1"/>
  <c r="F10" i="110" a="1"/>
  <c r="F10" i="110" s="1"/>
  <c r="E10" i="110" a="1"/>
  <c r="E10" i="110" s="1"/>
  <c r="D10" i="110" a="1"/>
  <c r="D10" i="110" s="1"/>
  <c r="D7" i="110" a="1"/>
  <c r="D7" i="110" s="1"/>
  <c r="D6" i="110" a="1"/>
  <c r="D6" i="110" s="1"/>
  <c r="D5" i="110" a="1"/>
  <c r="D5" i="110" s="1"/>
  <c r="E12" i="70"/>
  <c r="E18" i="70" s="1"/>
  <c r="E13" i="121"/>
  <c r="E26" i="70" s="1"/>
  <c r="I33" i="70" s="1"/>
  <c r="E8" i="69" a="1"/>
  <c r="I42" i="70" l="1"/>
  <c r="I34" i="70"/>
  <c r="I35" i="70"/>
  <c r="I44" i="70"/>
  <c r="I43" i="70"/>
  <c r="I15" i="69" a="1"/>
  <c r="I15" i="69" s="1"/>
  <c r="E18" i="69" s="1" a="1"/>
  <c r="E18" i="69" s="1"/>
  <c r="E9" i="13" s="1"/>
  <c r="E8" i="69"/>
  <c r="A15" i="69"/>
  <c r="A5" i="69"/>
  <c r="A4" i="69"/>
  <c r="A3" i="69"/>
  <c r="E46" i="70" l="1"/>
  <c r="J35" i="69" s="1"/>
  <c r="E37" i="70"/>
  <c r="J34" i="69" s="1"/>
  <c r="E39" i="69" l="1" a="1"/>
  <c r="E39" i="69" s="1"/>
  <c r="E10" i="13" s="1"/>
  <c r="F10" i="13" s="1"/>
  <c r="F9"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<sst xmlns="http://schemas.openxmlformats.org/spreadsheetml/2006/main" count="198" uniqueCount="155">
  <si>
    <t>Home</t>
  </si>
  <si>
    <t>INPUTS</t>
  </si>
  <si>
    <t>APPENDICES</t>
  </si>
  <si>
    <t>Emissions breakdown</t>
  </si>
  <si>
    <t>Climate zone</t>
  </si>
  <si>
    <t>Unit</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</si>
  <si>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</si>
  <si>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</si>
  <si>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</si>
  <si>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</si>
  <si>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</si>
  <si>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</si>
  <si>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</si>
  <si>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</si>
  <si>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</si>
  <si>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</si>
  <si>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</si>
  <si>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</si>
  <si>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</si>
  <si>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</si>
  <si>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</si>
  <si>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</si>
  <si>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</si>
  <si>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</si>
  <si>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</si>
  <si>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</si>
  <si>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</si>
  <si>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</si>
  <si>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</si>
  <si>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</si>
  <si>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</si>
  <si>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</si>
  <si>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</si>
  <si>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</si>
  <si>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</si>
  <si>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</si>
  <si>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</si>
  <si>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</si>
  <si>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</si>
  <si>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</si>
  <si>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</si>
  <si>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</si>
  <si>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</si>
  <si>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Data source</t>
  </si>
  <si>
    <t>Data score</t>
  </si>
  <si>
    <t>CALCULATIONS</t>
  </si>
  <si>
    <t>Constants - Common</t>
  </si>
  <si>
    <t>Is in leaching zone</t>
  </si>
  <si>
    <t>FracWET</t>
  </si>
  <si>
    <t>Method 1</t>
  </si>
  <si>
    <t>Scope 1 source</t>
  </si>
  <si>
    <t>Production system j</t>
  </si>
  <si>
    <t>EFN2O</t>
  </si>
  <si>
    <t>Production system only</t>
  </si>
  <si>
    <t>Irrigation method</t>
  </si>
  <si>
    <t>GHG Unit</t>
  </si>
  <si>
    <t>Month</t>
  </si>
  <si>
    <t>Irrigation type i</t>
  </si>
  <si>
    <t>t CO2e</t>
  </si>
  <si>
    <t>EFPRP</t>
  </si>
  <si>
    <t>GHG emissions method 1</t>
  </si>
  <si>
    <t>GHG emissions method 2</t>
  </si>
  <si>
    <t>Season</t>
  </si>
  <si>
    <t>Poultry manure with bedding</t>
  </si>
  <si>
    <t>Solid storage</t>
  </si>
  <si>
    <t>Composting (passive windrow)</t>
  </si>
  <si>
    <t>Digester / covered lagoons</t>
  </si>
  <si>
    <t>Pasture range and paddock</t>
  </si>
  <si>
    <t>Direct processing</t>
  </si>
  <si>
    <t>Direct application</t>
  </si>
  <si>
    <t>MAT (ºC)</t>
  </si>
  <si>
    <t>Anaerobic lagoon</t>
  </si>
  <si>
    <t>Liquid systems</t>
  </si>
  <si>
    <t>Daily spread</t>
  </si>
  <si>
    <t>Pit storage</t>
  </si>
  <si>
    <t>Deep litter</t>
  </si>
  <si>
    <t>Poultry manure without bedding</t>
  </si>
  <si>
    <t>MAT raw</t>
  </si>
  <si>
    <t>Climate Zone</t>
  </si>
  <si>
    <t>EFNi &amp; EFN2Oi</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</si>
  <si>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</si>
  <si>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</si>
  <si>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</si>
  <si>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</si>
  <si>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</si>
  <si>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 xml:space="preserve"> </t>
  </si>
  <si>
    <t>Input - Electricity</t>
  </si>
  <si>
    <t>State grid electricity purchases</t>
  </si>
  <si>
    <t>💡The grid you purchase electricity from is typically the same as the state and region the farm is in.</t>
  </si>
  <si>
    <t>Amount purchased in kWh</t>
  </si>
  <si>
    <t>kWh</t>
  </si>
  <si>
    <t>State and region your farm is in</t>
  </si>
  <si>
    <t>Grid where electricity purchased from</t>
  </si>
  <si>
    <t>Western Australia - North Western Interconnected System (NWIS)</t>
  </si>
  <si>
    <r>
      <rPr>
        <sz val="12"/>
        <color theme="1" tint="0.34998626667073579"/>
        <rFont val="Times New Roman"/>
        <family val="1"/>
      </rPr>
      <t xml:space="preserve">← </t>
    </r>
    <r>
      <rPr>
        <i/>
        <sz val="12"/>
        <color theme="1" tint="0.34998626667073579"/>
        <rFont val="Times New Roman"/>
        <family val="1"/>
      </rPr>
      <t>Please select</t>
    </r>
  </si>
  <si>
    <t>Input - Site</t>
  </si>
  <si>
    <t>Your business</t>
  </si>
  <si>
    <t>Farm name</t>
  </si>
  <si>
    <t>Reporting entity name</t>
  </si>
  <si>
    <t>💡An 'Emissions accounting period' is a 12 month period where the business can report on the emissions, and is typically the same as the business' financial accounting period.</t>
  </si>
  <si>
    <t>Emissions calculation period start date</t>
  </si>
  <si>
    <r>
      <rPr>
        <sz val="12"/>
        <color theme="1" tint="0.34998626667073579"/>
        <rFont val="Times New Roman"/>
        <family val="1"/>
      </rPr>
      <t xml:space="preserve">← </t>
    </r>
    <r>
      <rPr>
        <i/>
        <sz val="12"/>
        <color theme="1" tint="0.34998626667073579"/>
        <rFont val="Times New Roman"/>
        <family val="1"/>
      </rPr>
      <t>DD/MM/YYYY or DD Month YYYY</t>
    </r>
  </si>
  <si>
    <t>Emissions calculation period end date</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</si>
  <si>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</si>
  <si>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</si>
  <si>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</si>
  <si>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</si>
  <si>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</si>
  <si>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Western Australia</t>
  </si>
  <si>
    <t>Region (ABS Statistical area level 4) if state is WA</t>
  </si>
  <si>
    <t>Western Australia - Outback (South)</t>
  </si>
  <si>
    <t>Constants - Electricity</t>
  </si>
  <si>
    <t>State, Territory or grid description</t>
  </si>
  <si>
    <t>Scope 2 Emission Factors (kg CO2-e/kWh)</t>
  </si>
  <si>
    <t>Scope 3 Emission Factors (kg CO2-e/kWh)</t>
  </si>
  <si>
    <r>
      <rPr>
        <b/>
        <sz val="16"/>
        <color theme="1" tint="0.24994659260841701"/>
        <rFont val="Times New Roman"/>
        <family val="1"/>
      </rPr>
      <t>E</t>
    </r>
    <r>
      <rPr>
        <b/>
        <vertAlign val="subscript"/>
        <sz val="16"/>
        <color theme="1" tint="0.24994659260841701"/>
        <rFont val="Times New Roman"/>
        <family val="1"/>
      </rPr>
      <t>2,elec</t>
    </r>
  </si>
  <si>
    <t>14.1.1-2 Purchased Electricity</t>
  </si>
  <si>
    <t xml:space="preserve">Renewable Power Percentage </t>
  </si>
  <si>
    <t>percent</t>
  </si>
  <si>
    <t>Jurisdictional renewable power percentage (ACT only)</t>
  </si>
  <si>
    <t>MWh</t>
  </si>
  <si>
    <t>Description</t>
  </si>
  <si>
    <t>Generation date</t>
  </si>
  <si>
    <t>Number of certificates</t>
  </si>
  <si>
    <t>Voluntarily surrendered Renewable Energy Certificates (RECs)</t>
  </si>
  <si>
    <t>End of reporting year</t>
  </si>
  <si>
    <t>Electricity purchased from an accredited GreenPower provider</t>
  </si>
  <si>
    <t>Electricity purchased in kWh (excluding GreenPower providers)</t>
  </si>
  <si>
    <t>Renewable Energy Certificates (RECs) for electricity produced on-site and consumed by the entity</t>
  </si>
  <si>
    <t>Source</t>
  </si>
  <si>
    <t>Source (select)</t>
  </si>
  <si>
    <t>Purchased certificate</t>
  </si>
  <si>
    <t>Issued for generated electricity</t>
  </si>
  <si>
    <t>Option 1: Location-based electricity</t>
  </si>
  <si>
    <t>Option 2: Market-based electricity</t>
  </si>
  <si>
    <t>Scope 2 EF (kg CO2-e/kWh)</t>
  </si>
  <si>
    <t>Scope 2 EF (kg CO2-e/GJ)</t>
  </si>
  <si>
    <t>Scope 3 EF (kg CO2-e/kWh)</t>
  </si>
  <si>
    <t>Scope 3 EF (kg CO2-e/GJ)</t>
  </si>
  <si>
    <t>May 2022 generated</t>
  </si>
  <si>
    <t>Start of reporting year</t>
  </si>
  <si>
    <t>Elegibility</t>
  </si>
  <si>
    <t>Total elegible voluntarily surrendered RECs</t>
  </si>
  <si>
    <t>Total elegible RECs for electricity produced on-site and consumed by entity</t>
  </si>
  <si>
    <t>14: Electricity use scope 2: Overview</t>
  </si>
  <si>
    <t>14: Electricity use scope 2: Results</t>
  </si>
  <si>
    <t>14:1.1 Purchased electricity - Location-based</t>
  </si>
  <si>
    <t>14:1.2 Purchased electricity - Market-based</t>
  </si>
  <si>
    <t>💡 You can add more rows to the table by right-clicking on the table and selecting "Insert &gt; Table rows above/below"</t>
  </si>
  <si>
    <t>Jan 2022 certs</t>
  </si>
  <si>
    <t>2024 certs</t>
  </si>
  <si>
    <t>Jul 24 certs generated</t>
  </si>
  <si>
    <t>Dec 2020 certs</t>
  </si>
  <si>
    <t>My test farm</t>
  </si>
  <si>
    <t>My test Farms Pty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</si>
</sst>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C09]dd\-mmmm\-yyyy;@"/>
    <numFmt numFmtId="168" formatCode="#,##0.000000"/>
    <numFmt numFmtId="169" formatCode="0.0000"/>
    <numFmt numFmtId="170" formatCode="_-* #,##0_-;\-* #,##0_-;_-* &quot;-&quot;??_-;_-@_-"/>
    <numFmt numFmtId="171" formatCode="[$-C09]d\ mmmm\ yyyy;@"/>
  </numFmts>
  <fonts count="62"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b/>
      <sz val="11"/>
      <color theme="1"/>
      <name val="Times New Roman"/>
      <family val="1"/>
      <scheme val="minor"/>
    </font>
    <font>
      <b/>
      <sz val="14"/>
      <color theme="1"/>
      <name val="Times New Roman"/>
      <family val="1"/>
      <scheme val="minor"/>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i/>
      <sz val="10"/>
      <color theme="6" tint="-0.499984740745262"/>
      <name val="Times New Roman"/>
      <family val="1"/>
    </font>
    <font>
      <i/>
      <sz val="10"/>
      <color theme="5" tint="-0.499984740745262"/>
      <name val="Times New Roman"/>
      <family val="1"/>
    </font>
    <font>
      <u/>
      <sz val="10"/>
      <color theme="1" tint="0.34998626667073579"/>
      <name val="Times New Roman"/>
      <family val="1"/>
    </font>
    <font>
      <i/>
      <sz val="10"/>
      <color theme="1" tint="0.14999847407452621"/>
      <name val="Times New Roman"/>
      <family val="1"/>
      <scheme val="minor"/>
    </font>
    <font>
      <b/>
      <sz val="20"/>
      <color theme="3" tint="9.9978637043366805E-2"/>
      <name val="Times New Roman"/>
      <family val="1"/>
    </font>
    <font>
      <sz val="9"/>
      <color theme="1"/>
      <name val="Times New Roman"/>
      <family val="2"/>
      <scheme val="minor"/>
    </font>
    <font>
      <u/>
      <sz val="11"/>
      <color theme="10"/>
      <name val="Times New Roman"/>
      <family val="2"/>
      <scheme val="minor"/>
    </font>
    <font>
      <i/>
      <sz val="10"/>
      <color theme="1" tint="0.34998626667073579"/>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sz val="11"/>
      <color rgb="FF242424"/>
      <name val="Consolas"/>
      <family val="3"/>
    </font>
    <font>
      <sz val="16"/>
      <color theme="1" tint="0.24994659260841701"/>
      <name val="Times New Roman"/>
      <family val="1"/>
    </font>
    <font>
      <b/>
      <sz val="16"/>
      <color theme="1" tint="0.24994659260841701"/>
      <name val="Times New Roman"/>
      <family val="1"/>
    </font>
    <font>
      <b/>
      <vertAlign val="subscript"/>
      <sz val="16"/>
      <color theme="1" tint="0.24994659260841701"/>
      <name val="Times New Roman"/>
      <family val="1"/>
    </font>
    <font>
      <i/>
      <sz val="16"/>
      <color theme="1" tint="0.34998626667073579"/>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9" fillId="4" borderId="0">
      <alignment horizontal="left" vertical="center"/>
    </xf>
    <xf numFmtId="0" fontId="34" fillId="4" borderId="0">
      <alignment vertical="center"/>
    </xf>
    <xf numFmtId="0" fontId="3" fillId="4" borderId="0">
      <alignment horizontal="left" vertical="center"/>
    </xf>
    <xf numFmtId="0" fontId="31"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2" fillId="0" borderId="0">
      <alignment horizontal="left" vertical="center" indent="2"/>
    </xf>
    <xf numFmtId="0" fontId="36" fillId="13" borderId="7">
      <alignment horizontal="left" vertical="center"/>
    </xf>
    <xf numFmtId="3" fontId="26" fillId="4" borderId="2">
      <alignment horizontal="center" vertical="center"/>
    </xf>
    <xf numFmtId="167" fontId="2" fillId="0" borderId="2">
      <alignment horizontal="center" vertical="center"/>
    </xf>
    <xf numFmtId="0" fontId="27" fillId="0" borderId="0"/>
    <xf numFmtId="0" fontId="9" fillId="0" borderId="0"/>
    <xf numFmtId="0" fontId="27" fillId="0" borderId="0"/>
    <xf numFmtId="166" fontId="26" fillId="4" borderId="2">
      <alignment horizontal="center" vertical="center"/>
    </xf>
    <xf numFmtId="4" fontId="26" fillId="4" borderId="2">
      <alignment horizontal="center" vertical="center"/>
    </xf>
    <xf numFmtId="0" fontId="41" fillId="4" borderId="0">
      <alignment horizontal="left" vertical="center"/>
    </xf>
    <xf numFmtId="0" fontId="30" fillId="4" borderId="0" applyNumberFormat="0">
      <alignment horizontal="center" vertical="center"/>
    </xf>
    <xf numFmtId="165" fontId="26" fillId="4" borderId="2">
      <alignment horizontal="center" vertical="center"/>
    </xf>
    <xf numFmtId="0" fontId="25" fillId="4" borderId="0">
      <alignment horizontal="left" vertical="center"/>
    </xf>
    <xf numFmtId="168" fontId="26" fillId="4" borderId="2">
      <alignment horizontal="center" vertical="center"/>
    </xf>
    <xf numFmtId="0" fontId="26" fillId="4" borderId="2">
      <alignment horizontal="center" vertical="center"/>
    </xf>
    <xf numFmtId="0" fontId="6" fillId="4" borderId="0">
      <alignment horizontal="left" vertical="center"/>
    </xf>
    <xf numFmtId="0" fontId="33" fillId="4" borderId="0">
      <alignment horizontal="left" vertical="center"/>
    </xf>
    <xf numFmtId="0" fontId="9" fillId="0" borderId="0"/>
    <xf numFmtId="0" fontId="2" fillId="0" borderId="2">
      <alignment horizontal="center" vertical="center"/>
    </xf>
    <xf numFmtId="0" fontId="39" fillId="4" borderId="0">
      <alignment horizontal="left" vertical="center"/>
    </xf>
    <xf numFmtId="0" fontId="40" fillId="4" borderId="0">
      <alignment horizontal="left" vertical="center"/>
    </xf>
    <xf numFmtId="0" fontId="42" fillId="4" borderId="0">
      <alignment horizontal="left" vertical="center"/>
    </xf>
    <xf numFmtId="0" fontId="38" fillId="11" borderId="0">
      <alignment horizontal="center" vertical="center"/>
    </xf>
    <xf numFmtId="0" fontId="20" fillId="11" borderId="0">
      <alignment horizontal="left" vertical="center" indent="1"/>
    </xf>
    <xf numFmtId="0" fontId="44" fillId="14" borderId="2">
      <alignment horizontal="center" vertical="center"/>
    </xf>
    <xf numFmtId="0" fontId="43" fillId="15" borderId="2">
      <alignment horizontal="center" vertical="center"/>
    </xf>
    <xf numFmtId="0" fontId="45" fillId="4" borderId="2">
      <alignment horizontal="left" vertical="center"/>
    </xf>
    <xf numFmtId="0" fontId="26" fillId="4" borderId="2">
      <alignment horizontal="left" vertical="center"/>
    </xf>
    <xf numFmtId="0" fontId="46" fillId="0" borderId="0"/>
    <xf numFmtId="0" fontId="49" fillId="0" borderId="0" applyNumberFormat="0" applyFill="0" applyBorder="0" applyAlignment="0" applyProtection="0"/>
    <xf numFmtId="43" fontId="9" fillId="0" borderId="0" applyFont="0" applyFill="0" applyBorder="0" applyAlignment="0" applyProtection="0"/>
    <xf numFmtId="9" fontId="9" fillId="0" borderId="0" applyFont="0" applyFill="0" applyBorder="0" applyAlignment="0" applyProtection="0"/>
  </cellStyleXfs>
  <cellXfs count="123">
    <xf numFmtId="0" fontId="0" fillId="0" borderId="0" xfId="0"/>
    <xf numFmtId="0" fontId="31" fillId="4" borderId="0" xfId="8">
      <alignment horizontal="left" vertical="center"/>
    </xf>
    <xf numFmtId="0" fontId="6" fillId="4" borderId="0" xfId="12">
      <alignment horizontal="left" vertical="center" indent="1"/>
    </xf>
    <xf numFmtId="0" fontId="3" fillId="4" borderId="0" xfId="7">
      <alignment horizontal="left" vertical="center"/>
    </xf>
    <xf numFmtId="0" fontId="16" fillId="3" borderId="0" xfId="4">
      <alignment vertical="center"/>
    </xf>
    <xf numFmtId="0" fontId="34" fillId="4" borderId="0" xfId="6">
      <alignment vertical="center"/>
    </xf>
    <xf numFmtId="0" fontId="29"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16" fillId="0" borderId="0" xfId="4" applyFill="1">
      <alignment vertical="center"/>
    </xf>
    <xf numFmtId="0" fontId="15" fillId="4" borderId="0" xfId="24">
      <alignment horizontal="left" vertical="center"/>
    </xf>
    <xf numFmtId="0" fontId="16" fillId="7" borderId="0" xfId="31">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7" fillId="9" borderId="4" xfId="34">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36" fillId="13" borderId="7" xfId="39">
      <alignment horizontal="left" vertical="center"/>
    </xf>
    <xf numFmtId="0" fontId="0" fillId="4" borderId="0" xfId="0" applyFill="1"/>
    <xf numFmtId="2" fontId="0" fillId="4" borderId="0" xfId="0" applyNumberFormat="1" applyFill="1" applyAlignment="1">
      <alignment vertical="center"/>
    </xf>
    <xf numFmtId="0" fontId="16" fillId="4" borderId="0" xfId="4" applyFill="1">
      <alignment vertical="center"/>
    </xf>
    <xf numFmtId="0" fontId="23" fillId="4" borderId="0" xfId="0" applyFont="1" applyFill="1"/>
    <xf numFmtId="2" fontId="24" fillId="4" borderId="0" xfId="0" applyNumberFormat="1" applyFont="1" applyFill="1"/>
    <xf numFmtId="0" fontId="6" fillId="4" borderId="0" xfId="12" applyAlignment="1">
      <alignment horizontal="left" indent="1"/>
    </xf>
    <xf numFmtId="0" fontId="31" fillId="4" borderId="0" xfId="8" applyAlignment="1">
      <alignment horizontal="right" vertical="center"/>
    </xf>
    <xf numFmtId="0" fontId="0" fillId="0" borderId="0" xfId="7" applyFont="1" applyFill="1">
      <alignment horizontal="left" vertical="center"/>
    </xf>
    <xf numFmtId="0" fontId="0" fillId="0" borderId="0" xfId="8" applyFont="1" applyFill="1">
      <alignment horizontal="left" vertical="center"/>
    </xf>
    <xf numFmtId="0" fontId="3" fillId="12" borderId="2" xfId="15">
      <alignment horizontal="center" vertical="center"/>
    </xf>
    <xf numFmtId="0" fontId="26" fillId="4" borderId="2" xfId="52">
      <alignment horizontal="center" vertical="center"/>
    </xf>
    <xf numFmtId="0" fontId="32" fillId="4" borderId="0" xfId="8" applyFont="1">
      <alignment horizontal="left" vertical="center"/>
    </xf>
    <xf numFmtId="0" fontId="6" fillId="4" borderId="0" xfId="53">
      <alignment horizontal="left" vertical="center"/>
    </xf>
    <xf numFmtId="0" fontId="33" fillId="4" borderId="0" xfId="54">
      <alignment horizontal="left" vertical="center"/>
    </xf>
    <xf numFmtId="0" fontId="35" fillId="0" borderId="0" xfId="33" applyFont="1">
      <alignment horizontal="left" vertical="center" indent="1"/>
    </xf>
    <xf numFmtId="0" fontId="10" fillId="0" borderId="0" xfId="32"/>
    <xf numFmtId="0" fontId="36" fillId="13" borderId="9" xfId="39" applyBorder="1">
      <alignment horizontal="left" vertical="center"/>
    </xf>
    <xf numFmtId="0" fontId="36" fillId="13" borderId="11" xfId="39" applyBorder="1">
      <alignment horizontal="left" vertical="center"/>
    </xf>
    <xf numFmtId="0" fontId="36" fillId="13" borderId="12" xfId="39" applyBorder="1">
      <alignment horizontal="left" vertical="center"/>
    </xf>
    <xf numFmtId="0" fontId="36" fillId="13" borderId="13" xfId="39" applyBorder="1">
      <alignment horizontal="left" vertical="center"/>
    </xf>
    <xf numFmtId="0" fontId="36" fillId="13" borderId="10" xfId="39" applyBorder="1">
      <alignment horizontal="left" vertical="center"/>
    </xf>
    <xf numFmtId="0" fontId="42" fillId="4" borderId="0" xfId="59">
      <alignment horizontal="left" vertical="center"/>
    </xf>
    <xf numFmtId="0" fontId="38" fillId="11" borderId="0" xfId="60">
      <alignment horizontal="center" vertical="center"/>
    </xf>
    <xf numFmtId="0" fontId="31" fillId="4" borderId="0" xfId="8" applyAlignment="1">
      <alignment horizontal="center" vertical="center"/>
    </xf>
    <xf numFmtId="0" fontId="36" fillId="13" borderId="8" xfId="39" applyBorder="1">
      <alignment horizontal="left" vertical="center"/>
    </xf>
    <xf numFmtId="0" fontId="20" fillId="5" borderId="0" xfId="36">
      <alignment horizontal="left" vertical="center" indent="1"/>
    </xf>
    <xf numFmtId="0" fontId="20" fillId="11" borderId="0" xfId="61">
      <alignment horizontal="left" vertical="center" indent="1"/>
    </xf>
    <xf numFmtId="0" fontId="43" fillId="15" borderId="2" xfId="63">
      <alignment horizontal="center" vertical="center"/>
    </xf>
    <xf numFmtId="0" fontId="44" fillId="14" borderId="2" xfId="62">
      <alignment horizontal="center" vertical="center"/>
    </xf>
    <xf numFmtId="0" fontId="31" fillId="4" borderId="0" xfId="8" applyAlignment="1">
      <alignment horizontal="left" vertical="center" wrapText="1"/>
    </xf>
    <xf numFmtId="0" fontId="0" fillId="0" borderId="0" xfId="0" applyAlignment="1">
      <alignment wrapText="1"/>
    </xf>
    <xf numFmtId="0" fontId="28" fillId="0" borderId="0" xfId="0" applyFont="1" applyAlignment="1">
      <alignment wrapText="1"/>
    </xf>
    <xf numFmtId="0" fontId="26" fillId="4" borderId="2" xfId="65">
      <alignment horizontal="left" vertical="center"/>
    </xf>
    <xf numFmtId="0" fontId="26" fillId="4" borderId="5" xfId="65" applyBorder="1">
      <alignment horizontal="left" vertical="center"/>
    </xf>
    <xf numFmtId="0" fontId="26" fillId="4" borderId="6" xfId="65" applyBorder="1">
      <alignment horizontal="left" vertical="center"/>
    </xf>
    <xf numFmtId="0" fontId="46" fillId="0" borderId="0" xfId="66"/>
    <xf numFmtId="169" fontId="8" fillId="4" borderId="0" xfId="10" applyNumberFormat="1">
      <alignment horizontal="center" vertical="center"/>
    </xf>
    <xf numFmtId="0" fontId="47" fillId="9" borderId="0" xfId="32" applyFont="1" applyFill="1"/>
    <xf numFmtId="0" fontId="31" fillId="9" borderId="0" xfId="8" applyFill="1">
      <alignment horizontal="left" vertical="center"/>
    </xf>
    <xf numFmtId="0" fontId="0" fillId="9" borderId="0" xfId="0" applyFill="1"/>
    <xf numFmtId="0" fontId="16" fillId="11" borderId="0" xfId="31" applyFill="1">
      <alignment vertical="center"/>
    </xf>
    <xf numFmtId="0" fontId="37" fillId="13" borderId="10" xfId="39" applyFont="1" applyBorder="1">
      <alignment horizontal="left" vertical="center"/>
    </xf>
    <xf numFmtId="0" fontId="20" fillId="10" borderId="0" xfId="35">
      <alignment horizontal="left" vertical="center" indent="1"/>
    </xf>
    <xf numFmtId="0" fontId="48" fillId="0" borderId="0" xfId="0" applyFont="1" applyAlignment="1">
      <alignment vertical="center"/>
    </xf>
    <xf numFmtId="0" fontId="41" fillId="4" borderId="0" xfId="47">
      <alignment horizontal="left" vertical="center"/>
    </xf>
    <xf numFmtId="0" fontId="36" fillId="13" borderId="14" xfId="39" applyBorder="1">
      <alignment horizontal="left" vertical="center"/>
    </xf>
    <xf numFmtId="0" fontId="36" fillId="13" borderId="15" xfId="39" applyBorder="1">
      <alignment horizontal="left" vertical="center"/>
    </xf>
    <xf numFmtId="4" fontId="2" fillId="0" borderId="2" xfId="17">
      <alignment horizontal="center" vertical="center"/>
    </xf>
    <xf numFmtId="0" fontId="10" fillId="0" borderId="0" xfId="2" applyFont="1"/>
    <xf numFmtId="0" fontId="3" fillId="4" borderId="16" xfId="7" applyBorder="1">
      <alignment horizontal="left" vertical="center"/>
    </xf>
    <xf numFmtId="0" fontId="29" fillId="0" borderId="0" xfId="5" applyFill="1">
      <alignment horizontal="left" vertical="center"/>
    </xf>
    <xf numFmtId="0" fontId="11" fillId="4" borderId="0" xfId="30">
      <alignment vertical="center"/>
    </xf>
    <xf numFmtId="0" fontId="34" fillId="0" borderId="0" xfId="6" applyFill="1">
      <alignment vertical="center"/>
    </xf>
    <xf numFmtId="0" fontId="2" fillId="0" borderId="2" xfId="14">
      <alignment horizontal="center" vertical="center"/>
    </xf>
    <xf numFmtId="0" fontId="2" fillId="4" borderId="0" xfId="7" applyFont="1">
      <alignment horizontal="left" vertical="center"/>
    </xf>
    <xf numFmtId="0" fontId="31" fillId="0" borderId="0" xfId="8" applyFill="1">
      <alignment horizontal="left" vertical="center"/>
    </xf>
    <xf numFmtId="0" fontId="36" fillId="13" borderId="17" xfId="39" applyBorder="1">
      <alignment horizontal="left" vertical="center"/>
    </xf>
    <xf numFmtId="0" fontId="36" fillId="13" borderId="18" xfId="39" applyBorder="1">
      <alignment horizontal="left" vertical="center"/>
    </xf>
    <xf numFmtId="0" fontId="50" fillId="0" borderId="0" xfId="12" applyFont="1" applyFill="1" applyAlignment="1">
      <alignment horizontal="left" vertical="center"/>
    </xf>
    <xf numFmtId="167" fontId="2" fillId="0" borderId="2" xfId="41">
      <alignment horizontal="center" vertical="center"/>
    </xf>
    <xf numFmtId="166" fontId="26" fillId="4" borderId="2" xfId="40" applyNumberFormat="1">
      <alignment horizontal="center" vertical="center"/>
    </xf>
    <xf numFmtId="0" fontId="2" fillId="0" borderId="0" xfId="7" applyFont="1" applyFill="1">
      <alignment horizontal="left" vertical="center"/>
    </xf>
    <xf numFmtId="0" fontId="37" fillId="13" borderId="8" xfId="39" applyFont="1" applyBorder="1">
      <alignment horizontal="left" vertical="center"/>
    </xf>
    <xf numFmtId="4" fontId="2" fillId="4" borderId="0" xfId="17" applyFill="1" applyBorder="1">
      <alignment horizontal="center" vertical="center"/>
    </xf>
    <xf numFmtId="0" fontId="12" fillId="4" borderId="0" xfId="29" applyFill="1">
      <alignment horizontal="center" vertical="center"/>
      <protection locked="0"/>
    </xf>
    <xf numFmtId="0" fontId="51" fillId="0" borderId="0" xfId="0" applyFont="1" applyAlignment="1" applyProtection="1">
      <alignment horizontal="center" vertical="center"/>
      <protection locked="0"/>
    </xf>
    <xf numFmtId="4" fontId="52" fillId="0" borderId="0" xfId="17" applyFont="1" applyBorder="1">
      <alignment horizontal="center" vertical="center"/>
    </xf>
    <xf numFmtId="164" fontId="8" fillId="4" borderId="0" xfId="26" applyBorder="1">
      <alignment horizontal="center" vertical="center"/>
    </xf>
    <xf numFmtId="4" fontId="52" fillId="4" borderId="0" xfId="17" applyFont="1" applyFill="1" applyBorder="1">
      <alignment horizontal="center" vertical="center"/>
    </xf>
    <xf numFmtId="0" fontId="52" fillId="4" borderId="0" xfId="12" applyFont="1" applyAlignment="1">
      <alignment horizontal="center" vertical="center"/>
    </xf>
    <xf numFmtId="0" fontId="52" fillId="4" borderId="0" xfId="8" applyFont="1" applyAlignment="1">
      <alignment horizontal="center" vertical="center"/>
    </xf>
    <xf numFmtId="166" fontId="52" fillId="4" borderId="0" xfId="8" applyNumberFormat="1" applyFont="1" applyAlignment="1">
      <alignment horizontal="center" vertical="center"/>
    </xf>
    <xf numFmtId="9" fontId="52" fillId="4" borderId="0" xfId="69" applyFont="1" applyFill="1" applyBorder="1" applyAlignment="1">
      <alignment horizontal="center" vertical="center"/>
    </xf>
    <xf numFmtId="0" fontId="53" fillId="4" borderId="0" xfId="0" applyFont="1" applyFill="1" applyAlignment="1">
      <alignment horizontal="center" vertical="center"/>
    </xf>
    <xf numFmtId="0" fontId="53" fillId="4" borderId="0" xfId="0" applyFont="1" applyFill="1"/>
    <xf numFmtId="0" fontId="52" fillId="4" borderId="0" xfId="0" applyFont="1" applyFill="1"/>
    <xf numFmtId="0" fontId="52" fillId="0" borderId="0" xfId="0" applyFont="1"/>
    <xf numFmtId="0" fontId="54" fillId="4" borderId="0" xfId="7" applyFont="1" applyAlignment="1">
      <alignment horizontal="center" vertical="center"/>
    </xf>
    <xf numFmtId="0" fontId="55" fillId="4" borderId="0" xfId="7" applyFont="1" applyAlignment="1">
      <alignment horizontal="center" vertical="center"/>
    </xf>
    <xf numFmtId="166" fontId="55" fillId="4" borderId="0" xfId="7" applyNumberFormat="1" applyFont="1" applyAlignment="1">
      <alignment horizontal="center" vertical="center"/>
    </xf>
    <xf numFmtId="0" fontId="55" fillId="4" borderId="0" xfId="0" applyFont="1" applyFill="1" applyAlignment="1">
      <alignment horizontal="center" vertical="center"/>
    </xf>
    <xf numFmtId="0" fontId="56" fillId="4" borderId="0" xfId="0" applyFont="1" applyFill="1" applyAlignment="1">
      <alignment horizontal="center" vertical="center"/>
    </xf>
    <xf numFmtId="0" fontId="56" fillId="4" borderId="0" xfId="0" applyFont="1" applyFill="1" applyAlignment="1">
      <alignment horizontal="left" vertical="center"/>
    </xf>
    <xf numFmtId="14" fontId="3" fillId="4" borderId="0" xfId="7" applyNumberFormat="1">
      <alignment horizontal="left" vertical="center"/>
    </xf>
    <xf numFmtId="0" fontId="49" fillId="4" borderId="0" xfId="67" applyFill="1" applyBorder="1"/>
    <xf numFmtId="166" fontId="2" fillId="4" borderId="0" xfId="18" applyNumberFormat="1" applyFill="1" applyBorder="1">
      <alignment horizontal="center" vertical="center"/>
    </xf>
    <xf numFmtId="170" fontId="3" fillId="4" borderId="0" xfId="68" applyNumberFormat="1" applyFont="1" applyFill="1" applyBorder="1" applyAlignment="1">
      <alignment horizontal="center" vertical="center"/>
    </xf>
    <xf numFmtId="0" fontId="0" fillId="4" borderId="0" xfId="7" applyFont="1">
      <alignment horizontal="left" vertical="center"/>
    </xf>
    <xf numFmtId="0" fontId="57" fillId="4" borderId="0" xfId="0" applyFont="1" applyFill="1"/>
    <xf numFmtId="0" fontId="59" fillId="4" borderId="1" xfId="8" applyFont="1" applyBorder="1">
      <alignment horizontal="left" vertical="center"/>
    </xf>
    <xf numFmtId="0" fontId="31" fillId="4" borderId="1" xfId="8" applyBorder="1">
      <alignment horizontal="left" vertical="center"/>
    </xf>
    <xf numFmtId="0" fontId="58" fillId="4" borderId="1" xfId="8" applyFont="1" applyBorder="1">
      <alignment horizontal="left" vertical="center"/>
    </xf>
    <xf numFmtId="0" fontId="26" fillId="4" borderId="19" xfId="65" applyBorder="1">
      <alignment horizontal="left" vertical="center"/>
    </xf>
    <xf numFmtId="9" fontId="2" fillId="0" borderId="2" xfId="16">
      <alignment horizontal="center" vertical="center"/>
    </xf>
    <xf numFmtId="43" fontId="31" fillId="4" borderId="0" xfId="8" applyNumberFormat="1">
      <alignment horizontal="left" vertical="center"/>
    </xf>
    <xf numFmtId="0" fontId="12" fillId="6" borderId="0" xfId="29">
      <alignment horizontal="center" vertical="center"/>
      <protection locked="0"/>
    </xf>
    <xf numFmtId="171" fontId="0" fillId="0" borderId="0" xfId="8" applyNumberFormat="1" applyFont="1" applyFill="1">
      <alignment horizontal="left" vertical="center"/>
    </xf>
    <xf numFmtId="166" fontId="26" fillId="4" borderId="2" xfId="45">
      <alignment horizontal="center" vertical="center"/>
    </xf>
    <xf numFmtId="0" fontId="30" fillId="4" borderId="0" xfId="48">
      <alignment horizontal="center" vertical="center"/>
    </xf>
    <xf numFmtId="9" fontId="26" fillId="4" borderId="2" xfId="65" applyNumberFormat="1">
      <alignment horizontal="left" vertical="center"/>
    </xf>
    <xf numFmtId="0" fontId="0" fillId="0" borderId="0" xfId="0" applyAlignment="1">
      <alignment vertical="center"/>
    </xf>
    <xf numFmtId="0" fontId="20" fillId="8" borderId="0" xfId="37">
      <alignment horizontal="left" vertical="center" indent="1"/>
    </xf>
    <xf numFmtId="0" fontId="61" fillId="4" borderId="1" xfId="53" applyFont="1" applyBorder="1">
      <alignment horizontal="left" vertical="center"/>
    </xf>
    <xf numFmtId="17" fontId="0" fillId="0" borderId="0" xfId="8" applyNumberFormat="1" applyFont="1" applyFill="1">
      <alignment horizontal="left" vertical="center"/>
    </xf>
  </cellXfs>
  <cellStyles count="70">
    <cellStyle name="Alert" xfId="59" xr:uid="{34EFE908-8095-4010-8F93-8CFE88055637}"/>
    <cellStyle name="Arguments" xfId="65" xr:uid="{E3322BF6-A528-4CDC-9946-1481D9CFA254}"/>
    <cellStyle name="Arguments hyperlink" xfId="64" xr:uid="{D7E69B6D-2E15-48E8-BF41-EE6FEA2FBEBE}"/>
    <cellStyle name="Back to top link" xfId="66" xr:uid="{13501F59-E048-49F8-88C6-8AF5C4ACD194}"/>
    <cellStyle name="Block heading" xfId="5" xr:uid="{74527274-3B4A-494A-B37C-EA50686E114C}"/>
    <cellStyle name="Block subheading" xfId="47" xr:uid="{34E62905-A3E0-4883-B81A-BDB58FC88DA7}"/>
    <cellStyle name="Code" xfId="24" xr:uid="{99B3520F-01DD-4F8E-A8D0-24EAA04E90EB}"/>
    <cellStyle name="Comma" xfId="68" builtinId="3"/>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67" builtinId="8"/>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69" builtinId="5"/>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2" xr:uid="{83ED2376-8555-47B3-98E3-2416CC880284}"/>
    <cellStyle name="Variable type other" xfId="63" xr:uid="{6646F6F7-E4F9-4165-8015-E25083532B5B}"/>
  </cellStyles>
  <dxfs count="6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strike val="0"/>
        <outline val="0"/>
        <shadow val="0"/>
        <u val="none"/>
        <vertAlign val="baseline"/>
        <sz val="9"/>
        <color theme="1"/>
        <name val="Times New Roman"/>
        <family val="2"/>
        <scheme val="minor"/>
      </font>
    </dxf>
    <dxf>
      <numFmt numFmtId="171" formatCode="[$-C09]d\ mmmm\ yyyy;@"/>
    </dxf>
    <dxf>
      <numFmt numFmtId="171" formatCode="[$-C09]d\ mmmm\ yyyy;@"/>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67"/>
      <tableStyleElement type="headerRow" dxfId="66"/>
      <tableStyleElement type="totalRow" dxfId="65"/>
      <tableStyleElement type="firstColumn" dxfId="64"/>
      <tableStyleElement type="firstRowStripe" dxfId="63"/>
      <tableStyleElement type="secondRowStripe" dxfId="62"/>
    </tableStyle>
    <tableStyle name="Equation table" pivot="0" count="6" xr9:uid="{B247698E-E41D-4CCD-AA0A-C14817E9DE65}">
      <tableStyleElement type="wholeTable" dxfId="61"/>
      <tableStyleElement type="headerRow" dxfId="60"/>
      <tableStyleElement type="totalRow" dxfId="59"/>
      <tableStyleElement type="firstColumn" dxfId="58"/>
      <tableStyleElement type="firstRowStripe" dxfId="57"/>
      <tableStyleElement type="secondRowStripe" dxfId="56"/>
    </tableStyle>
    <tableStyle name="Table Style 1" pivot="0" count="0" xr9:uid="{97B370DB-5463-4A31-9160-5A96BD6A559D}"/>
  </tableStyles>
  <colors>
    <mruColors>
      <color rgb="FF008000"/>
      <color rgb="FF0C769E"/>
      <color rgb="FFFFCCCC"/>
      <color rgb="FFCC6600"/>
      <color rgb="FFC44340"/>
      <color rgb="FF183C1B"/>
      <color rgb="FFDCECD0"/>
      <color rgb="FFB2D498"/>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0/relationships/richValueRel" Target="richData/richValueRel.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2" Type="http://schemas.openxmlformats.org/officeDocument/2006/relationships/hyperlink" Target="#'14.1.1-2 Purchased electricity'!D22"/><Relationship Id="rId1" Type="http://schemas.openxmlformats.org/officeDocument/2006/relationships/hyperlink" Target="#'14.1.1-2 Purchased electricity'!D5"/></Relationships>
</file>

<file path=xl/drawings/drawing1.xml><?xml version="1.0" encoding="utf-8"?>
<xdr:wsDr xmlns:xdr="http://schemas.openxmlformats.org/drawingml/2006/spreadsheetDrawing" xmlns:a="http://schemas.openxmlformats.org/drawingml/2006/main">
  <xdr:oneCellAnchor>
    <xdr:from>
      <xdr:col>2</xdr:col>
      <xdr:colOff>291247</xdr:colOff>
      <xdr:row>7</xdr:row>
      <xdr:rowOff>3136</xdr:rowOff>
    </xdr:from>
    <xdr:ext cx="2099527"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7" y="1870036"/>
          <a:ext cx="209952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14.1.1 Purchased electricity -</a:t>
          </a:r>
          <a:r>
            <a:rPr lang="en-AU" sz="1400" b="0" baseline="0">
              <a:solidFill>
                <a:srgbClr val="0C769E"/>
              </a:solidFill>
            </a:rPr>
            <a:t> location-based</a:t>
          </a:r>
          <a:endParaRPr lang="en-AU" sz="1400" b="0">
            <a:solidFill>
              <a:srgbClr val="0C769E"/>
            </a:solidFill>
          </a:endParaRPr>
        </a:p>
      </xdr:txBody>
    </xdr:sp>
    <xdr:clientData/>
  </xdr:oneCellAnchor>
  <xdr:twoCellAnchor>
    <xdr:from>
      <xdr:col>3</xdr:col>
      <xdr:colOff>282285</xdr:colOff>
      <xdr:row>9</xdr:row>
      <xdr:rowOff>132483</xdr:rowOff>
    </xdr:from>
    <xdr:to>
      <xdr:col>5</xdr:col>
      <xdr:colOff>575085</xdr:colOff>
      <xdr:row>12</xdr:row>
      <xdr:rowOff>109533</xdr:rowOff>
    </xdr:to>
    <xdr:sp macro="" textlink="'14.1.1-2 Purchased electricity'!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958810" y="2494683"/>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77A225-5B38-4F4F-8E60-34C9F7D0C552}" type="TxLink">
            <a:rPr lang="en-US" sz="1000" b="0" i="0" u="none" strike="noStrike">
              <a:solidFill>
                <a:srgbClr val="0C769E"/>
              </a:solidFill>
              <a:latin typeface="Times New Roman"/>
              <a:cs typeface="Times New Roman"/>
            </a:rPr>
            <a:pPr algn="ctr"/>
            <a:t>Location-based Scope 2 emissions from purchased electricity</a:t>
          </a:fld>
          <a:endParaRPr lang="en-AU" sz="1000">
            <a:solidFill>
              <a:srgbClr val="0C769E"/>
            </a:solidFill>
          </a:endParaRPr>
        </a:p>
      </xdr:txBody>
    </xdr:sp>
    <xdr:clientData/>
  </xdr:twoCellAnchor>
  <xdr:oneCellAnchor>
    <xdr:from>
      <xdr:col>7</xdr:col>
      <xdr:colOff>16012</xdr:colOff>
      <xdr:row>7</xdr:row>
      <xdr:rowOff>3136</xdr:rowOff>
    </xdr:from>
    <xdr:ext cx="2117588" cy="505267"/>
    <xdr:sp macro="" textlink="">
      <xdr:nvSpPr>
        <xdr:cNvPr id="20" name="TextBox 19">
          <a:extLst>
            <a:ext uri="{FF2B5EF4-FFF2-40B4-BE49-F238E27FC236}">
              <a16:creationId xmlns:a16="http://schemas.microsoft.com/office/drawing/2014/main" id="{DA4E5EA5-612F-426E-B031-90710B6309E4}"/>
            </a:ext>
          </a:extLst>
        </xdr:cNvPr>
        <xdr:cNvSpPr txBox="1"/>
      </xdr:nvSpPr>
      <xdr:spPr>
        <a:xfrm>
          <a:off x="5130937" y="1870036"/>
          <a:ext cx="211758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14.1.2 Purchased electricity - market-based</a:t>
          </a:r>
        </a:p>
      </xdr:txBody>
    </xdr:sp>
    <xdr:clientData/>
  </xdr:oneCellAnchor>
  <xdr:twoCellAnchor>
    <xdr:from>
      <xdr:col>7</xdr:col>
      <xdr:colOff>356755</xdr:colOff>
      <xdr:row>9</xdr:row>
      <xdr:rowOff>122958</xdr:rowOff>
    </xdr:from>
    <xdr:to>
      <xdr:col>10</xdr:col>
      <xdr:colOff>39955</xdr:colOff>
      <xdr:row>12</xdr:row>
      <xdr:rowOff>100008</xdr:rowOff>
    </xdr:to>
    <xdr:sp macro="" textlink="'14.1.1-2 Purchased electricity'!D22">
      <xdr:nvSpPr>
        <xdr:cNvPr id="21" name="TextBox 20">
          <a:hlinkClick xmlns:r="http://schemas.openxmlformats.org/officeDocument/2006/relationships" r:id="rId2"/>
          <a:extLst>
            <a:ext uri="{FF2B5EF4-FFF2-40B4-BE49-F238E27FC236}">
              <a16:creationId xmlns:a16="http://schemas.microsoft.com/office/drawing/2014/main" id="{8C71CDED-7203-4C08-A42F-C497846ACCAF}"/>
            </a:ext>
          </a:extLst>
        </xdr:cNvPr>
        <xdr:cNvSpPr txBox="1"/>
      </xdr:nvSpPr>
      <xdr:spPr>
        <a:xfrm>
          <a:off x="5471680" y="2485158"/>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2E10899-E275-4A32-9FFF-C3F12CBDD2AA}" type="TxLink">
            <a:rPr lang="en-US" sz="1000" b="0" i="0" u="none" strike="noStrike">
              <a:solidFill>
                <a:schemeClr val="accent5">
                  <a:lumMod val="50000"/>
                </a:schemeClr>
              </a:solidFill>
              <a:latin typeface="Times New Roman"/>
              <a:cs typeface="Times New Roman"/>
            </a:rPr>
            <a:pPr algn="ctr"/>
            <a:t>Market-based Scope 2 emissions from purchased electricity</a:t>
          </a:fld>
          <a:endParaRPr lang="en-AU" sz="1000">
            <a:solidFill>
              <a:schemeClr val="accent5">
                <a:lumMod val="50000"/>
              </a:schemeClr>
            </a:solidFil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3</xdr:col>
      <xdr:colOff>22972</xdr:colOff>
      <xdr:row>8</xdr:row>
      <xdr:rowOff>147918</xdr:rowOff>
    </xdr:from>
    <xdr:ext cx="1966949" cy="180114"/>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20C22E6D-79A2-B016-31F0-138F8E439D29}"/>
                </a:ext>
              </a:extLst>
            </xdr:cNvPr>
            <xdr:cNvSpPr txBox="1"/>
          </xdr:nvSpPr>
          <xdr:spPr>
            <a:xfrm>
              <a:off x="2699497" y="201481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20C22E6D-79A2-B016-31F0-138F8E439D29}"/>
                </a:ext>
              </a:extLst>
            </xdr:cNvPr>
            <xdr:cNvSpPr txBox="1"/>
          </xdr:nvSpPr>
          <xdr:spPr>
            <a:xfrm>
              <a:off x="2699497" y="201481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𝐸_(2,𝑒𝑙𝑒𝑐)=𝑄_𝑒𝑙𝑒𝑐×𝐸𝐹_(2,𝑒𝑙𝑒𝑐)×10^(−3)</a:t>
              </a:r>
              <a:endParaRPr lang="en-AU" sz="1100"/>
            </a:p>
          </xdr:txBody>
        </xdr:sp>
      </mc:Fallback>
    </mc:AlternateContent>
    <xdr:clientData/>
  </xdr:oneCellAnchor>
  <xdr:oneCellAnchor>
    <xdr:from>
      <xdr:col>2</xdr:col>
      <xdr:colOff>304800</xdr:colOff>
      <xdr:row>25</xdr:row>
      <xdr:rowOff>142875</xdr:rowOff>
    </xdr:from>
    <xdr:ext cx="6202980"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4EF9D048-49BD-6C58-7AF6-8DB75F056D0D}"/>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4EF9D048-49BD-6C58-7AF6-8DB75F056D0D}"/>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100"/>
            </a:p>
          </xdr:txBody>
        </xdr:sp>
      </mc:Fallback>
    </mc:AlternateContent>
    <xdr:clientData/>
  </xdr:oneCellAnchor>
  <xdr:oneCellAnchor>
    <xdr:from>
      <xdr:col>6</xdr:col>
      <xdr:colOff>1227068</xdr:colOff>
      <xdr:row>25</xdr:row>
      <xdr:rowOff>161925</xdr:rowOff>
    </xdr:from>
    <xdr:ext cx="6986593" cy="25333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FC27552-D38E-4EEC-BE2B-372799C9F60D}"/>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AU" sz="1100" b="0" i="1">
                        <a:solidFill>
                          <a:srgbClr val="C00000"/>
                        </a:solidFill>
                        <a:latin typeface="Cambria Math" panose="02040503050406030204" pitchFamily="18" charset="0"/>
                      </a:rPr>
                      <m:t>ORIGINAL</m:t>
                    </m:r>
                    <m:r>
                      <a:rPr lang="en-AU" sz="1100" b="0" i="1">
                        <a:solidFill>
                          <a:srgbClr val="C00000"/>
                        </a:solidFill>
                        <a:latin typeface="Cambria Math" panose="02040503050406030204" pitchFamily="18" charset="0"/>
                      </a:rPr>
                      <m:t>: </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EFC27552-D38E-4EEC-BE2B-372799C9F60D}"/>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solidFill>
                    <a:srgbClr val="C00000"/>
                  </a:solidFill>
                  <a:latin typeface="Cambria Math" panose="02040503050406030204" pitchFamily="18" charset="0"/>
                </a:rPr>
                <a:t>ORIGINAL: </a:t>
              </a:r>
              <a:r>
                <a:rPr lang="en-AU" sz="11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B3DA401-69B9-4F52-A3AF-08FA63C556A0}" name="Table_Input_RECSurrendered" displayName="Table_Input_RECSurrendered" ref="D32:I35" totalsRowShown="0" headerRowCellStyle="Input table column header">
  <autoFilter ref="D32:I35"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2BCE26E1-091A-4FC3-A841-86049FBC81A8}" name="Description"/>
    <tableColumn id="5" xr3:uid="{1AAE9410-2D75-4183-B028-D0225DD96FD9}" name="Source (select)" dataCellStyle="Input select"/>
    <tableColumn id="2" xr3:uid="{E939A00A-2AD7-4027-AA19-0891463C586E}" name="Generation date" dataDxfId="55"/>
    <tableColumn id="3" xr3:uid="{A780C41E-A9D0-483D-B649-703E68E6813A}" name="Number of certificates"/>
    <tableColumn id="4" xr3:uid="{968E99D1-9586-4756-958A-AC8369FD4A59}" name="MWh" dataCellStyle="Input number general calculated">
      <calculatedColumnFormula>Table_Input_RECSurrendered[[#This Row],[Number of certificates]]</calculatedColumnFormula>
    </tableColumn>
    <tableColumn id="7" xr3:uid="{6513162E-7AC6-46C4-9C43-97A9CB5546FD}" name="Elegibility" dataCellStyle="Input number general calculated">
      <calculatedColumnFormula>IF(DATEDIF(Table_Input_RECSurrendered[[#This Row],[Generation date]],DATEVALUE($E$26),"M")&gt;36,"Ineligible - older than 36 months","Elegible")</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8D24162-9496-4032-8FB2-02E312F8AA25}" name="Table_Input_RECConsumedByEntity" displayName="Table_Input_RECConsumedByEntity" ref="D41:I44" totalsRowShown="0" headerRowCellStyle="Input table column header">
  <autoFilter ref="D41:I44" xr:uid="{58D24162-9496-4032-8FB2-02E312F8AA25}">
    <filterColumn colId="0" hiddenButton="1"/>
    <filterColumn colId="1" hiddenButton="1"/>
    <filterColumn colId="2" hiddenButton="1"/>
    <filterColumn colId="3" hiddenButton="1"/>
    <filterColumn colId="4" hiddenButton="1"/>
    <filterColumn colId="5" hiddenButton="1"/>
  </autoFilter>
  <tableColumns count="6">
    <tableColumn id="1" xr3:uid="{137669E1-6F00-407B-8D2A-F5F8AC8FF6E7}" name="Description"/>
    <tableColumn id="5" xr3:uid="{6E612D94-AEFA-40CD-8FC1-55EF5BEF9790}" name="Source" dataCellStyle="Input text calculated">
      <calculatedColumnFormula>"Issued for generated electricity"</calculatedColumnFormula>
    </tableColumn>
    <tableColumn id="2" xr3:uid="{CFEEA4C0-BB73-4175-9911-21CE125FE4C0}" name="Generation date" dataDxfId="54"/>
    <tableColumn id="3" xr3:uid="{95AA8F11-B379-4380-B624-89420314A025}" name="Number of certificates"/>
    <tableColumn id="4" xr3:uid="{EAECE1AE-1173-49CA-9E8C-2F3DBC850D33}" name="MWh" dataCellStyle="Input number general calculated">
      <calculatedColumnFormula>Table_Input_RECConsumedByEntity[[#This Row],[Number of certificates]]</calculatedColumnFormula>
    </tableColumn>
    <tableColumn id="7" xr3:uid="{1987BD61-CD6B-4A85-A72C-975E4F50FB0E}" name="Elegibility" dataCellStyle="Input number general calculated">
      <calculatedColumnFormula>IF(AND(Table_Input_RECConsumedByEntity[[#This Row],[Generation date]]&gt;=DATEVALUE($E$25), Table_Input_RECConsumedByEntity[[#This Row],[Generation date]]&lt;= DATEVALUE($E$26)), "Elegible", "Ineligible - outside reporting year")</calculatedColumnFormula>
    </tableColumn>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44A982-7A4D-4CF2-8790-1A30DAE3E0A4}" name="Table_SourceData_ElectricityEFs" displayName="Table_SourceData_ElectricityEFs" ref="D9:F19" totalsRowShown="0" headerRowDxfId="53">
  <autoFilter ref="D9:F19" xr:uid="{3144A982-7A4D-4CF2-8790-1A30DAE3E0A4}">
    <filterColumn colId="0" hiddenButton="1"/>
    <filterColumn colId="1" hiddenButton="1"/>
    <filterColumn colId="2" hiddenButton="1"/>
  </autoFilter>
  <tableColumns count="3">
    <tableColumn id="1" xr3:uid="{C667C46C-8410-462E-9A76-30EEFB61AEA5}" name="State, Territory or grid description">
      <calculatedColumnFormula array="1">Common_InputFunctions.Utility_DisplayArrayInTable(Electricity_SourceData.Electricity_Scope2Scope3LocationBased_Data(), Table_SourceData_ElectricityEFs[[#Headers],[State, Territory or grid description]], 0)</calculatedColumnFormula>
    </tableColumn>
    <tableColumn id="2" xr3:uid="{F2925E7C-5A00-40BF-8DE3-0533C8A0B6A5}" name="Scope 2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 id="3" xr3:uid="{07F2FDF5-A873-46FB-993C-C9F32B017091}" name="Scope 3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7EEFE36-44F1-40A4-8394-9054D486E209}" name="Table_SourceData_ElectricityEFsMarketBased" displayName="Table_SourceData_ElectricityEFsMarketBased" ref="D24:H25" totalsRowShown="0">
  <autoFilter ref="D24:H25" xr:uid="{87EEFE36-44F1-40A4-8394-9054D486E209}">
    <filterColumn colId="0" hiddenButton="1"/>
    <filterColumn colId="1" hiddenButton="1"/>
    <filterColumn colId="2" hiddenButton="1"/>
    <filterColumn colId="3" hiddenButton="1"/>
    <filterColumn colId="4" hiddenButton="1"/>
  </autoFilter>
  <tableColumns count="5">
    <tableColumn id="1" xr3:uid="{83CF5FC7-DD2F-4E50-978F-86B63EF909B8}" name="State, Territory or grid description">
      <calculatedColumnFormula array="1">Common_InputFunctions.Utility_DisplayArrayInTable(Electricity_SourceData.Electricity_Scope2Scope3MarketBased_Data(), Table_SourceData_ElectricityEFsMarketBased[[#Headers],[State, Territory or grid description]], 0)</calculatedColumnFormula>
    </tableColumn>
    <tableColumn id="2" xr3:uid="{1D9CD88E-5F28-46C0-A62F-13A4A4B817CE}" name="Scope 2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3" xr3:uid="{70376992-EFE1-4193-81D4-E76082A49628}" name="Scope 2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 id="4" xr3:uid="{9AA25244-199D-4066-A5EC-8C7DC5DD4129}" name="Scope 3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5" xr3:uid="{C9376938-6692-43C7-A5AB-E21EF8C98DDE}" name="Scope 3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D45D258-076A-4B5A-AA6B-C49DFA191D56}"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795177ED-1EBA-43C6-9498-92077FE04B20}" name="State/Territory">
      <calculatedColumnFormula array="1">Common_InputFunctions.Utility_DisplayArrayInTable(Common_SourceData.Common_SourceData_AustralianStatesTerritories_Data(),Table_AustralianStates[[#Headers],[State/Territory]],0)</calculatedColumnFormula>
    </tableColumn>
    <tableColumn id="2" xr3:uid="{E6772BFB-AA6A-41FC-BD6C-C9E793BB4773}" name="Common Name">
      <calculatedColumnFormula array="1">Common_InputFunctions.Utility_DisplayArrayInTable(Common_SourceData.Common_SourceData_AustralianStatesTerritories_Data(),Table_AustralianStates[[#Headers],[State/Territory]],0)</calculatedColumnFormula>
    </tableColumn>
    <tableColumn id="3" xr3:uid="{F56D49FB-4059-499C-A541-DB617EE84BCF}"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AF5C838-87E8-4D7B-A7BB-621E19D72D16}" name="Table_WASA4Areas" displayName="Table_WASA4Areas" ref="D20:D30" totalsRowShown="0">
  <autoFilter ref="D20:D30" xr:uid="{5FA81339-C6C8-4D36-BEEA-6C4AEDD9E676}">
    <filterColumn colId="0" hiddenButton="1"/>
  </autoFilter>
  <tableColumns count="1">
    <tableColumn id="1" xr3:uid="{D87A9820-7D5C-4E3B-9FDA-0760A549099D}"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6CEEA0DB-3426-4FC4-9C05-FC16BB4DB114}" name="Table_GWPData" displayName="Table_GWPData" ref="D36:E43" totalsRowShown="0">
  <autoFilter ref="D36:E43" xr:uid="{B8E87A66-3E41-4AD3-925D-01EE21B43D7A}">
    <filterColumn colId="0" hiddenButton="1"/>
    <filterColumn colId="1" hiddenButton="1"/>
  </autoFilter>
  <tableColumns count="2">
    <tableColumn id="1" xr3:uid="{449CE4B5-C92A-4D75-AD48-7B18A369707C}" name="Gas">
      <calculatedColumnFormula array="1">Common_InputFunctions.Utility_DisplayArrayInTable(Common_SourceData.Common_SourceData_GWP_Data(), Table_GWPData[[#Headers],[Gas]], 0)</calculatedColumnFormula>
    </tableColumn>
    <tableColumn id="2" xr3:uid="{6207AA7D-D9A5-4D47-B8E9-BAB69025D4FE}"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E4C15A35-8E09-4760-B0A3-618AB40690CB}"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C52D27CF-AD7B-42B7-B36E-CFB70CF6CB19}" name="Gas">
      <calculatedColumnFormula array="1">Common_InputFunctions.Utility_DisplayArrayInTable(Common_SourceData.Common_SourceData_ConvertGasElementalToMolecular_Data(),Table_GasToMolecularConversionFactor[[#Headers],[Gas]], 0)</calculatedColumnFormula>
    </tableColumn>
    <tableColumn id="5" xr3:uid="{303926E1-9540-448E-BD4A-87D980C3A4AC}" name="Conversion factor">
      <calculatedColumnFormula array="1">Common_InputFunctions.Utility_DisplayArrayInTable(Common_SourceData.Common_SourceData_ConvertGasElementalToMolecular_Data(),Table_GasToMolecularConversionFactor[[#Headers],[Gas]], 0)</calculatedColumnFormula>
    </tableColumn>
    <tableColumn id="2" xr3:uid="{6B00D6B4-3A7A-40A7-8FDE-B4C76D5AE8B2}" name="Conversion factor 1">
      <calculatedColumnFormula array="1">Common_InputFunctions.Utility_DisplayArrayInTable(Common_SourceData.Common_SourceData_ConvertGasElementalToMolecular_Data(),Table_GasToMolecularConversionFactor[[#Headers],[Gas]], 0)</calculatedColumnFormula>
    </tableColumn>
    <tableColumn id="3" xr3:uid="{E2935796-0188-45BB-81D5-45675D22D87B}" name="Conversion factor 2">
      <calculatedColumnFormula array="1">Common_InputFunctions.Utility_DisplayArrayInTable(Common_SourceData.Common_SourceData_ConvertGasElementalToMolecular_Data(),Table_GasToMolecularConversionFactor[[#Headers],[Gas]], 0)</calculatedColumnFormula>
    </tableColumn>
    <tableColumn id="4" xr3:uid="{C129806A-705C-4D9D-807B-FDF830B070C7}"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1DC25208-F11F-41FC-A971-293EC942CEA7}"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70C65BBD-65EB-401C-841C-2F90C27F1229}"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04F52095-F2E8-4CFF-BC02-735327398AE7}" name="MAT"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3" xr3:uid="{293C01F0-58C5-4225-B1BF-0AF76DD11236}" name="MAP"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4" xr3:uid="{589D5993-98E6-4F10-8BEF-F4D3384D2A1A}" name="Frost days per year"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5" xr3:uid="{406FCB98-F580-476B-8094-37A732C5209C}" name="Elevation" totalsRowDxfId="49" totalsRowCellStyle="Content bold">
      <calculatedColumnFormula array="1">Common_InputFunctions.Utility_DisplayArrayInTable(Common_SourceData.Common_SourceData_ClimateZones_Data(), Table_SourceData_ClimateZones[[#Headers],[Climate zone]], 0)</calculatedColumnFormula>
    </tableColumn>
    <tableColumn id="6" xr3:uid="{7AA1A242-2BD3-4A2A-9FF2-041A49F70FC5}" name="MAP:PET" totalsRowDxfId="48" totalsRowCellStyle="Content bold">
      <calculatedColumnFormula array="1">Common_InputFunctions.Utility_DisplayArrayInTable(Common_SourceData.Common_SourceData_ClimateZones_Data(), Table_SourceData_ClimateZones[[#Headers],[Climate zone]], 0)</calculatedColumnFormula>
    </tableColumn>
    <tableColumn id="7" xr3:uid="{FD90A26C-F6B4-4CA9-BFD9-37F32B561D34}" name="Min temp"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8" xr3:uid="{F2BE60C6-21D0-4D92-962B-F8714AA70957}" name="Max temp"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9" xr3:uid="{9483392B-977A-4443-87CA-3F71C94B91EE}" name="Min rainfall"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10" xr3:uid="{66A31397-B101-451A-AFF2-657EEC54BB8A}" name="Max rainfall"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11" xr3:uid="{76E99937-B5E0-46CF-8F37-854ABC92A2CE}" name="Min frost days"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15" xr3:uid="{79453B92-681F-4F2C-A55A-6A70BFA2A296}" name="Max frost days"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12" xr3:uid="{241623C7-2535-40B3-98B6-CB4E146DC870}" name="Min elevation"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16" xr3:uid="{01C0BA39-A5B7-4660-87AF-2141015EE601}" name="Max elevation"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3" xr3:uid="{3B44E29E-E339-424C-9EF8-8294D5D9D33A}" name="Min MAP:PET"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7" xr3:uid="{376D0424-4DC1-4C50-81D5-DF1A20DAAAAB}" name="Max MAP:PET" totalsRowDxfId="38"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EB1895C-9E8C-4AF2-9E00-D6B27B0AC47D}"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01803246-E4E7-4C12-9CED-FFEFC9C0B63F}"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5C807759-03A6-4EA9-A3A8-2AE252F48040}" name="Wet or Dry Zone" totalsRowDxfId="37"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511B8BA5-AF9B-4E90-8B77-F474961E5353}"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BDF12359-4A77-42FA-90A4-CD462B7A32D5}" name="Temperature Zone">
      <calculatedColumnFormula array="1">Common_InputFunctions.Utility_DisplayArrayInTable(Common_SourceData.Common_SourceData_TemperatureZones_Data(),Table_SourceData_TemperatureZones[[#Headers],[Temperature Zone]],0)</calculatedColumnFormula>
    </tableColumn>
    <tableColumn id="2" xr3:uid="{05821D49-3078-4C26-8CEF-1FF0B81C6838}" name="MAT">
      <calculatedColumnFormula array="1">Common_InputFunctions.Utility_DisplayArrayInTable(Common_SourceData.Common_SourceData_TemperatureZones_Data(),Table_SourceData_TemperatureZones[[#Headers],[Temperature Zone]],0)</calculatedColumnFormula>
    </tableColumn>
    <tableColumn id="3" xr3:uid="{85F0EB47-3E26-4081-A01B-790F8F5CC68D}" name="Min MAT">
      <calculatedColumnFormula array="1">Common_InputFunctions.Utility_DisplayArrayInTable(Common_SourceData.Common_SourceData_TemperatureZones_Data(),Table_SourceData_TemperatureZones[[#Headers],[Temperature Zone]],0)</calculatedColumnFormula>
    </tableColumn>
    <tableColumn id="4" xr3:uid="{A23E9FF0-621A-46DB-AF37-618721632CEB}"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FF9DBA8C-B8CD-451B-B149-E05E843AADC7}"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B40E371A-E30C-4D44-9493-C4F0EC94E5A2}" name="Rainfall Zone">
      <calculatedColumnFormula array="1">Common_InputFunctions.Utility_DisplayArrayInTable(Common_SourceData.Common_SourceData_RainfallZones_Data(),Table_SourceData_RainfallZones[[#Headers],[Rainfall Zone]],0)</calculatedColumnFormula>
    </tableColumn>
    <tableColumn id="2" xr3:uid="{779E8154-16A3-4D17-86C3-715AC14DE8F0}" name="Annual rainfall">
      <calculatedColumnFormula array="1">Common_InputFunctions.Utility_DisplayArrayInTable(Common_SourceData.Common_SourceData_RainfallZones_Data(),Table_SourceData_RainfallZones[[#Headers],[Rainfall Zone]],0)</calculatedColumnFormula>
    </tableColumn>
    <tableColumn id="3" xr3:uid="{27F5D161-20D8-4A2C-B622-9C1ED7C8161C}" name="Min rainfall">
      <calculatedColumnFormula array="1">Common_InputFunctions.Utility_DisplayArrayInTable(Common_SourceData.Common_SourceData_RainfallZones_Data(),Table_SourceData_RainfallZones[[#Headers],[Rainfall Zone]],0)</calculatedColumnFormula>
    </tableColumn>
    <tableColumn id="4" xr3:uid="{B7EF2610-84CC-454C-ADE9-87A434852E68}"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B4BE869-BD2D-4CB6-8F94-4C6FDFB0181F}"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B6792D08-4CD9-4957-866D-CD24AC220047}" name="Leaching Zone">
      <calculatedColumnFormula array="1">Common_InputFunctions.Utility_DisplayArrayInTable(Common_SourceData.Common_SourceData_LeachingZones_Data(), Table_SourceData_LeachingZones[[#Headers],[Leaching Zone]], 0)</calculatedColumnFormula>
    </tableColumn>
    <tableColumn id="2" xr3:uid="{4D8A101F-2F9D-48F4-9D0A-52C7A788BFA9}"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77B5BA89-C80A-47F2-A8B6-ED4B582A1C9C}"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2F4FC8BB-B5E7-4221-86E1-4FA411077C77}" name="Data source">
      <calculatedColumnFormula array="1">Common_InputFunctions.Utility_DisplayArrayInTable(Common_SourceData.Common_SourceData_DataScores_Scope3_Data(), Table_SourceData_DataScores_Scope3[[#Headers],[Data source]], 0)</calculatedColumnFormula>
    </tableColumn>
    <tableColumn id="2" xr3:uid="{1CB283B2-6604-49C4-AD0B-13E9602B0421}"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2AEE2770-646A-43B3-B7B5-D9446C498E1F}" name="Table_SourceData_FracWET" displayName="Table_SourceData_FracWET" ref="D134:E136" totalsRowShown="0">
  <autoFilter ref="D134:E136" xr:uid="{308E99BE-FE1F-47A4-B2CA-97217277C4E9}">
    <filterColumn colId="0" hiddenButton="1"/>
    <filterColumn colId="1" hiddenButton="1"/>
  </autoFilter>
  <tableColumns count="2">
    <tableColumn id="1" xr3:uid="{F906496D-A444-4250-8922-433A11D3B881}" name="Is in leaching zone">
      <calculatedColumnFormula array="1">Common_InputFunctions.Utility_DisplayArrayInTable(Common_SourceData.Common_SourceData_FracWET_Data(),Table_SourceData_FracWET[[#Headers],[Is in leaching zone]],0)</calculatedColumnFormula>
    </tableColumn>
    <tableColumn id="2" xr3:uid="{878DA8B7-C630-4AB9-8C95-90F444A5D738}" name="FracWET" dataDxfId="36">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5F2CF032-D7F2-4844-ACBE-EFAB422E543F}"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2D0807DD-6AA3-4428-AB95-96AA52AB5C1D}" name="Production system j">
      <calculatedColumnFormula array="1">Common_InputFunctions.Utility_DisplayArrayInTable(Common_SourceData.Common_SourceData_EFN2O_Data(), Table_SourceData_Common_EFN2O[[#Headers],[Production system j]], 0)</calculatedColumnFormula>
    </tableColumn>
    <tableColumn id="2" xr3:uid="{8FCA39AD-469E-4CD3-80A6-3C5099BC6238}" name="EFN2O">
      <calculatedColumnFormula array="1">Common_InputFunctions.Utility_DisplayArrayInTable(Common_SourceData.Common_SourceData_EFN2O_Data(), Table_SourceData_Common_EFN2O[[#Headers],[Production system j]], 0)</calculatedColumnFormula>
    </tableColumn>
    <tableColumn id="3" xr3:uid="{7F5F1FED-030A-4162-A69C-E39984CC7BDC}" name="Production system only">
      <calculatedColumnFormula array="1">Common_InputFunctions.Utility_DisplayArrayInTable(Common_SourceData.Common_SourceData_EFN2O_Data(), Table_SourceData_Common_EFN2O[[#Headers],[Production system j]], 0)</calculatedColumnFormula>
    </tableColumn>
    <tableColumn id="4" xr3:uid="{AAB52485-33EF-46FC-9F4B-36BDA871301C}" name="Irrigation method">
      <calculatedColumnFormula array="1">Common_InputFunctions.Utility_DisplayArrayInTable(Common_SourceData.Common_SourceData_EFN2O_Data(), Table_SourceData_Common_EFN2O[[#Headers],[Production system j]], 0)</calculatedColumnFormula>
    </tableColumn>
    <tableColumn id="5" xr3:uid="{FF942727-9CF7-4E83-B62C-E3D00A8D558C}"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82E5E6E-359C-40E3-A8D2-658EDE7A0FAC}"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6814AD1A-7016-44E0-9C99-03FF83468F83}" name="Irrigation type i">
      <calculatedColumnFormula array="1">Common_InputFunctions.Utility_DisplayArrayInTable(Common_SourceData.Common_SourceData_FracWETIrrigation_Data(), Table_SourceData_FracWETIrrigation[[#Headers],[Irrigation type i]], 0)</calculatedColumnFormula>
    </tableColumn>
    <tableColumn id="2" xr3:uid="{AFA1116F-C725-4B55-9B70-E01F18D7D64D}" name="FracWET" dataDxfId="35"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5B896D3-D18E-4B82-B16D-832D4CAA1995}"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A6E8A000-CB3A-4589-A633-510CB794A021}"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91A37728-9D03-42EE-883F-34C68FDE0991}" name="EFPRP" dataDxfId="34"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84600146-C8D5-41EF-B31F-A7FCF6202E58}"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873729FE-B0B8-43E5-88AE-8D20F76416C4}" name="Month">
      <calculatedColumnFormula array="1">Common_InputFunctions.Utility_DisplayArrayInTable(Common_SourceData.Common_SourceData_MonthsToSeasons_Data(), Table_SourceData_Common_MonthToSeason[[#Headers],[Month]], 0)</calculatedColumnFormula>
    </tableColumn>
    <tableColumn id="2" xr3:uid="{C4C2B80B-A079-4091-9A9A-9B58521D39CA}" name="Season" dataDxfId="33"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DD97BDBB-20B1-4018-B059-7F2FC8F608C2}"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DC67277F-0CDC-427E-9644-E5596A7F4494}"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5D33B11-136F-44DC-920F-653DE287B84F}" name="MAT (ºC)"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B78AD67B-4603-44F8-AA5D-4C3A9CDD0A62}" name="Anaerobic lagoon"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0583BDDD-1635-4862-BADC-97F1690AFE48}" name="Digester / covered lagoons"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F809273A-73C8-40D4-9C50-F2D5C93DEE56}" name="Liquid systems"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00449008-A3E7-4114-B413-65EB97C892A9}" name="Daily spread"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2758521E-4AF2-4F97-9BD8-45186E981572}" name="Composting (passive windrow)"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D0A95670-DDCD-45AC-9636-5330B17C3937}" name="Solid storage"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F969F9D4-6A52-406A-879A-DB1CBD98D2A6}" name="Pit storage"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1131A76B-25CC-4D1D-ACF4-DE2010E0B5D0}" name="Deep litter"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B570B9BE-F6E9-4755-A835-3AEDA6FE5D89}" name="Poultry manure with bedding"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290F1253-0E30-47CF-986A-587171B375E4}" name="Poultry manure without bedding"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B4AB0FB4-EB82-415D-9571-BA6462BBB4A8}" name="Direct processing"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A3CFDE98-4294-455E-B95C-7948165A6283}" name="Direct application"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077C2B6B-A9ED-4CEF-A0D5-977191F456F7}" name="Pasture range and paddock"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8B0D34FB-6534-4647-9CA2-FF689189ADC8}" name="MAT raw"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3777A1D9-9AB6-4A99-9843-98D8910F3861}"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90353079-6C94-4374-B3F7-E6CEFC89A25E}"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62DF64D2-D979-40F8-9AB6-D16FDA4EAAAD}" name="EFNi &amp; EFN2Oi" dataDxfId="17"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9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1.xml"/><Relationship Id="rId13" Type="http://schemas.openxmlformats.org/officeDocument/2006/relationships/table" Target="../tables/table16.xml"/><Relationship Id="rId18" Type="http://schemas.openxmlformats.org/officeDocument/2006/relationships/table" Target="../tables/table21.xml"/><Relationship Id="rId3" Type="http://schemas.openxmlformats.org/officeDocument/2006/relationships/table" Target="../tables/table6.xml"/><Relationship Id="rId7" Type="http://schemas.openxmlformats.org/officeDocument/2006/relationships/table" Target="../tables/table10.xml"/><Relationship Id="rId12" Type="http://schemas.openxmlformats.org/officeDocument/2006/relationships/table" Target="../tables/table15.xml"/><Relationship Id="rId17" Type="http://schemas.openxmlformats.org/officeDocument/2006/relationships/table" Target="../tables/table20.xml"/><Relationship Id="rId2" Type="http://schemas.openxmlformats.org/officeDocument/2006/relationships/table" Target="../tables/table5.xml"/><Relationship Id="rId16" Type="http://schemas.openxmlformats.org/officeDocument/2006/relationships/table" Target="../tables/table19.xml"/><Relationship Id="rId1" Type="http://schemas.openxmlformats.org/officeDocument/2006/relationships/printerSettings" Target="../printerSettings/printerSettings3.bin"/><Relationship Id="rId6" Type="http://schemas.openxmlformats.org/officeDocument/2006/relationships/table" Target="../tables/table9.xml"/><Relationship Id="rId11" Type="http://schemas.openxmlformats.org/officeDocument/2006/relationships/table" Target="../tables/table14.xml"/><Relationship Id="rId5" Type="http://schemas.openxmlformats.org/officeDocument/2006/relationships/table" Target="../tables/table8.xml"/><Relationship Id="rId15" Type="http://schemas.openxmlformats.org/officeDocument/2006/relationships/table" Target="../tables/table18.xml"/><Relationship Id="rId10" Type="http://schemas.openxmlformats.org/officeDocument/2006/relationships/table" Target="../tables/table13.xml"/><Relationship Id="rId4" Type="http://schemas.openxmlformats.org/officeDocument/2006/relationships/table" Target="../tables/table7.xml"/><Relationship Id="rId9" Type="http://schemas.openxmlformats.org/officeDocument/2006/relationships/table" Target="../tables/table12.xml"/><Relationship Id="rId14" Type="http://schemas.openxmlformats.org/officeDocument/2006/relationships/table" Target="../tables/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W45"/>
  <sheetViews>
    <sheetView showGridLines="0" zoomScaleNormal="100" workbookViewId="0"/>
  </sheetViews>
  <sheetFormatPr defaultRowHeight="15.75" x14ac:dyDescent="0.25"/>
  <cols>
    <col min="1" max="1" width="30.7109375" customWidth="1"/>
    <col min="2" max="2" width="4.7109375" customWidth="1"/>
    <col min="3" max="3" width="4.7109375" style="1" customWidth="1"/>
    <col min="4" max="15" width="9.140625" style="1"/>
    <col min="16" max="16" width="4.7109375" style="1" customWidth="1"/>
  </cols>
  <sheetData>
    <row r="1" spans="1:17" ht="30" customHeight="1" x14ac:dyDescent="0.35">
      <c r="A1" s="34" t="e" vm="1">
        <v>#VALUE!</v>
      </c>
      <c r="C1" s="56" t="s">
        <v>144</v>
      </c>
      <c r="D1" s="57"/>
      <c r="E1" s="57"/>
      <c r="F1" s="57"/>
      <c r="G1" s="57"/>
      <c r="H1" s="57"/>
      <c r="I1" s="57"/>
      <c r="J1" s="57"/>
      <c r="K1" s="57"/>
      <c r="L1" s="57"/>
      <c r="M1" s="57"/>
      <c r="N1" s="57"/>
      <c r="O1" s="57"/>
      <c r="P1" s="57"/>
    </row>
    <row r="2" spans="1:17" ht="20.100000000000001" customHeight="1" x14ac:dyDescent="0.25">
      <c r="A2" s="9"/>
      <c r="C2" s="57"/>
      <c r="D2" s="57"/>
      <c r="E2" s="57"/>
      <c r="F2" s="57"/>
      <c r="G2" s="57"/>
      <c r="H2" s="57"/>
      <c r="I2" s="57"/>
      <c r="J2" s="57"/>
      <c r="K2" s="57"/>
      <c r="L2" s="57"/>
      <c r="M2" s="57"/>
      <c r="N2" s="57"/>
      <c r="O2" s="57"/>
      <c r="P2" s="57"/>
      <c r="Q2" s="58"/>
    </row>
    <row r="3" spans="1:17" ht="20.100000000000001" customHeight="1" x14ac:dyDescent="0.25">
      <c r="A3" s="14" t="str">
        <f>HYPERLINK("#'Home'!A1", "Home")</f>
        <v>Home</v>
      </c>
      <c r="C3" s="59"/>
      <c r="D3" s="59"/>
      <c r="E3" s="59"/>
      <c r="F3" s="59"/>
      <c r="G3" s="59"/>
      <c r="H3" s="59"/>
      <c r="I3" s="59"/>
      <c r="J3" s="59"/>
      <c r="K3" s="59"/>
      <c r="L3" s="59"/>
      <c r="M3" s="59"/>
      <c r="N3" s="59"/>
      <c r="O3" s="59"/>
      <c r="P3" s="59"/>
    </row>
    <row r="4" spans="1:17" ht="20.100000000000001" customHeight="1" x14ac:dyDescent="0.25">
      <c r="A4" s="45" t="str">
        <f>HYPERLINK("#'Overview'!A1", "Overview")</f>
        <v>Overview</v>
      </c>
    </row>
    <row r="5" spans="1:17" ht="20.100000000000001" customHeight="1" x14ac:dyDescent="0.25">
      <c r="A5" s="14" t="str">
        <f>HYPERLINK("#'Results'!A1", "Results")</f>
        <v>Results</v>
      </c>
      <c r="D5" s="43" t="s">
        <v>83</v>
      </c>
      <c r="E5" s="38"/>
      <c r="F5" s="38"/>
      <c r="G5" s="38"/>
      <c r="H5" s="38"/>
      <c r="I5" s="38"/>
      <c r="J5" s="38"/>
      <c r="K5" s="38"/>
      <c r="L5" s="38"/>
      <c r="M5" s="38"/>
      <c r="N5" s="38"/>
      <c r="O5" s="35"/>
    </row>
    <row r="6" spans="1:17" ht="20.100000000000001" customHeight="1" x14ac:dyDescent="0.25">
      <c r="A6" s="13"/>
      <c r="D6" s="60" t="s">
        <v>84</v>
      </c>
      <c r="E6" s="37"/>
      <c r="F6" s="37"/>
      <c r="G6" s="37"/>
      <c r="H6" s="37"/>
      <c r="I6" s="37"/>
      <c r="J6" s="37"/>
      <c r="K6" s="37"/>
      <c r="L6" s="37"/>
      <c r="M6" s="37"/>
      <c r="N6" s="37"/>
      <c r="O6" s="36"/>
    </row>
    <row r="7" spans="1:17" ht="20.100000000000001" customHeight="1" x14ac:dyDescent="0.25">
      <c r="A7" s="17" t="s">
        <v>1</v>
      </c>
    </row>
    <row r="8" spans="1:17" ht="20.100000000000001" customHeight="1" x14ac:dyDescent="0.25">
      <c r="A8" s="14" t="str">
        <f>HYPERLINK("#'Input - Electricity'!A1", "Electricity")</f>
        <v>Electricity</v>
      </c>
    </row>
    <row r="9" spans="1:17" ht="20.100000000000001" customHeight="1" x14ac:dyDescent="0.25">
      <c r="A9" s="14"/>
    </row>
    <row r="10" spans="1:17" ht="20.100000000000001" customHeight="1" x14ac:dyDescent="0.25">
      <c r="A10" s="16" t="s">
        <v>45</v>
      </c>
    </row>
    <row r="11" spans="1:17" ht="20.100000000000001" customHeight="1" x14ac:dyDescent="0.25">
      <c r="A11" s="14" t="str">
        <f>HYPERLINK("#'14.1.1-2 Purchased electricity'!A1", "14.1.1-2 Purchased electricity")</f>
        <v>14.1.1-2 Purchased electricity</v>
      </c>
    </row>
    <row r="12" spans="1:17" ht="20.100000000000001" customHeight="1" x14ac:dyDescent="0.25">
      <c r="A12" s="14"/>
    </row>
    <row r="13" spans="1:17" ht="20.100000000000001" customHeight="1" x14ac:dyDescent="0.25">
      <c r="A13" s="15" t="s">
        <v>2</v>
      </c>
    </row>
    <row r="14" spans="1:17" ht="20.100000000000001" customHeight="1" x14ac:dyDescent="0.25">
      <c r="A14" s="14" t="str">
        <f>HYPERLINK("#'Constants - Electricity'!A1", "Constants - Electricity")</f>
        <v>Constants - Electricity</v>
      </c>
      <c r="O14" s="1" t="s">
        <v>85</v>
      </c>
    </row>
    <row r="15" spans="1:17" ht="20.100000000000001" customHeight="1" x14ac:dyDescent="0.25">
      <c r="A15" s="14" t="str">
        <f>HYPERLINK("#'Constants - Common'!A1", "Constants - Common")</f>
        <v>Constants - Common</v>
      </c>
    </row>
    <row r="16" spans="1:17" ht="20.100000000000001" customHeight="1" x14ac:dyDescent="0.25"/>
    <row r="17" spans="1:1" ht="20.100000000000001" customHeight="1" x14ac:dyDescent="0.25"/>
    <row r="18" spans="1:1" ht="20.100000000000001" customHeight="1" x14ac:dyDescent="0.25"/>
    <row r="19" spans="1:1" ht="20.100000000000001" customHeight="1" x14ac:dyDescent="0.25"/>
    <row r="20" spans="1:1" ht="20.100000000000001" customHeight="1" x14ac:dyDescent="0.25"/>
    <row r="21" spans="1:1" ht="20.100000000000001" customHeight="1" x14ac:dyDescent="0.25"/>
    <row r="22" spans="1:1" ht="20.100000000000001" customHeight="1" x14ac:dyDescent="0.25"/>
    <row r="23" spans="1:1" ht="20.100000000000001" customHeight="1" x14ac:dyDescent="0.25">
      <c r="A23" s="14"/>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23" ht="20.100000000000001" customHeight="1" x14ac:dyDescent="0.25"/>
    <row r="34" spans="12:23" ht="20.100000000000001" customHeight="1" x14ac:dyDescent="0.25"/>
    <row r="35" spans="12:23" ht="20.100000000000001" customHeight="1" x14ac:dyDescent="0.25"/>
    <row r="36" spans="12:23" ht="20.100000000000001" customHeight="1" x14ac:dyDescent="0.25"/>
    <row r="37" spans="12:23" ht="20.100000000000001" customHeight="1" x14ac:dyDescent="0.25">
      <c r="L37" s="1" t="s">
        <v>81</v>
      </c>
    </row>
    <row r="38" spans="12:23" ht="20.100000000000001" customHeight="1" x14ac:dyDescent="0.25"/>
    <row r="39" spans="12:23" ht="20.100000000000001" customHeight="1" x14ac:dyDescent="0.25"/>
    <row r="40" spans="12:23" ht="20.100000000000001" customHeight="1" x14ac:dyDescent="0.25"/>
    <row r="41" spans="12:23" ht="20.100000000000001" customHeight="1" x14ac:dyDescent="0.25"/>
    <row r="42" spans="12:23" ht="20.100000000000001" customHeight="1" x14ac:dyDescent="0.25"/>
    <row r="45" spans="12:23" x14ac:dyDescent="0.25">
      <c r="W45" t="s">
        <v>82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H87"/>
  <sheetViews>
    <sheetView showGridLines="0" zoomScaleNormal="100" workbookViewId="0">
      <selection activeCell="A8" sqref="A8"/>
    </sheetView>
  </sheetViews>
  <sheetFormatPr defaultRowHeight="15" x14ac:dyDescent="0.25"/>
  <cols>
    <col min="1" max="1" width="30.7109375" customWidth="1"/>
    <col min="2" max="3" width="2.7109375" customWidth="1"/>
    <col min="4" max="4" width="97.140625" customWidth="1"/>
    <col min="5" max="7" width="30.7109375" customWidth="1"/>
    <col min="8" max="8" width="7.42578125" customWidth="1"/>
    <col min="9" max="23" width="28.7109375" customWidth="1"/>
  </cols>
  <sheetData>
    <row r="1" spans="1:8" ht="30" customHeight="1" x14ac:dyDescent="0.35">
      <c r="A1" s="34" t="e" vm="1">
        <v>#VALUE!</v>
      </c>
      <c r="C1" s="56" t="s">
        <v>145</v>
      </c>
    </row>
    <row r="2" spans="1:8" ht="20.100000000000001" customHeight="1" x14ac:dyDescent="0.25">
      <c r="A2" s="9"/>
      <c r="C2" s="9"/>
    </row>
    <row r="3" spans="1:8" ht="20.100000000000001" customHeight="1" x14ac:dyDescent="0.25">
      <c r="A3" s="14" t="str">
        <f>HYPERLINK("#'Home'!A1", "Home")</f>
        <v>Home</v>
      </c>
      <c r="C3" s="19"/>
      <c r="D3" s="19"/>
      <c r="E3" s="19"/>
      <c r="F3" s="19"/>
      <c r="G3" s="19"/>
      <c r="H3" s="19"/>
    </row>
    <row r="4" spans="1:8" ht="20.100000000000001" customHeight="1" x14ac:dyDescent="0.25">
      <c r="A4" s="14" t="str">
        <f>HYPERLINK("#'Overview'!A1", "Overview")</f>
        <v>Overview</v>
      </c>
      <c r="C4" s="19"/>
      <c r="D4" s="6" t="s">
        <v>3</v>
      </c>
      <c r="E4" s="20"/>
      <c r="F4" s="20"/>
      <c r="G4" s="20"/>
      <c r="H4" s="21"/>
    </row>
    <row r="5" spans="1:8" ht="20.100000000000001" customHeight="1" x14ac:dyDescent="0.3">
      <c r="A5" s="45" t="str">
        <f>HYPERLINK("#'Results'!A1", "Results")</f>
        <v>Results</v>
      </c>
      <c r="C5" s="19"/>
      <c r="D5" s="22"/>
      <c r="E5" s="23"/>
      <c r="F5" s="23"/>
      <c r="G5" s="23"/>
      <c r="H5" s="19"/>
    </row>
    <row r="6" spans="1:8" ht="20.100000000000001" customHeight="1" x14ac:dyDescent="0.25">
      <c r="A6" s="13"/>
      <c r="C6" s="19"/>
      <c r="D6" s="18" t="s">
        <v>80</v>
      </c>
      <c r="E6" s="19"/>
      <c r="F6" s="19"/>
      <c r="G6" s="19"/>
      <c r="H6" s="19"/>
    </row>
    <row r="7" spans="1:8" ht="20.100000000000001" customHeight="1" x14ac:dyDescent="0.25">
      <c r="A7" s="17" t="s">
        <v>1</v>
      </c>
      <c r="C7" s="19"/>
      <c r="D7" s="19"/>
      <c r="E7" s="19"/>
      <c r="F7" s="19"/>
      <c r="G7" s="19"/>
      <c r="H7" s="19"/>
    </row>
    <row r="8" spans="1:8" ht="20.100000000000001" customHeight="1" x14ac:dyDescent="0.25">
      <c r="A8" s="14" t="str">
        <f>HYPERLINK("#'Input - Electricity'!A1", "Electricity")</f>
        <v>Electricity</v>
      </c>
      <c r="C8" s="19"/>
      <c r="D8" s="41" t="s">
        <v>50</v>
      </c>
      <c r="E8" s="41" t="s">
        <v>60</v>
      </c>
      <c r="F8" s="41" t="s">
        <v>61</v>
      </c>
      <c r="G8" s="41" t="s">
        <v>55</v>
      </c>
      <c r="H8" s="19"/>
    </row>
    <row r="9" spans="1:8" ht="20.100000000000001" customHeight="1" x14ac:dyDescent="0.25">
      <c r="A9" s="14"/>
      <c r="C9" s="19"/>
      <c r="D9" s="1" t="s">
        <v>146</v>
      </c>
      <c r="E9" s="55">
        <f>'14.1.1-2 Purchased electricity'!E18</f>
        <v>16.8</v>
      </c>
      <c r="F9" s="55">
        <f>E9</f>
        <v>16.8</v>
      </c>
      <c r="G9" s="31" t="s">
        <v>58</v>
      </c>
      <c r="H9" s="19"/>
    </row>
    <row r="10" spans="1:8" ht="20.100000000000001" customHeight="1" x14ac:dyDescent="0.25">
      <c r="A10" s="16" t="s">
        <v>45</v>
      </c>
      <c r="C10" s="19"/>
      <c r="D10" s="1" t="s">
        <v>147</v>
      </c>
      <c r="E10" s="55">
        <f>'14.1.1-2 Purchased electricity'!E39</f>
        <v>9.7200000000000006</v>
      </c>
      <c r="F10" s="55">
        <f t="shared" ref="F10" si="0">E10</f>
        <v>9.7200000000000006</v>
      </c>
      <c r="G10" s="31" t="s">
        <v>58</v>
      </c>
      <c r="H10" s="19"/>
    </row>
    <row r="11" spans="1:8" ht="20.100000000000001" customHeight="1" x14ac:dyDescent="0.25">
      <c r="A11" s="14" t="str">
        <f>HYPERLINK("#'14.1.1-2 Purchased electricity'!A1", "14.1.1-2 Purchased electricity")</f>
        <v>14.1.1-2 Purchased electricity</v>
      </c>
      <c r="C11" s="19"/>
      <c r="D11" s="1"/>
      <c r="E11" s="1"/>
      <c r="F11" s="1"/>
      <c r="G11" s="1"/>
      <c r="H11" s="19"/>
    </row>
    <row r="12" spans="1:8" ht="20.100000000000001" customHeight="1" x14ac:dyDescent="0.25">
      <c r="A12" s="14"/>
      <c r="C12" s="19"/>
      <c r="D12" s="1"/>
      <c r="E12" s="1"/>
      <c r="F12" s="1"/>
      <c r="G12" s="1"/>
      <c r="H12" s="19"/>
    </row>
    <row r="13" spans="1:8" ht="20.100000000000001" customHeight="1" x14ac:dyDescent="0.25">
      <c r="A13" s="15" t="s">
        <v>2</v>
      </c>
      <c r="C13" s="19"/>
      <c r="D13" s="1"/>
      <c r="E13" s="1"/>
      <c r="F13" s="1"/>
      <c r="G13" s="1"/>
      <c r="H13" s="19"/>
    </row>
    <row r="14" spans="1:8" ht="20.100000000000001" customHeight="1" x14ac:dyDescent="0.25">
      <c r="A14" s="14" t="str">
        <f>HYPERLINK("#'Constants - Electricity'!A1", "Constants - Electricity")</f>
        <v>Constants - Electricity</v>
      </c>
      <c r="C14" s="19"/>
      <c r="D14" s="1"/>
      <c r="E14" s="42"/>
      <c r="F14" s="31"/>
      <c r="G14" s="1"/>
      <c r="H14" s="19"/>
    </row>
    <row r="15" spans="1:8" ht="20.100000000000001" customHeight="1" x14ac:dyDescent="0.25">
      <c r="A15" s="14" t="str">
        <f>HYPERLINK("#'Constants - Common'!A1", "Constants - Common")</f>
        <v>Constants - Common</v>
      </c>
      <c r="C15" s="19"/>
      <c r="D15" s="1"/>
      <c r="E15" s="42"/>
      <c r="F15" s="31"/>
      <c r="G15" s="1"/>
      <c r="H15" s="19"/>
    </row>
    <row r="16" spans="1:8" ht="20.100000000000001" customHeight="1" x14ac:dyDescent="0.25">
      <c r="C16" s="19"/>
      <c r="D16" s="1"/>
      <c r="E16" s="1"/>
      <c r="F16" s="1"/>
      <c r="G16" s="1"/>
      <c r="H16" s="19"/>
    </row>
    <row r="17" spans="1:8" ht="20.100000000000001" customHeight="1" x14ac:dyDescent="0.25">
      <c r="C17" s="19"/>
      <c r="D17" s="1"/>
      <c r="E17" s="1"/>
      <c r="F17" s="1"/>
      <c r="G17" s="1"/>
      <c r="H17" s="19"/>
    </row>
    <row r="18" spans="1:8" ht="20.100000000000001" customHeight="1" x14ac:dyDescent="0.25">
      <c r="C18" s="19"/>
      <c r="D18" s="1"/>
      <c r="E18" s="1"/>
      <c r="F18" s="1"/>
      <c r="G18" s="1"/>
      <c r="H18" s="19"/>
    </row>
    <row r="19" spans="1:8" ht="20.100000000000001" customHeight="1" x14ac:dyDescent="0.25">
      <c r="C19" s="19"/>
      <c r="D19" s="1"/>
      <c r="E19" s="1"/>
      <c r="F19" s="1"/>
      <c r="G19" s="1"/>
      <c r="H19" s="19"/>
    </row>
    <row r="20" spans="1:8" ht="20.100000000000001" customHeight="1" x14ac:dyDescent="0.25">
      <c r="A20" s="14"/>
      <c r="C20" s="19"/>
      <c r="D20" s="1"/>
      <c r="E20" s="1"/>
      <c r="F20" s="1"/>
      <c r="G20" s="1"/>
      <c r="H20" s="19"/>
    </row>
    <row r="21" spans="1:8" ht="20.100000000000001" customHeight="1" x14ac:dyDescent="0.25">
      <c r="A21" s="14"/>
      <c r="C21" s="19"/>
      <c r="D21" s="1"/>
      <c r="E21" s="1"/>
      <c r="F21" s="1"/>
      <c r="G21" s="1"/>
      <c r="H21" s="19"/>
    </row>
    <row r="22" spans="1:8" ht="20.100000000000001" customHeight="1" x14ac:dyDescent="0.25">
      <c r="C22" s="19"/>
      <c r="D22" s="1"/>
      <c r="E22" s="1"/>
      <c r="F22" s="1"/>
      <c r="G22" s="1"/>
      <c r="H22" s="19"/>
    </row>
    <row r="23" spans="1:8" ht="20.100000000000001" customHeight="1" x14ac:dyDescent="0.25">
      <c r="A23" s="14"/>
      <c r="C23" s="19"/>
      <c r="D23" s="1"/>
      <c r="E23" s="1"/>
      <c r="F23" s="1"/>
      <c r="G23" s="1"/>
      <c r="H23" s="19"/>
    </row>
    <row r="24" spans="1:8" ht="20.100000000000001" customHeight="1" x14ac:dyDescent="0.25">
      <c r="C24" s="19"/>
      <c r="D24" s="1"/>
      <c r="E24" s="1"/>
      <c r="F24" s="1"/>
      <c r="G24" s="1"/>
      <c r="H24" s="19"/>
    </row>
    <row r="25" spans="1:8" ht="20.100000000000001" customHeight="1" x14ac:dyDescent="0.25">
      <c r="C25" s="19"/>
      <c r="D25" s="1"/>
      <c r="E25" s="1"/>
      <c r="F25" s="1"/>
      <c r="G25" s="1"/>
      <c r="H25" s="19"/>
    </row>
    <row r="26" spans="1:8" ht="20.100000000000001" customHeight="1" x14ac:dyDescent="0.25">
      <c r="C26" s="19"/>
      <c r="D26" s="1"/>
      <c r="E26" s="1"/>
      <c r="F26" s="1"/>
      <c r="G26" s="1"/>
      <c r="H26" s="19"/>
    </row>
    <row r="27" spans="1:8" ht="20.100000000000001" customHeight="1" x14ac:dyDescent="0.25">
      <c r="C27" s="19"/>
      <c r="D27" s="1"/>
      <c r="E27" s="1"/>
      <c r="F27" s="1"/>
      <c r="G27" s="1"/>
      <c r="H27" s="19"/>
    </row>
    <row r="28" spans="1:8" ht="20.100000000000001" customHeight="1" x14ac:dyDescent="0.25">
      <c r="C28" s="19"/>
      <c r="D28" s="1"/>
      <c r="E28" s="1"/>
      <c r="F28" s="1"/>
      <c r="G28" s="1"/>
      <c r="H28" s="19"/>
    </row>
    <row r="29" spans="1:8" ht="20.100000000000001" customHeight="1" x14ac:dyDescent="0.25">
      <c r="C29" s="19"/>
      <c r="D29" s="1"/>
      <c r="E29" s="1"/>
      <c r="F29" s="1"/>
      <c r="G29" s="1"/>
      <c r="H29" s="19"/>
    </row>
    <row r="30" spans="1:8" ht="20.100000000000001" customHeight="1" x14ac:dyDescent="0.25">
      <c r="C30" s="19"/>
      <c r="D30" s="1"/>
      <c r="E30" s="1"/>
      <c r="F30" s="1"/>
      <c r="G30" s="1"/>
      <c r="H30" s="19"/>
    </row>
    <row r="31" spans="1:8" ht="20.100000000000001" customHeight="1" x14ac:dyDescent="0.25">
      <c r="C31" s="19"/>
      <c r="D31" s="1"/>
      <c r="E31" s="1"/>
      <c r="F31" s="1"/>
      <c r="G31" s="1"/>
      <c r="H31" s="19"/>
    </row>
    <row r="32" spans="1:8" ht="20.100000000000001" customHeight="1" x14ac:dyDescent="0.25">
      <c r="C32" s="19"/>
      <c r="D32" s="1"/>
      <c r="E32" s="1"/>
      <c r="F32" s="1"/>
      <c r="G32" s="1"/>
      <c r="H32" s="19"/>
    </row>
    <row r="33" spans="3:8" ht="20.100000000000001" customHeight="1" x14ac:dyDescent="0.25">
      <c r="C33" s="19"/>
      <c r="D33" s="1"/>
      <c r="E33" s="1"/>
      <c r="F33" s="1"/>
      <c r="G33" s="1"/>
      <c r="H33" s="19"/>
    </row>
    <row r="34" spans="3:8" ht="20.100000000000001" customHeight="1" x14ac:dyDescent="0.25">
      <c r="C34" s="19"/>
      <c r="D34" s="1"/>
      <c r="E34" s="1"/>
      <c r="F34" s="1"/>
      <c r="G34" s="1"/>
      <c r="H34" s="19"/>
    </row>
    <row r="35" spans="3:8" ht="20.100000000000001" customHeight="1" x14ac:dyDescent="0.25">
      <c r="C35" s="19"/>
      <c r="D35" s="1"/>
      <c r="E35" s="1"/>
      <c r="F35" s="1"/>
      <c r="G35" s="1"/>
      <c r="H35" s="19"/>
    </row>
    <row r="36" spans="3:8" ht="20.100000000000001" customHeight="1" x14ac:dyDescent="0.25">
      <c r="C36" s="19"/>
      <c r="D36" s="1"/>
      <c r="E36" s="1"/>
      <c r="F36" s="1"/>
      <c r="G36" s="1"/>
      <c r="H36" s="19"/>
    </row>
    <row r="37" spans="3:8" ht="20.100000000000001" customHeight="1" x14ac:dyDescent="0.25">
      <c r="C37" s="19"/>
      <c r="D37" s="1"/>
      <c r="E37" s="1"/>
      <c r="F37" s="1"/>
      <c r="G37" s="1"/>
      <c r="H37" s="19"/>
    </row>
    <row r="38" spans="3:8" ht="20.100000000000001" customHeight="1" x14ac:dyDescent="0.25">
      <c r="C38" s="19"/>
      <c r="D38" s="1"/>
      <c r="E38" s="1"/>
      <c r="F38" s="1"/>
      <c r="G38" s="1"/>
      <c r="H38" s="19"/>
    </row>
    <row r="39" spans="3:8" ht="20.100000000000001" customHeight="1" x14ac:dyDescent="0.25">
      <c r="C39" s="19"/>
      <c r="D39" s="1"/>
      <c r="E39" s="1"/>
      <c r="F39" s="1"/>
      <c r="G39" s="1"/>
      <c r="H39" s="19"/>
    </row>
    <row r="40" spans="3:8" ht="20.100000000000001" customHeight="1" x14ac:dyDescent="0.25">
      <c r="C40" s="19"/>
      <c r="D40" s="1"/>
      <c r="E40" s="1"/>
      <c r="F40" s="1"/>
      <c r="G40" s="1"/>
      <c r="H40" s="19"/>
    </row>
    <row r="41" spans="3:8" ht="20.100000000000001" customHeight="1" x14ac:dyDescent="0.25">
      <c r="C41" s="19"/>
      <c r="D41" s="1"/>
      <c r="E41" s="1"/>
      <c r="F41" s="1"/>
      <c r="G41" s="1"/>
      <c r="H41" s="19"/>
    </row>
    <row r="42" spans="3:8" ht="20.100000000000001" customHeight="1" x14ac:dyDescent="0.25">
      <c r="C42" s="19"/>
      <c r="D42" s="1"/>
      <c r="E42" s="1"/>
      <c r="F42" s="1"/>
      <c r="G42" s="1"/>
      <c r="H42" s="19"/>
    </row>
    <row r="43" spans="3:8" ht="20.100000000000001" customHeight="1" x14ac:dyDescent="0.25">
      <c r="C43" s="19"/>
      <c r="D43" s="1"/>
      <c r="E43" s="1"/>
      <c r="F43" s="1"/>
      <c r="G43" s="1"/>
      <c r="H43" s="19"/>
    </row>
    <row r="44" spans="3:8" ht="20.100000000000001" customHeight="1" x14ac:dyDescent="0.25">
      <c r="C44" s="19"/>
      <c r="D44" s="1"/>
      <c r="E44" s="1"/>
      <c r="F44" s="1"/>
      <c r="G44" s="1"/>
      <c r="H44" s="19"/>
    </row>
    <row r="45" spans="3:8" ht="20.100000000000001" customHeight="1" x14ac:dyDescent="0.25">
      <c r="C45" s="19"/>
      <c r="D45" s="1"/>
      <c r="E45" s="1"/>
      <c r="F45" s="1"/>
      <c r="G45" s="1"/>
      <c r="H45" s="19"/>
    </row>
    <row r="46" spans="3:8" ht="20.100000000000001" customHeight="1" x14ac:dyDescent="0.25">
      <c r="C46" s="19"/>
      <c r="D46" s="1"/>
      <c r="E46" s="1"/>
      <c r="F46" s="1"/>
      <c r="G46" s="1"/>
      <c r="H46" s="19"/>
    </row>
    <row r="47" spans="3:8" ht="20.100000000000001" customHeight="1" x14ac:dyDescent="0.25">
      <c r="C47" s="19"/>
      <c r="D47" s="1"/>
      <c r="E47" s="1"/>
      <c r="F47" s="1"/>
      <c r="G47" s="1"/>
      <c r="H47" s="19"/>
    </row>
    <row r="48" spans="3:8" ht="20.100000000000001" customHeight="1" x14ac:dyDescent="0.25">
      <c r="C48" s="19"/>
      <c r="D48" s="1"/>
      <c r="E48" s="1"/>
      <c r="F48" s="1"/>
      <c r="G48" s="1"/>
      <c r="H48" s="19"/>
    </row>
    <row r="49" spans="3:8" ht="20.100000000000001" customHeight="1" x14ac:dyDescent="0.25">
      <c r="C49" s="19"/>
      <c r="D49" s="1"/>
      <c r="E49" s="1"/>
      <c r="F49" s="1"/>
      <c r="G49" s="1"/>
      <c r="H49" s="19"/>
    </row>
    <row r="50" spans="3:8" ht="20.100000000000001" customHeight="1" x14ac:dyDescent="0.25">
      <c r="C50" s="19"/>
      <c r="D50" s="1"/>
      <c r="E50" s="1"/>
      <c r="F50" s="1"/>
      <c r="G50" s="1"/>
      <c r="H50" s="19"/>
    </row>
    <row r="51" spans="3:8" ht="20.100000000000001" customHeight="1" x14ac:dyDescent="0.25">
      <c r="C51" s="19"/>
      <c r="D51" s="1"/>
      <c r="E51" s="1"/>
      <c r="F51" s="1"/>
      <c r="G51" s="1"/>
      <c r="H51" s="19"/>
    </row>
    <row r="52" spans="3:8" ht="20.100000000000001" customHeight="1" x14ac:dyDescent="0.25">
      <c r="C52" s="19"/>
      <c r="D52" s="1"/>
      <c r="E52" s="1"/>
      <c r="F52" s="1"/>
      <c r="G52" s="1"/>
      <c r="H52" s="19"/>
    </row>
    <row r="53" spans="3:8" ht="20.100000000000001" customHeight="1" x14ac:dyDescent="0.25">
      <c r="C53" s="19"/>
      <c r="D53" s="1"/>
      <c r="E53" s="1"/>
      <c r="F53" s="1"/>
      <c r="G53" s="1"/>
      <c r="H53" s="19"/>
    </row>
    <row r="54" spans="3:8" ht="20.100000000000001" customHeight="1" x14ac:dyDescent="0.25">
      <c r="C54" s="19"/>
      <c r="D54" s="1"/>
      <c r="E54" s="1"/>
      <c r="F54" s="1"/>
      <c r="G54" s="1"/>
      <c r="H54" s="19"/>
    </row>
    <row r="55" spans="3:8" ht="20.100000000000001" customHeight="1" x14ac:dyDescent="0.25">
      <c r="C55" s="19"/>
      <c r="D55" s="1"/>
      <c r="E55" s="1"/>
      <c r="F55" s="1"/>
      <c r="G55" s="1"/>
      <c r="H55" s="19"/>
    </row>
    <row r="56" spans="3:8" ht="20.100000000000001" customHeight="1" x14ac:dyDescent="0.25">
      <c r="C56" s="19"/>
      <c r="D56" s="1"/>
      <c r="E56" s="1"/>
      <c r="F56" s="1"/>
      <c r="G56" s="1"/>
      <c r="H56" s="19"/>
    </row>
    <row r="57" spans="3:8" ht="20.100000000000001" customHeight="1" x14ac:dyDescent="0.25">
      <c r="C57" s="19"/>
      <c r="D57" s="1"/>
      <c r="E57" s="1"/>
      <c r="F57" s="1"/>
      <c r="G57" s="1"/>
      <c r="H57" s="19"/>
    </row>
    <row r="58" spans="3:8" ht="20.100000000000001" customHeight="1" x14ac:dyDescent="0.25">
      <c r="C58" s="19"/>
      <c r="D58" s="1"/>
      <c r="E58" s="25"/>
      <c r="F58" s="24"/>
      <c r="G58" s="19"/>
      <c r="H58" s="19"/>
    </row>
    <row r="59" spans="3:8" ht="20.100000000000001" customHeight="1" x14ac:dyDescent="0.25">
      <c r="C59" s="19"/>
      <c r="D59" s="1"/>
      <c r="E59" s="1"/>
      <c r="F59" s="1"/>
      <c r="G59" s="1"/>
      <c r="H59" s="19"/>
    </row>
    <row r="60" spans="3:8" ht="20.100000000000001" customHeight="1" x14ac:dyDescent="0.25">
      <c r="C60" s="19"/>
      <c r="D60" s="1"/>
      <c r="E60" s="1"/>
      <c r="F60" s="1"/>
      <c r="G60" s="1"/>
      <c r="H60" s="19"/>
    </row>
    <row r="61" spans="3:8" ht="20.100000000000001" customHeight="1" x14ac:dyDescent="0.25">
      <c r="C61" s="19"/>
      <c r="D61" s="1"/>
      <c r="E61" s="1"/>
      <c r="F61" s="1"/>
      <c r="G61" s="1"/>
      <c r="H61" s="19"/>
    </row>
    <row r="62" spans="3:8" ht="20.100000000000001" customHeight="1" x14ac:dyDescent="0.25">
      <c r="C62" s="19"/>
      <c r="D62" s="1"/>
      <c r="E62" s="1"/>
      <c r="F62" s="1"/>
      <c r="G62" s="1"/>
      <c r="H62" s="19"/>
    </row>
    <row r="63" spans="3:8" ht="20.100000000000001" customHeight="1" x14ac:dyDescent="0.25">
      <c r="C63" s="19"/>
      <c r="D63" s="1"/>
      <c r="E63" s="1"/>
      <c r="F63" s="1"/>
      <c r="G63" s="1"/>
      <c r="H63" s="19"/>
    </row>
    <row r="64" spans="3:8" ht="20.100000000000001" customHeight="1" x14ac:dyDescent="0.25">
      <c r="C64" s="19"/>
      <c r="D64" s="1"/>
      <c r="E64" s="1"/>
      <c r="F64" s="1"/>
      <c r="G64" s="1"/>
      <c r="H64" s="19"/>
    </row>
    <row r="65" spans="3:8" ht="20.100000000000001" customHeight="1" x14ac:dyDescent="0.25">
      <c r="C65" s="19"/>
      <c r="D65" s="1"/>
      <c r="E65" s="1"/>
      <c r="F65" s="1"/>
      <c r="G65" s="1"/>
      <c r="H65" s="19"/>
    </row>
    <row r="66" spans="3:8" ht="20.100000000000001" customHeight="1" x14ac:dyDescent="0.25">
      <c r="C66" s="19"/>
      <c r="D66" s="1"/>
      <c r="E66" s="1"/>
      <c r="F66" s="1"/>
      <c r="G66" s="1"/>
      <c r="H66" s="19"/>
    </row>
    <row r="67" spans="3:8" ht="20.100000000000001" customHeight="1" x14ac:dyDescent="0.25">
      <c r="C67" s="19"/>
      <c r="D67" s="1"/>
      <c r="E67" s="1"/>
      <c r="F67" s="1"/>
      <c r="G67" s="1"/>
      <c r="H67" s="19"/>
    </row>
    <row r="68" spans="3:8" ht="20.100000000000001" customHeight="1" x14ac:dyDescent="0.25">
      <c r="C68" s="19"/>
      <c r="D68" s="1"/>
      <c r="E68" s="1"/>
      <c r="F68" s="1"/>
      <c r="G68" s="1"/>
      <c r="H68" s="19"/>
    </row>
    <row r="69" spans="3:8" ht="20.100000000000001" customHeight="1" x14ac:dyDescent="0.25">
      <c r="C69" s="19"/>
      <c r="D69" s="1"/>
      <c r="E69" s="1"/>
      <c r="F69" s="1"/>
      <c r="G69" s="1"/>
      <c r="H69" s="19"/>
    </row>
    <row r="70" spans="3:8" ht="20.100000000000001" customHeight="1" x14ac:dyDescent="0.25">
      <c r="C70" s="19"/>
      <c r="D70" s="1"/>
      <c r="E70" s="1"/>
      <c r="F70" s="1"/>
      <c r="G70" s="1"/>
      <c r="H70" s="19"/>
    </row>
    <row r="71" spans="3:8" ht="20.100000000000001" customHeight="1" x14ac:dyDescent="0.25">
      <c r="C71" s="19"/>
      <c r="D71" s="1"/>
      <c r="E71" s="1"/>
      <c r="F71" s="1"/>
      <c r="G71" s="1"/>
      <c r="H71" s="19"/>
    </row>
    <row r="72" spans="3:8" ht="20.100000000000001" customHeight="1" x14ac:dyDescent="0.25">
      <c r="C72" s="19"/>
      <c r="D72" s="1"/>
      <c r="E72" s="1"/>
      <c r="F72" s="1"/>
      <c r="G72" s="1"/>
      <c r="H72" s="19"/>
    </row>
    <row r="73" spans="3:8" ht="20.100000000000001" customHeight="1" x14ac:dyDescent="0.25">
      <c r="C73" s="19"/>
      <c r="D73" s="1"/>
      <c r="E73" s="1"/>
      <c r="F73" s="1"/>
      <c r="G73" s="1"/>
      <c r="H73" s="19"/>
    </row>
    <row r="74" spans="3:8" ht="20.100000000000001" customHeight="1" x14ac:dyDescent="0.25">
      <c r="C74" s="19"/>
      <c r="D74" s="1"/>
      <c r="E74" s="1"/>
      <c r="F74" s="1"/>
      <c r="G74" s="1"/>
      <c r="H74" s="19"/>
    </row>
    <row r="75" spans="3:8" ht="20.100000000000001" customHeight="1" x14ac:dyDescent="0.25">
      <c r="C75" s="19"/>
      <c r="D75" s="1"/>
      <c r="E75" s="1"/>
      <c r="F75" s="1"/>
      <c r="G75" s="1"/>
      <c r="H75" s="19"/>
    </row>
    <row r="76" spans="3:8" ht="15.75" x14ac:dyDescent="0.25">
      <c r="C76" s="19"/>
      <c r="D76" s="1"/>
      <c r="E76" s="1"/>
      <c r="F76" s="1"/>
      <c r="G76" s="1"/>
      <c r="H76" s="19"/>
    </row>
    <row r="77" spans="3:8" ht="15.75" x14ac:dyDescent="0.25">
      <c r="C77" s="19"/>
      <c r="D77" s="1"/>
      <c r="E77" s="1"/>
      <c r="F77" s="1"/>
      <c r="G77" s="1"/>
      <c r="H77" s="19"/>
    </row>
    <row r="78" spans="3:8" ht="15.75" x14ac:dyDescent="0.25">
      <c r="C78" s="19"/>
      <c r="D78" s="1"/>
      <c r="E78" s="1"/>
      <c r="F78" s="1"/>
      <c r="G78" s="1"/>
      <c r="H78" s="19"/>
    </row>
    <row r="79" spans="3:8" ht="15.75" x14ac:dyDescent="0.25">
      <c r="C79" s="19"/>
      <c r="D79" s="1"/>
      <c r="E79" s="1"/>
      <c r="F79" s="1"/>
      <c r="G79" s="1"/>
      <c r="H79" s="19"/>
    </row>
    <row r="80" spans="3:8" ht="15.75" x14ac:dyDescent="0.25">
      <c r="C80" s="19"/>
      <c r="D80" s="1"/>
      <c r="E80" s="1"/>
      <c r="F80" s="1"/>
      <c r="G80" s="1"/>
      <c r="H80" s="19"/>
    </row>
    <row r="81" spans="3:8" ht="15.75" x14ac:dyDescent="0.25">
      <c r="C81" s="19"/>
      <c r="D81" s="1"/>
      <c r="E81" s="1"/>
      <c r="F81" s="1"/>
      <c r="G81" s="1"/>
      <c r="H81" s="19"/>
    </row>
    <row r="82" spans="3:8" ht="15.75" x14ac:dyDescent="0.25">
      <c r="C82" s="19"/>
      <c r="D82" s="1"/>
      <c r="E82" s="1"/>
      <c r="F82" s="1"/>
      <c r="G82" s="1"/>
      <c r="H82" s="19"/>
    </row>
    <row r="83" spans="3:8" ht="15.75" x14ac:dyDescent="0.25">
      <c r="C83" s="19"/>
      <c r="D83" s="1"/>
      <c r="E83" s="1"/>
      <c r="F83" s="1"/>
      <c r="G83" s="1"/>
      <c r="H83" s="19"/>
    </row>
    <row r="84" spans="3:8" ht="15.75" x14ac:dyDescent="0.25">
      <c r="C84" s="19"/>
      <c r="D84" s="1"/>
      <c r="E84" s="1"/>
      <c r="F84" s="1"/>
      <c r="G84" s="1"/>
      <c r="H84" s="19"/>
    </row>
    <row r="85" spans="3:8" ht="15.75" x14ac:dyDescent="0.25">
      <c r="C85" s="19"/>
      <c r="D85" s="1"/>
      <c r="E85" s="1"/>
      <c r="F85" s="1"/>
      <c r="G85" s="1"/>
      <c r="H85" s="19"/>
    </row>
    <row r="86" spans="3:8" x14ac:dyDescent="0.25">
      <c r="C86" s="19"/>
      <c r="D86" s="19"/>
      <c r="E86" s="19"/>
      <c r="F86" s="19"/>
      <c r="G86" s="19"/>
      <c r="H86" s="19"/>
    </row>
    <row r="87" spans="3:8" x14ac:dyDescent="0.25">
      <c r="C87" s="19"/>
      <c r="D87" s="19"/>
      <c r="E87" s="19"/>
      <c r="F87" s="19"/>
      <c r="G87" s="19"/>
      <c r="H87" s="1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7103A-78D3-4656-9053-88B68DE1AD85}">
  <dimension ref="A1:AA115"/>
  <sheetViews>
    <sheetView showGridLines="0" tabSelected="1" workbookViewId="0">
      <selection activeCell="E22" sqref="E22"/>
    </sheetView>
  </sheetViews>
  <sheetFormatPr defaultColWidth="9.140625" defaultRowHeight="15.75" x14ac:dyDescent="0.25"/>
  <cols>
    <col min="1" max="1" width="30.7109375" style="13"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34" t="e" vm="1">
        <v>#VALUE!</v>
      </c>
      <c r="C1" s="67" t="s">
        <v>95</v>
      </c>
    </row>
    <row r="2" spans="1:24" s="7" customFormat="1" ht="20.100000000000001" customHeight="1" x14ac:dyDescent="0.25">
      <c r="A2" s="9"/>
      <c r="C2" s="9"/>
      <c r="D2" s="9"/>
      <c r="E2" s="9"/>
      <c r="F2" s="9"/>
      <c r="G2" s="9"/>
      <c r="H2" s="9"/>
      <c r="I2" s="9"/>
      <c r="J2" s="9"/>
    </row>
    <row r="3" spans="1:24" ht="20.100000000000001" customHeight="1" x14ac:dyDescent="0.25">
      <c r="A3" s="14" t="str">
        <f>HYPERLINK("#'Home'!A1", "Home")</f>
        <v>Home</v>
      </c>
      <c r="C3" s="12"/>
      <c r="D3" s="12"/>
      <c r="E3" s="12"/>
      <c r="F3" s="12"/>
      <c r="G3" s="12"/>
      <c r="H3" s="12"/>
      <c r="I3" s="12"/>
      <c r="J3" s="12"/>
      <c r="K3" s="12"/>
      <c r="M3" s="10"/>
      <c r="N3" s="10"/>
      <c r="O3" s="10"/>
      <c r="P3" s="10"/>
      <c r="Q3" s="10"/>
      <c r="R3" s="10"/>
      <c r="S3" s="10"/>
      <c r="T3" s="10"/>
      <c r="U3" s="10"/>
      <c r="V3" s="10"/>
      <c r="W3" s="10"/>
      <c r="X3" s="10"/>
    </row>
    <row r="4" spans="1:24" ht="20.100000000000001" customHeight="1" x14ac:dyDescent="0.25">
      <c r="A4" s="14" t="str">
        <f>HYPERLINK("#'Overview'!A1", "Overview")</f>
        <v>Overview</v>
      </c>
      <c r="C4" s="68"/>
      <c r="D4" s="68"/>
      <c r="E4" s="68"/>
      <c r="F4" s="68"/>
      <c r="G4" s="68"/>
      <c r="H4" s="68"/>
      <c r="I4" s="68"/>
      <c r="J4" s="68"/>
      <c r="K4" s="68"/>
    </row>
    <row r="5" spans="1:24" ht="20.100000000000001" customHeight="1" x14ac:dyDescent="0.25">
      <c r="A5" s="14" t="str">
        <f>HYPERLINK("#'Results'!A1", "Results")</f>
        <v>Results</v>
      </c>
      <c r="D5" s="6" t="s">
        <v>96</v>
      </c>
      <c r="N5" s="69"/>
    </row>
    <row r="6" spans="1:24" ht="20.100000000000001" customHeight="1" x14ac:dyDescent="0.25">
      <c r="D6" s="70"/>
      <c r="N6" s="71"/>
    </row>
    <row r="7" spans="1:24" ht="20.100000000000001" customHeight="1" x14ac:dyDescent="0.25">
      <c r="A7" s="17" t="s">
        <v>1</v>
      </c>
      <c r="D7" s="1" t="s">
        <v>97</v>
      </c>
      <c r="E7" s="72" t="s">
        <v>153</v>
      </c>
      <c r="F7" s="2"/>
    </row>
    <row r="8" spans="1:24" ht="20.100000000000001" customHeight="1" x14ac:dyDescent="0.25">
      <c r="A8" s="14" t="str">
        <f>HYPERLINK("#'Input - Electricity'!A1", "Electricity")</f>
        <v>Electricity</v>
      </c>
      <c r="D8" s="73" t="s">
        <v>98</v>
      </c>
      <c r="E8" s="72" t="s">
        <v>154</v>
      </c>
    </row>
    <row r="9" spans="1:24" ht="20.100000000000001" customHeight="1" x14ac:dyDescent="0.25">
      <c r="A9" s="14"/>
      <c r="N9" s="74"/>
    </row>
    <row r="10" spans="1:24" ht="20.100000000000001" customHeight="1" x14ac:dyDescent="0.25">
      <c r="A10" s="16" t="s">
        <v>45</v>
      </c>
      <c r="D10" s="64" t="s">
        <v>99</v>
      </c>
      <c r="E10" s="75"/>
      <c r="F10" s="76"/>
      <c r="G10" s="65"/>
      <c r="N10" s="74"/>
    </row>
    <row r="11" spans="1:24" ht="20.100000000000001" customHeight="1" x14ac:dyDescent="0.25">
      <c r="A11" s="14" t="str">
        <f>HYPERLINK("#'14.1.1-2 Purchased electricity'!A1", "14.1.1-2 Purchased electricity")</f>
        <v>14.1.1-2 Purchased electricity</v>
      </c>
      <c r="N11" s="77"/>
    </row>
    <row r="12" spans="1:24" ht="20.100000000000001" customHeight="1" x14ac:dyDescent="0.25">
      <c r="A12" s="14"/>
      <c r="D12" s="73" t="s">
        <v>100</v>
      </c>
      <c r="E12" s="78">
        <v>45658</v>
      </c>
      <c r="F12" s="2" t="s">
        <v>101</v>
      </c>
    </row>
    <row r="13" spans="1:24" ht="20.100000000000001" customHeight="1" x14ac:dyDescent="0.25">
      <c r="A13" s="15" t="s">
        <v>2</v>
      </c>
      <c r="D13" s="73" t="s">
        <v>102</v>
      </c>
      <c r="E13" s="79">
        <f>DATE(YEAR(E12)+1,MONTH(E12),DAY(E12))-1</f>
        <v>46022</v>
      </c>
      <c r="F13" s="2" t="s">
        <v>103</v>
      </c>
      <c r="N13" s="80"/>
      <c r="O13" s="80"/>
    </row>
    <row r="14" spans="1:24" ht="20.100000000000001" customHeight="1" x14ac:dyDescent="0.25">
      <c r="A14" s="14" t="str">
        <f>HYPERLINK("#'Constants - Electricity'!A1", "Constants - Electricity")</f>
        <v>Constants - Electricity</v>
      </c>
      <c r="N14" s="80"/>
      <c r="O14" s="80"/>
    </row>
    <row r="15" spans="1:24" ht="20.100000000000001" customHeight="1" x14ac:dyDescent="0.25">
      <c r="A15" s="14" t="str">
        <f>HYPERLINK("#'Constants - Common'!A1", "Constants - Common")</f>
        <v>Constants - Common</v>
      </c>
      <c r="N15" s="80"/>
      <c r="O15" s="80"/>
    </row>
    <row r="16" spans="1:24" ht="20.100000000000001" customHeight="1" x14ac:dyDescent="0.25">
      <c r="A16"/>
      <c r="D16" s="6" t="s">
        <v>104</v>
      </c>
      <c r="N16" s="80"/>
      <c r="O16" s="80"/>
    </row>
    <row r="17" spans="1:25" ht="20.100000000000001" customHeight="1" x14ac:dyDescent="0.25">
      <c r="A17"/>
    </row>
    <row r="18" spans="1:25" ht="20.100000000000001" customHeight="1" x14ac:dyDescent="0.25">
      <c r="A18"/>
      <c r="D18" s="81" t="s">
        <v>105</v>
      </c>
      <c r="E18" s="38"/>
      <c r="F18" s="38"/>
      <c r="G18" s="35"/>
    </row>
    <row r="19" spans="1:25" ht="20.100000000000001" customHeight="1" x14ac:dyDescent="0.25">
      <c r="A19"/>
      <c r="D19" s="39" t="s">
        <v>106</v>
      </c>
      <c r="E19" s="37"/>
      <c r="F19" s="37"/>
      <c r="G19" s="36"/>
      <c r="N19" s="69"/>
    </row>
    <row r="20" spans="1:25" ht="20.100000000000001" customHeight="1" x14ac:dyDescent="0.25">
      <c r="A20"/>
      <c r="D20" s="1"/>
      <c r="E20" s="82"/>
      <c r="F20" s="2"/>
      <c r="N20" s="71"/>
    </row>
    <row r="21" spans="1:25" ht="20.100000000000001" customHeight="1" x14ac:dyDescent="0.25">
      <c r="A21"/>
      <c r="D21" s="1" t="s">
        <v>107</v>
      </c>
      <c r="E21" s="28" t="s">
        <v>108</v>
      </c>
      <c r="F21" s="2" t="s">
        <v>94</v>
      </c>
    </row>
    <row r="22" spans="1:25" ht="20.100000000000001" customHeight="1" x14ac:dyDescent="0.25">
      <c r="A22"/>
      <c r="D22" s="1" t="s">
        <v>109</v>
      </c>
      <c r="E22" s="28" t="s">
        <v>110</v>
      </c>
      <c r="F22" s="2" t="s">
        <v>94</v>
      </c>
      <c r="G22" s="1"/>
    </row>
    <row r="23" spans="1:25" ht="20.100000000000001" customHeight="1" x14ac:dyDescent="0.25">
      <c r="A23"/>
    </row>
    <row r="24" spans="1:25" ht="20.100000000000001" customHeight="1" x14ac:dyDescent="0.25">
      <c r="A24"/>
    </row>
    <row r="25" spans="1:25" ht="20.100000000000001" customHeight="1" x14ac:dyDescent="0.25">
      <c r="A25"/>
      <c r="N25" s="71"/>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G30" s="83"/>
      <c r="L30" s="84"/>
      <c r="M30" s="84"/>
      <c r="N30" s="84"/>
      <c r="O30" s="84"/>
      <c r="P30" s="84"/>
      <c r="Q30" s="84"/>
      <c r="R30" s="84"/>
      <c r="S30" s="84"/>
      <c r="T30" s="84"/>
      <c r="U30" s="84"/>
      <c r="V30" s="84"/>
      <c r="W30" s="84"/>
      <c r="X30" s="84"/>
      <c r="Y30" s="84"/>
    </row>
    <row r="31" spans="1:25" ht="20.100000000000001" customHeight="1" x14ac:dyDescent="0.25">
      <c r="A31"/>
      <c r="G31" s="82"/>
      <c r="L31" s="85"/>
      <c r="M31" s="85"/>
      <c r="N31" s="85"/>
      <c r="O31" s="85"/>
      <c r="P31" s="85"/>
      <c r="Q31" s="85"/>
      <c r="R31" s="85"/>
      <c r="S31" s="85"/>
      <c r="T31" s="85"/>
      <c r="U31" s="85"/>
      <c r="V31" s="85"/>
      <c r="W31" s="85"/>
      <c r="X31" s="85"/>
      <c r="Y31" s="85"/>
    </row>
    <row r="32" spans="1:25" ht="20.100000000000001" customHeight="1" x14ac:dyDescent="0.25">
      <c r="A32"/>
      <c r="G32" s="82"/>
      <c r="L32" s="85"/>
      <c r="M32" s="85"/>
      <c r="N32" s="85"/>
      <c r="O32" s="85"/>
      <c r="P32" s="85"/>
      <c r="Q32" s="85"/>
      <c r="R32" s="85"/>
      <c r="S32" s="85"/>
      <c r="T32" s="85"/>
      <c r="U32" s="85"/>
      <c r="V32" s="85"/>
      <c r="W32" s="85"/>
      <c r="X32" s="85"/>
      <c r="Y32" s="85"/>
    </row>
    <row r="33" spans="1:25" ht="20.100000000000001" customHeight="1" x14ac:dyDescent="0.25">
      <c r="A33"/>
      <c r="G33" s="86"/>
      <c r="L33" s="85"/>
      <c r="M33" s="85"/>
      <c r="N33" s="85"/>
      <c r="O33" s="85"/>
      <c r="P33" s="85"/>
      <c r="Q33" s="85"/>
      <c r="R33" s="85"/>
      <c r="S33" s="85"/>
      <c r="T33" s="85"/>
      <c r="U33" s="85"/>
      <c r="V33" s="85"/>
      <c r="W33" s="85"/>
      <c r="X33" s="85"/>
      <c r="Y33" s="85"/>
    </row>
    <row r="34" spans="1:25" ht="20.100000000000001" customHeight="1" x14ac:dyDescent="0.25">
      <c r="A34"/>
      <c r="J34" s="87"/>
      <c r="K34" s="88"/>
      <c r="L34" s="85"/>
      <c r="M34" s="85"/>
      <c r="N34" s="85"/>
      <c r="O34" s="85"/>
      <c r="P34" s="85"/>
      <c r="Q34" s="85"/>
      <c r="R34" s="85"/>
      <c r="S34" s="85"/>
      <c r="T34" s="85"/>
      <c r="U34" s="85"/>
      <c r="V34" s="85"/>
      <c r="W34" s="85"/>
      <c r="X34" s="85"/>
      <c r="Y34" s="85"/>
    </row>
    <row r="35" spans="1:25" ht="20.100000000000001" customHeight="1" x14ac:dyDescent="0.25">
      <c r="A35"/>
      <c r="J35" s="87"/>
      <c r="K35" s="88"/>
      <c r="L35" s="85"/>
      <c r="M35" s="85"/>
      <c r="N35" s="85"/>
      <c r="O35" s="85"/>
      <c r="P35" s="85"/>
      <c r="Q35" s="85"/>
      <c r="R35" s="85"/>
      <c r="S35" s="85"/>
      <c r="T35" s="85"/>
      <c r="U35" s="85"/>
      <c r="V35" s="85"/>
      <c r="W35" s="85"/>
      <c r="X35" s="85"/>
      <c r="Y35" s="85"/>
    </row>
    <row r="36" spans="1:25" ht="20.100000000000001" customHeight="1" x14ac:dyDescent="0.25">
      <c r="A36"/>
      <c r="D36" s="89"/>
      <c r="E36" s="89"/>
      <c r="F36" s="90"/>
      <c r="G36" s="87"/>
      <c r="H36" s="87"/>
      <c r="I36" s="91"/>
      <c r="J36" s="87"/>
      <c r="K36" s="88"/>
      <c r="L36" s="85"/>
      <c r="M36" s="85"/>
      <c r="N36" s="85"/>
      <c r="O36" s="85"/>
      <c r="P36" s="85"/>
      <c r="Q36" s="85"/>
      <c r="R36" s="85"/>
      <c r="S36" s="85"/>
      <c r="T36" s="85"/>
      <c r="U36" s="85"/>
      <c r="V36" s="85"/>
      <c r="W36" s="85"/>
      <c r="X36" s="85"/>
      <c r="Y36" s="85"/>
    </row>
    <row r="37" spans="1:25" ht="20.100000000000001" customHeight="1" x14ac:dyDescent="0.25">
      <c r="A37"/>
      <c r="D37" s="89"/>
      <c r="E37" s="89"/>
      <c r="F37" s="90"/>
      <c r="G37" s="87"/>
      <c r="H37" s="87"/>
      <c r="I37" s="91"/>
      <c r="J37" s="87"/>
      <c r="K37" s="88"/>
      <c r="L37" s="85"/>
      <c r="M37" s="85"/>
      <c r="N37" s="85"/>
      <c r="O37" s="85"/>
      <c r="P37" s="85"/>
      <c r="Q37" s="85"/>
      <c r="R37" s="85"/>
      <c r="S37" s="85"/>
      <c r="T37" s="85"/>
      <c r="U37" s="85"/>
      <c r="V37" s="85"/>
      <c r="W37" s="85"/>
      <c r="X37" s="85"/>
      <c r="Y37" s="85"/>
    </row>
    <row r="38" spans="1:25" ht="20.100000000000001" customHeight="1" x14ac:dyDescent="0.25">
      <c r="A38"/>
      <c r="D38" s="89"/>
      <c r="E38" s="89"/>
      <c r="F38" s="90"/>
      <c r="G38" s="87"/>
      <c r="H38" s="87"/>
      <c r="I38" s="91"/>
      <c r="J38" s="87"/>
      <c r="K38" s="88"/>
      <c r="L38" s="85"/>
      <c r="M38" s="85"/>
      <c r="N38" s="85"/>
      <c r="O38" s="85"/>
      <c r="P38" s="85"/>
      <c r="Q38" s="85"/>
      <c r="R38" s="85"/>
      <c r="S38" s="85"/>
      <c r="T38" s="85"/>
      <c r="U38" s="85"/>
      <c r="V38" s="85"/>
      <c r="W38" s="85"/>
      <c r="X38" s="85"/>
      <c r="Y38" s="85"/>
    </row>
    <row r="39" spans="1:25" ht="20.100000000000001" customHeight="1" x14ac:dyDescent="0.25">
      <c r="A39"/>
      <c r="D39" s="89"/>
      <c r="E39" s="89"/>
      <c r="F39" s="90"/>
      <c r="G39" s="87"/>
      <c r="H39" s="87"/>
      <c r="I39" s="91"/>
      <c r="J39" s="87"/>
      <c r="K39" s="88"/>
      <c r="L39" s="85"/>
      <c r="M39" s="85"/>
      <c r="N39" s="85"/>
      <c r="O39" s="85"/>
      <c r="P39" s="85"/>
      <c r="Q39" s="85"/>
      <c r="R39" s="85"/>
      <c r="S39" s="85"/>
      <c r="T39" s="85"/>
      <c r="U39" s="85"/>
      <c r="V39" s="85"/>
      <c r="W39" s="85"/>
      <c r="X39" s="85"/>
      <c r="Y39" s="85"/>
    </row>
    <row r="40" spans="1:25" ht="20.100000000000001" customHeight="1" x14ac:dyDescent="0.25">
      <c r="A40"/>
      <c r="D40" s="92"/>
      <c r="E40" s="92"/>
      <c r="F40" s="92"/>
      <c r="G40" s="93"/>
      <c r="H40" s="94"/>
      <c r="I40" s="94"/>
      <c r="J40" s="94"/>
      <c r="K40" s="94"/>
      <c r="L40" s="95"/>
      <c r="M40" s="95"/>
      <c r="N40" s="95"/>
      <c r="O40" s="95"/>
      <c r="P40" s="95"/>
      <c r="Q40" s="95"/>
      <c r="R40" s="95"/>
      <c r="S40" s="95"/>
      <c r="T40" s="95"/>
      <c r="U40" s="95"/>
      <c r="V40" s="95"/>
      <c r="W40" s="95"/>
      <c r="X40" s="95"/>
      <c r="Y40" s="95"/>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96"/>
      <c r="E47" s="96"/>
      <c r="F47" s="96"/>
      <c r="G47" s="96"/>
      <c r="H47" s="96"/>
    </row>
    <row r="48" spans="1:25" ht="20.100000000000001" customHeight="1" x14ac:dyDescent="0.25">
      <c r="D48" s="97"/>
      <c r="E48" s="97"/>
      <c r="F48" s="98"/>
      <c r="G48" s="98"/>
      <c r="H48" s="97"/>
    </row>
    <row r="49" spans="4:8" ht="20.100000000000001" customHeight="1" x14ac:dyDescent="0.25">
      <c r="D49" s="97"/>
      <c r="E49" s="97"/>
      <c r="F49" s="98"/>
      <c r="G49" s="98"/>
      <c r="H49" s="97"/>
    </row>
    <row r="50" spans="4:8" ht="20.100000000000001" customHeight="1" x14ac:dyDescent="0.25">
      <c r="D50" s="97"/>
      <c r="E50" s="97"/>
      <c r="F50" s="98"/>
      <c r="G50" s="98"/>
      <c r="H50" s="97"/>
    </row>
    <row r="51" spans="4:8" ht="20.100000000000001" customHeight="1" x14ac:dyDescent="0.25">
      <c r="D51" s="99"/>
      <c r="E51" s="100"/>
      <c r="F51" s="100"/>
      <c r="G51" s="100"/>
      <c r="H51" s="101"/>
    </row>
    <row r="52" spans="4:8" ht="20.100000000000001" customHeight="1" x14ac:dyDescent="0.25"/>
    <row r="53" spans="4:8" ht="20.100000000000001" customHeight="1" x14ac:dyDescent="0.25"/>
    <row r="54" spans="4:8" ht="20.100000000000001" customHeight="1" x14ac:dyDescent="0.25">
      <c r="G54" s="102"/>
    </row>
    <row r="55" spans="4:8" ht="20.100000000000001" customHeight="1" x14ac:dyDescent="0.25">
      <c r="D55" s="6"/>
    </row>
    <row r="56" spans="4:8" ht="20.100000000000001" customHeight="1" x14ac:dyDescent="0.25"/>
    <row r="57" spans="4:8" ht="20.100000000000001" customHeight="1" x14ac:dyDescent="0.25">
      <c r="D57" s="18"/>
      <c r="F57" s="103"/>
    </row>
    <row r="58" spans="4:8" ht="20.100000000000001" customHeight="1" x14ac:dyDescent="0.25">
      <c r="D58" s="1"/>
      <c r="E58" s="104"/>
    </row>
    <row r="59" spans="4:8" ht="20.100000000000001" customHeight="1" x14ac:dyDescent="0.25">
      <c r="D59" s="1"/>
      <c r="E59" s="104"/>
    </row>
    <row r="60" spans="4:8" ht="20.100000000000001" customHeight="1" x14ac:dyDescent="0.25">
      <c r="D60" s="1"/>
      <c r="E60" s="105"/>
    </row>
    <row r="61" spans="4:8" ht="20.100000000000001" customHeight="1" x14ac:dyDescent="0.25">
      <c r="D61" s="1"/>
    </row>
    <row r="62" spans="4:8" ht="20.100000000000001" customHeight="1" x14ac:dyDescent="0.25"/>
    <row r="63" spans="4:8" ht="20.100000000000001" customHeight="1" x14ac:dyDescent="0.25">
      <c r="D63" s="18"/>
    </row>
    <row r="64" spans="4:8" ht="20.100000000000001" customHeight="1" x14ac:dyDescent="0.25">
      <c r="D64" s="1"/>
      <c r="E64" s="104"/>
    </row>
    <row r="65" spans="4:9" ht="20.100000000000001" customHeight="1" x14ac:dyDescent="0.25">
      <c r="D65" s="1"/>
      <c r="E65" s="104"/>
    </row>
    <row r="66" spans="4:9" ht="20.100000000000001" customHeight="1" x14ac:dyDescent="0.25">
      <c r="D66" s="1"/>
      <c r="E66" s="105"/>
    </row>
    <row r="67" spans="4:9" ht="20.100000000000001" customHeight="1" x14ac:dyDescent="0.25"/>
    <row r="68" spans="4:9" ht="20.100000000000001" customHeight="1" x14ac:dyDescent="0.25"/>
    <row r="69" spans="4:9" ht="20.100000000000001" customHeight="1" x14ac:dyDescent="0.25">
      <c r="D69" s="106"/>
      <c r="E69" s="106"/>
      <c r="F69" s="106"/>
      <c r="G69" s="106"/>
      <c r="H69" s="106"/>
      <c r="I69" s="106"/>
    </row>
    <row r="70" spans="4:9" ht="20.100000000000001" customHeight="1" x14ac:dyDescent="0.25">
      <c r="D70" s="106"/>
      <c r="E70" s="106"/>
      <c r="F70" s="106"/>
      <c r="G70" s="106"/>
      <c r="H70" s="106"/>
      <c r="I70" s="106"/>
    </row>
    <row r="71" spans="4:9" ht="20.100000000000001" customHeight="1" x14ac:dyDescent="0.25">
      <c r="D71" s="106"/>
      <c r="E71" s="106"/>
      <c r="F71" s="106"/>
      <c r="G71" s="106"/>
      <c r="H71" s="106"/>
      <c r="I71" s="106"/>
    </row>
    <row r="72" spans="4:9" ht="20.100000000000001" customHeight="1" x14ac:dyDescent="0.25">
      <c r="D72" s="106"/>
      <c r="E72" s="106"/>
      <c r="F72" s="106"/>
      <c r="G72" s="106"/>
      <c r="H72" s="106"/>
      <c r="I72" s="106"/>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107"/>
    </row>
    <row r="79" spans="4:9" ht="20.100000000000001" customHeight="1" x14ac:dyDescent="0.25">
      <c r="D79" s="107"/>
    </row>
    <row r="80" spans="4:9" ht="20.100000000000001" customHeight="1" x14ac:dyDescent="0.25">
      <c r="D80" s="107"/>
    </row>
    <row r="81" spans="4:4" ht="20.100000000000001" customHeight="1" x14ac:dyDescent="0.25">
      <c r="D81" s="107"/>
    </row>
    <row r="82" spans="4:4" ht="20.100000000000001" customHeight="1" x14ac:dyDescent="0.25">
      <c r="D82" s="107"/>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dataValidations count="3">
    <dataValidation type="list" allowBlank="1" showInputMessage="1" showErrorMessage="1" sqref="G36:G39" xr:uid="{92F83646-3518-44E0-B69D-E0461390DD13}">
      <formula1>$D$41:$D$43</formula1>
    </dataValidation>
    <dataValidation type="list" allowBlank="1" showInputMessage="1" showErrorMessage="1" sqref="E22" xr:uid="{8B677323-0766-4604-A0A2-097C1F77247C}">
      <formula1>INDIRECT("Table_WASA4Areas[SA 4 Name]")</formula1>
    </dataValidation>
    <dataValidation type="list" allowBlank="1" showInputMessage="1" showErrorMessage="1" sqref="E21" xr:uid="{C7D2CF73-36D5-4029-BDED-E084621F6406}">
      <formula1>INDIRECT("Table_AustralianStates[Common Name]")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L365"/>
  <sheetViews>
    <sheetView showGridLines="0" topLeftCell="A15" zoomScaleNormal="100" workbookViewId="0">
      <selection activeCell="F44" sqref="F44"/>
    </sheetView>
  </sheetViews>
  <sheetFormatPr defaultRowHeight="15.75" x14ac:dyDescent="0.25"/>
  <cols>
    <col min="1" max="1" width="30.7109375" customWidth="1"/>
    <col min="2" max="2" width="4.7109375" customWidth="1"/>
    <col min="3" max="3" width="4.7109375" style="1" customWidth="1"/>
    <col min="4" max="4" width="66.7109375" style="1" customWidth="1"/>
    <col min="5" max="5" width="47" style="1" customWidth="1"/>
    <col min="6" max="8" width="24.85546875" style="1" customWidth="1"/>
    <col min="9" max="9" width="29.7109375" style="1" customWidth="1"/>
    <col min="10" max="10" width="4.7109375" style="1" customWidth="1"/>
    <col min="11" max="11" width="4.7109375" customWidth="1"/>
  </cols>
  <sheetData>
    <row r="1" spans="1:10" s="34" customFormat="1" ht="30" customHeight="1" x14ac:dyDescent="0.35">
      <c r="A1" s="34" t="e" vm="1">
        <v>#VALUE!</v>
      </c>
      <c r="C1" s="34" t="s">
        <v>86</v>
      </c>
    </row>
    <row r="2" spans="1:10" s="9" customFormat="1" ht="20.100000000000001" customHeight="1" x14ac:dyDescent="0.25"/>
    <row r="3" spans="1:10" ht="20.100000000000001" customHeight="1" x14ac:dyDescent="0.25">
      <c r="A3" s="14" t="str">
        <f>HYPERLINK("#'Home'!A1", "Home")</f>
        <v>Home</v>
      </c>
      <c r="C3" s="12"/>
      <c r="D3" s="12"/>
      <c r="E3" s="12"/>
      <c r="F3" s="12"/>
      <c r="G3" s="12"/>
      <c r="H3" s="12"/>
      <c r="I3" s="12"/>
      <c r="J3" s="12"/>
    </row>
    <row r="4" spans="1:10" ht="20.100000000000001" customHeight="1" x14ac:dyDescent="0.25">
      <c r="A4" s="14" t="str">
        <f>HYPERLINK("#'Overview'!A1", "Overview")</f>
        <v>Overview</v>
      </c>
    </row>
    <row r="5" spans="1:10" ht="20.100000000000001" customHeight="1" x14ac:dyDescent="0.25">
      <c r="A5" s="14" t="str">
        <f>HYPERLINK("#'Results'!A1", "Results")</f>
        <v>Results</v>
      </c>
      <c r="D5" s="6" t="s">
        <v>133</v>
      </c>
    </row>
    <row r="6" spans="1:10" ht="20.100000000000001" customHeight="1" x14ac:dyDescent="0.25">
      <c r="A6" s="13"/>
    </row>
    <row r="7" spans="1:10" ht="20.100000000000001" customHeight="1" x14ac:dyDescent="0.25">
      <c r="A7" s="17" t="s">
        <v>1</v>
      </c>
      <c r="D7" s="63" t="s">
        <v>87</v>
      </c>
    </row>
    <row r="8" spans="1:10" ht="20.100000000000001" customHeight="1" x14ac:dyDescent="0.25">
      <c r="A8" s="44" t="str">
        <f>HYPERLINK("#'Input - Electricity'!A1", "Electricity")</f>
        <v>Electricity</v>
      </c>
    </row>
    <row r="9" spans="1:10" ht="20.100000000000001" customHeight="1" x14ac:dyDescent="0.25">
      <c r="A9" s="14"/>
      <c r="D9" s="64" t="s">
        <v>88</v>
      </c>
      <c r="E9" s="65"/>
      <c r="F9" s="19"/>
    </row>
    <row r="10" spans="1:10" ht="20.100000000000001" customHeight="1" x14ac:dyDescent="0.25">
      <c r="A10" s="16" t="s">
        <v>45</v>
      </c>
      <c r="D10" s="19"/>
      <c r="E10" s="19"/>
      <c r="F10" s="19"/>
    </row>
    <row r="11" spans="1:10" ht="20.100000000000001" customHeight="1" x14ac:dyDescent="0.25">
      <c r="A11" s="14" t="str">
        <f>HYPERLINK("#'14.1.1-2 Purchased electricity'!A1", "14.1.1-2 Purchased electricity")</f>
        <v>14.1.1-2 Purchased electricity</v>
      </c>
      <c r="D11" s="1" t="s">
        <v>89</v>
      </c>
      <c r="E11" s="66">
        <v>30000</v>
      </c>
      <c r="F11" s="2" t="s">
        <v>90</v>
      </c>
    </row>
    <row r="12" spans="1:10" ht="20.100000000000001" customHeight="1" x14ac:dyDescent="0.25">
      <c r="A12" s="14"/>
      <c r="D12" s="1" t="s">
        <v>91</v>
      </c>
      <c r="E12" s="29" t="str">
        <f>IF('Input - Site'!E21="Western Australia", 'Input - Site'!E22, 'Input - Site'!E21)</f>
        <v>Western Australia - Outback (South)</v>
      </c>
      <c r="F12" s="19"/>
    </row>
    <row r="13" spans="1:10" ht="20.100000000000001" customHeight="1" x14ac:dyDescent="0.25">
      <c r="A13" s="15" t="s">
        <v>2</v>
      </c>
      <c r="D13" s="1" t="s">
        <v>92</v>
      </c>
      <c r="E13" s="28" t="s">
        <v>93</v>
      </c>
      <c r="F13" s="2" t="s">
        <v>94</v>
      </c>
    </row>
    <row r="14" spans="1:10" ht="20.100000000000001" customHeight="1" x14ac:dyDescent="0.25">
      <c r="A14" s="14" t="str">
        <f>HYPERLINK("#'Constants - Electricity'!A1", "Constants - Electricity")</f>
        <v>Constants - Electricity</v>
      </c>
    </row>
    <row r="15" spans="1:10" ht="20.100000000000001" customHeight="1" x14ac:dyDescent="0.25">
      <c r="A15" s="14" t="str">
        <f>HYPERLINK("#'Constants - Common'!A1", "Constants - Common")</f>
        <v>Constants - Common</v>
      </c>
    </row>
    <row r="16" spans="1:10" ht="20.100000000000001" customHeight="1" x14ac:dyDescent="0.25">
      <c r="C16" s="109"/>
      <c r="D16" s="109"/>
      <c r="E16" s="109"/>
      <c r="F16" s="109"/>
      <c r="G16" s="109"/>
      <c r="H16" s="109"/>
      <c r="I16" s="109"/>
      <c r="J16" s="109"/>
    </row>
    <row r="17" spans="1:11" ht="20.100000000000001" customHeight="1" x14ac:dyDescent="0.25">
      <c r="D17" s="6" t="s">
        <v>134</v>
      </c>
    </row>
    <row r="18" spans="1:11" ht="20.100000000000001" customHeight="1" x14ac:dyDescent="0.25">
      <c r="E18" s="40" t="str">
        <f>IF(E12="ACT", "", "ALERT: Your farm is not in the ACT, so the JRPP is not applicable")</f>
        <v>ALERT: Your farm is not in the ACT, so the JRPP is not applicable</v>
      </c>
    </row>
    <row r="19" spans="1:11" ht="20.100000000000001" customHeight="1" x14ac:dyDescent="0.25">
      <c r="D19" s="1" t="s">
        <v>127</v>
      </c>
      <c r="E19" s="66">
        <v>30000</v>
      </c>
      <c r="F19" s="2" t="s">
        <v>90</v>
      </c>
    </row>
    <row r="20" spans="1:11" ht="20.100000000000001" customHeight="1" x14ac:dyDescent="0.25">
      <c r="A20" s="14"/>
      <c r="D20" s="1" t="s">
        <v>117</v>
      </c>
      <c r="E20" s="112">
        <v>0.1</v>
      </c>
      <c r="F20" s="2" t="s">
        <v>118</v>
      </c>
    </row>
    <row r="21" spans="1:11" ht="20.100000000000001" customHeight="1" x14ac:dyDescent="0.25">
      <c r="A21" s="14"/>
      <c r="D21" s="1" t="s">
        <v>119</v>
      </c>
      <c r="E21" s="112">
        <v>0.1</v>
      </c>
      <c r="F21" s="2" t="s">
        <v>118</v>
      </c>
    </row>
    <row r="22" spans="1:11" ht="20.100000000000001" customHeight="1" x14ac:dyDescent="0.25"/>
    <row r="23" spans="1:11" ht="20.100000000000001" customHeight="1" x14ac:dyDescent="0.25">
      <c r="A23" s="14"/>
      <c r="D23" s="1" t="s">
        <v>126</v>
      </c>
      <c r="E23" s="66">
        <v>10000</v>
      </c>
      <c r="F23" s="2" t="s">
        <v>90</v>
      </c>
    </row>
    <row r="24" spans="1:11" ht="20.100000000000001" customHeight="1" x14ac:dyDescent="0.25"/>
    <row r="25" spans="1:11" ht="20.100000000000001" customHeight="1" x14ac:dyDescent="0.25">
      <c r="D25" s="1" t="s">
        <v>140</v>
      </c>
      <c r="E25" s="116" t="str">
        <f>TEXT('Input - Site'!$E$12, "dd mmm yyyy")</f>
        <v>01 Jan 2025</v>
      </c>
    </row>
    <row r="26" spans="1:11" ht="20.100000000000001" customHeight="1" x14ac:dyDescent="0.25">
      <c r="D26" s="1" t="s">
        <v>125</v>
      </c>
      <c r="E26" s="116" t="str">
        <f>TEXT('Input - Site'!$E$13, "dd mmm yyyy")</f>
        <v>31 Dec 2025</v>
      </c>
    </row>
    <row r="27" spans="1:11" ht="20.100000000000001" customHeight="1" x14ac:dyDescent="0.25"/>
    <row r="28" spans="1:11" ht="20.100000000000001" customHeight="1" x14ac:dyDescent="0.25">
      <c r="D28" s="63" t="s">
        <v>124</v>
      </c>
    </row>
    <row r="29" spans="1:11" ht="20.100000000000001" customHeight="1" x14ac:dyDescent="0.25">
      <c r="A29" s="14"/>
      <c r="K29" s="49"/>
    </row>
    <row r="30" spans="1:11" ht="20.100000000000001" customHeight="1" x14ac:dyDescent="0.25">
      <c r="A30" s="14"/>
      <c r="D30" s="64" t="s">
        <v>148</v>
      </c>
      <c r="E30" s="65"/>
      <c r="K30" s="49"/>
    </row>
    <row r="31" spans="1:11" ht="20.100000000000001" customHeight="1" x14ac:dyDescent="0.25">
      <c r="A31" s="33"/>
      <c r="K31" s="49"/>
    </row>
    <row r="32" spans="1:11" ht="20.100000000000001" customHeight="1" x14ac:dyDescent="0.25">
      <c r="A32" s="33"/>
      <c r="D32" s="114" t="s">
        <v>121</v>
      </c>
      <c r="E32" s="114" t="s">
        <v>130</v>
      </c>
      <c r="F32" s="114" t="s">
        <v>122</v>
      </c>
      <c r="G32" s="114" t="s">
        <v>123</v>
      </c>
      <c r="H32" s="114" t="s">
        <v>120</v>
      </c>
      <c r="I32" s="114" t="s">
        <v>141</v>
      </c>
      <c r="K32" s="49"/>
    </row>
    <row r="33" spans="1:12" ht="20.100000000000001" customHeight="1" x14ac:dyDescent="0.25">
      <c r="A33" s="14"/>
      <c r="D33" s="27" t="s">
        <v>152</v>
      </c>
      <c r="E33" s="28" t="s">
        <v>131</v>
      </c>
      <c r="F33" s="115">
        <v>44185</v>
      </c>
      <c r="G33" s="27">
        <v>12</v>
      </c>
      <c r="H33" s="29">
        <f>Table_Input_RECSurrendered[[#This Row],[Number of certificates]]</f>
        <v>12</v>
      </c>
      <c r="I33" s="29" t="str">
        <f>IF(DATEDIF(Table_Input_RECSurrendered[[#This Row],[Generation date]],DATEVALUE($E$26),"M")&gt;36,"Ineligible - older than 36 months","Elegible")</f>
        <v>Ineligible - older than 36 months</v>
      </c>
      <c r="K33" s="49"/>
    </row>
    <row r="34" spans="1:12" ht="20.100000000000001" customHeight="1" x14ac:dyDescent="0.25">
      <c r="D34" s="27" t="s">
        <v>149</v>
      </c>
      <c r="E34" s="28" t="s">
        <v>132</v>
      </c>
      <c r="F34" s="115">
        <v>44575</v>
      </c>
      <c r="G34" s="27">
        <v>5</v>
      </c>
      <c r="H34" s="29">
        <f>Table_Input_RECSurrendered[[#This Row],[Number of certificates]]</f>
        <v>5</v>
      </c>
      <c r="I34" s="29" t="str">
        <f>IF(DATEDIF(Table_Input_RECSurrendered[[#This Row],[Generation date]],DATEVALUE($E$26),"M")&gt;36,"Ineligible - older than 36 months","Elegible")</f>
        <v>Ineligible - older than 36 months</v>
      </c>
      <c r="K34" s="49"/>
    </row>
    <row r="35" spans="1:12" ht="20.100000000000001" customHeight="1" x14ac:dyDescent="0.25">
      <c r="D35" s="27" t="s">
        <v>150</v>
      </c>
      <c r="E35" s="28" t="s">
        <v>131</v>
      </c>
      <c r="F35" s="115">
        <v>45438</v>
      </c>
      <c r="G35" s="27">
        <v>5</v>
      </c>
      <c r="H35" s="29">
        <f>Table_Input_RECSurrendered[[#This Row],[Number of certificates]]</f>
        <v>5</v>
      </c>
      <c r="I35" s="29" t="str">
        <f>IF(DATEDIF(Table_Input_RECSurrendered[[#This Row],[Generation date]],DATEVALUE($E$26),"M")&gt;36,"Ineligible - older than 36 months","Elegible")</f>
        <v>Elegible</v>
      </c>
    </row>
    <row r="36" spans="1:12" ht="20.100000000000001" customHeight="1" x14ac:dyDescent="0.25">
      <c r="L36" s="49"/>
    </row>
    <row r="37" spans="1:12" ht="20.100000000000001" customHeight="1" x14ac:dyDescent="0.25">
      <c r="D37" s="1" t="s">
        <v>142</v>
      </c>
      <c r="E37" s="29">
        <f>SUMIF(Table_Input_RECSurrendered[Elegibility], "Elegible", Table_Input_RECSurrendered[MWh])</f>
        <v>5</v>
      </c>
      <c r="F37" s="2" t="s">
        <v>120</v>
      </c>
      <c r="L37" s="49"/>
    </row>
    <row r="38" spans="1:12" ht="20.100000000000001" customHeight="1" x14ac:dyDescent="0.25">
      <c r="C38" s="48"/>
    </row>
    <row r="39" spans="1:12" ht="20.100000000000001" customHeight="1" x14ac:dyDescent="0.25">
      <c r="A39" s="14"/>
      <c r="C39" s="48"/>
      <c r="D39" s="63" t="s">
        <v>128</v>
      </c>
      <c r="J39" s="48"/>
    </row>
    <row r="40" spans="1:12" s="49" customFormat="1" ht="20.100000000000001" customHeight="1" x14ac:dyDescent="0.25">
      <c r="C40" s="1"/>
      <c r="D40" s="1"/>
      <c r="E40" s="1"/>
      <c r="F40" s="1"/>
      <c r="G40" s="1"/>
      <c r="H40" s="1"/>
      <c r="I40" s="1"/>
      <c r="J40" s="1"/>
    </row>
    <row r="41" spans="1:12" s="49" customFormat="1" ht="20.100000000000001" customHeight="1" x14ac:dyDescent="0.25">
      <c r="A41" s="50"/>
      <c r="C41" s="1"/>
      <c r="D41" s="114" t="s">
        <v>121</v>
      </c>
      <c r="E41" s="114" t="s">
        <v>129</v>
      </c>
      <c r="F41" s="114" t="s">
        <v>122</v>
      </c>
      <c r="G41" s="114" t="s">
        <v>123</v>
      </c>
      <c r="H41" s="114" t="s">
        <v>120</v>
      </c>
      <c r="I41" s="114" t="s">
        <v>141</v>
      </c>
      <c r="J41" s="1"/>
      <c r="L41" s="49" t="s">
        <v>85</v>
      </c>
    </row>
    <row r="42" spans="1:12" ht="20.100000000000001" customHeight="1" x14ac:dyDescent="0.25">
      <c r="D42" s="27" t="s">
        <v>139</v>
      </c>
      <c r="E42" s="117" t="str">
        <f>"Issued for generated electricity"</f>
        <v>Issued for generated electricity</v>
      </c>
      <c r="F42" s="115">
        <v>10</v>
      </c>
      <c r="G42" s="27">
        <v>10</v>
      </c>
      <c r="H42" s="29">
        <f>Table_Input_RECConsumedByEntity[[#This Row],[Number of certificates]]</f>
        <v>10</v>
      </c>
      <c r="I42" s="29" t="str">
        <f>IF(AND(Table_Input_RECConsumedByEntity[[#This Row],[Generation date]]&gt;=DATEVALUE($E$25), Table_Input_RECConsumedByEntity[[#This Row],[Generation date]]&lt;= DATEVALUE($E$26)), "Elegible", "Ineligible - outside reporting year")</f>
        <v>Ineligible - outside reporting year</v>
      </c>
    </row>
    <row r="43" spans="1:12" ht="20.100000000000001" customHeight="1" x14ac:dyDescent="0.25">
      <c r="D43" s="27" t="s">
        <v>151</v>
      </c>
      <c r="E43" s="117" t="str">
        <f>"Issued for generated electricity"</f>
        <v>Issued for generated electricity</v>
      </c>
      <c r="F43" s="115">
        <v>4</v>
      </c>
      <c r="G43" s="27">
        <v>4</v>
      </c>
      <c r="H43" s="29">
        <f>Table_Input_RECConsumedByEntity[[#This Row],[Number of certificates]]</f>
        <v>4</v>
      </c>
      <c r="I43" s="29" t="str">
        <f>IF(AND(Table_Input_RECConsumedByEntity[[#This Row],[Generation date]]&gt;=DATEVALUE($E$25), Table_Input_RECConsumedByEntity[[#This Row],[Generation date]]&lt;= DATEVALUE($E$26)), "Elegible", "Ineligible - outside reporting year")</f>
        <v>Ineligible - outside reporting year</v>
      </c>
    </row>
    <row r="44" spans="1:12" ht="20.100000000000001" customHeight="1" x14ac:dyDescent="0.25">
      <c r="A44" s="54"/>
      <c r="D44" s="122">
        <v>46350</v>
      </c>
      <c r="E44" s="117" t="str">
        <f>"Issued for generated electricity"</f>
        <v>Issued for generated electricity</v>
      </c>
      <c r="F44" s="115">
        <v>75</v>
      </c>
      <c r="G44" s="27">
        <v>7</v>
      </c>
      <c r="H44" s="29">
        <f>Table_Input_RECConsumedByEntity[[#This Row],[Number of certificates]]</f>
        <v>7</v>
      </c>
      <c r="I44" s="29" t="str">
        <f>IF(AND(Table_Input_RECConsumedByEntity[[#This Row],[Generation date]]&gt;=DATEVALUE($E$25), Table_Input_RECConsumedByEntity[[#This Row],[Generation date]]&lt;= DATEVALUE($E$26)), "Elegible", "Ineligible - outside reporting year")</f>
        <v>Ineligible - outside reporting year</v>
      </c>
    </row>
    <row r="45" spans="1:12" ht="20.100000000000001" customHeight="1" x14ac:dyDescent="0.25"/>
    <row r="46" spans="1:12" ht="20.100000000000001" customHeight="1" x14ac:dyDescent="0.25">
      <c r="D46" s="1" t="s">
        <v>143</v>
      </c>
      <c r="E46" s="29">
        <f>SUMIF(Table_Input_RECConsumedByEntity[Elegibility], "Elegible", Table_Input_RECConsumedByEntity[Number of certificates])</f>
        <v>0</v>
      </c>
      <c r="F46" s="2" t="s">
        <v>120</v>
      </c>
    </row>
    <row r="47" spans="1:12" ht="20.100000000000001" customHeight="1" x14ac:dyDescent="0.25"/>
    <row r="48" spans="1:12" ht="20.100000000000001" customHeight="1" x14ac:dyDescent="0.25"/>
    <row r="49" spans="4:4" ht="20.100000000000001" customHeight="1" x14ac:dyDescent="0.25"/>
    <row r="50" spans="4:4" ht="20.100000000000001" customHeight="1" x14ac:dyDescent="0.25"/>
    <row r="51" spans="4:4" ht="20.100000000000001" customHeight="1" x14ac:dyDescent="0.25"/>
    <row r="52" spans="4:4" ht="20.100000000000001" customHeight="1" x14ac:dyDescent="0.25"/>
    <row r="53" spans="4:4" ht="20.100000000000001" customHeight="1" x14ac:dyDescent="0.25">
      <c r="D53" s="113"/>
    </row>
    <row r="54" spans="4:4" ht="20.100000000000001" customHeight="1" x14ac:dyDescent="0.25"/>
    <row r="55" spans="4:4" ht="20.100000000000001" customHeight="1" x14ac:dyDescent="0.25">
      <c r="D55" s="113"/>
    </row>
    <row r="56" spans="4:4" ht="20.100000000000001" customHeight="1" x14ac:dyDescent="0.25">
      <c r="D56" s="113"/>
    </row>
    <row r="57" spans="4:4" ht="20.100000000000001" customHeight="1" x14ac:dyDescent="0.25"/>
    <row r="58" spans="4:4" ht="20.100000000000001" customHeight="1" x14ac:dyDescent="0.25"/>
    <row r="59" spans="4:4" ht="20.100000000000001" customHeight="1" x14ac:dyDescent="0.25"/>
    <row r="60" spans="4:4" ht="20.100000000000001" customHeight="1" x14ac:dyDescent="0.25"/>
    <row r="61" spans="4:4" ht="20.100000000000001" customHeight="1" x14ac:dyDescent="0.25"/>
    <row r="62" spans="4:4" ht="20.100000000000001" customHeight="1" x14ac:dyDescent="0.25"/>
    <row r="63" spans="4:4" ht="20.100000000000001" customHeight="1" x14ac:dyDescent="0.25"/>
    <row r="64" spans="4: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5" spans="4:4" x14ac:dyDescent="0.25">
      <c r="D365" s="40"/>
    </row>
  </sheetData>
  <conditionalFormatting sqref="F130:F131">
    <cfRule type="cellIs" dxfId="16" priority="21" operator="lessThan">
      <formula>0</formula>
    </cfRule>
  </conditionalFormatting>
  <conditionalFormatting sqref="F142:F143">
    <cfRule type="cellIs" dxfId="15" priority="20" operator="lessThan">
      <formula>0</formula>
    </cfRule>
  </conditionalFormatting>
  <conditionalFormatting sqref="F154:F155">
    <cfRule type="cellIs" dxfId="14" priority="19" operator="lessThan">
      <formula>0</formula>
    </cfRule>
  </conditionalFormatting>
  <conditionalFormatting sqref="F166:F167">
    <cfRule type="cellIs" dxfId="13" priority="18" operator="lessThan">
      <formula>0</formula>
    </cfRule>
  </conditionalFormatting>
  <conditionalFormatting sqref="F254:F255">
    <cfRule type="cellIs" dxfId="12" priority="93" operator="lessThan">
      <formula>0</formula>
    </cfRule>
  </conditionalFormatting>
  <conditionalFormatting sqref="F259:F260">
    <cfRule type="cellIs" dxfId="11" priority="92" operator="lessThan">
      <formula>0</formula>
    </cfRule>
  </conditionalFormatting>
  <conditionalFormatting sqref="F264:F265">
    <cfRule type="cellIs" dxfId="10" priority="91" operator="lessThan">
      <formula>0</formula>
    </cfRule>
  </conditionalFormatting>
  <conditionalFormatting sqref="F288:F289">
    <cfRule type="cellIs" dxfId="9" priority="85" operator="lessThan">
      <formula>0</formula>
    </cfRule>
  </conditionalFormatting>
  <conditionalFormatting sqref="F293:F294">
    <cfRule type="cellIs" dxfId="8" priority="84" operator="lessThan">
      <formula>0</formula>
    </cfRule>
  </conditionalFormatting>
  <conditionalFormatting sqref="F298:F299">
    <cfRule type="cellIs" dxfId="7" priority="83" operator="lessThan">
      <formula>0</formula>
    </cfRule>
  </conditionalFormatting>
  <conditionalFormatting sqref="I59:I63">
    <cfRule type="cellIs" dxfId="6" priority="5" operator="lessThan">
      <formula>0</formula>
    </cfRule>
  </conditionalFormatting>
  <conditionalFormatting sqref="I67 I126">
    <cfRule type="cellIs" dxfId="5" priority="74" operator="lessThan">
      <formula>0</formula>
    </cfRule>
  </conditionalFormatting>
  <conditionalFormatting sqref="I78:I80">
    <cfRule type="cellIs" dxfId="4" priority="4" operator="lessThan">
      <formula>0</formula>
    </cfRule>
  </conditionalFormatting>
  <conditionalFormatting sqref="I84:I87">
    <cfRule type="cellIs" dxfId="3" priority="3" operator="lessThan">
      <formula>0</formula>
    </cfRule>
  </conditionalFormatting>
  <conditionalFormatting sqref="I91:I95">
    <cfRule type="cellIs" dxfId="2" priority="1" operator="lessThan">
      <formula>0</formula>
    </cfRule>
  </conditionalFormatting>
  <conditionalFormatting sqref="J31 I45:I46 H47:H49 I48 I50:I52 I54:I55 I206 I212 E214:G214">
    <cfRule type="cellIs" dxfId="1" priority="79" operator="lessThan">
      <formula>0</formula>
    </cfRule>
  </conditionalFormatting>
  <conditionalFormatting sqref="J35 I36 J37 I39 F51">
    <cfRule type="cellIs" dxfId="0" priority="62" operator="lessThan">
      <formula>0</formula>
    </cfRule>
  </conditionalFormatting>
  <dataValidations count="6">
    <dataValidation type="list" allowBlank="1" showInputMessage="1" showErrorMessage="1" sqref="D281" xr:uid="{4E913AB3-F90B-4C35-BCE1-5DBB8FC05107}">
      <formula1>INDIRECT("Table_SourceData_PoultryMMSStage1[MMS]")</formula1>
    </dataValidation>
    <dataValidation type="list" allowBlank="1" showInputMessage="1" showErrorMessage="1" sqref="E229" xr:uid="{9FB53635-991F-44AA-A123-E8ABEF9EE0A6}">
      <formula1>INDIRECT("Table_SourceData_Dairy_ProductionSystemTemplates[Area]")</formula1>
    </dataValidation>
    <dataValidation type="list" allowBlank="1" showInputMessage="1" showErrorMessage="1" sqref="E253 E258 E263 E297 E292 E287 E165 E153 E129 E141" xr:uid="{00A4EA4C-90D3-4150-979D-4D71C7F37A31}">
      <formula1>"Yes, No"</formula1>
    </dataValidation>
    <dataValidation type="list" allowBlank="1" showInputMessage="1" showErrorMessage="1" sqref="E69" xr:uid="{DBA884B0-B52E-420E-8FD2-21B082EB75E2}">
      <formula1>INDIRECT("Table_SourceData_Swine_IrrigationMethods[Irrigation method]")</formula1>
    </dataValidation>
    <dataValidation type="list" allowBlank="1" showInputMessage="1" showErrorMessage="1" sqref="E13" xr:uid="{48A1E533-1334-4AAC-A5F5-B295A34573CB}">
      <formula1>INDIRECT("Table_SourceData_ElectricityEFs[State, Territory or grid description]")</formula1>
    </dataValidation>
    <dataValidation type="list" allowBlank="1" showInputMessage="1" showErrorMessage="1" sqref="E33:E35" xr:uid="{BE2CA0F8-93F9-493C-B304-DCA372760E4E}">
      <formula1>"Purchased certificate, Issued for generated electricity"</formula1>
    </dataValidation>
  </dataValidations>
  <pageMargins left="0.7" right="0.7" top="0.75" bottom="0.75" header="0.3" footer="0.3"/>
  <pageSetup paperSize="9" orientation="portrait"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K342"/>
  <sheetViews>
    <sheetView showGridLines="0" topLeftCell="A15" zoomScaleNormal="100" workbookViewId="0">
      <selection activeCell="F45" sqref="F45"/>
    </sheetView>
  </sheetViews>
  <sheetFormatPr defaultRowHeight="15.75" x14ac:dyDescent="0.25"/>
  <cols>
    <col min="1" max="1" width="30.7109375" customWidth="1"/>
    <col min="2" max="2" width="4.7109375" customWidth="1"/>
    <col min="3" max="3" width="4.7109375" style="1" customWidth="1"/>
    <col min="4" max="4" width="46.28515625" style="1" customWidth="1"/>
    <col min="5" max="10" width="30.7109375" style="1" customWidth="1"/>
    <col min="11" max="11" width="4.7109375" style="1" customWidth="1"/>
  </cols>
  <sheetData>
    <row r="1" spans="1:11" s="8" customFormat="1" ht="30" customHeight="1" x14ac:dyDescent="0.35">
      <c r="A1" s="34" t="e" vm="1">
        <v>#VALUE!</v>
      </c>
      <c r="C1" s="8" t="s">
        <v>116</v>
      </c>
    </row>
    <row r="2" spans="1:11" s="9" customFormat="1" ht="20.100000000000001" customHeight="1" x14ac:dyDescent="0.25"/>
    <row r="3" spans="1:11" ht="20.100000000000001" customHeight="1" x14ac:dyDescent="0.25">
      <c r="A3" s="14" t="str">
        <f>HYPERLINK("#'Home'!A1", "Home")</f>
        <v>Home</v>
      </c>
      <c r="C3" s="4"/>
      <c r="D3" s="4" t="s">
        <v>49</v>
      </c>
      <c r="E3" s="4"/>
      <c r="F3" s="4"/>
      <c r="G3" s="4"/>
      <c r="H3" s="4"/>
      <c r="I3" s="4"/>
      <c r="J3" s="4"/>
      <c r="K3" s="4"/>
    </row>
    <row r="4" spans="1:11" ht="20.100000000000001" customHeight="1" x14ac:dyDescent="0.25">
      <c r="A4" s="14" t="str">
        <f>HYPERLINK("#'Overview'!A1", "Overview")</f>
        <v>Overview</v>
      </c>
    </row>
    <row r="5" spans="1:11" ht="20.100000000000001" customHeight="1" x14ac:dyDescent="0.25">
      <c r="A5" s="14" t="str">
        <f>HYPERLINK("#'Results'!A1", "Results")</f>
        <v>Results</v>
      </c>
      <c r="D5" s="6" t="str" cm="1">
        <f t="array" ref="D5">Electricity_Equations.VEERG_14_1_1__1_LocationBasedScopeElectricityEmissions_Title()</f>
        <v>Location-based Scope 2 emissions from purchased electricity</v>
      </c>
    </row>
    <row r="6" spans="1:11" ht="20.100000000000001" customHeight="1" x14ac:dyDescent="0.25">
      <c r="A6" s="13"/>
      <c r="D6" s="5" t="str" cm="1">
        <f t="array" ref="D6">Electricity_Equations.VEERG_14_1_1__1_LocationBasedScopeElectricityEmissions_Source()</f>
        <v>VEERG 2026: 14.1.1, Equation (1)</v>
      </c>
    </row>
    <row r="7" spans="1:11" ht="20.100000000000001" customHeight="1" x14ac:dyDescent="0.25">
      <c r="A7" s="17" t="s">
        <v>1</v>
      </c>
      <c r="D7" s="32" t="str" cm="1">
        <f t="array" ref="D7">Electricity_Equations.VEERG_14_1_1__1_LocationBasedScopeElectricityEmissions_Variation()</f>
        <v>Added g variable to capture which grid electricity was purchased from</v>
      </c>
    </row>
    <row r="8" spans="1:11" ht="20.100000000000001" customHeight="1" x14ac:dyDescent="0.25">
      <c r="A8" s="14" t="str">
        <f>HYPERLINK("#'Input - Electricity'!A1", "Electricity")</f>
        <v>Electricity</v>
      </c>
      <c r="D8" s="11" t="s">
        <v>10</v>
      </c>
      <c r="E8" s="11" t="str" cm="1">
        <f t="array" aca="1" ref="E8" ca="1">Common_InputFunctions.Utility_DisplayFunctionName(E18)</f>
        <v>=Electricity_Equations.VEERG_14_1_1__1_LocationBasedScopeElectricityEmissions</v>
      </c>
    </row>
    <row r="9" spans="1:11" ht="20.100000000000001" customHeight="1" x14ac:dyDescent="0.25">
      <c r="A9" s="14"/>
    </row>
    <row r="10" spans="1:11" ht="20.100000000000001" customHeight="1" x14ac:dyDescent="0.25">
      <c r="A10" s="16" t="s">
        <v>45</v>
      </c>
    </row>
    <row r="11" spans="1:11" ht="20.100000000000001" customHeight="1" x14ac:dyDescent="0.25">
      <c r="A11" s="120" t="str">
        <f>HYPERLINK("#'14.1.1-2 Purchased electricity'!A1", "14.1.1-2 Purchased electricity")</f>
        <v>14.1.1-2 Purchased electricity</v>
      </c>
      <c r="D11" s="30" t="s">
        <v>13</v>
      </c>
      <c r="E11" s="1" t="str" cm="1">
        <f t="array" ref="E11">Electricity_Equations.VEERG_14_1_1__1_LocationBasedScopeElectricityEmissions_Variable()</f>
        <v>E_2elec</v>
      </c>
    </row>
    <row r="12" spans="1:11" ht="20.100000000000001" customHeight="1" x14ac:dyDescent="0.25">
      <c r="A12" s="14"/>
      <c r="D12" s="30" t="s">
        <v>5</v>
      </c>
      <c r="E12" s="31" t="str" cm="1">
        <f t="array" ref="E12">Electricity_Equations.VEERG_14_1_1__1_LocationBasedScopeElectricityEmissions_Unit()</f>
        <v>t CO2e</v>
      </c>
    </row>
    <row r="13" spans="1:11" ht="20.100000000000001" customHeight="1" x14ac:dyDescent="0.25">
      <c r="A13" s="15" t="s">
        <v>2</v>
      </c>
    </row>
    <row r="14" spans="1:11" ht="20.100000000000001" customHeight="1" x14ac:dyDescent="0.25">
      <c r="A14" s="14" t="str">
        <f>HYPERLINK("#'Constants - Electricity'!A1", "Constants - Electricity")</f>
        <v>Constants - Electricity</v>
      </c>
      <c r="D14" s="51" t="str" cm="1">
        <f t="array" ref="D14:E16">_xlfn.CHOOSECOLS(Electricity_Equations.VEERG_14_1_1__1_LocationBasedScopeElectricityEmissions_Arguments(),1,2)</f>
        <v>Q_elec</v>
      </c>
      <c r="E14" s="53" t="str">
        <v>amount of electricity purchased from the grid</v>
      </c>
      <c r="F14" s="52"/>
      <c r="G14" s="51" t="str" cm="1">
        <f t="array" ref="G14:H16">_xlfn.CHOOSECOLS(Electricity_Equations.VEERG_14_1_1__1_LocationBasedScopeElectricityEmissions_Arguments(),3,4)</f>
        <v>kWh</v>
      </c>
      <c r="H14" s="47" t="str">
        <v>Input</v>
      </c>
      <c r="I14" s="53">
        <f>'Input - Electricity'!$E$11</f>
        <v>30000</v>
      </c>
      <c r="J14" s="52"/>
    </row>
    <row r="15" spans="1:11" ht="20.100000000000001" customHeight="1" x14ac:dyDescent="0.25">
      <c r="A15" s="14" t="str">
        <f>HYPERLINK("#'Constants - Common'!A1", "Constants - Common")</f>
        <v>Constants - Common</v>
      </c>
      <c r="D15" s="51" t="str">
        <v>EF_2elec</v>
      </c>
      <c r="E15" s="53" t="str">
        <v>location-based Scope 2 emission factor for electricity</v>
      </c>
      <c r="F15" s="52"/>
      <c r="G15" s="51" t="str">
        <v>kg CO2e/kWh</v>
      </c>
      <c r="H15" s="46" t="str">
        <v>Constant</v>
      </c>
      <c r="I15" s="53" cm="1">
        <f t="array" ref="I15">Common_InputFunctions.Utility_LookupValueInTableNumber(I16,Table_SourceData_ElectricityEFs[State, Territory or grid description],Table_SourceData_ElectricityEFs[Scope 2 Emission Factors (kg CO2-e/kWh)])</f>
        <v>0.56000000000000005</v>
      </c>
      <c r="J15" s="52"/>
    </row>
    <row r="16" spans="1:11" ht="20.100000000000001" customHeight="1" x14ac:dyDescent="0.25">
      <c r="D16" s="51" t="str">
        <v>g</v>
      </c>
      <c r="E16" s="53" t="str">
        <v>Grid electricity was purchased from</v>
      </c>
      <c r="F16" s="52"/>
      <c r="G16" s="51" t="str">
        <v/>
      </c>
      <c r="H16" s="47" t="str">
        <v>Input</v>
      </c>
      <c r="I16" s="53" t="str">
        <f>'Input - Electricity'!$E$13</f>
        <v>Western Australia - North Western Interconnected System (NWIS)</v>
      </c>
      <c r="J16" s="52"/>
    </row>
    <row r="17" spans="1:11" ht="20.100000000000001" customHeight="1" x14ac:dyDescent="0.25"/>
    <row r="18" spans="1:11" ht="20.100000000000001" customHeight="1" x14ac:dyDescent="0.25">
      <c r="D18" s="108" t="s">
        <v>115</v>
      </c>
      <c r="E18" s="110" cm="1">
        <f t="array" ref="E18">Electricity_Equations.VEERG_14_1_1__1_LocationBasedScopeElectricityEmissions(I14,I15)</f>
        <v>16.8</v>
      </c>
      <c r="F18" s="121" t="str">
        <f>$E$12</f>
        <v>t CO2e</v>
      </c>
    </row>
    <row r="19" spans="1:11" ht="20.100000000000001" customHeight="1" x14ac:dyDescent="0.25"/>
    <row r="20" spans="1:11" ht="20.100000000000001" customHeight="1" x14ac:dyDescent="0.25">
      <c r="A20" s="14"/>
    </row>
    <row r="21" spans="1:11" ht="20.100000000000001" customHeight="1" x14ac:dyDescent="0.25">
      <c r="A21" s="14"/>
      <c r="C21" s="109"/>
      <c r="D21" s="109"/>
      <c r="E21" s="109"/>
      <c r="F21" s="109"/>
      <c r="G21" s="109"/>
      <c r="H21" s="109"/>
      <c r="I21" s="109"/>
      <c r="J21" s="109"/>
      <c r="K21" s="109"/>
    </row>
    <row r="22" spans="1:11" ht="20.100000000000001" customHeight="1" x14ac:dyDescent="0.25">
      <c r="D22" s="6" t="str" cm="1">
        <f t="array" ref="D22">Electricity_Equations.VEERG_14_1_2__1_MarketBasedScopeElectricityEmissions_Title()</f>
        <v>Market-based Scope 2 emissions from purchased electricity</v>
      </c>
    </row>
    <row r="23" spans="1:11" ht="20.100000000000001" customHeight="1" x14ac:dyDescent="0.25">
      <c r="A23" s="14"/>
      <c r="D23" s="5" t="str" cm="1">
        <f t="array" ref="D23">Electricity_Equations.VEERG_14_1_2__1_MarketBasedScopeElectricityEmissions_Source()</f>
        <v>VEERG 2026: 14.1.2, Equation (1)</v>
      </c>
    </row>
    <row r="24" spans="1:11" ht="20.100000000000001" customHeight="1" x14ac:dyDescent="0.25">
      <c r="D24" s="32" t="str" cm="1">
        <f t="array" ref="D24">Electricity_Equations.VEERG_14_1_2__1_MarketBasedScopeElectricityEmissions_Variation()</f>
        <v>VARIATION ON SOURCE: In order to convert megawatt hours to kilowatt hours, the REC_surrendered and REC_onsite variables are multiplied by 10^3 instead of 10^-3.</v>
      </c>
    </row>
    <row r="25" spans="1:11" ht="20.100000000000001" customHeight="1" x14ac:dyDescent="0.25">
      <c r="D25" s="11" t="s">
        <v>10</v>
      </c>
      <c r="E25" s="11" t="str" cm="1">
        <f t="array" aca="1" ref="E25" ca="1">Common_InputFunctions.Utility_DisplayFunctionName(E39)</f>
        <v>=Electricity_Equations.VEERG_14_1_2__1_MarketBasedScopeElectricityEmissionsVariation</v>
      </c>
    </row>
    <row r="26" spans="1:11" ht="20.100000000000001" customHeight="1" x14ac:dyDescent="0.25"/>
    <row r="27" spans="1:11" ht="20.100000000000001" customHeight="1" x14ac:dyDescent="0.25"/>
    <row r="28" spans="1:11" ht="20.100000000000001" customHeight="1" x14ac:dyDescent="0.25">
      <c r="D28" s="30" t="s">
        <v>13</v>
      </c>
      <c r="E28" s="1" t="str" cm="1">
        <f t="array" ref="E28">Electricity_Equations.VEERG_14_1_2__1_MarketBasedScopeElectricityEmissions_Variable()</f>
        <v>E_2elec</v>
      </c>
    </row>
    <row r="29" spans="1:11" ht="20.100000000000001" customHeight="1" x14ac:dyDescent="0.25">
      <c r="D29" s="30" t="s">
        <v>5</v>
      </c>
      <c r="E29" s="31" t="str" cm="1">
        <f t="array" ref="E29">Electricity_Equations.VEERG_14_1_2__1_MarketBasedScopeElectricityEmissions_Unit()</f>
        <v>t CO2e</v>
      </c>
    </row>
    <row r="30" spans="1:11" ht="20.100000000000001" customHeight="1" x14ac:dyDescent="0.25"/>
    <row r="31" spans="1:11" ht="20.100000000000001" customHeight="1" x14ac:dyDescent="0.25">
      <c r="D31" s="51" t="str" cm="1">
        <f t="array" ref="D31:E37">_xlfn.CHOOSECOLS(Electricity_Equations.VEERG_14_1_2__1_MarketBasedScopeElectricityEmissions_Arguments(),1,2)</f>
        <v>Q_elec</v>
      </c>
      <c r="E31" s="53" t="str">
        <v>amount of electricity purchased from the grid</v>
      </c>
      <c r="F31" s="111"/>
      <c r="G31" s="111"/>
      <c r="H31" s="51" t="str" cm="1">
        <f t="array" ref="H31:I37">_xlfn.CHOOSECOLS(Electricity_Equations.VEERG_14_1_2__1_MarketBasedScopeElectricityEmissions_Arguments(),3,4)</f>
        <v>kWh</v>
      </c>
      <c r="I31" s="47" t="str">
        <v>Input</v>
      </c>
      <c r="J31" s="51">
        <f>'Input - Electricity'!E19</f>
        <v>30000</v>
      </c>
    </row>
    <row r="32" spans="1:11" ht="20.100000000000001" customHeight="1" x14ac:dyDescent="0.25">
      <c r="D32" s="51" t="str">
        <v>RPP</v>
      </c>
      <c r="E32" s="53" t="str">
        <v>Renewable Power Percentage under the Large-scale Renewable Energy Target (LRET)</v>
      </c>
      <c r="F32" s="111"/>
      <c r="G32" s="111"/>
      <c r="H32" s="51" t="str">
        <v>per cent</v>
      </c>
      <c r="I32" s="47" t="str">
        <v>Input</v>
      </c>
      <c r="J32" s="118">
        <f>'Input - Electricity'!E20</f>
        <v>0.1</v>
      </c>
    </row>
    <row r="33" spans="4:10" ht="20.100000000000001" customHeight="1" x14ac:dyDescent="0.25">
      <c r="D33" s="51" t="str">
        <v>JRPP</v>
      </c>
      <c r="E33" s="53" t="str">
        <v>jurisdictional renewable power percentage for the applicable period (ACT only)</v>
      </c>
      <c r="F33" s="111"/>
      <c r="G33" s="111"/>
      <c r="H33" s="51" t="str">
        <v>per cent</v>
      </c>
      <c r="I33" s="47" t="str">
        <v>Input</v>
      </c>
      <c r="J33" s="118" t="str">
        <f>IF(J37="ACT", 'Input - Electricity'!E21, "N/A")</f>
        <v>N/A</v>
      </c>
    </row>
    <row r="34" spans="4:10" ht="20.100000000000001" customHeight="1" x14ac:dyDescent="0.25">
      <c r="D34" s="51" t="str">
        <v>REC_surrendered</v>
      </c>
      <c r="E34" s="53" t="str">
        <v>Renewable Energy Certificates voluntarily surrendered in the reporting year</v>
      </c>
      <c r="F34" s="111"/>
      <c r="G34" s="111"/>
      <c r="H34" s="51" t="str">
        <v>MWh</v>
      </c>
      <c r="I34" s="47" t="str">
        <v>Input</v>
      </c>
      <c r="J34" s="51">
        <f>('Input - Electricity'!E23*10^-3)+'Input - Electricity'!$E$37</f>
        <v>15</v>
      </c>
    </row>
    <row r="35" spans="4:10" ht="20.100000000000001" customHeight="1" x14ac:dyDescent="0.25">
      <c r="D35" s="51" t="str">
        <v>REC_onsite</v>
      </c>
      <c r="E35" s="53" t="str">
        <v>Renewable Energy Certificates issued for electricity produced on-site during the year and consumed by the entity</v>
      </c>
      <c r="F35" s="111"/>
      <c r="G35" s="111"/>
      <c r="H35" s="51" t="str">
        <v>MWh</v>
      </c>
      <c r="I35" s="47" t="str">
        <v>Input</v>
      </c>
      <c r="J35" s="51">
        <f>'Input - Electricity'!$E$46</f>
        <v>0</v>
      </c>
    </row>
    <row r="36" spans="4:10" ht="20.100000000000001" customHeight="1" x14ac:dyDescent="0.25">
      <c r="D36" s="51" t="str">
        <v>EF_RMF2elec</v>
      </c>
      <c r="E36" s="53" t="str">
        <v>Scope 2 residual mix emission factor for electricity</v>
      </c>
      <c r="F36" s="111"/>
      <c r="G36" s="111"/>
      <c r="H36" s="51" t="str">
        <v>kg CO2e/kWh</v>
      </c>
      <c r="I36" s="46" t="str">
        <v>Constant</v>
      </c>
      <c r="J36" s="51" cm="1">
        <f t="array" ref="J36">Table_SourceData_ElectricityEFsMarketBased[Scope 2 EF (kg CO2-e/kWh)]</f>
        <v>0.81</v>
      </c>
    </row>
    <row r="37" spans="4:10" ht="20.100000000000001" customHeight="1" x14ac:dyDescent="0.25">
      <c r="D37" s="51" t="str">
        <v>i</v>
      </c>
      <c r="E37" s="53" t="str">
        <v>state</v>
      </c>
      <c r="F37" s="111"/>
      <c r="G37" s="52"/>
      <c r="H37" s="51" t="str">
        <v/>
      </c>
      <c r="I37" s="47" t="str">
        <v>Input</v>
      </c>
      <c r="J37" s="51" t="str">
        <f>'Input - Site'!E21</f>
        <v>Western Australia</v>
      </c>
    </row>
    <row r="38" spans="4:10" ht="20.100000000000001" customHeight="1" x14ac:dyDescent="0.25"/>
    <row r="39" spans="4:10" ht="20.100000000000001" customHeight="1" x14ac:dyDescent="0.25">
      <c r="D39" s="108" t="s">
        <v>115</v>
      </c>
      <c r="E39" s="110" cm="1">
        <f t="array" ref="E39">Electricity_Equations.VEERG_14_1_2__1_MarketBasedScopeElectricityEmissionsVariation(J31,J32,IF(ISNUMBER(J33), J33, 0),J34,J35,J36)</f>
        <v>9.7200000000000006</v>
      </c>
      <c r="F39" s="121" t="str">
        <f>E29</f>
        <v>t CO2e</v>
      </c>
    </row>
    <row r="40" spans="4:10" ht="20.100000000000001" customHeight="1" x14ac:dyDescent="0.25">
      <c r="H40" s="1" t="s">
        <v>85</v>
      </c>
    </row>
    <row r="41" spans="4:10" ht="20.100000000000001" customHeight="1" x14ac:dyDescent="0.25"/>
    <row r="42" spans="4:10" ht="20.100000000000001" customHeight="1" x14ac:dyDescent="0.25"/>
    <row r="43" spans="4:10" ht="20.100000000000001" customHeight="1" x14ac:dyDescent="0.25"/>
    <row r="44" spans="4:10" ht="20.100000000000001" customHeight="1" x14ac:dyDescent="0.25">
      <c r="E44" s="48"/>
    </row>
    <row r="45" spans="4:10" ht="20.100000000000001" customHeight="1" x14ac:dyDescent="0.25"/>
    <row r="46" spans="4:10" ht="20.100000000000001" customHeight="1" x14ac:dyDescent="0.25"/>
    <row r="47" spans="4:10" ht="20.100000000000001" customHeight="1" x14ac:dyDescent="0.25"/>
    <row r="48" spans="4:10"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9"/>
    </row>
    <row r="342" spans="8:8" x14ac:dyDescent="0.25">
      <c r="H342" s="19"/>
    </row>
  </sheetData>
  <dataValidations disablePrompts="1" count="1">
    <dataValidation operator="equal" allowBlank="1" showInputMessage="1" showErrorMessage="1" sqref="E269 E228 G132 I129:I133 F134:I134 F129:F132 H128:H132 G129 F148:I148 I149 F150:I150"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165"/>
  <sheetViews>
    <sheetView showGridLines="0" topLeftCell="A10" zoomScaleNormal="100" workbookViewId="0">
      <selection activeCell="A4" sqref="A4"/>
    </sheetView>
  </sheetViews>
  <sheetFormatPr defaultRowHeight="15.75" x14ac:dyDescent="0.25"/>
  <cols>
    <col min="1" max="1" width="30.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8" customFormat="1" ht="30" customHeight="1" x14ac:dyDescent="0.35">
      <c r="A1" s="8" t="e" vm="1">
        <v>#VALUE!</v>
      </c>
      <c r="C1" s="8" t="s">
        <v>111</v>
      </c>
      <c r="AG1"/>
      <c r="AH1"/>
      <c r="AI1"/>
    </row>
    <row r="2" spans="1:35" s="9" customFormat="1" ht="20.100000000000001" customHeight="1" x14ac:dyDescent="0.25">
      <c r="AG2"/>
      <c r="AH2"/>
      <c r="AI2"/>
    </row>
    <row r="3" spans="1:35" ht="20.100000000000001" customHeight="1" x14ac:dyDescent="0.25">
      <c r="A3" s="14"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5" ht="20.100000000000001" customHeight="1" x14ac:dyDescent="0.25">
      <c r="A4" s="14" t="str">
        <f>HYPERLINK("#'Overview'!A1", "Overview")</f>
        <v>Overview</v>
      </c>
    </row>
    <row r="5" spans="1:35" ht="20.100000000000001" customHeight="1" x14ac:dyDescent="0.25">
      <c r="A5" s="14" t="str">
        <f>HYPERLINK("#'Results'!A1", "Results")</f>
        <v>Results</v>
      </c>
      <c r="D5" s="6" t="str" cm="1">
        <f t="array" ref="D5">Electricity_SourceData.Electricity_Scope2Scope3LocationBased_Title()</f>
        <v>Electricity scope 2 and scope 3 location-based emission factors</v>
      </c>
    </row>
    <row r="6" spans="1:35" ht="20.100000000000001" customHeight="1" x14ac:dyDescent="0.25">
      <c r="A6" s="13"/>
      <c r="D6" s="5" t="str" cm="1">
        <f t="array" ref="D6">Electricity_SourceData.Electricity_Scope2Scope3LocationBased_Source()</f>
        <v>Australian National Greenhouse Accounts Factors 2025 - Table 1</v>
      </c>
      <c r="E6" s="19"/>
      <c r="F6" s="19"/>
    </row>
    <row r="7" spans="1:35" ht="20.100000000000001" customHeight="1" x14ac:dyDescent="0.25">
      <c r="A7" s="17" t="s">
        <v>1</v>
      </c>
      <c r="D7" s="32" t="str" cm="1">
        <f t="array" ref="D7">"⚠️" &amp; Electricity_SourceData.Electricity_Scope2Scope3LocationBased_Variation()</f>
        <v>⚠️VARIATION OF SOURCE DATA: NSW and ACT split into separate rows.</v>
      </c>
      <c r="E7" s="19"/>
      <c r="F7" s="19"/>
    </row>
    <row r="8" spans="1:35" ht="20.100000000000001" customHeight="1" x14ac:dyDescent="0.25">
      <c r="A8" s="14" t="str">
        <f>HYPERLINK("#'Input - Electricity'!A1", "Electricity")</f>
        <v>Electricity</v>
      </c>
      <c r="D8" s="19"/>
      <c r="E8" s="19"/>
      <c r="F8" s="19"/>
    </row>
    <row r="9" spans="1:35" ht="20.100000000000001" customHeight="1" x14ac:dyDescent="0.25">
      <c r="A9" s="14"/>
      <c r="D9" s="62" t="s">
        <v>112</v>
      </c>
      <c r="E9" s="62" t="s">
        <v>113</v>
      </c>
      <c r="F9" s="62" t="s">
        <v>114</v>
      </c>
    </row>
    <row r="10" spans="1:35" ht="20.100000000000001" customHeight="1" x14ac:dyDescent="0.25">
      <c r="A10" s="16" t="s">
        <v>45</v>
      </c>
      <c r="D10" t="str" cm="1">
        <f t="array" ref="D10">Common_InputFunctions.Utility_DisplayArrayInTable(Electricity_SourceData.Electricity_Scope2Scope3LocationBased_Data(), Table_SourceData_ElectricityEFs[[#Headers],[State, Territory or grid description]], 0)</f>
        <v>New South Wales</v>
      </c>
      <c r="E10" cm="1">
        <f t="array" ref="E10">Common_InputFunctions.Utility_DisplayArrayInTable(Electricity_SourceData.Electricity_Scope2Scope3LocationBased_Data(), Table_SourceData_ElectricityEFs[[#Headers],[State, Territory or grid description]], 0)</f>
        <v>0.64</v>
      </c>
      <c r="F10" cm="1">
        <f t="array" ref="F10">Common_InputFunctions.Utility_DisplayArrayInTable(Electricity_SourceData.Electricity_Scope2Scope3LocationBased_Data(), Table_SourceData_ElectricityEFs[[#Headers],[State, Territory or grid description]], 0)</f>
        <v>0.03</v>
      </c>
    </row>
    <row r="11" spans="1:35" ht="20.100000000000001" customHeight="1" x14ac:dyDescent="0.25">
      <c r="A11" s="14" t="str">
        <f>HYPERLINK("#'14.1.1-2 Purchased electricity'!A1", "14.1.1-2 Purchased electricity")</f>
        <v>14.1.1-2 Purchased electricity</v>
      </c>
      <c r="D11" t="str" cm="1">
        <f t="array" ref="D11">Common_InputFunctions.Utility_DisplayArrayInTable(Electricity_SourceData.Electricity_Scope2Scope3LocationBased_Data(), Table_SourceData_ElectricityEFs[[#Headers],[State, Territory or grid description]], 0)</f>
        <v>ACT</v>
      </c>
      <c r="E11" cm="1">
        <f t="array" ref="E11">Common_InputFunctions.Utility_DisplayArrayInTable(Electricity_SourceData.Electricity_Scope2Scope3LocationBased_Data(), Table_SourceData_ElectricityEFs[[#Headers],[State, Territory or grid description]], 0)</f>
        <v>0.64</v>
      </c>
      <c r="F11" cm="1">
        <f t="array" ref="F11">Common_InputFunctions.Utility_DisplayArrayInTable(Electricity_SourceData.Electricity_Scope2Scope3LocationBased_Data(), Table_SourceData_ElectricityEFs[[#Headers],[State, Territory or grid description]], 0)</f>
        <v>0.03</v>
      </c>
    </row>
    <row r="12" spans="1:35" ht="20.100000000000001" customHeight="1" x14ac:dyDescent="0.25">
      <c r="A12" s="14"/>
      <c r="D12" t="str" cm="1">
        <f t="array" ref="D12">Common_InputFunctions.Utility_DisplayArrayInTable(Electricity_SourceData.Electricity_Scope2Scope3LocationBased_Data(), Table_SourceData_ElectricityEFs[[#Headers],[State, Territory or grid description]], 0)</f>
        <v>Victoria</v>
      </c>
      <c r="E12" cm="1">
        <f t="array" ref="E12">Common_InputFunctions.Utility_DisplayArrayInTable(Electricity_SourceData.Electricity_Scope2Scope3LocationBased_Data(), Table_SourceData_ElectricityEFs[[#Headers],[State, Territory or grid description]], 0)</f>
        <v>0.78</v>
      </c>
      <c r="F12" cm="1">
        <f t="array" ref="F12">Common_InputFunctions.Utility_DisplayArrayInTable(Electricity_SourceData.Electricity_Scope2Scope3LocationBased_Data(), Table_SourceData_ElectricityEFs[[#Headers],[State, Territory or grid description]], 0)</f>
        <v>0.09</v>
      </c>
    </row>
    <row r="13" spans="1:35" ht="20.100000000000001" customHeight="1" x14ac:dyDescent="0.25">
      <c r="A13" s="15" t="s">
        <v>2</v>
      </c>
      <c r="D13" t="str" cm="1">
        <f t="array" ref="D13">Common_InputFunctions.Utility_DisplayArrayInTable(Electricity_SourceData.Electricity_Scope2Scope3LocationBased_Data(), Table_SourceData_ElectricityEFs[[#Headers],[State, Territory or grid description]], 0)</f>
        <v>Queensland</v>
      </c>
      <c r="E13" cm="1">
        <f t="array" ref="E13">Common_InputFunctions.Utility_DisplayArrayInTable(Electricity_SourceData.Electricity_Scope2Scope3LocationBased_Data(), Table_SourceData_ElectricityEFs[[#Headers],[State, Territory or grid description]], 0)</f>
        <v>0.67</v>
      </c>
      <c r="F13" cm="1">
        <f t="array" ref="F13">Common_InputFunctions.Utility_DisplayArrayInTable(Electricity_SourceData.Electricity_Scope2Scope3LocationBased_Data(), Table_SourceData_ElectricityEFs[[#Headers],[State, Territory or grid description]], 0)</f>
        <v>0.09</v>
      </c>
    </row>
    <row r="14" spans="1:35" ht="20.100000000000001" customHeight="1" x14ac:dyDescent="0.25">
      <c r="A14" s="61" t="str">
        <f>HYPERLINK("#'Constants - Electricity'!A1", "Constants - Electricity")</f>
        <v>Constants - Electricity</v>
      </c>
      <c r="D14" t="str" cm="1">
        <f t="array" ref="D14">Common_InputFunctions.Utility_DisplayArrayInTable(Electricity_SourceData.Electricity_Scope2Scope3LocationBased_Data(), Table_SourceData_ElectricityEFs[[#Headers],[State, Territory or grid description]], 0)</f>
        <v>South Australia</v>
      </c>
      <c r="E14" cm="1">
        <f t="array" ref="E14">Common_InputFunctions.Utility_DisplayArrayInTable(Electricity_SourceData.Electricity_Scope2Scope3LocationBased_Data(), Table_SourceData_ElectricityEFs[[#Headers],[State, Territory or grid description]], 0)</f>
        <v>0.22</v>
      </c>
      <c r="F14" cm="1">
        <f t="array" ref="F14">Common_InputFunctions.Utility_DisplayArrayInTable(Electricity_SourceData.Electricity_Scope2Scope3LocationBased_Data(), Table_SourceData_ElectricityEFs[[#Headers],[State, Territory or grid description]], 0)</f>
        <v>0.04</v>
      </c>
    </row>
    <row r="15" spans="1:35" ht="20.100000000000001" customHeight="1" x14ac:dyDescent="0.25">
      <c r="A15" s="14" t="str">
        <f>HYPERLINK("#'Constants - Common'!A1", "Constants - Common")</f>
        <v>Constants - Common</v>
      </c>
      <c r="D15" t="str" cm="1">
        <f t="array" ref="D15">Common_InputFunctions.Utility_DisplayArrayInTable(Electricity_SourceData.Electricity_Scope2Scope3LocationBased_Data(), Table_SourceData_ElectricityEFs[[#Headers],[State, Territory or grid description]], 0)</f>
        <v>Western Australia - South West Interconnected System (SWIS)</v>
      </c>
      <c r="E15" cm="1">
        <f t="array" ref="E15">Common_InputFunctions.Utility_DisplayArrayInTable(Electricity_SourceData.Electricity_Scope2Scope3LocationBased_Data(), Table_SourceData_ElectricityEFs[[#Headers],[State, Territory or grid description]], 0)</f>
        <v>0.5</v>
      </c>
      <c r="F15" cm="1">
        <f t="array" ref="F15">Common_InputFunctions.Utility_DisplayArrayInTable(Electricity_SourceData.Electricity_Scope2Scope3LocationBased_Data(), Table_SourceData_ElectricityEFs[[#Headers],[State, Territory or grid description]], 0)</f>
        <v>0.06</v>
      </c>
    </row>
    <row r="16" spans="1:35" ht="20.100000000000001" customHeight="1" x14ac:dyDescent="0.25">
      <c r="D16" t="str" cm="1">
        <f t="array" ref="D16">Common_InputFunctions.Utility_DisplayArrayInTable(Electricity_SourceData.Electricity_Scope2Scope3LocationBased_Data(), Table_SourceData_ElectricityEFs[[#Headers],[State, Territory or grid description]], 0)</f>
        <v>Western Australia - North Western Interconnected System (NWIS)</v>
      </c>
      <c r="E16" cm="1">
        <f t="array" ref="E16">Common_InputFunctions.Utility_DisplayArrayInTable(Electricity_SourceData.Electricity_Scope2Scope3LocationBased_Data(), Table_SourceData_ElectricityEFs[[#Headers],[State, Territory or grid description]], 0)</f>
        <v>0.56000000000000005</v>
      </c>
      <c r="F16" cm="1">
        <f t="array" ref="F16">Common_InputFunctions.Utility_DisplayArrayInTable(Electricity_SourceData.Electricity_Scope2Scope3LocationBased_Data(), Table_SourceData_ElectricityEFs[[#Headers],[State, Territory or grid description]], 0)</f>
        <v>0.09</v>
      </c>
    </row>
    <row r="17" spans="1:8" ht="20.100000000000001" customHeight="1" x14ac:dyDescent="0.25">
      <c r="D17" t="str" cm="1">
        <f t="array" ref="D17">Common_InputFunctions.Utility_DisplayArrayInTable(Electricity_SourceData.Electricity_Scope2Scope3LocationBased_Data(), Table_SourceData_ElectricityEFs[[#Headers],[State, Territory or grid description]], 0)</f>
        <v>Tasmania</v>
      </c>
      <c r="E17" cm="1">
        <f t="array" ref="E17">Common_InputFunctions.Utility_DisplayArrayInTable(Electricity_SourceData.Electricity_Scope2Scope3LocationBased_Data(), Table_SourceData_ElectricityEFs[[#Headers],[State, Territory or grid description]], 0)</f>
        <v>0.2</v>
      </c>
      <c r="F17" cm="1">
        <f t="array" ref="F17">Common_InputFunctions.Utility_DisplayArrayInTable(Electricity_SourceData.Electricity_Scope2Scope3LocationBased_Data(), Table_SourceData_ElectricityEFs[[#Headers],[State, Territory or grid description]], 0)</f>
        <v>0.03</v>
      </c>
    </row>
    <row r="18" spans="1:8" ht="20.100000000000001" customHeight="1" x14ac:dyDescent="0.25">
      <c r="D18" t="str" cm="1">
        <f t="array" ref="D18">Common_InputFunctions.Utility_DisplayArrayInTable(Electricity_SourceData.Electricity_Scope2Scope3LocationBased_Data(), Table_SourceData_ElectricityEFs[[#Headers],[State, Territory or grid description]], 0)</f>
        <v>Northern Territory - Darwin Katherine Interconnected System (DKIS)</v>
      </c>
      <c r="E18" cm="1">
        <f t="array" ref="E18">Common_InputFunctions.Utility_DisplayArrayInTable(Electricity_SourceData.Electricity_Scope2Scope3LocationBased_Data(), Table_SourceData_ElectricityEFs[[#Headers],[State, Territory or grid description]], 0)</f>
        <v>0.56000000000000005</v>
      </c>
      <c r="F18" cm="1">
        <f t="array" ref="F18">Common_InputFunctions.Utility_DisplayArrayInTable(Electricity_SourceData.Electricity_Scope2Scope3LocationBased_Data(), Table_SourceData_ElectricityEFs[[#Headers],[State, Territory or grid description]], 0)</f>
        <v>0.09</v>
      </c>
    </row>
    <row r="19" spans="1:8" ht="20.100000000000001" customHeight="1" x14ac:dyDescent="0.25">
      <c r="D19" t="str" cm="1">
        <f t="array" ref="D19">Common_InputFunctions.Utility_DisplayArrayInTable(Electricity_SourceData.Electricity_Scope2Scope3LocationBased_Data(), Table_SourceData_ElectricityEFs[[#Headers],[State, Territory or grid description]], 0)</f>
        <v>National</v>
      </c>
      <c r="E19" cm="1">
        <f t="array" ref="E19">Common_InputFunctions.Utility_DisplayArrayInTable(Electricity_SourceData.Electricity_Scope2Scope3LocationBased_Data(), Table_SourceData_ElectricityEFs[[#Headers],[State, Territory or grid description]], 0)</f>
        <v>0.62</v>
      </c>
      <c r="F19" cm="1">
        <f t="array" ref="F19">Common_InputFunctions.Utility_DisplayArrayInTable(Electricity_SourceData.Electricity_Scope2Scope3LocationBased_Data(), Table_SourceData_ElectricityEFs[[#Headers],[State, Territory or grid description]], 0)</f>
        <v>7.0000000000000007E-2</v>
      </c>
    </row>
    <row r="20" spans="1:8" ht="20.100000000000001" customHeight="1" x14ac:dyDescent="0.25">
      <c r="A20" s="14"/>
    </row>
    <row r="21" spans="1:8" ht="20.100000000000001" customHeight="1" x14ac:dyDescent="0.25">
      <c r="A21" s="14"/>
      <c r="D21" s="6" t="str" cm="1">
        <f t="array" ref="D21">Electricity_SourceData.Electricity_Scope2Scope3MarketBased_Title()</f>
        <v>Electricity scope 2 and scope 3 market-based emission factors</v>
      </c>
    </row>
    <row r="22" spans="1:8" ht="20.100000000000001" customHeight="1" x14ac:dyDescent="0.25">
      <c r="D22" s="5" t="str" cm="1">
        <f t="array" ref="D22">Electricity_SourceData.Electricity_Scope2Scope3MarketBased_Source()</f>
        <v>Australian National Greenhouse Accounts Factors 2025 - Table 2a</v>
      </c>
    </row>
    <row r="23" spans="1:8" ht="20.100000000000001" customHeight="1" x14ac:dyDescent="0.25">
      <c r="A23" s="14"/>
    </row>
    <row r="24" spans="1:8" ht="20.100000000000001" customHeight="1" x14ac:dyDescent="0.25">
      <c r="D24" s="119" t="s">
        <v>112</v>
      </c>
      <c r="E24" s="119" t="s">
        <v>135</v>
      </c>
      <c r="F24" s="119" t="s">
        <v>136</v>
      </c>
      <c r="G24" s="119" t="s">
        <v>137</v>
      </c>
      <c r="H24" s="119" t="s">
        <v>138</v>
      </c>
    </row>
    <row r="25" spans="1:8" ht="20.100000000000001" customHeight="1" x14ac:dyDescent="0.25">
      <c r="D25" t="str" cm="1">
        <f t="array" ref="D25">Common_InputFunctions.Utility_DisplayArrayInTable(Electricity_SourceData.Electricity_Scope2Scope3MarketBased_Data(), Table_SourceData_ElectricityEFsMarketBased[[#Headers],[State, Territory or grid description]], 0)</f>
        <v>National</v>
      </c>
      <c r="E25" cm="1">
        <f t="array" ref="E25">Common_InputFunctions.Utility_DisplayArrayInTable(Electricity_SourceData.Electricity_Scope2Scope3MarketBased_Data(), Table_SourceData_ElectricityEFsMarketBased[[#Headers],[State, Territory or grid description]], 0)</f>
        <v>0.81</v>
      </c>
      <c r="F25" cm="1">
        <f t="array" ref="F25">Common_InputFunctions.Utility_DisplayArrayInTable(Electricity_SourceData.Electricity_Scope2Scope3MarketBased_Data(), Table_SourceData_ElectricityEFsMarketBased[[#Headers],[State, Territory or grid description]], 0)</f>
        <v>226</v>
      </c>
      <c r="G25" cm="1">
        <f t="array" ref="G25">Common_InputFunctions.Utility_DisplayArrayInTable(Electricity_SourceData.Electricity_Scope2Scope3MarketBased_Data(), Table_SourceData_ElectricityEFsMarketBased[[#Headers],[State, Territory or grid description]], 0)</f>
        <v>0.1</v>
      </c>
      <c r="H25" cm="1">
        <f t="array" ref="H25">Common_InputFunctions.Utility_DisplayArrayInTable(Electricity_SourceData.Electricity_Scope2Scope3MarketBased_Data(), Table_SourceData_ElectricityEFsMarketBased[[#Headers],[State, Territory or grid description]], 0)</f>
        <v>29</v>
      </c>
    </row>
    <row r="26" spans="1:8" ht="20.100000000000001" customHeight="1" x14ac:dyDescent="0.25"/>
    <row r="27" spans="1:8" ht="20.100000000000001" customHeight="1" x14ac:dyDescent="0.25"/>
    <row r="28" spans="1:8" ht="20.100000000000001" customHeight="1" x14ac:dyDescent="0.25"/>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honeticPr fontId="21" type="noConversion"/>
  <pageMargins left="0.7" right="0.7" top="0.75" bottom="0.75" header="0.3" footer="0.3"/>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791DA-4C9F-4E69-8908-19D0D65BC2E4}">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46</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0"/>
      <c r="W3" s="10"/>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27" t="s">
        <v>6</v>
      </c>
      <c r="E6" s="27" t="s">
        <v>7</v>
      </c>
      <c r="F6" s="27" t="s">
        <v>8</v>
      </c>
    </row>
    <row r="7" spans="1:65" ht="20.100000000000001" customHeight="1" x14ac:dyDescent="0.25">
      <c r="A7"/>
      <c r="D7" s="27" t="str" cm="1">
        <f t="array" ref="D7">Common_InputFunctions.Utility_DisplayArrayInTable(Common_SourceData.Common_SourceData_AustralianStatesTerritories_Data(),Table_AustralianStates[[#Headers],[State/Territory]],0)</f>
        <v>New South Wales</v>
      </c>
      <c r="E7" s="27" t="str" cm="1">
        <f t="array" ref="E7">Common_InputFunctions.Utility_DisplayArrayInTable(Common_SourceData.Common_SourceData_AustralianStatesTerritories_Data(),Table_AustralianStates[[#Headers],[State/Territory]],0)</f>
        <v>New South Wales</v>
      </c>
      <c r="F7" s="27" t="str" cm="1">
        <f t="array" ref="F7">Common_InputFunctions.Utility_DisplayArrayInTable(Common_SourceData.Common_SourceData_AustralianStatesTerritories_Data(),Table_AustralianStates[[#Headers],[State/Territory]],0)</f>
        <v>NSW</v>
      </c>
    </row>
    <row r="8" spans="1:65" ht="20.100000000000001" customHeight="1" x14ac:dyDescent="0.25">
      <c r="A8"/>
      <c r="D8" s="27" t="str" cm="1">
        <f t="array" ref="D8">Common_InputFunctions.Utility_DisplayArrayInTable(Common_SourceData.Common_SourceData_AustralianStatesTerritories_Data(),Table_AustralianStates[[#Headers],[State/Territory]],0)</f>
        <v>Australian Capital Territory</v>
      </c>
      <c r="E8" s="27" t="str" cm="1">
        <f t="array" ref="E8">Common_InputFunctions.Utility_DisplayArrayInTable(Common_SourceData.Common_SourceData_AustralianStatesTerritories_Data(),Table_AustralianStates[[#Headers],[State/Territory]],0)</f>
        <v>ACT</v>
      </c>
      <c r="F8" s="27" t="str" cm="1">
        <f t="array" ref="F8">Common_InputFunctions.Utility_DisplayArrayInTable(Common_SourceData.Common_SourceData_AustralianStatesTerritories_Data(),Table_AustralianStates[[#Headers],[State/Territory]],0)</f>
        <v>ACT</v>
      </c>
    </row>
    <row r="9" spans="1:65" ht="20.100000000000001" customHeight="1" x14ac:dyDescent="0.25">
      <c r="A9"/>
      <c r="D9" s="27" t="str" cm="1">
        <f t="array" ref="D9">Common_InputFunctions.Utility_DisplayArrayInTable(Common_SourceData.Common_SourceData_AustralianStatesTerritories_Data(),Table_AustralianStates[[#Headers],[State/Territory]],0)</f>
        <v>Victoria</v>
      </c>
      <c r="E9" s="27" t="str" cm="1">
        <f t="array" ref="E9">Common_InputFunctions.Utility_DisplayArrayInTable(Common_SourceData.Common_SourceData_AustralianStatesTerritories_Data(),Table_AustralianStates[[#Headers],[State/Territory]],0)</f>
        <v>Victoria</v>
      </c>
      <c r="F9" s="2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27" t="str" cm="1">
        <f t="array" ref="D10">Common_InputFunctions.Utility_DisplayArrayInTable(Common_SourceData.Common_SourceData_AustralianStatesTerritories_Data(),Table_AustralianStates[[#Headers],[State/Territory]],0)</f>
        <v>Queensland</v>
      </c>
      <c r="E10" s="27" t="str" cm="1">
        <f t="array" ref="E10">Common_InputFunctions.Utility_DisplayArrayInTable(Common_SourceData.Common_SourceData_AustralianStatesTerritories_Data(),Table_AustralianStates[[#Headers],[State/Territory]],0)</f>
        <v>Queensland</v>
      </c>
      <c r="F10" s="2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27" t="str" cm="1">
        <f t="array" ref="D11">Common_InputFunctions.Utility_DisplayArrayInTable(Common_SourceData.Common_SourceData_AustralianStatesTerritories_Data(),Table_AustralianStates[[#Headers],[State/Territory]],0)</f>
        <v>South Australia</v>
      </c>
      <c r="E11" s="27" t="str" cm="1">
        <f t="array" ref="E11">Common_InputFunctions.Utility_DisplayArrayInTable(Common_SourceData.Common_SourceData_AustralianStatesTerritories_Data(),Table_AustralianStates[[#Headers],[State/Territory]],0)</f>
        <v>South Australia</v>
      </c>
      <c r="F11" s="2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27" t="str" cm="1">
        <f t="array" ref="D12">Common_InputFunctions.Utility_DisplayArrayInTable(Common_SourceData.Common_SourceData_AustralianStatesTerritories_Data(),Table_AustralianStates[[#Headers],[State/Territory]],0)</f>
        <v>Western Australia</v>
      </c>
      <c r="E12" s="27" t="str" cm="1">
        <f t="array" ref="E12">Common_InputFunctions.Utility_DisplayArrayInTable(Common_SourceData.Common_SourceData_AustralianStatesTerritories_Data(),Table_AustralianStates[[#Headers],[State/Territory]],0)</f>
        <v>Western Australia</v>
      </c>
      <c r="F12" s="2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27" t="str" cm="1">
        <f t="array" ref="D13">Common_InputFunctions.Utility_DisplayArrayInTable(Common_SourceData.Common_SourceData_AustralianStatesTerritories_Data(),Table_AustralianStates[[#Headers],[State/Territory]],0)</f>
        <v>Tasmania</v>
      </c>
      <c r="E13" s="27" t="str" cm="1">
        <f t="array" ref="E13">Common_InputFunctions.Utility_DisplayArrayInTable(Common_SourceData.Common_SourceData_AustralianStatesTerritories_Data(),Table_AustralianStates[[#Headers],[State/Territory]],0)</f>
        <v>Tasmania</v>
      </c>
      <c r="F13" s="2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27" t="str" cm="1">
        <f t="array" ref="D14">Common_InputFunctions.Utility_DisplayArrayInTable(Common_SourceData.Common_SourceData_AustralianStatesTerritories_Data(),Table_AustralianStates[[#Headers],[State/Territory]],0)</f>
        <v>Northern Territory</v>
      </c>
      <c r="E14" s="27" t="str" cm="1">
        <f t="array" ref="E14">Common_InputFunctions.Utility_DisplayArrayInTable(Common_SourceData.Common_SourceData_AustralianStatesTerritories_Data(),Table_AustralianStates[[#Headers],[State/Territory]],0)</f>
        <v>Northern Territory</v>
      </c>
      <c r="F14" s="2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27" t="s">
        <v>9</v>
      </c>
    </row>
    <row r="21" spans="1:4" ht="20.100000000000001" customHeight="1" x14ac:dyDescent="0.25">
      <c r="A21"/>
      <c r="D21" s="27" t="str" cm="1">
        <f t="array" ref="D21">Common_InputFunctions.Utility_DisplayArrayInTable(Common_SourceData.Common_SourceData_WASA4Areas_Data(), Table_WASA4Areas[[#Headers],[SA 4 Name]], 0)</f>
        <v>Bunbury</v>
      </c>
    </row>
    <row r="22" spans="1:4" ht="20.100000000000001" customHeight="1" x14ac:dyDescent="0.25">
      <c r="A22"/>
      <c r="D22" s="27" t="str" cm="1">
        <f t="array" ref="D22">Common_InputFunctions.Utility_DisplayArrayInTable(Common_SourceData.Common_SourceData_WASA4Areas_Data(), Table_WASA4Areas[[#Headers],[SA 4 Name]], 0)</f>
        <v>Mandurah</v>
      </c>
    </row>
    <row r="23" spans="1:4" ht="20.100000000000001" customHeight="1" x14ac:dyDescent="0.25">
      <c r="A23"/>
      <c r="D23" s="27" t="str" cm="1">
        <f t="array" ref="D23">Common_InputFunctions.Utility_DisplayArrayInTable(Common_SourceData.Common_SourceData_WASA4Areas_Data(), Table_WASA4Areas[[#Headers],[SA 4 Name]], 0)</f>
        <v>Perth - Inner</v>
      </c>
    </row>
    <row r="24" spans="1:4" ht="20.100000000000001" customHeight="1" x14ac:dyDescent="0.25">
      <c r="A24"/>
      <c r="D24" s="27" t="str" cm="1">
        <f t="array" ref="D24">Common_InputFunctions.Utility_DisplayArrayInTable(Common_SourceData.Common_SourceData_WASA4Areas_Data(), Table_WASA4Areas[[#Headers],[SA 4 Name]], 0)</f>
        <v>Perth - North East</v>
      </c>
    </row>
    <row r="25" spans="1:4" ht="20.100000000000001" customHeight="1" x14ac:dyDescent="0.25">
      <c r="A25"/>
      <c r="D25" s="27" t="str" cm="1">
        <f t="array" ref="D25">Common_InputFunctions.Utility_DisplayArrayInTable(Common_SourceData.Common_SourceData_WASA4Areas_Data(), Table_WASA4Areas[[#Headers],[SA 4 Name]], 0)</f>
        <v>Perth - North West</v>
      </c>
    </row>
    <row r="26" spans="1:4" ht="20.100000000000001" customHeight="1" x14ac:dyDescent="0.25">
      <c r="A26"/>
      <c r="D26" s="27" t="str" cm="1">
        <f t="array" ref="D26">Common_InputFunctions.Utility_DisplayArrayInTable(Common_SourceData.Common_SourceData_WASA4Areas_Data(), Table_WASA4Areas[[#Headers],[SA 4 Name]], 0)</f>
        <v>Perth - South East</v>
      </c>
    </row>
    <row r="27" spans="1:4" ht="20.100000000000001" customHeight="1" x14ac:dyDescent="0.25">
      <c r="A27"/>
      <c r="D27" s="27" t="str" cm="1">
        <f t="array" ref="D27">Common_InputFunctions.Utility_DisplayArrayInTable(Common_SourceData.Common_SourceData_WASA4Areas_Data(), Table_WASA4Areas[[#Headers],[SA 4 Name]], 0)</f>
        <v>Perth - South West</v>
      </c>
    </row>
    <row r="28" spans="1:4" ht="20.100000000000001" customHeight="1" x14ac:dyDescent="0.25">
      <c r="A28"/>
      <c r="D28" s="2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2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2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27" t="s">
        <v>11</v>
      </c>
      <c r="E36" s="27" t="s">
        <v>12</v>
      </c>
    </row>
    <row r="37" spans="1:8" ht="20.100000000000001" customHeight="1" x14ac:dyDescent="0.25">
      <c r="A37"/>
      <c r="D37" s="27" t="str" cm="1">
        <f t="array" ref="D37">Common_InputFunctions.Utility_DisplayArrayInTable(Common_SourceData.Common_SourceData_GWP_Data(), Table_GWPData[[#Headers],[Gas]], 0)</f>
        <v>CO2</v>
      </c>
      <c r="E37" s="27" cm="1">
        <f t="array" ref="E37">Common_InputFunctions.Utility_DisplayArrayInTable(Common_SourceData.Common_SourceData_GWP_Data(), Table_GWPData[[#Headers],[Gas]], 0)</f>
        <v>1</v>
      </c>
    </row>
    <row r="38" spans="1:8" ht="20.100000000000001" customHeight="1" x14ac:dyDescent="0.25">
      <c r="A38"/>
      <c r="D38" s="27" t="str" cm="1">
        <f t="array" ref="D38">Common_InputFunctions.Utility_DisplayArrayInTable(Common_SourceData.Common_SourceData_GWP_Data(), Table_GWPData[[#Headers],[Gas]], 0)</f>
        <v>CH4</v>
      </c>
      <c r="E38" s="27" cm="1">
        <f t="array" ref="E38">Common_InputFunctions.Utility_DisplayArrayInTable(Common_SourceData.Common_SourceData_GWP_Data(), Table_GWPData[[#Headers],[Gas]], 0)</f>
        <v>28</v>
      </c>
    </row>
    <row r="39" spans="1:8" ht="20.100000000000001" customHeight="1" x14ac:dyDescent="0.25">
      <c r="A39"/>
      <c r="D39" s="27" t="str" cm="1">
        <f t="array" ref="D39">Common_InputFunctions.Utility_DisplayArrayInTable(Common_SourceData.Common_SourceData_GWP_Data(), Table_GWPData[[#Headers],[Gas]], 0)</f>
        <v>N2O</v>
      </c>
      <c r="E39" s="27" cm="1">
        <f t="array" ref="E39">Common_InputFunctions.Utility_DisplayArrayInTable(Common_SourceData.Common_SourceData_GWP_Data(), Table_GWPData[[#Headers],[Gas]], 0)</f>
        <v>265</v>
      </c>
    </row>
    <row r="40" spans="1:8" ht="20.100000000000001" customHeight="1" x14ac:dyDescent="0.25">
      <c r="A40"/>
      <c r="D40" s="27" t="str" cm="1">
        <f t="array" ref="D40">Common_InputFunctions.Utility_DisplayArrayInTable(Common_SourceData.Common_SourceData_GWP_Data(), Table_GWPData[[#Headers],[Gas]], 0)</f>
        <v>CF4</v>
      </c>
      <c r="E40" s="27" cm="1">
        <f t="array" ref="E40">Common_InputFunctions.Utility_DisplayArrayInTable(Common_SourceData.Common_SourceData_GWP_Data(), Table_GWPData[[#Headers],[Gas]], 0)</f>
        <v>6630</v>
      </c>
    </row>
    <row r="41" spans="1:8" ht="20.100000000000001" customHeight="1" x14ac:dyDescent="0.25">
      <c r="A41"/>
      <c r="D41" s="27" t="str" cm="1">
        <f t="array" ref="D41">Common_InputFunctions.Utility_DisplayArrayInTable(Common_SourceData.Common_SourceData_GWP_Data(), Table_GWPData[[#Headers],[Gas]], 0)</f>
        <v>C2F6</v>
      </c>
      <c r="E41" s="27" cm="1">
        <f t="array" ref="E41">Common_InputFunctions.Utility_DisplayArrayInTable(Common_SourceData.Common_SourceData_GWP_Data(), Table_GWPData[[#Headers],[Gas]], 0)</f>
        <v>12200</v>
      </c>
    </row>
    <row r="42" spans="1:8" ht="20.100000000000001" customHeight="1" x14ac:dyDescent="0.25">
      <c r="D42" s="27" t="str" cm="1">
        <f t="array" ref="D42">Common_InputFunctions.Utility_DisplayArrayInTable(Common_SourceData.Common_SourceData_GWP_Data(), Table_GWPData[[#Headers],[Gas]], 0)</f>
        <v>SF6</v>
      </c>
      <c r="E42" s="27" cm="1">
        <f t="array" ref="E42">Common_InputFunctions.Utility_DisplayArrayInTable(Common_SourceData.Common_SourceData_GWP_Data(), Table_GWPData[[#Headers],[Gas]], 0)</f>
        <v>22800</v>
      </c>
    </row>
    <row r="43" spans="1:8" ht="20.100000000000001" customHeight="1" x14ac:dyDescent="0.25">
      <c r="D43" s="27" t="str" cm="1">
        <f t="array" ref="D43">Common_InputFunctions.Utility_DisplayArrayInTable(Common_SourceData.Common_SourceData_GWP_Data(), Table_GWPData[[#Headers],[Gas]], 0)</f>
        <v>NF3</v>
      </c>
      <c r="E43" s="2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27" t="s">
        <v>11</v>
      </c>
      <c r="E47" s="27" t="s">
        <v>14</v>
      </c>
      <c r="F47" s="27" t="s">
        <v>15</v>
      </c>
      <c r="G47" s="27" t="s">
        <v>16</v>
      </c>
      <c r="H47" s="27" t="s">
        <v>17</v>
      </c>
    </row>
    <row r="48" spans="1:8" ht="20.100000000000001" customHeight="1" x14ac:dyDescent="0.25">
      <c r="D48" s="27" t="str" cm="1">
        <f t="array" ref="D48">Common_InputFunctions.Utility_DisplayArrayInTable(Common_SourceData.Common_SourceData_ConvertGasElementalToMolecular_Data(),Table_GasToMolecularConversionFactor[[#Headers],[Gas]], 0)</f>
        <v>CO2</v>
      </c>
      <c r="E48" s="27" t="str" cm="1">
        <f t="array" ref="E48">Common_InputFunctions.Utility_DisplayArrayInTable(Common_SourceData.Common_SourceData_ConvertGasElementalToMolecular_Data(),Table_GasToMolecularConversionFactor[[#Headers],[Gas]], 0)</f>
        <v>44/12</v>
      </c>
      <c r="F48" s="27" cm="1">
        <f t="array" ref="F48">Common_InputFunctions.Utility_DisplayArrayInTable(Common_SourceData.Common_SourceData_ConvertGasElementalToMolecular_Data(),Table_GasToMolecularConversionFactor[[#Headers],[Gas]], 0)</f>
        <v>44</v>
      </c>
      <c r="G48" s="27" cm="1">
        <f t="array" ref="G48">Common_InputFunctions.Utility_DisplayArrayInTable(Common_SourceData.Common_SourceData_ConvertGasElementalToMolecular_Data(),Table_GasToMolecularConversionFactor[[#Headers],[Gas]], 0)</f>
        <v>12</v>
      </c>
      <c r="H48" s="27">
        <f>Table_GasToMolecularConversionFactor[[#This Row],[Conversion factor 1]]/Table_GasToMolecularConversionFactor[[#This Row],[Conversion factor 2]]</f>
        <v>3.6666666666666665</v>
      </c>
    </row>
    <row r="49" spans="4:8" ht="20.100000000000001" customHeight="1" x14ac:dyDescent="0.25">
      <c r="D49" s="27" t="str" cm="1">
        <f t="array" ref="D49">Common_InputFunctions.Utility_DisplayArrayInTable(Common_SourceData.Common_SourceData_ConvertGasElementalToMolecular_Data(),Table_GasToMolecularConversionFactor[[#Headers],[Gas]], 0)</f>
        <v>CH4</v>
      </c>
      <c r="E49" s="27" t="str" cm="1">
        <f t="array" ref="E49">Common_InputFunctions.Utility_DisplayArrayInTable(Common_SourceData.Common_SourceData_ConvertGasElementalToMolecular_Data(),Table_GasToMolecularConversionFactor[[#Headers],[Gas]], 0)</f>
        <v>16/12</v>
      </c>
      <c r="F49" s="27" cm="1">
        <f t="array" ref="F49">Common_InputFunctions.Utility_DisplayArrayInTable(Common_SourceData.Common_SourceData_ConvertGasElementalToMolecular_Data(),Table_GasToMolecularConversionFactor[[#Headers],[Gas]], 0)</f>
        <v>16</v>
      </c>
      <c r="G49" s="27" cm="1">
        <f t="array" ref="G49">Common_InputFunctions.Utility_DisplayArrayInTable(Common_SourceData.Common_SourceData_ConvertGasElementalToMolecular_Data(),Table_GasToMolecularConversionFactor[[#Headers],[Gas]], 0)</f>
        <v>12</v>
      </c>
      <c r="H49" s="27">
        <f>Table_GasToMolecularConversionFactor[[#This Row],[Conversion factor 1]]/Table_GasToMolecularConversionFactor[[#This Row],[Conversion factor 2]]</f>
        <v>1.3333333333333333</v>
      </c>
    </row>
    <row r="50" spans="4:8" ht="20.100000000000001" customHeight="1" x14ac:dyDescent="0.25">
      <c r="D50" s="27" t="str" cm="1">
        <f t="array" ref="D50">Common_InputFunctions.Utility_DisplayArrayInTable(Common_SourceData.Common_SourceData_ConvertGasElementalToMolecular_Data(),Table_GasToMolecularConversionFactor[[#Headers],[Gas]], 0)</f>
        <v>N2O</v>
      </c>
      <c r="E50" s="27" t="str" cm="1">
        <f t="array" ref="E50">Common_InputFunctions.Utility_DisplayArrayInTable(Common_SourceData.Common_SourceData_ConvertGasElementalToMolecular_Data(),Table_GasToMolecularConversionFactor[[#Headers],[Gas]], 0)</f>
        <v>44/28</v>
      </c>
      <c r="F50" s="27" cm="1">
        <f t="array" ref="F50">Common_InputFunctions.Utility_DisplayArrayInTable(Common_SourceData.Common_SourceData_ConvertGasElementalToMolecular_Data(),Table_GasToMolecularConversionFactor[[#Headers],[Gas]], 0)</f>
        <v>44</v>
      </c>
      <c r="G50" s="27" cm="1">
        <f t="array" ref="G50">Common_InputFunctions.Utility_DisplayArrayInTable(Common_SourceData.Common_SourceData_ConvertGasElementalToMolecular_Data(),Table_GasToMolecularConversionFactor[[#Headers],[Gas]], 0)</f>
        <v>28</v>
      </c>
      <c r="H50" s="27">
        <f>Table_GasToMolecularConversionFactor[[#This Row],[Conversion factor 1]]/Table_GasToMolecularConversionFactor[[#This Row],[Conversion factor 2]]</f>
        <v>1.5714285714285714</v>
      </c>
    </row>
    <row r="51" spans="4:8" ht="20.100000000000001" customHeight="1" x14ac:dyDescent="0.25">
      <c r="D51" s="27" t="str" cm="1">
        <f t="array" ref="D51">Common_InputFunctions.Utility_DisplayArrayInTable(Common_SourceData.Common_SourceData_ConvertGasElementalToMolecular_Data(),Table_GasToMolecularConversionFactor[[#Headers],[Gas]], 0)</f>
        <v>Nox</v>
      </c>
      <c r="E51" s="27" t="str" cm="1">
        <f t="array" ref="E51">Common_InputFunctions.Utility_DisplayArrayInTable(Common_SourceData.Common_SourceData_ConvertGasElementalToMolecular_Data(),Table_GasToMolecularConversionFactor[[#Headers],[Gas]], 0)</f>
        <v>46/14</v>
      </c>
      <c r="F51" s="27" cm="1">
        <f t="array" ref="F51">Common_InputFunctions.Utility_DisplayArrayInTable(Common_SourceData.Common_SourceData_ConvertGasElementalToMolecular_Data(),Table_GasToMolecularConversionFactor[[#Headers],[Gas]], 0)</f>
        <v>46</v>
      </c>
      <c r="G51" s="27" cm="1">
        <f t="array" ref="G51">Common_InputFunctions.Utility_DisplayArrayInTable(Common_SourceData.Common_SourceData_ConvertGasElementalToMolecular_Data(),Table_GasToMolecularConversionFactor[[#Headers],[Gas]], 0)</f>
        <v>14</v>
      </c>
      <c r="H51" s="27">
        <f>Table_GasToMolecularConversionFactor[[#This Row],[Conversion factor 1]]/Table_GasToMolecularConversionFactor[[#This Row],[Conversion factor 2]]</f>
        <v>3.2857142857142856</v>
      </c>
    </row>
    <row r="52" spans="4:8" ht="20.100000000000001" customHeight="1" x14ac:dyDescent="0.25">
      <c r="D52" s="27" t="str" cm="1">
        <f t="array" ref="D52">Common_InputFunctions.Utility_DisplayArrayInTable(Common_SourceData.Common_SourceData_ConvertGasElementalToMolecular_Data(),Table_GasToMolecularConversionFactor[[#Headers],[Gas]], 0)</f>
        <v>CO</v>
      </c>
      <c r="E52" s="27" t="str" cm="1">
        <f t="array" ref="E52">Common_InputFunctions.Utility_DisplayArrayInTable(Common_SourceData.Common_SourceData_ConvertGasElementalToMolecular_Data(),Table_GasToMolecularConversionFactor[[#Headers],[Gas]], 0)</f>
        <v>28/12</v>
      </c>
      <c r="F52" s="27" cm="1">
        <f t="array" ref="F52">Common_InputFunctions.Utility_DisplayArrayInTable(Common_SourceData.Common_SourceData_ConvertGasElementalToMolecular_Data(),Table_GasToMolecularConversionFactor[[#Headers],[Gas]], 0)</f>
        <v>28</v>
      </c>
      <c r="G52" s="27" cm="1">
        <f t="array" ref="G52">Common_InputFunctions.Utility_DisplayArrayInTable(Common_SourceData.Common_SourceData_ConvertGasElementalToMolecular_Data(),Table_GasToMolecularConversionFactor[[#Headers],[Gas]], 0)</f>
        <v>12</v>
      </c>
      <c r="H52" s="27">
        <f>Table_GasToMolecularConversionFactor[[#This Row],[Conversion factor 1]]/Table_GasToMolecularConversionFactor[[#This Row],[Conversion factor 2]]</f>
        <v>2.3333333333333335</v>
      </c>
    </row>
    <row r="53" spans="4:8" ht="20.100000000000001" customHeight="1" x14ac:dyDescent="0.25">
      <c r="D53" s="27" t="str" cm="1">
        <f t="array" ref="D53">Common_InputFunctions.Utility_DisplayArrayInTable(Common_SourceData.Common_SourceData_ConvertGasElementalToMolecular_Data(),Table_GasToMolecularConversionFactor[[#Headers],[Gas]], 0)</f>
        <v>CO2 Lime</v>
      </c>
      <c r="E53" s="27" t="str" cm="1">
        <f t="array" ref="E53">Common_InputFunctions.Utility_DisplayArrayInTable(Common_SourceData.Common_SourceData_ConvertGasElementalToMolecular_Data(),Table_GasToMolecularConversionFactor[[#Headers],[Gas]], 0)</f>
        <v>44/12</v>
      </c>
      <c r="F53" s="27" cm="1">
        <f t="array" ref="F53">Common_InputFunctions.Utility_DisplayArrayInTable(Common_SourceData.Common_SourceData_ConvertGasElementalToMolecular_Data(),Table_GasToMolecularConversionFactor[[#Headers],[Gas]], 0)</f>
        <v>44</v>
      </c>
      <c r="G53" s="27" cm="1">
        <f t="array" ref="G53">Common_InputFunctions.Utility_DisplayArrayInTable(Common_SourceData.Common_SourceData_ConvertGasElementalToMolecular_Data(),Table_GasToMolecularConversionFactor[[#Headers],[Gas]], 0)</f>
        <v>12</v>
      </c>
      <c r="H53" s="27">
        <f>Table_GasToMolecularConversionFactor[[#This Row],[Conversion factor 1]]/Table_GasToMolecularConversionFactor[[#This Row],[Conversion factor 2]]</f>
        <v>3.6666666666666665</v>
      </c>
    </row>
    <row r="54" spans="4:8" ht="20.100000000000001" customHeight="1" x14ac:dyDescent="0.25">
      <c r="D54" s="27" t="str" cm="1">
        <f t="array" ref="D54">Common_InputFunctions.Utility_DisplayArrayInTable(Common_SourceData.Common_SourceData_ConvertGasElementalToMolecular_Data(),Table_GasToMolecularConversionFactor[[#Headers],[Gas]], 0)</f>
        <v>NMVOC</v>
      </c>
      <c r="E54" s="27" t="str" cm="1">
        <f t="array" ref="E54">Common_InputFunctions.Utility_DisplayArrayInTable(Common_SourceData.Common_SourceData_ConvertGasElementalToMolecular_Data(),Table_GasToMolecularConversionFactor[[#Headers],[Gas]], 0)</f>
        <v>14/12</v>
      </c>
      <c r="F54" s="27" cm="1">
        <f t="array" ref="F54">Common_InputFunctions.Utility_DisplayArrayInTable(Common_SourceData.Common_SourceData_ConvertGasElementalToMolecular_Data(),Table_GasToMolecularConversionFactor[[#Headers],[Gas]], 0)</f>
        <v>14</v>
      </c>
      <c r="G54" s="27" cm="1">
        <f t="array" ref="G54">Common_InputFunctions.Utility_DisplayArrayInTable(Common_SourceData.Common_SourceData_ConvertGasElementalToMolecular_Data(),Table_GasToMolecularConversionFactor[[#Headers],[Gas]], 0)</f>
        <v>12</v>
      </c>
      <c r="H54" s="2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32" t="str" cm="1">
        <f t="array" ref="D59:D61">"⚠️" &amp; Common_SourceData.Common_SourceData_WetAndDryZones_Variation()</f>
        <v>⚠️VARIATION OF SOURCE DATA:</v>
      </c>
    </row>
    <row r="60" spans="4:8" ht="20.100000000000001" customHeight="1" x14ac:dyDescent="0.25">
      <c r="D60" s="32" t="str">
        <v>⚠️Added warm / cool temperate moist / dry - low frost and high temp classes to accommodate climate scenarios excluded by VEERG criteria.</v>
      </c>
    </row>
    <row r="61" spans="4:8" ht="20.100000000000001" customHeight="1" x14ac:dyDescent="0.25">
      <c r="D61" s="32" t="str">
        <v>⚠️Fixed typo - Changed 'Fry' to 'Dry'.</v>
      </c>
    </row>
    <row r="62" spans="4:8" ht="20.100000000000001" customHeight="1" x14ac:dyDescent="0.25"/>
    <row r="63" spans="4:8" ht="20.100000000000001" customHeight="1" x14ac:dyDescent="0.25">
      <c r="D63" s="27" t="s">
        <v>4</v>
      </c>
      <c r="E63" s="27" t="s">
        <v>31</v>
      </c>
    </row>
    <row r="64" spans="4:8" ht="20.100000000000001" customHeight="1" x14ac:dyDescent="0.25">
      <c r="D64" s="27" t="str" cm="1">
        <f t="array" ref="D64">Common_InputFunctions.Utility_DisplayArrayInTable(Common_SourceData.Common_SourceData_WetAndDryZones_Data(), Table_SourceData_WetDryZones[[#Headers],[Climate zone]], 0)</f>
        <v>Tropical montane</v>
      </c>
      <c r="E64" s="2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27" t="str" cm="1">
        <f t="array" ref="D65">Common_InputFunctions.Utility_DisplayArrayInTable(Common_SourceData.Common_SourceData_WetAndDryZones_Data(), Table_SourceData_WetDryZones[[#Headers],[Climate zone]], 0)</f>
        <v>Tropical wet</v>
      </c>
      <c r="E65" s="2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27" t="str" cm="1">
        <f t="array" ref="D66">Common_InputFunctions.Utility_DisplayArrayInTable(Common_SourceData.Common_SourceData_WetAndDryZones_Data(), Table_SourceData_WetDryZones[[#Headers],[Climate zone]], 0)</f>
        <v>Tropical moist</v>
      </c>
      <c r="E66" s="2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27" t="str" cm="1">
        <f t="array" ref="D67">Common_InputFunctions.Utility_DisplayArrayInTable(Common_SourceData.Common_SourceData_WetAndDryZones_Data(), Table_SourceData_WetDryZones[[#Headers],[Climate zone]], 0)</f>
        <v>Tropical dry</v>
      </c>
      <c r="E67" s="2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27" t="str" cm="1">
        <f t="array" ref="D68">Common_InputFunctions.Utility_DisplayArrayInTable(Common_SourceData.Common_SourceData_WetAndDryZones_Data(), Table_SourceData_WetDryZones[[#Headers],[Climate zone]], 0)</f>
        <v>Warm temperate moist</v>
      </c>
      <c r="E68" s="2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27" t="str" cm="1">
        <f t="array" ref="D69">Common_InputFunctions.Utility_DisplayArrayInTable(Common_SourceData.Common_SourceData_WetAndDryZones_Data(), Table_SourceData_WetDryZones[[#Headers],[Climate zone]], 0)</f>
        <v>Warm temperate dry</v>
      </c>
      <c r="E69" s="2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27" t="str" cm="1">
        <f t="array" ref="D70">Common_InputFunctions.Utility_DisplayArrayInTable(Common_SourceData.Common_SourceData_WetAndDryZones_Data(), Table_SourceData_WetDryZones[[#Headers],[Climate zone]], 0)</f>
        <v>Cool temperate moist</v>
      </c>
      <c r="E70" s="2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27" t="str" cm="1">
        <f t="array" ref="D71">Common_InputFunctions.Utility_DisplayArrayInTable(Common_SourceData.Common_SourceData_WetAndDryZones_Data(), Table_SourceData_WetDryZones[[#Headers],[Climate zone]], 0)</f>
        <v>Cool temperate dry</v>
      </c>
      <c r="E71" s="2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27" t="str" cm="1">
        <f t="array" ref="D72">Common_InputFunctions.Utility_DisplayArrayInTable(Common_SourceData.Common_SourceData_WetAndDryZones_Data(), Table_SourceData_WetDryZones[[#Headers],[Climate zone]], 0)</f>
        <v>Warm temperate moist - low frost</v>
      </c>
      <c r="E72" s="2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27" t="str" cm="1">
        <f t="array" ref="D73">Common_InputFunctions.Utility_DisplayArrayInTable(Common_SourceData.Common_SourceData_WetAndDryZones_Data(), Table_SourceData_WetDryZones[[#Headers],[Climate zone]], 0)</f>
        <v>Warm temperate dry - low frost</v>
      </c>
      <c r="E73" s="2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27" t="str" cm="1">
        <f t="array" ref="D74">Common_InputFunctions.Utility_DisplayArrayInTable(Common_SourceData.Common_SourceData_WetAndDryZones_Data(), Table_SourceData_WetDryZones[[#Headers],[Climate zone]], 0)</f>
        <v>Warm temperate moist - high temp</v>
      </c>
      <c r="E74" s="2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27" t="str" cm="1">
        <f t="array" ref="D75">Common_InputFunctions.Utility_DisplayArrayInTable(Common_SourceData.Common_SourceData_WetAndDryZones_Data(), Table_SourceData_WetDryZones[[#Headers],[Climate zone]], 0)</f>
        <v>Warm temperate dry - high temp</v>
      </c>
      <c r="E75" s="2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27" t="str" cm="1">
        <f t="array" ref="D76">Common_InputFunctions.Utility_DisplayArrayInTable(Common_SourceData.Common_SourceData_WetAndDryZones_Data(), Table_SourceData_WetDryZones[[#Headers],[Climate zone]], 0)</f>
        <v>Cool temperate moist - low frost</v>
      </c>
      <c r="E76" s="2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27" t="str" cm="1">
        <f t="array" ref="D77">Common_InputFunctions.Utility_DisplayArrayInTable(Common_SourceData.Common_SourceData_WetAndDryZones_Data(), Table_SourceData_WetDryZones[[#Headers],[Climate zone]], 0)</f>
        <v>Cool temperate dry - low frost</v>
      </c>
      <c r="E77" s="2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32" t="str" cm="1">
        <f t="array" ref="D83:D87">"⚠️" &amp; Common_SourceData.Common_SourceData_ClimateZones_Variation()</f>
        <v>⚠️VARIATION OF SOURCE DATA:</v>
      </c>
    </row>
    <row r="84" spans="4:20" ht="20.100000000000001" customHeight="1" x14ac:dyDescent="0.25">
      <c r="D84" s="32" t="str">
        <v>⚠️Added warm / cool temperate moist / dry - low frost and high temp classes to accommodate climate scenarios excluded by VEERG criteria.</v>
      </c>
    </row>
    <row r="85" spans="4:20" ht="20.100000000000001" customHeight="1" x14ac:dyDescent="0.25">
      <c r="D85" s="32" t="str">
        <v>⚠️Fixed typo in MAT value for warm temperate dry - changed 10 to 11.</v>
      </c>
    </row>
    <row r="86" spans="4:20" ht="20.100000000000001" customHeight="1" x14ac:dyDescent="0.25">
      <c r="D86" s="32" t="str">
        <v>⚠️Added min and max columns for MAT, MAP, frost days per year, elevation, MAP:PET to calculate zones from real climate data.</v>
      </c>
    </row>
    <row r="87" spans="4:20" ht="20.100000000000001" customHeight="1" x14ac:dyDescent="0.25">
      <c r="D87" s="32" t="str">
        <v>⚠️GAF accepts rainfall as a proxy for precipitation.</v>
      </c>
    </row>
    <row r="88" spans="4:20" ht="20.100000000000001" customHeight="1" x14ac:dyDescent="0.25"/>
    <row r="89" spans="4:20" ht="20.100000000000001" customHeight="1" x14ac:dyDescent="0.25">
      <c r="D89" s="27" t="s">
        <v>4</v>
      </c>
      <c r="E89" s="27" t="s">
        <v>19</v>
      </c>
      <c r="F89" s="27" t="s">
        <v>20</v>
      </c>
      <c r="G89" s="27" t="s">
        <v>21</v>
      </c>
      <c r="H89" s="27" t="s">
        <v>22</v>
      </c>
      <c r="I89" s="27" t="s">
        <v>23</v>
      </c>
      <c r="J89" s="27" t="s">
        <v>24</v>
      </c>
      <c r="K89" s="27" t="s">
        <v>25</v>
      </c>
      <c r="L89" s="27" t="s">
        <v>26</v>
      </c>
      <c r="M89" s="27" t="s">
        <v>27</v>
      </c>
      <c r="N89" s="27" t="s">
        <v>28</v>
      </c>
      <c r="O89" s="27" t="s">
        <v>32</v>
      </c>
      <c r="P89" s="27" t="s">
        <v>29</v>
      </c>
      <c r="Q89" s="27" t="s">
        <v>33</v>
      </c>
      <c r="R89" s="27" t="s">
        <v>30</v>
      </c>
      <c r="S89" s="27" t="s">
        <v>34</v>
      </c>
      <c r="T89" s="27"/>
    </row>
    <row r="90" spans="4:20" ht="20.100000000000001" customHeight="1" x14ac:dyDescent="0.25">
      <c r="D90" s="27" t="str" cm="1">
        <f t="array" ref="D90">Common_InputFunctions.Utility_DisplayArrayInTable(Common_SourceData.Common_SourceData_ClimateZones_Data(), Table_SourceData_ClimateZones[[#Headers],[Climate zone]], 0)</f>
        <v>Tropical montane</v>
      </c>
      <c r="E90" s="27" t="str" cm="1">
        <f t="array" ref="E90">Common_InputFunctions.Utility_DisplayArrayInTable(Common_SourceData.Common_SourceData_ClimateZones_Data(), Table_SourceData_ClimateZones[[#Headers],[Climate zone]], 0)</f>
        <v>&gt; 18 C</v>
      </c>
      <c r="F90" s="27" t="str" cm="1">
        <f t="array" ref="F90">Common_InputFunctions.Utility_DisplayArrayInTable(Common_SourceData.Common_SourceData_ClimateZones_Data(), Table_SourceData_ClimateZones[[#Headers],[Climate zone]], 0)</f>
        <v>Any</v>
      </c>
      <c r="G90" s="27" t="str" cm="1">
        <f t="array" ref="G90">Common_InputFunctions.Utility_DisplayArrayInTable(Common_SourceData.Common_SourceData_ClimateZones_Data(), Table_SourceData_ClimateZones[[#Headers],[Climate zone]], 0)</f>
        <v>≤ 7</v>
      </c>
      <c r="H90" s="27" t="str" cm="1">
        <f t="array" ref="H90">Common_InputFunctions.Utility_DisplayArrayInTable(Common_SourceData.Common_SourceData_ClimateZones_Data(), Table_SourceData_ClimateZones[[#Headers],[Climate zone]], 0)</f>
        <v>&gt; 1000 m</v>
      </c>
      <c r="I90" s="27" t="str" cm="1">
        <f t="array" ref="I90">Common_InputFunctions.Utility_DisplayArrayInTable(Common_SourceData.Common_SourceData_ClimateZones_Data(), Table_SourceData_ClimateZones[[#Headers],[Climate zone]], 0)</f>
        <v>Any</v>
      </c>
      <c r="J90" s="27" cm="1">
        <f t="array" ref="J90">Common_InputFunctions.Utility_DisplayArrayInTable(Common_SourceData.Common_SourceData_ClimateZones_Data(), Table_SourceData_ClimateZones[[#Headers],[Climate zone]], 0)</f>
        <v>18.001000000000001</v>
      </c>
      <c r="K90" s="27" cm="1">
        <f t="array" ref="K90">Common_InputFunctions.Utility_DisplayArrayInTable(Common_SourceData.Common_SourceData_ClimateZones_Data(), Table_SourceData_ClimateZones[[#Headers],[Climate zone]], 0)</f>
        <v>999999</v>
      </c>
      <c r="L90" s="27" cm="1">
        <f t="array" ref="L90">Common_InputFunctions.Utility_DisplayArrayInTable(Common_SourceData.Common_SourceData_ClimateZones_Data(), Table_SourceData_ClimateZones[[#Headers],[Climate zone]], 0)</f>
        <v>-999999</v>
      </c>
      <c r="M90" s="27" cm="1">
        <f t="array" ref="M90">Common_InputFunctions.Utility_DisplayArrayInTable(Common_SourceData.Common_SourceData_ClimateZones_Data(), Table_SourceData_ClimateZones[[#Headers],[Climate zone]], 0)</f>
        <v>999999</v>
      </c>
      <c r="N90" s="27" cm="1">
        <f t="array" ref="N90">Common_InputFunctions.Utility_DisplayArrayInTable(Common_SourceData.Common_SourceData_ClimateZones_Data(), Table_SourceData_ClimateZones[[#Headers],[Climate zone]], 0)</f>
        <v>-999999</v>
      </c>
      <c r="O90" s="27" cm="1">
        <f t="array" ref="O90">Common_InputFunctions.Utility_DisplayArrayInTable(Common_SourceData.Common_SourceData_ClimateZones_Data(), Table_SourceData_ClimateZones[[#Headers],[Climate zone]], 0)</f>
        <v>7</v>
      </c>
      <c r="P90" s="27" cm="1">
        <f t="array" ref="P90">Common_InputFunctions.Utility_DisplayArrayInTable(Common_SourceData.Common_SourceData_ClimateZones_Data(), Table_SourceData_ClimateZones[[#Headers],[Climate zone]], 0)</f>
        <v>1000</v>
      </c>
      <c r="Q90" s="27" cm="1">
        <f t="array" ref="Q90">Common_InputFunctions.Utility_DisplayArrayInTable(Common_SourceData.Common_SourceData_ClimateZones_Data(), Table_SourceData_ClimateZones[[#Headers],[Climate zone]], 0)</f>
        <v>999999</v>
      </c>
      <c r="R90" s="27" cm="1">
        <f t="array" ref="R90">Common_InputFunctions.Utility_DisplayArrayInTable(Common_SourceData.Common_SourceData_ClimateZones_Data(), Table_SourceData_ClimateZones[[#Headers],[Climate zone]], 0)</f>
        <v>-999999</v>
      </c>
      <c r="S90" s="27" cm="1">
        <f t="array" ref="S90">Common_InputFunctions.Utility_DisplayArrayInTable(Common_SourceData.Common_SourceData_ClimateZones_Data(), Table_SourceData_ClimateZones[[#Headers],[Climate zone]], 0)</f>
        <v>999999</v>
      </c>
      <c r="T90" s="27"/>
    </row>
    <row r="91" spans="4:20" ht="20.100000000000001" customHeight="1" x14ac:dyDescent="0.25">
      <c r="D91" s="27" t="str" cm="1">
        <f t="array" ref="D91">Common_InputFunctions.Utility_DisplayArrayInTable(Common_SourceData.Common_SourceData_ClimateZones_Data(), Table_SourceData_ClimateZones[[#Headers],[Climate zone]], 0)</f>
        <v>Tropical wet</v>
      </c>
      <c r="E91" s="27" t="str" cm="1">
        <f t="array" ref="E91">Common_InputFunctions.Utility_DisplayArrayInTable(Common_SourceData.Common_SourceData_ClimateZones_Data(), Table_SourceData_ClimateZones[[#Headers],[Climate zone]], 0)</f>
        <v>&gt; 18 C</v>
      </c>
      <c r="F91" s="27" t="str" cm="1">
        <f t="array" ref="F91">Common_InputFunctions.Utility_DisplayArrayInTable(Common_SourceData.Common_SourceData_ClimateZones_Data(), Table_SourceData_ClimateZones[[#Headers],[Climate zone]], 0)</f>
        <v>&gt; 2000 mm</v>
      </c>
      <c r="G91" s="27" t="str" cm="1">
        <f t="array" ref="G91">Common_InputFunctions.Utility_DisplayArrayInTable(Common_SourceData.Common_SourceData_ClimateZones_Data(), Table_SourceData_ClimateZones[[#Headers],[Climate zone]], 0)</f>
        <v>≤ 7</v>
      </c>
      <c r="H91" s="27" t="str" cm="1">
        <f t="array" ref="H91">Common_InputFunctions.Utility_DisplayArrayInTable(Common_SourceData.Common_SourceData_ClimateZones_Data(), Table_SourceData_ClimateZones[[#Headers],[Climate zone]], 0)</f>
        <v>≤ 1000 m</v>
      </c>
      <c r="I91" s="27" t="str" cm="1">
        <f t="array" ref="I91">Common_InputFunctions.Utility_DisplayArrayInTable(Common_SourceData.Common_SourceData_ClimateZones_Data(), Table_SourceData_ClimateZones[[#Headers],[Climate zone]], 0)</f>
        <v>Any</v>
      </c>
      <c r="J91" s="27" cm="1">
        <f t="array" ref="J91">Common_InputFunctions.Utility_DisplayArrayInTable(Common_SourceData.Common_SourceData_ClimateZones_Data(), Table_SourceData_ClimateZones[[#Headers],[Climate zone]], 0)</f>
        <v>18.001000000000001</v>
      </c>
      <c r="K91" s="27" cm="1">
        <f t="array" ref="K91">Common_InputFunctions.Utility_DisplayArrayInTable(Common_SourceData.Common_SourceData_ClimateZones_Data(), Table_SourceData_ClimateZones[[#Headers],[Climate zone]], 0)</f>
        <v>999999</v>
      </c>
      <c r="L91" s="27" cm="1">
        <f t="array" ref="L91">Common_InputFunctions.Utility_DisplayArrayInTable(Common_SourceData.Common_SourceData_ClimateZones_Data(), Table_SourceData_ClimateZones[[#Headers],[Climate zone]], 0)</f>
        <v>2000.001</v>
      </c>
      <c r="M91" s="27" cm="1">
        <f t="array" ref="M91">Common_InputFunctions.Utility_DisplayArrayInTable(Common_SourceData.Common_SourceData_ClimateZones_Data(), Table_SourceData_ClimateZones[[#Headers],[Climate zone]], 0)</f>
        <v>999999</v>
      </c>
      <c r="N91" s="27" cm="1">
        <f t="array" ref="N91">Common_InputFunctions.Utility_DisplayArrayInTable(Common_SourceData.Common_SourceData_ClimateZones_Data(), Table_SourceData_ClimateZones[[#Headers],[Climate zone]], 0)</f>
        <v>-999999</v>
      </c>
      <c r="O91" s="27" cm="1">
        <f t="array" ref="O91">Common_InputFunctions.Utility_DisplayArrayInTable(Common_SourceData.Common_SourceData_ClimateZones_Data(), Table_SourceData_ClimateZones[[#Headers],[Climate zone]], 0)</f>
        <v>7</v>
      </c>
      <c r="P91" s="27" cm="1">
        <f t="array" ref="P91">Common_InputFunctions.Utility_DisplayArrayInTable(Common_SourceData.Common_SourceData_ClimateZones_Data(), Table_SourceData_ClimateZones[[#Headers],[Climate zone]], 0)</f>
        <v>-999999</v>
      </c>
      <c r="Q91" s="27" cm="1">
        <f t="array" ref="Q91">Common_InputFunctions.Utility_DisplayArrayInTable(Common_SourceData.Common_SourceData_ClimateZones_Data(), Table_SourceData_ClimateZones[[#Headers],[Climate zone]], 0)</f>
        <v>999.99900000000002</v>
      </c>
      <c r="R91" s="27" cm="1">
        <f t="array" ref="R91">Common_InputFunctions.Utility_DisplayArrayInTable(Common_SourceData.Common_SourceData_ClimateZones_Data(), Table_SourceData_ClimateZones[[#Headers],[Climate zone]], 0)</f>
        <v>-999999</v>
      </c>
      <c r="S91" s="27" cm="1">
        <f t="array" ref="S91">Common_InputFunctions.Utility_DisplayArrayInTable(Common_SourceData.Common_SourceData_ClimateZones_Data(), Table_SourceData_ClimateZones[[#Headers],[Climate zone]], 0)</f>
        <v>999999</v>
      </c>
      <c r="T91" s="27"/>
    </row>
    <row r="92" spans="4:20" ht="20.100000000000001" customHeight="1" x14ac:dyDescent="0.25">
      <c r="D92" s="27" t="str" cm="1">
        <f t="array" ref="D92">Common_InputFunctions.Utility_DisplayArrayInTable(Common_SourceData.Common_SourceData_ClimateZones_Data(), Table_SourceData_ClimateZones[[#Headers],[Climate zone]], 0)</f>
        <v>Tropical moist</v>
      </c>
      <c r="E92" s="27" t="str" cm="1">
        <f t="array" ref="E92">Common_InputFunctions.Utility_DisplayArrayInTable(Common_SourceData.Common_SourceData_ClimateZones_Data(), Table_SourceData_ClimateZones[[#Headers],[Climate zone]], 0)</f>
        <v>&gt; 18 C</v>
      </c>
      <c r="F92" s="27" t="str" cm="1">
        <f t="array" ref="F92">Common_InputFunctions.Utility_DisplayArrayInTable(Common_SourceData.Common_SourceData_ClimateZones_Data(), Table_SourceData_ClimateZones[[#Headers],[Climate zone]], 0)</f>
        <v>&gt; 1000 mm - ≤ 2000 mm</v>
      </c>
      <c r="G92" s="27" t="str" cm="1">
        <f t="array" ref="G92">Common_InputFunctions.Utility_DisplayArrayInTable(Common_SourceData.Common_SourceData_ClimateZones_Data(), Table_SourceData_ClimateZones[[#Headers],[Climate zone]], 0)</f>
        <v>≤ 7</v>
      </c>
      <c r="H92" s="27" t="str" cm="1">
        <f t="array" ref="H92">Common_InputFunctions.Utility_DisplayArrayInTable(Common_SourceData.Common_SourceData_ClimateZones_Data(), Table_SourceData_ClimateZones[[#Headers],[Climate zone]], 0)</f>
        <v>≤ 1000 m</v>
      </c>
      <c r="I92" s="27" t="str" cm="1">
        <f t="array" ref="I92">Common_InputFunctions.Utility_DisplayArrayInTable(Common_SourceData.Common_SourceData_ClimateZones_Data(), Table_SourceData_ClimateZones[[#Headers],[Climate zone]], 0)</f>
        <v>Any</v>
      </c>
      <c r="J92" s="27" cm="1">
        <f t="array" ref="J92">Common_InputFunctions.Utility_DisplayArrayInTable(Common_SourceData.Common_SourceData_ClimateZones_Data(), Table_SourceData_ClimateZones[[#Headers],[Climate zone]], 0)</f>
        <v>18.001000000000001</v>
      </c>
      <c r="K92" s="27" cm="1">
        <f t="array" ref="K92">Common_InputFunctions.Utility_DisplayArrayInTable(Common_SourceData.Common_SourceData_ClimateZones_Data(), Table_SourceData_ClimateZones[[#Headers],[Climate zone]], 0)</f>
        <v>999999</v>
      </c>
      <c r="L92" s="27" cm="1">
        <f t="array" ref="L92">Common_InputFunctions.Utility_DisplayArrayInTable(Common_SourceData.Common_SourceData_ClimateZones_Data(), Table_SourceData_ClimateZones[[#Headers],[Climate zone]], 0)</f>
        <v>1000.001</v>
      </c>
      <c r="M92" s="27" cm="1">
        <f t="array" ref="M92">Common_InputFunctions.Utility_DisplayArrayInTable(Common_SourceData.Common_SourceData_ClimateZones_Data(), Table_SourceData_ClimateZones[[#Headers],[Climate zone]], 0)</f>
        <v>2000</v>
      </c>
      <c r="N92" s="27" cm="1">
        <f t="array" ref="N92">Common_InputFunctions.Utility_DisplayArrayInTable(Common_SourceData.Common_SourceData_ClimateZones_Data(), Table_SourceData_ClimateZones[[#Headers],[Climate zone]], 0)</f>
        <v>-999999</v>
      </c>
      <c r="O92" s="27" cm="1">
        <f t="array" ref="O92">Common_InputFunctions.Utility_DisplayArrayInTable(Common_SourceData.Common_SourceData_ClimateZones_Data(), Table_SourceData_ClimateZones[[#Headers],[Climate zone]], 0)</f>
        <v>7</v>
      </c>
      <c r="P92" s="27" cm="1">
        <f t="array" ref="P92">Common_InputFunctions.Utility_DisplayArrayInTable(Common_SourceData.Common_SourceData_ClimateZones_Data(), Table_SourceData_ClimateZones[[#Headers],[Climate zone]], 0)</f>
        <v>-999999</v>
      </c>
      <c r="Q92" s="27" cm="1">
        <f t="array" ref="Q92">Common_InputFunctions.Utility_DisplayArrayInTable(Common_SourceData.Common_SourceData_ClimateZones_Data(), Table_SourceData_ClimateZones[[#Headers],[Climate zone]], 0)</f>
        <v>999.99900000000002</v>
      </c>
      <c r="R92" s="27" cm="1">
        <f t="array" ref="R92">Common_InputFunctions.Utility_DisplayArrayInTable(Common_SourceData.Common_SourceData_ClimateZones_Data(), Table_SourceData_ClimateZones[[#Headers],[Climate zone]], 0)</f>
        <v>-999999</v>
      </c>
      <c r="S92" s="27" cm="1">
        <f t="array" ref="S92">Common_InputFunctions.Utility_DisplayArrayInTable(Common_SourceData.Common_SourceData_ClimateZones_Data(), Table_SourceData_ClimateZones[[#Headers],[Climate zone]], 0)</f>
        <v>999999</v>
      </c>
      <c r="T92" s="27"/>
    </row>
    <row r="93" spans="4:20" ht="20.100000000000001" customHeight="1" x14ac:dyDescent="0.25">
      <c r="D93" s="27" t="str" cm="1">
        <f t="array" ref="D93">Common_InputFunctions.Utility_DisplayArrayInTable(Common_SourceData.Common_SourceData_ClimateZones_Data(), Table_SourceData_ClimateZones[[#Headers],[Climate zone]], 0)</f>
        <v>Tropical dry</v>
      </c>
      <c r="E93" s="27" t="str" cm="1">
        <f t="array" ref="E93">Common_InputFunctions.Utility_DisplayArrayInTable(Common_SourceData.Common_SourceData_ClimateZones_Data(), Table_SourceData_ClimateZones[[#Headers],[Climate zone]], 0)</f>
        <v>&gt; 18 C</v>
      </c>
      <c r="F93" s="27" t="str" cm="1">
        <f t="array" ref="F93">Common_InputFunctions.Utility_DisplayArrayInTable(Common_SourceData.Common_SourceData_ClimateZones_Data(), Table_SourceData_ClimateZones[[#Headers],[Climate zone]], 0)</f>
        <v>≤ 1000 mm</v>
      </c>
      <c r="G93" s="27" t="str" cm="1">
        <f t="array" ref="G93">Common_InputFunctions.Utility_DisplayArrayInTable(Common_SourceData.Common_SourceData_ClimateZones_Data(), Table_SourceData_ClimateZones[[#Headers],[Climate zone]], 0)</f>
        <v>≤ 7</v>
      </c>
      <c r="H93" s="27" t="str" cm="1">
        <f t="array" ref="H93">Common_InputFunctions.Utility_DisplayArrayInTable(Common_SourceData.Common_SourceData_ClimateZones_Data(), Table_SourceData_ClimateZones[[#Headers],[Climate zone]], 0)</f>
        <v>≤ 1000 m</v>
      </c>
      <c r="I93" s="27" t="str" cm="1">
        <f t="array" ref="I93">Common_InputFunctions.Utility_DisplayArrayInTable(Common_SourceData.Common_SourceData_ClimateZones_Data(), Table_SourceData_ClimateZones[[#Headers],[Climate zone]], 0)</f>
        <v>Any</v>
      </c>
      <c r="J93" s="27" cm="1">
        <f t="array" ref="J93">Common_InputFunctions.Utility_DisplayArrayInTable(Common_SourceData.Common_SourceData_ClimateZones_Data(), Table_SourceData_ClimateZones[[#Headers],[Climate zone]], 0)</f>
        <v>18.001000000000001</v>
      </c>
      <c r="K93" s="27" cm="1">
        <f t="array" ref="K93">Common_InputFunctions.Utility_DisplayArrayInTable(Common_SourceData.Common_SourceData_ClimateZones_Data(), Table_SourceData_ClimateZones[[#Headers],[Climate zone]], 0)</f>
        <v>999999</v>
      </c>
      <c r="L93" s="27" cm="1">
        <f t="array" ref="L93">Common_InputFunctions.Utility_DisplayArrayInTable(Common_SourceData.Common_SourceData_ClimateZones_Data(), Table_SourceData_ClimateZones[[#Headers],[Climate zone]], 0)</f>
        <v>-999999</v>
      </c>
      <c r="M93" s="27" cm="1">
        <f t="array" ref="M93">Common_InputFunctions.Utility_DisplayArrayInTable(Common_SourceData.Common_SourceData_ClimateZones_Data(), Table_SourceData_ClimateZones[[#Headers],[Climate zone]], 0)</f>
        <v>1000</v>
      </c>
      <c r="N93" s="27" cm="1">
        <f t="array" ref="N93">Common_InputFunctions.Utility_DisplayArrayInTable(Common_SourceData.Common_SourceData_ClimateZones_Data(), Table_SourceData_ClimateZones[[#Headers],[Climate zone]], 0)</f>
        <v>-999999</v>
      </c>
      <c r="O93" s="27" cm="1">
        <f t="array" ref="O93">Common_InputFunctions.Utility_DisplayArrayInTable(Common_SourceData.Common_SourceData_ClimateZones_Data(), Table_SourceData_ClimateZones[[#Headers],[Climate zone]], 0)</f>
        <v>7</v>
      </c>
      <c r="P93" s="27" cm="1">
        <f t="array" ref="P93">Common_InputFunctions.Utility_DisplayArrayInTable(Common_SourceData.Common_SourceData_ClimateZones_Data(), Table_SourceData_ClimateZones[[#Headers],[Climate zone]], 0)</f>
        <v>-999999</v>
      </c>
      <c r="Q93" s="27" cm="1">
        <f t="array" ref="Q93">Common_InputFunctions.Utility_DisplayArrayInTable(Common_SourceData.Common_SourceData_ClimateZones_Data(), Table_SourceData_ClimateZones[[#Headers],[Climate zone]], 0)</f>
        <v>999.99900000000002</v>
      </c>
      <c r="R93" s="27" cm="1">
        <f t="array" ref="R93">Common_InputFunctions.Utility_DisplayArrayInTable(Common_SourceData.Common_SourceData_ClimateZones_Data(), Table_SourceData_ClimateZones[[#Headers],[Climate zone]], 0)</f>
        <v>-999999</v>
      </c>
      <c r="S93" s="27" cm="1">
        <f t="array" ref="S93">Common_InputFunctions.Utility_DisplayArrayInTable(Common_SourceData.Common_SourceData_ClimateZones_Data(), Table_SourceData_ClimateZones[[#Headers],[Climate zone]], 0)</f>
        <v>999999</v>
      </c>
      <c r="T93" s="27"/>
    </row>
    <row r="94" spans="4:20" ht="20.100000000000001" customHeight="1" x14ac:dyDescent="0.25">
      <c r="D94" s="27" t="str" cm="1">
        <f t="array" ref="D94">Common_InputFunctions.Utility_DisplayArrayInTable(Common_SourceData.Common_SourceData_ClimateZones_Data(), Table_SourceData_ClimateZones[[#Headers],[Climate zone]], 0)</f>
        <v>Warm temperate moist</v>
      </c>
      <c r="E94" s="27" t="str" cm="1">
        <f t="array" ref="E94">Common_InputFunctions.Utility_DisplayArrayInTable(Common_SourceData.Common_SourceData_ClimateZones_Data(), Table_SourceData_ClimateZones[[#Headers],[Climate zone]], 0)</f>
        <v>&gt; 10 C</v>
      </c>
      <c r="F94" s="27" t="str" cm="1">
        <f t="array" ref="F94">Common_InputFunctions.Utility_DisplayArrayInTable(Common_SourceData.Common_SourceData_ClimateZones_Data(), Table_SourceData_ClimateZones[[#Headers],[Climate zone]], 0)</f>
        <v>Any</v>
      </c>
      <c r="G94" s="27" t="str" cm="1">
        <f t="array" ref="G94">Common_InputFunctions.Utility_DisplayArrayInTable(Common_SourceData.Common_SourceData_ClimateZones_Data(), Table_SourceData_ClimateZones[[#Headers],[Climate zone]], 0)</f>
        <v>Any</v>
      </c>
      <c r="H94" s="27" t="str" cm="1">
        <f t="array" ref="H94">Common_InputFunctions.Utility_DisplayArrayInTable(Common_SourceData.Common_SourceData_ClimateZones_Data(), Table_SourceData_ClimateZones[[#Headers],[Climate zone]], 0)</f>
        <v>Any</v>
      </c>
      <c r="I94" s="27" t="str" cm="1">
        <f t="array" ref="I94">Common_InputFunctions.Utility_DisplayArrayInTable(Common_SourceData.Common_SourceData_ClimateZones_Data(), Table_SourceData_ClimateZones[[#Headers],[Climate zone]], 0)</f>
        <v>&gt; 1</v>
      </c>
      <c r="J94" s="27" cm="1">
        <f t="array" ref="J94">Common_InputFunctions.Utility_DisplayArrayInTable(Common_SourceData.Common_SourceData_ClimateZones_Data(), Table_SourceData_ClimateZones[[#Headers],[Climate zone]], 0)</f>
        <v>10.000999999999999</v>
      </c>
      <c r="K94" s="27" cm="1">
        <f t="array" ref="K94">Common_InputFunctions.Utility_DisplayArrayInTable(Common_SourceData.Common_SourceData_ClimateZones_Data(), Table_SourceData_ClimateZones[[#Headers],[Climate zone]], 0)</f>
        <v>999999</v>
      </c>
      <c r="L94" s="27" cm="1">
        <f t="array" ref="L94">Common_InputFunctions.Utility_DisplayArrayInTable(Common_SourceData.Common_SourceData_ClimateZones_Data(), Table_SourceData_ClimateZones[[#Headers],[Climate zone]], 0)</f>
        <v>-999999</v>
      </c>
      <c r="M94" s="27" cm="1">
        <f t="array" ref="M94">Common_InputFunctions.Utility_DisplayArrayInTable(Common_SourceData.Common_SourceData_ClimateZones_Data(), Table_SourceData_ClimateZones[[#Headers],[Climate zone]], 0)</f>
        <v>999999</v>
      </c>
      <c r="N94" s="27" cm="1">
        <f t="array" ref="N94">Common_InputFunctions.Utility_DisplayArrayInTable(Common_SourceData.Common_SourceData_ClimateZones_Data(), Table_SourceData_ClimateZones[[#Headers],[Climate zone]], 0)</f>
        <v>-999999</v>
      </c>
      <c r="O94" s="27" cm="1">
        <f t="array" ref="O94">Common_InputFunctions.Utility_DisplayArrayInTable(Common_SourceData.Common_SourceData_ClimateZones_Data(), Table_SourceData_ClimateZones[[#Headers],[Climate zone]], 0)</f>
        <v>999999</v>
      </c>
      <c r="P94" s="27" cm="1">
        <f t="array" ref="P94">Common_InputFunctions.Utility_DisplayArrayInTable(Common_SourceData.Common_SourceData_ClimateZones_Data(), Table_SourceData_ClimateZones[[#Headers],[Climate zone]], 0)</f>
        <v>-999999</v>
      </c>
      <c r="Q94" s="27" cm="1">
        <f t="array" ref="Q94">Common_InputFunctions.Utility_DisplayArrayInTable(Common_SourceData.Common_SourceData_ClimateZones_Data(), Table_SourceData_ClimateZones[[#Headers],[Climate zone]], 0)</f>
        <v>999999</v>
      </c>
      <c r="R94" s="27" cm="1">
        <f t="array" ref="R94">Common_InputFunctions.Utility_DisplayArrayInTable(Common_SourceData.Common_SourceData_ClimateZones_Data(), Table_SourceData_ClimateZones[[#Headers],[Climate zone]], 0)</f>
        <v>1.0009999999999999</v>
      </c>
      <c r="S94" s="27" cm="1">
        <f t="array" ref="S94">Common_InputFunctions.Utility_DisplayArrayInTable(Common_SourceData.Common_SourceData_ClimateZones_Data(), Table_SourceData_ClimateZones[[#Headers],[Climate zone]], 0)</f>
        <v>999999</v>
      </c>
      <c r="T94" s="27"/>
    </row>
    <row r="95" spans="4:20" ht="20.100000000000001" customHeight="1" x14ac:dyDescent="0.25">
      <c r="D95" s="27" t="str" cm="1">
        <f t="array" ref="D95">Common_InputFunctions.Utility_DisplayArrayInTable(Common_SourceData.Common_SourceData_ClimateZones_Data(), Table_SourceData_ClimateZones[[#Headers],[Climate zone]], 0)</f>
        <v>Warm temperate dry</v>
      </c>
      <c r="E95" s="27" t="str" cm="1">
        <f t="array" ref="E95">Common_InputFunctions.Utility_DisplayArrayInTable(Common_SourceData.Common_SourceData_ClimateZones_Data(), Table_SourceData_ClimateZones[[#Headers],[Climate zone]], 0)</f>
        <v>&gt; 10 C</v>
      </c>
      <c r="F95" s="27" t="str" cm="1">
        <f t="array" ref="F95">Common_InputFunctions.Utility_DisplayArrayInTable(Common_SourceData.Common_SourceData_ClimateZones_Data(), Table_SourceData_ClimateZones[[#Headers],[Climate zone]], 0)</f>
        <v>Any</v>
      </c>
      <c r="G95" s="27" t="str" cm="1">
        <f t="array" ref="G95">Common_InputFunctions.Utility_DisplayArrayInTable(Common_SourceData.Common_SourceData_ClimateZones_Data(), Table_SourceData_ClimateZones[[#Headers],[Climate zone]], 0)</f>
        <v>Any</v>
      </c>
      <c r="H95" s="27" t="str" cm="1">
        <f t="array" ref="H95">Common_InputFunctions.Utility_DisplayArrayInTable(Common_SourceData.Common_SourceData_ClimateZones_Data(), Table_SourceData_ClimateZones[[#Headers],[Climate zone]], 0)</f>
        <v>Any</v>
      </c>
      <c r="I95" s="27" t="str" cm="1">
        <f t="array" ref="I95">Common_InputFunctions.Utility_DisplayArrayInTable(Common_SourceData.Common_SourceData_ClimateZones_Data(), Table_SourceData_ClimateZones[[#Headers],[Climate zone]], 0)</f>
        <v>≤ 1</v>
      </c>
      <c r="J95" s="27" cm="1">
        <f t="array" ref="J95">Common_InputFunctions.Utility_DisplayArrayInTable(Common_SourceData.Common_SourceData_ClimateZones_Data(), Table_SourceData_ClimateZones[[#Headers],[Climate zone]], 0)</f>
        <v>10.000999999999999</v>
      </c>
      <c r="K95" s="27" cm="1">
        <f t="array" ref="K95">Common_InputFunctions.Utility_DisplayArrayInTable(Common_SourceData.Common_SourceData_ClimateZones_Data(), Table_SourceData_ClimateZones[[#Headers],[Climate zone]], 0)</f>
        <v>999999</v>
      </c>
      <c r="L95" s="27" cm="1">
        <f t="array" ref="L95">Common_InputFunctions.Utility_DisplayArrayInTable(Common_SourceData.Common_SourceData_ClimateZones_Data(), Table_SourceData_ClimateZones[[#Headers],[Climate zone]], 0)</f>
        <v>-999999</v>
      </c>
      <c r="M95" s="27" cm="1">
        <f t="array" ref="M95">Common_InputFunctions.Utility_DisplayArrayInTable(Common_SourceData.Common_SourceData_ClimateZones_Data(), Table_SourceData_ClimateZones[[#Headers],[Climate zone]], 0)</f>
        <v>999999</v>
      </c>
      <c r="N95" s="27" cm="1">
        <f t="array" ref="N95">Common_InputFunctions.Utility_DisplayArrayInTable(Common_SourceData.Common_SourceData_ClimateZones_Data(), Table_SourceData_ClimateZones[[#Headers],[Climate zone]], 0)</f>
        <v>-999999</v>
      </c>
      <c r="O95" s="27" cm="1">
        <f t="array" ref="O95">Common_InputFunctions.Utility_DisplayArrayInTable(Common_SourceData.Common_SourceData_ClimateZones_Data(), Table_SourceData_ClimateZones[[#Headers],[Climate zone]], 0)</f>
        <v>999999</v>
      </c>
      <c r="P95" s="27" cm="1">
        <f t="array" ref="P95">Common_InputFunctions.Utility_DisplayArrayInTable(Common_SourceData.Common_SourceData_ClimateZones_Data(), Table_SourceData_ClimateZones[[#Headers],[Climate zone]], 0)</f>
        <v>-999999</v>
      </c>
      <c r="Q95" s="27" cm="1">
        <f t="array" ref="Q95">Common_InputFunctions.Utility_DisplayArrayInTable(Common_SourceData.Common_SourceData_ClimateZones_Data(), Table_SourceData_ClimateZones[[#Headers],[Climate zone]], 0)</f>
        <v>999999</v>
      </c>
      <c r="R95" s="27" cm="1">
        <f t="array" ref="R95">Common_InputFunctions.Utility_DisplayArrayInTable(Common_SourceData.Common_SourceData_ClimateZones_Data(), Table_SourceData_ClimateZones[[#Headers],[Climate zone]], 0)</f>
        <v>-999999</v>
      </c>
      <c r="S95" s="27" cm="1">
        <f t="array" ref="S95">Common_InputFunctions.Utility_DisplayArrayInTable(Common_SourceData.Common_SourceData_ClimateZones_Data(), Table_SourceData_ClimateZones[[#Headers],[Climate zone]], 0)</f>
        <v>1</v>
      </c>
      <c r="T95" s="27"/>
    </row>
    <row r="96" spans="4:20" ht="20.100000000000001" customHeight="1" x14ac:dyDescent="0.25">
      <c r="D96" s="27" t="str" cm="1">
        <f t="array" ref="D96">Common_InputFunctions.Utility_DisplayArrayInTable(Common_SourceData.Common_SourceData_ClimateZones_Data(), Table_SourceData_ClimateZones[[#Headers],[Climate zone]], 0)</f>
        <v>Cool temperate moist</v>
      </c>
      <c r="E96" s="27" t="str" cm="1">
        <f t="array" ref="E96">Common_InputFunctions.Utility_DisplayArrayInTable(Common_SourceData.Common_SourceData_ClimateZones_Data(), Table_SourceData_ClimateZones[[#Headers],[Climate zone]], 0)</f>
        <v>&gt; 0 C - ≤ 10 C</v>
      </c>
      <c r="F96" s="27" t="str" cm="1">
        <f t="array" ref="F96">Common_InputFunctions.Utility_DisplayArrayInTable(Common_SourceData.Common_SourceData_ClimateZones_Data(), Table_SourceData_ClimateZones[[#Headers],[Climate zone]], 0)</f>
        <v>Any</v>
      </c>
      <c r="G96" s="27" t="str" cm="1">
        <f t="array" ref="G96">Common_InputFunctions.Utility_DisplayArrayInTable(Common_SourceData.Common_SourceData_ClimateZones_Data(), Table_SourceData_ClimateZones[[#Headers],[Climate zone]], 0)</f>
        <v>Any</v>
      </c>
      <c r="H96" s="27" t="str" cm="1">
        <f t="array" ref="H96">Common_InputFunctions.Utility_DisplayArrayInTable(Common_SourceData.Common_SourceData_ClimateZones_Data(), Table_SourceData_ClimateZones[[#Headers],[Climate zone]], 0)</f>
        <v>Any</v>
      </c>
      <c r="I96" s="27" t="str" cm="1">
        <f t="array" ref="I96">Common_InputFunctions.Utility_DisplayArrayInTable(Common_SourceData.Common_SourceData_ClimateZones_Data(), Table_SourceData_ClimateZones[[#Headers],[Climate zone]], 0)</f>
        <v>&gt; 1</v>
      </c>
      <c r="J96" s="27" cm="1">
        <f t="array" ref="J96">Common_InputFunctions.Utility_DisplayArrayInTable(Common_SourceData.Common_SourceData_ClimateZones_Data(), Table_SourceData_ClimateZones[[#Headers],[Climate zone]], 0)</f>
        <v>-999999</v>
      </c>
      <c r="K96" s="27" cm="1">
        <f t="array" ref="K96">Common_InputFunctions.Utility_DisplayArrayInTable(Common_SourceData.Common_SourceData_ClimateZones_Data(), Table_SourceData_ClimateZones[[#Headers],[Climate zone]], 0)</f>
        <v>10</v>
      </c>
      <c r="L96" s="27" cm="1">
        <f t="array" ref="L96">Common_InputFunctions.Utility_DisplayArrayInTable(Common_SourceData.Common_SourceData_ClimateZones_Data(), Table_SourceData_ClimateZones[[#Headers],[Climate zone]], 0)</f>
        <v>-999999</v>
      </c>
      <c r="M96" s="27" cm="1">
        <f t="array" ref="M96">Common_InputFunctions.Utility_DisplayArrayInTable(Common_SourceData.Common_SourceData_ClimateZones_Data(), Table_SourceData_ClimateZones[[#Headers],[Climate zone]], 0)</f>
        <v>999999</v>
      </c>
      <c r="N96" s="27" cm="1">
        <f t="array" ref="N96">Common_InputFunctions.Utility_DisplayArrayInTable(Common_SourceData.Common_SourceData_ClimateZones_Data(), Table_SourceData_ClimateZones[[#Headers],[Climate zone]], 0)</f>
        <v>-999999</v>
      </c>
      <c r="O96" s="27" cm="1">
        <f t="array" ref="O96">Common_InputFunctions.Utility_DisplayArrayInTable(Common_SourceData.Common_SourceData_ClimateZones_Data(), Table_SourceData_ClimateZones[[#Headers],[Climate zone]], 0)</f>
        <v>999999</v>
      </c>
      <c r="P96" s="27" cm="1">
        <f t="array" ref="P96">Common_InputFunctions.Utility_DisplayArrayInTable(Common_SourceData.Common_SourceData_ClimateZones_Data(), Table_SourceData_ClimateZones[[#Headers],[Climate zone]], 0)</f>
        <v>-999999</v>
      </c>
      <c r="Q96" s="27" cm="1">
        <f t="array" ref="Q96">Common_InputFunctions.Utility_DisplayArrayInTable(Common_SourceData.Common_SourceData_ClimateZones_Data(), Table_SourceData_ClimateZones[[#Headers],[Climate zone]], 0)</f>
        <v>999999</v>
      </c>
      <c r="R96" s="27" cm="1">
        <f t="array" ref="R96">Common_InputFunctions.Utility_DisplayArrayInTable(Common_SourceData.Common_SourceData_ClimateZones_Data(), Table_SourceData_ClimateZones[[#Headers],[Climate zone]], 0)</f>
        <v>1.0009999999999999</v>
      </c>
      <c r="S96" s="27" cm="1">
        <f t="array" ref="S96">Common_InputFunctions.Utility_DisplayArrayInTable(Common_SourceData.Common_SourceData_ClimateZones_Data(), Table_SourceData_ClimateZones[[#Headers],[Climate zone]], 0)</f>
        <v>999999</v>
      </c>
      <c r="T96" s="27"/>
    </row>
    <row r="97" spans="4:20" ht="20.100000000000001" customHeight="1" x14ac:dyDescent="0.25">
      <c r="D97" s="27" t="str" cm="1">
        <f t="array" ref="D97">Common_InputFunctions.Utility_DisplayArrayInTable(Common_SourceData.Common_SourceData_ClimateZones_Data(), Table_SourceData_ClimateZones[[#Headers],[Climate zone]], 0)</f>
        <v>Cool temperate dry</v>
      </c>
      <c r="E97" s="27" t="str" cm="1">
        <f t="array" ref="E97">Common_InputFunctions.Utility_DisplayArrayInTable(Common_SourceData.Common_SourceData_ClimateZones_Data(), Table_SourceData_ClimateZones[[#Headers],[Climate zone]], 0)</f>
        <v>&gt; 0 C - ≤ 10 C</v>
      </c>
      <c r="F97" s="27" t="str" cm="1">
        <f t="array" ref="F97">Common_InputFunctions.Utility_DisplayArrayInTable(Common_SourceData.Common_SourceData_ClimateZones_Data(), Table_SourceData_ClimateZones[[#Headers],[Climate zone]], 0)</f>
        <v>Any</v>
      </c>
      <c r="G97" s="27" t="str" cm="1">
        <f t="array" ref="G97">Common_InputFunctions.Utility_DisplayArrayInTable(Common_SourceData.Common_SourceData_ClimateZones_Data(), Table_SourceData_ClimateZones[[#Headers],[Climate zone]], 0)</f>
        <v>Any</v>
      </c>
      <c r="H97" s="27" t="str" cm="1">
        <f t="array" ref="H97">Common_InputFunctions.Utility_DisplayArrayInTable(Common_SourceData.Common_SourceData_ClimateZones_Data(), Table_SourceData_ClimateZones[[#Headers],[Climate zone]], 0)</f>
        <v>Any</v>
      </c>
      <c r="I97" s="27" t="str" cm="1">
        <f t="array" ref="I97">Common_InputFunctions.Utility_DisplayArrayInTable(Common_SourceData.Common_SourceData_ClimateZones_Data(), Table_SourceData_ClimateZones[[#Headers],[Climate zone]], 0)</f>
        <v>≤ 1</v>
      </c>
      <c r="J97" s="27" cm="1">
        <f t="array" ref="J97">Common_InputFunctions.Utility_DisplayArrayInTable(Common_SourceData.Common_SourceData_ClimateZones_Data(), Table_SourceData_ClimateZones[[#Headers],[Climate zone]], 0)</f>
        <v>-999999</v>
      </c>
      <c r="K97" s="27" cm="1">
        <f t="array" ref="K97">Common_InputFunctions.Utility_DisplayArrayInTable(Common_SourceData.Common_SourceData_ClimateZones_Data(), Table_SourceData_ClimateZones[[#Headers],[Climate zone]], 0)</f>
        <v>10</v>
      </c>
      <c r="L97" s="27" cm="1">
        <f t="array" ref="L97">Common_InputFunctions.Utility_DisplayArrayInTable(Common_SourceData.Common_SourceData_ClimateZones_Data(), Table_SourceData_ClimateZones[[#Headers],[Climate zone]], 0)</f>
        <v>-999999</v>
      </c>
      <c r="M97" s="27" cm="1">
        <f t="array" ref="M97">Common_InputFunctions.Utility_DisplayArrayInTable(Common_SourceData.Common_SourceData_ClimateZones_Data(), Table_SourceData_ClimateZones[[#Headers],[Climate zone]], 0)</f>
        <v>999999</v>
      </c>
      <c r="N97" s="27" cm="1">
        <f t="array" ref="N97">Common_InputFunctions.Utility_DisplayArrayInTable(Common_SourceData.Common_SourceData_ClimateZones_Data(), Table_SourceData_ClimateZones[[#Headers],[Climate zone]], 0)</f>
        <v>-999999</v>
      </c>
      <c r="O97" s="27" cm="1">
        <f t="array" ref="O97">Common_InputFunctions.Utility_DisplayArrayInTable(Common_SourceData.Common_SourceData_ClimateZones_Data(), Table_SourceData_ClimateZones[[#Headers],[Climate zone]], 0)</f>
        <v>999999</v>
      </c>
      <c r="P97" s="27" cm="1">
        <f t="array" ref="P97">Common_InputFunctions.Utility_DisplayArrayInTable(Common_SourceData.Common_SourceData_ClimateZones_Data(), Table_SourceData_ClimateZones[[#Headers],[Climate zone]], 0)</f>
        <v>-999999</v>
      </c>
      <c r="Q97" s="27" cm="1">
        <f t="array" ref="Q97">Common_InputFunctions.Utility_DisplayArrayInTable(Common_SourceData.Common_SourceData_ClimateZones_Data(), Table_SourceData_ClimateZones[[#Headers],[Climate zone]], 0)</f>
        <v>999999</v>
      </c>
      <c r="R97" s="27" cm="1">
        <f t="array" ref="R97">Common_InputFunctions.Utility_DisplayArrayInTable(Common_SourceData.Common_SourceData_ClimateZones_Data(), Table_SourceData_ClimateZones[[#Headers],[Climate zone]], 0)</f>
        <v>-999999</v>
      </c>
      <c r="S97" s="27" cm="1">
        <f t="array" ref="S97">Common_InputFunctions.Utility_DisplayArrayInTable(Common_SourceData.Common_SourceData_ClimateZones_Data(), Table_SourceData_ClimateZones[[#Headers],[Climate zone]], 0)</f>
        <v>1</v>
      </c>
      <c r="T97" s="27"/>
    </row>
    <row r="98" spans="4:20" ht="20.100000000000001" customHeight="1" x14ac:dyDescent="0.25"/>
    <row r="99" spans="4:20" ht="20.100000000000001" customHeight="1" x14ac:dyDescent="0.25">
      <c r="D99" s="31" t="str" cm="1">
        <f t="array" ref="D99:D102">Common_SourceData.Common_SourceData_ClimateZones_Appendices()</f>
        <v>Note:</v>
      </c>
    </row>
    <row r="100" spans="4:20" ht="20.100000000000001" customHeight="1" x14ac:dyDescent="0.25">
      <c r="D100" s="31" t="str">
        <v>MAT = mean annual temperature</v>
      </c>
    </row>
    <row r="101" spans="4:20" ht="20.100000000000001" customHeight="1" x14ac:dyDescent="0.25">
      <c r="D101" s="31" t="str">
        <v>MAP = mean annual precipitation</v>
      </c>
    </row>
    <row r="102" spans="4:20" ht="20.100000000000001" customHeight="1" x14ac:dyDescent="0.25">
      <c r="D102" s="31" t="str">
        <v>PET = potential evapotranspiration</v>
      </c>
    </row>
    <row r="103" spans="4:20" ht="20.100000000000001" customHeight="1" x14ac:dyDescent="0.25">
      <c r="D103" s="31"/>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32"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27" t="s">
        <v>36</v>
      </c>
      <c r="E109" s="27" t="s">
        <v>19</v>
      </c>
      <c r="F109" s="27" t="s">
        <v>37</v>
      </c>
      <c r="G109" s="27" t="s">
        <v>38</v>
      </c>
    </row>
    <row r="110" spans="4:20" ht="20.100000000000001" customHeight="1" x14ac:dyDescent="0.25">
      <c r="D110" s="27" t="str" cm="1">
        <f t="array" ref="D110">Common_InputFunctions.Utility_DisplayArrayInTable(Common_SourceData.Common_SourceData_TemperatureZones_Data(),Table_SourceData_TemperatureZones[[#Headers],[Temperature Zone]],0)</f>
        <v>Warm</v>
      </c>
      <c r="E110" s="27" t="str" cm="1">
        <f t="array" ref="E110">Common_InputFunctions.Utility_DisplayArrayInTable(Common_SourceData.Common_SourceData_TemperatureZones_Data(),Table_SourceData_TemperatureZones[[#Headers],[Temperature Zone]],0)</f>
        <v>≥ 26 C</v>
      </c>
      <c r="F110" s="27" cm="1">
        <f t="array" ref="F110">Common_InputFunctions.Utility_DisplayArrayInTable(Common_SourceData.Common_SourceData_TemperatureZones_Data(),Table_SourceData_TemperatureZones[[#Headers],[Temperature Zone]],0)</f>
        <v>26</v>
      </c>
      <c r="G110" s="27" cm="1">
        <f t="array" ref="G110">Common_InputFunctions.Utility_DisplayArrayInTable(Common_SourceData.Common_SourceData_TemperatureZones_Data(),Table_SourceData_TemperatureZones[[#Headers],[Temperature Zone]],0)</f>
        <v>999999</v>
      </c>
    </row>
    <row r="111" spans="4:20" ht="20.100000000000001" customHeight="1" x14ac:dyDescent="0.25">
      <c r="D111" s="27" t="str" cm="1">
        <f t="array" ref="D111">Common_InputFunctions.Utility_DisplayArrayInTable(Common_SourceData.Common_SourceData_TemperatureZones_Data(),Table_SourceData_TemperatureZones[[#Headers],[Temperature Zone]],0)</f>
        <v>Temperate</v>
      </c>
      <c r="E111" s="27" t="str" cm="1">
        <f t="array" ref="E111">Common_InputFunctions.Utility_DisplayArrayInTable(Common_SourceData.Common_SourceData_TemperatureZones_Data(),Table_SourceData_TemperatureZones[[#Headers],[Temperature Zone]],0)</f>
        <v>15 - 25 C</v>
      </c>
      <c r="F111" s="27" cm="1">
        <f t="array" ref="F111">Common_InputFunctions.Utility_DisplayArrayInTable(Common_SourceData.Common_SourceData_TemperatureZones_Data(),Table_SourceData_TemperatureZones[[#Headers],[Temperature Zone]],0)</f>
        <v>15</v>
      </c>
      <c r="G111" s="2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27" t="str" cm="1">
        <f t="array" ref="D112">Common_InputFunctions.Utility_DisplayArrayInTable(Common_SourceData.Common_SourceData_TemperatureZones_Data(),Table_SourceData_TemperatureZones[[#Headers],[Temperature Zone]],0)</f>
        <v>Cool</v>
      </c>
      <c r="E112" s="27" t="str" cm="1">
        <f t="array" ref="E112">Common_InputFunctions.Utility_DisplayArrayInTable(Common_SourceData.Common_SourceData_TemperatureZones_Data(),Table_SourceData_TemperatureZones[[#Headers],[Temperature Zone]],0)</f>
        <v>≤ 14 C</v>
      </c>
      <c r="F112" s="27" cm="1">
        <f t="array" ref="F112">Common_InputFunctions.Utility_DisplayArrayInTable(Common_SourceData.Common_SourceData_TemperatureZones_Data(),Table_SourceData_TemperatureZones[[#Headers],[Temperature Zone]],0)</f>
        <v>-999999</v>
      </c>
      <c r="G112" s="2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32"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27" t="s">
        <v>39</v>
      </c>
      <c r="E119" s="27" t="s">
        <v>40</v>
      </c>
      <c r="F119" s="27" t="s">
        <v>26</v>
      </c>
      <c r="G119" s="27" t="s">
        <v>27</v>
      </c>
      <c r="BN119" s="7"/>
    </row>
    <row r="120" spans="4:66" ht="20.100000000000001" customHeight="1" x14ac:dyDescent="0.25">
      <c r="D120" s="27" t="str" cm="1">
        <f t="array" ref="D120">Common_InputFunctions.Utility_DisplayArrayInTable(Common_SourceData.Common_SourceData_RainfallZones_Data(),Table_SourceData_RainfallZones[[#Headers],[Rainfall Zone]],0)</f>
        <v>High rainfall</v>
      </c>
      <c r="E120" s="27" t="str" cm="1">
        <f t="array" ref="E120">Common_InputFunctions.Utility_DisplayArrayInTable(Common_SourceData.Common_SourceData_RainfallZones_Data(),Table_SourceData_RainfallZones[[#Headers],[Rainfall Zone]],0)</f>
        <v>Annual rainfall &gt; 600mm</v>
      </c>
      <c r="F120" s="27" cm="1">
        <f t="array" ref="F120">Common_InputFunctions.Utility_DisplayArrayInTable(Common_SourceData.Common_SourceData_RainfallZones_Data(),Table_SourceData_RainfallZones[[#Headers],[Rainfall Zone]],0)</f>
        <v>600.00099999999998</v>
      </c>
      <c r="G120" s="2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27" t="str" cm="1">
        <f t="array" ref="D121">Common_InputFunctions.Utility_DisplayArrayInTable(Common_SourceData.Common_SourceData_RainfallZones_Data(),Table_SourceData_RainfallZones[[#Headers],[Rainfall Zone]],0)</f>
        <v>Low rainfall</v>
      </c>
      <c r="E121" s="27" t="str" cm="1">
        <f t="array" ref="E121">Common_InputFunctions.Utility_DisplayArrayInTable(Common_SourceData.Common_SourceData_RainfallZones_Data(),Table_SourceData_RainfallZones[[#Headers],[Rainfall Zone]],0)</f>
        <v>Annual rainfall ≤ 600mm</v>
      </c>
      <c r="F121" s="27" cm="1">
        <f t="array" ref="F121">Common_InputFunctions.Utility_DisplayArrayInTable(Common_SourceData.Common_SourceData_RainfallZones_Data(),Table_SourceData_RainfallZones[[#Headers],[Rainfall Zone]],0)</f>
        <v>-999999</v>
      </c>
      <c r="G121" s="2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27" t="s">
        <v>41</v>
      </c>
      <c r="E127" s="27" t="s">
        <v>42</v>
      </c>
    </row>
    <row r="128" spans="4:66" ht="20.100000000000001" customHeight="1" x14ac:dyDescent="0.25">
      <c r="D128" s="27" t="str" cm="1">
        <f t="array" ref="D128">Common_InputFunctions.Utility_DisplayArrayInTable(Common_SourceData.Common_SourceData_LeachingZones_Data(), Table_SourceData_LeachingZones[[#Headers],[Leaching Zone]], 0)</f>
        <v>Leaching occurs</v>
      </c>
      <c r="E128" s="2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27" t="str" cm="1">
        <f t="array" ref="D129">Common_InputFunctions.Utility_DisplayArrayInTable(Common_SourceData.Common_SourceData_LeachingZones_Data(), Table_SourceData_LeachingZones[[#Headers],[Leaching Zone]], 0)</f>
        <v>Leaching does not occur</v>
      </c>
      <c r="E129" s="2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19"/>
    </row>
    <row r="133" spans="4:77" ht="20.100000000000001" customHeight="1" x14ac:dyDescent="0.25">
      <c r="D133" s="5" t="str" cm="1">
        <f t="array" ref="D133">Common_SourceData.Common_SourceData_FracWET_Source()</f>
        <v>VEERG 2026:5.5.2.3 Constant Parameters</v>
      </c>
      <c r="E133" s="19"/>
    </row>
    <row r="134" spans="4:77" ht="20.100000000000001" customHeight="1" x14ac:dyDescent="0.25">
      <c r="D134" t="s">
        <v>47</v>
      </c>
      <c r="E134" t="s">
        <v>48</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2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32"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27" t="s">
        <v>57</v>
      </c>
      <c r="E142" s="27" t="s">
        <v>48</v>
      </c>
      <c r="BN142" s="7"/>
    </row>
    <row r="143" spans="4:77" ht="20.100000000000001" customHeight="1" x14ac:dyDescent="0.25">
      <c r="D143" s="27" t="str" cm="1">
        <f t="array" ref="D143">Common_InputFunctions.Utility_DisplayArrayInTable(Common_SourceData.Common_SourceData_FracWETIrrigation_Data(), Table_SourceData_FracWETIrrigation[[#Headers],[Irrigation type i]], 0)</f>
        <v>Not irrigated</v>
      </c>
      <c r="E143" s="2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2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2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2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2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27" t="s">
        <v>43</v>
      </c>
      <c r="E153" s="27" t="s">
        <v>44</v>
      </c>
      <c r="BC153" s="3"/>
      <c r="BD153" s="3"/>
      <c r="BE153" s="3"/>
      <c r="BF153" s="3"/>
      <c r="BG153" s="3"/>
      <c r="BH153" s="3"/>
      <c r="BI153" s="3"/>
      <c r="BJ153" s="3"/>
      <c r="BK153" s="3"/>
      <c r="BL153" s="3"/>
      <c r="BM153" s="3"/>
    </row>
    <row r="154" spans="4:66" ht="20.100000000000001" customHeight="1" x14ac:dyDescent="0.25">
      <c r="D154" s="27" t="str" cm="1">
        <f t="array" ref="D154">Common_InputFunctions.Utility_DisplayArrayInTable(Common_SourceData.Common_SourceData_DataScores_Scope3_Data(), Table_SourceData_DataScores_Scope3[[#Headers],[Data source]], 0)</f>
        <v>International scope 3 database</v>
      </c>
      <c r="E154" s="2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27" t="str" cm="1">
        <f t="array" ref="D155">Common_InputFunctions.Utility_DisplayArrayInTable(Common_SourceData.Common_SourceData_DataScores_Scope3_Data(), Table_SourceData_DataScores_Scope3[[#Headers],[Data source]], 0)</f>
        <v>Australian scope 3 database</v>
      </c>
      <c r="E155" s="2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27" t="str" cm="1">
        <f t="array" ref="D156">Common_InputFunctions.Utility_DisplayArrayInTable(Common_SourceData.Common_SourceData_DataScores_Scope3_Data(), Table_SourceData_DataScores_Scope3[[#Headers],[Data source]], 0)</f>
        <v>State or regional scope 3 database</v>
      </c>
      <c r="E156" s="27" cm="1">
        <f t="array" ref="E156">Common_InputFunctions.Utility_DisplayArrayInTable(Common_SourceData.Common_SourceData_DataScores_Scope3_Data(), Table_SourceData_DataScores_Scope3[[#Headers],[Data source]], 0)</f>
        <v>3</v>
      </c>
    </row>
    <row r="157" spans="4:66" ht="20.100000000000001" customHeight="1" x14ac:dyDescent="0.25">
      <c r="D157" s="27" t="str" cm="1">
        <f t="array" ref="D157">Common_InputFunctions.Utility_DisplayArrayInTable(Common_SourceData.Common_SourceData_DataScores_Scope3_Data(), Table_SourceData_DataScores_Scope3[[#Headers],[Data source]], 0)</f>
        <v>Emissions intensity calculated from approved method</v>
      </c>
      <c r="E157" s="27" cm="1">
        <f t="array" ref="E157">Common_InputFunctions.Utility_DisplayArrayInTable(Common_SourceData.Common_SourceData_DataScores_Scope3_Data(), Table_SourceData_DataScores_Scope3[[#Headers],[Data source]], 0)</f>
        <v>4</v>
      </c>
    </row>
    <row r="158" spans="4:66" ht="20.100000000000001" customHeight="1" x14ac:dyDescent="0.25">
      <c r="D158" s="27" t="str" cm="1">
        <f t="array" ref="D158">Common_InputFunctions.Utility_DisplayArrayInTable(Common_SourceData.Common_SourceData_DataScores_Scope3_Data(), Table_SourceData_DataScores_Scope3[[#Headers],[Data source]], 0)</f>
        <v>Verified credential matching ISO14067</v>
      </c>
      <c r="E158" s="2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19"/>
    </row>
    <row r="162" spans="4:68" ht="20.100000000000001" customHeight="1" x14ac:dyDescent="0.25">
      <c r="D162" s="5" t="str" cm="1">
        <f t="array" ref="D162">Common_SourceData.Common_SourceData_FracLEACH_Source()</f>
        <v>VEERG 2026:5.5.2.3 Constant Parameters</v>
      </c>
      <c r="E162" s="19"/>
    </row>
    <row r="163" spans="4:68" ht="20.100000000000001" customHeight="1" x14ac:dyDescent="0.25">
      <c r="D163" s="5" t="str" cm="1">
        <f t="array" ref="D163">Common_SourceData.Common_SourceData_FracLEACH_NIRReference()</f>
        <v>National Inventory Report Volume 1: Leaching and runoff (3.D.b.2)</v>
      </c>
      <c r="E163" s="19"/>
    </row>
    <row r="164" spans="4:68" ht="20.100000000000001" customHeight="1" x14ac:dyDescent="0.25">
      <c r="D164" s="19" t="str" cm="1">
        <f t="array" ref="D164:E164">Common_SourceData.Common_SourceData_FracLEACH_Data()</f>
        <v>FracLEACH</v>
      </c>
      <c r="E164" s="19">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31"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31" t="str" cm="1">
        <f t="array" ref="D180">Common_SourceData.Common_SourceData_EFN2O_Unit()</f>
        <v>(kg N2O-N / kg N</v>
      </c>
    </row>
    <row r="181" spans="4:68" ht="20.100000000000001" customHeight="1" x14ac:dyDescent="0.25">
      <c r="D181" s="32" t="str" cm="1">
        <f t="array" ref="D181:D185">Common_SourceData.Common_SourceData_EFN2O_Variation()</f>
        <v>VARIATION OF SOURCE DATA:</v>
      </c>
    </row>
    <row r="182" spans="4:68" ht="20.100000000000001" customHeight="1" x14ac:dyDescent="0.25">
      <c r="D182" s="32" t="str">
        <v>Removed duplicate 'Aquaculture' row.</v>
      </c>
    </row>
    <row r="183" spans="4:68" ht="20.100000000000001" customHeight="1" x14ac:dyDescent="0.25">
      <c r="D183" s="32" t="str">
        <v>Removed asterisks to aid lookup.</v>
      </c>
    </row>
    <row r="184" spans="4:68" ht="20.100000000000001" customHeight="1" x14ac:dyDescent="0.25">
      <c r="D184" s="32" t="str">
        <v>Added 'production system only', 'rainfall zone' and 'irrigation method' columns to aid lookup.</v>
      </c>
    </row>
    <row r="185" spans="4:68" ht="20.100000000000001" customHeight="1" x14ac:dyDescent="0.25">
      <c r="D185" s="32" t="str">
        <v>Duplicated 'non-irrigated pasture' row with same EF for low and high rainfall zones to aid lookup.</v>
      </c>
    </row>
    <row r="186" spans="4:68" ht="20.100000000000001" customHeight="1" x14ac:dyDescent="0.25">
      <c r="D186" s="27" t="s">
        <v>51</v>
      </c>
      <c r="E186" s="27" t="s">
        <v>52</v>
      </c>
      <c r="F186" s="27" t="s">
        <v>53</v>
      </c>
      <c r="G186" s="27" t="s">
        <v>54</v>
      </c>
      <c r="H186" s="27" t="s">
        <v>18</v>
      </c>
    </row>
    <row r="187" spans="4:68" ht="20.100000000000001" customHeight="1" x14ac:dyDescent="0.25">
      <c r="D187" s="27" t="str" cm="1">
        <f t="array" ref="D187">Common_InputFunctions.Utility_DisplayArrayInTable(Common_SourceData.Common_SourceData_EFN2O_Data(), Table_SourceData_Common_EFN2O[[#Headers],[Production system j]], 0)</f>
        <v>Irrigated pasture</v>
      </c>
      <c r="E187" s="27" cm="1">
        <f t="array" ref="E187">Common_InputFunctions.Utility_DisplayArrayInTable(Common_SourceData.Common_SourceData_EFN2O_Data(), Table_SourceData_Common_EFN2O[[#Headers],[Production system j]], 0)</f>
        <v>5.8999999999999999E-3</v>
      </c>
      <c r="F187" s="27" t="str" cm="1">
        <f t="array" ref="F187">Common_InputFunctions.Utility_DisplayArrayInTable(Common_SourceData.Common_SourceData_EFN2O_Data(), Table_SourceData_Common_EFN2O[[#Headers],[Production system j]], 0)</f>
        <v>Pasture</v>
      </c>
      <c r="G187" s="27" t="str" cm="1">
        <f t="array" ref="G187">Common_InputFunctions.Utility_DisplayArrayInTable(Common_SourceData.Common_SourceData_EFN2O_Data(), Table_SourceData_Common_EFN2O[[#Headers],[Production system j]], 0)</f>
        <v>Any</v>
      </c>
      <c r="H187" s="27" t="str" cm="1">
        <f t="array" ref="H187">Common_InputFunctions.Utility_DisplayArrayInTable(Common_SourceData.Common_SourceData_EFN2O_Data(), Table_SourceData_Common_EFN2O[[#Headers],[Production system j]], 0)</f>
        <v>Any</v>
      </c>
    </row>
    <row r="188" spans="4:68" ht="20.100000000000001" customHeight="1" x14ac:dyDescent="0.25">
      <c r="D188" s="27" t="str" cm="1">
        <f t="array" ref="D188">Common_InputFunctions.Utility_DisplayArrayInTable(Common_SourceData.Common_SourceData_EFN2O_Data(), Table_SourceData_Common_EFN2O[[#Headers],[Production system j]], 0)</f>
        <v>Irrigated crop</v>
      </c>
      <c r="E188" s="27" cm="1">
        <f t="array" ref="E188">Common_InputFunctions.Utility_DisplayArrayInTable(Common_SourceData.Common_SourceData_EFN2O_Data(), Table_SourceData_Common_EFN2O[[#Headers],[Production system j]], 0)</f>
        <v>7.0000000000000001E-3</v>
      </c>
      <c r="F188" s="27" t="str" cm="1">
        <f t="array" ref="F188">Common_InputFunctions.Utility_DisplayArrayInTable(Common_SourceData.Common_SourceData_EFN2O_Data(), Table_SourceData_Common_EFN2O[[#Headers],[Production system j]], 0)</f>
        <v>Crop</v>
      </c>
      <c r="G188" s="27" t="str" cm="1">
        <f t="array" ref="G188">Common_InputFunctions.Utility_DisplayArrayInTable(Common_SourceData.Common_SourceData_EFN2O_Data(), Table_SourceData_Common_EFN2O[[#Headers],[Production system j]], 0)</f>
        <v>Any</v>
      </c>
      <c r="H188" s="27" t="str" cm="1">
        <f t="array" ref="H188">Common_InputFunctions.Utility_DisplayArrayInTable(Common_SourceData.Common_SourceData_EFN2O_Data(), Table_SourceData_Common_EFN2O[[#Headers],[Production system j]], 0)</f>
        <v>Any</v>
      </c>
    </row>
    <row r="189" spans="4:68" ht="20.100000000000001" customHeight="1" x14ac:dyDescent="0.25">
      <c r="D189" s="27" t="str" cm="1">
        <f t="array" ref="D189">Common_InputFunctions.Utility_DisplayArrayInTable(Common_SourceData.Common_SourceData_EFN2O_Data(), Table_SourceData_Common_EFN2O[[#Headers],[Production system j]], 0)</f>
        <v>Non-irrigated pasture</v>
      </c>
      <c r="E189" s="27" cm="1">
        <f t="array" ref="E189">Common_InputFunctions.Utility_DisplayArrayInTable(Common_SourceData.Common_SourceData_EFN2O_Data(), Table_SourceData_Common_EFN2O[[#Headers],[Production system j]], 0)</f>
        <v>1.8E-3</v>
      </c>
      <c r="F189" s="27" t="str" cm="1">
        <f t="array" ref="F189">Common_InputFunctions.Utility_DisplayArrayInTable(Common_SourceData.Common_SourceData_EFN2O_Data(), Table_SourceData_Common_EFN2O[[#Headers],[Production system j]], 0)</f>
        <v>Pasture</v>
      </c>
      <c r="G189" s="27" t="str" cm="1">
        <f t="array" ref="G189">Common_InputFunctions.Utility_DisplayArrayInTable(Common_SourceData.Common_SourceData_EFN2O_Data(), Table_SourceData_Common_EFN2O[[#Headers],[Production system j]], 0)</f>
        <v>Not irrigated</v>
      </c>
      <c r="H189" s="2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27" t="str" cm="1">
        <f t="array" ref="D190">Common_InputFunctions.Utility_DisplayArrayInTable(Common_SourceData.Common_SourceData_EFN2O_Data(), Table_SourceData_Common_EFN2O[[#Headers],[Production system j]], 0)</f>
        <v>Non-irrigated pasture</v>
      </c>
      <c r="E190" s="27" cm="1">
        <f t="array" ref="E190">Common_InputFunctions.Utility_DisplayArrayInTable(Common_SourceData.Common_SourceData_EFN2O_Data(), Table_SourceData_Common_EFN2O[[#Headers],[Production system j]], 0)</f>
        <v>1.8E-3</v>
      </c>
      <c r="F190" s="27" t="str" cm="1">
        <f t="array" ref="F190">Common_InputFunctions.Utility_DisplayArrayInTable(Common_SourceData.Common_SourceData_EFN2O_Data(), Table_SourceData_Common_EFN2O[[#Headers],[Production system j]], 0)</f>
        <v>Pasture</v>
      </c>
      <c r="G190" s="27" t="str" cm="1">
        <f t="array" ref="G190">Common_InputFunctions.Utility_DisplayArrayInTable(Common_SourceData.Common_SourceData_EFN2O_Data(), Table_SourceData_Common_EFN2O[[#Headers],[Production system j]], 0)</f>
        <v>Not irrigated</v>
      </c>
      <c r="H190" s="2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27" t="str" cm="1">
        <f t="array" ref="D191">Common_InputFunctions.Utility_DisplayArrayInTable(Common_SourceData.Common_SourceData_EFN2O_Data(), Table_SourceData_Common_EFN2O[[#Headers],[Production system j]], 0)</f>
        <v>Non-irrigated crop (low rainfall)</v>
      </c>
      <c r="E191" s="27" cm="1">
        <f t="array" ref="E191">Common_InputFunctions.Utility_DisplayArrayInTable(Common_SourceData.Common_SourceData_EFN2O_Data(), Table_SourceData_Common_EFN2O[[#Headers],[Production system j]], 0)</f>
        <v>2.8999999999999998E-3</v>
      </c>
      <c r="F191" s="27" t="str" cm="1">
        <f t="array" ref="F191">Common_InputFunctions.Utility_DisplayArrayInTable(Common_SourceData.Common_SourceData_EFN2O_Data(), Table_SourceData_Common_EFN2O[[#Headers],[Production system j]], 0)</f>
        <v>Crop</v>
      </c>
      <c r="G191" s="27" t="str" cm="1">
        <f t="array" ref="G191">Common_InputFunctions.Utility_DisplayArrayInTable(Common_SourceData.Common_SourceData_EFN2O_Data(), Table_SourceData_Common_EFN2O[[#Headers],[Production system j]], 0)</f>
        <v>Not irrigated</v>
      </c>
      <c r="H191" s="2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27" t="str" cm="1">
        <f t="array" ref="D192">Common_InputFunctions.Utility_DisplayArrayInTable(Common_SourceData.Common_SourceData_EFN2O_Data(), Table_SourceData_Common_EFN2O[[#Headers],[Production system j]], 0)</f>
        <v>Non-irrigated crop (high rainfall)</v>
      </c>
      <c r="E192" s="27" cm="1">
        <f t="array" ref="E192">Common_InputFunctions.Utility_DisplayArrayInTable(Common_SourceData.Common_SourceData_EFN2O_Data(), Table_SourceData_Common_EFN2O[[#Headers],[Production system j]], 0)</f>
        <v>8.0000000000000002E-3</v>
      </c>
      <c r="F192" s="27" t="str" cm="1">
        <f t="array" ref="F192">Common_InputFunctions.Utility_DisplayArrayInTable(Common_SourceData.Common_SourceData_EFN2O_Data(), Table_SourceData_Common_EFN2O[[#Headers],[Production system j]], 0)</f>
        <v>Crop</v>
      </c>
      <c r="G192" s="27" t="str" cm="1">
        <f t="array" ref="G192">Common_InputFunctions.Utility_DisplayArrayInTable(Common_SourceData.Common_SourceData_EFN2O_Data(), Table_SourceData_Common_EFN2O[[#Headers],[Production system j]], 0)</f>
        <v>Not irrigated</v>
      </c>
      <c r="H192" s="2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27" t="str" cm="1">
        <f t="array" ref="D193">Common_InputFunctions.Utility_DisplayArrayInTable(Common_SourceData.Common_SourceData_EFN2O_Data(), Table_SourceData_Common_EFN2O[[#Headers],[Production system j]], 0)</f>
        <v>Sugar</v>
      </c>
      <c r="E193" s="27" cm="1">
        <f t="array" ref="E193">Common_InputFunctions.Utility_DisplayArrayInTable(Common_SourceData.Common_SourceData_EFN2O_Data(), Table_SourceData_Common_EFN2O[[#Headers],[Production system j]], 0)</f>
        <v>1.9900000000000001E-2</v>
      </c>
      <c r="F193" s="27" t="str" cm="1">
        <f t="array" ref="F193">Common_InputFunctions.Utility_DisplayArrayInTable(Common_SourceData.Common_SourceData_EFN2O_Data(), Table_SourceData_Common_EFN2O[[#Headers],[Production system j]], 0)</f>
        <v>Sugar</v>
      </c>
      <c r="G193" s="27" t="str" cm="1">
        <f t="array" ref="G193">Common_InputFunctions.Utility_DisplayArrayInTable(Common_SourceData.Common_SourceData_EFN2O_Data(), Table_SourceData_Common_EFN2O[[#Headers],[Production system j]], 0)</f>
        <v>Any</v>
      </c>
      <c r="H193" s="27" t="str" cm="1">
        <f t="array" ref="H193">Common_InputFunctions.Utility_DisplayArrayInTable(Common_SourceData.Common_SourceData_EFN2O_Data(), Table_SourceData_Common_EFN2O[[#Headers],[Production system j]], 0)</f>
        <v>Any</v>
      </c>
    </row>
    <row r="194" spans="4:8" ht="20.100000000000001" customHeight="1" x14ac:dyDescent="0.25">
      <c r="D194" s="27" t="str" cm="1">
        <f t="array" ref="D194">Common_InputFunctions.Utility_DisplayArrayInTable(Common_SourceData.Common_SourceData_EFN2O_Data(), Table_SourceData_Common_EFN2O[[#Headers],[Production system j]], 0)</f>
        <v>Cotton</v>
      </c>
      <c r="E194" s="27" cm="1">
        <f t="array" ref="E194">Common_InputFunctions.Utility_DisplayArrayInTable(Common_SourceData.Common_SourceData_EFN2O_Data(), Table_SourceData_Common_EFN2O[[#Headers],[Production system j]], 0)</f>
        <v>5.3E-3</v>
      </c>
      <c r="F194" s="27" t="str" cm="1">
        <f t="array" ref="F194">Common_InputFunctions.Utility_DisplayArrayInTable(Common_SourceData.Common_SourceData_EFN2O_Data(), Table_SourceData_Common_EFN2O[[#Headers],[Production system j]], 0)</f>
        <v>Cotton</v>
      </c>
      <c r="G194" s="27" t="str" cm="1">
        <f t="array" ref="G194">Common_InputFunctions.Utility_DisplayArrayInTable(Common_SourceData.Common_SourceData_EFN2O_Data(), Table_SourceData_Common_EFN2O[[#Headers],[Production system j]], 0)</f>
        <v>Any</v>
      </c>
      <c r="H194" s="27" t="str" cm="1">
        <f t="array" ref="H194">Common_InputFunctions.Utility_DisplayArrayInTable(Common_SourceData.Common_SourceData_EFN2O_Data(), Table_SourceData_Common_EFN2O[[#Headers],[Production system j]], 0)</f>
        <v>Any</v>
      </c>
    </row>
    <row r="195" spans="4:8" ht="20.100000000000001" customHeight="1" x14ac:dyDescent="0.25">
      <c r="D195" s="27" t="str" cm="1">
        <f t="array" ref="D195">Common_InputFunctions.Utility_DisplayArrayInTable(Common_SourceData.Common_SourceData_EFN2O_Data(), Table_SourceData_Common_EFN2O[[#Headers],[Production system j]], 0)</f>
        <v>Horticultural crops</v>
      </c>
      <c r="E195" s="27" cm="1">
        <f t="array" ref="E195">Common_InputFunctions.Utility_DisplayArrayInTable(Common_SourceData.Common_SourceData_EFN2O_Data(), Table_SourceData_Common_EFN2O[[#Headers],[Production system j]], 0)</f>
        <v>6.4000000000000003E-3</v>
      </c>
      <c r="F195" s="27" t="str" cm="1">
        <f t="array" ref="F195">Common_InputFunctions.Utility_DisplayArrayInTable(Common_SourceData.Common_SourceData_EFN2O_Data(), Table_SourceData_Common_EFN2O[[#Headers],[Production system j]], 0)</f>
        <v>Horticultural crops</v>
      </c>
      <c r="G195" s="27" t="str" cm="1">
        <f t="array" ref="G195">Common_InputFunctions.Utility_DisplayArrayInTable(Common_SourceData.Common_SourceData_EFN2O_Data(), Table_SourceData_Common_EFN2O[[#Headers],[Production system j]], 0)</f>
        <v>Any</v>
      </c>
      <c r="H195" s="27" t="str" cm="1">
        <f t="array" ref="H195">Common_InputFunctions.Utility_DisplayArrayInTable(Common_SourceData.Common_SourceData_EFN2O_Data(), Table_SourceData_Common_EFN2O[[#Headers],[Production system j]], 0)</f>
        <v>Any</v>
      </c>
    </row>
    <row r="196" spans="4:8" ht="20.100000000000001" customHeight="1" x14ac:dyDescent="0.25">
      <c r="D196" s="27" t="str" cm="1">
        <f t="array" ref="D196">Common_InputFunctions.Utility_DisplayArrayInTable(Common_SourceData.Common_SourceData_EFN2O_Data(), Table_SourceData_Common_EFN2O[[#Headers],[Production system j]], 0)</f>
        <v>Rice (continuous flooding)</v>
      </c>
      <c r="E196" s="27" cm="1">
        <f t="array" ref="E196">Common_InputFunctions.Utility_DisplayArrayInTable(Common_SourceData.Common_SourceData_EFN2O_Data(), Table_SourceData_Common_EFN2O[[#Headers],[Production system j]], 0)</f>
        <v>3.0000000000000001E-3</v>
      </c>
      <c r="F196" s="27" t="str" cm="1">
        <f t="array" ref="F196">Common_InputFunctions.Utility_DisplayArrayInTable(Common_SourceData.Common_SourceData_EFN2O_Data(), Table_SourceData_Common_EFN2O[[#Headers],[Production system j]], 0)</f>
        <v>Rice</v>
      </c>
      <c r="G196" s="27" t="str" cm="1">
        <f t="array" ref="G196">Common_InputFunctions.Utility_DisplayArrayInTable(Common_SourceData.Common_SourceData_EFN2O_Data(), Table_SourceData_Common_EFN2O[[#Headers],[Production system j]], 0)</f>
        <v>Continuous flooding</v>
      </c>
      <c r="H196" s="27" t="str" cm="1">
        <f t="array" ref="H196">Common_InputFunctions.Utility_DisplayArrayInTable(Common_SourceData.Common_SourceData_EFN2O_Data(), Table_SourceData_Common_EFN2O[[#Headers],[Production system j]], 0)</f>
        <v>Any</v>
      </c>
    </row>
    <row r="197" spans="4:8" x14ac:dyDescent="0.25">
      <c r="D197" s="27" t="str" cm="1">
        <f t="array" ref="D197">Common_InputFunctions.Utility_DisplayArrayInTable(Common_SourceData.Common_SourceData_EFN2O_Data(), Table_SourceData_Common_EFN2O[[#Headers],[Production system j]], 0)</f>
        <v>Rice (single and multiple drainage, or alternate wetting and drying)</v>
      </c>
      <c r="E197" s="27" cm="1">
        <f t="array" ref="E197">Common_InputFunctions.Utility_DisplayArrayInTable(Common_SourceData.Common_SourceData_EFN2O_Data(), Table_SourceData_Common_EFN2O[[#Headers],[Production system j]], 0)</f>
        <v>5.0000000000000001E-3</v>
      </c>
      <c r="F197" s="27" t="str" cm="1">
        <f t="array" ref="F197">Common_InputFunctions.Utility_DisplayArrayInTable(Common_SourceData.Common_SourceData_EFN2O_Data(), Table_SourceData_Common_EFN2O[[#Headers],[Production system j]], 0)</f>
        <v>Rice</v>
      </c>
      <c r="G197" s="27" t="str" cm="1">
        <f t="array" ref="G197">Common_InputFunctions.Utility_DisplayArrayInTable(Common_SourceData.Common_SourceData_EFN2O_Data(), Table_SourceData_Common_EFN2O[[#Headers],[Production system j]], 0)</f>
        <v>Single and multiple drainage, or alternate wetting and drying</v>
      </c>
      <c r="H197" s="27" t="str" cm="1">
        <f t="array" ref="H197">Common_InputFunctions.Utility_DisplayArrayInTable(Common_SourceData.Common_SourceData_EFN2O_Data(), Table_SourceData_Common_EFN2O[[#Headers],[Production system j]], 0)</f>
        <v>Any</v>
      </c>
    </row>
    <row r="198" spans="4:8" x14ac:dyDescent="0.25">
      <c r="D198" s="27" t="str" cm="1">
        <f t="array" ref="D198">Common_InputFunctions.Utility_DisplayArrayInTable(Common_SourceData.Common_SourceData_EFN2O_Data(), Table_SourceData_Common_EFN2O[[#Headers],[Production system j]], 0)</f>
        <v>Aquaculture</v>
      </c>
      <c r="E198" s="27" cm="1">
        <f t="array" ref="E198">Common_InputFunctions.Utility_DisplayArrayInTable(Common_SourceData.Common_SourceData_EFN2O_Data(), Table_SourceData_Common_EFN2O[[#Headers],[Production system j]], 0)</f>
        <v>2.5999999999999999E-3</v>
      </c>
      <c r="F198" s="27" t="str" cm="1">
        <f t="array" ref="F198">Common_InputFunctions.Utility_DisplayArrayInTable(Common_SourceData.Common_SourceData_EFN2O_Data(), Table_SourceData_Common_EFN2O[[#Headers],[Production system j]], 0)</f>
        <v>Aquaculture</v>
      </c>
      <c r="G198" s="27" t="str" cm="1">
        <f t="array" ref="G198">Common_InputFunctions.Utility_DisplayArrayInTable(Common_SourceData.Common_SourceData_EFN2O_Data(), Table_SourceData_Common_EFN2O[[#Headers],[Production system j]], 0)</f>
        <v>Any</v>
      </c>
      <c r="H198" s="27" t="str" cm="1">
        <f t="array" ref="H198">Common_InputFunctions.Utility_DisplayArrayInTable(Common_SourceData.Common_SourceData_EFN2O_Data(), Table_SourceData_Common_EFN2O[[#Headers],[Production system j]], 0)</f>
        <v>Any</v>
      </c>
    </row>
    <row r="199" spans="4:8" x14ac:dyDescent="0.25">
      <c r="D199" s="27" t="str" cm="1">
        <f t="array" ref="D199">Common_InputFunctions.Utility_DisplayArrayInTable(Common_SourceData.Common_SourceData_EFN2O_Data(), Table_SourceData_Common_EFN2O[[#Headers],[Production system j]], 0)</f>
        <v>Forestry</v>
      </c>
      <c r="E199" s="27" cm="1">
        <f t="array" ref="E199">Common_InputFunctions.Utility_DisplayArrayInTable(Common_SourceData.Common_SourceData_EFN2O_Data(), Table_SourceData_Common_EFN2O[[#Headers],[Production system j]], 0)</f>
        <v>1.8E-3</v>
      </c>
      <c r="F199" s="27" t="str" cm="1">
        <f t="array" ref="F199">Common_InputFunctions.Utility_DisplayArrayInTable(Common_SourceData.Common_SourceData_EFN2O_Data(), Table_SourceData_Common_EFN2O[[#Headers],[Production system j]], 0)</f>
        <v>Forestry</v>
      </c>
      <c r="G199" s="27" t="str" cm="1">
        <f t="array" ref="G199">Common_InputFunctions.Utility_DisplayArrayInTable(Common_SourceData.Common_SourceData_EFN2O_Data(), Table_SourceData_Common_EFN2O[[#Headers],[Production system j]], 0)</f>
        <v>Any</v>
      </c>
      <c r="H199" s="2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32" t="str" cm="1">
        <f t="array" ref="D204">Common_SourceData.Common_SourceData_EFPastureRangeAndPaddock_Variation()</f>
        <v>VARIATION FROM SOURCE DATA: Changed 'Dry climate zones' to singular 'Dry climate zone' to aid lookup.</v>
      </c>
    </row>
    <row r="205" spans="4:8" x14ac:dyDescent="0.25">
      <c r="D205" s="31" t="str" cm="1">
        <f t="array" ref="D205">Common_SourceData.Common_SourceData_EFPastureRangeAndPaddock_Unit()</f>
        <v>kg N2O - N / kg N</v>
      </c>
    </row>
    <row r="206" spans="4:8" x14ac:dyDescent="0.25">
      <c r="D206" s="27" t="s">
        <v>4</v>
      </c>
      <c r="E206" s="27" t="s">
        <v>59</v>
      </c>
    </row>
    <row r="207" spans="4:8" x14ac:dyDescent="0.25">
      <c r="D207" s="27" t="str" cm="1">
        <f t="array" ref="D207">Common_InputFunctions.Utility_DisplayArrayInTable(Common_SourceData.Common_SourceData_EFPastureRangeAndPaddock_Data(), Table_SourceData_EFPastureRangeAndPaddock[[#Headers],[Climate zone]], 0)</f>
        <v>Wet climate zone</v>
      </c>
      <c r="E207" s="2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2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27" t="s">
        <v>56</v>
      </c>
      <c r="E212" s="27" t="s">
        <v>62</v>
      </c>
    </row>
    <row r="213" spans="4:5" x14ac:dyDescent="0.25">
      <c r="D213" s="27" t="str" cm="1">
        <f t="array" ref="D213">Common_InputFunctions.Utility_DisplayArrayInTable(Common_SourceData.Common_SourceData_MonthsToSeasons_Data(), Table_SourceData_Common_MonthToSeason[[#Headers],[Month]], 0)</f>
        <v>January</v>
      </c>
      <c r="E213" s="2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2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2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2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2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2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2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2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2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2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2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2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32"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27" t="s">
        <v>35</v>
      </c>
      <c r="E231" s="27" t="s">
        <v>70</v>
      </c>
      <c r="F231" s="26" t="s">
        <v>71</v>
      </c>
      <c r="G231" s="27" t="s">
        <v>66</v>
      </c>
      <c r="H231" s="27" t="s">
        <v>72</v>
      </c>
      <c r="I231" s="27" t="s">
        <v>73</v>
      </c>
      <c r="J231" s="27" t="s">
        <v>65</v>
      </c>
      <c r="K231" s="27" t="s">
        <v>64</v>
      </c>
      <c r="L231" s="27" t="s">
        <v>74</v>
      </c>
      <c r="M231" s="27" t="s">
        <v>75</v>
      </c>
      <c r="N231" s="27" t="s">
        <v>63</v>
      </c>
      <c r="O231" s="27" t="s">
        <v>76</v>
      </c>
      <c r="P231" s="27" t="s">
        <v>68</v>
      </c>
      <c r="Q231" s="27" t="s">
        <v>69</v>
      </c>
      <c r="R231" s="27" t="s">
        <v>67</v>
      </c>
      <c r="S231" s="27" t="s">
        <v>77</v>
      </c>
    </row>
    <row r="232" spans="4:19" x14ac:dyDescent="0.25">
      <c r="D232" s="27" t="str" cm="1">
        <f t="array" ref="D232">Common_InputFunctions.Utility_DisplayArrayInTable(Common_SourceData.Common_SourceData_MCFTemperatureZone_Data(),Table_SourceData_Common_MCFTemperatureZone[[#Headers],[Temperature zone]],0)</f>
        <v>Cool</v>
      </c>
      <c r="E232" s="27" t="str" cm="1">
        <f t="array" ref="E232">Common_InputFunctions.Utility_DisplayArrayInTable(Common_SourceData.Common_SourceData_MCFTemperatureZone_Data(),Table_SourceData_Common_MCFTemperatureZone[[#Headers],[Temperature zone]],0)</f>
        <v>≤10</v>
      </c>
      <c r="F232" s="27" cm="1">
        <f t="array" ref="F232">Common_InputFunctions.Utility_DisplayArrayInTable(Common_SourceData.Common_SourceData_MCFTemperatureZone_Data(),Table_SourceData_Common_MCFTemperatureZone[[#Headers],[Temperature zone]],0)</f>
        <v>0.66</v>
      </c>
      <c r="G232" s="27" cm="1">
        <f t="array" ref="G232">Common_InputFunctions.Utility_DisplayArrayInTable(Common_SourceData.Common_SourceData_MCFTemperatureZone_Data(),Table_SourceData_Common_MCFTemperatureZone[[#Headers],[Temperature zone]],0)</f>
        <v>0.1</v>
      </c>
      <c r="H232" s="27" cm="1">
        <f t="array" ref="H232">Common_InputFunctions.Utility_DisplayArrayInTable(Common_SourceData.Common_SourceData_MCFTemperatureZone_Data(),Table_SourceData_Common_MCFTemperatureZone[[#Headers],[Temperature zone]],0)</f>
        <v>0.1</v>
      </c>
      <c r="I232" s="27" cm="1">
        <f t="array" ref="I232">Common_InputFunctions.Utility_DisplayArrayInTable(Common_SourceData.Common_SourceData_MCFTemperatureZone_Data(),Table_SourceData_Common_MCFTemperatureZone[[#Headers],[Temperature zone]],0)</f>
        <v>1E-3</v>
      </c>
      <c r="J232" s="27" cm="1">
        <f t="array" ref="J232">Common_InputFunctions.Utility_DisplayArrayInTable(Common_SourceData.Common_SourceData_MCFTemperatureZone_Data(),Table_SourceData_Common_MCFTemperatureZone[[#Headers],[Temperature zone]],0)</f>
        <v>5.0000000000000001E-3</v>
      </c>
      <c r="K232" s="27" cm="1">
        <f t="array" ref="K232">Common_InputFunctions.Utility_DisplayArrayInTable(Common_SourceData.Common_SourceData_MCFTemperatureZone_Data(),Table_SourceData_Common_MCFTemperatureZone[[#Headers],[Temperature zone]],0)</f>
        <v>0.02</v>
      </c>
      <c r="L232" s="27" cm="1">
        <f t="array" ref="L232">Common_InputFunctions.Utility_DisplayArrayInTable(Common_SourceData.Common_SourceData_MCFTemperatureZone_Data(),Table_SourceData_Common_MCFTemperatureZone[[#Headers],[Temperature zone]],0)</f>
        <v>0.03</v>
      </c>
      <c r="M232" s="27" cm="1">
        <f t="array" ref="M232">Common_InputFunctions.Utility_DisplayArrayInTable(Common_SourceData.Common_SourceData_MCFTemperatureZone_Data(),Table_SourceData_Common_MCFTemperatureZone[[#Headers],[Temperature zone]],0)</f>
        <v>0.04</v>
      </c>
      <c r="N232" s="27" cm="1">
        <f t="array" ref="N232">Common_InputFunctions.Utility_DisplayArrayInTable(Common_SourceData.Common_SourceData_MCFTemperatureZone_Data(),Table_SourceData_Common_MCFTemperatureZone[[#Headers],[Temperature zone]],0)</f>
        <v>1.4999999999999999E-2</v>
      </c>
      <c r="O232" s="27" cm="1">
        <f t="array" ref="O232">Common_InputFunctions.Utility_DisplayArrayInTable(Common_SourceData.Common_SourceData_MCFTemperatureZone_Data(),Table_SourceData_Common_MCFTemperatureZone[[#Headers],[Temperature zone]],0)</f>
        <v>1.4999999999999999E-2</v>
      </c>
      <c r="P232" s="27" cm="1">
        <f t="array" ref="P232">Common_InputFunctions.Utility_DisplayArrayInTable(Common_SourceData.Common_SourceData_MCFTemperatureZone_Data(),Table_SourceData_Common_MCFTemperatureZone[[#Headers],[Temperature zone]],0)</f>
        <v>0</v>
      </c>
      <c r="Q232" s="27" cm="1">
        <f t="array" ref="Q232">Common_InputFunctions.Utility_DisplayArrayInTable(Common_SourceData.Common_SourceData_MCFTemperatureZone_Data(),Table_SourceData_Common_MCFTemperatureZone[[#Headers],[Temperature zone]],0)</f>
        <v>0</v>
      </c>
      <c r="R232" s="27" cm="1">
        <f t="array" ref="R232">Common_InputFunctions.Utility_DisplayArrayInTable(Common_SourceData.Common_SourceData_MCFTemperatureZone_Data(),Table_SourceData_Common_MCFTemperatureZone[[#Headers],[Temperature zone]],0)</f>
        <v>4.7000000000000002E-3</v>
      </c>
      <c r="S232" s="2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27" cm="1">
        <f t="array" ref="E233">Common_InputFunctions.Utility_DisplayArrayInTable(Common_SourceData.Common_SourceData_MCFTemperatureZone_Data(),Table_SourceData_Common_MCFTemperatureZone[[#Headers],[Temperature zone]],0)</f>
        <v>11</v>
      </c>
      <c r="F233" s="27" cm="1">
        <f t="array" ref="F233">Common_InputFunctions.Utility_DisplayArrayInTable(Common_SourceData.Common_SourceData_MCFTemperatureZone_Data(),Table_SourceData_Common_MCFTemperatureZone[[#Headers],[Temperature zone]],0)</f>
        <v>0.68</v>
      </c>
      <c r="G233" s="27" cm="1">
        <f t="array" ref="G233">Common_InputFunctions.Utility_DisplayArrayInTable(Common_SourceData.Common_SourceData_MCFTemperatureZone_Data(),Table_SourceData_Common_MCFTemperatureZone[[#Headers],[Temperature zone]],0)</f>
        <v>0.1</v>
      </c>
      <c r="H233" s="27" cm="1">
        <f t="array" ref="H233">Common_InputFunctions.Utility_DisplayArrayInTable(Common_SourceData.Common_SourceData_MCFTemperatureZone_Data(),Table_SourceData_Common_MCFTemperatureZone[[#Headers],[Temperature zone]],0)</f>
        <v>0.11</v>
      </c>
      <c r="I233" s="27" cm="1">
        <f t="array" ref="I233">Common_InputFunctions.Utility_DisplayArrayInTable(Common_SourceData.Common_SourceData_MCFTemperatureZone_Data(),Table_SourceData_Common_MCFTemperatureZone[[#Headers],[Temperature zone]],0)</f>
        <v>1E-3</v>
      </c>
      <c r="J233" s="27" cm="1">
        <f t="array" ref="J233">Common_InputFunctions.Utility_DisplayArrayInTable(Common_SourceData.Common_SourceData_MCFTemperatureZone_Data(),Table_SourceData_Common_MCFTemperatureZone[[#Headers],[Temperature zone]],0)</f>
        <v>5.0000000000000001E-3</v>
      </c>
      <c r="K233" s="27" cm="1">
        <f t="array" ref="K233">Common_InputFunctions.Utility_DisplayArrayInTable(Common_SourceData.Common_SourceData_MCFTemperatureZone_Data(),Table_SourceData_Common_MCFTemperatureZone[[#Headers],[Temperature zone]],0)</f>
        <v>0.02</v>
      </c>
      <c r="L233" s="27" cm="1">
        <f t="array" ref="L233">Common_InputFunctions.Utility_DisplayArrayInTable(Common_SourceData.Common_SourceData_MCFTemperatureZone_Data(),Table_SourceData_Common_MCFTemperatureZone[[#Headers],[Temperature zone]],0)</f>
        <v>0.03</v>
      </c>
      <c r="M233" s="27" cm="1">
        <f t="array" ref="M233">Common_InputFunctions.Utility_DisplayArrayInTable(Common_SourceData.Common_SourceData_MCFTemperatureZone_Data(),Table_SourceData_Common_MCFTemperatureZone[[#Headers],[Temperature zone]],0)</f>
        <v>0.04</v>
      </c>
      <c r="N233" s="27" cm="1">
        <f t="array" ref="N233">Common_InputFunctions.Utility_DisplayArrayInTable(Common_SourceData.Common_SourceData_MCFTemperatureZone_Data(),Table_SourceData_Common_MCFTemperatureZone[[#Headers],[Temperature zone]],0)</f>
        <v>1.4999999999999999E-2</v>
      </c>
      <c r="O233" s="27" cm="1">
        <f t="array" ref="O233">Common_InputFunctions.Utility_DisplayArrayInTable(Common_SourceData.Common_SourceData_MCFTemperatureZone_Data(),Table_SourceData_Common_MCFTemperatureZone[[#Headers],[Temperature zone]],0)</f>
        <v>1.4999999999999999E-2</v>
      </c>
      <c r="P233" s="27" cm="1">
        <f t="array" ref="P233">Common_InputFunctions.Utility_DisplayArrayInTable(Common_SourceData.Common_SourceData_MCFTemperatureZone_Data(),Table_SourceData_Common_MCFTemperatureZone[[#Headers],[Temperature zone]],0)</f>
        <v>0</v>
      </c>
      <c r="Q233" s="27" cm="1">
        <f t="array" ref="Q233">Common_InputFunctions.Utility_DisplayArrayInTable(Common_SourceData.Common_SourceData_MCFTemperatureZone_Data(),Table_SourceData_Common_MCFTemperatureZone[[#Headers],[Temperature zone]],0)</f>
        <v>0</v>
      </c>
      <c r="R233" s="27" cm="1">
        <f t="array" ref="R233">Common_InputFunctions.Utility_DisplayArrayInTable(Common_SourceData.Common_SourceData_MCFTemperatureZone_Data(),Table_SourceData_Common_MCFTemperatureZone[[#Headers],[Temperature zone]],0)</f>
        <v>4.7000000000000002E-3</v>
      </c>
      <c r="S233" s="2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27" cm="1">
        <f t="array" ref="E234">Common_InputFunctions.Utility_DisplayArrayInTable(Common_SourceData.Common_SourceData_MCFTemperatureZone_Data(),Table_SourceData_Common_MCFTemperatureZone[[#Headers],[Temperature zone]],0)</f>
        <v>12</v>
      </c>
      <c r="F234" s="27" cm="1">
        <f t="array" ref="F234">Common_InputFunctions.Utility_DisplayArrayInTable(Common_SourceData.Common_SourceData_MCFTemperatureZone_Data(),Table_SourceData_Common_MCFTemperatureZone[[#Headers],[Temperature zone]],0)</f>
        <v>0.7</v>
      </c>
      <c r="G234" s="27" cm="1">
        <f t="array" ref="G234">Common_InputFunctions.Utility_DisplayArrayInTable(Common_SourceData.Common_SourceData_MCFTemperatureZone_Data(),Table_SourceData_Common_MCFTemperatureZone[[#Headers],[Temperature zone]],0)</f>
        <v>0.1</v>
      </c>
      <c r="H234" s="27" cm="1">
        <f t="array" ref="H234">Common_InputFunctions.Utility_DisplayArrayInTable(Common_SourceData.Common_SourceData_MCFTemperatureZone_Data(),Table_SourceData_Common_MCFTemperatureZone[[#Headers],[Temperature zone]],0)</f>
        <v>0.13</v>
      </c>
      <c r="I234" s="27" cm="1">
        <f t="array" ref="I234">Common_InputFunctions.Utility_DisplayArrayInTable(Common_SourceData.Common_SourceData_MCFTemperatureZone_Data(),Table_SourceData_Common_MCFTemperatureZone[[#Headers],[Temperature zone]],0)</f>
        <v>1E-3</v>
      </c>
      <c r="J234" s="27" cm="1">
        <f t="array" ref="J234">Common_InputFunctions.Utility_DisplayArrayInTable(Common_SourceData.Common_SourceData_MCFTemperatureZone_Data(),Table_SourceData_Common_MCFTemperatureZone[[#Headers],[Temperature zone]],0)</f>
        <v>5.0000000000000001E-3</v>
      </c>
      <c r="K234" s="27" cm="1">
        <f t="array" ref="K234">Common_InputFunctions.Utility_DisplayArrayInTable(Common_SourceData.Common_SourceData_MCFTemperatureZone_Data(),Table_SourceData_Common_MCFTemperatureZone[[#Headers],[Temperature zone]],0)</f>
        <v>0.02</v>
      </c>
      <c r="L234" s="27" cm="1">
        <f t="array" ref="L234">Common_InputFunctions.Utility_DisplayArrayInTable(Common_SourceData.Common_SourceData_MCFTemperatureZone_Data(),Table_SourceData_Common_MCFTemperatureZone[[#Headers],[Temperature zone]],0)</f>
        <v>0.03</v>
      </c>
      <c r="M234" s="27" cm="1">
        <f t="array" ref="M234">Common_InputFunctions.Utility_DisplayArrayInTable(Common_SourceData.Common_SourceData_MCFTemperatureZone_Data(),Table_SourceData_Common_MCFTemperatureZone[[#Headers],[Temperature zone]],0)</f>
        <v>0.04</v>
      </c>
      <c r="N234" s="27" cm="1">
        <f t="array" ref="N234">Common_InputFunctions.Utility_DisplayArrayInTable(Common_SourceData.Common_SourceData_MCFTemperatureZone_Data(),Table_SourceData_Common_MCFTemperatureZone[[#Headers],[Temperature zone]],0)</f>
        <v>1.4999999999999999E-2</v>
      </c>
      <c r="O234" s="27" cm="1">
        <f t="array" ref="O234">Common_InputFunctions.Utility_DisplayArrayInTable(Common_SourceData.Common_SourceData_MCFTemperatureZone_Data(),Table_SourceData_Common_MCFTemperatureZone[[#Headers],[Temperature zone]],0)</f>
        <v>1.4999999999999999E-2</v>
      </c>
      <c r="P234" s="27" cm="1">
        <f t="array" ref="P234">Common_InputFunctions.Utility_DisplayArrayInTable(Common_SourceData.Common_SourceData_MCFTemperatureZone_Data(),Table_SourceData_Common_MCFTemperatureZone[[#Headers],[Temperature zone]],0)</f>
        <v>0</v>
      </c>
      <c r="Q234" s="27" cm="1">
        <f t="array" ref="Q234">Common_InputFunctions.Utility_DisplayArrayInTable(Common_SourceData.Common_SourceData_MCFTemperatureZone_Data(),Table_SourceData_Common_MCFTemperatureZone[[#Headers],[Temperature zone]],0)</f>
        <v>0</v>
      </c>
      <c r="R234" s="27" cm="1">
        <f t="array" ref="R234">Common_InputFunctions.Utility_DisplayArrayInTable(Common_SourceData.Common_SourceData_MCFTemperatureZone_Data(),Table_SourceData_Common_MCFTemperatureZone[[#Headers],[Temperature zone]],0)</f>
        <v>4.7000000000000002E-3</v>
      </c>
      <c r="S234" s="2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27" cm="1">
        <f t="array" ref="E235">Common_InputFunctions.Utility_DisplayArrayInTable(Common_SourceData.Common_SourceData_MCFTemperatureZone_Data(),Table_SourceData_Common_MCFTemperatureZone[[#Headers],[Temperature zone]],0)</f>
        <v>13</v>
      </c>
      <c r="F235" s="27" cm="1">
        <f t="array" ref="F235">Common_InputFunctions.Utility_DisplayArrayInTable(Common_SourceData.Common_SourceData_MCFTemperatureZone_Data(),Table_SourceData_Common_MCFTemperatureZone[[#Headers],[Temperature zone]],0)</f>
        <v>0.71</v>
      </c>
      <c r="G235" s="27" cm="1">
        <f t="array" ref="G235">Common_InputFunctions.Utility_DisplayArrayInTable(Common_SourceData.Common_SourceData_MCFTemperatureZone_Data(),Table_SourceData_Common_MCFTemperatureZone[[#Headers],[Temperature zone]],0)</f>
        <v>0.1</v>
      </c>
      <c r="H235" s="27" cm="1">
        <f t="array" ref="H235">Common_InputFunctions.Utility_DisplayArrayInTable(Common_SourceData.Common_SourceData_MCFTemperatureZone_Data(),Table_SourceData_Common_MCFTemperatureZone[[#Headers],[Temperature zone]],0)</f>
        <v>0.14000000000000001</v>
      </c>
      <c r="I235" s="27" cm="1">
        <f t="array" ref="I235">Common_InputFunctions.Utility_DisplayArrayInTable(Common_SourceData.Common_SourceData_MCFTemperatureZone_Data(),Table_SourceData_Common_MCFTemperatureZone[[#Headers],[Temperature zone]],0)</f>
        <v>1E-3</v>
      </c>
      <c r="J235" s="27" cm="1">
        <f t="array" ref="J235">Common_InputFunctions.Utility_DisplayArrayInTable(Common_SourceData.Common_SourceData_MCFTemperatureZone_Data(),Table_SourceData_Common_MCFTemperatureZone[[#Headers],[Temperature zone]],0)</f>
        <v>5.0000000000000001E-3</v>
      </c>
      <c r="K235" s="27" cm="1">
        <f t="array" ref="K235">Common_InputFunctions.Utility_DisplayArrayInTable(Common_SourceData.Common_SourceData_MCFTemperatureZone_Data(),Table_SourceData_Common_MCFTemperatureZone[[#Headers],[Temperature zone]],0)</f>
        <v>0.02</v>
      </c>
      <c r="L235" s="27" cm="1">
        <f t="array" ref="L235">Common_InputFunctions.Utility_DisplayArrayInTable(Common_SourceData.Common_SourceData_MCFTemperatureZone_Data(),Table_SourceData_Common_MCFTemperatureZone[[#Headers],[Temperature zone]],0)</f>
        <v>0.03</v>
      </c>
      <c r="M235" s="27" cm="1">
        <f t="array" ref="M235">Common_InputFunctions.Utility_DisplayArrayInTable(Common_SourceData.Common_SourceData_MCFTemperatureZone_Data(),Table_SourceData_Common_MCFTemperatureZone[[#Headers],[Temperature zone]],0)</f>
        <v>0.04</v>
      </c>
      <c r="N235" s="27" cm="1">
        <f t="array" ref="N235">Common_InputFunctions.Utility_DisplayArrayInTable(Common_SourceData.Common_SourceData_MCFTemperatureZone_Data(),Table_SourceData_Common_MCFTemperatureZone[[#Headers],[Temperature zone]],0)</f>
        <v>1.4999999999999999E-2</v>
      </c>
      <c r="O235" s="27" cm="1">
        <f t="array" ref="O235">Common_InputFunctions.Utility_DisplayArrayInTable(Common_SourceData.Common_SourceData_MCFTemperatureZone_Data(),Table_SourceData_Common_MCFTemperatureZone[[#Headers],[Temperature zone]],0)</f>
        <v>1.4999999999999999E-2</v>
      </c>
      <c r="P235" s="27" cm="1">
        <f t="array" ref="P235">Common_InputFunctions.Utility_DisplayArrayInTable(Common_SourceData.Common_SourceData_MCFTemperatureZone_Data(),Table_SourceData_Common_MCFTemperatureZone[[#Headers],[Temperature zone]],0)</f>
        <v>0</v>
      </c>
      <c r="Q235" s="27" cm="1">
        <f t="array" ref="Q235">Common_InputFunctions.Utility_DisplayArrayInTable(Common_SourceData.Common_SourceData_MCFTemperatureZone_Data(),Table_SourceData_Common_MCFTemperatureZone[[#Headers],[Temperature zone]],0)</f>
        <v>0</v>
      </c>
      <c r="R235" s="27" cm="1">
        <f t="array" ref="R235">Common_InputFunctions.Utility_DisplayArrayInTable(Common_SourceData.Common_SourceData_MCFTemperatureZone_Data(),Table_SourceData_Common_MCFTemperatureZone[[#Headers],[Temperature zone]],0)</f>
        <v>4.7000000000000002E-3</v>
      </c>
      <c r="S235" s="2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27" cm="1">
        <f t="array" ref="E236">Common_InputFunctions.Utility_DisplayArrayInTable(Common_SourceData.Common_SourceData_MCFTemperatureZone_Data(),Table_SourceData_Common_MCFTemperatureZone[[#Headers],[Temperature zone]],0)</f>
        <v>14</v>
      </c>
      <c r="F236" s="27" cm="1">
        <f t="array" ref="F236">Common_InputFunctions.Utility_DisplayArrayInTable(Common_SourceData.Common_SourceData_MCFTemperatureZone_Data(),Table_SourceData_Common_MCFTemperatureZone[[#Headers],[Temperature zone]],0)</f>
        <v>0.73</v>
      </c>
      <c r="G236" s="27" cm="1">
        <f t="array" ref="G236">Common_InputFunctions.Utility_DisplayArrayInTable(Common_SourceData.Common_SourceData_MCFTemperatureZone_Data(),Table_SourceData_Common_MCFTemperatureZone[[#Headers],[Temperature zone]],0)</f>
        <v>0.1</v>
      </c>
      <c r="H236" s="27" cm="1">
        <f t="array" ref="H236">Common_InputFunctions.Utility_DisplayArrayInTable(Common_SourceData.Common_SourceData_MCFTemperatureZone_Data(),Table_SourceData_Common_MCFTemperatureZone[[#Headers],[Temperature zone]],0)</f>
        <v>0.15</v>
      </c>
      <c r="I236" s="27" cm="1">
        <f t="array" ref="I236">Common_InputFunctions.Utility_DisplayArrayInTable(Common_SourceData.Common_SourceData_MCFTemperatureZone_Data(),Table_SourceData_Common_MCFTemperatureZone[[#Headers],[Temperature zone]],0)</f>
        <v>1E-3</v>
      </c>
      <c r="J236" s="27" cm="1">
        <f t="array" ref="J236">Common_InputFunctions.Utility_DisplayArrayInTable(Common_SourceData.Common_SourceData_MCFTemperatureZone_Data(),Table_SourceData_Common_MCFTemperatureZone[[#Headers],[Temperature zone]],0)</f>
        <v>5.0000000000000001E-3</v>
      </c>
      <c r="K236" s="27" cm="1">
        <f t="array" ref="K236">Common_InputFunctions.Utility_DisplayArrayInTable(Common_SourceData.Common_SourceData_MCFTemperatureZone_Data(),Table_SourceData_Common_MCFTemperatureZone[[#Headers],[Temperature zone]],0)</f>
        <v>0.02</v>
      </c>
      <c r="L236" s="27" cm="1">
        <f t="array" ref="L236">Common_InputFunctions.Utility_DisplayArrayInTable(Common_SourceData.Common_SourceData_MCFTemperatureZone_Data(),Table_SourceData_Common_MCFTemperatureZone[[#Headers],[Temperature zone]],0)</f>
        <v>0.03</v>
      </c>
      <c r="M236" s="27" cm="1">
        <f t="array" ref="M236">Common_InputFunctions.Utility_DisplayArrayInTable(Common_SourceData.Common_SourceData_MCFTemperatureZone_Data(),Table_SourceData_Common_MCFTemperatureZone[[#Headers],[Temperature zone]],0)</f>
        <v>0.04</v>
      </c>
      <c r="N236" s="27" cm="1">
        <f t="array" ref="N236">Common_InputFunctions.Utility_DisplayArrayInTable(Common_SourceData.Common_SourceData_MCFTemperatureZone_Data(),Table_SourceData_Common_MCFTemperatureZone[[#Headers],[Temperature zone]],0)</f>
        <v>1.4999999999999999E-2</v>
      </c>
      <c r="O236" s="27" cm="1">
        <f t="array" ref="O236">Common_InputFunctions.Utility_DisplayArrayInTable(Common_SourceData.Common_SourceData_MCFTemperatureZone_Data(),Table_SourceData_Common_MCFTemperatureZone[[#Headers],[Temperature zone]],0)</f>
        <v>1.4999999999999999E-2</v>
      </c>
      <c r="P236" s="27" cm="1">
        <f t="array" ref="P236">Common_InputFunctions.Utility_DisplayArrayInTable(Common_SourceData.Common_SourceData_MCFTemperatureZone_Data(),Table_SourceData_Common_MCFTemperatureZone[[#Headers],[Temperature zone]],0)</f>
        <v>0</v>
      </c>
      <c r="Q236" s="27" cm="1">
        <f t="array" ref="Q236">Common_InputFunctions.Utility_DisplayArrayInTable(Common_SourceData.Common_SourceData_MCFTemperatureZone_Data(),Table_SourceData_Common_MCFTemperatureZone[[#Headers],[Temperature zone]],0)</f>
        <v>0</v>
      </c>
      <c r="R236" s="27" cm="1">
        <f t="array" ref="R236">Common_InputFunctions.Utility_DisplayArrayInTable(Common_SourceData.Common_SourceData_MCFTemperatureZone_Data(),Table_SourceData_Common_MCFTemperatureZone[[#Headers],[Temperature zone]],0)</f>
        <v>4.7000000000000002E-3</v>
      </c>
      <c r="S236" s="2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27" cm="1">
        <f t="array" ref="E237">Common_InputFunctions.Utility_DisplayArrayInTable(Common_SourceData.Common_SourceData_MCFTemperatureZone_Data(),Table_SourceData_Common_MCFTemperatureZone[[#Headers],[Temperature zone]],0)</f>
        <v>15</v>
      </c>
      <c r="F237" s="27" cm="1">
        <f t="array" ref="F237">Common_InputFunctions.Utility_DisplayArrayInTable(Common_SourceData.Common_SourceData_MCFTemperatureZone_Data(),Table_SourceData_Common_MCFTemperatureZone[[#Headers],[Temperature zone]],0)</f>
        <v>0.74</v>
      </c>
      <c r="G237" s="27" cm="1">
        <f t="array" ref="G237">Common_InputFunctions.Utility_DisplayArrayInTable(Common_SourceData.Common_SourceData_MCFTemperatureZone_Data(),Table_SourceData_Common_MCFTemperatureZone[[#Headers],[Temperature zone]],0)</f>
        <v>0.1</v>
      </c>
      <c r="H237" s="27" cm="1">
        <f t="array" ref="H237">Common_InputFunctions.Utility_DisplayArrayInTable(Common_SourceData.Common_SourceData_MCFTemperatureZone_Data(),Table_SourceData_Common_MCFTemperatureZone[[#Headers],[Temperature zone]],0)</f>
        <v>0.17</v>
      </c>
      <c r="I237" s="27" cm="1">
        <f t="array" ref="I237">Common_InputFunctions.Utility_DisplayArrayInTable(Common_SourceData.Common_SourceData_MCFTemperatureZone_Data(),Table_SourceData_Common_MCFTemperatureZone[[#Headers],[Temperature zone]],0)</f>
        <v>5.0000000000000001E-3</v>
      </c>
      <c r="J237" s="27" cm="1">
        <f t="array" ref="J237">Common_InputFunctions.Utility_DisplayArrayInTable(Common_SourceData.Common_SourceData_MCFTemperatureZone_Data(),Table_SourceData_Common_MCFTemperatureZone[[#Headers],[Temperature zone]],0)</f>
        <v>0.01</v>
      </c>
      <c r="K237" s="27" cm="1">
        <f t="array" ref="K237">Common_InputFunctions.Utility_DisplayArrayInTable(Common_SourceData.Common_SourceData_MCFTemperatureZone_Data(),Table_SourceData_Common_MCFTemperatureZone[[#Headers],[Temperature zone]],0)</f>
        <v>0.02</v>
      </c>
      <c r="L237" s="27" cm="1">
        <f t="array" ref="L237">Common_InputFunctions.Utility_DisplayArrayInTable(Common_SourceData.Common_SourceData_MCFTemperatureZone_Data(),Table_SourceData_Common_MCFTemperatureZone[[#Headers],[Temperature zone]],0)</f>
        <v>0.03</v>
      </c>
      <c r="M237" s="27" cm="1">
        <f t="array" ref="M237">Common_InputFunctions.Utility_DisplayArrayInTable(Common_SourceData.Common_SourceData_MCFTemperatureZone_Data(),Table_SourceData_Common_MCFTemperatureZone[[#Headers],[Temperature zone]],0)</f>
        <v>0.04</v>
      </c>
      <c r="N237" s="27" cm="1">
        <f t="array" ref="N237">Common_InputFunctions.Utility_DisplayArrayInTable(Common_SourceData.Common_SourceData_MCFTemperatureZone_Data(),Table_SourceData_Common_MCFTemperatureZone[[#Headers],[Temperature zone]],0)</f>
        <v>1.4999999999999999E-2</v>
      </c>
      <c r="O237" s="27" cm="1">
        <f t="array" ref="O237">Common_InputFunctions.Utility_DisplayArrayInTable(Common_SourceData.Common_SourceData_MCFTemperatureZone_Data(),Table_SourceData_Common_MCFTemperatureZone[[#Headers],[Temperature zone]],0)</f>
        <v>1.4999999999999999E-2</v>
      </c>
      <c r="P237" s="27" cm="1">
        <f t="array" ref="P237">Common_InputFunctions.Utility_DisplayArrayInTable(Common_SourceData.Common_SourceData_MCFTemperatureZone_Data(),Table_SourceData_Common_MCFTemperatureZone[[#Headers],[Temperature zone]],0)</f>
        <v>0</v>
      </c>
      <c r="Q237" s="27" cm="1">
        <f t="array" ref="Q237">Common_InputFunctions.Utility_DisplayArrayInTable(Common_SourceData.Common_SourceData_MCFTemperatureZone_Data(),Table_SourceData_Common_MCFTemperatureZone[[#Headers],[Temperature zone]],0)</f>
        <v>0</v>
      </c>
      <c r="R237" s="27" cm="1">
        <f t="array" ref="R237">Common_InputFunctions.Utility_DisplayArrayInTable(Common_SourceData.Common_SourceData_MCFTemperatureZone_Data(),Table_SourceData_Common_MCFTemperatureZone[[#Headers],[Temperature zone]],0)</f>
        <v>4.7000000000000002E-3</v>
      </c>
      <c r="S237" s="2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27" cm="1">
        <f t="array" ref="E238">Common_InputFunctions.Utility_DisplayArrayInTable(Common_SourceData.Common_SourceData_MCFTemperatureZone_Data(),Table_SourceData_Common_MCFTemperatureZone[[#Headers],[Temperature zone]],0)</f>
        <v>16</v>
      </c>
      <c r="F238" s="27" cm="1">
        <f t="array" ref="F238">Common_InputFunctions.Utility_DisplayArrayInTable(Common_SourceData.Common_SourceData_MCFTemperatureZone_Data(),Table_SourceData_Common_MCFTemperatureZone[[#Headers],[Temperature zone]],0)</f>
        <v>0.75</v>
      </c>
      <c r="G238" s="27" cm="1">
        <f t="array" ref="G238">Common_InputFunctions.Utility_DisplayArrayInTable(Common_SourceData.Common_SourceData_MCFTemperatureZone_Data(),Table_SourceData_Common_MCFTemperatureZone[[#Headers],[Temperature zone]],0)</f>
        <v>0.1</v>
      </c>
      <c r="H238" s="27" cm="1">
        <f t="array" ref="H238">Common_InputFunctions.Utility_DisplayArrayInTable(Common_SourceData.Common_SourceData_MCFTemperatureZone_Data(),Table_SourceData_Common_MCFTemperatureZone[[#Headers],[Temperature zone]],0)</f>
        <v>0.18</v>
      </c>
      <c r="I238" s="27" cm="1">
        <f t="array" ref="I238">Common_InputFunctions.Utility_DisplayArrayInTable(Common_SourceData.Common_SourceData_MCFTemperatureZone_Data(),Table_SourceData_Common_MCFTemperatureZone[[#Headers],[Temperature zone]],0)</f>
        <v>5.0000000000000001E-3</v>
      </c>
      <c r="J238" s="27" cm="1">
        <f t="array" ref="J238">Common_InputFunctions.Utility_DisplayArrayInTable(Common_SourceData.Common_SourceData_MCFTemperatureZone_Data(),Table_SourceData_Common_MCFTemperatureZone[[#Headers],[Temperature zone]],0)</f>
        <v>0.01</v>
      </c>
      <c r="K238" s="27" cm="1">
        <f t="array" ref="K238">Common_InputFunctions.Utility_DisplayArrayInTable(Common_SourceData.Common_SourceData_MCFTemperatureZone_Data(),Table_SourceData_Common_MCFTemperatureZone[[#Headers],[Temperature zone]],0)</f>
        <v>0.02</v>
      </c>
      <c r="L238" s="27" cm="1">
        <f t="array" ref="L238">Common_InputFunctions.Utility_DisplayArrayInTable(Common_SourceData.Common_SourceData_MCFTemperatureZone_Data(),Table_SourceData_Common_MCFTemperatureZone[[#Headers],[Temperature zone]],0)</f>
        <v>0.03</v>
      </c>
      <c r="M238" s="27" cm="1">
        <f t="array" ref="M238">Common_InputFunctions.Utility_DisplayArrayInTable(Common_SourceData.Common_SourceData_MCFTemperatureZone_Data(),Table_SourceData_Common_MCFTemperatureZone[[#Headers],[Temperature zone]],0)</f>
        <v>0.04</v>
      </c>
      <c r="N238" s="27" cm="1">
        <f t="array" ref="N238">Common_InputFunctions.Utility_DisplayArrayInTable(Common_SourceData.Common_SourceData_MCFTemperatureZone_Data(),Table_SourceData_Common_MCFTemperatureZone[[#Headers],[Temperature zone]],0)</f>
        <v>1.4999999999999999E-2</v>
      </c>
      <c r="O238" s="27" cm="1">
        <f t="array" ref="O238">Common_InputFunctions.Utility_DisplayArrayInTable(Common_SourceData.Common_SourceData_MCFTemperatureZone_Data(),Table_SourceData_Common_MCFTemperatureZone[[#Headers],[Temperature zone]],0)</f>
        <v>1.4999999999999999E-2</v>
      </c>
      <c r="P238" s="27" cm="1">
        <f t="array" ref="P238">Common_InputFunctions.Utility_DisplayArrayInTable(Common_SourceData.Common_SourceData_MCFTemperatureZone_Data(),Table_SourceData_Common_MCFTemperatureZone[[#Headers],[Temperature zone]],0)</f>
        <v>0</v>
      </c>
      <c r="Q238" s="27" cm="1">
        <f t="array" ref="Q238">Common_InputFunctions.Utility_DisplayArrayInTable(Common_SourceData.Common_SourceData_MCFTemperatureZone_Data(),Table_SourceData_Common_MCFTemperatureZone[[#Headers],[Temperature zone]],0)</f>
        <v>0</v>
      </c>
      <c r="R238" s="27" cm="1">
        <f t="array" ref="R238">Common_InputFunctions.Utility_DisplayArrayInTable(Common_SourceData.Common_SourceData_MCFTemperatureZone_Data(),Table_SourceData_Common_MCFTemperatureZone[[#Headers],[Temperature zone]],0)</f>
        <v>4.7000000000000002E-3</v>
      </c>
      <c r="S238" s="2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27" cm="1">
        <f t="array" ref="E239">Common_InputFunctions.Utility_DisplayArrayInTable(Common_SourceData.Common_SourceData_MCFTemperatureZone_Data(),Table_SourceData_Common_MCFTemperatureZone[[#Headers],[Temperature zone]],0)</f>
        <v>17</v>
      </c>
      <c r="F239" s="27" cm="1">
        <f t="array" ref="F239">Common_InputFunctions.Utility_DisplayArrayInTable(Common_SourceData.Common_SourceData_MCFTemperatureZone_Data(),Table_SourceData_Common_MCFTemperatureZone[[#Headers],[Temperature zone]],0)</f>
        <v>0.76</v>
      </c>
      <c r="G239" s="27" cm="1">
        <f t="array" ref="G239">Common_InputFunctions.Utility_DisplayArrayInTable(Common_SourceData.Common_SourceData_MCFTemperatureZone_Data(),Table_SourceData_Common_MCFTemperatureZone[[#Headers],[Temperature zone]],0)</f>
        <v>0.1</v>
      </c>
      <c r="H239" s="27" cm="1">
        <f t="array" ref="H239">Common_InputFunctions.Utility_DisplayArrayInTable(Common_SourceData.Common_SourceData_MCFTemperatureZone_Data(),Table_SourceData_Common_MCFTemperatureZone[[#Headers],[Temperature zone]],0)</f>
        <v>0.2</v>
      </c>
      <c r="I239" s="27" cm="1">
        <f t="array" ref="I239">Common_InputFunctions.Utility_DisplayArrayInTable(Common_SourceData.Common_SourceData_MCFTemperatureZone_Data(),Table_SourceData_Common_MCFTemperatureZone[[#Headers],[Temperature zone]],0)</f>
        <v>5.0000000000000001E-3</v>
      </c>
      <c r="J239" s="27" cm="1">
        <f t="array" ref="J239">Common_InputFunctions.Utility_DisplayArrayInTable(Common_SourceData.Common_SourceData_MCFTemperatureZone_Data(),Table_SourceData_Common_MCFTemperatureZone[[#Headers],[Temperature zone]],0)</f>
        <v>0.01</v>
      </c>
      <c r="K239" s="27" cm="1">
        <f t="array" ref="K239">Common_InputFunctions.Utility_DisplayArrayInTable(Common_SourceData.Common_SourceData_MCFTemperatureZone_Data(),Table_SourceData_Common_MCFTemperatureZone[[#Headers],[Temperature zone]],0)</f>
        <v>0.02</v>
      </c>
      <c r="L239" s="27" cm="1">
        <f t="array" ref="L239">Common_InputFunctions.Utility_DisplayArrayInTable(Common_SourceData.Common_SourceData_MCFTemperatureZone_Data(),Table_SourceData_Common_MCFTemperatureZone[[#Headers],[Temperature zone]],0)</f>
        <v>0.03</v>
      </c>
      <c r="M239" s="27" cm="1">
        <f t="array" ref="M239">Common_InputFunctions.Utility_DisplayArrayInTable(Common_SourceData.Common_SourceData_MCFTemperatureZone_Data(),Table_SourceData_Common_MCFTemperatureZone[[#Headers],[Temperature zone]],0)</f>
        <v>0.04</v>
      </c>
      <c r="N239" s="27" cm="1">
        <f t="array" ref="N239">Common_InputFunctions.Utility_DisplayArrayInTable(Common_SourceData.Common_SourceData_MCFTemperatureZone_Data(),Table_SourceData_Common_MCFTemperatureZone[[#Headers],[Temperature zone]],0)</f>
        <v>1.4999999999999999E-2</v>
      </c>
      <c r="O239" s="27" cm="1">
        <f t="array" ref="O239">Common_InputFunctions.Utility_DisplayArrayInTable(Common_SourceData.Common_SourceData_MCFTemperatureZone_Data(),Table_SourceData_Common_MCFTemperatureZone[[#Headers],[Temperature zone]],0)</f>
        <v>1.4999999999999999E-2</v>
      </c>
      <c r="P239" s="27" cm="1">
        <f t="array" ref="P239">Common_InputFunctions.Utility_DisplayArrayInTable(Common_SourceData.Common_SourceData_MCFTemperatureZone_Data(),Table_SourceData_Common_MCFTemperatureZone[[#Headers],[Temperature zone]],0)</f>
        <v>0</v>
      </c>
      <c r="Q239" s="27" cm="1">
        <f t="array" ref="Q239">Common_InputFunctions.Utility_DisplayArrayInTable(Common_SourceData.Common_SourceData_MCFTemperatureZone_Data(),Table_SourceData_Common_MCFTemperatureZone[[#Headers],[Temperature zone]],0)</f>
        <v>0</v>
      </c>
      <c r="R239" s="27" cm="1">
        <f t="array" ref="R239">Common_InputFunctions.Utility_DisplayArrayInTable(Common_SourceData.Common_SourceData_MCFTemperatureZone_Data(),Table_SourceData_Common_MCFTemperatureZone[[#Headers],[Temperature zone]],0)</f>
        <v>4.7000000000000002E-3</v>
      </c>
      <c r="S239" s="2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27" cm="1">
        <f t="array" ref="E240">Common_InputFunctions.Utility_DisplayArrayInTable(Common_SourceData.Common_SourceData_MCFTemperatureZone_Data(),Table_SourceData_Common_MCFTemperatureZone[[#Headers],[Temperature zone]],0)</f>
        <v>18</v>
      </c>
      <c r="F240" s="27" cm="1">
        <f t="array" ref="F240">Common_InputFunctions.Utility_DisplayArrayInTable(Common_SourceData.Common_SourceData_MCFTemperatureZone_Data(),Table_SourceData_Common_MCFTemperatureZone[[#Headers],[Temperature zone]],0)</f>
        <v>0.77</v>
      </c>
      <c r="G240" s="27" cm="1">
        <f t="array" ref="G240">Common_InputFunctions.Utility_DisplayArrayInTable(Common_SourceData.Common_SourceData_MCFTemperatureZone_Data(),Table_SourceData_Common_MCFTemperatureZone[[#Headers],[Temperature zone]],0)</f>
        <v>0.1</v>
      </c>
      <c r="H240" s="27" cm="1">
        <f t="array" ref="H240">Common_InputFunctions.Utility_DisplayArrayInTable(Common_SourceData.Common_SourceData_MCFTemperatureZone_Data(),Table_SourceData_Common_MCFTemperatureZone[[#Headers],[Temperature zone]],0)</f>
        <v>0.22</v>
      </c>
      <c r="I240" s="27" cm="1">
        <f t="array" ref="I240">Common_InputFunctions.Utility_DisplayArrayInTable(Common_SourceData.Common_SourceData_MCFTemperatureZone_Data(),Table_SourceData_Common_MCFTemperatureZone[[#Headers],[Temperature zone]],0)</f>
        <v>5.0000000000000001E-3</v>
      </c>
      <c r="J240" s="27" cm="1">
        <f t="array" ref="J240">Common_InputFunctions.Utility_DisplayArrayInTable(Common_SourceData.Common_SourceData_MCFTemperatureZone_Data(),Table_SourceData_Common_MCFTemperatureZone[[#Headers],[Temperature zone]],0)</f>
        <v>0.01</v>
      </c>
      <c r="K240" s="27" cm="1">
        <f t="array" ref="K240">Common_InputFunctions.Utility_DisplayArrayInTable(Common_SourceData.Common_SourceData_MCFTemperatureZone_Data(),Table_SourceData_Common_MCFTemperatureZone[[#Headers],[Temperature zone]],0)</f>
        <v>0.02</v>
      </c>
      <c r="L240" s="27" cm="1">
        <f t="array" ref="L240">Common_InputFunctions.Utility_DisplayArrayInTable(Common_SourceData.Common_SourceData_MCFTemperatureZone_Data(),Table_SourceData_Common_MCFTemperatureZone[[#Headers],[Temperature zone]],0)</f>
        <v>0.03</v>
      </c>
      <c r="M240" s="27" cm="1">
        <f t="array" ref="M240">Common_InputFunctions.Utility_DisplayArrayInTable(Common_SourceData.Common_SourceData_MCFTemperatureZone_Data(),Table_SourceData_Common_MCFTemperatureZone[[#Headers],[Temperature zone]],0)</f>
        <v>0.04</v>
      </c>
      <c r="N240" s="27" cm="1">
        <f t="array" ref="N240">Common_InputFunctions.Utility_DisplayArrayInTable(Common_SourceData.Common_SourceData_MCFTemperatureZone_Data(),Table_SourceData_Common_MCFTemperatureZone[[#Headers],[Temperature zone]],0)</f>
        <v>1.4999999999999999E-2</v>
      </c>
      <c r="O240" s="27" cm="1">
        <f t="array" ref="O240">Common_InputFunctions.Utility_DisplayArrayInTable(Common_SourceData.Common_SourceData_MCFTemperatureZone_Data(),Table_SourceData_Common_MCFTemperatureZone[[#Headers],[Temperature zone]],0)</f>
        <v>1.4999999999999999E-2</v>
      </c>
      <c r="P240" s="27" cm="1">
        <f t="array" ref="P240">Common_InputFunctions.Utility_DisplayArrayInTable(Common_SourceData.Common_SourceData_MCFTemperatureZone_Data(),Table_SourceData_Common_MCFTemperatureZone[[#Headers],[Temperature zone]],0)</f>
        <v>0</v>
      </c>
      <c r="Q240" s="27" cm="1">
        <f t="array" ref="Q240">Common_InputFunctions.Utility_DisplayArrayInTable(Common_SourceData.Common_SourceData_MCFTemperatureZone_Data(),Table_SourceData_Common_MCFTemperatureZone[[#Headers],[Temperature zone]],0)</f>
        <v>0</v>
      </c>
      <c r="R240" s="27" cm="1">
        <f t="array" ref="R240">Common_InputFunctions.Utility_DisplayArrayInTable(Common_SourceData.Common_SourceData_MCFTemperatureZone_Data(),Table_SourceData_Common_MCFTemperatureZone[[#Headers],[Temperature zone]],0)</f>
        <v>4.7000000000000002E-3</v>
      </c>
      <c r="S240" s="2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27" cm="1">
        <f t="array" ref="E241">Common_InputFunctions.Utility_DisplayArrayInTable(Common_SourceData.Common_SourceData_MCFTemperatureZone_Data(),Table_SourceData_Common_MCFTemperatureZone[[#Headers],[Temperature zone]],0)</f>
        <v>19</v>
      </c>
      <c r="F241" s="27" cm="1">
        <f t="array" ref="F241">Common_InputFunctions.Utility_DisplayArrayInTable(Common_SourceData.Common_SourceData_MCFTemperatureZone_Data(),Table_SourceData_Common_MCFTemperatureZone[[#Headers],[Temperature zone]],0)</f>
        <v>0.77</v>
      </c>
      <c r="G241" s="27" cm="1">
        <f t="array" ref="G241">Common_InputFunctions.Utility_DisplayArrayInTable(Common_SourceData.Common_SourceData_MCFTemperatureZone_Data(),Table_SourceData_Common_MCFTemperatureZone[[#Headers],[Temperature zone]],0)</f>
        <v>0.1</v>
      </c>
      <c r="H241" s="27" cm="1">
        <f t="array" ref="H241">Common_InputFunctions.Utility_DisplayArrayInTable(Common_SourceData.Common_SourceData_MCFTemperatureZone_Data(),Table_SourceData_Common_MCFTemperatureZone[[#Headers],[Temperature zone]],0)</f>
        <v>0.24</v>
      </c>
      <c r="I241" s="27" cm="1">
        <f t="array" ref="I241">Common_InputFunctions.Utility_DisplayArrayInTable(Common_SourceData.Common_SourceData_MCFTemperatureZone_Data(),Table_SourceData_Common_MCFTemperatureZone[[#Headers],[Temperature zone]],0)</f>
        <v>5.0000000000000001E-3</v>
      </c>
      <c r="J241" s="27" cm="1">
        <f t="array" ref="J241">Common_InputFunctions.Utility_DisplayArrayInTable(Common_SourceData.Common_SourceData_MCFTemperatureZone_Data(),Table_SourceData_Common_MCFTemperatureZone[[#Headers],[Temperature zone]],0)</f>
        <v>0.01</v>
      </c>
      <c r="K241" s="27" cm="1">
        <f t="array" ref="K241">Common_InputFunctions.Utility_DisplayArrayInTable(Common_SourceData.Common_SourceData_MCFTemperatureZone_Data(),Table_SourceData_Common_MCFTemperatureZone[[#Headers],[Temperature zone]],0)</f>
        <v>0.02</v>
      </c>
      <c r="L241" s="27" cm="1">
        <f t="array" ref="L241">Common_InputFunctions.Utility_DisplayArrayInTable(Common_SourceData.Common_SourceData_MCFTemperatureZone_Data(),Table_SourceData_Common_MCFTemperatureZone[[#Headers],[Temperature zone]],0)</f>
        <v>0.03</v>
      </c>
      <c r="M241" s="27" cm="1">
        <f t="array" ref="M241">Common_InputFunctions.Utility_DisplayArrayInTable(Common_SourceData.Common_SourceData_MCFTemperatureZone_Data(),Table_SourceData_Common_MCFTemperatureZone[[#Headers],[Temperature zone]],0)</f>
        <v>0.04</v>
      </c>
      <c r="N241" s="27" cm="1">
        <f t="array" ref="N241">Common_InputFunctions.Utility_DisplayArrayInTable(Common_SourceData.Common_SourceData_MCFTemperatureZone_Data(),Table_SourceData_Common_MCFTemperatureZone[[#Headers],[Temperature zone]],0)</f>
        <v>1.4999999999999999E-2</v>
      </c>
      <c r="O241" s="27" cm="1">
        <f t="array" ref="O241">Common_InputFunctions.Utility_DisplayArrayInTable(Common_SourceData.Common_SourceData_MCFTemperatureZone_Data(),Table_SourceData_Common_MCFTemperatureZone[[#Headers],[Temperature zone]],0)</f>
        <v>1.4999999999999999E-2</v>
      </c>
      <c r="P241" s="27" cm="1">
        <f t="array" ref="P241">Common_InputFunctions.Utility_DisplayArrayInTable(Common_SourceData.Common_SourceData_MCFTemperatureZone_Data(),Table_SourceData_Common_MCFTemperatureZone[[#Headers],[Temperature zone]],0)</f>
        <v>0</v>
      </c>
      <c r="Q241" s="27" cm="1">
        <f t="array" ref="Q241">Common_InputFunctions.Utility_DisplayArrayInTable(Common_SourceData.Common_SourceData_MCFTemperatureZone_Data(),Table_SourceData_Common_MCFTemperatureZone[[#Headers],[Temperature zone]],0)</f>
        <v>0</v>
      </c>
      <c r="R241" s="27" cm="1">
        <f t="array" ref="R241">Common_InputFunctions.Utility_DisplayArrayInTable(Common_SourceData.Common_SourceData_MCFTemperatureZone_Data(),Table_SourceData_Common_MCFTemperatureZone[[#Headers],[Temperature zone]],0)</f>
        <v>4.7000000000000002E-3</v>
      </c>
      <c r="S241" s="2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27" cm="1">
        <f t="array" ref="E242">Common_InputFunctions.Utility_DisplayArrayInTable(Common_SourceData.Common_SourceData_MCFTemperatureZone_Data(),Table_SourceData_Common_MCFTemperatureZone[[#Headers],[Temperature zone]],0)</f>
        <v>20</v>
      </c>
      <c r="F242" s="27" cm="1">
        <f t="array" ref="F242">Common_InputFunctions.Utility_DisplayArrayInTable(Common_SourceData.Common_SourceData_MCFTemperatureZone_Data(),Table_SourceData_Common_MCFTemperatureZone[[#Headers],[Temperature zone]],0)</f>
        <v>0.78</v>
      </c>
      <c r="G242" s="27" cm="1">
        <f t="array" ref="G242">Common_InputFunctions.Utility_DisplayArrayInTable(Common_SourceData.Common_SourceData_MCFTemperatureZone_Data(),Table_SourceData_Common_MCFTemperatureZone[[#Headers],[Temperature zone]],0)</f>
        <v>0.1</v>
      </c>
      <c r="H242" s="27" cm="1">
        <f t="array" ref="H242">Common_InputFunctions.Utility_DisplayArrayInTable(Common_SourceData.Common_SourceData_MCFTemperatureZone_Data(),Table_SourceData_Common_MCFTemperatureZone[[#Headers],[Temperature zone]],0)</f>
        <v>0.26</v>
      </c>
      <c r="I242" s="27" cm="1">
        <f t="array" ref="I242">Common_InputFunctions.Utility_DisplayArrayInTable(Common_SourceData.Common_SourceData_MCFTemperatureZone_Data(),Table_SourceData_Common_MCFTemperatureZone[[#Headers],[Temperature zone]],0)</f>
        <v>5.0000000000000001E-3</v>
      </c>
      <c r="J242" s="27" cm="1">
        <f t="array" ref="J242">Common_InputFunctions.Utility_DisplayArrayInTable(Common_SourceData.Common_SourceData_MCFTemperatureZone_Data(),Table_SourceData_Common_MCFTemperatureZone[[#Headers],[Temperature zone]],0)</f>
        <v>0.01</v>
      </c>
      <c r="K242" s="27" cm="1">
        <f t="array" ref="K242">Common_InputFunctions.Utility_DisplayArrayInTable(Common_SourceData.Common_SourceData_MCFTemperatureZone_Data(),Table_SourceData_Common_MCFTemperatureZone[[#Headers],[Temperature zone]],0)</f>
        <v>0.02</v>
      </c>
      <c r="L242" s="27" cm="1">
        <f t="array" ref="L242">Common_InputFunctions.Utility_DisplayArrayInTable(Common_SourceData.Common_SourceData_MCFTemperatureZone_Data(),Table_SourceData_Common_MCFTemperatureZone[[#Headers],[Temperature zone]],0)</f>
        <v>0.03</v>
      </c>
      <c r="M242" s="27" cm="1">
        <f t="array" ref="M242">Common_InputFunctions.Utility_DisplayArrayInTable(Common_SourceData.Common_SourceData_MCFTemperatureZone_Data(),Table_SourceData_Common_MCFTemperatureZone[[#Headers],[Temperature zone]],0)</f>
        <v>0.04</v>
      </c>
      <c r="N242" s="27" cm="1">
        <f t="array" ref="N242">Common_InputFunctions.Utility_DisplayArrayInTable(Common_SourceData.Common_SourceData_MCFTemperatureZone_Data(),Table_SourceData_Common_MCFTemperatureZone[[#Headers],[Temperature zone]],0)</f>
        <v>1.4999999999999999E-2</v>
      </c>
      <c r="O242" s="27" cm="1">
        <f t="array" ref="O242">Common_InputFunctions.Utility_DisplayArrayInTable(Common_SourceData.Common_SourceData_MCFTemperatureZone_Data(),Table_SourceData_Common_MCFTemperatureZone[[#Headers],[Temperature zone]],0)</f>
        <v>1.4999999999999999E-2</v>
      </c>
      <c r="P242" s="27" cm="1">
        <f t="array" ref="P242">Common_InputFunctions.Utility_DisplayArrayInTable(Common_SourceData.Common_SourceData_MCFTemperatureZone_Data(),Table_SourceData_Common_MCFTemperatureZone[[#Headers],[Temperature zone]],0)</f>
        <v>0</v>
      </c>
      <c r="Q242" s="27" cm="1">
        <f t="array" ref="Q242">Common_InputFunctions.Utility_DisplayArrayInTable(Common_SourceData.Common_SourceData_MCFTemperatureZone_Data(),Table_SourceData_Common_MCFTemperatureZone[[#Headers],[Temperature zone]],0)</f>
        <v>0</v>
      </c>
      <c r="R242" s="27" cm="1">
        <f t="array" ref="R242">Common_InputFunctions.Utility_DisplayArrayInTable(Common_SourceData.Common_SourceData_MCFTemperatureZone_Data(),Table_SourceData_Common_MCFTemperatureZone[[#Headers],[Temperature zone]],0)</f>
        <v>4.7000000000000002E-3</v>
      </c>
      <c r="S242" s="2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27" cm="1">
        <f t="array" ref="E243">Common_InputFunctions.Utility_DisplayArrayInTable(Common_SourceData.Common_SourceData_MCFTemperatureZone_Data(),Table_SourceData_Common_MCFTemperatureZone[[#Headers],[Temperature zone]],0)</f>
        <v>21</v>
      </c>
      <c r="F243" s="27" cm="1">
        <f t="array" ref="F243">Common_InputFunctions.Utility_DisplayArrayInTable(Common_SourceData.Common_SourceData_MCFTemperatureZone_Data(),Table_SourceData_Common_MCFTemperatureZone[[#Headers],[Temperature zone]],0)</f>
        <v>0.78</v>
      </c>
      <c r="G243" s="27" cm="1">
        <f t="array" ref="G243">Common_InputFunctions.Utility_DisplayArrayInTable(Common_SourceData.Common_SourceData_MCFTemperatureZone_Data(),Table_SourceData_Common_MCFTemperatureZone[[#Headers],[Temperature zone]],0)</f>
        <v>0.1</v>
      </c>
      <c r="H243" s="27" cm="1">
        <f t="array" ref="H243">Common_InputFunctions.Utility_DisplayArrayInTable(Common_SourceData.Common_SourceData_MCFTemperatureZone_Data(),Table_SourceData_Common_MCFTemperatureZone[[#Headers],[Temperature zone]],0)</f>
        <v>0.28999999999999998</v>
      </c>
      <c r="I243" s="27" cm="1">
        <f t="array" ref="I243">Common_InputFunctions.Utility_DisplayArrayInTable(Common_SourceData.Common_SourceData_MCFTemperatureZone_Data(),Table_SourceData_Common_MCFTemperatureZone[[#Headers],[Temperature zone]],0)</f>
        <v>5.0000000000000001E-3</v>
      </c>
      <c r="J243" s="27" cm="1">
        <f t="array" ref="J243">Common_InputFunctions.Utility_DisplayArrayInTable(Common_SourceData.Common_SourceData_MCFTemperatureZone_Data(),Table_SourceData_Common_MCFTemperatureZone[[#Headers],[Temperature zone]],0)</f>
        <v>0.01</v>
      </c>
      <c r="K243" s="27" cm="1">
        <f t="array" ref="K243">Common_InputFunctions.Utility_DisplayArrayInTable(Common_SourceData.Common_SourceData_MCFTemperatureZone_Data(),Table_SourceData_Common_MCFTemperatureZone[[#Headers],[Temperature zone]],0)</f>
        <v>0.02</v>
      </c>
      <c r="L243" s="27" cm="1">
        <f t="array" ref="L243">Common_InputFunctions.Utility_DisplayArrayInTable(Common_SourceData.Common_SourceData_MCFTemperatureZone_Data(),Table_SourceData_Common_MCFTemperatureZone[[#Headers],[Temperature zone]],0)</f>
        <v>0.03</v>
      </c>
      <c r="M243" s="27" cm="1">
        <f t="array" ref="M243">Common_InputFunctions.Utility_DisplayArrayInTable(Common_SourceData.Common_SourceData_MCFTemperatureZone_Data(),Table_SourceData_Common_MCFTemperatureZone[[#Headers],[Temperature zone]],0)</f>
        <v>0.04</v>
      </c>
      <c r="N243" s="27" cm="1">
        <f t="array" ref="N243">Common_InputFunctions.Utility_DisplayArrayInTable(Common_SourceData.Common_SourceData_MCFTemperatureZone_Data(),Table_SourceData_Common_MCFTemperatureZone[[#Headers],[Temperature zone]],0)</f>
        <v>1.4999999999999999E-2</v>
      </c>
      <c r="O243" s="27" cm="1">
        <f t="array" ref="O243">Common_InputFunctions.Utility_DisplayArrayInTable(Common_SourceData.Common_SourceData_MCFTemperatureZone_Data(),Table_SourceData_Common_MCFTemperatureZone[[#Headers],[Temperature zone]],0)</f>
        <v>1.4999999999999999E-2</v>
      </c>
      <c r="P243" s="27" cm="1">
        <f t="array" ref="P243">Common_InputFunctions.Utility_DisplayArrayInTable(Common_SourceData.Common_SourceData_MCFTemperatureZone_Data(),Table_SourceData_Common_MCFTemperatureZone[[#Headers],[Temperature zone]],0)</f>
        <v>0</v>
      </c>
      <c r="Q243" s="27" cm="1">
        <f t="array" ref="Q243">Common_InputFunctions.Utility_DisplayArrayInTable(Common_SourceData.Common_SourceData_MCFTemperatureZone_Data(),Table_SourceData_Common_MCFTemperatureZone[[#Headers],[Temperature zone]],0)</f>
        <v>0</v>
      </c>
      <c r="R243" s="27" cm="1">
        <f t="array" ref="R243">Common_InputFunctions.Utility_DisplayArrayInTable(Common_SourceData.Common_SourceData_MCFTemperatureZone_Data(),Table_SourceData_Common_MCFTemperatureZone[[#Headers],[Temperature zone]],0)</f>
        <v>4.7000000000000002E-3</v>
      </c>
      <c r="S243" s="2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27" cm="1">
        <f t="array" ref="E244">Common_InputFunctions.Utility_DisplayArrayInTable(Common_SourceData.Common_SourceData_MCFTemperatureZone_Data(),Table_SourceData_Common_MCFTemperatureZone[[#Headers],[Temperature zone]],0)</f>
        <v>22</v>
      </c>
      <c r="F244" s="27" cm="1">
        <f t="array" ref="F244">Common_InputFunctions.Utility_DisplayArrayInTable(Common_SourceData.Common_SourceData_MCFTemperatureZone_Data(),Table_SourceData_Common_MCFTemperatureZone[[#Headers],[Temperature zone]],0)</f>
        <v>0.78</v>
      </c>
      <c r="G244" s="27" cm="1">
        <f t="array" ref="G244">Common_InputFunctions.Utility_DisplayArrayInTable(Common_SourceData.Common_SourceData_MCFTemperatureZone_Data(),Table_SourceData_Common_MCFTemperatureZone[[#Headers],[Temperature zone]],0)</f>
        <v>0.1</v>
      </c>
      <c r="H244" s="27" cm="1">
        <f t="array" ref="H244">Common_InputFunctions.Utility_DisplayArrayInTable(Common_SourceData.Common_SourceData_MCFTemperatureZone_Data(),Table_SourceData_Common_MCFTemperatureZone[[#Headers],[Temperature zone]],0)</f>
        <v>0.31</v>
      </c>
      <c r="I244" s="27" cm="1">
        <f t="array" ref="I244">Common_InputFunctions.Utility_DisplayArrayInTable(Common_SourceData.Common_SourceData_MCFTemperatureZone_Data(),Table_SourceData_Common_MCFTemperatureZone[[#Headers],[Temperature zone]],0)</f>
        <v>5.0000000000000001E-3</v>
      </c>
      <c r="J244" s="27" cm="1">
        <f t="array" ref="J244">Common_InputFunctions.Utility_DisplayArrayInTable(Common_SourceData.Common_SourceData_MCFTemperatureZone_Data(),Table_SourceData_Common_MCFTemperatureZone[[#Headers],[Temperature zone]],0)</f>
        <v>0.01</v>
      </c>
      <c r="K244" s="27" cm="1">
        <f t="array" ref="K244">Common_InputFunctions.Utility_DisplayArrayInTable(Common_SourceData.Common_SourceData_MCFTemperatureZone_Data(),Table_SourceData_Common_MCFTemperatureZone[[#Headers],[Temperature zone]],0)</f>
        <v>0.02</v>
      </c>
      <c r="L244" s="27" cm="1">
        <f t="array" ref="L244">Common_InputFunctions.Utility_DisplayArrayInTable(Common_SourceData.Common_SourceData_MCFTemperatureZone_Data(),Table_SourceData_Common_MCFTemperatureZone[[#Headers],[Temperature zone]],0)</f>
        <v>0.03</v>
      </c>
      <c r="M244" s="27" cm="1">
        <f t="array" ref="M244">Common_InputFunctions.Utility_DisplayArrayInTable(Common_SourceData.Common_SourceData_MCFTemperatureZone_Data(),Table_SourceData_Common_MCFTemperatureZone[[#Headers],[Temperature zone]],0)</f>
        <v>0.04</v>
      </c>
      <c r="N244" s="27" cm="1">
        <f t="array" ref="N244">Common_InputFunctions.Utility_DisplayArrayInTable(Common_SourceData.Common_SourceData_MCFTemperatureZone_Data(),Table_SourceData_Common_MCFTemperatureZone[[#Headers],[Temperature zone]],0)</f>
        <v>1.4999999999999999E-2</v>
      </c>
      <c r="O244" s="27" cm="1">
        <f t="array" ref="O244">Common_InputFunctions.Utility_DisplayArrayInTable(Common_SourceData.Common_SourceData_MCFTemperatureZone_Data(),Table_SourceData_Common_MCFTemperatureZone[[#Headers],[Temperature zone]],0)</f>
        <v>1.4999999999999999E-2</v>
      </c>
      <c r="P244" s="27" cm="1">
        <f t="array" ref="P244">Common_InputFunctions.Utility_DisplayArrayInTable(Common_SourceData.Common_SourceData_MCFTemperatureZone_Data(),Table_SourceData_Common_MCFTemperatureZone[[#Headers],[Temperature zone]],0)</f>
        <v>0</v>
      </c>
      <c r="Q244" s="27" cm="1">
        <f t="array" ref="Q244">Common_InputFunctions.Utility_DisplayArrayInTable(Common_SourceData.Common_SourceData_MCFTemperatureZone_Data(),Table_SourceData_Common_MCFTemperatureZone[[#Headers],[Temperature zone]],0)</f>
        <v>0</v>
      </c>
      <c r="R244" s="27" cm="1">
        <f t="array" ref="R244">Common_InputFunctions.Utility_DisplayArrayInTable(Common_SourceData.Common_SourceData_MCFTemperatureZone_Data(),Table_SourceData_Common_MCFTemperatureZone[[#Headers],[Temperature zone]],0)</f>
        <v>4.7000000000000002E-3</v>
      </c>
      <c r="S244" s="2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27" cm="1">
        <f t="array" ref="E245">Common_InputFunctions.Utility_DisplayArrayInTable(Common_SourceData.Common_SourceData_MCFTemperatureZone_Data(),Table_SourceData_Common_MCFTemperatureZone[[#Headers],[Temperature zone]],0)</f>
        <v>23</v>
      </c>
      <c r="F245" s="27" cm="1">
        <f t="array" ref="F245">Common_InputFunctions.Utility_DisplayArrayInTable(Common_SourceData.Common_SourceData_MCFTemperatureZone_Data(),Table_SourceData_Common_MCFTemperatureZone[[#Headers],[Temperature zone]],0)</f>
        <v>0.79</v>
      </c>
      <c r="G245" s="27" cm="1">
        <f t="array" ref="G245">Common_InputFunctions.Utility_DisplayArrayInTable(Common_SourceData.Common_SourceData_MCFTemperatureZone_Data(),Table_SourceData_Common_MCFTemperatureZone[[#Headers],[Temperature zone]],0)</f>
        <v>0.1</v>
      </c>
      <c r="H245" s="27" cm="1">
        <f t="array" ref="H245">Common_InputFunctions.Utility_DisplayArrayInTable(Common_SourceData.Common_SourceData_MCFTemperatureZone_Data(),Table_SourceData_Common_MCFTemperatureZone[[#Headers],[Temperature zone]],0)</f>
        <v>0.34</v>
      </c>
      <c r="I245" s="27" cm="1">
        <f t="array" ref="I245">Common_InputFunctions.Utility_DisplayArrayInTable(Common_SourceData.Common_SourceData_MCFTemperatureZone_Data(),Table_SourceData_Common_MCFTemperatureZone[[#Headers],[Temperature zone]],0)</f>
        <v>5.0000000000000001E-3</v>
      </c>
      <c r="J245" s="27" cm="1">
        <f t="array" ref="J245">Common_InputFunctions.Utility_DisplayArrayInTable(Common_SourceData.Common_SourceData_MCFTemperatureZone_Data(),Table_SourceData_Common_MCFTemperatureZone[[#Headers],[Temperature zone]],0)</f>
        <v>0.01</v>
      </c>
      <c r="K245" s="27" cm="1">
        <f t="array" ref="K245">Common_InputFunctions.Utility_DisplayArrayInTable(Common_SourceData.Common_SourceData_MCFTemperatureZone_Data(),Table_SourceData_Common_MCFTemperatureZone[[#Headers],[Temperature zone]],0)</f>
        <v>0.02</v>
      </c>
      <c r="L245" s="27" cm="1">
        <f t="array" ref="L245">Common_InputFunctions.Utility_DisplayArrayInTable(Common_SourceData.Common_SourceData_MCFTemperatureZone_Data(),Table_SourceData_Common_MCFTemperatureZone[[#Headers],[Temperature zone]],0)</f>
        <v>0.03</v>
      </c>
      <c r="M245" s="27" cm="1">
        <f t="array" ref="M245">Common_InputFunctions.Utility_DisplayArrayInTable(Common_SourceData.Common_SourceData_MCFTemperatureZone_Data(),Table_SourceData_Common_MCFTemperatureZone[[#Headers],[Temperature zone]],0)</f>
        <v>0.04</v>
      </c>
      <c r="N245" s="27" cm="1">
        <f t="array" ref="N245">Common_InputFunctions.Utility_DisplayArrayInTable(Common_SourceData.Common_SourceData_MCFTemperatureZone_Data(),Table_SourceData_Common_MCFTemperatureZone[[#Headers],[Temperature zone]],0)</f>
        <v>1.4999999999999999E-2</v>
      </c>
      <c r="O245" s="27" cm="1">
        <f t="array" ref="O245">Common_InputFunctions.Utility_DisplayArrayInTable(Common_SourceData.Common_SourceData_MCFTemperatureZone_Data(),Table_SourceData_Common_MCFTemperatureZone[[#Headers],[Temperature zone]],0)</f>
        <v>1.4999999999999999E-2</v>
      </c>
      <c r="P245" s="27" cm="1">
        <f t="array" ref="P245">Common_InputFunctions.Utility_DisplayArrayInTable(Common_SourceData.Common_SourceData_MCFTemperatureZone_Data(),Table_SourceData_Common_MCFTemperatureZone[[#Headers],[Temperature zone]],0)</f>
        <v>0</v>
      </c>
      <c r="Q245" s="27" cm="1">
        <f t="array" ref="Q245">Common_InputFunctions.Utility_DisplayArrayInTable(Common_SourceData.Common_SourceData_MCFTemperatureZone_Data(),Table_SourceData_Common_MCFTemperatureZone[[#Headers],[Temperature zone]],0)</f>
        <v>0</v>
      </c>
      <c r="R245" s="27" cm="1">
        <f t="array" ref="R245">Common_InputFunctions.Utility_DisplayArrayInTable(Common_SourceData.Common_SourceData_MCFTemperatureZone_Data(),Table_SourceData_Common_MCFTemperatureZone[[#Headers],[Temperature zone]],0)</f>
        <v>4.7000000000000002E-3</v>
      </c>
      <c r="S245" s="2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27" cm="1">
        <f t="array" ref="E246">Common_InputFunctions.Utility_DisplayArrayInTable(Common_SourceData.Common_SourceData_MCFTemperatureZone_Data(),Table_SourceData_Common_MCFTemperatureZone[[#Headers],[Temperature zone]],0)</f>
        <v>24</v>
      </c>
      <c r="F246" s="27" cm="1">
        <f t="array" ref="F246">Common_InputFunctions.Utility_DisplayArrayInTable(Common_SourceData.Common_SourceData_MCFTemperatureZone_Data(),Table_SourceData_Common_MCFTemperatureZone[[#Headers],[Temperature zone]],0)</f>
        <v>0.79</v>
      </c>
      <c r="G246" s="27" cm="1">
        <f t="array" ref="G246">Common_InputFunctions.Utility_DisplayArrayInTable(Common_SourceData.Common_SourceData_MCFTemperatureZone_Data(),Table_SourceData_Common_MCFTemperatureZone[[#Headers],[Temperature zone]],0)</f>
        <v>0.1</v>
      </c>
      <c r="H246" s="27" cm="1">
        <f t="array" ref="H246">Common_InputFunctions.Utility_DisplayArrayInTable(Common_SourceData.Common_SourceData_MCFTemperatureZone_Data(),Table_SourceData_Common_MCFTemperatureZone[[#Headers],[Temperature zone]],0)</f>
        <v>0.37</v>
      </c>
      <c r="I246" s="27" cm="1">
        <f t="array" ref="I246">Common_InputFunctions.Utility_DisplayArrayInTable(Common_SourceData.Common_SourceData_MCFTemperatureZone_Data(),Table_SourceData_Common_MCFTemperatureZone[[#Headers],[Temperature zone]],0)</f>
        <v>5.0000000000000001E-3</v>
      </c>
      <c r="J246" s="27" cm="1">
        <f t="array" ref="J246">Common_InputFunctions.Utility_DisplayArrayInTable(Common_SourceData.Common_SourceData_MCFTemperatureZone_Data(),Table_SourceData_Common_MCFTemperatureZone[[#Headers],[Temperature zone]],0)</f>
        <v>0.01</v>
      </c>
      <c r="K246" s="27" cm="1">
        <f t="array" ref="K246">Common_InputFunctions.Utility_DisplayArrayInTable(Common_SourceData.Common_SourceData_MCFTemperatureZone_Data(),Table_SourceData_Common_MCFTemperatureZone[[#Headers],[Temperature zone]],0)</f>
        <v>0.02</v>
      </c>
      <c r="L246" s="27" cm="1">
        <f t="array" ref="L246">Common_InputFunctions.Utility_DisplayArrayInTable(Common_SourceData.Common_SourceData_MCFTemperatureZone_Data(),Table_SourceData_Common_MCFTemperatureZone[[#Headers],[Temperature zone]],0)</f>
        <v>0.03</v>
      </c>
      <c r="M246" s="27" cm="1">
        <f t="array" ref="M246">Common_InputFunctions.Utility_DisplayArrayInTable(Common_SourceData.Common_SourceData_MCFTemperatureZone_Data(),Table_SourceData_Common_MCFTemperatureZone[[#Headers],[Temperature zone]],0)</f>
        <v>0.04</v>
      </c>
      <c r="N246" s="27" cm="1">
        <f t="array" ref="N246">Common_InputFunctions.Utility_DisplayArrayInTable(Common_SourceData.Common_SourceData_MCFTemperatureZone_Data(),Table_SourceData_Common_MCFTemperatureZone[[#Headers],[Temperature zone]],0)</f>
        <v>1.4999999999999999E-2</v>
      </c>
      <c r="O246" s="27" cm="1">
        <f t="array" ref="O246">Common_InputFunctions.Utility_DisplayArrayInTable(Common_SourceData.Common_SourceData_MCFTemperatureZone_Data(),Table_SourceData_Common_MCFTemperatureZone[[#Headers],[Temperature zone]],0)</f>
        <v>1.4999999999999999E-2</v>
      </c>
      <c r="P246" s="27" cm="1">
        <f t="array" ref="P246">Common_InputFunctions.Utility_DisplayArrayInTable(Common_SourceData.Common_SourceData_MCFTemperatureZone_Data(),Table_SourceData_Common_MCFTemperatureZone[[#Headers],[Temperature zone]],0)</f>
        <v>0</v>
      </c>
      <c r="Q246" s="27" cm="1">
        <f t="array" ref="Q246">Common_InputFunctions.Utility_DisplayArrayInTable(Common_SourceData.Common_SourceData_MCFTemperatureZone_Data(),Table_SourceData_Common_MCFTemperatureZone[[#Headers],[Temperature zone]],0)</f>
        <v>0</v>
      </c>
      <c r="R246" s="27" cm="1">
        <f t="array" ref="R246">Common_InputFunctions.Utility_DisplayArrayInTable(Common_SourceData.Common_SourceData_MCFTemperatureZone_Data(),Table_SourceData_Common_MCFTemperatureZone[[#Headers],[Temperature zone]],0)</f>
        <v>4.7000000000000002E-3</v>
      </c>
      <c r="S246" s="2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27" cm="1">
        <f t="array" ref="E247">Common_InputFunctions.Utility_DisplayArrayInTable(Common_SourceData.Common_SourceData_MCFTemperatureZone_Data(),Table_SourceData_Common_MCFTemperatureZone[[#Headers],[Temperature zone]],0)</f>
        <v>25</v>
      </c>
      <c r="F247" s="27" cm="1">
        <f t="array" ref="F247">Common_InputFunctions.Utility_DisplayArrayInTable(Common_SourceData.Common_SourceData_MCFTemperatureZone_Data(),Table_SourceData_Common_MCFTemperatureZone[[#Headers],[Temperature zone]],0)</f>
        <v>0.79</v>
      </c>
      <c r="G247" s="27" cm="1">
        <f t="array" ref="G247">Common_InputFunctions.Utility_DisplayArrayInTable(Common_SourceData.Common_SourceData_MCFTemperatureZone_Data(),Table_SourceData_Common_MCFTemperatureZone[[#Headers],[Temperature zone]],0)</f>
        <v>0.1</v>
      </c>
      <c r="H247" s="27" cm="1">
        <f t="array" ref="H247">Common_InputFunctions.Utility_DisplayArrayInTable(Common_SourceData.Common_SourceData_MCFTemperatureZone_Data(),Table_SourceData_Common_MCFTemperatureZone[[#Headers],[Temperature zone]],0)</f>
        <v>0.41</v>
      </c>
      <c r="I247" s="27" cm="1">
        <f t="array" ref="I247">Common_InputFunctions.Utility_DisplayArrayInTable(Common_SourceData.Common_SourceData_MCFTemperatureZone_Data(),Table_SourceData_Common_MCFTemperatureZone[[#Headers],[Temperature zone]],0)</f>
        <v>5.0000000000000001E-3</v>
      </c>
      <c r="J247" s="27" cm="1">
        <f t="array" ref="J247">Common_InputFunctions.Utility_DisplayArrayInTable(Common_SourceData.Common_SourceData_MCFTemperatureZone_Data(),Table_SourceData_Common_MCFTemperatureZone[[#Headers],[Temperature zone]],0)</f>
        <v>0.01</v>
      </c>
      <c r="K247" s="27" cm="1">
        <f t="array" ref="K247">Common_InputFunctions.Utility_DisplayArrayInTable(Common_SourceData.Common_SourceData_MCFTemperatureZone_Data(),Table_SourceData_Common_MCFTemperatureZone[[#Headers],[Temperature zone]],0)</f>
        <v>0.02</v>
      </c>
      <c r="L247" s="27" cm="1">
        <f t="array" ref="L247">Common_InputFunctions.Utility_DisplayArrayInTable(Common_SourceData.Common_SourceData_MCFTemperatureZone_Data(),Table_SourceData_Common_MCFTemperatureZone[[#Headers],[Temperature zone]],0)</f>
        <v>0.03</v>
      </c>
      <c r="M247" s="27" cm="1">
        <f t="array" ref="M247">Common_InputFunctions.Utility_DisplayArrayInTable(Common_SourceData.Common_SourceData_MCFTemperatureZone_Data(),Table_SourceData_Common_MCFTemperatureZone[[#Headers],[Temperature zone]],0)</f>
        <v>0.04</v>
      </c>
      <c r="N247" s="27" cm="1">
        <f t="array" ref="N247">Common_InputFunctions.Utility_DisplayArrayInTable(Common_SourceData.Common_SourceData_MCFTemperatureZone_Data(),Table_SourceData_Common_MCFTemperatureZone[[#Headers],[Temperature zone]],0)</f>
        <v>1.4999999999999999E-2</v>
      </c>
      <c r="O247" s="27" cm="1">
        <f t="array" ref="O247">Common_InputFunctions.Utility_DisplayArrayInTable(Common_SourceData.Common_SourceData_MCFTemperatureZone_Data(),Table_SourceData_Common_MCFTemperatureZone[[#Headers],[Temperature zone]],0)</f>
        <v>1.4999999999999999E-2</v>
      </c>
      <c r="P247" s="27" cm="1">
        <f t="array" ref="P247">Common_InputFunctions.Utility_DisplayArrayInTable(Common_SourceData.Common_SourceData_MCFTemperatureZone_Data(),Table_SourceData_Common_MCFTemperatureZone[[#Headers],[Temperature zone]],0)</f>
        <v>0</v>
      </c>
      <c r="Q247" s="27" cm="1">
        <f t="array" ref="Q247">Common_InputFunctions.Utility_DisplayArrayInTable(Common_SourceData.Common_SourceData_MCFTemperatureZone_Data(),Table_SourceData_Common_MCFTemperatureZone[[#Headers],[Temperature zone]],0)</f>
        <v>0</v>
      </c>
      <c r="R247" s="27" cm="1">
        <f t="array" ref="R247">Common_InputFunctions.Utility_DisplayArrayInTable(Common_SourceData.Common_SourceData_MCFTemperatureZone_Data(),Table_SourceData_Common_MCFTemperatureZone[[#Headers],[Temperature zone]],0)</f>
        <v>4.7000000000000002E-3</v>
      </c>
      <c r="S247" s="2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27" cm="1">
        <f t="array" ref="E248">Common_InputFunctions.Utility_DisplayArrayInTable(Common_SourceData.Common_SourceData_MCFTemperatureZone_Data(),Table_SourceData_Common_MCFTemperatureZone[[#Headers],[Temperature zone]],0)</f>
        <v>26</v>
      </c>
      <c r="F248" s="27" cm="1">
        <f t="array" ref="F248">Common_InputFunctions.Utility_DisplayArrayInTable(Common_SourceData.Common_SourceData_MCFTemperatureZone_Data(),Table_SourceData_Common_MCFTemperatureZone[[#Headers],[Temperature zone]],0)</f>
        <v>0.79</v>
      </c>
      <c r="G248" s="27" cm="1">
        <f t="array" ref="G248">Common_InputFunctions.Utility_DisplayArrayInTable(Common_SourceData.Common_SourceData_MCFTemperatureZone_Data(),Table_SourceData_Common_MCFTemperatureZone[[#Headers],[Temperature zone]],0)</f>
        <v>0.1</v>
      </c>
      <c r="H248" s="27" cm="1">
        <f t="array" ref="H248">Common_InputFunctions.Utility_DisplayArrayInTable(Common_SourceData.Common_SourceData_MCFTemperatureZone_Data(),Table_SourceData_Common_MCFTemperatureZone[[#Headers],[Temperature zone]],0)</f>
        <v>0.44</v>
      </c>
      <c r="I248" s="27" cm="1">
        <f t="array" ref="I248">Common_InputFunctions.Utility_DisplayArrayInTable(Common_SourceData.Common_SourceData_MCFTemperatureZone_Data(),Table_SourceData_Common_MCFTemperatureZone[[#Headers],[Temperature zone]],0)</f>
        <v>0.01</v>
      </c>
      <c r="J248" s="27" cm="1">
        <f t="array" ref="J248">Common_InputFunctions.Utility_DisplayArrayInTable(Common_SourceData.Common_SourceData_MCFTemperatureZone_Data(),Table_SourceData_Common_MCFTemperatureZone[[#Headers],[Temperature zone]],0)</f>
        <v>1.4999999999999999E-2</v>
      </c>
      <c r="K248" s="27" cm="1">
        <f t="array" ref="K248">Common_InputFunctions.Utility_DisplayArrayInTable(Common_SourceData.Common_SourceData_MCFTemperatureZone_Data(),Table_SourceData_Common_MCFTemperatureZone[[#Headers],[Temperature zone]],0)</f>
        <v>0.02</v>
      </c>
      <c r="L248" s="27" cm="1">
        <f t="array" ref="L248">Common_InputFunctions.Utility_DisplayArrayInTable(Common_SourceData.Common_SourceData_MCFTemperatureZone_Data(),Table_SourceData_Common_MCFTemperatureZone[[#Headers],[Temperature zone]],0)</f>
        <v>0.03</v>
      </c>
      <c r="M248" s="27" cm="1">
        <f t="array" ref="M248">Common_InputFunctions.Utility_DisplayArrayInTable(Common_SourceData.Common_SourceData_MCFTemperatureZone_Data(),Table_SourceData_Common_MCFTemperatureZone[[#Headers],[Temperature zone]],0)</f>
        <v>0.04</v>
      </c>
      <c r="N248" s="27" cm="1">
        <f t="array" ref="N248">Common_InputFunctions.Utility_DisplayArrayInTable(Common_SourceData.Common_SourceData_MCFTemperatureZone_Data(),Table_SourceData_Common_MCFTemperatureZone[[#Headers],[Temperature zone]],0)</f>
        <v>1.4999999999999999E-2</v>
      </c>
      <c r="O248" s="27" cm="1">
        <f t="array" ref="O248">Common_InputFunctions.Utility_DisplayArrayInTable(Common_SourceData.Common_SourceData_MCFTemperatureZone_Data(),Table_SourceData_Common_MCFTemperatureZone[[#Headers],[Temperature zone]],0)</f>
        <v>1.4999999999999999E-2</v>
      </c>
      <c r="P248" s="27" cm="1">
        <f t="array" ref="P248">Common_InputFunctions.Utility_DisplayArrayInTable(Common_SourceData.Common_SourceData_MCFTemperatureZone_Data(),Table_SourceData_Common_MCFTemperatureZone[[#Headers],[Temperature zone]],0)</f>
        <v>0</v>
      </c>
      <c r="Q248" s="27" cm="1">
        <f t="array" ref="Q248">Common_InputFunctions.Utility_DisplayArrayInTable(Common_SourceData.Common_SourceData_MCFTemperatureZone_Data(),Table_SourceData_Common_MCFTemperatureZone[[#Headers],[Temperature zone]],0)</f>
        <v>0</v>
      </c>
      <c r="R248" s="27" cm="1">
        <f t="array" ref="R248">Common_InputFunctions.Utility_DisplayArrayInTable(Common_SourceData.Common_SourceData_MCFTemperatureZone_Data(),Table_SourceData_Common_MCFTemperatureZone[[#Headers],[Temperature zone]],0)</f>
        <v>4.7000000000000002E-3</v>
      </c>
      <c r="S248" s="2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27" cm="1">
        <f t="array" ref="E249">Common_InputFunctions.Utility_DisplayArrayInTable(Common_SourceData.Common_SourceData_MCFTemperatureZone_Data(),Table_SourceData_Common_MCFTemperatureZone[[#Headers],[Temperature zone]],0)</f>
        <v>27</v>
      </c>
      <c r="F249" s="27" cm="1">
        <f t="array" ref="F249">Common_InputFunctions.Utility_DisplayArrayInTable(Common_SourceData.Common_SourceData_MCFTemperatureZone_Data(),Table_SourceData_Common_MCFTemperatureZone[[#Headers],[Temperature zone]],0)</f>
        <v>0.8</v>
      </c>
      <c r="G249" s="27" cm="1">
        <f t="array" ref="G249">Common_InputFunctions.Utility_DisplayArrayInTable(Common_SourceData.Common_SourceData_MCFTemperatureZone_Data(),Table_SourceData_Common_MCFTemperatureZone[[#Headers],[Temperature zone]],0)</f>
        <v>0.1</v>
      </c>
      <c r="H249" s="27" cm="1">
        <f t="array" ref="H249">Common_InputFunctions.Utility_DisplayArrayInTable(Common_SourceData.Common_SourceData_MCFTemperatureZone_Data(),Table_SourceData_Common_MCFTemperatureZone[[#Headers],[Temperature zone]],0)</f>
        <v>0.48</v>
      </c>
      <c r="I249" s="27" cm="1">
        <f t="array" ref="I249">Common_InputFunctions.Utility_DisplayArrayInTable(Common_SourceData.Common_SourceData_MCFTemperatureZone_Data(),Table_SourceData_Common_MCFTemperatureZone[[#Headers],[Temperature zone]],0)</f>
        <v>0.01</v>
      </c>
      <c r="J249" s="27" cm="1">
        <f t="array" ref="J249">Common_InputFunctions.Utility_DisplayArrayInTable(Common_SourceData.Common_SourceData_MCFTemperatureZone_Data(),Table_SourceData_Common_MCFTemperatureZone[[#Headers],[Temperature zone]],0)</f>
        <v>1.4999999999999999E-2</v>
      </c>
      <c r="K249" s="27" cm="1">
        <f t="array" ref="K249">Common_InputFunctions.Utility_DisplayArrayInTable(Common_SourceData.Common_SourceData_MCFTemperatureZone_Data(),Table_SourceData_Common_MCFTemperatureZone[[#Headers],[Temperature zone]],0)</f>
        <v>0.02</v>
      </c>
      <c r="L249" s="27" cm="1">
        <f t="array" ref="L249">Common_InputFunctions.Utility_DisplayArrayInTable(Common_SourceData.Common_SourceData_MCFTemperatureZone_Data(),Table_SourceData_Common_MCFTemperatureZone[[#Headers],[Temperature zone]],0)</f>
        <v>0.03</v>
      </c>
      <c r="M249" s="27" cm="1">
        <f t="array" ref="M249">Common_InputFunctions.Utility_DisplayArrayInTable(Common_SourceData.Common_SourceData_MCFTemperatureZone_Data(),Table_SourceData_Common_MCFTemperatureZone[[#Headers],[Temperature zone]],0)</f>
        <v>0.04</v>
      </c>
      <c r="N249" s="27" cm="1">
        <f t="array" ref="N249">Common_InputFunctions.Utility_DisplayArrayInTable(Common_SourceData.Common_SourceData_MCFTemperatureZone_Data(),Table_SourceData_Common_MCFTemperatureZone[[#Headers],[Temperature zone]],0)</f>
        <v>1.4999999999999999E-2</v>
      </c>
      <c r="O249" s="27" cm="1">
        <f t="array" ref="O249">Common_InputFunctions.Utility_DisplayArrayInTable(Common_SourceData.Common_SourceData_MCFTemperatureZone_Data(),Table_SourceData_Common_MCFTemperatureZone[[#Headers],[Temperature zone]],0)</f>
        <v>1.4999999999999999E-2</v>
      </c>
      <c r="P249" s="27" cm="1">
        <f t="array" ref="P249">Common_InputFunctions.Utility_DisplayArrayInTable(Common_SourceData.Common_SourceData_MCFTemperatureZone_Data(),Table_SourceData_Common_MCFTemperatureZone[[#Headers],[Temperature zone]],0)</f>
        <v>0</v>
      </c>
      <c r="Q249" s="27" cm="1">
        <f t="array" ref="Q249">Common_InputFunctions.Utility_DisplayArrayInTable(Common_SourceData.Common_SourceData_MCFTemperatureZone_Data(),Table_SourceData_Common_MCFTemperatureZone[[#Headers],[Temperature zone]],0)</f>
        <v>0</v>
      </c>
      <c r="R249" s="27" cm="1">
        <f t="array" ref="R249">Common_InputFunctions.Utility_DisplayArrayInTable(Common_SourceData.Common_SourceData_MCFTemperatureZone_Data(),Table_SourceData_Common_MCFTemperatureZone[[#Headers],[Temperature zone]],0)</f>
        <v>4.7000000000000002E-3</v>
      </c>
      <c r="S249" s="2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27" t="str" cm="1">
        <f t="array" ref="E250">Common_InputFunctions.Utility_DisplayArrayInTable(Common_SourceData.Common_SourceData_MCFTemperatureZone_Data(),Table_SourceData_Common_MCFTemperatureZone[[#Headers],[Temperature zone]],0)</f>
        <v>≥28</v>
      </c>
      <c r="F250" s="27" cm="1">
        <f t="array" ref="F250">Common_InputFunctions.Utility_DisplayArrayInTable(Common_SourceData.Common_SourceData_MCFTemperatureZone_Data(),Table_SourceData_Common_MCFTemperatureZone[[#Headers],[Temperature zone]],0)</f>
        <v>0.8</v>
      </c>
      <c r="G250" s="27" cm="1">
        <f t="array" ref="G250">Common_InputFunctions.Utility_DisplayArrayInTable(Common_SourceData.Common_SourceData_MCFTemperatureZone_Data(),Table_SourceData_Common_MCFTemperatureZone[[#Headers],[Temperature zone]],0)</f>
        <v>0.1</v>
      </c>
      <c r="H250" s="27" cm="1">
        <f t="array" ref="H250">Common_InputFunctions.Utility_DisplayArrayInTable(Common_SourceData.Common_SourceData_MCFTemperatureZone_Data(),Table_SourceData_Common_MCFTemperatureZone[[#Headers],[Temperature zone]],0)</f>
        <v>0.5</v>
      </c>
      <c r="I250" s="27" cm="1">
        <f t="array" ref="I250">Common_InputFunctions.Utility_DisplayArrayInTable(Common_SourceData.Common_SourceData_MCFTemperatureZone_Data(),Table_SourceData_Common_MCFTemperatureZone[[#Headers],[Temperature zone]],0)</f>
        <v>0.01</v>
      </c>
      <c r="J250" s="27" cm="1">
        <f t="array" ref="J250">Common_InputFunctions.Utility_DisplayArrayInTable(Common_SourceData.Common_SourceData_MCFTemperatureZone_Data(),Table_SourceData_Common_MCFTemperatureZone[[#Headers],[Temperature zone]],0)</f>
        <v>1.4999999999999999E-2</v>
      </c>
      <c r="K250" s="27" cm="1">
        <f t="array" ref="K250">Common_InputFunctions.Utility_DisplayArrayInTable(Common_SourceData.Common_SourceData_MCFTemperatureZone_Data(),Table_SourceData_Common_MCFTemperatureZone[[#Headers],[Temperature zone]],0)</f>
        <v>0.02</v>
      </c>
      <c r="L250" s="27" cm="1">
        <f t="array" ref="L250">Common_InputFunctions.Utility_DisplayArrayInTable(Common_SourceData.Common_SourceData_MCFTemperatureZone_Data(),Table_SourceData_Common_MCFTemperatureZone[[#Headers],[Temperature zone]],0)</f>
        <v>0.03</v>
      </c>
      <c r="M250" s="27" cm="1">
        <f t="array" ref="M250">Common_InputFunctions.Utility_DisplayArrayInTable(Common_SourceData.Common_SourceData_MCFTemperatureZone_Data(),Table_SourceData_Common_MCFTemperatureZone[[#Headers],[Temperature zone]],0)</f>
        <v>0.04</v>
      </c>
      <c r="N250" s="27" cm="1">
        <f t="array" ref="N250">Common_InputFunctions.Utility_DisplayArrayInTable(Common_SourceData.Common_SourceData_MCFTemperatureZone_Data(),Table_SourceData_Common_MCFTemperatureZone[[#Headers],[Temperature zone]],0)</f>
        <v>1.4999999999999999E-2</v>
      </c>
      <c r="O250" s="27" cm="1">
        <f t="array" ref="O250">Common_InputFunctions.Utility_DisplayArrayInTable(Common_SourceData.Common_SourceData_MCFTemperatureZone_Data(),Table_SourceData_Common_MCFTemperatureZone[[#Headers],[Temperature zone]],0)</f>
        <v>1.4999999999999999E-2</v>
      </c>
      <c r="P250" s="27" cm="1">
        <f t="array" ref="P250">Common_InputFunctions.Utility_DisplayArrayInTable(Common_SourceData.Common_SourceData_MCFTemperatureZone_Data(),Table_SourceData_Common_MCFTemperatureZone[[#Headers],[Temperature zone]],0)</f>
        <v>0</v>
      </c>
      <c r="Q250" s="27" cm="1">
        <f t="array" ref="Q250">Common_InputFunctions.Utility_DisplayArrayInTable(Common_SourceData.Common_SourceData_MCFTemperatureZone_Data(),Table_SourceData_Common_MCFTemperatureZone[[#Headers],[Temperature zone]],0)</f>
        <v>0</v>
      </c>
      <c r="R250" s="27" cm="1">
        <f t="array" ref="R250">Common_InputFunctions.Utility_DisplayArrayInTable(Common_SourceData.Common_SourceData_MCFTemperatureZone_Data(),Table_SourceData_Common_MCFTemperatureZone[[#Headers],[Temperature zone]],0)</f>
        <v>4.7000000000000002E-3</v>
      </c>
      <c r="S250" s="2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31" t="str" cm="1">
        <f t="array" ref="D256">Common_SourceData.Common_SourceData_EFOrganicFertiliserAndCropResidues_Unit()</f>
        <v>kg N2O - N / kg N</v>
      </c>
    </row>
    <row r="257" spans="4:5" x14ac:dyDescent="0.25">
      <c r="D257" s="27" t="s">
        <v>78</v>
      </c>
      <c r="E257" s="27" t="s">
        <v>79</v>
      </c>
    </row>
    <row r="258" spans="4:5" x14ac:dyDescent="0.25">
      <c r="D258" s="27" t="str" cm="1">
        <f t="array" ref="D258">Common_InputFunctions.Utility_DisplayArrayInTable(Common_SourceData.Common_SourceData_EFOrganicFertiliserAndCropResidues_Data(), Table_SourceData_Common_EFOrganicFertCropResidues[[#Headers],[Climate Zone]], 0)</f>
        <v>Wet climate zone</v>
      </c>
      <c r="E258" s="2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2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IABbAFYAYQBsAHUAZQBJAEYARgBhAGwAcwBlAF0ALABcAG4AIAAgACAAIABYAEwATwBPAEsAVQBQACgAMQAsACAAKABMAG8AbwBrAHUAcABBAHIAcgBhAHkAMQA9AEwAbwBvAGsAdQBwAFYAYQBsAHUAZQAxACkAKgAoAEwAbwBvAGsAdQBwAEEAcgByAGEAeQAyAD0ATABvAG8AawB1AHAAVgBhAGwAdQBlADIAKQAsACAAUgBlAHQAdQByAG4AQQByAHIAYQB5ACwAIABJAEYAKABJAFMATwBNAEkAVABUAEUARAAoAFYAYQBsAHUAZQBJAEYARgBhAGwAcwBlACkALAAgAFwAIgBcACIALAAgAFYAYQBsAHUAZQBJAEYARgBhAGwAcwBlACk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CAAWwBWAGEAbAB1AGUASQBmAEYAYQBsAHMAZQBdACwAXABuACAAIAAgACAASQBGAEUAUgBSAE8AUgAoAFwAbgAgACAAIAAgACAAIAAgACAAWABMAE8ATwBLAFUAUAAoAEwAbwBvAGsAdQBwAFYAYQBsAHUAZQAxACwAIABMAG8AbwBrAHUAcABBAHIAcgBhAHkAMQAsAFwAbgAgACAAIAAgACAAIAAgACAAIAAgACAAIABYAEwATwBPAEsAVQBQACgATABvAG8AawB1AHAAVgBhAGwAdQBlADIALAAgAEwAbwBvAGsAdQBwAEEAcgByAGEAeQAyACwAIABSAGUAdAB1AHIAbgBBAHIAcgBhAHkAKQBcAG4AIAAgACAAIAAgACAAIAAgACkALABcAG4AIAAgACAAIAAgACAAIAAgAEkARgAoAEkAUwBPAE0ASQBUAFQARQBEACgAVgBhAGwAdQBlAEkAZgBGAGEAbABzAGUAKQAsACAAXAAiAFwAIgAsACAAVgBhAGwAdQBlAEkAZgBGAGEAbABzAGUAKQBcAG4AIAAgACAAIAApAFwAbgApADsAXABuAFwAbgBVAHQAaQBsAGkAdAB5AF8AUwBwAGwAaQB0AFMAdAByAGkAbgBnAEkAbgB0AG8AQQByAHIAYQB5AFwAbgA9AEwAQQBNAEIARABBACgAXABuACAAIAAgACAAQwBlAGwAbAAsACAARABlAGwAaQBtAGkAdABlAHIALAAgAFsAQwBoAGEAcgBhAGMAdABlAHIAVABvAFIAZQBtAG8AdgBlADEAXQAsACAAWwBDAGgAYQByAGEAYwB0AGUAcgBUAG8AUgBlAG0AbwB2AGUAMgBdACwAXABuACAAIAAgACAAIAAgACAAIABGAEkATABUAEUAUgBYAE0ATAAoAFwAbgAgACAAIAAgACAAIAAgACAAXAAiAFwAdQAwADAAMwBjAHQAXAB1ADAAMAAzAGUAXAB1ADAAMAAzAGMAcwBcAHUAMAAwADMAZQBcACIAIABcAHUAMAAwADIAN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BcAHUAMAAwADMAYwAvAHMAXAB1ADAAMAAzAGUAXAB1ADAAMAAzAGMAcwBcAHUAMAAwADMAZQBcACIAXABuACAAIAAgACAAIAAgACAAIAApACAAXAB1ADAAMAAyADYAXABuACAAIAAgACAAIAAgACAAIABcACIAXAB1ADAAMAAzAGMALwBzAFwAdQAwADAAMwBlAFwAdQAwADAAMwBjAC8AdABcAHUAMAAwADMAZQ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XAB1ADAAMAAzAGMAPQBhAHYAZwBUAGUAbQBwACkAKgBcAG4AIAAgACAAIAAgACAAIAAgACgAVgBBAEwAVQBFACgAbQBhAHgAVABlAG0AcABBAHIAcgBhAHkAKQBcAHUAMAAwADMAZQA9AGEAdgBnAFQAZQBtAHAAKQAqAFwAbgAgACAAIAAgACAAIAAgACAAKABWAEEATABVAEUAKABtAGkAbgBSAGEAaQBuAGYAYQBsAGwAQQByAHIAYQB5ACkAXAB1ADAAMAAzAGMAPQBhAHYAZwBSAGEAaQBuACkAKgBcAG4AIAAgACAAIAAgACAAIAAgACgAVgBBAEwAVQBFACgAbQBhAHgAUgBhAGkAbgBmAGEAbABsAEEAcgByAGEAeQApAFwAdQAwADAAMwBlAD0AYQB2AGcAUgBhAGkAbgApACoAXABuACAAIAAgACAAIAAgACAAIAAoAFYAQQBMAFUARQAoAG0AaQBuAEYAcgBvAHMAdABBAHIAcgBhAHkAKQBcAHUAMAAwADMAYwA9AGYAcgBvAHMAdABEAGEAeQBzACkAKgBcAG4AIAAgACAAIAAgACAAIAAgACgAVgBBAEwAVQBFACgAbQBhAHgARgByAG8AcwB0AEEAcgByAGEAeQApAFwAdQAwADAAMwBlAD0AZgByAG8AcwB0AEQAYQB5AHMAKQAqAFwAbgAgACAAIAAgACAAIAAgACAAKABWAEEATABVAEUAKABtAGkAbgBFAGwAZQB2AGEAdABpAG8AbgBBAHIAcgBhAHkAKQBcAHUAMAAwADMAYwA9AGUAbABlAHYAKQAqAFwAbgAgACAAIAAgACAAIAAgACAAKABWAEEATABVAEUAKABtAGEAeABFAGwAZQB2AGEAdABpAG8AbgBBAHIAcgBhAHkAKQBcAHUAMAAwADMAZQA9AGUAbABlAHYAKQAqAFwAbgAgACAAIAAgACAAIAAgACAAKABWAEEATABVAEUAKABtAGkAbgBQAEUAVABBAHIAcgBhAHkAKQBcAHUAMAAwADMAYwA9AG0AYQBwAF8AcABlAHQAKQAqAFwAbgAgACAAIAAgACAAIAAgACAAKABWAEEATABVAEUAKABtAGEAeABQAEUAVABBAHIAcgBhAHkAKQBcAHUAMAAwADMAZQA9AG0AYQBwAF8AcABlAHQAKQAsAFwAbgAgACAAIAAgACAAIAAgACAAVABBAEsARQAoAFwAbgAgACAAIAAgACAAIAAgACAAIAAgACAAIABGAEkATABUAEUAUgAoAGMAbABpAG0AYQB0AGUAWgBvAG4AZQBBAHIAcgBhAHkALABtAGEAcwBrACwAIABcACIATgBvACAAbQBhAHQAYwBoAFwAIgApACwAXABuACAAIAAgACAAIAAgACAAIAAgACAAIAAgADEAXABuACAAIAAgACAAIAAgACAAIAApAFwAbgAgACAAIAAgACkAXABuACkAOwBcAG4AXABuAFUAdABpAGwAaQB0AHkAXwBMAG8AbwBrAHUAcABJAHQAZQBtAEYAcgBvAG0ATQBpAG4ATQBhAHgAXABuAD0ATABBAE0AQgBEAEEAKABcAG4AIAAgACAAIABMAG8AbwBrAHUAcABWAGEAbAB1AGUALAAgAE0AaQBuAEEAcgByAGEAeQAsACAATQBhAHgAQQByAHIAYQB5ACwAIABJAHQAZQBtAEEAcgByAGEAeQAsAFwAbgAgACAAIAAgAEwARQBUACgAXABuACAAIAAgACAAIAAgACAAIABtAGEAcwBrACwAXABuACAAIAAgACAAIAAgACAAIAAoAFYAQQBMAFUARQAoAE0AaQBuAEEAcgByAGEAeQApAFwAdQAwADAAMwBjAD0ATABvAG8AawB1AHAAVgBhAGwAdQBlACkAKgBcAG4AIAAgACAAIAAgACAAIAAgACgAVgBBAEwAVQBFACgATQBhAHgAQQByAHIAYQB5ACkAXAB1ADAAMAAzAGU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FwAdQAwADAAMwBjACAAUwApACwAXABuACAAIAAgACAAIAAgACAAIABsAGEAcwB0AFkAZQBhAHIALAB5AGIALQAoAEQAQQBUAEUAKAB5AGIALABtACwAZAApAFwAdQAwADAAMwBl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BcAHUAMAAwADIANwB0ACAAbwB2AGUAcgBsAGEAcAA7ACAAbQBvAHYAZQAgAHQAbwAgAG4AZQB4AHQAIAB5AGUAYQByACoALwBcAG4AIAAgACAAIAAgACAAIAAgAGYAaQByAHMAdABZAGUAYQByACwAeQBhACsAKABQAGUAcgBpAG8AZABFAG4AZAAoAEQAQQBUAEUAKAB5AGEALABtACwAZAApACkAXAB1ADAAMAAzAGMAUwApACwAIAAvACoAaQBmACAAdABoAGUAIABhAG4AYwBoAG8AcgAgAGYAbwByACAAeQBiACAAcwB0AGEAcgB0AHMAIABhAGYAdABlAHIAIABFACwAaQB0ACAAYwBhAG4AXAB1ADAAMAAyADcAdAAgAG8AdgBlAHIAbABhAHAAOwAgAG0AbwB2AGUAIAB0AG8AIABwAHIAZQB2AGkAbwB1AHMAIAB5AGUAYQByACoALwBcAG4AIAAgACAAIAAgACAAIAAgAGwAYQBzAHQAWQBlAGEAcgAsAHkAYgAtACgARABBAFQARQAoAHkAYgAsAG0ALABkACkAXAB1ADAAMAAzAGU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FwAdQAwADAAMgA2ACAAXAAiACAAdABvACAAXAAiACAAXAB1ADAAMAAyADYAIABlAG4AZABzAFQAZQB4AHQAIABcAHUAMAAwADIAN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VAHQAaQBsAGkAdAB5AF8AQwBvAG4AdgBlAHIAdABTAHQAYQB0AGUAQwBvAG0AbQBvAG4ATgBhAG0AZQBUAG8AQQBiAGIAcgBlAHYAaQBhAHQAaQBvAG4AXABuAD0ATABBAE0AQgBEAEEAKABcAG4AIAAgACAAIABTAHQAYQB0AGUAQwBvAG0AbQBvAG4ATgBhAG0AZQAsAFwAbgAgACAAIAAgAFMAdABhAHQAZQBDAG8AbQBtAG8AbgBOAGEAbQBlAEEAcgByAGEAeQAsACAAUwB0AGEAdABlAEEAYgBiAHIAZQB2AGkAYQB0AGkAbwBuAEEAcgByAGEAeQAsAFwAbgAgACAAIAAgAFgATABPAE8ASwBVAFAAKABTAHQAYQB0AGUAQwBvAG0AbQBvAG4ATgBhAG0AZQAsACAAUwB0AGEAdABlAEMAbwBtAG0AbwBuAE4AYQBtAGUAQQByAHIAYQB5ACwAIABTAHQAYQB0AGUAQQBiAGIAcgBlAHYAaQBhAHQAaQBvAG4AQQByAHIAYQB5ACwAIABcACIAXAAiACkAXABuACkAOwBcAG4AXABuAFUAdABpAGwAaQB0AHkAXwBTAG8AdQByAGMAZQBIAHkAcABlAHIAbABpAG4Aaw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dQAwADAAMgA3AFwAIgAgAFwAdQAwADAAMgA2ACAAcwBoACAAXAB1ADAAMAAyADYAIABcACIAXAB1ADAAMAAyADcAIQBcACIAIABcAHUAMAAwADIAN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XAB1ADAAMAAyADYAIABhAGQAZAByAFwAbgAgACAAKQBcAG4AKQA7AFwAbgBcAG4AVQB0AGkAbABpAHQAeQBfAEQAaQBzAHAAbABhAHkAQQByAGcAdQBtAGUAbgB0AHMAXwAxAF8AMgBcAG4APQBMAEEATQBCAEQAQQAoAFwAbgAgACAAIAAgAEEAcgBnAHUAbQBlAG4AdABzAEEAcgByAGEAeQAsAFwAbgAgACAAIAAgAEMASABPAE8AUwBFAEMATwBMAFMAKABBAHIAZwB1AG0AZQBuAHQAcwBBAHIAcgBhAHkALAAgADEALAAgADIAKQBcAG4AKQA7AFwAbgBcAG4AVQB0AGkAbABpAHQAeQBfAEQAaQBzAHAAbABhAHkAQQByAGcAdQBtAGUAbgB0AHMAXwAzAF8ANABcAG4APQBMAEEATQBCAEQAQQAoAFwAbgAgACAAIAAgAEEAcgBnAHUAbQBlAG4AdABzAEEAcgByAGEAeQAsAFwAbgAgACAAIAAgAEMASABPAE8AUwBFAEMATwBMAFMAKABBAHIAZwB1AG0AZQBuAHQAcwBBAHIAcgBhAHkALAAgADMALAAgADQAKQBcAG4AKQA7AFwAbgBcAG4AQwBvAG0AbQBvAG4AXwBHAGUAdABNAEMARgBUAGUAbQBwAGUAcgBhAHQAdQByAGUAWgBvAG4AZQBcAG4APQBMAEEATQBCAEQAQQAoAFwAbgAgACAAIAAgAFQAZQBtAHAAZQByAGEAdAB1AHIAZQAsACAATQBNAFMALAAgAFQAZQBtAHAAZQByAGEAdAB1AHIAZQBBAHIAcgBhAHkALAAgAE0ATQBTAEEAcgByAGEAeQAsACAAUgBlAHQAdQByAG4AQQByAHIAYQB5ACwAXABuACAAIAAgACAAWABMAE8ATwBLAFUAUAAoAFwAbgAgACAAIAAgACAAIAAgACAATQBFAEQASQBBAE4AKABcAG4AIAAgACAAIAAgACAAIAAgACAAIAAgACAAVABlAG0AcABlAHIAYQB0AHUAcgBlACwAIABcAG4AIAAgACAAIAAgACAAIAAgACAAIAAgACAATQBJAE4AKABUAGUAbQBwAGUAcgBhAHQAdQByAGUAQQByAHIAYQB5ACkALAAgAFwAbgAgACAAIAAgACAAIAAgACAAIAAgACAAIABNAEEAWAAoAFQAZQBtAHAAZQByAGEAdAB1AHIAZQBBAHIAcgBhAHkAKQBcAG4AIAAgACAAIAAgACAAIAAgACkALABcAG4AIAAgACAAIAAgACAAIAAgAFQAZQBtAHAAZQByAGEAdAB1AHIAZQBBAHIAcgBhAHkALABcAG4AIAAgACAAIAAgACAAIAAgAFgATABPAE8ASwBVAFAAKABNAE0AUwAsACAATQBNAFMAQQByAHIAYQB5ACwAIABSAGUAdAB1AHIAbgBBAHIAcgBhAHkAKQBcAG4AIAAgACAAIAApAFwAbgApADsAXABuAFwAbgBcAG4AVQB0AGkAbABpAHQAeQBfAFIAZQBzAHUAbAB0AHMASQB0AGUAbQBGAHIAbwBtAEUAcQB1AGEAdABpAG8AbgBUAGkAdABsAGUAQQBuAGQAUwBvAHUAcgBjAGUAXABuAD0ATABBAE0AQgBEAEEAKABcAG4AIAAgACAAIABUAGkAdABsAGUAQwBlAGwAbAAsACAAUwBvAHUAcgBjAGUAQwBlAGwAbAAsAFwAbgAgACAAIAAgAFMAVQBCAFMAVABJAFQAVQBUAEUAKABMAEUARgBUACgAUwBvAHUAcgBjAGUAQwBlAGwAbAAsACAARgBJAE4ARAAoAFwAIgAsAFwAIgAsACAAUwBvAHUAcgBjAGUAQwBlAGwAbAApACAALQAxACkALAAgAFwAIgBWAEUARQBSAEcAIAAyADAAMgA2ADoAIABcACIALAAgAFwAIgBcACIAKQAgAFwAdQAwADAAMgA2ACAAXAAiACAAXAAiACAAXAB1ADAAMAAyADYAIABUAGkAdABsAGUAQwBlAGwAbABcAG4AKQA7ACIAfQAsAHsAIgBwAGEAdABoACIAOgAiAC8AcAByAG8AagBlAGMAdABzAC8ARQBsAGUAYwB0AHIAaQBjAGkAdAB5AF8AUwBvAHUAcgBjAGUARABhAHQAYQAiACwAIgB0AGUAeAB0ACIAOgAiAC8AKgBcAG4APQA9AD0APQA9AD0APQA9AD0APQA9AD0APQA9AD0APQA9AD0APQA9AD0APQA9AD0APQA9AD0APQA9AD0APQA9AD0APQA9AD0APQA9AD0APQA9AD0APQA9AD0APQA9AD0APQA9AD0APQA9AD0APQA9AD0APQA9AD0APQA9AD0APQA9AD0APQA9AD0APQA9AD0APQA9AD0APQBcAG4ASQBuAGQAaQByAGUAYwB0ACAAKABzAGMAbwBwAGUAIAAyACAAYQBuAGQAIABzAGMAbwBwAGUAIAAzACkAIABsAG8AYwBhAHQAaQBvAG4ALQBiAGEAcwBlAGQAIABlAG0AaQBzAHMAaQBvAG4AIABmAGEAYwB0AG8AcgBzACAAYQBzAHMAbwBjAGkAYQB0AGUAZAAgAHcAaQB0AGgAIAB0AGgAZQAgAGMAbwBuAHMAdQBtAHAAdABpAG8AbgAgAGEAbgBkACAAbABvAHMAcwBlAHMAIABvAGYAIABwAHUAcgBjAGgAYQBzAGUAZAAgAG8AcgAgAGEAYwBxAHUAaQByAGUAZAAgAGUAbABlAGMAdAByAGkAYwBpAHQAeQAgAFwAbgA9AD0APQA9AD0APQA9AD0APQA9AD0APQA9AD0APQA9AD0APQA9AD0APQA9AD0APQA9AD0APQA9AD0APQA9AD0APQA9AD0APQA9AD0APQA9AD0APQA9AD0APQA9AD0APQA9AD0APQA9AD0APQA9AD0APQA9AD0APQA9AD0APQA9AD0APQA9AD0APQA9AD0APQA9AD0APQA9AFwAbgAqAC8AXABuAFwAbgBFAGwAZQBjAHQAcgBpAGMAaQB0AHkAXwBTAGMAbwBwAGUAMgBTAGMAbwBwAGUAMwBMAG8AYwBhAHQAaQBvAG4AQgBhAHMAZQBkAF8AVABpAHQAbABlAFwAbgA9AEwAQQBNAEIARABBACgAKABcACIARQBsAGUAYwB0AHIAaQBjAGkAdAB5ACAAcwBjAG8AcABlACAAMgAgAGEAbgBkACAAcwBjAG8AcABlACAAMwAgAGwAbwBjAGEAdABpAG8AbgAtAGIAYQBzAGUAZAAgAGUAbQBpAHMAcwBpAG8AbgAgAGYAYQBjAHQAbwByAHMAXAAiACkAKQA7AFwAbgBcAG4ARQBsAGUAYwB0AHIAaQBjAGkAdAB5AF8AUwBjAG8AcABlADIATABvAGMAYQB0AGkAbwBuAEIAYQBzAGUAZABfAEQAZQBzAGMAcgBpAHAAdABpAG8AbgBcAG4APQBMAEEATQBCAEQAQQAoACgAXAAiAEkAbgBkAGkAcgBlAGMAdAAgACgAcwBjAG8AcABlACAAMgAgAGEAbgBkACAAcwBjAG8AcABlACAAMwApACAAbABvAGMAYQB0AGkAbwBuAC0AYgBhAHMAZQBkACAAZQBtAGkAcwBzAGkAbwBuACAAZgBhAGMAdABvAHIAcwAgAGEAcwBzAG8AYwBpAGEAdABlAGQAIAB3AGkAdABoACAAdABoAGUAIABjAG8AbgBzAHUAbQBwAHQAaQBvAG4AIABhAG4AZAAgAGwAbwBzAHMAZQBzACAAbwBmACAAcAB1AHIAYwBoAGEAcwBlAGQAIABvAHIAIABhAGMAcQB1AGkAcgBlAGQAIABlAGwAZQBjAHQAcgBpAGMAaQB0AHkAXAAiACkAKQA7AFwAbgBcAG4ARQBsAGUAYwB0AHIAaQBjAGkAdAB5AF8AUwBjAG8AcABlADIAUwBjAG8AcABlADMATABvAGMAYQB0AGkAbwBuAEIAYQBzAGUAZABfAFMAbwB1AHIAYwBlAFwAbgA9AEwAQQBNAEIARABBACgAKABcACIAQQB1AHMAdAByAGEAbABpAGEAbgAgAE4AYQB0AGkAbwBuAGEAbAAgAEcAcgBlAGUAbgBoAG8AdQBzAGUAIABBAGMAYwBvAHUAbgB0AHMAIABGAGEAYwB0AG8AcgBzACAAMgAwADIANQAgAC0AIABUAGEAYgBsAGUAIAAxAFwAIgApACkAOwBcAG4AXABuAEUAbABlAGMAdAByAGkAYwBpAHQAeQBfAFMAYwBvAHAAZQAyAFMAYwBvAHAAZQAzAEwAbwBjAGEAdABpAG8AbgBCAGEAcwBlAGQAXwBEAGEAdABhAFwAbgA9AEwAQQBNAEIARABBACgAXABuACAAIABNAEEASwBFAEEAUgBSAEEAWQAoADEAMQAsACAAMwAsAFwAbgAgACAAIAAgAEwAQQBNAEIARABBACgAcgAsAGMALABcAG4AIAAgACAAIAAgACAASQBOAEQARQBYACgAewBcAG4AIAAgACAAIAAgACAAIAAgAFwAIgBTAHQAYQB0AGUALAAgAFQAZQByAHIAaQB0AG8AcgB5ACAAbwByACAAZwByAGkAZAAgAGQAZQBzAGMAcgBpAHAAdABpAG8AbgBcACIALAAgAFwAIgBTAGMAbwBwAGUAIAAyACAARQBtAGkAcwBzAGkAbwBuACAARgBhAGMAdABvAHIAcwAgACgAawBnACAAQwBPADIALQBlAC8AawBXAGgAKQBcACIALAAgAFwAIgBTAGMAbwBwAGUAIAAzACAARQBtAGkAcwBzAGkAbwBuACAARgBhAGMAdABvAHIAcwAgACgAawBnACAAQwBPADIALQBlAC8AawBXAGgAKQBcACIAOwBcAG4AIAAgACAAIAAgACAAIAAgAFwAIgBOAGUAdwAgAFMAbwB1AHQAaAAgAFcAYQBsAGUAcwBcACIALAAgADAALgA2ADQALAAgADAALgAwADMAOwBcAG4AIAAgACAAIAAgACAAIAAgAFwAIgBBAEMAVABcACIALAAgADAALgA2ADQALAAgADAALgAwADMAOwBcAG4AIAAgACAAIAAgACAAIAAgAFwAIgBWAGkAYwB0AG8AcgBpAGEAXAAiACwAIAAwAC4ANwA4ACwAIAAwAC4AMAA5ADsAXABuACAAIAAgACAAIAAgACAAIABcACIAUQB1AGUAZQBuAHMAbABhAG4AZABcACIALAAgADAALgA2ADcALAAgADAALgAwADkAOwBcAG4AIAAgACAAIAAgACAAIAAgAFwAIgBTAG8AdQB0AGgAIABBAHUAcwB0AHIAYQBsAGkAYQBcACIALAAgADAALgAyADIALAAgADAALgAwADQAOwBcAG4AIAAgACAAIAAgACAAIAAgAFwAIgBXAGUAcwB0AGUAcgBuACAAQQB1AHMAdAByAGEAbABpAGEAIAAtACAAUwBvAHUAdABoACAAVwBlAHMAdAAgAEkAbgB0AGUAcgBjAG8AbgBuAGUAYwB0AGUAZAAgAFMAeQBzAHQAZQBtACAAKABTAFcASQBTACkAXAAiACwAIAAwAC4ANQAwACwAIAAwAC4AMAA2ADsAXABuACAAIAAgACAAIAAgACAAIABcACIAVwBlAHMAdABlAHIAbgAgAEEAdQBzAHQAcgBhAGwAaQBhACAALQAgAE4AbwByAHQAaAAgAFcAZQBzAHQAZQByAG4AIABJAG4AdABlAHIAYwBvAG4AbgBlAGMAdABlAGQAIABTAHkAcwB0AGUAbQAgACgATgBXAEkAUwApAFwAIgAsACAAMAAuADUANgAsACAAMAAuADAAOQA7AFwAbgAgACAAIAAgACAAIAAgACAAXAAiAFQAYQBzAG0AYQBuAGkAYQBcACIALAAgADAALgAyADAALAAgADAALgAwADMAOwBcAG4AIAAgACAAIAAgACAAIAAgAFwAIgBOAG8AcgB0AGgAZQByAG4AIABUAGUAcgByAGkAdABvAHIAeQAgAC0AIABEAGEAcgB3AGkAbgAgAEsAYQB0AGgAZQByAGkAbgBlACAASQBuAHQAZQByAGMAbwBuAG4AZQBjAHQAZQBkACAAUwB5AHMAdABlAG0AIAAoAEQASwBJAFMAKQBcACIALAAgADAALgA1ADYALAAgADAALgAwADkAOwBcAG4AIAAgACAAIAAgACAAIAAgAFwAIgBOAGEAdABpAG8AbgBhAGwAXAAiACwAIAAwAC4ANgAyACwAIAAwAC4AMAA3AFwAbgAgACAAIAAgACAAIAB9ACwAIAByACwAIABjACkAXABuACkAKQApADsAXABuAFwAbgBFAGwAZQBjAHQAcgBpAGMAaQB0AHkAXwBTAGMAbwBwAGUAMgBTAGMAbwBwAGUAMwBMAG8AYwBhAHQAaQBvAG4AQgBhAHMAZQBkAF8AVgBhAHIAaQBhAHQAaQBvAG4AXABuAD0ATABBAE0AQgBEAEEAKAAoAFwAIgBWAEEAUgBJAEEAVABJAE8ATgAgAE8ARgAgAFMATwBVAFIAQwBFACAARABBAFQAQQA6ACAATgBTAFcAIABhAG4AZAAgAEEAQwBUACAAcwBwAGwAaQB0ACAAaQBuAHQAbwAgAHMAZQBwAGEAcgBhAHQAZQAgAHIAbwB3AHMALgBcACIAKQApADsAXABuAFwAbgBcAG4ALwAqAFwAbgA9AD0APQA9AD0APQA9AD0APQA9AD0APQA9AD0APQA9AD0APQA9AD0APQA9AD0APQA9AD0APQA9AD0APQA9AD0APQA9AD0APQA9AD0APQA9AD0APQA9AD0APQA9AD0APQA9AD0APQA9AD0APQA9AD0APQA9AD0APQA9AD0APQA9AD0APQA9AD0APQA9AD0APQA9AD0APQA9AFwAbgBSAGUAcwBpAGQAdQBhAGwAIABNAGkAeAAgAEYAYQBjAHQAbwByACAAZgBvAHIAIABtAGEAcgBrAGUAdAAtAGIAYQBzAGUAZAAgAGUAcQB1AGEAdABpAG8AbgBzAFwAbgA9AD0APQA9AD0APQA9AD0APQA9AD0APQA9AD0APQA9AD0APQA9AD0APQA9AD0APQA9AD0APQA9AD0APQA9AD0APQA9AD0APQA9AD0APQA9AD0APQA9AD0APQA9AD0APQA9AD0APQA9AD0APQA9AD0APQA9AD0APQA9AD0APQA9AD0APQA9AD0APQA9AD0APQA9AD0APQA9AFwAbgAqAC8AXABuAFwAbgBFAGwAZQBjAHQAcgBpAGMAaQB0AHkAXwBTAGMAbwBwAGUAMgBTAGMAbwBwAGUAMwBNAGEAcgBrAGUAdABCAGEAcwBlAGQAXwBUAGkAdABsAGUAXABuAD0ATABBAE0AQgBEAEEAKAAoAFwAIgBFAGwAZQBjAHQAcgBpAGMAaQB0AHkAIABzAGMAbwBwAGUAIAAyACAAYQBuAGQAIABzAGMAbwBwAGUAIAAzACAAbQBhAHIAawBlAHQALQBiAGEAcwBlAGQAIABlAG0AaQBzAHMAaQBvAG4AIABmAGEAYwB0AG8AcgBzAFwAIgApACkAOwBcAG4AXABuAEUAbABlAGMAdAByAGkAYwBpAHQAeQBfAFMAYwBvAHAAZQAyAE0AYQByAGsAZQB0AEIAYQBzAGUAZABfAEQAZQBzAGMAcgBpAHAAdABpAG8AbgBcAG4APQBMAEEATQBCAEQAQQAoACgAXAAiAFQAYQBiAGwAZQAgADIAYQAgAEkAbgBkAGkAcgBlAGMAdAAgACgAcwBjAG8AcABlACAAMgAgAGEAbgBkACAAcwBjAG8AcABlACAAMwApACAAZQBtAGkAcwBzAGkAbwBuACAAZgBhAGMAdABvAHIAcwAgAGYAcgBvAG0AIABjAG8AbgBzAHUAbQBwAHQAaQBvAG4AIABvAGYAIABwAHUAcgBjAGgAYQBzAGUAZAAgAG8AcgAgAGEAYwBxAHUAaQByAGUAZAAgAGUAbABlAGMAdAByAGkAYwBpAHQAeQA6ACAAbQBhAHIAawBlAHQALQBiAGEAcwBlAGQAIABmAGEAYwB0AG8AcgBzACAAXAAiACkAKQA7AFwAbgBcAG4ARQBsAGUAYwB0AHIAaQBjAGkAdAB5AF8AUwBjAG8AcABlADIAUwBjAG8AcABlADMATQBhAHIAawBlAHQAQgBhAHMAZQBkAF8AUwBvAHUAcgBjAGUAXABuAD0ATABBAE0AQgBEAEEAKAAoAFwAIgBBAHUAcwB0AHIAYQBsAGkAYQBuACAATgBhAHQAaQBvAG4AYQBsACAARwByAGUAZQBuAGgAbwB1AHMAZQAgAEEAYwBjAG8AdQBuAHQAcwAgAEYAYQBjAHQAbwByAHMAIAAyADAAMgA1ACAALQAgAFQAYQBiAGwAZQAgADIAYQBcACIAKQApADsAXABuAFwAbgBFAGwAZQBjAHQAcgBpAGMAaQB0AHkAXwBTAGMAbwBwAGUAMgBTAGMAbwBwAGUAMwBNAGEAcgBrAGUAdABCAGEAcwBlAGQAXwBEAGEAdABhAFwAbgA9AEwAQQBNAEIARABBACgAXABuACAAIABNAEEASwBFAEEAUgBSAEEAWQAoADIALAAgADUALABcAG4AIAAgACAAIABMAEEATQBCAEQAQQAoAHIALABjACwAXABuACAAIAAgACAAIAAgAEkATgBEAEUAWAAoAHsAXABuACAAIAAgACAAIAAgACAAIABcACIAUwB0AGEAdABlACwAIABUAGUAcgByAGkAdABvAHIAeQAgAG8AcgAgAGcAcgBpAGQAIABkAGUAcwBjAHIAaQBwAHQAaQBvAG4AXAAiACwAIABcACIAUwBjAG8AcABlACAAMgAgAEUAbQBpAHMAcwBpAG8AbgAgAEYAYQBjAHQAbwByAHMAIAAoAGsAZwAgAEMATwAyAC0AZQAvAGsAVwBoACkAXAAiACwAIABcACIAUwBjAG8AcABlACAAMgAgAEUAbQBpAHMAcwBpAG8AbgAgAEYAYQBjAHQAbwByAHMAIAAoAGsAZwAgAEMATwAyAC0AZQAvAEcASgApAFwAIgAsACAAXAAiAFMAYwBvAHAAZQAgADMAIABFAG0AaQBzAHMAaQBvAG4AIABGAGEAYwB0AG8AcgBzACAAKABrAGcAIABDAE8AMgAgAC0AIABlACAALwAgAGsAVwBoACkAXAAiACwAIABcACIAUwBjAG8AcABlACAAMwAgAEUAbQBpAHMAcwBpAG8AbgAgAEYAYQBjAHQAbwByAHMAIAAoAGsAZwAgAEMATwAyACAALQAgAGUAIAAvACAARwBKACkAXAAiADsAXABuACAAIAAgACAAIAAgACAAIABcACIATgBhAHQAaQBvAG4AYQBsAFwAIgAsACAAMAAuADgAMQAsACAAMgAyADYALAAgADAALgAxADAALAAgADIAOQBcAG4AIAAgACAAIAAgACAAfQAsACAAcgAsACAAYwApAFwAbgApACkAKQA7AFwAbgBcAG4ARQBsAGUAYwB0AHIAaQBjAGkAdAB5AF8AUwBjAG8AcABlADIAUwBjAG8AcABlADMATQBhAHIAawBlAHQAQgBhAHMAZQBkAF8AVgBhAHIAaQBhAHQAaQBvAG4AXABuAD0ATABBAE0AQgBEAEEAKAAoAFwAIgBcACIAKQApADsAIgB9ACwAewAiAHAAYQB0AGgAIgA6ACIALwBwAHIAbwBqAGUAYwB0AHMALwBFAGwAZQBjAHQAcgBpAGMAaQB0AHkAXwBFAHEAdQBhAHQAaQBvAG4AcwAiACwAIgB0AGUAeAB0ACIAOgAiAC8AKgBcAG4APQA9AD0APQA9AD0APQA9AD0APQA9AD0APQA9AD0APQA9AD0APQA9AD0APQA9AD0APQA9AD0APQA9AD0APQA9AD0APQA9AD0APQA9AD0APQA9AD0APQA9AD0APQA9AD0APQA9AD0APQA9AD0APQA9AD0APQA9AD0APQA9AD0APQA9AD0APQA9AD0APQA9AD0APQA9AD0APQBcAG4AMQA0ADoAIABFAGwAZQBjAHQAcgBpAGMAaQB0AHkAXABuAD0APQA9AD0APQA9AD0APQA9AD0APQA9AD0APQA9AD0APQA9AD0APQA9AD0APQA9AD0APQA9AD0APQA9AD0APQA9AD0APQA9AD0APQA9AD0APQA9AD0APQA9AD0APQA9AD0APQA9AD0APQA9AD0APQA9AD0APQA9AD0APQA9AD0APQA9AD0APQA9AD0APQA9AD0APQA9AD0AXABuADEANAAuADEALgAxACAAUAB1AHIAYwBoAGEAcwBlAGQAIABFAGwAZQBjAHQAcgBpAGMAaQB0AHkAIAAoAEwAbwBjAGEAdABpAG8AbgAtAEIAYQBzAGUAZAApAFwAbgAxADQALgAxAC4AMgAgAFAAdQByAGMAaABhAHMAZQBkACAARQBsAGUAYwB0AHIAaQBjAGkAdAB5ACAAKABNAGEAcgBrAGUAdAAtAEIAYQBzAGUAZAAp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QA0AF8AMQBfADEAXwBfADEAXwBMAG8AYwBhAHQAaQBvAG4AQgBhAHMAZQBkAFMAYwBvAHAAZQBFAGwAZQBjAHQAcgBpAGMAaQB0AHkARQBtAGkAcwBzAGkAbwBuAHMAXABuAEwAbwBjAGEAdABpAG8AbgAtAGIAYQBzAGUAZAAgAFMAYwBvAHAAZQAgADIAIABlAG0AaQBzAHMAaQBvAG4AcwAgAGYAcgBvAG0AIABwAHUAcgBjAGgAYQBzAGUAZAAgAGUAbABlAGMAdAByAGkAYwBpAHQAeQBcAG4ARQBfADIAZQBsAGUAYwBcAG4AdAAgAEMATwAyAGUAXABuAEUAXwB7ADIALABlAGwAZQBjAH0APQBRAF8AewBlAGwAZQBjAH0AXABcAHQAaQBtAGUAcwAgAEUARgBfAHsAMgAsAGUAbABlAGMAfQBcAFwAdABpAG0AZQBzACAAMQAwAF4AewAtADMAfQBcAG4AUQBfAGUAbABlAGMAIAA9ACAAYQBtAG8AdQBuAHQAIABvAGYAIABlAGwAZQBjAHQAcgBpAGMAaQB0AHkAIABwAHUAcgBjAGgAYQBzAGUAZAAgAGYAcgBvAG0AIAB0AGgAZQAgAGcAcgBpAGQAIAAoAGsAVwBoACkAXABuAEUARgBfADIAZQBsAGUAYwAgAD0AIABsAG8AYwBhAHQAaQBvAG4ALQBiAGEAcwBlAGQAIABTAGMAbwBwAGUAIAAyACAAZQBtAGkAcwBzAGkAbwBuACAAZgBhAGMAdABvAHIAIABmAG8AcgAgAGUAbABlAGMAdAByAGkAYwBpAHQAeQAgACgAawBnACAAQwBPADIAZQAvAGsAVwBoACkAXABuAC0ALQAtAC0ALQAtAC0ALQAtAC0ALQAtAC0ALQAtAC0ALQAtAC0ALQAtAC0ALQAtAC0ALQAtAC0ALQAtAC0ALQAtAC0ALQAtAC0ALQBcAG4AKgAvAFwAbgBcAG4AVgBFAEUAUgBHAF8AMQA0AF8AMQBfADEAXwBfADEAXwBMAG8AYwBhAHQAaQBvAG4AQgBhAHMAZQBkAFMAYwBvAHAAZQBFAGwAZQBjAHQAcgBpAGMAaQB0AHkARQBtAGkAcwBzAGkAbwBuAHMAXABuACAAIAA9AEwAQQBNAEIARABBACgAXABuACAAIAAgACAAUQBfAGUAbABlAGMALAAgAEUARgBfADIAZQBsAGUAYwAsAFwAbgAgACAAIAAgAFEAXwBlAGwAZQBjACAAKgAgAEUARgBfADIAZQBsAGUAYwAgACoAIAAxADAAIABeACAALQAzAFwAbgAgACAAKQA7AFwAbgBcAG4AVgBFAEUAUgBHAF8AMQA0AF8AMQBfADEAXwBfADEAXwBMAG8AYwBhAHQAaQBvAG4AQgBhAHMAZQBkAFMAYwBvAHAAZQBFAGwAZQBjAHQAcgBpAGMAaQB0AHkARQBtAGkAcwBzAGkAbwBuAHMAXwBUAGkAdABsAGUAXABuACAAIAA9AEwAQQBNAEIARABBACgAXAAiAEwAbwBjAGEAdABpAG8AbgAtAGIAYQBzAGUAZAAgAFMAYwBvAHAAZQAgADIAIABlAG0AaQBzAHMAaQBvAG4AcwAgAGYAcgBvAG0AIABwAHUAcgBjAGgAYQBzAGUAZAAgAGUAbABlAGMAdAByAGkAYwBpAHQAeQBcACIAKQA7AFwAbgBcAG4AVgBFAEUAUgBHAF8AMQA0AF8AMQBfADEAXwBfADEAXwBMAG8AYwBhAHQAaQBvAG4AQgBhAHMAZQBkAFMAYwBvAHAAZQBFAGwAZQBjAHQAcgBpAGMAaQB0AHkARQBtAGkAcwBzAGkAbwBuAHMAXwBWAGEAcgBpAGEAYgBsAGUAXABuACAAIAA9AEwAQQBNAEIARABBACgAXAAiAEUAXwAyAGUAbABlAGMAXAAiACkAOwBcAG4AXABuAFYARQBFAFIARwBfADEANABfADEAXwAxAF8AXwAxAF8ATABvAGMAYQB0AGkAbwBuAEIAYQBzAGUAZABTAGMAbwBwAGUARQBsAGUAYwB0AHIAaQBjAGkAdAB5AEUAbQBpAHMAcwBpAG8AbgBzAF8AVQBuAGkAdABcAG4AIAAgAD0ATABBAE0AQgBEAEEAKABcACIAdAAgAEMATwAyAGUAXAAiACkAOwBcAG4AXABuAFYARQBFAFIARwBfADEANABfADEAXwAxAF8AXwAxAF8ATABvAGMAYQB0AGkAbwBuAEIAYQBzAGUAZABTAGMAbwBwAGUARQBsAGUAYwB0AHIAaQBjAGkAdAB5AEUAbQBpAHMAcwBpAG8AbgBzAF8AUwBvAHUAcgBjAGUAXABuACAAIAA9AEwAQQBNAEIARABBACgAXAAiAFYARQBFAFIARwAgADIAMAAyADYAOgAgADEANAAuADEALgAxACwAIABFAHEAdQBhAHQAaQBvAG4AIAAoADEAKQBcACIAKQA7AFwAbgBcAG4AVgBFAEUAUgBHAF8AMQA0AF8AMQBfADEAXwBfADEAXwBMAG8AYwBhAHQAaQBvAG4AQgBhAHMAZQBkAFMAYwBvAHAAZQBFAGwAZQBjAHQAcgBpAGMAaQB0AHkARQBtAGkAcwBzAGkAbwBuAHMAXwBOAEkAUgBSAGUAZgBlAHIAZQBuAGMAZQBcAG4AIAAgAD0ATABBAE0AQgBEAEEAKABcACIAXAAiACkAOwBcAG4AXABuAFYARQBFAFIARwBfADEANABfADEAXwAxAF8AXwAxAF8ATABvAGMAYQB0AGkAbwBuAEIAYQBzAGUAZABTAGMAbwBwAGUARQBsAGUAYwB0AHIAaQBjAGkAdAB5AEUAbQBpAHMAcwBpAG8AbgBzAF8ATABhAHQAZQB4AEUAcQB1AGEAdABpAG8AbgBcAG4AIAAgAD0ATABBAE0AQgBEAEEAKABcACIARQBfAHsAMgAsAGUAbABlAGMAfQA9AFEAXwB7AGUAbABlAGMAfQBcAFwAdABpAG0AZQBzACAARQBGAF8AewAyACwAZQBsAGUAYwB9AFwAXAB0AGkAbQBlAHMAIAAxADAAXgB7AC0AMwB9AFwAIgApADsAXABuAFwAbgBWAEUARQBSAEcAXwAxADQAXwAxAF8AMQBfAF8AMQBfAEwAbwBjAGEAdABpAG8AbgBCAGEAcwBlAGQAUwBjAG8AcABlAEUAbABlAGMAdAByAGkAYwBpAHQAeQBFAG0AaQBzAHMAaQBvAG4AcwBfAEEAcgBnAHUAbQBlAG4AdABzAFwAbgAgACAAPQBMAEEATQBCAEQAQQAoAFwAbgAgACAAIAAgAE0AQQBLAEUAQQBSAFIAQQBZACgAMw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EUARgBfADIAZQBsAGUAYwBcACIALAAgAFwAIgBsAG8AYwBhAHQAaQBvAG4ALQBiAGEAcwBlAGQAIABTAGMAbwBwAGUAIAAyACAAZQBtAGkAcwBzAGkAbwBuACAAZgBhAGMAdABvAHIAIABmAG8AcgAgAGUAbABlAGMAdAByAGkAYwBpAHQAeQBcACIALAAgAFwAIgBrAGcAIABDAE8AMgBlAC8AawBXAGgAXAAiACwAIABcACIAQwBvAG4AcwB0AGEAbgB0AFwAIgA7AFwAbgAgACAAIAAgACAAIAAgACAAIAAgAFwAIgBnAFwAIgAsACAAXAAiAEcAcgBpAGQAIABlAGwAZQBjAHQAcgBpAGMAaQB0AHkAIAB3AGEAcwAgAHAAdQByAGMAaABhAHMAZQBkACAAZgByAG8AbQBcACIALAAgAFwAIgBcACIALAAgAFwAIgBJAG4AcAB1AHQAXAAiAFwAbgAgACAAIAAgACAAIAAgACAAfQAsACAAcgAsACAAYwApAFwAbgAgACAAIAAgACAAIAApAFwAbgAgACAAIAAgACkAXABuACAAIAApADsAXABuAFwAbgBWAEUARQBSAEcAXwAxADQAXwAxAF8AMQBfAF8AMQBfAEwAbwBjAGEAdABpAG8AbgBCAGEAcwBlAGQAUwBjAG8AcABlAEUAbABlAGMAdAByAGkAYwBpAHQAeQBFAG0AaQBzAHMAaQBvAG4AcwBfAFYAYQByAGkAYQB0AGkAbwBuAFwAbgAgACAAPQBMAEEATQBCAEQAQQAoAFwAIgBBAGQAZABlAGQAIABnACAAdgBhAHIAaQBhAGIAbABlACAAdABvACAAYwBhAHAAdAB1AHIAZQAgAHcAaABpAGMAaAAgAGcAcgBpAGQAIABlAGwAZQBjAHQAcgBpAGMAaQB0AHkAIAB3AGEAcwAgAHAAdQByAGMAaABhAHMAZQBkACAAZgByAG8AbQBcACIAKQA7AFwAbgBcAG4ALwAqAFwAbgAtAC0ALQAtAC0ALQAtAC0ALQAtAC0ALQAtAC0ALQAtAC0ALQAtAC0ALQAtAC0ALQAtAC0ALQAtAC0ALQAtAC0ALQAtAC0ALQAtAC0AXABuAFYARQBFAFIARwBfADEANABfADEAXwAyAF8AXwAxAF8ATQBhAHIAawBlAHQAQgBhAHMAZQBkAFMAYwBvAHAAZQBFAGwAZQBjAHQAcgBpAGMAaQB0AHkARQBtAGkAcwBzAGkAbwBuAHMAXABuAE0AYQByAGsAZQB0AC0AYgBhAHMAZQBkACAAUwBjAG8AcABlACAAMgAgAGUAbQBpAHMAcwBpAG8AbgBzACAAZgByAG8AbQAgAHAAdQByAGMAaABhAHMAZQBkACAAZQBsAGUAYwB0AHIAaQBjAGkAdAB5AFwAbgBFAF8AMgBlAGwAZQBjAFwAbgB0ACAAQwBPADIAZQBcAG4ARQBfAHsAMgAsAGUAbABlAGMAfQA9ACgAKABRAF8AewBlAGwAZQBjAH0AXABcAHQAaQBtAGUAcwAoADEALQAoAFIAUABQACsASgBSAFAAUAApACkAKQAtACgAKABSAEUAQwBfAHsAcwB1AHIAcgBlAG4AZABlAHIAZQBkAH0ALQBSAEUAQwBfAHsAbwBuAHMAaQB0AGUAfQApAFwAXAB0AGkAbQBlAHMAIAAxADAAXgB7AC0AMwB9ACkAKQBcAFwAdABpAG0AZQBzACAARQBGAF8AewBSAE0ARgAyACwAZQBsAGUAYwB9AFwAXAB0AGkAbQBlAHMAIAAxADAAXgB7AC0AMwB9AFwAbgBRAF8AZQBsAGUAYwAgAD0AIABhAG0AbwB1AG4AdAAgAG8AZgAgAGUAbABlAGMAdAByAGkAYwBpAHQAeQAgAHAAdQByAGMAaABhAHMAZQBkACAAZgByAG8AbQAgAHQAaABlACAAZwByAGkAZAAgACgAawBXAGgAKQBcAG4AUgBQAFAAIAA9ACAAUgBlAG4AZQB3AGEAYgBsAGUAIABQAG8AdwBlAHIAIABQAGUAcgBjAGUAbgB0AGEAZwBlACAAdQBuAGQAZQByACAAdABoAGUAIABMAGEAcgBnAGUALQBzAGMAYQBsAGUAIABSAGUAbgBlAHcAYQBiAGwAZQAgAEUAbgBlAHIAZwB5ACAAVABhAHIAZwBlAHQAIAAoAEwAUgBFAFQAKQAgAGYAbwByACAAdABoAGUAIABhAHAAcABsAGkAYwBhAGIAbABlACAAcABlAHIAaQBvAGQAIAAoAHAAZQByACAAYwBlAG4AdAApAFwAbgBKAFIAUABQACAAPQAgAGoAdQByAGkAcwBkAGkAYwB0AGkAbwBuAGEAbAAgAHIAZQBuAGUAdwBhAGIAbABlACAAcABvAHcAZQByACAAcABlAHIAYwBlAG4AdABhAGcAZQAgAGYAbwByACAAdABoAGUAIABhAHAAcABsAGkAYwBhAGIAbABlACAAcABlAHIAaQBvAGQAIAAoAG8AbgBsAHkAIABhAHAAcABsAGkAZQBzACAAdABvACAAdABoAGUAIABBAEMAVAApACAAKABwAGUAcgAgAGMAZQBuAHQAKQBcAG4AUgBFAEMAXwBzAHUAcgByAGUAbgBkAGUAcgBlAGQAIAA9ACAAbgB1AG0AYgBlAHIAIABvAGYAIABlAGwAaQBnAGkAYgBsAGUAIABSAGUAbgBlAHcAYQBiAGwAZQAgAEUAbgBlAHIAZwB5ACAAQwBlAHIAdABpAGYAaQBjAGEAdABlAHMAIAB2AG8AbAB1AG4AdABhAHIAaQBsAHkAIABzAHUAcgByAGUAbgBkAGUAcgBlAGQAIABpAG4AIAB0AGgAZQAgAHIAZQBwAG8AcgB0AGkAbgBnACAAeQBlAGEAcgAgAGUAcQB1AGkAdgBhAGwAZQBuAHQAIAB0AG8AIABtAGUAZwBhAHcAYQB0AHQAIABoAG8AdQByAHMAIAAoAE0AVwBoACkAXABuAFIARQBDAF8AbwBuAHMAaQB0AGUAIAA9ACAAbgB1AG0AYgBlAHIAIABvAGYAIABlAGwAaQBnAGkAYgBsAGUAIABSAGUAbgBlAHcAYQBiAGwAZQAgAEUAbgBlAHIAZwB5ACAAQwBlAHIAdABpAGYAaQBjAGEAdABlAHMAIAB0AGgAYQB0ACAAaABhAHYAZQAgAGIAZQBlAG4AIABvAHIAIAB3AGkAbABsACAAYgBlACAAaQBzAHMAdQBlAGQAIABmAG8AcgAgAGUAbABlAGMAdAByAGkAYwBpAHQAeQAgAHAAcgBvAGQAdQBjAGUAZAAgAG8AbgAtAHMAaQB0AGUAIABkAHUAcgBpAG4AZwAgAHQAaABlACAAeQBlAGEAcgAgAGEAbgBkACAAYwBvAG4AcwB1AG0AZQBkACAAYgB5ACAAdABoAGUAIABlAG4AdABpAHQAeQAgAGUAcQB1AGkAdgBhAGwAZQBuAHQAIAB0AG8AIABtAGUAZwBhAHcAYQB0AHQAIABoAG8AdQByAHMAIAAoAE0AVwBoACkAXABuAEUARgBfAFIATQBGADIAZQBsAGUAYwAgAD0AIABTAGMAbwBwAGUAIAAyACAAcgBlAHMAaQBkAHUAYQBsACAAbQBpAHgAIABlAG0AaQBzAHMAaQBvAG4AIABmAGEAYwB0AG8AcgAgAGYAbwByACAAZQBsAGUAYwB0AHIAaQBjAGkAdAB5ACAAKABrAGcAIABDAE8AMgBlAC8AawBXAGgAKQBcAG4ALQAtAC0ALQAtAC0ALQAtAC0ALQAtAC0ALQAtAC0ALQAtAC0ALQAtAC0ALQAtAC0ALQAtAC0ALQAtAC0ALQAtAC0ALQAtAC0ALQAtAFwAbgAqAC8AXABuAFwAbgBWAEUARQBSAEcAXwAxADQAXwAxAF8AMgBfAF8AMQBfAE0AYQByAGsAZQB0AEIAYQBzAGUAZABTAGMAbwBwAGUARQBsAGUAYwB0AHIAaQBjAGkAdAB5AEUAbQBpAHMAcwBpAG8AbgBzAFwAbgAgACAAPQBMAEEATQBCAEQAQQAoAFwAbgAgACAAIAAgAFEAXwBlAGwAZQBjACwAIABSAFAAUAAsACAASgBSAFAAUAAsACAAUgBFAEMAXwBzAHUAcgByAGUAbgBkAGUAcgBlAGQALAAgAFIARQBDAF8AbwBuAHMAaQB0AGUALAAgAEUARgBfAFIATQBGADIAZQBsAGUAYwAsAFwAbgAgACAAIAAgACgAKABRAF8AZQBsAGUAYwAgACoAIAAoADEAIAAtACAAKABSAFAAUAAgACsAIABKAFIAUABQACkAKQApACAALQAgACgAKABSAEUAQwBfAHMAdQByAHIAZQBuAGQAZQByAGUAZAAgAC0AIABSAEUAQwBfAG8AbgBzAGkAdABlACkAIAAqACAAMQAwACAAXgAgAC0AMwApACkAIAAqACAARQBGAF8AUgBNAEYAMgBlAGwAZQBjACAAKgAgADEAMAAgAF4AIAAtADMAXABuACAAIAApADsAXABuAFwAbgBWAEUARQBSAEcAXwAxADQAXwAxAF8AMgBfAF8AMQBfAE0AYQByAGsAZQB0AEIAYQBzAGUAZABTAGMAbwBwAGUARQBsAGUAYwB0AHIAaQBjAGkAdAB5AEUAbQBpAHMAcwBpAG8AbgBzAFYAYQByAGkAYQB0AGkAbwBuAFwAbgAgACAAPQBMAEEATQBCAEQAQQAoAFwAbgAgACAAIAAgAFEAXwBlAGwAZQBjACwAIABSAFAAUAAsACAASgBSAFAAUAAsACAAUgBFAEMAXwBzAHUAcgByAGUAbgBkAGUAcgBlAGQALAAgAFIARQBDAF8AbwBuAHMAaQB0AGUALAAgAEUARgBfAFIATQBGADIAZQBsAGUAYwAsAFwAbgAgACAAIAAgACgAKABRAF8AZQBsAGUAYwAgACoAIAAoADEAIAAtACAAKABSAFAAUAAgACsAIABKAFIAUABQACkAKQApACAALQAgACgAKABSAEUAQwBfAHMAdQByAHIAZQBuAGQAZQByAGUAZAAgAC0AIABSAEUAQwBfAG8AbgBzAGkAdABlACkAIAAqACAAMQAwACAAXgAgADMAKQApACAAKgAgAEUARgBfAFIATQBGADIAZQBsAGUAYwAgACoAIAAxADAAIABeACAALQAzAFwAbgAgACAAKQA7AFwAbgBcAG4AVgBFAEUAUgBHAF8AMQA0AF8AMQBfADIAXwBfADEAXwBNAGEAcgBrAGUAdABCAGEAcwBlAGQAUwBjAG8AcABlAEUAbABlAGMAdAByAGkAYwBpAHQAeQBFAG0AaQBzAHMAaQBvAG4AcwBfAFQAaQB0AGwAZQBcAG4AIAAgAD0ATABBAE0AQgBEAEEAKABcACIATQBhAHIAawBlAHQALQBiAGEAcwBlAGQAIABTAGMAbwBwAGUAIAAyACAAZQBtAGkAcwBzAGkAbwBuAHMAIABmAHIAbwBtACAAcAB1AHIAYwBoAGEAcwBlAGQAIABlAGwAZQBjAHQAcgBpAGMAaQB0AHkAXAAiACkAOwBcAG4AXABuAFYARQBFAFIARwBfADEANABfADEAXwAyAF8AXwAxAF8ATQBhAHIAawBlAHQAQgBhAHMAZQBkAFMAYwBvAHAAZQBFAGwAZQBjAHQAcgBpAGMAaQB0AHkARQBtAGkAcwBzAGkAbwBuAHMAXwBWAGEAcgBpAGEAYgBsAGUAXABuACAAIAA9AEwAQQBNAEIARABBACgAXAAiAEUAXwAyAGUAbABlAGMAXAAiACkAOwBcAG4AXABuAFYARQBFAFIARwBfADEANABfADEAXwAyAF8AXwAxAF8ATQBhAHIAawBlAHQAQgBhAHMAZQBkAFMAYwBvAHAAZQBFAGwAZQBjAHQAcgBpAGMAaQB0AHkARQBtAGkAcwBzAGkAbwBuAHMAXwBVAG4AaQB0AFwAbgAgACAAPQBMAEEATQBCAEQAQQAoAFwAIgB0ACAAQwBPADIAZQBcACIAKQA7AFwAbgBcAG4AVgBFAEUAUgBHAF8AMQA0AF8AMQBfADIAXwBfADEAXwBNAGEAcgBrAGUAdABCAGEAcwBlAGQAUwBjAG8AcABlAEUAbABlAGMAdAByAGkAYwBpAHQAeQBFAG0AaQBzAHMAaQBvAG4AcwBfAFMAbwB1AHIAYwBlAFwAbgAgACAAPQBMAEEATQBCAEQAQQAoAFwAIgBWAEUARQBSAEcAIAAyADAAMgA2ADoAIAAxADQALgAxAC4AMgAsACAARQBxAHUAYQB0AGkAbwBuACAAKAAxACkAXAAiACkAOwBcAG4AXABuAFYARQBFAFIARwBfADEANABfADEAXwAyAF8AXwAxAF8ATQBhAHIAawBlAHQAQgBhAHMAZQBkAFMAYwBvAHAAZQBFAGwAZQBjAHQAcgBpAGMAaQB0AHkARQBtAGkAcwBzAGkAbwBuAHMAXwBOAEkAUgBSAGUAZgBlAHIAZQBuAGMAZQBcAG4AIAAgAD0ATABBAE0AQgBEAEEAKABcACIAXAAiACkAOwBcAG4AXABuAFYARQBFAFIARwBfADEANABfADEAXwAyAF8AXwAxAF8ATQBhAHIAawBlAHQAQgBhAHMAZQBkAFMAYwBvAHAAZQBFAGwAZQBjAHQAcgBpAGMAaQB0AHkARQBtAGkAcwBzAGkAbwBuAHMAXwBMAGEAdABlAHgARQBxAHUAYQB0AGkAbwBuAFwAbgAgACAAPQBMAEEATQBCAEQAQQAoAFwAIgBFAF8AewAyACwAZQBsAGUAYwB9AD0AKABRAF8AewBlAGwAZQBjAH0AIABcAFwAdABpAG0AZQBzACAAKAAxAC0AKABSAFAAUAArAEoAUgBQAFAAKQApACAALQAgACgAKABSAEUAQwBfAHsAcwB1AHIAcgBlAG4AZABlAHIAZQBkAH0ALQBSAEUAQwBfAHsAbwBuAHMAaQB0AGUAfQApAFwAXAB0AGkAbQBlAHMAIAAxADAAXgB7AC0AMwB9ACkAKQAgAFwAXAB0AGkAbQBlAHMAIABFAEYAXwB7AFIATQBGADIALABlAGwAZQBjAH0AIABcAFwAdABpAG0AZQBzACAAMQAwAF4AewAtADMAfQBcACIAKQA7AFwAbgBcAG4AVgBFAEUAUgBHAF8AMQA0AF8AMQBfADIAXwBfADEAXwBNAGEAcgBrAGUAdABCAGEAcwBlAGQAUwBjAG8AcABlAEUAbABlAGMAdAByAGkAYwBpAHQAeQBFAG0AaQBzAHMAaQBvAG4AcwBWAGEAcgBpAGEAdABpAG8AbgBfAEwAYQB0AGUAeABFAHEAdQBhAHQAaQBvAG4AXABuACAAIAA9AEwAQQBNAEIARABBACgAXAAiAEUAXwB7ADIALABlAGwAZQBjAH0APQAoAFEAXwB7AGUAbABlAGMAfQAgAFwAXAB0AGkAbQBlAHMAIAAoADEALQAoAFIAUABQACsASgBSAFAAUAApACkAIAAtACAAKAAoAFIARQBDAF8AewBzAHUAcgByAGUAbgBkAGUAcgBlAGQAfQAtAFIARQBDAF8AewBvAG4AcwBpAHQAZQB9ACkAXABcAHQAaQBtAGUAcwAgADEAMABeAHsAMwB9ACkAKQAgAFwAXAB0AGkAbQBlAHMAIABFAEYAXwB7AFIATQBGADIALABlAGwAZQBjAH0AIABcAFwAdABpAG0AZQBzACAAMQAwAF4AewAtADMAfQBcACIAKQA7AFwAbgBcAG4AVgBFAEUAUgBHAF8AMQA0AF8AMQBfADIAXwBfADEAXwBNAGEAcgBrAGUAdABCAGEAcwBlAGQAUwBjAG8AcABlAEUAbABlAGMAdAByAGkAYwBpAHQAeQBFAG0AaQBzAHMAaQBvAG4AcwBfAEEAcgBnAHUAbQBlAG4AdABzAFwAbgAgACAAPQBMAEEATQBCAEQAQQAoAFwAbgAgACAAIAAgAE0AQQBLAEUAQQBSAFIAQQBZACgANw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FIAUABQAFwAIgAsACAAXAAiAFIAZQBuAGUAdwBhAGIAbABlACAAUABvAHcAZQByACAAUABlAHIAYwBlAG4AdABhAGcAZQAgAHUAbgBkAGUAcgAgAHQAaABlACAATABhAHIAZwBlAC0AcwBjAGEAbABlACAAUgBlAG4AZQB3AGEAYgBsAGUAIABFAG4AZQByAGcAeQAgAFQAYQByAGcAZQB0ACAAKABMAFIARQBUACkAXAAiACwAIABcACIAcABlAHIAIABjAGUAbgB0AFwAIgAsACAAXAAiAEkAbgBwAHUAdABcACIAOwBcAG4AIAAgACAAIAAgACAAIAAgACAAIABcACIASgBSAFAAUABcACIALAAgAFwAIgBqAHUAcgBpAHMAZABpAGMAdABpAG8AbgBhAGwAIAByAGUAbgBlAHcAYQBiAGwAZQAgAHAAbwB3AGUAcgAgAHAAZQByAGMAZQBuAHQAYQBnAGUAIABmAG8AcgAgAHQAaABlACAAYQBwAHAAbABpAGMAYQBiAGwAZQAgAHAAZQByAGkAbwBkACAAKABBAEMAVAAgAG8AbgBsAHkAKQBcACIALAAgAFwAIgBwAGUAcgAgAGMAZQBuAHQAXAAiACwAIABcACIASQBuAHAAdQB0AFwAIgA7AFwAbgAgACAAIAAgACAAIAAgACAAIAAgAFwAIgBSAEUAQwBfAHMAdQByAHIAZQBuAGQAZQByAGUAZABcACIALAAgAFwAIgBSAGUAbgBlAHcAYQBiAGwAZQAgAEUAbgBlAHIAZwB5ACAAQwBlAHIAdABpAGYAaQBjAGEAdABlAHMAIAB2AG8AbAB1AG4AdABhAHIAaQBsAHkAIABzAHUAcgByAGUAbgBkAGUAcgBlAGQAIABpAG4AIAB0AGgAZQAgAHIAZQBwAG8AcgB0AGkAbgBnACAAeQBlAGEAcgBcACIALAAgAFwAIgBNAFcAaABcACIALAAgAFwAIgBJAG4AcAB1AHQAXAAiADsAXABuACAAIAAgACAAIAAgACAAIAAgACAAXAAiAFIARQBDAF8AbwBuAHMAaQB0AGUAXAAiACwAIABcACIAUgBlAG4AZQB3AGEAYgBsAGUAIABFAG4AZQByAGcAeQAgAEMAZQByAHQAaQBmAGkAYwBhAHQAZQBzACAAaQBzAHMAdQBlAGQAIABmAG8AcgAgAGUAbABlAGMAdAByAGkAYwBpAHQAeQAgAHAAcgBvAGQAdQBjAGUAZAAgAG8AbgAtAHMAaQB0AGUAIABkAHUAcgBpAG4AZwAgAHQAaABlACAAeQBlAGEAcgAgAGEAbgBkACAAYwBvAG4AcwB1AG0AZQBkACAAYgB5ACAAdABoAGUAIABlAG4AdABpAHQAeQBcACIALAAgAFwAIgBNAFcAaABcACIALAAgAFwAIgBJAG4AcAB1AHQAXAAiADsAXABuACAAIAAgACAAIAAgACAAIAAgACAAXAAiAEUARgBfAFIATQBGADIAZQBsAGUAYwBcACIALAAgAFwAIgBTAGMAbwBwAGUAIAAyACAAcgBlAHMAaQBkAHUAYQBsACAAbQBpAHgAIABlAG0AaQBzAHMAaQBvAG4AIABmAGEAYwB0AG8AcgAgAGYAbwByACAAZQBsAGUAYwB0AHIAaQBjAGkAdAB5AFwAIgAsACAAXAAiAGsAZwAgAEMATwAyAGUALwBrAFcAaABcACIALAAgAFwAIgBDAG8AbgBzAHQAYQBuAHQAXAAiADsAXABuACAAIAAgACAAIAAgACAAIAAgACAAXAAiAGkAXAAiACwAIABcACIAcwB0AGEAdABlAFwAIgAsACAAXAAiAFwAIgAsACAAXAAiAEkAbgBwAHUAdABcACIAXABuACAAIAAgACAAIAAgACAAIAB9ACwAIAByACwAIABjACkAXABuACAAIAAgACAAIAAgACkAXABuACAAIAAgACAAKQBcAG4AIAAgACkAOwBcAG4AXABuAFYARQBFAFIARwBfADEANABfADEAXwAyAF8AXwAxAF8ATQBhAHIAawBlAHQAQgBhAHMAZQBkAFMAYwBvAHAAZQBFAGwAZQBjAHQAcgBpAGMAaQB0AHkARQBtAGkAcwBzAGkAbwBuAHMAXwBWAGEAcgBpAGEAdABpAG8AbgBcAG4AIAAgAD0ATABBAE0AQgBEAEEAKABcACIAVgBBAFIASQBBAFQASQBPAE4AIABPAE4AIABTAE8AVQBSAEMARQA6ACAASQBuACAAbwByAGQAZQByACAAdABvACAAYwBvAG4AdgBlAHIAdAAgAG0AZQBnAGEAdwBhAHQAdAAgAGgAbwB1AHIAcwAgAHQAbwAgAGsAaQBsAG8AdwBhAHQAdAAgAGgAbwB1AHIAcwAsACAAdABoAGUAIABSAEUAQwBfAHMAdQByAHIAZQBuAGQAZQByAGUAZAAgAGEAbgBkACAAUgBFAEMAXwBvAG4AcwBpAHQAZQAgAHYAYQByAGkAYQBiAGwAZQBzACAAYQByAGUAIABtAHUAbAB0AGkAcABsAGkAZQBkACAAYgB5ACAAMQAwAF4AMwAgAGkAbgBzAHQAZQBhAGQAIABvAGYAIAAxADAAXgAtADMALgBcACI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UwBvAHUAcgBjAGUARABhAHQAYQAuAEMAbwBtAG0AbwBuAF8AUwBvAHUAcgBjAGUARABhAHQAYQBfAEUARgBPAHIAZwBhAG4AaQBjAEYAZQByAHQAaQBsAGkAcwBlAHIAQQBuAGQAQwByAG8AcABSAGUAcwBpAGQAdQBlAHMAXwBUAGkAdABsAGUAIgAsACIAQwBvAG0AbQBvAG4AXwBTAG8AdQByAGMAZQBEAGEAdABhAC4AQwBvAG0AbQBvAG4AXwBTAG8AdQByAGMAZQBEAGEAdABhAF8ARQBGAE8AcgBnAGEAbgBpAGMARgBlAHIAdABpAGwAaQBzAGUAcgBBAG4AZABDAHIAbwBwAFIAZQBzAGkAZAB1AGUAcwBfAFYAYQByAGkAYQBiAGwAZQAiACwAIgBDAG8AbQBtAG8AbgBfAFMAbwB1AHIAYwBlAEQAYQB0AGEALgBDAG8AbQBtAG8AbgBfAFMAbwB1AHIAYwBlAEQAYQB0AGEAXwBFAEYATwByAGcAYQBuAGkAYwBGAGUAcgB0AGkAbABpAHMAZQByAEEAbgBkAEMAcgBvAHAAUgBlAHMAaQBkAHUAZQBzAF8AVQBuAGkAdAAiACwAIgBDAG8AbQBtAG8AbgBfAFMAbwB1AHIAYwBlAEQAYQB0AGEALgBDAG8AbQBtAG8AbgBfAFMAbwB1AHIAYwBlAEQAYQB0AGEAXwBFAEYATwByAGcAYQBuAGkAYwBGAGUAcgB0AGkAbABpAHMAZQByAEEAbgBkAEMAcgBvAHAAUgBlAHMAaQBkAHUAZQBzAF8AUwBvAHUAcgBjAGUAIgAsACIAQwBvAG0AbQBvAG4AXwBTAG8AdQByAGMAZQBEAGEAdABhAC4AQwBvAG0AbQBvAG4AXwBTAG8AdQByAGMAZQBEAGEAdABhAF8ARQBGAE8AcgBnAGEAbgBpAGMARgBlAHIAdABpAGwAaQBzAGUAcgBBAG4AZABDAHIAbwBwAFIAZQBzAGkAZAB1AGUAcwBfAE4ASQBSAFIAZQBmAGUAcgBlAG4AYwBlACIALAAiAEMAbwBtAG0AbwBuAF8AUwBvAHUAcgBjAGUARABhAHQAYQAuAEMAbwBtAG0AbwBuAF8AUwBvAHUAcgBjAGUARABhAHQAYQBfAEUARgBPAHIAZwBhAG4AaQBjAEYAZQByAHQAaQBsAGkAcwBlAHIAQQBuAGQAQwByAG8AcABSAGUAcwBpAGQAdQBlAHMAXwBEAGEAdABhACIALAAiAEMAbwBtAG0AbwBuAF8AUwBvAHUAcgBjAGUARABhAHQAYQAuAEMAbwBtAG0AbwBuAF8AUwBvAHUAcgBjAGUARABhAHQAYQBfAEUARgBPAHIAZwBhAG4AaQBjAEYAZQByAHQAaQBsAGkAcwBlAHIAQQBuAGQAQwByAG8AcABSAGUAcwBpAGQAdQBl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RQBsAGUAYwB0AHIAaQBjAGkAdAB5AF8AUwBvAHUAcgBjAGUARABhAHQAYQAuAEUAbABlAGMAdAByAGkAYwBpAHQAeQBfAFMAYwBvAHAAZQAyAFMAYwBvAHAAZQAzAEwAbwBjAGEAdABpAG8AbgBCAGEAcwBlAGQAXwBUAGkAdABsAGUAIgAsACIARQBsAGUAYwB0AHIAaQBjAGkAdAB5AF8AUwBvAHUAcgBjAGUARABhAHQAYQAuAEUAbABlAGMAdAByAGkAYwBpAHQAeQBfAFMAYwBvAHAAZQAyAEwAbwBjAGEAdABpAG8AbgBCAGEAcwBlAGQAXwBEAGUAcwBjAHIAaQBwAHQAaQBvAG4AIgAsACIARQBsAGUAYwB0AHIAaQBjAGkAdAB5AF8AUwBvAHUAcgBjAGUARABhAHQAYQAuAEUAbABlAGMAdAByAGkAYwBpAHQAeQBfAFMAYwBvAHAAZQAyAFMAYwBvAHAAZQAzAEwAbwBjAGEAdABpAG8AbgBCAGEAcwBlAGQAXwBTAG8AdQByAGMAZQAiACwAIgBFAGwAZQBjAHQAcgBpAGMAaQB0AHkAXwBTAG8AdQByAGMAZQBEAGEAdABhAC4ARQBsAGUAYwB0AHIAaQBjAGkAdAB5AF8AUwBjAG8AcABlADIAUwBjAG8AcABlADMATABvAGMAYQB0AGkAbwBuAEIAYQBzAGUAZABfAEQAYQB0AGEAIgAsACIARQBsAGUAYwB0AHIAaQBjAGkAdAB5AF8AUwBvAHUAcgBjAGUARABhAHQAYQAuAEUAbABlAGMAdAByAGkAYwBpAHQAeQBfAFMAYwBvAHAAZQAyAFMAYwBvAHAAZQAzAEwAbwBjAGEAdABpAG8AbgBCAGEAcwBlAGQAXwBWAGEAcgBpAGEAdABpAG8AbgAiACwAIgBFAGwAZQBjAHQAcgBpAGMAaQB0AHkAXwBTAG8AdQByAGMAZQBEAGEAdABhAC4ARQBsAGUAYwB0AHIAaQBjAGkAdAB5AF8AUwBjAG8AcABlADIAUwBjAG8AcABlADMATQBhAHIAawBlAHQAQgBhAHMAZQBkAF8AVABpAHQAbABlACIALAAiAEUAbABlAGMAdAByAGkAYwBpAHQAeQBfAFMAbwB1AHIAYwBlAEQAYQB0AGEALgBFAGwAZQBjAHQAcgBpAGMAaQB0AHkAXwBTAGMAbwBwAGUAMgBNAGEAcgBrAGUAdABCAGEAcwBlAGQAXwBEAGUAcwBjAHIAaQBwAHQAaQBvAG4AIgAsACIARQBsAGUAYwB0AHIAaQBjAGkAdAB5AF8AUwBvAHUAcgBjAGUARABhAHQAYQAuAEUAbABlAGMAdAByAGkAYwBpAHQAeQBfAFMAYwBvAHAAZQAyAFMAYwBvAHAAZQAzAE0AYQByAGsAZQB0AEIAYQBzAGUAZABfAFMAbwB1AHIAYwBlACIALAAiAEUAbABlAGMAdAByAGkAYwBpAHQAeQBfAFMAbwB1AHIAYwBlAEQAYQB0AGEALgBFAGwAZQBjAHQAcgBpAGMAaQB0AHkAXwBTAGMAbwBwAGUAMgBTAGMAbwBwAGUAMwBNAGEAcgBrAGUAdABCAGEAcwBlAGQAXwBEAGEAdABhACIALAAiAEUAbABlAGMAdAByAGkAYwBpAHQAeQBfAFMAbwB1AHIAYwBlAEQAYQB0AGEALgBFAGwAZQBjAHQAcgBpAGMAaQB0AHkAXwBTAGMAbwBwAGUAMgBTAGMAbwBwAGUAMwBNAGEAcgBrAGUAdABCAGEAcwBlAGQAXwBWAGEAcgBpAGEAdABpAG8AbgAiACwAIgBFAGwAZQBjAHQAcgBpAGMAaQB0AHkAXwBFAHEAdQBhAHQAaQBvAG4AcwAuAFYARQBFAFIARwBfADEANABfADEAXwAxAF8AXwAxAF8ATABvAGMAYQB0AGkAbwBuAEIAYQBzAGUAZABTAGMAbwBwAGUARQBsAGUAYwB0AHIAaQBjAGkAdAB5AEUAbQBpAHMAcwBpAG8AbgBzACIALAAiAEUAbABlAGMAdAByAGkAYwBpAHQAeQBfAEUAcQB1AGEAdABpAG8AbgBzAC4AVgBFAEUAUgBHAF8AMQA0AF8AMQBfADEAXwBfADEAXwBMAG8AYwBhAHQAaQBvAG4AQgBhAHMAZQBkAFMAYwBvAHAAZQBFAGwAZQBjAHQAcgBpAGMAaQB0AHkARQBtAGkAcwBzAGkAbwBuAHMAXwBUAGkAdABsAGUAIgAsACIARQBsAGUAYwB0AHIAaQBjAGkAdAB5AF8ARQBxAHUAYQB0AGkAbwBuAHMALgBWAEUARQBSAEcAXwAxADQAXwAxAF8AMQBfAF8AMQBfAEwAbwBjAGEAdABpAG8AbgBCAGEAcwBlAGQAUwBjAG8AcABlAEUAbABlAGMAdAByAGkAYwBpAHQAeQBFAG0AaQBzAHMAaQBvAG4AcwBfAFYAYQByAGkAYQBiAGwAZQAiACwAIgBFAGwAZQBjAHQAcgBpAGMAaQB0AHkAXwBFAHEAdQBhAHQAaQBvAG4AcwAuAFYARQBFAFIARwBfADEANABfADEAXwAxAF8AXwAxAF8ATABvAGMAYQB0AGkAbwBuAEIAYQBzAGUAZABTAGMAbwBwAGUARQBsAGUAYwB0AHIAaQBjAGkAdAB5AEUAbQBpAHMAcwBpAG8AbgBzAF8AVQBuAGkAdAAiACwAIgBFAGwAZQBjAHQAcgBpAGMAaQB0AHkAXwBFAHEAdQBhAHQAaQBvAG4AcwAuAFYARQBFAFIARwBfADEANABfADEAXwAxAF8AXwAxAF8ATABvAGMAYQB0AGkAbwBuAEIAYQBzAGUAZABTAGMAbwBwAGUARQBsAGUAYwB0AHIAaQBjAGkAdAB5AEUAbQBpAHMAcwBpAG8AbgBzAF8AUwBvAHUAcgBjAGUAIgAsACIARQBsAGUAYwB0AHIAaQBjAGkAdAB5AF8ARQBxAHUAYQB0AGkAbwBuAHMALgBWAEUARQBSAEcAXwAxADQAXwAxAF8AMQBfAF8AMQBfAEwAbwBjAGEAdABpAG8AbgBCAGEAcwBlAGQAUwBjAG8AcABlAEUAbABlAGMAdAByAGkAYwBpAHQAeQBFAG0AaQBzAHMAaQBvAG4AcwBfAE4ASQBSAFIAZQBmAGUAcgBlAG4AYwBlACIALAAiAEUAbABlAGMAdAByAGkAYwBpAHQAeQBfAEUAcQB1AGEAdABpAG8AbgBzAC4AVgBFAEUAUgBHAF8AMQA0AF8AMQBfADEAXwBfADEAXwBMAG8AYwBhAHQAaQBvAG4AQgBhAHMAZQBkAFMAYwBvAHAAZQBFAGwAZQBjAHQAcgBpAGMAaQB0AHkARQBtAGkAcwBzAGkAbwBuAHMAXwBMAGEAdABlAHgARQBxAHUAYQB0AGkAbwBuACIALAAiAEUAbABlAGMAdAByAGkAYwBpAHQAeQBfAEUAcQB1AGEAdABpAG8AbgBzAC4AVgBFAEUAUgBHAF8AMQA0AF8AMQBfADEAXwBfADEAXwBMAG8AYwBhAHQAaQBvAG4AQgBhAHMAZQBkAFMAYwBvAHAAZQBFAGwAZQBjAHQAcgBpAGMAaQB0AHkARQBtAGkAcwBzAGkAbwBuAHMAXwBBAHIAZwB1AG0AZQBuAHQAcwAiACwAIgBFAGwAZQBjAHQAcgBpAGMAaQB0AHkAXwBFAHEAdQBhAHQAaQBvAG4AcwAuAFYARQBFAFIARwBfADEANABfADEAXwAxAF8AXwAxAF8ATABvAGMAYQB0AGkAbwBuAEIAYQBzAGUAZABTAGMAbwBwAGUARQBsAGUAYwB0AHIAaQBjAGkAdAB5AEUAbQBpAHMAcwBpAG8AbgBzAF8AVgBhAHIAaQBhAHQAaQBvAG4AIgAsACIARQBsAGUAYwB0AHIAaQBjAGkAdAB5AF8ARQBxAHUAYQB0AGkAbwBuAHMALgBWAEUARQBSAEcAXwAxADQAXwAxAF8AMgBfAF8AMQBfAE0AYQByAGsAZQB0AEIAYQBzAGUAZABTAGMAbwBwAGUARQBsAGUAYwB0AHIAaQBjAGkAdAB5AEUAbQBpAHMAcwBpAG8AbgBzACIALAAiAEUAbABlAGMAdAByAGkAYwBpAHQAeQBfAEUAcQB1AGEAdABpAG8AbgBzAC4AVgBFAEUAUgBHAF8AMQA0AF8AMQBfADIAXwBfADEAXwBNAGEAcgBrAGUAdABCAGEAcwBlAGQAUwBjAG8AcABlAEUAbABlAGMAdAByAGkAYwBpAHQAeQBFAG0AaQBzAHMAaQBvAG4AcwBWAGEAcgBpAGEAdABpAG8AbgAiACwAIgBFAGwAZQBjAHQAcgBpAGMAaQB0AHkAXwBFAHEAdQBhAHQAaQBvAG4AcwAuAFYARQBFAFIARwBfADEANABfADEAXwAyAF8AXwAxAF8ATQBhAHIAawBlAHQAQgBhAHMAZQBkAFMAYwBvAHAAZQBFAGwAZQBjAHQAcgBpAGMAaQB0AHkARQBtAGkAcwBzAGkAbwBuAHMAXwBUAGkAdABsAGUAIgAsACIARQBsAGUAYwB0AHIAaQBjAGkAdAB5AF8ARQBxAHUAYQB0AGkAbwBuAHMALgBWAEUARQBSAEcAXwAxADQAXwAxAF8AMgBfAF8AMQBfAE0AYQByAGsAZQB0AEIAYQBzAGUAZABTAGMAbwBwAGUARQBsAGUAYwB0AHIAaQBjAGkAdAB5AEUAbQBpAHMAcwBpAG8AbgBzAF8AVgBhAHIAaQBhAGIAbABlACIALAAiAEUAbABlAGMAdAByAGkAYwBpAHQAeQBfAEUAcQB1AGEAdABpAG8AbgBzAC4AVgBFAEUAUgBHAF8AMQA0AF8AMQBfADIAXwBfADEAXwBNAGEAcgBrAGUAdABCAGEAcwBlAGQAUwBjAG8AcABlAEUAbABlAGMAdAByAGkAYwBpAHQAeQBFAG0AaQBzAHMAaQBvAG4AcwBfAFUAbgBpAHQAIgAsACIARQBsAGUAYwB0AHIAaQBjAGkAdAB5AF8ARQBxAHUAYQB0AGkAbwBuAHMALgBWAEUARQBSAEcAXwAxADQAXwAxAF8AMgBfAF8AMQBfAE0AYQByAGsAZQB0AEIAYQBzAGUAZABTAGMAbwBwAGUARQBsAGUAYwB0AHIAaQBjAGkAdAB5AEUAbQBpAHMAcwBpAG8AbgBzAF8AUwBvAHUAcgBjAGUAIgAsACIARQBsAGUAYwB0AHIAaQBjAGkAdAB5AF8ARQBxAHUAYQB0AGkAbwBuAHMALgBWAEUARQBSAEcAXwAxADQAXwAxAF8AMgBfAF8AMQBfAE0AYQByAGsAZQB0AEIAYQBzAGUAZABTAGMAbwBwAGUARQBsAGUAYwB0AHIAaQBjAGkAdAB5AEUAbQBpAHMAcwBpAG8AbgBzAF8ATgBJAFIAUgBlAGYAZQByAGUAbgBjAGUAIgAsACIARQBsAGUAYwB0AHIAaQBjAGkAdAB5AF8ARQBxAHUAYQB0AGkAbwBuAHMALgBWAEUARQBSAEcAXwAxADQAXwAxAF8AMgBfAF8AMQBfAE0AYQByAGsAZQB0AEIAYQBzAGUAZABTAGMAbwBwAGUARQBsAGUAYwB0AHIAaQBjAGkAdAB5AEUAbQBpAHMAcwBpAG8AbgBzAF8ATABhAHQAZQB4AEUAcQB1AGEAdABpAG8AbgAiACwAIgBFAGwAZQBjAHQAcgBpAGMAaQB0AHkAXwBFAHEAdQBhAHQAaQBvAG4AcwAuAFYARQBFAFIARwBfADEANABfADEAXwAyAF8AXwAxAF8ATQBhAHIAawBlAHQAQgBhAHMAZQBkAFMAYwBvAHAAZQBFAGwAZQBjAHQAcgBpAGMAaQB0AHkARQBtAGkAcwBzAGkAbwBuAHMAVgBhAHIAaQBhAHQAaQBvAG4AXwBMAGEAdABlAHgARQBxAHUAYQB0AGkAbwBuACIALAAiAEUAbABlAGMAdAByAGkAYwBpAHQAeQBfAEUAcQB1AGEAdABpAG8AbgBzAC4AVgBFAEUAUgBHAF8AMQA0AF8AMQBfADIAXwBfADEAXwBNAGEAcgBrAGUAdABCAGEAcwBlAGQAUwBjAG8AcABlAEUAbABlAGMAdAByAGkAYwBpAHQAeQBFAG0AaQBzAHMAaQBvAG4AcwBfAEEAcgBnAHUAbQBlAG4AdABzACIALAAiAEUAbABlAGMAdAByAGkAYwBpAHQAeQBfAEUAcQB1AGEAdABpAG8AbgBzAC4AVgBFAEUAUgBHAF8AMQA0AF8AMQBfADIAXwBfADEAXwBNAGEAcgBrAGUAdABCAGEAcwBlAGQAUwBjAG8AcABlAEUAbABlAGMAdAByAGkAYwBpAHQAeQBFAG0AaQBzAHMAaQBvAG4AcwBfAFYAYQByAGkAYQB0AGkAbwBu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13</vt:i4>
      </vt:variant>
    </vt:vector>
  </HeadingPairs>
  <TitlesOfParts>
    <vt:vector size="21" baseType="lpstr">
      <vt:lpstr>Home</vt:lpstr>
      <vt:lpstr>Overview</vt:lpstr>
      <vt:lpstr>Results</vt:lpstr>
      <vt:lpstr>Input - Site</vt:lpstr>
      <vt:lpstr>Input - Electricity</vt:lpstr>
      <vt:lpstr>14.1.1-2 Purchased electricity</vt:lpstr>
      <vt:lpstr>Constants - Electricity</vt:lpstr>
      <vt:lpstr>Constants - Common</vt:lpstr>
      <vt:lpstr>VEERG_14_1_1__1_LocationBasedScopeElectricityEmissions_Result_Method1</vt:lpstr>
      <vt:lpstr>VEERG_14_1_2__1_MarketBasedScopeElectricityEmissionsVariation_Result_Method1</vt:lpstr>
      <vt:lpstr>X_Cell_Electricity_Location_AmountPurchasedInkWh</vt:lpstr>
      <vt:lpstr>X_Cell_Electricity_Location_GridElectricityPurchasedFrom</vt:lpstr>
      <vt:lpstr>X_Cell_Electricity_Market_AmountPurchasedExcludingGreenPower</vt:lpstr>
      <vt:lpstr>X_Cell_Electricity_Market_AmountPurchasedGreenPower</vt:lpstr>
      <vt:lpstr>X_Cell_Electricity_Market_JurisdictionalRenewablePowerPercentage</vt:lpstr>
      <vt:lpstr>X_Cell_Electricity_Market_RenewablePowerPercentage</vt:lpstr>
      <vt:lpstr>X_Cell_Site_FarmName</vt:lpstr>
      <vt:lpstr>X_Cell_Site_Region</vt:lpstr>
      <vt:lpstr>X_Cell_Site_ReportingEntityName</vt:lpstr>
      <vt:lpstr>X_Cell_Site_StartDate</vt:lpstr>
      <vt:lpstr>X_Cell_Site_State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2026-06-22T05:27:23Z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