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C765922-1045-482B-B233-39AD3F5E41F8}"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M148" i="70"/>
  <c r="E150" i="70"/>
  <c r="K148" i="70"/>
  <c r="G147" i="70"/>
  <c r="M127" i="70"/>
  <c r="I126" i="70"/>
  <c r="E125" i="70"/>
  <c r="K84" i="70"/>
  <c r="G83" i="70"/>
  <c r="M63" i="70"/>
  <c r="I62" i="70"/>
  <c r="E61" i="70"/>
  <c r="E127" i="70"/>
  <c r="N126" i="70"/>
  <c r="J147" i="70"/>
  <c r="E82" i="70"/>
  <c r="N149" i="70"/>
  <c r="J148" i="70"/>
  <c r="F147" i="70"/>
  <c r="L127" i="70"/>
  <c r="H126" i="70"/>
  <c r="N85" i="70"/>
  <c r="J84" i="70"/>
  <c r="F83" i="70"/>
  <c r="L63" i="70"/>
  <c r="H62" i="70"/>
  <c r="N60" i="70"/>
  <c r="M83" i="70"/>
  <c r="L147" i="70"/>
  <c r="J83" i="70"/>
  <c r="K126" i="70"/>
  <c r="M149" i="70"/>
  <c r="I148" i="70"/>
  <c r="E147" i="70"/>
  <c r="K127" i="70"/>
  <c r="G126" i="70"/>
  <c r="M85" i="70"/>
  <c r="I84" i="70"/>
  <c r="E83" i="70"/>
  <c r="K63" i="70"/>
  <c r="G62" i="70"/>
  <c r="M60" i="70"/>
  <c r="N62" i="70"/>
  <c r="F82" i="70"/>
  <c r="I83" i="70"/>
  <c r="E173" i="70"/>
  <c r="L149" i="70"/>
  <c r="H148" i="70"/>
  <c r="N128" i="70"/>
  <c r="J127" i="70"/>
  <c r="F126" i="70"/>
  <c r="L85" i="70"/>
  <c r="H84" i="70"/>
  <c r="N82" i="70"/>
  <c r="J63" i="70"/>
  <c r="F62" i="70"/>
  <c r="L60" i="70"/>
  <c r="I128" i="70"/>
  <c r="J125" i="70"/>
  <c r="F128" i="70"/>
  <c r="E172" i="70"/>
  <c r="K149" i="70"/>
  <c r="G148" i="70"/>
  <c r="M128" i="70"/>
  <c r="I127" i="70"/>
  <c r="E126" i="70"/>
  <c r="K85" i="70"/>
  <c r="G84" i="70"/>
  <c r="M82" i="70"/>
  <c r="I63" i="70"/>
  <c r="E62" i="70"/>
  <c r="K60" i="70"/>
  <c r="G149" i="70"/>
  <c r="K125" i="70"/>
  <c r="E63" i="70"/>
  <c r="G60" i="70"/>
  <c r="F149" i="70"/>
  <c r="F85" i="70"/>
  <c r="J61" i="70"/>
  <c r="N148" i="70"/>
  <c r="H61" i="70"/>
  <c r="N150" i="70"/>
  <c r="J149" i="70"/>
  <c r="F148" i="70"/>
  <c r="L128" i="70"/>
  <c r="H127" i="70"/>
  <c r="N125" i="70"/>
  <c r="J85" i="70"/>
  <c r="F84" i="70"/>
  <c r="L82" i="70"/>
  <c r="H63" i="70"/>
  <c r="N61" i="70"/>
  <c r="J60" i="70"/>
  <c r="H82" i="70"/>
  <c r="H125" i="70"/>
  <c r="I147" i="70"/>
  <c r="G125" i="70"/>
  <c r="G61" i="70"/>
  <c r="M150" i="70"/>
  <c r="I149" i="70"/>
  <c r="E148" i="70"/>
  <c r="K128" i="70"/>
  <c r="G127" i="70"/>
  <c r="M125" i="70"/>
  <c r="I85" i="70"/>
  <c r="E84" i="70"/>
  <c r="K82" i="70"/>
  <c r="G63" i="70"/>
  <c r="M61" i="70"/>
  <c r="I60" i="70"/>
  <c r="M147" i="70"/>
  <c r="H128" i="70"/>
  <c r="N84" i="70"/>
  <c r="E128" i="70"/>
  <c r="L150" i="70"/>
  <c r="H149" i="70"/>
  <c r="N147" i="70"/>
  <c r="J128" i="70"/>
  <c r="F127" i="70"/>
  <c r="L125" i="70"/>
  <c r="H85" i="70"/>
  <c r="N83" i="70"/>
  <c r="J82" i="70"/>
  <c r="F63" i="70"/>
  <c r="L61" i="70"/>
  <c r="H60" i="70"/>
  <c r="K150" i="70"/>
  <c r="G85" i="70"/>
  <c r="I82" i="70"/>
  <c r="K61" i="70"/>
  <c r="J150" i="70"/>
  <c r="L83" i="70"/>
  <c r="F60" i="70"/>
  <c r="G150" i="70"/>
  <c r="M84" i="70"/>
  <c r="I150" i="70"/>
  <c r="E149" i="70"/>
  <c r="K147" i="70"/>
  <c r="G128" i="70"/>
  <c r="M126" i="70"/>
  <c r="I125" i="70"/>
  <c r="E85" i="70"/>
  <c r="K83" i="70"/>
  <c r="G82" i="70"/>
  <c r="M62" i="70"/>
  <c r="I61" i="70"/>
  <c r="E60" i="70"/>
  <c r="H150" i="70"/>
  <c r="L126" i="70"/>
  <c r="L62" i="70"/>
  <c r="K62" i="70"/>
  <c r="L156" i="70"/>
  <c r="L134" i="70"/>
  <c r="G158" i="70"/>
  <c r="G135" i="70"/>
  <c r="N159" i="70"/>
  <c r="N161" i="70"/>
  <c r="J154" i="70"/>
  <c r="M132" i="70"/>
  <c r="E162" i="70"/>
  <c r="H133" i="70"/>
  <c r="K156" i="70"/>
  <c r="K134" i="70"/>
  <c r="F158" i="70"/>
  <c r="F135" i="70"/>
  <c r="M159" i="70"/>
  <c r="M161" i="70"/>
  <c r="I154" i="70"/>
  <c r="L132" i="70"/>
  <c r="N162" i="70"/>
  <c r="G133" i="70"/>
  <c r="K139" i="70"/>
  <c r="G163" i="70"/>
  <c r="E140" i="70"/>
  <c r="J156" i="70"/>
  <c r="J134" i="70"/>
  <c r="H131" i="70"/>
  <c r="E135" i="70"/>
  <c r="L159" i="70"/>
  <c r="L161" i="70"/>
  <c r="H154" i="70"/>
  <c r="H138" i="70"/>
  <c r="M162" i="70"/>
  <c r="F133" i="70"/>
  <c r="J139" i="70"/>
  <c r="F163" i="70"/>
  <c r="N164" i="70"/>
  <c r="J157" i="70"/>
  <c r="E160" i="70"/>
  <c r="G142" i="70"/>
  <c r="K155" i="70"/>
  <c r="M163" i="70"/>
  <c r="G157" i="70"/>
  <c r="E141" i="70"/>
  <c r="H155" i="70"/>
  <c r="I162" i="70"/>
  <c r="N140" i="70"/>
  <c r="N141" i="70"/>
  <c r="N153" i="70"/>
  <c r="H163" i="70"/>
  <c r="K157" i="70"/>
  <c r="I156" i="70"/>
  <c r="I134" i="70"/>
  <c r="G131" i="70"/>
  <c r="N135" i="70"/>
  <c r="K159" i="70"/>
  <c r="K161" i="70"/>
  <c r="G154" i="70"/>
  <c r="G138" i="70"/>
  <c r="L162" i="70"/>
  <c r="E133" i="70"/>
  <c r="I139" i="70"/>
  <c r="E163" i="70"/>
  <c r="M164" i="70"/>
  <c r="I157" i="70"/>
  <c r="N160" i="70"/>
  <c r="F142" i="70"/>
  <c r="J155" i="70"/>
  <c r="N163" i="70"/>
  <c r="L164" i="70"/>
  <c r="H157" i="70"/>
  <c r="F141" i="70"/>
  <c r="E142" i="70"/>
  <c r="I155" i="70"/>
  <c r="G139" i="70"/>
  <c r="K164" i="70"/>
  <c r="N142" i="70"/>
  <c r="H161" i="70"/>
  <c r="K132" i="70"/>
  <c r="N138" i="70"/>
  <c r="L136" i="70"/>
  <c r="F139" i="70"/>
  <c r="J164" i="70"/>
  <c r="M157" i="70"/>
  <c r="L157" i="70"/>
  <c r="H142" i="70"/>
  <c r="H156" i="70"/>
  <c r="H134" i="70"/>
  <c r="F131" i="70"/>
  <c r="M135" i="70"/>
  <c r="N137" i="70"/>
  <c r="J161" i="70"/>
  <c r="F154" i="70"/>
  <c r="F138" i="70"/>
  <c r="K162" i="70"/>
  <c r="N136" i="70"/>
  <c r="H139" i="70"/>
  <c r="G156" i="70"/>
  <c r="G134" i="70"/>
  <c r="E131" i="70"/>
  <c r="L135" i="70"/>
  <c r="M137" i="70"/>
  <c r="I161" i="70"/>
  <c r="E154" i="70"/>
  <c r="E138" i="70"/>
  <c r="J162" i="70"/>
  <c r="M136" i="70"/>
  <c r="F156" i="70"/>
  <c r="E158" i="70"/>
  <c r="N131" i="70"/>
  <c r="K135" i="70"/>
  <c r="L137" i="70"/>
  <c r="F157" i="70"/>
  <c r="M142" i="70"/>
  <c r="I133" i="70"/>
  <c r="H160" i="70"/>
  <c r="E156" i="70"/>
  <c r="N158" i="70"/>
  <c r="M131" i="70"/>
  <c r="J135" i="70"/>
  <c r="K137" i="70"/>
  <c r="G161" i="70"/>
  <c r="J132" i="70"/>
  <c r="M138" i="70"/>
  <c r="H162" i="70"/>
  <c r="K136" i="70"/>
  <c r="E139" i="70"/>
  <c r="M140" i="70"/>
  <c r="I164" i="70"/>
  <c r="E157" i="70"/>
  <c r="M141" i="70"/>
  <c r="L142" i="70"/>
  <c r="M153" i="70"/>
  <c r="L153" i="70"/>
  <c r="L133" i="70"/>
  <c r="J140" i="70"/>
  <c r="K160" i="70"/>
  <c r="J153" i="70"/>
  <c r="L139" i="70"/>
  <c r="I142" i="70"/>
  <c r="F153" i="70"/>
  <c r="N156" i="70"/>
  <c r="M158" i="70"/>
  <c r="L131" i="70"/>
  <c r="J159" i="70"/>
  <c r="J137" i="70"/>
  <c r="F161" i="70"/>
  <c r="I132" i="70"/>
  <c r="L138" i="70"/>
  <c r="N133" i="70"/>
  <c r="J136" i="70"/>
  <c r="N139" i="70"/>
  <c r="L140" i="70"/>
  <c r="H164" i="70"/>
  <c r="M160" i="70"/>
  <c r="L141" i="70"/>
  <c r="K142" i="70"/>
  <c r="K153" i="70"/>
  <c r="L163" i="70"/>
  <c r="J141" i="70"/>
  <c r="I163" i="70"/>
  <c r="F140" i="70"/>
  <c r="M156" i="70"/>
  <c r="L158" i="70"/>
  <c r="K131" i="70"/>
  <c r="I159" i="70"/>
  <c r="I137" i="70"/>
  <c r="E161" i="70"/>
  <c r="H132" i="70"/>
  <c r="K138" i="70"/>
  <c r="M133" i="70"/>
  <c r="I136" i="70"/>
  <c r="M139" i="70"/>
  <c r="K140" i="70"/>
  <c r="G164" i="70"/>
  <c r="L160" i="70"/>
  <c r="K141" i="70"/>
  <c r="J142" i="70"/>
  <c r="F134" i="70"/>
  <c r="K158" i="70"/>
  <c r="J131" i="70"/>
  <c r="H159" i="70"/>
  <c r="H137" i="70"/>
  <c r="N154" i="70"/>
  <c r="G132" i="70"/>
  <c r="J138" i="70"/>
  <c r="H136" i="70"/>
  <c r="F164" i="70"/>
  <c r="G155" i="70"/>
  <c r="G140" i="70"/>
  <c r="G141" i="70"/>
  <c r="E153" i="70"/>
  <c r="E134" i="70"/>
  <c r="J158" i="70"/>
  <c r="I131" i="70"/>
  <c r="G159" i="70"/>
  <c r="G137" i="70"/>
  <c r="M154" i="70"/>
  <c r="F132" i="70"/>
  <c r="I138" i="70"/>
  <c r="K133" i="70"/>
  <c r="G136" i="70"/>
  <c r="K163" i="70"/>
  <c r="I140" i="70"/>
  <c r="E164" i="70"/>
  <c r="J160" i="70"/>
  <c r="I141" i="70"/>
  <c r="F155" i="70"/>
  <c r="I153" i="70"/>
  <c r="N134" i="70"/>
  <c r="I158" i="70"/>
  <c r="I135" i="70"/>
  <c r="F137" i="70"/>
  <c r="L154" i="70"/>
  <c r="F136" i="70"/>
  <c r="H140" i="70"/>
  <c r="I160" i="70"/>
  <c r="H153" i="70"/>
  <c r="M134" i="70"/>
  <c r="H158" i="70"/>
  <c r="E159" i="70"/>
  <c r="N132" i="70"/>
  <c r="E136" i="70"/>
  <c r="G153" i="70"/>
  <c r="G160" i="70"/>
  <c r="L155" i="70"/>
  <c r="F159" i="70"/>
  <c r="E132" i="70"/>
  <c r="G162" i="70"/>
  <c r="J133" i="70"/>
  <c r="J163" i="70"/>
  <c r="N157" i="70"/>
  <c r="H141" i="70"/>
  <c r="E155" i="70"/>
  <c r="H135" i="70"/>
  <c r="E137" i="70"/>
  <c r="K154" i="70"/>
  <c r="F162" i="70"/>
  <c r="N155" i="70"/>
  <c r="M155" i="70"/>
  <c r="F160" i="70"/>
  <c r="N75" i="70"/>
  <c r="M75" i="70"/>
  <c r="L75" i="70"/>
  <c r="K75" i="70"/>
  <c r="J75" i="70"/>
  <c r="I75" i="70"/>
  <c r="H75" i="70"/>
  <c r="G75" i="70"/>
  <c r="F75" i="70"/>
  <c r="E75" i="70"/>
  <c r="J90" i="70"/>
  <c r="I90" i="70"/>
  <c r="H90" i="70"/>
  <c r="G90" i="70"/>
  <c r="F90" i="70"/>
  <c r="E90" i="70"/>
  <c r="N90" i="70"/>
  <c r="M90" i="70"/>
  <c r="L90" i="70"/>
  <c r="K90" i="70"/>
  <c r="H76" i="70"/>
  <c r="G76" i="70"/>
  <c r="F76" i="70"/>
  <c r="E76" i="70"/>
  <c r="N76" i="70"/>
  <c r="M76" i="70"/>
  <c r="L76" i="70"/>
  <c r="K76" i="70"/>
  <c r="J76" i="70"/>
  <c r="I76" i="70"/>
  <c r="N91" i="70"/>
  <c r="M91" i="70"/>
  <c r="L91" i="70"/>
  <c r="K91" i="70"/>
  <c r="J91" i="70"/>
  <c r="I91" i="70"/>
  <c r="H91" i="70"/>
  <c r="G91" i="70"/>
  <c r="F91" i="70"/>
  <c r="E91" i="70"/>
  <c r="K77" i="70"/>
  <c r="J77" i="70"/>
  <c r="I77" i="70"/>
  <c r="H77" i="70"/>
  <c r="G77" i="70"/>
  <c r="F77" i="70"/>
  <c r="E77" i="70"/>
  <c r="N77" i="70"/>
  <c r="M77" i="70"/>
  <c r="L77" i="70"/>
  <c r="N92" i="70"/>
  <c r="M92" i="70"/>
  <c r="L92" i="70"/>
  <c r="K92" i="70"/>
  <c r="J92" i="70"/>
  <c r="I92" i="70"/>
  <c r="H92" i="70"/>
  <c r="G92" i="70"/>
  <c r="F92" i="70"/>
  <c r="E92" i="70"/>
  <c r="G93" i="70"/>
  <c r="F93" i="70"/>
  <c r="E93" i="70"/>
  <c r="N93" i="70"/>
  <c r="M93" i="70"/>
  <c r="L93" i="70"/>
  <c r="K93" i="70"/>
  <c r="J93" i="70"/>
  <c r="I93" i="70"/>
  <c r="H93" i="70"/>
  <c r="K94" i="70"/>
  <c r="J94" i="70"/>
  <c r="I94" i="70"/>
  <c r="H94" i="70"/>
  <c r="G94" i="70"/>
  <c r="F94" i="70"/>
  <c r="E94" i="70"/>
  <c r="N94" i="70"/>
  <c r="M94" i="70"/>
  <c r="L94" i="70"/>
  <c r="N95" i="70"/>
  <c r="M95" i="70"/>
  <c r="L95" i="70"/>
  <c r="K95" i="70"/>
  <c r="J95" i="70"/>
  <c r="I95" i="70"/>
  <c r="H95" i="70"/>
  <c r="G95" i="70"/>
  <c r="F95" i="70"/>
  <c r="E95" i="70"/>
  <c r="N68" i="70"/>
  <c r="M68" i="70"/>
  <c r="L68" i="70"/>
  <c r="K68" i="70"/>
  <c r="J68" i="70"/>
  <c r="I68" i="70"/>
  <c r="H68" i="70"/>
  <c r="G68" i="70"/>
  <c r="F68" i="70"/>
  <c r="E68" i="70"/>
  <c r="I97" i="70"/>
  <c r="H97" i="70"/>
  <c r="G97" i="70"/>
  <c r="F97" i="70"/>
  <c r="E97" i="70"/>
  <c r="N97" i="70"/>
  <c r="M97" i="70"/>
  <c r="L97" i="70"/>
  <c r="K97" i="70"/>
  <c r="J97" i="70"/>
  <c r="I66" i="70"/>
  <c r="H66" i="70"/>
  <c r="G66" i="70"/>
  <c r="F66" i="70"/>
  <c r="E66" i="70"/>
  <c r="N66" i="70"/>
  <c r="M66" i="70"/>
  <c r="L66" i="70"/>
  <c r="K66" i="70"/>
  <c r="J66" i="70"/>
  <c r="N67" i="70"/>
  <c r="M67" i="70"/>
  <c r="L67" i="70"/>
  <c r="K67" i="70"/>
  <c r="J67" i="70"/>
  <c r="I67" i="70"/>
  <c r="H67" i="70"/>
  <c r="G67" i="70"/>
  <c r="F67" i="70"/>
  <c r="E67" i="70"/>
  <c r="F96" i="70"/>
  <c r="E96" i="70"/>
  <c r="N96" i="70"/>
  <c r="M96" i="70"/>
  <c r="L96" i="70"/>
  <c r="K96" i="70"/>
  <c r="J96" i="70"/>
  <c r="I96" i="70"/>
  <c r="H96" i="70"/>
  <c r="G96" i="70"/>
  <c r="G69" i="70"/>
  <c r="F69" i="70"/>
  <c r="N69" i="70"/>
  <c r="M69" i="70"/>
  <c r="L69" i="70"/>
  <c r="K69" i="70"/>
  <c r="J69" i="70"/>
  <c r="E69" i="70"/>
  <c r="I69" i="70"/>
  <c r="H69" i="70"/>
  <c r="N98" i="70"/>
  <c r="M98" i="70"/>
  <c r="L98" i="70"/>
  <c r="K98" i="70"/>
  <c r="J98" i="70"/>
  <c r="I98" i="70"/>
  <c r="H98" i="70"/>
  <c r="G98" i="70"/>
  <c r="F98" i="70"/>
  <c r="E98" i="70"/>
  <c r="L70" i="70"/>
  <c r="K70" i="70"/>
  <c r="J70" i="70"/>
  <c r="I70" i="70"/>
  <c r="H70" i="70"/>
  <c r="G70" i="70"/>
  <c r="F70" i="70"/>
  <c r="E70" i="70"/>
  <c r="N70" i="70"/>
  <c r="M70" i="70"/>
  <c r="N99" i="70"/>
  <c r="M99" i="70"/>
  <c r="L99" i="70"/>
  <c r="K99" i="70"/>
  <c r="J99" i="70"/>
  <c r="I99" i="70"/>
  <c r="H99" i="70"/>
  <c r="G99" i="70"/>
  <c r="F99" i="70"/>
  <c r="E99" i="70"/>
  <c r="N71" i="70"/>
  <c r="M71" i="70"/>
  <c r="L71" i="70"/>
  <c r="K71" i="70"/>
  <c r="J71" i="70"/>
  <c r="I71" i="70"/>
  <c r="H71" i="70"/>
  <c r="G71" i="70"/>
  <c r="F71" i="70"/>
  <c r="E71" i="70"/>
  <c r="E72" i="70"/>
  <c r="N72" i="70"/>
  <c r="M72" i="70"/>
  <c r="L72" i="70"/>
  <c r="K72" i="70"/>
  <c r="J72" i="70"/>
  <c r="I72" i="70"/>
  <c r="H72" i="70"/>
  <c r="G72" i="70"/>
  <c r="F72" i="70"/>
  <c r="J73" i="70"/>
  <c r="I73" i="70"/>
  <c r="H73" i="70"/>
  <c r="G73" i="70"/>
  <c r="F73" i="70"/>
  <c r="E73" i="70"/>
  <c r="N73" i="70"/>
  <c r="M73" i="70"/>
  <c r="L73" i="70"/>
  <c r="K73" i="70"/>
  <c r="N88" i="70"/>
  <c r="M88" i="70"/>
  <c r="L88" i="70"/>
  <c r="K88" i="70"/>
  <c r="J88" i="70"/>
  <c r="I88" i="70"/>
  <c r="H88" i="70"/>
  <c r="G88" i="70"/>
  <c r="F88" i="70"/>
  <c r="E88" i="70"/>
  <c r="M74" i="70"/>
  <c r="L74" i="70"/>
  <c r="K74" i="70"/>
  <c r="J74" i="70"/>
  <c r="I74" i="70"/>
  <c r="H74" i="70"/>
  <c r="G74" i="70"/>
  <c r="F74" i="70"/>
  <c r="E74" i="70"/>
  <c r="N74" i="70"/>
  <c r="E89" i="70"/>
  <c r="N89" i="70"/>
  <c r="M89" i="70"/>
  <c r="L89" i="70"/>
  <c r="K89" i="70"/>
  <c r="J89" i="70"/>
  <c r="I89" i="70"/>
  <c r="H89" i="70"/>
  <c r="G89" i="70"/>
  <c r="F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<sst xmlns="http://schemas.openxmlformats.org/spreadsheetml/2006/main" count="1088" uniqueCount="271">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</sst>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56.306277717152973</v>
      </c>
      <c r="F7" s="105">
        <f>'3.2.1.1-2 Enteric Methane'!V161</f>
        <v>56.009352251962476</v>
      </c>
      <c r="G7" s="53" t="s">
        <v>115</v>
      </c>
      <c r="H7" s="105">
        <f>'3.2.1.1-2 Enteric Methane'!E133</f>
        <v>1576.5757760802833</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1576.5757760802833</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9" sqref="D1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92.25</v>
      </c>
      <c r="F17" s="51">
        <v>92.25</v>
      </c>
      <c r="G17" s="51">
        <v>92.25</v>
      </c>
      <c r="H17" s="51">
        <v>92.25</v>
      </c>
      <c r="I17" s="51">
        <v>92.25</v>
      </c>
      <c r="J17" s="51">
        <v>92.25</v>
      </c>
      <c r="K17" s="51">
        <v>92.25</v>
      </c>
      <c r="L17" s="51">
        <v>92.25</v>
      </c>
      <c r="M17" s="51">
        <v>92.25</v>
      </c>
      <c r="N17" s="51">
        <v>92.25</v>
      </c>
      <c r="O17" s="2" t="s">
        <v>46</v>
      </c>
      <c r="T17" s="7"/>
    </row>
    <row r="18" spans="1:20" ht="20.100000000000001" customHeight="1" x14ac:dyDescent="0.25">
      <c r="D18" s="1" t="s">
        <v>135</v>
      </c>
      <c r="E18" s="51">
        <v>93.25</v>
      </c>
      <c r="F18" s="51">
        <v>93.25</v>
      </c>
      <c r="G18" s="51">
        <v>93.25</v>
      </c>
      <c r="H18" s="51">
        <v>93.25</v>
      </c>
      <c r="I18" s="51">
        <v>93.25</v>
      </c>
      <c r="J18" s="51">
        <v>93.25</v>
      </c>
      <c r="K18" s="51">
        <v>93.25</v>
      </c>
      <c r="L18" s="51">
        <v>93.25</v>
      </c>
      <c r="M18" s="51">
        <v>93.25</v>
      </c>
      <c r="N18" s="51">
        <v>93.25</v>
      </c>
      <c r="O18" s="2" t="s">
        <v>46</v>
      </c>
      <c r="T18" s="7"/>
    </row>
    <row r="19" spans="1:20" ht="20.100000000000001" customHeight="1" x14ac:dyDescent="0.25">
      <c r="A19" s="17"/>
      <c r="D19" s="1" t="s">
        <v>136</v>
      </c>
      <c r="E19" s="51">
        <v>94.25</v>
      </c>
      <c r="F19" s="51">
        <v>94.25</v>
      </c>
      <c r="G19" s="51">
        <v>94.25</v>
      </c>
      <c r="H19" s="51">
        <v>94.25</v>
      </c>
      <c r="I19" s="51">
        <v>94.25</v>
      </c>
      <c r="J19" s="51">
        <v>94.25</v>
      </c>
      <c r="K19" s="51">
        <v>94.25</v>
      </c>
      <c r="L19" s="51">
        <v>94.25</v>
      </c>
      <c r="M19" s="51">
        <v>94.25</v>
      </c>
      <c r="N19" s="51">
        <v>94.25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92.25</v>
      </c>
      <c r="F116" s="51">
        <f>'Input - Pasture Beef'!F17</f>
        <v>92.25</v>
      </c>
      <c r="G116" s="51">
        <f>'Input - Pasture Beef'!G17</f>
        <v>92.25</v>
      </c>
      <c r="H116" s="51">
        <f>'Input - Pasture Beef'!H17</f>
        <v>92.25</v>
      </c>
      <c r="I116" s="51">
        <f>'Input - Pasture Beef'!I17</f>
        <v>92.25</v>
      </c>
      <c r="J116" s="51">
        <f>'Input - Pasture Beef'!J17</f>
        <v>92.25</v>
      </c>
      <c r="K116" s="51">
        <f>'Input - Pasture Beef'!K17</f>
        <v>92.25</v>
      </c>
      <c r="L116" s="51">
        <f>'Input - Pasture Beef'!L17</f>
        <v>92.25</v>
      </c>
      <c r="M116" s="51">
        <f>'Input - Pasture Beef'!M17</f>
        <v>92.25</v>
      </c>
      <c r="N116" s="51">
        <f>'Input - Pasture Beef'!N17</f>
        <v>92.25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93.25</v>
      </c>
      <c r="F117" s="51">
        <f>'Input - Pasture Beef'!F18</f>
        <v>93.25</v>
      </c>
      <c r="G117" s="51">
        <f>'Input - Pasture Beef'!G18</f>
        <v>93.25</v>
      </c>
      <c r="H117" s="51">
        <f>'Input - Pasture Beef'!H18</f>
        <v>93.25</v>
      </c>
      <c r="I117" s="51">
        <f>'Input - Pasture Beef'!I18</f>
        <v>93.25</v>
      </c>
      <c r="J117" s="51">
        <f>'Input - Pasture Beef'!J18</f>
        <v>93.25</v>
      </c>
      <c r="K117" s="51">
        <f>'Input - Pasture Beef'!K18</f>
        <v>93.25</v>
      </c>
      <c r="L117" s="51">
        <f>'Input - Pasture Beef'!L18</f>
        <v>93.25</v>
      </c>
      <c r="M117" s="51">
        <f>'Input - Pasture Beef'!M18</f>
        <v>93.25</v>
      </c>
      <c r="N117" s="51">
        <f>'Input - Pasture Beef'!N18</f>
        <v>93.25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94.25</v>
      </c>
      <c r="F118" s="51">
        <f>'Input - Pasture Beef'!F19</f>
        <v>94.25</v>
      </c>
      <c r="G118" s="51">
        <f>'Input - Pasture Beef'!G19</f>
        <v>94.25</v>
      </c>
      <c r="H118" s="51">
        <f>'Input - Pasture Beef'!H19</f>
        <v>94.25</v>
      </c>
      <c r="I118" s="51">
        <f>'Input - Pasture Beef'!I19</f>
        <v>94.25</v>
      </c>
      <c r="J118" s="51">
        <f>'Input - Pasture Beef'!J19</f>
        <v>94.25</v>
      </c>
      <c r="K118" s="51">
        <f>'Input - Pasture Beef'!K19</f>
        <v>94.25</v>
      </c>
      <c r="L118" s="51">
        <f>'Input - Pasture Beef'!L19</f>
        <v>94.25</v>
      </c>
      <c r="M118" s="51">
        <f>'Input - Pasture Beef'!M19</f>
        <v>94.25</v>
      </c>
      <c r="N118" s="51">
        <f>'Input - Pasture Beef'!N19</f>
        <v>94.25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1.3647453134317908</v>
      </c>
      <c r="F124" s="51" cm="1">
        <f t="array" ref="F124">EntericMethane_PastureBeef_Equations.VEERG_3_2_1_1__1_TotalAnnualMethaneFromEntericFermentation(F116,F86,F108)</f>
        <v>1.8056929749424473</v>
      </c>
      <c r="G124" s="51" cm="1">
        <f t="array" ref="G124">EntericMethane_PastureBeef_Equations.VEERG_3_2_1_1__1_TotalAnnualMethaneFromEntericFermentation(G116,G86,G108)</f>
        <v>1.1477199894011996</v>
      </c>
      <c r="H124" s="51" cm="1">
        <f t="array" ref="H124">EntericMethane_PastureBeef_Equations.VEERG_3_2_1_1__1_TotalAnnualMethaneFromEntericFermentation(H116,H86,H108)</f>
        <v>1.5029404948151437</v>
      </c>
      <c r="I124" s="51" cm="1">
        <f t="array" ref="I124">EntericMethane_PastureBeef_Equations.VEERG_3_2_1_1__1_TotalAnnualMethaneFromEntericFermentation(I116,I86,I108)</f>
        <v>1.4880949873101719</v>
      </c>
      <c r="J124" s="51" cm="1">
        <f t="array" ref="J124">EntericMethane_PastureBeef_Equations.VEERG_3_2_1_1__1_TotalAnnualMethaneFromEntericFermentation(J116,J86,J108)</f>
        <v>1.4880949873101719</v>
      </c>
      <c r="K124" s="51" cm="1">
        <f t="array" ref="K124">EntericMethane_PastureBeef_Equations.VEERG_3_2_1_1__1_TotalAnnualMethaneFromEntericFermentation(K116,K86,K108)</f>
        <v>1.2579594351757919</v>
      </c>
      <c r="L124" s="51" cm="1">
        <f t="array" ref="L124">EntericMethane_PastureBeef_Equations.VEERG_3_2_1_1__1_TotalAnnualMethaneFromEntericFermentation(L116,L86,L108)</f>
        <v>1.4022143346100659</v>
      </c>
      <c r="M124" s="51" cm="1">
        <f t="array" ref="M124">EntericMethane_PastureBeef_Equations.VEERG_3_2_1_1__1_TotalAnnualMethaneFromEntericFermentation(M116,M86,M108)</f>
        <v>1.4022143346100659</v>
      </c>
      <c r="N124" s="51" cm="1">
        <f t="array" ref="N124">EntericMethane_PastureBeef_Equations.VEERG_3_2_1_1__1_TotalAnnualMethaneFromEntericFermentation(N116,N86,N108)</f>
        <v>1.4022143346100659</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0.62679967011000004</v>
      </c>
      <c r="F125" s="51" cm="1">
        <f t="array" ref="F125">EntericMethane_PastureBeef_Equations.VEERG_3_2_1_1__1_TotalAnnualMethaneFromEntericFermentation(F117,F87,F109)</f>
        <v>1.819217477504844</v>
      </c>
      <c r="G125" s="51" cm="1">
        <f t="array" ref="G125">EntericMethane_PastureBeef_Equations.VEERG_3_2_1_1__1_TotalAnnualMethaneFromEntericFermentation(G117,G87,G109)</f>
        <v>0.57142446470942398</v>
      </c>
      <c r="H125" s="51" cm="1">
        <f t="array" ref="H125">EntericMethane_PastureBeef_Equations.VEERG_3_2_1_1__1_TotalAnnualMethaneFromEntericFermentation(H117,H87,H109)</f>
        <v>1.150018764575139</v>
      </c>
      <c r="I125" s="51" cm="1">
        <f t="array" ref="I125">EntericMethane_PastureBeef_Equations.VEERG_3_2_1_1__1_TotalAnnualMethaneFromEntericFermentation(I117,I87,I109)</f>
        <v>1.2967582524131227</v>
      </c>
      <c r="J125" s="51" cm="1">
        <f t="array" ref="J125">EntericMethane_PastureBeef_Equations.VEERG_3_2_1_1__1_TotalAnnualMethaneFromEntericFermentation(J117,J87,J109)</f>
        <v>1.2967582524131227</v>
      </c>
      <c r="K125" s="51" cm="1">
        <f t="array" ref="K125">EntericMethane_PastureBeef_Equations.VEERG_3_2_1_1__1_TotalAnnualMethaneFromEntericFermentation(K117,K87,K109)</f>
        <v>0.62679967011000004</v>
      </c>
      <c r="L125" s="51" cm="1">
        <f t="array" ref="L125">EntericMethane_PastureBeef_Equations.VEERG_3_2_1_1__1_TotalAnnualMethaneFromEntericFermentation(L117,L87,L109)</f>
        <v>1.1379701235304442</v>
      </c>
      <c r="M125" s="51" cm="1">
        <f t="array" ref="M125">EntericMethane_PastureBeef_Equations.VEERG_3_2_1_1__1_TotalAnnualMethaneFromEntericFermentation(M117,M87,M109)</f>
        <v>1.1379701235304442</v>
      </c>
      <c r="N125" s="51" cm="1">
        <f t="array" ref="N125">EntericMethane_PastureBeef_Equations.VEERG_3_2_1_1__1_TotalAnnualMethaneFromEntericFermentation(N117,N87,N109)</f>
        <v>1.1379701235304442</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1.0014155769391899</v>
      </c>
      <c r="F126" s="51" cm="1">
        <f t="array" ref="F126">EntericMethane_PastureBeef_Equations.VEERG_3_2_1_1__1_TotalAnnualMethaneFromEntericFermentation(F118,F88,F110)</f>
        <v>1.9460700322917746</v>
      </c>
      <c r="G126" s="51" cm="1">
        <f t="array" ref="G126">EntericMethane_PastureBeef_Equations.VEERG_3_2_1_1__1_TotalAnnualMethaneFromEntericFermentation(G118,G88,G110)</f>
        <v>0.81993723922524386</v>
      </c>
      <c r="H126" s="51" cm="1">
        <f t="array" ref="H126">EntericMethane_PastureBeef_Equations.VEERG_3_2_1_1__1_TotalAnnualMethaneFromEntericFermentation(H118,H88,H110)</f>
        <v>1.4687568474003565</v>
      </c>
      <c r="I126" s="51" cm="1">
        <f t="array" ref="I126">EntericMethane_PastureBeef_Equations.VEERG_3_2_1_1__1_TotalAnnualMethaneFromEntericFermentation(I118,I88,I110)</f>
        <v>1.7842047088485857</v>
      </c>
      <c r="J126" s="51" cm="1">
        <f t="array" ref="J126">EntericMethane_PastureBeef_Equations.VEERG_3_2_1_1__1_TotalAnnualMethaneFromEntericFermentation(J118,J88,J110)</f>
        <v>1.7842047088485857</v>
      </c>
      <c r="K126" s="51" cm="1">
        <f t="array" ref="K126">EntericMethane_PastureBeef_Equations.VEERG_3_2_1_1__1_TotalAnnualMethaneFromEntericFermentation(K118,K88,K110)</f>
        <v>0.88033223034159935</v>
      </c>
      <c r="L126" s="51" cm="1">
        <f t="array" ref="L126">EntericMethane_PastureBeef_Equations.VEERG_3_2_1_1__1_TotalAnnualMethaneFromEntericFermentation(L118,L88,L110)</f>
        <v>1.3402906933534557</v>
      </c>
      <c r="M126" s="51" cm="1">
        <f t="array" ref="M126">EntericMethane_PastureBeef_Equations.VEERG_3_2_1_1__1_TotalAnnualMethaneFromEntericFermentation(M118,M88,M110)</f>
        <v>1.3402906933534557</v>
      </c>
      <c r="N126" s="51" cm="1">
        <f t="array" ref="N126">EntericMethane_PastureBeef_Equations.VEERG_3_2_1_1__1_TotalAnnualMethaneFromEntericFermentation(N118,N88,N110)</f>
        <v>1.3402906933534557</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56.306277717152973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56.306277717152973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1576.5757760802833</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X_Cell_PastureBeef_ProductionRegion</vt:lpstr>
      <vt:lpstr>X_Cell_Site_FarmName</vt:lpstr>
      <vt:lpstr>X_Cell_Site_ReportingEntityName</vt:lpstr>
      <vt:lpstr>X_Cell_Site_StartDate</vt:lpstr>
      <vt:lpstr>X_Cell_Site_State</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2026-06-11T08:27:57Z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