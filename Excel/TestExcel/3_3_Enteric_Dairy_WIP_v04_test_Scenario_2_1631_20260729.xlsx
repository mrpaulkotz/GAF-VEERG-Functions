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0A141BCD-869E-48F7-BB0B-D65D78278869}"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 i="69" a="1"/>
  <c r="E86" i="69" a="1"/>
  <c r="E57" i="69" a="1"/>
  <c r="N19" i="69" l="1"/>
  <c r="N24" i="69" s="1" a="1"/>
  <c r="N24" i="69" s="1"/>
  <c r="N80" i="69" s="1" a="1"/>
  <c r="N80" i="69" s="1"/>
  <c r="Q19" i="69"/>
  <c r="Q24" i="69" s="1" a="1"/>
  <c r="Q24" i="69" s="1"/>
  <c r="Q80" i="69" s="1" a="1"/>
  <c r="Q80" i="69" s="1"/>
  <c r="D19" i="69"/>
  <c r="D24" i="69" s="1" a="1"/>
  <c r="D24"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4" i="70" l="1"/>
  <c r="D25" i="70"/>
  <c r="D10" i="70"/>
  <c r="D29" i="70"/>
  <c r="D28"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<sst xmlns="http://schemas.openxmlformats.org/spreadsheetml/2006/main" count="529" uniqueCount="251">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</sst>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211</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230</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210</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69</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212</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105</v>
      </c>
      <c r="E6" s="109" t="s">
        <v>189</v>
      </c>
      <c r="F6" s="109" t="s">
        <v>190</v>
      </c>
      <c r="G6" s="109" t="s">
        <v>119</v>
      </c>
      <c r="H6" s="109" t="s">
        <v>191</v>
      </c>
      <c r="I6" s="109" t="s">
        <v>192</v>
      </c>
      <c r="J6" s="109" t="s">
        <v>120</v>
      </c>
      <c r="K6" s="23"/>
    </row>
    <row r="7" spans="1:11" ht="20.100000000000001" customHeight="1" x14ac:dyDescent="0.25">
      <c r="C7" s="23"/>
      <c r="D7" s="1" t="s">
        <v>229</v>
      </c>
      <c r="E7" s="107">
        <f>'3.3.1.1-2 Enteric Methane'!E182</f>
        <v>32.464682683989999</v>
      </c>
      <c r="F7" s="107">
        <f>'3.3.1.1-2 Enteric Methane'!N182</f>
        <v>32.464682683989999</v>
      </c>
      <c r="G7" s="54" t="str">
        <f>'3.3.1.1-2 Enteric Methane'!$F$182</f>
        <v>t CH4</v>
      </c>
      <c r="H7" s="107">
        <f>'3.3.1.1-2 Enteric Methane'!E187</f>
        <v>909.01111515171999</v>
      </c>
      <c r="I7" s="107">
        <f>'3.3.1.1-2 Enteric Methane'!N187</f>
        <v>909.01111515171999</v>
      </c>
      <c r="J7" s="54" t="s">
        <v>187</v>
      </c>
      <c r="K7" s="23"/>
    </row>
    <row r="8" spans="1:11" ht="20.100000000000001" customHeight="1" x14ac:dyDescent="0.3">
      <c r="A8" s="19" t="s">
        <v>0</v>
      </c>
      <c r="C8" s="23"/>
      <c r="D8" s="30" t="s">
        <v>118</v>
      </c>
      <c r="E8" s="24"/>
      <c r="F8" s="24"/>
      <c r="G8" s="30"/>
      <c r="H8" s="108">
        <f>SUM(H7)</f>
        <v>909.01111515171999</v>
      </c>
      <c r="I8" s="108">
        <f>SUM(I7:I7)</f>
        <v>909.01111515171999</v>
      </c>
      <c r="J8" s="103" t="s">
        <v>187</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69</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83</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11</v>
      </c>
      <c r="N5" s="42"/>
    </row>
    <row r="6" spans="1:24" ht="20.100000000000001" customHeight="1" x14ac:dyDescent="0.25">
      <c r="A6"/>
      <c r="D6" s="14"/>
      <c r="N6" s="43"/>
    </row>
    <row r="7" spans="1:24" ht="20.100000000000001" customHeight="1" x14ac:dyDescent="0.25">
      <c r="A7"/>
      <c r="D7" s="1" t="s">
        <v>3</v>
      </c>
      <c r="E7" s="34" t="s">
        <v>248</v>
      </c>
      <c r="F7" s="2"/>
    </row>
    <row r="8" spans="1:24" ht="20.100000000000001" customHeight="1" x14ac:dyDescent="0.25">
      <c r="A8" s="19" t="s">
        <v>0</v>
      </c>
      <c r="D8" s="10" t="s">
        <v>68</v>
      </c>
      <c r="E8" s="34" t="s">
        <v>249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82</v>
      </c>
      <c r="E10" s="90"/>
      <c r="F10" s="93"/>
      <c r="G10" s="87"/>
      <c r="N10" s="44"/>
    </row>
    <row r="11" spans="1:24" ht="20.100000000000001" customHeight="1" x14ac:dyDescent="0.25">
      <c r="A11"/>
      <c r="N11" s="45"/>
    </row>
    <row r="12" spans="1:24" ht="20.100000000000001" customHeight="1" x14ac:dyDescent="0.25">
      <c r="A12"/>
      <c r="D12" s="10" t="s">
        <v>88</v>
      </c>
      <c r="E12" s="63">
        <v>45658</v>
      </c>
      <c r="F12" s="2" t="s">
        <v>66</v>
      </c>
    </row>
    <row r="13" spans="1:24" ht="20.100000000000001" customHeight="1" x14ac:dyDescent="0.25">
      <c r="A13" s="18" t="s">
        <v>69</v>
      </c>
      <c r="D13" s="10" t="s">
        <v>89</v>
      </c>
      <c r="E13" s="68">
        <f>DATE(YEAR(E12)+1,MONTH(E12),DAY(E12))-1</f>
        <v>46022</v>
      </c>
      <c r="F13" s="2" t="s">
        <v>13</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10</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12</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4</v>
      </c>
      <c r="E21" s="41" t="s">
        <v>250</v>
      </c>
      <c r="F21" s="2" t="s">
        <v>7</v>
      </c>
    </row>
    <row r="22" spans="1:25" ht="20.100000000000001" customHeight="1" x14ac:dyDescent="0.25">
      <c r="A22"/>
      <c r="D22" s="1" t="s">
        <v>21</v>
      </c>
      <c r="E22" s="41" t="s">
        <v>30</v>
      </c>
      <c r="F22" s="2" t="s">
        <v>7</v>
      </c>
      <c r="G22" s="1"/>
    </row>
    <row r="23" spans="1:25" ht="20.100000000000001" customHeight="1" x14ac:dyDescent="0.25">
      <c r="A23"/>
      <c r="D23" s="1" t="s">
        <v>5</v>
      </c>
      <c r="E23" s="41" t="s">
        <v>87</v>
      </c>
      <c r="F23" s="2" t="s">
        <v>7</v>
      </c>
    </row>
    <row r="24" spans="1:25" ht="20.100000000000001" customHeight="1" x14ac:dyDescent="0.25">
      <c r="A24"/>
      <c r="D24" s="1" t="s">
        <v>35</v>
      </c>
      <c r="E24" s="34">
        <v>307.7</v>
      </c>
      <c r="F24" s="2" t="s">
        <v>49</v>
      </c>
    </row>
    <row r="25" spans="1:25" ht="20.100000000000001" customHeight="1" x14ac:dyDescent="0.25">
      <c r="A25"/>
      <c r="D25" s="1" t="s">
        <v>57</v>
      </c>
      <c r="E25" s="34">
        <v>18</v>
      </c>
      <c r="F25" s="2" t="s">
        <v>8</v>
      </c>
      <c r="N25" s="43"/>
    </row>
    <row r="26" spans="1:25" ht="20.100000000000001" customHeight="1" x14ac:dyDescent="0.25">
      <c r="A26"/>
      <c r="D26" s="1" t="s">
        <v>58</v>
      </c>
      <c r="E26" s="34">
        <v>601</v>
      </c>
      <c r="F26" s="2" t="s">
        <v>9</v>
      </c>
    </row>
    <row r="27" spans="1:25" ht="20.100000000000001" customHeight="1" x14ac:dyDescent="0.25">
      <c r="A27"/>
      <c r="D27" s="10" t="s">
        <v>59</v>
      </c>
      <c r="E27" s="34">
        <v>1326</v>
      </c>
      <c r="F27" s="2" t="s">
        <v>9</v>
      </c>
    </row>
    <row r="28" spans="1:25" ht="20.100000000000001" customHeight="1" x14ac:dyDescent="0.25">
      <c r="A28"/>
      <c r="D28" s="1" t="s">
        <v>60</v>
      </c>
      <c r="E28" s="34">
        <v>7</v>
      </c>
      <c r="F28" s="2" t="s">
        <v>50</v>
      </c>
    </row>
    <row r="29" spans="1:25" ht="20.100000000000001" customHeight="1" x14ac:dyDescent="0.25">
      <c r="A29"/>
      <c r="D29" s="10" t="s">
        <v>56</v>
      </c>
      <c r="E29" s="52">
        <f>E26/E27</f>
        <v>0.45324283559577677</v>
      </c>
      <c r="F29" s="2"/>
    </row>
    <row r="30" spans="1:25" ht="20.100000000000001" customHeight="1" x14ac:dyDescent="0.25">
      <c r="A30"/>
      <c r="D30" s="10" t="s">
        <v>31</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6</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84</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145</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92</v>
      </c>
      <c r="N5" s="3"/>
      <c r="R5" s="7"/>
    </row>
    <row r="6" spans="1:23" ht="20.100000000000001" customHeight="1" x14ac:dyDescent="0.25">
      <c r="N6" s="3"/>
      <c r="R6" s="7"/>
    </row>
    <row r="7" spans="1:23" ht="20.100000000000001" customHeight="1" x14ac:dyDescent="0.25">
      <c r="D7" s="1" t="s">
        <v>123</v>
      </c>
      <c r="E7" s="41" t="s">
        <v>159</v>
      </c>
      <c r="F7" s="2" t="s">
        <v>7</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124</v>
      </c>
      <c r="F9" s="40" t="s">
        <v>141</v>
      </c>
      <c r="G9" s="40" t="s">
        <v>142</v>
      </c>
      <c r="H9" s="40" t="s">
        <v>143</v>
      </c>
      <c r="I9" s="40" t="s">
        <v>144</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25 and 31 Dec 25</v>
      </c>
      <c r="E10" s="98">
        <v>100</v>
      </c>
      <c r="F10" s="98">
        <v>100</v>
      </c>
      <c r="G10" s="98">
        <v>100</v>
      </c>
      <c r="H10" s="98">
        <v>100</v>
      </c>
      <c r="I10" s="98">
        <v>100</v>
      </c>
      <c r="J10" s="2" t="s">
        <v>94</v>
      </c>
      <c r="K10" s="2"/>
      <c r="L10" s="2"/>
      <c r="M10" s="2"/>
      <c r="R10" s="7"/>
    </row>
    <row r="11" spans="1:23" ht="20.100000000000001" customHeight="1" x14ac:dyDescent="0.25">
      <c r="R11" s="7"/>
    </row>
    <row r="12" spans="1:23" ht="20.100000000000001" customHeight="1" x14ac:dyDescent="0.25">
      <c r="D12" s="48" t="s">
        <v>156</v>
      </c>
      <c r="R12" s="7"/>
    </row>
    <row r="13" spans="1:23" ht="20.100000000000001" customHeight="1" x14ac:dyDescent="0.25">
      <c r="A13" s="18" t="s">
        <v>69</v>
      </c>
      <c r="D13" s="62" t="s">
        <v>154</v>
      </c>
      <c r="E13" s="40" t="s">
        <v>124</v>
      </c>
      <c r="F13" s="40" t="s">
        <v>141</v>
      </c>
      <c r="G13" s="40" t="s">
        <v>142</v>
      </c>
      <c r="H13" s="40" t="s">
        <v>143</v>
      </c>
      <c r="I13" s="40" t="s">
        <v>144</v>
      </c>
      <c r="R13" s="39"/>
    </row>
    <row r="14" spans="1:23" ht="20.100000000000001" customHeight="1" x14ac:dyDescent="0.25">
      <c r="A14" s="17" t="str">
        <f>HYPERLINK("#'3.3.1.1-2 Enteric Methane'!A1", "3.3.1.1-2 Enteric Methane")</f>
        <v>3.3.1.1-2 Enteric Methane</v>
      </c>
      <c r="D14" s="1" t="s">
        <v>157</v>
      </c>
      <c r="E14" s="52">
        <v>550</v>
      </c>
      <c r="F14" s="52">
        <v>380</v>
      </c>
      <c r="G14" s="52">
        <v>155</v>
      </c>
      <c r="H14" s="52">
        <v>600</v>
      </c>
      <c r="I14" s="52">
        <v>225</v>
      </c>
      <c r="J14" s="2" t="s">
        <v>146</v>
      </c>
      <c r="K14" s="2"/>
      <c r="L14" s="2"/>
      <c r="M14" s="2"/>
      <c r="R14" s="39"/>
    </row>
    <row r="15" spans="1:23" ht="20.100000000000001" customHeight="1" x14ac:dyDescent="0.25">
      <c r="D15" s="1" t="s">
        <v>158</v>
      </c>
      <c r="E15" s="52">
        <v>1.6E-2</v>
      </c>
      <c r="F15" s="52">
        <v>0.6</v>
      </c>
      <c r="G15" s="52">
        <v>0.56999999999999995</v>
      </c>
      <c r="H15" s="52">
        <v>0.1</v>
      </c>
      <c r="I15" s="52">
        <v>0.8</v>
      </c>
      <c r="J15" s="2" t="s">
        <v>147</v>
      </c>
      <c r="K15" s="2"/>
      <c r="L15" s="2"/>
      <c r="M15" s="2"/>
      <c r="R15" s="39"/>
    </row>
    <row r="16" spans="1:23" ht="20.100000000000001" customHeight="1" x14ac:dyDescent="0.25">
      <c r="R16" s="39"/>
    </row>
    <row r="17" spans="1:18" ht="20.100000000000001" customHeight="1" x14ac:dyDescent="0.25">
      <c r="A17" s="129" t="s">
        <v>1</v>
      </c>
      <c r="D17" s="62" t="s">
        <v>153</v>
      </c>
      <c r="E17" s="40" t="s">
        <v>124</v>
      </c>
      <c r="F17" s="40" t="s">
        <v>141</v>
      </c>
      <c r="G17" s="40" t="s">
        <v>142</v>
      </c>
      <c r="H17" s="40" t="s">
        <v>143</v>
      </c>
      <c r="I17" s="40" t="s">
        <v>144</v>
      </c>
      <c r="R17" s="7"/>
    </row>
    <row r="18" spans="1:18" ht="20.100000000000001" customHeight="1" x14ac:dyDescent="0.25">
      <c r="A18" s="17" t="str">
        <f>HYPERLINK("#'Constants - Dairy'!A1", "Constants - Dairy")</f>
        <v>Constants - Dairy</v>
      </c>
      <c r="D18" s="1" t="s">
        <v>157</v>
      </c>
      <c r="E18" s="64">
        <v>550</v>
      </c>
      <c r="F18" s="64">
        <v>380</v>
      </c>
      <c r="G18" s="64">
        <v>155</v>
      </c>
      <c r="H18" s="64">
        <v>600</v>
      </c>
      <c r="I18" s="64">
        <v>225</v>
      </c>
      <c r="J18" s="2" t="s">
        <v>146</v>
      </c>
      <c r="K18" s="2"/>
      <c r="L18" s="2"/>
      <c r="M18" s="2"/>
      <c r="R18" s="7"/>
    </row>
    <row r="19" spans="1:18" ht="20.100000000000001" customHeight="1" x14ac:dyDescent="0.25">
      <c r="A19" s="17" t="str">
        <f>HYPERLINK("#'Constants - Common'!A1", "Constants - Common")</f>
        <v>Constants - Common</v>
      </c>
      <c r="D19" s="1" t="s">
        <v>158</v>
      </c>
      <c r="E19" s="64">
        <v>1.6E-2</v>
      </c>
      <c r="F19" s="64">
        <v>0.6</v>
      </c>
      <c r="G19" s="64">
        <v>0.56999999999999995</v>
      </c>
      <c r="H19" s="64">
        <v>0.1</v>
      </c>
      <c r="I19" s="64">
        <v>0.8</v>
      </c>
      <c r="J19" s="2" t="s">
        <v>147</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93</v>
      </c>
      <c r="R21" s="7"/>
    </row>
    <row r="22" spans="1:18" ht="20.100000000000001" customHeight="1" x14ac:dyDescent="0.25">
      <c r="R22" s="7"/>
    </row>
    <row r="23" spans="1:18" ht="20.100000000000001" customHeight="1" x14ac:dyDescent="0.25">
      <c r="D23" s="62" t="s">
        <v>154</v>
      </c>
      <c r="E23" s="40" t="s">
        <v>124</v>
      </c>
      <c r="F23" s="40" t="s">
        <v>141</v>
      </c>
      <c r="G23" s="40" t="s">
        <v>142</v>
      </c>
      <c r="H23" s="40" t="s">
        <v>143</v>
      </c>
      <c r="I23" s="40" t="s">
        <v>144</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2">
        <v>365</v>
      </c>
      <c r="F24" s="52">
        <v>365</v>
      </c>
      <c r="G24" s="52">
        <v>281</v>
      </c>
      <c r="H24" s="52">
        <v>365</v>
      </c>
      <c r="I24" s="52">
        <v>281</v>
      </c>
      <c r="J24" s="2" t="s">
        <v>50</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2">
        <v>0</v>
      </c>
      <c r="F25" s="52">
        <v>0</v>
      </c>
      <c r="G25" s="52">
        <v>84</v>
      </c>
      <c r="H25" s="52">
        <v>0</v>
      </c>
      <c r="I25" s="52">
        <v>84</v>
      </c>
      <c r="J25" s="2" t="s">
        <v>50</v>
      </c>
      <c r="K25" s="2"/>
      <c r="L25" s="2"/>
      <c r="M25" s="2"/>
      <c r="R25" s="7"/>
    </row>
    <row r="26" spans="1:18" ht="20.100000000000001" customHeight="1" x14ac:dyDescent="0.25">
      <c r="R26" s="7"/>
    </row>
    <row r="27" spans="1:18" ht="20.100000000000001" customHeight="1" x14ac:dyDescent="0.25">
      <c r="D27" s="62" t="s">
        <v>153</v>
      </c>
      <c r="E27" s="40" t="s">
        <v>124</v>
      </c>
      <c r="F27" s="40" t="s">
        <v>141</v>
      </c>
      <c r="G27" s="40" t="s">
        <v>142</v>
      </c>
      <c r="H27" s="40" t="s">
        <v>143</v>
      </c>
      <c r="I27" s="40" t="s">
        <v>144</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4">
        <v>365</v>
      </c>
      <c r="F28" s="64">
        <v>365</v>
      </c>
      <c r="G28" s="64">
        <v>281</v>
      </c>
      <c r="H28" s="64">
        <v>365</v>
      </c>
      <c r="I28" s="64">
        <v>281</v>
      </c>
      <c r="J28" s="2" t="s">
        <v>50</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2">
        <v>0</v>
      </c>
      <c r="F29" s="52">
        <v>0</v>
      </c>
      <c r="G29" s="52">
        <v>84</v>
      </c>
      <c r="H29" s="52">
        <v>0</v>
      </c>
      <c r="I29" s="52">
        <v>84</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155</v>
      </c>
      <c r="R33" s="7"/>
    </row>
    <row r="34" spans="3:18" ht="20.100000000000001" customHeight="1" x14ac:dyDescent="0.25">
      <c r="D34" s="48"/>
      <c r="R34" s="7"/>
    </row>
    <row r="35" spans="3:18" ht="20.100000000000001" customHeight="1" x14ac:dyDescent="0.25">
      <c r="D35" s="62" t="s">
        <v>154</v>
      </c>
      <c r="E35" s="40" t="s">
        <v>124</v>
      </c>
      <c r="F35" s="40" t="s">
        <v>141</v>
      </c>
      <c r="G35" s="40" t="s">
        <v>142</v>
      </c>
      <c r="H35" s="40" t="s">
        <v>143</v>
      </c>
      <c r="I35" s="40" t="s">
        <v>144</v>
      </c>
      <c r="R35" s="7"/>
    </row>
    <row r="36" spans="3:18" ht="20.100000000000001" customHeight="1" x14ac:dyDescent="0.25">
      <c r="D36" s="1" t="s">
        <v>14</v>
      </c>
      <c r="E36" s="52">
        <v>0.75</v>
      </c>
      <c r="F36" s="52">
        <v>0.75</v>
      </c>
      <c r="G36" s="52">
        <v>0.75</v>
      </c>
      <c r="H36" s="52">
        <v>0.75</v>
      </c>
      <c r="I36" s="52">
        <v>0.75</v>
      </c>
      <c r="J36" s="2" t="s">
        <v>90</v>
      </c>
      <c r="K36" s="2"/>
      <c r="L36" s="2"/>
      <c r="M36" s="2"/>
      <c r="R36" s="7"/>
    </row>
    <row r="37" spans="3:18" ht="20.100000000000001" customHeight="1" x14ac:dyDescent="0.25">
      <c r="D37" s="1" t="s">
        <v>97</v>
      </c>
      <c r="E37" s="52">
        <v>0.2</v>
      </c>
      <c r="F37" s="52">
        <v>0.2</v>
      </c>
      <c r="G37" s="52">
        <v>0.2</v>
      </c>
      <c r="H37" s="52">
        <v>0.2</v>
      </c>
      <c r="I37" s="52">
        <v>0.2</v>
      </c>
      <c r="J37" s="2" t="s">
        <v>90</v>
      </c>
      <c r="K37" s="2"/>
      <c r="L37" s="2"/>
      <c r="M37" s="2"/>
      <c r="R37" s="7"/>
    </row>
    <row r="38" spans="3:18" ht="20.100000000000001" customHeight="1" x14ac:dyDescent="0.25">
      <c r="K38" s="2"/>
      <c r="L38" s="2"/>
      <c r="M38" s="2"/>
      <c r="R38" s="7"/>
    </row>
    <row r="39" spans="3:18" ht="20.100000000000001" customHeight="1" x14ac:dyDescent="0.25">
      <c r="D39" s="62" t="s">
        <v>153</v>
      </c>
      <c r="E39" s="40" t="s">
        <v>124</v>
      </c>
      <c r="F39" s="40" t="s">
        <v>141</v>
      </c>
      <c r="G39" s="40" t="s">
        <v>142</v>
      </c>
      <c r="H39" s="40" t="s">
        <v>143</v>
      </c>
      <c r="I39" s="40" t="s">
        <v>144</v>
      </c>
      <c r="R39" s="7"/>
    </row>
    <row r="40" spans="3:18" ht="20.100000000000001" customHeight="1" x14ac:dyDescent="0.25">
      <c r="D40" s="1" t="s">
        <v>14</v>
      </c>
      <c r="E40" s="64">
        <v>0.75</v>
      </c>
      <c r="F40" s="64">
        <v>0.75</v>
      </c>
      <c r="G40" s="64">
        <v>0.75</v>
      </c>
      <c r="H40" s="64">
        <v>0.75</v>
      </c>
      <c r="I40" s="64">
        <v>0.75</v>
      </c>
      <c r="J40" s="2" t="s">
        <v>90</v>
      </c>
      <c r="K40" s="2"/>
      <c r="R40" s="7"/>
    </row>
    <row r="41" spans="3:18" ht="20.100000000000001" customHeight="1" x14ac:dyDescent="0.25">
      <c r="D41" s="1" t="s">
        <v>97</v>
      </c>
      <c r="E41" s="64">
        <v>0.2</v>
      </c>
      <c r="F41" s="64">
        <v>0.2</v>
      </c>
      <c r="G41" s="64">
        <v>0.2</v>
      </c>
      <c r="H41" s="64">
        <v>0.2</v>
      </c>
      <c r="I41" s="64">
        <v>0.2</v>
      </c>
      <c r="J41" s="2" t="s">
        <v>90</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148</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232</v>
      </c>
      <c r="E49" s="41" t="s">
        <v>245</v>
      </c>
      <c r="F49" s="2" t="s">
        <v>7</v>
      </c>
      <c r="H49" s="3"/>
      <c r="I49" s="3"/>
      <c r="J49" s="3"/>
      <c r="K49" s="3"/>
      <c r="L49" s="3"/>
      <c r="M49" s="3"/>
      <c r="R49" s="7"/>
    </row>
    <row r="50" spans="4:18" ht="20.100000000000001" customHeight="1" x14ac:dyDescent="0.25">
      <c r="R50" s="7"/>
    </row>
    <row r="51" spans="4:18" ht="20.100000000000001" customHeight="1" x14ac:dyDescent="0.25">
      <c r="E51" s="40" t="s">
        <v>124</v>
      </c>
      <c r="R51" s="7"/>
    </row>
    <row r="52" spans="4:18" ht="20.100000000000001" customHeight="1" x14ac:dyDescent="0.25">
      <c r="D52" s="1" t="s">
        <v>149</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242</v>
      </c>
      <c r="E54" s="40" t="s">
        <v>239</v>
      </c>
      <c r="F54" s="40" t="s">
        <v>240</v>
      </c>
      <c r="R54" s="7"/>
    </row>
    <row r="55" spans="4:18" ht="20.100000000000001" customHeight="1" x14ac:dyDescent="0.25">
      <c r="D55" s="1" t="s">
        <v>237</v>
      </c>
      <c r="E55" s="120">
        <v>0.04</v>
      </c>
      <c r="F55" s="128">
        <v>0.04</v>
      </c>
      <c r="G55" s="2" t="s">
        <v>241</v>
      </c>
      <c r="R55" s="7"/>
    </row>
    <row r="56" spans="4:18" ht="20.100000000000001" customHeight="1" x14ac:dyDescent="0.25">
      <c r="D56" s="1" t="s">
        <v>238</v>
      </c>
      <c r="E56" s="120">
        <v>3.3000000000000002E-2</v>
      </c>
      <c r="F56" s="128">
        <v>3.3000000000000002E-2</v>
      </c>
      <c r="G56" s="2" t="s">
        <v>241</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213</v>
      </c>
      <c r="K1"/>
    </row>
    <row r="2" spans="1:19" s="9" customFormat="1" ht="20.100000000000001" customHeight="1" x14ac:dyDescent="0.25">
      <c r="A2"/>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22</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25</v>
      </c>
      <c r="E11" s="1" t="str" cm="1">
        <f t="array" ref="E11">EntericMethane_Dairy_Equations.VEERG_3_3_1_1__6_MetabolisabilityOfDiet_Variable()</f>
        <v>qm_j</v>
      </c>
    </row>
    <row r="12" spans="1:19" ht="20.100000000000001" customHeight="1" x14ac:dyDescent="0.25">
      <c r="D12" s="53" t="s">
        <v>15</v>
      </c>
      <c r="E12" s="54" t="str" cm="1">
        <f t="array" ref="E12">EntericMethane_Dairy_Equations.VEERG_3_3_1_1__6_MetabolisabilityOfDiet_Unit()</f>
        <v>fraction</v>
      </c>
    </row>
    <row r="13" spans="1:19" ht="20.100000000000001" customHeight="1" x14ac:dyDescent="0.25">
      <c r="A13" s="18" t="s">
        <v>69</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102</v>
      </c>
      <c r="M16" s="97" t="s">
        <v>104</v>
      </c>
    </row>
    <row r="17" spans="1:19" ht="20.100000000000001" customHeight="1" x14ac:dyDescent="0.25">
      <c r="A17" s="129" t="s">
        <v>1</v>
      </c>
      <c r="D17" s="96" t="s">
        <v>103</v>
      </c>
      <c r="M17" s="96" t="s">
        <v>181</v>
      </c>
    </row>
    <row r="18" spans="1:19" ht="20.100000000000001" customHeight="1" x14ac:dyDescent="0.25">
      <c r="A18" s="17" t="str">
        <f>HYPERLINK("#'Constants - Dairy'!A1", "Constants - Dairy")</f>
        <v>Constants - Dairy</v>
      </c>
      <c r="D18" s="40" t="s">
        <v>124</v>
      </c>
      <c r="E18" s="40" t="s">
        <v>141</v>
      </c>
      <c r="F18" s="40" t="s">
        <v>142</v>
      </c>
      <c r="G18" s="40" t="s">
        <v>143</v>
      </c>
      <c r="H18" s="40" t="s">
        <v>144</v>
      </c>
      <c r="M18" s="40" t="s">
        <v>124</v>
      </c>
      <c r="N18" s="40" t="s">
        <v>141</v>
      </c>
      <c r="O18" s="40" t="s">
        <v>142</v>
      </c>
      <c r="P18" s="40" t="s">
        <v>143</v>
      </c>
      <c r="Q18" s="40" t="s">
        <v>144</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170</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170</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171</v>
      </c>
      <c r="M21" s="97" t="s">
        <v>173</v>
      </c>
    </row>
    <row r="22" spans="1:19" ht="20.100000000000001" customHeight="1" x14ac:dyDescent="0.25">
      <c r="D22" s="96" t="s">
        <v>172</v>
      </c>
      <c r="M22" s="96" t="s">
        <v>174</v>
      </c>
    </row>
    <row r="23" spans="1:19" ht="20.100000000000001" customHeight="1" x14ac:dyDescent="0.25">
      <c r="D23" s="51" t="s">
        <v>124</v>
      </c>
      <c r="E23" s="51" t="s">
        <v>141</v>
      </c>
      <c r="F23" s="51" t="s">
        <v>142</v>
      </c>
      <c r="G23" s="51" t="s">
        <v>143</v>
      </c>
      <c r="H23" s="51" t="s">
        <v>144</v>
      </c>
      <c r="M23" s="51" t="s">
        <v>124</v>
      </c>
      <c r="N23" s="51" t="s">
        <v>141</v>
      </c>
      <c r="O23" s="51" t="s">
        <v>142</v>
      </c>
      <c r="P23" s="51" t="s">
        <v>143</v>
      </c>
      <c r="Q23" s="51" t="s">
        <v>144</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22</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25</v>
      </c>
      <c r="E34" s="1" t="str" cm="1">
        <f t="array" ref="E34">EntericMethane_Dairy_Equations.VEERG_3_3_1_1__5_MilkProductionFromMilkSolids_Variable()</f>
        <v>MP_j</v>
      </c>
    </row>
    <row r="35" spans="4:18" ht="20.100000000000001" customHeight="1" x14ac:dyDescent="0.25">
      <c r="D35" s="53" t="s">
        <v>15</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233</v>
      </c>
    </row>
    <row r="43" spans="4:18" ht="20.100000000000001" customHeight="1" x14ac:dyDescent="0.25">
      <c r="D43" s="96" t="s">
        <v>234</v>
      </c>
    </row>
    <row r="44" spans="4:18" ht="20.100000000000001" customHeight="1" x14ac:dyDescent="0.25">
      <c r="D44" s="40" t="s">
        <v>124</v>
      </c>
      <c r="E44" s="40" t="s">
        <v>141</v>
      </c>
      <c r="F44" s="40" t="s">
        <v>142</v>
      </c>
      <c r="G44" s="40" t="s">
        <v>143</v>
      </c>
      <c r="H44" s="40" t="s">
        <v>144</v>
      </c>
    </row>
    <row r="45" spans="4:18" ht="20.100000000000001" customHeight="1" x14ac:dyDescent="0.25">
      <c r="D45" s="52">
        <f>IF($I$37="Milk solids", 'Input - Dairy'!$E$52, 0)</f>
        <v>0</v>
      </c>
      <c r="E45" s="52">
        <v>0</v>
      </c>
      <c r="F45" s="52">
        <v>0</v>
      </c>
      <c r="G45" s="52">
        <v>0</v>
      </c>
      <c r="H45" s="52">
        <v>0</v>
      </c>
      <c r="I45" s="2" t="s">
        <v>177</v>
      </c>
    </row>
    <row r="46" spans="4:18" ht="20.100000000000001" customHeight="1" x14ac:dyDescent="0.25"/>
    <row r="47" spans="4:18" ht="20.100000000000001" customHeight="1" x14ac:dyDescent="0.25">
      <c r="D47" s="97" t="s">
        <v>235</v>
      </c>
      <c r="M47" s="97" t="s">
        <v>243</v>
      </c>
    </row>
    <row r="48" spans="4:18" ht="20.100000000000001" customHeight="1" x14ac:dyDescent="0.25">
      <c r="D48" s="96" t="s">
        <v>236</v>
      </c>
      <c r="M48" s="96" t="s">
        <v>244</v>
      </c>
    </row>
    <row r="49" spans="3:19" ht="20.100000000000001" customHeight="1" x14ac:dyDescent="0.25">
      <c r="D49" s="51" t="s">
        <v>124</v>
      </c>
      <c r="E49" s="51" t="s">
        <v>141</v>
      </c>
      <c r="F49" s="51" t="s">
        <v>142</v>
      </c>
      <c r="G49" s="51" t="s">
        <v>143</v>
      </c>
      <c r="H49" s="51" t="s">
        <v>144</v>
      </c>
      <c r="M49" s="51" t="s">
        <v>124</v>
      </c>
      <c r="N49" s="51" t="s">
        <v>141</v>
      </c>
      <c r="O49" s="51" t="s">
        <v>142</v>
      </c>
      <c r="P49" s="51" t="s">
        <v>143</v>
      </c>
      <c r="Q49" s="51" t="s">
        <v>144</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177</v>
      </c>
      <c r="M50" s="52" cm="1">
        <f t="array" ref="M50">EntericMethane_Dairy_Equations.VEERG_3_3_1_1__5_MilkProductionFromMilkSolids(D45,R39,R40)</f>
        <v>0</v>
      </c>
      <c r="N50" s="52">
        <v>0</v>
      </c>
      <c r="O50" s="52">
        <v>0</v>
      </c>
      <c r="P50" s="52">
        <v>0</v>
      </c>
      <c r="Q50" s="52">
        <v>0</v>
      </c>
      <c r="R50" s="2" t="s">
        <v>177</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22</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25</v>
      </c>
      <c r="E61" s="1" t="str" cm="1">
        <f t="array" ref="E61">EntericMethane_Dairy_Equations.VEERG_3_3_1_1__4_AdditionalIntakeForMilkProduction_Variable()</f>
        <v>MI_j</v>
      </c>
    </row>
    <row r="62" spans="3:19" ht="20.100000000000001" customHeight="1" x14ac:dyDescent="0.25">
      <c r="D62" s="53" t="s">
        <v>15</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180</v>
      </c>
    </row>
    <row r="73" spans="4:18" ht="20.100000000000001" customHeight="1" x14ac:dyDescent="0.25">
      <c r="D73" s="96" t="s">
        <v>148</v>
      </c>
    </row>
    <row r="74" spans="4:18" ht="20.100000000000001" customHeight="1" x14ac:dyDescent="0.25">
      <c r="D74" s="40" t="s">
        <v>124</v>
      </c>
      <c r="E74" s="40" t="s">
        <v>141</v>
      </c>
      <c r="F74" s="40" t="s">
        <v>142</v>
      </c>
      <c r="G74" s="40" t="s">
        <v>143</v>
      </c>
      <c r="H74" s="40" t="s">
        <v>144</v>
      </c>
    </row>
    <row r="75" spans="4:18" ht="20.100000000000001" customHeight="1" x14ac:dyDescent="0.25">
      <c r="D75" s="52">
        <f>IF(I64="Milk solids", 0, 'Input - Dairy'!$E$52)</f>
        <v>20</v>
      </c>
      <c r="E75" s="52">
        <v>0</v>
      </c>
      <c r="F75" s="52">
        <v>0</v>
      </c>
      <c r="G75" s="52">
        <v>0</v>
      </c>
      <c r="H75" s="52">
        <v>0</v>
      </c>
      <c r="I75" s="2" t="s">
        <v>177</v>
      </c>
    </row>
    <row r="76" spans="4:18" ht="20.100000000000001" customHeight="1" x14ac:dyDescent="0.25"/>
    <row r="77" spans="4:18" ht="20.100000000000001" customHeight="1" x14ac:dyDescent="0.25">
      <c r="D77" s="97" t="s">
        <v>175</v>
      </c>
      <c r="M77" s="97" t="s">
        <v>178</v>
      </c>
    </row>
    <row r="78" spans="4:18" ht="20.100000000000001" customHeight="1" x14ac:dyDescent="0.25">
      <c r="D78" s="96" t="s">
        <v>176</v>
      </c>
      <c r="M78" s="96" t="s">
        <v>179</v>
      </c>
    </row>
    <row r="79" spans="4:18" ht="20.100000000000001" customHeight="1" x14ac:dyDescent="0.25">
      <c r="D79" s="51" t="s">
        <v>124</v>
      </c>
      <c r="E79" s="51" t="s">
        <v>141</v>
      </c>
      <c r="F79" s="51" t="s">
        <v>142</v>
      </c>
      <c r="G79" s="51" t="s">
        <v>143</v>
      </c>
      <c r="H79" s="51" t="s">
        <v>144</v>
      </c>
      <c r="M79" s="51" t="s">
        <v>124</v>
      </c>
      <c r="N79" s="51" t="s">
        <v>141</v>
      </c>
      <c r="O79" s="51" t="s">
        <v>142</v>
      </c>
      <c r="P79" s="51" t="s">
        <v>143</v>
      </c>
      <c r="Q79" s="51" t="s">
        <v>144</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22</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25</v>
      </c>
      <c r="E89" s="1" t="str" cm="1">
        <f t="array" ref="E89">EntericMethane_Dairy_Equations.VEERG_3_3_1_1__3_DryMatterFeedIntake_Variable()</f>
        <v>I_j</v>
      </c>
    </row>
    <row r="90" spans="3:19" ht="20.100000000000001" customHeight="1" x14ac:dyDescent="0.25">
      <c r="D90" s="53" t="s">
        <v>15</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160</v>
      </c>
      <c r="M97" s="97" t="s">
        <v>162</v>
      </c>
    </row>
    <row r="98" spans="4:18" ht="20.100000000000001" customHeight="1" x14ac:dyDescent="0.25">
      <c r="D98" s="96" t="s">
        <v>161</v>
      </c>
      <c r="M98" s="96" t="s">
        <v>163</v>
      </c>
    </row>
    <row r="99" spans="4:18" ht="20.100000000000001" customHeight="1" x14ac:dyDescent="0.25">
      <c r="D99" s="40" t="s">
        <v>124</v>
      </c>
      <c r="E99" s="40" t="s">
        <v>141</v>
      </c>
      <c r="F99" s="40" t="s">
        <v>142</v>
      </c>
      <c r="G99" s="40" t="s">
        <v>143</v>
      </c>
      <c r="H99" s="40" t="s">
        <v>144</v>
      </c>
      <c r="M99" s="40" t="s">
        <v>124</v>
      </c>
      <c r="N99" s="40" t="s">
        <v>141</v>
      </c>
      <c r="O99" s="40" t="s">
        <v>142</v>
      </c>
      <c r="P99" s="40" t="s">
        <v>143</v>
      </c>
      <c r="Q99" s="40" t="s">
        <v>144</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146</v>
      </c>
      <c r="M100" s="52">
        <f>'Input - Dairy'!$E$18</f>
        <v>550</v>
      </c>
      <c r="N100" s="52">
        <f>'Input - Dairy'!$F$18</f>
        <v>380</v>
      </c>
      <c r="O100" s="52">
        <f>'Input - Dairy'!$G$18</f>
        <v>155</v>
      </c>
      <c r="P100" s="52">
        <f>'Input - Dairy'!$H$18</f>
        <v>600</v>
      </c>
      <c r="Q100" s="52">
        <f>'Input - Dairy'!$I$18</f>
        <v>225</v>
      </c>
      <c r="R100" s="2" t="s">
        <v>146</v>
      </c>
    </row>
    <row r="101" spans="4:18" ht="20.100000000000001" customHeight="1" x14ac:dyDescent="0.25"/>
    <row r="102" spans="4:18" ht="20.100000000000001" customHeight="1" x14ac:dyDescent="0.25">
      <c r="D102" s="97" t="s">
        <v>164</v>
      </c>
      <c r="M102" s="97" t="s">
        <v>166</v>
      </c>
    </row>
    <row r="103" spans="4:18" ht="20.100000000000001" customHeight="1" x14ac:dyDescent="0.25">
      <c r="D103" s="96" t="s">
        <v>165</v>
      </c>
      <c r="M103" s="96" t="s">
        <v>167</v>
      </c>
    </row>
    <row r="104" spans="4:18" ht="20.100000000000001" customHeight="1" x14ac:dyDescent="0.25">
      <c r="D104" s="40" t="s">
        <v>124</v>
      </c>
      <c r="E104" s="40" t="s">
        <v>141</v>
      </c>
      <c r="F104" s="40" t="s">
        <v>142</v>
      </c>
      <c r="G104" s="40" t="s">
        <v>143</v>
      </c>
      <c r="H104" s="40" t="s">
        <v>144</v>
      </c>
      <c r="M104" s="40" t="s">
        <v>124</v>
      </c>
      <c r="N104" s="40" t="s">
        <v>141</v>
      </c>
      <c r="O104" s="40" t="s">
        <v>142</v>
      </c>
      <c r="P104" s="40" t="s">
        <v>143</v>
      </c>
      <c r="Q104" s="40" t="s">
        <v>144</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147</v>
      </c>
      <c r="M105" s="52">
        <f>'Input - Dairy'!$E$19</f>
        <v>1.6E-2</v>
      </c>
      <c r="N105" s="52">
        <f>'Input - Dairy'!$F$19</f>
        <v>0.6</v>
      </c>
      <c r="O105" s="52">
        <f>'Input - Dairy'!$G$19</f>
        <v>0.56999999999999995</v>
      </c>
      <c r="P105" s="52">
        <f>'Input - Dairy'!$H$19</f>
        <v>0.1</v>
      </c>
      <c r="Q105" s="52">
        <f>'Input - Dairy'!$I$19</f>
        <v>0.8</v>
      </c>
      <c r="R105" s="2" t="s">
        <v>147</v>
      </c>
    </row>
    <row r="106" spans="4:18" ht="20.100000000000001" customHeight="1" x14ac:dyDescent="0.25"/>
    <row r="107" spans="4:18" ht="20.100000000000001" customHeight="1" x14ac:dyDescent="0.25">
      <c r="D107" s="97" t="s">
        <v>168</v>
      </c>
    </row>
    <row r="108" spans="4:18" ht="20.100000000000001" customHeight="1" x14ac:dyDescent="0.25">
      <c r="D108" s="96" t="s">
        <v>169</v>
      </c>
    </row>
    <row r="109" spans="4:18" ht="20.100000000000001" customHeight="1" x14ac:dyDescent="0.25">
      <c r="D109" s="51" t="s">
        <v>124</v>
      </c>
      <c r="E109" s="51" t="s">
        <v>141</v>
      </c>
      <c r="F109" s="51" t="s">
        <v>142</v>
      </c>
      <c r="G109" s="51" t="s">
        <v>143</v>
      </c>
      <c r="H109" s="51" t="s">
        <v>144</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90</v>
      </c>
    </row>
    <row r="111" spans="4:18" ht="20.100000000000001" customHeight="1" x14ac:dyDescent="0.25"/>
    <row r="112" spans="4:18" ht="20.100000000000001" customHeight="1" x14ac:dyDescent="0.25">
      <c r="D112" s="97" t="s">
        <v>98</v>
      </c>
      <c r="M112" s="97" t="s">
        <v>99</v>
      </c>
    </row>
    <row r="113" spans="3:19" ht="20.100000000000001" customHeight="1" x14ac:dyDescent="0.25">
      <c r="D113" s="96" t="s">
        <v>183</v>
      </c>
      <c r="M113" s="96" t="s">
        <v>182</v>
      </c>
    </row>
    <row r="114" spans="3:19" ht="20.100000000000001" customHeight="1" x14ac:dyDescent="0.25">
      <c r="D114" s="51" t="s">
        <v>124</v>
      </c>
      <c r="E114" s="51" t="s">
        <v>141</v>
      </c>
      <c r="F114" s="51" t="s">
        <v>142</v>
      </c>
      <c r="G114" s="51" t="s">
        <v>143</v>
      </c>
      <c r="H114" s="51" t="s">
        <v>144</v>
      </c>
      <c r="M114" s="51" t="s">
        <v>124</v>
      </c>
      <c r="N114" s="51" t="s">
        <v>141</v>
      </c>
      <c r="O114" s="51" t="s">
        <v>142</v>
      </c>
      <c r="P114" s="51" t="s">
        <v>143</v>
      </c>
      <c r="Q114" s="51" t="s">
        <v>144</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22</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25</v>
      </c>
      <c r="E124" s="1" t="str" cm="1">
        <f t="array" ref="E124">EntericMethane_Dairy_Equations.VEERG_3_3_1_1__2_DailyEntericMethaneProduction_Variable()</f>
        <v>M_j</v>
      </c>
    </row>
    <row r="125" spans="3:19" ht="20.100000000000001" customHeight="1" x14ac:dyDescent="0.25">
      <c r="D125" s="53" t="s">
        <v>15</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214</v>
      </c>
      <c r="M129" s="97" t="s">
        <v>216</v>
      </c>
    </row>
    <row r="130" spans="3:19" ht="20.100000000000001" customHeight="1" x14ac:dyDescent="0.25">
      <c r="D130" s="96" t="s">
        <v>215</v>
      </c>
      <c r="M130" s="96" t="s">
        <v>217</v>
      </c>
    </row>
    <row r="131" spans="3:19" ht="20.100000000000001" customHeight="1" x14ac:dyDescent="0.25">
      <c r="D131" s="51" t="s">
        <v>124</v>
      </c>
      <c r="E131" s="51" t="s">
        <v>141</v>
      </c>
      <c r="F131" s="51" t="s">
        <v>142</v>
      </c>
      <c r="G131" s="51" t="s">
        <v>143</v>
      </c>
      <c r="H131" s="51" t="s">
        <v>144</v>
      </c>
      <c r="M131" s="51" t="s">
        <v>124</v>
      </c>
      <c r="N131" s="51" t="s">
        <v>141</v>
      </c>
      <c r="O131" s="51" t="s">
        <v>142</v>
      </c>
      <c r="P131" s="51" t="s">
        <v>143</v>
      </c>
      <c r="Q131" s="51" t="s">
        <v>144</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22</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25</v>
      </c>
      <c r="E145" s="1" t="str" cm="1">
        <f t="array" ref="E145">EntericMethane_Dairy_Equations.VEERG_3_3_1_1__1_TotalAnnualMethaneFromEntericFermentation_Variable()</f>
        <v>E_enteric</v>
      </c>
    </row>
    <row r="146" spans="4:9" ht="20.100000000000001" customHeight="1" x14ac:dyDescent="0.25">
      <c r="D146" s="53" t="s">
        <v>15</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95</v>
      </c>
    </row>
    <row r="158" spans="4:9" ht="20.100000000000001" customHeight="1" x14ac:dyDescent="0.25">
      <c r="D158" s="96" t="s">
        <v>218</v>
      </c>
    </row>
    <row r="159" spans="4:9" ht="20.100000000000001" customHeight="1" x14ac:dyDescent="0.25">
      <c r="D159" s="40" t="s">
        <v>124</v>
      </c>
      <c r="E159" s="40" t="s">
        <v>141</v>
      </c>
      <c r="F159" s="40" t="s">
        <v>142</v>
      </c>
      <c r="G159" s="40" t="s">
        <v>143</v>
      </c>
      <c r="H159" s="40" t="s">
        <v>144</v>
      </c>
    </row>
    <row r="160" spans="4:9" ht="20.100000000000001"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184</v>
      </c>
      <c r="M162" s="97" t="s">
        <v>185</v>
      </c>
    </row>
    <row r="163" spans="4:18" ht="20.100000000000001" customHeight="1" x14ac:dyDescent="0.25">
      <c r="D163" s="96" t="s">
        <v>219</v>
      </c>
      <c r="M163" s="96" t="s">
        <v>221</v>
      </c>
    </row>
    <row r="164" spans="4:18" ht="20.100000000000001" customHeight="1" x14ac:dyDescent="0.25">
      <c r="D164" s="40" t="s">
        <v>124</v>
      </c>
      <c r="E164" s="40" t="s">
        <v>141</v>
      </c>
      <c r="F164" s="40" t="s">
        <v>142</v>
      </c>
      <c r="G164" s="40" t="s">
        <v>143</v>
      </c>
      <c r="H164" s="40" t="s">
        <v>144</v>
      </c>
      <c r="M164" s="40" t="s">
        <v>124</v>
      </c>
      <c r="N164" s="40" t="s">
        <v>141</v>
      </c>
      <c r="O164" s="40" t="s">
        <v>142</v>
      </c>
      <c r="P164" s="40" t="s">
        <v>143</v>
      </c>
      <c r="Q164" s="40" t="s">
        <v>144</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224</v>
      </c>
      <c r="M167" s="97" t="s">
        <v>222</v>
      </c>
    </row>
    <row r="168" spans="4:18" ht="20.100000000000001" customHeight="1" x14ac:dyDescent="0.25">
      <c r="D168" s="96" t="s">
        <v>220</v>
      </c>
      <c r="M168" s="96" t="s">
        <v>223</v>
      </c>
    </row>
    <row r="169" spans="4:18" ht="20.100000000000001" customHeight="1" x14ac:dyDescent="0.25">
      <c r="D169" s="40" t="s">
        <v>124</v>
      </c>
      <c r="E169" s="40" t="s">
        <v>141</v>
      </c>
      <c r="F169" s="40" t="s">
        <v>142</v>
      </c>
      <c r="G169" s="40" t="s">
        <v>143</v>
      </c>
      <c r="H169" s="40" t="s">
        <v>144</v>
      </c>
      <c r="M169" s="40" t="s">
        <v>124</v>
      </c>
      <c r="N169" s="40" t="s">
        <v>141</v>
      </c>
      <c r="O169" s="40" t="s">
        <v>142</v>
      </c>
      <c r="P169" s="40" t="s">
        <v>143</v>
      </c>
      <c r="Q169" s="40" t="s">
        <v>144</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225</v>
      </c>
    </row>
    <row r="173" spans="4:18" ht="20.100000000000001" customHeight="1" x14ac:dyDescent="0.25">
      <c r="D173" s="96" t="s">
        <v>220</v>
      </c>
    </row>
    <row r="174" spans="4:18" ht="20.100000000000001" customHeight="1" x14ac:dyDescent="0.25">
      <c r="D174" s="51" t="s">
        <v>142</v>
      </c>
      <c r="E174" s="51" t="s">
        <v>144</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226</v>
      </c>
      <c r="M177" s="97" t="s">
        <v>226</v>
      </c>
    </row>
    <row r="178" spans="1:18" ht="20.100000000000001" customHeight="1" x14ac:dyDescent="0.25">
      <c r="A178" s="121" t="str">
        <f>HYPERLINK("#A1", "▲ Back to top")</f>
        <v>▲ Back to top</v>
      </c>
      <c r="D178" s="96" t="s">
        <v>227</v>
      </c>
      <c r="M178" s="96" t="s">
        <v>227</v>
      </c>
    </row>
    <row r="179" spans="1:18" ht="20.100000000000001" customHeight="1" x14ac:dyDescent="0.25">
      <c r="D179" s="51" t="s">
        <v>124</v>
      </c>
      <c r="E179" s="51" t="s">
        <v>141</v>
      </c>
      <c r="F179" s="51" t="s">
        <v>142</v>
      </c>
      <c r="G179" s="51" t="s">
        <v>143</v>
      </c>
      <c r="H179" s="51" t="s">
        <v>144</v>
      </c>
      <c r="M179" s="51" t="s">
        <v>124</v>
      </c>
      <c r="N179" s="51" t="s">
        <v>141</v>
      </c>
      <c r="O179" s="51" t="s">
        <v>142</v>
      </c>
      <c r="P179" s="51" t="s">
        <v>143</v>
      </c>
      <c r="Q179" s="51" t="s">
        <v>144</v>
      </c>
    </row>
    <row r="180" spans="1:18" ht="20.100000000000001"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228</v>
      </c>
      <c r="E182" s="100">
        <f>SUM(D180:H180)</f>
        <v>32.464682683989999</v>
      </c>
      <c r="F182" s="101" t="str">
        <f>$E$146</f>
        <v>t CH4</v>
      </c>
      <c r="M182" s="99" t="s">
        <v>228</v>
      </c>
      <c r="N182" s="100">
        <f>SUM(M180:Q180)</f>
        <v>32.464682683989999</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32.464682683989999</v>
      </c>
      <c r="M184" s="57" t="str" cm="1">
        <f t="array" ref="M184:N185">Common_Equations.Common_ConvertCH4ToCO2e_Arguments()</f>
        <v>ECH4</v>
      </c>
      <c r="N184" s="58" t="str">
        <v>Methane emissions (t CH4)</v>
      </c>
      <c r="O184" s="102"/>
      <c r="P184" s="52">
        <f>N182</f>
        <v>32.464682683989999</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96</v>
      </c>
      <c r="E187" s="46" cm="1">
        <f t="array" ref="E187">Common_Equations.Common_ConvertN2OToCO2e(G184,G185)</f>
        <v>909.01111515171999</v>
      </c>
      <c r="F187" s="103" t="str" cm="1">
        <f t="array" ref="F187">Common_Equations.Common_ConvertN2OToCO2e_Unit()</f>
        <v>t CO2e</v>
      </c>
      <c r="M187" s="46" t="s">
        <v>96</v>
      </c>
      <c r="N187" s="46" cm="1">
        <f t="array" ref="N187">Common_Equations.Common_ConvertN2OToCO2e(P184,P185)</f>
        <v>909.01111515171999</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121</v>
      </c>
      <c r="G5" s="6" t="s">
        <v>122</v>
      </c>
      <c r="J5" s="6" t="s">
        <v>112</v>
      </c>
      <c r="M5" s="1"/>
    </row>
    <row r="6" spans="1:21" ht="20.100000000000001" customHeight="1" x14ac:dyDescent="0.25">
      <c r="M6" s="1"/>
    </row>
    <row r="7" spans="1:21" ht="20.100000000000001" customHeight="1" x14ac:dyDescent="0.25">
      <c r="D7" s="95" t="s">
        <v>63</v>
      </c>
      <c r="E7" s="38" t="s">
        <v>73</v>
      </c>
      <c r="G7" s="38" t="s">
        <v>111</v>
      </c>
      <c r="J7" s="38" t="s">
        <v>109</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113</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114</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115</v>
      </c>
      <c r="M10" s="1"/>
    </row>
    <row r="11" spans="1:21" ht="20.100000000000001" customHeight="1" x14ac:dyDescent="0.25">
      <c r="D11" s="38" t="str">
        <f>'Constants - Livestock'!$E$14</f>
        <v>Solid storage</v>
      </c>
      <c r="E11" s="38" t="str">
        <f>'Constants - Livestock'!$F$14</f>
        <v>Solid storage (m=4)</v>
      </c>
      <c r="J11" s="1" t="s">
        <v>116</v>
      </c>
      <c r="M11" s="1"/>
    </row>
    <row r="12" spans="1:21" ht="20.100000000000001" customHeight="1" x14ac:dyDescent="0.25">
      <c r="J12" s="1" t="s">
        <v>117</v>
      </c>
      <c r="M12" s="1"/>
    </row>
    <row r="13" spans="1:21" ht="20.100000000000001" customHeight="1" x14ac:dyDescent="0.25">
      <c r="A13" s="18" t="s">
        <v>69</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123</v>
      </c>
      <c r="E21" s="38" t="s">
        <v>124</v>
      </c>
      <c r="F21" s="38" t="s">
        <v>125</v>
      </c>
      <c r="G21" s="38" t="s">
        <v>126</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123</v>
      </c>
      <c r="E38" s="38" t="s">
        <v>128</v>
      </c>
      <c r="F38" s="38" t="s">
        <v>127</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124</v>
      </c>
      <c r="E46" s="38" t="s">
        <v>125</v>
      </c>
      <c r="F46" s="38" t="s">
        <v>126</v>
      </c>
      <c r="G46" s="38" t="s">
        <v>128</v>
      </c>
      <c r="H46" s="38" t="s">
        <v>127</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124</v>
      </c>
      <c r="E54" s="112" t="s">
        <v>125</v>
      </c>
      <c r="F54" s="112" t="s">
        <v>126</v>
      </c>
      <c r="G54" s="112" t="s">
        <v>128</v>
      </c>
      <c r="H54" s="112" t="s">
        <v>127</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129</v>
      </c>
      <c r="E62" s="38" t="s">
        <v>130</v>
      </c>
      <c r="F62" s="38" t="s">
        <v>131</v>
      </c>
      <c r="G62" s="38" t="s">
        <v>132</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91</v>
      </c>
      <c r="E72" s="38" t="s">
        <v>74</v>
      </c>
      <c r="F72" s="38" t="s">
        <v>75</v>
      </c>
      <c r="G72" s="38" t="s">
        <v>76</v>
      </c>
      <c r="H72" s="38" t="s">
        <v>77</v>
      </c>
      <c r="I72" s="38" t="s">
        <v>78</v>
      </c>
      <c r="J72" s="38" t="s">
        <v>79</v>
      </c>
      <c r="K72" s="38" t="s">
        <v>80</v>
      </c>
      <c r="L72" s="38" t="s">
        <v>81</v>
      </c>
      <c r="M72" s="38" t="s">
        <v>140</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91</v>
      </c>
      <c r="E86" s="38" t="s">
        <v>133</v>
      </c>
      <c r="F86" s="38" t="s">
        <v>134</v>
      </c>
      <c r="G86" s="38" t="s">
        <v>140</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129</v>
      </c>
      <c r="E98" s="38" t="s">
        <v>135</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129</v>
      </c>
      <c r="E107" s="38" t="s">
        <v>136</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137</v>
      </c>
      <c r="E116" s="38" t="s">
        <v>110</v>
      </c>
      <c r="F116" s="38" t="s">
        <v>138</v>
      </c>
      <c r="G116" s="38" t="s">
        <v>139</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91</v>
      </c>
      <c r="E128" s="38" t="s">
        <v>133</v>
      </c>
      <c r="F128" s="38" t="s">
        <v>140</v>
      </c>
      <c r="G128" s="104" t="s">
        <v>152</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129</v>
      </c>
      <c r="E141" s="38" t="s">
        <v>150</v>
      </c>
      <c r="F141" s="38" t="s">
        <v>151</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70</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69</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20</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6</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6</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85</v>
      </c>
      <c r="E134" t="s">
        <v>86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186</v>
      </c>
      <c r="E142" s="38" t="s">
        <v>86</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106</v>
      </c>
      <c r="E186" s="38" t="s">
        <v>107</v>
      </c>
      <c r="F186" s="38" t="s">
        <v>108</v>
      </c>
      <c r="G186" s="38" t="s">
        <v>109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6</v>
      </c>
      <c r="E206" s="38" t="s">
        <v>188</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193</v>
      </c>
      <c r="E212" s="38" t="s">
        <v>194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195</v>
      </c>
      <c r="F231" s="37" t="s">
        <v>196</v>
      </c>
      <c r="G231" s="38" t="s">
        <v>197</v>
      </c>
      <c r="H231" s="38" t="s">
        <v>198</v>
      </c>
      <c r="I231" s="38" t="s">
        <v>199</v>
      </c>
      <c r="J231" s="38" t="s">
        <v>200</v>
      </c>
      <c r="K231" s="38" t="s">
        <v>201</v>
      </c>
      <c r="L231" s="38" t="s">
        <v>202</v>
      </c>
      <c r="M231" s="38" t="s">
        <v>203</v>
      </c>
      <c r="N231" s="38" t="s">
        <v>204</v>
      </c>
      <c r="O231" s="38" t="s">
        <v>205</v>
      </c>
      <c r="P231" s="38" t="s">
        <v>206</v>
      </c>
      <c r="Q231" s="38" t="s">
        <v>207</v>
      </c>
      <c r="R231" s="38" t="s">
        <v>208</v>
      </c>
      <c r="S231" s="38" t="s">
        <v>209</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246</v>
      </c>
      <c r="E257" s="38" t="s">
        <v>247</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71</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72</v>
      </c>
      <c r="E8" s="38" t="s">
        <v>16</v>
      </c>
      <c r="F8" s="38" t="s">
        <v>73</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69</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