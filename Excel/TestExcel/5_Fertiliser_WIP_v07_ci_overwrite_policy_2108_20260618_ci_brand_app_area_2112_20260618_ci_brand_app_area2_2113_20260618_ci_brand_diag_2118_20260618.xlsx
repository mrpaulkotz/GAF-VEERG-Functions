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65F7B3E7-7A06-4938-A94A-AD3F9F7EE3DE}" xr6:coauthVersionLast="47" xr6:coauthVersionMax="47" xr10:uidLastSave="{00000000-0000-0000-0000-000000000000}"/>
  <bookViews>
    <workbookView xWindow="1020" yWindow="0" windowWidth="37140" windowHeight="20475"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0" l="1"/>
  <c r="H19" i="70"/>
  <c r="H20" i="70"/>
  <c r="H21" i="70"/>
  <c r="H22" i="70"/>
  <c r="F39" i="70" l="1"/>
  <c r="G39" i="70" s="1"/>
  <c r="K39" i="70"/>
  <c r="F28" i="70"/>
  <c r="G28" i="70" s="1"/>
  <c r="P28" i="70"/>
  <c r="G50" i="70"/>
  <c r="H50" i="70"/>
  <c r="I50" i="70" s="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49" i="116" a="1"/>
  <c r="E83" i="116" a="1"/>
  <c r="E7"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118" i="115" a="1"/>
  <c r="E43" i="115" a="1"/>
  <c r="E7" i="113" a="1"/>
  <c r="E38" i="113" a="1"/>
  <c r="E7" i="114" a="1"/>
  <c r="E90" i="115"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N60" i="69" a="1"/>
  <c r="E42" i="69" a="1"/>
  <c r="E7" i="74"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<sst xmlns="http://schemas.openxmlformats.org/spreadsheetml/2006/main" count="547" uniqueCount="329">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</sst>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5.6917155428571425E-2</v>
      </c>
      <c r="F14" s="170">
        <f>E14</f>
        <v>5.6917155428571425E-2</v>
      </c>
      <c r="G14" s="52" t="s">
        <v>99</v>
      </c>
      <c r="H14" s="102">
        <f>'5.5.1.1-2 Leaching and runoff'!$E$99</f>
        <v>15.083046188571428</v>
      </c>
      <c r="I14" s="102">
        <f>H14</f>
        <v>15.083046188571428</v>
      </c>
      <c r="J14" s="52" t="s">
        <v>91</v>
      </c>
      <c r="K14" s="22"/>
    </row>
    <row r="15" spans="1:11" ht="20.100000000000001" customHeight="1" x14ac:dyDescent="0.3">
      <c r="A15" s="17" t="str">
        <f>HYPERLINK("#'5.3.1.1-2 Lime CO2'!A1", "5.3.1.1-2 Lime CO2")</f>
        <v>5.3.1.1-2 Lime CO2</v>
      </c>
      <c r="C15" s="22"/>
      <c r="D15" s="29" t="s">
        <v>86</v>
      </c>
      <c r="E15" s="23"/>
      <c r="F15" s="23"/>
      <c r="G15" s="29"/>
      <c r="H15" s="103">
        <f>SUM(H9:H14)</f>
        <v>141.78493623380953</v>
      </c>
      <c r="I15" s="103">
        <f>SUM(I9:I14)</f>
        <v>141.78493623380953</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2" sqref="E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5" zoomScale="85" zoomScaleNormal="85" workbookViewId="0">
      <selection activeCell="D18" sqref="D18:D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319</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319</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321</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320</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f>$E$9</f>
        <v>100</v>
      </c>
      <c r="G26" s="124">
        <f>Table_Input_InorganicFertiliser_Custom[[#This Row],[Amount applied (kg / ha)]]*Table_Input_InorganicFertiliser_Custom[[#This Row],[Application area (ha)]]</f>
        <v>10000</v>
      </c>
      <c r="H26" s="134" t="s">
        <v>313</v>
      </c>
      <c r="I26" s="137">
        <v>0.5</v>
      </c>
      <c r="J26" s="134" t="s">
        <v>314</v>
      </c>
      <c r="K26" s="137">
        <v>0.2</v>
      </c>
      <c r="L26" s="134" t="s">
        <v>155</v>
      </c>
      <c r="M26" s="137">
        <v>0.2</v>
      </c>
      <c r="N26" s="135" t="s">
        <v>156</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316</v>
      </c>
      <c r="E27" s="117">
        <v>100</v>
      </c>
      <c r="F27" s="180">
        <f>$E$9</f>
        <v>100</v>
      </c>
      <c r="G27" s="124">
        <f>Table_Input_InorganicFertiliser_Custom[[#This Row],[Amount applied (kg / ha)]]*Table_Input_InorganicFertiliser_Custom[[#This Row],[Application area (ha)]]</f>
        <v>10000</v>
      </c>
      <c r="H27" s="134" t="s">
        <v>317</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323</v>
      </c>
      <c r="E28" s="117">
        <v>100</v>
      </c>
      <c r="F28" s="180">
        <f>$E$9</f>
        <v>100</v>
      </c>
      <c r="G28" s="124">
        <f>Table_Input_InorganicFertiliser_Custom[[#This Row],[Amount applied (kg / ha)]]*Table_Input_InorganicFertiliser_Custom[[#This Row],[Application area (ha)]]</f>
        <v>10000</v>
      </c>
      <c r="H28" s="134" t="s">
        <v>324</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237</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240</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5">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286</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zoomScale="85" zoomScaleNormal="85" workbookViewId="0">
      <selection activeCell="D21" sqref="D21:D3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2026-06-18T11:18:23Z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