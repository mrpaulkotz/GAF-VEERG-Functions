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59AE9F7-062B-4A2F-B6DA-F0BD8F531CDE}"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M65" i="69" a="1"/>
  <c r="M65" i="69" s="1"/>
  <c r="F60" i="69"/>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<sst xmlns="http://schemas.openxmlformats.org/spreadsheetml/2006/main" count="287" uniqueCount="186">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</sst>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140</v>
      </c>
      <c r="K7" s="24"/>
      <c r="L7" s="24"/>
    </row>
    <row r="8" spans="1:12" ht="20.100000000000001" customHeight="1" x14ac:dyDescent="0.3">
      <c r="A8" s="17" t="str">
        <f>HYPERLINK("#'Input - Site'!A1", "Site")</f>
        <v>Site</v>
      </c>
      <c r="C8" s="24"/>
      <c r="D8" s="31" t="s">
        <v>127</v>
      </c>
      <c r="E8" s="25"/>
      <c r="F8" s="31"/>
      <c r="G8" s="31"/>
      <c r="H8" s="99">
        <f>SUM(H7:H7)</f>
        <v>1035.8779200000004</v>
      </c>
      <c r="I8" s="99">
        <f>SUM(I7:I7)</f>
        <v>1208.5864000000001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36.995640000000009</v>
      </c>
      <c r="F67" s="91" t="str">
        <f>$E$46</f>
        <v>t CH4</v>
      </c>
      <c r="M67" s="89" t="s">
        <v>176</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1035.8779200000004</v>
      </c>
      <c r="F72" s="93" t="str" cm="1">
        <f t="array" ref="F72">Common_Equations.Common_ConvertN2OToCO2e_Unit()</f>
        <v>t CO2e</v>
      </c>
      <c r="M72" s="45" t="s">
        <v>113</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