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A7413438-AA85-4FB8-BE69-95F167BA941C}" xr6:coauthVersionLast="47" xr6:coauthVersionMax="47" xr10:uidLastSave="{00000000-0000-0000-0000-000000000000}"/>
  <bookViews>
    <workbookView xWindow="1020" yWindow="0" windowWidth="37140" windowHeight="20475" firstSheet="2"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X_Cell_Dairy_ManureAppliedIrrigationMethod">'Input - Dairy'!$E$126</definedName>
    <definedName name="X_Cell_Dairy_ManureAppliedProductionSystem">'Input - Dairy'!$E$125</definedName>
    <definedName name="X_Cell_Dairy_MilkProductionAmount">'Input - Dairy'!$E$52</definedName>
    <definedName name="X_Cell_Dairy_MilkProductionUnit">'Input - Dairy'!$E$49</definedName>
    <definedName name="X_Cell_Dairy_ProductionSystemTemplate">'Input - Dairy'!$E$62</definedName>
    <definedName name="X_Cell_Dairy_Stage1MMS_1_AnaerobicLagoon_AmountSeparated_Method1">'Input - Dairy'!$E$83</definedName>
    <definedName name="X_Cell_Dairy_Stage1MMS_1_AnaerobicLagoon_AmountSeparated_Method2">'Input - Dairy'!$E$84</definedName>
    <definedName name="X_Cell_Dairy_Stage1MMS_1_AnaerobicLagoon_SolidsSeparated">'Input - Dairy'!$E$82</definedName>
    <definedName name="X_Cell_Dairy_Stage1MMS_1_DrainsToPaddock_AmountSeparated_Method1">'Input - Dairy'!$E$93</definedName>
    <definedName name="X_Cell_Dairy_Stage1MMS_1_DrainsToPaddock_AmountSeparated_Method2">'Input - Dairy'!$E$94</definedName>
    <definedName name="X_Cell_Dairy_Stage1MMS_1_DrainsToPaddock_SolidsSeparated">'Input - Dairy'!$E$92</definedName>
    <definedName name="X_Cell_Dairy_Stage1MMS_1_SumpAndDispersal_AmountSeparated_Method1">'Input - Dairy'!$E$88</definedName>
    <definedName name="X_Cell_Dairy_Stage1MMS_1_SumpAndDispersal_AmountSeparated_Method2">'Input - Dairy'!$E$89</definedName>
    <definedName name="X_Cell_Dairy_Stage1MMS_1_SumpAndDispersal_SolidsSeparated">'Input - Dairy'!$E$87</definedName>
    <definedName name="X_Cell_Dairy_Stage1MMS_2_AnaerobicLagoon_AmountSeparated_Method1">'Input - Dairy'!$E$107</definedName>
    <definedName name="X_Cell_Dairy_Stage1MMS_2_AnaerobicLagoon_AmountSeparated_Method2">'Input - Dairy'!$E$108</definedName>
    <definedName name="X_Cell_Dairy_Stage1MMS_2_AnaerobicLagoon_SolidsSeparated">'Input - Dairy'!$E$106</definedName>
    <definedName name="X_Cell_Dairy_Stage1MMS_2_DrainsToPaddock_AmountSeparated_Method1">'Input - Dairy'!$E$117</definedName>
    <definedName name="X_Cell_Dairy_Stage1MMS_2_DrainsToPaddock_AmountSeparated_Method2">'Input - Dairy'!$E$118</definedName>
    <definedName name="X_Cell_Dairy_Stage1MMS_2_DrainsToPaddock_SolidsSeparated">'Input - Dairy'!$E$116</definedName>
    <definedName name="X_Cell_Dairy_Stage1MMS_2_SumpAndDispersal_AmountSeparated_Method1">'Input - Dairy'!$E$112</definedName>
    <definedName name="X_Cell_Dairy_Stage1MMS_2_SumpAndDispersal_AmountSeparated_Method2">'Input - Dairy'!$E$113</definedName>
    <definedName name="X_Cell_Dairy_Stage1MMS_2_SumpAndDispersal_SolidsSeparated">'Input - Dairy'!$E$111</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 name="X_Table_Dairy_ProductionSystems_Method1">'Input - Dairy'!$D$64:$I$67</definedName>
    <definedName name="X_Table_Dairy_ProductionSystems_Method2">'Input - Dairy'!$D$69:$I$72</definedName>
    <definedName name="X_Table_Dairy_Stage1MMS_1_AnaerobicLagoon">'Input - Dairy'!$D$81:$I$81</definedName>
    <definedName name="X_Table_Dairy_Stage1MMS_1_AnaerobicLagoon_Destinations">'Input - Dairy'!$K$81:$M$81</definedName>
    <definedName name="X_Table_Dairy_Stage1MMS_1_DrainsToPaddock">'Input - Dairy'!$D$91:$I$91</definedName>
    <definedName name="X_Table_Dairy_Stage1MMS_1_DrainsToPaddock_Destinations">'Input - Dairy'!$K$91:$M$91</definedName>
    <definedName name="X_Table_Dairy_Stage1MMS_1_SolidStorage">'Input - Dairy'!$D$96:$I$96</definedName>
    <definedName name="X_Table_Dairy_Stage1MMS_1_SolidStorage_Destinations">'Input - Dairy'!$K$96:$M$96</definedName>
    <definedName name="X_Table_Dairy_Stage1MMS_1_SumpAndDispersal">'Input - Dairy'!$D$86:$I$86</definedName>
    <definedName name="X_Table_Dairy_Stage1MMS_1_SumpAndDispersal_Destinations">'Input - Dairy'!$K$86:$M$86</definedName>
    <definedName name="X_Table_Dairy_Stage1MMS_2_AnaerobicLagoon">'Input - Dairy'!$D$105:$I$105</definedName>
    <definedName name="X_Table_Dairy_Stage1MMS_2_AnaerobicLagoon_Destinations">'Input - Dairy'!$K$105:$M$105</definedName>
    <definedName name="X_Table_Dairy_Stage1MMS_2_DrainsToPaddock">'Input - Dairy'!$D$115:$I$115</definedName>
    <definedName name="X_Table_Dairy_Stage1MMS_2_DrainsToPaddock_Destinations">'Input - Dairy'!$K$115:$M$115</definedName>
    <definedName name="X_Table_Dairy_Stage1MMS_2_SolidStorage">'Input - Dairy'!$D$120:$I$120</definedName>
    <definedName name="X_Table_Dairy_Stage1MMS_2_SolidStorage_Destinations">'Input - Dairy'!$K$120:$M$120</definedName>
    <definedName name="X_Table_Dairy_Stage1MMS_2_SumpAndDispersal">'Input - Dairy'!$D$110:$I$110</definedName>
    <definedName name="X_Table_Dairy_Stage1MMS_2_SumpAndDispersal_Destinations">'Input - Dairy'!$K$110:$M$110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T40" i="69" l="1"/>
  <c r="I39" i="69"/>
  <c r="D71" i="76" a="1"/>
  <c r="D71" i="76" s="1"/>
  <c r="I80" i="76" a="1"/>
  <c r="I80" i="76" s="1"/>
  <c r="I78" i="76"/>
  <c r="G78" i="76" a="1"/>
  <c r="G78" i="76" s="1"/>
  <c r="D78" i="76" a="1"/>
  <c r="D78" i="76" s="1"/>
  <c r="T39"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F71" i="81"/>
  <c r="F70" i="81"/>
  <c r="F69" i="81"/>
  <c r="F68" i="81"/>
  <c r="F67" i="81"/>
  <c r="F66" i="81"/>
  <c r="F65" i="81"/>
  <c r="F64" i="8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I14" i="98" s="1"/>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39" i="97" s="1"/>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32" i="97" a="1"/>
  <c r="E7" i="81" a="1"/>
  <c r="E7" i="96" a="1"/>
  <c r="E55" i="82" a="1"/>
  <c r="E7" i="95" a="1"/>
  <c r="E36" i="95" a="1"/>
  <c r="E37" i="96" a="1"/>
  <c r="E37" i="98" a="1"/>
  <c r="E7" i="98" a="1"/>
  <c r="E7" i="97" a="1"/>
  <c r="E91" i="81"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9" i="69" s="1"/>
  <c r="D159" i="79" a="1"/>
  <c r="D159" i="79" s="1"/>
  <c r="D158" i="79" a="1"/>
  <c r="D158" i="79" s="1"/>
  <c r="D157" i="79" a="1"/>
  <c r="D157" i="79" s="1"/>
  <c r="D156" i="79" a="1"/>
  <c r="D156" i="79" s="1"/>
  <c r="D150" i="79" a="1"/>
  <c r="D150" i="79" s="1"/>
  <c r="D151" i="79" a="1"/>
  <c r="D151" i="79" s="1"/>
  <c r="D152" i="79" a="1"/>
  <c r="D152" i="79" s="1"/>
  <c r="D153" i="79" a="1"/>
  <c r="D153" i="79" s="1"/>
  <c r="E121" i="76" s="1"/>
  <c r="D149" i="79" a="1"/>
  <c r="D149" i="79" s="1"/>
  <c r="D119" i="69" a="1"/>
  <c r="D119" i="69" s="1"/>
  <c r="E123" i="69" a="1"/>
  <c r="E123" i="69" s="1"/>
  <c r="E124" i="69" a="1"/>
  <c r="E124" i="69" s="1"/>
  <c r="I133" i="69" s="1"/>
  <c r="D118" i="69" a="1"/>
  <c r="D118" i="69" s="1"/>
  <c r="Q168" i="69"/>
  <c r="F168" i="69"/>
  <c r="Q167" i="69"/>
  <c r="F167" i="69"/>
  <c r="D77" i="70"/>
  <c r="D101" i="70"/>
  <c r="E132" i="76" a="1"/>
  <c r="E183" i="76" a="1"/>
  <c r="E212" i="69" a="1"/>
  <c r="E186" i="69" a="1"/>
  <c r="E153" i="76" a="1"/>
  <c r="E56" i="69" a="1"/>
  <c r="E120" i="69" a="1"/>
  <c r="E72" i="76" a="1"/>
  <c r="E7" i="82" a="1"/>
  <c r="E252" i="69" a="1"/>
  <c r="E8" i="69" a="1"/>
  <c r="E219" i="76" a="1"/>
  <c r="E109" i="76" a="1"/>
  <c r="E139" i="69" a="1"/>
  <c r="E85" i="69" a="1"/>
  <c r="E7" i="76" a="1"/>
  <c r="E35" i="76" a="1"/>
  <c r="E256" i="76" a="1"/>
  <c r="I62" i="82" l="1"/>
  <c r="J14" i="95"/>
  <c r="V40" i="82"/>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E19" i="69"/>
  <c r="V205" i="69"/>
  <c r="K206" i="69"/>
  <c r="K205" i="69"/>
  <c r="F19" i="69"/>
  <c r="G19" i="69"/>
  <c r="F121" i="76"/>
  <c r="H121" i="76"/>
  <c r="G121" i="76"/>
  <c r="D121" i="76"/>
  <c r="H19"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G208" i="76" l="1"/>
  <c r="Q208" i="76"/>
  <c r="G285" i="69"/>
  <c r="P203" i="76"/>
  <c r="Q275" i="69"/>
  <c r="H275" i="69"/>
  <c r="H203" i="76"/>
  <c r="F208" i="76"/>
  <c r="F285" i="69"/>
  <c r="F275" i="69"/>
  <c r="F203" i="76"/>
  <c r="E171" i="76"/>
  <c r="E275" i="69"/>
  <c r="R203" i="76"/>
  <c r="S275" i="69"/>
  <c r="D275" i="69"/>
  <c r="D171" i="76"/>
  <c r="D208" i="76"/>
  <c r="N208" i="76"/>
  <c r="D285" i="69"/>
  <c r="P275" i="69"/>
  <c r="P285" i="69"/>
  <c r="O171" i="76"/>
  <c r="H208" i="76"/>
  <c r="H285" i="69"/>
  <c r="G275" i="69"/>
  <c r="G171" i="76"/>
  <c r="E208" i="76"/>
  <c r="E285" i="69"/>
  <c r="O208" i="76"/>
  <c r="Q171" i="76"/>
  <c r="R275" i="69"/>
  <c r="R285" i="69"/>
  <c r="N171" i="76"/>
  <c r="O275" i="69"/>
  <c r="O285" i="69"/>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J151" i="69"/>
  <c r="J173" i="69" s="1" a="1"/>
  <c r="J173" i="69" s="1"/>
  <c r="J199" i="69"/>
  <c r="I199" i="69"/>
  <c r="G199" i="69"/>
  <c r="H199" i="69"/>
  <c r="I151" i="69"/>
  <c r="I173" i="69" s="1" a="1"/>
  <c r="I173" i="69" s="1"/>
  <c r="H151" i="69"/>
  <c r="H173" i="69" s="1" a="1"/>
  <c r="H173" i="69" s="1"/>
  <c r="G151" i="69"/>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P68" i="82" s="1" a="1"/>
  <c r="P68" i="82" s="1"/>
  <c r="F9" i="13"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E10" i="13"/>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P85" i="81" l="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<sst xmlns="http://schemas.openxmlformats.org/spreadsheetml/2006/main" count="1636" uniqueCount="476">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</sst>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427</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437</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426</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382</v>
      </c>
      <c r="F6" s="122" t="s">
        <v>383</v>
      </c>
      <c r="G6" s="122" t="s">
        <v>158</v>
      </c>
      <c r="H6" s="122" t="s">
        <v>388</v>
      </c>
      <c r="I6" s="122" t="s">
        <v>389</v>
      </c>
      <c r="J6" s="122" t="s">
        <v>159</v>
      </c>
      <c r="K6" s="24"/>
    </row>
    <row r="7" spans="1:11" ht="20.100000000000001" customHeight="1" x14ac:dyDescent="0.25">
      <c r="A7" s="20" t="s">
        <v>3</v>
      </c>
      <c r="C7" s="24"/>
      <c r="D7" s="1" t="s">
        <v>384</v>
      </c>
      <c r="E7" s="117">
        <f>'4.3.1.1-2 Methane'!$E$300</f>
        <v>11.006573699319889</v>
      </c>
      <c r="F7" s="117">
        <f>'4.3.1.1-2 Methane'!$P$300</f>
        <v>11.385488679680847</v>
      </c>
      <c r="G7" s="57" t="str">
        <f>'4.3.1.1-2 Methane'!$F$300</f>
        <v>t CH4</v>
      </c>
      <c r="H7" s="117">
        <f>'4.3.1.1-2 Methane'!$E$305</f>
        <v>308.18406358095689</v>
      </c>
      <c r="I7" s="117">
        <f>'4.3.1.1-2 Methane'!$P$305</f>
        <v>318.79368303106372</v>
      </c>
      <c r="J7" s="57" t="str">
        <f>'4.3.1.1-2 Methane'!$F$305</f>
        <v>t CO2e</v>
      </c>
      <c r="K7" s="24"/>
    </row>
    <row r="8" spans="1:11" ht="20.100000000000001" customHeight="1" x14ac:dyDescent="0.25">
      <c r="A8" s="17" t="str">
        <f>HYPERLINK("#'Input - Site'!A1", "Site")</f>
        <v>Site</v>
      </c>
      <c r="C8" s="24"/>
      <c r="D8" s="1" t="s">
        <v>385</v>
      </c>
      <c r="E8" s="117">
        <f>'4.3.1.3-4 Direct N20'!$E$287</f>
        <v>6.891966997822202E-2</v>
      </c>
      <c r="F8" s="117">
        <f>'4.3.1.3-4 Direct N20'!$O$287</f>
        <v>6.891966997822202E-2</v>
      </c>
      <c r="G8" s="57" t="str">
        <f>'4.3.1.3-4 Direct N20'!$F$287</f>
        <v>t N2O</v>
      </c>
      <c r="H8" s="117">
        <f>'4.3.1.3-4 Direct N20'!$E$292</f>
        <v>18.263712544228834</v>
      </c>
      <c r="I8" s="117">
        <f>'4.3.1.3-4 Direct N20'!$O$292</f>
        <v>18.263712544228834</v>
      </c>
      <c r="J8" s="57" t="str">
        <f>'4.3.1.3-4 Direct N20'!$F$292</f>
        <v>t CO2e</v>
      </c>
      <c r="K8" s="24"/>
    </row>
    <row r="9" spans="1:11" ht="20.100000000000001" customHeight="1" x14ac:dyDescent="0.25">
      <c r="A9" s="17" t="str">
        <f>HYPERLINK("#'Input - Dairy'!A1", "Dairy")</f>
        <v>Dairy</v>
      </c>
      <c r="C9" s="24"/>
      <c r="D9" s="1" t="s">
        <v>386</v>
      </c>
      <c r="E9" s="117">
        <f>'4.3.1.5 Atmos deposition'!$E$68</f>
        <v>5.1240277368979369E-2</v>
      </c>
      <c r="F9" s="117">
        <f>'4.3.1.5 Atmos deposition'!$P$68</f>
        <v>5.1240277368979369E-2</v>
      </c>
      <c r="G9" s="57" t="str">
        <f>'4.3.1.5 Atmos deposition'!$F$68</f>
        <v>t N2O</v>
      </c>
      <c r="H9" s="117">
        <f>'4.3.1.5 Atmos deposition'!$E$73</f>
        <v>13.578673502779532</v>
      </c>
      <c r="I9" s="117">
        <f>'4.3.1.5 Atmos deposition'!$P$73</f>
        <v>13.578673502779532</v>
      </c>
      <c r="J9" s="57" t="str">
        <f>'4.3.1.5 Atmos deposition'!$F$73</f>
        <v>t CO2e</v>
      </c>
      <c r="K9" s="24"/>
    </row>
    <row r="10" spans="1:11" ht="20.100000000000001" customHeight="1" x14ac:dyDescent="0.25">
      <c r="A10" s="17"/>
      <c r="C10" s="24"/>
      <c r="D10" s="1" t="s">
        <v>387</v>
      </c>
      <c r="E10" s="117">
        <f>'4.3.1.6-7 Leaching and runoff'!$E$52</f>
        <v>3.0324654790417692E-3</v>
      </c>
      <c r="F10" s="117">
        <f>'4.3.1.6-7 Leaching and runoff'!$P$52</f>
        <v>3.0324654790417692E-3</v>
      </c>
      <c r="G10" s="57" t="str">
        <f>'4.3.1.6-7 Leaching and runoff'!$F$52</f>
        <v>t N2O</v>
      </c>
      <c r="H10" s="117">
        <f>'4.3.1.6-7 Leaching and runoff'!$E$57</f>
        <v>0.8036033519460688</v>
      </c>
      <c r="I10" s="117">
        <f>'4.3.1.6-7 Leaching and runoff'!$P$57</f>
        <v>0.8036033519460688</v>
      </c>
      <c r="J10" s="57" t="str">
        <f>'4.3.1.6-7 Leaching and runoff'!$F$57</f>
        <v>t CO2e</v>
      </c>
      <c r="K10" s="24"/>
    </row>
    <row r="11" spans="1:11" ht="20.100000000000001" customHeight="1" x14ac:dyDescent="0.25">
      <c r="A11" s="19" t="s">
        <v>78</v>
      </c>
      <c r="C11" s="24"/>
      <c r="D11" s="1" t="s">
        <v>354</v>
      </c>
      <c r="E11" s="117">
        <f>'4.3.1.9 Soil direct N2O'!$E$53</f>
        <v>8.1377786110272132E-2</v>
      </c>
      <c r="F11" s="117">
        <f>'4.3.1.9 Soil direct N2O'!$P$53</f>
        <v>8.1377786110272132E-2</v>
      </c>
      <c r="G11" s="57" t="str">
        <f>'4.3.1.9 Soil direct N2O'!$F$53</f>
        <v>t N2O</v>
      </c>
      <c r="H11" s="117">
        <f>'4.3.1.9 Soil direct N2O'!$E$58</f>
        <v>21.565113319222114</v>
      </c>
      <c r="I11" s="117">
        <f>'4.3.1.9 Soil direct N2O'!$P$58</f>
        <v>21.565113319222114</v>
      </c>
      <c r="J11" s="57" t="str">
        <f>'4.3.1.9 Soil direct N2O'!$F$58</f>
        <v>t CO2e</v>
      </c>
      <c r="K11" s="24"/>
    </row>
    <row r="12" spans="1:11" ht="20.100000000000001" customHeight="1" x14ac:dyDescent="0.25">
      <c r="A12" s="17" t="str">
        <f>HYPERLINK("#'4.3.1.1-2 Methane'!A1", "4.3.1.1-2 Methane")</f>
        <v>4.3.1.1-2 Methane</v>
      </c>
      <c r="C12" s="24"/>
      <c r="D12" s="1" t="s">
        <v>370</v>
      </c>
      <c r="E12" s="117">
        <f>'4.3.1.10-11 Soil Atmos Dep'!$E$45</f>
        <v>5.0413538495313583E-2</v>
      </c>
      <c r="F12" s="117">
        <f>'4.3.1.10-11 Soil Atmos Dep'!$P$45</f>
        <v>5.0413538495313583E-2</v>
      </c>
      <c r="G12" s="57" t="str">
        <f>'4.3.1.10-11 Soil Atmos Dep'!$F$45</f>
        <v>t N2O</v>
      </c>
      <c r="H12" s="117">
        <f>'4.3.1.10-11 Soil Atmos Dep'!$E$50</f>
        <v>13.3595877012581</v>
      </c>
      <c r="I12" s="117">
        <f>'4.3.1.10-11 Soil Atmos Dep'!$P$50</f>
        <v>13.3595877012581</v>
      </c>
      <c r="J12" s="57" t="str">
        <f>'4.3.1.10-11 Soil Atmos Dep'!$F$50</f>
        <v>t CO2e</v>
      </c>
      <c r="K12" s="24"/>
    </row>
    <row r="13" spans="1:11" ht="20.100000000000001" customHeight="1" x14ac:dyDescent="0.25">
      <c r="A13" s="17" t="str">
        <f>HYPERLINK("#'4.3.1.3-4 Direct N20'!A1", "4.3.1.3-4 Direct N2O")</f>
        <v>4.3.1.3-4 Direct N2O</v>
      </c>
      <c r="C13" s="24"/>
      <c r="D13" s="1" t="s">
        <v>371</v>
      </c>
      <c r="E13" s="117">
        <f>'4.3.1.12-13 Soil leach runoff'!$E$47</f>
        <v>0.10741867766555921</v>
      </c>
      <c r="F13" s="117">
        <f>'4.3.1.12-13 Soil leach runoff'!$P$47</f>
        <v>0.10741867766555921</v>
      </c>
      <c r="G13" s="57" t="str">
        <f>'4.3.1.12-13 Soil leach runoff'!$F$47</f>
        <v>t N2O</v>
      </c>
      <c r="H13" s="117">
        <f>'4.3.1.12-13 Soil leach runoff'!$E$52</f>
        <v>28.465949581373192</v>
      </c>
      <c r="I13" s="117">
        <f>'4.3.1.12-13 Soil leach runoff'!$P$52</f>
        <v>28.465949581373192</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f>SUM(H7:H13)</f>
        <v>404.22070358176472</v>
      </c>
      <c r="I14" s="119">
        <f>SUM(I7:I13)</f>
        <v>414.83032303187156</v>
      </c>
      <c r="J14" s="112" t="s">
        <v>352</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340</v>
      </c>
      <c r="E16" s="1"/>
      <c r="F16" s="1"/>
      <c r="G16" s="1"/>
      <c r="H16" s="26"/>
      <c r="I16" s="1"/>
      <c r="J16" s="1"/>
      <c r="K16" s="24"/>
    </row>
    <row r="17" spans="1:11" ht="20.100000000000001" customHeight="1" x14ac:dyDescent="0.25">
      <c r="A17" s="17" t="str">
        <f>HYPERLINK("#'4.3.1.9 Soil direct N2O'!A1", "4.3.1.9 Soil direct N2O")</f>
        <v>4.3.1.9 Soil direct N2O</v>
      </c>
      <c r="C17" s="24"/>
      <c r="D17" s="113" t="s">
        <v>163</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169</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164</v>
      </c>
      <c r="E19" s="122" t="s">
        <v>472</v>
      </c>
      <c r="F19" s="122" t="s">
        <v>473</v>
      </c>
      <c r="G19" s="122" t="s">
        <v>162</v>
      </c>
      <c r="H19" s="122" t="s">
        <v>157</v>
      </c>
      <c r="I19" s="122" t="s">
        <v>168</v>
      </c>
      <c r="J19" s="1"/>
      <c r="K19" s="24"/>
    </row>
    <row r="20" spans="1:11" ht="20.100000000000001" customHeight="1" x14ac:dyDescent="0.25">
      <c r="A20" s="17"/>
      <c r="C20" s="24"/>
      <c r="D20" s="1" t="s">
        <v>396</v>
      </c>
      <c r="E20" s="121">
        <f>'4.3.1.8 Manure applied to soils'!$E$85</f>
        <v>12637.296364050231</v>
      </c>
      <c r="F20" s="121">
        <f>'4.3.1.8 Manure applied to soils'!$P$85</f>
        <v>12637.296364050231</v>
      </c>
      <c r="G20" s="57" t="s">
        <v>132</v>
      </c>
      <c r="H20" s="1" t="s">
        <v>390</v>
      </c>
      <c r="I20" s="1" t="s">
        <v>167</v>
      </c>
      <c r="J20" s="1"/>
      <c r="K20" s="24"/>
    </row>
    <row r="21" spans="1:11" ht="20.100000000000001" customHeight="1" x14ac:dyDescent="0.25">
      <c r="A21" s="18" t="s">
        <v>4</v>
      </c>
      <c r="C21" s="24"/>
      <c r="D21" s="1" t="s">
        <v>165</v>
      </c>
      <c r="E21" s="121">
        <f>'4.3.1.8 Manure applied to soils'!$E$148</f>
        <v>4212.4321213500762</v>
      </c>
      <c r="F21" s="121">
        <f>'4.3.1.8 Manure applied to soils'!$P$148</f>
        <v>4212.4321213500762</v>
      </c>
      <c r="G21" s="57" t="s">
        <v>132</v>
      </c>
      <c r="H21" s="1" t="s">
        <v>390</v>
      </c>
      <c r="I21" s="1" t="s">
        <v>167</v>
      </c>
      <c r="J21" s="1"/>
      <c r="K21" s="24"/>
    </row>
    <row r="22" spans="1:11" ht="20.100000000000001" customHeight="1" x14ac:dyDescent="0.25">
      <c r="A22" s="17" t="str">
        <f>HYPERLINK("#'Constants - Dairy'!A1", "Constants - Dairy")</f>
        <v>Constants - Dairy</v>
      </c>
      <c r="C22" s="24"/>
      <c r="D22" s="1" t="s">
        <v>160</v>
      </c>
      <c r="E22" s="121">
        <f>'4.3.1.8 Manure applied to soils'!$E$115</f>
        <v>4212.4321213500762</v>
      </c>
      <c r="F22" s="121">
        <f>'4.3.1.8 Manure applied to soils'!$P$115</f>
        <v>4212.4321213500762</v>
      </c>
      <c r="G22" s="57" t="s">
        <v>132</v>
      </c>
      <c r="H22" s="1" t="s">
        <v>161</v>
      </c>
      <c r="I22" s="1" t="s">
        <v>166</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1" sqref="E3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474</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abSelected="1" topLeftCell="C97" workbookViewId="0">
      <selection activeCell="E126" sqref="E126"/>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194</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105</v>
      </c>
      <c r="N5" s="3"/>
      <c r="R5" s="7"/>
    </row>
    <row r="6" spans="1:23" ht="20.100000000000001" customHeight="1" x14ac:dyDescent="0.25">
      <c r="A6" s="16"/>
      <c r="N6" s="3"/>
      <c r="R6" s="7"/>
    </row>
    <row r="7" spans="1:23" ht="20.100000000000001" customHeight="1" x14ac:dyDescent="0.25">
      <c r="A7" s="20" t="s">
        <v>3</v>
      </c>
      <c r="D7" s="1" t="s">
        <v>172</v>
      </c>
      <c r="E7" s="42" t="s">
        <v>215</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173</v>
      </c>
      <c r="F9" s="41" t="s">
        <v>190</v>
      </c>
      <c r="G9" s="41" t="s">
        <v>191</v>
      </c>
      <c r="H9" s="41" t="s">
        <v>192</v>
      </c>
      <c r="I9" s="41" t="s">
        <v>193</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R10" s="7"/>
    </row>
    <row r="11" spans="1:23" ht="20.100000000000001" customHeight="1" x14ac:dyDescent="0.25">
      <c r="A11" s="19" t="s">
        <v>78</v>
      </c>
      <c r="R11" s="7"/>
    </row>
    <row r="12" spans="1:23" ht="20.100000000000001" customHeight="1" x14ac:dyDescent="0.25">
      <c r="A12" s="17" t="str">
        <f>HYPERLINK("#'4.3.1.1-2 Methane'!A1", "4.3.1.1-2 Methane")</f>
        <v>4.3.1.1-2 Methane</v>
      </c>
      <c r="D12" s="51" t="s">
        <v>212</v>
      </c>
      <c r="R12" s="7"/>
    </row>
    <row r="13" spans="1:23" ht="20.100000000000001" customHeight="1" x14ac:dyDescent="0.25">
      <c r="A13" s="17" t="str">
        <f>HYPERLINK("#'4.3.1.3-4 Direct N20'!A1", "4.3.1.3-4 Direct N2O")</f>
        <v>4.3.1.3-4 Direct N2O</v>
      </c>
      <c r="D13" s="66" t="s">
        <v>206</v>
      </c>
      <c r="E13" s="41" t="s">
        <v>173</v>
      </c>
      <c r="F13" s="41" t="s">
        <v>190</v>
      </c>
      <c r="G13" s="41" t="s">
        <v>191</v>
      </c>
      <c r="H13" s="41" t="s">
        <v>192</v>
      </c>
      <c r="I13" s="41" t="s">
        <v>193</v>
      </c>
      <c r="R13" s="40"/>
    </row>
    <row r="14" spans="1:23" ht="20.100000000000001" customHeight="1" x14ac:dyDescent="0.25">
      <c r="A14" s="17" t="str">
        <f>HYPERLINK("#'4.3.1.5 Atmos Deposition'!A1", "4.3.1.5 Atmospheric deposition")</f>
        <v>4.3.1.5 Atmospheric deposition</v>
      </c>
      <c r="D14" s="1" t="s">
        <v>213</v>
      </c>
      <c r="E14" s="55">
        <v>550</v>
      </c>
      <c r="F14" s="55">
        <v>380</v>
      </c>
      <c r="G14" s="55">
        <v>155</v>
      </c>
      <c r="H14" s="55">
        <v>600</v>
      </c>
      <c r="I14" s="55">
        <v>225</v>
      </c>
      <c r="J14" s="2" t="s">
        <v>195</v>
      </c>
      <c r="K14" s="2"/>
      <c r="L14" s="2"/>
      <c r="M14" s="2"/>
      <c r="R14" s="40"/>
    </row>
    <row r="15" spans="1:23" ht="20.100000000000001" customHeight="1" x14ac:dyDescent="0.25">
      <c r="A15" s="17" t="str">
        <f>HYPERLINK("#'4.3.1.6-7 Leaching and runoff'!A1", "4.3.1.6-7 Leaching and runoff")</f>
        <v>4.3.1.6-7 Leaching and runoff</v>
      </c>
      <c r="D15" s="1" t="s">
        <v>214</v>
      </c>
      <c r="E15" s="55">
        <v>1.6E-2</v>
      </c>
      <c r="F15" s="55">
        <v>0.6</v>
      </c>
      <c r="G15" s="55">
        <v>0.56999999999999995</v>
      </c>
      <c r="H15" s="55">
        <v>0.1</v>
      </c>
      <c r="I15" s="55">
        <v>0.8</v>
      </c>
      <c r="J15" s="2" t="s">
        <v>196</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205</v>
      </c>
      <c r="E17" s="41" t="s">
        <v>173</v>
      </c>
      <c r="F17" s="41" t="s">
        <v>190</v>
      </c>
      <c r="G17" s="41" t="s">
        <v>191</v>
      </c>
      <c r="H17" s="41" t="s">
        <v>192</v>
      </c>
      <c r="I17" s="41" t="s">
        <v>193</v>
      </c>
      <c r="R17" s="7"/>
    </row>
    <row r="18" spans="1:18" ht="20.100000000000001" customHeight="1" x14ac:dyDescent="0.25">
      <c r="A18" s="17" t="str">
        <f>HYPERLINK("#'4.3.1.10-11 Soil Atmos Dep'!A1", "4.3.1.10-11 Soil atm. deposition")</f>
        <v>4.3.1.10-11 Soil atm. deposition</v>
      </c>
      <c r="D18" s="1" t="s">
        <v>213</v>
      </c>
      <c r="E18" s="69">
        <v>550</v>
      </c>
      <c r="F18" s="69">
        <v>380</v>
      </c>
      <c r="G18" s="69">
        <v>155</v>
      </c>
      <c r="H18" s="69">
        <v>600</v>
      </c>
      <c r="I18" s="69">
        <v>225</v>
      </c>
      <c r="J18" s="2" t="s">
        <v>195</v>
      </c>
      <c r="K18" s="2"/>
      <c r="L18" s="2"/>
      <c r="M18" s="2"/>
      <c r="R18" s="7"/>
    </row>
    <row r="19" spans="1:18" ht="20.100000000000001" customHeight="1" x14ac:dyDescent="0.25">
      <c r="A19" s="17" t="str">
        <f>HYPERLINK("#'4.3.1.12-13 Soil leach runoff'!A1", "4.3.1.12-13 Soil leach &amp; runoff")</f>
        <v>4.3.1.12-13 Soil leach &amp; runoff</v>
      </c>
      <c r="D19" s="1" t="s">
        <v>214</v>
      </c>
      <c r="E19" s="69">
        <v>1.6E-2</v>
      </c>
      <c r="F19" s="69">
        <v>0.6</v>
      </c>
      <c r="G19" s="69">
        <v>0.56999999999999995</v>
      </c>
      <c r="H19" s="69">
        <v>0.1</v>
      </c>
      <c r="I19" s="69">
        <v>0.8</v>
      </c>
      <c r="J19" s="2" t="s">
        <v>196</v>
      </c>
      <c r="K19" s="2"/>
      <c r="L19" s="2"/>
      <c r="M19" s="2"/>
      <c r="R19" s="7"/>
    </row>
    <row r="20" spans="1:18" ht="20.100000000000001" customHeight="1" x14ac:dyDescent="0.25">
      <c r="A20" s="17"/>
      <c r="R20" s="7"/>
    </row>
    <row r="21" spans="1:18" ht="20.100000000000001" customHeight="1" x14ac:dyDescent="0.25">
      <c r="A21" s="18" t="s">
        <v>4</v>
      </c>
      <c r="D21" s="51" t="s">
        <v>106</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206</v>
      </c>
      <c r="E23" s="41" t="s">
        <v>173</v>
      </c>
      <c r="F23" s="41" t="s">
        <v>190</v>
      </c>
      <c r="G23" s="41" t="s">
        <v>191</v>
      </c>
      <c r="H23" s="41" t="s">
        <v>192</v>
      </c>
      <c r="I23" s="41" t="s">
        <v>193</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v>365</v>
      </c>
      <c r="F24" s="55">
        <v>365</v>
      </c>
      <c r="G24" s="55">
        <v>281</v>
      </c>
      <c r="H24" s="55">
        <v>365</v>
      </c>
      <c r="I24" s="55">
        <v>281</v>
      </c>
      <c r="J24" s="2" t="s">
        <v>56</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v>0</v>
      </c>
      <c r="F25" s="55">
        <v>0</v>
      </c>
      <c r="G25" s="55">
        <v>84</v>
      </c>
      <c r="H25" s="55">
        <v>0</v>
      </c>
      <c r="I25" s="55">
        <v>84</v>
      </c>
      <c r="J25" s="2" t="s">
        <v>56</v>
      </c>
      <c r="K25" s="2"/>
      <c r="L25" s="2"/>
      <c r="M25" s="2"/>
      <c r="R25" s="7"/>
    </row>
    <row r="26" spans="1:18" ht="20.100000000000001" customHeight="1" x14ac:dyDescent="0.25">
      <c r="R26" s="7"/>
    </row>
    <row r="27" spans="1:18" ht="20.100000000000001" customHeight="1" x14ac:dyDescent="0.25">
      <c r="D27" s="66" t="s">
        <v>205</v>
      </c>
      <c r="E27" s="41" t="s">
        <v>173</v>
      </c>
      <c r="F27" s="41" t="s">
        <v>190</v>
      </c>
      <c r="G27" s="41" t="s">
        <v>191</v>
      </c>
      <c r="H27" s="41" t="s">
        <v>192</v>
      </c>
      <c r="I27" s="41" t="s">
        <v>193</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v>365</v>
      </c>
      <c r="F28" s="69">
        <v>365</v>
      </c>
      <c r="G28" s="69">
        <v>281</v>
      </c>
      <c r="H28" s="69">
        <v>365</v>
      </c>
      <c r="I28" s="69">
        <v>281</v>
      </c>
      <c r="J28" s="2" t="s">
        <v>56</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v>0</v>
      </c>
      <c r="F29" s="55">
        <v>0</v>
      </c>
      <c r="G29" s="55">
        <v>84</v>
      </c>
      <c r="H29" s="55">
        <v>0</v>
      </c>
      <c r="I29" s="55">
        <v>84</v>
      </c>
      <c r="J29" s="2" t="s">
        <v>56</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211</v>
      </c>
      <c r="R33" s="7"/>
    </row>
    <row r="34" spans="1:18" ht="20.100000000000001" customHeight="1" x14ac:dyDescent="0.25">
      <c r="D34" s="51"/>
      <c r="R34" s="7"/>
    </row>
    <row r="35" spans="1:18" ht="20.100000000000001" customHeight="1" x14ac:dyDescent="0.25">
      <c r="D35" s="66" t="s">
        <v>206</v>
      </c>
      <c r="E35" s="41" t="s">
        <v>173</v>
      </c>
      <c r="F35" s="41" t="s">
        <v>190</v>
      </c>
      <c r="G35" s="41" t="s">
        <v>191</v>
      </c>
      <c r="H35" s="41" t="s">
        <v>192</v>
      </c>
      <c r="I35" s="41" t="s">
        <v>193</v>
      </c>
      <c r="R35" s="7"/>
    </row>
    <row r="36" spans="1:18" ht="20.100000000000001" customHeight="1" x14ac:dyDescent="0.25">
      <c r="D36" s="1" t="s">
        <v>19</v>
      </c>
      <c r="E36" s="55">
        <v>0.7</v>
      </c>
      <c r="F36" s="55">
        <v>0.7</v>
      </c>
      <c r="G36" s="55">
        <v>0.7</v>
      </c>
      <c r="H36" s="55">
        <v>0.7</v>
      </c>
      <c r="I36" s="55">
        <v>0.7</v>
      </c>
      <c r="J36" s="2" t="s">
        <v>101</v>
      </c>
      <c r="K36" s="2"/>
      <c r="L36" s="2"/>
      <c r="M36" s="2"/>
      <c r="R36" s="7"/>
    </row>
    <row r="37" spans="1:18" ht="20.100000000000001" customHeight="1" x14ac:dyDescent="0.25">
      <c r="D37" s="1" t="s">
        <v>112</v>
      </c>
      <c r="E37" s="55">
        <v>0.2</v>
      </c>
      <c r="F37" s="55">
        <v>0.2</v>
      </c>
      <c r="G37" s="55">
        <v>0.2</v>
      </c>
      <c r="H37" s="55">
        <v>0.2</v>
      </c>
      <c r="I37" s="55">
        <v>0.2</v>
      </c>
      <c r="J37" s="2" t="s">
        <v>101</v>
      </c>
      <c r="K37" s="2"/>
      <c r="L37" s="2"/>
      <c r="M37" s="2"/>
      <c r="R37" s="7"/>
    </row>
    <row r="38" spans="1:18" ht="20.100000000000001" customHeight="1" x14ac:dyDescent="0.25">
      <c r="L38" s="2"/>
      <c r="M38" s="2"/>
      <c r="R38" s="7"/>
    </row>
    <row r="39" spans="1:18" ht="20.100000000000001" customHeight="1" x14ac:dyDescent="0.25">
      <c r="A39" s="17"/>
      <c r="D39" s="66" t="s">
        <v>205</v>
      </c>
      <c r="E39" s="41" t="s">
        <v>173</v>
      </c>
      <c r="F39" s="41" t="s">
        <v>190</v>
      </c>
      <c r="G39" s="41" t="s">
        <v>191</v>
      </c>
      <c r="H39" s="41" t="s">
        <v>192</v>
      </c>
      <c r="I39" s="41" t="s">
        <v>193</v>
      </c>
      <c r="R39" s="7"/>
    </row>
    <row r="40" spans="1:18" ht="20.100000000000001" customHeight="1" x14ac:dyDescent="0.25">
      <c r="D40" s="1" t="s">
        <v>19</v>
      </c>
      <c r="E40" s="69">
        <v>0.7</v>
      </c>
      <c r="F40" s="69">
        <v>0.7</v>
      </c>
      <c r="G40" s="69">
        <v>0.7</v>
      </c>
      <c r="H40" s="69">
        <v>0.7</v>
      </c>
      <c r="I40" s="69">
        <v>0.7</v>
      </c>
      <c r="J40" s="2" t="s">
        <v>101</v>
      </c>
      <c r="K40" s="2"/>
      <c r="R40" s="7"/>
    </row>
    <row r="41" spans="1:18" ht="20.100000000000001" customHeight="1" x14ac:dyDescent="0.25">
      <c r="A41" s="47"/>
      <c r="D41" s="1" t="s">
        <v>112</v>
      </c>
      <c r="E41" s="69">
        <v>0.2</v>
      </c>
      <c r="F41" s="69">
        <v>0.2</v>
      </c>
      <c r="G41" s="69">
        <v>0.2</v>
      </c>
      <c r="H41" s="69">
        <v>0.2</v>
      </c>
      <c r="I41" s="69">
        <v>0.2</v>
      </c>
      <c r="J41" s="2" t="s">
        <v>101</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197</v>
      </c>
      <c r="E47" s="3"/>
      <c r="F47" s="3"/>
      <c r="G47" s="3"/>
      <c r="H47" s="3"/>
      <c r="I47" s="3"/>
      <c r="J47" s="3"/>
      <c r="K47" s="3"/>
      <c r="L47" s="3"/>
      <c r="M47" s="3"/>
      <c r="R47" s="7"/>
    </row>
    <row r="48" spans="1:18" ht="20.100000000000001" customHeight="1" x14ac:dyDescent="0.25">
      <c r="D48" s="23" t="s">
        <v>454</v>
      </c>
      <c r="G48" s="6"/>
      <c r="H48" s="6"/>
      <c r="I48" s="6"/>
      <c r="J48" s="126"/>
      <c r="K48" s="126"/>
      <c r="L48" s="126"/>
      <c r="M48" s="126"/>
      <c r="R48" s="7"/>
    </row>
    <row r="49" spans="3:18" ht="20.100000000000001" customHeight="1" x14ac:dyDescent="0.25">
      <c r="D49" s="1" t="s">
        <v>439</v>
      </c>
      <c r="E49" s="42" t="s">
        <v>452</v>
      </c>
      <c r="F49" s="2" t="s">
        <v>11</v>
      </c>
      <c r="R49" s="7"/>
    </row>
    <row r="50" spans="3:18" ht="20.100000000000001" customHeight="1" x14ac:dyDescent="0.25">
      <c r="R50" s="7"/>
    </row>
    <row r="51" spans="3:18" ht="20.100000000000001" customHeight="1" x14ac:dyDescent="0.25">
      <c r="E51" s="41" t="s">
        <v>173</v>
      </c>
      <c r="R51" s="7"/>
    </row>
    <row r="52" spans="3:18" ht="20.100000000000001" customHeight="1" x14ac:dyDescent="0.25">
      <c r="D52" s="1" t="s">
        <v>198</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440</v>
      </c>
      <c r="E54" s="41" t="s">
        <v>441</v>
      </c>
      <c r="F54" s="41" t="s">
        <v>442</v>
      </c>
      <c r="R54" s="7"/>
    </row>
    <row r="55" spans="3:18" ht="20.100000000000001" customHeight="1" x14ac:dyDescent="0.25">
      <c r="D55" s="1" t="s">
        <v>443</v>
      </c>
      <c r="E55" s="140">
        <v>0.04</v>
      </c>
      <c r="F55" s="155">
        <v>0.04</v>
      </c>
      <c r="G55" s="2" t="s">
        <v>444</v>
      </c>
      <c r="R55" s="7"/>
    </row>
    <row r="56" spans="3:18" ht="20.100000000000001" customHeight="1" x14ac:dyDescent="0.25">
      <c r="D56" s="1" t="s">
        <v>445</v>
      </c>
      <c r="E56" s="140">
        <v>3.3000000000000002E-2</v>
      </c>
      <c r="F56" s="155">
        <v>3.3000000000000002E-2</v>
      </c>
      <c r="G56" s="2" t="s">
        <v>444</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208</v>
      </c>
      <c r="R60" s="7"/>
    </row>
    <row r="61" spans="3:18" ht="20.100000000000001" customHeight="1" x14ac:dyDescent="0.25">
      <c r="D61" s="51" t="s">
        <v>201</v>
      </c>
      <c r="R61" s="7"/>
    </row>
    <row r="62" spans="3:18" ht="20.100000000000001" customHeight="1" x14ac:dyDescent="0.25">
      <c r="D62" s="1" t="s">
        <v>203</v>
      </c>
      <c r="E62" s="42" t="s">
        <v>210</v>
      </c>
      <c r="F62" s="2" t="s">
        <v>11</v>
      </c>
      <c r="N62" s="3"/>
      <c r="R62" s="7"/>
    </row>
    <row r="63" spans="3:18" ht="20.100000000000001" customHeight="1" x14ac:dyDescent="0.25">
      <c r="N63" s="3"/>
      <c r="R63" s="7"/>
    </row>
    <row r="64" spans="3:18" ht="20.100000000000001" customHeight="1" x14ac:dyDescent="0.25">
      <c r="D64" s="66" t="s">
        <v>206</v>
      </c>
      <c r="E64" s="41" t="s">
        <v>173</v>
      </c>
      <c r="F64" s="41" t="s">
        <v>190</v>
      </c>
      <c r="G64" s="41" t="s">
        <v>191</v>
      </c>
      <c r="H64" s="41" t="s">
        <v>192</v>
      </c>
      <c r="I64" s="41" t="s">
        <v>193</v>
      </c>
      <c r="N64" s="3"/>
      <c r="R64" s="7"/>
    </row>
    <row r="65" spans="3:18" ht="20.100000000000001" customHeight="1" x14ac:dyDescent="0.25">
      <c r="D65" s="1" t="s">
        <v>147</v>
      </c>
      <c r="E65" s="140">
        <v>0.53400000000000003</v>
      </c>
      <c r="F65" s="140">
        <v>0.53400000000000003</v>
      </c>
      <c r="G65" s="140">
        <v>0.53400000000000003</v>
      </c>
      <c r="H65" s="140">
        <v>0.53400000000000003</v>
      </c>
      <c r="I65" s="140">
        <v>0.53400000000000003</v>
      </c>
      <c r="J65" s="2" t="s">
        <v>20</v>
      </c>
      <c r="K65" s="2"/>
      <c r="L65" s="2"/>
      <c r="M65" s="2"/>
      <c r="N65" s="3"/>
    </row>
    <row r="66" spans="3:18" ht="20.100000000000001" customHeight="1" x14ac:dyDescent="0.25">
      <c r="D66" s="1" t="s">
        <v>187</v>
      </c>
      <c r="E66" s="140">
        <v>0.11</v>
      </c>
      <c r="F66" s="140">
        <v>0.11</v>
      </c>
      <c r="G66" s="140">
        <v>0.11</v>
      </c>
      <c r="H66" s="140">
        <v>0.11</v>
      </c>
      <c r="I66" s="140">
        <v>0.11</v>
      </c>
      <c r="J66" s="2" t="s">
        <v>20</v>
      </c>
      <c r="K66" s="2"/>
      <c r="L66" s="2"/>
      <c r="M66" s="2"/>
      <c r="N66" s="3"/>
    </row>
    <row r="67" spans="3:18" ht="20.100000000000001" customHeight="1" x14ac:dyDescent="0.25">
      <c r="D67" s="1" t="s">
        <v>202</v>
      </c>
      <c r="E67" s="140">
        <v>0.35599999999999998</v>
      </c>
      <c r="F67" s="140">
        <v>0.35599999999999998</v>
      </c>
      <c r="G67" s="140">
        <v>0.35599999999999998</v>
      </c>
      <c r="H67" s="140">
        <v>0.35599999999999998</v>
      </c>
      <c r="I67" s="140">
        <v>0.35599999999999998</v>
      </c>
      <c r="J67" s="2" t="s">
        <v>20</v>
      </c>
      <c r="K67" s="2"/>
      <c r="L67" s="2"/>
      <c r="M67" s="2"/>
      <c r="N67" s="3"/>
    </row>
    <row r="68" spans="3:18" ht="20.100000000000001" customHeight="1" x14ac:dyDescent="0.25">
      <c r="N68" s="3"/>
    </row>
    <row r="69" spans="3:18" ht="20.100000000000001" customHeight="1" x14ac:dyDescent="0.25">
      <c r="D69" s="66" t="s">
        <v>205</v>
      </c>
      <c r="E69" s="41" t="s">
        <v>173</v>
      </c>
      <c r="F69" s="41" t="s">
        <v>190</v>
      </c>
      <c r="G69" s="41" t="s">
        <v>191</v>
      </c>
      <c r="H69" s="41" t="s">
        <v>192</v>
      </c>
      <c r="I69" s="41" t="s">
        <v>193</v>
      </c>
      <c r="N69" s="3"/>
    </row>
    <row r="70" spans="3:18" ht="20.100000000000001" customHeight="1" x14ac:dyDescent="0.25">
      <c r="D70" s="1" t="s">
        <v>147</v>
      </c>
      <c r="E70" s="139">
        <v>0.53400000000000003</v>
      </c>
      <c r="F70" s="139">
        <v>0.53400000000000003</v>
      </c>
      <c r="G70" s="139">
        <v>0.53400000000000003</v>
      </c>
      <c r="H70" s="139">
        <v>0.53400000000000003</v>
      </c>
      <c r="I70" s="139">
        <v>0.53400000000000003</v>
      </c>
      <c r="J70" s="2" t="s">
        <v>20</v>
      </c>
      <c r="K70" s="2"/>
      <c r="L70" s="2"/>
      <c r="M70" s="2"/>
      <c r="N70" s="3"/>
    </row>
    <row r="71" spans="3:18" ht="20.100000000000001" customHeight="1" x14ac:dyDescent="0.25">
      <c r="D71" s="1" t="s">
        <v>187</v>
      </c>
      <c r="E71" s="139">
        <v>0.11</v>
      </c>
      <c r="F71" s="139">
        <v>0.11</v>
      </c>
      <c r="G71" s="139">
        <v>0.11</v>
      </c>
      <c r="H71" s="139">
        <v>0.11</v>
      </c>
      <c r="I71" s="139">
        <v>0.11</v>
      </c>
      <c r="J71" s="2" t="s">
        <v>20</v>
      </c>
      <c r="K71" s="2"/>
      <c r="L71" s="2"/>
      <c r="M71" s="2"/>
      <c r="N71" s="3"/>
    </row>
    <row r="72" spans="3:18" ht="20.100000000000001" customHeight="1" x14ac:dyDescent="0.25">
      <c r="D72" s="1" t="s">
        <v>202</v>
      </c>
      <c r="E72" s="139">
        <v>0.35599999999999998</v>
      </c>
      <c r="F72" s="139">
        <v>0.35599999999999998</v>
      </c>
      <c r="G72" s="139">
        <v>0.35599999999999998</v>
      </c>
      <c r="H72" s="139">
        <v>0.35599999999999998</v>
      </c>
      <c r="I72" s="139">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104</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103</v>
      </c>
      <c r="E79" s="41" t="s">
        <v>173</v>
      </c>
      <c r="F79" s="41" t="s">
        <v>190</v>
      </c>
      <c r="G79" s="41" t="s">
        <v>191</v>
      </c>
      <c r="H79" s="41" t="s">
        <v>192</v>
      </c>
      <c r="I79" s="41" t="s">
        <v>193</v>
      </c>
      <c r="J79" s="146" t="s">
        <v>429</v>
      </c>
      <c r="K79" s="66" t="s">
        <v>428</v>
      </c>
      <c r="L79" s="66"/>
      <c r="M79" s="41"/>
      <c r="N79" s="3"/>
    </row>
    <row r="80" spans="3:18" ht="20.100000000000001" customHeight="1" x14ac:dyDescent="0.25">
      <c r="K80" s="121" t="s">
        <v>430</v>
      </c>
      <c r="L80" s="121" t="s">
        <v>431</v>
      </c>
      <c r="M80" s="121" t="s">
        <v>432</v>
      </c>
      <c r="N80" s="3"/>
      <c r="R80" s="7"/>
    </row>
    <row r="81" spans="4:18" ht="20.100000000000001" customHeight="1" x14ac:dyDescent="0.25">
      <c r="D81" s="149" t="str">
        <f>'Constants - Dairy'!$D$8</f>
        <v>Anaerobic lagoon</v>
      </c>
      <c r="E81" s="49">
        <v>0.25</v>
      </c>
      <c r="F81" s="49">
        <v>0.25</v>
      </c>
      <c r="G81" s="49">
        <v>0.25</v>
      </c>
      <c r="H81" s="49">
        <v>0.25</v>
      </c>
      <c r="I81" s="49">
        <v>0.25</v>
      </c>
      <c r="J81" s="2" t="s">
        <v>20</v>
      </c>
      <c r="K81" s="49">
        <v>0.25</v>
      </c>
      <c r="L81" s="49">
        <v>0.25</v>
      </c>
      <c r="M81" s="101">
        <v>0.5</v>
      </c>
      <c r="N81" s="3"/>
      <c r="R81" s="7"/>
    </row>
    <row r="82" spans="4:18" ht="20.100000000000001" customHeight="1" x14ac:dyDescent="0.25">
      <c r="D82" s="156" t="str">
        <f>"Were solids separated from " &amp; D81 &amp; "?"</f>
        <v>Were solids separated from Anaerobic lagoon?</v>
      </c>
      <c r="E82" s="42" t="s">
        <v>209</v>
      </c>
      <c r="N82" s="3"/>
      <c r="R82" s="7"/>
    </row>
    <row r="83" spans="4:18" ht="20.100000000000001" customHeight="1" x14ac:dyDescent="0.25">
      <c r="D83" s="156" t="str">
        <f>"Percent solids separated from " &amp; D81 &amp; " (Method 1)"</f>
        <v>Percent solids separated from Anaerobic lagoon (Method 1)</v>
      </c>
      <c r="E83" s="101">
        <v>0</v>
      </c>
      <c r="N83" s="3"/>
      <c r="R83" s="7"/>
    </row>
    <row r="84" spans="4:18" ht="20.100000000000001" customHeight="1" x14ac:dyDescent="0.25">
      <c r="D84" s="156" t="str">
        <f>"Percent solids separated from " &amp; D81 &amp; " (Method 2)"</f>
        <v>Percent solids separated from Anaerobic lagoon (Method 2)</v>
      </c>
      <c r="E84" s="49">
        <v>0</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20</v>
      </c>
      <c r="K86" s="49">
        <v>0.25</v>
      </c>
      <c r="L86" s="49">
        <v>0.25</v>
      </c>
      <c r="M86" s="101">
        <v>0.5</v>
      </c>
      <c r="R86" s="7"/>
    </row>
    <row r="87" spans="4:18" ht="20.100000000000001" customHeight="1" x14ac:dyDescent="0.25">
      <c r="D87" s="156" t="str">
        <f>"Were solids separated from " &amp; D86 &amp; "?"</f>
        <v>Were solids separated from Sump and dispersal system?</v>
      </c>
      <c r="E87" s="42" t="s">
        <v>207</v>
      </c>
      <c r="R87" s="7"/>
    </row>
    <row r="88" spans="4:18" ht="20.100000000000001" customHeight="1" x14ac:dyDescent="0.25">
      <c r="D88" s="156" t="str">
        <f>"Percent solids separated from " &amp; D86 &amp; " (Method 1)"</f>
        <v>Percent solids separated from Sump and dispersal system (Method 1)</v>
      </c>
      <c r="E88" s="101">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20</v>
      </c>
      <c r="K91" s="49">
        <v>0.25</v>
      </c>
      <c r="L91" s="49">
        <v>0.25</v>
      </c>
      <c r="M91" s="101">
        <v>0.5</v>
      </c>
      <c r="R91" s="7"/>
    </row>
    <row r="92" spans="4:18" ht="20.100000000000001" customHeight="1" x14ac:dyDescent="0.25">
      <c r="D92" s="156" t="str">
        <f>"Were solids separated from " &amp; D91 &amp; "?"</f>
        <v>Were solids separated from Drains to paddock?</v>
      </c>
      <c r="E92" s="42" t="s">
        <v>207</v>
      </c>
      <c r="R92" s="7"/>
    </row>
    <row r="93" spans="4:18" ht="20.100000000000001" customHeight="1" x14ac:dyDescent="0.25">
      <c r="D93" s="156" t="str">
        <f>"Percent solids separated from " &amp; D91 &amp; " (Method 1)"</f>
        <v>Percent solids separated from Drains to paddock (Method 1)</v>
      </c>
      <c r="E93" s="101">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20</v>
      </c>
      <c r="K96" s="49">
        <v>0.25</v>
      </c>
      <c r="L96" s="49">
        <v>0.25</v>
      </c>
      <c r="M96" s="101">
        <v>0.5</v>
      </c>
      <c r="R96" s="7"/>
    </row>
    <row r="97" spans="4:18" ht="20.100000000000001" customHeight="1" x14ac:dyDescent="0.25">
      <c r="D97" s="150" t="s">
        <v>435</v>
      </c>
      <c r="E97" s="101">
        <f>E96+(E81*$E83)+(E86*$E88)+(E91*$E93)</f>
        <v>0.35</v>
      </c>
      <c r="F97" s="101">
        <f>F96+(F81*$E83)+(F86*$E88)+(F91*$E93)</f>
        <v>0.35</v>
      </c>
      <c r="G97" s="101">
        <f>G96+(G81*$E83)+(G86*$E88)+(G91*$E93)</f>
        <v>0.35</v>
      </c>
      <c r="H97" s="101">
        <f>H96+(H81*$E83)+(H86*$E88)+(H91*$E93)</f>
        <v>0.35</v>
      </c>
      <c r="I97" s="101">
        <f>I96+(I81*$E83)+(I86*$E88)+(I91*$E93)</f>
        <v>0.35</v>
      </c>
      <c r="J97" s="2" t="s">
        <v>20</v>
      </c>
      <c r="K97" s="2"/>
      <c r="L97" s="2"/>
      <c r="M97" s="2"/>
      <c r="R97" s="7"/>
    </row>
    <row r="98" spans="4:18" ht="20.100000000000001" customHeight="1" x14ac:dyDescent="0.25">
      <c r="D98" s="150" t="s">
        <v>436</v>
      </c>
      <c r="E98" s="101">
        <f>E96+(E81*$E84)+(E86*$E89)+(E91*$E94)</f>
        <v>0.35</v>
      </c>
      <c r="F98" s="101">
        <f>F96+(F81*$E84)+(F86*$E89)+(F91*$E94)</f>
        <v>0.35</v>
      </c>
      <c r="G98" s="101">
        <f>G96+(G81*$E84)+(G86*$E89)+(G91*$E94)</f>
        <v>0.35</v>
      </c>
      <c r="H98" s="101">
        <f>H96+(H81*$E84)+(H86*$E89)+(H91*$E94)</f>
        <v>0.35</v>
      </c>
      <c r="I98" s="101">
        <f>I96+(I81*$E84)+(I86*$E89)+(I91*$E94)</f>
        <v>0.35</v>
      </c>
      <c r="J98" s="2" t="s">
        <v>20</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103</v>
      </c>
      <c r="E103" s="41" t="s">
        <v>173</v>
      </c>
      <c r="F103" s="41" t="s">
        <v>190</v>
      </c>
      <c r="G103" s="41" t="s">
        <v>191</v>
      </c>
      <c r="H103" s="41" t="s">
        <v>192</v>
      </c>
      <c r="I103" s="41" t="s">
        <v>193</v>
      </c>
      <c r="J103" s="146" t="s">
        <v>429</v>
      </c>
      <c r="K103" s="66" t="s">
        <v>428</v>
      </c>
      <c r="L103" s="66"/>
      <c r="M103" s="41"/>
      <c r="R103" s="7"/>
    </row>
    <row r="104" spans="4:18" ht="20.100000000000001" customHeight="1" x14ac:dyDescent="0.25">
      <c r="D104" s="150"/>
      <c r="K104" s="121" t="s">
        <v>430</v>
      </c>
      <c r="L104" s="121" t="s">
        <v>431</v>
      </c>
      <c r="M104" s="121" t="s">
        <v>432</v>
      </c>
      <c r="R104" s="7"/>
    </row>
    <row r="105" spans="4:18" ht="20.100000000000001" customHeight="1" x14ac:dyDescent="0.25">
      <c r="D105" s="149" t="str">
        <f>'Constants - Dairy'!$D$8</f>
        <v>Anaerobic lagoon</v>
      </c>
      <c r="E105" s="49">
        <v>0.25</v>
      </c>
      <c r="F105" s="49">
        <v>0.25</v>
      </c>
      <c r="G105" s="49">
        <v>0.25</v>
      </c>
      <c r="H105" s="49">
        <v>0.25</v>
      </c>
      <c r="I105" s="49">
        <v>0.25</v>
      </c>
      <c r="J105" s="2" t="s">
        <v>20</v>
      </c>
      <c r="K105" s="49">
        <v>0.25</v>
      </c>
      <c r="L105" s="49">
        <v>0.25</v>
      </c>
      <c r="M105" s="101">
        <v>0.5</v>
      </c>
      <c r="R105" s="7"/>
    </row>
    <row r="106" spans="4:18" ht="20.100000000000001" customHeight="1" x14ac:dyDescent="0.25">
      <c r="D106" s="156" t="str">
        <f>"Were solids separated from " &amp; D105 &amp; "?"</f>
        <v>Were solids separated from Anaerobic lagoon?</v>
      </c>
      <c r="E106" s="42" t="s">
        <v>207</v>
      </c>
      <c r="R106" s="7"/>
    </row>
    <row r="107" spans="4:18" ht="20.100000000000001" customHeight="1" x14ac:dyDescent="0.25">
      <c r="D107" s="156" t="str">
        <f>"Percent solids separated from " &amp; D105 &amp; " (Method 1)"</f>
        <v>Percent solids separated from Anaerobic lagoon (Method 1)</v>
      </c>
      <c r="E107" s="101">
        <v>0.2</v>
      </c>
    </row>
    <row r="108" spans="4:18" ht="20.100000000000001" customHeight="1" x14ac:dyDescent="0.25">
      <c r="D108" s="156" t="str">
        <f>"Percent solids separated from " &amp; D105 &amp; " (Method 2)"</f>
        <v>Percent solids separated from Anaerobic lagoon (Method 2)</v>
      </c>
      <c r="E108" s="49">
        <v>0.2</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20</v>
      </c>
      <c r="K110" s="49">
        <v>0.25</v>
      </c>
      <c r="L110" s="49">
        <v>0.25</v>
      </c>
      <c r="M110" s="101">
        <v>0.5</v>
      </c>
    </row>
    <row r="111" spans="4:18" ht="20.100000000000001" customHeight="1" x14ac:dyDescent="0.25">
      <c r="D111" s="156" t="str">
        <f>"Were solids separated from " &amp; D110 &amp; "?"</f>
        <v>Were solids separated from Sump and dispersal system?</v>
      </c>
      <c r="E111" s="42" t="s">
        <v>207</v>
      </c>
    </row>
    <row r="112" spans="4:18" ht="20.100000000000001" customHeight="1" x14ac:dyDescent="0.25">
      <c r="D112" s="156" t="str">
        <f>"Percent solids separated from " &amp; D110 &amp; " (Method 1)"</f>
        <v>Percent solids separated from Sump and dispersal system (Method 1)</v>
      </c>
      <c r="E112" s="101">
        <v>0.2</v>
      </c>
    </row>
    <row r="113" spans="4:13" ht="20.100000000000001" customHeight="1" x14ac:dyDescent="0.25">
      <c r="D113" s="156" t="str">
        <f>"Percent solids separated from " &amp; D110 &amp; " (Method 2)"</f>
        <v>Percent solids separated from Sump and dispersal system (Method 2)</v>
      </c>
      <c r="E113" s="49">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20</v>
      </c>
      <c r="K115" s="49">
        <v>0.25</v>
      </c>
      <c r="L115" s="49">
        <v>0.25</v>
      </c>
      <c r="M115" s="101">
        <v>0.5</v>
      </c>
    </row>
    <row r="116" spans="4:13" ht="20.100000000000001" customHeight="1" x14ac:dyDescent="0.25">
      <c r="D116" s="156" t="str">
        <f>"Were solids separated from " &amp; D115 &amp; "?"</f>
        <v>Were solids separated from Drains to paddock?</v>
      </c>
      <c r="E116" s="42" t="s">
        <v>207</v>
      </c>
    </row>
    <row r="117" spans="4:13" ht="20.100000000000001" customHeight="1" x14ac:dyDescent="0.25">
      <c r="D117" s="156" t="str">
        <f>"Percent solids separated from " &amp; D115 &amp; " (Method 1)"</f>
        <v>Percent solids separated from Drains to paddock (Method 1)</v>
      </c>
      <c r="E117" s="101">
        <v>0.2</v>
      </c>
    </row>
    <row r="118" spans="4:13" ht="20.100000000000001" customHeight="1" x14ac:dyDescent="0.25">
      <c r="D118" s="156" t="str">
        <f>"Percent solids separated from " &amp; D115 &amp; " (Method 2)"</f>
        <v>Percent solids separated from Drains to paddock (Method 2)</v>
      </c>
      <c r="E118" s="49">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20</v>
      </c>
      <c r="K120" s="49">
        <v>0.25</v>
      </c>
      <c r="L120" s="49">
        <v>0.25</v>
      </c>
      <c r="M120" s="101">
        <v>0.5</v>
      </c>
    </row>
    <row r="121" spans="4:13" ht="20.100000000000001" customHeight="1" x14ac:dyDescent="0.25">
      <c r="D121" s="150" t="s">
        <v>435</v>
      </c>
      <c r="E121" s="101">
        <f>E120+(E105*$E107)+(E110*$E112)+(E115*$E117)</f>
        <v>0.39999999999999997</v>
      </c>
      <c r="F121" s="101">
        <f>F120+(F105*$E107)+(F110*$E112)+(F115*$E117)</f>
        <v>0.39999999999999997</v>
      </c>
      <c r="G121" s="101">
        <f>G120+(G105*$E107)+(G110*$E112)+(G115*$E117)</f>
        <v>0.39999999999999997</v>
      </c>
      <c r="H121" s="101">
        <f>H120+(H105*$E107)+(H110*$E112)+(H115*$E117)</f>
        <v>0.39999999999999997</v>
      </c>
      <c r="I121" s="101">
        <f>I120+(I105*$E107)+(I110*$E112)+(I115*$E117)</f>
        <v>0.39999999999999997</v>
      </c>
      <c r="J121" s="2" t="s">
        <v>20</v>
      </c>
      <c r="K121" s="2"/>
      <c r="L121" s="2"/>
      <c r="M121" s="2"/>
    </row>
    <row r="122" spans="4:13" ht="20.100000000000001" customHeight="1" x14ac:dyDescent="0.25">
      <c r="D122" s="150" t="s">
        <v>436</v>
      </c>
      <c r="E122" s="101">
        <f>E120+(E105*$E108)+(E110*$E113)+(E115*$E118)</f>
        <v>0.39999999999999997</v>
      </c>
      <c r="F122" s="101">
        <f>F120+(F105*$E108)+(F110*$E113)+(F115*$E118)</f>
        <v>0.39999999999999997</v>
      </c>
      <c r="G122" s="101">
        <f>G120+(G105*$E108)+(G110*$E113)+(G115*$E118)</f>
        <v>0.39999999999999997</v>
      </c>
      <c r="H122" s="101">
        <f>H120+(H105*$E108)+(H110*$E113)+(H115*$E118)</f>
        <v>0.39999999999999997</v>
      </c>
      <c r="I122" s="101">
        <f>I120+(I105*$E108)+(I110*$E113)+(I115*$E118)</f>
        <v>0.39999999999999997</v>
      </c>
      <c r="J122" s="2" t="s">
        <v>20</v>
      </c>
    </row>
    <row r="123" spans="4:13" ht="20.100000000000001" customHeight="1" x14ac:dyDescent="0.25"/>
    <row r="124" spans="4:13" ht="20.100000000000001" customHeight="1" x14ac:dyDescent="0.25"/>
    <row r="125" spans="4:13" ht="20.100000000000001" customHeight="1" x14ac:dyDescent="0.25">
      <c r="D125" s="1" t="s">
        <v>142</v>
      </c>
      <c r="E125" s="42" t="s">
        <v>147</v>
      </c>
      <c r="F125" s="2" t="s">
        <v>11</v>
      </c>
    </row>
    <row r="126" spans="4:13" ht="20.100000000000001" customHeight="1" x14ac:dyDescent="0.25">
      <c r="E126" s="42" t="s">
        <v>475</v>
      </c>
      <c r="F126" s="2" t="s">
        <v>11</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K37 L36:M38 E40:J41 K40:K42 L41:M43 O43:P43 N44 J81 J86 F91 J91 F96 J96:J98 K97:M97 F102 J105 J110 J115 J120:J122 K121:M121 K126:M126">
    <cfRule type="cellIs" dxfId="5" priority="30" operator="lessThan">
      <formula>0</formula>
    </cfRule>
  </conditionalFormatting>
  <conditionalFormatting sqref="E14:M15">
    <cfRule type="cellIs" dxfId="4" priority="2" operator="lessThan">
      <formula>0</formula>
    </cfRule>
  </conditionalFormatting>
  <conditionalFormatting sqref="E18:M19">
    <cfRule type="cellIs" dxfId="3" priority="1"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63" zoomScale="85" zoomScaleNormal="85" workbookViewId="0">
      <selection activeCell="O172" sqref="O17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281</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237</v>
      </c>
    </row>
    <row r="18" spans="1:23" ht="20.100000000000001" customHeight="1" x14ac:dyDescent="0.25">
      <c r="A18" s="17" t="str">
        <f>HYPERLINK("#'4.3.1.10-11 Soil Atmos Dep'!A1", "4.3.1.10-11 Soil atm. deposition")</f>
        <v>4.3.1.10-11 Soil atm. deposition</v>
      </c>
      <c r="D18" s="41" t="s">
        <v>173</v>
      </c>
      <c r="E18" s="41" t="s">
        <v>190</v>
      </c>
      <c r="F18" s="41" t="s">
        <v>191</v>
      </c>
      <c r="G18" s="41" t="s">
        <v>192</v>
      </c>
      <c r="H18" s="41" t="s">
        <v>193</v>
      </c>
      <c r="O18" s="41" t="s">
        <v>173</v>
      </c>
      <c r="P18" s="41" t="s">
        <v>190</v>
      </c>
      <c r="Q18" s="41" t="s">
        <v>191</v>
      </c>
      <c r="R18" s="41" t="s">
        <v>192</v>
      </c>
      <c r="S18" s="41" t="s">
        <v>193</v>
      </c>
    </row>
    <row r="19" spans="1:23" ht="20.100000000000001" customHeight="1" x14ac:dyDescent="0.25">
      <c r="A19" s="17" t="str">
        <f>HYPERLINK("#'4.3.1.12-13 Soil leach runoff'!A1", "4.3.1.12-13 Soil leach &amp; runoff")</f>
        <v>4.3.1.12-13 Soil leach &amp; runoff</v>
      </c>
      <c r="D19" s="55">
        <f>'Input - Dairy'!$E$36</f>
        <v>0.7</v>
      </c>
      <c r="E19" s="55">
        <f>'Input - Dairy'!$F$36</f>
        <v>0.7</v>
      </c>
      <c r="F19" s="55">
        <f>'Input - Dairy'!$G$36</f>
        <v>0.7</v>
      </c>
      <c r="G19" s="55">
        <f>'Input - Dairy'!$H$36</f>
        <v>0.7</v>
      </c>
      <c r="H19" s="55">
        <f>'Input - Dairy'!$I$36</f>
        <v>0.7</v>
      </c>
      <c r="I19" s="2" t="s">
        <v>226</v>
      </c>
      <c r="J19" s="2"/>
      <c r="K19" s="2"/>
      <c r="O19" s="55">
        <f>'Input - Dairy'!$E$40</f>
        <v>0.7</v>
      </c>
      <c r="P19" s="55">
        <f>'Input - Dairy'!$F$40</f>
        <v>0.7</v>
      </c>
      <c r="Q19" s="55">
        <f>'Input - Dairy'!$G$40</f>
        <v>0.7</v>
      </c>
      <c r="R19" s="55">
        <f>'Input - Dairy'!$H$40</f>
        <v>0.7</v>
      </c>
      <c r="S19" s="55">
        <f>'Input - Dairy'!$I$40</f>
        <v>0.7</v>
      </c>
      <c r="T19" s="2" t="s">
        <v>226</v>
      </c>
      <c r="U19" s="2"/>
      <c r="V19" s="2"/>
    </row>
    <row r="20" spans="1:23" ht="20.100000000000001" customHeight="1" x14ac:dyDescent="0.25">
      <c r="A20" s="17"/>
    </row>
    <row r="21" spans="1:23" ht="20.100000000000001" customHeight="1" x14ac:dyDescent="0.25">
      <c r="A21" s="18" t="s">
        <v>4</v>
      </c>
      <c r="D21" s="104" t="s">
        <v>227</v>
      </c>
      <c r="O21" s="104" t="s">
        <v>229</v>
      </c>
    </row>
    <row r="22" spans="1:23" ht="20.100000000000001" customHeight="1" x14ac:dyDescent="0.25">
      <c r="A22" s="17" t="str">
        <f>HYPERLINK("#'Constants - Dairy'!A1", "Constants - Dairy")</f>
        <v>Constants - Dairy</v>
      </c>
      <c r="D22" s="103" t="s">
        <v>228</v>
      </c>
      <c r="O22" s="103" t="s">
        <v>230</v>
      </c>
    </row>
    <row r="23" spans="1:23" ht="20.100000000000001" customHeight="1" x14ac:dyDescent="0.25">
      <c r="A23" s="17" t="str">
        <f>HYPERLINK("#'Constants - Livestock'!A1", "Constants - Livestock")</f>
        <v>Constants - Livestock</v>
      </c>
      <c r="D23" s="54" t="s">
        <v>173</v>
      </c>
      <c r="E23" s="54" t="s">
        <v>190</v>
      </c>
      <c r="F23" s="54" t="s">
        <v>191</v>
      </c>
      <c r="G23" s="54" t="s">
        <v>192</v>
      </c>
      <c r="H23" s="54" t="s">
        <v>193</v>
      </c>
      <c r="O23" s="54" t="s">
        <v>173</v>
      </c>
      <c r="P23" s="54" t="s">
        <v>190</v>
      </c>
      <c r="Q23" s="54" t="s">
        <v>191</v>
      </c>
      <c r="R23" s="54" t="s">
        <v>192</v>
      </c>
      <c r="S23" s="54" t="s">
        <v>193</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0.55510000000000004</v>
      </c>
      <c r="E24" s="55" cm="1">
        <f t="array" ref="E24">EntericMethane_Dairy_Equations.VEERG_3_3_1_1__6_MetabolisabilityOfDietVariation(E19)</f>
        <v>0.55510000000000004</v>
      </c>
      <c r="F24" s="55" cm="1">
        <f t="array" ref="F24">EntericMethane_Dairy_Equations.VEERG_3_3_1_1__6_MetabolisabilityOfDietVariation(F19)</f>
        <v>0.55510000000000004</v>
      </c>
      <c r="G24" s="55" cm="1">
        <f t="array" ref="G24">EntericMethane_Dairy_Equations.VEERG_3_3_1_1__6_MetabolisabilityOfDietVariation(G19)</f>
        <v>0.55510000000000004</v>
      </c>
      <c r="H24" s="55" cm="1">
        <f t="array" ref="H24">EntericMethane_Dairy_Equations.VEERG_3_3_1_1__6_MetabolisabilityOfDietVariation(H19)</f>
        <v>0.55510000000000004</v>
      </c>
      <c r="I24" s="2" t="str">
        <f>$E$12</f>
        <v>fraction</v>
      </c>
      <c r="J24" s="2"/>
      <c r="K24" s="2"/>
      <c r="O24" s="55" cm="1">
        <f t="array" ref="O24">EntericMethane_Dairy_Equations.VEERG_3_3_1_1__6_MetabolisabilityOfDietVariation(O19)</f>
        <v>0.55510000000000004</v>
      </c>
      <c r="P24" s="55" cm="1">
        <f t="array" ref="P24">EntericMethane_Dairy_Equations.VEERG_3_3_1_1__6_MetabolisabilityOfDietVariation(P19)</f>
        <v>0.55510000000000004</v>
      </c>
      <c r="Q24" s="55" cm="1">
        <f t="array" ref="Q24">EntericMethane_Dairy_Equations.VEERG_3_3_1_1__6_MetabolisabilityOfDietVariation(Q19)</f>
        <v>0.55510000000000004</v>
      </c>
      <c r="R24" s="55" cm="1">
        <f t="array" ref="R24">EntericMethane_Dairy_Equations.VEERG_3_3_1_1__6_MetabolisabilityOfDietVariation(R19)</f>
        <v>0.55510000000000004</v>
      </c>
      <c r="S24" s="55" cm="1">
        <f t="array" ref="S24">EntericMethane_Dairy_Equations.VEERG_3_3_1_1__6_MetabolisabilityOfDietVariation(S19)</f>
        <v>0.55510000000000004</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446</v>
      </c>
    </row>
    <row r="43" spans="4:20" ht="20.100000000000001" customHeight="1" x14ac:dyDescent="0.25">
      <c r="D43" s="103" t="s">
        <v>447</v>
      </c>
    </row>
    <row r="44" spans="4:20" ht="20.100000000000001" customHeight="1" x14ac:dyDescent="0.25">
      <c r="D44" s="41" t="s">
        <v>173</v>
      </c>
      <c r="E44" s="41" t="s">
        <v>190</v>
      </c>
      <c r="F44" s="41" t="s">
        <v>191</v>
      </c>
      <c r="G44" s="41" t="s">
        <v>192</v>
      </c>
      <c r="H44" s="41" t="s">
        <v>193</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448</v>
      </c>
      <c r="O47" s="104" t="s">
        <v>450</v>
      </c>
    </row>
    <row r="48" spans="4:20" ht="20.100000000000001" customHeight="1" x14ac:dyDescent="0.25">
      <c r="D48" s="103" t="s">
        <v>449</v>
      </c>
      <c r="O48" s="103" t="s">
        <v>451</v>
      </c>
    </row>
    <row r="49" spans="1:23" ht="20.100000000000001" customHeight="1" x14ac:dyDescent="0.25">
      <c r="D49" s="54" t="s">
        <v>173</v>
      </c>
      <c r="E49" s="54" t="s">
        <v>190</v>
      </c>
      <c r="F49" s="54" t="s">
        <v>191</v>
      </c>
      <c r="G49" s="54" t="s">
        <v>192</v>
      </c>
      <c r="H49" s="54" t="s">
        <v>193</v>
      </c>
      <c r="O49" s="54" t="s">
        <v>173</v>
      </c>
      <c r="P49" s="54" t="s">
        <v>190</v>
      </c>
      <c r="Q49" s="54" t="s">
        <v>191</v>
      </c>
      <c r="R49" s="54" t="s">
        <v>192</v>
      </c>
      <c r="S49" s="54" t="s">
        <v>193</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233</v>
      </c>
      <c r="O50" s="55" cm="1">
        <f t="array" ref="O50">EntericMethane_Dairy_Equations.VEERG_3_3_1_1__5_MilkProductionFromMilkSolids(D45,$T$39,$T$40)</f>
        <v>0</v>
      </c>
      <c r="P50" s="55">
        <v>0</v>
      </c>
      <c r="Q50" s="55">
        <v>0</v>
      </c>
      <c r="R50" s="55">
        <v>0</v>
      </c>
      <c r="S50" s="55">
        <v>0</v>
      </c>
      <c r="T50" s="2" t="s">
        <v>233</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236</v>
      </c>
    </row>
    <row r="72" spans="4:22" ht="20.100000000000001" customHeight="1" x14ac:dyDescent="0.25">
      <c r="D72" s="103" t="s">
        <v>197</v>
      </c>
    </row>
    <row r="73" spans="4:22" ht="20.100000000000001" customHeight="1" x14ac:dyDescent="0.25">
      <c r="D73" s="41" t="s">
        <v>173</v>
      </c>
      <c r="E73" s="41" t="s">
        <v>190</v>
      </c>
      <c r="F73" s="41" t="s">
        <v>191</v>
      </c>
      <c r="G73" s="41" t="s">
        <v>192</v>
      </c>
      <c r="H73" s="41" t="s">
        <v>193</v>
      </c>
    </row>
    <row r="74" spans="4:22" ht="20.100000000000001" customHeight="1" x14ac:dyDescent="0.25">
      <c r="D74" s="55">
        <f>IF(I62="Milk solids", 0, 'Input - Dairy'!$E$52)</f>
        <v>20</v>
      </c>
      <c r="E74" s="55">
        <v>0</v>
      </c>
      <c r="F74" s="55">
        <v>0</v>
      </c>
      <c r="G74" s="55">
        <v>0</v>
      </c>
      <c r="H74" s="55">
        <v>0</v>
      </c>
      <c r="I74" s="2" t="s">
        <v>233</v>
      </c>
      <c r="J74" s="2"/>
      <c r="K74" s="2"/>
    </row>
    <row r="75" spans="4:22" ht="20.100000000000001" customHeight="1" x14ac:dyDescent="0.25"/>
    <row r="76" spans="4:22" ht="20.100000000000001" customHeight="1" x14ac:dyDescent="0.25">
      <c r="D76" s="104" t="s">
        <v>231</v>
      </c>
      <c r="O76" s="104" t="s">
        <v>234</v>
      </c>
    </row>
    <row r="77" spans="4:22" ht="20.100000000000001" customHeight="1" x14ac:dyDescent="0.25">
      <c r="D77" s="103" t="s">
        <v>232</v>
      </c>
      <c r="O77" s="103" t="s">
        <v>235</v>
      </c>
    </row>
    <row r="78" spans="4:22" ht="20.100000000000001" customHeight="1" x14ac:dyDescent="0.25">
      <c r="D78" s="54" t="s">
        <v>173</v>
      </c>
      <c r="E78" s="54" t="s">
        <v>190</v>
      </c>
      <c r="F78" s="54" t="s">
        <v>191</v>
      </c>
      <c r="G78" s="54" t="s">
        <v>192</v>
      </c>
      <c r="H78" s="54" t="s">
        <v>193</v>
      </c>
      <c r="O78" s="54" t="s">
        <v>173</v>
      </c>
      <c r="P78" s="54" t="s">
        <v>190</v>
      </c>
      <c r="Q78" s="54" t="s">
        <v>191</v>
      </c>
      <c r="R78" s="54" t="s">
        <v>192</v>
      </c>
      <c r="S78" s="54" t="s">
        <v>193</v>
      </c>
    </row>
    <row r="79" spans="4:22" ht="20.100000000000001" customHeight="1" x14ac:dyDescent="0.25">
      <c r="D79" s="55" cm="1">
        <f t="array" ref="D79">EntericMethane_Dairy_Equations.VEERG_3_3_1_1__4_AdditionalIntakeForMilkProduction(IF(I62="Milk solids", D50, D74), $I$65,$I$66,$I$67,D24)</f>
        <v>10.265874538860997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10.265874538860997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216</v>
      </c>
      <c r="O96" s="104" t="s">
        <v>218</v>
      </c>
    </row>
    <row r="97" spans="1:22" ht="20.100000000000001" customHeight="1" x14ac:dyDescent="0.25">
      <c r="D97" s="103" t="s">
        <v>217</v>
      </c>
      <c r="O97" s="103" t="s">
        <v>219</v>
      </c>
    </row>
    <row r="98" spans="1:22" ht="20.100000000000001" customHeight="1" x14ac:dyDescent="0.25">
      <c r="D98" s="41" t="s">
        <v>173</v>
      </c>
      <c r="E98" s="41" t="s">
        <v>190</v>
      </c>
      <c r="F98" s="41" t="s">
        <v>191</v>
      </c>
      <c r="G98" s="41" t="s">
        <v>192</v>
      </c>
      <c r="H98" s="41" t="s">
        <v>193</v>
      </c>
      <c r="O98" s="41" t="s">
        <v>173</v>
      </c>
      <c r="P98" s="41" t="s">
        <v>190</v>
      </c>
      <c r="Q98" s="41" t="s">
        <v>191</v>
      </c>
      <c r="R98" s="41" t="s">
        <v>192</v>
      </c>
      <c r="S98" s="41" t="s">
        <v>193</v>
      </c>
    </row>
    <row r="99" spans="1:22" ht="20.100000000000001" customHeight="1" x14ac:dyDescent="0.25">
      <c r="D99" s="55">
        <f>'Input - Dairy'!$E$14</f>
        <v>550</v>
      </c>
      <c r="E99" s="55">
        <f>'Input - Dairy'!$F$14</f>
        <v>380</v>
      </c>
      <c r="F99" s="55">
        <f>'Input - Dairy'!$G$14</f>
        <v>155</v>
      </c>
      <c r="G99" s="55">
        <f>'Input - Dairy'!$H$14</f>
        <v>600</v>
      </c>
      <c r="H99" s="55">
        <f>'Input - Dairy'!$I$14</f>
        <v>225</v>
      </c>
      <c r="I99" s="2" t="s">
        <v>195</v>
      </c>
      <c r="J99" s="2"/>
      <c r="K99" s="2"/>
      <c r="O99" s="55">
        <f>'Input - Dairy'!$E$18</f>
        <v>550</v>
      </c>
      <c r="P99" s="55">
        <f>'Input - Dairy'!$F$18</f>
        <v>380</v>
      </c>
      <c r="Q99" s="55">
        <f>'Input - Dairy'!$G$18</f>
        <v>155</v>
      </c>
      <c r="R99" s="55">
        <f>'Input - Dairy'!$H$18</f>
        <v>600</v>
      </c>
      <c r="S99" s="55">
        <f>'Input - Dairy'!$I$18</f>
        <v>225</v>
      </c>
      <c r="T99" s="2" t="s">
        <v>195</v>
      </c>
      <c r="U99" s="2"/>
      <c r="V99" s="2"/>
    </row>
    <row r="100" spans="1:22" ht="20.100000000000001" customHeight="1" x14ac:dyDescent="0.25"/>
    <row r="101" spans="1:22" ht="20.100000000000001" customHeight="1" x14ac:dyDescent="0.25">
      <c r="D101" s="104" t="s">
        <v>220</v>
      </c>
      <c r="O101" s="104" t="s">
        <v>222</v>
      </c>
    </row>
    <row r="102" spans="1:22" ht="20.100000000000001" customHeight="1" x14ac:dyDescent="0.25">
      <c r="D102" s="103" t="s">
        <v>221</v>
      </c>
      <c r="O102" s="103" t="s">
        <v>223</v>
      </c>
    </row>
    <row r="103" spans="1:22" ht="20.100000000000001" customHeight="1" x14ac:dyDescent="0.25">
      <c r="D103" s="41" t="s">
        <v>173</v>
      </c>
      <c r="E103" s="41" t="s">
        <v>190</v>
      </c>
      <c r="F103" s="41" t="s">
        <v>191</v>
      </c>
      <c r="G103" s="41" t="s">
        <v>192</v>
      </c>
      <c r="H103" s="41" t="s">
        <v>193</v>
      </c>
      <c r="O103" s="41" t="s">
        <v>173</v>
      </c>
      <c r="P103" s="41" t="s">
        <v>190</v>
      </c>
      <c r="Q103" s="41" t="s">
        <v>191</v>
      </c>
      <c r="R103" s="41" t="s">
        <v>192</v>
      </c>
      <c r="S103" s="41" t="s">
        <v>193</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196</v>
      </c>
      <c r="J104" s="2"/>
      <c r="K104" s="2"/>
      <c r="O104" s="55">
        <f>'Input - Dairy'!$E$19</f>
        <v>1.6E-2</v>
      </c>
      <c r="P104" s="55">
        <f>'Input - Dairy'!$F$19</f>
        <v>0.6</v>
      </c>
      <c r="Q104" s="55">
        <f>'Input - Dairy'!$G$19</f>
        <v>0.56999999999999995</v>
      </c>
      <c r="R104" s="55">
        <f>'Input - Dairy'!$H$19</f>
        <v>0.1</v>
      </c>
      <c r="S104" s="55">
        <f>'Input - Dairy'!$I$19</f>
        <v>0.8</v>
      </c>
      <c r="T104" s="2" t="s">
        <v>196</v>
      </c>
      <c r="U104" s="2"/>
      <c r="V104" s="2"/>
    </row>
    <row r="105" spans="1:22" ht="20.100000000000001" customHeight="1" x14ac:dyDescent="0.25">
      <c r="A105" s="141" t="str">
        <f>HYPERLINK("#A1", "▲ Back to top")</f>
        <v>▲ Back to top</v>
      </c>
    </row>
    <row r="106" spans="1:22" ht="20.100000000000001" customHeight="1" x14ac:dyDescent="0.25">
      <c r="D106" s="104" t="s">
        <v>224</v>
      </c>
    </row>
    <row r="107" spans="1:22" ht="20.100000000000001" customHeight="1" x14ac:dyDescent="0.25">
      <c r="D107" s="103" t="s">
        <v>225</v>
      </c>
    </row>
    <row r="108" spans="1:22" ht="20.100000000000001" customHeight="1" x14ac:dyDescent="0.25">
      <c r="D108" s="54" t="s">
        <v>173</v>
      </c>
      <c r="E108" s="54" t="s">
        <v>190</v>
      </c>
      <c r="F108" s="54" t="s">
        <v>191</v>
      </c>
      <c r="G108" s="54" t="s">
        <v>192</v>
      </c>
      <c r="H108" s="54" t="s">
        <v>193</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239</v>
      </c>
      <c r="O112" s="103" t="s">
        <v>238</v>
      </c>
    </row>
    <row r="113" spans="3:23" ht="20.100000000000001" customHeight="1" x14ac:dyDescent="0.25">
      <c r="D113" s="54" t="s">
        <v>173</v>
      </c>
      <c r="E113" s="54" t="s">
        <v>190</v>
      </c>
      <c r="F113" s="54" t="s">
        <v>191</v>
      </c>
      <c r="G113" s="54" t="s">
        <v>192</v>
      </c>
      <c r="H113" s="54" t="s">
        <v>193</v>
      </c>
      <c r="O113" s="54" t="s">
        <v>173</v>
      </c>
      <c r="P113" s="54" t="s">
        <v>190</v>
      </c>
      <c r="Q113" s="54" t="s">
        <v>191</v>
      </c>
      <c r="R113" s="54" t="s">
        <v>192</v>
      </c>
      <c r="S113" s="54" t="s">
        <v>193</v>
      </c>
    </row>
    <row r="114" spans="3:23" ht="20.100000000000001" customHeight="1" x14ac:dyDescent="0.25">
      <c r="D114" s="55" cm="1">
        <f t="array" ref="D114">EntericMethane_Dairy_Equations.VEERG_3_3_1_1__3_DryMatterFeedIntake(D99,D104,D109,D79)</f>
        <v>19.520320059621</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19.520320059621</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240</v>
      </c>
      <c r="O131" s="103" t="s">
        <v>241</v>
      </c>
    </row>
    <row r="132" spans="3:23" ht="20.100000000000001" customHeight="1" x14ac:dyDescent="0.25">
      <c r="D132" s="54" t="s">
        <v>173</v>
      </c>
      <c r="E132" s="54" t="s">
        <v>190</v>
      </c>
      <c r="F132" s="54" t="s">
        <v>191</v>
      </c>
      <c r="G132" s="54" t="s">
        <v>192</v>
      </c>
      <c r="H132" s="54" t="s">
        <v>193</v>
      </c>
      <c r="O132" s="54" t="s">
        <v>173</v>
      </c>
      <c r="P132" s="54" t="s">
        <v>190</v>
      </c>
      <c r="Q132" s="54" t="s">
        <v>191</v>
      </c>
      <c r="R132" s="54" t="s">
        <v>192</v>
      </c>
      <c r="S132" s="54" t="s">
        <v>193</v>
      </c>
    </row>
    <row r="133" spans="3:23" ht="20.100000000000001" customHeight="1" x14ac:dyDescent="0.25">
      <c r="D133" s="55" cm="1">
        <f t="array" ref="D133">MMS_Dairy_Methane_Equations.VEERG_4_3_1_1__3_VolatileSolidsForWeanedDairyCattle(D114,D19,$I$128)</f>
        <v>6.105956114649449</v>
      </c>
      <c r="E133" s="55" cm="1">
        <f t="array" ref="E133">MMS_Dairy_Methane_Equations.VEERG_4_3_1_1__3_VolatileSolidsForWeanedDairyCattle(E114,E19,$I$128)</f>
        <v>2.3206220785612794</v>
      </c>
      <c r="F133" s="55" cm="1">
        <f t="array" ref="F133">MMS_Dairy_Methane_Equations.VEERG_4_3_1_1__3_VolatileSolidsForWeanedDairyCattle(F114,F19,$I$128)</f>
        <v>1.2584486602351803</v>
      </c>
      <c r="G133" s="55" cm="1">
        <f t="array" ref="G133">MMS_Dairy_Methane_Equations.VEERG_4_3_1_1__3_VolatileSolidsForWeanedDairyCattle(G114,G19,$I$128)</f>
        <v>2.8236519341999999</v>
      </c>
      <c r="H133" s="55" cm="1">
        <f t="array" ref="H133">MMS_Dairy_Methane_Equations.VEERG_4_3_1_1__3_VolatileSolidsForWeanedDairyCattle(H114,H19,$I$128)</f>
        <v>1.6936078246875008</v>
      </c>
      <c r="I133" s="2" t="str">
        <f>$E$124</f>
        <v>kg/head/day</v>
      </c>
      <c r="O133" s="55" cm="1">
        <f t="array" ref="O133">MMS_Dairy_Methane_Equations.VEERG_4_3_1_1__3_VolatileSolidsForWeanedDairyCattle(O114,O19,$I$128)</f>
        <v>6.105956114649449</v>
      </c>
      <c r="P133" s="55" cm="1">
        <f t="array" ref="P133">MMS_Dairy_Methane_Equations.VEERG_4_3_1_1__3_VolatileSolidsForWeanedDairyCattle(P114,P19,$I$128)</f>
        <v>2.3206220785612794</v>
      </c>
      <c r="Q133" s="55" cm="1">
        <f t="array" ref="Q133">MMS_Dairy_Methane_Equations.VEERG_4_3_1_1__3_VolatileSolidsForWeanedDairyCattle(Q114,Q19,$I$128)</f>
        <v>1.2584486602351803</v>
      </c>
      <c r="R133" s="55" cm="1">
        <f t="array" ref="R133">MMS_Dairy_Methane_Equations.VEERG_4_3_1_1__3_VolatileSolidsForWeanedDairyCattle(R114,R19,$I$128)</f>
        <v>2.8236519341999999</v>
      </c>
      <c r="S133" s="55" cm="1">
        <f t="array" ref="S133">MMS_Dairy_Methane_Equations.VEERG_4_3_1_1__3_VolatileSolidsForWeanedDairyCattle(S114,S19,$I$128)</f>
        <v>1.6936078246875008</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246</v>
      </c>
      <c r="O148" s="104" t="s">
        <v>248</v>
      </c>
    </row>
    <row r="149" spans="1:22" ht="20.100000000000001" customHeight="1" x14ac:dyDescent="0.25">
      <c r="D149" s="103" t="s">
        <v>247</v>
      </c>
      <c r="O149" s="103" t="s">
        <v>249</v>
      </c>
    </row>
    <row r="150" spans="1:22" ht="20.100000000000001" customHeight="1" x14ac:dyDescent="0.25">
      <c r="D150" s="41" t="s">
        <v>148</v>
      </c>
      <c r="E150" s="41" t="s">
        <v>69</v>
      </c>
      <c r="F150" s="41" t="s">
        <v>173</v>
      </c>
      <c r="G150" s="41" t="s">
        <v>190</v>
      </c>
      <c r="H150" s="41" t="s">
        <v>191</v>
      </c>
      <c r="I150" s="41" t="s">
        <v>192</v>
      </c>
      <c r="J150" s="41" t="s">
        <v>193</v>
      </c>
      <c r="O150" s="41" t="s">
        <v>148</v>
      </c>
      <c r="P150" s="41" t="s">
        <v>69</v>
      </c>
      <c r="Q150" s="41" t="s">
        <v>173</v>
      </c>
      <c r="R150" s="41" t="s">
        <v>190</v>
      </c>
      <c r="S150" s="41" t="s">
        <v>191</v>
      </c>
      <c r="T150" s="41" t="s">
        <v>192</v>
      </c>
      <c r="U150" s="41" t="s">
        <v>193</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244</v>
      </c>
      <c r="O159" s="104" t="s">
        <v>250</v>
      </c>
    </row>
    <row r="160" spans="1:22" ht="20.100000000000001" customHeight="1" x14ac:dyDescent="0.25">
      <c r="D160" s="103" t="s">
        <v>253</v>
      </c>
      <c r="O160" s="103" t="s">
        <v>254</v>
      </c>
    </row>
    <row r="161" spans="4:22" ht="20.100000000000001" customHeight="1" x14ac:dyDescent="0.25">
      <c r="D161" s="41" t="s">
        <v>148</v>
      </c>
      <c r="E161" s="41" t="s">
        <v>69</v>
      </c>
      <c r="F161" s="41" t="s">
        <v>245</v>
      </c>
      <c r="O161" s="41" t="s">
        <v>148</v>
      </c>
      <c r="P161" s="41" t="s">
        <v>69</v>
      </c>
      <c r="Q161" s="41" t="s">
        <v>245</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v>
      </c>
      <c r="O163" s="55" t="str">
        <f>'Input - Dairy'!$D$66</f>
        <v>Milking shed</v>
      </c>
      <c r="P163" s="55" t="str">
        <f>'Input - Dairy'!$D$81</f>
        <v>Anaerobic lagoon</v>
      </c>
      <c r="Q163" s="55">
        <f>'Input - Dairy'!$E$84</f>
        <v>0</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0.2</v>
      </c>
      <c r="G166" s="2"/>
      <c r="O166" s="55" t="str">
        <f>'Input - Dairy'!$D$67</f>
        <v>Feed pad</v>
      </c>
      <c r="P166" s="55" t="str">
        <f>'Input - Dairy'!$D$105</f>
        <v>Anaerobic lagoon</v>
      </c>
      <c r="Q166" s="55">
        <f>'Input - Dairy'!$E$108</f>
        <v>0.2</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243</v>
      </c>
      <c r="O170" s="104" t="s">
        <v>243</v>
      </c>
    </row>
    <row r="171" spans="4:22" ht="20.100000000000001" customHeight="1" x14ac:dyDescent="0.25">
      <c r="D171" s="103" t="s">
        <v>242</v>
      </c>
      <c r="O171" s="103" t="s">
        <v>455</v>
      </c>
    </row>
    <row r="172" spans="4:22" ht="20.100000000000001" customHeight="1" x14ac:dyDescent="0.25">
      <c r="D172" s="54" t="s">
        <v>148</v>
      </c>
      <c r="E172" s="54" t="s">
        <v>69</v>
      </c>
      <c r="F172" s="54" t="s">
        <v>173</v>
      </c>
      <c r="G172" s="54" t="s">
        <v>190</v>
      </c>
      <c r="H172" s="54" t="s">
        <v>191</v>
      </c>
      <c r="I172" s="54" t="s">
        <v>192</v>
      </c>
      <c r="J172" s="54" t="s">
        <v>193</v>
      </c>
      <c r="O172" s="54" t="s">
        <v>148</v>
      </c>
      <c r="P172" s="54" t="s">
        <v>69</v>
      </c>
      <c r="Q172" s="54" t="s">
        <v>173</v>
      </c>
      <c r="R172" s="54" t="s">
        <v>190</v>
      </c>
      <c r="S172" s="54" t="s">
        <v>191</v>
      </c>
      <c r="T172" s="54" t="s">
        <v>192</v>
      </c>
      <c r="U172" s="54" t="s">
        <v>193</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2.75E-2</v>
      </c>
      <c r="G174" s="55" cm="1">
        <f t="array" ref="G174">MMS_Dairy_Methane_Equations.VEERG_4_3_1_1__4_FractionVolatileSolidsNotSolidStorage(G152,$F163)</f>
        <v>2.75E-2</v>
      </c>
      <c r="H174" s="55" cm="1">
        <f t="array" ref="H174">MMS_Dairy_Methane_Equations.VEERG_4_3_1_1__4_FractionVolatileSolidsNotSolidStorage(H152,$F163)</f>
        <v>2.75E-2</v>
      </c>
      <c r="I174" s="55" cm="1">
        <f t="array" ref="I174">MMS_Dairy_Methane_Equations.VEERG_4_3_1_1__4_FractionVolatileSolidsNotSolidStorage(I152,$F163)</f>
        <v>2.75E-2</v>
      </c>
      <c r="J174" s="55" cm="1">
        <f t="array" ref="J174">MMS_Dairy_Methane_Equations.VEERG_4_3_1_1__4_FractionVolatileSolidsNotSolidStorage(J152,$F163)</f>
        <v>2.75E-2</v>
      </c>
      <c r="O174" s="55" t="str">
        <f>'Input - Dairy'!$D$66</f>
        <v>Milking shed</v>
      </c>
      <c r="P174" s="55" t="str">
        <f>'Input - Dairy'!$D$81</f>
        <v>Anaerobic lagoon</v>
      </c>
      <c r="Q174" s="55" cm="1">
        <f t="array" ref="Q174">MMS_Dairy_Methane_Equations.VEERG_4_3_1_1__4_FractionVolatileSolidsNotSolidStorage(Q152,$Q163)</f>
        <v>2.75E-2</v>
      </c>
      <c r="R174" s="55" cm="1">
        <f t="array" ref="R174">MMS_Dairy_Methane_Equations.VEERG_4_3_1_1__4_FractionVolatileSolidsNotSolidStorage(R152,$Q163)</f>
        <v>2.75E-2</v>
      </c>
      <c r="S174" s="55" cm="1">
        <f t="array" ref="S174">MMS_Dairy_Methane_Equations.VEERG_4_3_1_1__4_FractionVolatileSolidsNotSolidStorage(S152,$Q163)</f>
        <v>2.75E-2</v>
      </c>
      <c r="T174" s="55" cm="1">
        <f t="array" ref="T174">MMS_Dairy_Methane_Equations.VEERG_4_3_1_1__4_FractionVolatileSolidsNotSolidStorage(T152,$Q163)</f>
        <v>2.75E-2</v>
      </c>
      <c r="U174" s="55" cm="1">
        <f t="array" ref="U174">MMS_Dairy_Methane_Equations.VEERG_4_3_1_1__4_FractionVolatileSolidsNotSolidStorage(U152,$Q163)</f>
        <v>2.75E-2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7.1199999999999999E-2</v>
      </c>
      <c r="G177" s="55" cm="1">
        <f t="array" ref="G177">MMS_Dairy_Methane_Equations.VEERG_4_3_1_1__4_FractionVolatileSolidsNotSolidStorage(G155,$F166)</f>
        <v>7.1199999999999999E-2</v>
      </c>
      <c r="H177" s="55" cm="1">
        <f t="array" ref="H177">MMS_Dairy_Methane_Equations.VEERG_4_3_1_1__4_FractionVolatileSolidsNotSolidStorage(H155,$F166)</f>
        <v>7.1199999999999999E-2</v>
      </c>
      <c r="I177" s="55" cm="1">
        <f t="array" ref="I177">MMS_Dairy_Methane_Equations.VEERG_4_3_1_1__4_FractionVolatileSolidsNotSolidStorage(I155,$F166)</f>
        <v>7.1199999999999999E-2</v>
      </c>
      <c r="J177" s="55" cm="1">
        <f t="array" ref="J177">MMS_Dairy_Methane_Equations.VEERG_4_3_1_1__4_FractionVolatileSolidsNotSolidStorage(J155,$F166)</f>
        <v>7.1199999999999999E-2</v>
      </c>
      <c r="K177" s="2"/>
      <c r="O177" s="55" t="str">
        <f>'Input - Dairy'!$D$67</f>
        <v>Feed pad</v>
      </c>
      <c r="P177" s="55" t="str">
        <f>'Input - Dairy'!$D$105</f>
        <v>Anaerobic lagoon</v>
      </c>
      <c r="Q177" s="55" cm="1">
        <f t="array" ref="Q177">MMS_Dairy_Methane_Equations.VEERG_4_3_1_1__4_FractionVolatileSolidsNotSolidStorage(Q155,$Q166)</f>
        <v>7.1199999999999999E-2</v>
      </c>
      <c r="R177" s="55" cm="1">
        <f t="array" ref="R177">MMS_Dairy_Methane_Equations.VEERG_4_3_1_1__4_FractionVolatileSolidsNotSolidStorage(R155,$Q166)</f>
        <v>7.1199999999999999E-2</v>
      </c>
      <c r="S177" s="55" cm="1">
        <f t="array" ref="S177">MMS_Dairy_Methane_Equations.VEERG_4_3_1_1__4_FractionVolatileSolidsNotSolidStorage(S155,$Q166)</f>
        <v>7.1199999999999999E-2</v>
      </c>
      <c r="T177" s="55" cm="1">
        <f t="array" ref="T177">MMS_Dairy_Methane_Equations.VEERG_4_3_1_1__4_FractionVolatileSolidsNotSolidStorage(T155,$Q166)</f>
        <v>7.1199999999999999E-2</v>
      </c>
      <c r="U177" s="55" cm="1">
        <f t="array" ref="U177">MMS_Dairy_Methane_Equations.VEERG_4_3_1_1__4_FractionVolatileSolidsNotSolidStorage(U155,$Q166)</f>
        <v>7.1199999999999999E-2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251</v>
      </c>
      <c r="O196" s="104" t="s">
        <v>257</v>
      </c>
    </row>
    <row r="197" spans="4:22" ht="20.100000000000001" customHeight="1" x14ac:dyDescent="0.25">
      <c r="D197" s="103" t="s">
        <v>252</v>
      </c>
      <c r="O197" s="103" t="s">
        <v>258</v>
      </c>
    </row>
    <row r="198" spans="4:22" ht="20.100000000000001" customHeight="1" x14ac:dyDescent="0.25">
      <c r="D198" s="41" t="s">
        <v>148</v>
      </c>
      <c r="E198" s="41" t="s">
        <v>69</v>
      </c>
      <c r="F198" s="41" t="s">
        <v>173</v>
      </c>
      <c r="G198" s="41" t="s">
        <v>190</v>
      </c>
      <c r="H198" s="41" t="s">
        <v>191</v>
      </c>
      <c r="I198" s="41" t="s">
        <v>192</v>
      </c>
      <c r="J198" s="41" t="s">
        <v>193</v>
      </c>
      <c r="O198" s="41" t="s">
        <v>148</v>
      </c>
      <c r="P198" s="41" t="s">
        <v>69</v>
      </c>
      <c r="Q198" s="41" t="s">
        <v>173</v>
      </c>
      <c r="R198" s="41" t="s">
        <v>190</v>
      </c>
      <c r="S198" s="41" t="s">
        <v>191</v>
      </c>
      <c r="T198" s="41" t="s">
        <v>192</v>
      </c>
      <c r="U198" s="41" t="s">
        <v>193</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101</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101</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101</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101</v>
      </c>
    </row>
    <row r="201" spans="4:22" ht="20.100000000000001" customHeight="1" x14ac:dyDescent="0.25"/>
    <row r="202" spans="4:22" ht="20.100000000000001" customHeight="1" x14ac:dyDescent="0.25">
      <c r="D202" s="104" t="s">
        <v>255</v>
      </c>
      <c r="O202" s="104" t="s">
        <v>259</v>
      </c>
    </row>
    <row r="203" spans="4:22" ht="20.100000000000001" customHeight="1" x14ac:dyDescent="0.25">
      <c r="D203" s="103" t="s">
        <v>256</v>
      </c>
      <c r="O203" s="103" t="s">
        <v>260</v>
      </c>
    </row>
    <row r="204" spans="4:22" ht="20.100000000000001" customHeight="1" x14ac:dyDescent="0.25">
      <c r="D204" s="54" t="s">
        <v>148</v>
      </c>
      <c r="E204" s="54" t="s">
        <v>69</v>
      </c>
      <c r="F204" s="54" t="s">
        <v>173</v>
      </c>
      <c r="G204" s="54" t="s">
        <v>190</v>
      </c>
      <c r="H204" s="54" t="s">
        <v>191</v>
      </c>
      <c r="I204" s="54" t="s">
        <v>192</v>
      </c>
      <c r="J204" s="54" t="s">
        <v>193</v>
      </c>
      <c r="O204" s="54" t="s">
        <v>148</v>
      </c>
      <c r="P204" s="54" t="s">
        <v>69</v>
      </c>
      <c r="Q204" s="54" t="s">
        <v>173</v>
      </c>
      <c r="R204" s="54" t="s">
        <v>190</v>
      </c>
      <c r="S204" s="54" t="s">
        <v>191</v>
      </c>
      <c r="T204" s="54" t="s">
        <v>192</v>
      </c>
      <c r="U204" s="54" t="s">
        <v>193</v>
      </c>
    </row>
    <row r="205" spans="4:22" ht="20.100000000000001" customHeight="1" x14ac:dyDescent="0.25">
      <c r="D205" s="55" t="str">
        <f>'Input - Dairy'!$D$66</f>
        <v>Milking shed</v>
      </c>
      <c r="E205" s="55" t="s">
        <v>407</v>
      </c>
      <c r="F205" s="55" cm="1">
        <f t="array" ref="F205">MMS_Dairy_Methane_Equations.VEERG_4_3_1_1__5_FractionVolatileSolidsSolidStorageVariation(F199,F152,$F163,F153,$F164,F154,$F165)</f>
        <v>3.85E-2</v>
      </c>
      <c r="G205" s="55" cm="1">
        <f t="array" ref="G205">MMS_Dairy_Methane_Equations.VEERG_4_3_1_1__5_FractionVolatileSolidsSolidStorageVariation(G199,G152,$F163,G153,$F164,G154,$F165)</f>
        <v>3.85E-2</v>
      </c>
      <c r="H205" s="55" cm="1">
        <f t="array" ref="H205">MMS_Dairy_Methane_Equations.VEERG_4_3_1_1__5_FractionVolatileSolidsSolidStorageVariation(H199,H152,$F163,H153,$F164,H154,$F165)</f>
        <v>3.85E-2</v>
      </c>
      <c r="I205" s="55" cm="1">
        <f t="array" ref="I205">MMS_Dairy_Methane_Equations.VEERG_4_3_1_1__5_FractionVolatileSolidsSolidStorageVariation(I199,I152,$F163,I153,$F164,I154,$F165)</f>
        <v>3.85E-2</v>
      </c>
      <c r="J205" s="55" cm="1">
        <f t="array" ref="J205">MMS_Dairy_Methane_Equations.VEERG_4_3_1_1__5_FractionVolatileSolidsSolidStorageVariation(J199,J152,$F163,J153,$F164,J154,$F165)</f>
        <v>3.85E-2</v>
      </c>
      <c r="K205" s="2" t="str">
        <f>$E$190</f>
        <v>fraction</v>
      </c>
      <c r="O205" s="55" t="str">
        <f>'Input - Dairy'!$D$66</f>
        <v>Milking shed</v>
      </c>
      <c r="P205" s="55" t="s">
        <v>407</v>
      </c>
      <c r="Q205" s="55" cm="1">
        <f t="array" ref="Q205">MMS_Dairy_Methane_Equations.VEERG_4_3_1_1__5_FractionVolatileSolidsSolidStorageVariation(Q199,Q152,$Q163,Q153,$Q164,Q154,$Q165)</f>
        <v>3.85E-2</v>
      </c>
      <c r="R205" s="55" cm="1">
        <f t="array" ref="R205">MMS_Dairy_Methane_Equations.VEERG_4_3_1_1__5_FractionVolatileSolidsSolidStorageVariation(R199,R152,$Q163,R153,$Q164,R154,$Q165)</f>
        <v>3.85E-2</v>
      </c>
      <c r="S205" s="55" cm="1">
        <f t="array" ref="S205">MMS_Dairy_Methane_Equations.VEERG_4_3_1_1__5_FractionVolatileSolidsSolidStorageVariation(S199,S152,$Q163,S153,$Q164,S154,$Q165)</f>
        <v>3.85E-2</v>
      </c>
      <c r="T205" s="55" cm="1">
        <f t="array" ref="T205">MMS_Dairy_Methane_Equations.VEERG_4_3_1_1__5_FractionVolatileSolidsSolidStorageVariation(T199,T152,$Q163,T153,$Q164,T154,$Q165)</f>
        <v>3.85E-2</v>
      </c>
      <c r="U205" s="55" cm="1">
        <f t="array" ref="U205">MMS_Dairy_Methane_Equations.VEERG_4_3_1_1__5_FractionVolatileSolidsSolidStorageVariation(U199,U152,$Q163,U153,$Q164,U154,$Q165)</f>
        <v>3.85E-2</v>
      </c>
      <c r="V205" s="2" t="str">
        <f>$E$190</f>
        <v>fraction</v>
      </c>
    </row>
    <row r="206" spans="4:22" ht="20.100000000000001" customHeight="1" x14ac:dyDescent="0.25">
      <c r="D206" s="55" t="str">
        <f>'Input - Dairy'!$D$67</f>
        <v>Feed pad</v>
      </c>
      <c r="E206" s="55" t="s">
        <v>407</v>
      </c>
      <c r="F206" s="55" cm="1">
        <f t="array" ref="F206">MMS_Dairy_Methane_Equations.VEERG_4_3_1_1__5_FractionVolatileSolidsSolidStorageVariation(F200,F155,$F166,F156,$F167,F157,$F168)</f>
        <v>0.1424</v>
      </c>
      <c r="G206" s="55" cm="1">
        <f t="array" ref="G206">MMS_Dairy_Methane_Equations.VEERG_4_3_1_1__5_FractionVolatileSolidsSolidStorageVariation(G200,G155,$F166,G156,$F167,G157,$F168)</f>
        <v>0.1424</v>
      </c>
      <c r="H206" s="55" cm="1">
        <f t="array" ref="H206">MMS_Dairy_Methane_Equations.VEERG_4_3_1_1__5_FractionVolatileSolidsSolidStorageVariation(H200,H155,$F166,H156,$F167,H157,$F168)</f>
        <v>0.1424</v>
      </c>
      <c r="I206" s="55" cm="1">
        <f t="array" ref="I206">MMS_Dairy_Methane_Equations.VEERG_4_3_1_1__5_FractionVolatileSolidsSolidStorageVariation(I200,I155,$F166,I156,$F167,I157,$F168)</f>
        <v>0.1424</v>
      </c>
      <c r="J206" s="55" cm="1">
        <f t="array" ref="J206">MMS_Dairy_Methane_Equations.VEERG_4_3_1_1__5_FractionVolatileSolidsSolidStorageVariation(J200,J155,$F166,J156,$F167,J157,$F168)</f>
        <v>0.1424</v>
      </c>
      <c r="K206" s="2" t="str">
        <f>$E$190</f>
        <v>fraction</v>
      </c>
      <c r="O206" s="55" t="str">
        <f>'Input - Dairy'!$D$67</f>
        <v>Feed pad</v>
      </c>
      <c r="P206" s="55" t="s">
        <v>407</v>
      </c>
      <c r="Q206" s="55" cm="1">
        <f t="array" ref="Q206">MMS_Dairy_Methane_Equations.VEERG_4_3_1_1__5_FractionVolatileSolidsSolidStorageVariation(Q200,Q155,$Q166,Q156,$Q167,Q157,$Q168)</f>
        <v>0.1424</v>
      </c>
      <c r="R206" s="55" cm="1">
        <f t="array" ref="R206">MMS_Dairy_Methane_Equations.VEERG_4_3_1_1__5_FractionVolatileSolidsSolidStorageVariation(R200,R155,$Q166,R156,$Q167,R157,$Q168)</f>
        <v>0.1424</v>
      </c>
      <c r="S206" s="55" cm="1">
        <f t="array" ref="S206">MMS_Dairy_Methane_Equations.VEERG_4_3_1_1__5_FractionVolatileSolidsSolidStorageVariation(S200,S155,$Q166,S156,$Q167,S157,$Q168)</f>
        <v>0.1424</v>
      </c>
      <c r="T206" s="55" cm="1">
        <f t="array" ref="T206">MMS_Dairy_Methane_Equations.VEERG_4_3_1_1__5_FractionVolatileSolidsSolidStorageVariation(T200,T155,$Q166,T156,$Q167,T157,$Q168)</f>
        <v>0.1424</v>
      </c>
      <c r="U206" s="55" cm="1">
        <f t="array" ref="U206">MMS_Dairy_Methane_Equations.VEERG_4_3_1_1__5_FractionVolatileSolidsSolidStorageVariation(U200,U155,$Q166,U156,$Q167,U157,$Q168)</f>
        <v>0.1424</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261</v>
      </c>
      <c r="O225" s="128" t="s">
        <v>418</v>
      </c>
    </row>
    <row r="226" spans="4:22" ht="20.100000000000001" customHeight="1" x14ac:dyDescent="0.25">
      <c r="D226" s="129" t="s">
        <v>262</v>
      </c>
      <c r="O226" s="129" t="s">
        <v>419</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420</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417</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416</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263</v>
      </c>
      <c r="O234" s="128" t="s">
        <v>277</v>
      </c>
    </row>
    <row r="235" spans="4:22" ht="20.100000000000001" customHeight="1" x14ac:dyDescent="0.25">
      <c r="D235" s="129" t="s">
        <v>279</v>
      </c>
      <c r="O235" s="129" t="s">
        <v>278</v>
      </c>
    </row>
    <row r="236" spans="4:22" ht="20.100000000000001" customHeight="1" x14ac:dyDescent="0.25">
      <c r="D236" s="54" t="s">
        <v>148</v>
      </c>
      <c r="E236" s="54" t="s">
        <v>69</v>
      </c>
      <c r="F236" s="54" t="s">
        <v>173</v>
      </c>
      <c r="G236" s="54" t="s">
        <v>190</v>
      </c>
      <c r="H236" s="54" t="s">
        <v>191</v>
      </c>
      <c r="I236" s="54" t="s">
        <v>192</v>
      </c>
      <c r="J236" s="54" t="s">
        <v>193</v>
      </c>
      <c r="O236" s="54" t="s">
        <v>148</v>
      </c>
      <c r="P236" s="54" t="s">
        <v>69</v>
      </c>
      <c r="Q236" s="54" t="s">
        <v>173</v>
      </c>
      <c r="R236" s="54" t="s">
        <v>190</v>
      </c>
      <c r="S236" s="54" t="s">
        <v>191</v>
      </c>
      <c r="T236" s="54" t="s">
        <v>192</v>
      </c>
      <c r="U236" s="54" t="s">
        <v>193</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5.3087468530731638E-3</v>
      </c>
      <c r="G237" s="55" cm="1">
        <f t="array" ref="G237">MMS_Dairy_Methane_Equations.VEERG_4_3_1_1__2_MethaneFromManureProduction(E$133,G173,_xlfn.XLOOKUP($E237,$D$228:$D$232,$E$228:$E$232),$I$221,$I$222)</f>
        <v>2.0176357191917975E-3</v>
      </c>
      <c r="H237" s="55" cm="1">
        <f t="array" ref="H237">MMS_Dairy_Methane_Equations.VEERG_4_3_1_1__2_MethaneFromManureProduction(F$133,H173,_xlfn.XLOOKUP($E237,$D$228:$D$232,$E$228:$E$232),$I$221,$I$222)</f>
        <v>1.0941423815263051E-3</v>
      </c>
      <c r="I237" s="55" cm="1">
        <f t="array" ref="I237">MMS_Dairy_Methane_Equations.VEERG_4_3_1_1__2_MethaneFromManureProduction(G$133,I173,_xlfn.XLOOKUP($E237,$D$228:$D$232,$E$228:$E$232),$I$221,$I$222)</f>
        <v>2.4549887091218966E-3</v>
      </c>
      <c r="J237" s="55" cm="1">
        <f t="array" ref="J237">MMS_Dairy_Methane_Equations.VEERG_4_3_1_1__2_MethaneFromManureProduction(H$133,J173,_xlfn.XLOOKUP($E237,$D$228:$D$232,$E$228:$E$232),$I$221,$I$222)</f>
        <v>1.4724860514602697E-3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5.3087468530731638E-3</v>
      </c>
      <c r="R237" s="55" cm="1">
        <f t="array" ref="R237">MMS_Dairy_Methane_Equations.VEERG_4_3_1_1__2_MethaneFromManureProduction(P$133,R173,_xlfn.XLOOKUP($P237,$O$228:$O$232,$P$228:$P$232),$I$221,$I$222)</f>
        <v>2.0176357191917975E-3</v>
      </c>
      <c r="S237" s="55" cm="1">
        <f t="array" ref="S237">MMS_Dairy_Methane_Equations.VEERG_4_3_1_1__2_MethaneFromManureProduction(Q$133,S173,_xlfn.XLOOKUP($P237,$O$228:$O$232,$P$228:$P$232),$I$221,$I$222)</f>
        <v>1.0941423815263051E-3</v>
      </c>
      <c r="T237" s="55" cm="1">
        <f t="array" ref="T237">MMS_Dairy_Methane_Equations.VEERG_4_3_1_1__2_MethaneFromManureProduction(R$133,T173,_xlfn.XLOOKUP($P237,$O$228:$O$232,$P$228:$P$232),$I$221,$I$222)</f>
        <v>2.4549887091218966E-3</v>
      </c>
      <c r="U237" s="55" cm="1">
        <f t="array" ref="U237">MMS_Dairy_Methane_Equations.VEERG_4_3_1_1__2_MethaneFromManureProduction(S$133,U173,_xlfn.XLOOKUP($P237,$O$228:$O$232,$P$228:$P$232),$I$221,$I$222)</f>
        <v>1.4724860514602697E-3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2.0777679630941782E-2</v>
      </c>
      <c r="G238" s="55" cm="1">
        <f t="array" ref="G238">MMS_Dairy_Methane_Equations.VEERG_4_3_1_1__2_MethaneFromManureProduction(E$133,G174,_xlfn.XLOOKUP($E238,$D$228:$D$232,$E$228:$E$232),$I$221,$I$222)</f>
        <v>7.8967390507693955E-3</v>
      </c>
      <c r="H238" s="55" cm="1">
        <f t="array" ref="H238">MMS_Dairy_Methane_Equations.VEERG_4_3_1_1__2_MethaneFromManureProduction(F$133,H174,_xlfn.XLOOKUP($E238,$D$228:$D$232,$E$228:$E$232),$I$221,$I$222)</f>
        <v>4.2823175606553883E-3</v>
      </c>
      <c r="I238" s="55" cm="1">
        <f t="array" ref="I238">MMS_Dairy_Methane_Equations.VEERG_4_3_1_1__2_MethaneFromManureProduction(G$133,I174,_xlfn.XLOOKUP($E238,$D$228:$D$232,$E$228:$E$232),$I$221,$I$222)</f>
        <v>9.6084764083609799E-3</v>
      </c>
      <c r="J238" s="55" cm="1">
        <f t="array" ref="J238">MMS_Dairy_Methane_Equations.VEERG_4_3_1_1__2_MethaneFromManureProduction(H$133,J174,_xlfn.XLOOKUP($E238,$D$228:$D$232,$E$228:$E$232),$I$221,$I$222)</f>
        <v>5.7631008381122915E-3</v>
      </c>
      <c r="O238" s="55" t="str">
        <f>'Input - Dairy'!$D$66</f>
        <v>Milking shed</v>
      </c>
      <c r="P238" s="55" t="str">
        <f>'Input - Dairy'!$D$81</f>
        <v>Anaerobic lagoon</v>
      </c>
      <c r="Q238" s="55" cm="1">
        <f t="array" ref="Q238">MMS_Dairy_Methane_Equations.VEERG_4_3_1_1__2_MethaneFromManureProduction(O$133,Q174,_xlfn.XLOOKUP($P238,$O$228:$O$232,$P$228:$P$232),$I$221,$I$222)</f>
        <v>2.1051070152401541E-2</v>
      </c>
      <c r="R238" s="55" cm="1">
        <f t="array" ref="R238">MMS_Dairy_Methane_Equations.VEERG_4_3_1_1__2_MethaneFromManureProduction(P$133,R174,_xlfn.XLOOKUP($P238,$O$228:$O$232,$P$228:$P$232),$I$221,$I$222)</f>
        <v>8.0006435119637301E-3</v>
      </c>
      <c r="S238" s="55" cm="1">
        <f t="array" ref="S238">MMS_Dairy_Methane_Equations.VEERG_4_3_1_1__2_MethaneFromManureProduction(Q$133,S174,_xlfn.XLOOKUP($P238,$O$228:$O$232,$P$228:$P$232),$I$221,$I$222)</f>
        <v>4.3386638443482228E-3</v>
      </c>
      <c r="T238" s="55" cm="1">
        <f t="array" ref="T238">MMS_Dairy_Methane_Equations.VEERG_4_3_1_1__2_MethaneFromManureProduction(R$133,T174,_xlfn.XLOOKUP($P238,$O$228:$O$232,$P$228:$P$232),$I$221,$I$222)</f>
        <v>9.7349037295236251E-3</v>
      </c>
      <c r="U238" s="55" cm="1">
        <f t="array" ref="U238">MMS_Dairy_Methane_Equations.VEERG_4_3_1_1__2_MethaneFromManureProduction(S$133,U174,_xlfn.XLOOKUP($P238,$O$228:$O$232,$P$228:$P$232),$I$221,$I$222)</f>
        <v>5.8389311122979794E-3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1.0935620858390414E-4</v>
      </c>
      <c r="G239" s="55" cm="1">
        <f t="array" ref="G239">MMS_Dairy_Methane_Equations.VEERG_4_3_1_1__2_MethaneFromManureProduction(E$133,G175,_xlfn.XLOOKUP($E239,$D$228:$D$232,$E$228:$E$232),$I$221,$I$222)</f>
        <v>4.1561784477733665E-5</v>
      </c>
      <c r="H239" s="55" cm="1">
        <f t="array" ref="H239">MMS_Dairy_Methane_Equations.VEERG_4_3_1_1__2_MethaneFromManureProduction(F$133,H175,_xlfn.XLOOKUP($E239,$D$228:$D$232,$E$228:$E$232),$I$221,$I$222)</f>
        <v>2.2538513477133629E-5</v>
      </c>
      <c r="I239" s="55" cm="1">
        <f t="array" ref="I239">MMS_Dairy_Methane_Equations.VEERG_4_3_1_1__2_MethaneFromManureProduction(G$133,I175,_xlfn.XLOOKUP($E239,$D$228:$D$232,$E$228:$E$232),$I$221,$I$222)</f>
        <v>5.0570928465057785E-5</v>
      </c>
      <c r="J239" s="55" cm="1">
        <f t="array" ref="J239">MMS_Dairy_Methane_Equations.VEERG_4_3_1_1__2_MethaneFromManureProduction(H$133,J175,_xlfn.XLOOKUP($E239,$D$228:$D$232,$E$228:$E$232),$I$221,$I$222)</f>
        <v>3.0332109674275219E-5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1.0935620858390414E-4</v>
      </c>
      <c r="R239" s="55" cm="1">
        <f t="array" ref="R239">MMS_Dairy_Methane_Equations.VEERG_4_3_1_1__2_MethaneFromManureProduction(P$133,R175,_xlfn.XLOOKUP($P239,$O$228:$O$232,$P$228:$P$232),$I$221,$I$222)</f>
        <v>4.1561784477733665E-5</v>
      </c>
      <c r="S239" s="55" cm="1">
        <f t="array" ref="S239">MMS_Dairy_Methane_Equations.VEERG_4_3_1_1__2_MethaneFromManureProduction(Q$133,S175,_xlfn.XLOOKUP($P239,$O$228:$O$232,$P$228:$P$232),$I$221,$I$222)</f>
        <v>2.2538513477133629E-5</v>
      </c>
      <c r="T239" s="55" cm="1">
        <f t="array" ref="T239">MMS_Dairy_Methane_Equations.VEERG_4_3_1_1__2_MethaneFromManureProduction(R$133,T175,_xlfn.XLOOKUP($P239,$O$228:$O$232,$P$228:$P$232),$I$221,$I$222)</f>
        <v>5.0570928465057785E-5</v>
      </c>
      <c r="U239" s="55" cm="1">
        <f t="array" ref="U239">MMS_Dairy_Methane_Equations.VEERG_4_3_1_1__2_MethaneFromManureProduction(S$133,U175,_xlfn.XLOOKUP($P239,$O$228:$O$232,$P$228:$P$232),$I$221,$I$222)</f>
        <v>3.0332109674275219E-5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3.9368235090205487E-3</v>
      </c>
      <c r="G240" s="55" cm="1">
        <f t="array" ref="G240">MMS_Dairy_Methane_Equations.VEERG_4_3_1_1__2_MethaneFromManureProduction(E$133,G176,_xlfn.XLOOKUP($E240,$D$228:$D$232,$E$228:$E$232),$I$221,$I$222)</f>
        <v>1.4962242411984121E-3</v>
      </c>
      <c r="H240" s="55" cm="1">
        <f t="array" ref="H240">MMS_Dairy_Methane_Equations.VEERG_4_3_1_1__2_MethaneFromManureProduction(F$133,H176,_xlfn.XLOOKUP($E240,$D$228:$D$232,$E$228:$E$232),$I$221,$I$222)</f>
        <v>8.113864851768105E-4</v>
      </c>
      <c r="I240" s="55" cm="1">
        <f t="array" ref="I240">MMS_Dairy_Methane_Equations.VEERG_4_3_1_1__2_MethaneFromManureProduction(G$133,I176,_xlfn.XLOOKUP($E240,$D$228:$D$232,$E$228:$E$232),$I$221,$I$222)</f>
        <v>1.8205534247420804E-3</v>
      </c>
      <c r="J240" s="55" cm="1">
        <f t="array" ref="J240">MMS_Dairy_Methane_Equations.VEERG_4_3_1_1__2_MethaneFromManureProduction(H$133,J176,_xlfn.XLOOKUP($E240,$D$228:$D$232,$E$228:$E$232),$I$221,$I$222)</f>
        <v>1.0919559482739079E-3</v>
      </c>
      <c r="K240" s="2"/>
      <c r="O240" s="55" t="str">
        <f>'Input - Dairy'!$D$66</f>
        <v>Milking shed</v>
      </c>
      <c r="P240" s="55" t="str">
        <f>'Input - Dairy'!$D$91</f>
        <v>Drains to paddock</v>
      </c>
      <c r="Q240" s="55" cm="1">
        <f t="array" ref="Q240">MMS_Dairy_Methane_Equations.VEERG_4_3_1_1__2_MethaneFromManureProduction(O$133,Q176,_xlfn.XLOOKUP($P240,$O$228:$O$232,$P$228:$P$232),$I$221,$I$222)</f>
        <v>4.8116731776917821E-3</v>
      </c>
      <c r="R240" s="55" cm="1">
        <f t="array" ref="R240">MMS_Dairy_Methane_Equations.VEERG_4_3_1_1__2_MethaneFromManureProduction(P$133,R176,_xlfn.XLOOKUP($P240,$O$228:$O$232,$P$228:$P$232),$I$221,$I$222)</f>
        <v>1.8287185170202812E-3</v>
      </c>
      <c r="S240" s="55" cm="1">
        <f t="array" ref="S240">MMS_Dairy_Methane_Equations.VEERG_4_3_1_1__2_MethaneFromManureProduction(Q$133,S176,_xlfn.XLOOKUP($P240,$O$228:$O$232,$P$228:$P$232),$I$221,$I$222)</f>
        <v>9.9169459299387947E-4</v>
      </c>
      <c r="T240" s="55" cm="1">
        <f t="array" ref="T240">MMS_Dairy_Methane_Equations.VEERG_4_3_1_1__2_MethaneFromManureProduction(R$133,T176,_xlfn.XLOOKUP($P240,$O$228:$O$232,$P$228:$P$232),$I$221,$I$222)</f>
        <v>2.225120852462543E-3</v>
      </c>
      <c r="U240" s="55" cm="1">
        <f t="array" ref="U240">MMS_Dairy_Methane_Equations.VEERG_4_3_1_1__2_MethaneFromManureProduction(S$133,U176,_xlfn.XLOOKUP($P240,$O$228:$O$232,$P$228:$P$232),$I$221,$I$222)</f>
        <v>1.3346128256681096E-3</v>
      </c>
      <c r="V240" s="2"/>
    </row>
    <row r="241" spans="3:23" ht="20.100000000000001" customHeight="1" x14ac:dyDescent="0.25">
      <c r="D241" s="55" t="str">
        <f>'Input - Dairy'!$D$66</f>
        <v>Milking shed</v>
      </c>
      <c r="E241" s="55" t="s">
        <v>407</v>
      </c>
      <c r="F241" s="55" cm="1">
        <f t="array" ref="F241">MMS_Dairy_Methane_Equations.VEERG_4_3_1_1__2_MethaneFromManureProduction(D$133,F205,_xlfn.XLOOKUP($E241,$D$228:$D$232,$E$228:$E$232),$I$221,$I$222)</f>
        <v>7.6549346008732881E-4</v>
      </c>
      <c r="G241" s="55" cm="1">
        <f t="array" ref="G241">MMS_Dairy_Methane_Equations.VEERG_4_3_1_1__2_MethaneFromManureProduction(E$133,G205,_xlfn.XLOOKUP($E241,$D$228:$D$232,$E$228:$E$232),$I$221,$I$222)</f>
        <v>2.9093249134413566E-4</v>
      </c>
      <c r="H241" s="55" cm="1">
        <f t="array" ref="H241">MMS_Dairy_Methane_Equations.VEERG_4_3_1_1__2_MethaneFromManureProduction(F$133,H205,_xlfn.XLOOKUP($E241,$D$228:$D$232,$E$228:$E$232),$I$221,$I$222)</f>
        <v>1.5776959433993535E-4</v>
      </c>
      <c r="I241" s="55" cm="1">
        <f t="array" ref="I241">MMS_Dairy_Methane_Equations.VEERG_4_3_1_1__2_MethaneFromManureProduction(G$133,I205,_xlfn.XLOOKUP($E241,$D$228:$D$232,$E$228:$E$232),$I$221,$I$222)</f>
        <v>3.5399649925540452E-4</v>
      </c>
      <c r="J241" s="55" cm="1">
        <f t="array" ref="J241">MMS_Dairy_Methane_Equations.VEERG_4_3_1_1__2_MethaneFromManureProduction(H$133,J205,_xlfn.XLOOKUP($E241,$D$228:$D$232,$E$228:$E$232),$I$221,$I$222)</f>
        <v>2.1232476771992649E-4</v>
      </c>
      <c r="K241" s="2"/>
      <c r="O241" s="55" t="str">
        <f>'Input - Dairy'!$D$66</f>
        <v>Milking shed</v>
      </c>
      <c r="P241" s="55" t="s">
        <v>407</v>
      </c>
      <c r="Q241" s="55" cm="1">
        <f t="array" ref="Q241">MMS_Dairy_Methane_Equations.VEERG_4_3_1_1__2_MethaneFromManureProduction(O$133,Q205,_xlfn.XLOOKUP($P241,$O$228:$O$232,$P$228:$P$232),$I$221,$I$222)</f>
        <v>7.6549346008732881E-4</v>
      </c>
      <c r="R241" s="55" cm="1">
        <f t="array" ref="R241">MMS_Dairy_Methane_Equations.VEERG_4_3_1_1__2_MethaneFromManureProduction(P$133,R205,_xlfn.XLOOKUP($P241,$O$228:$O$232,$P$228:$P$232),$I$221,$I$222)</f>
        <v>2.9093249134413566E-4</v>
      </c>
      <c r="S241" s="55" cm="1">
        <f t="array" ref="S241">MMS_Dairy_Methane_Equations.VEERG_4_3_1_1__2_MethaneFromManureProduction(Q$133,S205,_xlfn.XLOOKUP($P241,$O$228:$O$232,$P$228:$P$232),$I$221,$I$222)</f>
        <v>1.5776959433993535E-4</v>
      </c>
      <c r="T241" s="55" cm="1">
        <f t="array" ref="T241">MMS_Dairy_Methane_Equations.VEERG_4_3_1_1__2_MethaneFromManureProduction(R$133,T205,_xlfn.XLOOKUP($P241,$O$228:$O$232,$P$228:$P$232),$I$221,$I$222)</f>
        <v>3.5399649925540452E-4</v>
      </c>
      <c r="U241" s="55" cm="1">
        <f t="array" ref="U241">MMS_Dairy_Methane_Equations.VEERG_4_3_1_1__2_MethaneFromManureProduction(S$133,U205,_xlfn.XLOOKUP($P241,$O$228:$O$232,$P$228:$P$232),$I$221,$I$222)</f>
        <v>2.1232476771992649E-4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5.3795301444474725E-2</v>
      </c>
      <c r="G242" s="55" cm="1">
        <f t="array" ref="G242">MMS_Dairy_Methane_Equations.VEERG_4_3_1_1__2_MethaneFromManureProduction(E$133,G177,_xlfn.XLOOKUP($E242,$D$228:$D$232,$E$228:$E$232),$I$221,$I$222)</f>
        <v>2.0445375287810211E-2</v>
      </c>
      <c r="H242" s="55" cm="1">
        <f t="array" ref="H242">MMS_Dairy_Methane_Equations.VEERG_4_3_1_1__2_MethaneFromManureProduction(F$133,H177,_xlfn.XLOOKUP($E242,$D$228:$D$232,$E$228:$E$232),$I$221,$I$222)</f>
        <v>1.1087309466133224E-2</v>
      </c>
      <c r="I242" s="55" cm="1">
        <f t="array" ref="I242">MMS_Dairy_Methane_Equations.VEERG_4_3_1_1__2_MethaneFromManureProduction(G$133,I177,_xlfn.XLOOKUP($E242,$D$228:$D$232,$E$228:$E$232),$I$221,$I$222)</f>
        <v>2.4877218919101884E-2</v>
      </c>
      <c r="J242" s="55" cm="1">
        <f t="array" ref="J242">MMS_Dairy_Methane_Equations.VEERG_4_3_1_1__2_MethaneFromManureProduction(H$133,J177,_xlfn.XLOOKUP($E242,$D$228:$D$232,$E$228:$E$232),$I$221,$I$222)</f>
        <v>1.492119198813073E-2</v>
      </c>
      <c r="K242" s="2"/>
      <c r="O242" s="55" t="str">
        <f>'Input - Dairy'!$D$67</f>
        <v>Feed pad</v>
      </c>
      <c r="P242" s="55" t="str">
        <f>'Input - Dairy'!$D$105</f>
        <v>Anaerobic lagoon</v>
      </c>
      <c r="Q242" s="55" cm="1">
        <f t="array" ref="Q242">MMS_Dairy_Methane_Equations.VEERG_4_3_1_1__2_MethaneFromManureProduction(O$133,Q177,_xlfn.XLOOKUP($P242,$O$228:$O$232,$P$228:$P$232),$I$221,$I$222)</f>
        <v>5.4503134358217811E-2</v>
      </c>
      <c r="R242" s="55" cm="1">
        <f t="array" ref="R242">MMS_Dairy_Methane_Equations.VEERG_4_3_1_1__2_MethaneFromManureProduction(P$133,R177,_xlfn.XLOOKUP($P242,$O$228:$O$232,$P$228:$P$232),$I$221,$I$222)</f>
        <v>2.0714393383702453E-2</v>
      </c>
      <c r="S242" s="55" cm="1">
        <f t="array" ref="S242">MMS_Dairy_Methane_Equations.VEERG_4_3_1_1__2_MethaneFromManureProduction(Q$133,S177,_xlfn.XLOOKUP($P242,$O$228:$O$232,$P$228:$P$232),$I$221,$I$222)</f>
        <v>1.1233195117003396E-2</v>
      </c>
      <c r="T242" s="55" cm="1">
        <f t="array" ref="T242">MMS_Dairy_Methane_Equations.VEERG_4_3_1_1__2_MethaneFromManureProduction(R$133,T177,_xlfn.XLOOKUP($P242,$O$228:$O$232,$P$228:$P$232),$I$221,$I$222)</f>
        <v>2.5204550746984803E-2</v>
      </c>
      <c r="U242" s="55" cm="1">
        <f t="array" ref="U242">MMS_Dairy_Methane_Equations.VEERG_4_3_1_1__2_MethaneFromManureProduction(S$133,U177,_xlfn.XLOOKUP($P242,$O$228:$O$232,$P$228:$P$232),$I$221,$I$222)</f>
        <v>1.5117523461658768E-2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3.5391645687154425E-4</v>
      </c>
      <c r="G243" s="55" cm="1">
        <f t="array" ref="G243">MMS_Dairy_Methane_Equations.VEERG_4_3_1_1__2_MethaneFromManureProduction(E$133,G178,_xlfn.XLOOKUP($E243,$D$228:$D$232,$E$228:$E$232),$I$221,$I$222)</f>
        <v>1.3450904794611983E-4</v>
      </c>
      <c r="H243" s="55" cm="1">
        <f t="array" ref="H243">MMS_Dairy_Methane_Equations.VEERG_4_3_1_1__2_MethaneFromManureProduction(F$133,H178,_xlfn.XLOOKUP($E243,$D$228:$D$232,$E$228:$E$232),$I$221,$I$222)</f>
        <v>7.2942825435087002E-5</v>
      </c>
      <c r="I243" s="55" cm="1">
        <f t="array" ref="I243">MMS_Dairy_Methane_Equations.VEERG_4_3_1_1__2_MethaneFromManureProduction(G$133,I178,_xlfn.XLOOKUP($E243,$D$228:$D$232,$E$228:$E$232),$I$221,$I$222)</f>
        <v>1.6366591394145974E-4</v>
      </c>
      <c r="J243" s="55" cm="1">
        <f t="array" ref="J243">MMS_Dairy_Methane_Equations.VEERG_4_3_1_1__2_MethaneFromManureProduction(H$133,J178,_xlfn.XLOOKUP($E243,$D$228:$D$232,$E$228:$E$232),$I$221,$I$222)</f>
        <v>9.8165736764017965E-5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3.5391645687154425E-4</v>
      </c>
      <c r="R243" s="55" cm="1">
        <f t="array" ref="R243">MMS_Dairy_Methane_Equations.VEERG_4_3_1_1__2_MethaneFromManureProduction(P$133,R178,_xlfn.XLOOKUP($P243,$O$228:$O$232,$P$228:$P$232),$I$221,$I$222)</f>
        <v>1.3450904794611983E-4</v>
      </c>
      <c r="S243" s="55" cm="1">
        <f t="array" ref="S243">MMS_Dairy_Methane_Equations.VEERG_4_3_1_1__2_MethaneFromManureProduction(Q$133,S178,_xlfn.XLOOKUP($P243,$O$228:$O$232,$P$228:$P$232),$I$221,$I$222)</f>
        <v>7.2942825435087002E-5</v>
      </c>
      <c r="T243" s="55" cm="1">
        <f t="array" ref="T243">MMS_Dairy_Methane_Equations.VEERG_4_3_1_1__2_MethaneFromManureProduction(R$133,T178,_xlfn.XLOOKUP($P243,$O$228:$O$232,$P$228:$P$232),$I$221,$I$222)</f>
        <v>1.6366591394145974E-4</v>
      </c>
      <c r="U243" s="55" cm="1">
        <f t="array" ref="U243">MMS_Dairy_Methane_Equations.VEERG_4_3_1_1__2_MethaneFromManureProduction(S$133,U178,_xlfn.XLOOKUP($P243,$O$228:$O$232,$P$228:$P$232),$I$221,$I$222)</f>
        <v>9.8165736764017965E-5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1.2740992447375593E-2</v>
      </c>
      <c r="G244" s="55" cm="1">
        <f t="array" ref="G244">MMS_Dairy_Methane_Equations.VEERG_4_3_1_1__2_MethaneFromManureProduction(E$133,G179,_xlfn.XLOOKUP($E244,$D$228:$D$232,$E$228:$E$232),$I$221,$I$222)</f>
        <v>4.8423257260603141E-3</v>
      </c>
      <c r="H244" s="55" cm="1">
        <f t="array" ref="H244">MMS_Dairy_Methane_Equations.VEERG_4_3_1_1__2_MethaneFromManureProduction(F$133,H179,_xlfn.XLOOKUP($E244,$D$228:$D$232,$E$228:$E$232),$I$221,$I$222)</f>
        <v>2.6259417156631322E-3</v>
      </c>
      <c r="I244" s="55" cm="1">
        <f t="array" ref="I244">MMS_Dairy_Methane_Equations.VEERG_4_3_1_1__2_MethaneFromManureProduction(G$133,I179,_xlfn.XLOOKUP($E244,$D$228:$D$232,$E$228:$E$232),$I$221,$I$222)</f>
        <v>5.8919729018925508E-3</v>
      </c>
      <c r="J244" s="55" cm="1">
        <f t="array" ref="J244">MMS_Dairy_Methane_Equations.VEERG_4_3_1_1__2_MethaneFromManureProduction(H$133,J179,_xlfn.XLOOKUP($E244,$D$228:$D$232,$E$228:$E$232),$I$221,$I$222)</f>
        <v>3.5339665235046462E-3</v>
      </c>
      <c r="K244" s="2"/>
      <c r="O244" s="55" t="str">
        <f>'Input - Dairy'!$D$67</f>
        <v>Feed pad</v>
      </c>
      <c r="P244" s="55" t="str">
        <f>'Input - Dairy'!$D$115</f>
        <v>Drains to paddock</v>
      </c>
      <c r="Q244" s="55" cm="1">
        <f t="array" ref="Q244">MMS_Dairy_Methane_Equations.VEERG_4_3_1_1__2_MethaneFromManureProduction(O$133,Q179,_xlfn.XLOOKUP($P244,$O$228:$O$232,$P$228:$P$232),$I$221,$I$222)</f>
        <v>1.5572324102347946E-2</v>
      </c>
      <c r="R244" s="55" cm="1">
        <f t="array" ref="R244">MMS_Dairy_Methane_Equations.VEERG_4_3_1_1__2_MethaneFromManureProduction(P$133,R179,_xlfn.XLOOKUP($P244,$O$228:$O$232,$P$228:$P$232),$I$221,$I$222)</f>
        <v>5.9183981096292736E-3</v>
      </c>
      <c r="S244" s="55" cm="1">
        <f t="array" ref="S244">MMS_Dairy_Methane_Equations.VEERG_4_3_1_1__2_MethaneFromManureProduction(Q$133,S179,_xlfn.XLOOKUP($P244,$O$228:$O$232,$P$228:$P$232),$I$221,$I$222)</f>
        <v>3.2094843191438275E-3</v>
      </c>
      <c r="T244" s="55" cm="1">
        <f t="array" ref="T244">MMS_Dairy_Methane_Equations.VEERG_4_3_1_1__2_MethaneFromManureProduction(R$133,T179,_xlfn.XLOOKUP($P244,$O$228:$O$232,$P$228:$P$232),$I$221,$I$222)</f>
        <v>7.2013002134242278E-3</v>
      </c>
      <c r="U244" s="55" cm="1">
        <f t="array" ref="U244">MMS_Dairy_Methane_Equations.VEERG_4_3_1_1__2_MethaneFromManureProduction(S$133,U179,_xlfn.XLOOKUP($P244,$O$228:$O$232,$P$228:$P$232),$I$221,$I$222)</f>
        <v>4.3192924176167907E-3</v>
      </c>
      <c r="V244" s="2"/>
    </row>
    <row r="245" spans="3:23" ht="20.100000000000001" customHeight="1" x14ac:dyDescent="0.25">
      <c r="D245" s="55" t="str">
        <f>'Input - Dairy'!$D$67</f>
        <v>Feed pad</v>
      </c>
      <c r="E245" s="55" t="s">
        <v>407</v>
      </c>
      <c r="F245" s="55" cm="1">
        <f t="array" ref="F245">MMS_Dairy_Methane_Equations.VEERG_4_3_1_1__2_MethaneFromManureProduction(D$133,F206,_xlfn.XLOOKUP($E245,$D$228:$D$232,$E$228:$E$232),$I$221,$I$222)</f>
        <v>2.831331654972354E-3</v>
      </c>
      <c r="G245" s="55" cm="1">
        <f t="array" ref="G245">MMS_Dairy_Methane_Equations.VEERG_4_3_1_1__2_MethaneFromManureProduction(E$133,G206,_xlfn.XLOOKUP($E245,$D$228:$D$232,$E$228:$E$232),$I$221,$I$222)</f>
        <v>1.0760723835689587E-3</v>
      </c>
      <c r="H245" s="55" cm="1">
        <f t="array" ref="H245">MMS_Dairy_Methane_Equations.VEERG_4_3_1_1__2_MethaneFromManureProduction(F$133,H206,_xlfn.XLOOKUP($E245,$D$228:$D$232,$E$228:$E$232),$I$221,$I$222)</f>
        <v>5.8354260348069602E-4</v>
      </c>
      <c r="I245" s="55" cm="1">
        <f t="array" ref="I245">MMS_Dairy_Methane_Equations.VEERG_4_3_1_1__2_MethaneFromManureProduction(G$133,I206,_xlfn.XLOOKUP($E245,$D$228:$D$232,$E$228:$E$232),$I$221,$I$222)</f>
        <v>1.3093273115316779E-3</v>
      </c>
      <c r="J245" s="55" cm="1">
        <f t="array" ref="J245">MMS_Dairy_Methane_Equations.VEERG_4_3_1_1__2_MethaneFromManureProduction(H$133,J206,_xlfn.XLOOKUP($E245,$D$228:$D$232,$E$228:$E$232),$I$221,$I$222)</f>
        <v>7.8532589411214372E-4</v>
      </c>
      <c r="K245" s="2"/>
      <c r="O245" s="55" t="str">
        <f>'Input - Dairy'!$D$67</f>
        <v>Feed pad</v>
      </c>
      <c r="P245" s="55" t="s">
        <v>407</v>
      </c>
      <c r="Q245" s="55" cm="1">
        <f t="array" ref="Q245">MMS_Dairy_Methane_Equations.VEERG_4_3_1_1__2_MethaneFromManureProduction(O$133,Q206,_xlfn.XLOOKUP($P245,$O$228:$O$232,$P$228:$P$232),$I$221,$I$222)</f>
        <v>2.831331654972354E-3</v>
      </c>
      <c r="R245" s="55" cm="1">
        <f t="array" ref="R245">MMS_Dairy_Methane_Equations.VEERG_4_3_1_1__2_MethaneFromManureProduction(P$133,R206,_xlfn.XLOOKUP($P245,$O$228:$O$232,$P$228:$P$232),$I$221,$I$222)</f>
        <v>1.0760723835689587E-3</v>
      </c>
      <c r="S245" s="55" cm="1">
        <f t="array" ref="S245">MMS_Dairy_Methane_Equations.VEERG_4_3_1_1__2_MethaneFromManureProduction(Q$133,S206,_xlfn.XLOOKUP($P245,$O$228:$O$232,$P$228:$P$232),$I$221,$I$222)</f>
        <v>5.8354260348069602E-4</v>
      </c>
      <c r="T245" s="55" cm="1">
        <f t="array" ref="T245">MMS_Dairy_Methane_Equations.VEERG_4_3_1_1__2_MethaneFromManureProduction(R$133,T206,_xlfn.XLOOKUP($P245,$O$228:$O$232,$P$228:$P$232),$I$221,$I$222)</f>
        <v>1.3093273115316779E-3</v>
      </c>
      <c r="U245" s="55" cm="1">
        <f t="array" ref="U245">MMS_Dairy_Methane_Equations.VEERG_4_3_1_1__2_MethaneFromManureProduction(S$133,U206,_xlfn.XLOOKUP($P245,$O$228:$O$232,$P$228:$P$232),$I$221,$I$222)</f>
        <v>7.8532589411214372E-4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264</v>
      </c>
    </row>
    <row r="269" spans="4:15" ht="20.100000000000001" customHeight="1" x14ac:dyDescent="0.25">
      <c r="D269" s="41" t="s">
        <v>173</v>
      </c>
      <c r="E269" s="41" t="s">
        <v>190</v>
      </c>
      <c r="F269" s="41" t="s">
        <v>191</v>
      </c>
      <c r="G269" s="41" t="s">
        <v>192</v>
      </c>
      <c r="H269" s="41" t="s">
        <v>193</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109</v>
      </c>
    </row>
    <row r="271" spans="4:15" ht="20.100000000000001" customHeight="1" x14ac:dyDescent="0.25"/>
    <row r="272" spans="4:15" x14ac:dyDescent="0.25">
      <c r="D272" s="104" t="s">
        <v>265</v>
      </c>
      <c r="O272" s="104" t="s">
        <v>275</v>
      </c>
    </row>
    <row r="273" spans="1:20" x14ac:dyDescent="0.25">
      <c r="D273" s="103" t="s">
        <v>273</v>
      </c>
      <c r="O273" s="103" t="s">
        <v>276</v>
      </c>
    </row>
    <row r="274" spans="1:20" x14ac:dyDescent="0.25">
      <c r="D274" s="41" t="s">
        <v>173</v>
      </c>
      <c r="E274" s="41" t="s">
        <v>190</v>
      </c>
      <c r="F274" s="41" t="s">
        <v>191</v>
      </c>
      <c r="G274" s="41" t="s">
        <v>192</v>
      </c>
      <c r="H274" s="41" t="s">
        <v>193</v>
      </c>
      <c r="O274" s="41" t="s">
        <v>173</v>
      </c>
      <c r="P274" s="41" t="s">
        <v>190</v>
      </c>
      <c r="Q274" s="41" t="s">
        <v>191</v>
      </c>
      <c r="R274" s="41" t="s">
        <v>192</v>
      </c>
      <c r="S274" s="41" t="s">
        <v>193</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56</v>
      </c>
      <c r="O275" s="55">
        <f>'Input - Dairy'!$E$28</f>
        <v>365</v>
      </c>
      <c r="P275" s="55">
        <f>'Input - Dairy'!$F$28</f>
        <v>365</v>
      </c>
      <c r="Q275" s="55">
        <f>'Input - Dairy'!$G$28</f>
        <v>281</v>
      </c>
      <c r="R275" s="55">
        <f>'Input - Dairy'!$H$28</f>
        <v>365</v>
      </c>
      <c r="S275" s="55">
        <f>'Input - Dairy'!$I$28</f>
        <v>281</v>
      </c>
      <c r="T275" s="2" t="s">
        <v>56</v>
      </c>
    </row>
    <row r="277" spans="1:20" x14ac:dyDescent="0.25">
      <c r="D277" s="104" t="s">
        <v>267</v>
      </c>
    </row>
    <row r="278" spans="1:20" x14ac:dyDescent="0.25">
      <c r="D278" s="103" t="s">
        <v>268</v>
      </c>
    </row>
    <row r="279" spans="1:20" x14ac:dyDescent="0.25">
      <c r="D279" s="54" t="s">
        <v>173</v>
      </c>
      <c r="E279" s="54" t="s">
        <v>190</v>
      </c>
      <c r="F279" s="54" t="s">
        <v>191</v>
      </c>
      <c r="G279" s="54" t="s">
        <v>192</v>
      </c>
      <c r="H279" s="54" t="s">
        <v>193</v>
      </c>
    </row>
    <row r="280" spans="1:20" x14ac:dyDescent="0.25">
      <c r="D280" s="55">
        <v>0</v>
      </c>
      <c r="E280" s="55">
        <v>0</v>
      </c>
      <c r="F280" s="55">
        <f>'Constants - Dairy'!$E$63</f>
        <v>1.7600000000000001E-2</v>
      </c>
      <c r="G280" s="55">
        <v>0</v>
      </c>
      <c r="H280" s="55">
        <f>'Constants - Dairy'!$E$64</f>
        <v>2.0400000000000001E-2</v>
      </c>
      <c r="I280" s="2" t="s">
        <v>270</v>
      </c>
    </row>
    <row r="282" spans="1:20" x14ac:dyDescent="0.25">
      <c r="D282" s="104" t="s">
        <v>266</v>
      </c>
      <c r="O282" s="104" t="s">
        <v>266</v>
      </c>
    </row>
    <row r="283" spans="1:20" x14ac:dyDescent="0.25">
      <c r="D283" s="103" t="s">
        <v>274</v>
      </c>
      <c r="O283" s="103" t="s">
        <v>274</v>
      </c>
    </row>
    <row r="284" spans="1:20" x14ac:dyDescent="0.25">
      <c r="D284" s="54" t="s">
        <v>173</v>
      </c>
      <c r="E284" s="54" t="s">
        <v>190</v>
      </c>
      <c r="F284" s="54" t="s">
        <v>191</v>
      </c>
      <c r="G284" s="54" t="s">
        <v>192</v>
      </c>
      <c r="H284" s="54" t="s">
        <v>193</v>
      </c>
      <c r="O284" s="41" t="s">
        <v>173</v>
      </c>
      <c r="P284" s="41" t="s">
        <v>190</v>
      </c>
      <c r="Q284" s="41" t="s">
        <v>191</v>
      </c>
      <c r="R284" s="41" t="s">
        <v>192</v>
      </c>
      <c r="S284" s="41" t="s">
        <v>193</v>
      </c>
    </row>
    <row r="285" spans="1:20" x14ac:dyDescent="0.25">
      <c r="D285" s="55">
        <f>'Input - Dairy'!$E$25</f>
        <v>0</v>
      </c>
      <c r="E285" s="55">
        <f>'Input - Dairy'!$F$25</f>
        <v>0</v>
      </c>
      <c r="F285" s="55">
        <f>'Input - Dairy'!$G$25</f>
        <v>84</v>
      </c>
      <c r="G285" s="55">
        <f>'Input - Dairy'!$H$25</f>
        <v>0</v>
      </c>
      <c r="H285" s="55">
        <f>'Input - Dairy'!$I$25</f>
        <v>84</v>
      </c>
      <c r="I285" s="2" t="s">
        <v>56</v>
      </c>
      <c r="O285" s="55">
        <f>'Input - Dairy'!$E$29</f>
        <v>0</v>
      </c>
      <c r="P285" s="55">
        <f>'Input - Dairy'!$F$29</f>
        <v>0</v>
      </c>
      <c r="Q285" s="55">
        <f>'Input - Dairy'!$G$29</f>
        <v>84</v>
      </c>
      <c r="R285" s="55">
        <f>'Input - Dairy'!$H$29</f>
        <v>0</v>
      </c>
      <c r="S285" s="55">
        <f>'Input - Dairy'!$I$29</f>
        <v>84</v>
      </c>
      <c r="T285" s="2" t="s">
        <v>56</v>
      </c>
    </row>
    <row r="287" spans="1:20" x14ac:dyDescent="0.25">
      <c r="D287" s="104" t="s">
        <v>269</v>
      </c>
      <c r="O287" s="104" t="s">
        <v>269</v>
      </c>
    </row>
    <row r="288" spans="1:20" x14ac:dyDescent="0.25">
      <c r="D288" s="103" t="s">
        <v>280</v>
      </c>
      <c r="O288" s="103" t="s">
        <v>453</v>
      </c>
    </row>
    <row r="289" spans="4:21" x14ac:dyDescent="0.25">
      <c r="D289" s="54" t="s">
        <v>148</v>
      </c>
      <c r="E289" s="54" t="s">
        <v>69</v>
      </c>
      <c r="F289" s="54" t="s">
        <v>173</v>
      </c>
      <c r="G289" s="54" t="s">
        <v>190</v>
      </c>
      <c r="H289" s="54" t="s">
        <v>191</v>
      </c>
      <c r="I289" s="54" t="s">
        <v>192</v>
      </c>
      <c r="J289" s="54" t="s">
        <v>193</v>
      </c>
      <c r="O289" s="54" t="s">
        <v>148</v>
      </c>
      <c r="P289" s="54" t="s">
        <v>69</v>
      </c>
      <c r="Q289" s="54" t="s">
        <v>173</v>
      </c>
      <c r="R289" s="54" t="s">
        <v>190</v>
      </c>
      <c r="S289" s="54" t="s">
        <v>191</v>
      </c>
      <c r="T289" s="54" t="s">
        <v>192</v>
      </c>
      <c r="U289" s="54" t="s">
        <v>193</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0.19376926013717047</v>
      </c>
      <c r="G290" s="55" cm="1">
        <f t="array" ref="G290">MMS_Dairy_Methane_Equations.VEERG_4_3_1_1__1_TotalAnnualMethaneFromManureManagementVariation(E$270,G237,E$275,0,0,0,0,0)</f>
        <v>7.3643703750500625E-2</v>
      </c>
      <c r="H290" s="55" cm="1">
        <f t="array" ref="H290">MMS_Dairy_Methane_Equations.VEERG_4_3_1_1__1_TotalAnnualMethaneFromManureManagementVariation(0,0,0,F$270,H237,F$275,F$280,F$285)</f>
        <v>0.17858540092088918</v>
      </c>
      <c r="I290" s="55" cm="1">
        <f t="array" ref="I290">MMS_Dairy_Methane_Equations.VEERG_4_3_1_1__1_TotalAnnualMethaneFromManureManagementVariation(G$270,I237,G$275,0,0,0,0,0)</f>
        <v>8.960708788294923E-2</v>
      </c>
      <c r="J290" s="55" cm="1">
        <f t="array" ref="J290">MMS_Dairy_Methane_Equations.VEERG_4_3_1_1__1_TotalAnnualMethaneFromManureManagementVariation(0,0,0,H$270,J237,H$275,H$280,H$285)</f>
        <v>0.21273685804603359</v>
      </c>
      <c r="O290" s="55" t="str">
        <f>'Input - Dairy'!$D$65</f>
        <v>Pasture</v>
      </c>
      <c r="P290" s="55" t="str">
        <f>'Constants - Livestock'!$E$27</f>
        <v>Pasture range and paddock</v>
      </c>
      <c r="Q290" s="55" cm="1">
        <f t="array" ref="Q290">MMS_Dairy_Methane_Equations.VEERG_4_3_1_1__1_TotalAnnualMethaneFromManureManagementVariation(D$270,Q237,O$275,0,0,0,0,0)</f>
        <v>0.19376926013717047</v>
      </c>
      <c r="R290" s="55" cm="1">
        <f t="array" ref="R290">MMS_Dairy_Methane_Equations.VEERG_4_3_1_1__1_TotalAnnualMethaneFromManureManagementVariation(E$270,R237,P$275,0,0,0,0,0)</f>
        <v>7.3643703750500625E-2</v>
      </c>
      <c r="S290" s="55" cm="1">
        <f t="array" ref="S290">MMS_Dairy_Methane_Equations.VEERG_4_3_1_1__1_TotalAnnualMethaneFromManureManagementVariation(0,0,0,F$270,S237,Q$275,F$280,Q$285)</f>
        <v>0.17858540092088918</v>
      </c>
      <c r="T290" s="55" cm="1">
        <f t="array" ref="T290">MMS_Dairy_Methane_Equations.VEERG_4_3_1_1__1_TotalAnnualMethaneFromManureManagementVariation(G$270,T237,R$275,0,0,0,0,0)</f>
        <v>8.960708788294923E-2</v>
      </c>
      <c r="U290" s="55" cm="1">
        <f t="array" ref="U290">MMS_Dairy_Methane_Equations.VEERG_4_3_1_1__1_TotalAnnualMethaneFromManureManagementVariation(0,0,0,H$270,U237,S$275,H$280,S$285)</f>
        <v>0.21273685804603359</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0.75838530652937508</v>
      </c>
      <c r="G291" s="55" cm="1">
        <f t="array" ref="G291">MMS_Dairy_Methane_Equations.VEERG_4_3_1_1__1_TotalAnnualMethaneFromManureManagementVariation(E$270,G238,E$275,0,0,0,0,0)</f>
        <v>0.28823097535308295</v>
      </c>
      <c r="H291" s="55" cm="1">
        <f t="array" ref="H291">MMS_Dairy_Methane_Equations.VEERG_4_3_1_1__1_TotalAnnualMethaneFromManureManagementVariation(0,0,0,F$270,H238,F$275,F$280,F$285)</f>
        <v>0.26817312345441646</v>
      </c>
      <c r="I291" s="55" cm="1">
        <f t="array" ref="I291">MMS_Dairy_Methane_Equations.VEERG_4_3_1_1__1_TotalAnnualMethaneFromManureManagementVariation(G$270,I238,G$275,0,0,0,0,0)</f>
        <v>0.35070938890517578</v>
      </c>
      <c r="J291" s="55" cm="1">
        <f t="array" ref="J291">MMS_Dairy_Methane_Equations.VEERG_4_3_1_1__1_TotalAnnualMethaneFromManureManagementVariation(0,0,0,H$270,J238,H$275,H$280,H$285)</f>
        <v>0.33330313355095542</v>
      </c>
      <c r="O291" s="55" t="str">
        <f>'Input - Dairy'!$D$66</f>
        <v>Milking shed</v>
      </c>
      <c r="P291" s="55" t="str">
        <f>'Input - Dairy'!$D$81</f>
        <v>Anaerobic lagoon</v>
      </c>
      <c r="Q291" s="55" cm="1">
        <f t="array" ref="Q291">MMS_Dairy_Methane_Equations.VEERG_4_3_1_1__1_TotalAnnualMethaneFromManureManagementVariation(D$270,Q238,O$275,0,0,0,0,0)</f>
        <v>0.76836406056265627</v>
      </c>
      <c r="R291" s="55" cm="1">
        <f t="array" ref="R291">MMS_Dairy_Methane_Equations.VEERG_4_3_1_1__1_TotalAnnualMethaneFromManureManagementVariation(E$270,R238,P$275,0,0,0,0,0)</f>
        <v>0.29202348818667617</v>
      </c>
      <c r="S291" s="55" cm="1">
        <f t="array" ref="S291">MMS_Dairy_Methane_Equations.VEERG_4_3_1_1__1_TotalAnnualMethaneFromManureManagementVariation(0,0,0,F$270,S238,Q$275,F$280,Q$285)</f>
        <v>0.26975645402618503</v>
      </c>
      <c r="T291" s="55" cm="1">
        <f t="array" ref="T291">MMS_Dairy_Methane_Equations.VEERG_4_3_1_1__1_TotalAnnualMethaneFromManureManagementVariation(G$270,T238,R$275,0,0,0,0,0)</f>
        <v>0.35532398612761235</v>
      </c>
      <c r="U291" s="55" cm="1">
        <f t="array" ref="U291">MMS_Dairy_Methane_Equations.VEERG_4_3_1_1__1_TotalAnnualMethaneFromManureManagementVariation(0,0,0,H$270,U238,S$275,H$280,S$285)</f>
        <v>0.33543396425557326</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3.9915016133125012E-3</v>
      </c>
      <c r="G292" s="55" cm="1">
        <f t="array" ref="G292">MMS_Dairy_Methane_Equations.VEERG_4_3_1_1__1_TotalAnnualMethaneFromManureManagementVariation(E$270,G239,E$275,0,0,0,0,0)</f>
        <v>1.5170051334372789E-3</v>
      </c>
      <c r="H292" s="55" cm="1">
        <f t="array" ref="H292">MMS_Dairy_Methane_Equations.VEERG_4_3_1_1__1_TotalAnnualMethaneFromManureManagementVariation(0,0,0,F$270,H239,F$275,F$280,F$285)</f>
        <v>0.14847333222870746</v>
      </c>
      <c r="I292" s="55" cm="1">
        <f t="array" ref="I292">MMS_Dairy_Methane_Equations.VEERG_4_3_1_1__1_TotalAnnualMethaneFromManureManagementVariation(G$270,I239,G$275,0,0,0,0,0)</f>
        <v>1.8458388889746092E-3</v>
      </c>
      <c r="J292" s="55" cm="1">
        <f t="array" ref="J292">MMS_Dairy_Methane_Equations.VEERG_4_3_1_1__1_TotalAnnualMethaneFromManureManagementVariation(0,0,0,H$270,J239,H$275,H$280,H$285)</f>
        <v>0.17221233228184715</v>
      </c>
      <c r="O292" s="55" t="str">
        <f>'Input - Dairy'!$D$66</f>
        <v>Milking shed</v>
      </c>
      <c r="P292" s="55" t="str">
        <f>'Input - Dairy'!$D$86</f>
        <v>Sump and dispersal system</v>
      </c>
      <c r="Q292" s="55" cm="1">
        <f t="array" ref="Q292">MMS_Dairy_Methane_Equations.VEERG_4_3_1_1__1_TotalAnnualMethaneFromManureManagementVariation(D$270,Q239,O$275,0,0,0,0,0)</f>
        <v>3.9915016133125012E-3</v>
      </c>
      <c r="R292" s="55" cm="1">
        <f t="array" ref="R292">MMS_Dairy_Methane_Equations.VEERG_4_3_1_1__1_TotalAnnualMethaneFromManureManagementVariation(E$270,R239,P$275,0,0,0,0,0)</f>
        <v>1.5170051334372789E-3</v>
      </c>
      <c r="S292" s="55" cm="1">
        <f t="array" ref="S292">MMS_Dairy_Methane_Equations.VEERG_4_3_1_1__1_TotalAnnualMethaneFromManureManagementVariation(0,0,0,F$270,S239,Q$275,F$280,Q$285)</f>
        <v>0.14847333222870746</v>
      </c>
      <c r="T292" s="55" cm="1">
        <f t="array" ref="T292">MMS_Dairy_Methane_Equations.VEERG_4_3_1_1__1_TotalAnnualMethaneFromManureManagementVariation(G$270,T239,R$275,0,0,0,0,0)</f>
        <v>1.8458388889746092E-3</v>
      </c>
      <c r="U292" s="55" cm="1">
        <f t="array" ref="U292">MMS_Dairy_Methane_Equations.VEERG_4_3_1_1__1_TotalAnnualMethaneFromManureManagementVariation(0,0,0,H$270,U239,S$275,H$280,S$285)</f>
        <v>0.17221233228184715</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0.14369405807925004</v>
      </c>
      <c r="G293" s="55" cm="1">
        <f t="array" ref="G293">MMS_Dairy_Methane_Equations.VEERG_4_3_1_1__1_TotalAnnualMethaneFromManureManagementVariation(E$270,G240,E$275,0,0,0,0,0)</f>
        <v>5.4612184803742046E-2</v>
      </c>
      <c r="H293" s="55" cm="1">
        <f t="array" ref="H293">MMS_Dairy_Methane_Equations.VEERG_4_3_1_1__1_TotalAnnualMethaneFromManureManagementVariation(0,0,0,F$270,H240,F$275,F$280,F$285)</f>
        <v>0.17063996023346836</v>
      </c>
      <c r="I293" s="55" cm="1">
        <f t="array" ref="I293">MMS_Dairy_Methane_Equations.VEERG_4_3_1_1__1_TotalAnnualMethaneFromManureManagementVariation(G$270,I240,G$275,0,0,0,0,0)</f>
        <v>6.6450200003085935E-2</v>
      </c>
      <c r="J293" s="55" cm="1">
        <f t="array" ref="J293">MMS_Dairy_Methane_Equations.VEERG_4_3_1_1__1_TotalAnnualMethaneFromManureManagementVariation(0,0,0,H$270,J240,H$275,H$280,H$285)</f>
        <v>0.20204396214649684</v>
      </c>
      <c r="O293" s="55" t="str">
        <f>'Input - Dairy'!$D$66</f>
        <v>Milking shed</v>
      </c>
      <c r="P293" s="55" t="str">
        <f>'Input - Dairy'!$D$91</f>
        <v>Drains to paddock</v>
      </c>
      <c r="Q293" s="55" cm="1">
        <f t="array" ref="Q293">MMS_Dairy_Methane_Equations.VEERG_4_3_1_1__1_TotalAnnualMethaneFromManureManagementVariation(D$270,Q240,O$275,0,0,0,0,0)</f>
        <v>0.17562607098575003</v>
      </c>
      <c r="R293" s="55" cm="1">
        <f t="array" ref="R293">MMS_Dairy_Methane_Equations.VEERG_4_3_1_1__1_TotalAnnualMethaneFromManureManagementVariation(E$270,R240,P$275,0,0,0,0,0)</f>
        <v>6.6748225871240269E-2</v>
      </c>
      <c r="S293" s="55" cm="1">
        <f t="array" ref="S293">MMS_Dairy_Methane_Equations.VEERG_4_3_1_1__1_TotalAnnualMethaneFromManureManagementVariation(0,0,0,F$270,S240,Q$275,F$280,Q$285)</f>
        <v>0.17570661806312801</v>
      </c>
      <c r="T293" s="55" cm="1">
        <f t="array" ref="T293">MMS_Dairy_Methane_Equations.VEERG_4_3_1_1__1_TotalAnnualMethaneFromManureManagementVariation(G$270,T240,R$275,0,0,0,0,0)</f>
        <v>8.1216911114882814E-2</v>
      </c>
      <c r="U293" s="55" cm="1">
        <f t="array" ref="U293">MMS_Dairy_Methane_Equations.VEERG_4_3_1_1__1_TotalAnnualMethaneFromManureManagementVariation(0,0,0,H$270,U240,S$275,H$280,S$285)</f>
        <v>0.2088626204012739</v>
      </c>
    </row>
    <row r="294" spans="4:21" x14ac:dyDescent="0.25">
      <c r="D294" s="55" t="str">
        <f>'Input - Dairy'!$D$66</f>
        <v>Milking shed</v>
      </c>
      <c r="E294" s="55" t="s">
        <v>407</v>
      </c>
      <c r="F294" s="55" cm="1">
        <f t="array" ref="F294">MMS_Dairy_Methane_Equations.VEERG_4_3_1_1__1_TotalAnnualMethaneFromManureManagementVariation(D$270,F241,D$275,0,0,0,0,0)</f>
        <v>2.7940511293187503E-2</v>
      </c>
      <c r="G294" s="55" cm="1">
        <f t="array" ref="G294">MMS_Dairy_Methane_Equations.VEERG_4_3_1_1__1_TotalAnnualMethaneFromManureManagementVariation(E$270,G241,E$275,0,0,0,0,0)</f>
        <v>1.0619035934060952E-2</v>
      </c>
      <c r="H294" s="55" cm="1">
        <f t="array" ref="H294">MMS_Dairy_Methane_Equations.VEERG_4_3_1_1__1_TotalAnnualMethaneFromManureManagementVariation(0,0,0,F$270,H241,F$275,F$280,F$285)</f>
        <v>0.15227332560095219</v>
      </c>
      <c r="I294" s="55" cm="1">
        <f t="array" ref="I294">MMS_Dairy_Methane_Equations.VEERG_4_3_1_1__1_TotalAnnualMethaneFromManureManagementVariation(G$270,I241,G$275,0,0,0,0,0)</f>
        <v>1.2920872222822267E-2</v>
      </c>
      <c r="J294" s="55" cm="1">
        <f t="array" ref="J294">MMS_Dairy_Methane_Equations.VEERG_4_3_1_1__1_TotalAnnualMethaneFromManureManagementVariation(0,0,0,H$270,J241,H$275,H$280,H$285)</f>
        <v>0.17732632597292994</v>
      </c>
      <c r="O294" s="55" t="str">
        <f>'Input - Dairy'!$D$66</f>
        <v>Milking shed</v>
      </c>
      <c r="P294" s="55" t="s">
        <v>407</v>
      </c>
      <c r="Q294" s="55" cm="1">
        <f t="array" ref="Q294">MMS_Dairy_Methane_Equations.VEERG_4_3_1_1__1_TotalAnnualMethaneFromManureManagementVariation(D$270,Q241,O$275,0,0,0,0,0)</f>
        <v>2.7940511293187503E-2</v>
      </c>
      <c r="R294" s="55" cm="1">
        <f t="array" ref="R294">MMS_Dairy_Methane_Equations.VEERG_4_3_1_1__1_TotalAnnualMethaneFromManureManagementVariation(E$270,R241,P$275,0,0,0,0,0)</f>
        <v>1.0619035934060952E-2</v>
      </c>
      <c r="S294" s="55" cm="1">
        <f t="array" ref="S294">MMS_Dairy_Methane_Equations.VEERG_4_3_1_1__1_TotalAnnualMethaneFromManureManagementVariation(0,0,0,F$270,S241,Q$275,F$280,Q$285)</f>
        <v>0.15227332560095219</v>
      </c>
      <c r="T294" s="55" cm="1">
        <f t="array" ref="T294">MMS_Dairy_Methane_Equations.VEERG_4_3_1_1__1_TotalAnnualMethaneFromManureManagementVariation(G$270,T241,R$275,0,0,0,0,0)</f>
        <v>1.2920872222822267E-2</v>
      </c>
      <c r="U294" s="55" cm="1">
        <f t="array" ref="U294">MMS_Dairy_Methane_Equations.VEERG_4_3_1_1__1_TotalAnnualMethaneFromManureManagementVariation(0,0,0,H$270,U241,S$275,H$280,S$285)</f>
        <v>0.17732632597292994</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1.9635285027233274</v>
      </c>
      <c r="G295" s="55" cm="1">
        <f t="array" ref="G295">MMS_Dairy_Methane_Equations.VEERG_4_3_1_1__1_TotalAnnualMethaneFromManureManagementVariation(E$270,G242,E$275,0,0,0,0,0)</f>
        <v>0.74625619800507281</v>
      </c>
      <c r="H295" s="55" cm="1">
        <f t="array" ref="H295">MMS_Dairy_Methane_Equations.VEERG_4_3_1_1__1_TotalAnnualMethaneFromManureManagementVariation(0,0,0,F$270,H242,F$275,F$280,F$285)</f>
        <v>0.45939339599834367</v>
      </c>
      <c r="I295" s="55" cm="1">
        <f t="array" ref="I295">MMS_Dairy_Methane_Equations.VEERG_4_3_1_1__1_TotalAnnualMethaneFromManureManagementVariation(G$270,I242,G$275,0,0,0,0,0)</f>
        <v>0.90801849054721884</v>
      </c>
      <c r="J295" s="55" cm="1">
        <f t="array" ref="J295">MMS_Dairy_Methane_Equations.VEERG_4_3_1_1__1_TotalAnnualMethaneFromManureManagementVariation(0,0,0,H$270,J242,H$275,H$280,H$285)</f>
        <v>0.59064549486647355</v>
      </c>
      <c r="O295" s="55" t="str">
        <f>'Input - Dairy'!$D$67</f>
        <v>Feed pad</v>
      </c>
      <c r="P295" s="55" t="str">
        <f>'Input - Dairy'!$D$105</f>
        <v>Anaerobic lagoon</v>
      </c>
      <c r="Q295" s="55" cm="1">
        <f t="array" ref="Q295">MMS_Dairy_Methane_Equations.VEERG_4_3_1_1__1_TotalAnnualMethaneFromManureManagementVariation(D$270,Q242,O$275,0,0,0,0,0)</f>
        <v>1.9893644040749501</v>
      </c>
      <c r="R295" s="55" cm="1">
        <f t="array" ref="R295">MMS_Dairy_Methane_Equations.VEERG_4_3_1_1__1_TotalAnnualMethaneFromManureManagementVariation(E$270,R242,P$275,0,0,0,0,0)</f>
        <v>0.75607535850513952</v>
      </c>
      <c r="S295" s="55" cm="1">
        <f t="array" ref="S295">MMS_Dairy_Methane_Equations.VEERG_4_3_1_1__1_TotalAnnualMethaneFromManureManagementVariation(0,0,0,F$270,S242,Q$275,F$280,Q$285)</f>
        <v>0.46349278278779549</v>
      </c>
      <c r="T295" s="55" cm="1">
        <f t="array" ref="T295">MMS_Dairy_Methane_Equations.VEERG_4_3_1_1__1_TotalAnnualMethaneFromManureManagementVariation(G$270,T242,R$275,0,0,0,0,0)</f>
        <v>0.91996610226494535</v>
      </c>
      <c r="U295" s="55" cm="1">
        <f t="array" ref="U295">MMS_Dairy_Methane_Equations.VEERG_4_3_1_1__1_TotalAnnualMethaneFromManureManagementVariation(0,0,0,H$270,U242,S$275,H$280,S$285)</f>
        <v>0.59616240927261144</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1.2917950675811364E-2</v>
      </c>
      <c r="G296" s="55" cm="1">
        <f t="array" ref="G296">MMS_Dairy_Methane_Equations.VEERG_4_3_1_1__1_TotalAnnualMethaneFromManureManagementVariation(E$270,G243,E$275,0,0,0,0,0)</f>
        <v>4.9095802500333735E-3</v>
      </c>
      <c r="H296" s="55" cm="1">
        <f t="array" ref="H296">MMS_Dairy_Methane_Equations.VEERG_4_3_1_1__1_TotalAnnualMethaneFromManureManagementVariation(0,0,0,F$270,H243,F$275,F$280,F$285)</f>
        <v>0.14988969339472596</v>
      </c>
      <c r="I296" s="55" cm="1">
        <f t="array" ref="I296">MMS_Dairy_Methane_Equations.VEERG_4_3_1_1__1_TotalAnnualMethaneFromManureManagementVariation(G$270,I243,G$275,0,0,0,0,0)</f>
        <v>5.9738058588632795E-3</v>
      </c>
      <c r="J296" s="55" cm="1">
        <f t="array" ref="J296">MMS_Dairy_Methane_Equations.VEERG_4_3_1_1__1_TotalAnnualMethaneFromManureManagementVariation(0,0,0,H$270,J243,H$275,H$280,H$285)</f>
        <v>0.17411845720306893</v>
      </c>
      <c r="O296" s="55" t="str">
        <f>'Input - Dairy'!$D$67</f>
        <v>Feed pad</v>
      </c>
      <c r="P296" s="55" t="str">
        <f>'Input - Dairy'!$D$110</f>
        <v>Sump and dispersal system</v>
      </c>
      <c r="Q296" s="55" cm="1">
        <f t="array" ref="Q296">MMS_Dairy_Methane_Equations.VEERG_4_3_1_1__1_TotalAnnualMethaneFromManureManagementVariation(D$270,Q243,O$275,0,0,0,0,0)</f>
        <v>1.2917950675811364E-2</v>
      </c>
      <c r="R296" s="55" cm="1">
        <f t="array" ref="R296">MMS_Dairy_Methane_Equations.VEERG_4_3_1_1__1_TotalAnnualMethaneFromManureManagementVariation(E$270,R243,P$275,0,0,0,0,0)</f>
        <v>4.9095802500333735E-3</v>
      </c>
      <c r="S296" s="55" cm="1">
        <f t="array" ref="S296">MMS_Dairy_Methane_Equations.VEERG_4_3_1_1__1_TotalAnnualMethaneFromManureManagementVariation(0,0,0,F$270,S243,Q$275,F$280,Q$285)</f>
        <v>0.14988969339472596</v>
      </c>
      <c r="T296" s="55" cm="1">
        <f t="array" ref="T296">MMS_Dairy_Methane_Equations.VEERG_4_3_1_1__1_TotalAnnualMethaneFromManureManagementVariation(G$270,T243,R$275,0,0,0,0,0)</f>
        <v>5.9738058588632795E-3</v>
      </c>
      <c r="U296" s="55" cm="1">
        <f t="array" ref="U296">MMS_Dairy_Methane_Equations.VEERG_4_3_1_1__1_TotalAnnualMethaneFromManureManagementVariation(0,0,0,H$270,U243,S$275,H$280,S$285)</f>
        <v>0.17411845720306893</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0.46504622432920911</v>
      </c>
      <c r="G297" s="55" cm="1">
        <f t="array" ref="G297">MMS_Dairy_Methane_Equations.VEERG_4_3_1_1__1_TotalAnnualMethaneFromManureManagementVariation(E$270,G244,E$275,0,0,0,0,0)</f>
        <v>0.17674488900120147</v>
      </c>
      <c r="H297" s="55" cm="1">
        <f t="array" ref="H297">MMS_Dairy_Methane_Equations.VEERG_4_3_1_1__1_TotalAnnualMethaneFromManureManagementVariation(0,0,0,F$270,H244,F$275,F$280,F$285)</f>
        <v>0.22162896221013403</v>
      </c>
      <c r="I297" s="55" cm="1">
        <f t="array" ref="I297">MMS_Dairy_Methane_Equations.VEERG_4_3_1_1__1_TotalAnnualMethaneFromManureManagementVariation(G$270,I244,G$275,0,0,0,0,0)</f>
        <v>0.21505701091907811</v>
      </c>
      <c r="J297" s="55" cm="1">
        <f t="array" ref="J297">MMS_Dairy_Methane_Equations.VEERG_4_3_1_1__1_TotalAnnualMethaneFromManureManagementVariation(0,0,0,H$270,J244,H$275,H$280,H$285)</f>
        <v>0.27066445931048061</v>
      </c>
      <c r="O297" s="55" t="str">
        <f>'Input - Dairy'!$D$67</f>
        <v>Feed pad</v>
      </c>
      <c r="P297" s="55" t="str">
        <f>'Input - Dairy'!$D$115</f>
        <v>Drains to paddock</v>
      </c>
      <c r="Q297" s="55" cm="1">
        <f t="array" ref="Q297">MMS_Dairy_Methane_Equations.VEERG_4_3_1_1__1_TotalAnnualMethaneFromManureManagementVariation(D$270,Q244,O$275,0,0,0,0,0)</f>
        <v>0.56838982973570007</v>
      </c>
      <c r="R297" s="55" cm="1">
        <f t="array" ref="R297">MMS_Dairy_Methane_Equations.VEERG_4_3_1_1__1_TotalAnnualMethaneFromManureManagementVariation(E$270,R244,P$275,0,0,0,0,0)</f>
        <v>0.21602153100146851</v>
      </c>
      <c r="S297" s="55" cm="1">
        <f t="array" ref="S297">MMS_Dairy_Methane_Equations.VEERG_4_3_1_1__1_TotalAnnualMethaneFromManureManagementVariation(0,0,0,F$270,S244,Q$275,F$280,Q$285)</f>
        <v>0.23802650936794156</v>
      </c>
      <c r="T297" s="55" cm="1">
        <f t="array" ref="T297">MMS_Dairy_Methane_Equations.VEERG_4_3_1_1__1_TotalAnnualMethaneFromManureManagementVariation(G$270,T244,R$275,0,0,0,0,0)</f>
        <v>0.26284745778998436</v>
      </c>
      <c r="U297" s="55" cm="1">
        <f t="array" ref="U297">MMS_Dairy_Methane_Equations.VEERG_4_3_1_1__1_TotalAnnualMethaneFromManureManagementVariation(0,0,0,H$270,U244,S$275,H$280,S$285)</f>
        <v>0.29273211693503187</v>
      </c>
    </row>
    <row r="298" spans="4:21" x14ac:dyDescent="0.25">
      <c r="D298" s="55" t="str">
        <f>'Input - Dairy'!$D$67</f>
        <v>Feed pad</v>
      </c>
      <c r="E298" s="55" t="s">
        <v>407</v>
      </c>
      <c r="F298" s="55" cm="1">
        <f t="array" ref="F298">MMS_Dairy_Methane_Equations.VEERG_4_3_1_1__1_TotalAnnualMethaneFromManureManagementVariation(D$270,F245,D$275,0,0,0,0,0)</f>
        <v>0.10334360540649092</v>
      </c>
      <c r="G298" s="55" cm="1">
        <f t="array" ref="G298">MMS_Dairy_Methane_Equations.VEERG_4_3_1_1__1_TotalAnnualMethaneFromManureManagementVariation(E$270,G245,E$275,0,0,0,0,0)</f>
        <v>3.9276642000266988E-2</v>
      </c>
      <c r="H298" s="55" cm="1">
        <f t="array" ref="H298">MMS_Dairy_Methane_Equations.VEERG_4_3_1_1__1_TotalAnnualMethaneFromManureManagementVariation(0,0,0,F$270,H245,F$275,F$280,F$285)</f>
        <v>0.16423754715780758</v>
      </c>
      <c r="I298" s="55" cm="1">
        <f t="array" ref="I298">MMS_Dairy_Methane_Equations.VEERG_4_3_1_1__1_TotalAnnualMethaneFromManureManagementVariation(G$270,I245,G$275,0,0,0,0,0)</f>
        <v>4.7790446870906236E-2</v>
      </c>
      <c r="J298" s="55" cm="1">
        <f t="array" ref="J298">MMS_Dairy_Methane_Equations.VEERG_4_3_1_1__1_TotalAnnualMethaneFromManureManagementVariation(0,0,0,H$270,J245,H$275,H$280,H$285)</f>
        <v>0.19342765762455125</v>
      </c>
      <c r="O298" s="55" t="str">
        <f>'Input - Dairy'!$D$67</f>
        <v>Feed pad</v>
      </c>
      <c r="P298" s="55" t="s">
        <v>407</v>
      </c>
      <c r="Q298" s="55" cm="1">
        <f t="array" ref="Q298">MMS_Dairy_Methane_Equations.VEERG_4_3_1_1__1_TotalAnnualMethaneFromManureManagementVariation(D$270,Q245,O$275,0,0,0,0,0)</f>
        <v>0.10334360540649092</v>
      </c>
      <c r="R298" s="55" cm="1">
        <f t="array" ref="R298">MMS_Dairy_Methane_Equations.VEERG_4_3_1_1__1_TotalAnnualMethaneFromManureManagementVariation(E$270,R245,P$275,0,0,0,0,0)</f>
        <v>3.9276642000266988E-2</v>
      </c>
      <c r="S298" s="55" cm="1">
        <f t="array" ref="S298">MMS_Dairy_Methane_Equations.VEERG_4_3_1_1__1_TotalAnnualMethaneFromManureManagementVariation(0,0,0,F$270,S245,Q$275,F$280,Q$285)</f>
        <v>0.16423754715780758</v>
      </c>
      <c r="T298" s="55" cm="1">
        <f t="array" ref="T298">MMS_Dairy_Methane_Equations.VEERG_4_3_1_1__1_TotalAnnualMethaneFromManureManagementVariation(G$270,T245,R$275,0,0,0,0,0)</f>
        <v>4.7790446870906236E-2</v>
      </c>
      <c r="U298" s="55" cm="1">
        <f t="array" ref="U298">MMS_Dairy_Methane_Equations.VEERG_4_3_1_1__1_TotalAnnualMethaneFromManureManagementVariation(0,0,0,H$270,U245,S$275,H$280,S$285)</f>
        <v>0.19342765762455125</v>
      </c>
    </row>
    <row r="300" spans="4:21" ht="20.25" x14ac:dyDescent="0.25">
      <c r="D300" s="108" t="s">
        <v>130</v>
      </c>
      <c r="E300" s="109">
        <f>SUM(F290:J298)</f>
        <v>11.006573699319889</v>
      </c>
      <c r="F300" s="110" t="str">
        <f>$E$256</f>
        <v>t CH4</v>
      </c>
      <c r="O300" s="108" t="s">
        <v>422</v>
      </c>
      <c r="P300" s="109">
        <f>SUM(Q290:U298)</f>
        <v>11.385488679680847</v>
      </c>
      <c r="Q300" s="110" t="str">
        <f>$E$256</f>
        <v>t CH4</v>
      </c>
    </row>
    <row r="302" spans="4:21" x14ac:dyDescent="0.25">
      <c r="D302" s="60" t="str" cm="1">
        <f t="array" ref="D302:E303">Common_Equations.Common_ConvertCH4ToCO2e_Arguments()</f>
        <v>ECH4</v>
      </c>
      <c r="E302" s="61" t="str">
        <v>Methane emissions (t CH4)</v>
      </c>
      <c r="F302" s="111"/>
      <c r="G302" s="55">
        <f>E300</f>
        <v>11.006573699319889</v>
      </c>
      <c r="H302" s="2"/>
      <c r="O302" s="60" t="str" cm="1">
        <f t="array" ref="O302:P303">Common_Equations.Common_ConvertCH4ToCO2e_Arguments()</f>
        <v>ECH4</v>
      </c>
      <c r="P302" s="61" t="str">
        <v>Methane emissions (t CH4)</v>
      </c>
      <c r="Q302" s="111"/>
      <c r="R302" s="55">
        <f>P300</f>
        <v>11.385488679680847</v>
      </c>
      <c r="S302" s="2" t="s">
        <v>272</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ref="E305">Common_Equations.Common_ConvertCH4ToCO2e(G302,G303)</f>
        <v>308.18406358095689</v>
      </c>
      <c r="F305" s="112" t="str" cm="1">
        <f t="array" ref="F305">Common_Equations.Common_ConvertN2OToCO2e_Unit()</f>
        <v>t CO2e</v>
      </c>
      <c r="O305" s="48" t="s">
        <v>421</v>
      </c>
      <c r="P305" s="48" cm="1">
        <f t="array" ref="P305">Common_Equations.Common_ConvertCH4ToCO2e(R302,R303)</f>
        <v>318.79368303106372</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43" zoomScale="85" zoomScaleNormal="85" workbookViewId="0">
      <selection activeCell="N276" sqref="N27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282</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216</v>
      </c>
      <c r="N16" s="104" t="s">
        <v>218</v>
      </c>
    </row>
    <row r="17" spans="1:21" ht="20.100000000000001" customHeight="1" x14ac:dyDescent="0.25">
      <c r="A17" s="17" t="str">
        <f>HYPERLINK("#'4.3.1.9 Soil direct N2O'!A1", "4.3.1.9 Soil direct N2O")</f>
        <v>4.3.1.9 Soil direct N2O</v>
      </c>
      <c r="D17" s="103" t="s">
        <v>217</v>
      </c>
      <c r="N17" s="103" t="s">
        <v>219</v>
      </c>
    </row>
    <row r="18" spans="1:21" ht="20.100000000000001" customHeight="1" x14ac:dyDescent="0.25">
      <c r="A18" s="17" t="str">
        <f>HYPERLINK("#'4.3.1.10-11 Soil Atmos Dep'!A1", "4.3.1.10-11 Soil atm. deposition")</f>
        <v>4.3.1.10-11 Soil atm. deposition</v>
      </c>
      <c r="D18" s="41" t="s">
        <v>173</v>
      </c>
      <c r="E18" s="41" t="s">
        <v>190</v>
      </c>
      <c r="F18" s="41" t="s">
        <v>191</v>
      </c>
      <c r="G18" s="41" t="s">
        <v>192</v>
      </c>
      <c r="H18" s="41" t="s">
        <v>193</v>
      </c>
      <c r="N18" s="41" t="s">
        <v>173</v>
      </c>
      <c r="O18" s="41" t="s">
        <v>190</v>
      </c>
      <c r="P18" s="41" t="s">
        <v>191</v>
      </c>
      <c r="Q18" s="41" t="s">
        <v>192</v>
      </c>
      <c r="R18" s="41" t="s">
        <v>193</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195</v>
      </c>
      <c r="N19" s="55">
        <f>'Input - Dairy'!$E$18</f>
        <v>550</v>
      </c>
      <c r="O19" s="55">
        <f>'Input - Dairy'!$F$18</f>
        <v>380</v>
      </c>
      <c r="P19" s="55">
        <f>'Input - Dairy'!$G$18</f>
        <v>155</v>
      </c>
      <c r="Q19" s="55">
        <f>'Input - Dairy'!$H$18</f>
        <v>600</v>
      </c>
      <c r="R19" s="55">
        <f>'Input - Dairy'!$I$18</f>
        <v>225</v>
      </c>
      <c r="S19" s="2" t="s">
        <v>195</v>
      </c>
    </row>
    <row r="20" spans="1:21" ht="20.100000000000001" customHeight="1" x14ac:dyDescent="0.25">
      <c r="A20" s="17"/>
    </row>
    <row r="21" spans="1:21" ht="20.100000000000001" customHeight="1" x14ac:dyDescent="0.25">
      <c r="A21" s="18" t="s">
        <v>4</v>
      </c>
      <c r="D21" s="104" t="s">
        <v>283</v>
      </c>
    </row>
    <row r="22" spans="1:21" ht="20.100000000000001" customHeight="1" x14ac:dyDescent="0.25">
      <c r="A22" s="17" t="str">
        <f>HYPERLINK("#'Constants - Dairy'!A1", "Constants - Dairy")</f>
        <v>Constants - Dairy</v>
      </c>
      <c r="D22" s="103" t="s">
        <v>284</v>
      </c>
    </row>
    <row r="23" spans="1:21" ht="20.100000000000001" customHeight="1" x14ac:dyDescent="0.25">
      <c r="A23" s="17" t="str">
        <f>HYPERLINK("#'Constants - Livestock'!A1", "Constants - Livestock")</f>
        <v>Constants - Livestock</v>
      </c>
      <c r="D23" s="54" t="s">
        <v>173</v>
      </c>
      <c r="E23" s="54" t="s">
        <v>190</v>
      </c>
      <c r="F23" s="54" t="s">
        <v>191</v>
      </c>
      <c r="G23" s="54" t="s">
        <v>192</v>
      </c>
      <c r="H23" s="54" t="s">
        <v>193</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195</v>
      </c>
    </row>
    <row r="25" spans="1:21" ht="20.100000000000001" customHeight="1" x14ac:dyDescent="0.25">
      <c r="A25" s="17" t="str">
        <f>HYPERLINK("#'Acknowledgements'!A1", "Acknowledgements")</f>
        <v>Acknowledgements</v>
      </c>
    </row>
    <row r="26" spans="1:21" ht="20.100000000000001" customHeight="1" x14ac:dyDescent="0.25">
      <c r="D26" s="104" t="s">
        <v>285</v>
      </c>
      <c r="N26" s="104" t="s">
        <v>285</v>
      </c>
    </row>
    <row r="27" spans="1:21" ht="20.100000000000001" customHeight="1" x14ac:dyDescent="0.25">
      <c r="D27" s="103" t="s">
        <v>286</v>
      </c>
      <c r="N27" s="103" t="s">
        <v>466</v>
      </c>
    </row>
    <row r="28" spans="1:21" ht="20.100000000000001" customHeight="1" x14ac:dyDescent="0.25">
      <c r="D28" s="54" t="s">
        <v>173</v>
      </c>
      <c r="E28" s="54" t="s">
        <v>190</v>
      </c>
      <c r="F28" s="54" t="s">
        <v>191</v>
      </c>
      <c r="G28" s="54" t="s">
        <v>192</v>
      </c>
      <c r="H28" s="54" t="s">
        <v>193</v>
      </c>
      <c r="N28" s="54" t="s">
        <v>173</v>
      </c>
      <c r="O28" s="54" t="s">
        <v>190</v>
      </c>
      <c r="P28" s="54" t="s">
        <v>191</v>
      </c>
      <c r="Q28" s="54" t="s">
        <v>192</v>
      </c>
      <c r="R28" s="54" t="s">
        <v>193</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239</v>
      </c>
      <c r="N48" s="103" t="s">
        <v>238</v>
      </c>
    </row>
    <row r="49" spans="4:19" ht="20.100000000000001" customHeight="1" x14ac:dyDescent="0.25">
      <c r="D49" s="54" t="s">
        <v>173</v>
      </c>
      <c r="E49" s="54" t="s">
        <v>190</v>
      </c>
      <c r="F49" s="54" t="s">
        <v>191</v>
      </c>
      <c r="G49" s="54" t="s">
        <v>192</v>
      </c>
      <c r="H49" s="54" t="s">
        <v>193</v>
      </c>
      <c r="N49" s="54" t="s">
        <v>173</v>
      </c>
      <c r="O49" s="54" t="s">
        <v>190</v>
      </c>
      <c r="P49" s="54" t="s">
        <v>191</v>
      </c>
      <c r="Q49" s="54" t="s">
        <v>192</v>
      </c>
      <c r="R49" s="54" t="s">
        <v>193</v>
      </c>
    </row>
    <row r="50" spans="4:19" ht="20.100000000000001" customHeight="1" x14ac:dyDescent="0.25">
      <c r="D50" s="55">
        <f>'4.3.1.1-2 Methane'!D114</f>
        <v>19.520320059621</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19.520320059621</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224</v>
      </c>
    </row>
    <row r="53" spans="4:19" ht="20.100000000000001" customHeight="1" x14ac:dyDescent="0.25">
      <c r="D53" s="103" t="s">
        <v>225</v>
      </c>
    </row>
    <row r="54" spans="4:19" ht="20.100000000000001" customHeight="1" x14ac:dyDescent="0.25">
      <c r="D54" s="54" t="s">
        <v>173</v>
      </c>
      <c r="E54" s="54" t="s">
        <v>190</v>
      </c>
      <c r="F54" s="54" t="s">
        <v>191</v>
      </c>
      <c r="G54" s="54" t="s">
        <v>192</v>
      </c>
      <c r="H54" s="54" t="s">
        <v>193</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231</v>
      </c>
    </row>
    <row r="58" spans="4:19" ht="20.100000000000001" customHeight="1" x14ac:dyDescent="0.25">
      <c r="D58" s="103" t="s">
        <v>232</v>
      </c>
    </row>
    <row r="59" spans="4:19" ht="20.100000000000001" customHeight="1" x14ac:dyDescent="0.25">
      <c r="D59" s="54" t="s">
        <v>173</v>
      </c>
      <c r="E59" s="54" t="s">
        <v>190</v>
      </c>
      <c r="F59" s="54" t="s">
        <v>191</v>
      </c>
      <c r="G59" s="54" t="s">
        <v>192</v>
      </c>
      <c r="H59" s="54" t="s">
        <v>193</v>
      </c>
    </row>
    <row r="60" spans="4:19" ht="20.100000000000001" customHeight="1" x14ac:dyDescent="0.25">
      <c r="D60" s="55">
        <f>'4.3.1.1-2 Methane'!D79</f>
        <v>10.265874538860997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287</v>
      </c>
      <c r="N62" s="104" t="s">
        <v>289</v>
      </c>
    </row>
    <row r="63" spans="4:19" ht="20.100000000000001" customHeight="1" x14ac:dyDescent="0.25">
      <c r="D63" s="103" t="s">
        <v>288</v>
      </c>
      <c r="N63" s="103" t="s">
        <v>290</v>
      </c>
    </row>
    <row r="64" spans="4:19" ht="20.100000000000001" customHeight="1" x14ac:dyDescent="0.25">
      <c r="D64" s="54" t="s">
        <v>173</v>
      </c>
      <c r="E64" s="54" t="s">
        <v>190</v>
      </c>
      <c r="F64" s="54" t="s">
        <v>191</v>
      </c>
      <c r="G64" s="54" t="s">
        <v>192</v>
      </c>
      <c r="H64" s="54" t="s">
        <v>193</v>
      </c>
      <c r="N64" s="54" t="s">
        <v>173</v>
      </c>
      <c r="O64" s="54" t="s">
        <v>190</v>
      </c>
      <c r="P64" s="54" t="s">
        <v>191</v>
      </c>
      <c r="Q64" s="54" t="s">
        <v>192</v>
      </c>
      <c r="R64" s="54" t="s">
        <v>193</v>
      </c>
    </row>
    <row r="65" spans="1:21" ht="20.100000000000001" customHeight="1" x14ac:dyDescent="0.25">
      <c r="D65" s="55" cm="1">
        <f t="array" ref="D65">MMS_Dairy_N2ODirect_Equations.VEERG_4_3_1_3__7_IntakeRelativeToMaintenance(D50,D19,D55,D60)</f>
        <v>1.0016488576421663</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1.0016488576421663</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448</v>
      </c>
      <c r="N85" s="104" t="s">
        <v>450</v>
      </c>
    </row>
    <row r="86" spans="4:19" ht="20.100000000000001" customHeight="1" x14ac:dyDescent="0.25">
      <c r="D86" s="103" t="s">
        <v>449</v>
      </c>
      <c r="N86" s="103" t="s">
        <v>451</v>
      </c>
    </row>
    <row r="87" spans="4:19" ht="20.100000000000001" customHeight="1" x14ac:dyDescent="0.25">
      <c r="D87" s="54" t="s">
        <v>173</v>
      </c>
      <c r="E87" s="54" t="s">
        <v>190</v>
      </c>
      <c r="F87" s="54" t="s">
        <v>191</v>
      </c>
      <c r="G87" s="54" t="s">
        <v>192</v>
      </c>
      <c r="H87" s="54" t="s">
        <v>193</v>
      </c>
      <c r="N87" s="54" t="s">
        <v>173</v>
      </c>
      <c r="O87" s="54" t="s">
        <v>190</v>
      </c>
      <c r="P87" s="54" t="s">
        <v>191</v>
      </c>
      <c r="Q87" s="54" t="s">
        <v>192</v>
      </c>
      <c r="R87" s="54" t="s">
        <v>193</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236</v>
      </c>
    </row>
    <row r="91" spans="4:19" ht="20.100000000000001" customHeight="1" x14ac:dyDescent="0.25">
      <c r="D91" s="103" t="s">
        <v>197</v>
      </c>
    </row>
    <row r="92" spans="4:19" ht="20.100000000000001" customHeight="1" x14ac:dyDescent="0.25">
      <c r="D92" s="41" t="s">
        <v>173</v>
      </c>
      <c r="E92" s="41" t="s">
        <v>190</v>
      </c>
      <c r="F92" s="41" t="s">
        <v>191</v>
      </c>
      <c r="G92" s="41" t="s">
        <v>192</v>
      </c>
      <c r="H92" s="41" t="s">
        <v>193</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220</v>
      </c>
      <c r="N95" s="104" t="s">
        <v>222</v>
      </c>
    </row>
    <row r="96" spans="4:19" ht="20.100000000000001" customHeight="1" x14ac:dyDescent="0.25">
      <c r="D96" s="103" t="s">
        <v>221</v>
      </c>
      <c r="N96" s="103" t="s">
        <v>223</v>
      </c>
    </row>
    <row r="97" spans="1:21" ht="20.100000000000001" customHeight="1" x14ac:dyDescent="0.25">
      <c r="D97" s="41" t="s">
        <v>173</v>
      </c>
      <c r="E97" s="41" t="s">
        <v>190</v>
      </c>
      <c r="F97" s="41" t="s">
        <v>191</v>
      </c>
      <c r="G97" s="41" t="s">
        <v>192</v>
      </c>
      <c r="H97" s="41" t="s">
        <v>193</v>
      </c>
      <c r="N97" s="41" t="s">
        <v>173</v>
      </c>
      <c r="O97" s="41" t="s">
        <v>190</v>
      </c>
      <c r="P97" s="41" t="s">
        <v>191</v>
      </c>
      <c r="Q97" s="41" t="s">
        <v>192</v>
      </c>
      <c r="R97" s="41" t="s">
        <v>193</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291</v>
      </c>
      <c r="N101" s="103" t="s">
        <v>292</v>
      </c>
    </row>
    <row r="102" spans="1:21" ht="20.100000000000001" customHeight="1" x14ac:dyDescent="0.25">
      <c r="D102" s="54" t="s">
        <v>173</v>
      </c>
      <c r="E102" s="54" t="s">
        <v>190</v>
      </c>
      <c r="F102" s="54" t="s">
        <v>191</v>
      </c>
      <c r="G102" s="54" t="s">
        <v>192</v>
      </c>
      <c r="H102" s="54" t="s">
        <v>193</v>
      </c>
      <c r="N102" s="54" t="s">
        <v>173</v>
      </c>
      <c r="O102" s="54" t="s">
        <v>190</v>
      </c>
      <c r="P102" s="54" t="s">
        <v>191</v>
      </c>
      <c r="Q102" s="54" t="s">
        <v>192</v>
      </c>
      <c r="R102" s="54" t="s">
        <v>193</v>
      </c>
    </row>
    <row r="103" spans="1:21" ht="20.100000000000001" customHeight="1" x14ac:dyDescent="0.25">
      <c r="D103" s="55" cm="1">
        <f t="array" ref="D103">MMS_Dairy_N2ODirect_Equations.VEERG_4_3_1_3__6_NitrogenRetainedByBody(IF($I$78="Milk solids", D88, D93),D65,D29,D98)</f>
        <v>1.6714975806776777E-2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1.6714975806776777E-2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462</v>
      </c>
    </row>
    <row r="119" spans="1:19" ht="20.100000000000001" customHeight="1" x14ac:dyDescent="0.25">
      <c r="D119" s="103" t="s">
        <v>293</v>
      </c>
      <c r="N119" s="103" t="s">
        <v>463</v>
      </c>
    </row>
    <row r="120" spans="1:19" ht="20.100000000000001" customHeight="1" x14ac:dyDescent="0.25">
      <c r="D120" s="41" t="s">
        <v>173</v>
      </c>
      <c r="E120" s="41" t="s">
        <v>190</v>
      </c>
      <c r="F120" s="41" t="s">
        <v>191</v>
      </c>
      <c r="G120" s="41" t="s">
        <v>192</v>
      </c>
      <c r="H120" s="41" t="s">
        <v>193</v>
      </c>
      <c r="N120" s="41" t="s">
        <v>173</v>
      </c>
      <c r="O120" s="41" t="s">
        <v>190</v>
      </c>
      <c r="P120" s="41" t="s">
        <v>191</v>
      </c>
      <c r="Q120" s="41" t="s">
        <v>192</v>
      </c>
      <c r="R120" s="41" t="s">
        <v>193</v>
      </c>
    </row>
    <row r="121" spans="1:19" ht="20.100000000000001" customHeight="1" x14ac:dyDescent="0.25">
      <c r="A121" s="141" t="str">
        <f>HYPERLINK("#A1", "▲ Back to top")</f>
        <v>▲ Back to top</v>
      </c>
      <c r="D121" s="55">
        <f>'Input - Dairy'!E37</f>
        <v>0.2</v>
      </c>
      <c r="E121" s="55">
        <f>'Input - Dairy'!F37</f>
        <v>0.2</v>
      </c>
      <c r="F121" s="55">
        <f>'Input - Dairy'!G37</f>
        <v>0.2</v>
      </c>
      <c r="G121" s="55">
        <f>'Input - Dairy'!H37</f>
        <v>0.2</v>
      </c>
      <c r="H121" s="55">
        <f>'Input - Dairy'!I37</f>
        <v>0.2</v>
      </c>
      <c r="I121" s="2" t="str">
        <f>$F$116</f>
        <v>fraction</v>
      </c>
      <c r="N121" s="55">
        <f>'Input - Dairy'!E41</f>
        <v>0.2</v>
      </c>
      <c r="O121" s="55">
        <f>'Input - Dairy'!F41</f>
        <v>0.2</v>
      </c>
      <c r="P121" s="55">
        <f>'Input - Dairy'!G41</f>
        <v>0.2</v>
      </c>
      <c r="Q121" s="55">
        <f>'Input - Dairy'!H41</f>
        <v>0.2</v>
      </c>
      <c r="R121" s="55">
        <f>'Input - Dairy'!I41</f>
        <v>0.2</v>
      </c>
      <c r="S121" s="2" t="str">
        <f>$F$116</f>
        <v>fraction</v>
      </c>
    </row>
    <row r="122" spans="1:19" ht="20.100000000000001" customHeight="1" x14ac:dyDescent="0.25"/>
    <row r="123" spans="1:19" ht="20.100000000000001" customHeight="1" x14ac:dyDescent="0.25">
      <c r="D123" s="104" t="s">
        <v>294</v>
      </c>
      <c r="N123" s="104" t="s">
        <v>464</v>
      </c>
    </row>
    <row r="124" spans="1:19" ht="20.100000000000001" customHeight="1" x14ac:dyDescent="0.25">
      <c r="D124" s="103" t="s">
        <v>295</v>
      </c>
      <c r="N124" s="103" t="s">
        <v>465</v>
      </c>
    </row>
    <row r="125" spans="1:19" ht="20.100000000000001" customHeight="1" x14ac:dyDescent="0.25">
      <c r="D125" s="54" t="s">
        <v>173</v>
      </c>
      <c r="E125" s="54" t="s">
        <v>190</v>
      </c>
      <c r="F125" s="54" t="s">
        <v>191</v>
      </c>
      <c r="G125" s="54" t="s">
        <v>192</v>
      </c>
      <c r="H125" s="54" t="s">
        <v>193</v>
      </c>
      <c r="N125" s="54" t="s">
        <v>173</v>
      </c>
      <c r="O125" s="54" t="s">
        <v>190</v>
      </c>
      <c r="P125" s="54" t="s">
        <v>191</v>
      </c>
      <c r="Q125" s="54" t="s">
        <v>192</v>
      </c>
      <c r="R125" s="54" t="s">
        <v>193</v>
      </c>
    </row>
    <row r="126" spans="1:19" ht="20.100000000000001" customHeight="1" x14ac:dyDescent="0.25">
      <c r="D126" s="55" cm="1">
        <f t="array" ref="D126">MMS_Dairy_N2ODirect_Equations.VEERG_4_3_1_3__5_CrudeProteinIntakeOfDairyCattle(D50,D121)</f>
        <v>3.9040640119242003</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3.9040640119242003</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296</v>
      </c>
      <c r="N144" s="103" t="s">
        <v>297</v>
      </c>
    </row>
    <row r="145" spans="3:21" ht="20.100000000000001" customHeight="1" x14ac:dyDescent="0.25">
      <c r="D145" s="54" t="s">
        <v>173</v>
      </c>
      <c r="E145" s="54" t="s">
        <v>190</v>
      </c>
      <c r="F145" s="54" t="s">
        <v>191</v>
      </c>
      <c r="G145" s="54" t="s">
        <v>192</v>
      </c>
      <c r="H145" s="54" t="s">
        <v>193</v>
      </c>
      <c r="N145" s="54" t="s">
        <v>173</v>
      </c>
      <c r="O145" s="54" t="s">
        <v>190</v>
      </c>
      <c r="P145" s="54" t="s">
        <v>191</v>
      </c>
      <c r="Q145" s="54" t="s">
        <v>192</v>
      </c>
      <c r="R145" s="54" t="s">
        <v>193</v>
      </c>
    </row>
    <row r="146" spans="3:21" ht="20.100000000000001" customHeight="1" x14ac:dyDescent="0.25">
      <c r="D146" s="55" cm="1">
        <f t="array" ref="D146">MMS_Dairy_N2ODirect_Equations.VEERG_4_3_1_3__4_NitrogenExcretedByDairyCattleGreaterThanOneYear(D126,D103,D19)</f>
        <v>0.60593639547975731</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0.60593639547975731</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264</v>
      </c>
    </row>
    <row r="165" spans="1:19" ht="20.100000000000001" customHeight="1" x14ac:dyDescent="0.25">
      <c r="D165" s="41" t="s">
        <v>173</v>
      </c>
      <c r="E165" s="41" t="s">
        <v>190</v>
      </c>
      <c r="F165" s="41" t="s">
        <v>191</v>
      </c>
      <c r="G165" s="41" t="s">
        <v>192</v>
      </c>
      <c r="H165" s="41" t="s">
        <v>193</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271</v>
      </c>
      <c r="N168" s="104" t="s">
        <v>461</v>
      </c>
    </row>
    <row r="169" spans="1:19" ht="20.100000000000001" customHeight="1" x14ac:dyDescent="0.25">
      <c r="D169" s="103" t="s">
        <v>299</v>
      </c>
      <c r="N169" s="103" t="s">
        <v>300</v>
      </c>
    </row>
    <row r="170" spans="1:19" ht="20.100000000000001" customHeight="1" x14ac:dyDescent="0.25">
      <c r="D170" s="41" t="s">
        <v>173</v>
      </c>
      <c r="E170" s="41" t="s">
        <v>190</v>
      </c>
      <c r="F170" s="41" t="s">
        <v>191</v>
      </c>
      <c r="G170" s="41" t="s">
        <v>192</v>
      </c>
      <c r="H170" s="41" t="s">
        <v>193</v>
      </c>
      <c r="N170" s="41" t="s">
        <v>173</v>
      </c>
      <c r="O170" s="41" t="s">
        <v>190</v>
      </c>
      <c r="P170" s="41" t="s">
        <v>191</v>
      </c>
      <c r="Q170" s="41" t="s">
        <v>192</v>
      </c>
      <c r="R170" s="41" t="s">
        <v>193</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56</v>
      </c>
    </row>
    <row r="172" spans="1:19" ht="20.100000000000001" customHeight="1" x14ac:dyDescent="0.25"/>
    <row r="173" spans="1:19" ht="20.100000000000001" customHeight="1" x14ac:dyDescent="0.25">
      <c r="D173" s="104" t="s">
        <v>298</v>
      </c>
      <c r="N173" s="104" t="s">
        <v>459</v>
      </c>
    </row>
    <row r="174" spans="1:19" ht="20.100000000000001" customHeight="1" x14ac:dyDescent="0.25">
      <c r="D174" s="103" t="s">
        <v>306</v>
      </c>
      <c r="N174" s="103" t="s">
        <v>460</v>
      </c>
    </row>
    <row r="175" spans="1:19" ht="20.100000000000001" customHeight="1" x14ac:dyDescent="0.25">
      <c r="D175" s="54" t="s">
        <v>173</v>
      </c>
      <c r="E175" s="54" t="s">
        <v>190</v>
      </c>
      <c r="F175" s="54" t="s">
        <v>191</v>
      </c>
      <c r="G175" s="54" t="s">
        <v>192</v>
      </c>
      <c r="H175" s="54" t="s">
        <v>193</v>
      </c>
      <c r="N175" s="54" t="s">
        <v>173</v>
      </c>
      <c r="O175" s="54" t="s">
        <v>190</v>
      </c>
      <c r="P175" s="54" t="s">
        <v>191</v>
      </c>
      <c r="Q175" s="54" t="s">
        <v>192</v>
      </c>
      <c r="R175" s="54" t="s">
        <v>193</v>
      </c>
    </row>
    <row r="176" spans="1:19" ht="20.100000000000001" customHeight="1" x14ac:dyDescent="0.25">
      <c r="D176" s="55" cm="1">
        <f t="array" ref="D176">MMS_Dairy_N2ODirect_Equations.VEERG_4_3_1_3__3a_TotalAnnualNitrogenExcretedGreaterThanOneYearVariation(D166,D146,D171)</f>
        <v>22116.678435011141</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22116.678435011141</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303</v>
      </c>
    </row>
    <row r="196" spans="1:19" ht="20.100000000000001" customHeight="1" x14ac:dyDescent="0.25">
      <c r="D196" s="103" t="s">
        <v>304</v>
      </c>
    </row>
    <row r="197" spans="1:19" ht="20.100000000000001" customHeight="1" x14ac:dyDescent="0.25">
      <c r="D197" s="54" t="s">
        <v>173</v>
      </c>
      <c r="E197" s="54" t="s">
        <v>190</v>
      </c>
      <c r="F197" s="54" t="s">
        <v>191</v>
      </c>
      <c r="G197" s="54" t="s">
        <v>192</v>
      </c>
      <c r="H197" s="54" t="s">
        <v>193</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301</v>
      </c>
      <c r="N200" s="104" t="s">
        <v>301</v>
      </c>
    </row>
    <row r="201" spans="1:19" ht="20.100000000000001" customHeight="1" x14ac:dyDescent="0.25">
      <c r="D201" s="103" t="s">
        <v>302</v>
      </c>
      <c r="N201" s="103" t="s">
        <v>456</v>
      </c>
    </row>
    <row r="202" spans="1:19" ht="20.100000000000001" customHeight="1" x14ac:dyDescent="0.25">
      <c r="D202" s="41" t="s">
        <v>173</v>
      </c>
      <c r="E202" s="41" t="s">
        <v>190</v>
      </c>
      <c r="F202" s="41" t="s">
        <v>191</v>
      </c>
      <c r="G202" s="41" t="s">
        <v>192</v>
      </c>
      <c r="H202" s="41" t="s">
        <v>193</v>
      </c>
      <c r="N202" s="41" t="s">
        <v>173</v>
      </c>
      <c r="O202" s="41" t="s">
        <v>190</v>
      </c>
      <c r="P202" s="41" t="s">
        <v>191</v>
      </c>
      <c r="Q202" s="41" t="s">
        <v>192</v>
      </c>
      <c r="R202" s="41" t="s">
        <v>193</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266</v>
      </c>
      <c r="N205" s="104" t="s">
        <v>266</v>
      </c>
    </row>
    <row r="206" spans="1:19" ht="20.100000000000001" customHeight="1" x14ac:dyDescent="0.25">
      <c r="D206" s="103" t="s">
        <v>274</v>
      </c>
      <c r="N206" s="103" t="s">
        <v>457</v>
      </c>
    </row>
    <row r="207" spans="1:19" ht="20.100000000000001" customHeight="1" x14ac:dyDescent="0.25">
      <c r="D207" s="41" t="s">
        <v>173</v>
      </c>
      <c r="E207" s="41" t="s">
        <v>190</v>
      </c>
      <c r="F207" s="41" t="s">
        <v>191</v>
      </c>
      <c r="G207" s="41" t="s">
        <v>192</v>
      </c>
      <c r="H207" s="41" t="s">
        <v>193</v>
      </c>
      <c r="N207" s="41" t="s">
        <v>173</v>
      </c>
      <c r="O207" s="41" t="s">
        <v>190</v>
      </c>
      <c r="P207" s="41" t="s">
        <v>191</v>
      </c>
      <c r="Q207" s="41" t="s">
        <v>192</v>
      </c>
      <c r="R207" s="41" t="s">
        <v>193</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305</v>
      </c>
      <c r="N211" s="103" t="s">
        <v>458</v>
      </c>
    </row>
    <row r="212" spans="3:21" ht="20.100000000000001" customHeight="1" x14ac:dyDescent="0.25">
      <c r="D212" s="54" t="s">
        <v>173</v>
      </c>
      <c r="E212" s="54" t="s">
        <v>190</v>
      </c>
      <c r="F212" s="54" t="s">
        <v>191</v>
      </c>
      <c r="G212" s="54" t="s">
        <v>192</v>
      </c>
      <c r="H212" s="54" t="s">
        <v>193</v>
      </c>
      <c r="N212" s="54" t="s">
        <v>173</v>
      </c>
      <c r="O212" s="54" t="s">
        <v>190</v>
      </c>
      <c r="P212" s="54" t="s">
        <v>191</v>
      </c>
      <c r="Q212" s="54" t="s">
        <v>192</v>
      </c>
      <c r="R212" s="54" t="s">
        <v>193</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246</v>
      </c>
      <c r="N228" s="104" t="s">
        <v>248</v>
      </c>
    </row>
    <row r="229" spans="4:20" ht="20.100000000000001" customHeight="1" x14ac:dyDescent="0.25">
      <c r="D229" s="103" t="s">
        <v>307</v>
      </c>
      <c r="N229" s="103" t="s">
        <v>308</v>
      </c>
    </row>
    <row r="230" spans="4:20" ht="20.100000000000001" customHeight="1" x14ac:dyDescent="0.25">
      <c r="D230" s="41" t="s">
        <v>148</v>
      </c>
      <c r="E230" s="41" t="s">
        <v>69</v>
      </c>
      <c r="F230" s="41" t="s">
        <v>173</v>
      </c>
      <c r="G230" s="41" t="s">
        <v>190</v>
      </c>
      <c r="H230" s="41" t="s">
        <v>191</v>
      </c>
      <c r="I230" s="41" t="s">
        <v>192</v>
      </c>
      <c r="J230" s="41" t="s">
        <v>193</v>
      </c>
      <c r="N230" s="41" t="s">
        <v>148</v>
      </c>
      <c r="O230" s="41" t="s">
        <v>69</v>
      </c>
      <c r="P230" s="41" t="s">
        <v>173</v>
      </c>
      <c r="Q230" s="41" t="s">
        <v>190</v>
      </c>
      <c r="R230" s="41" t="s">
        <v>191</v>
      </c>
      <c r="S230" s="41" t="s">
        <v>192</v>
      </c>
      <c r="T230" s="41" t="s">
        <v>193</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2.75E-2</v>
      </c>
      <c r="G231" s="55" cm="1">
        <f t="array" ref="G231">InputFunctions_Dairy.CalculateFractionInMMSAfterSolidSeparation('Input - Dairy'!F66,'Input - Dairy'!F81,'Input - Dairy'!$E$83)</f>
        <v>2.75E-2</v>
      </c>
      <c r="H231" s="55" cm="1">
        <f t="array" ref="H231">InputFunctions_Dairy.CalculateFractionInMMSAfterSolidSeparation('Input - Dairy'!G66,'Input - Dairy'!G81,'Input - Dairy'!$E$83)</f>
        <v>2.75E-2</v>
      </c>
      <c r="I231" s="55" cm="1">
        <f t="array" ref="I231">InputFunctions_Dairy.CalculateFractionInMMSAfterSolidSeparation('Input - Dairy'!H66,'Input - Dairy'!H81,'Input - Dairy'!$E$83)</f>
        <v>2.75E-2</v>
      </c>
      <c r="J231" s="55" cm="1">
        <f t="array" ref="J231">InputFunctions_Dairy.CalculateFractionInMMSAfterSolidSeparation('Input - Dairy'!I66,'Input - Dairy'!I81,'Input - Dairy'!$E$83)</f>
        <v>2.75E-2</v>
      </c>
      <c r="N231" s="55" t="str">
        <f>'Input - Dairy'!$D$66</f>
        <v>Milking shed</v>
      </c>
      <c r="O231" s="55" t="str">
        <f>'Input - Dairy'!$D$81</f>
        <v>Anaerobic lagoon</v>
      </c>
      <c r="P231" s="55" cm="1">
        <f t="array" ref="P231">InputFunctions_Dairy.CalculateFractionInMMSAfterSolidSeparation('Input - Dairy'!E71,'Input - Dairy'!E81,'Input - Dairy'!$E$84)</f>
        <v>2.75E-2</v>
      </c>
      <c r="Q231" s="55" cm="1">
        <f t="array" ref="Q231">InputFunctions_Dairy.CalculateFractionInMMSAfterSolidSeparation('Input - Dairy'!F71,'Input - Dairy'!F81,'Input - Dairy'!$E$84)</f>
        <v>2.75E-2</v>
      </c>
      <c r="R231" s="55" cm="1">
        <f t="array" ref="R231">InputFunctions_Dairy.CalculateFractionInMMSAfterSolidSeparation('Input - Dairy'!G71,'Input - Dairy'!G81,'Input - Dairy'!$E$84)</f>
        <v>2.75E-2</v>
      </c>
      <c r="S231" s="55" cm="1">
        <f t="array" ref="S231">InputFunctions_Dairy.CalculateFractionInMMSAfterSolidSeparation('Input - Dairy'!H71,'Input - Dairy'!H81,'Input - Dairy'!$E$84)</f>
        <v>2.75E-2</v>
      </c>
      <c r="T231" s="55" cm="1">
        <f t="array" ref="T231">InputFunctions_Dairy.CalculateFractionInMMSAfterSolidSeparation('Input - Dairy'!I71,'Input - Dairy'!I81,'Input - Dairy'!$E$84)</f>
        <v>2.75E-2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407</v>
      </c>
      <c r="F234" s="55" cm="1">
        <f t="array" ref="F234">InputFunctions_Dairy.CalculateFractionInSolidStorage('Input - Dairy'!E66,'Input - Dairy'!E96,'Input - Dairy'!E81,'Input - Dairy'!$E$83,'Input - Dairy'!E86,'Input - Dairy'!$E$88,'Input - Dairy'!E91,'Input - Dairy'!$E$93)</f>
        <v>3.85E-2</v>
      </c>
      <c r="G234" s="55" cm="1">
        <f t="array" ref="G234">InputFunctions_Dairy.CalculateFractionInSolidStorage('Input - Dairy'!F66,'Input - Dairy'!F96,'Input - Dairy'!F81,'Input - Dairy'!$E$83,'Input - Dairy'!F86,'Input - Dairy'!$E$88,'Input - Dairy'!F91,'Input - Dairy'!$E$93)</f>
        <v>3.85E-2</v>
      </c>
      <c r="H234" s="55" cm="1">
        <f t="array" ref="H234">InputFunctions_Dairy.CalculateFractionInSolidStorage('Input - Dairy'!G66,'Input - Dairy'!G96,'Input - Dairy'!G81,'Input - Dairy'!$E$83,'Input - Dairy'!G86,'Input - Dairy'!$E$88,'Input - Dairy'!G91,'Input - Dairy'!$E$93)</f>
        <v>3.85E-2</v>
      </c>
      <c r="I234" s="55" cm="1">
        <f t="array" ref="I234">InputFunctions_Dairy.CalculateFractionInSolidStorage('Input - Dairy'!H66,'Input - Dairy'!H96,'Input - Dairy'!H81,'Input - Dairy'!$E$83,'Input - Dairy'!H86,'Input - Dairy'!$E$88,'Input - Dairy'!H91,'Input - Dairy'!$E$93)</f>
        <v>3.85E-2</v>
      </c>
      <c r="J234" s="55" cm="1">
        <f t="array" ref="J234">InputFunctions_Dairy.CalculateFractionInSolidStorage('Input - Dairy'!I66,'Input - Dairy'!I96,'Input - Dairy'!I81,'Input - Dairy'!$E$83,'Input - Dairy'!I86,'Input - Dairy'!$E$88,'Input - Dairy'!I91,'Input - Dairy'!$E$93)</f>
        <v>3.85E-2</v>
      </c>
      <c r="N234" s="55" t="str">
        <f>'Input - Dairy'!$D$66</f>
        <v>Milking shed</v>
      </c>
      <c r="O234" s="55" t="s">
        <v>407</v>
      </c>
      <c r="P234" s="55" cm="1">
        <f t="array" ref="P234">InputFunctions_Dairy.CalculateFractionInSolidStorage('Input - Dairy'!E71,'Input - Dairy'!E96,'Input - Dairy'!E81,'Input - Dairy'!$E$84,'Input - Dairy'!E86,'Input - Dairy'!$E$89,'Input - Dairy'!E91,'Input - Dairy'!$E$94)</f>
        <v>3.85E-2</v>
      </c>
      <c r="Q234" s="55" cm="1">
        <f t="array" ref="Q234">InputFunctions_Dairy.CalculateFractionInSolidStorage('Input - Dairy'!F71,'Input - Dairy'!F96,'Input - Dairy'!F81,'Input - Dairy'!$E$84,'Input - Dairy'!F86,'Input - Dairy'!$E$89,'Input - Dairy'!F91,'Input - Dairy'!$E$94)</f>
        <v>3.85E-2</v>
      </c>
      <c r="R234" s="55" cm="1">
        <f t="array" ref="R234">InputFunctions_Dairy.CalculateFractionInSolidStorage('Input - Dairy'!G71,'Input - Dairy'!G96,'Input - Dairy'!G81,'Input - Dairy'!$E$84,'Input - Dairy'!G86,'Input - Dairy'!$E$89,'Input - Dairy'!G91,'Input - Dairy'!$E$94)</f>
        <v>3.85E-2</v>
      </c>
      <c r="S234" s="55" cm="1">
        <f t="array" ref="S234">InputFunctions_Dairy.CalculateFractionInSolidStorage('Input - Dairy'!H71,'Input - Dairy'!H96,'Input - Dairy'!H81,'Input - Dairy'!$E$84,'Input - Dairy'!H86,'Input - Dairy'!$E$89,'Input - Dairy'!H91,'Input - Dairy'!$E$94)</f>
        <v>3.85E-2</v>
      </c>
      <c r="T234" s="55" cm="1">
        <f t="array" ref="T234">InputFunctions_Dairy.CalculateFractionInSolidStorage('Input - Dairy'!I71,'Input - Dairy'!I96,'Input - Dairy'!I81,'Input - Dairy'!$E$84,'Input - Dairy'!I86,'Input - Dairy'!$E$89,'Input - Dairy'!I91,'Input - Dairy'!$E$94)</f>
        <v>3.85E-2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7.1199999999999999E-2</v>
      </c>
      <c r="G235" s="55" cm="1">
        <f t="array" ref="G235">InputFunctions_Dairy.CalculateFractionInMMSAfterSolidSeparation('Input - Dairy'!F67,'Input - Dairy'!F105,'Input - Dairy'!$E$107)</f>
        <v>7.1199999999999999E-2</v>
      </c>
      <c r="H235" s="55" cm="1">
        <f t="array" ref="H235">InputFunctions_Dairy.CalculateFractionInMMSAfterSolidSeparation('Input - Dairy'!G67,'Input - Dairy'!G105,'Input - Dairy'!$E$107)</f>
        <v>7.1199999999999999E-2</v>
      </c>
      <c r="I235" s="55" cm="1">
        <f t="array" ref="I235">InputFunctions_Dairy.CalculateFractionInMMSAfterSolidSeparation('Input - Dairy'!H67,'Input - Dairy'!H105,'Input - Dairy'!$E$107)</f>
        <v>7.1199999999999999E-2</v>
      </c>
      <c r="J235" s="55" cm="1">
        <f t="array" ref="J235">InputFunctions_Dairy.CalculateFractionInMMSAfterSolidSeparation('Input - Dairy'!I67,'Input - Dairy'!I105,'Input - Dairy'!$E$107)</f>
        <v>7.1199999999999999E-2</v>
      </c>
      <c r="N235" s="55" t="str">
        <f>'Input - Dairy'!$D$67</f>
        <v>Feed pad</v>
      </c>
      <c r="O235" s="55" t="str">
        <f>'Input - Dairy'!$D$105</f>
        <v>Anaerobic lagoon</v>
      </c>
      <c r="P235" s="55" cm="1">
        <f t="array" ref="P235">InputFunctions_Dairy.CalculateFractionInMMSAfterSolidSeparation('Input - Dairy'!E72,'Input - Dairy'!E105,'Input - Dairy'!$E$108)</f>
        <v>7.1199999999999999E-2</v>
      </c>
      <c r="Q235" s="55" cm="1">
        <f t="array" ref="Q235">InputFunctions_Dairy.CalculateFractionInMMSAfterSolidSeparation('Input - Dairy'!F72,'Input - Dairy'!F105,'Input - Dairy'!$E$108)</f>
        <v>7.1199999999999999E-2</v>
      </c>
      <c r="R235" s="55" cm="1">
        <f t="array" ref="R235">InputFunctions_Dairy.CalculateFractionInMMSAfterSolidSeparation('Input - Dairy'!G72,'Input - Dairy'!G105,'Input - Dairy'!$E$108)</f>
        <v>7.1199999999999999E-2</v>
      </c>
      <c r="S235" s="55" cm="1">
        <f t="array" ref="S235">InputFunctions_Dairy.CalculateFractionInMMSAfterSolidSeparation('Input - Dairy'!H72,'Input - Dairy'!H105,'Input - Dairy'!$E$108)</f>
        <v>7.1199999999999999E-2</v>
      </c>
      <c r="T235" s="55" cm="1">
        <f t="array" ref="T235">InputFunctions_Dairy.CalculateFractionInMMSAfterSolidSeparation('Input - Dairy'!I72,'Input - Dairy'!I105,'Input - Dairy'!$E$108)</f>
        <v>7.1199999999999999E-2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407</v>
      </c>
      <c r="F238" s="55" cm="1">
        <f t="array" ref="F238">InputFunctions_Dairy.CalculateFractionInSolidStorage('Input - Dairy'!E67,'Input - Dairy'!E120,'Input - Dairy'!E105,'Input - Dairy'!$E$107,'Input - Dairy'!E110,'Input - Dairy'!$E$112,'Input - Dairy'!E115,'Input - Dairy'!$E$117)</f>
        <v>0.14239999999999997</v>
      </c>
      <c r="G238" s="55" cm="1">
        <f t="array" ref="G238">InputFunctions_Dairy.CalculateFractionInSolidStorage('Input - Dairy'!F67,'Input - Dairy'!F120,'Input - Dairy'!F105,'Input - Dairy'!$E$107,'Input - Dairy'!F110,'Input - Dairy'!$E$112,'Input - Dairy'!F115,'Input - Dairy'!$E$117)</f>
        <v>0.14239999999999997</v>
      </c>
      <c r="H238" s="55" cm="1">
        <f t="array" ref="H238">InputFunctions_Dairy.CalculateFractionInSolidStorage('Input - Dairy'!G67,'Input - Dairy'!G120,'Input - Dairy'!G105,'Input - Dairy'!$E$107,'Input - Dairy'!G110,'Input - Dairy'!$E$112,'Input - Dairy'!G115,'Input - Dairy'!$E$117)</f>
        <v>0.14239999999999997</v>
      </c>
      <c r="I238" s="55" cm="1">
        <f t="array" ref="I238">InputFunctions_Dairy.CalculateFractionInSolidStorage('Input - Dairy'!H67,'Input - Dairy'!H120,'Input - Dairy'!H105,'Input - Dairy'!$E$107,'Input - Dairy'!H110,'Input - Dairy'!$E$112,'Input - Dairy'!H115,'Input - Dairy'!$E$117)</f>
        <v>0.14239999999999997</v>
      </c>
      <c r="J238" s="55" cm="1">
        <f t="array" ref="J238">InputFunctions_Dairy.CalculateFractionInSolidStorage('Input - Dairy'!I67,'Input - Dairy'!I120,'Input - Dairy'!I105,'Input - Dairy'!$E$107,'Input - Dairy'!I110,'Input - Dairy'!$E$112,'Input - Dairy'!I115,'Input - Dairy'!$E$117)</f>
        <v>0.14239999999999997</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0.14239999999999997</v>
      </c>
      <c r="Q238" s="55" cm="1">
        <f t="array" ref="Q238">InputFunctions_Dairy.CalculateFractionInSolidStorage('Input - Dairy'!F72,'Input - Dairy'!F120,'Input - Dairy'!F105,'Input - Dairy'!$E$108, 'Input - Dairy'!F110,'Input - Dairy'!$E$113,'Input - Dairy'!F115,'Input - Dairy'!$E$118)</f>
        <v>0.14239999999999997</v>
      </c>
      <c r="R238" s="55" cm="1">
        <f t="array" ref="R238">InputFunctions_Dairy.CalculateFractionInSolidStorage('Input - Dairy'!G72,'Input - Dairy'!G120,'Input - Dairy'!G105,'Input - Dairy'!$E$108, 'Input - Dairy'!G110,'Input - Dairy'!$E$113,'Input - Dairy'!G115,'Input - Dairy'!$E$118)</f>
        <v>0.14239999999999997</v>
      </c>
      <c r="S238" s="55" cm="1">
        <f t="array" ref="S238">InputFunctions_Dairy.CalculateFractionInSolidStorage('Input - Dairy'!H72,'Input - Dairy'!H120,'Input - Dairy'!H105,'Input - Dairy'!$E$108, 'Input - Dairy'!H110,'Input - Dairy'!$E$113,'Input - Dairy'!H115,'Input - Dairy'!$E$118)</f>
        <v>0.14239999999999997</v>
      </c>
      <c r="T238" s="55" cm="1">
        <f t="array" ref="T238">InputFunctions_Dairy.CalculateFractionInSolidStorage('Input - Dairy'!I72,'Input - Dairy'!I120,'Input - Dairy'!I105,'Input - Dairy'!$E$108, 'Input - Dairy'!I110,'Input - Dairy'!$E$113,'Input - Dairy'!I115,'Input - Dairy'!$E$118)</f>
        <v>0.14239999999999997</v>
      </c>
    </row>
    <row r="239" spans="4:20" ht="20.100000000000001" customHeight="1" x14ac:dyDescent="0.25">
      <c r="Q239" s="131"/>
    </row>
    <row r="240" spans="4:20" ht="20.100000000000001" customHeight="1" x14ac:dyDescent="0.25">
      <c r="D240" s="104" t="s">
        <v>309</v>
      </c>
      <c r="N240" s="104" t="s">
        <v>312</v>
      </c>
    </row>
    <row r="241" spans="1:21" ht="20.100000000000001" customHeight="1" x14ac:dyDescent="0.25">
      <c r="D241" s="103" t="s">
        <v>310</v>
      </c>
      <c r="N241" s="103" t="s">
        <v>311</v>
      </c>
    </row>
    <row r="242" spans="1:21" ht="20.100000000000001" customHeight="1" x14ac:dyDescent="0.25">
      <c r="D242" s="54" t="s">
        <v>148</v>
      </c>
      <c r="E242" s="54" t="s">
        <v>69</v>
      </c>
      <c r="F242" s="54" t="s">
        <v>173</v>
      </c>
      <c r="G242" s="54" t="s">
        <v>190</v>
      </c>
      <c r="H242" s="54" t="s">
        <v>191</v>
      </c>
      <c r="I242" s="54" t="s">
        <v>192</v>
      </c>
      <c r="J242" s="54" t="s">
        <v>193</v>
      </c>
      <c r="N242" s="54" t="s">
        <v>148</v>
      </c>
      <c r="O242" s="54" t="s">
        <v>69</v>
      </c>
      <c r="P242" s="54" t="s">
        <v>173</v>
      </c>
      <c r="Q242" s="54" t="s">
        <v>190</v>
      </c>
      <c r="R242" s="54" t="s">
        <v>191</v>
      </c>
      <c r="S242" s="54" t="s">
        <v>192</v>
      </c>
      <c r="T242" s="54" t="s">
        <v>193</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608.20865696280634</v>
      </c>
      <c r="G243" s="55" cm="1">
        <f t="array" ref="G243">MMS_Dairy_N2ODirect_Equations.VEERG_4_3_1_3__2_TotalNitrogenInEachMMS(E$176,G231)</f>
        <v>227.94737834727596</v>
      </c>
      <c r="H243" s="55" cm="1">
        <f t="array" ref="H243">MMS_Dairy_N2ODirect_Equations.VEERG_4_3_1_3__2_TotalNitrogenInEachMMS(F$213,H231)</f>
        <v>90.78903015480428</v>
      </c>
      <c r="I243" s="55" cm="1">
        <f t="array" ref="I243">MMS_Dairy_N2ODirect_Equations.VEERG_4_3_1_3__2_TotalNitrogenInEachMMS(G$176,I231)</f>
        <v>286.53886967483555</v>
      </c>
      <c r="J243" s="55" cm="1">
        <f t="array" ref="J243">MMS_Dairy_N2ODirect_Equations.VEERG_4_3_1_3__2_TotalNitrogenInEachMMS(H$213,J231)</f>
        <v>119.95357134881925</v>
      </c>
      <c r="N243" s="55" t="str">
        <f>'Input - Dairy'!$D$66</f>
        <v>Milking shed</v>
      </c>
      <c r="O243" s="55" t="str">
        <f>'Input - Dairy'!$D$81</f>
        <v>Anaerobic lagoon</v>
      </c>
      <c r="P243" s="55" cm="1">
        <f t="array" ref="P243">MMS_Dairy_N2ODirect_Equations.VEERG_4_3_1_3__2_TotalNitrogenInEachMMS(N$176,P231)</f>
        <v>608.20865696280634</v>
      </c>
      <c r="Q243" s="55" cm="1">
        <f t="array" ref="Q243">MMS_Dairy_N2ODirect_Equations.VEERG_4_3_1_3__2_TotalNitrogenInEachMMS(O$176,Q231)</f>
        <v>227.94737834727596</v>
      </c>
      <c r="R243" s="55" cm="1">
        <f t="array" ref="R243">MMS_Dairy_N2ODirect_Equations.VEERG_4_3_1_3__2_TotalNitrogenInEachMMS(P$213,R231)</f>
        <v>90.78903015480428</v>
      </c>
      <c r="S243" s="55" cm="1">
        <f t="array" ref="S243">MMS_Dairy_N2ODirect_Equations.VEERG_4_3_1_3__2_TotalNitrogenInEachMMS(Q$176,S231)</f>
        <v>286.53886967483555</v>
      </c>
      <c r="T243" s="55" cm="1">
        <f t="array" ref="T243">MMS_Dairy_N2ODirect_Equations.VEERG_4_3_1_3__2_TotalNitrogenInEachMMS(R$213,T231)</f>
        <v>119.95357134881925</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486.56692557024513</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486.56692557024513</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486.56692557024513</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486.56692557024513</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407</v>
      </c>
      <c r="F246" s="55" cm="1">
        <f t="array" ref="F246">MMS_Dairy_N2ODirect_Equations.VEERG_4_3_1_3__2_TotalNitrogenInEachMMS(D$176,F234)</f>
        <v>851.49211974792888</v>
      </c>
      <c r="G246" s="55" cm="1">
        <f t="array" ref="G246">MMS_Dairy_N2ODirect_Equations.VEERG_4_3_1_3__2_TotalNitrogenInEachMMS(E$176,G234)</f>
        <v>319.12632968618635</v>
      </c>
      <c r="H246" s="55" cm="1">
        <f t="array" ref="H246">MMS_Dairy_N2ODirect_Equations.VEERG_4_3_1_3__2_TotalNitrogenInEachMMS(F$213,H234)</f>
        <v>127.10464221672598</v>
      </c>
      <c r="I246" s="55" cm="1">
        <f t="array" ref="I246">MMS_Dairy_N2ODirect_Equations.VEERG_4_3_1_3__2_TotalNitrogenInEachMMS(G$176,I234)</f>
        <v>401.15441754476973</v>
      </c>
      <c r="J246" s="55" cm="1">
        <f t="array" ref="J246">MMS_Dairy_N2ODirect_Equations.VEERG_4_3_1_3__2_TotalNitrogenInEachMMS(H$213,J234)</f>
        <v>167.93499988834694</v>
      </c>
      <c r="N246" s="55" t="str">
        <f>'Input - Dairy'!$D$66</f>
        <v>Milking shed</v>
      </c>
      <c r="O246" s="55" t="s">
        <v>407</v>
      </c>
      <c r="P246" s="55" cm="1">
        <f t="array" ref="P246">MMS_Dairy_N2ODirect_Equations.VEERG_4_3_1_3__2_TotalNitrogenInEachMMS(N$176,P234)</f>
        <v>851.49211974792888</v>
      </c>
      <c r="Q246" s="55" cm="1">
        <f t="array" ref="Q246">MMS_Dairy_N2ODirect_Equations.VEERG_4_3_1_3__2_TotalNitrogenInEachMMS(O$176,Q234)</f>
        <v>319.12632968618635</v>
      </c>
      <c r="R246" s="55" cm="1">
        <f t="array" ref="R246">MMS_Dairy_N2ODirect_Equations.VEERG_4_3_1_3__2_TotalNitrogenInEachMMS(P$213,R234)</f>
        <v>127.10464221672598</v>
      </c>
      <c r="S246" s="55" cm="1">
        <f t="array" ref="S246">MMS_Dairy_N2ODirect_Equations.VEERG_4_3_1_3__2_TotalNitrogenInEachMMS(Q$176,S234)</f>
        <v>401.15441754476973</v>
      </c>
      <c r="T246" s="55" cm="1">
        <f t="array" ref="T246">MMS_Dairy_N2ODirect_Equations.VEERG_4_3_1_3__2_TotalNitrogenInEachMMS(R$213,T234)</f>
        <v>167.93499988834694</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1574.7075045727931</v>
      </c>
      <c r="G247" s="55" cm="1">
        <f t="array" ref="G247">MMS_Dairy_N2ODirect_Equations.VEERG_4_3_1_3__2_TotalNitrogenInEachMMS(E$176,G235)</f>
        <v>590.17648503003818</v>
      </c>
      <c r="H247" s="55" cm="1">
        <f t="array" ref="H247">MMS_Dairy_N2ODirect_Equations.VEERG_4_3_1_3__2_TotalNitrogenInEachMMS(F$213,H235)</f>
        <v>235.06105261898415</v>
      </c>
      <c r="I247" s="55" cm="1">
        <f t="array" ref="I247">MMS_Dairy_N2ODirect_Equations.VEERG_4_3_1_3__2_TotalNitrogenInEachMMS(G$176,I235)</f>
        <v>741.87518257630143</v>
      </c>
      <c r="J247" s="55" cm="1">
        <f t="array" ref="J247">MMS_Dairy_N2ODirect_Equations.VEERG_4_3_1_3__2_TotalNitrogenInEachMMS(H$213,J235)</f>
        <v>310.57070109221564</v>
      </c>
      <c r="N247" s="55" t="str">
        <f>'Input - Dairy'!$D$67</f>
        <v>Feed pad</v>
      </c>
      <c r="O247" s="55" t="str">
        <f>'Input - Dairy'!$D$105</f>
        <v>Anaerobic lagoon</v>
      </c>
      <c r="P247" s="55" cm="1">
        <f t="array" ref="P247">MMS_Dairy_N2ODirect_Equations.VEERG_4_3_1_3__2_TotalNitrogenInEachMMS(N$176,P235)</f>
        <v>1574.7075045727931</v>
      </c>
      <c r="Q247" s="55" cm="1">
        <f t="array" ref="Q247">MMS_Dairy_N2ODirect_Equations.VEERG_4_3_1_3__2_TotalNitrogenInEachMMS(O$176,Q235)</f>
        <v>590.17648503003818</v>
      </c>
      <c r="R247" s="55" cm="1">
        <f t="array" ref="R247">MMS_Dairy_N2ODirect_Equations.VEERG_4_3_1_3__2_TotalNitrogenInEachMMS(P$213,R235)</f>
        <v>235.06105261898415</v>
      </c>
      <c r="S247" s="55" cm="1">
        <f t="array" ref="S247">MMS_Dairy_N2ODirect_Equations.VEERG_4_3_1_3__2_TotalNitrogenInEachMMS(Q$176,S235)</f>
        <v>741.87518257630143</v>
      </c>
      <c r="T247" s="55" cm="1">
        <f t="array" ref="T247">MMS_Dairy_N2ODirect_Equations.VEERG_4_3_1_3__2_TotalNitrogenInEachMMS(R$213,T235)</f>
        <v>310.57070109221564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1574.7075045727931</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1574.7075045727931</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1574.7075045727931</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1574.7075045727931</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407</v>
      </c>
      <c r="F250" s="55" cm="1">
        <f t="array" ref="F250">MMS_Dairy_N2ODirect_Equations.VEERG_4_3_1_3__2_TotalNitrogenInEachMMS(D$176,F238)</f>
        <v>3149.4150091455858</v>
      </c>
      <c r="G250" s="55" cm="1">
        <f t="array" ref="G250">MMS_Dairy_N2ODirect_Equations.VEERG_4_3_1_3__2_TotalNitrogenInEachMMS(E$176,G238)</f>
        <v>1180.3529700600759</v>
      </c>
      <c r="H250" s="55" cm="1">
        <f t="array" ref="H250">MMS_Dairy_N2ODirect_Equations.VEERG_4_3_1_3__2_TotalNitrogenInEachMMS(F$213,H238)</f>
        <v>470.12210523796824</v>
      </c>
      <c r="I250" s="55" cm="1">
        <f t="array" ref="I250">MMS_Dairy_N2ODirect_Equations.VEERG_4_3_1_3__2_TotalNitrogenInEachMMS(G$176,I238)</f>
        <v>1483.7503651526026</v>
      </c>
      <c r="J250" s="55" cm="1">
        <f t="array" ref="J250">MMS_Dairy_N2ODirect_Equations.VEERG_4_3_1_3__2_TotalNitrogenInEachMMS(H$213,J238)</f>
        <v>621.14140218443117</v>
      </c>
      <c r="N250" s="55" t="str">
        <f>'Input - Dairy'!$D$67</f>
        <v>Feed pad</v>
      </c>
      <c r="O250" s="55" t="s">
        <v>407</v>
      </c>
      <c r="P250" s="55" cm="1">
        <f t="array" ref="P250">MMS_Dairy_N2ODirect_Equations.VEERG_4_3_1_3__2_TotalNitrogenInEachMMS(N$176,P238)</f>
        <v>3149.4150091455858</v>
      </c>
      <c r="Q250" s="55" cm="1">
        <f t="array" ref="Q250">MMS_Dairy_N2ODirect_Equations.VEERG_4_3_1_3__2_TotalNitrogenInEachMMS(O$176,Q238)</f>
        <v>1180.3529700600759</v>
      </c>
      <c r="R250" s="55" cm="1">
        <f t="array" ref="R250">MMS_Dairy_N2ODirect_Equations.VEERG_4_3_1_3__2_TotalNitrogenInEachMMS(P$213,R238)</f>
        <v>470.12210523796824</v>
      </c>
      <c r="S250" s="55" cm="1">
        <f t="array" ref="S250">MMS_Dairy_N2ODirect_Equations.VEERG_4_3_1_3__2_TotalNitrogenInEachMMS(Q$176,S238)</f>
        <v>1483.7503651526026</v>
      </c>
      <c r="T250" s="55" cm="1">
        <f t="array" ref="T250">MMS_Dairy_N2ODirect_Equations.VEERG_4_3_1_3__2_TotalNitrogenInEachMMS(R$213,T238)</f>
        <v>621.14140218443117</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313</v>
      </c>
    </row>
    <row r="267" spans="4:9" ht="20.100000000000001" customHeight="1" x14ac:dyDescent="0.25">
      <c r="D267" s="103" t="s">
        <v>314</v>
      </c>
    </row>
    <row r="268" spans="4:9" ht="20.100000000000001" customHeight="1" x14ac:dyDescent="0.25">
      <c r="D268" s="54" t="s">
        <v>69</v>
      </c>
      <c r="E268" s="54" t="s">
        <v>315</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364</v>
      </c>
    </row>
    <row r="276" spans="1:20" ht="20.100000000000001" customHeight="1" x14ac:dyDescent="0.25">
      <c r="D276" s="103" t="s">
        <v>316</v>
      </c>
      <c r="N276" s="103" t="s">
        <v>467</v>
      </c>
    </row>
    <row r="277" spans="1:20" ht="20.100000000000001" customHeight="1" x14ac:dyDescent="0.25">
      <c r="D277" s="54" t="s">
        <v>148</v>
      </c>
      <c r="E277" s="54" t="s">
        <v>69</v>
      </c>
      <c r="F277" s="54" t="s">
        <v>173</v>
      </c>
      <c r="G277" s="54" t="s">
        <v>190</v>
      </c>
      <c r="H277" s="54" t="s">
        <v>191</v>
      </c>
      <c r="I277" s="54" t="s">
        <v>192</v>
      </c>
      <c r="J277" s="54" t="s">
        <v>193</v>
      </c>
      <c r="N277" s="54" t="s">
        <v>148</v>
      </c>
      <c r="O277" s="54" t="s">
        <v>69</v>
      </c>
      <c r="P277" s="54" t="s">
        <v>173</v>
      </c>
      <c r="Q277" s="54" t="s">
        <v>190</v>
      </c>
      <c r="R277" s="54" t="s">
        <v>191</v>
      </c>
      <c r="S277" s="54" t="s">
        <v>192</v>
      </c>
      <c r="T277" s="54" t="s">
        <v>193</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407</v>
      </c>
      <c r="F281" s="55" cm="1">
        <f t="array" ref="F281">MMS_Dairy_N2ODirect_Equations.VEERG_4_3_1_3__1_TotalAnnualDirectNitrousOxideEmissionsFromMMS(F246,$E273,$I$264)</f>
        <v>6.6902952265908699E-3</v>
      </c>
      <c r="G281" s="55" cm="1">
        <f t="array" ref="G281">MMS_Dairy_N2ODirect_Equations.VEERG_4_3_1_3__1_TotalAnnualDirectNitrousOxideEmissionsFromMMS(G246,$E273,$I$264)</f>
        <v>2.5074211618200358E-3</v>
      </c>
      <c r="H281" s="55" cm="1">
        <f t="array" ref="H281">MMS_Dairy_N2ODirect_Equations.VEERG_4_3_1_3__1_TotalAnnualDirectNitrousOxideEmissionsFromMMS(H246,$E273,$I$264)</f>
        <v>9.9867933170284698E-4</v>
      </c>
      <c r="I281" s="55" cm="1">
        <f t="array" ref="I281">MMS_Dairy_N2ODirect_Equations.VEERG_4_3_1_3__1_TotalAnnualDirectNitrousOxideEmissionsFromMMS(I246,$E273,$I$264)</f>
        <v>3.1519275664231901E-3</v>
      </c>
      <c r="J281" s="55" cm="1">
        <f t="array" ref="J281">MMS_Dairy_N2ODirect_Equations.VEERG_4_3_1_3__1_TotalAnnualDirectNitrousOxideEmissionsFromMMS(J246,$E273,$I$264)</f>
        <v>1.3194892848370117E-3</v>
      </c>
      <c r="N281" s="55" t="str">
        <f>'Input - Dairy'!$D$66</f>
        <v>Milking shed</v>
      </c>
      <c r="O281" s="55" t="s">
        <v>407</v>
      </c>
      <c r="P281" s="55" cm="1">
        <f t="array" ref="P281">MMS_Dairy_N2ODirect_Equations.VEERG_4_3_1_3__1_TotalAnnualDirectNitrousOxideEmissionsFromMMS(P246,$E273,$I$264)</f>
        <v>6.6902952265908699E-3</v>
      </c>
      <c r="Q281" s="55" cm="1">
        <f t="array" ref="Q281">MMS_Dairy_N2ODirect_Equations.VEERG_4_3_1_3__1_TotalAnnualDirectNitrousOxideEmissionsFromMMS(Q246,$E273,$I$264)</f>
        <v>2.5074211618200358E-3</v>
      </c>
      <c r="R281" s="55" cm="1">
        <f t="array" ref="R281">MMS_Dairy_N2ODirect_Equations.VEERG_4_3_1_3__1_TotalAnnualDirectNitrousOxideEmissionsFromMMS(R246,$E273,$I$264)</f>
        <v>9.9867933170284698E-4</v>
      </c>
      <c r="S281" s="55" cm="1">
        <f t="array" ref="S281">MMS_Dairy_N2ODirect_Equations.VEERG_4_3_1_3__1_TotalAnnualDirectNitrousOxideEmissionsFromMMS(S246,$E273,$I$264)</f>
        <v>3.1519275664231901E-3</v>
      </c>
      <c r="T281" s="55" cm="1">
        <f t="array" ref="T281">MMS_Dairy_N2ODirect_Equations.VEERG_4_3_1_3__1_TotalAnnualDirectNitrousOxideEmissionsFromMMS(T246,$E273,$I$264)</f>
        <v>1.3194892848370117E-3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407</v>
      </c>
      <c r="F285" s="55" cm="1">
        <f t="array" ref="F285">MMS_Dairy_N2ODirect_Equations.VEERG_4_3_1_3__1_TotalAnnualDirectNitrousOxideEmissionsFromMMS(F250,$E273,$I$264)</f>
        <v>2.4745403643286746E-2</v>
      </c>
      <c r="G285" s="55" cm="1">
        <f t="array" ref="G285">MMS_Dairy_N2ODirect_Equations.VEERG_4_3_1_3__1_TotalAnnualDirectNitrousOxideEmissionsFromMMS(G250,$E273,$I$264)</f>
        <v>9.2742019076148818E-3</v>
      </c>
      <c r="H285" s="55" cm="1">
        <f t="array" ref="H285">MMS_Dairy_N2ODirect_Equations.VEERG_4_3_1_3__1_TotalAnnualDirectNitrousOxideEmissionsFromMMS(H250,$E273,$I$264)</f>
        <v>3.6938165411554646E-3</v>
      </c>
      <c r="I285" s="55" cm="1">
        <f t="array" ref="I285">MMS_Dairy_N2ODirect_Equations.VEERG_4_3_1_3__1_TotalAnnualDirectNitrousOxideEmissionsFromMMS(I250,$E273,$I$264)</f>
        <v>1.1658038583341877E-2</v>
      </c>
      <c r="J285" s="55" cm="1">
        <f t="array" ref="J285">MMS_Dairy_N2ODirect_Equations.VEERG_4_3_1_3__1_TotalAnnualDirectNitrousOxideEmissionsFromMMS(J250,$E273,$I$264)</f>
        <v>4.8803967314491022E-3</v>
      </c>
      <c r="N285" s="55" t="str">
        <f>'Input - Dairy'!$D$67</f>
        <v>Feed pad</v>
      </c>
      <c r="O285" s="55" t="s">
        <v>407</v>
      </c>
      <c r="P285" s="55" cm="1">
        <f t="array" ref="P285">MMS_Dairy_N2ODirect_Equations.VEERG_4_3_1_3__1_TotalAnnualDirectNitrousOxideEmissionsFromMMS(P250,$E273,$I$264)</f>
        <v>2.4745403643286746E-2</v>
      </c>
      <c r="Q285" s="55" cm="1">
        <f t="array" ref="Q285">MMS_Dairy_N2ODirect_Equations.VEERG_4_3_1_3__1_TotalAnnualDirectNitrousOxideEmissionsFromMMS(Q250,$E273,$I$264)</f>
        <v>9.2742019076148818E-3</v>
      </c>
      <c r="R285" s="55" cm="1">
        <f t="array" ref="R285">MMS_Dairy_N2ODirect_Equations.VEERG_4_3_1_3__1_TotalAnnualDirectNitrousOxideEmissionsFromMMS(R250,$E273,$I$264)</f>
        <v>3.6938165411554646E-3</v>
      </c>
      <c r="S285" s="55" cm="1">
        <f t="array" ref="S285">MMS_Dairy_N2ODirect_Equations.VEERG_4_3_1_3__1_TotalAnnualDirectNitrousOxideEmissionsFromMMS(S250,$E273,$I$264)</f>
        <v>1.1658038583341877E-2</v>
      </c>
      <c r="T285" s="55" cm="1">
        <f t="array" ref="T285">MMS_Dairy_N2ODirect_Equations.VEERG_4_3_1_3__1_TotalAnnualDirectNitrousOxideEmissionsFromMMS(T250,$E273,$I$264)</f>
        <v>4.8803967314491022E-3</v>
      </c>
    </row>
    <row r="286" spans="1:20" ht="20.100000000000001" customHeight="1" x14ac:dyDescent="0.25"/>
    <row r="287" spans="1:20" ht="20.100000000000001" customHeight="1" x14ac:dyDescent="0.25">
      <c r="D287" s="108" t="s">
        <v>123</v>
      </c>
      <c r="E287" s="109">
        <f>SUM(F278:J285)</f>
        <v>6.891966997822202E-2</v>
      </c>
      <c r="F287" s="110" t="str">
        <f>$E$260</f>
        <v>t N2O</v>
      </c>
      <c r="N287" s="108" t="s">
        <v>123</v>
      </c>
      <c r="O287" s="109">
        <f>SUM(P278:T285)</f>
        <v>6.891966997822202E-2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6.891966997822202E-2</v>
      </c>
      <c r="N289" s="60" t="str" cm="1">
        <f t="array" ref="N289:O290">Common_Equations.Common_ConvertN2OToCO2e_Arguments()</f>
        <v>EN2O</v>
      </c>
      <c r="O289" s="61" t="str">
        <v>Nitrous oxide emissions (t N2O)</v>
      </c>
      <c r="P289" s="111"/>
      <c r="Q289" s="55">
        <f>O287</f>
        <v>6.891966997822202E-2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18.263712544228834</v>
      </c>
      <c r="F292" s="112" t="str" cm="1">
        <f t="array" ref="F292">Common_Equations.Common_ConvertN2OToCO2e_Unit()</f>
        <v>t CO2e</v>
      </c>
      <c r="N292" s="48" t="s">
        <v>110</v>
      </c>
      <c r="O292" s="48" cm="1">
        <f t="array" ref="O292">Common_Equations.Common_ConvertN2OToCO2e(Q289,Q290)</f>
        <v>18.263712544228834</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318</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309</v>
      </c>
      <c r="O16" s="104" t="s">
        <v>312</v>
      </c>
    </row>
    <row r="17" spans="1:22" ht="20.100000000000001" customHeight="1" x14ac:dyDescent="0.25">
      <c r="A17" s="17" t="str">
        <f>HYPERLINK("#'4.3.1.9 Soil direct N2O'!A1", "4.3.1.9 Soil direct N2O")</f>
        <v>4.3.1.9 Soil direct N2O</v>
      </c>
      <c r="D17" s="103" t="s">
        <v>310</v>
      </c>
      <c r="O17" s="103" t="s">
        <v>311</v>
      </c>
    </row>
    <row r="18" spans="1:22" ht="20.100000000000001" customHeight="1" x14ac:dyDescent="0.25">
      <c r="A18" s="17" t="str">
        <f>HYPERLINK("#'4.3.1.10-11 Soil Atmos Dep'!A1", "4.3.1.10-11 Soil atm. deposition")</f>
        <v>4.3.1.10-11 Soil atm. deposition</v>
      </c>
      <c r="D18" s="54" t="s">
        <v>148</v>
      </c>
      <c r="E18" s="54" t="s">
        <v>69</v>
      </c>
      <c r="F18" s="54" t="s">
        <v>173</v>
      </c>
      <c r="G18" s="54" t="s">
        <v>190</v>
      </c>
      <c r="H18" s="54" t="s">
        <v>191</v>
      </c>
      <c r="I18" s="54" t="s">
        <v>192</v>
      </c>
      <c r="J18" s="54" t="s">
        <v>193</v>
      </c>
      <c r="O18" s="54" t="s">
        <v>148</v>
      </c>
      <c r="P18" s="54" t="s">
        <v>69</v>
      </c>
      <c r="Q18" s="54" t="s">
        <v>173</v>
      </c>
      <c r="R18" s="54" t="s">
        <v>190</v>
      </c>
      <c r="S18" s="54" t="s">
        <v>191</v>
      </c>
      <c r="T18" s="54" t="s">
        <v>192</v>
      </c>
      <c r="U18" s="54" t="s">
        <v>193</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608.20865696280634</v>
      </c>
      <c r="G19" s="55">
        <f>'4.3.1.3-4 Direct N20'!$G$243</f>
        <v>227.94737834727596</v>
      </c>
      <c r="H19" s="55">
        <f>'4.3.1.3-4 Direct N20'!$H$243</f>
        <v>90.78903015480428</v>
      </c>
      <c r="I19" s="55">
        <f>'4.3.1.3-4 Direct N20'!$I$243</f>
        <v>286.53886967483555</v>
      </c>
      <c r="J19" s="55">
        <f>'4.3.1.3-4 Direct N20'!$J$243</f>
        <v>119.95357134881925</v>
      </c>
      <c r="K19" s="2" t="str">
        <f>$G$13</f>
        <v>kg N</v>
      </c>
      <c r="O19" s="55" t="str">
        <f>'Input - Dairy'!$D$66</f>
        <v>Milking shed</v>
      </c>
      <c r="P19" s="55" t="str">
        <f>'Input - Dairy'!$D$81</f>
        <v>Anaerobic lagoon</v>
      </c>
      <c r="Q19" s="55">
        <f>'4.3.1.3-4 Direct N20'!$P$243</f>
        <v>608.20865696280634</v>
      </c>
      <c r="R19" s="55">
        <f>'4.3.1.3-4 Direct N20'!$Q$243</f>
        <v>227.94737834727596</v>
      </c>
      <c r="S19" s="55">
        <f>'4.3.1.3-4 Direct N20'!$R$243</f>
        <v>90.78903015480428</v>
      </c>
      <c r="T19" s="55">
        <f>'4.3.1.3-4 Direct N20'!$S$243</f>
        <v>286.53886967483555</v>
      </c>
      <c r="U19" s="55">
        <f>'4.3.1.3-4 Direct N20'!$T$243</f>
        <v>119.95357134881925</v>
      </c>
      <c r="V19" s="2" t="str">
        <f>$G$13</f>
        <v>kg N</v>
      </c>
    </row>
    <row r="20" spans="1:22" ht="20.100000000000001" customHeight="1" x14ac:dyDescent="0.25">
      <c r="A20" s="17"/>
      <c r="D20" s="55" t="str">
        <f>'Input - Dairy'!$D$66</f>
        <v>Milking shed</v>
      </c>
      <c r="E20" s="55" t="str">
        <f>'Input - Dairy'!$D$86</f>
        <v>Sump and dispersal system</v>
      </c>
      <c r="F20" s="55">
        <f>'4.3.1.3-4 Direct N20'!$F$244</f>
        <v>486.56692557024513</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486.56692557024513</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486.56692557024513</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486.56692557024513</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407</v>
      </c>
      <c r="F22" s="55">
        <f>'4.3.1.3-4 Direct N20'!$F$246</f>
        <v>851.49211974792888</v>
      </c>
      <c r="G22" s="55">
        <f>'4.3.1.3-4 Direct N20'!$G$246</f>
        <v>319.12632968618635</v>
      </c>
      <c r="H22" s="55">
        <f>'4.3.1.3-4 Direct N20'!$H$246</f>
        <v>127.10464221672598</v>
      </c>
      <c r="I22" s="55">
        <f>'4.3.1.3-4 Direct N20'!$I$246</f>
        <v>401.15441754476973</v>
      </c>
      <c r="J22" s="55">
        <f>'4.3.1.3-4 Direct N20'!$J$246</f>
        <v>167.93499988834694</v>
      </c>
      <c r="K22" s="2"/>
      <c r="O22" s="55" t="str">
        <f>'Input - Dairy'!$D$66</f>
        <v>Milking shed</v>
      </c>
      <c r="P22" s="55" t="s">
        <v>407</v>
      </c>
      <c r="Q22" s="55">
        <f>'4.3.1.3-4 Direct N20'!$P$246</f>
        <v>851.49211974792888</v>
      </c>
      <c r="R22" s="55">
        <f>'4.3.1.3-4 Direct N20'!$Q$246</f>
        <v>319.12632968618635</v>
      </c>
      <c r="S22" s="55">
        <f>'4.3.1.3-4 Direct N20'!$R$246</f>
        <v>127.10464221672598</v>
      </c>
      <c r="T22" s="55">
        <f>'4.3.1.3-4 Direct N20'!$S$246</f>
        <v>401.15441754476973</v>
      </c>
      <c r="U22" s="55">
        <f>'4.3.1.3-4 Direct N20'!$T$246</f>
        <v>167.93499988834694</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1574.7075045727931</v>
      </c>
      <c r="G23" s="55">
        <f>'4.3.1.3-4 Direct N20'!$G$247</f>
        <v>590.17648503003818</v>
      </c>
      <c r="H23" s="55">
        <f>'4.3.1.3-4 Direct N20'!$H$247</f>
        <v>235.06105261898415</v>
      </c>
      <c r="I23" s="55">
        <f>'4.3.1.3-4 Direct N20'!$I$247</f>
        <v>741.87518257630143</v>
      </c>
      <c r="J23" s="55">
        <f>'4.3.1.3-4 Direct N20'!$J$247</f>
        <v>310.57070109221564</v>
      </c>
      <c r="K23" s="2"/>
      <c r="O23" s="55" t="str">
        <f>'Input - Dairy'!$D$67</f>
        <v>Feed pad</v>
      </c>
      <c r="P23" s="55" t="str">
        <f>'Input - Dairy'!$D$105</f>
        <v>Anaerobic lagoon</v>
      </c>
      <c r="Q23" s="55">
        <f>'4.3.1.3-4 Direct N20'!$P$247</f>
        <v>1574.7075045727931</v>
      </c>
      <c r="R23" s="55">
        <f>'4.3.1.3-4 Direct N20'!$Q$247</f>
        <v>590.17648503003818</v>
      </c>
      <c r="S23" s="55">
        <f>'4.3.1.3-4 Direct N20'!$R$247</f>
        <v>235.06105261898415</v>
      </c>
      <c r="T23" s="55">
        <f>'4.3.1.3-4 Direct N20'!$S$247</f>
        <v>741.87518257630143</v>
      </c>
      <c r="U23" s="55">
        <f>'4.3.1.3-4 Direct N20'!$T$247</f>
        <v>310.57070109221564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1574.7075045727931</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1574.7075045727931</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1574.7075045727931</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1574.7075045727931</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407</v>
      </c>
      <c r="F26" s="55">
        <f>'4.3.1.3-4 Direct N20'!$F$250</f>
        <v>3149.4150091455858</v>
      </c>
      <c r="G26" s="55">
        <f>'4.3.1.3-4 Direct N20'!$G$250</f>
        <v>1180.3529700600759</v>
      </c>
      <c r="H26" s="55">
        <f>'4.3.1.3-4 Direct N20'!$H$250</f>
        <v>470.12210523796824</v>
      </c>
      <c r="I26" s="55">
        <f>'4.3.1.3-4 Direct N20'!$I$250</f>
        <v>1483.7503651526026</v>
      </c>
      <c r="J26" s="55">
        <f>'4.3.1.3-4 Direct N20'!$J$250</f>
        <v>621.14140218443117</v>
      </c>
      <c r="K26" s="2"/>
      <c r="O26" s="55" t="str">
        <f>'Input - Dairy'!$D$67</f>
        <v>Feed pad</v>
      </c>
      <c r="P26" s="55" t="s">
        <v>407</v>
      </c>
      <c r="Q26" s="55">
        <f>'4.3.1.3-4 Direct N20'!$P$250</f>
        <v>3149.4150091455858</v>
      </c>
      <c r="R26" s="55">
        <f>'4.3.1.3-4 Direct N20'!$Q$250</f>
        <v>1180.3529700600759</v>
      </c>
      <c r="S26" s="55">
        <f>'4.3.1.3-4 Direct N20'!$R$250</f>
        <v>470.12210523796824</v>
      </c>
      <c r="T26" s="55">
        <f>'4.3.1.3-4 Direct N20'!$S$250</f>
        <v>1483.7503651526026</v>
      </c>
      <c r="U26" s="55">
        <f>'4.3.1.3-4 Direct N20'!$T$250</f>
        <v>621.14140218443117</v>
      </c>
      <c r="V26" s="2"/>
    </row>
    <row r="27" spans="1:22" ht="20.100000000000001" customHeight="1" x14ac:dyDescent="0.25"/>
    <row r="28" spans="1:22" ht="20.100000000000001" customHeight="1" x14ac:dyDescent="0.25">
      <c r="D28" s="104" t="s">
        <v>319</v>
      </c>
    </row>
    <row r="29" spans="1:22" ht="20.100000000000001" customHeight="1" x14ac:dyDescent="0.25">
      <c r="D29" s="103" t="s">
        <v>321</v>
      </c>
    </row>
    <row r="30" spans="1:22" ht="20.100000000000001" customHeight="1" x14ac:dyDescent="0.25">
      <c r="D30" s="54" t="s">
        <v>69</v>
      </c>
      <c r="E30" s="54" t="s">
        <v>320</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322</v>
      </c>
      <c r="O37" s="104" t="s">
        <v>324</v>
      </c>
    </row>
    <row r="38" spans="4:22" ht="20.100000000000001" customHeight="1" x14ac:dyDescent="0.25">
      <c r="D38" s="103" t="s">
        <v>323</v>
      </c>
      <c r="O38" s="103" t="s">
        <v>325</v>
      </c>
    </row>
    <row r="39" spans="4:22" ht="20.100000000000001" customHeight="1" x14ac:dyDescent="0.25">
      <c r="D39" s="54" t="s">
        <v>148</v>
      </c>
      <c r="E39" s="54" t="s">
        <v>69</v>
      </c>
      <c r="F39" s="54" t="s">
        <v>173</v>
      </c>
      <c r="G39" s="54" t="s">
        <v>190</v>
      </c>
      <c r="H39" s="54" t="s">
        <v>191</v>
      </c>
      <c r="I39" s="54" t="s">
        <v>192</v>
      </c>
      <c r="J39" s="54" t="s">
        <v>193</v>
      </c>
      <c r="O39" s="54" t="s">
        <v>148</v>
      </c>
      <c r="P39" s="54" t="s">
        <v>69</v>
      </c>
      <c r="Q39" s="54" t="s">
        <v>173</v>
      </c>
      <c r="R39" s="54" t="s">
        <v>190</v>
      </c>
      <c r="S39" s="54" t="s">
        <v>191</v>
      </c>
      <c r="T39" s="54" t="s">
        <v>192</v>
      </c>
      <c r="U39" s="54" t="s">
        <v>193</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212.87302993698222</v>
      </c>
      <c r="G40" s="55" cm="1">
        <f t="array" ref="G40">MMS_Dairy_AtmosphericDeposition_Equations.VEERG_4_3_1_5__2_TotalNitrogenVolatilisedFromMMS(G19,$E32)</f>
        <v>79.781582421546574</v>
      </c>
      <c r="H40" s="55" cm="1">
        <f t="array" ref="H40">MMS_Dairy_AtmosphericDeposition_Equations.VEERG_4_3_1_5__2_TotalNitrogenVolatilisedFromMMS(H19,$E32)</f>
        <v>31.776160554181494</v>
      </c>
      <c r="I40" s="55" cm="1">
        <f t="array" ref="I40">MMS_Dairy_AtmosphericDeposition_Equations.VEERG_4_3_1_5__2_TotalNitrogenVolatilisedFromMMS(I19,$E32)</f>
        <v>100.28860438619243</v>
      </c>
      <c r="J40" s="55" cm="1">
        <f t="array" ref="J40">MMS_Dairy_AtmosphericDeposition_Equations.VEERG_4_3_1_5__2_TotalNitrogenVolatilisedFromMMS(J19,$E32)</f>
        <v>41.983749972086734</v>
      </c>
      <c r="K40" s="2" t="str">
        <f>$E$11</f>
        <v>kg N</v>
      </c>
      <c r="O40" s="55" t="str">
        <f>'Input - Dairy'!$D$66</f>
        <v>Milking shed</v>
      </c>
      <c r="P40" s="55" t="str">
        <f>'Input - Dairy'!$D$81</f>
        <v>Anaerobic lagoon</v>
      </c>
      <c r="Q40" s="55" cm="1">
        <f t="array" ref="Q40">MMS_Dairy_AtmosphericDeposition_Equations.VEERG_4_3_1_5__2_TotalNitrogenVolatilisedFromMMS(Q19,$E32)</f>
        <v>212.87302993698222</v>
      </c>
      <c r="R40" s="55" cm="1">
        <f t="array" ref="R40">MMS_Dairy_AtmosphericDeposition_Equations.VEERG_4_3_1_5__2_TotalNitrogenVolatilisedFromMMS(R19,$E32)</f>
        <v>79.781582421546574</v>
      </c>
      <c r="S40" s="55" cm="1">
        <f t="array" ref="S40">MMS_Dairy_AtmosphericDeposition_Equations.VEERG_4_3_1_5__2_TotalNitrogenVolatilisedFromMMS(S19,$E32)</f>
        <v>31.776160554181494</v>
      </c>
      <c r="T40" s="55" cm="1">
        <f t="array" ref="T40">MMS_Dairy_AtmosphericDeposition_Equations.VEERG_4_3_1_5__2_TotalNitrogenVolatilisedFromMMS(T19,$E32)</f>
        <v>100.28860438619243</v>
      </c>
      <c r="U40" s="55" cm="1">
        <f t="array" ref="U40">MMS_Dairy_AtmosphericDeposition_Equations.VEERG_4_3_1_5__2_TotalNitrogenVolatilisedFromMMS(U19,$E32)</f>
        <v>41.983749972086734</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34.059684789917164</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34.059684789917164</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97.313385114049026</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97.313385114049026</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407</v>
      </c>
      <c r="F43" s="55" cm="1">
        <f t="array" ref="F43">MMS_Dairy_AtmosphericDeposition_Equations.VEERG_4_3_1_5__2_TotalNitrogenVolatilisedFromMMS(F22,$E35)</f>
        <v>255.44763592437866</v>
      </c>
      <c r="G43" s="55" cm="1">
        <f t="array" ref="G43">MMS_Dairy_AtmosphericDeposition_Equations.VEERG_4_3_1_5__2_TotalNitrogenVolatilisedFromMMS(G22,$E35)</f>
        <v>95.7378989058559</v>
      </c>
      <c r="H43" s="55" cm="1">
        <f t="array" ref="H43">MMS_Dairy_AtmosphericDeposition_Equations.VEERG_4_3_1_5__2_TotalNitrogenVolatilisedFromMMS(H22,$E35)</f>
        <v>38.131392665017792</v>
      </c>
      <c r="I43" s="55" cm="1">
        <f t="array" ref="I43">MMS_Dairy_AtmosphericDeposition_Equations.VEERG_4_3_1_5__2_TotalNitrogenVolatilisedFromMMS(I22,$E35)</f>
        <v>120.34632526343091</v>
      </c>
      <c r="J43" s="55" cm="1">
        <f t="array" ref="J43">MMS_Dairy_AtmosphericDeposition_Equations.VEERG_4_3_1_5__2_TotalNitrogenVolatilisedFromMMS(J22,$E35)</f>
        <v>50.380499966504082</v>
      </c>
      <c r="K43" s="2"/>
      <c r="O43" s="55" t="str">
        <f>'Input - Dairy'!$D$66</f>
        <v>Milking shed</v>
      </c>
      <c r="P43" s="55" t="s">
        <v>407</v>
      </c>
      <c r="Q43" s="55" cm="1">
        <f t="array" ref="Q43">MMS_Dairy_AtmosphericDeposition_Equations.VEERG_4_3_1_5__2_TotalNitrogenVolatilisedFromMMS(Q22,$E35)</f>
        <v>255.44763592437866</v>
      </c>
      <c r="R43" s="55" cm="1">
        <f t="array" ref="R43">MMS_Dairy_AtmosphericDeposition_Equations.VEERG_4_3_1_5__2_TotalNitrogenVolatilisedFromMMS(R22,$E35)</f>
        <v>95.7378989058559</v>
      </c>
      <c r="S43" s="55" cm="1">
        <f t="array" ref="S43">MMS_Dairy_AtmosphericDeposition_Equations.VEERG_4_3_1_5__2_TotalNitrogenVolatilisedFromMMS(S22,$E35)</f>
        <v>38.131392665017792</v>
      </c>
      <c r="T43" s="55" cm="1">
        <f t="array" ref="T43">MMS_Dairy_AtmosphericDeposition_Equations.VEERG_4_3_1_5__2_TotalNitrogenVolatilisedFromMMS(T22,$E35)</f>
        <v>120.34632526343091</v>
      </c>
      <c r="U43" s="55" cm="1">
        <f t="array" ref="U43">MMS_Dairy_AtmosphericDeposition_Equations.VEERG_4_3_1_5__2_TotalNitrogenVolatilisedFromMMS(U22,$E35)</f>
        <v>50.380499966504082</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551.14762660047757</v>
      </c>
      <c r="G44" s="55" cm="1">
        <f t="array" ref="G44">MMS_Dairy_AtmosphericDeposition_Equations.VEERG_4_3_1_5__2_TotalNitrogenVolatilisedFromMMS(G23, $E32)</f>
        <v>206.56176976051336</v>
      </c>
      <c r="H44" s="55" cm="1">
        <f t="array" ref="H44">MMS_Dairy_AtmosphericDeposition_Equations.VEERG_4_3_1_5__2_TotalNitrogenVolatilisedFromMMS(H23, $E32)</f>
        <v>82.271368416644449</v>
      </c>
      <c r="I44" s="55" cm="1">
        <f t="array" ref="I44">MMS_Dairy_AtmosphericDeposition_Equations.VEERG_4_3_1_5__2_TotalNitrogenVolatilisedFromMMS(I23, $E32)</f>
        <v>259.65631390170546</v>
      </c>
      <c r="J44" s="55" cm="1">
        <f t="array" ref="J44">MMS_Dairy_AtmosphericDeposition_Equations.VEERG_4_3_1_5__2_TotalNitrogenVolatilisedFromMMS(J23, $E32)</f>
        <v>108.69974538227547</v>
      </c>
      <c r="K44" s="2"/>
      <c r="O44" s="55" t="str">
        <f>'Input - Dairy'!$D$67</f>
        <v>Feed pad</v>
      </c>
      <c r="P44" s="55" t="str">
        <f>'Input - Dairy'!$D$105</f>
        <v>Anaerobic lagoon</v>
      </c>
      <c r="Q44" s="55" cm="1">
        <f t="array" ref="Q44">MMS_Dairy_AtmosphericDeposition_Equations.VEERG_4_3_1_5__2_TotalNitrogenVolatilisedFromMMS(Q23, $E32)</f>
        <v>551.14762660047757</v>
      </c>
      <c r="R44" s="55" cm="1">
        <f t="array" ref="R44">MMS_Dairy_AtmosphericDeposition_Equations.VEERG_4_3_1_5__2_TotalNitrogenVolatilisedFromMMS(R23, $E32)</f>
        <v>206.56176976051336</v>
      </c>
      <c r="S44" s="55" cm="1">
        <f t="array" ref="S44">MMS_Dairy_AtmosphericDeposition_Equations.VEERG_4_3_1_5__2_TotalNitrogenVolatilisedFromMMS(S23, $E32)</f>
        <v>82.271368416644449</v>
      </c>
      <c r="T44" s="55" cm="1">
        <f t="array" ref="T44">MMS_Dairy_AtmosphericDeposition_Equations.VEERG_4_3_1_5__2_TotalNitrogenVolatilisedFromMMS(T23, $E32)</f>
        <v>259.65631390170546</v>
      </c>
      <c r="U44" s="55" cm="1">
        <f t="array" ref="U44">MMS_Dairy_AtmosphericDeposition_Equations.VEERG_4_3_1_5__2_TotalNitrogenVolatilisedFromMMS(U23, $E32)</f>
        <v>108.69974538227547</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110.22952532009553</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110.22952532009553</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314.94150091455867</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314.94150091455867</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407</v>
      </c>
      <c r="F47" s="55" cm="1">
        <f t="array" ref="F47">MMS_Dairy_AtmosphericDeposition_Equations.VEERG_4_3_1_5__2_TotalNitrogenVolatilisedFromMMS(F26, $E35)</f>
        <v>944.82450274367568</v>
      </c>
      <c r="G47" s="55" cm="1">
        <f t="array" ref="G47">MMS_Dairy_AtmosphericDeposition_Equations.VEERG_4_3_1_5__2_TotalNitrogenVolatilisedFromMMS(G26, $E35)</f>
        <v>354.10589101802276</v>
      </c>
      <c r="H47" s="55" cm="1">
        <f t="array" ref="H47">MMS_Dairy_AtmosphericDeposition_Equations.VEERG_4_3_1_5__2_TotalNitrogenVolatilisedFromMMS(H26, $E35)</f>
        <v>141.03663157139047</v>
      </c>
      <c r="I47" s="55" cm="1">
        <f t="array" ref="I47">MMS_Dairy_AtmosphericDeposition_Equations.VEERG_4_3_1_5__2_TotalNitrogenVolatilisedFromMMS(I26, $E35)</f>
        <v>445.12510954578079</v>
      </c>
      <c r="J47" s="55" cm="1">
        <f t="array" ref="J47">MMS_Dairy_AtmosphericDeposition_Equations.VEERG_4_3_1_5__2_TotalNitrogenVolatilisedFromMMS(J26, $E35)</f>
        <v>186.34242065532933</v>
      </c>
      <c r="K47" s="2"/>
      <c r="O47" s="55" t="str">
        <f>'Input - Dairy'!$D$67</f>
        <v>Feed pad</v>
      </c>
      <c r="P47" s="55" t="s">
        <v>407</v>
      </c>
      <c r="Q47" s="55" cm="1">
        <f t="array" ref="Q47">MMS_Dairy_AtmosphericDeposition_Equations.VEERG_4_3_1_5__2_TotalNitrogenVolatilisedFromMMS(Q26, $E35)</f>
        <v>944.82450274367568</v>
      </c>
      <c r="R47" s="55" cm="1">
        <f t="array" ref="R47">MMS_Dairy_AtmosphericDeposition_Equations.VEERG_4_3_1_5__2_TotalNitrogenVolatilisedFromMMS(R26, $E35)</f>
        <v>354.10589101802276</v>
      </c>
      <c r="S47" s="55" cm="1">
        <f t="array" ref="S47">MMS_Dairy_AtmosphericDeposition_Equations.VEERG_4_3_1_5__2_TotalNitrogenVolatilisedFromMMS(S26, $E35)</f>
        <v>141.03663157139047</v>
      </c>
      <c r="T47" s="55" cm="1">
        <f t="array" ref="T47">MMS_Dairy_AtmosphericDeposition_Equations.VEERG_4_3_1_5__2_TotalNitrogenVolatilisedFromMMS(T26, $E35)</f>
        <v>445.12510954578079</v>
      </c>
      <c r="U47" s="55" cm="1">
        <f t="array" ref="U47">MMS_Dairy_AtmosphericDeposition_Equations.VEERG_4_3_1_5__2_TotalNitrogenVolatilisedFromMMS(U26, $E35)</f>
        <v>186.34242065532933</v>
      </c>
      <c r="V47" s="2"/>
    </row>
    <row r="48" spans="4:22" ht="20.100000000000001" customHeight="1" x14ac:dyDescent="0.25"/>
    <row r="49" spans="1:23" ht="20.100000000000001" customHeight="1" x14ac:dyDescent="0.25">
      <c r="D49" s="118" t="s">
        <v>381</v>
      </c>
      <c r="E49" s="48">
        <f>SUM(F40:J47)</f>
        <v>5526.6863109839078</v>
      </c>
      <c r="F49" s="112" t="str">
        <f>$E$11</f>
        <v>kg N</v>
      </c>
      <c r="O49" s="118" t="s">
        <v>381</v>
      </c>
      <c r="P49" s="48">
        <f>SUM(Q40:U47)</f>
        <v>5526.6863109839078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423</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5526.6863109839078</v>
      </c>
      <c r="O61" s="60" t="str">
        <f>D61</f>
        <v>MN_ATMOS</v>
      </c>
      <c r="P61" s="61" t="str">
        <f>E61</f>
        <v>mass of N volatilised from MMS</v>
      </c>
      <c r="Q61" s="62"/>
      <c r="R61" s="60">
        <f>$P$49</f>
        <v>5526.6863109839078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326</v>
      </c>
      <c r="E68" s="109" cm="1">
        <f t="array" ref="E68">MMS_Dairy_AtmosphericDeposition_Equations.VEERG_4_3_1_5__1_AnnualAtmosphericDepositionEmissionsFromMMS($I$61,$I$62,$I$63)</f>
        <v>5.1240277368979369E-2</v>
      </c>
      <c r="F68" s="110" t="str">
        <f>$E$59</f>
        <v>t N2O</v>
      </c>
      <c r="O68" s="108" t="s">
        <v>326</v>
      </c>
      <c r="P68" s="109" cm="1">
        <f t="array" ref="P68">MMS_Dairy_AtmosphericDeposition_Equations.VEERG_4_3_1_5__1_AnnualAtmosphericDepositionEmissionsFromMMS($R$61,$I$62,$I$63)</f>
        <v>5.1240277368979369E-2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5.1240277368979369E-2</v>
      </c>
      <c r="O70" s="60" t="str" cm="1">
        <f t="array" ref="O70:P71">Common_Equations.Common_ConvertN2OToCO2e_Arguments()</f>
        <v>EN2O</v>
      </c>
      <c r="P70" s="61" t="str">
        <v>Nitrous oxide emissions (t N2O)</v>
      </c>
      <c r="Q70" s="111"/>
      <c r="R70" s="55">
        <f>P68</f>
        <v>5.1240277368979369E-2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13.578673502779532</v>
      </c>
      <c r="F73" s="112" t="str" cm="1">
        <f t="array" ref="F73">Common_Equations.Common_ConvertN2OToCO2e_Unit()</f>
        <v>t CO2e</v>
      </c>
      <c r="O73" s="48" t="s">
        <v>110</v>
      </c>
      <c r="P73" s="48" cm="1">
        <f t="array" ref="P73">Common_Equations.Common_ConvertN2OToCO2e(R70,R71)</f>
        <v>13.578673502779532</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J15" sqref="J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353</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328</v>
      </c>
      <c r="O20" s="104" t="s">
        <v>330</v>
      </c>
    </row>
    <row r="21" spans="1:22" ht="20.100000000000001" customHeight="1" x14ac:dyDescent="0.25">
      <c r="A21" s="18" t="s">
        <v>4</v>
      </c>
      <c r="D21" s="103" t="s">
        <v>329</v>
      </c>
      <c r="O21" s="103" t="s">
        <v>331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Dairy'!$D$66</f>
        <v>Milking shed</v>
      </c>
      <c r="E23" s="55" t="s">
        <v>407</v>
      </c>
      <c r="F23" s="55">
        <f>'4.3.1.3-4 Direct N20'!F246</f>
        <v>851.49211974792888</v>
      </c>
      <c r="G23" s="55">
        <f>'4.3.1.3-4 Direct N20'!G246</f>
        <v>319.12632968618635</v>
      </c>
      <c r="H23" s="55">
        <f>'4.3.1.3-4 Direct N20'!H246</f>
        <v>127.10464221672598</v>
      </c>
      <c r="I23" s="55">
        <f>'4.3.1.3-4 Direct N20'!I246</f>
        <v>401.15441754476973</v>
      </c>
      <c r="J23" s="55">
        <f>'4.3.1.3-4 Direct N20'!J246</f>
        <v>167.93499988834694</v>
      </c>
      <c r="K23" s="2" t="str">
        <f>$H$13</f>
        <v>kg N</v>
      </c>
      <c r="O23" s="55" t="str">
        <f>'Input - Dairy'!$D$66</f>
        <v>Milking shed</v>
      </c>
      <c r="P23" s="55" t="s">
        <v>407</v>
      </c>
      <c r="Q23" s="55">
        <f>'4.3.1.3-4 Direct N20'!P246</f>
        <v>851.49211974792888</v>
      </c>
      <c r="R23" s="55">
        <f>'4.3.1.3-4 Direct N20'!Q246</f>
        <v>319.12632968618635</v>
      </c>
      <c r="S23" s="55">
        <f>'4.3.1.3-4 Direct N20'!R246</f>
        <v>127.10464221672598</v>
      </c>
      <c r="T23" s="55">
        <f>'4.3.1.3-4 Direct N20'!S246</f>
        <v>401.15441754476973</v>
      </c>
      <c r="U23" s="55">
        <f>'4.3.1.3-4 Direct N20'!T246</f>
        <v>167.93499988834694</v>
      </c>
      <c r="V23" s="2" t="str">
        <f>$H$13</f>
        <v>kg N</v>
      </c>
    </row>
    <row r="24" spans="1:22" ht="20.100000000000001" customHeight="1" x14ac:dyDescent="0.25">
      <c r="A24" s="17" t="str">
        <f>HYPERLINK("#'Constants - Common'!A1", "Constants - Common")</f>
        <v>Constants - Common</v>
      </c>
      <c r="D24" s="55" t="str">
        <f>'Input - Dairy'!$D$67</f>
        <v>Feed pad</v>
      </c>
      <c r="E24" s="55" t="s">
        <v>407</v>
      </c>
      <c r="F24" s="55">
        <f>'4.3.1.3-4 Direct N20'!F250</f>
        <v>3149.4150091455858</v>
      </c>
      <c r="G24" s="55">
        <f>'4.3.1.3-4 Direct N20'!G250</f>
        <v>1180.3529700600759</v>
      </c>
      <c r="H24" s="55">
        <f>'4.3.1.3-4 Direct N20'!H250</f>
        <v>470.12210523796824</v>
      </c>
      <c r="I24" s="55">
        <f>'4.3.1.3-4 Direct N20'!I250</f>
        <v>1483.7503651526026</v>
      </c>
      <c r="J24" s="55">
        <f>'4.3.1.3-4 Direct N20'!J250</f>
        <v>621.14140218443117</v>
      </c>
      <c r="K24" s="2"/>
      <c r="O24" s="55" t="str">
        <f>'Input - Dairy'!$D$67</f>
        <v>Feed pad</v>
      </c>
      <c r="P24" s="55" t="s">
        <v>407</v>
      </c>
      <c r="Q24" s="55">
        <f>'4.3.1.3-4 Direct N20'!P250</f>
        <v>3149.4150091455858</v>
      </c>
      <c r="R24" s="55">
        <f>'4.3.1.3-4 Direct N20'!Q250</f>
        <v>1180.3529700600759</v>
      </c>
      <c r="S24" s="55">
        <f>'4.3.1.3-4 Direct N20'!R250</f>
        <v>470.12210523796824</v>
      </c>
      <c r="T24" s="55">
        <f>'4.3.1.3-4 Direct N20'!S250</f>
        <v>1483.7503651526026</v>
      </c>
      <c r="U24" s="55">
        <f>'4.3.1.3-4 Direct N20'!T250</f>
        <v>621.14140218443117</v>
      </c>
      <c r="V24" s="2"/>
    </row>
    <row r="25" spans="1:22" ht="20.100000000000001" customHeight="1" x14ac:dyDescent="0.25">
      <c r="A25" s="17" t="str">
        <f>HYPERLINK("#'Acknowledgements'!A1", "Acknowledgements")</f>
        <v>Acknowledgements</v>
      </c>
    </row>
    <row r="26" spans="1:22" ht="20.100000000000001" customHeight="1" x14ac:dyDescent="0.25">
      <c r="D26" s="104" t="s">
        <v>333</v>
      </c>
      <c r="O26" s="104" t="s">
        <v>334</v>
      </c>
    </row>
    <row r="27" spans="1:22" ht="20.100000000000001" customHeight="1" x14ac:dyDescent="0.25">
      <c r="D27" s="103" t="s">
        <v>332</v>
      </c>
      <c r="O27" s="103" t="s">
        <v>335</v>
      </c>
    </row>
    <row r="28" spans="1:22" ht="20.100000000000001" customHeight="1" x14ac:dyDescent="0.25">
      <c r="D28" s="54" t="s">
        <v>148</v>
      </c>
      <c r="E28" s="54" t="s">
        <v>69</v>
      </c>
      <c r="F28" s="54" t="s">
        <v>173</v>
      </c>
      <c r="G28" s="54" t="s">
        <v>190</v>
      </c>
      <c r="H28" s="54" t="s">
        <v>191</v>
      </c>
      <c r="I28" s="54" t="s">
        <v>192</v>
      </c>
      <c r="J28" s="54" t="s">
        <v>193</v>
      </c>
      <c r="O28" s="54" t="s">
        <v>148</v>
      </c>
      <c r="P28" s="54" t="s">
        <v>69</v>
      </c>
      <c r="Q28" s="54" t="s">
        <v>173</v>
      </c>
      <c r="R28" s="54" t="s">
        <v>190</v>
      </c>
      <c r="S28" s="54" t="s">
        <v>191</v>
      </c>
      <c r="T28" s="54" t="s">
        <v>192</v>
      </c>
      <c r="U28" s="54" t="s">
        <v>193</v>
      </c>
    </row>
    <row r="29" spans="1:22" ht="20.100000000000001" customHeight="1" x14ac:dyDescent="0.25">
      <c r="D29" s="55" t="str">
        <f>'Input - Dairy'!$D$66</f>
        <v>Milking shed</v>
      </c>
      <c r="E29" s="55" t="s">
        <v>407</v>
      </c>
      <c r="F29" s="55" cm="1">
        <f t="array" ref="F29">MMS_Dairy_LeachingAndRunoff_Equations.VEERG_4_3_1_6__2_MassOfNitrogenLostToLeachingAndRunoffFromSolidStorage(F23,$J$14,$J$15)</f>
        <v>17.029842394958578</v>
      </c>
      <c r="G29" s="55" cm="1">
        <f t="array" ref="G29">MMS_Dairy_LeachingAndRunoff_Equations.VEERG_4_3_1_6__2_MassOfNitrogenLostToLeachingAndRunoffFromSolidStorage(G23,$J$14,$J$15)</f>
        <v>6.3825265937237274</v>
      </c>
      <c r="H29" s="55" cm="1">
        <f t="array" ref="H29">MMS_Dairy_LeachingAndRunoff_Equations.VEERG_4_3_1_6__2_MassOfNitrogenLostToLeachingAndRunoffFromSolidStorage(H23,$J$14,$J$15)</f>
        <v>2.5420928443345194</v>
      </c>
      <c r="I29" s="55" cm="1">
        <f t="array" ref="I29">MMS_Dairy_LeachingAndRunoff_Equations.VEERG_4_3_1_6__2_MassOfNitrogenLostToLeachingAndRunoffFromSolidStorage(I23,$J$14,$J$15)</f>
        <v>8.0230883508953941</v>
      </c>
      <c r="J29" s="55" cm="1">
        <f t="array" ref="J29">MMS_Dairy_LeachingAndRunoff_Equations.VEERG_4_3_1_6__2_MassOfNitrogenLostToLeachingAndRunoffFromSolidStorage(J23,$J$14,$J$15)</f>
        <v>3.3586999977669389</v>
      </c>
      <c r="K29" s="2" t="str">
        <f>$E$11</f>
        <v>kg N</v>
      </c>
      <c r="O29" s="55" t="str">
        <f>'Input - Dairy'!$D$66</f>
        <v>Milking shed</v>
      </c>
      <c r="P29" s="55" t="s">
        <v>407</v>
      </c>
      <c r="Q29" s="55" cm="1">
        <f t="array" ref="Q29">MMS_Dairy_LeachingAndRunoff_Equations.VEERG_4_3_1_6__2_MassOfNitrogenLostToLeachingAndRunoffFromSolidStorage(Q23,$J$14,$J$15)</f>
        <v>17.029842394958578</v>
      </c>
      <c r="R29" s="55" cm="1">
        <f t="array" ref="R29">MMS_Dairy_LeachingAndRunoff_Equations.VEERG_4_3_1_6__2_MassOfNitrogenLostToLeachingAndRunoffFromSolidStorage(R23,$J$14,$J$15)</f>
        <v>6.3825265937237274</v>
      </c>
      <c r="S29" s="55" cm="1">
        <f t="array" ref="S29">MMS_Dairy_LeachingAndRunoff_Equations.VEERG_4_3_1_6__2_MassOfNitrogenLostToLeachingAndRunoffFromSolidStorage(S23,$J$14,$J$15)</f>
        <v>2.5420928443345194</v>
      </c>
      <c r="T29" s="55" cm="1">
        <f t="array" ref="T29">MMS_Dairy_LeachingAndRunoff_Equations.VEERG_4_3_1_6__2_MassOfNitrogenLostToLeachingAndRunoffFromSolidStorage(T23,$J$14,$J$15)</f>
        <v>8.0230883508953941</v>
      </c>
      <c r="U29" s="55" cm="1">
        <f t="array" ref="U29">MMS_Dairy_LeachingAndRunoff_Equations.VEERG_4_3_1_6__2_MassOfNitrogenLostToLeachingAndRunoffFromSolidStorage(U23,$J$14,$J$15)</f>
        <v>3.3586999977669389</v>
      </c>
      <c r="V29" s="2" t="str">
        <f>$E$11</f>
        <v>kg N</v>
      </c>
    </row>
    <row r="30" spans="1:22" ht="20.100000000000001" customHeight="1" x14ac:dyDescent="0.25">
      <c r="D30" s="55" t="str">
        <f>'Input - Dairy'!$D$67</f>
        <v>Feed pad</v>
      </c>
      <c r="E30" s="55" t="s">
        <v>407</v>
      </c>
      <c r="F30" s="55" cm="1">
        <f t="array" ref="F30">MMS_Dairy_LeachingAndRunoff_Equations.VEERG_4_3_1_6__2_MassOfNitrogenLostToLeachingAndRunoffFromSolidStorage(F24,$J$14,$J$15)</f>
        <v>62.988300182911715</v>
      </c>
      <c r="G30" s="55" cm="1">
        <f t="array" ref="G30">MMS_Dairy_LeachingAndRunoff_Equations.VEERG_4_3_1_6__2_MassOfNitrogenLostToLeachingAndRunoffFromSolidStorage(G24,$J$14,$J$15)</f>
        <v>23.607059401201518</v>
      </c>
      <c r="H30" s="55" cm="1">
        <f t="array" ref="H30">MMS_Dairy_LeachingAndRunoff_Equations.VEERG_4_3_1_6__2_MassOfNitrogenLostToLeachingAndRunoffFromSolidStorage(H24,$J$14,$J$15)</f>
        <v>9.4024421047593645</v>
      </c>
      <c r="I30" s="55" cm="1">
        <f t="array" ref="I30">MMS_Dairy_LeachingAndRunoff_Equations.VEERG_4_3_1_6__2_MassOfNitrogenLostToLeachingAndRunoffFromSolidStorage(I24,$J$14,$J$15)</f>
        <v>29.675007303052052</v>
      </c>
      <c r="J30" s="55" cm="1">
        <f t="array" ref="J30">MMS_Dairy_LeachingAndRunoff_Equations.VEERG_4_3_1_6__2_MassOfNitrogenLostToLeachingAndRunoffFromSolidStorage(J24,$J$14,$J$15)</f>
        <v>12.422828043688623</v>
      </c>
      <c r="K30" s="2"/>
      <c r="O30" s="55" t="str">
        <f>'Input - Dairy'!$D$67</f>
        <v>Feed pad</v>
      </c>
      <c r="P30" s="55" t="s">
        <v>407</v>
      </c>
      <c r="Q30" s="55" cm="1">
        <f t="array" ref="Q30">MMS_Dairy_LeachingAndRunoff_Equations.VEERG_4_3_1_6__2_MassOfNitrogenLostToLeachingAndRunoffFromSolidStorage(Q24,$J$14,$J$15)</f>
        <v>62.988300182911715</v>
      </c>
      <c r="R30" s="55" cm="1">
        <f t="array" ref="R30">MMS_Dairy_LeachingAndRunoff_Equations.VEERG_4_3_1_6__2_MassOfNitrogenLostToLeachingAndRunoffFromSolidStorage(R24,$J$14,$J$15)</f>
        <v>23.607059401201518</v>
      </c>
      <c r="S30" s="55" cm="1">
        <f t="array" ref="S30">MMS_Dairy_LeachingAndRunoff_Equations.VEERG_4_3_1_6__2_MassOfNitrogenLostToLeachingAndRunoffFromSolidStorage(S24,$J$14,$J$15)</f>
        <v>9.4024421047593645</v>
      </c>
      <c r="T30" s="55" cm="1">
        <f t="array" ref="T30">MMS_Dairy_LeachingAndRunoff_Equations.VEERG_4_3_1_6__2_MassOfNitrogenLostToLeachingAndRunoffFromSolidStorage(T24,$J$14,$J$15)</f>
        <v>29.675007303052052</v>
      </c>
      <c r="U30" s="55" cm="1">
        <f t="array" ref="U30">MMS_Dairy_LeachingAndRunoff_Equations.VEERG_4_3_1_6__2_MassOfNitrogenLostToLeachingAndRunoffFromSolidStorage(U24,$J$14,$J$15)</f>
        <v>12.422828043688623</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336</v>
      </c>
      <c r="O46" s="104" t="s">
        <v>338</v>
      </c>
    </row>
    <row r="47" spans="3:23" ht="20.100000000000001" customHeight="1" x14ac:dyDescent="0.25">
      <c r="D47" s="103" t="s">
        <v>337</v>
      </c>
      <c r="O47" s="103" t="s">
        <v>339</v>
      </c>
    </row>
    <row r="48" spans="3:23" ht="20.100000000000001" customHeight="1" x14ac:dyDescent="0.25">
      <c r="D48" s="54" t="s">
        <v>148</v>
      </c>
      <c r="E48" s="54" t="s">
        <v>69</v>
      </c>
      <c r="F48" s="54" t="s">
        <v>173</v>
      </c>
      <c r="G48" s="54" t="s">
        <v>190</v>
      </c>
      <c r="H48" s="54" t="s">
        <v>191</v>
      </c>
      <c r="I48" s="54" t="s">
        <v>192</v>
      </c>
      <c r="J48" s="54" t="s">
        <v>193</v>
      </c>
      <c r="O48" s="54" t="s">
        <v>148</v>
      </c>
      <c r="P48" s="54" t="s">
        <v>69</v>
      </c>
      <c r="Q48" s="54" t="s">
        <v>173</v>
      </c>
      <c r="R48" s="54" t="s">
        <v>190</v>
      </c>
      <c r="S48" s="54" t="s">
        <v>191</v>
      </c>
      <c r="T48" s="54" t="s">
        <v>192</v>
      </c>
      <c r="U48" s="54" t="s">
        <v>193</v>
      </c>
    </row>
    <row r="49" spans="1:22" ht="20.100000000000001" customHeight="1" x14ac:dyDescent="0.25">
      <c r="D49" s="55" t="str">
        <f>'Input - Dairy'!$D$66</f>
        <v>Milking shed</v>
      </c>
      <c r="E49" s="55" t="s">
        <v>407</v>
      </c>
      <c r="F49" s="55" cm="1">
        <f t="array" ref="F49">MMS_Dairy_LeachingAndRunoff_Equations.VEERG_4_3_1_6__1_AnnualEmissionsFromLeachingAndRunoffFromMMS(F29,$I$43,$I$44)</f>
        <v>2.9437298996999828E-4</v>
      </c>
      <c r="G49" s="55" cm="1">
        <f t="array" ref="G49">MMS_Dairy_LeachingAndRunoff_Equations.VEERG_4_3_1_6__1_AnnualEmissionsFromLeachingAndRunoffFromMMS(G29,$I$43,$I$44)</f>
        <v>1.1032653112008158E-4</v>
      </c>
      <c r="H49" s="55" cm="1">
        <f t="array" ref="H49">MMS_Dairy_LeachingAndRunoff_Equations.VEERG_4_3_1_6__1_AnnualEmissionsFromLeachingAndRunoffFromMMS(H29,$I$43,$I$44)</f>
        <v>4.3941890594925259E-5</v>
      </c>
      <c r="I49" s="55" cm="1">
        <f t="array" ref="I49">MMS_Dairy_LeachingAndRunoff_Equations.VEERG_4_3_1_6__1_AnnualEmissionsFromLeachingAndRunoffFromMMS(I29,$I$43,$I$44)</f>
        <v>1.3868481292262039E-4</v>
      </c>
      <c r="J49" s="55" cm="1">
        <f t="array" ref="J49">MMS_Dairy_LeachingAndRunoff_Equations.VEERG_4_3_1_6__1_AnnualEmissionsFromLeachingAndRunoffFromMMS(J29,$I$43,$I$44)</f>
        <v>5.8057528532828516E-5</v>
      </c>
      <c r="K49" s="2" t="str">
        <f>$E$40</f>
        <v>t N2O</v>
      </c>
      <c r="O49" s="55" t="str">
        <f>'Input - Dairy'!$D$66</f>
        <v>Milking shed</v>
      </c>
      <c r="P49" s="55" t="s">
        <v>407</v>
      </c>
      <c r="Q49" s="55" cm="1">
        <f t="array" ref="Q49">MMS_Dairy_LeachingAndRunoff_Equations.VEERG_4_3_1_6__1_AnnualEmissionsFromLeachingAndRunoffFromMMS(Q29,$I$43,$I$44)</f>
        <v>2.9437298996999828E-4</v>
      </c>
      <c r="R49" s="55" cm="1">
        <f t="array" ref="R49">MMS_Dairy_LeachingAndRunoff_Equations.VEERG_4_3_1_6__1_AnnualEmissionsFromLeachingAndRunoffFromMMS(R29,$I$43,$I$44)</f>
        <v>1.1032653112008158E-4</v>
      </c>
      <c r="S49" s="55" cm="1">
        <f t="array" ref="S49">MMS_Dairy_LeachingAndRunoff_Equations.VEERG_4_3_1_6__1_AnnualEmissionsFromLeachingAndRunoffFromMMS(S29,$I$43,$I$44)</f>
        <v>4.3941890594925259E-5</v>
      </c>
      <c r="T49" s="55" cm="1">
        <f t="array" ref="T49">MMS_Dairy_LeachingAndRunoff_Equations.VEERG_4_3_1_6__1_AnnualEmissionsFromLeachingAndRunoffFromMMS(T29,$I$43,$I$44)</f>
        <v>1.3868481292262039E-4</v>
      </c>
      <c r="U49" s="55" cm="1">
        <f t="array" ref="U49">MMS_Dairy_LeachingAndRunoff_Equations.VEERG_4_3_1_6__1_AnnualEmissionsFromLeachingAndRunoffFromMMS(U29,$I$43,$I$44)</f>
        <v>5.8057528532828516E-5</v>
      </c>
      <c r="V49" s="2" t="str">
        <f>$E$40</f>
        <v>t N2O</v>
      </c>
    </row>
    <row r="50" spans="1:22" ht="20.100000000000001" customHeight="1" x14ac:dyDescent="0.25">
      <c r="D50" s="55" t="str">
        <f>'Input - Dairy'!$D$67</f>
        <v>Feed pad</v>
      </c>
      <c r="E50" s="55" t="s">
        <v>407</v>
      </c>
      <c r="F50" s="55" cm="1">
        <f t="array" ref="F50">MMS_Dairy_LeachingAndRunoff_Equations.VEERG_4_3_1_6__1_AnnualEmissionsFromLeachingAndRunoffFromMMS(F30,$I$43,$I$44)</f>
        <v>1.0887977603046169E-3</v>
      </c>
      <c r="G50" s="55" cm="1">
        <f t="array" ref="G50">MMS_Dairy_LeachingAndRunoff_Equations.VEERG_4_3_1_6__1_AnnualEmissionsFromLeachingAndRunoffFromMMS(G30,$I$43,$I$44)</f>
        <v>4.0806488393505479E-4</v>
      </c>
      <c r="H50" s="55" cm="1">
        <f t="array" ref="H50">MMS_Dairy_LeachingAndRunoff_Equations.VEERG_4_3_1_6__1_AnnualEmissionsFromLeachingAndRunoffFromMMS(H30,$I$43,$I$44)</f>
        <v>1.625279278108404E-4</v>
      </c>
      <c r="I50" s="55" cm="1">
        <f t="array" ref="I50">MMS_Dairy_LeachingAndRunoff_Equations.VEERG_4_3_1_6__1_AnnualEmissionsFromLeachingAndRunoffFromMMS(I30,$I$43,$I$44)</f>
        <v>5.1295369766704254E-4</v>
      </c>
      <c r="J50" s="55" cm="1">
        <f t="array" ref="J50">MMS_Dairy_LeachingAndRunoff_Equations.VEERG_4_3_1_6__1_AnnualEmissionsFromLeachingAndRunoffFromMMS(J30,$I$43,$I$44)</f>
        <v>2.1473745618376047E-4</v>
      </c>
      <c r="K50" s="2"/>
      <c r="O50" s="55" t="str">
        <f>'Input - Dairy'!$D$67</f>
        <v>Feed pad</v>
      </c>
      <c r="P50" s="55" t="s">
        <v>407</v>
      </c>
      <c r="Q50" s="55" cm="1">
        <f t="array" ref="Q50">MMS_Dairy_LeachingAndRunoff_Equations.VEERG_4_3_1_6__1_AnnualEmissionsFromLeachingAndRunoffFromMMS(Q30,$I$43,$I$44)</f>
        <v>1.0887977603046169E-3</v>
      </c>
      <c r="R50" s="55" cm="1">
        <f t="array" ref="R50">MMS_Dairy_LeachingAndRunoff_Equations.VEERG_4_3_1_6__1_AnnualEmissionsFromLeachingAndRunoffFromMMS(R30,$I$43,$I$44)</f>
        <v>4.0806488393505479E-4</v>
      </c>
      <c r="S50" s="55" cm="1">
        <f t="array" ref="S50">MMS_Dairy_LeachingAndRunoff_Equations.VEERG_4_3_1_6__1_AnnualEmissionsFromLeachingAndRunoffFromMMS(S30,$I$43,$I$44)</f>
        <v>1.625279278108404E-4</v>
      </c>
      <c r="T50" s="55" cm="1">
        <f t="array" ref="T50">MMS_Dairy_LeachingAndRunoff_Equations.VEERG_4_3_1_6__1_AnnualEmissionsFromLeachingAndRunoffFromMMS(T30,$I$43,$I$44)</f>
        <v>5.1295369766704254E-4</v>
      </c>
      <c r="U50" s="55" cm="1">
        <f t="array" ref="U50">MMS_Dairy_LeachingAndRunoff_Equations.VEERG_4_3_1_6__1_AnnualEmissionsFromLeachingAndRunoffFromMMS(U30,$I$43,$I$44)</f>
        <v>2.1473745618376047E-4</v>
      </c>
      <c r="V50" s="2"/>
    </row>
    <row r="51" spans="1:22" ht="20.100000000000001" customHeight="1" x14ac:dyDescent="0.25"/>
    <row r="52" spans="1:22" ht="20.100000000000001" customHeight="1" x14ac:dyDescent="0.25">
      <c r="D52" s="108" t="s">
        <v>326</v>
      </c>
      <c r="E52" s="109">
        <f>SUM(F49:J50)</f>
        <v>3.0324654790417692E-3</v>
      </c>
      <c r="F52" s="110" t="str">
        <f>$E$40</f>
        <v>t N2O</v>
      </c>
      <c r="O52" s="108" t="s">
        <v>326</v>
      </c>
      <c r="P52" s="109">
        <f>SUM(Q49:U50)</f>
        <v>3.0324654790417692E-3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3.0324654790417692E-3</v>
      </c>
      <c r="O54" s="60" t="str" cm="1">
        <f t="array" ref="O54:P55">Common_Equations.Common_ConvertN2OToCO2e_Arguments()</f>
        <v>EN2O</v>
      </c>
      <c r="P54" s="61" t="str">
        <v>Nitrous oxide emissions (t N2O)</v>
      </c>
      <c r="Q54" s="111"/>
      <c r="R54" s="55">
        <f>P$52</f>
        <v>3.0324654790417692E-3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0.8036033519460688</v>
      </c>
      <c r="F57" s="112" t="str" cm="1">
        <f t="array" ref="F57">Common_Equations.Common_ConvertN2OToCO2e_Unit()</f>
        <v>t CO2e</v>
      </c>
      <c r="O57" s="48" t="s">
        <v>110</v>
      </c>
      <c r="P57" s="48" cm="1">
        <f t="array" ref="P57">Common_Equations.Common_ConvertN2OToCO2e(R54,R55)</f>
        <v>0.8036033519460688</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I122" zoomScaleNormal="100" workbookViewId="0">
      <selection activeCell="P148" sqref="P14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340</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313</v>
      </c>
    </row>
    <row r="20" spans="1:9" ht="20.100000000000001" customHeight="1" x14ac:dyDescent="0.25">
      <c r="A20" s="17"/>
      <c r="D20" s="103" t="s">
        <v>314</v>
      </c>
    </row>
    <row r="21" spans="1:9" ht="20.100000000000001" customHeight="1" x14ac:dyDescent="0.25">
      <c r="A21" s="18" t="s">
        <v>4</v>
      </c>
      <c r="D21" s="54" t="s">
        <v>69</v>
      </c>
      <c r="E21" s="54" t="s">
        <v>315</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319</v>
      </c>
    </row>
    <row r="29" spans="1:9" ht="20.100000000000001" customHeight="1" x14ac:dyDescent="0.25">
      <c r="D29" s="103" t="s">
        <v>321</v>
      </c>
    </row>
    <row r="30" spans="1:9" ht="20.100000000000001" customHeight="1" x14ac:dyDescent="0.25">
      <c r="D30" s="54" t="s">
        <v>69</v>
      </c>
      <c r="E30" s="54" t="s">
        <v>320</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309</v>
      </c>
      <c r="M37"/>
      <c r="O37" s="104" t="s">
        <v>312</v>
      </c>
    </row>
    <row r="38" spans="1:22" ht="20.100000000000001" customHeight="1" x14ac:dyDescent="0.25">
      <c r="D38" s="103" t="s">
        <v>310</v>
      </c>
      <c r="M38"/>
      <c r="O38" s="103" t="s">
        <v>311</v>
      </c>
    </row>
    <row r="39" spans="1:22" ht="20.100000000000001" customHeight="1" x14ac:dyDescent="0.25">
      <c r="A39" s="141" t="str">
        <f>HYPERLINK("#A1", "▲ Back to top")</f>
        <v>▲ Back to top</v>
      </c>
      <c r="D39" s="54" t="s">
        <v>148</v>
      </c>
      <c r="E39" s="54" t="s">
        <v>69</v>
      </c>
      <c r="F39" s="54" t="s">
        <v>173</v>
      </c>
      <c r="G39" s="54" t="s">
        <v>190</v>
      </c>
      <c r="H39" s="54" t="s">
        <v>191</v>
      </c>
      <c r="I39" s="54" t="s">
        <v>192</v>
      </c>
      <c r="J39" s="54" t="s">
        <v>193</v>
      </c>
      <c r="M39"/>
      <c r="O39" s="54" t="s">
        <v>148</v>
      </c>
      <c r="P39" s="54" t="s">
        <v>69</v>
      </c>
      <c r="Q39" s="54" t="s">
        <v>173</v>
      </c>
      <c r="R39" s="54" t="s">
        <v>190</v>
      </c>
      <c r="S39" s="54" t="s">
        <v>191</v>
      </c>
      <c r="T39" s="54" t="s">
        <v>192</v>
      </c>
      <c r="U39" s="54" t="s">
        <v>193</v>
      </c>
    </row>
    <row r="40" spans="1:22" ht="20.100000000000001" customHeight="1" x14ac:dyDescent="0.25">
      <c r="D40" s="55" t="str">
        <f>'Input - Dairy'!$D$66</f>
        <v>Milking shed</v>
      </c>
      <c r="E40" s="55" t="str">
        <f>'Input - Dairy'!$D$81</f>
        <v>Anaerobic lagoon</v>
      </c>
      <c r="F40" s="55">
        <f>'4.3.1.3-4 Direct N20'!F243</f>
        <v>608.20865696280634</v>
      </c>
      <c r="G40" s="55">
        <f>'4.3.1.3-4 Direct N20'!G243</f>
        <v>227.94737834727596</v>
      </c>
      <c r="H40" s="55">
        <f>'4.3.1.3-4 Direct N20'!H243</f>
        <v>90.78903015480428</v>
      </c>
      <c r="I40" s="55">
        <f>'4.3.1.3-4 Direct N20'!I243</f>
        <v>286.53886967483555</v>
      </c>
      <c r="J40" s="55">
        <f>'4.3.1.3-4 Direct N20'!J243</f>
        <v>119.95357134881925</v>
      </c>
      <c r="K40" s="2" t="str">
        <f>$G$13</f>
        <v>kg N</v>
      </c>
      <c r="M40"/>
      <c r="O40" s="55" t="str">
        <f>'Input - Dairy'!$D$66</f>
        <v>Milking shed</v>
      </c>
      <c r="P40" s="55" t="str">
        <f>'Input - Dairy'!$D$81</f>
        <v>Anaerobic lagoon</v>
      </c>
      <c r="Q40" s="55">
        <f>'4.3.1.3-4 Direct N20'!P243</f>
        <v>608.20865696280634</v>
      </c>
      <c r="R40" s="55">
        <f>'4.3.1.3-4 Direct N20'!Q243</f>
        <v>227.94737834727596</v>
      </c>
      <c r="S40" s="55">
        <f>'4.3.1.3-4 Direct N20'!R243</f>
        <v>90.78903015480428</v>
      </c>
      <c r="T40" s="55">
        <f>'4.3.1.3-4 Direct N20'!S243</f>
        <v>286.53886967483555</v>
      </c>
      <c r="U40" s="55">
        <f>'4.3.1.3-4 Direct N20'!T243</f>
        <v>119.95357134881925</v>
      </c>
      <c r="V40" s="2" t="str">
        <f>$G$13</f>
        <v>kg N</v>
      </c>
    </row>
    <row r="41" spans="1:22" ht="20.100000000000001" customHeight="1" x14ac:dyDescent="0.25">
      <c r="D41" s="55" t="str">
        <f>'Input - Dairy'!$D$66</f>
        <v>Milking shed</v>
      </c>
      <c r="E41" s="55" t="str">
        <f>'Input - Dairy'!$D$86</f>
        <v>Sump and dispersal system</v>
      </c>
      <c r="F41" s="55">
        <f>'4.3.1.3-4 Direct N20'!F244</f>
        <v>486.56692557024513</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486.56692557024513</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486.56692557024513</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486.56692557024513</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407</v>
      </c>
      <c r="F43" s="55">
        <f>'4.3.1.3-4 Direct N20'!F246</f>
        <v>851.49211974792888</v>
      </c>
      <c r="G43" s="55">
        <f>'4.3.1.3-4 Direct N20'!G246</f>
        <v>319.12632968618635</v>
      </c>
      <c r="H43" s="55">
        <f>'4.3.1.3-4 Direct N20'!H246</f>
        <v>127.10464221672598</v>
      </c>
      <c r="I43" s="55">
        <f>'4.3.1.3-4 Direct N20'!I246</f>
        <v>401.15441754476973</v>
      </c>
      <c r="J43" s="55">
        <f>'4.3.1.3-4 Direct N20'!J246</f>
        <v>167.93499988834694</v>
      </c>
      <c r="K43" s="2"/>
      <c r="M43"/>
      <c r="O43" s="55" t="str">
        <f>'Input - Dairy'!$D$66</f>
        <v>Milking shed</v>
      </c>
      <c r="P43" s="55" t="s">
        <v>407</v>
      </c>
      <c r="Q43" s="55">
        <f>'4.3.1.3-4 Direct N20'!P246</f>
        <v>851.49211974792888</v>
      </c>
      <c r="R43" s="55">
        <f>'4.3.1.3-4 Direct N20'!Q246</f>
        <v>319.12632968618635</v>
      </c>
      <c r="S43" s="55">
        <f>'4.3.1.3-4 Direct N20'!R246</f>
        <v>127.10464221672598</v>
      </c>
      <c r="T43" s="55">
        <f>'4.3.1.3-4 Direct N20'!S246</f>
        <v>401.15441754476973</v>
      </c>
      <c r="U43" s="55">
        <f>'4.3.1.3-4 Direct N20'!T246</f>
        <v>167.93499988834694</v>
      </c>
      <c r="V43" s="2"/>
    </row>
    <row r="44" spans="1:22" ht="20.100000000000001" customHeight="1" x14ac:dyDescent="0.25">
      <c r="D44" s="55" t="str">
        <f>'Input - Dairy'!$D$67</f>
        <v>Feed pad</v>
      </c>
      <c r="E44" s="55" t="str">
        <f>'Input - Dairy'!$D$105</f>
        <v>Anaerobic lagoon</v>
      </c>
      <c r="F44" s="55">
        <f>'4.3.1.3-4 Direct N20'!F247</f>
        <v>1574.7075045727931</v>
      </c>
      <c r="G44" s="55">
        <f>'4.3.1.3-4 Direct N20'!G247</f>
        <v>590.17648503003818</v>
      </c>
      <c r="H44" s="55">
        <f>'4.3.1.3-4 Direct N20'!H247</f>
        <v>235.06105261898415</v>
      </c>
      <c r="I44" s="55">
        <f>'4.3.1.3-4 Direct N20'!I247</f>
        <v>741.87518257630143</v>
      </c>
      <c r="J44" s="55">
        <f>'4.3.1.3-4 Direct N20'!J247</f>
        <v>310.57070109221564</v>
      </c>
      <c r="K44" s="2"/>
      <c r="M44"/>
      <c r="O44" s="55" t="str">
        <f>'Input - Dairy'!$D$67</f>
        <v>Feed pad</v>
      </c>
      <c r="P44" s="55" t="str">
        <f>'Input - Dairy'!$D$105</f>
        <v>Anaerobic lagoon</v>
      </c>
      <c r="Q44" s="55">
        <f>'4.3.1.3-4 Direct N20'!P247</f>
        <v>1574.7075045727931</v>
      </c>
      <c r="R44" s="55">
        <f>'4.3.1.3-4 Direct N20'!Q247</f>
        <v>590.17648503003818</v>
      </c>
      <c r="S44" s="55">
        <f>'4.3.1.3-4 Direct N20'!R247</f>
        <v>235.06105261898415</v>
      </c>
      <c r="T44" s="55">
        <f>'4.3.1.3-4 Direct N20'!S247</f>
        <v>741.87518257630143</v>
      </c>
      <c r="U44" s="55">
        <f>'4.3.1.3-4 Direct N20'!T247</f>
        <v>310.57070109221564</v>
      </c>
      <c r="V44" s="2"/>
    </row>
    <row r="45" spans="1:22" ht="20.100000000000001" customHeight="1" x14ac:dyDescent="0.25">
      <c r="D45" s="55" t="str">
        <f>'Input - Dairy'!$D$67</f>
        <v>Feed pad</v>
      </c>
      <c r="E45" s="55" t="str">
        <f>'Input - Dairy'!$D$110</f>
        <v>Sump and dispersal system</v>
      </c>
      <c r="F45" s="55">
        <f>'4.3.1.3-4 Direct N20'!F248</f>
        <v>1574.7075045727931</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1574.7075045727931</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1574.7075045727931</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1574.7075045727931</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407</v>
      </c>
      <c r="F47" s="55">
        <f>'4.3.1.3-4 Direct N20'!F250</f>
        <v>3149.4150091455858</v>
      </c>
      <c r="G47" s="55">
        <f>'4.3.1.3-4 Direct N20'!G250</f>
        <v>1180.3529700600759</v>
      </c>
      <c r="H47" s="55">
        <f>'4.3.1.3-4 Direct N20'!H250</f>
        <v>470.12210523796824</v>
      </c>
      <c r="I47" s="55">
        <f>'4.3.1.3-4 Direct N20'!I250</f>
        <v>1483.7503651526026</v>
      </c>
      <c r="J47" s="55">
        <f>'4.3.1.3-4 Direct N20'!J250</f>
        <v>621.14140218443117</v>
      </c>
      <c r="K47" s="2"/>
      <c r="M47"/>
      <c r="O47" s="55" t="str">
        <f>'Input - Dairy'!$D$67</f>
        <v>Feed pad</v>
      </c>
      <c r="P47" s="55" t="s">
        <v>407</v>
      </c>
      <c r="Q47" s="55">
        <f>'4.3.1.3-4 Direct N20'!P250</f>
        <v>3149.4150091455858</v>
      </c>
      <c r="R47" s="55">
        <f>'4.3.1.3-4 Direct N20'!Q250</f>
        <v>1180.3529700600759</v>
      </c>
      <c r="S47" s="55">
        <f>'4.3.1.3-4 Direct N20'!R250</f>
        <v>470.12210523796824</v>
      </c>
      <c r="T47" s="55">
        <f>'4.3.1.3-4 Direct N20'!S250</f>
        <v>1483.7503651526026</v>
      </c>
      <c r="U47" s="55">
        <f>'4.3.1.3-4 Direct N20'!T250</f>
        <v>621.14140218443117</v>
      </c>
      <c r="V47" s="2"/>
    </row>
    <row r="48" spans="1:22" ht="20.100000000000001" customHeight="1" x14ac:dyDescent="0.25"/>
    <row r="49" spans="4:22" ht="20.100000000000001" customHeight="1" x14ac:dyDescent="0.25">
      <c r="D49" s="104" t="s">
        <v>399</v>
      </c>
      <c r="O49" s="104" t="s">
        <v>397</v>
      </c>
    </row>
    <row r="50" spans="4:22" ht="20.100000000000001" customHeight="1" x14ac:dyDescent="0.25">
      <c r="D50" s="103" t="s">
        <v>400</v>
      </c>
      <c r="O50" s="103" t="s">
        <v>398</v>
      </c>
    </row>
    <row r="51" spans="4:22" ht="20.100000000000001" customHeight="1" x14ac:dyDescent="0.25">
      <c r="D51" s="54" t="s">
        <v>148</v>
      </c>
      <c r="E51" s="54" t="s">
        <v>69</v>
      </c>
      <c r="F51" s="54" t="s">
        <v>173</v>
      </c>
      <c r="G51" s="54" t="s">
        <v>190</v>
      </c>
      <c r="H51" s="54" t="s">
        <v>191</v>
      </c>
      <c r="I51" s="54" t="s">
        <v>192</v>
      </c>
      <c r="J51" s="54" t="s">
        <v>193</v>
      </c>
      <c r="O51" s="54" t="s">
        <v>148</v>
      </c>
      <c r="P51" s="54" t="s">
        <v>69</v>
      </c>
      <c r="Q51" s="54" t="s">
        <v>173</v>
      </c>
      <c r="R51" s="54" t="s">
        <v>190</v>
      </c>
      <c r="S51" s="54" t="s">
        <v>191</v>
      </c>
      <c r="T51" s="54" t="s">
        <v>192</v>
      </c>
      <c r="U51" s="54" t="s">
        <v>193</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407</v>
      </c>
      <c r="F55" s="55">
        <f>'4.3.1.6-7 Leaching and runoff'!F29</f>
        <v>17.029842394958578</v>
      </c>
      <c r="G55" s="55">
        <f>'4.3.1.6-7 Leaching and runoff'!G29</f>
        <v>6.3825265937237274</v>
      </c>
      <c r="H55" s="55">
        <f>'4.3.1.6-7 Leaching and runoff'!H29</f>
        <v>2.5420928443345194</v>
      </c>
      <c r="I55" s="55">
        <f>'4.3.1.6-7 Leaching and runoff'!I29</f>
        <v>8.0230883508953941</v>
      </c>
      <c r="J55" s="55">
        <f>'4.3.1.6-7 Leaching and runoff'!J29</f>
        <v>3.3586999977669389</v>
      </c>
      <c r="K55" s="2"/>
      <c r="O55" s="55" t="str">
        <f>'Input - Dairy'!$D$66</f>
        <v>Milking shed</v>
      </c>
      <c r="P55" s="55" t="s">
        <v>407</v>
      </c>
      <c r="Q55" s="55">
        <f>'4.3.1.6-7 Leaching and runoff'!Q29</f>
        <v>17.029842394958578</v>
      </c>
      <c r="R55" s="55">
        <f>'4.3.1.6-7 Leaching and runoff'!R29</f>
        <v>6.3825265937237274</v>
      </c>
      <c r="S55" s="55">
        <f>'4.3.1.6-7 Leaching and runoff'!S29</f>
        <v>2.5420928443345194</v>
      </c>
      <c r="T55" s="55">
        <f>'4.3.1.6-7 Leaching and runoff'!T29</f>
        <v>8.0230883508953941</v>
      </c>
      <c r="U55" s="55">
        <f>'4.3.1.6-7 Leaching and runoff'!U29</f>
        <v>3.3586999977669389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407</v>
      </c>
      <c r="F59" s="55">
        <f>'4.3.1.6-7 Leaching and runoff'!F30</f>
        <v>62.988300182911715</v>
      </c>
      <c r="G59" s="55">
        <f>'4.3.1.6-7 Leaching and runoff'!G30</f>
        <v>23.607059401201518</v>
      </c>
      <c r="H59" s="55">
        <f>'4.3.1.6-7 Leaching and runoff'!H30</f>
        <v>9.4024421047593645</v>
      </c>
      <c r="I59" s="55">
        <f>'4.3.1.6-7 Leaching and runoff'!I30</f>
        <v>29.675007303052052</v>
      </c>
      <c r="J59" s="55">
        <f>'4.3.1.6-7 Leaching and runoff'!J30</f>
        <v>12.422828043688623</v>
      </c>
      <c r="K59" s="2"/>
      <c r="O59" s="55" t="str">
        <f>'Input - Dairy'!$D$67</f>
        <v>Feed pad</v>
      </c>
      <c r="P59" s="55" t="s">
        <v>407</v>
      </c>
      <c r="Q59" s="55">
        <f>'4.3.1.6-7 Leaching and runoff'!Q30</f>
        <v>62.988300182911715</v>
      </c>
      <c r="R59" s="55">
        <f>'4.3.1.6-7 Leaching and runoff'!R30</f>
        <v>23.607059401201518</v>
      </c>
      <c r="S59" s="55">
        <f>'4.3.1.6-7 Leaching and runoff'!S30</f>
        <v>9.4024421047593645</v>
      </c>
      <c r="T59" s="55">
        <f>'4.3.1.6-7 Leaching and runoff'!T30</f>
        <v>29.675007303052052</v>
      </c>
      <c r="U59" s="55">
        <f>'4.3.1.6-7 Leaching and runoff'!U30</f>
        <v>12.422828043688623</v>
      </c>
      <c r="V59" s="2"/>
    </row>
    <row r="60" spans="4:22" ht="20.100000000000001" customHeight="1" x14ac:dyDescent="0.25"/>
    <row r="61" spans="4:22" ht="20.100000000000001" customHeight="1" x14ac:dyDescent="0.25">
      <c r="D61" s="104" t="s">
        <v>341</v>
      </c>
    </row>
    <row r="62" spans="4:22" ht="20.100000000000001" customHeight="1" x14ac:dyDescent="0.25">
      <c r="D62" s="103" t="s">
        <v>342</v>
      </c>
    </row>
    <row r="63" spans="4:22" ht="20.100000000000001" customHeight="1" x14ac:dyDescent="0.25">
      <c r="D63" s="41" t="s">
        <v>148</v>
      </c>
      <c r="E63" s="41" t="s">
        <v>69</v>
      </c>
      <c r="F63" s="41" t="s">
        <v>433</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343</v>
      </c>
      <c r="O73" s="104" t="s">
        <v>347</v>
      </c>
    </row>
    <row r="74" spans="4:22" ht="20.100000000000001" customHeight="1" x14ac:dyDescent="0.25">
      <c r="D74" s="103" t="s">
        <v>346</v>
      </c>
      <c r="O74" s="103" t="s">
        <v>348</v>
      </c>
    </row>
    <row r="75" spans="4:22" ht="20.100000000000001" customHeight="1" x14ac:dyDescent="0.25">
      <c r="D75" s="54" t="s">
        <v>148</v>
      </c>
      <c r="E75" s="54" t="s">
        <v>69</v>
      </c>
      <c r="F75" s="54" t="s">
        <v>173</v>
      </c>
      <c r="G75" s="54" t="s">
        <v>190</v>
      </c>
      <c r="H75" s="54" t="s">
        <v>191</v>
      </c>
      <c r="I75" s="54" t="s">
        <v>192</v>
      </c>
      <c r="J75" s="54" t="s">
        <v>193</v>
      </c>
      <c r="O75" s="54" t="s">
        <v>148</v>
      </c>
      <c r="P75" s="54" t="s">
        <v>69</v>
      </c>
      <c r="Q75" s="54" t="s">
        <v>173</v>
      </c>
      <c r="R75" s="54" t="s">
        <v>190</v>
      </c>
      <c r="S75" s="54" t="s">
        <v>191</v>
      </c>
      <c r="T75" s="54" t="s">
        <v>192</v>
      </c>
      <c r="U75" s="54" t="s">
        <v>193</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296.50172026936809</v>
      </c>
      <c r="G76" s="55" cm="1">
        <f t="array" ref="G76">MMS_Dairy_ManureAppliedToSoils_Equations.VEERG_4_3_1_8__1_MassOfNitrogenAppliedToSoilsScope1(G40,_xlfn.XLOOKUP($E76,$D$22:$D$26,$E$22:$E$26),_xlfn.XLOOKUP($E76, $D$31:$D$35,$E$31:$E$35),G52,$F64)</f>
        <v>111.12434694429703</v>
      </c>
      <c r="H76" s="55" cm="1">
        <f t="array" ref="H76">MMS_Dairy_ManureAppliedToSoils_Equations.VEERG_4_3_1_8__1_MassOfNitrogenAppliedToSoilsScope1(H40,_xlfn.XLOOKUP($E76,$D$22:$D$26,$E$22:$E$26),_xlfn.XLOOKUP($E76, $D$31:$D$35,$E$31:$E$35),H52,$F64)</f>
        <v>44.259652200467087</v>
      </c>
      <c r="I76" s="55" cm="1">
        <f t="array" ref="I76">MMS_Dairy_ManureAppliedToSoils_Equations.VEERG_4_3_1_8__1_MassOfNitrogenAppliedToSoilsScope1(I40,_xlfn.XLOOKUP($E76,$D$22:$D$26,$E$22:$E$26),_xlfn.XLOOKUP($E76, $D$31:$D$35,$E$31:$E$35),I52,$F64)</f>
        <v>139.68769896648234</v>
      </c>
      <c r="J76" s="55" cm="1">
        <f t="array" ref="J76">MMS_Dairy_ManureAppliedToSoils_Equations.VEERG_4_3_1_8__1_MassOfNitrogenAppliedToSoilsScope1(J40,_xlfn.XLOOKUP($E76,$D$22:$D$26,$E$22:$E$26),_xlfn.XLOOKUP($E76, $D$31:$D$35,$E$31:$E$35),J52,$F64)</f>
        <v>58.477366032549384</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296.50172026936809</v>
      </c>
      <c r="R76" s="55" cm="1">
        <f t="array" ref="R76">MMS_Dairy_ManureAppliedToSoils_Equations.VEERG_4_3_1_8__1_MassOfNitrogenAppliedToSoilsScope1(R40,_xlfn.XLOOKUP($P76,$D$22:$D$26,$E$22:$E$26),_xlfn.XLOOKUP($P76, $D$31:$D$35,$E$31:$E$35),R52,$F64)</f>
        <v>111.12434694429703</v>
      </c>
      <c r="S76" s="55" cm="1">
        <f t="array" ref="S76">MMS_Dairy_ManureAppliedToSoils_Equations.VEERG_4_3_1_8__1_MassOfNitrogenAppliedToSoilsScope1(S40,_xlfn.XLOOKUP($P76,$D$22:$D$26,$E$22:$E$26),_xlfn.XLOOKUP($P76, $D$31:$D$35,$E$31:$E$35),S52,$F64)</f>
        <v>44.259652200467087</v>
      </c>
      <c r="T76" s="55" cm="1">
        <f t="array" ref="T76">MMS_Dairy_ManureAppliedToSoils_Equations.VEERG_4_3_1_8__1_MassOfNitrogenAppliedToSoilsScope1(T40,_xlfn.XLOOKUP($P76,$D$22:$D$26,$E$22:$E$26),_xlfn.XLOOKUP($P76, $D$31:$D$35,$E$31:$E$35),T52,$F64)</f>
        <v>139.68769896648234</v>
      </c>
      <c r="U76" s="55" cm="1">
        <f t="array" ref="U76">MMS_Dairy_ManureAppliedToSoils_Equations.VEERG_4_3_1_8__1_MassOfNitrogenAppliedToSoilsScope1(U40,_xlfn.XLOOKUP($P76,$D$22:$D$26,$E$22:$E$26),_xlfn.XLOOKUP($P76, $D$31:$D$35,$E$31:$E$35),U52,$F64)</f>
        <v>58.477366032549384</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339.38043058524596</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339.38043058524596</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291.94015534214708</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291.94015534214708</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407</v>
      </c>
      <c r="F79" s="55" cm="1">
        <f t="array" ref="F79">MMS_Dairy_ManureAppliedToSoils_Equations.VEERG_4_3_1_8__1_MassOfNitrogenAppliedToSoilsScope1(F43,_xlfn.XLOOKUP($E79,$D$22:$D$26,$E$22:$E$26),_xlfn.XLOOKUP($E79, $D$31:$D$35,$E$31:$E$35),F55,$F67)</f>
        <v>431.06788562238899</v>
      </c>
      <c r="G79" s="55" cm="1">
        <f t="array" ref="G79">MMS_Dairy_ManureAppliedToSoils_Equations.VEERG_4_3_1_8__1_MassOfNitrogenAppliedToSoilsScope1(G43,_xlfn.XLOOKUP($E79,$D$22:$D$26,$E$22:$E$26),_xlfn.XLOOKUP($E79, $D$31:$D$35,$E$31:$E$35),G55,$F67)</f>
        <v>161.55770440363185</v>
      </c>
      <c r="H79" s="55" cm="1">
        <f t="array" ref="H79">MMS_Dairy_ManureAppliedToSoils_Equations.VEERG_4_3_1_8__1_MassOfNitrogenAppliedToSoilsScope1(H43,_xlfn.XLOOKUP($E79,$D$22:$D$26,$E$22:$E$26),_xlfn.XLOOKUP($E79, $D$31:$D$35,$E$31:$E$35),H55,$F67)</f>
        <v>64.346725122217521</v>
      </c>
      <c r="I79" s="55" cm="1">
        <f t="array" ref="I79">MMS_Dairy_ManureAppliedToSoils_Equations.VEERG_4_3_1_8__1_MassOfNitrogenAppliedToSoilsScope1(I43,_xlfn.XLOOKUP($E79,$D$22:$D$26,$E$22:$E$26),_xlfn.XLOOKUP($E79, $D$31:$D$35,$E$31:$E$35),I55,$F67)</f>
        <v>203.08442388203969</v>
      </c>
      <c r="J79" s="55" cm="1">
        <f t="array" ref="J79">MMS_Dairy_ManureAppliedToSoils_Equations.VEERG_4_3_1_8__1_MassOfNitrogenAppliedToSoilsScope1(J43,_xlfn.XLOOKUP($E79,$D$22:$D$26,$E$22:$E$26),_xlfn.XLOOKUP($E79, $D$31:$D$35,$E$31:$E$35),J55,$F67)</f>
        <v>85.017093693475658</v>
      </c>
      <c r="K79" s="2"/>
      <c r="O79" s="55" t="str">
        <f>'Input - Dairy'!$D$66</f>
        <v>Milking shed</v>
      </c>
      <c r="P79" s="55" t="s">
        <v>407</v>
      </c>
      <c r="Q79" s="55" cm="1">
        <f t="array" ref="Q79">MMS_Dairy_ManureAppliedToSoils_Equations.VEERG_4_3_1_8__1_MassOfNitrogenAppliedToSoilsScope1(Q43,_xlfn.XLOOKUP($P79,$D$22:$D$26,$E$22:$E$26),_xlfn.XLOOKUP($P79, $D$31:$D$35,$E$31:$E$35),Q55,$F67)</f>
        <v>431.06788562238899</v>
      </c>
      <c r="R79" s="55" cm="1">
        <f t="array" ref="R79">MMS_Dairy_ManureAppliedToSoils_Equations.VEERG_4_3_1_8__1_MassOfNitrogenAppliedToSoilsScope1(R43,_xlfn.XLOOKUP($P79,$D$22:$D$26,$E$22:$E$26),_xlfn.XLOOKUP($P79, $D$31:$D$35,$E$31:$E$35),R55,$F67)</f>
        <v>161.55770440363185</v>
      </c>
      <c r="S79" s="55" cm="1">
        <f t="array" ref="S79">MMS_Dairy_ManureAppliedToSoils_Equations.VEERG_4_3_1_8__1_MassOfNitrogenAppliedToSoilsScope1(S43,_xlfn.XLOOKUP($P79,$D$22:$D$26,$E$22:$E$26),_xlfn.XLOOKUP($P79, $D$31:$D$35,$E$31:$E$35),S55,$F67)</f>
        <v>64.346725122217521</v>
      </c>
      <c r="T79" s="55" cm="1">
        <f t="array" ref="T79">MMS_Dairy_ManureAppliedToSoils_Equations.VEERG_4_3_1_8__1_MassOfNitrogenAppliedToSoilsScope1(T43,_xlfn.XLOOKUP($P79,$D$22:$D$26,$E$22:$E$26),_xlfn.XLOOKUP($P79, $D$31:$D$35,$E$31:$E$35),T55,$F67)</f>
        <v>203.08442388203969</v>
      </c>
      <c r="U79" s="55" cm="1">
        <f t="array" ref="U79">MMS_Dairy_ManureAppliedToSoils_Equations.VEERG_4_3_1_8__1_MassOfNitrogenAppliedToSoilsScope1(U43,_xlfn.XLOOKUP($P79,$D$22:$D$26,$E$22:$E$26),_xlfn.XLOOKUP($P79, $D$31:$D$35,$E$31:$E$35),U55,$F67)</f>
        <v>85.017093693475658</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767.66990847923671</v>
      </c>
      <c r="G80" s="55" cm="1">
        <f t="array" ref="G80">MMS_Dairy_ManureAppliedToSoils_Equations.VEERG_4_3_1_8__1_MassOfNitrogenAppliedToSoilsScope1(G44,_xlfn.XLOOKUP($E80,$D$22:$D$26,$E$22:$E$26),_xlfn.XLOOKUP($E80, $D$31:$D$35,$E$31:$E$35),G56,$F68)</f>
        <v>287.71103645214362</v>
      </c>
      <c r="H80" s="55" cm="1">
        <f t="array" ref="H80">MMS_Dairy_ManureAppliedToSoils_Equations.VEERG_4_3_1_8__1_MassOfNitrogenAppliedToSoilsScope1(H44,_xlfn.XLOOKUP($E80,$D$22:$D$26,$E$22:$E$26),_xlfn.XLOOKUP($E80, $D$31:$D$35,$E$31:$E$35),H56,$F68)</f>
        <v>114.59226315175479</v>
      </c>
      <c r="I80" s="55" cm="1">
        <f t="array" ref="I80">MMS_Dairy_ManureAppliedToSoils_Equations.VEERG_4_3_1_8__1_MassOfNitrogenAppliedToSoilsScope1(I44,_xlfn.XLOOKUP($E80,$D$22:$D$26,$E$22:$E$26),_xlfn.XLOOKUP($E80, $D$31:$D$35,$E$31:$E$35),I56,$F68)</f>
        <v>361.66415150594696</v>
      </c>
      <c r="J80" s="55" cm="1">
        <f t="array" ref="J80">MMS_Dairy_ManureAppliedToSoils_Equations.VEERG_4_3_1_8__1_MassOfNitrogenAppliedToSoilsScope1(J44,_xlfn.XLOOKUP($E80,$D$22:$D$26,$E$22:$E$26),_xlfn.XLOOKUP($E80, $D$31:$D$35,$E$31:$E$35),J56,$F68)</f>
        <v>151.40321678245513</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767.66990847923671</v>
      </c>
      <c r="R80" s="55" cm="1">
        <f t="array" ref="R80">MMS_Dairy_ManureAppliedToSoils_Equations.VEERG_4_3_1_8__1_MassOfNitrogenAppliedToSoilsScope1(R44,_xlfn.XLOOKUP($P80,$D$22:$D$26,$E$22:$E$26),_xlfn.XLOOKUP($P80, $D$31:$D$35,$E$31:$E$35),R56,$F68)</f>
        <v>287.71103645214362</v>
      </c>
      <c r="S80" s="55" cm="1">
        <f t="array" ref="S80">MMS_Dairy_ManureAppliedToSoils_Equations.VEERG_4_3_1_8__1_MassOfNitrogenAppliedToSoilsScope1(S44,_xlfn.XLOOKUP($P80,$D$22:$D$26,$E$22:$E$26),_xlfn.XLOOKUP($P80, $D$31:$D$35,$E$31:$E$35),S56,$F68)</f>
        <v>114.59226315175479</v>
      </c>
      <c r="T80" s="55" cm="1">
        <f t="array" ref="T80">MMS_Dairy_ManureAppliedToSoils_Equations.VEERG_4_3_1_8__1_MassOfNitrogenAppliedToSoilsScope1(T44,_xlfn.XLOOKUP($P80,$D$22:$D$26,$E$22:$E$26),_xlfn.XLOOKUP($P80, $D$31:$D$35,$E$31:$E$35),T56,$F68)</f>
        <v>361.66415150594696</v>
      </c>
      <c r="U80" s="55" cm="1">
        <f t="array" ref="U80">MMS_Dairy_ManureAppliedToSoils_Equations.VEERG_4_3_1_8__1_MassOfNitrogenAppliedToSoilsScope1(U44,_xlfn.XLOOKUP($P80,$D$22:$D$26,$E$22:$E$26),_xlfn.XLOOKUP($P80, $D$31:$D$35,$E$31:$E$35),U56,$F68)</f>
        <v>151.40321678245513</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1098.3584844395232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1098.3584844395232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944.82450274367602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944.82450274367602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407</v>
      </c>
      <c r="F83" s="55" cm="1">
        <f t="array" ref="F83">MMS_Dairy_ManureAppliedToSoils_Equations.VEERG_4_3_1_8__1_MassOfNitrogenAppliedToSoilsScope1(F47,_xlfn.XLOOKUP($E83,$D$22:$D$26,$E$22:$E$26),_xlfn.XLOOKUP($E83, $D$31:$D$35,$E$31:$E$35),F59,$F71)</f>
        <v>1594.3913483799531</v>
      </c>
      <c r="G83" s="55" cm="1">
        <f t="array" ref="G83">MMS_Dairy_ManureAppliedToSoils_Equations.VEERG_4_3_1_8__1_MassOfNitrogenAppliedToSoilsScope1(G47,_xlfn.XLOOKUP($E83,$D$22:$D$26,$E$22:$E$26),_xlfn.XLOOKUP($E83, $D$31:$D$35,$E$31:$E$35),G59,$F71)</f>
        <v>597.55369109291348</v>
      </c>
      <c r="H83" s="55" cm="1">
        <f t="array" ref="H83">MMS_Dairy_ManureAppliedToSoils_Equations.VEERG_4_3_1_8__1_MassOfNitrogenAppliedToSoilsScope1(H47,_xlfn.XLOOKUP($E83,$D$22:$D$26,$E$22:$E$26),_xlfn.XLOOKUP($E83, $D$31:$D$35,$E$31:$E$35),H59,$F71)</f>
        <v>237.99931577672146</v>
      </c>
      <c r="I83" s="55" cm="1">
        <f t="array" ref="I83">MMS_Dairy_ManureAppliedToSoils_Equations.VEERG_4_3_1_8__1_MassOfNitrogenAppliedToSoilsScope1(I47,_xlfn.XLOOKUP($E83,$D$22:$D$26,$E$22:$E$26),_xlfn.XLOOKUP($E83, $D$31:$D$35,$E$31:$E$35),I59,$F71)</f>
        <v>751.14862235850512</v>
      </c>
      <c r="J83" s="55" cm="1">
        <f t="array" ref="J83">MMS_Dairy_ManureAppliedToSoils_Equations.VEERG_4_3_1_8__1_MassOfNitrogenAppliedToSoilsScope1(J47,_xlfn.XLOOKUP($E83,$D$22:$D$26,$E$22:$E$26),_xlfn.XLOOKUP($E83, $D$31:$D$35,$E$31:$E$35),J59,$F71)</f>
        <v>314.45283485586828</v>
      </c>
      <c r="K83" s="2"/>
      <c r="O83" s="55" t="str">
        <f>'Input - Dairy'!$D$67</f>
        <v>Feed pad</v>
      </c>
      <c r="P83" s="55" t="s">
        <v>407</v>
      </c>
      <c r="Q83" s="55" cm="1">
        <f t="array" ref="Q83">MMS_Dairy_ManureAppliedToSoils_Equations.VEERG_4_3_1_8__1_MassOfNitrogenAppliedToSoilsScope1(Q47,_xlfn.XLOOKUP($P83,$D$22:$D$26,$E$22:$E$26),_xlfn.XLOOKUP($P83, $D$31:$D$35,$E$31:$E$35),Q59,$F71)</f>
        <v>1594.3913483799531</v>
      </c>
      <c r="R83" s="55" cm="1">
        <f t="array" ref="R83">MMS_Dairy_ManureAppliedToSoils_Equations.VEERG_4_3_1_8__1_MassOfNitrogenAppliedToSoilsScope1(R47,_xlfn.XLOOKUP($P83,$D$22:$D$26,$E$22:$E$26),_xlfn.XLOOKUP($P83, $D$31:$D$35,$E$31:$E$35),R59,$F71)</f>
        <v>597.55369109291348</v>
      </c>
      <c r="S83" s="55" cm="1">
        <f t="array" ref="S83">MMS_Dairy_ManureAppliedToSoils_Equations.VEERG_4_3_1_8__1_MassOfNitrogenAppliedToSoilsScope1(S47,_xlfn.XLOOKUP($P83,$D$22:$D$26,$E$22:$E$26),_xlfn.XLOOKUP($P83, $D$31:$D$35,$E$31:$E$35),S59,$F71)</f>
        <v>237.99931577672146</v>
      </c>
      <c r="T83" s="55" cm="1">
        <f t="array" ref="T83">MMS_Dairy_ManureAppliedToSoils_Equations.VEERG_4_3_1_8__1_MassOfNitrogenAppliedToSoilsScope1(T47,_xlfn.XLOOKUP($P83,$D$22:$D$26,$E$22:$E$26),_xlfn.XLOOKUP($P83, $D$31:$D$35,$E$31:$E$35),T59,$F71)</f>
        <v>751.14862235850512</v>
      </c>
      <c r="U83" s="55" cm="1">
        <f t="array" ref="U83">MMS_Dairy_ManureAppliedToSoils_Equations.VEERG_4_3_1_8__1_MassOfNitrogenAppliedToSoilsScope1(U47,_xlfn.XLOOKUP($P83,$D$22:$D$26,$E$22:$E$26),_xlfn.XLOOKUP($P83, $D$31:$D$35,$E$31:$E$35),U59,$F71)</f>
        <v>314.45283485586828</v>
      </c>
      <c r="V83" s="2"/>
    </row>
    <row r="84" spans="1:23" ht="20.100000000000001" customHeight="1" x14ac:dyDescent="0.25"/>
    <row r="85" spans="1:23" ht="20.100000000000001" customHeight="1" x14ac:dyDescent="0.25">
      <c r="D85" s="108" t="s">
        <v>133</v>
      </c>
      <c r="E85" s="109">
        <f>SUM(F76:J83)</f>
        <v>12637.296364050231</v>
      </c>
      <c r="F85" s="110" t="str">
        <f>$E$11</f>
        <v>kg N</v>
      </c>
      <c r="O85" s="108" t="s">
        <v>133</v>
      </c>
      <c r="P85" s="109">
        <f>SUM(Q76:U83)</f>
        <v>12637.296364050231</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344</v>
      </c>
      <c r="O103" s="104" t="s">
        <v>350</v>
      </c>
    </row>
    <row r="104" spans="4:22" ht="20.100000000000001" customHeight="1" x14ac:dyDescent="0.25">
      <c r="D104" s="103" t="s">
        <v>345</v>
      </c>
      <c r="O104" s="103" t="s">
        <v>351</v>
      </c>
    </row>
    <row r="105" spans="4:22" ht="20.100000000000001" customHeight="1" x14ac:dyDescent="0.25">
      <c r="D105" s="54" t="s">
        <v>148</v>
      </c>
      <c r="E105" s="54" t="s">
        <v>69</v>
      </c>
      <c r="F105" s="54" t="s">
        <v>173</v>
      </c>
      <c r="G105" s="54" t="s">
        <v>190</v>
      </c>
      <c r="H105" s="54" t="s">
        <v>191</v>
      </c>
      <c r="I105" s="54" t="s">
        <v>192</v>
      </c>
      <c r="J105" s="54" t="s">
        <v>193</v>
      </c>
      <c r="O105" s="54" t="s">
        <v>148</v>
      </c>
      <c r="P105" s="54" t="s">
        <v>69</v>
      </c>
      <c r="Q105" s="54" t="s">
        <v>173</v>
      </c>
      <c r="R105" s="54" t="s">
        <v>190</v>
      </c>
      <c r="S105" s="54" t="s">
        <v>191</v>
      </c>
      <c r="T105" s="54" t="s">
        <v>192</v>
      </c>
      <c r="U105" s="54" t="s">
        <v>193</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98.833906756456031</v>
      </c>
      <c r="G106" s="55" cm="1">
        <f t="array" ref="G106">MMS_Dairy_ManureAppliedToSoils_Equations.VEERG_4_3_1_8__2_MassOfNitrogenAppliedToSoilsScope3(G40, _xlfn.XLOOKUP($E106, $D$22:$D$26,$E$22:$E$26), _xlfn.XLOOKUP($E106,$D$31:$D$35,$E$31:$E$35),G52, $F64)</f>
        <v>37.041448981432346</v>
      </c>
      <c r="H106" s="55" cm="1">
        <f t="array" ref="H106">MMS_Dairy_ManureAppliedToSoils_Equations.VEERG_4_3_1_8__2_MassOfNitrogenAppliedToSoilsScope3(H40, _xlfn.XLOOKUP($E106, $D$22:$D$26,$E$22:$E$26), _xlfn.XLOOKUP($E106,$D$31:$D$35,$E$31:$E$35),H52, $F64)</f>
        <v>14.753217400155696</v>
      </c>
      <c r="I106" s="55" cm="1">
        <f t="array" ref="I106">MMS_Dairy_ManureAppliedToSoils_Equations.VEERG_4_3_1_8__2_MassOfNitrogenAppliedToSoilsScope3(I40, _xlfn.XLOOKUP($E106, $D$22:$D$26,$E$22:$E$26), _xlfn.XLOOKUP($E106,$D$31:$D$35,$E$31:$E$35),I52, $F64)</f>
        <v>46.562566322160777</v>
      </c>
      <c r="J106" s="55" cm="1">
        <f t="array" ref="J106">MMS_Dairy_ManureAppliedToSoils_Equations.VEERG_4_3_1_8__2_MassOfNitrogenAppliedToSoilsScope3(J40, _xlfn.XLOOKUP($E106, $D$22:$D$26,$E$22:$E$26), _xlfn.XLOOKUP($E106,$D$31:$D$35,$E$31:$E$35),J52, $F64)</f>
        <v>19.492455344183128</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98.833906756456031</v>
      </c>
      <c r="R106" s="55" cm="1">
        <f t="array" ref="R106">MMS_Dairy_ManureAppliedToSoils_Equations.VEERG_4_3_1_8__2_MassOfNitrogenAppliedToSoilsScope3(R40, _xlfn.XLOOKUP($P106, $D$22:$D$26,$E$22:$E$26), _xlfn.XLOOKUP($P106,$D$31:$D$35,$E$31:$E$35),R52, $F64)</f>
        <v>37.041448981432346</v>
      </c>
      <c r="S106" s="55" cm="1">
        <f t="array" ref="S106">MMS_Dairy_ManureAppliedToSoils_Equations.VEERG_4_3_1_8__2_MassOfNitrogenAppliedToSoilsScope3(S40, _xlfn.XLOOKUP($P106, $D$22:$D$26,$E$22:$E$26), _xlfn.XLOOKUP($P106,$D$31:$D$35,$E$31:$E$35),S52, $F64)</f>
        <v>14.753217400155696</v>
      </c>
      <c r="T106" s="55" cm="1">
        <f t="array" ref="T106">MMS_Dairy_ManureAppliedToSoils_Equations.VEERG_4_3_1_8__2_MassOfNitrogenAppliedToSoilsScope3(T40, _xlfn.XLOOKUP($P106, $D$22:$D$26,$E$22:$E$26), _xlfn.XLOOKUP($P106,$D$31:$D$35,$E$31:$E$35),T52, $F64)</f>
        <v>46.562566322160777</v>
      </c>
      <c r="U106" s="55" cm="1">
        <f t="array" ref="U106">MMS_Dairy_ManureAppliedToSoils_Equations.VEERG_4_3_1_8__2_MassOfNitrogenAppliedToSoilsScope3(U40, _xlfn.XLOOKUP($P106, $D$22:$D$26,$E$22:$E$26), _xlfn.XLOOKUP($P106,$D$31:$D$35,$E$31:$E$35),U52, $F64)</f>
        <v>19.492455344183128</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113.12681019508199</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113.12681019508199</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97.313385114049026</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97.313385114049026</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407</v>
      </c>
      <c r="F109" s="55" cm="1">
        <f t="array" ref="F109">MMS_Dairy_ManureAppliedToSoils_Equations.VEERG_4_3_1_8__2_MassOfNitrogenAppliedToSoilsScope3(F43, _xlfn.XLOOKUP($E109, $D$22:$D$26,$E$22:$E$26), _xlfn.XLOOKUP($E109,$D$31:$D$35,$E$31:$E$35),F55, $F67)</f>
        <v>143.689295207463</v>
      </c>
      <c r="G109" s="55" cm="1">
        <f t="array" ref="G109">MMS_Dairy_ManureAppliedToSoils_Equations.VEERG_4_3_1_8__2_MassOfNitrogenAppliedToSoilsScope3(G43, _xlfn.XLOOKUP($E109, $D$22:$D$26,$E$22:$E$26), _xlfn.XLOOKUP($E109,$D$31:$D$35,$E$31:$E$35),G55, $F67)</f>
        <v>53.852568134543951</v>
      </c>
      <c r="H109" s="55" cm="1">
        <f t="array" ref="H109">MMS_Dairy_ManureAppliedToSoils_Equations.VEERG_4_3_1_8__2_MassOfNitrogenAppliedToSoilsScope3(H43, _xlfn.XLOOKUP($E109, $D$22:$D$26,$E$22:$E$26), _xlfn.XLOOKUP($E109,$D$31:$D$35,$E$31:$E$35),H55, $F67)</f>
        <v>21.448908374072509</v>
      </c>
      <c r="I109" s="55" cm="1">
        <f t="array" ref="I109">MMS_Dairy_ManureAppliedToSoils_Equations.VEERG_4_3_1_8__2_MassOfNitrogenAppliedToSoilsScope3(I43, _xlfn.XLOOKUP($E109, $D$22:$D$26,$E$22:$E$26), _xlfn.XLOOKUP($E109,$D$31:$D$35,$E$31:$E$35),I55, $F67)</f>
        <v>67.694807960679896</v>
      </c>
      <c r="J109" s="55" cm="1">
        <f t="array" ref="J109">MMS_Dairy_ManureAppliedToSoils_Equations.VEERG_4_3_1_8__2_MassOfNitrogenAppliedToSoilsScope3(J43, _xlfn.XLOOKUP($E109, $D$22:$D$26,$E$22:$E$26), _xlfn.XLOOKUP($E109,$D$31:$D$35,$E$31:$E$35),J55, $F67)</f>
        <v>28.33903123115855</v>
      </c>
      <c r="K109" s="2"/>
      <c r="O109" s="55" t="str">
        <f>'Input - Dairy'!$D$66</f>
        <v>Milking shed</v>
      </c>
      <c r="P109" s="55" t="s">
        <v>407</v>
      </c>
      <c r="Q109" s="55" cm="1">
        <f t="array" ref="Q109">MMS_Dairy_ManureAppliedToSoils_Equations.VEERG_4_3_1_8__2_MassOfNitrogenAppliedToSoilsScope3(Q43, _xlfn.XLOOKUP($P109, $D$22:$D$26,$E$22:$E$26), _xlfn.XLOOKUP($P109,$D$31:$D$35,$E$31:$E$35),Q55, $F67)</f>
        <v>143.689295207463</v>
      </c>
      <c r="R109" s="55" cm="1">
        <f t="array" ref="R109">MMS_Dairy_ManureAppliedToSoils_Equations.VEERG_4_3_1_8__2_MassOfNitrogenAppliedToSoilsScope3(R43, _xlfn.XLOOKUP($P109, $D$22:$D$26,$E$22:$E$26), _xlfn.XLOOKUP($P109,$D$31:$D$35,$E$31:$E$35),R55, $F67)</f>
        <v>53.852568134543951</v>
      </c>
      <c r="S109" s="55" cm="1">
        <f t="array" ref="S109">MMS_Dairy_ManureAppliedToSoils_Equations.VEERG_4_3_1_8__2_MassOfNitrogenAppliedToSoilsScope3(S43, _xlfn.XLOOKUP($P109, $D$22:$D$26,$E$22:$E$26), _xlfn.XLOOKUP($P109,$D$31:$D$35,$E$31:$E$35),S55, $F67)</f>
        <v>21.448908374072509</v>
      </c>
      <c r="T109" s="55" cm="1">
        <f t="array" ref="T109">MMS_Dairy_ManureAppliedToSoils_Equations.VEERG_4_3_1_8__2_MassOfNitrogenAppliedToSoilsScope3(T43, _xlfn.XLOOKUP($P109, $D$22:$D$26,$E$22:$E$26), _xlfn.XLOOKUP($P109,$D$31:$D$35,$E$31:$E$35),T55, $F67)</f>
        <v>67.694807960679896</v>
      </c>
      <c r="U109" s="55" cm="1">
        <f t="array" ref="U109">MMS_Dairy_ManureAppliedToSoils_Equations.VEERG_4_3_1_8__2_MassOfNitrogenAppliedToSoilsScope3(U43, _xlfn.XLOOKUP($P109, $D$22:$D$26,$E$22:$E$26), _xlfn.XLOOKUP($P109,$D$31:$D$35,$E$31:$E$35),U55, $F67)</f>
        <v>28.33903123115855</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255.88996949307889</v>
      </c>
      <c r="G110" s="55" cm="1">
        <f t="array" ref="G110">MMS_Dairy_ManureAppliedToSoils_Equations.VEERG_4_3_1_8__2_MassOfNitrogenAppliedToSoilsScope3(G44, _xlfn.XLOOKUP($E110, $D$22:$D$26,$E$22:$E$26), _xlfn.XLOOKUP($E110,$D$31:$D$35,$E$31:$E$35),G56, $F68)</f>
        <v>95.903678817381206</v>
      </c>
      <c r="H110" s="55" cm="1">
        <f t="array" ref="H110">MMS_Dairy_ManureAppliedToSoils_Equations.VEERG_4_3_1_8__2_MassOfNitrogenAppliedToSoilsScope3(H44, _xlfn.XLOOKUP($E110, $D$22:$D$26,$E$22:$E$26), _xlfn.XLOOKUP($E110,$D$31:$D$35,$E$31:$E$35),H56, $F68)</f>
        <v>38.197421050584929</v>
      </c>
      <c r="I110" s="55" cm="1">
        <f t="array" ref="I110">MMS_Dairy_ManureAppliedToSoils_Equations.VEERG_4_3_1_8__2_MassOfNitrogenAppliedToSoilsScope3(I44, _xlfn.XLOOKUP($E110, $D$22:$D$26,$E$22:$E$26), _xlfn.XLOOKUP($E110,$D$31:$D$35,$E$31:$E$35),I56, $F68)</f>
        <v>120.55471716864899</v>
      </c>
      <c r="J110" s="55" cm="1">
        <f t="array" ref="J110">MMS_Dairy_ManureAppliedToSoils_Equations.VEERG_4_3_1_8__2_MassOfNitrogenAppliedToSoilsScope3(J44, _xlfn.XLOOKUP($E110, $D$22:$D$26,$E$22:$E$26), _xlfn.XLOOKUP($E110,$D$31:$D$35,$E$31:$E$35),J56, $F68)</f>
        <v>50.467738927485044</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255.88996949307889</v>
      </c>
      <c r="R110" s="55" cm="1">
        <f t="array" ref="R110">MMS_Dairy_ManureAppliedToSoils_Equations.VEERG_4_3_1_8__2_MassOfNitrogenAppliedToSoilsScope3(R44, _xlfn.XLOOKUP($P110, $D$22:$D$26,$E$22:$E$26), _xlfn.XLOOKUP($P110,$D$31:$D$35,$E$31:$E$35),R56, $F68)</f>
        <v>95.903678817381206</v>
      </c>
      <c r="S110" s="55" cm="1">
        <f t="array" ref="S110">MMS_Dairy_ManureAppliedToSoils_Equations.VEERG_4_3_1_8__2_MassOfNitrogenAppliedToSoilsScope3(S44, _xlfn.XLOOKUP($P110, $D$22:$D$26,$E$22:$E$26), _xlfn.XLOOKUP($P110,$D$31:$D$35,$E$31:$E$35),S56, $F68)</f>
        <v>38.197421050584929</v>
      </c>
      <c r="T110" s="55" cm="1">
        <f t="array" ref="T110">MMS_Dairy_ManureAppliedToSoils_Equations.VEERG_4_3_1_8__2_MassOfNitrogenAppliedToSoilsScope3(T44, _xlfn.XLOOKUP($P110, $D$22:$D$26,$E$22:$E$26), _xlfn.XLOOKUP($P110,$D$31:$D$35,$E$31:$E$35),T56, $F68)</f>
        <v>120.55471716864899</v>
      </c>
      <c r="U110" s="55" cm="1">
        <f t="array" ref="U110">MMS_Dairy_ManureAppliedToSoils_Equations.VEERG_4_3_1_8__2_MassOfNitrogenAppliedToSoilsScope3(U44, _xlfn.XLOOKUP($P110, $D$22:$D$26,$E$22:$E$26), _xlfn.XLOOKUP($P110,$D$31:$D$35,$E$31:$E$35),U56, $F68)</f>
        <v>50.467738927485044</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366.11949481317436</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366.11949481317436</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314.94150091455867</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314.94150091455867</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407</v>
      </c>
      <c r="F113" s="55" cm="1">
        <f t="array" ref="F113">MMS_Dairy_ManureAppliedToSoils_Equations.VEERG_4_3_1_8__2_MassOfNitrogenAppliedToSoilsScope3(F47, _xlfn.XLOOKUP($E113, $D$22:$D$26,$E$22:$E$26), _xlfn.XLOOKUP($E113,$D$31:$D$35,$E$31:$E$35),F59, $F71)</f>
        <v>531.4637827933177</v>
      </c>
      <c r="G113" s="55" cm="1">
        <f t="array" ref="G113">MMS_Dairy_ManureAppliedToSoils_Equations.VEERG_4_3_1_8__2_MassOfNitrogenAppliedToSoilsScope3(G47, _xlfn.XLOOKUP($E113, $D$22:$D$26,$E$22:$E$26), _xlfn.XLOOKUP($E113,$D$31:$D$35,$E$31:$E$35),G59, $F71)</f>
        <v>199.18456369763783</v>
      </c>
      <c r="H113" s="55" cm="1">
        <f t="array" ref="H113">MMS_Dairy_ManureAppliedToSoils_Equations.VEERG_4_3_1_8__2_MassOfNitrogenAppliedToSoilsScope3(H47, _xlfn.XLOOKUP($E113, $D$22:$D$26,$E$22:$E$26), _xlfn.XLOOKUP($E113,$D$31:$D$35,$E$31:$E$35),H59, $F71)</f>
        <v>79.333105258907153</v>
      </c>
      <c r="I113" s="55" cm="1">
        <f t="array" ref="I113">MMS_Dairy_ManureAppliedToSoils_Equations.VEERG_4_3_1_8__2_MassOfNitrogenAppliedToSoilsScope3(I47, _xlfn.XLOOKUP($E113, $D$22:$D$26,$E$22:$E$26), _xlfn.XLOOKUP($E113,$D$31:$D$35,$E$31:$E$35),I59, $F71)</f>
        <v>250.38287411950171</v>
      </c>
      <c r="J113" s="55" cm="1">
        <f t="array" ref="J113">MMS_Dairy_ManureAppliedToSoils_Equations.VEERG_4_3_1_8__2_MassOfNitrogenAppliedToSoilsScope3(J47, _xlfn.XLOOKUP($E113, $D$22:$D$26,$E$22:$E$26), _xlfn.XLOOKUP($E113,$D$31:$D$35,$E$31:$E$35),J59, $F71)</f>
        <v>104.81761161862276</v>
      </c>
      <c r="K113" s="2"/>
      <c r="O113" s="55" t="str">
        <f>'Input - Dairy'!$D$67</f>
        <v>Feed pad</v>
      </c>
      <c r="P113" s="55" t="s">
        <v>407</v>
      </c>
      <c r="Q113" s="55" cm="1">
        <f t="array" ref="Q113">MMS_Dairy_ManureAppliedToSoils_Equations.VEERG_4_3_1_8__2_MassOfNitrogenAppliedToSoilsScope3(Q47, _xlfn.XLOOKUP($P113, $D$22:$D$26,$E$22:$E$26), _xlfn.XLOOKUP($P113,$D$31:$D$35,$E$31:$E$35),Q59, $F71)</f>
        <v>531.4637827933177</v>
      </c>
      <c r="R113" s="55" cm="1">
        <f t="array" ref="R113">MMS_Dairy_ManureAppliedToSoils_Equations.VEERG_4_3_1_8__2_MassOfNitrogenAppliedToSoilsScope3(R47, _xlfn.XLOOKUP($P113, $D$22:$D$26,$E$22:$E$26), _xlfn.XLOOKUP($P113,$D$31:$D$35,$E$31:$E$35),R59, $F71)</f>
        <v>199.18456369763783</v>
      </c>
      <c r="S113" s="55" cm="1">
        <f t="array" ref="S113">MMS_Dairy_ManureAppliedToSoils_Equations.VEERG_4_3_1_8__2_MassOfNitrogenAppliedToSoilsScope3(S47, _xlfn.XLOOKUP($P113, $D$22:$D$26,$E$22:$E$26), _xlfn.XLOOKUP($P113,$D$31:$D$35,$E$31:$E$35),S59, $F71)</f>
        <v>79.333105258907153</v>
      </c>
      <c r="T113" s="55" cm="1">
        <f t="array" ref="T113">MMS_Dairy_ManureAppliedToSoils_Equations.VEERG_4_3_1_8__2_MassOfNitrogenAppliedToSoilsScope3(T47, _xlfn.XLOOKUP($P113, $D$22:$D$26,$E$22:$E$26), _xlfn.XLOOKUP($P113,$D$31:$D$35,$E$31:$E$35),T59, $F71)</f>
        <v>250.38287411950171</v>
      </c>
      <c r="U113" s="55" cm="1">
        <f t="array" ref="U113">MMS_Dairy_ManureAppliedToSoils_Equations.VEERG_4_3_1_8__2_MassOfNitrogenAppliedToSoilsScope3(U47, _xlfn.XLOOKUP($P113, $D$22:$D$26,$E$22:$E$26), _xlfn.XLOOKUP($P113,$D$31:$D$35,$E$31:$E$35),U59, $F71)</f>
        <v>104.81761161862276</v>
      </c>
      <c r="V113" s="2"/>
    </row>
    <row r="114" spans="1:23" ht="20.100000000000001" customHeight="1" x14ac:dyDescent="0.25"/>
    <row r="115" spans="1:23" ht="20.100000000000001" customHeight="1" x14ac:dyDescent="0.25">
      <c r="D115" s="108" t="s">
        <v>349</v>
      </c>
      <c r="E115" s="109">
        <f>SUM(F106:J113)</f>
        <v>4212.4321213500762</v>
      </c>
      <c r="F115" s="110" t="str">
        <f>$E$11</f>
        <v>kg N</v>
      </c>
      <c r="O115" s="108" t="s">
        <v>349</v>
      </c>
      <c r="P115" s="109">
        <f>SUM(Q106:U113)</f>
        <v>4212.4321213500762</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395</v>
      </c>
      <c r="E120" s="94"/>
      <c r="F120" s="94"/>
      <c r="G120" s="94"/>
      <c r="H120" s="92"/>
    </row>
    <row r="121" spans="1:23" ht="20.100000000000001" customHeight="1" x14ac:dyDescent="0.25"/>
    <row r="122" spans="1:23" ht="20.100000000000001" customHeight="1" x14ac:dyDescent="0.25">
      <c r="D122" s="6" t="s">
        <v>394</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54" t="s">
        <v>148</v>
      </c>
      <c r="E126" s="54" t="s">
        <v>69</v>
      </c>
      <c r="F126" s="54" t="s">
        <v>434</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407</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407</v>
      </c>
      <c r="F134" s="55">
        <f>'Input - Dairy'!L120</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69</v>
      </c>
      <c r="F138" s="54" t="s">
        <v>173</v>
      </c>
      <c r="G138" s="54" t="s">
        <v>190</v>
      </c>
      <c r="H138" s="54" t="s">
        <v>191</v>
      </c>
      <c r="I138" s="54" t="s">
        <v>192</v>
      </c>
      <c r="J138" s="54" t="s">
        <v>193</v>
      </c>
      <c r="O138" s="54" t="s">
        <v>148</v>
      </c>
      <c r="P138" s="54" t="s">
        <v>69</v>
      </c>
      <c r="Q138" s="54" t="s">
        <v>173</v>
      </c>
      <c r="R138" s="54" t="s">
        <v>190</v>
      </c>
      <c r="S138" s="54" t="s">
        <v>191</v>
      </c>
      <c r="T138" s="54" t="s">
        <v>192</v>
      </c>
      <c r="U138" s="54" t="s">
        <v>193</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98.833906756456031</v>
      </c>
      <c r="G139" s="55" cm="1">
        <f t="array" ref="G139">MMS_Dairy_ManureAppliedToSoils_Equations.VEERG_4_3_1_8__1_MassOfNitrogenAppliedToSoilsScope1(G40,_xlfn.XLOOKUP($E139,$D$22:$D$26,$E$22:$E$26),_xlfn.XLOOKUP($E139,$D$31:$D$35,$E$31:$E$35),G52,$F127)</f>
        <v>37.041448981432346</v>
      </c>
      <c r="H139" s="55" cm="1">
        <f t="array" ref="H139">MMS_Dairy_ManureAppliedToSoils_Equations.VEERG_4_3_1_8__1_MassOfNitrogenAppliedToSoilsScope1(H40,_xlfn.XLOOKUP($E139,$D$22:$D$26,$E$22:$E$26),_xlfn.XLOOKUP($E139,$D$31:$D$35,$E$31:$E$35),H52,$F127)</f>
        <v>14.753217400155696</v>
      </c>
      <c r="I139" s="55" cm="1">
        <f t="array" ref="I139">MMS_Dairy_ManureAppliedToSoils_Equations.VEERG_4_3_1_8__1_MassOfNitrogenAppliedToSoilsScope1(I40,_xlfn.XLOOKUP($E139,$D$22:$D$26,$E$22:$E$26),_xlfn.XLOOKUP($E139,$D$31:$D$35,$E$31:$E$35),I52,$F127)</f>
        <v>46.562566322160777</v>
      </c>
      <c r="J139" s="55" cm="1">
        <f t="array" ref="J139">MMS_Dairy_ManureAppliedToSoils_Equations.VEERG_4_3_1_8__1_MassOfNitrogenAppliedToSoilsScope1(J40,_xlfn.XLOOKUP($E139,$D$22:$D$26,$E$22:$E$26),_xlfn.XLOOKUP($E139,$D$31:$D$35,$E$31:$E$35),J52,$F127)</f>
        <v>19.492455344183128</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98.833906756456031</v>
      </c>
      <c r="R139" s="55" cm="1">
        <f t="array" ref="R139">MMS_Dairy_ManureAppliedToSoils_Equations.VEERG_4_3_1_8__1_MassOfNitrogenAppliedToSoilsScope1(R40,_xlfn.XLOOKUP($P139,$D$22:$D$26,$E$22:$E$26),_xlfn.XLOOKUP($P139,$D$31:$D$35,$E$31:$E$35),R52,$F127)</f>
        <v>37.041448981432346</v>
      </c>
      <c r="S139" s="55" cm="1">
        <f t="array" ref="S139">MMS_Dairy_ManureAppliedToSoils_Equations.VEERG_4_3_1_8__1_MassOfNitrogenAppliedToSoilsScope1(S40,_xlfn.XLOOKUP($P139,$D$22:$D$26,$E$22:$E$26),_xlfn.XLOOKUP($P139,$D$31:$D$35,$E$31:$E$35),S52,$F127)</f>
        <v>14.753217400155696</v>
      </c>
      <c r="T139" s="55" cm="1">
        <f t="array" ref="T139">MMS_Dairy_ManureAppliedToSoils_Equations.VEERG_4_3_1_8__1_MassOfNitrogenAppliedToSoilsScope1(T40,_xlfn.XLOOKUP($P139,$D$22:$D$26,$E$22:$E$26),_xlfn.XLOOKUP($P139,$D$31:$D$35,$E$31:$E$35),T52,$F127)</f>
        <v>46.562566322160777</v>
      </c>
      <c r="U139" s="55" cm="1">
        <f t="array" ref="U139">MMS_Dairy_ManureAppliedToSoils_Equations.VEERG_4_3_1_8__1_MassOfNitrogenAppliedToSoilsScope1(U40,_xlfn.XLOOKUP($P139,$D$22:$D$26,$E$22:$E$26),_xlfn.XLOOKUP($P139,$D$31:$D$35,$E$31:$E$35),U52,$F127)</f>
        <v>19.492455344183128</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113.12681019508199</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113.12681019508199</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97.313385114049026</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97.313385114049026</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407</v>
      </c>
      <c r="F142" s="55" cm="1">
        <f t="array" ref="F142">MMS_Dairy_ManureAppliedToSoils_Equations.VEERG_4_3_1_8__1_MassOfNitrogenAppliedToSoilsScope1(F43,_xlfn.XLOOKUP($E142,$D$22:$D$26,$E$22:$E$26),_xlfn.XLOOKUP($E142,$D$31:$D$35,$E$31:$E$35),F55,$F130)</f>
        <v>143.689295207463</v>
      </c>
      <c r="G142" s="55" cm="1">
        <f t="array" ref="G142">MMS_Dairy_ManureAppliedToSoils_Equations.VEERG_4_3_1_8__1_MassOfNitrogenAppliedToSoilsScope1(G43,_xlfn.XLOOKUP($E142,$D$22:$D$26,$E$22:$E$26),_xlfn.XLOOKUP($E142,$D$31:$D$35,$E$31:$E$35),G55,$F130)</f>
        <v>53.852568134543951</v>
      </c>
      <c r="H142" s="55" cm="1">
        <f t="array" ref="H142">MMS_Dairy_ManureAppliedToSoils_Equations.VEERG_4_3_1_8__1_MassOfNitrogenAppliedToSoilsScope1(H43,_xlfn.XLOOKUP($E142,$D$22:$D$26,$E$22:$E$26),_xlfn.XLOOKUP($E142,$D$31:$D$35,$E$31:$E$35),H55,$F130)</f>
        <v>21.448908374072509</v>
      </c>
      <c r="I142" s="55" cm="1">
        <f t="array" ref="I142">MMS_Dairy_ManureAppliedToSoils_Equations.VEERG_4_3_1_8__1_MassOfNitrogenAppliedToSoilsScope1(I43,_xlfn.XLOOKUP($E142,$D$22:$D$26,$E$22:$E$26),_xlfn.XLOOKUP($E142,$D$31:$D$35,$E$31:$E$35),I55,$F130)</f>
        <v>67.694807960679896</v>
      </c>
      <c r="J142" s="55" cm="1">
        <f t="array" ref="J142">MMS_Dairy_ManureAppliedToSoils_Equations.VEERG_4_3_1_8__1_MassOfNitrogenAppliedToSoilsScope1(J43,_xlfn.XLOOKUP($E142,$D$22:$D$26,$E$22:$E$26),_xlfn.XLOOKUP($E142,$D$31:$D$35,$E$31:$E$35),J55,$F130)</f>
        <v>28.33903123115855</v>
      </c>
      <c r="K142" s="2" t="str">
        <f t="shared" si="4"/>
        <v>kg N</v>
      </c>
      <c r="O142" s="55" t="str">
        <f>'Input - Dairy'!$D$66</f>
        <v>Milking shed</v>
      </c>
      <c r="P142" s="55" t="s">
        <v>407</v>
      </c>
      <c r="Q142" s="55" cm="1">
        <f t="array" ref="Q142">MMS_Dairy_ManureAppliedToSoils_Equations.VEERG_4_3_1_8__1_MassOfNitrogenAppliedToSoilsScope1(Q43,_xlfn.XLOOKUP($P142,$D$22:$D$26,$E$22:$E$26),_xlfn.XLOOKUP($P142,$D$31:$D$35,$E$31:$E$35),Q55,$F130)</f>
        <v>143.689295207463</v>
      </c>
      <c r="R142" s="55" cm="1">
        <f t="array" ref="R142">MMS_Dairy_ManureAppliedToSoils_Equations.VEERG_4_3_1_8__1_MassOfNitrogenAppliedToSoilsScope1(R43,_xlfn.XLOOKUP($P142,$D$22:$D$26,$E$22:$E$26),_xlfn.XLOOKUP($P142,$D$31:$D$35,$E$31:$E$35),R55,$F130)</f>
        <v>53.852568134543951</v>
      </c>
      <c r="S142" s="55" cm="1">
        <f t="array" ref="S142">MMS_Dairy_ManureAppliedToSoils_Equations.VEERG_4_3_1_8__1_MassOfNitrogenAppliedToSoilsScope1(S43,_xlfn.XLOOKUP($P142,$D$22:$D$26,$E$22:$E$26),_xlfn.XLOOKUP($P142,$D$31:$D$35,$E$31:$E$35),S55,$F130)</f>
        <v>21.448908374072509</v>
      </c>
      <c r="T142" s="55" cm="1">
        <f t="array" ref="T142">MMS_Dairy_ManureAppliedToSoils_Equations.VEERG_4_3_1_8__1_MassOfNitrogenAppliedToSoilsScope1(T43,_xlfn.XLOOKUP($P142,$D$22:$D$26,$E$22:$E$26),_xlfn.XLOOKUP($P142,$D$31:$D$35,$E$31:$E$35),T55,$F130)</f>
        <v>67.694807960679896</v>
      </c>
      <c r="U142" s="55" cm="1">
        <f t="array" ref="U142">MMS_Dairy_ManureAppliedToSoils_Equations.VEERG_4_3_1_8__1_MassOfNitrogenAppliedToSoilsScope1(U43,_xlfn.XLOOKUP($P142,$D$22:$D$26,$E$22:$E$26),_xlfn.XLOOKUP($P142,$D$31:$D$35,$E$31:$E$35),U55,$F130)</f>
        <v>28.33903123115855</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255.88996949307889</v>
      </c>
      <c r="G143" s="55" cm="1">
        <f t="array" ref="G143">MMS_Dairy_ManureAppliedToSoils_Equations.VEERG_4_3_1_8__1_MassOfNitrogenAppliedToSoilsScope1(G44,_xlfn.XLOOKUP($E143,$D$22:$D$26,$E$22:$E$26),_xlfn.XLOOKUP($E143,$D$31:$D$35,$E$31:$E$35),G56,$F131)</f>
        <v>95.903678817381206</v>
      </c>
      <c r="H143" s="55" cm="1">
        <f t="array" ref="H143">MMS_Dairy_ManureAppliedToSoils_Equations.VEERG_4_3_1_8__1_MassOfNitrogenAppliedToSoilsScope1(H44,_xlfn.XLOOKUP($E143,$D$22:$D$26,$E$22:$E$26),_xlfn.XLOOKUP($E143,$D$31:$D$35,$E$31:$E$35),H56,$F131)</f>
        <v>38.197421050584929</v>
      </c>
      <c r="I143" s="55" cm="1">
        <f t="array" ref="I143">MMS_Dairy_ManureAppliedToSoils_Equations.VEERG_4_3_1_8__1_MassOfNitrogenAppliedToSoilsScope1(I44,_xlfn.XLOOKUP($E143,$D$22:$D$26,$E$22:$E$26),_xlfn.XLOOKUP($E143,$D$31:$D$35,$E$31:$E$35),I56,$F131)</f>
        <v>120.55471716864899</v>
      </c>
      <c r="J143" s="55" cm="1">
        <f t="array" ref="J143">MMS_Dairy_ManureAppliedToSoils_Equations.VEERG_4_3_1_8__1_MassOfNitrogenAppliedToSoilsScope1(J44,_xlfn.XLOOKUP($E143,$D$22:$D$26,$E$22:$E$26),_xlfn.XLOOKUP($E143,$D$31:$D$35,$E$31:$E$35),J56,$F131)</f>
        <v>50.467738927485044</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255.88996949307889</v>
      </c>
      <c r="R143" s="55" cm="1">
        <f t="array" ref="R143">MMS_Dairy_ManureAppliedToSoils_Equations.VEERG_4_3_1_8__1_MassOfNitrogenAppliedToSoilsScope1(R44,_xlfn.XLOOKUP($P143,$D$22:$D$26,$E$22:$E$26),_xlfn.XLOOKUP($P143,$D$31:$D$35,$E$31:$E$35),R56,$F131)</f>
        <v>95.903678817381206</v>
      </c>
      <c r="S143" s="55" cm="1">
        <f t="array" ref="S143">MMS_Dairy_ManureAppliedToSoils_Equations.VEERG_4_3_1_8__1_MassOfNitrogenAppliedToSoilsScope1(S44,_xlfn.XLOOKUP($P143,$D$22:$D$26,$E$22:$E$26),_xlfn.XLOOKUP($P143,$D$31:$D$35,$E$31:$E$35),S56,$F131)</f>
        <v>38.197421050584929</v>
      </c>
      <c r="T143" s="55" cm="1">
        <f t="array" ref="T143">MMS_Dairy_ManureAppliedToSoils_Equations.VEERG_4_3_1_8__1_MassOfNitrogenAppliedToSoilsScope1(T44,_xlfn.XLOOKUP($P143,$D$22:$D$26,$E$22:$E$26),_xlfn.XLOOKUP($P143,$D$31:$D$35,$E$31:$E$35),T56,$F131)</f>
        <v>120.55471716864899</v>
      </c>
      <c r="U143" s="55" cm="1">
        <f t="array" ref="U143">MMS_Dairy_ManureAppliedToSoils_Equations.VEERG_4_3_1_8__1_MassOfNitrogenAppliedToSoilsScope1(U44,_xlfn.XLOOKUP($P143,$D$22:$D$26,$E$22:$E$26),_xlfn.XLOOKUP($P143,$D$31:$D$35,$E$31:$E$35),U56,$F131)</f>
        <v>50.467738927485044</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366.11949481317436</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366.11949481317436</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314.94150091455867</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314.94150091455867</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407</v>
      </c>
      <c r="F146" s="55" cm="1">
        <f t="array" ref="F146">MMS_Dairy_ManureAppliedToSoils_Equations.VEERG_4_3_1_8__1_MassOfNitrogenAppliedToSoilsScope1(F47,_xlfn.XLOOKUP($E146,$D$22:$D$26,$E$22:$E$26),_xlfn.XLOOKUP($E146,$D$31:$D$35,$E$31:$E$35),F59,$F134)</f>
        <v>531.4637827933177</v>
      </c>
      <c r="G146" s="55" cm="1">
        <f t="array" ref="G146">MMS_Dairy_ManureAppliedToSoils_Equations.VEERG_4_3_1_8__1_MassOfNitrogenAppliedToSoilsScope1(G47,_xlfn.XLOOKUP($E146,$D$22:$D$26,$E$22:$E$26),_xlfn.XLOOKUP($E146,$D$31:$D$35,$E$31:$E$35),G59,$F134)</f>
        <v>199.18456369763783</v>
      </c>
      <c r="H146" s="55" cm="1">
        <f t="array" ref="H146">MMS_Dairy_ManureAppliedToSoils_Equations.VEERG_4_3_1_8__1_MassOfNitrogenAppliedToSoilsScope1(H47,_xlfn.XLOOKUP($E146,$D$22:$D$26,$E$22:$E$26),_xlfn.XLOOKUP($E146,$D$31:$D$35,$E$31:$E$35),H59,$F134)</f>
        <v>79.333105258907153</v>
      </c>
      <c r="I146" s="55" cm="1">
        <f t="array" ref="I146">MMS_Dairy_ManureAppliedToSoils_Equations.VEERG_4_3_1_8__1_MassOfNitrogenAppliedToSoilsScope1(I47,_xlfn.XLOOKUP($E146,$D$22:$D$26,$E$22:$E$26),_xlfn.XLOOKUP($E146,$D$31:$D$35,$E$31:$E$35),I59,$F134)</f>
        <v>250.38287411950171</v>
      </c>
      <c r="J146" s="55" cm="1">
        <f t="array" ref="J146">MMS_Dairy_ManureAppliedToSoils_Equations.VEERG_4_3_1_8__1_MassOfNitrogenAppliedToSoilsScope1(J47,_xlfn.XLOOKUP($E146,$D$22:$D$26,$E$22:$E$26),_xlfn.XLOOKUP($E146,$D$31:$D$35,$E$31:$E$35),J59,$F134)</f>
        <v>104.81761161862276</v>
      </c>
      <c r="K146" s="2" t="str">
        <f t="shared" si="4"/>
        <v>kg N</v>
      </c>
      <c r="O146" s="55" t="str">
        <f>'Input - Dairy'!$D$67</f>
        <v>Feed pad</v>
      </c>
      <c r="P146" s="55" t="s">
        <v>407</v>
      </c>
      <c r="Q146" s="55" cm="1">
        <f t="array" ref="Q146">MMS_Dairy_ManureAppliedToSoils_Equations.VEERG_4_3_1_8__1_MassOfNitrogenAppliedToSoilsScope1(Q47,_xlfn.XLOOKUP($P146,$D$22:$D$26,$E$22:$E$26),_xlfn.XLOOKUP($P146,$D$31:$D$35,$E$31:$E$35),Q59,$F134)</f>
        <v>531.4637827933177</v>
      </c>
      <c r="R146" s="55" cm="1">
        <f t="array" ref="R146">MMS_Dairy_ManureAppliedToSoils_Equations.VEERG_4_3_1_8__1_MassOfNitrogenAppliedToSoilsScope1(R47,_xlfn.XLOOKUP($P146,$D$22:$D$26,$E$22:$E$26),_xlfn.XLOOKUP($P146,$D$31:$D$35,$E$31:$E$35),R59,$F134)</f>
        <v>199.18456369763783</v>
      </c>
      <c r="S146" s="55" cm="1">
        <f t="array" ref="S146">MMS_Dairy_ManureAppliedToSoils_Equations.VEERG_4_3_1_8__1_MassOfNitrogenAppliedToSoilsScope1(S47,_xlfn.XLOOKUP($P146,$D$22:$D$26,$E$22:$E$26),_xlfn.XLOOKUP($P146,$D$31:$D$35,$E$31:$E$35),S59,$F134)</f>
        <v>79.333105258907153</v>
      </c>
      <c r="T146" s="55" cm="1">
        <f t="array" ref="T146">MMS_Dairy_ManureAppliedToSoils_Equations.VEERG_4_3_1_8__1_MassOfNitrogenAppliedToSoilsScope1(T47,_xlfn.XLOOKUP($P146,$D$22:$D$26,$E$22:$E$26),_xlfn.XLOOKUP($P146,$D$31:$D$35,$E$31:$E$35),T59,$F134)</f>
        <v>250.38287411950171</v>
      </c>
      <c r="U146" s="55" cm="1">
        <f t="array" ref="U146">MMS_Dairy_ManureAppliedToSoils_Equations.VEERG_4_3_1_8__1_MassOfNitrogenAppliedToSoilsScope1(U47,_xlfn.XLOOKUP($P146,$D$22:$D$26,$E$22:$E$26),_xlfn.XLOOKUP($P146,$D$31:$D$35,$E$31:$E$35),U59,$F134)</f>
        <v>104.81761161862276</v>
      </c>
      <c r="V146" s="2"/>
    </row>
    <row r="147" spans="1:22" ht="20.100000000000001" customHeight="1" x14ac:dyDescent="0.25"/>
    <row r="148" spans="1:22" ht="20.100000000000001" customHeight="1" x14ac:dyDescent="0.25">
      <c r="A148" s="141" t="str">
        <f>HYPERLINK("#A1", "▲ Back to top")</f>
        <v>▲ Back to top</v>
      </c>
      <c r="D148" s="108" t="s">
        <v>140</v>
      </c>
      <c r="E148" s="109">
        <f>SUM(F139:J146)</f>
        <v>4212.4321213500762</v>
      </c>
      <c r="F148" s="110" t="str">
        <f>$E$95</f>
        <v>kg N</v>
      </c>
      <c r="O148" s="108" t="s">
        <v>140</v>
      </c>
      <c r="P148" s="109">
        <f>SUM(Q139:U146)</f>
        <v>4212.4321213500762</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A22" workbookViewId="0">
      <selection activeCell="O17" sqref="O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354</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469</v>
      </c>
    </row>
    <row r="17" spans="1:22" ht="20.100000000000001" customHeight="1" x14ac:dyDescent="0.25">
      <c r="A17" s="22" t="str">
        <f>HYPERLINK("#'4.3.1.9 Soil direct N2O'!A1", "4.3.1.9 Soil direct N2O")</f>
        <v>4.3.1.9 Soil direct N2O</v>
      </c>
      <c r="D17" s="103" t="s">
        <v>357</v>
      </c>
      <c r="O17" s="103" t="s">
        <v>468</v>
      </c>
    </row>
    <row r="18" spans="1:22" ht="20.100000000000001" customHeight="1" x14ac:dyDescent="0.25">
      <c r="A18" s="17" t="str">
        <f>HYPERLINK("#'4.3.1.10-11 Soil Atmos Dep'!A1", "4.3.1.10-11 Soil atm. deposition")</f>
        <v>4.3.1.10-11 Soil atm. deposition</v>
      </c>
      <c r="D18" s="54" t="s">
        <v>173</v>
      </c>
      <c r="E18" s="54" t="s">
        <v>190</v>
      </c>
      <c r="F18" s="54" t="s">
        <v>191</v>
      </c>
      <c r="G18" s="54" t="s">
        <v>192</v>
      </c>
      <c r="H18" s="54" t="s">
        <v>193</v>
      </c>
      <c r="O18" s="54" t="s">
        <v>173</v>
      </c>
      <c r="P18" s="54" t="s">
        <v>190</v>
      </c>
      <c r="Q18" s="54" t="s">
        <v>191</v>
      </c>
      <c r="R18" s="54" t="s">
        <v>192</v>
      </c>
      <c r="S18" s="54" t="s">
        <v>193</v>
      </c>
    </row>
    <row r="19" spans="1:22" ht="20.100000000000001" customHeight="1" x14ac:dyDescent="0.25">
      <c r="A19" s="17" t="str">
        <f>HYPERLINK("#'4.3.1.12-13 Soil leach runoff'!A1", "4.3.1.12-13 Soil leach &amp; runoff")</f>
        <v>4.3.1.12-13 Soil leach &amp; runoff</v>
      </c>
      <c r="D19" s="55">
        <f>'4.3.1.3-4 Direct N20'!D176</f>
        <v>22116.678435011141</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22116.678435011141</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355</v>
      </c>
      <c r="O22" s="104" t="s">
        <v>424</v>
      </c>
    </row>
    <row r="23" spans="1:22" ht="20.100000000000001" customHeight="1" x14ac:dyDescent="0.25">
      <c r="A23" s="17" t="str">
        <f>HYPERLINK("#'Constants - Livestock'!A1", "Constants - Livestock")</f>
        <v>Constants - Livestock</v>
      </c>
      <c r="D23" s="103" t="s">
        <v>356</v>
      </c>
      <c r="O23" s="103" t="s">
        <v>425</v>
      </c>
    </row>
    <row r="24" spans="1:22" ht="20.100000000000001" customHeight="1" x14ac:dyDescent="0.25">
      <c r="A24" s="17" t="str">
        <f>HYPERLINK("#'Constants - Common'!A1", "Constants - Common")</f>
        <v>Constants - Common</v>
      </c>
      <c r="D24" s="41" t="s">
        <v>148</v>
      </c>
      <c r="E24" s="41" t="s">
        <v>69</v>
      </c>
      <c r="F24" s="41" t="s">
        <v>173</v>
      </c>
      <c r="G24" s="41" t="s">
        <v>190</v>
      </c>
      <c r="H24" s="41" t="s">
        <v>191</v>
      </c>
      <c r="I24" s="41" t="s">
        <v>192</v>
      </c>
      <c r="J24" s="41" t="s">
        <v>193</v>
      </c>
      <c r="O24" s="41" t="s">
        <v>148</v>
      </c>
      <c r="P24" s="41" t="s">
        <v>69</v>
      </c>
      <c r="Q24" s="41" t="s">
        <v>173</v>
      </c>
      <c r="R24" s="41" t="s">
        <v>190</v>
      </c>
      <c r="S24" s="41" t="s">
        <v>191</v>
      </c>
      <c r="T24" s="41" t="s">
        <v>192</v>
      </c>
      <c r="U24" s="41" t="s">
        <v>193</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358</v>
      </c>
      <c r="O28" s="104" t="s">
        <v>360</v>
      </c>
    </row>
    <row r="29" spans="1:22" ht="20.100000000000001" customHeight="1" x14ac:dyDescent="0.25">
      <c r="D29" s="103" t="s">
        <v>359</v>
      </c>
      <c r="O29" s="103" t="s">
        <v>361</v>
      </c>
    </row>
    <row r="30" spans="1:22" ht="20.100000000000001" customHeight="1" x14ac:dyDescent="0.25">
      <c r="D30" s="54" t="s">
        <v>148</v>
      </c>
      <c r="E30" s="54" t="s">
        <v>69</v>
      </c>
      <c r="F30" s="54" t="s">
        <v>173</v>
      </c>
      <c r="G30" s="54" t="s">
        <v>190</v>
      </c>
      <c r="H30" s="54" t="s">
        <v>191</v>
      </c>
      <c r="I30" s="54" t="s">
        <v>192</v>
      </c>
      <c r="J30" s="54" t="s">
        <v>193</v>
      </c>
      <c r="O30" s="54" t="s">
        <v>148</v>
      </c>
      <c r="P30" s="54" t="s">
        <v>69</v>
      </c>
      <c r="Q30" s="54" t="s">
        <v>173</v>
      </c>
      <c r="R30" s="54" t="s">
        <v>190</v>
      </c>
      <c r="S30" s="54" t="s">
        <v>191</v>
      </c>
      <c r="T30" s="54" t="s">
        <v>192</v>
      </c>
      <c r="U30" s="54" t="s">
        <v>193</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11810.30628429595</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11810.30628429595</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111</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124</v>
      </c>
      <c r="O48" s="104" t="s">
        <v>364</v>
      </c>
    </row>
    <row r="49" spans="1:22" ht="20.100000000000001" customHeight="1" x14ac:dyDescent="0.25">
      <c r="D49" s="103" t="s">
        <v>363</v>
      </c>
      <c r="O49" s="103" t="s">
        <v>365</v>
      </c>
    </row>
    <row r="50" spans="1:22" ht="20.100000000000001" customHeight="1" x14ac:dyDescent="0.25">
      <c r="D50" s="54" t="s">
        <v>148</v>
      </c>
      <c r="E50" s="54" t="s">
        <v>69</v>
      </c>
      <c r="F50" s="54" t="s">
        <v>173</v>
      </c>
      <c r="G50" s="54" t="s">
        <v>190</v>
      </c>
      <c r="H50" s="54" t="s">
        <v>191</v>
      </c>
      <c r="I50" s="54" t="s">
        <v>192</v>
      </c>
      <c r="J50" s="54" t="s">
        <v>193</v>
      </c>
      <c r="O50" s="54" t="s">
        <v>148</v>
      </c>
      <c r="P50" s="54" t="s">
        <v>69</v>
      </c>
      <c r="Q50" s="54" t="s">
        <v>173</v>
      </c>
      <c r="R50" s="54" t="s">
        <v>190</v>
      </c>
      <c r="S50" s="54" t="s">
        <v>191</v>
      </c>
      <c r="T50" s="54" t="s">
        <v>192</v>
      </c>
      <c r="U50" s="54" t="s">
        <v>193</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3.7118105464930128E-2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3.7118105464930128E-2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123</v>
      </c>
      <c r="E53" s="109">
        <f>SUM(F51:J51)</f>
        <v>8.1377786110272132E-2</v>
      </c>
      <c r="F53" s="110" t="str">
        <f>$E$41</f>
        <v>t N2O</v>
      </c>
      <c r="O53" s="108" t="s">
        <v>123</v>
      </c>
      <c r="P53" s="109">
        <f>SUM(Q51:U51)</f>
        <v>8.1377786110272132E-2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8.1377786110272132E-2</v>
      </c>
      <c r="O55" s="60" t="str" cm="1">
        <f t="array" ref="O55:P56">Common_Equations.Common_ConvertN2OToCO2e_Arguments()</f>
        <v>EN2O</v>
      </c>
      <c r="P55" s="61" t="str">
        <v>Nitrous oxide emissions (t N2O)</v>
      </c>
      <c r="Q55" s="111"/>
      <c r="R55" s="55">
        <f>P53</f>
        <v>8.1377786110272132E-2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cm="1">
        <f t="array" ref="E58">Common_Equations.Common_ConvertN2OToCO2e(G55,G56)</f>
        <v>21.565113319222114</v>
      </c>
      <c r="F58" s="112" t="str" cm="1">
        <f t="array" ref="F58">Common_Equations.Common_ConvertN2OToCO2e_Unit()</f>
        <v>t CO2e</v>
      </c>
      <c r="O58" s="48" t="s">
        <v>110</v>
      </c>
      <c r="P58" s="48" cm="1">
        <f t="array" ref="P58">Common_Equations.Common_ConvertN2OToCO2e(R55,R56)</f>
        <v>21.565113319222114</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358</v>
      </c>
      <c r="M16" s="59"/>
      <c r="O16" s="104" t="s">
        <v>360</v>
      </c>
    </row>
    <row r="17" spans="1:23" ht="20.100000000000001" customHeight="1" x14ac:dyDescent="0.25">
      <c r="A17" s="17" t="str">
        <f>HYPERLINK("#'4.3.1.9 Soil direct N2O'!A1", "4.3.1.9 Soil direct N2O")</f>
        <v>4.3.1.9 Soil direct N2O</v>
      </c>
      <c r="D17" s="103" t="s">
        <v>359</v>
      </c>
      <c r="M17" s="59"/>
      <c r="O17" s="103" t="s">
        <v>361</v>
      </c>
    </row>
    <row r="18" spans="1:23" ht="20.100000000000001" customHeight="1" x14ac:dyDescent="0.25">
      <c r="A18" s="22" t="str">
        <f>HYPERLINK("#'4.3.1.10-11 Soil Atmos Dep'!A1", "4.3.1.10-11 Soil atm. deposition")</f>
        <v>4.3.1.10-11 Soil atm. deposition</v>
      </c>
      <c r="D18" s="54" t="s">
        <v>148</v>
      </c>
      <c r="E18" s="54" t="s">
        <v>69</v>
      </c>
      <c r="F18" s="54" t="s">
        <v>173</v>
      </c>
      <c r="G18" s="54" t="s">
        <v>190</v>
      </c>
      <c r="H18" s="54" t="s">
        <v>191</v>
      </c>
      <c r="I18" s="54" t="s">
        <v>192</v>
      </c>
      <c r="J18" s="54" t="s">
        <v>193</v>
      </c>
      <c r="M18" s="59"/>
      <c r="O18" s="54" t="s">
        <v>148</v>
      </c>
      <c r="P18" s="54" t="s">
        <v>69</v>
      </c>
      <c r="Q18" s="54" t="s">
        <v>173</v>
      </c>
      <c r="R18" s="54" t="s">
        <v>190</v>
      </c>
      <c r="S18" s="54" t="s">
        <v>191</v>
      </c>
      <c r="T18" s="54" t="s">
        <v>192</v>
      </c>
      <c r="U18" s="54" t="s">
        <v>193</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11810.30628429595</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11810.30628429595</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366</v>
      </c>
      <c r="O21" s="104" t="s">
        <v>368</v>
      </c>
    </row>
    <row r="22" spans="1:23" ht="20.100000000000001" customHeight="1" x14ac:dyDescent="0.25">
      <c r="A22" s="17" t="str">
        <f>HYPERLINK("#'Constants - Dairy'!A1", "Constants - Dairy")</f>
        <v>Constants - Dairy</v>
      </c>
      <c r="D22" s="103" t="s">
        <v>367</v>
      </c>
      <c r="O22" s="103" t="s">
        <v>369</v>
      </c>
    </row>
    <row r="23" spans="1:23" ht="20.100000000000001" customHeight="1" x14ac:dyDescent="0.25">
      <c r="A23" s="17" t="str">
        <f>HYPERLINK("#'Constants - Livestock'!A1", "Constants - Livestock")</f>
        <v>Constants - Livestock</v>
      </c>
      <c r="D23" s="54" t="s">
        <v>148</v>
      </c>
      <c r="E23" s="54" t="s">
        <v>69</v>
      </c>
      <c r="F23" s="54" t="s">
        <v>173</v>
      </c>
      <c r="G23" s="54" t="s">
        <v>190</v>
      </c>
      <c r="H23" s="54" t="s">
        <v>191</v>
      </c>
      <c r="I23" s="54" t="s">
        <v>192</v>
      </c>
      <c r="J23" s="54" t="s">
        <v>193</v>
      </c>
      <c r="O23" s="54" t="s">
        <v>148</v>
      </c>
      <c r="P23" s="54" t="s">
        <v>69</v>
      </c>
      <c r="Q23" s="54" t="s">
        <v>173</v>
      </c>
      <c r="R23" s="54" t="s">
        <v>190</v>
      </c>
      <c r="S23" s="54" t="s">
        <v>191</v>
      </c>
      <c r="T23" s="54" t="s">
        <v>192</v>
      </c>
      <c r="U23" s="54" t="s">
        <v>193</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2480.1643197021494</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2480.1643197021494</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380</v>
      </c>
      <c r="E26" s="48">
        <f>SUM(F24:J24)</f>
        <v>5437.5157082772739</v>
      </c>
      <c r="F26" s="112" t="str">
        <f>$E$11</f>
        <v>kg N</v>
      </c>
      <c r="O26" s="118" t="s">
        <v>380</v>
      </c>
      <c r="P26" s="48">
        <f>SUM(Q24:U24)</f>
        <v>5437.5157082772739</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5437.5157082772739</v>
      </c>
      <c r="O38" s="60" t="str">
        <f>D38</f>
        <v>M_vol_m14</v>
      </c>
      <c r="P38" s="60" t="str">
        <f>E38</f>
        <v>mass of nitrogen volatilised from urine and faeces deposited on pasture</v>
      </c>
      <c r="Q38" s="61"/>
      <c r="R38" s="62"/>
      <c r="S38" s="60">
        <f>$P$26</f>
        <v>5437.5157082772739</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155</v>
      </c>
      <c r="E45" s="109" cm="1">
        <f t="array" ref="E45">MMS_Dairy_Soil_AtmosphericDeposition_Equations.VEERG_4_3_1_10__1_AtmosphericDepositionEmissionsFromUrineAndDungOnPasture($I$38,$I$39,$I$40)</f>
        <v>5.0413538495313583E-2</v>
      </c>
      <c r="F45" s="110" t="str">
        <f>$E$36</f>
        <v>t N2O</v>
      </c>
      <c r="O45" s="108" t="s">
        <v>155</v>
      </c>
      <c r="P45" s="109" cm="1">
        <f t="array" ref="P45">MMS_Dairy_Soil_AtmosphericDeposition_Equations.VEERG_4_3_1_10__1_AtmosphericDepositionEmissionsFromUrineAndDungOnPasture($S$38,$I$39,$I$40)</f>
        <v>5.0413538495313583E-2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5.0413538495313583E-2</v>
      </c>
      <c r="O47" s="60" t="str" cm="1">
        <f t="array" ref="O47:P48">Common_Equations.Common_ConvertN2OToCO2e_Arguments()</f>
        <v>EN2O</v>
      </c>
      <c r="P47" s="61" t="str">
        <v>Nitrous oxide emissions (t N2O)</v>
      </c>
      <c r="Q47" s="111"/>
      <c r="R47" s="55">
        <f>P45</f>
        <v>5.0413538495313583E-2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13.3595877012581</v>
      </c>
      <c r="F50" s="112" t="str" cm="1">
        <f t="array" ref="F50">Common_Equations.Common_ConvertN2OToCO2e_Unit()</f>
        <v>t CO2e</v>
      </c>
      <c r="O50" s="48" t="s">
        <v>110</v>
      </c>
      <c r="P50" s="48" cm="1">
        <f t="array" ref="P50">Common_Equations.Common_ConvertN2OToCO2e(R47,R48)</f>
        <v>13.3595877012581</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H19" sqref="H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372</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358</v>
      </c>
      <c r="M20" s="59"/>
      <c r="O20" s="104" t="s">
        <v>360</v>
      </c>
    </row>
    <row r="21" spans="1:22" ht="20.100000000000001" customHeight="1" x14ac:dyDescent="0.25">
      <c r="A21" s="18" t="s">
        <v>4</v>
      </c>
      <c r="D21" s="103" t="s">
        <v>359</v>
      </c>
      <c r="M21" s="59"/>
      <c r="O21" s="103" t="s">
        <v>361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M22" s="59"/>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11810.30628429595</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11810.30628429595</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374</v>
      </c>
      <c r="O25" s="104" t="s">
        <v>376</v>
      </c>
    </row>
    <row r="26" spans="1:22" ht="20.100000000000001" customHeight="1" x14ac:dyDescent="0.25">
      <c r="D26" s="103" t="s">
        <v>375</v>
      </c>
      <c r="O26" s="103" t="s">
        <v>377</v>
      </c>
    </row>
    <row r="27" spans="1:22" ht="20.100000000000001" customHeight="1" x14ac:dyDescent="0.25">
      <c r="D27" s="54" t="s">
        <v>148</v>
      </c>
      <c r="E27" s="54" t="s">
        <v>69</v>
      </c>
      <c r="F27" s="54" t="s">
        <v>173</v>
      </c>
      <c r="G27" s="54" t="s">
        <v>190</v>
      </c>
      <c r="H27" s="54" t="s">
        <v>191</v>
      </c>
      <c r="I27" s="54" t="s">
        <v>192</v>
      </c>
      <c r="J27" s="54" t="s">
        <v>193</v>
      </c>
      <c r="O27" s="54" t="s">
        <v>148</v>
      </c>
      <c r="P27" s="54" t="s">
        <v>69</v>
      </c>
      <c r="Q27" s="54" t="s">
        <v>173</v>
      </c>
      <c r="R27" s="54" t="s">
        <v>190</v>
      </c>
      <c r="S27" s="54" t="s">
        <v>191</v>
      </c>
      <c r="T27" s="54" t="s">
        <v>192</v>
      </c>
      <c r="U27" s="54" t="s">
        <v>193</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2834.4735082310281</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2834.4735082310281</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379</v>
      </c>
      <c r="E30" s="48">
        <f>SUM(F28:J28)</f>
        <v>6214.3036666025982</v>
      </c>
      <c r="F30" s="112" t="str">
        <f>$E$11</f>
        <v>kg N</v>
      </c>
      <c r="O30" s="118" t="s">
        <v>379</v>
      </c>
      <c r="P30" s="48">
        <f>SUM(Q28:U28)</f>
        <v>6214.3036666025982</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6214.3036666025982</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6214.3036666025982</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378</v>
      </c>
      <c r="E47" s="109" cm="1">
        <f t="array" ref="E47">MMS_Dairy_Soil_LeachingAndRunoff.VEERG_4_3_1_12__1_LeachingAndRunoffEmissionsFromUrineAndDungOnPasture($J$43,$J$44,$J$45)</f>
        <v>0.10741867766555921</v>
      </c>
      <c r="F47" s="110" t="str">
        <f>$E$41</f>
        <v>t N2O</v>
      </c>
      <c r="O47" s="108" t="s">
        <v>378</v>
      </c>
      <c r="P47" s="109" cm="1">
        <f t="array" ref="P47">MMS_Dairy_Soil_LeachingAndRunoff.VEERG_4_3_1_12__1_LeachingAndRunoffEmissionsFromUrineAndDungOnPasture($U$43,$J$44,$J$45)</f>
        <v>0.10741867766555921</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0.10741867766555921</v>
      </c>
      <c r="O49" s="60" t="str" cm="1">
        <f t="array" ref="O49:P50">Common_Equations.Common_ConvertN2OToCO2e_Arguments()</f>
        <v>EN2O</v>
      </c>
      <c r="P49" s="61" t="str">
        <v>Nitrous oxide emissions (t N2O)</v>
      </c>
      <c r="Q49" s="111"/>
      <c r="R49" s="55">
        <f>P47</f>
        <v>0.10741867766555921</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28.465949581373192</v>
      </c>
      <c r="F52" s="112" t="str" cm="1">
        <f t="array" ref="F52">Common_Equations.Common_ConvertN2OToCO2e_Unit()</f>
        <v>t CO2e</v>
      </c>
      <c r="O52" s="48" t="s">
        <v>110</v>
      </c>
      <c r="P52" s="48" cm="1">
        <f t="array" ref="P52">Common_Equations.Common_ConvertN2OToCO2e(R49,R50)</f>
        <v>28.465949581373192</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92"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170</v>
      </c>
      <c r="G5" s="6" t="s">
        <v>171</v>
      </c>
      <c r="J5" s="6" t="s">
        <v>149</v>
      </c>
      <c r="M5" s="1"/>
    </row>
    <row r="6" spans="1:21" ht="20.100000000000001" customHeight="1" x14ac:dyDescent="0.25">
      <c r="A6" s="16"/>
      <c r="M6" s="1"/>
    </row>
    <row r="7" spans="1:21" ht="20.100000000000001" customHeight="1" x14ac:dyDescent="0.25">
      <c r="A7" s="20" t="s">
        <v>3</v>
      </c>
      <c r="D7" s="102" t="s">
        <v>69</v>
      </c>
      <c r="E7" s="39" t="s">
        <v>83</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78</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172</v>
      </c>
      <c r="E21" s="39" t="s">
        <v>173</v>
      </c>
      <c r="F21" s="39" t="s">
        <v>174</v>
      </c>
      <c r="G21" s="39" t="s">
        <v>175</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172</v>
      </c>
      <c r="E38" s="39" t="s">
        <v>177</v>
      </c>
      <c r="F38" s="39" t="s">
        <v>176</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173</v>
      </c>
      <c r="E46" s="39" t="s">
        <v>174</v>
      </c>
      <c r="F46" s="39" t="s">
        <v>175</v>
      </c>
      <c r="G46" s="39" t="s">
        <v>177</v>
      </c>
      <c r="H46" s="39" t="s">
        <v>176</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173</v>
      </c>
      <c r="E54" s="125" t="s">
        <v>174</v>
      </c>
      <c r="F54" s="125" t="s">
        <v>175</v>
      </c>
      <c r="G54" s="125" t="s">
        <v>177</v>
      </c>
      <c r="H54" s="125" t="s">
        <v>176</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178</v>
      </c>
      <c r="E62" s="39" t="s">
        <v>179</v>
      </c>
      <c r="F62" s="39" t="s">
        <v>180</v>
      </c>
      <c r="G62" s="39" t="s">
        <v>181</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189</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182</v>
      </c>
      <c r="F86" s="39" t="s">
        <v>183</v>
      </c>
      <c r="G86" s="39" t="s">
        <v>189</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178</v>
      </c>
      <c r="E98" s="39" t="s">
        <v>184</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178</v>
      </c>
      <c r="E107" s="39" t="s">
        <v>185</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186</v>
      </c>
      <c r="E116" s="39" t="s">
        <v>147</v>
      </c>
      <c r="F116" s="39" t="s">
        <v>187</v>
      </c>
      <c r="G116" s="39" t="s">
        <v>188</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182</v>
      </c>
      <c r="F128" s="39" t="s">
        <v>189</v>
      </c>
      <c r="G128" s="114" t="s">
        <v>204</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178</v>
      </c>
      <c r="E141" s="39" t="s">
        <v>199</v>
      </c>
      <c r="F141" s="39" t="s">
        <v>200</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327</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143</v>
      </c>
      <c r="E186" s="39" t="s">
        <v>144</v>
      </c>
      <c r="F186" s="39" t="s">
        <v>145</v>
      </c>
      <c r="G186" s="39" t="s">
        <v>146</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391</v>
      </c>
      <c r="E212" s="39" t="s">
        <v>392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401</v>
      </c>
      <c r="F231" s="38" t="s">
        <v>402</v>
      </c>
      <c r="G231" s="39" t="s">
        <v>403</v>
      </c>
      <c r="H231" s="39" t="s">
        <v>404</v>
      </c>
      <c r="I231" s="39" t="s">
        <v>405</v>
      </c>
      <c r="J231" s="39" t="s">
        <v>406</v>
      </c>
      <c r="K231" s="39" t="s">
        <v>407</v>
      </c>
      <c r="L231" s="39" t="s">
        <v>408</v>
      </c>
      <c r="M231" s="39" t="s">
        <v>409</v>
      </c>
      <c r="N231" s="39" t="s">
        <v>410</v>
      </c>
      <c r="O231" s="39" t="s">
        <v>411</v>
      </c>
      <c r="P231" s="39" t="s">
        <v>412</v>
      </c>
      <c r="Q231" s="39" t="s">
        <v>413</v>
      </c>
      <c r="R231" s="39" t="s">
        <v>414</v>
      </c>
      <c r="S231" s="39" t="s">
        <v>415</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470</v>
      </c>
      <c r="E257" s="39" t="s">
        <v>471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49</vt:i4>
      </vt:variant>
    </vt:vector>
  </HeadingPairs>
  <TitlesOfParts>
    <vt:vector size="67"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X_Cell_Dairy_ManureAppliedIrrigationMethod</vt:lpstr>
      <vt:lpstr>X_Cell_Dairy_ManureAppliedProductionSystem</vt:lpstr>
      <vt:lpstr>X_Cell_Dairy_MilkProductionAmount</vt:lpstr>
      <vt:lpstr>X_Cell_Dairy_MilkProductionUnit</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2026-06-15T07:47:26Z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