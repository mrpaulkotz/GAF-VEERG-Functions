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588565A7-AC10-47F1-8851-F2C5092DF34D}" xr6:coauthVersionLast="47" xr6:coauthVersionMax="47" xr10:uidLastSave="{00000000-0000-0000-0000-000000000000}"/>
  <bookViews>
    <workbookView xWindow="1020" yWindow="0" windowWidth="34605" windowHeight="18645" activeTab="2"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4"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4" l="1" a="1"/>
  <c r="E259" i="124" s="1"/>
  <c r="D259" i="124" a="1"/>
  <c r="D259" i="124" s="1"/>
  <c r="E258" i="124" a="1"/>
  <c r="E258" i="124" s="1"/>
  <c r="D258" i="124" a="1"/>
  <c r="D258" i="124" s="1"/>
  <c r="D256" i="124" a="1"/>
  <c r="D256" i="124" s="1"/>
  <c r="D255" i="124"/>
  <c r="D255" i="124" a="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c r="D211" i="124" a="1"/>
  <c r="E208" i="124" a="1"/>
  <c r="E208" i="124" s="1"/>
  <c r="D208" i="124" a="1"/>
  <c r="D208" i="124" s="1"/>
  <c r="E207" i="124" a="1"/>
  <c r="E207" i="124" s="1"/>
  <c r="D207" i="124" a="1"/>
  <c r="D207" i="124" s="1"/>
  <c r="D205" i="124" a="1"/>
  <c r="D205" i="124" s="1"/>
  <c r="D204" i="124" a="1"/>
  <c r="D204" i="124" s="1"/>
  <c r="D203" i="124" a="1"/>
  <c r="D203" i="124" s="1"/>
  <c r="D202" i="124"/>
  <c r="D202" i="124" a="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c r="D140" i="124" a="1"/>
  <c r="D139" i="124" a="1"/>
  <c r="D139" i="124" s="1"/>
  <c r="E136" i="124" a="1"/>
  <c r="E136" i="124" s="1"/>
  <c r="D136" i="124" a="1"/>
  <c r="D136" i="124" s="1"/>
  <c r="E135" i="124" a="1"/>
  <c r="E135" i="124" s="1"/>
  <c r="D135" i="124" a="1"/>
  <c r="D135" i="124" s="1"/>
  <c r="D133" i="124" a="1"/>
  <c r="D133" i="124" s="1"/>
  <c r="D132" i="124" a="1"/>
  <c r="D132" i="124" s="1"/>
  <c r="E129" i="124" a="1"/>
  <c r="E129" i="124" s="1"/>
  <c r="D129" i="124" a="1"/>
  <c r="D129" i="124" s="1"/>
  <c r="E128" i="124" a="1"/>
  <c r="E128" i="124" s="1"/>
  <c r="D128" i="124" a="1"/>
  <c r="D128" i="124" s="1"/>
  <c r="D125" i="124"/>
  <c r="D125" i="124" a="1"/>
  <c r="D124" i="124"/>
  <c r="D124" i="124" a="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c r="D81" i="124" a="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c r="D46" i="124" a="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c r="D19" i="124" a="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A16" i="70"/>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D19" i="120" a="1"/>
  <c r="D19" i="120" s="1"/>
  <c r="I14" i="120"/>
  <c r="F22" i="120" a="1"/>
  <c r="F22" i="120" s="1"/>
  <c r="G13" i="120" a="1"/>
  <c r="G13" i="120" s="1"/>
  <c r="D13" i="120" a="1"/>
  <c r="D13" i="120" s="1"/>
  <c r="E11" i="120" a="1"/>
  <c r="E11" i="120" s="1"/>
  <c r="F17" i="120" s="1"/>
  <c r="E10" i="120" a="1"/>
  <c r="E10" i="120" s="1"/>
  <c r="D6" i="120" a="1"/>
  <c r="D6" i="120" s="1"/>
  <c r="D5" i="120" a="1"/>
  <c r="D5" i="120" s="1"/>
  <c r="I13" i="120"/>
  <c r="A136" i="120"/>
  <c r="A109" i="120"/>
  <c r="A66" i="120"/>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J26" i="69"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J19" i="69"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A16" i="13"/>
  <c r="A15" i="13"/>
  <c r="A8" i="13"/>
  <c r="A5" i="13"/>
  <c r="A4" i="13"/>
  <c r="A3" i="13"/>
  <c r="F35" i="69" a="1"/>
  <c r="F35" i="69" s="1"/>
  <c r="D32" i="69" a="1"/>
  <c r="D32" i="69" s="1"/>
  <c r="E7" i="120" a="1"/>
  <c r="H49" i="124" l="1"/>
  <c r="H48" i="124"/>
  <c r="H51" i="124"/>
  <c r="H52" i="124"/>
  <c r="H53" i="124"/>
  <c r="H54" i="124"/>
  <c r="H50" i="124"/>
  <c r="E17" i="120" a="1"/>
  <c r="E17" i="120" s="1"/>
  <c r="E7" i="120"/>
  <c r="J27" i="69"/>
  <c r="G19" i="120" l="1"/>
  <c r="E22" i="120" s="1" a="1"/>
  <c r="E22" i="120" s="1"/>
  <c r="H10" i="13" s="1"/>
  <c r="I10" i="13" s="1"/>
  <c r="E10" i="13"/>
  <c r="F10" i="13" s="1"/>
  <c r="D7" i="69" a="1"/>
  <c r="D7" i="69" s="1"/>
  <c r="J25" i="69"/>
  <c r="J24" i="69"/>
  <c r="J23" i="69"/>
  <c r="J20" i="69"/>
  <c r="J28" i="69"/>
  <c r="J21" i="69" s="1" a="1"/>
  <c r="J21" i="69" s="1"/>
  <c r="J17" i="69"/>
  <c r="J16" i="69"/>
  <c r="J15" i="69"/>
  <c r="J14" i="69"/>
  <c r="H14" i="69" a="1"/>
  <c r="H14" i="69" s="1"/>
  <c r="D14" i="69" a="1"/>
  <c r="D14" i="69" s="1"/>
  <c r="E12" i="69" a="1"/>
  <c r="E12" i="69" s="1"/>
  <c r="F30" i="69" s="1"/>
  <c r="E11" i="69" a="1"/>
  <c r="E11" i="69" s="1"/>
  <c r="D6" i="69" a="1"/>
  <c r="D6" i="69" s="1"/>
  <c r="D5" i="69" a="1"/>
  <c r="D5" i="69" s="1"/>
  <c r="E8" i="69" a="1"/>
  <c r="J18" i="69" l="1" a="1"/>
  <c r="J18" i="69" s="1"/>
  <c r="E30" i="69" a="1"/>
  <c r="E30" i="69" s="1"/>
  <c r="E8" i="69"/>
  <c r="G32" i="69" l="1"/>
  <c r="E35" i="69" s="1" a="1"/>
  <c r="E35" i="69" s="1"/>
  <c r="H9" i="13" s="1"/>
  <c r="E9" i="13"/>
  <c r="D57" i="70"/>
  <c r="H11" i="13" l="1"/>
  <c r="I9" i="13"/>
  <c r="I11" i="13" s="1"/>
  <c r="A77" i="110"/>
  <c r="A49" i="110"/>
  <c r="A109" i="69"/>
  <c r="A136" i="69"/>
  <c r="A66" i="69"/>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<sst xmlns="http://schemas.openxmlformats.org/spreadsheetml/2006/main" count="172" uniqueCount="133">
  <si>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</si>
  <si>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</si>
  <si>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</si>
  <si>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</si>
  <si>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</si>
  <si>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</si>
  <si>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</si>
  <si>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</si>
  <si>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</si>
  <si>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</si>
  <si>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</si>
  <si>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</si>
  <si>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</si>
  <si>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</si>
  <si>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</si>
  <si>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</si>
  <si>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</si>
  <si>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</si>
  <si>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</si>
  <si>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</si>
  <si>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</si>
  <si>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</si>
  <si>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</si>
  <si>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</si>
  <si>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</si>
  <si>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</si>
  <si>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</si>
  <si>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</si>
  <si>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</si>
  <si>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</si>
  <si>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</si>
  <si>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</si>
  <si>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</si>
  <si>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</si>
  <si>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</si>
  <si>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</si>
  <si>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</si>
  <si>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</si>
  <si>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</si>
  <si>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</si>
  <si>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</si>
  <si>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</si>
  <si>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</si>
  <si>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</si>
  <si>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</si>
  <si>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</si>
  <si>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</si>
  <si>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</si>
  <si>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</si>
  <si>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</si>
  <si>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</si>
  <si>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</si>
  <si>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</si>
  <si>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</si>
  <si>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</si>
  <si>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</si>
  <si>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</si>
  <si>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</si>
  <si>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</si>
  <si>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</si>
  <si>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</si>
  <si>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</si>
  <si>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</si>
  <si>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</si>
  <si>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</si>
  <si>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</si>
  <si>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</si>
  <si>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</si>
  <si>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</si>
  <si>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</si>
  <si>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</si>
  <si>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</si>
  <si>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</si>
  <si>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</si>
  <si>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</si>
  <si>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</si>
  <si>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</si>
  <si>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</si>
  <si>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</si>
  <si>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</si>
  <si>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</si>
  <si>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</si>
  <si>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</si>
  <si>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</si>
  <si>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</si>
  <si>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</si>
  <si>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</si>
  <si>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</si>
  <si>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</si>
  <si>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</si>
  <si>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</si>
  <si>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</si>
  <si>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</si>
  <si>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</si>
  <si>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</si>
  <si>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</si>
  <si>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</si>
  <si>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</si>
  <si>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</si>
  <si>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</si>
  <si>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</si>
  <si>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</si>
  <si>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</si>
  <si>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</si>
  <si>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</si>
  <si>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</si>
  <si>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</si>
  <si>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</si>
  <si>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</si>
  <si>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</si>
  <si>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</si>
  <si>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</si>
  <si>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</si>
  <si>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</si>
  <si>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</si>
  <si>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</si>
  <si>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</si>
  <si>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</si>
  <si>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</si>
  <si>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</si>
  <si>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t>These values are identical - check NGAF and NGER</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</si>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</sst>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FF0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31" fillId="16" borderId="0" xfId="8" applyFill="1">
      <alignment horizontal="left" vertical="center"/>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58" dataCellStyle="Content normal">
  <autoFilter ref="D9:E14" xr:uid="{86752300-1056-4C92-8247-C96E2D7BEDD4}">
    <filterColumn colId="0" hiddenButton="1"/>
    <filterColumn colId="1" hiddenButton="1"/>
  </autoFilter>
  <tableColumns count="2">
    <tableColumn id="1" xr3:uid="{60322701-4B4B-459F-8E0D-E1FDA0005D7E}" name="Facility type t" dataDxfId="57"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56"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55" dataCellStyle="Content normal">
  <autoFilter ref="D21:E26" xr:uid="{CAC655BD-F756-4971-8D46-22867B90DE87}">
    <filterColumn colId="0" hiddenButton="1"/>
    <filterColumn colId="1" hiddenButton="1"/>
  </autoFilter>
  <tableColumns count="2">
    <tableColumn id="1" xr3:uid="{D1DF76B8-1010-4952-AD56-4DF4622F5028}" name="Facility type t" dataDxfId="54"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53"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9D8D8-A94C-4765-A2F4-FBF3EB858A2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71512E4-DD77-45F5-A7DC-7F756E38E58B}" name="State/Territory">
      <calculatedColumnFormula array="1">Common_InputFunctions.Utility_DisplayArrayInTable(Common_SourceData.Common_SourceData_AustralianStatesTerritories_Data(),Table_AustralianStates[[#Headers],[State/Territory]],0)</calculatedColumnFormula>
    </tableColumn>
    <tableColumn id="2" xr3:uid="{67A2E349-9D96-4192-BF1C-973FE556FADB}" name="Common Name">
      <calculatedColumnFormula array="1">Common_InputFunctions.Utility_DisplayArrayInTable(Common_SourceData.Common_SourceData_AustralianStatesTerritories_Data(),Table_AustralianStates[[#Headers],[State/Territory]],0)</calculatedColumnFormula>
    </tableColumn>
    <tableColumn id="3" xr3:uid="{6C9B778A-6BC0-4CBC-92FC-621305E6382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49E782-62CC-4024-A8A1-E5EA1E498D2A}" name="Table_WASA4Areas" displayName="Table_WASA4Areas" ref="D20:D30" totalsRowShown="0">
  <autoFilter ref="D20:D30" xr:uid="{5FA81339-C6C8-4D36-BEEA-6C4AEDD9E676}">
    <filterColumn colId="0" hiddenButton="1"/>
  </autoFilter>
  <tableColumns count="1">
    <tableColumn id="1" xr3:uid="{9D56D53A-6694-4B57-A02F-8E9551CB7A1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A15D44-60E0-4864-879A-DD3FCF3315EE}" name="Table_GWPData" displayName="Table_GWPData" ref="D36:E43" totalsRowShown="0">
  <autoFilter ref="D36:E43" xr:uid="{B8E87A66-3E41-4AD3-925D-01EE21B43D7A}">
    <filterColumn colId="0" hiddenButton="1"/>
    <filterColumn colId="1" hiddenButton="1"/>
  </autoFilter>
  <tableColumns count="2">
    <tableColumn id="1" xr3:uid="{29D0E979-289C-49F4-93D3-6124A7F51BE5}" name="Gas">
      <calculatedColumnFormula array="1">Common_InputFunctions.Utility_DisplayArrayInTable(Common_SourceData.Common_SourceData_GWP_Data(), Table_GWPData[[#Headers],[Gas]], 0)</calculatedColumnFormula>
    </tableColumn>
    <tableColumn id="2" xr3:uid="{F1769B4A-4D35-4F1E-B9DA-F65441424C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352728F-1C63-4F70-B975-4EF1CA2C819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AD24F5B-C1DA-4F22-BB17-81A6F8D71410}" name="Gas">
      <calculatedColumnFormula array="1">Common_InputFunctions.Utility_DisplayArrayInTable(Common_SourceData.Common_SourceData_ConvertGasElementalToMolecular_Data(),Table_GasToMolecularConversionFactor[[#Headers],[Gas]], 0)</calculatedColumnFormula>
    </tableColumn>
    <tableColumn id="5" xr3:uid="{B50E9557-5672-4944-AC8B-E65E187DE052}" name="Conversion factor">
      <calculatedColumnFormula array="1">Common_InputFunctions.Utility_DisplayArrayInTable(Common_SourceData.Common_SourceData_ConvertGasElementalToMolecular_Data(),Table_GasToMolecularConversionFactor[[#Headers],[Gas]], 0)</calculatedColumnFormula>
    </tableColumn>
    <tableColumn id="2" xr3:uid="{85EF82D1-0A91-4FC0-96CC-52E8DE88242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C9DBC6F-DAFE-493B-A2AD-0B39C1BB80D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37F38D1-8FCD-4B3A-A678-FA02F0A28A6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570EA12-3286-4560-9BE6-60258611BC9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D0CF1D-7CD9-4066-8EE4-25FE923E5D3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F963462-2F2C-4BF6-A892-086541529F20}"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1B3F3876-9D6F-447A-A423-66E21AC0558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A4802F3E-DC20-40F1-AC5A-D182C68519BB}"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F7F9556-3126-439E-875C-D76E463F8036}"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BB23AF3-C817-42CE-BE89-ADDA8D904773}"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60216B5C-783A-4916-AACF-4280FF3BECAD}"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1FE05885-DAC3-47B8-BEB3-6920E3033122}"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2B644226-778B-401E-99C4-CEB1DE3EDAE1}"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B73B8CF5-08DF-4843-B82E-B9FB1813470C}"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2516891E-4C4A-426D-8B84-5149409BFCBC}"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189C1E5A-6304-4676-A9EB-8B293F4544B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4B9E9DB-0BCC-48C2-8CCA-57C75DB45D61}"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67D82299-FF27-4038-A32D-781A02A531ED}"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FB2C0315-064C-437A-86D7-3E8FA9F4822B}"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8C37E5-D887-4B5C-9001-232EF0A792B4}"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2F7A40-370B-4A1A-BB7E-6930F4763E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4AAB7B6-31A0-4522-84AE-3428F2D4D02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619F0C7-D005-4F89-B453-E75937AA076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18547E-C2B9-4253-9B23-ECFAF5D3F0C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5952A61-6A28-4826-9977-99686E3CA96D}" name="Temperature Zone">
      <calculatedColumnFormula array="1">Common_InputFunctions.Utility_DisplayArrayInTable(Common_SourceData.Common_SourceData_TemperatureZones_Data(),Table_SourceData_TemperatureZones[[#Headers],[Temperature Zone]],0)</calculatedColumnFormula>
    </tableColumn>
    <tableColumn id="2" xr3:uid="{F49ABE84-00CE-4251-9431-9E6E70A546AC}" name="MAT">
      <calculatedColumnFormula array="1">Common_InputFunctions.Utility_DisplayArrayInTable(Common_SourceData.Common_SourceData_TemperatureZones_Data(),Table_SourceData_TemperatureZones[[#Headers],[Temperature Zone]],0)</calculatedColumnFormula>
    </tableColumn>
    <tableColumn id="3" xr3:uid="{0323FC01-6733-41DC-9E79-98C1FED01EC8}" name="Min MAT">
      <calculatedColumnFormula array="1">Common_InputFunctions.Utility_DisplayArrayInTable(Common_SourceData.Common_SourceData_TemperatureZones_Data(),Table_SourceData_TemperatureZones[[#Headers],[Temperature Zone]],0)</calculatedColumnFormula>
    </tableColumn>
    <tableColumn id="4" xr3:uid="{F9992E54-F3A7-462B-BC56-E5BA0C72765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FAB6A22-121F-4A50-9152-A8E58012281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A7B006-3B9B-490B-A956-7F904A9BC1A0}" name="Rainfall Zone">
      <calculatedColumnFormula array="1">Common_InputFunctions.Utility_DisplayArrayInTable(Common_SourceData.Common_SourceData_RainfallZones_Data(),Table_SourceData_RainfallZones[[#Headers],[Rainfall Zone]],0)</calculatedColumnFormula>
    </tableColumn>
    <tableColumn id="2" xr3:uid="{A3178854-1904-46B6-9601-FBCC390F839C}" name="Annual rainfall">
      <calculatedColumnFormula array="1">Common_InputFunctions.Utility_DisplayArrayInTable(Common_SourceData.Common_SourceData_RainfallZones_Data(),Table_SourceData_RainfallZones[[#Headers],[Rainfall Zone]],0)</calculatedColumnFormula>
    </tableColumn>
    <tableColumn id="3" xr3:uid="{D21F920E-74C3-43C6-8E18-6CFD69944EC3}" name="Min rainfall">
      <calculatedColumnFormula array="1">Common_InputFunctions.Utility_DisplayArrayInTable(Common_SourceData.Common_SourceData_RainfallZones_Data(),Table_SourceData_RainfallZones[[#Headers],[Rainfall Zone]],0)</calculatedColumnFormula>
    </tableColumn>
    <tableColumn id="4" xr3:uid="{39CF9EA2-C9B6-41EC-AC58-E1943DCC6E0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B5808CD-4C52-49C0-8D9C-DDD27E7ABF8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B17C9DE-741E-4223-8B98-9DA237A2543C}" name="Leaching Zone">
      <calculatedColumnFormula array="1">Common_InputFunctions.Utility_DisplayArrayInTable(Common_SourceData.Common_SourceData_LeachingZones_Data(), Table_SourceData_LeachingZones[[#Headers],[Leaching Zone]], 0)</calculatedColumnFormula>
    </tableColumn>
    <tableColumn id="2" xr3:uid="{9AE87DF0-C92B-4748-9688-790D35C88B2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7892C5-921B-4BA8-8C3E-941A4EBD545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1C79171-18D4-4538-B8B5-4035B9BDADE4}" name="Data source">
      <calculatedColumnFormula array="1">Common_InputFunctions.Utility_DisplayArrayInTable(Common_SourceData.Common_SourceData_DataScores_Scope3_Data(), Table_SourceData_DataScores_Scope3[[#Headers],[Data source]], 0)</calculatedColumnFormula>
    </tableColumn>
    <tableColumn id="2" xr3:uid="{F4879EF9-AFF2-4FBB-8AC4-10E9136CB39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1B8ACAC-A09F-4E48-8944-728EA0065A24}" name="Table_SourceData_FracWET" displayName="Table_SourceData_FracWET" ref="D134:E136" totalsRowShown="0">
  <autoFilter ref="D134:E136" xr:uid="{308E99BE-FE1F-47A4-B2CA-97217277C4E9}">
    <filterColumn colId="0" hiddenButton="1"/>
    <filterColumn colId="1" hiddenButton="1"/>
  </autoFilter>
  <tableColumns count="2">
    <tableColumn id="1" xr3:uid="{AC686EA2-8D9A-4D6D-A8A8-062FB3B515CC}" name="Is in leaching zone">
      <calculatedColumnFormula array="1">Common_InputFunctions.Utility_DisplayArrayInTable(Common_SourceData.Common_SourceData_FracWET_Data(),Table_SourceData_FracWET[[#Headers],[Is in leaching zone]],0)</calculatedColumnFormula>
    </tableColumn>
    <tableColumn id="2" xr3:uid="{1FCEBDA5-65F4-46B1-B370-C11FB49932FA}"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C0F7AC-0F98-4652-98CC-95BA4A16C13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10BB70-498C-4145-BAE7-7A04D5280125}" name="Production system j">
      <calculatedColumnFormula array="1">Common_InputFunctions.Utility_DisplayArrayInTable(Common_SourceData.Common_SourceData_EFN2O_Data(), Table_SourceData_Common_EFN2O[[#Headers],[Production system j]], 0)</calculatedColumnFormula>
    </tableColumn>
    <tableColumn id="2" xr3:uid="{9A35A152-BB7C-4846-9F6E-3E9C99E73442}" name="EFN2O">
      <calculatedColumnFormula array="1">Common_InputFunctions.Utility_DisplayArrayInTable(Common_SourceData.Common_SourceData_EFN2O_Data(), Table_SourceData_Common_EFN2O[[#Headers],[Production system j]], 0)</calculatedColumnFormula>
    </tableColumn>
    <tableColumn id="3" xr3:uid="{748EC603-7F46-49E5-A98E-535FE8846206}" name="Production system only">
      <calculatedColumnFormula array="1">Common_InputFunctions.Utility_DisplayArrayInTable(Common_SourceData.Common_SourceData_EFN2O_Data(), Table_SourceData_Common_EFN2O[[#Headers],[Production system j]], 0)</calculatedColumnFormula>
    </tableColumn>
    <tableColumn id="4" xr3:uid="{A56CD644-C6AA-445E-9F25-4B23A92A9B64}" name="Irrigation method">
      <calculatedColumnFormula array="1">Common_InputFunctions.Utility_DisplayArrayInTable(Common_SourceData.Common_SourceData_EFN2O_Data(), Table_SourceData_Common_EFN2O[[#Headers],[Production system j]], 0)</calculatedColumnFormula>
    </tableColumn>
    <tableColumn id="5" xr3:uid="{CCAB1984-3AF3-43D3-81A5-8CE900C9816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165A077-B250-4DEE-B369-59E4E767990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2C9E476-6A55-47D9-B3E7-C67EA63535FA}" name="Irrigation type i">
      <calculatedColumnFormula array="1">Common_InputFunctions.Utility_DisplayArrayInTable(Common_SourceData.Common_SourceData_FracWETIrrigation_Data(), Table_SourceData_FracWETIrrigation[[#Headers],[Irrigation type i]], 0)</calculatedColumnFormula>
    </tableColumn>
    <tableColumn id="2" xr3:uid="{88DAA629-0590-41E1-A2CC-610CF9FDB97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CE216A-9BD9-485A-9EB8-B9E0DFCC2C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F9CBDC1-27EF-4EED-B8DF-92F594F394C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1AF672B-1B1A-422D-A6B3-621D6214B60E}"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EDBE9B8-7638-405B-BBEA-28F4A90E5F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6D4BDC-1A8D-48FE-B31E-DE67F81E1C52}" name="Month">
      <calculatedColumnFormula array="1">Common_InputFunctions.Utility_DisplayArrayInTable(Common_SourceData.Common_SourceData_MonthsToSeasons_Data(), Table_SourceData_Common_MonthToSeason[[#Headers],[Month]], 0)</calculatedColumnFormula>
    </tableColumn>
    <tableColumn id="2" xr3:uid="{84A8C1F6-0D04-4FAE-AC8C-5DCE94CD2667}"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B2C0D77-D19C-4F62-8E5B-44E9019BF69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787CE1-8BC3-48A0-BD72-4D31FF2981A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36F7AC5-AA7A-4B5B-A91D-B3234A850B1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88DBCE-83A9-4948-B739-6D8CFA8FB1F1}"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F0A7CCE-9091-445B-A615-A547A51F5200}"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5FD72F-73B7-4580-B927-C93DC98F52E5}"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72DB022-C4D0-41C7-A672-C4F576EDC81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8BE1154-A30B-4B37-8D42-1FCB8196ADFF}"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E6F67A9-BD27-47E8-B501-A2D2DDFAFD2B}"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612D188-6F19-4A62-9F7B-984763732FCD}"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2B629FE-D9AC-43BB-8712-0244FAFED16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EB1AAB3-C1F7-4609-811C-C8F71F27BEA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0CD3C79-0D8E-4E7F-87FD-8F4EA6115707}"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6966C78-6D1B-4D36-AF62-930896F91722}"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19A832A-BD0E-4DCC-BA3B-3FE865BD158B}"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A0A5924-316D-4A5B-BC7C-60065B83EB70}"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1772124-674F-460B-8395-C3AE2FD9C17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9E744CC-76BA-4DD4-AC67-44F809197B9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99ABC9-646D-4864-8875-225CB798A12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28CCD4A-4F4D-4667-8FE5-C00753040270}"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86</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83</v>
      </c>
      <c r="E5" s="37"/>
      <c r="F5" s="37"/>
      <c r="G5" s="37"/>
      <c r="H5" s="37"/>
      <c r="I5" s="37"/>
      <c r="J5" s="37"/>
      <c r="K5" s="37"/>
      <c r="L5" s="37"/>
      <c r="M5" s="37"/>
      <c r="N5" s="37"/>
      <c r="O5" s="34"/>
    </row>
    <row r="6" spans="1:17" ht="20.100000000000001" customHeight="1" x14ac:dyDescent="0.25">
      <c r="A6" s="12"/>
      <c r="D6" s="57"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85</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F15" sqref="F15"/>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87</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80</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50</v>
      </c>
      <c r="E8" s="39" t="s">
        <v>60</v>
      </c>
      <c r="F8" s="39" t="s">
        <v>61</v>
      </c>
      <c r="G8" s="39" t="s">
        <v>55</v>
      </c>
      <c r="H8" s="39" t="s">
        <v>129</v>
      </c>
      <c r="I8" s="39" t="s">
        <v>130</v>
      </c>
      <c r="J8" s="39" t="s">
        <v>131</v>
      </c>
      <c r="K8" s="18"/>
    </row>
    <row r="9" spans="1:11" ht="20.100000000000001" customHeight="1" x14ac:dyDescent="0.25">
      <c r="A9" s="13"/>
      <c r="C9" s="18"/>
      <c r="D9" s="1" t="s">
        <v>125</v>
      </c>
      <c r="E9" s="52">
        <f>'11.1.1-2 Wastewater CH4'!E30</f>
        <v>4.7159433000000001E-2</v>
      </c>
      <c r="F9" s="52">
        <f>E9</f>
        <v>4.7159433000000001E-2</v>
      </c>
      <c r="G9" s="30" t="s">
        <v>127</v>
      </c>
      <c r="H9" s="52">
        <f>'11.1.1-2 Wastewater CH4'!E35</f>
        <v>1.3204641239999999</v>
      </c>
      <c r="I9" s="52">
        <f>H9</f>
        <v>1.3204641239999999</v>
      </c>
      <c r="J9" s="30" t="s">
        <v>58</v>
      </c>
      <c r="K9" s="18"/>
    </row>
    <row r="10" spans="1:11" ht="20.100000000000001" customHeight="1" x14ac:dyDescent="0.25">
      <c r="A10" s="15" t="s">
        <v>45</v>
      </c>
      <c r="C10" s="18"/>
      <c r="D10" s="1" t="s">
        <v>126</v>
      </c>
      <c r="E10" s="76">
        <f>'11.1.3-4 Wastewater N2O'!E17</f>
        <v>4.26764E-7</v>
      </c>
      <c r="F10" s="76">
        <f>E10</f>
        <v>4.26764E-7</v>
      </c>
      <c r="G10" s="30" t="s">
        <v>128</v>
      </c>
      <c r="H10" s="52">
        <f>'11.1.3-4 Wastewater N2O'!E22</f>
        <v>1.1309246E-4</v>
      </c>
      <c r="I10" s="52">
        <f>H10</f>
        <v>1.1309246E-4</v>
      </c>
      <c r="J10" s="30" t="s">
        <v>58</v>
      </c>
      <c r="K10" s="18"/>
    </row>
    <row r="11" spans="1:11" ht="20.100000000000001" customHeight="1" x14ac:dyDescent="0.3">
      <c r="A11" s="13" t="str">
        <f>HYPERLINK("#'11.1.1-2 Wastewater CH4'!A1", "10.1.1-2 Wastewater CH4")</f>
        <v>10.1.1-2 Wastewater CH4</v>
      </c>
      <c r="C11" s="18"/>
      <c r="D11" s="77" t="s">
        <v>132</v>
      </c>
      <c r="E11" s="78"/>
      <c r="F11" s="78"/>
      <c r="G11" s="77"/>
      <c r="H11" s="79">
        <f>SUM(H9:H10)</f>
        <v>1.3205772164599998</v>
      </c>
      <c r="I11" s="79">
        <f>SUM(I9:I10)</f>
        <v>1.3205772164599998</v>
      </c>
      <c r="J11" s="75" t="s">
        <v>58</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F7" sqref="F7"/>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124</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91</v>
      </c>
    </row>
    <row r="6" spans="1:10" ht="20.100000000000001" customHeight="1" x14ac:dyDescent="0.25">
      <c r="A6" s="12"/>
    </row>
    <row r="7" spans="1:10" ht="20.100000000000001" customHeight="1" x14ac:dyDescent="0.25">
      <c r="A7" s="16" t="s">
        <v>1</v>
      </c>
      <c r="D7" s="1" t="s">
        <v>117</v>
      </c>
      <c r="F7" s="27" t="s">
        <v>119</v>
      </c>
      <c r="G7" s="70" t="s">
        <v>118</v>
      </c>
    </row>
    <row r="8" spans="1:10" ht="20.100000000000001" customHeight="1" x14ac:dyDescent="0.25">
      <c r="A8" s="41" t="str">
        <f>HYPERLINK("#'Input - Wastewater'!A1", "Wastewater")</f>
        <v>Wastewater</v>
      </c>
      <c r="D8" s="1" t="s">
        <v>93</v>
      </c>
      <c r="F8" s="67">
        <v>1000</v>
      </c>
      <c r="G8" s="70" t="s">
        <v>92</v>
      </c>
    </row>
    <row r="9" spans="1:10" ht="20.100000000000001" customHeight="1" x14ac:dyDescent="0.25">
      <c r="A9" s="13"/>
    </row>
    <row r="10" spans="1:10" ht="20.100000000000001" customHeight="1" x14ac:dyDescent="0.25">
      <c r="A10" s="15" t="s">
        <v>45</v>
      </c>
      <c r="D10" s="69" t="s">
        <v>115</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116</v>
      </c>
      <c r="E12" s="68"/>
      <c r="F12" s="60"/>
    </row>
    <row r="13" spans="1:10" ht="20.100000000000001" customHeight="1" x14ac:dyDescent="0.25">
      <c r="A13" s="13"/>
    </row>
    <row r="14" spans="1:10" ht="20.100000000000001" customHeight="1" x14ac:dyDescent="0.25">
      <c r="A14" s="14" t="s">
        <v>2</v>
      </c>
      <c r="D14" s="1" t="s">
        <v>94</v>
      </c>
      <c r="F14" s="67">
        <v>0.9</v>
      </c>
      <c r="G14" s="70" t="s">
        <v>95</v>
      </c>
    </row>
    <row r="15" spans="1:10" ht="20.100000000000001" customHeight="1" x14ac:dyDescent="0.25">
      <c r="A15" s="13" t="str">
        <f>HYPERLINK("#'Constants - Wastewater'!A1", "Constants - Wastewater")</f>
        <v>Constants - Wastewater</v>
      </c>
      <c r="D15" s="1" t="s">
        <v>102</v>
      </c>
      <c r="F15" s="67">
        <v>0.5</v>
      </c>
      <c r="G15" s="70" t="s">
        <v>101</v>
      </c>
    </row>
    <row r="16" spans="1:10" ht="20.100000000000001" customHeight="1" x14ac:dyDescent="0.25">
      <c r="A16" s="13" t="str">
        <f>HYPERLINK("#'Constants - Common'!A1", "Constants - Common")</f>
        <v>Constants - Common</v>
      </c>
      <c r="D16" s="1" t="s">
        <v>114</v>
      </c>
      <c r="F16" s="67">
        <v>0.2</v>
      </c>
      <c r="G16" s="70" t="s">
        <v>101</v>
      </c>
    </row>
    <row r="17" spans="1:11" ht="20.100000000000001" customHeight="1" x14ac:dyDescent="0.25">
      <c r="D17" s="1" t="s">
        <v>96</v>
      </c>
      <c r="F17" s="67">
        <v>0.1</v>
      </c>
      <c r="G17" s="70" t="s">
        <v>95</v>
      </c>
    </row>
    <row r="18" spans="1:11" ht="20.100000000000001" customHeight="1" x14ac:dyDescent="0.25"/>
    <row r="19" spans="1:11" ht="20.100000000000001" customHeight="1" x14ac:dyDescent="0.25"/>
    <row r="20" spans="1:11" ht="20.100000000000001" customHeight="1" x14ac:dyDescent="0.25">
      <c r="D20" s="69" t="s">
        <v>113</v>
      </c>
    </row>
    <row r="21" spans="1:11" ht="20.100000000000001" customHeight="1" x14ac:dyDescent="0.25">
      <c r="A21" s="13"/>
    </row>
    <row r="22" spans="1:11" ht="20.100000000000001" customHeight="1" x14ac:dyDescent="0.25">
      <c r="D22" s="59" t="s">
        <v>112</v>
      </c>
      <c r="E22" s="68"/>
      <c r="F22" s="60"/>
    </row>
    <row r="23" spans="1:11" ht="20.100000000000001" customHeight="1" x14ac:dyDescent="0.25">
      <c r="A23" s="13"/>
    </row>
    <row r="24" spans="1:11" ht="20.100000000000001" customHeight="1" x14ac:dyDescent="0.25">
      <c r="D24" s="1" t="s">
        <v>97</v>
      </c>
      <c r="F24" s="67">
        <v>100</v>
      </c>
      <c r="G24" s="70" t="s">
        <v>100</v>
      </c>
    </row>
    <row r="25" spans="1:11" ht="20.100000000000001" customHeight="1" x14ac:dyDescent="0.25">
      <c r="D25" s="1" t="s">
        <v>98</v>
      </c>
      <c r="F25" s="67">
        <v>100</v>
      </c>
      <c r="G25" s="70" t="s">
        <v>100</v>
      </c>
    </row>
    <row r="26" spans="1:11" ht="20.100000000000001" customHeight="1" x14ac:dyDescent="0.25">
      <c r="D26" s="1" t="s">
        <v>99</v>
      </c>
      <c r="F26" s="67">
        <v>100</v>
      </c>
      <c r="G26" s="70" t="s">
        <v>100</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85</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104</v>
      </c>
    </row>
    <row r="55" spans="4:5" ht="20.100000000000001" customHeight="1" x14ac:dyDescent="0.25">
      <c r="E55" s="1" t="s">
        <v>110</v>
      </c>
    </row>
    <row r="56" spans="4:5" ht="20.100000000000001" customHeight="1" x14ac:dyDescent="0.25">
      <c r="D56" s="1" t="s">
        <v>103</v>
      </c>
    </row>
    <row r="57" spans="4:5" ht="20.100000000000001" customHeight="1" x14ac:dyDescent="0.25">
      <c r="D57" s="1">
        <f>F8*(F14*(1-F15)-F17)</f>
        <v>350</v>
      </c>
    </row>
    <row r="58" spans="4:5" ht="20.100000000000001" customHeight="1" x14ac:dyDescent="0.25"/>
    <row r="59" spans="4:5" ht="20.100000000000001" customHeight="1" x14ac:dyDescent="0.25">
      <c r="E59" s="1" t="s">
        <v>110</v>
      </c>
    </row>
    <row r="60" spans="4:5" ht="20.100000000000001" customHeight="1" x14ac:dyDescent="0.25">
      <c r="D60" s="1" t="s">
        <v>105</v>
      </c>
    </row>
    <row r="61" spans="4:5" ht="20.100000000000001" customHeight="1" x14ac:dyDescent="0.25"/>
    <row r="62" spans="4:5" ht="20.100000000000001" customHeight="1" x14ac:dyDescent="0.25">
      <c r="D62" s="1" t="s">
        <v>108</v>
      </c>
    </row>
    <row r="63" spans="4:5" ht="20.100000000000001" customHeight="1" x14ac:dyDescent="0.25"/>
    <row r="64" spans="4:5" ht="20.100000000000001" customHeight="1" x14ac:dyDescent="0.25"/>
    <row r="65" spans="4:5" ht="20.100000000000001" customHeight="1" x14ac:dyDescent="0.25">
      <c r="D65" s="1" t="s">
        <v>107</v>
      </c>
      <c r="E65" s="1" t="s">
        <v>109</v>
      </c>
    </row>
    <row r="66" spans="4:5" ht="20.100000000000001" customHeight="1" x14ac:dyDescent="0.25"/>
    <row r="67" spans="4:5" ht="20.100000000000001" customHeight="1" x14ac:dyDescent="0.25"/>
    <row r="68" spans="4:5" ht="20.100000000000001" customHeight="1" x14ac:dyDescent="0.25">
      <c r="D68" s="1" t="s">
        <v>106</v>
      </c>
    </row>
    <row r="69" spans="4:5" ht="20.100000000000001" customHeight="1" x14ac:dyDescent="0.25"/>
    <row r="70" spans="4:5" ht="20.100000000000001" customHeight="1" x14ac:dyDescent="0.25">
      <c r="D70" s="1" t="s">
        <v>111</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topLeftCell="A12" zoomScaleNormal="100" workbookViewId="0">
      <selection activeCell="E30" sqref="E30"/>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125</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A6" s="12"/>
      <c r="D6" s="4" t="str" cm="1">
        <f t="array" ref="D6">Wastewater_Methane_Equations.VEERG_11_1_1_1__1_MethaneEmissionsFromWastewaterTreatment_Source()</f>
        <v>VEERG 2026: 11.1.1.1, Equation (1)</v>
      </c>
    </row>
    <row r="7" spans="1:12" ht="20.100000000000001" customHeight="1" x14ac:dyDescent="0.25">
      <c r="A7" s="16" t="s">
        <v>1</v>
      </c>
      <c r="D7" s="31"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3" t="str">
        <f>HYPERLINK("#'Input - Wastewater'!A1", "Wastewater")</f>
        <v>Wastewater</v>
      </c>
      <c r="D8" s="10" t="s">
        <v>10</v>
      </c>
      <c r="E8" s="10" t="str" cm="1">
        <f t="array" aca="1" ref="E8" ca="1">Common_InputFunctions.Utility_DisplayFunctionName(E30)</f>
        <v>=Wastewater_Methane_Equations.VEERG_11_1_1_1__1_MethaneEmissionsFromWastewaterTreatment</v>
      </c>
    </row>
    <row r="9" spans="1:12" ht="20.100000000000001" customHeight="1" x14ac:dyDescent="0.25">
      <c r="A9" s="13"/>
    </row>
    <row r="10" spans="1:12" ht="20.100000000000001" customHeight="1" x14ac:dyDescent="0.25">
      <c r="A10" s="15" t="s">
        <v>45</v>
      </c>
    </row>
    <row r="11" spans="1:12" ht="20.100000000000001" customHeight="1" x14ac:dyDescent="0.25">
      <c r="A11" s="65" t="str">
        <f>HYPERLINK("#'11.1.1-2 Wastewater CH4'!A1", "10.1.1-2 Wastewater CH4")</f>
        <v>10.1.1-2 Wastewater CH4</v>
      </c>
      <c r="D11" s="29" t="s">
        <v>13</v>
      </c>
      <c r="E11" s="1" t="str" cm="1">
        <f t="array" ref="E11">Wastewater_Methane_Equations.VEERG_11_1_1_1__1_MethaneEmissionsFromWastewaterTreatment_Variable()</f>
        <v>E_CH4</v>
      </c>
    </row>
    <row r="12" spans="1:12" ht="20.100000000000001" customHeight="1" x14ac:dyDescent="0.25">
      <c r="A12" s="13" t="str">
        <f>HYPERLINK("#'11.1.3-4 Wastewater N2O'!A1", "10.1.3-4 Wastewater N2O")</f>
        <v>10.1.3-4 Wastewater N2O</v>
      </c>
      <c r="D12" s="29" t="s">
        <v>5</v>
      </c>
      <c r="E12" s="30" t="str" cm="1">
        <f t="array" ref="E12">Wastewater_Methane_Equations.VEERG_11_1_1_1__1_MethaneEmissionsFromWastewaterTreatment_Unit()</f>
        <v>t CH4</v>
      </c>
    </row>
    <row r="13" spans="1:12" ht="20.100000000000001" customHeight="1" x14ac:dyDescent="0.25">
      <c r="A13" s="13"/>
    </row>
    <row r="14" spans="1:12" ht="20.100000000000001" customHeight="1" x14ac:dyDescent="0.25">
      <c r="A14" s="14" t="s">
        <v>2</v>
      </c>
      <c r="D14" s="48" t="str" cm="1">
        <f t="array" ref="D14:E28">_xlfn.CHOOSECOLS(Wastewater_Methane_Equations.VEERG_11_1_1_1__1_MethaneEmissionsFromWastewaterTreatment_Arguments(),1,2)</f>
        <v>W_t</v>
      </c>
      <c r="E14" s="50" t="str">
        <v>quantity of wastewater treated at facility type t</v>
      </c>
      <c r="F14" s="64"/>
      <c r="G14" s="49"/>
      <c r="H14" s="48" t="str" cm="1">
        <f t="array" ref="H14:I28">_xlfn.CHOOSECOLS(Wastewater_Methane_Equations.VEERG_11_1_1_1__1_MethaneEmissionsFromWastewaterTreatment_Arguments(),3,4)</f>
        <v>m3</v>
      </c>
      <c r="I14" s="44" t="str">
        <v>Input</v>
      </c>
      <c r="J14" s="48">
        <f>'Input - Wastewater'!F8</f>
        <v>1000</v>
      </c>
    </row>
    <row r="15" spans="1:12" ht="20.100000000000001" customHeight="1" x14ac:dyDescent="0.25">
      <c r="A15" s="13" t="str">
        <f>HYPERLINK("#'Constants - Wastewater'!A1", "Constants - Wastewater")</f>
        <v>Constants - Wastewater</v>
      </c>
      <c r="D15" s="48" t="str">
        <v>COD_in</v>
      </c>
      <c r="E15" s="50" t="str">
        <v>average inlet Chemical Oxygen Demand concentration of wastewater</v>
      </c>
      <c r="F15" s="64"/>
      <c r="G15" s="49"/>
      <c r="H15" s="48" t="str">
        <v>kg COD/m3</v>
      </c>
      <c r="I15" s="44" t="str">
        <v>Input</v>
      </c>
      <c r="J15" s="48">
        <f>'Input - Wastewater'!F14</f>
        <v>0.9</v>
      </c>
    </row>
    <row r="16" spans="1:12" ht="20.100000000000001" customHeight="1" x14ac:dyDescent="0.25">
      <c r="A16" s="13" t="str">
        <f>HYPERLINK("#'Constants - Common'!A1", "Constants - Common")</f>
        <v>Constants - Common</v>
      </c>
      <c r="D16" s="48" t="str">
        <v>F_sludge</v>
      </c>
      <c r="E16" s="50" t="str">
        <v>fraction of COD removed from wastewater as sludge</v>
      </c>
      <c r="F16" s="64"/>
      <c r="G16" s="49"/>
      <c r="H16" s="48" t="str">
        <v>fraction</v>
      </c>
      <c r="I16" s="44" t="str">
        <v>Input</v>
      </c>
      <c r="J16" s="48">
        <f>'Input - Wastewater'!F15</f>
        <v>0.5</v>
      </c>
    </row>
    <row r="17" spans="1:10" ht="20.100000000000001" customHeight="1" x14ac:dyDescent="0.25">
      <c r="D17" s="48" t="str">
        <v>COD_out</v>
      </c>
      <c r="E17" s="50" t="str">
        <v>average outlet COD concentration of wastewater</v>
      </c>
      <c r="F17" s="64"/>
      <c r="G17" s="49"/>
      <c r="H17" s="48" t="str">
        <v>kg COD/m3</v>
      </c>
      <c r="I17" s="44" t="str">
        <v>Input</v>
      </c>
      <c r="J17" s="48">
        <f>'Input - Wastewater'!F17</f>
        <v>0.1</v>
      </c>
    </row>
    <row r="18" spans="1:10" ht="20.100000000000001" customHeight="1" x14ac:dyDescent="0.25">
      <c r="D18" s="48" t="str">
        <v>CF_ww_t</v>
      </c>
      <c r="E18" s="50" t="str">
        <v>methane correction factor for facility type t used to treat wastewater</v>
      </c>
      <c r="F18" s="64"/>
      <c r="G18" s="49"/>
      <c r="H18" s="48" t="str">
        <v>fraction</v>
      </c>
      <c r="I18" s="43" t="str">
        <v>Constant</v>
      </c>
      <c r="J18" s="48" cm="1">
        <f t="array" ref="J18">Common_InputFunctions.Utility_LookupValueInTableNumber(J28,Table_SourceData_MCF_Wastewater[Facility type t],Table_SourceData_MCF_Wastewater[CFww,t])</f>
        <v>0.3</v>
      </c>
    </row>
    <row r="19" spans="1:10" ht="20.100000000000001" customHeight="1" x14ac:dyDescent="0.25">
      <c r="D19" s="48" t="str">
        <v>EF_ww</v>
      </c>
      <c r="E19" s="50" t="str">
        <v>methane emission factor for wastewater</v>
      </c>
      <c r="F19" s="64"/>
      <c r="G19" s="49"/>
      <c r="H19" s="48" t="str">
        <v>kg CH4/kg COD</v>
      </c>
      <c r="I19" s="43" t="str">
        <v>Constant</v>
      </c>
      <c r="J19" s="48">
        <f>'Constants - Wastewater'!$E$31</f>
        <v>0.25</v>
      </c>
    </row>
    <row r="20" spans="1:10" ht="20.100000000000001" customHeight="1" x14ac:dyDescent="0.25">
      <c r="D20" s="48" t="str">
        <v>F_removed</v>
      </c>
      <c r="E20" s="50" t="str">
        <v>fraction of COD removed from the wastewater treatment facility and transferred elsewhere</v>
      </c>
      <c r="F20" s="64"/>
      <c r="G20" s="49"/>
      <c r="H20" s="48" t="str">
        <v>fraction</v>
      </c>
      <c r="I20" s="44" t="str">
        <v>Input</v>
      </c>
      <c r="J20" s="48">
        <f>'Input - Wastewater'!F16</f>
        <v>0.2</v>
      </c>
    </row>
    <row r="21" spans="1:10" ht="20.100000000000001" customHeight="1" x14ac:dyDescent="0.25">
      <c r="A21" s="13"/>
      <c r="D21" s="48" t="str">
        <v>CF_sludge_t</v>
      </c>
      <c r="E21" s="50" t="str">
        <v>methane correction factor for facility type t used to treat sludge</v>
      </c>
      <c r="F21" s="64"/>
      <c r="G21" s="49"/>
      <c r="H21" s="48" t="str">
        <v>fraction</v>
      </c>
      <c r="I21" s="43" t="str">
        <v>Constant</v>
      </c>
      <c r="J21" s="48" cm="1">
        <f t="array" ref="J21">Common_InputFunctions.Utility_LookupValueInTableNumber(J28,Table_SourceData_MCF_Sludge[Facility type t],Table_SourceData_MCF_Sludge[CFsludge,t])</f>
        <v>0.3</v>
      </c>
    </row>
    <row r="22" spans="1:10" ht="20.100000000000001" customHeight="1" x14ac:dyDescent="0.25">
      <c r="D22" s="48" t="str">
        <v>EF_sludge</v>
      </c>
      <c r="E22" s="50" t="str">
        <v>methane emission factor for sludge</v>
      </c>
      <c r="F22" s="64"/>
      <c r="G22" s="49"/>
      <c r="H22" s="48" t="str">
        <v>kg CH4/kg COD</v>
      </c>
      <c r="I22" s="43" t="str">
        <v>Constant</v>
      </c>
      <c r="J22" s="48">
        <f>'Constants - Wastewater'!$E$36</f>
        <v>0.25</v>
      </c>
    </row>
    <row r="23" spans="1:10" ht="20.100000000000001" customHeight="1" x14ac:dyDescent="0.25">
      <c r="A23" s="13"/>
      <c r="D23" s="48" t="str">
        <v>Q_cap</v>
      </c>
      <c r="E23" s="50" t="str">
        <v>quantity of methane in sludge biogas captured for combustion</v>
      </c>
      <c r="F23" s="64"/>
      <c r="G23" s="49"/>
      <c r="H23" s="48" t="str">
        <v>m3 CH4</v>
      </c>
      <c r="I23" s="44" t="str">
        <v>Input</v>
      </c>
      <c r="J23" s="48">
        <f>'Input - Wastewater'!F24</f>
        <v>100</v>
      </c>
    </row>
    <row r="24" spans="1:10" ht="20.100000000000001" customHeight="1" x14ac:dyDescent="0.25">
      <c r="D24" s="48" t="str">
        <v>Q_flared</v>
      </c>
      <c r="E24" s="50" t="str">
        <v>quantity of methane in sludge biogas flared by the treatment facility</v>
      </c>
      <c r="F24" s="64"/>
      <c r="G24" s="49"/>
      <c r="H24" s="48" t="str">
        <v>m3 CH4</v>
      </c>
      <c r="I24" s="44" t="str">
        <v>Input</v>
      </c>
      <c r="J24" s="48">
        <f>'Input - Wastewater'!F25</f>
        <v>100</v>
      </c>
    </row>
    <row r="25" spans="1:10" ht="20.100000000000001" customHeight="1" x14ac:dyDescent="0.25">
      <c r="D25" s="48" t="str">
        <v>Q_out</v>
      </c>
      <c r="E25" s="50" t="str">
        <v>quantity of methane in sludge biogas transferred out of the treatment facility</v>
      </c>
      <c r="F25" s="64"/>
      <c r="G25" s="49"/>
      <c r="H25" s="48" t="str">
        <v>m3 CH4</v>
      </c>
      <c r="I25" s="44" t="str">
        <v>Input</v>
      </c>
      <c r="J25" s="48">
        <f>'Input - Wastewater'!F26</f>
        <v>100</v>
      </c>
    </row>
    <row r="26" spans="1:10" ht="20.100000000000001" customHeight="1" x14ac:dyDescent="0.25">
      <c r="D26" s="48" t="str">
        <v>EC_flared</v>
      </c>
      <c r="E26" s="50" t="str">
        <v>energy content factor of methane in sludge biogas flared</v>
      </c>
      <c r="F26" s="64"/>
      <c r="G26" s="49"/>
      <c r="H26" s="48" t="str">
        <v>GJ/m3</v>
      </c>
      <c r="I26" s="43" t="str">
        <v>Constant</v>
      </c>
      <c r="J26" s="48">
        <f>'Constants - Wastewater'!$E$41</f>
        <v>3.7699999999999997E-2</v>
      </c>
    </row>
    <row r="27" spans="1:10" ht="20.100000000000001" customHeight="1" x14ac:dyDescent="0.25">
      <c r="D27" s="48" t="str">
        <v>EF_flaredCH4</v>
      </c>
      <c r="E27" s="50" t="str">
        <v>methane emission factor for sludge biogas flared</v>
      </c>
      <c r="F27" s="64"/>
      <c r="G27" s="49"/>
      <c r="H27" s="48" t="str">
        <v>kg CH4/GJ</v>
      </c>
      <c r="I27" s="43" t="str">
        <v>Constant</v>
      </c>
      <c r="J27" s="48">
        <f>'Constants - Wastewater'!$E$46</f>
        <v>0.22889999999999999</v>
      </c>
    </row>
    <row r="28" spans="1:10" ht="20.100000000000001" customHeight="1" x14ac:dyDescent="0.25">
      <c r="D28" s="48" t="str">
        <v>t</v>
      </c>
      <c r="E28" s="50" t="str">
        <v>treatment facility type</v>
      </c>
      <c r="F28" s="64"/>
      <c r="G28" s="49"/>
      <c r="H28" s="48" t="str">
        <v/>
      </c>
      <c r="I28" s="44" t="str">
        <v>Input</v>
      </c>
      <c r="J28" s="48" t="str">
        <f>'Input - Wastewater'!$F$7</f>
        <v>Unmanaged aerobic treatment</v>
      </c>
    </row>
    <row r="29" spans="1:10" ht="20.100000000000001" customHeight="1" x14ac:dyDescent="0.25"/>
    <row r="30" spans="1:10" ht="20.100000000000001" customHeight="1" x14ac:dyDescent="0.25">
      <c r="D30" s="61" t="s">
        <v>121</v>
      </c>
      <c r="E30" s="63" cm="1">
        <f t="array" ref="E30">Wastewater_Methane_Equations.VEERG_11_1_1_1__1_MethaneEmissionsFromWastewaterTreatment(J14,J15,J16,J17,J18,J19,J20,J21,J22,J23,J24,J25,J26,J27)</f>
        <v>4.7159433000000001E-2</v>
      </c>
      <c r="F30" s="66" t="str">
        <f>$E$12</f>
        <v>t CH4</v>
      </c>
    </row>
    <row r="31" spans="1:10" ht="20.100000000000001" customHeight="1" x14ac:dyDescent="0.25"/>
    <row r="32" spans="1:10" ht="20.100000000000001" customHeight="1" x14ac:dyDescent="0.25">
      <c r="D32" s="72" t="str" cm="1">
        <f t="array" ref="D32:E33">Common_Equations.Common_ConvertCH4ToCO2e_Arguments()</f>
        <v>ECH4</v>
      </c>
      <c r="E32" s="73" t="str">
        <v>Methane emissions (t CH4)</v>
      </c>
      <c r="F32" s="74"/>
      <c r="G32" s="28">
        <f>E30</f>
        <v>4.7159433000000001E-2</v>
      </c>
    </row>
    <row r="33" spans="4:7" ht="20.100000000000001" customHeight="1" x14ac:dyDescent="0.25">
      <c r="D33" s="72" t="str">
        <v>GWPCH4</v>
      </c>
      <c r="E33" s="73" t="str">
        <v>Global warming potential for methane (t CO2-e / t CH4)</v>
      </c>
      <c r="F33" s="74"/>
      <c r="G33" s="28">
        <v>28</v>
      </c>
    </row>
    <row r="34" spans="4:7" ht="20.100000000000001" customHeight="1" x14ac:dyDescent="0.25"/>
    <row r="35" spans="4:7" ht="20.100000000000001" customHeight="1" x14ac:dyDescent="0.25">
      <c r="D35" s="62" t="s">
        <v>122</v>
      </c>
      <c r="E35" s="62" cm="1">
        <f t="array" ref="E35">Common_Equations.Common_ConvertN2OToCO2e(G32,G33)</f>
        <v>1.3204641239999999</v>
      </c>
      <c r="F35" s="75"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E17" sqref="E17"/>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126</v>
      </c>
    </row>
    <row r="2" spans="1:10" s="8" customFormat="1" ht="20.100000000000001" customHeight="1" x14ac:dyDescent="0.25"/>
    <row r="3" spans="1:10" ht="20.100000000000001" customHeight="1" x14ac:dyDescent="0.25">
      <c r="A3" s="13" t="str">
        <f>HYPERLINK("#'Home'!A1", "Home")</f>
        <v>Home</v>
      </c>
      <c r="C3" s="3"/>
      <c r="D3" s="3" t="s">
        <v>49</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A6" s="12"/>
      <c r="D6" s="4" t="str" cm="1">
        <f t="array" ref="D6">Wastewater_N2O_Equations.VEERG_11_1_3_1__1_NitrousOxideEmissionsFromFlaredBiogas_Source()</f>
        <v>VEERG 2026: 11.1.3.1, Equation (1)</v>
      </c>
    </row>
    <row r="7" spans="1:10" ht="20.100000000000001" customHeight="1" x14ac:dyDescent="0.25">
      <c r="A7" s="16" t="s">
        <v>1</v>
      </c>
      <c r="D7" s="10" t="s">
        <v>10</v>
      </c>
      <c r="E7" s="10" t="str" cm="1">
        <f t="array" aca="1" ref="E7" ca="1">Common_InputFunctions.Utility_DisplayFunctionName(E17)</f>
        <v>=Wastewater_N2O_Equations.VEERG_11_1_3_1__1_NitrousOxideEmissionsFromFlaredBiogas</v>
      </c>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45</v>
      </c>
      <c r="D10" s="29" t="s">
        <v>13</v>
      </c>
      <c r="E10" s="1" t="str" cm="1">
        <f t="array" ref="E10">Wastewater_N2O_Equations.VEERG_11_1_3_1__1_NitrousOxideEmissionsFromFlaredBiogas_Variable()</f>
        <v>E_N2O</v>
      </c>
    </row>
    <row r="11" spans="1:10" ht="20.100000000000001" customHeight="1" x14ac:dyDescent="0.25">
      <c r="A11" s="13" t="str">
        <f>HYPERLINK("#'11.1.1-2 Wastewater CH4'!A1", "10.1.1-2 Wastewater CH4")</f>
        <v>10.1.1-2 Wastewater CH4</v>
      </c>
      <c r="D11" s="29" t="s">
        <v>5</v>
      </c>
      <c r="E11" s="30" t="str" cm="1">
        <f t="array" ref="E11">Wastewater_N2O_Equations.VEERG_11_1_3_1__1_NitrousOxideEmissionsFromFlaredBiogas_Unit()</f>
        <v>t N2O</v>
      </c>
    </row>
    <row r="12" spans="1:10" ht="20.100000000000001" customHeight="1" x14ac:dyDescent="0.25">
      <c r="A12" s="65" t="str">
        <f>HYPERLINK("#'11.1.3-4 Wastewater N2O'!A1", "10.1.3-4 Wastewater N2O")</f>
        <v>10.1.3-4 Wastewater N2O</v>
      </c>
    </row>
    <row r="13" spans="1:10" ht="20.100000000000001" customHeight="1" x14ac:dyDescent="0.25">
      <c r="A13" s="13"/>
      <c r="D13" s="48" t="str" cm="1">
        <f t="array" ref="D13:E15">_xlfn.CHOOSECOLS(Wastewater_N2O_Equations.VEERG_11_1_3_1__1_NitrousOxideEmissionsFromFlaredBiogas_Arguments(),1,2)</f>
        <v>Q_flared</v>
      </c>
      <c r="E13" s="50" t="str">
        <v>volume of biogas flared</v>
      </c>
      <c r="F13" s="49"/>
      <c r="G13" s="48" t="str" cm="1">
        <f t="array" ref="G13:H15">_xlfn.CHOOSECOLS(Wastewater_N2O_Equations.VEERG_11_1_3_1__1_NitrousOxideEmissionsFromFlaredBiogas_Arguments(),3,4)</f>
        <v>m3</v>
      </c>
      <c r="H13" s="44" t="str">
        <v>Input</v>
      </c>
      <c r="I13" s="48">
        <f>'Input - Wastewater'!F25</f>
        <v>100</v>
      </c>
    </row>
    <row r="14" spans="1:10" ht="20.100000000000001" customHeight="1" x14ac:dyDescent="0.25">
      <c r="A14" s="14" t="s">
        <v>2</v>
      </c>
      <c r="D14" s="48" t="str">
        <v>EC_flared</v>
      </c>
      <c r="E14" s="50" t="str">
        <v>energy content factor of sludge biogas flared</v>
      </c>
      <c r="F14" s="49"/>
      <c r="G14" s="48" t="str">
        <v>GJ/m3</v>
      </c>
      <c r="H14" s="43" t="str">
        <v>Constant</v>
      </c>
      <c r="I14" s="48">
        <f>'Constants - Wastewater'!E41</f>
        <v>3.7699999999999997E-2</v>
      </c>
    </row>
    <row r="15" spans="1:10" ht="20.100000000000001" customHeight="1" x14ac:dyDescent="0.25">
      <c r="A15" s="13" t="str">
        <f>HYPERLINK("#'Constants - Wastewater'!A1", "Constants - Wastewater")</f>
        <v>Constants - Wastewater</v>
      </c>
      <c r="D15" s="48" t="str">
        <v>EF_flaredN2O</v>
      </c>
      <c r="E15" s="50" t="str">
        <v>nitrous oxide emission factor for flared biogas</v>
      </c>
      <c r="F15" s="49"/>
      <c r="G15" s="48" t="str">
        <v>kg N2O/GJ</v>
      </c>
      <c r="H15" s="43" t="str">
        <v>Constant</v>
      </c>
      <c r="I15" s="48">
        <f>'Constants - Wastewater'!E51</f>
        <v>1.132E-4</v>
      </c>
    </row>
    <row r="16" spans="1:10" ht="20.100000000000001" customHeight="1" x14ac:dyDescent="0.25">
      <c r="A16" s="13" t="str">
        <f>HYPERLINK("#'Constants - Common'!A1", "Constants - Common")</f>
        <v>Constants - Common</v>
      </c>
    </row>
    <row r="17" spans="1:7" ht="20.100000000000001" customHeight="1" x14ac:dyDescent="0.25">
      <c r="D17" s="61" t="s">
        <v>121</v>
      </c>
      <c r="E17" s="63" cm="1">
        <f t="array" ref="E17">Wastewater_N2O_Equations.VEERG_11_1_3_1__1_NitrousOxideEmissionsFromFlaredBiogas(I13,I14,I15)</f>
        <v>4.26764E-7</v>
      </c>
      <c r="F17" s="66" t="str">
        <f>$E$11</f>
        <v>t N2O</v>
      </c>
    </row>
    <row r="18" spans="1:7" ht="20.100000000000001" customHeight="1" x14ac:dyDescent="0.25"/>
    <row r="19" spans="1:7" ht="20.100000000000001" customHeight="1" x14ac:dyDescent="0.25">
      <c r="D19" s="72" t="str" cm="1">
        <f t="array" ref="D19:E20">Common_Equations.Common_ConvertN2OToCO2e_Arguments()</f>
        <v>EN2O</v>
      </c>
      <c r="E19" s="73" t="str">
        <v>Nitrous oxide emissions (t N2O)</v>
      </c>
      <c r="F19" s="74"/>
      <c r="G19" s="28">
        <f>E17</f>
        <v>4.26764E-7</v>
      </c>
    </row>
    <row r="20" spans="1:7" ht="20.100000000000001" customHeight="1" x14ac:dyDescent="0.25">
      <c r="D20" s="72" t="str">
        <v>GWPN2O</v>
      </c>
      <c r="E20" s="73" t="str">
        <v>Global warming potential for nitrous oxide (t CO2-e / t N2O)</v>
      </c>
      <c r="F20" s="74"/>
      <c r="G20" s="28">
        <v>265</v>
      </c>
    </row>
    <row r="21" spans="1:7" ht="20.100000000000001" customHeight="1" x14ac:dyDescent="0.25">
      <c r="A21" s="13"/>
    </row>
    <row r="22" spans="1:7" ht="20.100000000000001" customHeight="1" x14ac:dyDescent="0.25">
      <c r="D22" s="62" t="s">
        <v>122</v>
      </c>
      <c r="E22" s="62" cm="1">
        <f t="array" ref="E22">Common_Equations.Common_ConvertN2OToCO2e(G19,G20)</f>
        <v>1.1309246E-4</v>
      </c>
      <c r="F22" s="75"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123</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A6" s="12"/>
      <c r="D6" s="4" t="str" cm="1">
        <f t="array" ref="D6">Wastewater_SourceData.Waste_MethaneCorrectionFactorWastewater_Source()</f>
        <v>VEERG 2026: Table A.4.1.3</v>
      </c>
    </row>
    <row r="7" spans="1:35" ht="20.100000000000001" customHeight="1" x14ac:dyDescent="0.25">
      <c r="A7" s="16" t="s">
        <v>1</v>
      </c>
      <c r="D7" s="1" t="str" cm="1">
        <f t="array" ref="D7">Wastewater_SourceData.Waste_MethaneCorrectionFactorWastewater_Variable()</f>
        <v>CFww,t</v>
      </c>
    </row>
    <row r="8" spans="1:35" ht="20.100000000000001" customHeight="1" x14ac:dyDescent="0.25">
      <c r="A8" s="13" t="str">
        <f>HYPERLINK("#'Input - Wastewater'!A1", "Wastewater")</f>
        <v>Wastewater</v>
      </c>
      <c r="D8" s="30" t="str" cm="1">
        <f t="array" ref="D8">Wastewater_SourceData.Waste_MethaneCorrectionFactorWastewater_Unit()</f>
        <v>fraction</v>
      </c>
    </row>
    <row r="9" spans="1:35" ht="20.100000000000001" customHeight="1" x14ac:dyDescent="0.25">
      <c r="A9" s="13"/>
      <c r="D9" s="26" t="s">
        <v>88</v>
      </c>
      <c r="E9" s="26" t="s">
        <v>89</v>
      </c>
    </row>
    <row r="10" spans="1:35" ht="20.100000000000001" customHeight="1" x14ac:dyDescent="0.25">
      <c r="A10" s="15" t="s">
        <v>45</v>
      </c>
      <c r="D10" s="26" t="str" cm="1">
        <f t="array" ref="D10">Common_InputFunctions.Utility_DisplayArrayInTable(Wastewater_SourceData.Waste_MethaneCorrectionFactorWastewater_Data(), Table_SourceData_MCF_Wastewater[[#Headers],[Facility type t]], 0)</f>
        <v>Managed aerobic treatment</v>
      </c>
      <c r="E10" s="26" cm="1">
        <f t="array" ref="E10">Common_InputFunctions.Utility_DisplayArrayInTable(Wastewater_SourceData.Waste_MethaneCorrectionFactorWastewater_Data(), Table_SourceData_MCF_Wastewater[[#Headers],[Facility type t]], 0)</f>
        <v>0</v>
      </c>
    </row>
    <row r="11" spans="1:35" ht="20.100000000000001" customHeight="1" x14ac:dyDescent="0.25">
      <c r="A11" s="13" t="str">
        <f>HYPERLINK("#'11.1.1-2 Wastewater CH4'!A1", "10.1.1-2 Wastewater CH4")</f>
        <v>10.1.1-2 Wastewater CH4</v>
      </c>
      <c r="D11" s="26" t="str" cm="1">
        <f t="array" ref="D11">Common_InputFunctions.Utility_DisplayArrayInTable(Wastewater_SourceData.Waste_MethaneCorrectionFactorWastewater_Data(), Table_SourceData_MCF_Wastewater[[#Headers],[Facility type t]], 0)</f>
        <v>Unmanaged aerobic treatment</v>
      </c>
      <c r="E11" s="26"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tr">
        <f>HYPERLINK("#'11.1.3-4 Wastewater N2O'!A1", "10.1.3-4 Wastewater N2O")</f>
        <v>10.1.3-4 Wastewater N2O</v>
      </c>
      <c r="D12" s="26" t="str" cm="1">
        <f t="array" ref="D12">Common_InputFunctions.Utility_DisplayArrayInTable(Wastewater_SourceData.Waste_MethaneCorrectionFactorWastewater_Data(), Table_SourceData_MCF_Wastewater[[#Headers],[Facility type t]], 0)</f>
        <v>Anaerobic digestor/reactor</v>
      </c>
      <c r="E12" s="26"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3"/>
      <c r="D13" s="26" t="str" cm="1">
        <f t="array" ref="D13">Common_InputFunctions.Utility_DisplayArrayInTable(Wastewater_SourceData.Waste_MethaneCorrectionFactorWastewater_Data(), Table_SourceData_MCF_Wastewater[[#Headers],[Facility type t]], 0)</f>
        <v>Shallow anaerobic lagoon (≤ 2 m)</v>
      </c>
      <c r="E13" s="26"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4" t="s">
        <v>2</v>
      </c>
      <c r="D14" s="26" t="str" cm="1">
        <f t="array" ref="D14">Common_InputFunctions.Utility_DisplayArrayInTable(Wastewater_SourceData.Waste_MethaneCorrectionFactorWastewater_Data(), Table_SourceData_MCF_Wastewater[[#Headers],[Facility type t]], 0)</f>
        <v>Deep anaerobic lagoon (&gt; 2m)</v>
      </c>
      <c r="E14" s="26" cm="1">
        <f t="array" ref="E14">Common_InputFunctions.Utility_DisplayArrayInTable(Wastewater_SourceData.Waste_MethaneCorrectionFactorWastewater_Data(), Table_SourceData_MCF_Wastewater[[#Headers],[Facility type t]], 0)</f>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tr" cm="1">
        <f t="array" ref="D17">Wastewater_SourceData.Waste_MethaneCorrectionFactorSludge_Title()</f>
        <v>Methane correction factor for treatment facility type t used to treat sludge</v>
      </c>
    </row>
    <row r="18" spans="1:6" ht="20.100000000000001" customHeight="1" x14ac:dyDescent="0.25">
      <c r="D18" s="4" t="str" cm="1">
        <f t="array" ref="D18">Wastewater_SourceData.Waste_MethaneCorrectionFactorSludge_Source()</f>
        <v>VEERG 2026: Table A.4.1.4</v>
      </c>
    </row>
    <row r="19" spans="1:6" ht="20.100000000000001" customHeight="1" x14ac:dyDescent="0.25">
      <c r="D19" s="1" t="str" cm="1">
        <f t="array" ref="D19">Wastewater_SourceData.Waste_MethaneCorrectionFactorSludge_Variable()</f>
        <v>CFsludge,t</v>
      </c>
    </row>
    <row r="20" spans="1:6" ht="20.100000000000001" customHeight="1" x14ac:dyDescent="0.25">
      <c r="D20" s="30" t="str" cm="1">
        <f t="array" ref="D20">Wastewater_SourceData.Waste_MethaneCorrectionFactorSludge_Unit()</f>
        <v>fraction</v>
      </c>
      <c r="F20" s="71" t="s">
        <v>120</v>
      </c>
    </row>
    <row r="21" spans="1:6" ht="20.100000000000001" customHeight="1" x14ac:dyDescent="0.25">
      <c r="A21" s="13"/>
      <c r="D21" s="26" t="s">
        <v>88</v>
      </c>
      <c r="E21" s="26" t="s">
        <v>90</v>
      </c>
    </row>
    <row r="22" spans="1:6" ht="20.100000000000001" customHeight="1" x14ac:dyDescent="0.25">
      <c r="D22" s="26" t="str" cm="1">
        <f t="array" ref="D22">Common_InputFunctions.Utility_DisplayArrayInTable(Wastewater_SourceData.Waste_MethaneCorrectionFactorSludge_Data(), Table_SourceData_MCF_Sludge[[#Headers],[Facility type t]], 0)</f>
        <v>Managed aerobic treatment</v>
      </c>
      <c r="E22" s="26" cm="1">
        <f t="array" ref="E22">Common_InputFunctions.Utility_DisplayArrayInTable(Wastewater_SourceData.Waste_MethaneCorrectionFactorSludge_Data(), Table_SourceData_MCF_Sludge[[#Headers],[Facility type t]], 0)</f>
        <v>0</v>
      </c>
    </row>
    <row r="23" spans="1:6" ht="20.100000000000001" customHeight="1" x14ac:dyDescent="0.25">
      <c r="A23" s="13"/>
      <c r="D23" s="26" t="str" cm="1">
        <f t="array" ref="D23">Common_InputFunctions.Utility_DisplayArrayInTable(Wastewater_SourceData.Waste_MethaneCorrectionFactorSludge_Data(), Table_SourceData_MCF_Sludge[[#Headers],[Facility type t]], 0)</f>
        <v>Unmanaged aerobic treatment</v>
      </c>
      <c r="E23" s="26" cm="1">
        <f t="array" ref="E23">Common_InputFunctions.Utility_DisplayArrayInTable(Wastewater_SourceData.Waste_MethaneCorrectionFactorSludge_Data(), Table_SourceData_MCF_Sludge[[#Headers],[Facility type t]], 0)</f>
        <v>0.3</v>
      </c>
    </row>
    <row r="24" spans="1:6" ht="20.100000000000001" customHeight="1" x14ac:dyDescent="0.25">
      <c r="D24" s="26" t="str" cm="1">
        <f t="array" ref="D24">Common_InputFunctions.Utility_DisplayArrayInTable(Wastewater_SourceData.Waste_MethaneCorrectionFactorSludge_Data(), Table_SourceData_MCF_Sludge[[#Headers],[Facility type t]], 0)</f>
        <v>Anaerobic digestor/reactor</v>
      </c>
      <c r="E24" s="26" cm="1">
        <f t="array" ref="E24">Common_InputFunctions.Utility_DisplayArrayInTable(Wastewater_SourceData.Waste_MethaneCorrectionFactorSludge_Data(), Table_SourceData_MCF_Sludge[[#Headers],[Facility type t]], 0)</f>
        <v>0.8</v>
      </c>
    </row>
    <row r="25" spans="1:6" ht="20.100000000000001" customHeight="1" x14ac:dyDescent="0.25">
      <c r="D25" s="26" t="str" cm="1">
        <f t="array" ref="D25">Common_InputFunctions.Utility_DisplayArrayInTable(Wastewater_SourceData.Waste_MethaneCorrectionFactorSludge_Data(), Table_SourceData_MCF_Sludge[[#Headers],[Facility type t]], 0)</f>
        <v>Shallow anaerobic lagoon (≤ 2 m)</v>
      </c>
      <c r="E25" s="26" cm="1">
        <f t="array" ref="E25">Common_InputFunctions.Utility_DisplayArrayInTable(Wastewater_SourceData.Waste_MethaneCorrectionFactorSludge_Data(), Table_SourceData_MCF_Sludge[[#Headers],[Facility type t]], 0)</f>
        <v>0.2</v>
      </c>
    </row>
    <row r="26" spans="1:6" ht="20.100000000000001" customHeight="1" x14ac:dyDescent="0.25">
      <c r="D26" s="26" t="str" cm="1">
        <f t="array" ref="D26">Common_InputFunctions.Utility_DisplayArrayInTable(Wastewater_SourceData.Waste_MethaneCorrectionFactorSludge_Data(), Table_SourceData_MCF_Sludge[[#Headers],[Facility type t]], 0)</f>
        <v>Deep anaerobic lagoon (&gt; 2m)</v>
      </c>
      <c r="E26" s="26"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9" t="str" cm="1">
        <f t="array" ref="D31">Wastewater_SourceData.Waste_MethaneEmissionFactorWastewater_Variable()</f>
        <v>EFww</v>
      </c>
      <c r="E31" s="1" cm="1">
        <f t="array" ref="E31">Wastewater_SourceData.Waste_MethaneEmissionFactorWastewater_Data()</f>
        <v>0.25</v>
      </c>
      <c r="F31" s="30"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9" t="str" cm="1">
        <f t="array" ref="D36">Wastewater_SourceData.Waste_MethaneEmissionFactorSludge_Variable()</f>
        <v>EFsludge</v>
      </c>
      <c r="E36" s="1" cm="1">
        <f t="array" ref="E36">Wastewater_SourceData.Waste_MethaneEmissionFactorSludge_Data()</f>
        <v>0.25</v>
      </c>
      <c r="F36" s="30"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9" t="str" cm="1">
        <f t="array" ref="D41">Wastewater_SourceData.Waste_EnergyContentFactorSludgeBiogasFlared_Variable()</f>
        <v>ECflared</v>
      </c>
      <c r="E41" s="1" cm="1">
        <f t="array" ref="E41">Wastewater_SourceData.Waste_EnergyContentFactorSludgeBiogasFlared_Data()</f>
        <v>3.7699999999999997E-2</v>
      </c>
      <c r="F41" s="30"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9" t="str" cm="1">
        <f t="array" ref="D46">Wastewater_SourceData.Waste_MethaneEmissionFactorSludgeBiogasFlared_Variable()</f>
        <v>EFflared,CH4</v>
      </c>
      <c r="E46" s="1" cm="1">
        <f t="array" ref="E46">Wastewater_SourceData.Waste_MethaneEmissionFactorSludgeBiogasFlared_Data()</f>
        <v>0.22889999999999999</v>
      </c>
      <c r="F46" s="30" t="str" cm="1">
        <f t="array" ref="F46">Wastewater_SourceData.Waste_MethaneEmissionFactorSludgeBiogasFlared_Unit()</f>
        <v>kg CH4 / GJ</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tr" cm="1">
        <f t="array" ref="D49">Wastewater_SourceData.Waste_NitrousOxideEmissionFactorSludgeBiogasFlared_Title()</f>
        <v>Nitrous oxide emission factor for sludge biogas flared</v>
      </c>
    </row>
    <row r="50" spans="1:6" ht="20.100000000000001" customHeight="1" x14ac:dyDescent="0.25">
      <c r="D50" s="4" t="str" cm="1">
        <f t="array" ref="D50">Wastewater_SourceData.Waste_NitrousOxideEmissionFactorSludgeBiogasFlared_Source()</f>
        <v>VEERG 2026: 11.2.3 Constants</v>
      </c>
    </row>
    <row r="51" spans="1:6" ht="20.100000000000001" customHeight="1" x14ac:dyDescent="0.25">
      <c r="D51" s="29" t="str" cm="1">
        <f t="array" ref="D51">Wastewater_SourceData.Waste_NitrousOxideEmissionFactorSludgeBiogasFlared_Variable()</f>
        <v>EFflared,N2O</v>
      </c>
      <c r="E51" s="1" cm="1">
        <f t="array" ref="E51">Wastewater_SourceData.Waste_NitrousOxideEmissionFactorSludgeBiogasFlared_Data()</f>
        <v>1.132E-4</v>
      </c>
      <c r="F51" s="30" t="str" cm="1">
        <f t="array" ref="F51">Wastewater_SourceData.Waste_NitrousOxideEmissionFactorSludgeBiogasFlared_Unit()</f>
        <v>kg N2O / GJ</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7BE6-A391-432F-B8D2-A68CD0E0E20E}">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cAYQBzAHQAZQB3AGEAdABlAHI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EAMQAuADEAOgAgAFcAYQBzAHQAZQB3AGEAdABlAHIAXABuAD0APQA9AD0APQA9AD0APQA9AD0APQA9AD0APQA9AD0APQA9AD0APQA9AD0APQA9AD0APQA9AD0APQA9AD0APQA9AD0APQA9AD0APQA9AD0APQA9AD0APQA9AD0APQA9AD0APQA9AD0APQA9AD0APQA9AD0APQA9AD0APQA9AD0APQA9AD0APQA9AD0APQA9AD0APQA9AD0AXABuADEAMQAuADEALgAxAC4AMQAgAE0AZQB0AGgAbwBkACAAMQAgAC0AIABNAGUAdABoAGEAbgBlACAAZQBtAGkAcwBzAGkAbwBuAHMAIABmAHIAbwBtACAAbwBuAHMAaQB0AGUAIABXAGEAcwB0AGUAdwBhAHQAZQByACAATQBhAG4AYQBnAGU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QBfADEAXwAxAF8AMQBfAF8AMQBfAE0AZQB0AGgAYQBuAGUARQBtAGkAcwBzAGkAbwBuAHMARgByAG8AbQBXAGEAcwB0AGUAdwBhAHQAZQByAFQAcgBlAGEAdABtAGUAbgB0AFwAbgBNAGUAdABoAGEAbgBlACAAZQBtAGkAcwBzAGkAbwBuAHMAIABmAHIAbwBtACAAdwBhAHMAdABlAHcAYQB0AGUAcgAgAHQAcgBlAGEAdABtAGUAbgB0AFwAbgBFAF8AQwBIADQAXABuAHQAIABDAEgANABcAG4ARQBfAHsAQwBIADQAfQA9AFwAXABmAHIAYQBjAHsAMQB9AHsAMQAwADAAMAB9AFwAXAB0AGkAbQBlAHMAXABcAGwAZQBmAHQAWwBcAFwAbABlAGYAdAAoAFcAXwB0AFwAXAB0AGkAbQBlAHMAXABcAGwAZQBmAHQAKABDAE8ARABfAHsAaQBuAH0AXABcAHQAaQBtAGUAcwAoADEALQBGAF8AewBzAGwAdQBkAGcAZQB9ACkALQBDAE8ARABfAHsAbwB1AHQAfQBcAFwAcgBpAGcAaAB0ACkAXABcAHQAaQBtAGUAcwAgAEMARgBfAHsAdwB3ACwAdAB9AFwAXAB0AGkAbQBlAHMAIABFAEYAXwB7AHcAdwB9AFwAXAByAGkAZwBoAHQAKQArAFwAXABsAGUAZgB0ACgAVwBfAHQAXABcAHQAaQBtAGUAcwBcAFwAbABlAGYAdAAoAEMATwBEAF8AewBpAG4AfQBcAFwAdABpAG0AZQBzACgARgBfAHsAcwBsAHUAZABnAGUAfQAtAEYAXwB7AHIAZQBtAG8AdgBlAGQAfQApAFwAXAByAGkAZwBoAHQAKQBcAFwAdABpAG0AZQBzACAAQwBGAF8AewBzAGwAdQBkAGcAZQAsAHQAfQBcAFwAdABpAG0AZQBzACAARQBGAF8AewBzAGwAdQBkAGcAZQB9AFwAXAByAGkAZwBoAHQAKQAtAFwAXABsAGUAZgB0ACgANgAuADcAOAA0AFwAXAB0AGkAbQBlAHMAIAAxADAAXgB7AC0ANAB9AFwAXAB0AGkAbQBlAHMAKABRAF8AewBjAGEAcAB9ACsAUQBfAHsAZgBsAGEAcgBlAGQAfQArAFEAXwB7AG8AdQB0AH0AKQBcAFwAcgBpAGcAaAB0ACkAKwBcAFwAbABlAGYAdAAoAFEAXwB7AGYAbABhAHIAZQBkAH0AXABcAHQAaQBtAGUAcwAgAEUAQwBfAHsAZgBsAGEAcgBlAGQAfQBcAFwAdABpAG0AZQBzACAARQBGAF8AewBmAGwAYQByAGUAZAAsAEMASAA0AH0AXABcAHIAaQBnAGgAdAApAFwAXAByAGkAZwBoAHQAXQBcAG4AVwBfAHQAIAA9ACAAcQB1AGEAbgB0AGkAdAB5ACAAbwBmACAAdwBhAHMAdABlAHcAYQB0AGUAcgAgAHQAcgBlAGEAdABlAGQAIABhAHQAIABmAGEAYwBpAGwAaQB0AHkAIAB0AHkAcABlACAAdAAgACgAbQAzACkAXABuAEMATwBEAF8AaQBuACAAPQAgAGEAdgBlAHIAYQBnAGUAIABpAG4AbABlAHQAIABDAGgAZQBtAGkAYwBhAGwAIABPAHgAeQBnAGUAbgAgAEQAZQBtAGEAbgBkACAAYwBvAG4AYwBlAG4AdAByAGEAdABpAG8AbgAgAG8AZgAgAHcAYQBzAHQAZQB3AGEAdABlAHIAIAAoAGsAZwAgAEMATwBEAC8AbQAzACkAXABuAEYAXwBzAGwAdQBkAGcAZQAgAD0AIABmAHIAYQBjAHQAaQBvAG4AIABvAGYAIABDAE8ARAAgAHIAZQBtAG8AdgBlAGQAIABmAHIAbwBtACAAdwBhAHMAdABlAHcAYQB0AGUAcgAgAGEAcwAgAHMAbAB1AGQAZwBlAFwAbgBDAE8ARABfAG8AdQB0ACAAPQAgAGEAdgBlAHIAYQBnAGUAIABvAHUAdABsAGUAdAAgAEMATwBEACAAYwBvAG4AYwBlAG4AdAByAGEAdABpAG8AbgAgAG8AZgAgAHcAYQBzAHQAZQB3AGEAdABlAHIAIAAoAGsAZwAgAEMATwBEAC8AbQAzACkAXABuAEMARgBfAHcAdwBfAHQAIAA9ACAAbQBlAHQAaABhAG4AZQAgAGMAbwByAHIAZQBjAHQAaQBvAG4AIABmAGEAYwB0AG8AcgAgAGYAbwByACAAZgBhAGMAaQBsAGkAdAB5ACAAdAB5AHAAZQAgAHQAIAB1AHMAZQBkACAAdABvACAAdAByAGUAYQB0ACAAdwBhAHMAdABlAHcAYQB0AGUAcgBcAG4ARQBGAF8AdwB3ACAAPQAgAG0AZQB0AGgAYQBuAGUAIABlAG0AaQBzAHMAaQBvAG4AIABmAGEAYwB0AG8AcgAgAGYAbwByACAAdwBhAHMAdABlAHcAYQB0AGUAcgAgACgAawBnACAAQwBPADIAZQAvAGsAZwAgAEMATwBEACkAXABuAEYAXwByAGUAbQBvAHYAZQBkACAAPQAgAGYAcgBhAGMAdABpAG8AbgAgAG8AZgAgAEMATwBEACAAcgBlAG0AbwB2AGUAZAAgAGYAcgBvAG0AIAB0AGgAZQAgAHcAYQBzAHQAZQB3AGEAdABlAHIAIAB0AHIAZQBhAHQAbQBlAG4AdAAgAGYAYQBjAGkAbABpAHQAeQAgAGEAbgBkACAAdAByAGEAbgBzAGYAZQByAHIAZQBkACAAZQBsAHMAZQB3AGgAZQByAGUAXABuAEMARgBfAHMAbAB1AGQAZwBlAF8AdAAgAD0AIABtAGUAdABoAGEAbgBlACAAYwBvAHIAcgBlAGMAdABpAG8AbgAgAGYAYQBjAHQAbwByACAAZgBvAHIAIABmAGEAYwBpAGwAaQB0AHkAIAB0AHkAcABlACAAdAAgAHUAcwBlAGQAIAB0AG8AIAB0AHIAZQBhAHQAIABzAGwAdQBkAGcAZQBcAG4ARQBGAF8AcwBsAHUAZABnAGUAIAA9ACAAbQBlAHQAaABhAG4AZQAgAGUAbQBpAHMAcwBpAG8AbgAgAGYAYQBjAHQAbwByACAAZgBvAHIAIABzAGwAdQBkAGcAZQAgACgAawBnACAAQwBPADIAZQAvAGsAZwAgAEMATwBEACkAXABuAFEAXwBjAGEAcAAgAD0AIABxAHUAYQBuAHQAaQB0AHkAIABvAGYAIABtAGUAdABoAGEAbgBlACAAaQBuACAAcwBsAHUAZABnAGUAIABiAGkAbwBnAGEAcwAgAGMAYQBwAHQAdQByAGUAZAAgAGYAbwByACAAYwBvAG0AYgB1AHMAdABpAG8AbgAgACgAbQAzACAAQwBIADQAKQBcAG4AUQBfAGYAbABhAHIAZQBkACAAPQAgAHEAdQBhAG4AdABpAHQAeQAgAG8AZgAgAG0AZQB0AGgAYQBuAGUAIABpAG4AIABzAGwAdQBkAGcAZQAgAGIAaQBvAGcAYQBzACAAZgBsAGEAcgBlAGQAIAAoAG0AMwAgAEMASAA0ACkAXABuAFEAXwBvAHUAdAAgAD0AIABxAHUAYQBuAHQAaQB0AHkAIABvAGYAIABtAGUAdABoAGEAbgBlACAAaQBuACAAcwBsAHUAZABnAGUAIABiAGkAbwBnAGEAcwAgAHQAcgBhAG4AcwBmAGUAcgByAGUAZAAgAG8AdQB0ACAAbwBmACAAdABoAGUAIAB0AHIAZQBhAHQAbQBlAG4AdAAgAGYAYQBjAGkAbABpAHQAeQAgACgAbQAzACAAQwBIADQAKQBcAG4ARQBDAF8AZgBsAGEAcgBlAGQAIAA9ACAAZQBuAGUAcgBnAHkAIABjAG8AbgB0AGUAbgB0ACAAZgBhAGMAdABvAHIAIABvAGYAIABtAGUAdABoAGEAbgBlACAAaQBuACAAcwBsAHUAZABnAGUAIABiAGkAbwBnAGEAcwAgAGYAbABhAHIAZQBkACAAKABHAEoALwBtADMAKQBcAG4ARQBGAF8AZgBsAGEAcgBlAGQAXwBDAEgANAAgAD0AIABtAGUAdABoAGEAbgBlACAAZQBtAGkAcwBzAGkAbwBuACAAZgBhAGMAdABvAHIAIABmAG8AcgAgAHMAbAB1AGQAZwBlACAAYgBpAG8AZwBhAHMAIABmAGwAYQByAGUAZAAgACgAawBnACAAQwBPADIAZQAvAEcASgApAFwAbgAtAC0ALQAtAC0ALQAtAC0ALQAtAC0ALQAtAC0ALQAtAC0ALQAtAC0ALQAtAC0ALQAtAC0ALQAtAC0ALQAtAC0ALQAtAC0ALQAtAC0AXABuACoALwBcAG4AXABuAFYARQBFAFIARwBfADEAMQBfADEAXwAxAF8AMQBfAF8AMQBfAE0AZQB0AGgAYQBuAGUARQBtAGkAcwBzAGkAbwBuAHMARgByAG8AbQBXAGEAcwB0AGUAdwBhAHQAZQByAFQAcgBlAGEAdABtAGUAbgB0AFwAbgAgACAAPQBMAEEATQBCAEQAQQAoAFwAbgAgACAAIAAgAFcAXwB0ACwAIABDAE8ARABfAGkAbgAsACAARgBfAHMAbAB1AGQAZwBlACwAIABDAE8ARABfAG8AdQB0ACwAIABDAEYAXwB3AHcAXwB0ACwAIABFAEYAXwB3AHcALAAgAEYAXwByAGUAbQBvAHYAZQBkACwAIABDAEYAXwBzAGwAdQBkAGcAZQBfAHQALAAgAEUARgBfAHMAbAB1AGQAZwBlACwAIABRAF8AYwBhAHAALAAgAFEAXwBmAGwAYQByAGUAZAAsACAAUQBfAG8AdQB0ACwAIABFAEMAXwBmAGwAYQByAGUAZAAsACAARQBGAF8AZgBsAGEAcgBlAGQAQwBIADQALABcAG4AIAAgACAAIAAoADEALwAxADAAMAAwACkAIAAqACAAKAAoAFcAXwB0ACAAKgAgACgAQwBPAEQAXwBpAG4AIAAqACAAKAAxACAALQAgAEYAXwBzAGwAdQBkAGcAZQApACAALQAgAEMATwBEAF8AbwB1AHQAKQAgACoAIABDAEYAXwB3AHcAXwB0ACAAKgAgAEUARgBfAHcAdwApACAAKwAgACgAVwBfAHQAIAAqACAAKABDAE8ARABfAGkAbgAgACoAIAAoAEYAXwBzAGwAdQBkAGcAZQAgAC0AIABGAF8AcgBlAG0AbwB2AGUAZAApACkAIAAqACAAQwBGAF8AcwBsAHUAZABnAGUAXwB0ACAAKgAgAEUARgBfAHMAbAB1AGQAZwBlACkAIAAtACAAKAA2AC4ANwA4ADQAIAAqACAAMQAwAF4ALQA0ACAAKgAgACgAUQBfAGMAYQBwACAAKwAgAFEAXwBmAGwAYQByAGUAZAAgACsAIABRAF8AbwB1AHQAKQApACAAKwAgACgAUQBfAGYAbABhAHIAZQBkACAAKgAgACgARQBDAF8AZgBsAGEAcgBlAGQAIAAqACAARQBGAF8AZgBsAGEAcgBlAGQAQwBIADQAKQApACkAXABuACAAIAApADsAXABuAFwAbgBWAEUARQBSAEcAXwAxADEAXwAxAF8AMQBfADEAXwBfADEAXwBNAGUAdABoAGEAbgBlAEUAbQBpAHMAcwBpAG8AbgBzAEYAcgBvAG0AVwBhAHMAdABlAHcAYQB0AGUAcgBUAHIAZQBhAHQAbQBlAG4AdABfAFQAaQB0AGwAZQBcAG4AIAAgAD0ATABBAE0AQgBEAEEAKABcACIATQBlAHQAaABhAG4AZQAgAGUAbQBpAHMAcwBpAG8AbgBzACAAZgByAG8AbQAgAHcAYQBzAHQAZQB3AGEAdABlAHIAIAB0AHIAZQBhAHQAbQBlAG4AdABcACIAKQA7AFwAbgBcAG4AVgBFAEUAUgBHAF8AMQAxAF8AMQBfADEAXwAxAF8AXwAxAF8ATQBlAHQAaABhAG4AZQBFAG0AaQBzAHMAaQBvAG4AcwBGAHIAbwBtAFcAYQBzAHQAZQB3AGEAdABlAHIAVAByAGUAYQB0AG0AZQBuAHQAXwBWAGEAcgBpAGEAYgBsAGUAXABuACAAIAA9AEwAQQBNAEIARABBACgAXAAiAEUAXwBDAEgANABcACIAKQA7AFwAbgBcAG4AVgBFAEUAUgBHAF8AMQAxAF8AMQBfADEAXwAxAF8AXwAxAF8ATQBlAHQAaABhAG4AZQBFAG0AaQBzAHMAaQBvAG4AcwBGAHIAbwBtAFcAYQBzAHQAZQB3AGEAdABlAHIAVAByAGUAYQB0AG0AZQBuAHQAXwBVAG4AaQB0AFwAbgAgACAAPQBMAEEATQBCAEQAQQAoAFwAIgB0ACAAQwBIADQAXAAiACkAOwBcAG4AXABuAFYARQBFAFIARwBfADEAMQBfADEAXwAxAF8AMQBfAF8AMQBfAE0AZQB0AGgAYQBuAGUARQBtAGkAcwBzAGkAbwBuAHMARgByAG8AbQBXAGEAcwB0AGUAdwBhAHQAZQByAFQAcgBlAGEAdABtAGUAbgB0AF8AUwBvAHUAcgBjAGUAXABuACAAIAA9AEwAQQBNAEIARABBACgAXAAiAFYARQBFAFIARwAgADIAMAAyADYAOgAgADEAMQAuADEALgAxAC4AMQAsACAARQBxAHUAYQB0AGkAbwBuACAAKAAxACkAXAAiACkAOwBcAG4AXABuAFYARQBFAFIARwBfADEAMQBfADEAXwAxAF8AMQBfAF8AMQBfAE0AZQB0AGgAYQBuAGUARQBtAGkAcwBzAGkAbwBuAHMARgByAG8AbQBXAGEAcwB0AGUAdwBhAHQAZQByAFQAcgBlAGEAdABtAGUAbgB0AF8ATgBJAFIAUgBlAGYAZQByAGUAbgBjAGUAXABuACAAIAA9AEwAQQBNAEIARABBACgAXAAiAE4AYQB0AGkAbwBuAGEAbAAgAEcAcgBlAGUAbgBoAG8AdQBzAGUAIABhAG4AZAAgAEUAbgBlAHIAZwB5ACAAUgBlAHAAbwByAHQAaQBuAGcAIABNAGUAYQBzAHUAcgBlAG0AZQBuAHQAIABEAGUAdABlAHIAbQBpAG4AYQB0AGkAbwBuACAAMgAwADAAOABcACIAKQA7AFwAbgBcAG4AVgBFAEUAUgBHAF8AMQAxAF8AMQBfADEAXwAxAF8AXwAxAF8ATQBlAHQAaABhAG4AZQBFAG0AaQBzAHMAaQBvAG4AcwBGAHIAbwBtAFcAYQBzAHQAZQB3AGEAdABlAHIAVAByAGUAYQB0AG0AZQBuAHQAXwBMAGEAdABlAHgARQBxAHUAYQB0AGkAbwBuAFwAbgAgACAAPQBMAEEATQBCAEQAQQAoAFwAIgBFAF8AewBDAEgANAB9AD0AXABcAGYAcgBhAGMAewAxAH0AewAxADAAMAAwAH0AXABcAHQAaQBtAGUAcwBcAFwAbABlAGYAdAB7AFwAXABsAGUAZgB0AHsAVwBfAHQAXABcAHQAaQBtAGUAcwBcAFwAbABlAGYAdABbAEMATwBEAF8AewBpAG4AfQBcAFwAdABpAG0AZQBzACgAMQAtAEYAXwB7AHMAbAB1AGQAZwBlAH0AKQAtAEMATwBEAF8AewBvAHUAdAB9AFwAXAByAGkAZwBoAHQAXQBcAFwAdABpAG0AZQBzACAAQwBGAF8AewB3AHcALAB0AH0AXABcAHQAaQBtAGUAcwAgAEUARgBfAHsAdwB3AH0AXABcAHIAaQBnAGgAdAB9ACsAXABcAGwAZQBmAHQAewBXAF8AdABcAFwAdABpAG0AZQBzAFwAXABsAGUAZgB0AFsAQwBPAEQAXwB7AGkAbgB9AFwAXAB0AGkAbQBlAHMAKABGAF8AewBzAGwAdQBkAGcAZQB9AC0ARgBfAHsAcgBlAG0AbwB2AGUAZAB9ACkAXABcAHIAaQBnAGgAdABdAFwAXAB0AGkAbQBlAHMAIABDAEYAXwB7AHMAbAB1AGQAZwBlACwAdAB9AFwAXAB0AGkAbQBlAHMAIABFAEYAXwB7AHMAbAB1AGQAZwBlAH0AXABcAHIAaQBnAGgAdAB9AC0AXABcAGwAZQBmAHQAewA2AC4ANwA4ADQAXABcAHQAaQBtAGUAcwAgADEAMABeAHsALQA0AH0AXABcAHQAaQBtAGUAcwAgAFwAXABsAGUAZgB0AFsAIABRAF8AewBjAGEAcAB9ACsAUQBfAHsAZgBsAGEAcgBlAGQAfQArAFEAXwB7AG8AdQB0AH0AXABcAHIAaQBnAGgAdABdAFwAXAByAGkAZwBoAHQAfQArAFwAXABsAGUAZgB0AHsAUQBfAHsAZgBsAGEAcgBlAGQAfQBcAFwAdABpAG0AZQBzACAAXABcAGwAZQBmAHQAWwAgAEUAQwBfAHsAZgBsAGEAcgBlAGQAfQBcAFwAdABpAG0AZQBzACAARQBGAF8AewBmAGwAYQByAGUAZAAsAEMASAA0AH0AXABcAHIAaQBnAGgAdABdAFwAXAByAGkAZwBoAHQAfQBcAFwAcgBpAGcAaAB0AH0AXAAiACkAOwBcAG4AXABuAFYARQBFAFIARwBfADEAMQBfADEAXwAxAF8AMQBfAF8AMQBfAE0AZQB0AGgAYQBuAGUARQBtAGkAcwBzAGkAbwBuAHMARgByAG8AbQBXAGEAcwB0AGUAdwBhAHQAZQByAFQAcgBlAGEAdABtAGUAbgB0AF8AQQByAGcAdQBtAGUAbgB0AHMAXABuACAAIAA9AEwAQQBNAEIARABBACgAXABuACAAIAAgACAATQBBAEsARQBBAFIAUgBBAFkAKAAxADUALAAgADQALABcAG4AIAAgACAAIAAgACAATABBAE0AQgBEAEEAKAByACwAYwAsAFwAbgAgACAAIAAgACAAIAAgACAASQBOAEQARQBYACgAewBcAG4AIAAgACAAIAAgACAAIAAgACAAIABcACIAVwBfAHQAXAAiACwAIABcACIAcQB1AGEAbgB0AGkAdAB5ACAAbwBmACAAdwBhAHMAdABlAHcAYQB0AGUAcgAgAHQAcgBlAGEAdABlAGQAIABhAHQAIABmAGEAYwBpAGwAaQB0AHkAIAB0AHkAcABlACAAdABcACIALAAgAFwAIgBtADMAXAAiACwAIABcACIASQBuAHAAdQB0AFwAIgA7AFwAbgAgACAAIAAgACAAIAAgACAAIAAgAFwAIgBDAE8ARABfAGkAbgBcACIALAAgAFwAIgBhAHYAZQByAGEAZwBlACAAaQBuAGwAZQB0ACAAQwBoAGUAbQBpAGMAYQBsACAATwB4AHkAZwBlAG4AIABEAGUAbQBhAG4AZAAgAGMAbwBuAGMAZQBuAHQAcgBhAHQAaQBvAG4AIABvAGYAIAB3AGEAcwB0AGUAdwBhAHQAZQByAFwAIgAsACAAXAAiAGsAZwAgAEMATwBEAC8AbQAzAFwAIgAsACAAXAAiAEkAbgBwAHUAdABcACIAOwBcAG4AIAAgACAAIAAgACAAIAAgACAAIABcACIARgBfAHMAbAB1AGQAZwBlAFwAIgAsACAAXAAiAGYAcgBhAGMAdABpAG8AbgAgAG8AZgAgAEMATwBEACAAcgBlAG0AbwB2AGUAZAAgAGYAcgBvAG0AIAB3AGEAcwB0AGUAdwBhAHQAZQByACAAYQBzACAAcwBsAHUAZABnAGUAXAAiACwAIABcACIAZgByAGEAYwB0AGkAbwBuAFwAIgAsACAAXAAiAEkAbgBwAHUAdABcACIAOwBcAG4AIAAgACAAIAAgACAAIAAgACAAIABcACIAQwBPAEQAXwBvAHUAdABcACIALAAgAFwAIgBhAHYAZQByAGEAZwBlACAAbwB1AHQAbABlAHQAIABDAE8ARAAgAGMAbwBuAGMAZQBuAHQAcgBhAHQAaQBvAG4AIABvAGYAIAB3AGEAcwB0AGUAdwBhAHQAZQByAFwAIgAsACAAXAAiAGsAZwAgAEMATwBEAC8AbQAzAFwAIgAsACAAXAAiAEkAbgBwAHUAdABcACIAOwBcAG4AIAAgACAAIAAgACAAIAAgACAAIABcACIAQwBGAF8AdwB3AF8AdABcACIALAAgAFwAIgBtAGUAdABoAGEAbgBlACAAYwBvAHIAcgBlAGMAdABpAG8AbgAgAGYAYQBjAHQAbwByACAAZgBvAHIAIABmAGEAYwBpAGwAaQB0AHkAIAB0AHkAcABlACAAdAAgAHUAcwBlAGQAIAB0AG8AIAB0AHIAZQBhAHQAIAB3AGEAcwB0AGUAdwBhAHQAZQByAFwAIgAsACAAXAAiAGYAcgBhAGMAdABpAG8AbgBcACIALAAgAFwAIgBDAG8AbgBzAHQAYQBuAHQAXAAiADsAXABuACAAIAAgACAAIAAgACAAIAAgACAAXAAiAEUARgBfAHcAdwBcACIALAAgAFwAIgBtAGUAdABoAGEAbgBlACAAZQBtAGkAcwBzAGkAbwBuACAAZgBhAGMAdABvAHIAIABmAG8AcgAgAHcAYQBzAHQAZQB3AGEAdABlAHIAXAAiACwAIABcACIAawBnACAAQwBIADQALwBrAGcAIABDAE8ARABcACIALAAgAFwAIgBDAG8AbgBzAHQAYQBuAHQAXAAiADsAXABuACAAIAAgACAAIAAgACAAIAAgACAAXAAiAEYAXwByAGUAbQBvAHYAZQBkAFwAIgAsACAAXAAiAGYAcgBhAGMAdABpAG8AbgAgAG8AZgAgAEMATwBEACAAcgBlAG0AbwB2AGUAZAAgAGYAcgBvAG0AIAB0AGgAZQAgAHcAYQBzAHQAZQB3AGEAdABlAHIAIAB0AHIAZQBhAHQAbQBlAG4AdAAgAGYAYQBjAGkAbABpAHQAeQAgAGEAbgBkACAAdAByAGEAbgBzAGYAZQByAHIAZQBkACAAZQBsAHMAZQB3AGgAZQByAGUAXAAiACwAIABcACIAZgByAGEAYwB0AGkAbwBuAFwAIgAsACAAXAAiAEkAbgBwAHUAdABcACIAOwBcAG4AIAAgACAAIAAgACAAIAAgACAAIABcACIAQwBGAF8AcwBsAHUAZABnAGUAXwB0AFwAIgAsACAAXAAiAG0AZQB0AGgAYQBuAGUAIABjAG8AcgByAGUAYwB0AGkAbwBuACAAZgBhAGMAdABvAHIAIABmAG8AcgAgAGYAYQBjAGkAbABpAHQAeQAgAHQAeQBwAGUAIAB0ACAAdQBzAGUAZAAgAHQAbwAgAHQAcgBlAGEAdAAgAHMAbAB1AGQAZwBlAFwAIgAsACAAXAAiAGYAcgBhAGMAdABpAG8AbgBcACIALAAgAFwAIgBDAG8AbgBzAHQAYQBuAHQAXAAiADsAXABuACAAIAAgACAAIAAgACAAIAAgACAAXAAiAEUARgBfAHMAbAB1AGQAZwBlAFwAIgAsACAAXAAiAG0AZQB0AGgAYQBuAGUAIABlAG0AaQBzAHMAaQBvAG4AIABmAGEAYwB0AG8AcgAgAGYAbwByACAAcwBsAHUAZABnAGUAXAAiACwAIABcACIAawBnACAAQwBIADQALwBrAGcAIABDAE8ARABcACIALAAgAFwAIgBDAG8AbgBzAHQAYQBuAHQAXAAiADsAXABuACAAIAAgACAAIAAgACAAIAAgACAAXAAiAFEAXwBjAGEAcABcACIALAAgAFwAIgBxAHUAYQBuAHQAaQB0AHkAIABvAGYAIABtAGUAdABoAGEAbgBlACAAaQBuACAAcwBsAHUAZABnAGUAIABiAGkAbwBnAGEAcwAgAGMAYQBwAHQAdQByAGUAZAAgAGYAbwByACAAYwBvAG0AYgB1AHMAdABpAG8AbgBcACIALAAgAFwAIgBtADMAIABDAEgANABcACIALAAgAFwAIgBJAG4AcAB1AHQAXAAiADsAXABuACAAIAAgACAAIAAgACAAIAAgACAAXAAiAFEAXwBmAGwAYQByAGUAZABcACIALAAgAFwAIgBxAHUAYQBuAHQAaQB0AHkAIABvAGYAIABtAGUAdABoAGEAbgBlACAAaQBuACAAcwBsAHUAZABnAGUAIABiAGkAbwBnAGEAcwAgAGYAbABhAHIAZQBkACAAYgB5ACAAdABoAGUAIAB0AHIAZQBhAHQAbQBlAG4AdAAgAGYAYQBjAGkAbABpAHQAeQBcACIALAAgAFwAIgBtADMAIABDAEgANABcACIALAAgAFwAIgBJAG4AcAB1AHQAXAAiADsAXABuACAAIAAgACAAIAAgACAAIAAgACAAXAAiAFEAXwBvAHUAdABcACIALAAgAFwAIgBxAHUAYQBuAHQAaQB0AHkAIABvAGYAIABtAGUAdABoAGEAbgBlACAAaQBuACAAcwBsAHUAZABnAGUAIABiAGkAbwBnAGEAcwAgAHQAcgBhAG4AcwBmAGUAcgByAGUAZAAgAG8AdQB0ACAAbwBmACAAdABoAGUAIAB0AHIAZQBhAHQAbQBlAG4AdAAgAGYAYQBjAGkAbABpAHQAeQBcACIALAAgAFwAIgBtADMAIABDAEgANABcACIALAAgAFwAIgBJAG4AcAB1AHQAXAAiADsAXABuACAAIAAgACAAIAAgACAAIAAgACAAXAAiAEUAQwBfAGYAbABhAHIAZQBkAFwAIgAsACAAXAAiAGUAbgBlAHIAZwB5ACAAYwBvAG4AdABlAG4AdAAgAGYAYQBjAHQAbwByACAAbwBmACAAbQBlAHQAaABhAG4AZQAgAGkAbgAgAHMAbAB1AGQAZwBlACAAYgBpAG8AZwBhAHMAIABmAGwAYQByAGUAZABcACIALAAgAFwAIgBHAEoALwBtADMAXAAiACwAIABcACIAQwBvAG4AcwB0AGEAbgB0AFwAIgA7AFwAbgAgACAAIAAgACAAIAAgACAAIAAgAFwAIgBFAEYAXwBmAGwAYQByAGUAZABDAEgANABcACIALAAgAFwAIgBtAGUAdABoAGEAbgBlACAAZQBtAGkAcwBzAGkAbwBuACAAZgBhAGMAdABvAHIAIABmAG8AcgAgAHMAbAB1AGQAZwBlACAAYgBpAG8AZwBhAHMAIABmAGwAYQByAGUAZABcACIALAAgAFwAIgBrAGcAIABDAEgANAAvAEcASgBcACIALAAgAFwAIgBDAG8AbgBzAHQAYQBuAHQAXAAiADsAXABuACAAIAAgACAAIAAgACAAIAAgACAAXAAiAHQAXAAiACwAIABcACIAdAByAGUAYQB0AG0AZQBuAHQAIABmAGEAYwBpAGwAaQB0AHkAIAB0AHkAcABlAFwAIgAsACAAXAAiAFwAIgAsACAAXAAiAEkAbgBwAHUAdABcACIAXABuACAAIAAgACAAIAAgACAAIAB9ACwAIAByACwAIABjACkAXABuACAAIAAgACAAIAAgACkAXABuACAAIAAgACAAKQBcAG4AIAAgACkAOwBcAG4AXABuAFwAbgBWAEUARQBSAEcAXwAxADEAXwAxAF8AMQBfADEAXwBfADEAXwBNAGUAdABoAGEAbgBlAEUAbQBpAHMAcwBpAG8AbgBzAEYAcgBvAG0AVwBhAHMAdABlAHcAYQB0AGUAcgBUAHIAZQBhAHQAbQBlAG4AdABfAFYAYQByAGkAYQB0AGkAbwBuAFwAbgAgACAAPQBMAEEATQBCAEQAQQAoAFwAIgBWAEEAUgBJAEEAVABJAE8ATgAgAE8ATgAgAFMATwBVAFIAQwBFADoAIABDAGgAYQBuAGcAZQBkACAAdQBuAGkAdABzACAAbwBmACAARQBGAF8AdwB3ACwAIABFAEYAXwBTAGwAdQBkAGcAZQAgAGEAbgBkACAARQBGAF8AZgBsAGEAcgBlAGQAIABmAHIAbwBtACAAQwBPADIAZQAgAHQAbwAgAEMASAA0ACAAdABvACAAbQBhAHQAYwBoACAAZABhAHQAYQAgAGkAbgAgAFQAYQBiAGwAZQAgAFwAIgApADsAIgB9ACwAewAiAHAAYQB0AGgAIgA6ACIALwBwAHIAbwBqAGUAYwB0AHMALwBXAGEAcwB0AGUAdwBhAHQ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VABhAGIAbABlACAAQQAuADQALgAxAC4AMwA6ACAATQBlAHQAaABhAG4AZQAgAGMAbwByAHIAZQBjAHQAaQBvAG4AIABmAGEAYwB0AG8AcgAgAGYAbwByACAAdAByAGUAYQB0AG0AZQBuAHQAIABmAGEAYwBpAGwAaQB0AHkAIAB0AHkAcABlACAAdAAgAHUAcwBlAGQAIAB0AG8AIAB0AHIAZQBhAHQAIAB3AGEAcwB0AGUAdwBhAHQAZQByACAAKABmAHIAYQBjAHQAaQBvAG4AKQAgACgAQwBGAHcAdwAsAHQAKQBcAG4APQA9AD0APQA9AD0APQA9AD0APQA9AD0APQA9AD0APQA9AD0APQA9AD0APQA9AD0APQA9AD0APQA9AD0APQA9AD0APQA9AD0APQA9AD0APQA9AD0APQA9AD0APQA9AD0APQA9AD0APQA9AD0APQA9AD0APQA9AD0APQA9AD0APQA9AD0APQA9AD0APQA9AD0APQA9AD0APQBcAG4AKgAvAFwAbgBcAG4AVwBhAHMAdABlAF8ATQBlAHQAaABhAG4AZQBDAG8AcgByAGUAYwB0AGkAbwBuAEYAYQBjAHQAbwByAFcAYQBzAHQAZQB3AGEAdABlAHIAXwBUAGkAdABsAGUAXABuAD0ATABBAE0AQgBEAEEAKAAoAFwAIgBNAGUAdABoAGEAbgBlACAAYwBvAHIAcgBlAGMAdABpAG8AbgAgAGYAYQBjAHQAbwByACAAZgBvAHIAIAB0AHIAZQBhAHQAbQBlAG4AdAAgAGYAYQBjAGkAbABpAHQAeQAgAHQAeQBwAGUAIAB0ACAAdQBzAGUAZAAgAHQAbwAgAHQAcgBlAGEAdAAgAHcAYQBzAHQAZQB3AGEAdABlAHIAXAAiACkAKQA7AFwAbgBcAG4AVwBhAHMAdABlAF8ATQBlAHQAaABhAG4AZQBDAG8AcgByAGUAYwB0AGkAbwBuAEYAYQBjAHQAbwByAFcAYQBzAHQAZQB3AGEAdABlAHIAXwBWAGEAcgBpAGEAYgBsAGUAXABuAD0ATABBAE0AQgBEAEEAKAAoAFwAIgBDAEYAdwB3ACwAdABcACIAKQApADsAXABuAFwAbgBXAGEAcwB0AGUAXwBNAGUAdABoAGEAbgBlAEMAbwByAHIAZQBjAHQAaQBvAG4ARgBhAGMAdABvAHIAVwBhAHMAdABlAHcAYQB0AGUAcgBfAFUAbgBpAHQAXABuAD0ATABBAE0AQgBEAEEAKAAoAFwAIgBmAHIAYQBjAHQAaQBvAG4AXAAiACkAKQA7AFwAbgBcAG4AVwBhAHMAdABlAF8ATQBlAHQAaABhAG4AZQBDAG8AcgByAGUAYwB0AGkAbwBuAEYAYQBjAHQAbwByAFcAYQBzAHQAZQB3AGEAdABlAHIAXwBTAG8AdQByAGMAZQBcAG4APQBMAEEATQBCAEQAQQAoACgAXAAiAFYARQBFAFIARwAgADIAMAAyADYAOgAgAFQAYQBiAGwAZQAgAEEALgA0AC4AMQAuADMAXAAiACkAKQA7AFwAbgBcAG4AVwBhAHMAdABlAF8ATQBlAHQAaABhAG4AZQBDAG8AcgByAGUAYwB0AGkAbwBuAEYAYQBjAHQAbwByAFcAYQBzAHQAZQB3AGEAdABlAHIAXwBEAGEAdABhAFwAbgA9AEwAQQBNAEIARABBACgAXABuACAAIABNAEEASwBFAEEAUgBSAEEAWQAoADYALAAgADIALABcAG4AIAAgACAAIABMAEEATQBCAEQAQQAoAHIALABjACwAXABuACAAIAAgACAAIAAgAEkATgBEAEUAWAAoAHsAXABuACAAIAAgACAAIAAgACAAIABcACIARgBhAGMAaQBsAGkAdAB5ACAAdAB5AHAAZQAgAHQAXAAiACwAIABcACIAQwBGAHcAdw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XAGEAcwB0AGUAdwBhAHQAZQBy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UAGEAYgBsAGUAIABBAC4ANAAuADEALgA0ADoAIABNAGUAdABoAGEAbgBlACAAYwBvAHIAcgBlAGMAdABpAG8AbgAgAGYAYQBjAHQAbwByACAAZgBvAHIAIAB0AHIAZQBhAHQAbQBlAG4AdAAgAGYAYQBjAGkAbABpAHQAeQAgAHQAeQBwAGUAIAB0ACAAdQBzAGUAZAAgAHQAbwAgAHQAcgBlAGEAdAAgAHMAbAB1AGQAZwBlACAAKABmAHIAYQBjAHQAaQBvAG4AKQAgACgAQwBGAHMAbAB1AGQAZwBl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UwBsAHUAZABnAGUAXwBUAGkAdABsAGUAXABuAD0ATABBAE0AQgBEAEEAKAAoAFwAIgBNAGUAdABoAGEAbgBlACAAYwBvAHIAcgBlAGMAdABpAG8AbgAgAGYAYQBjAHQAbwByACAAZgBvAHIAIAB0AHIAZQBhAHQAbQBlAG4AdAAgAGYAYQBjAGkAbABpAHQAeQAgAHQAeQBwAGUAIAB0ACAAdQBzAGUAZAAgAHQAbwAgAHQAcgBlAGEAdAAgAHMAbAB1AGQAZwBlAFwAIgApACkAOwBcAG4AXABuAFcAYQBzAHQAZQBfAE0AZQB0AGgAYQBuAGUAQwBvAHIAcgBlAGMAdABpAG8AbgBGAGEAYwB0AG8AcgBTAGwAdQBkAGcAZQBfAFYAYQByAGkAYQBiAGwAZQBcAG4APQBMAEEATQBCAEQAQQAoACgAXAAiAEMARgBzAGwAdQBkAGcAZQAsAHQAXAAiACkAKQA7AFwAbgBcAG4AVwBhAHMAdABlAF8ATQBlAHQAaABhAG4AZQBDAG8AcgByAGUAYwB0AGkAbwBuAEYAYQBjAHQAbwByAFMAbAB1AGQAZwBlAF8AVQBuAGkAdABcAG4APQBMAEEATQBCAEQAQQAoACgAXAAiAGYAcgBhAGMAdABpAG8AbgBcACIAKQApADsAXABuAFwAbgBXAGEAcwB0AGUAXwBNAGUAdABoAGEAbgBlAEMAbwByAHIAZQBjAHQAaQBvAG4ARgBhAGMAdABvAHIAUwBsAHUAZABnAGUAXwBTAG8AdQByAGMAZQBcAG4APQBMAEEATQBCAEQAQQAoACgAXAAiAFYARQBFAFIARwAgADIAMAAyADYAOgAgAFQAYQBiAGwAZQAgAEEALgA0AC4AMQAuADQAXAAiACkAKQA7AFwAbgBcAG4AVwBhAHMAdABlAF8ATQBlAHQAaABhAG4AZQBDAG8AcgByAGUAYwB0AGkAbwBuAEYAYQBjAHQAbwByAFMAbAB1AGQAZwBlAF8ARABhAHQAYQBcAG4APQBMAEEATQBCAEQAQQAoAFwAbgAgACAATQBBAEsARQBBAFIAUgBBAFkAKAA2ACwAIAAyACwAXABuACAAIAAgACAATABBAE0AQgBEAEEAKAByACwAYwAsAFwAbgAgACAAIAAgACAAIABJAE4ARABFAFgAKAB7AFwAbgAgACAAIAAgACAAIAAgACAAXAAiAEYAYQBjAGkAbABpAHQAeQAgAHQAeQBwAGUAIAB0AFwAIgAsACAAXAAiAEMARgBzAGwAdQBkAGcAZQAsAHQAXAAiADsAXABuACAAIAAgACAAIAAgACAAIABcACIATQBhAG4AYQBnAGUAZAAgAGEAZQByAG8AYgBpAGMAIAB0AHIAZQBhAHQAbQBlAG4AdABcACIALAAgADAAOwBcAG4AIAAgACAAIAAgACAAIAAgAFwAIgBVAG4AbQBhAG4AYQBnAGUAZAAgAGEAZQByAG8AYgBpAGMAIAB0AHIAZQBhAHQAbQBlAG4AdABcACIALAAgADAALgAzADsAXABuACAAIAAgACAAIAAgACAAIABcACIAQQBuAGEAZQByAG8AYgBpAGMAIABkAGkAZwBlAHMAdABvAHIALwByAGUAYQBjAHQAbwByAFwAIgAsACAAMAAuADgAOwBcAG4AIAAgACAAIAAgACAAIAAgAFwAIgBTAGgAYQBsAGwAbwB3ACAAYQBuAGEAZQByAG8AYgBpAGMAIABsAGEAZwBvAG8AbgAgACgAZCIgADIAIABtACkAXAAiACwAIAAwAC4AMgA7AFwAbgAgACAAIAAgACAAIAAgACAAXAAiAEQAZQBlAHAAIABhAG4AYQBlAHIAbwBiAGkAYwAgAGwAYQBnAG8AbwBuACAAKABcAHUAMAAwADMAZQAgADIAbQApAFwAIgAsACAAMAAuADgAXABuACAAIAAgACAAIAAgAH0ALAAgAHIALAAgAGMAKQBcAG4AKQApACkAOwBcAG4AXABuAFcAYQBzAHQAZQBfAE0AZQB0AGgAYQBuAGUAQwBvAHIAcgBlAGMAdABpAG8AbgBGAGEAYwB0AG8AcgBTAGwAdQBkAGcAZQBfAFYAYQByAGkAYQB0AGkAbwBuAFwAbgA9AEwAQQBNAEIARABBACgAKABcACIAXAAiACkAKQA7AFwAbgBcAG4ALwAqAFwAbgA9AD0APQA9AD0APQA9AD0APQA9AD0APQA9AD0APQA9AD0APQA9AD0APQA9AD0APQA9AD0APQA9AD0APQA9AD0APQA9AD0APQA9AD0APQA9AD0APQA9AD0APQA9AD0APQA9AD0APQA9AD0APQA9AD0APQA9AD0APQA9AD0APQA9AD0APQA9AD0APQA9AD0APQA9AD0APQA9AFwAbgAqAC8AXABuAFwAbgBXAGEAcwB0AGUAXwBNAGUAdABoAGEAbgBlAEUAbQBpAHMAcwBpAG8AbgBGAGEAYwB0AG8AcgBXAGEAcwB0AGUAdwBhAHQAZQByAF8AVABpAHQAbABlAFwAbgA9AEwAQQBNAEIARABBACgAKABcACIATQBlAHQAaABhAG4AZQAgAGUAbQBpAHMAcwBpAG8AbgAgAGYAYQBjAHQAbwByACAAZgBvAHIAIAB3AGEAcwB0AGUAdwBhAHQAZQByAFwAIgApACkAOwBcAG4AXABuAFcAYQBzAHQAZQBfAE0AZQB0AGgAYQBuAGUARQBtAGkAcwBzAGkAbwBuAEYAYQBjAHQAbwByAFcAYQBzAHQAZQB3AGEAdABlAHIAXwBWAGEAcgBpAGEAYgBsAGUAXABuAD0ATABBAE0AQgBEAEEAKAAoAFwAIgBFAEYAdwB3AFwAIgApACkAOwBcAG4AXABuAFcAYQBzAHQAZQBfAE0AZQB0AGgAYQBuAGUARQBtAGkAcwBzAGkAbwBuAEYAYQBjAHQAbwByAFcAYQBzAHQAZQB3AGEAdABlAHIAXwBVAG4AaQB0AFwAbgA9AEwAQQBNAEIARABBACgAKABcACIAawBnACAAQwBIADQAIAAvACAAawBnACAAQwBPAEQAXAAiACkAKQA7AFwAbgBcAG4AVwBhAHMAdABlAF8ATQBlAHQAaABhAG4AZQBFAG0AaQBzAHMAaQBvAG4ARgBhAGMAdABvAHIAVwBhAHMAdABlAHcAYQB0AGUAcgBfAFMAbwB1AHIAYwBlAFwAbgA9AEwAQQBNAEIARABBACgAKABcACIAVgBFAEUAUgBHACAAMgAwADIANgA6ACAAMQAxAC4AMgAuADMAIABDAG8AbgBzAHQAYQBuAHQAcwBcACIAKQApADsAXABuAFwAbgBXAGEAcwB0AGUAXwBNAGUAdABoAGEAbgBlAEUAbQBpAHMAcwBpAG8AbgBGAGEAYwB0AG8AcgBXAGEAcwB0AGUAdwBhAHQAZQByAF8ARABhAHQAYQBcAG4APQBMAEEATQBCAEQAQQAoACAAMAAuADIAN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F8AVABpAHQAbABlAFwAbgA9AEwAQQBNAEIARABBACgAKABcACIATQBlAHQAaABhAG4AZQAgAGUAbQBpAHMAcwBpAG8AbgAgAGYAYQBjAHQAbwByACAAZgBvAHIAIABzAGwAdQBkAGcAZQBcACIAKQApADsAXABuAFwAbgBXAGEAcwB0AGUAXwBNAGUAdABoAGEAbgBlAEUAbQBpAHMAcwBpAG8AbgBGAGEAYwB0AG8AcgBTAGwAdQBkAGcAZQBfAFYAYQByAGkAYQBiAGwAZQBcAG4APQBMAEEATQBCAEQAQQAoACgAXAAiAEUARgBzAGwAdQBkAGcAZQBcACIAKQApADsAXABuAFwAbgBXAGEAcwB0AGUAXwBNAGUAdABoAGEAbgBlAEUAbQBpAHMAcwBpAG8AbgBGAGEAYwB0AG8AcgBTAGwAdQBkAGcAZQBfAFUAbgBpAHQAXABuAD0ATABBAE0AQgBEAEEAKAAoAFwAIgBrAGcAIABDAEgANAAgAC8AIABrAGcAIABDAE8ARABcACIAKQApADsAXABuAFwAbgBXAGEAcwB0AGUAXwBNAGUAdABoAGEAbgBlAEUAbQBpAHMAcwBpAG8AbgBGAGEAYwB0AG8AcgBTAGwAdQBkAGcAZQBfAFMAbwB1AHIAYwBlAFwAbgA9AEwAQQBNAEIARABBACgAKABcACIAVgBFAEUAUgBHACAAMgAwADIANgA6ACAAMQAxAC4AMgAuADMAIABDAG8AbgBzAHQAYQBuAHQAcwBcACIAKQApADsAXABuAFwAbgBXAGEAcwB0AGUAXwBNAGUAdABoAGEAbgBlAEUAbQBpAHMAcwBpAG8AbgBGAGEAYwB0AG8AcgBTAGwAdQBkAGcAZQBfAEQAYQB0AGEAXABuAD0ATABBAE0AQgBEAEEAKAAwAC4AMgA1ACkAOwBcAG4AXABuAC8AKgBcAG4APQA9AD0APQA9AD0APQA9AD0APQA9AD0APQA9AD0APQA9AD0APQA9AD0APQA9AD0APQA9AD0APQA9AD0APQA9AD0APQA9AD0APQA9AD0APQA9AD0APQA9AD0APQA9AD0APQA9AD0APQA9AD0APQA9AD0APQA9AD0APQA9AD0APQA9AD0APQA9AD0APQA9AD0APQA9AD0APQBcAG4AKgAvAFwAbgBcAG4AVwBhAHMAdABlAF8ARQBuAGUAcgBnAHkAQwBvAG4AdABlAG4AdABGAGEAYwB0AG8AcgBTAGwAdQBkAGcAZQBCAGkAbwBnAGEAcwBGAGwAYQByAGUAZABfAFQAaQB0AGwAZQBcAG4APQBMAEEATQBCAEQAQQAoACgAXAAiAEUAbgBlAHIAZwB5ACAAYwBvAG4AdABlAG4AdAAgAGYAYQBjAHQAbwByACAAbwBmACAAcwBsAHUAZABnAGUAIABiAGkAbwBnAGEAcwAgAGYAbABhAHIAZQBkAFwAIgApACkAOwBcAG4AXABuAFcAYQBzAHQAZQBfAEUAbgBlAHIAZwB5AEMAbwBuAHQAZQBuAHQARgBhAGMAdABvAHIAUwBsAHUAZABnAGUAQgBpAG8AZwBhAHMARgBsAGEAcgBlAGQAXwBWAGEAcgBpAGEAYgBsAGUAXABuAD0ATABBAE0AQgBEAEEAKAAoAFwAIgBFAEMAZgBsAGEAcgBlAGQAXAAiACkAKQA7AFwAbgBcAG4AVwBhAHMAdABlAF8ARQBuAGUAcgBnAHkAQwBvAG4AdABlAG4AdABGAGEAYwB0AG8AcgBTAGwAdQBkAGcAZQBCAGkAbwBnAGEAcwBGAGwAYQByAGUAZABfAFUAbgBpAHQAXABuAD0ATABBAE0AQgBEAEEAKAAoAFwAIgBHAEoAIAAvACAAbQAzAFwAIgApACkAOwBcAG4AXABuAFcAYQBzAHQAZQBfAEUAbgBlAHIAZwB5AEMAbwBuAHQAZQBuAHQARgBhAGMAdABvAHIAUwBsAHUAZABnAGUAQgBpAG8AZwBhAHMARgBsAGEAcgBlAGQAXwBTAG8AdQByAGMAZQBcAG4APQBMAEEATQBCAEQAQQAoACgAXAAiAFYARQBFAFIARwAgADIAMAAyADYAOgAgADEAMQAuADIALgAzACAAQwBvAG4AcwB0AGEAbgB0AHMAXAAiACkAKQA7AFwAbgBcAG4AVwBhAHMAdABlAF8ARQBuAGUAcgBnAHkAQwBvAG4AdABlAG4AdABGAGEAYwB0AG8AcgBTAGwAdQBkAGcAZQBCAGkAbwBnAGEAcwBGAGwAYQByAGUAZABfAEQAYQB0AGEAXABuAD0ATABBAE0AQgBEAEEAKAAwAC4AMAAzADcANw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MAbAB1AGQAZwBlAEIAaQBvAGcAYQBzAEYAbABhAHIAZQBkAF8AVABpAHQAbABlAFwAbgA9AEwAQQBNAEIARABBACgAKABcACIATQBlAHQAaABhAG4AZQAgAGUAbQBpAHMAcwBpAG8AbgAgAGYAYQBjAHQAbwByACAAZgBvAHIAIABzAGwAdQBkAGcAZQAgAGIAaQBvAGcAYQBzACAAZgBsAGEAcgBlAGQAXAAiACkAKQA7AFwAbgBcAG4AVwBhAHMAdABlAF8ATQBlAHQAaABhAG4AZQBFAG0AaQBzAHMAaQBvAG4ARgBhAGMAdABvAHIAUwBsAHUAZABnAGUAQgBpAG8AZwBhAHMARgBsAGEAcgBlAGQAXwBWAGEAcgBpAGEAYgBsAGUAXABuAD0ATABBAE0AQgBEAEEAKAAoAFwAIgBFAEYAZgBsAGEAcgBlAGQALABDAEgANABcACIAKQApADsAXABuAFwAbgBXAGEAcwB0AGUAXwBNAGUAdABoAGEAbgBlAEUAbQBpAHMAcwBpAG8AbgBGAGEAYwB0AG8AcgBTAGwAdQBkAGcAZQBCAGkAbwBnAGEAcwBGAGwAYQByAGUAZABfAFUAbgBpAHQAXABuAD0ATABBAE0AQgBEAEEAKAAoAFwAIgBrAGcAIABDAEgANAAgAC8AIABHAEoAXAAiACkAKQA7AFwAbgBcAG4AVwBhAHMAdABlAF8ATQBlAHQAaABhAG4AZQBFAG0AaQBzAHMAaQBvAG4ARgBhAGMAdABvAHIAUwBsAHUAZABnAGUAQgBpAG8AZwBhAHMARgBsAGEAcgBlAGQAXwBTAG8AdQByAGMAZQBcAG4APQBMAEEATQBCAEQAQQAoACgAXAAiAFYARQBFAFIARwAgADIAMAAyADYAOgAgADEAMQAuADIALgAzACAAQwBvAG4AcwB0AGEAbgB0AHMAXAAiACkAKQA7AFwAbgBcAG4AVwBhAHMAdABlAF8ATQBlAHQAaABhAG4AZQBFAG0AaQBzAHMAaQBvAG4ARgBhAGMAdABvAHIAUwBsAHUAZABnAGUAQgBpAG8AZwBhAHMARgBsAGEAcgBlAGQAXwBEAGEAdABhAFwAbgA9AEwAQQBNAEIARABBACgAMAAuADIAMgA4ADkAKQA7AFwAbgBcAG4ALwAqAFwAbgA9AD0APQA9AD0APQA9AD0APQA9AD0APQA9AD0APQA9AD0APQA9AD0APQA9AD0APQA9AD0APQA9AD0APQA9AD0APQA9AD0APQA9AD0APQA9AD0APQA9AD0APQA9AD0APQA9AD0APQA9AD0APQA9AD0APQA9AD0APQA9AD0APQA9AD0APQA9AD0APQA9AD0APQA9AD0APQA9AFwAbgAqAC8AXABuAFwAbgBXAGEAcwB0AGUAXwBOAGkAdAByAG8AdQBzAE8AeABpAGQAZQBFAG0AaQBzAHMAaQBvAG4ARgBhAGMAdABvAHIAUwBsAHUAZABnAGUAQgBpAG8AZwBhAHMARgBsAGEAcgBlAGQAXwBUAGkAdABsAGUAXABuAD0ATABBAE0AQgBEAEEAKAAoAFwAIgBOAGkAdAByAG8AdQBzACAAbwB4AGkAZABlACAAZQBtAGkAcwBzAGkAbwBuACAAZgBhAGMAdABvAHIAIABmAG8AcgAgAHMAbAB1AGQAZwBlACAAYgBpAG8AZwBhAHMAIABmAGwAYQByAGUAZABcACIAKQApADsAXABuAFwAbgBXAGEAcwB0AGUAXwBOAGkAdAByAG8AdQBzAE8AeABpAGQAZQBFAG0AaQBzAHMAaQBvAG4ARgBhAGMAdABvAHIAUwBsAHUAZABnAGUAQgBpAG8AZwBhAHMARgBsAGEAcgBlAGQAXwBWAGEAcgBpAGEAYgBsAGUAXABuAD0ATABBAE0AQgBEAEEAKAAoAFwAIgBFAEYAZgBsAGEAcgBlAGQALABOADIATwBcACIAKQApADsAXABuAFwAbgBXAGEAcwB0AGUAXwBOAGkAdAByAG8AdQBzAE8AeABpAGQAZQBFAG0AaQBzAHMAaQBvAG4ARgBhAGMAdABvAHIAUwBsAHUAZABnAGUAQgBpAG8AZwBhAHMARgBsAGEAcgBlAGQAXwBVAG4AaQB0AFwAbgA9AEwAQQBNAEIARABBACgAKABcACIAawBnACAATgAyAE8AIAAvACAARwBKAFwAIgApACkAOwBcAG4AXABuAFcAYQBzAHQAZQBfAE4AaQB0AHIAbwB1AHMATwB4AGkAZABlAEUAbQBpAHMAcwBpAG8AbgBGAGEAYwB0AG8AcgBTAGwAdQBkAGcAZQBCAGkAbwBnAGEAcwBGAGwAYQByAGUAZABfAFMAbwB1AHIAYwBlAFwAbgA9AEwAQQBNAEIARABBACgAKABcACIAVgBFAEUAUgBHACAAMgAwADIANgA6ACAAMQAxAC4AMgAuADMAIABDAG8AbgBzAHQAYQBuAHQAcwBcACIAKQApADsAXABuAFwAbgBXAGEAcwB0AGUAXwBOAGkAdAByAG8AdQBzAE8AeABpAGQAZQBFAG0AaQBzAHMAaQBvAG4ARgBhAGMAdABvAHIAUwBsAHUAZABnAGUAQgBpAG8AZwBhAHMARgBsAGEAcgBlAGQAXwBEAGEAdABhAFwAbgA9AEwAQQBNAEIARABBACgAMQAuADEAMwAyAGUALQA0ACkAOwBcAG4AIgB9ACwAewAiAHAAYQB0AGgAIgA6ACIALwBwAHIAbwBqAGUAYwB0AHMALwBXAGEAcwB0AGUAdwBhAHQAZQByAF8ATgAyAE8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MALgAxACAATQBlAHQAaABvAGQAIAAxACAALQAgAE4AaQB0AHIAbwB1AHMAIABvAHgAaQBk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MAXwAxAF8AXwAxAF8ATgBpAHQAcgBvAHUAcwBPAHgAaQBkAGUARQBtAGkAcwBzAGkAbwBuAHMARgByAG8AbQBGAGwAYQByAGUAZABCAGkAbwBnAGEAcwBcAG4ATgBpAHQAcgBvAHUAcwAgAG8AeABpAGQAZQAgAGUAbQBpAHMAcwBpAG8AbgBzACAAZgByAG8AbQAgAGYAbABhAHIAZQBkACAAYgBpAG8AZwBhAHMAXABuAEUAXwBOADIATwBcAG4AdAAgAE4AMgBPAFwAbgBFAF8AewBOADIATwB9AD0AXABcAGYAcgBhAGMAewBRAF8AewBmAGwAYQByAGUAZAB9AH0AewAxADAAMAAwAH0AXABcAHQAaQBtAGUAcwAgAEUARgBfAHsAZgBsAGEAcgBlAGQALABOADIATwB9AFwAbgBRAF8AZgBsAGEAcgBlAGQAIAA9ACAAdgBvAGwAdQBtAGUAIABvAGYAIABiAGkAbwBnAGEAcwAgAGYAbABhAHIAZQBkACAAKABtADMAIABvAHIAIABHAEoAKQBcAG4ARQBGAF8AZgBsAGEAcgBlAGQAXwBOADIATwAgAD0AIABuAGkAdAByAG8AdQBzACAAbwB4AGkAZABlACAAZQBtAGkAcwBzAGkAbwBuACAAZgBhAGMAdABvAHIAIABmAG8AcgAgAGYAbABhAHIAZQBkACAAYgBpAG8AZwBhAHMAIAAoAGsAZwAgAE4AMgBPAC8ARwBKACkAXABuAC0ALQAtAC0ALQAtAC0ALQAtAC0ALQAtAC0ALQAtAC0ALQAtAC0ALQAtAC0ALQAtAC0ALQAtAC0ALQAtAC0ALQAtAC0ALQAtAC0ALQBcAG4AKgAvAFwAbgBcAG4AVgBFAEUAUgBHAF8AMQAxAF8AMQBfADMAXwAxAF8AXwAxAF8ATgBpAHQAcgBvAHUAcwBPAHgAaQBkAGUARQBtAGkAcwBzAGkAbwBuAHMARgByAG8AbQBGAGwAYQByAGUAZABCAGkAbwBnAGEAcwBcAG4AIAAgAD0ATABBAE0AQgBEAEEAKABcAG4AIAAgACAAIABRAF8AZgBsAGEAcgBlAGQALAAgAEUAQwBfAGYAbABhAHIAZQBkACwAIABFAEYAXwBmAGwAYQByAGUAZABOADIATwAsAFwAbgAgACAAIAAgACgAUQBfAGYAbABhAHIAZQBkACAALwAgADEAMAAwADAAKQAgACoAIAAoAEUAQwBfAGYAbABhAHIAZQBkACAAKgAgAEUARgBfAGYAbABhAHIAZQBkAE4AMgBPACkAXABuACAAIAApADsAXABuAFwAbgBWAEUARQBSAEcAXwAxADEAXwAxAF8AMwBfADEAXwBfADEAXwBOAGkAdAByAG8AdQBzAE8AeABpAGQAZQBFAG0AaQBzAHMAaQBvAG4AcwBGAHIAbwBtAEYAbABhAHIAZQBkAEIAaQBvAGcAYQBzAF8AVABpAHQAbABlAFwAbgAgACAAPQBMAEEATQBCAEQAQQAoAFwAIgBOAGkAdAByAG8AdQBzACAAbwB4AGkAZABlACAAZQBtAGkAcwBzAGkAbwBuAHMAIABmAHIAbwBtACAAZgBsAGEAcgBlAGQAIABiAGkAbwBnAGEAcwBcACIAKQA7AFwAbgBcAG4AVgBFAEUAUgBHAF8AMQAxAF8AMQBfADMAXwAxAF8AXwAxAF8ATgBpAHQAcgBvAHUAcwBPAHgAaQBkAGUARQBtAGkAcwBzAGkAbwBuAHMARgByAG8AbQBGAGwAYQByAGUAZABCAGkAbwBnAGEAcwBfAFYAYQByAGkAYQBiAGwAZQBcAG4AIAAgAD0ATABBAE0AQgBEAEEAKABcACIARQBfAE4AMgBPAFwAIgApADsAXABuAFwAbgBWAEUARQBSAEcAXwAxADEAXwAxAF8AMwBfADEAXwBfADEAXwBOAGkAdAByAG8AdQBzAE8AeABpAGQAZQBFAG0AaQBzAHMAaQBvAG4AcwBGAHIAbwBtAEYAbABhAHIAZQBkAEIAaQBvAGcAYQBzAF8AVQBuAGkAdABcAG4AIAAgAD0ATABBAE0AQgBEAEEAKABcACIAdAAgAE4AMgBPAFwAIgApADsAXABuAFwAbgBWAEUARQBSAEcAXwAxADEAXwAxAF8AMwBfADEAXwBfADEAXwBOAGkAdAByAG8AdQBzAE8AeABpAGQAZQBFAG0AaQBzAHMAaQBvAG4AcwBGAHIAbwBtAEYAbABhAHIAZQBkAEIAaQBvAGcAYQBzAF8AUwBvAHUAcgBjAGUAXABuACAAIAA9AEwAQQBNAEIARABBACgAXAAiAFYARQBFAFIARwAgADIAMAAyADYAOgAgADEAMQAuADEALgAzAC4AMQAsACAARQBxAHUAYQB0AGkAbwBuACAAKAAxACkAXAAiACkAOwBcAG4AXABuAFYARQBFAFIARwBfADEAMQBfADEAXwAzAF8AMQBfAF8AMQBfAE4AaQB0AHIAbwB1AHMATwB4AGkAZABlAEUAbQBpAHMAcwBpAG8AbgBzAEYAcgBvAG0ARgBsAGEAcgBlAGQAQgBpAG8AZwBhAHMAXwBOAEkAUgBSAGUAZgBlAHIAZQBuAGMAZQBcAG4AIAAgAD0ATABBAE0AQgBEAEEAKABcACIAXAAiACkAOwBcAG4AXABuAFYARQBFAFIARwBfADEAMQBfADEAXwAzAF8AMQBfAF8AMQBfAE4AaQB0AHIAbwB1AHMATwB4AGkAZABlAEUAbQBpAHMAcwBpAG8AbgBzAEYAcgBvAG0ARgBsAGEAcgBlAGQAQgBpAG8AZwBhAHMAXwBMAGEAdABlAHgARQBxAHUAYQB0AGkAbwBuAFwAbgAgACAAPQBMAEEATQBCAEQAQQAoAFwAIgBFAF8AewBOADIATwB9AD0AXABcAGYAcgBhAGMAewBRAF8AewBmAGwAYQByAGUAZAB9AH0AewAxADAAMAAwAH0AXABcAHQAaQBtAGUAcwAgAFwAXABsAGUAZgB0AFsARQBDAF8AewBmAGwAYQByAGUAZAB9ACAAXABcAHQAaQBtAGUAcwAgAEUARgBfAHsAZgBsAGEAcgBlAGQALABOADIATwB9AFwAXAByAGkAZwBoAHQAXQBcACIAKQA7AFwAbgBcAG4AVgBFAEUAUgBHAF8AMQAxAF8AMQBfADMAXwAxAF8AXwAxAF8ATgBpAHQAcgBvAHUAcwBPAHgAaQBkAGUARQBtAGkAcwBzAGkAbwBuAHMARgByAG8AbQBGAGwAYQByAGUAZABCAGkAbwBnAGEAcwBfAEEAcgBnAHUAbQBlAG4AdABzAFwAbgAgACAAPQBMAEEATQBCAEQAQQAoAFwAbgAgACAAIAAgAE0AQQBLAEUAQQBSAFIAQQBZACgAMwAsACAANAAsAFwAbgAgACAAIAAgACAAIABMAEEATQBCAEQAQQAoAHIALABjACwAXABuACAAIAAgACAAIAAgACAAIABJAE4ARABFAFgAKAB7AFwAbgAgACAAIAAgACAAIAAgACAAIAAgAFwAIgBRAF8AZgBsAGEAcgBlAGQAXAAiACwAIABcACIAdgBvAGwAdQBtAGUAIABvAGYAIABiAGkAbwBnAGEAcwAgAGYAbABhAHIAZQBkAFwAIgAsACAAXAAiAG0AMwBcACIALAAgAFwAIgBJAG4AcAB1AHQAXAAiADsAXABuACAAIAAgACAAIAAgACAAIAAgACAAXAAiAEUAQwBfAGYAbABhAHIAZQBkAFwAIgAsACAAXAAiAGUAbgBlAHIAZwB5ACAAYwBvAG4AdABlAG4AdAAgAGYAYQBjAHQAbwByACAAbwBmACAAcwBsAHUAZABnAGUAIABiAGkAbwBnAGEAcwAgAGYAbABhAHIAZQBkAFwAIgAsACAAXAAiAEcASgAvAG0AMwBcACIALAAgAFwAIgBDAG8AbgBzAHQAYQBuAHQAXAAiADsAXABuACAAIAAgACAAIAAgACAAIAAgACAAXAAiAEUARgBfAGYAbABhAHIAZQBkAE4AMgBPAFwAIgAsACAAXAAiAG4AaQB0AHIAbwB1AHMAIABvAHgAaQBkAGUAIABlAG0AaQBzAHMAaQBvAG4AIABmAGEAYwB0AG8AcgAgAGYAbwByACAAZgBsAGEAcgBlAGQAIABiAGkAbwBnAGEAcwBcACIALAAgAFwAIgBrAGcAIABOADIATwAvAEcASgBcACIALAAgAFwAIgBDAG8AbgBzAHQAYQBu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XAGEAcwB0AGUAdwBhAHQAZQByAF8ATQBlAHQAaABhAG4AZQBfAEUAcQB1AGEAdABpAG8AbgBzAC4AVgBFAEUAUgBHAF8AMQAxAF8AMQBfADEAXwAxAF8AXwAxAF8ATQBlAHQAaABhAG4AZQBFAG0AaQBzAHMAaQBvAG4AcwBGAHIAbwBtAFcAYQBzAHQAZQB3AGEAdABlAHIAVAByAGUAYQB0AG0AZQBuAHQAIgAsACIAVwBhAHMAdABlAHcAYQB0AGUAcgBfAE0AZQB0AGgAYQBuAGUAXwBFAHEAdQBhAHQAaQBvAG4AcwAuAFYARQBFAFIARwBfADEAMQBfADEAXwAxAF8AMQBfAF8AMQBfAE0AZQB0AGgAYQBuAGUARQBtAGkAcwBzAGkAbwBuAHMARgByAG8AbQBXAGEAcwB0AGUAdwBhAHQAZQByAFQAcgBlAGEAdABtAGUAbgB0AF8AVABpAHQAbABlACIALAAiAFcAYQBzAHQAZQB3AGEAdABlAHIAXwBNAGUAdABoAGEAbgBlAF8ARQBxAHUAYQB0AGkAbwBuAHMALgBWAEUARQBSAEcAXwAxADEAXwAxAF8AMQBfADEAXwBfADEAXwBNAGUAdABoAGEAbgBlAEUAbQBpAHMAcwBpAG8AbgBzAEYAcgBvAG0AVwBhAHMAdABlAHcAYQB0AGUAcgBUAHIAZQBhAHQAbQBlAG4AdABfAFYAYQByAGkAYQBiAGwAZQAiACwAIgBXAGEAcwB0AGUAdwBhAHQAZQByAF8ATQBlAHQAaABhAG4AZQBfAEUAcQB1AGEAdABpAG8AbgBzAC4AVgBFAEUAUgBHAF8AMQAxAF8AMQBfADEAXwAxAF8AXwAxAF8ATQBlAHQAaABhAG4AZQBFAG0AaQBzAHMAaQBvAG4AcwBGAHIAbwBtAFcAYQBzAHQAZQB3AGEAdABlAHIAVAByAGUAYQB0AG0AZQBuAHQAXwBVAG4AaQB0ACIALAAiAFcAYQBzAHQAZQB3AGEAdABlAHIAXwBNAGUAdABoAGEAbgBlAF8ARQBxAHUAYQB0AGkAbwBuAHMALgBWAEUARQBSAEcAXwAxADEAXwAxAF8AMQBfADEAXwBfADEAXwBNAGUAdABoAGEAbgBlAEUAbQBpAHMAcwBpAG8AbgBzAEYAcgBvAG0AVwBhAHMAdABlAHcAYQB0AGUAcgBUAHIAZQBhAHQAbQBlAG4AdABfAFMAbwB1AHIAYwBlACIALAAiAFcAYQBzAHQAZQB3AGEAdABlAHIAXwBNAGUAdABoAGEAbgBlAF8ARQBxAHUAYQB0AGkAbwBuAHMALgBWAEUARQBSAEcAXwAxADEAXwAxAF8AMQBfADEAXwBfADEAXwBNAGUAdABoAGEAbgBlAEUAbQBpAHMAcwBpAG8AbgBzAEYAcgBvAG0AVwBhAHMAdABlAHcAYQB0AGUAcgBUAHIAZQBhAHQAbQBlAG4AdABfAE4ASQBSAFIAZQBmAGUAcgBlAG4AYwBlACIALAAiAFcAYQBzAHQAZQB3AGEAdABlAHIAXwBNAGUAdABoAGEAbgBlAF8ARQBxAHUAYQB0AGkAbwBuAHMALgBWAEUARQBSAEcAXwAxADEAXwAxAF8AMQBfADEAXwBfADEAXwBNAGUAdABoAGEAbgBlAEUAbQBpAHMAcwBpAG8AbgBzAEYAcgBvAG0AVwBhAHMAdABlAHcAYQB0AGUAcgBUAHIAZQBhAHQAbQBlAG4AdABfAEwAYQB0AGUAeABFAHEAdQBhAHQAaQBvAG4AIgAsACIAVwBhAHMAdABlAHcAYQB0AGUAcgBfAE0AZQB0AGgAYQBuAGUAXwBFAHEAdQBhAHQAaQBvAG4AcwAuAFYARQBFAFIARwBfADEAMQBfADEAXwAxAF8AMQBfAF8AMQBfAE0AZQB0AGgAYQBuAGUARQBtAGkAcwBzAGkAbwBuAHMARgByAG8AbQBXAGEAcwB0AGUAdwBhAHQAZQByAFQAcgBlAGEAdABtAGUAbgB0AF8AQQByAGcAdQBtAGUAbgB0AHMAIgAsACIAVwBhAHMAdABlAHcAYQB0AGUAcgBfAE0AZQB0AGgAYQBuAGUAXwBFAHEAdQBhAHQAaQBvAG4AcwAuAFYARQBFAFIARwBfADEAMQBfADEAXwAxAF8AMQBfAF8AMQBfAE0AZQB0AGgAYQBuAGUARQBtAGkAcwBzAGkAbwBuAHMARgByAG8AbQBXAGEAcwB0AGUAdwBhAHQAZQByAFQAcgBlAGEAdABtAGUAbgB0AF8AVgBhAHIAaQBhAHQAaQBvAG4AIgAsACIAVwBhAHMAdABlAHcAYQB0AGUAcgBfAFMAbwB1AHIAYwBlAEQAYQB0AGEALgBXAGEAcwB0AGUAXwBNAGUAdABoAGEAbgBlAEMAbwByAHIAZQBjAHQAaQBvAG4ARgBhAGMAdABvAHIAVwBhAHMAdABlAHcAYQB0AGUAcgBfAFQAaQB0AGwAZQAiACwAIgBXAGEAcwB0AGUAdwBhAHQAZQByAF8AUwBvAHUAcgBjAGUARABhAHQAYQAuAFcAYQBzAHQAZQBfAE0AZQB0AGgAYQBuAGUAQwBvAHIAcgBlAGMAdABpAG8AbgBGAGEAYwB0AG8AcgBXAGEAcwB0AGUAdwBhAHQAZQByAF8AVgBhAHIAaQBhAGIAbABlACIALAAiAFcAYQBzAHQAZQB3AGEAdABlAHIAXwBTAG8AdQByAGMAZQBEAGEAdABhAC4AVwBhAHMAdABlAF8ATQBlAHQAaABhAG4AZQBDAG8AcgByAGUAYwB0AGkAbwBuAEYAYQBjAHQAbwByAFcAYQBzAHQAZQB3AGEAdABlAHIAXwBVAG4AaQB0ACIALAAiAFcAYQBzAHQAZQB3AGEAdABlAHIAXwBTAG8AdQByAGMAZQBEAGEAdABhAC4AVwBhAHMAdABlAF8ATQBlAHQAaABhAG4AZQBDAG8AcgByAGUAYwB0AGkAbwBuAEYAYQBjAHQAbwByAFcAYQBzAHQAZQB3AGEAdABlAHIAXwBTAG8AdQByAGMAZQAiACwAIgBXAGEAcwB0AGUAdwBhAHQAZQByAF8AUwBvAHUAcgBjAGUARABhAHQAYQAuAFcAYQBzAHQAZQBfAE0AZQB0AGgAYQBuAGUAQwBvAHIAcgBlAGMAdABpAG8AbgBGAGEAYwB0AG8AcgBXAGEAcwB0AGUAdwBhAHQAZQByAF8ARABhAHQAYQAiACwAIgBXAGEAcwB0AGUAdwBhAHQAZQByAF8AUwBvAHUAcgBjAGUARABhAHQAYQAuAFcAYQBzAHQAZQBfAE0AZQB0AGgAYQBuAGUAQwBvAHIAcgBlAGMAdABpAG8AbgBGAGEAYwB0AG8AcgBXAGEAcwB0AGUAdwBhAHQAZQByAF8AVgBhAHIAaQBhAHQAaQBvAG4AIgAsACIAVwBhAHMAdABlAHcAYQB0AGUAcgBfAFMAbwB1AHIAYwBlAEQAYQB0AGEALgBXAGEAcwB0AGUAXwBNAGUAdABoAGEAbgBlAEMAbwByAHIAZQBjAHQAaQBvAG4ARgBhAGMAdABvAHIAUwBsAHUAZABnAGUAXwBUAGkAdABsAGUAIgAsACIAVwBhAHMAdABlAHcAYQB0AGUAcgBfAFMAbwB1AHIAYwBlAEQAYQB0AGEALgBXAGEAcwB0AGUAXwBNAGUAdABoAGEAbgBlAEMAbwByAHIAZQBjAHQAaQBvAG4ARgBhAGMAdABvAHIAUwBsAHUAZABnAGUAXwBWAGEAcgBpAGEAYgBsAGUAIgAsACIAVwBhAHMAdABlAHcAYQB0AGUAcgBfAFMAbwB1AHIAYwBlAEQAYQB0AGEALgBXAGEAcwB0AGUAXwBNAGUAdABoAGEAbgBlAEMAbwByAHIAZQBjAHQAaQBvAG4ARgBhAGMAdABvAHIAUwBsAHUAZABnAGUAXwBVAG4AaQB0ACIALAAiAFcAYQBzAHQAZQB3AGEAdABlAHIAXwBTAG8AdQByAGMAZQBEAGEAdABhAC4AVwBhAHMAdABlAF8ATQBlAHQAaABhAG4AZQBDAG8AcgByAGUAYwB0AGkAbwBuAEYAYQBjAHQAbwByAFMAbAB1AGQAZwBlAF8AUwBvAHUAcgBjAGUAIgAsACIAVwBhAHMAdABlAHcAYQB0AGUAcgBfAFMAbwB1AHIAYwBlAEQAYQB0AGEALgBXAGEAcwB0AGUAXwBNAGUAdABoAGEAbgBlAEMAbwByAHIAZQBjAHQAaQBvAG4ARgBhAGMAdABvAHIAUwBsAHUAZABnAGUAXwBEAGEAdABhACIALAAiAFcAYQBzAHQAZQB3AGEAdABlAHIAXwBTAG8AdQByAGMAZQBEAGEAdABhAC4AVwBhAHMAdABlAF8ATQBlAHQAaABhAG4AZQBDAG8AcgByAGUAYwB0AGkAbwBuAEYAYQBjAHQAbwByAFMAbAB1AGQAZwBlAF8AVgBhAHIAaQBhAHQAaQBvAG4AIgAsACIAVwBhAHMAdABlAHcAYQB0AGUAcgBfAFMAbwB1AHIAYwBlAEQAYQB0AGEALgBXAGEAcwB0AGUAXwBNAGUAdABoAGEAbgBlAEUAbQBpAHMAcwBpAG8AbgBGAGEAYwB0AG8AcgBXAGEAcwB0AGUAdwBhAHQAZQByAF8AVABpAHQAbABlACIALAAiAFcAYQBzAHQAZQB3AGEAdABlAHIAXwBTAG8AdQByAGMAZQBEAGEAdABhAC4AVwBhAHMAdABlAF8ATQBlAHQAaABhAG4AZQBFAG0AaQBzAHMAaQBvAG4ARgBhAGMAdABvAHIAVwBhAHMAdABlAHcAYQB0AGUAcgBfAFYAYQByAGkAYQBiAGwAZQAiACwAIgBXAGEAcwB0AGUAdwBhAHQAZQByAF8AUwBvAHUAcgBjAGUARABhAHQAYQAuAFcAYQBzAHQAZQBfAE0AZQB0AGgAYQBuAGUARQBtAGkAcwBzAGkAbwBuAEYAYQBjAHQAbwByAFcAYQBzAHQAZQB3AGEAdABlAHIAXwBVAG4AaQB0ACIALAAiAFcAYQBzAHQAZQB3AGEAdABlAHIAXwBTAG8AdQByAGMAZQBEAGEAdABhAC4AVwBhAHMAdABlAF8ATQBlAHQAaABhAG4AZQBFAG0AaQBzAHMAaQBvAG4ARgBhAGMAdABvAHIAVwBhAHMAdABlAHcAYQB0AGUAcgBfAFMAbwB1AHIAYwBlACIALAAiAFcAYQBzAHQAZQB3AGEAdABlAHIAXwBTAG8AdQByAGMAZQBEAGEAdABhAC4AVwBhAHMAdABlAF8ATQBlAHQAaABhAG4AZQBFAG0AaQBzAHMAaQBvAG4ARgBhAGMAdABvAHIAVwBhAHMAdABlAHcAYQB0AGUAcgBfAEQAYQB0AGEAIgAsACIAVwBhAHMAdABlAHcAYQB0AGUAcgBfAFMAbwB1AHIAYwBlAEQAYQB0AGEALgBXAGEAcwB0AGUAXwBNAGUAdABoAGEAbgBlAEUAbQBpAHMAcwBpAG8AbgBGAGEAYwB0AG8AcgBTAGwAdQBkAGcAZQBfAFQAaQB0AGwAZQAiACwAIgBXAGEAcwB0AGUAdwBhAHQAZQByAF8AUwBvAHUAcgBjAGUARABhAHQAYQAuAFcAYQBzAHQAZQBfAE0AZQB0AGgAYQBuAGUARQBtAGkAcwBzAGkAbwBuAEYAYQBjAHQAbwByAFMAbAB1AGQAZwBlAF8AVgBhAHIAaQBhAGIAbABlACIALAAiAFcAYQBzAHQAZQB3AGEAdABlAHIAXwBTAG8AdQByAGMAZQBEAGEAdABhAC4AVwBhAHMAdABlAF8ATQBlAHQAaABhAG4AZQBFAG0AaQBzAHMAaQBvAG4ARgBhAGMAdABvAHIAUwBsAHUAZABnAGUAXwBVAG4AaQB0ACIALAAiAFcAYQBzAHQAZQB3AGEAdABlAHIAXwBTAG8AdQByAGMAZQBEAGEAdABhAC4AVwBhAHMAdABlAF8ATQBlAHQAaABhAG4AZQBFAG0AaQBzAHMAaQBvAG4ARgBhAGMAdABvAHIAUwBsAHUAZABnAGUAXwBTAG8AdQByAGMAZQAiACwAIgBXAGEAcwB0AGUAdwBhAHQAZQByAF8AUwBvAHUAcgBjAGUARABhAHQAYQAuAFcAYQBzAHQAZQBfAE0AZQB0AGgAYQBuAGUARQBtAGkAcwBzAGkAbwBuAEYAYQBjAHQAbwByAFMAbAB1AGQAZwBlAF8ARABhAHQAYQAiACwAIgBXAGEAcwB0AGUAdwBhAHQAZQByAF8AUwBvAHUAcgBjAGUARABhAHQAYQAuAFcAYQBzAHQAZQBfAEUAbgBlAHIAZwB5AEMAbwBuAHQAZQBuAHQARgBhAGMAdABvAHIAUwBsAHUAZABnAGUAQgBpAG8AZwBhAHMARgBsAGEAcgBlAGQAXwBUAGkAdABsAGUAIgAsACIAVwBhAHMAdABlAHcAYQB0AGUAcgBfAFMAbwB1AHIAYwBlAEQAYQB0AGEALgBXAGEAcwB0AGUAXwBFAG4AZQByAGcAeQBDAG8AbgB0AGUAbgB0AEYAYQBjAHQAbwByAFMAbAB1AGQAZwBlAEIAaQBvAGcAYQBzAEYAbABhAHIAZQBkAF8AVgBhAHIAaQBhAGIAbABlACIALAAiAFcAYQBzAHQAZQB3AGEAdABlAHIAXwBTAG8AdQByAGMAZQBEAGEAdABhAC4AVwBhAHMAdABlAF8ARQBuAGUAcgBnAHkAQwBvAG4AdABlAG4AdABGAGEAYwB0AG8AcgBTAGwAdQBkAGcAZQBCAGkAbwBnAGEAcwBGAGwAYQByAGUAZABfAFUAbgBpAHQAIgAsACIAVwBhAHMAdABlAHcAYQB0AGUAcgBfAFMAbwB1AHIAYwBlAEQAYQB0AGEALgBXAGEAcwB0AGUAXwBFAG4AZQByAGcAeQBDAG8AbgB0AGUAbgB0AEYAYQBjAHQAbwByAFMAbAB1AGQAZwBlAEIAaQBvAGcAYQBzAEYAbABhAHIAZQBkAF8AUwBvAHUAcgBjAGUAIgAsACIAVwBhAHMAdABlAHcAYQB0AGUAcgBfAFMAbwB1AHIAYwBlAEQAYQB0AGEALgBXAGEAcwB0AGUAXwBFAG4AZQByAGcAeQBDAG8AbgB0AGUAbgB0AEYAYQBjAHQAbwByAFMAbAB1AGQAZwBlAEIAaQBvAGcAYQBzAEYAbABhAHIAZQBkAF8ARABhAHQAYQAiACwAIgBXAGEAcwB0AGUAdwBhAHQAZQByAF8AUwBvAHUAcgBjAGUARABhAHQAYQAuAFcAYQBzAHQAZQBfAE0AZQB0AGgAYQBuAGUARQBtAGkAcwBzAGkAbwBuAEYAYQBjAHQAbwByAFMAbAB1AGQAZwBlAEIAaQBvAGcAYQBzAEYAbABhAHIAZQBkAF8AVABpAHQAbABlACIALAAiAFcAYQBzAHQAZQB3AGEAdABlAHIAXwBTAG8AdQByAGMAZQBEAGEAdABhAC4AVwBhAHMAdABlAF8ATQBlAHQAaABhAG4AZQBFAG0AaQBzAHMAaQBvAG4ARgBhAGMAdABvAHIAUwBsAHUAZABnAGUAQgBpAG8AZwBhAHMARgBsAGEAcgBlAGQAXwBWAGEAcgBpAGEAYgBsAGUAIgAsACIAVwBhAHMAdABlAHcAYQB0AGUAcgBfAFMAbwB1AHIAYwBlAEQAYQB0AGEALgBXAGEAcwB0AGUAXwBNAGUAdABoAGEAbgBlAEUAbQBpAHMAcwBpAG8AbgBGAGEAYwB0AG8AcgBTAGwAdQBkAGcAZQBCAGkAbwBnAGEAcwBGAGwAYQByAGUAZABfAFUAbgBpAHQAIgAsACIAVwBhAHMAdABlAHcAYQB0AGUAcgBfAFMAbwB1AHIAYwBlAEQAYQB0AGEALgBXAGEAcwB0AGUAXwBNAGUAdABoAGEAbgBlAEUAbQBpAHMAcwBpAG8AbgBGAGEAYwB0AG8AcgBTAGwAdQBkAGcAZQBCAGkAbwBnAGEAcwBGAGwAYQByAGUAZABfAFMAbwB1AHIAYwBlACIALAAiAFcAYQBzAHQAZQB3AGEAdABlAHIAXwBTAG8AdQByAGMAZQBEAGEAdABhAC4AVwBhAHMAdABlAF8ATQBlAHQAaABhAG4AZQBFAG0AaQBzAHMAaQBvAG4ARgBhAGMAdABvAHIAUwBsAHUAZABnAGUAQgBpAG8AZwBhAHMARgBsAGEAcgBlAGQAXwBEAGEAdABhACIALAAiAFcAYQBzAHQAZQB3AGEAdABlAHIAXwBTAG8AdQByAGMAZQBEAGEAdABhAC4AVwBhAHMAdABlAF8ATgBpAHQAcgBvAHUAcwBPAHgAaQBkAGUARQBtAGkAcwBzAGkAbwBuAEYAYQBjAHQAbwByAFMAbAB1AGQAZwBlAEIAaQBvAGcAYQBzAEYAbABhAHIAZQBkAF8AVABpAHQAbABlACIALAAiAFcAYQBzAHQAZQB3AGEAdABlAHIAXwBTAG8AdQByAGMAZQBEAGEAdABhAC4AVwBhAHMAdABlAF8ATgBpAHQAcgBvAHUAcwBPAHgAaQBkAGUARQBtAGkAcwBzAGkAbwBuAEYAYQBjAHQAbwByAFMAbAB1AGQAZwBlAEIAaQBvAGcAYQBzAEYAbABhAHIAZQBkAF8AVgBhAHIAaQBhAGIAbABlACIALAAiAFcAYQBzAHQAZQB3AGEAdABlAHIAXwBTAG8AdQByAGMAZQBEAGEAdABhAC4AVwBhAHMAdABlAF8ATgBpAHQAcgBvAHUAcwBPAHgAaQBkAGUARQBtAGkAcwBzAGkAbwBuAEYAYQBjAHQAbwByAFMAbAB1AGQAZwBlAEIAaQBvAGcAYQBzAEYAbABhAHIAZQBkAF8AVQBuAGkAdAAiACwAIgBXAGEAcwB0AGUAdwBhAHQAZQByAF8AUwBvAHUAcgBjAGUARABhAHQAYQAuAFcAYQBzAHQAZQBfAE4AaQB0AHIAbwB1AHMATwB4AGkAZABlAEUAbQBpAHMAcwBpAG8AbgBGAGEAYwB0AG8AcgBTAGwAdQBkAGcAZQBCAGkAbwBnAGEAcwBGAGwAYQByAGUAZABfAFMAbwB1AHIAYwBlACIALAAiAFcAYQBzAHQAZQB3AGEAdABlAHIAXwBTAG8AdQByAGMAZQBEAGEAdABhAC4AVwBhAHMAdABlAF8ATgBpAHQAcgBvAHUAcwBPAHgAaQBkAGUARQBtAGkAcwBzAGkAbwBuAEYAYQBjAHQAbwByAFMAbAB1AGQAZwBlAEIAaQBvAGcAYQBzAEYAbABhAHIAZQBkAF8ARABhAHQAYQAiACwAIgBXAGEAcwB0AGUAdwBhAHQAZQByAF8ATgAyAE8AXwBFAHEAdQBhAHQAaQBvAG4AcwAuAFYARQBFAFIARwBfADEAMQBfADEAXwAzAF8AMQBfAF8AMQBfAE4AaQB0AHIAbwB1AHMATwB4AGkAZABlAEUAbQBpAHMAcwBpAG8AbgBzAEYAcgBvAG0ARgBsAGEAcgBlAGQAQgBpAG8AZwBhAHMAIgAsACIAVwBhAHMAdABlAHcAYQB0AGUAcgBfAE4AMgBPAF8ARQBxAHUAYQB0AGkAbwBuAHMALgBWAEUARQBSAEcAXwAxADEAXwAxAF8AMwBfADEAXwBfADEAXwBOAGkAdAByAG8AdQBzAE8AeABpAGQAZQBFAG0AaQBzAHMAaQBvAG4AcwBGAHIAbwBtAEYAbABhAHIAZQBkAEIAaQBvAGcAYQBzAF8AVABpAHQAbABlACIALAAiAFcAYQBzAHQAZQB3AGEAdABlAHIAXwBOADIATwBfAEUAcQB1AGEAdABpAG8AbgBzAC4AVgBFAEUAUgBHAF8AMQAxAF8AMQBfADMAXwAxAF8AXwAxAF8ATgBpAHQAcgBvAHUAcwBPAHgAaQBkAGUARQBtAGkAcwBzAGkAbwBuAHMARgByAG8AbQBGAGwAYQByAGUAZABCAGkAbwBnAGEAcwBfAFYAYQByAGkAYQBiAGwAZQAiACwAIgBXAGEAcwB0AGUAdwBhAHQAZQByAF8ATgAyAE8AXwBFAHEAdQBhAHQAaQBvAG4AcwAuAFYARQBFAFIARwBfADEAMQBfADEAXwAzAF8AMQBfAF8AMQBfAE4AaQB0AHIAbwB1AHMATwB4AGkAZABlAEUAbQBpAHMAcwBpAG8AbgBzAEYAcgBvAG0ARgBsAGEAcgBlAGQAQgBpAG8AZwBhAHMAXwBVAG4AaQB0ACIALAAiAFcAYQBzAHQAZQB3AGEAdABlAHIAXwBOADIATwBfAEUAcQB1AGEAdABpAG8AbgBzAC4AVgBFAEUAUgBHAF8AMQAxAF8AMQBfADMAXwAxAF8AXwAxAF8ATgBpAHQAcgBvAHUAcwBPAHgAaQBkAGUARQBtAGkAcwBzAGkAbwBuAHMARgByAG8AbQBGAGwAYQByAGUAZABCAGkAbwBnAGEAcwBfAFMAbwB1AHIAYwBlACIALAAiAFcAYQBzAHQAZQB3AGEAdABlAHIAXwBOADIATwBfAEUAcQB1AGEAdABpAG8AbgBzAC4AVgBFAEUAUgBHAF8AMQAxAF8AMQBfADMAXwAxAF8AXwAxAF8ATgBpAHQAcgBvAHUAcwBPAHgAaQBkAGUARQBtAGkAcwBzAGkAbwBuAHMARgByAG8AbQBGAGwAYQByAGUAZABCAGkAbwBnAGEAcwBfAE4ASQBSAFIAZQBmAGUAcgBlAG4AYwBlACIALAAiAFcAYQBzAHQAZQB3AGEAdABlAHIAXwBOADIATwBfAEUAcQB1AGEAdABpAG8AbgBzAC4AVgBFAEUAUgBHAF8AMQAxAF8AMQBfADMAXwAxAF8AXwAxAF8ATgBpAHQAcgBvAHUAcwBPAHgAaQBkAGUARQBtAGkAcwBzAGkAbwBuAHMARgByAG8AbQBGAGwAYQByAGUAZABCAGkAbwBnAGEAcwBfAEwAYQB0AGUAeABFAHEAdQBhAHQAaQBvAG4AIgAsACIAVwBhAHMAdABlAHcAYQB0AGUAcgBfAE4AMgBPAF8ARQBxAHUAYQB0AGkAbwBuAHMALgBWAEUARQBSAEcAXwAxADEAXwAxAF8AMwBfADEAXwBfADEAXwBOAGkAdAByAG8AdQBzAE8AeABpAGQAZQBFAG0AaQBzAHMAaQBvAG4AcwBGAHIAbwBtAEYAbABhAHIAZQBkAEIAaQBvAGcAYQB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Home</vt:lpstr>
      <vt:lpstr>Overview</vt:lpstr>
      <vt:lpstr>Results</vt:lpstr>
      <vt:lpstr>Input - Wastewater</vt:lpstr>
      <vt:lpstr>11.1.1-2 Wastewater CH4</vt:lpstr>
      <vt:lpstr>11.1.3-4 Wastewater N2O</vt:lpstr>
      <vt:lpstr>Constants - Wastewater</vt:lpstr>
      <vt:lpstr>Constants - Common</vt:lpstr>
      <vt:lpstr>VEERG_11_1_1_1__1_MethaneEmissionsFromWastewaterTreatment_Result_Method1</vt:lpstr>
      <vt:lpstr>VEERG_11_1_3_1__1_NitrousOxideEmissionsFromFlaredBiogas_Result_Method1</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2026-06-22T03:58:50Z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