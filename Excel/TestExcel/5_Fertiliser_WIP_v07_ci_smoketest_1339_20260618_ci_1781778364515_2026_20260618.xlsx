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A324C909-F7DA-4863-9824-E20D0B70E26D}" xr6:coauthVersionLast="47" xr6:coauthVersionMax="47" xr10:uidLastSave="{00000000-0000-0000-0000-000000000000}"/>
  <bookViews>
    <workbookView xWindow="1020" yWindow="0" windowWidth="37140" windowHeight="20475" firstSheet="4"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70" l="1"/>
  <c r="G39" i="70" s="1"/>
  <c r="K39" i="70"/>
  <c r="F28" i="70"/>
  <c r="G28" i="70" s="1"/>
  <c r="P28" i="70"/>
  <c r="G50" i="70"/>
  <c r="H50" i="70"/>
  <c r="I50" i="70" s="1"/>
  <c r="H22" i="70"/>
  <c r="H21" i="70"/>
  <c r="H20" i="70"/>
  <c r="H19" i="70"/>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118" i="115" a="1"/>
  <c r="E38" i="113" a="1"/>
  <c r="E7" i="113" a="1"/>
  <c r="E43" i="115" a="1"/>
  <c r="E90" i="115" a="1"/>
  <c r="E7" i="114"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42" i="69" a="1"/>
  <c r="E7" i="74" a="1"/>
  <c r="N60"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R20" i="70" a="1"/>
  <c r="R20" i="70" s="1"/>
  <c r="G20" i="70"/>
  <c r="I20" i="70" s="1"/>
  <c r="X20" i="70"/>
  <c r="T22" i="70" a="1"/>
  <c r="T22" i="70" s="1"/>
  <c r="G22" i="70"/>
  <c r="I22" i="70" s="1"/>
  <c r="W22" i="70"/>
  <c r="S21" i="70" a="1"/>
  <c r="S21" i="70" s="1"/>
  <c r="O20" i="70" a="1"/>
  <c r="O20" i="70" s="1"/>
  <c r="M19" i="70" a="1"/>
  <c r="M19" i="70" s="1"/>
  <c r="W21" i="70"/>
  <c r="L21" i="70" a="1"/>
  <c r="L21" i="70" s="1"/>
  <c r="S22" i="70" a="1"/>
  <c r="S22" i="70" s="1"/>
  <c r="X22" i="70"/>
  <c r="T21" i="70" a="1"/>
  <c r="T21" i="70" s="1"/>
  <c r="P20" i="70" a="1"/>
  <c r="P20" i="70" s="1"/>
  <c r="N19" i="70" a="1"/>
  <c r="N19" i="70" s="1"/>
  <c r="G21" i="70"/>
  <c r="I21" i="70" s="1"/>
  <c r="K20" i="70" a="1"/>
  <c r="K20" i="70" s="1"/>
  <c r="Q21" i="70" a="1"/>
  <c r="Q21" i="70" s="1"/>
  <c r="J22" i="70" a="1"/>
  <c r="J22" i="70" s="1"/>
  <c r="F21" i="70"/>
  <c r="U21" i="70" a="1"/>
  <c r="U21" i="70" s="1"/>
  <c r="Q20" i="70" a="1"/>
  <c r="Q20" i="70" s="1"/>
  <c r="O19" i="70" a="1"/>
  <c r="O19" i="70" s="1"/>
  <c r="K22" i="70" a="1"/>
  <c r="K22" i="70" s="1"/>
  <c r="P19" i="70" a="1"/>
  <c r="P19" i="70" s="1"/>
  <c r="O22" i="70" a="1"/>
  <c r="O22" i="70" s="1"/>
  <c r="P22" i="70" a="1"/>
  <c r="P22" i="70" s="1"/>
  <c r="O21" i="70" a="1"/>
  <c r="O21" i="70" s="1"/>
  <c r="X19" i="70"/>
  <c r="P21" i="70" a="1"/>
  <c r="P21" i="70" s="1"/>
  <c r="M20" i="70" a="1"/>
  <c r="M20" i="70" s="1"/>
  <c r="L22" i="70" a="1"/>
  <c r="L22" i="70" s="1"/>
  <c r="X21" i="70"/>
  <c r="S20" i="70" a="1"/>
  <c r="S20" i="70" s="1"/>
  <c r="Q19" i="70" a="1"/>
  <c r="Q19"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N22" i="70" a="1"/>
  <c r="N22" i="70" s="1"/>
  <c r="F20" i="70"/>
  <c r="U20" i="70" a="1"/>
  <c r="U20" i="70" s="1"/>
  <c r="W20" i="70"/>
  <c r="M21" i="70" a="1"/>
  <c r="M21" i="70" s="1"/>
  <c r="J19" i="70" a="1"/>
  <c r="J19" i="70" s="1"/>
  <c r="Q22" i="70" a="1"/>
  <c r="Q22" i="70" s="1"/>
  <c r="N21" i="70" a="1"/>
  <c r="N21" i="70" s="1"/>
  <c r="J20" i="70" a="1"/>
  <c r="J20" i="70" s="1"/>
  <c r="F19" i="70"/>
  <c r="W19" i="70"/>
  <c r="R22" i="70" a="1"/>
  <c r="R22" i="70" s="1"/>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<sst xmlns="http://schemas.openxmlformats.org/spreadsheetml/2006/main" count="549" uniqueCount="329">
  <si>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</si>
  <si>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</si>
  <si>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</si>
  <si>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</si>
  <si>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</si>
  <si>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</si>
  <si>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</si>
  <si>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</si>
  <si>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</si>
  <si>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</si>
  <si>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</si>
  <si>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</si>
  <si>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</si>
  <si>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</si>
  <si>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</si>
  <si>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</si>
  <si>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</si>
  <si>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</si>
  <si>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</si>
  <si>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</si>
  <si>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</si>
  <si>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</si>
  <si>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</si>
  <si>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</si>
  <si>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</si>
  <si>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</si>
  <si>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</si>
  <si>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</si>
  <si>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</si>
  <si>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</si>
  <si>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</si>
  <si>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</si>
  <si>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</si>
  <si>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</si>
  <si>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</si>
  <si>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</si>
  <si>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</si>
  <si>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</si>
  <si>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</si>
  <si>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</si>
  <si>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</si>
  <si>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</si>
  <si>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</si>
  <si>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</si>
  <si>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</si>
  <si>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</si>
  <si>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</si>
  <si>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</si>
  <si>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</si>
  <si>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</si>
  <si>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</si>
  <si>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</si>
  <si>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</si>
  <si>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</si>
  <si>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</si>
  <si>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</si>
  <si>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</si>
  <si>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</si>
  <si>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</si>
  <si>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</si>
  <si>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</si>
  <si>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</si>
  <si>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</si>
  <si>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</si>
  <si>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</si>
  <si>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</si>
  <si>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</si>
  <si>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</si>
  <si>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</si>
  <si>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</si>
  <si>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</si>
  <si>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</si>
  <si>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</si>
  <si>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</si>
  <si>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</si>
  <si>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</si>
  <si>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</si>
  <si>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</si>
  <si>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</si>
  <si>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</si>
  <si>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</si>
  <si>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</si>
  <si>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</si>
  <si>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</si>
  <si>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</si>
  <si>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</si>
  <si>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</si>
  <si>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</si>
  <si>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</si>
  <si>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</si>
  <si>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</si>
  <si>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</si>
  <si>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</si>
  <si>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</si>
  <si>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</si>
  <si>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</si>
  <si>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</si>
  <si>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</si>
  <si>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</si>
  <si>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</si>
  <si>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</si>
  <si>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</si>
  <si>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</si>
  <si>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</si>
  <si>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</si>
  <si>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</si>
  <si>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</si>
  <si>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</si>
  <si>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</si>
  <si>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</si>
  <si>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</si>
  <si>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</si>
  <si>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</si>
  <si>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</si>
  <si>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</si>
  <si>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</si>
  <si>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</si>
  <si>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</si>
  <si>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</si>
  <si>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</si>
  <si>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</si>
  <si>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</si>
  <si>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</si>
  <si>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</si>
  <si>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</si>
  <si>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</si>
  <si>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</si>
  <si>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</si>
  <si>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</si>
  <si>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</si>
  <si>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</si>
  <si>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</si>
  <si>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</si>
  <si>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</si>
  <si>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</si>
  <si>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</si>
  <si>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</si>
  <si>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</si>
  <si>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</si>
  <si>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</si>
  <si>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</si>
  <si>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</si>
  <si>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</si>
  <si>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</si>
  <si>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</si>
  <si>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</si>
  <si>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</si>
  <si>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</si>
  <si>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</si>
  <si>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</si>
  <si>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</si>
  <si>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</si>
  <si>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</si>
  <si>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</si>
  <si>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</si>
  <si>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</si>
  <si>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</si>
  <si>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</si>
  <si>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</si>
  <si>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</si>
  <si>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</si>
  <si>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</si>
  <si>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</si>
  <si>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</si>
  <si>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</si>
  <si>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</si>
  <si>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</si>
  <si>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</si>
  <si>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</si>
  <si>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</si>
  <si>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</si>
  <si>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</si>
  <si>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</si>
  <si>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</si>
  <si>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</si>
  <si>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</si>
  <si>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</si>
  <si>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</si>
  <si>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</si>
  <si>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</si>
  <si>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</si>
  <si>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</si>
  <si>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</si>
  <si>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</si>
  <si>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</si>
  <si>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</si>
  <si>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</si>
  <si>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</si>
  <si>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</si>
  <si>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</si>
  <si>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</si>
  <si>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</si>
  <si>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</si>
  <si>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</si>
  <si>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</si>
  <si>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</si>
  <si>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</si>
  <si>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</si>
  <si>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</si>
  <si>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</si>
  <si>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</si>
  <si>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</si>
  <si>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</si>
  <si>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</si>
  <si>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</si>
  <si>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</si>
  <si>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</si>
  <si>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</si>
  <si>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</si>
  <si>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</si>
  <si>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</si>
  <si>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</si>
  <si>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</si>
  <si>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</si>
  <si>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</si>
  <si>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</si>
  <si>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</si>
  <si>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</si>
  <si>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</si>
  <si>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</si>
  <si>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</si>
  <si>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</si>
  <si>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</si>
  <si>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</si>
  <si>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</si>
  <si>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</si>
  <si>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</si>
  <si>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</si>
  <si>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</si>
  <si>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</si>
  <si>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</si>
  <si>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</si>
  <si>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</si>
  <si>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</si>
  <si>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</si>
  <si>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</si>
  <si>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</si>
  <si>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</si>
  <si>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</si>
  <si>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</si>
  <si>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</si>
  <si>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</si>
  <si>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</si>
  <si>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</si>
  <si>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</si>
  <si>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</si>
  <si>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</si>
  <si>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</si>
  <si>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</si>
  <si>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</si>
  <si>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</si>
  <si>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</si>
  <si>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</si>
  <si>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</si>
  <si>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</si>
  <si>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</si>
  <si>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</si>
  <si>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</si>
  <si>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</si>
  <si>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</si>
  <si>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</si>
  <si>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</si>
  <si>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</si>
  <si>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</si>
  <si>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</si>
  <si>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</si>
  <si>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</si>
  <si>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</si>
  <si>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</si>
  <si>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</si>
  <si>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</si>
  <si>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</si>
  <si>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</si>
  <si>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</si>
  <si>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</si>
  <si>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</si>
  <si>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</si>
  <si>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</si>
  <si>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</si>
  <si>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</si>
  <si>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</si>
  <si>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</si>
  <si>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</si>
  <si>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</si>
  <si>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</si>
  <si>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</si>
  <si>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</si>
  <si>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</si>
  <si>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</si>
  <si>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</si>
  <si>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</si>
  <si>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</si>
  <si>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</si>
  <si>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</si>
  <si>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</si>
  <si>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</si>
  <si>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</si>
  <si>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</si>
  <si>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</si>
  <si>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</si>
  <si>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</si>
  <si>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</si>
  <si>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</si>
  <si>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</si>
  <si>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</si>
  <si>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</si>
  <si>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</si>
  <si>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</si>
  <si>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</si>
  <si>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</si>
  <si>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</si>
  <si>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</si>
  <si>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</si>
  <si>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</si>
  <si>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</si>
  <si>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</si>
  <si>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</si>
  <si>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</si>
  <si>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</si>
  <si>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</si>
  <si>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</si>
  <si>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</si>
  <si>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</si>
  <si>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</si>
  <si>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</si>
  <si>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L</t>
  </si>
  <si>
    <t>Test Farm</t>
  </si>
  <si>
    <t>Test Farm Pty Ltd</t>
  </si>
  <si>
    <t>Western Australia - Wheat Belt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</si>
</sst>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8.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303</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305</v>
      </c>
      <c r="E5" s="85"/>
      <c r="F5" s="85"/>
      <c r="G5" s="85"/>
      <c r="H5" s="85"/>
      <c r="I5" s="85"/>
      <c r="J5" s="85"/>
      <c r="K5" s="85"/>
      <c r="L5" s="85"/>
      <c r="M5" s="85"/>
      <c r="N5" s="85"/>
      <c r="O5" s="81"/>
    </row>
    <row r="6" spans="1:42" ht="20.100000000000001" customHeight="1" x14ac:dyDescent="0.25">
      <c r="A6" s="16"/>
      <c r="D6" s="175" t="s">
        <v>306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66</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304</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299</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79</v>
      </c>
      <c r="E8" s="104" t="s">
        <v>92</v>
      </c>
      <c r="F8" s="104" t="s">
        <v>93</v>
      </c>
      <c r="G8" s="104" t="s">
        <v>86</v>
      </c>
      <c r="H8" s="104" t="s">
        <v>94</v>
      </c>
      <c r="I8" s="104" t="s">
        <v>95</v>
      </c>
      <c r="J8" s="104" t="s">
        <v>87</v>
      </c>
      <c r="K8" s="22"/>
    </row>
    <row r="9" spans="1:11" ht="20.100000000000001" customHeight="1" x14ac:dyDescent="0.25">
      <c r="A9" s="17" t="str">
        <f>HYPERLINK("#'Input - Fertiliser'!A1", "Fertiliser")</f>
        <v>Fertiliser</v>
      </c>
      <c r="C9" s="22"/>
      <c r="D9" s="1" t="s">
        <v>292</v>
      </c>
      <c r="E9" s="170">
        <f>'5.1.1.1-2 Inorganic fert N2O'!$E$80</f>
        <v>1.3950310000000001</v>
      </c>
      <c r="F9" s="170">
        <f>'5.1.1.1-2 Inorganic fert N2O'!$N$88</f>
        <v>1.3986346000000001</v>
      </c>
      <c r="G9" s="52" t="s">
        <v>98</v>
      </c>
      <c r="H9" s="102">
        <f>'5.1.1.1-2 Inorganic fert N2O'!E85</f>
        <v>369.68321500000002</v>
      </c>
      <c r="I9" s="102">
        <f>'5.1.1.1-2 Inorganic fert N2O'!N93</f>
        <v>370.638169</v>
      </c>
      <c r="J9" s="52" t="s">
        <v>90</v>
      </c>
      <c r="K9" s="22"/>
    </row>
    <row r="10" spans="1:11" ht="20.100000000000001" customHeight="1" x14ac:dyDescent="0.25">
      <c r="A10" s="17"/>
      <c r="C10" s="22"/>
      <c r="D10" s="1" t="s">
        <v>293</v>
      </c>
      <c r="E10" s="170">
        <f>'5.1.1.3-4 Inorganic fert CO2'!$E$78</f>
        <v>73.333333333333329</v>
      </c>
      <c r="F10" s="170">
        <f>E10</f>
        <v>73.333333333333329</v>
      </c>
      <c r="G10" s="52" t="s">
        <v>257</v>
      </c>
      <c r="H10" s="102">
        <f>'5.1.1.3-4 Inorganic fert CO2'!$E$78</f>
        <v>73.333333333333329</v>
      </c>
      <c r="I10" s="102">
        <f>H10</f>
        <v>73.333333333333329</v>
      </c>
      <c r="J10" s="52" t="s">
        <v>90</v>
      </c>
      <c r="K10" s="22"/>
    </row>
    <row r="11" spans="1:11" ht="20.100000000000001" customHeight="1" x14ac:dyDescent="0.25">
      <c r="A11" s="19" t="s">
        <v>66</v>
      </c>
      <c r="C11" s="22"/>
      <c r="D11" s="1" t="s">
        <v>294</v>
      </c>
      <c r="E11" s="170">
        <f>'5.2.1.1-2 Organic Fert N2O'!$E$50</f>
        <v>5.5785714285714286E-2</v>
      </c>
      <c r="F11" s="170">
        <f>E11</f>
        <v>5.5785714285714286E-2</v>
      </c>
      <c r="G11" s="52" t="s">
        <v>98</v>
      </c>
      <c r="H11" s="102">
        <f>'5.2.1.1-2 Organic Fert N2O'!$E$55</f>
        <v>14.783214285714285</v>
      </c>
      <c r="I11" s="102">
        <f>H11</f>
        <v>14.783214285714285</v>
      </c>
      <c r="J11" s="52" t="s">
        <v>90</v>
      </c>
      <c r="K11" s="22"/>
    </row>
    <row r="12" spans="1:11" ht="20.100000000000001" customHeight="1" x14ac:dyDescent="0.25">
      <c r="A12" s="17" t="str">
        <f>HYPERLINK("#'5.1.1.1-2 Inorganic Fert N2O'!A1", "5.1.1.1-2 Inorganic Fert N2O")</f>
        <v>5.1.1.1-2 Inorganic Fert N2O</v>
      </c>
      <c r="C12" s="22"/>
      <c r="D12" s="1" t="s">
        <v>295</v>
      </c>
      <c r="E12" s="170">
        <f>'5.3.1.1-2 Lime CO2'!$E$31</f>
        <v>758.08333333333326</v>
      </c>
      <c r="F12" s="170">
        <f>E12</f>
        <v>758.08333333333326</v>
      </c>
      <c r="G12" s="52" t="s">
        <v>257</v>
      </c>
      <c r="H12" s="102">
        <f>'5.3.1.1-2 Lime CO2'!$E$31</f>
        <v>758.08333333333326</v>
      </c>
      <c r="I12" s="102">
        <f>H12</f>
        <v>758.08333333333326</v>
      </c>
      <c r="J12" s="52" t="s">
        <v>90</v>
      </c>
      <c r="K12" s="22"/>
    </row>
    <row r="13" spans="1:11" ht="20.100000000000001" customHeight="1" x14ac:dyDescent="0.25">
      <c r="A13" s="17" t="str">
        <f>HYPERLINK("#'5.1.1.3-4 Inorganic fert CO2'!A1", "5.1.1.3-4 Inorganic fert CO2")</f>
        <v>5.1.1.3-4 Inorganic fert CO2</v>
      </c>
      <c r="C13" s="22"/>
      <c r="D13" s="1" t="s">
        <v>296</v>
      </c>
      <c r="E13" s="170">
        <f>'5.4.1.1-4 Atmos deposition'!E79 + '5.4.1.1-4 Atmos deposition'!$E$146</f>
        <v>0.15152390000000002</v>
      </c>
      <c r="F13" s="170">
        <f>E13</f>
        <v>0.15152390000000002</v>
      </c>
      <c r="G13" s="52" t="s">
        <v>98</v>
      </c>
      <c r="H13" s="102">
        <f>'5.4.1.1-4 Atmos deposition'!E84 + '5.4.1.1-4 Atmos deposition'!$E$151</f>
        <v>40.153833500000005</v>
      </c>
      <c r="I13" s="102">
        <f>H13</f>
        <v>40.153833500000005</v>
      </c>
      <c r="J13" s="52" t="s">
        <v>90</v>
      </c>
      <c r="K13" s="22"/>
    </row>
    <row r="14" spans="1:11" ht="20.100000000000001" customHeight="1" x14ac:dyDescent="0.25">
      <c r="A14" s="17" t="str">
        <f>HYPERLINK("#'5.2.1.1-2 Organic Fert N2O'!A1", "5.2.1.1-2 Organic Fert N2O")</f>
        <v>5.2.1.1-2 Organic Fert N2O</v>
      </c>
      <c r="C14" s="22"/>
      <c r="D14" s="1" t="s">
        <v>297</v>
      </c>
      <c r="E14" s="170">
        <f>'5.5.1.1-2 Leaching and runoff'!$E$94</f>
        <v>0.55558083428571436</v>
      </c>
      <c r="F14" s="170">
        <f>E14</f>
        <v>0.55558083428571436</v>
      </c>
      <c r="G14" s="52" t="s">
        <v>98</v>
      </c>
      <c r="H14" s="102">
        <f>'5.5.1.1-2 Leaching and runoff'!$E$99</f>
        <v>147.22892108571432</v>
      </c>
      <c r="I14" s="102">
        <f>H14</f>
        <v>147.22892108571432</v>
      </c>
      <c r="J14" s="52" t="s">
        <v>90</v>
      </c>
      <c r="K14" s="22"/>
    </row>
    <row r="15" spans="1:11" ht="20.100000000000001" customHeight="1" x14ac:dyDescent="0.3">
      <c r="A15" s="17" t="str">
        <f>HYPERLINK("#'5.3.1.1-2 Lime CO2'!A1", "5.3.1.1-2 Lime CO2")</f>
        <v>5.3.1.1-2 Lime CO2</v>
      </c>
      <c r="C15" s="22"/>
      <c r="D15" s="29" t="s">
        <v>85</v>
      </c>
      <c r="E15" s="23"/>
      <c r="F15" s="23"/>
      <c r="G15" s="29"/>
      <c r="H15" s="103">
        <f>SUM(H9:H14)</f>
        <v>1403.2658505380953</v>
      </c>
      <c r="I15" s="103">
        <f>SUM(I9:I14)</f>
        <v>1404.2208045380953</v>
      </c>
      <c r="J15" s="98" t="s">
        <v>90</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69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65</v>
      </c>
      <c r="E8" s="33" t="s">
        <v>327</v>
      </c>
    </row>
    <row r="9" spans="1:24" ht="20.100000000000001" customHeight="1" x14ac:dyDescent="0.25">
      <c r="A9" s="17" t="str">
        <f>HYPERLINK("#'Input - Fertiliser'!A1", "Fertiliser")</f>
        <v>Fertiliser</v>
      </c>
      <c r="N9" s="42"/>
    </row>
    <row r="10" spans="1:24" ht="20.100000000000001" customHeight="1" x14ac:dyDescent="0.25">
      <c r="A10" s="17"/>
      <c r="D10" s="88" t="s">
        <v>68</v>
      </c>
      <c r="E10" s="86"/>
      <c r="F10" s="89"/>
      <c r="G10" s="83"/>
      <c r="N10" s="42"/>
    </row>
    <row r="11" spans="1:24" ht="20.100000000000001" customHeight="1" x14ac:dyDescent="0.25">
      <c r="A11" s="19" t="s">
        <v>66</v>
      </c>
      <c r="N11" s="43"/>
    </row>
    <row r="12" spans="1:24" ht="20.100000000000001" customHeight="1" x14ac:dyDescent="0.25">
      <c r="A12" s="17" t="str">
        <f>HYPERLINK("#'5.1.1.1-2 Inorganic Fert N2O'!A1", "5.1.1.1-2 Inorganic Fert N2O")</f>
        <v>5.1.1.1-2 Inorganic Fert N2O</v>
      </c>
      <c r="D12" s="10" t="s">
        <v>74</v>
      </c>
      <c r="E12" s="60">
        <v>45292</v>
      </c>
      <c r="F12" s="2" t="s">
        <v>63</v>
      </c>
    </row>
    <row r="13" spans="1:24" ht="20.100000000000001" customHeight="1" x14ac:dyDescent="0.25">
      <c r="A13" s="17" t="str">
        <f>HYPERLINK("#'5.1.1.3-4 Inorganic fert CO2'!A1", "5.1.1.3-4 Inorganic fert CO2")</f>
        <v>5.1.1.3-4 Inorganic fert CO2</v>
      </c>
      <c r="D13" s="10" t="s">
        <v>75</v>
      </c>
      <c r="E13" s="64">
        <f>DATE(YEAR(E12)+1,MONTH(E12),DAY(E12))-1</f>
        <v>45657</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64</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97</v>
      </c>
      <c r="F21" s="2" t="s">
        <v>8</v>
      </c>
    </row>
    <row r="22" spans="1:25" ht="20.100000000000001" customHeight="1" x14ac:dyDescent="0.25">
      <c r="A22"/>
      <c r="D22" s="1" t="s">
        <v>20</v>
      </c>
      <c r="E22" s="39" t="s">
        <v>328</v>
      </c>
      <c r="F22" s="2" t="s">
        <v>8</v>
      </c>
      <c r="G22" s="1"/>
    </row>
    <row r="23" spans="1:25" ht="20.100000000000001" customHeight="1" x14ac:dyDescent="0.25">
      <c r="A23" s="17"/>
      <c r="D23" s="1" t="s">
        <v>6</v>
      </c>
      <c r="E23" s="39" t="s">
        <v>73</v>
      </c>
      <c r="F23" s="2" t="s">
        <v>8</v>
      </c>
    </row>
    <row r="24" spans="1:25" ht="20.100000000000001" customHeight="1" x14ac:dyDescent="0.25">
      <c r="A24"/>
      <c r="D24" s="1" t="s">
        <v>33</v>
      </c>
      <c r="E24" s="33">
        <v>225.3</v>
      </c>
      <c r="F24" s="2" t="s">
        <v>47</v>
      </c>
    </row>
    <row r="25" spans="1:25" ht="20.100000000000001" customHeight="1" x14ac:dyDescent="0.25">
      <c r="A25"/>
      <c r="D25" s="1" t="s">
        <v>55</v>
      </c>
      <c r="E25" s="33">
        <v>19</v>
      </c>
      <c r="F25" s="2" t="s">
        <v>9</v>
      </c>
      <c r="N25" s="41"/>
    </row>
    <row r="26" spans="1:25" ht="20.100000000000001" customHeight="1" x14ac:dyDescent="0.25">
      <c r="A26"/>
      <c r="D26" s="1" t="s">
        <v>56</v>
      </c>
      <c r="E26" s="33">
        <v>212</v>
      </c>
      <c r="F26" s="2" t="s">
        <v>10</v>
      </c>
    </row>
    <row r="27" spans="1:25" ht="20.100000000000001" customHeight="1" x14ac:dyDescent="0.25">
      <c r="A27"/>
      <c r="D27" s="10" t="s">
        <v>57</v>
      </c>
      <c r="E27" s="33">
        <v>2296.8000000000002</v>
      </c>
      <c r="F27" s="2" t="s">
        <v>10</v>
      </c>
    </row>
    <row r="28" spans="1:25" ht="20.100000000000001" customHeight="1" x14ac:dyDescent="0.25">
      <c r="A28"/>
      <c r="D28" s="1" t="s">
        <v>58</v>
      </c>
      <c r="E28" s="33">
        <v>1</v>
      </c>
      <c r="F28" s="2" t="s">
        <v>48</v>
      </c>
    </row>
    <row r="29" spans="1:25" ht="20.100000000000001" customHeight="1" x14ac:dyDescent="0.25">
      <c r="A29"/>
      <c r="D29" s="10" t="s">
        <v>54</v>
      </c>
      <c r="E29" s="50">
        <f>E26/E27</f>
        <v>9.2302333681644019E-2</v>
      </c>
      <c r="F29" s="2"/>
    </row>
    <row r="30" spans="1:25" ht="20.100000000000001" customHeight="1" x14ac:dyDescent="0.25">
      <c r="A30"/>
      <c r="D30" s="10" t="s">
        <v>29</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Tropical dry</v>
      </c>
      <c r="F31" s="1"/>
      <c r="G31" s="31"/>
      <c r="L31" s="45"/>
      <c r="M31" s="45"/>
      <c r="N31" s="45"/>
      <c r="O31" s="45"/>
      <c r="P31" s="45"/>
      <c r="Q31" s="45"/>
      <c r="R31" s="45"/>
      <c r="S31" s="45"/>
      <c r="T31" s="45"/>
      <c r="U31" s="45"/>
      <c r="V31" s="45"/>
      <c r="W31" s="45"/>
      <c r="X31" s="45"/>
      <c r="Y31" s="45"/>
    </row>
    <row r="32" spans="1:25" ht="20.100000000000001" customHeight="1" x14ac:dyDescent="0.25">
      <c r="A32"/>
      <c r="D32" s="1" t="s">
        <v>70</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46</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7" zoomScale="85" zoomScaleNormal="85" workbookViewId="0">
      <selection activeCell="F22" sqref="F19:G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302</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84</v>
      </c>
      <c r="E6" s="39" t="s">
        <v>128</v>
      </c>
      <c r="F6" s="2" t="s">
        <v>8</v>
      </c>
    </row>
    <row r="7" spans="1:25" ht="20.100000000000001" customHeight="1" x14ac:dyDescent="0.25">
      <c r="A7" s="20" t="s">
        <v>1</v>
      </c>
      <c r="D7" s="1" t="s">
        <v>161</v>
      </c>
      <c r="E7" s="39" t="s">
        <v>138</v>
      </c>
      <c r="F7" s="2" t="s">
        <v>8</v>
      </c>
    </row>
    <row r="8" spans="1:25" ht="20.100000000000001" customHeight="1" x14ac:dyDescent="0.25">
      <c r="A8" s="17" t="str">
        <f>HYPERLINK("#'Input - Site'!A1", "Site")</f>
        <v>Site</v>
      </c>
      <c r="D8" s="1" t="s">
        <v>83</v>
      </c>
      <c r="E8" s="39" t="s">
        <v>129</v>
      </c>
      <c r="F8" s="2" t="s">
        <v>8</v>
      </c>
    </row>
    <row r="9" spans="1:25" ht="20.100000000000001" customHeight="1" x14ac:dyDescent="0.25">
      <c r="A9" s="108" t="str">
        <f>HYPERLINK("#'Input - Fertiliser'!A1", "Fertiliser")</f>
        <v>Fertiliser</v>
      </c>
      <c r="D9" s="1" t="s">
        <v>183</v>
      </c>
      <c r="E9" s="136">
        <v>1000</v>
      </c>
      <c r="F9" s="2" t="s">
        <v>175</v>
      </c>
    </row>
    <row r="10" spans="1:25" ht="20.100000000000001" customHeight="1" x14ac:dyDescent="0.25">
      <c r="A10" s="17"/>
    </row>
    <row r="11" spans="1:25" ht="20.100000000000001" customHeight="1" x14ac:dyDescent="0.25">
      <c r="A11" s="19" t="s">
        <v>66</v>
      </c>
      <c r="D11" s="6" t="s">
        <v>143</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144</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145</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146</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147</v>
      </c>
      <c r="E17" s="117" t="s">
        <v>317</v>
      </c>
      <c r="F17" s="179" t="s">
        <v>308</v>
      </c>
      <c r="G17" s="179" t="s">
        <v>309</v>
      </c>
      <c r="H17" s="117" t="s">
        <v>148</v>
      </c>
      <c r="I17" s="117" t="s">
        <v>149</v>
      </c>
      <c r="J17" s="116" t="s">
        <v>112</v>
      </c>
      <c r="K17" s="116" t="s">
        <v>113</v>
      </c>
      <c r="L17" s="116" t="s">
        <v>114</v>
      </c>
      <c r="M17" s="116" t="s">
        <v>115</v>
      </c>
      <c r="N17" s="116" t="s">
        <v>116</v>
      </c>
      <c r="O17" s="116" t="s">
        <v>117</v>
      </c>
      <c r="P17" s="116" t="s">
        <v>118</v>
      </c>
      <c r="Q17" s="116" t="s">
        <v>119</v>
      </c>
      <c r="R17" s="116" t="s">
        <v>120</v>
      </c>
      <c r="S17" s="116" t="s">
        <v>121</v>
      </c>
      <c r="T17" s="116" t="s">
        <v>122</v>
      </c>
      <c r="U17" s="116" t="s">
        <v>123</v>
      </c>
      <c r="V17" s="116" t="s">
        <v>162</v>
      </c>
      <c r="W17" s="178" t="s">
        <v>228</v>
      </c>
      <c r="X17" s="178" t="s">
        <v>229</v>
      </c>
    </row>
    <row r="18" spans="1:24" ht="36" customHeight="1" x14ac:dyDescent="0.25">
      <c r="D18" s="122" t="s">
        <v>298</v>
      </c>
      <c r="E18" s="123">
        <v>100</v>
      </c>
      <c r="F18" s="50" t="s">
        <v>325</v>
      </c>
      <c r="G18" s="50">
        <v>1.26</v>
      </c>
      <c r="H18" s="123">
        <v>100</v>
      </c>
      <c r="I18" s="124">
        <v>12600</v>
      </c>
      <c r="J18" s="124" t="s">
        <v>154</v>
      </c>
      <c r="K18" s="124">
        <v>0.22500000000000001</v>
      </c>
      <c r="L18" s="124"/>
      <c r="M18" s="124"/>
      <c r="N18" s="124"/>
      <c r="O18" s="124"/>
      <c r="P18" s="124"/>
      <c r="Q18" s="124"/>
      <c r="R18" s="124"/>
      <c r="S18" s="124"/>
      <c r="T18" s="124"/>
      <c r="U18" s="124"/>
      <c r="V18" s="124">
        <v>3.2759999999999998</v>
      </c>
      <c r="W18" s="50"/>
      <c r="X18" s="50"/>
    </row>
    <row r="19" spans="1:24" ht="36" customHeight="1" x14ac:dyDescent="0.25">
      <c r="A19" s="18" t="s">
        <v>2</v>
      </c>
      <c r="D19" s="122" t="s">
        <v>318</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1000</v>
      </c>
      <c r="I19" s="124">
        <f>(Table_Input_InorganicFertiliser_Brands[[#This Row],[Amount applied per hectare]]*Table_Input_InorganicFertiliser_Brands[[#This Row],[Density]])*Table_Input_InorganicFertiliser_Brands[[#This Row],[Application area (ha)]]</f>
        <v>128500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318</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1000</v>
      </c>
      <c r="I20" s="124">
        <f>(Table_Input_InorganicFertiliser_Brands[[#This Row],[Amount applied per hectare]]*Table_Input_InorganicFertiliser_Brands[[#This Row],[Density]])*Table_Input_InorganicFertiliser_Brands[[#This Row],[Application area (ha)]]</f>
        <v>128500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320</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1000</v>
      </c>
      <c r="I21" s="124">
        <f>(Table_Input_InorganicFertiliser_Brands[[#This Row],[Amount applied per hectare]]*Table_Input_InorganicFertiliser_Brands[[#This Row],[Density]])*Table_Input_InorganicFertiliser_Brands[[#This Row],[Application area (ha)]]</f>
        <v>126000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319</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1000</v>
      </c>
      <c r="I22" s="124">
        <f>(Table_Input_InorganicFertiliser_Brands[[#This Row],[Amount applied per hectare]]*Table_Input_InorganicFertiliser_Brands[[#This Row],[Density]])*Table_Input_InorganicFertiliser_Brands[[#This Row],[Application area (ha)]]</f>
        <v>150000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150</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151</v>
      </c>
      <c r="E25" s="117" t="s">
        <v>156</v>
      </c>
      <c r="F25" s="117" t="s">
        <v>148</v>
      </c>
      <c r="G25" s="117" t="s">
        <v>149</v>
      </c>
      <c r="H25" s="117" t="s">
        <v>152</v>
      </c>
      <c r="I25" s="117" t="s">
        <v>113</v>
      </c>
      <c r="J25" s="117" t="s">
        <v>114</v>
      </c>
      <c r="K25" s="117" t="s">
        <v>115</v>
      </c>
      <c r="L25" s="117" t="s">
        <v>116</v>
      </c>
      <c r="M25" s="117" t="s">
        <v>117</v>
      </c>
      <c r="N25" s="117" t="s">
        <v>118</v>
      </c>
      <c r="O25" s="117" t="s">
        <v>119</v>
      </c>
      <c r="P25" s="117" t="s">
        <v>162</v>
      </c>
      <c r="Q25" s="178" t="s">
        <v>310</v>
      </c>
      <c r="R25" s="178" t="s">
        <v>311</v>
      </c>
      <c r="S25" s="130"/>
      <c r="T25" s="130"/>
      <c r="V25" s="130"/>
      <c r="W25" s="130"/>
      <c r="X25" s="130"/>
    </row>
    <row r="26" spans="1:24" ht="36" customHeight="1" x14ac:dyDescent="0.25">
      <c r="D26" s="33" t="s">
        <v>153</v>
      </c>
      <c r="E26" s="117">
        <v>100</v>
      </c>
      <c r="F26" s="123">
        <f>$E$9</f>
        <v>1000</v>
      </c>
      <c r="G26" s="124">
        <f>Table_Input_InorganicFertiliser_Custom[[#This Row],[Amount applied (kg / ha)]]*Table_Input_InorganicFertiliser_Custom[[#This Row],[Application area (ha)]]</f>
        <v>100000</v>
      </c>
      <c r="H26" s="134" t="s">
        <v>312</v>
      </c>
      <c r="I26" s="137">
        <v>0.5</v>
      </c>
      <c r="J26" s="134" t="s">
        <v>313</v>
      </c>
      <c r="K26" s="137">
        <v>0.2</v>
      </c>
      <c r="L26" s="134" t="s">
        <v>154</v>
      </c>
      <c r="M26" s="137">
        <v>0.2</v>
      </c>
      <c r="N26" s="135" t="s">
        <v>155</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315</v>
      </c>
      <c r="E27" s="117">
        <v>100</v>
      </c>
      <c r="F27" s="180">
        <f>$E$9</f>
        <v>1000</v>
      </c>
      <c r="G27" s="124">
        <f>Table_Input_InorganicFertiliser_Custom[[#This Row],[Amount applied (kg / ha)]]*Table_Input_InorganicFertiliser_Custom[[#This Row],[Application area (ha)]]</f>
        <v>100000</v>
      </c>
      <c r="H27" s="134" t="s">
        <v>316</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322</v>
      </c>
      <c r="E28" s="117">
        <v>100</v>
      </c>
      <c r="F28" s="180">
        <f>$E$9</f>
        <v>1000</v>
      </c>
      <c r="G28" s="124">
        <f>Table_Input_InorganicFertiliser_Custom[[#This Row],[Amount applied (kg / ha)]]*Table_Input_InorganicFertiliser_Custom[[#This Row],[Application area (ha)]]</f>
        <v>100000</v>
      </c>
      <c r="H28" s="134" t="s">
        <v>323</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314</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184</v>
      </c>
      <c r="E32" s="85"/>
      <c r="F32" s="81"/>
      <c r="G32" s="106"/>
      <c r="H32" s="81"/>
      <c r="I32" s="3"/>
      <c r="J32" s="3"/>
      <c r="K32" s="22"/>
      <c r="L32" s="22"/>
      <c r="M32" s="22"/>
    </row>
    <row r="33" spans="1:25" ht="36" customHeight="1" x14ac:dyDescent="0.25">
      <c r="A33" s="17"/>
      <c r="D33" s="161" t="s">
        <v>185</v>
      </c>
      <c r="E33" s="162"/>
      <c r="F33" s="163"/>
      <c r="G33" s="161"/>
      <c r="H33" s="163"/>
      <c r="I33" s="22"/>
      <c r="J33" s="22"/>
      <c r="K33" s="22"/>
      <c r="L33" s="22"/>
      <c r="M33" s="3"/>
    </row>
    <row r="34" spans="1:25" ht="36" customHeight="1" x14ac:dyDescent="0.25">
      <c r="D34" s="87" t="s">
        <v>145</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111</v>
      </c>
      <c r="E36" s="140" t="s">
        <v>186</v>
      </c>
      <c r="F36" s="140" t="s">
        <v>148</v>
      </c>
      <c r="G36" s="140" t="s">
        <v>187</v>
      </c>
      <c r="H36" s="140" t="s">
        <v>188</v>
      </c>
      <c r="I36" s="140" t="s">
        <v>189</v>
      </c>
      <c r="J36" s="140" t="s">
        <v>190</v>
      </c>
      <c r="K36" s="140" t="s">
        <v>85</v>
      </c>
    </row>
    <row r="37" spans="1:25" ht="20.100000000000001" customHeight="1" x14ac:dyDescent="0.25">
      <c r="D37" s="141" t="s">
        <v>261</v>
      </c>
      <c r="E37" s="123">
        <v>1</v>
      </c>
      <c r="F37" s="123">
        <f>$E$9</f>
        <v>1000</v>
      </c>
      <c r="G37" s="124">
        <f>IFERROR(Table_Input_Lime[[#This Row],[Amount applied (t/hectare)]]*Table_Input_Lime[[#This Row],[Application area (ha)]], 0)</f>
        <v>1000</v>
      </c>
      <c r="H37" s="142">
        <v>0.8</v>
      </c>
      <c r="I37" s="142">
        <v>0.1</v>
      </c>
      <c r="J37" s="142">
        <v>0.1</v>
      </c>
      <c r="K37" s="164">
        <f>SUM(Table_Input_Lime[[#This Row],[Percent Lime CaCO3]:[Percent Gypsum]])</f>
        <v>1</v>
      </c>
    </row>
    <row r="38" spans="1:25" ht="20.100000000000001" customHeight="1" x14ac:dyDescent="0.25">
      <c r="C38" s="130"/>
      <c r="D38" s="141" t="s">
        <v>262</v>
      </c>
      <c r="E38" s="123">
        <v>1</v>
      </c>
      <c r="F38" s="123">
        <f>$E$9</f>
        <v>1000</v>
      </c>
      <c r="G38" s="124">
        <f>IFERROR(Table_Input_Lime[[#This Row],[Amount applied (t/hectare)]]*Table_Input_Lime[[#This Row],[Application area (ha)]], 0)</f>
        <v>1000</v>
      </c>
      <c r="H38" s="142">
        <v>1</v>
      </c>
      <c r="I38" s="142"/>
      <c r="J38" s="142"/>
      <c r="K38" s="164">
        <f>SUM(Table_Input_Lime[[#This Row],[Percent Lime CaCO3]:[Percent Gypsum]])</f>
        <v>1</v>
      </c>
      <c r="L38" s="3"/>
    </row>
    <row r="39" spans="1:25" ht="20.100000000000001" customHeight="1" x14ac:dyDescent="0.25">
      <c r="A39" s="17"/>
      <c r="C39" s="130"/>
      <c r="D39" s="141" t="s">
        <v>324</v>
      </c>
      <c r="E39" s="123">
        <v>1</v>
      </c>
      <c r="F39" s="123">
        <f>$E$9</f>
        <v>1000</v>
      </c>
      <c r="G39" s="124">
        <f>IFERROR(Table_Input_Lime[[#This Row],[Amount applied (t/hectare)]]*Table_Input_Lime[[#This Row],[Application area (ha)]], 0)</f>
        <v>1000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191</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184</v>
      </c>
      <c r="E44" s="85"/>
      <c r="F44" s="85"/>
      <c r="G44" s="85"/>
      <c r="H44" s="81"/>
      <c r="I44" s="22"/>
      <c r="J44" s="22"/>
      <c r="K44" s="22"/>
      <c r="L44" s="22"/>
      <c r="M44" s="22"/>
      <c r="O44" s="130"/>
      <c r="P44" s="130"/>
      <c r="Q44" s="130"/>
      <c r="R44" s="130"/>
    </row>
    <row r="45" spans="1:25" ht="36" customHeight="1" x14ac:dyDescent="0.25">
      <c r="D45" s="87" t="s">
        <v>145</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192</v>
      </c>
      <c r="E47" s="140" t="s">
        <v>193</v>
      </c>
      <c r="F47" s="140" t="s">
        <v>194</v>
      </c>
      <c r="G47" s="140" t="s">
        <v>195</v>
      </c>
      <c r="H47" s="140" t="s">
        <v>148</v>
      </c>
      <c r="I47" s="140" t="s">
        <v>196</v>
      </c>
      <c r="J47" s="140" t="s">
        <v>197</v>
      </c>
      <c r="K47" s="132"/>
    </row>
    <row r="48" spans="1:25" ht="20.100000000000001" customHeight="1" x14ac:dyDescent="0.25">
      <c r="D48" s="122" t="s">
        <v>238</v>
      </c>
      <c r="E48" s="142">
        <v>0.3</v>
      </c>
      <c r="F48" s="123">
        <v>10</v>
      </c>
      <c r="G48" s="124">
        <f>Table_Input_OrganicFertiliser[[#This Row],[Amount applied (kg/hectare)]]*Table_Input_OrganicFertiliser[[#This Row],[Percentage of N in fertiliser]]</f>
        <v>3</v>
      </c>
      <c r="H48" s="123">
        <f>$E$9</f>
        <v>1000</v>
      </c>
      <c r="I48" s="124">
        <f>Table_Input_OrganicFertiliser[[#This Row],[Amount applied (kg/hectare)]]*Table_Input_OrganicFertiliser[[#This Row],[Application area (ha)]]</f>
        <v>10000</v>
      </c>
      <c r="J48" s="124">
        <f>IFERROR(Table_Input_OrganicFertiliser[[#This Row],[Amount N applied (kg/hectare)]]*Table_Input_OrganicFertiliser[[#This Row],[Application area (ha)]], 0)</f>
        <v>3000</v>
      </c>
      <c r="K48" s="132"/>
    </row>
    <row r="49" spans="4:10" ht="20.100000000000001" customHeight="1" x14ac:dyDescent="0.25">
      <c r="D49" s="122" t="s">
        <v>236</v>
      </c>
      <c r="E49" s="142">
        <v>0.25</v>
      </c>
      <c r="F49" s="123">
        <v>10</v>
      </c>
      <c r="G49" s="124">
        <f>Table_Input_OrganicFertiliser[[#This Row],[Amount applied (kg/hectare)]]*Table_Input_OrganicFertiliser[[#This Row],[Percentage of N in fertiliser]]</f>
        <v>2.5</v>
      </c>
      <c r="H49" s="123">
        <f>$E$9</f>
        <v>1000</v>
      </c>
      <c r="I49" s="124">
        <f>Table_Input_OrganicFertiliser[[#This Row],[Amount applied (kg/hectare)]]*Table_Input_OrganicFertiliser[[#This Row],[Application area (ha)]]</f>
        <v>10000</v>
      </c>
      <c r="J49" s="124">
        <f>IFERROR(Table_Input_OrganicFertiliser[[#This Row],[Amount N applied (kg/hectare)]]*Table_Input_OrganicFertiliser[[#This Row],[Application area (ha)]], 0)</f>
        <v>2500</v>
      </c>
    </row>
    <row r="50" spans="4:10" ht="20.100000000000001" customHeight="1" x14ac:dyDescent="0.25">
      <c r="D50" s="122" t="s">
        <v>239</v>
      </c>
      <c r="E50" s="142">
        <v>0.16</v>
      </c>
      <c r="F50" s="123">
        <v>10</v>
      </c>
      <c r="G50" s="124">
        <f>Table_Input_OrganicFertiliser[[#This Row],[Amount applied (kg/hectare)]]*Table_Input_OrganicFertiliser[[#This Row],[Percentage of N in fertiliser]]</f>
        <v>1.6</v>
      </c>
      <c r="H50" s="123">
        <f>$E$9</f>
        <v>1000</v>
      </c>
      <c r="I50" s="124">
        <f>Table_Input_OrganicFertiliser[[#This Row],[Amount applied (kg/hectare)]]*Table_Input_OrganicFertiliser[[#This Row],[Application area (ha)]]</f>
        <v>10000</v>
      </c>
      <c r="J50" s="124">
        <f>IFERROR(Table_Input_OrganicFertiliser[[#This Row],[Amount N applied (kg/hectare)]]*Table_Input_OrganicFertiliser[[#This Row],[Application area (ha)]], 0)</f>
        <v>1600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199</v>
      </c>
      <c r="K1"/>
    </row>
    <row r="2" spans="1:24" s="9" customFormat="1" ht="20.100000000000001" customHeight="1" x14ac:dyDescent="0.25">
      <c r="K2"/>
    </row>
    <row r="3" spans="1:24" ht="20.100000000000001" customHeight="1" x14ac:dyDescent="0.25">
      <c r="A3" s="17" t="str">
        <f>HYPERLINK("#'Home'!A1", "Home")</f>
        <v>Home</v>
      </c>
      <c r="C3" s="4"/>
      <c r="D3" s="4" t="s">
        <v>77</v>
      </c>
      <c r="E3" s="4"/>
      <c r="F3" s="4"/>
      <c r="G3" s="4"/>
      <c r="H3" s="4"/>
      <c r="I3" s="4"/>
      <c r="J3" s="4"/>
      <c r="L3" s="4"/>
      <c r="M3" s="4" t="s">
        <v>78</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66</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170</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142</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158</v>
      </c>
      <c r="M17" s="5" t="str" cm="1">
        <f t="array" ref="M17">Fertiliser_Equations_InorganicN2O.VEERG_5_1_1_2__2_EmissionFactorNonIrrigatedGrainsHighRainfall_Source()</f>
        <v>VEERG 2026: 5.1.1.2, Equation (2)</v>
      </c>
    </row>
    <row r="18" spans="1:19" ht="20.100000000000001" customHeight="1" x14ac:dyDescent="0.25">
      <c r="D18" s="49" t="s">
        <v>109</v>
      </c>
      <c r="E18" s="112" t="s">
        <v>141</v>
      </c>
      <c r="F18" s="49" t="s">
        <v>140</v>
      </c>
      <c r="G18" s="49" t="s">
        <v>157</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170</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12096</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12096</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40995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36065</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170</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7750</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179</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171</v>
      </c>
      <c r="T41" s="100" t="s">
        <v>198</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169</v>
      </c>
    </row>
    <row r="43" spans="1:23" ht="20.100000000000001" customHeight="1" x14ac:dyDescent="0.25">
      <c r="F43" s="2"/>
      <c r="O43" s="118" t="s">
        <v>176</v>
      </c>
      <c r="P43" s="118" t="s">
        <v>175</v>
      </c>
      <c r="Q43" s="118" t="s">
        <v>139</v>
      </c>
      <c r="R43" s="118" t="str">
        <f>$N$10</f>
        <v>kg N2O-N/kg N applied</v>
      </c>
      <c r="S43" s="118" t="str">
        <f>$N$21</f>
        <v>kg N2O-N/kg N applied</v>
      </c>
      <c r="T43" s="118" t="s">
        <v>176</v>
      </c>
      <c r="U43" s="118" t="s">
        <v>139</v>
      </c>
      <c r="V43" s="118" t="str">
        <f>$N$33</f>
        <v>kg N2O-N/kg N applied</v>
      </c>
      <c r="W43" s="118" t="s">
        <v>177</v>
      </c>
    </row>
    <row r="44" spans="1:23" ht="20.100000000000001" customHeight="1" x14ac:dyDescent="0.25">
      <c r="F44" s="2"/>
      <c r="M44" s="49" t="s">
        <v>168</v>
      </c>
      <c r="N44" s="112" t="s">
        <v>168</v>
      </c>
      <c r="O44" s="112" t="s">
        <v>163</v>
      </c>
      <c r="P44" s="112" t="s">
        <v>164</v>
      </c>
      <c r="Q44" s="49" t="s">
        <v>165</v>
      </c>
      <c r="R44" s="49" t="str">
        <f>N9</f>
        <v>EF_fjIrrigatedMaizeN2O</v>
      </c>
      <c r="S44" s="49" t="str">
        <f>N20</f>
        <v>EF_fjNonIrrigatedGrainsN2O</v>
      </c>
      <c r="T44" s="49" t="s">
        <v>178</v>
      </c>
      <c r="U44" s="49" t="s">
        <v>174</v>
      </c>
      <c r="V44" s="49" t="str">
        <f>N32</f>
        <v>EF_fjCottonN2O</v>
      </c>
      <c r="W44" s="49" t="s">
        <v>230</v>
      </c>
    </row>
    <row r="45" spans="1:23" ht="20.100000000000001" customHeight="1" x14ac:dyDescent="0.25">
      <c r="F45" s="2"/>
      <c r="M45" s="50" t="s">
        <v>173</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173</v>
      </c>
      <c r="N46" s="50" t="str">
        <v>CalPhos</v>
      </c>
      <c r="O46" s="50">
        <v>0</v>
      </c>
      <c r="P46" s="50">
        <v>1000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173</v>
      </c>
      <c r="N47" s="50" t="str">
        <v>CalPhos</v>
      </c>
      <c r="O47" s="50">
        <v>0</v>
      </c>
      <c r="P47" s="50">
        <v>1000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173</v>
      </c>
      <c r="N48" s="50" t="str">
        <v>Aqua Grow</v>
      </c>
      <c r="O48" s="50">
        <v>12.096</v>
      </c>
      <c r="P48" s="50">
        <v>1000</v>
      </c>
      <c r="Q48" s="50">
        <f t="shared" si="2"/>
        <v>12096</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12096</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173</v>
      </c>
      <c r="N49" s="50" t="str">
        <v>Aqua NitroCal</v>
      </c>
      <c r="O49" s="50">
        <v>19.8</v>
      </c>
      <c r="P49" s="50">
        <v>1000</v>
      </c>
      <c r="Q49" s="50">
        <f t="shared" si="2"/>
        <v>19800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172</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1000</v>
      </c>
      <c r="Q50" s="50">
        <f t="shared" si="2"/>
        <v>7750</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7750</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172</v>
      </c>
      <c r="N51" s="50" t="str">
        <v>My second custom blend</v>
      </c>
      <c r="O51" s="50">
        <v>46</v>
      </c>
      <c r="P51" s="50">
        <v>1000</v>
      </c>
      <c r="Q51" s="50">
        <f t="shared" si="2"/>
        <v>46000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172</v>
      </c>
      <c r="N52" s="50" t="str">
        <v>My third custom blend</v>
      </c>
      <c r="O52" s="50">
        <v>41.174999999999997</v>
      </c>
      <c r="P52" s="50">
        <v>1000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172</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172</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Low rainfall</v>
      </c>
    </row>
    <row r="56" spans="4:24" ht="20.100000000000001" customHeight="1" x14ac:dyDescent="0.25">
      <c r="F56" s="2"/>
    </row>
    <row r="57" spans="4:24" ht="20.100000000000001" customHeight="1" x14ac:dyDescent="0.25">
      <c r="D57" s="92" t="s">
        <v>166</v>
      </c>
      <c r="F57" s="2"/>
      <c r="L57" s="44"/>
      <c r="M57" s="44"/>
      <c r="N57" s="44"/>
      <c r="O57" s="44"/>
      <c r="P57" s="44"/>
      <c r="Q57" s="44"/>
      <c r="R57" s="44"/>
      <c r="S57" s="44"/>
      <c r="T57" s="44"/>
      <c r="U57" s="44"/>
      <c r="V57" s="44"/>
      <c r="W57" s="44"/>
      <c r="X57" s="44"/>
    </row>
    <row r="58" spans="4:24" ht="20.100000000000001" customHeight="1" x14ac:dyDescent="0.25">
      <c r="D58" s="91" t="s">
        <v>167</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109</v>
      </c>
      <c r="E59" s="49" t="s">
        <v>180</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0.50600000000000001</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0.21779999999999999</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0.13305599999999998</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182</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168</v>
      </c>
      <c r="N76" s="49" t="s">
        <v>168</v>
      </c>
      <c r="O76" s="49" t="s">
        <v>181</v>
      </c>
      <c r="P76" s="49" t="s">
        <v>180</v>
      </c>
    </row>
    <row r="77" spans="4:19" ht="20.100000000000001" customHeight="1" x14ac:dyDescent="0.25">
      <c r="D77" s="50" t="str">
        <v>Ammonia</v>
      </c>
      <c r="E77" s="50" cm="1">
        <f t="array" ref="E77">Fertiliser_Equations_InorganicN2O.VEERG_5_1_1_1__1_InorganicFertiliserApplicationN2OEmissions(G36,$I$50,$I$51)</f>
        <v>0.45292500000000002</v>
      </c>
      <c r="M77" s="50" t="s">
        <v>173</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8.5250000000000006E-2</v>
      </c>
      <c r="M78" s="50" t="s">
        <v>173</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173</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159</v>
      </c>
      <c r="E80" s="95">
        <f>SUM(E60:E78)</f>
        <v>1.3950310000000001</v>
      </c>
      <c r="F80" s="96" t="str">
        <f>$E$47</f>
        <v>t N2O</v>
      </c>
      <c r="M80" s="50" t="s">
        <v>173</v>
      </c>
      <c r="N80" s="50" t="str">
        <v>Aqua Grow</v>
      </c>
      <c r="O80" s="50" cm="1">
        <f t="array" ref="O80">_xlfn.XLOOKUP(N80,$N$45:$N$54,_xlfn.XLOOKUP($S$68,$R$44:$W$44,$R$45:$W$54))</f>
        <v>7.0000000000000001E-3</v>
      </c>
      <c r="P80" s="50" cm="1">
        <f t="array" ref="P80">Fertiliser_Equations_InorganicN2O.VEERG_5_1_1_1__1_InorganicFertiliserApplicationN2OEmissions(Q48,O80,$S$69)</f>
        <v>0.13305599999999998</v>
      </c>
    </row>
    <row r="81" spans="1:16" ht="20.100000000000001" customHeight="1" x14ac:dyDescent="0.25">
      <c r="M81" s="50" t="s">
        <v>173</v>
      </c>
      <c r="N81" s="50" t="str">
        <v>Aqua NitroCal</v>
      </c>
      <c r="O81" s="50" cm="1">
        <f t="array" ref="O81">_xlfn.XLOOKUP(N81,$N$45:$N$54,_xlfn.XLOOKUP($S$68,$R$44:$W$44,$R$45:$W$54))</f>
        <v>7.0000000000000001E-3</v>
      </c>
      <c r="P81" s="50" cm="1">
        <f t="array" ref="P81">Fertiliser_Equations_InorganicN2O.VEERG_5_1_1_1__1_InorganicFertiliserApplicationN2OEmissions(Q49,O81,$S$69)</f>
        <v>0.21779999999999999</v>
      </c>
    </row>
    <row r="82" spans="1:16" ht="20.100000000000001" customHeight="1" x14ac:dyDescent="0.25">
      <c r="D82" s="54" t="str" cm="1">
        <f t="array" ref="D82:E83">Common_Equations.Common_ConvertN2OToCO2e_Arguments()</f>
        <v>EN2O</v>
      </c>
      <c r="E82" s="55" t="str">
        <v>Nitrous oxide emissions (t N2O)</v>
      </c>
      <c r="F82" s="97"/>
      <c r="G82" s="50">
        <f>E80</f>
        <v>1.3950310000000001</v>
      </c>
      <c r="M82" s="50" t="s">
        <v>172</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8.5250000000000006E-2</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172</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0.50600000000000001</v>
      </c>
    </row>
    <row r="84" spans="1:16" ht="20.100000000000001" customHeight="1" x14ac:dyDescent="0.25">
      <c r="M84" s="50" t="s">
        <v>172</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0.45292500000000002</v>
      </c>
    </row>
    <row r="85" spans="1:16" ht="20.100000000000001" customHeight="1" x14ac:dyDescent="0.25">
      <c r="D85" s="44" t="s">
        <v>76</v>
      </c>
      <c r="E85" s="44" cm="1">
        <f t="array" ref="E85">Common_Equations.Common_ConvertN2OToCO2e(G82,G83)</f>
        <v>369.68321500000002</v>
      </c>
      <c r="F85" s="98" t="str" cm="1">
        <f t="array" ref="F85">Common_Equations.Common_ConvertN2OToCO2e_Unit()</f>
        <v>t CO2e</v>
      </c>
      <c r="M85" s="50" t="s">
        <v>172</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172</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159</v>
      </c>
      <c r="N88" s="95">
        <f>SUM(P77:P86)</f>
        <v>1.3986346000000001</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1.3986346000000001</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76</v>
      </c>
      <c r="N93" s="44" cm="1">
        <f t="array" ref="N93">Common_Equations.Common_ConvertN2OToCO2e(P90,P91)</f>
        <v>370.638169</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200</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66</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201</v>
      </c>
    </row>
    <row r="17" spans="1:7" ht="20.100000000000001" customHeight="1" x14ac:dyDescent="0.25">
      <c r="A17" s="17" t="str">
        <f>HYPERLINK("#'5.5.1.1-2 Leaching and runoff'!A1", "5.5.1.1-2 Leaching and runoff")</f>
        <v>5.5.1.1-2 Leaching and runoff</v>
      </c>
      <c r="D17" s="91" t="s">
        <v>202</v>
      </c>
    </row>
    <row r="18" spans="1:7" ht="20.100000000000001" customHeight="1" x14ac:dyDescent="0.25">
      <c r="D18" s="49" t="s">
        <v>109</v>
      </c>
      <c r="E18" s="112" t="s">
        <v>141</v>
      </c>
      <c r="F18" s="49" t="s">
        <v>203</v>
      </c>
      <c r="G18" s="49" t="s">
        <v>206</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15240.960000000001</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52521.075000000004</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40241.899999999994</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204</v>
      </c>
    </row>
    <row r="56" spans="4:9" ht="20.100000000000001" customHeight="1" x14ac:dyDescent="0.25">
      <c r="D56" s="91" t="s">
        <v>205</v>
      </c>
    </row>
    <row r="57" spans="4:9" ht="20.100000000000001" customHeight="1" x14ac:dyDescent="0.25">
      <c r="D57" s="49" t="s">
        <v>109</v>
      </c>
      <c r="E57" s="49" t="s">
        <v>180</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73.333333333333329</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231</v>
      </c>
      <c r="E78" s="95">
        <f>SUM(E58:E76)</f>
        <v>73.333333333333329</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232</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66</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240</v>
      </c>
    </row>
    <row r="18" spans="1:10" ht="20.100000000000001" customHeight="1" x14ac:dyDescent="0.25">
      <c r="D18" s="91" t="s">
        <v>247</v>
      </c>
    </row>
    <row r="19" spans="1:10" ht="20.100000000000001" customHeight="1" x14ac:dyDescent="0.25">
      <c r="A19" s="18" t="s">
        <v>2</v>
      </c>
      <c r="D19" s="112" t="s">
        <v>241</v>
      </c>
      <c r="E19" s="112" t="s">
        <v>242</v>
      </c>
      <c r="F19" s="112" t="s">
        <v>148</v>
      </c>
      <c r="G19" s="148" t="s">
        <v>243</v>
      </c>
      <c r="H19" s="148" t="s">
        <v>244</v>
      </c>
      <c r="I19" s="148" t="s">
        <v>245</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1000</v>
      </c>
      <c r="G20" s="50" cm="1">
        <f t="array" ref="G20:G22">Table_Input_OrganicFertiliser[Amount applied (kg/hectare)]*Table_Input_OrganicFertiliser[Application area (ha)]</f>
        <v>10000</v>
      </c>
      <c r="H20" s="152" cm="1">
        <f t="array" ref="H20:H22">Table_Input_OrganicFertiliser[Percentage of N in fertiliser]</f>
        <v>0.3</v>
      </c>
      <c r="I20" s="50" cm="1">
        <f t="array" ref="I20">Fertiliser_Equations_OrganicN2O.VEERG_5_2_1_1__2_MassOfNitrogenInOrganicFertiliser(G20,H20)</f>
        <v>3000</v>
      </c>
    </row>
    <row r="21" spans="1:10" ht="20.100000000000001" customHeight="1" x14ac:dyDescent="0.25">
      <c r="A21" s="17" t="str">
        <f>HYPERLINK("#'Constants - Common'!A1", "Constants - Common")</f>
        <v>Constants - Common</v>
      </c>
      <c r="D21" s="50" t="str">
        <v>Manure - Poultry</v>
      </c>
      <c r="E21" s="50">
        <v>10</v>
      </c>
      <c r="F21" s="50">
        <v>1000</v>
      </c>
      <c r="G21" s="50">
        <v>10000</v>
      </c>
      <c r="H21" s="50">
        <v>0.25</v>
      </c>
      <c r="I21" s="50" cm="1">
        <f t="array" ref="I21">Fertiliser_Equations_Organic.VEERG_5_2_1_1__2_MassOfNitrogenInOrganicFertiliser(G21,H21)</f>
        <v>2500</v>
      </c>
    </row>
    <row r="22" spans="1:10" ht="20.100000000000001" customHeight="1" x14ac:dyDescent="0.25">
      <c r="D22" s="50" t="str">
        <v>Other organic fertiliser</v>
      </c>
      <c r="E22" s="50">
        <v>10</v>
      </c>
      <c r="F22" s="50">
        <v>1000</v>
      </c>
      <c r="G22" s="50">
        <v>10000</v>
      </c>
      <c r="H22" s="50">
        <v>0.16</v>
      </c>
      <c r="I22" s="50" cm="1">
        <f t="array" ref="I22">Fertiliser_Equations_Organic.VEERG_5_2_1_1__2_MassOfNitrogenInOrganicFertiliser(G22,H22)</f>
        <v>1600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246</v>
      </c>
      <c r="E32" s="149">
        <f>SUM(I20:I30)</f>
        <v>7100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159</v>
      </c>
      <c r="E50" s="95" cm="1">
        <f t="array" ref="E50">Fertiliser_Equations_OrganicN2O.VEERG_5_2_1_1__1_OrganicFertiliserApplicationN2OEmissions(K44,K45,K46)</f>
        <v>5.5785714285714286E-2</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5.5785714285714286E-2</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76</v>
      </c>
      <c r="E55" s="44" cm="1">
        <f t="array" ref="E55">Common_Equations.Common_ConvertN2OToCO2e(G52,G53)</f>
        <v>14.783214285714285</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250</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66</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258</v>
      </c>
    </row>
    <row r="23" spans="1:9" ht="20.100000000000001" customHeight="1" x14ac:dyDescent="0.25">
      <c r="A23" s="17"/>
      <c r="D23" s="91" t="s">
        <v>263</v>
      </c>
    </row>
    <row r="24" spans="1:9" ht="20.100000000000001" customHeight="1" x14ac:dyDescent="0.25">
      <c r="D24" s="148" t="s">
        <v>251</v>
      </c>
      <c r="E24" s="49" t="s">
        <v>252</v>
      </c>
      <c r="F24" s="49" t="s">
        <v>253</v>
      </c>
      <c r="G24" s="49" t="s">
        <v>254</v>
      </c>
      <c r="H24" s="49" t="s">
        <v>255</v>
      </c>
    </row>
    <row r="25" spans="1:9" ht="20.100000000000001" customHeight="1" x14ac:dyDescent="0.25">
      <c r="D25" s="50" t="str" cm="1">
        <f t="array" ref="D25:D27">Table_Input_Lime[Product]</f>
        <v>Lime product 1</v>
      </c>
      <c r="E25" s="158" cm="1">
        <f t="array" ref="E25:E27">Table_Input_Lime[Total amount applied (t)]*10^3</f>
        <v>1000000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362.08333333333331</v>
      </c>
    </row>
    <row r="26" spans="1:9" ht="20.100000000000001" customHeight="1" x14ac:dyDescent="0.25">
      <c r="D26" s="50" t="str">
        <v>Lime product 2</v>
      </c>
      <c r="E26" s="50">
        <v>1000000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256</v>
      </c>
      <c r="E31" s="95">
        <f>SUM(H25:H29)</f>
        <v>758.08333333333326</v>
      </c>
      <c r="F31" s="160" t="s">
        <v>257</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281</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66</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268</v>
      </c>
    </row>
    <row r="17" spans="1:8" ht="20.100000000000001" customHeight="1" x14ac:dyDescent="0.25">
      <c r="A17" s="17" t="str">
        <f>HYPERLINK("#'5.5.1.1-2 Leaching and runoff'!A1", "5.5.1.1-2 Leaching and runoff")</f>
        <v>5.5.1.1-2 Leaching and runoff</v>
      </c>
      <c r="D17" s="91" t="s">
        <v>269</v>
      </c>
    </row>
    <row r="18" spans="1:8" ht="20.100000000000001" customHeight="1" x14ac:dyDescent="0.25">
      <c r="D18" s="49" t="s">
        <v>264</v>
      </c>
      <c r="E18" s="49" t="s">
        <v>265</v>
      </c>
      <c r="F18" s="49" t="s">
        <v>107</v>
      </c>
      <c r="G18" s="165" t="s">
        <v>266</v>
      </c>
      <c r="H18" s="165" t="s">
        <v>267</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12096</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1814.3999999999999</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v>
      </c>
    </row>
    <row r="37" spans="1:12" ht="20.100000000000001" customHeight="1" x14ac:dyDescent="0.25">
      <c r="D37" s="50" t="str">
        <v>Calcium nitrate</v>
      </c>
      <c r="E37" s="50">
        <f>'5.1.1.1-2 Inorganic fert N2O'!G37</f>
        <v>7750</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Low rainfall</v>
      </c>
    </row>
    <row r="55" spans="1:10" ht="20.100000000000001" customHeight="1" x14ac:dyDescent="0.25">
      <c r="A55" s="157" t="str">
        <f>HYPERLINK("#A1", "▲ Back to top")</f>
        <v>▲ Back to top</v>
      </c>
    </row>
    <row r="56" spans="1:10" ht="20.100000000000001" customHeight="1" x14ac:dyDescent="0.25">
      <c r="D56" s="92" t="s">
        <v>277</v>
      </c>
    </row>
    <row r="57" spans="1:10" ht="20.100000000000001" customHeight="1" x14ac:dyDescent="0.25">
      <c r="D57" s="91" t="s">
        <v>278</v>
      </c>
    </row>
    <row r="58" spans="1:10" ht="20.100000000000001" customHeight="1" x14ac:dyDescent="0.25">
      <c r="D58" s="49" t="s">
        <v>264</v>
      </c>
      <c r="E58" s="165" t="s">
        <v>267</v>
      </c>
      <c r="F58" s="165" t="s">
        <v>270</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6900</v>
      </c>
      <c r="F61" s="50" cm="1">
        <f t="array" ref="F61">Fertiliser_Equations_AtmosphericDeposition.VEERG_5_4_1_1__1_InorganicFertiliserAtmosphericDepositionN2OEmissions(E61,$J$50,$J$51)</f>
        <v>7.5900000000000009E-2</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2.1779999999999998E-3</v>
      </c>
    </row>
    <row r="68" spans="4:6" ht="20.100000000000001" customHeight="1" x14ac:dyDescent="0.25">
      <c r="D68" s="50" t="str">
        <v>Nitrogen - Generic</v>
      </c>
      <c r="E68" s="50">
        <f t="shared" si="0"/>
        <v>1814.3999999999999</v>
      </c>
      <c r="F68" s="50" cm="1">
        <f t="array" ref="F68">Fertiliser_Equations_AtmosphericDeposition.VEERG_5_4_1_1__1_InorganicFertiliserAtmosphericDepositionN2OEmissions(E68,$J$50,$J$51)</f>
        <v>1.9958399999999998E-2</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v>
      </c>
      <c r="F76" s="50" cm="1">
        <f t="array" ref="F76">Fertiliser_Equations_AtmosphericDeposition.VEERG_5_4_1_1__1_InorganicFertiliserAtmosphericDepositionN2OEmissions(E76,$J$50,$J$51)</f>
        <v>3.6234000000000002E-2</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8.5249999999999996E-4</v>
      </c>
    </row>
    <row r="78" spans="4:6" ht="20.100000000000001" customHeight="1" x14ac:dyDescent="0.25"/>
    <row r="79" spans="4:6" ht="20.100000000000001" customHeight="1" x14ac:dyDescent="0.25">
      <c r="D79" s="94" t="s">
        <v>275</v>
      </c>
      <c r="E79" s="95">
        <f>SUM(F59:F77)</f>
        <v>0.13512290000000002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0.13512290000000002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76</v>
      </c>
      <c r="E84" s="44" cm="1">
        <f t="array" ref="E84">Common_Equations.Common_ConvertN2OToCO2e(G81,G82)</f>
        <v>35.807568500000002</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271</v>
      </c>
    </row>
    <row r="100" spans="4:9" ht="20.100000000000001" customHeight="1" x14ac:dyDescent="0.25">
      <c r="D100" s="91" t="s">
        <v>272</v>
      </c>
    </row>
    <row r="101" spans="4:9" ht="20.100000000000001" customHeight="1" x14ac:dyDescent="0.25">
      <c r="D101" s="112" t="s">
        <v>241</v>
      </c>
      <c r="E101" s="148" t="s">
        <v>245</v>
      </c>
      <c r="F101" s="148" t="s">
        <v>274</v>
      </c>
    </row>
    <row r="102" spans="4:9" ht="20.100000000000001" customHeight="1" x14ac:dyDescent="0.25">
      <c r="D102" s="50" t="str" cm="1">
        <f t="array" ref="D102:D104">Table_Input_OrganicFertiliser[Organic fertiliser type (select)]</f>
        <v>Manure - Other</v>
      </c>
      <c r="E102" s="50">
        <f>'5.2.1.1-2 Organic Fert N2O'!I20</f>
        <v>3000</v>
      </c>
      <c r="F102" s="50" cm="1">
        <f t="array" ref="F102">Fertiliser_Equations_AtmosphericDeposition.VEERG_5_4_1_3__2_MassOfNitrogenVolatilisedFromOrganicFertiliser(E102,$I$97)</f>
        <v>630</v>
      </c>
      <c r="G102" s="2" t="str">
        <f>$E$94</f>
        <v>kg N</v>
      </c>
    </row>
    <row r="103" spans="4:9" ht="20.100000000000001" customHeight="1" x14ac:dyDescent="0.25">
      <c r="D103" s="50" t="str">
        <v>Manure - Poultry</v>
      </c>
      <c r="E103" s="50">
        <f>'5.2.1.1-2 Organic Fert N2O'!I21</f>
        <v>2500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Low rainfall</v>
      </c>
    </row>
    <row r="130" spans="4:9" ht="20.100000000000001" customHeight="1" x14ac:dyDescent="0.25"/>
    <row r="131" spans="4:9" ht="20.100000000000001" customHeight="1" x14ac:dyDescent="0.25">
      <c r="D131" s="92" t="s">
        <v>279</v>
      </c>
    </row>
    <row r="132" spans="4:9" ht="20.100000000000001" customHeight="1" x14ac:dyDescent="0.25">
      <c r="D132" s="91" t="s">
        <v>280</v>
      </c>
    </row>
    <row r="133" spans="4:9" ht="20.100000000000001" customHeight="1" x14ac:dyDescent="0.25">
      <c r="D133" s="112" t="s">
        <v>241</v>
      </c>
      <c r="E133" s="148" t="s">
        <v>274</v>
      </c>
      <c r="F133" s="148" t="s">
        <v>273</v>
      </c>
    </row>
    <row r="134" spans="4:9" ht="20.100000000000001" customHeight="1" x14ac:dyDescent="0.25">
      <c r="D134" s="50" t="str" cm="1">
        <f t="array" ref="D134:D136">Table_Input_OrganicFertiliser[Organic fertiliser type (select)]</f>
        <v>Manure - Other</v>
      </c>
      <c r="E134" s="50">
        <f>F102</f>
        <v>630</v>
      </c>
      <c r="F134" s="50" cm="1">
        <f t="array" ref="F134">Fertiliser_Equations_AtmosphericDeposition.VEERG_5_4_1_3__1_OrganicFertiliserAtmosphericDepositionN2OEmissions(E134,$I$125,$I$126)</f>
        <v>6.9299999999999995E-3</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5.7750000000000006E-3</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3.6959999999999996E-3</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276</v>
      </c>
      <c r="E146" s="95">
        <f>SUM(F134:F144)</f>
        <v>1.6400999999999999E-2</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1.6400999999999999E-2</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76</v>
      </c>
      <c r="E151" s="44" cm="1">
        <f t="array" ref="E151">Common_Equations.Common_ConvertN2OToCO2e(G148,G149)</f>
        <v>4.3462649999999998</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282</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66</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284</v>
      </c>
    </row>
    <row r="21" spans="1:9" ht="20.100000000000001" customHeight="1" x14ac:dyDescent="0.25">
      <c r="A21" s="17" t="str">
        <f>HYPERLINK("#'Constants - Common'!A1", "Constants - Common")</f>
        <v>Constants - Common</v>
      </c>
      <c r="D21" s="91" t="s">
        <v>287</v>
      </c>
    </row>
    <row r="22" spans="1:9" ht="20.100000000000001" customHeight="1" x14ac:dyDescent="0.25">
      <c r="D22" s="49" t="s">
        <v>109</v>
      </c>
      <c r="E22" s="49" t="s">
        <v>265</v>
      </c>
      <c r="F22" s="49" t="s">
        <v>283</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46000</v>
      </c>
      <c r="F25" s="50" cm="1">
        <f t="array" ref="F25">Fertiliser_Equations_LeachingAndRunoff.VEERG_5_5_1_1__2_MassOfNitrogenLeachedFromInorganicFertiliser(E25, $I$14, $I$15)</f>
        <v>11040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12096</v>
      </c>
      <c r="F32" s="50" cm="1">
        <f t="array" ref="F32">Fertiliser_Equations_LeachingAndRunoff.VEERG_5_5_1_1__2_MassOfNitrogenLeachedFromInorganicFertiliser(E32, $I$14, $I$15)</f>
        <v>2903.04</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9882</v>
      </c>
    </row>
    <row r="41" spans="1:11" ht="20.100000000000001" customHeight="1" x14ac:dyDescent="0.25">
      <c r="D41" s="50" t="str">
        <v>Calcium nitrate</v>
      </c>
      <c r="E41" s="50">
        <f>'5.1.1.1-2 Inorganic fert N2O'!G37</f>
        <v>7750</v>
      </c>
      <c r="F41" s="50" cm="1">
        <f t="array" ref="F41">Fertiliser_Equations_LeachingAndRunoff.VEERG_5_5_1_1__2_MassOfNitrogenLeachedFromInorganicFertiliser(E41, $I$14, $I$15)</f>
        <v>1860</v>
      </c>
    </row>
    <row r="42" spans="1:11" ht="20.100000000000001" customHeight="1" x14ac:dyDescent="0.25"/>
    <row r="43" spans="1:11" ht="20.100000000000001" customHeight="1" x14ac:dyDescent="0.25">
      <c r="D43" s="149" t="s">
        <v>285</v>
      </c>
      <c r="E43" s="44">
        <f>SUM(F23:F41)</f>
        <v>30437.040000000001</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286</v>
      </c>
    </row>
    <row r="63" spans="4:9" ht="20.100000000000001" customHeight="1" x14ac:dyDescent="0.25">
      <c r="D63" s="91" t="s">
        <v>288</v>
      </c>
    </row>
    <row r="64" spans="4:9" ht="20.100000000000001" customHeight="1" x14ac:dyDescent="0.25">
      <c r="D64" s="112" t="s">
        <v>241</v>
      </c>
      <c r="E64" s="167" t="s">
        <v>245</v>
      </c>
      <c r="F64" s="49" t="s">
        <v>289</v>
      </c>
    </row>
    <row r="65" spans="1:11" ht="20.100000000000001" customHeight="1" x14ac:dyDescent="0.25">
      <c r="D65" s="50" t="str">
        <f>'5.2.1.1-2 Organic Fert N2O'!D20</f>
        <v>Manure - Other</v>
      </c>
      <c r="E65" s="50">
        <f>'5.2.1.1-2 Organic Fert N2O'!I20</f>
        <v>3000</v>
      </c>
      <c r="F65" s="50" cm="1">
        <f t="array" ref="F65">Fertiliser_Equations_LeachingAndRunoff.VEERG_5_5_1_1__3_MassOfNitrogenLeachedFromOrganicFertiliser(E65,$I$56, $I$57)</f>
        <v>720</v>
      </c>
    </row>
    <row r="66" spans="1:11" ht="20.100000000000001" customHeight="1" x14ac:dyDescent="0.25">
      <c r="D66" s="50" t="str">
        <f>'5.2.1.1-2 Organic Fert N2O'!D21</f>
        <v>Manure - Poultry</v>
      </c>
      <c r="E66" s="50">
        <f>'5.2.1.1-2 Organic Fert N2O'!I21</f>
        <v>2500</v>
      </c>
      <c r="F66" s="50" cm="1">
        <f t="array" ref="F66">Fertiliser_Equations_LeachingAndRunoff.VEERG_5_5_1_1__3_MassOfNitrogenLeachedFromOrganicFertiliser(E66,$I$56, $I$57)</f>
        <v>600</v>
      </c>
    </row>
    <row r="67" spans="1:11" ht="20.100000000000001" customHeight="1" x14ac:dyDescent="0.25">
      <c r="D67" s="50" t="str">
        <f>'5.2.1.1-2 Organic Fert N2O'!D22</f>
        <v>Other organic fertiliser</v>
      </c>
      <c r="E67" s="50">
        <f>'5.2.1.1-2 Organic Fert N2O'!I22</f>
        <v>1600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290</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30437.040000000001</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291</v>
      </c>
      <c r="E94" s="95" cm="1">
        <f t="array" ref="E94">Fertiliser_Equations_LeachingAndRunoff.VEERG_5_5_1_1__1_FertiliserLeachingAndRunoffN2OEmissions(J89,J90,J91,J92)</f>
        <v>0.55558083428571436</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0.55558083428571436</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76</v>
      </c>
      <c r="E99" s="44" cm="1">
        <f t="array" ref="E99">Common_Equations.Common_ConvertN2OToCO2e(G96,G97)</f>
        <v>147.22892108571432</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D85" zoomScaleNormal="100" workbookViewId="0">
      <selection activeCell="N99" sqref="E99:N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106</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66</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109</v>
      </c>
      <c r="E19" t="s">
        <v>125</v>
      </c>
      <c r="F19" t="s">
        <v>124</v>
      </c>
      <c r="G19" t="s">
        <v>107</v>
      </c>
      <c r="H19" t="s">
        <v>126</v>
      </c>
      <c r="I19" t="s">
        <v>108</v>
      </c>
      <c r="K19" s="37" t="s">
        <v>109</v>
      </c>
      <c r="L19" s="37" t="s">
        <v>125</v>
      </c>
      <c r="Q19" s="37" t="s">
        <v>109</v>
      </c>
      <c r="R19" s="37" t="s">
        <v>125</v>
      </c>
      <c r="V19" s="37" t="s">
        <v>108</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307</v>
      </c>
      <c r="F40" s="6" t="s">
        <v>160</v>
      </c>
      <c r="H40" s="6" t="s">
        <v>130</v>
      </c>
      <c r="J40" s="6" t="s">
        <v>233</v>
      </c>
    </row>
    <row r="41" spans="4:10" ht="20.100000000000001" customHeight="1" x14ac:dyDescent="0.25">
      <c r="D41" s="37" t="s">
        <v>84</v>
      </c>
      <c r="F41" s="37" t="s">
        <v>84</v>
      </c>
      <c r="H41" s="37" t="s">
        <v>83</v>
      </c>
      <c r="J41" s="37" t="s">
        <v>234</v>
      </c>
    </row>
    <row r="42" spans="4:10" ht="20.100000000000001" customHeight="1" x14ac:dyDescent="0.25">
      <c r="D42" s="37" t="s">
        <v>131</v>
      </c>
      <c r="F42" s="37" t="s">
        <v>131</v>
      </c>
      <c r="H42" s="37" t="s">
        <v>132</v>
      </c>
      <c r="J42" s="37" t="s">
        <v>235</v>
      </c>
    </row>
    <row r="43" spans="4:10" ht="20.100000000000001" customHeight="1" x14ac:dyDescent="0.25">
      <c r="D43" s="1" t="s">
        <v>128</v>
      </c>
      <c r="F43" s="1" t="s">
        <v>138</v>
      </c>
      <c r="H43" s="37" t="s">
        <v>133</v>
      </c>
      <c r="J43" s="1" t="s">
        <v>236</v>
      </c>
    </row>
    <row r="44" spans="4:10" ht="20.100000000000001" customHeight="1" x14ac:dyDescent="0.25">
      <c r="F44" s="1" t="s">
        <v>136</v>
      </c>
      <c r="H44" s="1" t="s">
        <v>129</v>
      </c>
      <c r="J44" s="1" t="s">
        <v>237</v>
      </c>
    </row>
    <row r="45" spans="4:10" ht="20.100000000000001" customHeight="1" x14ac:dyDescent="0.25">
      <c r="F45" s="1" t="s">
        <v>137</v>
      </c>
      <c r="H45" s="1" t="s">
        <v>134</v>
      </c>
      <c r="J45" s="1" t="s">
        <v>238</v>
      </c>
    </row>
    <row r="46" spans="4:10" ht="20.100000000000001" customHeight="1" x14ac:dyDescent="0.25">
      <c r="H46" s="1" t="s">
        <v>135</v>
      </c>
      <c r="J46" s="1" t="s">
        <v>239</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109</v>
      </c>
      <c r="E50" s="37" t="s">
        <v>127</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251</v>
      </c>
      <c r="E65" s="37" t="s">
        <v>259</v>
      </c>
      <c r="F65" s="37" t="s">
        <v>260</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321</v>
      </c>
    </row>
    <row r="87" spans="4:31" ht="20.100000000000001" customHeight="1" x14ac:dyDescent="0.25">
      <c r="D87" s="6" t="s">
        <v>110</v>
      </c>
      <c r="E87" s="110"/>
      <c r="F87" s="110"/>
      <c r="G87" s="110"/>
      <c r="H87" s="110"/>
      <c r="I87" s="110"/>
      <c r="J87" s="110"/>
      <c r="K87" s="110"/>
      <c r="L87" s="110"/>
      <c r="N87" s="110" t="s">
        <v>321</v>
      </c>
      <c r="O87" s="110"/>
      <c r="P87" s="110"/>
      <c r="Q87" s="110"/>
      <c r="R87" s="110"/>
      <c r="S87" s="110"/>
      <c r="T87" s="110"/>
      <c r="U87" s="110"/>
    </row>
    <row r="88" spans="4:31" ht="20.100000000000001" customHeight="1" x14ac:dyDescent="0.25">
      <c r="D88" s="110"/>
    </row>
    <row r="89" spans="4:31" ht="20.100000000000001" customHeight="1" x14ac:dyDescent="0.25">
      <c r="D89" s="144" t="s">
        <v>223</v>
      </c>
      <c r="E89" s="37" t="s">
        <v>224</v>
      </c>
      <c r="F89" s="37" t="s">
        <v>225</v>
      </c>
      <c r="G89" s="117" t="s">
        <v>226</v>
      </c>
      <c r="H89" s="117" t="s">
        <v>15</v>
      </c>
      <c r="I89" s="117" t="s">
        <v>227</v>
      </c>
      <c r="J89" s="117" t="s">
        <v>228</v>
      </c>
      <c r="K89" s="117" t="s">
        <v>229</v>
      </c>
      <c r="L89" s="117" t="s">
        <v>112</v>
      </c>
      <c r="M89" s="117" t="s">
        <v>113</v>
      </c>
      <c r="N89" s="117" t="s">
        <v>114</v>
      </c>
      <c r="O89" s="37" t="s">
        <v>115</v>
      </c>
      <c r="P89" s="37" t="s">
        <v>116</v>
      </c>
      <c r="Q89" s="37" t="s">
        <v>117</v>
      </c>
      <c r="R89" s="117" t="s">
        <v>118</v>
      </c>
      <c r="S89" s="117" t="s">
        <v>119</v>
      </c>
      <c r="T89" s="37" t="s">
        <v>120</v>
      </c>
      <c r="U89" s="117" t="s">
        <v>121</v>
      </c>
      <c r="V89" s="117" t="s">
        <v>122</v>
      </c>
      <c r="W89" s="117" t="s">
        <v>123</v>
      </c>
      <c r="X89" s="117" t="s">
        <v>215</v>
      </c>
      <c r="Y89" s="117" t="s">
        <v>216</v>
      </c>
      <c r="Z89" s="37" t="s">
        <v>217</v>
      </c>
      <c r="AA89" s="37" t="s">
        <v>218</v>
      </c>
      <c r="AB89" s="37" t="s">
        <v>219</v>
      </c>
      <c r="AC89" s="37" t="s">
        <v>220</v>
      </c>
      <c r="AD89" s="37" t="s">
        <v>221</v>
      </c>
      <c r="AE89" s="37" t="s">
        <v>222</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42</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30</v>
      </c>
      <c r="F89" s="37" t="s">
        <v>31</v>
      </c>
      <c r="G89" s="37" t="s">
        <v>32</v>
      </c>
      <c r="H89" s="37" t="s">
        <v>33</v>
      </c>
      <c r="I89" s="37" t="s">
        <v>34</v>
      </c>
      <c r="J89" s="37" t="s">
        <v>35</v>
      </c>
      <c r="K89" s="37" t="s">
        <v>36</v>
      </c>
      <c r="L89" s="37" t="s">
        <v>37</v>
      </c>
      <c r="M89" s="37" t="s">
        <v>38</v>
      </c>
      <c r="N89" s="37" t="s">
        <v>39</v>
      </c>
      <c r="O89" s="37" t="s">
        <v>43</v>
      </c>
      <c r="P89" s="37" t="s">
        <v>40</v>
      </c>
      <c r="Q89" s="37" t="s">
        <v>44</v>
      </c>
      <c r="R89" s="37" t="s">
        <v>41</v>
      </c>
      <c r="S89" s="37" t="s">
        <v>45</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49</v>
      </c>
      <c r="E109" s="37" t="s">
        <v>30</v>
      </c>
      <c r="F109" s="37" t="s">
        <v>50</v>
      </c>
      <c r="G109" s="37" t="s">
        <v>51</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52</v>
      </c>
      <c r="E119" s="37" t="s">
        <v>53</v>
      </c>
      <c r="F119" s="37" t="s">
        <v>37</v>
      </c>
      <c r="G119" s="37" t="s">
        <v>38</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59</v>
      </c>
      <c r="E127" s="37" t="s">
        <v>60</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71</v>
      </c>
      <c r="E134" t="s">
        <v>72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89</v>
      </c>
      <c r="E142" s="37" t="s">
        <v>72</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61</v>
      </c>
      <c r="E153" s="37" t="s">
        <v>62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80</v>
      </c>
      <c r="E186" s="37" t="s">
        <v>81</v>
      </c>
      <c r="F186" s="37" t="s">
        <v>82</v>
      </c>
      <c r="G186" s="37" t="s">
        <v>83</v>
      </c>
      <c r="H186" s="37" t="s">
        <v>29</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88</v>
      </c>
      <c r="E212" s="37" t="s">
        <v>96</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46</v>
      </c>
      <c r="E231" s="37" t="s">
        <v>207</v>
      </c>
      <c r="F231" s="36" t="s">
        <v>208</v>
      </c>
      <c r="G231" s="37" t="s">
        <v>102</v>
      </c>
      <c r="H231" s="37" t="s">
        <v>209</v>
      </c>
      <c r="I231" s="37" t="s">
        <v>210</v>
      </c>
      <c r="J231" s="37" t="s">
        <v>101</v>
      </c>
      <c r="K231" s="37" t="s">
        <v>100</v>
      </c>
      <c r="L231" s="37" t="s">
        <v>211</v>
      </c>
      <c r="M231" s="37" t="s">
        <v>212</v>
      </c>
      <c r="N231" s="37" t="s">
        <v>99</v>
      </c>
      <c r="O231" s="37" t="s">
        <v>213</v>
      </c>
      <c r="P231" s="37" t="s">
        <v>104</v>
      </c>
      <c r="Q231" s="37" t="s">
        <v>105</v>
      </c>
      <c r="R231" s="37" t="s">
        <v>103</v>
      </c>
      <c r="S231" s="37" t="s">
        <v>214</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248</v>
      </c>
      <c r="E257" s="37" t="s">
        <v>249</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2026-06-18T10:26:09Z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