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AB72498-24B5-486E-BB07-3DEF4F0F0C58}" xr6:coauthVersionLast="47" xr6:coauthVersionMax="47" xr10:uidLastSave="{00000000-0000-0000-0000-000000000000}"/>
  <bookViews>
    <workbookView xWindow="1755" yWindow="1020" windowWidth="36255" windowHeight="19140" firstSheet="2"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8"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0" i="69" l="1"/>
  <c r="R39" i="69"/>
  <c r="I40" i="69"/>
  <c r="I39" i="69"/>
  <c r="P37" i="69" a="1"/>
  <c r="P37" i="69" s="1"/>
  <c r="M37" i="69" a="1"/>
  <c r="M37" i="69" s="1"/>
  <c r="I64" i="69"/>
  <c r="I37" i="69"/>
  <c r="Q19" i="69"/>
  <c r="P19" i="69"/>
  <c r="O19" i="69"/>
  <c r="N19" i="69"/>
  <c r="M19" i="69"/>
  <c r="H19" i="69"/>
  <c r="G19" i="69"/>
  <c r="F19" i="69"/>
  <c r="E19" i="69"/>
  <c r="D19" i="69"/>
  <c r="G9" i="79" l="1"/>
  <c r="G8" i="79"/>
  <c r="E30" i="15"/>
  <c r="E33" i="15"/>
  <c r="P185" i="69"/>
  <c r="G185" i="69"/>
  <c r="E259" i="108" a="1"/>
  <c r="E259" i="108" s="1"/>
  <c r="D259" i="108" a="1"/>
  <c r="D259" i="108" s="1"/>
  <c r="E258" i="108" a="1"/>
  <c r="E258" i="108" s="1"/>
  <c r="D258" i="108" a="1"/>
  <c r="D258" i="108" s="1"/>
  <c r="D256" i="108" a="1"/>
  <c r="D256" i="108" s="1"/>
  <c r="D255" i="108"/>
  <c r="D255" i="108" a="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c r="D205" i="108" a="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E48" i="108" a="1"/>
  <c r="E48" i="108" s="1"/>
  <c r="D48" i="108" a="1"/>
  <c r="D48" i="108" s="1"/>
  <c r="D46" i="108"/>
  <c r="D46" i="108" a="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c r="D35" i="108" a="1"/>
  <c r="D34" i="108"/>
  <c r="D34" i="108" a="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c r="D5" i="108" a="1"/>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H49" i="108" l="1"/>
  <c r="H50" i="108"/>
  <c r="H54" i="108"/>
  <c r="H48" i="108"/>
  <c r="H53" i="108"/>
  <c r="H51" i="108"/>
  <c r="H52" i="108"/>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Q24" i="69" a="1"/>
  <c r="Q24" i="69" s="1"/>
  <c r="P24" i="69" a="1"/>
  <c r="P24" i="69" s="1"/>
  <c r="O24" i="69" a="1"/>
  <c r="O24" i="69" s="1"/>
  <c r="N24" i="69" a="1"/>
  <c r="N24" i="69" s="1"/>
  <c r="M24" i="69" a="1"/>
  <c r="M2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24" i="69" s="1" a="1"/>
  <c r="D24" i="6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 i="69" a="1"/>
  <c r="E86" i="69" a="1"/>
  <c r="E57" i="69" a="1"/>
  <c r="M80" i="69" l="1" a="1"/>
  <c r="M80" i="69" s="1"/>
  <c r="D80" i="69" a="1"/>
  <c r="D80" i="69" s="1"/>
  <c r="R115" i="69"/>
  <c r="I24" i="69"/>
  <c r="R24" i="69"/>
  <c r="E86" i="69"/>
  <c r="P80" i="69" a="1"/>
  <c r="P80" i="69" s="1"/>
  <c r="N80" i="69" a="1"/>
  <c r="N80" i="69" s="1"/>
  <c r="Q80" i="69" a="1"/>
  <c r="Q80" i="69" s="1"/>
  <c r="I80" i="69"/>
  <c r="O80" i="69" a="1"/>
  <c r="O80" i="69" s="1"/>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10" i="70" l="1"/>
  <c r="D25" i="70"/>
  <c r="D28" i="70"/>
  <c r="D29" i="70"/>
  <c r="D24"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<sst xmlns="http://schemas.openxmlformats.org/spreadsheetml/2006/main" count="522" uniqueCount="253">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</sst>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9D087D3-C39C-4ECF-9296-8C2C5BE8EE1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69F5BDD-487B-4F3E-ACA1-EFACD7C856E9}" name="State/Territory">
      <calculatedColumnFormula array="1">Common_InputFunctions.Utility_DisplayArrayInTable(Common_SourceData.Common_SourceData_AustralianStatesTerritories_Data(),Table_AustralianStates[[#Headers],[State/Territory]],0)</calculatedColumnFormula>
    </tableColumn>
    <tableColumn id="2" xr3:uid="{AF1BBA32-A027-4F49-8C27-67786F752701}" name="Common Name">
      <calculatedColumnFormula array="1">Common_InputFunctions.Utility_DisplayArrayInTable(Common_SourceData.Common_SourceData_AustralianStatesTerritories_Data(),Table_AustralianStates[[#Headers],[State/Territory]],0)</calculatedColumnFormula>
    </tableColumn>
    <tableColumn id="3" xr3:uid="{0DB3791F-01DF-4F72-B38D-C4988C5A54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4158F32-E265-4A59-AB6D-3DD119B51B2E}" name="Table_WASA4Areas" displayName="Table_WASA4Areas" ref="D20:D30" totalsRowShown="0">
  <autoFilter ref="D20:D30" xr:uid="{5FA81339-C6C8-4D36-BEEA-6C4AEDD9E676}">
    <filterColumn colId="0" hiddenButton="1"/>
  </autoFilter>
  <tableColumns count="1">
    <tableColumn id="1" xr3:uid="{A2B9D84A-A0D3-4183-BBFA-F3315B63AD8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D379F3C-93FE-49D1-A9DC-243D77BD56FD}" name="Table_GWPData" displayName="Table_GWPData" ref="D36:E43" totalsRowShown="0">
  <autoFilter ref="D36:E43" xr:uid="{B8E87A66-3E41-4AD3-925D-01EE21B43D7A}">
    <filterColumn colId="0" hiddenButton="1"/>
    <filterColumn colId="1" hiddenButton="1"/>
  </autoFilter>
  <tableColumns count="2">
    <tableColumn id="1" xr3:uid="{CBC8C518-F94B-428D-BD7A-9E5F6BC0BD6B}" name="Gas">
      <calculatedColumnFormula array="1">Common_InputFunctions.Utility_DisplayArrayInTable(Common_SourceData.Common_SourceData_GWP_Data(), Table_GWPData[[#Headers],[Gas]], 0)</calculatedColumnFormula>
    </tableColumn>
    <tableColumn id="2" xr3:uid="{76E24D37-684F-4F17-AE5B-4D3AB58E9B0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677D3E3-B30E-466C-B39E-A8BED4CDEEA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CDB05B-CC33-4FB9-9E7A-6150D67B2EEB}" name="Gas">
      <calculatedColumnFormula array="1">Common_InputFunctions.Utility_DisplayArrayInTable(Common_SourceData.Common_SourceData_ConvertGasElementalToMolecular_Data(),Table_GasToMolecularConversionFactor[[#Headers],[Gas]], 0)</calculatedColumnFormula>
    </tableColumn>
    <tableColumn id="5" xr3:uid="{04D931B1-A05A-46B4-8DEF-CE9AB9A484DA}" name="Conversion factor">
      <calculatedColumnFormula array="1">Common_InputFunctions.Utility_DisplayArrayInTable(Common_SourceData.Common_SourceData_ConvertGasElementalToMolecular_Data(),Table_GasToMolecularConversionFactor[[#Headers],[Gas]], 0)</calculatedColumnFormula>
    </tableColumn>
    <tableColumn id="2" xr3:uid="{B849BB12-2C5B-4627-BEC5-0BB60049DDD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47D044-2D2D-4BEB-953C-3E76EF21381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5044F31-B483-4A96-AC48-D9508428B5D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F622CC-E107-46D4-B379-65E951FAD1E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7ECB6B-999A-4BD3-B047-A5AAC859AEA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A6488F9-231D-4939-BDFA-B7CBED91888F}"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ADC6FD29-BC7C-4785-98DB-9C4A3BCEB1D0}"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466645EB-B94B-4DF4-8EA0-096EA00E81FB}"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BE315AAD-BE19-47C8-AB5F-4B616B19F040}"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DF314910-84DB-47B1-B381-B405E58B2391}"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2FDF8B6B-762F-4F7C-BAD1-E14E0BEE7BB6}"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07863784-E03B-4255-B45B-3F0FDC32B807}"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8A3A2332-0D79-4AF0-BFF9-195AC9D36A9B}"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1E8A1FA8-7602-40D4-9D62-C0743544DC8C}"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474010DE-FFE2-4FBE-837A-9ABC26E1FFA6}"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6222BDCD-C79D-473D-B3B9-61585F481A20}"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E30A3D94-830C-4D5F-9910-B32467D45A59}"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1C9BEB83-BFDD-4486-A2AF-1A8246AE2001}"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E9C2232B-89B7-4599-807F-84A1995BE780}"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B65144AE-98E9-4B77-A979-5D7E8FD05C90}"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875253-5CC5-4845-9C8E-854D56A6E3F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264AE15-9D43-4230-8CF3-005ACA80737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A705B5-3BB9-4F52-AE9B-8647BEFF7A17}"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5C6C6F3-42C4-478B-8346-63E22AD7F87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7C6E4BE-3C22-45E4-A11F-84156B8A3DB9}" name="Temperature Zone">
      <calculatedColumnFormula array="1">Common_InputFunctions.Utility_DisplayArrayInTable(Common_SourceData.Common_SourceData_TemperatureZones_Data(),Table_SourceData_TemperatureZones[[#Headers],[Temperature Zone]],0)</calculatedColumnFormula>
    </tableColumn>
    <tableColumn id="2" xr3:uid="{A48E5EA9-E6CE-4D72-B6E7-3FFE5BDA2E65}" name="MAT">
      <calculatedColumnFormula array="1">Common_InputFunctions.Utility_DisplayArrayInTable(Common_SourceData.Common_SourceData_TemperatureZones_Data(),Table_SourceData_TemperatureZones[[#Headers],[Temperature Zone]],0)</calculatedColumnFormula>
    </tableColumn>
    <tableColumn id="3" xr3:uid="{D7D52AD2-6F75-4510-AEC8-4EAD116F1CAF}" name="Min MAT">
      <calculatedColumnFormula array="1">Common_InputFunctions.Utility_DisplayArrayInTable(Common_SourceData.Common_SourceData_TemperatureZones_Data(),Table_SourceData_TemperatureZones[[#Headers],[Temperature Zone]],0)</calculatedColumnFormula>
    </tableColumn>
    <tableColumn id="4" xr3:uid="{4018D7D4-DF55-44A4-A0F2-6A5A4BCDAB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1766D64-EB6A-4D38-A300-20E5731DD33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19B8F52-B5EA-4032-8B6D-4D220111F85B}" name="Rainfall Zone">
      <calculatedColumnFormula array="1">Common_InputFunctions.Utility_DisplayArrayInTable(Common_SourceData.Common_SourceData_RainfallZones_Data(),Table_SourceData_RainfallZones[[#Headers],[Rainfall Zone]],0)</calculatedColumnFormula>
    </tableColumn>
    <tableColumn id="2" xr3:uid="{FD4A3A19-FF3D-400B-A8C8-A68F33F8F8DA}" name="Annual rainfall">
      <calculatedColumnFormula array="1">Common_InputFunctions.Utility_DisplayArrayInTable(Common_SourceData.Common_SourceData_RainfallZones_Data(),Table_SourceData_RainfallZones[[#Headers],[Rainfall Zone]],0)</calculatedColumnFormula>
    </tableColumn>
    <tableColumn id="3" xr3:uid="{DF5FCECE-AE20-4C0D-BFFD-52B5EBCF500E}" name="Min rainfall">
      <calculatedColumnFormula array="1">Common_InputFunctions.Utility_DisplayArrayInTable(Common_SourceData.Common_SourceData_RainfallZones_Data(),Table_SourceData_RainfallZones[[#Headers],[Rainfall Zone]],0)</calculatedColumnFormula>
    </tableColumn>
    <tableColumn id="4" xr3:uid="{70B09D42-B19F-4924-BAF7-D2F5DBEA0DF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499DCAA-18C0-47FB-820F-1C75670123F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899F97-ECBA-4F0E-A172-2EC8376E16E9}" name="Leaching Zone">
      <calculatedColumnFormula array="1">Common_InputFunctions.Utility_DisplayArrayInTable(Common_SourceData.Common_SourceData_LeachingZones_Data(), Table_SourceData_LeachingZones[[#Headers],[Leaching Zone]], 0)</calculatedColumnFormula>
    </tableColumn>
    <tableColumn id="2" xr3:uid="{A5779332-5060-4201-8975-36DF50DA160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1D758DC-4439-42E7-AC34-1E1F5A0F77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C07B152-4ED2-4190-B16C-BBF4FC9F363C}" name="Data source">
      <calculatedColumnFormula array="1">Common_InputFunctions.Utility_DisplayArrayInTable(Common_SourceData.Common_SourceData_DataScores_Scope3_Data(), Table_SourceData_DataScores_Scope3[[#Headers],[Data source]], 0)</calculatedColumnFormula>
    </tableColumn>
    <tableColumn id="2" xr3:uid="{859033F3-598E-4959-8D88-127300FC8D7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F4B230-8E37-40DD-9E94-BC61E7E40F0B}" name="Table_SourceData_FracWET" displayName="Table_SourceData_FracWET" ref="D134:E136" totalsRowShown="0">
  <autoFilter ref="D134:E136" xr:uid="{308E99BE-FE1F-47A4-B2CA-97217277C4E9}">
    <filterColumn colId="0" hiddenButton="1"/>
    <filterColumn colId="1" hiddenButton="1"/>
  </autoFilter>
  <tableColumns count="2">
    <tableColumn id="1" xr3:uid="{627D4BA3-08BB-4BFD-80C4-18A175949150}" name="Is in leaching zone">
      <calculatedColumnFormula array="1">Common_InputFunctions.Utility_DisplayArrayInTable(Common_SourceData.Common_SourceData_FracWET_Data(),Table_SourceData_FracWET[[#Headers],[Is in leaching zone]],0)</calculatedColumnFormula>
    </tableColumn>
    <tableColumn id="2" xr3:uid="{21DB7D11-31D2-41AB-A91C-AB83B43E2E99}"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D9DD92F-8279-41CA-A21F-DD419B886E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40C6BA-74D3-4060-9775-3EB0568758BA}" name="Production system j">
      <calculatedColumnFormula array="1">Common_InputFunctions.Utility_DisplayArrayInTable(Common_SourceData.Common_SourceData_EFN2O_Data(), Table_SourceData_Common_EFN2O[[#Headers],[Production system j]], 0)</calculatedColumnFormula>
    </tableColumn>
    <tableColumn id="2" xr3:uid="{A910253C-FA98-4A1C-9476-3F1AAA731272}" name="EFN2O">
      <calculatedColumnFormula array="1">Common_InputFunctions.Utility_DisplayArrayInTable(Common_SourceData.Common_SourceData_EFN2O_Data(), Table_SourceData_Common_EFN2O[[#Headers],[Production system j]], 0)</calculatedColumnFormula>
    </tableColumn>
    <tableColumn id="3" xr3:uid="{95BF6DA5-9C67-423C-801D-4D943EA26E64}" name="Production system only">
      <calculatedColumnFormula array="1">Common_InputFunctions.Utility_DisplayArrayInTable(Common_SourceData.Common_SourceData_EFN2O_Data(), Table_SourceData_Common_EFN2O[[#Headers],[Production system j]], 0)</calculatedColumnFormula>
    </tableColumn>
    <tableColumn id="4" xr3:uid="{B2B411F1-934F-4264-A685-88BBF75752D3}" name="Irrigation method">
      <calculatedColumnFormula array="1">Common_InputFunctions.Utility_DisplayArrayInTable(Common_SourceData.Common_SourceData_EFN2O_Data(), Table_SourceData_Common_EFN2O[[#Headers],[Production system j]], 0)</calculatedColumnFormula>
    </tableColumn>
    <tableColumn id="5" xr3:uid="{BC28A846-827F-49BE-8895-7AF07AC202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129F0C6-DD37-4F92-A9FF-804A02D640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CEC1953-8E56-4FD4-BC26-3865CAACC286}" name="Irrigation type i">
      <calculatedColumnFormula array="1">Common_InputFunctions.Utility_DisplayArrayInTable(Common_SourceData.Common_SourceData_FracWETIrrigation_Data(), Table_SourceData_FracWETIrrigation[[#Headers],[Irrigation type i]], 0)</calculatedColumnFormula>
    </tableColumn>
    <tableColumn id="2" xr3:uid="{3F42D44F-1CF8-49F4-81D0-03F6A55595DF}"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E4CDAAD-6977-4252-B238-B6746EE1D2D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3913DC5-18BF-4429-B563-93C6A8F4168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A849F0-4488-4D62-AD7E-B9EC4921BE0E}"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85EE619-A0C5-4C5C-9D4B-D2DB59E2624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BE0D823-5222-434D-9E2E-2F0E4EFE4D24}" name="Month">
      <calculatedColumnFormula array="1">Common_InputFunctions.Utility_DisplayArrayInTable(Common_SourceData.Common_SourceData_MonthsToSeasons_Data(), Table_SourceData_Common_MonthToSeason[[#Headers],[Month]], 0)</calculatedColumnFormula>
    </tableColumn>
    <tableColumn id="2" xr3:uid="{CAFE497D-DA77-442E-8064-29E27FA514E4}"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B86884D-E319-4505-86F6-43FE2BEEA59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4084F6-B587-4CAE-8739-AC4B37EFE76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BDA08BD-756F-4B06-BAEC-1C98826106F0}"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7303D30-0C89-45D2-B4E1-EA0EF1649503}"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7430C-F8AE-4940-BB83-93D2E45DAF4D}"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1C7AF5-F58D-4463-857A-E226C8720E94}"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B0ACC6E-B49C-4D66-8D15-452C3D392828}"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3EDE90B-A287-40DA-BAB9-8974CE978C2F}"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E40E181-A636-450F-B6D8-50AAA25151B7}"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3264EAA-7EED-4B15-84F6-E857933D554C}"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D6C1257-139D-4E34-B207-7A36AA4BD374}"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F40561E-7552-45AE-BD73-BD4FE67EFCBE}"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F8E8A90-DFE4-49D8-937A-D94686DE505C}"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55860C4-2725-4DA6-8D53-0AF45AFD38DB}"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31DBA3-DB30-4D87-BEA7-2ACCE4C7A076}"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D82C3C0-5829-41E9-9B97-A0692E3C9093}"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0CF46EB-58DB-48D5-9751-7E6B0D642CAB}"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36D9588-FBBA-47AF-B016-117A7CB4C01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DFBEF8F-8540-41EE-B08C-9E7C56290E4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94C142-CC61-437C-87D9-52B720B134A8}"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213</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232</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212</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214</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106</v>
      </c>
      <c r="E6" s="113" t="s">
        <v>190</v>
      </c>
      <c r="F6" s="113" t="s">
        <v>191</v>
      </c>
      <c r="G6" s="113" t="s">
        <v>120</v>
      </c>
      <c r="H6" s="113" t="s">
        <v>192</v>
      </c>
      <c r="I6" s="113" t="s">
        <v>193</v>
      </c>
      <c r="J6" s="113" t="s">
        <v>121</v>
      </c>
      <c r="K6" s="24"/>
    </row>
    <row r="7" spans="1:11" ht="20.100000000000001" customHeight="1" x14ac:dyDescent="0.25">
      <c r="A7" s="20" t="s">
        <v>1</v>
      </c>
      <c r="C7" s="24"/>
      <c r="D7" s="1" t="s">
        <v>231</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188</v>
      </c>
      <c r="K7" s="24"/>
    </row>
    <row r="8" spans="1:11" ht="20.100000000000001" customHeight="1" x14ac:dyDescent="0.3">
      <c r="A8" s="17" t="str">
        <f>HYPERLINK("#'Input - Site'!A1", "Site")</f>
        <v>Site</v>
      </c>
      <c r="C8" s="24"/>
      <c r="D8" s="31" t="s">
        <v>119</v>
      </c>
      <c r="E8" s="25"/>
      <c r="F8" s="25"/>
      <c r="G8" s="31"/>
      <c r="H8" s="112">
        <f>SUM(H7)</f>
        <v>909.01111515171999</v>
      </c>
      <c r="I8" s="112">
        <f>SUM(I7:I7)</f>
        <v>909.01111515171999</v>
      </c>
      <c r="J8" s="107" t="s">
        <v>188</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70</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12</v>
      </c>
      <c r="N5" s="43"/>
    </row>
    <row r="6" spans="1:24" ht="20.100000000000001" customHeight="1" x14ac:dyDescent="0.25">
      <c r="D6" s="14"/>
      <c r="N6" s="44"/>
    </row>
    <row r="7" spans="1:24" ht="20.100000000000001" customHeight="1" x14ac:dyDescent="0.25">
      <c r="A7" s="20" t="s">
        <v>1</v>
      </c>
      <c r="D7" s="1" t="s">
        <v>4</v>
      </c>
      <c r="E7" s="35" t="s">
        <v>250</v>
      </c>
      <c r="F7" s="2"/>
    </row>
    <row r="8" spans="1:24" ht="20.100000000000001" customHeight="1" x14ac:dyDescent="0.25">
      <c r="A8" s="21" t="str">
        <f>HYPERLINK("#'Input - Site'!A1", "Site")</f>
        <v>Site</v>
      </c>
      <c r="D8" s="10" t="s">
        <v>69</v>
      </c>
      <c r="E8" s="35" t="s">
        <v>251</v>
      </c>
    </row>
    <row r="9" spans="1:24" ht="20.100000000000001" customHeight="1" x14ac:dyDescent="0.25">
      <c r="A9" s="17" t="str">
        <f>HYPERLINK("#'Input - Dairy'!A1", "Dairy")</f>
        <v>Dairy</v>
      </c>
      <c r="N9" s="45"/>
    </row>
    <row r="10" spans="1:24" ht="20.100000000000001" customHeight="1" x14ac:dyDescent="0.25">
      <c r="A10" s="17"/>
      <c r="D10" s="96" t="s">
        <v>83</v>
      </c>
      <c r="E10" s="94"/>
      <c r="F10" s="97"/>
      <c r="G10" s="91"/>
      <c r="N10" s="45"/>
    </row>
    <row r="11" spans="1:24" ht="20.100000000000001" customHeight="1" x14ac:dyDescent="0.25">
      <c r="A11" s="19" t="s">
        <v>70</v>
      </c>
      <c r="N11" s="46"/>
    </row>
    <row r="12" spans="1:24" ht="20.100000000000001" customHeight="1" x14ac:dyDescent="0.25">
      <c r="A12" s="17" t="str">
        <f>HYPERLINK("#'3.3.1.1-2 Enteric Methane'!A1", "3.3.1.1-2 Enteric Methane")</f>
        <v>3.3.1.1-2 Enteric Methane</v>
      </c>
      <c r="D12" s="10" t="s">
        <v>89</v>
      </c>
      <c r="E12" s="65">
        <v>45658</v>
      </c>
      <c r="F12" s="2" t="s">
        <v>67</v>
      </c>
    </row>
    <row r="13" spans="1:24" ht="20.100000000000001" customHeight="1" x14ac:dyDescent="0.25">
      <c r="A13" s="17"/>
      <c r="D13" s="10" t="s">
        <v>90</v>
      </c>
      <c r="E13" s="72">
        <f>DATE(YEAR(E12)+1,MONTH(E12),DAY(E12))-1</f>
        <v>46022</v>
      </c>
      <c r="F13" s="2" t="s">
        <v>14</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11</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13</v>
      </c>
      <c r="E18" s="93"/>
      <c r="F18" s="93"/>
      <c r="G18" s="89"/>
    </row>
    <row r="19" spans="1:25" ht="20.100000000000001" customHeight="1" x14ac:dyDescent="0.25">
      <c r="A19"/>
      <c r="D19" s="95" t="s">
        <v>68</v>
      </c>
      <c r="E19" s="92"/>
      <c r="F19" s="92"/>
      <c r="G19" s="90"/>
      <c r="N19" s="43"/>
    </row>
    <row r="20" spans="1:25" ht="20.100000000000001" customHeight="1" x14ac:dyDescent="0.25">
      <c r="A20"/>
      <c r="D20" s="1"/>
      <c r="E20" s="33"/>
      <c r="F20" s="2"/>
      <c r="N20" s="44"/>
    </row>
    <row r="21" spans="1:25" ht="20.100000000000001" customHeight="1" x14ac:dyDescent="0.25">
      <c r="A21"/>
      <c r="D21" s="1" t="s">
        <v>5</v>
      </c>
      <c r="E21" s="42" t="s">
        <v>252</v>
      </c>
      <c r="F21" s="2" t="s">
        <v>8</v>
      </c>
    </row>
    <row r="22" spans="1:25" ht="20.100000000000001" customHeight="1" x14ac:dyDescent="0.25">
      <c r="A22"/>
      <c r="D22" s="1" t="s">
        <v>22</v>
      </c>
      <c r="E22" s="42" t="s">
        <v>31</v>
      </c>
      <c r="F22" s="2" t="s">
        <v>8</v>
      </c>
      <c r="G22" s="1"/>
    </row>
    <row r="23" spans="1:25" ht="20.100000000000001" customHeight="1" x14ac:dyDescent="0.25">
      <c r="A23"/>
      <c r="D23" s="1" t="s">
        <v>6</v>
      </c>
      <c r="E23" s="42" t="s">
        <v>88</v>
      </c>
      <c r="F23" s="2" t="s">
        <v>8</v>
      </c>
    </row>
    <row r="24" spans="1:25" ht="20.100000000000001" customHeight="1" x14ac:dyDescent="0.25">
      <c r="A24"/>
      <c r="D24" s="1" t="s">
        <v>36</v>
      </c>
      <c r="E24" s="35">
        <v>307.7</v>
      </c>
      <c r="F24" s="2" t="s">
        <v>50</v>
      </c>
    </row>
    <row r="25" spans="1:25" ht="20.100000000000001" customHeight="1" x14ac:dyDescent="0.25">
      <c r="A25"/>
      <c r="D25" s="1" t="s">
        <v>58</v>
      </c>
      <c r="E25" s="35">
        <v>18</v>
      </c>
      <c r="F25" s="2" t="s">
        <v>9</v>
      </c>
      <c r="N25" s="44"/>
    </row>
    <row r="26" spans="1:25" ht="20.100000000000001" customHeight="1" x14ac:dyDescent="0.25">
      <c r="A26"/>
      <c r="D26" s="1" t="s">
        <v>59</v>
      </c>
      <c r="E26" s="35">
        <v>601</v>
      </c>
      <c r="F26" s="2" t="s">
        <v>10</v>
      </c>
    </row>
    <row r="27" spans="1:25" ht="20.100000000000001" customHeight="1" x14ac:dyDescent="0.25">
      <c r="A27"/>
      <c r="D27" s="10" t="s">
        <v>60</v>
      </c>
      <c r="E27" s="35">
        <v>1326</v>
      </c>
      <c r="F27" s="2" t="s">
        <v>10</v>
      </c>
    </row>
    <row r="28" spans="1:25" ht="20.100000000000001" customHeight="1" x14ac:dyDescent="0.25">
      <c r="A28"/>
      <c r="D28" s="1" t="s">
        <v>61</v>
      </c>
      <c r="E28" s="35">
        <v>7</v>
      </c>
      <c r="F28" s="2" t="s">
        <v>51</v>
      </c>
    </row>
    <row r="29" spans="1:25" ht="20.100000000000001" customHeight="1" x14ac:dyDescent="0.25">
      <c r="A29"/>
      <c r="D29" s="10" t="s">
        <v>57</v>
      </c>
      <c r="E29" s="54">
        <f>E26/E27</f>
        <v>0.45324283559577677</v>
      </c>
      <c r="F29" s="2"/>
    </row>
    <row r="30" spans="1:25" ht="20.100000000000001" customHeight="1" x14ac:dyDescent="0.25">
      <c r="A30"/>
      <c r="D30" s="10" t="s">
        <v>32</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7</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85</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E55" sqref="E55"/>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146</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93</v>
      </c>
      <c r="N5" s="3"/>
      <c r="R5" s="7"/>
    </row>
    <row r="6" spans="1:23" ht="20.100000000000001" customHeight="1" x14ac:dyDescent="0.25">
      <c r="A6" s="16"/>
      <c r="N6" s="3"/>
      <c r="R6" s="7"/>
    </row>
    <row r="7" spans="1:23" ht="20.100000000000001" customHeight="1" x14ac:dyDescent="0.25">
      <c r="A7" s="20" t="s">
        <v>1</v>
      </c>
      <c r="D7" s="1" t="s">
        <v>124</v>
      </c>
      <c r="E7" s="42" t="s">
        <v>160</v>
      </c>
      <c r="F7" s="2" t="s">
        <v>8</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125</v>
      </c>
      <c r="F9" s="41" t="s">
        <v>142</v>
      </c>
      <c r="G9" s="41" t="s">
        <v>143</v>
      </c>
      <c r="H9" s="41" t="s">
        <v>144</v>
      </c>
      <c r="I9" s="41" t="s">
        <v>145</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2">
        <v>100</v>
      </c>
      <c r="F10" s="102">
        <v>100</v>
      </c>
      <c r="G10" s="102">
        <v>100</v>
      </c>
      <c r="H10" s="102">
        <v>100</v>
      </c>
      <c r="I10" s="102">
        <v>100</v>
      </c>
      <c r="J10" s="2" t="s">
        <v>95</v>
      </c>
      <c r="K10" s="2"/>
      <c r="L10" s="2"/>
      <c r="M10" s="2"/>
      <c r="R10" s="7"/>
    </row>
    <row r="11" spans="1:23" ht="20.100000000000001" customHeight="1" x14ac:dyDescent="0.25">
      <c r="A11" s="19" t="s">
        <v>70</v>
      </c>
      <c r="R11" s="7"/>
    </row>
    <row r="12" spans="1:23" ht="20.100000000000001" customHeight="1" x14ac:dyDescent="0.25">
      <c r="A12" s="17" t="str">
        <f>HYPERLINK("#'3.3.1.1-2 Enteric Methane'!A1", "3.3.1.1-2 Enteric Methane")</f>
        <v>3.3.1.1-2 Enteric Methane</v>
      </c>
      <c r="D12" s="50" t="s">
        <v>157</v>
      </c>
      <c r="R12" s="7"/>
    </row>
    <row r="13" spans="1:23" ht="20.100000000000001" customHeight="1" x14ac:dyDescent="0.25">
      <c r="A13" s="17"/>
      <c r="D13" s="64" t="s">
        <v>155</v>
      </c>
      <c r="E13" s="41" t="s">
        <v>125</v>
      </c>
      <c r="F13" s="41" t="s">
        <v>142</v>
      </c>
      <c r="G13" s="41" t="s">
        <v>143</v>
      </c>
      <c r="H13" s="41" t="s">
        <v>144</v>
      </c>
      <c r="I13" s="41" t="s">
        <v>145</v>
      </c>
      <c r="R13" s="40"/>
    </row>
    <row r="14" spans="1:23" ht="20.100000000000001" customHeight="1" x14ac:dyDescent="0.25">
      <c r="A14" s="18" t="s">
        <v>2</v>
      </c>
      <c r="D14" s="1" t="s">
        <v>158</v>
      </c>
      <c r="E14" s="54">
        <v>550</v>
      </c>
      <c r="F14" s="54">
        <v>380</v>
      </c>
      <c r="G14" s="54">
        <v>155</v>
      </c>
      <c r="H14" s="54">
        <v>600</v>
      </c>
      <c r="I14" s="54">
        <v>225</v>
      </c>
      <c r="J14" s="2" t="s">
        <v>147</v>
      </c>
      <c r="K14" s="2"/>
      <c r="L14" s="2"/>
      <c r="M14" s="2"/>
      <c r="R14" s="40"/>
    </row>
    <row r="15" spans="1:23" ht="20.100000000000001" customHeight="1" x14ac:dyDescent="0.25">
      <c r="A15" s="17" t="str">
        <f>HYPERLINK("#'Constants - Dairy'!A1", "Constants - Dairy")</f>
        <v>Constants - Dairy</v>
      </c>
      <c r="D15" s="1" t="s">
        <v>159</v>
      </c>
      <c r="E15" s="54">
        <v>1.6E-2</v>
      </c>
      <c r="F15" s="54">
        <v>0.6</v>
      </c>
      <c r="G15" s="54">
        <v>0.56999999999999995</v>
      </c>
      <c r="H15" s="54">
        <v>0.1</v>
      </c>
      <c r="I15" s="54">
        <v>0.8</v>
      </c>
      <c r="J15" s="2" t="s">
        <v>148</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154</v>
      </c>
      <c r="E17" s="41" t="s">
        <v>125</v>
      </c>
      <c r="F17" s="41" t="s">
        <v>142</v>
      </c>
      <c r="G17" s="41" t="s">
        <v>143</v>
      </c>
      <c r="H17" s="41" t="s">
        <v>144</v>
      </c>
      <c r="I17" s="41" t="s">
        <v>145</v>
      </c>
      <c r="R17" s="7"/>
    </row>
    <row r="18" spans="1:18" ht="20.100000000000001" customHeight="1" x14ac:dyDescent="0.25">
      <c r="A18" s="17" t="str">
        <f>HYPERLINK("#'Acknowledgements'!A1", "Acknowledgements")</f>
        <v>Acknowledgements</v>
      </c>
      <c r="D18" s="1" t="s">
        <v>158</v>
      </c>
      <c r="E18" s="67">
        <v>550</v>
      </c>
      <c r="F18" s="67">
        <v>380</v>
      </c>
      <c r="G18" s="67">
        <v>155</v>
      </c>
      <c r="H18" s="67">
        <v>600</v>
      </c>
      <c r="I18" s="67">
        <v>225</v>
      </c>
      <c r="J18" s="2" t="s">
        <v>147</v>
      </c>
      <c r="K18" s="2"/>
      <c r="L18" s="2"/>
      <c r="M18" s="2"/>
      <c r="R18" s="7"/>
    </row>
    <row r="19" spans="1:18" ht="20.100000000000001" customHeight="1" x14ac:dyDescent="0.25">
      <c r="D19" s="1" t="s">
        <v>159</v>
      </c>
      <c r="E19" s="67">
        <v>1.6E-2</v>
      </c>
      <c r="F19" s="67">
        <v>0.6</v>
      </c>
      <c r="G19" s="67">
        <v>0.56999999999999995</v>
      </c>
      <c r="H19" s="67">
        <v>0.1</v>
      </c>
      <c r="I19" s="67">
        <v>0.8</v>
      </c>
      <c r="J19" s="2" t="s">
        <v>148</v>
      </c>
      <c r="K19" s="2"/>
      <c r="L19" s="2"/>
      <c r="M19" s="2"/>
      <c r="R19" s="7"/>
    </row>
    <row r="20" spans="1:18" ht="20.100000000000001" customHeight="1" x14ac:dyDescent="0.25">
      <c r="R20" s="7"/>
    </row>
    <row r="21" spans="1:18" ht="20.100000000000001" customHeight="1" x14ac:dyDescent="0.25">
      <c r="D21" s="50" t="s">
        <v>94</v>
      </c>
      <c r="R21" s="7"/>
    </row>
    <row r="22" spans="1:18" ht="20.100000000000001" customHeight="1" x14ac:dyDescent="0.25">
      <c r="R22" s="7"/>
    </row>
    <row r="23" spans="1:18" ht="20.100000000000001" customHeight="1" x14ac:dyDescent="0.25">
      <c r="D23" s="64" t="s">
        <v>155</v>
      </c>
      <c r="E23" s="41" t="s">
        <v>125</v>
      </c>
      <c r="F23" s="41" t="s">
        <v>142</v>
      </c>
      <c r="G23" s="41" t="s">
        <v>143</v>
      </c>
      <c r="H23" s="41" t="s">
        <v>144</v>
      </c>
      <c r="I23" s="41" t="s">
        <v>145</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4">
        <v>365</v>
      </c>
      <c r="F24" s="54">
        <v>365</v>
      </c>
      <c r="G24" s="54">
        <v>281</v>
      </c>
      <c r="H24" s="54">
        <v>365</v>
      </c>
      <c r="I24" s="54">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4">
        <v>0</v>
      </c>
      <c r="F25" s="54">
        <v>0</v>
      </c>
      <c r="G25" s="54">
        <v>84</v>
      </c>
      <c r="H25" s="54">
        <v>0</v>
      </c>
      <c r="I25" s="54">
        <v>84</v>
      </c>
      <c r="J25" s="2" t="s">
        <v>51</v>
      </c>
      <c r="K25" s="2"/>
      <c r="L25" s="2"/>
      <c r="M25" s="2"/>
      <c r="R25" s="7"/>
    </row>
    <row r="26" spans="1:18" ht="20.100000000000001" customHeight="1" x14ac:dyDescent="0.25">
      <c r="R26" s="7"/>
    </row>
    <row r="27" spans="1:18" ht="20.100000000000001" customHeight="1" x14ac:dyDescent="0.25">
      <c r="D27" s="64" t="s">
        <v>154</v>
      </c>
      <c r="E27" s="41" t="s">
        <v>125</v>
      </c>
      <c r="F27" s="41" t="s">
        <v>142</v>
      </c>
      <c r="G27" s="41" t="s">
        <v>143</v>
      </c>
      <c r="H27" s="41" t="s">
        <v>144</v>
      </c>
      <c r="I27" s="41" t="s">
        <v>145</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7">
        <v>365</v>
      </c>
      <c r="F28" s="67">
        <v>365</v>
      </c>
      <c r="G28" s="67">
        <v>281</v>
      </c>
      <c r="H28" s="67">
        <v>365</v>
      </c>
      <c r="I28" s="67">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4">
        <v>0</v>
      </c>
      <c r="F29" s="54">
        <v>0</v>
      </c>
      <c r="G29" s="54">
        <v>84</v>
      </c>
      <c r="H29" s="54">
        <v>0</v>
      </c>
      <c r="I29" s="54">
        <v>84</v>
      </c>
      <c r="J29" s="2" t="s">
        <v>51</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156</v>
      </c>
      <c r="R33" s="7"/>
    </row>
    <row r="34" spans="1:18" ht="20.100000000000001" customHeight="1" x14ac:dyDescent="0.25">
      <c r="D34" s="50"/>
      <c r="R34" s="7"/>
    </row>
    <row r="35" spans="1:18" ht="20.100000000000001" customHeight="1" x14ac:dyDescent="0.25">
      <c r="D35" s="64" t="s">
        <v>155</v>
      </c>
      <c r="E35" s="41" t="s">
        <v>125</v>
      </c>
      <c r="F35" s="41" t="s">
        <v>142</v>
      </c>
      <c r="G35" s="41" t="s">
        <v>143</v>
      </c>
      <c r="H35" s="41" t="s">
        <v>144</v>
      </c>
      <c r="I35" s="41" t="s">
        <v>145</v>
      </c>
      <c r="R35" s="7"/>
    </row>
    <row r="36" spans="1:18" ht="20.100000000000001" customHeight="1" x14ac:dyDescent="0.25">
      <c r="D36" s="1" t="s">
        <v>15</v>
      </c>
      <c r="E36" s="54">
        <v>0.75</v>
      </c>
      <c r="F36" s="54">
        <v>0.75</v>
      </c>
      <c r="G36" s="54">
        <v>0.75</v>
      </c>
      <c r="H36" s="54">
        <v>0.75</v>
      </c>
      <c r="I36" s="54">
        <v>0.75</v>
      </c>
      <c r="J36" s="2" t="s">
        <v>91</v>
      </c>
      <c r="K36" s="2"/>
      <c r="L36" s="2"/>
      <c r="M36" s="2"/>
      <c r="R36" s="7"/>
    </row>
    <row r="37" spans="1:18" ht="20.100000000000001" customHeight="1" x14ac:dyDescent="0.25">
      <c r="D37" s="1" t="s">
        <v>98</v>
      </c>
      <c r="E37" s="54">
        <v>0.2</v>
      </c>
      <c r="F37" s="54">
        <v>0.2</v>
      </c>
      <c r="G37" s="54">
        <v>0.2</v>
      </c>
      <c r="H37" s="54">
        <v>0.2</v>
      </c>
      <c r="I37" s="54">
        <v>0.2</v>
      </c>
      <c r="J37" s="2" t="s">
        <v>91</v>
      </c>
      <c r="K37" s="2"/>
      <c r="L37" s="2"/>
      <c r="M37" s="2"/>
      <c r="R37" s="7"/>
    </row>
    <row r="38" spans="1:18" ht="20.100000000000001" customHeight="1" x14ac:dyDescent="0.25">
      <c r="K38" s="2"/>
      <c r="L38" s="2"/>
      <c r="M38" s="2"/>
      <c r="R38" s="7"/>
    </row>
    <row r="39" spans="1:18" ht="20.100000000000001" customHeight="1" x14ac:dyDescent="0.25">
      <c r="A39" s="17"/>
      <c r="D39" s="64" t="s">
        <v>154</v>
      </c>
      <c r="E39" s="41" t="s">
        <v>125</v>
      </c>
      <c r="F39" s="41" t="s">
        <v>142</v>
      </c>
      <c r="G39" s="41" t="s">
        <v>143</v>
      </c>
      <c r="H39" s="41" t="s">
        <v>144</v>
      </c>
      <c r="I39" s="41" t="s">
        <v>145</v>
      </c>
      <c r="R39" s="7"/>
    </row>
    <row r="40" spans="1:18" ht="20.100000000000001" customHeight="1" x14ac:dyDescent="0.25">
      <c r="D40" s="1" t="s">
        <v>15</v>
      </c>
      <c r="E40" s="67">
        <v>0.75</v>
      </c>
      <c r="F40" s="67">
        <v>0.75</v>
      </c>
      <c r="G40" s="67">
        <v>0.75</v>
      </c>
      <c r="H40" s="67">
        <v>0.75</v>
      </c>
      <c r="I40" s="67">
        <v>0.75</v>
      </c>
      <c r="J40" s="2" t="s">
        <v>91</v>
      </c>
      <c r="K40" s="2"/>
      <c r="R40" s="7"/>
    </row>
    <row r="41" spans="1:18" ht="20.100000000000001" customHeight="1" x14ac:dyDescent="0.25">
      <c r="A41" s="47"/>
      <c r="D41" s="1" t="s">
        <v>98</v>
      </c>
      <c r="E41" s="67">
        <v>0.2</v>
      </c>
      <c r="F41" s="67">
        <v>0.2</v>
      </c>
      <c r="G41" s="67">
        <v>0.2</v>
      </c>
      <c r="H41" s="67">
        <v>0.2</v>
      </c>
      <c r="I41" s="67">
        <v>0.2</v>
      </c>
      <c r="J41" s="2" t="s">
        <v>91</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149</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234</v>
      </c>
      <c r="E49" s="42" t="s">
        <v>247</v>
      </c>
      <c r="F49" s="2" t="s">
        <v>8</v>
      </c>
      <c r="H49" s="3"/>
      <c r="I49" s="3"/>
      <c r="J49" s="3"/>
      <c r="K49" s="3"/>
      <c r="L49" s="3"/>
      <c r="M49" s="3"/>
      <c r="R49" s="7"/>
    </row>
    <row r="50" spans="4:18" ht="20.100000000000001" customHeight="1" x14ac:dyDescent="0.25">
      <c r="R50" s="7"/>
    </row>
    <row r="51" spans="4:18" ht="20.100000000000001" customHeight="1" x14ac:dyDescent="0.25">
      <c r="E51" s="41" t="s">
        <v>125</v>
      </c>
      <c r="R51" s="7"/>
    </row>
    <row r="52" spans="4:18" ht="20.100000000000001" customHeight="1" x14ac:dyDescent="0.25">
      <c r="D52" s="1" t="s">
        <v>150</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244</v>
      </c>
      <c r="E54" s="41" t="s">
        <v>241</v>
      </c>
      <c r="F54" s="41" t="s">
        <v>242</v>
      </c>
      <c r="R54" s="7"/>
    </row>
    <row r="55" spans="4:18" ht="20.100000000000001" customHeight="1" x14ac:dyDescent="0.25">
      <c r="D55" s="1" t="s">
        <v>239</v>
      </c>
      <c r="E55" s="124">
        <v>0.04</v>
      </c>
      <c r="F55" s="132">
        <v>0.04</v>
      </c>
      <c r="G55" s="2" t="s">
        <v>243</v>
      </c>
      <c r="R55" s="7"/>
    </row>
    <row r="56" spans="4:18" ht="20.100000000000001" customHeight="1" x14ac:dyDescent="0.25">
      <c r="D56" s="1" t="s">
        <v>240</v>
      </c>
      <c r="E56" s="124">
        <v>3.3000000000000002E-2</v>
      </c>
      <c r="F56" s="132">
        <v>3.3000000000000002E-2</v>
      </c>
      <c r="G56" s="2" t="s">
        <v>243</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24" zoomScaleNormal="100" workbookViewId="0">
      <selection activeCell="R41" sqref="R4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215</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70</v>
      </c>
      <c r="D11" s="55" t="s">
        <v>26</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16</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103</v>
      </c>
      <c r="M16" s="101" t="s">
        <v>105</v>
      </c>
    </row>
    <row r="17" spans="1:19" ht="20.100000000000001" customHeight="1" x14ac:dyDescent="0.25">
      <c r="A17" s="17" t="str">
        <f>HYPERLINK("#'Constants - Common'!A1", "Constants - Common")</f>
        <v>Constants - Common</v>
      </c>
      <c r="D17" s="100" t="s">
        <v>104</v>
      </c>
      <c r="M17" s="100" t="s">
        <v>182</v>
      </c>
    </row>
    <row r="18" spans="1:19" ht="20.100000000000001" customHeight="1" x14ac:dyDescent="0.25">
      <c r="A18" s="17" t="str">
        <f>HYPERLINK("#'Acknowledgements'!A1", "Acknowledgements")</f>
        <v>Acknowledgements</v>
      </c>
      <c r="D18" s="41" t="s">
        <v>125</v>
      </c>
      <c r="E18" s="41" t="s">
        <v>142</v>
      </c>
      <c r="F18" s="41" t="s">
        <v>143</v>
      </c>
      <c r="G18" s="41" t="s">
        <v>144</v>
      </c>
      <c r="H18" s="41" t="s">
        <v>145</v>
      </c>
      <c r="M18" s="41" t="s">
        <v>125</v>
      </c>
      <c r="N18" s="41" t="s">
        <v>142</v>
      </c>
      <c r="O18" s="41" t="s">
        <v>143</v>
      </c>
      <c r="P18" s="41" t="s">
        <v>144</v>
      </c>
      <c r="Q18" s="41" t="s">
        <v>145</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171</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171</v>
      </c>
    </row>
    <row r="20" spans="1:19" ht="20.100000000000001" customHeight="1" x14ac:dyDescent="0.25"/>
    <row r="21" spans="1:19" ht="20.100000000000001" customHeight="1" x14ac:dyDescent="0.25">
      <c r="D21" s="101" t="s">
        <v>172</v>
      </c>
      <c r="M21" s="101" t="s">
        <v>174</v>
      </c>
    </row>
    <row r="22" spans="1:19" ht="20.100000000000001" customHeight="1" x14ac:dyDescent="0.25">
      <c r="D22" s="100" t="s">
        <v>173</v>
      </c>
      <c r="M22" s="100" t="s">
        <v>175</v>
      </c>
    </row>
    <row r="23" spans="1:19" ht="20.100000000000001" customHeight="1" x14ac:dyDescent="0.25">
      <c r="D23" s="53" t="s">
        <v>125</v>
      </c>
      <c r="E23" s="53" t="s">
        <v>142</v>
      </c>
      <c r="F23" s="53" t="s">
        <v>143</v>
      </c>
      <c r="G23" s="53" t="s">
        <v>144</v>
      </c>
      <c r="H23" s="53" t="s">
        <v>145</v>
      </c>
      <c r="M23" s="53" t="s">
        <v>125</v>
      </c>
      <c r="N23" s="53" t="s">
        <v>142</v>
      </c>
      <c r="O23" s="53" t="s">
        <v>143</v>
      </c>
      <c r="P23" s="53" t="s">
        <v>144</v>
      </c>
      <c r="Q23" s="53" t="s">
        <v>145</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26</v>
      </c>
      <c r="E34" s="1" t="str" cm="1">
        <f t="array" ref="E34">EntericMethane_Dairy_Equations.VEERG_3_3_1_1__5_MilkProductionFromMilkSolids_Variable()</f>
        <v>MP_j</v>
      </c>
    </row>
    <row r="35" spans="4:18" ht="20.100000000000001" customHeight="1" x14ac:dyDescent="0.25">
      <c r="D35" s="55" t="s">
        <v>16</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235</v>
      </c>
    </row>
    <row r="43" spans="4:18" ht="20.100000000000001" customHeight="1" x14ac:dyDescent="0.25">
      <c r="D43" s="100" t="s">
        <v>236</v>
      </c>
    </row>
    <row r="44" spans="4:18" ht="20.100000000000001" customHeight="1" x14ac:dyDescent="0.25">
      <c r="D44" s="41" t="s">
        <v>125</v>
      </c>
      <c r="E44" s="41" t="s">
        <v>142</v>
      </c>
      <c r="F44" s="41" t="s">
        <v>143</v>
      </c>
      <c r="G44" s="41" t="s">
        <v>144</v>
      </c>
      <c r="H44" s="41" t="s">
        <v>145</v>
      </c>
    </row>
    <row r="45" spans="4:18" ht="20.100000000000001" customHeight="1" x14ac:dyDescent="0.25">
      <c r="D45" s="54">
        <f>IF($I$37="Milk solids", 'Input - Dairy'!$E$52, 0)</f>
        <v>0</v>
      </c>
      <c r="E45" s="54">
        <v>0</v>
      </c>
      <c r="F45" s="54">
        <v>0</v>
      </c>
      <c r="G45" s="54">
        <v>0</v>
      </c>
      <c r="H45" s="54">
        <v>0</v>
      </c>
      <c r="I45" s="2" t="s">
        <v>178</v>
      </c>
    </row>
    <row r="46" spans="4:18" ht="20.100000000000001" customHeight="1" x14ac:dyDescent="0.25"/>
    <row r="47" spans="4:18" ht="20.100000000000001" customHeight="1" x14ac:dyDescent="0.25">
      <c r="D47" s="101" t="s">
        <v>237</v>
      </c>
      <c r="M47" s="101" t="s">
        <v>245</v>
      </c>
    </row>
    <row r="48" spans="4:18" ht="20.100000000000001" customHeight="1" x14ac:dyDescent="0.25">
      <c r="D48" s="100" t="s">
        <v>238</v>
      </c>
      <c r="M48" s="100" t="s">
        <v>246</v>
      </c>
    </row>
    <row r="49" spans="1:19" ht="20.100000000000001" customHeight="1" x14ac:dyDescent="0.25">
      <c r="D49" s="53" t="s">
        <v>125</v>
      </c>
      <c r="E49" s="53" t="s">
        <v>142</v>
      </c>
      <c r="F49" s="53" t="s">
        <v>143</v>
      </c>
      <c r="G49" s="53" t="s">
        <v>144</v>
      </c>
      <c r="H49" s="53" t="s">
        <v>145</v>
      </c>
      <c r="M49" s="53" t="s">
        <v>125</v>
      </c>
      <c r="N49" s="53" t="s">
        <v>142</v>
      </c>
      <c r="O49" s="53" t="s">
        <v>143</v>
      </c>
      <c r="P49" s="53" t="s">
        <v>144</v>
      </c>
      <c r="Q49" s="53" t="s">
        <v>145</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178</v>
      </c>
      <c r="M50" s="54" cm="1">
        <f t="array" ref="M50">EntericMethane_Dairy_Equations.VEERG_3_3_1_1__5_MilkProductionFromMilkSolids(D45,R39,R40)</f>
        <v>0</v>
      </c>
      <c r="N50" s="54">
        <v>0</v>
      </c>
      <c r="O50" s="54">
        <v>0</v>
      </c>
      <c r="P50" s="54">
        <v>0</v>
      </c>
      <c r="Q50" s="54">
        <v>0</v>
      </c>
      <c r="R50" s="2" t="s">
        <v>178</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23</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26</v>
      </c>
      <c r="E61" s="1" t="str" cm="1">
        <f t="array" ref="E61">EntericMethane_Dairy_Equations.VEERG_3_3_1_1__4_AdditionalIntakeForMilkProduction_Variable()</f>
        <v>MI_j</v>
      </c>
    </row>
    <row r="62" spans="1:19" ht="20.100000000000001" customHeight="1" x14ac:dyDescent="0.25">
      <c r="D62" s="55" t="s">
        <v>16</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'Constants - Dairy'!$D$167</f>
        <v>3.0539999999999998</v>
      </c>
    </row>
    <row r="68" spans="4:18" ht="20.100000000000001" customHeight="1" x14ac:dyDescent="0.25">
      <c r="D68" s="122" t="str">
        <v>GEC</v>
      </c>
      <c r="E68" s="121" t="str">
        <v>gross energy content</v>
      </c>
      <c r="F68" s="123"/>
      <c r="G68" s="122" t="str">
        <v>MJ/kgDM</v>
      </c>
      <c r="H68" s="118" t="str">
        <v>Constant</v>
      </c>
      <c r="I68" s="122">
        <f>'Constants - Dairy'!$D$174</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'Constants - Dairy'!$D$181</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181</v>
      </c>
    </row>
    <row r="73" spans="4:18" ht="20.100000000000001" customHeight="1" x14ac:dyDescent="0.25">
      <c r="D73" s="100" t="s">
        <v>149</v>
      </c>
    </row>
    <row r="74" spans="4:18" ht="20.100000000000001" customHeight="1" x14ac:dyDescent="0.25">
      <c r="D74" s="41" t="s">
        <v>125</v>
      </c>
      <c r="E74" s="41" t="s">
        <v>142</v>
      </c>
      <c r="F74" s="41" t="s">
        <v>143</v>
      </c>
      <c r="G74" s="41" t="s">
        <v>144</v>
      </c>
      <c r="H74" s="41" t="s">
        <v>145</v>
      </c>
    </row>
    <row r="75" spans="4:18" ht="20.100000000000001" customHeight="1" x14ac:dyDescent="0.25">
      <c r="D75" s="54">
        <f>IF(I64="Milk solids", 0, 'Input - Dairy'!$E$52)</f>
        <v>20</v>
      </c>
      <c r="E75" s="54">
        <v>0</v>
      </c>
      <c r="F75" s="54">
        <v>0</v>
      </c>
      <c r="G75" s="54">
        <v>0</v>
      </c>
      <c r="H75" s="54">
        <v>0</v>
      </c>
      <c r="I75" s="2" t="s">
        <v>178</v>
      </c>
    </row>
    <row r="76" spans="4:18" ht="20.100000000000001" customHeight="1" x14ac:dyDescent="0.25"/>
    <row r="77" spans="4:18" ht="20.100000000000001" customHeight="1" x14ac:dyDescent="0.25">
      <c r="D77" s="101" t="s">
        <v>176</v>
      </c>
      <c r="M77" s="101" t="s">
        <v>179</v>
      </c>
    </row>
    <row r="78" spans="4:18" ht="20.100000000000001" customHeight="1" x14ac:dyDescent="0.25">
      <c r="D78" s="100" t="s">
        <v>177</v>
      </c>
      <c r="M78" s="100" t="s">
        <v>180</v>
      </c>
    </row>
    <row r="79" spans="4:18" ht="20.100000000000001" customHeight="1" x14ac:dyDescent="0.25">
      <c r="D79" s="53" t="s">
        <v>125</v>
      </c>
      <c r="E79" s="53" t="s">
        <v>142</v>
      </c>
      <c r="F79" s="53" t="s">
        <v>143</v>
      </c>
      <c r="G79" s="53" t="s">
        <v>144</v>
      </c>
      <c r="H79" s="53" t="s">
        <v>145</v>
      </c>
      <c r="M79" s="53" t="s">
        <v>125</v>
      </c>
      <c r="N79" s="53" t="s">
        <v>142</v>
      </c>
      <c r="O79" s="53" t="s">
        <v>143</v>
      </c>
      <c r="P79" s="53" t="s">
        <v>144</v>
      </c>
      <c r="Q79" s="53" t="s">
        <v>145</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26</v>
      </c>
      <c r="E89" s="1" t="str" cm="1">
        <f t="array" ref="E89">EntericMethane_Dairy_Equations.VEERG_3_3_1_1__3_DryMatterFeedIntake_Variable()</f>
        <v>I_j</v>
      </c>
    </row>
    <row r="90" spans="3:19" ht="20.100000000000001" customHeight="1" x14ac:dyDescent="0.25">
      <c r="D90" s="55" t="s">
        <v>16</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161</v>
      </c>
      <c r="M97" s="101" t="s">
        <v>163</v>
      </c>
    </row>
    <row r="98" spans="1:18" ht="20.100000000000001" customHeight="1" x14ac:dyDescent="0.25">
      <c r="D98" s="100" t="s">
        <v>162</v>
      </c>
      <c r="M98" s="100" t="s">
        <v>164</v>
      </c>
    </row>
    <row r="99" spans="1:18" ht="20.100000000000001" customHeight="1" x14ac:dyDescent="0.25">
      <c r="D99" s="41" t="s">
        <v>125</v>
      </c>
      <c r="E99" s="41" t="s">
        <v>142</v>
      </c>
      <c r="F99" s="41" t="s">
        <v>143</v>
      </c>
      <c r="G99" s="41" t="s">
        <v>144</v>
      </c>
      <c r="H99" s="41" t="s">
        <v>145</v>
      </c>
      <c r="M99" s="41" t="s">
        <v>125</v>
      </c>
      <c r="N99" s="41" t="s">
        <v>142</v>
      </c>
      <c r="O99" s="41" t="s">
        <v>143</v>
      </c>
      <c r="P99" s="41" t="s">
        <v>144</v>
      </c>
      <c r="Q99" s="41" t="s">
        <v>145</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147</v>
      </c>
      <c r="M100" s="54">
        <f>'Input - Dairy'!$E$18</f>
        <v>550</v>
      </c>
      <c r="N100" s="54">
        <f>'Input - Dairy'!$F$18</f>
        <v>380</v>
      </c>
      <c r="O100" s="54">
        <f>'Input - Dairy'!$G$18</f>
        <v>155</v>
      </c>
      <c r="P100" s="54">
        <f>'Input - Dairy'!$H$18</f>
        <v>600</v>
      </c>
      <c r="Q100" s="54">
        <f>'Input - Dairy'!$I$18</f>
        <v>225</v>
      </c>
      <c r="R100" s="2" t="s">
        <v>147</v>
      </c>
    </row>
    <row r="101" spans="1:18" ht="20.100000000000001" customHeight="1" x14ac:dyDescent="0.25"/>
    <row r="102" spans="1:18" ht="20.100000000000001" customHeight="1" x14ac:dyDescent="0.25">
      <c r="D102" s="101" t="s">
        <v>165</v>
      </c>
      <c r="M102" s="101" t="s">
        <v>167</v>
      </c>
    </row>
    <row r="103" spans="1:18" ht="20.100000000000001" customHeight="1" x14ac:dyDescent="0.25">
      <c r="D103" s="100" t="s">
        <v>166</v>
      </c>
      <c r="M103" s="100" t="s">
        <v>168</v>
      </c>
    </row>
    <row r="104" spans="1:18" ht="20.100000000000001" customHeight="1" x14ac:dyDescent="0.25">
      <c r="D104" s="41" t="s">
        <v>125</v>
      </c>
      <c r="E104" s="41" t="s">
        <v>142</v>
      </c>
      <c r="F104" s="41" t="s">
        <v>143</v>
      </c>
      <c r="G104" s="41" t="s">
        <v>144</v>
      </c>
      <c r="H104" s="41" t="s">
        <v>145</v>
      </c>
      <c r="M104" s="41" t="s">
        <v>125</v>
      </c>
      <c r="N104" s="41" t="s">
        <v>142</v>
      </c>
      <c r="O104" s="41" t="s">
        <v>143</v>
      </c>
      <c r="P104" s="41" t="s">
        <v>144</v>
      </c>
      <c r="Q104" s="41" t="s">
        <v>145</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148</v>
      </c>
      <c r="M105" s="54">
        <f>'Input - Dairy'!$E$19</f>
        <v>1.6E-2</v>
      </c>
      <c r="N105" s="54">
        <f>'Input - Dairy'!$F$19</f>
        <v>0.6</v>
      </c>
      <c r="O105" s="54">
        <f>'Input - Dairy'!$G$19</f>
        <v>0.56999999999999995</v>
      </c>
      <c r="P105" s="54">
        <f>'Input - Dairy'!$H$19</f>
        <v>0.1</v>
      </c>
      <c r="Q105" s="54">
        <f>'Input - Dairy'!$I$19</f>
        <v>0.8</v>
      </c>
      <c r="R105" s="2" t="s">
        <v>148</v>
      </c>
    </row>
    <row r="106" spans="1:18" ht="20.100000000000001" customHeight="1" x14ac:dyDescent="0.25"/>
    <row r="107" spans="1:18" ht="20.100000000000001" customHeight="1" x14ac:dyDescent="0.25">
      <c r="D107" s="101" t="s">
        <v>169</v>
      </c>
    </row>
    <row r="108" spans="1:18" ht="20.100000000000001" customHeight="1" x14ac:dyDescent="0.25">
      <c r="D108" s="100" t="s">
        <v>170</v>
      </c>
    </row>
    <row r="109" spans="1:18" ht="20.100000000000001" customHeight="1" x14ac:dyDescent="0.25">
      <c r="D109" s="53" t="s">
        <v>125</v>
      </c>
      <c r="E109" s="53" t="s">
        <v>142</v>
      </c>
      <c r="F109" s="53" t="s">
        <v>143</v>
      </c>
      <c r="G109" s="53" t="s">
        <v>144</v>
      </c>
      <c r="H109" s="53" t="s">
        <v>145</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91</v>
      </c>
    </row>
    <row r="111" spans="1:18" ht="20.100000000000001" customHeight="1" x14ac:dyDescent="0.25"/>
    <row r="112" spans="1:18" ht="20.100000000000001" customHeight="1" x14ac:dyDescent="0.25">
      <c r="D112" s="101" t="s">
        <v>99</v>
      </c>
      <c r="M112" s="101" t="s">
        <v>100</v>
      </c>
    </row>
    <row r="113" spans="3:19" ht="20.100000000000001" customHeight="1" x14ac:dyDescent="0.25">
      <c r="D113" s="100" t="s">
        <v>184</v>
      </c>
      <c r="M113" s="100" t="s">
        <v>183</v>
      </c>
    </row>
    <row r="114" spans="3:19" ht="20.100000000000001" customHeight="1" x14ac:dyDescent="0.25">
      <c r="D114" s="53" t="s">
        <v>125</v>
      </c>
      <c r="E114" s="53" t="s">
        <v>142</v>
      </c>
      <c r="F114" s="53" t="s">
        <v>143</v>
      </c>
      <c r="G114" s="53" t="s">
        <v>144</v>
      </c>
      <c r="H114" s="53" t="s">
        <v>145</v>
      </c>
      <c r="M114" s="53" t="s">
        <v>125</v>
      </c>
      <c r="N114" s="53" t="s">
        <v>142</v>
      </c>
      <c r="O114" s="53" t="s">
        <v>143</v>
      </c>
      <c r="P114" s="53" t="s">
        <v>144</v>
      </c>
      <c r="Q114" s="53" t="s">
        <v>145</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26</v>
      </c>
      <c r="E124" s="1" t="str" cm="1">
        <f t="array" ref="E124">EntericMethane_Dairy_Equations.VEERG_3_3_1_1__2_DailyEntericMethaneProduction_Variable()</f>
        <v>M_j</v>
      </c>
    </row>
    <row r="125" spans="3:19" ht="20.100000000000001" customHeight="1" x14ac:dyDescent="0.25">
      <c r="D125" s="55" t="s">
        <v>16</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216</v>
      </c>
      <c r="M129" s="101" t="s">
        <v>218</v>
      </c>
    </row>
    <row r="130" spans="3:19" ht="20.100000000000001" customHeight="1" x14ac:dyDescent="0.25">
      <c r="D130" s="100" t="s">
        <v>217</v>
      </c>
      <c r="M130" s="100" t="s">
        <v>219</v>
      </c>
    </row>
    <row r="131" spans="3:19" ht="20.100000000000001" customHeight="1" x14ac:dyDescent="0.25">
      <c r="D131" s="53" t="s">
        <v>125</v>
      </c>
      <c r="E131" s="53" t="s">
        <v>142</v>
      </c>
      <c r="F131" s="53" t="s">
        <v>143</v>
      </c>
      <c r="G131" s="53" t="s">
        <v>144</v>
      </c>
      <c r="H131" s="53" t="s">
        <v>145</v>
      </c>
      <c r="M131" s="53" t="s">
        <v>125</v>
      </c>
      <c r="N131" s="53" t="s">
        <v>142</v>
      </c>
      <c r="O131" s="53" t="s">
        <v>143</v>
      </c>
      <c r="P131" s="53" t="s">
        <v>144</v>
      </c>
      <c r="Q131" s="53" t="s">
        <v>145</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26</v>
      </c>
      <c r="E145" s="1" t="str" cm="1">
        <f t="array" ref="E145">EntericMethane_Dairy_Equations.VEERG_3_3_1_1__1_TotalAnnualMethaneFromEntericFermentation_Variable()</f>
        <v>E_enteric</v>
      </c>
    </row>
    <row r="146" spans="1:9" ht="20.100000000000001" customHeight="1" x14ac:dyDescent="0.25">
      <c r="D146" s="55" t="s">
        <v>16</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96</v>
      </c>
    </row>
    <row r="158" spans="1:9" ht="20.100000000000001" customHeight="1" x14ac:dyDescent="0.25">
      <c r="D158" s="100" t="s">
        <v>220</v>
      </c>
    </row>
    <row r="159" spans="1:9" ht="20.100000000000001" customHeight="1" x14ac:dyDescent="0.25">
      <c r="D159" s="41" t="s">
        <v>125</v>
      </c>
      <c r="E159" s="41" t="s">
        <v>142</v>
      </c>
      <c r="F159" s="41" t="s">
        <v>143</v>
      </c>
      <c r="G159" s="41" t="s">
        <v>144</v>
      </c>
      <c r="H159" s="41" t="s">
        <v>145</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185</v>
      </c>
      <c r="M162" s="101" t="s">
        <v>186</v>
      </c>
    </row>
    <row r="163" spans="4:18" ht="20.100000000000001" customHeight="1" x14ac:dyDescent="0.25">
      <c r="D163" s="100" t="s">
        <v>221</v>
      </c>
      <c r="M163" s="100" t="s">
        <v>223</v>
      </c>
    </row>
    <row r="164" spans="4:18" ht="20.100000000000001" customHeight="1" x14ac:dyDescent="0.25">
      <c r="D164" s="41" t="s">
        <v>125</v>
      </c>
      <c r="E164" s="41" t="s">
        <v>142</v>
      </c>
      <c r="F164" s="41" t="s">
        <v>143</v>
      </c>
      <c r="G164" s="41" t="s">
        <v>144</v>
      </c>
      <c r="H164" s="41" t="s">
        <v>145</v>
      </c>
      <c r="M164" s="41" t="s">
        <v>125</v>
      </c>
      <c r="N164" s="41" t="s">
        <v>142</v>
      </c>
      <c r="O164" s="41" t="s">
        <v>143</v>
      </c>
      <c r="P164" s="41" t="s">
        <v>144</v>
      </c>
      <c r="Q164" s="41" t="s">
        <v>145</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226</v>
      </c>
      <c r="M167" s="101" t="s">
        <v>224</v>
      </c>
    </row>
    <row r="168" spans="4:18" ht="20.100000000000001" customHeight="1" x14ac:dyDescent="0.25">
      <c r="D168" s="100" t="s">
        <v>222</v>
      </c>
      <c r="M168" s="100" t="s">
        <v>225</v>
      </c>
    </row>
    <row r="169" spans="4:18" ht="20.100000000000001" customHeight="1" x14ac:dyDescent="0.25">
      <c r="D169" s="41" t="s">
        <v>125</v>
      </c>
      <c r="E169" s="41" t="s">
        <v>142</v>
      </c>
      <c r="F169" s="41" t="s">
        <v>143</v>
      </c>
      <c r="G169" s="41" t="s">
        <v>144</v>
      </c>
      <c r="H169" s="41" t="s">
        <v>145</v>
      </c>
      <c r="M169" s="41" t="s">
        <v>125</v>
      </c>
      <c r="N169" s="41" t="s">
        <v>142</v>
      </c>
      <c r="O169" s="41" t="s">
        <v>143</v>
      </c>
      <c r="P169" s="41" t="s">
        <v>144</v>
      </c>
      <c r="Q169" s="41" t="s">
        <v>145</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227</v>
      </c>
    </row>
    <row r="173" spans="4:18" ht="20.100000000000001" customHeight="1" x14ac:dyDescent="0.25">
      <c r="D173" s="100" t="s">
        <v>222</v>
      </c>
    </row>
    <row r="174" spans="4:18" ht="20.100000000000001" customHeight="1" x14ac:dyDescent="0.25">
      <c r="D174" s="53" t="s">
        <v>143</v>
      </c>
      <c r="E174" s="53" t="s">
        <v>145</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228</v>
      </c>
      <c r="M177" s="101" t="s">
        <v>228</v>
      </c>
    </row>
    <row r="178" spans="1:18" ht="20.100000000000001" customHeight="1" x14ac:dyDescent="0.25">
      <c r="A178" s="125" t="str">
        <f>HYPERLINK("#A1", "▲ Back to top")</f>
        <v>▲ Back to top</v>
      </c>
      <c r="D178" s="100" t="s">
        <v>229</v>
      </c>
      <c r="M178" s="100" t="s">
        <v>229</v>
      </c>
    </row>
    <row r="179" spans="1:18" ht="20.100000000000001" customHeight="1" x14ac:dyDescent="0.25">
      <c r="D179" s="53" t="s">
        <v>125</v>
      </c>
      <c r="E179" s="53" t="s">
        <v>142</v>
      </c>
      <c r="F179" s="53" t="s">
        <v>143</v>
      </c>
      <c r="G179" s="53" t="s">
        <v>144</v>
      </c>
      <c r="H179" s="53" t="s">
        <v>145</v>
      </c>
      <c r="M179" s="53" t="s">
        <v>125</v>
      </c>
      <c r="N179" s="53" t="s">
        <v>142</v>
      </c>
      <c r="O179" s="53" t="s">
        <v>143</v>
      </c>
      <c r="P179" s="53" t="s">
        <v>144</v>
      </c>
      <c r="Q179" s="53" t="s">
        <v>145</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230</v>
      </c>
      <c r="E182" s="104">
        <f>SUM(D180:H180)</f>
        <v>32.464682683989999</v>
      </c>
      <c r="F182" s="105" t="str">
        <f>$E$146</f>
        <v>t CH4</v>
      </c>
      <c r="M182" s="103" t="s">
        <v>230</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97</v>
      </c>
      <c r="E187" s="48" cm="1">
        <f t="array" ref="E187">Common_Equations.Common_ConvertN2OToCO2e(G184,G185)</f>
        <v>909.01111515171999</v>
      </c>
      <c r="F187" s="107" t="str" cm="1">
        <f t="array" ref="F187">Common_Equations.Common_ConvertN2OToCO2e_Unit()</f>
        <v>t CO2e</v>
      </c>
      <c r="M187" s="48" t="s">
        <v>97</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122</v>
      </c>
      <c r="G5" s="6" t="s">
        <v>123</v>
      </c>
      <c r="J5" s="6" t="s">
        <v>113</v>
      </c>
      <c r="M5" s="1"/>
    </row>
    <row r="6" spans="1:21" ht="20.100000000000001" customHeight="1" x14ac:dyDescent="0.25">
      <c r="A6" s="16"/>
      <c r="M6" s="1"/>
    </row>
    <row r="7" spans="1:21" ht="20.100000000000001" customHeight="1" x14ac:dyDescent="0.25">
      <c r="A7" s="20" t="s">
        <v>1</v>
      </c>
      <c r="D7" s="99" t="s">
        <v>64</v>
      </c>
      <c r="E7" s="39" t="s">
        <v>74</v>
      </c>
      <c r="G7" s="39" t="s">
        <v>112</v>
      </c>
      <c r="J7" s="39" t="s">
        <v>110</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114</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115</v>
      </c>
      <c r="M9" s="1"/>
    </row>
    <row r="10" spans="1:21" ht="20.100000000000001" customHeight="1" x14ac:dyDescent="0.25">
      <c r="A10" s="17"/>
      <c r="D10" s="39" t="str">
        <f>'Constants - Livestock'!$E$13</f>
        <v>Drains to paddock</v>
      </c>
      <c r="E10" s="39" t="str">
        <f>'Constants - Livestock'!$F$13</f>
        <v>Drains to paddock (m=3b)</v>
      </c>
      <c r="J10" s="1" t="s">
        <v>116</v>
      </c>
      <c r="M10" s="1"/>
    </row>
    <row r="11" spans="1:21" ht="20.100000000000001" customHeight="1" x14ac:dyDescent="0.25">
      <c r="A11" s="19" t="s">
        <v>70</v>
      </c>
      <c r="D11" s="39" t="str">
        <f>'Constants - Livestock'!$E$14</f>
        <v>Solid storage</v>
      </c>
      <c r="E11" s="39" t="str">
        <f>'Constants - Livestock'!$F$14</f>
        <v>Solid storage (m=4)</v>
      </c>
      <c r="J11" s="1" t="s">
        <v>117</v>
      </c>
      <c r="M11" s="1"/>
    </row>
    <row r="12" spans="1:21" ht="20.100000000000001" customHeight="1" x14ac:dyDescent="0.25">
      <c r="A12" s="17" t="str">
        <f>HYPERLINK("#'3.3.1.1-2 Enteric Methane'!A1", "3.3.1.1-2 Enteric Methane")</f>
        <v>3.3.1.1-2 Enteric Methane</v>
      </c>
      <c r="J12" s="1" t="s">
        <v>118</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124</v>
      </c>
      <c r="E21" s="39" t="s">
        <v>125</v>
      </c>
      <c r="F21" s="39" t="s">
        <v>126</v>
      </c>
      <c r="G21" s="39" t="s">
        <v>127</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124</v>
      </c>
      <c r="E38" s="39" t="s">
        <v>129</v>
      </c>
      <c r="F38" s="39" t="s">
        <v>128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125</v>
      </c>
      <c r="E46" s="39" t="s">
        <v>126</v>
      </c>
      <c r="F46" s="39" t="s">
        <v>127</v>
      </c>
      <c r="G46" s="39" t="s">
        <v>129</v>
      </c>
      <c r="H46" s="39" t="s">
        <v>128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125</v>
      </c>
      <c r="E54" s="116" t="s">
        <v>126</v>
      </c>
      <c r="F54" s="116" t="s">
        <v>127</v>
      </c>
      <c r="G54" s="116" t="s">
        <v>129</v>
      </c>
      <c r="H54" s="116" t="s">
        <v>128</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130</v>
      </c>
      <c r="E62" s="39" t="s">
        <v>131</v>
      </c>
      <c r="F62" s="39" t="s">
        <v>132</v>
      </c>
      <c r="G62" s="39" t="s">
        <v>133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92</v>
      </c>
      <c r="E72" s="39" t="s">
        <v>75</v>
      </c>
      <c r="F72" s="39" t="s">
        <v>76</v>
      </c>
      <c r="G72" s="39" t="s">
        <v>77</v>
      </c>
      <c r="H72" s="39" t="s">
        <v>78</v>
      </c>
      <c r="I72" s="39" t="s">
        <v>79</v>
      </c>
      <c r="J72" s="39" t="s">
        <v>80</v>
      </c>
      <c r="K72" s="39" t="s">
        <v>81</v>
      </c>
      <c r="L72" s="39" t="s">
        <v>82</v>
      </c>
      <c r="M72" s="39" t="s">
        <v>141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92</v>
      </c>
      <c r="E86" s="39" t="s">
        <v>134</v>
      </c>
      <c r="F86" s="39" t="s">
        <v>135</v>
      </c>
      <c r="G86" s="39" t="s">
        <v>141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130</v>
      </c>
      <c r="E98" s="39" t="s">
        <v>136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130</v>
      </c>
      <c r="E107" s="39" t="s">
        <v>137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138</v>
      </c>
      <c r="E116" s="39" t="s">
        <v>111</v>
      </c>
      <c r="F116" s="39" t="s">
        <v>139</v>
      </c>
      <c r="G116" s="39" t="s">
        <v>140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92</v>
      </c>
      <c r="E128" s="39" t="s">
        <v>134</v>
      </c>
      <c r="F128" s="39" t="s">
        <v>141</v>
      </c>
      <c r="G128" s="108" t="s">
        <v>153</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130</v>
      </c>
      <c r="E141" s="39" t="s">
        <v>151</v>
      </c>
      <c r="F141" s="39" t="s">
        <v>152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Dimensionless</v>
      </c>
      <c r="M208" s="24"/>
    </row>
    <row r="209" spans="1:13" x14ac:dyDescent="0.25">
      <c r="D209" s="55"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5093-53DA-454A-9B4A-8C21A9DD752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18</v>
      </c>
      <c r="E6" s="39" t="s">
        <v>19</v>
      </c>
      <c r="F6" s="39" t="s">
        <v>20</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21</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24</v>
      </c>
      <c r="E36" s="39" t="s">
        <v>25</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24</v>
      </c>
      <c r="E47" s="39" t="s">
        <v>27</v>
      </c>
      <c r="F47" s="39" t="s">
        <v>28</v>
      </c>
      <c r="G47" s="39" t="s">
        <v>29</v>
      </c>
      <c r="H47" s="39" t="s">
        <v>30</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7</v>
      </c>
      <c r="E63" s="39" t="s">
        <v>45</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7</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86</v>
      </c>
      <c r="E134" t="s">
        <v>87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187</v>
      </c>
      <c r="E142" s="39" t="s">
        <v>87</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107</v>
      </c>
      <c r="E186" s="39" t="s">
        <v>108</v>
      </c>
      <c r="F186" s="39" t="s">
        <v>109</v>
      </c>
      <c r="G186" s="39" t="s">
        <v>110</v>
      </c>
      <c r="H186" s="39" t="s">
        <v>32</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7</v>
      </c>
      <c r="E206" s="39" t="s">
        <v>189</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194</v>
      </c>
      <c r="E212" s="39" t="s">
        <v>195</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49</v>
      </c>
      <c r="E231" s="39" t="s">
        <v>197</v>
      </c>
      <c r="F231" s="38" t="s">
        <v>198</v>
      </c>
      <c r="G231" s="39" t="s">
        <v>199</v>
      </c>
      <c r="H231" s="39" t="s">
        <v>200</v>
      </c>
      <c r="I231" s="39" t="s">
        <v>201</v>
      </c>
      <c r="J231" s="39" t="s">
        <v>202</v>
      </c>
      <c r="K231" s="39" t="s">
        <v>203</v>
      </c>
      <c r="L231" s="39" t="s">
        <v>204</v>
      </c>
      <c r="M231" s="39" t="s">
        <v>205</v>
      </c>
      <c r="N231" s="39" t="s">
        <v>206</v>
      </c>
      <c r="O231" s="39" t="s">
        <v>207</v>
      </c>
      <c r="P231" s="39" t="s">
        <v>208</v>
      </c>
      <c r="Q231" s="39" t="s">
        <v>209</v>
      </c>
      <c r="R231" s="39" t="s">
        <v>210</v>
      </c>
      <c r="S231" s="39" t="s">
        <v>211</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248</v>
      </c>
      <c r="E257" s="39" t="s">
        <v>249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72</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73</v>
      </c>
      <c r="E8" s="39" t="s">
        <v>17</v>
      </c>
      <c r="F8" s="39" t="s">
        <v>74</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70</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57</vt:i4>
      </vt:variant>
    </vt:vector>
  </HeadingPairs>
  <TitlesOfParts>
    <vt:vector size="67"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2026-07-22T06:32:18Z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