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3DBEC3E-37F8-4A87-805B-F292D3CD4DA5}" xr6:coauthVersionLast="47" xr6:coauthVersionMax="47" xr10:uidLastSave="{00000000-0000-0000-0000-000000000000}"/>
  <bookViews>
    <workbookView xWindow="4680" yWindow="4680" windowWidth="28800" windowHeight="15345" activeTab="5"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4" a="1"/>
  <c r="E259" i="104" s="1"/>
  <c r="D259" i="104" a="1"/>
  <c r="D259" i="104" s="1"/>
  <c r="E258" i="104" a="1"/>
  <c r="E258" i="104" s="1"/>
  <c r="D258" i="104" a="1"/>
  <c r="D258" i="104" s="1"/>
  <c r="D256" i="104"/>
  <c r="D256" i="104" a="1"/>
  <c r="D255" i="104" a="1"/>
  <c r="D255" i="104" s="1"/>
  <c r="D254" i="104"/>
  <c r="D254" i="104" a="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H52" i="104" l="1"/>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O65" i="69" l="1" a="1"/>
  <c r="O65" i="69" s="1"/>
  <c r="N65" i="69" a="1"/>
  <c r="N65" i="69" s="1"/>
  <c r="F60" i="69"/>
  <c r="E60" i="69"/>
  <c r="D60" i="69"/>
  <c r="M65" i="69" s="1" a="1"/>
  <c r="M65" i="69" s="1"/>
  <c r="F55" i="69"/>
  <c r="E55" i="69"/>
  <c r="D55" i="69"/>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<sst xmlns="http://schemas.openxmlformats.org/spreadsheetml/2006/main" count="287" uniqueCount="186">
  <si>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</si>
  <si>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</si>
  <si>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</si>
  <si>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</si>
  <si>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</si>
  <si>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</si>
  <si>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</si>
  <si>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</si>
  <si>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</si>
  <si>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</si>
  <si>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</si>
  <si>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</si>
  <si>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</si>
  <si>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</si>
  <si>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</si>
  <si>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</si>
  <si>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</si>
  <si>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</si>
  <si>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</si>
  <si>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</si>
  <si>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</si>
  <si>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</si>
  <si>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</si>
  <si>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</si>
  <si>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</si>
  <si>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</si>
  <si>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</si>
  <si>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</si>
  <si>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</si>
  <si>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</si>
  <si>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</si>
  <si>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</si>
  <si>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</si>
  <si>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</si>
  <si>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</si>
  <si>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</si>
  <si>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</si>
  <si>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</si>
  <si>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</si>
  <si>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</si>
  <si>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</si>
  <si>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</si>
  <si>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</si>
  <si>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</si>
  <si>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</si>
  <si>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</si>
  <si>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</si>
  <si>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</si>
  <si>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</si>
  <si>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</si>
  <si>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</si>
  <si>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</si>
  <si>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</si>
  <si>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</si>
  <si>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</si>
  <si>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</si>
  <si>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</si>
  <si>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</si>
  <si>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</si>
  <si>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</si>
  <si>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</si>
  <si>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</si>
  <si>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</si>
  <si>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</si>
  <si>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</si>
  <si>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</si>
  <si>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</si>
  <si>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</si>
  <si>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</si>
  <si>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</si>
  <si>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</si>
  <si>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</si>
  <si>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</si>
  <si>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</si>
  <si>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</si>
  <si>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</si>
  <si>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</si>
  <si>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</si>
  <si>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</si>
  <si>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</si>
  <si>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</si>
  <si>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</si>
  <si>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</si>
  <si>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</si>
  <si>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</si>
  <si>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</si>
  <si>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</si>
  <si>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</si>
  <si>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Table_E_CH4</t>
  </si>
  <si>
    <t>Methane emissions for each group, MMS and treatment stage</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</si>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</sst>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140</v>
      </c>
      <c r="K7" s="24"/>
      <c r="L7" s="24"/>
    </row>
    <row r="8" spans="1:12" ht="20.100000000000001" customHeight="1" x14ac:dyDescent="0.3">
      <c r="A8" s="17" t="str">
        <f>HYPERLINK("#'Input - Site'!A1", "Site")</f>
        <v>Site</v>
      </c>
      <c r="C8" s="24"/>
      <c r="D8" s="31" t="s">
        <v>127</v>
      </c>
      <c r="E8" s="25"/>
      <c r="F8" s="31"/>
      <c r="G8" s="31"/>
      <c r="H8" s="99">
        <f>SUM(H7:H7)</f>
        <v>1035.8779200000004</v>
      </c>
      <c r="I8" s="99">
        <f>SUM(I7:I7)</f>
        <v>1208.5864000000001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184</v>
      </c>
      <c r="F7" s="2"/>
    </row>
    <row r="8" spans="1:24" ht="20.100000000000001" customHeight="1" x14ac:dyDescent="0.25">
      <c r="A8" s="21" t="str">
        <f>HYPERLINK("#'Input - Site'!A1", "Site")</f>
        <v>Site</v>
      </c>
      <c r="D8" s="10" t="s">
        <v>53</v>
      </c>
      <c r="E8" s="33" t="s">
        <v>185</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143</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v>10.4</v>
      </c>
      <c r="F19" s="61">
        <v>11.2</v>
      </c>
      <c r="G19" s="61">
        <v>12</v>
      </c>
      <c r="H19" s="2" t="s">
        <v>79</v>
      </c>
      <c r="I19" s="2"/>
    </row>
    <row r="20" spans="1:11" ht="20.100000000000001" customHeight="1" x14ac:dyDescent="0.25">
      <c r="D20" s="1" t="s">
        <v>161</v>
      </c>
      <c r="E20" s="61">
        <v>4.9000000000000004</v>
      </c>
      <c r="F20" s="61">
        <v>5.0999999999999996</v>
      </c>
      <c r="G20" s="61">
        <v>5.6</v>
      </c>
      <c r="H20" s="2" t="s">
        <v>144</v>
      </c>
      <c r="I20" s="2"/>
      <c r="J20" s="2"/>
      <c r="K20" s="2"/>
    </row>
    <row r="21" spans="1:11" ht="20.100000000000001" customHeight="1" x14ac:dyDescent="0.25">
      <c r="A21" s="17"/>
      <c r="D21" s="1" t="s">
        <v>162</v>
      </c>
      <c r="E21" s="61">
        <v>23</v>
      </c>
      <c r="F21" s="61">
        <v>23</v>
      </c>
      <c r="G21" s="61">
        <v>25</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abSelected="1" topLeftCell="A46" zoomScaleNormal="100" workbookViewId="0">
      <selection activeCell="E67" sqref="E6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96</v>
      </c>
      <c r="E54" s="39" t="s">
        <v>97</v>
      </c>
      <c r="F54" s="39" t="s">
        <v>98</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96</v>
      </c>
      <c r="E59" s="39" t="s">
        <v>97</v>
      </c>
      <c r="F59" s="39" t="s">
        <v>98</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88</v>
      </c>
      <c r="M62" s="86" t="s">
        <v>88</v>
      </c>
    </row>
    <row r="63" spans="4:15" ht="20.100000000000001" customHeight="1" x14ac:dyDescent="0.25">
      <c r="D63" s="85" t="s">
        <v>89</v>
      </c>
      <c r="M63" s="85" t="s">
        <v>89</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175</v>
      </c>
      <c r="E67" s="90">
        <f>SUM(D65:F65)</f>
        <v>36.995640000000009</v>
      </c>
      <c r="F67" s="91" t="str">
        <f>$E$46</f>
        <v>t CH4</v>
      </c>
      <c r="M67" s="89" t="s">
        <v>176</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1035.8779200000004</v>
      </c>
      <c r="F72" s="93" t="str" cm="1">
        <f t="array" ref="F72">Common_Equations.Common_ConvertN2OToCO2e_Unit()</f>
        <v>t CO2e</v>
      </c>
      <c r="M72" s="45" t="s">
        <v>113</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B78" workbookViewId="0">
      <selection activeCell="I89" sqref="I89:M9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119</v>
      </c>
      <c r="J25" s="6" t="s">
        <v>121</v>
      </c>
      <c r="M25" s="1"/>
    </row>
    <row r="26" spans="1:13" ht="20.100000000000001" customHeight="1" x14ac:dyDescent="0.25">
      <c r="M26" s="1"/>
    </row>
    <row r="27" spans="1:13" ht="20.100000000000001" customHeight="1" x14ac:dyDescent="0.25">
      <c r="D27" s="84" t="s">
        <v>49</v>
      </c>
      <c r="E27" s="37" t="s">
        <v>61</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10</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10</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104</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105</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2026-06-10T11:44:24Z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