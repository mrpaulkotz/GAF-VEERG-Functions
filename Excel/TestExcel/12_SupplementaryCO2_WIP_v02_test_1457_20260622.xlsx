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DA2E1A8-D534-45FD-9AFD-5B6E49F3A86B}" xr6:coauthVersionLast="47" xr6:coauthVersionMax="47" xr10:uidLastSave="{00000000-0000-0000-0000-000000000000}"/>
  <bookViews>
    <workbookView xWindow="1020" yWindow="0" windowWidth="34605" windowHeight="18645" activeTab="4"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2"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 name="VEERG_12_1_1_1__1_EmissionsFromSupplementaryCO2_Result_Method1">'12.1.1-2 Supplementary CO2'!$E$15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2" l="1" a="1"/>
  <c r="E259" i="122" s="1"/>
  <c r="D259" i="122" a="1"/>
  <c r="D259" i="122" s="1"/>
  <c r="E258" i="122" a="1"/>
  <c r="E258" i="122" s="1"/>
  <c r="D258" i="122" a="1"/>
  <c r="D258" i="122" s="1"/>
  <c r="D256" i="122" a="1"/>
  <c r="D256" i="122" s="1"/>
  <c r="D255" i="122"/>
  <c r="D255" i="122" a="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c r="D211" i="122" a="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a="1"/>
  <c r="D174" i="122" s="1"/>
  <c r="D173" i="122" a="1"/>
  <c r="D173" i="122" s="1"/>
  <c r="D170" i="122" a="1"/>
  <c r="D170" i="122" s="1"/>
  <c r="D169" i="122" a="1"/>
  <c r="D169" i="122" s="1"/>
  <c r="D168" i="122" a="1"/>
  <c r="D168" i="122" s="1"/>
  <c r="D167" i="122"/>
  <c r="D167" i="122" a="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c r="D82" i="122" a="1"/>
  <c r="D81" i="122"/>
  <c r="D81" i="122" a="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A14" i="69"/>
  <c r="A11" i="69"/>
  <c r="A8" i="69"/>
  <c r="A5" i="69"/>
  <c r="A4" i="69"/>
  <c r="A3" i="69"/>
  <c r="A14" i="70"/>
  <c r="A11" i="70"/>
  <c r="A8" i="70"/>
  <c r="A5" i="70"/>
  <c r="A4" i="70"/>
  <c r="A3" i="70"/>
  <c r="A14" i="13"/>
  <c r="A11" i="13"/>
  <c r="A8" i="13"/>
  <c r="A5" i="13"/>
  <c r="A4" i="13"/>
  <c r="A3" i="13"/>
  <c r="A8" i="118"/>
  <c r="A11" i="118"/>
  <c r="I13" i="69"/>
  <c r="E15" i="69" s="1" a="1"/>
  <c r="E15" i="69" s="1"/>
  <c r="E9" i="13" s="1"/>
  <c r="E10" i="13" s="1"/>
  <c r="G13" i="69" a="1"/>
  <c r="G13" i="69" s="1"/>
  <c r="D13" i="69" a="1"/>
  <c r="D13" i="69" s="1"/>
  <c r="E11" i="69" a="1"/>
  <c r="E11" i="69" s="1"/>
  <c r="F15" i="69" s="1"/>
  <c r="E10" i="69" a="1"/>
  <c r="E10" i="69" s="1"/>
  <c r="D6" i="69" a="1"/>
  <c r="D6" i="69" s="1"/>
  <c r="D5" i="69" a="1"/>
  <c r="D5" i="69" s="1"/>
  <c r="E7" i="69" a="1"/>
  <c r="H50" i="122" l="1"/>
  <c r="H52" i="122"/>
  <c r="H53" i="122"/>
  <c r="H49" i="122"/>
  <c r="H48" i="122"/>
  <c r="H51" i="122"/>
  <c r="H54" i="122"/>
  <c r="E7" i="69"/>
  <c r="F9" i="13" l="1"/>
  <c r="F10" i="13" s="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<sst xmlns="http://schemas.openxmlformats.org/spreadsheetml/2006/main" count="116" uniqueCount="98">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</sst>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SupplementaryCO2" displayName="Table_Input_SupplementaryCO2"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FA86D-B928-4343-A1C3-8AACEDBA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C65857-1762-4DED-831A-06826FC8E599}" name="State/Territory">
      <calculatedColumnFormula array="1">Common_InputFunctions.Utility_DisplayArrayInTable(Common_SourceData.Common_SourceData_AustralianStatesTerritories_Data(),Table_AustralianStates[[#Headers],[State/Territory]],0)</calculatedColumnFormula>
    </tableColumn>
    <tableColumn id="2" xr3:uid="{FE185B29-9557-4581-BF86-603C43AB533D}" name="Common Name">
      <calculatedColumnFormula array="1">Common_InputFunctions.Utility_DisplayArrayInTable(Common_SourceData.Common_SourceData_AustralianStatesTerritories_Data(),Table_AustralianStates[[#Headers],[State/Territory]],0)</calculatedColumnFormula>
    </tableColumn>
    <tableColumn id="3" xr3:uid="{2A95011F-50D1-4289-9E7F-3DF967FE98B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9D36B-5E63-4974-A793-136379A355A9}" name="Table_WASA4Areas" displayName="Table_WASA4Areas" ref="D20:D30" totalsRowShown="0">
  <autoFilter ref="D20:D30" xr:uid="{5FA81339-C6C8-4D36-BEEA-6C4AEDD9E676}">
    <filterColumn colId="0" hiddenButton="1"/>
  </autoFilter>
  <tableColumns count="1">
    <tableColumn id="1" xr3:uid="{9C5723D8-D0B4-4125-9BBC-4DDD424173F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E9EAB-5015-4060-9BC2-2CD8F0DDFF50}" name="Table_GWPData" displayName="Table_GWPData" ref="D36:E43" totalsRowShown="0">
  <autoFilter ref="D36:E43" xr:uid="{B8E87A66-3E41-4AD3-925D-01EE21B43D7A}">
    <filterColumn colId="0" hiddenButton="1"/>
    <filterColumn colId="1" hiddenButton="1"/>
  </autoFilter>
  <tableColumns count="2">
    <tableColumn id="1" xr3:uid="{4001CBA9-F4A3-4C7D-A275-B1BA3E362739}" name="Gas">
      <calculatedColumnFormula array="1">Common_InputFunctions.Utility_DisplayArrayInTable(Common_SourceData.Common_SourceData_GWP_Data(), Table_GWPData[[#Headers],[Gas]], 0)</calculatedColumnFormula>
    </tableColumn>
    <tableColumn id="2" xr3:uid="{3AD90266-42FF-4CC8-A75A-9C805610DB6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444C88D-010B-4CAA-8EC7-6D34E52C3F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A8C0CFA-3DE9-498C-966D-6B244E120A7E}" name="Gas">
      <calculatedColumnFormula array="1">Common_InputFunctions.Utility_DisplayArrayInTable(Common_SourceData.Common_SourceData_ConvertGasElementalToMolecular_Data(),Table_GasToMolecularConversionFactor[[#Headers],[Gas]], 0)</calculatedColumnFormula>
    </tableColumn>
    <tableColumn id="5" xr3:uid="{92DAC899-6F8B-4D13-8C45-81CFF6F286F1}" name="Conversion factor">
      <calculatedColumnFormula array="1">Common_InputFunctions.Utility_DisplayArrayInTable(Common_SourceData.Common_SourceData_ConvertGasElementalToMolecular_Data(),Table_GasToMolecularConversionFactor[[#Headers],[Gas]], 0)</calculatedColumnFormula>
    </tableColumn>
    <tableColumn id="2" xr3:uid="{28F8688B-CF96-482A-8C40-08352695568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70A909-8C13-47E9-AD96-8C67877643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70556D-4DF6-4786-BA8A-09C654C17D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81EDDAF-7F9B-48B0-A342-31E9122F53D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40750F-7330-456A-BB21-E3EFB28683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E66C4A-4479-4A17-B98A-2F53B0DF4466}" name="MA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3" xr3:uid="{B9FC8F4B-35F5-4F7B-8E1C-CE583C7FC041}" name="MA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4" xr3:uid="{380F7CFF-6056-41A6-BF80-BBCCEE00662F}" name="Frost days per year"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5" xr3:uid="{02CC8E12-B022-4DEC-B7E6-726532DF5644}" name="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6" xr3:uid="{115D7C7A-B275-48F4-8B1D-23731CD5E9FD}" name="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7" xr3:uid="{4116C12D-F410-4E10-93F9-6434C598BA9E}" name="Min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8" xr3:uid="{540A3023-64D8-4CEB-8D95-A6D179AA549E}" name="Max tem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9" xr3:uid="{D64547E2-0462-4E06-854A-CCF17A6318D7}" name="Min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0" xr3:uid="{655EDD60-857F-42AC-A2BF-DEC3DFB090B0}" name="Max rainfall"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1" xr3:uid="{7278EB04-7DA4-4E3B-919C-4FEB67D4C659}" name="Min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5" xr3:uid="{BE43C499-B1F6-40CB-823D-961D21AEEAA3}" name="Max frost days"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2" xr3:uid="{D03997E9-53F2-4697-B878-CFFFC9520B10}" name="Min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6" xr3:uid="{C44A8FA0-40DC-4D7B-94F7-F219584A1AD7}" name="Max elevation"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3" xr3:uid="{A2246660-C845-4D9C-9366-7ECECC01DF7C}" name="Min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7" xr3:uid="{AB61D1E6-3618-40D8-826C-ABEBBE7DF2B0}" name="Max 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EBC0E9-F0EE-409B-B02B-65F95E0DBD1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DD4BB3-ABE2-4C86-A881-C32DBDC5DA0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6850548-4D06-4192-95CD-9B52C1BD5D14}" name="Wet or Dry Zone" totalsRowDxfId="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CD1AF7-0F5B-4776-A34C-5F60347B0D6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A691C71-D51E-4A4F-8321-B70D5A2166C7}" name="Temperature Zone">
      <calculatedColumnFormula array="1">Common_InputFunctions.Utility_DisplayArrayInTable(Common_SourceData.Common_SourceData_TemperatureZones_Data(),Table_SourceData_TemperatureZones[[#Headers],[Temperature Zone]],0)</calculatedColumnFormula>
    </tableColumn>
    <tableColumn id="2" xr3:uid="{5E81B5F6-3184-4C46-B272-8A55D7855886}" name="MAT">
      <calculatedColumnFormula array="1">Common_InputFunctions.Utility_DisplayArrayInTable(Common_SourceData.Common_SourceData_TemperatureZones_Data(),Table_SourceData_TemperatureZones[[#Headers],[Temperature Zone]],0)</calculatedColumnFormula>
    </tableColumn>
    <tableColumn id="3" xr3:uid="{B59D4E84-94D9-4E61-A29D-6B62F741B5BA}" name="Min MAT">
      <calculatedColumnFormula array="1">Common_InputFunctions.Utility_DisplayArrayInTable(Common_SourceData.Common_SourceData_TemperatureZones_Data(),Table_SourceData_TemperatureZones[[#Headers],[Temperature Zone]],0)</calculatedColumnFormula>
    </tableColumn>
    <tableColumn id="4" xr3:uid="{BBD14DC8-B942-4A1D-9E63-811222BB9D5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977CA12-7C95-4E57-894A-0768785E4B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140A975-6A60-4280-BCE4-6B97A4BAA3EC}" name="Rainfall Zone">
      <calculatedColumnFormula array="1">Common_InputFunctions.Utility_DisplayArrayInTable(Common_SourceData.Common_SourceData_RainfallZones_Data(),Table_SourceData_RainfallZones[[#Headers],[Rainfall Zone]],0)</calculatedColumnFormula>
    </tableColumn>
    <tableColumn id="2" xr3:uid="{ABCF8B7A-FBDB-4E6C-BEA6-908DC8354C80}" name="Annual rainfall">
      <calculatedColumnFormula array="1">Common_InputFunctions.Utility_DisplayArrayInTable(Common_SourceData.Common_SourceData_RainfallZones_Data(),Table_SourceData_RainfallZones[[#Headers],[Rainfall Zone]],0)</calculatedColumnFormula>
    </tableColumn>
    <tableColumn id="3" xr3:uid="{64A764CC-9EBF-4E70-88E8-EA1D64C310D4}" name="Min rainfall">
      <calculatedColumnFormula array="1">Common_InputFunctions.Utility_DisplayArrayInTable(Common_SourceData.Common_SourceData_RainfallZones_Data(),Table_SourceData_RainfallZones[[#Headers],[Rainfall Zone]],0)</calculatedColumnFormula>
    </tableColumn>
    <tableColumn id="4" xr3:uid="{94CC1A4B-3582-43CC-86D9-A0C469CEAF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28F2C4-8AF6-4785-8C6B-CEC2944CC2F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94900B6-3C87-45A7-8EDB-09A3701C2F93}" name="Leaching Zone">
      <calculatedColumnFormula array="1">Common_InputFunctions.Utility_DisplayArrayInTable(Common_SourceData.Common_SourceData_LeachingZones_Data(), Table_SourceData_LeachingZones[[#Headers],[Leaching Zone]], 0)</calculatedColumnFormula>
    </tableColumn>
    <tableColumn id="2" xr3:uid="{A05DBB6D-CE50-4268-9475-32BE9CA691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3B68031-FE71-4BE0-8C8E-1D599536502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FC876BB-4FDA-45B1-B871-317669F4973F}" name="Data source">
      <calculatedColumnFormula array="1">Common_InputFunctions.Utility_DisplayArrayInTable(Common_SourceData.Common_SourceData_DataScores_Scope3_Data(), Table_SourceData_DataScores_Scope3[[#Headers],[Data source]], 0)</calculatedColumnFormula>
    </tableColumn>
    <tableColumn id="2" xr3:uid="{E64587BC-B612-4C18-AC5F-429A1FF4262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A617B9-FF3E-410C-96A5-4B66BB130A02}" name="Table_SourceData_FracWET" displayName="Table_SourceData_FracWET" ref="D134:E136" totalsRowShown="0">
  <autoFilter ref="D134:E136" xr:uid="{308E99BE-FE1F-47A4-B2CA-97217277C4E9}">
    <filterColumn colId="0" hiddenButton="1"/>
    <filterColumn colId="1" hiddenButton="1"/>
  </autoFilter>
  <tableColumns count="2">
    <tableColumn id="1" xr3:uid="{94E6DCBF-2F6C-4DEA-850E-1257E85423A4}" name="Is in leaching zone">
      <calculatedColumnFormula array="1">Common_InputFunctions.Utility_DisplayArrayInTable(Common_SourceData.Common_SourceData_FracWET_Data(),Table_SourceData_FracWET[[#Headers],[Is in leaching zone]],0)</calculatedColumnFormula>
    </tableColumn>
    <tableColumn id="2" xr3:uid="{C9F029D9-51B8-4816-85D5-3441B1755CA7}" name="FracWET" dataDxfId="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48ECC07-43ED-47BD-8BF7-B67C65717D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4FDCC6-81B1-46EB-A1CB-1E21FDEA30A7}" name="Production system j">
      <calculatedColumnFormula array="1">Common_InputFunctions.Utility_DisplayArrayInTable(Common_SourceData.Common_SourceData_EFN2O_Data(), Table_SourceData_Common_EFN2O[[#Headers],[Production system j]], 0)</calculatedColumnFormula>
    </tableColumn>
    <tableColumn id="2" xr3:uid="{CC0A441B-D022-4CA6-8354-A69834BFBFD8}" name="EFN2O">
      <calculatedColumnFormula array="1">Common_InputFunctions.Utility_DisplayArrayInTable(Common_SourceData.Common_SourceData_EFN2O_Data(), Table_SourceData_Common_EFN2O[[#Headers],[Production system j]], 0)</calculatedColumnFormula>
    </tableColumn>
    <tableColumn id="3" xr3:uid="{40564AE7-BB66-48AF-B3BC-88D951DDE7ED}" name="Production system only">
      <calculatedColumnFormula array="1">Common_InputFunctions.Utility_DisplayArrayInTable(Common_SourceData.Common_SourceData_EFN2O_Data(), Table_SourceData_Common_EFN2O[[#Headers],[Production system j]], 0)</calculatedColumnFormula>
    </tableColumn>
    <tableColumn id="4" xr3:uid="{3A8B2D33-5F9F-460C-93FA-C0088B196858}" name="Irrigation method">
      <calculatedColumnFormula array="1">Common_InputFunctions.Utility_DisplayArrayInTable(Common_SourceData.Common_SourceData_EFN2O_Data(), Table_SourceData_Common_EFN2O[[#Headers],[Production system j]], 0)</calculatedColumnFormula>
    </tableColumn>
    <tableColumn id="5" xr3:uid="{43884D9C-CB71-47BA-ADBF-C46278659C6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75122A-64DD-44AC-906A-4556B88FCA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14E6C27-AEC4-4F58-94DF-EB6BF6F8DEE2}" name="Irrigation type i">
      <calculatedColumnFormula array="1">Common_InputFunctions.Utility_DisplayArrayInTable(Common_SourceData.Common_SourceData_FracWETIrrigation_Data(), Table_SourceData_FracWETIrrigation[[#Headers],[Irrigation type i]], 0)</calculatedColumnFormula>
    </tableColumn>
    <tableColumn id="2" xr3:uid="{B95AAA77-7FB1-4F2D-8530-6B063DBAAC65}" name="FracWET" dataDxfId="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8CC38B-BA4A-461A-8A4A-F73E8E89079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2812ECF-2BDF-479B-BDD0-ABDD9D181FA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379345-454B-47D5-B6BF-10AC3FD1C963}" name="EFPRP" dataDxfId="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13A3BB-DB3F-4651-BAF5-B2BC62FF86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B089BF-12E1-4543-87BC-10C6A0C6FFD9}" name="Month">
      <calculatedColumnFormula array="1">Common_InputFunctions.Utility_DisplayArrayInTable(Common_SourceData.Common_SourceData_MonthsToSeasons_Data(), Table_SourceData_Common_MonthToSeason[[#Headers],[Month]], 0)</calculatedColumnFormula>
    </tableColumn>
    <tableColumn id="2" xr3:uid="{1F8FDC7C-6656-4185-B6E7-8E523E08EB97}" name="Season" dataDxfId="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B579B7F-3F35-4411-A973-C63A8EB5078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ADC392C-5850-4DF1-B61E-AD89C6F0C73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B6F7FCE-22AE-4D28-A913-77E6DA4EEDBA}" name="MAT (ºC)"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CC30B5-CFBC-4FBD-A997-7404CA96F1DC}" name="Anaerobic lago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377B2BA-D9A3-4F3B-9CDA-463B9C7C6D0B}" name="Digester / covered lagoon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F8FE17C-A26D-4015-8DE7-8A0284CCF305}" name="Liquid systems"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35544B6-26CF-4063-8B41-14ACFA814834}" name="Daily spread"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D337F61-FBEF-437D-B2EA-429DF88BF98B}" name="Composting (passive windro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316A78-DAB2-4C8A-BD7A-5BAB30008B7C}" name="Solid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235F5C-8782-4085-ACE9-5581BEFF0447}" name="Pit storage"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2BDA5BE-621D-463B-8C21-FE2122E0D19D}" name="Deep litter"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9BA2F9-19A1-47F2-B204-07445F32B7EA}" name="Poultry manure with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843EC54-CAD6-4A10-8170-CA7C4C5ED5F5}" name="Poultry manure without bedd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DE32C71-B502-409B-928F-750CCA16648F}" name="Direct processing"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7CA3685-3894-4D69-B24B-CA075337B41C}" name="Direct applicati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9559C44-EEE8-4D8F-A9A8-FCC203F32BB3}" name="Pasture range and paddock"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B87B0B-81DA-4A7A-9AF4-43E1B0D7455E}" name="MAT raw"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E617B26-18D0-4AFA-82FE-00AED090041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B5A1BF0-2654-4654-A005-25B68250353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C92C861-4FEA-4BB5-A89C-E12CFC7C9D9E}" name="EFNi &amp; EFN2Oi" dataDxfId="1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10" sqref="F1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'12.1.1-2 Supplementary CO2'!E15</f>
        <v>0.2</v>
      </c>
      <c r="F9" s="55">
        <f>E9</f>
        <v>0.2</v>
      </c>
      <c r="G9" s="29" t="s">
        <v>95</v>
      </c>
      <c r="H9" s="18"/>
    </row>
    <row r="10" spans="1:8" ht="20.100000000000001" customHeight="1" x14ac:dyDescent="0.3">
      <c r="A10" s="15" t="s">
        <v>45</v>
      </c>
      <c r="C10" s="18"/>
      <c r="D10" s="24" t="s">
        <v>55</v>
      </c>
      <c r="E10" s="39">
        <f>SUM(E9:E9)</f>
        <v>0.2</v>
      </c>
      <c r="F10" s="39">
        <f>SUM(F9:F9)</f>
        <v>0.2</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tabSelected="1" zoomScaleNormal="100" workbookViewId="0">
      <selection activeCell="E15" sqref="E15"/>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SUM(Table_Input_SupplementaryCO2[Amount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DFF2-3D95-47BA-886B-648B3235344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29" t="str" cm="1">
        <f t="array" ref="D99:D102">Common_SourceData.Common_SourceData_ClimateZones_Appendices()</f>
        <v>Note:</v>
      </c>
    </row>
    <row r="100" spans="4:20" ht="20.100000000000001" customHeight="1" x14ac:dyDescent="0.25">
      <c r="D100" s="29" t="str">
        <v>MAT = mean annual temperature</v>
      </c>
    </row>
    <row r="101" spans="4:20" ht="20.100000000000001" customHeight="1" x14ac:dyDescent="0.25">
      <c r="D101" s="29" t="str">
        <v>MAP = mean annual precipitation</v>
      </c>
    </row>
    <row r="102" spans="4:20" ht="20.100000000000001" customHeight="1" x14ac:dyDescent="0.25">
      <c r="D102" s="29" t="str">
        <v>PET = potential evapotranspiration</v>
      </c>
    </row>
    <row r="103" spans="4:20" ht="20.100000000000001" customHeight="1" x14ac:dyDescent="0.25">
      <c r="D103" s="29"/>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1AHAAcABsAGUAbQBlAG4AdABhAHIAeQBDAE8AMgBfAEUAcQB1AGEAdABpAG8AbgBzACIALAAiAHQAZQB4AHQAIgA6ACIALwAqAFwAbgA9AD0APQA9AD0APQA9AD0APQA9AD0APQA9AD0APQA9AD0APQA9AD0APQA9AD0APQA9AD0APQA9AD0APQA9AD0APQA9AD0APQA9AD0APQA9AD0APQA9AD0APQA9AD0APQA9AD0APQA9AD0APQA9AD0APQA9AD0APQA9AD0APQA9AD0APQA9AD0APQA9AD0APQA9AD0APQA9AFwAbgAxADIALgAxADoAIABTAHUAcABwAGwAZQBtAGUAbgB0AGEAcgB5ACAAQwBPADIAXABuAD0APQA9AD0APQA9AD0APQA9AD0APQA9AD0APQA9AD0APQA9AD0APQA9AD0APQA9AD0APQA9AD0APQA9AD0APQA9AD0APQA9AD0APQA9AD0APQA9AD0APQA9AD0APQA9AD0APQA9AD0APQA9AD0APQA9AD0APQA9AD0APQA9AD0APQA9AD0APQA9AD0APQA9AD0APQA9AD0AXABuADEAMgAuADEALgAxAC4AMQAgAE0AZQB0AGgAbwBkACAAMQAgAC0AIABTAHUAcABwAGwAZQBtAGUAbgB0AGEAcgB5ACAAQwBPADI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IAXwAxAF8AMQBfADEAXwBfADEAXwBFAG0AaQBzAHMAaQBvAG4AcwBGAHIAbwBtAFMAdQBwAHAAbABlAG0AZQBuAHQAYQByAHkAQwBPADIAXABuAEUAbQBpAHMAcwBpAG8AbgBzACAAZgByAG8AbQAgAHQAaABlACAAdQBzAGUAIABvAGYAIABzAHUAcABwAGwAZQBtAGUAbgB0AGEAcgB5ACAAQwBPADIAXABuAEUAXABuAHQAIABDAE8AMgBlAFwAbgBFAD0AUQBcAFwAdABpAG0AZQBzACAAMQAwAF4AewAtADMAfQBcAG4AUQAgAD0AIABxAHUAYQBuAHQAaQB0AHkAIABvAGYAIABzAHUAcABwAGwAZQBtAGUAbgB0AGEAcgB5ACAAQwBPADIAIAB1AHMAZQBkACAAdwBpAHQAaABpAG4AIAB0AGgAZQAgAG8AcABlAHIAYQB0AGkAbwBuAHMAIAAoAGsAZwAgAEMATwAyACkAXABuAC0ALQAtAC0ALQAtAC0ALQAtAC0ALQAtAC0ALQAtAC0ALQAtAC0ALQAtAC0ALQAtAC0ALQAtAC0ALQAtAC0ALQAtAC0ALQAtAC0ALQBcAG4AKgAvAFwAbgBcAG4AVgBFAEUAUgBHAF8AMQAyAF8AMQBfADEAXwAxAF8AXwAxAF8ARQBtAGkAcwBzAGkAbwBuAHMARgByAG8AbQBTAHUAcABwAGwAZQBtAGUAbgB0AGEAcgB5AEMATwAyAFwAbgAgACAAPQBMAEEATQBCAEQAQQAoAFwAbgAgACAAIAAgAFEALABcAG4AIAAgACAAIABRACAAKgAgADEAMAAgAF4AIAAtADMAXABuACAAIAApADsAXABuAFwAbgBWAEUARQBSAEcAXwAxADIAXwAxAF8AMQBfADEAXwBfADEAXwBFAG0AaQBzAHMAaQBvAG4AcwBGAHIAbwBtAFMAdQBwAHAAbABlAG0AZQBuAHQAYQByAHkAQwBPADIAXwBUAGkAdABsAGUAXABuACAAIAA9AEwAQQBNAEIARABBACgAXAAiAEUAbQBpAHMAcwBpAG8AbgBzACAAZgByAG8AbQAgAHQAaABlACAAdQBzAGUAIABvAGYAIABzAHUAcABwAGwAZQBtAGUAbgB0AGEAcgB5ACAAQwBPADIAXAAiACkAOwBcAG4AXABuAFYARQBFAFIARwBfADEAMgBfADEAXwAxAF8AMQBfAF8AMQBfAEUAbQBpAHMAcwBpAG8AbgBzAEYAcgBvAG0AUwB1AHAAcABsAGUAbQBlAG4AdABhAHIAeQBDAE8AMgBfAFYAYQByAGkAYQBiAGwAZQBcAG4AIAAgAD0ATABBAE0AQgBEAEEAKABcACIARQBcACIAKQA7AFwAbgBcAG4AVgBFAEUAUgBHAF8AMQAyAF8AMQBfADEAXwAxAF8AXwAxAF8ARQBtAGkAcwBzAGkAbwBuAHMARgByAG8AbQBTAHUAcABwAGwAZQBtAGUAbgB0AGEAcgB5AEMATwAyAF8AVQBuAGkAdABcAG4AIAAgAD0ATABBAE0AQgBEAEEAKABcACIAdAAgAEMATwAyAGUAXAAiACkAOwBcAG4AXABuAFYARQBFAFIARwBfADEAMgBfADEAXwAxAF8AMQBfAF8AMQBfAEUAbQBpAHMAcwBpAG8AbgBzAEYAcgBvAG0AUwB1AHAAcABsAGUAbQBlAG4AdABhAHIAeQBDAE8AMgBfAFMAbwB1AHIAYwBlAFwAbgAgACAAPQBMAEEATQBCAEQAQQAoAFwAIgBWAEUARQBSAEcAIAAyADAAMgA2ADoAIAAxADIALgAxAC4AMQAuADEALAAgAEUAcQB1AGEAdABpAG8AbgAgACgAMQApAFwAIgApADsAXABuAFwAbgBWAEUARQBSAEcAXwAxADIAXwAxAF8AMQBfADEAXwBfADEAXwBFAG0AaQBzAHMAaQBvAG4AcwBGAHIAbwBtAFMAdQBwAHAAbABlAG0AZQBuAHQAYQByAHkAQwBPADIAXwBOAEkAUgBSAGUAZgBlAHIAZQBuAGMAZQBcAG4AIAAgAD0ATABBAE0AQgBEAEEAKABcACIAXAAiACkAOwBcAG4AXABuAFYARQBFAFIARwBfADEAMgBfADEAXwAxAF8AMQBfAF8AMQBfAEUAbQBpAHMAcwBpAG8AbgBzAEYAcgBvAG0AUwB1AHAAcABsAGUAbQBlAG4AdABhAHIAeQBDAE8AMgBfAEwAYQB0AGUAeABFAHEAdQBhAHQAaQBvAG4AXABuACAAIAA9AEwAQQBNAEIARABBACgAXAAiAEUAPQBRAFwAXAB0AGkAbQBlAHMAIAAxADAAXgB7AC0AMwB9AFwAIgApADsAXABuAFwAbgBWAEUARQBSAEcAXwAxADIAXwAxAF8AMQBfADEAXwBfADEAXwBFAG0AaQBzAHMAaQBvAG4AcwBGAHIAbwBtAFMAdQBwAHAAbABlAG0AZQBuAHQAYQByAHkAQwBPADIAXwBBAHIAZwB1AG0AZQBuAHQAcwBcAG4AIAAgAD0ATABBAE0AQgBEAEEAKABcAG4AIAAgACAAIABNAEEASwBFAEEAUgBSAEEAWQAoADEALAAgADQALABcAG4AIAAgACAAIAAgACAATABBAE0AQgBEAEEAKAByACwAYwAsAFwAbgAgACAAIAAgACAAIAAgACAASQBOAEQARQBYACgAewBcAG4AIAAgACAAIAAgACAAIAAgACAAIABcACIAUQBcACIALAAgAFwAIgBxAHUAYQBuAHQAaQB0AHkAIABvAGYAIABzAHUAcABwAGwAZQBtAGUAbgB0AGEAcgB5ACAAQwBPADIAIAB1AHMAZQBkACAAdwBpAHQAaABpAG4AIAB0AGgAZQAgAG8AcABlAHIAYQB0AGkAbwBuAHMAXAAiACwAIABcACIAawBnACAAQwBPADIAXAAiACwAIABcACIASQBuAHAAdQB0AFwAIgBcAG4AIAAgACAAIAAgACAAIAAgAH0ALAAgAHIALAAgAGMAKQBcAG4AIAAgACAAIAAgACAAKQBcAG4AIAAgACAAIAApAFwAbgAgACAAKQA7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TAHUAcABwAGwAZQBtAGUAbgB0AGEAcgB5AEMATwAyAF8ARQBxAHUAYQB0AGkAbwBuAHMALgBWAEUARQBSAEcAXwAxADIAXwAxAF8AMQBfADEAXwBfADEAXwBFAG0AaQBzAHMAaQBvAG4AcwBGAHIAbwBtAFMAdQBwAHAAbABlAG0AZQBuAHQAYQByAHkAQwBPADIAIgAsACIAUwB1AHAAcABsAGUAbQBlAG4AdABhAHIAeQBDAE8AMgBfAEUAcQB1AGEAdABpAG8AbgBzAC4AVgBFAEUAUgBHAF8AMQAyAF8AMQBfADEAXwAxAF8AXwAxAF8ARQBtAGkAcwBzAGkAbwBuAHMARgByAG8AbQBTAHUAcABwAGwAZQBtAGUAbgB0AGEAcgB5AEMATwAyAF8AVABpAHQAbABlACIALAAiAFMAdQBwAHAAbABlAG0AZQBuAHQAYQByAHkAQwBPADIAXwBFAHEAdQBhAHQAaQBvAG4AcwAuAFYARQBFAFIARwBfADEAMgBfADEAXwAxAF8AMQBfAF8AMQBfAEUAbQBpAHMAcwBpAG8AbgBzAEYAcgBvAG0AUwB1AHAAcABsAGUAbQBlAG4AdABhAHIAeQBDAE8AMgBfAFYAYQByAGkAYQBiAGwAZQAiACwAIgBTAHUAcABwAGwAZQBtAGUAbgB0AGEAcgB5AEMATwAyAF8ARQBxAHUAYQB0AGkAbwBuAHMALgBWAEUARQBSAEcAXwAxADIAXwAxAF8AMQBfADEAXwBfADEAXwBFAG0AaQBzAHMAaQBvAG4AcwBGAHIAbwBtAFMAdQBwAHAAbABlAG0AZQBuAHQAYQByAHkAQwBPADIAXwBVAG4AaQB0ACIALAAiAFMAdQBwAHAAbABlAG0AZQBuAHQAYQByAHkAQwBPADIAXwBFAHEAdQBhAHQAaQBvAG4AcwAuAFYARQBFAFIARwBfADEAMgBfADEAXwAxAF8AMQBfAF8AMQBfAEUAbQBpAHMAcwBpAG8AbgBzAEYAcgBvAG0AUwB1AHAAcABsAGUAbQBlAG4AdABhAHIAeQBDAE8AMgBfAFMAbwB1AHIAYwBlACIALAAiAFMAdQBwAHAAbABlAG0AZQBuAHQAYQByAHkAQwBPADIAXwBFAHEAdQBhAHQAaQBvAG4AcwAuAFYARQBFAFIARwBfADEAMgBfADEAXwAxAF8AMQBfAF8AMQBfAEUAbQBpAHMAcwBpAG8AbgBzAEYAcgBvAG0AUwB1AHAAcABsAGUAbQBlAG4AdABhAHIAeQBDAE8AMgBfAE4ASQBSAFIAZQBmAGUAcgBlAG4AYwBlACIALAAiAFMAdQBwAHAAbABlAG0AZQBuAHQAYQByAHkAQwBPADIAXwBFAHEAdQBhAHQAaQBvAG4AcwAuAFYARQBFAFIARwBfADEAMgBfADEAXwAxAF8AMQBfAF8AMQBfAEUAbQBpAHMAcwBpAG8AbgBzAEYAcgBvAG0AUwB1AHAAcABsAGUAbQBlAG4AdABhAHIAeQBDAE8AMgBfAEwAYQB0AGUAeABFAHEAdQBhAHQAaQBvAG4AIgAsACIAUwB1AHAAcABsAGUAbQBlAG4AdABhAHIAeQBDAE8AMgBfAEUAcQB1AGEAdABpAG8AbgBzAC4AVgBFAEUAUgBHAF8AMQAyAF8AMQBfADEAXwAxAF8AXwAxAF8ARQBtAGkAcwBzAGkAbwBuAHMARgByAG8AbQBTAHUAcABwAGwAZQBtAGUAbgB0AGEAcgB5AEMATw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Home</vt:lpstr>
      <vt:lpstr>Overview</vt:lpstr>
      <vt:lpstr>Results</vt:lpstr>
      <vt:lpstr>Input - CO2 Use</vt:lpstr>
      <vt:lpstr>12.1.1-2 Supplementary CO2</vt:lpstr>
      <vt:lpstr>Constants - Common</vt:lpstr>
      <vt:lpstr>VEERG_12_1_1_1__1_EmissionsFromSupplementaryCO2_Result_Method1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2026-06-22T04:57:52Z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