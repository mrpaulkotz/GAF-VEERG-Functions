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16207F9-ECAE-4C78-BA8B-8DF0D3EF1A92}" xr6:coauthVersionLast="47" xr6:coauthVersionMax="47" xr10:uidLastSave="{00000000-0000-0000-0000-000000000000}"/>
  <bookViews>
    <workbookView xWindow="4680" yWindow="4680" windowWidth="28800" windowHeight="15345" activeTab="5"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O65" i="69" l="1" a="1"/>
  <c r="O65" i="69" s="1"/>
  <c r="N65" i="69" a="1"/>
  <c r="N65" i="69" s="1"/>
  <c r="M65" i="69" a="1"/>
  <c r="M65" i="69" s="1"/>
  <c r="F60" i="69"/>
  <c r="E60" i="69"/>
  <c r="D60" i="69"/>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<sst xmlns="http://schemas.openxmlformats.org/spreadsheetml/2006/main" count="287" uniqueCount="186">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</sst>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44.525400000000005</v>
      </c>
      <c r="F7" s="98">
        <f>'3.1.1.1-2 Enteric Methane'!N67</f>
        <v>50.860960000000006</v>
      </c>
      <c r="G7" s="52" t="str">
        <f>'3.1.1.1-2 Enteric Methane'!F67</f>
        <v>t CH4</v>
      </c>
      <c r="H7" s="98">
        <f>'3.1.1.1-2 Enteric Methane'!E72</f>
        <v>1246.7112000000002</v>
      </c>
      <c r="I7" s="98">
        <f>'3.1.1.1-2 Enteric Methane'!N72</f>
        <v>1424.1068800000003</v>
      </c>
      <c r="J7" s="52" t="s">
        <v>140</v>
      </c>
      <c r="K7" s="24"/>
      <c r="L7" s="24"/>
    </row>
    <row r="8" spans="1:12" ht="20.100000000000001" customHeight="1" x14ac:dyDescent="0.3">
      <c r="A8" s="17" t="str">
        <f>HYPERLINK("#'Input - Site'!A1", "Site")</f>
        <v>Site</v>
      </c>
      <c r="C8" s="24"/>
      <c r="D8" s="31" t="s">
        <v>127</v>
      </c>
      <c r="E8" s="25"/>
      <c r="F8" s="31"/>
      <c r="G8" s="31"/>
      <c r="H8" s="99">
        <f>SUM(H7:H7)</f>
        <v>1246.7112000000002</v>
      </c>
      <c r="I8" s="99">
        <f>SUM(I7:I7)</f>
        <v>1424.1068800000003</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2000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v>10.4</v>
      </c>
      <c r="F19" s="61">
        <v>11.2</v>
      </c>
      <c r="G19" s="61">
        <v>12</v>
      </c>
      <c r="H19" s="2" t="s">
        <v>79</v>
      </c>
      <c r="I19" s="2"/>
    </row>
    <row r="20" spans="1:11" ht="20.100000000000001" customHeight="1" x14ac:dyDescent="0.25">
      <c r="D20" s="1" t="s">
        <v>161</v>
      </c>
      <c r="E20" s="61">
        <v>4.9000000000000004</v>
      </c>
      <c r="F20" s="61">
        <v>5.0999999999999996</v>
      </c>
      <c r="G20" s="61">
        <v>5.6</v>
      </c>
      <c r="H20" s="2" t="s">
        <v>144</v>
      </c>
      <c r="I20" s="2"/>
      <c r="J20" s="2"/>
      <c r="K20" s="2"/>
    </row>
    <row r="21" spans="1:11" ht="20.100000000000001" customHeight="1" x14ac:dyDescent="0.25">
      <c r="A21" s="17"/>
      <c r="D21" s="1" t="s">
        <v>162</v>
      </c>
      <c r="E21" s="61">
        <v>23</v>
      </c>
      <c r="F21" s="61">
        <v>23</v>
      </c>
      <c r="G21" s="61">
        <v>25</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A46" zoomScaleNormal="100" workbookViewId="0">
      <selection activeCell="E67" sqref="E6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2000</v>
      </c>
      <c r="E60" s="88">
        <f>'Input - Feedlot'!$F$8</f>
        <v>1000</v>
      </c>
      <c r="F60" s="88">
        <f>'Input - Feedlot'!$G$8</f>
        <v>1000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15.059520000000001</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15.39432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175</v>
      </c>
      <c r="E67" s="90">
        <f>SUM(D65:F65)</f>
        <v>44.525400000000005</v>
      </c>
      <c r="F67" s="91" t="str">
        <f>$E$46</f>
        <v>t CH4</v>
      </c>
      <c r="M67" s="89" t="s">
        <v>176</v>
      </c>
      <c r="N67" s="90">
        <f>SUM(M65:O65)</f>
        <v>50.860960000000006</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44.525400000000005</v>
      </c>
      <c r="H69" s="2" t="str">
        <f>$E$46</f>
        <v>t CH4</v>
      </c>
      <c r="M69" s="55" t="str" cm="1">
        <f t="array" ref="M69:N70">Common_Equations.Common_ConvertCH4ToCO2e_Arguments()</f>
        <v>ECH4</v>
      </c>
      <c r="N69" s="56" t="str">
        <v>Methane emissions (t CH4)</v>
      </c>
      <c r="O69" s="92"/>
      <c r="P69" s="50">
        <f>N67</f>
        <v>50.860960000000006</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1246.7112000000002</v>
      </c>
      <c r="F72" s="93" t="str" cm="1">
        <f t="array" ref="F72">Common_Equations.Common_ConvertN2OToCO2e_Unit()</f>
        <v>t CO2e</v>
      </c>
      <c r="M72" s="45" t="s">
        <v>113</v>
      </c>
      <c r="N72" s="45" cm="1">
        <f t="array" ref="N72">Common_Equations.Common_ConvertCH4ToCO2e(P69,P70)</f>
        <v>1424.1068800000003</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