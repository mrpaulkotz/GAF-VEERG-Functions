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BD9FDAD-1803-40DF-90AB-6D20F3658C3A}" xr6:coauthVersionLast="47" xr6:coauthVersionMax="47" xr10:uidLastSave="{00000000-0000-0000-0000-000000000000}"/>
  <bookViews>
    <workbookView xWindow="4680" yWindow="4680" windowWidth="28800" windowHeight="15345" activeTab="4"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P70" i="69"/>
  <c r="G70" i="69"/>
  <c r="E259" i="104" a="1"/>
  <c r="E259" i="104" s="1"/>
  <c r="D259" i="104" a="1"/>
  <c r="D259" i="104" s="1"/>
  <c r="E258" i="104" a="1"/>
  <c r="E258" i="104" s="1"/>
  <c r="D258" i="104" a="1"/>
  <c r="D258" i="104" s="1"/>
  <c r="D256" i="104"/>
  <c r="D256" i="104" a="1"/>
  <c r="D255" i="104" a="1"/>
  <c r="D255" i="104" s="1"/>
  <c r="D254" i="104"/>
  <c r="D254" i="104" a="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c r="D168" i="104" a="1"/>
  <c r="D167" i="104" a="1"/>
  <c r="D167" i="104" s="1"/>
  <c r="D164" i="104" a="1"/>
  <c r="D164" i="104" s="1"/>
  <c r="D163" i="104"/>
  <c r="D163" i="104" a="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c r="D141" i="104" a="1"/>
  <c r="D140" i="104"/>
  <c r="D140" i="104" a="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c r="D125" i="104" a="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7" i="69" a="1"/>
  <c r="E41" i="69" a="1"/>
  <c r="H52" i="104" l="1"/>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E19" i="70" l="1" a="1"/>
  <c r="E19" i="70" s="1"/>
  <c r="G14" i="70" a="1"/>
  <c r="G14" i="70" s="1"/>
  <c r="E15" i="70" a="1"/>
  <c r="E15" i="70" s="1"/>
  <c r="F14" i="70" a="1"/>
  <c r="F14" i="70" s="1"/>
  <c r="E14" i="70" a="1"/>
  <c r="E14" i="70" s="1"/>
  <c r="G21" i="70" a="1"/>
  <c r="G21" i="70" s="1"/>
  <c r="O30" i="69" s="1"/>
  <c r="F19" i="70" a="1"/>
  <c r="F19" i="70" s="1"/>
  <c r="G19" i="70" a="1"/>
  <c r="G19" i="70" s="1"/>
  <c r="G15" i="70" a="1"/>
  <c r="G15" i="70" s="1"/>
  <c r="E16" i="70" a="1"/>
  <c r="E16" i="70" s="1"/>
  <c r="D30" i="69" s="1"/>
  <c r="F16" i="70" a="1"/>
  <c r="F16" i="70" s="1"/>
  <c r="E30" i="69" s="1"/>
  <c r="G16" i="70" a="1"/>
  <c r="G16" i="70" s="1"/>
  <c r="F30" i="69" s="1"/>
  <c r="E20" i="70" a="1"/>
  <c r="E20" i="70" s="1"/>
  <c r="M25" i="69" s="1"/>
  <c r="E21" i="70" a="1"/>
  <c r="E21" i="70" s="1"/>
  <c r="M30" i="69" s="1"/>
  <c r="F21" i="70" a="1"/>
  <c r="F21" i="70" s="1"/>
  <c r="N30" i="69" s="1"/>
  <c r="F15" i="70" a="1"/>
  <c r="F15" i="70" s="1"/>
  <c r="F20" i="70" a="1"/>
  <c r="F20" i="70" s="1"/>
  <c r="N25" i="69" s="1"/>
  <c r="G20" i="70" a="1"/>
  <c r="G20" i="70" s="1"/>
  <c r="O25" i="69" s="1"/>
  <c r="D69" i="69" a="1"/>
  <c r="D69" i="69" s="1"/>
  <c r="F72" i="69" a="1"/>
  <c r="F72" i="69" s="1"/>
  <c r="M20" i="69" l="1"/>
  <c r="M35" i="69" s="1" a="1"/>
  <c r="M35" i="69" s="1"/>
  <c r="M65" i="69" s="1" a="1"/>
  <c r="M65" i="69" s="1"/>
  <c r="N20" i="69"/>
  <c r="N35" i="69" s="1" a="1"/>
  <c r="N35" i="69" s="1"/>
  <c r="N65" i="69" s="1" a="1"/>
  <c r="N65" i="69" s="1"/>
  <c r="O20" i="69"/>
  <c r="O35" i="69" s="1" a="1"/>
  <c r="O35" i="69" s="1"/>
  <c r="O65" i="69" s="1" a="1"/>
  <c r="O65" i="69" s="1"/>
  <c r="F60" i="69" l="1"/>
  <c r="E60" i="69"/>
  <c r="D60" i="69"/>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<sst xmlns="http://schemas.openxmlformats.org/spreadsheetml/2006/main" count="287" uniqueCount="186">
  <si>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</si>
  <si>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</si>
  <si>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</si>
  <si>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</si>
  <si>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</si>
  <si>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</si>
  <si>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</si>
  <si>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</si>
  <si>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</si>
  <si>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</si>
  <si>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</si>
  <si>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</si>
  <si>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</si>
  <si>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</si>
  <si>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</si>
  <si>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</si>
  <si>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</si>
  <si>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</si>
  <si>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</si>
  <si>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</si>
  <si>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</si>
  <si>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</si>
  <si>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</si>
  <si>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</si>
  <si>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</si>
  <si>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</si>
  <si>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</si>
  <si>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</si>
  <si>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</si>
  <si>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</si>
  <si>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</si>
  <si>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</si>
  <si>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</si>
  <si>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</si>
  <si>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</si>
  <si>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</si>
  <si>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</si>
  <si>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</si>
  <si>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</si>
  <si>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</si>
  <si>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</si>
  <si>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</si>
  <si>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</si>
  <si>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</si>
  <si>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</si>
  <si>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</si>
  <si>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</si>
  <si>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</si>
  <si>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</si>
  <si>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</si>
  <si>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</si>
  <si>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</si>
  <si>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</si>
  <si>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</si>
  <si>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</si>
  <si>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</si>
  <si>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</si>
  <si>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</si>
  <si>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</si>
  <si>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</si>
  <si>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</si>
  <si>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</si>
  <si>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</si>
  <si>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</si>
  <si>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</si>
  <si>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</si>
  <si>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</si>
  <si>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</si>
  <si>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</si>
  <si>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</si>
  <si>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</si>
  <si>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</si>
  <si>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</si>
  <si>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</si>
  <si>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</si>
  <si>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</si>
  <si>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</si>
  <si>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</si>
  <si>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</si>
  <si>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</si>
  <si>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</si>
  <si>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</si>
  <si>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</si>
  <si>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</si>
  <si>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</si>
  <si>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</si>
  <si>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</si>
  <si>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</si>
  <si>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Table_E_CH4</t>
  </si>
  <si>
    <t>Methane emissions for each group, MMS and treatment stage</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</si>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</sst>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177</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179</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159</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114</v>
      </c>
      <c r="E6" s="100" t="s">
        <v>137</v>
      </c>
      <c r="F6" s="100" t="s">
        <v>138</v>
      </c>
      <c r="G6" s="100" t="s">
        <v>128</v>
      </c>
      <c r="H6" s="100" t="s">
        <v>139</v>
      </c>
      <c r="I6" s="100" t="s">
        <v>141</v>
      </c>
      <c r="J6" s="100" t="s">
        <v>129</v>
      </c>
      <c r="K6" s="24"/>
      <c r="L6" s="24"/>
    </row>
    <row r="7" spans="1:12" ht="20.100000000000001" customHeight="1" x14ac:dyDescent="0.25">
      <c r="A7" s="20" t="s">
        <v>3</v>
      </c>
      <c r="C7" s="24"/>
      <c r="D7" s="1" t="s">
        <v>160</v>
      </c>
      <c r="E7" s="98">
        <f>'3.1.1.1-2 Enteric Methane'!E67</f>
        <v>35.420230000000004</v>
      </c>
      <c r="F7" s="98">
        <f>'3.1.1.1-2 Enteric Methane'!N67</f>
        <v>35.420230000000004</v>
      </c>
      <c r="G7" s="52" t="str">
        <f>'3.1.1.1-2 Enteric Methane'!F67</f>
        <v>t CH4</v>
      </c>
      <c r="H7" s="98">
        <f>'3.1.1.1-2 Enteric Methane'!E72</f>
        <v>991.7664400000001</v>
      </c>
      <c r="I7" s="98">
        <f>'3.1.1.1-2 Enteric Methane'!N72</f>
        <v>991.7664400000001</v>
      </c>
      <c r="J7" s="52" t="s">
        <v>140</v>
      </c>
      <c r="K7" s="24"/>
      <c r="L7" s="24"/>
    </row>
    <row r="8" spans="1:12" ht="20.100000000000001" customHeight="1" x14ac:dyDescent="0.3">
      <c r="A8" s="17" t="str">
        <f>HYPERLINK("#'Input - Site'!A1", "Site")</f>
        <v>Site</v>
      </c>
      <c r="C8" s="24"/>
      <c r="D8" s="31" t="s">
        <v>127</v>
      </c>
      <c r="E8" s="25"/>
      <c r="F8" s="31"/>
      <c r="G8" s="31"/>
      <c r="H8" s="99">
        <f>SUM(H7:H7)</f>
        <v>991.7664400000001</v>
      </c>
      <c r="I8" s="99">
        <f>SUM(I7:I7)</f>
        <v>991.7664400000001</v>
      </c>
      <c r="J8" s="93" t="s">
        <v>140</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184</v>
      </c>
      <c r="F7" s="2"/>
    </row>
    <row r="8" spans="1:24" ht="20.100000000000001" customHeight="1" x14ac:dyDescent="0.25">
      <c r="A8" s="21" t="str">
        <f>HYPERLINK("#'Input - Site'!A1", "Site")</f>
        <v>Site</v>
      </c>
      <c r="D8" s="10" t="s">
        <v>53</v>
      </c>
      <c r="E8" s="33" t="s">
        <v>185</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abSelected="1"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181</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96</v>
      </c>
      <c r="F7" s="39" t="s">
        <v>97</v>
      </c>
      <c r="G7" s="39" t="s">
        <v>98</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4300</v>
      </c>
      <c r="F8" s="87">
        <v>100</v>
      </c>
      <c r="G8" s="87">
        <v>100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140</v>
      </c>
      <c r="G9" s="87">
        <v>250</v>
      </c>
      <c r="H9" s="2" t="s">
        <v>143</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130</v>
      </c>
      <c r="E13" s="39" t="s">
        <v>96</v>
      </c>
      <c r="F13" s="39" t="s">
        <v>97</v>
      </c>
      <c r="G13" s="39" t="s">
        <v>98</v>
      </c>
    </row>
    <row r="14" spans="1:21" ht="20.100000000000001" customHeight="1" x14ac:dyDescent="0.25">
      <c r="A14" s="18" t="s">
        <v>4</v>
      </c>
      <c r="D14" s="1" t="s">
        <v>102</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161</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144</v>
      </c>
      <c r="I15" s="2"/>
      <c r="J15" s="2"/>
      <c r="K15" s="2"/>
    </row>
    <row r="16" spans="1:21" ht="20.100000000000001" customHeight="1" x14ac:dyDescent="0.25">
      <c r="A16" s="17" t="str">
        <f>HYPERLINK("#'Constants - Livestock'!A1", "Constants - Livestock")</f>
        <v>Constants - Livestock</v>
      </c>
      <c r="D16" s="1" t="s">
        <v>162</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144</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131</v>
      </c>
      <c r="E18" s="39" t="s">
        <v>96</v>
      </c>
      <c r="F18" s="39" t="s">
        <v>97</v>
      </c>
      <c r="G18" s="39" t="s">
        <v>98</v>
      </c>
    </row>
    <row r="19" spans="1:11" ht="20.100000000000001" customHeight="1" x14ac:dyDescent="0.25">
      <c r="D19" s="1" t="s">
        <v>102</v>
      </c>
      <c r="E19" s="61" cm="1">
        <f t="array" ref="E19">_xlfn.XLOOKUP(1, (Table_SourceData_Feedlot_AnimalCharacteristics[Feedlot type] = E$18) * (Table_SourceData_Feedlot_AnimalCharacteristics[Characteristic] = $D$19), Table_SourceData_Feedlot_AnimalCharacteristics[2020-2023], "Not Found")</f>
        <v>10.4</v>
      </c>
      <c r="F19" s="61" cm="1">
        <f t="array" ref="F19">_xlfn.XLOOKUP(1, (Table_SourceData_Feedlot_AnimalCharacteristics[Feedlot type] = F$18) * (Table_SourceData_Feedlot_AnimalCharacteristics[Characteristic] = $D$19), Table_SourceData_Feedlot_AnimalCharacteristics[2020-2023], "Not Found")</f>
        <v>10.8</v>
      </c>
      <c r="G19" s="61" cm="1">
        <f t="array" ref="G19">_xlfn.XLOOKUP(1, (Table_SourceData_Feedlot_AnimalCharacteristics[Feedlot type] = G$18) * (Table_SourceData_Feedlot_AnimalCharacteristics[Characteristic] = $D$19), Table_SourceData_Feedlot_AnimalCharacteristics[2020-2023], "Not Found")</f>
        <v>8.1999999999999993</v>
      </c>
      <c r="H19" s="2" t="s">
        <v>79</v>
      </c>
      <c r="I19" s="2"/>
    </row>
    <row r="20" spans="1:11" ht="20.100000000000001" customHeight="1" x14ac:dyDescent="0.25">
      <c r="D20" s="1" t="s">
        <v>161</v>
      </c>
      <c r="E20" s="61" cm="1">
        <f t="array" ref="E20">_xlfn.XLOOKUP(1, (Table_SourceData_Feedlot_DietProperties[Feedlot type] = E$18) * (Table_SourceData_Feedlot_DietProperties[Nutrient analysis] = $D$20), Table_SourceData_Feedlot_DietProperties[2020-2023 Converted to fraction], "Not Found")</f>
        <v>4.8</v>
      </c>
      <c r="F20" s="61" cm="1">
        <f t="array" ref="F20">_xlfn.XLOOKUP(1, (Table_SourceData_Feedlot_DietProperties[Feedlot type] = F$18) * (Table_SourceData_Feedlot_DietProperties[Nutrient analysis] = $D$20), Table_SourceData_Feedlot_DietProperties[2020-2023 Converted to fraction], "Not Found")</f>
        <v>5</v>
      </c>
      <c r="G20" s="61" cm="1">
        <f t="array" ref="G20">_xlfn.XLOOKUP(1, (Table_SourceData_Feedlot_DietProperties[Feedlot type] = G$18) * (Table_SourceData_Feedlot_DietProperties[Nutrient analysis] = $D$20), Table_SourceData_Feedlot_DietProperties[2020-2023 Converted to fraction], "Not Found")</f>
        <v>5.5</v>
      </c>
      <c r="H20" s="2" t="s">
        <v>144</v>
      </c>
      <c r="I20" s="2"/>
      <c r="J20" s="2"/>
      <c r="K20" s="2"/>
    </row>
    <row r="21" spans="1:11" ht="20.100000000000001" customHeight="1" x14ac:dyDescent="0.25">
      <c r="A21" s="17"/>
      <c r="D21" s="1" t="s">
        <v>162</v>
      </c>
      <c r="E21" s="61" cm="1">
        <f t="array" ref="E21">_xlfn.XLOOKUP(1, (Table_SourceData_Feedlot_DietProperties[Feedlot type] = E$18) * (Table_SourceData_Feedlot_DietProperties[Nutrient analysis] = $D$21), Table_SourceData_Feedlot_DietProperties[2020-2023 Converted to fraction], "Not Found")</f>
        <v>22</v>
      </c>
      <c r="F21" s="61" cm="1">
        <f t="array" ref="F21">_xlfn.XLOOKUP(1, (Table_SourceData_Feedlot_DietProperties[Feedlot type] = F$18) * (Table_SourceData_Feedlot_DietProperties[Nutrient analysis] = $D$21), Table_SourceData_Feedlot_DietProperties[2020-2023 Converted to fraction], "Not Found")</f>
        <v>22</v>
      </c>
      <c r="G21" s="61" cm="1">
        <f t="array" ref="G21">_xlfn.XLOOKUP(1, (Table_SourceData_Feedlot_DietProperties[Feedlot type] = G$18) * (Table_SourceData_Feedlot_DietProperties[Nutrient analysis] = $D$21), Table_SourceData_Feedlot_DietProperties[2020-2023 Converted to fraction], "Not Found")</f>
        <v>24</v>
      </c>
      <c r="H21" s="2" t="s">
        <v>144</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180</v>
      </c>
      <c r="K1"/>
    </row>
    <row r="2" spans="1:19" s="9" customFormat="1" ht="20.100000000000001" customHeight="1" x14ac:dyDescent="0.25">
      <c r="K2"/>
    </row>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106</v>
      </c>
      <c r="M17" s="86" t="s">
        <v>107</v>
      </c>
    </row>
    <row r="18" spans="1:16" ht="20.100000000000001" customHeight="1" x14ac:dyDescent="0.25">
      <c r="A18" s="17" t="str">
        <f>HYPERLINK("#'Acknowledgements'!A1", "Acknowledgements")</f>
        <v>Acknowledgements</v>
      </c>
      <c r="D18" s="85" t="s">
        <v>110</v>
      </c>
      <c r="M18" s="85" t="s">
        <v>111</v>
      </c>
    </row>
    <row r="19" spans="1:16" ht="20.100000000000001" customHeight="1" x14ac:dyDescent="0.25">
      <c r="D19" s="39" t="s">
        <v>96</v>
      </c>
      <c r="E19" s="39" t="s">
        <v>97</v>
      </c>
      <c r="F19" s="39" t="s">
        <v>98</v>
      </c>
      <c r="M19" s="39" t="s">
        <v>96</v>
      </c>
      <c r="N19" s="39" t="s">
        <v>97</v>
      </c>
      <c r="O19" s="39" t="s">
        <v>98</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10.8</v>
      </c>
      <c r="O20" s="50">
        <f>'Input - Feedlot'!$G$19</f>
        <v>8.1999999999999993</v>
      </c>
      <c r="P20" s="2" t="str">
        <f>$G$13</f>
        <v>kg DM/head/day</v>
      </c>
    </row>
    <row r="21" spans="1:16" ht="20.100000000000001" customHeight="1" x14ac:dyDescent="0.25">
      <c r="A21" s="17"/>
    </row>
    <row r="22" spans="1:16" ht="20.100000000000001" customHeight="1" x14ac:dyDescent="0.25">
      <c r="D22" s="86" t="s">
        <v>163</v>
      </c>
      <c r="M22" s="86" t="s">
        <v>171</v>
      </c>
    </row>
    <row r="23" spans="1:16" ht="20.100000000000001" customHeight="1" x14ac:dyDescent="0.25">
      <c r="D23" s="85" t="s">
        <v>164</v>
      </c>
      <c r="M23" s="85" t="s">
        <v>172</v>
      </c>
    </row>
    <row r="24" spans="1:16" ht="20.100000000000001" customHeight="1" x14ac:dyDescent="0.25">
      <c r="D24" s="39" t="s">
        <v>96</v>
      </c>
      <c r="E24" s="39" t="s">
        <v>97</v>
      </c>
      <c r="F24" s="39" t="s">
        <v>98</v>
      </c>
      <c r="M24" s="39" t="s">
        <v>96</v>
      </c>
      <c r="N24" s="39" t="s">
        <v>97</v>
      </c>
      <c r="O24" s="39" t="s">
        <v>98</v>
      </c>
    </row>
    <row r="25" spans="1:16" ht="20.100000000000001" customHeight="1" x14ac:dyDescent="0.25">
      <c r="A25" s="17"/>
      <c r="D25" s="50">
        <f>'Input - Feedlot'!$E$15</f>
        <v>4.8</v>
      </c>
      <c r="E25" s="50">
        <f>'Input - Feedlot'!$F$15</f>
        <v>5</v>
      </c>
      <c r="F25" s="50">
        <f>'Input - Feedlot'!$G$15</f>
        <v>5.5</v>
      </c>
      <c r="G25" s="2" t="str">
        <f>$G$14</f>
        <v>per cent</v>
      </c>
      <c r="M25" s="50">
        <f>'Input - Feedlot'!$E$20</f>
        <v>4.8</v>
      </c>
      <c r="N25" s="50">
        <f>'Input - Feedlot'!$F$20</f>
        <v>5</v>
      </c>
      <c r="O25" s="50">
        <f>'Input - Feedlot'!$G$20</f>
        <v>5.5</v>
      </c>
      <c r="P25" s="2" t="str">
        <f>$G$14</f>
        <v>per cent</v>
      </c>
    </row>
    <row r="26" spans="1:16" ht="20.100000000000001" customHeight="1" x14ac:dyDescent="0.25"/>
    <row r="27" spans="1:16" ht="20.100000000000001" customHeight="1" x14ac:dyDescent="0.25">
      <c r="D27" s="86" t="s">
        <v>165</v>
      </c>
      <c r="M27" s="86" t="s">
        <v>173</v>
      </c>
    </row>
    <row r="28" spans="1:16" ht="20.100000000000001" customHeight="1" x14ac:dyDescent="0.25">
      <c r="D28" s="85" t="s">
        <v>166</v>
      </c>
      <c r="M28" s="85" t="s">
        <v>174</v>
      </c>
    </row>
    <row r="29" spans="1:16" ht="20.100000000000001" customHeight="1" x14ac:dyDescent="0.25">
      <c r="D29" s="39" t="s">
        <v>96</v>
      </c>
      <c r="E29" s="39" t="s">
        <v>97</v>
      </c>
      <c r="F29" s="39" t="s">
        <v>98</v>
      </c>
      <c r="M29" s="39" t="s">
        <v>96</v>
      </c>
      <c r="N29" s="39" t="s">
        <v>97</v>
      </c>
      <c r="O29" s="39" t="s">
        <v>98</v>
      </c>
    </row>
    <row r="30" spans="1:16" ht="20.100000000000001" customHeight="1" x14ac:dyDescent="0.25">
      <c r="D30" s="50">
        <f>'Input - Feedlot'!$E$16</f>
        <v>22</v>
      </c>
      <c r="E30" s="50">
        <f>'Input - Feedlot'!$F$16</f>
        <v>22</v>
      </c>
      <c r="F30" s="50">
        <f>'Input - Feedlot'!$G$16</f>
        <v>24</v>
      </c>
      <c r="G30" s="2" t="str">
        <f>$G$15</f>
        <v>per cent</v>
      </c>
      <c r="M30" s="50">
        <f>'Input - Feedlot'!$E$21</f>
        <v>22</v>
      </c>
      <c r="N30" s="50">
        <f>'Input - Feedlot'!$F$21</f>
        <v>22</v>
      </c>
      <c r="O30" s="50">
        <f>'Input - Feedlot'!$G$21</f>
        <v>24</v>
      </c>
      <c r="P30" s="2" t="str">
        <f>$G$15</f>
        <v>per cent</v>
      </c>
    </row>
    <row r="31" spans="1:16" ht="20.100000000000001" customHeight="1" x14ac:dyDescent="0.25"/>
    <row r="32" spans="1:16" ht="20.100000000000001" customHeight="1" x14ac:dyDescent="0.25">
      <c r="D32" s="86" t="s">
        <v>167</v>
      </c>
      <c r="M32" s="86" t="s">
        <v>169</v>
      </c>
    </row>
    <row r="33" spans="3:18" ht="20.100000000000001" customHeight="1" x14ac:dyDescent="0.25">
      <c r="D33" s="85" t="s">
        <v>168</v>
      </c>
      <c r="M33" s="85" t="s">
        <v>170</v>
      </c>
    </row>
    <row r="34" spans="3:18" ht="20.100000000000001" customHeight="1" x14ac:dyDescent="0.25">
      <c r="D34" s="49" t="s">
        <v>96</v>
      </c>
      <c r="E34" s="49" t="s">
        <v>97</v>
      </c>
      <c r="F34" s="49" t="s">
        <v>98</v>
      </c>
      <c r="M34" s="49" t="s">
        <v>96</v>
      </c>
      <c r="N34" s="49" t="s">
        <v>97</v>
      </c>
      <c r="O34" s="49" t="s">
        <v>98</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8.3664000000000002E-2</v>
      </c>
      <c r="N35" s="50" cm="1">
        <f t="array" ref="N35">EntericMethane_Feedlot_Equations.VEERG_3_1_1_1__2_DailyEntericMethaneProduction(N20,N25,N30)</f>
        <v>8.4908000000000011E-2</v>
      </c>
      <c r="O35" s="50" cm="1">
        <f t="array" ref="O35">EntericMethane_Feedlot_Equations.VEERG_3_1_1_1__2_DailyEntericMethaneProduction(O20,O25,O30)</f>
        <v>7.4142E-2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96</v>
      </c>
      <c r="E54" s="39" t="s">
        <v>97</v>
      </c>
      <c r="F54" s="39" t="s">
        <v>98</v>
      </c>
    </row>
    <row r="55" spans="4:15" ht="20.100000000000001" customHeight="1" x14ac:dyDescent="0.25">
      <c r="D55" s="88">
        <f>'Input - Feedlot'!$E$9</f>
        <v>90</v>
      </c>
      <c r="E55" s="88">
        <f>'Input - Feedlot'!$F$9</f>
        <v>140</v>
      </c>
      <c r="F55" s="88">
        <f>'Input - Feedlot'!$G$9</f>
        <v>250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96</v>
      </c>
      <c r="E59" s="39" t="s">
        <v>97</v>
      </c>
      <c r="F59" s="39" t="s">
        <v>98</v>
      </c>
    </row>
    <row r="60" spans="4:15" ht="20.100000000000001" customHeight="1" x14ac:dyDescent="0.25">
      <c r="D60" s="88">
        <f>'Input - Feedlot'!$E$8</f>
        <v>4300</v>
      </c>
      <c r="E60" s="88">
        <f>'Input - Feedlot'!$F$8</f>
        <v>100</v>
      </c>
      <c r="F60" s="88">
        <f>'Input - Feedlot'!$G$8</f>
        <v>100</v>
      </c>
      <c r="G60" s="2" t="str">
        <f>G50</f>
        <v>head</v>
      </c>
    </row>
    <row r="61" spans="4:15" ht="20.100000000000001" customHeight="1" x14ac:dyDescent="0.25"/>
    <row r="62" spans="4:15" ht="20.100000000000001" customHeight="1" x14ac:dyDescent="0.25">
      <c r="D62" s="86" t="s">
        <v>88</v>
      </c>
      <c r="M62" s="86" t="s">
        <v>88</v>
      </c>
    </row>
    <row r="63" spans="4:15" ht="20.100000000000001" customHeight="1" x14ac:dyDescent="0.25">
      <c r="D63" s="85" t="s">
        <v>89</v>
      </c>
      <c r="M63" s="85" t="s">
        <v>89</v>
      </c>
    </row>
    <row r="64" spans="4:15" ht="20.100000000000001" customHeight="1" x14ac:dyDescent="0.25">
      <c r="D64" s="49" t="s">
        <v>96</v>
      </c>
      <c r="E64" s="49" t="s">
        <v>97</v>
      </c>
      <c r="F64" s="49" t="s">
        <v>98</v>
      </c>
      <c r="M64" s="49" t="s">
        <v>96</v>
      </c>
      <c r="N64" s="49" t="s">
        <v>97</v>
      </c>
      <c r="O64" s="49" t="s">
        <v>98</v>
      </c>
    </row>
    <row r="65" spans="4:17" ht="20.100000000000001" customHeight="1" x14ac:dyDescent="0.25">
      <c r="D65" s="50" cm="1">
        <f t="array" ref="D65">EntericMethane_Feedlot_Equations.VEERG_3_1_1_1__1_TotalAnnualMethaneFromEntericFermentation(D55,D35,D60)</f>
        <v>32.377968000000003</v>
      </c>
      <c r="E65" s="50" cm="1">
        <f t="array" ref="E65">EntericMethane_Feedlot_Equations.VEERG_3_1_1_1__1_TotalAnnualMethaneFromEntericFermentation(E55,E35,E60)</f>
        <v>1.1887120000000002</v>
      </c>
      <c r="F65" s="50" cm="1">
        <f t="array" ref="F65">EntericMethane_Feedlot_Equations.VEERG_3_1_1_1__1_TotalAnnualMethaneFromEntericFermentation(F55,F35,F60)</f>
        <v>1.85355</v>
      </c>
      <c r="G65" s="2" t="str">
        <f>$E$46</f>
        <v>t CH4</v>
      </c>
      <c r="M65" s="50" cm="1">
        <f t="array" ref="M65">EntericMethane_Feedlot_Equations.VEERG_3_1_1_1__1_TotalAnnualMethaneFromEntericFermentation(D55,M35,D60)</f>
        <v>32.377968000000003</v>
      </c>
      <c r="N65" s="50" cm="1">
        <f t="array" ref="N65">EntericMethane_Feedlot_Equations.VEERG_3_1_1_1__1_TotalAnnualMethaneFromEntericFermentation(E55,N35,E60)</f>
        <v>1.1887120000000002</v>
      </c>
      <c r="O65" s="50" cm="1">
        <f t="array" ref="O65">EntericMethane_Feedlot_Equations.VEERG_3_1_1_1__1_TotalAnnualMethaneFromEntericFermentation(F55,O35,F60)</f>
        <v>1.85355</v>
      </c>
      <c r="P65" s="2" t="str">
        <f>$E$46</f>
        <v>t CH4</v>
      </c>
    </row>
    <row r="66" spans="4:17" ht="20.100000000000001" customHeight="1" x14ac:dyDescent="0.25"/>
    <row r="67" spans="4:17" ht="20.100000000000001" customHeight="1" x14ac:dyDescent="0.25">
      <c r="D67" s="89" t="s">
        <v>175</v>
      </c>
      <c r="E67" s="90">
        <f>SUM(D65:F65)</f>
        <v>35.420230000000004</v>
      </c>
      <c r="F67" s="91" t="str">
        <f>$E$46</f>
        <v>t CH4</v>
      </c>
      <c r="M67" s="89" t="s">
        <v>176</v>
      </c>
      <c r="N67" s="90">
        <f>SUM(M65:O65)</f>
        <v>35.420230000000004</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35.420230000000004</v>
      </c>
      <c r="H69" s="2" t="str">
        <f>$E$46</f>
        <v>t CH4</v>
      </c>
      <c r="M69" s="55" t="str" cm="1">
        <f t="array" ref="M69:N70">Common_Equations.Common_ConvertCH4ToCO2e_Arguments()</f>
        <v>ECH4</v>
      </c>
      <c r="N69" s="56" t="str">
        <v>Methane emissions (t CH4)</v>
      </c>
      <c r="O69" s="92"/>
      <c r="P69" s="50">
        <f>N67</f>
        <v>35.420230000000004</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112</v>
      </c>
      <c r="E72" s="45" cm="1">
        <f t="array" ref="E72">Common_Equations.Common_ConvertCH4ToCO2e(G69,G70)</f>
        <v>991.7664400000001</v>
      </c>
      <c r="F72" s="93" t="str" cm="1">
        <f t="array" ref="F72">Common_Equations.Common_ConvertN2OToCO2e_Unit()</f>
        <v>t CO2e</v>
      </c>
      <c r="M72" s="45" t="s">
        <v>113</v>
      </c>
      <c r="N72" s="45" cm="1">
        <f t="array" ref="N72">Common_Equations.Common_ConvertCH4ToCO2e(P69,P70)</f>
        <v>991.7664400000001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B78" workbookViewId="0">
      <selection activeCell="I89" sqref="I89:M93"/>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95</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119</v>
      </c>
      <c r="J25" s="6" t="s">
        <v>121</v>
      </c>
      <c r="M25" s="1"/>
    </row>
    <row r="26" spans="1:13" ht="20.100000000000001" customHeight="1" x14ac:dyDescent="0.25">
      <c r="M26" s="1"/>
    </row>
    <row r="27" spans="1:13" ht="20.100000000000001" customHeight="1" x14ac:dyDescent="0.25">
      <c r="D27" s="84" t="s">
        <v>49</v>
      </c>
      <c r="E27" s="37" t="s">
        <v>61</v>
      </c>
      <c r="G27" s="37" t="s">
        <v>120</v>
      </c>
      <c r="J27" s="37" t="s">
        <v>118</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122</v>
      </c>
      <c r="M28" s="1"/>
    </row>
    <row r="29" spans="1:13" ht="20.100000000000001" customHeight="1" x14ac:dyDescent="0.25">
      <c r="D29" s="37" t="str">
        <f>'Constants - Livestock'!$E$15</f>
        <v>Solid storage</v>
      </c>
      <c r="E29" s="37" t="str">
        <f>'Constants - Livestock'!$F$15</f>
        <v>Solid storage (m=4)</v>
      </c>
      <c r="G29" s="1" t="str">
        <f>'Constants - Common'!$F$187</f>
        <v>Pasture</v>
      </c>
      <c r="J29" s="37" t="s">
        <v>123</v>
      </c>
      <c r="M29" s="1"/>
    </row>
    <row r="30" spans="1:13" ht="20.100000000000001" customHeight="1" x14ac:dyDescent="0.25">
      <c r="D30" s="37" t="str">
        <f>'Constants - Livestock'!$E$17</f>
        <v>Composting (passive windrow)</v>
      </c>
      <c r="E30" s="37" t="str">
        <f>'Constants - Livestock'!$F$17</f>
        <v>Composting (passive windrow) (m=6)</v>
      </c>
      <c r="J30" s="1" t="s">
        <v>124</v>
      </c>
      <c r="M30" s="1"/>
    </row>
    <row r="31" spans="1:13" ht="20.100000000000001" customHeight="1" x14ac:dyDescent="0.25">
      <c r="D31" s="37" t="str">
        <f>'Constants - Livestock'!$E$26</f>
        <v>Direct application</v>
      </c>
      <c r="E31" s="37" t="str">
        <f>'Constants - Livestock'!$F$26</f>
        <v>Direct application (m=13)</v>
      </c>
      <c r="J31" s="1" t="s">
        <v>125</v>
      </c>
      <c r="M31" s="1"/>
    </row>
    <row r="32" spans="1:13" ht="20.100000000000001" customHeight="1" x14ac:dyDescent="0.25">
      <c r="D32" s="1" t="str">
        <f>'Constants - Livestock'!$E$10</f>
        <v>Anaerobic lagoon</v>
      </c>
      <c r="E32" s="1" t="str">
        <f>'Constants - Livestock'!$F$10</f>
        <v>Anaerobic lagoon (m=1)</v>
      </c>
      <c r="J32" s="1" t="s">
        <v>126</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90</v>
      </c>
      <c r="E38" s="37" t="s">
        <v>103</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90</v>
      </c>
      <c r="E49" s="37" t="s">
        <v>100</v>
      </c>
      <c r="F49" s="37" t="s">
        <v>10</v>
      </c>
      <c r="G49" s="37" t="s">
        <v>101</v>
      </c>
      <c r="H49" s="37" t="s">
        <v>92</v>
      </c>
      <c r="I49" s="37" t="s">
        <v>93</v>
      </c>
      <c r="J49" s="37" t="s">
        <v>94</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90</v>
      </c>
      <c r="E66" s="37" t="s">
        <v>91</v>
      </c>
      <c r="F66" s="37" t="s">
        <v>10</v>
      </c>
      <c r="G66" s="37" t="s">
        <v>92</v>
      </c>
      <c r="H66" s="37" t="s">
        <v>93</v>
      </c>
      <c r="I66" s="37" t="s">
        <v>94</v>
      </c>
      <c r="J66" s="37" t="s">
        <v>99</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104</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105</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132</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134</v>
      </c>
      <c r="E212" s="37" t="s">
        <v>135</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145</v>
      </c>
      <c r="F231" s="36" t="s">
        <v>146</v>
      </c>
      <c r="G231" s="37" t="s">
        <v>147</v>
      </c>
      <c r="H231" s="37" t="s">
        <v>148</v>
      </c>
      <c r="I231" s="37" t="s">
        <v>149</v>
      </c>
      <c r="J231" s="37" t="s">
        <v>150</v>
      </c>
      <c r="K231" s="37" t="s">
        <v>151</v>
      </c>
      <c r="L231" s="37" t="s">
        <v>152</v>
      </c>
      <c r="M231" s="37" t="s">
        <v>153</v>
      </c>
      <c r="N231" s="37" t="s">
        <v>154</v>
      </c>
      <c r="O231" s="37" t="s">
        <v>155</v>
      </c>
      <c r="P231" s="37" t="s">
        <v>156</v>
      </c>
      <c r="Q231" s="37" t="s">
        <v>142</v>
      </c>
      <c r="R231" s="37" t="s">
        <v>157</v>
      </c>
      <c r="S231" s="37" t="s">
        <v>158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182</v>
      </c>
      <c r="E257" s="37" t="s">
        <v>183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18</vt:i4>
      </vt:variant>
    </vt:vector>
  </HeadingPairs>
  <TitlesOfParts>
    <vt:vector size="29"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2026-06-10T11:24:41Z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