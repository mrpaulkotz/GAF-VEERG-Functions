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FD219FB4-6E2C-4B7D-89E0-513B27E23F8D}" xr6:coauthVersionLast="47" xr6:coauthVersionMax="47" xr10:uidLastSave="{00000000-0000-0000-0000-000000000000}"/>
  <bookViews>
    <workbookView xWindow="1020" yWindow="0" windowWidth="37140" windowHeight="20475" firstSheet="1" activeTab="5" xr2:uid="{992023F3-CAB7-4E5B-A348-08D563A0EF40}"/>
  </bookViews>
  <sheets>
    <sheet name="Home" sheetId="71" r:id="rId1"/>
    <sheet name="Overview" sheetId="100" r:id="rId2"/>
    <sheet name="Results" sheetId="13" r:id="rId3"/>
    <sheet name="Input - Site" sheetId="15" r:id="rId4"/>
    <sheet name="Input - Feedlot" sheetId="70" r:id="rId5"/>
    <sheet name="4.1.1.1-2 Methane" sheetId="69" r:id="rId6"/>
    <sheet name="4.1.1.3-4 Direct N20" sheetId="76" r:id="rId7"/>
    <sheet name="4.1.1.5-6 Atmos Deposition" sheetId="82" r:id="rId8"/>
    <sheet name="4.1.1.9 Manure applied to soils" sheetId="81" r:id="rId9"/>
    <sheet name="Constants - Feedlot" sheetId="79" r:id="rId10"/>
    <sheet name="Constants - Common" sheetId="102" r:id="rId11"/>
    <sheet name="Constants - Livestock" sheetId="43" r:id="rId12"/>
    <sheet name="Acknowledgements" sheetId="72" r:id="rId13"/>
    <sheet name="Tab template" sheetId="74" r:id="rId14"/>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4, _xlfn.LAMBDA(_xlpm.r,_xlpm.c, INDEX({"MMS_ATMOS","mass of N volatilised from MMS","kg N","Calculated from 4.1.1.5 (2)";"EF_N2O","nitrous oxide emission factor for atmospheric deposition","kg N2O-N/kg N","Constant";"C_N2O","factor to convert elemental mass of nitrous oxide to molecular mass","","Constant";"j","production system","","Input";"i","irrigation method","","Input";"r","rainfall zone","","Input"},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4, _xlfn.LAMBDA(_xlpm.r,_xlpm.c, INDEX({"MN_jmT","nitrogen in each treatment stage MMS (excluding MN_ijm13T2)","kg N","Calculated from 4.1.1.3 (2)(6)(8)";"FracGASM_mT","fraction of N volatilised in each MMS","(kg NH3-N + NOx-N)/kg N","Constant"},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4, _xlfn.LAMBDA(_xlpm.r,_xlpm.c, INDEX({"D_j","length of stay of each cattle group","days","Input";"M_jmT","methane production from manure per cattle group, MMS, and treatment stage","kg CH4/head/day","Calculated from 4.1.1.1 (2)(3)(4)";"N_j","numbers of beef cattle in each group","head","Input"},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Arguments_Method2">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state and MMS","fraction","Constant";"rho","density of methane","kg/m3","Constant";"i","state","","Input"}, _xlpm.r, _xlpm.c))))</definedName>
    <definedName name="MMS_Feedlot_Methane_Equations.VEERG_4_1_1_1__3_Stage2MethaneProduction_Arguments_Method2">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mean annual temperature and MMS","fraction","Constant";"rho","density of methane","kg/m3","Constant";"i","Mean annual temperature","","Input"},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state and anaerobic lagoon system","fraction","Constant";"rho","density of methane","kg/m3","Constant";"i","state","","Input"}, _xlpm.r, _xlpm.c))))</definedName>
    <definedName name="MMS_Feedlot_Methane_Equations.VEERG_4_1_1_1__4_Stage3MethaneProductionAnaerobicLagoon_Arguments_Method2">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mean annual temperature and anaerobic lagoon system","fraction","Constant";"rho","density of methane","kg/m3","Constant";"i","Mean annual temperature","","Input"},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4, _xlfn.LAMBDA(_xlpm.r,_xlpm.c, INDEX({"I_j","dry matter intake for each group j","kg DM/head/day","Input";"DMD_j","dry matter digestibility for each group j","fraction","Input";"A","ash content of manure","fraction","Constant"},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4, _xlfn.LAMBDA(_xlpm.r,_xlpm.c, INDEX({"MN_jmT","nitrogen per cattle group, MMS and treatment stage","kg N","Calculated from 4.1.1.3 (2)(6)(8)";"EF_jm","nitrous oxide emission factor for MMS","kg N2O-N/kg N","Constant";"C_N2O","factor to convert elemental mass of nitrous oxide to molecular mass","ratio","Constant"},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4, _xlfn.LAMBDA(_xlpm.r,_xlpm.c, INDEX({"AE_j","total nitrogen excreted by each cattle group","kg N","Calculated from 4.1.1.3 (3)";"MMS_jm5T1","fraction of manure in primary system drylot MMS","fraction","Input"},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4, _xlfn.LAMBDA(_xlpm.r,_xlpm.c, INDEX({"N_j","number of cattle in each group","head","Input";"NE_j","nitrogen excretion","kg N/head/day","Calculated from 4.1.1.3 (4)";"D_j","duration of stay of cattle group","days","Input"},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4, _xlfn.LAMBDA(_xlpm.r,_xlpm.c, INDEX({"NI_j","nitrogen intake","kg N/head/day","Calculated from 4.1.1.3 (5)";"NR_j","nitrogen retention expressed as a fraction of intake","fraction","Input"},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4, _xlfn.LAMBDA(_xlpm.r,_xlpm.c, INDEX({"I_j","dry matter intake","kg DM/head/day","Input";"CP_j","crude protein content of feed","fraction","Input";"6.25","factor for converting crude protein into nitrogen","ratio","Constant"},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4, _xlfn.LAMBDA(_xlpm.r,_xlpm.c, INDEX({"NT_jmT2","nitrogen transferred to secondary treatment MMS","kg N","Calculated from 4.1.1.3 (7)";"MMS_jmT2","fraction of manure in each secondary system","fraction","Input"},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4, _xlfn.LAMBDA(_xlpm.r,_xlpm.c, INDEX({"MN_jm5T1","nitrogen in MMS treatment stage 1","kg N","Calculated from 4.1.1.3 (2)";"FracGASM_m5","fraction of N volatilised from drylot MMS","fraction","Constant";"EF_m5","nitrous oxide emission factor for drylot MMS","kg N2O-N/kg N deposited","Constant";"MN_jmT3","nitrogen in MMS treatment stage 3","kg N","Calculated from 4.1.1.3 (8)"},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4, _xlfn.LAMBDA(_xlpm.r,_xlpm.c, INDEX({"AE_j","total nitrogen excreted by each cattle group","kg N","Calculated from 4.1.1.3 (3)";"MMS_jm1T3","fraction of manure to tertiary anaerobic lagoon system","fraction","Input"},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4_1_1_1__1_TotalAnnualMethaneEmissions_Result_Method1">'4.1.1.1-2 Methane'!$E$171</definedName>
    <definedName name="VEERG_4_1_1_1__1_TotalAnnualMethaneEmissions_Result_Method2">'4.1.1.1-2 Methane'!$N$171</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Feedlot_HerdMovement">'Input - Feedlot'!$D$7:$G$9</definedName>
    <definedName name="X_Table_Feedlot_Intake_Method1">'Input - Feedlot'!$D$13:$G$17</definedName>
    <definedName name="X_Table_Feedlot_Intake_Method2">'Input - Feedlot'!$D$19:$G$23</definedName>
    <definedName name="X_Table_Feedlot_MMS_Stage1">'Input - Feedlot'!$D$27:$G$28</definedName>
    <definedName name="X_Table_Feedlot_MMS_Stage2">'Input - Feedlot'!$D$30:$G$34</definedName>
    <definedName name="X_Table_Feedlot_MMS_Stage2_Destinations">'Input - Feedlot'!$I$30:$K$34</definedName>
    <definedName name="X_Table_Feedlot_MMS_Stage3">'Input - Feedlot'!$D$36:$G$38</definedName>
    <definedName name="X_Table_Feedlot_MMS_Stage3_Destinations">'Input - Feedlot'!$I$36:$K$38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I114" i="69"/>
  <c r="I74" i="69"/>
  <c r="R46" i="69"/>
  <c r="I46" i="69"/>
  <c r="E30" i="15"/>
  <c r="E33" i="15"/>
  <c r="I60" i="82"/>
  <c r="I190" i="76"/>
  <c r="P68" i="82"/>
  <c r="G68" i="82"/>
  <c r="R215" i="76"/>
  <c r="G215" i="76"/>
  <c r="P174" i="69"/>
  <c r="G174" i="69"/>
  <c r="I115" i="69"/>
  <c r="I75" i="69"/>
  <c r="R47" i="69"/>
  <c r="I47" i="69"/>
  <c r="E259" i="102" a="1"/>
  <c r="E259" i="102" s="1"/>
  <c r="D259" i="102" a="1"/>
  <c r="D259" i="102" s="1"/>
  <c r="E258" i="102" a="1"/>
  <c r="E258" i="102" s="1"/>
  <c r="D258" i="102" a="1"/>
  <c r="D258" i="102" s="1"/>
  <c r="D256" i="102" a="1"/>
  <c r="D256" i="102" s="1"/>
  <c r="D255" i="102" a="1"/>
  <c r="D255" i="102" s="1"/>
  <c r="D254" i="102" a="1"/>
  <c r="D254" i="102" s="1"/>
  <c r="D253" i="102" a="1"/>
  <c r="D253" i="102" s="1"/>
  <c r="S250" i="102" a="1"/>
  <c r="S250" i="102" s="1"/>
  <c r="R250" i="102" a="1"/>
  <c r="R250" i="102" s="1"/>
  <c r="Q250" i="102" a="1"/>
  <c r="Q250" i="102" s="1"/>
  <c r="P250" i="102" a="1"/>
  <c r="P250" i="102" s="1"/>
  <c r="O250" i="102" a="1"/>
  <c r="O250" i="102" s="1"/>
  <c r="N250" i="102" a="1"/>
  <c r="N250" i="102" s="1"/>
  <c r="M250" i="102" a="1"/>
  <c r="M250" i="102" s="1"/>
  <c r="L250" i="102" a="1"/>
  <c r="L250" i="102" s="1"/>
  <c r="K250" i="102" a="1"/>
  <c r="K250" i="102" s="1"/>
  <c r="J250" i="102" a="1"/>
  <c r="J250" i="102" s="1"/>
  <c r="I250" i="102" a="1"/>
  <c r="I250" i="102" s="1"/>
  <c r="H250" i="102" a="1"/>
  <c r="H250" i="102" s="1"/>
  <c r="G250" i="102" a="1"/>
  <c r="G250" i="102" s="1"/>
  <c r="F250" i="102" a="1"/>
  <c r="F250" i="102" s="1"/>
  <c r="E250" i="102" a="1"/>
  <c r="E250" i="102" s="1"/>
  <c r="D250" i="102" a="1"/>
  <c r="D250" i="102" s="1"/>
  <c r="S249" i="102" a="1"/>
  <c r="S249" i="102" s="1"/>
  <c r="R249" i="102" a="1"/>
  <c r="R249" i="102" s="1"/>
  <c r="Q249" i="102" a="1"/>
  <c r="Q249" i="102" s="1"/>
  <c r="P249" i="102" a="1"/>
  <c r="P249" i="102" s="1"/>
  <c r="O249" i="102" a="1"/>
  <c r="O249" i="102" s="1"/>
  <c r="N249" i="102" a="1"/>
  <c r="N249" i="102" s="1"/>
  <c r="M249" i="102" a="1"/>
  <c r="M249" i="102" s="1"/>
  <c r="L249" i="102" a="1"/>
  <c r="L249" i="102" s="1"/>
  <c r="K249" i="102" a="1"/>
  <c r="K249" i="102" s="1"/>
  <c r="J249" i="102" a="1"/>
  <c r="J249" i="102" s="1"/>
  <c r="I249" i="102" a="1"/>
  <c r="I249" i="102" s="1"/>
  <c r="H249" i="102" a="1"/>
  <c r="H249" i="102" s="1"/>
  <c r="G249" i="102" a="1"/>
  <c r="G249" i="102" s="1"/>
  <c r="F249" i="102" a="1"/>
  <c r="F249" i="102" s="1"/>
  <c r="E249" i="102" a="1"/>
  <c r="E249" i="102" s="1"/>
  <c r="D249" i="102" a="1"/>
  <c r="D249" i="102" s="1"/>
  <c r="S248" i="102" a="1"/>
  <c r="S248" i="102" s="1"/>
  <c r="R248" i="102" a="1"/>
  <c r="R248" i="102" s="1"/>
  <c r="Q248" i="102" a="1"/>
  <c r="Q248" i="102" s="1"/>
  <c r="P248" i="102" a="1"/>
  <c r="P248" i="102" s="1"/>
  <c r="O248" i="102" a="1"/>
  <c r="O248" i="102" s="1"/>
  <c r="N248" i="102" a="1"/>
  <c r="N248" i="102" s="1"/>
  <c r="M248" i="102" a="1"/>
  <c r="M248" i="102" s="1"/>
  <c r="L248" i="102" a="1"/>
  <c r="L248" i="102" s="1"/>
  <c r="K248" i="102" a="1"/>
  <c r="K248" i="102" s="1"/>
  <c r="J248" i="102" a="1"/>
  <c r="J248" i="102" s="1"/>
  <c r="I248" i="102" a="1"/>
  <c r="I248" i="102" s="1"/>
  <c r="H248" i="102" a="1"/>
  <c r="H248" i="102" s="1"/>
  <c r="G248" i="102" a="1"/>
  <c r="G248" i="102" s="1"/>
  <c r="F248" i="102" a="1"/>
  <c r="F248" i="102" s="1"/>
  <c r="E248" i="102" a="1"/>
  <c r="E248" i="102" s="1"/>
  <c r="D248" i="102" a="1"/>
  <c r="D248" i="102" s="1"/>
  <c r="S247" i="102" a="1"/>
  <c r="S247" i="102" s="1"/>
  <c r="R247" i="102" a="1"/>
  <c r="R247" i="102" s="1"/>
  <c r="Q247" i="102" a="1"/>
  <c r="Q247" i="102" s="1"/>
  <c r="P247" i="102" a="1"/>
  <c r="P247" i="102" s="1"/>
  <c r="O247" i="102" a="1"/>
  <c r="O247" i="102" s="1"/>
  <c r="N247" i="102" a="1"/>
  <c r="N247" i="102" s="1"/>
  <c r="M247" i="102" a="1"/>
  <c r="M247" i="102" s="1"/>
  <c r="L247" i="102" a="1"/>
  <c r="L247" i="102" s="1"/>
  <c r="K247" i="102" a="1"/>
  <c r="K247" i="102" s="1"/>
  <c r="J247" i="102" a="1"/>
  <c r="J247" i="102" s="1"/>
  <c r="I247" i="102" a="1"/>
  <c r="I247" i="102" s="1"/>
  <c r="H247" i="102" a="1"/>
  <c r="H247" i="102" s="1"/>
  <c r="G247" i="102" a="1"/>
  <c r="G247" i="102" s="1"/>
  <c r="F247" i="102" a="1"/>
  <c r="F247" i="102" s="1"/>
  <c r="E247" i="102" a="1"/>
  <c r="E247" i="102" s="1"/>
  <c r="D247" i="102" a="1"/>
  <c r="D247" i="102" s="1"/>
  <c r="S246" i="102" a="1"/>
  <c r="S246" i="102" s="1"/>
  <c r="R246" i="102" a="1"/>
  <c r="R246" i="102" s="1"/>
  <c r="Q246" i="102" a="1"/>
  <c r="Q246" i="102" s="1"/>
  <c r="P246" i="102" a="1"/>
  <c r="P246" i="102" s="1"/>
  <c r="O246" i="102" a="1"/>
  <c r="O246" i="102" s="1"/>
  <c r="N246" i="102" a="1"/>
  <c r="N246" i="102" s="1"/>
  <c r="M246" i="102" a="1"/>
  <c r="M246" i="102" s="1"/>
  <c r="L246" i="102" a="1"/>
  <c r="L246" i="102" s="1"/>
  <c r="K246" i="102" a="1"/>
  <c r="K246" i="102" s="1"/>
  <c r="J246" i="102" a="1"/>
  <c r="J246" i="102" s="1"/>
  <c r="I246" i="102" a="1"/>
  <c r="I246" i="102" s="1"/>
  <c r="H246" i="102" a="1"/>
  <c r="H246" i="102" s="1"/>
  <c r="G246" i="102" a="1"/>
  <c r="G246" i="102" s="1"/>
  <c r="F246" i="102" a="1"/>
  <c r="F246" i="102" s="1"/>
  <c r="E246" i="102" a="1"/>
  <c r="E246" i="102" s="1"/>
  <c r="D246" i="102" a="1"/>
  <c r="D246" i="102" s="1"/>
  <c r="S245" i="102" a="1"/>
  <c r="S245" i="102" s="1"/>
  <c r="R245" i="102" a="1"/>
  <c r="R245" i="102" s="1"/>
  <c r="Q245" i="102" a="1"/>
  <c r="Q245" i="102" s="1"/>
  <c r="P245" i="102" a="1"/>
  <c r="P245" i="102" s="1"/>
  <c r="O245" i="102" a="1"/>
  <c r="O245" i="102" s="1"/>
  <c r="N245" i="102" a="1"/>
  <c r="N245" i="102" s="1"/>
  <c r="M245" i="102" a="1"/>
  <c r="M245" i="102" s="1"/>
  <c r="L245" i="102" a="1"/>
  <c r="L245" i="102" s="1"/>
  <c r="K245" i="102" a="1"/>
  <c r="K245" i="102" s="1"/>
  <c r="J245" i="102" a="1"/>
  <c r="J245" i="102" s="1"/>
  <c r="I245" i="102" a="1"/>
  <c r="I245" i="102" s="1"/>
  <c r="H245" i="102" a="1"/>
  <c r="H245" i="102" s="1"/>
  <c r="G245" i="102" a="1"/>
  <c r="G245" i="102" s="1"/>
  <c r="F245" i="102" a="1"/>
  <c r="F245" i="102" s="1"/>
  <c r="E245" i="102" a="1"/>
  <c r="E245" i="102" s="1"/>
  <c r="D245" i="102" a="1"/>
  <c r="D245" i="102" s="1"/>
  <c r="S244" i="102" a="1"/>
  <c r="S244" i="102" s="1"/>
  <c r="R244" i="102" a="1"/>
  <c r="R244" i="102" s="1"/>
  <c r="Q244" i="102" a="1"/>
  <c r="Q244" i="102" s="1"/>
  <c r="P244" i="102" a="1"/>
  <c r="P244" i="102" s="1"/>
  <c r="O244" i="102" a="1"/>
  <c r="O244" i="102" s="1"/>
  <c r="N244" i="102" a="1"/>
  <c r="N244" i="102" s="1"/>
  <c r="M244" i="102" a="1"/>
  <c r="M244" i="102" s="1"/>
  <c r="L244" i="102" a="1"/>
  <c r="L244" i="102" s="1"/>
  <c r="K244" i="102" a="1"/>
  <c r="K244" i="102" s="1"/>
  <c r="J244" i="102" a="1"/>
  <c r="J244" i="102" s="1"/>
  <c r="I244" i="102" a="1"/>
  <c r="I244" i="102" s="1"/>
  <c r="H244" i="102" a="1"/>
  <c r="H244" i="102" s="1"/>
  <c r="G244" i="102" a="1"/>
  <c r="G244" i="102" s="1"/>
  <c r="F244" i="102" a="1"/>
  <c r="F244" i="102" s="1"/>
  <c r="E244" i="102" a="1"/>
  <c r="E244" i="102" s="1"/>
  <c r="D244" i="102" a="1"/>
  <c r="D244" i="102" s="1"/>
  <c r="S243" i="102" a="1"/>
  <c r="S243" i="102" s="1"/>
  <c r="R243" i="102" a="1"/>
  <c r="R243" i="102" s="1"/>
  <c r="Q243" i="102" a="1"/>
  <c r="Q243" i="102" s="1"/>
  <c r="P243" i="102" a="1"/>
  <c r="P243" i="102" s="1"/>
  <c r="O243" i="102" a="1"/>
  <c r="O243" i="102" s="1"/>
  <c r="N243" i="102" a="1"/>
  <c r="N243" i="102" s="1"/>
  <c r="M243" i="102" a="1"/>
  <c r="M243" i="102" s="1"/>
  <c r="L243" i="102" a="1"/>
  <c r="L243" i="102" s="1"/>
  <c r="K243" i="102" a="1"/>
  <c r="K243" i="102" s="1"/>
  <c r="J243" i="102" a="1"/>
  <c r="J243" i="102" s="1"/>
  <c r="I243" i="102" a="1"/>
  <c r="I243" i="102" s="1"/>
  <c r="H243" i="102" a="1"/>
  <c r="H243" i="102" s="1"/>
  <c r="G243" i="102" a="1"/>
  <c r="G243" i="102" s="1"/>
  <c r="F243" i="102" a="1"/>
  <c r="F243" i="102" s="1"/>
  <c r="E243" i="102" a="1"/>
  <c r="E243" i="102" s="1"/>
  <c r="D243" i="102" a="1"/>
  <c r="D243" i="102" s="1"/>
  <c r="S242" i="102" a="1"/>
  <c r="S242" i="102" s="1"/>
  <c r="R242" i="102" a="1"/>
  <c r="R242" i="102" s="1"/>
  <c r="Q242" i="102" a="1"/>
  <c r="Q242" i="102" s="1"/>
  <c r="P242" i="102" a="1"/>
  <c r="P242" i="102" s="1"/>
  <c r="O242" i="102" a="1"/>
  <c r="O242" i="102" s="1"/>
  <c r="N242" i="102" a="1"/>
  <c r="N242" i="102" s="1"/>
  <c r="M242" i="102" a="1"/>
  <c r="M242" i="102" s="1"/>
  <c r="L242" i="102" a="1"/>
  <c r="L242" i="102" s="1"/>
  <c r="K242" i="102" a="1"/>
  <c r="K242" i="102" s="1"/>
  <c r="J242" i="102" a="1"/>
  <c r="J242" i="102" s="1"/>
  <c r="I242" i="102" a="1"/>
  <c r="I242" i="102" s="1"/>
  <c r="H242" i="102" a="1"/>
  <c r="H242" i="102" s="1"/>
  <c r="G242" i="102" a="1"/>
  <c r="G242" i="102" s="1"/>
  <c r="F242" i="102" a="1"/>
  <c r="F242" i="102" s="1"/>
  <c r="E242" i="102" a="1"/>
  <c r="E242" i="102" s="1"/>
  <c r="D242" i="102" a="1"/>
  <c r="D242" i="102" s="1"/>
  <c r="S241" i="102" a="1"/>
  <c r="S241" i="102" s="1"/>
  <c r="R241" i="102" a="1"/>
  <c r="R241" i="102" s="1"/>
  <c r="Q241" i="102" a="1"/>
  <c r="Q241" i="102" s="1"/>
  <c r="P241" i="102" a="1"/>
  <c r="P241" i="102" s="1"/>
  <c r="O241" i="102" a="1"/>
  <c r="O241" i="102" s="1"/>
  <c r="N241" i="102" a="1"/>
  <c r="N241" i="102" s="1"/>
  <c r="M241" i="102" a="1"/>
  <c r="M241" i="102" s="1"/>
  <c r="L241" i="102" a="1"/>
  <c r="L241" i="102" s="1"/>
  <c r="K241" i="102" a="1"/>
  <c r="K241" i="102" s="1"/>
  <c r="J241" i="102" a="1"/>
  <c r="J241" i="102" s="1"/>
  <c r="I241" i="102" a="1"/>
  <c r="I241" i="102" s="1"/>
  <c r="H241" i="102" a="1"/>
  <c r="H241" i="102" s="1"/>
  <c r="G241" i="102" a="1"/>
  <c r="G241" i="102" s="1"/>
  <c r="F241" i="102" a="1"/>
  <c r="F241" i="102" s="1"/>
  <c r="E241" i="102" a="1"/>
  <c r="E241" i="102" s="1"/>
  <c r="D241" i="102" a="1"/>
  <c r="D241" i="102" s="1"/>
  <c r="S240" i="102" a="1"/>
  <c r="S240" i="102" s="1"/>
  <c r="R240" i="102" a="1"/>
  <c r="R240" i="102" s="1"/>
  <c r="Q240" i="102" a="1"/>
  <c r="Q240" i="102" s="1"/>
  <c r="P240" i="102" a="1"/>
  <c r="P240" i="102" s="1"/>
  <c r="O240" i="102" a="1"/>
  <c r="O240" i="102" s="1"/>
  <c r="N240" i="102" a="1"/>
  <c r="N240" i="102" s="1"/>
  <c r="M240" i="102" a="1"/>
  <c r="M240" i="102" s="1"/>
  <c r="L240" i="102" a="1"/>
  <c r="L240" i="102" s="1"/>
  <c r="K240" i="102" a="1"/>
  <c r="K240" i="102" s="1"/>
  <c r="J240" i="102" a="1"/>
  <c r="J240" i="102" s="1"/>
  <c r="I240" i="102" a="1"/>
  <c r="I240" i="102" s="1"/>
  <c r="H240" i="102" a="1"/>
  <c r="H240" i="102" s="1"/>
  <c r="G240" i="102" a="1"/>
  <c r="G240" i="102" s="1"/>
  <c r="F240" i="102" a="1"/>
  <c r="F240" i="102" s="1"/>
  <c r="E240" i="102" a="1"/>
  <c r="E240" i="102" s="1"/>
  <c r="D240" i="102" a="1"/>
  <c r="D240" i="102" s="1"/>
  <c r="S239" i="102" a="1"/>
  <c r="S239" i="102" s="1"/>
  <c r="R239" i="102" a="1"/>
  <c r="R239" i="102" s="1"/>
  <c r="Q239" i="102" a="1"/>
  <c r="Q239" i="102" s="1"/>
  <c r="P239" i="102" a="1"/>
  <c r="P239" i="102" s="1"/>
  <c r="O239" i="102" a="1"/>
  <c r="O239" i="102" s="1"/>
  <c r="N239" i="102" a="1"/>
  <c r="N239" i="102" s="1"/>
  <c r="M239" i="102" a="1"/>
  <c r="M239" i="102" s="1"/>
  <c r="L239" i="102" a="1"/>
  <c r="L239" i="102" s="1"/>
  <c r="K239" i="102" a="1"/>
  <c r="K239" i="102" s="1"/>
  <c r="J239" i="102" a="1"/>
  <c r="J239" i="102" s="1"/>
  <c r="I239" i="102" a="1"/>
  <c r="I239" i="102" s="1"/>
  <c r="H239" i="102" a="1"/>
  <c r="H239" i="102" s="1"/>
  <c r="G239" i="102" a="1"/>
  <c r="G239" i="102" s="1"/>
  <c r="F239" i="102" a="1"/>
  <c r="F239" i="102" s="1"/>
  <c r="E239" i="102" a="1"/>
  <c r="E239" i="102" s="1"/>
  <c r="D239" i="102" a="1"/>
  <c r="D239" i="102" s="1"/>
  <c r="S238" i="102" a="1"/>
  <c r="S238" i="102" s="1"/>
  <c r="R238" i="102" a="1"/>
  <c r="R238" i="102" s="1"/>
  <c r="Q238" i="102" a="1"/>
  <c r="Q238" i="102" s="1"/>
  <c r="P238" i="102" a="1"/>
  <c r="P238" i="102" s="1"/>
  <c r="O238" i="102" a="1"/>
  <c r="O238" i="102" s="1"/>
  <c r="N238" i="102" a="1"/>
  <c r="N238" i="102" s="1"/>
  <c r="M238" i="102" a="1"/>
  <c r="M238" i="102" s="1"/>
  <c r="L238" i="102" a="1"/>
  <c r="L238" i="102" s="1"/>
  <c r="K238" i="102" a="1"/>
  <c r="K238" i="102" s="1"/>
  <c r="J238" i="102" a="1"/>
  <c r="J238" i="102" s="1"/>
  <c r="I238" i="102" a="1"/>
  <c r="I238" i="102" s="1"/>
  <c r="H238" i="102" a="1"/>
  <c r="H238" i="102" s="1"/>
  <c r="G238" i="102" a="1"/>
  <c r="G238" i="102" s="1"/>
  <c r="F238" i="102" a="1"/>
  <c r="F238" i="102" s="1"/>
  <c r="E238" i="102" a="1"/>
  <c r="E238" i="102" s="1"/>
  <c r="D238" i="102" a="1"/>
  <c r="D238" i="102" s="1"/>
  <c r="S237" i="102" a="1"/>
  <c r="S237" i="102" s="1"/>
  <c r="R237" i="102" a="1"/>
  <c r="R237" i="102" s="1"/>
  <c r="Q237" i="102" a="1"/>
  <c r="Q237" i="102" s="1"/>
  <c r="P237" i="102" a="1"/>
  <c r="P237" i="102" s="1"/>
  <c r="O237" i="102" a="1"/>
  <c r="O237" i="102" s="1"/>
  <c r="N237" i="102" a="1"/>
  <c r="N237" i="102" s="1"/>
  <c r="M237" i="102" a="1"/>
  <c r="M237" i="102" s="1"/>
  <c r="L237" i="102" a="1"/>
  <c r="L237" i="102" s="1"/>
  <c r="K237" i="102" a="1"/>
  <c r="K237" i="102" s="1"/>
  <c r="J237" i="102" a="1"/>
  <c r="J237" i="102" s="1"/>
  <c r="I237" i="102" a="1"/>
  <c r="I237" i="102" s="1"/>
  <c r="H237" i="102" a="1"/>
  <c r="H237" i="102" s="1"/>
  <c r="G237" i="102" a="1"/>
  <c r="G237" i="102" s="1"/>
  <c r="F237" i="102" a="1"/>
  <c r="F237" i="102" s="1"/>
  <c r="E237" i="102" a="1"/>
  <c r="E237" i="102" s="1"/>
  <c r="D237" i="102" a="1"/>
  <c r="D237" i="102" s="1"/>
  <c r="S236" i="102" a="1"/>
  <c r="S236" i="102" s="1"/>
  <c r="R236" i="102" a="1"/>
  <c r="R236" i="102" s="1"/>
  <c r="Q236" i="102" a="1"/>
  <c r="Q236" i="102" s="1"/>
  <c r="P236" i="102" a="1"/>
  <c r="P236" i="102" s="1"/>
  <c r="O236" i="102" a="1"/>
  <c r="O236" i="102" s="1"/>
  <c r="N236" i="102" a="1"/>
  <c r="N236" i="102" s="1"/>
  <c r="M236" i="102" a="1"/>
  <c r="M236" i="102" s="1"/>
  <c r="L236" i="102" a="1"/>
  <c r="L236" i="102" s="1"/>
  <c r="K236" i="102" a="1"/>
  <c r="K236" i="102" s="1"/>
  <c r="J236" i="102" a="1"/>
  <c r="J236" i="102" s="1"/>
  <c r="I236" i="102" a="1"/>
  <c r="I236" i="102" s="1"/>
  <c r="H236" i="102" a="1"/>
  <c r="H236" i="102" s="1"/>
  <c r="G236" i="102" a="1"/>
  <c r="G236" i="102" s="1"/>
  <c r="F236" i="102" a="1"/>
  <c r="F236" i="102" s="1"/>
  <c r="E236" i="102" a="1"/>
  <c r="E236" i="102" s="1"/>
  <c r="D236" i="102" a="1"/>
  <c r="D236" i="102" s="1"/>
  <c r="S235" i="102" a="1"/>
  <c r="S235" i="102" s="1"/>
  <c r="R235" i="102" a="1"/>
  <c r="R235" i="102" s="1"/>
  <c r="Q235" i="102" a="1"/>
  <c r="Q235" i="102" s="1"/>
  <c r="P235" i="102" a="1"/>
  <c r="P235" i="102" s="1"/>
  <c r="O235" i="102" a="1"/>
  <c r="O235" i="102" s="1"/>
  <c r="N235" i="102" a="1"/>
  <c r="N235" i="102" s="1"/>
  <c r="M235" i="102" a="1"/>
  <c r="M235" i="102" s="1"/>
  <c r="L235" i="102" a="1"/>
  <c r="L235" i="102" s="1"/>
  <c r="K235" i="102" a="1"/>
  <c r="K235" i="102" s="1"/>
  <c r="J235" i="102" a="1"/>
  <c r="J235" i="102" s="1"/>
  <c r="I235" i="102" a="1"/>
  <c r="I235" i="102" s="1"/>
  <c r="H235" i="102" a="1"/>
  <c r="H235" i="102" s="1"/>
  <c r="G235" i="102" a="1"/>
  <c r="G235" i="102" s="1"/>
  <c r="F235" i="102" a="1"/>
  <c r="F235" i="102" s="1"/>
  <c r="E235" i="102" a="1"/>
  <c r="E235" i="102" s="1"/>
  <c r="D235" i="102" a="1"/>
  <c r="D235" i="102" s="1"/>
  <c r="S234" i="102" a="1"/>
  <c r="S234" i="102" s="1"/>
  <c r="R234" i="102" a="1"/>
  <c r="R234" i="102" s="1"/>
  <c r="Q234" i="102" a="1"/>
  <c r="Q234" i="102" s="1"/>
  <c r="P234" i="102" a="1"/>
  <c r="P234" i="102" s="1"/>
  <c r="O234" i="102" a="1"/>
  <c r="O234" i="102" s="1"/>
  <c r="N234" i="102" a="1"/>
  <c r="N234" i="102" s="1"/>
  <c r="M234" i="102" a="1"/>
  <c r="M234" i="102" s="1"/>
  <c r="L234" i="102" a="1"/>
  <c r="L234" i="102" s="1"/>
  <c r="K234" i="102" a="1"/>
  <c r="K234" i="102" s="1"/>
  <c r="J234" i="102" a="1"/>
  <c r="J234" i="102" s="1"/>
  <c r="I234" i="102" a="1"/>
  <c r="I234" i="102" s="1"/>
  <c r="H234" i="102" a="1"/>
  <c r="H234" i="102" s="1"/>
  <c r="G234" i="102" a="1"/>
  <c r="G234" i="102" s="1"/>
  <c r="F234" i="102" a="1"/>
  <c r="F234" i="102" s="1"/>
  <c r="E234" i="102" a="1"/>
  <c r="E234" i="102" s="1"/>
  <c r="D234" i="102" a="1"/>
  <c r="D234" i="102" s="1"/>
  <c r="S233" i="102" a="1"/>
  <c r="S233" i="102" s="1"/>
  <c r="R233" i="102" a="1"/>
  <c r="R233" i="102" s="1"/>
  <c r="Q233" i="102" a="1"/>
  <c r="Q233" i="102" s="1"/>
  <c r="P233" i="102" a="1"/>
  <c r="P233" i="102" s="1"/>
  <c r="O233" i="102" a="1"/>
  <c r="O233" i="102" s="1"/>
  <c r="N233" i="102" a="1"/>
  <c r="N233" i="102" s="1"/>
  <c r="M233" i="102" a="1"/>
  <c r="M233" i="102" s="1"/>
  <c r="L233" i="102" a="1"/>
  <c r="L233" i="102" s="1"/>
  <c r="K233" i="102" a="1"/>
  <c r="K233" i="102" s="1"/>
  <c r="J233" i="102" a="1"/>
  <c r="J233" i="102" s="1"/>
  <c r="I233" i="102" a="1"/>
  <c r="I233" i="102" s="1"/>
  <c r="H233" i="102" a="1"/>
  <c r="H233" i="102" s="1"/>
  <c r="G233" i="102" a="1"/>
  <c r="G233" i="102" s="1"/>
  <c r="F233" i="102" a="1"/>
  <c r="F233" i="102" s="1"/>
  <c r="E233" i="102" a="1"/>
  <c r="E233" i="102" s="1"/>
  <c r="D233" i="102" a="1"/>
  <c r="D233" i="102" s="1"/>
  <c r="S232" i="102" a="1"/>
  <c r="S232" i="102" s="1"/>
  <c r="R232" i="102" a="1"/>
  <c r="R232" i="102" s="1"/>
  <c r="Q232" i="102" a="1"/>
  <c r="Q232" i="102" s="1"/>
  <c r="P232" i="102" a="1"/>
  <c r="P232" i="102" s="1"/>
  <c r="O232" i="102" a="1"/>
  <c r="O232" i="102" s="1"/>
  <c r="N232" i="102" a="1"/>
  <c r="N232" i="102" s="1"/>
  <c r="M232" i="102" a="1"/>
  <c r="M232" i="102" s="1"/>
  <c r="L232" i="102" a="1"/>
  <c r="L232" i="102" s="1"/>
  <c r="K232" i="102" a="1"/>
  <c r="K232" i="102" s="1"/>
  <c r="J232" i="102" a="1"/>
  <c r="J232" i="102" s="1"/>
  <c r="I232" i="102" a="1"/>
  <c r="I232" i="102" s="1"/>
  <c r="H232" i="102" a="1"/>
  <c r="H232" i="102" s="1"/>
  <c r="G232" i="102" a="1"/>
  <c r="G232" i="102" s="1"/>
  <c r="F232" i="102" a="1"/>
  <c r="F232" i="102" s="1"/>
  <c r="E232" i="102" a="1"/>
  <c r="E232" i="102" s="1"/>
  <c r="D232" i="102" a="1"/>
  <c r="D232" i="102" s="1"/>
  <c r="D229" i="102" a="1"/>
  <c r="D229" i="102" s="1"/>
  <c r="D228" i="102"/>
  <c r="D228" i="102" a="1"/>
  <c r="D227" i="102" a="1"/>
  <c r="D227" i="102" s="1"/>
  <c r="E224" i="102" a="1"/>
  <c r="E224" i="102" s="1"/>
  <c r="D224" i="102" a="1"/>
  <c r="D224" i="102" s="1"/>
  <c r="E223" i="102" a="1"/>
  <c r="E223" i="102" s="1"/>
  <c r="D223" i="102" a="1"/>
  <c r="D223" i="102" s="1"/>
  <c r="E222" i="102" a="1"/>
  <c r="E222" i="102" s="1"/>
  <c r="D222" i="102" a="1"/>
  <c r="D222" i="102" s="1"/>
  <c r="E221" i="102" a="1"/>
  <c r="E221" i="102" s="1"/>
  <c r="D221" i="102" a="1"/>
  <c r="D221" i="102" s="1"/>
  <c r="E220" i="102" a="1"/>
  <c r="E220" i="102" s="1"/>
  <c r="D220" i="102" a="1"/>
  <c r="D220" i="102" s="1"/>
  <c r="E219" i="102" a="1"/>
  <c r="E219" i="102" s="1"/>
  <c r="D219" i="102" a="1"/>
  <c r="D219" i="102" s="1"/>
  <c r="E218" i="102" a="1"/>
  <c r="E218" i="102" s="1"/>
  <c r="D218" i="102" a="1"/>
  <c r="D218" i="102" s="1"/>
  <c r="E217" i="102" a="1"/>
  <c r="E217" i="102" s="1"/>
  <c r="D217" i="102" a="1"/>
  <c r="D217" i="102" s="1"/>
  <c r="E216" i="102" a="1"/>
  <c r="E216" i="102" s="1"/>
  <c r="D216" i="102" a="1"/>
  <c r="D216" i="102" s="1"/>
  <c r="E215" i="102" a="1"/>
  <c r="E215" i="102" s="1"/>
  <c r="D215" i="102" a="1"/>
  <c r="D215" i="102" s="1"/>
  <c r="E214" i="102" a="1"/>
  <c r="E214" i="102" s="1"/>
  <c r="D214" i="102" a="1"/>
  <c r="D214" i="102" s="1"/>
  <c r="E213" i="102" a="1"/>
  <c r="E213" i="102" s="1"/>
  <c r="D213" i="102" a="1"/>
  <c r="D213" i="102" s="1"/>
  <c r="D211" i="102" a="1"/>
  <c r="D211" i="102" s="1"/>
  <c r="E208" i="102" a="1"/>
  <c r="E208" i="102" s="1"/>
  <c r="D208" i="102" a="1"/>
  <c r="D208" i="102" s="1"/>
  <c r="E207" i="102" a="1"/>
  <c r="E207" i="102" s="1"/>
  <c r="D207" i="102" a="1"/>
  <c r="D207" i="102" s="1"/>
  <c r="D205" i="102" a="1"/>
  <c r="D205" i="102" s="1"/>
  <c r="D204" i="102" a="1"/>
  <c r="D204" i="102" s="1"/>
  <c r="D203" i="102" a="1"/>
  <c r="D203" i="102" s="1"/>
  <c r="D202" i="102" a="1"/>
  <c r="D202" i="102" s="1"/>
  <c r="H199" i="102" a="1"/>
  <c r="H199" i="102" s="1"/>
  <c r="G199" i="102" a="1"/>
  <c r="G199" i="102" s="1"/>
  <c r="F199" i="102" a="1"/>
  <c r="F199" i="102" s="1"/>
  <c r="E199" i="102" a="1"/>
  <c r="E199" i="102" s="1"/>
  <c r="D199" i="102" a="1"/>
  <c r="D199" i="102" s="1"/>
  <c r="H198" i="102" a="1"/>
  <c r="H198" i="102" s="1"/>
  <c r="G198" i="102" a="1"/>
  <c r="G198" i="102" s="1"/>
  <c r="F198" i="102" a="1"/>
  <c r="F198" i="102" s="1"/>
  <c r="E198" i="102" a="1"/>
  <c r="E198" i="102" s="1"/>
  <c r="D198" i="102" a="1"/>
  <c r="D198" i="102" s="1"/>
  <c r="H197" i="102" a="1"/>
  <c r="H197" i="102" s="1"/>
  <c r="G197" i="102" a="1"/>
  <c r="G197" i="102" s="1"/>
  <c r="F197" i="102" a="1"/>
  <c r="F197" i="102" s="1"/>
  <c r="E197" i="102" a="1"/>
  <c r="E197" i="102" s="1"/>
  <c r="D197" i="102" a="1"/>
  <c r="D197" i="102" s="1"/>
  <c r="H196" i="102" a="1"/>
  <c r="H196" i="102" s="1"/>
  <c r="G196" i="102" a="1"/>
  <c r="G196" i="102" s="1"/>
  <c r="F196" i="102" a="1"/>
  <c r="F196" i="102" s="1"/>
  <c r="E196" i="102" a="1"/>
  <c r="E196" i="102" s="1"/>
  <c r="D196" i="102" a="1"/>
  <c r="D196" i="102" s="1"/>
  <c r="H195" i="102" a="1"/>
  <c r="H195" i="102" s="1"/>
  <c r="G195" i="102" a="1"/>
  <c r="G195" i="102" s="1"/>
  <c r="F195" i="102" a="1"/>
  <c r="F195" i="102" s="1"/>
  <c r="E195" i="102" a="1"/>
  <c r="E195" i="102" s="1"/>
  <c r="D195" i="102" a="1"/>
  <c r="D195" i="102" s="1"/>
  <c r="H194" i="102" a="1"/>
  <c r="H194" i="102" s="1"/>
  <c r="G194" i="102" a="1"/>
  <c r="G194" i="102" s="1"/>
  <c r="F194" i="102" a="1"/>
  <c r="F194" i="102" s="1"/>
  <c r="E194" i="102" a="1"/>
  <c r="E194" i="102" s="1"/>
  <c r="D194" i="102" a="1"/>
  <c r="D194" i="102" s="1"/>
  <c r="H193" i="102" a="1"/>
  <c r="H193" i="102" s="1"/>
  <c r="G193" i="102" a="1"/>
  <c r="G193" i="102" s="1"/>
  <c r="F193" i="102" a="1"/>
  <c r="F193" i="102" s="1"/>
  <c r="E193" i="102" a="1"/>
  <c r="E193" i="102" s="1"/>
  <c r="D193" i="102" a="1"/>
  <c r="D193" i="102" s="1"/>
  <c r="H192" i="102" a="1"/>
  <c r="H192" i="102" s="1"/>
  <c r="G192" i="102" a="1"/>
  <c r="G192" i="102" s="1"/>
  <c r="F192" i="102" a="1"/>
  <c r="F192" i="102" s="1"/>
  <c r="E192" i="102" a="1"/>
  <c r="E192" i="102" s="1"/>
  <c r="D192" i="102" a="1"/>
  <c r="D192" i="102" s="1"/>
  <c r="H191" i="102" a="1"/>
  <c r="H191" i="102" s="1"/>
  <c r="G191" i="102" a="1"/>
  <c r="G191" i="102" s="1"/>
  <c r="F191" i="102" a="1"/>
  <c r="F191" i="102" s="1"/>
  <c r="E191" i="102" a="1"/>
  <c r="E191" i="102" s="1"/>
  <c r="D191" i="102" a="1"/>
  <c r="D191" i="102" s="1"/>
  <c r="H190" i="102" a="1"/>
  <c r="H190" i="102" s="1"/>
  <c r="G190" i="102" a="1"/>
  <c r="G190" i="102" s="1"/>
  <c r="F190" i="102" a="1"/>
  <c r="F190" i="102" s="1"/>
  <c r="E190" i="102" a="1"/>
  <c r="E190" i="102" s="1"/>
  <c r="D190" i="102" a="1"/>
  <c r="D190" i="102" s="1"/>
  <c r="H189" i="102" a="1"/>
  <c r="H189" i="102" s="1"/>
  <c r="G189" i="102" a="1"/>
  <c r="G189" i="102" s="1"/>
  <c r="F189" i="102" a="1"/>
  <c r="F189" i="102" s="1"/>
  <c r="E189" i="102" a="1"/>
  <c r="E189" i="102" s="1"/>
  <c r="D189" i="102" a="1"/>
  <c r="D189" i="102" s="1"/>
  <c r="H188" i="102" a="1"/>
  <c r="H188" i="102" s="1"/>
  <c r="G188" i="102" a="1"/>
  <c r="G188" i="102" s="1"/>
  <c r="F188" i="102" a="1"/>
  <c r="F188" i="102" s="1"/>
  <c r="E188" i="102" a="1"/>
  <c r="E188" i="102" s="1"/>
  <c r="D188" i="102" a="1"/>
  <c r="D188" i="102" s="1"/>
  <c r="H187" i="102" a="1"/>
  <c r="H187" i="102" s="1"/>
  <c r="G187" i="102" a="1"/>
  <c r="G187" i="102" s="1"/>
  <c r="F187" i="102" a="1"/>
  <c r="F187" i="102" s="1"/>
  <c r="E187" i="102" a="1"/>
  <c r="E187" i="102" s="1"/>
  <c r="D187" i="102" a="1"/>
  <c r="D187" i="102" s="1"/>
  <c r="D181" i="102" a="1"/>
  <c r="D181" i="102" s="1"/>
  <c r="D180" i="102" a="1"/>
  <c r="D180" i="102" s="1"/>
  <c r="D179" i="102" a="1"/>
  <c r="D179" i="102" s="1"/>
  <c r="D178" i="102" a="1"/>
  <c r="D178" i="102" s="1"/>
  <c r="E175" i="102" a="1"/>
  <c r="E175" i="102" s="1"/>
  <c r="D175" i="102" a="1"/>
  <c r="D175" i="102" s="1"/>
  <c r="D174" i="102" a="1"/>
  <c r="D174" i="102" s="1"/>
  <c r="D173" i="102" a="1"/>
  <c r="D173" i="102" s="1"/>
  <c r="D170" i="102" a="1"/>
  <c r="D170" i="102" s="1"/>
  <c r="D169" i="102" a="1"/>
  <c r="D169" i="102" s="1"/>
  <c r="D168" i="102" a="1"/>
  <c r="D168" i="102" s="1"/>
  <c r="D167" i="102" a="1"/>
  <c r="D167" i="102" s="1"/>
  <c r="D164" i="102" a="1"/>
  <c r="D164" i="102" s="1"/>
  <c r="D163" i="102" a="1"/>
  <c r="D163" i="102" s="1"/>
  <c r="D162" i="102" a="1"/>
  <c r="D162" i="102" s="1"/>
  <c r="D161" i="102" a="1"/>
  <c r="D161" i="102" s="1"/>
  <c r="E158" i="102" a="1"/>
  <c r="E158" i="102" s="1"/>
  <c r="D158" i="102" a="1"/>
  <c r="D158" i="102" s="1"/>
  <c r="E157" i="102" a="1"/>
  <c r="E157" i="102" s="1"/>
  <c r="D157" i="102" a="1"/>
  <c r="D157" i="102" s="1"/>
  <c r="E156" i="102" a="1"/>
  <c r="E156" i="102" s="1"/>
  <c r="D156" i="102" a="1"/>
  <c r="D156" i="102" s="1"/>
  <c r="E155" i="102" a="1"/>
  <c r="E155" i="102" s="1"/>
  <c r="D155" i="102" a="1"/>
  <c r="D155" i="102" s="1"/>
  <c r="E154" i="102" a="1"/>
  <c r="E154" i="102" s="1"/>
  <c r="D154" i="102" a="1"/>
  <c r="D154" i="102" s="1"/>
  <c r="D151" i="102" a="1"/>
  <c r="D151" i="102" s="1"/>
  <c r="D150" i="102" a="1"/>
  <c r="D150" i="102" s="1"/>
  <c r="E147" i="102" a="1"/>
  <c r="E147" i="102" s="1"/>
  <c r="D147" i="102" a="1"/>
  <c r="D147" i="102" s="1"/>
  <c r="E146" i="102" a="1"/>
  <c r="E146" i="102" s="1"/>
  <c r="D146" i="102" a="1"/>
  <c r="D146" i="102" s="1"/>
  <c r="E145" i="102" a="1"/>
  <c r="E145" i="102" s="1"/>
  <c r="D145" i="102" a="1"/>
  <c r="D145" i="102" s="1"/>
  <c r="E144" i="102" a="1"/>
  <c r="E144" i="102" s="1"/>
  <c r="D144" i="102" a="1"/>
  <c r="D144" i="102" s="1"/>
  <c r="E143" i="102" a="1"/>
  <c r="E143" i="102" s="1"/>
  <c r="D143" i="102" a="1"/>
  <c r="D143" i="102" s="1"/>
  <c r="D141" i="102" a="1"/>
  <c r="D141" i="102" s="1"/>
  <c r="D140" i="102" a="1"/>
  <c r="D140" i="102" s="1"/>
  <c r="D139" i="102" a="1"/>
  <c r="D139" i="102" s="1"/>
  <c r="E136" i="102" a="1"/>
  <c r="E136" i="102" s="1"/>
  <c r="D136" i="102" a="1"/>
  <c r="D136" i="102" s="1"/>
  <c r="E135" i="102" a="1"/>
  <c r="E135" i="102" s="1"/>
  <c r="D135" i="102" a="1"/>
  <c r="D135" i="102" s="1"/>
  <c r="D133" i="102" a="1"/>
  <c r="D133" i="102" s="1"/>
  <c r="D132" i="102" a="1"/>
  <c r="D132" i="102" s="1"/>
  <c r="E129" i="102" a="1"/>
  <c r="E129" i="102" s="1"/>
  <c r="D129" i="102" a="1"/>
  <c r="D129" i="102" s="1"/>
  <c r="E128" i="102" a="1"/>
  <c r="E128" i="102" s="1"/>
  <c r="D128" i="102" a="1"/>
  <c r="D128" i="102" s="1"/>
  <c r="D125" i="102" a="1"/>
  <c r="D125" i="102" s="1"/>
  <c r="D124" i="102" a="1"/>
  <c r="D124" i="102" s="1"/>
  <c r="G121" i="102" a="1"/>
  <c r="G121" i="102" s="1"/>
  <c r="F121" i="102" a="1"/>
  <c r="F121" i="102" s="1"/>
  <c r="E121" i="102" a="1"/>
  <c r="E121" i="102" s="1"/>
  <c r="D121" i="102" a="1"/>
  <c r="D121" i="102" s="1"/>
  <c r="G120" i="102" a="1"/>
  <c r="G120" i="102" s="1"/>
  <c r="F120" i="102" a="1"/>
  <c r="F120" i="102" s="1"/>
  <c r="E120" i="102" a="1"/>
  <c r="E120" i="102" s="1"/>
  <c r="D120" i="102" a="1"/>
  <c r="D120" i="102" s="1"/>
  <c r="D117" i="102" a="1"/>
  <c r="D117" i="102" s="1"/>
  <c r="D116" i="102" a="1"/>
  <c r="D116" i="102" s="1"/>
  <c r="D115" i="102" a="1"/>
  <c r="D115" i="102" s="1"/>
  <c r="G112" i="102" a="1"/>
  <c r="G112" i="102" s="1"/>
  <c r="F112" i="102" a="1"/>
  <c r="F112" i="102" s="1"/>
  <c r="E112" i="102" a="1"/>
  <c r="E112" i="102" s="1"/>
  <c r="D112" i="102" a="1"/>
  <c r="D112" i="102" s="1"/>
  <c r="G111" i="102" a="1"/>
  <c r="G111" i="102" s="1"/>
  <c r="F111" i="102" a="1"/>
  <c r="F111" i="102" s="1"/>
  <c r="E111" i="102" a="1"/>
  <c r="E111" i="102" s="1"/>
  <c r="D111" i="102" a="1"/>
  <c r="D111" i="102" s="1"/>
  <c r="G110" i="102" a="1"/>
  <c r="G110" i="102" s="1"/>
  <c r="F110" i="102" a="1"/>
  <c r="F110" i="102" s="1"/>
  <c r="E110" i="102" a="1"/>
  <c r="E110" i="102" s="1"/>
  <c r="D110" i="102" a="1"/>
  <c r="D110" i="102" s="1"/>
  <c r="D107" i="102" a="1"/>
  <c r="D107" i="102" s="1"/>
  <c r="D106" i="102" a="1"/>
  <c r="D106" i="102" s="1"/>
  <c r="D105" i="102" a="1"/>
  <c r="D105" i="102" s="1"/>
  <c r="D99" i="102" a="1"/>
  <c r="D99" i="102" s="1"/>
  <c r="S97" i="102" a="1"/>
  <c r="S97" i="102" s="1"/>
  <c r="R97" i="102" a="1"/>
  <c r="R97" i="102" s="1"/>
  <c r="Q97" i="102" a="1"/>
  <c r="Q97" i="102" s="1"/>
  <c r="P97" i="102" a="1"/>
  <c r="P97" i="102" s="1"/>
  <c r="O97" i="102" a="1"/>
  <c r="O97" i="102" s="1"/>
  <c r="N97" i="102" a="1"/>
  <c r="N97" i="102" s="1"/>
  <c r="M97" i="102" a="1"/>
  <c r="M97" i="102" s="1"/>
  <c r="L97" i="102" a="1"/>
  <c r="L97" i="102" s="1"/>
  <c r="K97" i="102" a="1"/>
  <c r="K97" i="102" s="1"/>
  <c r="J97" i="102" a="1"/>
  <c r="J97" i="102" s="1"/>
  <c r="I97" i="102" a="1"/>
  <c r="I97" i="102" s="1"/>
  <c r="H97" i="102" a="1"/>
  <c r="H97" i="102" s="1"/>
  <c r="G97" i="102" a="1"/>
  <c r="G97" i="102" s="1"/>
  <c r="F97" i="102" a="1"/>
  <c r="F97" i="102" s="1"/>
  <c r="E97" i="102" a="1"/>
  <c r="E97" i="102" s="1"/>
  <c r="D97" i="102" a="1"/>
  <c r="D97" i="102" s="1"/>
  <c r="S96" i="102" a="1"/>
  <c r="S96" i="102" s="1"/>
  <c r="R96" i="102" a="1"/>
  <c r="R96" i="102" s="1"/>
  <c r="Q96" i="102" a="1"/>
  <c r="Q96" i="102" s="1"/>
  <c r="P96" i="102" a="1"/>
  <c r="P96" i="102" s="1"/>
  <c r="O96" i="102" a="1"/>
  <c r="O96" i="102" s="1"/>
  <c r="N96" i="102" a="1"/>
  <c r="N96" i="102" s="1"/>
  <c r="M96" i="102" a="1"/>
  <c r="M96" i="102" s="1"/>
  <c r="L96" i="102" a="1"/>
  <c r="L96" i="102" s="1"/>
  <c r="K96" i="102" a="1"/>
  <c r="K96" i="102" s="1"/>
  <c r="J96" i="102" a="1"/>
  <c r="J96" i="102" s="1"/>
  <c r="I96" i="102" a="1"/>
  <c r="I96" i="102" s="1"/>
  <c r="H96" i="102" a="1"/>
  <c r="H96" i="102" s="1"/>
  <c r="G96" i="102" a="1"/>
  <c r="G96" i="102" s="1"/>
  <c r="F96" i="102" a="1"/>
  <c r="F96" i="102" s="1"/>
  <c r="E96" i="102" a="1"/>
  <c r="E96" i="102" s="1"/>
  <c r="D96" i="102" a="1"/>
  <c r="D96" i="102" s="1"/>
  <c r="S95" i="102" a="1"/>
  <c r="S95" i="102" s="1"/>
  <c r="R95" i="102" a="1"/>
  <c r="R95" i="102" s="1"/>
  <c r="Q95" i="102" a="1"/>
  <c r="Q95" i="102" s="1"/>
  <c r="P95" i="102" a="1"/>
  <c r="P95" i="102" s="1"/>
  <c r="O95" i="102" a="1"/>
  <c r="O95" i="102" s="1"/>
  <c r="N95" i="102" a="1"/>
  <c r="N95" i="102" s="1"/>
  <c r="M95" i="102" a="1"/>
  <c r="M95" i="102" s="1"/>
  <c r="L95" i="102" a="1"/>
  <c r="L95" i="102" s="1"/>
  <c r="K95" i="102" a="1"/>
  <c r="K95" i="102" s="1"/>
  <c r="J95" i="102" a="1"/>
  <c r="J95" i="102" s="1"/>
  <c r="I95" i="102" a="1"/>
  <c r="I95" i="102" s="1"/>
  <c r="H95" i="102" a="1"/>
  <c r="H95" i="102" s="1"/>
  <c r="G95" i="102" a="1"/>
  <c r="G95" i="102" s="1"/>
  <c r="F95" i="102" a="1"/>
  <c r="F95" i="102" s="1"/>
  <c r="E95" i="102" a="1"/>
  <c r="E95" i="102" s="1"/>
  <c r="D95" i="102" a="1"/>
  <c r="D95" i="102" s="1"/>
  <c r="S94" i="102" a="1"/>
  <c r="S94" i="102" s="1"/>
  <c r="R94" i="102" a="1"/>
  <c r="R94" i="102" s="1"/>
  <c r="Q94" i="102" a="1"/>
  <c r="Q94" i="102" s="1"/>
  <c r="P94" i="102" a="1"/>
  <c r="P94" i="102" s="1"/>
  <c r="O94" i="102" a="1"/>
  <c r="O94" i="102" s="1"/>
  <c r="N94" i="102" a="1"/>
  <c r="N94" i="102" s="1"/>
  <c r="M94" i="102" a="1"/>
  <c r="M94" i="102" s="1"/>
  <c r="L94" i="102" a="1"/>
  <c r="L94" i="102" s="1"/>
  <c r="K94" i="102" a="1"/>
  <c r="K94" i="102" s="1"/>
  <c r="J94" i="102" a="1"/>
  <c r="J94" i="102" s="1"/>
  <c r="I94" i="102" a="1"/>
  <c r="I94" i="102" s="1"/>
  <c r="H94" i="102" a="1"/>
  <c r="H94" i="102" s="1"/>
  <c r="G94" i="102" a="1"/>
  <c r="G94" i="102" s="1"/>
  <c r="F94" i="102" a="1"/>
  <c r="F94" i="102" s="1"/>
  <c r="E94" i="102" a="1"/>
  <c r="E94" i="102" s="1"/>
  <c r="D94" i="102" a="1"/>
  <c r="D94" i="102" s="1"/>
  <c r="S93" i="102" a="1"/>
  <c r="S93" i="102" s="1"/>
  <c r="R93" i="102" a="1"/>
  <c r="R93" i="102" s="1"/>
  <c r="Q93" i="102" a="1"/>
  <c r="Q93" i="102" s="1"/>
  <c r="P93" i="102" a="1"/>
  <c r="P93" i="102" s="1"/>
  <c r="O93" i="102" a="1"/>
  <c r="O93" i="102" s="1"/>
  <c r="N93" i="102" a="1"/>
  <c r="N93" i="102" s="1"/>
  <c r="M93" i="102" a="1"/>
  <c r="M93" i="102" s="1"/>
  <c r="L93" i="102" a="1"/>
  <c r="L93" i="102" s="1"/>
  <c r="K93" i="102" a="1"/>
  <c r="K93" i="102" s="1"/>
  <c r="J93" i="102" a="1"/>
  <c r="J93" i="102" s="1"/>
  <c r="I93" i="102" a="1"/>
  <c r="I93" i="102" s="1"/>
  <c r="H93" i="102" a="1"/>
  <c r="H93" i="102" s="1"/>
  <c r="G93" i="102" a="1"/>
  <c r="G93" i="102" s="1"/>
  <c r="F93" i="102" a="1"/>
  <c r="F93" i="102" s="1"/>
  <c r="E93" i="102" a="1"/>
  <c r="E93" i="102" s="1"/>
  <c r="D93" i="102" a="1"/>
  <c r="D93" i="102" s="1"/>
  <c r="S92" i="102" a="1"/>
  <c r="S92" i="102" s="1"/>
  <c r="R92" i="102" a="1"/>
  <c r="R92" i="102" s="1"/>
  <c r="Q92" i="102" a="1"/>
  <c r="Q92" i="102" s="1"/>
  <c r="P92" i="102" a="1"/>
  <c r="P92" i="102" s="1"/>
  <c r="O92" i="102" a="1"/>
  <c r="O92" i="102" s="1"/>
  <c r="N92" i="102" a="1"/>
  <c r="N92" i="102" s="1"/>
  <c r="M92" i="102" a="1"/>
  <c r="M92" i="102" s="1"/>
  <c r="L92" i="102" a="1"/>
  <c r="L92" i="102" s="1"/>
  <c r="K92" i="102" a="1"/>
  <c r="K92" i="102" s="1"/>
  <c r="J92" i="102" a="1"/>
  <c r="J92" i="102" s="1"/>
  <c r="I92" i="102" a="1"/>
  <c r="I92" i="102" s="1"/>
  <c r="H92" i="102" a="1"/>
  <c r="H92" i="102" s="1"/>
  <c r="G92" i="102" a="1"/>
  <c r="G92" i="102" s="1"/>
  <c r="F92" i="102" a="1"/>
  <c r="F92" i="102" s="1"/>
  <c r="E92" i="102" a="1"/>
  <c r="E92" i="102" s="1"/>
  <c r="D92" i="102" a="1"/>
  <c r="D92" i="102" s="1"/>
  <c r="S91" i="102" a="1"/>
  <c r="S91" i="102" s="1"/>
  <c r="R91" i="102" a="1"/>
  <c r="R91" i="102" s="1"/>
  <c r="Q91" i="102" a="1"/>
  <c r="Q91" i="102" s="1"/>
  <c r="P91" i="102" a="1"/>
  <c r="P91" i="102" s="1"/>
  <c r="O91" i="102" a="1"/>
  <c r="O91" i="102" s="1"/>
  <c r="N91" i="102" a="1"/>
  <c r="N91" i="102" s="1"/>
  <c r="M91" i="102" a="1"/>
  <c r="M91" i="102" s="1"/>
  <c r="L91" i="102" a="1"/>
  <c r="L91" i="102" s="1"/>
  <c r="K91" i="102" a="1"/>
  <c r="K91" i="102" s="1"/>
  <c r="J91" i="102" a="1"/>
  <c r="J91" i="102" s="1"/>
  <c r="I91" i="102" a="1"/>
  <c r="I91" i="102" s="1"/>
  <c r="H91" i="102" a="1"/>
  <c r="H91" i="102" s="1"/>
  <c r="G91" i="102" a="1"/>
  <c r="G91" i="102" s="1"/>
  <c r="F91" i="102" a="1"/>
  <c r="F91" i="102" s="1"/>
  <c r="E91" i="102" a="1"/>
  <c r="E91" i="102" s="1"/>
  <c r="D91" i="102" a="1"/>
  <c r="D91" i="102" s="1"/>
  <c r="S90" i="102" a="1"/>
  <c r="S90" i="102" s="1"/>
  <c r="R90" i="102" a="1"/>
  <c r="R90" i="102" s="1"/>
  <c r="Q90" i="102" a="1"/>
  <c r="Q90" i="102" s="1"/>
  <c r="P90" i="102" a="1"/>
  <c r="P90" i="102" s="1"/>
  <c r="O90" i="102" a="1"/>
  <c r="O90" i="102" s="1"/>
  <c r="N90" i="102" a="1"/>
  <c r="N90" i="102" s="1"/>
  <c r="M90" i="102" a="1"/>
  <c r="M90" i="102" s="1"/>
  <c r="L90" i="102" a="1"/>
  <c r="L90" i="102" s="1"/>
  <c r="K90" i="102" a="1"/>
  <c r="K90" i="102" s="1"/>
  <c r="J90" i="102" a="1"/>
  <c r="J90" i="102" s="1"/>
  <c r="I90" i="102" a="1"/>
  <c r="I90" i="102" s="1"/>
  <c r="H90" i="102" a="1"/>
  <c r="H90" i="102" s="1"/>
  <c r="G90" i="102" a="1"/>
  <c r="G90" i="102" s="1"/>
  <c r="F90" i="102" a="1"/>
  <c r="F90" i="102" s="1"/>
  <c r="E90" i="102" a="1"/>
  <c r="E90" i="102" s="1"/>
  <c r="D90" i="102" a="1"/>
  <c r="D90" i="102" s="1"/>
  <c r="D83" i="102" a="1"/>
  <c r="D83" i="102" s="1"/>
  <c r="D82" i="102" a="1"/>
  <c r="D82" i="102" s="1"/>
  <c r="D81" i="102" a="1"/>
  <c r="D81" i="102" s="1"/>
  <c r="E77" i="102" a="1"/>
  <c r="E77" i="102" s="1"/>
  <c r="D77" i="102" a="1"/>
  <c r="D77" i="102" s="1"/>
  <c r="E76" i="102" a="1"/>
  <c r="E76" i="102" s="1"/>
  <c r="D76" i="102" a="1"/>
  <c r="D76" i="102" s="1"/>
  <c r="E75" i="102" a="1"/>
  <c r="E75" i="102" s="1"/>
  <c r="D75" i="102" a="1"/>
  <c r="D75" i="102" s="1"/>
  <c r="E74" i="102" a="1"/>
  <c r="E74" i="102" s="1"/>
  <c r="D74" i="102" a="1"/>
  <c r="D74" i="102" s="1"/>
  <c r="E73" i="102" a="1"/>
  <c r="E73" i="102" s="1"/>
  <c r="D73" i="102" a="1"/>
  <c r="D73" i="102" s="1"/>
  <c r="E72" i="102" a="1"/>
  <c r="E72" i="102" s="1"/>
  <c r="D72" i="102" a="1"/>
  <c r="D72" i="102" s="1"/>
  <c r="E71" i="102" a="1"/>
  <c r="E71" i="102" s="1"/>
  <c r="D71" i="102" a="1"/>
  <c r="D71" i="102" s="1"/>
  <c r="E70" i="102" a="1"/>
  <c r="E70" i="102" s="1"/>
  <c r="D70" i="102" a="1"/>
  <c r="D70" i="102" s="1"/>
  <c r="E69" i="102" a="1"/>
  <c r="E69" i="102" s="1"/>
  <c r="D69" i="102" a="1"/>
  <c r="D69" i="102" s="1"/>
  <c r="E68" i="102" a="1"/>
  <c r="E68" i="102" s="1"/>
  <c r="D68" i="102" a="1"/>
  <c r="D68" i="102" s="1"/>
  <c r="E67" i="102" a="1"/>
  <c r="E67" i="102" s="1"/>
  <c r="D67" i="102" a="1"/>
  <c r="D67" i="102" s="1"/>
  <c r="E66" i="102" a="1"/>
  <c r="E66" i="102" s="1"/>
  <c r="D66" i="102" a="1"/>
  <c r="D66" i="102" s="1"/>
  <c r="E65" i="102" a="1"/>
  <c r="E65" i="102" s="1"/>
  <c r="D65" i="102" a="1"/>
  <c r="D65" i="102" s="1"/>
  <c r="E64" i="102" a="1"/>
  <c r="E64" i="102" s="1"/>
  <c r="D64" i="102" a="1"/>
  <c r="D64" i="102" s="1"/>
  <c r="D59" i="102" a="1"/>
  <c r="D59" i="102" s="1"/>
  <c r="D58" i="102" a="1"/>
  <c r="D58" i="102" s="1"/>
  <c r="D57" i="102" a="1"/>
  <c r="D57" i="102" s="1"/>
  <c r="G54" i="102" a="1"/>
  <c r="G54" i="102" s="1"/>
  <c r="F54" i="102" a="1"/>
  <c r="F54" i="102" s="1"/>
  <c r="E54" i="102" a="1"/>
  <c r="E54" i="102" s="1"/>
  <c r="D54" i="102" a="1"/>
  <c r="D54" i="102" s="1"/>
  <c r="G53" i="102" a="1"/>
  <c r="G53" i="102" s="1"/>
  <c r="F53" i="102" a="1"/>
  <c r="F53" i="102" s="1"/>
  <c r="E53" i="102" a="1"/>
  <c r="E53" i="102" s="1"/>
  <c r="D53" i="102" a="1"/>
  <c r="D53" i="102" s="1"/>
  <c r="G52" i="102" a="1"/>
  <c r="G52" i="102" s="1"/>
  <c r="F52" i="102" a="1"/>
  <c r="F52" i="102" s="1"/>
  <c r="E52" i="102" a="1"/>
  <c r="E52" i="102" s="1"/>
  <c r="D52" i="102" a="1"/>
  <c r="D52" i="102" s="1"/>
  <c r="G51" i="102" a="1"/>
  <c r="G51" i="102" s="1"/>
  <c r="F51" i="102" a="1"/>
  <c r="F51" i="102" s="1"/>
  <c r="E51" i="102" a="1"/>
  <c r="E51" i="102" s="1"/>
  <c r="D51" i="102" a="1"/>
  <c r="D51" i="102" s="1"/>
  <c r="G50" i="102" a="1"/>
  <c r="G50" i="102" s="1"/>
  <c r="F50" i="102" a="1"/>
  <c r="F50" i="102" s="1"/>
  <c r="E50" i="102" a="1"/>
  <c r="E50" i="102" s="1"/>
  <c r="D50" i="102" a="1"/>
  <c r="D50" i="102" s="1"/>
  <c r="G49" i="102" a="1"/>
  <c r="G49" i="102" s="1"/>
  <c r="F49" i="102" a="1"/>
  <c r="F49" i="102" s="1"/>
  <c r="E49" i="102" a="1"/>
  <c r="E49" i="102" s="1"/>
  <c r="D49" i="102" a="1"/>
  <c r="D49" i="102" s="1"/>
  <c r="G48" i="102" a="1"/>
  <c r="G48" i="102" s="1"/>
  <c r="F48" i="102" a="1"/>
  <c r="F48" i="102" s="1"/>
  <c r="E48" i="102" a="1"/>
  <c r="E48" i="102" s="1"/>
  <c r="D48" i="102" a="1"/>
  <c r="D48" i="102" s="1"/>
  <c r="D46" i="102"/>
  <c r="D46" i="102" a="1"/>
  <c r="D45" i="102" a="1"/>
  <c r="D45" i="102" s="1"/>
  <c r="E43" i="102" a="1"/>
  <c r="E43" i="102" s="1"/>
  <c r="D43" i="102" a="1"/>
  <c r="D43" i="102" s="1"/>
  <c r="E42" i="102" a="1"/>
  <c r="E42" i="102" s="1"/>
  <c r="D42" i="102" a="1"/>
  <c r="D42" i="102" s="1"/>
  <c r="E41" i="102" a="1"/>
  <c r="E41" i="102" s="1"/>
  <c r="D41" i="102" a="1"/>
  <c r="D41" i="102" s="1"/>
  <c r="E40" i="102" a="1"/>
  <c r="E40" i="102" s="1"/>
  <c r="D40" i="102" a="1"/>
  <c r="D40" i="102" s="1"/>
  <c r="E39" i="102" a="1"/>
  <c r="E39" i="102" s="1"/>
  <c r="D39" i="102" a="1"/>
  <c r="D39" i="102" s="1"/>
  <c r="E38" i="102" a="1"/>
  <c r="E38" i="102" s="1"/>
  <c r="D38" i="102" a="1"/>
  <c r="D38" i="102" s="1"/>
  <c r="E37" i="102" a="1"/>
  <c r="E37" i="102" s="1"/>
  <c r="D37" i="102" a="1"/>
  <c r="D37" i="102" s="1"/>
  <c r="D35" i="102" a="1"/>
  <c r="D35" i="102" s="1"/>
  <c r="D34" i="102" a="1"/>
  <c r="D34" i="102" s="1"/>
  <c r="D30" i="102" a="1"/>
  <c r="D30" i="102" s="1"/>
  <c r="D29" i="102" a="1"/>
  <c r="D29" i="102" s="1"/>
  <c r="D28" i="102" a="1"/>
  <c r="D28" i="102" s="1"/>
  <c r="D27" i="102" a="1"/>
  <c r="D27" i="102" s="1"/>
  <c r="D26" i="102" a="1"/>
  <c r="D26" i="102" s="1"/>
  <c r="D25" i="102" a="1"/>
  <c r="D25" i="102" s="1"/>
  <c r="D24" i="102" a="1"/>
  <c r="D24" i="102" s="1"/>
  <c r="D23" i="102" a="1"/>
  <c r="D23" i="102" s="1"/>
  <c r="D22" i="102" a="1"/>
  <c r="D22" i="102" s="1"/>
  <c r="D21" i="102" a="1"/>
  <c r="D21" i="102" s="1"/>
  <c r="D19" i="102" a="1"/>
  <c r="D19" i="102" s="1"/>
  <c r="D18" i="102" a="1"/>
  <c r="D18" i="102" s="1"/>
  <c r="F14" i="102" a="1"/>
  <c r="F14" i="102" s="1"/>
  <c r="E14" i="102" a="1"/>
  <c r="E14" i="102" s="1"/>
  <c r="D14" i="102" a="1"/>
  <c r="D14" i="102" s="1"/>
  <c r="F13" i="102" a="1"/>
  <c r="F13" i="102" s="1"/>
  <c r="E13" i="102" a="1"/>
  <c r="E13" i="102" s="1"/>
  <c r="D13" i="102" a="1"/>
  <c r="D13" i="102" s="1"/>
  <c r="F12" i="102" a="1"/>
  <c r="F12" i="102" s="1"/>
  <c r="E12" i="102" a="1"/>
  <c r="E12" i="102" s="1"/>
  <c r="D12" i="102" a="1"/>
  <c r="D12" i="102" s="1"/>
  <c r="F11" i="102" a="1"/>
  <c r="F11" i="102" s="1"/>
  <c r="E11" i="102" a="1"/>
  <c r="E11" i="102" s="1"/>
  <c r="D11" i="102" a="1"/>
  <c r="D11" i="102" s="1"/>
  <c r="F10" i="102" a="1"/>
  <c r="F10" i="102" s="1"/>
  <c r="E10" i="102" a="1"/>
  <c r="E10" i="102" s="1"/>
  <c r="D10" i="102" a="1"/>
  <c r="D10" i="102" s="1"/>
  <c r="F9" i="102" a="1"/>
  <c r="F9" i="102" s="1"/>
  <c r="E9" i="102" a="1"/>
  <c r="E9" i="102" s="1"/>
  <c r="D9" i="102" a="1"/>
  <c r="D9" i="102" s="1"/>
  <c r="F8" i="102" a="1"/>
  <c r="F8" i="102" s="1"/>
  <c r="E8" i="102" a="1"/>
  <c r="E8" i="102" s="1"/>
  <c r="D8" i="102" a="1"/>
  <c r="D8" i="102" s="1"/>
  <c r="F7" i="102" a="1"/>
  <c r="F7" i="102" s="1"/>
  <c r="E7" i="102" a="1"/>
  <c r="E7" i="102" s="1"/>
  <c r="D7" i="102" a="1"/>
  <c r="D7" i="102" s="1"/>
  <c r="D5" i="102" a="1"/>
  <c r="D5" i="102" s="1"/>
  <c r="A21" i="43"/>
  <c r="A20" i="43"/>
  <c r="A19" i="43"/>
  <c r="A18" i="43"/>
  <c r="A15" i="43"/>
  <c r="A14" i="43"/>
  <c r="A13" i="43"/>
  <c r="A12" i="43"/>
  <c r="A9" i="43"/>
  <c r="A8" i="43"/>
  <c r="A5" i="43"/>
  <c r="A4" i="43"/>
  <c r="A3" i="43"/>
  <c r="A21" i="79"/>
  <c r="A20" i="79"/>
  <c r="A19" i="79"/>
  <c r="A18" i="79"/>
  <c r="A15" i="79"/>
  <c r="A14" i="79"/>
  <c r="A13" i="79"/>
  <c r="A12" i="79"/>
  <c r="A9" i="79"/>
  <c r="A8" i="79"/>
  <c r="A5" i="79"/>
  <c r="A4" i="79"/>
  <c r="A3" i="79"/>
  <c r="A21" i="81"/>
  <c r="A20" i="81"/>
  <c r="A19" i="81"/>
  <c r="A18" i="81"/>
  <c r="A15" i="81"/>
  <c r="A14" i="81"/>
  <c r="A13" i="81"/>
  <c r="A12" i="81"/>
  <c r="A9" i="81"/>
  <c r="A8" i="81"/>
  <c r="A5" i="81"/>
  <c r="A4" i="81"/>
  <c r="A3" i="81"/>
  <c r="A21" i="82"/>
  <c r="A20" i="82"/>
  <c r="A19" i="82"/>
  <c r="A18" i="82"/>
  <c r="A15" i="82"/>
  <c r="A14" i="82"/>
  <c r="A13" i="82"/>
  <c r="A12" i="82"/>
  <c r="A9" i="82"/>
  <c r="A8" i="82"/>
  <c r="A5" i="82"/>
  <c r="A4" i="82"/>
  <c r="A3" i="82"/>
  <c r="A21" i="76"/>
  <c r="A20" i="76"/>
  <c r="A19" i="76"/>
  <c r="A18" i="76"/>
  <c r="A15" i="76"/>
  <c r="A14" i="76"/>
  <c r="A13" i="76"/>
  <c r="A12" i="76"/>
  <c r="A9" i="76"/>
  <c r="A8" i="76"/>
  <c r="A5" i="76"/>
  <c r="A4" i="76"/>
  <c r="A3" i="76"/>
  <c r="A21" i="69"/>
  <c r="A20" i="69"/>
  <c r="A19" i="69"/>
  <c r="A18" i="69"/>
  <c r="A15" i="69"/>
  <c r="A14" i="69"/>
  <c r="A13" i="69"/>
  <c r="A12" i="69"/>
  <c r="A9" i="69"/>
  <c r="A8" i="69"/>
  <c r="A5" i="69"/>
  <c r="A4" i="69"/>
  <c r="A3" i="69"/>
  <c r="A21" i="13"/>
  <c r="A20" i="13"/>
  <c r="A19" i="13"/>
  <c r="A18" i="13"/>
  <c r="A15" i="13"/>
  <c r="A14" i="13"/>
  <c r="A13" i="13"/>
  <c r="A12" i="13"/>
  <c r="A9" i="13"/>
  <c r="A8" i="13"/>
  <c r="A5" i="13"/>
  <c r="A4" i="13"/>
  <c r="A3" i="13"/>
  <c r="A21" i="100"/>
  <c r="A20" i="100"/>
  <c r="A19" i="100"/>
  <c r="A18" i="100"/>
  <c r="A15" i="100"/>
  <c r="A14" i="100"/>
  <c r="A13" i="100"/>
  <c r="A12" i="100"/>
  <c r="A9" i="100"/>
  <c r="A8" i="100"/>
  <c r="A5" i="100"/>
  <c r="A4" i="100"/>
  <c r="A3" i="100"/>
  <c r="A21" i="15"/>
  <c r="A20" i="15"/>
  <c r="A19" i="15"/>
  <c r="A18" i="15"/>
  <c r="A15" i="15"/>
  <c r="A14" i="15"/>
  <c r="A13" i="15"/>
  <c r="A12" i="15"/>
  <c r="A9" i="15"/>
  <c r="A8" i="15"/>
  <c r="A5" i="15"/>
  <c r="A4" i="15"/>
  <c r="A3" i="15"/>
  <c r="A4" i="70"/>
  <c r="H54" i="102" l="1"/>
  <c r="H48" i="102"/>
  <c r="H52" i="102"/>
  <c r="H50" i="102"/>
  <c r="H53" i="102"/>
  <c r="H51" i="102"/>
  <c r="H49" i="102"/>
  <c r="I140" i="69" a="1"/>
  <c r="I140" i="69" s="1"/>
  <c r="I139" i="69" a="1"/>
  <c r="I139" i="69" s="1"/>
  <c r="I138" i="69" a="1"/>
  <c r="I138" i="69" s="1"/>
  <c r="G138" i="69" a="1"/>
  <c r="G138" i="69" s="1"/>
  <c r="G145" i="69" s="1"/>
  <c r="D138" i="69" a="1"/>
  <c r="D138" i="69" s="1"/>
  <c r="R115" i="69"/>
  <c r="R113" i="69" s="1"/>
  <c r="P110" i="69" a="1"/>
  <c r="P110" i="69" s="1"/>
  <c r="M110" i="69" a="1"/>
  <c r="M110" i="69" s="1"/>
  <c r="I112" i="69" a="1"/>
  <c r="I112" i="69" s="1"/>
  <c r="I110" i="69" a="1"/>
  <c r="I110" i="69" s="1"/>
  <c r="G110" i="69" a="1"/>
  <c r="G110" i="69" s="1"/>
  <c r="D110" i="69" a="1"/>
  <c r="D110" i="69" s="1"/>
  <c r="R73" i="69" a="1"/>
  <c r="R73" i="69" s="1"/>
  <c r="R75" i="69"/>
  <c r="P69" i="69" a="1"/>
  <c r="P69" i="69" s="1"/>
  <c r="M69" i="69" a="1"/>
  <c r="M69" i="69" s="1"/>
  <c r="I73" i="69" a="1"/>
  <c r="I73" i="69" s="1"/>
  <c r="I72" i="69" a="1"/>
  <c r="I72" i="69" s="1"/>
  <c r="I70" i="69" a="1"/>
  <c r="I70" i="69" s="1"/>
  <c r="G69" i="69" a="1"/>
  <c r="G69" i="69" s="1"/>
  <c r="D69" i="69" a="1"/>
  <c r="D69" i="69" s="1"/>
  <c r="N89" i="69"/>
  <c r="M89" i="69"/>
  <c r="M88" i="69"/>
  <c r="M87" i="69"/>
  <c r="O87" i="69" l="1"/>
  <c r="O88" i="69"/>
  <c r="O89" i="69"/>
  <c r="R150" i="69"/>
  <c r="P87" i="69"/>
  <c r="G159" i="69"/>
  <c r="G87" i="69"/>
  <c r="I150" i="69"/>
  <c r="I80" i="69"/>
  <c r="H120" i="69"/>
  <c r="P42" i="69" a="1"/>
  <c r="P42" i="69" s="1"/>
  <c r="M42" i="69" a="1"/>
  <c r="M42" i="69" s="1"/>
  <c r="R44" i="69" a="1"/>
  <c r="R44" i="69" s="1"/>
  <c r="R42" i="69" a="1"/>
  <c r="R42" i="69" s="1"/>
  <c r="I44" i="69" a="1"/>
  <c r="I44" i="69" s="1"/>
  <c r="I42" i="69" a="1"/>
  <c r="I42" i="69" s="1"/>
  <c r="G42" i="69" a="1"/>
  <c r="G42" i="69" s="1"/>
  <c r="D42" i="69" a="1"/>
  <c r="D42" i="69" s="1"/>
  <c r="H14" i="69" a="1"/>
  <c r="H14" i="69" s="1"/>
  <c r="H13" i="69" a="1"/>
  <c r="H13" i="69" s="1"/>
  <c r="E89" i="69"/>
  <c r="D89" i="69"/>
  <c r="H81" i="69"/>
  <c r="G81" i="69"/>
  <c r="F81" i="69"/>
  <c r="K188" i="76" l="1" a="1"/>
  <c r="K188" i="76" s="1"/>
  <c r="J188" i="76" a="1"/>
  <c r="J188" i="76" s="1"/>
  <c r="I188" i="76" a="1"/>
  <c r="I188" i="76" s="1"/>
  <c r="I189" i="76" a="1"/>
  <c r="I189" i="76" s="1"/>
  <c r="G188" i="76" a="1"/>
  <c r="G188" i="76" s="1"/>
  <c r="D188" i="76" a="1"/>
  <c r="D188" i="76" s="1"/>
  <c r="I162" i="76" a="1"/>
  <c r="I162" i="76" s="1"/>
  <c r="I161" i="76" a="1"/>
  <c r="I161" i="76" s="1"/>
  <c r="G161" i="76" a="1"/>
  <c r="G161" i="76" s="1"/>
  <c r="D161" i="76" a="1"/>
  <c r="D161" i="76" s="1"/>
  <c r="I141" i="76" a="1"/>
  <c r="I141" i="76" s="1"/>
  <c r="I144" i="76" a="1"/>
  <c r="I144" i="76" s="1"/>
  <c r="G141" i="76" a="1"/>
  <c r="G141" i="76" s="1"/>
  <c r="D141" i="76" a="1"/>
  <c r="D141" i="76" s="1"/>
  <c r="I119" i="76" a="1"/>
  <c r="I119" i="76" s="1"/>
  <c r="I118" i="76" a="1"/>
  <c r="I118" i="76" s="1"/>
  <c r="G118" i="76" a="1"/>
  <c r="G118" i="76" s="1"/>
  <c r="D118" i="76" a="1"/>
  <c r="D118" i="76" s="1"/>
  <c r="I96" i="76" a="1"/>
  <c r="I96" i="76" s="1"/>
  <c r="I95" i="76" a="1"/>
  <c r="I95" i="76" s="1"/>
  <c r="G95" i="76" a="1"/>
  <c r="G95" i="76" s="1"/>
  <c r="D95" i="76" a="1"/>
  <c r="D95" i="76" s="1"/>
  <c r="H68" i="76" a="1"/>
  <c r="H68" i="76" s="1"/>
  <c r="H67" i="76" a="1"/>
  <c r="H67" i="76" s="1"/>
  <c r="H66" i="76" a="1"/>
  <c r="H66" i="76" s="1"/>
  <c r="I43" i="76" a="1"/>
  <c r="I43" i="76" s="1"/>
  <c r="I44" i="76" a="1"/>
  <c r="I44" i="76" s="1"/>
  <c r="G43" i="76" a="1"/>
  <c r="G43" i="76" s="1"/>
  <c r="D43" i="76" a="1"/>
  <c r="D43" i="76" s="1"/>
  <c r="I14" i="76" a="1"/>
  <c r="I14" i="76" s="1"/>
  <c r="I13" i="76" a="1"/>
  <c r="I13" i="76" s="1"/>
  <c r="G13" i="76" a="1"/>
  <c r="G13" i="76" s="1"/>
  <c r="D13" i="76" a="1"/>
  <c r="D13" i="76" s="1"/>
  <c r="J77" i="81" a="1"/>
  <c r="J77" i="81" s="1"/>
  <c r="J76" i="81" a="1"/>
  <c r="J76" i="81" s="1"/>
  <c r="J75" i="81" a="1"/>
  <c r="J75" i="81" s="1"/>
  <c r="J74" i="81" a="1"/>
  <c r="J74" i="81" s="1"/>
  <c r="J17" i="81" a="1"/>
  <c r="J17" i="81" s="1"/>
  <c r="J16" i="81" a="1"/>
  <c r="J16" i="81" s="1"/>
  <c r="J15" i="81" a="1"/>
  <c r="J15" i="81" s="1"/>
  <c r="J14" i="81" a="1"/>
  <c r="J14" i="81" s="1"/>
  <c r="H74" i="81" a="1"/>
  <c r="H74" i="81" s="1"/>
  <c r="D74" i="81" a="1"/>
  <c r="D74" i="81" s="1"/>
  <c r="H14" i="81" a="1"/>
  <c r="H14" i="81" s="1"/>
  <c r="D14" i="81" a="1"/>
  <c r="D14" i="81" s="1"/>
  <c r="P58" i="82" a="1"/>
  <c r="P58" i="82" s="1"/>
  <c r="M58" i="82" a="1"/>
  <c r="M58" i="82" s="1"/>
  <c r="G58" i="82" a="1"/>
  <c r="G58" i="82" s="1"/>
  <c r="D58" i="82" a="1"/>
  <c r="D58" i="82" s="1"/>
  <c r="I15" i="82" a="1"/>
  <c r="I15" i="82" s="1"/>
  <c r="I14" i="82" a="1"/>
  <c r="I14" i="82" s="1"/>
  <c r="G14" i="82" l="1" a="1"/>
  <c r="D14" i="82" a="1"/>
  <c r="D14" i="82" s="1"/>
  <c r="E50" i="81"/>
  <c r="N108" i="81"/>
  <c r="D108" i="81"/>
  <c r="D100" i="81"/>
  <c r="N84" i="81"/>
  <c r="D84" i="81"/>
  <c r="E101" i="81"/>
  <c r="E99" i="81"/>
  <c r="E98" i="81"/>
  <c r="D42" i="81"/>
  <c r="E49" i="81"/>
  <c r="E48" i="81"/>
  <c r="E51" i="81"/>
  <c r="D37" i="70"/>
  <c r="D31" i="70"/>
  <c r="M43" i="82"/>
  <c r="D43" i="82"/>
  <c r="M26" i="82"/>
  <c r="D26" i="82"/>
  <c r="N58" i="81"/>
  <c r="D58" i="81"/>
  <c r="D50" i="81"/>
  <c r="D24" i="81"/>
  <c r="N24" i="81"/>
  <c r="O209" i="76"/>
  <c r="D209" i="76"/>
  <c r="N167" i="69"/>
  <c r="E167" i="69"/>
  <c r="N153" i="69"/>
  <c r="E153" i="69"/>
  <c r="M98" i="69"/>
  <c r="D98" i="69"/>
  <c r="E82" i="69"/>
  <c r="D82" i="69"/>
  <c r="O176" i="76"/>
  <c r="D176" i="76"/>
  <c r="G168" i="76"/>
  <c r="F168" i="76"/>
  <c r="E168" i="76"/>
  <c r="D169" i="76"/>
  <c r="G169" i="76" l="1"/>
  <c r="H82" i="69"/>
  <c r="F169" i="76"/>
  <c r="G82" i="69"/>
  <c r="E169" i="76"/>
  <c r="F82" i="69"/>
  <c r="G14" i="82"/>
  <c r="F32" i="82"/>
  <c r="Q23" i="82" l="1"/>
  <c r="H23" i="82"/>
  <c r="E186" i="76" a="1"/>
  <c r="E186" i="76" s="1"/>
  <c r="E185" i="76" a="1"/>
  <c r="E185" i="76" s="1"/>
  <c r="D180" i="76" a="1"/>
  <c r="D180" i="76" s="1"/>
  <c r="D179" i="76" a="1"/>
  <c r="D179" i="76" s="1"/>
  <c r="E159" i="76" a="1"/>
  <c r="E159" i="76" s="1"/>
  <c r="E158" i="76" a="1"/>
  <c r="E158" i="76" s="1"/>
  <c r="D154" i="76" a="1"/>
  <c r="D154" i="76" s="1"/>
  <c r="D153" i="76" a="1"/>
  <c r="D153" i="76" s="1"/>
  <c r="E139" i="76" a="1"/>
  <c r="E139" i="76" s="1"/>
  <c r="E138" i="76" a="1"/>
  <c r="E138" i="76" s="1"/>
  <c r="D134" i="76" a="1"/>
  <c r="D134" i="76" s="1"/>
  <c r="D133" i="76" a="1"/>
  <c r="D133" i="76" s="1"/>
  <c r="E116" i="76" a="1"/>
  <c r="E116" i="76" s="1"/>
  <c r="E115" i="76" a="1"/>
  <c r="E115" i="76" s="1"/>
  <c r="D111" i="76" a="1"/>
  <c r="D111" i="76" s="1"/>
  <c r="D110" i="76" a="1"/>
  <c r="D110" i="76" s="1"/>
  <c r="E93" i="76" a="1"/>
  <c r="E93" i="76" s="1"/>
  <c r="E92" i="76" a="1"/>
  <c r="E92" i="76" s="1"/>
  <c r="D88" i="76" a="1"/>
  <c r="D88" i="76" s="1"/>
  <c r="D87" i="76" a="1"/>
  <c r="D87" i="76" s="1"/>
  <c r="D66" i="76" a="1"/>
  <c r="D66" i="76" s="1"/>
  <c r="E64" i="76" a="1"/>
  <c r="E64" i="76" s="1"/>
  <c r="E63" i="76" a="1"/>
  <c r="E63" i="76" s="1"/>
  <c r="D59" i="76" a="1"/>
  <c r="D59" i="76" s="1"/>
  <c r="D58" i="76" a="1"/>
  <c r="D58" i="76" s="1"/>
  <c r="E41" i="76" a="1"/>
  <c r="E41" i="76" s="1"/>
  <c r="E40" i="76" a="1"/>
  <c r="E40" i="76" s="1"/>
  <c r="D35" i="76" a="1"/>
  <c r="D35" i="76" s="1"/>
  <c r="D34" i="76" a="1"/>
  <c r="D34" i="76" s="1"/>
  <c r="E11" i="76" a="1"/>
  <c r="E11" i="76" s="1"/>
  <c r="E10" i="76" a="1"/>
  <c r="E10" i="76" s="1"/>
  <c r="D6" i="76" a="1"/>
  <c r="D6" i="76" s="1"/>
  <c r="D5" i="76" a="1"/>
  <c r="D5" i="76" s="1"/>
  <c r="H176" i="76" l="1"/>
  <c r="S176" i="76"/>
  <c r="H209" i="76"/>
  <c r="S209" i="76"/>
  <c r="A21" i="70"/>
  <c r="A20" i="70"/>
  <c r="A19" i="70"/>
  <c r="A18" i="70"/>
  <c r="A15" i="70"/>
  <c r="A14" i="70"/>
  <c r="A13" i="70"/>
  <c r="A12" i="70"/>
  <c r="A9" i="70"/>
  <c r="A8" i="70"/>
  <c r="A5" i="70"/>
  <c r="A3" i="70"/>
  <c r="O70" i="82" a="1"/>
  <c r="O70" i="82" s="1"/>
  <c r="M67" i="82" a="1"/>
  <c r="M67" i="82" s="1"/>
  <c r="F70" i="82" a="1"/>
  <c r="F70" i="82" s="1"/>
  <c r="D67" i="82" a="1"/>
  <c r="D67" i="82" s="1"/>
  <c r="D51" i="82" a="1"/>
  <c r="D51" i="82" s="1"/>
  <c r="I61" i="82"/>
  <c r="I62" i="82"/>
  <c r="E52" i="82" a="1"/>
  <c r="E52" i="82" l="1"/>
  <c r="E56" i="82" a="1"/>
  <c r="E56" i="82" s="1"/>
  <c r="E55" i="82" a="1"/>
  <c r="E55" i="82" s="1"/>
  <c r="D50" i="82" a="1"/>
  <c r="D50" i="82" s="1"/>
  <c r="M40" i="82"/>
  <c r="M23" i="82"/>
  <c r="D40" i="82"/>
  <c r="D32" i="82"/>
  <c r="D23" i="82"/>
  <c r="D6" i="82" a="1"/>
  <c r="D6" i="82" s="1"/>
  <c r="E11" i="82" a="1"/>
  <c r="E11" i="82" s="1"/>
  <c r="E12" i="82" a="1"/>
  <c r="E12" i="82" s="1"/>
  <c r="Q40" i="82" s="1"/>
  <c r="D5" i="82" a="1"/>
  <c r="D5" i="82" s="1"/>
  <c r="D66" i="81" a="1"/>
  <c r="D66" i="81" s="1"/>
  <c r="E71" i="81" a="1"/>
  <c r="E71" i="81" s="1"/>
  <c r="E72" i="81" a="1"/>
  <c r="E72" i="81" s="1"/>
  <c r="D65" i="81" a="1"/>
  <c r="D65" i="81" s="1"/>
  <c r="D6" i="81" a="1"/>
  <c r="D6" i="81" s="1"/>
  <c r="D91" i="81" s="1"/>
  <c r="D39" i="81"/>
  <c r="D30" i="81"/>
  <c r="E11" i="81" a="1"/>
  <c r="E11" i="81" s="1"/>
  <c r="E12" i="81" a="1"/>
  <c r="E12" i="81" s="1"/>
  <c r="D5" i="81" a="1"/>
  <c r="D5" i="81" s="1"/>
  <c r="O176" i="69" a="1"/>
  <c r="O176" i="69" s="1"/>
  <c r="M173" i="69" a="1"/>
  <c r="M173" i="69" s="1"/>
  <c r="N164" i="69"/>
  <c r="N150" i="69"/>
  <c r="M57" i="69"/>
  <c r="Q217" i="76" a="1"/>
  <c r="Q217" i="76" s="1"/>
  <c r="O214" i="76" a="1"/>
  <c r="O214" i="76" s="1"/>
  <c r="O206" i="76"/>
  <c r="D214" i="76" a="1"/>
  <c r="D214" i="76" s="1"/>
  <c r="F217" i="76" a="1"/>
  <c r="F217" i="76" s="1"/>
  <c r="D206" i="76"/>
  <c r="D195" i="76"/>
  <c r="E67" i="81" a="1"/>
  <c r="E7" i="82" a="1"/>
  <c r="E181" i="76" a="1"/>
  <c r="E7" i="81" a="1"/>
  <c r="R84" i="81" l="1"/>
  <c r="H84" i="81"/>
  <c r="R108" i="81"/>
  <c r="H108" i="81"/>
  <c r="F46" i="82"/>
  <c r="F87" i="81"/>
  <c r="G18" i="13" s="1"/>
  <c r="H58" i="81"/>
  <c r="R58" i="81"/>
  <c r="I63" i="82"/>
  <c r="I59" i="82" s="1"/>
  <c r="O65" i="82"/>
  <c r="F65" i="82"/>
  <c r="G9" i="13" s="1"/>
  <c r="H57" i="81"/>
  <c r="H40" i="82"/>
  <c r="O46" i="82"/>
  <c r="E7" i="82"/>
  <c r="R56" i="81"/>
  <c r="R59" i="81"/>
  <c r="P61" i="81"/>
  <c r="R107" i="81"/>
  <c r="R109" i="81"/>
  <c r="P87" i="81"/>
  <c r="E67" i="81"/>
  <c r="E7" i="81"/>
  <c r="H82" i="81"/>
  <c r="H85" i="81"/>
  <c r="H106" i="81"/>
  <c r="H107" i="81"/>
  <c r="H83" i="81"/>
  <c r="R82" i="81"/>
  <c r="R83" i="81"/>
  <c r="H56" i="81"/>
  <c r="H109" i="81"/>
  <c r="R106" i="81"/>
  <c r="R85" i="81"/>
  <c r="H59" i="81"/>
  <c r="R57" i="81"/>
  <c r="F111" i="81"/>
  <c r="G17" i="13" s="1"/>
  <c r="P111" i="81"/>
  <c r="F61" i="81"/>
  <c r="G16" i="13" s="1"/>
  <c r="E181" i="76"/>
  <c r="G149" i="76" l="1"/>
  <c r="G167" i="76"/>
  <c r="F167" i="76"/>
  <c r="E167" i="76"/>
  <c r="H80" i="69"/>
  <c r="G80" i="69"/>
  <c r="F80" i="69"/>
  <c r="O106" i="76"/>
  <c r="E101" i="76"/>
  <c r="D106" i="76"/>
  <c r="G101" i="76"/>
  <c r="F101" i="76"/>
  <c r="D101" i="76"/>
  <c r="S106" i="76"/>
  <c r="F73" i="76"/>
  <c r="E73" i="76"/>
  <c r="D73" i="76"/>
  <c r="F78" i="76"/>
  <c r="E78" i="76"/>
  <c r="D78" i="76"/>
  <c r="R83" i="76"/>
  <c r="R54" i="76"/>
  <c r="D117" i="79"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I142" i="76"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I143" i="76"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R45" i="69" s="1"/>
  <c r="E89" i="79" a="1"/>
  <c r="E89" i="79" s="1"/>
  <c r="D89" i="79" a="1"/>
  <c r="D89" i="79" s="1"/>
  <c r="D83" i="79" a="1"/>
  <c r="D83" i="79" s="1"/>
  <c r="D82" i="79" a="1"/>
  <c r="D82" i="79" s="1"/>
  <c r="D81" i="79" a="1"/>
  <c r="D81" i="79" s="1"/>
  <c r="F22" i="79" a="1"/>
  <c r="F22" i="79" s="1"/>
  <c r="E22" i="79" a="1"/>
  <c r="E22" i="79" s="1"/>
  <c r="R43" i="6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R30" i="76"/>
  <c r="A39" i="74"/>
  <c r="A38" i="74"/>
  <c r="A37" i="74"/>
  <c r="A36" i="74"/>
  <c r="A33" i="74"/>
  <c r="A30" i="74"/>
  <c r="A29" i="74"/>
  <c r="A28" i="74"/>
  <c r="A27" i="74"/>
  <c r="A26" i="74"/>
  <c r="A25" i="74"/>
  <c r="A24" i="74"/>
  <c r="A19" i="74"/>
  <c r="A18" i="74"/>
  <c r="A15" i="74"/>
  <c r="A14" i="74"/>
  <c r="A13" i="74"/>
  <c r="A12" i="74"/>
  <c r="A11" i="74"/>
  <c r="A10" i="74"/>
  <c r="A9" i="74"/>
  <c r="A8" i="74"/>
  <c r="A7" i="74"/>
  <c r="A4" i="74"/>
  <c r="E89" i="76" a="1"/>
  <c r="E135" i="76" a="1"/>
  <c r="E60" i="76" a="1"/>
  <c r="E36" i="76" a="1"/>
  <c r="E7" i="76" a="1"/>
  <c r="E112" i="76" a="1"/>
  <c r="E155" i="76" a="1"/>
  <c r="F89" i="69" l="1" a="1"/>
  <c r="F89" i="69" s="1"/>
  <c r="E33" i="81"/>
  <c r="E42" i="81"/>
  <c r="H129" i="76"/>
  <c r="E32" i="82"/>
  <c r="E195" i="76"/>
  <c r="E30" i="81"/>
  <c r="F49" i="76"/>
  <c r="E39" i="81"/>
  <c r="O49" i="76"/>
  <c r="P49" i="76"/>
  <c r="Q49" i="76"/>
  <c r="D49" i="76"/>
  <c r="E49" i="76"/>
  <c r="S175" i="76"/>
  <c r="S174" i="76"/>
  <c r="H174" i="76"/>
  <c r="H175" i="76"/>
  <c r="S129" i="76"/>
  <c r="R149" i="76"/>
  <c r="S207" i="76"/>
  <c r="Q212" i="76"/>
  <c r="S210" i="76"/>
  <c r="F212" i="76"/>
  <c r="G8" i="13" s="1"/>
  <c r="S208" i="76"/>
  <c r="H210" i="76"/>
  <c r="H208" i="76"/>
  <c r="H207" i="76"/>
  <c r="H206" i="76"/>
  <c r="S206" i="76"/>
  <c r="E155" i="76"/>
  <c r="E135" i="76"/>
  <c r="E112" i="76"/>
  <c r="H106" i="76"/>
  <c r="E60" i="76"/>
  <c r="E89" i="76"/>
  <c r="G83" i="76"/>
  <c r="G30" i="76"/>
  <c r="G54" i="76"/>
  <c r="E36" i="76"/>
  <c r="E7" i="76"/>
  <c r="F20" i="76"/>
  <c r="E20" i="76"/>
  <c r="D20" i="76"/>
  <c r="Q25" i="76"/>
  <c r="D25" i="76"/>
  <c r="E25" i="76"/>
  <c r="F25" i="76"/>
  <c r="M25" i="69"/>
  <c r="O25" i="76"/>
  <c r="P25" i="76"/>
  <c r="N25" i="69"/>
  <c r="O25" i="69"/>
  <c r="I15" i="76"/>
  <c r="E164" i="69"/>
  <c r="D173" i="69" a="1"/>
  <c r="D173" i="69" s="1"/>
  <c r="F176" i="69" a="1"/>
  <c r="F176" i="69" s="1"/>
  <c r="E131" i="69" a="1"/>
  <c r="F30" i="76" l="1" a="1"/>
  <c r="F30" i="76" s="1"/>
  <c r="F54" i="76" s="1" a="1"/>
  <c r="F54" i="76" s="1"/>
  <c r="F83" i="76" s="1" a="1"/>
  <c r="F83" i="76" s="1"/>
  <c r="G106" i="76" s="1" a="1"/>
  <c r="G106" i="76" s="1"/>
  <c r="E30" i="76" a="1"/>
  <c r="E30" i="76" s="1"/>
  <c r="E54" i="76" s="1" a="1"/>
  <c r="E54" i="76" s="1"/>
  <c r="E83" i="76" s="1" a="1"/>
  <c r="E83" i="76" s="1"/>
  <c r="F106" i="76" s="1" a="1"/>
  <c r="F106" i="76" s="1"/>
  <c r="D30" i="76" a="1"/>
  <c r="D30" i="76" s="1"/>
  <c r="D54" i="76" s="1" a="1"/>
  <c r="D54" i="76" s="1"/>
  <c r="D83" i="76" s="1" a="1"/>
  <c r="D83" i="76" s="1"/>
  <c r="M20" i="69"/>
  <c r="O20" i="76"/>
  <c r="N20" i="69"/>
  <c r="P20" i="76"/>
  <c r="O20" i="69"/>
  <c r="Q20" i="76"/>
  <c r="E131" i="69"/>
  <c r="F206" i="76" l="1" a="1"/>
  <c r="F206" i="76" s="1"/>
  <c r="Q30" i="76" a="1"/>
  <c r="Q30" i="76" s="1"/>
  <c r="Q54" i="76" s="1" a="1"/>
  <c r="Q54" i="76" s="1"/>
  <c r="Q83" i="76" s="1" a="1"/>
  <c r="Q83" i="76" s="1"/>
  <c r="P30" i="76" a="1"/>
  <c r="P30" i="76" s="1"/>
  <c r="P54" i="76" s="1" a="1"/>
  <c r="P54" i="76" s="1"/>
  <c r="P83" i="76" s="1" a="1"/>
  <c r="P83" i="76" s="1"/>
  <c r="O30" i="76" a="1"/>
  <c r="O30" i="76" s="1"/>
  <c r="O54" i="76" s="1" a="1"/>
  <c r="O54" i="76" s="1"/>
  <c r="O83" i="76" s="1" a="1"/>
  <c r="O83" i="76" s="1"/>
  <c r="E106" i="76" a="1"/>
  <c r="E106" i="76" s="1"/>
  <c r="G206" i="76" a="1"/>
  <c r="G206" i="76" s="1"/>
  <c r="G23" i="82"/>
  <c r="G40" i="82" s="1" a="1"/>
  <c r="G40" i="82" s="1"/>
  <c r="F23" i="82"/>
  <c r="F40" i="82" s="1" a="1"/>
  <c r="F40" i="82" s="1"/>
  <c r="E150" i="69"/>
  <c r="F159" i="69"/>
  <c r="E159" i="69"/>
  <c r="D159" i="69"/>
  <c r="F145" i="69"/>
  <c r="E145" i="69"/>
  <c r="D145" i="69"/>
  <c r="P106" i="76" l="1" a="1"/>
  <c r="P106" i="76" s="1"/>
  <c r="Q106" i="76" a="1"/>
  <c r="Q106" i="76" s="1"/>
  <c r="E206" i="76" a="1"/>
  <c r="E206" i="76" s="1"/>
  <c r="R106" i="76" a="1"/>
  <c r="R106" i="76" s="1"/>
  <c r="E23" i="82"/>
  <c r="E40" i="82" s="1" a="1"/>
  <c r="E40" i="82" s="1"/>
  <c r="E136" i="69" a="1"/>
  <c r="E136" i="69" s="1"/>
  <c r="E135" i="69" a="1"/>
  <c r="E135" i="69" s="1"/>
  <c r="D130" i="69" a="1"/>
  <c r="D130" i="69" s="1"/>
  <c r="D129" i="69" a="1"/>
  <c r="D129" i="69" s="1"/>
  <c r="D103" i="69" a="1"/>
  <c r="D103" i="69" s="1"/>
  <c r="E107" i="69" a="1"/>
  <c r="E107" i="69" s="1"/>
  <c r="E108" i="69" a="1"/>
  <c r="E108" i="69" s="1"/>
  <c r="D102" i="69" a="1"/>
  <c r="D102" i="69" s="1"/>
  <c r="E67" i="69" a="1"/>
  <c r="E67" i="69" s="1"/>
  <c r="E66" i="69" a="1"/>
  <c r="E66" i="69" s="1"/>
  <c r="D62" i="69" a="1"/>
  <c r="D62" i="69" s="1"/>
  <c r="D61" i="69" a="1"/>
  <c r="D61" i="69" s="1"/>
  <c r="E40" i="69" a="1"/>
  <c r="E40" i="69" s="1"/>
  <c r="E39" i="69" a="1"/>
  <c r="E39" i="69" s="1"/>
  <c r="D35" i="69" a="1"/>
  <c r="D35" i="69" s="1"/>
  <c r="D34" i="69" a="1"/>
  <c r="D34" i="69" s="1"/>
  <c r="D13" i="69" a="1"/>
  <c r="D13" i="69" s="1"/>
  <c r="E11" i="69" a="1"/>
  <c r="E11" i="69" s="1"/>
  <c r="E10" i="69" a="1"/>
  <c r="E10" i="69" s="1"/>
  <c r="D6" i="69" a="1"/>
  <c r="D6" i="69" s="1"/>
  <c r="D5" i="69" a="1"/>
  <c r="D5" i="69" s="1"/>
  <c r="D88" i="69"/>
  <c r="D87" i="69"/>
  <c r="E104" i="69" a="1"/>
  <c r="E63" i="69" a="1"/>
  <c r="P206" i="76" l="1" a="1"/>
  <c r="P206" i="76" s="1"/>
  <c r="N23" i="82"/>
  <c r="N40" i="82" s="1" a="1"/>
  <c r="N40" i="82" s="1"/>
  <c r="Q206" i="76" a="1"/>
  <c r="Q206" i="76" s="1"/>
  <c r="O23" i="82"/>
  <c r="O40" i="82" s="1" a="1"/>
  <c r="O40" i="82" s="1"/>
  <c r="R206" i="76" a="1"/>
  <c r="R206" i="76" s="1"/>
  <c r="P23" i="82"/>
  <c r="P40" i="82" s="1" a="1"/>
  <c r="P40" i="82" s="1"/>
  <c r="G30" i="69"/>
  <c r="P30" i="69"/>
  <c r="I45" i="69"/>
  <c r="R164" i="69"/>
  <c r="H173" i="69"/>
  <c r="Q173" i="69"/>
  <c r="I164" i="69"/>
  <c r="O171" i="69"/>
  <c r="F171" i="69"/>
  <c r="G7" i="13" s="1"/>
  <c r="H125" i="69"/>
  <c r="Q125" i="69"/>
  <c r="H96" i="69"/>
  <c r="Q96" i="69"/>
  <c r="H57" i="69"/>
  <c r="Q57" i="69"/>
  <c r="E63" i="69"/>
  <c r="E104" i="69"/>
  <c r="D81" i="69"/>
  <c r="D80" i="69"/>
  <c r="D57" i="69"/>
  <c r="G52" i="69"/>
  <c r="F52" i="69"/>
  <c r="E52" i="69"/>
  <c r="D52" i="69"/>
  <c r="F25" i="69"/>
  <c r="E25" i="69"/>
  <c r="D25" i="69"/>
  <c r="F20" i="69"/>
  <c r="E20" i="69"/>
  <c r="D20" i="69"/>
  <c r="H15" i="69"/>
  <c r="I69" i="69"/>
  <c r="E7" i="69" a="1"/>
  <c r="E36" i="69" a="1"/>
  <c r="D30" i="69" l="1" a="1"/>
  <c r="D30" i="69" s="1"/>
  <c r="M30" i="69" a="1"/>
  <c r="M30" i="69" s="1"/>
  <c r="O30" i="69" a="1"/>
  <c r="O30" i="69" s="1"/>
  <c r="N30" i="69" a="1"/>
  <c r="N30" i="69" s="1"/>
  <c r="E30" i="69" a="1"/>
  <c r="E30" i="69" s="1"/>
  <c r="I43" i="69"/>
  <c r="I111" i="69"/>
  <c r="F30" i="69" a="1"/>
  <c r="F30" i="69" s="1"/>
  <c r="I113" i="69"/>
  <c r="I71" i="69"/>
  <c r="D58" i="69"/>
  <c r="E36" i="69"/>
  <c r="E7" i="69"/>
  <c r="O57" i="69" l="1" a="1"/>
  <c r="O57" i="69" s="1"/>
  <c r="P150" i="69" s="1"/>
  <c r="P164" i="69" s="1" a="1"/>
  <c r="P164" i="69" s="1"/>
  <c r="P57" i="69" a="1"/>
  <c r="P57" i="69" s="1"/>
  <c r="Q150" i="69" s="1"/>
  <c r="Q164" i="69" s="1" a="1"/>
  <c r="Q164" i="69" s="1"/>
  <c r="N57" i="69" a="1"/>
  <c r="N57" i="69" s="1"/>
  <c r="O150" i="69" s="1"/>
  <c r="O164" i="69" s="1" a="1"/>
  <c r="O164" i="69" s="1"/>
  <c r="E120" i="69"/>
  <c r="E124" i="76"/>
  <c r="F120" i="69"/>
  <c r="F124" i="76"/>
  <c r="G120" i="69"/>
  <c r="G125" i="69" s="1" a="1"/>
  <c r="G125" i="69" s="1"/>
  <c r="H154" i="69" s="1"/>
  <c r="H168" i="69" s="1" a="1"/>
  <c r="H168" i="69" s="1"/>
  <c r="G124" i="76"/>
  <c r="G57" i="69" a="1"/>
  <c r="G57" i="69" s="1"/>
  <c r="H150" i="69" s="1"/>
  <c r="H164" i="69" s="1" a="1"/>
  <c r="H164" i="69" s="1"/>
  <c r="E57" i="69" a="1"/>
  <c r="E57" i="69" s="1"/>
  <c r="F57" i="69" a="1"/>
  <c r="F57" i="69" s="1"/>
  <c r="G150" i="69" s="1"/>
  <c r="G164" i="69" s="1" a="1"/>
  <c r="G164" i="69" s="1"/>
  <c r="G129" i="76" l="1" a="1"/>
  <c r="G129" i="76" s="1"/>
  <c r="F149" i="76" s="1" a="1"/>
  <c r="F149" i="76" s="1"/>
  <c r="G176" i="76" s="1" a="1"/>
  <c r="G176" i="76" s="1"/>
  <c r="G24" i="81" s="1"/>
  <c r="R129" i="76" a="1"/>
  <c r="R129" i="76" s="1"/>
  <c r="Q149" i="76" s="1" a="1"/>
  <c r="Q149" i="76" s="1"/>
  <c r="R176" i="76" s="1" a="1"/>
  <c r="R176" i="76" s="1"/>
  <c r="Q24" i="81" s="1"/>
  <c r="F129" i="76" a="1"/>
  <c r="F129" i="76" s="1"/>
  <c r="E149" i="76" s="1" a="1"/>
  <c r="E149" i="76" s="1"/>
  <c r="F176" i="76" s="1" a="1"/>
  <c r="F176" i="76" s="1"/>
  <c r="F24" i="81" s="1"/>
  <c r="Q129" i="76" a="1"/>
  <c r="Q129" i="76" s="1"/>
  <c r="P149" i="76" s="1" a="1"/>
  <c r="P149" i="76" s="1"/>
  <c r="Q176" i="76" s="1" a="1"/>
  <c r="Q176" i="76" s="1"/>
  <c r="P24" i="81" s="1"/>
  <c r="E129" i="76" a="1"/>
  <c r="E129" i="76" s="1"/>
  <c r="D149" i="76" s="1" a="1"/>
  <c r="D149" i="76" s="1"/>
  <c r="E176" i="76" s="1" a="1"/>
  <c r="E176" i="76" s="1"/>
  <c r="E24" i="81" s="1"/>
  <c r="P129" i="76" a="1"/>
  <c r="P129" i="76" s="1"/>
  <c r="O149" i="76" s="1" a="1"/>
  <c r="O149" i="76" s="1"/>
  <c r="P176" i="76" s="1" a="1"/>
  <c r="P176" i="76" s="1"/>
  <c r="O24" i="81" s="1"/>
  <c r="E125" i="69" a="1"/>
  <c r="E125" i="69" s="1"/>
  <c r="F154" i="69" s="1"/>
  <c r="F168" i="69" s="1" a="1"/>
  <c r="F168" i="69" s="1"/>
  <c r="F125" i="69" a="1"/>
  <c r="F125" i="69" s="1"/>
  <c r="G154" i="69" s="1"/>
  <c r="G168" i="69" s="1" a="1"/>
  <c r="G168" i="69" s="1"/>
  <c r="F150" i="69"/>
  <c r="F164" i="69" s="1" a="1"/>
  <c r="F164" i="69" s="1"/>
  <c r="G27" i="82" l="1"/>
  <c r="F27" i="82"/>
  <c r="P174" i="76" a="1"/>
  <c r="P174" i="76" s="1"/>
  <c r="P175" i="76" a="1"/>
  <c r="P175" i="76" s="1"/>
  <c r="E174" i="76" a="1"/>
  <c r="E174" i="76" s="1"/>
  <c r="E175" i="76" a="1"/>
  <c r="E175" i="76" s="1"/>
  <c r="Q174" i="76" a="1"/>
  <c r="Q174" i="76" s="1"/>
  <c r="Q175" i="76" a="1"/>
  <c r="Q175" i="76" s="1"/>
  <c r="E27" i="82"/>
  <c r="F175" i="76" a="1"/>
  <c r="F175" i="76" s="1"/>
  <c r="F174" i="76" a="1"/>
  <c r="F174" i="76" s="1"/>
  <c r="R174" i="76" a="1"/>
  <c r="R174" i="76" s="1"/>
  <c r="R175" i="76" a="1"/>
  <c r="R175" i="76" s="1"/>
  <c r="G174" i="76" a="1"/>
  <c r="G174" i="76" s="1"/>
  <c r="G175" i="76" a="1"/>
  <c r="G175" i="76" s="1"/>
  <c r="O25" i="81"/>
  <c r="N27" i="82"/>
  <c r="Q25" i="81"/>
  <c r="P27" i="82"/>
  <c r="P25" i="81"/>
  <c r="O27" i="82"/>
  <c r="E25" i="81"/>
  <c r="F25" i="81"/>
  <c r="G25" i="81"/>
  <c r="F27" i="43"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F25" i="82" l="1"/>
  <c r="D29" i="79"/>
  <c r="D32" i="70" s="1"/>
  <c r="N87" i="69" s="1"/>
  <c r="G25" i="82"/>
  <c r="D30" i="79"/>
  <c r="D33" i="70" s="1"/>
  <c r="N88" i="69" s="1"/>
  <c r="E25" i="82"/>
  <c r="D38" i="70"/>
  <c r="O98" i="69" l="1" a="1"/>
  <c r="O98" i="69" s="1"/>
  <c r="P98" i="69" a="1"/>
  <c r="P98" i="69" s="1"/>
  <c r="N98" i="69" a="1"/>
  <c r="N98" i="69" s="1"/>
  <c r="M41" i="82"/>
  <c r="D24" i="82"/>
  <c r="D33" i="82"/>
  <c r="E33" i="82" s="1"/>
  <c r="M24" i="82"/>
  <c r="D41" i="82"/>
  <c r="G22" i="81"/>
  <c r="G24" i="82"/>
  <c r="F22" i="81"/>
  <c r="F24" i="82"/>
  <c r="P23" i="81"/>
  <c r="O25" i="82"/>
  <c r="O22" i="81"/>
  <c r="N24" i="82"/>
  <c r="Q22" i="81"/>
  <c r="P24" i="82"/>
  <c r="P22" i="81"/>
  <c r="O24" i="82"/>
  <c r="E22" i="81"/>
  <c r="E24" i="82"/>
  <c r="O23" i="81"/>
  <c r="N25" i="82"/>
  <c r="Q23" i="81"/>
  <c r="P25" i="82"/>
  <c r="M27" i="82"/>
  <c r="D44" i="82"/>
  <c r="D27" i="82"/>
  <c r="M44" i="82"/>
  <c r="D35" i="82"/>
  <c r="E35" i="82" s="1"/>
  <c r="M25" i="82"/>
  <c r="D42" i="82"/>
  <c r="D34" i="82"/>
  <c r="E34" i="82" s="1"/>
  <c r="G42" i="82" s="1" a="1"/>
  <c r="G42" i="82" s="1"/>
  <c r="M42" i="82"/>
  <c r="D25" i="82"/>
  <c r="N106" i="81"/>
  <c r="N56" i="81"/>
  <c r="D56" i="81"/>
  <c r="N82" i="81"/>
  <c r="D106" i="81"/>
  <c r="D98" i="81"/>
  <c r="D82" i="81"/>
  <c r="N22" i="81"/>
  <c r="N85" i="81"/>
  <c r="D109" i="81"/>
  <c r="N59" i="81"/>
  <c r="D85" i="81"/>
  <c r="D101" i="81"/>
  <c r="N25" i="81"/>
  <c r="N109" i="81"/>
  <c r="D59" i="81"/>
  <c r="D107" i="81"/>
  <c r="D99" i="81"/>
  <c r="N83" i="81"/>
  <c r="N57" i="81"/>
  <c r="D57" i="81"/>
  <c r="D83" i="81"/>
  <c r="N23" i="81"/>
  <c r="N107" i="81"/>
  <c r="D23" i="81"/>
  <c r="D49" i="81"/>
  <c r="D41" i="81"/>
  <c r="E41" i="81" s="1"/>
  <c r="D32" i="81"/>
  <c r="E32" i="81" s="1"/>
  <c r="D31" i="81"/>
  <c r="D22" i="81"/>
  <c r="D48" i="81"/>
  <c r="D40" i="81"/>
  <c r="E40" i="81" s="1"/>
  <c r="D34" i="81"/>
  <c r="E34" i="81" s="1"/>
  <c r="D25" i="81"/>
  <c r="D51" i="81"/>
  <c r="D43" i="81"/>
  <c r="E43" i="81" s="1"/>
  <c r="G23" i="81"/>
  <c r="F23" i="81"/>
  <c r="E23" i="81"/>
  <c r="O208" i="76"/>
  <c r="O175" i="76"/>
  <c r="N152" i="69"/>
  <c r="D197" i="76"/>
  <c r="E197" i="76" s="1"/>
  <c r="M97" i="69"/>
  <c r="D208" i="76"/>
  <c r="N166" i="69"/>
  <c r="D175" i="76"/>
  <c r="D168" i="76"/>
  <c r="D97" i="69"/>
  <c r="E166" i="69"/>
  <c r="E152" i="69"/>
  <c r="E88" i="69"/>
  <c r="F88" i="69" s="1" a="1"/>
  <c r="F88" i="69" s="1"/>
  <c r="E81" i="69"/>
  <c r="O207" i="76"/>
  <c r="O174" i="76"/>
  <c r="N151" i="69"/>
  <c r="D196" i="76"/>
  <c r="D207" i="76"/>
  <c r="N165" i="69"/>
  <c r="M96" i="69"/>
  <c r="D167" i="76"/>
  <c r="D174" i="76"/>
  <c r="D96" i="69"/>
  <c r="E151" i="69"/>
  <c r="E87" i="69"/>
  <c r="E80" i="69"/>
  <c r="E165" i="69"/>
  <c r="O210" i="76"/>
  <c r="M125" i="69"/>
  <c r="D125" i="69"/>
  <c r="D120" i="69"/>
  <c r="N154" i="69"/>
  <c r="D198" i="76"/>
  <c r="E198" i="76" s="1"/>
  <c r="O129" i="76"/>
  <c r="D210" i="76"/>
  <c r="N168" i="69"/>
  <c r="D129" i="76"/>
  <c r="D124" i="76"/>
  <c r="E168" i="69"/>
  <c r="E154" i="69"/>
  <c r="F87" i="69" l="1" a="1"/>
  <c r="F87" i="69" s="1"/>
  <c r="G96" i="69" s="1" a="1"/>
  <c r="G96" i="69" s="1"/>
  <c r="H151" i="69" s="1"/>
  <c r="H165" i="69" s="1" a="1"/>
  <c r="H165" i="69" s="1"/>
  <c r="E98" i="69" a="1"/>
  <c r="E98" i="69" s="1"/>
  <c r="G98" i="69" a="1"/>
  <c r="G98" i="69" s="1"/>
  <c r="F98" i="69" a="1"/>
  <c r="F98" i="69" s="1"/>
  <c r="E97" i="69" a="1"/>
  <c r="E97" i="69" s="1"/>
  <c r="F152" i="69" s="1"/>
  <c r="F166" i="69" s="1" a="1"/>
  <c r="F166" i="69" s="1"/>
  <c r="G97" i="69" a="1"/>
  <c r="G97" i="69" s="1"/>
  <c r="H152" i="69" s="1"/>
  <c r="H166" i="69" s="1" a="1"/>
  <c r="H166" i="69" s="1"/>
  <c r="F97" i="69" a="1"/>
  <c r="F97" i="69" s="1"/>
  <c r="G152" i="69" s="1"/>
  <c r="G166" i="69" s="1" a="1"/>
  <c r="G166" i="69" s="1"/>
  <c r="P97" i="69" a="1"/>
  <c r="P97" i="69" s="1"/>
  <c r="Q152" i="69" s="1"/>
  <c r="Q166" i="69" s="1" a="1"/>
  <c r="Q166" i="69" s="1"/>
  <c r="O97" i="69" a="1"/>
  <c r="O97" i="69" s="1"/>
  <c r="P152" i="69" s="1"/>
  <c r="P166" i="69" s="1" a="1"/>
  <c r="P166" i="69" s="1"/>
  <c r="N97" i="69" a="1"/>
  <c r="N97" i="69" s="1"/>
  <c r="O152" i="69" s="1"/>
  <c r="O166" i="69" s="1" a="1"/>
  <c r="O166" i="69" s="1"/>
  <c r="N125" i="69" a="1"/>
  <c r="N125" i="69" s="1"/>
  <c r="O154" i="69" s="1"/>
  <c r="O168" i="69" s="1" a="1"/>
  <c r="O168" i="69" s="1"/>
  <c r="O125" i="69" a="1"/>
  <c r="O125" i="69" s="1"/>
  <c r="P154" i="69" s="1"/>
  <c r="P168" i="69" s="1" a="1"/>
  <c r="P168" i="69" s="1"/>
  <c r="P125" i="69" a="1"/>
  <c r="P125" i="69" s="1"/>
  <c r="Q154" i="69" s="1"/>
  <c r="Q168" i="69" s="1" a="1"/>
  <c r="Q168" i="69" s="1"/>
  <c r="O96" i="69" a="1"/>
  <c r="O96" i="69" s="1"/>
  <c r="P151" i="69" s="1"/>
  <c r="P165" i="69" s="1" a="1"/>
  <c r="P165" i="69" s="1"/>
  <c r="N96" i="69" a="1"/>
  <c r="N96" i="69" s="1"/>
  <c r="O151" i="69" s="1"/>
  <c r="O165" i="69" s="1" a="1"/>
  <c r="O165" i="69" s="1"/>
  <c r="P96" i="69" a="1"/>
  <c r="P96" i="69" s="1"/>
  <c r="Q151" i="69" s="1"/>
  <c r="Q165" i="69" s="1" a="1"/>
  <c r="Q165" i="69" s="1"/>
  <c r="F57" i="81" a="1"/>
  <c r="F57" i="81" s="1"/>
  <c r="E57" i="81" a="1"/>
  <c r="E57" i="81" s="1"/>
  <c r="G57" i="81" a="1"/>
  <c r="G57" i="81" s="1"/>
  <c r="P57" i="81" a="1"/>
  <c r="P57" i="81" s="1"/>
  <c r="O57" i="81" a="1"/>
  <c r="O57" i="81" s="1"/>
  <c r="Q57" i="81" a="1"/>
  <c r="Q57" i="81" s="1"/>
  <c r="F107" i="81" a="1"/>
  <c r="F107" i="81" s="1"/>
  <c r="G107" i="81" a="1"/>
  <c r="G107" i="81" s="1"/>
  <c r="E107" i="81" a="1"/>
  <c r="E107" i="81" s="1"/>
  <c r="G59" i="81" a="1"/>
  <c r="G59" i="81" s="1"/>
  <c r="F59" i="81" a="1"/>
  <c r="F59" i="81" s="1"/>
  <c r="E59" i="81" a="1"/>
  <c r="E59" i="81" s="1"/>
  <c r="E31" i="81"/>
  <c r="E56" i="81" s="1" a="1"/>
  <c r="E56" i="81" s="1"/>
  <c r="O84" i="81" a="1"/>
  <c r="O84" i="81" s="1"/>
  <c r="E58" i="81" a="1"/>
  <c r="E58" i="81" s="1"/>
  <c r="P108" i="81" a="1"/>
  <c r="P108" i="81" s="1"/>
  <c r="F108" i="81" a="1"/>
  <c r="F108" i="81" s="1"/>
  <c r="O108" i="81" a="1"/>
  <c r="O108" i="81" s="1"/>
  <c r="E84" i="81" a="1"/>
  <c r="E84" i="81" s="1"/>
  <c r="P58" i="81" a="1"/>
  <c r="P58" i="81" s="1"/>
  <c r="E108" i="81" a="1"/>
  <c r="E108" i="81" s="1"/>
  <c r="G58" i="81" a="1"/>
  <c r="G58" i="81" s="1"/>
  <c r="G84" i="81" a="1"/>
  <c r="G84" i="81" s="1"/>
  <c r="Q84" i="81" a="1"/>
  <c r="Q84" i="81" s="1"/>
  <c r="Q58" i="81" a="1"/>
  <c r="Q58" i="81" s="1"/>
  <c r="Q108" i="81" a="1"/>
  <c r="Q108" i="81" s="1"/>
  <c r="P84" i="81" a="1"/>
  <c r="P84" i="81" s="1"/>
  <c r="F84" i="81" a="1"/>
  <c r="F84" i="81" s="1"/>
  <c r="G108" i="81" a="1"/>
  <c r="G108" i="81" s="1"/>
  <c r="O58" i="81" a="1"/>
  <c r="O58" i="81" s="1"/>
  <c r="F58" i="81" a="1"/>
  <c r="F58" i="81" s="1"/>
  <c r="P109" i="81" a="1"/>
  <c r="P109" i="81" s="1"/>
  <c r="O109" i="81" a="1"/>
  <c r="O109" i="81" s="1"/>
  <c r="Q109" i="81" a="1"/>
  <c r="Q109" i="81" s="1"/>
  <c r="O85" i="81" a="1"/>
  <c r="O85" i="81" s="1"/>
  <c r="Q85" i="81" a="1"/>
  <c r="Q85" i="81" s="1"/>
  <c r="P85" i="81" a="1"/>
  <c r="P85" i="81" s="1"/>
  <c r="F83" i="81" a="1"/>
  <c r="F83" i="81" s="1"/>
  <c r="E83" i="81" a="1"/>
  <c r="E83" i="81" s="1"/>
  <c r="G83" i="81" a="1"/>
  <c r="G83" i="81" s="1"/>
  <c r="Q83" i="81" a="1"/>
  <c r="Q83" i="81" s="1"/>
  <c r="P83" i="81" a="1"/>
  <c r="P83" i="81" s="1"/>
  <c r="O83" i="81" a="1"/>
  <c r="O83" i="81" s="1"/>
  <c r="G85" i="81" a="1"/>
  <c r="G85" i="81" s="1"/>
  <c r="E85" i="81" a="1"/>
  <c r="E85" i="81" s="1"/>
  <c r="F85" i="81" a="1"/>
  <c r="F85" i="81" s="1"/>
  <c r="Q59" i="81" a="1"/>
  <c r="Q59" i="81" s="1"/>
  <c r="P59" i="81" a="1"/>
  <c r="P59" i="81" s="1"/>
  <c r="O59" i="81" a="1"/>
  <c r="O59" i="81" s="1"/>
  <c r="Q107" i="81" a="1"/>
  <c r="Q107" i="81" s="1"/>
  <c r="P107" i="81" a="1"/>
  <c r="P107" i="81" s="1"/>
  <c r="O107" i="81" a="1"/>
  <c r="O107" i="81" s="1"/>
  <c r="G109" i="81" a="1"/>
  <c r="G109" i="81" s="1"/>
  <c r="E109" i="81" a="1"/>
  <c r="E109" i="81" s="1"/>
  <c r="F109" i="81" a="1"/>
  <c r="F109" i="81" s="1"/>
  <c r="G210" i="76" a="1"/>
  <c r="G210" i="76" s="1"/>
  <c r="F210" i="76" a="1"/>
  <c r="F210" i="76" s="1"/>
  <c r="E210" i="76" a="1"/>
  <c r="E210" i="76" s="1"/>
  <c r="R210" i="76" a="1"/>
  <c r="R210" i="76" s="1"/>
  <c r="P210" i="76" a="1"/>
  <c r="P210" i="76" s="1"/>
  <c r="Q210" i="76" a="1"/>
  <c r="Q210" i="76" s="1"/>
  <c r="G208" i="76" a="1"/>
  <c r="G208" i="76" s="1"/>
  <c r="F208" i="76" a="1"/>
  <c r="F208" i="76" s="1"/>
  <c r="E208" i="76" a="1"/>
  <c r="E208" i="76" s="1"/>
  <c r="R208" i="76" a="1"/>
  <c r="R208" i="76" s="1"/>
  <c r="P208" i="76" a="1"/>
  <c r="P208" i="76" s="1"/>
  <c r="Q208" i="76" a="1"/>
  <c r="Q208" i="76" s="1"/>
  <c r="N41" i="82" a="1"/>
  <c r="N41" i="82" s="1"/>
  <c r="O41" i="82" a="1"/>
  <c r="O41" i="82" s="1"/>
  <c r="O42" i="82" a="1"/>
  <c r="O42" i="82" s="1"/>
  <c r="P42" i="82" a="1"/>
  <c r="P42" i="82" s="1"/>
  <c r="G41" i="82" a="1"/>
  <c r="G41" i="82" s="1"/>
  <c r="E41" i="82" a="1"/>
  <c r="E41" i="82" s="1"/>
  <c r="N42" i="82" a="1"/>
  <c r="N42" i="82" s="1"/>
  <c r="E42" i="82" a="1"/>
  <c r="E42" i="82" s="1"/>
  <c r="F42" i="82" a="1"/>
  <c r="F42" i="82" s="1"/>
  <c r="F41" i="82" a="1"/>
  <c r="F41" i="82" s="1"/>
  <c r="E44" i="82" a="1"/>
  <c r="E44" i="82" s="1"/>
  <c r="G44" i="82" a="1"/>
  <c r="G44" i="82" s="1"/>
  <c r="F44" i="82" a="1"/>
  <c r="F44" i="82" s="1"/>
  <c r="P44" i="82" a="1"/>
  <c r="P44" i="82" s="1"/>
  <c r="O44" i="82" a="1"/>
  <c r="O44" i="82" s="1"/>
  <c r="N44" i="82" a="1"/>
  <c r="N44" i="82" s="1"/>
  <c r="P41" i="82" a="1"/>
  <c r="P41" i="82" s="1"/>
  <c r="E196" i="76"/>
  <c r="F96" i="69" l="1" a="1"/>
  <c r="F96" i="69" s="1"/>
  <c r="G151" i="69" s="1"/>
  <c r="G165" i="69" s="1" a="1"/>
  <c r="G165" i="69" s="1"/>
  <c r="E96" i="69" a="1"/>
  <c r="E96" i="69" s="1"/>
  <c r="F151" i="69" s="1"/>
  <c r="F165" i="69" s="1" a="1"/>
  <c r="F165" i="69" s="1"/>
  <c r="G153" i="69"/>
  <c r="G167" i="69" s="1" a="1"/>
  <c r="G167" i="69" s="1"/>
  <c r="H153" i="69"/>
  <c r="H167" i="69" s="1" a="1"/>
  <c r="H167" i="69" s="1"/>
  <c r="F153" i="69"/>
  <c r="F167" i="69" s="1" a="1"/>
  <c r="F167" i="69" s="1"/>
  <c r="O153" i="69"/>
  <c r="O167" i="69" s="1" a="1"/>
  <c r="O167" i="69" s="1"/>
  <c r="Q153" i="69"/>
  <c r="Q167" i="69" s="1" a="1"/>
  <c r="Q167" i="69" s="1"/>
  <c r="P153" i="69"/>
  <c r="P167" i="69" s="1" a="1"/>
  <c r="P167" i="69" s="1"/>
  <c r="O56" i="81" a="1"/>
  <c r="O56" i="81" s="1"/>
  <c r="E106" i="81" a="1"/>
  <c r="E106" i="81" s="1"/>
  <c r="P82" i="81" a="1"/>
  <c r="P82" i="81" s="1"/>
  <c r="Q56" i="81" a="1"/>
  <c r="Q56" i="81" s="1"/>
  <c r="P56" i="81" a="1"/>
  <c r="P56" i="81" s="1"/>
  <c r="G56" i="81" a="1"/>
  <c r="G56" i="81" s="1"/>
  <c r="Q106" i="81" a="1"/>
  <c r="Q106" i="81" s="1"/>
  <c r="F56" i="81" a="1"/>
  <c r="F56" i="81" s="1"/>
  <c r="O106" i="81" a="1"/>
  <c r="O106" i="81" s="1"/>
  <c r="F106" i="81" a="1"/>
  <c r="F106" i="81" s="1"/>
  <c r="E82" i="81" a="1"/>
  <c r="E82" i="81" s="1"/>
  <c r="F82" i="81" a="1"/>
  <c r="F82" i="81" s="1"/>
  <c r="G82" i="81" a="1"/>
  <c r="G82" i="81" s="1"/>
  <c r="G106" i="81" a="1"/>
  <c r="G106" i="81" s="1"/>
  <c r="Q82" i="81" a="1"/>
  <c r="Q82" i="81" s="1"/>
  <c r="O82" i="81" a="1"/>
  <c r="O82" i="81" s="1"/>
  <c r="P106" i="81" a="1"/>
  <c r="P106" i="81" s="1"/>
  <c r="F207" i="76" a="1"/>
  <c r="F207" i="76" s="1"/>
  <c r="G207" i="76" a="1"/>
  <c r="G207" i="76" s="1"/>
  <c r="E207" i="76" a="1"/>
  <c r="E207" i="76" s="1"/>
  <c r="P207" i="76" a="1"/>
  <c r="P207" i="76" s="1"/>
  <c r="R207" i="76" a="1"/>
  <c r="R207" i="76" s="1"/>
  <c r="Q207" i="76" a="1"/>
  <c r="Q207" i="76" s="1"/>
  <c r="N46" i="82"/>
  <c r="R58" i="82" s="1"/>
  <c r="N65" i="82" s="1" a="1"/>
  <c r="N65" i="82" s="1"/>
  <c r="E46" i="82"/>
  <c r="I58" i="82" s="1"/>
  <c r="E65" i="82" s="1" a="1"/>
  <c r="E65" i="82" s="1"/>
  <c r="E29" i="15"/>
  <c r="E31" i="15" s="1"/>
  <c r="E32" i="15" s="1"/>
  <c r="O87" i="81" l="1"/>
  <c r="F17" i="13" s="1"/>
  <c r="N171" i="69"/>
  <c r="P173" i="69" s="1"/>
  <c r="N176" i="69" s="1" a="1"/>
  <c r="N176" i="69" s="1"/>
  <c r="I7" i="13" s="1"/>
  <c r="E171" i="69"/>
  <c r="G173" i="69" s="1"/>
  <c r="E176" i="69" s="1" a="1"/>
  <c r="E176" i="69" s="1"/>
  <c r="H7" i="13" s="1"/>
  <c r="E61" i="81"/>
  <c r="E16" i="13" s="1"/>
  <c r="O61" i="81"/>
  <c r="F16" i="13" s="1"/>
  <c r="O111" i="81"/>
  <c r="F18" i="13" s="1"/>
  <c r="E111" i="81"/>
  <c r="E17" i="13" s="1"/>
  <c r="E87" i="81"/>
  <c r="E18" i="13" s="1"/>
  <c r="E9" i="13"/>
  <c r="G67" i="82"/>
  <c r="E70" i="82" s="1" a="1"/>
  <c r="E70" i="82" s="1"/>
  <c r="H9" i="13" s="1"/>
  <c r="F9" i="13"/>
  <c r="P67" i="82"/>
  <c r="N70" i="82" s="1" a="1"/>
  <c r="N70" i="82" s="1"/>
  <c r="I9" i="13" s="1"/>
  <c r="P212" i="76"/>
  <c r="E212" i="76"/>
  <c r="F7" i="13" l="1"/>
  <c r="E7" i="13"/>
  <c r="G214" i="76"/>
  <c r="E217" i="76" s="1" a="1"/>
  <c r="E217" i="76" s="1"/>
  <c r="H8" i="13" s="1"/>
  <c r="H10" i="13" s="1"/>
  <c r="E8" i="13"/>
  <c r="R214" i="76"/>
  <c r="P217" i="76" s="1" a="1"/>
  <c r="P217" i="76" s="1"/>
  <c r="I8" i="13" s="1"/>
  <c r="I10" i="13" s="1"/>
  <c r="F8"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<sst xmlns="http://schemas.openxmlformats.org/spreadsheetml/2006/main" count="839" uniqueCount="364">
  <si>
    <t>Home</t>
  </si>
  <si>
    <t>N2O MMS</t>
  </si>
  <si>
    <t>Sources &amp; acknowledgements</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</si>
  <si>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</si>
  <si>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</si>
  <si>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</si>
  <si>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</si>
  <si>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</si>
  <si>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</si>
  <si>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</si>
  <si>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</si>
  <si>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</si>
  <si>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</si>
  <si>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</si>
  <si>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</si>
  <si>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</si>
  <si>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</si>
  <si>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</si>
  <si>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</si>
  <si>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</si>
  <si>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</si>
  <si>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</si>
  <si>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</si>
  <si>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</si>
  <si>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</si>
  <si>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</si>
  <si>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</si>
  <si>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</si>
  <si>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</si>
  <si>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</si>
  <si>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</si>
  <si>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</si>
  <si>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</si>
  <si>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</si>
  <si>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</si>
  <si>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</si>
  <si>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</si>
  <si>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</si>
  <si>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</si>
  <si>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</si>
  <si>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</si>
  <si>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</si>
  <si>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</si>
  <si>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</si>
  <si>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</si>
  <si>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</si>
  <si>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</si>
  <si>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</si>
  <si>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</si>
  <si>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</si>
  <si>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</si>
  <si>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</si>
  <si>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</si>
  <si>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</si>
  <si>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</si>
  <si>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</si>
  <si>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</si>
  <si>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</si>
  <si>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</si>
  <si>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</si>
  <si>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</si>
  <si>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</si>
  <si>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</si>
  <si>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</si>
  <si>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</si>
  <si>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</si>
  <si>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</si>
  <si>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</si>
  <si>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</si>
  <si>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</si>
  <si>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</si>
  <si>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</si>
  <si>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</si>
  <si>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</si>
  <si>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</si>
  <si>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</si>
  <si>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</si>
  <si>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</si>
  <si>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</si>
  <si>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</si>
  <si>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</si>
  <si>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</si>
  <si>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</si>
  <si>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</si>
  <si>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</si>
  <si>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</si>
  <si>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</si>
  <si>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</si>
  <si>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</si>
  <si>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</si>
  <si>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</si>
  <si>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</si>
  <si>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</si>
  <si>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</si>
  <si>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</si>
  <si>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</si>
  <si>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</si>
  <si>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NIR definition</t>
  </si>
  <si>
    <t>Drylot (feed pad)</t>
  </si>
  <si>
    <t>Stage 2 MMS</t>
  </si>
  <si>
    <t>Intake</t>
  </si>
  <si>
    <t>kg DM/head/day</t>
  </si>
  <si>
    <t>MMS m</t>
  </si>
  <si>
    <t>Stage 1 MMS</t>
  </si>
  <si>
    <t>Input - MMS - Feedlot</t>
  </si>
  <si>
    <t>kg dry matter / head  day</t>
  </si>
  <si>
    <t>Fraction of manure in primary system drylot</t>
  </si>
  <si>
    <t>Treatment stage T</t>
  </si>
  <si>
    <t>Table_MMS_m-5_T-1</t>
  </si>
  <si>
    <t>Manure management systems</t>
  </si>
  <si>
    <t>Table_MMS_m_T-2</t>
  </si>
  <si>
    <t>Fraction of manure sent to stage 2 MMS</t>
  </si>
  <si>
    <t>Feedlot manure management systems</t>
  </si>
  <si>
    <t>Table_MMS_m-1_T-3</t>
  </si>
  <si>
    <t>Stage 3 MMS</t>
  </si>
  <si>
    <t>Fraction of manure sent to tertiary MMS</t>
  </si>
  <si>
    <t>Herd movement</t>
  </si>
  <si>
    <t>Duration of stay</t>
  </si>
  <si>
    <t>head</t>
  </si>
  <si>
    <t>Table_D_j</t>
  </si>
  <si>
    <t>Table_N_j</t>
  </si>
  <si>
    <t>Number of head in each group</t>
  </si>
  <si>
    <t>Head</t>
  </si>
  <si>
    <t>Stage</t>
  </si>
  <si>
    <r>
      <t>E</t>
    </r>
    <r>
      <rPr>
        <vertAlign val="subscript"/>
        <sz val="12"/>
        <color theme="1" tint="0.24994659260841701"/>
        <rFont val="Times New Roman"/>
        <family val="1"/>
      </rPr>
      <t>CO2e</t>
    </r>
  </si>
  <si>
    <t>Table_E_CH4</t>
  </si>
  <si>
    <t>Methane emissions for each group, MMS and treatment stage</t>
  </si>
  <si>
    <t>Formula name</t>
  </si>
  <si>
    <t>Crude protein</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</si>
  <si>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</si>
  <si>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</si>
  <si>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</si>
  <si>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</si>
  <si>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</si>
  <si>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</si>
  <si>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</si>
  <si>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</si>
  <si>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</si>
  <si>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</si>
  <si>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</si>
  <si>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</si>
  <si>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</si>
  <si>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</si>
  <si>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</si>
  <si>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</si>
  <si>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N retention</t>
  </si>
  <si>
    <t>M1_Table_I_j</t>
  </si>
  <si>
    <t>M1_Table_CP_j</t>
  </si>
  <si>
    <t>M1_Table_NI_j</t>
  </si>
  <si>
    <t>M2_Table_I_j</t>
  </si>
  <si>
    <t>M2_Table_CP_j</t>
  </si>
  <si>
    <t>M2_Table_NI_j</t>
  </si>
  <si>
    <t>M1_Table_NR_j</t>
  </si>
  <si>
    <t>M2_Table_NR_j</t>
  </si>
  <si>
    <t>M1_Table_NE_j</t>
  </si>
  <si>
    <t>M2_Table_NE_j</t>
  </si>
  <si>
    <t>Method 1</t>
  </si>
  <si>
    <t>Method 2</t>
  </si>
  <si>
    <t>Fraction of intake</t>
  </si>
  <si>
    <t>M1_Table_AE_j</t>
  </si>
  <si>
    <t>M2_Table_AE_j</t>
  </si>
  <si>
    <t>Table_MMS_j_m-5_T-1</t>
  </si>
  <si>
    <t>M1_Table_MN_j_m-5_T-1</t>
  </si>
  <si>
    <t>M2_Table_MN_j_m-5_T-1</t>
  </si>
  <si>
    <t>Table_MMS_j_m_T-2</t>
  </si>
  <si>
    <t>Fraction of manure sent to stage 3 MMS</t>
  </si>
  <si>
    <t>Table_MMS_j_m-1_T-3</t>
  </si>
  <si>
    <t>Table_EF_j_m</t>
  </si>
  <si>
    <t>EFs for MMS</t>
  </si>
  <si>
    <r>
      <t>EF</t>
    </r>
    <r>
      <rPr>
        <b/>
        <vertAlign val="subscript"/>
        <sz val="11"/>
        <color rgb="FF183C1B"/>
        <rFont val="Times New Roman"/>
        <family val="1"/>
      </rPr>
      <t>jm</t>
    </r>
  </si>
  <si>
    <r>
      <t>E</t>
    </r>
    <r>
      <rPr>
        <b/>
        <vertAlign val="subscript"/>
        <sz val="16"/>
        <color theme="1" tint="0.24994659260841701"/>
        <rFont val="Times New Roman"/>
        <family val="1"/>
      </rPr>
      <t>N2O,dir</t>
    </r>
  </si>
  <si>
    <t>M1_Table_MN_j_m-1_T-3</t>
  </si>
  <si>
    <t>M2_Table_MN_j_m-1_T-3</t>
  </si>
  <si>
    <t>M1_Table_NT_j_m-_T-2</t>
  </si>
  <si>
    <t>M2_Table_NT_j_m-_T-2</t>
  </si>
  <si>
    <t>M1_Table_MN_j_m_T-2</t>
  </si>
  <si>
    <t>M1_Table_E_N2O_dir</t>
  </si>
  <si>
    <t>Total annual N2O emissions (Method 1)</t>
  </si>
  <si>
    <t>Total annual N2O emissions (Method 2)</t>
  </si>
  <si>
    <t>Nitrogen in stage 2 MMS (Method 1)</t>
  </si>
  <si>
    <t>Nitrogen in stage 2 MMS (Method 2)</t>
  </si>
  <si>
    <t>Nitrogen transferred to stage 2 MMS (Method 1)</t>
  </si>
  <si>
    <t>Nitrogen transferred to stage 2 MMS (Method 2)</t>
  </si>
  <si>
    <t>Nitrogen in stage 3 MMS (Method 1)</t>
  </si>
  <si>
    <t>Nitrogen in stage 3 MMS (Method 2)</t>
  </si>
  <si>
    <t>Nitrogen in stage 1 MMS (Method 1)</t>
  </si>
  <si>
    <t>Nitrogen in stage 1 MMS (Method 2)</t>
  </si>
  <si>
    <t>Annual nitrogen excretion (Method 1)</t>
  </si>
  <si>
    <t>Annual nitrogen excretion (Method 2)</t>
  </si>
  <si>
    <t>Nitrogen retention (Method 1)</t>
  </si>
  <si>
    <t>Nitrogen retention (Method 2)</t>
  </si>
  <si>
    <t>Nitrogen intake (Method 1)</t>
  </si>
  <si>
    <t>Crude protein content of feed (Method 1)</t>
  </si>
  <si>
    <t>Dry matter intake (Method 1)</t>
  </si>
  <si>
    <t>Dry matter intake (Method 2)</t>
  </si>
  <si>
    <t>Crude protein content of feed (Method 2)</t>
  </si>
  <si>
    <t>Nitrogen intake (Method 2)</t>
  </si>
  <si>
    <t>M1_Table_DMD_j</t>
  </si>
  <si>
    <t>M1_Table_VS_j</t>
  </si>
  <si>
    <t>Volatile solid production (Method 1)</t>
  </si>
  <si>
    <t>Dry matter digestibility (Method 1)</t>
  </si>
  <si>
    <t>M2_Table_DMD_j</t>
  </si>
  <si>
    <t>M2_Table_VS_j</t>
  </si>
  <si>
    <t>Volatile solid production (Method 2)</t>
  </si>
  <si>
    <t>M1_Table_M_j_m-5_T-1</t>
  </si>
  <si>
    <t>Production of methane stage 1 MMS (Method 1)</t>
  </si>
  <si>
    <t>M2_Table_M_j_m-5_T-1</t>
  </si>
  <si>
    <t>Production of methane stage 1 MMS (Method 2)</t>
  </si>
  <si>
    <t>M1_Table_M_j_m_T-2</t>
  </si>
  <si>
    <t>Production of methane in stage 2 MMS (Method 1)</t>
  </si>
  <si>
    <t>M2_Table_M_j_m_T-2</t>
  </si>
  <si>
    <t>Production of methane in stage 2 MMS (Method 2)</t>
  </si>
  <si>
    <t>M1_Table_M_j_m-1_T-3</t>
  </si>
  <si>
    <t>Production of methane in stage 3 MMS (Method 1)</t>
  </si>
  <si>
    <t>M2_Table_M_j_m-1_T-3</t>
  </si>
  <si>
    <t>Production of methane in stage 3 MMS (Method 2)</t>
  </si>
  <si>
    <t>M1_Table_M_j_m_T</t>
  </si>
  <si>
    <t>Methane production for all livestock groups, MMS and treatment stages (Method 1)</t>
  </si>
  <si>
    <t>M2_Table_M_j_m_T</t>
  </si>
  <si>
    <t>Methane production for all livestock groups, MMS and treatment stages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</si>
  <si>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</si>
  <si>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</si>
  <si>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</si>
  <si>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</si>
  <si>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4.1.1.9 Manure applied to soils</t>
  </si>
  <si>
    <t>kg N</t>
  </si>
  <si>
    <t>M1_Table_MN_j_m_T-2-3</t>
  </si>
  <si>
    <t>Table_FracGASM_m_T-2-3</t>
  </si>
  <si>
    <t>Table_EF_j_m_T-2-3</t>
  </si>
  <si>
    <t>Fraction of N volatilised in each MMS</t>
  </si>
  <si>
    <t>Table_PF</t>
  </si>
  <si>
    <t>Fraction of manure applied to soil from MMS</t>
  </si>
  <si>
    <t>kg N2O/kg N</t>
  </si>
  <si>
    <t>(kg NH3-N + NOx-N)/kg N</t>
  </si>
  <si>
    <t>M2_Table_MN_j_m_T-2-3</t>
  </si>
  <si>
    <t>Mass on N in stage 2 and 3 MMS (Method 2)</t>
  </si>
  <si>
    <t>Mass on N in stage 2 and 3 MMS (Method 1)</t>
  </si>
  <si>
    <t>M1_Table_MNSoil_scope1</t>
  </si>
  <si>
    <r>
      <t>MNSoil</t>
    </r>
    <r>
      <rPr>
        <b/>
        <vertAlign val="subscript"/>
        <sz val="16"/>
        <color theme="1" tint="0.24994659260841701"/>
        <rFont val="Times New Roman"/>
        <family val="1"/>
      </rPr>
      <t>scope1</t>
    </r>
  </si>
  <si>
    <t>Table_PF_fert</t>
  </si>
  <si>
    <t>Fraction of manure applied to as fertiliser on own farm from MMS</t>
  </si>
  <si>
    <t>M1_Table_MNSoil_scope3</t>
  </si>
  <si>
    <t>M1_Table_MNSoil_scope3_fert</t>
  </si>
  <si>
    <r>
      <t>MNSoil</t>
    </r>
    <r>
      <rPr>
        <b/>
        <vertAlign val="subscript"/>
        <sz val="16"/>
        <color theme="1" tint="0.24994659260841701"/>
        <rFont val="Times New Roman"/>
        <family val="1"/>
      </rPr>
      <t>fert,scope3</t>
    </r>
  </si>
  <si>
    <t>M2_Table_MNSoil_scope3_fert</t>
  </si>
  <si>
    <t>Mass of N applied to own farm as fertiliser (Method 2)</t>
  </si>
  <si>
    <t>M2_Table_MNSoil_scope3</t>
  </si>
  <si>
    <t>Mass of N applied to soils as fertiliser (Method 2)</t>
  </si>
  <si>
    <t>Mass of N applied to own farm as fertiliser (Method 1)</t>
  </si>
  <si>
    <t>Mass of N applied to soils as fertiliser (Method 1)</t>
  </si>
  <si>
    <t>M2_Table_MNSoil_scope1</t>
  </si>
  <si>
    <t>Mass of N applied to soils (Method 2)</t>
  </si>
  <si>
    <t>Mass of N applied to soils (Method 1)</t>
  </si>
  <si>
    <t>* Manure that is removed from stage 2 and 3 MMS and used as fertiliser on the farm, for other enterprises (eg crops)</t>
  </si>
  <si>
    <r>
      <t>MNSoil</t>
    </r>
    <r>
      <rPr>
        <b/>
        <vertAlign val="subscript"/>
        <sz val="16"/>
        <color theme="1" tint="0.24994659260841701"/>
        <rFont val="Times New Roman"/>
        <family val="1"/>
      </rPr>
      <t>scope3,fert</t>
    </r>
  </si>
  <si>
    <t>Scope 1 source</t>
  </si>
  <si>
    <t>4.1.1.1-2 Manure Methane</t>
  </si>
  <si>
    <t>4.1.1.3-4 Manure Direct N2O</t>
  </si>
  <si>
    <t>4.1.1.5-6 Manure Atmospheric Deposition</t>
  </si>
  <si>
    <t>M1_Table_MN_j_m_T</t>
  </si>
  <si>
    <t>M1_Table_MMS_ATMOS</t>
  </si>
  <si>
    <t>Nitrogen in each MMS excluding direct application (Method 1)</t>
  </si>
  <si>
    <t>M2_Table_MN_j_m_T</t>
  </si>
  <si>
    <t>Nitrogen in each MMS excluding direct application (Method 2)</t>
  </si>
  <si>
    <r>
      <t>MMS</t>
    </r>
    <r>
      <rPr>
        <b/>
        <vertAlign val="subscript"/>
        <sz val="12"/>
        <color theme="1" tint="0.24994659260841701"/>
        <rFont val="Times New Roman"/>
        <family val="1"/>
      </rPr>
      <t>ATMOS</t>
    </r>
  </si>
  <si>
    <t>Production system j</t>
  </si>
  <si>
    <t>EFN2O</t>
  </si>
  <si>
    <t>Production system only</t>
  </si>
  <si>
    <t>Irrigation method</t>
  </si>
  <si>
    <t>Pasture</t>
  </si>
  <si>
    <t>Feedlot crop or pasture production systems</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</si>
  <si>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</si>
  <si>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</si>
  <si>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</si>
  <si>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</si>
  <si>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</si>
  <si>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</si>
  <si>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</si>
  <si>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</si>
  <si>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</si>
  <si>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</si>
  <si>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</si>
  <si>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</si>
  <si>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</si>
  <si>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</si>
  <si>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</si>
  <si>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</si>
  <si>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</si>
  <si>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</si>
  <si>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</si>
  <si>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</si>
  <si>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</si>
  <si>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</si>
  <si>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4.1 Manure management: Beef Feedlot: Results</t>
  </si>
  <si>
    <t>Method 1 default values (Do not edit)</t>
  </si>
  <si>
    <t>Method 2 custom values (Edit if known)</t>
  </si>
  <si>
    <t>Irrigation type i</t>
  </si>
  <si>
    <t>EFPRP</t>
  </si>
  <si>
    <t>Scope 1 - This feedlot</t>
  </si>
  <si>
    <t>Month</t>
  </si>
  <si>
    <t>Season</t>
  </si>
  <si>
    <t>Acknowledgements</t>
  </si>
  <si>
    <t>Where manure was deposited on farm soils, what is the closest match?</t>
  </si>
  <si>
    <t>Scope 1: Mass of nitrogen applied as fertiliser on own farm</t>
  </si>
  <si>
    <t>Manure nitrogen deposited on farm soils (including use as fertiliser for other enterprises on own farm eg crops)</t>
  </si>
  <si>
    <t>4.1.1.1-2 Method 1 Manure methane</t>
  </si>
  <si>
    <t>4.1.1.3-4 Method 1 Manure direct N2O</t>
  </si>
  <si>
    <t>4.1.1.5-6 Method 1 Manure atmospheric deposition</t>
  </si>
  <si>
    <t>GHG emissions method 1</t>
  </si>
  <si>
    <t>GHG emissions method 2</t>
  </si>
  <si>
    <t>CO2-e emissions method 1</t>
  </si>
  <si>
    <t>t CO2e</t>
  </si>
  <si>
    <t>CO2-e emissions method 2</t>
  </si>
  <si>
    <t>N/A</t>
  </si>
  <si>
    <t>Direct application</t>
  </si>
  <si>
    <t>▼</t>
  </si>
  <si>
    <t>Sold</t>
  </si>
  <si>
    <t>Fert for own farm (eg crop)</t>
  </si>
  <si>
    <t>Direct application to soil</t>
  </si>
  <si>
    <t>►</t>
  </si>
  <si>
    <t>PF</t>
  </si>
  <si>
    <t>days</t>
  </si>
  <si>
    <t>fraction</t>
  </si>
  <si>
    <t>percent</t>
  </si>
  <si>
    <t>percent of intake</t>
  </si>
  <si>
    <r>
      <t xml:space="preserve">Destination after stage 3 MMS </t>
    </r>
    <r>
      <rPr>
        <i/>
        <sz val="11"/>
        <color rgb="FF533001"/>
        <rFont val="Times New Roman"/>
        <family val="1"/>
      </rPr>
      <t>(Percent)</t>
    </r>
  </si>
  <si>
    <r>
      <t xml:space="preserve">Destination after stage 2 MMS </t>
    </r>
    <r>
      <rPr>
        <i/>
        <sz val="11"/>
        <color rgb="FF533001"/>
        <rFont val="Times New Roman"/>
        <family val="1"/>
      </rPr>
      <t>(Percent)</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</si>
  <si>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</si>
  <si>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</si>
  <si>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</si>
  <si>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</si>
  <si>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</si>
  <si>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</si>
  <si>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</si>
  <si>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</si>
  <si>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</si>
  <si>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</si>
  <si>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</si>
  <si>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</si>
  <si>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</si>
  <si>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</si>
  <si>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</si>
  <si>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</si>
  <si>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r>
      <t>PF</t>
    </r>
    <r>
      <rPr>
        <b/>
        <vertAlign val="subscript"/>
        <sz val="11"/>
        <color rgb="FF533001"/>
        <rFont val="Times New Roman"/>
        <family val="1"/>
      </rPr>
      <t>fert</t>
    </r>
  </si>
  <si>
    <r>
      <rPr>
        <b/>
        <sz val="12"/>
        <color rgb="FF0070C0"/>
        <rFont val="Times New Roman"/>
        <family val="1"/>
      </rPr>
      <t>Note:</t>
    </r>
    <r>
      <rPr>
        <sz val="12"/>
        <color rgb="FF0070C0"/>
        <rFont val="Times New Roman"/>
        <family val="1"/>
      </rPr>
      <t xml:space="preserve"> Manure that is directly applied to soil after stage 1 is not included in direct nitrous oxide calculations</t>
    </r>
  </si>
  <si>
    <r>
      <rPr>
        <b/>
        <sz val="12"/>
        <color rgb="FF0070C0"/>
        <rFont val="Times New Roman"/>
        <family val="1"/>
      </rPr>
      <t>Note:</t>
    </r>
    <r>
      <rPr>
        <sz val="12"/>
        <color rgb="FF0070C0"/>
        <rFont val="Times New Roman"/>
        <family val="1"/>
      </rPr>
      <t xml:space="preserve"> Manure that is directly applied to soils after it is scraped from the feed pad is calculated as having zero methane emissions.</t>
    </r>
  </si>
  <si>
    <t>NOTE: Drylot MCF is state based</t>
  </si>
  <si>
    <t>💡 Below is a diagram that maps the equations used to calculate emissions, how they interact with each other and how they align with dairy manure management processes.</t>
  </si>
  <si>
    <t xml:space="preserve">    Click on a box to go to the corresponding calculation.</t>
  </si>
  <si>
    <t>4.1: Manure Management: Beef feedlot: Overview</t>
  </si>
  <si>
    <t>Climate Zone</t>
  </si>
  <si>
    <t>EFNi &amp; EFN2Oi</t>
  </si>
  <si>
    <t>Dry matter digestibility (Method 2)</t>
  </si>
  <si>
    <t>M2_Table_MCF_i_m</t>
  </si>
  <si>
    <t>Methane conversion factor for state and MMS (Method 2)</t>
  </si>
  <si>
    <t>M1_Table_MCF_i_m</t>
  </si>
  <si>
    <t>Methane conversion factor for state and MMS (Method 1)</t>
  </si>
  <si>
    <t>M2_Table_E_N2O_dir</t>
  </si>
  <si>
    <t>M2_Table_MMS_ATMOS</t>
  </si>
  <si>
    <t xml:space="preserve">N in manure (Method 1) </t>
  </si>
  <si>
    <t xml:space="preserve">N in manure (Method 2) </t>
  </si>
  <si>
    <t>My test farm</t>
  </si>
  <si>
    <t>My test Farms Pty Ltd</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</si>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</sst>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b/>
      <sz val="11"/>
      <color theme="5" tint="-0.499984740745262"/>
      <name val="Times New Roman"/>
      <family val="1"/>
      <scheme val="minor"/>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2"/>
      <color rgb="FFC44340"/>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b/>
      <sz val="22"/>
      <color theme="5" tint="-0.499984740745262"/>
      <name val="Times New Roman"/>
      <family val="1"/>
    </font>
    <font>
      <i/>
      <sz val="11"/>
      <color rgb="FF533001"/>
      <name val="Times New Roman"/>
      <family val="1"/>
    </font>
    <font>
      <u/>
      <sz val="10"/>
      <color theme="1" tint="0.34998626667073579"/>
      <name val="Times New Roman"/>
      <family val="1"/>
    </font>
    <font>
      <b/>
      <vertAlign val="subscript"/>
      <sz val="11"/>
      <color rgb="FF533001"/>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3">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7" fillId="13" borderId="9">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7"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50" fillId="4" borderId="0">
      <alignment horizontal="left" vertical="center"/>
    </xf>
    <xf numFmtId="0" fontId="51" fillId="4" borderId="0">
      <alignment horizontal="left" vertical="center"/>
    </xf>
    <xf numFmtId="0" fontId="58" fillId="4" borderId="0">
      <alignment horizontal="left" vertical="center"/>
    </xf>
    <xf numFmtId="0" fontId="49" fillId="11" borderId="0">
      <alignment horizontal="center" vertical="center"/>
    </xf>
    <xf numFmtId="0" fontId="22" fillId="11" borderId="0">
      <alignment horizontal="left" vertical="center" indent="1"/>
    </xf>
    <xf numFmtId="0" fontId="64" fillId="14" borderId="2">
      <alignment horizontal="center" vertical="center"/>
    </xf>
    <xf numFmtId="0" fontId="65" fillId="15" borderId="2">
      <alignment horizontal="center" vertical="center"/>
    </xf>
    <xf numFmtId="0" fontId="35" fillId="4" borderId="2">
      <alignment horizontal="left" vertical="center"/>
    </xf>
    <xf numFmtId="0" fontId="68" fillId="4" borderId="2">
      <alignment horizontal="left" vertical="center"/>
    </xf>
  </cellStyleXfs>
  <cellXfs count="14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7" fillId="13" borderId="9"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7"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8"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6"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7" fillId="13" borderId="11" xfId="41" applyBorder="1">
      <alignment horizontal="left" vertical="center"/>
    </xf>
    <xf numFmtId="0" fontId="47" fillId="13" borderId="13" xfId="41" applyBorder="1">
      <alignment horizontal="left" vertical="center"/>
    </xf>
    <xf numFmtId="0" fontId="47" fillId="13" borderId="15" xfId="41" applyBorder="1">
      <alignment horizontal="left" vertical="center"/>
    </xf>
    <xf numFmtId="0" fontId="47" fillId="13" borderId="14" xfId="41" applyBorder="1">
      <alignment horizontal="left" vertical="center"/>
    </xf>
    <xf numFmtId="0" fontId="47" fillId="13" borderId="16" xfId="41" applyBorder="1">
      <alignment horizontal="left" vertical="center"/>
    </xf>
    <xf numFmtId="0" fontId="47" fillId="13" borderId="18" xfId="41" applyBorder="1">
      <alignment horizontal="left" vertical="center"/>
    </xf>
    <xf numFmtId="0" fontId="47" fillId="13" borderId="12" xfId="41" applyBorder="1">
      <alignment horizontal="left" vertical="center"/>
    </xf>
    <xf numFmtId="0" fontId="47" fillId="13" borderId="17" xfId="41" applyBorder="1">
      <alignment horizontal="left" vertical="center"/>
    </xf>
    <xf numFmtId="0" fontId="47" fillId="13" borderId="19" xfId="41" applyBorder="1">
      <alignment horizontal="left" vertical="center"/>
    </xf>
    <xf numFmtId="0" fontId="48" fillId="13" borderId="10" xfId="41" applyFont="1" applyBorder="1">
      <alignment horizontal="left" vertical="center"/>
    </xf>
    <xf numFmtId="0" fontId="45" fillId="6" borderId="0" xfId="30" applyFont="1" applyProtection="1">
      <alignment horizontal="center"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1" fillId="4" borderId="0" xfId="61">
      <alignment horizontal="left" vertical="center"/>
    </xf>
    <xf numFmtId="0" fontId="50" fillId="4" borderId="0" xfId="60">
      <alignment horizontal="left" vertical="center"/>
    </xf>
    <xf numFmtId="0" fontId="52" fillId="4" borderId="0" xfId="57" applyFont="1">
      <alignment horizontal="left" vertical="center"/>
    </xf>
    <xf numFmtId="3" fontId="2" fillId="0" borderId="2" xfId="19">
      <alignment horizontal="center" vertical="center"/>
    </xf>
    <xf numFmtId="3" fontId="35" fillId="4" borderId="2" xfId="55" applyNumberFormat="1">
      <alignment horizontal="center" vertical="center"/>
    </xf>
    <xf numFmtId="0" fontId="53" fillId="4" borderId="1" xfId="8" applyFont="1" applyBorder="1">
      <alignment horizontal="left" vertical="center"/>
    </xf>
    <xf numFmtId="0" fontId="54" fillId="4" borderId="1" xfId="8" applyFont="1" applyBorder="1">
      <alignment horizontal="left" vertical="center"/>
    </xf>
    <xf numFmtId="0" fontId="55" fillId="4" borderId="1" xfId="56" applyFont="1" applyBorder="1">
      <alignment horizontal="left" vertical="center"/>
    </xf>
    <xf numFmtId="0" fontId="35" fillId="4" borderId="20" xfId="55" applyBorder="1">
      <alignment horizontal="center" vertical="center"/>
    </xf>
    <xf numFmtId="0" fontId="6" fillId="4" borderId="1" xfId="56" applyBorder="1">
      <alignment horizontal="left" vertical="center"/>
    </xf>
    <xf numFmtId="0" fontId="58" fillId="4" borderId="0" xfId="62">
      <alignment horizontal="left" vertical="center"/>
    </xf>
    <xf numFmtId="0" fontId="59" fillId="2" borderId="0" xfId="8" applyFont="1" applyFill="1">
      <alignment horizontal="left" vertical="center"/>
    </xf>
    <xf numFmtId="0" fontId="5" fillId="2" borderId="0" xfId="1">
      <alignment horizontal="left" vertical="center" indent="1"/>
      <protection locked="0"/>
    </xf>
    <xf numFmtId="0" fontId="47" fillId="13" borderId="10" xfId="41" applyBorder="1">
      <alignment horizontal="left" vertical="center"/>
    </xf>
    <xf numFmtId="0" fontId="0" fillId="0" borderId="1" xfId="0" applyBorder="1"/>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0" fillId="4" borderId="6" xfId="8" applyBorder="1">
      <alignment horizontal="left"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2" fillId="4" borderId="0" xfId="62" applyFont="1">
      <alignment horizontal="left" vertical="center"/>
    </xf>
    <xf numFmtId="0" fontId="40" fillId="4" borderId="0" xfId="8" applyAlignment="1">
      <alignment horizontal="center" vertical="center"/>
    </xf>
    <xf numFmtId="0" fontId="49" fillId="11" borderId="0" xfId="63">
      <alignment horizontal="center" vertical="center"/>
    </xf>
    <xf numFmtId="0" fontId="22" fillId="11" borderId="0" xfId="64">
      <alignment horizontal="left" vertical="center" indent="1"/>
    </xf>
    <xf numFmtId="0" fontId="63" fillId="0" borderId="0" xfId="2" applyFont="1"/>
    <xf numFmtId="0" fontId="64" fillId="14" borderId="2" xfId="65">
      <alignment horizontal="center" vertical="center"/>
    </xf>
    <xf numFmtId="0" fontId="65" fillId="15" borderId="2" xfId="66">
      <alignment horizontal="center" vertical="center"/>
    </xf>
    <xf numFmtId="0" fontId="66" fillId="4" borderId="0" xfId="62" applyFont="1" applyAlignment="1">
      <alignment horizontal="left" vertical="center" indent="2"/>
    </xf>
    <xf numFmtId="0" fontId="45" fillId="6" borderId="0" xfId="30" applyFont="1" applyAlignment="1" applyProtection="1">
      <alignment horizontal="left" vertical="center" indent="3"/>
    </xf>
    <xf numFmtId="0" fontId="13" fillId="6" borderId="0" xfId="29" applyAlignment="1">
      <alignment horizontal="left" vertical="center" indent="3"/>
    </xf>
    <xf numFmtId="0" fontId="40" fillId="4" borderId="0" xfId="8" applyAlignment="1">
      <alignment horizontal="left" vertical="center" indent="3"/>
    </xf>
    <xf numFmtId="0" fontId="42" fillId="4" borderId="0" xfId="8" applyFont="1" applyAlignment="1">
      <alignment horizontal="left" vertical="center" indent="6"/>
    </xf>
    <xf numFmtId="0" fontId="40" fillId="4" borderId="0" xfId="8" applyAlignment="1">
      <alignment horizontal="left" vertical="center" indent="6"/>
    </xf>
    <xf numFmtId="0" fontId="66" fillId="4" borderId="0" xfId="62" applyFont="1">
      <alignment horizontal="left" vertical="center"/>
    </xf>
    <xf numFmtId="0" fontId="35" fillId="4" borderId="2" xfId="67">
      <alignment horizontal="left" vertical="center"/>
    </xf>
    <xf numFmtId="0" fontId="68" fillId="4" borderId="2" xfId="68">
      <alignment horizontal="left" vertical="center"/>
    </xf>
    <xf numFmtId="0" fontId="35" fillId="4" borderId="7" xfId="67" applyBorder="1">
      <alignment horizontal="left" vertical="center"/>
    </xf>
    <xf numFmtId="0" fontId="35" fillId="4" borderId="8" xfId="67" applyBorder="1">
      <alignment horizontal="left" vertical="center"/>
    </xf>
    <xf numFmtId="0" fontId="35" fillId="4" borderId="20" xfId="67" applyBorder="1">
      <alignment horizontal="left" vertical="center"/>
    </xf>
    <xf numFmtId="0" fontId="70" fillId="9" borderId="0" xfId="33" applyFont="1" applyFill="1"/>
    <xf numFmtId="0" fontId="40" fillId="9" borderId="0" xfId="8" applyFill="1">
      <alignment horizontal="left" vertical="center"/>
    </xf>
    <xf numFmtId="0" fontId="17" fillId="11" borderId="0" xfId="32" applyFill="1">
      <alignment vertical="center"/>
    </xf>
    <xf numFmtId="0" fontId="47" fillId="13" borderId="21" xfId="41" applyBorder="1">
      <alignment horizontal="left" vertical="center"/>
    </xf>
    <xf numFmtId="0" fontId="48" fillId="13" borderId="22" xfId="41" applyFont="1" applyBorder="1">
      <alignment horizontal="left" vertical="center"/>
    </xf>
    <xf numFmtId="0" fontId="47" fillId="13" borderId="22" xfId="41" applyBorder="1">
      <alignment horizontal="left" vertical="center"/>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1.1.3-4 Direct N20'!D58"/><Relationship Id="rId13" Type="http://schemas.openxmlformats.org/officeDocument/2006/relationships/hyperlink" Target="#'4.1.1.3-4 Direct N20'!D179"/><Relationship Id="rId3" Type="http://schemas.openxmlformats.org/officeDocument/2006/relationships/hyperlink" Target="#'4.1.1.1-2 Methane'!D34"/><Relationship Id="rId7" Type="http://schemas.openxmlformats.org/officeDocument/2006/relationships/hyperlink" Target="#'4.1.1.3-4 Direct N20'!D34"/><Relationship Id="rId12" Type="http://schemas.openxmlformats.org/officeDocument/2006/relationships/hyperlink" Target="#'4.1.1.3-4 Direct N20'!D153"/><Relationship Id="rId17" Type="http://schemas.openxmlformats.org/officeDocument/2006/relationships/hyperlink" Target="#'4.1.1.5-6 Atmos Deposition'!D50"/><Relationship Id="rId2" Type="http://schemas.openxmlformats.org/officeDocument/2006/relationships/hyperlink" Target="#'4.1.1.1-2 Methane'!D5"/><Relationship Id="rId16" Type="http://schemas.openxmlformats.org/officeDocument/2006/relationships/hyperlink" Target="#'4.1.1.5-6 Atmos Deposition'!D5"/><Relationship Id="rId1" Type="http://schemas.openxmlformats.org/officeDocument/2006/relationships/hyperlink" Target="#'4.1.1.3-4 Direct N20'!D5"/><Relationship Id="rId6" Type="http://schemas.openxmlformats.org/officeDocument/2006/relationships/hyperlink" Target="#'4.1.1.1-2 Methane'!D129"/><Relationship Id="rId11" Type="http://schemas.openxmlformats.org/officeDocument/2006/relationships/hyperlink" Target="#'4.1.1.3-4 Direct N20'!D133"/><Relationship Id="rId5" Type="http://schemas.openxmlformats.org/officeDocument/2006/relationships/hyperlink" Target="#'4.1.1.1-2 Methane'!D102"/><Relationship Id="rId15" Type="http://schemas.openxmlformats.org/officeDocument/2006/relationships/hyperlink" Target="#'4.1.1.9 Manure applied to soils'!D65"/><Relationship Id="rId10" Type="http://schemas.openxmlformats.org/officeDocument/2006/relationships/hyperlink" Target="#'4.1.1.3-4 Direct N20'!D110"/><Relationship Id="rId4" Type="http://schemas.openxmlformats.org/officeDocument/2006/relationships/hyperlink" Target="#'4.1.1.1-2 Methane'!D61"/><Relationship Id="rId9" Type="http://schemas.openxmlformats.org/officeDocument/2006/relationships/hyperlink" Target="#'4.1.1.3-4 Direct N20'!D87"/><Relationship Id="rId14" Type="http://schemas.openxmlformats.org/officeDocument/2006/relationships/hyperlink" Target="#'4.1.1.9 Manure applied to soils'!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255874</xdr:colOff>
      <xdr:row>7</xdr:row>
      <xdr:rowOff>106369</xdr:rowOff>
    </xdr:from>
    <xdr:ext cx="1928078" cy="298800"/>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4161124"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4.1.1.1-2 Methane</a:t>
          </a:r>
        </a:p>
      </xdr:txBody>
    </xdr:sp>
    <xdr:clientData/>
  </xdr:oneCellAnchor>
  <xdr:oneCellAnchor>
    <xdr:from>
      <xdr:col>13</xdr:col>
      <xdr:colOff>540480</xdr:colOff>
      <xdr:row>7</xdr:row>
      <xdr:rowOff>106369</xdr:rowOff>
    </xdr:from>
    <xdr:ext cx="1946138" cy="298800"/>
    <xdr:sp macro="" textlink="">
      <xdr:nvSpPr>
        <xdr:cNvPr id="4" name="TextBox 3">
          <a:extLst>
            <a:ext uri="{FF2B5EF4-FFF2-40B4-BE49-F238E27FC236}">
              <a16:creationId xmlns:a16="http://schemas.microsoft.com/office/drawing/2014/main" id="{C4257C06-9F2B-4941-8D4B-9A2D04E1F9C9}"/>
            </a:ext>
          </a:extLst>
        </xdr:cNvPr>
        <xdr:cNvSpPr txBox="1"/>
      </xdr:nvSpPr>
      <xdr:spPr>
        <a:xfrm>
          <a:off x="9344301"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14</xdr:col>
      <xdr:colOff>42365</xdr:colOff>
      <xdr:row>9</xdr:row>
      <xdr:rowOff>180108</xdr:rowOff>
    </xdr:from>
    <xdr:to>
      <xdr:col>16</xdr:col>
      <xdr:colOff>337886</xdr:colOff>
      <xdr:row>12</xdr:row>
      <xdr:rowOff>157158</xdr:rowOff>
    </xdr:to>
    <xdr:sp macro="" textlink="'4.1.1.3-4 Direct N20'!D5">
      <xdr:nvSpPr>
        <xdr:cNvPr id="5" name="TextBox 4">
          <a:hlinkClick xmlns:r="http://schemas.openxmlformats.org/officeDocument/2006/relationships" r:id="rId1"/>
          <a:extLst>
            <a:ext uri="{FF2B5EF4-FFF2-40B4-BE49-F238E27FC236}">
              <a16:creationId xmlns:a16="http://schemas.microsoft.com/office/drawing/2014/main" id="{1D9A1F2E-1D34-44C4-A814-116FF25706CF}"/>
            </a:ext>
          </a:extLst>
        </xdr:cNvPr>
        <xdr:cNvSpPr txBox="1"/>
      </xdr:nvSpPr>
      <xdr:spPr>
        <a:xfrm>
          <a:off x="9458508"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7FA7FA-A945-49A9-8775-81857228AAAF}" type="TxLink">
            <a:rPr lang="en-US" sz="1000" b="0" i="0" u="none" strike="noStrike">
              <a:solidFill>
                <a:srgbClr val="002060"/>
              </a:solidFill>
              <a:latin typeface="Times New Roman"/>
              <a:cs typeface="Times New Roman"/>
            </a:rPr>
            <a:pPr algn="ctr"/>
            <a:t>Nitrogen intake of feedlot cattle</a:t>
          </a:fld>
          <a:endParaRPr lang="en-AU" sz="1000">
            <a:solidFill>
              <a:srgbClr val="002060"/>
            </a:solidFill>
          </a:endParaRPr>
        </a:p>
      </xdr:txBody>
    </xdr:sp>
    <xdr:clientData/>
  </xdr:twoCellAnchor>
  <xdr:oneCellAnchor>
    <xdr:from>
      <xdr:col>22</xdr:col>
      <xdr:colOff>226635</xdr:colOff>
      <xdr:row>7</xdr:row>
      <xdr:rowOff>3136</xdr:rowOff>
    </xdr:from>
    <xdr:ext cx="1905000" cy="505267"/>
    <xdr:sp macro="" textlink="">
      <xdr:nvSpPr>
        <xdr:cNvPr id="6" name="TextBox 5">
          <a:extLst>
            <a:ext uri="{FF2B5EF4-FFF2-40B4-BE49-F238E27FC236}">
              <a16:creationId xmlns:a16="http://schemas.microsoft.com/office/drawing/2014/main" id="{802EA2E0-B0F7-4C24-B5E1-096DFC74BC99}"/>
            </a:ext>
          </a:extLst>
        </xdr:cNvPr>
        <xdr:cNvSpPr txBox="1"/>
      </xdr:nvSpPr>
      <xdr:spPr>
        <a:xfrm>
          <a:off x="14541349"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26</xdr:col>
      <xdr:colOff>413380</xdr:colOff>
      <xdr:row>7</xdr:row>
      <xdr:rowOff>106369</xdr:rowOff>
    </xdr:from>
    <xdr:ext cx="1683647" cy="505267"/>
    <xdr:sp macro="" textlink="">
      <xdr:nvSpPr>
        <xdr:cNvPr id="8" name="TextBox 7">
          <a:extLst>
            <a:ext uri="{FF2B5EF4-FFF2-40B4-BE49-F238E27FC236}">
              <a16:creationId xmlns:a16="http://schemas.microsoft.com/office/drawing/2014/main" id="{3B546504-E89D-477B-AF73-C368EECD911A}"/>
            </a:ext>
          </a:extLst>
        </xdr:cNvPr>
        <xdr:cNvSpPr txBox="1"/>
      </xdr:nvSpPr>
      <xdr:spPr>
        <a:xfrm>
          <a:off x="17177380"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00000"/>
              </a:solidFill>
            </a:rPr>
            <a:t>4.3.1.8 Manure applied</a:t>
          </a:r>
          <a:r>
            <a:rPr lang="en-AU" sz="1400" b="0" baseline="0">
              <a:solidFill>
                <a:srgbClr val="C00000"/>
              </a:solidFill>
            </a:rPr>
            <a:t> to soils</a:t>
          </a:r>
          <a:endParaRPr lang="en-AU" sz="1400" b="0">
            <a:solidFill>
              <a:srgbClr val="C00000"/>
            </a:solidFill>
          </a:endParaRPr>
        </a:p>
      </xdr:txBody>
    </xdr:sp>
    <xdr:clientData/>
  </xdr:oneCellAnchor>
  <xdr:twoCellAnchor>
    <xdr:from>
      <xdr:col>5</xdr:col>
      <xdr:colOff>427882</xdr:colOff>
      <xdr:row>9</xdr:row>
      <xdr:rowOff>101310</xdr:rowOff>
    </xdr:from>
    <xdr:to>
      <xdr:col>8</xdr:col>
      <xdr:colOff>108361</xdr:colOff>
      <xdr:row>12</xdr:row>
      <xdr:rowOff>78361</xdr:rowOff>
    </xdr:to>
    <xdr:sp macro="" textlink="'4.1.1.1-2 Methane'!D5">
      <xdr:nvSpPr>
        <xdr:cNvPr id="16" name="TextBox 15">
          <a:hlinkClick xmlns:r="http://schemas.openxmlformats.org/officeDocument/2006/relationships" r:id="rId2"/>
          <a:extLst>
            <a:ext uri="{FF2B5EF4-FFF2-40B4-BE49-F238E27FC236}">
              <a16:creationId xmlns:a16="http://schemas.microsoft.com/office/drawing/2014/main" id="{A391DA18-C458-4E43-BCCB-7D7FA0C9843E}"/>
            </a:ext>
          </a:extLst>
        </xdr:cNvPr>
        <xdr:cNvSpPr txBox="1"/>
      </xdr:nvSpPr>
      <xdr:spPr>
        <a:xfrm>
          <a:off x="4333132" y="2441739"/>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Volatile solid production</a:t>
          </a:fld>
          <a:endParaRPr lang="en-AU" sz="1000">
            <a:solidFill>
              <a:srgbClr val="0C769E"/>
            </a:solidFill>
          </a:endParaRPr>
        </a:p>
      </xdr:txBody>
    </xdr:sp>
    <xdr:clientData/>
  </xdr:twoCellAnchor>
  <xdr:twoCellAnchor>
    <xdr:from>
      <xdr:col>5</xdr:col>
      <xdr:colOff>400668</xdr:colOff>
      <xdr:row>25</xdr:row>
      <xdr:rowOff>136699</xdr:rowOff>
    </xdr:from>
    <xdr:to>
      <xdr:col>8</xdr:col>
      <xdr:colOff>81147</xdr:colOff>
      <xdr:row>28</xdr:row>
      <xdr:rowOff>113750</xdr:rowOff>
    </xdr:to>
    <xdr:sp macro="" textlink="'4.1.1.1-2 Methane'!D34">
      <xdr:nvSpPr>
        <xdr:cNvPr id="17" name="TextBox 16">
          <a:hlinkClick xmlns:r="http://schemas.openxmlformats.org/officeDocument/2006/relationships" r:id="rId3"/>
          <a:extLst>
            <a:ext uri="{FF2B5EF4-FFF2-40B4-BE49-F238E27FC236}">
              <a16:creationId xmlns:a16="http://schemas.microsoft.com/office/drawing/2014/main" id="{9ED85EC4-102D-4B84-A4DB-A75D705FCB82}"/>
            </a:ext>
          </a:extLst>
        </xdr:cNvPr>
        <xdr:cNvSpPr txBox="1"/>
      </xdr:nvSpPr>
      <xdr:spPr>
        <a:xfrm>
          <a:off x="4305918" y="6395985"/>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3A0C68-BDAE-46FC-A775-03F813873A32}"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2</xdr:col>
      <xdr:colOff>270039</xdr:colOff>
      <xdr:row>25</xdr:row>
      <xdr:rowOff>129649</xdr:rowOff>
    </xdr:from>
    <xdr:to>
      <xdr:col>5</xdr:col>
      <xdr:colOff>249875</xdr:colOff>
      <xdr:row>28</xdr:row>
      <xdr:rowOff>106699</xdr:rowOff>
    </xdr:to>
    <xdr:sp macro="" textlink="'4.1.1.1-2 Methane'!D61">
      <xdr:nvSpPr>
        <xdr:cNvPr id="18" name="TextBox 17">
          <a:hlinkClick xmlns:r="http://schemas.openxmlformats.org/officeDocument/2006/relationships" r:id="rId4"/>
          <a:extLst>
            <a:ext uri="{FF2B5EF4-FFF2-40B4-BE49-F238E27FC236}">
              <a16:creationId xmlns:a16="http://schemas.microsoft.com/office/drawing/2014/main" id="{1B25ABC7-3CBE-4E1C-8106-702095C3BEB8}"/>
            </a:ext>
          </a:extLst>
        </xdr:cNvPr>
        <xdr:cNvSpPr txBox="1"/>
      </xdr:nvSpPr>
      <xdr:spPr>
        <a:xfrm>
          <a:off x="2637682" y="6388935"/>
          <a:ext cx="1517443" cy="7118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F619CA-80C9-4012-9F75-E5DB8A3A4941}"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8</xdr:col>
      <xdr:colOff>215611</xdr:colOff>
      <xdr:row>25</xdr:row>
      <xdr:rowOff>151420</xdr:rowOff>
    </xdr:from>
    <xdr:to>
      <xdr:col>10</xdr:col>
      <xdr:colOff>508411</xdr:colOff>
      <xdr:row>28</xdr:row>
      <xdr:rowOff>128471</xdr:rowOff>
    </xdr:to>
    <xdr:sp macro="" textlink="'4.1.1.1-2 Methane'!D102">
      <xdr:nvSpPr>
        <xdr:cNvPr id="19" name="TextBox 18">
          <a:hlinkClick xmlns:r="http://schemas.openxmlformats.org/officeDocument/2006/relationships" r:id="rId5"/>
          <a:extLst>
            <a:ext uri="{FF2B5EF4-FFF2-40B4-BE49-F238E27FC236}">
              <a16:creationId xmlns:a16="http://schemas.microsoft.com/office/drawing/2014/main" id="{383CC1C9-6920-4A93-8AA2-E16731E21081}"/>
            </a:ext>
          </a:extLst>
        </xdr:cNvPr>
        <xdr:cNvSpPr txBox="1"/>
      </xdr:nvSpPr>
      <xdr:spPr>
        <a:xfrm>
          <a:off x="5957825" y="6410706"/>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751CC-91EA-40A7-9FA0-BD9AD2C0FA72}" type="TxLink">
            <a:rPr lang="en-US" sz="1000" b="0" i="0" u="none" strike="noStrike">
              <a:solidFill>
                <a:srgbClr val="0C769E"/>
              </a:solidFill>
              <a:latin typeface="Times New Roman"/>
              <a:cs typeface="Times New Roman"/>
            </a:rPr>
            <a:pPr algn="ctr"/>
            <a:t>Production of methane in treatment stage 3 MMS</a:t>
          </a:fld>
          <a:endParaRPr lang="en-AU" sz="1000">
            <a:solidFill>
              <a:srgbClr val="0C769E"/>
            </a:solidFill>
          </a:endParaRPr>
        </a:p>
      </xdr:txBody>
    </xdr:sp>
    <xdr:clientData/>
  </xdr:twoCellAnchor>
  <xdr:twoCellAnchor>
    <xdr:from>
      <xdr:col>5</xdr:col>
      <xdr:colOff>400668</xdr:colOff>
      <xdr:row>48</xdr:row>
      <xdr:rowOff>178735</xdr:rowOff>
    </xdr:from>
    <xdr:to>
      <xdr:col>8</xdr:col>
      <xdr:colOff>81147</xdr:colOff>
      <xdr:row>51</xdr:row>
      <xdr:rowOff>150835</xdr:rowOff>
    </xdr:to>
    <xdr:sp macro="" textlink="'4.1.1.1-2 Methane'!D129">
      <xdr:nvSpPr>
        <xdr:cNvPr id="20" name="TextBox 19">
          <a:hlinkClick xmlns:r="http://schemas.openxmlformats.org/officeDocument/2006/relationships" r:id="rId6"/>
          <a:extLst>
            <a:ext uri="{FF2B5EF4-FFF2-40B4-BE49-F238E27FC236}">
              <a16:creationId xmlns:a16="http://schemas.microsoft.com/office/drawing/2014/main" id="{050A7C22-4BD7-4D52-9D6E-89987EDCC59C}"/>
            </a:ext>
          </a:extLst>
        </xdr:cNvPr>
        <xdr:cNvSpPr txBox="1"/>
      </xdr:nvSpPr>
      <xdr:spPr>
        <a:xfrm>
          <a:off x="4305918" y="12071378"/>
          <a:ext cx="151744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6</xdr:col>
      <xdr:colOff>547069</xdr:colOff>
      <xdr:row>12</xdr:row>
      <xdr:rowOff>78361</xdr:rowOff>
    </xdr:from>
    <xdr:to>
      <xdr:col>6</xdr:col>
      <xdr:colOff>574283</xdr:colOff>
      <xdr:row>25</xdr:row>
      <xdr:rowOff>136699</xdr:rowOff>
    </xdr:to>
    <xdr:cxnSp macro="">
      <xdr:nvCxnSpPr>
        <xdr:cNvPr id="24" name="Connector: Curved 23">
          <a:extLst>
            <a:ext uri="{FF2B5EF4-FFF2-40B4-BE49-F238E27FC236}">
              <a16:creationId xmlns:a16="http://schemas.microsoft.com/office/drawing/2014/main" id="{DC7C8163-CA33-4F29-8BC7-CA3B1B1A1E9F}"/>
            </a:ext>
          </a:extLst>
        </xdr:cNvPr>
        <xdr:cNvCxnSpPr>
          <a:stCxn id="16" idx="2"/>
          <a:endCxn id="17" idx="0"/>
        </xdr:cNvCxnSpPr>
      </xdr:nvCxnSpPr>
      <xdr:spPr>
        <a:xfrm rot="5400000">
          <a:off x="3457042" y="4761173"/>
          <a:ext cx="3242410"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547069</xdr:colOff>
      <xdr:row>28</xdr:row>
      <xdr:rowOff>128472</xdr:rowOff>
    </xdr:from>
    <xdr:to>
      <xdr:col>9</xdr:col>
      <xdr:colOff>362011</xdr:colOff>
      <xdr:row>48</xdr:row>
      <xdr:rowOff>178736</xdr:rowOff>
    </xdr:to>
    <xdr:cxnSp macro="">
      <xdr:nvCxnSpPr>
        <xdr:cNvPr id="27" name="Connector: Curved 26">
          <a:extLst>
            <a:ext uri="{FF2B5EF4-FFF2-40B4-BE49-F238E27FC236}">
              <a16:creationId xmlns:a16="http://schemas.microsoft.com/office/drawing/2014/main" id="{420D402C-C81A-432C-84CC-BD6496E6007B}"/>
            </a:ext>
          </a:extLst>
        </xdr:cNvPr>
        <xdr:cNvCxnSpPr>
          <a:stCxn id="19" idx="2"/>
          <a:endCxn id="20" idx="0"/>
        </xdr:cNvCxnSpPr>
      </xdr:nvCxnSpPr>
      <xdr:spPr>
        <a:xfrm rot="5400000">
          <a:off x="3416176" y="8771007"/>
          <a:ext cx="4948836" cy="1651907"/>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13</xdr:row>
      <xdr:rowOff>244791</xdr:rowOff>
    </xdr:from>
    <xdr:to>
      <xdr:col>16</xdr:col>
      <xdr:colOff>337886</xdr:colOff>
      <xdr:row>16</xdr:row>
      <xdr:rowOff>221842</xdr:rowOff>
    </xdr:to>
    <xdr:sp macro="" textlink="'4.1.1.3-4 Direct N20'!D34">
      <xdr:nvSpPr>
        <xdr:cNvPr id="28" name="TextBox 27">
          <a:hlinkClick xmlns:r="http://schemas.openxmlformats.org/officeDocument/2006/relationships" r:id="rId7"/>
          <a:extLst>
            <a:ext uri="{FF2B5EF4-FFF2-40B4-BE49-F238E27FC236}">
              <a16:creationId xmlns:a16="http://schemas.microsoft.com/office/drawing/2014/main" id="{9698555D-C7EC-4EA2-890F-C4B4DFF81AF8}"/>
            </a:ext>
          </a:extLst>
        </xdr:cNvPr>
        <xdr:cNvSpPr txBox="1"/>
      </xdr:nvSpPr>
      <xdr:spPr>
        <a:xfrm>
          <a:off x="9458508" y="3564934"/>
          <a:ext cx="1520164"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40F1BE-B098-436B-985C-CFD018301CA2}" type="TxLink">
            <a:rPr lang="en-US" sz="1000" b="0" i="0" u="none" strike="noStrike">
              <a:solidFill>
                <a:srgbClr val="002060"/>
              </a:solidFill>
              <a:latin typeface="Times New Roman"/>
              <a:cs typeface="Times New Roman"/>
            </a:rPr>
            <a:pPr algn="ctr"/>
            <a:t>Nitrogen excretion per head per day</a:t>
          </a:fld>
          <a:endParaRPr lang="en-AU" sz="1000">
            <a:solidFill>
              <a:srgbClr val="002060"/>
            </a:solidFill>
          </a:endParaRPr>
        </a:p>
      </xdr:txBody>
    </xdr:sp>
    <xdr:clientData/>
  </xdr:twoCellAnchor>
  <xdr:twoCellAnchor>
    <xdr:from>
      <xdr:col>14</xdr:col>
      <xdr:colOff>42365</xdr:colOff>
      <xdr:row>18</xdr:row>
      <xdr:rowOff>56167</xdr:rowOff>
    </xdr:from>
    <xdr:to>
      <xdr:col>16</xdr:col>
      <xdr:colOff>337886</xdr:colOff>
      <xdr:row>21</xdr:row>
      <xdr:rowOff>30743</xdr:rowOff>
    </xdr:to>
    <xdr:sp macro="" textlink="'4.1.1.3-4 Direct N20'!D58">
      <xdr:nvSpPr>
        <xdr:cNvPr id="30" name="TextBox 29">
          <a:hlinkClick xmlns:r="http://schemas.openxmlformats.org/officeDocument/2006/relationships" r:id="rId8"/>
          <a:extLst>
            <a:ext uri="{FF2B5EF4-FFF2-40B4-BE49-F238E27FC236}">
              <a16:creationId xmlns:a16="http://schemas.microsoft.com/office/drawing/2014/main" id="{6CF139F8-6FBC-41FC-886C-5AF068F9C78F}"/>
            </a:ext>
          </a:extLst>
        </xdr:cNvPr>
        <xdr:cNvSpPr txBox="1"/>
      </xdr:nvSpPr>
      <xdr:spPr>
        <a:xfrm>
          <a:off x="9458508" y="4600953"/>
          <a:ext cx="1520164" cy="70936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5B2A11-30ED-4A4A-84FE-A5BD6492E8CA}" type="TxLink">
            <a:rPr lang="en-US" sz="1000" b="0" i="0" u="none" strike="noStrike">
              <a:solidFill>
                <a:srgbClr val="002060"/>
              </a:solidFill>
              <a:latin typeface="Times New Roman"/>
              <a:cs typeface="Times New Roman"/>
            </a:rPr>
            <a:pPr algn="ctr"/>
            <a:t>Annual nitrogen excretion from each feedlot cattle group</a:t>
          </a:fld>
          <a:endParaRPr lang="en-AU" sz="1000">
            <a:solidFill>
              <a:srgbClr val="002060"/>
            </a:solidFill>
          </a:endParaRPr>
        </a:p>
      </xdr:txBody>
    </xdr:sp>
    <xdr:clientData/>
  </xdr:twoCellAnchor>
  <xdr:twoCellAnchor>
    <xdr:from>
      <xdr:col>15</xdr:col>
      <xdr:colOff>183776</xdr:colOff>
      <xdr:row>12</xdr:row>
      <xdr:rowOff>163508</xdr:rowOff>
    </xdr:from>
    <xdr:to>
      <xdr:col>15</xdr:col>
      <xdr:colOff>196476</xdr:colOff>
      <xdr:row>14</xdr:row>
      <xdr:rowOff>6213</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10052309" y="3398653"/>
          <a:ext cx="33256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25</xdr:row>
      <xdr:rowOff>171225</xdr:rowOff>
    </xdr:from>
    <xdr:to>
      <xdr:col>16</xdr:col>
      <xdr:colOff>337886</xdr:colOff>
      <xdr:row>28</xdr:row>
      <xdr:rowOff>148274</xdr:rowOff>
    </xdr:to>
    <xdr:sp macro="" textlink="'4.1.1.3-4 Direct N20'!D87">
      <xdr:nvSpPr>
        <xdr:cNvPr id="32" name="TextBox 31">
          <a:hlinkClick xmlns:r="http://schemas.openxmlformats.org/officeDocument/2006/relationships" r:id="rId9"/>
          <a:extLst>
            <a:ext uri="{FF2B5EF4-FFF2-40B4-BE49-F238E27FC236}">
              <a16:creationId xmlns:a16="http://schemas.microsoft.com/office/drawing/2014/main" id="{9827B40B-8680-48EC-8C9A-32D34BCC0790}"/>
            </a:ext>
          </a:extLst>
        </xdr:cNvPr>
        <xdr:cNvSpPr txBox="1"/>
      </xdr:nvSpPr>
      <xdr:spPr>
        <a:xfrm>
          <a:off x="9458508" y="6430511"/>
          <a:ext cx="1520164" cy="71183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0E4A7-8531-4E49-88D3-D15008B776AC}"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16</xdr:col>
      <xdr:colOff>476146</xdr:colOff>
      <xdr:row>25</xdr:row>
      <xdr:rowOff>171198</xdr:rowOff>
    </xdr:from>
    <xdr:to>
      <xdr:col>19</xdr:col>
      <xdr:colOff>155160</xdr:colOff>
      <xdr:row>28</xdr:row>
      <xdr:rowOff>148250</xdr:rowOff>
    </xdr:to>
    <xdr:sp macro="" textlink="'4.1.1.3-4 Direct N20'!D110">
      <xdr:nvSpPr>
        <xdr:cNvPr id="33" name="TextBox 32">
          <a:hlinkClick xmlns:r="http://schemas.openxmlformats.org/officeDocument/2006/relationships" r:id="rId10"/>
          <a:extLst>
            <a:ext uri="{FF2B5EF4-FFF2-40B4-BE49-F238E27FC236}">
              <a16:creationId xmlns:a16="http://schemas.microsoft.com/office/drawing/2014/main" id="{AC4808CF-39AC-4490-AE04-3BCC5E415458}"/>
            </a:ext>
          </a:extLst>
        </xdr:cNvPr>
        <xdr:cNvSpPr txBox="1"/>
      </xdr:nvSpPr>
      <xdr:spPr>
        <a:xfrm>
          <a:off x="11116932" y="6430484"/>
          <a:ext cx="1515978"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592E86-EE0D-4016-8964-BB728D0237AE}" type="TxLink">
            <a:rPr lang="en-US" sz="1000" b="0" i="0" u="none" strike="noStrike">
              <a:solidFill>
                <a:srgbClr val="002060"/>
              </a:solidFill>
              <a:latin typeface="Times New Roman"/>
              <a:cs typeface="Times New Roman"/>
            </a:rPr>
            <a:pPr algn="ctr"/>
            <a:t>Nitrogen in treatment stage 3 MMS</a:t>
          </a:fld>
          <a:endParaRPr lang="en-AU" sz="1000">
            <a:solidFill>
              <a:srgbClr val="002060"/>
            </a:solidFill>
          </a:endParaRPr>
        </a:p>
      </xdr:txBody>
    </xdr:sp>
    <xdr:clientData/>
  </xdr:twoCellAnchor>
  <xdr:twoCellAnchor>
    <xdr:from>
      <xdr:col>11</xdr:col>
      <xdr:colOff>364704</xdr:colOff>
      <xdr:row>31</xdr:row>
      <xdr:rowOff>46406</xdr:rowOff>
    </xdr:from>
    <xdr:to>
      <xdr:col>14</xdr:col>
      <xdr:colOff>47031</xdr:colOff>
      <xdr:row>34</xdr:row>
      <xdr:rowOff>91271</xdr:rowOff>
    </xdr:to>
    <xdr:sp macro="" textlink="'4.1.1.3-4 Direct N20'!D133">
      <xdr:nvSpPr>
        <xdr:cNvPr id="34" name="TextBox 33">
          <a:hlinkClick xmlns:r="http://schemas.openxmlformats.org/officeDocument/2006/relationships" r:id="rId11"/>
          <a:extLst>
            <a:ext uri="{FF2B5EF4-FFF2-40B4-BE49-F238E27FC236}">
              <a16:creationId xmlns:a16="http://schemas.microsoft.com/office/drawing/2014/main" id="{982520B3-7ED0-4B59-AF9F-66CD49ADE410}"/>
            </a:ext>
          </a:extLst>
        </xdr:cNvPr>
        <xdr:cNvSpPr txBox="1"/>
      </xdr:nvSpPr>
      <xdr:spPr>
        <a:xfrm>
          <a:off x="7943883" y="7775263"/>
          <a:ext cx="1519291" cy="77965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53CF0-75F0-4A83-9D13-D73B0E28A8D2}"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11</xdr:col>
      <xdr:colOff>357301</xdr:colOff>
      <xdr:row>35</xdr:row>
      <xdr:rowOff>13998</xdr:rowOff>
    </xdr:from>
    <xdr:to>
      <xdr:col>14</xdr:col>
      <xdr:colOff>30622</xdr:colOff>
      <xdr:row>37</xdr:row>
      <xdr:rowOff>235975</xdr:rowOff>
    </xdr:to>
    <xdr:sp macro="" textlink="'4.1.1.3-4 Direct N20'!D153">
      <xdr:nvSpPr>
        <xdr:cNvPr id="36" name="TextBox 35">
          <a:hlinkClick xmlns:r="http://schemas.openxmlformats.org/officeDocument/2006/relationships" r:id="rId12"/>
          <a:extLst>
            <a:ext uri="{FF2B5EF4-FFF2-40B4-BE49-F238E27FC236}">
              <a16:creationId xmlns:a16="http://schemas.microsoft.com/office/drawing/2014/main" id="{465393D9-6FD0-4F85-ACE3-5BE1C534D81A}"/>
            </a:ext>
          </a:extLst>
        </xdr:cNvPr>
        <xdr:cNvSpPr txBox="1"/>
      </xdr:nvSpPr>
      <xdr:spPr>
        <a:xfrm>
          <a:off x="7936480" y="8722569"/>
          <a:ext cx="1510285"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D4D054-9E39-4D29-8876-3277150A2BDC}"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14</xdr:col>
      <xdr:colOff>45212</xdr:colOff>
      <xdr:row>48</xdr:row>
      <xdr:rowOff>154904</xdr:rowOff>
    </xdr:from>
    <xdr:to>
      <xdr:col>16</xdr:col>
      <xdr:colOff>335040</xdr:colOff>
      <xdr:row>51</xdr:row>
      <xdr:rowOff>129478</xdr:rowOff>
    </xdr:to>
    <xdr:sp macro="" textlink="'4.1.1.3-4 Direct N20'!D179">
      <xdr:nvSpPr>
        <xdr:cNvPr id="37" name="TextBox 36">
          <a:hlinkClick xmlns:r="http://schemas.openxmlformats.org/officeDocument/2006/relationships" r:id="rId13"/>
          <a:extLst>
            <a:ext uri="{FF2B5EF4-FFF2-40B4-BE49-F238E27FC236}">
              <a16:creationId xmlns:a16="http://schemas.microsoft.com/office/drawing/2014/main" id="{35C3F104-C11B-43D7-BE90-153D19BDFEE2}"/>
            </a:ext>
          </a:extLst>
        </xdr:cNvPr>
        <xdr:cNvSpPr txBox="1"/>
      </xdr:nvSpPr>
      <xdr:spPr>
        <a:xfrm>
          <a:off x="9461355" y="12047547"/>
          <a:ext cx="1514471"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A1F4DB-2531-4D25-A904-2A8437BD8D75}"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15</xdr:col>
      <xdr:colOff>183776</xdr:colOff>
      <xdr:row>16</xdr:row>
      <xdr:rowOff>228192</xdr:rowOff>
    </xdr:from>
    <xdr:to>
      <xdr:col>15</xdr:col>
      <xdr:colOff>196476</xdr:colOff>
      <xdr:row>18</xdr:row>
      <xdr:rowOff>62517</xdr:rowOff>
    </xdr:to>
    <xdr:cxnSp macro="">
      <xdr:nvCxnSpPr>
        <xdr:cNvPr id="38" name="Connector: Curved 37">
          <a:extLst>
            <a:ext uri="{FF2B5EF4-FFF2-40B4-BE49-F238E27FC236}">
              <a16:creationId xmlns:a16="http://schemas.microsoft.com/office/drawing/2014/main" id="{3405DE52-A53B-482F-86E6-CF7546240779}"/>
            </a:ext>
          </a:extLst>
        </xdr:cNvPr>
        <xdr:cNvCxnSpPr>
          <a:stCxn id="28" idx="2"/>
          <a:endCxn id="30" idx="0"/>
        </xdr:cNvCxnSpPr>
      </xdr:nvCxnSpPr>
      <xdr:spPr>
        <a:xfrm rot="5400000">
          <a:off x="10056499" y="4438862"/>
          <a:ext cx="32418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73167</xdr:colOff>
      <xdr:row>47</xdr:row>
      <xdr:rowOff>94465</xdr:rowOff>
    </xdr:from>
    <xdr:to>
      <xdr:col>23</xdr:col>
      <xdr:colOff>76066</xdr:colOff>
      <xdr:row>48</xdr:row>
      <xdr:rowOff>167790</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14842526" y="11899856"/>
          <a:ext cx="318254"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415580</xdr:colOff>
      <xdr:row>55</xdr:row>
      <xdr:rowOff>34904</xdr:rowOff>
    </xdr:from>
    <xdr:to>
      <xdr:col>28</xdr:col>
      <xdr:colOff>98780</xdr:colOff>
      <xdr:row>58</xdr:row>
      <xdr:rowOff>24516</xdr:rowOff>
    </xdr:to>
    <xdr:sp macro="" textlink="'4.1.1.9 Manure applied to soils'!D5">
      <xdr:nvSpPr>
        <xdr:cNvPr id="54" name="TextBox 53">
          <a:hlinkClick xmlns:r="http://schemas.openxmlformats.org/officeDocument/2006/relationships" r:id="rId14"/>
          <a:extLst>
            <a:ext uri="{FF2B5EF4-FFF2-40B4-BE49-F238E27FC236}">
              <a16:creationId xmlns:a16="http://schemas.microsoft.com/office/drawing/2014/main" id="{95ED6D80-A9CA-4BE0-8876-0A2123740055}"/>
            </a:ext>
          </a:extLst>
        </xdr:cNvPr>
        <xdr:cNvSpPr txBox="1"/>
      </xdr:nvSpPr>
      <xdr:spPr>
        <a:xfrm>
          <a:off x="16567259" y="13642047"/>
          <a:ext cx="1520164" cy="72439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0E734-185C-44CF-9F85-27961AC85E01}" type="TxLink">
            <a:rPr lang="en-US" sz="1000" b="1" i="0" u="none" strike="noStrike">
              <a:solidFill>
                <a:srgbClr val="C00000"/>
              </a:solidFill>
              <a:latin typeface="Times New Roman"/>
              <a:cs typeface="Times New Roman"/>
            </a:rPr>
            <a:pPr algn="ctr"/>
            <a:t>Mass of nitrogen applied to soils for scope 1 emissions</a:t>
          </a:fld>
          <a:endParaRPr lang="en-AU" sz="1000" b="1">
            <a:solidFill>
              <a:srgbClr val="C00000"/>
            </a:solidFill>
          </a:endParaRPr>
        </a:p>
      </xdr:txBody>
    </xdr:sp>
    <xdr:clientData/>
  </xdr:twoCellAnchor>
  <xdr:twoCellAnchor>
    <xdr:from>
      <xdr:col>28</xdr:col>
      <xdr:colOff>298432</xdr:colOff>
      <xdr:row>55</xdr:row>
      <xdr:rowOff>46981</xdr:rowOff>
    </xdr:from>
    <xdr:to>
      <xdr:col>30</xdr:col>
      <xdr:colOff>598142</xdr:colOff>
      <xdr:row>58</xdr:row>
      <xdr:rowOff>19081</xdr:rowOff>
    </xdr:to>
    <xdr:sp macro="" textlink="'4.1.1.9 Manure applied to soils'!D65">
      <xdr:nvSpPr>
        <xdr:cNvPr id="56" name="TextBox 55">
          <a:hlinkClick xmlns:r="http://schemas.openxmlformats.org/officeDocument/2006/relationships" r:id="rId15"/>
          <a:extLst>
            <a:ext uri="{FF2B5EF4-FFF2-40B4-BE49-F238E27FC236}">
              <a16:creationId xmlns:a16="http://schemas.microsoft.com/office/drawing/2014/main" id="{5FA3B127-61AF-470F-B0DC-C1C9FB586772}"/>
            </a:ext>
          </a:extLst>
        </xdr:cNvPr>
        <xdr:cNvSpPr txBox="1"/>
      </xdr:nvSpPr>
      <xdr:spPr>
        <a:xfrm>
          <a:off x="18287075" y="13654124"/>
          <a:ext cx="1524353"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F77E59-AFF0-4560-ACBB-3A30834AA712}" type="TxLink">
            <a:rPr lang="en-US" sz="1000" b="1" i="0" u="none" strike="noStrike">
              <a:solidFill>
                <a:srgbClr val="C00000"/>
              </a:solidFill>
              <a:latin typeface="Times New Roman"/>
              <a:cs typeface="Times New Roman"/>
            </a:rPr>
            <a:pPr algn="ctr"/>
            <a:t>Mass of nitrogen applied to soils for scope 3 emissions</a:t>
          </a:fld>
          <a:endParaRPr lang="en-AU" sz="1000" b="1">
            <a:solidFill>
              <a:srgbClr val="C00000"/>
            </a:solidFill>
          </a:endParaRPr>
        </a:p>
      </xdr:txBody>
    </xdr:sp>
    <xdr:clientData/>
  </xdr:twoCellAnchor>
  <xdr:twoCellAnchor>
    <xdr:from>
      <xdr:col>31</xdr:col>
      <xdr:colOff>598714</xdr:colOff>
      <xdr:row>32</xdr:row>
      <xdr:rowOff>162046</xdr:rowOff>
    </xdr:from>
    <xdr:to>
      <xdr:col>34</xdr:col>
      <xdr:colOff>423344</xdr:colOff>
      <xdr:row>37</xdr:row>
      <xdr:rowOff>-1</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20424321" y="8135832"/>
          <a:ext cx="1661594" cy="10625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drylot and anaerobic lagoon </a:t>
          </a:r>
        </a:p>
      </xdr:txBody>
    </xdr:sp>
    <xdr:clientData/>
  </xdr:twoCellAnchor>
  <xdr:twoCellAnchor>
    <xdr:from>
      <xdr:col>31</xdr:col>
      <xdr:colOff>587828</xdr:colOff>
      <xdr:row>27</xdr:row>
      <xdr:rowOff>15090</xdr:rowOff>
    </xdr:from>
    <xdr:to>
      <xdr:col>34</xdr:col>
      <xdr:colOff>412458</xdr:colOff>
      <xdr:row>30</xdr:row>
      <xdr:rowOff>167243</xdr:rowOff>
    </xdr:to>
    <xdr:sp macro="" textlink="">
      <xdr:nvSpPr>
        <xdr:cNvPr id="67" name="Rectangle 66">
          <a:extLst>
            <a:ext uri="{FF2B5EF4-FFF2-40B4-BE49-F238E27FC236}">
              <a16:creationId xmlns:a16="http://schemas.microsoft.com/office/drawing/2014/main" id="{002F7092-75A2-4F27-9B2F-7C7C15E35918}"/>
            </a:ext>
          </a:extLst>
        </xdr:cNvPr>
        <xdr:cNvSpPr/>
      </xdr:nvSpPr>
      <xdr:spPr>
        <a:xfrm>
          <a:off x="20413435" y="6764233"/>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stored in drylot</a:t>
          </a:r>
        </a:p>
      </xdr:txBody>
    </xdr:sp>
    <xdr:clientData/>
  </xdr:twoCellAnchor>
  <xdr:twoCellAnchor>
    <xdr:from>
      <xdr:col>40</xdr:col>
      <xdr:colOff>536122</xdr:colOff>
      <xdr:row>27</xdr:row>
      <xdr:rowOff>99455</xdr:rowOff>
    </xdr:from>
    <xdr:to>
      <xdr:col>43</xdr:col>
      <xdr:colOff>360752</xdr:colOff>
      <xdr:row>31</xdr:row>
      <xdr:rowOff>6680</xdr:rowOff>
    </xdr:to>
    <xdr:sp macro="" textlink="">
      <xdr:nvSpPr>
        <xdr:cNvPr id="68" name="Rectangle 67">
          <a:extLst>
            <a:ext uri="{FF2B5EF4-FFF2-40B4-BE49-F238E27FC236}">
              <a16:creationId xmlns:a16="http://schemas.microsoft.com/office/drawing/2014/main" id="{A9271D4A-A59D-4E2F-A886-407604454F97}"/>
            </a:ext>
          </a:extLst>
        </xdr:cNvPr>
        <xdr:cNvSpPr/>
      </xdr:nvSpPr>
      <xdr:spPr>
        <a:xfrm>
          <a:off x="25872622" y="6848598"/>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gradually sent to anaerobic lagoon</a:t>
          </a:r>
        </a:p>
      </xdr:txBody>
    </xdr:sp>
    <xdr:clientData/>
  </xdr:twoCellAnchor>
  <xdr:twoCellAnchor>
    <xdr:from>
      <xdr:col>33</xdr:col>
      <xdr:colOff>70757</xdr:colOff>
      <xdr:row>55</xdr:row>
      <xdr:rowOff>97971</xdr:rowOff>
    </xdr:from>
    <xdr:to>
      <xdr:col>35</xdr:col>
      <xdr:colOff>507706</xdr:colOff>
      <xdr:row>58</xdr:row>
      <xdr:rowOff>29935</xdr:rowOff>
    </xdr:to>
    <xdr:sp macro="" textlink="">
      <xdr:nvSpPr>
        <xdr:cNvPr id="74" name="Rectangle 73">
          <a:extLst>
            <a:ext uri="{FF2B5EF4-FFF2-40B4-BE49-F238E27FC236}">
              <a16:creationId xmlns:a16="http://schemas.microsoft.com/office/drawing/2014/main" id="{27904827-F06E-438A-9F0A-77A8714C8984}"/>
            </a:ext>
          </a:extLst>
        </xdr:cNvPr>
        <xdr:cNvSpPr/>
      </xdr:nvSpPr>
      <xdr:spPr>
        <a:xfrm>
          <a:off x="21121007" y="13705114"/>
          <a:ext cx="166159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35</xdr:col>
      <xdr:colOff>556691</xdr:colOff>
      <xdr:row>55</xdr:row>
      <xdr:rowOff>97971</xdr:rowOff>
    </xdr:from>
    <xdr:to>
      <xdr:col>38</xdr:col>
      <xdr:colOff>381320</xdr:colOff>
      <xdr:row>58</xdr:row>
      <xdr:rowOff>29935</xdr:rowOff>
    </xdr:to>
    <xdr:sp macro="" textlink="">
      <xdr:nvSpPr>
        <xdr:cNvPr id="75" name="Rectangle 74">
          <a:extLst>
            <a:ext uri="{FF2B5EF4-FFF2-40B4-BE49-F238E27FC236}">
              <a16:creationId xmlns:a16="http://schemas.microsoft.com/office/drawing/2014/main" id="{F967C426-9B13-4B11-BC81-25A1AFFE24A3}"/>
            </a:ext>
          </a:extLst>
        </xdr:cNvPr>
        <xdr:cNvSpPr/>
      </xdr:nvSpPr>
      <xdr:spPr>
        <a:xfrm>
          <a:off x="22831584" y="13705114"/>
          <a:ext cx="166159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38</xdr:col>
      <xdr:colOff>458880</xdr:colOff>
      <xdr:row>55</xdr:row>
      <xdr:rowOff>97971</xdr:rowOff>
    </xdr:from>
    <xdr:to>
      <xdr:col>41</xdr:col>
      <xdr:colOff>283510</xdr:colOff>
      <xdr:row>58</xdr:row>
      <xdr:rowOff>29935</xdr:rowOff>
    </xdr:to>
    <xdr:sp macro="" textlink="">
      <xdr:nvSpPr>
        <xdr:cNvPr id="76" name="Rectangle 75">
          <a:extLst>
            <a:ext uri="{FF2B5EF4-FFF2-40B4-BE49-F238E27FC236}">
              <a16:creationId xmlns:a16="http://schemas.microsoft.com/office/drawing/2014/main" id="{E5DF650F-FC84-49C6-B041-049D79C3FDF6}"/>
            </a:ext>
          </a:extLst>
        </xdr:cNvPr>
        <xdr:cNvSpPr/>
      </xdr:nvSpPr>
      <xdr:spPr>
        <a:xfrm>
          <a:off x="24570737" y="13705114"/>
          <a:ext cx="166159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33</xdr:col>
      <xdr:colOff>193982</xdr:colOff>
      <xdr:row>30</xdr:row>
      <xdr:rowOff>167243</xdr:rowOff>
    </xdr:from>
    <xdr:to>
      <xdr:col>33</xdr:col>
      <xdr:colOff>204868</xdr:colOff>
      <xdr:row>32</xdr:row>
      <xdr:rowOff>162046</xdr:rowOff>
    </xdr:to>
    <xdr:cxnSp macro="">
      <xdr:nvCxnSpPr>
        <xdr:cNvPr id="77" name="Connector: Curved 76">
          <a:extLst>
            <a:ext uri="{FF2B5EF4-FFF2-40B4-BE49-F238E27FC236}">
              <a16:creationId xmlns:a16="http://schemas.microsoft.com/office/drawing/2014/main" id="{45D3BFD0-5625-4B70-A13F-3755781F8A37}"/>
            </a:ext>
          </a:extLst>
        </xdr:cNvPr>
        <xdr:cNvCxnSpPr>
          <a:stCxn id="67" idx="2"/>
          <a:endCxn id="66" idx="0"/>
        </xdr:cNvCxnSpPr>
      </xdr:nvCxnSpPr>
      <xdr:spPr>
        <a:xfrm rot="16200000" flipH="1">
          <a:off x="21007345" y="7888059"/>
          <a:ext cx="48466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289233</xdr:colOff>
      <xdr:row>31</xdr:row>
      <xdr:rowOff>6679</xdr:rowOff>
    </xdr:from>
    <xdr:to>
      <xdr:col>42</xdr:col>
      <xdr:colOff>142277</xdr:colOff>
      <xdr:row>55</xdr:row>
      <xdr:rowOff>97970</xdr:rowOff>
    </xdr:to>
    <xdr:cxnSp macro="">
      <xdr:nvCxnSpPr>
        <xdr:cNvPr id="78" name="Connector: Curved 77">
          <a:extLst>
            <a:ext uri="{FF2B5EF4-FFF2-40B4-BE49-F238E27FC236}">
              <a16:creationId xmlns:a16="http://schemas.microsoft.com/office/drawing/2014/main" id="{AB43F1BF-2950-4E57-9CAF-F48D5DA770B5}"/>
            </a:ext>
          </a:extLst>
        </xdr:cNvPr>
        <xdr:cNvCxnSpPr>
          <a:cxnSpLocks/>
          <a:stCxn id="68" idx="2"/>
          <a:endCxn id="74" idx="0"/>
        </xdr:cNvCxnSpPr>
      </xdr:nvCxnSpPr>
      <xdr:spPr>
        <a:xfrm rot="5400000">
          <a:off x="21342823" y="8344517"/>
          <a:ext cx="5969577" cy="47516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209550</xdr:colOff>
      <xdr:row>16</xdr:row>
      <xdr:rowOff>2967</xdr:rowOff>
    </xdr:from>
    <xdr:to>
      <xdr:col>39</xdr:col>
      <xdr:colOff>34179</xdr:colOff>
      <xdr:row>19</xdr:row>
      <xdr:rowOff>152646</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23096764" y="4057896"/>
          <a:ext cx="1661594" cy="884464"/>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feed pad</a:t>
          </a:r>
          <a:endParaRPr lang="en-AU" sz="1400"/>
        </a:p>
      </xdr:txBody>
    </xdr:sp>
    <xdr:clientData/>
  </xdr:twoCellAnchor>
  <xdr:twoCellAnchor>
    <xdr:from>
      <xdr:col>33</xdr:col>
      <xdr:colOff>193983</xdr:colOff>
      <xdr:row>19</xdr:row>
      <xdr:rowOff>152646</xdr:rowOff>
    </xdr:from>
    <xdr:to>
      <xdr:col>37</xdr:col>
      <xdr:colOff>428026</xdr:colOff>
      <xdr:row>27</xdr:row>
      <xdr:rowOff>15090</xdr:rowOff>
    </xdr:to>
    <xdr:cxnSp macro="">
      <xdr:nvCxnSpPr>
        <xdr:cNvPr id="85" name="Connector: Curved 84">
          <a:extLst>
            <a:ext uri="{FF2B5EF4-FFF2-40B4-BE49-F238E27FC236}">
              <a16:creationId xmlns:a16="http://schemas.microsoft.com/office/drawing/2014/main" id="{1BC07B9E-FF90-42C1-8E3C-B5A95D054FED}"/>
            </a:ext>
          </a:extLst>
        </xdr:cNvPr>
        <xdr:cNvCxnSpPr>
          <a:stCxn id="84" idx="2"/>
          <a:endCxn id="67" idx="0"/>
        </xdr:cNvCxnSpPr>
      </xdr:nvCxnSpPr>
      <xdr:spPr>
        <a:xfrm rot="5400000">
          <a:off x="21674961" y="4511632"/>
          <a:ext cx="1821873" cy="26833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428025</xdr:colOff>
      <xdr:row>19</xdr:row>
      <xdr:rowOff>152646</xdr:rowOff>
    </xdr:from>
    <xdr:to>
      <xdr:col>42</xdr:col>
      <xdr:colOff>142276</xdr:colOff>
      <xdr:row>27</xdr:row>
      <xdr:rowOff>99455</xdr:rowOff>
    </xdr:to>
    <xdr:cxnSp macro="">
      <xdr:nvCxnSpPr>
        <xdr:cNvPr id="86" name="Connector: Curved 85">
          <a:extLst>
            <a:ext uri="{FF2B5EF4-FFF2-40B4-BE49-F238E27FC236}">
              <a16:creationId xmlns:a16="http://schemas.microsoft.com/office/drawing/2014/main" id="{B9D6E775-042B-4A6C-B5D0-AA5BE0E89F69}"/>
            </a:ext>
          </a:extLst>
        </xdr:cNvPr>
        <xdr:cNvCxnSpPr>
          <a:stCxn id="84" idx="2"/>
          <a:endCxn id="68" idx="0"/>
        </xdr:cNvCxnSpPr>
      </xdr:nvCxnSpPr>
      <xdr:spPr>
        <a:xfrm rot="16200000" flipH="1">
          <a:off x="24362371" y="4507550"/>
          <a:ext cx="1906238" cy="277585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35</xdr:col>
      <xdr:colOff>377041</xdr:colOff>
      <xdr:row>7</xdr:row>
      <xdr:rowOff>138597</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22651934" y="198916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12</xdr:col>
      <xdr:colOff>512029</xdr:colOff>
      <xdr:row>28</xdr:row>
      <xdr:rowOff>148274</xdr:rowOff>
    </xdr:from>
    <xdr:to>
      <xdr:col>15</xdr:col>
      <xdr:colOff>188033</xdr:colOff>
      <xdr:row>31</xdr:row>
      <xdr:rowOff>46406</xdr:rowOff>
    </xdr:to>
    <xdr:cxnSp macro="">
      <xdr:nvCxnSpPr>
        <xdr:cNvPr id="108" name="Connector: Curved 107">
          <a:extLst>
            <a:ext uri="{FF2B5EF4-FFF2-40B4-BE49-F238E27FC236}">
              <a16:creationId xmlns:a16="http://schemas.microsoft.com/office/drawing/2014/main" id="{0086E3E5-6A8B-7715-07FA-9B09C64336D4}"/>
            </a:ext>
          </a:extLst>
        </xdr:cNvPr>
        <xdr:cNvCxnSpPr>
          <a:stCxn id="32" idx="2"/>
          <a:endCxn id="34" idx="0"/>
        </xdr:cNvCxnSpPr>
      </xdr:nvCxnSpPr>
      <xdr:spPr>
        <a:xfrm rot="5400000">
          <a:off x="9143554" y="6702320"/>
          <a:ext cx="632918" cy="1512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190125</xdr:colOff>
      <xdr:row>28</xdr:row>
      <xdr:rowOff>148274</xdr:rowOff>
    </xdr:from>
    <xdr:to>
      <xdr:col>15</xdr:col>
      <xdr:colOff>190126</xdr:colOff>
      <xdr:row>48</xdr:row>
      <xdr:rowOff>154904</xdr:rowOff>
    </xdr:to>
    <xdr:cxnSp macro="">
      <xdr:nvCxnSpPr>
        <xdr:cNvPr id="110" name="Connector: Curved 109">
          <a:extLst>
            <a:ext uri="{FF2B5EF4-FFF2-40B4-BE49-F238E27FC236}">
              <a16:creationId xmlns:a16="http://schemas.microsoft.com/office/drawing/2014/main" id="{438742CF-3F80-78E1-F6F0-3FA21AB29D51}"/>
            </a:ext>
          </a:extLst>
        </xdr:cNvPr>
        <xdr:cNvCxnSpPr>
          <a:stCxn id="32" idx="2"/>
          <a:endCxn id="37" idx="0"/>
        </xdr:cNvCxnSpPr>
      </xdr:nvCxnSpPr>
      <xdr:spPr>
        <a:xfrm rot="16200000" flipH="1">
          <a:off x="7765989" y="9594945"/>
          <a:ext cx="4905202" cy="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15</xdr:col>
      <xdr:colOff>190128</xdr:colOff>
      <xdr:row>48</xdr:row>
      <xdr:rowOff>154903</xdr:rowOff>
    </xdr:to>
    <xdr:cxnSp macro="">
      <xdr:nvCxnSpPr>
        <xdr:cNvPr id="112" name="Connector: Curved 111">
          <a:extLst>
            <a:ext uri="{FF2B5EF4-FFF2-40B4-BE49-F238E27FC236}">
              <a16:creationId xmlns:a16="http://schemas.microsoft.com/office/drawing/2014/main" id="{F5729C8A-551F-BAC1-397E-2E8AF91195C4}"/>
            </a:ext>
          </a:extLst>
        </xdr:cNvPr>
        <xdr:cNvCxnSpPr>
          <a:stCxn id="36" idx="2"/>
          <a:endCxn id="37" idx="0"/>
        </xdr:cNvCxnSpPr>
      </xdr:nvCxnSpPr>
      <xdr:spPr>
        <a:xfrm rot="16200000" flipH="1">
          <a:off x="8148536" y="9977491"/>
          <a:ext cx="2613143" cy="1526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148250</xdr:rowOff>
    </xdr:from>
    <xdr:to>
      <xdr:col>18</xdr:col>
      <xdr:colOff>9492</xdr:colOff>
      <xdr:row>48</xdr:row>
      <xdr:rowOff>154904</xdr:rowOff>
    </xdr:to>
    <xdr:cxnSp macro="">
      <xdr:nvCxnSpPr>
        <xdr:cNvPr id="114" name="Connector: Curved 113">
          <a:extLst>
            <a:ext uri="{FF2B5EF4-FFF2-40B4-BE49-F238E27FC236}">
              <a16:creationId xmlns:a16="http://schemas.microsoft.com/office/drawing/2014/main" id="{011B9CDC-95BE-1D24-7A42-5788B8FE3FE7}"/>
            </a:ext>
          </a:extLst>
        </xdr:cNvPr>
        <xdr:cNvCxnSpPr>
          <a:stCxn id="33" idx="2"/>
          <a:endCxn id="37" idx="0"/>
        </xdr:cNvCxnSpPr>
      </xdr:nvCxnSpPr>
      <xdr:spPr>
        <a:xfrm rot="5400000">
          <a:off x="8594143" y="8766769"/>
          <a:ext cx="4905226" cy="165633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34</xdr:row>
      <xdr:rowOff>91270</xdr:rowOff>
    </xdr:from>
    <xdr:to>
      <xdr:col>12</xdr:col>
      <xdr:colOff>512030</xdr:colOff>
      <xdr:row>35</xdr:row>
      <xdr:rowOff>13997</xdr:rowOff>
    </xdr:to>
    <xdr:cxnSp macro="">
      <xdr:nvCxnSpPr>
        <xdr:cNvPr id="116" name="Connector: Curved 115">
          <a:extLst>
            <a:ext uri="{FF2B5EF4-FFF2-40B4-BE49-F238E27FC236}">
              <a16:creationId xmlns:a16="http://schemas.microsoft.com/office/drawing/2014/main" id="{75F677A2-21CD-FFA8-8DA8-15D7E66944F7}"/>
            </a:ext>
          </a:extLst>
        </xdr:cNvPr>
        <xdr:cNvCxnSpPr>
          <a:stCxn id="34" idx="2"/>
          <a:endCxn id="36" idx="0"/>
        </xdr:cNvCxnSpPr>
      </xdr:nvCxnSpPr>
      <xdr:spPr>
        <a:xfrm rot="5400000">
          <a:off x="8613749" y="8632788"/>
          <a:ext cx="167655" cy="11906"/>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181684</xdr:colOff>
      <xdr:row>21</xdr:row>
      <xdr:rowOff>37092</xdr:rowOff>
    </xdr:from>
    <xdr:to>
      <xdr:col>15</xdr:col>
      <xdr:colOff>194384</xdr:colOff>
      <xdr:row>25</xdr:row>
      <xdr:rowOff>177574</xdr:rowOff>
    </xdr:to>
    <xdr:cxnSp macro="">
      <xdr:nvCxnSpPr>
        <xdr:cNvPr id="119" name="Connector: Curved 118">
          <a:extLst>
            <a:ext uri="{FF2B5EF4-FFF2-40B4-BE49-F238E27FC236}">
              <a16:creationId xmlns:a16="http://schemas.microsoft.com/office/drawing/2014/main" id="{BDF3AD73-4BC2-4569-A439-8F8E9F87148D}"/>
            </a:ext>
          </a:extLst>
        </xdr:cNvPr>
        <xdr:cNvCxnSpPr>
          <a:stCxn id="30" idx="2"/>
          <a:endCxn id="32" idx="0"/>
        </xdr:cNvCxnSpPr>
      </xdr:nvCxnSpPr>
      <xdr:spPr>
        <a:xfrm rot="5400000">
          <a:off x="9656399" y="5870412"/>
          <a:ext cx="1120197"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188033</xdr:colOff>
      <xdr:row>21</xdr:row>
      <xdr:rowOff>30743</xdr:rowOff>
    </xdr:from>
    <xdr:to>
      <xdr:col>18</xdr:col>
      <xdr:colOff>9492</xdr:colOff>
      <xdr:row>25</xdr:row>
      <xdr:rowOff>171198</xdr:rowOff>
    </xdr:to>
    <xdr:cxnSp macro="">
      <xdr:nvCxnSpPr>
        <xdr:cNvPr id="121" name="Connector: Curved 120">
          <a:extLst>
            <a:ext uri="{FF2B5EF4-FFF2-40B4-BE49-F238E27FC236}">
              <a16:creationId xmlns:a16="http://schemas.microsoft.com/office/drawing/2014/main" id="{964AA21C-D6E7-FC1F-D143-2BF19281E82E}"/>
            </a:ext>
          </a:extLst>
        </xdr:cNvPr>
        <xdr:cNvCxnSpPr>
          <a:stCxn id="30" idx="2"/>
          <a:endCxn id="33" idx="0"/>
        </xdr:cNvCxnSpPr>
      </xdr:nvCxnSpPr>
      <xdr:spPr>
        <a:xfrm rot="16200000" flipH="1">
          <a:off x="10485624" y="5041187"/>
          <a:ext cx="1120170" cy="165842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23</xdr:col>
      <xdr:colOff>73167</xdr:colOff>
      <xdr:row>44</xdr:row>
      <xdr:rowOff>117413</xdr:rowOff>
    </xdr:to>
    <xdr:cxnSp macro="">
      <xdr:nvCxnSpPr>
        <xdr:cNvPr id="139" name="Connector: Curved 138">
          <a:extLst>
            <a:ext uri="{FF2B5EF4-FFF2-40B4-BE49-F238E27FC236}">
              <a16:creationId xmlns:a16="http://schemas.microsoft.com/office/drawing/2014/main" id="{48F06A56-045E-D3BD-BF23-DEDDC47B3C3C}"/>
            </a:ext>
          </a:extLst>
        </xdr:cNvPr>
        <xdr:cNvCxnSpPr>
          <a:stCxn id="36" idx="2"/>
          <a:endCxn id="53" idx="0"/>
        </xdr:cNvCxnSpPr>
      </xdr:nvCxnSpPr>
      <xdr:spPr>
        <a:xfrm rot="16200000" flipH="1">
          <a:off x="11047944" y="7078082"/>
          <a:ext cx="1595938" cy="630858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148273</xdr:rowOff>
    </xdr:from>
    <xdr:to>
      <xdr:col>23</xdr:col>
      <xdr:colOff>73169</xdr:colOff>
      <xdr:row>44</xdr:row>
      <xdr:rowOff>117412</xdr:rowOff>
    </xdr:to>
    <xdr:cxnSp macro="">
      <xdr:nvCxnSpPr>
        <xdr:cNvPr id="143" name="Connector: Curved 142">
          <a:extLst>
            <a:ext uri="{FF2B5EF4-FFF2-40B4-BE49-F238E27FC236}">
              <a16:creationId xmlns:a16="http://schemas.microsoft.com/office/drawing/2014/main" id="{C6C40DA1-58EB-A9D7-81E9-8D1017FF94D0}"/>
            </a:ext>
          </a:extLst>
        </xdr:cNvPr>
        <xdr:cNvCxnSpPr>
          <a:stCxn id="32" idx="2"/>
          <a:endCxn id="53" idx="0"/>
        </xdr:cNvCxnSpPr>
      </xdr:nvCxnSpPr>
      <xdr:spPr>
        <a:xfrm rot="16200000" flipH="1">
          <a:off x="10665399" y="6695536"/>
          <a:ext cx="3887997" cy="47816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23</xdr:col>
      <xdr:colOff>73168</xdr:colOff>
      <xdr:row>44</xdr:row>
      <xdr:rowOff>117412</xdr:rowOff>
    </xdr:to>
    <xdr:cxnSp macro="">
      <xdr:nvCxnSpPr>
        <xdr:cNvPr id="145" name="Connector: Curved 144">
          <a:extLst>
            <a:ext uri="{FF2B5EF4-FFF2-40B4-BE49-F238E27FC236}">
              <a16:creationId xmlns:a16="http://schemas.microsoft.com/office/drawing/2014/main" id="{C3CBE010-CC2B-E0E8-CC33-10968E272B9A}"/>
            </a:ext>
          </a:extLst>
        </xdr:cNvPr>
        <xdr:cNvCxnSpPr>
          <a:stCxn id="33" idx="2"/>
          <a:endCxn id="53" idx="0"/>
        </xdr:cNvCxnSpPr>
      </xdr:nvCxnSpPr>
      <xdr:spPr>
        <a:xfrm rot="16200000" flipH="1">
          <a:off x="11493552" y="7523689"/>
          <a:ext cx="3888021" cy="312528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26</xdr:col>
      <xdr:colOff>563342</xdr:colOff>
      <xdr:row>55</xdr:row>
      <xdr:rowOff>34903</xdr:rowOff>
    </xdr:to>
    <xdr:cxnSp macro="">
      <xdr:nvCxnSpPr>
        <xdr:cNvPr id="147" name="Connector: Curved 146">
          <a:extLst>
            <a:ext uri="{FF2B5EF4-FFF2-40B4-BE49-F238E27FC236}">
              <a16:creationId xmlns:a16="http://schemas.microsoft.com/office/drawing/2014/main" id="{2D6ABF97-3025-C6BB-36C6-4AA74B179BD5}"/>
            </a:ext>
          </a:extLst>
        </xdr:cNvPr>
        <xdr:cNvCxnSpPr>
          <a:stCxn id="36" idx="2"/>
          <a:endCxn id="54" idx="0"/>
        </xdr:cNvCxnSpPr>
      </xdr:nvCxnSpPr>
      <xdr:spPr>
        <a:xfrm rot="16200000" flipH="1">
          <a:off x="10905661" y="7220366"/>
          <a:ext cx="4207643" cy="8635718"/>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29</xdr:col>
      <xdr:colOff>448287</xdr:colOff>
      <xdr:row>55</xdr:row>
      <xdr:rowOff>46981</xdr:rowOff>
    </xdr:to>
    <xdr:cxnSp macro="">
      <xdr:nvCxnSpPr>
        <xdr:cNvPr id="149" name="Connector: Curved 148">
          <a:extLst>
            <a:ext uri="{FF2B5EF4-FFF2-40B4-BE49-F238E27FC236}">
              <a16:creationId xmlns:a16="http://schemas.microsoft.com/office/drawing/2014/main" id="{FF141CF7-4618-45A5-8A8B-AE010549E469}"/>
            </a:ext>
          </a:extLst>
        </xdr:cNvPr>
        <xdr:cNvCxnSpPr>
          <a:stCxn id="36" idx="2"/>
          <a:endCxn id="56" idx="0"/>
        </xdr:cNvCxnSpPr>
      </xdr:nvCxnSpPr>
      <xdr:spPr>
        <a:xfrm rot="16200000" flipH="1">
          <a:off x="11760577" y="6365449"/>
          <a:ext cx="4219720" cy="10357629"/>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148250</xdr:rowOff>
    </xdr:from>
    <xdr:to>
      <xdr:col>26</xdr:col>
      <xdr:colOff>563341</xdr:colOff>
      <xdr:row>55</xdr:row>
      <xdr:rowOff>34904</xdr:rowOff>
    </xdr:to>
    <xdr:cxnSp macro="">
      <xdr:nvCxnSpPr>
        <xdr:cNvPr id="151" name="Connector: Curved 150">
          <a:extLst>
            <a:ext uri="{FF2B5EF4-FFF2-40B4-BE49-F238E27FC236}">
              <a16:creationId xmlns:a16="http://schemas.microsoft.com/office/drawing/2014/main" id="{77FEF7D6-5953-1995-757B-CC6A6D5C7723}"/>
            </a:ext>
          </a:extLst>
        </xdr:cNvPr>
        <xdr:cNvCxnSpPr>
          <a:stCxn id="33" idx="2"/>
          <a:endCxn id="54" idx="0"/>
        </xdr:cNvCxnSpPr>
      </xdr:nvCxnSpPr>
      <xdr:spPr>
        <a:xfrm rot="16200000" flipH="1">
          <a:off x="11351268" y="7665974"/>
          <a:ext cx="6499726" cy="5452420"/>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29</xdr:col>
      <xdr:colOff>448288</xdr:colOff>
      <xdr:row>55</xdr:row>
      <xdr:rowOff>46980</xdr:rowOff>
    </xdr:to>
    <xdr:cxnSp macro="">
      <xdr:nvCxnSpPr>
        <xdr:cNvPr id="153" name="Connector: Curved 152">
          <a:extLst>
            <a:ext uri="{FF2B5EF4-FFF2-40B4-BE49-F238E27FC236}">
              <a16:creationId xmlns:a16="http://schemas.microsoft.com/office/drawing/2014/main" id="{64F2B78A-E309-DC62-CD77-5D21F91D3B1B}"/>
            </a:ext>
          </a:extLst>
        </xdr:cNvPr>
        <xdr:cNvCxnSpPr>
          <a:stCxn id="33" idx="2"/>
          <a:endCxn id="56" idx="0"/>
        </xdr:cNvCxnSpPr>
      </xdr:nvCxnSpPr>
      <xdr:spPr>
        <a:xfrm rot="16200000" flipH="1">
          <a:off x="12206185" y="6811056"/>
          <a:ext cx="6511803" cy="717433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539089</xdr:colOff>
      <xdr:row>44</xdr:row>
      <xdr:rowOff>117413</xdr:rowOff>
    </xdr:from>
    <xdr:to>
      <xdr:col>24</xdr:col>
      <xdr:colOff>219568</xdr:colOff>
      <xdr:row>47</xdr:row>
      <xdr:rowOff>94465</xdr:rowOff>
    </xdr:to>
    <xdr:sp macro="" textlink="'4.1.1.5-6 Atmos Deposition'!D5">
      <xdr:nvSpPr>
        <xdr:cNvPr id="53" name="TextBox 52">
          <a:hlinkClick xmlns:r="http://schemas.openxmlformats.org/officeDocument/2006/relationships" r:id="rId16"/>
          <a:extLst>
            <a:ext uri="{FF2B5EF4-FFF2-40B4-BE49-F238E27FC236}">
              <a16:creationId xmlns:a16="http://schemas.microsoft.com/office/drawing/2014/main" id="{BA71A6CA-D1BA-4D4D-990E-27D8C087EF33}"/>
            </a:ext>
          </a:extLst>
        </xdr:cNvPr>
        <xdr:cNvSpPr txBox="1"/>
      </xdr:nvSpPr>
      <xdr:spPr>
        <a:xfrm>
          <a:off x="14241482" y="11030342"/>
          <a:ext cx="1517443" cy="71183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B8E89C-34E5-4523-B85B-4076038A1229}" type="TxLink">
            <a:rPr lang="en-US" sz="1000" b="0" i="0" u="none" strike="noStrike">
              <a:solidFill>
                <a:srgbClr val="7030A0"/>
              </a:solidFill>
              <a:latin typeface="Times New Roman"/>
              <a:cs typeface="Times New Roman"/>
            </a:rPr>
            <a:pPr algn="ctr"/>
            <a:t>Volatilised nitrogen from manure management</a:t>
          </a:fld>
          <a:endParaRPr lang="en-AU" sz="1000">
            <a:solidFill>
              <a:srgbClr val="7030A0"/>
            </a:solidFill>
          </a:endParaRPr>
        </a:p>
      </xdr:txBody>
    </xdr:sp>
    <xdr:clientData/>
  </xdr:twoCellAnchor>
  <xdr:twoCellAnchor>
    <xdr:from>
      <xdr:col>21</xdr:col>
      <xdr:colOff>541988</xdr:colOff>
      <xdr:row>48</xdr:row>
      <xdr:rowOff>167790</xdr:rowOff>
    </xdr:from>
    <xdr:to>
      <xdr:col>24</xdr:col>
      <xdr:colOff>222467</xdr:colOff>
      <xdr:row>51</xdr:row>
      <xdr:rowOff>139890</xdr:rowOff>
    </xdr:to>
    <xdr:sp macro="" textlink="'4.1.1.5-6 Atmos Deposition'!D50">
      <xdr:nvSpPr>
        <xdr:cNvPr id="55" name="TextBox 54">
          <a:hlinkClick xmlns:r="http://schemas.openxmlformats.org/officeDocument/2006/relationships" r:id="rId17"/>
          <a:extLst>
            <a:ext uri="{FF2B5EF4-FFF2-40B4-BE49-F238E27FC236}">
              <a16:creationId xmlns:a16="http://schemas.microsoft.com/office/drawing/2014/main" id="{D2D728C0-C301-4FC2-953C-540E832F0A32}"/>
            </a:ext>
          </a:extLst>
        </xdr:cNvPr>
        <xdr:cNvSpPr txBox="1"/>
      </xdr:nvSpPr>
      <xdr:spPr>
        <a:xfrm>
          <a:off x="14244381" y="12060433"/>
          <a:ext cx="1517443"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084BFA-076B-4C23-A7D1-E1829E1A5978}"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4</xdr:col>
      <xdr:colOff>103475</xdr:colOff>
      <xdr:row>28</xdr:row>
      <xdr:rowOff>106699</xdr:rowOff>
    </xdr:from>
    <xdr:to>
      <xdr:col>6</xdr:col>
      <xdr:colOff>547069</xdr:colOff>
      <xdr:row>48</xdr:row>
      <xdr:rowOff>178735</xdr:rowOff>
    </xdr:to>
    <xdr:cxnSp macro="">
      <xdr:nvCxnSpPr>
        <xdr:cNvPr id="162" name="Connector: Curved 161">
          <a:extLst>
            <a:ext uri="{FF2B5EF4-FFF2-40B4-BE49-F238E27FC236}">
              <a16:creationId xmlns:a16="http://schemas.microsoft.com/office/drawing/2014/main" id="{20CF9FC9-20C8-C6DE-BCAD-1D89D965E668}"/>
            </a:ext>
          </a:extLst>
        </xdr:cNvPr>
        <xdr:cNvCxnSpPr>
          <a:stCxn id="18" idx="2"/>
          <a:endCxn id="20" idx="0"/>
        </xdr:cNvCxnSpPr>
      </xdr:nvCxnSpPr>
      <xdr:spPr>
        <a:xfrm rot="16200000" flipH="1">
          <a:off x="1745218" y="8751956"/>
          <a:ext cx="4970608" cy="1668236"/>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540720</xdr:colOff>
      <xdr:row>28</xdr:row>
      <xdr:rowOff>120099</xdr:rowOff>
    </xdr:from>
    <xdr:to>
      <xdr:col>6</xdr:col>
      <xdr:colOff>553420</xdr:colOff>
      <xdr:row>48</xdr:row>
      <xdr:rowOff>185084</xdr:rowOff>
    </xdr:to>
    <xdr:cxnSp macro="">
      <xdr:nvCxnSpPr>
        <xdr:cNvPr id="164" name="Connector: Curved 163">
          <a:extLst>
            <a:ext uri="{FF2B5EF4-FFF2-40B4-BE49-F238E27FC236}">
              <a16:creationId xmlns:a16="http://schemas.microsoft.com/office/drawing/2014/main" id="{2F3040AE-BFB4-E5B5-84D4-F9889CAC796B}"/>
            </a:ext>
          </a:extLst>
        </xdr:cNvPr>
        <xdr:cNvCxnSpPr>
          <a:stCxn id="17" idx="2"/>
          <a:endCxn id="20" idx="0"/>
        </xdr:cNvCxnSpPr>
      </xdr:nvCxnSpPr>
      <xdr:spPr>
        <a:xfrm rot="5400000">
          <a:off x="2582862" y="9589599"/>
          <a:ext cx="496355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103475</xdr:colOff>
      <xdr:row>12</xdr:row>
      <xdr:rowOff>78361</xdr:rowOff>
    </xdr:from>
    <xdr:to>
      <xdr:col>6</xdr:col>
      <xdr:colOff>574283</xdr:colOff>
      <xdr:row>25</xdr:row>
      <xdr:rowOff>129649</xdr:rowOff>
    </xdr:to>
    <xdr:cxnSp macro="">
      <xdr:nvCxnSpPr>
        <xdr:cNvPr id="166" name="Connector: Curved 165">
          <a:extLst>
            <a:ext uri="{FF2B5EF4-FFF2-40B4-BE49-F238E27FC236}">
              <a16:creationId xmlns:a16="http://schemas.microsoft.com/office/drawing/2014/main" id="{3590FD43-27CB-7576-8399-9ABEF0533E4B}"/>
            </a:ext>
          </a:extLst>
        </xdr:cNvPr>
        <xdr:cNvCxnSpPr>
          <a:stCxn id="16" idx="2"/>
          <a:endCxn id="18" idx="0"/>
        </xdr:cNvCxnSpPr>
      </xdr:nvCxnSpPr>
      <xdr:spPr>
        <a:xfrm rot="5400000">
          <a:off x="2626449" y="3923530"/>
          <a:ext cx="3235360" cy="16954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574283</xdr:colOff>
      <xdr:row>12</xdr:row>
      <xdr:rowOff>78360</xdr:rowOff>
    </xdr:from>
    <xdr:to>
      <xdr:col>9</xdr:col>
      <xdr:colOff>362011</xdr:colOff>
      <xdr:row>25</xdr:row>
      <xdr:rowOff>151419</xdr:rowOff>
    </xdr:to>
    <xdr:cxnSp macro="">
      <xdr:nvCxnSpPr>
        <xdr:cNvPr id="168" name="Connector: Curved 167">
          <a:extLst>
            <a:ext uri="{FF2B5EF4-FFF2-40B4-BE49-F238E27FC236}">
              <a16:creationId xmlns:a16="http://schemas.microsoft.com/office/drawing/2014/main" id="{74FD6A73-0382-933A-9732-6270945A5EA2}"/>
            </a:ext>
          </a:extLst>
        </xdr:cNvPr>
        <xdr:cNvCxnSpPr>
          <a:stCxn id="16" idx="2"/>
          <a:endCxn id="19" idx="0"/>
        </xdr:cNvCxnSpPr>
      </xdr:nvCxnSpPr>
      <xdr:spPr>
        <a:xfrm rot="16200000" flipH="1">
          <a:off x="4275635" y="3969793"/>
          <a:ext cx="3257131" cy="1624693"/>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204868</xdr:colOff>
      <xdr:row>37</xdr:row>
      <xdr:rowOff>-1</xdr:rowOff>
    </xdr:from>
    <xdr:to>
      <xdr:col>40</xdr:col>
      <xdr:colOff>65034</xdr:colOff>
      <xdr:row>55</xdr:row>
      <xdr:rowOff>97971</xdr:rowOff>
    </xdr:to>
    <xdr:cxnSp macro="">
      <xdr:nvCxnSpPr>
        <xdr:cNvPr id="197" name="Connector: Curved 196">
          <a:extLst>
            <a:ext uri="{FF2B5EF4-FFF2-40B4-BE49-F238E27FC236}">
              <a16:creationId xmlns:a16="http://schemas.microsoft.com/office/drawing/2014/main" id="{8B1F34AB-CD02-A4B0-C013-B32F3EAFE01B}"/>
            </a:ext>
          </a:extLst>
        </xdr:cNvPr>
        <xdr:cNvCxnSpPr>
          <a:stCxn id="66" idx="2"/>
          <a:endCxn id="76" idx="0"/>
        </xdr:cNvCxnSpPr>
      </xdr:nvCxnSpPr>
      <xdr:spPr>
        <a:xfrm rot="16200000" flipH="1">
          <a:off x="21074983" y="9378563"/>
          <a:ext cx="4506686" cy="41464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37</xdr:col>
      <xdr:colOff>162844</xdr:colOff>
      <xdr:row>55</xdr:row>
      <xdr:rowOff>97971</xdr:rowOff>
    </xdr:to>
    <xdr:cxnSp macro="">
      <xdr:nvCxnSpPr>
        <xdr:cNvPr id="199" name="Connector: Curved 198">
          <a:extLst>
            <a:ext uri="{FF2B5EF4-FFF2-40B4-BE49-F238E27FC236}">
              <a16:creationId xmlns:a16="http://schemas.microsoft.com/office/drawing/2014/main" id="{07BB15C6-FCC3-2F75-2436-473CEABDEEC8}"/>
            </a:ext>
          </a:extLst>
        </xdr:cNvPr>
        <xdr:cNvCxnSpPr>
          <a:stCxn id="66" idx="2"/>
          <a:endCxn id="75" idx="0"/>
        </xdr:cNvCxnSpPr>
      </xdr:nvCxnSpPr>
      <xdr:spPr>
        <a:xfrm rot="16200000" flipH="1">
          <a:off x="20205406" y="10248139"/>
          <a:ext cx="4506686" cy="24072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34</xdr:col>
      <xdr:colOff>289231</xdr:colOff>
      <xdr:row>55</xdr:row>
      <xdr:rowOff>97971</xdr:rowOff>
    </xdr:to>
    <xdr:cxnSp macro="">
      <xdr:nvCxnSpPr>
        <xdr:cNvPr id="201" name="Connector: Curved 200">
          <a:extLst>
            <a:ext uri="{FF2B5EF4-FFF2-40B4-BE49-F238E27FC236}">
              <a16:creationId xmlns:a16="http://schemas.microsoft.com/office/drawing/2014/main" id="{BCFA1F32-DBB6-4311-E4BC-20D995D46ACF}"/>
            </a:ext>
          </a:extLst>
        </xdr:cNvPr>
        <xdr:cNvCxnSpPr>
          <a:stCxn id="66" idx="2"/>
          <a:endCxn id="74" idx="0"/>
        </xdr:cNvCxnSpPr>
      </xdr:nvCxnSpPr>
      <xdr:spPr>
        <a:xfrm rot="16200000" flipH="1">
          <a:off x="19350117" y="11103428"/>
          <a:ext cx="4506686" cy="6966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162846</xdr:colOff>
      <xdr:row>31</xdr:row>
      <xdr:rowOff>6679</xdr:rowOff>
    </xdr:from>
    <xdr:to>
      <xdr:col>42</xdr:col>
      <xdr:colOff>142277</xdr:colOff>
      <xdr:row>55</xdr:row>
      <xdr:rowOff>97970</xdr:rowOff>
    </xdr:to>
    <xdr:cxnSp macro="">
      <xdr:nvCxnSpPr>
        <xdr:cNvPr id="205" name="Connector: Curved 204">
          <a:extLst>
            <a:ext uri="{FF2B5EF4-FFF2-40B4-BE49-F238E27FC236}">
              <a16:creationId xmlns:a16="http://schemas.microsoft.com/office/drawing/2014/main" id="{79452B7B-4A9E-78DB-B37E-AB4F7BAF1606}"/>
            </a:ext>
          </a:extLst>
        </xdr:cNvPr>
        <xdr:cNvCxnSpPr>
          <a:stCxn id="68" idx="2"/>
          <a:endCxn id="75" idx="0"/>
        </xdr:cNvCxnSpPr>
      </xdr:nvCxnSpPr>
      <xdr:spPr>
        <a:xfrm rot="5400000">
          <a:off x="22198112" y="9199806"/>
          <a:ext cx="5969577" cy="304103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65035</xdr:colOff>
      <xdr:row>31</xdr:row>
      <xdr:rowOff>6680</xdr:rowOff>
    </xdr:from>
    <xdr:to>
      <xdr:col>42</xdr:col>
      <xdr:colOff>142277</xdr:colOff>
      <xdr:row>55</xdr:row>
      <xdr:rowOff>97971</xdr:rowOff>
    </xdr:to>
    <xdr:cxnSp macro="">
      <xdr:nvCxnSpPr>
        <xdr:cNvPr id="207" name="Connector: Curved 206">
          <a:extLst>
            <a:ext uri="{FF2B5EF4-FFF2-40B4-BE49-F238E27FC236}">
              <a16:creationId xmlns:a16="http://schemas.microsoft.com/office/drawing/2014/main" id="{3961B662-1C73-78DD-6F40-0CA7F1D6315B}"/>
            </a:ext>
          </a:extLst>
        </xdr:cNvPr>
        <xdr:cNvCxnSpPr>
          <a:stCxn id="68" idx="2"/>
          <a:endCxn id="76" idx="0"/>
        </xdr:cNvCxnSpPr>
      </xdr:nvCxnSpPr>
      <xdr:spPr>
        <a:xfrm rot="5400000">
          <a:off x="23067689" y="10069383"/>
          <a:ext cx="5969577" cy="1301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)×(1−𝐴)</a:t>
              </a:r>
              <a:endParaRPr lang="en-AU" sz="11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𝑀_(𝑗𝑚=5,𝑇=1)=𝑉𝑆_𝑗×𝐵𝑂×𝑀𝑀𝑆_(𝑚=5,𝑇=1)×𝑀𝐶𝐹_(𝑖𝑚=5)×𝜌</a:t>
              </a:r>
              <a:endParaRPr lang="en-AU" sz="11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𝑉𝑆𝐿</m:t>
                        </m:r>
                      </m:e>
                    </m:d>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𝑀_(𝑗𝑚𝑇=2)=(1−𝑉𝑆𝐿)×𝑉𝑆_𝑗×𝐵𝑂×𝑀𝑀𝑆_(𝑚𝑇=2)×𝑀𝐶𝐹_𝑖𝑚×𝜌</a:t>
              </a:r>
              <a:endParaRPr lang="en-AU" sz="1100"/>
            </a:p>
          </xdr:txBody>
        </xdr:sp>
      </mc:Fallback>
    </mc:AlternateContent>
    <xdr:clientData/>
  </xdr:oneCellAnchor>
  <xdr:oneCellAnchor>
    <xdr:from>
      <xdr:col>3</xdr:col>
      <xdr:colOff>14287</xdr:colOff>
      <xdr:row>104</xdr:row>
      <xdr:rowOff>133350</xdr:rowOff>
    </xdr:from>
    <xdr:ext cx="3287760"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𝑀_(𝑗𝑚=1,𝑇=3)=𝑉𝑆_𝑗×𝐵𝑂×𝑀𝑀𝑆_(𝑚=1,𝑇=3)×𝑀𝐶𝐹_(𝑖𝑚=1)×𝜌</a:t>
              </a:r>
              <a:endParaRPr lang="en-AU" sz="1100"/>
            </a:p>
          </xdr:txBody>
        </xdr:sp>
      </mc:Fallback>
    </mc:AlternateContent>
    <xdr:clientData/>
  </xdr:oneCellAnchor>
  <xdr:oneCellAnchor>
    <xdr:from>
      <xdr:col>3</xdr:col>
      <xdr:colOff>14287</xdr:colOff>
      <xdr:row>131</xdr:row>
      <xdr:rowOff>133350</xdr:rowOff>
    </xdr:from>
    <xdr:ext cx="2614114"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𝐸_𝐶𝐻4=∑_𝑗▒∑_𝑚▒∑_𝑇▒(𝐷_𝑗×𝑀_𝑗𝑚𝑇×𝑁_𝑗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𝑁𝐼_𝑗=𝐼_𝑗×𝐶𝑃_𝑗÷6.25</a:t>
              </a:r>
              <a:endParaRPr lang="en-AU" sz="11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𝑁𝐸_𝑗=𝑁𝐼_𝑗×(1−𝑁𝑅_𝑗 )</a:t>
              </a:r>
              <a:endParaRPr lang="en-AU" sz="11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𝐴𝐸_𝑗=𝑁_𝑗×𝑁𝐸_𝑗×𝐷_𝑗</a:t>
              </a:r>
              <a:endParaRPr lang="en-AU" sz="11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𝑀𝑁_(𝑗𝑚=5,𝑇=1)=𝐴𝐸_𝑗×𝑀𝑀𝑆_(𝑗𝑚=5,𝑇=1)</a:t>
              </a:r>
              <a:endParaRPr lang="en-AU" sz="11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=5</m:t>
                                </m:r>
                              </m:sub>
                            </m:sSub>
                          </m:e>
                        </m:d>
                      </m:e>
                    </m:d>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𝑁𝑇_(𝑗𝑚,𝑇=2)=(𝑀𝑁_(𝑗𝑚=5,𝑇=1)×(1−𝐹𝑟𝑎𝑐𝐺𝐴𝑆𝑀_(𝑚=5)−𝐸𝐹_(𝑚=5) ))−𝑀𝑁_(𝑗𝑚,𝑇=3)</a:t>
              </a:r>
              <a:endParaRPr lang="en-AU" sz="11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𝑀𝑁_(𝑗𝑚=1,𝑇=3)=𝐴𝐸_𝑗×𝑀𝑀𝑆_(𝑗𝑚=1,𝑇=3)</a:t>
              </a:r>
              <a:endParaRPr lang="en-AU" sz="11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𝑀𝑁𝑆𝑜𝑖𝑙_𝑠𝑐𝑜𝑝𝑒1=∑8_𝑗▒∑8_𝑚▒∑8_𝑇▒(𝑀𝑁_(𝑗𝑚𝑇=2,3)×(1−𝐸𝐹_(𝑚𝑇=2,3)−𝐹𝑟𝑎𝑐𝐺𝐴𝑆𝑀_(𝑚𝑇=2,3) )) ×𝑃𝐹</a:t>
              </a:r>
              <a:endParaRPr lang="en-AU" sz="11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𝑀𝑁𝑆𝑜𝑖𝑙_𝑠𝑐𝑜𝑝𝑒3=∑_𝑗▒∑_𝑚▒∑_𝑇▒(𝑀𝑁_(𝑗𝑚𝑇=2,3)×(1−𝐸𝐹_(𝑚𝑇=2,3)−𝐹𝑟𝑎𝑐𝐺𝐴𝑆𝑀_(𝑚𝑇=2,3)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E0D1AC-E263-4888-BD82-9BA83D9C0E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F14DDA4-D27B-4D7F-9E65-994EBEC3F746}" name="State/Territory">
      <calculatedColumnFormula array="1">Common_InputFunctions.Utility_DisplayArrayInTable(Common_SourceData.Common_SourceData_AustralianStatesTerritories_Data(),Table_AustralianStates[[#Headers],[State/Territory]],0)</calculatedColumnFormula>
    </tableColumn>
    <tableColumn id="2" xr3:uid="{3700E6DF-A9D3-4D46-9C7C-42AF7927B496}" name="Common Name">
      <calculatedColumnFormula array="1">Common_InputFunctions.Utility_DisplayArrayInTable(Common_SourceData.Common_SourceData_AustralianStatesTerritories_Data(),Table_AustralianStates[[#Headers],[State/Territory]],0)</calculatedColumnFormula>
    </tableColumn>
    <tableColumn id="3" xr3:uid="{6872AAA4-E0CB-4AF1-82F9-FE2AB04996A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F47694-57D8-4008-A3C3-E0075C585EDB}" name="Table_WASA4Areas" displayName="Table_WASA4Areas" ref="D20:D30" totalsRowShown="0">
  <autoFilter ref="D20:D30" xr:uid="{5FA81339-C6C8-4D36-BEEA-6C4AEDD9E676}">
    <filterColumn colId="0" hiddenButton="1"/>
  </autoFilter>
  <tableColumns count="1">
    <tableColumn id="1" xr3:uid="{F75EEDD7-13D4-4927-83BD-CEC6483DAD9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E7BE49D-2A76-4939-A964-0874C379D495}" name="Table_GWPData" displayName="Table_GWPData" ref="D36:E43" totalsRowShown="0">
  <autoFilter ref="D36:E43" xr:uid="{B8E87A66-3E41-4AD3-925D-01EE21B43D7A}">
    <filterColumn colId="0" hiddenButton="1"/>
    <filterColumn colId="1" hiddenButton="1"/>
  </autoFilter>
  <tableColumns count="2">
    <tableColumn id="1" xr3:uid="{716DE615-E5CA-4104-BF1A-A1EC60212E3A}" name="Gas">
      <calculatedColumnFormula array="1">Common_InputFunctions.Utility_DisplayArrayInTable(Common_SourceData.Common_SourceData_GWP_Data(), Table_GWPData[[#Headers],[Gas]], 0)</calculatedColumnFormula>
    </tableColumn>
    <tableColumn id="2" xr3:uid="{7B03BA42-5846-4E91-AB4C-CF0D27E1607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C479A7E-0BE6-4A5B-8EBB-EBC2986C75D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14F8EBB-4DC6-4027-96EF-D275E86B6AC5}" name="Gas">
      <calculatedColumnFormula array="1">Common_InputFunctions.Utility_DisplayArrayInTable(Common_SourceData.Common_SourceData_ConvertGasElementalToMolecular_Data(),Table_GasToMolecularConversionFactor[[#Headers],[Gas]], 0)</calculatedColumnFormula>
    </tableColumn>
    <tableColumn id="5" xr3:uid="{BF6EF291-CB3F-4D37-9A25-D1B63FAC04BB}" name="Conversion factor">
      <calculatedColumnFormula array="1">Common_InputFunctions.Utility_DisplayArrayInTable(Common_SourceData.Common_SourceData_ConvertGasElementalToMolecular_Data(),Table_GasToMolecularConversionFactor[[#Headers],[Gas]], 0)</calculatedColumnFormula>
    </tableColumn>
    <tableColumn id="2" xr3:uid="{41957899-0B4F-49DB-8387-9C1F8612425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B045E39-0C95-42E7-9A11-6A422EA1049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ACDECAF-60DA-4624-92A5-170D9F81FB1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FE3ECBF-5F36-4AEF-8BBB-56C560422E2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59E87A8-427D-402D-820C-77BE14B8003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7640195-38D0-40A2-8F4E-ED2E3782723D}"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173F507F-E183-4120-B9B0-65F93C56EA11}"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C2A017B0-9395-4BD5-8DBC-68DB04E47151}"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D355141-6D72-4DEB-AB96-6337D781DEFC}"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B1556290-B1D7-468D-B8D1-7D23916A774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D0BF862A-1ABC-4736-B87B-C9AF564FD67C}"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7C52250B-D4B7-4086-ABF4-1F3F1B5D2C7C}"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D0D89DC1-3CB4-4B95-AF47-3EDA5F9D7F55}"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F2D78BA7-2CAC-424C-89A3-7E8693081B09}"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127FCE2F-4D27-4093-BC91-A1FED02C160D}"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A75D41F8-CEAB-47EC-AF61-3F0C943CC901}"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867FFB31-71FD-4C83-9808-59E1D8E2B6BC}"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C84D5615-806D-4C2D-9449-CE4966028101}"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4B6638A7-6AF3-40E8-BD9B-C88BBAEFAA25}"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B6EF6738-A3DB-4B19-B8C6-1EF1BDE2DD6E}"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C98DEFD-D6E5-4B03-A150-8F0C578A2506}"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6A5D07E-EA8A-44AE-8147-1E0D5443E32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078AE17-E7FA-47E9-A816-5C5C8EFABD1A}"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1BB0D6-53E6-4A7B-87E8-07A76038297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819985D-2D22-4ACB-AB0E-FF704D376400}" name="Temperature Zone">
      <calculatedColumnFormula array="1">Common_InputFunctions.Utility_DisplayArrayInTable(Common_SourceData.Common_SourceData_TemperatureZones_Data(),Table_SourceData_TemperatureZones[[#Headers],[Temperature Zone]],0)</calculatedColumnFormula>
    </tableColumn>
    <tableColumn id="2" xr3:uid="{D3437F49-A4E8-4E5B-8A0B-41FCC10E5A73}" name="MAT">
      <calculatedColumnFormula array="1">Common_InputFunctions.Utility_DisplayArrayInTable(Common_SourceData.Common_SourceData_TemperatureZones_Data(),Table_SourceData_TemperatureZones[[#Headers],[Temperature Zone]],0)</calculatedColumnFormula>
    </tableColumn>
    <tableColumn id="3" xr3:uid="{B40D72F3-A811-431A-A5B3-36DB48B46278}" name="Min MAT">
      <calculatedColumnFormula array="1">Common_InputFunctions.Utility_DisplayArrayInTable(Common_SourceData.Common_SourceData_TemperatureZones_Data(),Table_SourceData_TemperatureZones[[#Headers],[Temperature Zone]],0)</calculatedColumnFormula>
    </tableColumn>
    <tableColumn id="4" xr3:uid="{2F3AD32D-1DC7-49C3-AB3D-28AD5A719A1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7779FD4-FE2F-41A6-ADD3-67C6B58A542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BD7D9F6-B198-499B-80AD-D34D3501689A}" name="Rainfall Zone">
      <calculatedColumnFormula array="1">Common_InputFunctions.Utility_DisplayArrayInTable(Common_SourceData.Common_SourceData_RainfallZones_Data(),Table_SourceData_RainfallZones[[#Headers],[Rainfall Zone]],0)</calculatedColumnFormula>
    </tableColumn>
    <tableColumn id="2" xr3:uid="{8126D928-3B78-4186-AC8C-644BE034864A}" name="Annual rainfall">
      <calculatedColumnFormula array="1">Common_InputFunctions.Utility_DisplayArrayInTable(Common_SourceData.Common_SourceData_RainfallZones_Data(),Table_SourceData_RainfallZones[[#Headers],[Rainfall Zone]],0)</calculatedColumnFormula>
    </tableColumn>
    <tableColumn id="3" xr3:uid="{430674E7-C1C7-40A9-BB96-A1B05C300B20}" name="Min rainfall">
      <calculatedColumnFormula array="1">Common_InputFunctions.Utility_DisplayArrayInTable(Common_SourceData.Common_SourceData_RainfallZones_Data(),Table_SourceData_RainfallZones[[#Headers],[Rainfall Zone]],0)</calculatedColumnFormula>
    </tableColumn>
    <tableColumn id="4" xr3:uid="{03AF5C4C-EC63-4EF9-99F0-DEBFC2EBA32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ADBA160-3AD7-4A00-ACD5-61C6F5B2AC6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C973E91-3D46-44AF-9C98-2380E99FD6AB}" name="Leaching Zone">
      <calculatedColumnFormula array="1">Common_InputFunctions.Utility_DisplayArrayInTable(Common_SourceData.Common_SourceData_LeachingZones_Data(), Table_SourceData_LeachingZones[[#Headers],[Leaching Zone]], 0)</calculatedColumnFormula>
    </tableColumn>
    <tableColumn id="2" xr3:uid="{4C863D31-D584-4CED-9446-119B52FF59F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33DE523-01EF-4A28-A14E-F727E6549A9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56B6BBE-8E42-4167-BC9A-01847FA138CB}" name="Data source">
      <calculatedColumnFormula array="1">Common_InputFunctions.Utility_DisplayArrayInTable(Common_SourceData.Common_SourceData_DataScores_Scope3_Data(), Table_SourceData_DataScores_Scope3[[#Headers],[Data source]], 0)</calculatedColumnFormula>
    </tableColumn>
    <tableColumn id="2" xr3:uid="{1E06F022-8CAC-4970-8E22-DC38E851615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0133C7C-7D47-49D5-8F68-FE568C724139}" name="Table_SourceData_FracWET" displayName="Table_SourceData_FracWET" ref="D134:E136" totalsRowShown="0">
  <autoFilter ref="D134:E136" xr:uid="{308E99BE-FE1F-47A4-B2CA-97217277C4E9}">
    <filterColumn colId="0" hiddenButton="1"/>
    <filterColumn colId="1" hiddenButton="1"/>
  </autoFilter>
  <tableColumns count="2">
    <tableColumn id="1" xr3:uid="{384B72E3-6207-4969-9D64-A5F9FB1D8555}" name="Is in leaching zone">
      <calculatedColumnFormula array="1">Common_InputFunctions.Utility_DisplayArrayInTable(Common_SourceData.Common_SourceData_FracWET_Data(),Table_SourceData_FracWET[[#Headers],[Is in leaching zone]],0)</calculatedColumnFormula>
    </tableColumn>
    <tableColumn id="2" xr3:uid="{3091E474-D075-40C5-A170-5E36A22F2067}"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D1E3757-52DE-4C72-9DE6-4A671FBF11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F0CA4E4-74B2-4FB8-B5C2-0D29FC54555E}" name="Production system j">
      <calculatedColumnFormula array="1">Common_InputFunctions.Utility_DisplayArrayInTable(Common_SourceData.Common_SourceData_EFN2O_Data(), Table_SourceData_Common_EFN2O[[#Headers],[Production system j]], 0)</calculatedColumnFormula>
    </tableColumn>
    <tableColumn id="2" xr3:uid="{1A62860A-8752-4152-8472-494CFDC9C6B9}" name="EFN2O">
      <calculatedColumnFormula array="1">Common_InputFunctions.Utility_DisplayArrayInTable(Common_SourceData.Common_SourceData_EFN2O_Data(), Table_SourceData_Common_EFN2O[[#Headers],[Production system j]], 0)</calculatedColumnFormula>
    </tableColumn>
    <tableColumn id="3" xr3:uid="{1EA9C65C-1A0D-48E8-9C14-4250E6C19F91}" name="Production system only">
      <calculatedColumnFormula array="1">Common_InputFunctions.Utility_DisplayArrayInTable(Common_SourceData.Common_SourceData_EFN2O_Data(), Table_SourceData_Common_EFN2O[[#Headers],[Production system j]], 0)</calculatedColumnFormula>
    </tableColumn>
    <tableColumn id="4" xr3:uid="{4EBE0069-0B4C-49FB-B784-53D54D270B85}" name="Irrigation method">
      <calculatedColumnFormula array="1">Common_InputFunctions.Utility_DisplayArrayInTable(Common_SourceData.Common_SourceData_EFN2O_Data(), Table_SourceData_Common_EFN2O[[#Headers],[Production system j]], 0)</calculatedColumnFormula>
    </tableColumn>
    <tableColumn id="5" xr3:uid="{4ECECD93-8A2C-4F22-BAFE-6E8F3D8591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2C8F87A-78AC-4FE6-82D3-DEC700AFACF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65084BB-0748-45B7-9479-6FBAABCC24EE}" name="Irrigation type i">
      <calculatedColumnFormula array="1">Common_InputFunctions.Utility_DisplayArrayInTable(Common_SourceData.Common_SourceData_FracWETIrrigation_Data(), Table_SourceData_FracWETIrrigation[[#Headers],[Irrigation type i]], 0)</calculatedColumnFormula>
    </tableColumn>
    <tableColumn id="2" xr3:uid="{4C567D5B-A084-4D80-A062-0CD201A191CE}"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A5D96C7-FDF3-4C63-B65B-770CBFA98A8F}"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651BB27-7091-4140-98F2-BB960EFCC0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5D23273-C26A-4FC1-8D47-489264139E71}"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8F5368D-6C3F-4B58-BB51-EFF613A3381F}"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42ECEA9-F27A-4A25-AE53-5C118E524610}" name="Month">
      <calculatedColumnFormula array="1">Common_InputFunctions.Utility_DisplayArrayInTable(Common_SourceData.Common_SourceData_MonthsToSeasons_Data(), Table_SourceData_Common_MonthToSeason[[#Headers],[Month]], 0)</calculatedColumnFormula>
    </tableColumn>
    <tableColumn id="2" xr3:uid="{015A751B-3D0B-4702-9B38-2CC23D2812FD}"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2E05D65-4A0D-48C6-8B90-EFB94F6CB7A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5A25F8A-2C9D-4FFB-ACC2-A96D20D5BF3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2484594-960C-44E7-921F-9E7AA24C68E2}"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EA291FA-45F1-44F8-B43B-9CD46C14436C}"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660243AF-DDBF-4C51-9790-DB8FEBA03000}"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21CBBCF-41DC-4833-BD02-5360D72C2C23}"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FD3A716-E4AD-4D72-937C-6A34972ACAFC}"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CCA9D931-676F-497F-9893-E6009D58C098}"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2C22C28-F7B5-436C-B317-A03FCC1AC41F}"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95CD790-AB9E-4B92-89B7-98A1517E65DC}"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898F88-8A19-46FE-85FD-9D50230EB400}"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1410ED1-8C4C-4DB3-B50B-917B399CBC73}"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F609028-4CE3-45F9-8060-2713C170773C}"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39B0518-1B7A-406E-89DA-EB0734E226E1}"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1AA5C9B-CA6A-4848-B459-C913FABA3D4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0E074B0-33FA-4E1C-8761-617D850535A7}"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E92D546-2A02-4FF9-9A0E-AC53F0892C58}"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7807C48-0DD2-4F55-926D-8FF58BEF670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39084FF-FE60-4B47-A440-79DEA373020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4BB9A99-26A2-42B6-AE47-377EDC50059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9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6.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70" t="e" vm="1">
        <v>#VALUE!</v>
      </c>
      <c r="C1" s="143" t="s">
        <v>349</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46" t="s">
        <v>347</v>
      </c>
      <c r="E5" s="146"/>
      <c r="F5" s="146"/>
      <c r="G5" s="146"/>
      <c r="H5" s="146"/>
      <c r="I5" s="116"/>
      <c r="J5" s="94"/>
      <c r="K5" s="94"/>
      <c r="L5" s="94"/>
      <c r="M5" s="94"/>
      <c r="N5" s="94"/>
      <c r="O5" s="94"/>
      <c r="P5" s="94"/>
      <c r="Q5" s="94"/>
      <c r="R5" s="94"/>
      <c r="S5" s="94"/>
      <c r="T5" s="94"/>
      <c r="U5" s="94"/>
      <c r="V5" s="90"/>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47" t="s">
        <v>348</v>
      </c>
      <c r="E6" s="148"/>
      <c r="F6" s="148"/>
      <c r="G6" s="148"/>
      <c r="H6" s="148"/>
      <c r="I6" s="96"/>
      <c r="J6" s="93"/>
      <c r="K6" s="93"/>
      <c r="L6" s="93"/>
      <c r="M6" s="93"/>
      <c r="N6" s="93"/>
      <c r="O6" s="93"/>
      <c r="P6" s="93"/>
      <c r="Q6" s="93"/>
      <c r="R6" s="93"/>
      <c r="S6" s="93"/>
      <c r="T6" s="93"/>
      <c r="U6" s="93"/>
      <c r="V6" s="9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74</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HYPERLINK("#'4.1.1.1-2 Methane'!A1", "4.1.1.1-2 Methane")</f>
        <v>4.1.1.1-2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HYPERLINK("#'4.1.1.3-4 Direct N20'!A1", "4.1.1.3-4 Direct N2O")</f>
        <v>4.1.1.3-4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HYPERLINK("#'4.1.1.5-6 Atmos Deposition'!A1", "4.1.1.5-6 Atmospheric deposition")</f>
        <v>4.1.1.5-6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HYPERLINK("#'4.1.1.9 Manure applied to soils'!A1", "4.1.1.9 Manure applied to soils")</f>
        <v>4.1.1.9 Manure applied to soils</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8" t="s">
        <v>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HYPERLINK("#'Constants - Livestock'!A1", "Constants - Livestock")</f>
        <v>Constants - Livestock</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t="str">
        <f>HYPERLINK("#'Constants - Common'!A1", "Constants - Common")</f>
        <v>Constants - Common</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C1" sqref="C1"/>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70" t="e" vm="1">
        <v>#VALUE!</v>
      </c>
      <c r="C1" s="128" t="s">
        <v>293</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27" t="str">
        <f>HYPERLINK("#'Results'!A1", "Results")</f>
        <v>Results</v>
      </c>
      <c r="C5" s="24"/>
      <c r="D5" s="28"/>
      <c r="E5" s="29"/>
      <c r="F5" s="29"/>
      <c r="G5" s="29"/>
      <c r="H5" s="26"/>
      <c r="I5" s="24"/>
      <c r="J5" s="24"/>
      <c r="K5" s="24"/>
      <c r="L5" s="24"/>
    </row>
    <row r="6" spans="1:12" ht="20.100000000000001" customHeight="1" x14ac:dyDescent="0.25">
      <c r="A6" s="16"/>
      <c r="C6" s="24"/>
      <c r="D6" s="126" t="s">
        <v>255</v>
      </c>
      <c r="E6" s="126" t="s">
        <v>308</v>
      </c>
      <c r="F6" s="126" t="s">
        <v>309</v>
      </c>
      <c r="G6" s="126" t="s">
        <v>281</v>
      </c>
      <c r="H6" s="126" t="s">
        <v>310</v>
      </c>
      <c r="I6" s="126" t="s">
        <v>312</v>
      </c>
      <c r="J6" s="126" t="s">
        <v>282</v>
      </c>
      <c r="K6" s="24"/>
      <c r="L6" s="24"/>
    </row>
    <row r="7" spans="1:12" ht="20.100000000000001" customHeight="1" x14ac:dyDescent="0.25">
      <c r="A7" s="20" t="s">
        <v>3</v>
      </c>
      <c r="C7" s="24"/>
      <c r="D7" s="1" t="s">
        <v>305</v>
      </c>
      <c r="E7" s="119">
        <f>'4.1.1.1-2 Methane'!E171</f>
        <v>2.6279077661491193</v>
      </c>
      <c r="F7" s="119">
        <f>'4.1.1.1-2 Methane'!N171</f>
        <v>2.6279077661491193</v>
      </c>
      <c r="G7" s="57" t="str">
        <f>'4.1.1.1-2 Methane'!F171</f>
        <v>t CH4</v>
      </c>
      <c r="H7" s="119">
        <f>'4.1.1.1-2 Methane'!E176</f>
        <v>73.581417452175344</v>
      </c>
      <c r="I7" s="119">
        <f>'4.1.1.1-2 Methane'!N176</f>
        <v>73.581417452175344</v>
      </c>
      <c r="J7" s="57" t="s">
        <v>311</v>
      </c>
      <c r="K7" s="24"/>
      <c r="L7" s="24"/>
    </row>
    <row r="8" spans="1:12" ht="20.100000000000001" customHeight="1" x14ac:dyDescent="0.25">
      <c r="A8" s="17" t="str">
        <f>HYPERLINK("#'Input - Site'!A1", "Site")</f>
        <v>Site</v>
      </c>
      <c r="C8" s="24"/>
      <c r="D8" s="1" t="s">
        <v>306</v>
      </c>
      <c r="E8" s="119">
        <f>'4.1.1.3-4 Direct N20'!E212</f>
        <v>0.80616789491492569</v>
      </c>
      <c r="F8" s="119">
        <f>'4.1.1.3-4 Direct N20'!P212</f>
        <v>0.80616789491492569</v>
      </c>
      <c r="G8" s="57" t="str">
        <f>'4.1.1.3-4 Direct N20'!F212</f>
        <v>t N2O</v>
      </c>
      <c r="H8" s="119">
        <f>'4.1.1.3-4 Direct N20'!E217</f>
        <v>213.63449215245529</v>
      </c>
      <c r="I8" s="119">
        <f>'4.1.1.3-4 Direct N20'!P217</f>
        <v>213.63449215245529</v>
      </c>
      <c r="J8" s="57" t="s">
        <v>311</v>
      </c>
      <c r="K8" s="24"/>
      <c r="L8" s="24"/>
    </row>
    <row r="9" spans="1:12" ht="20.100000000000001" customHeight="1" x14ac:dyDescent="0.25">
      <c r="A9" s="17" t="str">
        <f>HYPERLINK("#'Input - Feedlot'!A1", "Feedlot")</f>
        <v>Feedlot</v>
      </c>
      <c r="C9" s="24"/>
      <c r="D9" s="1" t="s">
        <v>307</v>
      </c>
      <c r="E9" s="119">
        <f>'4.1.1.5-6 Atmos Deposition'!$E$65</f>
        <v>0.1458482506281413</v>
      </c>
      <c r="F9" s="119">
        <f>'4.1.1.5-6 Atmos Deposition'!$N$65</f>
        <v>0.1458482506281413</v>
      </c>
      <c r="G9" s="57" t="str">
        <f>'4.1.1.5-6 Atmos Deposition'!$F$65</f>
        <v>t N2O</v>
      </c>
      <c r="H9" s="119">
        <f>'4.1.1.5-6 Atmos Deposition'!$E$70</f>
        <v>38.649786416457445</v>
      </c>
      <c r="I9" s="119">
        <f>'4.1.1.5-6 Atmos Deposition'!$N$70</f>
        <v>38.649786416457445</v>
      </c>
      <c r="J9" s="57" t="s">
        <v>311</v>
      </c>
      <c r="K9" s="24"/>
      <c r="L9" s="24"/>
    </row>
    <row r="10" spans="1:12" ht="20.100000000000001" customHeight="1" x14ac:dyDescent="0.3">
      <c r="A10" s="17"/>
      <c r="C10" s="24"/>
      <c r="D10" s="31" t="s">
        <v>279</v>
      </c>
      <c r="E10" s="25"/>
      <c r="F10" s="31"/>
      <c r="G10" s="31"/>
      <c r="H10" s="123">
        <f>SUM(H7:H9)</f>
        <v>325.86569602108807</v>
      </c>
      <c r="I10" s="123">
        <f>SUM(I7:I9)</f>
        <v>325.86569602108807</v>
      </c>
      <c r="J10" s="112" t="s">
        <v>311</v>
      </c>
      <c r="K10" s="24"/>
      <c r="L10" s="24"/>
    </row>
    <row r="11" spans="1:12" ht="20.100000000000001" customHeight="1" x14ac:dyDescent="0.25">
      <c r="A11" s="19" t="s">
        <v>74</v>
      </c>
      <c r="C11" s="24"/>
      <c r="D11" s="1"/>
      <c r="E11" s="1"/>
      <c r="F11" s="1"/>
      <c r="G11" s="26"/>
      <c r="H11" s="24"/>
      <c r="I11" s="1"/>
      <c r="J11" s="1"/>
      <c r="K11" s="24"/>
      <c r="L11" s="24"/>
    </row>
    <row r="12" spans="1:12" ht="20.100000000000001" customHeight="1" x14ac:dyDescent="0.25">
      <c r="A12" s="17" t="str">
        <f>HYPERLINK("#'4.1.1.1-2 Methane'!A1", "4.1.1.1-2 Methane")</f>
        <v>4.1.1.1-2 Methane</v>
      </c>
      <c r="C12" s="24"/>
      <c r="D12" s="51" t="s">
        <v>224</v>
      </c>
      <c r="E12" s="1"/>
      <c r="F12" s="1"/>
      <c r="G12" s="1"/>
      <c r="H12" s="26"/>
      <c r="I12" s="24"/>
      <c r="J12" s="24"/>
      <c r="K12" s="24"/>
      <c r="L12" s="24"/>
    </row>
    <row r="13" spans="1:12" ht="20.100000000000001" customHeight="1" x14ac:dyDescent="0.25">
      <c r="A13" s="17" t="str">
        <f>HYPERLINK("#'4.1.1.3-4 Direct N20'!A1", "4.1.1.3-4 Direct N2O")</f>
        <v>4.1.1.3-4 Direct N2O</v>
      </c>
      <c r="C13" s="24"/>
      <c r="D13" s="113" t="s">
        <v>286</v>
      </c>
      <c r="E13" s="1"/>
      <c r="F13" s="1"/>
      <c r="G13" s="1"/>
      <c r="H13" s="1"/>
      <c r="I13" s="1"/>
      <c r="J13" s="1"/>
      <c r="K13" s="24"/>
      <c r="L13" s="24"/>
    </row>
    <row r="14" spans="1:12" ht="20.100000000000001" customHeight="1" x14ac:dyDescent="0.25">
      <c r="A14" s="17" t="str">
        <f>HYPERLINK("#'4.1.1.5-6 Atmos Deposition'!A1", "4.1.1.5-6 Atmospheric deposition")</f>
        <v>4.1.1.5-6 Atmospheric deposition</v>
      </c>
      <c r="C14" s="24"/>
      <c r="D14" s="124" t="s">
        <v>292</v>
      </c>
      <c r="E14" s="1"/>
      <c r="F14" s="1"/>
      <c r="G14" s="1"/>
      <c r="H14" s="1"/>
      <c r="I14" s="1"/>
      <c r="J14" s="1"/>
      <c r="K14" s="24"/>
      <c r="L14" s="24"/>
    </row>
    <row r="15" spans="1:12" ht="20.100000000000001" customHeight="1" x14ac:dyDescent="0.25">
      <c r="A15" s="17" t="str">
        <f>HYPERLINK("#'4.1.1.9 Manure applied to soils'!A1", "4.1.1.9 Manure applied to soils")</f>
        <v>4.1.1.9 Manure applied to soils</v>
      </c>
      <c r="C15" s="24"/>
      <c r="D15" s="126" t="s">
        <v>287</v>
      </c>
      <c r="E15" s="126" t="s">
        <v>359</v>
      </c>
      <c r="F15" s="126" t="s">
        <v>360</v>
      </c>
      <c r="G15" s="126" t="s">
        <v>285</v>
      </c>
      <c r="H15" s="126" t="s">
        <v>280</v>
      </c>
      <c r="I15" s="126" t="s">
        <v>291</v>
      </c>
      <c r="J15" s="1"/>
      <c r="K15" s="24"/>
      <c r="L15" s="24"/>
    </row>
    <row r="16" spans="1:12" ht="20.100000000000001" customHeight="1" x14ac:dyDescent="0.25">
      <c r="C16" s="24"/>
      <c r="D16" s="1" t="s">
        <v>304</v>
      </c>
      <c r="E16" s="125">
        <f>'4.1.1.9 Manure applied to soils'!$E$61</f>
        <v>24340.194998288636</v>
      </c>
      <c r="F16" s="125">
        <f>'4.1.1.9 Manure applied to soils'!O61</f>
        <v>24340.194998288636</v>
      </c>
      <c r="G16" s="57" t="str">
        <f>'4.1.1.9 Manure applied to soils'!$F$61</f>
        <v>kg N</v>
      </c>
      <c r="H16" s="1" t="s">
        <v>298</v>
      </c>
      <c r="I16" s="1" t="s">
        <v>290</v>
      </c>
      <c r="J16" s="1"/>
      <c r="K16" s="24"/>
      <c r="L16" s="24"/>
    </row>
    <row r="17" spans="1:12" ht="20.100000000000001" customHeight="1" x14ac:dyDescent="0.25">
      <c r="A17" s="18" t="s">
        <v>4</v>
      </c>
      <c r="C17" s="24"/>
      <c r="D17" s="1" t="s">
        <v>288</v>
      </c>
      <c r="E17" s="125">
        <f>'4.1.1.9 Manure applied to soils'!$E$111</f>
        <v>2221.8698202508799</v>
      </c>
      <c r="F17" s="125">
        <f>'4.1.1.9 Manure applied to soils'!O87</f>
        <v>2221.8698202508799</v>
      </c>
      <c r="G17" s="57" t="str">
        <f>'4.1.1.9 Manure applied to soils'!$F$111</f>
        <v>kg N</v>
      </c>
      <c r="H17" s="1" t="s">
        <v>298</v>
      </c>
      <c r="I17" s="1" t="s">
        <v>290</v>
      </c>
      <c r="J17" s="1"/>
      <c r="K17" s="24"/>
      <c r="L17" s="24"/>
    </row>
    <row r="18" spans="1:12" ht="20.100000000000001" customHeight="1" x14ac:dyDescent="0.25">
      <c r="A18" s="17" t="str">
        <f>HYPERLINK("#'Constants - Feedlot'!A1", "Constants - Feedlot")</f>
        <v>Constants - Feedlot</v>
      </c>
      <c r="C18" s="24"/>
      <c r="D18" s="1" t="s">
        <v>283</v>
      </c>
      <c r="E18" s="125">
        <f>'4.1.1.9 Manure applied to soils'!E87</f>
        <v>2221.8698202508799</v>
      </c>
      <c r="F18" s="125">
        <f>'4.1.1.9 Manure applied to soils'!O111</f>
        <v>2221.8698202508799</v>
      </c>
      <c r="G18" s="57" t="str">
        <f>'4.1.1.9 Manure applied to soils'!F87</f>
        <v>kg N</v>
      </c>
      <c r="H18" s="1" t="s">
        <v>284</v>
      </c>
      <c r="I18" s="1" t="s">
        <v>289</v>
      </c>
      <c r="J18" s="1"/>
      <c r="K18" s="24"/>
      <c r="L18" s="24"/>
    </row>
    <row r="19" spans="1:12" ht="20.100000000000001" customHeight="1" x14ac:dyDescent="0.25">
      <c r="A19" s="17" t="str">
        <f>HYPERLINK("#'Constants - Livestock'!A1", "Constants - Livestock")</f>
        <v>Constants - Livestock</v>
      </c>
      <c r="C19" s="24"/>
      <c r="D19" s="1"/>
      <c r="E19" s="1"/>
      <c r="F19" s="1"/>
      <c r="G19" s="1"/>
      <c r="H19" s="1"/>
      <c r="I19" s="1"/>
      <c r="J19" s="1"/>
      <c r="K19" s="24"/>
      <c r="L19" s="24"/>
    </row>
    <row r="20" spans="1:12" ht="20.100000000000001" customHeight="1" x14ac:dyDescent="0.25">
      <c r="A20" s="17" t="str">
        <f>HYPERLINK("#'Constants - Common'!A1", "Constants - Common")</f>
        <v>Constants - Common</v>
      </c>
      <c r="C20" s="24"/>
      <c r="D20" s="1"/>
      <c r="E20" s="1"/>
      <c r="F20" s="1"/>
      <c r="G20" s="1"/>
      <c r="H20" s="1"/>
      <c r="I20" s="1"/>
      <c r="J20" s="1"/>
      <c r="K20" s="24"/>
      <c r="L20" s="24"/>
    </row>
    <row r="21" spans="1:12" ht="20.100000000000001" customHeight="1" x14ac:dyDescent="0.25">
      <c r="A21" s="17" t="str">
        <f>HYPERLINK("#'Acknowledgements'!A1", "Acknowledgements")</f>
        <v>Acknowledgements</v>
      </c>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118"/>
      <c r="J38" s="118"/>
      <c r="K38" s="118"/>
      <c r="L38" s="24"/>
    </row>
    <row r="39" spans="3:12" ht="20.100000000000001" customHeight="1" x14ac:dyDescent="0.25">
      <c r="C39" s="24"/>
      <c r="D39" s="1"/>
      <c r="E39" s="1"/>
      <c r="F39" s="1"/>
      <c r="G39" s="1"/>
      <c r="H39" s="1"/>
      <c r="I39" s="118"/>
      <c r="J39" s="118"/>
      <c r="K39" s="118"/>
      <c r="L39" s="24"/>
    </row>
    <row r="40" spans="3:12" ht="20.100000000000001" customHeight="1" x14ac:dyDescent="0.25">
      <c r="C40" s="24"/>
      <c r="D40" s="1"/>
      <c r="E40" s="1"/>
      <c r="F40" s="1"/>
      <c r="G40" s="1"/>
      <c r="H40" s="1"/>
      <c r="I40" s="118"/>
      <c r="J40" s="118"/>
      <c r="K40" s="118"/>
      <c r="L40" s="24"/>
    </row>
    <row r="41" spans="3:12" ht="20.100000000000001" customHeight="1" x14ac:dyDescent="0.25">
      <c r="C41" s="24"/>
      <c r="D41" s="1"/>
      <c r="E41" s="1"/>
      <c r="F41" s="1"/>
      <c r="G41" s="1"/>
      <c r="H41" s="1"/>
      <c r="I41" s="118"/>
      <c r="J41" s="118"/>
      <c r="K41" s="118"/>
      <c r="L41" s="24"/>
    </row>
    <row r="42" spans="3:12" ht="20.100000000000001" customHeight="1" x14ac:dyDescent="0.25">
      <c r="C42" s="24"/>
      <c r="D42" s="1"/>
      <c r="E42" s="1"/>
      <c r="F42" s="1"/>
      <c r="G42" s="1"/>
      <c r="H42" s="1"/>
      <c r="I42" s="118"/>
      <c r="J42" s="118"/>
      <c r="K42" s="118"/>
      <c r="L42" s="24"/>
    </row>
    <row r="43" spans="3:12" ht="20.100000000000001" customHeight="1" x14ac:dyDescent="0.25">
      <c r="C43" s="24"/>
      <c r="D43" s="1"/>
      <c r="E43" s="1"/>
      <c r="F43" s="1"/>
      <c r="G43" s="1"/>
      <c r="H43" s="1"/>
      <c r="I43" s="118"/>
      <c r="J43" s="118"/>
      <c r="K43" s="118"/>
      <c r="L43" s="24"/>
    </row>
    <row r="44" spans="3:12" ht="20.100000000000001" customHeight="1" x14ac:dyDescent="0.25">
      <c r="C44" s="24"/>
      <c r="D44" s="1"/>
      <c r="E44" s="1"/>
      <c r="F44" s="1"/>
      <c r="G44" s="1"/>
      <c r="H44" s="1"/>
      <c r="I44" s="118"/>
      <c r="J44" s="118"/>
      <c r="K44" s="118"/>
      <c r="L44" s="24"/>
    </row>
    <row r="45" spans="3:12" ht="20.100000000000001" customHeight="1" x14ac:dyDescent="0.25">
      <c r="C45" s="24"/>
      <c r="D45" s="1"/>
      <c r="E45" s="1"/>
      <c r="F45" s="1"/>
      <c r="G45" s="1"/>
      <c r="H45" s="1"/>
      <c r="I45" s="118"/>
      <c r="J45" s="118"/>
      <c r="K45" s="118"/>
      <c r="L45" s="24"/>
    </row>
    <row r="46" spans="3:12" ht="20.100000000000001" customHeight="1" x14ac:dyDescent="0.25">
      <c r="C46" s="24"/>
      <c r="D46" s="1"/>
      <c r="E46" s="1"/>
      <c r="F46" s="1"/>
      <c r="G46" s="1"/>
      <c r="H46" s="1"/>
      <c r="I46" s="118"/>
      <c r="J46" s="118"/>
      <c r="K46" s="118"/>
      <c r="L46" s="24"/>
    </row>
    <row r="47" spans="3:12" ht="20.100000000000001" customHeight="1" x14ac:dyDescent="0.25">
      <c r="C47" s="24"/>
      <c r="D47" s="1"/>
      <c r="E47" s="1"/>
      <c r="F47" s="1"/>
      <c r="G47" s="1"/>
      <c r="H47" s="1"/>
      <c r="I47" s="118"/>
      <c r="J47" s="118"/>
      <c r="K47" s="118"/>
      <c r="L47" s="24"/>
    </row>
    <row r="48" spans="3:12" ht="20.100000000000001" customHeight="1" x14ac:dyDescent="0.25">
      <c r="C48" s="24"/>
      <c r="D48" s="1"/>
      <c r="E48" s="1"/>
      <c r="F48" s="1"/>
      <c r="G48" s="1"/>
      <c r="H48" s="1"/>
      <c r="I48" s="118"/>
      <c r="J48" s="118"/>
      <c r="K48" s="118"/>
      <c r="L48" s="24"/>
    </row>
    <row r="49" spans="3:12" ht="20.100000000000001" customHeight="1" x14ac:dyDescent="0.25">
      <c r="C49" s="24"/>
      <c r="D49" s="1"/>
      <c r="E49" s="1"/>
      <c r="F49" s="1"/>
      <c r="G49" s="1"/>
      <c r="H49" s="118"/>
      <c r="I49" s="118"/>
      <c r="J49" s="118"/>
      <c r="K49" s="118"/>
      <c r="L49" s="24"/>
    </row>
    <row r="50" spans="3:12" ht="20.100000000000001" customHeight="1" x14ac:dyDescent="0.25">
      <c r="C50" s="24"/>
      <c r="D50" s="1"/>
      <c r="E50" s="1"/>
      <c r="F50" s="1"/>
      <c r="G50" s="1"/>
      <c r="H50" s="118"/>
      <c r="I50" s="118"/>
      <c r="J50" s="118"/>
      <c r="K50" s="118"/>
      <c r="L50" s="24"/>
    </row>
    <row r="51" spans="3:12" ht="20.100000000000001" customHeight="1" x14ac:dyDescent="0.25">
      <c r="C51" s="24"/>
      <c r="D51" s="1"/>
      <c r="E51" s="1"/>
      <c r="F51" s="1"/>
      <c r="G51" s="1"/>
      <c r="H51" s="118"/>
      <c r="I51" s="118"/>
      <c r="J51" s="118"/>
      <c r="K51" s="118"/>
      <c r="L51" s="24"/>
    </row>
    <row r="52" spans="3:12" ht="20.100000000000001" customHeight="1" x14ac:dyDescent="0.25">
      <c r="C52" s="24"/>
      <c r="D52" s="1"/>
      <c r="E52" s="1"/>
      <c r="F52" s="1"/>
      <c r="G52" s="1"/>
      <c r="H52" s="118"/>
      <c r="I52" s="118"/>
      <c r="J52" s="118"/>
      <c r="K52" s="118"/>
      <c r="L52" s="24"/>
    </row>
    <row r="53" spans="3:12" ht="20.100000000000001" customHeight="1" x14ac:dyDescent="0.25">
      <c r="C53" s="24"/>
      <c r="D53" s="1"/>
      <c r="E53" s="1"/>
      <c r="F53" s="1"/>
      <c r="G53" s="1"/>
      <c r="H53" s="118"/>
      <c r="I53" s="118"/>
      <c r="J53" s="118"/>
      <c r="K53" s="118"/>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5" zoomScaleNormal="100" workbookViewId="0">
      <selection activeCell="E24" sqref="E2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0" t="e" vm="1">
        <v>#VALUE!</v>
      </c>
      <c r="C1" s="12" t="s">
        <v>89</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2"/>
      <c r="D4" s="72"/>
      <c r="E4" s="72"/>
      <c r="F4" s="72"/>
      <c r="G4" s="72"/>
      <c r="H4" s="72"/>
      <c r="I4" s="72"/>
      <c r="J4" s="72"/>
      <c r="K4" s="72"/>
    </row>
    <row r="5" spans="1:24" ht="20.100000000000001" customHeight="1" x14ac:dyDescent="0.25">
      <c r="A5" s="17" t="str">
        <f>HYPERLINK("#'Results'!A1", "Results")</f>
        <v>Results</v>
      </c>
      <c r="D5" s="6" t="s">
        <v>14</v>
      </c>
      <c r="N5" s="43"/>
    </row>
    <row r="6" spans="1:24" ht="20.100000000000001" customHeight="1" x14ac:dyDescent="0.25">
      <c r="D6" s="14"/>
      <c r="N6" s="44"/>
    </row>
    <row r="7" spans="1:24" ht="20.100000000000001" customHeight="1" x14ac:dyDescent="0.25">
      <c r="A7" s="20" t="s">
        <v>3</v>
      </c>
      <c r="D7" s="1" t="s">
        <v>6</v>
      </c>
      <c r="E7" s="35" t="s">
        <v>361</v>
      </c>
      <c r="F7" s="2"/>
    </row>
    <row r="8" spans="1:24" ht="20.100000000000001" customHeight="1" x14ac:dyDescent="0.25">
      <c r="A8" s="21" t="str">
        <f>HYPERLINK("#'Input - Site'!A1", "Site")</f>
        <v>Site</v>
      </c>
      <c r="D8" s="10" t="s">
        <v>71</v>
      </c>
      <c r="E8" s="35" t="s">
        <v>362</v>
      </c>
    </row>
    <row r="9" spans="1:24" ht="20.100000000000001" customHeight="1" x14ac:dyDescent="0.25">
      <c r="A9" s="17" t="str">
        <f>HYPERLINK("#'Input - Feedlot'!A1", "Feedlot")</f>
        <v>Feedlot</v>
      </c>
      <c r="N9" s="45"/>
    </row>
    <row r="10" spans="1:24" ht="20.100000000000001" customHeight="1" x14ac:dyDescent="0.25">
      <c r="A10" s="17"/>
      <c r="D10" s="97" t="s">
        <v>88</v>
      </c>
      <c r="E10" s="95"/>
      <c r="F10" s="98"/>
      <c r="G10" s="92"/>
      <c r="N10" s="45"/>
    </row>
    <row r="11" spans="1:24" ht="20.100000000000001" customHeight="1" x14ac:dyDescent="0.25">
      <c r="A11" s="19" t="s">
        <v>74</v>
      </c>
      <c r="N11" s="46"/>
    </row>
    <row r="12" spans="1:24" ht="20.100000000000001" customHeight="1" x14ac:dyDescent="0.25">
      <c r="A12" s="17" t="str">
        <f>HYPERLINK("#'4.1.1.1-2 Methane'!A1", "4.1.1.1-2 Methane")</f>
        <v>4.1.1.1-2 Methane</v>
      </c>
      <c r="D12" s="10" t="s">
        <v>94</v>
      </c>
      <c r="E12" s="66">
        <v>45658</v>
      </c>
      <c r="F12" s="2" t="s">
        <v>69</v>
      </c>
    </row>
    <row r="13" spans="1:24" ht="20.100000000000001" customHeight="1" x14ac:dyDescent="0.25">
      <c r="A13" s="17" t="str">
        <f>HYPERLINK("#'4.1.1.3-4 Direct N20'!A1", "4.1.1.3-4 Direct N2O")</f>
        <v>4.1.1.3-4 Direct N2O</v>
      </c>
      <c r="D13" s="10" t="s">
        <v>95</v>
      </c>
      <c r="E13" s="73">
        <f>DATE(YEAR(E12)+1,MONTH(E12),DAY(E12))-1</f>
        <v>46022</v>
      </c>
      <c r="F13" s="2" t="s">
        <v>16</v>
      </c>
      <c r="N13" s="40"/>
      <c r="O13" s="40"/>
    </row>
    <row r="14" spans="1:24" ht="20.100000000000001" customHeight="1" x14ac:dyDescent="0.25">
      <c r="A14" s="17" t="str">
        <f>HYPERLINK("#'4.1.1.5-6 Atmos Deposition'!A1", "4.1.1.5-6 Atmospheric deposition")</f>
        <v>4.1.1.5-6 Atmospheric deposition</v>
      </c>
      <c r="N14" s="40"/>
      <c r="O14" s="40"/>
    </row>
    <row r="15" spans="1:24" ht="20.100000000000001" customHeight="1" x14ac:dyDescent="0.25">
      <c r="A15" s="17" t="str">
        <f>HYPERLINK("#'4.1.1.9 Manure applied to soils'!A1", "4.1.1.9 Manure applied to soils")</f>
        <v>4.1.1.9 Manure applied to soils</v>
      </c>
      <c r="N15" s="40"/>
      <c r="O15" s="40"/>
    </row>
    <row r="16" spans="1:24" ht="20.100000000000001" customHeight="1" x14ac:dyDescent="0.25">
      <c r="A16"/>
      <c r="D16" s="6" t="s">
        <v>13</v>
      </c>
      <c r="N16" s="40"/>
      <c r="O16" s="40"/>
    </row>
    <row r="17" spans="1:25" ht="20.100000000000001" customHeight="1" x14ac:dyDescent="0.25">
      <c r="A17" s="18" t="s">
        <v>4</v>
      </c>
    </row>
    <row r="18" spans="1:25" ht="20.100000000000001" customHeight="1" x14ac:dyDescent="0.25">
      <c r="A18" s="17" t="str">
        <f>HYPERLINK("#'Constants - Feedlot'!A1", "Constants - Feedlot")</f>
        <v>Constants - Feedlot</v>
      </c>
      <c r="D18" s="99" t="s">
        <v>15</v>
      </c>
      <c r="E18" s="94"/>
      <c r="F18" s="94"/>
      <c r="G18" s="90"/>
    </row>
    <row r="19" spans="1:25" ht="20.100000000000001" customHeight="1" x14ac:dyDescent="0.25">
      <c r="A19" s="17" t="str">
        <f>HYPERLINK("#'Constants - Livestock'!A1", "Constants - Livestock")</f>
        <v>Constants - Livestock</v>
      </c>
      <c r="D19" s="96" t="s">
        <v>70</v>
      </c>
      <c r="E19" s="93"/>
      <c r="F19" s="93"/>
      <c r="G19" s="91"/>
      <c r="N19" s="43"/>
    </row>
    <row r="20" spans="1:25" ht="20.100000000000001" customHeight="1" x14ac:dyDescent="0.25">
      <c r="A20" s="17" t="str">
        <f>HYPERLINK("#'Constants - Common'!A1", "Constants - Common")</f>
        <v>Constants - Common</v>
      </c>
      <c r="D20" s="1"/>
      <c r="E20" s="33"/>
      <c r="F20" s="2"/>
      <c r="N20" s="44"/>
    </row>
    <row r="21" spans="1:25" ht="20.100000000000001" customHeight="1" x14ac:dyDescent="0.25">
      <c r="A21" s="17" t="str">
        <f>HYPERLINK("#'Acknowledgements'!A1", "Acknowledgements")</f>
        <v>Acknowledgements</v>
      </c>
      <c r="D21" s="1" t="s">
        <v>7</v>
      </c>
      <c r="E21" s="42" t="s">
        <v>363</v>
      </c>
      <c r="F21" s="2" t="s">
        <v>10</v>
      </c>
    </row>
    <row r="22" spans="1:25" ht="20.100000000000001" customHeight="1" x14ac:dyDescent="0.25">
      <c r="A22"/>
      <c r="D22" s="1" t="s">
        <v>24</v>
      </c>
      <c r="E22" s="42" t="s">
        <v>33</v>
      </c>
      <c r="F22" s="2" t="s">
        <v>10</v>
      </c>
      <c r="G22" s="1"/>
    </row>
    <row r="23" spans="1:25" ht="20.100000000000001" customHeight="1" x14ac:dyDescent="0.25">
      <c r="A23"/>
      <c r="D23" s="1" t="s">
        <v>8</v>
      </c>
      <c r="E23" s="42" t="s">
        <v>93</v>
      </c>
      <c r="F23" s="2" t="s">
        <v>10</v>
      </c>
    </row>
    <row r="24" spans="1:25" ht="20.100000000000001" customHeight="1" x14ac:dyDescent="0.25">
      <c r="A24"/>
      <c r="D24" s="1" t="s">
        <v>38</v>
      </c>
      <c r="E24" s="35">
        <v>307.7</v>
      </c>
      <c r="F24" s="2" t="s">
        <v>52</v>
      </c>
    </row>
    <row r="25" spans="1:25" ht="20.100000000000001" customHeight="1" x14ac:dyDescent="0.25">
      <c r="A25"/>
      <c r="D25" s="1" t="s">
        <v>60</v>
      </c>
      <c r="E25" s="35">
        <v>18</v>
      </c>
      <c r="F25" s="2" t="s">
        <v>11</v>
      </c>
      <c r="N25" s="44"/>
    </row>
    <row r="26" spans="1:25" ht="20.100000000000001" customHeight="1" x14ac:dyDescent="0.25">
      <c r="A26"/>
      <c r="D26" s="1" t="s">
        <v>61</v>
      </c>
      <c r="E26" s="35">
        <v>601</v>
      </c>
      <c r="F26" s="2" t="s">
        <v>12</v>
      </c>
    </row>
    <row r="27" spans="1:25" ht="20.100000000000001" customHeight="1" x14ac:dyDescent="0.25">
      <c r="A27"/>
      <c r="D27" s="10" t="s">
        <v>62</v>
      </c>
      <c r="E27" s="35">
        <v>1326</v>
      </c>
      <c r="F27" s="2" t="s">
        <v>12</v>
      </c>
    </row>
    <row r="28" spans="1:25" ht="20.100000000000001" customHeight="1" x14ac:dyDescent="0.25">
      <c r="A28"/>
      <c r="D28" s="1" t="s">
        <v>63</v>
      </c>
      <c r="E28" s="35">
        <v>7</v>
      </c>
      <c r="F28" s="2" t="s">
        <v>53</v>
      </c>
    </row>
    <row r="29" spans="1:25" ht="20.100000000000001" customHeight="1" x14ac:dyDescent="0.25">
      <c r="A29"/>
      <c r="D29" s="10" t="s">
        <v>59</v>
      </c>
      <c r="E29" s="55">
        <f>E26/E27</f>
        <v>0.45324283559577677</v>
      </c>
      <c r="F29" s="2"/>
    </row>
    <row r="30" spans="1:25" ht="20.100000000000001" customHeight="1" x14ac:dyDescent="0.25">
      <c r="A30"/>
      <c r="D30" s="10" t="s">
        <v>34</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9</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90</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51</v>
      </c>
      <c r="E33" s="55" t="str">
        <f>Common_InputFunctions.Utility_LookupItemFromMinMax(E25,Table_SourceData_TemperatureZones[Min MAT],Table_SourceData_TemperatureZones[Max MAT],Table_SourceData_TemperatureZones[Temperature Zone])</f>
        <v>Temperate</v>
      </c>
      <c r="G33" s="74"/>
      <c r="L33" s="50"/>
      <c r="M33" s="50"/>
      <c r="N33" s="50"/>
      <c r="O33" s="50"/>
      <c r="P33" s="50"/>
      <c r="Q33" s="50"/>
      <c r="R33" s="50"/>
      <c r="S33" s="50"/>
      <c r="T33" s="50"/>
      <c r="U33" s="50"/>
      <c r="V33" s="50"/>
      <c r="W33" s="50"/>
      <c r="X33" s="50"/>
      <c r="Y33" s="50"/>
    </row>
    <row r="34" spans="1:25" ht="20.100000000000001" customHeight="1" x14ac:dyDescent="0.25">
      <c r="A34"/>
      <c r="J34" s="63"/>
      <c r="K34" s="77"/>
      <c r="L34" s="50"/>
      <c r="M34" s="50"/>
      <c r="N34" s="50"/>
      <c r="O34" s="50"/>
      <c r="P34" s="50"/>
      <c r="Q34" s="50"/>
      <c r="R34" s="50"/>
      <c r="S34" s="50"/>
      <c r="T34" s="50"/>
      <c r="U34" s="50"/>
      <c r="V34" s="50"/>
      <c r="W34" s="50"/>
      <c r="X34" s="50"/>
      <c r="Y34" s="50"/>
    </row>
    <row r="35" spans="1:25" ht="20.100000000000001" customHeight="1" x14ac:dyDescent="0.25">
      <c r="A35"/>
      <c r="J35" s="63"/>
      <c r="K35" s="77"/>
      <c r="L35" s="50"/>
      <c r="M35" s="50"/>
      <c r="N35" s="50"/>
      <c r="O35" s="50"/>
      <c r="P35" s="50"/>
      <c r="Q35" s="50"/>
      <c r="R35" s="50"/>
      <c r="S35" s="50"/>
      <c r="T35" s="50"/>
      <c r="U35" s="50"/>
      <c r="V35" s="50"/>
      <c r="W35" s="50"/>
      <c r="X35" s="50"/>
      <c r="Y35" s="50"/>
    </row>
    <row r="36" spans="1:25" ht="20.100000000000001" customHeight="1" x14ac:dyDescent="0.25">
      <c r="A36"/>
      <c r="D36" s="75"/>
      <c r="E36" s="75"/>
      <c r="F36" s="76"/>
      <c r="G36" s="63"/>
      <c r="H36" s="63"/>
      <c r="I36" s="64"/>
      <c r="J36" s="63"/>
      <c r="K36" s="77"/>
      <c r="L36" s="50"/>
      <c r="M36" s="50"/>
      <c r="N36" s="50"/>
      <c r="O36" s="50"/>
      <c r="P36" s="50"/>
      <c r="Q36" s="50"/>
      <c r="R36" s="50"/>
      <c r="S36" s="50"/>
      <c r="T36" s="50"/>
      <c r="U36" s="50"/>
      <c r="V36" s="50"/>
      <c r="W36" s="50"/>
      <c r="X36" s="50"/>
      <c r="Y36" s="50"/>
    </row>
    <row r="37" spans="1:25" ht="20.100000000000001" customHeight="1" x14ac:dyDescent="0.25">
      <c r="A37"/>
      <c r="D37" s="75"/>
      <c r="E37" s="75"/>
      <c r="F37" s="76"/>
      <c r="G37" s="63"/>
      <c r="H37" s="63"/>
      <c r="I37" s="64"/>
      <c r="J37" s="63"/>
      <c r="K37" s="77"/>
      <c r="L37" s="50"/>
      <c r="M37" s="50"/>
      <c r="N37" s="50"/>
      <c r="O37" s="50"/>
      <c r="P37" s="50"/>
      <c r="Q37" s="50"/>
      <c r="R37" s="50"/>
      <c r="S37" s="50"/>
      <c r="T37" s="50"/>
      <c r="U37" s="50"/>
      <c r="V37" s="50"/>
      <c r="W37" s="50"/>
      <c r="X37" s="50"/>
      <c r="Y37" s="50"/>
    </row>
    <row r="38" spans="1:25" ht="20.100000000000001" customHeight="1" x14ac:dyDescent="0.25">
      <c r="A38"/>
      <c r="D38" s="75"/>
      <c r="E38" s="75"/>
      <c r="F38" s="76"/>
      <c r="G38" s="63"/>
      <c r="H38" s="63"/>
      <c r="I38" s="64"/>
      <c r="J38" s="63"/>
      <c r="K38" s="77"/>
      <c r="L38" s="50"/>
      <c r="M38" s="50"/>
      <c r="N38" s="50"/>
      <c r="O38" s="50"/>
      <c r="P38" s="50"/>
      <c r="Q38" s="50"/>
      <c r="R38" s="50"/>
      <c r="S38" s="50"/>
      <c r="T38" s="50"/>
      <c r="U38" s="50"/>
      <c r="V38" s="50"/>
      <c r="W38" s="50"/>
      <c r="X38" s="50"/>
      <c r="Y38" s="50"/>
    </row>
    <row r="39" spans="1:25" ht="20.100000000000001" customHeight="1" x14ac:dyDescent="0.25">
      <c r="A39"/>
      <c r="D39" s="75"/>
      <c r="E39" s="75"/>
      <c r="F39" s="76"/>
      <c r="G39" s="63"/>
      <c r="H39" s="63"/>
      <c r="I39" s="64"/>
      <c r="J39" s="63"/>
      <c r="K39" s="77"/>
      <c r="L39" s="50"/>
      <c r="M39" s="50"/>
      <c r="N39" s="50"/>
      <c r="O39" s="50"/>
      <c r="P39" s="50"/>
      <c r="Q39" s="50"/>
      <c r="R39" s="50"/>
      <c r="S39" s="50"/>
      <c r="T39" s="50"/>
      <c r="U39" s="50"/>
      <c r="V39" s="50"/>
      <c r="W39" s="50"/>
      <c r="X39" s="50"/>
      <c r="Y39" s="50"/>
    </row>
    <row r="40" spans="1:25" ht="20.100000000000001" customHeight="1" x14ac:dyDescent="0.25">
      <c r="A40"/>
      <c r="D40" s="78"/>
      <c r="E40" s="78"/>
      <c r="F40" s="78"/>
      <c r="G40" s="79"/>
      <c r="H40" s="80"/>
      <c r="I40" s="80"/>
      <c r="J40" s="80"/>
      <c r="K40" s="80"/>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1"/>
      <c r="E47" s="81"/>
      <c r="F47" s="81"/>
      <c r="G47" s="81"/>
      <c r="H47" s="81"/>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2"/>
      <c r="E51" s="83"/>
      <c r="F51" s="83"/>
      <c r="G51" s="83"/>
      <c r="H51" s="84"/>
    </row>
    <row r="52" spans="4:8" ht="20.100000000000001" customHeight="1" x14ac:dyDescent="0.25"/>
    <row r="53" spans="4:8" ht="20.100000000000001" customHeight="1" x14ac:dyDescent="0.25"/>
    <row r="54" spans="4:8" ht="20.100000000000001" customHeight="1" x14ac:dyDescent="0.25">
      <c r="G54" s="85"/>
    </row>
    <row r="55" spans="4:8" ht="20.100000000000001" customHeight="1" x14ac:dyDescent="0.25">
      <c r="D55" s="6"/>
    </row>
    <row r="56" spans="4:8" ht="20.100000000000001" customHeight="1" x14ac:dyDescent="0.25"/>
    <row r="57" spans="4:8" ht="20.100000000000001" customHeight="1" x14ac:dyDescent="0.25">
      <c r="D57" s="23"/>
      <c r="F57" s="86"/>
    </row>
    <row r="58" spans="4:8" ht="20.100000000000001" customHeight="1" x14ac:dyDescent="0.25">
      <c r="D58" s="1"/>
      <c r="E58" s="87"/>
    </row>
    <row r="59" spans="4:8" ht="20.100000000000001" customHeight="1" x14ac:dyDescent="0.25">
      <c r="D59" s="1"/>
      <c r="E59" s="87"/>
    </row>
    <row r="60" spans="4:8" ht="20.100000000000001" customHeight="1" x14ac:dyDescent="0.25">
      <c r="D60" s="1"/>
      <c r="E60" s="88"/>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7"/>
    </row>
    <row r="65" spans="4:9" ht="20.100000000000001" customHeight="1" x14ac:dyDescent="0.25">
      <c r="D65" s="1"/>
      <c r="E65" s="87"/>
    </row>
    <row r="66" spans="4:9" ht="20.100000000000001" customHeight="1" x14ac:dyDescent="0.25">
      <c r="D66" s="1"/>
      <c r="E66" s="88"/>
    </row>
    <row r="67" spans="4:9" ht="20.100000000000001" customHeight="1" x14ac:dyDescent="0.25"/>
    <row r="68" spans="4:9" ht="20.100000000000001" customHeight="1" x14ac:dyDescent="0.25"/>
    <row r="69" spans="4:9" ht="20.100000000000001" customHeight="1" x14ac:dyDescent="0.25">
      <c r="D69" s="62"/>
      <c r="E69" s="62"/>
      <c r="F69" s="62"/>
      <c r="G69" s="62"/>
      <c r="H69" s="62"/>
      <c r="I69" s="62"/>
    </row>
    <row r="70" spans="4:9" ht="20.100000000000001" customHeight="1" x14ac:dyDescent="0.25">
      <c r="D70" s="62"/>
      <c r="E70" s="62"/>
      <c r="F70" s="62"/>
      <c r="G70" s="62"/>
      <c r="H70" s="62"/>
      <c r="I70" s="62"/>
    </row>
    <row r="71" spans="4:9" ht="20.100000000000001" customHeight="1" x14ac:dyDescent="0.25">
      <c r="D71" s="62"/>
      <c r="E71" s="62"/>
      <c r="F71" s="62"/>
      <c r="G71" s="62"/>
      <c r="H71" s="62"/>
      <c r="I71" s="62"/>
    </row>
    <row r="72" spans="4:9" ht="20.100000000000001" customHeight="1" x14ac:dyDescent="0.25">
      <c r="D72" s="62"/>
      <c r="E72" s="62"/>
      <c r="F72" s="62"/>
      <c r="G72" s="62"/>
      <c r="H72" s="62"/>
      <c r="I72" s="62"/>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9"/>
    </row>
    <row r="79" spans="4:9" ht="20.100000000000001" customHeight="1" x14ac:dyDescent="0.25">
      <c r="D79" s="89"/>
    </row>
    <row r="80" spans="4:9" ht="20.100000000000001" customHeight="1" x14ac:dyDescent="0.25">
      <c r="D80" s="89"/>
    </row>
    <row r="81" spans="4:4" ht="20.100000000000001" customHeight="1" x14ac:dyDescent="0.25">
      <c r="D81" s="89"/>
    </row>
    <row r="82" spans="4:4" ht="20.100000000000001" customHeight="1" x14ac:dyDescent="0.25">
      <c r="D82" s="89"/>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38" sqref="D36:G38"/>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9" customWidth="1"/>
    <col min="15" max="20" width="30.7109375" style="59" customWidth="1"/>
    <col min="21" max="21" width="4.7109375" style="59" customWidth="1"/>
  </cols>
  <sheetData>
    <row r="1" spans="1:21" s="70" customFormat="1" ht="30" customHeight="1" x14ac:dyDescent="0.35">
      <c r="A1" s="70" t="e" vm="1">
        <v>#VALUE!</v>
      </c>
      <c r="C1" s="70" t="s">
        <v>104</v>
      </c>
      <c r="N1" s="59"/>
      <c r="O1" s="59"/>
      <c r="P1" s="59"/>
      <c r="Q1" s="59"/>
      <c r="R1" s="59"/>
      <c r="S1" s="59"/>
      <c r="T1" s="59"/>
      <c r="U1" s="59"/>
    </row>
    <row r="2" spans="1:21" s="9" customFormat="1" ht="20.100000000000001" customHeight="1" x14ac:dyDescent="0.25">
      <c r="N2" s="59"/>
      <c r="O2" s="59"/>
      <c r="P2" s="59"/>
      <c r="Q2" s="59"/>
      <c r="R2" s="59"/>
      <c r="S2" s="59"/>
      <c r="T2" s="59"/>
      <c r="U2" s="59"/>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116</v>
      </c>
    </row>
    <row r="6" spans="1:21" ht="20.100000000000001" customHeight="1" x14ac:dyDescent="0.25">
      <c r="A6" s="16"/>
    </row>
    <row r="7" spans="1:21" ht="20.100000000000001" customHeight="1" x14ac:dyDescent="0.25">
      <c r="A7" s="20" t="s">
        <v>3</v>
      </c>
      <c r="D7" s="65"/>
      <c r="E7" s="41" t="s">
        <v>135</v>
      </c>
      <c r="F7" s="41" t="s">
        <v>136</v>
      </c>
      <c r="G7" s="41" t="s">
        <v>137</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106">
        <v>1000</v>
      </c>
      <c r="F8" s="106">
        <v>1000</v>
      </c>
      <c r="G8" s="106">
        <v>1000</v>
      </c>
      <c r="H8" s="2" t="s">
        <v>118</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106">
        <v>90</v>
      </c>
      <c r="F9" s="106">
        <v>140</v>
      </c>
      <c r="G9" s="106">
        <v>250</v>
      </c>
      <c r="H9" s="2" t="s">
        <v>321</v>
      </c>
      <c r="I9" s="2"/>
      <c r="J9" s="2"/>
      <c r="K9" s="2"/>
    </row>
    <row r="10" spans="1:21" ht="20.100000000000001" customHeight="1" x14ac:dyDescent="0.25">
      <c r="A10" s="17"/>
    </row>
    <row r="11" spans="1:21" ht="20.100000000000001" customHeight="1" x14ac:dyDescent="0.25">
      <c r="A11" s="19" t="s">
        <v>74</v>
      </c>
      <c r="D11" s="6" t="s">
        <v>100</v>
      </c>
    </row>
    <row r="12" spans="1:21" ht="20.100000000000001" customHeight="1" x14ac:dyDescent="0.25">
      <c r="A12" s="17" t="str">
        <f>HYPERLINK("#'4.1.1.1-2 Methane'!A1", "4.1.1.1-2 Methane")</f>
        <v>4.1.1.1-2 Methane</v>
      </c>
    </row>
    <row r="13" spans="1:21" ht="20.100000000000001" customHeight="1" x14ac:dyDescent="0.25">
      <c r="A13" s="17" t="str">
        <f>HYPERLINK("#'4.1.1.3-4 Direct N20'!A1", "4.1.1.3-4 Direct N2O")</f>
        <v>4.1.1.3-4 Direct N2O</v>
      </c>
      <c r="D13" s="65" t="s">
        <v>294</v>
      </c>
      <c r="E13" s="41" t="s">
        <v>135</v>
      </c>
      <c r="F13" s="41" t="s">
        <v>136</v>
      </c>
      <c r="G13" s="41" t="s">
        <v>137</v>
      </c>
    </row>
    <row r="14" spans="1:21" ht="20.100000000000001" customHeight="1" x14ac:dyDescent="0.25">
      <c r="A14" s="17" t="str">
        <f>HYPERLINK("#'4.1.1.5-6 Atmos Deposition'!A1", "4.1.1.5-6 Atmospheric deposition")</f>
        <v>4.1.1.5-6 Atmospheric deposition</v>
      </c>
      <c r="D14" s="1" t="s">
        <v>141</v>
      </c>
      <c r="E14" s="55">
        <v>10.4</v>
      </c>
      <c r="F14" s="55">
        <v>10.8</v>
      </c>
      <c r="G14" s="55">
        <v>8.1999999999999993</v>
      </c>
      <c r="H14" s="2" t="s">
        <v>105</v>
      </c>
      <c r="I14" s="2"/>
      <c r="J14" s="2"/>
      <c r="K14" s="2"/>
    </row>
    <row r="15" spans="1:21" ht="20.100000000000001" customHeight="1" x14ac:dyDescent="0.25">
      <c r="A15" s="17" t="str">
        <f>HYPERLINK("#'4.1.1.9 Manure applied to soils'!A1", "4.1.1.9 Manure applied to soils")</f>
        <v>4.1.1.9 Manure applied to soils</v>
      </c>
      <c r="D15" s="1" t="s">
        <v>17</v>
      </c>
      <c r="E15" s="55">
        <v>0.81</v>
      </c>
      <c r="F15" s="55">
        <v>0.81</v>
      </c>
      <c r="G15" s="55">
        <v>0.81</v>
      </c>
      <c r="H15" s="2" t="s">
        <v>322</v>
      </c>
      <c r="I15" s="2"/>
      <c r="J15" s="2"/>
      <c r="K15" s="2"/>
    </row>
    <row r="16" spans="1:21" ht="20.100000000000001" customHeight="1" x14ac:dyDescent="0.25">
      <c r="D16" s="1" t="s">
        <v>128</v>
      </c>
      <c r="E16" s="55">
        <v>0.14000000000000001</v>
      </c>
      <c r="F16" s="55">
        <v>0.12</v>
      </c>
      <c r="G16" s="55">
        <v>0.12</v>
      </c>
      <c r="H16" s="2" t="s">
        <v>322</v>
      </c>
      <c r="I16" s="2"/>
      <c r="J16" s="2"/>
      <c r="K16" s="2"/>
    </row>
    <row r="17" spans="1:11" ht="20.100000000000001" customHeight="1" x14ac:dyDescent="0.25">
      <c r="A17" s="18" t="s">
        <v>4</v>
      </c>
      <c r="D17" s="1" t="s">
        <v>145</v>
      </c>
      <c r="E17" s="55">
        <v>20.399999999999999</v>
      </c>
      <c r="F17" s="55">
        <v>12.7</v>
      </c>
      <c r="G17" s="55">
        <v>7</v>
      </c>
      <c r="H17" s="2" t="s">
        <v>324</v>
      </c>
      <c r="I17" s="2"/>
      <c r="J17" s="2"/>
      <c r="K17" s="2"/>
    </row>
    <row r="18" spans="1:11" ht="20.100000000000001" customHeight="1" x14ac:dyDescent="0.25">
      <c r="A18" s="17" t="str">
        <f>HYPERLINK("#'Constants - Feedlot'!A1", "Constants - Feedlot")</f>
        <v>Constants - Feedlot</v>
      </c>
    </row>
    <row r="19" spans="1:11" ht="20.100000000000001" customHeight="1" x14ac:dyDescent="0.25">
      <c r="A19" s="17" t="str">
        <f>HYPERLINK("#'Constants - Livestock'!A1", "Constants - Livestock")</f>
        <v>Constants - Livestock</v>
      </c>
      <c r="D19" s="65" t="s">
        <v>295</v>
      </c>
      <c r="E19" s="41" t="s">
        <v>135</v>
      </c>
      <c r="F19" s="41" t="s">
        <v>136</v>
      </c>
      <c r="G19" s="41" t="s">
        <v>137</v>
      </c>
    </row>
    <row r="20" spans="1:11" ht="20.100000000000001" customHeight="1" x14ac:dyDescent="0.25">
      <c r="A20" s="17" t="str">
        <f>HYPERLINK("#'Constants - Common'!A1", "Constants - Common")</f>
        <v>Constants - Common</v>
      </c>
      <c r="D20" s="1" t="s">
        <v>141</v>
      </c>
      <c r="E20" s="68">
        <v>10.4</v>
      </c>
      <c r="F20" s="68">
        <v>10.8</v>
      </c>
      <c r="G20" s="68">
        <v>8.1999999999999993</v>
      </c>
      <c r="H20" s="2" t="s">
        <v>105</v>
      </c>
      <c r="I20" s="2"/>
      <c r="J20" s="2"/>
      <c r="K20" s="2"/>
    </row>
    <row r="21" spans="1:11" ht="20.100000000000001" customHeight="1" x14ac:dyDescent="0.25">
      <c r="A21" s="17" t="str">
        <f>HYPERLINK("#'Acknowledgements'!A1", "Acknowledgements")</f>
        <v>Acknowledgements</v>
      </c>
      <c r="D21" s="1" t="s">
        <v>17</v>
      </c>
      <c r="E21" s="68">
        <v>0.81</v>
      </c>
      <c r="F21" s="68">
        <v>0.81</v>
      </c>
      <c r="G21" s="68">
        <v>0.81</v>
      </c>
      <c r="H21" s="2" t="s">
        <v>322</v>
      </c>
      <c r="I21" s="2"/>
      <c r="J21" s="2"/>
      <c r="K21" s="2"/>
    </row>
    <row r="22" spans="1:11" ht="20.100000000000001" customHeight="1" x14ac:dyDescent="0.25">
      <c r="D22" s="1" t="s">
        <v>128</v>
      </c>
      <c r="E22" s="68">
        <v>0.14000000000000001</v>
      </c>
      <c r="F22" s="68">
        <v>0.12</v>
      </c>
      <c r="G22" s="68">
        <v>0.12</v>
      </c>
      <c r="H22" s="2" t="s">
        <v>322</v>
      </c>
      <c r="I22" s="2"/>
      <c r="J22" s="2"/>
      <c r="K22" s="2"/>
    </row>
    <row r="23" spans="1:11" ht="20.100000000000001" customHeight="1" x14ac:dyDescent="0.25">
      <c r="D23" s="1" t="s">
        <v>145</v>
      </c>
      <c r="E23" s="68">
        <v>20.399999999999999</v>
      </c>
      <c r="F23" s="68">
        <v>12.7</v>
      </c>
      <c r="G23" s="68">
        <v>7</v>
      </c>
      <c r="H23" s="2" t="s">
        <v>324</v>
      </c>
      <c r="I23" s="2"/>
      <c r="J23" s="2"/>
      <c r="K23" s="2"/>
    </row>
    <row r="24" spans="1:11" ht="20.100000000000001" customHeight="1" x14ac:dyDescent="0.25"/>
    <row r="25" spans="1:11" ht="20.100000000000001" customHeight="1" x14ac:dyDescent="0.25">
      <c r="A25" s="17"/>
      <c r="D25" s="6" t="s">
        <v>109</v>
      </c>
    </row>
    <row r="26" spans="1:11" ht="20.100000000000001" customHeight="1" x14ac:dyDescent="0.25">
      <c r="A26" s="17"/>
    </row>
    <row r="27" spans="1:11" ht="20.100000000000001" customHeight="1" x14ac:dyDescent="0.25">
      <c r="A27" s="17"/>
      <c r="D27" s="65" t="s">
        <v>103</v>
      </c>
      <c r="E27" s="100" t="s">
        <v>135</v>
      </c>
      <c r="F27" s="100" t="s">
        <v>136</v>
      </c>
      <c r="G27" s="100" t="s">
        <v>137</v>
      </c>
    </row>
    <row r="28" spans="1:11" ht="20.100000000000001" customHeight="1" x14ac:dyDescent="0.25">
      <c r="A28" s="17"/>
      <c r="D28" s="134" t="s">
        <v>98</v>
      </c>
      <c r="E28" s="101">
        <v>1</v>
      </c>
      <c r="F28" s="101">
        <v>1</v>
      </c>
      <c r="G28" s="101">
        <v>1</v>
      </c>
      <c r="H28" s="2" t="s">
        <v>323</v>
      </c>
      <c r="I28" s="2"/>
      <c r="J28" s="2"/>
      <c r="K28" s="2"/>
    </row>
    <row r="29" spans="1:11" ht="20.100000000000001" customHeight="1" x14ac:dyDescent="0.25">
      <c r="A29" s="17"/>
      <c r="D29" s="131" t="s">
        <v>315</v>
      </c>
    </row>
    <row r="30" spans="1:11" ht="20.100000000000001" customHeight="1" x14ac:dyDescent="0.25">
      <c r="A30" s="17"/>
      <c r="D30" s="132" t="s">
        <v>99</v>
      </c>
      <c r="E30" s="100" t="s">
        <v>135</v>
      </c>
      <c r="F30" s="100" t="s">
        <v>136</v>
      </c>
      <c r="G30" s="100" t="s">
        <v>137</v>
      </c>
      <c r="H30" s="137" t="s">
        <v>319</v>
      </c>
      <c r="I30" s="65" t="s">
        <v>326</v>
      </c>
      <c r="J30" s="65"/>
      <c r="K30" s="65"/>
    </row>
    <row r="31" spans="1:11" ht="20.100000000000001" customHeight="1" x14ac:dyDescent="0.25">
      <c r="A31" s="69"/>
      <c r="D31" s="135" t="str">
        <f>"From Stage 1: " &amp; $D$28 &amp; " to:"</f>
        <v>From Stage 1: Drylot (feed pad) to:</v>
      </c>
      <c r="E31" s="58"/>
      <c r="I31" s="125" t="s">
        <v>316</v>
      </c>
      <c r="J31" s="125" t="s">
        <v>317</v>
      </c>
      <c r="K31" s="125" t="s">
        <v>318</v>
      </c>
    </row>
    <row r="32" spans="1:11" ht="20.100000000000001" customHeight="1" x14ac:dyDescent="0.25">
      <c r="A32" s="69"/>
      <c r="D32" s="136" t="str">
        <f>'Constants - Feedlot'!D29</f>
        <v>Solid storage</v>
      </c>
      <c r="E32" s="49">
        <v>0.2</v>
      </c>
      <c r="F32" s="49">
        <v>0.2</v>
      </c>
      <c r="G32" s="49">
        <v>0.2</v>
      </c>
      <c r="H32" s="2" t="s">
        <v>323</v>
      </c>
      <c r="I32" s="49">
        <v>0.25</v>
      </c>
      <c r="J32" s="49">
        <v>0.25</v>
      </c>
      <c r="K32" s="101">
        <v>0.5</v>
      </c>
    </row>
    <row r="33" spans="1:11" ht="20.100000000000001" customHeight="1" x14ac:dyDescent="0.25">
      <c r="A33" s="17"/>
      <c r="D33" s="136" t="str">
        <f>'Constants - Feedlot'!D30</f>
        <v>Composting (passive windrow)</v>
      </c>
      <c r="E33" s="49">
        <v>0.2</v>
      </c>
      <c r="F33" s="49">
        <v>0.2</v>
      </c>
      <c r="G33" s="49">
        <v>0.2</v>
      </c>
      <c r="H33" s="2" t="s">
        <v>323</v>
      </c>
      <c r="I33" s="49">
        <v>0.25</v>
      </c>
      <c r="J33" s="49">
        <v>0.25</v>
      </c>
      <c r="K33" s="101">
        <v>0.5</v>
      </c>
    </row>
    <row r="34" spans="1:11" ht="20.100000000000001" customHeight="1" x14ac:dyDescent="0.25">
      <c r="D34" s="136" t="s">
        <v>314</v>
      </c>
      <c r="E34" s="101">
        <v>0.6</v>
      </c>
      <c r="F34" s="101">
        <v>0.6</v>
      </c>
      <c r="G34" s="101">
        <v>0.6</v>
      </c>
      <c r="H34" s="2" t="s">
        <v>323</v>
      </c>
      <c r="I34" s="101">
        <v>0</v>
      </c>
      <c r="J34" s="101">
        <v>0</v>
      </c>
      <c r="K34" s="101">
        <v>1</v>
      </c>
    </row>
    <row r="35" spans="1:11" ht="20.100000000000001" customHeight="1" x14ac:dyDescent="0.25"/>
    <row r="36" spans="1:11" ht="20.100000000000001" customHeight="1" x14ac:dyDescent="0.25">
      <c r="D36" s="133" t="s">
        <v>114</v>
      </c>
      <c r="E36" s="100" t="s">
        <v>135</v>
      </c>
      <c r="F36" s="100" t="s">
        <v>136</v>
      </c>
      <c r="G36" s="100" t="s">
        <v>137</v>
      </c>
      <c r="H36" s="137" t="s">
        <v>319</v>
      </c>
      <c r="I36" s="65" t="s">
        <v>325</v>
      </c>
      <c r="J36" s="65"/>
      <c r="K36" s="65"/>
    </row>
    <row r="37" spans="1:11" ht="20.100000000000001" customHeight="1" x14ac:dyDescent="0.25">
      <c r="D37" s="135" t="str">
        <f>"From Stage 1: " &amp; $D$28 &amp; " to:"</f>
        <v>From Stage 1: Drylot (feed pad) to:</v>
      </c>
      <c r="I37" s="125" t="s">
        <v>316</v>
      </c>
      <c r="J37" s="125" t="s">
        <v>317</v>
      </c>
      <c r="K37" s="125" t="s">
        <v>318</v>
      </c>
    </row>
    <row r="38" spans="1:11" ht="20.100000000000001" customHeight="1" x14ac:dyDescent="0.25">
      <c r="D38" s="136" t="str">
        <f>'Constants - Feedlot'!$D$32</f>
        <v>Anaerobic lagoon</v>
      </c>
      <c r="E38" s="101">
        <v>0.02</v>
      </c>
      <c r="F38" s="101">
        <v>0.02</v>
      </c>
      <c r="G38" s="101">
        <v>0.02</v>
      </c>
      <c r="H38" s="2" t="s">
        <v>323</v>
      </c>
      <c r="I38" s="49">
        <v>0.25</v>
      </c>
      <c r="J38" s="49">
        <v>0.25</v>
      </c>
      <c r="K38" s="101">
        <v>0.5</v>
      </c>
    </row>
    <row r="39" spans="1:11" ht="20.100000000000001" customHeight="1" x14ac:dyDescent="0.25">
      <c r="A39" s="17"/>
    </row>
    <row r="40" spans="1:11" ht="20.100000000000001" customHeight="1" x14ac:dyDescent="0.25"/>
    <row r="41" spans="1:11" ht="20.100000000000001" customHeight="1" x14ac:dyDescent="0.25">
      <c r="A41" s="47"/>
      <c r="D41" s="1" t="s">
        <v>302</v>
      </c>
      <c r="E41" s="42" t="s">
        <v>269</v>
      </c>
      <c r="F41" s="2" t="s">
        <v>10</v>
      </c>
    </row>
    <row r="42" spans="1:11" ht="20.100000000000001" customHeight="1" x14ac:dyDescent="0.25">
      <c r="E42" s="42" t="s">
        <v>273</v>
      </c>
      <c r="F42" s="2" t="s">
        <v>10</v>
      </c>
    </row>
    <row r="43" spans="1:11" ht="20.100000000000001" customHeight="1" x14ac:dyDescent="0.25">
      <c r="I43" s="2"/>
      <c r="J43" s="2"/>
      <c r="K43" s="2"/>
    </row>
    <row r="44" spans="1:11" ht="20.100000000000001" customHeight="1" x14ac:dyDescent="0.25">
      <c r="I44" s="2"/>
      <c r="J44" s="2"/>
      <c r="K44" s="2"/>
    </row>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113"/>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4">
    <dataValidation type="whole" operator="equal" allowBlank="1" showInputMessage="1" showErrorMessage="1" sqref="E28:G28" xr:uid="{AD2F5710-950E-4169-B1DB-B494F727C0BB}">
      <formula1>1</formula1>
    </dataValidation>
    <dataValidation operator="equal" allowBlank="1" showInputMessage="1" showErrorMessage="1" sqref="E38:G38" xr:uid="{C4745536-8208-45E9-8F7A-99B1E2C94379}"/>
    <dataValidation type="list" allowBlank="1" showInputMessage="1" showErrorMessage="1" sqref="E41" xr:uid="{AF94BFC8-A9BD-4286-932B-111409BF1EB6}">
      <formula1>INDIRECT("Table_SourceData_Feedlot_CropProdSystems[Production system]")</formula1>
    </dataValidation>
    <dataValidation type="list" allowBlank="1" showInputMessage="1" showErrorMessage="1" sqref="E42" xr:uid="{20E9D9A1-CABD-46A5-B149-02F06B30AA0E}">
      <formula1>INDIRECT("Table_SourceData_Feedlot_IrrigationMethods[Irrigation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abSelected="1" topLeftCell="F164" zoomScaleNormal="100" workbookViewId="0">
      <selection activeCell="N171" sqref="N17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70" t="e" vm="1">
        <v>#VALUE!</v>
      </c>
      <c r="C1" s="8" t="s">
        <v>256</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L3" s="4"/>
      <c r="M3" s="4" t="s">
        <v>157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MMS_Feedlot_Methane_Equations.VEERG_4_1_1_1__5_VolatileSolidProduction_Title()</f>
        <v>Volatile solid production</v>
      </c>
    </row>
    <row r="6" spans="1:19" ht="20.100000000000001" customHeight="1" x14ac:dyDescent="0.25">
      <c r="A6" s="16"/>
      <c r="D6" s="5" t="str" cm="1">
        <f t="array" ref="D6">MMS_Feedlot_Methane_Equations.VEERG_4_1_1_1__5_VolatileSolidProduction_Source()</f>
        <v>VEERG 2026: 4.1.1.1, Equation (5)</v>
      </c>
    </row>
    <row r="7" spans="1:19" ht="20.100000000000001" customHeight="1" x14ac:dyDescent="0.25">
      <c r="A7" s="20" t="s">
        <v>3</v>
      </c>
      <c r="D7" s="13" t="s">
        <v>25</v>
      </c>
      <c r="E7" s="13" t="str" cm="1">
        <f t="array" aca="1" ref="E7" ca="1">Common_InputFunctions.Utility_DisplayFunctionName(D30)</f>
        <v>=MMS_Feedlot_Methane_Equations.VEERG_4_1_1_1__5_VolatileSolidProduction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6" t="s">
        <v>28</v>
      </c>
      <c r="E10" s="1" t="str" cm="1">
        <f t="array" ref="E10">MMS_Feedlot_Methane_Equations.VEERG_4_1_1_1__5_VolatileSolidProduction_Variable()</f>
        <v>VS_j</v>
      </c>
    </row>
    <row r="11" spans="1:19" ht="20.100000000000001" customHeight="1" x14ac:dyDescent="0.25">
      <c r="A11" s="19" t="s">
        <v>74</v>
      </c>
      <c r="D11" s="56" t="s">
        <v>18</v>
      </c>
      <c r="E11" s="57" t="str" cm="1">
        <f t="array" ref="E11">MMS_Feedlot_Methane_Equations.VEERG_4_1_1_1__5_VolatileSolidProduction_Unit()</f>
        <v>kg/head/day</v>
      </c>
    </row>
    <row r="12" spans="1:19" ht="20.100000000000001" customHeight="1" x14ac:dyDescent="0.25">
      <c r="A12" s="22" t="str">
        <f>HYPERLINK("#'4.1.1.1-2 Methane'!A1", "4.1.1.1-2 Methane")</f>
        <v>4.1.1.1-2 Methane</v>
      </c>
    </row>
    <row r="13" spans="1:19" ht="20.100000000000001" customHeight="1" x14ac:dyDescent="0.25">
      <c r="A13" s="17" t="str">
        <f>HYPERLINK("#'4.1.1.3-4 Direct N20'!A1", "4.1.1.3-4 Direct N2O")</f>
        <v>4.1.1.3-4 Direct N2O</v>
      </c>
      <c r="D13" s="138" t="str" cm="1">
        <f t="array" ref="D13:G15">MMS_Feedlot_Methane_Equations.VEERG_4_1_1_1__5_VolatileSolidProduction_Arguments()</f>
        <v>I_j</v>
      </c>
      <c r="E13" s="138" t="str">
        <v>dry matter intake for each group j</v>
      </c>
      <c r="F13" s="138" t="str">
        <v>kg DM/head/day</v>
      </c>
      <c r="G13" s="129" t="str">
        <v>Input</v>
      </c>
      <c r="H13" s="139" t="str" cm="1">
        <f t="array" aca="1" ref="H13" ca="1">HYPERLINK(Common_InputFunctions.Utility_SourceHyperlink($D$17),$D$17)</f>
        <v>M1_Table_I_j</v>
      </c>
    </row>
    <row r="14" spans="1:19" ht="20.100000000000001" customHeight="1" x14ac:dyDescent="0.25">
      <c r="A14" s="17" t="str">
        <f>HYPERLINK("#'4.1.1.5-6 Atmos Deposition'!A1", "4.1.1.5-6 Atmospheric deposition")</f>
        <v>4.1.1.5-6 Atmospheric deposition</v>
      </c>
      <c r="D14" s="138" t="str">
        <v>DMD_j</v>
      </c>
      <c r="E14" s="138" t="str">
        <v>dry matter digestibility for each group j</v>
      </c>
      <c r="F14" s="138" t="str">
        <v>fraction</v>
      </c>
      <c r="G14" s="129" t="str">
        <v>Input</v>
      </c>
      <c r="H14" s="139" t="str" cm="1">
        <f t="array" aca="1" ref="H14" ca="1">HYPERLINK(Common_InputFunctions.Utility_SourceHyperlink($D$22),$D$22)</f>
        <v>M1_Table_DMD_j</v>
      </c>
    </row>
    <row r="15" spans="1:19" ht="20.100000000000001" customHeight="1" x14ac:dyDescent="0.25">
      <c r="A15" s="17" t="str">
        <f>HYPERLINK("#'4.1.1.9 Manure applied to soils'!A1", "4.1.1.9 Manure applied to soils")</f>
        <v>4.1.1.9 Manure applied to soils</v>
      </c>
      <c r="D15" s="138" t="str">
        <v>A</v>
      </c>
      <c r="E15" s="138" t="str">
        <v>ash content of manure</v>
      </c>
      <c r="F15" s="138" t="str">
        <v>fraction</v>
      </c>
      <c r="G15" s="130" t="str">
        <v>Constant</v>
      </c>
      <c r="H15" s="138">
        <f>'Constants - Feedlot'!$E$17</f>
        <v>0.16</v>
      </c>
    </row>
    <row r="16" spans="1:19" ht="20.100000000000001" customHeight="1" x14ac:dyDescent="0.25"/>
    <row r="17" spans="1:16" ht="20.100000000000001" customHeight="1" x14ac:dyDescent="0.25">
      <c r="A17" s="18" t="s">
        <v>4</v>
      </c>
      <c r="D17" s="104" t="s">
        <v>146</v>
      </c>
      <c r="M17" s="104" t="s">
        <v>149</v>
      </c>
    </row>
    <row r="18" spans="1:16" ht="20.100000000000001" customHeight="1" x14ac:dyDescent="0.25">
      <c r="A18" s="17" t="str">
        <f>HYPERLINK("#'Constants - Feedlot'!A1", "Constants - Feedlot")</f>
        <v>Constants - Feedlot</v>
      </c>
      <c r="D18" s="103" t="s">
        <v>193</v>
      </c>
      <c r="M18" s="103" t="s">
        <v>194</v>
      </c>
    </row>
    <row r="19" spans="1:16" ht="20.100000000000001" customHeight="1" x14ac:dyDescent="0.25">
      <c r="A19" s="17" t="str">
        <f>HYPERLINK("#'Constants - Livestock'!A1", "Constants - Livestock")</f>
        <v>Constants - Livestock</v>
      </c>
      <c r="D19" s="41" t="s">
        <v>135</v>
      </c>
      <c r="E19" s="41" t="s">
        <v>136</v>
      </c>
      <c r="F19" s="41" t="s">
        <v>137</v>
      </c>
      <c r="M19" s="41" t="s">
        <v>135</v>
      </c>
      <c r="N19" s="41" t="s">
        <v>136</v>
      </c>
      <c r="O19" s="41" t="s">
        <v>137</v>
      </c>
    </row>
    <row r="20" spans="1:16"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101</v>
      </c>
      <c r="M20" s="55">
        <f>'Input - Feedlot'!$E$20</f>
        <v>10.4</v>
      </c>
      <c r="N20" s="55">
        <f>'Input - Feedlot'!$F$20</f>
        <v>10.8</v>
      </c>
      <c r="O20" s="55">
        <f>'Input - Feedlot'!$G$20</f>
        <v>8.1999999999999993</v>
      </c>
      <c r="P20" s="2" t="s">
        <v>101</v>
      </c>
    </row>
    <row r="21" spans="1:16" ht="20.100000000000001" customHeight="1" x14ac:dyDescent="0.25">
      <c r="A21" s="17" t="str">
        <f>HYPERLINK("#'Acknowledgements'!A1", "Acknowledgements")</f>
        <v>Acknowledgements</v>
      </c>
    </row>
    <row r="22" spans="1:16" ht="20.100000000000001" customHeight="1" x14ac:dyDescent="0.25">
      <c r="D22" s="104" t="s">
        <v>197</v>
      </c>
      <c r="M22" s="104" t="s">
        <v>201</v>
      </c>
    </row>
    <row r="23" spans="1:16" ht="20.100000000000001" customHeight="1" x14ac:dyDescent="0.25">
      <c r="D23" s="103" t="s">
        <v>200</v>
      </c>
      <c r="M23" s="103" t="s">
        <v>352</v>
      </c>
    </row>
    <row r="24" spans="1:16" ht="20.100000000000001" customHeight="1" x14ac:dyDescent="0.25">
      <c r="A24" s="17"/>
      <c r="D24" s="41" t="s">
        <v>135</v>
      </c>
      <c r="E24" s="41" t="s">
        <v>136</v>
      </c>
      <c r="F24" s="41" t="s">
        <v>137</v>
      </c>
      <c r="M24" s="41" t="s">
        <v>135</v>
      </c>
      <c r="N24" s="41" t="s">
        <v>136</v>
      </c>
      <c r="O24" s="41" t="s">
        <v>137</v>
      </c>
    </row>
    <row r="25" spans="1:16" ht="20.100000000000001" customHeight="1" x14ac:dyDescent="0.25">
      <c r="A25" s="17"/>
      <c r="D25" s="55">
        <f>'Input - Feedlot'!$E$15</f>
        <v>0.81</v>
      </c>
      <c r="E25" s="55">
        <f>'Input - Feedlot'!$F$15</f>
        <v>0.81</v>
      </c>
      <c r="F25" s="55">
        <f>'Input - Feedlot'!$G$15</f>
        <v>0.81</v>
      </c>
      <c r="G25" s="2" t="s">
        <v>322</v>
      </c>
      <c r="M25" s="55">
        <f>'Input - Feedlot'!$E$21</f>
        <v>0.81</v>
      </c>
      <c r="N25" s="55">
        <f>'Input - Feedlot'!$F$21</f>
        <v>0.81</v>
      </c>
      <c r="O25" s="55">
        <f>'Input - Feedlot'!$G$21</f>
        <v>0.81</v>
      </c>
      <c r="P25" s="2" t="s">
        <v>322</v>
      </c>
    </row>
    <row r="26" spans="1:16" ht="20.100000000000001" customHeight="1" x14ac:dyDescent="0.25"/>
    <row r="27" spans="1:16" ht="20.100000000000001" customHeight="1" x14ac:dyDescent="0.25">
      <c r="D27" s="104" t="s">
        <v>198</v>
      </c>
      <c r="M27" s="104" t="s">
        <v>202</v>
      </c>
    </row>
    <row r="28" spans="1:16" ht="20.100000000000001" customHeight="1" x14ac:dyDescent="0.25">
      <c r="D28" s="103" t="s">
        <v>199</v>
      </c>
      <c r="M28" s="103" t="s">
        <v>203</v>
      </c>
    </row>
    <row r="29" spans="1:16" ht="20.100000000000001" customHeight="1" x14ac:dyDescent="0.25">
      <c r="D29" s="54" t="s">
        <v>135</v>
      </c>
      <c r="E29" s="54" t="s">
        <v>136</v>
      </c>
      <c r="F29" s="54" t="s">
        <v>137</v>
      </c>
      <c r="M29" s="54" t="s">
        <v>135</v>
      </c>
      <c r="N29" s="54" t="s">
        <v>136</v>
      </c>
      <c r="O29" s="54" t="s">
        <v>137</v>
      </c>
    </row>
    <row r="30" spans="1:16" ht="20.100000000000001" customHeight="1" x14ac:dyDescent="0.25">
      <c r="D30" s="55" cm="1">
        <f t="array" ref="D30">MMS_Feedlot_Methane_Equations.VEERG_4_1_1_1__5_VolatileSolidProduction(D20,D25,$H$15)</f>
        <v>1.6598399999999995</v>
      </c>
      <c r="E30" s="55" cm="1">
        <f t="array" ref="E30">MMS_Feedlot_Methane_Equations.VEERG_4_1_1_1__5_VolatileSolidProduction(E20,E25,$H$15)</f>
        <v>1.7236799999999997</v>
      </c>
      <c r="F30" s="55" cm="1">
        <f t="array" ref="F30">MMS_Feedlot_Methane_Equations.VEERG_4_1_1_1__5_VolatileSolidProduction(F20,F25,$H$15)</f>
        <v>1.3087199999999994</v>
      </c>
      <c r="G30" s="2" t="str">
        <f>$E$11</f>
        <v>kg/head/day</v>
      </c>
      <c r="M30" s="55" cm="1">
        <f t="array" ref="M30">MMS_Feedlot_Methane_Equations.VEERG_4_1_1_1__5_VolatileSolidProduction(M20,M25,$H$15)</f>
        <v>1.6598399999999995</v>
      </c>
      <c r="N30" s="55" cm="1">
        <f t="array" ref="N30">MMS_Feedlot_Methane_Equations.VEERG_4_1_1_1__5_VolatileSolidProduction(N20,N25,$H$15)</f>
        <v>1.7236799999999997</v>
      </c>
      <c r="O30" s="55" cm="1">
        <f t="array" ref="O30">MMS_Feedlot_Methane_Equations.VEERG_4_1_1_1__5_VolatileSolidProduction(O20,O25,$H$15)</f>
        <v>1.3087199999999994</v>
      </c>
      <c r="P30" s="2" t="str">
        <f>$E$11</f>
        <v>kg/head/day</v>
      </c>
    </row>
    <row r="31" spans="1:16" ht="20.100000000000001" customHeight="1" x14ac:dyDescent="0.25"/>
    <row r="32" spans="1:16" ht="20.100000000000001" customHeight="1" x14ac:dyDescent="0.25"/>
    <row r="33" spans="3:18" ht="20.100000000000001" customHeight="1" x14ac:dyDescent="0.25">
      <c r="C33" s="48"/>
      <c r="D33" s="48"/>
      <c r="E33" s="48"/>
      <c r="F33" s="48"/>
      <c r="G33" s="48"/>
      <c r="H33" s="48"/>
      <c r="I33" s="48"/>
      <c r="J33" s="48"/>
      <c r="L33" s="48"/>
      <c r="M33" s="48"/>
      <c r="N33" s="48"/>
      <c r="O33" s="48"/>
      <c r="P33" s="48"/>
      <c r="Q33" s="48"/>
      <c r="R33" s="48"/>
    </row>
    <row r="34" spans="3:18" ht="20.100000000000001" customHeight="1" x14ac:dyDescent="0.25">
      <c r="D34" s="6" t="str" cm="1">
        <f t="array" ref="D34">MMS_Feedlot_Methane_Equations.VEERG_4_1_1_1__2_Stage1MethaneProductionDrylot_Title()</f>
        <v>Production of methane in treatment stage 1 MMS</v>
      </c>
    </row>
    <row r="35" spans="3:18" ht="20.100000000000001" customHeight="1" x14ac:dyDescent="0.25">
      <c r="D35" s="5" t="str" cm="1">
        <f t="array" ref="D35">MMS_Feedlot_Methane_Equations.VEERG_4_1_1_1__2_Stage1MethaneProductionDrylot_Source()</f>
        <v>VEERG 2026: 4.1.1.1, Equation (2)</v>
      </c>
    </row>
    <row r="36" spans="3:18" ht="20.100000000000001" customHeight="1" x14ac:dyDescent="0.25">
      <c r="D36" s="13" t="s">
        <v>25</v>
      </c>
      <c r="E36" s="13" t="str" cm="1">
        <f t="array" aca="1" ref="E36" ca="1">Common_InputFunctions.Utility_DisplayFunctionName(E57)</f>
        <v>=MMS_Feedlot_Methane_Equations.VEERG_4_1_1_1__2_Stage1MethaneProductionDrylot</v>
      </c>
    </row>
    <row r="37" spans="3:18" ht="20.100000000000001" customHeight="1" x14ac:dyDescent="0.25"/>
    <row r="38" spans="3:18" ht="20.100000000000001" customHeight="1" x14ac:dyDescent="0.25"/>
    <row r="39" spans="3:18" ht="20.100000000000001" customHeight="1" x14ac:dyDescent="0.25">
      <c r="D39" s="56" t="s">
        <v>28</v>
      </c>
      <c r="E39" s="1" t="str" cm="1">
        <f t="array" ref="E39">MMS_Feedlot_Methane_Equations.VEERG_4_1_1_1__2_Stage1MethaneProductionDrylot_Variable()</f>
        <v>M_jm5T1</v>
      </c>
    </row>
    <row r="40" spans="3:18" ht="20.100000000000001" customHeight="1" x14ac:dyDescent="0.25">
      <c r="D40" s="56" t="s">
        <v>18</v>
      </c>
      <c r="E40" s="57" t="str" cm="1">
        <f t="array" ref="E40">MMS_Feedlot_Methane_Equations.VEERG_4_1_1_1__2_Stage1MethaneProductionDrylot_Unit()</f>
        <v>kg CH4/head/day</v>
      </c>
      <c r="M40" s="97" t="s">
        <v>346</v>
      </c>
      <c r="N40" s="92"/>
    </row>
    <row r="41" spans="3:18" ht="20.100000000000001" customHeight="1" x14ac:dyDescent="0.25"/>
    <row r="42" spans="3:18" ht="20.100000000000001" customHeight="1" x14ac:dyDescent="0.25">
      <c r="D42" s="138" t="str" cm="1">
        <f t="array" ref="D42:E47">_xlfn.CHOOSECOLS(MMS_Feedlot_Methane_Equations.VEERG_4_1_1_1__2_Stage1MethaneProductionDrylot_Arguments(),1,2)</f>
        <v>VS_j</v>
      </c>
      <c r="E42" s="141" t="str">
        <v>volatile solid production from feedlot cattle in each group</v>
      </c>
      <c r="F42" s="140"/>
      <c r="G42" s="138" t="str" cm="1">
        <f t="array" ref="G42:H47">_xlfn.CHOOSECOLS(MMS_Feedlot_Methane_Equations.VEERG_4_1_1_1__2_Stage1MethaneProductionDrylot_Arguments(),3,4)</f>
        <v>kg/head/day</v>
      </c>
      <c r="H42" s="130" t="str">
        <v>Calculated from 4.1.1.1 (5)</v>
      </c>
      <c r="I42" s="139" t="str" cm="1">
        <f t="array" aca="1" ref="I42" ca="1">HYPERLINK(Common_InputFunctions.Utility_SourceHyperlink($D$27),$D$27)</f>
        <v>M1_Table_VS_j</v>
      </c>
      <c r="M42" s="138" t="str" cm="1">
        <f t="array" ref="M42:N47">_xlfn.CHOOSECOLS(MMS_Feedlot_Methane_Equations.VEERG_4_1_1_1__2_Stage1MethaneProductionDrylot_Arguments_Method2(),1,2)</f>
        <v>VS_j</v>
      </c>
      <c r="N42" s="141" t="str">
        <v>volatile solid production from feedlot cattle in each group</v>
      </c>
      <c r="O42" s="140"/>
      <c r="P42" s="138" t="str" cm="1">
        <f t="array" ref="P42:Q47">_xlfn.CHOOSECOLS(MMS_Feedlot_Methane_Equations.VEERG_4_1_1_1__2_Stage1MethaneProductionDrylot_Arguments_Method2(),3,4)</f>
        <v>kg/head/day</v>
      </c>
      <c r="Q42" s="130" t="str">
        <v>Calculated from 4.1.1.1 (5)</v>
      </c>
      <c r="R42" s="139" t="str" cm="1">
        <f t="array" aca="1" ref="R42" ca="1">HYPERLINK(Common_InputFunctions.Utility_SourceHyperlink($D$27),$D$27)</f>
        <v>M1_Table_VS_j</v>
      </c>
    </row>
    <row r="43" spans="3:18" ht="20.100000000000001" customHeight="1" x14ac:dyDescent="0.25">
      <c r="D43" s="138" t="str">
        <v>BO</v>
      </c>
      <c r="E43" s="141" t="str">
        <v>emissions potential</v>
      </c>
      <c r="F43" s="140"/>
      <c r="G43" s="138" t="str">
        <v>m3 CH4/kg VS</v>
      </c>
      <c r="H43" s="130" t="str">
        <v>Constant</v>
      </c>
      <c r="I43" s="138">
        <f>'Constants - Feedlot'!$E$22</f>
        <v>0.19</v>
      </c>
      <c r="M43" s="138" t="str">
        <v>BO</v>
      </c>
      <c r="N43" s="141" t="str">
        <v>emissions potential</v>
      </c>
      <c r="O43" s="140"/>
      <c r="P43" s="138" t="str">
        <v>m3 CH4/kg VS</v>
      </c>
      <c r="Q43" s="130" t="str">
        <v>Constant</v>
      </c>
      <c r="R43" s="138">
        <f>'Constants - Feedlot'!$E$22</f>
        <v>0.19</v>
      </c>
    </row>
    <row r="44" spans="3:18" ht="20.100000000000001" customHeight="1" x14ac:dyDescent="0.25">
      <c r="D44" s="138" t="str">
        <v>MMS_m5T1</v>
      </c>
      <c r="E44" s="141" t="str">
        <v>fraction of manure in primary system drylot MMS</v>
      </c>
      <c r="F44" s="140"/>
      <c r="G44" s="138" t="str">
        <v>fraction</v>
      </c>
      <c r="H44" s="129" t="str">
        <v>Input</v>
      </c>
      <c r="I44" s="139" t="str" cm="1">
        <f t="array" aca="1" ref="I44" ca="1">HYPERLINK(Common_InputFunctions.Utility_SourceHyperlink($D$49),$D$49)</f>
        <v>Table_MMS_m-5_T-1</v>
      </c>
      <c r="M44" s="138" t="str">
        <v>MMS_m5T1</v>
      </c>
      <c r="N44" s="141" t="str">
        <v>fraction of manure in primary system drylot MMS</v>
      </c>
      <c r="O44" s="140"/>
      <c r="P44" s="138" t="str">
        <v>fraction</v>
      </c>
      <c r="Q44" s="129" t="str">
        <v>Input</v>
      </c>
      <c r="R44" s="139" t="str" cm="1">
        <f t="array" aca="1" ref="R44" ca="1">HYPERLINK(Common_InputFunctions.Utility_SourceHyperlink($D$49),$D$49)</f>
        <v>Table_MMS_m-5_T-1</v>
      </c>
    </row>
    <row r="45" spans="3:18" ht="20.100000000000001" customHeight="1" x14ac:dyDescent="0.25">
      <c r="D45" s="138" t="str">
        <v>MCF_im5</v>
      </c>
      <c r="E45" s="141" t="str">
        <v>methane conversion factor for state and drylot system</v>
      </c>
      <c r="F45" s="140"/>
      <c r="G45" s="138" t="str">
        <v>fraction</v>
      </c>
      <c r="H45" s="130" t="str">
        <v>Constant</v>
      </c>
      <c r="I45" s="138">
        <f>HLOOKUP(I47, Table_SourceData_Feedlot_MCF[#All], 2, FALSE)</f>
        <v>0.01</v>
      </c>
      <c r="M45" s="138" t="str">
        <v>MCF_im5</v>
      </c>
      <c r="N45" s="141" t="str">
        <v>methane conversion factor for state and drylot system</v>
      </c>
      <c r="O45" s="140"/>
      <c r="P45" s="138" t="str">
        <v>fraction</v>
      </c>
      <c r="Q45" s="130" t="str">
        <v>Constant</v>
      </c>
      <c r="R45" s="138">
        <f>HLOOKUP(I47, Table_SourceData_Feedlot_MCF[#All], 2, FALSE)</f>
        <v>0.01</v>
      </c>
    </row>
    <row r="46" spans="3:18" ht="20.100000000000001" customHeight="1" x14ac:dyDescent="0.25">
      <c r="D46" s="138" t="str">
        <v>rho</v>
      </c>
      <c r="E46" s="141" t="str">
        <v>density of methane</v>
      </c>
      <c r="F46" s="140"/>
      <c r="G46" s="138" t="str">
        <v>kg/m3</v>
      </c>
      <c r="H46" s="130" t="str">
        <v>Constant</v>
      </c>
      <c r="I46" s="138">
        <f>'Constants - Common'!$D$175</f>
        <v>0.6784</v>
      </c>
      <c r="M46" s="138" t="str">
        <v>rho</v>
      </c>
      <c r="N46" s="141" t="str">
        <v>density of methane</v>
      </c>
      <c r="O46" s="140"/>
      <c r="P46" s="138" t="str">
        <v>kg/m3</v>
      </c>
      <c r="Q46" s="130" t="str">
        <v>Constant</v>
      </c>
      <c r="R46" s="138">
        <f>'Constants - Common'!$D$175</f>
        <v>0.6784</v>
      </c>
    </row>
    <row r="47" spans="3:18" ht="20.100000000000001" customHeight="1" x14ac:dyDescent="0.25">
      <c r="D47" s="138" t="str">
        <v>i</v>
      </c>
      <c r="E47" s="141" t="str">
        <v>state</v>
      </c>
      <c r="F47" s="140"/>
      <c r="G47" s="138" t="str">
        <v/>
      </c>
      <c r="H47" s="129" t="str">
        <v>Input</v>
      </c>
      <c r="I47" s="138" t="str">
        <f>Common_InputFunctions.Utility_LookupValueInTable('Input - Site'!$E$21,Table_AustralianStates[Common Name],Table_AustralianStates[Abbreviation])</f>
        <v>WA</v>
      </c>
      <c r="M47" s="138" t="str">
        <v>i</v>
      </c>
      <c r="N47" s="141" t="str">
        <v>state</v>
      </c>
      <c r="O47" s="140"/>
      <c r="P47" s="138" t="str">
        <v/>
      </c>
      <c r="Q47" s="129" t="str">
        <v>Input</v>
      </c>
      <c r="R47" s="138" t="str">
        <f>Common_InputFunctions.Utility_LookupValueInTable('Input - Site'!$E$21,Table_AustralianStates[Common Name],Table_AustralianStates[Abbreviation])</f>
        <v>WA</v>
      </c>
    </row>
    <row r="48" spans="3:18" ht="20.100000000000001" customHeight="1" x14ac:dyDescent="0.25"/>
    <row r="49" spans="3:18" ht="20.100000000000001" customHeight="1" x14ac:dyDescent="0.25">
      <c r="D49" s="104" t="s">
        <v>108</v>
      </c>
    </row>
    <row r="50" spans="3:18" ht="20.100000000000001" customHeight="1" x14ac:dyDescent="0.25">
      <c r="D50" s="103" t="s">
        <v>106</v>
      </c>
    </row>
    <row r="51" spans="3:18" ht="20.100000000000001" customHeight="1" x14ac:dyDescent="0.25">
      <c r="D51" s="41" t="s">
        <v>103</v>
      </c>
      <c r="E51" s="41" t="s">
        <v>135</v>
      </c>
      <c r="F51" s="41" t="s">
        <v>136</v>
      </c>
      <c r="G51" s="41" t="s">
        <v>137</v>
      </c>
    </row>
    <row r="52" spans="3:18" ht="20.100000000000001" customHeight="1" x14ac:dyDescent="0.25">
      <c r="D52" s="55" t="str">
        <f>'Input - Feedlot'!$D$28</f>
        <v>Drylot (feed pad)</v>
      </c>
      <c r="E52" s="55">
        <f>'Input - Feedlot'!$E$28</f>
        <v>1</v>
      </c>
      <c r="F52" s="55">
        <f>'Input - Feedlot'!$F$28</f>
        <v>1</v>
      </c>
      <c r="G52" s="55">
        <f>'Input - Feedlot'!$G$28</f>
        <v>1</v>
      </c>
      <c r="H52" s="2" t="s">
        <v>322</v>
      </c>
    </row>
    <row r="53" spans="3:18" ht="20.100000000000001" customHeight="1" x14ac:dyDescent="0.25"/>
    <row r="54" spans="3:18" ht="20.100000000000001" customHeight="1" x14ac:dyDescent="0.25">
      <c r="D54" s="104" t="s">
        <v>204</v>
      </c>
      <c r="M54" s="104" t="s">
        <v>206</v>
      </c>
    </row>
    <row r="55" spans="3:18" ht="20.100000000000001" customHeight="1" x14ac:dyDescent="0.25">
      <c r="D55" s="103" t="s">
        <v>205</v>
      </c>
      <c r="M55" s="103" t="s">
        <v>207</v>
      </c>
    </row>
    <row r="56" spans="3:18" ht="20.100000000000001" customHeight="1" x14ac:dyDescent="0.25">
      <c r="D56" s="54" t="s">
        <v>103</v>
      </c>
      <c r="E56" s="54" t="s">
        <v>135</v>
      </c>
      <c r="F56" s="54" t="s">
        <v>136</v>
      </c>
      <c r="G56" s="54" t="s">
        <v>137</v>
      </c>
      <c r="M56" s="54" t="s">
        <v>103</v>
      </c>
      <c r="N56" s="54" t="s">
        <v>135</v>
      </c>
      <c r="O56" s="54" t="s">
        <v>136</v>
      </c>
      <c r="P56" s="54" t="s">
        <v>137</v>
      </c>
    </row>
    <row r="57" spans="3:18" ht="20.100000000000001" customHeight="1" x14ac:dyDescent="0.25">
      <c r="D57" s="55" t="str">
        <f>'Input - Feedlot'!$D$28</f>
        <v>Drylot (feed pad)</v>
      </c>
      <c r="E57" s="55" cm="1">
        <f t="array" ref="E57">MMS_Feedlot_Methane_Equations.VEERG_4_1_1_1__2_Stage1MethaneProductionDrylot(D30,$I$43,E52,$I$45,$I$46)</f>
        <v>2.1394673663999997E-3</v>
      </c>
      <c r="F57" s="55" cm="1">
        <f t="array" ref="F57">MMS_Feedlot_Methane_Equations.VEERG_4_1_1_1__2_Stage1MethaneProductionDrylot(E30,$I$43,F52,$I$45,$I$46)</f>
        <v>2.2217545727999995E-3</v>
      </c>
      <c r="G57" s="55" cm="1">
        <f t="array" ref="G57">MMS_Feedlot_Methane_Equations.VEERG_4_1_1_1__2_Stage1MethaneProductionDrylot(F30,$I$43,G52,$I$45,$I$46)</f>
        <v>1.6868877311999992E-3</v>
      </c>
      <c r="H57" s="2" t="str">
        <f>$E$40</f>
        <v>kg CH4/head/day</v>
      </c>
      <c r="M57" s="55" t="str">
        <f>'Input - Feedlot'!$D$28</f>
        <v>Drylot (feed pad)</v>
      </c>
      <c r="N57" s="55" cm="1">
        <f t="array" ref="N57">MMS_Feedlot_Methane_Equations.VEERG_4_1_1_1__2_Stage1MethaneProductionDrylot(M30,$I$43,E52,$I$45,$I$46)</f>
        <v>2.1394673663999997E-3</v>
      </c>
      <c r="O57" s="55" cm="1">
        <f t="array" ref="O57">MMS_Feedlot_Methane_Equations.VEERG_4_1_1_1__2_Stage1MethaneProductionDrylot(N30,$I$43,F52,$I$45,$I$46)</f>
        <v>2.2217545727999995E-3</v>
      </c>
      <c r="P57" s="55" cm="1">
        <f t="array" ref="P57">MMS_Feedlot_Methane_Equations.VEERG_4_1_1_1__2_Stage1MethaneProductionDrylot(O30,$I$43,G52,$I$45,$I$46)</f>
        <v>1.6868877311999992E-3</v>
      </c>
      <c r="Q57" s="2" t="str">
        <f>$E$40</f>
        <v>kg CH4/head/day</v>
      </c>
    </row>
    <row r="58" spans="3:18" ht="20.100000000000001" customHeight="1" x14ac:dyDescent="0.25">
      <c r="D58" s="105" t="str">
        <f>IF(ISNUMBER($I$45),"", "⚠️ ALERT: No MCFim5 data provided. Zero is used instead.")</f>
        <v/>
      </c>
    </row>
    <row r="59" spans="3:18" ht="20.100000000000001" customHeight="1" x14ac:dyDescent="0.25"/>
    <row r="60" spans="3:18" ht="20.100000000000001" customHeight="1" x14ac:dyDescent="0.25">
      <c r="C60" s="48"/>
      <c r="D60" s="48"/>
      <c r="E60" s="48"/>
      <c r="F60" s="48"/>
      <c r="G60" s="48"/>
      <c r="H60" s="48"/>
      <c r="I60" s="48"/>
      <c r="J60" s="48"/>
      <c r="L60" s="48"/>
      <c r="M60" s="48"/>
      <c r="N60" s="48"/>
      <c r="O60" s="48"/>
      <c r="P60" s="48"/>
      <c r="Q60" s="48"/>
      <c r="R60" s="48"/>
    </row>
    <row r="61" spans="3:18" ht="20.100000000000001" customHeight="1" x14ac:dyDescent="0.25">
      <c r="D61" s="6" t="str" cm="1">
        <f t="array" ref="D61">MMS_Feedlot_Methane_Equations.VEERG_4_1_1_1__3_Stage2MethaneProduction_Title()</f>
        <v>Production of methane in treatment stage 2 MMS</v>
      </c>
    </row>
    <row r="62" spans="3:18" ht="20.100000000000001" customHeight="1" x14ac:dyDescent="0.25">
      <c r="D62" s="5" t="str" cm="1">
        <f t="array" ref="D62">MMS_Feedlot_Methane_Equations.VEERG_4_1_1_1__3_Stage2MethaneProduction_Source()</f>
        <v>VEERG 2026: 4.1.1.1, Equation (3)</v>
      </c>
    </row>
    <row r="63" spans="3:18" ht="20.100000000000001" customHeight="1" x14ac:dyDescent="0.25">
      <c r="D63" s="13" t="s">
        <v>25</v>
      </c>
      <c r="E63" s="13" t="str" cm="1">
        <f t="array" aca="1" ref="E63" ca="1">Common_InputFunctions.Utility_DisplayFunctionName(E96)</f>
        <v>=MMS_Feedlot_Methane_Equations.VEERG_4_1_1_1__3_Stage2MethaneProduction</v>
      </c>
    </row>
    <row r="64" spans="3:18" ht="20.100000000000001" customHeight="1" x14ac:dyDescent="0.25"/>
    <row r="65" spans="4:18" ht="20.100000000000001" customHeight="1" x14ac:dyDescent="0.25">
      <c r="D65" s="6"/>
    </row>
    <row r="66" spans="4:18" ht="20.100000000000001" customHeight="1" x14ac:dyDescent="0.25">
      <c r="D66" s="56" t="s">
        <v>28</v>
      </c>
      <c r="E66" s="1" t="str" cm="1">
        <f t="array" ref="E66">MMS_Feedlot_Methane_Equations.VEERG_4_1_1_1__3_Stage2MethaneProduction_Variable()</f>
        <v>M_jmT2</v>
      </c>
    </row>
    <row r="67" spans="4:18" ht="20.100000000000001" customHeight="1" x14ac:dyDescent="0.25">
      <c r="D67" s="56" t="s">
        <v>18</v>
      </c>
      <c r="E67" s="57" t="str" cm="1">
        <f t="array" ref="E67">MMS_Feedlot_Methane_Equations.VEERG_4_1_1_1__3_Stage2MethaneProduction_Unit()</f>
        <v>kg CH4/head/day</v>
      </c>
    </row>
    <row r="68" spans="4:18" ht="20.100000000000001" customHeight="1" x14ac:dyDescent="0.25"/>
    <row r="69" spans="4:18" ht="20.100000000000001" customHeight="1" x14ac:dyDescent="0.25">
      <c r="D69" s="138" t="str" cm="1">
        <f t="array" ref="D69:E75">_xlfn.CHOOSECOLS(MMS_Feedlot_Methane_Equations.VEERG_4_1_1_1__3_Stage2MethaneProduction_Arguments(),1,2)</f>
        <v>VSL</v>
      </c>
      <c r="E69" s="141" t="str">
        <v>fraction of volatile solids lost during storage in the primary system</v>
      </c>
      <c r="F69" s="140"/>
      <c r="G69" s="138" t="str" cm="1">
        <f t="array" ref="G69:H75">_xlfn.CHOOSECOLS(MMS_Feedlot_Methane_Equations.VEERG_4_1_1_1__3_Stage2MethaneProduction_Arguments(),3,4)</f>
        <v>fraction</v>
      </c>
      <c r="H69" s="130" t="str">
        <v>Constant</v>
      </c>
      <c r="I69" s="60">
        <f>'Constants - Feedlot'!$E$7</f>
        <v>0.5</v>
      </c>
      <c r="M69" s="138" t="str" cm="1">
        <f t="array" ref="M69:N75">_xlfn.CHOOSECOLS(MMS_Feedlot_Methane_Equations.VEERG_4_1_1_1__3_Stage2MethaneProduction_Arguments_Method2(),1,2)</f>
        <v>VSL</v>
      </c>
      <c r="N69" s="141" t="str">
        <v>fraction of volatile solids lost during storage in the primary system</v>
      </c>
      <c r="O69" s="140"/>
      <c r="P69" s="138" t="str" cm="1">
        <f t="array" ref="P69:Q75">_xlfn.CHOOSECOLS(MMS_Feedlot_Methane_Equations.VEERG_4_1_1_1__3_Stage2MethaneProduction_Arguments_Method2(),3,4)</f>
        <v>fraction</v>
      </c>
      <c r="Q69" s="130" t="str">
        <v>Constant</v>
      </c>
      <c r="R69" s="60"/>
    </row>
    <row r="70" spans="4:18" ht="20.100000000000001" customHeight="1" x14ac:dyDescent="0.25">
      <c r="D70" s="138" t="str">
        <v>VS_j</v>
      </c>
      <c r="E70" s="141" t="str">
        <v>volatile solid production from feedlot cattle in each group</v>
      </c>
      <c r="F70" s="140"/>
      <c r="G70" s="138" t="str">
        <v>kg/head/day</v>
      </c>
      <c r="H70" s="130" t="str">
        <v>Calculated from 4.1.1.1 (5)</v>
      </c>
      <c r="I70" s="139" t="str" cm="1">
        <f t="array" aca="1" ref="I70" ca="1">HYPERLINK(Common_InputFunctions.Utility_SourceHyperlink($D$27),$D$27)</f>
        <v>M1_Table_VS_j</v>
      </c>
      <c r="M70" s="138" t="str">
        <v>VS_j</v>
      </c>
      <c r="N70" s="141" t="str">
        <v>volatile solid production from feedlot cattle in each group</v>
      </c>
      <c r="O70" s="140"/>
      <c r="P70" s="138" t="str">
        <v>kg/head/day</v>
      </c>
      <c r="Q70" s="130" t="str">
        <v>Calculated from 4.1.1.1 (5)</v>
      </c>
      <c r="R70" s="139"/>
    </row>
    <row r="71" spans="4:18" ht="20.100000000000001" customHeight="1" x14ac:dyDescent="0.25">
      <c r="D71" s="138" t="str">
        <v>BO</v>
      </c>
      <c r="E71" s="141" t="str">
        <v>emissions potential</v>
      </c>
      <c r="F71" s="140"/>
      <c r="G71" s="138" t="str">
        <v>m3 CH4/kg VS</v>
      </c>
      <c r="H71" s="130" t="str">
        <v>Constant</v>
      </c>
      <c r="I71" s="60">
        <f>'Constants - Feedlot'!$E$22</f>
        <v>0.19</v>
      </c>
      <c r="M71" s="138" t="str">
        <v>BO</v>
      </c>
      <c r="N71" s="141" t="str">
        <v>emissions potential</v>
      </c>
      <c r="O71" s="140"/>
      <c r="P71" s="138" t="str">
        <v>m3 CH4/kg VS</v>
      </c>
      <c r="Q71" s="130" t="str">
        <v>Constant</v>
      </c>
      <c r="R71" s="60"/>
    </row>
    <row r="72" spans="4:18" ht="20.100000000000001" customHeight="1" x14ac:dyDescent="0.25">
      <c r="D72" s="138" t="str">
        <v>MMS_mT2</v>
      </c>
      <c r="E72" s="141" t="str">
        <v>fraction of manure in each secondary system</v>
      </c>
      <c r="F72" s="140"/>
      <c r="G72" s="138" t="str">
        <v>fraction</v>
      </c>
      <c r="H72" s="129" t="str">
        <v>Input</v>
      </c>
      <c r="I72" s="139" t="str" cm="1">
        <f t="array" aca="1" ref="I72" ca="1">HYPERLINK(Common_InputFunctions.Utility_SourceHyperlink($D$77),$D$77)</f>
        <v>Table_MMS_m_T-2</v>
      </c>
      <c r="M72" s="138" t="str">
        <v>MMS_mT2</v>
      </c>
      <c r="N72" s="141" t="str">
        <v>fraction of manure in each secondary system</v>
      </c>
      <c r="O72" s="140"/>
      <c r="P72" s="138" t="str">
        <v>fraction</v>
      </c>
      <c r="Q72" s="129" t="str">
        <v>Input</v>
      </c>
      <c r="R72" s="139"/>
    </row>
    <row r="73" spans="4:18" ht="20.100000000000001" customHeight="1" x14ac:dyDescent="0.25">
      <c r="D73" s="138" t="str">
        <v>MCF_im</v>
      </c>
      <c r="E73" s="141" t="str">
        <v>methane conversion factor for state and MMS</v>
      </c>
      <c r="F73" s="140"/>
      <c r="G73" s="138" t="str">
        <v>fraction</v>
      </c>
      <c r="H73" s="130" t="str">
        <v>Constant</v>
      </c>
      <c r="I73" s="139" t="str" cm="1">
        <f t="array" aca="1" ref="I73" ca="1">HYPERLINK(Common_InputFunctions.Utility_SourceHyperlink($D$84),$D$84)</f>
        <v>M1_Table_MCF_i_m</v>
      </c>
      <c r="M73" s="138" t="str">
        <v>MCF_im</v>
      </c>
      <c r="N73" s="141" t="str">
        <v>methane conversion factor for mean annual temperature and MMS</v>
      </c>
      <c r="O73" s="140"/>
      <c r="P73" s="138" t="str">
        <v>fraction</v>
      </c>
      <c r="Q73" s="130" t="str">
        <v>Constant</v>
      </c>
      <c r="R73" s="139" t="str" cm="1">
        <f t="array" aca="1" ref="R73" ca="1">HYPERLINK(Common_InputFunctions.Utility_SourceHyperlink($M$84),$M$84)</f>
        <v>M2_Table_MCF_i_m</v>
      </c>
    </row>
    <row r="74" spans="4:18" ht="20.100000000000001" customHeight="1" x14ac:dyDescent="0.25">
      <c r="D74" s="138" t="str">
        <v>rho</v>
      </c>
      <c r="E74" s="141" t="str">
        <v>density of methane</v>
      </c>
      <c r="F74" s="140"/>
      <c r="G74" s="138" t="str">
        <v>kg/m3</v>
      </c>
      <c r="H74" s="130" t="str">
        <v>Constant</v>
      </c>
      <c r="I74" s="60">
        <f>'Constants - Common'!$D$175</f>
        <v>0.6784</v>
      </c>
      <c r="M74" s="138" t="str">
        <v>rho</v>
      </c>
      <c r="N74" s="141" t="str">
        <v>density of methane</v>
      </c>
      <c r="O74" s="140"/>
      <c r="P74" s="138" t="str">
        <v>kg/m3</v>
      </c>
      <c r="Q74" s="130" t="str">
        <v>Constant</v>
      </c>
      <c r="R74" s="60"/>
    </row>
    <row r="75" spans="4:18" ht="20.100000000000001" customHeight="1" x14ac:dyDescent="0.25">
      <c r="D75" s="138" t="str">
        <v>i</v>
      </c>
      <c r="E75" s="141" t="str">
        <v>state</v>
      </c>
      <c r="F75" s="140"/>
      <c r="G75" s="138" t="str">
        <v/>
      </c>
      <c r="H75" s="129" t="str">
        <v>Input</v>
      </c>
      <c r="I75" s="60" t="str">
        <f>Common_InputFunctions.Utility_LookupValueInTable('Input - Site'!$E$21,Table_AustralianStates[Common Name],Table_AustralianStates[Abbreviation])</f>
        <v>WA</v>
      </c>
      <c r="M75" s="138" t="str">
        <v>i</v>
      </c>
      <c r="N75" s="141" t="str">
        <v>Mean annual temperature</v>
      </c>
      <c r="O75" s="140"/>
      <c r="P75" s="138" t="str">
        <v/>
      </c>
      <c r="Q75" s="129" t="str">
        <v>Input</v>
      </c>
      <c r="R75" s="60">
        <f>'Input - Site'!$E$25</f>
        <v>18</v>
      </c>
    </row>
    <row r="76" spans="4:18" ht="20.100000000000001" customHeight="1" x14ac:dyDescent="0.25"/>
    <row r="77" spans="4:18" ht="20.100000000000001" customHeight="1" x14ac:dyDescent="0.25">
      <c r="D77" s="104" t="s">
        <v>110</v>
      </c>
    </row>
    <row r="78" spans="4:18" ht="20.100000000000001" customHeight="1" x14ac:dyDescent="0.25">
      <c r="D78" s="103" t="s">
        <v>111</v>
      </c>
    </row>
    <row r="79" spans="4:18" ht="20.100000000000001" customHeight="1" x14ac:dyDescent="0.25">
      <c r="D79" s="41" t="s">
        <v>103</v>
      </c>
      <c r="E79" s="41" t="s">
        <v>99</v>
      </c>
      <c r="F79" s="41" t="s">
        <v>135</v>
      </c>
      <c r="G79" s="41" t="s">
        <v>136</v>
      </c>
      <c r="H79" s="41" t="s">
        <v>137</v>
      </c>
    </row>
    <row r="80" spans="4:18" ht="20.100000000000001" customHeight="1" x14ac:dyDescent="0.25">
      <c r="D80" s="55" t="str">
        <f>'Input - Feedlot'!$D$28</f>
        <v>Drylot (feed pad)</v>
      </c>
      <c r="E80" s="55" t="str">
        <f>'Input - Feedlot'!$D$32</f>
        <v>Solid storage</v>
      </c>
      <c r="F80" s="55">
        <f>'Input - Feedlot'!$E$32</f>
        <v>0.2</v>
      </c>
      <c r="G80" s="55">
        <f>'Input - Feedlot'!$F$32</f>
        <v>0.2</v>
      </c>
      <c r="H80" s="55">
        <f>'Input - Feedlot'!$G$32</f>
        <v>0.2</v>
      </c>
      <c r="I80" s="2" t="str">
        <f>G72</f>
        <v>fraction</v>
      </c>
    </row>
    <row r="81" spans="4:17" ht="20.100000000000001" customHeight="1" x14ac:dyDescent="0.25">
      <c r="D81" s="55" t="str">
        <f>'Input - Feedlot'!$D$28</f>
        <v>Drylot (feed pad)</v>
      </c>
      <c r="E81" s="55" t="str">
        <f>'Input - Feedlot'!$D$33</f>
        <v>Composting (passive windrow)</v>
      </c>
      <c r="F81" s="55">
        <f>'Input - Feedlot'!$E$33</f>
        <v>0.2</v>
      </c>
      <c r="G81" s="55">
        <f>'Input - Feedlot'!$F$33</f>
        <v>0.2</v>
      </c>
      <c r="H81" s="55">
        <f>'Input - Feedlot'!$G$33</f>
        <v>0.2</v>
      </c>
      <c r="I81" s="2"/>
    </row>
    <row r="82" spans="4:17" ht="20.100000000000001" customHeight="1" x14ac:dyDescent="0.25">
      <c r="D82" s="55" t="str">
        <f>'Input - Feedlot'!$D$28</f>
        <v>Drylot (feed pad)</v>
      </c>
      <c r="E82" s="55" t="str">
        <f>'Input - Feedlot'!$D$34</f>
        <v>Direct application</v>
      </c>
      <c r="F82" s="55">
        <f>'Input - Feedlot'!$E$34</f>
        <v>0.6</v>
      </c>
      <c r="G82" s="55">
        <f>'Input - Feedlot'!$F$34</f>
        <v>0.6</v>
      </c>
      <c r="H82" s="55">
        <f>'Input - Feedlot'!$G$34</f>
        <v>0.6</v>
      </c>
      <c r="I82" s="2"/>
    </row>
    <row r="83" spans="4:17" ht="20.100000000000001" customHeight="1" x14ac:dyDescent="0.25"/>
    <row r="84" spans="4:17" ht="20.100000000000001" customHeight="1" x14ac:dyDescent="0.25">
      <c r="D84" s="104" t="s">
        <v>355</v>
      </c>
      <c r="M84" s="104" t="s">
        <v>353</v>
      </c>
    </row>
    <row r="85" spans="4:17" ht="20.100000000000001" customHeight="1" x14ac:dyDescent="0.25">
      <c r="D85" s="103" t="s">
        <v>356</v>
      </c>
      <c r="M85" s="103" t="s">
        <v>354</v>
      </c>
    </row>
    <row r="86" spans="4:17" ht="20.100000000000001" customHeight="1" x14ac:dyDescent="0.25">
      <c r="D86" s="54" t="s">
        <v>103</v>
      </c>
      <c r="E86" s="54" t="s">
        <v>99</v>
      </c>
      <c r="F86" s="54" t="s">
        <v>96</v>
      </c>
      <c r="M86" s="54" t="s">
        <v>103</v>
      </c>
      <c r="N86" s="54" t="s">
        <v>99</v>
      </c>
      <c r="O86" s="54" t="s">
        <v>96</v>
      </c>
    </row>
    <row r="87" spans="4:17" ht="20.100000000000001" customHeight="1" x14ac:dyDescent="0.25">
      <c r="D87" s="55" t="str">
        <f>'Input - Feedlot'!$D$28</f>
        <v>Drylot (feed pad)</v>
      </c>
      <c r="E87" s="55" t="str">
        <f>'Input - Feedlot'!$D$32</f>
        <v>Solid storage</v>
      </c>
      <c r="F87" s="55" cm="1">
        <f t="array" ref="F87">_xlfn.XLOOKUP($I$75, Table_SourceData_Feedlot_MCF[#Headers], _xlfn.XLOOKUP(E87, Table_SourceData_Feedlot_MCF[NIR definition], Table_SourceData_Feedlot_MCF[]))</f>
        <v>0.02</v>
      </c>
      <c r="G87" s="2" t="str">
        <f>G73</f>
        <v>fraction</v>
      </c>
      <c r="M87" s="55" t="str">
        <f>'Input - Feedlot'!$D$28</f>
        <v>Drylot (feed pad)</v>
      </c>
      <c r="N87" s="55" t="str">
        <f>'Input - Feedlot'!$D$32</f>
        <v>Solid storage</v>
      </c>
      <c r="O87" s="55">
        <f>Common_InputFunctions.Common_GetMCFTemperatureZone($R$75,N87,Table_SourceData_Common_MCFTemperatureZone[MAT (ºC)],Table_SourceData_Common_MCFTemperatureZone[#Headers],Table_SourceData_Common_MCFTemperatureZone[])</f>
        <v>0.02</v>
      </c>
      <c r="P87" s="2" t="str">
        <f>P73</f>
        <v>fraction</v>
      </c>
    </row>
    <row r="88" spans="4:17" ht="20.100000000000001" customHeight="1" x14ac:dyDescent="0.25">
      <c r="D88" s="55" t="str">
        <f>'Input - Feedlot'!$D$28</f>
        <v>Drylot (feed pad)</v>
      </c>
      <c r="E88" s="55" t="str">
        <f>'Input - Feedlot'!$D$33</f>
        <v>Composting (passive windrow)</v>
      </c>
      <c r="F88" s="55" cm="1">
        <f t="array" ref="F88">_xlfn.XLOOKUP($I$75, Table_SourceData_Feedlot_MCF[#Headers], _xlfn.XLOOKUP(E88, Table_SourceData_Feedlot_MCF[NIR definition], Table_SourceData_Feedlot_MCF[]))</f>
        <v>0.01</v>
      </c>
      <c r="G88" s="2"/>
      <c r="M88" s="55" t="str">
        <f>'Input - Feedlot'!$D$28</f>
        <v>Drylot (feed pad)</v>
      </c>
      <c r="N88" s="55" t="str">
        <f>'Input - Feedlot'!$D$33</f>
        <v>Composting (passive windrow)</v>
      </c>
      <c r="O88" s="55">
        <f>Common_InputFunctions.Common_GetMCFTemperatureZone($R$75,N88,Table_SourceData_Common_MCFTemperatureZone[MAT (ºC)],Table_SourceData_Common_MCFTemperatureZone[#Headers],Table_SourceData_Common_MCFTemperatureZone[])</f>
        <v>0.01</v>
      </c>
      <c r="P88" s="2"/>
    </row>
    <row r="89" spans="4:17" ht="20.100000000000001" customHeight="1" x14ac:dyDescent="0.25">
      <c r="D89" s="55" t="str">
        <f>'Input - Feedlot'!$D$28</f>
        <v>Drylot (feed pad)</v>
      </c>
      <c r="E89" s="55" t="str">
        <f>'Input - Feedlot'!$D$34</f>
        <v>Direct application</v>
      </c>
      <c r="F89" s="55" cm="1">
        <f t="array" ref="F89">_xlfn.XLOOKUP($I$75, Table_SourceData_Feedlot_MCF[#Headers], _xlfn.XLOOKUP(E89, Table_SourceData_Feedlot_MCF[NIR definition], Table_SourceData_Feedlot_MCF[]))</f>
        <v>0</v>
      </c>
      <c r="M89" s="55" t="str">
        <f>'Input - Feedlot'!$D$28</f>
        <v>Drylot (feed pad)</v>
      </c>
      <c r="N89" s="55" t="str">
        <f>'Input - Feedlot'!$D$34</f>
        <v>Direct application</v>
      </c>
      <c r="O89" s="55">
        <f>Common_InputFunctions.Common_GetMCFTemperatureZone($R$75,N89,Table_SourceData_Common_MCFTemperatureZone[MAT (ºC)],Table_SourceData_Common_MCFTemperatureZone[#Headers],Table_SourceData_Common_MCFTemperatureZone[])</f>
        <v>0</v>
      </c>
    </row>
    <row r="90" spans="4:17" ht="20.100000000000001" customHeight="1" x14ac:dyDescent="0.25"/>
    <row r="91" spans="4:17" ht="20.100000000000001" customHeight="1" x14ac:dyDescent="0.25">
      <c r="D91" s="97" t="s">
        <v>345</v>
      </c>
      <c r="E91" s="98"/>
      <c r="F91" s="98"/>
      <c r="G91" s="98"/>
      <c r="H91" s="92"/>
    </row>
    <row r="92" spans="4:17" ht="20.100000000000001" customHeight="1" x14ac:dyDescent="0.25"/>
    <row r="93" spans="4:17" ht="20.100000000000001" customHeight="1" x14ac:dyDescent="0.25">
      <c r="D93" s="104" t="s">
        <v>208</v>
      </c>
      <c r="M93" s="104" t="s">
        <v>210</v>
      </c>
    </row>
    <row r="94" spans="4:17" ht="20.100000000000001" customHeight="1" x14ac:dyDescent="0.25">
      <c r="D94" s="103" t="s">
        <v>209</v>
      </c>
      <c r="M94" s="103" t="s">
        <v>211</v>
      </c>
    </row>
    <row r="95" spans="4:17" ht="20.100000000000001" customHeight="1" x14ac:dyDescent="0.25">
      <c r="D95" s="54" t="s">
        <v>99</v>
      </c>
      <c r="E95" s="54" t="s">
        <v>135</v>
      </c>
      <c r="F95" s="54" t="s">
        <v>136</v>
      </c>
      <c r="G95" s="54" t="s">
        <v>137</v>
      </c>
      <c r="M95" s="54" t="s">
        <v>99</v>
      </c>
      <c r="N95" s="54" t="s">
        <v>135</v>
      </c>
      <c r="O95" s="54" t="s">
        <v>136</v>
      </c>
      <c r="P95" s="54" t="s">
        <v>137</v>
      </c>
    </row>
    <row r="96" spans="4:17" ht="20.100000000000001" customHeight="1" x14ac:dyDescent="0.25">
      <c r="D96" s="55" t="str">
        <f>'Input - Feedlot'!$D$32</f>
        <v>Solid storage</v>
      </c>
      <c r="E96" s="55" cm="1">
        <f t="array" ref="E96">MMS_Feedlot_Methane_Equations.VEERG_4_1_1_1__3_Stage2MethaneProduction($I$69,D$30,$I$71,F80,_xlfn.XLOOKUP($D96,$E$87:$E$89,$F$87:$F$89),$I$74)</f>
        <v>4.2789347327999993E-4</v>
      </c>
      <c r="F96" s="55" cm="1">
        <f t="array" ref="F96">MMS_Feedlot_Methane_Equations.VEERG_4_1_1_1__3_Stage2MethaneProduction($I$69,E$30,$I$71,G80,_xlfn.XLOOKUP($D96,$E$87:$E$89,$F$87:$F$89),$I$74)</f>
        <v>4.4435091455999993E-4</v>
      </c>
      <c r="G96" s="55" cm="1">
        <f t="array" ref="G96">MMS_Feedlot_Methane_Equations.VEERG_4_1_1_1__3_Stage2MethaneProduction($I$69,F$30,$I$71,H80,_xlfn.XLOOKUP($D96,$E$87:$E$89,$F$87:$F$89),$I$74)</f>
        <v>3.3737754623999993E-4</v>
      </c>
      <c r="H96" s="2" t="str">
        <f>$E$67</f>
        <v>kg CH4/head/day</v>
      </c>
      <c r="M96" s="55" t="str">
        <f>'Input - Feedlot'!$D$32</f>
        <v>Solid storage</v>
      </c>
      <c r="N96" s="55" cm="1">
        <f t="array" ref="N96">MMS_Feedlot_Methane_Equations.VEERG_4_1_1_1__3_Stage2MethaneProduction($I$69,M$30,$I$71,F80,_xlfn.XLOOKUP($M96,$N$87:$N$89,$O$87:$O$89),$I$74)</f>
        <v>4.2789347327999993E-4</v>
      </c>
      <c r="O96" s="55" cm="1">
        <f t="array" ref="O96">MMS_Feedlot_Methane_Equations.VEERG_4_1_1_1__3_Stage2MethaneProduction($I$69,N$30,$I$71,G80,_xlfn.XLOOKUP($M96,$N$87:$N$89,$O$87:$O$89),$I$74)</f>
        <v>4.4435091455999993E-4</v>
      </c>
      <c r="P96" s="55" cm="1">
        <f t="array" ref="P96">MMS_Feedlot_Methane_Equations.VEERG_4_1_1_1__3_Stage2MethaneProduction($I$69,O$30,$I$71,H80,_xlfn.XLOOKUP($M96,$N$87:$N$89,$O$87:$O$89),$I$74)</f>
        <v>3.3737754623999993E-4</v>
      </c>
      <c r="Q96" s="2" t="str">
        <f>$E$67</f>
        <v>kg CH4/head/day</v>
      </c>
    </row>
    <row r="97" spans="3:18" ht="20.100000000000001" customHeight="1" x14ac:dyDescent="0.25">
      <c r="D97" s="55" t="str">
        <f>'Input - Feedlot'!$D$33</f>
        <v>Composting (passive windrow)</v>
      </c>
      <c r="E97" s="55" cm="1">
        <f t="array" ref="E97">MMS_Feedlot_Methane_Equations.VEERG_4_1_1_1__3_Stage2MethaneProduction($I$69,D$30,$I$71,F81,_xlfn.XLOOKUP($D97,$E$87:$E$89,$F$87:$F$89),$I$74)</f>
        <v>2.1394673663999996E-4</v>
      </c>
      <c r="F97" s="55" cm="1">
        <f t="array" ref="F97">MMS_Feedlot_Methane_Equations.VEERG_4_1_1_1__3_Stage2MethaneProduction($I$69,E$30,$I$71,G81,_xlfn.XLOOKUP($D97,$E$87:$E$89,$F$87:$F$89),$I$74)</f>
        <v>2.2217545727999996E-4</v>
      </c>
      <c r="G97" s="55" cm="1">
        <f t="array" ref="G97">MMS_Feedlot_Methane_Equations.VEERG_4_1_1_1__3_Stage2MethaneProduction($I$69,F$30,$I$71,H81,_xlfn.XLOOKUP($D97,$E$87:$E$89,$F$87:$F$89),$I$74)</f>
        <v>1.6868877311999997E-4</v>
      </c>
      <c r="H97" s="2"/>
      <c r="M97" s="55" t="str">
        <f>'Input - Feedlot'!$D$33</f>
        <v>Composting (passive windrow)</v>
      </c>
      <c r="N97" s="55" cm="1">
        <f t="array" ref="N97">MMS_Feedlot_Methane_Equations.VEERG_4_1_1_1__3_Stage2MethaneProduction($I$69,M$30,$I$71,F81,_xlfn.XLOOKUP($M97,$N$87:$N$89,$O$87:$O$89),$I$74)</f>
        <v>2.1394673663999996E-4</v>
      </c>
      <c r="O97" s="55" cm="1">
        <f t="array" ref="O97">MMS_Feedlot_Methane_Equations.VEERG_4_1_1_1__3_Stage2MethaneProduction($I$69,N$30,$I$71,G81,_xlfn.XLOOKUP($M97,$N$87:$N$89,$O$87:$O$89),$I$74)</f>
        <v>2.2217545727999996E-4</v>
      </c>
      <c r="P97" s="55" cm="1">
        <f t="array" ref="P97">MMS_Feedlot_Methane_Equations.VEERG_4_1_1_1__3_Stage2MethaneProduction($I$69,O$30,$I$71,H81,_xlfn.XLOOKUP($M97,$N$87:$N$89,$O$87:$O$89),$I$74)</f>
        <v>1.6868877311999997E-4</v>
      </c>
      <c r="Q97" s="2"/>
    </row>
    <row r="98" spans="3:18" ht="20.100000000000001" customHeight="1" x14ac:dyDescent="0.25">
      <c r="D98" s="55" t="str">
        <f>'Input - Feedlot'!$D$34</f>
        <v>Direct application</v>
      </c>
      <c r="E98" s="55" cm="1">
        <f t="array" ref="E98">MMS_Feedlot_Methane_Equations.VEERG_4_1_1_1__3_Stage2MethaneProduction($I$69,D$30,$I$71,F82,_xlfn.XLOOKUP($D98,$E$87:$E$89,$F$87:$F$89),$I$74)</f>
        <v>0</v>
      </c>
      <c r="F98" s="55" cm="1">
        <f t="array" ref="F98">MMS_Feedlot_Methane_Equations.VEERG_4_1_1_1__3_Stage2MethaneProduction($I$69,E$30,$I$71,G82,_xlfn.XLOOKUP($D98,$E$87:$E$89,$F$87:$F$89),$I$74)</f>
        <v>0</v>
      </c>
      <c r="G98" s="55" cm="1">
        <f t="array" ref="G98">MMS_Feedlot_Methane_Equations.VEERG_4_1_1_1__3_Stage2MethaneProduction($I$69,F$30,$I$71,H82,_xlfn.XLOOKUP($D98,$E$87:$E$89,$F$87:$F$89),$I$74)</f>
        <v>0</v>
      </c>
      <c r="H98" s="2"/>
      <c r="M98" s="55" t="str">
        <f>'Input - Feedlot'!$D$34</f>
        <v>Direct application</v>
      </c>
      <c r="N98" s="55" cm="1">
        <f t="array" ref="N98">MMS_Feedlot_Methane_Equations.VEERG_4_1_1_1__3_Stage2MethaneProduction($I$69,M$30,$I$71,F82,_xlfn.XLOOKUP($M98,$N$87:$N$89,$O$87:$O$89),$I$74)</f>
        <v>0</v>
      </c>
      <c r="O98" s="55" cm="1">
        <f t="array" ref="O98">MMS_Feedlot_Methane_Equations.VEERG_4_1_1_1__3_Stage2MethaneProduction($I$69,N$30,$I$71,G82,_xlfn.XLOOKUP($M98,$N$87:$N$89,$O$87:$O$89),$I$74)</f>
        <v>0</v>
      </c>
      <c r="P98" s="55" cm="1">
        <f t="array" ref="P98">MMS_Feedlot_Methane_Equations.VEERG_4_1_1_1__3_Stage2MethaneProduction($I$69,O$30,$I$71,H82,_xlfn.XLOOKUP($M98,$N$87:$N$89,$O$87:$O$89),$I$74)</f>
        <v>0</v>
      </c>
      <c r="Q98" s="2"/>
    </row>
    <row r="99" spans="3:18" ht="20.100000000000001" customHeight="1" x14ac:dyDescent="0.25"/>
    <row r="100" spans="3:18" ht="20.100000000000001" customHeight="1" x14ac:dyDescent="0.25"/>
    <row r="101" spans="3:18" ht="20.100000000000001" customHeight="1" x14ac:dyDescent="0.25">
      <c r="C101" s="48"/>
      <c r="D101" s="48"/>
      <c r="E101" s="48"/>
      <c r="F101" s="48"/>
      <c r="G101" s="48"/>
      <c r="H101" s="48"/>
      <c r="I101" s="48"/>
      <c r="J101" s="48"/>
      <c r="L101" s="48"/>
      <c r="M101" s="48"/>
      <c r="N101" s="48"/>
      <c r="O101" s="48"/>
      <c r="P101" s="48"/>
      <c r="Q101" s="48"/>
      <c r="R101" s="48"/>
    </row>
    <row r="102" spans="3:18" ht="20.100000000000001" customHeight="1" x14ac:dyDescent="0.25">
      <c r="D102" s="6" t="str" cm="1">
        <f t="array" ref="D102">MMS_Feedlot_Methane_Equations.VEERG_4_1_1_1__4_Stage3MethaneProductionAnaerobicLagoon_Title()</f>
        <v>Production of methane in treatment stage 3 MMS</v>
      </c>
    </row>
    <row r="103" spans="3:18" ht="20.100000000000001" customHeight="1" x14ac:dyDescent="0.25">
      <c r="D103" s="5" t="str" cm="1">
        <f t="array" ref="D103">MMS_Feedlot_Methane_Equations.VEERG_4_1_1_1__4_Stage3MethaneProductionAnaerobicLagoon_Source()</f>
        <v>VEERG 2026: 4.1.1.1, Equation (4)</v>
      </c>
    </row>
    <row r="104" spans="3:18" ht="20.100000000000001" customHeight="1" x14ac:dyDescent="0.25">
      <c r="D104" s="13" t="s">
        <v>25</v>
      </c>
      <c r="E104" s="13" t="str" cm="1">
        <f t="array" aca="1" ref="E104" ca="1">Common_InputFunctions.Utility_DisplayFunctionName(E125)</f>
        <v>=MMS_Feedlot_Methane_Equations.VEERG_4_1_1_1__4_Stage3MethaneProductionAnaerobicLagoon</v>
      </c>
    </row>
    <row r="105" spans="3:18" ht="20.100000000000001" customHeight="1" x14ac:dyDescent="0.25"/>
    <row r="106" spans="3:18" ht="20.100000000000001" customHeight="1" x14ac:dyDescent="0.25">
      <c r="D106" s="6"/>
    </row>
    <row r="107" spans="3:18" ht="20.100000000000001" customHeight="1" x14ac:dyDescent="0.25">
      <c r="D107" s="56" t="s">
        <v>28</v>
      </c>
      <c r="E107" s="1" t="str" cm="1">
        <f t="array" ref="E107">MMS_Feedlot_Methane_Equations.VEERG_4_1_1_1__4_Stage3MethaneProductionAnaerobicLagoon_Variable()</f>
        <v>M_jm1T3</v>
      </c>
    </row>
    <row r="108" spans="3:18" ht="20.100000000000001" customHeight="1" x14ac:dyDescent="0.25">
      <c r="D108" s="56" t="s">
        <v>18</v>
      </c>
      <c r="E108" s="57" t="str" cm="1">
        <f t="array" ref="E108">MMS_Feedlot_Methane_Equations.VEERG_4_1_1_1__4_Stage3MethaneProductionAnaerobicLagoon_Unit()</f>
        <v>kg CH4/head/day</v>
      </c>
    </row>
    <row r="109" spans="3:18" ht="20.100000000000001" customHeight="1" x14ac:dyDescent="0.25"/>
    <row r="110" spans="3:18" ht="20.100000000000001" customHeight="1" x14ac:dyDescent="0.25">
      <c r="D110" s="138" t="str" cm="1">
        <f t="array" ref="D110:E115">_xlfn.CHOOSECOLS(MMS_Feedlot_Methane_Equations.VEERG_4_1_1_1__4_Stage3MethaneProductionAnaerobicLagoon_Arguments(),1,2)</f>
        <v>VS_j</v>
      </c>
      <c r="E110" s="141" t="str">
        <v>volatile solid production from feedlot cattle in each group j</v>
      </c>
      <c r="F110" s="140"/>
      <c r="G110" s="138" t="str" cm="1">
        <f t="array" ref="G110:H115">_xlfn.CHOOSECOLS(MMS_Feedlot_Methane_Equations.VEERG_4_1_1_1__4_Stage3MethaneProductionAnaerobicLagoon_Arguments(),3,4)</f>
        <v>kg/head/day</v>
      </c>
      <c r="H110" s="130" t="str">
        <v>Calculated from 4.1.1.1 (5)</v>
      </c>
      <c r="I110" s="139" t="str" cm="1">
        <f t="array" aca="1" ref="I110" ca="1">HYPERLINK(Common_InputFunctions.Utility_SourceHyperlink($D$27),$D$27)</f>
        <v>M1_Table_VS_j</v>
      </c>
      <c r="M110" s="138" t="str" cm="1">
        <f t="array" ref="M110:N115">_xlfn.CHOOSECOLS(MMS_Feedlot_Methane_Equations.VEERG_4_1_1_1__4_Stage3MethaneProductionAnaerobicLagoon_Arguments_Method2(),1,2)</f>
        <v>VS_j</v>
      </c>
      <c r="N110" s="141" t="str">
        <v>volatile solid production from feedlot cattle in each group j</v>
      </c>
      <c r="O110" s="140"/>
      <c r="P110" s="138" t="str" cm="1">
        <f t="array" ref="P110:Q115">_xlfn.CHOOSECOLS(MMS_Feedlot_Methane_Equations.VEERG_4_1_1_1__4_Stage3MethaneProductionAnaerobicLagoon_Arguments_Method2(),3,4)</f>
        <v>kg/head/day</v>
      </c>
      <c r="Q110" s="130" t="str">
        <v>Calculated from 4.1.1.1 (5)</v>
      </c>
      <c r="R110" s="139"/>
    </row>
    <row r="111" spans="3:18" ht="20.100000000000001" customHeight="1" x14ac:dyDescent="0.25">
      <c r="D111" s="138" t="str">
        <v>BO</v>
      </c>
      <c r="E111" s="141" t="str">
        <v>emissions potential</v>
      </c>
      <c r="F111" s="140"/>
      <c r="G111" s="138" t="str">
        <v>m3 CH4/kg VS</v>
      </c>
      <c r="H111" s="130" t="str">
        <v>Constant</v>
      </c>
      <c r="I111" s="138">
        <f>'Constants - Feedlot'!$E$22</f>
        <v>0.19</v>
      </c>
      <c r="M111" s="138" t="str">
        <v>BO</v>
      </c>
      <c r="N111" s="141" t="str">
        <v>emissions potential</v>
      </c>
      <c r="O111" s="140"/>
      <c r="P111" s="138" t="str">
        <v>m3 CH4/kg VS</v>
      </c>
      <c r="Q111" s="130" t="str">
        <v>Constant</v>
      </c>
      <c r="R111" s="138"/>
    </row>
    <row r="112" spans="3:18" ht="20.100000000000001" customHeight="1" x14ac:dyDescent="0.25">
      <c r="D112" s="138" t="str">
        <v>MMS_m1T3</v>
      </c>
      <c r="E112" s="141" t="str">
        <v>fraction of manure to tertiary anaerobic lagoon system</v>
      </c>
      <c r="F112" s="140"/>
      <c r="G112" s="138" t="str">
        <v>fraction</v>
      </c>
      <c r="H112" s="129" t="str">
        <v>Input</v>
      </c>
      <c r="I112" s="139" t="str" cm="1">
        <f t="array" aca="1" ref="I112" ca="1">HYPERLINK(Common_InputFunctions.Utility_SourceHyperlink($D$117),$D$117)</f>
        <v>Table_MMS_m-1_T-3</v>
      </c>
      <c r="M112" s="138" t="str">
        <v>MMS_m1T3</v>
      </c>
      <c r="N112" s="141" t="str">
        <v>fraction of manure to tertiary anaerobic lagoon system</v>
      </c>
      <c r="O112" s="140"/>
      <c r="P112" s="138" t="str">
        <v>fraction</v>
      </c>
      <c r="Q112" s="129" t="str">
        <v>Input</v>
      </c>
      <c r="R112" s="139"/>
    </row>
    <row r="113" spans="3:18" ht="20.100000000000001" customHeight="1" x14ac:dyDescent="0.25">
      <c r="D113" s="138" t="str">
        <v>MCF_im1</v>
      </c>
      <c r="E113" s="141" t="str">
        <v>methane conversion factor for state and anaerobic lagoon system</v>
      </c>
      <c r="F113" s="140"/>
      <c r="G113" s="138" t="str">
        <v>fraction</v>
      </c>
      <c r="H113" s="130" t="str">
        <v>Constant</v>
      </c>
      <c r="I113" s="138">
        <f>HLOOKUP(I115, Table_SourceData_Feedlot_MCF[#All], 6, FALSE)</f>
        <v>0.77</v>
      </c>
      <c r="M113" s="138" t="str">
        <v>MCF_im1</v>
      </c>
      <c r="N113" s="141" t="str">
        <v>methane conversion factor for mean annual temperature and anaerobic lagoon system</v>
      </c>
      <c r="O113" s="140"/>
      <c r="P113" s="138" t="str">
        <v>fraction</v>
      </c>
      <c r="Q113" s="130" t="str">
        <v>Constant</v>
      </c>
      <c r="R113" s="138">
        <f>Common_InputFunctions.Common_GetMCFTemperatureZone(R115,M125,Table_SourceData_Common_MCFTemperatureZone[MAT (ºC)],Table_SourceData_Common_MCFTemperatureZone[#Headers],Table_SourceData_Common_MCFTemperatureZone[])</f>
        <v>0.77</v>
      </c>
    </row>
    <row r="114" spans="3:18" ht="20.100000000000001" customHeight="1" x14ac:dyDescent="0.25">
      <c r="D114" s="138" t="str">
        <v>rho</v>
      </c>
      <c r="E114" s="141" t="str">
        <v>density of methane</v>
      </c>
      <c r="F114" s="140"/>
      <c r="G114" s="138" t="str">
        <v>kg/m3</v>
      </c>
      <c r="H114" s="130" t="str">
        <v>Constant</v>
      </c>
      <c r="I114" s="138">
        <f>'Constants - Common'!$D$175</f>
        <v>0.6784</v>
      </c>
      <c r="M114" s="138" t="str">
        <v>rho</v>
      </c>
      <c r="N114" s="141" t="str">
        <v>density of methane</v>
      </c>
      <c r="O114" s="140"/>
      <c r="P114" s="138" t="str">
        <v>kg/m3</v>
      </c>
      <c r="Q114" s="130" t="str">
        <v>Constant</v>
      </c>
      <c r="R114" s="138"/>
    </row>
    <row r="115" spans="3:18" ht="20.100000000000001" customHeight="1" x14ac:dyDescent="0.25">
      <c r="D115" s="138" t="str">
        <v>i</v>
      </c>
      <c r="E115" s="141" t="str">
        <v>state</v>
      </c>
      <c r="F115" s="140"/>
      <c r="G115" s="138" t="str">
        <v/>
      </c>
      <c r="H115" s="129" t="str">
        <v>Input</v>
      </c>
      <c r="I115" s="138" t="str">
        <f>Common_InputFunctions.Utility_LookupValueInTable('Input - Site'!$E$21,Table_AustralianStates[Common Name],Table_AustralianStates[Abbreviation])</f>
        <v>WA</v>
      </c>
      <c r="M115" s="138" t="str">
        <v>i</v>
      </c>
      <c r="N115" s="141" t="str">
        <v>Mean annual temperature</v>
      </c>
      <c r="O115" s="140"/>
      <c r="P115" s="138" t="str">
        <v/>
      </c>
      <c r="Q115" s="129" t="str">
        <v>Input</v>
      </c>
      <c r="R115" s="60">
        <f>'Input - Site'!$E$25</f>
        <v>18</v>
      </c>
    </row>
    <row r="116" spans="3:18" ht="20.100000000000001" customHeight="1" x14ac:dyDescent="0.25"/>
    <row r="117" spans="3:18" ht="20.100000000000001" customHeight="1" x14ac:dyDescent="0.25">
      <c r="D117" s="104" t="s">
        <v>113</v>
      </c>
    </row>
    <row r="118" spans="3:18" ht="20.100000000000001" customHeight="1" x14ac:dyDescent="0.25">
      <c r="D118" s="103" t="s">
        <v>115</v>
      </c>
    </row>
    <row r="119" spans="3:18" ht="20.100000000000001" customHeight="1" x14ac:dyDescent="0.25">
      <c r="D119" s="41" t="s">
        <v>114</v>
      </c>
      <c r="E119" s="41" t="s">
        <v>135</v>
      </c>
      <c r="F119" s="41" t="s">
        <v>136</v>
      </c>
      <c r="G119" s="41" t="s">
        <v>137</v>
      </c>
    </row>
    <row r="120" spans="3:18" ht="20.100000000000001" customHeight="1" x14ac:dyDescent="0.25">
      <c r="D120" s="55" t="str">
        <f>'Input - Feedlot'!$D$38</f>
        <v>Anaerobic lagoon</v>
      </c>
      <c r="E120" s="55">
        <f>'Input - Feedlot'!E38</f>
        <v>0.02</v>
      </c>
      <c r="F120" s="55">
        <f>'Input - Feedlot'!F38</f>
        <v>0.02</v>
      </c>
      <c r="G120" s="55">
        <f>'Input - Feedlot'!G38</f>
        <v>0.02</v>
      </c>
      <c r="H120" s="2" t="str">
        <f>G112</f>
        <v>fraction</v>
      </c>
    </row>
    <row r="121" spans="3:18" ht="20.100000000000001" customHeight="1" x14ac:dyDescent="0.25"/>
    <row r="122" spans="3:18" ht="20.100000000000001" customHeight="1" x14ac:dyDescent="0.25">
      <c r="D122" s="104" t="s">
        <v>212</v>
      </c>
      <c r="M122" s="104" t="s">
        <v>214</v>
      </c>
    </row>
    <row r="123" spans="3:18" ht="20.100000000000001" customHeight="1" x14ac:dyDescent="0.25">
      <c r="D123" s="103" t="s">
        <v>213</v>
      </c>
      <c r="M123" s="103" t="s">
        <v>215</v>
      </c>
    </row>
    <row r="124" spans="3:18" ht="20.100000000000001" customHeight="1" x14ac:dyDescent="0.25">
      <c r="D124" s="54" t="s">
        <v>114</v>
      </c>
      <c r="E124" s="54" t="s">
        <v>135</v>
      </c>
      <c r="F124" s="54" t="s">
        <v>136</v>
      </c>
      <c r="G124" s="54" t="s">
        <v>137</v>
      </c>
      <c r="M124" s="54" t="s">
        <v>114</v>
      </c>
      <c r="N124" s="54" t="s">
        <v>135</v>
      </c>
      <c r="O124" s="54" t="s">
        <v>136</v>
      </c>
      <c r="P124" s="54" t="s">
        <v>137</v>
      </c>
    </row>
    <row r="125" spans="3:18" ht="20.100000000000001" customHeight="1" x14ac:dyDescent="0.25">
      <c r="D125" s="55" t="str">
        <f>'Input - Feedlot'!$D$38</f>
        <v>Anaerobic lagoon</v>
      </c>
      <c r="E125" s="55" cm="1">
        <f t="array" ref="E125">MMS_Feedlot_Methane_Equations.VEERG_4_1_1_1__4_Stage3MethaneProductionAnaerobicLagoon(D$30, $I$111,E120,$I$113,$I$114)</f>
        <v>3.2947797442559996E-3</v>
      </c>
      <c r="F125" s="55" cm="1">
        <f t="array" ref="F125">MMS_Feedlot_Methane_Equations.VEERG_4_1_1_1__4_Stage3MethaneProductionAnaerobicLagoon(E$30, $I$111,F120,$I$113,$I$114)</f>
        <v>3.4215020421119995E-3</v>
      </c>
      <c r="G125" s="55" cm="1">
        <f t="array" ref="G125">MMS_Feedlot_Methane_Equations.VEERG_4_1_1_1__4_Stage3MethaneProductionAnaerobicLagoon(F$30, $I$111,G120,$I$113,$I$114)</f>
        <v>2.5978071060479987E-3</v>
      </c>
      <c r="H125" s="2" t="str">
        <f>$E$108</f>
        <v>kg CH4/head/day</v>
      </c>
      <c r="M125" s="55" t="str">
        <f>'Input - Feedlot'!$D$38</f>
        <v>Anaerobic lagoon</v>
      </c>
      <c r="N125" s="55" cm="1">
        <f t="array" ref="N125">MMS_Feedlot_Methane_Equations.VEERG_4_1_1_1__4_Stage3MethaneProductionAnaerobicLagoon(M$30, $I$111,E120,$R$113,$I$114)</f>
        <v>3.2947797442559996E-3</v>
      </c>
      <c r="O125" s="55" cm="1">
        <f t="array" ref="O125">MMS_Feedlot_Methane_Equations.VEERG_4_1_1_1__4_Stage3MethaneProductionAnaerobicLagoon(N$30, $I$111,F120,$R$113,$I$114)</f>
        <v>3.4215020421119995E-3</v>
      </c>
      <c r="P125" s="55" cm="1">
        <f t="array" ref="P125">MMS_Feedlot_Methane_Equations.VEERG_4_1_1_1__4_Stage3MethaneProductionAnaerobicLagoon(O$30, $I$111,G120,$R$113,$I$114)</f>
        <v>2.5978071060479987E-3</v>
      </c>
      <c r="Q125" s="2" t="str">
        <f>$E$108</f>
        <v>kg CH4/head/day</v>
      </c>
    </row>
    <row r="126" spans="3:18" ht="20.100000000000001" customHeight="1" x14ac:dyDescent="0.25"/>
    <row r="127" spans="3:18" ht="20.100000000000001" customHeight="1" x14ac:dyDescent="0.25"/>
    <row r="128" spans="3:18" ht="20.100000000000001" customHeight="1" x14ac:dyDescent="0.25">
      <c r="C128" s="48"/>
      <c r="D128" s="48"/>
      <c r="E128" s="48"/>
      <c r="F128" s="48"/>
      <c r="G128" s="48"/>
      <c r="H128" s="48"/>
      <c r="I128" s="48"/>
      <c r="J128" s="48"/>
      <c r="L128" s="48"/>
      <c r="M128" s="48"/>
      <c r="N128" s="48"/>
      <c r="O128" s="48"/>
      <c r="P128" s="48"/>
      <c r="Q128" s="48"/>
      <c r="R128" s="48"/>
    </row>
    <row r="129" spans="4:9" ht="20.100000000000001" customHeight="1" x14ac:dyDescent="0.25">
      <c r="D129" s="6" t="str" cm="1">
        <f t="array" ref="D129">MMS_Feedlot_Methane_Equations.VEERG_4_1_1_1__1_TotalAnnualMethaneEmissions_Title()</f>
        <v>Total annual methane emissions from manure management</v>
      </c>
    </row>
    <row r="130" spans="4:9" ht="20.100000000000001" customHeight="1" x14ac:dyDescent="0.25">
      <c r="D130" s="5" t="str" cm="1">
        <f t="array" ref="D130">MMS_Feedlot_Methane_Equations.VEERG_4_1_1_1__1_TotalAnnualMethaneEmissions_Source()</f>
        <v>VEERG 2026: 4.1.1.1, Equation (1)</v>
      </c>
    </row>
    <row r="131" spans="4:9" ht="20.100000000000001" customHeight="1" x14ac:dyDescent="0.25">
      <c r="D131" s="13" t="s">
        <v>25</v>
      </c>
      <c r="E131" s="13" t="str" cm="1">
        <f t="array" aca="1" ref="E131" ca="1">Common_InputFunctions.Utility_DisplayFunctionName(F164)</f>
        <v>=MMS_Feedlot_Methane_Equations.VEERG_4_1_1_1__1_TotalAnnualMethaneEmissions</v>
      </c>
    </row>
    <row r="132" spans="4:9" ht="20.100000000000001" customHeight="1" x14ac:dyDescent="0.25"/>
    <row r="133" spans="4:9" ht="20.100000000000001" customHeight="1" x14ac:dyDescent="0.25">
      <c r="D133" s="6"/>
    </row>
    <row r="134" spans="4:9" ht="20.100000000000001" customHeight="1" x14ac:dyDescent="0.25"/>
    <row r="135" spans="4:9" ht="20.100000000000001" customHeight="1" x14ac:dyDescent="0.25">
      <c r="D135" s="56" t="s">
        <v>28</v>
      </c>
      <c r="E135" s="1" t="str" cm="1">
        <f t="array" ref="E135">MMS_Feedlot_Methane_Equations.VEERG_4_1_1_1__1_TotalAnnualMethaneEmissions_Variable()</f>
        <v>E_CH4</v>
      </c>
    </row>
    <row r="136" spans="4:9" ht="20.100000000000001" customHeight="1" x14ac:dyDescent="0.25">
      <c r="D136" s="56" t="s">
        <v>18</v>
      </c>
      <c r="E136" s="57" t="str" cm="1">
        <f t="array" ref="E136">MMS_Feedlot_Methane_Equations.VEERG_4_1_1_1__1_TotalAnnualMethaneEmissions_Unit()</f>
        <v>t CH4</v>
      </c>
    </row>
    <row r="137" spans="4:9" ht="20.100000000000001" customHeight="1" x14ac:dyDescent="0.25"/>
    <row r="138" spans="4:9" ht="20.100000000000001" customHeight="1" x14ac:dyDescent="0.25">
      <c r="D138" s="138" t="str" cm="1">
        <f t="array" ref="D138:E140">_xlfn.CHOOSECOLS(MMS_Feedlot_Methane_Equations.VEERG_4_1_1_1__1_TotalAnnualMethaneEmissions_Arguments(),1,2)</f>
        <v>D_j</v>
      </c>
      <c r="E138" s="141" t="str">
        <v>length of stay of each cattle group</v>
      </c>
      <c r="F138" s="140"/>
      <c r="G138" s="138" t="str" cm="1">
        <f t="array" ref="G138:H140">_xlfn.CHOOSECOLS(MMS_Feedlot_Methane_Equations.VEERG_4_1_1_1__1_TotalAnnualMethaneEmissions_Arguments(),3,4)</f>
        <v>days</v>
      </c>
      <c r="H138" s="129" t="str">
        <v>Input</v>
      </c>
      <c r="I138" s="139" t="str" cm="1">
        <f t="array" aca="1" ref="I138" ca="1">HYPERLINK(Common_InputFunctions.Utility_SourceHyperlink($D$142),$D$142)</f>
        <v>Table_D_j</v>
      </c>
    </row>
    <row r="139" spans="4:9" ht="20.100000000000001" customHeight="1" x14ac:dyDescent="0.25">
      <c r="D139" s="138" t="str">
        <v>M_jmT</v>
      </c>
      <c r="E139" s="141" t="str">
        <v>methane production from manure per cattle group, MMS, and treatment stage</v>
      </c>
      <c r="F139" s="140"/>
      <c r="G139" s="138" t="str">
        <v>kg CH4/head/day</v>
      </c>
      <c r="H139" s="130" t="str">
        <v>Calculated from 4.1.1.1 (2)(3)(4)</v>
      </c>
      <c r="I139" s="139" t="str" cm="1">
        <f t="array" aca="1" ref="I139" ca="1">HYPERLINK(Common_InputFunctions.Utility_SourceHyperlink($D$147),$D$147)</f>
        <v>M1_Table_M_j_m_T</v>
      </c>
    </row>
    <row r="140" spans="4:9" ht="20.100000000000001" customHeight="1" x14ac:dyDescent="0.25">
      <c r="D140" s="138" t="str">
        <v>N_j</v>
      </c>
      <c r="E140" s="141" t="str">
        <v>numbers of beef cattle in each group</v>
      </c>
      <c r="F140" s="140"/>
      <c r="G140" s="138" t="str">
        <v>head</v>
      </c>
      <c r="H140" s="129" t="str">
        <v>Input</v>
      </c>
      <c r="I140" s="139" t="str" cm="1">
        <f t="array" aca="1" ref="I140" ca="1">HYPERLINK(Common_InputFunctions.Utility_SourceHyperlink($D$156),$D$156)</f>
        <v>Table_N_j</v>
      </c>
    </row>
    <row r="141" spans="4:9" ht="20.100000000000001" customHeight="1" x14ac:dyDescent="0.25"/>
    <row r="142" spans="4:9" ht="20.100000000000001" customHeight="1" x14ac:dyDescent="0.25">
      <c r="D142" s="104" t="s">
        <v>119</v>
      </c>
    </row>
    <row r="143" spans="4:9" ht="20.100000000000001" customHeight="1" x14ac:dyDescent="0.25">
      <c r="D143" s="103" t="s">
        <v>117</v>
      </c>
    </row>
    <row r="144" spans="4:9" ht="20.100000000000001" customHeight="1" x14ac:dyDescent="0.25">
      <c r="D144" s="41" t="s">
        <v>135</v>
      </c>
      <c r="E144" s="41" t="s">
        <v>136</v>
      </c>
      <c r="F144" s="41" t="s">
        <v>137</v>
      </c>
    </row>
    <row r="145" spans="4:18" ht="20.100000000000001" customHeight="1" x14ac:dyDescent="0.25">
      <c r="D145" s="107">
        <f>'Input - Feedlot'!$E$9</f>
        <v>90</v>
      </c>
      <c r="E145" s="107">
        <f>'Input - Feedlot'!$F$9</f>
        <v>140</v>
      </c>
      <c r="F145" s="107">
        <f>'Input - Feedlot'!$G$9</f>
        <v>250</v>
      </c>
      <c r="G145" s="2" t="str">
        <f>G138</f>
        <v>days</v>
      </c>
    </row>
    <row r="146" spans="4:18" ht="20.100000000000001" customHeight="1" x14ac:dyDescent="0.25"/>
    <row r="147" spans="4:18" ht="20.100000000000001" customHeight="1" x14ac:dyDescent="0.25">
      <c r="D147" s="104" t="s">
        <v>216</v>
      </c>
      <c r="M147" s="104" t="s">
        <v>218</v>
      </c>
    </row>
    <row r="148" spans="4:18" ht="20.100000000000001" customHeight="1" x14ac:dyDescent="0.25">
      <c r="D148" s="103" t="s">
        <v>217</v>
      </c>
      <c r="M148" s="103" t="s">
        <v>219</v>
      </c>
    </row>
    <row r="149" spans="4:18" ht="20.100000000000001" customHeight="1" x14ac:dyDescent="0.25">
      <c r="D149" s="54" t="s">
        <v>123</v>
      </c>
      <c r="E149" s="54" t="s">
        <v>66</v>
      </c>
      <c r="F149" s="54" t="s">
        <v>135</v>
      </c>
      <c r="G149" s="54" t="s">
        <v>136</v>
      </c>
      <c r="H149" s="54" t="s">
        <v>137</v>
      </c>
      <c r="M149" s="54" t="s">
        <v>123</v>
      </c>
      <c r="N149" s="54" t="s">
        <v>66</v>
      </c>
      <c r="O149" s="54" t="s">
        <v>135</v>
      </c>
      <c r="P149" s="54" t="s">
        <v>136</v>
      </c>
      <c r="Q149" s="54" t="s">
        <v>137</v>
      </c>
    </row>
    <row r="150" spans="4:18" ht="20.100000000000001" customHeight="1" x14ac:dyDescent="0.25">
      <c r="D150" s="55">
        <v>1</v>
      </c>
      <c r="E150" s="55" t="str">
        <f>'Input - Feedlot'!$D$28</f>
        <v>Drylot (feed pad)</v>
      </c>
      <c r="F150" s="55">
        <f>$E$57</f>
        <v>2.1394673663999997E-3</v>
      </c>
      <c r="G150" s="55">
        <f>$F$57</f>
        <v>2.2217545727999995E-3</v>
      </c>
      <c r="H150" s="55">
        <f>$G$57</f>
        <v>1.6868877311999992E-3</v>
      </c>
      <c r="I150" s="2" t="str">
        <f>$G$139</f>
        <v>kg CH4/head/day</v>
      </c>
      <c r="M150" s="55">
        <v>1</v>
      </c>
      <c r="N150" s="55" t="str">
        <f>'Input - Feedlot'!$D$28</f>
        <v>Drylot (feed pad)</v>
      </c>
      <c r="O150" s="55">
        <f>$N$57</f>
        <v>2.1394673663999997E-3</v>
      </c>
      <c r="P150" s="55">
        <f>$O$57</f>
        <v>2.2217545727999995E-3</v>
      </c>
      <c r="Q150" s="55">
        <f>$P$57</f>
        <v>1.6868877311999992E-3</v>
      </c>
      <c r="R150" s="2" t="str">
        <f>$G$139</f>
        <v>kg CH4/head/day</v>
      </c>
    </row>
    <row r="151" spans="4:18" ht="20.100000000000001" customHeight="1" x14ac:dyDescent="0.25">
      <c r="D151" s="55">
        <v>2</v>
      </c>
      <c r="E151" s="55" t="str">
        <f>'Input - Feedlot'!$D$32</f>
        <v>Solid storage</v>
      </c>
      <c r="F151" s="55">
        <f>$E$96</f>
        <v>4.2789347327999993E-4</v>
      </c>
      <c r="G151" s="55">
        <f>$F$96</f>
        <v>4.4435091455999993E-4</v>
      </c>
      <c r="H151" s="55">
        <f>$G$96</f>
        <v>3.3737754623999993E-4</v>
      </c>
      <c r="I151" s="2"/>
      <c r="M151" s="55">
        <v>2</v>
      </c>
      <c r="N151" s="55" t="str">
        <f>'Input - Feedlot'!$D$32</f>
        <v>Solid storage</v>
      </c>
      <c r="O151" s="55">
        <f>$N$96</f>
        <v>4.2789347327999993E-4</v>
      </c>
      <c r="P151" s="55">
        <f>$O$96</f>
        <v>4.4435091455999993E-4</v>
      </c>
      <c r="Q151" s="55">
        <f>$P$96</f>
        <v>3.3737754623999993E-4</v>
      </c>
      <c r="R151" s="2"/>
    </row>
    <row r="152" spans="4:18" ht="20.100000000000001" customHeight="1" x14ac:dyDescent="0.25">
      <c r="D152" s="55">
        <v>2</v>
      </c>
      <c r="E152" s="55" t="str">
        <f>'Input - Feedlot'!$D$33</f>
        <v>Composting (passive windrow)</v>
      </c>
      <c r="F152" s="55">
        <f>$E$97</f>
        <v>2.1394673663999996E-4</v>
      </c>
      <c r="G152" s="55">
        <f>$F$97</f>
        <v>2.2217545727999996E-4</v>
      </c>
      <c r="H152" s="55">
        <f>$G$97</f>
        <v>1.6868877311999997E-4</v>
      </c>
      <c r="I152" s="2"/>
      <c r="M152" s="55">
        <v>2</v>
      </c>
      <c r="N152" s="55" t="str">
        <f>'Input - Feedlot'!$D$33</f>
        <v>Composting (passive windrow)</v>
      </c>
      <c r="O152" s="55">
        <f>$N$97</f>
        <v>2.1394673663999996E-4</v>
      </c>
      <c r="P152" s="55">
        <f>$O$97</f>
        <v>2.2217545727999996E-4</v>
      </c>
      <c r="Q152" s="55">
        <f>$P$97</f>
        <v>1.6868877311999997E-4</v>
      </c>
      <c r="R152" s="2"/>
    </row>
    <row r="153" spans="4:18" ht="20.100000000000001" customHeight="1" x14ac:dyDescent="0.25">
      <c r="D153" s="55">
        <v>2</v>
      </c>
      <c r="E153" s="55" t="str">
        <f>'Input - Feedlot'!$D$34</f>
        <v>Direct application</v>
      </c>
      <c r="F153" s="55">
        <f>$E$98</f>
        <v>0</v>
      </c>
      <c r="G153" s="55">
        <f>$E$98</f>
        <v>0</v>
      </c>
      <c r="H153" s="55">
        <f>$E$98</f>
        <v>0</v>
      </c>
      <c r="I153" s="2"/>
      <c r="M153" s="55">
        <v>2</v>
      </c>
      <c r="N153" s="55" t="str">
        <f>'Input - Feedlot'!$D$34</f>
        <v>Direct application</v>
      </c>
      <c r="O153" s="55">
        <f>$E$98</f>
        <v>0</v>
      </c>
      <c r="P153" s="55">
        <f>$E$98</f>
        <v>0</v>
      </c>
      <c r="Q153" s="55">
        <f>$E$98</f>
        <v>0</v>
      </c>
      <c r="R153" s="2"/>
    </row>
    <row r="154" spans="4:18" ht="20.100000000000001" customHeight="1" x14ac:dyDescent="0.25">
      <c r="D154" s="55">
        <v>3</v>
      </c>
      <c r="E154" s="55" t="str">
        <f>'Input - Feedlot'!$D$38</f>
        <v>Anaerobic lagoon</v>
      </c>
      <c r="F154" s="55">
        <f>$E$125</f>
        <v>3.2947797442559996E-3</v>
      </c>
      <c r="G154" s="55">
        <f>$F$125</f>
        <v>3.4215020421119995E-3</v>
      </c>
      <c r="H154" s="55">
        <f>$G$125</f>
        <v>2.5978071060479987E-3</v>
      </c>
      <c r="I154" s="2"/>
      <c r="M154" s="55">
        <v>3</v>
      </c>
      <c r="N154" s="55" t="str">
        <f>'Input - Feedlot'!$D$38</f>
        <v>Anaerobic lagoon</v>
      </c>
      <c r="O154" s="55">
        <f>$N$125</f>
        <v>3.2947797442559996E-3</v>
      </c>
      <c r="P154" s="55">
        <f>$O$125</f>
        <v>3.4215020421119995E-3</v>
      </c>
      <c r="Q154" s="55">
        <f>$P$125</f>
        <v>2.5978071060479987E-3</v>
      </c>
      <c r="R154" s="2"/>
    </row>
    <row r="155" spans="4:18" ht="20.100000000000001" customHeight="1" x14ac:dyDescent="0.25"/>
    <row r="156" spans="4:18" ht="20.100000000000001" customHeight="1" x14ac:dyDescent="0.25">
      <c r="D156" s="104" t="s">
        <v>120</v>
      </c>
    </row>
    <row r="157" spans="4:18" ht="20.100000000000001" customHeight="1" x14ac:dyDescent="0.25">
      <c r="D157" s="103" t="s">
        <v>121</v>
      </c>
    </row>
    <row r="158" spans="4:18" ht="20.100000000000001" customHeight="1" x14ac:dyDescent="0.25">
      <c r="D158" s="41" t="s">
        <v>135</v>
      </c>
      <c r="E158" s="41" t="s">
        <v>136</v>
      </c>
      <c r="F158" s="41" t="s">
        <v>137</v>
      </c>
    </row>
    <row r="159" spans="4:18" ht="20.100000000000001" customHeight="1" x14ac:dyDescent="0.25">
      <c r="D159" s="107">
        <f>'Input - Feedlot'!$E$8</f>
        <v>1000</v>
      </c>
      <c r="E159" s="107">
        <f>'Input - Feedlot'!$F$8</f>
        <v>1000</v>
      </c>
      <c r="F159" s="107">
        <f>'Input - Feedlot'!$G$8</f>
        <v>1000</v>
      </c>
      <c r="G159" s="2" t="str">
        <f>G140</f>
        <v>head</v>
      </c>
    </row>
    <row r="160" spans="4:18" ht="20.100000000000001" customHeight="1" x14ac:dyDescent="0.25"/>
    <row r="161" spans="4:18" ht="20.100000000000001" customHeight="1" x14ac:dyDescent="0.25">
      <c r="D161" s="104" t="s">
        <v>125</v>
      </c>
      <c r="M161" s="104" t="s">
        <v>125</v>
      </c>
    </row>
    <row r="162" spans="4:18" ht="20.100000000000001" customHeight="1" x14ac:dyDescent="0.25">
      <c r="D162" s="103" t="s">
        <v>126</v>
      </c>
      <c r="M162" s="103" t="s">
        <v>126</v>
      </c>
    </row>
    <row r="163" spans="4:18" ht="20.100000000000001" customHeight="1" x14ac:dyDescent="0.25">
      <c r="D163" s="54" t="s">
        <v>123</v>
      </c>
      <c r="E163" s="54" t="s">
        <v>66</v>
      </c>
      <c r="F163" s="54" t="s">
        <v>135</v>
      </c>
      <c r="G163" s="54" t="s">
        <v>136</v>
      </c>
      <c r="H163" s="54" t="s">
        <v>137</v>
      </c>
      <c r="M163" s="54" t="s">
        <v>123</v>
      </c>
      <c r="N163" s="54" t="s">
        <v>66</v>
      </c>
      <c r="O163" s="54" t="s">
        <v>135</v>
      </c>
      <c r="P163" s="54" t="s">
        <v>136</v>
      </c>
      <c r="Q163" s="54" t="s">
        <v>137</v>
      </c>
    </row>
    <row r="164" spans="4:18" ht="20.100000000000001" customHeight="1" x14ac:dyDescent="0.25">
      <c r="D164" s="55">
        <v>1</v>
      </c>
      <c r="E164" s="55" t="str">
        <f>'Input - Feedlot'!$D$28</f>
        <v>Drylot (feed pad)</v>
      </c>
      <c r="F164" s="55" cm="1">
        <f t="array" ref="F164">MMS_Feedlot_Methane_Equations.VEERG_4_1_1_1__1_TotalAnnualMethaneEmissions(D$145, F150, D$159)</f>
        <v>0.19255206297599997</v>
      </c>
      <c r="G164" s="55" cm="1">
        <f t="array" ref="G164">MMS_Feedlot_Methane_Equations.VEERG_4_1_1_1__1_TotalAnnualMethaneEmissions(E$145, G150, E$159)</f>
        <v>0.31104564019199998</v>
      </c>
      <c r="H164" s="55" cm="1">
        <f t="array" ref="H164">MMS_Feedlot_Methane_Equations.VEERG_4_1_1_1__1_TotalAnnualMethaneEmissions(F$145, H150, F$159)</f>
        <v>0.42172193279999981</v>
      </c>
      <c r="I164" s="2" t="str">
        <f>$E$136</f>
        <v>t CH4</v>
      </c>
      <c r="M164" s="55">
        <v>1</v>
      </c>
      <c r="N164" s="55" t="str">
        <f>'Input - Feedlot'!$D$28</f>
        <v>Drylot (feed pad)</v>
      </c>
      <c r="O164" s="55" cm="1">
        <f t="array" ref="O164">MMS_Feedlot_Methane_Equations.VEERG_4_1_1_1__1_TotalAnnualMethaneEmissions(D$145, O150, D$159)</f>
        <v>0.19255206297599997</v>
      </c>
      <c r="P164" s="55" cm="1">
        <f t="array" ref="P164">MMS_Feedlot_Methane_Equations.VEERG_4_1_1_1__1_TotalAnnualMethaneEmissions(E$145, P150, E$159)</f>
        <v>0.31104564019199998</v>
      </c>
      <c r="Q164" s="55" cm="1">
        <f t="array" ref="Q164">MMS_Feedlot_Methane_Equations.VEERG_4_1_1_1__1_TotalAnnualMethaneEmissions(F$145, Q150, F$159)</f>
        <v>0.42172193279999981</v>
      </c>
      <c r="R164" s="2" t="str">
        <f>$E$136</f>
        <v>t CH4</v>
      </c>
    </row>
    <row r="165" spans="4:18" ht="20.100000000000001" customHeight="1" x14ac:dyDescent="0.25">
      <c r="D165" s="55">
        <v>2</v>
      </c>
      <c r="E165" s="55" t="str">
        <f>'Input - Feedlot'!$D$32</f>
        <v>Solid storage</v>
      </c>
      <c r="F165" s="55" cm="1">
        <f t="array" ref="F165">MMS_Feedlot_Methane_Equations.VEERG_4_1_1_1__1_TotalAnnualMethaneEmissions(D$145, F151, D$159)</f>
        <v>3.8510412595199994E-2</v>
      </c>
      <c r="G165" s="55" cm="1">
        <f t="array" ref="G165">MMS_Feedlot_Methane_Equations.VEERG_4_1_1_1__1_TotalAnnualMethaneEmissions(E$145, G151, E$159)</f>
        <v>6.2209128038399987E-2</v>
      </c>
      <c r="H165" s="55" cm="1">
        <f t="array" ref="H165">MMS_Feedlot_Methane_Equations.VEERG_4_1_1_1__1_TotalAnnualMethaneEmissions(F$145, H151, F$159)</f>
        <v>8.4344386559999998E-2</v>
      </c>
      <c r="I165" s="2"/>
      <c r="M165" s="55">
        <v>2</v>
      </c>
      <c r="N165" s="55" t="str">
        <f>'Input - Feedlot'!$D$32</f>
        <v>Solid storage</v>
      </c>
      <c r="O165" s="55" cm="1">
        <f t="array" ref="O165">MMS_Feedlot_Methane_Equations.VEERG_4_1_1_1__1_TotalAnnualMethaneEmissions(D$145, O151, D$159)</f>
        <v>3.8510412595199994E-2</v>
      </c>
      <c r="P165" s="55" cm="1">
        <f t="array" ref="P165">MMS_Feedlot_Methane_Equations.VEERG_4_1_1_1__1_TotalAnnualMethaneEmissions(E$145, P151, E$159)</f>
        <v>6.2209128038399987E-2</v>
      </c>
      <c r="Q165" s="55" cm="1">
        <f t="array" ref="Q165">MMS_Feedlot_Methane_Equations.VEERG_4_1_1_1__1_TotalAnnualMethaneEmissions(F$145, Q151, F$159)</f>
        <v>8.4344386559999998E-2</v>
      </c>
      <c r="R165" s="2"/>
    </row>
    <row r="166" spans="4:18" ht="20.100000000000001" customHeight="1" x14ac:dyDescent="0.25">
      <c r="D166" s="55">
        <v>2</v>
      </c>
      <c r="E166" s="55" t="str">
        <f>'Input - Feedlot'!$D$33</f>
        <v>Composting (passive windrow)</v>
      </c>
      <c r="F166" s="55" cm="1">
        <f t="array" ref="F166">MMS_Feedlot_Methane_Equations.VEERG_4_1_1_1__1_TotalAnnualMethaneEmissions(D$145, F152, D$159)</f>
        <v>1.9255206297599997E-2</v>
      </c>
      <c r="G166" s="55" cm="1">
        <f t="array" ref="G166">MMS_Feedlot_Methane_Equations.VEERG_4_1_1_1__1_TotalAnnualMethaneEmissions(E$145, G152, E$159)</f>
        <v>3.1104564019199994E-2</v>
      </c>
      <c r="H166" s="55" cm="1">
        <f t="array" ref="H166">MMS_Feedlot_Methane_Equations.VEERG_4_1_1_1__1_TotalAnnualMethaneEmissions(F$145, H152, F$159)</f>
        <v>4.2172193279999999E-2</v>
      </c>
      <c r="I166" s="2"/>
      <c r="M166" s="55">
        <v>2</v>
      </c>
      <c r="N166" s="55" t="str">
        <f>'Input - Feedlot'!$D$33</f>
        <v>Composting (passive windrow)</v>
      </c>
      <c r="O166" s="55" cm="1">
        <f t="array" ref="O166">MMS_Feedlot_Methane_Equations.VEERG_4_1_1_1__1_TotalAnnualMethaneEmissions(D$145, O152, D$159)</f>
        <v>1.9255206297599997E-2</v>
      </c>
      <c r="P166" s="55" cm="1">
        <f t="array" ref="P166">MMS_Feedlot_Methane_Equations.VEERG_4_1_1_1__1_TotalAnnualMethaneEmissions(E$145, P152, E$159)</f>
        <v>3.1104564019199994E-2</v>
      </c>
      <c r="Q166" s="55" cm="1">
        <f t="array" ref="Q166">MMS_Feedlot_Methane_Equations.VEERG_4_1_1_1__1_TotalAnnualMethaneEmissions(F$145, Q152, F$159)</f>
        <v>4.2172193279999999E-2</v>
      </c>
      <c r="R166" s="2"/>
    </row>
    <row r="167" spans="4:18" ht="20.100000000000001" customHeight="1" x14ac:dyDescent="0.25">
      <c r="D167" s="55">
        <v>2</v>
      </c>
      <c r="E167" s="55" t="str">
        <f>'Input - Feedlot'!$D$34</f>
        <v>Direct application</v>
      </c>
      <c r="F167" s="55" cm="1">
        <f t="array" ref="F167">MMS_Feedlot_Methane_Equations.VEERG_4_1_1_1__1_TotalAnnualMethaneEmissions(D$145, F153, D$159)</f>
        <v>0</v>
      </c>
      <c r="G167" s="55" cm="1">
        <f t="array" ref="G167">MMS_Feedlot_Methane_Equations.VEERG_4_1_1_1__1_TotalAnnualMethaneEmissions(E$145, G153, E$159)</f>
        <v>0</v>
      </c>
      <c r="H167" s="55" cm="1">
        <f t="array" ref="H167">MMS_Feedlot_Methane_Equations.VEERG_4_1_1_1__1_TotalAnnualMethaneEmissions(F$145, H153, F$159)</f>
        <v>0</v>
      </c>
      <c r="I167" s="2"/>
      <c r="M167" s="55">
        <v>2</v>
      </c>
      <c r="N167" s="55" t="str">
        <f>'Input - Feedlot'!$D$34</f>
        <v>Direct application</v>
      </c>
      <c r="O167" s="55" cm="1">
        <f t="array" ref="O167">MMS_Feedlot_Methane_Equations.VEERG_4_1_1_1__1_TotalAnnualMethaneEmissions(D$145, O153, D$159)</f>
        <v>0</v>
      </c>
      <c r="P167" s="55" cm="1">
        <f t="array" ref="P167">MMS_Feedlot_Methane_Equations.VEERG_4_1_1_1__1_TotalAnnualMethaneEmissions(E$145, P153, E$159)</f>
        <v>0</v>
      </c>
      <c r="Q167" s="55" cm="1">
        <f t="array" ref="Q167">MMS_Feedlot_Methane_Equations.VEERG_4_1_1_1__1_TotalAnnualMethaneEmissions(F$145, Q153, F$159)</f>
        <v>0</v>
      </c>
      <c r="R167" s="2"/>
    </row>
    <row r="168" spans="4:18" ht="20.100000000000001" customHeight="1" x14ac:dyDescent="0.25">
      <c r="D168" s="55">
        <v>3</v>
      </c>
      <c r="E168" s="55" t="str">
        <f>'Input - Feedlot'!$D$38</f>
        <v>Anaerobic lagoon</v>
      </c>
      <c r="F168" s="55" cm="1">
        <f t="array" ref="F168">MMS_Feedlot_Methane_Equations.VEERG_4_1_1_1__1_TotalAnnualMethaneEmissions(D$145, F154, D$159)</f>
        <v>0.29653017698303996</v>
      </c>
      <c r="G168" s="55" cm="1">
        <f t="array" ref="G168">MMS_Feedlot_Methane_Equations.VEERG_4_1_1_1__1_TotalAnnualMethaneEmissions(E$145, G154, E$159)</f>
        <v>0.47901028589567995</v>
      </c>
      <c r="H168" s="55" cm="1">
        <f t="array" ref="H168">MMS_Feedlot_Methane_Equations.VEERG_4_1_1_1__1_TotalAnnualMethaneEmissions(F$145, H154, F$159)</f>
        <v>0.6494517765119997</v>
      </c>
      <c r="I168" s="2"/>
      <c r="M168" s="55">
        <v>3</v>
      </c>
      <c r="N168" s="55" t="str">
        <f>'Input - Feedlot'!$D$38</f>
        <v>Anaerobic lagoon</v>
      </c>
      <c r="O168" s="55" cm="1">
        <f t="array" ref="O168">MMS_Feedlot_Methane_Equations.VEERG_4_1_1_1__1_TotalAnnualMethaneEmissions(D$145, O154, D$159)</f>
        <v>0.29653017698303996</v>
      </c>
      <c r="P168" s="55" cm="1">
        <f t="array" ref="P168">MMS_Feedlot_Methane_Equations.VEERG_4_1_1_1__1_TotalAnnualMethaneEmissions(E$145, P154, E$159)</f>
        <v>0.47901028589567995</v>
      </c>
      <c r="Q168" s="55" cm="1">
        <f t="array" ref="Q168">MMS_Feedlot_Methane_Equations.VEERG_4_1_1_1__1_TotalAnnualMethaneEmissions(F$145, Q154, F$159)</f>
        <v>0.6494517765119997</v>
      </c>
      <c r="R168" s="2"/>
    </row>
    <row r="169" spans="4:18" ht="20.100000000000001" customHeight="1" x14ac:dyDescent="0.25"/>
    <row r="170" spans="4:18" ht="20.100000000000001" customHeight="1" x14ac:dyDescent="0.25"/>
    <row r="171" spans="4:18" ht="20.100000000000001" customHeight="1" x14ac:dyDescent="0.25">
      <c r="D171" s="108" t="s">
        <v>220</v>
      </c>
      <c r="E171" s="109">
        <f>SUM(F164:H168)</f>
        <v>2.6279077661491193</v>
      </c>
      <c r="F171" s="110" t="str">
        <f>$E$136</f>
        <v>t CH4</v>
      </c>
      <c r="M171" s="108" t="s">
        <v>221</v>
      </c>
      <c r="N171" s="109">
        <f>SUM(O164:Q168)</f>
        <v>2.6279077661491193</v>
      </c>
      <c r="O171" s="110" t="str">
        <f>$E$136</f>
        <v>t CH4</v>
      </c>
    </row>
    <row r="172" spans="4:18" ht="20.100000000000001" customHeight="1" x14ac:dyDescent="0.25"/>
    <row r="173" spans="4:18" ht="20.100000000000001" customHeight="1" x14ac:dyDescent="0.25">
      <c r="D173" s="60" t="str" cm="1">
        <f t="array" ref="D173:E174">Common_Equations.Common_ConvertCH4ToCO2e_Arguments()</f>
        <v>ECH4</v>
      </c>
      <c r="E173" s="61" t="str">
        <v>Methane emissions (t CH4)</v>
      </c>
      <c r="F173" s="111"/>
      <c r="G173" s="55">
        <f>E171</f>
        <v>2.6279077661491193</v>
      </c>
      <c r="H173" s="2" t="str">
        <f>$E$136</f>
        <v>t CH4</v>
      </c>
      <c r="M173" s="60" t="str" cm="1">
        <f t="array" ref="M173:N174">Common_Equations.Common_ConvertCH4ToCO2e_Arguments()</f>
        <v>ECH4</v>
      </c>
      <c r="N173" s="61" t="str">
        <v>Methane emissions (t CH4)</v>
      </c>
      <c r="O173" s="111"/>
      <c r="P173" s="55">
        <f>N171</f>
        <v>2.6279077661491193</v>
      </c>
      <c r="Q173" s="2" t="str">
        <f>$E$136</f>
        <v>t CH4</v>
      </c>
    </row>
    <row r="174" spans="4:18" ht="20.100000000000001" customHeight="1" x14ac:dyDescent="0.25">
      <c r="D174" s="60" t="str">
        <v>GWPCH4</v>
      </c>
      <c r="E174" s="61" t="str">
        <v>Global warming potential for methane (t CO2-e / t CH4)</v>
      </c>
      <c r="F174" s="111"/>
      <c r="G174" s="55">
        <f>Common_InputFunctions.Utility_LookupValueInTableNumber("CH4",Table_GWPData[Gas],Table_GWPData[CO2-e factor])</f>
        <v>28</v>
      </c>
      <c r="M174" s="60" t="str">
        <v>GWPCH4</v>
      </c>
      <c r="N174" s="61" t="str">
        <v>Global warming potential for methane (t CO2-e / t CH4)</v>
      </c>
      <c r="O174" s="111"/>
      <c r="P174" s="55">
        <f>Common_InputFunctions.Utility_LookupValueInTableNumber("CH4",Table_GWPData[Gas],Table_GWPData[CO2-e factor])</f>
        <v>28</v>
      </c>
    </row>
    <row r="175" spans="4:18" ht="20.100000000000001" customHeight="1" x14ac:dyDescent="0.25"/>
    <row r="176" spans="4:18" ht="20.100000000000001" customHeight="1" x14ac:dyDescent="0.25">
      <c r="D176" s="48" t="s">
        <v>222</v>
      </c>
      <c r="E176" s="48" cm="1">
        <f t="array" ref="E176">Common_Equations.Common_ConvertCH4ToCO2e(G173,G174)</f>
        <v>73.581417452175344</v>
      </c>
      <c r="F176" s="112" t="str" cm="1">
        <f t="array" ref="F176">Common_Equations.Common_ConvertN2OToCO2e_Unit()</f>
        <v>t CO2e</v>
      </c>
      <c r="M176" s="48" t="s">
        <v>223</v>
      </c>
      <c r="N176" s="48" cm="1">
        <f t="array" ref="N176">Common_Equations.Common_ConvertCH4ToCO2e(P173,P174)</f>
        <v>73.581417452175344</v>
      </c>
      <c r="O176" s="112" t="str" cm="1">
        <f t="array" ref="O176">Common_Equations.Common_ConvertN2OToCO2e_Unit()</f>
        <v>t CO2e</v>
      </c>
    </row>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52:G52 E57:G57 E120:G120 E125:G125 D145:F145 D159:F159 N57:P57 N125:P125"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T217"/>
  <sheetViews>
    <sheetView showGridLines="0" topLeftCell="A196" zoomScaleNormal="100" workbookViewId="0">
      <selection activeCell="D30" sqref="D3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19" width="30.7109375" style="1" customWidth="1"/>
    <col min="20" max="20" width="4.7109375" style="1" customWidth="1"/>
  </cols>
  <sheetData>
    <row r="1" spans="1:20" s="8" customFormat="1" ht="30" customHeight="1" x14ac:dyDescent="0.35">
      <c r="A1" s="70" t="e" vm="1">
        <v>#VALUE!</v>
      </c>
      <c r="C1" s="8" t="s">
        <v>257</v>
      </c>
    </row>
    <row r="2" spans="1:20" s="9" customFormat="1" ht="20.100000000000001" customHeight="1" x14ac:dyDescent="0.25"/>
    <row r="3" spans="1:20" ht="20.100000000000001" customHeight="1" x14ac:dyDescent="0.25">
      <c r="A3" s="17" t="str">
        <f>HYPERLINK("#'Home'!A1", "Home")</f>
        <v>Home</v>
      </c>
      <c r="C3" s="4"/>
      <c r="D3" s="4" t="s">
        <v>156</v>
      </c>
      <c r="E3" s="4"/>
      <c r="F3" s="4"/>
      <c r="G3" s="4"/>
      <c r="H3" s="4"/>
      <c r="I3" s="4"/>
      <c r="J3" s="4"/>
      <c r="K3" s="4"/>
      <c r="L3" s="4"/>
      <c r="N3" s="4"/>
      <c r="O3" s="4" t="s">
        <v>157</v>
      </c>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MMS_Feedlot_N2ODirect_Equations.VEERG_4_1_1_3__5_NitrogenIntake_Title()</f>
        <v>Nitrogen intake of feedlot cattle</v>
      </c>
    </row>
    <row r="6" spans="1:20" ht="20.100000000000001" customHeight="1" x14ac:dyDescent="0.25">
      <c r="A6" s="16"/>
      <c r="D6" s="5" t="str" cm="1">
        <f t="array" ref="D6">MMS_Feedlot_N2ODirect_Equations.VEERG_4_1_1_3__5_NitrogenIntake_Source()</f>
        <v>VEERG 2026: 4.1.1.3, Equation (5)</v>
      </c>
    </row>
    <row r="7" spans="1:20" ht="20.100000000000001" customHeight="1" x14ac:dyDescent="0.25">
      <c r="A7" s="20" t="s">
        <v>3</v>
      </c>
      <c r="D7" s="13" t="s">
        <v>127</v>
      </c>
      <c r="E7" s="13" t="str" cm="1">
        <f t="array" aca="1" ref="E7" ca="1">Common_InputFunctions.Utility_DisplayFunctionName(D30)</f>
        <v>=MMS_Feedlot_N2ODirect_Equations.VEERG_4_1_1_3__5_NitrogenIntake</v>
      </c>
    </row>
    <row r="8" spans="1:20" ht="20.100000000000001" customHeight="1" x14ac:dyDescent="0.25">
      <c r="A8" s="17" t="str">
        <f>HYPERLINK("#'Input - Site'!A1", "Site")</f>
        <v>Site</v>
      </c>
    </row>
    <row r="9" spans="1:20" ht="20.100000000000001" customHeight="1" x14ac:dyDescent="0.25">
      <c r="A9" s="17" t="str">
        <f>HYPERLINK("#'Input - Feedlot'!A1", "Feedlot")</f>
        <v>Feedlot</v>
      </c>
    </row>
    <row r="10" spans="1:20" ht="20.100000000000001" customHeight="1" x14ac:dyDescent="0.25">
      <c r="A10" s="17"/>
      <c r="D10" s="56" t="s">
        <v>28</v>
      </c>
      <c r="E10" s="1" t="str" cm="1">
        <f t="array" ref="E10">MMS_Feedlot_N2ODirect_Equations.VEERG_4_1_1_3__5_NitrogenIntake_Variable()</f>
        <v>NI_j</v>
      </c>
    </row>
    <row r="11" spans="1:20" ht="20.100000000000001" customHeight="1" x14ac:dyDescent="0.25">
      <c r="A11" s="19" t="s">
        <v>74</v>
      </c>
      <c r="D11" s="56" t="s">
        <v>18</v>
      </c>
      <c r="E11" s="57" t="str" cm="1">
        <f t="array" ref="E11">MMS_Feedlot_N2ODirect_Equations.VEERG_4_1_1_3__5_NitrogenIntake_Unit()</f>
        <v>kg N/head/day</v>
      </c>
    </row>
    <row r="12" spans="1:20" ht="20.100000000000001" customHeight="1" x14ac:dyDescent="0.25">
      <c r="A12" s="17" t="str">
        <f>HYPERLINK("#'4.1.1.1-2 Methane'!A1", "4.1.1.1-2 Methane")</f>
        <v>4.1.1.1-2 Methane</v>
      </c>
    </row>
    <row r="13" spans="1:20" ht="20.100000000000001" customHeight="1" x14ac:dyDescent="0.25">
      <c r="A13" s="22" t="str">
        <f>HYPERLINK("#'4.1.1.3-4 Direct N20'!A1", "4.1.1.3-4 Direct N2O")</f>
        <v>4.1.1.3-4 Direct N2O</v>
      </c>
      <c r="D13" s="138" t="str" cm="1">
        <f t="array" ref="D13:E15">_xlfn.CHOOSECOLS(MMS_Feedlot_N2ODirect_Equations.VEERG_4_1_1_3__5_NitrogenIntake_Arguments(),1,2)</f>
        <v>I_j</v>
      </c>
      <c r="E13" s="141" t="str">
        <v>dry matter intake</v>
      </c>
      <c r="F13" s="140"/>
      <c r="G13" s="138" t="str" cm="1">
        <f t="array" ref="G13:H15">_xlfn.CHOOSECOLS(MMS_Feedlot_N2ODirect_Equations.VEERG_4_1_1_3__5_NitrogenIntake_Arguments(),3,4)</f>
        <v>kg DM/head/day</v>
      </c>
      <c r="H13" s="129" t="str">
        <v>Input</v>
      </c>
      <c r="I13" s="139" t="str" cm="1">
        <f t="array" aca="1" ref="I13" ca="1">HYPERLINK(Common_InputFunctions.Utility_SourceHyperlink($D$17),$D$17)</f>
        <v>M1_Table_I_j</v>
      </c>
    </row>
    <row r="14" spans="1:20" ht="20.100000000000001" customHeight="1" x14ac:dyDescent="0.25">
      <c r="A14" s="17" t="str">
        <f>HYPERLINK("#'4.1.1.5-6 Atmos Deposition'!A1", "4.1.1.5-6 Atmospheric deposition")</f>
        <v>4.1.1.5-6 Atmospheric deposition</v>
      </c>
      <c r="D14" s="138" t="str">
        <v>CP_j</v>
      </c>
      <c r="E14" s="141" t="str">
        <v>crude protein content of feed</v>
      </c>
      <c r="F14" s="140"/>
      <c r="G14" s="138" t="str">
        <v>fraction</v>
      </c>
      <c r="H14" s="129" t="str">
        <v>Input</v>
      </c>
      <c r="I14" s="139" t="str" cm="1">
        <f t="array" aca="1" ref="I14" ca="1">HYPERLINK(Common_InputFunctions.Utility_SourceHyperlink($D$22),$D$22)</f>
        <v>M1_Table_CP_j</v>
      </c>
    </row>
    <row r="15" spans="1:20" ht="20.100000000000001" customHeight="1" x14ac:dyDescent="0.25">
      <c r="A15" s="17" t="str">
        <f>HYPERLINK("#'4.1.1.9 Manure applied to soils'!A1", "4.1.1.9 Manure applied to soils")</f>
        <v>4.1.1.9 Manure applied to soils</v>
      </c>
      <c r="D15" s="138" t="str">
        <v>6.25</v>
      </c>
      <c r="E15" s="141" t="str">
        <v>factor for converting crude protein into nitrogen</v>
      </c>
      <c r="F15" s="140"/>
      <c r="G15" s="138" t="str">
        <v>ratio</v>
      </c>
      <c r="H15" s="130" t="str">
        <v>Constant</v>
      </c>
      <c r="I15" s="138" t="str">
        <f>D15</f>
        <v>6.25</v>
      </c>
    </row>
    <row r="16" spans="1:20" ht="20.100000000000001" customHeight="1" x14ac:dyDescent="0.25"/>
    <row r="17" spans="1:19" ht="20.100000000000001" customHeight="1" x14ac:dyDescent="0.25">
      <c r="A17" s="18" t="s">
        <v>4</v>
      </c>
      <c r="D17" s="104" t="s">
        <v>146</v>
      </c>
      <c r="O17" s="104" t="s">
        <v>149</v>
      </c>
    </row>
    <row r="18" spans="1:19" ht="20.100000000000001" customHeight="1" x14ac:dyDescent="0.25">
      <c r="A18" s="17" t="str">
        <f>HYPERLINK("#'Constants - Feedlot'!A1", "Constants - Feedlot")</f>
        <v>Constants - Feedlot</v>
      </c>
      <c r="D18" s="103" t="s">
        <v>193</v>
      </c>
      <c r="O18" s="103" t="s">
        <v>194</v>
      </c>
    </row>
    <row r="19" spans="1:19" ht="20.100000000000001" customHeight="1" x14ac:dyDescent="0.25">
      <c r="A19" s="17" t="str">
        <f>HYPERLINK("#'Constants - Livestock'!A1", "Constants - Livestock")</f>
        <v>Constants - Livestock</v>
      </c>
      <c r="D19" s="41" t="s">
        <v>135</v>
      </c>
      <c r="E19" s="41" t="s">
        <v>136</v>
      </c>
      <c r="F19" s="41" t="s">
        <v>137</v>
      </c>
      <c r="O19" s="41" t="s">
        <v>135</v>
      </c>
      <c r="P19" s="41" t="s">
        <v>136</v>
      </c>
      <c r="Q19" s="41" t="s">
        <v>137</v>
      </c>
    </row>
    <row r="20" spans="1:19"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101</v>
      </c>
      <c r="H20" s="2"/>
      <c r="I20" s="2"/>
      <c r="J20" s="2"/>
      <c r="K20" s="2"/>
      <c r="O20" s="55">
        <f>'Input - Feedlot'!$E$20</f>
        <v>10.4</v>
      </c>
      <c r="P20" s="55">
        <f>'Input - Feedlot'!$F$20</f>
        <v>10.8</v>
      </c>
      <c r="Q20" s="55">
        <f>'Input - Feedlot'!$G$20</f>
        <v>8.1999999999999993</v>
      </c>
      <c r="R20" s="2" t="s">
        <v>101</v>
      </c>
      <c r="S20" s="2"/>
    </row>
    <row r="21" spans="1:19" ht="20.100000000000001" customHeight="1" x14ac:dyDescent="0.25">
      <c r="A21" s="17" t="str">
        <f>HYPERLINK("#'Acknowledgements'!A1", "Acknowledgements")</f>
        <v>Acknowledgements</v>
      </c>
    </row>
    <row r="22" spans="1:19" ht="20.100000000000001" customHeight="1" x14ac:dyDescent="0.25">
      <c r="D22" s="104" t="s">
        <v>147</v>
      </c>
      <c r="O22" s="104" t="s">
        <v>150</v>
      </c>
    </row>
    <row r="23" spans="1:19" ht="20.100000000000001" customHeight="1" x14ac:dyDescent="0.25">
      <c r="D23" s="103" t="s">
        <v>192</v>
      </c>
      <c r="O23" s="103" t="s">
        <v>195</v>
      </c>
    </row>
    <row r="24" spans="1:19" ht="20.100000000000001" customHeight="1" x14ac:dyDescent="0.25">
      <c r="A24" s="17"/>
      <c r="D24" s="41" t="s">
        <v>135</v>
      </c>
      <c r="E24" s="41" t="s">
        <v>136</v>
      </c>
      <c r="F24" s="41" t="s">
        <v>137</v>
      </c>
      <c r="O24" s="41" t="s">
        <v>135</v>
      </c>
      <c r="P24" s="41" t="s">
        <v>136</v>
      </c>
      <c r="Q24" s="41" t="s">
        <v>137</v>
      </c>
    </row>
    <row r="25" spans="1:19" ht="20.100000000000001" customHeight="1" x14ac:dyDescent="0.25">
      <c r="A25" s="17"/>
      <c r="D25" s="55">
        <f>'Input - Feedlot'!$E$16</f>
        <v>0.14000000000000001</v>
      </c>
      <c r="E25" s="55">
        <f>'Input - Feedlot'!$F$16</f>
        <v>0.12</v>
      </c>
      <c r="F25" s="55">
        <f>'Input - Feedlot'!$G$16</f>
        <v>0.12</v>
      </c>
      <c r="G25" s="2" t="s">
        <v>322</v>
      </c>
      <c r="H25" s="2"/>
      <c r="I25" s="2"/>
      <c r="J25" s="2"/>
      <c r="K25" s="2"/>
      <c r="O25" s="55">
        <f>'Input - Feedlot'!$E$22</f>
        <v>0.14000000000000001</v>
      </c>
      <c r="P25" s="55">
        <f>'Input - Feedlot'!$F$22</f>
        <v>0.12</v>
      </c>
      <c r="Q25" s="55">
        <f>'Input - Feedlot'!$G$22</f>
        <v>0.12</v>
      </c>
      <c r="R25" s="2" t="s">
        <v>322</v>
      </c>
      <c r="S25" s="2"/>
    </row>
    <row r="26" spans="1:19" ht="20.100000000000001" customHeight="1" x14ac:dyDescent="0.25"/>
    <row r="27" spans="1:19" ht="20.100000000000001" customHeight="1" x14ac:dyDescent="0.25">
      <c r="D27" s="104" t="s">
        <v>148</v>
      </c>
      <c r="O27" s="104" t="s">
        <v>151</v>
      </c>
    </row>
    <row r="28" spans="1:19" ht="20.100000000000001" customHeight="1" x14ac:dyDescent="0.25">
      <c r="D28" s="103" t="s">
        <v>191</v>
      </c>
      <c r="O28" s="103" t="s">
        <v>196</v>
      </c>
    </row>
    <row r="29" spans="1:19" ht="20.100000000000001" customHeight="1" x14ac:dyDescent="0.25">
      <c r="D29" s="54" t="s">
        <v>135</v>
      </c>
      <c r="E29" s="54" t="s">
        <v>136</v>
      </c>
      <c r="F29" s="54" t="s">
        <v>137</v>
      </c>
      <c r="O29" s="54" t="s">
        <v>135</v>
      </c>
      <c r="P29" s="54" t="s">
        <v>136</v>
      </c>
      <c r="Q29" s="54" t="s">
        <v>137</v>
      </c>
    </row>
    <row r="30" spans="1:19" ht="20.100000000000001" customHeight="1" x14ac:dyDescent="0.25">
      <c r="D30" s="55" cm="1">
        <f t="array" ref="D30">MMS_Feedlot_N2ODirect_Equations.VEERG_4_1_1_3__5_NitrogenIntake(D20,D25)</f>
        <v>0.23296000000000003</v>
      </c>
      <c r="E30" s="55" cm="1">
        <f t="array" ref="E30">MMS_Feedlot_N2ODirect_Equations.VEERG_4_1_1_3__5_NitrogenIntake(E20,E25)</f>
        <v>0.20736000000000002</v>
      </c>
      <c r="F30" s="55" cm="1">
        <f t="array" ref="F30">MMS_Feedlot_N2ODirect_Equations.VEERG_4_1_1_3__5_NitrogenIntake(F20,F25)</f>
        <v>0.15743999999999997</v>
      </c>
      <c r="G30" s="2" t="str">
        <f>$E$11</f>
        <v>kg N/head/day</v>
      </c>
      <c r="H30" s="2"/>
      <c r="I30" s="2"/>
      <c r="J30" s="2"/>
      <c r="K30" s="2"/>
      <c r="O30" s="55" cm="1">
        <f t="array" ref="O30">MMS_Feedlot_N2ODirect_Equations.VEERG_4_1_1_3__5_NitrogenIntake(O20,O25)</f>
        <v>0.23296000000000003</v>
      </c>
      <c r="P30" s="55" cm="1">
        <f t="array" ref="P30">MMS_Feedlot_N2ODirect_Equations.VEERG_4_1_1_3__5_NitrogenIntake(P20,P25)</f>
        <v>0.20736000000000002</v>
      </c>
      <c r="Q30" s="55" cm="1">
        <f t="array" ref="Q30">MMS_Feedlot_N2ODirect_Equations.VEERG_4_1_1_3__5_NitrogenIntake(Q20,Q25)</f>
        <v>0.15743999999999997</v>
      </c>
      <c r="R30" s="2" t="str">
        <f>$E$11</f>
        <v>kg N/head/day</v>
      </c>
      <c r="S30" s="2"/>
    </row>
    <row r="31" spans="1:19" ht="20.100000000000001" customHeight="1" x14ac:dyDescent="0.25"/>
    <row r="32" spans="1:19" ht="20.100000000000001" customHeight="1" x14ac:dyDescent="0.25"/>
    <row r="33" spans="3:20" ht="20.100000000000001" customHeight="1" x14ac:dyDescent="0.25">
      <c r="C33" s="48"/>
      <c r="D33" s="48"/>
      <c r="E33" s="48"/>
      <c r="F33" s="48"/>
      <c r="G33" s="48"/>
      <c r="H33" s="48"/>
      <c r="I33" s="48"/>
      <c r="J33" s="48"/>
      <c r="K33" s="48"/>
      <c r="L33" s="48"/>
      <c r="N33" s="48"/>
      <c r="O33" s="48"/>
      <c r="P33" s="48"/>
      <c r="Q33" s="48"/>
      <c r="R33" s="48"/>
      <c r="S33" s="48"/>
      <c r="T33" s="48"/>
    </row>
    <row r="34" spans="3:20" ht="20.100000000000001" customHeight="1" x14ac:dyDescent="0.25">
      <c r="D34" s="6" t="str" cm="1">
        <f t="array" ref="D34">MMS_Feedlot_N2ODirect_Equations.VEERG_4_1_1_3__4_NitrogenExcretionPerHead_Title()</f>
        <v>Nitrogen excretion per head per day</v>
      </c>
    </row>
    <row r="35" spans="3:20" ht="20.100000000000001" customHeight="1" x14ac:dyDescent="0.25">
      <c r="D35" s="5" t="str" cm="1">
        <f t="array" ref="D35">MMS_Feedlot_N2ODirect_Equations.VEERG_4_1_1_3__4_NitrogenExcretionPerHead_Source()</f>
        <v>VEERG 2026: 4.1.1.3, Equation (4)</v>
      </c>
    </row>
    <row r="36" spans="3:20" ht="20.100000000000001" customHeight="1" x14ac:dyDescent="0.25">
      <c r="D36" s="13" t="s">
        <v>25</v>
      </c>
      <c r="E36" s="13" t="str" cm="1">
        <f t="array" aca="1" ref="E36" ca="1">Common_InputFunctions.Utility_DisplayFunctionName(D54)</f>
        <v>=MMS_Feedlot_N2ODirect_Equations.VEERG_4_1_1_3__4_NitrogenExcretionPerHead</v>
      </c>
    </row>
    <row r="37" spans="3:20" ht="20.100000000000001" customHeight="1" x14ac:dyDescent="0.25"/>
    <row r="38" spans="3:20" ht="20.100000000000001" customHeight="1" x14ac:dyDescent="0.25">
      <c r="D38" s="6"/>
    </row>
    <row r="39" spans="3:20" ht="20.100000000000001" customHeight="1" x14ac:dyDescent="0.25"/>
    <row r="40" spans="3:20" ht="20.100000000000001" customHeight="1" x14ac:dyDescent="0.25">
      <c r="D40" s="56" t="s">
        <v>28</v>
      </c>
      <c r="E40" s="1" t="str" cm="1">
        <f t="array" ref="E40">MMS_Feedlot_N2ODirect_Equations.VEERG_4_1_1_3__4_NitrogenExcretionPerHead_Variable()</f>
        <v>NE_j</v>
      </c>
    </row>
    <row r="41" spans="3:20" ht="20.100000000000001" customHeight="1" x14ac:dyDescent="0.25">
      <c r="D41" s="56" t="s">
        <v>18</v>
      </c>
      <c r="E41" s="57" t="str" cm="1">
        <f t="array" ref="E41">MMS_Feedlot_N2ODirect_Equations.VEERG_4_1_1_3__4_NitrogenExcretionPerHead_Unit()</f>
        <v>kg N/head/day</v>
      </c>
    </row>
    <row r="42" spans="3:20" ht="20.100000000000001" customHeight="1" x14ac:dyDescent="0.25"/>
    <row r="43" spans="3:20" ht="20.100000000000001" customHeight="1" x14ac:dyDescent="0.25">
      <c r="D43" s="138" t="str" cm="1">
        <f t="array" ref="D43:E44">_xlfn.CHOOSECOLS(MMS_Feedlot_N2ODirect_Equations.VEERG_4_1_1_3__4_NitrogenExcretionPerHead_Arguments(),1,2)</f>
        <v>NI_j</v>
      </c>
      <c r="E43" s="141" t="str">
        <v>nitrogen intake</v>
      </c>
      <c r="F43" s="140"/>
      <c r="G43" s="138" t="str" cm="1">
        <f t="array" ref="G43:H44">_xlfn.CHOOSECOLS(MMS_Feedlot_N2ODirect_Equations.VEERG_4_1_1_3__4_NitrogenExcretionPerHead_Arguments(),3,4)</f>
        <v>kg N/head/day</v>
      </c>
      <c r="H43" s="130" t="str">
        <v>Calculated from 4.1.1.3 (5)</v>
      </c>
      <c r="I43" s="139" t="str" cm="1">
        <f t="array" aca="1" ref="I43" ca="1">HYPERLINK(Common_InputFunctions.Utility_SourceHyperlink($D$27),$D$27)</f>
        <v>M1_Table_NI_j</v>
      </c>
    </row>
    <row r="44" spans="3:20" ht="20.100000000000001" customHeight="1" x14ac:dyDescent="0.25">
      <c r="D44" s="138" t="str">
        <v>NR_j</v>
      </c>
      <c r="E44" s="141" t="str">
        <v>nitrogen retention expressed as a fraction of intake</v>
      </c>
      <c r="F44" s="140"/>
      <c r="G44" s="138" t="str">
        <v>fraction</v>
      </c>
      <c r="H44" s="129" t="str">
        <v>Input</v>
      </c>
      <c r="I44" s="139" t="str" cm="1">
        <f t="array" aca="1" ref="I44" ca="1">HYPERLINK(Common_InputFunctions.Utility_SourceHyperlink($D$46),$D$46)</f>
        <v>M1_Table_NR_j</v>
      </c>
    </row>
    <row r="45" spans="3:20" ht="20.100000000000001" customHeight="1" x14ac:dyDescent="0.25"/>
    <row r="46" spans="3:20" ht="20.100000000000001" customHeight="1" x14ac:dyDescent="0.25">
      <c r="D46" s="104" t="s">
        <v>152</v>
      </c>
      <c r="E46" s="2"/>
      <c r="F46" s="2"/>
      <c r="O46" s="104" t="s">
        <v>153</v>
      </c>
      <c r="P46" s="2"/>
      <c r="Q46" s="2"/>
    </row>
    <row r="47" spans="3:20" ht="20.100000000000001" customHeight="1" x14ac:dyDescent="0.25">
      <c r="D47" s="103" t="s">
        <v>189</v>
      </c>
      <c r="O47" s="103" t="s">
        <v>190</v>
      </c>
    </row>
    <row r="48" spans="3:20" ht="20.100000000000001" customHeight="1" x14ac:dyDescent="0.25">
      <c r="D48" s="41" t="s">
        <v>135</v>
      </c>
      <c r="E48" s="41" t="s">
        <v>136</v>
      </c>
      <c r="F48" s="41" t="s">
        <v>137</v>
      </c>
      <c r="O48" s="41" t="s">
        <v>135</v>
      </c>
      <c r="P48" s="41" t="s">
        <v>136</v>
      </c>
      <c r="Q48" s="41" t="s">
        <v>137</v>
      </c>
    </row>
    <row r="49" spans="3:20" ht="20.100000000000001" customHeight="1" x14ac:dyDescent="0.25">
      <c r="D49" s="55">
        <f>'Input - Feedlot'!$E$17/100</f>
        <v>0.20399999999999999</v>
      </c>
      <c r="E49" s="55">
        <f>'Input - Feedlot'!$F$17/100</f>
        <v>0.127</v>
      </c>
      <c r="F49" s="55">
        <f>'Input - Feedlot'!$G$17/100</f>
        <v>7.0000000000000007E-2</v>
      </c>
      <c r="G49" s="2" t="s">
        <v>158</v>
      </c>
      <c r="H49" s="2"/>
      <c r="I49" s="2"/>
      <c r="J49" s="2"/>
      <c r="K49" s="2"/>
      <c r="O49" s="55">
        <f>'Input - Feedlot'!$E$23/100</f>
        <v>0.20399999999999999</v>
      </c>
      <c r="P49" s="55">
        <f>'Input - Feedlot'!$F$23/100</f>
        <v>0.127</v>
      </c>
      <c r="Q49" s="55">
        <f>'Input - Feedlot'!$G$23/100</f>
        <v>7.0000000000000007E-2</v>
      </c>
      <c r="R49" s="2" t="s">
        <v>322</v>
      </c>
      <c r="S49" s="2"/>
    </row>
    <row r="50" spans="3:20" ht="20.100000000000001" customHeight="1" x14ac:dyDescent="0.25"/>
    <row r="51" spans="3:20" ht="20.100000000000001" customHeight="1" x14ac:dyDescent="0.25">
      <c r="D51" s="104" t="s">
        <v>154</v>
      </c>
      <c r="O51" s="104" t="s">
        <v>155</v>
      </c>
    </row>
    <row r="52" spans="3:20" ht="20.100000000000001" customHeight="1" x14ac:dyDescent="0.25">
      <c r="D52" s="103" t="s">
        <v>189</v>
      </c>
      <c r="O52" s="103" t="s">
        <v>190</v>
      </c>
    </row>
    <row r="53" spans="3:20" ht="20.100000000000001" customHeight="1" x14ac:dyDescent="0.25">
      <c r="D53" s="54" t="s">
        <v>135</v>
      </c>
      <c r="E53" s="54" t="s">
        <v>136</v>
      </c>
      <c r="F53" s="54" t="s">
        <v>137</v>
      </c>
      <c r="O53" s="54" t="s">
        <v>135</v>
      </c>
      <c r="P53" s="54" t="s">
        <v>136</v>
      </c>
      <c r="Q53" s="54" t="s">
        <v>137</v>
      </c>
    </row>
    <row r="54" spans="3:20" ht="20.100000000000001" customHeight="1" x14ac:dyDescent="0.25">
      <c r="D54" s="55" cm="1">
        <f t="array" ref="D54">MMS_Feedlot_N2ODirect_Equations.VEERG_4_1_1_3__4_NitrogenExcretionPerHead(D30,D49)</f>
        <v>0.18543616000000004</v>
      </c>
      <c r="E54" s="55" cm="1">
        <f t="array" ref="E54">MMS_Feedlot_N2ODirect_Equations.VEERG_4_1_1_3__4_NitrogenExcretionPerHead(E30,E49)</f>
        <v>0.18102528000000001</v>
      </c>
      <c r="F54" s="55" cm="1">
        <f t="array" ref="F54">MMS_Feedlot_N2ODirect_Equations.VEERG_4_1_1_3__4_NitrogenExcretionPerHead(F30,F49)</f>
        <v>0.14641919999999997</v>
      </c>
      <c r="G54" s="2" t="str">
        <f>$E$41</f>
        <v>kg N/head/day</v>
      </c>
      <c r="H54" s="2"/>
      <c r="I54" s="2"/>
      <c r="J54" s="2"/>
      <c r="K54" s="2"/>
      <c r="O54" s="55" cm="1">
        <f t="array" ref="O54">MMS_Feedlot_N2ODirect_Equations.VEERG_4_1_1_3__4_NitrogenExcretionPerHead(O30,O49)</f>
        <v>0.18543616000000004</v>
      </c>
      <c r="P54" s="55" cm="1">
        <f t="array" ref="P54">MMS_Feedlot_N2ODirect_Equations.VEERG_4_1_1_3__4_NitrogenExcretionPerHead(P30,P49)</f>
        <v>0.18102528000000001</v>
      </c>
      <c r="Q54" s="55" cm="1">
        <f t="array" ref="Q54">MMS_Feedlot_N2ODirect_Equations.VEERG_4_1_1_3__4_NitrogenExcretionPerHead(Q30,Q49)</f>
        <v>0.14641919999999997</v>
      </c>
      <c r="R54" s="2" t="str">
        <f>$E$41</f>
        <v>kg N/head/day</v>
      </c>
      <c r="S54" s="2"/>
    </row>
    <row r="55" spans="3:20" ht="20.100000000000001" customHeight="1" x14ac:dyDescent="0.25"/>
    <row r="56" spans="3:20" ht="20.100000000000001" customHeight="1" x14ac:dyDescent="0.25"/>
    <row r="57" spans="3:20" ht="20.100000000000001" customHeight="1" x14ac:dyDescent="0.25">
      <c r="C57" s="48"/>
      <c r="D57" s="48"/>
      <c r="E57" s="48"/>
      <c r="F57" s="48"/>
      <c r="G57" s="48"/>
      <c r="H57" s="48"/>
      <c r="I57" s="48"/>
      <c r="J57" s="48"/>
      <c r="K57" s="48"/>
      <c r="L57" s="48"/>
      <c r="N57" s="48"/>
      <c r="O57" s="48"/>
      <c r="P57" s="48"/>
      <c r="Q57" s="48"/>
      <c r="R57" s="48"/>
      <c r="S57" s="48"/>
      <c r="T57" s="48"/>
    </row>
    <row r="58" spans="3:20" ht="20.100000000000001" customHeight="1" x14ac:dyDescent="0.25">
      <c r="D58" s="6" t="str" cm="1">
        <f t="array" ref="D58">MMS_Feedlot_N2ODirect_Equations.VEERG_4_1_1_3__3_AnnualNitrogenExcretion_Title()</f>
        <v>Annual nitrogen excretion from each feedlot cattle group</v>
      </c>
    </row>
    <row r="59" spans="3:20" ht="20.100000000000001" customHeight="1" x14ac:dyDescent="0.25">
      <c r="D59" s="5" t="str" cm="1">
        <f t="array" ref="D59">MMS_Feedlot_N2ODirect_Equations.VEERG_4_1_1_3__3_AnnualNitrogenExcretion_Source()</f>
        <v>VEERG 2026: 4.1.1.3, Equation (3)</v>
      </c>
    </row>
    <row r="60" spans="3:20" ht="20.100000000000001" customHeight="1" x14ac:dyDescent="0.25">
      <c r="D60" s="13" t="s">
        <v>25</v>
      </c>
      <c r="E60" s="13" t="str" cm="1">
        <f t="array" aca="1" ref="E60" ca="1">Common_InputFunctions.Utility_DisplayFunctionName(D83)</f>
        <v>=MMS_Feedlot_N2ODirect_Equations.VEERG_4_1_1_3__3_AnnualNitrogenExcretion</v>
      </c>
    </row>
    <row r="61" spans="3:20" ht="20.100000000000001" customHeight="1" x14ac:dyDescent="0.25"/>
    <row r="62" spans="3:20" ht="20.100000000000001" customHeight="1" x14ac:dyDescent="0.25">
      <c r="D62" s="6"/>
    </row>
    <row r="63" spans="3:20" ht="20.100000000000001" customHeight="1" x14ac:dyDescent="0.25">
      <c r="D63" s="56" t="s">
        <v>28</v>
      </c>
      <c r="E63" s="1" t="str" cm="1">
        <f t="array" ref="E63">MMS_Feedlot_N2ODirect_Equations.VEERG_4_1_1_3__3_AnnualNitrogenExcretion_Variable()</f>
        <v>AE_j</v>
      </c>
    </row>
    <row r="64" spans="3:20" ht="20.100000000000001" customHeight="1" x14ac:dyDescent="0.25">
      <c r="D64" s="56" t="s">
        <v>18</v>
      </c>
      <c r="E64" s="57" t="str" cm="1">
        <f t="array" ref="E64">MMS_Feedlot_N2ODirect_Equations.VEERG_4_1_1_3__3_AnnualNitrogenExcretion_Unit()</f>
        <v>kg N</v>
      </c>
    </row>
    <row r="65" spans="4:15" ht="20.100000000000001" customHeight="1" x14ac:dyDescent="0.25"/>
    <row r="66" spans="4:15" ht="20.100000000000001" customHeight="1" x14ac:dyDescent="0.25">
      <c r="D66" s="138" t="str" cm="1">
        <f t="array" ref="D66:G68">MMS_Feedlot_N2ODirect_Equations.VEERG_4_1_1_3__3_AnnualNitrogenExcretion_Arguments()</f>
        <v>N_j</v>
      </c>
      <c r="E66" s="138" t="str">
        <v>number of cattle in each group</v>
      </c>
      <c r="F66" s="138" t="str">
        <v>head</v>
      </c>
      <c r="G66" s="129" t="str">
        <v>Input</v>
      </c>
      <c r="H66" s="139" t="str" cm="1">
        <f t="array" aca="1" ref="H66" ca="1">HYPERLINK(Common_InputFunctions.Utility_SourceHyperlink($D$70),$D$70)</f>
        <v>Table_N_j</v>
      </c>
    </row>
    <row r="67" spans="4:15" ht="20.100000000000001" customHeight="1" x14ac:dyDescent="0.25">
      <c r="D67" s="138" t="str">
        <v>NE_j</v>
      </c>
      <c r="E67" s="138" t="str">
        <v>nitrogen excretion</v>
      </c>
      <c r="F67" s="138" t="str">
        <v>kg N/head/day</v>
      </c>
      <c r="G67" s="130" t="str">
        <v>Calculated from 4.1.1.3 (4)</v>
      </c>
      <c r="H67" s="139" t="str" cm="1">
        <f t="array" aca="1" ref="H67" ca="1">HYPERLINK(Common_InputFunctions.Utility_SourceHyperlink($D$51),$D$51)</f>
        <v>M1_Table_NE_j</v>
      </c>
    </row>
    <row r="68" spans="4:15" ht="20.100000000000001" customHeight="1" x14ac:dyDescent="0.25">
      <c r="D68" s="138" t="str">
        <v>D_j</v>
      </c>
      <c r="E68" s="138" t="str">
        <v>duration of stay of cattle group</v>
      </c>
      <c r="F68" s="138" t="str">
        <v>days</v>
      </c>
      <c r="G68" s="129" t="str">
        <v>Input</v>
      </c>
      <c r="H68" s="139" t="str" cm="1">
        <f t="array" aca="1" ref="H68" ca="1">HYPERLINK(Common_InputFunctions.Utility_SourceHyperlink($D$75),$D$75)</f>
        <v>Table_D_j</v>
      </c>
    </row>
    <row r="69" spans="4:15" ht="20.100000000000001" customHeight="1" x14ac:dyDescent="0.25"/>
    <row r="70" spans="4:15" ht="20.100000000000001" customHeight="1" x14ac:dyDescent="0.25">
      <c r="D70" s="104" t="s">
        <v>120</v>
      </c>
    </row>
    <row r="71" spans="4:15" ht="20.100000000000001" customHeight="1" x14ac:dyDescent="0.25">
      <c r="D71" s="103" t="s">
        <v>121</v>
      </c>
    </row>
    <row r="72" spans="4:15" ht="20.100000000000001" customHeight="1" x14ac:dyDescent="0.25">
      <c r="D72" s="41" t="s">
        <v>135</v>
      </c>
      <c r="E72" s="41" t="s">
        <v>136</v>
      </c>
      <c r="F72" s="41" t="s">
        <v>137</v>
      </c>
    </row>
    <row r="73" spans="4:15" ht="20.100000000000001" customHeight="1" x14ac:dyDescent="0.25">
      <c r="D73" s="107">
        <f>'Input - Feedlot'!$E$8</f>
        <v>1000</v>
      </c>
      <c r="E73" s="107">
        <f>'Input - Feedlot'!$F$8</f>
        <v>1000</v>
      </c>
      <c r="F73" s="107">
        <f>'Input - Feedlot'!$G$8</f>
        <v>1000</v>
      </c>
      <c r="G73" s="2" t="s">
        <v>122</v>
      </c>
      <c r="H73" s="2"/>
      <c r="I73" s="2"/>
      <c r="J73" s="2"/>
      <c r="K73" s="2"/>
    </row>
    <row r="74" spans="4:15" ht="20.100000000000001" customHeight="1" x14ac:dyDescent="0.25"/>
    <row r="75" spans="4:15" ht="20.100000000000001" customHeight="1" x14ac:dyDescent="0.25">
      <c r="D75" s="104" t="s">
        <v>119</v>
      </c>
    </row>
    <row r="76" spans="4:15" ht="20.100000000000001" customHeight="1" x14ac:dyDescent="0.25">
      <c r="D76" s="103" t="s">
        <v>117</v>
      </c>
    </row>
    <row r="77" spans="4:15" ht="20.100000000000001" customHeight="1" x14ac:dyDescent="0.25">
      <c r="D77" s="41" t="s">
        <v>135</v>
      </c>
      <c r="E77" s="41" t="s">
        <v>136</v>
      </c>
      <c r="F77" s="41" t="s">
        <v>137</v>
      </c>
    </row>
    <row r="78" spans="4:15" ht="20.100000000000001" customHeight="1" x14ac:dyDescent="0.25">
      <c r="D78" s="107">
        <f>'Input - Feedlot'!$E$9</f>
        <v>90</v>
      </c>
      <c r="E78" s="107">
        <f>'Input - Feedlot'!$F$9</f>
        <v>140</v>
      </c>
      <c r="F78" s="107">
        <f>'Input - Feedlot'!$G$9</f>
        <v>250</v>
      </c>
      <c r="G78" s="2" t="s">
        <v>53</v>
      </c>
      <c r="H78" s="2"/>
      <c r="I78" s="2"/>
      <c r="J78" s="2"/>
      <c r="K78" s="2"/>
    </row>
    <row r="79" spans="4:15" ht="20.100000000000001" customHeight="1" x14ac:dyDescent="0.25"/>
    <row r="80" spans="4:15" ht="20.100000000000001" customHeight="1" x14ac:dyDescent="0.25">
      <c r="D80" s="104" t="s">
        <v>159</v>
      </c>
      <c r="O80" s="104" t="s">
        <v>160</v>
      </c>
    </row>
    <row r="81" spans="3:20" ht="20.100000000000001" customHeight="1" x14ac:dyDescent="0.25">
      <c r="D81" s="103" t="s">
        <v>187</v>
      </c>
      <c r="O81" s="103" t="s">
        <v>188</v>
      </c>
    </row>
    <row r="82" spans="3:20" ht="20.100000000000001" customHeight="1" x14ac:dyDescent="0.25">
      <c r="D82" s="54" t="s">
        <v>135</v>
      </c>
      <c r="E82" s="54" t="s">
        <v>136</v>
      </c>
      <c r="F82" s="54" t="s">
        <v>137</v>
      </c>
      <c r="O82" s="54" t="s">
        <v>135</v>
      </c>
      <c r="P82" s="54" t="s">
        <v>136</v>
      </c>
      <c r="Q82" s="54" t="s">
        <v>137</v>
      </c>
    </row>
    <row r="83" spans="3:20" ht="20.100000000000001" customHeight="1" x14ac:dyDescent="0.25">
      <c r="D83" s="107" cm="1">
        <f t="array" ref="D83">MMS_Feedlot_N2ODirect_Equations.VEERG_4_1_1_3__3_AnnualNitrogenExcretion(D73,D54,D78)</f>
        <v>16689.254400000005</v>
      </c>
      <c r="E83" s="107" cm="1">
        <f t="array" ref="E83">MMS_Feedlot_N2ODirect_Equations.VEERG_4_1_1_3__3_AnnualNitrogenExcretion(E73,E54,E78)</f>
        <v>25343.539200000003</v>
      </c>
      <c r="F83" s="107" cm="1">
        <f t="array" ref="F83">MMS_Feedlot_N2ODirect_Equations.VEERG_4_1_1_3__3_AnnualNitrogenExcretion(F73,F54,F78)</f>
        <v>36604.799999999988</v>
      </c>
      <c r="G83" s="2" t="str">
        <f>$E$64</f>
        <v>kg N</v>
      </c>
      <c r="H83" s="2"/>
      <c r="I83" s="2"/>
      <c r="J83" s="2"/>
      <c r="K83" s="2"/>
      <c r="O83" s="107" cm="1">
        <f t="array" ref="O83">MMS_Feedlot_N2ODirect_Equations.VEERG_4_1_1_3__3_AnnualNitrogenExcretion(D73,O54,D78)</f>
        <v>16689.254400000005</v>
      </c>
      <c r="P83" s="107" cm="1">
        <f t="array" ref="P83">MMS_Feedlot_N2ODirect_Equations.VEERG_4_1_1_3__3_AnnualNitrogenExcretion(E73,P54,E78)</f>
        <v>25343.539200000003</v>
      </c>
      <c r="Q83" s="107" cm="1">
        <f t="array" ref="Q83">MMS_Feedlot_N2ODirect_Equations.VEERG_4_1_1_3__3_AnnualNitrogenExcretion(F73,Q54,F78)</f>
        <v>36604.799999999988</v>
      </c>
      <c r="R83" s="2" t="str">
        <f>$E$64</f>
        <v>kg N</v>
      </c>
      <c r="S83" s="2"/>
    </row>
    <row r="84" spans="3:20" ht="20.100000000000001" customHeight="1" x14ac:dyDescent="0.25"/>
    <row r="85" spans="3:20" ht="20.100000000000001" customHeight="1" x14ac:dyDescent="0.25"/>
    <row r="86" spans="3:20" ht="20.100000000000001" customHeight="1" x14ac:dyDescent="0.25">
      <c r="C86" s="48"/>
      <c r="D86" s="48"/>
      <c r="E86" s="48"/>
      <c r="F86" s="48"/>
      <c r="G86" s="48"/>
      <c r="H86" s="48"/>
      <c r="I86" s="48"/>
      <c r="J86" s="48"/>
      <c r="K86" s="48"/>
      <c r="L86" s="48"/>
      <c r="N86" s="48"/>
      <c r="O86" s="48"/>
      <c r="P86" s="48"/>
      <c r="Q86" s="48"/>
      <c r="R86" s="48"/>
      <c r="S86" s="48"/>
      <c r="T86" s="48"/>
    </row>
    <row r="87" spans="3:20" ht="20.100000000000001" customHeight="1" x14ac:dyDescent="0.25">
      <c r="D87" s="6" t="str" cm="1">
        <f t="array" ref="D87">MMS_Feedlot_N2ODirect_Equations.VEERG_4_1_1_3__2_Stage1NitrogenInMMSDrylot_Title()</f>
        <v>Nitrogen in treatment stage 1 MMS</v>
      </c>
    </row>
    <row r="88" spans="3:20" ht="20.100000000000001" customHeight="1" x14ac:dyDescent="0.25">
      <c r="D88" s="5" t="str" cm="1">
        <f t="array" ref="D88">MMS_Feedlot_N2ODirect_Equations.VEERG_4_1_1_3__2_Stage1NitrogenInMMSDrylot_Source()</f>
        <v>VEERG 2026: 4.1.1.3, Equation (2)</v>
      </c>
    </row>
    <row r="89" spans="3:20" ht="20.100000000000001" customHeight="1" x14ac:dyDescent="0.25">
      <c r="D89" s="13" t="s">
        <v>25</v>
      </c>
      <c r="E89" s="13" t="str" cm="1">
        <f t="array" aca="1" ref="E89" ca="1">Common_InputFunctions.Utility_DisplayFunctionName(E106)</f>
        <v>=MMS_Feedlot_N2ODirect_Equations.VEERG_4_1_1_3__2_Stage1NitrogenInMMSDrylot</v>
      </c>
    </row>
    <row r="90" spans="3:20" ht="20.100000000000001" customHeight="1" x14ac:dyDescent="0.25"/>
    <row r="91" spans="3:20" ht="20.100000000000001" customHeight="1" x14ac:dyDescent="0.25">
      <c r="D91" s="6"/>
    </row>
    <row r="92" spans="3:20" ht="20.100000000000001" customHeight="1" x14ac:dyDescent="0.25">
      <c r="D92" s="56" t="s">
        <v>28</v>
      </c>
      <c r="E92" s="1" t="str" cm="1">
        <f t="array" ref="E92">MMS_Feedlot_N2ODirect_Equations.VEERG_4_1_1_3__2_Stage1NitrogenInMMSDrylot_Variable()</f>
        <v>MN_jm5T1</v>
      </c>
    </row>
    <row r="93" spans="3:20" ht="20.100000000000001" customHeight="1" x14ac:dyDescent="0.25">
      <c r="D93" s="56" t="s">
        <v>18</v>
      </c>
      <c r="E93" s="57" t="str" cm="1">
        <f t="array" ref="E93">MMS_Feedlot_N2ODirect_Equations.VEERG_4_1_1_3__2_Stage1NitrogenInMMSDrylot_Unit()</f>
        <v>kg N</v>
      </c>
    </row>
    <row r="94" spans="3:20" ht="20.100000000000001" customHeight="1" x14ac:dyDescent="0.25"/>
    <row r="95" spans="3:20" ht="20.100000000000001" customHeight="1" x14ac:dyDescent="0.25">
      <c r="D95" s="138" t="str" cm="1">
        <f t="array" ref="D95:E96">_xlfn.CHOOSECOLS(MMS_Feedlot_N2ODirect_Equations.VEERG_4_1_1_3__2_Stage1NitrogenInMMSDrylot_Arguments(),1,2)</f>
        <v>AE_j</v>
      </c>
      <c r="E95" s="141" t="str">
        <v>total nitrogen excreted by each cattle group</v>
      </c>
      <c r="F95" s="140"/>
      <c r="G95" s="138" t="str" cm="1">
        <f t="array" ref="G95:H96">_xlfn.CHOOSECOLS(MMS_Feedlot_N2ODirect_Equations.VEERG_4_1_1_3__2_Stage1NitrogenInMMSDrylot_Arguments(),3,4)</f>
        <v>kg N</v>
      </c>
      <c r="H95" s="130" t="str">
        <v>Calculated from 4.1.1.3 (3)</v>
      </c>
      <c r="I95" s="139" t="str" cm="1">
        <f t="array" aca="1" ref="I95" ca="1">HYPERLINK(Common_InputFunctions.Utility_SourceHyperlink($D$80),$D$80)</f>
        <v>M1_Table_AE_j</v>
      </c>
    </row>
    <row r="96" spans="3:20" ht="20.100000000000001" customHeight="1" x14ac:dyDescent="0.25">
      <c r="D96" s="138" t="str">
        <v>MMS_jm5T1</v>
      </c>
      <c r="E96" s="141" t="str">
        <v>fraction of manure in primary system drylot MMS</v>
      </c>
      <c r="F96" s="140"/>
      <c r="G96" s="138" t="str">
        <v>fraction</v>
      </c>
      <c r="H96" s="129" t="str">
        <v>Input</v>
      </c>
      <c r="I96" s="139" t="str" cm="1">
        <f t="array" aca="1" ref="I96" ca="1">HYPERLINK(Common_InputFunctions.Utility_SourceHyperlink($D$98),$D$98)</f>
        <v>Table_MMS_j_m-5_T-1</v>
      </c>
    </row>
    <row r="97" spans="3:20" ht="20.100000000000001" customHeight="1" x14ac:dyDescent="0.25"/>
    <row r="98" spans="3:20" ht="20.100000000000001" customHeight="1" x14ac:dyDescent="0.25">
      <c r="D98" s="104" t="s">
        <v>161</v>
      </c>
    </row>
    <row r="99" spans="3:20" ht="20.100000000000001" customHeight="1" x14ac:dyDescent="0.25">
      <c r="D99" s="103" t="s">
        <v>106</v>
      </c>
    </row>
    <row r="100" spans="3:20" ht="20.100000000000001" customHeight="1" x14ac:dyDescent="0.25">
      <c r="D100" s="41" t="s">
        <v>103</v>
      </c>
      <c r="E100" s="41" t="s">
        <v>135</v>
      </c>
      <c r="F100" s="41" t="s">
        <v>136</v>
      </c>
      <c r="G100" s="41" t="s">
        <v>137</v>
      </c>
    </row>
    <row r="101" spans="3:20" ht="20.100000000000001" customHeight="1" x14ac:dyDescent="0.25">
      <c r="D101" s="55" t="str">
        <f>'Input - Feedlot'!$D$28</f>
        <v>Drylot (feed pad)</v>
      </c>
      <c r="E101" s="55">
        <f>'Input - Feedlot'!$E$28</f>
        <v>1</v>
      </c>
      <c r="F101" s="55">
        <f>'Input - Feedlot'!$F$28</f>
        <v>1</v>
      </c>
      <c r="G101" s="55">
        <f>'Input - Feedlot'!$G$28</f>
        <v>1</v>
      </c>
      <c r="H101" s="2" t="s">
        <v>322</v>
      </c>
      <c r="I101" s="2"/>
      <c r="J101" s="2"/>
      <c r="K101" s="2"/>
    </row>
    <row r="102" spans="3:20" ht="20.100000000000001" customHeight="1" x14ac:dyDescent="0.25"/>
    <row r="103" spans="3:20" ht="20.100000000000001" customHeight="1" x14ac:dyDescent="0.25">
      <c r="D103" s="104" t="s">
        <v>162</v>
      </c>
      <c r="O103" s="104" t="s">
        <v>163</v>
      </c>
    </row>
    <row r="104" spans="3:20" ht="20.100000000000001" customHeight="1" x14ac:dyDescent="0.25">
      <c r="D104" s="103" t="s">
        <v>185</v>
      </c>
      <c r="O104" s="103" t="s">
        <v>186</v>
      </c>
    </row>
    <row r="105" spans="3:20" ht="20.100000000000001" customHeight="1" x14ac:dyDescent="0.25">
      <c r="D105" s="54" t="s">
        <v>103</v>
      </c>
      <c r="E105" s="54" t="s">
        <v>135</v>
      </c>
      <c r="F105" s="54" t="s">
        <v>136</v>
      </c>
      <c r="G105" s="54" t="s">
        <v>137</v>
      </c>
      <c r="O105" s="54" t="s">
        <v>103</v>
      </c>
      <c r="P105" s="54" t="s">
        <v>135</v>
      </c>
      <c r="Q105" s="54" t="s">
        <v>136</v>
      </c>
      <c r="R105" s="54" t="s">
        <v>137</v>
      </c>
    </row>
    <row r="106" spans="3:20" ht="20.100000000000001" customHeight="1" x14ac:dyDescent="0.25">
      <c r="D106" s="55" t="str">
        <f>'Input - Feedlot'!$D$28</f>
        <v>Drylot (feed pad)</v>
      </c>
      <c r="E106" s="55" cm="1">
        <f t="array" ref="E106">MMS_Feedlot_N2ODirect_Equations.VEERG_4_1_1_3__2_Stage1NitrogenInMMSDrylot(D83,E101)</f>
        <v>16689.254400000005</v>
      </c>
      <c r="F106" s="55" cm="1">
        <f t="array" ref="F106">MMS_Feedlot_N2ODirect_Equations.VEERG_4_1_1_3__2_Stage1NitrogenInMMSDrylot(E83,F101)</f>
        <v>25343.539200000003</v>
      </c>
      <c r="G106" s="55" cm="1">
        <f t="array" ref="G106">MMS_Feedlot_N2ODirect_Equations.VEERG_4_1_1_3__2_Stage1NitrogenInMMSDrylot(F83,G101)</f>
        <v>36604.799999999988</v>
      </c>
      <c r="H106" s="2" t="str">
        <f>$E$93</f>
        <v>kg N</v>
      </c>
      <c r="I106" s="2"/>
      <c r="J106" s="2"/>
      <c r="K106" s="2"/>
      <c r="O106" s="55" t="str">
        <f>'Input - Feedlot'!$D$28</f>
        <v>Drylot (feed pad)</v>
      </c>
      <c r="P106" s="55" cm="1">
        <f t="array" ref="P106">MMS_Feedlot_N2ODirect_Equations.VEERG_4_1_1_3__2_Stage1NitrogenInMMSDrylot(O83,E101)</f>
        <v>16689.254400000005</v>
      </c>
      <c r="Q106" s="55" cm="1">
        <f t="array" ref="Q106">MMS_Feedlot_N2ODirect_Equations.VEERG_4_1_1_3__2_Stage1NitrogenInMMSDrylot(P83,F101)</f>
        <v>25343.539200000003</v>
      </c>
      <c r="R106" s="55" cm="1">
        <f t="array" ref="R106">MMS_Feedlot_N2ODirect_Equations.VEERG_4_1_1_3__2_Stage1NitrogenInMMSDrylot(Q83,G101)</f>
        <v>36604.799999999988</v>
      </c>
      <c r="S106" s="2" t="str">
        <f>$E$93</f>
        <v>kg N</v>
      </c>
    </row>
    <row r="107" spans="3:20" ht="20.100000000000001" customHeight="1" x14ac:dyDescent="0.25"/>
    <row r="108" spans="3:20" ht="20.100000000000001" customHeight="1" x14ac:dyDescent="0.25"/>
    <row r="109" spans="3:20" ht="20.100000000000001" customHeight="1" x14ac:dyDescent="0.25">
      <c r="C109" s="48"/>
      <c r="D109" s="48"/>
      <c r="E109" s="48"/>
      <c r="F109" s="48"/>
      <c r="G109" s="48"/>
      <c r="H109" s="48"/>
      <c r="I109" s="48"/>
      <c r="J109" s="48"/>
      <c r="K109" s="48"/>
      <c r="L109" s="48"/>
      <c r="N109" s="48"/>
      <c r="O109" s="48"/>
      <c r="P109" s="48"/>
      <c r="Q109" s="48"/>
      <c r="R109" s="48"/>
      <c r="S109" s="48"/>
      <c r="T109" s="48"/>
    </row>
    <row r="110" spans="3:20" ht="20.100000000000001" customHeight="1" x14ac:dyDescent="0.25">
      <c r="D110" s="6" t="str" cm="1">
        <f t="array" ref="D110">MMS_Feedlot_N2ODirect_Equations.VEERG_4_1_1_3__8_Stage3NitrogenInMMSAnaerobicLagoon_Title()</f>
        <v>Nitrogen in treatment stage 3 MMS</v>
      </c>
    </row>
    <row r="111" spans="3:20" ht="20.100000000000001" customHeight="1" x14ac:dyDescent="0.25">
      <c r="D111" s="5" t="str" cm="1">
        <f t="array" ref="D111">MMS_Feedlot_N2ODirect_Equations.VEERG_4_1_1_3__8_Stage3NitrogenInMMSAnaerobicLagoon_Source()</f>
        <v>VEERG 2026: 4.1.1.3, Equation (8)</v>
      </c>
    </row>
    <row r="112" spans="3:20" ht="20.100000000000001" customHeight="1" x14ac:dyDescent="0.25">
      <c r="D112" s="13" t="s">
        <v>25</v>
      </c>
      <c r="E112" s="13" t="str" cm="1">
        <f t="array" aca="1" ref="E112" ca="1">Common_InputFunctions.Utility_DisplayFunctionName(E138)</f>
        <v>=MMS_Feedlot_N2ODirect_Equations.VEERG_4_1_1_3__7_NitrogenTransferredToStage2_Variable</v>
      </c>
    </row>
    <row r="113" spans="4:18" ht="20.100000000000001" customHeight="1" x14ac:dyDescent="0.25">
      <c r="D113" s="6"/>
    </row>
    <row r="114" spans="4:18" ht="20.100000000000001" customHeight="1" x14ac:dyDescent="0.25"/>
    <row r="115" spans="4:18" ht="20.100000000000001" customHeight="1" x14ac:dyDescent="0.25">
      <c r="D115" s="56" t="s">
        <v>28</v>
      </c>
      <c r="E115" s="1" t="str" cm="1">
        <f t="array" ref="E115">MMS_Feedlot_N2ODirect_Equations.VEERG_4_1_1_3__8_Stage3NitrogenInMMSAnaerobicLagoon_Variable()</f>
        <v>MN_jm1T3</v>
      </c>
    </row>
    <row r="116" spans="4:18" ht="20.100000000000001" customHeight="1" x14ac:dyDescent="0.25">
      <c r="D116" s="56" t="s">
        <v>18</v>
      </c>
      <c r="E116" s="57" t="str" cm="1">
        <f t="array" ref="E116">MMS_Feedlot_N2ODirect_Equations.VEERG_4_1_1_3__8_Stage3NitrogenInMMSAnaerobicLagoon_Unit()</f>
        <v>kg N</v>
      </c>
    </row>
    <row r="117" spans="4:18" ht="20.100000000000001" customHeight="1" x14ac:dyDescent="0.25"/>
    <row r="118" spans="4:18" ht="20.100000000000001" customHeight="1" x14ac:dyDescent="0.25">
      <c r="D118" s="138" t="str" cm="1">
        <f t="array" ref="D118:E119">_xlfn.CHOOSECOLS(MMS_Feedlot_N2ODirect_Equations.VEERG_4_1_1_3__8_Stage3NitrogenInMMSAnaerobicLagoon_Arguments(),1,2)</f>
        <v>AE_j</v>
      </c>
      <c r="E118" s="141" t="str">
        <v>total nitrogen excreted by each cattle group</v>
      </c>
      <c r="F118" s="140"/>
      <c r="G118" s="138" t="str" cm="1">
        <f t="array" ref="G118:H119">_xlfn.CHOOSECOLS(MMS_Feedlot_N2ODirect_Equations.VEERG_4_1_1_3__8_Stage3NitrogenInMMSAnaerobicLagoon_Arguments(),3,4)</f>
        <v>kg N</v>
      </c>
      <c r="H118" s="130" t="str">
        <v>Calculated from 4.1.1.3 (3)</v>
      </c>
      <c r="I118" s="139" t="str" cm="1">
        <f t="array" aca="1" ref="I118" ca="1">HYPERLINK(Common_InputFunctions.Utility_SourceHyperlink($D$80),$D$80)</f>
        <v>M1_Table_AE_j</v>
      </c>
    </row>
    <row r="119" spans="4:18" ht="20.100000000000001" customHeight="1" x14ac:dyDescent="0.25">
      <c r="D119" s="138" t="str">
        <v>MMS_jm1T3</v>
      </c>
      <c r="E119" s="141" t="str">
        <v>fraction of manure to tertiary anaerobic lagoon system</v>
      </c>
      <c r="F119" s="140"/>
      <c r="G119" s="138" t="str">
        <v>fraction</v>
      </c>
      <c r="H119" s="129" t="str">
        <v>Input</v>
      </c>
      <c r="I119" s="139" t="str" cm="1">
        <f t="array" aca="1" ref="I119" ca="1">HYPERLINK(Common_InputFunctions.Utility_SourceHyperlink($D$121),$D$121)</f>
        <v>Table_MMS_j_m-1_T-3</v>
      </c>
    </row>
    <row r="120" spans="4:18" ht="20.100000000000001" customHeight="1" x14ac:dyDescent="0.25"/>
    <row r="121" spans="4:18" ht="20.100000000000001" customHeight="1" x14ac:dyDescent="0.25">
      <c r="D121" s="104" t="s">
        <v>166</v>
      </c>
    </row>
    <row r="122" spans="4:18" ht="20.100000000000001" customHeight="1" x14ac:dyDescent="0.25">
      <c r="D122" s="103" t="s">
        <v>165</v>
      </c>
    </row>
    <row r="123" spans="4:18" ht="20.100000000000001" customHeight="1" x14ac:dyDescent="0.25">
      <c r="D123" s="41" t="s">
        <v>114</v>
      </c>
      <c r="E123" s="41" t="s">
        <v>135</v>
      </c>
      <c r="F123" s="41" t="s">
        <v>136</v>
      </c>
      <c r="G123" s="41" t="s">
        <v>137</v>
      </c>
    </row>
    <row r="124" spans="4:18" ht="20.100000000000001" customHeight="1" x14ac:dyDescent="0.25">
      <c r="D124" s="55" t="str">
        <f>'Input - Feedlot'!$D$38</f>
        <v>Anaerobic lagoon</v>
      </c>
      <c r="E124" s="55">
        <f>'Input - Feedlot'!$E$38</f>
        <v>0.02</v>
      </c>
      <c r="F124" s="55">
        <f>'Input - Feedlot'!$F$38</f>
        <v>0.02</v>
      </c>
      <c r="G124" s="55">
        <f>'Input - Feedlot'!$G$38</f>
        <v>0.02</v>
      </c>
      <c r="H124" s="2" t="s">
        <v>322</v>
      </c>
      <c r="I124" s="2"/>
      <c r="J124" s="2"/>
      <c r="K124" s="2"/>
    </row>
    <row r="125" spans="4:18" ht="20.100000000000001" customHeight="1" x14ac:dyDescent="0.25"/>
    <row r="126" spans="4:18" ht="20.100000000000001" customHeight="1" x14ac:dyDescent="0.25">
      <c r="D126" s="104" t="s">
        <v>171</v>
      </c>
      <c r="O126" s="104" t="s">
        <v>172</v>
      </c>
    </row>
    <row r="127" spans="4:18" ht="20.100000000000001" customHeight="1" x14ac:dyDescent="0.25">
      <c r="D127" s="103" t="s">
        <v>183</v>
      </c>
      <c r="O127" s="103" t="s">
        <v>184</v>
      </c>
    </row>
    <row r="128" spans="4:18" ht="20.100000000000001" customHeight="1" x14ac:dyDescent="0.25">
      <c r="D128" s="54" t="s">
        <v>114</v>
      </c>
      <c r="E128" s="54" t="s">
        <v>135</v>
      </c>
      <c r="F128" s="54" t="s">
        <v>136</v>
      </c>
      <c r="G128" s="54" t="s">
        <v>137</v>
      </c>
      <c r="O128" s="54" t="s">
        <v>114</v>
      </c>
      <c r="P128" s="54" t="s">
        <v>135</v>
      </c>
      <c r="Q128" s="54" t="s">
        <v>136</v>
      </c>
      <c r="R128" s="54" t="s">
        <v>137</v>
      </c>
    </row>
    <row r="129" spans="3:20" ht="20.100000000000001" customHeight="1" x14ac:dyDescent="0.25">
      <c r="D129" s="55" t="str">
        <f>'Input - Feedlot'!$D$38</f>
        <v>Anaerobic lagoon</v>
      </c>
      <c r="E129" s="55" cm="1">
        <f t="array" ref="E129">MMS_Feedlot_N2ODirect_Equations.VEERG_4_1_1_3__8_Stage3NitrogenInMMSAnaerobicLagoon(D83,E124)</f>
        <v>333.78508800000009</v>
      </c>
      <c r="F129" s="55" cm="1">
        <f t="array" ref="F129">MMS_Feedlot_N2ODirect_Equations.VEERG_4_1_1_3__8_Stage3NitrogenInMMSAnaerobicLagoon(E83,F124)</f>
        <v>506.87078400000007</v>
      </c>
      <c r="G129" s="55" cm="1">
        <f t="array" ref="G129">MMS_Feedlot_N2ODirect_Equations.VEERG_4_1_1_3__8_Stage3NitrogenInMMSAnaerobicLagoon(F83,G124)</f>
        <v>732.09599999999978</v>
      </c>
      <c r="H129" s="2" t="str">
        <f>$E$116</f>
        <v>kg N</v>
      </c>
      <c r="I129" s="2"/>
      <c r="J129" s="2"/>
      <c r="K129" s="2"/>
      <c r="O129" s="55" t="str">
        <f>'Input - Feedlot'!$D$38</f>
        <v>Anaerobic lagoon</v>
      </c>
      <c r="P129" s="55" cm="1">
        <f t="array" ref="P129">MMS_Feedlot_N2ODirect_Equations.VEERG_4_1_1_3__8_Stage3NitrogenInMMSAnaerobicLagoon(O83,E124)</f>
        <v>333.78508800000009</v>
      </c>
      <c r="Q129" s="55" cm="1">
        <f t="array" ref="Q129">MMS_Feedlot_N2ODirect_Equations.VEERG_4_1_1_3__8_Stage3NitrogenInMMSAnaerobicLagoon(P83,F124)</f>
        <v>506.87078400000007</v>
      </c>
      <c r="R129" s="55" cm="1">
        <f t="array" ref="R129">MMS_Feedlot_N2ODirect_Equations.VEERG_4_1_1_3__8_Stage3NitrogenInMMSAnaerobicLagoon(Q83,G124)</f>
        <v>732.09599999999978</v>
      </c>
      <c r="S129" s="2" t="str">
        <f>$E$116</f>
        <v>kg N</v>
      </c>
    </row>
    <row r="130" spans="3:20" ht="20.100000000000001" customHeight="1" x14ac:dyDescent="0.25"/>
    <row r="131" spans="3:20" ht="20.100000000000001" customHeight="1" x14ac:dyDescent="0.25"/>
    <row r="132" spans="3:20" ht="20.100000000000001" customHeight="1" x14ac:dyDescent="0.25">
      <c r="C132" s="48"/>
      <c r="D132" s="48"/>
      <c r="E132" s="48"/>
      <c r="F132" s="48"/>
      <c r="G132" s="48"/>
      <c r="H132" s="48"/>
      <c r="I132" s="48"/>
      <c r="J132" s="48"/>
      <c r="K132" s="48"/>
      <c r="L132" s="48"/>
      <c r="N132" s="48"/>
      <c r="O132" s="48"/>
      <c r="P132" s="48"/>
      <c r="Q132" s="48"/>
      <c r="R132" s="48"/>
      <c r="S132" s="48"/>
      <c r="T132" s="48"/>
    </row>
    <row r="133" spans="3:20" ht="20.100000000000001" customHeight="1" x14ac:dyDescent="0.25">
      <c r="D133" s="6" t="str" cm="1">
        <f t="array" ref="D133">MMS_Feedlot_N2ODirect_Equations.VEERG_4_1_1_3__7_NitrogenTransferredToStage2_Title()</f>
        <v>Nitrogen transferred to treatment stage 2 MMS</v>
      </c>
    </row>
    <row r="134" spans="3:20" ht="20.100000000000001" customHeight="1" x14ac:dyDescent="0.25">
      <c r="D134" s="5" t="str" cm="1">
        <f t="array" ref="D134">MMS_Feedlot_N2ODirect_Equations.VEERG_4_1_1_3__7_NitrogenTransferredToStage2_Source()</f>
        <v>VEERG 2026: 4.1.1.3, Equation (7)</v>
      </c>
    </row>
    <row r="135" spans="3:20" ht="20.100000000000001" customHeight="1" x14ac:dyDescent="0.25">
      <c r="D135" s="13" t="s">
        <v>25</v>
      </c>
      <c r="E135" s="13" t="str" cm="1">
        <f t="array" aca="1" ref="E135" ca="1">Common_InputFunctions.Utility_DisplayFunctionName(D149)</f>
        <v>=MMS_Feedlot_N2ODirect_Equations.VEERG_4_1_1_3__7_NitrogenTransferredToStage2</v>
      </c>
    </row>
    <row r="136" spans="3:20" ht="20.100000000000001" customHeight="1" x14ac:dyDescent="0.25"/>
    <row r="137" spans="3:20" ht="20.100000000000001" customHeight="1" x14ac:dyDescent="0.25">
      <c r="D137" s="6"/>
    </row>
    <row r="138" spans="3:20" ht="20.100000000000001" customHeight="1" x14ac:dyDescent="0.25">
      <c r="D138" s="56" t="s">
        <v>28</v>
      </c>
      <c r="E138" s="1" t="str" cm="1">
        <f t="array" ref="E138">MMS_Feedlot_N2ODirect_Equations.VEERG_4_1_1_3__7_NitrogenTransferredToStage2_Variable()</f>
        <v>NT_jmT2</v>
      </c>
    </row>
    <row r="139" spans="3:20" ht="20.100000000000001" customHeight="1" x14ac:dyDescent="0.25">
      <c r="D139" s="56" t="s">
        <v>18</v>
      </c>
      <c r="E139" s="57" t="str" cm="1">
        <f t="array" ref="E139">MMS_Feedlot_N2ODirect_Equations.VEERG_4_1_1_3__7_NitrogenTransferredToStage2_Unit()</f>
        <v>kg N</v>
      </c>
    </row>
    <row r="140" spans="3:20" ht="20.100000000000001" customHeight="1" x14ac:dyDescent="0.25"/>
    <row r="141" spans="3:20" ht="20.100000000000001" customHeight="1" x14ac:dyDescent="0.25">
      <c r="D141" s="138" t="str" cm="1">
        <f t="array" ref="D141:E144">_xlfn.CHOOSECOLS(MMS_Feedlot_N2ODirect_Equations.VEERG_4_1_1_3__7_NitrogenTransferredToStage2_Arguments(),1,2)</f>
        <v>MN_jm5T1</v>
      </c>
      <c r="E141" s="141" t="str">
        <v>nitrogen in MMS treatment stage 1</v>
      </c>
      <c r="F141" s="140"/>
      <c r="G141" s="138" t="str" cm="1">
        <f t="array" ref="G141:H144">_xlfn.CHOOSECOLS(MMS_Feedlot_N2ODirect_Equations.VEERG_4_1_1_3__7_NitrogenTransferredToStage2_Arguments(),3,4)</f>
        <v>kg N</v>
      </c>
      <c r="H141" s="130" t="str">
        <v>Calculated from 4.1.1.3 (2)</v>
      </c>
      <c r="I141" s="139" t="str" cm="1">
        <f t="array" aca="1" ref="I141" ca="1">HYPERLINK(Common_InputFunctions.Utility_SourceHyperlink($D$103),$D$103)</f>
        <v>M1_Table_MN_j_m-5_T-1</v>
      </c>
    </row>
    <row r="142" spans="3:20" ht="20.100000000000001" customHeight="1" x14ac:dyDescent="0.25">
      <c r="D142" s="138" t="str">
        <v>FracGASM_m5</v>
      </c>
      <c r="E142" s="141" t="str">
        <v>fraction of N volatilised from drylot MMS</v>
      </c>
      <c r="F142" s="140"/>
      <c r="G142" s="138" t="str">
        <v>fraction</v>
      </c>
      <c r="H142" s="130" t="str">
        <v>Constant</v>
      </c>
      <c r="I142" s="138">
        <f>'Constants - Feedlot'!$F$113</f>
        <v>0.6</v>
      </c>
    </row>
    <row r="143" spans="3:20" ht="20.100000000000001" customHeight="1" x14ac:dyDescent="0.25">
      <c r="D143" s="138" t="str">
        <v>EF_m5</v>
      </c>
      <c r="E143" s="141" t="str">
        <v>nitrous oxide emission factor for drylot MMS</v>
      </c>
      <c r="F143" s="140"/>
      <c r="G143" s="138" t="str">
        <v>kg N2O-N/kg N deposited</v>
      </c>
      <c r="H143" s="130" t="str">
        <v>Constant</v>
      </c>
      <c r="I143" s="138">
        <f>'Constants - Feedlot'!$F$101</f>
        <v>5.4000000000000003E-3</v>
      </c>
    </row>
    <row r="144" spans="3:20" ht="20.100000000000001" customHeight="1" x14ac:dyDescent="0.25">
      <c r="D144" s="138" t="str">
        <v>MN_jmT3</v>
      </c>
      <c r="E144" s="141" t="str">
        <v>nitrogen in MMS treatment stage 3</v>
      </c>
      <c r="F144" s="140"/>
      <c r="G144" s="138" t="str">
        <v>kg N</v>
      </c>
      <c r="H144" s="130" t="str">
        <v>Calculated from 4.1.1.3 (8)</v>
      </c>
      <c r="I144" s="139" t="str" cm="1">
        <f t="array" aca="1" ref="I144" ca="1">HYPERLINK(Common_InputFunctions.Utility_SourceHyperlink($D$126),$D$126)</f>
        <v>M1_Table_MN_j_m-1_T-3</v>
      </c>
    </row>
    <row r="145" spans="3:20" ht="20.100000000000001" customHeight="1" x14ac:dyDescent="0.25"/>
    <row r="146" spans="3:20" ht="20.100000000000001" customHeight="1" x14ac:dyDescent="0.25">
      <c r="D146" s="104" t="s">
        <v>173</v>
      </c>
      <c r="O146" s="104" t="s">
        <v>174</v>
      </c>
    </row>
    <row r="147" spans="3:20" ht="20.100000000000001" customHeight="1" x14ac:dyDescent="0.25">
      <c r="D147" s="103" t="s">
        <v>181</v>
      </c>
      <c r="O147" s="103" t="s">
        <v>182</v>
      </c>
    </row>
    <row r="148" spans="3:20" ht="20.100000000000001" customHeight="1" x14ac:dyDescent="0.25">
      <c r="D148" s="54" t="s">
        <v>135</v>
      </c>
      <c r="E148" s="54" t="s">
        <v>136</v>
      </c>
      <c r="F148" s="54" t="s">
        <v>137</v>
      </c>
      <c r="O148" s="54" t="s">
        <v>135</v>
      </c>
      <c r="P148" s="54" t="s">
        <v>136</v>
      </c>
      <c r="Q148" s="54" t="s">
        <v>137</v>
      </c>
    </row>
    <row r="149" spans="3:20" ht="20.100000000000001" customHeight="1" x14ac:dyDescent="0.25">
      <c r="D149" s="55" cm="1">
        <f t="array" ref="D149">MMS_Feedlot_N2ODirect_Equations.VEERG_4_1_1_3__7_NitrogenTransferredToStage2(E106,$I$142,$I$143,E129)</f>
        <v>6251.7946982400026</v>
      </c>
      <c r="E149" s="55" cm="1">
        <f t="array" ref="E149">MMS_Feedlot_N2ODirect_Equations.VEERG_4_1_1_3__7_NitrogenTransferredToStage2(F106,$I$142,$I$143,F129)</f>
        <v>9493.6897843200004</v>
      </c>
      <c r="F149" s="55" cm="1">
        <f t="array" ref="F149">MMS_Feedlot_N2ODirect_Equations.VEERG_4_1_1_3__7_NitrogenTransferredToStage2(G106,$I$142,$I$143,G129)</f>
        <v>13712.158079999996</v>
      </c>
      <c r="G149" s="2" t="str">
        <f>$E$116</f>
        <v>kg N</v>
      </c>
      <c r="O149" s="55" cm="1">
        <f t="array" ref="O149">MMS_Feedlot_N2ODirect_Equations.VEERG_4_1_1_3__7_NitrogenTransferredToStage2(P106,$I$142,$I$143,P129)</f>
        <v>6251.7946982400026</v>
      </c>
      <c r="P149" s="55" cm="1">
        <f t="array" ref="P149">MMS_Feedlot_N2ODirect_Equations.VEERG_4_1_1_3__7_NitrogenTransferredToStage2(Q106,$I$142,$I$143,Q129)</f>
        <v>9493.6897843200004</v>
      </c>
      <c r="Q149" s="55" cm="1">
        <f t="array" ref="Q149">MMS_Feedlot_N2ODirect_Equations.VEERG_4_1_1_3__7_NitrogenTransferredToStage2(R106,$I$142,$I$143,R129)</f>
        <v>13712.158079999996</v>
      </c>
      <c r="R149" s="2" t="str">
        <f>$E$116</f>
        <v>kg N</v>
      </c>
    </row>
    <row r="150" spans="3:20" ht="20.100000000000001" customHeight="1" x14ac:dyDescent="0.25"/>
    <row r="151" spans="3:20" ht="20.100000000000001" customHeight="1" x14ac:dyDescent="0.25"/>
    <row r="152" spans="3:20" ht="20.100000000000001" customHeight="1" x14ac:dyDescent="0.25">
      <c r="C152" s="48"/>
      <c r="D152" s="48"/>
      <c r="E152" s="48"/>
      <c r="F152" s="48"/>
      <c r="G152" s="48"/>
      <c r="H152" s="48"/>
      <c r="I152" s="48"/>
      <c r="J152" s="48"/>
      <c r="K152" s="48"/>
      <c r="L152" s="48"/>
      <c r="N152" s="48"/>
      <c r="O152" s="48"/>
      <c r="P152" s="48"/>
      <c r="Q152" s="48"/>
      <c r="R152" s="48"/>
      <c r="S152" s="48"/>
      <c r="T152" s="48"/>
    </row>
    <row r="153" spans="3:20" ht="20.100000000000001" customHeight="1" x14ac:dyDescent="0.25">
      <c r="D153" s="6" t="str" cm="1">
        <f t="array" ref="D153">MMS_Feedlot_N2ODirect_Equations.VEERG_4_1_1_3__6_Stage2NitrogenInMMS_Title()</f>
        <v>Nitrogen in treatment stage 2 MMS</v>
      </c>
    </row>
    <row r="154" spans="3:20" ht="20.100000000000001" customHeight="1" x14ac:dyDescent="0.25">
      <c r="D154" s="5" t="str" cm="1">
        <f t="array" ref="D154">MMS_Feedlot_N2ODirect_Equations.VEERG_4_1_1_3__6_Stage2NitrogenInMMS_Source()</f>
        <v>VEERG 2026: 4.1.1.3, Equation (6)</v>
      </c>
    </row>
    <row r="155" spans="3:20" ht="20.100000000000001" customHeight="1" x14ac:dyDescent="0.25">
      <c r="D155" s="13" t="s">
        <v>25</v>
      </c>
      <c r="E155" s="13" t="str" cm="1">
        <f t="array" aca="1" ref="E155" ca="1">Common_InputFunctions.Utility_DisplayFunctionName(E174)</f>
        <v>=MMS_Feedlot_N2ODirect_Equations.VEERG_4_1_1_3__6_Stage2NitrogenInMMS</v>
      </c>
    </row>
    <row r="156" spans="3:20" ht="20.100000000000001" customHeight="1" x14ac:dyDescent="0.25"/>
    <row r="157" spans="3:20" ht="20.100000000000001" customHeight="1" x14ac:dyDescent="0.25">
      <c r="D157" s="6"/>
    </row>
    <row r="158" spans="3:20" ht="20.100000000000001" customHeight="1" x14ac:dyDescent="0.25">
      <c r="D158" s="56" t="s">
        <v>28</v>
      </c>
      <c r="E158" s="1" t="str" cm="1">
        <f t="array" ref="E158">MMS_Feedlot_N2ODirect_Equations.VEERG_4_1_1_3__6_Stage2NitrogenInMMS_Variable()</f>
        <v>MN_jmT2</v>
      </c>
    </row>
    <row r="159" spans="3:20" ht="20.100000000000001" customHeight="1" x14ac:dyDescent="0.25">
      <c r="D159" s="56" t="s">
        <v>18</v>
      </c>
      <c r="E159" s="57" t="str" cm="1">
        <f t="array" ref="E159">MMS_Feedlot_N2ODirect_Equations.VEERG_4_1_1_3__6_Stage2NitrogenInMMS_Unit()</f>
        <v>kg N</v>
      </c>
    </row>
    <row r="160" spans="3:20" ht="20.100000000000001" customHeight="1" x14ac:dyDescent="0.25"/>
    <row r="161" spans="4:19" ht="20.100000000000001" customHeight="1" x14ac:dyDescent="0.25">
      <c r="D161" s="138" t="str" cm="1">
        <f t="array" ref="D161:E162">_xlfn.CHOOSECOLS(MMS_Feedlot_N2ODirect_Equations.VEERG_4_1_1_3__6_Stage2NitrogenInMMS_Arguments(),1,2)</f>
        <v>NT_jmT2</v>
      </c>
      <c r="E161" s="141" t="str">
        <v>nitrogen transferred to secondary treatment MMS</v>
      </c>
      <c r="F161" s="140"/>
      <c r="G161" s="138" t="str" cm="1">
        <f t="array" ref="G161:H162">_xlfn.CHOOSECOLS(MMS_Feedlot_N2ODirect_Equations.VEERG_4_1_1_3__6_Stage2NitrogenInMMS_Arguments(),3,4)</f>
        <v>kg N</v>
      </c>
      <c r="H161" s="130" t="str">
        <v>Calculated from 4.1.1.3 (7)</v>
      </c>
      <c r="I161" s="139" t="str" cm="1">
        <f t="array" aca="1" ref="I161" ca="1">HYPERLINK(Common_InputFunctions.Utility_SourceHyperlink($D$146),$D$146)</f>
        <v>M1_Table_NT_j_m-_T-2</v>
      </c>
    </row>
    <row r="162" spans="4:19" ht="20.100000000000001" customHeight="1" x14ac:dyDescent="0.25">
      <c r="D162" s="138" t="str">
        <v>MMS_jmT2</v>
      </c>
      <c r="E162" s="141" t="str">
        <v>fraction of manure in each secondary system</v>
      </c>
      <c r="F162" s="140"/>
      <c r="G162" s="138" t="str">
        <v>fraction</v>
      </c>
      <c r="H162" s="129" t="str">
        <v>Input</v>
      </c>
      <c r="I162" s="139" t="str" cm="1">
        <f t="array" aca="1" ref="I162" ca="1">HYPERLINK(Common_InputFunctions.Utility_SourceHyperlink($D$164),$D$164)</f>
        <v>Table_MMS_j_m_T-2</v>
      </c>
    </row>
    <row r="163" spans="4:19" ht="20.100000000000001" customHeight="1" x14ac:dyDescent="0.25">
      <c r="L163" s="2"/>
    </row>
    <row r="164" spans="4:19" ht="20.100000000000001" customHeight="1" x14ac:dyDescent="0.25">
      <c r="D164" s="104" t="s">
        <v>164</v>
      </c>
      <c r="L164" s="2"/>
    </row>
    <row r="165" spans="4:19" ht="20.100000000000001" customHeight="1" x14ac:dyDescent="0.25">
      <c r="D165" s="103" t="s">
        <v>111</v>
      </c>
    </row>
    <row r="166" spans="4:19" ht="20.100000000000001" customHeight="1" x14ac:dyDescent="0.25">
      <c r="D166" s="41" t="s">
        <v>99</v>
      </c>
      <c r="E166" s="41" t="s">
        <v>135</v>
      </c>
      <c r="F166" s="41" t="s">
        <v>136</v>
      </c>
      <c r="G166" s="41" t="s">
        <v>137</v>
      </c>
    </row>
    <row r="167" spans="4:19" ht="20.100000000000001" customHeight="1" x14ac:dyDescent="0.25">
      <c r="D167" s="55" t="str">
        <f>'Input - Feedlot'!$D$32</f>
        <v>Solid storage</v>
      </c>
      <c r="E167" s="55">
        <f>'Input - Feedlot'!$E$32</f>
        <v>0.2</v>
      </c>
      <c r="F167" s="55">
        <f>'Input - Feedlot'!$F$32</f>
        <v>0.2</v>
      </c>
      <c r="G167" s="55">
        <f>'Input - Feedlot'!$G$32</f>
        <v>0.2</v>
      </c>
      <c r="H167" s="2" t="s">
        <v>322</v>
      </c>
      <c r="I167" s="2"/>
      <c r="J167" s="2"/>
      <c r="K167" s="2"/>
    </row>
    <row r="168" spans="4:19" ht="20.100000000000001" customHeight="1" x14ac:dyDescent="0.25">
      <c r="D168" s="55" t="str">
        <f>'Input - Feedlot'!$D$33</f>
        <v>Composting (passive windrow)</v>
      </c>
      <c r="E168" s="55">
        <f>'Input - Feedlot'!$E$33</f>
        <v>0.2</v>
      </c>
      <c r="F168" s="55">
        <f>'Input - Feedlot'!$F$33</f>
        <v>0.2</v>
      </c>
      <c r="G168" s="55">
        <f>'Input - Feedlot'!$G$33</f>
        <v>0.2</v>
      </c>
      <c r="H168" s="2" t="s">
        <v>322</v>
      </c>
      <c r="I168" s="2"/>
      <c r="J168" s="2"/>
      <c r="K168" s="2"/>
    </row>
    <row r="169" spans="4:19" ht="20.100000000000001" customHeight="1" x14ac:dyDescent="0.25">
      <c r="D169" s="55" t="str">
        <f>'Input - Feedlot'!$D$34</f>
        <v>Direct application</v>
      </c>
      <c r="E169" s="55">
        <f>'Input - Feedlot'!$E$34</f>
        <v>0.6</v>
      </c>
      <c r="F169" s="55">
        <f>'Input - Feedlot'!$F$34</f>
        <v>0.6</v>
      </c>
      <c r="G169" s="55">
        <f>'Input - Feedlot'!$G$34</f>
        <v>0.6</v>
      </c>
    </row>
    <row r="170" spans="4:19" ht="20.100000000000001" customHeight="1" x14ac:dyDescent="0.25"/>
    <row r="171" spans="4:19" ht="20.100000000000001" customHeight="1" x14ac:dyDescent="0.25">
      <c r="D171" s="104" t="s">
        <v>175</v>
      </c>
      <c r="O171" s="104" t="s">
        <v>175</v>
      </c>
    </row>
    <row r="172" spans="4:19" ht="20.100000000000001" customHeight="1" x14ac:dyDescent="0.25">
      <c r="D172" s="103" t="s">
        <v>179</v>
      </c>
      <c r="O172" s="103" t="s">
        <v>180</v>
      </c>
    </row>
    <row r="173" spans="4:19" ht="20.100000000000001" customHeight="1" x14ac:dyDescent="0.25">
      <c r="D173" s="54" t="s">
        <v>99</v>
      </c>
      <c r="E173" s="54" t="s">
        <v>135</v>
      </c>
      <c r="F173" s="54" t="s">
        <v>136</v>
      </c>
      <c r="G173" s="54" t="s">
        <v>137</v>
      </c>
      <c r="O173" s="54" t="s">
        <v>99</v>
      </c>
      <c r="P173" s="54" t="s">
        <v>135</v>
      </c>
      <c r="Q173" s="54" t="s">
        <v>136</v>
      </c>
      <c r="R173" s="54" t="s">
        <v>137</v>
      </c>
    </row>
    <row r="174" spans="4:19" ht="20.100000000000001" customHeight="1" x14ac:dyDescent="0.25">
      <c r="D174" s="55" t="str">
        <f>'Input - Feedlot'!$D$32</f>
        <v>Solid storage</v>
      </c>
      <c r="E174" s="55" cm="1">
        <f t="array" ref="E174">MMS_Feedlot_N2ODirect_Equations.VEERG_4_1_1_3__6_Stage2NitrogenInMMS(D$149,E167)</f>
        <v>1250.3589396480006</v>
      </c>
      <c r="F174" s="55" cm="1">
        <f t="array" ref="F174">MMS_Feedlot_N2ODirect_Equations.VEERG_4_1_1_3__6_Stage2NitrogenInMMS(E$149,F167)</f>
        <v>1898.7379568640001</v>
      </c>
      <c r="G174" s="55" cm="1">
        <f t="array" ref="G174">MMS_Feedlot_N2ODirect_Equations.VEERG_4_1_1_3__6_Stage2NitrogenInMMS(F$149,G167)</f>
        <v>2742.4316159999994</v>
      </c>
      <c r="H174" s="2" t="str">
        <f>$E$159</f>
        <v>kg N</v>
      </c>
      <c r="I174" s="2"/>
      <c r="J174" s="2"/>
      <c r="K174" s="2"/>
      <c r="O174" s="55" t="str">
        <f>'Input - Feedlot'!$D$32</f>
        <v>Solid storage</v>
      </c>
      <c r="P174" s="55" cm="1">
        <f t="array" ref="P174">MMS_Feedlot_N2ODirect_Equations.VEERG_4_1_1_3__6_Stage2NitrogenInMMS(O$149,E167)</f>
        <v>1250.3589396480006</v>
      </c>
      <c r="Q174" s="55" cm="1">
        <f t="array" ref="Q174">MMS_Feedlot_N2ODirect_Equations.VEERG_4_1_1_3__6_Stage2NitrogenInMMS(P$149,F167)</f>
        <v>1898.7379568640001</v>
      </c>
      <c r="R174" s="55" cm="1">
        <f t="array" ref="R174">MMS_Feedlot_N2ODirect_Equations.VEERG_4_1_1_3__6_Stage2NitrogenInMMS(Q$149,G167)</f>
        <v>2742.4316159999994</v>
      </c>
      <c r="S174" s="2" t="str">
        <f>$E$159</f>
        <v>kg N</v>
      </c>
    </row>
    <row r="175" spans="4:19" ht="20.100000000000001" customHeight="1" x14ac:dyDescent="0.25">
      <c r="D175" s="55" t="str">
        <f>'Input - Feedlot'!$D$33</f>
        <v>Composting (passive windrow)</v>
      </c>
      <c r="E175" s="55" cm="1">
        <f t="array" ref="E175">MMS_Feedlot_N2ODirect_Equations.VEERG_4_1_1_3__6_Stage2NitrogenInMMS(D$149,E168)</f>
        <v>1250.3589396480006</v>
      </c>
      <c r="F175" s="55" cm="1">
        <f t="array" ref="F175">MMS_Feedlot_N2ODirect_Equations.VEERG_4_1_1_3__6_Stage2NitrogenInMMS(E$149,F168)</f>
        <v>1898.7379568640001</v>
      </c>
      <c r="G175" s="55" cm="1">
        <f t="array" ref="G175">MMS_Feedlot_N2ODirect_Equations.VEERG_4_1_1_3__6_Stage2NitrogenInMMS(F$149,G168)</f>
        <v>2742.4316159999994</v>
      </c>
      <c r="H175" s="2" t="str">
        <f>$E$159</f>
        <v>kg N</v>
      </c>
      <c r="I175" s="2"/>
      <c r="J175" s="2"/>
      <c r="K175" s="2"/>
      <c r="O175" s="55" t="str">
        <f>'Input - Feedlot'!$D$33</f>
        <v>Composting (passive windrow)</v>
      </c>
      <c r="P175" s="55" cm="1">
        <f t="array" ref="P175">MMS_Feedlot_N2ODirect_Equations.VEERG_4_1_1_3__6_Stage2NitrogenInMMS(O$149,E168)</f>
        <v>1250.3589396480006</v>
      </c>
      <c r="Q175" s="55" cm="1">
        <f t="array" ref="Q175">MMS_Feedlot_N2ODirect_Equations.VEERG_4_1_1_3__6_Stage2NitrogenInMMS(P$149,F168)</f>
        <v>1898.7379568640001</v>
      </c>
      <c r="R175" s="55" cm="1">
        <f t="array" ref="R175">MMS_Feedlot_N2ODirect_Equations.VEERG_4_1_1_3__6_Stage2NitrogenInMMS(Q$149,G168)</f>
        <v>2742.4316159999994</v>
      </c>
      <c r="S175" s="2" t="str">
        <f>$E$159</f>
        <v>kg N</v>
      </c>
    </row>
    <row r="176" spans="4:19" ht="20.100000000000001" customHeight="1" x14ac:dyDescent="0.25">
      <c r="D176" s="55" t="str">
        <f>'Input - Feedlot'!$D$34</f>
        <v>Direct application</v>
      </c>
      <c r="E176" s="55" cm="1">
        <f t="array" ref="E176">MMS_Feedlot_N2ODirect_Equations.VEERG_4_1_1_3__6_Stage2NitrogenInMMS(D$149,E169)</f>
        <v>3751.0768189440014</v>
      </c>
      <c r="F176" s="55" cm="1">
        <f t="array" ref="F176">MMS_Feedlot_N2ODirect_Equations.VEERG_4_1_1_3__6_Stage2NitrogenInMMS(E$149,F169)</f>
        <v>5696.2138705919997</v>
      </c>
      <c r="G176" s="55" cm="1">
        <f t="array" ref="G176">MMS_Feedlot_N2ODirect_Equations.VEERG_4_1_1_3__6_Stage2NitrogenInMMS(F$149,G169)</f>
        <v>8227.2948479999977</v>
      </c>
      <c r="H176" s="2" t="str">
        <f>$E$159</f>
        <v>kg N</v>
      </c>
      <c r="I176" s="2"/>
      <c r="J176" s="2"/>
      <c r="K176" s="2"/>
      <c r="O176" s="55" t="str">
        <f>'Input - Feedlot'!$D$34</f>
        <v>Direct application</v>
      </c>
      <c r="P176" s="55" cm="1">
        <f t="array" ref="P176">MMS_Feedlot_N2ODirect_Equations.VEERG_4_1_1_3__6_Stage2NitrogenInMMS(O$149,E169)</f>
        <v>3751.0768189440014</v>
      </c>
      <c r="Q176" s="55" cm="1">
        <f t="array" ref="Q176">MMS_Feedlot_N2ODirect_Equations.VEERG_4_1_1_3__6_Stage2NitrogenInMMS(P$149,F169)</f>
        <v>5696.2138705919997</v>
      </c>
      <c r="R176" s="55" cm="1">
        <f t="array" ref="R176">MMS_Feedlot_N2ODirect_Equations.VEERG_4_1_1_3__6_Stage2NitrogenInMMS(Q$149,G169)</f>
        <v>8227.2948479999977</v>
      </c>
      <c r="S176" s="2" t="str">
        <f>$E$159</f>
        <v>kg N</v>
      </c>
    </row>
    <row r="177" spans="3:20" ht="20.100000000000001" customHeight="1" x14ac:dyDescent="0.25"/>
    <row r="178" spans="3:20" ht="20.100000000000001" customHeight="1" x14ac:dyDescent="0.25">
      <c r="C178" s="48"/>
      <c r="D178" s="48"/>
      <c r="E178" s="48"/>
      <c r="F178" s="48"/>
      <c r="G178" s="48"/>
      <c r="H178" s="48"/>
      <c r="I178" s="48"/>
      <c r="J178" s="48"/>
      <c r="K178" s="48"/>
      <c r="L178" s="48"/>
      <c r="N178" s="48"/>
      <c r="O178" s="48"/>
      <c r="P178" s="48"/>
      <c r="Q178" s="48"/>
      <c r="R178" s="48"/>
      <c r="S178" s="48"/>
      <c r="T178" s="48"/>
    </row>
    <row r="179" spans="3:20" ht="20.100000000000001" customHeight="1" x14ac:dyDescent="0.25">
      <c r="D179" s="6" t="str" cm="1">
        <f t="array" ref="D179">MMS_Feedlot_N2ODirect_Equations.VEERG_4_1_1_3__1_TotalAnnualDirectNitrousOxideEmissions_Title()</f>
        <v>Total annual direct nitrous oxide emissions from manure management systems</v>
      </c>
    </row>
    <row r="180" spans="3:20" ht="20.100000000000001" customHeight="1" x14ac:dyDescent="0.25">
      <c r="D180" s="5" t="str" cm="1">
        <f t="array" ref="D180">MMS_Feedlot_N2ODirect_Equations.VEERG_4_1_1_3__1_TotalAnnualDirectNitrousOxideEmissions_Source()</f>
        <v>VEERG 2026: 4.1.1.3, Equation (1)</v>
      </c>
    </row>
    <row r="181" spans="3:20" ht="20.100000000000001" customHeight="1" x14ac:dyDescent="0.25">
      <c r="D181" s="13" t="s">
        <v>25</v>
      </c>
      <c r="E181" s="13" t="str" cm="1">
        <f t="array" aca="1" ref="E181" ca="1">Common_InputFunctions.Utility_DisplayFunctionName(E206)</f>
        <v>=MMS_Feedlot_N2ODirect_Equations.VEERG_4_1_1_3__1_TotalAnnualDirectNitrousOxideEmissions</v>
      </c>
    </row>
    <row r="182" spans="3:20" ht="20.100000000000001" customHeight="1" x14ac:dyDescent="0.25"/>
    <row r="183" spans="3:20" ht="20.100000000000001" customHeight="1" x14ac:dyDescent="0.25">
      <c r="D183" s="6"/>
    </row>
    <row r="184" spans="3:20" ht="20.100000000000001" customHeight="1" x14ac:dyDescent="0.25"/>
    <row r="185" spans="3:20" ht="20.100000000000001" customHeight="1" x14ac:dyDescent="0.25">
      <c r="D185" s="56" t="s">
        <v>28</v>
      </c>
      <c r="E185" s="1" t="str" cm="1">
        <f t="array" ref="E185">MMS_Feedlot_N2ODirect_Equations.VEERG_4_1_1_3__1_TotalAnnualDirectNitrousOxideEmissions_Variable()</f>
        <v>E_N2Odir</v>
      </c>
    </row>
    <row r="186" spans="3:20" ht="20.100000000000001" customHeight="1" x14ac:dyDescent="0.25">
      <c r="D186" s="56" t="s">
        <v>18</v>
      </c>
      <c r="E186" s="57" t="str" cm="1">
        <f t="array" ref="E186">MMS_Feedlot_N2ODirect_Equations.VEERG_4_1_1_3__1_TotalAnnualDirectNitrousOxideEmissions_Unit()</f>
        <v>t N2O</v>
      </c>
    </row>
    <row r="187" spans="3:20" ht="20.100000000000001" customHeight="1" x14ac:dyDescent="0.25"/>
    <row r="188" spans="3:20" ht="20.100000000000001" customHeight="1" x14ac:dyDescent="0.25">
      <c r="D188" s="138" t="str" cm="1">
        <f t="array" ref="D188:E190">_xlfn.CHOOSECOLS(MMS_Feedlot_N2ODirect_Equations.VEERG_4_1_1_3__1_TotalAnnualDirectNitrousOxideEmissions_Arguments(),1,2)</f>
        <v>MN_jmT</v>
      </c>
      <c r="E188" s="141" t="str">
        <v>nitrogen per cattle group, MMS and treatment stage</v>
      </c>
      <c r="F188" s="140"/>
      <c r="G188" s="138" t="str" cm="1">
        <f t="array" ref="G188:H190">_xlfn.CHOOSECOLS(MMS_Feedlot_N2ODirect_Equations.VEERG_4_1_1_3__1_TotalAnnualDirectNitrousOxideEmissions_Arguments(),3,4)</f>
        <v>kg N</v>
      </c>
      <c r="H188" s="130" t="str">
        <v>Calculated from 4.1.1.3 (2)(6)(8)</v>
      </c>
      <c r="I188" s="139" t="str" cm="1">
        <f t="array" aca="1" ref="I188" ca="1">HYPERLINK(Common_InputFunctions.Utility_SourceHyperlink($D$103),$D$103)</f>
        <v>M1_Table_MN_j_m-5_T-1</v>
      </c>
      <c r="J188" s="139" t="str" cm="1">
        <f t="array" aca="1" ref="J188" ca="1">HYPERLINK(Common_InputFunctions.Utility_SourceHyperlink($D$171),$D$171)</f>
        <v>M1_Table_MN_j_m_T-2</v>
      </c>
      <c r="K188" s="139" t="str" cm="1">
        <f t="array" aca="1" ref="K188" ca="1">HYPERLINK(Common_InputFunctions.Utility_SourceHyperlink($D$126),$D$126)</f>
        <v>M1_Table_MN_j_m-1_T-3</v>
      </c>
    </row>
    <row r="189" spans="3:20" ht="20.100000000000001" customHeight="1" x14ac:dyDescent="0.25">
      <c r="D189" s="138" t="str">
        <v>EF_jm</v>
      </c>
      <c r="E189" s="141" t="str">
        <v>nitrous oxide emission factor for MMS</v>
      </c>
      <c r="F189" s="140"/>
      <c r="G189" s="138" t="str">
        <v>kg N2O-N/kg N</v>
      </c>
      <c r="H189" s="130" t="str">
        <v>Constant</v>
      </c>
      <c r="I189" s="139" t="str" cm="1">
        <f t="array" aca="1" ref="I189" ca="1">HYPERLINK(Common_InputFunctions.Utility_SourceHyperlink($D$192),$D$192)</f>
        <v>Table_EF_j_m</v>
      </c>
      <c r="J189" s="138"/>
      <c r="K189" s="138"/>
    </row>
    <row r="190" spans="3:20" ht="20.100000000000001" customHeight="1" x14ac:dyDescent="0.25">
      <c r="D190" s="138" t="str">
        <v>C_N2O</v>
      </c>
      <c r="E190" s="141" t="str">
        <v>factor to convert elemental mass of nitrous oxide to molecular mass</v>
      </c>
      <c r="F190" s="140"/>
      <c r="G190" s="138" t="str">
        <v>ratio</v>
      </c>
      <c r="H190" s="130" t="str">
        <v>Constant</v>
      </c>
      <c r="I190" s="138">
        <f>Common_InputFunctions.Utility_LookupValueInTableNumber("N2O",Table_GasToMolecularConversionFactor[Gas],Table_GasToMolecularConversionFactor[Conversion factor combined])</f>
        <v>1.5714285714285714</v>
      </c>
      <c r="J190" s="138"/>
      <c r="K190" s="138"/>
    </row>
    <row r="191" spans="3:20" ht="20.100000000000001" customHeight="1" x14ac:dyDescent="0.25"/>
    <row r="192" spans="3:20" ht="20.100000000000001" customHeight="1" x14ac:dyDescent="0.25">
      <c r="D192" s="104" t="s">
        <v>167</v>
      </c>
    </row>
    <row r="193" spans="4:19" ht="20.100000000000001" customHeight="1" x14ac:dyDescent="0.25">
      <c r="D193" s="103" t="s">
        <v>168</v>
      </c>
    </row>
    <row r="194" spans="4:19" ht="20.100000000000001" customHeight="1" x14ac:dyDescent="0.25">
      <c r="D194" s="115" t="s">
        <v>66</v>
      </c>
      <c r="E194" s="115" t="s">
        <v>169</v>
      </c>
    </row>
    <row r="195" spans="4:19" ht="20.100000000000001" customHeight="1" x14ac:dyDescent="0.25">
      <c r="D195" s="55" t="str">
        <f>'Input - Feedlot'!$D$28</f>
        <v>Drylot (feed pad)</v>
      </c>
      <c r="E195" s="55">
        <f>_xlfn.XLOOKUP($D$195, Table_SourceData_Feedlot_NO2EFs[NIR definition], Table_SourceData_Feedlot_NO2EFs[EF mT])</f>
        <v>5.4000000000000003E-3</v>
      </c>
    </row>
    <row r="196" spans="4:19" ht="20.100000000000001" customHeight="1" x14ac:dyDescent="0.25">
      <c r="D196" s="55" t="str">
        <f>'Input - Feedlot'!$D$32</f>
        <v>Solid storage</v>
      </c>
      <c r="E196" s="55">
        <f>_xlfn.XLOOKUP($D$196, Table_SourceData_Feedlot_NO2EFs[NIR definition], Table_SourceData_Feedlot_NO2EFs[EF mT])</f>
        <v>5.0000000000000001E-3</v>
      </c>
    </row>
    <row r="197" spans="4:19" ht="20.100000000000001" customHeight="1" x14ac:dyDescent="0.25">
      <c r="D197" s="55" t="str">
        <f>'Input - Feedlot'!$D$33</f>
        <v>Composting (passive windrow)</v>
      </c>
      <c r="E197" s="55">
        <f>_xlfn.XLOOKUP($D$197, Table_SourceData_Feedlot_NO2EFs[NIR definition], Table_SourceData_Feedlot_NO2EFs[EF mT])</f>
        <v>0.01</v>
      </c>
    </row>
    <row r="198" spans="4:19" ht="20.100000000000001" customHeight="1" x14ac:dyDescent="0.25">
      <c r="D198" s="55" t="str">
        <f>'Input - Feedlot'!$D$38</f>
        <v>Anaerobic lagoon</v>
      </c>
      <c r="E198" s="55">
        <f>_xlfn.XLOOKUP($D$198, Table_SourceData_Feedlot_NO2EFs[NIR definition], Table_SourceData_Feedlot_NO2EFs[EF mT])</f>
        <v>0</v>
      </c>
    </row>
    <row r="199" spans="4:19" ht="20.100000000000001" customHeight="1" x14ac:dyDescent="0.25"/>
    <row r="200" spans="4:19" ht="20.100000000000001" customHeight="1" x14ac:dyDescent="0.25">
      <c r="D200" s="116" t="s">
        <v>344</v>
      </c>
      <c r="E200" s="94"/>
      <c r="F200" s="94"/>
      <c r="G200" s="90"/>
    </row>
    <row r="201" spans="4:19" ht="20.100000000000001" customHeight="1" x14ac:dyDescent="0.25">
      <c r="D201" s="96" t="s">
        <v>327</v>
      </c>
      <c r="E201" s="93"/>
      <c r="F201" s="93"/>
      <c r="G201" s="91"/>
    </row>
    <row r="202" spans="4:19" ht="20.100000000000001" customHeight="1" x14ac:dyDescent="0.25"/>
    <row r="203" spans="4:19" ht="20.100000000000001" customHeight="1" x14ac:dyDescent="0.25">
      <c r="D203" s="104" t="s">
        <v>176</v>
      </c>
      <c r="O203" s="104" t="s">
        <v>357</v>
      </c>
    </row>
    <row r="204" spans="4:19" ht="20.100000000000001" customHeight="1" x14ac:dyDescent="0.25">
      <c r="D204" s="103" t="s">
        <v>177</v>
      </c>
      <c r="O204" s="103" t="s">
        <v>178</v>
      </c>
    </row>
    <row r="205" spans="4:19" ht="20.100000000000001" customHeight="1" x14ac:dyDescent="0.25">
      <c r="D205" s="115" t="s">
        <v>66</v>
      </c>
      <c r="E205" s="54" t="s">
        <v>135</v>
      </c>
      <c r="F205" s="54" t="s">
        <v>136</v>
      </c>
      <c r="G205" s="54" t="s">
        <v>137</v>
      </c>
      <c r="O205" s="115" t="s">
        <v>66</v>
      </c>
      <c r="P205" s="54" t="s">
        <v>135</v>
      </c>
      <c r="Q205" s="54" t="s">
        <v>136</v>
      </c>
      <c r="R205" s="54" t="s">
        <v>137</v>
      </c>
    </row>
    <row r="206" spans="4:19" ht="20.100000000000001" customHeight="1" x14ac:dyDescent="0.25">
      <c r="D206" s="55" t="str">
        <f>'Input - Feedlot'!$D$28</f>
        <v>Drylot (feed pad)</v>
      </c>
      <c r="E206" s="55" cm="1">
        <f t="array" ref="E206">MMS_Feedlot_N2ODirect_Equations.VEERG_4_1_1_3__1_TotalAnnualDirectNitrousOxideEmissions(E$106,$E195,$I$190)</f>
        <v>0.14162024448000005</v>
      </c>
      <c r="F206" s="55" cm="1">
        <f t="array" ref="F206">MMS_Feedlot_N2ODirect_Equations.VEERG_4_1_1_3__1_TotalAnnualDirectNitrousOxideEmissions(F$106,$E195,$I$190)</f>
        <v>0.21505803264000004</v>
      </c>
      <c r="G206" s="55" cm="1">
        <f t="array" ref="G206">MMS_Feedlot_N2ODirect_Equations.VEERG_4_1_1_3__1_TotalAnnualDirectNitrousOxideEmissions(G$106,$E195,$I$190)</f>
        <v>0.31061787428571419</v>
      </c>
      <c r="H206" s="2" t="str">
        <f>$E$186</f>
        <v>t N2O</v>
      </c>
      <c r="I206" s="2"/>
      <c r="J206" s="2"/>
      <c r="K206" s="2"/>
      <c r="O206" s="55" t="str">
        <f>'Input - Feedlot'!$D$28</f>
        <v>Drylot (feed pad)</v>
      </c>
      <c r="P206" s="55" cm="1">
        <f t="array" ref="P206">MMS_Feedlot_N2ODirect_Equations.VEERG_4_1_1_3__1_TotalAnnualDirectNitrousOxideEmissions(P$106,$E195,$I$190)</f>
        <v>0.14162024448000005</v>
      </c>
      <c r="Q206" s="55" cm="1">
        <f t="array" ref="Q206">MMS_Feedlot_N2ODirect_Equations.VEERG_4_1_1_3__1_TotalAnnualDirectNitrousOxideEmissions(Q$106,$E195,$I$190)</f>
        <v>0.21505803264000004</v>
      </c>
      <c r="R206" s="55" cm="1">
        <f t="array" ref="R206">MMS_Feedlot_N2ODirect_Equations.VEERG_4_1_1_3__1_TotalAnnualDirectNitrousOxideEmissions(R$106,$E195,$I$190)</f>
        <v>0.31061787428571419</v>
      </c>
      <c r="S206" s="2" t="str">
        <f>$E$186</f>
        <v>t N2O</v>
      </c>
    </row>
    <row r="207" spans="4:19" ht="20.100000000000001" customHeight="1" x14ac:dyDescent="0.25">
      <c r="D207" s="55" t="str">
        <f>'Input - Feedlot'!$D$32</f>
        <v>Solid storage</v>
      </c>
      <c r="E207" s="55" cm="1">
        <f t="array" ref="E207">MMS_Feedlot_N2ODirect_Equations.VEERG_4_1_1_3__1_TotalAnnualDirectNitrousOxideEmissions(E$174,$E196,$I$190)</f>
        <v>9.8242488115200047E-3</v>
      </c>
      <c r="F207" s="55" cm="1">
        <f t="array" ref="F207">MMS_Feedlot_N2ODirect_Equations.VEERG_4_1_1_3__1_TotalAnnualDirectNitrousOxideEmissions(F$174,$E196,$I$190)</f>
        <v>1.4918655375360001E-2</v>
      </c>
      <c r="G207" s="55" cm="1">
        <f t="array" ref="G207">MMS_Feedlot_N2ODirect_Equations.VEERG_4_1_1_3__1_TotalAnnualDirectNitrousOxideEmissions(G$174,$E196,$I$190)</f>
        <v>2.1547676982857138E-2</v>
      </c>
      <c r="H207" s="2" t="str">
        <f>$E$186</f>
        <v>t N2O</v>
      </c>
      <c r="I207" s="2"/>
      <c r="J207" s="2"/>
      <c r="K207" s="2"/>
      <c r="O207" s="55" t="str">
        <f>'Input - Feedlot'!$D$32</f>
        <v>Solid storage</v>
      </c>
      <c r="P207" s="55" cm="1">
        <f t="array" ref="P207">MMS_Feedlot_N2ODirect_Equations.VEERG_4_1_1_3__1_TotalAnnualDirectNitrousOxideEmissions(P$174,$E196,$I$190)</f>
        <v>9.8242488115200047E-3</v>
      </c>
      <c r="Q207" s="55" cm="1">
        <f t="array" ref="Q207">MMS_Feedlot_N2ODirect_Equations.VEERG_4_1_1_3__1_TotalAnnualDirectNitrousOxideEmissions(Q$174,$E196,$I$190)</f>
        <v>1.4918655375360001E-2</v>
      </c>
      <c r="R207" s="55" cm="1">
        <f t="array" ref="R207">MMS_Feedlot_N2ODirect_Equations.VEERG_4_1_1_3__1_TotalAnnualDirectNitrousOxideEmissions(R$174,$E196,$I$190)</f>
        <v>2.1547676982857138E-2</v>
      </c>
      <c r="S207" s="2" t="str">
        <f>$E$186</f>
        <v>t N2O</v>
      </c>
    </row>
    <row r="208" spans="4:19" ht="20.100000000000001" customHeight="1" x14ac:dyDescent="0.25">
      <c r="D208" s="55" t="str">
        <f>'Input - Feedlot'!$D$33</f>
        <v>Composting (passive windrow)</v>
      </c>
      <c r="E208" s="55" cm="1">
        <f t="array" ref="E208">MMS_Feedlot_N2ODirect_Equations.VEERG_4_1_1_3__1_TotalAnnualDirectNitrousOxideEmissions(E$175,$E197,$I$190)</f>
        <v>1.9648497623040009E-2</v>
      </c>
      <c r="F208" s="55" cm="1">
        <f t="array" ref="F208">MMS_Feedlot_N2ODirect_Equations.VEERG_4_1_1_3__1_TotalAnnualDirectNitrousOxideEmissions(F$175,$E197,$I$190)</f>
        <v>2.9837310750720002E-2</v>
      </c>
      <c r="G208" s="55" cm="1">
        <f t="array" ref="G208">MMS_Feedlot_N2ODirect_Equations.VEERG_4_1_1_3__1_TotalAnnualDirectNitrousOxideEmissions(G$175,$E197,$I$190)</f>
        <v>4.3095353965714275E-2</v>
      </c>
      <c r="H208" s="2" t="str">
        <f>$E$186</f>
        <v>t N2O</v>
      </c>
      <c r="I208" s="2"/>
      <c r="J208" s="2"/>
      <c r="K208" s="2"/>
      <c r="O208" s="55" t="str">
        <f>'Input - Feedlot'!$D$33</f>
        <v>Composting (passive windrow)</v>
      </c>
      <c r="P208" s="55" cm="1">
        <f t="array" ref="P208">MMS_Feedlot_N2ODirect_Equations.VEERG_4_1_1_3__1_TotalAnnualDirectNitrousOxideEmissions(P$175,$E197,$I$190)</f>
        <v>1.9648497623040009E-2</v>
      </c>
      <c r="Q208" s="55" cm="1">
        <f t="array" ref="Q208">MMS_Feedlot_N2ODirect_Equations.VEERG_4_1_1_3__1_TotalAnnualDirectNitrousOxideEmissions(Q$175,$E197,$I$190)</f>
        <v>2.9837310750720002E-2</v>
      </c>
      <c r="R208" s="55" cm="1">
        <f t="array" ref="R208">MMS_Feedlot_N2ODirect_Equations.VEERG_4_1_1_3__1_TotalAnnualDirectNitrousOxideEmissions(R$175,$E197,$I$190)</f>
        <v>4.3095353965714275E-2</v>
      </c>
      <c r="S208" s="2" t="str">
        <f>$E$186</f>
        <v>t N2O</v>
      </c>
    </row>
    <row r="209" spans="4:19" ht="20.100000000000001" customHeight="1" x14ac:dyDescent="0.25">
      <c r="D209" s="55" t="str">
        <f>'Input - Feedlot'!$D$34</f>
        <v>Direct application</v>
      </c>
      <c r="E209" s="55" t="s">
        <v>313</v>
      </c>
      <c r="F209" s="55" t="s">
        <v>313</v>
      </c>
      <c r="G209" s="55" t="s">
        <v>313</v>
      </c>
      <c r="H209" s="2" t="str">
        <f>$E$186</f>
        <v>t N2O</v>
      </c>
      <c r="I209" s="2"/>
      <c r="J209" s="2"/>
      <c r="K209" s="2"/>
      <c r="O209" s="55" t="str">
        <f>'Input - Feedlot'!$D$34</f>
        <v>Direct application</v>
      </c>
      <c r="P209" s="55" t="s">
        <v>313</v>
      </c>
      <c r="Q209" s="55" t="s">
        <v>313</v>
      </c>
      <c r="R209" s="55" t="s">
        <v>313</v>
      </c>
      <c r="S209" s="2" t="str">
        <f>$E$186</f>
        <v>t N2O</v>
      </c>
    </row>
    <row r="210" spans="4:19" ht="20.100000000000001" customHeight="1" x14ac:dyDescent="0.25">
      <c r="D210" s="55" t="str">
        <f>'Input - Feedlot'!$D$38</f>
        <v>Anaerobic lagoon</v>
      </c>
      <c r="E210" s="55" cm="1">
        <f t="array" ref="E210">MMS_Feedlot_N2ODirect_Equations.VEERG_4_1_1_3__1_TotalAnnualDirectNitrousOxideEmissions(E$129,$E198,$I$190)</f>
        <v>0</v>
      </c>
      <c r="F210" s="55" cm="1">
        <f t="array" ref="F210">MMS_Feedlot_N2ODirect_Equations.VEERG_4_1_1_3__1_TotalAnnualDirectNitrousOxideEmissions(F$129,$E198,$I$190)</f>
        <v>0</v>
      </c>
      <c r="G210" s="55" cm="1">
        <f t="array" ref="G210">MMS_Feedlot_N2ODirect_Equations.VEERG_4_1_1_3__1_TotalAnnualDirectNitrousOxideEmissions(G$129,$E198,$I$190)</f>
        <v>0</v>
      </c>
      <c r="H210" s="2" t="str">
        <f>$E$186</f>
        <v>t N2O</v>
      </c>
      <c r="I210" s="2"/>
      <c r="J210" s="2"/>
      <c r="K210" s="2"/>
      <c r="O210" s="55" t="str">
        <f>'Input - Feedlot'!$D$38</f>
        <v>Anaerobic lagoon</v>
      </c>
      <c r="P210" s="55" cm="1">
        <f t="array" ref="P210">MMS_Feedlot_N2ODirect_Equations.VEERG_4_1_1_3__1_TotalAnnualDirectNitrousOxideEmissions(P$129,$E198,$I$190)</f>
        <v>0</v>
      </c>
      <c r="Q210" s="55" cm="1">
        <f t="array" ref="Q210">MMS_Feedlot_N2ODirect_Equations.VEERG_4_1_1_3__1_TotalAnnualDirectNitrousOxideEmissions(Q$129,$E198,$I$190)</f>
        <v>0</v>
      </c>
      <c r="R210" s="55" cm="1">
        <f t="array" ref="R210">MMS_Feedlot_N2ODirect_Equations.VEERG_4_1_1_3__1_TotalAnnualDirectNitrousOxideEmissions(R$129,$E198,$I$190)</f>
        <v>0</v>
      </c>
      <c r="S210" s="2" t="str">
        <f>$E$186</f>
        <v>t N2O</v>
      </c>
    </row>
    <row r="211" spans="4:19" ht="20.100000000000001" customHeight="1" x14ac:dyDescent="0.25"/>
    <row r="212" spans="4:19" ht="20.100000000000001" customHeight="1" x14ac:dyDescent="0.25">
      <c r="D212" s="108" t="s">
        <v>170</v>
      </c>
      <c r="E212" s="109">
        <f>SUM(E206:G210)</f>
        <v>0.80616789491492569</v>
      </c>
      <c r="F212" s="110" t="str">
        <f>$E$186</f>
        <v>t N2O</v>
      </c>
      <c r="O212" s="108" t="s">
        <v>170</v>
      </c>
      <c r="P212" s="109">
        <f>SUM(P206:R210)</f>
        <v>0.80616789491492569</v>
      </c>
      <c r="Q212" s="110" t="str">
        <f>$E$186</f>
        <v>t N2O</v>
      </c>
    </row>
    <row r="213" spans="4:19" ht="20.100000000000001" customHeight="1" x14ac:dyDescent="0.25"/>
    <row r="214" spans="4:19" ht="20.100000000000001" customHeight="1" x14ac:dyDescent="0.25">
      <c r="D214" s="60" t="str" cm="1">
        <f t="array" ref="D214:E215">Common_Equations.Common_ConvertN2OToCO2e_Arguments()</f>
        <v>EN2O</v>
      </c>
      <c r="E214" s="61" t="str">
        <v>Nitrous oxide emissions (t N2O)</v>
      </c>
      <c r="F214" s="111"/>
      <c r="G214" s="55">
        <f>E212</f>
        <v>0.80616789491492569</v>
      </c>
      <c r="O214" s="60" t="str" cm="1">
        <f t="array" ref="O214:P215">Common_Equations.Common_ConvertN2OToCO2e_Arguments()</f>
        <v>EN2O</v>
      </c>
      <c r="P214" s="61" t="str">
        <v>Nitrous oxide emissions (t N2O)</v>
      </c>
      <c r="Q214" s="111"/>
      <c r="R214" s="55">
        <f>P212</f>
        <v>0.80616789491492569</v>
      </c>
    </row>
    <row r="215" spans="4:19" ht="20.100000000000001" customHeight="1" x14ac:dyDescent="0.25">
      <c r="D215" s="60" t="str">
        <v>GWPN2O</v>
      </c>
      <c r="E215" s="61" t="str">
        <v>Global warming potential for nitrous oxide (t CO2-e / t N2O)</v>
      </c>
      <c r="F215" s="111"/>
      <c r="G215" s="55">
        <f>Common_InputFunctions.Utility_LookupValueInTableNumber("N2O",Table_GWPData[Gas],Table_GWPData[CO2-e factor])</f>
        <v>265</v>
      </c>
      <c r="O215" s="60" t="str">
        <v>GWPN2O</v>
      </c>
      <c r="P215" s="61" t="str">
        <v>Global warming potential for nitrous oxide (t CO2-e / t N2O)</v>
      </c>
      <c r="Q215" s="111"/>
      <c r="R215" s="55">
        <f>Common_InputFunctions.Utility_LookupValueInTableNumber("N2O",Table_GWPData[Gas],Table_GWPData[CO2-e factor])</f>
        <v>265</v>
      </c>
    </row>
    <row r="216" spans="4:19" ht="20.100000000000001" customHeight="1" x14ac:dyDescent="0.25"/>
    <row r="217" spans="4:19" ht="20.100000000000001" customHeight="1" x14ac:dyDescent="0.25">
      <c r="D217" s="48" t="s">
        <v>124</v>
      </c>
      <c r="E217" s="48" cm="1">
        <f t="array" ref="E217">Common_Equations.Common_ConvertN2OToCO2e(G214,G215)</f>
        <v>213.63449215245529</v>
      </c>
      <c r="F217" s="112" t="str" cm="1">
        <f t="array" ref="F217">Common_Equations.Common_ConvertN2OToCO2e_Unit()</f>
        <v>t CO2e</v>
      </c>
      <c r="O217" s="48" t="s">
        <v>124</v>
      </c>
      <c r="P217" s="48" cm="1">
        <f t="array" ref="P217">Common_Equations.Common_ConvertN2OToCO2e(R214,R215)</f>
        <v>213.63449215245529</v>
      </c>
      <c r="Q217" s="112" t="str" cm="1">
        <f t="array" ref="Q217">Common_Equations.Common_ConvertN2OToCO2e_Unit()</f>
        <v>t CO2e</v>
      </c>
    </row>
  </sheetData>
  <dataValidations count="1">
    <dataValidation operator="equal" allowBlank="1" showInputMessage="1" showErrorMessage="1" sqref="D78:F78 D73:F73 D83:F83 O83:Q83 E106:K106 E101:K101 P106:S1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S165"/>
  <sheetViews>
    <sheetView showGridLines="0" topLeftCell="A34" zoomScale="85" zoomScaleNormal="85" workbookViewId="0">
      <selection activeCell="E70" sqref="E7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258</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L3" s="4"/>
      <c r="M3" s="4" t="s">
        <v>157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MMS_Feedlot_AtmosphericDeposition_Equations.VEERG_4_1_1_5__2_VolatilisedNitrogenFromManureManagement_Title()</f>
        <v>Volatilised nitrogen from manure management</v>
      </c>
    </row>
    <row r="6" spans="1:19" ht="20.100000000000001" customHeight="1" x14ac:dyDescent="0.25">
      <c r="A6" s="16"/>
      <c r="D6" s="5" t="str" cm="1">
        <f t="array" ref="D6">MMS_Feedlot_AtmosphericDeposition_Equations.VEERG_4_1_1_5__2_VolatilisedNitrogenFromManureManagement_Source()</f>
        <v>VEERG 2026: 4.1.1.5, Equation (2)</v>
      </c>
    </row>
    <row r="7" spans="1:19" ht="20.100000000000001" customHeight="1" x14ac:dyDescent="0.25">
      <c r="A7" s="20" t="s">
        <v>3</v>
      </c>
      <c r="D7" s="13" t="s">
        <v>25</v>
      </c>
      <c r="E7" s="13" t="str" cm="1">
        <f t="array" aca="1" ref="E7" ca="1">Common_InputFunctions.Utility_DisplayFunctionName(E40)</f>
        <v>=MMS_Feedlot_AtmosphericDeposition_Equations.VEERG_4_1_1_5__2_VolatilisedNitrogenFromManureManagement</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row>
    <row r="11" spans="1:19" ht="20.100000000000001" customHeight="1" x14ac:dyDescent="0.25">
      <c r="A11" s="19" t="s">
        <v>74</v>
      </c>
      <c r="D11" s="56" t="s">
        <v>28</v>
      </c>
      <c r="E11" s="1" t="str" cm="1">
        <f t="array" ref="E11">MMS_Feedlot_AtmosphericDeposition_Equations.VEERG_4_1_1_5__2_VolatilisedNitrogenFromManureManagement_Variable()</f>
        <v>MMS_ATMOS</v>
      </c>
    </row>
    <row r="12" spans="1:19" ht="20.100000000000001" customHeight="1" x14ac:dyDescent="0.25">
      <c r="A12" s="17" t="str">
        <f>HYPERLINK("#'4.1.1.1-2 Methane'!A1", "4.1.1.1-2 Methane")</f>
        <v>4.1.1.1-2 Methane</v>
      </c>
      <c r="D12" s="56" t="s">
        <v>18</v>
      </c>
      <c r="E12" s="57" t="str" cm="1">
        <f t="array" ref="E12">MMS_Feedlot_AtmosphericDeposition_Equations.VEERG_4_1_1_5__2_VolatilisedNitrogenFromManureManagement_Unit()</f>
        <v>kg N</v>
      </c>
    </row>
    <row r="13" spans="1:19" ht="20.100000000000001" customHeight="1" x14ac:dyDescent="0.25">
      <c r="A13" s="17" t="str">
        <f>HYPERLINK("#'4.1.1.3-4 Direct N20'!A1", "4.1.1.3-4 Direct N2O")</f>
        <v>4.1.1.3-4 Direct N2O</v>
      </c>
    </row>
    <row r="14" spans="1:19" ht="20.100000000000001" customHeight="1" x14ac:dyDescent="0.25">
      <c r="A14" s="22" t="str">
        <f>HYPERLINK("#'4.1.1.5-6 Atmos Deposition'!A1", "4.1.1.5-6 Atmospheric deposition")</f>
        <v>4.1.1.5-6 Atmospheric deposition</v>
      </c>
      <c r="D14" s="138" t="str" cm="1">
        <f t="array" ref="D14:E15">_xlfn.CHOOSECOLS(MMS_Feedlot_AtmosphericDeposition_Equations.VEERG_4_1_1_5__2_VolatilisedNitrogenFromManureManagement_Arguments(),1,2)</f>
        <v>MN_jmT</v>
      </c>
      <c r="E14" s="138" t="str">
        <v>nitrogen in each treatment stage MMS (excluding MN_ijm13T2)</v>
      </c>
      <c r="F14" s="138"/>
      <c r="G14" s="138" t="str" cm="1">
        <f t="array" ref="G14:H15">_xlfn.CHOOSECOLS(MMS_Feedlot_AtmosphericDeposition_Equations.VEERG_4_1_1_5__2_VolatilisedNitrogenFromManureManagement_Arguments(),3,4)</f>
        <v>kg N</v>
      </c>
      <c r="H14" s="130" t="str">
        <v>Calculated from 4.1.1.3 (2)(6)(8)</v>
      </c>
      <c r="I14" s="139" t="str" cm="1">
        <f t="array" aca="1" ref="I14" ca="1">HYPERLINK(Common_InputFunctions.Utility_SourceHyperlink($D$20),$D$20)</f>
        <v>M1_Table_MN_j_m_T</v>
      </c>
    </row>
    <row r="15" spans="1:19" ht="20.100000000000001" customHeight="1" x14ac:dyDescent="0.25">
      <c r="A15" s="17" t="str">
        <f>HYPERLINK("#'4.1.1.9 Manure applied to soils'!A1", "4.1.1.9 Manure applied to soils")</f>
        <v>4.1.1.9 Manure applied to soils</v>
      </c>
      <c r="D15" s="138" t="str">
        <v>FracGASM_mT</v>
      </c>
      <c r="E15" s="138" t="str">
        <v>fraction of N volatilised in each MMS</v>
      </c>
      <c r="F15" s="138"/>
      <c r="G15" s="138" t="str">
        <v>(kg NH3-N + NOx-N)/kg N</v>
      </c>
      <c r="H15" s="130" t="str">
        <v>Constant</v>
      </c>
      <c r="I15" s="139" t="str" cm="1">
        <f t="array" aca="1" ref="I15" ca="1">HYPERLINK(Common_InputFunctions.Utility_SourceHyperlink($D$29),$D$29)</f>
        <v>Table_FracGASM_m_T-2-3</v>
      </c>
    </row>
    <row r="16" spans="1:19" ht="20.100000000000001" customHeight="1" x14ac:dyDescent="0.25"/>
    <row r="17" spans="1:18" ht="20.100000000000001" customHeight="1" x14ac:dyDescent="0.25">
      <c r="A17" s="18" t="s">
        <v>4</v>
      </c>
      <c r="D17" s="116" t="s">
        <v>328</v>
      </c>
      <c r="E17" s="94"/>
      <c r="F17" s="94"/>
      <c r="G17" s="90"/>
    </row>
    <row r="18" spans="1:18" ht="20.100000000000001" customHeight="1" x14ac:dyDescent="0.25">
      <c r="A18" s="17" t="str">
        <f>HYPERLINK("#'Constants - Feedlot'!A1", "Constants - Feedlot")</f>
        <v>Constants - Feedlot</v>
      </c>
      <c r="D18" s="96" t="s">
        <v>327</v>
      </c>
      <c r="E18" s="93"/>
      <c r="F18" s="93"/>
      <c r="G18" s="91"/>
    </row>
    <row r="19" spans="1:18" ht="20.100000000000001" customHeight="1" x14ac:dyDescent="0.25">
      <c r="A19" s="17" t="str">
        <f>HYPERLINK("#'Constants - Livestock'!A1", "Constants - Livestock")</f>
        <v>Constants - Livestock</v>
      </c>
    </row>
    <row r="20" spans="1:18" ht="20.100000000000001" customHeight="1" x14ac:dyDescent="0.25">
      <c r="A20" s="17" t="str">
        <f>HYPERLINK("#'Constants - Common'!A1", "Constants - Common")</f>
        <v>Constants - Common</v>
      </c>
      <c r="D20" s="104" t="s">
        <v>259</v>
      </c>
      <c r="M20" s="104" t="s">
        <v>262</v>
      </c>
    </row>
    <row r="21" spans="1:18" ht="20.100000000000001" customHeight="1" x14ac:dyDescent="0.25">
      <c r="A21" s="17" t="str">
        <f>HYPERLINK("#'Acknowledgements'!A1", "Acknowledgements")</f>
        <v>Acknowledgements</v>
      </c>
      <c r="D21" s="103" t="s">
        <v>261</v>
      </c>
      <c r="M21" s="103" t="s">
        <v>263</v>
      </c>
    </row>
    <row r="22" spans="1:18" ht="20.100000000000001" customHeight="1" x14ac:dyDescent="0.25">
      <c r="D22" s="115" t="s">
        <v>66</v>
      </c>
      <c r="E22" s="54" t="s">
        <v>135</v>
      </c>
      <c r="F22" s="54" t="s">
        <v>136</v>
      </c>
      <c r="G22" s="54" t="s">
        <v>137</v>
      </c>
      <c r="M22" s="115" t="s">
        <v>66</v>
      </c>
      <c r="N22" s="54" t="s">
        <v>135</v>
      </c>
      <c r="O22" s="54" t="s">
        <v>136</v>
      </c>
      <c r="P22" s="54" t="s">
        <v>137</v>
      </c>
    </row>
    <row r="23" spans="1:18" ht="20.100000000000001" customHeight="1" x14ac:dyDescent="0.25">
      <c r="D23" s="55" t="str">
        <f>'Input - Feedlot'!$D$28</f>
        <v>Drylot (feed pad)</v>
      </c>
      <c r="E23" s="55">
        <f>'4.1.1.3-4 Direct N20'!$E$106</f>
        <v>16689.254400000005</v>
      </c>
      <c r="F23" s="55">
        <f>'4.1.1.3-4 Direct N20'!$F$106</f>
        <v>25343.539200000003</v>
      </c>
      <c r="G23" s="55">
        <f>'4.1.1.3-4 Direct N20'!$G$106</f>
        <v>36604.799999999988</v>
      </c>
      <c r="H23" s="2" t="str">
        <f>$G$14</f>
        <v>kg N</v>
      </c>
      <c r="I23" s="2"/>
      <c r="M23" s="55" t="str">
        <f>'Input - Feedlot'!$D$28</f>
        <v>Drylot (feed pad)</v>
      </c>
      <c r="N23" s="55">
        <f>'4.1.1.3-4 Direct N20'!$P$106</f>
        <v>16689.254400000005</v>
      </c>
      <c r="O23" s="55">
        <f>'4.1.1.3-4 Direct N20'!$Q$106</f>
        <v>25343.539200000003</v>
      </c>
      <c r="P23" s="55">
        <f>'4.1.1.3-4 Direct N20'!$R$106</f>
        <v>36604.799999999988</v>
      </c>
      <c r="Q23" s="2" t="str">
        <f>$G$14</f>
        <v>kg N</v>
      </c>
      <c r="R23" s="2"/>
    </row>
    <row r="24" spans="1:18" ht="20.100000000000001" customHeight="1" x14ac:dyDescent="0.25">
      <c r="A24" s="17"/>
      <c r="D24" s="55" t="str">
        <f>'Input - Feedlot'!$D$32</f>
        <v>Solid storage</v>
      </c>
      <c r="E24" s="55">
        <f>'4.1.1.3-4 Direct N20'!$E$174</f>
        <v>1250.3589396480006</v>
      </c>
      <c r="F24" s="55">
        <f>'4.1.1.3-4 Direct N20'!$F$174</f>
        <v>1898.7379568640001</v>
      </c>
      <c r="G24" s="55">
        <f>'4.1.1.3-4 Direct N20'!$G$174</f>
        <v>2742.4316159999994</v>
      </c>
      <c r="H24" s="2"/>
      <c r="I24" s="2"/>
      <c r="M24" s="55" t="str">
        <f>'Input - Feedlot'!$D$32</f>
        <v>Solid storage</v>
      </c>
      <c r="N24" s="55">
        <f>'4.1.1.3-4 Direct N20'!$P$174</f>
        <v>1250.3589396480006</v>
      </c>
      <c r="O24" s="55">
        <f>'4.1.1.3-4 Direct N20'!$Q$174</f>
        <v>1898.7379568640001</v>
      </c>
      <c r="P24" s="55">
        <f>'4.1.1.3-4 Direct N20'!$R$174</f>
        <v>2742.4316159999994</v>
      </c>
      <c r="Q24" s="2"/>
      <c r="R24" s="2"/>
    </row>
    <row r="25" spans="1:18" ht="20.100000000000001" customHeight="1" x14ac:dyDescent="0.25">
      <c r="A25" s="17"/>
      <c r="D25" s="55" t="str">
        <f>'Input - Feedlot'!$D$33</f>
        <v>Composting (passive windrow)</v>
      </c>
      <c r="E25" s="55">
        <f>'4.1.1.3-4 Direct N20'!$E$175</f>
        <v>1250.3589396480006</v>
      </c>
      <c r="F25" s="55">
        <f>'4.1.1.3-4 Direct N20'!$F$175</f>
        <v>1898.7379568640001</v>
      </c>
      <c r="G25" s="55">
        <f>'4.1.1.3-4 Direct N20'!$G$175</f>
        <v>2742.4316159999994</v>
      </c>
      <c r="H25" s="2"/>
      <c r="I25" s="2"/>
      <c r="M25" s="55" t="str">
        <f>'Input - Feedlot'!$D$33</f>
        <v>Composting (passive windrow)</v>
      </c>
      <c r="N25" s="55">
        <f>'4.1.1.3-4 Direct N20'!$P$175</f>
        <v>1250.3589396480006</v>
      </c>
      <c r="O25" s="55">
        <f>'4.1.1.3-4 Direct N20'!$Q$175</f>
        <v>1898.7379568640001</v>
      </c>
      <c r="P25" s="55">
        <f>'4.1.1.3-4 Direct N20'!$R$175</f>
        <v>2742.4316159999994</v>
      </c>
      <c r="Q25" s="2"/>
      <c r="R25" s="2"/>
    </row>
    <row r="26" spans="1:18" ht="20.100000000000001" customHeight="1" x14ac:dyDescent="0.25">
      <c r="D26" s="55" t="str">
        <f>'Input - Feedlot'!$D$34</f>
        <v>Direct application</v>
      </c>
      <c r="E26" s="55" t="s">
        <v>313</v>
      </c>
      <c r="F26" s="55" t="s">
        <v>313</v>
      </c>
      <c r="G26" s="55" t="s">
        <v>313</v>
      </c>
      <c r="H26" s="2"/>
      <c r="I26" s="2"/>
      <c r="M26" s="55" t="str">
        <f>'Input - Feedlot'!$D$34</f>
        <v>Direct application</v>
      </c>
      <c r="N26" s="55" t="s">
        <v>313</v>
      </c>
      <c r="O26" s="55" t="s">
        <v>313</v>
      </c>
      <c r="P26" s="55" t="s">
        <v>313</v>
      </c>
      <c r="Q26" s="2"/>
      <c r="R26" s="2"/>
    </row>
    <row r="27" spans="1:18" ht="20.100000000000001" customHeight="1" x14ac:dyDescent="0.25">
      <c r="D27" s="55" t="str">
        <f>'Input - Feedlot'!$D$38</f>
        <v>Anaerobic lagoon</v>
      </c>
      <c r="E27" s="55">
        <f>'4.1.1.3-4 Direct N20'!$E$129</f>
        <v>333.78508800000009</v>
      </c>
      <c r="F27" s="55">
        <f>'4.1.1.3-4 Direct N20'!$F$129</f>
        <v>506.87078400000007</v>
      </c>
      <c r="G27" s="55">
        <f>'4.1.1.3-4 Direct N20'!$G$129</f>
        <v>732.09599999999978</v>
      </c>
      <c r="H27" s="2"/>
      <c r="I27" s="2"/>
      <c r="M27" s="55" t="str">
        <f>'Input - Feedlot'!$D$38</f>
        <v>Anaerobic lagoon</v>
      </c>
      <c r="N27" s="55">
        <f>'4.1.1.3-4 Direct N20'!$P$129</f>
        <v>333.78508800000009</v>
      </c>
      <c r="O27" s="55">
        <f>'4.1.1.3-4 Direct N20'!$Q$129</f>
        <v>506.87078400000007</v>
      </c>
      <c r="P27" s="55">
        <f>'4.1.1.3-4 Direct N20'!$R$129</f>
        <v>732.09599999999978</v>
      </c>
      <c r="Q27" s="2"/>
      <c r="R27" s="2"/>
    </row>
    <row r="28" spans="1:18" ht="20.100000000000001" customHeight="1" x14ac:dyDescent="0.25"/>
    <row r="29" spans="1:18" ht="20.100000000000001" customHeight="1" x14ac:dyDescent="0.25">
      <c r="D29" s="104" t="s">
        <v>227</v>
      </c>
    </row>
    <row r="30" spans="1:18" ht="20.100000000000001" customHeight="1" x14ac:dyDescent="0.25">
      <c r="D30" s="103" t="s">
        <v>229</v>
      </c>
    </row>
    <row r="31" spans="1:18" ht="20.100000000000001" customHeight="1" x14ac:dyDescent="0.25">
      <c r="D31" s="115" t="s">
        <v>66</v>
      </c>
      <c r="E31" s="115" t="s">
        <v>169</v>
      </c>
    </row>
    <row r="32" spans="1:18" ht="20.100000000000001" customHeight="1" x14ac:dyDescent="0.25">
      <c r="D32" s="55" t="str">
        <f>'Input - Feedlot'!$D$28</f>
        <v>Drylot (feed pad)</v>
      </c>
      <c r="E32" s="55">
        <f>_xlfn.XLOOKUP(D32, Table_SourceData_Feedlot_FracGASMmT[NIR definition], Table_SourceData_Feedlot_FracGASMmT[FracGASMmT])</f>
        <v>0.6</v>
      </c>
      <c r="F32" s="2" t="str">
        <f>G15</f>
        <v>(kg NH3-N + NOx-N)/kg N</v>
      </c>
    </row>
    <row r="33" spans="3:19" ht="20.100000000000001" customHeight="1" x14ac:dyDescent="0.25">
      <c r="D33" s="55" t="str">
        <f>'Input - Feedlot'!$D$32</f>
        <v>Solid storage</v>
      </c>
      <c r="E33" s="55">
        <f>_xlfn.XLOOKUP(D33, Table_SourceData_Feedlot_FracGASMmT[NIR definition], Table_SourceData_Feedlot_FracGASMmT[FracGASMmT])</f>
        <v>0.25</v>
      </c>
      <c r="F33" s="2"/>
    </row>
    <row r="34" spans="3:19" ht="20.100000000000001" customHeight="1" x14ac:dyDescent="0.25">
      <c r="D34" s="55" t="str">
        <f>'Input - Feedlot'!$D$33</f>
        <v>Composting (passive windrow)</v>
      </c>
      <c r="E34" s="55">
        <f>_xlfn.XLOOKUP(D34, Table_SourceData_Feedlot_FracGASMmT[NIR definition], Table_SourceData_Feedlot_FracGASMmT[FracGASMmT])</f>
        <v>0.4</v>
      </c>
      <c r="F34" s="2"/>
    </row>
    <row r="35" spans="3:19" ht="20.100000000000001" customHeight="1" x14ac:dyDescent="0.25">
      <c r="D35" s="55" t="str">
        <f>'Input - Feedlot'!$D$38</f>
        <v>Anaerobic lagoon</v>
      </c>
      <c r="E35" s="55">
        <f>_xlfn.XLOOKUP(D35, Table_SourceData_Feedlot_FracGASMmT[NIR definition], Table_SourceData_Feedlot_FracGASMmT[FracGASMmT])</f>
        <v>0.35</v>
      </c>
      <c r="F35" s="2"/>
    </row>
    <row r="36" spans="3:19" ht="20.100000000000001" customHeight="1" x14ac:dyDescent="0.25"/>
    <row r="37" spans="3:19" ht="20.100000000000001" customHeight="1" x14ac:dyDescent="0.25">
      <c r="D37" s="104" t="s">
        <v>260</v>
      </c>
      <c r="M37" s="104" t="s">
        <v>358</v>
      </c>
    </row>
    <row r="38" spans="3:19" ht="20.100000000000001" customHeight="1" x14ac:dyDescent="0.25">
      <c r="D38" s="103" t="s">
        <v>261</v>
      </c>
      <c r="M38" s="103" t="s">
        <v>263</v>
      </c>
    </row>
    <row r="39" spans="3:19" ht="20.100000000000001" customHeight="1" x14ac:dyDescent="0.25">
      <c r="D39" s="115" t="s">
        <v>66</v>
      </c>
      <c r="E39" s="54" t="s">
        <v>135</v>
      </c>
      <c r="F39" s="54" t="s">
        <v>136</v>
      </c>
      <c r="G39" s="54" t="s">
        <v>137</v>
      </c>
      <c r="M39" s="115" t="s">
        <v>66</v>
      </c>
      <c r="N39" s="54" t="s">
        <v>135</v>
      </c>
      <c r="O39" s="54" t="s">
        <v>136</v>
      </c>
      <c r="P39" s="54" t="s">
        <v>137</v>
      </c>
    </row>
    <row r="40" spans="3:19" ht="20.100000000000001" customHeight="1" x14ac:dyDescent="0.25">
      <c r="D40" s="55" t="str">
        <f>'Input - Feedlot'!$D$28</f>
        <v>Drylot (feed pad)</v>
      </c>
      <c r="E40" s="55" cm="1">
        <f t="array" ref="E40">MMS_Feedlot_AtmosphericDeposition_Equations.VEERG_4_1_1_5__2_VolatilisedNitrogenFromManureManagement(E23,$E32)</f>
        <v>10013.552640000004</v>
      </c>
      <c r="F40" s="55" cm="1">
        <f t="array" ref="F40">MMS_Feedlot_AtmosphericDeposition_Equations.VEERG_4_1_1_5__2_VolatilisedNitrogenFromManureManagement(F23,$E32)</f>
        <v>15206.123520000001</v>
      </c>
      <c r="G40" s="55" cm="1">
        <f t="array" ref="G40">MMS_Feedlot_AtmosphericDeposition_Equations.VEERG_4_1_1_5__2_VolatilisedNitrogenFromManureManagement(G23,$E32)</f>
        <v>21962.879999999994</v>
      </c>
      <c r="H40" s="2" t="str">
        <f>$E$12</f>
        <v>kg N</v>
      </c>
      <c r="I40" s="2"/>
      <c r="M40" s="55" t="str">
        <f>'Input - Feedlot'!$D$28</f>
        <v>Drylot (feed pad)</v>
      </c>
      <c r="N40" s="55" cm="1">
        <f t="array" ref="N40">MMS_Feedlot_AtmosphericDeposition_Equations.VEERG_4_1_1_5__2_VolatilisedNitrogenFromManureManagement(N23,$E32)</f>
        <v>10013.552640000004</v>
      </c>
      <c r="O40" s="55" cm="1">
        <f t="array" ref="O40">MMS_Feedlot_AtmosphericDeposition_Equations.VEERG_4_1_1_5__2_VolatilisedNitrogenFromManureManagement(O23,$E32)</f>
        <v>15206.123520000001</v>
      </c>
      <c r="P40" s="55" cm="1">
        <f t="array" ref="P40">MMS_Feedlot_AtmosphericDeposition_Equations.VEERG_4_1_1_5__2_VolatilisedNitrogenFromManureManagement(P23,$E32)</f>
        <v>21962.879999999994</v>
      </c>
      <c r="Q40" s="2" t="str">
        <f>$E$12</f>
        <v>kg N</v>
      </c>
      <c r="R40" s="2"/>
    </row>
    <row r="41" spans="3:19" ht="20.100000000000001" customHeight="1" x14ac:dyDescent="0.25">
      <c r="D41" s="55" t="str">
        <f>'Input - Feedlot'!$D$32</f>
        <v>Solid storage</v>
      </c>
      <c r="E41" s="55" cm="1">
        <f t="array" ref="E41">MMS_Feedlot_AtmosphericDeposition_Equations.VEERG_4_1_1_5__2_VolatilisedNitrogenFromManureManagement(E24,$E33)</f>
        <v>312.58973491200015</v>
      </c>
      <c r="F41" s="55" cm="1">
        <f t="array" ref="F41">MMS_Feedlot_AtmosphericDeposition_Equations.VEERG_4_1_1_5__2_VolatilisedNitrogenFromManureManagement(F24,$E33)</f>
        <v>474.68448921600003</v>
      </c>
      <c r="G41" s="55" cm="1">
        <f t="array" ref="G41">MMS_Feedlot_AtmosphericDeposition_Equations.VEERG_4_1_1_5__2_VolatilisedNitrogenFromManureManagement(G24,$E33)</f>
        <v>685.60790399999985</v>
      </c>
      <c r="H41" s="2"/>
      <c r="I41" s="2"/>
      <c r="M41" s="55" t="str">
        <f>'Input - Feedlot'!$D$32</f>
        <v>Solid storage</v>
      </c>
      <c r="N41" s="55" cm="1">
        <f t="array" ref="N41">MMS_Feedlot_AtmosphericDeposition_Equations.VEERG_4_1_1_5__2_VolatilisedNitrogenFromManureManagement(N24,$E33)</f>
        <v>312.58973491200015</v>
      </c>
      <c r="O41" s="55" cm="1">
        <f t="array" ref="O41">MMS_Feedlot_AtmosphericDeposition_Equations.VEERG_4_1_1_5__2_VolatilisedNitrogenFromManureManagement(O24,$E33)</f>
        <v>474.68448921600003</v>
      </c>
      <c r="P41" s="55" cm="1">
        <f t="array" ref="P41">MMS_Feedlot_AtmosphericDeposition_Equations.VEERG_4_1_1_5__2_VolatilisedNitrogenFromManureManagement(P24,$E33)</f>
        <v>685.60790399999985</v>
      </c>
    </row>
    <row r="42" spans="3:19" ht="20.100000000000001" customHeight="1" x14ac:dyDescent="0.25">
      <c r="D42" s="55" t="str">
        <f>'Input - Feedlot'!$D$33</f>
        <v>Composting (passive windrow)</v>
      </c>
      <c r="E42" s="55" cm="1">
        <f t="array" ref="E42">MMS_Feedlot_AtmosphericDeposition_Equations.VEERG_4_1_1_5__2_VolatilisedNitrogenFromManureManagement(E25,$E34)</f>
        <v>500.14357585920027</v>
      </c>
      <c r="F42" s="55" cm="1">
        <f t="array" ref="F42">MMS_Feedlot_AtmosphericDeposition_Equations.VEERG_4_1_1_5__2_VolatilisedNitrogenFromManureManagement(F25,$E34)</f>
        <v>759.49518274560012</v>
      </c>
      <c r="G42" s="55" cm="1">
        <f t="array" ref="G42">MMS_Feedlot_AtmosphericDeposition_Equations.VEERG_4_1_1_5__2_VolatilisedNitrogenFromManureManagement(G25,$E34)</f>
        <v>1096.9726463999998</v>
      </c>
      <c r="H42" s="2"/>
      <c r="I42" s="2"/>
      <c r="M42" s="55" t="str">
        <f>'Input - Feedlot'!$D$33</f>
        <v>Composting (passive windrow)</v>
      </c>
      <c r="N42" s="55" cm="1">
        <f t="array" ref="N42">MMS_Feedlot_AtmosphericDeposition_Equations.VEERG_4_1_1_5__2_VolatilisedNitrogenFromManureManagement(N25,$E34)</f>
        <v>500.14357585920027</v>
      </c>
      <c r="O42" s="55" cm="1">
        <f t="array" ref="O42">MMS_Feedlot_AtmosphericDeposition_Equations.VEERG_4_1_1_5__2_VolatilisedNitrogenFromManureManagement(O25,$E34)</f>
        <v>759.49518274560012</v>
      </c>
      <c r="P42" s="55" cm="1">
        <f t="array" ref="P42">MMS_Feedlot_AtmosphericDeposition_Equations.VEERG_4_1_1_5__2_VolatilisedNitrogenFromManureManagement(P25,$E34)</f>
        <v>1096.9726463999998</v>
      </c>
    </row>
    <row r="43" spans="3:19" ht="20.100000000000001" customHeight="1" x14ac:dyDescent="0.25">
      <c r="D43" s="55" t="str">
        <f>'Input - Feedlot'!$D$34</f>
        <v>Direct application</v>
      </c>
      <c r="E43" s="55" t="s">
        <v>313</v>
      </c>
      <c r="F43" s="55" t="s">
        <v>313</v>
      </c>
      <c r="G43" s="55" t="s">
        <v>313</v>
      </c>
      <c r="H43" s="2"/>
      <c r="I43" s="2"/>
      <c r="M43" s="55" t="str">
        <f>'Input - Feedlot'!$D$34</f>
        <v>Direct application</v>
      </c>
      <c r="N43" s="55" t="s">
        <v>313</v>
      </c>
      <c r="O43" s="55" t="s">
        <v>313</v>
      </c>
      <c r="P43" s="55" t="s">
        <v>313</v>
      </c>
    </row>
    <row r="44" spans="3:19" ht="20.100000000000001" customHeight="1" x14ac:dyDescent="0.25">
      <c r="D44" s="55" t="str">
        <f>'Input - Feedlot'!$D$38</f>
        <v>Anaerobic lagoon</v>
      </c>
      <c r="E44" s="55" cm="1">
        <f t="array" ref="E44">MMS_Feedlot_AtmosphericDeposition_Equations.VEERG_4_1_1_5__2_VolatilisedNitrogenFromManureManagement(E27,$E35)</f>
        <v>116.82478080000003</v>
      </c>
      <c r="F44" s="55" cm="1">
        <f t="array" ref="F44">MMS_Feedlot_AtmosphericDeposition_Equations.VEERG_4_1_1_5__2_VolatilisedNitrogenFromManureManagement(F27,$E35)</f>
        <v>177.40477440000001</v>
      </c>
      <c r="G44" s="55" cm="1">
        <f t="array" ref="G44">MMS_Feedlot_AtmosphericDeposition_Equations.VEERG_4_1_1_5__2_VolatilisedNitrogenFromManureManagement(G27,$E35)</f>
        <v>256.23359999999991</v>
      </c>
      <c r="H44" s="2"/>
      <c r="I44" s="2"/>
      <c r="M44" s="55" t="str">
        <f>'Input - Feedlot'!$D$38</f>
        <v>Anaerobic lagoon</v>
      </c>
      <c r="N44" s="55" cm="1">
        <f t="array" ref="N44">MMS_Feedlot_AtmosphericDeposition_Equations.VEERG_4_1_1_5__2_VolatilisedNitrogenFromManureManagement(N27,$E35)</f>
        <v>116.82478080000003</v>
      </c>
      <c r="O44" s="55" cm="1">
        <f t="array" ref="O44">MMS_Feedlot_AtmosphericDeposition_Equations.VEERG_4_1_1_5__2_VolatilisedNitrogenFromManureManagement(O27,$E35)</f>
        <v>177.40477440000001</v>
      </c>
      <c r="P44" s="55" cm="1">
        <f t="array" ref="P44">MMS_Feedlot_AtmosphericDeposition_Equations.VEERG_4_1_1_5__2_VolatilisedNitrogenFromManureManagement(P27,$E35)</f>
        <v>256.23359999999991</v>
      </c>
    </row>
    <row r="45" spans="3:19" ht="20.100000000000001" customHeight="1" x14ac:dyDescent="0.25"/>
    <row r="46" spans="3:19" ht="20.100000000000001" customHeight="1" x14ac:dyDescent="0.25">
      <c r="D46" s="122" t="s">
        <v>264</v>
      </c>
      <c r="E46" s="48">
        <f>SUM(E40:G44)</f>
        <v>51562.512848332786</v>
      </c>
      <c r="F46" s="120" t="str">
        <f>$E$12</f>
        <v>kg N</v>
      </c>
      <c r="M46" s="122" t="s">
        <v>264</v>
      </c>
      <c r="N46" s="48">
        <f>SUM(N40:P44)</f>
        <v>51562.512848332786</v>
      </c>
      <c r="O46" s="120" t="str">
        <f>$E$12</f>
        <v>kg N</v>
      </c>
    </row>
    <row r="47" spans="3:19" ht="20.100000000000001" customHeight="1" x14ac:dyDescent="0.25"/>
    <row r="48" spans="3:19" ht="20.100000000000001" customHeight="1" x14ac:dyDescent="0.25">
      <c r="C48" s="121"/>
      <c r="D48" s="121"/>
      <c r="E48" s="121"/>
      <c r="F48" s="121"/>
      <c r="G48" s="121"/>
      <c r="H48" s="121"/>
      <c r="I48" s="121"/>
      <c r="J48" s="121"/>
      <c r="L48" s="121"/>
      <c r="M48" s="121"/>
      <c r="N48" s="121"/>
      <c r="O48" s="121"/>
      <c r="P48" s="121"/>
      <c r="Q48" s="121"/>
      <c r="R48" s="121"/>
      <c r="S48" s="121"/>
    </row>
    <row r="49" spans="4:18" ht="20.100000000000001" customHeight="1" x14ac:dyDescent="0.25"/>
    <row r="50" spans="4:18" ht="20.100000000000001" customHeight="1" x14ac:dyDescent="0.25">
      <c r="D50" s="6" t="str" cm="1">
        <f t="array" ref="D50">MMS_Feedlot_AtmosphericDeposition_Equations.VEERG_4_1_1_5__1_TotalAnnualAtmosphericDepositionEmissions_Title()</f>
        <v>Total annual atmospheric deposition emissions from manure management</v>
      </c>
    </row>
    <row r="51" spans="4:18" ht="20.100000000000001" customHeight="1" x14ac:dyDescent="0.25">
      <c r="D51" s="5" t="str" cm="1">
        <f t="array" ref="D51">MMS_Feedlot_AtmosphericDeposition_Equations.VEERG_4_1_1_5__1_TotalAnnualAtmosphericDepositionEmissions_Source()</f>
        <v>VEERG 2026: 4.1.1.5, Equation (1)</v>
      </c>
    </row>
    <row r="52" spans="4:18" ht="20.100000000000001" customHeight="1" x14ac:dyDescent="0.25">
      <c r="D52" s="13" t="s">
        <v>25</v>
      </c>
      <c r="E52" s="13" t="str" cm="1">
        <f t="array" aca="1" ref="E52" ca="1">Common_InputFunctions.Utility_DisplayFunctionName(E65)</f>
        <v>=MMS_Feedlot_AtmosphericDeposition_Equations.VEERG_4_1_1_5__1_TotalAnnualAtmosphericDepositionEmissions</v>
      </c>
    </row>
    <row r="53" spans="4:18" ht="20.100000000000001" customHeight="1" x14ac:dyDescent="0.25"/>
    <row r="54" spans="4:18" ht="20.100000000000001" customHeight="1" x14ac:dyDescent="0.25">
      <c r="D54" s="6"/>
    </row>
    <row r="55" spans="4:18" ht="20.100000000000001" customHeight="1" x14ac:dyDescent="0.25">
      <c r="D55" s="56" t="s">
        <v>28</v>
      </c>
      <c r="E55" s="1" t="str" cm="1">
        <f t="array" ref="E55">MMS_Feedlot_AtmosphericDeposition_Equations.VEERG_4_1_1_5__1_TotalAnnualAtmosphericDepositionEmissions_Variable()</f>
        <v>E_N2Oad</v>
      </c>
    </row>
    <row r="56" spans="4:18" ht="20.100000000000001" customHeight="1" x14ac:dyDescent="0.25">
      <c r="D56" s="56" t="s">
        <v>18</v>
      </c>
      <c r="E56" s="57" t="str" cm="1">
        <f t="array" ref="E56">MMS_Feedlot_AtmosphericDeposition_Equations.VEERG_4_1_1_5__1_TotalAnnualAtmosphericDepositionEmissions_Unit()</f>
        <v>t N2O</v>
      </c>
    </row>
    <row r="57" spans="4:18" ht="20.100000000000001" customHeight="1" x14ac:dyDescent="0.25"/>
    <row r="58" spans="4:18" ht="20.100000000000001" customHeight="1" x14ac:dyDescent="0.25">
      <c r="D58" s="138" t="str" cm="1">
        <f t="array" ref="D58:E63">_xlfn.CHOOSECOLS(MMS_Feedlot_AtmosphericDeposition_Equations.VEERG_4_1_1_5__1_TotalAnnualAtmosphericDepositionEmissions_Arguments(),1,2)</f>
        <v>MMS_ATMOS</v>
      </c>
      <c r="E58" s="141" t="str">
        <v>mass of N volatilised from MMS</v>
      </c>
      <c r="F58" s="140"/>
      <c r="G58" s="138" t="str" cm="1">
        <f t="array" ref="G58:H63">_xlfn.CHOOSECOLS(MMS_Feedlot_AtmosphericDeposition_Equations.VEERG_4_1_1_5__1_TotalAnnualAtmosphericDepositionEmissions_Arguments(),3,4)</f>
        <v>kg N</v>
      </c>
      <c r="H58" s="130" t="str">
        <v>Calculated from 4.1.1.5 (2)</v>
      </c>
      <c r="I58" s="138">
        <f>$E$46</f>
        <v>51562.512848332786</v>
      </c>
      <c r="M58" s="138" t="str" cm="1">
        <f t="array" ref="M58:N63">_xlfn.CHOOSECOLS(MMS_Feedlot_AtmosphericDeposition_Equations.VEERG_4_1_1_5__1_TotalAnnualAtmosphericDepositionEmissions_Arguments(),1,2)</f>
        <v>MMS_ATMOS</v>
      </c>
      <c r="N58" s="141" t="str">
        <v>mass of N volatilised from MMS</v>
      </c>
      <c r="O58" s="140"/>
      <c r="P58" s="138" t="str" cm="1">
        <f t="array" ref="P58:Q63">_xlfn.CHOOSECOLS(MMS_Feedlot_AtmosphericDeposition_Equations.VEERG_4_1_1_5__1_TotalAnnualAtmosphericDepositionEmissions_Arguments(),3,4)</f>
        <v>kg N</v>
      </c>
      <c r="Q58" s="130" t="str">
        <v>Calculated from 4.1.1.5 (2)</v>
      </c>
      <c r="R58" s="60">
        <f>$N$46</f>
        <v>51562.512848332786</v>
      </c>
    </row>
    <row r="59" spans="4:18" ht="20.100000000000001" customHeight="1" x14ac:dyDescent="0.25">
      <c r="D59" s="138" t="str">
        <v>EF_N2O</v>
      </c>
      <c r="E59" s="141" t="str">
        <v>nitrous oxide emission factor for atmospheric deposition</v>
      </c>
      <c r="F59" s="140"/>
      <c r="G59" s="138" t="str">
        <v>kg N2O-N/kg N</v>
      </c>
      <c r="H59" s="130" t="str">
        <v>Constant</v>
      </c>
      <c r="I59" s="138">
        <f>Common_InputFunctions.Utility_LookupN2OEFFromProdIrrigationRainfall($I$61,$I$62,$I$63,Table_SourceData_Common_EFN2O[Production system only],Table_SourceData_Common_EFN2O[Irrigation method],Table_SourceData_Common_EFN2O[Rainfall zone],Table_SourceData_Common_EFN2O[EFN2O])</f>
        <v>1.8E-3</v>
      </c>
      <c r="M59" s="138" t="str">
        <v>EF_N2O</v>
      </c>
      <c r="N59" s="141" t="str">
        <v>nitrous oxide emission factor for atmospheric deposition</v>
      </c>
      <c r="O59" s="140"/>
      <c r="P59" s="138" t="str">
        <v>kg N2O-N/kg N</v>
      </c>
      <c r="Q59" s="130" t="str">
        <v>Constant</v>
      </c>
      <c r="R59" s="60"/>
    </row>
    <row r="60" spans="4:18" ht="20.100000000000001" customHeight="1" x14ac:dyDescent="0.25">
      <c r="D60" s="138" t="str">
        <v>C_N2O</v>
      </c>
      <c r="E60" s="141" t="str">
        <v>factor to convert elemental mass of nitrous oxide to molecular mass</v>
      </c>
      <c r="F60" s="140"/>
      <c r="G60" s="138" t="str">
        <v/>
      </c>
      <c r="H60" s="130" t="str">
        <v>Constant</v>
      </c>
      <c r="I60" s="138">
        <f>Common_InputFunctions.Utility_LookupValueInTableNumber("N2O",Table_GasToMolecularConversionFactor[Gas],Table_GasToMolecularConversionFactor[Conversion factor combined])</f>
        <v>1.5714285714285714</v>
      </c>
      <c r="M60" s="138" t="str">
        <v>C_N2O</v>
      </c>
      <c r="N60" s="141" t="str">
        <v>factor to convert elemental mass of nitrous oxide to molecular mass</v>
      </c>
      <c r="O60" s="140"/>
      <c r="P60" s="138" t="str">
        <v/>
      </c>
      <c r="Q60" s="130" t="str">
        <v>Constant</v>
      </c>
      <c r="R60" s="60"/>
    </row>
    <row r="61" spans="4:18" ht="20.100000000000001" customHeight="1" x14ac:dyDescent="0.25">
      <c r="D61" s="138" t="str">
        <v>j</v>
      </c>
      <c r="E61" s="141" t="str">
        <v>production system</v>
      </c>
      <c r="F61" s="140"/>
      <c r="G61" s="138" t="str">
        <v/>
      </c>
      <c r="H61" s="129" t="str">
        <v>Input</v>
      </c>
      <c r="I61" s="138" t="str">
        <f>'Input - Feedlot'!$E$41</f>
        <v>Pasture</v>
      </c>
      <c r="M61" s="138" t="str">
        <v>j</v>
      </c>
      <c r="N61" s="141" t="str">
        <v>production system</v>
      </c>
      <c r="O61" s="140"/>
      <c r="P61" s="138" t="str">
        <v/>
      </c>
      <c r="Q61" s="129" t="str">
        <v>Input</v>
      </c>
      <c r="R61" s="60"/>
    </row>
    <row r="62" spans="4:18" ht="20.100000000000001" customHeight="1" x14ac:dyDescent="0.25">
      <c r="D62" s="138" t="str">
        <v>i</v>
      </c>
      <c r="E62" s="141" t="str">
        <v>irrigation method</v>
      </c>
      <c r="F62" s="140"/>
      <c r="G62" s="138" t="str">
        <v/>
      </c>
      <c r="H62" s="129" t="str">
        <v>Input</v>
      </c>
      <c r="I62" s="138" t="str">
        <f>'Input - Feedlot'!$E$42</f>
        <v>Not irrigated</v>
      </c>
      <c r="M62" s="138" t="str">
        <v>i</v>
      </c>
      <c r="N62" s="141" t="str">
        <v>irrigation method</v>
      </c>
      <c r="O62" s="140"/>
      <c r="P62" s="138" t="str">
        <v/>
      </c>
      <c r="Q62" s="129" t="str">
        <v>Input</v>
      </c>
      <c r="R62" s="60"/>
    </row>
    <row r="63" spans="4:18" ht="20.100000000000001" customHeight="1" x14ac:dyDescent="0.25">
      <c r="D63" s="138" t="str">
        <v>r</v>
      </c>
      <c r="E63" s="141" t="str">
        <v>rainfall zone</v>
      </c>
      <c r="F63" s="140"/>
      <c r="G63" s="138" t="str">
        <v/>
      </c>
      <c r="H63" s="129" t="str">
        <v>Input</v>
      </c>
      <c r="I63" s="138" t="str">
        <f>'Input - Site'!$E$30</f>
        <v>High rainfall</v>
      </c>
      <c r="M63" s="138" t="str">
        <v>r</v>
      </c>
      <c r="N63" s="141" t="str">
        <v>rainfall zone</v>
      </c>
      <c r="O63" s="140"/>
      <c r="P63" s="138" t="str">
        <v/>
      </c>
      <c r="Q63" s="129" t="str">
        <v>Input</v>
      </c>
      <c r="R63" s="60"/>
    </row>
    <row r="64" spans="4:18" ht="20.100000000000001" customHeight="1" x14ac:dyDescent="0.25"/>
    <row r="65" spans="4:16" ht="20.100000000000001" customHeight="1" x14ac:dyDescent="0.25">
      <c r="D65" s="108" t="s">
        <v>278</v>
      </c>
      <c r="E65" s="109" cm="1">
        <f t="array" ref="E65">MMS_Feedlot_AtmosphericDeposition_Equations.VEERG_4_1_1_5__1_TotalAnnualAtmosphericDepositionEmissions(I58,I59,I60)</f>
        <v>0.1458482506281413</v>
      </c>
      <c r="F65" s="110" t="str">
        <f>$E$56</f>
        <v>t N2O</v>
      </c>
      <c r="M65" s="108" t="s">
        <v>278</v>
      </c>
      <c r="N65" s="109" cm="1">
        <f t="array" ref="N65">MMS_Feedlot_AtmosphericDeposition_Equations.VEERG_4_1_1_5__1_TotalAnnualAtmosphericDepositionEmissions(R58,I59,I60)</f>
        <v>0.1458482506281413</v>
      </c>
      <c r="O65" s="110" t="str">
        <f>$E$56</f>
        <v>t N2O</v>
      </c>
    </row>
    <row r="66" spans="4:16" ht="20.100000000000001" customHeight="1" x14ac:dyDescent="0.25"/>
    <row r="67" spans="4:16" ht="20.100000000000001" customHeight="1" x14ac:dyDescent="0.25">
      <c r="D67" s="60" t="str" cm="1">
        <f t="array" ref="D67:E68">Common_Equations.Common_ConvertN2OToCO2e_Arguments()</f>
        <v>EN2O</v>
      </c>
      <c r="E67" s="61" t="str">
        <v>Nitrous oxide emissions (t N2O)</v>
      </c>
      <c r="F67" s="111"/>
      <c r="G67" s="55">
        <f>E65</f>
        <v>0.1458482506281413</v>
      </c>
      <c r="M67" s="60" t="str" cm="1">
        <f t="array" ref="M67:N68">Common_Equations.Common_ConvertN2OToCO2e_Arguments()</f>
        <v>EN2O</v>
      </c>
      <c r="N67" s="61" t="str">
        <v>Nitrous oxide emissions (t N2O)</v>
      </c>
      <c r="O67" s="111"/>
      <c r="P67" s="55">
        <f>N65</f>
        <v>0.1458482506281413</v>
      </c>
    </row>
    <row r="68" spans="4:16" ht="20.100000000000001" customHeight="1" x14ac:dyDescent="0.25">
      <c r="D68" s="60" t="str">
        <v>GWPN2O</v>
      </c>
      <c r="E68" s="61" t="str">
        <v>Global warming potential for nitrous oxide (t CO2-e / t N2O)</v>
      </c>
      <c r="F68" s="111"/>
      <c r="G68" s="55">
        <f>Common_InputFunctions.Utility_LookupValueInTableNumber("N2O",Table_GWPData[Gas],Table_GWPData[CO2-e factor])</f>
        <v>265</v>
      </c>
      <c r="M68" s="60" t="str">
        <v>GWPN2O</v>
      </c>
      <c r="N68" s="61" t="str">
        <v>Global warming potential for nitrous oxide (t CO2-e / t N2O)</v>
      </c>
      <c r="O68" s="111"/>
      <c r="P68" s="55">
        <f>Common_InputFunctions.Utility_LookupValueInTableNumber("N2O",Table_GWPData[Gas],Table_GWPData[CO2-e factor])</f>
        <v>265</v>
      </c>
    </row>
    <row r="69" spans="4:16" ht="20.100000000000001" customHeight="1" x14ac:dyDescent="0.25"/>
    <row r="70" spans="4:16" ht="20.100000000000001" customHeight="1" x14ac:dyDescent="0.25">
      <c r="D70" s="48" t="s">
        <v>124</v>
      </c>
      <c r="E70" s="48" cm="1">
        <f t="array" ref="E70">Common_Equations.Common_ConvertN2OToCO2e(G67,G68)</f>
        <v>38.649786416457445</v>
      </c>
      <c r="F70" s="112" t="str" cm="1">
        <f t="array" ref="F70">Common_Equations.Common_ConvertN2OToCO2e_Unit()</f>
        <v>t CO2e</v>
      </c>
      <c r="M70" s="48" t="s">
        <v>124</v>
      </c>
      <c r="N70" s="48" cm="1">
        <f t="array" ref="N70">Common_Equations.Common_ConvertN2OToCO2e(P67,P68)</f>
        <v>38.649786416457445</v>
      </c>
      <c r="O70" s="112" t="str" cm="1">
        <f t="array" ref="O70">Common_Equations.Common_ConvertN2OToCO2e_Unit()</f>
        <v>t CO2e</v>
      </c>
    </row>
    <row r="71" spans="4:16" ht="20.100000000000001" customHeight="1" x14ac:dyDescent="0.25"/>
    <row r="72" spans="4:16" ht="20.100000000000001" customHeight="1" x14ac:dyDescent="0.25"/>
    <row r="73" spans="4:16" ht="20.100000000000001" customHeight="1" x14ac:dyDescent="0.25"/>
    <row r="74" spans="4:16" ht="20.100000000000001" customHeight="1" x14ac:dyDescent="0.25"/>
    <row r="75" spans="4:16" ht="20.100000000000001" customHeight="1" x14ac:dyDescent="0.25"/>
    <row r="76" spans="4:16" ht="20.100000000000001" customHeight="1" x14ac:dyDescent="0.25"/>
    <row r="77" spans="4:16" ht="20.100000000000001" customHeight="1" x14ac:dyDescent="0.25"/>
    <row r="78" spans="4:16" ht="20.100000000000001" customHeight="1" x14ac:dyDescent="0.25"/>
    <row r="79" spans="4:16" ht="20.100000000000001" customHeight="1" x14ac:dyDescent="0.25"/>
    <row r="80" spans="4: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S165"/>
  <sheetViews>
    <sheetView showGridLines="0" topLeftCell="F91" zoomScaleNormal="100" workbookViewId="0">
      <selection activeCell="F109" sqref="F10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8" width="30.7109375" style="1" customWidth="1"/>
    <col min="19" max="19" width="4.7109375" style="1" customWidth="1"/>
  </cols>
  <sheetData>
    <row r="1" spans="1:19" s="8" customFormat="1" ht="30" customHeight="1" x14ac:dyDescent="0.35">
      <c r="A1" s="8" t="e" vm="1">
        <v>#VALUE!</v>
      </c>
      <c r="C1" s="8" t="s">
        <v>224</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K3" s="4"/>
      <c r="M3" s="4"/>
      <c r="N3" s="4" t="s">
        <v>157</v>
      </c>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MMS_Feedlot_ManureAppliedToSoils_Equations.VEERG_4_1_1_9__1_MassOfNitrogenAppliedToSoilsScope1_Title()</f>
        <v>Mass of nitrogen applied to soils for scope 1 emissions</v>
      </c>
    </row>
    <row r="6" spans="1:19" ht="20.100000000000001" customHeight="1" x14ac:dyDescent="0.25">
      <c r="A6" s="16"/>
      <c r="D6" s="5" t="str" cm="1">
        <f t="array" ref="D6">MMS_Feedlot_ManureAppliedToSoils_Equations.VEERG_4_1_1_9__1_MassOfNitrogenAppliedToSoilsScope1_Source()</f>
        <v>VEERG 2026: 4.1.1.9, Equation (1)</v>
      </c>
    </row>
    <row r="7" spans="1:19" ht="20.100000000000001" customHeight="1" x14ac:dyDescent="0.25">
      <c r="A7" s="20" t="s">
        <v>3</v>
      </c>
      <c r="D7" s="13" t="s">
        <v>25</v>
      </c>
      <c r="E7" s="13" t="str" cm="1">
        <f t="array" aca="1" ref="E7" ca="1">Common_InputFunctions.Utility_DisplayFunctionName(E56)</f>
        <v>=MMS_Feedlot_ManureAppliedToSoils_Equations.VEERG_4_1_1_9__1_MassOfNitrogenAppliedToSoilsScope1</v>
      </c>
    </row>
    <row r="8" spans="1:19" ht="20.100000000000001" customHeight="1" x14ac:dyDescent="0.25">
      <c r="A8" s="17" t="str">
        <f>HYPERLINK("#'Input - Site'!A1", "Site")</f>
        <v>Site</v>
      </c>
    </row>
    <row r="9" spans="1:19" ht="20.100000000000001" customHeight="1" x14ac:dyDescent="0.25">
      <c r="A9" s="17" t="str">
        <f>HYPERLINK("#'Input - Feedlot'!A1", "Feedlot")</f>
        <v>Feedlot</v>
      </c>
      <c r="D9" s="6"/>
    </row>
    <row r="10" spans="1:19" ht="20.100000000000001" customHeight="1" x14ac:dyDescent="0.25">
      <c r="A10" s="17"/>
    </row>
    <row r="11" spans="1:19" ht="20.100000000000001" customHeight="1" x14ac:dyDescent="0.25">
      <c r="A11" s="19" t="s">
        <v>74</v>
      </c>
      <c r="D11" s="56" t="s">
        <v>28</v>
      </c>
      <c r="E11" s="1" t="str" cm="1">
        <f t="array" ref="E11">MMS_Feedlot_ManureAppliedToSoils_Equations.VEERG_4_1_1_9__1_MassOfNitrogenAppliedToSoilsScope1_Variable()</f>
        <v>MNSoil_scope1</v>
      </c>
    </row>
    <row r="12" spans="1:19" ht="20.100000000000001" customHeight="1" x14ac:dyDescent="0.25">
      <c r="A12" s="17" t="str">
        <f>HYPERLINK("#'4.1.1.1-2 Methane'!A1", "4.1.1.1-2 Methane")</f>
        <v>4.1.1.1-2 Methane</v>
      </c>
      <c r="D12" s="56" t="s">
        <v>18</v>
      </c>
      <c r="E12" s="57" t="str" cm="1">
        <f t="array" ref="E12">MMS_Feedlot_ManureAppliedToSoils_Equations.VEERG_4_1_1_9__1_MassOfNitrogenAppliedToSoilsScope1_Unit()</f>
        <v>kg N</v>
      </c>
    </row>
    <row r="13" spans="1:19" ht="20.100000000000001" customHeight="1" x14ac:dyDescent="0.25">
      <c r="A13" s="17" t="str">
        <f>HYPERLINK("#'4.1.1.3-4 Direct N20'!A1", "4.1.1.3-4 Direct N2O")</f>
        <v>4.1.1.3-4 Direct N2O</v>
      </c>
    </row>
    <row r="14" spans="1:19" ht="20.100000000000001" customHeight="1" x14ac:dyDescent="0.25">
      <c r="A14" s="17" t="str">
        <f>HYPERLINK("#'4.1.1.5-6 Atmos Deposition'!A1", "4.1.1.5-6 Atmospheric deposition")</f>
        <v>4.1.1.5-6 Atmospheric deposition</v>
      </c>
      <c r="D14" s="138" t="str" cm="1">
        <f t="array" ref="D14:E17">_xlfn.CHOOSECOLS(MMS_Feedlot_ManureAppliedToSoils_Equations.VEERG_4_1_1_9__1_MassOfNitrogenAppliedToSoilsScope1_Arguments(),1,2)</f>
        <v>MN_jmT23</v>
      </c>
      <c r="E14" s="141" t="str">
        <v>mass of N in secondary and tertiary treatment MMS stages as calculated for manure management</v>
      </c>
      <c r="F14" s="142"/>
      <c r="G14" s="140"/>
      <c r="H14" s="138" t="str" cm="1">
        <f t="array" ref="H14:I17">_xlfn.CHOOSECOLS(MMS_Feedlot_ManureAppliedToSoils_Equations.VEERG_4_1_1_9__1_MassOfNitrogenAppliedToSoilsScope1_Arguments(),3,4)</f>
        <v>kg N</v>
      </c>
      <c r="I14" s="130" t="str">
        <v>Calculated from 4.1.1.3 (6)(8)</v>
      </c>
      <c r="J14" s="139" t="str" cm="1">
        <f t="array" aca="1" ref="J14" ca="1">HYPERLINK(Common_InputFunctions.Utility_SourceHyperlink($D$19),$D$19)</f>
        <v>M1_Table_MN_j_m_T-2-3</v>
      </c>
    </row>
    <row r="15" spans="1:19" ht="20.100000000000001" customHeight="1" x14ac:dyDescent="0.25">
      <c r="A15" s="22" t="str">
        <f>HYPERLINK("#'4.1.1.9 Manure applied to soils'!A1", "4.1.1.9 Manure applied to soils")</f>
        <v>4.1.1.9 Manure applied to soils</v>
      </c>
      <c r="D15" s="138" t="str">
        <v>EF_mT23</v>
      </c>
      <c r="E15" s="141" t="str">
        <v>nitrous oxide emission factor for each MMS</v>
      </c>
      <c r="F15" s="142"/>
      <c r="G15" s="140"/>
      <c r="H15" s="138" t="str">
        <v>kg N2O-N/kg N</v>
      </c>
      <c r="I15" s="130" t="str">
        <v>Constant</v>
      </c>
      <c r="J15" s="139" t="str" cm="1">
        <f t="array" aca="1" ref="J15" ca="1">HYPERLINK(Common_InputFunctions.Utility_SourceHyperlink($D$27),$D$27)</f>
        <v>Table_EF_j_m_T-2-3</v>
      </c>
    </row>
    <row r="16" spans="1:19" ht="20.100000000000001" customHeight="1" x14ac:dyDescent="0.25">
      <c r="D16" s="138" t="str">
        <v>FracGASM_mT23</v>
      </c>
      <c r="E16" s="141" t="str">
        <v>fraction of animal waste N volatilised in each MMS for each cattle group</v>
      </c>
      <c r="F16" s="142"/>
      <c r="G16" s="140"/>
      <c r="H16" s="138" t="str">
        <v>(kg NH3-N + NOx-N)/kg N</v>
      </c>
      <c r="I16" s="130" t="str">
        <v>Constant</v>
      </c>
      <c r="J16" s="139" t="str" cm="1">
        <f t="array" aca="1" ref="J16" ca="1">HYPERLINK(Common_InputFunctions.Utility_SourceHyperlink($D$36),$D$36)</f>
        <v>Table_FracGASM_m_T-2-3</v>
      </c>
    </row>
    <row r="17" spans="1:18" ht="20.100000000000001" customHeight="1" x14ac:dyDescent="0.25">
      <c r="A17" s="18" t="s">
        <v>4</v>
      </c>
      <c r="D17" s="138" t="str">
        <v>PF</v>
      </c>
      <c r="E17" s="141" t="str">
        <v>fraction of manure applied to soil within the feedlot boundary</v>
      </c>
      <c r="F17" s="142"/>
      <c r="G17" s="140"/>
      <c r="H17" s="138" t="str">
        <v>fraction</v>
      </c>
      <c r="I17" s="129" t="str">
        <v>Input</v>
      </c>
      <c r="J17" s="139" t="str" cm="1">
        <f t="array" aca="1" ref="J17" ca="1">HYPERLINK(Common_InputFunctions.Utility_SourceHyperlink($D$45),$D$45)</f>
        <v>Table_PF</v>
      </c>
    </row>
    <row r="18" spans="1:18" ht="20.100000000000001" customHeight="1" x14ac:dyDescent="0.25">
      <c r="A18" s="17" t="str">
        <f>HYPERLINK("#'Constants - Feedlot'!A1", "Constants - Feedlot")</f>
        <v>Constants - Feedlot</v>
      </c>
    </row>
    <row r="19" spans="1:18" ht="20.100000000000001" customHeight="1" x14ac:dyDescent="0.25">
      <c r="A19" s="17" t="str">
        <f>HYPERLINK("#'Constants - Livestock'!A1", "Constants - Livestock")</f>
        <v>Constants - Livestock</v>
      </c>
      <c r="D19" s="104" t="s">
        <v>226</v>
      </c>
      <c r="N19" s="104" t="s">
        <v>234</v>
      </c>
    </row>
    <row r="20" spans="1:18" ht="20.100000000000001" customHeight="1" x14ac:dyDescent="0.25">
      <c r="A20" s="17" t="str">
        <f>HYPERLINK("#'Constants - Common'!A1", "Constants - Common")</f>
        <v>Constants - Common</v>
      </c>
      <c r="D20" s="103" t="s">
        <v>236</v>
      </c>
      <c r="N20" s="103" t="s">
        <v>235</v>
      </c>
    </row>
    <row r="21" spans="1:18" ht="20.100000000000001" customHeight="1" x14ac:dyDescent="0.25">
      <c r="A21" s="17" t="str">
        <f>HYPERLINK("#'Acknowledgements'!A1", "Acknowledgements")</f>
        <v>Acknowledgements</v>
      </c>
      <c r="D21" s="54" t="s">
        <v>66</v>
      </c>
      <c r="E21" s="54" t="s">
        <v>135</v>
      </c>
      <c r="F21" s="54" t="s">
        <v>136</v>
      </c>
      <c r="G21" s="54" t="s">
        <v>137</v>
      </c>
      <c r="N21" s="54" t="s">
        <v>66</v>
      </c>
      <c r="O21" s="54" t="s">
        <v>135</v>
      </c>
      <c r="P21" s="54" t="s">
        <v>136</v>
      </c>
      <c r="Q21" s="54" t="s">
        <v>137</v>
      </c>
    </row>
    <row r="22" spans="1:18" ht="20.100000000000001" customHeight="1" x14ac:dyDescent="0.25">
      <c r="D22" s="55" t="str">
        <f>'Input - Feedlot'!$D$32</f>
        <v>Solid storage</v>
      </c>
      <c r="E22" s="55">
        <f>'4.1.1.3-4 Direct N20'!$E$174</f>
        <v>1250.3589396480006</v>
      </c>
      <c r="F22" s="55">
        <f>'4.1.1.3-4 Direct N20'!$F$174</f>
        <v>1898.7379568640001</v>
      </c>
      <c r="G22" s="55">
        <f>'4.1.1.3-4 Direct N20'!$G$174</f>
        <v>2742.4316159999994</v>
      </c>
      <c r="H22" s="2" t="s">
        <v>225</v>
      </c>
      <c r="I22" s="2"/>
      <c r="J22" s="2"/>
      <c r="N22" s="55" t="str">
        <f>'Input - Feedlot'!$D$32</f>
        <v>Solid storage</v>
      </c>
      <c r="O22" s="55">
        <f>'4.1.1.3-4 Direct N20'!$P$174</f>
        <v>1250.3589396480006</v>
      </c>
      <c r="P22" s="55">
        <f>'4.1.1.3-4 Direct N20'!$Q$174</f>
        <v>1898.7379568640001</v>
      </c>
      <c r="Q22" s="55">
        <f>'4.1.1.3-4 Direct N20'!$R$174</f>
        <v>2742.4316159999994</v>
      </c>
      <c r="R22" s="2" t="s">
        <v>225</v>
      </c>
    </row>
    <row r="23" spans="1:18" ht="20.100000000000001" customHeight="1" x14ac:dyDescent="0.25">
      <c r="D23" s="55" t="str">
        <f>'Input - Feedlot'!$D$33</f>
        <v>Composting (passive windrow)</v>
      </c>
      <c r="E23" s="55">
        <f>'4.1.1.3-4 Direct N20'!$E$175</f>
        <v>1250.3589396480006</v>
      </c>
      <c r="F23" s="55">
        <f>'4.1.1.3-4 Direct N20'!$F$175</f>
        <v>1898.7379568640001</v>
      </c>
      <c r="G23" s="55">
        <f>'4.1.1.3-4 Direct N20'!$G$175</f>
        <v>2742.4316159999994</v>
      </c>
      <c r="H23" s="2" t="s">
        <v>225</v>
      </c>
      <c r="I23" s="2"/>
      <c r="J23" s="2"/>
      <c r="N23" s="55" t="str">
        <f>'Input - Feedlot'!$D$33</f>
        <v>Composting (passive windrow)</v>
      </c>
      <c r="O23" s="55">
        <f>'4.1.1.3-4 Direct N20'!$P$175</f>
        <v>1250.3589396480006</v>
      </c>
      <c r="P23" s="55">
        <f>'4.1.1.3-4 Direct N20'!$Q$175</f>
        <v>1898.7379568640001</v>
      </c>
      <c r="Q23" s="55">
        <f>'4.1.1.3-4 Direct N20'!$R$175</f>
        <v>2742.4316159999994</v>
      </c>
      <c r="R23" s="2" t="s">
        <v>225</v>
      </c>
    </row>
    <row r="24" spans="1:18" ht="20.100000000000001" customHeight="1" x14ac:dyDescent="0.25">
      <c r="A24" s="17"/>
      <c r="D24" s="55" t="str">
        <f>'Input - Feedlot'!$D$34</f>
        <v>Direct application</v>
      </c>
      <c r="E24" s="55">
        <f>'4.1.1.3-4 Direct N20'!$E$176</f>
        <v>3751.0768189440014</v>
      </c>
      <c r="F24" s="55">
        <f>'4.1.1.3-4 Direct N20'!$F$176</f>
        <v>5696.2138705919997</v>
      </c>
      <c r="G24" s="55">
        <f>'4.1.1.3-4 Direct N20'!$G$176</f>
        <v>8227.2948479999977</v>
      </c>
      <c r="N24" s="55" t="str">
        <f>'Input - Feedlot'!$D$34</f>
        <v>Direct application</v>
      </c>
      <c r="O24" s="55">
        <f>'4.1.1.3-4 Direct N20'!$P$176</f>
        <v>3751.0768189440014</v>
      </c>
      <c r="P24" s="55">
        <f>'4.1.1.3-4 Direct N20'!$Q$176</f>
        <v>5696.2138705919997</v>
      </c>
      <c r="Q24" s="55">
        <f>'4.1.1.3-4 Direct N20'!$R$176</f>
        <v>8227.2948479999977</v>
      </c>
      <c r="R24" s="2" t="s">
        <v>225</v>
      </c>
    </row>
    <row r="25" spans="1:18" ht="20.100000000000001" customHeight="1" x14ac:dyDescent="0.25">
      <c r="A25" s="17"/>
      <c r="D25" s="55" t="str">
        <f>'Input - Feedlot'!$D$38</f>
        <v>Anaerobic lagoon</v>
      </c>
      <c r="E25" s="55">
        <f>'4.1.1.3-4 Direct N20'!$E$129</f>
        <v>333.78508800000009</v>
      </c>
      <c r="F25" s="55">
        <f>'4.1.1.3-4 Direct N20'!$F$129</f>
        <v>506.87078400000007</v>
      </c>
      <c r="G25" s="55">
        <f>'4.1.1.3-4 Direct N20'!$G$129</f>
        <v>732.09599999999978</v>
      </c>
      <c r="H25" s="2" t="s">
        <v>225</v>
      </c>
      <c r="I25" s="2"/>
      <c r="J25" s="2"/>
      <c r="N25" s="55" t="str">
        <f>'Input - Feedlot'!$D$38</f>
        <v>Anaerobic lagoon</v>
      </c>
      <c r="O25" s="55">
        <f>'4.1.1.3-4 Direct N20'!$P$129</f>
        <v>333.78508800000009</v>
      </c>
      <c r="P25" s="55">
        <f>'4.1.1.3-4 Direct N20'!$Q$129</f>
        <v>506.87078400000007</v>
      </c>
      <c r="Q25" s="55">
        <f>'4.1.1.3-4 Direct N20'!$R$129</f>
        <v>732.09599999999978</v>
      </c>
      <c r="R25" s="2" t="s">
        <v>225</v>
      </c>
    </row>
    <row r="26" spans="1:18" ht="20.100000000000001" customHeight="1" x14ac:dyDescent="0.25"/>
    <row r="27" spans="1:18" ht="20.100000000000001" customHeight="1" x14ac:dyDescent="0.25">
      <c r="D27" s="104" t="s">
        <v>228</v>
      </c>
    </row>
    <row r="28" spans="1:18" ht="20.100000000000001" customHeight="1" x14ac:dyDescent="0.25">
      <c r="D28" s="103" t="s">
        <v>168</v>
      </c>
    </row>
    <row r="29" spans="1:18" ht="20.100000000000001" customHeight="1" x14ac:dyDescent="0.25">
      <c r="D29" s="115" t="s">
        <v>66</v>
      </c>
      <c r="E29" s="115" t="s">
        <v>169</v>
      </c>
    </row>
    <row r="30" spans="1:18" ht="20.100000000000001" customHeight="1" x14ac:dyDescent="0.25">
      <c r="D30" s="55" t="str">
        <f>'Input - Feedlot'!$D$28</f>
        <v>Drylot (feed pad)</v>
      </c>
      <c r="E30" s="55">
        <f>_xlfn.XLOOKUP(D30, Table_SourceData_Feedlot_NO2EFs[NIR definition], Table_SourceData_Feedlot_NO2EFs[EF mT])</f>
        <v>5.4000000000000003E-3</v>
      </c>
      <c r="F30" s="2" t="s">
        <v>232</v>
      </c>
    </row>
    <row r="31" spans="1:18" ht="20.100000000000001" customHeight="1" x14ac:dyDescent="0.25">
      <c r="D31" s="55" t="str">
        <f>'Input - Feedlot'!$D$32</f>
        <v>Solid storage</v>
      </c>
      <c r="E31" s="55">
        <f>_xlfn.XLOOKUP($D$31, Table_SourceData_Feedlot_NO2EFs[NIR definition], Table_SourceData_Feedlot_NO2EFs[EF mT])</f>
        <v>5.0000000000000001E-3</v>
      </c>
      <c r="F31" s="2" t="s">
        <v>232</v>
      </c>
    </row>
    <row r="32" spans="1:18" ht="20.100000000000001" customHeight="1" x14ac:dyDescent="0.25">
      <c r="D32" s="55" t="str">
        <f>'Input - Feedlot'!$D$33</f>
        <v>Composting (passive windrow)</v>
      </c>
      <c r="E32" s="55">
        <f>_xlfn.XLOOKUP($D$32, Table_SourceData_Feedlot_NO2EFs[NIR definition], Table_SourceData_Feedlot_NO2EFs[EF mT])</f>
        <v>0.01</v>
      </c>
      <c r="F32" s="2" t="s">
        <v>232</v>
      </c>
    </row>
    <row r="33" spans="4:10" ht="20.100000000000001" customHeight="1" x14ac:dyDescent="0.25">
      <c r="D33" s="55" t="s">
        <v>314</v>
      </c>
      <c r="E33" s="55">
        <f>_xlfn.XLOOKUP($D$33, Table_SourceData_Feedlot_NO2EFs[NIR definition], Table_SourceData_Feedlot_NO2EFs[EF mT])</f>
        <v>0</v>
      </c>
      <c r="F33" s="2" t="s">
        <v>232</v>
      </c>
    </row>
    <row r="34" spans="4:10" ht="20.100000000000001" customHeight="1" x14ac:dyDescent="0.25">
      <c r="D34" s="55" t="str">
        <f>'Input - Feedlot'!$D$38</f>
        <v>Anaerobic lagoon</v>
      </c>
      <c r="E34" s="55">
        <f>_xlfn.XLOOKUP($D$34, Table_SourceData_Feedlot_NO2EFs[NIR definition], Table_SourceData_Feedlot_NO2EFs[EF mT])</f>
        <v>0</v>
      </c>
      <c r="F34" s="2" t="s">
        <v>232</v>
      </c>
    </row>
    <row r="35" spans="4:10" ht="20.100000000000001" customHeight="1" x14ac:dyDescent="0.25"/>
    <row r="36" spans="4:10" ht="20.100000000000001" customHeight="1" x14ac:dyDescent="0.25">
      <c r="D36" s="104" t="s">
        <v>227</v>
      </c>
    </row>
    <row r="37" spans="4:10" ht="20.100000000000001" customHeight="1" x14ac:dyDescent="0.25">
      <c r="D37" s="103" t="s">
        <v>229</v>
      </c>
    </row>
    <row r="38" spans="4:10" ht="20.100000000000001" customHeight="1" x14ac:dyDescent="0.25">
      <c r="D38" s="115" t="s">
        <v>66</v>
      </c>
      <c r="E38" s="115" t="s">
        <v>169</v>
      </c>
    </row>
    <row r="39" spans="4:10" ht="20.100000000000001" customHeight="1" x14ac:dyDescent="0.25">
      <c r="D39" s="55" t="str">
        <f>'Input - Feedlot'!$D$28</f>
        <v>Drylot (feed pad)</v>
      </c>
      <c r="E39" s="55">
        <f>_xlfn.XLOOKUP(D39, Table_SourceData_Feedlot_FracGASMmT[NIR definition], Table_SourceData_Feedlot_FracGASMmT[FracGASMmT])</f>
        <v>0.6</v>
      </c>
      <c r="F39" s="2" t="s">
        <v>233</v>
      </c>
    </row>
    <row r="40" spans="4:10" ht="20.100000000000001" customHeight="1" x14ac:dyDescent="0.25">
      <c r="D40" s="55" t="str">
        <f>'Input - Feedlot'!$D$32</f>
        <v>Solid storage</v>
      </c>
      <c r="E40" s="55">
        <f>_xlfn.XLOOKUP(D40, Table_SourceData_Feedlot_FracGASMmT[NIR definition], Table_SourceData_Feedlot_FracGASMmT[FracGASMmT])</f>
        <v>0.25</v>
      </c>
      <c r="F40" s="2" t="s">
        <v>233</v>
      </c>
    </row>
    <row r="41" spans="4:10" ht="20.100000000000001" customHeight="1" x14ac:dyDescent="0.25">
      <c r="D41" s="55" t="str">
        <f>'Input - Feedlot'!$D$33</f>
        <v>Composting (passive windrow)</v>
      </c>
      <c r="E41" s="55">
        <f>_xlfn.XLOOKUP(D41, Table_SourceData_Feedlot_FracGASMmT[NIR definition], Table_SourceData_Feedlot_FracGASMmT[FracGASMmT])</f>
        <v>0.4</v>
      </c>
      <c r="F41" s="2" t="s">
        <v>233</v>
      </c>
    </row>
    <row r="42" spans="4:10" ht="20.100000000000001" customHeight="1" x14ac:dyDescent="0.25">
      <c r="D42" s="55" t="str">
        <f>'Input - Feedlot'!$D$34</f>
        <v>Direct application</v>
      </c>
      <c r="E42" s="55">
        <f>_xlfn.XLOOKUP(D42, Table_SourceData_Feedlot_FracGASMmT[NIR definition], Table_SourceData_Feedlot_FracGASMmT[FracGASMmT])</f>
        <v>0</v>
      </c>
      <c r="F42" s="2" t="s">
        <v>233</v>
      </c>
    </row>
    <row r="43" spans="4:10" ht="20.100000000000001" customHeight="1" x14ac:dyDescent="0.25">
      <c r="D43" s="55" t="str">
        <f>'Input - Feedlot'!$D$38</f>
        <v>Anaerobic lagoon</v>
      </c>
      <c r="E43" s="55">
        <f>_xlfn.XLOOKUP(D43, Table_SourceData_Feedlot_FracGASMmT[NIR definition], Table_SourceData_Feedlot_FracGASMmT[FracGASMmT])</f>
        <v>0.35</v>
      </c>
      <c r="F43" s="2" t="s">
        <v>233</v>
      </c>
    </row>
    <row r="44" spans="4:10" ht="20.100000000000001" customHeight="1" x14ac:dyDescent="0.25"/>
    <row r="45" spans="4:10" ht="20.100000000000001" customHeight="1" x14ac:dyDescent="0.25">
      <c r="D45" s="104" t="s">
        <v>230</v>
      </c>
    </row>
    <row r="46" spans="4:10" ht="20.100000000000001" customHeight="1" x14ac:dyDescent="0.25">
      <c r="D46" s="103" t="s">
        <v>231</v>
      </c>
    </row>
    <row r="47" spans="4:10" ht="20.100000000000001" customHeight="1" x14ac:dyDescent="0.25">
      <c r="D47" s="65" t="s">
        <v>66</v>
      </c>
      <c r="E47" s="65" t="s">
        <v>320</v>
      </c>
    </row>
    <row r="48" spans="4:10" ht="20.100000000000001" customHeight="1" x14ac:dyDescent="0.25">
      <c r="D48" s="55" t="str">
        <f>'Input - Feedlot'!$D$32</f>
        <v>Solid storage</v>
      </c>
      <c r="E48" s="55">
        <f>'Input - Feedlot'!J32+'Input - Feedlot'!K32</f>
        <v>0.75</v>
      </c>
      <c r="F48" s="2" t="s">
        <v>322</v>
      </c>
      <c r="H48" s="2"/>
      <c r="I48" s="2"/>
      <c r="J48" s="2"/>
    </row>
    <row r="49" spans="3:19" ht="20.100000000000001" customHeight="1" x14ac:dyDescent="0.25">
      <c r="D49" s="55" t="str">
        <f>'Input - Feedlot'!$D$33</f>
        <v>Composting (passive windrow)</v>
      </c>
      <c r="E49" s="55">
        <f>'Input - Feedlot'!J33+'Input - Feedlot'!K33</f>
        <v>0.75</v>
      </c>
      <c r="F49" s="2" t="s">
        <v>322</v>
      </c>
      <c r="H49" s="2"/>
      <c r="I49" s="2"/>
      <c r="J49" s="2"/>
    </row>
    <row r="50" spans="3:19" ht="20.100000000000001" customHeight="1" x14ac:dyDescent="0.25">
      <c r="D50" s="55" t="str">
        <f>'Input - Feedlot'!$D$34</f>
        <v>Direct application</v>
      </c>
      <c r="E50" s="55">
        <f>'Input - Feedlot'!J34+'Input - Feedlot'!K34</f>
        <v>1</v>
      </c>
      <c r="F50" s="2" t="s">
        <v>322</v>
      </c>
      <c r="H50" s="2"/>
      <c r="I50" s="2"/>
      <c r="J50" s="2"/>
    </row>
    <row r="51" spans="3:19" ht="20.100000000000001" customHeight="1" x14ac:dyDescent="0.25">
      <c r="D51" s="55" t="str">
        <f>'Input - Feedlot'!$D$38</f>
        <v>Anaerobic lagoon</v>
      </c>
      <c r="E51" s="55">
        <f>'Input - Feedlot'!J38+'Input - Feedlot'!K38</f>
        <v>0.75</v>
      </c>
      <c r="F51" s="2" t="s">
        <v>322</v>
      </c>
      <c r="H51" s="2"/>
      <c r="I51" s="2"/>
      <c r="J51" s="2"/>
    </row>
    <row r="52" spans="3:19" ht="20.100000000000001" customHeight="1" x14ac:dyDescent="0.25"/>
    <row r="53" spans="3:19" ht="20.100000000000001" customHeight="1" x14ac:dyDescent="0.25">
      <c r="D53" s="104" t="s">
        <v>237</v>
      </c>
      <c r="N53" s="104" t="s">
        <v>250</v>
      </c>
    </row>
    <row r="54" spans="3:19" ht="20.100000000000001" customHeight="1" x14ac:dyDescent="0.25">
      <c r="D54" s="103" t="s">
        <v>252</v>
      </c>
      <c r="N54" s="103" t="s">
        <v>251</v>
      </c>
    </row>
    <row r="55" spans="3:19" ht="20.100000000000001" customHeight="1" x14ac:dyDescent="0.25">
      <c r="D55" s="54" t="s">
        <v>66</v>
      </c>
      <c r="E55" s="54" t="s">
        <v>135</v>
      </c>
      <c r="F55" s="54" t="s">
        <v>136</v>
      </c>
      <c r="G55" s="54" t="s">
        <v>137</v>
      </c>
      <c r="N55" s="54" t="s">
        <v>66</v>
      </c>
      <c r="O55" s="54" t="s">
        <v>135</v>
      </c>
      <c r="P55" s="54" t="s">
        <v>136</v>
      </c>
      <c r="Q55" s="54" t="s">
        <v>137</v>
      </c>
    </row>
    <row r="56" spans="3:19" ht="20.100000000000001" customHeight="1" x14ac:dyDescent="0.25">
      <c r="D56" s="55" t="str">
        <f>'Input - Feedlot'!$D$32</f>
        <v>Solid storage</v>
      </c>
      <c r="E56" s="55" cm="1">
        <f t="array" ref="E56">MMS_Feedlot_ManureAppliedToSoils_Equations.VEERG_4_1_1_9__1_MassOfNitrogenAppliedToSoilsScope1(E22,_xlfn.XLOOKUP($D56,$D$30:$D$34,$E$30:$E$34),_xlfn.XLOOKUP($D56,$D$39:$D$43,$E$39:$E$43),$E48)</f>
        <v>698.63805752832036</v>
      </c>
      <c r="F56" s="55" cm="1">
        <f t="array" ref="F56">MMS_Feedlot_ManureAppliedToSoils_Equations.VEERG_4_1_1_9__1_MassOfNitrogenAppliedToSoilsScope1(F22,_xlfn.XLOOKUP($D56,$D$30:$D$34,$E$30:$E$34),_xlfn.XLOOKUP($D56,$D$39:$D$43,$E$39:$E$43),$E48)</f>
        <v>1060.9198333977599</v>
      </c>
      <c r="G56" s="55" cm="1">
        <f t="array" ref="G56">MMS_Feedlot_ManureAppliedToSoils_Equations.VEERG_4_1_1_9__1_MassOfNitrogenAppliedToSoilsScope1(G22,_xlfn.XLOOKUP($D56,$D$30:$D$34,$E$30:$E$34),_xlfn.XLOOKUP($D56,$D$39:$D$43,$E$39:$E$43),$E48)</f>
        <v>1532.3336654399995</v>
      </c>
      <c r="H56" s="2" t="str">
        <f>$E$12</f>
        <v>kg N</v>
      </c>
      <c r="I56" s="2"/>
      <c r="J56" s="2"/>
      <c r="N56" s="55" t="str">
        <f>'Input - Feedlot'!$D$32</f>
        <v>Solid storage</v>
      </c>
      <c r="O56" s="55" cm="1">
        <f t="array" ref="O56">MMS_Feedlot_ManureAppliedToSoils_Equations.VEERG_4_1_1_9__1_MassOfNitrogenAppliedToSoilsScope1(O22,_xlfn.XLOOKUP($N56,$D$30:$D$34,$E$30:$E$34),_xlfn.XLOOKUP($N56,$D$39:$D$43,$E$39:$E$43),$E48)</f>
        <v>698.63805752832036</v>
      </c>
      <c r="P56" s="55" cm="1">
        <f t="array" ref="P56">MMS_Feedlot_ManureAppliedToSoils_Equations.VEERG_4_1_1_9__1_MassOfNitrogenAppliedToSoilsScope1(P22,_xlfn.XLOOKUP($N56,$D$30:$D$34,$E$30:$E$34),_xlfn.XLOOKUP($N56,$D$39:$D$43,$E$39:$E$43),$E48)</f>
        <v>1060.9198333977599</v>
      </c>
      <c r="Q56" s="55" cm="1">
        <f t="array" ref="Q56">MMS_Feedlot_ManureAppliedToSoils_Equations.VEERG_4_1_1_9__1_MassOfNitrogenAppliedToSoilsScope1(Q22,_xlfn.XLOOKUP($N56,$D$30:$D$34,$E$30:$E$34),_xlfn.XLOOKUP($N56,$D$39:$D$43,$E$39:$E$43),$E48)</f>
        <v>1532.3336654399995</v>
      </c>
      <c r="R56" s="2" t="str">
        <f>$E$12</f>
        <v>kg N</v>
      </c>
    </row>
    <row r="57" spans="3:19" ht="20.100000000000001" customHeight="1" x14ac:dyDescent="0.25">
      <c r="D57" s="55" t="str">
        <f>'Input - Feedlot'!$D$33</f>
        <v>Composting (passive windrow)</v>
      </c>
      <c r="E57" s="55" cm="1">
        <f t="array" ref="E57">MMS_Feedlot_ManureAppliedToSoils_Equations.VEERG_4_1_1_9__1_MassOfNitrogenAppliedToSoilsScope1(E23,_xlfn.XLOOKUP($D57,$D$30:$D$34,$E$30:$E$34),_xlfn.XLOOKUP($D57,$D$39:$D$43,$E$39:$E$43),$E49)</f>
        <v>553.2838307942402</v>
      </c>
      <c r="F57" s="55" cm="1">
        <f t="array" ref="F57">MMS_Feedlot_ManureAppliedToSoils_Equations.VEERG_4_1_1_9__1_MassOfNitrogenAppliedToSoilsScope1(F23,_xlfn.XLOOKUP($D57,$D$30:$D$34,$E$30:$E$34),_xlfn.XLOOKUP($D57,$D$39:$D$43,$E$39:$E$43),$E49)</f>
        <v>840.19154591231995</v>
      </c>
      <c r="G57" s="55" cm="1">
        <f t="array" ref="G57">MMS_Feedlot_ManureAppliedToSoils_Equations.VEERG_4_1_1_9__1_MassOfNitrogenAppliedToSoilsScope1(G23,_xlfn.XLOOKUP($D57,$D$30:$D$34,$E$30:$E$34),_xlfn.XLOOKUP($D57,$D$39:$D$43,$E$39:$E$43),$E49)</f>
        <v>1213.5259900799997</v>
      </c>
      <c r="H57" s="2" t="str">
        <f>$E$12</f>
        <v>kg N</v>
      </c>
      <c r="I57" s="2"/>
      <c r="J57" s="2"/>
      <c r="N57" s="55" t="str">
        <f>'Input - Feedlot'!$D$33</f>
        <v>Composting (passive windrow)</v>
      </c>
      <c r="O57" s="55" cm="1">
        <f t="array" ref="O57">MMS_Feedlot_ManureAppliedToSoils_Equations.VEERG_4_1_1_9__1_MassOfNitrogenAppliedToSoilsScope1(O23,_xlfn.XLOOKUP($N57,$D$30:$D$34,$E$30:$E$34),_xlfn.XLOOKUP($N57,$D$39:$D$43,$E$39:$E$43),$E49)</f>
        <v>553.2838307942402</v>
      </c>
      <c r="P57" s="55" cm="1">
        <f t="array" ref="P57">MMS_Feedlot_ManureAppliedToSoils_Equations.VEERG_4_1_1_9__1_MassOfNitrogenAppliedToSoilsScope1(P23,_xlfn.XLOOKUP($N57,$D$30:$D$34,$E$30:$E$34),_xlfn.XLOOKUP($N57,$D$39:$D$43,$E$39:$E$43),$E49)</f>
        <v>840.19154591231995</v>
      </c>
      <c r="Q57" s="55" cm="1">
        <f t="array" ref="Q57">MMS_Feedlot_ManureAppliedToSoils_Equations.VEERG_4_1_1_9__1_MassOfNitrogenAppliedToSoilsScope1(Q23,_xlfn.XLOOKUP($N57,$D$30:$D$34,$E$30:$E$34),_xlfn.XLOOKUP($N57,$D$39:$D$43,$E$39:$E$43),$E49)</f>
        <v>1213.5259900799997</v>
      </c>
      <c r="R57" s="2" t="str">
        <f>$E$12</f>
        <v>kg N</v>
      </c>
    </row>
    <row r="58" spans="3:19" ht="20.100000000000001" customHeight="1" x14ac:dyDescent="0.25">
      <c r="D58" s="55" t="str">
        <f>'Input - Feedlot'!$D$34</f>
        <v>Direct application</v>
      </c>
      <c r="E58" s="55" cm="1">
        <f t="array" ref="E58">MMS_Feedlot_ManureAppliedToSoils_Equations.VEERG_4_1_1_9__1_MassOfNitrogenAppliedToSoilsScope1(E24,_xlfn.XLOOKUP($D58,$D$30:$D$34,$E$30:$E$34),_xlfn.XLOOKUP($D58,$D$39:$D$43,$E$39:$E$43),$E50)</f>
        <v>3751.0768189440014</v>
      </c>
      <c r="F58" s="55" cm="1">
        <f t="array" ref="F58">MMS_Feedlot_ManureAppliedToSoils_Equations.VEERG_4_1_1_9__1_MassOfNitrogenAppliedToSoilsScope1(F24,_xlfn.XLOOKUP($D58,$D$30:$D$34,$E$30:$E$34),_xlfn.XLOOKUP($D58,$D$39:$D$43,$E$39:$E$43),$E50)</f>
        <v>5696.2138705919997</v>
      </c>
      <c r="G58" s="55" cm="1">
        <f t="array" ref="G58">MMS_Feedlot_ManureAppliedToSoils_Equations.VEERG_4_1_1_9__1_MassOfNitrogenAppliedToSoilsScope1(G24,_xlfn.XLOOKUP($D58,$D$30:$D$34,$E$30:$E$34),_xlfn.XLOOKUP($D58,$D$39:$D$43,$E$39:$E$43),$E50)</f>
        <v>8227.2948479999977</v>
      </c>
      <c r="H58" s="2" t="str">
        <f>$E$12</f>
        <v>kg N</v>
      </c>
      <c r="I58" s="2"/>
      <c r="J58" s="2"/>
      <c r="N58" s="55" t="str">
        <f>'Input - Feedlot'!$D$34</f>
        <v>Direct application</v>
      </c>
      <c r="O58" s="55" cm="1">
        <f t="array" ref="O58">MMS_Feedlot_ManureAppliedToSoils_Equations.VEERG_4_1_1_9__1_MassOfNitrogenAppliedToSoilsScope1(O24,_xlfn.XLOOKUP($N58,$D$30:$D$34,$E$30:$E$34),_xlfn.XLOOKUP($N58,$D$39:$D$43,$E$39:$E$43),$E50)</f>
        <v>3751.0768189440014</v>
      </c>
      <c r="P58" s="55" cm="1">
        <f t="array" ref="P58">MMS_Feedlot_ManureAppliedToSoils_Equations.VEERG_4_1_1_9__1_MassOfNitrogenAppliedToSoilsScope1(P24,_xlfn.XLOOKUP($N58,$D$30:$D$34,$E$30:$E$34),_xlfn.XLOOKUP($N58,$D$39:$D$43,$E$39:$E$43),$E50)</f>
        <v>5696.2138705919997</v>
      </c>
      <c r="Q58" s="55" cm="1">
        <f t="array" ref="Q58">MMS_Feedlot_ManureAppliedToSoils_Equations.VEERG_4_1_1_9__1_MassOfNitrogenAppliedToSoilsScope1(Q24,_xlfn.XLOOKUP($N58,$D$30:$D$34,$E$30:$E$34),_xlfn.XLOOKUP($N58,$D$39:$D$43,$E$39:$E$43),$E50)</f>
        <v>8227.2948479999977</v>
      </c>
      <c r="R58" s="2" t="str">
        <f>$E$12</f>
        <v>kg N</v>
      </c>
    </row>
    <row r="59" spans="3:19" ht="20.100000000000001" customHeight="1" x14ac:dyDescent="0.25">
      <c r="D59" s="55" t="str">
        <f>'Input - Feedlot'!$D$38</f>
        <v>Anaerobic lagoon</v>
      </c>
      <c r="E59" s="55" cm="1">
        <f t="array" ref="E59">MMS_Feedlot_ManureAppliedToSoils_Equations.VEERG_4_1_1_9__1_MassOfNitrogenAppliedToSoilsScope1(E25,_xlfn.XLOOKUP($D59,$D$30:$D$34,$E$30:$E$34),_xlfn.XLOOKUP($D59,$D$39:$D$43,$E$39:$E$43),$E51)</f>
        <v>162.72023040000005</v>
      </c>
      <c r="F59" s="55" cm="1">
        <f t="array" ref="F59">MMS_Feedlot_ManureAppliedToSoils_Equations.VEERG_4_1_1_9__1_MassOfNitrogenAppliedToSoilsScope1(F25,_xlfn.XLOOKUP($D59,$D$30:$D$34,$E$30:$E$34),_xlfn.XLOOKUP($D59,$D$39:$D$43,$E$39:$E$43),$E51)</f>
        <v>247.09950720000006</v>
      </c>
      <c r="G59" s="55" cm="1">
        <f t="array" ref="G59">MMS_Feedlot_ManureAppliedToSoils_Equations.VEERG_4_1_1_9__1_MassOfNitrogenAppliedToSoilsScope1(G25,_xlfn.XLOOKUP($D59,$D$30:$D$34,$E$30:$E$34),_xlfn.XLOOKUP($D59,$D$39:$D$43,$E$39:$E$43),$E51)</f>
        <v>356.89679999999987</v>
      </c>
      <c r="H59" s="2" t="str">
        <f>$E$12</f>
        <v>kg N</v>
      </c>
      <c r="I59" s="2"/>
      <c r="J59" s="2"/>
      <c r="N59" s="55" t="str">
        <f>'Input - Feedlot'!$D$38</f>
        <v>Anaerobic lagoon</v>
      </c>
      <c r="O59" s="55" cm="1">
        <f t="array" ref="O59">MMS_Feedlot_ManureAppliedToSoils_Equations.VEERG_4_1_1_9__1_MassOfNitrogenAppliedToSoilsScope1(O25,_xlfn.XLOOKUP($N59,$D$30:$D$34,$E$30:$E$34),_xlfn.XLOOKUP($N59,$D$39:$D$43,$E$39:$E$43),$E51)</f>
        <v>162.72023040000005</v>
      </c>
      <c r="P59" s="55" cm="1">
        <f t="array" ref="P59">MMS_Feedlot_ManureAppliedToSoils_Equations.VEERG_4_1_1_9__1_MassOfNitrogenAppliedToSoilsScope1(P25,_xlfn.XLOOKUP($N59,$D$30:$D$34,$E$30:$E$34),_xlfn.XLOOKUP($N59,$D$39:$D$43,$E$39:$E$43),$E51)</f>
        <v>247.09950720000006</v>
      </c>
      <c r="Q59" s="55" cm="1">
        <f t="array" ref="Q59">MMS_Feedlot_ManureAppliedToSoils_Equations.VEERG_4_1_1_9__1_MassOfNitrogenAppliedToSoilsScope1(Q25,_xlfn.XLOOKUP($N59,$D$30:$D$34,$E$30:$E$34),_xlfn.XLOOKUP($N59,$D$39:$D$43,$E$39:$E$43),$E51)</f>
        <v>356.89679999999987</v>
      </c>
      <c r="R59" s="2" t="str">
        <f>$E$12</f>
        <v>kg N</v>
      </c>
    </row>
    <row r="60" spans="3:19" ht="20.100000000000001" customHeight="1" x14ac:dyDescent="0.25"/>
    <row r="61" spans="3:19" ht="20.100000000000001" customHeight="1" x14ac:dyDescent="0.25">
      <c r="D61" s="108" t="s">
        <v>238</v>
      </c>
      <c r="E61" s="109">
        <f>SUM(E56:G59)</f>
        <v>24340.194998288636</v>
      </c>
      <c r="F61" s="110" t="str">
        <f>$E$12</f>
        <v>kg N</v>
      </c>
      <c r="N61" s="108" t="s">
        <v>238</v>
      </c>
      <c r="O61" s="109">
        <f>SUM(O56:Q59)</f>
        <v>24340.194998288636</v>
      </c>
      <c r="P61" s="110" t="str">
        <f>$E$12</f>
        <v>kg N</v>
      </c>
    </row>
    <row r="62" spans="3:19" ht="20.100000000000001" customHeight="1" x14ac:dyDescent="0.25"/>
    <row r="63" spans="3:19" ht="20.100000000000001" customHeight="1" x14ac:dyDescent="0.25"/>
    <row r="64" spans="3:19" ht="20.100000000000001" customHeight="1" x14ac:dyDescent="0.25">
      <c r="C64" s="48"/>
      <c r="D64" s="48"/>
      <c r="E64" s="48"/>
      <c r="F64" s="48"/>
      <c r="G64" s="48"/>
      <c r="H64" s="48"/>
      <c r="I64" s="48"/>
      <c r="J64" s="48"/>
      <c r="K64" s="48"/>
      <c r="M64" s="48"/>
      <c r="N64" s="48"/>
      <c r="O64" s="48"/>
      <c r="P64" s="48"/>
      <c r="Q64" s="48"/>
      <c r="R64" s="48"/>
      <c r="S64" s="48"/>
    </row>
    <row r="65" spans="4:14" ht="20.100000000000001" customHeight="1" x14ac:dyDescent="0.25">
      <c r="D65" s="6" t="str" cm="1">
        <f t="array" ref="D65">MMS_Feedlot_ManureAppliedToSoils_Equations.VEERG_4_1_1_9__2_MassOfNitrogenAppliedToSoilsScope3_Title()</f>
        <v>Mass of nitrogen applied to soils for scope 3 emissions</v>
      </c>
    </row>
    <row r="66" spans="4:14" ht="20.100000000000001" customHeight="1" x14ac:dyDescent="0.25">
      <c r="D66" s="5" t="str" cm="1">
        <f t="array" ref="D66">MMS_Feedlot_ManureAppliedToSoils_Equations.VEERG_4_1_1_9__2_MassOfNitrogenAppliedToSoilsScope3_Source()</f>
        <v>VEERG 2026: 4.1.1.9, Equation (2)</v>
      </c>
    </row>
    <row r="67" spans="4:14" ht="20.100000000000001" customHeight="1" x14ac:dyDescent="0.25">
      <c r="D67" s="13" t="s">
        <v>25</v>
      </c>
      <c r="E67" s="13" t="str" cm="1">
        <f t="array" aca="1" ref="E67" ca="1">Common_InputFunctions.Utility_DisplayFunctionName(E82)</f>
        <v>=MMS_Feedlot_ManureAppliedToSoils_Equations.VEERG_4_1_1_9__2_MassOfNitrogenAppliedToSoilsScope3</v>
      </c>
    </row>
    <row r="68" spans="4:14" ht="20.100000000000001" customHeight="1" x14ac:dyDescent="0.25"/>
    <row r="69" spans="4:14" ht="20.100000000000001" customHeight="1" x14ac:dyDescent="0.25">
      <c r="D69" s="6"/>
    </row>
    <row r="70" spans="4:14" ht="20.100000000000001" customHeight="1" x14ac:dyDescent="0.25"/>
    <row r="71" spans="4:14" ht="20.100000000000001" customHeight="1" x14ac:dyDescent="0.25">
      <c r="D71" s="56" t="s">
        <v>28</v>
      </c>
      <c r="E71" s="1" t="str" cm="1">
        <f t="array" ref="E71">MMS_Feedlot_ManureAppliedToSoils_Equations.VEERG_4_1_1_9__2_MassOfNitrogenAppliedToSoilsScope3_Variable()</f>
        <v>MNSoil_scope3</v>
      </c>
    </row>
    <row r="72" spans="4:14" ht="20.100000000000001" customHeight="1" x14ac:dyDescent="0.25">
      <c r="D72" s="56" t="s">
        <v>18</v>
      </c>
      <c r="E72" s="57" t="str" cm="1">
        <f t="array" ref="E72">MMS_Feedlot_ManureAppliedToSoils_Equations.VEERG_4_1_1_9__2_MassOfNitrogenAppliedToSoilsScope3_Unit()</f>
        <v>kg N</v>
      </c>
    </row>
    <row r="73" spans="4:14" ht="20.100000000000001" customHeight="1" x14ac:dyDescent="0.25"/>
    <row r="74" spans="4:14" ht="20.100000000000001" customHeight="1" x14ac:dyDescent="0.25">
      <c r="D74" s="138" t="str" cm="1">
        <f t="array" ref="D74:E77">_xlfn.CHOOSECOLS(MMS_Feedlot_ManureAppliedToSoils_Equations.VEERG_4_1_1_9__2_MassOfNitrogenAppliedToSoilsScope3_Arguments(),1,2)</f>
        <v>MN_jmT23</v>
      </c>
      <c r="E74" s="141" t="str">
        <v>mass of N in secondary and tertiary treatment MMS stages as calculated for manure management</v>
      </c>
      <c r="F74" s="142"/>
      <c r="G74" s="140"/>
      <c r="H74" s="138" t="str" cm="1">
        <f t="array" ref="H74:I77">_xlfn.CHOOSECOLS(MMS_Feedlot_ManureAppliedToSoils_Equations.VEERG_4_1_1_9__2_MassOfNitrogenAppliedToSoilsScope3_Arguments(),3,4)</f>
        <v>kg N</v>
      </c>
      <c r="I74" s="130" t="str">
        <v>Calculated from 4.1.1.3 (6)(8)</v>
      </c>
      <c r="J74" s="139" t="str" cm="1">
        <f t="array" aca="1" ref="J74" ca="1">HYPERLINK(Common_InputFunctions.Utility_SourceHyperlink($D$19),$D$19)</f>
        <v>M1_Table_MN_j_m_T-2-3</v>
      </c>
    </row>
    <row r="75" spans="4:14" ht="20.100000000000001" customHeight="1" x14ac:dyDescent="0.25">
      <c r="D75" s="138" t="str">
        <v>EF_mT23</v>
      </c>
      <c r="E75" s="141" t="str">
        <v>nitrous oxide emission factor for each MMS</v>
      </c>
      <c r="F75" s="142"/>
      <c r="G75" s="140"/>
      <c r="H75" s="138" t="str">
        <v>kg N2O-N/kg N</v>
      </c>
      <c r="I75" s="130" t="str">
        <v>Constant</v>
      </c>
      <c r="J75" s="139" t="str" cm="1">
        <f t="array" aca="1" ref="J75" ca="1">HYPERLINK(Common_InputFunctions.Utility_SourceHyperlink($D$27),$D$27)</f>
        <v>Table_EF_j_m_T-2-3</v>
      </c>
    </row>
    <row r="76" spans="4:14" ht="20.100000000000001" customHeight="1" x14ac:dyDescent="0.25">
      <c r="D76" s="138" t="str">
        <v>FracGASM_mT23</v>
      </c>
      <c r="E76" s="141" t="str">
        <v>fraction of animal waste N volatilised in each MMS for each cattle group</v>
      </c>
      <c r="F76" s="142"/>
      <c r="G76" s="140"/>
      <c r="H76" s="138" t="str">
        <v>(kg NH3-N + NOx-N)/kg N</v>
      </c>
      <c r="I76" s="130" t="str">
        <v>Constant</v>
      </c>
      <c r="J76" s="139" t="str" cm="1">
        <f t="array" aca="1" ref="J76" ca="1">HYPERLINK(Common_InputFunctions.Utility_SourceHyperlink($D$36),$D$36)</f>
        <v>Table_FracGASM_m_T-2-3</v>
      </c>
    </row>
    <row r="77" spans="4:14" ht="20.100000000000001" customHeight="1" x14ac:dyDescent="0.25">
      <c r="D77" s="138" t="str">
        <v>PF</v>
      </c>
      <c r="E77" s="141" t="str">
        <v>fraction of manure applied to soil within the feedlot boundary</v>
      </c>
      <c r="F77" s="142"/>
      <c r="G77" s="140"/>
      <c r="H77" s="138" t="str">
        <v>fraction</v>
      </c>
      <c r="I77" s="129" t="str">
        <v>Input</v>
      </c>
      <c r="J77" s="139" t="str" cm="1">
        <f t="array" aca="1" ref="J77" ca="1">HYPERLINK(Common_InputFunctions.Utility_SourceHyperlink($D$45),$D$45)</f>
        <v>Table_PF</v>
      </c>
    </row>
    <row r="78" spans="4:14" ht="20.100000000000001" customHeight="1" x14ac:dyDescent="0.25"/>
    <row r="79" spans="4:14" ht="20.100000000000001" customHeight="1" x14ac:dyDescent="0.25">
      <c r="D79" s="104" t="s">
        <v>241</v>
      </c>
      <c r="N79" s="104" t="s">
        <v>246</v>
      </c>
    </row>
    <row r="80" spans="4:14" ht="20.100000000000001" customHeight="1" x14ac:dyDescent="0.25">
      <c r="D80" s="103" t="s">
        <v>249</v>
      </c>
      <c r="N80" s="103" t="s">
        <v>247</v>
      </c>
    </row>
    <row r="81" spans="3:19" ht="20.100000000000001" customHeight="1" x14ac:dyDescent="0.25">
      <c r="D81" s="54" t="s">
        <v>66</v>
      </c>
      <c r="E81" s="54" t="s">
        <v>135</v>
      </c>
      <c r="F81" s="54" t="s">
        <v>136</v>
      </c>
      <c r="G81" s="54" t="s">
        <v>137</v>
      </c>
      <c r="N81" s="54" t="s">
        <v>66</v>
      </c>
      <c r="O81" s="54" t="s">
        <v>135</v>
      </c>
      <c r="P81" s="54" t="s">
        <v>136</v>
      </c>
      <c r="Q81" s="54" t="s">
        <v>137</v>
      </c>
    </row>
    <row r="82" spans="3:19" ht="20.100000000000001" customHeight="1" x14ac:dyDescent="0.25">
      <c r="D82" s="55" t="str">
        <f>'Input - Feedlot'!$D$32</f>
        <v>Solid storage</v>
      </c>
      <c r="E82" s="55" cm="1">
        <f t="array" ref="E82">MMS_Feedlot_ManureAppliedToSoils_Equations.VEERG_4_1_1_9__2_MassOfNitrogenAppliedToSoilsScope3(E22,_xlfn.XLOOKUP($D82, $D$30:$D$34,$E$30:$E$34),_xlfn.XLOOKUP($D82,$D$39:$D$43,$E$39:$E$43),$E48)</f>
        <v>232.87935250944011</v>
      </c>
      <c r="F82" s="55" cm="1">
        <f t="array" ref="F82">MMS_Feedlot_ManureAppliedToSoils_Equations.VEERG_4_1_1_9__2_MassOfNitrogenAppliedToSoilsScope3(F22,_xlfn.XLOOKUP($D82, $D$30:$D$34,$E$30:$E$34),_xlfn.XLOOKUP($D82,$D$39:$D$43,$E$39:$E$43),$E48)</f>
        <v>353.63994446592</v>
      </c>
      <c r="G82" s="55" cm="1">
        <f t="array" ref="G82">MMS_Feedlot_ManureAppliedToSoils_Equations.VEERG_4_1_1_9__2_MassOfNitrogenAppliedToSoilsScope3(G22,_xlfn.XLOOKUP($D82, $D$30:$D$34,$E$30:$E$34),_xlfn.XLOOKUP($D82,$D$39:$D$43,$E$39:$E$43),$E48)</f>
        <v>510.77788847999989</v>
      </c>
      <c r="H82" s="2" t="str">
        <f>$E$12</f>
        <v>kg N</v>
      </c>
      <c r="I82" s="2"/>
      <c r="J82" s="2"/>
      <c r="N82" s="55" t="str">
        <f>'Input - Feedlot'!$D$32</f>
        <v>Solid storage</v>
      </c>
      <c r="O82" s="55" cm="1">
        <f t="array" ref="O82">MMS_Feedlot_ManureAppliedToSoils_Equations.VEERG_4_1_1_9__2_MassOfNitrogenAppliedToSoilsScope3(O22,_xlfn.XLOOKUP($N82, $D$30:$D$34,$E$30:$E$34),_xlfn.XLOOKUP($N82,$D$39:$D$43,$E$39:$E$43),$E48)</f>
        <v>232.87935250944011</v>
      </c>
      <c r="P82" s="55" cm="1">
        <f t="array" ref="P82">MMS_Feedlot_ManureAppliedToSoils_Equations.VEERG_4_1_1_9__2_MassOfNitrogenAppliedToSoilsScope3(P22,_xlfn.XLOOKUP($N82, $D$30:$D$34,$E$30:$E$34),_xlfn.XLOOKUP($N82,$D$39:$D$43,$E$39:$E$43),$E48)</f>
        <v>353.63994446592</v>
      </c>
      <c r="Q82" s="55" cm="1">
        <f t="array" ref="Q82">MMS_Feedlot_ManureAppliedToSoils_Equations.VEERG_4_1_1_9__2_MassOfNitrogenAppliedToSoilsScope3(Q22,_xlfn.XLOOKUP($N82, $D$30:$D$34,$E$30:$E$34),_xlfn.XLOOKUP($N82,$D$39:$D$43,$E$39:$E$43),$E48)</f>
        <v>510.77788847999989</v>
      </c>
      <c r="R82" s="2" t="str">
        <f>$E$12</f>
        <v>kg N</v>
      </c>
    </row>
    <row r="83" spans="3:19" ht="20.100000000000001" customHeight="1" x14ac:dyDescent="0.25">
      <c r="D83" s="55" t="str">
        <f>'Input - Feedlot'!$D$33</f>
        <v>Composting (passive windrow)</v>
      </c>
      <c r="E83" s="55" cm="1">
        <f t="array" ref="E83">MMS_Feedlot_ManureAppliedToSoils_Equations.VEERG_4_1_1_9__2_MassOfNitrogenAppliedToSoilsScope3(E23,_xlfn.XLOOKUP($D83, $D$30:$D$34,$E$30:$E$34),_xlfn.XLOOKUP($D83,$D$39:$D$43,$E$39:$E$43),$E49)</f>
        <v>184.42794359808008</v>
      </c>
      <c r="F83" s="55" cm="1">
        <f t="array" ref="F83">MMS_Feedlot_ManureAppliedToSoils_Equations.VEERG_4_1_1_9__2_MassOfNitrogenAppliedToSoilsScope3(F23,_xlfn.XLOOKUP($D83, $D$30:$D$34,$E$30:$E$34),_xlfn.XLOOKUP($D83,$D$39:$D$43,$E$39:$E$43),$E49)</f>
        <v>280.06384863744</v>
      </c>
      <c r="G83" s="55" cm="1">
        <f t="array" ref="G83">MMS_Feedlot_ManureAppliedToSoils_Equations.VEERG_4_1_1_9__2_MassOfNitrogenAppliedToSoilsScope3(G23,_xlfn.XLOOKUP($D83, $D$30:$D$34,$E$30:$E$34),_xlfn.XLOOKUP($D83,$D$39:$D$43,$E$39:$E$43),$E49)</f>
        <v>404.5086633599999</v>
      </c>
      <c r="H83" s="2" t="str">
        <f>$E$12</f>
        <v>kg N</v>
      </c>
      <c r="I83" s="2"/>
      <c r="J83" s="2"/>
      <c r="N83" s="55" t="str">
        <f>'Input - Feedlot'!$D$33</f>
        <v>Composting (passive windrow)</v>
      </c>
      <c r="O83" s="55" cm="1">
        <f t="array" ref="O83">MMS_Feedlot_ManureAppliedToSoils_Equations.VEERG_4_1_1_9__2_MassOfNitrogenAppliedToSoilsScope3(O23,_xlfn.XLOOKUP($N83, $D$30:$D$34,$E$30:$E$34),_xlfn.XLOOKUP($N83,$D$39:$D$43,$E$39:$E$43),$E49)</f>
        <v>184.42794359808008</v>
      </c>
      <c r="P83" s="55" cm="1">
        <f t="array" ref="P83">MMS_Feedlot_ManureAppliedToSoils_Equations.VEERG_4_1_1_9__2_MassOfNitrogenAppliedToSoilsScope3(P23,_xlfn.XLOOKUP($N83, $D$30:$D$34,$E$30:$E$34),_xlfn.XLOOKUP($N83,$D$39:$D$43,$E$39:$E$43),$E49)</f>
        <v>280.06384863744</v>
      </c>
      <c r="Q83" s="55" cm="1">
        <f t="array" ref="Q83">MMS_Feedlot_ManureAppliedToSoils_Equations.VEERG_4_1_1_9__2_MassOfNitrogenAppliedToSoilsScope3(Q23,_xlfn.XLOOKUP($N83, $D$30:$D$34,$E$30:$E$34),_xlfn.XLOOKUP($N83,$D$39:$D$43,$E$39:$E$43),$E49)</f>
        <v>404.5086633599999</v>
      </c>
      <c r="R83" s="2" t="str">
        <f>$E$12</f>
        <v>kg N</v>
      </c>
    </row>
    <row r="84" spans="3:19" ht="20.100000000000001" customHeight="1" x14ac:dyDescent="0.25">
      <c r="D84" s="55" t="str">
        <f>'Input - Feedlot'!$D$34</f>
        <v>Direct application</v>
      </c>
      <c r="E84" s="55" cm="1">
        <f t="array" ref="E84">MMS_Feedlot_ManureAppliedToSoils_Equations.VEERG_4_1_1_9__2_MassOfNitrogenAppliedToSoilsScope3(E24,_xlfn.XLOOKUP($D84, $D$30:$D$34,$E$30:$E$34),_xlfn.XLOOKUP($D84,$D$39:$D$43,$E$39:$E$43),$E50)</f>
        <v>0</v>
      </c>
      <c r="F84" s="55" cm="1">
        <f t="array" ref="F84">MMS_Feedlot_ManureAppliedToSoils_Equations.VEERG_4_1_1_9__2_MassOfNitrogenAppliedToSoilsScope3(F24,_xlfn.XLOOKUP($D84, $D$30:$D$34,$E$30:$E$34),_xlfn.XLOOKUP($D84,$D$39:$D$43,$E$39:$E$43),$E50)</f>
        <v>0</v>
      </c>
      <c r="G84" s="55" cm="1">
        <f t="array" ref="G84">MMS_Feedlot_ManureAppliedToSoils_Equations.VEERG_4_1_1_9__2_MassOfNitrogenAppliedToSoilsScope3(G24,_xlfn.XLOOKUP($D84, $D$30:$D$34,$E$30:$E$34),_xlfn.XLOOKUP($D84,$D$39:$D$43,$E$39:$E$43),$E50)</f>
        <v>0</v>
      </c>
      <c r="H84" s="2" t="str">
        <f>$E$12</f>
        <v>kg N</v>
      </c>
      <c r="I84" s="2"/>
      <c r="J84" s="2"/>
      <c r="N84" s="55" t="str">
        <f>'Input - Feedlot'!$D$34</f>
        <v>Direct application</v>
      </c>
      <c r="O84" s="55" cm="1">
        <f t="array" ref="O84">MMS_Feedlot_ManureAppliedToSoils_Equations.VEERG_4_1_1_9__2_MassOfNitrogenAppliedToSoilsScope3(O24,_xlfn.XLOOKUP($N84, $D$30:$D$34,$E$30:$E$34),_xlfn.XLOOKUP($N84,$D$39:$D$43,$E$39:$E$43),$E50)</f>
        <v>0</v>
      </c>
      <c r="P84" s="55" cm="1">
        <f t="array" ref="P84">MMS_Feedlot_ManureAppliedToSoils_Equations.VEERG_4_1_1_9__2_MassOfNitrogenAppliedToSoilsScope3(P24,_xlfn.XLOOKUP($N84, $D$30:$D$34,$E$30:$E$34),_xlfn.XLOOKUP($N84,$D$39:$D$43,$E$39:$E$43),$E50)</f>
        <v>0</v>
      </c>
      <c r="Q84" s="55" cm="1">
        <f t="array" ref="Q84">MMS_Feedlot_ManureAppliedToSoils_Equations.VEERG_4_1_1_9__2_MassOfNitrogenAppliedToSoilsScope3(Q24,_xlfn.XLOOKUP($N84, $D$30:$D$34,$E$30:$E$34),_xlfn.XLOOKUP($N84,$D$39:$D$43,$E$39:$E$43),$E50)</f>
        <v>0</v>
      </c>
      <c r="R84" s="2" t="str">
        <f>$E$12</f>
        <v>kg N</v>
      </c>
    </row>
    <row r="85" spans="3:19" ht="20.100000000000001" customHeight="1" x14ac:dyDescent="0.25">
      <c r="D85" s="55" t="str">
        <f>'Input - Feedlot'!$D$38</f>
        <v>Anaerobic lagoon</v>
      </c>
      <c r="E85" s="55" cm="1">
        <f t="array" ref="E85">MMS_Feedlot_ManureAppliedToSoils_Equations.VEERG_4_1_1_9__2_MassOfNitrogenAppliedToSoilsScope3(E25,_xlfn.XLOOKUP($D85, $D$30:$D$34,$E$30:$E$34),_xlfn.XLOOKUP($D85,$D$39:$D$43,$E$39:$E$43),$E51)</f>
        <v>54.240076800000018</v>
      </c>
      <c r="F85" s="55" cm="1">
        <f t="array" ref="F85">MMS_Feedlot_ManureAppliedToSoils_Equations.VEERG_4_1_1_9__2_MassOfNitrogenAppliedToSoilsScope3(F25,_xlfn.XLOOKUP($D85, $D$30:$D$34,$E$30:$E$34),_xlfn.XLOOKUP($D85,$D$39:$D$43,$E$39:$E$43),$E51)</f>
        <v>82.366502400000016</v>
      </c>
      <c r="G85" s="55" cm="1">
        <f t="array" ref="G85">MMS_Feedlot_ManureAppliedToSoils_Equations.VEERG_4_1_1_9__2_MassOfNitrogenAppliedToSoilsScope3(G25,_xlfn.XLOOKUP($D85, $D$30:$D$34,$E$30:$E$34),_xlfn.XLOOKUP($D85,$D$39:$D$43,$E$39:$E$43),$E51)</f>
        <v>118.96559999999997</v>
      </c>
      <c r="H85" s="2" t="str">
        <f>$E$12</f>
        <v>kg N</v>
      </c>
      <c r="I85" s="2"/>
      <c r="J85" s="2"/>
      <c r="N85" s="55" t="str">
        <f>'Input - Feedlot'!$D$38</f>
        <v>Anaerobic lagoon</v>
      </c>
      <c r="O85" s="55" cm="1">
        <f t="array" ref="O85">MMS_Feedlot_ManureAppliedToSoils_Equations.VEERG_4_1_1_9__2_MassOfNitrogenAppliedToSoilsScope3(O25,_xlfn.XLOOKUP($N85, $D$30:$D$34,$E$30:$E$34),_xlfn.XLOOKUP($N85,$D$39:$D$43,$E$39:$E$43),$E51)</f>
        <v>54.240076800000018</v>
      </c>
      <c r="P85" s="55" cm="1">
        <f t="array" ref="P85">MMS_Feedlot_ManureAppliedToSoils_Equations.VEERG_4_1_1_9__2_MassOfNitrogenAppliedToSoilsScope3(P25,_xlfn.XLOOKUP($N85, $D$30:$D$34,$E$30:$E$34),_xlfn.XLOOKUP($N85,$D$39:$D$43,$E$39:$E$43),$E51)</f>
        <v>82.366502400000016</v>
      </c>
      <c r="Q85" s="55" cm="1">
        <f t="array" ref="Q85">MMS_Feedlot_ManureAppliedToSoils_Equations.VEERG_4_1_1_9__2_MassOfNitrogenAppliedToSoilsScope3(Q25,_xlfn.XLOOKUP($N85, $D$30:$D$34,$E$30:$E$34),_xlfn.XLOOKUP($N85,$D$39:$D$43,$E$39:$E$43),$E51)</f>
        <v>118.96559999999997</v>
      </c>
      <c r="R85" s="2" t="str">
        <f>$E$12</f>
        <v>kg N</v>
      </c>
    </row>
    <row r="86" spans="3:19" ht="20.100000000000001" customHeight="1" x14ac:dyDescent="0.25"/>
    <row r="87" spans="3:19" ht="20.100000000000001" customHeight="1" x14ac:dyDescent="0.25">
      <c r="D87" s="108" t="s">
        <v>243</v>
      </c>
      <c r="E87" s="109">
        <f>SUM(E82:G85)</f>
        <v>2221.8698202508799</v>
      </c>
      <c r="F87" s="110" t="str">
        <f>$E$12</f>
        <v>kg N</v>
      </c>
      <c r="N87" s="108" t="s">
        <v>243</v>
      </c>
      <c r="O87" s="109">
        <f>SUM(O82:Q85)</f>
        <v>2221.8698202508799</v>
      </c>
      <c r="P87" s="110" t="str">
        <f>$E$12</f>
        <v>kg N</v>
      </c>
    </row>
    <row r="88" spans="3:19" ht="20.100000000000001" customHeight="1" x14ac:dyDescent="0.25"/>
    <row r="89" spans="3:19" ht="20.100000000000001" customHeight="1" x14ac:dyDescent="0.25"/>
    <row r="90" spans="3:19" ht="20.100000000000001" customHeight="1" x14ac:dyDescent="0.25">
      <c r="C90" s="48"/>
      <c r="D90" s="48"/>
      <c r="E90" s="48"/>
      <c r="F90" s="48"/>
      <c r="G90" s="48"/>
      <c r="H90" s="48"/>
      <c r="I90" s="48"/>
      <c r="J90" s="48"/>
      <c r="K90" s="48"/>
      <c r="L90" s="117"/>
      <c r="M90" s="48"/>
      <c r="N90" s="48"/>
      <c r="O90" s="48"/>
      <c r="P90" s="48"/>
      <c r="Q90" s="48"/>
      <c r="R90" s="48"/>
      <c r="S90" s="48"/>
    </row>
    <row r="91" spans="3:19" ht="20.100000000000001" customHeight="1" x14ac:dyDescent="0.25">
      <c r="D91" s="116" t="str">
        <f>"Below are applications of " &amp; D6 &amp; " that are applied to the following contexts:"</f>
        <v>Below are applications of VEERG 2026: 4.1.1.9, Equation (1) that are applied to the following contexts:</v>
      </c>
      <c r="E91" s="94"/>
      <c r="F91" s="94"/>
      <c r="G91" s="94"/>
      <c r="H91" s="90"/>
    </row>
    <row r="92" spans="3:19" ht="20.100000000000001" customHeight="1" x14ac:dyDescent="0.25">
      <c r="D92" s="96" t="s">
        <v>253</v>
      </c>
      <c r="E92" s="93"/>
      <c r="F92" s="93"/>
      <c r="G92" s="93"/>
      <c r="H92" s="91"/>
    </row>
    <row r="93" spans="3:19" ht="20.100000000000001" customHeight="1" x14ac:dyDescent="0.25"/>
    <row r="94" spans="3:19" ht="20.100000000000001" customHeight="1" x14ac:dyDescent="0.25">
      <c r="D94" s="6" t="s">
        <v>303</v>
      </c>
    </row>
    <row r="95" spans="3:19" ht="20.100000000000001" customHeight="1" x14ac:dyDescent="0.25">
      <c r="D95" s="104" t="s">
        <v>239</v>
      </c>
    </row>
    <row r="96" spans="3:19" ht="20.100000000000001" customHeight="1" x14ac:dyDescent="0.25">
      <c r="D96" s="103" t="s">
        <v>240</v>
      </c>
    </row>
    <row r="97" spans="4:18" ht="20.100000000000001" customHeight="1" x14ac:dyDescent="0.25">
      <c r="D97" s="65" t="s">
        <v>66</v>
      </c>
      <c r="E97" s="65" t="s">
        <v>343</v>
      </c>
    </row>
    <row r="98" spans="4:18" ht="20.100000000000001" customHeight="1" x14ac:dyDescent="0.25">
      <c r="D98" s="55" t="str">
        <f>'Input - Feedlot'!$D$32</f>
        <v>Solid storage</v>
      </c>
      <c r="E98" s="55">
        <f>'Input - Feedlot'!J32</f>
        <v>0.25</v>
      </c>
      <c r="F98" s="2" t="s">
        <v>322</v>
      </c>
    </row>
    <row r="99" spans="4:18" ht="20.100000000000001" customHeight="1" x14ac:dyDescent="0.25">
      <c r="D99" s="55" t="str">
        <f>'Input - Feedlot'!$D$33</f>
        <v>Composting (passive windrow)</v>
      </c>
      <c r="E99" s="55">
        <f>'Input - Feedlot'!J33</f>
        <v>0.25</v>
      </c>
      <c r="F99" s="2" t="s">
        <v>322</v>
      </c>
    </row>
    <row r="100" spans="4:18" ht="20.100000000000001" customHeight="1" x14ac:dyDescent="0.25">
      <c r="D100" s="55" t="str">
        <f>'Input - Feedlot'!$D$34</f>
        <v>Direct application</v>
      </c>
      <c r="E100" s="55">
        <v>0</v>
      </c>
      <c r="F100" s="2" t="s">
        <v>322</v>
      </c>
    </row>
    <row r="101" spans="4:18" ht="20.100000000000001" customHeight="1" x14ac:dyDescent="0.25">
      <c r="D101" s="55" t="str">
        <f>'Input - Feedlot'!$D$38</f>
        <v>Anaerobic lagoon</v>
      </c>
      <c r="E101" s="55">
        <f>'Input - Feedlot'!J38</f>
        <v>0.25</v>
      </c>
      <c r="F101" s="2" t="s">
        <v>322</v>
      </c>
    </row>
    <row r="102" spans="4:18" ht="20.100000000000001" customHeight="1" x14ac:dyDescent="0.25"/>
    <row r="103" spans="4:18" ht="20.100000000000001" customHeight="1" x14ac:dyDescent="0.25">
      <c r="D103" s="104" t="s">
        <v>242</v>
      </c>
      <c r="N103" s="104" t="s">
        <v>244</v>
      </c>
    </row>
    <row r="104" spans="4:18" ht="20.100000000000001" customHeight="1" x14ac:dyDescent="0.25">
      <c r="D104" s="103" t="s">
        <v>248</v>
      </c>
      <c r="N104" s="103" t="s">
        <v>245</v>
      </c>
    </row>
    <row r="105" spans="4:18" ht="20.100000000000001" customHeight="1" x14ac:dyDescent="0.25">
      <c r="D105" s="54" t="s">
        <v>66</v>
      </c>
      <c r="E105" s="54" t="s">
        <v>135</v>
      </c>
      <c r="F105" s="54" t="s">
        <v>136</v>
      </c>
      <c r="G105" s="54" t="s">
        <v>137</v>
      </c>
      <c r="N105" s="54" t="s">
        <v>66</v>
      </c>
      <c r="O105" s="54" t="s">
        <v>135</v>
      </c>
      <c r="P105" s="54" t="s">
        <v>136</v>
      </c>
      <c r="Q105" s="54" t="s">
        <v>137</v>
      </c>
    </row>
    <row r="106" spans="4:18" ht="20.100000000000001" customHeight="1" x14ac:dyDescent="0.25">
      <c r="D106" s="55" t="str">
        <f>'Input - Feedlot'!$D$32</f>
        <v>Solid storage</v>
      </c>
      <c r="E106" s="55" cm="1">
        <f t="array" ref="E106">MMS_Feedlot_ManureAppliedToSoils_Equations.VEERG_4_1_1_9__1_MassOfNitrogenAppliedToSoilsScope1(E22,_xlfn.XLOOKUP($D106,$D$30:$D$34,$E$30:$E$34),_xlfn.XLOOKUP($D106,$D$39:$D$43,$E$39:$E$43),$E98)</f>
        <v>232.87935250944011</v>
      </c>
      <c r="F106" s="55" cm="1">
        <f t="array" ref="F106">MMS_Feedlot_ManureAppliedToSoils_Equations.VEERG_4_1_1_9__1_MassOfNitrogenAppliedToSoilsScope1(F22,_xlfn.XLOOKUP($D106,$D$30:$D$34,$E$30:$E$34),_xlfn.XLOOKUP($D106,$D$39:$D$43,$E$39:$E$43),$E98)</f>
        <v>353.63994446592</v>
      </c>
      <c r="G106" s="55" cm="1">
        <f t="array" ref="G106">MMS_Feedlot_ManureAppliedToSoils_Equations.VEERG_4_1_1_9__1_MassOfNitrogenAppliedToSoilsScope1(G22,_xlfn.XLOOKUP($D106,$D$30:$D$34,$E$30:$E$34),_xlfn.XLOOKUP($D106,$D$39:$D$43,$E$39:$E$43),$E98)</f>
        <v>510.77788847999989</v>
      </c>
      <c r="H106" s="2" t="str">
        <f>$E$12</f>
        <v>kg N</v>
      </c>
      <c r="I106" s="2"/>
      <c r="J106" s="2"/>
      <c r="N106" s="55" t="str">
        <f>'Input - Feedlot'!$D$32</f>
        <v>Solid storage</v>
      </c>
      <c r="O106" s="55" cm="1">
        <f t="array" ref="O106">MMS_Feedlot_ManureAppliedToSoils_Equations.VEERG_4_1_1_9__1_MassOfNitrogenAppliedToSoilsScope1(O22,_xlfn.XLOOKUP($N106,$D$30:$D$34,$E$30:$E$34),_xlfn.XLOOKUP($N106,$D$39:$D$43,$E$39:$E$43),$E98)</f>
        <v>232.87935250944011</v>
      </c>
      <c r="P106" s="55" cm="1">
        <f t="array" ref="P106">MMS_Feedlot_ManureAppliedToSoils_Equations.VEERG_4_1_1_9__1_MassOfNitrogenAppliedToSoilsScope1(P22,_xlfn.XLOOKUP($N106,$D$30:$D$34,$E$30:$E$34),_xlfn.XLOOKUP($N106,$D$39:$D$43,$E$39:$E$43),$E98)</f>
        <v>353.63994446592</v>
      </c>
      <c r="Q106" s="55" cm="1">
        <f t="array" ref="Q106">MMS_Feedlot_ManureAppliedToSoils_Equations.VEERG_4_1_1_9__1_MassOfNitrogenAppliedToSoilsScope1(Q22,_xlfn.XLOOKUP($N106,$D$30:$D$34,$E$30:$E$34),_xlfn.XLOOKUP($N106,$D$39:$D$43,$E$39:$E$43),$E98)</f>
        <v>510.77788847999989</v>
      </c>
      <c r="R106" s="2" t="str">
        <f>$E$12</f>
        <v>kg N</v>
      </c>
    </row>
    <row r="107" spans="4:18" ht="20.100000000000001" customHeight="1" x14ac:dyDescent="0.25">
      <c r="D107" s="55" t="str">
        <f>'Input - Feedlot'!$D$33</f>
        <v>Composting (passive windrow)</v>
      </c>
      <c r="E107" s="55" cm="1">
        <f t="array" ref="E107">MMS_Feedlot_ManureAppliedToSoils_Equations.VEERG_4_1_1_9__1_MassOfNitrogenAppliedToSoilsScope1(E23,_xlfn.XLOOKUP($D107,$D$30:$D$34,$E$30:$E$34),_xlfn.XLOOKUP($D107,$D$39:$D$43,$E$39:$E$43),$E99)</f>
        <v>184.42794359808008</v>
      </c>
      <c r="F107" s="55" cm="1">
        <f t="array" ref="F107">MMS_Feedlot_ManureAppliedToSoils_Equations.VEERG_4_1_1_9__1_MassOfNitrogenAppliedToSoilsScope1(F23,_xlfn.XLOOKUP($D107,$D$30:$D$34,$E$30:$E$34),_xlfn.XLOOKUP($D107,$D$39:$D$43,$E$39:$E$43),$E99)</f>
        <v>280.06384863744</v>
      </c>
      <c r="G107" s="55" cm="1">
        <f t="array" ref="G107">MMS_Feedlot_ManureAppliedToSoils_Equations.VEERG_4_1_1_9__1_MassOfNitrogenAppliedToSoilsScope1(G23,_xlfn.XLOOKUP($D107,$D$30:$D$34,$E$30:$E$34),_xlfn.XLOOKUP($D107,$D$39:$D$43,$E$39:$E$43),$E99)</f>
        <v>404.5086633599999</v>
      </c>
      <c r="H107" s="2" t="str">
        <f>$E$12</f>
        <v>kg N</v>
      </c>
      <c r="I107" s="2"/>
      <c r="J107" s="2"/>
      <c r="N107" s="55" t="str">
        <f>'Input - Feedlot'!$D$33</f>
        <v>Composting (passive windrow)</v>
      </c>
      <c r="O107" s="55" cm="1">
        <f t="array" ref="O107">MMS_Feedlot_ManureAppliedToSoils_Equations.VEERG_4_1_1_9__1_MassOfNitrogenAppliedToSoilsScope1(O23,_xlfn.XLOOKUP($N107,$D$30:$D$34,$E$30:$E$34),_xlfn.XLOOKUP($N107,$D$39:$D$43,$E$39:$E$43),$E99)</f>
        <v>184.42794359808008</v>
      </c>
      <c r="P107" s="55" cm="1">
        <f t="array" ref="P107">MMS_Feedlot_ManureAppliedToSoils_Equations.VEERG_4_1_1_9__1_MassOfNitrogenAppliedToSoilsScope1(P23,_xlfn.XLOOKUP($N107,$D$30:$D$34,$E$30:$E$34),_xlfn.XLOOKUP($N107,$D$39:$D$43,$E$39:$E$43),$E99)</f>
        <v>280.06384863744</v>
      </c>
      <c r="Q107" s="55" cm="1">
        <f t="array" ref="Q107">MMS_Feedlot_ManureAppliedToSoils_Equations.VEERG_4_1_1_9__1_MassOfNitrogenAppliedToSoilsScope1(Q23,_xlfn.XLOOKUP($N107,$D$30:$D$34,$E$30:$E$34),_xlfn.XLOOKUP($N107,$D$39:$D$43,$E$39:$E$43),$E99)</f>
        <v>404.5086633599999</v>
      </c>
      <c r="R107" s="2" t="str">
        <f>$E$12</f>
        <v>kg N</v>
      </c>
    </row>
    <row r="108" spans="4:18" ht="20.100000000000001" customHeight="1" x14ac:dyDescent="0.25">
      <c r="D108" s="55" t="str">
        <f>'Input - Feedlot'!$D$34</f>
        <v>Direct application</v>
      </c>
      <c r="E108" s="55" cm="1">
        <f t="array" ref="E108">MMS_Feedlot_ManureAppliedToSoils_Equations.VEERG_4_1_1_9__1_MassOfNitrogenAppliedToSoilsScope1(E24,_xlfn.XLOOKUP($D108,$D$30:$D$34,$E$30:$E$34),_xlfn.XLOOKUP($D108,$D$39:$D$43,$E$39:$E$43),$E100)</f>
        <v>0</v>
      </c>
      <c r="F108" s="55" cm="1">
        <f t="array" ref="F108">MMS_Feedlot_ManureAppliedToSoils_Equations.VEERG_4_1_1_9__1_MassOfNitrogenAppliedToSoilsScope1(F24,_xlfn.XLOOKUP($D108,$D$30:$D$34,$E$30:$E$34),_xlfn.XLOOKUP($D108,$D$39:$D$43,$E$39:$E$43),$E100)</f>
        <v>0</v>
      </c>
      <c r="G108" s="55" cm="1">
        <f t="array" ref="G108">MMS_Feedlot_ManureAppliedToSoils_Equations.VEERG_4_1_1_9__1_MassOfNitrogenAppliedToSoilsScope1(G24,_xlfn.XLOOKUP($D108,$D$30:$D$34,$E$30:$E$34),_xlfn.XLOOKUP($D108,$D$39:$D$43,$E$39:$E$43),$E100)</f>
        <v>0</v>
      </c>
      <c r="H108" s="2" t="str">
        <f>$E$12</f>
        <v>kg N</v>
      </c>
      <c r="I108" s="2"/>
      <c r="J108" s="2"/>
      <c r="N108" s="55" t="str">
        <f>'Input - Feedlot'!$D$34</f>
        <v>Direct application</v>
      </c>
      <c r="O108" s="55" cm="1">
        <f t="array" ref="O108">MMS_Feedlot_ManureAppliedToSoils_Equations.VEERG_4_1_1_9__1_MassOfNitrogenAppliedToSoilsScope1(O24,_xlfn.XLOOKUP($N108,$D$30:$D$34,$E$30:$E$34),_xlfn.XLOOKUP($N108,$D$39:$D$43,$E$39:$E$43),$E100)</f>
        <v>0</v>
      </c>
      <c r="P108" s="55" cm="1">
        <f t="array" ref="P108">MMS_Feedlot_ManureAppliedToSoils_Equations.VEERG_4_1_1_9__1_MassOfNitrogenAppliedToSoilsScope1(P24,_xlfn.XLOOKUP($N108,$D$30:$D$34,$E$30:$E$34),_xlfn.XLOOKUP($N108,$D$39:$D$43,$E$39:$E$43),$E100)</f>
        <v>0</v>
      </c>
      <c r="Q108" s="55" cm="1">
        <f t="array" ref="Q108">MMS_Feedlot_ManureAppliedToSoils_Equations.VEERG_4_1_1_9__1_MassOfNitrogenAppliedToSoilsScope1(Q24,_xlfn.XLOOKUP($N108,$D$30:$D$34,$E$30:$E$34),_xlfn.XLOOKUP($N108,$D$39:$D$43,$E$39:$E$43),$E100)</f>
        <v>0</v>
      </c>
      <c r="R108" s="2" t="str">
        <f>$E$12</f>
        <v>kg N</v>
      </c>
    </row>
    <row r="109" spans="4:18" ht="20.100000000000001" customHeight="1" x14ac:dyDescent="0.25">
      <c r="D109" s="55" t="str">
        <f>'Input - Feedlot'!$D$38</f>
        <v>Anaerobic lagoon</v>
      </c>
      <c r="E109" s="55" cm="1">
        <f t="array" ref="E109">MMS_Feedlot_ManureAppliedToSoils_Equations.VEERG_4_1_1_9__1_MassOfNitrogenAppliedToSoilsScope1(E25,_xlfn.XLOOKUP($D109,$D$30:$D$34,$E$30:$E$34),_xlfn.XLOOKUP($D109,$D$39:$D$43,$E$39:$E$43),$E101)</f>
        <v>54.240076800000018</v>
      </c>
      <c r="F109" s="55" cm="1">
        <f t="array" ref="F109">MMS_Feedlot_ManureAppliedToSoils_Equations.VEERG_4_1_1_9__1_MassOfNitrogenAppliedToSoilsScope1(F25,_xlfn.XLOOKUP($D109,$D$30:$D$34,$E$30:$E$34),_xlfn.XLOOKUP($D109,$D$39:$D$43,$E$39:$E$43),$E101)</f>
        <v>82.366502400000016</v>
      </c>
      <c r="G109" s="55" cm="1">
        <f t="array" ref="G109">MMS_Feedlot_ManureAppliedToSoils_Equations.VEERG_4_1_1_9__1_MassOfNitrogenAppliedToSoilsScope1(G25,_xlfn.XLOOKUP($D109,$D$30:$D$34,$E$30:$E$34),_xlfn.XLOOKUP($D109,$D$39:$D$43,$E$39:$E$43),$E101)</f>
        <v>118.96559999999997</v>
      </c>
      <c r="H109" s="2" t="str">
        <f>$E$12</f>
        <v>kg N</v>
      </c>
      <c r="I109" s="2"/>
      <c r="J109" s="2"/>
      <c r="N109" s="55" t="str">
        <f>'Input - Feedlot'!$D$38</f>
        <v>Anaerobic lagoon</v>
      </c>
      <c r="O109" s="55" cm="1">
        <f t="array" ref="O109">MMS_Feedlot_ManureAppliedToSoils_Equations.VEERG_4_1_1_9__1_MassOfNitrogenAppliedToSoilsScope1(O25,_xlfn.XLOOKUP($N109,$D$30:$D$34,$E$30:$E$34),_xlfn.XLOOKUP($N109,$D$39:$D$43,$E$39:$E$43),$E101)</f>
        <v>54.240076800000018</v>
      </c>
      <c r="P109" s="55" cm="1">
        <f t="array" ref="P109">MMS_Feedlot_ManureAppliedToSoils_Equations.VEERG_4_1_1_9__1_MassOfNitrogenAppliedToSoilsScope1(P25,_xlfn.XLOOKUP($N109,$D$30:$D$34,$E$30:$E$34),_xlfn.XLOOKUP($N109,$D$39:$D$43,$E$39:$E$43),$E101)</f>
        <v>82.366502400000016</v>
      </c>
      <c r="Q109" s="55" cm="1">
        <f t="array" ref="Q109">MMS_Feedlot_ManureAppliedToSoils_Equations.VEERG_4_1_1_9__1_MassOfNitrogenAppliedToSoilsScope1(Q25,_xlfn.XLOOKUP($N109,$D$30:$D$34,$E$30:$E$34),_xlfn.XLOOKUP($N109,$D$39:$D$43,$E$39:$E$43),$E101)</f>
        <v>118.96559999999997</v>
      </c>
      <c r="R109" s="2" t="str">
        <f>$E$12</f>
        <v>kg N</v>
      </c>
    </row>
    <row r="110" spans="4:18" ht="20.100000000000001" customHeight="1" x14ac:dyDescent="0.25"/>
    <row r="111" spans="4:18" ht="20.100000000000001" customHeight="1" x14ac:dyDescent="0.25">
      <c r="D111" s="108" t="s">
        <v>254</v>
      </c>
      <c r="E111" s="109">
        <f>SUM(E106:G109)</f>
        <v>2221.8698202508799</v>
      </c>
      <c r="F111" s="110" t="str">
        <f>$E$12</f>
        <v>kg N</v>
      </c>
      <c r="N111" s="108" t="s">
        <v>254</v>
      </c>
      <c r="O111" s="109">
        <f>SUM(O106:Q109)</f>
        <v>2221.8698202508799</v>
      </c>
      <c r="P111" s="110" t="str">
        <f>$E$12</f>
        <v>kg N</v>
      </c>
    </row>
    <row r="112" spans="4:18"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6" workbookViewId="0">
      <selection activeCell="I98" sqref="I98"/>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134</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6" t="str" cm="1">
        <f t="array" ref="D7">SourceData_Feedlot.SourceData_Feedlot_VSL_Variable()</f>
        <v>VSL</v>
      </c>
      <c r="E7" s="1" cm="1">
        <f t="array" ref="E7">SourceData_Feedlot.SourceData_Feedlot_VSL_Data()</f>
        <v>0.5</v>
      </c>
      <c r="F7" s="57"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74</v>
      </c>
      <c r="D11" s="5" t="str" cm="1">
        <f t="array" ref="D11">SourceData_Feedlot.SourceData_Feedlot_MMSm1T3_Source()</f>
        <v>VEERG 2026: 4.1.2.3 CONSTANTS</v>
      </c>
      <c r="M11" s="1"/>
    </row>
    <row r="12" spans="1:21" ht="20.100000000000001" customHeight="1" x14ac:dyDescent="0.25">
      <c r="A12" s="17" t="str">
        <f>HYPERLINK("#'4.1.1.1-2 Methane'!A1", "4.1.1.1-2 Methane")</f>
        <v>4.1.1.1-2 Methane</v>
      </c>
      <c r="D12" s="56" t="str" cm="1">
        <f t="array" ref="D12">SourceData_Feedlot.SourceData_Feedlot_MMSm1T3_Variable()</f>
        <v>MMSm1T3</v>
      </c>
      <c r="E12" s="1" cm="1">
        <f t="array" ref="E12">SourceData_Feedlot.SourceData_Feedlot_MMSm1T3_Data()</f>
        <v>0.02</v>
      </c>
      <c r="F12" s="57" t="str" cm="1">
        <f t="array" ref="F12">SourceData_Feedlot.SourceData_Feedlot_MMSm1T3_Unit()</f>
        <v>Fraction</v>
      </c>
      <c r="M12" s="1"/>
    </row>
    <row r="13" spans="1:21" ht="20.100000000000001" customHeight="1" x14ac:dyDescent="0.25">
      <c r="A13" s="17" t="str">
        <f>HYPERLINK("#'4.1.1.3-4 Direct N20'!A1", "4.1.1.3-4 Direct N2O")</f>
        <v>4.1.1.3-4 Direct N2O</v>
      </c>
      <c r="M13" s="1"/>
    </row>
    <row r="14" spans="1:21" ht="20.100000000000001" customHeight="1" x14ac:dyDescent="0.25">
      <c r="A14" s="17" t="str">
        <f>HYPERLINK("#'4.1.1.5-6 Atmos Deposition'!A1", "4.1.1.5-6 Atmospheric deposition")</f>
        <v>4.1.1.5-6 Atmospheric deposition</v>
      </c>
      <c r="M14" s="1"/>
    </row>
    <row r="15" spans="1:21" ht="20.100000000000001" customHeight="1" x14ac:dyDescent="0.25">
      <c r="A15" s="17" t="str">
        <f>HYPERLINK("#'4.1.1.9 Manure applied to soils'!A1", "4.1.1.9 Manure applied to soils")</f>
        <v>4.1.1.9 Manure applied to soils</v>
      </c>
      <c r="D15" s="6" t="str" cm="1">
        <f t="array" ref="D15">SourceData_Feedlot.SourceData_Feedlot_AshContent_Title()</f>
        <v>Ash content of manure.</v>
      </c>
      <c r="M15" s="1"/>
    </row>
    <row r="16" spans="1:21" ht="20.100000000000001" customHeight="1" x14ac:dyDescent="0.25">
      <c r="D16" s="5" t="str" cm="1">
        <f t="array" ref="D16">SourceData_Feedlot.SourceData_Feedlot_AshContent_Source()</f>
        <v>VEERG 2026: 4.1.2.3 CONSTANTS</v>
      </c>
      <c r="M16" s="1"/>
    </row>
    <row r="17" spans="1:13" ht="20.100000000000001" customHeight="1" x14ac:dyDescent="0.25">
      <c r="A17" s="18" t="s">
        <v>4</v>
      </c>
      <c r="D17" s="56" t="str" cm="1">
        <f t="array" ref="D17">SourceData_Feedlot.SourceData_Feedlot_AshContent_Variable()</f>
        <v>A</v>
      </c>
      <c r="E17" s="1" cm="1">
        <f t="array" ref="E17">SourceData_Feedlot.SourceData_Feedlot_AshContent_Data()</f>
        <v>0.16</v>
      </c>
      <c r="F17" s="57" t="str" cm="1">
        <f t="array" ref="F17">SourceData_Feedlot.SourceData_Feedlot_AshContent_Unit()</f>
        <v>Fraction</v>
      </c>
      <c r="M17" s="1"/>
    </row>
    <row r="18" spans="1:13" ht="20.100000000000001" customHeight="1" x14ac:dyDescent="0.25">
      <c r="A18" s="71" t="str">
        <f>HYPERLINK("#'Constants - Feedlot'!A1", "Constants - Feedlot")</f>
        <v>Constants - Feedlot</v>
      </c>
      <c r="M18" s="1"/>
    </row>
    <row r="19" spans="1:13" ht="20.100000000000001" customHeight="1" x14ac:dyDescent="0.25">
      <c r="A19" s="17" t="str">
        <f>HYPERLINK("#'Constants - Livestock'!A1", "Constants - Livestock")</f>
        <v>Constants - Livestock</v>
      </c>
      <c r="M19" s="1"/>
    </row>
    <row r="20" spans="1:13" ht="20.100000000000001" customHeight="1" x14ac:dyDescent="0.25">
      <c r="A20" s="17" t="str">
        <f>HYPERLINK("#'Constants - Common'!A1", "Constants - Common")</f>
        <v>Constants - Common</v>
      </c>
      <c r="D20" s="6" t="str" cm="1">
        <f t="array" ref="D20">SourceData_Feedlot.SourceData_Feedlot_MethaneEmissionsPotential_Title()</f>
        <v>Methane emissions potential.</v>
      </c>
      <c r="M20" s="1"/>
    </row>
    <row r="21" spans="1:13" ht="20.100000000000001" customHeight="1" x14ac:dyDescent="0.25">
      <c r="A21" s="17" t="str">
        <f>HYPERLINK("#'Acknowledgements'!A1", "Acknowledgements")</f>
        <v>Acknowledgements</v>
      </c>
      <c r="D21" s="5" t="str" cm="1">
        <f t="array" ref="D21">SourceData_Feedlot.SourceData_Feedlot_MethaneEmissionsPotential_Source()</f>
        <v>VEERG 2026: 4.1.2.3 CONSTANTS</v>
      </c>
      <c r="M21" s="1"/>
    </row>
    <row r="22" spans="1:13" ht="20.100000000000001" customHeight="1" x14ac:dyDescent="0.25">
      <c r="D22" s="56" t="str" cm="1">
        <f t="array" ref="D22">SourceData_Feedlot.SourceData_Feedlot_MethaneEmissionsPotential_Variable()</f>
        <v>B0</v>
      </c>
      <c r="E22" s="1" cm="1">
        <f t="array" ref="E22">SourceData_Feedlot.SourceData_Feedlot_MethaneEmissionsPotential_Data()</f>
        <v>0.19</v>
      </c>
      <c r="F22" s="57"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A24" s="17"/>
      <c r="M24" s="1"/>
    </row>
    <row r="25" spans="1:13" ht="20.100000000000001" customHeight="1" x14ac:dyDescent="0.25">
      <c r="A25" s="17"/>
      <c r="D25" s="6" t="s">
        <v>112</v>
      </c>
      <c r="G25" s="6" t="s">
        <v>270</v>
      </c>
      <c r="J25" s="6" t="s">
        <v>272</v>
      </c>
      <c r="M25" s="1"/>
    </row>
    <row r="26" spans="1:13" ht="20.100000000000001" customHeight="1" x14ac:dyDescent="0.25">
      <c r="M26" s="1"/>
    </row>
    <row r="27" spans="1:13" ht="20.100000000000001" customHeight="1" x14ac:dyDescent="0.25">
      <c r="D27" s="102" t="s">
        <v>66</v>
      </c>
      <c r="E27" s="39" t="s">
        <v>79</v>
      </c>
      <c r="G27" s="39" t="s">
        <v>271</v>
      </c>
      <c r="J27" s="39" t="s">
        <v>268</v>
      </c>
      <c r="M27" s="1"/>
    </row>
    <row r="28" spans="1:13" ht="20.100000000000001" customHeight="1" x14ac:dyDescent="0.25">
      <c r="D28" s="39" t="str">
        <f>'Constants - Livestock'!$E$16</f>
        <v>Drylot (feed pad)</v>
      </c>
      <c r="E28" s="39" t="str">
        <f>'Constants - Livestock'!$F$16</f>
        <v>Drylot (feed pad) (m=5)</v>
      </c>
      <c r="G28" s="39" t="str">
        <f>'Constants - Common'!$F$188</f>
        <v>Crop</v>
      </c>
      <c r="J28" s="39" t="s">
        <v>273</v>
      </c>
      <c r="M28" s="1"/>
    </row>
    <row r="29" spans="1:13" ht="20.100000000000001" customHeight="1" x14ac:dyDescent="0.25">
      <c r="D29" s="39" t="str">
        <f>'Constants - Livestock'!$E$15</f>
        <v>Solid storage</v>
      </c>
      <c r="E29" s="39" t="str">
        <f>'Constants - Livestock'!$F$15</f>
        <v>Solid storage (m=4)</v>
      </c>
      <c r="G29" s="1" t="str">
        <f>'Constants - Common'!$F$187</f>
        <v>Pasture</v>
      </c>
      <c r="J29" s="39" t="s">
        <v>274</v>
      </c>
      <c r="M29" s="1"/>
    </row>
    <row r="30" spans="1:13" ht="20.100000000000001" customHeight="1" x14ac:dyDescent="0.25">
      <c r="D30" s="39" t="str">
        <f>'Constants - Livestock'!$E$17</f>
        <v>Composting (passive windrow)</v>
      </c>
      <c r="E30" s="39" t="str">
        <f>'Constants - Livestock'!$F$17</f>
        <v>Composting (passive windrow) (m=6)</v>
      </c>
      <c r="J30" s="1" t="s">
        <v>275</v>
      </c>
      <c r="M30" s="1"/>
    </row>
    <row r="31" spans="1:13" ht="20.100000000000001" customHeight="1" x14ac:dyDescent="0.25">
      <c r="D31" s="39" t="str">
        <f>'Constants - Livestock'!$E$26</f>
        <v>Direct application</v>
      </c>
      <c r="E31" s="39" t="str">
        <f>'Constants - Livestock'!$F$26</f>
        <v>Direct application (m=13)</v>
      </c>
      <c r="J31" s="1" t="s">
        <v>276</v>
      </c>
      <c r="M31" s="1"/>
    </row>
    <row r="32" spans="1:13" ht="20.100000000000001" customHeight="1" x14ac:dyDescent="0.25">
      <c r="D32" s="1" t="str">
        <f>'Constants - Livestock'!$E$10</f>
        <v>Anaerobic lagoon</v>
      </c>
      <c r="E32" s="1" t="str">
        <f>'Constants - Livestock'!$F$10</f>
        <v>Anaerobic lagoon (m=1)</v>
      </c>
      <c r="J32" s="1" t="s">
        <v>277</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9" t="s">
        <v>129</v>
      </c>
      <c r="E38" s="39" t="s">
        <v>142</v>
      </c>
      <c r="M38" s="1"/>
    </row>
    <row r="39" spans="4:13" ht="20.100000000000001" customHeight="1" x14ac:dyDescent="0.25">
      <c r="D39" s="39" t="str" cm="1">
        <f t="array" ref="D39">Common_InputFunctions.Utility_DisplayArrayInTable(SourceData_Feedlot.SourceData_Feedlot_DurationOfStay_Data(), Table_SourceData_Feedlot_LengthOfStay[[#Headers],[Feedlot type]], 0)</f>
        <v>Domestic</v>
      </c>
      <c r="E39" s="39"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9"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9"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8" t="str" cm="1">
        <f t="array" ref="D46:D48">SourceData_Feedlot.SourceData_Feedlot_AnimalCharacteristics_Variation()</f>
        <v>VARIATION ON SOURCE:</v>
      </c>
      <c r="M46" s="24"/>
    </row>
    <row r="47" spans="4:13" ht="20.100000000000001" customHeight="1" x14ac:dyDescent="0.25">
      <c r="D47" s="58" t="str">
        <v>Moved feedlot types to a separate column to aid lookup.</v>
      </c>
      <c r="M47" s="24"/>
    </row>
    <row r="48" spans="4:13" ht="20.100000000000001" customHeight="1" x14ac:dyDescent="0.25">
      <c r="D48" s="58" t="str">
        <v>Named 'characteristic' column - original has header 'Unit' which covers two columns)</v>
      </c>
      <c r="M48" s="24"/>
    </row>
    <row r="49" spans="4:13" ht="20.100000000000001" customHeight="1" x14ac:dyDescent="0.25">
      <c r="D49" s="39" t="s">
        <v>129</v>
      </c>
      <c r="E49" s="39" t="s">
        <v>139</v>
      </c>
      <c r="F49" s="39" t="s">
        <v>18</v>
      </c>
      <c r="G49" s="39" t="s">
        <v>140</v>
      </c>
      <c r="H49" s="39" t="s">
        <v>131</v>
      </c>
      <c r="I49" s="39" t="s">
        <v>132</v>
      </c>
      <c r="J49" s="39" t="s">
        <v>133</v>
      </c>
      <c r="M49" s="24"/>
    </row>
    <row r="50" spans="4:13" ht="20.100000000000001" customHeight="1" x14ac:dyDescent="0.25">
      <c r="D50" s="39" t="str" cm="1">
        <f t="array" ref="D50">Common_InputFunctions.Utility_DisplayArrayInTable(SourceData_Feedlot.SourceData_Feedlot_AnimalCharacteristics_Data(), Table_SourceData_Feedlot_AnimalCharacteristics[[#Headers],[Feedlot type]], 0)</f>
        <v>Domestic</v>
      </c>
      <c r="E50" s="39" t="str" cm="1">
        <f t="array" ref="E50">Common_InputFunctions.Utility_DisplayArrayInTable(SourceData_Feedlot.SourceData_Feedlot_AnimalCharacteristics_Data(), Table_SourceData_Feedlot_AnimalCharacteristics[[#Headers],[Feedlot type]], 0)</f>
        <v>Days on feed</v>
      </c>
      <c r="F50" s="39" t="str" cm="1">
        <f t="array" ref="F50">Common_InputFunctions.Utility_DisplayArrayInTable(SourceData_Feedlot.SourceData_Feedlot_AnimalCharacteristics_Data(), Table_SourceData_Feedlot_AnimalCharacteristics[[#Headers],[Feedlot type]], 0)</f>
        <v>days</v>
      </c>
      <c r="G50" s="39" cm="1">
        <f t="array" ref="G50">Common_InputFunctions.Utility_DisplayArrayInTable(SourceData_Feedlot.SourceData_Feedlot_AnimalCharacteristics_Data(), Table_SourceData_Feedlot_AnimalCharacteristics[[#Headers],[Feedlot type]], 0)</f>
        <v>70</v>
      </c>
      <c r="H50" s="39" cm="1">
        <f t="array" ref="H50">Common_InputFunctions.Utility_DisplayArrayInTable(SourceData_Feedlot.SourceData_Feedlot_AnimalCharacteristics_Data(), Table_SourceData_Feedlot_AnimalCharacteristics[[#Headers],[Feedlot type]], 0)</f>
        <v>70</v>
      </c>
      <c r="I50" s="39" cm="1">
        <f t="array" ref="I50">Common_InputFunctions.Utility_DisplayArrayInTable(SourceData_Feedlot.SourceData_Feedlot_AnimalCharacteristics_Data(), Table_SourceData_Feedlot_AnimalCharacteristics[[#Headers],[Feedlot type]], 0)</f>
        <v>70</v>
      </c>
      <c r="J50" s="39"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9" t="str" cm="1">
        <f t="array" ref="E51">Common_InputFunctions.Utility_DisplayArrayInTable(SourceData_Feedlot.SourceData_Feedlot_AnimalCharacteristics_Data(), Table_SourceData_Feedlot_AnimalCharacteristics[[#Headers],[Feedlot type]], 0)</f>
        <v>Feed intake</v>
      </c>
      <c r="F51" s="39" t="str" cm="1">
        <f t="array" ref="F51">Common_InputFunctions.Utility_DisplayArrayInTable(SourceData_Feedlot.SourceData_Feedlot_AnimalCharacteristics_Data(), Table_SourceData_Feedlot_AnimalCharacteristics[[#Headers],[Feedlot type]], 0)</f>
        <v>kg DM/day</v>
      </c>
      <c r="G51" s="39" cm="1">
        <f t="array" ref="G51">Common_InputFunctions.Utility_DisplayArrayInTable(SourceData_Feedlot.SourceData_Feedlot_AnimalCharacteristics_Data(), Table_SourceData_Feedlot_AnimalCharacteristics[[#Headers],[Feedlot type]], 0)</f>
        <v>10</v>
      </c>
      <c r="H51" s="39" cm="1">
        <f t="array" ref="H51">Common_InputFunctions.Utility_DisplayArrayInTable(SourceData_Feedlot.SourceData_Feedlot_AnimalCharacteristics_Data(), Table_SourceData_Feedlot_AnimalCharacteristics[[#Headers],[Feedlot type]], 0)</f>
        <v>10</v>
      </c>
      <c r="I51" s="39" cm="1">
        <f t="array" ref="I51">Common_InputFunctions.Utility_DisplayArrayInTable(SourceData_Feedlot.SourceData_Feedlot_AnimalCharacteristics_Data(), Table_SourceData_Feedlot_AnimalCharacteristics[[#Headers],[Feedlot type]], 0)</f>
        <v>10.4</v>
      </c>
      <c r="J51" s="39"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9" t="str" cm="1">
        <f t="array" ref="E52">Common_InputFunctions.Utility_DisplayArrayInTable(SourceData_Feedlot.SourceData_Feedlot_AnimalCharacteristics_Data(), Table_SourceData_Feedlot_AnimalCharacteristics[[#Headers],[Feedlot type]], 0)</f>
        <v>N retention</v>
      </c>
      <c r="F52" s="39" t="str" cm="1">
        <f t="array" ref="F52">Common_InputFunctions.Utility_DisplayArrayInTable(SourceData_Feedlot.SourceData_Feedlot_AnimalCharacteristics_Data(), Table_SourceData_Feedlot_AnimalCharacteristics[[#Headers],[Feedlot type]], 0)</f>
        <v>per cent of intake</v>
      </c>
      <c r="G52" s="39" cm="1">
        <f t="array" ref="G52">Common_InputFunctions.Utility_DisplayArrayInTable(SourceData_Feedlot.SourceData_Feedlot_AnimalCharacteristics_Data(), Table_SourceData_Feedlot_AnimalCharacteristics[[#Headers],[Feedlot type]], 0)</f>
        <v>21.1</v>
      </c>
      <c r="H52" s="39" cm="1">
        <f t="array" ref="H52">Common_InputFunctions.Utility_DisplayArrayInTable(SourceData_Feedlot.SourceData_Feedlot_AnimalCharacteristics_Data(), Table_SourceData_Feedlot_AnimalCharacteristics[[#Headers],[Feedlot type]], 0)</f>
        <v>20.399999999999999</v>
      </c>
      <c r="I52" s="39" cm="1">
        <f t="array" ref="I52">Common_InputFunctions.Utility_DisplayArrayInTable(SourceData_Feedlot.SourceData_Feedlot_AnimalCharacteristics_Data(), Table_SourceData_Feedlot_AnimalCharacteristics[[#Headers],[Feedlot type]], 0)</f>
        <v>20.399999999999999</v>
      </c>
      <c r="J52" s="39"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9" t="str" cm="1">
        <f t="array" ref="E53">Common_InputFunctions.Utility_DisplayArrayInTable(SourceData_Feedlot.SourceData_Feedlot_AnimalCharacteristics_Data(), Table_SourceData_Feedlot_AnimalCharacteristics[[#Headers],[Feedlot type]], 0)</f>
        <v>Days on feed</v>
      </c>
      <c r="F53" s="39" t="str" cm="1">
        <f t="array" ref="F53">Common_InputFunctions.Utility_DisplayArrayInTable(SourceData_Feedlot.SourceData_Feedlot_AnimalCharacteristics_Data(), Table_SourceData_Feedlot_AnimalCharacteristics[[#Headers],[Feedlot type]], 0)</f>
        <v>days</v>
      </c>
      <c r="G53" s="39" cm="1">
        <f t="array" ref="G53">Common_InputFunctions.Utility_DisplayArrayInTable(SourceData_Feedlot.SourceData_Feedlot_AnimalCharacteristics_Data(), Table_SourceData_Feedlot_AnimalCharacteristics[[#Headers],[Feedlot type]], 0)</f>
        <v>115</v>
      </c>
      <c r="H53" s="39" cm="1">
        <f t="array" ref="H53">Common_InputFunctions.Utility_DisplayArrayInTable(SourceData_Feedlot.SourceData_Feedlot_AnimalCharacteristics_Data(), Table_SourceData_Feedlot_AnimalCharacteristics[[#Headers],[Feedlot type]], 0)</f>
        <v>115</v>
      </c>
      <c r="I53" s="39" cm="1">
        <f t="array" ref="I53">Common_InputFunctions.Utility_DisplayArrayInTable(SourceData_Feedlot.SourceData_Feedlot_AnimalCharacteristics_Data(), Table_SourceData_Feedlot_AnimalCharacteristics[[#Headers],[Feedlot type]], 0)</f>
        <v>120</v>
      </c>
      <c r="J53" s="39"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9" t="str" cm="1">
        <f t="array" ref="E54">Common_InputFunctions.Utility_DisplayArrayInTable(SourceData_Feedlot.SourceData_Feedlot_AnimalCharacteristics_Data(), Table_SourceData_Feedlot_AnimalCharacteristics[[#Headers],[Feedlot type]], 0)</f>
        <v>Feed intake</v>
      </c>
      <c r="F54" s="39" t="str" cm="1">
        <f t="array" ref="F54">Common_InputFunctions.Utility_DisplayArrayInTable(SourceData_Feedlot.SourceData_Feedlot_AnimalCharacteristics_Data(), Table_SourceData_Feedlot_AnimalCharacteristics[[#Headers],[Feedlot type]], 0)</f>
        <v>kg DM/day</v>
      </c>
      <c r="G54" s="39" cm="1">
        <f t="array" ref="G54">Common_InputFunctions.Utility_DisplayArrayInTable(SourceData_Feedlot.SourceData_Feedlot_AnimalCharacteristics_Data(), Table_SourceData_Feedlot_AnimalCharacteristics[[#Headers],[Feedlot type]], 0)</f>
        <v>11.2</v>
      </c>
      <c r="H54" s="39" cm="1">
        <f t="array" ref="H54">Common_InputFunctions.Utility_DisplayArrayInTable(SourceData_Feedlot.SourceData_Feedlot_AnimalCharacteristics_Data(), Table_SourceData_Feedlot_AnimalCharacteristics[[#Headers],[Feedlot type]], 0)</f>
        <v>10.8</v>
      </c>
      <c r="I54" s="39" cm="1">
        <f t="array" ref="I54">Common_InputFunctions.Utility_DisplayArrayInTable(SourceData_Feedlot.SourceData_Feedlot_AnimalCharacteristics_Data(), Table_SourceData_Feedlot_AnimalCharacteristics[[#Headers],[Feedlot type]], 0)</f>
        <v>10.8</v>
      </c>
      <c r="J54" s="39"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9" t="str" cm="1">
        <f t="array" ref="E55">Common_InputFunctions.Utility_DisplayArrayInTable(SourceData_Feedlot.SourceData_Feedlot_AnimalCharacteristics_Data(), Table_SourceData_Feedlot_AnimalCharacteristics[[#Headers],[Feedlot type]], 0)</f>
        <v>N retention</v>
      </c>
      <c r="F55" s="39" t="str" cm="1">
        <f t="array" ref="F55">Common_InputFunctions.Utility_DisplayArrayInTable(SourceData_Feedlot.SourceData_Feedlot_AnimalCharacteristics_Data(), Table_SourceData_Feedlot_AnimalCharacteristics[[#Headers],[Feedlot type]], 0)</f>
        <v>per cent of intake</v>
      </c>
      <c r="G55" s="39" cm="1">
        <f t="array" ref="G55">Common_InputFunctions.Utility_DisplayArrayInTable(SourceData_Feedlot.SourceData_Feedlot_AnimalCharacteristics_Data(), Table_SourceData_Feedlot_AnimalCharacteristics[[#Headers],[Feedlot type]], 0)</f>
        <v>12.5</v>
      </c>
      <c r="H55" s="39" cm="1">
        <f t="array" ref="H55">Common_InputFunctions.Utility_DisplayArrayInTable(SourceData_Feedlot.SourceData_Feedlot_AnimalCharacteristics_Data(), Table_SourceData_Feedlot_AnimalCharacteristics[[#Headers],[Feedlot type]], 0)</f>
        <v>12.7</v>
      </c>
      <c r="I55" s="39" cm="1">
        <f t="array" ref="I55">Common_InputFunctions.Utility_DisplayArrayInTable(SourceData_Feedlot.SourceData_Feedlot_AnimalCharacteristics_Data(), Table_SourceData_Feedlot_AnimalCharacteristics[[#Headers],[Feedlot type]], 0)</f>
        <v>12.7</v>
      </c>
      <c r="J55" s="39"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9" t="str" cm="1">
        <f t="array" ref="E56">Common_InputFunctions.Utility_DisplayArrayInTable(SourceData_Feedlot.SourceData_Feedlot_AnimalCharacteristics_Data(), Table_SourceData_Feedlot_AnimalCharacteristics[[#Headers],[Feedlot type]], 0)</f>
        <v>Days on feed</v>
      </c>
      <c r="F56" s="39" t="str" cm="1">
        <f t="array" ref="F56">Common_InputFunctions.Utility_DisplayArrayInTable(SourceData_Feedlot.SourceData_Feedlot_AnimalCharacteristics_Data(), Table_SourceData_Feedlot_AnimalCharacteristics[[#Headers],[Feedlot type]], 0)</f>
        <v>days</v>
      </c>
      <c r="G56" s="39" cm="1">
        <f t="array" ref="G56">Common_InputFunctions.Utility_DisplayArrayInTable(SourceData_Feedlot.SourceData_Feedlot_AnimalCharacteristics_Data(), Table_SourceData_Feedlot_AnimalCharacteristics[[#Headers],[Feedlot type]], 0)</f>
        <v>250</v>
      </c>
      <c r="H56" s="39" cm="1">
        <f t="array" ref="H56">Common_InputFunctions.Utility_DisplayArrayInTable(SourceData_Feedlot.SourceData_Feedlot_AnimalCharacteristics_Data(), Table_SourceData_Feedlot_AnimalCharacteristics[[#Headers],[Feedlot type]], 0)</f>
        <v>250</v>
      </c>
      <c r="I56" s="39" cm="1">
        <f t="array" ref="I56">Common_InputFunctions.Utility_DisplayArrayInTable(SourceData_Feedlot.SourceData_Feedlot_AnimalCharacteristics_Data(), Table_SourceData_Feedlot_AnimalCharacteristics[[#Headers],[Feedlot type]], 0)</f>
        <v>250</v>
      </c>
      <c r="J56" s="39"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9" t="str" cm="1">
        <f t="array" ref="E57">Common_InputFunctions.Utility_DisplayArrayInTable(SourceData_Feedlot.SourceData_Feedlot_AnimalCharacteristics_Data(), Table_SourceData_Feedlot_AnimalCharacteristics[[#Headers],[Feedlot type]], 0)</f>
        <v>Feed intake</v>
      </c>
      <c r="F57" s="39" t="str" cm="1">
        <f t="array" ref="F57">Common_InputFunctions.Utility_DisplayArrayInTable(SourceData_Feedlot.SourceData_Feedlot_AnimalCharacteristics_Data(), Table_SourceData_Feedlot_AnimalCharacteristics[[#Headers],[Feedlot type]], 0)</f>
        <v>kg DM/day</v>
      </c>
      <c r="G57" s="39" cm="1">
        <f t="array" ref="G57">Common_InputFunctions.Utility_DisplayArrayInTable(SourceData_Feedlot.SourceData_Feedlot_AnimalCharacteristics_Data(), Table_SourceData_Feedlot_AnimalCharacteristics[[#Headers],[Feedlot type]], 0)</f>
        <v>9</v>
      </c>
      <c r="H57" s="39" cm="1">
        <f t="array" ref="H57">Common_InputFunctions.Utility_DisplayArrayInTable(SourceData_Feedlot.SourceData_Feedlot_AnimalCharacteristics_Data(), Table_SourceData_Feedlot_AnimalCharacteristics[[#Headers],[Feedlot type]], 0)</f>
        <v>8.5</v>
      </c>
      <c r="I57" s="39" cm="1">
        <f t="array" ref="I57">Common_InputFunctions.Utility_DisplayArrayInTable(SourceData_Feedlot.SourceData_Feedlot_AnimalCharacteristics_Data(), Table_SourceData_Feedlot_AnimalCharacteristics[[#Headers],[Feedlot type]], 0)</f>
        <v>8.1999999999999993</v>
      </c>
      <c r="J57" s="39"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9" t="str" cm="1">
        <f t="array" ref="E58">Common_InputFunctions.Utility_DisplayArrayInTable(SourceData_Feedlot.SourceData_Feedlot_AnimalCharacteristics_Data(), Table_SourceData_Feedlot_AnimalCharacteristics[[#Headers],[Feedlot type]], 0)</f>
        <v>N retention</v>
      </c>
      <c r="F58" s="39" t="str" cm="1">
        <f t="array" ref="F58">Common_InputFunctions.Utility_DisplayArrayInTable(SourceData_Feedlot.SourceData_Feedlot_AnimalCharacteristics_Data(), Table_SourceData_Feedlot_AnimalCharacteristics[[#Headers],[Feedlot type]], 0)</f>
        <v>per cent of intake</v>
      </c>
      <c r="G58" s="39" cm="1">
        <f t="array" ref="G58">Common_InputFunctions.Utility_DisplayArrayInTable(SourceData_Feedlot.SourceData_Feedlot_AnimalCharacteristics_Data(), Table_SourceData_Feedlot_AnimalCharacteristics[[#Headers],[Feedlot type]], 0)</f>
        <v>6.6</v>
      </c>
      <c r="H58" s="39" cm="1">
        <f t="array" ref="H58">Common_InputFunctions.Utility_DisplayArrayInTable(SourceData_Feedlot.SourceData_Feedlot_AnimalCharacteristics_Data(), Table_SourceData_Feedlot_AnimalCharacteristics[[#Headers],[Feedlot type]], 0)</f>
        <v>7</v>
      </c>
      <c r="I58" s="39" cm="1">
        <f t="array" ref="I58">Common_InputFunctions.Utility_DisplayArrayInTable(SourceData_Feedlot.SourceData_Feedlot_AnimalCharacteristics_Data(), Table_SourceData_Feedlot_AnimalCharacteristics[[#Headers],[Feedlot type]], 0)</f>
        <v>7</v>
      </c>
      <c r="J58" s="39"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8" t="str" cm="1">
        <f t="array" ref="D63:D65">SourceData_Feedlot.SourceData_Feedlot_DietProperties_Variation()</f>
        <v>VARIATION ON SOURCE:</v>
      </c>
      <c r="M63" s="24"/>
    </row>
    <row r="64" spans="4:13" ht="20.100000000000001" customHeight="1" x14ac:dyDescent="0.25">
      <c r="D64" s="58" t="str">
        <v>Added 'Converted to fraction column and converted NDF and Ether extract values to fractions.</v>
      </c>
      <c r="M64" s="24"/>
    </row>
    <row r="65" spans="4:13" ht="20.100000000000001" customHeight="1" x14ac:dyDescent="0.25">
      <c r="D65" s="58" t="str">
        <v>Moved feedlot types to a separate column to aid lookup.</v>
      </c>
      <c r="M65" s="24"/>
    </row>
    <row r="66" spans="4:13" ht="20.100000000000001" customHeight="1" x14ac:dyDescent="0.25">
      <c r="D66" s="39" t="s">
        <v>129</v>
      </c>
      <c r="E66" s="39" t="s">
        <v>130</v>
      </c>
      <c r="F66" s="39" t="s">
        <v>18</v>
      </c>
      <c r="G66" s="39" t="s">
        <v>131</v>
      </c>
      <c r="H66" s="39" t="s">
        <v>132</v>
      </c>
      <c r="I66" s="39" t="s">
        <v>133</v>
      </c>
      <c r="J66" s="39" t="s">
        <v>138</v>
      </c>
      <c r="M66" s="24"/>
    </row>
    <row r="67" spans="4:13" ht="20.100000000000001" customHeight="1" x14ac:dyDescent="0.25">
      <c r="D67" s="39" t="str" cm="1">
        <f t="array" ref="D67">Common_InputFunctions.Utility_DisplayArrayInTable(SourceData_Feedlot.SourceData_Feedlot_DietProperties_Data(), Table_SourceData_Feedlot_DietProperties[[#Headers],[Feedlot type]], 0)</f>
        <v>Domestic</v>
      </c>
      <c r="E67" s="39" t="str" cm="1">
        <f t="array" ref="E67">Common_InputFunctions.Utility_DisplayArrayInTable(SourceData_Feedlot.SourceData_Feedlot_DietProperties_Data(), Table_SourceData_Feedlot_DietProperties[[#Headers],[Feedlot type]], 0)</f>
        <v>Dry matter digestibility</v>
      </c>
      <c r="F67" s="39" t="str" cm="1">
        <f t="array" ref="F67">Common_InputFunctions.Utility_DisplayArrayInTable(SourceData_Feedlot.SourceData_Feedlot_DietProperties_Data(), Table_SourceData_Feedlot_DietProperties[[#Headers],[Feedlot type]], 0)</f>
        <v>fraction</v>
      </c>
      <c r="G67" s="39" cm="1">
        <f t="array" ref="G67">Common_InputFunctions.Utility_DisplayArrayInTable(SourceData_Feedlot.SourceData_Feedlot_DietProperties_Data(), Table_SourceData_Feedlot_DietProperties[[#Headers],[Feedlot type]], 0)</f>
        <v>0.81</v>
      </c>
      <c r="H67" s="39" cm="1">
        <f t="array" ref="H67">Common_InputFunctions.Utility_DisplayArrayInTable(SourceData_Feedlot.SourceData_Feedlot_DietProperties_Data(), Table_SourceData_Feedlot_DietProperties[[#Headers],[Feedlot type]], 0)</f>
        <v>0.81</v>
      </c>
      <c r="I67" s="39" cm="1">
        <f t="array" ref="I67">Common_InputFunctions.Utility_DisplayArrayInTable(SourceData_Feedlot.SourceData_Feedlot_DietProperties_Data(), Table_SourceData_Feedlot_DietProperties[[#Headers],[Feedlot type]], 0)</f>
        <v>0.81</v>
      </c>
      <c r="J67" s="39"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9" t="str" cm="1">
        <f t="array" ref="E68">Common_InputFunctions.Utility_DisplayArrayInTable(SourceData_Feedlot.SourceData_Feedlot_DietProperties_Data(), Table_SourceData_Feedlot_DietProperties[[#Headers],[Feedlot type]], 0)</f>
        <v>Crude protein</v>
      </c>
      <c r="F68" s="39" t="str" cm="1">
        <f t="array" ref="F68">Common_InputFunctions.Utility_DisplayArrayInTable(SourceData_Feedlot.SourceData_Feedlot_DietProperties_Data(), Table_SourceData_Feedlot_DietProperties[[#Headers],[Feedlot type]], 0)</f>
        <v>fraction</v>
      </c>
      <c r="G68" s="39" cm="1">
        <f t="array" ref="G68">Common_InputFunctions.Utility_DisplayArrayInTable(SourceData_Feedlot.SourceData_Feedlot_DietProperties_Data(), Table_SourceData_Feedlot_DietProperties[[#Headers],[Feedlot type]], 0)</f>
        <v>0.14000000000000001</v>
      </c>
      <c r="H68" s="39" cm="1">
        <f t="array" ref="H68">Common_InputFunctions.Utility_DisplayArrayInTable(SourceData_Feedlot.SourceData_Feedlot_DietProperties_Data(), Table_SourceData_Feedlot_DietProperties[[#Headers],[Feedlot type]], 0)</f>
        <v>0.14000000000000001</v>
      </c>
      <c r="I68" s="39" cm="1">
        <f t="array" ref="I68">Common_InputFunctions.Utility_DisplayArrayInTable(SourceData_Feedlot.SourceData_Feedlot_DietProperties_Data(), Table_SourceData_Feedlot_DietProperties[[#Headers],[Feedlot type]], 0)</f>
        <v>0.14000000000000001</v>
      </c>
      <c r="J68" s="39"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9" t="str" cm="1">
        <f t="array" ref="E69">Common_InputFunctions.Utility_DisplayArrayInTable(SourceData_Feedlot.SourceData_Feedlot_DietProperties_Data(), Table_SourceData_Feedlot_DietProperties[[#Headers],[Feedlot type]], 0)</f>
        <v>NDF</v>
      </c>
      <c r="F69" s="39" t="str" cm="1">
        <f t="array" ref="F69">Common_InputFunctions.Utility_DisplayArrayInTable(SourceData_Feedlot.SourceData_Feedlot_DietProperties_Data(), Table_SourceData_Feedlot_DietProperties[[#Headers],[Feedlot type]], 0)</f>
        <v>per cent</v>
      </c>
      <c r="G69" s="39" cm="1">
        <f t="array" ref="G69">Common_InputFunctions.Utility_DisplayArrayInTable(SourceData_Feedlot.SourceData_Feedlot_DietProperties_Data(), Table_SourceData_Feedlot_DietProperties[[#Headers],[Feedlot type]], 0)</f>
        <v>23</v>
      </c>
      <c r="H69" s="39" cm="1">
        <f t="array" ref="H69">Common_InputFunctions.Utility_DisplayArrayInTable(SourceData_Feedlot.SourceData_Feedlot_DietProperties_Data(), Table_SourceData_Feedlot_DietProperties[[#Headers],[Feedlot type]], 0)</f>
        <v>22</v>
      </c>
      <c r="I69" s="39" cm="1">
        <f t="array" ref="I69">Common_InputFunctions.Utility_DisplayArrayInTable(SourceData_Feedlot.SourceData_Feedlot_DietProperties_Data(), Table_SourceData_Feedlot_DietProperties[[#Headers],[Feedlot type]], 0)</f>
        <v>22</v>
      </c>
      <c r="J69" s="39"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9" t="str" cm="1">
        <f t="array" ref="E70">Common_InputFunctions.Utility_DisplayArrayInTable(SourceData_Feedlot.SourceData_Feedlot_DietProperties_Data(), Table_SourceData_Feedlot_DietProperties[[#Headers],[Feedlot type]], 0)</f>
        <v>Ether Extract</v>
      </c>
      <c r="F70" s="39" t="str" cm="1">
        <f t="array" ref="F70">Common_InputFunctions.Utility_DisplayArrayInTable(SourceData_Feedlot.SourceData_Feedlot_DietProperties_Data(), Table_SourceData_Feedlot_DietProperties[[#Headers],[Feedlot type]], 0)</f>
        <v>per cent</v>
      </c>
      <c r="G70" s="39" cm="1">
        <f t="array" ref="G70">Common_InputFunctions.Utility_DisplayArrayInTable(SourceData_Feedlot.SourceData_Feedlot_DietProperties_Data(), Table_SourceData_Feedlot_DietProperties[[#Headers],[Feedlot type]], 0)</f>
        <v>4.5</v>
      </c>
      <c r="H70" s="39" cm="1">
        <f t="array" ref="H70">Common_InputFunctions.Utility_DisplayArrayInTable(SourceData_Feedlot.SourceData_Feedlot_DietProperties_Data(), Table_SourceData_Feedlot_DietProperties[[#Headers],[Feedlot type]], 0)</f>
        <v>4.5</v>
      </c>
      <c r="I70" s="39" cm="1">
        <f t="array" ref="I70">Common_InputFunctions.Utility_DisplayArrayInTable(SourceData_Feedlot.SourceData_Feedlot_DietProperties_Data(), Table_SourceData_Feedlot_DietProperties[[#Headers],[Feedlot type]], 0)</f>
        <v>4.8</v>
      </c>
      <c r="J70" s="39"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9" t="str" cm="1">
        <f t="array" ref="E71">Common_InputFunctions.Utility_DisplayArrayInTable(SourceData_Feedlot.SourceData_Feedlot_DietProperties_Data(), Table_SourceData_Feedlot_DietProperties[[#Headers],[Feedlot type]], 0)</f>
        <v>Dry matter digestibility</v>
      </c>
      <c r="F71" s="39" t="str" cm="1">
        <f t="array" ref="F71">Common_InputFunctions.Utility_DisplayArrayInTable(SourceData_Feedlot.SourceData_Feedlot_DietProperties_Data(), Table_SourceData_Feedlot_DietProperties[[#Headers],[Feedlot type]], 0)</f>
        <v>fraction</v>
      </c>
      <c r="G71" s="39" cm="1">
        <f t="array" ref="G71">Common_InputFunctions.Utility_DisplayArrayInTable(SourceData_Feedlot.SourceData_Feedlot_DietProperties_Data(), Table_SourceData_Feedlot_DietProperties[[#Headers],[Feedlot type]], 0)</f>
        <v>0.81</v>
      </c>
      <c r="H71" s="39" cm="1">
        <f t="array" ref="H71">Common_InputFunctions.Utility_DisplayArrayInTable(SourceData_Feedlot.SourceData_Feedlot_DietProperties_Data(), Table_SourceData_Feedlot_DietProperties[[#Headers],[Feedlot type]], 0)</f>
        <v>0.81</v>
      </c>
      <c r="I71" s="39" cm="1">
        <f t="array" ref="I71">Common_InputFunctions.Utility_DisplayArrayInTable(SourceData_Feedlot.SourceData_Feedlot_DietProperties_Data(), Table_SourceData_Feedlot_DietProperties[[#Headers],[Feedlot type]], 0)</f>
        <v>0.81</v>
      </c>
      <c r="J71" s="39"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9" t="str" cm="1">
        <f t="array" ref="E72">Common_InputFunctions.Utility_DisplayArrayInTable(SourceData_Feedlot.SourceData_Feedlot_DietProperties_Data(), Table_SourceData_Feedlot_DietProperties[[#Headers],[Feedlot type]], 0)</f>
        <v>Crude protein</v>
      </c>
      <c r="F72" s="39" t="str" cm="1">
        <f t="array" ref="F72">Common_InputFunctions.Utility_DisplayArrayInTable(SourceData_Feedlot.SourceData_Feedlot_DietProperties_Data(), Table_SourceData_Feedlot_DietProperties[[#Headers],[Feedlot type]], 0)</f>
        <v>fraction</v>
      </c>
      <c r="G72" s="39" cm="1">
        <f t="array" ref="G72">Common_InputFunctions.Utility_DisplayArrayInTable(SourceData_Feedlot.SourceData_Feedlot_DietProperties_Data(), Table_SourceData_Feedlot_DietProperties[[#Headers],[Feedlot type]], 0)</f>
        <v>0.13</v>
      </c>
      <c r="H72" s="39" cm="1">
        <f t="array" ref="H72">Common_InputFunctions.Utility_DisplayArrayInTable(SourceData_Feedlot.SourceData_Feedlot_DietProperties_Data(), Table_SourceData_Feedlot_DietProperties[[#Headers],[Feedlot type]], 0)</f>
        <v>0.125</v>
      </c>
      <c r="I72" s="39" cm="1">
        <f t="array" ref="I72">Common_InputFunctions.Utility_DisplayArrayInTable(SourceData_Feedlot.SourceData_Feedlot_DietProperties_Data(), Table_SourceData_Feedlot_DietProperties[[#Headers],[Feedlot type]], 0)</f>
        <v>0.12</v>
      </c>
      <c r="J72" s="39"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9" t="str" cm="1">
        <f t="array" ref="E73">Common_InputFunctions.Utility_DisplayArrayInTable(SourceData_Feedlot.SourceData_Feedlot_DietProperties_Data(), Table_SourceData_Feedlot_DietProperties[[#Headers],[Feedlot type]], 0)</f>
        <v>NDF</v>
      </c>
      <c r="F73" s="39" t="str" cm="1">
        <f t="array" ref="F73">Common_InputFunctions.Utility_DisplayArrayInTable(SourceData_Feedlot.SourceData_Feedlot_DietProperties_Data(), Table_SourceData_Feedlot_DietProperties[[#Headers],[Feedlot type]], 0)</f>
        <v>per cent</v>
      </c>
      <c r="G73" s="39" cm="1">
        <f t="array" ref="G73">Common_InputFunctions.Utility_DisplayArrayInTable(SourceData_Feedlot.SourceData_Feedlot_DietProperties_Data(), Table_SourceData_Feedlot_DietProperties[[#Headers],[Feedlot type]], 0)</f>
        <v>24</v>
      </c>
      <c r="H73" s="39" cm="1">
        <f t="array" ref="H73">Common_InputFunctions.Utility_DisplayArrayInTable(SourceData_Feedlot.SourceData_Feedlot_DietProperties_Data(), Table_SourceData_Feedlot_DietProperties[[#Headers],[Feedlot type]], 0)</f>
        <v>22</v>
      </c>
      <c r="I73" s="39" cm="1">
        <f t="array" ref="I73">Common_InputFunctions.Utility_DisplayArrayInTable(SourceData_Feedlot.SourceData_Feedlot_DietProperties_Data(), Table_SourceData_Feedlot_DietProperties[[#Headers],[Feedlot type]], 0)</f>
        <v>22</v>
      </c>
      <c r="J73" s="39"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9" t="str" cm="1">
        <f t="array" ref="E74">Common_InputFunctions.Utility_DisplayArrayInTable(SourceData_Feedlot.SourceData_Feedlot_DietProperties_Data(), Table_SourceData_Feedlot_DietProperties[[#Headers],[Feedlot type]], 0)</f>
        <v>Ether Extract</v>
      </c>
      <c r="F74" s="39" t="str" cm="1">
        <f t="array" ref="F74">Common_InputFunctions.Utility_DisplayArrayInTable(SourceData_Feedlot.SourceData_Feedlot_DietProperties_Data(), Table_SourceData_Feedlot_DietProperties[[#Headers],[Feedlot type]], 0)</f>
        <v>per cent</v>
      </c>
      <c r="G74" s="39" cm="1">
        <f t="array" ref="G74">Common_InputFunctions.Utility_DisplayArrayInTable(SourceData_Feedlot.SourceData_Feedlot_DietProperties_Data(), Table_SourceData_Feedlot_DietProperties[[#Headers],[Feedlot type]], 0)</f>
        <v>5</v>
      </c>
      <c r="H74" s="39" cm="1">
        <f t="array" ref="H74">Common_InputFunctions.Utility_DisplayArrayInTable(SourceData_Feedlot.SourceData_Feedlot_DietProperties_Data(), Table_SourceData_Feedlot_DietProperties[[#Headers],[Feedlot type]], 0)</f>
        <v>5</v>
      </c>
      <c r="I74" s="39" cm="1">
        <f t="array" ref="I74">Common_InputFunctions.Utility_DisplayArrayInTable(SourceData_Feedlot.SourceData_Feedlot_DietProperties_Data(), Table_SourceData_Feedlot_DietProperties[[#Headers],[Feedlot type]], 0)</f>
        <v>5</v>
      </c>
      <c r="J74" s="39"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9" t="str" cm="1">
        <f t="array" ref="E75">Common_InputFunctions.Utility_DisplayArrayInTable(SourceData_Feedlot.SourceData_Feedlot_DietProperties_Data(), Table_SourceData_Feedlot_DietProperties[[#Headers],[Feedlot type]], 0)</f>
        <v>Dry matter digestibility</v>
      </c>
      <c r="F75" s="39" t="str" cm="1">
        <f t="array" ref="F75">Common_InputFunctions.Utility_DisplayArrayInTable(SourceData_Feedlot.SourceData_Feedlot_DietProperties_Data(), Table_SourceData_Feedlot_DietProperties[[#Headers],[Feedlot type]], 0)</f>
        <v>fraction</v>
      </c>
      <c r="G75" s="39" cm="1">
        <f t="array" ref="G75">Common_InputFunctions.Utility_DisplayArrayInTable(SourceData_Feedlot.SourceData_Feedlot_DietProperties_Data(), Table_SourceData_Feedlot_DietProperties[[#Headers],[Feedlot type]], 0)</f>
        <v>0.81</v>
      </c>
      <c r="H75" s="39" cm="1">
        <f t="array" ref="H75">Common_InputFunctions.Utility_DisplayArrayInTable(SourceData_Feedlot.SourceData_Feedlot_DietProperties_Data(), Table_SourceData_Feedlot_DietProperties[[#Headers],[Feedlot type]], 0)</f>
        <v>0.81</v>
      </c>
      <c r="I75" s="39" cm="1">
        <f t="array" ref="I75">Common_InputFunctions.Utility_DisplayArrayInTable(SourceData_Feedlot.SourceData_Feedlot_DietProperties_Data(), Table_SourceData_Feedlot_DietProperties[[#Headers],[Feedlot type]], 0)</f>
        <v>0.81</v>
      </c>
      <c r="J75" s="39"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9" t="str" cm="1">
        <f t="array" ref="E76">Common_InputFunctions.Utility_DisplayArrayInTable(SourceData_Feedlot.SourceData_Feedlot_DietProperties_Data(), Table_SourceData_Feedlot_DietProperties[[#Headers],[Feedlot type]], 0)</f>
        <v>Crude protein</v>
      </c>
      <c r="F76" s="39" t="str" cm="1">
        <f t="array" ref="F76">Common_InputFunctions.Utility_DisplayArrayInTable(SourceData_Feedlot.SourceData_Feedlot_DietProperties_Data(), Table_SourceData_Feedlot_DietProperties[[#Headers],[Feedlot type]], 0)</f>
        <v>fraction</v>
      </c>
      <c r="G76" s="39" cm="1">
        <f t="array" ref="G76">Common_InputFunctions.Utility_DisplayArrayInTable(SourceData_Feedlot.SourceData_Feedlot_DietProperties_Data(), Table_SourceData_Feedlot_DietProperties[[#Headers],[Feedlot type]], 0)</f>
        <v>0.13</v>
      </c>
      <c r="H76" s="39" cm="1">
        <f t="array" ref="H76">Common_InputFunctions.Utility_DisplayArrayInTable(SourceData_Feedlot.SourceData_Feedlot_DietProperties_Data(), Table_SourceData_Feedlot_DietProperties[[#Headers],[Feedlot type]], 0)</f>
        <v>0.125</v>
      </c>
      <c r="I76" s="39" cm="1">
        <f t="array" ref="I76">Common_InputFunctions.Utility_DisplayArrayInTable(SourceData_Feedlot.SourceData_Feedlot_DietProperties_Data(), Table_SourceData_Feedlot_DietProperties[[#Headers],[Feedlot type]], 0)</f>
        <v>0.12</v>
      </c>
      <c r="J76" s="39"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9" t="str" cm="1">
        <f t="array" ref="E77">Common_InputFunctions.Utility_DisplayArrayInTable(SourceData_Feedlot.SourceData_Feedlot_DietProperties_Data(), Table_SourceData_Feedlot_DietProperties[[#Headers],[Feedlot type]], 0)</f>
        <v>NDF</v>
      </c>
      <c r="F77" s="39" t="str" cm="1">
        <f t="array" ref="F77">Common_InputFunctions.Utility_DisplayArrayInTable(SourceData_Feedlot.SourceData_Feedlot_DietProperties_Data(), Table_SourceData_Feedlot_DietProperties[[#Headers],[Feedlot type]], 0)</f>
        <v>per cent</v>
      </c>
      <c r="G77" s="39" cm="1">
        <f t="array" ref="G77">Common_InputFunctions.Utility_DisplayArrayInTable(SourceData_Feedlot.SourceData_Feedlot_DietProperties_Data(), Table_SourceData_Feedlot_DietProperties[[#Headers],[Feedlot type]], 0)</f>
        <v>24</v>
      </c>
      <c r="H77" s="39" cm="1">
        <f t="array" ref="H77">Common_InputFunctions.Utility_DisplayArrayInTable(SourceData_Feedlot.SourceData_Feedlot_DietProperties_Data(), Table_SourceData_Feedlot_DietProperties[[#Headers],[Feedlot type]], 0)</f>
        <v>24</v>
      </c>
      <c r="I77" s="39" cm="1">
        <f t="array" ref="I77">Common_InputFunctions.Utility_DisplayArrayInTable(SourceData_Feedlot.SourceData_Feedlot_DietProperties_Data(), Table_SourceData_Feedlot_DietProperties[[#Headers],[Feedlot type]], 0)</f>
        <v>24</v>
      </c>
      <c r="J77" s="39"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9" t="str" cm="1">
        <f t="array" ref="E78">Common_InputFunctions.Utility_DisplayArrayInTable(SourceData_Feedlot.SourceData_Feedlot_DietProperties_Data(), Table_SourceData_Feedlot_DietProperties[[#Headers],[Feedlot type]], 0)</f>
        <v>Ether Extract</v>
      </c>
      <c r="F78" s="39" t="str" cm="1">
        <f t="array" ref="F78">Common_InputFunctions.Utility_DisplayArrayInTable(SourceData_Feedlot.SourceData_Feedlot_DietProperties_Data(), Table_SourceData_Feedlot_DietProperties[[#Headers],[Feedlot type]], 0)</f>
        <v>per cent</v>
      </c>
      <c r="G78" s="39" cm="1">
        <f t="array" ref="G78">Common_InputFunctions.Utility_DisplayArrayInTable(SourceData_Feedlot.SourceData_Feedlot_DietProperties_Data(), Table_SourceData_Feedlot_DietProperties[[#Headers],[Feedlot type]], 0)</f>
        <v>5</v>
      </c>
      <c r="H78" s="39" cm="1">
        <f t="array" ref="H78">Common_InputFunctions.Utility_DisplayArrayInTable(SourceData_Feedlot.SourceData_Feedlot_DietProperties_Data(), Table_SourceData_Feedlot_DietProperties[[#Headers],[Feedlot type]], 0)</f>
        <v>5</v>
      </c>
      <c r="I78" s="39" cm="1">
        <f t="array" ref="I78">Common_InputFunctions.Utility_DisplayArrayInTable(SourceData_Feedlot.SourceData_Feedlot_DietProperties_Data(), Table_SourceData_Feedlot_DietProperties[[#Headers],[Feedlot type]], 0)</f>
        <v>5.5</v>
      </c>
      <c r="J78" s="39"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8" t="str" cm="1">
        <f t="array" ref="D83:D86">SourceData_Feedlot.SourceData_Feedlot_MCF_Variation()</f>
        <v>VARIATION ON SOURCE:</v>
      </c>
      <c r="M83" s="1"/>
    </row>
    <row r="84" spans="4:14" ht="20.100000000000001" customHeight="1" x14ac:dyDescent="0.25">
      <c r="D84" s="58" t="str">
        <v>Duplicated NSW values for ACT</v>
      </c>
      <c r="M84" s="1"/>
    </row>
    <row r="85" spans="4:14" ht="20.100000000000001" customHeight="1" x14ac:dyDescent="0.25">
      <c r="D85" s="58" t="str">
        <v>Added NT column that duplicates QLD values as per advice from source data provider.</v>
      </c>
      <c r="M85" s="1"/>
    </row>
    <row r="86" spans="4:14" ht="20.100000000000001" customHeight="1" x14ac:dyDescent="0.25">
      <c r="D86" s="58" t="str">
        <v>Added TAS column that duplicates VIC values as per advice from source data provider.</v>
      </c>
      <c r="M86" s="1"/>
    </row>
    <row r="87" spans="4:14" ht="20.100000000000001" customHeight="1" x14ac:dyDescent="0.25">
      <c r="M87" s="1"/>
    </row>
    <row r="88" spans="4:14" ht="20.100000000000001" customHeight="1" x14ac:dyDescent="0.25">
      <c r="D88" s="39" t="s">
        <v>107</v>
      </c>
      <c r="E88" s="39" t="s">
        <v>102</v>
      </c>
      <c r="F88" s="39" t="s">
        <v>81</v>
      </c>
      <c r="G88" s="39" t="s">
        <v>80</v>
      </c>
      <c r="H88" s="39" t="s">
        <v>83</v>
      </c>
      <c r="I88" s="39" t="s">
        <v>82</v>
      </c>
      <c r="J88" s="39" t="s">
        <v>84</v>
      </c>
      <c r="K88" s="39" t="s">
        <v>86</v>
      </c>
      <c r="L88" s="39" t="s">
        <v>87</v>
      </c>
      <c r="M88" s="39" t="s">
        <v>85</v>
      </c>
      <c r="N88" s="39" t="s">
        <v>97</v>
      </c>
    </row>
    <row r="89" spans="4:14" ht="20.100000000000001" customHeight="1" x14ac:dyDescent="0.25">
      <c r="D89" s="39" t="str" cm="1">
        <f t="array" ref="D89">Common_InputFunctions.Utility_DisplayArrayInTable(SourceData_Feedlot.SourceData_Feedlot_MCF_Data(), Table_SourceData_Feedlot_MCF[[#Headers],[Treatment stage T]], 0)</f>
        <v>Primary</v>
      </c>
      <c r="E89" s="39" t="str" cm="1">
        <f t="array" ref="E89">Common_InputFunctions.Utility_DisplayArrayInTable(SourceData_Feedlot.SourceData_Feedlot_MCF_Data(), Table_SourceData_Feedlot_MCF[[#Headers],[Treatment stage T]], 0)</f>
        <v>Dry lot (Feedpad)</v>
      </c>
      <c r="F89" s="39" cm="1">
        <f t="array" ref="F89">Common_InputFunctions.Utility_DisplayArrayInTable(SourceData_Feedlot.SourceData_Feedlot_MCF_Data(), Table_SourceData_Feedlot_MCF[[#Headers],[Treatment stage T]], 0)</f>
        <v>0.01</v>
      </c>
      <c r="G89" s="39" cm="1">
        <f t="array" ref="G89">Common_InputFunctions.Utility_DisplayArrayInTable(SourceData_Feedlot.SourceData_Feedlot_MCF_Data(), Table_SourceData_Feedlot_MCF[[#Headers],[Treatment stage T]], 0)</f>
        <v>0.01</v>
      </c>
      <c r="H89" s="39" cm="1">
        <f t="array" ref="H89">Common_InputFunctions.Utility_DisplayArrayInTable(SourceData_Feedlot.SourceData_Feedlot_MCF_Data(), Table_SourceData_Feedlot_MCF[[#Headers],[Treatment stage T]], 0)</f>
        <v>0.03</v>
      </c>
      <c r="I89" s="39" cm="1">
        <f t="array" ref="I89">Common_InputFunctions.Utility_DisplayArrayInTable(SourceData_Feedlot.SourceData_Feedlot_MCF_Data(), Table_SourceData_Feedlot_MCF[[#Headers],[Treatment stage T]], 0)</f>
        <v>0.03</v>
      </c>
      <c r="J89" s="39" cm="1">
        <f t="array" ref="J89">Common_InputFunctions.Utility_DisplayArrayInTable(SourceData_Feedlot.SourceData_Feedlot_MCF_Data(), Table_SourceData_Feedlot_MCF[[#Headers],[Treatment stage T]], 0)</f>
        <v>0.01</v>
      </c>
      <c r="K89" s="39" cm="1">
        <f t="array" ref="K89">Common_InputFunctions.Utility_DisplayArrayInTable(SourceData_Feedlot.SourceData_Feedlot_MCF_Data(), Table_SourceData_Feedlot_MCF[[#Headers],[Treatment stage T]], 0)</f>
        <v>0.01</v>
      </c>
      <c r="L89" s="39" cm="1">
        <f t="array" ref="L89">Common_InputFunctions.Utility_DisplayArrayInTable(SourceData_Feedlot.SourceData_Feedlot_MCF_Data(), Table_SourceData_Feedlot_MCF[[#Headers],[Treatment stage T]], 0)</f>
        <v>0.01</v>
      </c>
      <c r="M89" s="39" cm="1">
        <f t="array" ref="M89">Common_InputFunctions.Utility_DisplayArrayInTable(SourceData_Feedlot.SourceData_Feedlot_MCF_Data(), Table_SourceData_Feedlot_MCF[[#Headers],[Treatment stage T]], 0)</f>
        <v>0.01</v>
      </c>
      <c r="N89" s="39"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9" t="str" cm="1">
        <f t="array" ref="E90">Common_InputFunctions.Utility_DisplayArrayInTable(SourceData_Feedlot.SourceData_Feedlot_MCF_Data(), Table_SourceData_Feedlot_MCF[[#Headers],[Treatment stage T]], 0)</f>
        <v>Solid Storage (Stockpile)</v>
      </c>
      <c r="F90" s="39" cm="1">
        <f t="array" ref="F90">Common_InputFunctions.Utility_DisplayArrayInTable(SourceData_Feedlot.SourceData_Feedlot_MCF_Data(), Table_SourceData_Feedlot_MCF[[#Headers],[Treatment stage T]], 0)</f>
        <v>0.02</v>
      </c>
      <c r="G90" s="39" cm="1">
        <f t="array" ref="G90">Common_InputFunctions.Utility_DisplayArrayInTable(SourceData_Feedlot.SourceData_Feedlot_MCF_Data(), Table_SourceData_Feedlot_MCF[[#Headers],[Treatment stage T]], 0)</f>
        <v>0.02</v>
      </c>
      <c r="H90" s="39" cm="1">
        <f t="array" ref="H90">Common_InputFunctions.Utility_DisplayArrayInTable(SourceData_Feedlot.SourceData_Feedlot_MCF_Data(), Table_SourceData_Feedlot_MCF[[#Headers],[Treatment stage T]], 0)</f>
        <v>0.02</v>
      </c>
      <c r="I90" s="39" cm="1">
        <f t="array" ref="I90">Common_InputFunctions.Utility_DisplayArrayInTable(SourceData_Feedlot.SourceData_Feedlot_MCF_Data(), Table_SourceData_Feedlot_MCF[[#Headers],[Treatment stage T]], 0)</f>
        <v>0.02</v>
      </c>
      <c r="J90" s="39" cm="1">
        <f t="array" ref="J90">Common_InputFunctions.Utility_DisplayArrayInTable(SourceData_Feedlot.SourceData_Feedlot_MCF_Data(), Table_SourceData_Feedlot_MCF[[#Headers],[Treatment stage T]], 0)</f>
        <v>0.02</v>
      </c>
      <c r="K90" s="39" cm="1">
        <f t="array" ref="K90">Common_InputFunctions.Utility_DisplayArrayInTable(SourceData_Feedlot.SourceData_Feedlot_MCF_Data(), Table_SourceData_Feedlot_MCF[[#Headers],[Treatment stage T]], 0)</f>
        <v>0.02</v>
      </c>
      <c r="L90" s="39" cm="1">
        <f t="array" ref="L90">Common_InputFunctions.Utility_DisplayArrayInTable(SourceData_Feedlot.SourceData_Feedlot_MCF_Data(), Table_SourceData_Feedlot_MCF[[#Headers],[Treatment stage T]], 0)</f>
        <v>0.02</v>
      </c>
      <c r="M90" s="39" cm="1">
        <f t="array" ref="M90">Common_InputFunctions.Utility_DisplayArrayInTable(SourceData_Feedlot.SourceData_Feedlot_MCF_Data(), Table_SourceData_Feedlot_MCF[[#Headers],[Treatment stage T]], 0)</f>
        <v>0.02</v>
      </c>
      <c r="N90" s="39"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9" t="str" cm="1">
        <f t="array" ref="E91">Common_InputFunctions.Utility_DisplayArrayInTable(SourceData_Feedlot.SourceData_Feedlot_MCF_Data(), Table_SourceData_Feedlot_MCF[[#Headers],[Treatment stage T]], 0)</f>
        <v>Composting (Passive Windrow)</v>
      </c>
      <c r="F91" s="39" cm="1">
        <f t="array" ref="F91">Common_InputFunctions.Utility_DisplayArrayInTable(SourceData_Feedlot.SourceData_Feedlot_MCF_Data(), Table_SourceData_Feedlot_MCF[[#Headers],[Treatment stage T]], 0)</f>
        <v>0.01</v>
      </c>
      <c r="G91" s="39" cm="1">
        <f t="array" ref="G91">Common_InputFunctions.Utility_DisplayArrayInTable(SourceData_Feedlot.SourceData_Feedlot_MCF_Data(), Table_SourceData_Feedlot_MCF[[#Headers],[Treatment stage T]], 0)</f>
        <v>0.01</v>
      </c>
      <c r="H91" s="39" cm="1">
        <f t="array" ref="H91">Common_InputFunctions.Utility_DisplayArrayInTable(SourceData_Feedlot.SourceData_Feedlot_MCF_Data(), Table_SourceData_Feedlot_MCF[[#Headers],[Treatment stage T]], 0)</f>
        <v>0.01</v>
      </c>
      <c r="I91" s="39" cm="1">
        <f t="array" ref="I91">Common_InputFunctions.Utility_DisplayArrayInTable(SourceData_Feedlot.SourceData_Feedlot_MCF_Data(), Table_SourceData_Feedlot_MCF[[#Headers],[Treatment stage T]], 0)</f>
        <v>0.01</v>
      </c>
      <c r="J91" s="39" cm="1">
        <f t="array" ref="J91">Common_InputFunctions.Utility_DisplayArrayInTable(SourceData_Feedlot.SourceData_Feedlot_MCF_Data(), Table_SourceData_Feedlot_MCF[[#Headers],[Treatment stage T]], 0)</f>
        <v>0.01</v>
      </c>
      <c r="K91" s="39" cm="1">
        <f t="array" ref="K91">Common_InputFunctions.Utility_DisplayArrayInTable(SourceData_Feedlot.SourceData_Feedlot_MCF_Data(), Table_SourceData_Feedlot_MCF[[#Headers],[Treatment stage T]], 0)</f>
        <v>0.01</v>
      </c>
      <c r="L91" s="39" cm="1">
        <f t="array" ref="L91">Common_InputFunctions.Utility_DisplayArrayInTable(SourceData_Feedlot.SourceData_Feedlot_MCF_Data(), Table_SourceData_Feedlot_MCF[[#Headers],[Treatment stage T]], 0)</f>
        <v>0.01</v>
      </c>
      <c r="M91" s="39" cm="1">
        <f t="array" ref="M91">Common_InputFunctions.Utility_DisplayArrayInTable(SourceData_Feedlot.SourceData_Feedlot_MCF_Data(), Table_SourceData_Feedlot_MCF[[#Headers],[Treatment stage T]], 0)</f>
        <v>0.01</v>
      </c>
      <c r="N91" s="39"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9" t="str" cm="1">
        <f t="array" ref="E92">Common_InputFunctions.Utility_DisplayArrayInTable(SourceData_Feedlot.SourceData_Feedlot_MCF_Data(), Table_SourceData_Feedlot_MCF[[#Headers],[Treatment stage T]], 0)</f>
        <v>Direct Application to soil</v>
      </c>
      <c r="F92" s="39" cm="1">
        <f t="array" ref="F92">Common_InputFunctions.Utility_DisplayArrayInTable(SourceData_Feedlot.SourceData_Feedlot_MCF_Data(), Table_SourceData_Feedlot_MCF[[#Headers],[Treatment stage T]], 0)</f>
        <v>0</v>
      </c>
      <c r="G92" s="39" cm="1">
        <f t="array" ref="G92">Common_InputFunctions.Utility_DisplayArrayInTable(SourceData_Feedlot.SourceData_Feedlot_MCF_Data(), Table_SourceData_Feedlot_MCF[[#Headers],[Treatment stage T]], 0)</f>
        <v>0</v>
      </c>
      <c r="H92" s="39" cm="1">
        <f t="array" ref="H92">Common_InputFunctions.Utility_DisplayArrayInTable(SourceData_Feedlot.SourceData_Feedlot_MCF_Data(), Table_SourceData_Feedlot_MCF[[#Headers],[Treatment stage T]], 0)</f>
        <v>0</v>
      </c>
      <c r="I92" s="39" cm="1">
        <f t="array" ref="I92">Common_InputFunctions.Utility_DisplayArrayInTable(SourceData_Feedlot.SourceData_Feedlot_MCF_Data(), Table_SourceData_Feedlot_MCF[[#Headers],[Treatment stage T]], 0)</f>
        <v>0</v>
      </c>
      <c r="J92" s="39" cm="1">
        <f t="array" ref="J92">Common_InputFunctions.Utility_DisplayArrayInTable(SourceData_Feedlot.SourceData_Feedlot_MCF_Data(), Table_SourceData_Feedlot_MCF[[#Headers],[Treatment stage T]], 0)</f>
        <v>0</v>
      </c>
      <c r="K92" s="39" cm="1">
        <f t="array" ref="K92">Common_InputFunctions.Utility_DisplayArrayInTable(SourceData_Feedlot.SourceData_Feedlot_MCF_Data(), Table_SourceData_Feedlot_MCF[[#Headers],[Treatment stage T]], 0)</f>
        <v>0</v>
      </c>
      <c r="L92" s="39" cm="1">
        <f t="array" ref="L92">Common_InputFunctions.Utility_DisplayArrayInTable(SourceData_Feedlot.SourceData_Feedlot_MCF_Data(), Table_SourceData_Feedlot_MCF[[#Headers],[Treatment stage T]], 0)</f>
        <v>0</v>
      </c>
      <c r="M92" s="39" cm="1">
        <f t="array" ref="M92">Common_InputFunctions.Utility_DisplayArrayInTable(SourceData_Feedlot.SourceData_Feedlot_MCF_Data(), Table_SourceData_Feedlot_MCF[[#Headers],[Treatment stage T]], 0)</f>
        <v>0</v>
      </c>
      <c r="N92" s="39"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9" t="str" cm="1">
        <f t="array" ref="E93">Common_InputFunctions.Utility_DisplayArrayInTable(SourceData_Feedlot.SourceData_Feedlot_MCF_Data(), Table_SourceData_Feedlot_MCF[[#Headers],[Treatment stage T]], 0)</f>
        <v>Uncovered anaerobic lagoon (Effluent pond)</v>
      </c>
      <c r="F93" s="39" cm="1">
        <f t="array" ref="F93">Common_InputFunctions.Utility_DisplayArrayInTable(SourceData_Feedlot.SourceData_Feedlot_MCF_Data(), Table_SourceData_Feedlot_MCF[[#Headers],[Treatment stage T]], 0)</f>
        <v>0.75</v>
      </c>
      <c r="G93" s="39" cm="1">
        <f t="array" ref="G93">Common_InputFunctions.Utility_DisplayArrayInTable(SourceData_Feedlot.SourceData_Feedlot_MCF_Data(), Table_SourceData_Feedlot_MCF[[#Headers],[Treatment stage T]], 0)</f>
        <v>0.75</v>
      </c>
      <c r="H93" s="39" cm="1">
        <f t="array" ref="H93">Common_InputFunctions.Utility_DisplayArrayInTable(SourceData_Feedlot.SourceData_Feedlot_MCF_Data(), Table_SourceData_Feedlot_MCF[[#Headers],[Treatment stage T]], 0)</f>
        <v>0.77</v>
      </c>
      <c r="I93" s="39" cm="1">
        <f t="array" ref="I93">Common_InputFunctions.Utility_DisplayArrayInTable(SourceData_Feedlot.SourceData_Feedlot_MCF_Data(), Table_SourceData_Feedlot_MCF[[#Headers],[Treatment stage T]], 0)</f>
        <v>0.77</v>
      </c>
      <c r="J93" s="39" cm="1">
        <f t="array" ref="J93">Common_InputFunctions.Utility_DisplayArrayInTable(SourceData_Feedlot.SourceData_Feedlot_MCF_Data(), Table_SourceData_Feedlot_MCF[[#Headers],[Treatment stage T]], 0)</f>
        <v>0.75</v>
      </c>
      <c r="K93" s="39" cm="1">
        <f t="array" ref="K93">Common_InputFunctions.Utility_DisplayArrayInTable(SourceData_Feedlot.SourceData_Feedlot_MCF_Data(), Table_SourceData_Feedlot_MCF[[#Headers],[Treatment stage T]], 0)</f>
        <v>0.75</v>
      </c>
      <c r="L93" s="39" cm="1">
        <f t="array" ref="L93">Common_InputFunctions.Utility_DisplayArrayInTable(SourceData_Feedlot.SourceData_Feedlot_MCF_Data(), Table_SourceData_Feedlot_MCF[[#Headers],[Treatment stage T]], 0)</f>
        <v>0.77</v>
      </c>
      <c r="M93" s="39" cm="1">
        <f t="array" ref="M93">Common_InputFunctions.Utility_DisplayArrayInTable(SourceData_Feedlot.SourceData_Feedlot_MCF_Data(), Table_SourceData_Feedlot_MCF[[#Headers],[Treatment stage T]], 0)</f>
        <v>0.75</v>
      </c>
      <c r="N93" s="39"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8" t="str" cm="1">
        <f t="array" ref="D98:D99">SourceData_Feedlot.SourceData_Feedlot_NitrousOxideEFs_Variation()</f>
        <v>VARIATION ON SOURCE:</v>
      </c>
      <c r="M98" s="24"/>
    </row>
    <row r="99" spans="4:14" ht="20.100000000000001" customHeight="1" x14ac:dyDescent="0.25">
      <c r="D99" s="58" t="str">
        <v>Added 'NIR definition' column with MMS names that match NIR definitions.</v>
      </c>
      <c r="M99" s="24"/>
    </row>
    <row r="100" spans="4:14" ht="20.100000000000001" customHeight="1" x14ac:dyDescent="0.25">
      <c r="D100" s="39" t="s">
        <v>107</v>
      </c>
      <c r="E100" s="39" t="s">
        <v>102</v>
      </c>
      <c r="F100" s="39" t="s">
        <v>143</v>
      </c>
      <c r="G100" s="39" t="s">
        <v>97</v>
      </c>
      <c r="M100" s="1"/>
      <c r="N100" s="24"/>
    </row>
    <row r="101" spans="4:14" ht="20.100000000000001" customHeight="1" x14ac:dyDescent="0.25">
      <c r="D101" s="39" t="str" cm="1">
        <f t="array" ref="D101">Common_InputFunctions.Utility_DisplayArrayInTable(SourceData_Feedlot.SourceData_Feedlot_NitrousOxideEFs_Data(), Table_SourceData_Feedlot_NO2EFs[[#Headers],[Treatment stage T]], 0)</f>
        <v>Primary</v>
      </c>
      <c r="E101" s="39" t="str" cm="1">
        <f t="array" ref="E101">Common_InputFunctions.Utility_DisplayArrayInTable(SourceData_Feedlot.SourceData_Feedlot_NitrousOxideEFs_Data(), Table_SourceData_Feedlot_NO2EFs[[#Headers],[Treatment stage T]], 0)</f>
        <v>Dry lot (Feedpad)</v>
      </c>
      <c r="F101" s="39" cm="1">
        <f t="array" ref="F101">Common_InputFunctions.Utility_DisplayArrayInTable(SourceData_Feedlot.SourceData_Feedlot_NitrousOxideEFs_Data(), Table_SourceData_Feedlot_NO2EFs[[#Headers],[Treatment stage T]], 0)</f>
        <v>5.4000000000000003E-3</v>
      </c>
      <c r="G101" s="39"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9" t="str" cm="1">
        <f t="array" ref="E102">Common_InputFunctions.Utility_DisplayArrayInTable(SourceData_Feedlot.SourceData_Feedlot_NitrousOxideEFs_Data(), Table_SourceData_Feedlot_NO2EFs[[#Headers],[Treatment stage T]], 0)</f>
        <v>Solid Storage (Stockpile)</v>
      </c>
      <c r="F102" s="39" cm="1">
        <f t="array" ref="F102">Common_InputFunctions.Utility_DisplayArrayInTable(SourceData_Feedlot.SourceData_Feedlot_NitrousOxideEFs_Data(), Table_SourceData_Feedlot_NO2EFs[[#Headers],[Treatment stage T]], 0)</f>
        <v>5.0000000000000001E-3</v>
      </c>
      <c r="G102" s="39"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9" t="str" cm="1">
        <f t="array" ref="E103">Common_InputFunctions.Utility_DisplayArrayInTable(SourceData_Feedlot.SourceData_Feedlot_NitrousOxideEFs_Data(), Table_SourceData_Feedlot_NO2EFs[[#Headers],[Treatment stage T]], 0)</f>
        <v>Composting (Passive Windrow)</v>
      </c>
      <c r="F103" s="39" cm="1">
        <f t="array" ref="F103">Common_InputFunctions.Utility_DisplayArrayInTable(SourceData_Feedlot.SourceData_Feedlot_NitrousOxideEFs_Data(), Table_SourceData_Feedlot_NO2EFs[[#Headers],[Treatment stage T]], 0)</f>
        <v>0.01</v>
      </c>
      <c r="G103" s="39"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9" t="str" cm="1">
        <f t="array" ref="E104">Common_InputFunctions.Utility_DisplayArrayInTable(SourceData_Feedlot.SourceData_Feedlot_NitrousOxideEFs_Data(), Table_SourceData_Feedlot_NO2EFs[[#Headers],[Treatment stage T]], 0)</f>
        <v>Direct Application to soil</v>
      </c>
      <c r="F104" s="39" cm="1">
        <f t="array" ref="F104">Common_InputFunctions.Utility_DisplayArrayInTable(SourceData_Feedlot.SourceData_Feedlot_NitrousOxideEFs_Data(), Table_SourceData_Feedlot_NO2EFs[[#Headers],[Treatment stage T]], 0)</f>
        <v>0</v>
      </c>
      <c r="G104" s="39"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9" t="str" cm="1">
        <f t="array" ref="E105">Common_InputFunctions.Utility_DisplayArrayInTable(SourceData_Feedlot.SourceData_Feedlot_NitrousOxideEFs_Data(), Table_SourceData_Feedlot_NO2EFs[[#Headers],[Treatment stage T]], 0)</f>
        <v>Uncovered anaerobic lagoon (Effluent Pond)</v>
      </c>
      <c r="F105" s="39" cm="1">
        <f t="array" ref="F105">Common_InputFunctions.Utility_DisplayArrayInTable(SourceData_Feedlot.SourceData_Feedlot_NitrousOxideEFs_Data(), Table_SourceData_Feedlot_NO2EFs[[#Headers],[Treatment stage T]], 0)</f>
        <v>0</v>
      </c>
      <c r="G105" s="39"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8" t="str" cm="1">
        <f t="array" ref="D110:D111">SourceData_Feedlot.SourceData_Feedlot_FracNVolatilised_Variation()</f>
        <v>VARIATION ON SOURCE:</v>
      </c>
      <c r="M110" s="24"/>
    </row>
    <row r="111" spans="4:14" ht="20.100000000000001" customHeight="1" x14ac:dyDescent="0.25">
      <c r="D111" s="58" t="str">
        <v>Added 'NIR definition' column with MMS names that match NIR definitions.</v>
      </c>
      <c r="M111" s="24"/>
    </row>
    <row r="112" spans="4:14" ht="20.100000000000001" customHeight="1" x14ac:dyDescent="0.25">
      <c r="D112" s="114" t="s">
        <v>107</v>
      </c>
      <c r="E112" s="114" t="s">
        <v>102</v>
      </c>
      <c r="F112" s="114" t="s">
        <v>144</v>
      </c>
      <c r="G112" s="114" t="s">
        <v>97</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7640-6DF1-4835-A544-C89E2377F216}">
  <dimension ref="A1:BY259"/>
  <sheetViews>
    <sheetView showGridLines="0" topLeftCell="A202"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75</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20</v>
      </c>
      <c r="E6" s="39" t="s">
        <v>21</v>
      </c>
      <c r="F6" s="39" t="s">
        <v>22</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23</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26</v>
      </c>
      <c r="E36" s="39" t="s">
        <v>27</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26</v>
      </c>
      <c r="E47" s="39" t="s">
        <v>29</v>
      </c>
      <c r="F47" s="39" t="s">
        <v>30</v>
      </c>
      <c r="G47" s="39" t="s">
        <v>31</v>
      </c>
      <c r="H47" s="39" t="s">
        <v>32</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9</v>
      </c>
      <c r="E63" s="39" t="s">
        <v>47</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9</v>
      </c>
      <c r="E89" s="39" t="s">
        <v>35</v>
      </c>
      <c r="F89" s="39" t="s">
        <v>36</v>
      </c>
      <c r="G89" s="39" t="s">
        <v>37</v>
      </c>
      <c r="H89" s="39" t="s">
        <v>38</v>
      </c>
      <c r="I89" s="39" t="s">
        <v>39</v>
      </c>
      <c r="J89" s="39" t="s">
        <v>40</v>
      </c>
      <c r="K89" s="39" t="s">
        <v>41</v>
      </c>
      <c r="L89" s="39" t="s">
        <v>42</v>
      </c>
      <c r="M89" s="39" t="s">
        <v>43</v>
      </c>
      <c r="N89" s="39" t="s">
        <v>44</v>
      </c>
      <c r="O89" s="39" t="s">
        <v>48</v>
      </c>
      <c r="P89" s="39" t="s">
        <v>45</v>
      </c>
      <c r="Q89" s="39" t="s">
        <v>49</v>
      </c>
      <c r="R89" s="39" t="s">
        <v>46</v>
      </c>
      <c r="S89" s="39" t="s">
        <v>50</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54</v>
      </c>
      <c r="E109" s="39" t="s">
        <v>35</v>
      </c>
      <c r="F109" s="39" t="s">
        <v>55</v>
      </c>
      <c r="G109" s="39" t="s">
        <v>56</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57</v>
      </c>
      <c r="E119" s="39" t="s">
        <v>58</v>
      </c>
      <c r="F119" s="39" t="s">
        <v>42</v>
      </c>
      <c r="G119" s="39" t="s">
        <v>43</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64</v>
      </c>
      <c r="E127" s="39" t="s">
        <v>65</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91</v>
      </c>
      <c r="E134" t="s">
        <v>92</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296</v>
      </c>
      <c r="E142" s="39" t="s">
        <v>92</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67</v>
      </c>
      <c r="E153" s="39" t="s">
        <v>68</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265</v>
      </c>
      <c r="E186" s="39" t="s">
        <v>266</v>
      </c>
      <c r="F186" s="39" t="s">
        <v>267</v>
      </c>
      <c r="G186" s="39" t="s">
        <v>268</v>
      </c>
      <c r="H186" s="39" t="s">
        <v>34</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9</v>
      </c>
      <c r="E206" s="39" t="s">
        <v>297</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299</v>
      </c>
      <c r="E212" s="39" t="s">
        <v>300</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51</v>
      </c>
      <c r="E231" s="39" t="s">
        <v>329</v>
      </c>
      <c r="F231" s="38" t="s">
        <v>330</v>
      </c>
      <c r="G231" s="39" t="s">
        <v>331</v>
      </c>
      <c r="H231" s="39" t="s">
        <v>332</v>
      </c>
      <c r="I231" s="39" t="s">
        <v>333</v>
      </c>
      <c r="J231" s="39" t="s">
        <v>334</v>
      </c>
      <c r="K231" s="39" t="s">
        <v>335</v>
      </c>
      <c r="L231" s="39" t="s">
        <v>336</v>
      </c>
      <c r="M231" s="39" t="s">
        <v>337</v>
      </c>
      <c r="N231" s="39" t="s">
        <v>338</v>
      </c>
      <c r="O231" s="39" t="s">
        <v>339</v>
      </c>
      <c r="P231" s="39" t="s">
        <v>340</v>
      </c>
      <c r="Q231" s="39" t="s">
        <v>314</v>
      </c>
      <c r="R231" s="39" t="s">
        <v>341</v>
      </c>
      <c r="S231" s="39" t="s">
        <v>342</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350</v>
      </c>
      <c r="E257" s="39" t="s">
        <v>351</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8" sqref="A1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77</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8" t="s">
        <v>78</v>
      </c>
      <c r="E9" s="39" t="s">
        <v>19</v>
      </c>
      <c r="F9" s="39" t="s">
        <v>79</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74</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HYPERLINK("#'4.1.1.1-2 Methane'!A1", "4.1.1.1-2 Methane")</f>
        <v>4.1.1.1-2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HYPERLINK("#'4.1.1.3-4 Direct N20'!A1", "4.1.1.3-4 Direct N2O")</f>
        <v>4.1.1.3-4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HYPERLINK("#'4.1.1.5-6 Atmos Deposition'!A1", "4.1.1.5-6 Atmospheric deposition")</f>
        <v>4.1.1.5-6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HYPERLINK("#'4.1.1.9 Manure applied to soils'!A1", "4.1.1.9 Manure applied to soils")</f>
        <v>4.1.1.9 Manure applied to soils</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8" t="s">
        <v>4</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Feedlot'!A1", "Constants - Feedlot")</f>
        <v>Constants - Feedlot</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71" t="str">
        <f>HYPERLINK("#'Constants - Livestock'!A1", "Constants - Livestock")</f>
        <v>Constants - Livestock</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Common'!A1", "Constants - Common")</f>
        <v>Constants - Common</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9" t="s">
        <v>76</v>
      </c>
    </row>
    <row r="17" spans="1:1" ht="20.100000000000001" customHeight="1" x14ac:dyDescent="0.25">
      <c r="A17" s="69" t="s">
        <v>72</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74</v>
      </c>
    </row>
    <row r="22" spans="1:1" ht="20.100000000000001" customHeight="1" x14ac:dyDescent="0.25">
      <c r="A22" s="69" t="s">
        <v>1</v>
      </c>
    </row>
    <row r="23" spans="1:1" ht="20.100000000000001" customHeight="1" x14ac:dyDescent="0.25">
      <c r="A23" s="69" t="s">
        <v>73</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9" t="s">
        <v>76</v>
      </c>
    </row>
    <row r="32" spans="1:1" ht="20.100000000000001" customHeight="1" x14ac:dyDescent="0.25">
      <c r="A32" s="69" t="s">
        <v>72</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9"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0ATQBTAF8ARgBlAGUAZABsAG8AdA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xACAATQBlAHQAaABvAGQAIAAxACAALQAgAE0AYQBuAHUAcgBlACAATQBlAHQAaABhAG4AZQ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7AEUAfQBfAHsAQwBIADQAfQA9AFwAXABzAHUAbQBfAHsAagB9AFwAXABzAHUAbQBfAHsAbQB9AFwAXABzAHUAbQBfAHsAVAB9ACgARABfAHsAagB9AFwAXAB0AGkAbQBlAHMAIABNAF8AewBqAG0AVAB9AFwAXAB0AGkAbQBlAHMAIABOAF8AewBqAH0AKQBcAFwAdABpAG0AZQBzADEAMABeAHsALQAzAH0AXABuAEQAXwBqACAAPQAgAGwAZQBuAGcAdABoACAAbwBmACAAcwB0AGEAeQAgAG8AZgAgAGUAYQBjAGgAIABjAGEAdAB0AGwAZQAgAGcAcgBvAHUAcAAgADoAIABkAGEAeQBzAFwAbgBNAF8AagBtAFQAIAA9ACAAbQBlAHQAaABhAG4AZQAgAHAAcgBvAGQAdQBjAHQAaQBvAG4AIABmAHIAbwBtACAAbQBhAG4AdQByAGUAIABwAGUAcgAgAGMAYQB0AHQAbABlACAAZwByAG8AdQBwACwAIABNAE0AUwAsACAAYQBuAGQAIAB0AHIAZQBhAHQAbQBlAG4AdAAgAHMAdABhAGcAZQAgADoAIABrAGcAIABDAEgANAAvAGgAZQBhAGQALwBkAGEAeQBcAG4ATgBfAGoAIAA9ACAAbgB1AG0AYgBlAHIAcwAgAG8AZgAgAGIAZQBlAGYAIABjAGEAdAB0AGwAZQAgAGkAbgAgAGUAYQBjAGgAIABnAHIAbwB1AHAAIAA6ACAAaABlAGEAZABcAG4ALQAtAC0ALQAtAC0ALQAtAC0ALQAtAC0ALQAtAC0ALQAtAC0ALQAtAC0ALQAtAC0ALQAtAC0ALQAtAC0ALQAtAC0ALQAtAC0ALQAtAFwAbgAqAC8AXABuAFwAbgBWAEUARQBSAEcAXwA0AF8AMQBfADEAXwAxAF8AXwAxAF8AVABvAHQAYQBsAEEAbgBuAHUAYQBsAE0AZQB0AGgAYQBuAGUARQBtAGkAcwBzAGkAbwBuAHMAXABuACAAIAA9AEwAQQBNAEIARABBACgAXABuACAAIAAgACAARABfAGoALAAgAE0AXwBqAG0AVAAsACAATgBfAGoALABcAG4AIAAgACAAIAAoAEQAXwBqACAAKgAgAE0AXwBqAG0AVAAgACoAIABOAF8AagApACAAKgAgADEAMAAgAF4AIAAtADMAXABuACAAIAApADsAXABuAFwAbgBWAEUARQBSAEcAXwA0AF8AM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EAXwAxAF8AMQBfAF8AMQBfAFQAbwB0AGEAbABBAG4AbgB1AGEAbABNAGUAdABoAGEAbgBlAEUAbQBpAHMAcwBpAG8AbgBzAF8AVgBhAHIAaQBhAGIAbABlAFwAbgAgACAAPQBMAEEATQBCAEQAQQAoAFwAIgBFAF8AQwBIADQAXAAiACkAOwBcAG4AXABuAFYARQBFAFIARwBfADQAXwAxAF8AMQBfADEAXwBfADEAXwBUAG8AdABhAGwAQQBuAG4AdQBhAGwATQBlAHQAaABhAG4AZQBFAG0AaQBzAHMAaQBvAG4AcwBfAFUAbgBpAHQAXABuACAAIAA9AEwAQQBNAEIARABBACgAXAAiAHQAIABDAEgANABcACIAKQA7AFwAbgBcAG4AVgBFAEUAUgBHAF8ANABfADEAXwAxAF8AMQBfAF8AMQBfAFQAbwB0AGEAbABBAG4AbgB1AGEAbABNAGUAdABoAGEAbgBlAEUAbQBpAHMAcwBpAG8AbgBzAF8AUwBvAHUAcgBjAGUAXABuACAAIAA9AEwAQQBNAEIARABBACgAXAAiAFYARQBFAFIARwAgADIAMAAyADYAOgAgADQALgAxAC4AMQAuADEALAAgAEUAcQB1AGEAdABpAG8AbgAgACgAMQApAFwAIgApADsAXABuAFwAbgBWAEUARQBSAEcAXwA0AF8AMQBfADEAXwAxAF8AXwAxAF8AVABvAHQAYQBsAEEAbgBuAHUAYQBsAE0AZQB0AGgAYQBuAGUARQBtAGkAcwBzAGkAbwBuAHMAXwBOAEkAUgBSAGUAZgBlAHIAZQBuAGMAZQBcAG4AIAAgAD0ATABBAE0AQgBEAEEAKABcACIAXAAiACkAOwBcAG4AXABuAFYARQBFAFIARwBfADQAXwAxAF8AMQBfADEAXwBfADEAXwBUAG8AdABhAGwAQQBuAG4AdQBhAGwATQBlAHQAaABhAG4AZQBFAG0AaQBzAHMAaQBvAG4AcwBfAEwAYQB0AGUAeABFAHEAdQBhAHQAaQBvAG4AXABuACAAIAA9AEwAQQBNAEIARABBACgAXAAiAHsARQB9AF8AewBDAEgANAB9AD0AXABcAHMAdQBtAF8AewBqAH0AXABcAHMAdQBtAF8AewBtAH0AXABcAHMAdQBtAF8AewBUAH0AKABEAF8AewBqAH0AXABcAHQAaQBtAGUAcwAgAE0AXwB7AGoAbQBUAH0AXABcAHQAaQBtAGUAcwAgAE4AXwB7AGoAfQApAFwAXAB0AGkAbQBlAHMAMQAwAF4AewAtADMAfQBcACIAKQA7AFwAbgBcAG4AVgBFAEUAUgBHAF8ANABfADE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FwAIgAsAFwAIgBsAGUAbgBnAHQAaAAgAG8AZgAgAHMAdABhAHkAIABvAGYAIABlAGEAYwBoACAAYwBhAHQAdABsAGUAIABnAHIAbwB1AHAAXAAiACwAIABcACIAZABhAHkAcwBcACIALAAgAFwAIgBJAG4AcAB1AHQAXAAiADsAXABuACAAIAAgACAAIAAgACAAIAAgACAAXAAiAE0AXwBqAG0AVABcACIALABcACIAbQBlAHQAaABhAG4AZQAgAHAAcgBvAGQAdQBjAHQAaQBvAG4AIABmAHIAbwBtACAAbQBhAG4AdQByAGUAIABwAGUAcgAgAGMAYQB0AHQAbABlACAAZwByAG8AdQBwACwAIABNAE0AUwAsACAAYQBuAGQAIAB0AHIAZQBhAHQAbQBlAG4AdAAgAHMAdABhAGcAZQBcACIALAAgAFwAIgBrAGcAIABDAEgANAAvAGgAZQBhAGQALwBkAGEAeQBcACIALAAgAFwAIgBDAGEAbABjAHUAbABhAHQAZQBkACAAZgByAG8AbQAgADQALgAxAC4AMQAuADEAIAAoADIAKQAoADMAKQAoADQAKQBcACIAOwBcAG4AIAAgACAAIAAgACAAIAAgACAAIABcACIATgBfAGoAXAAiACwAXAAiAG4AdQBtAGIAZQByAHMAIABvAGYAIABiAGUAZQBmACAAYwBhAHQAdABsAGUAIABpAG4AIABlAGEAYwBoACAAZwByAG8AdQBw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IAXwBTAHQAYQBnAGUAMQBNAGUAdABoAGEAbgBlAFAAcgBvAGQAdQBjAHQAaQBvAG4ARAByAHkAbABvAHQAXABuAFAAcgBvAGQAdQBjAHQAaQBvAG4AIABvAGYAIABtAGUAdABoAGEAbgBlACAAaQBuACAAdAByAGUAYQB0AG0AZQBuAHQAIABzAHQAYQBnAGUAIAAxACAATQBNAFMAXABuAE0AXwBqAG0ANQBUADEAXABuAGsAZwAgAEMASAA0AC8AaABlAGEAZAAvAGQAYQB5AFwAbgBNAF8AewBqAG0APQA1ACwAVAA9ADEAfQA9AFYAUwBfAHsAagB9AFwAXAB0AGkAbQBlAHMAIABCAE8AXABcAHQAaQBtAGUAcwAgAE0ATQBTAF8AewBtAD0ANQAsAFQAPQAxAH0AXABcAHQAaQBtAGUAcwAgAE0AQwBGAF8AewBpAG0APQA1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UAVAAxACAAPQAgAGYAcgBhAGMAdABpAG8AbgAgAG8AZgAgAG0AYQBuAHUAcgBlACAAaQBuACAAcAByAGkAbQBhAHIAeQAgAHMAeQBzAHQAZQBtACAAZAByAHkAbABvAHQAIABNAE0AUwAgADoAIABmAHIAYQBjAHQAaQBvAG4AXABuAE0AQwBGAF8AaQBtADUAIAA9ACAAbQBlAHQAaABhAG4AZQAgAGMAbwBuAHYAZQByAHMAaQBvAG4AIABmAGEAYwB0AG8AcgAgAGYAbwByACAAbQBlAGEAbgAgAGEAbgBuAHUAYQBsACAAdABlAG0AcABlAHIAYQB0AHUAc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F8AagAsACAAQgBPACwAIABNAE0AUwBfAG0ANQBUADEALAAgAE0AQwBGAF8AaQBtADUALAAgAHIAaABvACwAXABuACAAIAAgACAATABFAFQAKABcAG4AIAAgACAAIAAgACAATQBDAEYAXwBpAG0ANQAsACAASQBGACgASQBTAE4AVQBNAEIARQBSACgATQBDAEYAXwBpAG0ANQApACwAIABNAEMARgBfAGkAbQA1ACwAIAAwACkALABcAG4AIAAgACAAIAAgACAAVgBTAF8AagAgACoAIABCAE8AIAAqACAATQBNAFMAXwBtADUAVAAxACAAKgAgAE0AQwBGAF8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Xw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0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1AFQAMQBcACIALABcACIAZgByAGEAYwB0AGkAbwBuACAAbwBmACAAbQBhAG4AdQByAGUAIABpAG4AIABwAHIAaQBtAGEAcgB5ACAAcwB5AHMAdABlAG0AIABkAHIAeQBsAG8AdAAgAE0ATQBTAFwAIgAsACAAXAAiAGYAcgBhAGMAdABpAG8AbgBcACIALAAgAFwAIgBJAG4AcAB1AHQAXAAiADsAXABuACAAIAAgACAAIAAgACAAIAAgACAAXAAiAE0AQwBGAF8AaQBtADUAXAAiACwAXAAiAG0AZQB0AGgAYQBuAGUAIABjAG8AbgB2AGUAcgBzAGkAbwBuACAAZgBhAGMAdABvAHIAIABmAG8AcgAgAHMAdABhAHQAZQAgAGEAbgBkACAAZAByAHkAbABvAHQ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MgBfAFMAdABhAGcAZQAxAE0AZQB0AGgAYQBuAGUAUAByAG8AZAB1AGMAdABpAG8AbgBEAHIAeQBsAG8AdA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UAVAAxAFwAIgAsAFwAIgBmAHIAYQBjAHQAaQBvAG4AIABvAGYAIABtAGEAbgB1AHIAZQAgAGkAbgAgAHAAcgBpAG0AYQByAHkAIABzAHkAcwB0AGUAbQAgAGQAcgB5AGwAbwB0ACAATQBNAFMAXAAiACwAIABcACIAZgByAGEAYwB0AGkAbwBuAFwAIgAsACAAXAAiAEkAbgBwAHUAdABcACIAOwBcAG4AIAAgACAAIAAgACAAIAAgACAAIABcACIATQBDAEYAXwBpAG0ANQBcACIALABcACIAbQBlAHQAaABhAG4AZQAgAGMAbwBuAHYAZQByAHMAaQBvAG4AIABmAGEAYwB0AG8AcgAgAGYAbwByACAAcwB0AGEAdABlACAAYQBuAGQAIABkAHIAeQBsAG8Ad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fAGoAbQBUADIAXABuAGsAZwAgAEMASAA0AC8AaABlAGEAZAAvAGQAYQB5AFwAbgBNAF8AewBqAG0AVAA9ADIAfQA9ACgAMQAtAFYAUwBMACkAXABcAHQAaQBtAGUAcwAgAFYAUwBfAHsAagB9AFwAXAB0AGkAbQBlAHMAIABCAE8AXABcAHQAaQBtAGUAcwAgAE0ATQBTAF8AewBtAFQAPQAyAH0AXABcAHQAaQBtAGUAcwAgAE0AQwBGAF8AewBpAG0AfQBcAFwAdABpAG0AZQBzACAAXABcAHIAaABvAFwAbgBWAFMATAAgAD0AIABmAHIAYQBjAHQAaQBvAG4AIABvAGYAIAB2AG8AbABhAHQAaQBsAGUAIABzAG8AbABpAGQAcwAgAGwAbwBzAHQAIABkAHUAcgBpAG4AZwAgAHMAdABvAHIAYQBnAGUAIABpAG4AIAB0AGgAZQAgAHAAcgBpAG0AYQByAHkAIABzAHkAcwB0AGUAbQAgADoAIABmAHIAYQBjAHQAaQBvAG4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BUADIAIAA9ACAAZgByAGEAYwB0AGkAbwBuACAAbwBmACAAbQBhAG4AdQByAGUAIABpAG4AIABlAGEAYwBoACAAcwBlAGMAbwBuAGQAYQByAHkAIABzAHkAcwB0AGUAbQAgADoAIABmAHIAYQBjAHQAaQBvAG4AXABuAE0AQwBGAF8AaQBtACAAPQAgAG0AZQB0AGgAYQBuAGUAIABjAG8AbgB2AGUAcgBzAGkAbwBuACAAZgBhAGMAdABvAHIAIABmAG8AcgAgAG0AZQBhAG4AIABhAG4AbgB1AGEAbAAgAHQAZQBtAHAAZQByAGEAdAB1AHI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wBfAFMAdABhAGcAZQAyAE0AZQB0AGgAYQBuAGUAUAByAG8AZAB1AGMAdABpAG8AbgBcAG4AIAAgAD0ATABBAE0AQgBEAEEAKABcAG4AIAAgACAAIABWAFMATAAsACAAVgBTAF8AagAsACAAQgBPACwAIABNAE0AUwBfAG0AVAAyACwAIABNAEMARgBfAGkAbQAsACAAcgBoAG8ALABcAG4AIAAgACAAIAAoADEAIAAtACAAVgBTAEwAKQAgACoAIABWAFMAXwBqACAAKgAgAEIATwAgACoAIABNAE0AUwBfAG0AVAAyACAAKgAgAE0AQwBGAF8AaQBtACAAKgAgAHIAaABvAFwAbgAgACAAKQA7AFwAbgBcAG4AVgBFAEUAUgBHAF8ANABfADE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EAXwAxAF8AMQBfAF8AMwBfAFMAdABhAGcAZQAyAE0AZQB0AGgAYQBuAGUAUAByAG8AZAB1AGMAdABpAG8AbgBfAFYAYQByAGkAYQBiAGwAZQBcAG4AIAAgAD0ATABBAE0AQgBEAEEAKABcACIATQBfAGoAbQBUADIAXAAiACkAOwBcAG4AXABuAFYARQBFAFIARwBfADQAXwAxAF8AMQBfADEAXwBfADMAXwBTAHQAYQBnAGUAMgBNAGUAdABoAGEAbgBlAFAAcgBvAGQAdQBjAHQAaQBvAG4AXwBVAG4AaQB0AFwAbgAgACAAPQBMAEEATQBCAEQAQQAoAFwAIgBrAGcAIABDAEgANAAvAGgAZQBhAGQALwBkAGEAeQBcACIAKQA7AFwAbgBcAG4AVgBFAEUAUgBHAF8ANABfADEAXwAxAF8AMQBfAF8AMwBfAFMAdABhAGcAZQAyAE0AZQB0AGgAYQBuAGUAUAByAG8AZAB1AGMAdABpAG8AbgBfAFMAbwB1AHIAYwBlAFwAbgAgACAAPQBMAEEATQBCAEQAQQAoAFwAIgBWAEUARQBSAEcAIAAyADAAMgA2ADoAIAA0AC4AMQAuADEALgAxACwAIABFAHEAdQBhAHQAaQBvAG4AIAAoADMAKQBcACIAKQA7AFwAbgBcAG4AVgBFAEUAUgBHAF8ANABfADEAXwAxAF8AMQBfAF8AMwBfAFMAdABhAGcAZQAyAE0AZQB0AGgAYQBuAGUAUAByAG8AZAB1AGMAdABpAG8AbgBfAE4ASQBSAFIAZQBmAGUAcgBlAG4AYwBlAFwAbgAgACAAPQBMAEEATQBCAEQAQQAoAFwAIgBcACIAKQA7AFwAbgBcAG4AVgBFAEUAUgBHAF8ANABfADEAXwAxAF8AMQBfAF8AMwBfAFMAdABhAGcAZQAyAE0AZQB0AGgAYQBuAGUAUAByAG8AZAB1AGMAdABpAG8AbgBfAEwAYQB0AGUAeABFAHEAdQBhAHQAaQBvAG4AXABuACAAIAA9AEwAQQBNAEIARABBACgAXAAiAE0AXwB7AGoAbQBUAD0AMgB9AD0AKAAxAC0AVgBTAEwAKQBcAFwAdABpAG0AZQBzACAAVgBTAF8AewBqAH0AXABcAHQAaQBtAGUAcwAgAEIATwBcAFwAdABpAG0AZQBzACAATQBNAFMAXwB7AG0AVAA9ADIAfQBcAFwAdABpAG0AZQBzACAATQBDAEYAXwB7AGkAbQB9AFwAXAB0AGkAbQBlAHMAIABcAFwAcgBoAG8AXAAiACkAOwBcAG4AXABuAFYARQBFAFIARwBfADQAXwAxAF8AMQBfADEAXwBfADMAXwBTAHQAYQBnAGUAMgBNAGUAdABoAGEAbgBlAFAAcgBvAGQAdQBjAHQAaQBvAG4AXwBBAHIAZwB1AG0AZQBuAHQAcwBcAG4AIAAgAD0ATABBAE0AQgBEAEEAKABcAG4AIAAgACAAIABNAEEASwBFAEEAUgBSAEEAWQAoADcALAAgADQ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FwAIgAsACAAXAAiAGYAcgBhAGMAdABpAG8AbgBcACIALAAgAFwAIgBDAG8AbgBzAHQAYQBuAHQAXAAiAD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MAdABhAHQ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xAF8AMQBfADEAXwBfADMAXwBTAHQAYQBnAGUAMgBNAGUAdABoAGEAbgBlAFAAcgBvAGQAdQBjAHQAaQBvAG4AXwBBAHIAZwB1AG0AZQBuAHQAcwBfAE0AZQB0AGgAbwBkADIAXABuACAAIAA9AEwAQQBNAEIARABBACgAXABuACAAIAAgACAATQBBAEsARQBBAFIAUgBBAFkAKAA3ACwAIAA0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BcACIALAAgAFwAIgBmAHIAYQBjAHQAaQBvAG4AXAAiACwAIABcACIAQwBvAG4AcwB0AGEAbgB0AFwAIgA7AFwAbgAgACAAIAAgACAAIAAgACAAIAAgAFwAIgBWAFMAXwBqAFwAIgAsAFwAIgB2AG8AbABhAHQAaQBsAGUAIABzAG8AbABpAGQAIABwAHIAbwBkAHUAYwB0AGkAbwBuACAAZgByAG8AbQAgAGYAZQBlAGQAbABvAHQAIABjAGEAdAB0AGwAZQAgAGkAbgAgAGUAYQBjAGgAIABnAHIAbwB1AHA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tAGUAYQBuACAAYQBuAG4AdQBhAGwAIAB0AGUAbQBwAGUAcgBhAHQAdQBy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E0AZQBhAG4AIABhAG4AbgB1AGEAbAAgAHQAZQBtAHAAZQByAGEAdAB1AHI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ABfAFMAdABhAGcAZQAzAE0AZQB0AGgAYQBuAGUAUAByAG8AZAB1AGMAdABpAG8AbgBBAG4AYQBlAHIAbwBiAGkAYwBMAGEAZwBvAG8AbgBcAG4AUAByAG8AZAB1AGMAdABpAG8AbgAgAG8AZgAgAG0AZQB0AGgAYQBuAGUAIABpAG4AIAB0AHIAZQBhAHQAbQBlAG4AdAAgAHMAdABhAGcAZQAgADMAIABNAE0AUwBcAG4ATQBfAGoAbQAxAFQAMwBcAG4AawBnACAAQwBIADQALwBoAGUAYQBkAC8AZABhAHkAXABuAE0AXwB7AGoAbQA9ADEALABUAD0AMwB9AD0AVgBTAF8AewBqAH0AXABcAHQAaQBtAGUAcwAgAEIATwBcAFwAdABpAG0AZQBzACAATQBNAFMAXwB7AG0APQAxACwAVAA9ADMAfQBcAFwAdABpAG0AZQBzACAATQBDAEYAXwB7AGkAbQA9ADE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MQBUADMAIAA9ACAAZgByAGEAYwB0AGkAbwBuACAAbwBmACAAbQBhAG4AdQByAGUAIAB0AG8AIAB0AGUAcgB0AGkAYQByAHkAIABhAG4AYQBlAHIAbwBiAGkAYwAgAGwAYQBnAG8AbwBuACAAcwB5AHMAdABlAG0AIAA6ACAAZgByAGEAYwB0AGkAbwBuAFwAbgBNAEMARgBfAGkAbQAxACAAPQAgAG0AZQB0AGgAYQBuAGUAIABjAG8AbgB2AGUAcgBzAGkAbwBuACAAZgBhAGMAdABvAHIAIABmAG8AcgAgAG0AZQBhAG4AIABhAG4AbgB1AGEAbAAgAHQAZQBtAHAAZQByAGEAdAB1AHIAZQAgAGEAbgBkACAAYQBuAGEAZQByAG8AYgBpAGMAIABsAGEAZwBvAG8Abg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QAXwBTAHQAYQBnAGUAMwBNAGUAdABoAGEAbgBlAFAAcgBvAGQAdQBjAHQAaQBvAG4AQQBuAGEAZQByAG8AYgBpAGMATABhAGcAbwBvAG4AXABuACAAIAA9AEwAQQBNAEIARABBACgAXABuACAAIAAgACAAVgBTAF8AagAsACAAQgBPACwAIABNAE0AUwBfAG0AMQBUADMALAAgAE0AQwBGAF8AaQBtADEALAAgAHIAaABvACwAXABuACAAIAAgACAAVgBTAF8AagAgACoAIABCAE8AIAAqACAATQBNAFMAXwBtADEAVAAzACAAKgAgAE0AQwBGAF8AaQBtADEAIAAqACAAcgBoAG8AXABuACAAIAApADsAXABuAFwAbgBWAEUARQBSAEcAXwA0AF8AMQBfADEAXwAxAF8AXwA0AF8AUwB0AGEAZwBlADMATQBlAHQAaABhAG4AZQBQAHIAbwBkAHUAYwB0AGkAbwBuAEEAbgBhAGUAcgBvAGIAaQBjAEwAYQBnAG8AbwBuAF8AVABpAHQAbABlAFwAbgAgACAAPQBMAEEATQBCAEQAQQAoAFwAIgBQAHIAbwBkAHUAYwB0AGkAbwBuACAAbwBmACAAbQBlAHQAaABhAG4AZQAgAGkAbgAgAHQAcgBlAGEAdABtAGUAbgB0ACAAcwB0AGEAZwBlACAAMwAgAE0ATQBTAFwAIgApADsAXABuAFwAbgBWAEUARQBSAEcAXwA0AF8AMQBfADEAXwAxAF8AXwA0AF8AUwB0AGEAZwBlADMATQBlAHQAaABhAG4AZQBQAHIAbwBkAHUAYwB0AGkAbwBuAEEAbgBhAGUAcgBvAGIAaQBjAEwAYQBnAG8AbwBuAF8AVgBhAHIAaQBhAGIAbABlAFwAbgAgACAAPQBMAEEATQBCAEQAQQAoAFwAIgBNAF8AagBtADEAVAAzAFwAIgApADsAXABuAFwAbgBWAEUARQBSAEcAXwA0AF8AMQBfADEAXwAxAF8AXwA0AF8AUwB0AGEAZwBlADMATQBlAHQAaABhAG4AZQBQAHIAbwBkAHUAYwB0AGkAbwBuAEEAbgBhAGUAcgBvAGIAaQBjAEwAYQBnAG8AbwBuAF8AVQBuAGkAdABcAG4AIAAgAD0ATABBAE0AQgBEAEEAKABcACIAawBnACAAQwBIADQALwBoAGUAYQBkAC8AZABhAHkAXAAiACkAOwBcAG4AXABuAFYARQBFAFIARwBfADQAXwAxAF8AMQBfADEAXwBfADQAXwBTAHQAYQBnAGUAMwBNAGUAdABoAGEAbgBlAFAAcgBvAGQAdQBjAHQAaQBvAG4AQQBuAGEAZQByAG8AYgBpAGMATABhAGcAbwBvAG4AXwBTAG8AdQByAGMAZQBcAG4AIAAgAD0ATABBAE0AQgBEAEEAKABcACIAVgBFAEUAUgBHACAAMgAwADIANgA6ACAANAAuADEALgAxAC4AMQAsACAARQBxAHUAYQB0AGkAbwBuACAAKAA0ACkAXAAiACkAOwBcAG4AXABuAFYARQBFAFIARwBfADQAXwAxAF8AMQBfADEAXwBfADQAXwBTAHQAYQBnAGUAMwBNAGUAdABoAGEAbgBlAFAAcgBvAGQAdQBjAHQAaQBvAG4AQQBuAGEAZQByAG8AYgBpAGMATABhAGcAbwBvAG4AXwBOAEkAUgBSAGUAZgBlAHIAZQBuAGMAZQBcAG4AIAAgAD0ATABBAE0AQgBEAEEAKABcACIAXAAiACkAOwBcAG4AXABuAFYARQBFAFIARwBfADQAXwAxAF8AMQBfADEAXwBfADQAXwBTAHQAYQBnAGUAMwBNAGUAdABoAGEAbgBlAFAAcgBvAGQAdQBjAHQAaQBvAG4AQQBuAGEAZQByAG8AYgBpAGMATABhAGcAbwBvAG4AXwBMAGEAdABlAHgARQBxAHUAYQB0AGkAbwBuAFwAbgAgACAAPQBMAEEATQBCAEQAQQAoAFwAIgBNAF8AewBqAG0APQAxACwAVAA9ADMAfQA9AFYAUwBfAHsAagB9AFwAXAB0AGkAbQBlAHMAIABCAE8AXABcAHQAaQBtAGUAcwAgAE0ATQBTAF8AewBtAD0AMQAsAFQAPQAzAH0AXABcAHQAaQBtAGUAcwAgAE0AQwBGAF8AewBpAG0APQAxAH0AXABcAHQAaQBtAGUAcwAgAFwAXAByAGgAbwBcACIAKQA7AFwAbgBcAG4AVgBFAEUAUgBHAF8ANABfADEAXwAxAF8AMQBfAF8ANABfAFMAdABhAGcAZQAzAE0AZQB0AGgAYQBuAGUAUAByAG8AZAB1AGMAdABpAG8AbgBBAG4AYQBlAHIAbwBiAGkAYwBMAGEAZwBvAG8AbgBfAEEAcgBnAHUAbQBlAG4AdABz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EAVAAzAFwAIgAsAFwAIgBmAHIAYQBjAHQAaQBvAG4AIABvAGYAIABtAGEAbgB1AHIAZQAgAHQAbwAgAHQAZQByAHQAaQBhAHIAeQAgAGEAbgBhAGUAcgBvAGIAaQBjACAAbABhAGcAbwBvAG4AIABzAHkAcwB0AGUAbQBcACIALAAgAFwAIgBmAHIAYQBjAHQAaQBvAG4AXAAiACwAIABcACIASQBuAHAAdQB0AFwAIgA7AFwAbgAgACAAIAAgACAAIAAgACAAIAAgAFwAIgBNAEMARgBfAGkAbQAxAFwAIgAsAFwAIgBtAGUAdABoAGEAbgBlACAAYwBvAG4AdgBlAHIAcwBpAG8AbgAgAGYAYQBjAHQAbwByACAAZgBvAHIAIABzAHQAYQB0AGUAIABhAG4AZAAgAGEAbgBhAGUAcgBvAGIAaQBjACAAbABhAGcAbwBvAG4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NABfAFMAdABhAGcAZQAzAE0AZQB0AGgAYQBuAGUAUAByAG8AZAB1AGMAdABpAG8AbgBBAG4AYQBlAHIAbwBiAGkAYwBMAGEAZwBv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ag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xAFQAMwBcACIALABcACIAZgByAGEAYwB0AGkAbwBuACAAbwBmACAAbQBhAG4AdQByAGUAIAB0AG8AIAB0AGUAcgB0AGkAYQByAHkAIABhAG4AYQBlAHIAbwBiAGkAYwAgAGwAYQBnAG8AbwBuACAAcwB5AHMAdABlAG0AXAAiACwAIABcACIAZgByAGEAYwB0AGkAbwBuAFwAIgAsACAAXAAiAEkAbgBwAHUAdABcACIAOwBcAG4AIAAgACAAIAAgACAAIAAgACAAIABcACIATQBDAEYAXwBpAG0AMQBcACIALABcACIAbQBlAHQAaABhAG4AZQAgAGMAbwBuAHYAZQByAHMAaQBvAG4AIABmAGEAYwB0AG8AcgAgAGYAbwByACAAbQBlAGEAbgAgAGEAbgBuAHUAYQBsACAAdABlAG0AcABlAHIAYQB0AHUAcgBlACAAYQBuAGQAIABhAG4AYQBlAHIAbwBiAGkAYwAgAGwAYQBnAG8AbwBu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TQBlAGEAbgAgAGEAbgBuAHUAYQBsACAAdABlAG0AcABlAHIAYQB0AHUAc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XwBqAFwAbgBrAGcALwBoAGUAYQBkAC8AZABhAHkAXABuAFYAUwBfAHsAagB9AD0ASQBfAHsAagB9AFwAXAB0AGkAbQBlAHMAKAAxAC0ARABNAEQAXwB7AGoAfQApAFwAXAB0AGkAbQBlAHMAKAAxAC0AQQApAFwAbgBJAF8AagAgAD0AIABkAHIAeQAgAG0AYQB0AHQAZQByACAAaQBuAHQAYQBrAGUAIABmAG8AcgAgAGUAYQBjAGgAIABnAHIAbwB1AHAAIAA6ACAAawBnACAARABNAC8AaABlAGEAZAAvAGQAYQB5AFwAbgBEAE0ARABf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XwBqACwAIABEAE0ARABfAGoALAAgAEEALABcAG4AIAAgACAAIABJAF8AagAgACoAIAAoADEAIAAtACAARABNAEQAXw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f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BcACIAZAByAHkAIABtAGEAdAB0AGUAcgAgAGkAbgB0AGEAawBlACAAZgBvAHIAIABlAGEAYwBoACAAZwByAG8AdQBwACAAagBcACIALAAgAFwAIgBrAGcAIABEAE0ALwBoAGUAYQBkAC8AZABhAHkAXAAiACwAIABcACIASQBuAHAAdQB0AFwAIgA7AFwAbgAgACAAIAAgACAAIAAgACAAIAAgAFwAIgBEAE0ARABfAGoAXAAiACwAXAAiAGQAcgB5ACAAbQBhAHQAdABlAHIAIABkAGkAZwBlAHMAdABpAGIAaQBsAGkAdAB5ACAAZgBvAHIAIABlAGEAYwBoACAAZwByAG8AdQBwACAAagBcACIALAAgAFwAIgBmAHIAYQBjAHQAaQBvAG4AXAAiACwAIABcACIASQBuAHAAdQB0AFwAIgA7AFwAbgAgACAAIAAgACAAIAAgACAAIAAgAFwAIgBBAFwAIgAsAFwAIgBhAHMAaAAgAGMAbwBuAHQAZQBuAHQAIABvAGYAIABtAGEAbgB1AHIAZQBcACIALAAgAFwAIgBmAHIAYQBjAHQAaQBvAG4AXAAiACwAIABcACIAQwBvAG4AcwB0AGEAbgB0AFwAIgBcAG4AIAAgACAAIAAgACAAIAAgAH0ALAAgAHIALAAgAGMAKQBcAG4AIAAgACAAIAAgACAAKQBcAG4AIAAgACAAIAApAFwAbgAgACAAKQA7AFwAbgBcAG4AXABuAFwAbgBcAG4AXABuAFwAbgAiAH0ALAB7ACIAcABhAHQAaAAiADoAIgAvAHAAcgBvAGoAZQBjAHQAcwAvAE0ATQBTAF8ARgBlAGUAZABsAG8AdA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BcAFwAcwB1AG0AXwB7AFQAfQAoAE0ATgBfAHsAagBtAFQAPQAyACwAMwB9AFwAXAB0AGkAbQBlAHMAKAAxAC0ARQBGAF8AewBtAFQAPQAyACwAMwB9AC0ARgByAGEAYwBHAEEAUwBNAF8AewBtAFQAPQAyACwAMwB9ACkAKQBcAFwAdABpAG0AZQBzACAAUABG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EAXwBNAGEAcwBzAE8AZgBOAGkAdAByAG8AZwBlAG4AQQBwAHAAbABpAGUAZABUAG8AUwBvAGkAbABzAFMAYwBvAHAAZQAx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UABGAFwAbgAgACAAKQA7AFwAbgBcAG4AVgBFAEUAUgBHAF8ANABfADE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xAF8AMQBfADkAXwBfADEAXwBNAGEAcwBzAE8AZgBOAGkAdAByAG8AZwBlAG4AQQBwAHAAbABpAGUAZABUAG8AUwBvAGkAbABzAFMAYwBvAHAAZQAxAF8AVgBhAHIAaQBhAGIAbABlAFwAbgAgACAAPQBMAEEATQBCAEQAQQAoAFwAIgBNAE4AUwBvAGkAbABfAHMAYwBvAHAAZQAxAFwAIgApADsAXABuAFwAbgBWAEUARQBSAEcAXwA0AF8AMQBfADEAXwA5AF8AXwAxAF8ATQBhAHMAcwBPAGYATgBpAHQAcgBvAGcAZQBuAEEAcABwAGwAaQBlAGQAVABvAFMAbwBpAGwAcwBTAGMAbwBwAGUAMQBfAFUAbgBpAHQAXABuACAAIAA9AEwAQQBNAEIARABBACgAXAAiAGsAZwAgAE4AXAAiACkAOwBcAG4AXABuAFYARQBFAFIARwBfADQAXwAxAF8AMQBfADkAXwBfADEAXwBNAGEAcwBzAE8AZgBOAGkAdAByAG8AZwBlAG4AQQBwAHAAbABpAGUAZABUAG8AUwBvAGkAbABzAFMAYwBvAHAAZQAxAF8AUwBvAHUAcgBjAGUAXABuACAAIAA9AEwAQQBNAEIARABBACgAXAAiAFYARQBFAFIARwAgADIAMAAyADYAOgAgADQALgAxAC4AMQAuADkALAAgAEUAcQB1AGEAdABpAG8AbgAgACgAMQApAFwAIgApADsAXABuAFwAbgBWAEUARQBSAEcAXwA0AF8AMQBfADEAXwA5AF8AXwAxAF8ATQBhAHMAcwBPAGYATgBpAHQAcgBvAGcAZQBuAEEAcABwAGwAaQBlAGQAVABvAFMAbwBpAGwAcwBTAGMAbwBwAGUAMQBfAE4ASQBSAFIAZQBmAGUAcgBlAG4AYwBlAFwAbgAgACAAPQBMAEEATQBCAEQAQQAoAFwAIgBcACIAKQA7AFwAbgBcAG4AVgBFAEUAUgBHAF8ANABfADEAXwAxAF8AOQBfAF8AMQBfAE0AYQBzAHMATwBmAE4AaQB0AHIAbwBnAGUAbgBBAHAAcABsAGkAZQBkAFQAbwBTAG8AaQBsAHMAUwBjAG8AcABlADEAXwBMAGEAdABlAHgARQBxAHUAYQB0AGkAbwBuAFwAbgAgACAAPQBMAEEATQBCAEQAQQAoAFwAI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AiACkAOwBcAG4AXABuAFYARQBFAFIARwBfADQAXwAxAF8AMQBfADkAXwBfADEAXwBNAGEAcwBzAE8AZgBOAGkAdAByAG8AZwBlAG4AQQBwAHAAbABpAGUAZABUAG8AUwBvAGkAbABzAFMAYwBvAHAAZQAx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IAXwBNAGEAcwBzAE8AZgBOAGkAdAByAG8AZwBlAG4AQQBwAHAAbABpAGUAZABUAG8AUwBvAGkAbABzAFMAYwBvAHAAZQAz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KAAxACAALQAgAFAARgApAFwAbgAgACAAKQA7AFwAbgBcAG4AVgBFAEUAUgBHAF8ANABfADE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xAF8AMQBfADkAXwBfADIAXwBNAGEAcwBzAE8AZgBOAGkAdAByAG8AZwBlAG4AQQBwAHAAbABpAGUAZABUAG8AUwBvAGkAbABzAFMAYwBvAHAAZQAzAF8AVgBhAHIAaQBhAGIAbABlAFwAbgAgACAAPQBMAEEATQBCAEQAQQAoAFwAIgBNAE4AUwBvAGkAbABfAHMAYwBvAHAAZQAzAFwAIgApADsAXABuAFwAbgBWAEUARQBSAEcAXwA0AF8AMQBfADEAXwA5AF8AXwAyAF8ATQBhAHMAcwBPAGYATgBpAHQAcgBvAGcAZQBuAEEAcABwAGwAaQBlAGQAVABvAFMAbwBpAGwAcwBTAGMAbwBwAGUAMwBfAFUAbgBpAHQAXABuACAAIAA9AEwAQQBNAEIARABBACgAXAAiAGsAZwAgAE4AXAAiACkAOwBcAG4AXABuAFYARQBFAFIARwBfADQAXwAxAF8AMQBfADkAXwBfADIAXwBNAGEAcwBzAE8AZgBOAGkAdAByAG8AZwBlAG4AQQBwAHAAbABpAGUAZABUAG8AUwBvAGkAbABzAFMAYwBvAHAAZQAzAF8AUwBvAHUAcgBjAGUAXABuACAAIAA9AEwAQQBNAEIARABBACgAXAAiAFYARQBFAFIARwAgADIAMAAyADYAOgAgADQALgAxAC4AMQAuADkALAAgAEUAcQB1AGEAdABpAG8AbgAgACgAMgApAFwAIgApADsAXABuAFwAbgBWAEUARQBSAEcAXwA0AF8AMQBfADEAXwA5AF8AXwAyAF8ATQBhAHMAcwBPAGYATgBpAHQAcgBvAGcAZQBuAEEAcABwAGwAaQBlAGQAVABvAFMAbwBpAGwAcwBTAGMAbwBwAGUAMwBfAE4ASQBSAFIAZQBmAGUAcgBlAG4AYwBlAFwAbgAgACAAPQBMAEEATQBCAEQAQQAoAFwAIgBcACIAKQA7AFwAbgBcAG4AVgBFAEUAUgBHAF8ANABfADEAXwAxAF8AOQBfAF8AMgBfAE0AYQBzAHMATwBmAE4AaQB0AHIAbwBnAGUAbgBBAHAAcABsAGkAZQBkAFQAbwBTAG8AaQBsAHMAUwBjAG8AcABlADMAXwBMAGEAdABlAHgARQBxAHUAYQB0AGkAbwBuAFwAbgAgACAAPQBMAEEATQBCAEQAQQAoAFwAI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AiACkAOwBcAG4AXABuAFYARQBFAFIARwBfADQAXwAxAF8AMQBfADkAXwBfADIAXwBNAGEAcwBzAE8AZgBOAGkAdAByAG8AZwBlAG4AQQBwAHAAbABpAGUAZABUAG8AUwBvAGkAbABzAFMAYwBvAHAAZQAz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FwAbgAiAH0ALAB7ACIAcABhAHQAaAAiADoAIgAvAHAAcgBvAGoAZQBjAHQAcwAvAE0ATQBTAF8ARgBlAGUAZABsAG8Ad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NQAgAE0AZQB0AGgAbwBkACAAMQAgAC0AIABNAGEAbgB1AHIAZQAgAEEAdABtAG8AcwBwAGgAZQByAGkAYwAgAEQAZQBwAG8AcwBpAHQAaQBvAG4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UAXwBfADEAXwBUAG8AdABhAGwAQQBuAG4AdQBhAGwAQQB0AG0AbwBzAHAAaABlAHIAaQBjAEQAZQBwAG8AcwBpAHQAaQBvAG4ARQBtAGkAcwBzAGkAbwBuAH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1AF8AXwAxAF8AVABvAHQAYQBsAEEAbgBuAHUAYQBsAEEAdABtAG8AcwBwAGgAZQByAGkAYwBEAGUAcABvAHMAaQB0AGkAbwBuAEUAbQBpAHMAcwBpAG8AbgBz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EAXwAxAF8ANQBfAF8AMQBfAFQAbwB0AGEAbABBAG4AbgB1AGEAbABBAHQAbQBvAHMAcABoAGUAcgBpAGMARABlAHAAbwBzAGkAdABpAG8AbgBFAG0AaQBzAHMAaQBvAG4AcwBfAFQAaQB0AGwAZQBcAG4AIAAgAD0ATABBAE0AQgBEAEEAKABcACIAVABvAHQAYQBsACAAYQBuAG4AdQBhAGwAIABhAHQAbQBvAHMAcABoAGUAcgBpAGMAIABkAGUAcABvAHMAaQB0AGkAbwBuACAAZQBtAGkAcwBzAGkAbwBuAHMAIABmAHIAbwBtACAAbQBhAG4AdQByAGUAIABtAGEAbgBhAGcAZQBtAGUAbgB0AFwAIgApADsAXABuAFwAbgBWAEUARQBSAEcAXwA0AF8AMQBfADEAXwA1AF8AXwAxAF8AVABvAHQAYQBsAEEAbgBuAHUAYQBsAEEAdABtAG8AcwBwAGgAZQByAGkAYwBEAGUAcABvAHMAaQB0AGkAbwBuAEUAbQBpAHMAcwBpAG8AbgBzAF8AVgBhAHIAaQBhAGIAbABlAFwAbgAgACAAPQBMAEEATQBCAEQAQQAoAFwAIgBFAF8ATgAyAE8AYQBkAFwAIgApADsAXABuAFwAbgBWAEUARQBSAEcAXwA0AF8AMQBfADEAXwA1AF8AXwAxAF8AVABvAHQAYQBsAEEAbgBuAHUAYQBsAEEAdABtAG8AcwBwAGgAZQByAGkAYwBEAGUAcABvAHMAaQB0AGkAbwBuAEUAbQBpAHMAcwBpAG8AbgBzAF8AVQBuAGkAdABcAG4AIAAgAD0ATABBAE0AQgBEAEEAKABcACIAdAAgAE4AMgBPAFwAIgApADsAXABuAFwAbgBWAEUARQBSAEcAXwA0AF8AMQBfADEAXwA1AF8AXwAxAF8AVABvAHQAYQBsAEEAbgBuAHUAYQBsAEEAdABtAG8AcwBwAGgAZQByAGkAYwBEAGUAcABvAHMAaQB0AGkAbwBuAEUAbQBpAHMAcwBpAG8AbgBzAF8AUwBvAHUAcgBjAGUAXABuACAAIAA9AEwAQQBNAEIARABBACgAXAAiAFYARQBFAFIARwAgADIAMAAyADYAOgAgADQALgAxAC4AMQAuADUALAAgAEUAcQB1AGEAdABpAG8AbgAgACgAMQApAFwAIgApADsAXABuAFwAbgBWAEUARQBSAEcAXwA0AF8AMQBfADEAXwA1AF8AXwAxAF8AVABvAHQAYQBsAEEAbgBuAHUAYQBsAEEAdABtAG8AcwBwAGgAZQByAGkAYwBEAGUAcABvAHMAaQB0AGkAbwBuAEUAbQBpAHMAcwBpAG8AbgBzAF8ATgBJAFIAUgBlAGYAZQByAGUAbgBjAGUAXABuACAAIAA9AEwAQQBNAEIARABBACgAXAAiAFwAIgApADsAXABuAFwAbgBWAEUARQBSAEcAXwA0AF8AMQBfADEAXwA1AF8AXwAxAF8AVABvAHQAYQBsAEEAbgBuAHUAYQBsAEEAdABtAG8AcwBwAGgAZQByAGkAYwBEAGUAcABvAHMAaQB0AGkAbwBuAEUAbQBpAHMAcwBpAG8AbgBz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xAF8AMQBfADUAXwBfADEAXwBUAG8AdABhAGwAQQBuAG4AdQBhAGwAQQB0AG0AbwBzAHAAaABlAHIAaQBjAEQAZQBwAG8AcwBpAHQAaQBvAG4ARQBtAGkAcwBzAGkAbwBuAH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XAAiAG0AYQBzAHMAIABvAGYAIABOACAAdgBvAGwAYQB0AGkAbABpAHMAZQBkACAAZgByAG8AbQAgAE0ATQBTAFwAIgAsACAAXAAiAGsAZwAgAE4AXAAiACwAIABcACIAQwBhAGwAYwB1AGwAYQB0AGUAZAAgAGYAcgBvAG0AIAA0AC4AMQAuADEALgA1ACAAKAAyACkAXAAiADsAXABuACAAIAAgACAAIAAgACAAIAAgACAAXAAiAEUARgBfAE4AMgBPAFwAIgAs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UAXwBfADIAXwBWAG8AbABhAHQAaQBsAGkAcwBlAGQATgBpAHQAcgBvAGcAZQBuAEYAcgBvAG0ATQBhAG4AdQByAGUATQBhAG4AYQBnAGUAbQBlAG4AdABcAG4AVgBvAGwAYQB0AGkAbABpAHMAZQBkACAAbgBpAHQAcgBvAGcAZQBuACAAZgByAG8AbQAgAG0AYQBuAHUAcgBlACAAbQBhAG4AYQBnAGUAbQBlAG4AdA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GkAbgAgAGUAYQBjAGgAIAB0AHIAZQBhAHQAbQBlAG4AdAAgAHMAdABhAGcAZQAgAE0ATQBTACAAKABlAHgAYwBsAHUAZABpAG4AZwAgAE0ATgBfAGkAag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EAXwAxAF8ANQBfAF8AMgBfAFYAbwBsAGEAdABpAGwAaQBzAGUAZABOAGkAdAByAG8AZwBlAG4ARgByAG8AbQBNAGEAbgB1AHIAZQBNAGEAbgBhAGcAZQBtAGUAbgB0AFwAbgAgACAAPQBMAEEATQBCAEQAQQAoAFwAbgAgACAAIAAgAE0ATgBfAGoAbQBUACwAIABGAHIAYQBjAEcAQQBTAE0AXwBtAFQALABcAG4AIAAgACAAIABNAE4AXwBqAG0AVAAgACoAIABGAHIAYQBjAEcAQQBTAE0AXwBtAFQAXABuACAAIAApADsAXABuAFwAbgBWAEUARQBSAEcAXwA0AF8AMQBfADEAXwA1AF8AXwAyAF8AVgBvAGwAYQB0AGkAbABpAHMAZQBkAE4AaQB0AHIAbwBnAGUAbgBGAHIAbwBtAE0AYQBuAHUAcgBlAE0AYQBuAGEAZwBlAG0AZQBuAHQAXwBUAGkAdABsAGUAXABuACAAIAA9AEwAQQBNAEIARABBACgAXAAiAFYAbwBsAGEAdABpAGwAaQBzAGUAZAAgAG4AaQB0AHIAbwBnAGUAbgAgAGYAcgBvAG0AIABtAGEAbgB1AHIAZQAgAG0AYQBuAGEAZwBlAG0AZQBuAHQAXAAiACkAOwBcAG4AXABuAFYARQBFAFIARwBfADQAXwAxAF8AMQBfADUAXwBfADIAXwBWAG8AbABhAHQAaQBsAGkAcwBlAGQATgBpAHQAcgBvAGcAZQBuAEYAcgBvAG0ATQBhAG4AdQByAGUATQBhAG4AYQBnAGUAbQBlAG4AdABfAFYAYQByAGkAYQBiAGwAZQBcAG4AIAAgAD0ATABBAE0AQgBEAEEAKABcACIATQBNAFMAXwBBAFQATQBPAFMAXAAiACkAOwBcAG4AXABuAFYARQBFAFIARwBfADQAXwAxAF8AMQBfADUAXwBfADIAXwBWAG8AbABhAHQAaQBsAGkAcwBlAGQATgBpAHQAcgBvAGcAZQBuAEYAcgBvAG0ATQBhAG4AdQByAGUATQBhAG4AYQBnAGUAbQBlAG4AdABfAFUAbgBpAHQAXABuACAAIAA9AEwAQQBNAEIARABBACgAXAAiAGsAZwAgAE4AXAAiACkAOwBcAG4AXABuAFYARQBFAFIARwBfADQAXwAxAF8AMQBfADUAXwBfADIAXwBWAG8AbABhAHQAaQBsAGkAcwBlAGQATgBpAHQAcgBvAGcAZQBuAEYAcgBvAG0ATQBhAG4AdQByAGUATQBhAG4AYQBnAGUAbQBlAG4AdABfAFMAbwB1AHIAYwBlAFwAbgAgACAAPQBMAEEATQBCAEQAQQAoAFwAIgBWAEUARQBSAEcAIAAyADAAMgA2ADoAIAA0AC4AMQAuADEALgA1ACwAIABFAHEAdQBhAHQAaQBvAG4AIAAoADIAKQBcACIAKQA7AFwAbgBcAG4AVgBFAEUAUgBHAF8ANABfADEAXwAxAF8ANQBfAF8AMgBfAFYAbwBsAGEAdABpAGwAaQBzAGUAZABOAGkAdAByAG8AZwBlAG4ARgByAG8AbQBNAGEAbgB1AHIAZQBNAGEAbgBhAGcAZQBtAGUAbgB0AF8ATgBJAFIAUgBlAGYAZQByAGUAbgBjAGUAXABuACAAIAA9AEwAQQBNAEIARABBACgAXAAiAFwAIgApADsAXABuAFwAbgBWAEUARQBSAEcAXwA0AF8AMQBfADEAXwA1AF8AXwAyAF8AVgBvAGwAYQB0AGkAbABpAHMAZQBkAE4AaQB0AHIAbwBnAGUAbgBGAHIAbwBtAE0AYQBuAHUAcgBlAE0AYQBuAGEAZwBlAG0AZQBuAHQ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MQBfADEAXwA1AF8AXwAyAF8AVgBvAGwAYQB0AGkAbABpAHMAZQBkAE4AaQB0AHIAbwBnAGUAbgBGAHIAbwBtAE0AYQBuAHUAcgBlAE0AYQBuAGEAZwBlAG0AZQBuAHQAXwBBAHIAZwB1AG0AZQBuAHQAcwBcAG4AIAAgAD0ATABBAE0AQgBEAEEAKABcAG4AIAAgACAAIABNAEEASwBFAEEAUgBSAEEAWQAoADIALAAgADQALABcAG4AIAAgACAAIAAgACAATABBAE0AQgBEAEEAKAByACwAYwAsAFwAbgAgACAAIAAgACAAIAAgACAASQBOAEQARQBYACgAewBcAG4AIAAgACAAIAAgACAAIAAgACAAIABcACIATQBOAF8AagBtAFQAXAAiACwAXAAiAG4AaQB0AHIAbwBnAGUAbgAgAGkAbgAgAGUAYQBjAGgAIAB0AHIAZQBhAHQAbQBlAG4AdAAgAHMAdABhAGcAZQAgAE0ATQBTACAAKABlAHgAYwBsAHUAZABpAG4AZwAgAE0ATgBfAGkAagBtADEAMwBUADIAKQBcACIALAAgAFwAIgBrAGcAIABOAFwAIgAsACAAXAAiAEMAYQBsAGMAdQBsAGEAdABlAGQAIABmAHIAbwBtACAANAAuADEALgAxAC4AMwAgACgAMgApACgANgApACgAOAApAFwAIgA7AFwAbgAgACAAIAAgACAAIAAgACAAIAAgAFwAIgBGAHIAYQBjAEcAQQBTAE0AXwBtAFQAXAAiACw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EYAZQBlAGQAbABvAHQ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MAIABNAGUAdABoAG8AZAAgADEAIAAtACAATQBhAG4AdQByAGUAIABEAGkAcgBlAGMAdAAgAE4AMgBP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zAF8AXwAxAF8AVABvAHQAYQBsAEEAbgBuAHUAYQBsAEQAaQByAGUAYwB0AE4AaQB0AHIAbwB1AHMATwB4AGkAZABlAEUAbQBpAHMAcwBpAG8AbgBz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jAGEAdAB0AGwAZQAgAGcAcgBvAHUAcA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zAF8AXwAxAF8AVABvAHQAYQBsAEEAbgBuAHUAYQBsAEQAaQByAGUAYwB0AE4AaQB0AHIAbwB1AHMATwB4AGkAZABlAEUAbQBpAHMAcwBpAG8AbgBzAFwAbgAgACAAPQBMAEEATQBCAEQAQQAoAFwAbgAgACAAIAAgAE0ATgBfAGoAbQBUACwAIABFAEYAXwBqAG0ALAAgAEMAXwBOADIATwAsAFwAbgAgACAAIAAgAFMAVQBNAFAAUgBPAEQAVQBDAFQAKABNAE4AXwBqAG0AVAAsACAARQBGAF8AagBtACwAIABDAF8ATgAyAE8AKQAgACoAIAAxADAAIABeACAALQAzAFwAbgAgACAAKQA7AFwAbgBcAG4AVgBFAEUAUgBHAF8ANABfADEAXwAxAF8AMwBfAF8AMQBfAFQAbwB0AGEAbABBAG4AbgB1AGEAbABEAGkAcgBlAGMAdABOAGkAdAByAG8AdQBzAE8AeABpAGQAZQBFAG0AaQBzAHMAaQBvAG4Ac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QBfADEAXwAzAF8AXwAxAF8AVABvAHQAYQBsAEEAbgBuAHUAYQBsAEQAaQByAGUAYwB0AE4AaQB0AHIAbwB1AHMATwB4AGkAZABlAEUAbQBpAHMAcwBpAG8AbgBzAF8AVgBhAHIAaQBhAGIAbABlAFwAbgAgACAAPQBMAEEATQBCAEQAQQAoAFwAIgBFAF8ATgAyAE8AZABpAHIAXAAiACkAOwBcAG4AXABuAFYARQBFAFIARwBfADQAXwAxAF8AMQBfADMAXwBfADEAXwBUAG8AdABhAGwAQQBuAG4AdQBhAGwARABpAHIAZQBjAHQATgBpAHQAcgBvAHUAcwBPAHgAaQBkAGUARQBtAGkAcwBzAGkAbwBuAHMAXwBVAG4AaQB0AFwAbgAgACAAPQBMAEEATQBCAEQAQQAoAFwAIgB0ACAATgAyAE8AXAAiACkAOwBcAG4AXABuAFYARQBFAFIARwBfADQAXwAxAF8AMQBfADMAXwBfADEAXwBUAG8AdABhAGwAQQBuAG4AdQBhAGwARABpAHIAZQBjAHQATgBpAHQAcgBvAHUAcwBPAHgAaQBkAGUARQBtAGkAcwBzAGkAbwBuAHMAXwBTAG8AdQByAGMAZQBcAG4AIAAgAD0ATABBAE0AQgBEAEEAKABcACIAVgBFAEUAUgBHACAAMgAwADIANgA6ACAANAAuADEALgAxAC4AMwAsACAARQBxAHUAYQB0AGkAbwBuACAAKAAxACkAXAAiACkAOwBcAG4AXABuAFYARQBFAFIARwBfADQAXwAxAF8AMQBfADMAXwBfADEAXwBUAG8AdABhAGwAQQBuAG4AdQBhAGwARABpAHIAZQBjAHQATgBpAHQAcgBvAHUAcwBPAHgAaQBkAGUARQBtAGkAcwBzAGkAbwBuAHMAXwBOAEkAUgBSAGUAZgBlAHIAZQBuAGMAZQBcAG4AIAAgAD0ATABBAE0AQgBEAEEAKABcACIAXAAiACkAOwBcAG4AXABuAFYARQBFAFIARwBfADQAXwAxAF8AMQBfADMAXwBfADEAXwBUAG8AdABhAGwAQQBuAG4AdQBhAGwARABpAHIAZQBjAHQATgBpAHQAcgBvAHUAcwBPAHgAaQBkAGUARQBtAGkAcwBzAGkAbwBuAH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EAXwAxAF8AMwBfAF8AMQBfAFQAbwB0AGEAbABBAG4AbgB1AGEAbABEAGkAcgBlAGMAdABOAGkAdAByAG8AdQBzAE8AeABpAGQAZQBFAG0AaQBzAHMAaQBvAG4AcwBfAEEAcgBnAHUAbQBlAG4AdABzAFwAbgAgACAAPQBMAEEATQBCAEQAQQAoAFwAbgAgACAAIAAgAE0AQQBLAEUAQQBSAFIAQQBZACgAMwAsACAANAAsAFwAbgAgACAAIAAgACAAIABMAEEATQBCAEQAQQAoAHIALABjACwAXABuACAAIAAgACAAIAAgACAAIABJAE4ARABFAFgAKAB7AFwAbgAgACAAIAAgACAAIAAgACAAIAAgAFwAIgBNAE4AXwBqAG0AVABcACIALABcACIAbgBpAHQAcgBvAGcAZQBuACAAcABlAHIAIABjAGEAdAB0AGwAZQAgAGcAcgBvAHUAcAAsACAATQBNAFMAIABhAG4AZAAgAHQAcgBlAGEAdABtAGUAbgB0ACAAcwB0AGEAZwBlAFwAIgAsACAAXAAiAGsAZwAgAE4AXAAiACwAIABcACIAQwBhAGwAYwB1AGwAYQB0AGUAZAAgAGYAcgBvAG0AIAA0AC4AMQAuADEALgAzACAAKAAyACkAKAA2ACkAKAA4ACkAXAAiADsAXABuACAAIAAgACAAIAAgACAAIAAgACAAXAAiAEUARgBfAGoAbQBcACIALABcACIAbgBpAHQAcgBvAHUAcwAgAG8AeABpAGQAZQAgAGUAbQBpAHMAcwBpAG8AbgAgAGYAYQBjAHQAbwByACAAZgBvAHIAIABNAE0AUwBcACIAL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yAF8AUwB0AGEAZwBlADEATgBpAHQAcgBvAGcAZQBuAEkAbgBNAE0AUwBEAHIAeQBsAG8AdABcAG4ATgBpAHQAcgBvAGcAZQBuACAAaQBuACAAdAByAGUAYQB0AG0AZQBuAHQAIABzAHQAYQBnAGUAIAAxACAATQBNAFMAXABuAE0ATgBfAGoAbQA1AFQAMQBcAG4AawBnACAATgBcAG4ATQBOAF8AewBqAG0APQA1ACwAVAA9ADEAfQA9AEEARQBfAHsAagB9AFwAXAB0AGkAbQBlAHMAIABNAE0AUwBfAHsAagBtAD0ANQAsAFQAPQAxAH0AXABuAEEARQBfAGoAIAA9ACAAdABvAHQAYQBsACAAbgBpAHQAcgBvAGcAZQBuACAAZQB4AGMAcgBlAHQAZQBkACAAYgB5ACAAZQBhAGMAaAAgAGMAYQB0AHQAbABlACAAZwByAG8AdQBwACAAOgAgAGsAZwAgAE4AXABuAE0ATQBTAF8AagBtADUAVAAxACAAPQAgAGYAcgBhAGMAdABpAG8AbgAgAG8AZgAgAG0AYQBuAHUAcgBlACAAaQBuACAAcAByAGkAbQBhAHIAeQAgAHMAeQBzAHQAZQBtACAAZAByAHkAbABvAHQAIABNAE0AUwAgADoAIABmAHIAYQBjAHQAaQBvAG4AXABuAC0ALQAtAC0ALQAtAC0ALQAtAC0ALQAtAC0ALQAtAC0ALQAtAC0ALQAtAC0ALQAtAC0ALQAtAC0ALQAtAC0ALQAtAC0ALQAtAC0ALQBcAG4AKgAvAFwAbgBcAG4AVgBFAEUAUgBHAF8ANABfADEAXwAxAF8AMwBfAF8AMgBfAFMAdABhAGcAZQAxAE4AaQB0AHIAbwBnAGUAbgBJAG4ATQBNAFMARAByAHkAbABvAHQAXABuACAAIAA9AEwAQQBNAEIARABBACgAXABuACAAIAAgACAAQQBFAF8AagAsACAATQBNAFMAXwBqAG0ANQBUADEALABcAG4AIAAgACAAIABBAEUAXwBqACAAKgAgAE0ATQBTAF8AagBtADUAVAAxAFwAbgAgACAAKQA7AFwAbgBcAG4AVgBFAEUAUgBHAF8ANABfADEAXwAxAF8AMwBfAF8AMgBfAFMAdABhAGcAZQAxAE4AaQB0AHIAbwBnAGUAbgBJAG4ATQBNAFMARAByAHkAbABvAHQAXwBUAGkAdABsAGUAXABuACAAIAA9AEwAQQBNAEIARABBACgAXAAiAE4AaQB0AHIAbwBnAGUAbgAgAGkAbgAgAHQAcgBlAGEAdABtAGUAbgB0ACAAcwB0AGEAZwBlACAAMQAgAE0ATQBTAFwAIgApADsAXABuAFwAbgBWAEUARQBSAEcAXwA0AF8AMQBfADEAXwAzAF8AXwAyAF8AUwB0AGEAZwBlADEATgBpAHQAcgBvAGcAZQBuAEkAbgBNAE0AUwBEAHIAeQBsAG8AdABfAFYAYQByAGkAYQBiAGwAZQBcAG4AIAAgAD0ATABBAE0AQgBEAEEAKABcACIATQBOAF8AagBtADUAVAAxAFwAIgApADsAXABuAFwAbgBWAEUARQBSAEcAXwA0AF8AMQBfADEAXwAzAF8AXwAyAF8AUwB0AGEAZwBlADEATgBpAHQAcgBvAGcAZQBuAEkAbgBNAE0AUwBEAHIAeQBsAG8AdABfAFUAbgBpAHQAXABuACAAIAA9AEwAQQBNAEIARABBACgAXAAiAGsAZwAgAE4AXAAiACkAOwBcAG4AXABuAFYARQBFAFIARwBfADQAXwAxAF8AMQBfADMAXwBfADIAXwBTAHQAYQBnAGUAMQBOAGkAdAByAG8AZwBlAG4ASQBuAE0ATQBTAEQAcgB5AGwAbwB0AF8AUwBvAHUAcgBjAGUAXABuACAAIAA9AEwAQQBNAEIARABBACgAXAAiAFYARQBFAFIARwAgADIAMAAyADYAOgAgADQALgAxAC4AMQAuADMALAAgAEUAcQB1AGEAdABpAG8AbgAgACgAMgApAFwAIgApADsAXABuAFwAbgBWAEUARQBSAEcAXwA0AF8AMQBfADEAXwAzAF8AXwAyAF8AUwB0AGEAZwBlADEATgBpAHQAcgBvAGcAZQBuAEkAbgBNAE0AUwBEAHIAeQBsAG8AdABfAE4ASQBSAFIAZQBmAGUAcgBlAG4AYwBlAFwAbgAgACAAPQBMAEEATQBCAEQAQQAoAFwAIgBcACIAKQA7AFwAbgBcAG4AVgBFAEUAUgBHAF8ANABfADEAXwAxAF8AMwBfAF8AMgBfAFMAdABhAGcAZQAxAE4AaQB0AHIAbwBnAGUAbgBJAG4ATQBNAFMARAByAHkAbABvAHQAXwBMAGEAdABlAHgARQBxAHUAYQB0AGkAbwBuAFwAbgAgACAAPQBMAEEATQBCAEQAQQAoAFwAIgBNAE4AXwB7AGoAbQA9ADUALABUAD0AMQB9AD0AQQBFAF8AewBqAH0AXABcAHQAaQBtAGUAcwAgAE0ATQBTAF8AewBqAG0APQA1ACwAVAA9ADEAfQBcACIAKQA7AFwAbgBcAG4AVgBFAEUAUgBHAF8ANABfADEAXwAxAF8AMwBfAF8AMgBfAFMAdABhAGcAZQAxAE4AaQB0AHIAbwBnAGUAbgBJAG4ATQBNAFMARAByAHkAbABvAHQ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UAVAAxAFwAIgAsAFwAIgBmAHIAYQBjAHQAaQBvAG4AIABvAGYAIABtAGEAbgB1AHIAZQAgAGkAbgAgAHAAcgBpAG0AYQByAHkAIABzAHkAcwB0AGUAbQAgAGQAcgB5AGwAbwB0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zAF8AQQBuAG4AdQBhAGwATgBpAHQAcgBvAGcAZQBuAEUAeABjAHIAZQB0AGkAbwBuAFwAbgBBAG4AbgB1AGEAbAAgAG4AaQB0AHIAbwBnAGUAbgAgAGUAeABjAHIAZQB0AGkAbwBuACAAZgByAG8AbQAgAGUAYQBjAGgAIABmAGUAZQBkAGwAbwB0ACAAYwBhAHQAdABsAGUAIABnAHIAbwB1AHAAXABuAEEARQBfAGoAXABuAGsAZwAgAE4AXABuAEEARQBfAHsAagB9AD0ATgBfAHsAagB9AFwAXAB0AGkAbQBlAHMAIABOAEUAXwB7AGoAfQBcAFwAdABpAG0AZQBzACAARABfAHsAagB9AFwAbgBOAF8AagAgAD0AIABuAHUAbQBiAGUAcgAgAG8AZgAgAGMAYQB0AHQAbABlACAAaQBuACAAZQBhAGMAaAAgAGcAcgBvAHUAcAAgADoAIABoAGUAYQBkAFwAbgBOAEUAXwBqACAAPQAgAG4AaQB0AHIAbwBnAGUAbgAgAGUAeABjAHIAZQB0AGkAbwBuACAAOgAgAGsAZwAgAE4ALwBoAGUAYQBkAC8AZABhAHkAXABuAEQAXwBqACAAPQAgAGQAdQByAGEAdABpAG8AbgAgAG8AZgAgAHMAdABhAHkAIABvAGYAIABjAGEAdAB0AGwAZQAgAGcAcgBvAHUAcAAgADoAIABkAGEAeQBzAFwAbgAtAC0ALQAtAC0ALQAtAC0ALQAtAC0ALQAtAC0ALQAtAC0ALQAtAC0ALQAtAC0ALQAtAC0ALQAtAC0ALQAtAC0ALQAtAC0ALQAtAC0AXABuACoALwBcAG4AXABuAFYARQBFAFIARwBfADQAXwAxAF8AMQBfADMAXwBfADMAXwBBAG4AbgB1AGEAbABOAGkAdAByAG8AZwBlAG4ARQB4AGMAcgBlAHQAaQBvAG4AXABuACAAIAA9AEwAQQBNAEIARABBACgAXABuACAAIAAgACAATgBfAGoALAAgAE4ARQBfAGoALAAgAEQAXwBqACwAXABuACAAIAAgACAATgBfAGoAIAAqACAATgBFAF8AagAgACoAIABEAF8AagBcAG4AIAAgACkAOwBcAG4AXABuAFYARQBFAFIARwBfADQAXwAxAF8AMQBfADMAXwBfADMAXwBBAG4AbgB1AGEAbABOAGkAdAByAG8AZwBlAG4ARQB4AGMAcgBlAHQAaQBvAG4AXwBUAGkAdABsAGUAXABuACAAIAA9AEwAQQBNAEIARABBACgAXAAiAEEAbgBuAHUAYQBsACAAbgBpAHQAcgBvAGcAZQBuACAAZQB4AGMAcgBlAHQAaQBvAG4AIABmAHIAbwBtACAAZQBhAGMAaAAgAGYAZQBlAGQAbABvAHQAIABjAGEAdAB0AGwAZQAgAGcAcgBvAHUAcABcACIAKQA7AFwAbgBcAG4AVgBFAEUAUgBHAF8ANABfADEAXwAxAF8AMwBfAF8AMwBfAEEAbgBuAHUAYQBsAE4AaQB0AHIAbwBnAGUAbgBFAHgAYwByAGUAdABpAG8AbgBfAFYAYQByAGkAYQBiAGwAZQBcAG4AIAAgAD0ATABBAE0AQgBEAEEAKABcACIAQQBFAF8AagBcACIAKQA7AFwAbgBcAG4AVgBFAEUAUgBHAF8ANABfADEAXwAxAF8AMwBfAF8AMwBfAEEAbgBuAHUAYQBsAE4AaQB0AHIAbwBnAGUAbgBFAHgAYwByAGUAdABpAG8AbgBfAFUAbgBpAHQAXABuACAAIAA9AEwAQQBNAEIARABBACgAXAAiAGsAZwAgAE4AXAAiACkAOwBcAG4AXABuAFYARQBFAFIARwBfADQAXwAxAF8AMQBfADMAXwBfADMAXwBBAG4AbgB1AGEAbABOAGkAdAByAG8AZwBlAG4ARQB4AGMAcgBlAHQAaQBvAG4AXwBTAG8AdQByAGMAZQBcAG4AIAAgAD0ATABBAE0AQgBEAEEAKABcACIAVgBFAEUAUgBHACAAMgAwADIANgA6ACAANAAuADEALgAxAC4AMwAsACAARQBxAHUAYQB0AGkAbwBuACAAKAAzACkAXAAiACkAOwBcAG4AXABuAFYARQBFAFIARwBfADQAXwAxAF8AMQBfADMAXwBfADMAXwBBAG4AbgB1AGEAbABOAGkAdAByAG8AZwBlAG4ARQB4AGMAcgBlAHQAaQBvAG4AXwBOAEkAUgBSAGUAZgBlAHIAZQBuAGMAZQBcAG4AIAAgAD0ATABBAE0AQgBEAEEAKABcACIAXAAiACkAOwBcAG4AXABuAFYARQBFAFIARwBfADQAXwAxAF8AMQBfADMAXwBfADMAXwBBAG4AbgB1AGEAbABOAGkAdAByAG8AZwBlAG4ARQB4AGMAcgBlAHQAaQBvAG4AXwBMAGEAdABlAHgARQBxAHUAYQB0AGkAbwBuAFwAbgAgACAAPQBMAEEATQBCAEQAQQAoAFwAIgBBAEUAXwB7AGoAfQA9AE4AXwB7AGoAfQBcAFwAdABpAG0AZQBzACAATgBFAF8AewBqAH0AXABcAHQAaQBtAGUAcwAgAEQAXwB7AGoAfQBcACIAKQA7AFwAbgBcAG4AVgBFAEUAUgBHAF8ANABfADEAXwAxAF8AMwBfAF8AMw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cACIALABcACIAbgB1AG0AYgBlAHIAIABvAGYAIABjAGEAdAB0AGwAZQAgAGkAbgAgAGUAYQBjAGgAIABnAHIAbwB1AHAAXAAiACwAIABcACIAaABlAGEAZABcACIALAAgAFwAIgBJAG4AcAB1AHQAXAAiADsAXABuACAAIAAgACAAIAAgACAAIAAgACAAXAAiAE4ARQBfAGoAXAAiACwAXAAiAG4AaQB0AHIAbwBnAGUAbgAgAGUAeABjAHIAZQB0AGkAbwBuAFwAIgAsACAAXAAiAGsAZwAgAE4ALwBoAGUAYQBkAC8AZABhAHkAXAAiACwAIABcACIAQwBhAGwAYwB1AGwAYQB0AGUAZAAgAGYAcgBvAG0AIAA0AC4AMQAuADEALgAzACAAKAA0ACkAXAAiADsAXABuACAAIAAgACAAIAAgACAAIAAgACAAXAAiAEQAXwBqAFwAIgAsAFwAIgBkAHUAcgBhAHQAaQBvAG4AIABvAGYAIABzAHQAYQB5ACAAbwBmACAAYwBhAHQAdABs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ABfAE4AaQB0AHIAbwBnAGUAbgBFAHgAYwByAGUAdABpAG8AbgBQAGUAcgBIAGUAYQBkAFwAbgBOAGkAdAByAG8AZwBlAG4AIABlAHgAYwByAGUAdABpAG8AbgAgAHAAZQByACAAaABlAGEAZAAgAHAAZQByACAAZABhAHkAXABuAE4ARQBfAGoAXABuAGsAZwAgAE4ALwBoAGUAYQBkAC8AZABhAHkAXABuAE4ARQBfAHsAagB9AD0ATgBJAF8AewBqAH0AXABcAHQAaQBtAGUAcwAoADEALQBOAFIAXwB7AGoAfQApAFwAbgBOAEkAXwBqACAAPQAgAG4AaQB0AHIAbwBnAGUAbgAgAGkAbgB0AGEAawBlACAAOgAgAGsAZwAgAE4ALwBoAGUAYQBkAC8AZABhAHkAXABuAE4AUgBfAGo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EAXwAxAF8AMwBfAF8ANABfAE4AaQB0AHIAbwBnAGUAbgBFAHgAYwByAGUAdABpAG8AbgBQAGUAcgBIAGUAYQBkAFwAbgAgACAAPQBMAEEATQBCAEQAQQAoAFwAbgAgACAAIAAgAE4ASQBfAGoALAAgAE4AUgBfAGoALABcAG4AIAAgACAAIABOAEkAXwBqACAAKgAgACgAMQAgAC0AIABOAFIAXwBqACkAXABuACAAIAApADsAXABuAFwAbgBWAEUARQBSAEcAXwA0AF8AMQBfADEAXwAzAF8AXwA0AF8ATgBpAHQAcgBvAGcAZQBuAEUAeABjAHIAZQB0AGkAbwBuAFAAZQByAEgAZQBhAGQAXwBUAGkAdABsAGUAXABuACAAIAA9AEwAQQBNAEIARABBACgAXAAiAE4AaQB0AHIAbwBnAGUAbgAgAGUAeABjAHIAZQB0AGkAbwBuACAAcABlAHIAIABoAGUAYQBkACAAcABlAHIAIABkAGEAeQBcACIAKQA7AFwAbgBcAG4AVgBFAEUAUgBHAF8ANABfADEAXwAxAF8AMwBfAF8ANABfAE4AaQB0AHIAbwBnAGUAbgBFAHgAYwByAGUAdABpAG8AbgBQAGUAcgBIAGUAYQBkAF8AVgBhAHIAaQBhAGIAbABlAFwAbgAgACAAPQBMAEEATQBCAEQAQQAoAFwAIgBOAEUAXwBqAFwAIgApADsAXABuAFwAbgBWAEUARQBSAEcAXwA0AF8AMQBfADEAXwAzAF8AXwA0AF8ATgBpAHQAcgBvAGcAZQBuAEUAeABjAHIAZQB0AGkAbwBuAFAAZQByAEgAZQBhAGQAXwBVAG4AaQB0AFwAbgAgACAAPQBMAEEATQBCAEQAQQAoAFwAIgBrAGcAIABOAC8AaABlAGEAZAAvAGQAYQB5AFwAIgApADsAXABuAFwAbgBWAEUARQBSAEcAXwA0AF8AMQBfADEAXwAzAF8AXwA0AF8ATgBpAHQAcgBvAGcAZQBuAEUAeABjAHIAZQB0AGkAbwBuAFAAZQByAEgAZQBhAGQAXwBTAG8AdQByAGMAZQBcAG4AIAAgAD0ATABBAE0AQgBEAEEAKABcACIAVgBFAEUAUgBHACAAMgAwADIANgA6ACAANAAuADEALgAxAC4AMwAsACAARQBxAHUAYQB0AGkAbwBuACAAKAA0ACkAXAAiACkAOwBcAG4AXABuAFYARQBFAFIARwBfADQAXwAxAF8AMQBfADMAXwBfADQAXwBOAGkAdAByAG8AZwBlAG4ARQB4AGMAcgBlAHQAaQBvAG4AUABlAHIASABlAGEAZABfAE4ASQBSAFIAZQBmAGUAcgBlAG4AYwBlAFwAbgAgACAAPQBMAEEATQBCAEQAQQAoAFwAIgBcACIAKQA7AFwAbgBcAG4AVgBFAEUAUgBHAF8ANABfADEAXwAxAF8AMwBfAF8ANABfAE4AaQB0AHIAbwBnAGUAbgBFAHgAYwByAGUAdABpAG8AbgBQAGUAcgBIAGUAYQBkAF8ATABhAHQAZQB4AEUAcQB1AGEAdABpAG8AbgBcAG4AIAAgAD0ATABBAE0AQgBEAEEAKABcACIATgBFAF8AewBqAH0APQBOAEkAXwB7AGoAfQBcAFwAdABpAG0AZQBzACgAMQAtAE4AUgBfAHsAagB9ACkAXAAiACkAOwBcAG4AXABuAFYARQBFAFIARwBfADQAXwAxAF8AMQBfADMAXwBfADQAXwBOAGkAdAByAG8AZwBlAG4ARQB4AGMAcgBlAHQAaQBvAG4AUABlAHIASABlAGEAZABfAEEAcgBnAHUAbQBlAG4AdABzAFwAbgAgACAAPQBMAEEATQBCAEQAQQAoAFwAbgAgACAAIAAgAE0AQQBLAEUAQQBSAFIAQQBZACgAMgAsACAANAAsAFwAbgAgACAAIAAgACAAIABMAEEATQBCAEQAQQAoAHIALABjACwAXABuACAAIAAgACAAIAAgACAAIABJAE4ARABFAFgAKAB7AFwAbgAgACAAIAAgACAAIAAgACAAIAAgAFwAIgBOAEkAXwBqAFwAIgAsAFwAIgBuAGkAdAByAG8AZwBlAG4AIABpAG4AdABhAGsAZQBcACIALAAgAFwAIgBrAGcAIABOAC8AaABlAGEAZAAvAGQAYQB5AFwAIgAsACAAXAAiAEMAYQBsAGMAdQBsAGEAdABlAGQAIABmAHIAbwBtACAANAAuADEALgAxAC4AMwAgACgANQApAFwAIgA7AFwAbgAgACAAIAAgACAAIAAgACAAIAAgAFwAIgBOAFIAXwBqAFwAIgAsAFwAIgBuAGkAdAByAG8AZwBlAG4AIAByAGUAdABlAG4AdABpAG8AbgAgAGUAeABwAHIAZQBzAHMAZQBkACAAYQBzACAAYQAgAGYAcgBhAGMAdABpAG8AbgAgAG8AZgAgAGkAbgB0AGEAawBl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QBfAE4AaQB0AHIAbwBnAGUAbgBJAG4AdABhAGsAZQBcAG4ATgBpAHQAcgBvAGcAZQBuACAAaQBuAHQAYQBrAGUAIABvAGYAIABmAGUAZQBkAGwAbwB0ACAAYwBhAHQAdABsAGUAXABuAE4ASQBfAGoAXABuAGsAZwAgAE4ALwBoAGUAYQBkAC8AZABhAHkAXABuAE4ASQBfAHsAagB9AD0ASQBfAHsAagB9AFwAXAB0AGkAbQBlAHMAIABDAFAAXwB7AGoAfQBcAFwAZABpAHYAIAA2AC4AMgA1AFwAbgBJAF8AagAgAD0AIABkAHIAeQAgAG0AYQB0AHQAZQByACAAaQBuAHQAYQBrAGUAIAA6ACAAawBnACAARABNAC8AaABlAGEAZAAvAGQAYQB5AFwAbgBDAFAAXwBq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EAXwAxAF8AMwBfAF8ANQBfAE4AaQB0AHIAbwBnAGUAbgBJAG4AdABhAGsAZQBcAG4AIAAgAD0ATABBAE0AQgBEAEEAKABcAG4AIAAgACAAIABJAF8AagAsACAAQwBQAF8AagAsAFwAbgAgACAAIAAgAEkAXwBqACAAKgAgAEMAUABfAGoAIAAvACAANgAuADIANQBcAG4AIAAgACkAOwBcAG4AXABuAFYARQBFAFIARwBfADQAXwAxAF8AMQBfADMAXwBfADUAXwBOAGkAdAByAG8AZwBlAG4ASQBuAHQAYQBrAGUAXwBUAGkAdABsAGUAXABuACAAIAA9AEwAQQBNAEIARABBACgAXAAiAE4AaQB0AHIAbwBnAGUAbgAgAGkAbgB0AGEAawBlACAAbwBmACAAZgBlAGUAZABsAG8AdAAgAGMAYQB0AHQAbABlAFwAIgApADsAXABuAFwAbgBWAEUARQBSAEcAXwA0AF8AMQBfADEAXwAzAF8AXwA1AF8ATgBpAHQAcgBvAGcAZQBuAEkAbgB0AGEAawBlAF8AVgBhAHIAaQBhAGIAbABlAFwAbgAgACAAPQBMAEEATQBCAEQAQQAoAFwAIgBOAEkAXwBqAFwAIgApADsAXABuAFwAbgBWAEUARQBSAEcAXwA0AF8AMQBfADEAXwAzAF8AXwA1AF8ATgBpAHQAcgBvAGcAZQBuAEkAbgB0AGEAawBlAF8AVQBuAGkAdABcAG4AIAAgAD0ATABBAE0AQgBEAEEAKABcACIAawBnACAATgAvAGgAZQBhAGQALwBkAGEAeQBcACIAKQA7AFwAbgBcAG4AVgBFAEUAUgBHAF8ANABfADEAXwAxAF8AMwBfAF8ANQBfAE4AaQB0AHIAbwBnAGUAbgBJAG4AdABhAGsAZQBfAFMAbwB1AHIAYwBlAFwAbgAgACAAPQBMAEEATQBCAEQAQQAoAFwAIgBWAEUARQBSAEcAIAAyADAAMgA2ADoAIAA0AC4AMQAuADEALgAzACwAIABFAHEAdQBhAHQAaQBvAG4AIAAoADUAKQBcACIAKQA7AFwAbgBcAG4AVgBFAEUAUgBHAF8ANABfADEAXwAxAF8AMwBfAF8ANQBfAE4AaQB0AHIAbwBnAGUAbgBJAG4AdABhAGsAZQBfAE4ASQBSAFIAZQBmAGUAcgBlAG4AYwBlAFwAbgAgACAAPQBMAEEATQBCAEQAQQAoAFwAIgBcACIAKQA7AFwAbgBcAG4AVgBFAEUAUgBHAF8ANABfADEAXwAxAF8AMwBfAF8ANQBfAE4AaQB0AHIAbwBnAGUAbgBJAG4AdABhAGsAZQBfAEwAYQB0AGUAeABFAHEAdQBhAHQAaQBvAG4AXABuACAAIAA9AEwAQQBNAEIARABBACgAXAAiAE4ASQBfAHsAagB9AD0ASQBfAHsAagB9AFwAXAB0AGkAbQBlAHMAIABDAFAAXwB7AGoAfQBcAFwAZABpAHYAIAA2AC4AMgA1AFwAIgApADsAXABuAFwAbgBWAEUARQBSAEcAXwA0AF8AMQBfADEAXwAzAF8AXwA1AF8ATgBpAHQAcgBvAGcAZQBuAEkAbgB0AGEAawBlAF8AQQByAGcAdQBtAGUAbgB0AHMAXABuACAAIAA9AEwAQQBNAEIARABBACgAXABuACAAIAAgACAATQBBAEsARQBBAFIAUgBBAFkAKAAzACwAIAA0ACwAXABuACAAIAAgACAAIAAgAEwAQQBNAEIARABBACgAcgAsAGMALABcAG4AIAAgACAAIAAgACAAIAAgAEkATgBEAEUAWAAoAHsAXABuACAAIAAgACAAIAAgACAAIAAgACAAXAAiAEkAXwBqAFwAIgAsAFwAIgBkAHIAeQAgAG0AYQB0AHQAZQByACAAaQBuAHQAYQBrAGUAXAAiACwAIABcACIAawBnACAARABNAC8AaABlAGEAZAAvAGQAYQB5AFwAIgAsACAAXAAiAEkAbgBwAHUAdABcACIAOwBcAG4AIAAgACAAIAAgACAAIAAgACAAIABcACIAQwBQAF8AagBcACIALABcACIAYwByAHUAZABlACAAcAByAG8AdABlAGkAbgAgAGMAbwBuAHQAZQBuAHQAIABvAGYAIABmAGUAZQBkAFwAIgAsACAAXAAiAGYAcgBhAGMAdABpAG8AbgBcACIALAAgAFwAIgBJAG4AcAB1AHQAXAAiADsAXABuACAAIAAgACAAIAAgACAAIAAgACAAXAAiADYALgAyADUAXAAiACwAXAAiAGYAYQBjAHQAbwByACAAZgBvAHIAIABjAG8AbgB2AGUAcgB0AGkAbgBnACAAYwByAHUAZABlACAAcAByAG8AdABlAGkAbgAgAGkAbgB0AG8AIABuAGkAdAByAG8AZwBlAG4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OgAgAGsAZwAgAE4AXABuAE0ATQBTAF8AagBtAFQAMgAgAD0AIABmAHIAYQBjAHQAaQBvAG4AIABvAGYAIABtAGEAbgB1AHIAZQAgAGkAbgAgAGUAYQBjAGgAIABzAGUAYwBvAG4AZABhAHIAeQAgAHMAeQBzAHQAZQBtACAAOgAgAGYAcgBhAGMAdABpAG8AbgBcAG4ALQAtAC0ALQAtAC0ALQAtAC0ALQAtAC0ALQAtAC0ALQAtAC0ALQAtAC0ALQAtAC0ALQAtAC0ALQAtAC0ALQAtAC0ALQAtAC0ALQAtAFwAbgAqAC8AXABuAFwAbgBWAEUARQBSAEcAXwA0AF8AM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xAF8AMQBfADMAXwBfADYAXwBTAHQAYQBnAGUAMgBOAGkAdAByAG8AZwBlAG4ASQBuAE0ATQBTAF8AVABpAHQAbABlAFwAbgAgACAAPQBMAEEATQBCAEQAQQAoAFwAIgBOAGkAdAByAG8AZwBlAG4AIABpAG4AIAB0AHIAZQBhAHQAbQBlAG4AdAAgAHMAdABhAGcAZQAgADIAIABNAE0AUwBcACIAKQA7AFwAbgBcAG4AVgBFAEUAUgBHAF8ANABfADEAXwAxAF8AMwBfAF8ANgBfAFMAdABhAGcAZQAyAE4AaQB0AHIAbwBnAGUAbgBJAG4ATQBNAFMAXwBWAGEAcgBpAGEAYgBsAGUAXABuACAAIAA9AEwAQQBNAEIARABBACgAXAAiAE0ATgBfAGoAbQBUADIAXAAiACkAOwBcAG4AXABuAFYARQBFAFIARwBfADQAXwAxAF8AMQBfADMAXwBfADYAXwBTAHQAYQBnAGUAMgBOAGkAdAByAG8AZwBlAG4ASQBuAE0ATQBTAF8AVQBuAGkAdABcAG4AIAAgAD0ATABBAE0AQgBEAEEAKABcACIAawBnACAATgBcACIAKQA7AFwAbgBcAG4AVgBFAEUAUgBHAF8ANABfADEAXwAxAF8AMwBfAF8ANgBfAFMAdABhAGcAZQAyAE4AaQB0AHIAbwBnAGUAbgBJAG4ATQBNAFMAXwBTAG8AdQByAGMAZQBcAG4AIAAgAD0ATABBAE0AQgBEAEEAKABcACIAVgBFAEUAUgBHACAAMgAwADIANgA6ACAANAAuADEALgAxAC4AMwAsACAARQBxAHUAYQB0AGkAbwBuACAAKAA2ACkAXAAiACkAOwBcAG4AXABuAFYARQBFAFIARwBfADQAXwAxAF8AMQBfADMAXwBfADYAXwBTAHQAYQBnAGUAMgBOAGkAdAByAG8AZwBlAG4ASQBuAE0ATQBTAF8ATgBJAFIAUgBlAGYAZQByAGUAbgBjAGUAXABuACAAIAA9AEwAQQBNAEIARABBACgAXAAiAFwAIgApADsAXABuAFwAbgBWAEUARQBSAEcAXwA0AF8AM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x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XAAiAG4AaQB0AHIAbwBnAGUAbgAgAHQAcgBhAG4AcwBmAGUAcgByAGUAZAAgAHQAbwAgAHMAZQBjAG8AbgBkAGEAcgB5ACAAdAByAGUAYQB0AG0AZQBuAHQAIABNAE0AUwBcACIALAAgAFwAIgBrAGcAIABOAFwAIgAsACAAXAAiAEMAYQBsAGMAdQBsAGEAdABlAGQAIABmAHIAbwBtACAANAAuADEALgAxAC4AMwAgACgANwApAFwAIgA7AFwAbgAgACAAIAAgACAAIAAgACAAIAAgAFwAIgBNAE0AUwBfAGoAbQBUADIAXAAiACw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3AF8ATgBpAHQAcgBvAGcAZQBuAFQAcgBhAG4AcwBmAGUAcgByAGUAZABUAG8AUwB0AGEAZwBlADIAXABuAE4AaQB0AHIAbwBnAGUAbgAgAHQAcgBhAG4AcwBmAGUAcgByAGUAZAAgAHQAbwAgAHQAcgBlAGEAdABtAGUAbgB0ACAAcwB0AGEAZwBlACAAMgAgAE0ATQBTAFwAbgBOAFQAXwBqAG0AVAAyAFwAbgBrAGcAIABOAFwAbgBOAFQAXwB7AGoAbQAsAFQAPQAyAH0APQAoAE0ATgBfAHsAagBtAD0ANQAsAFQAPQAxAH0AXABcAHQAaQBtAGUAcwAoADEALQBGAHIAYQBjAEcAQQBTAE0AXwB7AG0APQA1AH0ALQBFAEYAXwB7AG0APQA1AH0AKQApAC0ATQBOAF8AewBqAG0ALABUAD0AMwB9AFwAbgBNAE4AXwBqAG0ANQBUADEAIAA9ACAAbgBpAHQAcgBvAGcAZQBuACAAaQBuACAATQBNAFMAIAB0AHIAZQBhAHQAbQBlAG4AdAAgAHMAdABhAGcAZQAgADEAIAA6ACAAawBnACAATgBcAG4ARgByAGEAYwBHAEEAUwBNAF8AbQA1ACAAPQAgAGYAcgBhAGMAdABpAG8AbgAgAG8AZgAgAE4AIAB2AG8AbABhAHQAaQBsAGkAcwBlAGQAIABmAHIAbwBtACAAZAByAHkAbABvAHQAIABNAE0AUwAgADoAIABmAHIAYQBjAHQAaQBvAG4AXABuAEUARgBfAG0ANQAgAD0AIABuAGkAdAByAG8AdQBzACAAbwB4AGkAZABlACAAZQBtAGkAcwBzAGkAbwBuACAAZgBhAGMAdABvAHIAIABmAG8AcgAgAGQAcgB5AGwAbwB0ACAATQBNAFMAIAA6ACAAawBnACAATgAyAE8ALQBOAC8AawBnACAATgAgAGQAZQBwAG8AcwBpAHQAZQBkAFwAbgBNAE4AXwBqAG0AVAAzACAAPQAgAG4AaQB0AHIAbwBnAGUAbgAgAGkAbgAgAE0ATQBTACAAdAByAGUAYQB0AG0AZQBuAHQAIABzAHQAYQBnAGUAIAAzACAAOgAgAGsAZwAgAE4AXABuAC0ALQAtAC0ALQAtAC0ALQAtAC0ALQAtAC0ALQAtAC0ALQAtAC0ALQAtAC0ALQAtAC0ALQAtAC0ALQAtAC0ALQAtAC0ALQAtAC0ALQBcAG4AKgAvAFwAbgBcAG4AVgBFAEUAUgBHAF8ANABfADEAXwAxAF8AMwBfAF8ANwBfAE4AaQB0AHIAbwBnAGUAbgBUAHIAYQBuAHMAZgBlAHIAcgBlAGQAVABvAFMAdABhAGcAZQAyAFwAbgAgACAAPQBMAEEATQBCAEQAQQAoAFwAbgAgACAAIAAgAE0ATgBfAGoAbQA1AFQAMQAsACAARgByAGEAYwBHAEEAUwBNAF8AbQA1ACwAIABFAEYAXwBtADUALAAgAE0ATgBfAGoAbQBUADMALABcAG4AIAAgACAAIAAoAE0ATgBfAGoAbQA1AFQAMQAgACoAIAAoADEAIAAtACAARgByAGEAYwBHAEEAUwBNAF8AbQA1ACAALQAgAEUARgBfAG0ANQApACkAIAAtACAATQBOAF8AagBtAFQAMwBcAG4AIAAgACkAOwBcAG4AXABuAFYARQBFAFIARwBfADQAXwAxAF8AMQBfADMAXwBfADcAXwBOAGkAdAByAG8AZwBlAG4AVAByAGEAbgBzAGYAZQByAHIAZQBkAFQAbwBTAHQAYQBnAGUAMgBfAFQAaQB0AGwAZQBcAG4AIAAgAD0ATABBAE0AQgBEAEEAKABcACIATgBpAHQAcgBvAGcAZQBuACAAdAByAGEAbgBzAGYAZQByAHIAZQBkACAAdABvACAAdAByAGUAYQB0AG0AZQBuAHQAIABzAHQAYQBnAGUAIAAyACAATQBNAFMAXAAiACkAOwBcAG4AXABuAFYARQBFAFIARwBfADQAXwAxAF8AMQBfADMAXwBfADcAXwBOAGkAdAByAG8AZwBlAG4AVAByAGEAbgBzAGYAZQByAHIAZQBkAFQAbwBTAHQAYQBnAGUAMgBfAFYAYQByAGkAYQBiAGwAZQBcAG4AIAAgAD0ATABBAE0AQgBEAEEAKABcACIATgBUAF8AagBtAFQAMgBcACIAKQA7AFwAbgBcAG4AVgBFAEUAUgBHAF8ANABfADEAXwAxAF8AMwBfAF8ANwBfAE4AaQB0AHIAbwBnAGUAbgBUAHIAYQBuAHMAZgBlAHIAcgBlAGQAVABvAFMAdABhAGcAZQAyAF8AVQBuAGkAdABcAG4AIAAgAD0ATABBAE0AQgBEAEEAKABcACIAawBnACAATgBcACIAKQA7AFwAbgBcAG4AVgBFAEUAUgBHAF8ANABfADEAXwAxAF8AMwBfAF8ANwBfAE4AaQB0AHIAbwBnAGUAbgBUAHIAYQBuAHMAZgBlAHIAcgBlAGQAVABvAFMAdABhAGcAZQAyAF8AUwBvAHUAcgBjAGUAXABuACAAIAA9AEwAQQBNAEIARABBACgAXAAiAFYARQBFAFIARwAgADIAMAAyADYAOgAgADQALgAxAC4AMQAuADMALAAgAEUAcQB1AGEAdABpAG8AbgAgACgANwApAFwAIgApADsAXABuAFwAbgBWAEUARQBSAEcAXwA0AF8AMQBfADEAXwAzAF8AXwA3AF8ATgBpAHQAcgBvAGcAZQBuAFQAcgBhAG4AcwBmAGUAcgByAGUAZABUAG8AUwB0AGEAZwBlADIAXwBOAEkAUgBSAGUAZgBlAHIAZQBuAGMAZQBcAG4AIAAgAD0ATABBAE0AQgBEAEEAKABcACIAXAAiACkAOwBcAG4AXABuAFYARQBFAFIARwBfADQAXwAxAF8AMQBfADMAXwBfADcAXwBOAGkAdAByAG8AZwBlAG4AVAByAGEAbgBzAGYAZQByAHIAZQBkAFQAbwBTAHQAYQBnAGUAMgBfAEwAYQB0AGUAeABFAHEAdQBhAHQAaQBvAG4AXABuACAAIAA9AEwAQQBNAEIARABBACgAXAAiAE4AVABfAHsAagBtACwAVAA9ADIAfQA9ACgATQBOAF8AewBqAG0APQA1ACwAVAA9ADEAfQBcAFwAdABpAG0AZQBzACgAMQAtAEYAcgBhAGMARwBBAFMATQBfAHsAbQA9ADUAfQAtAEUARgBfAHsAbQA9ADUAfQApACkALQBNAE4AXwB7AGoAbQAsAFQAPQAzAH0AXAAiACkAOwBcAG4AXABuAFYARQBFAFIARwBfADQAXwAxAF8AMQBfADMAXwBfADcAXwBOAGkAdAByAG8AZwBlAG4AVAByAGEAbgBzAGYAZQByAHIAZQBkAFQAbwBTAHQAYQBnAGUAMgBfAEEAcgBnAHUAbQBlAG4AdABzAFwAbgAgACAAPQBMAEEATQBCAEQAQQAoAFwAbgAgACAAIAAgAE0AQQBLAEUAQQBSAFIAQQBZACgANAAsACAANAAsAFwAbgAgACAAIAAgACAAIABMAEEATQBCAEQAQQAoAHIALABjACwAXABuACAAIAAgACAAIAAgACAAIABJAE4ARABFAFgAKAB7AFwAbgAgACAAIAAgACAAIAAgACAAIAAgAFwAIgBNAE4AXwBqAG0ANQBUADEAXAAiACwAXAAiAG4AaQB0AHIAbwBnAGUAbgAgAGkAbgAgAE0ATQBTACAAdAByAGUAYQB0AG0AZQBuAHQAIABzAHQAYQBnAGUAIAAxAFwAIgAsACAAXAAiAGsAZwAgAE4AXAAiACwAIABcACIAQwBhAGwAYwB1AGwAYQB0AGUAZAAgAGYAcgBvAG0AIAA0AC4AMQAuADEALgAzACAAKAAyACkAXAAiADsAXABuACAAIAAgACAAIAAgACAAIAAgACAAXAAiAEYAcgBhAGMARwBBAFMATQBfAG0ANQBcACIALABcACIAZgByAGEAYwB0AGkAbwBuACAAbwBmACAATgAgAHYAbwBsAGEAdABpAGwAaQBzAGUAZAAgAGYAcgBvAG0AIABkAHIAeQBsAG8AdAAgAE0ATQBTAFwAIgAsACAAXAAiAGYAcgBhAGMAdABpAG8AbgBcACIALAAgAFwAIgBDAG8AbgBzAHQAYQBuAHQAXAAiADsAXABuACAAIAAgACAAIAAgACAAIAAgACAAXAAiAEUARgBfAG0ANQBcACIALABcACIAbgBpAHQAcgBvAHUAcwAgAG8AeABpAGQAZQAgAGUAbQBpAHMAcwBpAG8AbgAgAGYAYQBjAHQAbwByACAAZgBvAHIAIABkAHIAeQBsAG8AdAAgAE0ATQBTAFwAIgAsACAAXAAiAGsAZwAgAE4AMgBPAC0ATgAvAGsAZwAgAE4AIABkAGUAcABvAHMAaQB0AGUAZABcACIALAAgAFwAIgBDAG8AbgBzAHQAYQBuAHQAXAAiADsAXABuACAAIAAgACAAIAAgACAAIAAgACAAXAAiAE0ATgBfAGoAbQBUADMAXAAiACwAXAAiAG4AaQB0AHIAbwBnAGUAbgAgAGkAbgAgAE0ATQBTACAAdAByAGUAYQB0AG0AZQBuAHQAIABzAHQAYQBnAGUAIAAzAFwAIgAsACAAXAAiAGsAZwAgAE4AXAAiACwAIABcACIAQwBhAGwAYwB1AGwAYQB0AGUAZAAgAGYAcgBvAG0AIAA0AC4AMQAuADEALgAzACAAKAA4ACk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OABfAFMAdABhAGcAZQAzAE4AaQB0AHIAbwBnAGUAbgBJAG4ATQBNAFMAQQBuAGEAZQByAG8AYgBpAGMATABhAGcAbwBvAG4AXABuAE4AaQB0AHIAbwBnAGUAbgAgAGkAbgAgAHQAcgBlAGEAdABtAGUAbgB0ACAAcwB0AGEAZwBlACAAMwAgAE0ATQBTAFwAbgBNAE4AXwBqAG0AMQBUADMAXABuAGsAZwAgAE4AXABuAE0ATgBfAHsAagBtAD0AMQAsAFQAPQAzAH0APQBBAEUAXwB7AGoAfQBcAFwAdABpAG0AZQBzACAATQBNAFMAXwB7AGoAbQA9ADEALABUAD0AMwB9AFwAbgBBAEUAXwBqACAAPQAgAHQAbwB0AGEAbAAgAG4AaQB0AHIAbwBnAGUAbgAgAGUAeABjAHIAZQB0AGUAZAAgAGIAeQAgAGUAYQBjAGgAIABjAGEAdAB0AGwAZQAgAGcAcgBvAHUAcAAgADoAIABrAGcAIABOAFwAbgBNAE0AUwBfAGoAbQAxAFQAMwAgAD0AIABmAHIAYQBjAHQAaQBvAG4AIABvAGYAIABtAGEAbgB1AHIAZQAgAHQAbwAgAHQAZQByAHQAaQBhAHIAeQAgAGEAbgBhAGUAcgBvAGIAaQBjACAAbABhAGcAbwBvAG4AIABzAHkAcwB0AGUAbQAgADoAIABmAHIAYQBjAHQAaQBvAG4AXABuAC0ALQAtAC0ALQAtAC0ALQAtAC0ALQAtAC0ALQAtAC0ALQAtAC0ALQAtAC0ALQAtAC0ALQAtAC0ALQAtAC0ALQAtAC0ALQAtAC0ALQBcAG4AKgAvAFwAbgBcAG4AVgBFAEUAUgBHAF8ANABfADEAXwAxAF8AMwBfAF8AOABfAFMAdABhAGcAZQAzAE4AaQB0AHIAbwBnAGUAbgBJAG4ATQBNAFMAQQBuAGEAZQByAG8AYgBpAGMATABhAGcAbwBvAG4AXABuACAAIAA9AEwAQQBNAEIARABBACgAXABuACAAIAAgACAAQQBFAF8AagAsACAATQBNAFMAXwBqAG0AMQBUADMALABcAG4AIAAgACAAIABBAEUAXwBqACAAKgAgAE0ATQBTAF8AagBtADEAVAAzAFwAbgAgACAAKQA7AFwAbgBcAG4AVgBFAEUAUgBHAF8ANABfADEAXwAxAF8AMwBfAF8AOABfAFMAdABhAGcAZQAzAE4AaQB0AHIAbwBnAGUAbgBJAG4ATQBNAFMAQQBuAGEAZQByAG8AYgBpAGMATABhAGcAbwBvAG4AXwBUAGkAdABsAGUAXABuACAAIAA9AEwAQQBNAEIARABBACgAXAAiAE4AaQB0AHIAbwBnAGUAbgAgAGkAbgAgAHQAcgBlAGEAdABtAGUAbgB0ACAAcwB0AGEAZwBlACAAMwAgAE0ATQBTAFwAIgApADsAXABuAFwAbgBWAEUARQBSAEcAXwA0AF8AMQBfADEAXwAzAF8AXwA4AF8AUwB0AGEAZwBlADMATgBpAHQAcgBvAGcAZQBuAEkAbgBNAE0AUwBBAG4AYQBlAHIAbwBiAGkAYwBMAGEAZwBvAG8AbgBfAFYAYQByAGkAYQBiAGwAZQBcAG4AIAAgAD0ATABBAE0AQgBEAEEAKABcACIATQBOAF8AagBtADEAVAAzAFwAIgApADsAXABuAFwAbgBWAEUARQBSAEcAXwA0AF8AMQBfADEAXwAzAF8AXwA4AF8AUwB0AGEAZwBlADMATgBpAHQAcgBvAGcAZQBuAEkAbgBNAE0AUwBBAG4AYQBlAHIAbwBiAGkAYwBMAGEAZwBvAG8AbgBfAFUAbgBpAHQAXABuACAAIAA9AEwAQQBNAEIARABBACgAXAAiAGsAZwAgAE4AXAAiACkAOwBcAG4AXABuAFYARQBFAFIARwBfADQAXwAxAF8AMQBfADMAXwBfADgAXwBTAHQAYQBnAGUAMwBOAGkAdAByAG8AZwBlAG4ASQBuAE0ATQBTAEEAbgBhAGUAcgBvAGIAaQBjAEwAYQBnAG8AbwBuAF8AUwBvAHUAcgBjAGUAXABuACAAIAA9AEwAQQBNAEIARABBACgAXAAiAFYARQBFAFIARwAgADIAMAAyADYAOgAgADQALgAxAC4AMQAuADMALAAgAEUAcQB1AGEAdABpAG8AbgAgACgAOAApAFwAIgApADsAXABuAFwAbgBWAEUARQBSAEcAXwA0AF8AMQBfADEAXwAzAF8AXwA4AF8AUwB0AGEAZwBlADMATgBpAHQAcgBvAGcAZQBuAEkAbgBNAE0AUwBBAG4AYQBlAHIAbwBiAGkAYwBMAGEAZwBvAG8AbgBfAE4ASQBSAFIAZQBmAGUAcgBlAG4AYwBlAFwAbgAgACAAPQBMAEEATQBCAEQAQQAoAFwAIgBcACIAKQA7AFwAbgBcAG4AVgBFAEUAUgBHAF8ANABfADEAXwAxAF8AMwBfAF8AOABfAFMAdABhAGcAZQAzAE4AaQB0AHIAbwBnAGUAbgBJAG4ATQBNAFMAQQBuAGEAZQByAG8AYgBpAGMATABhAGcAbwBvAG4AXwBMAGEAdABlAHgARQBxAHUAYQB0AGkAbwBuAFwAbgAgACAAPQBMAEEATQBCAEQAQQAoAFwAIgBNAE4AXwB7AGoAbQA9ADEALABUAD0AMwB9AD0AQQBFAF8AewBqAH0AXABcAHQAaQBtAGUAcwAgAE0ATQBTAF8AewBqAG0APQAxACwAVAA9ADMAfQBcACIAKQA7AFwAbgBcAG4AVgBFAEUAUgBHAF8ANABfADEAXwAxAF8AMwBfAF8AOABfAFMAdABhAGcAZQAzAE4AaQB0AHIAbwBnAGUAbgBJAG4ATQBNAFMAQQBuAGEAZQByAG8AYgBpAGMATABhAGcAbwBvAG4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EAVAAzAFwAIgAsAFwAIgBmAHIAYQBjAHQAaQBvAG4AIABvAGYAIABtAGEAbgB1AHIAZQAgAHQAbwAgAHQAZQByAHQAaQBhAHIAeQAgAGEAbgBhAGUAcgBvAGIAaQBjACAAbABhAGcAbwBvAG4AIABzAHkAcwB0AGUAbQBcACIALAAgAFwAIgBmAHIAYQBjAHQAaQBvAG4AXAAiACwAIABcACIASQBuAHAAdQB0AFwAIgBcAG4AIAAgACAAIAAgACAAIAAgAH0ALAAgAHIALAAgAGMAKQBcAG4AIAAgACAAIAAgACAAKQBcAG4AIAAgACAAIAApAFwAbgAgACAAKQA7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YAZQBlAGQAbABvAHQALgBTAG8AdQByAGMAZQBEAGEAdABhAF8ARgBlAGUAZABsAG8AdABfAFYAUwBMAF8AVABpAHQAbABlACIALAAiAFMAbwB1AHIAYwBlAEQAYQB0AGEAXwBGAGUAZQBkAGwAbwB0AC4AUwBvAHUAcgBjAGUARABhAHQAYQBfAEYAZQBlAGQAbABvAHQAXwBWAFMATABfAFYAYQByAGkAYQBiAGwAZQAiACwAIgBTAG8AdQByAGMAZQBEAGEAdABhAF8ARgBlAGUAZABsAG8AdAAuAFMAbwB1AHIAYwBlAEQAYQB0AGEAXwBGAGUAZQBkAGwAbwB0AF8AVgBTAEwAXwBVAG4AaQB0ACIALAAiAFMAbwB1AHIAYwBlAEQAYQB0AGEAXwBGAGUAZQBkAGwAbwB0AC4AUwBvAHUAcgBjAGUARABhAHQAYQBfAEYAZQBlAGQAbABvAHQAXwBWAFMATABfAFMAbwB1AHIAYwBlACIALAAiAFMAbwB1AHIAYwBlAEQAYQB0AGEAXwBGAGUAZQBkAGwAbwB0AC4AUwBvAHUAcgBjAGUARABhAHQAYQBfAEYAZQBlAGQAbABvAHQAXwBWAFMATABfAFYAYQByAGkAYQB0AGkAbwBuACIALAAiAFMAbwB1AHIAYwBlAEQAYQB0AGEAXwBGAGUAZQBkAGwAbwB0AC4AUwBvAHUAcgBjAGUARABhAHQAYQBfAEYAZQBlAGQAbABvAHQAXwBWAFMATABfAEQAYQB0AGEAIgAsACIAUwBvAHUAcgBjAGUARABhAHQAYQBfAEYAZQBlAGQAbABvAHQALgBTAG8AdQByAGMAZQBEAGEAdABhAF8ARgBlAGUAZABsAG8AdABfAE0ATQBTAG0AMQBUADMAXwBUAGkAdABsAGUAIgAsACIAUwBvAHUAcgBjAGUARABhAHQAYQBfAEYAZQBlAGQAbABvAHQALgBTAG8AdQByAGMAZQBEAGEAdABhAF8ARgBlAGUAZABsAG8AdABfAE0ATQBTAG0AMQBUADMAXwBWAGEAcgBpAGEAYgBsAGUAIgAsACIAUwBvAHUAcgBjAGUARABhAHQAYQBfAEYAZQBlAGQAbABvAHQALgBTAG8AdQByAGMAZQBEAGEAdABhAF8ARgBlAGUAZABsAG8AdABfAE0ATQBTAG0AMQBUADMAXwBVAG4AaQB0ACIALAAiAFMAbwB1AHIAYwBlAEQAYQB0AGEAXwBGAGUAZQBkAGwAbwB0AC4AUwBvAHUAcgBjAGUARABhAHQAYQBfAEYAZQBlAGQAbABvAHQAXwBNAE0AUwBtADEAVAAzAF8AUwBvAHUAcgBjAGUAIgAsACIAUwBvAHUAcgBjAGUARABhAHQAYQBfAEYAZQBlAGQAbABvAHQALgBTAG8AdQByAGMAZQBEAGEAdABhAF8ARgBlAGUAZABsAG8AdABfAE0ATQBTAG0AMQBUADMAXwBWAGEAcgBpAGEAdABpAG8AbgAiACwAIgBTAG8AdQByAGMAZQBEAGEAdABhAF8ARgBlAGUAZABsAG8AdAAuAFMAbwB1AHIAYwBlAEQAYQB0AGEAXwBGAGUAZQBkAGwAbwB0AF8ATQBNAFMAbQAxAFQAMwBfAEQAYQB0AGEAIgAsACIAUwBvAHUAcgBjAGUARABhAHQAYQBfAEYAZQBlAGQAbABvAHQALgBTAG8AdQByAGMAZQBEAGEAdABhAF8ARgBlAGUAZABsAG8AdABfAEEAcwBoAEMAbwBuAHQAZQBuAHQAXwBUAGkAdABsAGUAIgAsACIAUwBvAHUAcgBjAGUARABhAHQAYQBfAEYAZQBlAGQAbABvAHQALgBTAG8AdQByAGMAZQBEAGEAdABhAF8ARgBlAGUAZABsAG8AdABfAEEAcwBoAEMAbwBuAHQAZQBuAHQAXwBWAGEAcgBpAGEAYgBsAGUAIgAsACIAUwBvAHUAcgBjAGUARABhAHQAYQBfAEYAZQBlAGQAbABvAHQALgBTAG8AdQByAGMAZQBEAGEAdABhAF8ARgBlAGUAZABsAG8AdABfAEEAcwBoAEMAbwBuAHQAZQBuAHQAXwBVAG4AaQB0ACIALAAiAFMAbwB1AHIAYwBlAEQAYQB0AGEAXwBGAGUAZQBkAGwAbwB0AC4AUwBvAHUAcgBjAGUARABhAHQAYQBfAEYAZQBlAGQAbABvAHQAXwBBAHMAaABDAG8AbgB0AGUAbgB0AF8AUwBvAHUAcgBjAGUAIgAsACIAUwBvAHUAcgBjAGUARABhAHQAYQBfAEYAZQBlAGQAbABvAHQALgBTAG8AdQByAGMAZQBEAGEAdABhAF8ARgBlAGUAZABsAG8AdABfAEEAcwBoAEMAbwBuAHQAZQBuAHQAXwBWAGEAcgBpAGEAdABpAG8AbgAiACwAIgBTAG8AdQByAGMAZQBEAGEAdABhAF8ARgBlAGUAZABsAG8AdAAuAFMAbwB1AHIAYwBlAEQAYQB0AGEAXwBGAGUAZQBkAGwAbwB0AF8AQQBzAGgAQwBvAG4AdABlAG4AdABfAEQAYQB0AGEAIgAsACIAUwBvAHUAcgBjAGUARABhAHQAYQBfAEYAZQBlAGQAbABvAHQALgBTAG8AdQByAGMAZQBEAGEAdABhAF8ARgBlAGUAZABsAG8AdABfAE0AZQB0AGgAYQBuAGUARQBtAGkAcwBzAGkAbwBuAHMAUABvAHQAZQBuAHQAaQBhAGwAXwBUAGkAdABsAGUAIgAsACIAUwBvAHUAcgBjAGUARABhAHQAYQBfAEYAZQBlAGQAbABvAHQALgBTAG8AdQByAGMAZQBEAGEAdABhAF8ARgBlAGUAZABsAG8AdABfAE0AZQB0AGgAYQBuAGUARQBtAGkAcwBzAGkAbwBuAHMAUABvAHQAZQBuAHQAaQBhAGwAXwBWAGEAcgBpAGEAYgBsAGUAIgAsACIAUwBvAHUAcgBjAGUARABhAHQAYQBfAEYAZQBlAGQAbABvAHQALgBTAG8AdQByAGMAZQBEAGEAdABhAF8ARgBlAGUAZABsAG8AdABfAE0AZQB0AGgAYQBuAGUARQBtAGkAcwBzAGkAbwBuAHMAUABvAHQAZQBuAHQAaQBhAGwAXwBVAG4AaQB0ACIALAAiAFMAbwB1AHIAYwBlAEQAYQB0AGEAXwBGAGUAZQBkAGwAbwB0AC4AUwBvAHUAcgBjAGUARABhAHQAYQBfAEYAZQBlAGQAbABvAHQAXwBNAGUAdABoAGEAbgBlAEUAbQBpAHMAcwBpAG8AbgBzAFAAbwB0AGUAbgB0AGkAYQBsAF8AUwBvAHUAcgBjAGUAIgAsACIAUwBvAHUAcgBjAGUARABhAHQAYQBfAEYAZQBlAGQAbABvAHQALgBTAG8AdQByAGMAZQBEAGEAdABhAF8ARgBlAGUAZABsAG8AdABfAE0AZQB0AGgAYQBuAGUARQBtAGkAcwBzAGkAbwBuAHMAUABvAHQAZQBuAHQAaQBhAGwAXwBWAGEAcgBpAGEAdABpAG8AbgAiACwAIgBTAG8AdQByAGMAZQBEAGEAdABhAF8ARgBlAGUAZABsAG8AdAAuAFMAbwB1AHIAYwBlAEQAYQB0AGEAXwBGAGUAZQBkAGwAbwB0AF8ATQBlAHQAaABhAG4AZQBFAG0AaQBzAHMAaQBvAG4AcwBQAG8AdABlAG4AdABpAGEAbABfAEQAYQB0AGEAIgAsACIAUwBvAHUAcgBjAGUARABhAHQAYQBfAEYAZQBlAGQAbABvAHQALgBTAG8AdQByAGMAZQBEAGEAdABhAF8ARgBlAGUAZABsAG8AdABfAFMAdABhAGcAZQAxAE0ATQBTAE8AcAB0AGkAbwBuAHMAIgAsACIAUwBvAHUAcgBjAGUARABhAHQAYQBfAEYAZQBlAGQAbABvAHQALgBTAG8AdQByAGMAZQBEAGEAdABhAF8ARgBlAGUAZABsAG8AdABfAFMAdABhAGcAZQAyAE0ATQBTAE8AcAB0AGkAbwBuAHMAIgAsACIAUwBvAHUAcgBjAGUARABhAHQAYQBfAEYAZQBlAGQAbABvAHQALgBTAG8AdQByAGMAZQBEAGEAdABhAF8ARgBlAGUAZABsAG8AdABfAFMAdABhAGcAZQAzAE0ATQBTAE8AcAB0AGkAbwBuAHMAIgAsACIAUwBvAHUAcgBjAGUARABhAHQAYQBfAEYAZQBlAGQAbABvAHQALgBTAG8AdQByAGMAZQBEAGEAdABhAF8ARgBlAGUAZABsAG8AdABfAEwAaQB2AGUAcwB0AG8AYwBrAEMAbABhAHMAcwBlAHMAIgAsACIAUwBvAHUAcgBjAGUARABhAHQAYQBfAEYAZQBlAGQAbABvAHQALgBTAG8AdQByAGMAZQBEAGEAdABhAF8ARgBlAGUAZABsAG8AdABfAEQAdQByAGEAdABpAG8AbgBPAGYAUwB0AGEAeQBfAFQAaQB0AGwAZQAiACwAIgBTAG8AdQByAGMAZQBEAGEAdABhAF8ARgBlAGUAZABsAG8AdAAuAFMAbwB1AHIAYwBlAEQAYQB0AGEAXwBGAGUAZQBkAGwAbwB0AF8ARAB1AHIAYQB0AGkAbwBuAE8AZgBTAHQAYQB5AF8AVQBuAGkAdAAiACwAIgBTAG8AdQByAGMAZQBEAGEAdABhAF8ARgBlAGUAZABsAG8AdAAuAFMAbwB1AHIAYwBlAEQAYQB0AGEAXwBGAGUAZQBkAGwAbwB0AF8ARAB1AHIAYQB0AGkAbwBuAE8AZgBTAHQAYQB5AF8AUwBvAHUAcgBjAGUAIgAsACIAUwBvAHUAcgBjAGUARABhAHQAYQBfAEYAZQBlAGQAbABvAHQALgBTAG8AdQByAGMAZQBEAGEAdABhAF8ARgBlAGUAZABsAG8AdABfAEQAdQByAGEAdABpAG8AbgBPAGYAUwB0AGEAeQBfAFYAYQByAGkAYQB0AGkAbwBuACIALAAiAFMAbwB1AHIAYwBlAEQAYQB0AGEAXwBGAGUAZQBkAGwAbwB0AC4AUwBvAHUAcgBjAGUARABhAHQAYQBfAEYAZQBlAGQAbABvAHQAXwBEAHUAcgBhAHQAaQBvAG4ATwBmAFMAdABhAHkAXwBEAGEAdABhACIALAAiAFMAbwB1AHIAYwBlAEQAYQB0AGEAXwBGAGUAZQBkAGwAbwB0AC4AUwBvAHUAcgBjAGUARABhAHQAYQBfAEYAZQBlAGQAbABvAHQAXwBBAG4AaQBtAGEAbABDAGgAYQByAGEAYwB0AGUAcgBpAHMAdABpAGMAcwBfAFQAaQB0AGwAZQAiACwAIgBTAG8AdQByAGMAZQBEAGEAdABhAF8ARgBlAGUAZABsAG8AdAAuAFMAbwB1AHIAYwBlAEQAYQB0AGEAXwBGAGUAZQBkAGwAbwB0AF8AQQBuAGkAbQBhAGwAQwBoAGEAcgBhAGMAdABlAHIAaQBzAHQAaQBjAHMAXwBVAG4AaQB0ACIALAAiAFMAbwB1AHIAYwBlAEQAYQB0AGEAXwBGAGUAZQBkAGwAbwB0AC4AUwBvAHUAcgBjAGUARABhAHQAYQBfAEYAZQBlAGQAbABvAHQAXwBBAG4AaQBtAGEAbABDAGgAYQByAGEAYwB0AGUAcgBpAHMAdABpAGMAcwBfAFMAbwB1AHIAYwBlACIALAAiAFMAbwB1AHIAYwBlAEQAYQB0AGEAXwBGAGUAZQBkAGwAbwB0AC4AUwBvAHUAcgBjAGUARABhAHQAYQBfAEYAZQBlAGQAbABvAHQAXwBBAG4AaQBtAGEAbABDAGgAYQByAGEAYwB0AGUAcgBpAHMAdABpAGMAcwBfAFYAYQByAGkAYQB0AGkAbwBuACIALAAiAFMAbwB1AHIAYwBlAEQAYQB0AGEAXwBGAGUAZQBkAGwAbwB0AC4AUwBvAHUAcgBjAGUARABhAHQAYQBfAEYAZQBlAGQAbABvAHQAXwBBAG4AaQBtAGEAbABDAGgAYQByAGEAYwB0AGUAcgBpAHMAdABpAGMAcwBfAEQAYQB0AGEAIgAsACIAUwBvAHUAcgBjAGUARABhAHQAYQBfAEYAZQBlAGQAbABvAHQALgBTAG8AdQByAGMAZQBEAGEAdABhAF8ARgBlAGUAZABsAG8AdABfAEQAaQBlAHQAUAByAG8AcABlAHIAdABpAGUAcwBfAFQAaQB0AGwAZQAiACwAIgBTAG8AdQByAGMAZQBEAGEAdABhAF8ARgBlAGUAZABsAG8AdAAuAFMAbwB1AHIAYwBlAEQAYQB0AGEAXwBGAGUAZQBkAGwAbwB0AF8ARABpAGUAdABQAHIAbwBwAGUAcgB0AGkAZQBzAF8AVQBuAGkAdAAiACwAIgBTAG8AdQByAGMAZQBEAGEAdABhAF8ARgBlAGUAZABsAG8AdAAuAFMAbwB1AHIAYwBlAEQAYQB0AGEAXwBGAGUAZQBkAGwAbwB0AF8ARABpAGUAdABQAHIAbwBwAGUAcgB0AGkAZQBzAF8AUwBvAHUAcgBjAGUAIgAsACIAUwBvAHUAcgBjAGUARABhAHQAYQBfAEYAZQBlAGQAbABvAHQALgBTAG8AdQByAGMAZQBEAGEAdABhAF8ARgBlAGUAZABsAG8AdABfAEQAaQBlAHQAUAByAG8AcABlAHIAdABpAGUAcwBfAFYAYQByAGkAYQB0AGkAbwBuACIALAAiAFMAbwB1AHIAYwBlAEQAYQB0AGEAXwBGAGUAZQBkAGwAbwB0AC4AUwBvAHUAcgBjAGUARABhAHQAYQBfAEYAZQBlAGQAbABvAHQAXwBEAGkAZQB0AFAAcgBvAHAAZQByAHQAaQBlAHMAXwBEAGEAdABhACIALAAiAFMAbwB1AHIAYwBlAEQAYQB0AGEAXwBGAGUAZQBkAGwAbwB0AC4AUwBvAHUAcgBjAGUARABhAHQAYQBfAEYAZQBlAGQAbABvAHQAXwBNAEMARgBfAFQAaQB0AGwAZQAiACwAIgBTAG8AdQByAGMAZQBEAGEAdABhAF8ARgBlAGUAZABsAG8AdAAuAFMAbwB1AHIAYwBlAEQAYQB0AGEAXwBGAGUAZQBkAGwAbwB0AF8ATQBDAEYAXwBVAG4AaQB0ACIALAAiAFMAbwB1AHIAYwBlAEQAYQB0AGEAXwBGAGUAZQBkAGwAbwB0AC4AUwBvAHUAcgBjAGUARABhAHQAYQBfAEYAZQBlAGQAbABvAHQAXwBNAEMARgBfAFMAbwB1AHIAYwBlACIALAAiAFMAbwB1AHIAYwBlAEQAYQB0AGEAXwBGAGUAZQBkAGwAbwB0AC4AUwBvAHUAcgBjAGUARABhAHQAYQBfAEYAZQBlAGQAbABvAHQAXwBNAEMARgBfAFYAYQByAGkAYQB0AGkAbwBuACIALAAiAFMAbwB1AHIAYwBlAEQAYQB0AGEAXwBGAGUAZQBkAGwAbwB0AC4AUwBvAHUAcgBjAGUARABhAHQAYQBfAEYAZQBlAGQAbABvAHQAXwBNAEMARgBfAEQAYQB0AGEAIgAsACIAUwBvAHUAcgBjAGUARABhAHQAYQBfAEYAZQBlAGQAbABvAHQALgBTAG8AdQByAGMAZQBEAGEAdABhAF8ARgBlAGUAZABsAG8AdABfAE4AaQB0AHIAbwB1AHMATwB4AGkAZABlAEUARgBzAF8AVABpAHQAbABlACIALAAiAFMAbwB1AHIAYwBlAEQAYQB0AGEAXwBGAGUAZQBkAGwAbwB0AC4AUwBvAHUAcgBjAGUARABhAHQAYQBfAEYAZQBlAGQAbABvAHQAXwBOAGkAdAByAG8AdQBzAE8AeABpAGQAZQBFAEYAcwBfAFUAbgBpAHQAIgAsACIAUwBvAHUAcgBjAGUARABhAHQAYQBfAEYAZQBlAGQAbABvAHQALgBTAG8AdQByAGMAZQBEAGEAdABhAF8ARgBlAGUAZABsAG8AdABfAE4AaQB0AHIAbwB1AHMATwB4AGkAZABlAEUARgBzAF8AUwBvAHUAcgBjAGUAIgAsACIAUwBvAHUAcgBjAGUARABhAHQAYQBfAEYAZQBlAGQAbABvAHQALgBTAG8AdQByAGMAZQBEAGEAdABhAF8ARgBlAGUAZABsAG8AdABfAE4AaQB0AHIAbwB1AHMATwB4AGkAZABlAEUARgBzAF8AVgBhAHIAaQBhAHQAaQBvAG4AIgAsACIAUwBvAHUAcgBjAGUARABhAHQAYQBfAEYAZQBlAGQAbABvAHQALgBTAG8AdQByAGMAZQBEAGEAdABhAF8ARgBlAGUAZABsAG8AdABfAE4AaQB0AHIAbwB1AHMATwB4AGkAZABlAEUARgBzAF8ARABhAHQAYQAiACwAIgBTAG8AdQByAGMAZQBEAGEAdABhAF8ARgBlAGUAZABsAG8AdAAuAFMAbwB1AHIAYwBlAEQAYQB0AGEAXwBGAGUAZQBkAGwAbwB0AF8ARgByAGEAYwBOAFYAbwBsAGEAdABpAGwAaQBzAGUAZABfAFQAaQB0AGwAZQAiACwAIgBTAG8AdQByAGMAZQBEAGEAdABhAF8ARgBlAGUAZABsAG8AdAAuAFMAbwB1AHIAYwBlAEQAYQB0AGEAXwBGAGUAZQBkAGwAbwB0AF8ARgByAGEAYwBOAFYAbwBsAGEAdABpAGwAaQBzAGUAZABfAFUAbgBpAHQAIgAsACIAUwBvAHUAcgBjAGUARABhAHQAYQBfAEYAZQBlAGQAbABvAHQALgBTAG8AdQByAGMAZQBEAGEAdABhAF8ARgBlAGUAZABsAG8AdABfAEYAcgBhAGMATgBWAG8AbABhAHQAaQBsAGkAcwBlAGQAXwBTAG8AdQByAGMAZQAiACwAIgBTAG8AdQByAGMAZQBEAGEAdABhAF8ARgBlAGUAZABsAG8AdAAuAFMAbwB1AHIAYwBlAEQAYQB0AGEAXwBGAGUAZQBkAGwAbwB0AF8ARgByAGEAYwBOAFYAbwBsAGEAdABpAGwAaQBzAGUAZABfAFYAYQByAGkAYQB0AGkAbwBuACIALAAiAFMAbwB1AHIAYwBlAEQAYQB0AGEAXwBGAGUAZQBkAGwAbwB0AC4AUwBvAHUAcgBjAGUARABhAHQAYQBfAEYAZQBlAGQAbABvAHQAXwBGAHIAYQBjAE4AVgBvAGwAYQB0AGkAbABpAHMAZQBkAF8ARABhAHQAYQAiACwAIgBNAE0AUwBfAEYAZQBlAGQAbABvAHQAXwBNAGUAdABoAGEAbgBlAF8ARQBxAHUAYQB0AGkAbwBuAHMALgBWAEUARQBSAEcAXwA0AF8AMQBfADEAXwAxAF8AXwAxAF8AVABvAHQAYQBsAEEAbgBuAHUAYQBsAE0AZQB0AGgAYQBuAGUARQBtAGkAcwBzAGkAbwBuAHMAIgAsACIATQBNAFMAXwBGAGUAZQBkAGwAbwB0AF8ATQBlAHQAaABhAG4AZQBfAEUAcQB1AGEAdABpAG8AbgBzAC4AVgBFAEUAUgBHAF8ANABfADEAXwAxAF8AMQBfAF8AMQBfAFQAbwB0AGEAbABBAG4AbgB1AGEAbABNAGUAdABoAGEAbgBlAEUAbQBpAHMAcwBpAG8AbgBzAF8AVABpAHQAbABlACIALAAiAE0ATQBTAF8ARgBlAGUAZABsAG8AdABfAE0AZQB0AGgAYQBuAGUAXwBFAHEAdQBhAHQAaQBvAG4AcwAuAFYARQBFAFIARwBfADQAXwAxAF8AMQBfADEAXwBfADEAXwBUAG8AdABhAGwAQQBuAG4AdQBhAGwATQBlAHQAaABhAG4AZQBFAG0AaQBzAHMAaQBvAG4AcwBfAFYAYQByAGkAYQBiAGwAZQAiACwAIgBNAE0AUwBfAEYAZQBlAGQAbABvAHQAXwBNAGUAdABoAGEAbgBlAF8ARQBxAHUAYQB0AGkAbwBuAHMALgBWAEUARQBSAEcAXwA0AF8AMQBfADEAXwAxAF8AXwAxAF8AVABvAHQAYQBsAEEAbgBuAHUAYQBsAE0AZQB0AGgAYQBuAGUARQBtAGkAcwBzAGkAbwBuAHMAXwBVAG4AaQB0ACIALAAiAE0ATQBTAF8ARgBlAGUAZABsAG8AdABfAE0AZQB0AGgAYQBuAGUAXwBFAHEAdQBhAHQAaQBvAG4AcwAuAFYARQBFAFIARwBfADQAXwAxAF8AMQBfADEAXwBfADEAXwBUAG8AdABhAGwAQQBuAG4AdQBhAGwATQBlAHQAaABhAG4AZQBFAG0AaQBzAHMAaQBvAG4AcwBfAFMAbwB1AHIAYwBlACIALAAiAE0ATQBTAF8ARgBlAGUAZABsAG8AdABfAE0AZQB0AGgAYQBuAGUAXwBFAHEAdQBhAHQAaQBvAG4AcwAuAFYARQBFAFIARwBfADQAXwAxAF8AMQBfADEAXwBfADEAXwBUAG8AdABhAGwAQQBuAG4AdQBhAGwATQBlAHQAaABhAG4AZQBFAG0AaQBzAHMAaQBvAG4AcwBfAE4ASQBSAFIAZQBmAGUAcgBlAG4AYwBlACIALAAiAE0ATQBTAF8ARgBlAGUAZABsAG8AdABfAE0AZQB0AGgAYQBuAGUAXwBFAHEAdQBhAHQAaQBvAG4AcwAuAFYARQBFAFIARwBfADQAXwAxAF8AMQBfADEAXwBfADEAXwBUAG8AdABhAGwAQQBuAG4AdQBhAGwATQBlAHQAaABhAG4AZQBFAG0AaQBzAHMAaQBvAG4AcwBfAEwAYQB0AGUAeABFAHEAdQBhAHQAaQBvAG4AIgAsACIATQBNAFMAXwBGAGUAZQBkAGwAbwB0AF8ATQBlAHQAaABhAG4AZQBfAEUAcQB1AGEAdABpAG8AbgBzAC4AVgBFAEUAUgBHAF8ANABfADEAXwAxAF8AMQBfAF8AMQBfAFQAbwB0AGEAbABBAG4AbgB1AGEAbABNAGUAdABoAGEAbgBlAEUAbQBpAHMAcwBpAG8AbgBzAF8AQQByAGcAdQBtAGUAbgB0AHMAIgAsACIATQBNAFMAXwBGAGUAZQBkAGwAbwB0AF8ATQBlAHQAaABhAG4AZQBfAEUAcQB1AGEAdABpAG8AbgBzAC4AVgBFAEUAUgBHAF8ANABfADEAXwAxAF8AMQBfAF8AMgBfAFMAdABhAGcAZQAxAE0AZQB0AGgAYQBuAGUAUAByAG8AZAB1AGMAdABpAG8AbgBEAHIAeQBsAG8AdAAiACwAIgBNAE0AUwBfAEYAZQBlAGQAbABvAHQAXwBNAGUAdABoAGEAbgBlAF8ARQBxAHUAYQB0AGkAbwBuAHMALgBWAEUARQBSAEcAXwA0AF8AMQBfADEAXwAxAF8AXwAyAF8AUwB0AGEAZwBlADEATQBlAHQAaABhAG4AZQBQAHIAbwBkAHUAYwB0AGkAbwBuAEQAcgB5AGwAbwB0AF8AVABpAHQAbABlACIALAAiAE0ATQBTAF8ARgBlAGUAZABsAG8AdABfAE0AZQB0AGgAYQBuAGUAXwBFAHEAdQBhAHQAaQBvAG4AcwAuAFYARQBFAFIARwBfADQAXwAxAF8AMQBfADEAXwBfADIAXwBTAHQAYQBnAGUAMQBNAGUAdABoAGEAbgBlAFAAcgBvAGQAdQBjAHQAaQBvAG4ARAByAHkAbABvAHQAXwBWAGEAcgBpAGEAYgBsAGUAIgAsACIATQBNAFMAXwBGAGUAZQBkAGwAbwB0AF8ATQBlAHQAaABhAG4AZQBfAEUAcQB1AGEAdABpAG8AbgBzAC4AVgBFAEUAUgBHAF8ANABfADEAXwAxAF8AMQBfAF8AMgBfAFMAdABhAGcAZQAxAE0AZQB0AGgAYQBuAGUAUAByAG8AZAB1AGMAdABpAG8AbgBEAHIAeQBsAG8AdABfAFUAbgBpAHQAIgAsACIATQBNAFMAXwBGAGUAZQBkAGwAbwB0AF8ATQBlAHQAaABhAG4AZQBfAEUAcQB1AGEAdABpAG8AbgBzAC4AVgBFAEUAUgBHAF8ANABfADEAXwAxAF8AMQBfAF8AMgBfAFMAdABhAGcAZQAxAE0AZQB0AGgAYQBuAGUAUAByAG8AZAB1AGMAdABpAG8AbgBEAHIAeQBsAG8AdABfAFMAbwB1AHIAYwBlACIALAAiAE0ATQBTAF8ARgBlAGUAZABsAG8AdABfAE0AZQB0AGgAYQBuAGUAXwBFAHEAdQBhAHQAaQBvAG4AcwAuAFYARQBFAFIARwBfADQAXwAxAF8AMQBfADEAXwBfADIAXwBTAHQAYQBnAGUAMQBNAGUAdABoAGEAbgBlAFAAcgBvAGQAdQBjAHQAaQBvAG4ARAByAHkAbABvAHQAXwBOAEkAUgBSAGUAZgBlAHIAZQBuAGMAZQAiACwAIgBNAE0AUwBfAEYAZQBlAGQAbABvAHQAXwBNAGUAdABoAGEAbgBlAF8ARQBxAHUAYQB0AGkAbwBuAHMALgBWAEUARQBSAEcAXwA0AF8AMQBfADEAXwAxAF8AXwAyAF8AUwB0AGEAZwBlADEATQBlAHQAaABhAG4AZQBQAHIAbwBkAHUAYwB0AGkAbwBuAEQAcgB5AGwAbwB0AF8ATABhAHQAZQB4AEUAcQB1AGEAdABpAG8AbgAiACwAIgBNAE0AUwBfAEYAZQBlAGQAbABvAHQAXwBNAGUAdABoAGEAbgBlAF8ARQBxAHUAYQB0AGkAbwBuAHMALgBWAEUARQBSAEcAXwA0AF8AMQBfADEAXwAxAF8AXwAyAF8AUwB0AGEAZwBlADEATQBlAHQAaABhAG4AZQBQAHIAbwBkAHUAYwB0AGkAbwBuAEQAcgB5AGwAbwB0AF8AQQByAGcAdQBtAGUAbgB0AHMAIgAsACIATQBNAFMAXwBGAGUAZQBkAGwAbwB0AF8ATQBlAHQAaABhAG4AZQBfAEUAcQB1AGEAdABpAG8AbgBzAC4AVgBFAEUAUgBHAF8ANABfADEAXwAxAF8AMQBfAF8AMgBfAFMAdABhAGcAZQAxAE0AZQB0AGgAYQBuAGUAUAByAG8AZAB1AGMAdABpAG8AbgBEAHIAeQBsAG8AdABfAEEAcgBnAHUAbQBlAG4AdABzAF8ATQBlAHQAaABvAGQAMgAiACwAIgBNAE0AUwBfAEYAZQBlAGQAbABvAHQAXwBNAGUAdABoAGEAbgBlAF8ARQBxAHUAYQB0AGkAbwBuAHMALgBWAEUARQBSAEcAXwA0AF8AMQBfADEAXwAxAF8AXwAzAF8AUwB0AGEAZwBlADIATQBlAHQAaABhAG4AZQBQAHIAbwBkAHUAYwB0AGkAbwBuACIALAAiAE0ATQBTAF8ARgBlAGUAZABsAG8AdABfAE0AZQB0AGgAYQBuAGUAXwBFAHEAdQBhAHQAaQBvAG4AcwAuAFYARQBFAFIARwBfADQAXwAxAF8AMQBfADEAXwBfADMAXwBTAHQAYQBnAGUAMgBNAGUAdABoAGEAbgBlAFAAcgBvAGQAdQBjAHQAaQBvAG4AXwBUAGkAdABsAGUAIgAsACIATQBNAFMAXwBGAGUAZQBkAGwAbwB0AF8ATQBlAHQAaABhAG4AZQBfAEUAcQB1AGEAdABpAG8AbgBzAC4AVgBFAEUAUgBHAF8ANABfADEAXwAxAF8AMQBfAF8AMwBfAFMAdABhAGcAZQAyAE0AZQB0AGgAYQBuAGUAUAByAG8AZAB1AGMAdABpAG8AbgBfAFYAYQByAGkAYQBiAGwAZQAiACwAIgBNAE0AUwBfAEYAZQBlAGQAbABvAHQAXwBNAGUAdABoAGEAbgBlAF8ARQBxAHUAYQB0AGkAbwBuAHMALgBWAEUARQBSAEcAXwA0AF8AMQBfADEAXwAxAF8AXwAzAF8AUwB0AGEAZwBlADIATQBlAHQAaABhAG4AZQBQAHIAbwBkAHUAYwB0AGkAbwBuAF8AVQBuAGkAdAAiACwAIgBNAE0AUwBfAEYAZQBlAGQAbABvAHQAXwBNAGUAdABoAGEAbgBlAF8ARQBxAHUAYQB0AGkAbwBuAHMALgBWAEUARQBSAEcAXwA0AF8AMQBfADEAXwAxAF8AXwAzAF8AUwB0AGEAZwBlADIATQBlAHQAaABhAG4AZQBQAHIAbwBkAHUAYwB0AGkAbwBuAF8AUwBvAHUAcgBjAGUAIgAsACIATQBNAFMAXwBGAGUAZQBkAGwAbwB0AF8ATQBlAHQAaABhAG4AZQBfAEUAcQB1AGEAdABpAG8AbgBzAC4AVgBFAEUAUgBHAF8ANABfADEAXwAxAF8AMQBfAF8AMwBfAFMAdABhAGcAZQAyAE0AZQB0AGgAYQBuAGUAUAByAG8AZAB1AGMAdABpAG8AbgBfAE4ASQBSAFIAZQBmAGUAcgBlAG4AYwBlACIALAAiAE0ATQBTAF8ARgBlAGUAZABsAG8AdABfAE0AZQB0AGgAYQBuAGUAXwBFAHEAdQBhAHQAaQBvAG4AcwAuAFYARQBFAFIARwBfADQAXwAxAF8AMQBfADEAXwBfADMAXwBTAHQAYQBnAGUAMgBNAGUAdABoAGEAbgBlAFAAcgBvAGQAdQBjAHQAaQBvAG4AXwBMAGEAdABlAHgARQBxAHUAYQB0AGkAbwBuACIALAAiAE0ATQBTAF8ARgBlAGUAZABsAG8AdABfAE0AZQB0AGgAYQBuAGUAXwBFAHEAdQBhAHQAaQBvAG4AcwAuAFYARQBFAFIARwBfADQAXwAxAF8AMQBfADEAXwBfADMAXwBTAHQAYQBnAGUAMgBNAGUAdABoAGEAbgBlAFAAcgBvAGQAdQBjAHQAaQBvAG4AXwBBAHIAZwB1AG0AZQBuAHQAcwAiACwAIgBNAE0AUwBfAEYAZQBlAGQAbABvAHQAXwBNAGUAdABoAGEAbgBlAF8ARQBxAHUAYQB0AGkAbwBuAHMALgBWAEUARQBSAEcAXwA0AF8AMQBfADEAXwAxAF8AXwAzAF8AUwB0AGEAZwBlADIATQBlAHQAaABhAG4AZQBQAHIAbwBkAHUAYwB0AGkAbwBuAF8AQQByAGcAdQBtAGUAbgB0AHMAXwBNAGUAdABoAG8AZAAyACIALAAiAE0ATQBTAF8ARgBlAGUAZABsAG8AdABfAE0AZQB0AGgAYQBuAGUAXwBFAHEAdQBhAHQAaQBvAG4AcwAuAFYARQBFAFIARwBfADQAXwAxAF8AMQBfADEAXwBfADQAXwBTAHQAYQBnAGUAMwBNAGUAdABoAGEAbgBlAFAAcgBvAGQAdQBjAHQAaQBvAG4AQQBuAGEAZQByAG8AYgBpAGMATABhAGcAbwBvAG4AIgAsACIATQBNAFMAXwBGAGUAZQBkAGwAbwB0AF8ATQBlAHQAaABhAG4AZQBfAEUAcQB1AGEAdABpAG8AbgBzAC4AVgBFAEUAUgBHAF8ANABfADEAXwAxAF8AMQBfAF8ANABfAFMAdABhAGcAZQAzAE0AZQB0AGgAYQBuAGUAUAByAG8AZAB1AGMAdABpAG8AbgBBAG4AYQBlAHIAbwBiAGkAYwBMAGEAZwBvAG8AbgBfAFQAaQB0AGwAZQAiACwAIgBNAE0AUwBfAEYAZQBlAGQAbABvAHQAXwBNAGUAdABoAGEAbgBlAF8ARQBxAHUAYQB0AGkAbwBuAHMALgBWAEUARQBSAEcAXwA0AF8AMQBfADEAXwAxAF8AXwA0AF8AUwB0AGEAZwBlADMATQBlAHQAaABhAG4AZQBQAHIAbwBkAHUAYwB0AGkAbwBuAEEAbgBhAGUAcgBvAGIAaQBjAEwAYQBnAG8AbwBuAF8AVgBhAHIAaQBhAGIAbABlACIALAAiAE0ATQBTAF8ARgBlAGUAZABsAG8AdABfAE0AZQB0AGgAYQBuAGUAXwBFAHEAdQBhAHQAaQBvAG4AcwAuAFYARQBFAFIARwBfADQAXwAxAF8AMQBfADEAXwBfADQAXwBTAHQAYQBnAGUAMwBNAGUAdABoAGEAbgBlAFAAcgBvAGQAdQBjAHQAaQBvAG4AQQBuAGEAZQByAG8AYgBpAGMATABhAGcAbwBvAG4AXwBVAG4AaQB0ACIALAAiAE0ATQBTAF8ARgBlAGUAZABsAG8AdABfAE0AZQB0AGgAYQBuAGUAXwBFAHEAdQBhAHQAaQBvAG4AcwAuAFYARQBFAFIARwBfADQAXwAxAF8AMQBfADEAXwBfADQAXwBTAHQAYQBnAGUAMwBNAGUAdABoAGEAbgBlAFAAcgBvAGQAdQBjAHQAaQBvAG4AQQBuAGEAZQByAG8AYgBpAGMATABhAGcAbwBvAG4AXwBTAG8AdQByAGMAZQAiACwAIgBNAE0AUwBfAEYAZQBlAGQAbABvAHQAXwBNAGUAdABoAGEAbgBlAF8ARQBxAHUAYQB0AGkAbwBuAHMALgBWAEUARQBSAEcAXwA0AF8AMQBfADEAXwAxAF8AXwA0AF8AUwB0AGEAZwBlADMATQBlAHQAaABhAG4AZQBQAHIAbwBkAHUAYwB0AGkAbwBuAEEAbgBhAGUAcgBvAGIAaQBjAEwAYQBnAG8AbwBuAF8ATgBJAFIAUgBlAGYAZQByAGUAbgBjAGUAIgAsACIATQBNAFMAXwBGAGUAZQBkAGwAbwB0AF8ATQBlAHQAaABhAG4AZQBfAEUAcQB1AGEAdABpAG8AbgBzAC4AVgBFAEUAUgBHAF8ANABfADEAXwAxAF8AMQBfAF8ANABfAFMAdABhAGcAZQAzAE0AZQB0AGgAYQBuAGUAUAByAG8AZAB1AGMAdABpAG8AbgBBAG4AYQBlAHIAbwBiAGkAYwBMAGEAZwBvAG8AbgBfAEwAYQB0AGUAeABFAHEAdQBhAHQAaQBvAG4AIgAsACIATQBNAFMAXwBGAGUAZQBkAGwAbwB0AF8ATQBlAHQAaABhAG4AZQBfAEUAcQB1AGEAdABpAG8AbgBzAC4AVgBFAEUAUgBHAF8ANABfADEAXwAxAF8AMQBfAF8ANABfAFMAdABhAGcAZQAzAE0AZQB0AGgAYQBuAGUAUAByAG8AZAB1AGMAdABpAG8AbgBBAG4AYQBlAHIAbwBiAGkAYwBMAGEAZwBvAG8AbgBfAEEAcgBnAHUAbQBlAG4AdABzACIALAAiAE0ATQBTAF8ARgBlAGUAZABsAG8AdABfAE0AZQB0AGgAYQBuAGUAXwBFAHEAdQBhAHQAaQBvAG4AcwAuAFYARQBFAFIARwBfADQAXwAxAF8AMQBfADEAXwBfADQAXwBTAHQAYQBnAGUAMwBNAGUAdABoAGEAbgBlAFAAcgBvAGQAdQBjAHQAaQBvAG4AQQBuAGEAZQByAG8AYgBpAGMATABhAGcAbwBvAG4AXwBBAHIAZwB1AG0AZQBuAHQAcwBfAE0AZQB0AGgAbwBkADIAIgAsACIATQBNAFMAXwBGAGUAZQBkAGwAbwB0AF8ATQBlAHQAaABhAG4AZQBfAEUAcQB1AGEAdABpAG8AbgBzAC4AVgBFAEUAUgBHAF8ANABfADEAXwAxAF8AMQBfAF8ANQBfAFYAbwBsAGEAdABpAGwAZQBTAG8AbABpAGQAUAByAG8AZAB1AGMAdABpAG8AbgAiACwAIgBNAE0AUwBfAEYAZQBlAGQAbABvAHQAXwBNAGUAdABoAGEAbgBlAF8ARQBxAHUAYQB0AGkAbwBuAHMALgBWAEUARQBSAEcAXwA0AF8AMQBfADEAXwAxAF8AXwA1AF8AVgBvAGwAYQB0AGkAbABlAFMAbwBsAGkAZABQAHIAbwBkAHUAYwB0AGkAbwBuAF8AVABpAHQAbABlACIALAAiAE0ATQBTAF8ARgBlAGUAZABsAG8AdABfAE0AZQB0AGgAYQBuAGUAXwBFAHEAdQBhAHQAaQBvAG4AcwAuAFYARQBFAFIARwBfADQAXwAxAF8AMQBfADEAXwBfADUAXwBWAG8AbABhAHQAaQBsAGUAUwBvAGwAaQBkAFAAcgBvAGQAdQBjAHQAaQBvAG4AXwBWAGEAcgBpAGEAYgBsAGUAIgAsACIATQBNAFMAXwBGAGUAZQBkAGwAbwB0AF8ATQBlAHQAaABhAG4AZQBfAEUAcQB1AGEAdABpAG8AbgBzAC4AVgBFAEUAUgBHAF8ANABfADEAXwAxAF8AMQBfAF8ANQBfAFYAbwBsAGEAdABpAGwAZQBTAG8AbABpAGQAUAByAG8AZAB1AGMAdABpAG8AbgBfAFUAbgBpAHQAIgAsACIATQBNAFMAXwBGAGUAZQBkAGwAbwB0AF8ATQBlAHQAaABhAG4AZQBfAEUAcQB1AGEAdABpAG8AbgBzAC4AVgBFAEUAUgBHAF8ANABfADEAXwAxAF8AMQBfAF8ANQBfAFYAbwBsAGEAdABpAGwAZQBTAG8AbABpAGQAUAByAG8AZAB1AGMAdABpAG8AbgBfAFMAbwB1AHIAYwBlACIALAAiAE0ATQBTAF8ARgBlAGUAZABsAG8AdABfAE0AZQB0AGgAYQBuAGUAXwBFAHEAdQBhAHQAaQBvAG4AcwAuAFYARQBFAFIARwBfADQAXwAxAF8AMQBfADEAXwBfADUAXwBWAG8AbABhAHQAaQBsAGUAUwBvAGwAaQBkAFAAcgBvAGQAdQBjAHQAaQBvAG4AXwBOAEkAUgBSAGUAZgBlAHIAZQBuAGMAZQAiACwAIgBNAE0AUwBfAEYAZQBlAGQAbABvAHQAXwBNAGUAdABoAGEAbgBlAF8ARQBxAHUAYQB0AGkAbwBuAHMALgBWAEUARQBSAEcAXwA0AF8AMQBfADEAXwAxAF8AXwA1AF8AVgBvAGwAYQB0AGkAbABlAFMAbwBsAGkAZABQAHIAbwBkAHUAYwB0AGkAbwBuAF8ATABhAHQAZQB4AEUAcQB1AGEAdABpAG8AbgAiACwAIgBNAE0AUwBfAEYAZQBlAGQAbABvAHQAXwBNAGUAdABoAGEAbgBlAF8ARQBxAHUAYQB0AGkAbwBuAHMALgBWAEUARQBSAEcAXwA0AF8AMQBfADEAXwAxAF8AXwA1AF8AVgBvAGwAYQB0AGkAbABlAFMAbwBsAGkAZABQAHIAbwBkAHUAYwB0AGkAbwBuAF8AQQByAGcAdQBtAGUAbgB0AHMAIgAsACIATQBNAFMAXwBGAGUAZQBkAGwAbwB0AF8ATQBhAG4AdQByAGUAQQBwAHAAbABpAGUAZABUAG8AUwBvAGkAbABzAF8ARQBxAHUAYQB0AGkAbwBuAHMALgBWAEUARQBSAEcAXwA0AF8AMQBfADEAXwA5AF8AXwAxAF8ATQBhAHMAcwBPAGYATgBpAHQAcgBvAGcAZQBuAEEAcABwAGwAaQBlAGQAVABvAFMAbwBpAGwAcwBTAGMAbwBwAGUAMQAiACwAIgBNAE0AUwBfAEYAZQBlAGQAbABvAHQAXwBNAGEAbgB1AHIAZQBBAHAAcABsAGkAZQBkAFQAbwBTAG8AaQBsAHMAXwBFAHEAdQBhAHQAaQBvAG4AcwAuAFYARQBFAFIARwBfADQAXwAxAF8AMQBfADkAXwBfADEAXwBNAGEAcwBzAE8AZgBOAGkAdAByAG8AZwBlAG4AQQBwAHAAbABpAGUAZABUAG8AUwBvAGkAbABzAFMAYwBvAHAAZQAxAF8AVABpAHQAbABlACIALAAiAE0ATQBTAF8ARgBlAGUAZABsAG8AdABfAE0AYQBuAHUAcgBlAEEAcABwAGwAaQBlAGQAVABvAFMAbwBpAGwAcwBfAEUAcQB1AGEAdABpAG8AbgBzAC4AVgBFAEUAUgBHAF8ANABfADEAXwAxAF8AOQBfAF8AMQBfAE0AYQBzAHMATwBmAE4AaQB0AHIAbwBnAGUAbgBBAHAAcABsAGkAZQBkAFQAbwBTAG8AaQBsAHMAUwBjAG8AcABlADEAXwBWAGEAcgBpAGEAYgBsAGUAIgAsACIATQBNAFMAXwBGAGUAZQBkAGwAbwB0AF8ATQBhAG4AdQByAGUAQQBwAHAAbABpAGUAZABUAG8AUwBvAGkAbABzAF8ARQBxAHUAYQB0AGkAbwBuAHMALgBWAEUARQBSAEcAXwA0AF8AMQBfADEAXwA5AF8AXwAxAF8ATQBhAHMAcwBPAGYATgBpAHQAcgBvAGcAZQBuAEEAcABwAGwAaQBlAGQAVABvAFMAbwBpAGwAcwBTAGMAbwBwAGUAMQBfAFUAbgBpAHQAIgAsACIATQBNAFMAXwBGAGUAZQBkAGwAbwB0AF8ATQBhAG4AdQByAGUAQQBwAHAAbABpAGUAZABUAG8AUwBvAGkAbABzAF8ARQBxAHUAYQB0AGkAbwBuAHMALgBWAEUARQBSAEcAXwA0AF8AMQBfADEAXwA5AF8AXwAxAF8ATQBhAHMAcwBPAGYATgBpAHQAcgBvAGcAZQBuAEEAcABwAGwAaQBlAGQAVABvAFMAbwBpAGwAcwBTAGMAbwBwAGUAMQBfAFMAbwB1AHIAYwBlACIALAAiAE0ATQBTAF8ARgBlAGUAZABsAG8AdABfAE0AYQBuAHUAcgBlAEEAcABwAGwAaQBlAGQAVABvAFMAbwBpAGwAcwBfAEUAcQB1AGEAdABpAG8AbgBzAC4AVgBFAEUAUgBHAF8ANABfADEAXwAxAF8AOQBfAF8AMQBfAE0AYQBzAHMATwBmAE4AaQB0AHIAbwBnAGUAbgBBAHAAcABsAGkAZQBkAFQAbwBTAG8AaQBsAHMAUwBjAG8AcABlADEAXwBOAEkAUgBSAGUAZgBlAHIAZQBuAGMAZQAiACwAIgBNAE0AUwBfAEYAZQBlAGQAbABvAHQAXwBNAGEAbgB1AHIAZQBBAHAAcABsAGkAZQBkAFQAbwBTAG8AaQBsAHMAXwBFAHEAdQBhAHQAaQBvAG4AcwAuAFYARQBFAFIARwBfADQAXwAxAF8AMQBfADkAXwBfADEAXwBNAGEAcwBzAE8AZgBOAGkAdAByAG8AZwBlAG4AQQBwAHAAbABpAGUAZABUAG8AUwBvAGkAbABzAFMAYwBvAHAAZQAxAF8ATABhAHQAZQB4AEUAcQB1AGEAdABpAG8AbgAiACwAIgBNAE0AUwBfAEYAZQBlAGQAbABvAHQAXwBNAGEAbgB1AHIAZQBBAHAAcABsAGkAZQBkAFQAbwBTAG8AaQBsAHMAXwBFAHEAdQBhAHQAaQBvAG4AcwAuAFYARQBFAFIARwBfADQAXwAxAF8AMQBfADkAXwBfADEAXwBNAGEAcwBzAE8AZgBOAGkAdAByAG8AZwBlAG4AQQBwAHAAbABpAGUAZABUAG8AUwBvAGkAbABzAFMAYwBvAHAAZQAxAF8AQQByAGcAdQBtAGUAbgB0AHMAIgAsACIATQBNAFMAXwBGAGUAZQBkAGwAbwB0AF8ATQBhAG4AdQByAGUAQQBwAHAAbABpAGUAZABUAG8AUwBvAGkAbABzAF8ARQBxAHUAYQB0AGkAbwBuAHMALgBWAEUARQBSAEcAXwA0AF8AMQBfADEAXwA5AF8AXwAyAF8ATQBhAHMAcwBPAGYATgBpAHQAcgBvAGcAZQBuAEEAcABwAGwAaQBlAGQAVABvAFMAbwBpAGwAcwBTAGMAbwBwAGUAMwAiACwAIgBNAE0AUwBfAEYAZQBlAGQAbABvAHQAXwBNAGEAbgB1AHIAZQBBAHAAcABsAGkAZQBkAFQAbwBTAG8AaQBsAHMAXwBFAHEAdQBhAHQAaQBvAG4AcwAuAFYARQBFAFIARwBfADQAXwAxAF8AMQBfADkAXwBfADIAXwBNAGEAcwBzAE8AZgBOAGkAdAByAG8AZwBlAG4AQQBwAHAAbABpAGUAZABUAG8AUwBvAGkAbABzAFMAYwBvAHAAZQAzAF8AVABpAHQAbABlACIALAAiAE0ATQBTAF8ARgBlAGUAZABsAG8AdABfAE0AYQBuAHUAcgBlAEEAcABwAGwAaQBlAGQAVABvAFMAbwBpAGwAcwBfAEUAcQB1AGEAdABpAG8AbgBzAC4AVgBFAEUAUgBHAF8ANABfADEAXwAxAF8AOQBfAF8AMgBfAE0AYQBzAHMATwBmAE4AaQB0AHIAbwBnAGUAbgBBAHAAcABsAGkAZQBkAFQAbwBTAG8AaQBsAHMAUwBjAG8AcABlADMAXwBWAGEAcgBpAGEAYgBsAGUAIgAsACIATQBNAFMAXwBGAGUAZQBkAGwAbwB0AF8ATQBhAG4AdQByAGUAQQBwAHAAbABpAGUAZABUAG8AUwBvAGkAbABzAF8ARQBxAHUAYQB0AGkAbwBuAHMALgBWAEUARQBSAEcAXwA0AF8AMQBfADEAXwA5AF8AXwAyAF8ATQBhAHMAcwBPAGYATgBpAHQAcgBvAGcAZQBuAEEAcABwAGwAaQBlAGQAVABvAFMAbwBpAGwAcwBTAGMAbwBwAGUAMwBfAFUAbgBpAHQAIgAsACIATQBNAFMAXwBGAGUAZQBkAGwAbwB0AF8ATQBhAG4AdQByAGUAQQBwAHAAbABpAGUAZABUAG8AUwBvAGkAbABzAF8ARQBxAHUAYQB0AGkAbwBuAHMALgBWAEUARQBSAEcAXwA0AF8AMQBfADEAXwA5AF8AXwAyAF8ATQBhAHMAcwBPAGYATgBpAHQAcgBvAGcAZQBuAEEAcABwAGwAaQBlAGQAVABvAFMAbwBpAGwAcwBTAGMAbwBwAGUAMwBfAFMAbwB1AHIAYwBlACIALAAiAE0ATQBTAF8ARgBlAGUAZABsAG8AdABfAE0AYQBuAHUAcgBlAEEAcABwAGwAaQBlAGQAVABvAFMAbwBpAGwAcwBfAEUAcQB1AGEAdABpAG8AbgBzAC4AVgBFAEUAUgBHAF8ANABfADEAXwAxAF8AOQBfAF8AMgBfAE0AYQBzAHMATwBmAE4AaQB0AHIAbwBnAGUAbgBBAHAAcABsAGkAZQBkAFQAbwBTAG8AaQBsAHMAUwBjAG8AcABlADMAXwBOAEkAUgBSAGUAZgBlAHIAZQBuAGMAZQAiACwAIgBNAE0AUwBfAEYAZQBlAGQAbABvAHQAXwBNAGEAbgB1AHIAZQBBAHAAcABsAGkAZQBkAFQAbwBTAG8AaQBsAHMAXwBFAHEAdQBhAHQAaQBvAG4AcwAuAFYARQBFAFIARwBfADQAXwAxAF8AMQBfADkAXwBfADIAXwBNAGEAcwBzAE8AZgBOAGkAdAByAG8AZwBlAG4AQQBwAHAAbABpAGUAZABUAG8AUwBvAGkAbABzAFMAYwBvAHAAZQAzAF8ATABhAHQAZQB4AEUAcQB1AGEAdABpAG8AbgAiACwAIgBNAE0AUwBfAEYAZQBlAGQAbABvAHQAXwBNAGEAbgB1AHIAZQBBAHAAcABsAGkAZQBkAFQAbwBTAG8AaQBsAHMAXwBFAHEAdQBhAHQAaQBvAG4AcwAuAFYARQBFAFIARwBfADQAXwAxAF8AMQBfADkAXwBfADIAXwBNAGEAcwBzAE8AZgBOAGkAdAByAG8AZwBlAG4AQQBwAHAAbABpAGUAZABUAG8AUwBvAGkAbABzAFMAYwBvAHAAZQAzAF8AQQByAGcAdQBtAGUAbgB0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UAGkAdA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WAGEAcgBpAGEAYg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VAG4AaQB0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UwBvAHUAcgBj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OAEkAUgBSAGUAZgBlAHIAZQBu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wAYQB0AGUAeABFAHEAdQBhAHQAaQBvAG4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BAHIAZwB1AG0AZQBuAHQAcwAiACwAIgBNAE0AUwBfAEYAZQBlAGQAbABvAHQAXwBBAHQAbQBvAHMAcABoAGUAcgBpAGMARABlAHAAbwBzAGkAdABpAG8AbgBfAEUAcQB1AGEAdABpAG8AbgBzAC4AVgBFAEUAUgBHAF8ANABfADEAXwAxAF8ANQBfAF8AMgBfAFYAbwBsAGEAdABpAGwAaQBzAGUAZABOAGkAdAByAG8AZwBlAG4ARgByAG8AbQBNAGEAbgB1AHIAZQBNAGEAbgBhAGcAZQBtAGUAbg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UAGkAdABs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FYAYQByAGkAYQBi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QBuAGkAdAAiACwAIgBNAE0AUwBfAEYAZQBlAGQAbABvAHQAXwBBAHQAbQBvAHMAcABoAGUAcgBpAGMARABlAHAAbwBzAGkAdABpAG8AbgBfAEUAcQB1AGEAdABpAG8AbgBzAC4AVgBFAEUAUgBHAF8ANABfADEAXwAxAF8ANQBfAF8AMgBfAFYAbwBsAGEAdABpAGwAaQBzAGUAZABOAGkAdAByAG8AZwBlAG4ARgByAG8AbQBNAGEAbgB1AHIAZQBNAGEAbgBhAGcAZQBtAGUAbgB0AF8AUwBvAHUAc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4ASQBSAFIAZQBmAGUAcgBlAG4AYw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MAGEAdABlAHgARQBxAHUAYQB0AGkAbwBuACIALAAiAE0ATQBTAF8ARgBlAGUAZABsAG8AdABfAEEAdABtAG8AcwBwAGgAZQByAGkAYwBEAGUAcABvAHMAaQB0AGkAbwBuAF8ARQBxAHUAYQB0AGkAbwBuAHMALgBWAEUARQBSAEcAXwA0AF8AMQBfADEAXwA1AF8AXwAyAF8AVgBvAGwAYQB0AGkAbABpAHMAZQBkAE4AaQB0AHIAbwBnAGUAbgBGAHIAbwBtAE0AYQBuAHUAcgBlAE0AYQBuAGEAZwBlAG0AZQBuAHQAXwBBAHIAZwB1AG0AZQBuAHQAcwAiACwAIgBNAE0AUwBfAEYAZQBlAGQAbABvAHQAXwBOADIATwBEAGkAcgBlAGMAdABfAEUAcQB1AGEAdABpAG8AbgBzAC4AVgBFAEUAUgBHAF8ANABfADEAXwAxAF8AMwBfAF8AMQBfAFQAbwB0AGEAbABBAG4AbgB1AGEAbABEAGkAcgBlAGMAdABOAGkAdAByAG8AdQBzAE8AeABpAGQAZQBFAG0AaQBzAHMAaQBvAG4AcwAiACwAIgBNAE0AUwBfAEYAZQBlAGQAbABvAHQAXwBOADIATwBEAGkAcgBlAGMAdABfAEUAcQB1AGEAdABpAG8AbgBzAC4AVgBFAEUAUgBHAF8ANABfADEAXwAxAF8AMwBfAF8AMQBfAFQAbwB0AGEAbABBAG4AbgB1AGEAbABEAGkAcgBlAGMAdABOAGkAdAByAG8AdQBzAE8AeABpAGQAZQBFAG0AaQBzAHMAaQBvAG4AcwBfAFQAaQB0AGwAZQAiACwAIgBNAE0AUwBfAEYAZQBlAGQAbABvAHQAXwBOADIATwBEAGkAcgBlAGMAdABfAEUAcQB1AGEAdABpAG8AbgBzAC4AVgBFAEUAUgBHAF8ANABfADEAXwAxAF8AMwBfAF8AMQBfAFQAbwB0AGEAbABBAG4AbgB1AGEAbABEAGkAcgBlAGMAdABOAGkAdAByAG8AdQBzAE8AeABpAGQAZQBFAG0AaQBzAHMAaQBvAG4AcwBfAFYAYQByAGkAYQBiAGwAZQAiACwAIgBNAE0AUwBfAEYAZQBlAGQAbABvAHQAXwBOADIATwBEAGkAcgBlAGMAdABfAEUAcQB1AGEAdABpAG8AbgBzAC4AVgBFAEUAUgBHAF8ANABfADEAXwAxAF8AMwBfAF8AMQBfAFQAbwB0AGEAbABBAG4AbgB1AGEAbABEAGkAcgBlAGMAdABOAGkAdAByAG8AdQBzAE8AeABpAGQAZQBFAG0AaQBzAHMAaQBvAG4AcwBfAFUAbgBpAHQAIgAsACIATQBNAFMAXwBGAGUAZQBkAGwAbwB0AF8ATgAyAE8ARABpAHIAZQBjAHQAXwBFAHEAdQBhAHQAaQBvAG4AcwAuAFYARQBFAFIARwBfADQAXwAxAF8AMQBfADMAXwBfADEAXwBUAG8AdABhAGwAQQBuAG4AdQBhAGwARABpAHIAZQBjAHQATgBpAHQAcgBvAHUAcwBPAHgAaQBkAGUARQBtAGkAcwBzAGkAbwBuAHMAXwBTAG8AdQByAGMAZQAiACwAIgBNAE0AUwBfAEYAZQBlAGQAbABvAHQAXwBOADIATwBEAGkAcgBlAGMAdABfAEUAcQB1AGEAdABpAG8AbgBzAC4AVgBFAEUAUgBHAF8ANABfADEAXwAxAF8AMwBfAF8AMQBfAFQAbwB0AGEAbABBAG4AbgB1AGEAbABEAGkAcgBlAGMAdABOAGkAdAByAG8AdQBzAE8AeABpAGQAZQBFAG0AaQBzAHMAaQBvAG4AcwBfAE4ASQBSAFIAZQBmAGUAcgBlAG4AYwBlACIALAAiAE0ATQBTAF8ARgBlAGUAZABsAG8AdABfAE4AMgBPAEQAaQByAGUAYwB0AF8ARQBxAHUAYQB0AGkAbwBuAHMALgBWAEUARQBSAEcAXwA0AF8AMQBfADEAXwAzAF8AXwAxAF8AVABvAHQAYQBsAEEAbgBuAHUAYQBsAEQAaQByAGUAYwB0AE4AaQB0AHIAbwB1AHMATwB4AGkAZABlAEUAbQBpAHMAcwBpAG8AbgBzAF8ATABhAHQAZQB4AEUAcQB1AGEAdABpAG8AbgAiACwAIgBNAE0AUwBfAEYAZQBlAGQAbABvAHQAXwBOADIATwBEAGkAcgBlAGMAdABfAEUAcQB1AGEAdABpAG8AbgBzAC4AVgBFAEUAUgBHAF8ANABfADEAXwAxAF8AMwBfAF8AMQBfAFQAbwB0AGEAbABBAG4AbgB1AGEAbABEAGkAcgBlAGMAdABOAGkAdAByAG8AdQBzAE8AeABpAGQAZQBFAG0AaQBzAHMAaQBvAG4AcwBfAEEAcgBnAHUAbQBlAG4AdABzACIALAAiAE0ATQBTAF8ARgBlAGUAZABsAG8AdABfAE4AMgBPAEQAaQByAGUAYwB0AF8ARQBxAHUAYQB0AGkAbwBuAHMALgBWAEUARQBSAEcAXwA0AF8AMQBfADEAXwAzAF8AXwAyAF8AUwB0AGEAZwBlADEATgBpAHQAcgBvAGcAZQBuAEkAbgBNAE0AUwBEAHIAeQBsAG8AdAAiACwAIgBNAE0AUwBfAEYAZQBlAGQAbABvAHQAXwBOADIATwBEAGkAcgBlAGMAdABfAEUAcQB1AGEAdABpAG8AbgBzAC4AVgBFAEUAUgBHAF8ANABfADEAXwAxAF8AMwBfAF8AMgBfAFMAdABhAGcAZQAxAE4AaQB0AHIAbwBnAGUAbgBJAG4ATQBNAFMARAByAHkAbABvAHQAXwBUAGkAdABsAGUAIgAsACIATQBNAFMAXwBGAGUAZQBkAGwAbwB0AF8ATgAyAE8ARABpAHIAZQBjAHQAXwBFAHEAdQBhAHQAaQBvAG4AcwAuAFYARQBFAFIARwBfADQAXwAxAF8AMQBfADMAXwBfADIAXwBTAHQAYQBnAGUAMQBOAGkAdAByAG8AZwBlAG4ASQBuAE0ATQBTAEQAcgB5AGwAbwB0AF8AVgBhAHIAaQBhAGIAbABlACIALAAiAE0ATQBTAF8ARgBlAGUAZABsAG8AdABfAE4AMgBPAEQAaQByAGUAYwB0AF8ARQBxAHUAYQB0AGkAbwBuAHMALgBWAEUARQBSAEcAXwA0AF8AMQBfADEAXwAzAF8AXwAyAF8AUwB0AGEAZwBlADEATgBpAHQAcgBvAGcAZQBuAEkAbgBNAE0AUwBEAHIAeQBsAG8AdABfAFUAbgBpAHQAIgAsACIATQBNAFMAXwBGAGUAZQBkAGwAbwB0AF8ATgAyAE8ARABpAHIAZQBjAHQAXwBFAHEAdQBhAHQAaQBvAG4AcwAuAFYARQBFAFIARwBfADQAXwAxAF8AMQBfADMAXwBfADIAXwBTAHQAYQBnAGUAMQBOAGkAdAByAG8AZwBlAG4ASQBuAE0ATQBTAEQAcgB5AGwAbwB0AF8AUwBvAHUAcgBjAGUAIgAsACIATQBNAFMAXwBGAGUAZQBkAGwAbwB0AF8ATgAyAE8ARABpAHIAZQBjAHQAXwBFAHEAdQBhAHQAaQBvAG4AcwAuAFYARQBFAFIARwBfADQAXwAxAF8AMQBfADMAXwBfADIAXwBTAHQAYQBnAGUAMQBOAGkAdAByAG8AZwBlAG4ASQBuAE0ATQBTAEQAcgB5AGwAbwB0AF8ATgBJAFIAUgBlAGYAZQByAGUAbgBjAGUAIgAsACIATQBNAFMAXwBGAGUAZQBkAGwAbwB0AF8ATgAyAE8ARABpAHIAZQBjAHQAXwBFAHEAdQBhAHQAaQBvAG4AcwAuAFYARQBFAFIARwBfADQAXwAxAF8AMQBfADMAXwBfADIAXwBTAHQAYQBnAGUAMQBOAGkAdAByAG8AZwBlAG4ASQBuAE0ATQBTAEQAcgB5AGwAbwB0AF8ATABhAHQAZQB4AEUAcQB1AGEAdABpAG8AbgAiACwAIgBNAE0AUwBfAEYAZQBlAGQAbABvAHQAXwBOADIATwBEAGkAcgBlAGMAdABfAEUAcQB1AGEAdABpAG8AbgBzAC4AVgBFAEUAUgBHAF8ANABfADEAXwAxAF8AMwBfAF8AMgBfAFMAdABhAGcAZQAxAE4AaQB0AHIAbwBnAGUAbgBJAG4ATQBNAFMARAByAHkAbABvAHQAXwBBAHIAZwB1AG0AZQBuAHQAcwAiACwAIgBNAE0AUwBfAEYAZQBlAGQAbABvAHQAXwBOADIATwBEAGkAcgBlAGMAdABfAEUAcQB1AGEAdABpAG8AbgBzAC4AVgBFAEUAUgBHAF8ANABfADEAXwAxAF8AMwBfAF8AMwBfAEEAbgBuAHUAYQBsAE4AaQB0AHIAbwBnAGUAbgBFAHgAYwByAGUAdABpAG8AbgAiACwAIgBNAE0AUwBfAEYAZQBlAGQAbABvAHQAXwBOADIATwBEAGkAcgBlAGMAdABfAEUAcQB1AGEAdABpAG8AbgBzAC4AVgBFAEUAUgBHAF8ANABfADEAXwAxAF8AMwBfAF8AMwBfAEEAbgBuAHUAYQBsAE4AaQB0AHIAbwBnAGUAbgBFAHgAYwByAGUAdABpAG8AbgBfAFQAaQB0AGwAZQAiACwAIgBNAE0AUwBfAEYAZQBlAGQAbABvAHQAXwBOADIATwBEAGkAcgBlAGMAdABfAEUAcQB1AGEAdABpAG8AbgBzAC4AVgBFAEUAUgBHAF8ANABfADEAXwAxAF8AMwBfAF8AMwBfAEEAbgBuAHUAYQBsAE4AaQB0AHIAbwBnAGUAbgBFAHgAYwByAGUAdABpAG8AbgBfAFYAYQByAGkAYQBiAGwAZQAiACwAIgBNAE0AUwBfAEYAZQBlAGQAbABvAHQAXwBOADIATwBEAGkAcgBlAGMAdABfAEUAcQB1AGEAdABpAG8AbgBzAC4AVgBFAEUAUgBHAF8ANABfADEAXwAxAF8AMwBfAF8AMwBfAEEAbgBuAHUAYQBsAE4AaQB0AHIAbwBnAGUAbgBFAHgAYwByAGUAdABpAG8AbgBfAFUAbgBpAHQAIgAsACIATQBNAFMAXwBGAGUAZQBkAGwAbwB0AF8ATgAyAE8ARABpAHIAZQBjAHQAXwBFAHEAdQBhAHQAaQBvAG4AcwAuAFYARQBFAFIARwBfADQAXwAxAF8AMQBfADMAXwBfADMAXwBBAG4AbgB1AGEAbABOAGkAdAByAG8AZwBlAG4ARQB4AGMAcgBlAHQAaQBvAG4AXwBTAG8AdQByAGMAZQAiACwAIgBNAE0AUwBfAEYAZQBlAGQAbABvAHQAXwBOADIATwBEAGkAcgBlAGMAdABfAEUAcQB1AGEAdABpAG8AbgBzAC4AVgBFAEUAUgBHAF8ANABfADEAXwAxAF8AMwBfAF8AMwBfAEEAbgBuAHUAYQBsAE4AaQB0AHIAbwBnAGUAbgBFAHgAYwByAGUAdABpAG8AbgBfAE4ASQBSAFIAZQBmAGUAcgBlAG4AYwBlACIALAAiAE0ATQBTAF8ARgBlAGUAZABsAG8AdABfAE4AMgBPAEQAaQByAGUAYwB0AF8ARQBxAHUAYQB0AGkAbwBuAHMALgBWAEUARQBSAEcAXwA0AF8AMQBfADEAXwAzAF8AXwAzAF8AQQBuAG4AdQBhAGwATgBpAHQAcgBvAGcAZQBuAEUAeABjAHIAZQB0AGkAbwBuAF8ATABhAHQAZQB4AEUAcQB1AGEAdABpAG8AbgAiACwAIgBNAE0AUwBfAEYAZQBlAGQAbABvAHQAXwBOADIATwBEAGkAcgBlAGMAdABfAEUAcQB1AGEAdABpAG8AbgBzAC4AVgBFAEUAUgBHAF8ANABfADEAXwAxAF8AMwBfAF8AMwBfAEEAbgBuAHUAYQBsAE4AaQB0AHIAbwBnAGUAbgBFAHgAYwByAGUAdABpAG8AbgBfAEEAcgBnAHUAbQBlAG4AdABzACIALAAiAE0ATQBTAF8ARgBlAGUAZABsAG8AdABfAE4AMgBPAEQAaQByAGUAYwB0AF8ARQBxAHUAYQB0AGkAbwBuAHMALgBWAEUARQBSAEcAXwA0AF8AMQBfADEAXwAzAF8AXwA0AF8ATgBpAHQAcgBvAGcAZQBuAEUAeABjAHIAZQB0AGkAbwBuAFAAZQByAEgAZQBhAGQAIgAsACIATQBNAFMAXwBGAGUAZQBkAGwAbwB0AF8ATgAyAE8ARABpAHIAZQBjAHQAXwBFAHEAdQBhAHQAaQBvAG4AcwAuAFYARQBFAFIARwBfADQAXwAxAF8AMQBfADMAXwBfADQAXwBOAGkAdAByAG8AZwBlAG4ARQB4AGMAcgBlAHQAaQBvAG4AUABlAHIASABlAGEAZABfAFQAaQB0AGwAZQAiACwAIgBNAE0AUwBfAEYAZQBlAGQAbABvAHQAXwBOADIATwBEAGkAcgBlAGMAdABfAEUAcQB1AGEAdABpAG8AbgBzAC4AVgBFAEUAUgBHAF8ANABfADEAXwAxAF8AMwBfAF8ANABfAE4AaQB0AHIAbwBnAGUAbgBFAHgAYwByAGUAdABpAG8AbgBQAGUAcgBIAGUAYQBkAF8AVgBhAHIAaQBhAGIAbABlACIALAAiAE0ATQBTAF8ARgBlAGUAZABsAG8AdABfAE4AMgBPAEQAaQByAGUAYwB0AF8ARQBxAHUAYQB0AGkAbwBuAHMALgBWAEUARQBSAEcAXwA0AF8AMQBfADEAXwAzAF8AXwA0AF8ATgBpAHQAcgBvAGcAZQBuAEUAeABjAHIAZQB0AGkAbwBuAFAAZQByAEgAZQBhAGQAXwBVAG4AaQB0ACIALAAiAE0ATQBTAF8ARgBlAGUAZABsAG8AdABfAE4AMgBPAEQAaQByAGUAYwB0AF8ARQBxAHUAYQB0AGkAbwBuAHMALgBWAEUARQBSAEcAXwA0AF8AMQBfADEAXwAzAF8AXwA0AF8ATgBpAHQAcgBvAGcAZQBuAEUAeABjAHIAZQB0AGkAbwBuAFAAZQByAEgAZQBhAGQAXwBTAG8AdQByAGMAZQAiACwAIgBNAE0AUwBfAEYAZQBlAGQAbABvAHQAXwBOADIATwBEAGkAcgBlAGMAdABfAEUAcQB1AGEAdABpAG8AbgBzAC4AVgBFAEUAUgBHAF8ANABfADEAXwAxAF8AMwBfAF8ANABfAE4AaQB0AHIAbwBnAGUAbgBFAHgAYwByAGUAdABpAG8AbgBQAGUAcgBIAGUAYQBkAF8ATgBJAFIAUgBlAGYAZQByAGUAbgBjAGUAIgAsACIATQBNAFMAXwBGAGUAZQBkAGwAbwB0AF8ATgAyAE8ARABpAHIAZQBjAHQAXwBFAHEAdQBhAHQAaQBvAG4AcwAuAFYARQBFAFIARwBfADQAXwAxAF8AMQBfADMAXwBfADQAXwBOAGkAdAByAG8AZwBlAG4ARQB4AGMAcgBlAHQAaQBvAG4AUABlAHIASABlAGEAZABfAEwAYQB0AGUAeABFAHEAdQBhAHQAaQBvAG4AIgAsACIATQBNAFMAXwBGAGUAZQBkAGwAbwB0AF8ATgAyAE8ARABpAHIAZQBjAHQAXwBFAHEAdQBhAHQAaQBvAG4AcwAuAFYARQBFAFIARwBfADQAXwAxAF8AMQBfADMAXwBfADQAXwBOAGkAdAByAG8AZwBlAG4ARQB4AGMAcgBlAHQAaQBvAG4AUABlAHIASABlAGEAZABfAEEAcgBnAHUAbQBlAG4AdABzACIALAAiAE0ATQBTAF8ARgBlAGUAZABsAG8AdABfAE4AMgBPAEQAaQByAGUAYwB0AF8ARQBxAHUAYQB0AGkAbwBuAHMALgBWAEUARQBSAEcAXwA0AF8AMQBfADEAXwAzAF8AXwA1AF8ATgBpAHQAcgBvAGcAZQBuAEkAbgB0AGEAawBlACIALAAiAE0ATQBTAF8ARgBlAGUAZABsAG8AdABfAE4AMgBPAEQAaQByAGUAYwB0AF8ARQBxAHUAYQB0AGkAbwBuAHMALgBWAEUARQBSAEcAXwA0AF8AMQBfADEAXwAzAF8AXwA1AF8ATgBpAHQAcgBvAGcAZQBuAEkAbgB0AGEAawBlAF8AVABpAHQAbABlACIALAAiAE0ATQBTAF8ARgBlAGUAZABsAG8AdABfAE4AMgBPAEQAaQByAGUAYwB0AF8ARQBxAHUAYQB0AGkAbwBuAHMALgBWAEUARQBSAEcAXwA0AF8AMQBfADEAXwAzAF8AXwA1AF8ATgBpAHQAcgBvAGcAZQBuAEkAbgB0AGEAawBlAF8AVgBhAHIAaQBhAGIAbABlACIALAAiAE0ATQBTAF8ARgBlAGUAZABsAG8AdABfAE4AMgBPAEQAaQByAGUAYwB0AF8ARQBxAHUAYQB0AGkAbwBuAHMALgBWAEUARQBSAEcAXwA0AF8AMQBfADEAXwAzAF8AXwA1AF8ATgBpAHQAcgBvAGcAZQBuAEkAbgB0AGEAawBlAF8AVQBuAGkAdAAiACwAIgBNAE0AUwBfAEYAZQBlAGQAbABvAHQAXwBOADIATwBEAGkAcgBlAGMAdABfAEUAcQB1AGEAdABpAG8AbgBzAC4AVgBFAEUAUgBHAF8ANABfADEAXwAxAF8AMwBfAF8ANQBfAE4AaQB0AHIAbwBnAGUAbgBJAG4AdABhAGsAZQBfAFMAbwB1AHIAYwBlACIALAAiAE0ATQBTAF8ARgBlAGUAZABsAG8AdABfAE4AMgBPAEQAaQByAGUAYwB0AF8ARQBxAHUAYQB0AGkAbwBuAHMALgBWAEUARQBSAEcAXwA0AF8AMQBfADEAXwAzAF8AXwA1AF8ATgBpAHQAcgBvAGcAZQBuAEkAbgB0AGEAawBlAF8ATgBJAFIAUgBlAGYAZQByAGUAbgBjAGUAIgAsACIATQBNAFMAXwBGAGUAZQBkAGwAbwB0AF8ATgAyAE8ARABpAHIAZQBjAHQAXwBFAHEAdQBhAHQAaQBvAG4AcwAuAFYARQBFAFIARwBfADQAXwAxAF8AMQBfADMAXwBfADUAXwBOAGkAdAByAG8AZwBlAG4ASQBuAHQAYQBrAGUAXwBMAGEAdABlAHgARQBxAHUAYQB0AGkAbwBuACIALAAiAE0ATQBTAF8ARgBlAGUAZABsAG8AdABfAE4AMgBPAEQAaQByAGUAYwB0AF8ARQBxAHUAYQB0AGkAbwBuAHMALgBWAEUARQBSAEcAXwA0AF8AMQBfADEAXwAzAF8AXwA1AF8ATgBpAHQAcgBvAGcAZQBuAEkAbgB0AGEAawBlAF8AQQByAGcAdQBtAGUAbgB0AHMAIgAsACIATQBNAFMAXwBGAGUAZQBkAGwAbwB0AF8ATgAyAE8ARABpAHIAZQBjAHQAXwBFAHEAdQBhAHQAaQBvAG4AcwAuAFYARQBFAFIARwBfADQAXwAxAF8AMQBfADMAXwBfADYAXwBTAHQAYQBnAGUAMgBOAGkAdAByAG8AZwBlAG4ASQBuAE0ATQBTACIALAAiAE0ATQBTAF8ARgBlAGUAZABsAG8AdABfAE4AMgBPAEQAaQByAGUAYwB0AF8ARQBxAHUAYQB0AGkAbwBuAHMALgBWAEUARQBSAEcAXwA0AF8AMQBfADEAXwAzAF8AXwA2AF8AUwB0AGEAZwBlADIATgBpAHQAcgBvAGcAZQBuAEkAbgBNAE0AUwBfAFQAaQB0AGwAZQAiACwAIgBNAE0AUwBfAEYAZQBlAGQAbABvAHQAXwBOADIATwBEAGkAcgBlAGMAdABfAEUAcQB1AGEAdABpAG8AbgBzAC4AVgBFAEUAUgBHAF8ANABfADEAXwAxAF8AMwBfAF8ANgBfAFMAdABhAGcAZQAyAE4AaQB0AHIAbwBnAGUAbgBJAG4ATQBNAFMAXwBWAGEAcgBpAGEAYgBsAGUAIgAsACIATQBNAFMAXwBGAGUAZQBkAGwAbwB0AF8ATgAyAE8ARABpAHIAZQBjAHQAXwBFAHEAdQBhAHQAaQBvAG4AcwAuAFYARQBFAFIARwBfADQAXwAxAF8AMQBfADMAXwBfADYAXwBTAHQAYQBnAGUAMgBOAGkAdAByAG8AZwBlAG4ASQBuAE0ATQBTAF8AVQBuAGkAdAAiACwAIgBNAE0AUwBfAEYAZQBlAGQAbABvAHQAXwBOADIATwBEAGkAcgBlAGMAdABfAEUAcQB1AGEAdABpAG8AbgBzAC4AVgBFAEUAUgBHAF8ANABfADEAXwAxAF8AMwBfAF8ANgBfAFMAdABhAGcAZQAyAE4AaQB0AHIAbwBnAGUAbgBJAG4ATQBNAFMAXwBTAG8AdQByAGMAZQAiACwAIgBNAE0AUwBfAEYAZQBlAGQAbABvAHQAXwBOADIATwBEAGkAcgBlAGMAdABfAEUAcQB1AGEAdABpAG8AbgBzAC4AVgBFAEUAUgBHAF8ANABfADEAXwAxAF8AMwBfAF8ANgBfAFMAdABhAGcAZQAyAE4AaQB0AHIAbwBnAGUAbgBJAG4ATQBNAFMAXwBOAEkAUgBSAGUAZgBlAHIAZQBuAGMAZQAiACwAIgBNAE0AUwBfAEYAZQBlAGQAbABvAHQAXwBOADIATwBEAGkAcgBlAGMAdABfAEUAcQB1AGEAdABpAG8AbgBzAC4AVgBFAEUAUgBHAF8ANABfADEAXwAxAF8AMwBfAF8ANgBfAFMAdABhAGcAZQAyAE4AaQB0AHIAbwBnAGUAbgBJAG4ATQBNAFMAXwBMAGEAdABlAHgARQBxAHUAYQB0AGkAbwBuACIALAAiAE0ATQBTAF8ARgBlAGUAZABsAG8AdABfAE4AMgBPAEQAaQByAGUAYwB0AF8ARQBxAHUAYQB0AGkAbwBuAHMALgBWAEUARQBSAEcAXwA0AF8AMQBfADEAXwAzAF8AXwA2AF8AUwB0AGEAZwBlADIATgBpAHQAcgBvAGcAZQBuAEkAbgBNAE0AUwBfAEEAcgBnAHUAbQBlAG4AdABzACIALAAiAE0ATQBTAF8ARgBlAGUAZABsAG8AdABfAE4AMgBPAEQAaQByAGUAYwB0AF8ARQBxAHUAYQB0AGkAbwBuAHMALgBWAEUARQBSAEcAXwA0AF8AMQBfADEAXwAzAF8AXwA3AF8ATgBpAHQAcgBvAGcAZQBuAFQAcgBhAG4AcwBmAGUAcgByAGUAZABUAG8AUwB0AGEAZwBlADIAIgAsACIATQBNAFMAXwBGAGUAZQBkAGwAbwB0AF8ATgAyAE8ARABpAHIAZQBjAHQAXwBFAHEAdQBhAHQAaQBvAG4AcwAuAFYARQBFAFIARwBfADQAXwAxAF8AMQBfADMAXwBfADcAXwBOAGkAdAByAG8AZwBlAG4AVAByAGEAbgBzAGYAZQByAHIAZQBkAFQAbwBTAHQAYQBnAGUAMgBfAFQAaQB0AGwAZQAiACwAIgBNAE0AUwBfAEYAZQBlAGQAbABvAHQAXwBOADIATwBEAGkAcgBlAGMAdABfAEUAcQB1AGEAdABpAG8AbgBzAC4AVgBFAEUAUgBHAF8ANABfADEAXwAxAF8AMwBfAF8ANwBfAE4AaQB0AHIAbwBnAGUAbgBUAHIAYQBuAHMAZgBlAHIAcgBlAGQAVABvAFMAdABhAGcAZQAyAF8AVgBhAHIAaQBhAGIAbABlACIALAAiAE0ATQBTAF8ARgBlAGUAZABsAG8AdABfAE4AMgBPAEQAaQByAGUAYwB0AF8ARQBxAHUAYQB0AGkAbwBuAHMALgBWAEUARQBSAEcAXwA0AF8AMQBfADEAXwAzAF8AXwA3AF8ATgBpAHQAcgBvAGcAZQBuAFQAcgBhAG4AcwBmAGUAcgByAGUAZABUAG8AUwB0AGEAZwBlADIAXwBVAG4AaQB0ACIALAAiAE0ATQBTAF8ARgBlAGUAZABsAG8AdABfAE4AMgBPAEQAaQByAGUAYwB0AF8ARQBxAHUAYQB0AGkAbwBuAHMALgBWAEUARQBSAEcAXwA0AF8AMQBfADEAXwAzAF8AXwA3AF8ATgBpAHQAcgBvAGcAZQBuAFQAcgBhAG4AcwBmAGUAcgByAGUAZABUAG8AUwB0AGEAZwBlADIAXwBTAG8AdQByAGMAZQAiACwAIgBNAE0AUwBfAEYAZQBlAGQAbABvAHQAXwBOADIATwBEAGkAcgBlAGMAdABfAEUAcQB1AGEAdABpAG8AbgBzAC4AVgBFAEUAUgBHAF8ANABfADEAXwAxAF8AMwBfAF8ANwBfAE4AaQB0AHIAbwBnAGUAbgBUAHIAYQBuAHMAZgBlAHIAcgBlAGQAVABvAFMAdABhAGcAZQAyAF8ATgBJAFIAUgBlAGYAZQByAGUAbgBjAGUAIgAsACIATQBNAFMAXwBGAGUAZQBkAGwAbwB0AF8ATgAyAE8ARABpAHIAZQBjAHQAXwBFAHEAdQBhAHQAaQBvAG4AcwAuAFYARQBFAFIARwBfADQAXwAxAF8AMQBfADMAXwBfADcAXwBOAGkAdAByAG8AZwBlAG4AVAByAGEAbgBzAGYAZQByAHIAZQBkAFQAbwBTAHQAYQBnAGUAMgBfAEwAYQB0AGUAeABFAHEAdQBhAHQAaQBvAG4AIgAsACIATQBNAFMAXwBGAGUAZQBkAGwAbwB0AF8ATgAyAE8ARABpAHIAZQBjAHQAXwBFAHEAdQBhAHQAaQBvAG4AcwAuAFYARQBFAFIARwBfADQAXwAxAF8AMQBfADMAXwBfADcAXwBOAGkAdAByAG8AZwBlAG4AVAByAGEAbgBzAGYAZQByAHIAZQBkAFQAbwBTAHQAYQBnAGUAMgBfAEEAcgBnAHUAbQBlAG4AdABzACIALAAiAE0ATQBTAF8ARgBlAGUAZABsAG8AdABfAE4AMgBPAEQAaQByAGUAYwB0AF8ARQBxAHUAYQB0AGkAbwBuAHMALgBWAEUARQBSAEcAXwA0AF8AMQBfADEAXwAzAF8AXwA4AF8AUwB0AGEAZwBlADMATgBpAHQAcgBvAGcAZQBuAEkAbgBNAE0AUwBBAG4AYQBlAHIAbwBiAGkAYwBMAGEAZwBvAG8AbgAiACwAIgBNAE0AUwBfAEYAZQBlAGQAbABvAHQAXwBOADIATwBEAGkAcgBlAGMAdABfAEUAcQB1AGEAdABpAG8AbgBzAC4AVgBFAEUAUgBHAF8ANABfADEAXwAxAF8AMwBfAF8AOABfAFMAdABhAGcAZQAzAE4AaQB0AHIAbwBnAGUAbgBJAG4ATQBNAFMAQQBuAGEAZQByAG8AYgBpAGMATABhAGcAbwBvAG4AXwBUAGkAdABsAGUAIgAsACIATQBNAFMAXwBGAGUAZQBkAGwAbwB0AF8ATgAyAE8ARABpAHIAZQBjAHQAXwBFAHEAdQBhAHQAaQBvAG4AcwAuAFYARQBFAFIARwBfADQAXwAxAF8AMQBfADMAXwBfADgAXwBTAHQAYQBnAGUAMwBOAGkAdAByAG8AZwBlAG4ASQBuAE0ATQBTAEEAbgBhAGUAcgBvAGIAaQBjAEwAYQBnAG8AbwBuAF8AVgBhAHIAaQBhAGIAbABlACIALAAiAE0ATQBTAF8ARgBlAGUAZABsAG8AdABfAE4AMgBPAEQAaQByAGUAYwB0AF8ARQBxAHUAYQB0AGkAbwBuAHMALgBWAEUARQBSAEcAXwA0AF8AMQBfADEAXwAzAF8AXwA4AF8AUwB0AGEAZwBlADMATgBpAHQAcgBvAGcAZQBuAEkAbgBNAE0AUwBBAG4AYQBlAHIAbwBiAGkAYwBMAGEAZwBvAG8AbgBfAFUAbgBpAHQAIgAsACIATQBNAFMAXwBGAGUAZQBkAGwAbwB0AF8ATgAyAE8ARABpAHIAZQBjAHQAXwBFAHEAdQBhAHQAaQBvAG4AcwAuAFYARQBFAFIARwBfADQAXwAxAF8AMQBfADMAXwBfADgAXwBTAHQAYQBnAGUAMwBOAGkAdAByAG8AZwBlAG4ASQBuAE0ATQBTAEEAbgBhAGUAcgBvAGIAaQBjAEwAYQBnAG8AbwBuAF8AUwBvAHUAcgBjAGUAIgAsACIATQBNAFMAXwBGAGUAZQBkAGwAbwB0AF8ATgAyAE8ARABpAHIAZQBjAHQAXwBFAHEAdQBhAHQAaQBvAG4AcwAuAFYARQBFAFIARwBfADQAXwAxAF8AMQBfADMAXwBfADgAXwBTAHQAYQBnAGUAMwBOAGkAdAByAG8AZwBlAG4ASQBuAE0ATQBTAEEAbgBhAGUAcgBvAGIAaQBjAEwAYQBnAG8AbwBuAF8ATgBJAFIAUgBlAGYAZQByAGUAbgBjAGUAIgAsACIATQBNAFMAXwBGAGUAZQBkAGwAbwB0AF8ATgAyAE8ARABpAHIAZQBjAHQAXwBFAHEAdQBhAHQAaQBvAG4AcwAuAFYARQBFAFIARwBfADQAXwAxAF8AMQBfADMAXwBfADgAXwBTAHQAYQBnAGUAMwBOAGkAdAByAG8AZwBlAG4ASQBuAE0ATQBTAEEAbgBhAGUAcgBvAGIAaQBjAEwAYQBnAG8AbwBuAF8ATABhAHQAZQB4AEUAcQB1AGEAdABpAG8AbgAiACwAIgBNAE0AUwBfAEYAZQBlAGQAbABvAHQAXwBOADIATwBEAGkAcgBlAGMAdABfAEUAcQB1AGEAdABpAG8AbgBzAC4AVgBFAEUAUgBHAF8ANABfADEAXwAxAF8AMwBfAF8AOABfAFMAdABhAGcAZQAzAE4AaQB0AHIAbwBnAGUAbgBJAG4ATQBNAFMAQQBuAGEAZQByAG8AYgBpAGMATABhAGcAbwBvAG4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21</vt:i4>
      </vt:variant>
    </vt:vector>
  </HeadingPairs>
  <TitlesOfParts>
    <vt:vector size="35" baseType="lpstr">
      <vt:lpstr>Home</vt:lpstr>
      <vt:lpstr>Overview</vt:lpstr>
      <vt:lpstr>Results</vt:lpstr>
      <vt:lpstr>Input - Site</vt:lpstr>
      <vt:lpstr>Input - Feedlot</vt:lpstr>
      <vt:lpstr>4.1.1.1-2 Methane</vt:lpstr>
      <vt:lpstr>4.1.1.3-4 Direct N20</vt:lpstr>
      <vt:lpstr>4.1.1.5-6 Atmos Deposition</vt:lpstr>
      <vt:lpstr>4.1.1.9 Manure applied to soils</vt:lpstr>
      <vt:lpstr>Constants - Feedlot</vt:lpstr>
      <vt:lpstr>Constants - Common</vt:lpstr>
      <vt:lpstr>Constants - Livestock</vt:lpstr>
      <vt:lpstr>Acknowledgements</vt:lpstr>
      <vt:lpstr>Tab template</vt:lpstr>
      <vt:lpstr>VEERG_4_1_1_1__1_TotalAnnualMethaneEmissions_Result_Method1</vt:lpstr>
      <vt:lpstr>VEERG_4_1_1_1__1_TotalAnnualMethaneEmissions_Result_Method2</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X_Table_Feedlot_HerdMovement</vt:lpstr>
      <vt:lpstr>X_Table_Feedlot_Intake_Method1</vt:lpstr>
      <vt:lpstr>X_Table_Feedlot_Intake_Method2</vt:lpstr>
      <vt:lpstr>X_Table_Feedlot_MMS_Stage1</vt:lpstr>
      <vt:lpstr>X_Table_Feedlot_MMS_Stage2</vt:lpstr>
      <vt:lpstr>X_Table_Feedlot_MMS_Stage2_Destinations</vt:lpstr>
      <vt:lpstr>X_Table_Feedlot_MMS_Stage3</vt:lpstr>
      <vt:lpstr>X_Table_Feedlot_MMS_Stage3_Destinations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2026-06-15T04:01:38Z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