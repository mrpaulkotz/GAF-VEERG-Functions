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1E0C3D16-E22E-4582-B001-96DC7E973A7B}" xr6:coauthVersionLast="47" xr6:coauthVersionMax="47" xr10:uidLastSave="{00000000-0000-0000-0000-000000000000}"/>
  <bookViews>
    <workbookView xWindow="1200" yWindow="105"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X_Cell_PastureBeef_Breed">'Input - Pasture Beef'!$E$9</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Coord_PastureBeef_Duration_Method1_Col_Steers2to3Years">'Input - Pasture Beef'!$M$15</definedName>
    <definedName name="X_Table_PastureBeef_Duration_Method1_Col_BullsOver1Year">'Input - Pasture Beef'!$F$15</definedName>
    <definedName name="X_Table_PastureBeef_Duration_Method1_Col_BullsUnder1Year">'Input - Pasture Beef'!$E$15</definedName>
    <definedName name="X_Table_PastureBeef_Duration_Method1_Col_Cows1To2Years">'Input - Pasture Beef'!$H$15</definedName>
    <definedName name="X_Table_PastureBeef_Duration_Method1_Col_Cows2to3Years">'Input - Pasture Beef'!$I$15</definedName>
    <definedName name="X_Table_PastureBeef_Duration_Method1_Col_CowsOver3Years">'Input - Pasture Beef'!$J$15</definedName>
    <definedName name="X_Table_PastureBeef_Duration_Method1_Col_CowsUnder1Year">'Input - Pasture Beef'!$G$15</definedName>
    <definedName name="X_Table_PastureBeef_Duration_Method1_Col_Steers1To2Years">'Input - Pasture Beef'!$L$15</definedName>
    <definedName name="X_Table_PastureBeef_Duration_Method1_Col_SteersOver3Years">'Input - Pasture Beef'!$N$15</definedName>
    <definedName name="X_Table_PastureBeef_Duration_Method1_Col_SteersUnder1Year">'Input - Pasture Beef'!$K$15</definedName>
    <definedName name="X_Table_PastureBeef_Duration_Method1_Row_Spring">'Input - Pasture Beef'!$D$16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F150" i="70" l="1"/>
  <c r="L148" i="70"/>
  <c r="H147" i="70"/>
  <c r="N127" i="70"/>
  <c r="J126" i="70"/>
  <c r="F125" i="70"/>
  <c r="L84" i="70"/>
  <c r="H83" i="70"/>
  <c r="N63" i="70"/>
  <c r="J62" i="70"/>
  <c r="F61" i="70"/>
  <c r="E150" i="70"/>
  <c r="K148" i="70"/>
  <c r="G147" i="70"/>
  <c r="M127" i="70"/>
  <c r="I126" i="70"/>
  <c r="E125" i="70"/>
  <c r="K84" i="70"/>
  <c r="G83" i="70"/>
  <c r="M63" i="70"/>
  <c r="I62" i="70"/>
  <c r="E61" i="70"/>
  <c r="E83" i="70"/>
  <c r="F128" i="70"/>
  <c r="E128" i="70"/>
  <c r="N149" i="70"/>
  <c r="J148" i="70"/>
  <c r="F147" i="70"/>
  <c r="L127" i="70"/>
  <c r="H126" i="70"/>
  <c r="N85" i="70"/>
  <c r="J84" i="70"/>
  <c r="F83" i="70"/>
  <c r="L63" i="70"/>
  <c r="H62" i="70"/>
  <c r="N60" i="70"/>
  <c r="I84" i="70"/>
  <c r="M60" i="70"/>
  <c r="M149" i="70"/>
  <c r="I148" i="70"/>
  <c r="E147" i="70"/>
  <c r="K127" i="70"/>
  <c r="G126" i="70"/>
  <c r="M85" i="70"/>
  <c r="K63" i="70"/>
  <c r="G62" i="70"/>
  <c r="L126" i="70"/>
  <c r="G61" i="70"/>
  <c r="E173" i="70"/>
  <c r="L149" i="70"/>
  <c r="H148" i="70"/>
  <c r="N128" i="70"/>
  <c r="J127" i="70"/>
  <c r="F126" i="70"/>
  <c r="L85" i="70"/>
  <c r="H84" i="70"/>
  <c r="N82" i="70"/>
  <c r="J63" i="70"/>
  <c r="F62" i="70"/>
  <c r="L60" i="70"/>
  <c r="E62" i="70"/>
  <c r="I61" i="70"/>
  <c r="J83" i="70"/>
  <c r="G125" i="70"/>
  <c r="E172" i="70"/>
  <c r="K149" i="70"/>
  <c r="G148" i="70"/>
  <c r="M128" i="70"/>
  <c r="I127" i="70"/>
  <c r="E126" i="70"/>
  <c r="K85" i="70"/>
  <c r="G84" i="70"/>
  <c r="M82" i="70"/>
  <c r="I63" i="70"/>
  <c r="K60" i="70"/>
  <c r="M148" i="70"/>
  <c r="N150" i="70"/>
  <c r="J149" i="70"/>
  <c r="F148" i="70"/>
  <c r="L128" i="70"/>
  <c r="H127" i="70"/>
  <c r="N125" i="70"/>
  <c r="J85" i="70"/>
  <c r="F84" i="70"/>
  <c r="L82" i="70"/>
  <c r="H63" i="70"/>
  <c r="N61" i="70"/>
  <c r="J60" i="70"/>
  <c r="I83" i="70"/>
  <c r="M150" i="70"/>
  <c r="I149" i="70"/>
  <c r="E148" i="70"/>
  <c r="K128" i="70"/>
  <c r="G127" i="70"/>
  <c r="M125" i="70"/>
  <c r="I85" i="70"/>
  <c r="E84" i="70"/>
  <c r="K82" i="70"/>
  <c r="G63" i="70"/>
  <c r="M61" i="70"/>
  <c r="I60" i="70"/>
  <c r="K147" i="70"/>
  <c r="M126" i="70"/>
  <c r="E85" i="70"/>
  <c r="G82" i="70"/>
  <c r="M62" i="70"/>
  <c r="H150" i="70"/>
  <c r="H125" i="70"/>
  <c r="K126" i="70"/>
  <c r="L150" i="70"/>
  <c r="H149" i="70"/>
  <c r="N147" i="70"/>
  <c r="J128" i="70"/>
  <c r="F127" i="70"/>
  <c r="L125" i="70"/>
  <c r="H85" i="70"/>
  <c r="N83" i="70"/>
  <c r="J82" i="70"/>
  <c r="F63" i="70"/>
  <c r="L61" i="70"/>
  <c r="H60" i="70"/>
  <c r="I150" i="70"/>
  <c r="G128" i="70"/>
  <c r="N84" i="70"/>
  <c r="K150" i="70"/>
  <c r="G149" i="70"/>
  <c r="M147" i="70"/>
  <c r="I128" i="70"/>
  <c r="E127" i="70"/>
  <c r="K125" i="70"/>
  <c r="G85" i="70"/>
  <c r="M83" i="70"/>
  <c r="I82" i="70"/>
  <c r="E63" i="70"/>
  <c r="K61" i="70"/>
  <c r="G60" i="70"/>
  <c r="E149" i="70"/>
  <c r="I125" i="70"/>
  <c r="K83" i="70"/>
  <c r="E60" i="70"/>
  <c r="J147" i="70"/>
  <c r="F82" i="70"/>
  <c r="H61" i="70"/>
  <c r="I147" i="70"/>
  <c r="E82" i="70"/>
  <c r="J150" i="70"/>
  <c r="F149" i="70"/>
  <c r="L147" i="70"/>
  <c r="H128" i="70"/>
  <c r="N126" i="70"/>
  <c r="J125" i="70"/>
  <c r="F85" i="70"/>
  <c r="L83" i="70"/>
  <c r="H82" i="70"/>
  <c r="N62" i="70"/>
  <c r="J61" i="70"/>
  <c r="F60" i="70"/>
  <c r="N148" i="70"/>
  <c r="L62" i="70"/>
  <c r="G150" i="70"/>
  <c r="M84" i="70"/>
  <c r="K62" i="70"/>
  <c r="H162" i="70"/>
  <c r="E131" i="70"/>
  <c r="J155" i="70"/>
  <c r="J156" i="70"/>
  <c r="I133" i="70"/>
  <c r="F134" i="70"/>
  <c r="M158" i="70"/>
  <c r="L135" i="70"/>
  <c r="L136" i="70"/>
  <c r="H160" i="70"/>
  <c r="H154" i="70"/>
  <c r="K137" i="70"/>
  <c r="F161" i="70"/>
  <c r="J163" i="70"/>
  <c r="H140" i="70"/>
  <c r="N154" i="70"/>
  <c r="E142" i="70"/>
  <c r="G162" i="70"/>
  <c r="N131" i="70"/>
  <c r="I155" i="70"/>
  <c r="I156" i="70"/>
  <c r="H133" i="70"/>
  <c r="E134" i="70"/>
  <c r="L158" i="70"/>
  <c r="F162" i="70"/>
  <c r="M131" i="70"/>
  <c r="L132" i="70"/>
  <c r="H156" i="70"/>
  <c r="G133" i="70"/>
  <c r="N134" i="70"/>
  <c r="K158" i="70"/>
  <c r="J159" i="70"/>
  <c r="J136" i="70"/>
  <c r="F160" i="70"/>
  <c r="M154" i="70"/>
  <c r="I137" i="70"/>
  <c r="L139" i="70"/>
  <c r="H163" i="70"/>
  <c r="E140" i="70"/>
  <c r="J141" i="70"/>
  <c r="M142" i="70"/>
  <c r="I136" i="70"/>
  <c r="E160" i="70"/>
  <c r="L154" i="70"/>
  <c r="G137" i="70"/>
  <c r="K139" i="70"/>
  <c r="G163" i="70"/>
  <c r="F140" i="70"/>
  <c r="N141" i="70"/>
  <c r="L142" i="70"/>
  <c r="J139" i="70"/>
  <c r="K142" i="70"/>
  <c r="G159" i="70"/>
  <c r="G138" i="70"/>
  <c r="J154" i="70"/>
  <c r="I139" i="70"/>
  <c r="M164" i="70"/>
  <c r="F135" i="70"/>
  <c r="K138" i="70"/>
  <c r="M139" i="70"/>
  <c r="I153" i="70"/>
  <c r="K133" i="70"/>
  <c r="N136" i="70"/>
  <c r="H161" i="70"/>
  <c r="K156" i="70"/>
  <c r="M136" i="70"/>
  <c r="K136" i="70"/>
  <c r="E161" i="70"/>
  <c r="E162" i="70"/>
  <c r="K131" i="70"/>
  <c r="K132" i="70"/>
  <c r="G156" i="70"/>
  <c r="E133" i="70"/>
  <c r="M134" i="70"/>
  <c r="I158" i="70"/>
  <c r="I159" i="70"/>
  <c r="F163" i="70"/>
  <c r="N164" i="70"/>
  <c r="I161" i="70"/>
  <c r="J158" i="70"/>
  <c r="L163" i="70"/>
  <c r="K155" i="70"/>
  <c r="I138" i="70"/>
  <c r="I140" i="70"/>
  <c r="G153" i="70"/>
  <c r="G160" i="70"/>
  <c r="G140" i="70"/>
  <c r="N162" i="70"/>
  <c r="J131" i="70"/>
  <c r="J132" i="70"/>
  <c r="F156" i="70"/>
  <c r="N157" i="70"/>
  <c r="J134" i="70"/>
  <c r="H158" i="70"/>
  <c r="H159" i="70"/>
  <c r="H136" i="70"/>
  <c r="H138" i="70"/>
  <c r="K154" i="70"/>
  <c r="F137" i="70"/>
  <c r="M141" i="70"/>
  <c r="G158" i="70"/>
  <c r="G136" i="70"/>
  <c r="E137" i="70"/>
  <c r="E163" i="70"/>
  <c r="L141" i="70"/>
  <c r="N142" i="70"/>
  <c r="K160" i="70"/>
  <c r="G164" i="70"/>
  <c r="M155" i="70"/>
  <c r="F164" i="70"/>
  <c r="F131" i="70"/>
  <c r="M135" i="70"/>
  <c r="K163" i="70"/>
  <c r="F142" i="70"/>
  <c r="J137" i="70"/>
  <c r="E141" i="70"/>
  <c r="M162" i="70"/>
  <c r="I131" i="70"/>
  <c r="I132" i="70"/>
  <c r="E156" i="70"/>
  <c r="F157" i="70"/>
  <c r="L134" i="70"/>
  <c r="K159" i="70"/>
  <c r="L156" i="70"/>
  <c r="J138" i="70"/>
  <c r="H142" i="70"/>
  <c r="N158" i="70"/>
  <c r="L162" i="70"/>
  <c r="H155" i="70"/>
  <c r="H132" i="70"/>
  <c r="N156" i="70"/>
  <c r="M157" i="70"/>
  <c r="K134" i="70"/>
  <c r="J135" i="70"/>
  <c r="F159" i="70"/>
  <c r="F136" i="70"/>
  <c r="L138" i="70"/>
  <c r="I154" i="70"/>
  <c r="N161" i="70"/>
  <c r="H139" i="70"/>
  <c r="N163" i="70"/>
  <c r="L164" i="70"/>
  <c r="K141" i="70"/>
  <c r="N153" i="70"/>
  <c r="I134" i="70"/>
  <c r="I135" i="70"/>
  <c r="E159" i="70"/>
  <c r="E136" i="70"/>
  <c r="F138" i="70"/>
  <c r="G154" i="70"/>
  <c r="M161" i="70"/>
  <c r="G139" i="70"/>
  <c r="M163" i="70"/>
  <c r="K164" i="70"/>
  <c r="I141" i="70"/>
  <c r="M153" i="70"/>
  <c r="K162" i="70"/>
  <c r="G155" i="70"/>
  <c r="G132" i="70"/>
  <c r="M156" i="70"/>
  <c r="L157" i="70"/>
  <c r="J162" i="70"/>
  <c r="F155" i="70"/>
  <c r="F132" i="70"/>
  <c r="F133" i="70"/>
  <c r="K157" i="70"/>
  <c r="H134" i="70"/>
  <c r="H135" i="70"/>
  <c r="N159" i="70"/>
  <c r="N160" i="70"/>
  <c r="E138" i="70"/>
  <c r="F154" i="70"/>
  <c r="L161" i="70"/>
  <c r="F139" i="70"/>
  <c r="N140" i="70"/>
  <c r="J164" i="70"/>
  <c r="H141" i="70"/>
  <c r="L153" i="70"/>
  <c r="K153" i="70"/>
  <c r="M133" i="70"/>
  <c r="I157" i="70"/>
  <c r="F158" i="70"/>
  <c r="G135" i="70"/>
  <c r="L159" i="70"/>
  <c r="L160" i="70"/>
  <c r="M138" i="70"/>
  <c r="H137" i="70"/>
  <c r="J161" i="70"/>
  <c r="N139" i="70"/>
  <c r="L140" i="70"/>
  <c r="H164" i="70"/>
  <c r="I162" i="70"/>
  <c r="E155" i="70"/>
  <c r="E132" i="70"/>
  <c r="N133" i="70"/>
  <c r="J157" i="70"/>
  <c r="G134" i="70"/>
  <c r="N135" i="70"/>
  <c r="M159" i="70"/>
  <c r="M160" i="70"/>
  <c r="N138" i="70"/>
  <c r="E154" i="70"/>
  <c r="K161" i="70"/>
  <c r="E139" i="70"/>
  <c r="M140" i="70"/>
  <c r="I164" i="70"/>
  <c r="G141" i="70"/>
  <c r="J142" i="70"/>
  <c r="J153" i="70"/>
  <c r="L131" i="70"/>
  <c r="N155" i="70"/>
  <c r="M132" i="70"/>
  <c r="L133" i="70"/>
  <c r="H157" i="70"/>
  <c r="E158" i="70"/>
  <c r="N137" i="70"/>
  <c r="K140" i="70"/>
  <c r="I142" i="70"/>
  <c r="G157" i="70"/>
  <c r="E135" i="70"/>
  <c r="J160" i="70"/>
  <c r="J140" i="70"/>
  <c r="H153" i="70"/>
  <c r="E157" i="70"/>
  <c r="I160" i="70"/>
  <c r="G161" i="70"/>
  <c r="E164" i="70"/>
  <c r="F141" i="70"/>
  <c r="F153" i="70"/>
  <c r="E153" i="70"/>
  <c r="H131" i="70"/>
  <c r="L155" i="70"/>
  <c r="N132" i="70"/>
  <c r="G131" i="70"/>
  <c r="M137" i="70"/>
  <c r="J133" i="70"/>
  <c r="L137" i="70"/>
  <c r="G142" i="70"/>
  <c r="K135" i="70"/>
  <c r="I163" i="70"/>
  <c r="N91" i="70"/>
  <c r="M91" i="70"/>
  <c r="L91" i="70"/>
  <c r="F91" i="70"/>
  <c r="E91" i="70"/>
  <c r="K91" i="70"/>
  <c r="J91" i="70"/>
  <c r="I91" i="70"/>
  <c r="H91" i="70"/>
  <c r="G91" i="70"/>
  <c r="L94" i="70"/>
  <c r="K94" i="70"/>
  <c r="J94" i="70"/>
  <c r="I94" i="70"/>
  <c r="H94" i="70"/>
  <c r="G94" i="70"/>
  <c r="F94" i="70"/>
  <c r="E94" i="70"/>
  <c r="N94" i="70"/>
  <c r="M94" i="70"/>
  <c r="J66" i="70"/>
  <c r="I66" i="70"/>
  <c r="H66" i="70"/>
  <c r="G66" i="70"/>
  <c r="F66" i="70"/>
  <c r="N66" i="70"/>
  <c r="M66" i="70"/>
  <c r="E66" i="70"/>
  <c r="L66" i="70"/>
  <c r="K66" i="70"/>
  <c r="N95" i="70"/>
  <c r="G95" i="70"/>
  <c r="M95" i="70"/>
  <c r="L95" i="70"/>
  <c r="K95" i="70"/>
  <c r="J95" i="70"/>
  <c r="I95" i="70"/>
  <c r="E95" i="70"/>
  <c r="H95" i="70"/>
  <c r="F95" i="70"/>
  <c r="N67" i="70"/>
  <c r="E67" i="70"/>
  <c r="M67" i="70"/>
  <c r="L67" i="70"/>
  <c r="F67" i="70"/>
  <c r="K67" i="70"/>
  <c r="J67" i="70"/>
  <c r="I67" i="70"/>
  <c r="H67" i="70"/>
  <c r="G67" i="70"/>
  <c r="F96" i="70"/>
  <c r="E96" i="70"/>
  <c r="J96" i="70"/>
  <c r="L96" i="70"/>
  <c r="M96" i="70"/>
  <c r="N96" i="70"/>
  <c r="K96" i="70"/>
  <c r="I96" i="70"/>
  <c r="H96" i="70"/>
  <c r="G96" i="70"/>
  <c r="J90" i="70"/>
  <c r="I90" i="70"/>
  <c r="H90" i="70"/>
  <c r="G90" i="70"/>
  <c r="F90" i="70"/>
  <c r="N90" i="70"/>
  <c r="M90" i="70"/>
  <c r="E90" i="70"/>
  <c r="L90" i="70"/>
  <c r="K90" i="70"/>
  <c r="L77" i="70"/>
  <c r="K77" i="70"/>
  <c r="J77" i="70"/>
  <c r="I77" i="70"/>
  <c r="H77" i="70"/>
  <c r="G77" i="70"/>
  <c r="F77" i="70"/>
  <c r="E77" i="70"/>
  <c r="N77" i="70"/>
  <c r="M77" i="70"/>
  <c r="H93" i="70"/>
  <c r="L93" i="70"/>
  <c r="G93" i="70"/>
  <c r="F93" i="70"/>
  <c r="E93" i="70"/>
  <c r="M93" i="70"/>
  <c r="K93" i="70"/>
  <c r="J93" i="70"/>
  <c r="I93" i="70"/>
  <c r="N93" i="70"/>
  <c r="J68" i="70"/>
  <c r="N68" i="70"/>
  <c r="M68" i="70"/>
  <c r="L68" i="70"/>
  <c r="K68" i="70"/>
  <c r="H68" i="70"/>
  <c r="G68" i="70"/>
  <c r="F68" i="70"/>
  <c r="E68" i="70"/>
  <c r="I68" i="70"/>
  <c r="J97" i="70"/>
  <c r="I97" i="70"/>
  <c r="H97" i="70"/>
  <c r="G97" i="70"/>
  <c r="F97" i="70"/>
  <c r="E97" i="70"/>
  <c r="N97" i="70"/>
  <c r="M97" i="70"/>
  <c r="L97" i="70"/>
  <c r="K97" i="70"/>
  <c r="H76" i="70"/>
  <c r="G76" i="70"/>
  <c r="F76" i="70"/>
  <c r="N76" i="70"/>
  <c r="L76" i="70"/>
  <c r="E76" i="70"/>
  <c r="K76" i="70"/>
  <c r="J76" i="70"/>
  <c r="M76" i="70"/>
  <c r="I76" i="70"/>
  <c r="H69" i="70"/>
  <c r="G69" i="70"/>
  <c r="F69" i="70"/>
  <c r="M69" i="70"/>
  <c r="E69" i="70"/>
  <c r="K69" i="70"/>
  <c r="J69" i="70"/>
  <c r="I69" i="70"/>
  <c r="N69" i="70"/>
  <c r="L69" i="70"/>
  <c r="N98" i="70"/>
  <c r="M98" i="70"/>
  <c r="L98" i="70"/>
  <c r="K98" i="70"/>
  <c r="J98" i="70"/>
  <c r="I98" i="70"/>
  <c r="H98" i="70"/>
  <c r="G98" i="70"/>
  <c r="F98" i="70"/>
  <c r="E98" i="70"/>
  <c r="L70" i="70"/>
  <c r="K70" i="70"/>
  <c r="J70" i="70"/>
  <c r="I70" i="70"/>
  <c r="H70" i="70"/>
  <c r="G70" i="70"/>
  <c r="F70" i="70"/>
  <c r="E70" i="70"/>
  <c r="N70" i="70"/>
  <c r="M70" i="70"/>
  <c r="J99" i="70"/>
  <c r="H99" i="70"/>
  <c r="N99" i="70"/>
  <c r="M99" i="70"/>
  <c r="L99" i="70"/>
  <c r="K99" i="70"/>
  <c r="I99" i="70"/>
  <c r="G99" i="70"/>
  <c r="F99" i="70"/>
  <c r="E99" i="70"/>
  <c r="N92" i="70"/>
  <c r="M92" i="70"/>
  <c r="L92" i="70"/>
  <c r="K92" i="70"/>
  <c r="F92" i="70"/>
  <c r="E92" i="70"/>
  <c r="J92" i="70"/>
  <c r="I92" i="70"/>
  <c r="G92" i="70"/>
  <c r="H92" i="70"/>
  <c r="N71" i="70"/>
  <c r="H71" i="70"/>
  <c r="M71" i="70"/>
  <c r="L71" i="70"/>
  <c r="G71" i="70"/>
  <c r="K71" i="70"/>
  <c r="J71" i="70"/>
  <c r="I71" i="70"/>
  <c r="E71" i="70"/>
  <c r="F71" i="70"/>
  <c r="F72" i="70"/>
  <c r="E72" i="70"/>
  <c r="J72" i="70"/>
  <c r="I72" i="70"/>
  <c r="N72" i="70"/>
  <c r="M72" i="70"/>
  <c r="H72" i="70"/>
  <c r="L72" i="70"/>
  <c r="K72" i="70"/>
  <c r="G72" i="70"/>
  <c r="H75" i="70"/>
  <c r="I75" i="70"/>
  <c r="N75" i="70"/>
  <c r="M75" i="70"/>
  <c r="L75" i="70"/>
  <c r="K75" i="70"/>
  <c r="G75" i="70"/>
  <c r="F75" i="70"/>
  <c r="E75" i="70"/>
  <c r="J75" i="70"/>
  <c r="J73" i="70"/>
  <c r="N73" i="70"/>
  <c r="I73" i="70"/>
  <c r="H73" i="70"/>
  <c r="G73" i="70"/>
  <c r="F73" i="70"/>
  <c r="E73" i="70"/>
  <c r="L73" i="70"/>
  <c r="K73" i="70"/>
  <c r="M73" i="70"/>
  <c r="N88" i="70"/>
  <c r="G88" i="70"/>
  <c r="M88" i="70"/>
  <c r="L88" i="70"/>
  <c r="K88" i="70"/>
  <c r="J88" i="70"/>
  <c r="I88" i="70"/>
  <c r="E88" i="70"/>
  <c r="H88" i="70"/>
  <c r="F88" i="70"/>
  <c r="N74" i="70"/>
  <c r="M74" i="70"/>
  <c r="L74" i="70"/>
  <c r="F74" i="70"/>
  <c r="K74" i="70"/>
  <c r="J74" i="70"/>
  <c r="I74" i="70"/>
  <c r="H74" i="70"/>
  <c r="G74" i="70"/>
  <c r="E74" i="70"/>
  <c r="F89" i="70"/>
  <c r="K89" i="70"/>
  <c r="E89" i="70"/>
  <c r="N89" i="70"/>
  <c r="M89" i="70"/>
  <c r="J89" i="70"/>
  <c r="I89" i="70"/>
  <c r="H89" i="70"/>
  <c r="L89" i="70"/>
  <c r="G89" i="70"/>
  <c r="AH39" i="69"/>
  <c r="AH38" i="69"/>
  <c r="AH37" i="69"/>
  <c r="AH36" i="69"/>
  <c r="AH35" i="69"/>
  <c r="AH34" i="69"/>
  <c r="AH33" i="69"/>
  <c r="AH32" i="69"/>
  <c r="AH31" i="69"/>
  <c r="AH30" i="69"/>
  <c r="J14" i="69" a="1"/>
  <c r="J14" i="69" s="1"/>
  <c r="J15" i="69" a="1"/>
  <c r="J15" i="69" s="1"/>
  <c r="AE140" i="69"/>
  <c r="AD141" i="69"/>
  <c r="AC142" i="69"/>
  <c r="AB143" i="69"/>
  <c r="V144" i="69"/>
  <c r="AE139" i="69"/>
  <c r="K33" i="70"/>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E83" i="69" s="1" a="1"/>
  <c r="AE83" i="69" s="1"/>
  <c r="AE104" i="69" s="1" a="1"/>
  <c r="AE104" i="69" s="1"/>
  <c r="AE156" i="69" s="1" a="1"/>
  <c r="AE156" i="69" s="1"/>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<sst xmlns="http://schemas.openxmlformats.org/spreadsheetml/2006/main" count="1088" uniqueCount="271">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</sst>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56.009352251962476</v>
      </c>
      <c r="G7" s="53" t="s">
        <v>115</v>
      </c>
      <c r="H7" s="105">
        <f>'3.2.1.1-2 Enteric Methane'!E133</f>
        <v>1558.9857296902248</v>
      </c>
      <c r="I7" s="105">
        <f>'3.2.1.1-2 Enteric Methane'!V166</f>
        <v>1568.2618630549493</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1568.2618630549493</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 zoomScale="85" zoomScaleNormal="85" workbookViewId="0">
      <selection activeCell="D16" sqref="D1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46</v>
      </c>
      <c r="T22" s="7"/>
    </row>
    <row r="23" spans="1:20" ht="20.100000000000001" customHeight="1" x14ac:dyDescent="0.25">
      <c r="A23" s="17"/>
      <c r="D23" s="1" t="str">
        <f>TEXT(EDATE('Input - Site'!$E$12,1), "mmmm yyyy")</f>
        <v>February 2025</v>
      </c>
      <c r="E23" s="64">
        <f t="shared" si="0"/>
        <v>28</v>
      </c>
      <c r="F23" s="64">
        <f t="shared" si="0"/>
        <v>28</v>
      </c>
      <c r="G23" s="64">
        <f t="shared" si="0"/>
        <v>28</v>
      </c>
      <c r="H23" s="64">
        <f t="shared" si="0"/>
        <v>28</v>
      </c>
      <c r="I23" s="64">
        <f t="shared" si="0"/>
        <v>28</v>
      </c>
      <c r="J23" s="64">
        <f t="shared" si="0"/>
        <v>28</v>
      </c>
      <c r="K23" s="64">
        <f t="shared" si="0"/>
        <v>28</v>
      </c>
      <c r="L23" s="64">
        <f t="shared" si="0"/>
        <v>28</v>
      </c>
      <c r="M23" s="64">
        <f t="shared" si="0"/>
        <v>28</v>
      </c>
      <c r="N23" s="64">
        <f t="shared" si="0"/>
        <v>28</v>
      </c>
      <c r="O23" s="2" t="s">
        <v>46</v>
      </c>
      <c r="T23" s="7"/>
    </row>
    <row r="24" spans="1:20" ht="20.100000000000001" customHeight="1" x14ac:dyDescent="0.25">
      <c r="A24" s="17"/>
      <c r="D24" s="1" t="str">
        <f>TEXT(EDATE('Input - Site'!$E$12,2), "mmmm yyyy")</f>
        <v>March 2025</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46</v>
      </c>
      <c r="T24" s="7"/>
    </row>
    <row r="25" spans="1:20" ht="20.100000000000001" customHeight="1" x14ac:dyDescent="0.25">
      <c r="D25" s="1" t="str">
        <f>TEXT(EDATE('Input - Site'!$E$12,3), "mmmm yyyy")</f>
        <v>April 2025</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46</v>
      </c>
      <c r="T25" s="7"/>
    </row>
    <row r="26" spans="1:20" ht="20.100000000000001" customHeight="1" x14ac:dyDescent="0.25">
      <c r="A26" s="17"/>
      <c r="D26" s="1" t="str">
        <f>TEXT(EDATE('Input - Site'!$E$12,4), "mmmm yyyy")</f>
        <v>May 2025</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46</v>
      </c>
      <c r="T26" s="7"/>
    </row>
    <row r="27" spans="1:20" ht="20.100000000000001" customHeight="1" x14ac:dyDescent="0.25">
      <c r="A27" s="17"/>
      <c r="D27" s="1" t="str">
        <f>TEXT(EDATE('Input - Site'!$E$12,5), "mmmm yyyy")</f>
        <v>June 2025</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46</v>
      </c>
      <c r="T27" s="7"/>
    </row>
    <row r="28" spans="1:20" ht="20.100000000000001" customHeight="1" x14ac:dyDescent="0.25">
      <c r="A28" s="17"/>
      <c r="D28" s="1" t="str">
        <f>TEXT(EDATE('Input - Site'!$E$12,6), "mmmm yyyy")</f>
        <v>July 2025</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46</v>
      </c>
      <c r="T28" s="7"/>
    </row>
    <row r="29" spans="1:20" ht="20.100000000000001" customHeight="1" x14ac:dyDescent="0.25">
      <c r="A29" s="17"/>
      <c r="D29" s="1" t="str">
        <f>TEXT(EDATE('Input - Site'!$E$12,7), "mmmm yyyy")</f>
        <v>August 2025</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46</v>
      </c>
      <c r="T29" s="7"/>
    </row>
    <row r="30" spans="1:20" ht="20.100000000000001" customHeight="1" x14ac:dyDescent="0.25">
      <c r="A30" s="17"/>
      <c r="D30" s="1" t="str">
        <f>TEXT(EDATE('Input - Site'!$E$12,8), "mmmm yyyy")</f>
        <v>September 2025</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46</v>
      </c>
      <c r="T30" s="7"/>
    </row>
    <row r="31" spans="1:20" ht="20.100000000000001" customHeight="1" x14ac:dyDescent="0.25">
      <c r="A31" s="65"/>
      <c r="D31" s="1" t="str">
        <f>TEXT(EDATE('Input - Site'!$E$12,9), "mmmm yyyy")</f>
        <v>October 2025</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46</v>
      </c>
      <c r="T31" s="7"/>
    </row>
    <row r="32" spans="1:20" ht="20.100000000000001" customHeight="1" x14ac:dyDescent="0.25">
      <c r="A32" s="65"/>
      <c r="D32" s="1" t="str">
        <f>TEXT(EDATE('Input - Site'!$E$12,10), "mmmm yyyy")</f>
        <v>November 2025</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46</v>
      </c>
      <c r="T32" s="7"/>
    </row>
    <row r="33" spans="1:20" ht="20.100000000000001" customHeight="1" x14ac:dyDescent="0.25">
      <c r="A33" s="17"/>
      <c r="D33" s="1" t="str">
        <f>TEXT(EDATE('Input - Site'!$E$12,11), "mmmm yyyy")</f>
        <v>December 2025</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104</v>
      </c>
      <c r="P60" s="3"/>
      <c r="T60" s="7"/>
    </row>
    <row r="61" spans="4:20" ht="20.100000000000001" customHeight="1" x14ac:dyDescent="0.25">
      <c r="D61" s="1" t="s">
        <v>134</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104</v>
      </c>
      <c r="P61" s="3"/>
      <c r="T61" s="7"/>
    </row>
    <row r="62" spans="4:20" ht="20.100000000000001" customHeight="1" x14ac:dyDescent="0.25">
      <c r="D62" s="1" t="s">
        <v>135</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104</v>
      </c>
      <c r="P62" s="3"/>
      <c r="T62" s="7"/>
    </row>
    <row r="63" spans="4:20" ht="20.100000000000001" customHeight="1" x14ac:dyDescent="0.25">
      <c r="D63" s="1" t="s">
        <v>136</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104</v>
      </c>
      <c r="P66" s="3"/>
      <c r="T66" s="7"/>
    </row>
    <row r="67" spans="4:20" ht="20.100000000000001" customHeight="1" x14ac:dyDescent="0.25">
      <c r="D67" s="1" t="str">
        <f>TEXT(EDATE('Input - Site'!$E$12,1), "mmmm yyyy")</f>
        <v>February 2025</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104</v>
      </c>
      <c r="P67" s="3"/>
      <c r="T67" s="7"/>
    </row>
    <row r="68" spans="4:20" ht="20.100000000000001" customHeight="1" x14ac:dyDescent="0.25">
      <c r="D68" s="1" t="str">
        <f>TEXT(EDATE('Input - Site'!$E$12,2), "mmmm yyyy")</f>
        <v>March 2025</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104</v>
      </c>
      <c r="P68" s="3"/>
      <c r="T68" s="7"/>
    </row>
    <row r="69" spans="4:20" ht="20.100000000000001" customHeight="1" x14ac:dyDescent="0.25">
      <c r="D69" s="1" t="str">
        <f>TEXT(EDATE('Input - Site'!$E$12,3), "mmmm yyyy")</f>
        <v>April 2025</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104</v>
      </c>
      <c r="P69" s="3"/>
      <c r="T69" s="7"/>
    </row>
    <row r="70" spans="4:20" ht="20.100000000000001" customHeight="1" x14ac:dyDescent="0.25">
      <c r="D70" s="1" t="str">
        <f>TEXT(EDATE('Input - Site'!$E$12,4), "mmmm yyyy")</f>
        <v>May 2025</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104</v>
      </c>
      <c r="P70" s="3"/>
      <c r="T70" s="7"/>
    </row>
    <row r="71" spans="4:20" ht="20.100000000000001" customHeight="1" x14ac:dyDescent="0.25">
      <c r="D71" s="1" t="str">
        <f>TEXT(EDATE('Input - Site'!$E$12,5), "mmmm yyyy")</f>
        <v>June 2025</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104</v>
      </c>
      <c r="P71" s="3"/>
      <c r="T71" s="7"/>
    </row>
    <row r="72" spans="4:20" ht="20.100000000000001" customHeight="1" x14ac:dyDescent="0.25">
      <c r="D72" s="1" t="str">
        <f>TEXT(EDATE('Input - Site'!$E$12,6), "mmmm yyyy")</f>
        <v>July 2025</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104</v>
      </c>
      <c r="T72" s="7"/>
    </row>
    <row r="73" spans="4:20" ht="20.100000000000001" customHeight="1" x14ac:dyDescent="0.25">
      <c r="D73" s="1" t="str">
        <f>TEXT(EDATE('Input - Site'!$E$12,7), "mmmm yyyy")</f>
        <v>August 2025</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104</v>
      </c>
      <c r="T73" s="7"/>
    </row>
    <row r="74" spans="4:20" ht="20.100000000000001" customHeight="1" x14ac:dyDescent="0.25">
      <c r="D74" s="1" t="str">
        <f>TEXT(EDATE('Input - Site'!$E$12,8), "mmmm yyyy")</f>
        <v>September 2025</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104</v>
      </c>
      <c r="T74" s="7"/>
    </row>
    <row r="75" spans="4:20" ht="20.100000000000001" customHeight="1" x14ac:dyDescent="0.25">
      <c r="D75" s="1" t="str">
        <f>TEXT(EDATE('Input - Site'!$E$12,9), "mmmm yyyy")</f>
        <v>October 2025</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104</v>
      </c>
      <c r="T75" s="7"/>
    </row>
    <row r="76" spans="4:20" ht="20.100000000000001" customHeight="1" x14ac:dyDescent="0.25">
      <c r="D76" s="1" t="str">
        <f>TEXT(EDATE('Input - Site'!$E$12,10), "mmmm yyyy")</f>
        <v>November 2025</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104</v>
      </c>
      <c r="T76" s="7"/>
    </row>
    <row r="77" spans="4:20" ht="20.100000000000001" customHeight="1" x14ac:dyDescent="0.25">
      <c r="D77" s="1" t="str">
        <f>TEXT(EDATE('Input - Site'!$E$12,11), "mmmm yyyy")</f>
        <v>December 2025</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105</v>
      </c>
      <c r="T82" s="7"/>
    </row>
    <row r="83" spans="4:20" ht="20.100000000000001" customHeight="1" x14ac:dyDescent="0.25">
      <c r="D83" s="1" t="s">
        <v>134</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105</v>
      </c>
      <c r="T83" s="7"/>
    </row>
    <row r="84" spans="4:20" ht="20.100000000000001" customHeight="1" x14ac:dyDescent="0.25">
      <c r="D84" s="1" t="s">
        <v>135</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105</v>
      </c>
      <c r="T84" s="7"/>
    </row>
    <row r="85" spans="4:20" ht="20.100000000000001" customHeight="1" x14ac:dyDescent="0.25">
      <c r="D85" s="1" t="s">
        <v>136</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105</v>
      </c>
      <c r="T88" s="7"/>
    </row>
    <row r="89" spans="4:20" ht="20.100000000000001" customHeight="1" x14ac:dyDescent="0.25">
      <c r="D89" s="1" t="str">
        <f>TEXT(EDATE('Input - Site'!$E$12,1), "mmmm yyyy")</f>
        <v>February 2025</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105</v>
      </c>
      <c r="T89" s="7"/>
    </row>
    <row r="90" spans="4:20" ht="20.100000000000001" customHeight="1" x14ac:dyDescent="0.25">
      <c r="D90" s="1" t="str">
        <f>TEXT(EDATE('Input - Site'!$E$12,2), "mmmm yyyy")</f>
        <v>March 2025</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105</v>
      </c>
      <c r="T90" s="7"/>
    </row>
    <row r="91" spans="4:20" ht="20.100000000000001" customHeight="1" x14ac:dyDescent="0.25">
      <c r="D91" s="1" t="str">
        <f>TEXT(EDATE('Input - Site'!$E$12,3), "mmmm yyyy")</f>
        <v>April 2025</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105</v>
      </c>
      <c r="T91" s="7"/>
    </row>
    <row r="92" spans="4:20" ht="20.100000000000001" customHeight="1" x14ac:dyDescent="0.25">
      <c r="D92" s="1" t="str">
        <f>TEXT(EDATE('Input - Site'!$E$12,4), "mmmm yyyy")</f>
        <v>May 2025</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105</v>
      </c>
      <c r="T92" s="7"/>
    </row>
    <row r="93" spans="4:20" ht="20.100000000000001" customHeight="1" x14ac:dyDescent="0.25">
      <c r="D93" s="1" t="str">
        <f>TEXT(EDATE('Input - Site'!$E$12,5), "mmmm yyyy")</f>
        <v>June 2025</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105</v>
      </c>
      <c r="T93" s="7"/>
    </row>
    <row r="94" spans="4:20" ht="20.100000000000001" customHeight="1" x14ac:dyDescent="0.25">
      <c r="D94" s="1" t="str">
        <f>TEXT(EDATE('Input - Site'!$E$12,6), "mmmm yyyy")</f>
        <v>July 2025</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105</v>
      </c>
      <c r="T94" s="7"/>
    </row>
    <row r="95" spans="4:20" ht="20.100000000000001" customHeight="1" x14ac:dyDescent="0.25">
      <c r="D95" s="1" t="str">
        <f>TEXT(EDATE('Input - Site'!$E$12,7), "mmmm yyyy")</f>
        <v>August 2025</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105</v>
      </c>
      <c r="T95" s="7"/>
    </row>
    <row r="96" spans="4:20" ht="20.100000000000001" customHeight="1" x14ac:dyDescent="0.25">
      <c r="D96" s="1" t="str">
        <f>TEXT(EDATE('Input - Site'!$E$12,8), "mmmm yyyy")</f>
        <v>September 2025</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105</v>
      </c>
      <c r="T96" s="7"/>
    </row>
    <row r="97" spans="4:20" ht="20.100000000000001" customHeight="1" x14ac:dyDescent="0.25">
      <c r="D97" s="1" t="str">
        <f>TEXT(EDATE('Input - Site'!$E$12,9), "mmmm yyyy")</f>
        <v>October 2025</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105</v>
      </c>
      <c r="T97" s="7"/>
    </row>
    <row r="98" spans="4:20" ht="20.100000000000001" customHeight="1" x14ac:dyDescent="0.25">
      <c r="D98" s="1" t="str">
        <f>TEXT(EDATE('Input - Site'!$E$12,10), "mmmm yyyy")</f>
        <v>November 2025</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105</v>
      </c>
      <c r="T98" s="7"/>
    </row>
    <row r="99" spans="4:20" ht="20.100000000000001" customHeight="1" x14ac:dyDescent="0.25">
      <c r="D99" s="1" t="str">
        <f>TEXT(EDATE('Input - Site'!$E$12,11), "mmmm yyyy")</f>
        <v>December 2025</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111</v>
      </c>
    </row>
    <row r="126" spans="4:15" ht="20.100000000000001" customHeight="1" x14ac:dyDescent="0.25">
      <c r="D126" s="1" t="s">
        <v>134</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111</v>
      </c>
    </row>
    <row r="127" spans="4:15" ht="20.100000000000001" customHeight="1" x14ac:dyDescent="0.25">
      <c r="D127" s="1" t="s">
        <v>135</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111</v>
      </c>
    </row>
    <row r="128" spans="4:15" ht="20.100000000000001" customHeight="1" x14ac:dyDescent="0.25">
      <c r="D128" s="1" t="s">
        <v>136</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111</v>
      </c>
    </row>
    <row r="132" spans="4:15" ht="20.100000000000001" customHeight="1" x14ac:dyDescent="0.25">
      <c r="D132" s="1" t="str">
        <f>TEXT(EDATE('Input - Site'!$E$12,1), "mmmm yyyy")</f>
        <v>February 2025</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111</v>
      </c>
    </row>
    <row r="133" spans="4:15" ht="20.100000000000001" customHeight="1" x14ac:dyDescent="0.25">
      <c r="D133" s="1" t="str">
        <f>TEXT(EDATE('Input - Site'!$E$12,2), "mmmm yyyy")</f>
        <v>March 2025</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111</v>
      </c>
    </row>
    <row r="134" spans="4:15" ht="20.100000000000001" customHeight="1" x14ac:dyDescent="0.25">
      <c r="D134" s="1" t="str">
        <f>TEXT(EDATE('Input - Site'!$E$12,3), "mmmm yyyy")</f>
        <v>April 2025</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111</v>
      </c>
    </row>
    <row r="135" spans="4:15" ht="20.100000000000001" customHeight="1" x14ac:dyDescent="0.25">
      <c r="D135" s="1" t="str">
        <f>TEXT(EDATE('Input - Site'!$E$12,4), "mmmm yyyy")</f>
        <v>May 2025</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111</v>
      </c>
    </row>
    <row r="136" spans="4:15" ht="20.100000000000001" customHeight="1" x14ac:dyDescent="0.25">
      <c r="D136" s="1" t="str">
        <f>TEXT(EDATE('Input - Site'!$E$12,5), "mmmm yyyy")</f>
        <v>June 2025</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111</v>
      </c>
    </row>
    <row r="137" spans="4:15" ht="20.100000000000001" customHeight="1" x14ac:dyDescent="0.25">
      <c r="D137" s="1" t="str">
        <f>TEXT(EDATE('Input - Site'!$E$12,6), "mmmm yyyy")</f>
        <v>July 2025</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111</v>
      </c>
    </row>
    <row r="138" spans="4:15" ht="20.100000000000001" customHeight="1" x14ac:dyDescent="0.25">
      <c r="D138" s="1" t="str">
        <f>TEXT(EDATE('Input - Site'!$E$12,7), "mmmm yyyy")</f>
        <v>August 2025</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111</v>
      </c>
    </row>
    <row r="139" spans="4:15" ht="20.100000000000001" customHeight="1" x14ac:dyDescent="0.25">
      <c r="D139" s="1" t="str">
        <f>TEXT(EDATE('Input - Site'!$E$12,8), "mmmm yyyy")</f>
        <v>September 2025</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111</v>
      </c>
    </row>
    <row r="140" spans="4:15" ht="20.100000000000001" customHeight="1" x14ac:dyDescent="0.25">
      <c r="D140" s="1" t="str">
        <f>TEXT(EDATE('Input - Site'!$E$12,9), "mmmm yyyy")</f>
        <v>October 2025</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111</v>
      </c>
    </row>
    <row r="141" spans="4:15" ht="20.100000000000001" customHeight="1" x14ac:dyDescent="0.25">
      <c r="D141" s="1" t="str">
        <f>TEXT(EDATE('Input - Site'!$E$12,10), "mmmm yyyy")</f>
        <v>November 2025</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111</v>
      </c>
    </row>
    <row r="142" spans="4:15" ht="20.100000000000001" customHeight="1" x14ac:dyDescent="0.25">
      <c r="D142" s="1" t="str">
        <f>TEXT(EDATE('Input - Site'!$E$12,11), "mmmm yyyy")</f>
        <v>December 2025</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111</v>
      </c>
    </row>
    <row r="148" spans="4:15" ht="20.100000000000001" customHeight="1" x14ac:dyDescent="0.25">
      <c r="D148" s="1" t="s">
        <v>134</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111</v>
      </c>
    </row>
    <row r="149" spans="4:15" ht="20.100000000000001" customHeight="1" x14ac:dyDescent="0.25">
      <c r="D149" s="1" t="s">
        <v>135</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111</v>
      </c>
    </row>
    <row r="150" spans="4:15" ht="20.100000000000001" customHeight="1" x14ac:dyDescent="0.25">
      <c r="D150" s="1" t="s">
        <v>136</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111</v>
      </c>
    </row>
    <row r="154" spans="4:15" ht="20.100000000000001" customHeight="1" x14ac:dyDescent="0.25">
      <c r="D154" s="1" t="str">
        <f>TEXT(EDATE('Input - Site'!$E$12,1), "mmmm yyyy")</f>
        <v>February 2025</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111</v>
      </c>
    </row>
    <row r="155" spans="4:15" ht="20.100000000000001" customHeight="1" x14ac:dyDescent="0.25">
      <c r="D155" s="1" t="str">
        <f>TEXT(EDATE('Input - Site'!$E$12,2), "mmmm yyyy")</f>
        <v>March 2025</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111</v>
      </c>
    </row>
    <row r="156" spans="4:15" ht="20.100000000000001" customHeight="1" x14ac:dyDescent="0.25">
      <c r="D156" s="1" t="str">
        <f>TEXT(EDATE('Input - Site'!$E$12,3), "mmmm yyyy")</f>
        <v>April 2025</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111</v>
      </c>
    </row>
    <row r="157" spans="4:15" ht="20.100000000000001" customHeight="1" x14ac:dyDescent="0.25">
      <c r="D157" s="1" t="str">
        <f>TEXT(EDATE('Input - Site'!$E$12,4), "mmmm yyyy")</f>
        <v>May 2025</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111</v>
      </c>
    </row>
    <row r="158" spans="4:15" ht="20.100000000000001" customHeight="1" x14ac:dyDescent="0.25">
      <c r="D158" s="1" t="str">
        <f>TEXT(EDATE('Input - Site'!$E$12,5), "mmmm yyyy")</f>
        <v>June 2025</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111</v>
      </c>
    </row>
    <row r="159" spans="4:15" ht="20.100000000000001" customHeight="1" x14ac:dyDescent="0.25">
      <c r="D159" s="1" t="str">
        <f>TEXT(EDATE('Input - Site'!$E$12,6), "mmmm yyyy")</f>
        <v>July 2025</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111</v>
      </c>
    </row>
    <row r="160" spans="4:15" ht="20.100000000000001" customHeight="1" x14ac:dyDescent="0.25">
      <c r="D160" s="1" t="str">
        <f>TEXT(EDATE('Input - Site'!$E$12,7), "mmmm yyyy")</f>
        <v>August 2025</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111</v>
      </c>
    </row>
    <row r="161" spans="4:15" ht="20.100000000000001" customHeight="1" x14ac:dyDescent="0.25">
      <c r="D161" s="1" t="str">
        <f>TEXT(EDATE('Input - Site'!$E$12,8), "mmmm yyyy")</f>
        <v>September 2025</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111</v>
      </c>
    </row>
    <row r="162" spans="4:15" ht="20.100000000000001" customHeight="1" x14ac:dyDescent="0.25">
      <c r="D162" s="1" t="str">
        <f>TEXT(EDATE('Input - Site'!$E$12,9), "mmmm yyyy")</f>
        <v>October 2025</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111</v>
      </c>
    </row>
    <row r="163" spans="4:15" ht="20.100000000000001" customHeight="1" x14ac:dyDescent="0.25">
      <c r="D163" s="1" t="str">
        <f>TEXT(EDATE('Input - Site'!$E$12,10), "mmmm yyyy")</f>
        <v>November 2025</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111</v>
      </c>
    </row>
    <row r="164" spans="4:15" ht="20.100000000000001" customHeight="1" x14ac:dyDescent="0.25">
      <c r="D164" s="1" t="str">
        <f>TEXT(EDATE('Input - Site'!$E$12,11), "mmmm yyyy")</f>
        <v>December 2025</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disablePrompts="1"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75"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28</v>
      </c>
      <c r="W134" s="51">
        <f>'Input - Pasture Beef'!F23</f>
        <v>28</v>
      </c>
      <c r="X134" s="51">
        <f>'Input - Pasture Beef'!G23</f>
        <v>28</v>
      </c>
      <c r="Y134" s="51">
        <f>'Input - Pasture Beef'!H23</f>
        <v>28</v>
      </c>
      <c r="Z134" s="51">
        <f>'Input - Pasture Beef'!I23</f>
        <v>28</v>
      </c>
      <c r="AA134" s="51">
        <f>'Input - Pasture Beef'!J23</f>
        <v>28</v>
      </c>
      <c r="AB134" s="51">
        <f>'Input - Pasture Beef'!K23</f>
        <v>28</v>
      </c>
      <c r="AC134" s="51">
        <f>'Input - Pasture Beef'!L23</f>
        <v>28</v>
      </c>
      <c r="AD134" s="51">
        <f>'Input - Pasture Beef'!M23</f>
        <v>28</v>
      </c>
      <c r="AE134" s="51">
        <f>'Input - Pasture Beef'!N23</f>
        <v>28</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0.41423163984921568</v>
      </c>
      <c r="W150" s="51" cm="1">
        <f t="array" ref="W150">EntericMethane_PastureBeef_Equations.VEERG_3_2_1_1__1_TotalAnnualMethaneFromEntericFermentation(W134,W98,W118)</f>
        <v>0.54806941244865603</v>
      </c>
      <c r="X150" s="51" cm="1">
        <f t="array" ref="X150">EntericMethane_PastureBeef_Equations.VEERG_3_2_1_1__1_TotalAnnualMethaneFromEntericFermentation(X134,X98,X118)</f>
        <v>0.34835945477759989</v>
      </c>
      <c r="Y150" s="51" cm="1">
        <f t="array" ref="Y150">EntericMethane_PastureBeef_Equations.VEERG_3_2_1_1__1_TotalAnnualMethaneFromEntericFermentation(Y134,Y98,Y118)</f>
        <v>0.45617706075690007</v>
      </c>
      <c r="Z150" s="51" cm="1">
        <f t="array" ref="Z150">EntericMethane_PastureBeef_Equations.VEERG_3_2_1_1__1_TotalAnnualMethaneFromEntericFermentation(Z134,Z98,Z118)</f>
        <v>0.45167110725945586</v>
      </c>
      <c r="AA150" s="51" cm="1">
        <f t="array" ref="AA150">EntericMethane_PastureBeef_Equations.VEERG_3_2_1_1__1_TotalAnnualMethaneFromEntericFermentation(AA134,AA98,AA118)</f>
        <v>0.45167110725945586</v>
      </c>
      <c r="AB150" s="51" cm="1">
        <f t="array" ref="AB150">EntericMethane_PastureBeef_Equations.VEERG_3_2_1_1__1_TotalAnnualMethaneFromEntericFermentation(AB134,AB98,AB118)</f>
        <v>0.38181966596121603</v>
      </c>
      <c r="AC150" s="51" cm="1">
        <f t="array" ref="AC150">EntericMethane_PastureBeef_Equations.VEERG_3_2_1_1__1_TotalAnnualMethaneFromEntericFermentation(AC134,AC98,AC118)</f>
        <v>0.425604350884356</v>
      </c>
      <c r="AD150" s="51" cm="1">
        <f t="array" ref="AD150">EntericMethane_PastureBeef_Equations.VEERG_3_2_1_1__1_TotalAnnualMethaneFromEntericFermentation(AD134,AD98,AD118)</f>
        <v>0.425604350884356</v>
      </c>
      <c r="AE150" s="51" cm="1">
        <f t="array" ref="AE150">EntericMethane_PastureBeef_Equations.VEERG_3_2_1_1__1_TotalAnnualMethaneFromEntericFermentation(AE134,AE98,AE118)</f>
        <v>0.425604350884356</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56.009352251962476</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56.009352251962476</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1568.2618630549493</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X_Cell_PastureBeef_Breed</vt:lpstr>
      <vt:lpstr>X_Cell_PastureBeef_ProductionRegion</vt:lpstr>
      <vt:lpstr>X_Cell_Site_FarmName</vt:lpstr>
      <vt:lpstr>X_Cell_Site_ReportingEntityName</vt:lpstr>
      <vt:lpstr>X_Cell_Site_StartDate</vt:lpstr>
      <vt:lpstr>X_Cell_Site_State</vt:lpstr>
      <vt:lpstr>X_Coord_PastureBeef_Duration_Method1_Col_Steers2to3Years</vt:lpstr>
      <vt:lpstr>X_Table_PastureBeef_Duration_Method1_Col_BullsOver1Year</vt:lpstr>
      <vt:lpstr>X_Table_PastureBeef_Duration_Method1_Col_BullsUnder1Year</vt:lpstr>
      <vt:lpstr>X_Table_PastureBeef_Duration_Method1_Col_Cows1To2Years</vt:lpstr>
      <vt:lpstr>X_Table_PastureBeef_Duration_Method1_Col_Cows2to3Years</vt:lpstr>
      <vt:lpstr>X_Table_PastureBeef_Duration_Method1_Col_CowsOver3Years</vt:lpstr>
      <vt:lpstr>X_Table_PastureBeef_Duration_Method1_Col_CowsUnder1Year</vt:lpstr>
      <vt:lpstr>X_Table_PastureBeef_Duration_Method1_Col_Steers1To2Years</vt:lpstr>
      <vt:lpstr>X_Table_PastureBeef_Duration_Method1_Col_SteersOver3Years</vt:lpstr>
      <vt:lpstr>X_Table_PastureBeef_Duration_Method1_Col_SteersUnder1Year</vt:lpstr>
      <vt:lpstr>X_Table_PastureBeef_Duration_Method1_Row_Spring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2026-06-11T07:38:28Z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