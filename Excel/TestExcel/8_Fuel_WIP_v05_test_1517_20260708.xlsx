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606CEEC1-94DC-4D7F-BD71-6AFD92BA55A3}" xr6:coauthVersionLast="47" xr6:coauthVersionMax="47" xr10:uidLastSave="{00000000-0000-0000-0000-000000000000}"/>
  <bookViews>
    <workbookView xWindow="0" yWindow="0" windowWidth="28800" windowHeight="17280" firstSheet="1" activeTab="6"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23"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uel_IsMetroLocation">'Input - Fuel'!$E$11</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70" l="1" a="1"/>
  <c r="J21" i="70" s="1"/>
  <c r="J20" i="70" a="1"/>
  <c r="J20" i="70" s="1"/>
  <c r="J19" i="70" a="1"/>
  <c r="J19" i="70" s="1"/>
  <c r="J18" i="70" a="1"/>
  <c r="J18" i="70" s="1"/>
  <c r="J17" i="70" a="1"/>
  <c r="J17" i="70" s="1"/>
  <c r="I20" i="70"/>
  <c r="I18" i="70"/>
  <c r="P18" i="74"/>
  <c r="P17" i="74"/>
  <c r="E259" i="123" a="1"/>
  <c r="E259" i="123" s="1"/>
  <c r="D259" i="123" a="1"/>
  <c r="D259" i="123" s="1"/>
  <c r="E258" i="123" a="1"/>
  <c r="E258" i="123" s="1"/>
  <c r="D258" i="123" a="1"/>
  <c r="D258" i="123" s="1"/>
  <c r="D256" i="123" a="1"/>
  <c r="D256" i="123" s="1"/>
  <c r="D255" i="123" a="1"/>
  <c r="D255" i="123" s="1"/>
  <c r="D254" i="123" a="1"/>
  <c r="D254" i="123" s="1"/>
  <c r="D253" i="123" a="1"/>
  <c r="D253" i="123" s="1"/>
  <c r="S250" i="123" a="1"/>
  <c r="S250" i="123" s="1"/>
  <c r="R250" i="123" a="1"/>
  <c r="R250" i="123" s="1"/>
  <c r="Q250" i="123" a="1"/>
  <c r="Q250" i="123" s="1"/>
  <c r="P250" i="123" a="1"/>
  <c r="P250" i="123" s="1"/>
  <c r="O250" i="123" a="1"/>
  <c r="O250" i="123" s="1"/>
  <c r="N250" i="123" a="1"/>
  <c r="N250" i="123" s="1"/>
  <c r="M250" i="123" a="1"/>
  <c r="M250" i="123" s="1"/>
  <c r="L250" i="123" a="1"/>
  <c r="L250" i="123" s="1"/>
  <c r="K250" i="123" a="1"/>
  <c r="K250" i="123" s="1"/>
  <c r="J250" i="123" a="1"/>
  <c r="J250" i="123" s="1"/>
  <c r="I250" i="123" a="1"/>
  <c r="I250" i="123" s="1"/>
  <c r="H250" i="123" a="1"/>
  <c r="H250" i="123" s="1"/>
  <c r="G250" i="123" a="1"/>
  <c r="G250" i="123" s="1"/>
  <c r="F250" i="123" a="1"/>
  <c r="F250" i="123" s="1"/>
  <c r="E250" i="123" a="1"/>
  <c r="E250" i="123" s="1"/>
  <c r="D250" i="123" a="1"/>
  <c r="D250" i="123" s="1"/>
  <c r="S249" i="123" a="1"/>
  <c r="S249" i="123" s="1"/>
  <c r="R249" i="123" a="1"/>
  <c r="R249" i="123" s="1"/>
  <c r="Q249" i="123" a="1"/>
  <c r="Q249" i="123" s="1"/>
  <c r="P249" i="123" a="1"/>
  <c r="P249" i="123" s="1"/>
  <c r="O249" i="123" a="1"/>
  <c r="O249" i="123" s="1"/>
  <c r="N249" i="123" a="1"/>
  <c r="N249" i="123" s="1"/>
  <c r="M249" i="123" a="1"/>
  <c r="M249" i="123" s="1"/>
  <c r="L249" i="123" a="1"/>
  <c r="L249" i="123" s="1"/>
  <c r="K249" i="123" a="1"/>
  <c r="K249" i="123" s="1"/>
  <c r="J249" i="123" a="1"/>
  <c r="J249" i="123" s="1"/>
  <c r="I249" i="123" a="1"/>
  <c r="I249" i="123" s="1"/>
  <c r="H249" i="123" a="1"/>
  <c r="H249" i="123" s="1"/>
  <c r="G249" i="123" a="1"/>
  <c r="G249" i="123" s="1"/>
  <c r="F249" i="123" a="1"/>
  <c r="F249" i="123" s="1"/>
  <c r="E249" i="123" a="1"/>
  <c r="E249" i="123" s="1"/>
  <c r="D249" i="123" a="1"/>
  <c r="D249" i="123" s="1"/>
  <c r="S248" i="123" a="1"/>
  <c r="S248" i="123" s="1"/>
  <c r="R248" i="123" a="1"/>
  <c r="R248" i="123" s="1"/>
  <c r="Q248" i="123" a="1"/>
  <c r="Q248" i="123" s="1"/>
  <c r="P248" i="123" a="1"/>
  <c r="P248" i="123" s="1"/>
  <c r="O248" i="123" a="1"/>
  <c r="O248" i="123" s="1"/>
  <c r="N248" i="123" a="1"/>
  <c r="N248" i="123" s="1"/>
  <c r="M248" i="123" a="1"/>
  <c r="M248" i="123" s="1"/>
  <c r="L248" i="123" a="1"/>
  <c r="L248" i="123" s="1"/>
  <c r="K248" i="123" a="1"/>
  <c r="K248" i="123" s="1"/>
  <c r="J248" i="123" a="1"/>
  <c r="J248" i="123" s="1"/>
  <c r="I248" i="123" a="1"/>
  <c r="I248" i="123" s="1"/>
  <c r="H248" i="123" a="1"/>
  <c r="H248" i="123" s="1"/>
  <c r="G248" i="123" a="1"/>
  <c r="G248" i="123" s="1"/>
  <c r="F248" i="123" a="1"/>
  <c r="F248" i="123" s="1"/>
  <c r="E248" i="123" a="1"/>
  <c r="E248" i="123" s="1"/>
  <c r="D248" i="123" a="1"/>
  <c r="D248" i="123" s="1"/>
  <c r="S247" i="123" a="1"/>
  <c r="S247" i="123" s="1"/>
  <c r="R247" i="123" a="1"/>
  <c r="R247" i="123" s="1"/>
  <c r="Q247" i="123" a="1"/>
  <c r="Q247" i="123" s="1"/>
  <c r="P247" i="123" a="1"/>
  <c r="P247" i="123" s="1"/>
  <c r="O247" i="123" a="1"/>
  <c r="O247" i="123" s="1"/>
  <c r="N247" i="123" a="1"/>
  <c r="N247" i="123" s="1"/>
  <c r="M247" i="123" a="1"/>
  <c r="M247" i="123" s="1"/>
  <c r="L247" i="123" a="1"/>
  <c r="L247" i="123" s="1"/>
  <c r="K247" i="123" a="1"/>
  <c r="K247" i="123" s="1"/>
  <c r="J247" i="123" a="1"/>
  <c r="J247" i="123" s="1"/>
  <c r="I247" i="123" a="1"/>
  <c r="I247" i="123" s="1"/>
  <c r="H247" i="123" a="1"/>
  <c r="H247" i="123" s="1"/>
  <c r="G247" i="123" a="1"/>
  <c r="G247" i="123" s="1"/>
  <c r="F247" i="123" a="1"/>
  <c r="F247" i="123" s="1"/>
  <c r="E247" i="123" a="1"/>
  <c r="E247" i="123" s="1"/>
  <c r="D247" i="123" a="1"/>
  <c r="D247" i="123" s="1"/>
  <c r="S246" i="123" a="1"/>
  <c r="S246" i="123" s="1"/>
  <c r="R246" i="123" a="1"/>
  <c r="R246" i="123" s="1"/>
  <c r="Q246" i="123" a="1"/>
  <c r="Q246" i="123" s="1"/>
  <c r="P246" i="123" a="1"/>
  <c r="P246" i="123" s="1"/>
  <c r="O246" i="123" a="1"/>
  <c r="O246" i="123" s="1"/>
  <c r="N246" i="123" a="1"/>
  <c r="N246" i="123" s="1"/>
  <c r="M246" i="123" a="1"/>
  <c r="M246" i="123" s="1"/>
  <c r="L246" i="123" a="1"/>
  <c r="L246" i="123" s="1"/>
  <c r="K246" i="123" a="1"/>
  <c r="K246" i="123" s="1"/>
  <c r="J246" i="123" a="1"/>
  <c r="J246" i="123" s="1"/>
  <c r="I246" i="123" a="1"/>
  <c r="I246" i="123" s="1"/>
  <c r="H246" i="123" a="1"/>
  <c r="H246" i="123" s="1"/>
  <c r="G246" i="123" a="1"/>
  <c r="G246" i="123" s="1"/>
  <c r="F246" i="123" a="1"/>
  <c r="F246" i="123" s="1"/>
  <c r="E246" i="123" a="1"/>
  <c r="E246" i="123" s="1"/>
  <c r="D246" i="123" a="1"/>
  <c r="D246" i="123" s="1"/>
  <c r="S245" i="123" a="1"/>
  <c r="S245" i="123" s="1"/>
  <c r="R245" i="123" a="1"/>
  <c r="R245" i="123" s="1"/>
  <c r="Q245" i="123" a="1"/>
  <c r="Q245" i="123" s="1"/>
  <c r="P245" i="123" a="1"/>
  <c r="P245" i="123" s="1"/>
  <c r="O245" i="123" a="1"/>
  <c r="O245" i="123" s="1"/>
  <c r="N245" i="123" a="1"/>
  <c r="N245" i="123" s="1"/>
  <c r="M245" i="123" a="1"/>
  <c r="M245" i="123" s="1"/>
  <c r="L245" i="123" a="1"/>
  <c r="L245" i="123" s="1"/>
  <c r="K245" i="123" a="1"/>
  <c r="K245" i="123" s="1"/>
  <c r="J245" i="123" a="1"/>
  <c r="J245" i="123" s="1"/>
  <c r="I245" i="123" a="1"/>
  <c r="I245" i="123" s="1"/>
  <c r="H245" i="123" a="1"/>
  <c r="H245" i="123" s="1"/>
  <c r="G245" i="123" a="1"/>
  <c r="G245" i="123" s="1"/>
  <c r="F245" i="123" a="1"/>
  <c r="F245" i="123" s="1"/>
  <c r="E245" i="123" a="1"/>
  <c r="E245" i="123" s="1"/>
  <c r="D245" i="123" a="1"/>
  <c r="D245" i="123" s="1"/>
  <c r="S244" i="123" a="1"/>
  <c r="S244" i="123" s="1"/>
  <c r="R244" i="123" a="1"/>
  <c r="R244" i="123" s="1"/>
  <c r="Q244" i="123" a="1"/>
  <c r="Q244" i="123" s="1"/>
  <c r="P244" i="123" a="1"/>
  <c r="P244" i="123" s="1"/>
  <c r="O244" i="123" a="1"/>
  <c r="O244" i="123" s="1"/>
  <c r="N244" i="123" a="1"/>
  <c r="N244" i="123" s="1"/>
  <c r="M244" i="123" a="1"/>
  <c r="M244" i="123" s="1"/>
  <c r="L244" i="123" a="1"/>
  <c r="L244" i="123" s="1"/>
  <c r="K244" i="123" a="1"/>
  <c r="K244" i="123" s="1"/>
  <c r="J244" i="123" a="1"/>
  <c r="J244" i="123" s="1"/>
  <c r="I244" i="123" a="1"/>
  <c r="I244" i="123" s="1"/>
  <c r="H244" i="123" a="1"/>
  <c r="H244" i="123" s="1"/>
  <c r="G244" i="123" a="1"/>
  <c r="G244" i="123" s="1"/>
  <c r="F244" i="123" a="1"/>
  <c r="F244" i="123" s="1"/>
  <c r="E244" i="123" a="1"/>
  <c r="E244" i="123" s="1"/>
  <c r="D244" i="123" a="1"/>
  <c r="D244" i="123" s="1"/>
  <c r="S243" i="123" a="1"/>
  <c r="S243" i="123" s="1"/>
  <c r="R243" i="123" a="1"/>
  <c r="R243" i="123" s="1"/>
  <c r="Q243" i="123" a="1"/>
  <c r="Q243" i="123" s="1"/>
  <c r="P243" i="123" a="1"/>
  <c r="P243" i="123" s="1"/>
  <c r="O243" i="123" a="1"/>
  <c r="O243" i="123" s="1"/>
  <c r="N243" i="123" a="1"/>
  <c r="N243" i="123" s="1"/>
  <c r="M243" i="123" a="1"/>
  <c r="M243" i="123" s="1"/>
  <c r="L243" i="123" a="1"/>
  <c r="L243" i="123" s="1"/>
  <c r="K243" i="123" a="1"/>
  <c r="K243" i="123" s="1"/>
  <c r="J243" i="123" a="1"/>
  <c r="J243" i="123" s="1"/>
  <c r="I243" i="123" a="1"/>
  <c r="I243" i="123" s="1"/>
  <c r="H243" i="123" a="1"/>
  <c r="H243" i="123" s="1"/>
  <c r="G243" i="123" a="1"/>
  <c r="G243" i="123" s="1"/>
  <c r="F243" i="123" a="1"/>
  <c r="F243" i="123" s="1"/>
  <c r="E243" i="123" a="1"/>
  <c r="E243" i="123" s="1"/>
  <c r="D243" i="123" a="1"/>
  <c r="D243" i="123" s="1"/>
  <c r="S242" i="123" a="1"/>
  <c r="S242" i="123" s="1"/>
  <c r="R242" i="123" a="1"/>
  <c r="R242" i="123" s="1"/>
  <c r="Q242" i="123" a="1"/>
  <c r="Q242" i="123" s="1"/>
  <c r="P242" i="123" a="1"/>
  <c r="P242" i="123" s="1"/>
  <c r="O242" i="123" a="1"/>
  <c r="O242" i="123" s="1"/>
  <c r="N242" i="123" a="1"/>
  <c r="N242" i="123" s="1"/>
  <c r="M242" i="123" a="1"/>
  <c r="M242" i="123" s="1"/>
  <c r="L242" i="123" a="1"/>
  <c r="L242" i="123" s="1"/>
  <c r="K242" i="123" a="1"/>
  <c r="K242" i="123" s="1"/>
  <c r="J242" i="123" a="1"/>
  <c r="J242" i="123" s="1"/>
  <c r="I242" i="123" a="1"/>
  <c r="I242" i="123" s="1"/>
  <c r="H242" i="123" a="1"/>
  <c r="H242" i="123" s="1"/>
  <c r="G242" i="123" a="1"/>
  <c r="G242" i="123" s="1"/>
  <c r="F242" i="123" a="1"/>
  <c r="F242" i="123" s="1"/>
  <c r="E242" i="123" a="1"/>
  <c r="E242" i="123" s="1"/>
  <c r="D242" i="123" a="1"/>
  <c r="D242" i="123" s="1"/>
  <c r="S241" i="123" a="1"/>
  <c r="S241" i="123" s="1"/>
  <c r="R241" i="123" a="1"/>
  <c r="R241" i="123" s="1"/>
  <c r="Q241" i="123" a="1"/>
  <c r="Q241" i="123" s="1"/>
  <c r="P241" i="123" a="1"/>
  <c r="P241" i="123" s="1"/>
  <c r="O241" i="123" a="1"/>
  <c r="O241" i="123" s="1"/>
  <c r="N241" i="123" a="1"/>
  <c r="N241" i="123" s="1"/>
  <c r="M241" i="123" a="1"/>
  <c r="M241" i="123" s="1"/>
  <c r="L241" i="123" a="1"/>
  <c r="L241" i="123" s="1"/>
  <c r="K241" i="123" a="1"/>
  <c r="K241" i="123" s="1"/>
  <c r="J241" i="123" a="1"/>
  <c r="J241" i="123" s="1"/>
  <c r="I241" i="123" a="1"/>
  <c r="I241" i="123" s="1"/>
  <c r="H241" i="123" a="1"/>
  <c r="H241" i="123" s="1"/>
  <c r="G241" i="123" a="1"/>
  <c r="G241" i="123" s="1"/>
  <c r="F241" i="123" a="1"/>
  <c r="F241" i="123" s="1"/>
  <c r="E241" i="123" a="1"/>
  <c r="E241" i="123" s="1"/>
  <c r="D241" i="123" a="1"/>
  <c r="D241" i="123" s="1"/>
  <c r="S240" i="123" a="1"/>
  <c r="S240" i="123" s="1"/>
  <c r="R240" i="123" a="1"/>
  <c r="R240" i="123" s="1"/>
  <c r="Q240" i="123" a="1"/>
  <c r="Q240" i="123" s="1"/>
  <c r="P240" i="123" a="1"/>
  <c r="P240" i="123" s="1"/>
  <c r="O240" i="123" a="1"/>
  <c r="O240" i="123" s="1"/>
  <c r="N240" i="123" a="1"/>
  <c r="N240" i="123" s="1"/>
  <c r="M240" i="123" a="1"/>
  <c r="M240" i="123" s="1"/>
  <c r="L240" i="123" a="1"/>
  <c r="L240" i="123" s="1"/>
  <c r="K240" i="123" a="1"/>
  <c r="K240" i="123" s="1"/>
  <c r="J240" i="123" a="1"/>
  <c r="J240" i="123" s="1"/>
  <c r="I240" i="123" a="1"/>
  <c r="I240" i="123" s="1"/>
  <c r="H240" i="123" a="1"/>
  <c r="H240" i="123" s="1"/>
  <c r="G240" i="123" a="1"/>
  <c r="G240" i="123" s="1"/>
  <c r="F240" i="123" a="1"/>
  <c r="F240" i="123" s="1"/>
  <c r="E240" i="123" a="1"/>
  <c r="E240" i="123" s="1"/>
  <c r="D240" i="123" a="1"/>
  <c r="D240" i="123" s="1"/>
  <c r="S239" i="123" a="1"/>
  <c r="S239" i="123" s="1"/>
  <c r="R239" i="123" a="1"/>
  <c r="R239" i="123" s="1"/>
  <c r="Q239" i="123" a="1"/>
  <c r="Q239" i="123" s="1"/>
  <c r="P239" i="123" a="1"/>
  <c r="P239" i="123" s="1"/>
  <c r="O239" i="123" a="1"/>
  <c r="O239" i="123" s="1"/>
  <c r="N239" i="123" a="1"/>
  <c r="N239" i="123" s="1"/>
  <c r="M239" i="123" a="1"/>
  <c r="M239" i="123" s="1"/>
  <c r="L239" i="123" a="1"/>
  <c r="L239" i="123" s="1"/>
  <c r="K239" i="123" a="1"/>
  <c r="K239" i="123" s="1"/>
  <c r="J239" i="123" a="1"/>
  <c r="J239" i="123" s="1"/>
  <c r="I239" i="123" a="1"/>
  <c r="I239" i="123" s="1"/>
  <c r="H239" i="123" a="1"/>
  <c r="H239" i="123" s="1"/>
  <c r="G239" i="123" a="1"/>
  <c r="G239" i="123" s="1"/>
  <c r="F239" i="123" a="1"/>
  <c r="F239" i="123" s="1"/>
  <c r="E239" i="123" a="1"/>
  <c r="E239" i="123" s="1"/>
  <c r="D239" i="123" a="1"/>
  <c r="D239" i="123" s="1"/>
  <c r="S238" i="123" a="1"/>
  <c r="S238" i="123" s="1"/>
  <c r="R238" i="123" a="1"/>
  <c r="R238" i="123" s="1"/>
  <c r="Q238" i="123" a="1"/>
  <c r="Q238" i="123" s="1"/>
  <c r="P238" i="123" a="1"/>
  <c r="P238" i="123" s="1"/>
  <c r="O238" i="123" a="1"/>
  <c r="O238" i="123" s="1"/>
  <c r="N238" i="123" a="1"/>
  <c r="N238" i="123" s="1"/>
  <c r="M238" i="123" a="1"/>
  <c r="M238" i="123" s="1"/>
  <c r="L238" i="123" a="1"/>
  <c r="L238" i="123" s="1"/>
  <c r="K238" i="123" a="1"/>
  <c r="K238" i="123" s="1"/>
  <c r="J238" i="123" a="1"/>
  <c r="J238" i="123" s="1"/>
  <c r="I238" i="123" a="1"/>
  <c r="I238" i="123" s="1"/>
  <c r="H238" i="123" a="1"/>
  <c r="H238" i="123" s="1"/>
  <c r="G238" i="123" a="1"/>
  <c r="G238" i="123" s="1"/>
  <c r="F238" i="123" a="1"/>
  <c r="F238" i="123" s="1"/>
  <c r="E238" i="123" a="1"/>
  <c r="E238" i="123" s="1"/>
  <c r="D238" i="123" a="1"/>
  <c r="D238" i="123" s="1"/>
  <c r="S237" i="123" a="1"/>
  <c r="S237" i="123" s="1"/>
  <c r="R237" i="123" a="1"/>
  <c r="R237" i="123" s="1"/>
  <c r="Q237" i="123" a="1"/>
  <c r="Q237" i="123" s="1"/>
  <c r="P237" i="123" a="1"/>
  <c r="P237" i="123" s="1"/>
  <c r="O237" i="123" a="1"/>
  <c r="O237" i="123" s="1"/>
  <c r="N237" i="123" a="1"/>
  <c r="N237" i="123" s="1"/>
  <c r="M237" i="123" a="1"/>
  <c r="M237" i="123" s="1"/>
  <c r="L237" i="123" a="1"/>
  <c r="L237" i="123" s="1"/>
  <c r="K237" i="123" a="1"/>
  <c r="K237" i="123" s="1"/>
  <c r="J237" i="123" a="1"/>
  <c r="J237" i="123" s="1"/>
  <c r="I237" i="123" a="1"/>
  <c r="I237" i="123" s="1"/>
  <c r="H237" i="123" a="1"/>
  <c r="H237" i="123" s="1"/>
  <c r="G237" i="123" a="1"/>
  <c r="G237" i="123" s="1"/>
  <c r="F237" i="123" a="1"/>
  <c r="F237" i="123" s="1"/>
  <c r="E237" i="123" a="1"/>
  <c r="E237" i="123" s="1"/>
  <c r="D237" i="123" a="1"/>
  <c r="D237" i="123" s="1"/>
  <c r="S236" i="123" a="1"/>
  <c r="S236" i="123" s="1"/>
  <c r="R236" i="123" a="1"/>
  <c r="R236" i="123" s="1"/>
  <c r="Q236" i="123" a="1"/>
  <c r="Q236" i="123" s="1"/>
  <c r="P236" i="123" a="1"/>
  <c r="P236" i="123" s="1"/>
  <c r="O236" i="123" a="1"/>
  <c r="O236" i="123" s="1"/>
  <c r="N236" i="123" a="1"/>
  <c r="N236" i="123" s="1"/>
  <c r="M236" i="123" a="1"/>
  <c r="M236" i="123" s="1"/>
  <c r="L236" i="123" a="1"/>
  <c r="L236" i="123" s="1"/>
  <c r="K236" i="123" a="1"/>
  <c r="K236" i="123" s="1"/>
  <c r="J236" i="123" a="1"/>
  <c r="J236" i="123" s="1"/>
  <c r="I236" i="123" a="1"/>
  <c r="I236" i="123" s="1"/>
  <c r="H236" i="123" a="1"/>
  <c r="H236" i="123" s="1"/>
  <c r="G236" i="123" a="1"/>
  <c r="G236" i="123" s="1"/>
  <c r="F236" i="123" a="1"/>
  <c r="F236" i="123" s="1"/>
  <c r="E236" i="123" a="1"/>
  <c r="E236" i="123" s="1"/>
  <c r="D236" i="123" a="1"/>
  <c r="D236" i="123" s="1"/>
  <c r="S235" i="123" a="1"/>
  <c r="S235" i="123" s="1"/>
  <c r="R235" i="123" a="1"/>
  <c r="R235" i="123" s="1"/>
  <c r="Q235" i="123" a="1"/>
  <c r="Q235" i="123" s="1"/>
  <c r="P235" i="123" a="1"/>
  <c r="P235" i="123" s="1"/>
  <c r="O235" i="123" a="1"/>
  <c r="O235" i="123" s="1"/>
  <c r="N235" i="123" a="1"/>
  <c r="N235" i="123" s="1"/>
  <c r="M235" i="123" a="1"/>
  <c r="M235" i="123" s="1"/>
  <c r="L235" i="123" a="1"/>
  <c r="L235" i="123" s="1"/>
  <c r="K235" i="123" a="1"/>
  <c r="K235" i="123" s="1"/>
  <c r="J235" i="123" a="1"/>
  <c r="J235" i="123" s="1"/>
  <c r="I235" i="123" a="1"/>
  <c r="I235" i="123" s="1"/>
  <c r="H235" i="123" a="1"/>
  <c r="H235" i="123" s="1"/>
  <c r="G235" i="123" a="1"/>
  <c r="G235" i="123" s="1"/>
  <c r="F235" i="123" a="1"/>
  <c r="F235" i="123" s="1"/>
  <c r="E235" i="123" a="1"/>
  <c r="E235" i="123" s="1"/>
  <c r="D235" i="123" a="1"/>
  <c r="D235" i="123" s="1"/>
  <c r="S234" i="123" a="1"/>
  <c r="S234" i="123" s="1"/>
  <c r="R234" i="123" a="1"/>
  <c r="R234" i="123" s="1"/>
  <c r="Q234" i="123" a="1"/>
  <c r="Q234" i="123" s="1"/>
  <c r="P234" i="123" a="1"/>
  <c r="P234" i="123" s="1"/>
  <c r="O234" i="123" a="1"/>
  <c r="O234" i="123" s="1"/>
  <c r="N234" i="123" a="1"/>
  <c r="N234" i="123" s="1"/>
  <c r="M234" i="123" a="1"/>
  <c r="M234" i="123" s="1"/>
  <c r="L234" i="123" a="1"/>
  <c r="L234" i="123" s="1"/>
  <c r="K234" i="123" a="1"/>
  <c r="K234" i="123" s="1"/>
  <c r="J234" i="123" a="1"/>
  <c r="J234" i="123" s="1"/>
  <c r="I234" i="123" a="1"/>
  <c r="I234" i="123" s="1"/>
  <c r="H234" i="123" a="1"/>
  <c r="H234" i="123" s="1"/>
  <c r="G234" i="123" a="1"/>
  <c r="G234" i="123" s="1"/>
  <c r="F234" i="123" a="1"/>
  <c r="F234" i="123" s="1"/>
  <c r="E234" i="123" a="1"/>
  <c r="E234" i="123" s="1"/>
  <c r="D234" i="123" a="1"/>
  <c r="D234" i="123" s="1"/>
  <c r="S233" i="123" a="1"/>
  <c r="S233" i="123" s="1"/>
  <c r="R233" i="123" a="1"/>
  <c r="R233" i="123" s="1"/>
  <c r="Q233" i="123" a="1"/>
  <c r="Q233" i="123" s="1"/>
  <c r="P233" i="123" a="1"/>
  <c r="P233" i="123" s="1"/>
  <c r="O233" i="123" a="1"/>
  <c r="O233" i="123" s="1"/>
  <c r="N233" i="123" a="1"/>
  <c r="N233" i="123" s="1"/>
  <c r="M233" i="123" a="1"/>
  <c r="M233" i="123" s="1"/>
  <c r="L233" i="123" a="1"/>
  <c r="L233" i="123" s="1"/>
  <c r="K233" i="123" a="1"/>
  <c r="K233" i="123" s="1"/>
  <c r="J233" i="123" a="1"/>
  <c r="J233" i="123" s="1"/>
  <c r="I233" i="123" a="1"/>
  <c r="I233" i="123" s="1"/>
  <c r="H233" i="123" a="1"/>
  <c r="H233" i="123" s="1"/>
  <c r="G233" i="123" a="1"/>
  <c r="G233" i="123" s="1"/>
  <c r="F233" i="123" a="1"/>
  <c r="F233" i="123" s="1"/>
  <c r="E233" i="123" a="1"/>
  <c r="E233" i="123" s="1"/>
  <c r="D233" i="123" a="1"/>
  <c r="D233" i="123" s="1"/>
  <c r="S232" i="123" a="1"/>
  <c r="S232" i="123" s="1"/>
  <c r="R232" i="123" a="1"/>
  <c r="R232" i="123" s="1"/>
  <c r="Q232" i="123" a="1"/>
  <c r="Q232" i="123" s="1"/>
  <c r="P232" i="123" a="1"/>
  <c r="P232" i="123" s="1"/>
  <c r="O232" i="123" a="1"/>
  <c r="O232" i="123" s="1"/>
  <c r="N232" i="123" a="1"/>
  <c r="N232" i="123" s="1"/>
  <c r="M232" i="123" a="1"/>
  <c r="M232" i="123" s="1"/>
  <c r="L232" i="123" a="1"/>
  <c r="L232" i="123" s="1"/>
  <c r="K232" i="123" a="1"/>
  <c r="K232" i="123" s="1"/>
  <c r="J232" i="123" a="1"/>
  <c r="J232" i="123" s="1"/>
  <c r="I232" i="123" a="1"/>
  <c r="I232" i="123" s="1"/>
  <c r="H232" i="123" a="1"/>
  <c r="H232" i="123" s="1"/>
  <c r="G232" i="123" a="1"/>
  <c r="G232" i="123" s="1"/>
  <c r="F232" i="123" a="1"/>
  <c r="F232" i="123" s="1"/>
  <c r="E232" i="123" a="1"/>
  <c r="E232" i="123" s="1"/>
  <c r="D232" i="123" a="1"/>
  <c r="D232" i="123" s="1"/>
  <c r="D229" i="123" a="1"/>
  <c r="D229" i="123" s="1"/>
  <c r="D228" i="123" a="1"/>
  <c r="D228" i="123" s="1"/>
  <c r="D227" i="123" a="1"/>
  <c r="D227" i="123" s="1"/>
  <c r="E224" i="123" a="1"/>
  <c r="E224" i="123" s="1"/>
  <c r="D224" i="123" a="1"/>
  <c r="D224" i="123" s="1"/>
  <c r="E223" i="123" a="1"/>
  <c r="E223" i="123" s="1"/>
  <c r="D223" i="123" a="1"/>
  <c r="D223" i="123" s="1"/>
  <c r="E222" i="123" a="1"/>
  <c r="E222" i="123" s="1"/>
  <c r="D222" i="123" a="1"/>
  <c r="D222" i="123" s="1"/>
  <c r="E221" i="123" a="1"/>
  <c r="E221" i="123" s="1"/>
  <c r="D221" i="123" a="1"/>
  <c r="D221" i="123" s="1"/>
  <c r="E220" i="123" a="1"/>
  <c r="E220" i="123" s="1"/>
  <c r="D220" i="123" a="1"/>
  <c r="D220" i="123" s="1"/>
  <c r="E219" i="123" a="1"/>
  <c r="E219" i="123" s="1"/>
  <c r="D219" i="123" a="1"/>
  <c r="D219" i="123" s="1"/>
  <c r="E218" i="123" a="1"/>
  <c r="E218" i="123" s="1"/>
  <c r="D218" i="123" a="1"/>
  <c r="D218" i="123" s="1"/>
  <c r="E217" i="123" a="1"/>
  <c r="E217" i="123" s="1"/>
  <c r="D217" i="123" a="1"/>
  <c r="D217" i="123" s="1"/>
  <c r="E216" i="123" a="1"/>
  <c r="E216" i="123" s="1"/>
  <c r="D216" i="123" a="1"/>
  <c r="D216" i="123" s="1"/>
  <c r="E215" i="123" a="1"/>
  <c r="E215" i="123" s="1"/>
  <c r="D215" i="123" a="1"/>
  <c r="D215" i="123" s="1"/>
  <c r="E214" i="123" a="1"/>
  <c r="E214" i="123" s="1"/>
  <c r="D214" i="123" a="1"/>
  <c r="D214" i="123" s="1"/>
  <c r="E213" i="123" a="1"/>
  <c r="E213" i="123" s="1"/>
  <c r="D213" i="123" a="1"/>
  <c r="D213" i="123" s="1"/>
  <c r="D211" i="123" a="1"/>
  <c r="D211" i="123" s="1"/>
  <c r="E208" i="123" a="1"/>
  <c r="E208" i="123" s="1"/>
  <c r="D208" i="123" a="1"/>
  <c r="D208" i="123" s="1"/>
  <c r="E207" i="123" a="1"/>
  <c r="E207" i="123" s="1"/>
  <c r="D207" i="123" a="1"/>
  <c r="D207" i="123" s="1"/>
  <c r="D205" i="123" a="1"/>
  <c r="D205" i="123" s="1"/>
  <c r="D204" i="123" a="1"/>
  <c r="D204" i="123" s="1"/>
  <c r="D203" i="123" a="1"/>
  <c r="D203" i="123" s="1"/>
  <c r="D202" i="123" a="1"/>
  <c r="D202" i="123" s="1"/>
  <c r="H199" i="123" a="1"/>
  <c r="H199" i="123" s="1"/>
  <c r="G199" i="123" a="1"/>
  <c r="G199" i="123" s="1"/>
  <c r="F199" i="123" a="1"/>
  <c r="F199" i="123" s="1"/>
  <c r="E199" i="123" a="1"/>
  <c r="E199" i="123" s="1"/>
  <c r="D199" i="123" a="1"/>
  <c r="D199" i="123" s="1"/>
  <c r="H198" i="123" a="1"/>
  <c r="H198" i="123" s="1"/>
  <c r="G198" i="123" a="1"/>
  <c r="G198" i="123" s="1"/>
  <c r="F198" i="123" a="1"/>
  <c r="F198" i="123" s="1"/>
  <c r="E198" i="123" a="1"/>
  <c r="E198" i="123" s="1"/>
  <c r="D198" i="123" a="1"/>
  <c r="D198" i="123" s="1"/>
  <c r="H197" i="123" a="1"/>
  <c r="H197" i="123" s="1"/>
  <c r="G197" i="123" a="1"/>
  <c r="G197" i="123" s="1"/>
  <c r="F197" i="123" a="1"/>
  <c r="F197" i="123" s="1"/>
  <c r="E197" i="123" a="1"/>
  <c r="E197" i="123" s="1"/>
  <c r="D197" i="123" a="1"/>
  <c r="D197" i="123" s="1"/>
  <c r="H196" i="123" a="1"/>
  <c r="H196" i="123" s="1"/>
  <c r="G196" i="123" a="1"/>
  <c r="G196" i="123" s="1"/>
  <c r="F196" i="123" a="1"/>
  <c r="F196" i="123" s="1"/>
  <c r="E196" i="123" a="1"/>
  <c r="E196" i="123" s="1"/>
  <c r="D196" i="123" a="1"/>
  <c r="D196" i="123" s="1"/>
  <c r="H195" i="123" a="1"/>
  <c r="H195" i="123" s="1"/>
  <c r="G195" i="123" a="1"/>
  <c r="G195" i="123" s="1"/>
  <c r="F195" i="123" a="1"/>
  <c r="F195" i="123" s="1"/>
  <c r="E195" i="123" a="1"/>
  <c r="E195" i="123" s="1"/>
  <c r="D195" i="123" a="1"/>
  <c r="D195" i="123" s="1"/>
  <c r="H194" i="123" a="1"/>
  <c r="H194" i="123" s="1"/>
  <c r="G194" i="123" a="1"/>
  <c r="G194" i="123" s="1"/>
  <c r="F194" i="123" a="1"/>
  <c r="F194" i="123" s="1"/>
  <c r="E194" i="123" a="1"/>
  <c r="E194" i="123" s="1"/>
  <c r="D194" i="123" a="1"/>
  <c r="D194" i="123" s="1"/>
  <c r="H193" i="123" a="1"/>
  <c r="H193" i="123" s="1"/>
  <c r="G193" i="123" a="1"/>
  <c r="G193" i="123" s="1"/>
  <c r="F193" i="123" a="1"/>
  <c r="F193" i="123" s="1"/>
  <c r="E193" i="123" a="1"/>
  <c r="E193" i="123" s="1"/>
  <c r="D193" i="123" a="1"/>
  <c r="D193" i="123" s="1"/>
  <c r="H192" i="123" a="1"/>
  <c r="H192" i="123" s="1"/>
  <c r="G192" i="123" a="1"/>
  <c r="G192" i="123" s="1"/>
  <c r="F192" i="123" a="1"/>
  <c r="F192" i="123" s="1"/>
  <c r="E192" i="123" a="1"/>
  <c r="E192" i="123" s="1"/>
  <c r="D192" i="123" a="1"/>
  <c r="D192" i="123" s="1"/>
  <c r="H191" i="123" a="1"/>
  <c r="H191" i="123" s="1"/>
  <c r="G191" i="123" a="1"/>
  <c r="G191" i="123" s="1"/>
  <c r="F191" i="123" a="1"/>
  <c r="F191" i="123" s="1"/>
  <c r="E191" i="123" a="1"/>
  <c r="E191" i="123" s="1"/>
  <c r="D191" i="123" a="1"/>
  <c r="D191" i="123" s="1"/>
  <c r="H190" i="123" a="1"/>
  <c r="H190" i="123" s="1"/>
  <c r="G190" i="123" a="1"/>
  <c r="G190" i="123" s="1"/>
  <c r="F190" i="123" a="1"/>
  <c r="F190" i="123" s="1"/>
  <c r="E190" i="123" a="1"/>
  <c r="E190" i="123" s="1"/>
  <c r="D190" i="123" a="1"/>
  <c r="D190" i="123" s="1"/>
  <c r="H189" i="123" a="1"/>
  <c r="H189" i="123" s="1"/>
  <c r="G189" i="123" a="1"/>
  <c r="G189" i="123" s="1"/>
  <c r="F189" i="123" a="1"/>
  <c r="F189" i="123" s="1"/>
  <c r="E189" i="123" a="1"/>
  <c r="E189" i="123" s="1"/>
  <c r="D189" i="123" a="1"/>
  <c r="D189" i="123" s="1"/>
  <c r="H188" i="123" a="1"/>
  <c r="H188" i="123" s="1"/>
  <c r="G188" i="123" a="1"/>
  <c r="G188" i="123" s="1"/>
  <c r="F188" i="123" a="1"/>
  <c r="F188" i="123" s="1"/>
  <c r="E188" i="123" a="1"/>
  <c r="E188" i="123" s="1"/>
  <c r="D188" i="123" a="1"/>
  <c r="D188" i="123" s="1"/>
  <c r="H187" i="123" a="1"/>
  <c r="H187" i="123" s="1"/>
  <c r="G187" i="123" a="1"/>
  <c r="G187" i="123" s="1"/>
  <c r="F187" i="123" a="1"/>
  <c r="F187" i="123" s="1"/>
  <c r="E187" i="123" a="1"/>
  <c r="E187" i="123" s="1"/>
  <c r="D187" i="123" a="1"/>
  <c r="D187" i="123" s="1"/>
  <c r="D181" i="123" a="1"/>
  <c r="D181" i="123" s="1"/>
  <c r="D180" i="123" a="1"/>
  <c r="D180" i="123" s="1"/>
  <c r="D179" i="123" a="1"/>
  <c r="D179" i="123" s="1"/>
  <c r="D178" i="123" a="1"/>
  <c r="D178" i="123" s="1"/>
  <c r="E175" i="123" a="1"/>
  <c r="E175" i="123" s="1"/>
  <c r="D175" i="123" a="1"/>
  <c r="D175" i="123" s="1"/>
  <c r="D174" i="123" a="1"/>
  <c r="D174" i="123" s="1"/>
  <c r="D173" i="123" a="1"/>
  <c r="D173" i="123" s="1"/>
  <c r="D170" i="123" a="1"/>
  <c r="D170" i="123" s="1"/>
  <c r="D169" i="123"/>
  <c r="D169" i="123" a="1"/>
  <c r="D168" i="123" a="1"/>
  <c r="D168" i="123" s="1"/>
  <c r="D167" i="123" a="1"/>
  <c r="D167" i="123" s="1"/>
  <c r="D164" i="123" a="1"/>
  <c r="D164" i="123" s="1"/>
  <c r="D163" i="123" a="1"/>
  <c r="D163" i="123" s="1"/>
  <c r="D162" i="123" a="1"/>
  <c r="D162" i="123" s="1"/>
  <c r="D161" i="123" a="1"/>
  <c r="D161" i="123" s="1"/>
  <c r="E158" i="123" a="1"/>
  <c r="E158" i="123" s="1"/>
  <c r="D158" i="123" a="1"/>
  <c r="D158" i="123" s="1"/>
  <c r="E157" i="123" a="1"/>
  <c r="E157" i="123" s="1"/>
  <c r="D157" i="123" a="1"/>
  <c r="D157" i="123" s="1"/>
  <c r="E156" i="123" a="1"/>
  <c r="E156" i="123" s="1"/>
  <c r="D156" i="123" a="1"/>
  <c r="D156" i="123" s="1"/>
  <c r="E155" i="123" a="1"/>
  <c r="E155" i="123" s="1"/>
  <c r="D155" i="123" a="1"/>
  <c r="D155" i="123" s="1"/>
  <c r="E154" i="123" a="1"/>
  <c r="E154" i="123" s="1"/>
  <c r="D154" i="123" a="1"/>
  <c r="D154" i="123" s="1"/>
  <c r="D151" i="123" a="1"/>
  <c r="D151" i="123" s="1"/>
  <c r="D150" i="123" a="1"/>
  <c r="D150" i="123" s="1"/>
  <c r="E147" i="123" a="1"/>
  <c r="E147" i="123" s="1"/>
  <c r="D147" i="123" a="1"/>
  <c r="D147" i="123" s="1"/>
  <c r="E146" i="123" a="1"/>
  <c r="E146" i="123" s="1"/>
  <c r="D146" i="123" a="1"/>
  <c r="D146" i="123" s="1"/>
  <c r="E145" i="123" a="1"/>
  <c r="E145" i="123" s="1"/>
  <c r="D145" i="123" a="1"/>
  <c r="D145" i="123" s="1"/>
  <c r="E144" i="123" a="1"/>
  <c r="E144" i="123" s="1"/>
  <c r="D144" i="123" a="1"/>
  <c r="D144" i="123" s="1"/>
  <c r="E143" i="123" a="1"/>
  <c r="E143" i="123" s="1"/>
  <c r="D143" i="123" a="1"/>
  <c r="D143" i="123" s="1"/>
  <c r="D141" i="123" a="1"/>
  <c r="D141" i="123" s="1"/>
  <c r="D140" i="123"/>
  <c r="D140" i="123" a="1"/>
  <c r="D139" i="123" a="1"/>
  <c r="D139" i="123" s="1"/>
  <c r="E136" i="123" a="1"/>
  <c r="E136" i="123" s="1"/>
  <c r="D136" i="123" a="1"/>
  <c r="D136" i="123" s="1"/>
  <c r="E135" i="123" a="1"/>
  <c r="E135" i="123" s="1"/>
  <c r="D135" i="123" a="1"/>
  <c r="D135" i="123" s="1"/>
  <c r="D133" i="123" a="1"/>
  <c r="D133" i="123" s="1"/>
  <c r="D132" i="123" a="1"/>
  <c r="D132" i="123" s="1"/>
  <c r="E129" i="123" a="1"/>
  <c r="E129" i="123" s="1"/>
  <c r="D129" i="123" a="1"/>
  <c r="D129" i="123" s="1"/>
  <c r="E128" i="123" a="1"/>
  <c r="E128" i="123" s="1"/>
  <c r="D128" i="123" a="1"/>
  <c r="D128" i="123" s="1"/>
  <c r="D125" i="123" a="1"/>
  <c r="D125" i="123" s="1"/>
  <c r="D124" i="123" a="1"/>
  <c r="D124" i="123" s="1"/>
  <c r="G121" i="123" a="1"/>
  <c r="G121" i="123" s="1"/>
  <c r="F121" i="123" a="1"/>
  <c r="F121" i="123" s="1"/>
  <c r="E121" i="123" a="1"/>
  <c r="E121" i="123" s="1"/>
  <c r="D121" i="123" a="1"/>
  <c r="D121" i="123" s="1"/>
  <c r="G120" i="123" a="1"/>
  <c r="G120" i="123" s="1"/>
  <c r="F120" i="123" a="1"/>
  <c r="F120" i="123" s="1"/>
  <c r="E120" i="123" a="1"/>
  <c r="E120" i="123" s="1"/>
  <c r="D120" i="123" a="1"/>
  <c r="D120" i="123" s="1"/>
  <c r="D117" i="123" a="1"/>
  <c r="D117" i="123" s="1"/>
  <c r="D116" i="123"/>
  <c r="D116" i="123" a="1"/>
  <c r="D115" i="123"/>
  <c r="D115" i="123" a="1"/>
  <c r="G112" i="123" a="1"/>
  <c r="G112" i="123" s="1"/>
  <c r="F112" i="123" a="1"/>
  <c r="F112" i="123" s="1"/>
  <c r="E112" i="123" a="1"/>
  <c r="E112" i="123" s="1"/>
  <c r="D112" i="123" a="1"/>
  <c r="D112" i="123" s="1"/>
  <c r="G111" i="123" a="1"/>
  <c r="G111" i="123" s="1"/>
  <c r="F111" i="123" a="1"/>
  <c r="F111" i="123" s="1"/>
  <c r="E111" i="123" a="1"/>
  <c r="E111" i="123" s="1"/>
  <c r="D111" i="123" a="1"/>
  <c r="D111" i="123" s="1"/>
  <c r="G110" i="123" a="1"/>
  <c r="G110" i="123" s="1"/>
  <c r="F110" i="123" a="1"/>
  <c r="F110" i="123" s="1"/>
  <c r="E110" i="123" a="1"/>
  <c r="E110" i="123" s="1"/>
  <c r="D110" i="123" a="1"/>
  <c r="D110" i="123" s="1"/>
  <c r="D107" i="123" a="1"/>
  <c r="D107" i="123" s="1"/>
  <c r="D106" i="123" a="1"/>
  <c r="D106" i="123" s="1"/>
  <c r="D105" i="123" a="1"/>
  <c r="D105" i="123" s="1"/>
  <c r="D99" i="123" a="1"/>
  <c r="D99" i="123" s="1"/>
  <c r="S97" i="123" a="1"/>
  <c r="S97" i="123" s="1"/>
  <c r="R97" i="123" a="1"/>
  <c r="R97" i="123" s="1"/>
  <c r="Q97" i="123" a="1"/>
  <c r="Q97" i="123" s="1"/>
  <c r="P97" i="123" a="1"/>
  <c r="P97" i="123" s="1"/>
  <c r="O97" i="123" a="1"/>
  <c r="O97" i="123" s="1"/>
  <c r="N97" i="123" a="1"/>
  <c r="N97" i="123" s="1"/>
  <c r="M97" i="123" a="1"/>
  <c r="M97" i="123" s="1"/>
  <c r="L97" i="123" a="1"/>
  <c r="L97" i="123" s="1"/>
  <c r="K97" i="123" a="1"/>
  <c r="K97" i="123" s="1"/>
  <c r="J97" i="123" a="1"/>
  <c r="J97" i="123" s="1"/>
  <c r="I97" i="123" a="1"/>
  <c r="I97" i="123" s="1"/>
  <c r="H97" i="123" a="1"/>
  <c r="H97" i="123" s="1"/>
  <c r="G97" i="123" a="1"/>
  <c r="G97" i="123" s="1"/>
  <c r="F97" i="123" a="1"/>
  <c r="F97" i="123" s="1"/>
  <c r="E97" i="123" a="1"/>
  <c r="E97" i="123" s="1"/>
  <c r="D97" i="123" a="1"/>
  <c r="D97" i="123" s="1"/>
  <c r="S96" i="123" a="1"/>
  <c r="S96" i="123" s="1"/>
  <c r="R96" i="123" a="1"/>
  <c r="R96" i="123" s="1"/>
  <c r="Q96" i="123" a="1"/>
  <c r="Q96" i="123" s="1"/>
  <c r="P96" i="123" a="1"/>
  <c r="P96" i="123" s="1"/>
  <c r="O96" i="123" a="1"/>
  <c r="O96" i="123" s="1"/>
  <c r="N96" i="123" a="1"/>
  <c r="N96" i="123" s="1"/>
  <c r="M96" i="123" a="1"/>
  <c r="M96" i="123" s="1"/>
  <c r="L96" i="123" a="1"/>
  <c r="L96" i="123" s="1"/>
  <c r="K96" i="123" a="1"/>
  <c r="K96" i="123" s="1"/>
  <c r="J96" i="123" a="1"/>
  <c r="J96" i="123" s="1"/>
  <c r="I96" i="123" a="1"/>
  <c r="I96" i="123" s="1"/>
  <c r="H96" i="123" a="1"/>
  <c r="H96" i="123" s="1"/>
  <c r="G96" i="123" a="1"/>
  <c r="G96" i="123" s="1"/>
  <c r="F96" i="123" a="1"/>
  <c r="F96" i="123" s="1"/>
  <c r="E96" i="123" a="1"/>
  <c r="E96" i="123" s="1"/>
  <c r="D96" i="123" a="1"/>
  <c r="D96" i="123" s="1"/>
  <c r="S95" i="123" a="1"/>
  <c r="S95" i="123" s="1"/>
  <c r="R95" i="123" a="1"/>
  <c r="R95" i="123" s="1"/>
  <c r="Q95" i="123" a="1"/>
  <c r="Q95" i="123" s="1"/>
  <c r="P95" i="123" a="1"/>
  <c r="P95" i="123" s="1"/>
  <c r="O95" i="123" a="1"/>
  <c r="O95" i="123" s="1"/>
  <c r="N95" i="123" a="1"/>
  <c r="N95" i="123" s="1"/>
  <c r="M95" i="123" a="1"/>
  <c r="M95" i="123" s="1"/>
  <c r="L95" i="123" a="1"/>
  <c r="L95" i="123" s="1"/>
  <c r="K95" i="123" a="1"/>
  <c r="K95" i="123" s="1"/>
  <c r="J95" i="123" a="1"/>
  <c r="J95" i="123" s="1"/>
  <c r="I95" i="123" a="1"/>
  <c r="I95" i="123" s="1"/>
  <c r="H95" i="123" a="1"/>
  <c r="H95" i="123" s="1"/>
  <c r="G95" i="123" a="1"/>
  <c r="G95" i="123" s="1"/>
  <c r="F95" i="123" a="1"/>
  <c r="F95" i="123" s="1"/>
  <c r="E95" i="123" a="1"/>
  <c r="E95" i="123" s="1"/>
  <c r="D95" i="123" a="1"/>
  <c r="D95" i="123" s="1"/>
  <c r="S94" i="123" a="1"/>
  <c r="S94" i="123" s="1"/>
  <c r="R94" i="123" a="1"/>
  <c r="R94" i="123" s="1"/>
  <c r="Q94" i="123" a="1"/>
  <c r="Q94" i="123" s="1"/>
  <c r="P94" i="123" a="1"/>
  <c r="P94" i="123" s="1"/>
  <c r="O94" i="123" a="1"/>
  <c r="O94" i="123" s="1"/>
  <c r="N94" i="123" a="1"/>
  <c r="N94" i="123" s="1"/>
  <c r="M94" i="123" a="1"/>
  <c r="M94" i="123" s="1"/>
  <c r="L94" i="123" a="1"/>
  <c r="L94" i="123" s="1"/>
  <c r="K94" i="123" a="1"/>
  <c r="K94" i="123" s="1"/>
  <c r="J94" i="123" a="1"/>
  <c r="J94" i="123" s="1"/>
  <c r="I94" i="123" a="1"/>
  <c r="I94" i="123" s="1"/>
  <c r="H94" i="123" a="1"/>
  <c r="H94" i="123" s="1"/>
  <c r="G94" i="123" a="1"/>
  <c r="G94" i="123" s="1"/>
  <c r="F94" i="123" a="1"/>
  <c r="F94" i="123" s="1"/>
  <c r="E94" i="123" a="1"/>
  <c r="E94" i="123" s="1"/>
  <c r="D94" i="123" a="1"/>
  <c r="D94" i="123" s="1"/>
  <c r="S93" i="123" a="1"/>
  <c r="S93" i="123" s="1"/>
  <c r="R93" i="123" a="1"/>
  <c r="R93" i="123" s="1"/>
  <c r="Q93" i="123" a="1"/>
  <c r="Q93" i="123" s="1"/>
  <c r="P93" i="123" a="1"/>
  <c r="P93" i="123" s="1"/>
  <c r="O93" i="123" a="1"/>
  <c r="O93" i="123" s="1"/>
  <c r="N93" i="123" a="1"/>
  <c r="N93" i="123" s="1"/>
  <c r="M93" i="123" a="1"/>
  <c r="M93" i="123" s="1"/>
  <c r="L93" i="123" a="1"/>
  <c r="L93" i="123" s="1"/>
  <c r="K93" i="123" a="1"/>
  <c r="K93" i="123" s="1"/>
  <c r="J93" i="123" a="1"/>
  <c r="J93" i="123" s="1"/>
  <c r="I93" i="123" a="1"/>
  <c r="I93" i="123" s="1"/>
  <c r="H93" i="123" a="1"/>
  <c r="H93" i="123" s="1"/>
  <c r="G93" i="123" a="1"/>
  <c r="G93" i="123" s="1"/>
  <c r="F93" i="123" a="1"/>
  <c r="F93" i="123" s="1"/>
  <c r="E93" i="123" a="1"/>
  <c r="E93" i="123" s="1"/>
  <c r="D93" i="123" a="1"/>
  <c r="D93" i="123" s="1"/>
  <c r="S92" i="123" a="1"/>
  <c r="S92" i="123" s="1"/>
  <c r="R92" i="123" a="1"/>
  <c r="R92" i="123" s="1"/>
  <c r="Q92" i="123" a="1"/>
  <c r="Q92" i="123" s="1"/>
  <c r="P92" i="123" a="1"/>
  <c r="P92" i="123" s="1"/>
  <c r="O92" i="123" a="1"/>
  <c r="O92" i="123" s="1"/>
  <c r="N92" i="123" a="1"/>
  <c r="N92" i="123" s="1"/>
  <c r="M92" i="123" a="1"/>
  <c r="M92" i="123" s="1"/>
  <c r="L92" i="123" a="1"/>
  <c r="L92" i="123" s="1"/>
  <c r="K92" i="123" a="1"/>
  <c r="K92" i="123" s="1"/>
  <c r="J92" i="123" a="1"/>
  <c r="J92" i="123" s="1"/>
  <c r="I92" i="123" a="1"/>
  <c r="I92" i="123" s="1"/>
  <c r="H92" i="123" a="1"/>
  <c r="H92" i="123" s="1"/>
  <c r="G92" i="123" a="1"/>
  <c r="G92" i="123" s="1"/>
  <c r="F92" i="123" a="1"/>
  <c r="F92" i="123" s="1"/>
  <c r="E92" i="123" a="1"/>
  <c r="E92" i="123" s="1"/>
  <c r="D92" i="123" a="1"/>
  <c r="D92" i="123" s="1"/>
  <c r="S91" i="123" a="1"/>
  <c r="S91" i="123" s="1"/>
  <c r="R91" i="123" a="1"/>
  <c r="R91" i="123" s="1"/>
  <c r="Q91" i="123" a="1"/>
  <c r="Q91" i="123" s="1"/>
  <c r="P91" i="123" a="1"/>
  <c r="P91" i="123" s="1"/>
  <c r="O91" i="123" a="1"/>
  <c r="O91" i="123" s="1"/>
  <c r="N91" i="123" a="1"/>
  <c r="N91" i="123" s="1"/>
  <c r="M91" i="123" a="1"/>
  <c r="M91" i="123" s="1"/>
  <c r="L91" i="123" a="1"/>
  <c r="L91" i="123" s="1"/>
  <c r="K91" i="123" a="1"/>
  <c r="K91" i="123" s="1"/>
  <c r="J91" i="123" a="1"/>
  <c r="J91" i="123" s="1"/>
  <c r="I91" i="123" a="1"/>
  <c r="I91" i="123" s="1"/>
  <c r="H91" i="123" a="1"/>
  <c r="H91" i="123" s="1"/>
  <c r="G91" i="123" a="1"/>
  <c r="G91" i="123" s="1"/>
  <c r="F91" i="123" a="1"/>
  <c r="F91" i="123" s="1"/>
  <c r="E91" i="123" a="1"/>
  <c r="E91" i="123" s="1"/>
  <c r="D91" i="123" a="1"/>
  <c r="D91" i="123" s="1"/>
  <c r="S90" i="123" a="1"/>
  <c r="S90" i="123" s="1"/>
  <c r="R90" i="123" a="1"/>
  <c r="R90" i="123" s="1"/>
  <c r="Q90" i="123" a="1"/>
  <c r="Q90" i="123" s="1"/>
  <c r="P90" i="123" a="1"/>
  <c r="P90" i="123" s="1"/>
  <c r="O90" i="123" a="1"/>
  <c r="O90" i="123" s="1"/>
  <c r="N90" i="123" a="1"/>
  <c r="N90" i="123" s="1"/>
  <c r="M90" i="123" a="1"/>
  <c r="M90" i="123" s="1"/>
  <c r="L90" i="123" a="1"/>
  <c r="L90" i="123" s="1"/>
  <c r="K90" i="123" a="1"/>
  <c r="K90" i="123" s="1"/>
  <c r="J90" i="123" a="1"/>
  <c r="J90" i="123" s="1"/>
  <c r="I90" i="123" a="1"/>
  <c r="I90" i="123" s="1"/>
  <c r="H90" i="123" a="1"/>
  <c r="H90" i="123" s="1"/>
  <c r="G90" i="123" a="1"/>
  <c r="G90" i="123" s="1"/>
  <c r="F90" i="123" a="1"/>
  <c r="F90" i="123" s="1"/>
  <c r="E90" i="123" a="1"/>
  <c r="E90" i="123" s="1"/>
  <c r="D90" i="123" a="1"/>
  <c r="D90" i="123" s="1"/>
  <c r="D83" i="123" a="1"/>
  <c r="D83" i="123" s="1"/>
  <c r="D82" i="123" a="1"/>
  <c r="D82" i="123" s="1"/>
  <c r="D81" i="123" a="1"/>
  <c r="D81" i="123" s="1"/>
  <c r="E77" i="123" a="1"/>
  <c r="E77" i="123" s="1"/>
  <c r="D77" i="123" a="1"/>
  <c r="D77" i="123" s="1"/>
  <c r="E76" i="123" a="1"/>
  <c r="E76" i="123" s="1"/>
  <c r="D76" i="123" a="1"/>
  <c r="D76" i="123" s="1"/>
  <c r="E75" i="123" a="1"/>
  <c r="E75" i="123" s="1"/>
  <c r="D75" i="123" a="1"/>
  <c r="D75" i="123" s="1"/>
  <c r="E74" i="123" a="1"/>
  <c r="E74" i="123" s="1"/>
  <c r="D74" i="123" a="1"/>
  <c r="D74" i="123" s="1"/>
  <c r="E73" i="123" a="1"/>
  <c r="E73" i="123" s="1"/>
  <c r="D73" i="123" a="1"/>
  <c r="D73" i="123" s="1"/>
  <c r="E72" i="123" a="1"/>
  <c r="E72" i="123" s="1"/>
  <c r="D72" i="123" a="1"/>
  <c r="D72" i="123" s="1"/>
  <c r="E71" i="123" a="1"/>
  <c r="E71" i="123" s="1"/>
  <c r="D71" i="123" a="1"/>
  <c r="D71" i="123" s="1"/>
  <c r="E70" i="123" a="1"/>
  <c r="E70" i="123" s="1"/>
  <c r="D70" i="123" a="1"/>
  <c r="D70" i="123" s="1"/>
  <c r="E69" i="123" a="1"/>
  <c r="E69" i="123" s="1"/>
  <c r="D69" i="123" a="1"/>
  <c r="D69" i="123" s="1"/>
  <c r="E68" i="123" a="1"/>
  <c r="E68" i="123" s="1"/>
  <c r="D68" i="123" a="1"/>
  <c r="D68" i="123" s="1"/>
  <c r="E67" i="123" a="1"/>
  <c r="E67" i="123" s="1"/>
  <c r="D67" i="123" a="1"/>
  <c r="D67" i="123" s="1"/>
  <c r="E66" i="123" a="1"/>
  <c r="E66" i="123" s="1"/>
  <c r="D66" i="123" a="1"/>
  <c r="D66" i="123" s="1"/>
  <c r="E65" i="123" a="1"/>
  <c r="E65" i="123" s="1"/>
  <c r="D65" i="123" a="1"/>
  <c r="D65" i="123" s="1"/>
  <c r="E64" i="123" a="1"/>
  <c r="E64" i="123" s="1"/>
  <c r="D64" i="123" a="1"/>
  <c r="D64" i="123" s="1"/>
  <c r="D59" i="123" a="1"/>
  <c r="D59" i="123" s="1"/>
  <c r="D58" i="123" a="1"/>
  <c r="D58" i="123" s="1"/>
  <c r="D57" i="123" a="1"/>
  <c r="D57" i="123" s="1"/>
  <c r="G54" i="123" a="1"/>
  <c r="G54" i="123" s="1"/>
  <c r="F54" i="123" a="1"/>
  <c r="F54" i="123" s="1"/>
  <c r="E54" i="123" a="1"/>
  <c r="E54" i="123" s="1"/>
  <c r="D54" i="123" a="1"/>
  <c r="D54" i="123" s="1"/>
  <c r="G53" i="123" a="1"/>
  <c r="G53" i="123" s="1"/>
  <c r="F53" i="123" a="1"/>
  <c r="F53" i="123" s="1"/>
  <c r="H53" i="123" s="1"/>
  <c r="E53" i="123" a="1"/>
  <c r="E53" i="123" s="1"/>
  <c r="D53" i="123" a="1"/>
  <c r="D53" i="123" s="1"/>
  <c r="G52" i="123" a="1"/>
  <c r="G52" i="123" s="1"/>
  <c r="F52" i="123" a="1"/>
  <c r="F52" i="123" s="1"/>
  <c r="E52" i="123" a="1"/>
  <c r="E52" i="123" s="1"/>
  <c r="D52" i="123" a="1"/>
  <c r="D52" i="123" s="1"/>
  <c r="G51" i="123" a="1"/>
  <c r="G51" i="123" s="1"/>
  <c r="F51" i="123" a="1"/>
  <c r="F51" i="123" s="1"/>
  <c r="E51" i="123" a="1"/>
  <c r="E51" i="123" s="1"/>
  <c r="D51" i="123" a="1"/>
  <c r="D51" i="123" s="1"/>
  <c r="G50" i="123" a="1"/>
  <c r="G50" i="123" s="1"/>
  <c r="F50" i="123" a="1"/>
  <c r="F50" i="123" s="1"/>
  <c r="E50" i="123" a="1"/>
  <c r="E50" i="123" s="1"/>
  <c r="D50" i="123" a="1"/>
  <c r="D50" i="123" s="1"/>
  <c r="G49" i="123" a="1"/>
  <c r="G49" i="123" s="1"/>
  <c r="F49" i="123" a="1"/>
  <c r="F49" i="123" s="1"/>
  <c r="H49" i="123" s="1"/>
  <c r="E49" i="123" a="1"/>
  <c r="E49" i="123" s="1"/>
  <c r="D49" i="123" a="1"/>
  <c r="D49" i="123" s="1"/>
  <c r="G48" i="123" a="1"/>
  <c r="G48" i="123" s="1"/>
  <c r="F48" i="123" a="1"/>
  <c r="F48" i="123" s="1"/>
  <c r="E48" i="123" a="1"/>
  <c r="E48" i="123" s="1"/>
  <c r="D48" i="123" a="1"/>
  <c r="D48" i="123" s="1"/>
  <c r="D46" i="123" a="1"/>
  <c r="D46" i="123" s="1"/>
  <c r="D45" i="123" a="1"/>
  <c r="D45" i="123" s="1"/>
  <c r="E43" i="123" a="1"/>
  <c r="E43" i="123" s="1"/>
  <c r="D43" i="123" a="1"/>
  <c r="D43" i="123" s="1"/>
  <c r="E42" i="123" a="1"/>
  <c r="E42" i="123" s="1"/>
  <c r="D42" i="123" a="1"/>
  <c r="D42" i="123" s="1"/>
  <c r="E41" i="123" a="1"/>
  <c r="E41" i="123" s="1"/>
  <c r="D41" i="123" a="1"/>
  <c r="D41" i="123" s="1"/>
  <c r="E40" i="123" a="1"/>
  <c r="E40" i="123" s="1"/>
  <c r="D40" i="123" a="1"/>
  <c r="D40" i="123" s="1"/>
  <c r="E39" i="123" a="1"/>
  <c r="E39" i="123" s="1"/>
  <c r="D39" i="123" a="1"/>
  <c r="D39" i="123" s="1"/>
  <c r="E38" i="123" a="1"/>
  <c r="E38" i="123" s="1"/>
  <c r="D38" i="123" a="1"/>
  <c r="D38" i="123" s="1"/>
  <c r="E37" i="123" a="1"/>
  <c r="E37" i="123" s="1"/>
  <c r="D37" i="123" a="1"/>
  <c r="D37" i="123" s="1"/>
  <c r="D35" i="123" a="1"/>
  <c r="D35" i="123" s="1"/>
  <c r="D34" i="123"/>
  <c r="D34" i="123" a="1"/>
  <c r="D30" i="123" a="1"/>
  <c r="D30" i="123" s="1"/>
  <c r="D29" i="123" a="1"/>
  <c r="D29" i="123" s="1"/>
  <c r="D28" i="123" a="1"/>
  <c r="D28" i="123" s="1"/>
  <c r="D27" i="123" a="1"/>
  <c r="D27" i="123" s="1"/>
  <c r="D26" i="123" a="1"/>
  <c r="D26" i="123" s="1"/>
  <c r="D25" i="123" a="1"/>
  <c r="D25" i="123" s="1"/>
  <c r="D24" i="123" a="1"/>
  <c r="D24" i="123" s="1"/>
  <c r="D23" i="123" a="1"/>
  <c r="D23" i="123" s="1"/>
  <c r="D22" i="123" a="1"/>
  <c r="D22" i="123" s="1"/>
  <c r="D21" i="123" a="1"/>
  <c r="D21" i="123" s="1"/>
  <c r="D19" i="123" a="1"/>
  <c r="D19" i="123" s="1"/>
  <c r="D18" i="123" a="1"/>
  <c r="D18" i="123" s="1"/>
  <c r="F14" i="123" a="1"/>
  <c r="F14" i="123" s="1"/>
  <c r="E14" i="123" a="1"/>
  <c r="E14" i="123" s="1"/>
  <c r="D14" i="123" a="1"/>
  <c r="D14" i="123" s="1"/>
  <c r="F13" i="123" a="1"/>
  <c r="F13" i="123" s="1"/>
  <c r="E13" i="123" a="1"/>
  <c r="E13" i="123" s="1"/>
  <c r="D13" i="123" a="1"/>
  <c r="D13" i="123" s="1"/>
  <c r="F12" i="123" a="1"/>
  <c r="F12" i="123" s="1"/>
  <c r="E12" i="123" a="1"/>
  <c r="E12" i="123" s="1"/>
  <c r="D12" i="123" a="1"/>
  <c r="D12" i="123" s="1"/>
  <c r="F11" i="123" a="1"/>
  <c r="F11" i="123" s="1"/>
  <c r="E11" i="123" a="1"/>
  <c r="E11" i="123" s="1"/>
  <c r="D11" i="123" a="1"/>
  <c r="D11" i="123" s="1"/>
  <c r="F10" i="123" a="1"/>
  <c r="F10" i="123" s="1"/>
  <c r="E10" i="123" a="1"/>
  <c r="E10" i="123" s="1"/>
  <c r="D10" i="123" a="1"/>
  <c r="D10" i="123" s="1"/>
  <c r="F9" i="123" a="1"/>
  <c r="F9" i="123" s="1"/>
  <c r="E9" i="123" a="1"/>
  <c r="E9" i="123" s="1"/>
  <c r="D9" i="123" a="1"/>
  <c r="D9" i="123" s="1"/>
  <c r="F8" i="123" a="1"/>
  <c r="F8" i="123" s="1"/>
  <c r="E8" i="123" a="1"/>
  <c r="E8" i="123" s="1"/>
  <c r="D8" i="123" a="1"/>
  <c r="D8" i="123" s="1"/>
  <c r="F7" i="123" a="1"/>
  <c r="F7" i="123" s="1"/>
  <c r="E7" i="123" a="1"/>
  <c r="E7" i="123" s="1"/>
  <c r="D7" i="123" a="1"/>
  <c r="D7" i="123" s="1"/>
  <c r="D5" i="123" a="1"/>
  <c r="D5" i="123" s="1"/>
  <c r="K7" i="74" a="1"/>
  <c r="K7" i="74" s="1"/>
  <c r="A15" i="122"/>
  <c r="A14" i="122"/>
  <c r="E13" i="122"/>
  <c r="A11" i="122"/>
  <c r="A8" i="122"/>
  <c r="A5" i="122"/>
  <c r="A4" i="122"/>
  <c r="A3" i="122"/>
  <c r="I21" i="70" l="1"/>
  <c r="I19" i="70"/>
  <c r="H50" i="123"/>
  <c r="H51" i="123"/>
  <c r="H48" i="123"/>
  <c r="H52" i="123"/>
  <c r="H54" i="123"/>
  <c r="N14" i="74" a="1"/>
  <c r="N14" i="74" s="1"/>
  <c r="K14" i="74" a="1"/>
  <c r="K14" i="74" s="1"/>
  <c r="L12" i="74" a="1"/>
  <c r="L12" i="74" s="1"/>
  <c r="L11" i="74" a="1"/>
  <c r="L11" i="74" s="1"/>
  <c r="K6" i="74" a="1"/>
  <c r="K6" i="74" s="1"/>
  <c r="K5" i="74" a="1"/>
  <c r="K5" i="74" s="1"/>
  <c r="P16" i="74" a="1"/>
  <c r="P16" i="74" s="1"/>
  <c r="P15" i="74" a="1"/>
  <c r="P15" i="74" s="1"/>
  <c r="P14" i="74" a="1"/>
  <c r="P14" i="74" s="1"/>
  <c r="P16" i="69" a="1"/>
  <c r="P16" i="69" s="1"/>
  <c r="P15" i="69" a="1"/>
  <c r="P15" i="69" s="1"/>
  <c r="P14" i="69" a="1"/>
  <c r="P14" i="69" s="1"/>
  <c r="N14" i="69" a="1"/>
  <c r="N14" i="69" s="1"/>
  <c r="K14" i="69" a="1"/>
  <c r="K14" i="69" s="1"/>
  <c r="L12" i="69" a="1"/>
  <c r="L12" i="69" s="1"/>
  <c r="L11" i="69" a="1"/>
  <c r="L11" i="69" s="1"/>
  <c r="K6" i="69" a="1"/>
  <c r="K6" i="69" s="1"/>
  <c r="K5" i="69" a="1"/>
  <c r="K5" i="69" s="1"/>
  <c r="L7" i="69" a="1"/>
  <c r="L8" i="74" a="1"/>
  <c r="L8" i="74" l="1"/>
  <c r="L7" i="69"/>
  <c r="I17" i="70" l="1"/>
  <c r="A17" i="110" l="1"/>
  <c r="A16" i="110"/>
  <c r="A13" i="110"/>
  <c r="A12" i="110"/>
  <c r="A11" i="110"/>
  <c r="A8" i="110"/>
  <c r="A5" i="110"/>
  <c r="A4" i="110"/>
  <c r="A3" i="110"/>
  <c r="A17" i="74"/>
  <c r="A16" i="74"/>
  <c r="A13" i="74"/>
  <c r="A12" i="74"/>
  <c r="A11" i="74"/>
  <c r="A8" i="74"/>
  <c r="A5" i="74"/>
  <c r="A4" i="74"/>
  <c r="A3" i="74"/>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D6" i="74" a="1"/>
  <c r="D6" i="74" s="1"/>
  <c r="G14" i="74" a="1"/>
  <c r="G14" i="74" s="1"/>
  <c r="D14" i="74" a="1"/>
  <c r="D14" i="74" s="1"/>
  <c r="E12" i="74" a="1"/>
  <c r="E12" i="74" s="1"/>
  <c r="E11" i="74" a="1"/>
  <c r="E11" i="74" s="1"/>
  <c r="D5" i="74" a="1"/>
  <c r="D5" i="74" s="1"/>
  <c r="D32" i="74"/>
  <c r="D34" i="74" s="1"/>
  <c r="D25" i="74"/>
  <c r="D42" i="74"/>
  <c r="I16" i="74" a="1"/>
  <c r="I16" i="74" s="1"/>
  <c r="I15" i="74" a="1"/>
  <c r="I15" i="74" s="1"/>
  <c r="I14" i="74" a="1"/>
  <c r="I14" i="74" s="1"/>
  <c r="A69" i="69"/>
  <c r="I16" i="69" a="1"/>
  <c r="I16" i="69" s="1"/>
  <c r="I15" i="69" a="1"/>
  <c r="I15" i="69" s="1"/>
  <c r="I14" i="69" a="1"/>
  <c r="I14" i="69" s="1"/>
  <c r="E11" i="69" a="1"/>
  <c r="E11" i="69" s="1"/>
  <c r="E12" i="69" a="1"/>
  <c r="E12" i="69" s="1"/>
  <c r="G14" i="69" a="1"/>
  <c r="G14" i="69" s="1"/>
  <c r="D14" i="69" a="1"/>
  <c r="D14" i="69" s="1"/>
  <c r="E7" i="74" a="1"/>
  <c r="D38" i="74" l="1"/>
  <c r="D40" i="74"/>
  <c r="D39" i="74"/>
  <c r="D48" i="74"/>
  <c r="F49" i="69"/>
  <c r="F58" i="69"/>
  <c r="F52" i="69"/>
  <c r="F46" i="69"/>
  <c r="F70" i="69"/>
  <c r="F64" i="69"/>
  <c r="F57" i="74"/>
  <c r="F58" i="74"/>
  <c r="F46" i="74"/>
  <c r="F52" i="74"/>
  <c r="F56" i="74"/>
  <c r="F55" i="74"/>
  <c r="D33" i="74"/>
  <c r="D35" i="74"/>
  <c r="D36" i="74"/>
  <c r="D37" i="74"/>
  <c r="E7" i="74"/>
  <c r="F44" i="74"/>
  <c r="F43" i="74"/>
  <c r="F51" i="74"/>
  <c r="F50" i="74"/>
  <c r="F49" i="74"/>
  <c r="F45" i="74"/>
  <c r="D27" i="74"/>
  <c r="D29" i="74"/>
  <c r="D31" i="74"/>
  <c r="D26" i="74"/>
  <c r="D28" i="74"/>
  <c r="D30" i="74"/>
  <c r="F61" i="69"/>
  <c r="F50" i="69"/>
  <c r="F51" i="69"/>
  <c r="F55" i="69"/>
  <c r="F56" i="69"/>
  <c r="F57" i="69"/>
  <c r="F62" i="69"/>
  <c r="F63" i="69"/>
  <c r="F67" i="69"/>
  <c r="F68" i="69"/>
  <c r="F69" i="69"/>
  <c r="F44" i="69"/>
  <c r="F43" i="69"/>
  <c r="F45" i="69"/>
  <c r="D34" i="110" l="1"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6" i="69"/>
  <c r="F33" i="69"/>
  <c r="M33" i="69" s="1" a="1"/>
  <c r="M33" i="69" s="1"/>
  <c r="D37" i="69"/>
  <c r="D34" i="69"/>
  <c r="D25" i="69"/>
  <c r="D27" i="69" s="1"/>
  <c r="D33" i="69"/>
  <c r="D48" i="69" s="1"/>
  <c r="D6" i="69" a="1"/>
  <c r="D6" i="69" s="1"/>
  <c r="D5" i="69" a="1"/>
  <c r="D5" i="69" s="1"/>
  <c r="H131" i="110"/>
  <c r="I132" i="110"/>
  <c r="F38" i="69" s="1"/>
  <c r="I131" i="110"/>
  <c r="F37" i="69" s="1"/>
  <c r="G138" i="110"/>
  <c r="F32" i="69" s="1"/>
  <c r="M32" i="69" s="1" a="1"/>
  <c r="M32" i="69" s="1"/>
  <c r="G137" i="110"/>
  <c r="F31" i="69" s="1"/>
  <c r="G136" i="110"/>
  <c r="F30" i="69" s="1"/>
  <c r="G135" i="110"/>
  <c r="F29" i="69" s="1"/>
  <c r="G134" i="110"/>
  <c r="F28" i="69" s="1"/>
  <c r="G133" i="110"/>
  <c r="F27" i="69" s="1"/>
  <c r="G132" i="110"/>
  <c r="F26" i="69" s="1"/>
  <c r="M26" i="69" s="1" a="1"/>
  <c r="M26" i="69" s="1"/>
  <c r="G131" i="110"/>
  <c r="F25" i="69" s="1"/>
  <c r="F133" i="110"/>
  <c r="F132" i="110"/>
  <c r="F35" i="69" s="1"/>
  <c r="F131" i="110"/>
  <c r="F34" i="69" s="1"/>
  <c r="M34" i="69" s="1" a="1"/>
  <c r="M34" i="69" s="1"/>
  <c r="E139" i="110"/>
  <c r="F40" i="74" s="1"/>
  <c r="E138" i="110"/>
  <c r="F39" i="74" s="1"/>
  <c r="E137" i="110"/>
  <c r="F38" i="74" s="1"/>
  <c r="E136" i="110"/>
  <c r="F37" i="74" s="1"/>
  <c r="M37" i="74" s="1" a="1"/>
  <c r="M37" i="74" s="1"/>
  <c r="E135" i="110"/>
  <c r="F36" i="74" s="1"/>
  <c r="M36" i="74" s="1" a="1"/>
  <c r="M36" i="74" s="1"/>
  <c r="E134" i="110"/>
  <c r="F35" i="74" s="1"/>
  <c r="M35" i="74" s="1" a="1"/>
  <c r="M35" i="74" s="1"/>
  <c r="E133" i="110"/>
  <c r="F34" i="74" s="1"/>
  <c r="E132" i="110"/>
  <c r="F33" i="74" s="1"/>
  <c r="M33" i="74" s="1" a="1"/>
  <c r="M33" i="74" s="1"/>
  <c r="E131" i="110"/>
  <c r="F32" i="74" s="1"/>
  <c r="D137" i="110"/>
  <c r="F31" i="74" s="1"/>
  <c r="M31" i="74" s="1" a="1"/>
  <c r="M31" i="74" s="1"/>
  <c r="D136" i="110"/>
  <c r="F30" i="74" s="1"/>
  <c r="M30" i="74" s="1" a="1"/>
  <c r="M30" i="74" s="1"/>
  <c r="D135" i="110"/>
  <c r="F29" i="74" s="1"/>
  <c r="M29" i="74" s="1" a="1"/>
  <c r="M29" i="74" s="1"/>
  <c r="D134" i="110"/>
  <c r="F28" i="74" s="1"/>
  <c r="M28" i="74" s="1" a="1"/>
  <c r="M28" i="74" s="1"/>
  <c r="D133" i="110"/>
  <c r="F27" i="74" s="1"/>
  <c r="M27" i="74" s="1" a="1"/>
  <c r="M27" i="74" s="1"/>
  <c r="D132" i="110"/>
  <c r="F26" i="74" s="1"/>
  <c r="M26" i="74" s="1" a="1"/>
  <c r="M26" i="74" s="1"/>
  <c r="D131" i="110"/>
  <c r="F25" i="74" s="1"/>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a="1"/>
  <c r="D16" i="110" s="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D8" i="110" a="1"/>
  <c r="D8" i="110" s="1"/>
  <c r="D7" i="110" a="1"/>
  <c r="D7" i="110" s="1"/>
  <c r="D6" i="110" a="1"/>
  <c r="D6" i="110" s="1"/>
  <c r="D5" i="110" a="1"/>
  <c r="D5" i="110" s="1"/>
  <c r="E7" i="69" a="1"/>
  <c r="M29" i="69" l="1" a="1"/>
  <c r="M29" i="69" s="1"/>
  <c r="M34" i="74" a="1"/>
  <c r="M34" i="74" s="1"/>
  <c r="L34" i="74" a="1"/>
  <c r="L34" i="74" s="1"/>
  <c r="D60" i="69"/>
  <c r="D39" i="69"/>
  <c r="L39" i="69" s="1" a="1"/>
  <c r="L39" i="69" s="1"/>
  <c r="D38" i="69"/>
  <c r="M32" i="74" a="1"/>
  <c r="M32" i="74" s="1"/>
  <c r="L32" i="74" a="1"/>
  <c r="L32" i="74" s="1"/>
  <c r="M38" i="74" a="1"/>
  <c r="M38" i="74" s="1"/>
  <c r="L38" i="74" a="1"/>
  <c r="L38" i="74" s="1"/>
  <c r="L31" i="74" a="1"/>
  <c r="L31" i="74" s="1"/>
  <c r="L30" i="74" a="1"/>
  <c r="L30" i="74" s="1"/>
  <c r="M25" i="74" a="1"/>
  <c r="M25" i="74" s="1"/>
  <c r="L25" i="74" a="1"/>
  <c r="L25" i="74" s="1"/>
  <c r="L39" i="74" a="1"/>
  <c r="L39" i="74" s="1"/>
  <c r="M39" i="74" a="1"/>
  <c r="M39" i="74" s="1"/>
  <c r="L40" i="74" a="1"/>
  <c r="L40" i="74" s="1"/>
  <c r="M40" i="74" a="1"/>
  <c r="M40" i="74" s="1"/>
  <c r="L29" i="74" a="1"/>
  <c r="L29" i="74" s="1"/>
  <c r="L26" i="74" a="1"/>
  <c r="L26" i="74" s="1"/>
  <c r="L27" i="74" a="1"/>
  <c r="L27" i="74" s="1"/>
  <c r="L33" i="74" a="1"/>
  <c r="L33" i="74" s="1"/>
  <c r="L35" i="74" a="1"/>
  <c r="L35" i="74" s="1"/>
  <c r="L36" i="74" a="1"/>
  <c r="L36" i="74" s="1"/>
  <c r="L37" i="74" a="1"/>
  <c r="L37" i="74" s="1"/>
  <c r="L28" i="74" a="1"/>
  <c r="L28" i="74" s="1"/>
  <c r="K39" i="74" a="1"/>
  <c r="K39" i="74" s="1"/>
  <c r="K40" i="74" a="1"/>
  <c r="K40" i="74" s="1"/>
  <c r="E29" i="69"/>
  <c r="I29" i="69" s="1" a="1"/>
  <c r="I29" i="69" s="1"/>
  <c r="E38" i="69"/>
  <c r="J38" i="69" s="1" a="1"/>
  <c r="J38" i="69" s="1"/>
  <c r="E32" i="69"/>
  <c r="K32" i="69" s="1" a="1"/>
  <c r="K32" i="69" s="1"/>
  <c r="E31" i="69"/>
  <c r="G31" i="69" s="1" a="1"/>
  <c r="G31" i="69" s="1"/>
  <c r="E37" i="69"/>
  <c r="H37" i="69" s="1" a="1"/>
  <c r="H37" i="69" s="1"/>
  <c r="K37" i="69" a="1"/>
  <c r="K37" i="69" s="1"/>
  <c r="K35" i="69" a="1"/>
  <c r="K35" i="69" s="1"/>
  <c r="K36" i="69" a="1"/>
  <c r="K36" i="69" s="1"/>
  <c r="K34" i="69" a="1"/>
  <c r="K34" i="69" s="1"/>
  <c r="K39" i="69" a="1"/>
  <c r="K39" i="69" s="1"/>
  <c r="K28" i="69" a="1"/>
  <c r="K28" i="69" s="1"/>
  <c r="E30" i="69"/>
  <c r="J30" i="69" s="1" a="1"/>
  <c r="J30" i="69" s="1"/>
  <c r="E27" i="69"/>
  <c r="K27" i="69" s="1" a="1"/>
  <c r="K27" i="69" s="1"/>
  <c r="L27" i="69" a="1"/>
  <c r="L27" i="69" s="1"/>
  <c r="D35" i="69"/>
  <c r="L35" i="69" s="1" a="1"/>
  <c r="L35" i="69" s="1"/>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D26" i="69"/>
  <c r="L26" i="69" s="1" a="1"/>
  <c r="L26" i="69" s="1"/>
  <c r="D31" i="69"/>
  <c r="L31" i="69" s="1" a="1"/>
  <c r="L31" i="69" s="1"/>
  <c r="L37" i="69" a="1"/>
  <c r="L37" i="69" s="1"/>
  <c r="M27" i="69" a="1"/>
  <c r="M27" i="69" s="1"/>
  <c r="L34" i="69" a="1"/>
  <c r="L34" i="69" s="1"/>
  <c r="H36" i="69" a="1"/>
  <c r="H36" i="69" s="1"/>
  <c r="J28" i="69" a="1"/>
  <c r="J28" i="69" s="1"/>
  <c r="J39" i="69" a="1"/>
  <c r="J39" i="69" s="1"/>
  <c r="I39" i="69" a="1"/>
  <c r="I39" i="69" s="1"/>
  <c r="H39" i="69" a="1"/>
  <c r="H39" i="69" s="1"/>
  <c r="J32" i="69" a="1"/>
  <c r="J32" i="69" s="1"/>
  <c r="M28" i="69" a="1"/>
  <c r="M28" i="69" s="1"/>
  <c r="M30" i="69" a="1"/>
  <c r="M30" i="69" s="1"/>
  <c r="M25" i="69" a="1"/>
  <c r="M25" i="69" s="1"/>
  <c r="L25" i="69" a="1"/>
  <c r="L25" i="69" s="1"/>
  <c r="M31" i="69" a="1"/>
  <c r="M31" i="69" s="1"/>
  <c r="G36" i="69" a="1"/>
  <c r="G36" i="69" s="1"/>
  <c r="G29" i="69" a="1"/>
  <c r="G29" i="69" s="1"/>
  <c r="I36" i="69" a="1"/>
  <c r="I36" i="69" s="1"/>
  <c r="H28" i="69" a="1"/>
  <c r="H28" i="69" s="1"/>
  <c r="M35" i="69" a="1"/>
  <c r="M35" i="69" s="1"/>
  <c r="J36" i="69" a="1"/>
  <c r="J36" i="69" s="1"/>
  <c r="I28" i="69" a="1"/>
  <c r="I28" i="69" s="1"/>
  <c r="M36" i="69" a="1"/>
  <c r="M36" i="69" s="1"/>
  <c r="G34" i="69" a="1"/>
  <c r="G34" i="69" s="1"/>
  <c r="M37" i="69" a="1"/>
  <c r="M37" i="69" s="1"/>
  <c r="G37" i="69" a="1"/>
  <c r="G37" i="69" s="1"/>
  <c r="H34" i="69" a="1"/>
  <c r="H34" i="69" s="1"/>
  <c r="M38" i="69" a="1"/>
  <c r="M38" i="69" s="1"/>
  <c r="I34" i="69" a="1"/>
  <c r="I34" i="69" s="1"/>
  <c r="M39" i="69" a="1"/>
  <c r="M39" i="69" s="1"/>
  <c r="J34" i="69" a="1"/>
  <c r="J34" i="69" s="1"/>
  <c r="J29" i="69" a="1"/>
  <c r="J29" i="69" s="1"/>
  <c r="L38" i="69" a="1"/>
  <c r="L38" i="69" s="1"/>
  <c r="G39" i="69" a="1"/>
  <c r="G39" i="69" s="1"/>
  <c r="G35" i="69" a="1"/>
  <c r="G35" i="69" s="1"/>
  <c r="H35" i="69" a="1"/>
  <c r="H35" i="69" s="1"/>
  <c r="L33" i="69" a="1"/>
  <c r="L33" i="69" s="1"/>
  <c r="I35" i="69" a="1"/>
  <c r="I35" i="69" s="1"/>
  <c r="G28" i="69" a="1"/>
  <c r="G28" i="69" s="1"/>
  <c r="J35" i="69" a="1"/>
  <c r="J35" i="69" s="1"/>
  <c r="E33" i="69"/>
  <c r="G33" i="69" s="1" a="1"/>
  <c r="G33" i="69" s="1"/>
  <c r="E25" i="69"/>
  <c r="K25" i="69" s="1" a="1"/>
  <c r="K25" i="69" s="1"/>
  <c r="E26" i="69"/>
  <c r="H26" i="69" s="1" a="1"/>
  <c r="H26" i="69" s="1"/>
  <c r="E7" i="69"/>
  <c r="D30" i="69"/>
  <c r="L30" i="69" s="1" a="1"/>
  <c r="L30" i="69" s="1"/>
  <c r="D42" i="69"/>
  <c r="D29" i="69"/>
  <c r="L29" i="69" s="1" a="1"/>
  <c r="L29" i="69" s="1"/>
  <c r="D28" i="69"/>
  <c r="L28" i="69" s="1" a="1"/>
  <c r="L28" i="69" s="1"/>
  <c r="D36" i="69"/>
  <c r="L36" i="69" s="1" a="1"/>
  <c r="L36" i="69" s="1"/>
  <c r="D32" i="69"/>
  <c r="L32" i="69" s="1" a="1"/>
  <c r="L32" i="69" s="1"/>
  <c r="I30" i="69" l="1" a="1"/>
  <c r="I30" i="69" s="1"/>
  <c r="K29" i="69" a="1"/>
  <c r="K29" i="69" s="1"/>
  <c r="Q29" i="69" s="1" a="1"/>
  <c r="Q29" i="69" s="1"/>
  <c r="H29" i="69" a="1"/>
  <c r="H29" i="69" s="1"/>
  <c r="H30" i="69" a="1"/>
  <c r="H30" i="69" s="1"/>
  <c r="J37" i="69" a="1"/>
  <c r="J37" i="69" s="1"/>
  <c r="Q37" i="69" a="1"/>
  <c r="Q37" i="69" s="1"/>
  <c r="Q39" i="69" a="1"/>
  <c r="Q39" i="69" s="1"/>
  <c r="I37" i="69" a="1"/>
  <c r="I37" i="69" s="1"/>
  <c r="H31" i="69" a="1"/>
  <c r="H31" i="69" s="1"/>
  <c r="N31" i="69" s="1" a="1"/>
  <c r="N31" i="69" s="1"/>
  <c r="I32" i="69" a="1"/>
  <c r="I32" i="69" s="1"/>
  <c r="Q28" i="69" a="1"/>
  <c r="Q28" i="69" s="1"/>
  <c r="I38" i="69" a="1"/>
  <c r="I38" i="69" s="1"/>
  <c r="H38" i="69" a="1"/>
  <c r="H38" i="69" s="1"/>
  <c r="Q36" i="69" a="1"/>
  <c r="Q36" i="69" s="1"/>
  <c r="H32" i="69" a="1"/>
  <c r="H32" i="69" s="1"/>
  <c r="Q34" i="69" a="1"/>
  <c r="Q34" i="69" s="1"/>
  <c r="I31" i="69" a="1"/>
  <c r="I31" i="69" s="1"/>
  <c r="O31" i="69" s="1" a="1"/>
  <c r="O31" i="69" s="1"/>
  <c r="G32" i="69" a="1"/>
  <c r="G32" i="69" s="1"/>
  <c r="Q32" i="69" s="1" a="1"/>
  <c r="Q32" i="69" s="1"/>
  <c r="I27" i="69" a="1"/>
  <c r="I27" i="69" s="1"/>
  <c r="G30" i="69" a="1"/>
  <c r="G30" i="69" s="1"/>
  <c r="K26" i="69" a="1"/>
  <c r="K26" i="69" s="1"/>
  <c r="J27" i="69" a="1"/>
  <c r="J27" i="69" s="1"/>
  <c r="G27" i="69" a="1"/>
  <c r="G27" i="69" s="1"/>
  <c r="O27" i="69" s="1" a="1"/>
  <c r="O27" i="69" s="1"/>
  <c r="K38" i="69" a="1"/>
  <c r="K38" i="69" s="1"/>
  <c r="J31" i="69" a="1"/>
  <c r="J31" i="69" s="1"/>
  <c r="P31" i="69" s="1" a="1"/>
  <c r="P31" i="69" s="1"/>
  <c r="K30" i="69" a="1"/>
  <c r="K30" i="69" s="1"/>
  <c r="Q35" i="69" a="1"/>
  <c r="Q35" i="69" s="1"/>
  <c r="G38" i="69" a="1"/>
  <c r="G38" i="69" s="1"/>
  <c r="K31" i="69" a="1"/>
  <c r="K31" i="69" s="1"/>
  <c r="Q31" i="69" s="1" a="1"/>
  <c r="Q31" i="69" s="1"/>
  <c r="H27" i="69" a="1"/>
  <c r="H27" i="69" s="1"/>
  <c r="K33" i="69" a="1"/>
  <c r="K33" i="69" s="1"/>
  <c r="Q33" i="69" s="1" a="1"/>
  <c r="Q33" i="69" s="1"/>
  <c r="E52" i="69" s="1"/>
  <c r="J38" i="74"/>
  <c r="I38" i="74"/>
  <c r="H38" i="74"/>
  <c r="G38" i="74"/>
  <c r="Q38" i="74" s="1" a="1"/>
  <c r="Q38" i="74" s="1"/>
  <c r="I30" i="74"/>
  <c r="G30" i="74"/>
  <c r="Q30" i="74" s="1" a="1"/>
  <c r="Q30" i="74" s="1"/>
  <c r="J30" i="74"/>
  <c r="H30" i="74"/>
  <c r="G33" i="74"/>
  <c r="Q33" i="74" s="1" a="1"/>
  <c r="Q33" i="74" s="1"/>
  <c r="H33" i="74"/>
  <c r="I33" i="74"/>
  <c r="J33" i="74"/>
  <c r="J26" i="74"/>
  <c r="H26" i="74"/>
  <c r="I26" i="74"/>
  <c r="G26" i="74"/>
  <c r="Q26" i="74" s="1" a="1"/>
  <c r="Q26" i="74" s="1"/>
  <c r="J28" i="74"/>
  <c r="H28" i="74"/>
  <c r="I28" i="74"/>
  <c r="G28" i="74"/>
  <c r="Q28" i="74" s="1" a="1"/>
  <c r="Q28" i="74" s="1"/>
  <c r="G37" i="74"/>
  <c r="Q37" i="74" s="1" a="1"/>
  <c r="Q37" i="74" s="1"/>
  <c r="J37" i="74"/>
  <c r="I37" i="74"/>
  <c r="H37" i="74"/>
  <c r="J35" i="74"/>
  <c r="I35" i="74"/>
  <c r="H35" i="74"/>
  <c r="G35" i="74"/>
  <c r="Q35" i="74" s="1" a="1"/>
  <c r="Q35" i="74" s="1"/>
  <c r="J34" i="74"/>
  <c r="I34" i="74"/>
  <c r="H34" i="74"/>
  <c r="G34" i="74"/>
  <c r="Q34" i="74" s="1" a="1"/>
  <c r="Q34" i="74" s="1"/>
  <c r="I36" i="74"/>
  <c r="H36" i="74"/>
  <c r="G36" i="74"/>
  <c r="Q36" i="74" s="1" a="1"/>
  <c r="Q36" i="74" s="1"/>
  <c r="J36" i="74"/>
  <c r="I31" i="74"/>
  <c r="G31" i="74"/>
  <c r="Q31" i="74" s="1" a="1"/>
  <c r="Q31" i="74" s="1"/>
  <c r="H31" i="74"/>
  <c r="J31" i="74"/>
  <c r="J27" i="74"/>
  <c r="H27" i="74"/>
  <c r="I27" i="74"/>
  <c r="G27" i="74"/>
  <c r="Q27" i="74" s="1" a="1"/>
  <c r="Q27" i="74" s="1"/>
  <c r="J29" i="74"/>
  <c r="H29" i="74"/>
  <c r="I29" i="74"/>
  <c r="G29" i="74"/>
  <c r="Q29" i="74" s="1" a="1"/>
  <c r="Q29" i="74" s="1"/>
  <c r="J32" i="74"/>
  <c r="I32" i="74"/>
  <c r="H32" i="74"/>
  <c r="G32" i="74"/>
  <c r="Q32" i="74" s="1" a="1"/>
  <c r="Q32" i="74" s="1"/>
  <c r="G25" i="74"/>
  <c r="Q25" i="74" s="1" a="1"/>
  <c r="Q25" i="74" s="1"/>
  <c r="J25" i="74"/>
  <c r="H25" i="74"/>
  <c r="I25" i="74"/>
  <c r="J39" i="74"/>
  <c r="I39" i="74"/>
  <c r="H39" i="74"/>
  <c r="G39" i="74"/>
  <c r="Q39" i="74" s="1" a="1"/>
  <c r="Q39" i="74" s="1"/>
  <c r="G40" i="74"/>
  <c r="Q40" i="74" s="1" a="1"/>
  <c r="Q40" i="74" s="1"/>
  <c r="J40" i="74"/>
  <c r="I40" i="74"/>
  <c r="H40" i="74"/>
  <c r="N34" i="69" a="1"/>
  <c r="N34" i="69" s="1"/>
  <c r="I26" i="69" a="1"/>
  <c r="I26" i="69" s="1"/>
  <c r="G25" i="69" a="1"/>
  <c r="G25" i="69" s="1"/>
  <c r="Q25" i="69" s="1" a="1"/>
  <c r="Q25" i="69" s="1"/>
  <c r="H25" i="69" a="1"/>
  <c r="H25" i="69" s="1"/>
  <c r="I25" i="69" a="1"/>
  <c r="I25" i="69" s="1"/>
  <c r="H33" i="69" a="1"/>
  <c r="H33" i="69" s="1"/>
  <c r="N33" i="69" s="1" a="1"/>
  <c r="N33" i="69" s="1"/>
  <c r="I33" i="69" a="1"/>
  <c r="I33" i="69" s="1"/>
  <c r="J33" i="69" a="1"/>
  <c r="J33" i="69" s="1"/>
  <c r="J25" i="69" a="1"/>
  <c r="J25" i="69" s="1"/>
  <c r="G26" i="69" a="1"/>
  <c r="G26" i="69" s="1"/>
  <c r="J26" i="69" a="1"/>
  <c r="J26" i="69" s="1"/>
  <c r="O34" i="69" a="1"/>
  <c r="O34" i="69" s="1"/>
  <c r="P37" i="69" a="1"/>
  <c r="P37" i="69" s="1"/>
  <c r="P34" i="69" a="1"/>
  <c r="P34" i="69" s="1"/>
  <c r="N37" i="69" a="1"/>
  <c r="N37" i="69" s="1"/>
  <c r="O37" i="69" a="1"/>
  <c r="O37" i="69" s="1"/>
  <c r="P27" i="69" a="1"/>
  <c r="P27" i="69" s="1"/>
  <c r="O35" i="69" a="1"/>
  <c r="O35" i="69" s="1"/>
  <c r="N35" i="69" a="1"/>
  <c r="N35" i="69" s="1"/>
  <c r="N36" i="69" a="1"/>
  <c r="N36" i="69" s="1"/>
  <c r="O36" i="69" a="1"/>
  <c r="O36" i="69" s="1"/>
  <c r="P36" i="69" a="1"/>
  <c r="P36" i="69" s="1"/>
  <c r="P35" i="69" a="1"/>
  <c r="P35" i="69" s="1"/>
  <c r="N28" i="69" a="1"/>
  <c r="N28" i="69" s="1"/>
  <c r="O28" i="69" a="1"/>
  <c r="O28" i="69" s="1"/>
  <c r="P28" i="69" a="1"/>
  <c r="P28" i="69" s="1"/>
  <c r="O29" i="69" a="1"/>
  <c r="O29" i="69" s="1"/>
  <c r="P29" i="69" a="1"/>
  <c r="P29" i="69" s="1"/>
  <c r="N29" i="69" a="1"/>
  <c r="N29" i="69" s="1"/>
  <c r="O38" i="69" l="1" a="1"/>
  <c r="O38" i="69" s="1"/>
  <c r="O30" i="69" a="1"/>
  <c r="O30" i="69" s="1"/>
  <c r="N30" i="69" a="1"/>
  <c r="N30" i="69" s="1"/>
  <c r="Q27" i="69" a="1"/>
  <c r="Q27" i="69" s="1"/>
  <c r="P38" i="69" a="1"/>
  <c r="P38" i="69" s="1"/>
  <c r="O32" i="69" a="1"/>
  <c r="O32" i="69" s="1"/>
  <c r="N38" i="69" a="1"/>
  <c r="N38" i="69" s="1"/>
  <c r="N32" i="69" a="1"/>
  <c r="N32" i="69" s="1"/>
  <c r="P32" i="69" a="1"/>
  <c r="P32" i="69" s="1"/>
  <c r="N27" i="69" a="1"/>
  <c r="N27" i="69" s="1"/>
  <c r="P30" i="69" a="1"/>
  <c r="P30" i="69" s="1"/>
  <c r="Q38" i="69" a="1"/>
  <c r="Q38" i="69" s="1"/>
  <c r="E64" i="69" s="1"/>
  <c r="Q30" i="69" a="1"/>
  <c r="Q30" i="69" s="1"/>
  <c r="Q26" i="69" a="1"/>
  <c r="Q26" i="69" s="1"/>
  <c r="E58" i="69"/>
  <c r="O25" i="69" a="1"/>
  <c r="O25" i="69" s="1"/>
  <c r="E52" i="74"/>
  <c r="E46" i="74"/>
  <c r="N29" i="74" a="1"/>
  <c r="N29" i="74" s="1"/>
  <c r="P29" i="74" a="1"/>
  <c r="P29" i="74" s="1"/>
  <c r="O29" i="74" a="1"/>
  <c r="O29" i="74" s="1"/>
  <c r="O34" i="74" a="1"/>
  <c r="O34" i="74" s="1"/>
  <c r="N34" i="74" a="1"/>
  <c r="N34" i="74" s="1"/>
  <c r="P34" i="74" a="1"/>
  <c r="P34" i="74" s="1"/>
  <c r="O40" i="74" a="1"/>
  <c r="O40" i="74" s="1"/>
  <c r="N40" i="74" a="1"/>
  <c r="N40" i="74" s="1"/>
  <c r="P40" i="74" a="1"/>
  <c r="P40" i="74" s="1"/>
  <c r="N39" i="74" a="1"/>
  <c r="N39" i="74" s="1"/>
  <c r="O39" i="74" a="1"/>
  <c r="O39" i="74" s="1"/>
  <c r="P39" i="74" a="1"/>
  <c r="P39" i="74" s="1"/>
  <c r="O35" i="74" a="1"/>
  <c r="O35" i="74" s="1"/>
  <c r="P35" i="74" a="1"/>
  <c r="P35" i="74" s="1"/>
  <c r="N35" i="74" a="1"/>
  <c r="N35" i="74" s="1"/>
  <c r="P37" i="74" a="1"/>
  <c r="P37" i="74" s="1"/>
  <c r="N37" i="74" a="1"/>
  <c r="N37" i="74" s="1"/>
  <c r="O37" i="74" a="1"/>
  <c r="O37" i="74" s="1"/>
  <c r="N27" i="74" a="1"/>
  <c r="N27" i="74" s="1"/>
  <c r="O27" i="74" a="1"/>
  <c r="O27" i="74" s="1"/>
  <c r="P27" i="74" a="1"/>
  <c r="P27" i="74" s="1"/>
  <c r="N28" i="74" a="1"/>
  <c r="N28" i="74" s="1"/>
  <c r="O28" i="74" a="1"/>
  <c r="O28" i="74" s="1"/>
  <c r="P28" i="74" a="1"/>
  <c r="P28" i="74" s="1"/>
  <c r="P33" i="74" a="1"/>
  <c r="P33" i="74" s="1"/>
  <c r="O33" i="74" a="1"/>
  <c r="O33" i="74" s="1"/>
  <c r="N33" i="74" a="1"/>
  <c r="N33" i="74" s="1"/>
  <c r="O31" i="74" a="1"/>
  <c r="O31" i="74" s="1"/>
  <c r="N31" i="74" a="1"/>
  <c r="N31" i="74" s="1"/>
  <c r="P31" i="74" a="1"/>
  <c r="P31" i="74" s="1"/>
  <c r="N26" i="74" a="1"/>
  <c r="N26" i="74" s="1"/>
  <c r="P26" i="74" a="1"/>
  <c r="P26" i="74" s="1"/>
  <c r="O26" i="74" a="1"/>
  <c r="O26" i="74" s="1"/>
  <c r="O30" i="74" a="1"/>
  <c r="O30" i="74" s="1"/>
  <c r="P30" i="74" a="1"/>
  <c r="P30" i="74" s="1"/>
  <c r="N30" i="74" a="1"/>
  <c r="N30" i="74" s="1"/>
  <c r="P38" i="74" a="1"/>
  <c r="P38" i="74" s="1"/>
  <c r="N38" i="74" a="1"/>
  <c r="N38" i="74" s="1"/>
  <c r="O38" i="74" a="1"/>
  <c r="O38" i="74" s="1"/>
  <c r="O25" i="74" a="1"/>
  <c r="O25" i="74" s="1"/>
  <c r="N25" i="74" a="1"/>
  <c r="N25" i="74" s="1"/>
  <c r="P25" i="74" a="1"/>
  <c r="P25" i="74" s="1"/>
  <c r="N32" i="74" a="1"/>
  <c r="N32" i="74" s="1"/>
  <c r="P32" i="74" a="1"/>
  <c r="P32" i="74" s="1"/>
  <c r="O32" i="74" a="1"/>
  <c r="O32" i="74" s="1"/>
  <c r="P36" i="74" a="1"/>
  <c r="P36" i="74" s="1"/>
  <c r="O36" i="74" a="1"/>
  <c r="O36" i="74" s="1"/>
  <c r="N36" i="74" a="1"/>
  <c r="N36" i="74" s="1"/>
  <c r="N25" i="69" a="1"/>
  <c r="N25" i="69" s="1"/>
  <c r="P25" i="69" a="1"/>
  <c r="P25" i="69" s="1"/>
  <c r="O33" i="69" a="1"/>
  <c r="O33" i="69" s="1"/>
  <c r="E50" i="69" s="1"/>
  <c r="P33" i="69" a="1"/>
  <c r="P33" i="69" s="1"/>
  <c r="E51" i="69" s="1"/>
  <c r="O26" i="69" a="1"/>
  <c r="O26" i="69" s="1"/>
  <c r="N26" i="69" a="1"/>
  <c r="N26" i="69" s="1"/>
  <c r="P26" i="69" a="1"/>
  <c r="P26" i="69" s="1"/>
  <c r="P39" i="69" a="1"/>
  <c r="P39" i="69" s="1"/>
  <c r="O39" i="69" a="1"/>
  <c r="O39" i="69" s="1"/>
  <c r="N39" i="69" a="1"/>
  <c r="N39" i="69" s="1"/>
  <c r="E56" i="69"/>
  <c r="E57" i="69"/>
  <c r="E55" i="69"/>
  <c r="E49" i="69"/>
  <c r="E62" i="69" l="1"/>
  <c r="E46" i="69"/>
  <c r="E70" i="69" s="1"/>
  <c r="E63" i="69"/>
  <c r="E61" i="69"/>
  <c r="E44" i="69"/>
  <c r="E58" i="74"/>
  <c r="E45" i="69"/>
  <c r="E45" i="74"/>
  <c r="E43" i="74"/>
  <c r="E44" i="74"/>
  <c r="E50" i="74"/>
  <c r="E51" i="74"/>
  <c r="E49" i="74"/>
  <c r="E43" i="69"/>
  <c r="E67" i="69" s="1"/>
  <c r="E9" i="13" s="1"/>
  <c r="E68" i="69" l="1"/>
  <c r="E10" i="13" s="1"/>
  <c r="F10" i="13" s="1"/>
  <c r="E69" i="69"/>
  <c r="E11" i="13" s="1"/>
  <c r="F11" i="13" s="1"/>
  <c r="F9" i="13"/>
  <c r="E56" i="74"/>
  <c r="E13" i="13" s="1"/>
  <c r="F13" i="13" s="1"/>
  <c r="E55" i="74"/>
  <c r="E12" i="13" s="1"/>
  <c r="F12" i="13" s="1"/>
  <c r="E57" i="74"/>
  <c r="E14" i="13" s="1"/>
  <c r="F14" i="13" s="1"/>
  <c r="F15" i="13" l="1"/>
  <c r="E15" i="13"/>
  <c r="A17" i="118"/>
  <c r="A5" i="118"/>
  <c r="A4" i="118"/>
  <c r="A3" i="118"/>
  <c r="A37" i="69" l="1"/>
  <c r="A83" i="69"/>
  <c r="A76" i="74"/>
  <c r="A38" i="7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<sst xmlns="http://schemas.openxmlformats.org/spreadsheetml/2006/main" count="362" uniqueCount="213">
  <si>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</si>
  <si>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</si>
  <si>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</si>
  <si>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</si>
  <si>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</si>
  <si>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</si>
  <si>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</si>
  <si>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</si>
  <si>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</si>
  <si>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</si>
  <si>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</si>
  <si>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</si>
  <si>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</si>
  <si>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</si>
  <si>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</si>
  <si>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</si>
  <si>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</si>
  <si>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</si>
  <si>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</si>
  <si>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</si>
  <si>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</si>
  <si>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</si>
  <si>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</si>
  <si>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</si>
  <si>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</si>
  <si>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</si>
  <si>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</si>
  <si>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</si>
  <si>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</si>
  <si>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</si>
  <si>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</si>
  <si>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</si>
  <si>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</si>
  <si>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</si>
  <si>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</si>
  <si>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</si>
  <si>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</si>
  <si>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</si>
  <si>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</si>
  <si>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</si>
  <si>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</si>
  <si>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</si>
  <si>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</si>
  <si>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</si>
  <si>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</si>
  <si>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</si>
  <si>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</si>
  <si>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</si>
  <si>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</si>
  <si>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</si>
  <si>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</si>
  <si>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</si>
  <si>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</si>
  <si>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</si>
  <si>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</si>
  <si>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</si>
  <si>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</si>
  <si>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</si>
  <si>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</si>
  <si>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</si>
  <si>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</si>
  <si>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</si>
  <si>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</si>
  <si>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</si>
  <si>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</si>
  <si>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</si>
  <si>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</si>
  <si>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</si>
  <si>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</si>
  <si>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</si>
  <si>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</si>
  <si>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</si>
  <si>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</si>
  <si>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</si>
  <si>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</si>
  <si>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</si>
  <si>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</si>
  <si>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</si>
  <si>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</si>
  <si>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</si>
  <si>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</si>
  <si>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</si>
  <si>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</si>
  <si>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</si>
  <si>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</si>
  <si>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</si>
  <si>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</si>
  <si>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</si>
  <si>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</si>
  <si>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</si>
  <si>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</si>
  <si>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</si>
  <si>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</si>
  <si>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</si>
  <si>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</si>
  <si>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</si>
  <si>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</si>
  <si>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</si>
  <si>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</si>
  <si>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</si>
  <si>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</si>
  <si>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</si>
  <si>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</si>
  <si>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</si>
  <si>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</si>
  <si>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</si>
  <si>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</si>
  <si>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</si>
  <si>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</si>
  <si>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</si>
  <si>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</si>
  <si>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</si>
  <si>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</si>
  <si>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</si>
  <si>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</si>
  <si>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</si>
  <si>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</si>
  <si>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</si>
  <si>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</si>
  <si>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</si>
  <si>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</si>
  <si>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</si>
  <si>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</si>
  <si>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</si>
  <si>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</si>
  <si>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</si>
  <si>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</si>
  <si>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</si>
  <si>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</si>
  <si>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</si>
  <si>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</si>
  <si>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</si>
  <si>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</si>
  <si>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</si>
  <si>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</si>
  <si>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</si>
  <si>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</si>
  <si>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</si>
  <si>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</si>
  <si>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</si>
  <si>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</si>
  <si>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</si>
  <si>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</si>
  <si>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</si>
  <si>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</si>
  <si>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</si>
  <si>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</si>
  <si>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</si>
  <si>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</si>
  <si>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</si>
  <si>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</si>
  <si>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</si>
  <si>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</si>
  <si>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</si>
  <si>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</si>
  <si>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</si>
  <si>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</si>
  <si>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</si>
  <si>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</si>
  <si>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</si>
  <si>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</si>
  <si>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</si>
  <si>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</si>
  <si>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</si>
  <si>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</si>
  <si>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</si>
  <si>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</si>
  <si>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</si>
  <si>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</si>
  <si>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</si>
  <si>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</si>
  <si>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</si>
  <si>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</si>
  <si>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</si>
  <si>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</si>
  <si>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</si>
  <si>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</si>
  <si>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</si>
  <si>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</si>
  <si>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</si>
  <si>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1"/>
        <color rgb="FF183C1B"/>
        <rFont val="Times New Roman"/>
        <family val="1"/>
      </rPr>
      <t>Trans,3,q</t>
    </r>
  </si>
  <si>
    <t>Scope 3</t>
  </si>
  <si>
    <r>
      <t>E</t>
    </r>
    <r>
      <rPr>
        <b/>
        <vertAlign val="subscript"/>
        <sz val="11"/>
        <color rgb="FF183C1B"/>
        <rFont val="Times New Roman"/>
        <family val="1"/>
      </rPr>
      <t>3WTT,trans,q</t>
    </r>
  </si>
  <si>
    <r>
      <t>EF</t>
    </r>
    <r>
      <rPr>
        <b/>
        <vertAlign val="subscript"/>
        <sz val="11"/>
        <color rgb="FF183C1B"/>
        <rFont val="Times New Roman"/>
        <family val="1"/>
      </rPr>
      <t>SC,3,q</t>
    </r>
  </si>
  <si>
    <r>
      <t>E</t>
    </r>
    <r>
      <rPr>
        <b/>
        <vertAlign val="subscript"/>
        <sz val="11"/>
        <color rgb="FF183C1B"/>
        <rFont val="Times New Roman"/>
        <family val="1"/>
      </rPr>
      <t>WTT,SC,q=N20</t>
    </r>
  </si>
  <si>
    <t>Input - Site</t>
  </si>
  <si>
    <t>Your business</t>
  </si>
  <si>
    <t>Farm name</t>
  </si>
  <si>
    <t>Reporting entity name</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</si>
  <si>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</si>
  <si>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</si>
  <si>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</si>
  <si>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</si>
  <si>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</si>
  <si>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</si>
  <si>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</si>
  <si>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</si>
  <si>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</si>
  <si>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</si>
  <si>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</si>
  <si>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</si>
  <si>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</si>
  <si>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</si>
  <si>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</si>
  <si>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</si>
  <si>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</si>
  <si>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</si>
  <si>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</si>
  <si>
    <t>L</t>
  </si>
  <si>
    <t>Input Unit</t>
  </si>
  <si>
    <t>Amount consumed unit</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</si>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</sst>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7" fillId="4" borderId="2">
      <alignment horizontal="left" vertical="center"/>
    </xf>
    <xf numFmtId="0" fontId="26" fillId="4" borderId="2">
      <alignment horizontal="left" vertical="center"/>
    </xf>
    <xf numFmtId="0" fontId="48" fillId="0" borderId="0"/>
    <xf numFmtId="0" fontId="55"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60">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0" fillId="4" borderId="0" xfId="58">
      <alignment horizontal="left" vertical="center"/>
    </xf>
    <xf numFmtId="0" fontId="39" fillId="4" borderId="0" xfId="57">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7"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8" fillId="0" borderId="0" xfId="66"/>
    <xf numFmtId="4" fontId="26" fillId="4" borderId="2" xfId="46">
      <alignment horizontal="center" vertical="center"/>
    </xf>
    <xf numFmtId="169" fontId="8" fillId="4" borderId="0" xfId="10" applyNumberFormat="1">
      <alignment horizontal="center" vertical="center"/>
    </xf>
    <xf numFmtId="0" fontId="49"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50" fillId="0" borderId="0" xfId="0" applyFont="1" applyAlignment="1">
      <alignment vertical="center" wrapText="1"/>
    </xf>
    <xf numFmtId="0" fontId="51"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xf>
    <xf numFmtId="0" fontId="50"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2" fillId="4" borderId="0" xfId="0" applyFont="1" applyFill="1"/>
    <xf numFmtId="0" fontId="50" fillId="0" borderId="0" xfId="0" applyFont="1"/>
    <xf numFmtId="0" fontId="50" fillId="0" borderId="0" xfId="7" applyFont="1" applyFill="1">
      <alignment horizontal="left" vertical="center"/>
    </xf>
    <xf numFmtId="0" fontId="50" fillId="4" borderId="0" xfId="0" applyFont="1" applyFill="1"/>
    <xf numFmtId="0" fontId="50"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3"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4" fillId="4" borderId="14" xfId="0" applyNumberFormat="1" applyFont="1" applyFill="1" applyBorder="1" applyAlignment="1">
      <alignment vertical="center"/>
    </xf>
    <xf numFmtId="0" fontId="51"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3" fillId="4" borderId="2" xfId="52" applyNumberFormat="1" applyFont="1">
      <alignment horizontal="center" vertical="center"/>
    </xf>
    <xf numFmtId="170" fontId="53" fillId="4" borderId="15" xfId="52" applyNumberFormat="1" applyFont="1" applyBorder="1">
      <alignment horizontal="center" vertical="center"/>
    </xf>
    <xf numFmtId="170" fontId="53" fillId="4" borderId="16" xfId="52" applyNumberFormat="1" applyFont="1" applyBorder="1">
      <alignment horizontal="center" vertical="center"/>
    </xf>
    <xf numFmtId="168" fontId="53" fillId="4" borderId="2" xfId="46" applyNumberFormat="1" applyFont="1">
      <alignment horizontal="center" vertical="center"/>
    </xf>
    <xf numFmtId="168" fontId="53" fillId="4" borderId="15" xfId="46" applyNumberFormat="1" applyFont="1" applyBorder="1">
      <alignment horizontal="center" vertical="center"/>
    </xf>
    <xf numFmtId="168" fontId="53" fillId="4" borderId="16" xfId="46" applyNumberFormat="1" applyFont="1" applyBorder="1">
      <alignment horizontal="center" vertical="center"/>
    </xf>
    <xf numFmtId="0" fontId="26" fillId="4" borderId="18" xfId="52" applyBorder="1">
      <alignment horizontal="center" vertical="center"/>
    </xf>
    <xf numFmtId="170" fontId="53"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20" xfId="39" applyBorder="1">
      <alignment horizontal="left" vertical="center"/>
    </xf>
    <xf numFmtId="0" fontId="36" fillId="13" borderId="21" xfId="39" applyBorder="1">
      <alignment horizontal="left" vertical="center"/>
    </xf>
    <xf numFmtId="0" fontId="36" fillId="13" borderId="22" xfId="39" applyBorder="1">
      <alignment horizontal="left" vertical="center"/>
    </xf>
    <xf numFmtId="0" fontId="36" fillId="13" borderId="23" xfId="39" applyBorder="1">
      <alignment horizontal="left" vertical="center"/>
    </xf>
    <xf numFmtId="0" fontId="56"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7" fillId="0" borderId="0" xfId="0" applyFont="1" applyAlignment="1" applyProtection="1">
      <alignment horizontal="center" vertical="center"/>
      <protection locked="0"/>
    </xf>
    <xf numFmtId="4" fontId="58" fillId="0" borderId="0" xfId="17" applyFont="1" applyBorder="1">
      <alignment horizontal="center" vertical="center"/>
    </xf>
    <xf numFmtId="164" fontId="8" fillId="4" borderId="0" xfId="26" applyBorder="1">
      <alignment horizontal="center" vertical="center"/>
    </xf>
    <xf numFmtId="4" fontId="58" fillId="4" borderId="0" xfId="17" applyFont="1" applyFill="1" applyBorder="1">
      <alignment horizontal="center" vertical="center"/>
    </xf>
    <xf numFmtId="0" fontId="58" fillId="4" borderId="0" xfId="12" applyFont="1" applyAlignment="1">
      <alignment horizontal="center" vertical="center"/>
    </xf>
    <xf numFmtId="0" fontId="58" fillId="4" borderId="0" xfId="8" applyFont="1" applyAlignment="1">
      <alignment horizontal="center" vertical="center"/>
    </xf>
    <xf numFmtId="166" fontId="58" fillId="4" borderId="0" xfId="8" applyNumberFormat="1" applyFont="1" applyAlignment="1">
      <alignment horizontal="center" vertical="center"/>
    </xf>
    <xf numFmtId="9" fontId="58" fillId="4" borderId="0" xfId="69" applyFont="1" applyFill="1" applyBorder="1" applyAlignment="1">
      <alignment horizontal="center" vertical="center"/>
    </xf>
    <xf numFmtId="0" fontId="59" fillId="4" borderId="0" xfId="0" applyFont="1" applyFill="1" applyAlignment="1">
      <alignment horizontal="center" vertical="center"/>
    </xf>
    <xf numFmtId="0" fontId="59" fillId="4" borderId="0" xfId="0" applyFont="1" applyFill="1"/>
    <xf numFmtId="0" fontId="58" fillId="4" borderId="0" xfId="0" applyFont="1" applyFill="1"/>
    <xf numFmtId="0" fontId="58" fillId="0" borderId="0" xfId="0" applyFont="1"/>
    <xf numFmtId="0" fontId="60" fillId="4" borderId="0" xfId="7" applyFont="1" applyAlignment="1">
      <alignment horizontal="center" vertical="center"/>
    </xf>
    <xf numFmtId="0" fontId="61" fillId="4" borderId="0" xfId="7" applyFont="1" applyAlignment="1">
      <alignment horizontal="center" vertical="center"/>
    </xf>
    <xf numFmtId="166" fontId="61" fillId="4" borderId="0" xfId="7" applyNumberFormat="1" applyFont="1" applyAlignment="1">
      <alignment horizontal="center" vertical="center"/>
    </xf>
    <xf numFmtId="0" fontId="61" fillId="4" borderId="0" xfId="0" applyFont="1" applyFill="1" applyAlignment="1">
      <alignment horizontal="center" vertical="center"/>
    </xf>
    <xf numFmtId="0" fontId="62" fillId="4" borderId="0" xfId="0" applyFont="1" applyFill="1" applyAlignment="1">
      <alignment horizontal="center" vertical="center"/>
    </xf>
    <xf numFmtId="0" fontId="62" fillId="4" borderId="0" xfId="0" applyFont="1" applyFill="1" applyAlignment="1">
      <alignment horizontal="left" vertical="center"/>
    </xf>
    <xf numFmtId="14" fontId="3" fillId="4" borderId="0" xfId="7" applyNumberFormat="1">
      <alignment horizontal="left" vertical="center"/>
    </xf>
    <xf numFmtId="0" fontId="55"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3" fillId="4" borderId="0" xfId="0" applyFont="1" applyFill="1"/>
    <xf numFmtId="9" fontId="0" fillId="0" borderId="2" xfId="16" applyFont="1">
      <alignment horizontal="center" vertical="center"/>
    </xf>
    <xf numFmtId="0" fontId="3" fillId="12" borderId="15" xfId="15" applyBorder="1">
      <alignment horizontal="center" vertical="center"/>
    </xf>
    <xf numFmtId="9" fontId="0" fillId="0" borderId="15" xfId="16" applyFont="1" applyBorder="1">
      <alignment horizontal="center"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2"/>
      <tableStyleElement type="headerRow" dxfId="121"/>
      <tableStyleElement type="totalRow" dxfId="120"/>
      <tableStyleElement type="firstColumn" dxfId="119"/>
      <tableStyleElement type="firstRowStripe" dxfId="118"/>
      <tableStyleElement type="secondRowStripe" dxfId="117"/>
    </tableStyle>
    <tableStyle name="Equation table" pivot="0" count="6" xr9:uid="{B247698E-E41D-4CCD-AA0A-C14817E9DE65}">
      <tableStyleElement type="wholeTable" dxfId="116"/>
      <tableStyleElement type="headerRow" dxfId="115"/>
      <tableStyleElement type="totalRow" dxfId="114"/>
      <tableStyleElement type="firstColumn" dxfId="113"/>
      <tableStyleElement type="firstRowStripe" dxfId="112"/>
      <tableStyleElement type="secondRowStripe" dxfId="111"/>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J21" totalsRowDxfId="11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540E705-999C-466B-A6B4-24C60E9153AE}" name="Fuel use (select)" totalsRowFunction="average" totalsRowDxfId="109" dataCellStyle="Input select" totalsRowCellStyle="Input select"/>
    <tableColumn id="3" xr3:uid="{30909C53-73F3-46FE-93B7-F60E126CD84F}" name="Fuel type (select)" totalsRowDxfId="108" dataCellStyle="Input select" totalsRowCellStyle="Input select"/>
    <tableColumn id="4" xr3:uid="{9DFFE0DC-C289-47FB-8F0C-2D2F480EEE4C}" name="Amount purchased" totalsRowDxfId="107" totalsRowCellStyle="Content bold"/>
    <tableColumn id="6" xr3:uid="{29AE264C-132E-48F6-8BA3-262EAF9E4687}" name="Amount unit" totalsRowDxfId="106" dataCellStyle="Input number general calculated" totalsRowCellStyle="Input text calculated">
      <calculatedColumnFormula array="1">Common_InputFunctions.Utility_LookupValueInTable(Table_Input_Fuel[[#This Row],[Fuel type (select)]],Table_FuelTypes_Units[Fuel type], Table_FuelTypes_Units[Input Unit])</calculatedColumnFormula>
    </tableColumn>
    <tableColumn id="5" xr3:uid="{B9F0EEB0-BF4E-4AB9-8B4B-25BBC232DE33}" name="Percent consumed" totalsRowDxfId="105" totalsRowCellStyle="Input percent">
      <calculatedColumnFormula>1</calculatedColumnFormula>
    </tableColumn>
    <tableColumn id="1" xr3:uid="{AE1D2D8C-400E-46F5-850E-2BBEDF1657F8}" name="Amount consumed" totalsRowFunction="custom" totalsRowDxfId="104"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CCEBD2E-3C11-4ACD-ABE1-916844C8F176}" name="Amount consumed unit" totalsRowDxfId="10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102" dataDxfId="101">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100">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99">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98">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97">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96">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95">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94">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93">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92" dataDxfId="91">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90">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89">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88">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87">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86">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85">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84">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83">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82">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I139" totalsRowShown="0" headerRowDxfId="81" dataDxfId="80">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32D4BA3-A3CE-460F-A250-E2A6690A9C59}" name="Generators" dataDxfId="79"/>
    <tableColumn id="2" xr3:uid="{6E069153-6950-4C63-9ADE-F4A2F0DF67AF}" name="Power standalone machinery or heating" dataDxfId="78"/>
    <tableColumn id="3" xr3:uid="{3917BF44-833D-42F1-B3B3-C62FEF76A321}" name="Aviation" dataDxfId="77"/>
    <tableColumn id="5" xr3:uid="{4F35E2A0-90CD-4AC1-B52F-870485779A73}" name="Cars and light commercial vehicles" dataDxfId="76"/>
    <tableColumn id="7" xr3:uid="{1651A844-7E2B-435C-A7B4-4B0FFD5577CE}" name="Off-road Agriculture and forestry equipment" dataDxfId="75" dataCellStyle="Content bold"/>
    <tableColumn id="8" xr3:uid="{FCED622E-3FDD-4E8D-B2D1-E4C99EF7323A}" name="Vessels" dataDxfId="74" dataCellStyle="Content bol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73" dataDxfId="72">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71">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70">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69">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68">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67">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66">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65">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64" totalsRowDxfId="63">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62">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61">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60">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92636F9-F5FE-469C-B560-C7E663FA77BA}" name="Fuel type"/>
    <tableColumn id="2" xr3:uid="{529B0AD7-20FC-4E42-A872-AF12092332B1}" name="Unit"/>
    <tableColumn id="3" xr3:uid="{B7CB8D6E-D4CE-4D2D-960F-4D58A56628AE}" name="Input Unit" dataDxfId="59"/>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5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868FF-DEFE-4F2A-BBC2-8CFB583605B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888B033-D4C3-4F54-AD13-F79A64C033D8}" name="State/Territory">
      <calculatedColumnFormula array="1">Common_InputFunctions.Utility_DisplayArrayInTable(Common_SourceData.Common_SourceData_AustralianStatesTerritories_Data(),Table_AustralianStates[[#Headers],[State/Territory]],0)</calculatedColumnFormula>
    </tableColumn>
    <tableColumn id="2" xr3:uid="{E18DD9BA-DB99-40DA-BCF4-0820EF8686E9}" name="Common Name">
      <calculatedColumnFormula array="1">Common_InputFunctions.Utility_DisplayArrayInTable(Common_SourceData.Common_SourceData_AustralianStatesTerritories_Data(),Table_AustralianStates[[#Headers],[State/Territory]],0)</calculatedColumnFormula>
    </tableColumn>
    <tableColumn id="3" xr3:uid="{0974923D-DF7A-4763-86CF-35CCBEC9D948}"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1C654A-204B-46EF-884D-107B750FE1C8}" name="Table_WASA4Areas" displayName="Table_WASA4Areas" ref="D20:D30" totalsRowShown="0">
  <autoFilter ref="D20:D30" xr:uid="{5FA81339-C6C8-4D36-BEEA-6C4AEDD9E676}">
    <filterColumn colId="0" hiddenButton="1"/>
  </autoFilter>
  <tableColumns count="1">
    <tableColumn id="1" xr3:uid="{18FCB515-E2BD-49D8-AB87-CF42BF6D3EC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E5A8BF-2469-430F-A289-FC17EEA0797E}" name="Table_GWPData" displayName="Table_GWPData" ref="D36:E43" totalsRowShown="0">
  <autoFilter ref="D36:E43" xr:uid="{B8E87A66-3E41-4AD3-925D-01EE21B43D7A}">
    <filterColumn colId="0" hiddenButton="1"/>
    <filterColumn colId="1" hiddenButton="1"/>
  </autoFilter>
  <tableColumns count="2">
    <tableColumn id="1" xr3:uid="{65AE068D-B090-4795-9000-82AFF06C29BA}" name="Gas">
      <calculatedColumnFormula array="1">Common_InputFunctions.Utility_DisplayArrayInTable(Common_SourceData.Common_SourceData_GWP_Data(), Table_GWPData[[#Headers],[Gas]], 0)</calculatedColumnFormula>
    </tableColumn>
    <tableColumn id="2" xr3:uid="{89B38382-646A-4BE2-B0ED-9CD3FA338D3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7F7206-F6DC-4977-8BA6-5B66E729F05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59113C9-3F34-4871-974E-A6CA1AE1B53D}" name="Gas">
      <calculatedColumnFormula array="1">Common_InputFunctions.Utility_DisplayArrayInTable(Common_SourceData.Common_SourceData_ConvertGasElementalToMolecular_Data(),Table_GasToMolecularConversionFactor[[#Headers],[Gas]], 0)</calculatedColumnFormula>
    </tableColumn>
    <tableColumn id="5" xr3:uid="{8A9A2E95-9422-4A2E-A829-CAB937EA66EA}" name="Conversion factor">
      <calculatedColumnFormula array="1">Common_InputFunctions.Utility_DisplayArrayInTable(Common_SourceData.Common_SourceData_ConvertGasElementalToMolecular_Data(),Table_GasToMolecularConversionFactor[[#Headers],[Gas]], 0)</calculatedColumnFormula>
    </tableColumn>
    <tableColumn id="2" xr3:uid="{6925339E-FC73-4750-89B5-E376C2FF4EE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C2C2843-AAD7-4110-9425-B9A58D67B73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CA1F198-06FC-4A8C-A1C9-742052F2D9D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54C8D8-81BC-405E-A5EB-33320553524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323B435-CB20-421F-925A-5C9C0166AD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EA7F381-8B0C-4FE2-AEC8-30DBAB357FFE}"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D1DFDBA4-BF37-41DE-944A-29EAFC7C92FA}"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8BFB4055-A48F-4099-9DAD-2B89CFA85D17}"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11B297D0-03A2-419E-94CC-954A849DF0A3}"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D2D67B8F-C337-4828-A293-DF4D210DA8E9}"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4F7D264F-6F68-4BE9-ABBF-BE097D0D650A}"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BA331108-B37D-41FA-8849-AB10B05EDB97}"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3A165571-B323-407F-8027-6CEB0101A9BA}"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53DD25D2-17AD-4F79-8A01-6F22E9818AA2}"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D1DC7A68-991C-476A-9A7A-012CF00FBB12}"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8B2817D9-F13A-4EBF-87AA-C38A9412AF12}"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13C2F614-A341-4EC9-9C71-3EFC05D1EDDB}"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40102B61-423D-42CC-B871-28E9C2F94887}"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48651D3F-34AE-4FA6-8589-CAD0DF5C9CCC}"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FF8F39A2-33DF-4331-96AE-5DC7BBA54DD0}"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3177F8-5CEE-4447-AB6A-52F19E3BC38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0B116B5-85BD-4DEA-AC49-EAACB134EF6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C91B39-498A-4099-B2B2-0A2938BF01DE}"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9E9786A-7B44-4964-805E-BC87E333ECF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154A0A0-F5C0-4F29-8725-0167CC3E02F2}" name="Temperature Zone">
      <calculatedColumnFormula array="1">Common_InputFunctions.Utility_DisplayArrayInTable(Common_SourceData.Common_SourceData_TemperatureZones_Data(),Table_SourceData_TemperatureZones[[#Headers],[Temperature Zone]],0)</calculatedColumnFormula>
    </tableColumn>
    <tableColumn id="2" xr3:uid="{349BD877-16FE-4478-A326-64617DF34C8D}" name="MAT">
      <calculatedColumnFormula array="1">Common_InputFunctions.Utility_DisplayArrayInTable(Common_SourceData.Common_SourceData_TemperatureZones_Data(),Table_SourceData_TemperatureZones[[#Headers],[Temperature Zone]],0)</calculatedColumnFormula>
    </tableColumn>
    <tableColumn id="3" xr3:uid="{F29B2C1E-3149-49A4-9147-00678EF218EE}" name="Min MAT">
      <calculatedColumnFormula array="1">Common_InputFunctions.Utility_DisplayArrayInTable(Common_SourceData.Common_SourceData_TemperatureZones_Data(),Table_SourceData_TemperatureZones[[#Headers],[Temperature Zone]],0)</calculatedColumnFormula>
    </tableColumn>
    <tableColumn id="4" xr3:uid="{36B82F82-E3CE-448E-A4B0-A3A38D261D0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639789D-4975-49C1-9E23-6338AD8C1CC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9D8DA76-97FE-4CEC-9819-D9409622EB0D}" name="Rainfall Zone">
      <calculatedColumnFormula array="1">Common_InputFunctions.Utility_DisplayArrayInTable(Common_SourceData.Common_SourceData_RainfallZones_Data(),Table_SourceData_RainfallZones[[#Headers],[Rainfall Zone]],0)</calculatedColumnFormula>
    </tableColumn>
    <tableColumn id="2" xr3:uid="{3428040F-5055-46C1-8B55-2B36B5033E86}" name="Annual rainfall">
      <calculatedColumnFormula array="1">Common_InputFunctions.Utility_DisplayArrayInTable(Common_SourceData.Common_SourceData_RainfallZones_Data(),Table_SourceData_RainfallZones[[#Headers],[Rainfall Zone]],0)</calculatedColumnFormula>
    </tableColumn>
    <tableColumn id="3" xr3:uid="{FB0DCEE7-6054-45E7-89BE-354B397F6250}" name="Min rainfall">
      <calculatedColumnFormula array="1">Common_InputFunctions.Utility_DisplayArrayInTable(Common_SourceData.Common_SourceData_RainfallZones_Data(),Table_SourceData_RainfallZones[[#Headers],[Rainfall Zone]],0)</calculatedColumnFormula>
    </tableColumn>
    <tableColumn id="4" xr3:uid="{CDB75634-5F8A-4CD7-84D7-45D71CFA593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FC0537B-4065-417C-BCFA-73F3A8D597A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FAF9520-9889-4AE9-B6CC-FDE2E10EAD98}" name="Leaching Zone">
      <calculatedColumnFormula array="1">Common_InputFunctions.Utility_DisplayArrayInTable(Common_SourceData.Common_SourceData_LeachingZones_Data(), Table_SourceData_LeachingZones[[#Headers],[Leaching Zone]], 0)</calculatedColumnFormula>
    </tableColumn>
    <tableColumn id="2" xr3:uid="{6C96956C-286E-4803-93B5-8D7A561FBE4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8FF86DD-0885-4976-BEEB-94AB1DD5314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B321226-8AD9-4746-AAFF-4041954CA60D}" name="Data source">
      <calculatedColumnFormula array="1">Common_InputFunctions.Utility_DisplayArrayInTable(Common_SourceData.Common_SourceData_DataScores_Scope3_Data(), Table_SourceData_DataScores_Scope3[[#Headers],[Data source]], 0)</calculatedColumnFormula>
    </tableColumn>
    <tableColumn id="2" xr3:uid="{1CC291CD-853F-4B67-B09F-804F187D6F9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02C1423-B5DE-4FA6-A257-8CDE4D4D2BBB}" name="Table_SourceData_FracWET" displayName="Table_SourceData_FracWET" ref="D134:E136" totalsRowShown="0">
  <autoFilter ref="D134:E136" xr:uid="{308E99BE-FE1F-47A4-B2CA-97217277C4E9}">
    <filterColumn colId="0" hiddenButton="1"/>
    <filterColumn colId="1" hiddenButton="1"/>
  </autoFilter>
  <tableColumns count="2">
    <tableColumn id="1" xr3:uid="{CB763BC9-0431-4076-9924-BEA84AD15106}" name="Is in leaching zone">
      <calculatedColumnFormula array="1">Common_InputFunctions.Utility_DisplayArrayInTable(Common_SourceData.Common_SourceData_FracWET_Data(),Table_SourceData_FracWET[[#Headers],[Is in leaching zone]],0)</calculatedColumnFormula>
    </tableColumn>
    <tableColumn id="2" xr3:uid="{00CA7AD8-9B48-4522-8A26-31B6312F3F99}"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7AB5B1C-4113-45A9-B01E-845F3ABDF20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130E37A-5BE6-4352-8D8A-6A7D25A0FB7C}" name="Production system j">
      <calculatedColumnFormula array="1">Common_InputFunctions.Utility_DisplayArrayInTable(Common_SourceData.Common_SourceData_EFN2O_Data(), Table_SourceData_Common_EFN2O[[#Headers],[Production system j]], 0)</calculatedColumnFormula>
    </tableColumn>
    <tableColumn id="2" xr3:uid="{195770B7-FB42-4A96-BE05-896F123743B8}" name="EFN2O">
      <calculatedColumnFormula array="1">Common_InputFunctions.Utility_DisplayArrayInTable(Common_SourceData.Common_SourceData_EFN2O_Data(), Table_SourceData_Common_EFN2O[[#Headers],[Production system j]], 0)</calculatedColumnFormula>
    </tableColumn>
    <tableColumn id="3" xr3:uid="{59A910CC-53C7-4A58-BFD2-69858B6F92EA}" name="Production system only">
      <calculatedColumnFormula array="1">Common_InputFunctions.Utility_DisplayArrayInTable(Common_SourceData.Common_SourceData_EFN2O_Data(), Table_SourceData_Common_EFN2O[[#Headers],[Production system j]], 0)</calculatedColumnFormula>
    </tableColumn>
    <tableColumn id="4" xr3:uid="{5B5A42F2-1784-4DB3-BD73-6BB0D099DF09}" name="Irrigation method">
      <calculatedColumnFormula array="1">Common_InputFunctions.Utility_DisplayArrayInTable(Common_SourceData.Common_SourceData_EFN2O_Data(), Table_SourceData_Common_EFN2O[[#Headers],[Production system j]], 0)</calculatedColumnFormula>
    </tableColumn>
    <tableColumn id="5" xr3:uid="{18E56A98-FD2A-4EF9-9A00-D2E0006C644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128EAEF-C928-42FE-A611-01FE8E5BA56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7857C03-4A58-4397-80F2-B0BB055FF49E}" name="Irrigation type i">
      <calculatedColumnFormula array="1">Common_InputFunctions.Utility_DisplayArrayInTable(Common_SourceData.Common_SourceData_FracWETIrrigation_Data(), Table_SourceData_FracWETIrrigation[[#Headers],[Irrigation type i]], 0)</calculatedColumnFormula>
    </tableColumn>
    <tableColumn id="2" xr3:uid="{FEAAE811-F1F7-4D6F-AA27-D390271B59DC}"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921A5F8-968C-4D9D-BDB3-7979D09CA4E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656D55F-442D-402C-B490-2EB44EDBB42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1BC5256-FAEA-4E28-9E5B-1655327AD263}"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CE86F09-A7F7-4E4C-A84F-59B18397FB1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3342927-0035-4306-A62A-19C77A5CD2DF}" name="Month">
      <calculatedColumnFormula array="1">Common_InputFunctions.Utility_DisplayArrayInTable(Common_SourceData.Common_SourceData_MonthsToSeasons_Data(), Table_SourceData_Common_MonthToSeason[[#Headers],[Month]], 0)</calculatedColumnFormula>
    </tableColumn>
    <tableColumn id="2" xr3:uid="{3F5D2D37-7B1B-4CB5-BD4E-1C38384F3D09}"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6B35D2-B93A-4EAC-BC99-CB91AB9C214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D0F3F82-0CD5-4AFA-A517-A0B150A11F0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B8A111-9105-4D19-A179-50E19F585832}"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8B0319C-9CD7-4BB4-B498-66F0701E8ADC}"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421C61-4FA8-4172-B1F4-AC66552F1813}"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49451B4-B1FF-44F4-99B7-13FC79B56A94}"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25962E4-158F-4FB4-BBFC-FE1275CA56C5}"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C393134-A5CC-4085-842B-802B5081B2CC}"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58A8699-29E9-46D3-8601-7CFAC2747B78}"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3152892-1F11-4FA3-B66E-5153616432AC}"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5F36153-D69E-4C94-B868-BB3EB0BF82B9}"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4A5CC0F-177F-4A5D-9140-031C83C88617}"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7658789-4A27-4160-9F7D-D8900743476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4A74F03E-495F-470A-BA72-FD65D2C513E7}"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1A5436F-F31A-4FAF-AC6D-9167C126F2AA}"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3D669E2-7FDF-4EC4-956A-3F47E391595C}"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22C3877-73F4-460E-B3F4-3EFEB52CA427}"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86AF18F-C170-4EB8-81EF-1F6E61AFC8A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3603888-B9CA-4327-ADAA-1B89202E4FA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8E44BA1-BA32-4A72-938A-595C28A02C87}"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K16" sqref="K16"/>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6" t="e" vm="1">
        <v>#VALUE!</v>
      </c>
      <c r="C1" s="66" t="s">
        <v>177</v>
      </c>
      <c r="D1" s="67"/>
      <c r="E1" s="67"/>
      <c r="F1" s="67"/>
      <c r="G1" s="67"/>
      <c r="H1" s="67"/>
      <c r="I1" s="67"/>
      <c r="J1" s="67"/>
      <c r="K1" s="67"/>
      <c r="L1" s="67"/>
      <c r="M1" s="67"/>
      <c r="N1" s="67"/>
      <c r="O1" s="67"/>
      <c r="P1" s="67"/>
    </row>
    <row r="2" spans="1:17" ht="20.100000000000001" customHeight="1" x14ac:dyDescent="0.25">
      <c r="A2" s="9"/>
      <c r="C2" s="67"/>
      <c r="D2" s="67"/>
      <c r="E2" s="67"/>
      <c r="F2" s="67"/>
      <c r="G2" s="67"/>
      <c r="H2" s="67"/>
      <c r="I2" s="67"/>
      <c r="J2" s="67"/>
      <c r="K2" s="67"/>
      <c r="L2" s="67"/>
      <c r="M2" s="67"/>
      <c r="N2" s="67"/>
      <c r="O2" s="67"/>
      <c r="P2" s="67"/>
      <c r="Q2" s="68"/>
    </row>
    <row r="3" spans="1:17" ht="20.100000000000001" customHeight="1" x14ac:dyDescent="0.25">
      <c r="A3" s="14" t="str">
        <f>HYPERLINK("#'Home'!A1", "Home")</f>
        <v>Home</v>
      </c>
      <c r="C3" s="69"/>
      <c r="D3" s="69"/>
      <c r="E3" s="69"/>
      <c r="F3" s="69"/>
      <c r="G3" s="69"/>
      <c r="H3" s="69"/>
      <c r="I3" s="69"/>
      <c r="J3" s="69"/>
      <c r="K3" s="69"/>
      <c r="L3" s="69"/>
      <c r="M3" s="69"/>
      <c r="N3" s="69"/>
      <c r="O3" s="69"/>
      <c r="P3" s="69"/>
    </row>
    <row r="4" spans="1:17" ht="20.100000000000001" customHeight="1" x14ac:dyDescent="0.25">
      <c r="A4" s="51" t="str">
        <f>HYPERLINK("#'Overview'!A1", "Overview")</f>
        <v>Overview</v>
      </c>
    </row>
    <row r="5" spans="1:17" ht="20.100000000000001" customHeight="1" x14ac:dyDescent="0.25">
      <c r="A5" s="14" t="str">
        <f>HYPERLINK("#'Results'!A1", "Results")</f>
        <v>Results</v>
      </c>
      <c r="D5" s="49" t="s">
        <v>84</v>
      </c>
      <c r="E5" s="40"/>
      <c r="F5" s="40"/>
      <c r="G5" s="40"/>
      <c r="H5" s="40"/>
      <c r="I5" s="40"/>
      <c r="J5" s="40"/>
      <c r="K5" s="40"/>
      <c r="L5" s="40"/>
      <c r="M5" s="40"/>
      <c r="N5" s="40"/>
      <c r="O5" s="37"/>
    </row>
    <row r="6" spans="1:17" ht="20.100000000000001" customHeight="1" x14ac:dyDescent="0.25">
      <c r="A6" s="13"/>
      <c r="D6" s="70" t="s">
        <v>85</v>
      </c>
      <c r="E6" s="39"/>
      <c r="F6" s="39"/>
      <c r="G6" s="39"/>
      <c r="H6" s="39"/>
      <c r="I6" s="39"/>
      <c r="J6" s="39"/>
      <c r="K6" s="39"/>
      <c r="L6" s="39"/>
      <c r="M6" s="39"/>
      <c r="N6" s="39"/>
      <c r="O6" s="38"/>
    </row>
    <row r="7" spans="1:17" ht="20.100000000000001" customHeight="1" x14ac:dyDescent="0.25">
      <c r="A7" s="17" t="s">
        <v>1</v>
      </c>
    </row>
    <row r="8" spans="1:17" ht="20.100000000000001" customHeight="1" x14ac:dyDescent="0.25">
      <c r="A8" s="14" t="str">
        <f>HYPERLINK("#'Input - Fuel'!A1", "Fuel")</f>
        <v>Fuel</v>
      </c>
    </row>
    <row r="9" spans="1:17" ht="20.100000000000001" customHeight="1" x14ac:dyDescent="0.25">
      <c r="A9" s="14"/>
    </row>
    <row r="10" spans="1:17" ht="20.100000000000001" customHeight="1" x14ac:dyDescent="0.25">
      <c r="A10" s="16" t="s">
        <v>45</v>
      </c>
    </row>
    <row r="11" spans="1:17" ht="20.100000000000001" customHeight="1" x14ac:dyDescent="0.25">
      <c r="A11" s="14" t="str">
        <f>HYPERLINK("#'8.1.1.1-2 Transport fuel'!A1", "8.1.1.1-2 Transport fuel")</f>
        <v>8.1.1.1-2 Transport fuel</v>
      </c>
    </row>
    <row r="12" spans="1:17" ht="20.100000000000001" customHeight="1" x14ac:dyDescent="0.25">
      <c r="A12" s="14" t="str">
        <f>HYPERLINK("#'8.2.1.1-2 Stationary fuel'!A1", "8.2.1.1-2 Stationary fuel")</f>
        <v>8.2.1.1-2 Stationary fuel</v>
      </c>
    </row>
    <row r="13" spans="1:17" ht="20.100000000000001" customHeight="1" x14ac:dyDescent="0.25">
      <c r="A13" s="14" t="str">
        <f>HYPERLINK("#'8.X.1.1-2 General use fuel'!A1", "8.X.1.1-2 General use fuel")</f>
        <v>8.X.1.1-2 General use fuel</v>
      </c>
    </row>
    <row r="14" spans="1:17" ht="20.100000000000001" customHeight="1" x14ac:dyDescent="0.25">
      <c r="A14" s="14"/>
      <c r="O14" s="1" t="s">
        <v>179</v>
      </c>
    </row>
    <row r="15" spans="1:17" ht="20.100000000000001" customHeight="1" x14ac:dyDescent="0.25">
      <c r="A15" s="15" t="s">
        <v>2</v>
      </c>
    </row>
    <row r="16" spans="1:17"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23" sqref="F23"/>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6" t="e" vm="1">
        <v>#VALUE!</v>
      </c>
      <c r="C1" s="66" t="s">
        <v>178</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51" t="str">
        <f>HYPERLINK("#'Results'!A1", "Results")</f>
        <v>Results</v>
      </c>
      <c r="C5" s="19"/>
      <c r="D5" s="22"/>
      <c r="E5" s="23"/>
      <c r="F5" s="23"/>
      <c r="G5" s="23"/>
      <c r="H5" s="19"/>
    </row>
    <row r="6" spans="1:8" ht="20.100000000000001" customHeight="1" x14ac:dyDescent="0.25">
      <c r="A6" s="13"/>
      <c r="C6" s="19"/>
      <c r="D6" s="18" t="s">
        <v>81</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Fuel'!A1", "Fuel")</f>
        <v>Fuel</v>
      </c>
      <c r="C8" s="19"/>
      <c r="D8" s="47" t="s">
        <v>50</v>
      </c>
      <c r="E8" s="47" t="s">
        <v>61</v>
      </c>
      <c r="F8" s="47" t="s">
        <v>62</v>
      </c>
      <c r="G8" s="47" t="s">
        <v>56</v>
      </c>
      <c r="H8" s="19"/>
    </row>
    <row r="9" spans="1:8" ht="20.100000000000001" customHeight="1" x14ac:dyDescent="0.25">
      <c r="A9" s="14"/>
      <c r="C9" s="19"/>
      <c r="D9" s="1" t="s">
        <v>169</v>
      </c>
      <c r="E9" s="65">
        <f>'8.1.1.1-2 Transport fuel'!E67</f>
        <v>83.182000000000002</v>
      </c>
      <c r="F9" s="65">
        <f>E9</f>
        <v>83.182000000000002</v>
      </c>
      <c r="G9" s="33" t="s">
        <v>59</v>
      </c>
      <c r="H9" s="19"/>
    </row>
    <row r="10" spans="1:8" ht="20.100000000000001" customHeight="1" x14ac:dyDescent="0.25">
      <c r="A10" s="16" t="s">
        <v>45</v>
      </c>
      <c r="C10" s="19"/>
      <c r="D10" s="1" t="s">
        <v>170</v>
      </c>
      <c r="E10" s="65">
        <f>'8.1.1.1-2 Transport fuel'!E68</f>
        <v>0.19906000000000001</v>
      </c>
      <c r="F10" s="65">
        <f t="shared" ref="F10:F14" si="0">E10</f>
        <v>0.19906000000000001</v>
      </c>
      <c r="G10" s="33" t="s">
        <v>59</v>
      </c>
      <c r="H10" s="19"/>
    </row>
    <row r="11" spans="1:8" ht="20.100000000000001" customHeight="1" x14ac:dyDescent="0.25">
      <c r="A11" s="14" t="str">
        <f>HYPERLINK("#'8.1.1.1-2 Transport fuel'!A1", "8.1.1.1-2 Transport fuel")</f>
        <v>8.1.1.1-2 Transport fuel</v>
      </c>
      <c r="C11" s="19"/>
      <c r="D11" s="1" t="s">
        <v>171</v>
      </c>
      <c r="E11" s="65">
        <f>'8.1.1.1-2 Transport fuel'!E69</f>
        <v>0.58450000000000002</v>
      </c>
      <c r="F11" s="65">
        <f t="shared" si="0"/>
        <v>0.58450000000000002</v>
      </c>
      <c r="G11" s="33" t="s">
        <v>59</v>
      </c>
      <c r="H11" s="19"/>
    </row>
    <row r="12" spans="1:8" ht="20.100000000000001" customHeight="1" x14ac:dyDescent="0.25">
      <c r="A12" s="14" t="str">
        <f>HYPERLINK("#'8.2.1.1-2 Stationary fuel'!A1", "8.2.1.1-2 Stationary fuel")</f>
        <v>8.2.1.1-2 Stationary fuel</v>
      </c>
      <c r="C12" s="19"/>
      <c r="D12" s="1" t="s">
        <v>172</v>
      </c>
      <c r="E12" s="65">
        <f>'8.2.1.1-2 Stationary fuel'!E55</f>
        <v>29.070800000000002</v>
      </c>
      <c r="F12" s="65">
        <f t="shared" si="0"/>
        <v>29.070800000000002</v>
      </c>
      <c r="G12" s="33" t="s">
        <v>59</v>
      </c>
      <c r="H12" s="19"/>
    </row>
    <row r="13" spans="1:8" ht="20.100000000000001" customHeight="1" x14ac:dyDescent="0.25">
      <c r="A13" s="14" t="str">
        <f>HYPERLINK("#'8.X.1.1-2 General use fuel'!A1", "8.X.1.1-2 General use fuel")</f>
        <v>8.X.1.1-2 General use fuel</v>
      </c>
      <c r="C13" s="19"/>
      <c r="D13" s="1" t="s">
        <v>173</v>
      </c>
      <c r="E13" s="65">
        <f>'8.2.1.1-2 Stationary fuel'!E56</f>
        <v>7.2400000000000006E-2</v>
      </c>
      <c r="F13" s="65">
        <f t="shared" si="0"/>
        <v>7.2400000000000006E-2</v>
      </c>
      <c r="G13" s="33" t="s">
        <v>59</v>
      </c>
      <c r="H13" s="19"/>
    </row>
    <row r="14" spans="1:8" ht="20.100000000000001" customHeight="1" x14ac:dyDescent="0.25">
      <c r="A14" s="14"/>
      <c r="C14" s="19"/>
      <c r="D14" s="1" t="s">
        <v>174</v>
      </c>
      <c r="E14" s="65">
        <f>'8.2.1.1-2 Stationary fuel'!E57</f>
        <v>7.1400000000000005E-2</v>
      </c>
      <c r="F14" s="65">
        <f t="shared" si="0"/>
        <v>7.1400000000000005E-2</v>
      </c>
      <c r="G14" s="33" t="s">
        <v>59</v>
      </c>
      <c r="H14" s="19"/>
    </row>
    <row r="15" spans="1:8" ht="20.100000000000001" customHeight="1" x14ac:dyDescent="0.3">
      <c r="A15" s="15" t="s">
        <v>2</v>
      </c>
      <c r="C15" s="19"/>
      <c r="D15" s="25" t="s">
        <v>55</v>
      </c>
      <c r="E15" s="46">
        <f>SUM(E9:E14)</f>
        <v>113.18016000000001</v>
      </c>
      <c r="F15" s="46">
        <f>SUM(F9:F14)</f>
        <v>113.18016000000001</v>
      </c>
      <c r="G15" s="44" t="s">
        <v>59</v>
      </c>
      <c r="H15" s="19"/>
    </row>
    <row r="16" spans="1:8" ht="20.100000000000001" customHeight="1" x14ac:dyDescent="0.25">
      <c r="A16" s="14" t="str">
        <f>HYPERLINK("#'Constants - Fuel'!A1", "Constants - Fuel")</f>
        <v>Constants - Fuel</v>
      </c>
      <c r="C16" s="19"/>
      <c r="D16" s="1"/>
      <c r="E16" s="65"/>
      <c r="F16" s="65"/>
      <c r="G16" s="33"/>
      <c r="H16" s="19"/>
    </row>
    <row r="17" spans="1:8" ht="20.100000000000001" customHeight="1" x14ac:dyDescent="0.25">
      <c r="A17" s="14" t="str">
        <f>HYPERLINK("#'Constants - Common'!A1", "Constants - Common")</f>
        <v>Constants - Common</v>
      </c>
      <c r="C17" s="19"/>
      <c r="D17" s="1"/>
      <c r="E17" s="65"/>
      <c r="F17" s="65"/>
      <c r="G17" s="33"/>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48"/>
      <c r="F21" s="33"/>
      <c r="G21" s="1"/>
      <c r="H21" s="19"/>
    </row>
    <row r="22" spans="1:8" ht="20.100000000000001" customHeight="1" x14ac:dyDescent="0.25">
      <c r="C22" s="19"/>
      <c r="D22" s="1"/>
      <c r="E22" s="48"/>
      <c r="F22" s="33"/>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6"/>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dimension ref="A1:AA115"/>
  <sheetViews>
    <sheetView showGridLines="0" workbookViewId="0">
      <selection activeCell="E22" sqref="E22"/>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6" t="e" vm="1">
        <v>#VALUE!</v>
      </c>
      <c r="C1" s="114" t="s">
        <v>185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115"/>
      <c r="D4" s="115"/>
      <c r="E4" s="115"/>
      <c r="F4" s="115"/>
      <c r="G4" s="115"/>
      <c r="H4" s="115"/>
      <c r="I4" s="115"/>
      <c r="J4" s="115"/>
      <c r="K4" s="115"/>
    </row>
    <row r="5" spans="1:24" ht="20.100000000000001" customHeight="1" x14ac:dyDescent="0.25">
      <c r="A5" s="14" t="str">
        <f>HYPERLINK("#'Results'!A1", "Results")</f>
        <v>Results</v>
      </c>
      <c r="D5" s="6" t="s">
        <v>186</v>
      </c>
      <c r="N5" s="116"/>
    </row>
    <row r="6" spans="1:24" ht="20.100000000000001" customHeight="1" x14ac:dyDescent="0.25">
      <c r="D6" s="117"/>
      <c r="N6" s="118"/>
    </row>
    <row r="7" spans="1:24" ht="20.100000000000001" customHeight="1" x14ac:dyDescent="0.25">
      <c r="A7" s="17" t="s">
        <v>1</v>
      </c>
      <c r="D7" s="1" t="s">
        <v>187</v>
      </c>
      <c r="E7" s="119" t="s">
        <v>211</v>
      </c>
      <c r="F7" s="2"/>
    </row>
    <row r="8" spans="1:24" ht="20.100000000000001" customHeight="1" x14ac:dyDescent="0.25">
      <c r="A8" s="14" t="str">
        <f>HYPERLINK("#'Input - Electricity'!A1", "Electricity")</f>
        <v>Electricity</v>
      </c>
      <c r="D8" s="120" t="s">
        <v>188</v>
      </c>
      <c r="E8" s="119" t="s">
        <v>212</v>
      </c>
    </row>
    <row r="9" spans="1:24" ht="20.100000000000001" customHeight="1" x14ac:dyDescent="0.25">
      <c r="A9" s="14"/>
      <c r="N9" s="121"/>
    </row>
    <row r="10" spans="1:24" ht="20.100000000000001" customHeight="1" x14ac:dyDescent="0.25">
      <c r="A10" s="16" t="s">
        <v>45</v>
      </c>
      <c r="D10" s="122" t="s">
        <v>189</v>
      </c>
      <c r="E10" s="123"/>
      <c r="F10" s="124"/>
      <c r="G10" s="125"/>
      <c r="N10" s="121"/>
    </row>
    <row r="11" spans="1:24" ht="20.100000000000001" customHeight="1" x14ac:dyDescent="0.25">
      <c r="A11" s="14" t="str">
        <f>HYPERLINK("#'14.1.1-2 Purchased electricity'!A1", "14.1.1-2 Purchased electricity")</f>
        <v>14.1.1-2 Purchased electricity</v>
      </c>
      <c r="N11" s="126"/>
    </row>
    <row r="12" spans="1:24" ht="20.100000000000001" customHeight="1" x14ac:dyDescent="0.25">
      <c r="A12" s="14"/>
      <c r="D12" s="120" t="s">
        <v>190</v>
      </c>
      <c r="E12" s="127">
        <v>45292</v>
      </c>
      <c r="F12" s="2" t="s">
        <v>191</v>
      </c>
    </row>
    <row r="13" spans="1:24" ht="20.100000000000001" customHeight="1" x14ac:dyDescent="0.25">
      <c r="A13" s="15" t="s">
        <v>2</v>
      </c>
      <c r="D13" s="120" t="s">
        <v>192</v>
      </c>
      <c r="E13" s="128">
        <f>DATE(YEAR(E12)+1,MONTH(E12),DAY(E12))-1</f>
        <v>45657</v>
      </c>
      <c r="F13" s="2" t="s">
        <v>193</v>
      </c>
      <c r="N13" s="129"/>
      <c r="O13" s="129"/>
    </row>
    <row r="14" spans="1:24" ht="20.100000000000001" customHeight="1" x14ac:dyDescent="0.25">
      <c r="A14" s="14" t="str">
        <f>HYPERLINK("#'Constants - Electricity'!A1", "Constants - Electricity")</f>
        <v>Constants - Electricity</v>
      </c>
      <c r="N14" s="129"/>
      <c r="O14" s="129"/>
    </row>
    <row r="15" spans="1:24" ht="20.100000000000001" customHeight="1" x14ac:dyDescent="0.25">
      <c r="A15" s="14" t="str">
        <f>HYPERLINK("#'Constants - Common'!A1", "Constants - Common")</f>
        <v>Constants - Common</v>
      </c>
      <c r="N15" s="129"/>
      <c r="O15" s="129"/>
    </row>
    <row r="16" spans="1:24" ht="20.100000000000001" customHeight="1" x14ac:dyDescent="0.25">
      <c r="A16"/>
      <c r="D16" s="6" t="s">
        <v>194</v>
      </c>
      <c r="N16" s="129"/>
      <c r="O16" s="129"/>
    </row>
    <row r="17" spans="1:25" ht="20.100000000000001" customHeight="1" x14ac:dyDescent="0.25">
      <c r="A17"/>
    </row>
    <row r="18" spans="1:25" ht="20.100000000000001" customHeight="1" x14ac:dyDescent="0.25">
      <c r="A18"/>
      <c r="D18" s="130" t="s">
        <v>195</v>
      </c>
      <c r="E18" s="40"/>
      <c r="F18" s="40"/>
      <c r="G18" s="37"/>
    </row>
    <row r="19" spans="1:25" ht="20.100000000000001" customHeight="1" x14ac:dyDescent="0.25">
      <c r="A19"/>
      <c r="D19" s="41" t="s">
        <v>196</v>
      </c>
      <c r="E19" s="39"/>
      <c r="F19" s="39"/>
      <c r="G19" s="38"/>
      <c r="N19" s="116"/>
    </row>
    <row r="20" spans="1:25" ht="20.100000000000001" customHeight="1" x14ac:dyDescent="0.25">
      <c r="A20"/>
      <c r="D20" s="1"/>
      <c r="E20" s="131"/>
      <c r="F20" s="2"/>
      <c r="N20" s="118"/>
    </row>
    <row r="21" spans="1:25" ht="20.100000000000001" customHeight="1" x14ac:dyDescent="0.25">
      <c r="A21"/>
      <c r="D21" s="1" t="s">
        <v>197</v>
      </c>
      <c r="E21" s="29" t="s">
        <v>198</v>
      </c>
      <c r="F21" s="2" t="s">
        <v>199</v>
      </c>
    </row>
    <row r="22" spans="1:25" ht="20.100000000000001" customHeight="1" x14ac:dyDescent="0.25">
      <c r="A22"/>
      <c r="D22" s="1" t="s">
        <v>200</v>
      </c>
      <c r="E22" s="29" t="s">
        <v>201</v>
      </c>
      <c r="F22" s="2" t="s">
        <v>199</v>
      </c>
      <c r="G22" s="1"/>
    </row>
    <row r="23" spans="1:25" ht="20.100000000000001" customHeight="1" x14ac:dyDescent="0.25">
      <c r="A23"/>
    </row>
    <row r="24" spans="1:25" ht="20.100000000000001" customHeight="1" x14ac:dyDescent="0.25">
      <c r="A24"/>
    </row>
    <row r="25" spans="1:25" ht="20.100000000000001" customHeight="1" x14ac:dyDescent="0.25">
      <c r="A25"/>
      <c r="N25" s="118"/>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132"/>
      <c r="L30" s="133"/>
      <c r="M30" s="133"/>
      <c r="N30" s="133"/>
      <c r="O30" s="133"/>
      <c r="P30" s="133"/>
      <c r="Q30" s="133"/>
      <c r="R30" s="133"/>
      <c r="S30" s="133"/>
      <c r="T30" s="133"/>
      <c r="U30" s="133"/>
      <c r="V30" s="133"/>
      <c r="W30" s="133"/>
      <c r="X30" s="133"/>
      <c r="Y30" s="133"/>
    </row>
    <row r="31" spans="1:25" ht="20.100000000000001" customHeight="1" x14ac:dyDescent="0.25">
      <c r="A31"/>
      <c r="G31" s="131"/>
      <c r="L31" s="134"/>
      <c r="M31" s="134"/>
      <c r="N31" s="134"/>
      <c r="O31" s="134"/>
      <c r="P31" s="134"/>
      <c r="Q31" s="134"/>
      <c r="R31" s="134"/>
      <c r="S31" s="134"/>
      <c r="T31" s="134"/>
      <c r="U31" s="134"/>
      <c r="V31" s="134"/>
      <c r="W31" s="134"/>
      <c r="X31" s="134"/>
      <c r="Y31" s="134"/>
    </row>
    <row r="32" spans="1:25" ht="20.100000000000001" customHeight="1" x14ac:dyDescent="0.25">
      <c r="A32"/>
      <c r="G32" s="131"/>
      <c r="L32" s="134"/>
      <c r="M32" s="134"/>
      <c r="N32" s="134"/>
      <c r="O32" s="134"/>
      <c r="P32" s="134"/>
      <c r="Q32" s="134"/>
      <c r="R32" s="134"/>
      <c r="S32" s="134"/>
      <c r="T32" s="134"/>
      <c r="U32" s="134"/>
      <c r="V32" s="134"/>
      <c r="W32" s="134"/>
      <c r="X32" s="134"/>
      <c r="Y32" s="134"/>
    </row>
    <row r="33" spans="1:25" ht="20.100000000000001" customHeight="1" x14ac:dyDescent="0.25">
      <c r="A33"/>
      <c r="G33" s="135"/>
      <c r="L33" s="134"/>
      <c r="M33" s="134"/>
      <c r="N33" s="134"/>
      <c r="O33" s="134"/>
      <c r="P33" s="134"/>
      <c r="Q33" s="134"/>
      <c r="R33" s="134"/>
      <c r="S33" s="134"/>
      <c r="T33" s="134"/>
      <c r="U33" s="134"/>
      <c r="V33" s="134"/>
      <c r="W33" s="134"/>
      <c r="X33" s="134"/>
      <c r="Y33" s="134"/>
    </row>
    <row r="34" spans="1:25" ht="20.100000000000001" customHeight="1" x14ac:dyDescent="0.25">
      <c r="A34"/>
      <c r="J34" s="136"/>
      <c r="K34" s="137"/>
      <c r="L34" s="134"/>
      <c r="M34" s="134"/>
      <c r="N34" s="134"/>
      <c r="O34" s="134"/>
      <c r="P34" s="134"/>
      <c r="Q34" s="134"/>
      <c r="R34" s="134"/>
      <c r="S34" s="134"/>
      <c r="T34" s="134"/>
      <c r="U34" s="134"/>
      <c r="V34" s="134"/>
      <c r="W34" s="134"/>
      <c r="X34" s="134"/>
      <c r="Y34" s="134"/>
    </row>
    <row r="35" spans="1:25" ht="20.100000000000001" customHeight="1" x14ac:dyDescent="0.25">
      <c r="A35"/>
      <c r="J35" s="136"/>
      <c r="K35" s="137"/>
      <c r="L35" s="134"/>
      <c r="M35" s="134"/>
      <c r="N35" s="134"/>
      <c r="O35" s="134"/>
      <c r="P35" s="134"/>
      <c r="Q35" s="134"/>
      <c r="R35" s="134"/>
      <c r="S35" s="134"/>
      <c r="T35" s="134"/>
      <c r="U35" s="134"/>
      <c r="V35" s="134"/>
      <c r="W35" s="134"/>
      <c r="X35" s="134"/>
      <c r="Y35" s="134"/>
    </row>
    <row r="36" spans="1:25" ht="20.100000000000001" customHeight="1" x14ac:dyDescent="0.25">
      <c r="A36"/>
      <c r="D36" s="138"/>
      <c r="E36" s="138"/>
      <c r="F36" s="139"/>
      <c r="G36" s="136"/>
      <c r="H36" s="136"/>
      <c r="I36" s="140"/>
      <c r="J36" s="136"/>
      <c r="K36" s="137"/>
      <c r="L36" s="134"/>
      <c r="M36" s="134"/>
      <c r="N36" s="134"/>
      <c r="O36" s="134"/>
      <c r="P36" s="134"/>
      <c r="Q36" s="134"/>
      <c r="R36" s="134"/>
      <c r="S36" s="134"/>
      <c r="T36" s="134"/>
      <c r="U36" s="134"/>
      <c r="V36" s="134"/>
      <c r="W36" s="134"/>
      <c r="X36" s="134"/>
      <c r="Y36" s="134"/>
    </row>
    <row r="37" spans="1:25" ht="20.100000000000001" customHeight="1" x14ac:dyDescent="0.25">
      <c r="A37"/>
      <c r="D37" s="138"/>
      <c r="E37" s="138"/>
      <c r="F37" s="139"/>
      <c r="G37" s="136"/>
      <c r="H37" s="136"/>
      <c r="I37" s="140"/>
      <c r="J37" s="136"/>
      <c r="K37" s="137"/>
      <c r="L37" s="134"/>
      <c r="M37" s="134"/>
      <c r="N37" s="134"/>
      <c r="O37" s="134"/>
      <c r="P37" s="134"/>
      <c r="Q37" s="134"/>
      <c r="R37" s="134"/>
      <c r="S37" s="134"/>
      <c r="T37" s="134"/>
      <c r="U37" s="134"/>
      <c r="V37" s="134"/>
      <c r="W37" s="134"/>
      <c r="X37" s="134"/>
      <c r="Y37" s="134"/>
    </row>
    <row r="38" spans="1:25" ht="20.100000000000001" customHeight="1" x14ac:dyDescent="0.25">
      <c r="A38"/>
      <c r="D38" s="138"/>
      <c r="E38" s="138"/>
      <c r="F38" s="139"/>
      <c r="G38" s="136"/>
      <c r="H38" s="136"/>
      <c r="I38" s="140"/>
      <c r="J38" s="136"/>
      <c r="K38" s="137"/>
      <c r="L38" s="134"/>
      <c r="M38" s="134"/>
      <c r="N38" s="134"/>
      <c r="O38" s="134"/>
      <c r="P38" s="134"/>
      <c r="Q38" s="134"/>
      <c r="R38" s="134"/>
      <c r="S38" s="134"/>
      <c r="T38" s="134"/>
      <c r="U38" s="134"/>
      <c r="V38" s="134"/>
      <c r="W38" s="134"/>
      <c r="X38" s="134"/>
      <c r="Y38" s="134"/>
    </row>
    <row r="39" spans="1:25" ht="20.100000000000001" customHeight="1" x14ac:dyDescent="0.25">
      <c r="A39"/>
      <c r="D39" s="138"/>
      <c r="E39" s="138"/>
      <c r="F39" s="139"/>
      <c r="G39" s="136"/>
      <c r="H39" s="136"/>
      <c r="I39" s="140"/>
      <c r="J39" s="136"/>
      <c r="K39" s="137"/>
      <c r="L39" s="134"/>
      <c r="M39" s="134"/>
      <c r="N39" s="134"/>
      <c r="O39" s="134"/>
      <c r="P39" s="134"/>
      <c r="Q39" s="134"/>
      <c r="R39" s="134"/>
      <c r="S39" s="134"/>
      <c r="T39" s="134"/>
      <c r="U39" s="134"/>
      <c r="V39" s="134"/>
      <c r="W39" s="134"/>
      <c r="X39" s="134"/>
      <c r="Y39" s="134"/>
    </row>
    <row r="40" spans="1:25" ht="20.100000000000001" customHeight="1" x14ac:dyDescent="0.25">
      <c r="A40"/>
      <c r="D40" s="141"/>
      <c r="E40" s="141"/>
      <c r="F40" s="141"/>
      <c r="G40" s="142"/>
      <c r="H40" s="143"/>
      <c r="I40" s="143"/>
      <c r="J40" s="143"/>
      <c r="K40" s="143"/>
      <c r="L40" s="144"/>
      <c r="M40" s="144"/>
      <c r="N40" s="144"/>
      <c r="O40" s="144"/>
      <c r="P40" s="144"/>
      <c r="Q40" s="144"/>
      <c r="R40" s="144"/>
      <c r="S40" s="144"/>
      <c r="T40" s="144"/>
      <c r="U40" s="144"/>
      <c r="V40" s="144"/>
      <c r="W40" s="144"/>
      <c r="X40" s="144"/>
      <c r="Y40" s="144"/>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145"/>
      <c r="E47" s="145"/>
      <c r="F47" s="145"/>
      <c r="G47" s="145"/>
      <c r="H47" s="145"/>
    </row>
    <row r="48" spans="1:25" ht="20.100000000000001" customHeight="1" x14ac:dyDescent="0.25">
      <c r="D48" s="146"/>
      <c r="E48" s="146"/>
      <c r="F48" s="147"/>
      <c r="G48" s="147"/>
      <c r="H48" s="146"/>
    </row>
    <row r="49" spans="4:8" ht="20.100000000000001" customHeight="1" x14ac:dyDescent="0.25">
      <c r="D49" s="146"/>
      <c r="E49" s="146"/>
      <c r="F49" s="147"/>
      <c r="G49" s="147"/>
      <c r="H49" s="146"/>
    </row>
    <row r="50" spans="4:8" ht="20.100000000000001" customHeight="1" x14ac:dyDescent="0.25">
      <c r="D50" s="146"/>
      <c r="E50" s="146"/>
      <c r="F50" s="147"/>
      <c r="G50" s="147"/>
      <c r="H50" s="146"/>
    </row>
    <row r="51" spans="4:8" ht="20.100000000000001" customHeight="1" x14ac:dyDescent="0.25">
      <c r="D51" s="148"/>
      <c r="E51" s="149"/>
      <c r="F51" s="149"/>
      <c r="G51" s="149"/>
      <c r="H51" s="150"/>
    </row>
    <row r="52" spans="4:8" ht="20.100000000000001" customHeight="1" x14ac:dyDescent="0.25"/>
    <row r="53" spans="4:8" ht="20.100000000000001" customHeight="1" x14ac:dyDescent="0.25"/>
    <row r="54" spans="4:8" ht="20.100000000000001" customHeight="1" x14ac:dyDescent="0.25">
      <c r="G54" s="151"/>
    </row>
    <row r="55" spans="4:8" ht="20.100000000000001" customHeight="1" x14ac:dyDescent="0.25">
      <c r="D55" s="6"/>
    </row>
    <row r="56" spans="4:8" ht="20.100000000000001" customHeight="1" x14ac:dyDescent="0.25"/>
    <row r="57" spans="4:8" ht="20.100000000000001" customHeight="1" x14ac:dyDescent="0.25">
      <c r="D57" s="18"/>
      <c r="F57" s="152"/>
    </row>
    <row r="58" spans="4:8" ht="20.100000000000001" customHeight="1" x14ac:dyDescent="0.25">
      <c r="D58" s="1"/>
      <c r="E58" s="153"/>
    </row>
    <row r="59" spans="4:8" ht="20.100000000000001" customHeight="1" x14ac:dyDescent="0.25">
      <c r="D59" s="1"/>
      <c r="E59" s="153"/>
    </row>
    <row r="60" spans="4:8" ht="20.100000000000001" customHeight="1" x14ac:dyDescent="0.25">
      <c r="D60" s="1"/>
      <c r="E60" s="154"/>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53"/>
    </row>
    <row r="65" spans="4:9" ht="20.100000000000001" customHeight="1" x14ac:dyDescent="0.25">
      <c r="D65" s="1"/>
      <c r="E65" s="153"/>
    </row>
    <row r="66" spans="4:9" ht="20.100000000000001" customHeight="1" x14ac:dyDescent="0.25">
      <c r="D66" s="1"/>
      <c r="E66" s="154"/>
    </row>
    <row r="67" spans="4:9" ht="20.100000000000001" customHeight="1" x14ac:dyDescent="0.25"/>
    <row r="68" spans="4:9" ht="20.100000000000001" customHeight="1" x14ac:dyDescent="0.25"/>
    <row r="69" spans="4:9" ht="20.100000000000001" customHeight="1" x14ac:dyDescent="0.25">
      <c r="D69" s="155"/>
      <c r="E69" s="155"/>
      <c r="F69" s="155"/>
      <c r="G69" s="155"/>
      <c r="H69" s="155"/>
      <c r="I69" s="155"/>
    </row>
    <row r="70" spans="4:9" ht="20.100000000000001" customHeight="1" x14ac:dyDescent="0.25">
      <c r="D70" s="155"/>
      <c r="E70" s="155"/>
      <c r="F70" s="155"/>
      <c r="G70" s="155"/>
      <c r="H70" s="155"/>
      <c r="I70" s="155"/>
    </row>
    <row r="71" spans="4:9" ht="20.100000000000001" customHeight="1" x14ac:dyDescent="0.25">
      <c r="D71" s="155"/>
      <c r="E71" s="155"/>
      <c r="F71" s="155"/>
      <c r="G71" s="155"/>
      <c r="H71" s="155"/>
      <c r="I71" s="155"/>
    </row>
    <row r="72" spans="4:9" ht="20.100000000000001" customHeight="1" x14ac:dyDescent="0.25">
      <c r="D72" s="155"/>
      <c r="E72" s="155"/>
      <c r="F72" s="155"/>
      <c r="G72" s="155"/>
      <c r="H72" s="155"/>
      <c r="I72" s="1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56"/>
    </row>
    <row r="79" spans="4:9" ht="20.100000000000001" customHeight="1" x14ac:dyDescent="0.25">
      <c r="D79" s="156"/>
    </row>
    <row r="80" spans="4:9" ht="20.100000000000001" customHeight="1" x14ac:dyDescent="0.25">
      <c r="D80" s="156"/>
    </row>
    <row r="81" spans="4:4" ht="20.100000000000001" customHeight="1" x14ac:dyDescent="0.25">
      <c r="D81" s="156"/>
    </row>
    <row r="82" spans="4:4" ht="20.100000000000001" customHeight="1" x14ac:dyDescent="0.25">
      <c r="D82" s="15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46"/>
  <sheetViews>
    <sheetView showGridLines="0" topLeftCell="A2" zoomScale="85" zoomScaleNormal="85" workbookViewId="0">
      <selection activeCell="F22" sqref="F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36" customFormat="1" ht="30" customHeight="1" x14ac:dyDescent="0.35">
      <c r="A1" s="36" t="e" vm="1">
        <v>#VALUE!</v>
      </c>
      <c r="C1" s="36" t="s">
        <v>86</v>
      </c>
    </row>
    <row r="2" spans="1:11" s="9" customFormat="1" ht="20.100000000000001" customHeight="1" x14ac:dyDescent="0.25"/>
    <row r="3" spans="1:11" ht="20.100000000000001" customHeight="1" x14ac:dyDescent="0.25">
      <c r="A3" s="14" t="str">
        <f>HYPERLINK("#'Home'!A1", "Home")</f>
        <v>Home</v>
      </c>
      <c r="C3" s="12"/>
      <c r="D3" s="12"/>
      <c r="E3" s="12"/>
      <c r="F3" s="12"/>
      <c r="G3" s="12"/>
      <c r="H3" s="12"/>
      <c r="I3" s="12"/>
      <c r="J3" s="12"/>
      <c r="K3" s="12"/>
    </row>
    <row r="4" spans="1:11" ht="20.100000000000001" customHeight="1" x14ac:dyDescent="0.25">
      <c r="A4" s="14" t="str">
        <f>HYPERLINK("#'Overview'!A1", "Overview")</f>
        <v>Overview</v>
      </c>
    </row>
    <row r="5" spans="1:11" ht="20.100000000000001" customHeight="1" x14ac:dyDescent="0.25">
      <c r="A5" s="14" t="str">
        <f>HYPERLINK("#'Results'!A1", "Results")</f>
        <v>Results</v>
      </c>
      <c r="D5" s="6" t="s">
        <v>108</v>
      </c>
      <c r="E5" s="3"/>
      <c r="F5" s="3"/>
      <c r="G5" s="3"/>
      <c r="H5" s="3"/>
    </row>
    <row r="6" spans="1:11" ht="20.100000000000001" customHeight="1" x14ac:dyDescent="0.25">
      <c r="A6" s="13"/>
      <c r="D6" s="19"/>
      <c r="E6" s="19"/>
      <c r="F6" s="19"/>
      <c r="G6" s="19"/>
      <c r="H6" s="19"/>
      <c r="I6" s="19"/>
      <c r="J6" s="19"/>
    </row>
    <row r="7" spans="1:11" ht="20.100000000000001" customHeight="1" x14ac:dyDescent="0.25">
      <c r="A7" s="17" t="s">
        <v>1</v>
      </c>
      <c r="D7" s="1" t="s">
        <v>203</v>
      </c>
    </row>
    <row r="8" spans="1:11" ht="20.100000000000001" customHeight="1" x14ac:dyDescent="0.25">
      <c r="A8" s="50" t="str">
        <f>HYPERLINK("#'Input - Fuel'!A1", "Fuel")</f>
        <v>Fuel</v>
      </c>
      <c r="D8" s="1" t="s">
        <v>202</v>
      </c>
    </row>
    <row r="9" spans="1:11" ht="20.100000000000001" customHeight="1" x14ac:dyDescent="0.25">
      <c r="A9" s="14"/>
      <c r="D9" s="1" t="s">
        <v>204</v>
      </c>
    </row>
    <row r="10" spans="1:11" ht="20.100000000000001" customHeight="1" x14ac:dyDescent="0.25">
      <c r="A10" s="16" t="s">
        <v>45</v>
      </c>
    </row>
    <row r="11" spans="1:11" ht="20.100000000000001" customHeight="1" x14ac:dyDescent="0.25">
      <c r="A11" s="14" t="str">
        <f>HYPERLINK("#'8.1.1.1-2 Transport fuel'!A1", "8.1.1.1-2 Transport fuel")</f>
        <v>8.1.1.1-2 Transport fuel</v>
      </c>
      <c r="D11" s="1" t="s">
        <v>205</v>
      </c>
      <c r="E11" s="29" t="s">
        <v>206</v>
      </c>
      <c r="F11" s="2" t="s">
        <v>199</v>
      </c>
    </row>
    <row r="12" spans="1:11" ht="20.100000000000001" customHeight="1" x14ac:dyDescent="0.25">
      <c r="A12" s="14" t="str">
        <f>HYPERLINK("#'8.2.1.1-2 Stationary fuel'!A1", "8.2.1.1-2 Stationary fuel")</f>
        <v>8.2.1.1-2 Stationary fuel</v>
      </c>
    </row>
    <row r="13" spans="1:11" ht="20.100000000000001" customHeight="1" x14ac:dyDescent="0.25">
      <c r="A13" s="14" t="str">
        <f>HYPERLINK("#'8.X.1.1-2 General use fuel'!A1", "8.X.1.1-2 General use fuel")</f>
        <v>8.X.1.1-2 General use fuel</v>
      </c>
      <c r="D13" s="49" t="s">
        <v>87</v>
      </c>
      <c r="E13" s="40"/>
      <c r="F13" s="40"/>
      <c r="G13" s="40"/>
      <c r="H13" s="37"/>
    </row>
    <row r="14" spans="1:11" ht="20.100000000000001" customHeight="1" x14ac:dyDescent="0.25">
      <c r="A14" s="14"/>
      <c r="D14" s="41" t="s">
        <v>88</v>
      </c>
      <c r="E14" s="39"/>
      <c r="F14" s="39"/>
      <c r="G14" s="39"/>
      <c r="H14" s="38"/>
    </row>
    <row r="15" spans="1:11" ht="20.100000000000001" customHeight="1" x14ac:dyDescent="0.25">
      <c r="A15" s="15" t="s">
        <v>2</v>
      </c>
      <c r="D15" s="19"/>
      <c r="E15" s="19"/>
      <c r="F15" s="19"/>
      <c r="G15" s="19"/>
      <c r="H15" s="19"/>
      <c r="I15" s="19"/>
      <c r="J15" s="19"/>
    </row>
    <row r="16" spans="1:11" ht="20.100000000000001" customHeight="1" x14ac:dyDescent="0.25">
      <c r="A16" s="14" t="str">
        <f>HYPERLINK("#'Constants - Fuel'!A1", "Constants - Fuel")</f>
        <v>Constants - Fuel</v>
      </c>
      <c r="D16" s="53" t="s">
        <v>89</v>
      </c>
      <c r="E16" s="53" t="s">
        <v>90</v>
      </c>
      <c r="F16" s="53" t="s">
        <v>91</v>
      </c>
      <c r="G16" s="53" t="s">
        <v>92</v>
      </c>
      <c r="H16" s="53" t="s">
        <v>93</v>
      </c>
      <c r="I16" s="53" t="s">
        <v>94</v>
      </c>
      <c r="J16" s="53" t="s">
        <v>210</v>
      </c>
    </row>
    <row r="17" spans="1:10" ht="20.100000000000001" customHeight="1" x14ac:dyDescent="0.25">
      <c r="A17" s="14" t="str">
        <f>HYPERLINK("#'Constants - Common'!A1", "Constants - Common")</f>
        <v>Constants - Common</v>
      </c>
      <c r="D17" s="29" t="s">
        <v>95</v>
      </c>
      <c r="E17" s="29" t="s">
        <v>107</v>
      </c>
      <c r="F17" s="73">
        <v>100</v>
      </c>
      <c r="G17" s="31" t="s">
        <v>136</v>
      </c>
      <c r="H17" s="74">
        <v>1</v>
      </c>
      <c r="I17" s="31">
        <f>Table_Input_Fuel[[#This Row],[Amount purchased]]*Table_Input_Fuel[[#This Row],[Percent consumed]]*IF(Table_Input_Fuel[[#This Row],[Amount unit]]="L", 10^-3, 1)</f>
        <v>100</v>
      </c>
      <c r="J17" s="31" t="str" cm="1">
        <f t="array" ref="J17">Common_InputFunctions.Utility_LookupValueInTable(Table_Input_Fuel[[#This Row],[Fuel type (select)]],Table_FuelTypes_Units[Fuel type], Table_FuelTypes_Units[Unit])</f>
        <v>GJ</v>
      </c>
    </row>
    <row r="18" spans="1:10" ht="20.100000000000001" customHeight="1" x14ac:dyDescent="0.25">
      <c r="D18" s="29" t="s">
        <v>95</v>
      </c>
      <c r="E18" s="29" t="s">
        <v>98</v>
      </c>
      <c r="F18" s="73">
        <v>10000</v>
      </c>
      <c r="G18" s="31" t="s">
        <v>208</v>
      </c>
      <c r="H18" s="157">
        <v>1</v>
      </c>
      <c r="I18" s="31">
        <f>Table_Input_Fuel[[#This Row],[Amount purchased]]*Table_Input_Fuel[[#This Row],[Percent consumed]]*IF(Table_Input_Fuel[[#This Row],[Amount unit]]="L", 10^-3, 1)</f>
        <v>10</v>
      </c>
      <c r="J18" s="31" t="str" cm="1">
        <f t="array" ref="J18">Common_InputFunctions.Utility_LookupValueInTable(Table_Input_Fuel[[#This Row],[Fuel type (select)]],Table_FuelTypes_Units[Fuel type], Table_FuelTypes_Units[Unit])</f>
        <v>kL</v>
      </c>
    </row>
    <row r="19" spans="1:10" ht="20.100000000000001" customHeight="1" x14ac:dyDescent="0.25">
      <c r="D19" s="29" t="s">
        <v>104</v>
      </c>
      <c r="E19" s="29" t="s">
        <v>105</v>
      </c>
      <c r="F19" s="73">
        <v>10000</v>
      </c>
      <c r="G19" s="31" t="s">
        <v>208</v>
      </c>
      <c r="H19" s="157">
        <v>1</v>
      </c>
      <c r="I19" s="31">
        <f>Table_Input_Fuel[[#This Row],[Amount purchased]]*Table_Input_Fuel[[#This Row],[Percent consumed]]*IF(Table_Input_Fuel[[#This Row],[Amount unit]]="L", 10^-3, 1)</f>
        <v>10</v>
      </c>
      <c r="J19" s="31" t="str" cm="1">
        <f t="array" ref="J19">Common_InputFunctions.Utility_LookupValueInTable(Table_Input_Fuel[[#This Row],[Fuel type (select)]],Table_FuelTypes_Units[Fuel type], Table_FuelTypes_Units[Unit])</f>
        <v>kL</v>
      </c>
    </row>
    <row r="20" spans="1:10" ht="20.100000000000001" customHeight="1" x14ac:dyDescent="0.25">
      <c r="A20" s="14"/>
      <c r="D20" s="29" t="s">
        <v>144</v>
      </c>
      <c r="E20" s="29" t="s">
        <v>105</v>
      </c>
      <c r="F20" s="73">
        <v>10000</v>
      </c>
      <c r="G20" s="31" t="s">
        <v>208</v>
      </c>
      <c r="H20" s="157">
        <v>1</v>
      </c>
      <c r="I20" s="31">
        <f>Table_Input_Fuel[[#This Row],[Amount purchased]]*Table_Input_Fuel[[#This Row],[Percent consumed]]*IF(Table_Input_Fuel[[#This Row],[Amount unit]]="L", 10^-3, 1)</f>
        <v>10</v>
      </c>
      <c r="J20" s="31" t="str" cm="1">
        <f t="array" ref="J20">Common_InputFunctions.Utility_LookupValueInTable(Table_Input_Fuel[[#This Row],[Fuel type (select)]],Table_FuelTypes_Units[Fuel type], Table_FuelTypes_Units[Unit])</f>
        <v>kL</v>
      </c>
    </row>
    <row r="21" spans="1:10" ht="20.100000000000001" customHeight="1" x14ac:dyDescent="0.25">
      <c r="A21" s="14"/>
      <c r="D21" s="158" t="s">
        <v>145</v>
      </c>
      <c r="E21" s="158" t="s">
        <v>135</v>
      </c>
      <c r="F21" s="73">
        <v>10000</v>
      </c>
      <c r="G21" s="101" t="s">
        <v>208</v>
      </c>
      <c r="H21" s="159">
        <v>1</v>
      </c>
      <c r="I21" s="101">
        <f>Table_Input_Fuel[[#This Row],[Amount purchased]]*Table_Input_Fuel[[#This Row],[Percent consumed]]*IF(Table_Input_Fuel[[#This Row],[Amount unit]]="L", 10^-3, 1)</f>
        <v>10</v>
      </c>
      <c r="J21" s="31"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4"/>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4"/>
    </row>
    <row r="30" spans="1:10" ht="20.100000000000001" customHeight="1" x14ac:dyDescent="0.25">
      <c r="A30" s="14"/>
    </row>
    <row r="31" spans="1:10" ht="20.100000000000001" customHeight="1" x14ac:dyDescent="0.25">
      <c r="A31" s="35"/>
    </row>
    <row r="32" spans="1:10" ht="20.100000000000001" customHeight="1" x14ac:dyDescent="0.25">
      <c r="A32" s="35"/>
    </row>
    <row r="33" spans="1:11" ht="20.100000000000001" customHeight="1" x14ac:dyDescent="0.25">
      <c r="A33" s="14"/>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6"/>
      <c r="K38" s="56"/>
    </row>
    <row r="39" spans="1:11" ht="20.100000000000001" customHeight="1" x14ac:dyDescent="0.25">
      <c r="A39" s="14"/>
      <c r="C39" s="56"/>
      <c r="K39" s="56"/>
    </row>
    <row r="40" spans="1:11" s="57" customFormat="1" ht="20.100000000000001" customHeight="1" x14ac:dyDescent="0.25">
      <c r="C40" s="1"/>
      <c r="D40" s="1"/>
      <c r="E40" s="1"/>
      <c r="F40" s="1"/>
      <c r="G40" s="1"/>
      <c r="H40" s="1"/>
      <c r="I40" s="1"/>
      <c r="J40" s="1"/>
      <c r="K40" s="1"/>
    </row>
    <row r="41" spans="1:11" s="57" customFormat="1" ht="20.100000000000001" customHeight="1" x14ac:dyDescent="0.25">
      <c r="A41" s="58"/>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63"/>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45"/>
    </row>
  </sheetData>
  <conditionalFormatting sqref="F32">
    <cfRule type="cellIs" dxfId="16" priority="62" operator="lessThan">
      <formula>0</formula>
    </cfRule>
  </conditionalFormatting>
  <conditionalFormatting sqref="F111:F112">
    <cfRule type="cellIs" dxfId="15" priority="21" operator="lessThan">
      <formula>0</formula>
    </cfRule>
  </conditionalFormatting>
  <conditionalFormatting sqref="F123:F124">
    <cfRule type="cellIs" dxfId="14" priority="20" operator="lessThan">
      <formula>0</formula>
    </cfRule>
  </conditionalFormatting>
  <conditionalFormatting sqref="F135:F136">
    <cfRule type="cellIs" dxfId="13" priority="19" operator="lessThan">
      <formula>0</formula>
    </cfRule>
  </conditionalFormatting>
  <conditionalFormatting sqref="F147:F148">
    <cfRule type="cellIs" dxfId="12" priority="18" operator="lessThan">
      <formula>0</formula>
    </cfRule>
  </conditionalFormatting>
  <conditionalFormatting sqref="F235:F236">
    <cfRule type="cellIs" dxfId="11" priority="93" operator="lessThan">
      <formula>0</formula>
    </cfRule>
  </conditionalFormatting>
  <conditionalFormatting sqref="F240:F241">
    <cfRule type="cellIs" dxfId="10" priority="92" operator="lessThan">
      <formula>0</formula>
    </cfRule>
  </conditionalFormatting>
  <conditionalFormatting sqref="F245:F246">
    <cfRule type="cellIs" dxfId="9" priority="91" operator="lessThan">
      <formula>0</formula>
    </cfRule>
  </conditionalFormatting>
  <conditionalFormatting sqref="F269:F270">
    <cfRule type="cellIs" dxfId="8" priority="85" operator="lessThan">
      <formula>0</formula>
    </cfRule>
  </conditionalFormatting>
  <conditionalFormatting sqref="F274:F275">
    <cfRule type="cellIs" dxfId="7" priority="84" operator="lessThan">
      <formula>0</formula>
    </cfRule>
  </conditionalFormatting>
  <conditionalFormatting sqref="F279:F280">
    <cfRule type="cellIs" dxfId="6" priority="83" operator="lessThan">
      <formula>0</formula>
    </cfRule>
  </conditionalFormatting>
  <conditionalFormatting sqref="I26:J27 H28:H30 I31:J31 I33:J35 I37:J38 I189:J189 E195:G195 I195:J195">
    <cfRule type="cellIs" dxfId="5" priority="79" operator="lessThan">
      <formula>0</formula>
    </cfRule>
  </conditionalFormatting>
  <conditionalFormatting sqref="I42:J46">
    <cfRule type="cellIs" dxfId="4" priority="5" operator="lessThan">
      <formula>0</formula>
    </cfRule>
  </conditionalFormatting>
  <conditionalFormatting sqref="I50:J50 I109:J109">
    <cfRule type="cellIs" dxfId="3" priority="74" operator="lessThan">
      <formula>0</formula>
    </cfRule>
  </conditionalFormatting>
  <conditionalFormatting sqref="I61:J63">
    <cfRule type="cellIs" dxfId="2" priority="4" operator="lessThan">
      <formula>0</formula>
    </cfRule>
  </conditionalFormatting>
  <conditionalFormatting sqref="I67:J70">
    <cfRule type="cellIs" dxfId="1" priority="3"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D262" xr:uid="{4E913AB3-F90B-4C35-BCE1-5DBB8FC05107}">
      <formula1>INDIRECT("Table_SourceData_PoultryMMSStage1[MMS]")</formula1>
    </dataValidation>
    <dataValidation type="list" allowBlank="1" showInputMessage="1" showErrorMessage="1" sqref="E210" xr:uid="{9FB53635-991F-44AA-A123-E8ABEF9EE0A6}">
      <formula1>INDIRECT("Table_SourceData_Dairy_ProductionSystemTemplates[Area]")</formula1>
    </dataValidation>
    <dataValidation type="list" allowBlank="1" showInputMessage="1" showErrorMessage="1" sqref="E234 E239 E244 E278 E273 E268 E146 E134 E110 E122" xr:uid="{00A4EA4C-90D3-4150-979D-4D71C7F37A31}">
      <formula1>"Yes, No"</formula1>
    </dataValidation>
    <dataValidation type="list" allowBlank="1" showInputMessage="1" showErrorMessage="1" sqref="E50" xr:uid="{DBA884B0-B52E-420E-8FD2-21B082EB75E2}">
      <formula1>INDIRECT("Table_SourceData_Swine_IrrigationMethods[Irrigation method]")</formula1>
    </dataValidation>
    <dataValidation type="list" allowBlank="1" showInputMessage="1" showErrorMessage="1" sqref="E49" xr:uid="{B95E29DC-96D0-4475-A29E-3F3A3B60CEA1}">
      <formula1>INDIRECT("Table_SourceData_Swine_CropProdSystems[Production system]")</formula1>
    </dataValidation>
    <dataValidation type="list" allowBlank="1" showInputMessage="1" showErrorMessage="1" sqref="D29:D30" xr:uid="{23F8C720-A764-46DD-9B01-B7EA3D86E5AB}">
      <formula1>INDIRECT("Table_SourceData_OrganicFertiliserTypes[Organic fertiliser type]")</formula1>
    </dataValidation>
    <dataValidation type="list" allowBlank="1" showInputMessage="1" showErrorMessage="1" sqref="E11" xr:uid="{36899568-0C60-419A-AB19-4AFC3F1063EA}">
      <formula1>"Metro, Non-metro"</formula1>
    </dataValidation>
    <dataValidation type="list" allowBlank="1" showInputMessage="1" showErrorMessage="1" sqref="D17:D21" xr:uid="{44BCE1B2-993E-4D7C-8172-C366FD07D726}">
      <formula1>INDIRECT("Table_FuelTypesPerUse[#Headers]")</formula1>
    </dataValidation>
    <dataValidation type="list" allowBlank="1" showInputMessage="1" showErrorMessage="1" sqref="E17:E21" xr:uid="{76773934-728A-4512-A789-D38AF73B28FA}">
      <formula1>_xlfn.TRIMRANGE(INDIRECT("Table_FuelTypesPerUse["&amp;D17&amp;"]"))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42"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6" t="e" vm="1">
        <v>#VALUE!</v>
      </c>
      <c r="C1" s="8" t="s">
        <v>109</v>
      </c>
    </row>
    <row r="2" spans="1:18" s="9" customFormat="1" ht="20.100000000000001" customHeight="1" x14ac:dyDescent="0.25"/>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K5" s="6" t="str" cm="1">
        <f t="array" ref="K5">Scope3_Equations.VEERG_15_11_1_1__2_UpstreamTransportFuelEmissions_Title()</f>
        <v>Upstream emissions from scope 1 fuel use for transport purposes</v>
      </c>
      <c r="O5" s="52"/>
      <c r="P5" s="52"/>
      <c r="Q5" s="52"/>
    </row>
    <row r="6" spans="1:18" ht="20.100000000000001" customHeight="1" x14ac:dyDescent="0.25">
      <c r="A6" s="13"/>
      <c r="D6" s="5" t="str" cm="1">
        <f t="array" ref="D6">Fuel_Equations.VEERG_8_1_1_1__1_FuelCombustionTransport_Source()</f>
        <v>VEERG 2026: 8.1.1.1, Equation (1)</v>
      </c>
      <c r="K6" s="5" t="str" cm="1">
        <f t="array" ref="K6">Scope3_Equations.VEERG_15_11_1_1__2_UpstreamTransportFuelEmissions_Source()</f>
        <v>VEERG 2026: 15.11.1.1, Equation (2)</v>
      </c>
      <c r="O6" s="52"/>
      <c r="P6" s="52"/>
      <c r="Q6" s="52"/>
    </row>
    <row r="7" spans="1:18" ht="20.100000000000001" customHeight="1" x14ac:dyDescent="0.25">
      <c r="A7" s="17" t="s">
        <v>1</v>
      </c>
      <c r="D7" s="11" t="s">
        <v>10</v>
      </c>
      <c r="E7" s="11" t="str" cm="1">
        <f t="array" aca="1" ref="E7" ca="1">Common_InputFunctions.Utility_DisplayFunctionName(N25)</f>
        <v>=Fuel_Equations.VEERG_8_1_1_1__1_FuelCombustionTransport</v>
      </c>
      <c r="K7" s="11" t="s">
        <v>10</v>
      </c>
      <c r="L7" s="11" t="str" cm="1">
        <f t="array" aca="1" ref="L7" ca="1">Common_InputFunctions.Utility_DisplayFunctionName(Q25)</f>
        <v>=Scope3_Equations.VEERG_15_11_1_1__2_UpstreamTransportFuelEmissions</v>
      </c>
      <c r="O7" s="52"/>
      <c r="P7" s="52"/>
      <c r="Q7" s="52"/>
    </row>
    <row r="8" spans="1:18" ht="20.100000000000001" customHeight="1" x14ac:dyDescent="0.25">
      <c r="A8" s="14" t="str">
        <f>HYPERLINK("#'Input - Fuel'!A1", "Fuel")</f>
        <v>Fuel</v>
      </c>
      <c r="E8" s="11"/>
      <c r="L8" s="11"/>
      <c r="O8" s="52"/>
      <c r="P8" s="52"/>
      <c r="Q8" s="52"/>
    </row>
    <row r="9" spans="1:18" ht="20.100000000000001" customHeight="1" x14ac:dyDescent="0.25">
      <c r="A9" s="14"/>
      <c r="G9" s="5"/>
      <c r="O9" s="52"/>
      <c r="P9" s="52"/>
      <c r="Q9" s="52"/>
    </row>
    <row r="10" spans="1:18" ht="20.100000000000001" customHeight="1" x14ac:dyDescent="0.25">
      <c r="A10" s="16" t="s">
        <v>45</v>
      </c>
      <c r="O10" s="52"/>
      <c r="P10" s="52"/>
      <c r="Q10" s="52"/>
    </row>
    <row r="11" spans="1:18" ht="20.100000000000001" customHeight="1" x14ac:dyDescent="0.25">
      <c r="A11" s="71" t="str">
        <f>HYPERLINK("#'8.1.1.1-2 Transport fuel'!A1", "8.1.1.1-2 Transport fuel")</f>
        <v>8.1.1.1-2 Transport fuel</v>
      </c>
      <c r="D11" s="32" t="s">
        <v>13</v>
      </c>
      <c r="E11" s="1" t="str" cm="1">
        <f t="array" ref="E11">Fuel_Equations.VEERG_8_1_1_1__1_FuelCombustionTransport_Variable()</f>
        <v>E_g</v>
      </c>
      <c r="K11" s="32" t="s">
        <v>13</v>
      </c>
      <c r="L11" s="1" t="str" cm="1">
        <f t="array" ref="L11">Scope3_Equations.VEERG_15_11_1_1__2_UpstreamTransportFuelEmissions_Variable()</f>
        <v>E_WTTtransq</v>
      </c>
      <c r="O11" s="52"/>
      <c r="P11" s="52"/>
      <c r="Q11" s="52"/>
    </row>
    <row r="12" spans="1:18" ht="20.100000000000001" customHeight="1" x14ac:dyDescent="0.25">
      <c r="A12" s="14" t="str">
        <f>HYPERLINK("#'8.2.1.1-2 Stationary fuel'!A1", "8.2.1.1-2 Stationary fuel")</f>
        <v>8.2.1.1-2 Stationary fuel</v>
      </c>
      <c r="D12" s="32" t="s">
        <v>5</v>
      </c>
      <c r="E12" s="33" t="str" cm="1">
        <f t="array" ref="E12">Fuel_Equations.VEERG_8_1_1_1__1_FuelCombustionTransport_Unit()</f>
        <v>t CO2-e</v>
      </c>
      <c r="K12" s="32" t="s">
        <v>5</v>
      </c>
      <c r="L12" s="33" t="str" cm="1">
        <f t="array" ref="L12">Scope3_Equations.VEERG_15_11_1_1__2_UpstreamTransportFuelEmissions_Unit()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_xlfn.CHOOSECOLS(Fuel_Equations.VEERG_8_1_1_1__1_FuelCombustionTransport_Arguments(), 1,2)</f>
        <v>Q_Transtq</v>
      </c>
      <c r="E14" s="62" t="str">
        <v>Amount of fuel type q combusted for transport energy purposes</v>
      </c>
      <c r="F14" s="61"/>
      <c r="G14" s="60" t="str" cm="1">
        <f t="array" ref="G14:H20">_xlfn.CHOOSECOLS(Fuel_Equations.VEERG_8_1_1_1__1_FuelCombustionTransport_Arguments(), 3,4)</f>
        <v>Varies based on fuel type: kL, m3, GJ</v>
      </c>
      <c r="H14" s="55" t="str">
        <v>Input</v>
      </c>
      <c r="I14" s="59" t="str" cm="1">
        <f t="array" aca="1" ref="I14" ca="1">HYPERLINK(Common_InputFunctions.Utility_SourceHyperlink($D$22), $D$22)</f>
        <v>Table_E_g</v>
      </c>
      <c r="K14" s="60" t="str" cm="1">
        <f t="array" ref="K14:L16">_xlfn.CHOOSECOLS(Scope3_Equations.VEERG_15_11_1_1__2_UpstreamTransportFuelEmissions_Arguments(),1,2)</f>
        <v>Q_Transq</v>
      </c>
      <c r="L14" s="60" t="str">
        <v>amount of fuel q combusted for transport energy purposes</v>
      </c>
      <c r="M14" s="60"/>
      <c r="N14" s="60" t="str" cm="1">
        <f t="array" ref="N14:O16">_xlfn.CHOOSECOLS(Scope3_Equations.VEERG_15_11_1_1__2_UpstreamTransportFuelEmissions_Arguments(),3,4)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EC_Transq</v>
      </c>
      <c r="E15" s="62" t="str">
        <v>Energy content factor for transport energy purposes</v>
      </c>
      <c r="F15" s="61"/>
      <c r="G15" s="60" t="str">
        <v>GJ / unit of fuel</v>
      </c>
      <c r="H15" s="54" t="str">
        <v>Constant</v>
      </c>
      <c r="I15" s="59" t="str" cm="1">
        <f t="array" aca="1" ref="I15" ca="1">HYPERLINK(Common_InputFunctions.Utility_SourceHyperlink($D$22), $D$22)</f>
        <v>Table_E_g</v>
      </c>
      <c r="K15" s="60" t="str">
        <v>EC_Transq</v>
      </c>
      <c r="L15" s="60" t="str">
        <v>energy content factor for transport energy purposes</v>
      </c>
      <c r="M15" s="60"/>
      <c r="N15" s="60" t="str">
        <v>GJ/kL or GJ/m3</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EF_Trans1tqg</v>
      </c>
      <c r="E16" s="62" t="str">
        <v>Scope 1 emission factor for transport energy purposes for each greenhouse gas</v>
      </c>
      <c r="F16" s="61"/>
      <c r="G16" s="60" t="str">
        <v>kg CO2e / GJ</v>
      </c>
      <c r="H16" s="54" t="str">
        <v>Constant</v>
      </c>
      <c r="I16" s="59" t="str" cm="1">
        <f t="array" aca="1" ref="I16" ca="1">HYPERLINK(Common_InputFunctions.Utility_SourceHyperlink($D$22), $D$22)</f>
        <v>Table_E_g</v>
      </c>
      <c r="K16" s="60" t="str">
        <v>EF_Trans3q</v>
      </c>
      <c r="L16" s="60" t="str">
        <v>scope 3 emission factor for transport energy purposes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P17" s="52"/>
      <c r="Q17" s="52"/>
    </row>
    <row r="18" spans="1:17" ht="20.100000000000001" customHeight="1" x14ac:dyDescent="0.25">
      <c r="D18" s="60" t="str">
        <v>Trans</v>
      </c>
      <c r="E18" s="62" t="str">
        <v>Transport combustion</v>
      </c>
      <c r="F18" s="61"/>
      <c r="G18" s="60" t="str">
        <v/>
      </c>
      <c r="H18" s="54" t="str">
        <v>Constant</v>
      </c>
      <c r="I18" s="59"/>
      <c r="J18" s="52"/>
      <c r="L18" s="52"/>
      <c r="M18" s="52"/>
      <c r="N18" s="52"/>
      <c r="O18" s="52"/>
      <c r="P18" s="52"/>
      <c r="Q18" s="52"/>
    </row>
    <row r="19" spans="1:17" ht="20.100000000000001" customHeight="1" x14ac:dyDescent="0.25">
      <c r="D19" s="60" t="str">
        <v>g</v>
      </c>
      <c r="E19" s="62" t="str">
        <v>Greenhouse gas</v>
      </c>
      <c r="F19" s="61"/>
      <c r="G19" s="60" t="str">
        <v/>
      </c>
      <c r="H19" s="54" t="str">
        <v>Constant</v>
      </c>
      <c r="I19" s="59"/>
      <c r="J19" s="52"/>
      <c r="L19" s="52"/>
      <c r="M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M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161</v>
      </c>
    </row>
    <row r="24" spans="1:17" ht="20.100000000000001" customHeight="1" x14ac:dyDescent="0.25">
      <c r="D24" s="30" t="s">
        <v>146</v>
      </c>
      <c r="E24" s="30" t="s">
        <v>159</v>
      </c>
      <c r="F24" s="30" t="s">
        <v>147</v>
      </c>
      <c r="G24" s="30" t="s">
        <v>148</v>
      </c>
      <c r="H24" s="30" t="s">
        <v>149</v>
      </c>
      <c r="I24" s="30" t="s">
        <v>150</v>
      </c>
      <c r="J24" s="30" t="s">
        <v>151</v>
      </c>
      <c r="K24" s="30" t="s">
        <v>180</v>
      </c>
      <c r="L24" s="53" t="s">
        <v>168</v>
      </c>
      <c r="M24" s="30" t="s">
        <v>152</v>
      </c>
      <c r="N24" s="30" t="s">
        <v>153</v>
      </c>
      <c r="O24" s="30" t="s">
        <v>154</v>
      </c>
      <c r="P24" s="30" t="s">
        <v>155</v>
      </c>
      <c r="Q24" s="30" t="s">
        <v>182</v>
      </c>
    </row>
    <row r="25" spans="1:17" ht="20.100000000000001" customHeight="1" x14ac:dyDescent="0.25">
      <c r="D25" s="3" t="str">
        <f>Table_FuelTypesPerUse[[#Headers],[Cars and light commercial vehicles]]</f>
        <v>Cars and light commercial vehicles</v>
      </c>
      <c r="E25" s="87" t="str">
        <f>'Constants - Fuel'!$E$10</f>
        <v>Gasoline</v>
      </c>
      <c r="F25" s="87" t="str">
        <f>'Constants - Fuel'!G131</f>
        <v>Petrol</v>
      </c>
      <c r="G25" s="31" cm="1">
        <f t="array" ref="G25">IFERROR(_xlfn.XLOOKUP(1, (Table_Fuel_EFs_Transport[Fuel combusted]=$E25)*(Table_Fuel_EFs_Transport[Transport type]=$D$25), Table_Fuel_EFs_Transport[Energy Content Factor (GJ per unit of fuel)]), 0)</f>
        <v>34.200000000000003</v>
      </c>
      <c r="H25" s="31" cm="1">
        <f t="array" ref="H25">IFERROR(_xlfn.XLOOKUP(1, (Table_Fuel_EFs_Transport[Fuel combusted]=$E25)*(Table_Fuel_EFs_Transport[Transport type]=$D$25), Table_Fuel_EFs_Transport[Scope 1 Emission Factor (kg CO2 - e / GJ) CO2]), 0)</f>
        <v>67.400000000000006</v>
      </c>
      <c r="I25" s="31" cm="1">
        <f t="array" ref="I25">IFERROR(_xlfn.XLOOKUP(1, (Table_Fuel_EFs_Transport[Fuel combusted]=$E25)*(Table_Fuel_EFs_Transport[Transport type]=$D$25), Table_Fuel_EFs_Transport[Scope 1 Emission Factor (kg CO2 - e / GJ) CH4]), 0)</f>
        <v>0.02</v>
      </c>
      <c r="J25" s="31" cm="1">
        <f t="array" ref="J25">IFERROR(_xlfn.XLOOKUP(1, (Table_Fuel_EFs_Transport[Fuel combusted]=$E25)*(Table_Fuel_EFs_Transport[Transport type]=$D$25), Table_Fuel_EFs_Transport[Scope 1 Emission Factor (kg CO2 - e / GJ) N2O]), 0)</f>
        <v>0.2</v>
      </c>
      <c r="K25" s="31" cm="1">
        <f t="array" ref="K25">IFERROR(_xlfn.XLOOKUP(1, (Table_Fuel_EFs_Transport[Fuel combusted]=$E25)*(Table_Fuel_EFs_Transport[Transport type]=$D$25), Table_Fuel_EFs_Transport[Scope 3 Emission Factor (kg CO2 - e / GJ)]), 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6" cm="1">
        <f t="array" ref="N25">Fuel_Equations.VEERG_8_1_1_1__1_FuelCombustionTransport($L25,$G25,$H25)</f>
        <v>0</v>
      </c>
      <c r="O25" s="106" cm="1">
        <f t="array" ref="O25">Fuel_Equations.VEERG_8_1_1_1__1_FuelCombustionTransport($L25,$G25,$I25)</f>
        <v>0</v>
      </c>
      <c r="P25" s="106" cm="1">
        <f t="array" ref="P25">Fuel_Equations.VEERG_8_1_1_1__1_FuelCombustionTransport($L25,$G25,$J25)</f>
        <v>0</v>
      </c>
      <c r="Q25" s="106" cm="1">
        <f t="array" ref="Q25">Scope3_Equations.VEERG_15_11_1_1__2_UpstreamTransportFuelEmissions(L25,G25,K25)</f>
        <v>0</v>
      </c>
    </row>
    <row r="26" spans="1:17" ht="20.100000000000001" customHeight="1" x14ac:dyDescent="0.25">
      <c r="D26" s="88" t="str">
        <f t="shared" ref="D26:D32" si="0">$D$25</f>
        <v>Cars and light commercial vehicles</v>
      </c>
      <c r="E26" s="87" t="str">
        <f>'Constants - Fuel'!$E$11</f>
        <v>Diesel oil</v>
      </c>
      <c r="F26" s="87" t="str">
        <f>'Constants - Fuel'!G132</f>
        <v>Diesel</v>
      </c>
      <c r="G26" s="31" cm="1">
        <f t="array" ref="G26">IFERROR(_xlfn.XLOOKUP(1, (Table_Fuel_EFs_Transport[Fuel combusted]=$E26)*(Table_Fuel_EFs_Transport[Transport type]=$D$25), Table_Fuel_EFs_Transport[Energy Content Factor (GJ per unit of fuel)]), 0)</f>
        <v>38.6</v>
      </c>
      <c r="H26" s="31" cm="1">
        <f t="array" ref="H26">IFERROR(_xlfn.XLOOKUP(1, (Table_Fuel_EFs_Transport[Fuel combusted]=$E26)*(Table_Fuel_EFs_Transport[Transport type]=$D$25), Table_Fuel_EFs_Transport[Scope 1 Emission Factor (kg CO2 - e / GJ) CO2]), 0)</f>
        <v>69.900000000000006</v>
      </c>
      <c r="I26" s="31" cm="1">
        <f t="array" ref="I26">IFERROR(_xlfn.XLOOKUP(1, (Table_Fuel_EFs_Transport[Fuel combusted]=$E26)*(Table_Fuel_EFs_Transport[Transport type]=$D$25), Table_Fuel_EFs_Transport[Scope 1 Emission Factor (kg CO2 - e / GJ) CH4]), 0)</f>
        <v>0.01</v>
      </c>
      <c r="J26" s="31" cm="1">
        <f t="array" ref="J26">IFERROR(_xlfn.XLOOKUP(1, (Table_Fuel_EFs_Transport[Fuel combusted]=$E26)*(Table_Fuel_EFs_Transport[Transport type]=$D$25), Table_Fuel_EFs_Transport[Scope 1 Emission Factor (kg CO2 - e / GJ) N2O]), 0)</f>
        <v>0.5</v>
      </c>
      <c r="K26" s="31" cm="1">
        <f t="array" ref="K26">IFERROR(_xlfn.XLOOKUP(1, (Table_Fuel_EFs_Transport[Fuel combusted]=$E26)*(Table_Fuel_EFs_Transport[Transport type]=$D$25), Table_Fuel_EFs_Transport[Scope 3 Emission Factor (kg CO2 - e / GJ)]), 0)</f>
        <v>17.3</v>
      </c>
      <c r="L26" s="64" cm="1">
        <f t="array" ref="L26">Fuel_InputFunctions.Fuel_TotalConsumption(Table_Input_Fuel[Amount consumed], Table_Input_Fuel[Fuel use (select)], D26, Table_Input_Fuel[Fuel type (select)],F26)</f>
        <v>10</v>
      </c>
      <c r="M26" s="64" t="str" cm="1">
        <f t="array" ref="M26">Common_InputFunctions.Utility_LookupValueInTable(F26,Table_FuelTypes_Units[Fuel type],Table_FuelTypes_Units[Unit])</f>
        <v>kL</v>
      </c>
      <c r="N26" s="106" cm="1">
        <f t="array" ref="N26">Fuel_Equations.VEERG_8_1_1_1__1_FuelCombustionTransport($L26,$G26,$H26)</f>
        <v>26.981400000000001</v>
      </c>
      <c r="O26" s="106" cm="1">
        <f t="array" ref="O26">Fuel_Equations.VEERG_8_1_1_1__1_FuelCombustionTransport($L26,$G26,$I26)</f>
        <v>3.8600000000000001E-3</v>
      </c>
      <c r="P26" s="106" cm="1">
        <f t="array" ref="P26">Fuel_Equations.VEERG_8_1_1_1__1_FuelCombustionTransport($L26,$G26,$J26)</f>
        <v>0.193</v>
      </c>
      <c r="Q26" s="106" cm="1">
        <f t="array" ref="Q26">Scope3_Equations.VEERG_15_11_1_1__2_UpstreamTransportFuelEmissions(L26,G26,K26)</f>
        <v>6.6778000000000004</v>
      </c>
    </row>
    <row r="27" spans="1:17" ht="20.100000000000001" customHeight="1" x14ac:dyDescent="0.25">
      <c r="D27" s="88" t="str">
        <f t="shared" si="0"/>
        <v>Cars and light commercial vehicles</v>
      </c>
      <c r="E27" s="87" t="str">
        <f>'Constants - Fuel'!$E$12</f>
        <v>Liquefied petroleum gas (LPG)</v>
      </c>
      <c r="F27" s="87" t="str">
        <f>'Constants - Fuel'!G133</f>
        <v>Liquefied petroleum gas (LPG)</v>
      </c>
      <c r="G27" s="31" cm="1">
        <f t="array" ref="G27">IFERROR(_xlfn.XLOOKUP(1, (Table_Fuel_EFs_Transport[Fuel combusted]=$E27)*(Table_Fuel_EFs_Transport[Transport type]=$D$25), Table_Fuel_EFs_Transport[Energy Content Factor (GJ per unit of fuel)]), 0)</f>
        <v>26.2</v>
      </c>
      <c r="H27" s="31" cm="1">
        <f t="array" ref="H27">IFERROR(_xlfn.XLOOKUP(1, (Table_Fuel_EFs_Transport[Fuel combusted]=$E27)*(Table_Fuel_EFs_Transport[Transport type]=$D$25), Table_Fuel_EFs_Transport[Scope 1 Emission Factor (kg CO2 - e / GJ) CO2]), 0)</f>
        <v>60.2</v>
      </c>
      <c r="I27" s="31" cm="1">
        <f t="array" ref="I27">IFERROR(_xlfn.XLOOKUP(1, (Table_Fuel_EFs_Transport[Fuel combusted]=$E27)*(Table_Fuel_EFs_Transport[Transport type]=$D$25), Table_Fuel_EFs_Transport[Scope 1 Emission Factor (kg CO2 - e / GJ) CH4]), 0)</f>
        <v>0.5</v>
      </c>
      <c r="J27" s="31" cm="1">
        <f t="array" ref="J27">IFERROR(_xlfn.XLOOKUP(1, (Table_Fuel_EFs_Transport[Fuel combusted]=$E27)*(Table_Fuel_EFs_Transport[Transport type]=$D$25), Table_Fuel_EFs_Transport[Scope 1 Emission Factor (kg CO2 - e / GJ) N2O]), 0)</f>
        <v>0.3</v>
      </c>
      <c r="K27" s="31" cm="1">
        <f t="array" ref="K27">IFERROR(_xlfn.XLOOKUP(1, (Table_Fuel_EFs_Transport[Fuel combusted]=$E27)*(Table_Fuel_EFs_Transport[Transport type]=$D$25), Table_Fuel_EFs_Transport[Scope 3 Emission Factor (kg CO2 - e / GJ)]), 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6" cm="1">
        <f t="array" ref="N27">Fuel_Equations.VEERG_8_1_1_1__1_FuelCombustionTransport($L27,$G27,$H27)</f>
        <v>0</v>
      </c>
      <c r="O27" s="106" cm="1">
        <f t="array" ref="O27">Fuel_Equations.VEERG_8_1_1_1__1_FuelCombustionTransport($L27,$G27,$I27)</f>
        <v>0</v>
      </c>
      <c r="P27" s="106" cm="1">
        <f t="array" ref="P27">Fuel_Equations.VEERG_8_1_1_1__1_FuelCombustionTransport($L27,$G27,$J27)</f>
        <v>0</v>
      </c>
      <c r="Q27" s="106" cm="1">
        <f t="array" ref="Q27">Scope3_Equations.VEERG_15_11_1_1__2_UpstreamTransportFuelEmissions(L27,G27,K27)</f>
        <v>0</v>
      </c>
    </row>
    <row r="28" spans="1:17" ht="20.100000000000001" customHeight="1" x14ac:dyDescent="0.25">
      <c r="D28" s="88" t="str">
        <f t="shared" si="0"/>
        <v>Cars and light commercial vehicles</v>
      </c>
      <c r="E28" s="87" t="str">
        <f>'Constants - Fuel'!$E$13</f>
        <v>Fuel oil</v>
      </c>
      <c r="F28" s="87" t="str">
        <f>'Constants - Fuel'!G134</f>
        <v>Fuel oil</v>
      </c>
      <c r="G28" s="31" cm="1">
        <f t="array" ref="G28">IFERROR(_xlfn.XLOOKUP(1, (Table_Fuel_EFs_Transport[Fuel combusted]=$E28)*(Table_Fuel_EFs_Transport[Transport type]=$D$25), Table_Fuel_EFs_Transport[Energy Content Factor (GJ per unit of fuel)]), 0)</f>
        <v>39.700000000000003</v>
      </c>
      <c r="H28" s="31" cm="1">
        <f t="array" ref="H28">IFERROR(_xlfn.XLOOKUP(1, (Table_Fuel_EFs_Transport[Fuel combusted]=$E28)*(Table_Fuel_EFs_Transport[Transport type]=$D$25), Table_Fuel_EFs_Transport[Scope 1 Emission Factor (kg CO2 - e / GJ) CO2]), 0)</f>
        <v>73.599999999999994</v>
      </c>
      <c r="I28" s="31" cm="1">
        <f t="array" ref="I28">IFERROR(_xlfn.XLOOKUP(1, (Table_Fuel_EFs_Transport[Fuel combusted]=$E28)*(Table_Fuel_EFs_Transport[Transport type]=$D$25), Table_Fuel_EFs_Transport[Scope 1 Emission Factor (kg CO2 - e / GJ) CH4]), 0)</f>
        <v>0.08</v>
      </c>
      <c r="J28" s="31" cm="1">
        <f t="array" ref="J28">IFERROR(_xlfn.XLOOKUP(1, (Table_Fuel_EFs_Transport[Fuel combusted]=$E28)*(Table_Fuel_EFs_Transport[Transport type]=$D$25), Table_Fuel_EFs_Transport[Scope 1 Emission Factor (kg CO2 - e / GJ) N2O]), 0)</f>
        <v>0.5</v>
      </c>
      <c r="K28" s="31" cm="1">
        <f t="array" ref="K28">IFERROR(_xlfn.XLOOKUP(1, (Table_Fuel_EFs_Transport[Fuel combusted]=$E28)*(Table_Fuel_EFs_Transport[Transport type]=$D$25), Table_Fuel_EFs_Transport[Scope 3 Emission Factor (kg CO2 - e / GJ)]), 0)</f>
        <v>18</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6" cm="1">
        <f t="array" ref="N28">Fuel_Equations.VEERG_8_1_1_1__1_FuelCombustionTransport($L28,$G28,$H28)</f>
        <v>0</v>
      </c>
      <c r="O28" s="106" cm="1">
        <f t="array" ref="O28">Fuel_Equations.VEERG_8_1_1_1__1_FuelCombustionTransport($L28,$G28,$I28)</f>
        <v>0</v>
      </c>
      <c r="P28" s="106" cm="1">
        <f t="array" ref="P28">Fuel_Equations.VEERG_8_1_1_1__1_FuelCombustionTransport($L28,$G28,$J28)</f>
        <v>0</v>
      </c>
      <c r="Q28" s="106" cm="1">
        <f t="array" ref="Q28">Scope3_Equations.VEERG_15_11_1_1__2_UpstreamTransportFuelEmissions(L28,G28,K28)</f>
        <v>0</v>
      </c>
    </row>
    <row r="29" spans="1:17" ht="20.100000000000001" customHeight="1" x14ac:dyDescent="0.25">
      <c r="D29" s="88" t="str">
        <f t="shared" si="0"/>
        <v>Cars and light commercial vehicles</v>
      </c>
      <c r="E29" s="87" t="str">
        <f>'Constants - Fuel'!$E$14</f>
        <v>Ethanol</v>
      </c>
      <c r="F29" s="87" t="str">
        <f>'Constants - Fuel'!G135</f>
        <v>Ethanol</v>
      </c>
      <c r="G29" s="31" cm="1">
        <f t="array" ref="G29">IFERROR(_xlfn.XLOOKUP(1, (Table_Fuel_EFs_Transport[Fuel combusted]=$E29)*(Table_Fuel_EFs_Transport[Transport type]=$D$25), Table_Fuel_EFs_Transport[Energy Content Factor (GJ per unit of fuel)]), 0)</f>
        <v>23.4</v>
      </c>
      <c r="H29" s="31" cm="1">
        <f t="array" ref="H29">IFERROR(_xlfn.XLOOKUP(1, (Table_Fuel_EFs_Transport[Fuel combusted]=$E29)*(Table_Fuel_EFs_Transport[Transport type]=$D$25), Table_Fuel_EFs_Transport[Scope 1 Emission Factor (kg CO2 - e / GJ) CO2]), 0)</f>
        <v>0</v>
      </c>
      <c r="I29" s="31" cm="1">
        <f t="array" ref="I29">IFERROR(_xlfn.XLOOKUP(1, (Table_Fuel_EFs_Transport[Fuel combusted]=$E29)*(Table_Fuel_EFs_Transport[Transport type]=$D$25), Table_Fuel_EFs_Transport[Scope 1 Emission Factor (kg CO2 - e / GJ) CH4]), 0)</f>
        <v>0.2</v>
      </c>
      <c r="J29" s="31" cm="1">
        <f t="array" ref="J29">IFERROR(_xlfn.XLOOKUP(1, (Table_Fuel_EFs_Transport[Fuel combusted]=$E29)*(Table_Fuel_EFs_Transport[Transport type]=$D$25), Table_Fuel_EFs_Transport[Scope 1 Emission Factor (kg CO2 - e / GJ) N2O]), 0)</f>
        <v>0.2</v>
      </c>
      <c r="K29" s="31" t="str" cm="1">
        <f t="array" ref="K29">IFERROR(_xlfn.XLOOKUP(1, (Table_Fuel_EFs_Transport[Fuel combusted]=$E29)*(Table_Fuel_EFs_Transport[Transport type]=$D$25), Table_Fuel_EFs_Transport[Scope 3 Emission Factor (kg CO2 - e / GJ)]), 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6" cm="1">
        <f t="array" ref="N29">Fuel_Equations.VEERG_8_1_1_1__1_FuelCombustionTransport($L29,$G29,$H29)</f>
        <v>0</v>
      </c>
      <c r="O29" s="106" cm="1">
        <f t="array" ref="O29">Fuel_Equations.VEERG_8_1_1_1__1_FuelCombustionTransport($L29,$G29,$I29)</f>
        <v>0</v>
      </c>
      <c r="P29" s="106" cm="1">
        <f t="array" ref="P29">Fuel_Equations.VEERG_8_1_1_1__1_FuelCombustionTransport($L29,$G29,$J29)</f>
        <v>0</v>
      </c>
      <c r="Q29" s="106" cm="1">
        <f t="array" ref="Q29">Scope3_Equations.VEERG_15_11_1_1__2_UpstreamTransportFuelEmissions(L29,G29,IF(ISNUMBER(K29),K29,0))</f>
        <v>0</v>
      </c>
    </row>
    <row r="30" spans="1:17" ht="20.100000000000001" customHeight="1" x14ac:dyDescent="0.25">
      <c r="D30" s="88" t="str">
        <f t="shared" si="0"/>
        <v>Cars and light commercial vehicles</v>
      </c>
      <c r="E30" s="87" t="str">
        <f>'Constants - Fuel'!$E$15</f>
        <v>Biodiesel</v>
      </c>
      <c r="F30" s="87" t="str">
        <f>'Constants - Fuel'!G136</f>
        <v>Biodiesel</v>
      </c>
      <c r="G30" s="31" cm="1">
        <f t="array" ref="G30">IFERROR(_xlfn.XLOOKUP(1, (Table_Fuel_EFs_Transport[Fuel combusted]=$E30)*(Table_Fuel_EFs_Transport[Transport type]=$D$25), Table_Fuel_EFs_Transport[Energy Content Factor (GJ per unit of fuel)]), 0)</f>
        <v>34.6</v>
      </c>
      <c r="H30" s="31" cm="1">
        <f t="array" ref="H30">IFERROR(_xlfn.XLOOKUP(1, (Table_Fuel_EFs_Transport[Fuel combusted]=$E30)*(Table_Fuel_EFs_Transport[Transport type]=$D$25), Table_Fuel_EFs_Transport[Scope 1 Emission Factor (kg CO2 - e / GJ) CO2]), 0)</f>
        <v>0</v>
      </c>
      <c r="I30" s="31" cm="1">
        <f t="array" ref="I30">IFERROR(_xlfn.XLOOKUP(1, (Table_Fuel_EFs_Transport[Fuel combusted]=$E30)*(Table_Fuel_EFs_Transport[Transport type]=$D$25), Table_Fuel_EFs_Transport[Scope 1 Emission Factor (kg CO2 - e / GJ) CH4]), 0)</f>
        <v>0.8</v>
      </c>
      <c r="J30" s="31" cm="1">
        <f t="array" ref="J30">IFERROR(_xlfn.XLOOKUP(1, (Table_Fuel_EFs_Transport[Fuel combusted]=$E30)*(Table_Fuel_EFs_Transport[Transport type]=$D$25), Table_Fuel_EFs_Transport[Scope 1 Emission Factor (kg CO2 - e / GJ) N2O]), 0)</f>
        <v>1.7</v>
      </c>
      <c r="K30" s="31" t="str" cm="1">
        <f t="array" ref="K30">IFERROR(_xlfn.XLOOKUP(1, (Table_Fuel_EFs_Transport[Fuel combusted]=$E30)*(Table_Fuel_EFs_Transport[Transport type]=$D$25), Table_Fuel_EFs_Transport[Scope 3 Emission Factor (kg CO2 - e / GJ)]), 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6" cm="1">
        <f t="array" ref="N30">Fuel_Equations.VEERG_8_1_1_1__1_FuelCombustionTransport($L30,$G30,$H30)</f>
        <v>0</v>
      </c>
      <c r="O30" s="106" cm="1">
        <f t="array" ref="O30">Fuel_Equations.VEERG_8_1_1_1__1_FuelCombustionTransport($L30,$G30,$I30)</f>
        <v>0</v>
      </c>
      <c r="P30" s="106" cm="1">
        <f t="array" ref="P30">Fuel_Equations.VEERG_8_1_1_1__1_FuelCombustionTransport($L30,$G30,$J30)</f>
        <v>0</v>
      </c>
      <c r="Q30" s="106" cm="1">
        <f t="array" ref="Q30">Scope3_Equations.VEERG_15_11_1_1__2_UpstreamTransportFuelEmissions(L30,G30,IF(ISNUMBER(K30),K30,0))</f>
        <v>0</v>
      </c>
    </row>
    <row r="31" spans="1:17" ht="20.100000000000001" customHeight="1" x14ac:dyDescent="0.25">
      <c r="D31" s="88" t="str">
        <f t="shared" si="0"/>
        <v>Cars and light commercial vehicles</v>
      </c>
      <c r="E31" s="87" t="str">
        <f>'Constants - Fuel'!$E$16</f>
        <v>Renewable diesel</v>
      </c>
      <c r="F31" s="87" t="str">
        <f>'Constants - Fuel'!G137</f>
        <v>Renewable diesel</v>
      </c>
      <c r="G31" s="31" cm="1">
        <f t="array" ref="G31">IFERROR(_xlfn.XLOOKUP(1, (Table_Fuel_EFs_Transport[Fuel combusted]=$E31)*(Table_Fuel_EFs_Transport[Transport type]=$D$25), Table_Fuel_EFs_Transport[Energy Content Factor (GJ per unit of fuel)]), 0)</f>
        <v>38.6</v>
      </c>
      <c r="H31" s="31" cm="1">
        <f t="array" ref="H31">IFERROR(_xlfn.XLOOKUP(1, (Table_Fuel_EFs_Transport[Fuel combusted]=$E31)*(Table_Fuel_EFs_Transport[Transport type]=$D$25), Table_Fuel_EFs_Transport[Scope 1 Emission Factor (kg CO2 - e / GJ) CO2]), 0)</f>
        <v>0</v>
      </c>
      <c r="I31" s="31" cm="1">
        <f t="array" ref="I31">IFERROR(_xlfn.XLOOKUP(1, (Table_Fuel_EFs_Transport[Fuel combusted]=$E31)*(Table_Fuel_EFs_Transport[Transport type]=$D$25), Table_Fuel_EFs_Transport[Scope 1 Emission Factor (kg CO2 - e / GJ) CH4]), 0)</f>
        <v>0.01</v>
      </c>
      <c r="J31" s="31" cm="1">
        <f t="array" ref="J31">IFERROR(_xlfn.XLOOKUP(1, (Table_Fuel_EFs_Transport[Fuel combusted]=$E31)*(Table_Fuel_EFs_Transport[Transport type]=$D$25), Table_Fuel_EFs_Transport[Scope 1 Emission Factor (kg CO2 - e / GJ) N2O]), 0)</f>
        <v>0.5</v>
      </c>
      <c r="K31" s="31" t="str" cm="1">
        <f t="array" ref="K31">IFERROR(_xlfn.XLOOKUP(1, (Table_Fuel_EFs_Transport[Fuel combusted]=$E31)*(Table_Fuel_EFs_Transport[Transport type]=$D$25), Table_Fuel_EFs_Transport[Scope 3 Emission Factor (kg CO2 - e / GJ)]), 0)</f>
        <v>NE</v>
      </c>
      <c r="L31" s="64" cm="1">
        <f t="array" ref="L31">Fuel_InputFunctions.Fuel_TotalConsumption(Table_Input_Fuel[Amount consumed], Table_Input_Fuel[Fuel use (select)], D31, Table_Input_Fuel[Fuel type (select)],F31)</f>
        <v>0</v>
      </c>
      <c r="M31" s="64" t="str" cm="1">
        <f t="array" ref="M31">Common_InputFunctions.Utility_LookupValueInTable(F31,Table_FuelTypes_Units[Fuel type],Table_FuelTypes_Units[Unit])</f>
        <v>kL</v>
      </c>
      <c r="N31" s="106" cm="1">
        <f t="array" ref="N31">Fuel_Equations.VEERG_8_1_1_1__1_FuelCombustionTransport($L31,$G31,$H31)</f>
        <v>0</v>
      </c>
      <c r="O31" s="106" cm="1">
        <f t="array" ref="O31">Fuel_Equations.VEERG_8_1_1_1__1_FuelCombustionTransport($L31,$G31,$I31)</f>
        <v>0</v>
      </c>
      <c r="P31" s="106" cm="1">
        <f t="array" ref="P31">Fuel_Equations.VEERG_8_1_1_1__1_FuelCombustionTransport($L31,$G31,$J31)</f>
        <v>0</v>
      </c>
      <c r="Q31" s="106" cm="1">
        <f t="array" ref="Q31">Scope3_Equations.VEERG_15_11_1_1__2_UpstreamTransportFuelEmissions(L31,G31,IF(ISNUMBER(K31),K31,0))</f>
        <v>0</v>
      </c>
    </row>
    <row r="32" spans="1:17" ht="20.100000000000001" customHeight="1" x14ac:dyDescent="0.25">
      <c r="D32" s="88" t="str">
        <f t="shared" si="0"/>
        <v>Cars and light commercial vehicles</v>
      </c>
      <c r="E32" s="87" t="str">
        <f>'Constants - Fuel'!$E$17</f>
        <v>Other biofuels</v>
      </c>
      <c r="F32" s="87" t="str">
        <f>'Constants - Fuel'!G138</f>
        <v>Other biofuels</v>
      </c>
      <c r="G32" s="31" cm="1">
        <f t="array" ref="G32">IFERROR(_xlfn.XLOOKUP(1, (Table_Fuel_EFs_Transport[Fuel combusted]=$E32)*(Table_Fuel_EFs_Transport[Transport type]=$D$25), Table_Fuel_EFs_Transport[Energy Content Factor (GJ per unit of fuel)]), 0)</f>
        <v>23.4</v>
      </c>
      <c r="H32" s="31" cm="1">
        <f t="array" ref="H32">IFERROR(_xlfn.XLOOKUP(1, (Table_Fuel_EFs_Transport[Fuel combusted]=$E32)*(Table_Fuel_EFs_Transport[Transport type]=$D$25), Table_Fuel_EFs_Transport[Scope 1 Emission Factor (kg CO2 - e / GJ) CO2]), 0)</f>
        <v>0</v>
      </c>
      <c r="I32" s="31" cm="1">
        <f t="array" ref="I32">IFERROR(_xlfn.XLOOKUP(1, (Table_Fuel_EFs_Transport[Fuel combusted]=$E32)*(Table_Fuel_EFs_Transport[Transport type]=$D$25), Table_Fuel_EFs_Transport[Scope 1 Emission Factor (kg CO2 - e / GJ) CH4]), 0)</f>
        <v>0.8</v>
      </c>
      <c r="J32" s="31" cm="1">
        <f t="array" ref="J32">IFERROR(_xlfn.XLOOKUP(1, (Table_Fuel_EFs_Transport[Fuel combusted]=$E32)*(Table_Fuel_EFs_Transport[Transport type]=$D$25), Table_Fuel_EFs_Transport[Scope 1 Emission Factor (kg CO2 - e / GJ) N2O]), 0)</f>
        <v>1.7</v>
      </c>
      <c r="K32" s="101" t="str" cm="1">
        <f t="array" ref="K32">IFERROR(_xlfn.XLOOKUP(1, (Table_Fuel_EFs_Transport[Fuel combusted]=$E32)*(Table_Fuel_EFs_Transport[Transport type]=$D$25), Table_Fuel_EFs_Transport[Scope 3 Emission Factor (kg CO2 - e / GJ)]), 0)</f>
        <v>NE</v>
      </c>
      <c r="L32" s="89" cm="1">
        <f t="array" ref="L32">Fuel_InputFunctions.Fuel_TotalConsumption(Table_Input_Fuel[Amount consumed], Table_Input_Fuel[Fuel use (select)], D32, Table_Input_Fuel[Fuel type (select)],F32)</f>
        <v>0</v>
      </c>
      <c r="M32" s="64" t="str" cm="1">
        <f t="array" ref="M32">Common_InputFunctions.Utility_LookupValueInTable(F32,Table_FuelTypes_Units[Fuel type],Table_FuelTypes_Units[Unit])</f>
        <v>kL</v>
      </c>
      <c r="N32" s="107" cm="1">
        <f t="array" ref="N32">Fuel_Equations.VEERG_8_1_1_1__1_FuelCombustionTransport($L32,$G32,$H32)</f>
        <v>0</v>
      </c>
      <c r="O32" s="107" cm="1">
        <f t="array" ref="O32">Fuel_Equations.VEERG_8_1_1_1__1_FuelCombustionTransport($L32,$G32,$I32)</f>
        <v>0</v>
      </c>
      <c r="P32" s="107" cm="1">
        <f t="array" ref="P32">Fuel_Equations.VEERG_8_1_1_1__1_FuelCombustionTransport($L32,$G32,$J32)</f>
        <v>0</v>
      </c>
      <c r="Q32" s="106" cm="1">
        <f t="array" ref="Q32">Scope3_Equations.VEERG_15_11_1_1__2_UpstreamTransportFuelEmissions(L32,G32,IF(ISNUMBER(K32),K32,0))</f>
        <v>0</v>
      </c>
    </row>
    <row r="33" spans="1:17" ht="20.100000000000001" customHeight="1" x14ac:dyDescent="0.25">
      <c r="D33" s="90" t="str">
        <f>Table_FuelTypesPerUse[[#Headers],[Off-road Agriculture and forestry equipment]]</f>
        <v>Off-road Agriculture and forestry equipment</v>
      </c>
      <c r="E33" s="91" t="str">
        <f>'Constants - Fuel'!$E$11</f>
        <v>Diesel oil</v>
      </c>
      <c r="F33" s="91" t="str">
        <f>'Constants - Fuel'!H131</f>
        <v>Diesel</v>
      </c>
      <c r="G33" s="102" cm="1">
        <f t="array" ref="G33">IFERROR(_xlfn.XLOOKUP(1, (Table_Fuel_EFs_Transport[Fuel combusted]=$E33)*(Table_Fuel_EFs_Transport[Transport type]=$D$33), Table_Fuel_EFs_Transport[Energy Content Factor (GJ per unit of fuel)]), 0)</f>
        <v>38.6</v>
      </c>
      <c r="H33" s="102" cm="1">
        <f t="array" ref="H33">IFERROR(_xlfn.XLOOKUP(1, (Table_Fuel_EFs_Transport[Fuel combusted]=$E33)*(Table_Fuel_EFs_Transport[Transport type]=$D$33), Table_Fuel_EFs_Transport[Scope 1 Emission Factor (kg CO2 - e / GJ) CO2]), 0)</f>
        <v>69.900000000000006</v>
      </c>
      <c r="I33" s="102" cm="1">
        <f t="array" ref="I33">IFERROR(_xlfn.XLOOKUP(1, (Table_Fuel_EFs_Transport[Fuel combusted]=$E33)*(Table_Fuel_EFs_Transport[Transport type]=$D$33), Table_Fuel_EFs_Transport[Scope 1 Emission Factor (kg CO2 - e / GJ) CH4]), 0)</f>
        <v>0.3</v>
      </c>
      <c r="J33" s="102" cm="1">
        <f t="array" ref="J33">IFERROR(_xlfn.XLOOKUP(1, (Table_Fuel_EFs_Transport[Fuel combusted]=$E33)*(Table_Fuel_EFs_Transport[Transport type]=$D$33), Table_Fuel_EFs_Transport[Scope 1 Emission Factor (kg CO2 - e / GJ) N2O]), 0)</f>
        <v>0.5</v>
      </c>
      <c r="K33" s="112" cm="1">
        <f t="array" ref="K33">IFERROR(_xlfn.XLOOKUP(1, (Table_Fuel_EFs_Transport[Fuel combusted]=$E33)*(Table_Fuel_EFs_Transport[Transport type]=$D$25), Table_Fuel_EFs_Transport[Scope 3 Emission Factor (kg CO2 - e / GJ)]), 0)</f>
        <v>17.3</v>
      </c>
      <c r="L33" s="104" cm="1">
        <f t="array" ref="L33">Fuel_InputFunctions.Fuel_TotalConsumption(Table_Input_Fuel[Amount consumed], Table_Input_Fuel[Fuel use (select)], D33, Table_Input_Fuel[Fuel type (select)],F33)</f>
        <v>10</v>
      </c>
      <c r="M33" s="92" t="str" cm="1">
        <f t="array" ref="M33">Common_InputFunctions.Utility_LookupValueInTable(F33,Table_FuelTypes_Units[Fuel type],Table_FuelTypes_Units[Unit])</f>
        <v>kL</v>
      </c>
      <c r="N33" s="108" cm="1">
        <f t="array" ref="N33">Fuel_Equations.VEERG_8_1_1_1__1_FuelCombustionTransport($L33,$G33,$H33)</f>
        <v>26.981400000000001</v>
      </c>
      <c r="O33" s="108" cm="1">
        <f t="array" ref="O33">Fuel_Equations.VEERG_8_1_1_1__1_FuelCombustionTransport($L33,$G33,$I33)</f>
        <v>0.1158</v>
      </c>
      <c r="P33" s="108" cm="1">
        <f t="array" ref="P33">Fuel_Equations.VEERG_8_1_1_1__1_FuelCombustionTransport($L33,$G33,$J33)</f>
        <v>0.193</v>
      </c>
      <c r="Q33" s="113" cm="1">
        <f t="array" ref="Q33">Scope3_Equations.VEERG_15_11_1_1__2_UpstreamTransportFuelEmissions(L33,G33,K33)</f>
        <v>6.6778000000000004</v>
      </c>
    </row>
    <row r="34" spans="1:17" ht="20.100000000000001" customHeight="1" x14ac:dyDescent="0.25">
      <c r="D34" s="90" t="str">
        <f>Table_FuelTypesPerUse[[#Headers],[Aviation]]</f>
        <v>Aviation</v>
      </c>
      <c r="E34" s="91" t="str">
        <f>'Constants - Fuel'!$E$28</f>
        <v>Gasoline for use as fuel in an aircraft</v>
      </c>
      <c r="F34" s="91" t="str">
        <f>'Constants - Fuel'!$F$131</f>
        <v>Avgas</v>
      </c>
      <c r="G34" s="103" cm="1">
        <f t="array" ref="G34">IFERROR(_xlfn.XLOOKUP(1, (Table_Fuel_EFs_Transport[Fuel combusted]=$E34)*(Table_Fuel_EFs_Transport[Transport type]=$D$34), Table_Fuel_EFs_Transport[Energy Content Factor (GJ per unit of fuel)]), 0)</f>
        <v>33.1</v>
      </c>
      <c r="H34" s="103" cm="1">
        <f t="array" ref="H34">IFERROR(_xlfn.XLOOKUP(1, (Table_Fuel_EFs_Transport[Fuel combusted]=$E34)*(Table_Fuel_EFs_Transport[Transport type]=$D$34), Table_Fuel_EFs_Transport[Scope 1 Emission Factor (kg CO2 - e / GJ) CO2]), 0)</f>
        <v>67</v>
      </c>
      <c r="I34" s="103" cm="1">
        <f t="array" ref="I34">IFERROR(_xlfn.XLOOKUP(1, (Table_Fuel_EFs_Transport[Fuel combusted]=$E34)*(Table_Fuel_EFs_Transport[Transport type]=$D$34), Table_Fuel_EFs_Transport[Scope 1 Emission Factor (kg CO2 - e / GJ) CH4]), 0)</f>
        <v>0.06</v>
      </c>
      <c r="J34" s="103" cm="1">
        <f t="array" ref="J34">IFERROR(_xlfn.XLOOKUP(1, (Table_Fuel_EFs_Transport[Fuel combusted]=$E34)*(Table_Fuel_EFs_Transport[Transport type]=$D$34), Table_Fuel_EFs_Transport[Scope 1 Emission Factor (kg CO2 - e / GJ) N2O]), 0)</f>
        <v>0.6</v>
      </c>
      <c r="K34" s="103" cm="1">
        <f t="array" ref="K34">IFERROR(_xlfn.XLOOKUP(1, (Table_Fuel_EFs_Transport[Fuel combusted]=$E34)*(Table_Fuel_EFs_Transport[Transport type]=$D$25), Table_Fuel_EFs_Transport[Scope 3 Emission Factor (kg CO2 - e / GJ)]), 0)</f>
        <v>0</v>
      </c>
      <c r="L34" s="92" cm="1">
        <f t="array" ref="L34">Fuel_InputFunctions.Fuel_TotalConsumption(Table_Input_Fuel[Amount consumed], Table_Input_Fuel[Fuel use (select)], D34, Table_Input_Fuel[Fuel type (select)],F34)</f>
        <v>0</v>
      </c>
      <c r="M34" s="92" t="str" cm="1">
        <f t="array" ref="M34">Common_InputFunctions.Utility_LookupValueInTable(F34,Table_FuelTypes_Units[Fuel type],Table_FuelTypes_Units[Unit])</f>
        <v>kL</v>
      </c>
      <c r="N34" s="108" cm="1">
        <f t="array" ref="N34">Fuel_Equations.VEERG_8_1_1_1__1_FuelCombustionTransport($L34,$G34,$H34)</f>
        <v>0</v>
      </c>
      <c r="O34" s="108" cm="1">
        <f t="array" ref="O34">Fuel_Equations.VEERG_8_1_1_1__1_FuelCombustionTransport($L34,$G34,$I34)</f>
        <v>0</v>
      </c>
      <c r="P34" s="108" cm="1">
        <f t="array" ref="P34">Fuel_Equations.VEERG_8_1_1_1__1_FuelCombustionTransport($L34,$G34,$J34)</f>
        <v>0</v>
      </c>
      <c r="Q34" s="108" cm="1">
        <f t="array" ref="Q34">Scope3_Equations.VEERG_15_11_1_1__2_UpstreamTransportFuelEmissions(L34,G34,K34)</f>
        <v>0</v>
      </c>
    </row>
    <row r="35" spans="1:17" ht="20.100000000000001" customHeight="1" x14ac:dyDescent="0.25">
      <c r="D35" s="88" t="str">
        <f>$D$34</f>
        <v>Aviation</v>
      </c>
      <c r="E35" s="87" t="str">
        <f>'Constants - Fuel'!$E$29</f>
        <v>Kerosene for use as fuel in an aircraft</v>
      </c>
      <c r="F35" s="87" t="str">
        <f>'Constants - Fuel'!$F$132</f>
        <v>Jet A1, Jet B</v>
      </c>
      <c r="G35" s="31" cm="1">
        <f t="array" ref="G35">IFERROR(_xlfn.XLOOKUP(1, (Table_Fuel_EFs_Transport[Fuel combusted]=$E35)*(Table_Fuel_EFs_Transport[Transport type]=$D$34), Table_Fuel_EFs_Transport[Energy Content Factor (GJ per unit of fuel)]), 0)</f>
        <v>36.799999999999997</v>
      </c>
      <c r="H35" s="31" cm="1">
        <f t="array" ref="H35">IFERROR(_xlfn.XLOOKUP(1, (Table_Fuel_EFs_Transport[Fuel combusted]=$E35)*(Table_Fuel_EFs_Transport[Transport type]=$D$34), Table_Fuel_EFs_Transport[Scope 1 Emission Factor (kg CO2 - e / GJ) CO2]), 0)</f>
        <v>69.599999999999994</v>
      </c>
      <c r="I35" s="31" cm="1">
        <f t="array" ref="I35">IFERROR(_xlfn.XLOOKUP(1, (Table_Fuel_EFs_Transport[Fuel combusted]=$E35)*(Table_Fuel_EFs_Transport[Transport type]=$D$34), Table_Fuel_EFs_Transport[Scope 1 Emission Factor (kg CO2 - e / GJ) CH4]), 0)</f>
        <v>0.01</v>
      </c>
      <c r="J35" s="31" cm="1">
        <f t="array" ref="J35">IFERROR(_xlfn.XLOOKUP(1, (Table_Fuel_EFs_Transport[Fuel combusted]=$E35)*(Table_Fuel_EFs_Transport[Transport type]=$D$34), Table_Fuel_EFs_Transport[Scope 1 Emission Factor (kg CO2 - e / GJ) N2O]), 0)</f>
        <v>0.6</v>
      </c>
      <c r="K35" s="31" cm="1">
        <f t="array" ref="K35">IFERROR(_xlfn.XLOOKUP(1, (Table_Fuel_EFs_Transport[Fuel combusted]=$E35)*(Table_Fuel_EFs_Transport[Transport type]=$D$25), Table_Fuel_EFs_Transport[Scope 3 Emission Factor (kg CO2 - e / GJ)]), 0)</f>
        <v>0</v>
      </c>
      <c r="L35" s="64" cm="1">
        <f t="array" ref="L35">Fuel_InputFunctions.Fuel_TotalConsumption(Table_Input_Fuel[Amount consumed], Table_Input_Fuel[Fuel use (select)], D35, Table_Input_Fuel[Fuel type (select)],F35)</f>
        <v>0</v>
      </c>
      <c r="M35" s="64" t="str" cm="1">
        <f t="array" ref="M35">Common_InputFunctions.Utility_LookupValueInTable(F35,Table_FuelTypes_Units[Fuel type],Table_FuelTypes_Units[Unit])</f>
        <v>kL</v>
      </c>
      <c r="N35" s="106" cm="1">
        <f t="array" ref="N35">Fuel_Equations.VEERG_8_1_1_1__1_FuelCombustionTransport($L35,$G35,$H35)</f>
        <v>0</v>
      </c>
      <c r="O35" s="106" cm="1">
        <f t="array" ref="O35">Fuel_Equations.VEERG_8_1_1_1__1_FuelCombustionTransport($L35,$G35,$I35)</f>
        <v>0</v>
      </c>
      <c r="P35" s="106" cm="1">
        <f t="array" ref="P35">Fuel_Equations.VEERG_8_1_1_1__1_FuelCombustionTransport($L35,$G35,$J35)</f>
        <v>0</v>
      </c>
      <c r="Q35" s="106" cm="1">
        <f t="array" ref="Q35">Scope3_Equations.VEERG_15_11_1_1__2_UpstreamTransportFuelEmissions(L35,G35,K35)</f>
        <v>0</v>
      </c>
    </row>
    <row r="36" spans="1:17" ht="20.100000000000001" customHeight="1" x14ac:dyDescent="0.25">
      <c r="D36" s="88" t="str">
        <f>$D$34</f>
        <v>Aviation</v>
      </c>
      <c r="E36" s="87" t="str">
        <f>'Constants - Fuel'!$E$30</f>
        <v>Renewable aviation kerosene</v>
      </c>
      <c r="F36" s="87" t="str">
        <f>'Constants - Fuel'!$F$133</f>
        <v>Renewable aviation kerosene</v>
      </c>
      <c r="G36" s="101" cm="1">
        <f t="array" ref="G36">IFERROR(_xlfn.XLOOKUP(1, (Table_Fuel_EFs_Transport[Fuel combusted]=$E36)*(Table_Fuel_EFs_Transport[Transport type]=$D$34), Table_Fuel_EFs_Transport[Energy Content Factor (GJ per unit of fuel)]), 0)</f>
        <v>36.799999999999997</v>
      </c>
      <c r="H36" s="101" cm="1">
        <f t="array" ref="H36">IFERROR(_xlfn.XLOOKUP(1, (Table_Fuel_EFs_Transport[Fuel combusted]=$E36)*(Table_Fuel_EFs_Transport[Transport type]=$D$34), Table_Fuel_EFs_Transport[Scope 1 Emission Factor (kg CO2 - e / GJ) CO2]), 0)</f>
        <v>0</v>
      </c>
      <c r="I36" s="101" cm="1">
        <f t="array" ref="I36">IFERROR(_xlfn.XLOOKUP(1, (Table_Fuel_EFs_Transport[Fuel combusted]=$E36)*(Table_Fuel_EFs_Transport[Transport type]=$D$34), Table_Fuel_EFs_Transport[Scope 1 Emission Factor (kg CO2 - e / GJ) CH4]), 0)</f>
        <v>0.01</v>
      </c>
      <c r="J36" s="101" cm="1">
        <f t="array" ref="J36">IFERROR(_xlfn.XLOOKUP(1, (Table_Fuel_EFs_Transport[Fuel combusted]=$E36)*(Table_Fuel_EFs_Transport[Transport type]=$D$34), Table_Fuel_EFs_Transport[Scope 1 Emission Factor (kg CO2 - e / GJ) N2O]), 0)</f>
        <v>0.6</v>
      </c>
      <c r="K36" s="101" cm="1">
        <f t="array" ref="K36">IFERROR(_xlfn.XLOOKUP(1, (Table_Fuel_EFs_Transport[Fuel combusted]=$E36)*(Table_Fuel_EFs_Transport[Transport type]=$D$25), Table_Fuel_EFs_Transport[Scope 3 Emission Factor (kg CO2 - e / GJ)]), 0)</f>
        <v>0</v>
      </c>
      <c r="L36" s="89" cm="1">
        <f t="array" ref="L36">Fuel_InputFunctions.Fuel_TotalConsumption(Table_Input_Fuel[Amount consumed], Table_Input_Fuel[Fuel use (select)], D36, Table_Input_Fuel[Fuel type (select)],F36)</f>
        <v>0</v>
      </c>
      <c r="M36" s="64" t="str" cm="1">
        <f t="array" ref="M36">Common_InputFunctions.Utility_LookupValueInTable(F36,Table_FuelTypes_Units[Fuel type],Table_FuelTypes_Units[Unit])</f>
        <v>kL</v>
      </c>
      <c r="N36" s="106" cm="1">
        <f t="array" ref="N36">Fuel_Equations.VEERG_8_1_1_1__1_FuelCombustionTransport($L36,$G36,$H36)</f>
        <v>0</v>
      </c>
      <c r="O36" s="106" cm="1">
        <f t="array" ref="O36">Fuel_Equations.VEERG_8_1_1_1__1_FuelCombustionTransport($L36,$G36,$I36)</f>
        <v>0</v>
      </c>
      <c r="P36" s="106" cm="1">
        <f t="array" ref="P36">Fuel_Equations.VEERG_8_1_1_1__1_FuelCombustionTransport($L36,$G36,$J36)</f>
        <v>0</v>
      </c>
      <c r="Q36" s="107" cm="1">
        <f t="array" ref="Q36">Scope3_Equations.VEERG_15_11_1_1__2_UpstreamTransportFuelEmissions(L36,G36,K36)</f>
        <v>0</v>
      </c>
    </row>
    <row r="37" spans="1:17" ht="20.100000000000001" customHeight="1" x14ac:dyDescent="0.25">
      <c r="A37" s="63" t="str">
        <f>HYPERLINK("#A1", "▲ Back to top")</f>
        <v>▲ Back to top</v>
      </c>
      <c r="D37" s="90" t="str">
        <f>Table_FuelTypesPerUse[[#Headers],[Vessels]]</f>
        <v>Vessels</v>
      </c>
      <c r="E37" s="91" t="str">
        <f>'Constants - Fuel'!$E$10</f>
        <v>Gasoline</v>
      </c>
      <c r="F37" s="91" t="str">
        <f>'Constants - Fuel'!$I$131</f>
        <v>Petrol</v>
      </c>
      <c r="G37" s="103" cm="1">
        <f t="array" ref="G37">IFERROR(_xlfn.XLOOKUP(1, (Table_Fuel_EFs_Transport[Fuel combusted]=$E37)*(Table_Fuel_EFs_Transport[Transport type]=$D$37), Table_Fuel_EFs_Transport[Energy Content Factor (GJ per unit of fuel)]), 0)</f>
        <v>34.200000000000003</v>
      </c>
      <c r="H37" s="103" cm="1">
        <f t="array" ref="H37">IFERROR(_xlfn.XLOOKUP(1, (Table_Fuel_EFs_Transport[Fuel combusted]=$E37)*(Table_Fuel_EFs_Transport[Transport type]=$D$37), Table_Fuel_EFs_Transport[Scope 1 Emission Factor (kg CO2 - e / GJ) CO2]), 0)</f>
        <v>67.400000000000006</v>
      </c>
      <c r="I37" s="103" cm="1">
        <f t="array" ref="I37">IFERROR(_xlfn.XLOOKUP(1, (Table_Fuel_EFs_Transport[Fuel combusted]=$E37)*(Table_Fuel_EFs_Transport[Transport type]=$D$37), Table_Fuel_EFs_Transport[Scope 1 Emission Factor (kg CO2 - e / GJ) CH4]), 0)</f>
        <v>10.1</v>
      </c>
      <c r="J37" s="103" cm="1">
        <f t="array" ref="J37">IFERROR(_xlfn.XLOOKUP(1, (Table_Fuel_EFs_Transport[Fuel combusted]=$E37)*(Table_Fuel_EFs_Transport[Transport type]=$D$37), Table_Fuel_EFs_Transport[Scope 1 Emission Factor (kg CO2 - e / GJ) N2O]), 0)</f>
        <v>0.3</v>
      </c>
      <c r="K37" s="103" cm="1">
        <f t="array" ref="K37">IFERROR(_xlfn.XLOOKUP(1, (Table_Fuel_EFs_Transport[Fuel combusted]=$E37)*(Table_Fuel_EFs_Transport[Transport type]=$D$25), Table_Fuel_EFs_Transport[Scope 3 Emission Factor (kg CO2 - e / GJ)]), 0)</f>
        <v>17.2</v>
      </c>
      <c r="L37" s="92" cm="1">
        <f t="array" ref="L37">Fuel_InputFunctions.Fuel_TotalConsumption(Table_Input_Fuel[Amount consumed], Table_Input_Fuel[Fuel use (select)], D37, Table_Input_Fuel[Fuel type (select)],F37)</f>
        <v>0</v>
      </c>
      <c r="M37" s="93" t="str" cm="1">
        <f t="array" ref="M37">Common_InputFunctions.Utility_LookupValueInTable(F37,Table_FuelTypes_Units[Fuel type],Table_FuelTypes_Units[Unit])</f>
        <v>kL</v>
      </c>
      <c r="N37" s="108" cm="1">
        <f t="array" ref="N37">Fuel_Equations.VEERG_8_1_1_1__1_FuelCombustionTransport($L37,$G37,$H37)</f>
        <v>0</v>
      </c>
      <c r="O37" s="108" cm="1">
        <f t="array" ref="O37">Fuel_Equations.VEERG_8_1_1_1__1_FuelCombustionTransport($L37,$G37,$I37)</f>
        <v>0</v>
      </c>
      <c r="P37" s="108" cm="1">
        <f t="array" ref="P37">Fuel_Equations.VEERG_8_1_1_1__1_FuelCombustionTransport($L37,$G37,$J37)</f>
        <v>0</v>
      </c>
      <c r="Q37" s="108" cm="1">
        <f t="array" ref="Q37">Scope3_Equations.VEERG_15_11_1_1__2_UpstreamTransportFuelEmissions(L37,G37,K37)</f>
        <v>0</v>
      </c>
    </row>
    <row r="38" spans="1:17" ht="20.100000000000001" customHeight="1" x14ac:dyDescent="0.25">
      <c r="D38" s="88" t="str">
        <f>$D$37</f>
        <v>Vessels</v>
      </c>
      <c r="E38" s="87" t="str">
        <f>'Constants - Fuel'!$E$11</f>
        <v>Diesel oil</v>
      </c>
      <c r="F38" s="87" t="str">
        <f>'Constants - Fuel'!$I$132</f>
        <v>Diesel</v>
      </c>
      <c r="G38" s="31" cm="1">
        <f t="array" ref="G38">IFERROR(_xlfn.XLOOKUP(1, (Table_Fuel_EFs_Transport[Fuel combusted]=$E38)*(Table_Fuel_EFs_Transport[Transport type]=$D$37), Table_Fuel_EFs_Transport[Energy Content Factor (GJ per unit of fuel)]), 0)</f>
        <v>38.6</v>
      </c>
      <c r="H38" s="31" cm="1">
        <f t="array" ref="H38">IFERROR(_xlfn.XLOOKUP(1, (Table_Fuel_EFs_Transport[Fuel combusted]=$E38)*(Table_Fuel_EFs_Transport[Transport type]=$D$37), Table_Fuel_EFs_Transport[Scope 1 Emission Factor (kg CO2 - e / GJ) CO2]), 0)</f>
        <v>69.900000000000006</v>
      </c>
      <c r="I38" s="31" cm="1">
        <f t="array" ref="I38">IFERROR(_xlfn.XLOOKUP(1, (Table_Fuel_EFs_Transport[Fuel combusted]=$E38)*(Table_Fuel_EFs_Transport[Transport type]=$D$37), Table_Fuel_EFs_Transport[Scope 1 Emission Factor (kg CO2 - e / GJ) CH4]), 0)</f>
        <v>0.2</v>
      </c>
      <c r="J38" s="31" cm="1">
        <f t="array" ref="J38">IFERROR(_xlfn.XLOOKUP(1, (Table_Fuel_EFs_Transport[Fuel combusted]=$E38)*(Table_Fuel_EFs_Transport[Transport type]=$D$37), Table_Fuel_EFs_Transport[Scope 1 Emission Factor (kg CO2 - e / GJ) N2O]), 0)</f>
        <v>0.5</v>
      </c>
      <c r="K38" s="31" cm="1">
        <f t="array" ref="K38">IFERROR(_xlfn.XLOOKUP(1, (Table_Fuel_EFs_Transport[Fuel combusted]=$E38)*(Table_Fuel_EFs_Transport[Transport type]=$D$25), Table_Fuel_EFs_Transport[Scope 3 Emission Factor (kg CO2 - e / GJ)]), 0)</f>
        <v>17.3</v>
      </c>
      <c r="L38" s="64" cm="1">
        <f t="array" ref="L38">Fuel_InputFunctions.Fuel_TotalConsumption(Table_Input_Fuel[Amount consumed], Table_Input_Fuel[Fuel use (select)], D38, Table_Input_Fuel[Fuel type (select)],F38)</f>
        <v>0</v>
      </c>
      <c r="M38" s="64" t="str" cm="1">
        <f t="array" ref="M38">Common_InputFunctions.Utility_LookupValueInTable(F38,Table_FuelTypes_Units[Fuel type],Table_FuelTypes_Units[Unit])</f>
        <v>kL</v>
      </c>
      <c r="N38" s="106" cm="1">
        <f t="array" ref="N38">Fuel_Equations.VEERG_8_1_1_1__1_FuelCombustionTransport($L38,$G38,$H38)</f>
        <v>0</v>
      </c>
      <c r="O38" s="106" cm="1">
        <f t="array" ref="O38">Fuel_Equations.VEERG_8_1_1_1__1_FuelCombustionTransport($L38,$G38,$I38)</f>
        <v>0</v>
      </c>
      <c r="P38" s="106" cm="1">
        <f t="array" ref="P38">Fuel_Equations.VEERG_8_1_1_1__1_FuelCombustionTransport($L38,$G38,$J38)</f>
        <v>0</v>
      </c>
      <c r="Q38" s="106" cm="1">
        <f t="array" ref="Q38">Scope3_Equations.VEERG_15_11_1_1__2_UpstreamTransportFuelEmissions(L38,G38,K38)</f>
        <v>0</v>
      </c>
    </row>
    <row r="39" spans="1:17" ht="20.100000000000001" customHeight="1" x14ac:dyDescent="0.25">
      <c r="D39" s="88" t="str">
        <f>$D$37</f>
        <v>Vessels</v>
      </c>
      <c r="E39" s="87" t="str">
        <f>'Constants - Fuel'!E33</f>
        <v>Fuel Oil</v>
      </c>
      <c r="F39" s="87" t="str">
        <f>'Constants - Fuel'!$I$133</f>
        <v>Fuel oil</v>
      </c>
      <c r="G39" s="31" cm="1">
        <f t="array" ref="G39">IFERROR(_xlfn.XLOOKUP(1, (Table_Fuel_EFs_Transport[Fuel combusted]=$E39)*(Table_Fuel_EFs_Transport[Transport type]=$D$37), Table_Fuel_EFs_Transport[Energy Content Factor (GJ per unit of fuel)]), 0)</f>
        <v>39.700000000000003</v>
      </c>
      <c r="H39" s="31" cm="1">
        <f t="array" ref="H39">IFERROR(_xlfn.XLOOKUP(1, (Table_Fuel_EFs_Transport[Fuel combusted]=$E39)*(Table_Fuel_EFs_Transport[Transport type]=$D$37), Table_Fuel_EFs_Transport[Scope 1 Emission Factor (kg CO2 - e / GJ) CO2]), 0)</f>
        <v>73.599999999999994</v>
      </c>
      <c r="I39" s="31" cm="1">
        <f t="array" ref="I39">IFERROR(_xlfn.XLOOKUP(1, (Table_Fuel_EFs_Transport[Fuel combusted]=$E39)*(Table_Fuel_EFs_Transport[Transport type]=$D$37), Table_Fuel_EFs_Transport[Scope 1 Emission Factor (kg CO2 - e / GJ) CH4]), 0)</f>
        <v>0.2</v>
      </c>
      <c r="J39" s="31" cm="1">
        <f t="array" ref="J39">IFERROR(_xlfn.XLOOKUP(1, (Table_Fuel_EFs_Transport[Fuel combusted]=$E39)*(Table_Fuel_EFs_Transport[Transport type]=$D$37), Table_Fuel_EFs_Transport[Scope 1 Emission Factor (kg CO2 - e / GJ) N2O]), 0)</f>
        <v>0.5</v>
      </c>
      <c r="K39" s="31" cm="1">
        <f t="array" ref="K39">IFERROR(_xlfn.XLOOKUP(1, (Table_Fuel_EFs_Transport[Fuel combusted]=$E39)*(Table_Fuel_EFs_Transport[Transport type]=$D$25), Table_Fuel_EFs_Transport[Scope 3 Emission Factor (kg CO2 - e / GJ)]), 0)</f>
        <v>18</v>
      </c>
      <c r="L39" s="64" cm="1">
        <f t="array" ref="L39">Fuel_InputFunctions.Fuel_TotalConsumption(Table_Input_Fuel[Amount consumed], Table_Input_Fuel[Fuel use (select)], D39, Table_Input_Fuel[Fuel type (select)],F39)</f>
        <v>10</v>
      </c>
      <c r="M39" s="64" t="str" cm="1">
        <f t="array" ref="M39">Common_InputFunctions.Utility_LookupValueInTable(F39,Table_FuelTypes_Units[Fuel type],Table_FuelTypes_Units[Unit])</f>
        <v>kL</v>
      </c>
      <c r="N39" s="106" cm="1">
        <f t="array" ref="N39">Fuel_Equations.VEERG_8_1_1_1__1_FuelCombustionTransport($L39,$G39,$H39)</f>
        <v>29.219199999999997</v>
      </c>
      <c r="O39" s="106" cm="1">
        <f t="array" ref="O39">Fuel_Equations.VEERG_8_1_1_1__1_FuelCombustionTransport($L39,$G39,$I39)</f>
        <v>7.9400000000000012E-2</v>
      </c>
      <c r="P39" s="106" cm="1">
        <f t="array" ref="P39">Fuel_Equations.VEERG_8_1_1_1__1_FuelCombustionTransport($L39,$G39,$J39)</f>
        <v>0.19850000000000001</v>
      </c>
      <c r="Q39" s="106" cm="1">
        <f t="array" ref="Q39">Scope3_Equations.VEERG_15_11_1_1__2_UpstreamTransportFuelEmissions(L39,G39,K39)</f>
        <v>7.1459999999999999</v>
      </c>
    </row>
    <row r="40" spans="1:17" ht="20.100000000000001" customHeight="1" x14ac:dyDescent="0.25">
      <c r="H40" s="52"/>
      <c r="I40" s="52"/>
      <c r="J40" s="52"/>
      <c r="L40" s="52"/>
      <c r="M40" s="52"/>
      <c r="N40" s="52"/>
      <c r="O40" s="52"/>
      <c r="P40" s="52"/>
      <c r="Q40" s="52"/>
    </row>
    <row r="41" spans="1:17" ht="20.100000000000001" customHeight="1" x14ac:dyDescent="0.25">
      <c r="H41" s="52"/>
      <c r="I41" s="52"/>
      <c r="J41" s="52"/>
      <c r="L41" s="52"/>
      <c r="M41" s="52"/>
      <c r="N41" s="52"/>
      <c r="O41" s="52"/>
      <c r="P41" s="52"/>
      <c r="Q41" s="52"/>
    </row>
    <row r="42" spans="1:17" ht="20.100000000000001" customHeight="1" x14ac:dyDescent="0.25">
      <c r="D42" s="94" t="str">
        <f>"Total scope 1 - " &amp; D25</f>
        <v>Total scope 1 - Cars and light commercial vehicles</v>
      </c>
      <c r="E42" s="95"/>
      <c r="F42" s="96"/>
    </row>
    <row r="43" spans="1:17" ht="20.100000000000001" customHeight="1" x14ac:dyDescent="0.25">
      <c r="D43" s="3" t="s">
        <v>156</v>
      </c>
      <c r="E43" s="105">
        <f>SUM(N25:N32)</f>
        <v>26.981400000000001</v>
      </c>
      <c r="F43" s="2" t="str">
        <f>$E$12</f>
        <v>t CO2-e</v>
      </c>
    </row>
    <row r="44" spans="1:17" ht="20.100000000000001" customHeight="1" x14ac:dyDescent="0.25">
      <c r="D44" s="3" t="s">
        <v>157</v>
      </c>
      <c r="E44" s="105">
        <f>SUM(O25:O32)</f>
        <v>3.8600000000000001E-3</v>
      </c>
      <c r="F44" s="2" t="str">
        <f t="shared" ref="F44:F46" si="1">$E$12</f>
        <v>t CO2-e</v>
      </c>
    </row>
    <row r="45" spans="1:17" ht="20.100000000000001" customHeight="1" x14ac:dyDescent="0.25">
      <c r="D45" s="3" t="s">
        <v>158</v>
      </c>
      <c r="E45" s="105">
        <f>SUM(P25:P32)</f>
        <v>0.193</v>
      </c>
      <c r="F45" s="2" t="str">
        <f t="shared" si="1"/>
        <v>t CO2-e</v>
      </c>
    </row>
    <row r="46" spans="1:17" ht="20.100000000000001" customHeight="1" x14ac:dyDescent="0.25">
      <c r="D46" s="3" t="s">
        <v>181</v>
      </c>
      <c r="E46" s="105">
        <f>SUM(Q25:Q32)</f>
        <v>6.6778000000000004</v>
      </c>
      <c r="F46" s="2" t="str">
        <f t="shared" si="1"/>
        <v>t CO2-e</v>
      </c>
    </row>
    <row r="47" spans="1:17" ht="20.100000000000001" customHeight="1" x14ac:dyDescent="0.25">
      <c r="D47" s="52"/>
      <c r="E47" s="52"/>
      <c r="F47" s="52"/>
    </row>
    <row r="48" spans="1:17" ht="20.100000000000001" customHeight="1" x14ac:dyDescent="0.25">
      <c r="D48" s="94" t="str">
        <f>"Total scope 1 - " &amp; D33</f>
        <v>Total scope 1 - Off-road Agriculture and forestry equipment</v>
      </c>
      <c r="E48" s="97"/>
      <c r="F48" s="96"/>
      <c r="H48" s="52"/>
      <c r="I48" s="52"/>
      <c r="J48" s="52"/>
      <c r="L48" s="52"/>
      <c r="M48" s="52"/>
      <c r="N48" s="52"/>
      <c r="O48" s="52"/>
      <c r="P48" s="52"/>
      <c r="Q48" s="52"/>
    </row>
    <row r="49" spans="4:17" ht="20.100000000000001" customHeight="1" x14ac:dyDescent="0.25">
      <c r="D49" s="3" t="s">
        <v>156</v>
      </c>
      <c r="E49" s="105">
        <f>SUM(N33:N33)</f>
        <v>26.981400000000001</v>
      </c>
      <c r="F49" s="2" t="str">
        <f t="shared" ref="F49:F52" si="2">$E$12</f>
        <v>t CO2-e</v>
      </c>
      <c r="H49" s="52"/>
      <c r="I49" s="52"/>
      <c r="J49" s="52"/>
      <c r="L49" s="52"/>
      <c r="M49" s="52"/>
      <c r="N49" s="52"/>
      <c r="O49" s="52"/>
      <c r="P49" s="52"/>
      <c r="Q49" s="52"/>
    </row>
    <row r="50" spans="4:17" ht="20.100000000000001" customHeight="1" x14ac:dyDescent="0.25">
      <c r="D50" s="3" t="s">
        <v>157</v>
      </c>
      <c r="E50" s="105">
        <f>SUM(O33:O33)</f>
        <v>0.1158</v>
      </c>
      <c r="F50" s="2" t="str">
        <f t="shared" si="2"/>
        <v>t CO2-e</v>
      </c>
      <c r="H50" s="52"/>
      <c r="I50" s="52"/>
      <c r="J50" s="52"/>
      <c r="L50" s="52"/>
      <c r="M50" s="52"/>
      <c r="N50" s="52"/>
      <c r="O50" s="52"/>
      <c r="P50" s="52"/>
      <c r="Q50" s="52"/>
    </row>
    <row r="51" spans="4:17" ht="20.100000000000001" customHeight="1" x14ac:dyDescent="0.25">
      <c r="D51" s="3" t="s">
        <v>158</v>
      </c>
      <c r="E51" s="105">
        <f>SUM(P33:P33)</f>
        <v>0.193</v>
      </c>
      <c r="F51" s="2" t="str">
        <f t="shared" si="2"/>
        <v>t CO2-e</v>
      </c>
      <c r="H51" s="52"/>
      <c r="I51" s="52"/>
      <c r="J51" s="52"/>
      <c r="L51" s="52"/>
      <c r="M51" s="52"/>
      <c r="N51" s="52"/>
      <c r="O51" s="52"/>
      <c r="P51" s="52"/>
      <c r="Q51" s="52"/>
    </row>
    <row r="52" spans="4:17" ht="20.100000000000001" customHeight="1" x14ac:dyDescent="0.25">
      <c r="D52" s="3" t="s">
        <v>181</v>
      </c>
      <c r="E52" s="105">
        <f>SUM(Q33)</f>
        <v>6.6778000000000004</v>
      </c>
      <c r="F52" s="2" t="str">
        <f t="shared" si="2"/>
        <v>t CO2-e</v>
      </c>
      <c r="H52" s="52"/>
      <c r="I52" s="52"/>
      <c r="J52" s="52"/>
      <c r="L52" s="52"/>
      <c r="M52" s="52"/>
      <c r="N52" s="52"/>
      <c r="O52" s="52"/>
      <c r="P52" s="52"/>
      <c r="Q52" s="52"/>
    </row>
    <row r="53" spans="4:17" ht="20.100000000000001" customHeight="1" x14ac:dyDescent="0.25">
      <c r="D53" s="52"/>
      <c r="E53" s="98"/>
      <c r="F53" s="52"/>
      <c r="G53" s="52"/>
      <c r="H53" s="52"/>
      <c r="I53" s="52"/>
      <c r="J53" s="52"/>
      <c r="L53" s="52"/>
      <c r="M53" s="52"/>
      <c r="N53" s="52"/>
      <c r="O53" s="52"/>
      <c r="P53" s="52"/>
      <c r="Q53" s="52"/>
    </row>
    <row r="54" spans="4:17" ht="20.100000000000001" customHeight="1" x14ac:dyDescent="0.25">
      <c r="D54" s="94" t="str">
        <f>"Total scope 1 - " &amp; D34</f>
        <v>Total scope 1 - Aviation</v>
      </c>
      <c r="E54" s="97"/>
      <c r="F54" s="96"/>
      <c r="G54" s="52"/>
      <c r="H54" s="52"/>
      <c r="I54" s="52"/>
      <c r="J54" s="52"/>
      <c r="L54" s="52"/>
      <c r="M54" s="52"/>
      <c r="N54" s="52"/>
      <c r="O54" s="52"/>
      <c r="P54" s="52"/>
      <c r="Q54" s="52"/>
    </row>
    <row r="55" spans="4:17" ht="20.100000000000001" customHeight="1" x14ac:dyDescent="0.25">
      <c r="D55" s="3" t="s">
        <v>156</v>
      </c>
      <c r="E55" s="105">
        <f>SUM(N34:N36)</f>
        <v>0</v>
      </c>
      <c r="F55" s="2" t="str">
        <f t="shared" ref="F55:F58" si="3">$E$12</f>
        <v>t CO2-e</v>
      </c>
      <c r="G55" s="52"/>
      <c r="H55" s="52"/>
      <c r="I55" s="52"/>
      <c r="J55" s="52"/>
      <c r="L55" s="52"/>
      <c r="M55" s="52"/>
      <c r="N55" s="52"/>
      <c r="O55" s="52"/>
      <c r="P55" s="52"/>
      <c r="Q55" s="52"/>
    </row>
    <row r="56" spans="4:17" ht="20.100000000000001" customHeight="1" x14ac:dyDescent="0.25">
      <c r="D56" s="3" t="s">
        <v>157</v>
      </c>
      <c r="E56" s="105">
        <f>SUM(O34:O36)</f>
        <v>0</v>
      </c>
      <c r="F56" s="2" t="str">
        <f t="shared" si="3"/>
        <v>t CO2-e</v>
      </c>
      <c r="G56" s="52"/>
      <c r="H56" s="52"/>
      <c r="I56" s="52"/>
      <c r="J56" s="52"/>
      <c r="L56" s="52"/>
      <c r="M56" s="52"/>
      <c r="N56" s="52"/>
      <c r="O56" s="52"/>
      <c r="P56" s="52"/>
      <c r="Q56" s="52"/>
    </row>
    <row r="57" spans="4:17" ht="20.100000000000001" customHeight="1" x14ac:dyDescent="0.25">
      <c r="D57" s="3" t="s">
        <v>158</v>
      </c>
      <c r="E57" s="105">
        <f>SUM(P34:P36)</f>
        <v>0</v>
      </c>
      <c r="F57" s="2" t="str">
        <f t="shared" si="3"/>
        <v>t CO2-e</v>
      </c>
      <c r="G57" s="52"/>
      <c r="H57" s="52"/>
      <c r="I57" s="52"/>
      <c r="J57" s="52"/>
      <c r="L57" s="52"/>
      <c r="M57" s="52"/>
      <c r="N57" s="52"/>
      <c r="O57" s="52"/>
      <c r="P57" s="52"/>
      <c r="Q57" s="52"/>
    </row>
    <row r="58" spans="4:17" ht="20.100000000000001" customHeight="1" x14ac:dyDescent="0.25">
      <c r="D58" s="3" t="s">
        <v>181</v>
      </c>
      <c r="E58" s="105">
        <f>SUM(Q34:Q36)</f>
        <v>0</v>
      </c>
      <c r="F58" s="2" t="str">
        <f t="shared" si="3"/>
        <v>t CO2-e</v>
      </c>
      <c r="G58" s="52"/>
      <c r="H58" s="52"/>
      <c r="I58" s="52"/>
      <c r="J58" s="52"/>
      <c r="L58" s="52"/>
      <c r="M58" s="52"/>
      <c r="N58" s="52"/>
      <c r="O58" s="52"/>
      <c r="P58" s="52"/>
      <c r="Q58" s="52"/>
    </row>
    <row r="59" spans="4:17" ht="20.100000000000001" customHeight="1" x14ac:dyDescent="0.25">
      <c r="D59" s="52"/>
      <c r="E59" s="98"/>
      <c r="F59" s="52"/>
      <c r="G59" s="52"/>
      <c r="H59" s="52"/>
      <c r="I59" s="52"/>
      <c r="J59" s="52"/>
      <c r="L59" s="52"/>
      <c r="M59" s="52"/>
      <c r="N59" s="52"/>
      <c r="O59" s="52"/>
      <c r="P59" s="52"/>
      <c r="Q59" s="52"/>
    </row>
    <row r="60" spans="4:17" ht="20.100000000000001" customHeight="1" x14ac:dyDescent="0.25">
      <c r="D60" s="94" t="str">
        <f>"Total scope 1 - " &amp; D37</f>
        <v>Total scope 1 - Vessels</v>
      </c>
      <c r="E60" s="97"/>
      <c r="F60" s="96"/>
      <c r="G60" s="52"/>
      <c r="H60" s="52"/>
      <c r="I60" s="52"/>
      <c r="J60" s="52"/>
      <c r="L60" s="52"/>
      <c r="M60" s="52"/>
      <c r="N60" s="52"/>
      <c r="O60" s="52"/>
      <c r="P60" s="52"/>
      <c r="Q60" s="52"/>
    </row>
    <row r="61" spans="4:17" ht="20.100000000000001" customHeight="1" x14ac:dyDescent="0.25">
      <c r="D61" s="3" t="s">
        <v>156</v>
      </c>
      <c r="E61" s="105">
        <f>SUM(N37:N39)</f>
        <v>29.219199999999997</v>
      </c>
      <c r="F61" s="2" t="str">
        <f t="shared" ref="F61:F64" si="4">$E$12</f>
        <v>t CO2-e</v>
      </c>
      <c r="G61" s="52"/>
      <c r="H61" s="52"/>
      <c r="I61" s="52"/>
      <c r="J61" s="52"/>
      <c r="L61" s="52"/>
      <c r="M61" s="52"/>
      <c r="N61" s="52"/>
      <c r="O61" s="52"/>
      <c r="P61" s="52"/>
      <c r="Q61" s="52"/>
    </row>
    <row r="62" spans="4:17" ht="20.100000000000001" customHeight="1" x14ac:dyDescent="0.25">
      <c r="D62" s="3" t="s">
        <v>157</v>
      </c>
      <c r="E62" s="105">
        <f>SUM(O37:O39)</f>
        <v>7.9400000000000012E-2</v>
      </c>
      <c r="F62" s="2" t="str">
        <f t="shared" si="4"/>
        <v>t CO2-e</v>
      </c>
      <c r="G62" s="52"/>
      <c r="H62" s="52"/>
      <c r="I62" s="52"/>
      <c r="J62" s="52"/>
      <c r="L62" s="52"/>
      <c r="M62" s="52"/>
      <c r="N62" s="52"/>
      <c r="O62" s="52"/>
      <c r="P62" s="52"/>
      <c r="Q62" s="52"/>
    </row>
    <row r="63" spans="4:17" ht="20.100000000000001" customHeight="1" x14ac:dyDescent="0.25">
      <c r="D63" s="3" t="s">
        <v>158</v>
      </c>
      <c r="E63" s="105">
        <f>SUM(P37:P39)</f>
        <v>0.19850000000000001</v>
      </c>
      <c r="F63" s="2" t="str">
        <f t="shared" si="4"/>
        <v>t CO2-e</v>
      </c>
      <c r="G63" s="52"/>
      <c r="H63" s="52"/>
      <c r="I63" s="52"/>
      <c r="J63" s="52"/>
      <c r="L63" s="52"/>
      <c r="M63" s="52"/>
      <c r="N63" s="52"/>
      <c r="O63" s="52"/>
      <c r="P63" s="52"/>
      <c r="Q63" s="52"/>
    </row>
    <row r="64" spans="4:17" ht="20.100000000000001" customHeight="1" x14ac:dyDescent="0.25">
      <c r="D64" s="3" t="s">
        <v>181</v>
      </c>
      <c r="E64" s="105">
        <f>SUM(Q37:Q39)</f>
        <v>7.1459999999999999</v>
      </c>
      <c r="F64" s="2" t="str">
        <f t="shared" si="4"/>
        <v>t CO2-e</v>
      </c>
      <c r="G64" s="52"/>
      <c r="H64" s="52"/>
      <c r="I64" s="52"/>
      <c r="J64" s="52"/>
      <c r="L64" s="52"/>
      <c r="M64" s="52"/>
      <c r="N64" s="52"/>
      <c r="O64" s="52"/>
      <c r="P64" s="52"/>
      <c r="Q64" s="52"/>
    </row>
    <row r="65" spans="1:17" ht="20.100000000000001" customHeight="1" x14ac:dyDescent="0.25">
      <c r="G65" s="52"/>
      <c r="H65" s="52"/>
      <c r="I65" s="52"/>
      <c r="J65" s="52"/>
      <c r="L65" s="52"/>
      <c r="M65" s="52"/>
      <c r="N65" s="52"/>
      <c r="O65" s="52"/>
      <c r="P65" s="52"/>
      <c r="Q65" s="52"/>
    </row>
    <row r="66" spans="1:17" ht="20.100000000000001" customHeight="1" x14ac:dyDescent="0.25">
      <c r="D66" s="94" t="s">
        <v>176</v>
      </c>
      <c r="E66" s="99"/>
      <c r="F66" s="96"/>
      <c r="G66" s="52"/>
      <c r="H66" s="52"/>
      <c r="I66" s="52"/>
      <c r="J66" s="52"/>
      <c r="L66" s="52"/>
      <c r="M66" s="52"/>
      <c r="N66" s="52"/>
      <c r="O66" s="52"/>
      <c r="P66" s="52"/>
      <c r="Q66" s="52"/>
    </row>
    <row r="67" spans="1:17" ht="20.100000000000001" customHeight="1" x14ac:dyDescent="0.25">
      <c r="D67" s="3" t="s">
        <v>156</v>
      </c>
      <c r="E67" s="105">
        <f>E43+E49+E55+E61</f>
        <v>83.182000000000002</v>
      </c>
      <c r="F67" s="2" t="str">
        <f t="shared" ref="F67:F70" si="5">$E$12</f>
        <v>t CO2-e</v>
      </c>
      <c r="G67" s="52"/>
    </row>
    <row r="68" spans="1:17" ht="20.100000000000001" customHeight="1" x14ac:dyDescent="0.25">
      <c r="D68" s="3" t="s">
        <v>157</v>
      </c>
      <c r="E68" s="105">
        <f t="shared" ref="E68:E70" si="6">E44+E50+E56+E62</f>
        <v>0.19906000000000001</v>
      </c>
      <c r="F68" s="2" t="str">
        <f t="shared" si="5"/>
        <v>t CO2-e</v>
      </c>
      <c r="G68" s="52"/>
    </row>
    <row r="69" spans="1:17" ht="20.100000000000001" customHeight="1" x14ac:dyDescent="0.25">
      <c r="A69" s="63" t="str">
        <f>HYPERLINK("#A1", "▲ Back to top")</f>
        <v>▲ Back to top</v>
      </c>
      <c r="D69" s="3" t="s">
        <v>158</v>
      </c>
      <c r="E69" s="105">
        <f t="shared" si="6"/>
        <v>0.58450000000000002</v>
      </c>
      <c r="F69" s="2" t="str">
        <f t="shared" si="5"/>
        <v>t CO2-e</v>
      </c>
      <c r="G69" s="52"/>
    </row>
    <row r="70" spans="1:17" ht="20.100000000000001" customHeight="1" x14ac:dyDescent="0.25">
      <c r="D70" s="3" t="s">
        <v>181</v>
      </c>
      <c r="E70" s="105">
        <f t="shared" si="6"/>
        <v>20.5016</v>
      </c>
      <c r="F70" s="2" t="str">
        <f t="shared" si="5"/>
        <v>t CO2-e</v>
      </c>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63"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R165"/>
  <sheetViews>
    <sheetView showGridLines="0" tabSelected="1" topLeftCell="A33" zoomScaleNormal="100" workbookViewId="0">
      <selection activeCell="E58" sqref="E58"/>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8" t="e" vm="1">
        <v>#VALUE!</v>
      </c>
      <c r="C1" s="8" t="s">
        <v>110</v>
      </c>
    </row>
    <row r="2" spans="1:18" s="9" customFormat="1" ht="20.100000000000001" customHeight="1" x14ac:dyDescent="0.25">
      <c r="A2"/>
    </row>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Fuel_Equations.VEERG_8_2_1_1__1_FuelCombustionStationary_Title()</f>
        <v>Emissions for each GHG from the stationary combustion of fuels</v>
      </c>
      <c r="K5" s="6" t="str" cm="1">
        <f t="array" ref="K5">Scope3_Equations.VEERG_15_11_1_1__3_UpstreamStationaryFuelEmissions_Title()</f>
        <v>Upstream emissions from scope 1 stationary combustion fuel use</v>
      </c>
      <c r="O5" s="52"/>
      <c r="P5" s="52"/>
      <c r="Q5" s="52"/>
      <c r="R5" s="52"/>
    </row>
    <row r="6" spans="1:18" ht="20.100000000000001" customHeight="1" x14ac:dyDescent="0.25">
      <c r="A6" s="13"/>
      <c r="D6" s="5" t="str" cm="1">
        <f t="array" ref="D6">Fuel_Equations.VEERG_8_2_1_1__1_FuelCombustionStationary_Source()</f>
        <v>VEERG 2026: 8.2.1.1, Equation (1)</v>
      </c>
      <c r="K6" s="5" t="str" cm="1">
        <f t="array" ref="K6">Scope3_Equations.VEERG_15_11_1_1__3_UpstreamStationaryFuelEmissions_Source()</f>
        <v>VEERG 2026: 15.11.1.1, Equation (3)</v>
      </c>
      <c r="O6" s="52"/>
      <c r="P6" s="52"/>
      <c r="Q6" s="52"/>
      <c r="R6" s="52"/>
    </row>
    <row r="7" spans="1:18" ht="20.100000000000001" customHeight="1" x14ac:dyDescent="0.25">
      <c r="A7" s="17" t="s">
        <v>1</v>
      </c>
      <c r="D7" s="11" t="s">
        <v>10</v>
      </c>
      <c r="E7" s="11" t="str" cm="1">
        <f t="array" aca="1" ref="E7" ca="1">Common_InputFunctions.Utility_DisplayFunctionName(N25)</f>
        <v>=Fuel_Equations.VEERG_8_2_1_1__1_FuelCombustionStationary</v>
      </c>
      <c r="K7" s="34" t="str" cm="1">
        <f t="array" ref="K7">Scope3_Equations.VEERG_15_11_1_1__3_UpstreamStationaryFuelEmissions_Variation()</f>
        <v>VARIATION ON SOURCE: Added 'state' and 'metro/non-metro' arguments as gaseous scope 3 EFs are state and metro/non-metro location-based.</v>
      </c>
      <c r="O7" s="52"/>
      <c r="P7" s="52"/>
      <c r="Q7" s="52"/>
      <c r="R7" s="52"/>
    </row>
    <row r="8" spans="1:18" ht="20.100000000000001" customHeight="1" x14ac:dyDescent="0.25">
      <c r="A8" s="14" t="str">
        <f>HYPERLINK("#'Input - Fuel'!A1", "Fuel")</f>
        <v>Fuel</v>
      </c>
      <c r="K8" s="11" t="s">
        <v>10</v>
      </c>
      <c r="L8" s="11" t="str" cm="1">
        <f t="array" aca="1" ref="L8" ca="1">Common_InputFunctions.Utility_DisplayFunctionName(Q25)</f>
        <v>=Fuel_Equations.VEERG_8_2_1_1__1_FuelCombustionStationary</v>
      </c>
      <c r="O8" s="52"/>
      <c r="P8" s="52"/>
      <c r="Q8" s="52"/>
      <c r="R8" s="52"/>
    </row>
    <row r="9" spans="1:18" ht="20.100000000000001" customHeight="1" x14ac:dyDescent="0.25">
      <c r="A9" s="14"/>
      <c r="G9" s="5"/>
      <c r="O9" s="52"/>
      <c r="P9" s="52"/>
      <c r="Q9" s="52"/>
      <c r="R9" s="52"/>
    </row>
    <row r="10" spans="1:18" ht="20.100000000000001" customHeight="1" x14ac:dyDescent="0.25">
      <c r="A10" s="16" t="s">
        <v>45</v>
      </c>
      <c r="O10" s="52"/>
      <c r="P10" s="52"/>
      <c r="Q10" s="52"/>
      <c r="R10" s="52"/>
    </row>
    <row r="11" spans="1:18" ht="20.100000000000001" customHeight="1" x14ac:dyDescent="0.25">
      <c r="A11" s="14" t="str">
        <f>HYPERLINK("#'8.1.1.1-2 Transport fuel'!A1", "8.1.1.1-2 Transport fuel")</f>
        <v>8.1.1.1-2 Transport fuel</v>
      </c>
      <c r="D11" s="32" t="s">
        <v>13</v>
      </c>
      <c r="E11" s="1" t="str" cm="1">
        <f t="array" ref="E11">Fuel_Equations.VEERG_8_2_1_1__1_FuelCombustionStationary_Variable()</f>
        <v>E_g</v>
      </c>
      <c r="K11" s="32" t="s">
        <v>13</v>
      </c>
      <c r="L11" s="1" t="str" cm="1">
        <f t="array" ref="L11">Scope3_Equations.VEERG_15_11_1_1__3_UpstreamStationaryFuelEmissions_Variable()</f>
        <v>E_WTTSCq</v>
      </c>
      <c r="O11" s="52"/>
      <c r="P11" s="52"/>
      <c r="Q11" s="52"/>
      <c r="R11" s="52"/>
    </row>
    <row r="12" spans="1:18" ht="20.100000000000001" customHeight="1" x14ac:dyDescent="0.25">
      <c r="A12" s="71" t="str">
        <f>HYPERLINK("#'8.2.1.1-2 Stationary fuel'!A1", "8.2.1.1-2 Stationary fuel")</f>
        <v>8.2.1.1-2 Stationary fuel</v>
      </c>
      <c r="D12" s="32" t="s">
        <v>5</v>
      </c>
      <c r="E12" s="33" t="str" cm="1">
        <f t="array" ref="E12">Fuel_Equations.VEERG_8_2_1_1__1_FuelCombustionStationary_Unit()</f>
        <v>t CO2-e</v>
      </c>
      <c r="K12" s="32" t="s">
        <v>5</v>
      </c>
      <c r="L12" s="33" t="str" cm="1">
        <f t="array" ref="L12">Scope3_Equations.VEERG_15_11_1_1__3_UpstreamStationaryFuelEmissions_Unit()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_xlfn.CHOOSECOLS(Fuel_Equations.VEERG_8_2_1_1__1_FuelCombustionStationary_Arguments(), 1,2)</f>
        <v>Q_SCq</v>
      </c>
      <c r="E14" s="62" t="str">
        <v>Amount of fuel type q used for stationary combustion operations</v>
      </c>
      <c r="F14" s="61"/>
      <c r="G14" s="60" t="str" cm="1">
        <f t="array" ref="G14:H20">_xlfn.CHOOSECOLS(Fuel_Equations.VEERG_8_2_1_1__1_FuelCombustionStationary_Arguments(), 3,4)</f>
        <v>Varies based on fuel type: kL, m3, GJ</v>
      </c>
      <c r="H14" s="55" t="str">
        <v>Input</v>
      </c>
      <c r="I14" s="59" t="str" cm="1">
        <f t="array" aca="1" ref="I14" ca="1">HYPERLINK(Common_InputFunctions.Utility_SourceHyperlink($D$22), $D$22)</f>
        <v>Table_E_g</v>
      </c>
      <c r="K14" s="60" t="str" cm="1">
        <f t="array" ref="K14:L18">_xlfn.CHOOSECOLS(Scope3_Equations.VEERG_15_11_1_1__3_UpstreamStationaryFuelEmissions_Arguments(),1,2)</f>
        <v>Q_SCq</v>
      </c>
      <c r="L14" s="60" t="str">
        <v>amount of fuel q used for stationary combustion operations</v>
      </c>
      <c r="M14" s="60"/>
      <c r="N14" s="60" t="str" cm="1">
        <f t="array" ref="N14:O18">_xlfn.CHOOSECOLS(Scope3_Equations.VEERG_15_11_1_1__3_UpstreamStationaryFuelEmissions_Arguments(),3,4)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EC_SCq</v>
      </c>
      <c r="E15" s="62" t="str">
        <v>Energy content factor for stationary combustion operations</v>
      </c>
      <c r="F15" s="61"/>
      <c r="G15" s="60" t="str">
        <v>GJ / unit of fuel</v>
      </c>
      <c r="H15" s="54" t="str">
        <v>Constant</v>
      </c>
      <c r="I15" s="59" t="str" cm="1">
        <f t="array" aca="1" ref="I15" ca="1">HYPERLINK(Common_InputFunctions.Utility_SourceHyperlink($D$22), $D$22)</f>
        <v>Table_E_g</v>
      </c>
      <c r="K15" s="60" t="str">
        <v>EC_SCq</v>
      </c>
      <c r="L15" s="60" t="str">
        <v>energy content factor for stationary combustion operations</v>
      </c>
      <c r="M15" s="60"/>
      <c r="N15" s="60" t="str">
        <v>GJ/kL</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EF_SC1qg</v>
      </c>
      <c r="E16" s="62" t="str">
        <v>Scope 1 emission factor for stationary combustion for each greenhouse gas</v>
      </c>
      <c r="F16" s="61"/>
      <c r="G16" s="60" t="str">
        <v>kg CO2e / GJ</v>
      </c>
      <c r="H16" s="54" t="str">
        <v>Constant</v>
      </c>
      <c r="I16" s="59" t="str" cm="1">
        <f t="array" aca="1" ref="I16" ca="1">HYPERLINK(Common_InputFunctions.Utility_SourceHyperlink($D$22), $D$22)</f>
        <v>Table_E_g</v>
      </c>
      <c r="K16" s="60" t="str">
        <v>EF_SC3q</v>
      </c>
      <c r="L16" s="60" t="str">
        <v>scope 3 emission factor for stationary combustion operations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K17" s="60" t="str">
        <v>i</v>
      </c>
      <c r="L17" s="62" t="str">
        <v>state</v>
      </c>
      <c r="M17" s="61"/>
      <c r="N17" s="60" t="str">
        <v/>
      </c>
      <c r="O17" s="55" t="str">
        <v>Input</v>
      </c>
      <c r="P17" s="60" t="str">
        <f>X_Cell_Site_State</f>
        <v>Western Australia</v>
      </c>
      <c r="Q17" s="52"/>
    </row>
    <row r="18" spans="1:17" ht="20.100000000000001" customHeight="1" x14ac:dyDescent="0.25">
      <c r="D18" s="60" t="str">
        <v>SC</v>
      </c>
      <c r="E18" s="62" t="str">
        <v>Stationary combustion</v>
      </c>
      <c r="F18" s="61"/>
      <c r="G18" s="60" t="str">
        <v/>
      </c>
      <c r="H18" s="54" t="str">
        <v>Constant</v>
      </c>
      <c r="I18" s="59"/>
      <c r="J18" s="52"/>
      <c r="K18" s="60" t="str">
        <v>m</v>
      </c>
      <c r="L18" s="62" t="str">
        <v>metropolitan/non-metropolitan location</v>
      </c>
      <c r="M18" s="61"/>
      <c r="N18" s="60" t="str">
        <v/>
      </c>
      <c r="O18" s="55" t="str">
        <v>Input</v>
      </c>
      <c r="P18" s="60" t="str">
        <f>X_Cell_Fuel_IsMetroLocation</f>
        <v>Metro</v>
      </c>
      <c r="Q18" s="52"/>
    </row>
    <row r="19" spans="1:17" ht="20.100000000000001" customHeight="1" x14ac:dyDescent="0.25">
      <c r="D19" s="60" t="str">
        <v>g</v>
      </c>
      <c r="E19" s="62" t="str">
        <v>Greenhouse gas</v>
      </c>
      <c r="F19" s="61"/>
      <c r="G19" s="60" t="str">
        <v/>
      </c>
      <c r="H19" s="54" t="str">
        <v>Constant</v>
      </c>
      <c r="I19" s="59"/>
      <c r="J19" s="52"/>
      <c r="L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162</v>
      </c>
    </row>
    <row r="24" spans="1:17" ht="20.100000000000001" customHeight="1" x14ac:dyDescent="0.25">
      <c r="D24" s="30" t="s">
        <v>146</v>
      </c>
      <c r="E24" s="30" t="s">
        <v>159</v>
      </c>
      <c r="F24" s="30" t="s">
        <v>147</v>
      </c>
      <c r="G24" s="30" t="s">
        <v>163</v>
      </c>
      <c r="H24" s="30" t="s">
        <v>164</v>
      </c>
      <c r="I24" s="30" t="s">
        <v>165</v>
      </c>
      <c r="J24" s="30" t="s">
        <v>166</v>
      </c>
      <c r="K24" s="30" t="s">
        <v>183</v>
      </c>
      <c r="L24" s="53" t="s">
        <v>167</v>
      </c>
      <c r="M24" s="30" t="s">
        <v>152</v>
      </c>
      <c r="N24" s="30" t="s">
        <v>153</v>
      </c>
      <c r="O24" s="30" t="s">
        <v>154</v>
      </c>
      <c r="P24" s="30" t="s">
        <v>155</v>
      </c>
      <c r="Q24" s="30" t="s">
        <v>184</v>
      </c>
    </row>
    <row r="25" spans="1:17" ht="20.100000000000001" customHeight="1" x14ac:dyDescent="0.25">
      <c r="D25" s="3" t="str">
        <f>Table_FuelTypesPerUse[[#Headers],[Generators]]</f>
        <v>Generators</v>
      </c>
      <c r="E25" s="87" t="str">
        <f>'Constants - Fuel'!$D$58</f>
        <v>Automotive gasoline / petrol (other than for use as fuel in an aircraft)</v>
      </c>
      <c r="F25" s="87" t="str">
        <f>'Constants - Fuel'!D131</f>
        <v>Petrol</v>
      </c>
      <c r="G25" s="31">
        <f>IFERROR(_xlfn.XLOOKUP($E25, Table_Fuel_EFs_StationaryLiquid[Fuel combusted], Table_Fuel_EFs_StationaryLiquid[Energy Content Factor (GJ per unit of fuel)]),0)</f>
        <v>34.200000000000003</v>
      </c>
      <c r="H25" s="31">
        <f>IFERROR(_xlfn.XLOOKUP($E25, Table_Fuel_EFs_StationaryLiquid[Fuel combusted], Table_Fuel_EFs_StationaryLiquid[Scope 1 Emission Factor (kg CO2 - e / GJ) CO2]),0)</f>
        <v>67.400000000000006</v>
      </c>
      <c r="I25" s="31">
        <f>IFERROR(_xlfn.XLOOKUP($E25, Table_Fuel_EFs_StationaryLiquid[Fuel combusted], Table_Fuel_EFs_StationaryLiquid[Scope 1 Emission Factor (kg CO2 - e / GJ) CH4]),0)</f>
        <v>0.2</v>
      </c>
      <c r="J25" s="31">
        <f>IFERROR(_xlfn.XLOOKUP($E25, Table_Fuel_EFs_StationaryLiquid[Fuel combusted], Table_Fuel_EFs_StationaryLiquid[Scope 1 Emission Factor (kg CO2 - e / GJ) N2O]),0)</f>
        <v>0.2</v>
      </c>
      <c r="K25" s="31">
        <f>IFERROR(_xlfn.XLOOKUP($E25, Table_Fuel_EFs_StationaryLiquid[Fuel combusted], Table_Fuel_EFs_StationaryLiquid[Scope 3 Emission Factor (kg CO2 - e / GJ)]),0)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9" cm="1">
        <f t="array" ref="N25">Fuel_Equations.VEERG_8_2_1_1__1_FuelCombustionStationary($L25,$G25,H25)</f>
        <v>0</v>
      </c>
      <c r="O25" s="109" cm="1">
        <f t="array" ref="O25">Fuel_Equations.VEERG_8_2_1_1__1_FuelCombustionStationary($L25,$G25,I25)</f>
        <v>0</v>
      </c>
      <c r="P25" s="109" cm="1">
        <f t="array" ref="P25">Fuel_Equations.VEERG_8_2_1_1__1_FuelCombustionStationary($L25,$G25,J25)</f>
        <v>0</v>
      </c>
      <c r="Q25" s="109" cm="1">
        <f t="array" ref="Q25">Fuel_Equations.VEERG_8_2_1_1__1_FuelCombustionStationary($L25,$G25,IF(ISNUMBER(K25), K25, 0))</f>
        <v>0</v>
      </c>
    </row>
    <row r="26" spans="1:17" ht="20.100000000000001" customHeight="1" x14ac:dyDescent="0.25">
      <c r="D26" s="88" t="str">
        <f t="shared" ref="D26:D31" si="0">$D$25</f>
        <v>Generators</v>
      </c>
      <c r="E26" s="87" t="str">
        <f>'Constants - Fuel'!$D$63</f>
        <v>Diesel oil</v>
      </c>
      <c r="F26" s="87" t="str">
        <f>'Constants - Fuel'!D132</f>
        <v>Diesel</v>
      </c>
      <c r="G26" s="31">
        <f>IFERROR(_xlfn.XLOOKUP($E26, Table_Fuel_EFs_StationaryLiquid[Fuel combusted], Table_Fuel_EFs_StationaryLiquid[Energy Content Factor (GJ per unit of fuel)]),0)</f>
        <v>38.6</v>
      </c>
      <c r="H26" s="31">
        <f>IFERROR(_xlfn.XLOOKUP($E26, Table_Fuel_EFs_StationaryLiquid[Fuel combusted], Table_Fuel_EFs_StationaryLiquid[Scope 1 Emission Factor (kg CO2 - e / GJ) CO2]),0)</f>
        <v>69.900000000000006</v>
      </c>
      <c r="I26" s="31">
        <f>IFERROR(_xlfn.XLOOKUP($E26, Table_Fuel_EFs_StationaryLiquid[Fuel combusted], Table_Fuel_EFs_StationaryLiquid[Scope 1 Emission Factor (kg CO2 - e / GJ) CH4]),0)</f>
        <v>0.1</v>
      </c>
      <c r="J26" s="31">
        <f>IFERROR(_xlfn.XLOOKUP($E26, Table_Fuel_EFs_StationaryLiquid[Fuel combusted], Table_Fuel_EFs_StationaryLiquid[Scope 1 Emission Factor (kg CO2 - e / GJ) N2O]),0)</f>
        <v>0.2</v>
      </c>
      <c r="K26" s="31">
        <f>IFERROR(_xlfn.XLOOKUP($E26, Table_Fuel_EFs_StationaryLiquid[Fuel combusted], Table_Fuel_EFs_StationaryLiquid[Scope 3 Emission Factor (kg CO2 - e / GJ)]),0)</f>
        <v>17.3</v>
      </c>
      <c r="L26" s="64" cm="1">
        <f t="array" ref="L26">Fuel_InputFunctions.Fuel_TotalConsumption(Table_Input_Fuel[Amount consumed], Table_Input_Fuel[Fuel use (select)], D26, Table_Input_Fuel[Fuel type (select)],F26)</f>
        <v>0</v>
      </c>
      <c r="M26" s="64" t="str" cm="1">
        <f t="array" ref="M26">Common_InputFunctions.Utility_LookupValueInTable(F26,Table_FuelTypes_Units[Fuel type],Table_FuelTypes_Units[Unit])</f>
        <v>kL</v>
      </c>
      <c r="N26" s="109" cm="1">
        <f t="array" ref="N26">Fuel_Equations.VEERG_8_2_1_1__1_FuelCombustionStationary($L26,$G26,H26)</f>
        <v>0</v>
      </c>
      <c r="O26" s="109" cm="1">
        <f t="array" ref="O26">Fuel_Equations.VEERG_8_2_1_1__1_FuelCombustionStationary($L26,$G26,I26)</f>
        <v>0</v>
      </c>
      <c r="P26" s="109" cm="1">
        <f t="array" ref="P26">Fuel_Equations.VEERG_8_2_1_1__1_FuelCombustionStationary($L26,$G26,J26)</f>
        <v>0</v>
      </c>
      <c r="Q26" s="109" cm="1">
        <f t="array" ref="Q26">Fuel_Equations.VEERG_8_2_1_1__1_FuelCombustionStationary($L26,$G26,IF(ISNUMBER(K26), K26, 0))</f>
        <v>0</v>
      </c>
    </row>
    <row r="27" spans="1:17" ht="20.100000000000001" customHeight="1" x14ac:dyDescent="0.25">
      <c r="D27" s="88" t="str">
        <f t="shared" si="0"/>
        <v>Generators</v>
      </c>
      <c r="E27" s="87" t="str">
        <f>'Constants - Fuel'!$D$67</f>
        <v>Liquefied petroleum gas (LPG)</v>
      </c>
      <c r="F27" s="87" t="str">
        <f>'Constants - Fuel'!D133</f>
        <v>Liquefied petroleum gas (LPG)</v>
      </c>
      <c r="G27" s="31">
        <f>IFERROR(_xlfn.XLOOKUP($E27, Table_Fuel_EFs_StationaryLiquid[Fuel combusted], Table_Fuel_EFs_StationaryLiquid[Energy Content Factor (GJ per unit of fuel)]),0)</f>
        <v>25.7</v>
      </c>
      <c r="H27" s="31">
        <f>IFERROR(_xlfn.XLOOKUP($E27, Table_Fuel_EFs_StationaryLiquid[Fuel combusted], Table_Fuel_EFs_StationaryLiquid[Scope 1 Emission Factor (kg CO2 - e / GJ) CO2]),0)</f>
        <v>60.2</v>
      </c>
      <c r="I27" s="31">
        <f>IFERROR(_xlfn.XLOOKUP($E27, Table_Fuel_EFs_StationaryLiquid[Fuel combusted], Table_Fuel_EFs_StationaryLiquid[Scope 1 Emission Factor (kg CO2 - e / GJ) CH4]),0)</f>
        <v>0.2</v>
      </c>
      <c r="J27" s="31">
        <f>IFERROR(_xlfn.XLOOKUP($E27, Table_Fuel_EFs_StationaryLiquid[Fuel combusted], Table_Fuel_EFs_StationaryLiquid[Scope 1 Emission Factor (kg CO2 - e / GJ) N2O]),0)</f>
        <v>0.2</v>
      </c>
      <c r="K27" s="31">
        <f>IFERROR(_xlfn.XLOOKUP($E27, Table_Fuel_EFs_StationaryLiquid[Fuel combusted], Table_Fuel_EFs_StationaryLiquid[Scope 3 Emission Factor (kg CO2 - e / GJ)]),0)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9" cm="1">
        <f t="array" ref="N27">Fuel_Equations.VEERG_8_2_1_1__1_FuelCombustionStationary($L27,$G27,H27)</f>
        <v>0</v>
      </c>
      <c r="O27" s="109" cm="1">
        <f t="array" ref="O27">Fuel_Equations.VEERG_8_2_1_1__1_FuelCombustionStationary($L27,$G27,I27)</f>
        <v>0</v>
      </c>
      <c r="P27" s="109" cm="1">
        <f t="array" ref="P27">Fuel_Equations.VEERG_8_2_1_1__1_FuelCombustionStationary($L27,$G27,J27)</f>
        <v>0</v>
      </c>
      <c r="Q27" s="109" cm="1">
        <f t="array" ref="Q27">Fuel_Equations.VEERG_8_2_1_1__1_FuelCombustionStationary($L27,$G27,IF(ISNUMBER(K27), K27, 0))</f>
        <v>0</v>
      </c>
    </row>
    <row r="28" spans="1:17" ht="20.100000000000001" customHeight="1" x14ac:dyDescent="0.25">
      <c r="D28" s="88" t="str">
        <f t="shared" si="0"/>
        <v>Generators</v>
      </c>
      <c r="E28" s="87" t="str">
        <f>'Constants - Fuel'!$D$73</f>
        <v>Biodiesel</v>
      </c>
      <c r="F28" s="87" t="str">
        <f>'Constants - Fuel'!D134</f>
        <v>Biodiesel</v>
      </c>
      <c r="G28" s="31">
        <f>IFERROR(_xlfn.XLOOKUP($E28, Table_Fuel_EFs_StationaryLiquid[Fuel combusted], Table_Fuel_EFs_StationaryLiquid[Energy Content Factor (GJ per unit of fuel)]),0)</f>
        <v>34.6</v>
      </c>
      <c r="H28" s="31">
        <f>IFERROR(_xlfn.XLOOKUP($E28, Table_Fuel_EFs_StationaryLiquid[Fuel combusted], Table_Fuel_EFs_StationaryLiquid[Scope 1 Emission Factor (kg CO2 - e / GJ) CO2]),0)</f>
        <v>0</v>
      </c>
      <c r="I28" s="31">
        <f>IFERROR(_xlfn.XLOOKUP($E28, Table_Fuel_EFs_StationaryLiquid[Fuel combusted], Table_Fuel_EFs_StationaryLiquid[Scope 1 Emission Factor (kg CO2 - e / GJ) CH4]),0)</f>
        <v>0.08</v>
      </c>
      <c r="J28" s="31">
        <f>IFERROR(_xlfn.XLOOKUP($E28, Table_Fuel_EFs_StationaryLiquid[Fuel combusted], Table_Fuel_EFs_StationaryLiquid[Scope 1 Emission Factor (kg CO2 - e / GJ) N2O]),0)</f>
        <v>0.2</v>
      </c>
      <c r="K28" s="31" t="str">
        <f>IFERROR(_xlfn.XLOOKUP($E28, Table_Fuel_EFs_StationaryLiquid[Fuel combusted], Table_Fuel_EFs_StationaryLiquid[Scope 3 Emission Factor (kg CO2 - e / GJ)]),0)</f>
        <v>NE</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9" cm="1">
        <f t="array" ref="N28">Fuel_Equations.VEERG_8_2_1_1__1_FuelCombustionStationary($L28,$G28,H28)</f>
        <v>0</v>
      </c>
      <c r="O28" s="109" cm="1">
        <f t="array" ref="O28">Fuel_Equations.VEERG_8_2_1_1__1_FuelCombustionStationary($L28,$G28,I28)</f>
        <v>0</v>
      </c>
      <c r="P28" s="109" cm="1">
        <f t="array" ref="P28">Fuel_Equations.VEERG_8_2_1_1__1_FuelCombustionStationary($L28,$G28,J28)</f>
        <v>0</v>
      </c>
      <c r="Q28" s="109" cm="1">
        <f t="array" ref="Q28">Fuel_Equations.VEERG_8_2_1_1__1_FuelCombustionStationary($L28,$G28,IF(ISNUMBER(K28), K28, 0))</f>
        <v>0</v>
      </c>
    </row>
    <row r="29" spans="1:17" ht="20.100000000000001" customHeight="1" x14ac:dyDescent="0.25">
      <c r="D29" s="88" t="str">
        <f t="shared" si="0"/>
        <v>Generators</v>
      </c>
      <c r="E29" s="87" t="str">
        <f>'Constants - Fuel'!$D$74</f>
        <v>Ethanol for use as a fuel in an internal combustion engine</v>
      </c>
      <c r="F29" s="87" t="str">
        <f>'Constants - Fuel'!D135</f>
        <v>Ethanol</v>
      </c>
      <c r="G29" s="31">
        <f>IFERROR(_xlfn.XLOOKUP($E29, Table_Fuel_EFs_StationaryLiquid[Fuel combusted], Table_Fuel_EFs_StationaryLiquid[Energy Content Factor (GJ per unit of fuel)]),0)</f>
        <v>23.4</v>
      </c>
      <c r="H29" s="31">
        <f>IFERROR(_xlfn.XLOOKUP($E29, Table_Fuel_EFs_StationaryLiquid[Fuel combusted], Table_Fuel_EFs_StationaryLiquid[Scope 1 Emission Factor (kg CO2 - e / GJ) CO2]),0)</f>
        <v>0</v>
      </c>
      <c r="I29" s="31">
        <f>IFERROR(_xlfn.XLOOKUP($E29, Table_Fuel_EFs_StationaryLiquid[Fuel combusted], Table_Fuel_EFs_StationaryLiquid[Scope 1 Emission Factor (kg CO2 - e / GJ) CH4]),0)</f>
        <v>0.08</v>
      </c>
      <c r="J29" s="31">
        <f>IFERROR(_xlfn.XLOOKUP($E29, Table_Fuel_EFs_StationaryLiquid[Fuel combusted], Table_Fuel_EFs_StationaryLiquid[Scope 1 Emission Factor (kg CO2 - e / GJ) N2O]),0)</f>
        <v>0.2</v>
      </c>
      <c r="K29" s="31" t="str">
        <f>IFERROR(_xlfn.XLOOKUP($E29, Table_Fuel_EFs_StationaryLiquid[Fuel combusted], Table_Fuel_EFs_StationaryLiquid[Scope 3 Emission Factor (kg CO2 - e / GJ)]),0)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9" cm="1">
        <f t="array" ref="N29">Fuel_Equations.VEERG_8_2_1_1__1_FuelCombustionStationary($L29,$G29,H29)</f>
        <v>0</v>
      </c>
      <c r="O29" s="109" cm="1">
        <f t="array" ref="O29">Fuel_Equations.VEERG_8_2_1_1__1_FuelCombustionStationary($L29,$G29,I29)</f>
        <v>0</v>
      </c>
      <c r="P29" s="109" cm="1">
        <f t="array" ref="P29">Fuel_Equations.VEERG_8_2_1_1__1_FuelCombustionStationary($L29,$G29,J29)</f>
        <v>0</v>
      </c>
      <c r="Q29" s="109" cm="1">
        <f t="array" ref="Q29">Fuel_Equations.VEERG_8_2_1_1__1_FuelCombustionStationary($L29,$G29,IF(ISNUMBER(K29), K29, 0))</f>
        <v>0</v>
      </c>
    </row>
    <row r="30" spans="1:17" ht="20.100000000000001" customHeight="1" x14ac:dyDescent="0.25">
      <c r="D30" s="88" t="str">
        <f t="shared" si="0"/>
        <v>Generators</v>
      </c>
      <c r="E30" s="87" t="str">
        <f>'Constants - Fuel'!$D$75</f>
        <v>Biofuels other than those mentioned in the items above and below</v>
      </c>
      <c r="F30" s="87" t="str">
        <f>'Constants - Fuel'!D136</f>
        <v>Other biofuels</v>
      </c>
      <c r="G30" s="31">
        <f>IFERROR(_xlfn.XLOOKUP($E30, Table_Fuel_EFs_StationaryLiquid[Fuel combusted], Table_Fuel_EFs_StationaryLiquid[Energy Content Factor (GJ per unit of fuel)]),0)</f>
        <v>23.4</v>
      </c>
      <c r="H30" s="31">
        <f>IFERROR(_xlfn.XLOOKUP($E30, Table_Fuel_EFs_StationaryLiquid[Fuel combusted], Table_Fuel_EFs_StationaryLiquid[Scope 1 Emission Factor (kg CO2 - e / GJ) CO2]),0)</f>
        <v>0</v>
      </c>
      <c r="I30" s="31">
        <f>IFERROR(_xlfn.XLOOKUP($E30, Table_Fuel_EFs_StationaryLiquid[Fuel combusted], Table_Fuel_EFs_StationaryLiquid[Scope 1 Emission Factor (kg CO2 - e / GJ) CH4]),0)</f>
        <v>0.08</v>
      </c>
      <c r="J30" s="31">
        <f>IFERROR(_xlfn.XLOOKUP($E30, Table_Fuel_EFs_StationaryLiquid[Fuel combusted], Table_Fuel_EFs_StationaryLiquid[Scope 1 Emission Factor (kg CO2 - e / GJ) N2O]),0)</f>
        <v>0.2</v>
      </c>
      <c r="K30" s="31" t="str">
        <f>IFERROR(_xlfn.XLOOKUP($E30, Table_Fuel_EFs_StationaryLiquid[Fuel combusted], Table_Fuel_EFs_StationaryLiquid[Scope 3 Emission Factor (kg CO2 - e / GJ)]),0)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9" cm="1">
        <f t="array" ref="N30">Fuel_Equations.VEERG_8_2_1_1__1_FuelCombustionStationary($L30,$G30,H30)</f>
        <v>0</v>
      </c>
      <c r="O30" s="109" cm="1">
        <f t="array" ref="O30">Fuel_Equations.VEERG_8_2_1_1__1_FuelCombustionStationary($L30,$G30,I30)</f>
        <v>0</v>
      </c>
      <c r="P30" s="109" cm="1">
        <f t="array" ref="P30">Fuel_Equations.VEERG_8_2_1_1__1_FuelCombustionStationary($L30,$G30,J30)</f>
        <v>0</v>
      </c>
      <c r="Q30" s="109" cm="1">
        <f t="array" ref="Q30">Fuel_Equations.VEERG_8_2_1_1__1_FuelCombustionStationary($L30,$G30,IF(ISNUMBER(K30), K30, 0))</f>
        <v>0</v>
      </c>
    </row>
    <row r="31" spans="1:17" ht="20.100000000000001" customHeight="1" x14ac:dyDescent="0.25">
      <c r="D31" s="88" t="str">
        <f t="shared" si="0"/>
        <v>Generators</v>
      </c>
      <c r="E31" s="87" t="str">
        <f>'Constants - Fuel'!$D$77</f>
        <v>Renewable diesel</v>
      </c>
      <c r="F31" s="87" t="str">
        <f>'Constants - Fuel'!D137</f>
        <v>Renewable diesel</v>
      </c>
      <c r="G31" s="101">
        <f>IFERROR(_xlfn.XLOOKUP($E31, Table_Fuel_EFs_StationaryLiquid[Fuel combusted], Table_Fuel_EFs_StationaryLiquid[Energy Content Factor (GJ per unit of fuel)]),0)</f>
        <v>38.6</v>
      </c>
      <c r="H31" s="101">
        <f>IFERROR(_xlfn.XLOOKUP($E31, Table_Fuel_EFs_StationaryLiquid[Fuel combusted], Table_Fuel_EFs_StationaryLiquid[Scope 1 Emission Factor (kg CO2 - e / GJ) CO2]),0)</f>
        <v>0</v>
      </c>
      <c r="I31" s="101">
        <f>IFERROR(_xlfn.XLOOKUP($E31, Table_Fuel_EFs_StationaryLiquid[Fuel combusted], Table_Fuel_EFs_StationaryLiquid[Scope 1 Emission Factor (kg CO2 - e / GJ) CH4]),0)</f>
        <v>0.1</v>
      </c>
      <c r="J31" s="101">
        <f>IFERROR(_xlfn.XLOOKUP($E31, Table_Fuel_EFs_StationaryLiquid[Fuel combusted], Table_Fuel_EFs_StationaryLiquid[Scope 1 Emission Factor (kg CO2 - e / GJ) N2O]),0)</f>
        <v>0.2</v>
      </c>
      <c r="K31" s="101" t="str">
        <f>IFERROR(_xlfn.XLOOKUP($E31, Table_Fuel_EFs_StationaryLiquid[Fuel combusted], Table_Fuel_EFs_StationaryLiquid[Scope 3 Emission Factor (kg CO2 - e / GJ)]),0)</f>
        <v>NE</v>
      </c>
      <c r="L31" s="89" cm="1">
        <f t="array" ref="L31">Fuel_InputFunctions.Fuel_TotalConsumption(Table_Input_Fuel[Amount consumed], Table_Input_Fuel[Fuel use (select)], D31, Table_Input_Fuel[Fuel type (select)],F31)</f>
        <v>0</v>
      </c>
      <c r="M31" s="89" t="str" cm="1">
        <f t="array" ref="M31">Common_InputFunctions.Utility_LookupValueInTable(F31,Table_FuelTypes_Units[Fuel type],Table_FuelTypes_Units[Unit])</f>
        <v>kL</v>
      </c>
      <c r="N31" s="110" cm="1">
        <f t="array" ref="N31">Fuel_Equations.VEERG_8_2_1_1__1_FuelCombustionStationary($L31,$G31,H31)</f>
        <v>0</v>
      </c>
      <c r="O31" s="110" cm="1">
        <f t="array" ref="O31">Fuel_Equations.VEERG_8_2_1_1__1_FuelCombustionStationary($L31,$G31,I31)</f>
        <v>0</v>
      </c>
      <c r="P31" s="110" cm="1">
        <f t="array" ref="P31">Fuel_Equations.VEERG_8_2_1_1__1_FuelCombustionStationary($L31,$G31,J31)</f>
        <v>0</v>
      </c>
      <c r="Q31" s="110" cm="1">
        <f t="array" ref="Q31">Fuel_Equations.VEERG_8_2_1_1__1_FuelCombustionStationary($L31,$G31,IF(ISNUMBER(K31), K31, 0))</f>
        <v>0</v>
      </c>
    </row>
    <row r="32" spans="1:17" ht="20.100000000000001" customHeight="1" x14ac:dyDescent="0.25">
      <c r="D32" s="90" t="str">
        <f>Table_FuelTypesPerUse[[#Headers],[Power standalone machinery or heating]]</f>
        <v>Power standalone machinery or heating</v>
      </c>
      <c r="E32" s="91" t="str">
        <f>'Constants - Fuel'!$D$58</f>
        <v>Automotive gasoline / petrol (other than for use as fuel in an aircraft)</v>
      </c>
      <c r="F32" s="91" t="str">
        <f>'Constants - Fuel'!E131</f>
        <v>Petrol</v>
      </c>
      <c r="G32" s="103">
        <f>IFERROR(_xlfn.XLOOKUP($E32, Table_Fuel_EFs_StationaryLiquid[Fuel combusted], Table_Fuel_EFs_StationaryLiquid[Energy Content Factor (GJ per unit of fuel)]),0)</f>
        <v>34.200000000000003</v>
      </c>
      <c r="H32" s="103">
        <f>IFERROR(_xlfn.XLOOKUP($E32, Table_Fuel_EFs_StationaryLiquid[Fuel combusted], Table_Fuel_EFs_StationaryLiquid[Scope 1 Emission Factor (kg CO2 - e / GJ) CO2]),0)</f>
        <v>67.400000000000006</v>
      </c>
      <c r="I32" s="103">
        <f>IFERROR(_xlfn.XLOOKUP($E32, Table_Fuel_EFs_StationaryLiquid[Fuel combusted], Table_Fuel_EFs_StationaryLiquid[Scope 1 Emission Factor (kg CO2 - e / GJ) CH4]),0)</f>
        <v>0.2</v>
      </c>
      <c r="J32" s="103">
        <f>IFERROR(_xlfn.XLOOKUP($E32, Table_Fuel_EFs_StationaryLiquid[Fuel combusted], Table_Fuel_EFs_StationaryLiquid[Scope 1 Emission Factor (kg CO2 - e / GJ) N2O]),0)</f>
        <v>0.2</v>
      </c>
      <c r="K32" s="103">
        <f>IFERROR(_xlfn.XLOOKUP($E32, Table_Fuel_EFs_StationaryLiquid[Fuel combusted], Table_Fuel_EFs_StationaryLiquid[Scope 3 Emission Factor (kg CO2 - e / GJ)]),0)</f>
        <v>17.2</v>
      </c>
      <c r="L32" s="104" cm="1">
        <f t="array" ref="L32">Fuel_InputFunctions.Fuel_TotalConsumption(Table_Input_Fuel[Amount consumed], Table_Input_Fuel[Fuel use (select)], D32, Table_Input_Fuel[Fuel type (select)],F32)</f>
        <v>10</v>
      </c>
      <c r="M32" s="92" t="str" cm="1">
        <f t="array" ref="M32">Common_InputFunctions.Utility_LookupValueInTable(F32,Table_FuelTypes_Units[Fuel type],Table_FuelTypes_Units[Unit])</f>
        <v>kL</v>
      </c>
      <c r="N32" s="111" cm="1">
        <f t="array" ref="N32">Fuel_Equations.VEERG_8_2_1_1__1_FuelCombustionStationary($L32,$G32,H32)</f>
        <v>23.050800000000002</v>
      </c>
      <c r="O32" s="111" cm="1">
        <f t="array" ref="O32">Fuel_Equations.VEERG_8_2_1_1__1_FuelCombustionStationary($L32,$G32,I32)</f>
        <v>6.8400000000000002E-2</v>
      </c>
      <c r="P32" s="111" cm="1">
        <f t="array" ref="P32">Fuel_Equations.VEERG_8_2_1_1__1_FuelCombustionStationary($L32,$G32,J32)</f>
        <v>6.8400000000000002E-2</v>
      </c>
      <c r="Q32" s="111" cm="1">
        <f t="array" ref="Q32">Fuel_Equations.VEERG_8_2_1_1__1_FuelCombustionStationary($L32,$G32,IF(ISNUMBER(K32), K32, 0))</f>
        <v>5.8823999999999996</v>
      </c>
    </row>
    <row r="33" spans="1:17" ht="20.100000000000001" customHeight="1" x14ac:dyDescent="0.25">
      <c r="D33" s="88" t="str">
        <f t="shared" ref="D33:D40" si="1">$D$32</f>
        <v>Power standalone machinery or heating</v>
      </c>
      <c r="E33" s="87" t="str">
        <f>'Constants - Fuel'!$D$63</f>
        <v>Diesel oil</v>
      </c>
      <c r="F33" s="87" t="str">
        <f>'Constants - Fuel'!E132</f>
        <v>Diesel</v>
      </c>
      <c r="G33" s="31">
        <f>IFERROR(_xlfn.XLOOKUP($E33, Table_Fuel_EFs_StationaryLiquid[Fuel combusted], Table_Fuel_EFs_StationaryLiquid[Energy Content Factor (GJ per unit of fuel)]),0)</f>
        <v>38.6</v>
      </c>
      <c r="H33" s="31">
        <f>IFERROR(_xlfn.XLOOKUP($E33, Table_Fuel_EFs_StationaryLiquid[Fuel combusted], Table_Fuel_EFs_StationaryLiquid[Scope 1 Emission Factor (kg CO2 - e / GJ) CO2]),0)</f>
        <v>69.900000000000006</v>
      </c>
      <c r="I33" s="31">
        <f>IFERROR(_xlfn.XLOOKUP($E33, Table_Fuel_EFs_StationaryLiquid[Fuel combusted], Table_Fuel_EFs_StationaryLiquid[Scope 1 Emission Factor (kg CO2 - e / GJ) CH4]),0)</f>
        <v>0.1</v>
      </c>
      <c r="J33" s="31">
        <f>IFERROR(_xlfn.XLOOKUP($E33, Table_Fuel_EFs_StationaryLiquid[Fuel combusted], Table_Fuel_EFs_StationaryLiquid[Scope 1 Emission Factor (kg CO2 - e / GJ) N2O]),0)</f>
        <v>0.2</v>
      </c>
      <c r="K33" s="31">
        <f>IFERROR(_xlfn.XLOOKUP($E33, Table_Fuel_EFs_StationaryLiquid[Fuel combusted], Table_Fuel_EFs_StationaryLiquid[Scope 3 Emission Factor (kg CO2 - e / GJ)]),0)</f>
        <v>17.3</v>
      </c>
      <c r="L33" s="31" cm="1">
        <f t="array" ref="L33">Fuel_InputFunctions.Fuel_TotalConsumption(Table_Input_Fuel[Amount consumed], Table_Input_Fuel[Fuel use (select)], D33, Table_Input_Fuel[Fuel type (select)],F33)</f>
        <v>0</v>
      </c>
      <c r="M33" s="31" t="str" cm="1">
        <f t="array" ref="M33">Common_InputFunctions.Utility_LookupValueInTable(F33,Table_FuelTypes_Units[Fuel type],Table_FuelTypes_Units[Unit])</f>
        <v>kL</v>
      </c>
      <c r="N33" s="109" cm="1">
        <f t="array" ref="N33">Fuel_Equations.VEERG_8_2_1_1__1_FuelCombustionStationary($L33,$G33,H33)</f>
        <v>0</v>
      </c>
      <c r="O33" s="109" cm="1">
        <f t="array" ref="O33">Fuel_Equations.VEERG_8_2_1_1__1_FuelCombustionStationary($L33,$G33,I33)</f>
        <v>0</v>
      </c>
      <c r="P33" s="109" cm="1">
        <f t="array" ref="P33">Fuel_Equations.VEERG_8_2_1_1__1_FuelCombustionStationary($L33,$G33,J33)</f>
        <v>0</v>
      </c>
      <c r="Q33" s="109" cm="1">
        <f t="array" ref="Q33">Fuel_Equations.VEERG_8_2_1_1__1_FuelCombustionStationary($L33,$G33,IF(ISNUMBER(K33), K33, 0))</f>
        <v>0</v>
      </c>
    </row>
    <row r="34" spans="1:17" ht="20.100000000000001" customHeight="1" x14ac:dyDescent="0.25">
      <c r="D34" s="88" t="str">
        <f t="shared" si="1"/>
        <v>Power standalone machinery or heating</v>
      </c>
      <c r="E34" s="87" t="str">
        <f>'Constants - Fuel'!$D$67</f>
        <v>Liquefied petroleum gas (LPG)</v>
      </c>
      <c r="F34" s="87" t="str">
        <f>'Constants - Fuel'!E133</f>
        <v>Liquefied petroleum gas (LPG)</v>
      </c>
      <c r="G34" s="31">
        <f>IFERROR(_xlfn.XLOOKUP($E34, Table_Fuel_EFs_StationaryLiquid[Fuel combusted], Table_Fuel_EFs_StationaryLiquid[Energy Content Factor (GJ per unit of fuel)]),0)</f>
        <v>25.7</v>
      </c>
      <c r="H34" s="31">
        <f>IFERROR(_xlfn.XLOOKUP($E34, Table_Fuel_EFs_StationaryLiquid[Fuel combusted], Table_Fuel_EFs_StationaryLiquid[Scope 1 Emission Factor (kg CO2 - e / GJ) CO2]),0)</f>
        <v>60.2</v>
      </c>
      <c r="I34" s="31">
        <f>IFERROR(_xlfn.XLOOKUP($E34, Table_Fuel_EFs_StationaryLiquid[Fuel combusted], Table_Fuel_EFs_StationaryLiquid[Scope 1 Emission Factor (kg CO2 - e / GJ) CH4]),0)</f>
        <v>0.2</v>
      </c>
      <c r="J34" s="31">
        <f>IFERROR(_xlfn.XLOOKUP($E34, Table_Fuel_EFs_StationaryLiquid[Fuel combusted], Table_Fuel_EFs_StationaryLiquid[Scope 1 Emission Factor (kg CO2 - e / GJ) N2O]),0)</f>
        <v>0.2</v>
      </c>
      <c r="K34" s="31">
        <f>IFERROR(_xlfn.XLOOKUP($E34, Table_Fuel_EFs_StationaryLiquid[Fuel combusted], Table_Fuel_EFs_StationaryLiquid[Scope 3 Emission Factor (kg CO2 - e / GJ)]),0)</f>
        <v>20.2</v>
      </c>
      <c r="L34" s="31" cm="1">
        <f t="array" ref="L34">Fuel_InputFunctions.Fuel_TotalConsumption(Table_Input_Fuel[Amount consumed], Table_Input_Fuel[Fuel use (select)], D34, Table_Input_Fuel[Fuel type (select)],F34)</f>
        <v>0</v>
      </c>
      <c r="M34" s="31" t="str" cm="1">
        <f t="array" ref="M34">Common_InputFunctions.Utility_LookupValueInTable(F34,Table_FuelTypes_Units[Fuel type],Table_FuelTypes_Units[Unit])</f>
        <v>kL</v>
      </c>
      <c r="N34" s="109" cm="1">
        <f t="array" ref="N34">Fuel_Equations.VEERG_8_2_1_1__1_FuelCombustionStationary($L34,$G34,H34)</f>
        <v>0</v>
      </c>
      <c r="O34" s="109" cm="1">
        <f t="array" ref="O34">Fuel_Equations.VEERG_8_2_1_1__1_FuelCombustionStationary($L34,$G34,I34)</f>
        <v>0</v>
      </c>
      <c r="P34" s="109" cm="1">
        <f t="array" ref="P34">Fuel_Equations.VEERG_8_2_1_1__1_FuelCombustionStationary($L34,$G34,J34)</f>
        <v>0</v>
      </c>
      <c r="Q34" s="109" cm="1">
        <f t="array" ref="Q34">Fuel_Equations.VEERG_8_2_1_1__1_FuelCombustionStationary($L34,$G34,IF(ISNUMBER(K34), K34, 0))</f>
        <v>0</v>
      </c>
    </row>
    <row r="35" spans="1:17" ht="20.100000000000001" customHeight="1" x14ac:dyDescent="0.25">
      <c r="D35" s="88" t="str">
        <f t="shared" si="1"/>
        <v>Power standalone machinery or heating</v>
      </c>
      <c r="E35" s="87" t="str">
        <f>'Constants - Fuel'!$D$73</f>
        <v>Biodiesel</v>
      </c>
      <c r="F35" s="87" t="str">
        <f>'Constants - Fuel'!E134</f>
        <v>Biodiesel</v>
      </c>
      <c r="G35" s="31">
        <f>IFERROR(_xlfn.XLOOKUP($E35, Table_Fuel_EFs_StationaryLiquid[Fuel combusted], Table_Fuel_EFs_StationaryLiquid[Energy Content Factor (GJ per unit of fuel)]),0)</f>
        <v>34.6</v>
      </c>
      <c r="H35" s="31">
        <f>IFERROR(_xlfn.XLOOKUP($E35, Table_Fuel_EFs_StationaryLiquid[Fuel combusted], Table_Fuel_EFs_StationaryLiquid[Scope 1 Emission Factor (kg CO2 - e / GJ) CO2]),0)</f>
        <v>0</v>
      </c>
      <c r="I35" s="31">
        <f>IFERROR(_xlfn.XLOOKUP($E35, Table_Fuel_EFs_StationaryLiquid[Fuel combusted], Table_Fuel_EFs_StationaryLiquid[Scope 1 Emission Factor (kg CO2 - e / GJ) CH4]),0)</f>
        <v>0.08</v>
      </c>
      <c r="J35" s="31">
        <f>IFERROR(_xlfn.XLOOKUP($E35, Table_Fuel_EFs_StationaryLiquid[Fuel combusted], Table_Fuel_EFs_StationaryLiquid[Scope 1 Emission Factor (kg CO2 - e / GJ) N2O]),0)</f>
        <v>0.2</v>
      </c>
      <c r="K35" s="31" t="str">
        <f>IFERROR(_xlfn.XLOOKUP($E35, Table_Fuel_EFs_StationaryLiquid[Fuel combusted], Table_Fuel_EFs_StationaryLiquid[Scope 3 Emission Factor (kg CO2 - e / GJ)]),0)</f>
        <v>NE</v>
      </c>
      <c r="L35" s="31" cm="1">
        <f t="array" ref="L35">Fuel_InputFunctions.Fuel_TotalConsumption(Table_Input_Fuel[Amount consumed], Table_Input_Fuel[Fuel use (select)], D35, Table_Input_Fuel[Fuel type (select)],F35)</f>
        <v>0</v>
      </c>
      <c r="M35" s="31" t="str" cm="1">
        <f t="array" ref="M35">Common_InputFunctions.Utility_LookupValueInTable(F35,Table_FuelTypes_Units[Fuel type],Table_FuelTypes_Units[Unit])</f>
        <v>kL</v>
      </c>
      <c r="N35" s="109" cm="1">
        <f t="array" ref="N35">Fuel_Equations.VEERG_8_2_1_1__1_FuelCombustionStationary($L35,$G35,H35)</f>
        <v>0</v>
      </c>
      <c r="O35" s="109" cm="1">
        <f t="array" ref="O35">Fuel_Equations.VEERG_8_2_1_1__1_FuelCombustionStationary($L35,$G35,I35)</f>
        <v>0</v>
      </c>
      <c r="P35" s="109" cm="1">
        <f t="array" ref="P35">Fuel_Equations.VEERG_8_2_1_1__1_FuelCombustionStationary($L35,$G35,J35)</f>
        <v>0</v>
      </c>
      <c r="Q35" s="109" cm="1">
        <f t="array" ref="Q35">Fuel_Equations.VEERG_8_2_1_1__1_FuelCombustionStationary($L35,$G35,IF(ISNUMBER(K35), K35, 0))</f>
        <v>0</v>
      </c>
    </row>
    <row r="36" spans="1:17" ht="20.100000000000001" customHeight="1" x14ac:dyDescent="0.25">
      <c r="D36" s="88" t="str">
        <f t="shared" si="1"/>
        <v>Power standalone machinery or heating</v>
      </c>
      <c r="E36" s="87" t="str">
        <f>'Constants - Fuel'!$D$74</f>
        <v>Ethanol for use as a fuel in an internal combustion engine</v>
      </c>
      <c r="F36" s="87" t="str">
        <f>'Constants - Fuel'!E135</f>
        <v>Ethanol</v>
      </c>
      <c r="G36" s="31">
        <f>IFERROR(_xlfn.XLOOKUP($E36, Table_Fuel_EFs_StationaryLiquid[Fuel combusted], Table_Fuel_EFs_StationaryLiquid[Energy Content Factor (GJ per unit of fuel)]),0)</f>
        <v>23.4</v>
      </c>
      <c r="H36" s="31">
        <f>IFERROR(_xlfn.XLOOKUP($E36, Table_Fuel_EFs_StationaryLiquid[Fuel combusted], Table_Fuel_EFs_StationaryLiquid[Scope 1 Emission Factor (kg CO2 - e / GJ) CO2]),0)</f>
        <v>0</v>
      </c>
      <c r="I36" s="31">
        <f>IFERROR(_xlfn.XLOOKUP($E36, Table_Fuel_EFs_StationaryLiquid[Fuel combusted], Table_Fuel_EFs_StationaryLiquid[Scope 1 Emission Factor (kg CO2 - e / GJ) CH4]),0)</f>
        <v>0.08</v>
      </c>
      <c r="J36" s="31">
        <f>IFERROR(_xlfn.XLOOKUP($E36, Table_Fuel_EFs_StationaryLiquid[Fuel combusted], Table_Fuel_EFs_StationaryLiquid[Scope 1 Emission Factor (kg CO2 - e / GJ) N2O]),0)</f>
        <v>0.2</v>
      </c>
      <c r="K36" s="31" t="str">
        <f>IFERROR(_xlfn.XLOOKUP($E36, Table_Fuel_EFs_StationaryLiquid[Fuel combusted], Table_Fuel_EFs_StationaryLiquid[Scope 3 Emission Factor (kg CO2 - e / GJ)]),0)</f>
        <v>NE</v>
      </c>
      <c r="L36" s="31" cm="1">
        <f t="array" ref="L36">Fuel_InputFunctions.Fuel_TotalConsumption(Table_Input_Fuel[Amount consumed], Table_Input_Fuel[Fuel use (select)], D36, Table_Input_Fuel[Fuel type (select)],F36)</f>
        <v>0</v>
      </c>
      <c r="M36" s="31" t="str" cm="1">
        <f t="array" ref="M36">Common_InputFunctions.Utility_LookupValueInTable(F36,Table_FuelTypes_Units[Fuel type],Table_FuelTypes_Units[Unit])</f>
        <v>kL</v>
      </c>
      <c r="N36" s="109" cm="1">
        <f t="array" ref="N36">Fuel_Equations.VEERG_8_2_1_1__1_FuelCombustionStationary($L36,$G36,H36)</f>
        <v>0</v>
      </c>
      <c r="O36" s="109" cm="1">
        <f t="array" ref="O36">Fuel_Equations.VEERG_8_2_1_1__1_FuelCombustionStationary($L36,$G36,I36)</f>
        <v>0</v>
      </c>
      <c r="P36" s="109" cm="1">
        <f t="array" ref="P36">Fuel_Equations.VEERG_8_2_1_1__1_FuelCombustionStationary($L36,$G36,J36)</f>
        <v>0</v>
      </c>
      <c r="Q36" s="109" cm="1">
        <f t="array" ref="Q36">Fuel_Equations.VEERG_8_2_1_1__1_FuelCombustionStationary($L36,$G36,IF(ISNUMBER(K36), K36, 0))</f>
        <v>0</v>
      </c>
    </row>
    <row r="37" spans="1:17" ht="20.100000000000001" customHeight="1" x14ac:dyDescent="0.25">
      <c r="D37" s="88" t="str">
        <f t="shared" si="1"/>
        <v>Power standalone machinery or heating</v>
      </c>
      <c r="E37" s="87" t="str">
        <f>'Constants - Fuel'!$D$75</f>
        <v>Biofuels other than those mentioned in the items above and below</v>
      </c>
      <c r="F37" s="87" t="str">
        <f>'Constants - Fuel'!E136</f>
        <v>Other biofuels</v>
      </c>
      <c r="G37" s="31">
        <f>IFERROR(_xlfn.XLOOKUP($E37, Table_Fuel_EFs_StationaryLiquid[Fuel combusted], Table_Fuel_EFs_StationaryLiquid[Energy Content Factor (GJ per unit of fuel)]),0)</f>
        <v>23.4</v>
      </c>
      <c r="H37" s="31">
        <f>IFERROR(_xlfn.XLOOKUP($E37, Table_Fuel_EFs_StationaryLiquid[Fuel combusted], Table_Fuel_EFs_StationaryLiquid[Scope 1 Emission Factor (kg CO2 - e / GJ) CO2]),0)</f>
        <v>0</v>
      </c>
      <c r="I37" s="31">
        <f>IFERROR(_xlfn.XLOOKUP($E37, Table_Fuel_EFs_StationaryLiquid[Fuel combusted], Table_Fuel_EFs_StationaryLiquid[Scope 1 Emission Factor (kg CO2 - e / GJ) CH4]),0)</f>
        <v>0.08</v>
      </c>
      <c r="J37" s="31">
        <f>IFERROR(_xlfn.XLOOKUP($E37, Table_Fuel_EFs_StationaryLiquid[Fuel combusted], Table_Fuel_EFs_StationaryLiquid[Scope 1 Emission Factor (kg CO2 - e / GJ) N2O]),0)</f>
        <v>0.2</v>
      </c>
      <c r="K37" s="31" t="str">
        <f>IFERROR(_xlfn.XLOOKUP($E37, Table_Fuel_EFs_StationaryLiquid[Fuel combusted], Table_Fuel_EFs_StationaryLiquid[Scope 3 Emission Factor (kg CO2 - e / GJ)]),0)</f>
        <v>NE</v>
      </c>
      <c r="L37" s="31" cm="1">
        <f t="array" ref="L37">Fuel_InputFunctions.Fuel_TotalConsumption(Table_Input_Fuel[Amount consumed], Table_Input_Fuel[Fuel use (select)], D37, Table_Input_Fuel[Fuel type (select)],F37)</f>
        <v>0</v>
      </c>
      <c r="M37" s="31" t="str" cm="1">
        <f t="array" ref="M37">Common_InputFunctions.Utility_LookupValueInTable(F37,Table_FuelTypes_Units[Fuel type],Table_FuelTypes_Units[Unit])</f>
        <v>kL</v>
      </c>
      <c r="N37" s="109" cm="1">
        <f t="array" ref="N37">Fuel_Equations.VEERG_8_2_1_1__1_FuelCombustionStationary($L37,$G37,H37)</f>
        <v>0</v>
      </c>
      <c r="O37" s="109" cm="1">
        <f t="array" ref="O37">Fuel_Equations.VEERG_8_2_1_1__1_FuelCombustionStationary($L37,$G37,I37)</f>
        <v>0</v>
      </c>
      <c r="P37" s="109" cm="1">
        <f t="array" ref="P37">Fuel_Equations.VEERG_8_2_1_1__1_FuelCombustionStationary($L37,$G37,J37)</f>
        <v>0</v>
      </c>
      <c r="Q37" s="109" cm="1">
        <f t="array" ref="Q37">Fuel_Equations.VEERG_8_2_1_1__1_FuelCombustionStationary($L37,$G37,IF(ISNUMBER(K37), K37, 0))</f>
        <v>0</v>
      </c>
    </row>
    <row r="38" spans="1:17" ht="20.100000000000001" customHeight="1" x14ac:dyDescent="0.25">
      <c r="A38" s="63" t="str">
        <f>HYPERLINK("#A1", "▲ Back to top")</f>
        <v>▲ Back to top</v>
      </c>
      <c r="D38" s="88" t="str">
        <f t="shared" si="1"/>
        <v>Power standalone machinery or heating</v>
      </c>
      <c r="E38" s="87" t="str">
        <f>'Constants - Fuel'!$D$77</f>
        <v>Renewable diesel</v>
      </c>
      <c r="F38" s="87" t="str">
        <f>'Constants - Fuel'!E137</f>
        <v>Renewable diesel</v>
      </c>
      <c r="G38" s="31">
        <f>IFERROR(_xlfn.XLOOKUP($E38, Table_Fuel_EFs_StationaryLiquid[Fuel combusted], Table_Fuel_EFs_StationaryLiquid[Energy Content Factor (GJ per unit of fuel)]),0)</f>
        <v>38.6</v>
      </c>
      <c r="H38" s="31">
        <f>IFERROR(_xlfn.XLOOKUP($E38, Table_Fuel_EFs_StationaryLiquid[Fuel combusted], Table_Fuel_EFs_StationaryLiquid[Scope 1 Emission Factor (kg CO2 - e / GJ) CO2]),0)</f>
        <v>0</v>
      </c>
      <c r="I38" s="31">
        <f>IFERROR(_xlfn.XLOOKUP($E38, Table_Fuel_EFs_StationaryLiquid[Fuel combusted], Table_Fuel_EFs_StationaryLiquid[Scope 1 Emission Factor (kg CO2 - e / GJ) CH4]),0)</f>
        <v>0.1</v>
      </c>
      <c r="J38" s="31">
        <f>IFERROR(_xlfn.XLOOKUP($E38, Table_Fuel_EFs_StationaryLiquid[Fuel combusted], Table_Fuel_EFs_StationaryLiquid[Scope 1 Emission Factor (kg CO2 - e / GJ) N2O]),0)</f>
        <v>0.2</v>
      </c>
      <c r="K38" s="31" t="str">
        <f>IFERROR(_xlfn.XLOOKUP($E38, Table_Fuel_EFs_StationaryLiquid[Fuel combusted], Table_Fuel_EFs_StationaryLiquid[Scope 3 Emission Factor (kg CO2 - e / GJ)]),0)</f>
        <v>NE</v>
      </c>
      <c r="L38" s="31" cm="1">
        <f t="array" ref="L38">Fuel_InputFunctions.Fuel_TotalConsumption(Table_Input_Fuel[Amount consumed], Table_Input_Fuel[Fuel use (select)], D38, Table_Input_Fuel[Fuel type (select)],F38)</f>
        <v>0</v>
      </c>
      <c r="M38" s="31" t="str" cm="1">
        <f t="array" ref="M38">Common_InputFunctions.Utility_LookupValueInTable(F38,Table_FuelTypes_Units[Fuel type],Table_FuelTypes_Units[Unit])</f>
        <v>kL</v>
      </c>
      <c r="N38" s="109" cm="1">
        <f t="array" ref="N38">Fuel_Equations.VEERG_8_2_1_1__1_FuelCombustionStationary($L38,$G38,H38)</f>
        <v>0</v>
      </c>
      <c r="O38" s="109" cm="1">
        <f t="array" ref="O38">Fuel_Equations.VEERG_8_2_1_1__1_FuelCombustionStationary($L38,$G38,I38)</f>
        <v>0</v>
      </c>
      <c r="P38" s="109" cm="1">
        <f t="array" ref="P38">Fuel_Equations.VEERG_8_2_1_1__1_FuelCombustionStationary($L38,$G38,J38)</f>
        <v>0</v>
      </c>
      <c r="Q38" s="109" cm="1">
        <f t="array" ref="Q38">Fuel_Equations.VEERG_8_2_1_1__1_FuelCombustionStationary($L38,$G38,IF(ISNUMBER(K38), K38, 0))</f>
        <v>0</v>
      </c>
    </row>
    <row r="39" spans="1:17" ht="20.100000000000001" customHeight="1" x14ac:dyDescent="0.25">
      <c r="D39" s="88" t="str">
        <f t="shared" si="1"/>
        <v>Power standalone machinery or heating</v>
      </c>
      <c r="E39" s="87" t="str">
        <f>'Constants - Fuel'!$D$103</f>
        <v>Natural gas distributed in a pipeline - Gigajoules</v>
      </c>
      <c r="F39" s="87" t="str">
        <f>'Constants - Fuel'!E138</f>
        <v>Natural gas (via pipeline) in GJ</v>
      </c>
      <c r="G39" s="31">
        <f>IFERROR(_xlfn.XLOOKUP($E39, Table_Fuel_EFs_StationaryGaseous[Fuel combusted], Table_Fuel_EFs_StationaryGaseous[Energy Content Factor (GJ per unit of fuel)]),0)</f>
        <v>1</v>
      </c>
      <c r="H39" s="31">
        <f>IFERROR(_xlfn.XLOOKUP($E39, Table_Fuel_EFs_StationaryGaseous[Fuel combusted], Table_Fuel_EFs_StationaryGaseous[Scope 1 Emission Factor (kg CO2 - e / GJ) CO2]),0)</f>
        <v>51.4</v>
      </c>
      <c r="I39" s="31">
        <f>IFERROR(_xlfn.XLOOKUP($E39, Table_Fuel_EFs_StationaryGaseous[Fuel combusted], Table_Fuel_EFs_StationaryGaseous[Scope 1 Emission Factor (kg CO2 - e / GJ) CH4]),0)</f>
        <v>0.1</v>
      </c>
      <c r="J39" s="31">
        <f>IFERROR(_xlfn.XLOOKUP($E39, Table_Fuel_EFs_StationaryGaseous[Fuel combusted], Table_Fuel_EFs_StationaryGaseous[Scope 1 Emission Factor (kg CO2 - e / GJ) N2O]),0)</f>
        <v>0.03</v>
      </c>
      <c r="K39" s="31" cm="1">
        <f t="array" ref="K39">IFERROR(Common_InputFunctions.Utility_LookupValueInTableOneColumnAndHeader($P$17,$P$18,Table_Fuel_EFs_StationaryGaseous34[State or territory],Table_Fuel_EFs_StationaryGaseous34[#Headers],Table_Fuel_EFs_StationaryGaseous34[]),0)</f>
        <v>4.0999999999999996</v>
      </c>
      <c r="L39" s="64" cm="1">
        <f t="array" ref="L39">Fuel_InputFunctions.Fuel_TotalConsumption(Table_Input_Fuel[Amount consumed], Table_Input_Fuel[Fuel use (select)], D39, Table_Input_Fuel[Fuel type (select)],F39)</f>
        <v>0</v>
      </c>
      <c r="M39" s="64" t="str" cm="1">
        <f t="array" ref="M39">Common_InputFunctions.Utility_LookupValueInTable(F39,Table_FuelTypes_Units[Fuel type],Table_FuelTypes_Units[Unit])</f>
        <v>GJ</v>
      </c>
      <c r="N39" s="109" cm="1">
        <f t="array" ref="N39">Fuel_Equations.VEERG_8_2_1_1__1_FuelCombustionStationary($L39,$G39,H39)</f>
        <v>0</v>
      </c>
      <c r="O39" s="109" cm="1">
        <f t="array" ref="O39">Fuel_Equations.VEERG_8_2_1_1__1_FuelCombustionStationary($L39,$G39,I39)</f>
        <v>0</v>
      </c>
      <c r="P39" s="109" cm="1">
        <f t="array" ref="P39">Fuel_Equations.VEERG_8_2_1_1__1_FuelCombustionStationary($L39,$G39,J39)</f>
        <v>0</v>
      </c>
      <c r="Q39" s="109" cm="1">
        <f t="array" ref="Q39">Fuel_Equations.VEERG_8_2_1_1__1_FuelCombustionStationary($L39,$G39,IF(ISNUMBER(K39), K39, 0))</f>
        <v>0</v>
      </c>
    </row>
    <row r="40" spans="1:17" ht="20.100000000000001" customHeight="1" x14ac:dyDescent="0.25">
      <c r="D40" s="88" t="str">
        <f t="shared" si="1"/>
        <v>Power standalone machinery or heating</v>
      </c>
      <c r="E40" s="87" t="str">
        <f>'Constants - Fuel'!$D$104</f>
        <v>Town gas - Gigajoules</v>
      </c>
      <c r="F40" s="87" t="str">
        <f>'Constants - Fuel'!E139</f>
        <v>Town gas in GJ</v>
      </c>
      <c r="G40" s="31">
        <f>IFERROR(_xlfn.XLOOKUP($E40, Table_Fuel_EFs_StationaryGaseous[Fuel combusted], Table_Fuel_EFs_StationaryGaseous[Energy Content Factor (GJ per unit of fuel)]),0)</f>
        <v>1</v>
      </c>
      <c r="H40" s="31">
        <f>IFERROR(_xlfn.XLOOKUP($E40, Table_Fuel_EFs_StationaryGaseous[Fuel combusted], Table_Fuel_EFs_StationaryGaseous[Scope 1 Emission Factor (kg CO2 - e / GJ) CO2]),0)</f>
        <v>60.2</v>
      </c>
      <c r="I40" s="31">
        <f>IFERROR(_xlfn.XLOOKUP($E40, Table_Fuel_EFs_StationaryGaseous[Fuel combusted], Table_Fuel_EFs_StationaryGaseous[Scope 1 Emission Factor (kg CO2 - e / GJ) CH4]),0)</f>
        <v>0.04</v>
      </c>
      <c r="J40" s="31">
        <f>IFERROR(_xlfn.XLOOKUP($E40, Table_Fuel_EFs_StationaryGaseous[Fuel combusted], Table_Fuel_EFs_StationaryGaseous[Scope 1 Emission Factor (kg CO2 - e / GJ) N2O]),0)</f>
        <v>0.03</v>
      </c>
      <c r="K40" s="31" cm="1">
        <f t="array" ref="K40">IFERROR(Common_InputFunctions.Utility_LookupValueInTableOneColumnAndHeader($P$17,$P$18,Table_Fuel_EFs_StationaryGaseous34[State or territory],Table_Fuel_EFs_StationaryGaseous34[#Headers],Table_Fuel_EFs_StationaryGaseous34[]),0)</f>
        <v>4.0999999999999996</v>
      </c>
      <c r="L40" s="64" cm="1">
        <f t="array" ref="L40">Fuel_InputFunctions.Fuel_TotalConsumption(Table_Input_Fuel[Amount consumed], Table_Input_Fuel[Fuel use (select)], D40, Table_Input_Fuel[Fuel type (select)],F40)</f>
        <v>100</v>
      </c>
      <c r="M40" s="64" t="str" cm="1">
        <f t="array" ref="M40">Common_InputFunctions.Utility_LookupValueInTable(F40,Table_FuelTypes_Units[Fuel type],Table_FuelTypes_Units[Unit])</f>
        <v>GJ</v>
      </c>
      <c r="N40" s="109" cm="1">
        <f t="array" ref="N40">Fuel_Equations.VEERG_8_2_1_1__1_FuelCombustionStationary($L40,$G40,H40)</f>
        <v>6.0200000000000005</v>
      </c>
      <c r="O40" s="109" cm="1">
        <f t="array" ref="O40">Fuel_Equations.VEERG_8_2_1_1__1_FuelCombustionStationary($L40,$G40,I40)</f>
        <v>4.0000000000000001E-3</v>
      </c>
      <c r="P40" s="109" cm="1">
        <f t="array" ref="P40">Fuel_Equations.VEERG_8_2_1_1__1_FuelCombustionStationary($L40,$G40,J40)</f>
        <v>3.0000000000000001E-3</v>
      </c>
      <c r="Q40" s="109" cm="1">
        <f t="array" ref="Q40">Fuel_Equations.VEERG_8_2_1_1__1_FuelCombustionStationary($L40,$G40,IF(ISNUMBER(K40), K40, 0))</f>
        <v>0.41</v>
      </c>
    </row>
    <row r="41" spans="1:17" ht="20.100000000000001" customHeight="1" x14ac:dyDescent="0.25"/>
    <row r="42" spans="1:17" ht="20.100000000000001" customHeight="1" x14ac:dyDescent="0.25">
      <c r="D42" s="94" t="str">
        <f>"Total scope 1 - " &amp; D25</f>
        <v>Total scope 1 - Generators</v>
      </c>
      <c r="E42" s="95"/>
      <c r="F42" s="96"/>
    </row>
    <row r="43" spans="1:17" ht="20.100000000000001" customHeight="1" x14ac:dyDescent="0.25">
      <c r="D43" s="3" t="s">
        <v>156</v>
      </c>
      <c r="E43" s="105">
        <f>SUM(N25:N31)</f>
        <v>0</v>
      </c>
      <c r="F43" s="2" t="str">
        <f>$E$12</f>
        <v>t CO2-e</v>
      </c>
    </row>
    <row r="44" spans="1:17" ht="20.100000000000001" customHeight="1" x14ac:dyDescent="0.25">
      <c r="D44" s="3" t="s">
        <v>157</v>
      </c>
      <c r="E44" s="105">
        <f>SUM(O25:O31)</f>
        <v>0</v>
      </c>
      <c r="F44" s="2" t="str">
        <f t="shared" ref="F44:F46" si="2">$E$12</f>
        <v>t CO2-e</v>
      </c>
    </row>
    <row r="45" spans="1:17" ht="20.100000000000001" customHeight="1" x14ac:dyDescent="0.25">
      <c r="D45" s="3" t="s">
        <v>158</v>
      </c>
      <c r="E45" s="105">
        <f>SUM(P25:P31)</f>
        <v>0</v>
      </c>
      <c r="F45" s="2" t="str">
        <f t="shared" si="2"/>
        <v>t CO2-e</v>
      </c>
    </row>
    <row r="46" spans="1:17" ht="20.100000000000001" customHeight="1" x14ac:dyDescent="0.25">
      <c r="D46" s="3" t="s">
        <v>181</v>
      </c>
      <c r="E46" s="105">
        <f>SUM(Q25:Q31)</f>
        <v>0</v>
      </c>
      <c r="F46" s="2" t="str">
        <f t="shared" si="2"/>
        <v>t CO2-e</v>
      </c>
    </row>
    <row r="47" spans="1:17" ht="20.100000000000001" customHeight="1" x14ac:dyDescent="0.25">
      <c r="H47" s="52"/>
      <c r="I47" s="52"/>
      <c r="J47" s="52"/>
      <c r="L47" s="52"/>
      <c r="N47" s="52"/>
      <c r="O47" s="52"/>
      <c r="P47" s="52"/>
      <c r="Q47" s="52"/>
    </row>
    <row r="48" spans="1:17" ht="20.100000000000001" customHeight="1" x14ac:dyDescent="0.25">
      <c r="D48" s="94" t="str">
        <f>"Total scope 1 - " &amp; D32</f>
        <v>Total scope 1 - Power standalone machinery or heating</v>
      </c>
      <c r="E48" s="97"/>
      <c r="F48" s="96"/>
      <c r="H48" s="52"/>
      <c r="I48" s="52"/>
      <c r="J48" s="52"/>
      <c r="L48" s="52"/>
      <c r="N48" s="52"/>
      <c r="O48" s="52"/>
      <c r="P48" s="52"/>
      <c r="Q48" s="52"/>
    </row>
    <row r="49" spans="4:17" ht="20.100000000000001" customHeight="1" x14ac:dyDescent="0.25">
      <c r="D49" s="3" t="s">
        <v>156</v>
      </c>
      <c r="E49" s="105">
        <f>SUM(N32:N40)</f>
        <v>29.070800000000002</v>
      </c>
      <c r="F49" s="2" t="str">
        <f t="shared" ref="F49:F52" si="3">$E$12</f>
        <v>t CO2-e</v>
      </c>
      <c r="H49" s="52"/>
      <c r="I49" s="52"/>
      <c r="J49" s="52"/>
      <c r="L49" s="52"/>
      <c r="N49" s="52"/>
      <c r="O49" s="52"/>
      <c r="P49" s="52"/>
      <c r="Q49" s="52"/>
    </row>
    <row r="50" spans="4:17" ht="20.100000000000001" customHeight="1" x14ac:dyDescent="0.25">
      <c r="D50" s="3" t="s">
        <v>157</v>
      </c>
      <c r="E50" s="105">
        <f>SUM(O32:O40)</f>
        <v>7.2400000000000006E-2</v>
      </c>
      <c r="F50" s="2" t="str">
        <f t="shared" si="3"/>
        <v>t CO2-e</v>
      </c>
      <c r="H50" s="52"/>
      <c r="I50" s="52"/>
      <c r="J50" s="52"/>
      <c r="L50" s="52"/>
      <c r="N50" s="52"/>
      <c r="O50" s="52"/>
      <c r="P50" s="52"/>
      <c r="Q50" s="52"/>
    </row>
    <row r="51" spans="4:17" ht="20.100000000000001" customHeight="1" x14ac:dyDescent="0.25">
      <c r="D51" s="3" t="s">
        <v>158</v>
      </c>
      <c r="E51" s="105">
        <f>SUM(P32:P40)</f>
        <v>7.1400000000000005E-2</v>
      </c>
      <c r="F51" s="2" t="str">
        <f t="shared" si="3"/>
        <v>t CO2-e</v>
      </c>
      <c r="H51" s="52"/>
      <c r="I51" s="52"/>
      <c r="J51" s="52"/>
      <c r="L51" s="52"/>
      <c r="N51" s="52"/>
      <c r="O51" s="52"/>
      <c r="P51" s="52"/>
      <c r="Q51" s="52"/>
    </row>
    <row r="52" spans="4:17" ht="20.100000000000001" customHeight="1" x14ac:dyDescent="0.25">
      <c r="D52" s="3" t="s">
        <v>181</v>
      </c>
      <c r="E52" s="105">
        <f>SUM(Q32:Q40)</f>
        <v>6.2923999999999998</v>
      </c>
      <c r="F52" s="2" t="str">
        <f t="shared" si="3"/>
        <v>t CO2-e</v>
      </c>
      <c r="G52" s="52"/>
      <c r="H52" s="52"/>
      <c r="I52" s="52"/>
      <c r="J52" s="52"/>
      <c r="L52" s="52"/>
      <c r="N52" s="52"/>
      <c r="O52" s="52"/>
      <c r="P52" s="52"/>
      <c r="Q52" s="52"/>
    </row>
    <row r="53" spans="4:17" ht="20.100000000000001" customHeight="1" x14ac:dyDescent="0.25">
      <c r="G53" s="52"/>
      <c r="H53" s="52"/>
      <c r="I53" s="52"/>
      <c r="J53" s="52"/>
      <c r="L53" s="52"/>
      <c r="N53" s="52"/>
      <c r="O53" s="52"/>
      <c r="P53" s="52"/>
      <c r="Q53" s="52"/>
    </row>
    <row r="54" spans="4:17" ht="20.100000000000001" customHeight="1" x14ac:dyDescent="0.25">
      <c r="D54" s="94" t="s">
        <v>175</v>
      </c>
      <c r="E54" s="97"/>
      <c r="F54" s="96"/>
      <c r="G54" s="52"/>
      <c r="H54" s="52"/>
      <c r="I54" s="52"/>
      <c r="J54" s="52"/>
      <c r="L54" s="52"/>
      <c r="N54" s="52"/>
      <c r="O54" s="52"/>
      <c r="P54" s="52"/>
      <c r="Q54" s="52"/>
    </row>
    <row r="55" spans="4:17" ht="20.100000000000001" customHeight="1" x14ac:dyDescent="0.25">
      <c r="D55" s="3" t="s">
        <v>156</v>
      </c>
      <c r="E55" s="105">
        <f>E43+E49</f>
        <v>29.070800000000002</v>
      </c>
      <c r="F55" s="2" t="str">
        <f t="shared" ref="F55:F58" si="4">$E$12</f>
        <v>t CO2-e</v>
      </c>
      <c r="G55" s="52"/>
      <c r="H55" s="52"/>
      <c r="I55" s="52"/>
      <c r="J55" s="52"/>
      <c r="L55" s="52"/>
      <c r="N55" s="52"/>
      <c r="O55" s="52"/>
      <c r="P55" s="52"/>
      <c r="Q55" s="52"/>
    </row>
    <row r="56" spans="4:17" ht="20.100000000000001" customHeight="1" x14ac:dyDescent="0.25">
      <c r="D56" s="3" t="s">
        <v>157</v>
      </c>
      <c r="E56" s="105">
        <f>E44+E50</f>
        <v>7.2400000000000006E-2</v>
      </c>
      <c r="F56" s="2" t="str">
        <f t="shared" si="4"/>
        <v>t CO2-e</v>
      </c>
      <c r="H56" s="52"/>
    </row>
    <row r="57" spans="4:17" ht="20.100000000000001" customHeight="1" x14ac:dyDescent="0.25">
      <c r="D57" s="3" t="s">
        <v>158</v>
      </c>
      <c r="E57" s="105">
        <f>E45+E51</f>
        <v>7.1400000000000005E-2</v>
      </c>
      <c r="F57" s="2" t="str">
        <f t="shared" si="4"/>
        <v>t CO2-e</v>
      </c>
      <c r="G57" s="52"/>
      <c r="H57" s="52"/>
      <c r="I57" s="52"/>
      <c r="J57" s="52"/>
      <c r="L57" s="52"/>
      <c r="N57" s="52"/>
      <c r="O57" s="52"/>
      <c r="P57" s="52"/>
      <c r="Q57" s="52"/>
    </row>
    <row r="58" spans="4:17" ht="20.100000000000001" customHeight="1" x14ac:dyDescent="0.25">
      <c r="D58" s="3" t="s">
        <v>181</v>
      </c>
      <c r="E58" s="105">
        <f>E46+E52</f>
        <v>6.2923999999999998</v>
      </c>
      <c r="F58" s="2" t="str">
        <f t="shared" si="4"/>
        <v>t CO2-e</v>
      </c>
      <c r="G58" s="52"/>
      <c r="H58" s="52"/>
      <c r="I58" s="52"/>
      <c r="J58" s="52"/>
      <c r="L58" s="52"/>
      <c r="N58" s="52"/>
      <c r="O58" s="52"/>
      <c r="P58" s="52"/>
      <c r="Q58" s="52"/>
    </row>
    <row r="59" spans="4:17" ht="20.100000000000001" customHeight="1" x14ac:dyDescent="0.25">
      <c r="G59" s="52"/>
      <c r="H59" s="52"/>
      <c r="I59" s="52"/>
      <c r="J59" s="52"/>
      <c r="L59" s="52"/>
      <c r="N59" s="52"/>
      <c r="O59" s="52"/>
      <c r="P59" s="52"/>
      <c r="Q59" s="52"/>
    </row>
    <row r="60" spans="4:17" ht="20.100000000000001" customHeight="1" x14ac:dyDescent="0.25">
      <c r="G60" s="52"/>
      <c r="H60" s="52"/>
      <c r="I60" s="52"/>
      <c r="J60" s="52"/>
      <c r="L60" s="52"/>
      <c r="N60" s="52"/>
      <c r="O60" s="52"/>
      <c r="P60" s="52"/>
      <c r="Q60" s="52"/>
    </row>
    <row r="61" spans="4:17" ht="20.100000000000001" customHeight="1" x14ac:dyDescent="0.25">
      <c r="G61" s="52"/>
      <c r="H61" s="52"/>
      <c r="I61" s="52"/>
      <c r="J61" s="52"/>
      <c r="L61" s="52"/>
      <c r="N61" s="52"/>
      <c r="O61" s="52"/>
      <c r="P61" s="52"/>
      <c r="Q61" s="52"/>
    </row>
    <row r="62" spans="4:17" ht="20.100000000000001" customHeight="1" x14ac:dyDescent="0.25">
      <c r="G62" s="52"/>
      <c r="H62" s="52"/>
      <c r="I62" s="52"/>
      <c r="J62" s="52"/>
      <c r="L62" s="52"/>
      <c r="N62" s="52"/>
      <c r="O62" s="52"/>
      <c r="P62" s="52"/>
      <c r="Q62" s="52"/>
    </row>
    <row r="63" spans="4:17" ht="20.100000000000001" customHeight="1" x14ac:dyDescent="0.25">
      <c r="G63" s="52"/>
      <c r="H63" s="52"/>
      <c r="I63" s="52"/>
      <c r="J63" s="52"/>
      <c r="L63" s="52"/>
      <c r="N63" s="52"/>
      <c r="O63" s="52"/>
      <c r="P63" s="52"/>
      <c r="Q63" s="52"/>
    </row>
    <row r="64" spans="4:17" ht="20.100000000000001" customHeight="1" x14ac:dyDescent="0.25">
      <c r="G64" s="52"/>
      <c r="H64" s="52"/>
      <c r="I64" s="52"/>
      <c r="J64" s="52"/>
      <c r="L64" s="52"/>
      <c r="N64" s="52"/>
      <c r="O64" s="52"/>
      <c r="P64" s="52"/>
      <c r="Q64" s="52"/>
    </row>
    <row r="65" spans="1:17" ht="20.100000000000001" customHeight="1" x14ac:dyDescent="0.25">
      <c r="G65" s="52"/>
      <c r="H65" s="52"/>
      <c r="I65" s="52"/>
      <c r="J65" s="52"/>
      <c r="L65" s="52"/>
      <c r="N65" s="52"/>
      <c r="O65" s="52"/>
      <c r="P65" s="52"/>
      <c r="Q65" s="52"/>
    </row>
    <row r="66" spans="1:17" ht="20.100000000000001" customHeight="1" x14ac:dyDescent="0.25">
      <c r="G66" s="52"/>
      <c r="H66" s="52"/>
      <c r="I66" s="52"/>
      <c r="J66" s="52"/>
      <c r="L66" s="52"/>
      <c r="N66" s="52"/>
      <c r="O66" s="52"/>
      <c r="P66" s="52"/>
      <c r="Q66" s="52"/>
    </row>
    <row r="67" spans="1:17" ht="20.100000000000001" customHeight="1" x14ac:dyDescent="0.25">
      <c r="G67" s="52"/>
    </row>
    <row r="68" spans="1:17" ht="20.100000000000001" customHeight="1" x14ac:dyDescent="0.25">
      <c r="G68" s="52"/>
    </row>
    <row r="69" spans="1:17" ht="20.100000000000001" customHeight="1" x14ac:dyDescent="0.25">
      <c r="G69" s="52"/>
    </row>
    <row r="70" spans="1:17" ht="20.100000000000001" customHeight="1" x14ac:dyDescent="0.25">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63"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38" zoomScaleNormal="100" workbookViewId="0">
      <selection activeCell="F143" sqref="F143"/>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111</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2"/>
      <c r="F5" s="52"/>
      <c r="G5" s="52"/>
      <c r="H5" s="52"/>
      <c r="I5" s="52"/>
      <c r="J5" s="52"/>
      <c r="K5" s="52"/>
      <c r="L5" s="52"/>
    </row>
    <row r="6" spans="1:35" ht="20.100000000000001" customHeight="1" x14ac:dyDescent="0.25">
      <c r="A6" s="13"/>
      <c r="D6" s="1" t="str" cm="1">
        <f t="array" ref="D6">Fuel_SourceData.Fuel_Scope1Scope3EmissionFactorsTransport_Description()</f>
        <v>Direct (scope 1) and indirect (scope 3) emission factors for the consumption of transport fuels in different transport equipment</v>
      </c>
      <c r="E6" s="52"/>
      <c r="F6" s="52"/>
      <c r="G6" s="52"/>
      <c r="H6" s="52"/>
      <c r="I6" s="52"/>
      <c r="J6" s="52"/>
      <c r="K6" s="52"/>
      <c r="L6" s="52"/>
    </row>
    <row r="7" spans="1:35" ht="20.100000000000001" customHeight="1" x14ac:dyDescent="0.25">
      <c r="A7" s="17" t="s">
        <v>1</v>
      </c>
      <c r="D7" s="5" t="str" cm="1">
        <f t="array" ref="D7">Fuel_SourceData.Fuel_Scope1Scope3EmissionFactorsTransport_Source()</f>
        <v>Australian National Greenhouse Accounts Factors 2025 - Table 9</v>
      </c>
      <c r="E7" s="52"/>
      <c r="F7" s="52"/>
      <c r="G7" s="52"/>
      <c r="H7" s="52"/>
      <c r="I7" s="52"/>
      <c r="J7" s="52"/>
      <c r="K7" s="52"/>
      <c r="L7" s="52"/>
    </row>
    <row r="8" spans="1:35" ht="20.100000000000001" customHeight="1" x14ac:dyDescent="0.25">
      <c r="A8" s="14" t="str">
        <f>HYPERLINK("#'Input - Fuel'!A1", "Fuel")</f>
        <v>Fuel</v>
      </c>
      <c r="D8" s="34" t="str" cm="1">
        <f t="array" ref="D8">"⚠️" &amp; Fuel_SourceData.Fuel_Scope1Scope3EmissionFactorsTransport_Variation()</f>
        <v>⚠️VARIATION OF SOURCE DATA: 'NE' values returned as zero for calculations.</v>
      </c>
      <c r="E8" s="52"/>
      <c r="F8" s="52"/>
      <c r="G8" s="52"/>
      <c r="H8" s="52"/>
      <c r="I8" s="52"/>
      <c r="J8" s="52"/>
      <c r="K8" s="52"/>
      <c r="L8" s="52"/>
    </row>
    <row r="9" spans="1:35" ht="20.100000000000001" customHeight="1" x14ac:dyDescent="0.25">
      <c r="A9" s="14"/>
      <c r="D9" s="75" t="s">
        <v>112</v>
      </c>
      <c r="E9" s="75" t="s">
        <v>113</v>
      </c>
      <c r="F9" s="75" t="s">
        <v>114</v>
      </c>
      <c r="G9" s="75" t="s">
        <v>115</v>
      </c>
      <c r="H9" s="75" t="s">
        <v>116</v>
      </c>
      <c r="I9" s="75" t="s">
        <v>117</v>
      </c>
      <c r="J9" s="75" t="s">
        <v>118</v>
      </c>
      <c r="K9" s="75" t="s">
        <v>119</v>
      </c>
      <c r="L9" s="75" t="s">
        <v>120</v>
      </c>
    </row>
    <row r="10" spans="1:35" ht="20.100000000000001" customHeight="1" x14ac:dyDescent="0.25">
      <c r="A10" s="16" t="s">
        <v>45</v>
      </c>
      <c r="D10" s="76" t="str" cm="1">
        <f t="array" ref="D10">Common_InputFunctions.Utility_DisplayArrayInTable(Fuel_SourceData.Fuel_Scope1Scope3EmissionFactorsTransport_Data(), Table_Fuel_EFs_Transport[[#Headers],[Transport type]], 0)</f>
        <v>Cars and light commercial vehicles</v>
      </c>
      <c r="E10" s="76" t="str" cm="1">
        <f t="array" ref="E10">Common_InputFunctions.Utility_DisplayArrayInTable(Fuel_SourceData.Fuel_Scope1Scope3EmissionFactorsTransport_Data(), Table_Fuel_EFs_Transport[[#Headers],[Transport type]], 0)</f>
        <v>Gasoline</v>
      </c>
      <c r="F10" s="76" cm="1">
        <f t="array" ref="F10">Common_InputFunctions.Utility_DisplayArrayInTable(Fuel_SourceData.Fuel_Scope1Scope3EmissionFactorsTransport_Data(), Table_Fuel_EFs_Transport[[#Headers],[Transport type]], 0)</f>
        <v>34.200000000000003</v>
      </c>
      <c r="G10" s="76" t="str" cm="1">
        <f t="array" ref="G10">Common_InputFunctions.Utility_DisplayArrayInTable(Fuel_SourceData.Fuel_Scope1Scope3EmissionFactorsTransport_Data(), Table_Fuel_EFs_Transport[[#Headers],[Transport type]], 0)</f>
        <v>kl</v>
      </c>
      <c r="H10" s="76" cm="1">
        <f t="array" ref="H10">Common_InputFunctions.Utility_DisplayArrayInTable(Fuel_SourceData.Fuel_Scope1Scope3EmissionFactorsTransport_Data(), Table_Fuel_EFs_Transport[[#Headers],[Transport type]], 0)</f>
        <v>67.400000000000006</v>
      </c>
      <c r="I10" s="76" cm="1">
        <f t="array" ref="I10">Common_InputFunctions.Utility_DisplayArrayInTable(Fuel_SourceData.Fuel_Scope1Scope3EmissionFactorsTransport_Data(), Table_Fuel_EFs_Transport[[#Headers],[Transport type]], 0)</f>
        <v>0.02</v>
      </c>
      <c r="J10" s="76" cm="1">
        <f t="array" ref="J10">Common_InputFunctions.Utility_DisplayArrayInTable(Fuel_SourceData.Fuel_Scope1Scope3EmissionFactorsTransport_Data(), Table_Fuel_EFs_Transport[[#Headers],[Transport type]], 0)</f>
        <v>0.2</v>
      </c>
      <c r="K10" s="76" cm="1">
        <f t="array" ref="K10">Common_InputFunctions.Utility_DisplayArrayInTable(Fuel_SourceData.Fuel_Scope1Scope3EmissionFactorsTransport_Data(), Table_Fuel_EFs_Transport[[#Headers],[Transport type]], 0)</f>
        <v>67.62</v>
      </c>
      <c r="L10" s="76" cm="1">
        <f t="array" ref="L10">Common_InputFunctions.Utility_DisplayArrayInTable(Fuel_SourceData.Fuel_Scope1Scope3EmissionFactorsTransport_Data(), Table_Fuel_EFs_Transport[[#Headers],[Transport type]], 0)</f>
        <v>17.2</v>
      </c>
    </row>
    <row r="11" spans="1:35" ht="20.100000000000001" customHeight="1" x14ac:dyDescent="0.25">
      <c r="A11" s="14" t="str">
        <f>HYPERLINK("#'8.1.1.1-2 Transport fuel'!A1", "8.1.1.1-2 Transport fuel")</f>
        <v>8.1.1.1-2 Transport fuel</v>
      </c>
      <c r="D11" s="76" t="str" cm="1">
        <f t="array" ref="D11">Common_InputFunctions.Utility_DisplayArrayInTable(Fuel_SourceData.Fuel_Scope1Scope3EmissionFactorsTransport_Data(), Table_Fuel_EFs_Transport[[#Headers],[Transport type]], 0)</f>
        <v>Cars and light commercial vehicles</v>
      </c>
      <c r="E11" s="76" t="str" cm="1">
        <f t="array" ref="E11">Common_InputFunctions.Utility_DisplayArrayInTable(Fuel_SourceData.Fuel_Scope1Scope3EmissionFactorsTransport_Data(), Table_Fuel_EFs_Transport[[#Headers],[Transport type]], 0)</f>
        <v>Diesel oil</v>
      </c>
      <c r="F11" s="76" cm="1">
        <f t="array" ref="F11">Common_InputFunctions.Utility_DisplayArrayInTable(Fuel_SourceData.Fuel_Scope1Scope3EmissionFactorsTransport_Data(), Table_Fuel_EFs_Transport[[#Headers],[Transport type]], 0)</f>
        <v>38.6</v>
      </c>
      <c r="G11" s="76" t="str" cm="1">
        <f t="array" ref="G11">Common_InputFunctions.Utility_DisplayArrayInTable(Fuel_SourceData.Fuel_Scope1Scope3EmissionFactorsTransport_Data(), Table_Fuel_EFs_Transport[[#Headers],[Transport type]], 0)</f>
        <v>kl</v>
      </c>
      <c r="H11" s="76" cm="1">
        <f t="array" ref="H11">Common_InputFunctions.Utility_DisplayArrayInTable(Fuel_SourceData.Fuel_Scope1Scope3EmissionFactorsTransport_Data(), Table_Fuel_EFs_Transport[[#Headers],[Transport type]], 0)</f>
        <v>69.900000000000006</v>
      </c>
      <c r="I11" s="76" cm="1">
        <f t="array" ref="I11">Common_InputFunctions.Utility_DisplayArrayInTable(Fuel_SourceData.Fuel_Scope1Scope3EmissionFactorsTransport_Data(), Table_Fuel_EFs_Transport[[#Headers],[Transport type]], 0)</f>
        <v>0.01</v>
      </c>
      <c r="J11" s="76" cm="1">
        <f t="array" ref="J11">Common_InputFunctions.Utility_DisplayArrayInTable(Fuel_SourceData.Fuel_Scope1Scope3EmissionFactorsTransport_Data(), Table_Fuel_EFs_Transport[[#Headers],[Transport type]], 0)</f>
        <v>0.5</v>
      </c>
      <c r="K11" s="76" cm="1">
        <f t="array" ref="K11">Common_InputFunctions.Utility_DisplayArrayInTable(Fuel_SourceData.Fuel_Scope1Scope3EmissionFactorsTransport_Data(), Table_Fuel_EFs_Transport[[#Headers],[Transport type]], 0)</f>
        <v>70.41</v>
      </c>
      <c r="L11" s="76" cm="1">
        <f t="array" ref="L11">Common_InputFunctions.Utility_DisplayArrayInTable(Fuel_SourceData.Fuel_Scope1Scope3EmissionFactorsTransport_Data(), Table_Fuel_EFs_Transport[[#Headers],[Transport type]], 0)</f>
        <v>17.3</v>
      </c>
    </row>
    <row r="12" spans="1:35" ht="20.100000000000001" customHeight="1" x14ac:dyDescent="0.25">
      <c r="A12" s="14" t="str">
        <f>HYPERLINK("#'8.2.1.1-2 Stationary fuel'!A1", "8.2.1.1-2 Stationary fuel")</f>
        <v>8.2.1.1-2 Stationary fuel</v>
      </c>
      <c r="D12" s="76" t="str" cm="1">
        <f t="array" ref="D12">Common_InputFunctions.Utility_DisplayArrayInTable(Fuel_SourceData.Fuel_Scope1Scope3EmissionFactorsTransport_Data(), Table_Fuel_EFs_Transport[[#Headers],[Transport type]], 0)</f>
        <v>Cars and light commercial vehicles</v>
      </c>
      <c r="E12" s="76" t="str" cm="1">
        <f t="array" ref="E12">Common_InputFunctions.Utility_DisplayArrayInTable(Fuel_SourceData.Fuel_Scope1Scope3EmissionFactorsTransport_Data(), Table_Fuel_EFs_Transport[[#Headers],[Transport type]], 0)</f>
        <v>Liquefied petroleum gas (LPG)</v>
      </c>
      <c r="F12" s="76" cm="1">
        <f t="array" ref="F12">Common_InputFunctions.Utility_DisplayArrayInTable(Fuel_SourceData.Fuel_Scope1Scope3EmissionFactorsTransport_Data(), Table_Fuel_EFs_Transport[[#Headers],[Transport type]], 0)</f>
        <v>26.2</v>
      </c>
      <c r="G12" s="76" t="str" cm="1">
        <f t="array" ref="G12">Common_InputFunctions.Utility_DisplayArrayInTable(Fuel_SourceData.Fuel_Scope1Scope3EmissionFactorsTransport_Data(), Table_Fuel_EFs_Transport[[#Headers],[Transport type]], 0)</f>
        <v>kl</v>
      </c>
      <c r="H12" s="76" cm="1">
        <f t="array" ref="H12">Common_InputFunctions.Utility_DisplayArrayInTable(Fuel_SourceData.Fuel_Scope1Scope3EmissionFactorsTransport_Data(), Table_Fuel_EFs_Transport[[#Headers],[Transport type]], 0)</f>
        <v>60.2</v>
      </c>
      <c r="I12" s="76" cm="1">
        <f t="array" ref="I12">Common_InputFunctions.Utility_DisplayArrayInTable(Fuel_SourceData.Fuel_Scope1Scope3EmissionFactorsTransport_Data(), Table_Fuel_EFs_Transport[[#Headers],[Transport type]], 0)</f>
        <v>0.5</v>
      </c>
      <c r="J12" s="76" cm="1">
        <f t="array" ref="J12">Common_InputFunctions.Utility_DisplayArrayInTable(Fuel_SourceData.Fuel_Scope1Scope3EmissionFactorsTransport_Data(), Table_Fuel_EFs_Transport[[#Headers],[Transport type]], 0)</f>
        <v>0.3</v>
      </c>
      <c r="K12" s="76" cm="1">
        <f t="array" ref="K12">Common_InputFunctions.Utility_DisplayArrayInTable(Fuel_SourceData.Fuel_Scope1Scope3EmissionFactorsTransport_Data(), Table_Fuel_EFs_Transport[[#Headers],[Transport type]], 0)</f>
        <v>61</v>
      </c>
      <c r="L12" s="76" cm="1">
        <f t="array" ref="L12">Common_InputFunctions.Utility_DisplayArrayInTable(Fuel_SourceData.Fuel_Scope1Scope3EmissionFactorsTransport_Data(), Table_Fuel_EFs_Transport[[#Headers],[Transport type]], 0)</f>
        <v>20.2</v>
      </c>
    </row>
    <row r="13" spans="1:35" ht="20.100000000000001" customHeight="1" x14ac:dyDescent="0.25">
      <c r="A13" s="14" t="str">
        <f>HYPERLINK("#'8.X.1.1-2 General use fuel'!A1", "8.X.1.1-2 General use fuel")</f>
        <v>8.X.1.1-2 General use fuel</v>
      </c>
      <c r="D13" s="76" t="str" cm="1">
        <f t="array" ref="D13">Common_InputFunctions.Utility_DisplayArrayInTable(Fuel_SourceData.Fuel_Scope1Scope3EmissionFactorsTransport_Data(), Table_Fuel_EFs_Transport[[#Headers],[Transport type]], 0)</f>
        <v>Cars and light commercial vehicles</v>
      </c>
      <c r="E13" s="76" t="str" cm="1">
        <f t="array" ref="E13">Common_InputFunctions.Utility_DisplayArrayInTable(Fuel_SourceData.Fuel_Scope1Scope3EmissionFactorsTransport_Data(), Table_Fuel_EFs_Transport[[#Headers],[Transport type]], 0)</f>
        <v>Fuel oil</v>
      </c>
      <c r="F13" s="76" cm="1">
        <f t="array" ref="F13">Common_InputFunctions.Utility_DisplayArrayInTable(Fuel_SourceData.Fuel_Scope1Scope3EmissionFactorsTransport_Data(), Table_Fuel_EFs_Transport[[#Headers],[Transport type]], 0)</f>
        <v>39.700000000000003</v>
      </c>
      <c r="G13" s="76" t="str" cm="1">
        <f t="array" ref="G13">Common_InputFunctions.Utility_DisplayArrayInTable(Fuel_SourceData.Fuel_Scope1Scope3EmissionFactorsTransport_Data(), Table_Fuel_EFs_Transport[[#Headers],[Transport type]], 0)</f>
        <v>kl</v>
      </c>
      <c r="H13" s="76" cm="1">
        <f t="array" ref="H13">Common_InputFunctions.Utility_DisplayArrayInTable(Fuel_SourceData.Fuel_Scope1Scope3EmissionFactorsTransport_Data(), Table_Fuel_EFs_Transport[[#Headers],[Transport type]], 0)</f>
        <v>73.599999999999994</v>
      </c>
      <c r="I13" s="76" cm="1">
        <f t="array" ref="I13">Common_InputFunctions.Utility_DisplayArrayInTable(Fuel_SourceData.Fuel_Scope1Scope3EmissionFactorsTransport_Data(), Table_Fuel_EFs_Transport[[#Headers],[Transport type]], 0)</f>
        <v>0.08</v>
      </c>
      <c r="J13" s="76" cm="1">
        <f t="array" ref="J13">Common_InputFunctions.Utility_DisplayArrayInTable(Fuel_SourceData.Fuel_Scope1Scope3EmissionFactorsTransport_Data(), Table_Fuel_EFs_Transport[[#Headers],[Transport type]], 0)</f>
        <v>0.5</v>
      </c>
      <c r="K13" s="76" cm="1">
        <f t="array" ref="K13">Common_InputFunctions.Utility_DisplayArrayInTable(Fuel_SourceData.Fuel_Scope1Scope3EmissionFactorsTransport_Data(), Table_Fuel_EFs_Transport[[#Headers],[Transport type]], 0)</f>
        <v>74.180000000000007</v>
      </c>
      <c r="L13" s="76" cm="1">
        <f t="array" ref="L13">Common_InputFunctions.Utility_DisplayArrayInTable(Fuel_SourceData.Fuel_Scope1Scope3EmissionFactorsTransport_Data(), Table_Fuel_EFs_Transport[[#Headers],[Transport type]], 0)</f>
        <v>18</v>
      </c>
    </row>
    <row r="14" spans="1:35" ht="20.100000000000001" customHeight="1" x14ac:dyDescent="0.25">
      <c r="A14" s="14"/>
      <c r="D14" s="76" t="str" cm="1">
        <f t="array" ref="D14">Common_InputFunctions.Utility_DisplayArrayInTable(Fuel_SourceData.Fuel_Scope1Scope3EmissionFactorsTransport_Data(), Table_Fuel_EFs_Transport[[#Headers],[Transport type]], 0)</f>
        <v>Cars and light commercial vehicles</v>
      </c>
      <c r="E14" s="76" t="str" cm="1">
        <f t="array" ref="E14">Common_InputFunctions.Utility_DisplayArrayInTable(Fuel_SourceData.Fuel_Scope1Scope3EmissionFactorsTransport_Data(), Table_Fuel_EFs_Transport[[#Headers],[Transport type]], 0)</f>
        <v>Ethanol</v>
      </c>
      <c r="F14" s="76" cm="1">
        <f t="array" ref="F14">Common_InputFunctions.Utility_DisplayArrayInTable(Fuel_SourceData.Fuel_Scope1Scope3EmissionFactorsTransport_Data(), Table_Fuel_EFs_Transport[[#Headers],[Transport type]], 0)</f>
        <v>23.4</v>
      </c>
      <c r="G14" s="76" t="str" cm="1">
        <f t="array" ref="G14">Common_InputFunctions.Utility_DisplayArrayInTable(Fuel_SourceData.Fuel_Scope1Scope3EmissionFactorsTransport_Data(), Table_Fuel_EFs_Transport[[#Headers],[Transport type]], 0)</f>
        <v>kl</v>
      </c>
      <c r="H14" s="76" cm="1">
        <f t="array" ref="H14">Common_InputFunctions.Utility_DisplayArrayInTable(Fuel_SourceData.Fuel_Scope1Scope3EmissionFactorsTransport_Data(), Table_Fuel_EFs_Transport[[#Headers],[Transport type]], 0)</f>
        <v>0</v>
      </c>
      <c r="I14" s="76" cm="1">
        <f t="array" ref="I14">Common_InputFunctions.Utility_DisplayArrayInTable(Fuel_SourceData.Fuel_Scope1Scope3EmissionFactorsTransport_Data(), Table_Fuel_EFs_Transport[[#Headers],[Transport type]], 0)</f>
        <v>0.2</v>
      </c>
      <c r="J14" s="76" cm="1">
        <f t="array" ref="J14">Common_InputFunctions.Utility_DisplayArrayInTable(Fuel_SourceData.Fuel_Scope1Scope3EmissionFactorsTransport_Data(), Table_Fuel_EFs_Transport[[#Headers],[Transport type]], 0)</f>
        <v>0.2</v>
      </c>
      <c r="K14" s="76" cm="1">
        <f t="array" ref="K14">Common_InputFunctions.Utility_DisplayArrayInTable(Fuel_SourceData.Fuel_Scope1Scope3EmissionFactorsTransport_Data(), Table_Fuel_EFs_Transport[[#Headers],[Transport type]], 0)</f>
        <v>0.4</v>
      </c>
      <c r="L14" s="76" t="str" cm="1">
        <f t="array" ref="L14">Common_InputFunctions.Utility_DisplayArrayInTable(Fuel_SourceData.Fuel_Scope1Scope3EmissionFactorsTransport_Data(), Table_Fuel_EFs_Transport[[#Headers],[Transport type]], 0)</f>
        <v>NE</v>
      </c>
    </row>
    <row r="15" spans="1:35" ht="20.100000000000001" customHeight="1" x14ac:dyDescent="0.25">
      <c r="A15" s="15" t="s">
        <v>2</v>
      </c>
      <c r="D15" s="76" t="str" cm="1">
        <f t="array" ref="D15">Common_InputFunctions.Utility_DisplayArrayInTable(Fuel_SourceData.Fuel_Scope1Scope3EmissionFactorsTransport_Data(), Table_Fuel_EFs_Transport[[#Headers],[Transport type]], 0)</f>
        <v>Cars and light commercial vehicles</v>
      </c>
      <c r="E15" s="76" t="str" cm="1">
        <f t="array" ref="E15">Common_InputFunctions.Utility_DisplayArrayInTable(Fuel_SourceData.Fuel_Scope1Scope3EmissionFactorsTransport_Data(), Table_Fuel_EFs_Transport[[#Headers],[Transport type]], 0)</f>
        <v>Biodiesel</v>
      </c>
      <c r="F15" s="76" cm="1">
        <f t="array" ref="F15">Common_InputFunctions.Utility_DisplayArrayInTable(Fuel_SourceData.Fuel_Scope1Scope3EmissionFactorsTransport_Data(), Table_Fuel_EFs_Transport[[#Headers],[Transport type]], 0)</f>
        <v>34.6</v>
      </c>
      <c r="G15" s="76" t="str" cm="1">
        <f t="array" ref="G15">Common_InputFunctions.Utility_DisplayArrayInTable(Fuel_SourceData.Fuel_Scope1Scope3EmissionFactorsTransport_Data(), Table_Fuel_EFs_Transport[[#Headers],[Transport type]], 0)</f>
        <v>kl</v>
      </c>
      <c r="H15" s="76" cm="1">
        <f t="array" ref="H15">Common_InputFunctions.Utility_DisplayArrayInTable(Fuel_SourceData.Fuel_Scope1Scope3EmissionFactorsTransport_Data(), Table_Fuel_EFs_Transport[[#Headers],[Transport type]], 0)</f>
        <v>0</v>
      </c>
      <c r="I15" s="76" cm="1">
        <f t="array" ref="I15">Common_InputFunctions.Utility_DisplayArrayInTable(Fuel_SourceData.Fuel_Scope1Scope3EmissionFactorsTransport_Data(), Table_Fuel_EFs_Transport[[#Headers],[Transport type]], 0)</f>
        <v>0.8</v>
      </c>
      <c r="J15" s="76" cm="1">
        <f t="array" ref="J15">Common_InputFunctions.Utility_DisplayArrayInTable(Fuel_SourceData.Fuel_Scope1Scope3EmissionFactorsTransport_Data(), Table_Fuel_EFs_Transport[[#Headers],[Transport type]], 0)</f>
        <v>1.7</v>
      </c>
      <c r="K15" s="76" cm="1">
        <f t="array" ref="K15">Common_InputFunctions.Utility_DisplayArrayInTable(Fuel_SourceData.Fuel_Scope1Scope3EmissionFactorsTransport_Data(), Table_Fuel_EFs_Transport[[#Headers],[Transport type]], 0)</f>
        <v>2.5</v>
      </c>
      <c r="L15" s="76" t="str" cm="1">
        <f t="array" ref="L15">Common_InputFunctions.Utility_DisplayArrayInTable(Fuel_SourceData.Fuel_Scope1Scope3EmissionFactorsTransport_Data(), Table_Fuel_EFs_Transport[[#Headers],[Transport type]], 0)</f>
        <v>NE</v>
      </c>
    </row>
    <row r="16" spans="1:35" ht="20.100000000000001" customHeight="1" x14ac:dyDescent="0.25">
      <c r="A16" s="72" t="str">
        <f>HYPERLINK("#'Constants - Fuel'!A1", "Constants - Fuel")</f>
        <v>Constants - Fuel</v>
      </c>
      <c r="D16" s="76" t="str" cm="1">
        <f t="array" ref="D16">Common_InputFunctions.Utility_DisplayArrayInTable(Fuel_SourceData.Fuel_Scope1Scope3EmissionFactorsTransport_Data(), Table_Fuel_EFs_Transport[[#Headers],[Transport type]], 0)</f>
        <v>Cars and light commercial vehicles</v>
      </c>
      <c r="E16" s="76" t="str" cm="1">
        <f t="array" ref="E16">Common_InputFunctions.Utility_DisplayArrayInTable(Fuel_SourceData.Fuel_Scope1Scope3EmissionFactorsTransport_Data(), Table_Fuel_EFs_Transport[[#Headers],[Transport type]], 0)</f>
        <v>Renewable diesel</v>
      </c>
      <c r="F16" s="76" cm="1">
        <f t="array" ref="F16">Common_InputFunctions.Utility_DisplayArrayInTable(Fuel_SourceData.Fuel_Scope1Scope3EmissionFactorsTransport_Data(), Table_Fuel_EFs_Transport[[#Headers],[Transport type]], 0)</f>
        <v>38.6</v>
      </c>
      <c r="G16" s="76" t="str" cm="1">
        <f t="array" ref="G16">Common_InputFunctions.Utility_DisplayArrayInTable(Fuel_SourceData.Fuel_Scope1Scope3EmissionFactorsTransport_Data(), Table_Fuel_EFs_Transport[[#Headers],[Transport type]], 0)</f>
        <v>kl</v>
      </c>
      <c r="H16" s="76" cm="1">
        <f t="array" ref="H16">Common_InputFunctions.Utility_DisplayArrayInTable(Fuel_SourceData.Fuel_Scope1Scope3EmissionFactorsTransport_Data(), Table_Fuel_EFs_Transport[[#Headers],[Transport type]], 0)</f>
        <v>0</v>
      </c>
      <c r="I16" s="76" cm="1">
        <f t="array" ref="I16">Common_InputFunctions.Utility_DisplayArrayInTable(Fuel_SourceData.Fuel_Scope1Scope3EmissionFactorsTransport_Data(), Table_Fuel_EFs_Transport[[#Headers],[Transport type]], 0)</f>
        <v>0.01</v>
      </c>
      <c r="J16" s="76" cm="1">
        <f t="array" ref="J16">Common_InputFunctions.Utility_DisplayArrayInTable(Fuel_SourceData.Fuel_Scope1Scope3EmissionFactorsTransport_Data(), Table_Fuel_EFs_Transport[[#Headers],[Transport type]], 0)</f>
        <v>0.5</v>
      </c>
      <c r="K16" s="76" cm="1">
        <f t="array" ref="K16">Common_InputFunctions.Utility_DisplayArrayInTable(Fuel_SourceData.Fuel_Scope1Scope3EmissionFactorsTransport_Data(), Table_Fuel_EFs_Transport[[#Headers],[Transport type]], 0)</f>
        <v>0.51</v>
      </c>
      <c r="L16" s="76" t="str" cm="1">
        <f t="array" ref="L16">Common_InputFunctions.Utility_DisplayArrayInTable(Fuel_SourceData.Fuel_Scope1Scope3EmissionFactorsTransport_Data(), Table_Fuel_EFs_Transport[[#Headers],[Transport type]], 0)</f>
        <v>NE</v>
      </c>
    </row>
    <row r="17" spans="1:12" ht="20.100000000000001" customHeight="1" x14ac:dyDescent="0.25">
      <c r="A17" s="14" t="str">
        <f>HYPERLINK("#'Constants - Common'!A1", "Constants - Common")</f>
        <v>Constants - Common</v>
      </c>
      <c r="D17" s="76" t="str" cm="1">
        <f t="array" ref="D17">Common_InputFunctions.Utility_DisplayArrayInTable(Fuel_SourceData.Fuel_Scope1Scope3EmissionFactorsTransport_Data(), Table_Fuel_EFs_Transport[[#Headers],[Transport type]], 0)</f>
        <v>Cars and light commercial vehicles</v>
      </c>
      <c r="E17" s="76" t="str" cm="1">
        <f t="array" ref="E17">Common_InputFunctions.Utility_DisplayArrayInTable(Fuel_SourceData.Fuel_Scope1Scope3EmissionFactorsTransport_Data(), Table_Fuel_EFs_Transport[[#Headers],[Transport type]], 0)</f>
        <v>Other biofuels</v>
      </c>
      <c r="F17" s="76" cm="1">
        <f t="array" ref="F17">Common_InputFunctions.Utility_DisplayArrayInTable(Fuel_SourceData.Fuel_Scope1Scope3EmissionFactorsTransport_Data(), Table_Fuel_EFs_Transport[[#Headers],[Transport type]], 0)</f>
        <v>23.4</v>
      </c>
      <c r="G17" s="76" t="str" cm="1">
        <f t="array" ref="G17">Common_InputFunctions.Utility_DisplayArrayInTable(Fuel_SourceData.Fuel_Scope1Scope3EmissionFactorsTransport_Data(), Table_Fuel_EFs_Transport[[#Headers],[Transport type]], 0)</f>
        <v>kl</v>
      </c>
      <c r="H17" s="76" cm="1">
        <f t="array" ref="H17">Common_InputFunctions.Utility_DisplayArrayInTable(Fuel_SourceData.Fuel_Scope1Scope3EmissionFactorsTransport_Data(), Table_Fuel_EFs_Transport[[#Headers],[Transport type]], 0)</f>
        <v>0</v>
      </c>
      <c r="I17" s="76" cm="1">
        <f t="array" ref="I17">Common_InputFunctions.Utility_DisplayArrayInTable(Fuel_SourceData.Fuel_Scope1Scope3EmissionFactorsTransport_Data(), Table_Fuel_EFs_Transport[[#Headers],[Transport type]], 0)</f>
        <v>0.8</v>
      </c>
      <c r="J17" s="76" cm="1">
        <f t="array" ref="J17">Common_InputFunctions.Utility_DisplayArrayInTable(Fuel_SourceData.Fuel_Scope1Scope3EmissionFactorsTransport_Data(), Table_Fuel_EFs_Transport[[#Headers],[Transport type]], 0)</f>
        <v>1.7</v>
      </c>
      <c r="K17" s="76" cm="1">
        <f t="array" ref="K17">Common_InputFunctions.Utility_DisplayArrayInTable(Fuel_SourceData.Fuel_Scope1Scope3EmissionFactorsTransport_Data(), Table_Fuel_EFs_Transport[[#Headers],[Transport type]], 0)</f>
        <v>2.5</v>
      </c>
      <c r="L17" s="76" t="str" cm="1">
        <f t="array" ref="L17">Common_InputFunctions.Utility_DisplayArrayInTable(Fuel_SourceData.Fuel_Scope1Scope3EmissionFactorsTransport_Data(), Table_Fuel_EFs_Transport[[#Headers],[Transport type]], 0)</f>
        <v>NE</v>
      </c>
    </row>
    <row r="18" spans="1:12" ht="20.100000000000001" customHeight="1" x14ac:dyDescent="0.25">
      <c r="D18" s="76" t="str" cm="1">
        <f t="array" ref="D18">Common_InputFunctions.Utility_DisplayArrayInTable(Fuel_SourceData.Fuel_Scope1Scope3EmissionFactorsTransport_Data(), Table_Fuel_EFs_Transport[[#Headers],[Transport type]], 0)</f>
        <v>Light duty vehicles</v>
      </c>
      <c r="E18" s="76" t="str" cm="1">
        <f t="array" ref="E18">Common_InputFunctions.Utility_DisplayArrayInTable(Fuel_SourceData.Fuel_Scope1Scope3EmissionFactorsTransport_Data(), Table_Fuel_EFs_Transport[[#Headers],[Transport type]], 0)</f>
        <v>Compressed natural gas</v>
      </c>
      <c r="F18" s="76" cm="1">
        <f t="array" ref="F18">Common_InputFunctions.Utility_DisplayArrayInTable(Fuel_SourceData.Fuel_Scope1Scope3EmissionFactorsTransport_Data(), Table_Fuel_EFs_Transport[[#Headers],[Transport type]], 0)</f>
        <v>3.9300000000000002E-2</v>
      </c>
      <c r="G18" s="76" t="str" cm="1">
        <f t="array" ref="G18">Common_InputFunctions.Utility_DisplayArrayInTable(Fuel_SourceData.Fuel_Scope1Scope3EmissionFactorsTransport_Data(), Table_Fuel_EFs_Transport[[#Headers],[Transport type]], 0)</f>
        <v>m3</v>
      </c>
      <c r="H18" s="76" cm="1">
        <f t="array" ref="H18">Common_InputFunctions.Utility_DisplayArrayInTable(Fuel_SourceData.Fuel_Scope1Scope3EmissionFactorsTransport_Data(), Table_Fuel_EFs_Transport[[#Headers],[Transport type]], 0)</f>
        <v>51.4</v>
      </c>
      <c r="I18" s="76" cm="1">
        <f t="array" ref="I18">Common_InputFunctions.Utility_DisplayArrayInTable(Fuel_SourceData.Fuel_Scope1Scope3EmissionFactorsTransport_Data(), Table_Fuel_EFs_Transport[[#Headers],[Transport type]], 0)</f>
        <v>7.3</v>
      </c>
      <c r="J18" s="76" cm="1">
        <f t="array" ref="J18">Common_InputFunctions.Utility_DisplayArrayInTable(Fuel_SourceData.Fuel_Scope1Scope3EmissionFactorsTransport_Data(), Table_Fuel_EFs_Transport[[#Headers],[Transport type]], 0)</f>
        <v>0.3</v>
      </c>
      <c r="K18" s="76" cm="1">
        <f t="array" ref="K18">Common_InputFunctions.Utility_DisplayArrayInTable(Fuel_SourceData.Fuel_Scope1Scope3EmissionFactorsTransport_Data(), Table_Fuel_EFs_Transport[[#Headers],[Transport type]], 0)</f>
        <v>59</v>
      </c>
      <c r="L18" s="76" cm="1">
        <f t="array" ref="L18">Common_InputFunctions.Utility_DisplayArrayInTable(Fuel_SourceData.Fuel_Scope1Scope3EmissionFactorsTransport_Data(), Table_Fuel_EFs_Transport[[#Headers],[Transport type]], 0)</f>
        <v>18</v>
      </c>
    </row>
    <row r="19" spans="1:12" ht="20.100000000000001" customHeight="1" x14ac:dyDescent="0.25">
      <c r="D19" s="76" t="str" cm="1">
        <f t="array" ref="D19">Common_InputFunctions.Utility_DisplayArrayInTable(Fuel_SourceData.Fuel_Scope1Scope3EmissionFactorsTransport_Data(), Table_Fuel_EFs_Transport[[#Headers],[Transport type]], 0)</f>
        <v>Light duty vehicles</v>
      </c>
      <c r="E19" s="76" t="str" cm="1">
        <f t="array" ref="E19">Common_InputFunctions.Utility_DisplayArrayInTable(Fuel_SourceData.Fuel_Scope1Scope3EmissionFactorsTransport_Data(), Table_Fuel_EFs_Transport[[#Headers],[Transport type]], 0)</f>
        <v>Liquefied natural gas</v>
      </c>
      <c r="F19" s="76" cm="1">
        <f t="array" ref="F19">Common_InputFunctions.Utility_DisplayArrayInTable(Fuel_SourceData.Fuel_Scope1Scope3EmissionFactorsTransport_Data(), Table_Fuel_EFs_Transport[[#Headers],[Transport type]], 0)</f>
        <v>25.3</v>
      </c>
      <c r="G19" s="76" t="str" cm="1">
        <f t="array" ref="G19">Common_InputFunctions.Utility_DisplayArrayInTable(Fuel_SourceData.Fuel_Scope1Scope3EmissionFactorsTransport_Data(), Table_Fuel_EFs_Transport[[#Headers],[Transport type]], 0)</f>
        <v>kl</v>
      </c>
      <c r="H19" s="76" cm="1">
        <f t="array" ref="H19">Common_InputFunctions.Utility_DisplayArrayInTable(Fuel_SourceData.Fuel_Scope1Scope3EmissionFactorsTransport_Data(), Table_Fuel_EFs_Transport[[#Headers],[Transport type]], 0)</f>
        <v>51.4</v>
      </c>
      <c r="I19" s="76" cm="1">
        <f t="array" ref="I19">Common_InputFunctions.Utility_DisplayArrayInTable(Fuel_SourceData.Fuel_Scope1Scope3EmissionFactorsTransport_Data(), Table_Fuel_EFs_Transport[[#Headers],[Transport type]], 0)</f>
        <v>7.3</v>
      </c>
      <c r="J19" s="76" cm="1">
        <f t="array" ref="J19">Common_InputFunctions.Utility_DisplayArrayInTable(Fuel_SourceData.Fuel_Scope1Scope3EmissionFactorsTransport_Data(), Table_Fuel_EFs_Transport[[#Headers],[Transport type]], 0)</f>
        <v>0.3</v>
      </c>
      <c r="K19" s="76" cm="1">
        <f t="array" ref="K19">Common_InputFunctions.Utility_DisplayArrayInTable(Fuel_SourceData.Fuel_Scope1Scope3EmissionFactorsTransport_Data(), Table_Fuel_EFs_Transport[[#Headers],[Transport type]], 0)</f>
        <v>59</v>
      </c>
      <c r="L19" s="76" cm="1">
        <f t="array" ref="L19">Common_InputFunctions.Utility_DisplayArrayInTable(Fuel_SourceData.Fuel_Scope1Scope3EmissionFactorsTransport_Data(), Table_Fuel_EFs_Transport[[#Headers],[Transport type]], 0)</f>
        <v>18</v>
      </c>
    </row>
    <row r="20" spans="1:12" ht="20.100000000000001" customHeight="1" x14ac:dyDescent="0.25">
      <c r="A20" s="14"/>
      <c r="D20" s="76" t="str" cm="1">
        <f t="array" ref="D20">Common_InputFunctions.Utility_DisplayArrayInTable(Fuel_SourceData.Fuel_Scope1Scope3EmissionFactorsTransport_Data(), Table_Fuel_EFs_Transport[[#Headers],[Transport type]], 0)</f>
        <v>Heavy duty vehicles</v>
      </c>
      <c r="E20" s="76" t="str" cm="1">
        <f t="array" ref="E20">Common_InputFunctions.Utility_DisplayArrayInTable(Fuel_SourceData.Fuel_Scope1Scope3EmissionFactorsTransport_Data(), Table_Fuel_EFs_Transport[[#Headers],[Transport type]], 0)</f>
        <v>Compressed natural gas</v>
      </c>
      <c r="F20" s="76" cm="1">
        <f t="array" ref="F20">Common_InputFunctions.Utility_DisplayArrayInTable(Fuel_SourceData.Fuel_Scope1Scope3EmissionFactorsTransport_Data(), Table_Fuel_EFs_Transport[[#Headers],[Transport type]], 0)</f>
        <v>3.9300000000000002E-2</v>
      </c>
      <c r="G20" s="76" t="str" cm="1">
        <f t="array" ref="G20">Common_InputFunctions.Utility_DisplayArrayInTable(Fuel_SourceData.Fuel_Scope1Scope3EmissionFactorsTransport_Data(), Table_Fuel_EFs_Transport[[#Headers],[Transport type]], 0)</f>
        <v>m3</v>
      </c>
      <c r="H20" s="76" cm="1">
        <f t="array" ref="H20">Common_InputFunctions.Utility_DisplayArrayInTable(Fuel_SourceData.Fuel_Scope1Scope3EmissionFactorsTransport_Data(), Table_Fuel_EFs_Transport[[#Headers],[Transport type]], 0)</f>
        <v>51.4</v>
      </c>
      <c r="I20" s="76" cm="1">
        <f t="array" ref="I20">Common_InputFunctions.Utility_DisplayArrayInTable(Fuel_SourceData.Fuel_Scope1Scope3EmissionFactorsTransport_Data(), Table_Fuel_EFs_Transport[[#Headers],[Transport type]], 0)</f>
        <v>2.8</v>
      </c>
      <c r="J20" s="76" cm="1">
        <f t="array" ref="J20">Common_InputFunctions.Utility_DisplayArrayInTable(Fuel_SourceData.Fuel_Scope1Scope3EmissionFactorsTransport_Data(), Table_Fuel_EFs_Transport[[#Headers],[Transport type]], 0)</f>
        <v>0.3</v>
      </c>
      <c r="K20" s="76" cm="1">
        <f t="array" ref="K20">Common_InputFunctions.Utility_DisplayArrayInTable(Fuel_SourceData.Fuel_Scope1Scope3EmissionFactorsTransport_Data(), Table_Fuel_EFs_Transport[[#Headers],[Transport type]], 0)</f>
        <v>54.5</v>
      </c>
      <c r="L20" s="76" cm="1">
        <f t="array" ref="L20">Common_InputFunctions.Utility_DisplayArrayInTable(Fuel_SourceData.Fuel_Scope1Scope3EmissionFactorsTransport_Data(), Table_Fuel_EFs_Transport[[#Headers],[Transport type]], 0)</f>
        <v>18</v>
      </c>
    </row>
    <row r="21" spans="1:12" ht="20.100000000000001" customHeight="1" x14ac:dyDescent="0.25">
      <c r="A21" s="14"/>
      <c r="D21" s="76" t="str" cm="1">
        <f t="array" ref="D21">Common_InputFunctions.Utility_DisplayArrayInTable(Fuel_SourceData.Fuel_Scope1Scope3EmissionFactorsTransport_Data(), Table_Fuel_EFs_Transport[[#Headers],[Transport type]], 0)</f>
        <v>Heavy duty vehicles</v>
      </c>
      <c r="E21" s="76" t="str" cm="1">
        <f t="array" ref="E21">Common_InputFunctions.Utility_DisplayArrayInTable(Fuel_SourceData.Fuel_Scope1Scope3EmissionFactorsTransport_Data(), Table_Fuel_EFs_Transport[[#Headers],[Transport type]], 0)</f>
        <v>Liquefied natural gas</v>
      </c>
      <c r="F21" s="76" cm="1">
        <f t="array" ref="F21">Common_InputFunctions.Utility_DisplayArrayInTable(Fuel_SourceData.Fuel_Scope1Scope3EmissionFactorsTransport_Data(), Table_Fuel_EFs_Transport[[#Headers],[Transport type]], 0)</f>
        <v>25.3</v>
      </c>
      <c r="G21" s="76" t="str" cm="1">
        <f t="array" ref="G21">Common_InputFunctions.Utility_DisplayArrayInTable(Fuel_SourceData.Fuel_Scope1Scope3EmissionFactorsTransport_Data(), Table_Fuel_EFs_Transport[[#Headers],[Transport type]], 0)</f>
        <v>kl</v>
      </c>
      <c r="H21" s="76" cm="1">
        <f t="array" ref="H21">Common_InputFunctions.Utility_DisplayArrayInTable(Fuel_SourceData.Fuel_Scope1Scope3EmissionFactorsTransport_Data(), Table_Fuel_EFs_Transport[[#Headers],[Transport type]], 0)</f>
        <v>51.4</v>
      </c>
      <c r="I21" s="76" cm="1">
        <f t="array" ref="I21">Common_InputFunctions.Utility_DisplayArrayInTable(Fuel_SourceData.Fuel_Scope1Scope3EmissionFactorsTransport_Data(), Table_Fuel_EFs_Transport[[#Headers],[Transport type]], 0)</f>
        <v>2.8</v>
      </c>
      <c r="J21" s="76" cm="1">
        <f t="array" ref="J21">Common_InputFunctions.Utility_DisplayArrayInTable(Fuel_SourceData.Fuel_Scope1Scope3EmissionFactorsTransport_Data(), Table_Fuel_EFs_Transport[[#Headers],[Transport type]], 0)</f>
        <v>0.3</v>
      </c>
      <c r="K21" s="76" cm="1">
        <f t="array" ref="K21">Common_InputFunctions.Utility_DisplayArrayInTable(Fuel_SourceData.Fuel_Scope1Scope3EmissionFactorsTransport_Data(), Table_Fuel_EFs_Transport[[#Headers],[Transport type]], 0)</f>
        <v>54.5</v>
      </c>
      <c r="L21" s="76" cm="1">
        <f t="array" ref="L21">Common_InputFunctions.Utility_DisplayArrayInTable(Fuel_SourceData.Fuel_Scope1Scope3EmissionFactorsTransport_Data(), Table_Fuel_EFs_Transport[[#Headers],[Transport type]], 0)</f>
        <v>18</v>
      </c>
    </row>
    <row r="22" spans="1:12" ht="20.100000000000001" customHeight="1" x14ac:dyDescent="0.25">
      <c r="D22" s="76" t="str" cm="1">
        <f t="array" ref="D22">Common_InputFunctions.Utility_DisplayArrayInTable(Fuel_SourceData.Fuel_Scope1Scope3EmissionFactorsTransport_Data(), Table_Fuel_EFs_Transport[[#Headers],[Transport type]], 0)</f>
        <v>Heavy duty vehicles</v>
      </c>
      <c r="E22" s="76" t="str" cm="1">
        <f t="array" ref="E22">Common_InputFunctions.Utility_DisplayArrayInTable(Fuel_SourceData.Fuel_Scope1Scope3EmissionFactorsTransport_Data(), Table_Fuel_EFs_Transport[[#Headers],[Transport type]], 0)</f>
        <v>Diesel oil - Euro iv or higher</v>
      </c>
      <c r="F22" s="76" cm="1">
        <f t="array" ref="F22">Common_InputFunctions.Utility_DisplayArrayInTable(Fuel_SourceData.Fuel_Scope1Scope3EmissionFactorsTransport_Data(), Table_Fuel_EFs_Transport[[#Headers],[Transport type]], 0)</f>
        <v>38.6</v>
      </c>
      <c r="G22" s="76" t="str" cm="1">
        <f t="array" ref="G22">Common_InputFunctions.Utility_DisplayArrayInTable(Fuel_SourceData.Fuel_Scope1Scope3EmissionFactorsTransport_Data(), Table_Fuel_EFs_Transport[[#Headers],[Transport type]], 0)</f>
        <v>kl</v>
      </c>
      <c r="H22" s="76" cm="1">
        <f t="array" ref="H22">Common_InputFunctions.Utility_DisplayArrayInTable(Fuel_SourceData.Fuel_Scope1Scope3EmissionFactorsTransport_Data(), Table_Fuel_EFs_Transport[[#Headers],[Transport type]], 0)</f>
        <v>69.900000000000006</v>
      </c>
      <c r="I22" s="76" cm="1">
        <f t="array" ref="I22">Common_InputFunctions.Utility_DisplayArrayInTable(Fuel_SourceData.Fuel_Scope1Scope3EmissionFactorsTransport_Data(), Table_Fuel_EFs_Transport[[#Headers],[Transport type]], 0)</f>
        <v>7.0000000000000007E-2</v>
      </c>
      <c r="J22" s="76" cm="1">
        <f t="array" ref="J22">Common_InputFunctions.Utility_DisplayArrayInTable(Fuel_SourceData.Fuel_Scope1Scope3EmissionFactorsTransport_Data(), Table_Fuel_EFs_Transport[[#Headers],[Transport type]], 0)</f>
        <v>0.4</v>
      </c>
      <c r="K22" s="76" cm="1">
        <f t="array" ref="K22">Common_InputFunctions.Utility_DisplayArrayInTable(Fuel_SourceData.Fuel_Scope1Scope3EmissionFactorsTransport_Data(), Table_Fuel_EFs_Transport[[#Headers],[Transport type]], 0)</f>
        <v>70.37</v>
      </c>
      <c r="L22" s="76" cm="1">
        <f t="array" ref="L22">Common_InputFunctions.Utility_DisplayArrayInTable(Fuel_SourceData.Fuel_Scope1Scope3EmissionFactorsTransport_Data(), Table_Fuel_EFs_Transport[[#Headers],[Transport type]], 0)</f>
        <v>17.3</v>
      </c>
    </row>
    <row r="23" spans="1:12" ht="20.100000000000001" customHeight="1" x14ac:dyDescent="0.25">
      <c r="A23" s="14"/>
      <c r="D23" s="76" t="str" cm="1">
        <f t="array" ref="D23">Common_InputFunctions.Utility_DisplayArrayInTable(Fuel_SourceData.Fuel_Scope1Scope3EmissionFactorsTransport_Data(), Table_Fuel_EFs_Transport[[#Headers],[Transport type]], 0)</f>
        <v>Heavy duty vehicles</v>
      </c>
      <c r="E23" s="76" t="str" cm="1">
        <f t="array" ref="E23">Common_InputFunctions.Utility_DisplayArrayInTable(Fuel_SourceData.Fuel_Scope1Scope3EmissionFactorsTransport_Data(), Table_Fuel_EFs_Transport[[#Headers],[Transport type]], 0)</f>
        <v>Diesel oil - Euro iii</v>
      </c>
      <c r="F23" s="76" cm="1">
        <f t="array" ref="F23">Common_InputFunctions.Utility_DisplayArrayInTable(Fuel_SourceData.Fuel_Scope1Scope3EmissionFactorsTransport_Data(), Table_Fuel_EFs_Transport[[#Headers],[Transport type]], 0)</f>
        <v>38.6</v>
      </c>
      <c r="G23" s="76" t="str" cm="1">
        <f t="array" ref="G23">Common_InputFunctions.Utility_DisplayArrayInTable(Fuel_SourceData.Fuel_Scope1Scope3EmissionFactorsTransport_Data(), Table_Fuel_EFs_Transport[[#Headers],[Transport type]], 0)</f>
        <v>kl</v>
      </c>
      <c r="H23" s="76" cm="1">
        <f t="array" ref="H23">Common_InputFunctions.Utility_DisplayArrayInTable(Fuel_SourceData.Fuel_Scope1Scope3EmissionFactorsTransport_Data(), Table_Fuel_EFs_Transport[[#Headers],[Transport type]], 0)</f>
        <v>69.900000000000006</v>
      </c>
      <c r="I23" s="76" cm="1">
        <f t="array" ref="I23">Common_InputFunctions.Utility_DisplayArrayInTable(Fuel_SourceData.Fuel_Scope1Scope3EmissionFactorsTransport_Data(), Table_Fuel_EFs_Transport[[#Headers],[Transport type]], 0)</f>
        <v>0.1</v>
      </c>
      <c r="J23" s="76" cm="1">
        <f t="array" ref="J23">Common_InputFunctions.Utility_DisplayArrayInTable(Fuel_SourceData.Fuel_Scope1Scope3EmissionFactorsTransport_Data(), Table_Fuel_EFs_Transport[[#Headers],[Transport type]], 0)</f>
        <v>0.4</v>
      </c>
      <c r="K23" s="76" cm="1">
        <f t="array" ref="K23">Common_InputFunctions.Utility_DisplayArrayInTable(Fuel_SourceData.Fuel_Scope1Scope3EmissionFactorsTransport_Data(), Table_Fuel_EFs_Transport[[#Headers],[Transport type]], 0)</f>
        <v>70.400000000000006</v>
      </c>
      <c r="L23" s="76" cm="1">
        <f t="array" ref="L23">Common_InputFunctions.Utility_DisplayArrayInTable(Fuel_SourceData.Fuel_Scope1Scope3EmissionFactorsTransport_Data(), Table_Fuel_EFs_Transport[[#Headers],[Transport type]], 0)</f>
        <v>17.3</v>
      </c>
    </row>
    <row r="24" spans="1:12" ht="20.100000000000001" customHeight="1" x14ac:dyDescent="0.25">
      <c r="D24" s="76" t="str" cm="1">
        <f t="array" ref="D24">Common_InputFunctions.Utility_DisplayArrayInTable(Fuel_SourceData.Fuel_Scope1Scope3EmissionFactorsTransport_Data(), Table_Fuel_EFs_Transport[[#Headers],[Transport type]], 0)</f>
        <v>Heavy duty vehicles</v>
      </c>
      <c r="E24" s="76" t="str" cm="1">
        <f t="array" ref="E24">Common_InputFunctions.Utility_DisplayArrayInTable(Fuel_SourceData.Fuel_Scope1Scope3EmissionFactorsTransport_Data(), Table_Fuel_EFs_Transport[[#Headers],[Transport type]], 0)</f>
        <v>Diesel oil - Euro i</v>
      </c>
      <c r="F24" s="76" cm="1">
        <f t="array" ref="F24">Common_InputFunctions.Utility_DisplayArrayInTable(Fuel_SourceData.Fuel_Scope1Scope3EmissionFactorsTransport_Data(), Table_Fuel_EFs_Transport[[#Headers],[Transport type]], 0)</f>
        <v>38.6</v>
      </c>
      <c r="G24" s="76" t="str" cm="1">
        <f t="array" ref="G24">Common_InputFunctions.Utility_DisplayArrayInTable(Fuel_SourceData.Fuel_Scope1Scope3EmissionFactorsTransport_Data(), Table_Fuel_EFs_Transport[[#Headers],[Transport type]], 0)</f>
        <v>kl</v>
      </c>
      <c r="H24" s="76" cm="1">
        <f t="array" ref="H24">Common_InputFunctions.Utility_DisplayArrayInTable(Fuel_SourceData.Fuel_Scope1Scope3EmissionFactorsTransport_Data(), Table_Fuel_EFs_Transport[[#Headers],[Transport type]], 0)</f>
        <v>69.900000000000006</v>
      </c>
      <c r="I24" s="76" cm="1">
        <f t="array" ref="I24">Common_InputFunctions.Utility_DisplayArrayInTable(Fuel_SourceData.Fuel_Scope1Scope3EmissionFactorsTransport_Data(), Table_Fuel_EFs_Transport[[#Headers],[Transport type]], 0)</f>
        <v>0.2</v>
      </c>
      <c r="J24" s="76" cm="1">
        <f t="array" ref="J24">Common_InputFunctions.Utility_DisplayArrayInTable(Fuel_SourceData.Fuel_Scope1Scope3EmissionFactorsTransport_Data(), Table_Fuel_EFs_Transport[[#Headers],[Transport type]], 0)</f>
        <v>0.4</v>
      </c>
      <c r="K24" s="76" cm="1">
        <f t="array" ref="K24">Common_InputFunctions.Utility_DisplayArrayInTable(Fuel_SourceData.Fuel_Scope1Scope3EmissionFactorsTransport_Data(), Table_Fuel_EFs_Transport[[#Headers],[Transport type]], 0)</f>
        <v>70.5</v>
      </c>
      <c r="L24" s="76" cm="1">
        <f t="array" ref="L24">Common_InputFunctions.Utility_DisplayArrayInTable(Fuel_SourceData.Fuel_Scope1Scope3EmissionFactorsTransport_Data(), Table_Fuel_EFs_Transport[[#Headers],[Transport type]], 0)</f>
        <v>17.3</v>
      </c>
    </row>
    <row r="25" spans="1:12" ht="20.100000000000001" customHeight="1" x14ac:dyDescent="0.25">
      <c r="D25" s="76" t="str" cm="1">
        <f t="array" ref="D25">Common_InputFunctions.Utility_DisplayArrayInTable(Fuel_SourceData.Fuel_Scope1Scope3EmissionFactorsTransport_Data(), Table_Fuel_EFs_Transport[[#Headers],[Transport type]], 0)</f>
        <v>Heavy duty vehicles</v>
      </c>
      <c r="E25" s="76" t="str" cm="1">
        <f t="array" ref="E25">Common_InputFunctions.Utility_DisplayArrayInTable(Fuel_SourceData.Fuel_Scope1Scope3EmissionFactorsTransport_Data(), Table_Fuel_EFs_Transport[[#Headers],[Transport type]], 0)</f>
        <v>Renewable diesel – Euro iv or higher</v>
      </c>
      <c r="F25" s="76" cm="1">
        <f t="array" ref="F25">Common_InputFunctions.Utility_DisplayArrayInTable(Fuel_SourceData.Fuel_Scope1Scope3EmissionFactorsTransport_Data(), Table_Fuel_EFs_Transport[[#Headers],[Transport type]], 0)</f>
        <v>38.6</v>
      </c>
      <c r="G25" s="76" t="str" cm="1">
        <f t="array" ref="G25">Common_InputFunctions.Utility_DisplayArrayInTable(Fuel_SourceData.Fuel_Scope1Scope3EmissionFactorsTransport_Data(), Table_Fuel_EFs_Transport[[#Headers],[Transport type]], 0)</f>
        <v>kl</v>
      </c>
      <c r="H25" s="76" cm="1">
        <f t="array" ref="H25">Common_InputFunctions.Utility_DisplayArrayInTable(Fuel_SourceData.Fuel_Scope1Scope3EmissionFactorsTransport_Data(), Table_Fuel_EFs_Transport[[#Headers],[Transport type]], 0)</f>
        <v>0</v>
      </c>
      <c r="I25" s="76" cm="1">
        <f t="array" ref="I25">Common_InputFunctions.Utility_DisplayArrayInTable(Fuel_SourceData.Fuel_Scope1Scope3EmissionFactorsTransport_Data(), Table_Fuel_EFs_Transport[[#Headers],[Transport type]], 0)</f>
        <v>7.0000000000000007E-2</v>
      </c>
      <c r="J25" s="76" cm="1">
        <f t="array" ref="J25">Common_InputFunctions.Utility_DisplayArrayInTable(Fuel_SourceData.Fuel_Scope1Scope3EmissionFactorsTransport_Data(), Table_Fuel_EFs_Transport[[#Headers],[Transport type]], 0)</f>
        <v>0.4</v>
      </c>
      <c r="K25" s="76" cm="1">
        <f t="array" ref="K25">Common_InputFunctions.Utility_DisplayArrayInTable(Fuel_SourceData.Fuel_Scope1Scope3EmissionFactorsTransport_Data(), Table_Fuel_EFs_Transport[[#Headers],[Transport type]], 0)</f>
        <v>0.47</v>
      </c>
      <c r="L25" s="76" t="str" cm="1">
        <f t="array" ref="L25">Common_InputFunctions.Utility_DisplayArrayInTable(Fuel_SourceData.Fuel_Scope1Scope3EmissionFactorsTransport_Data(), Table_Fuel_EFs_Transport[[#Headers],[Transport type]], 0)</f>
        <v>NE</v>
      </c>
    </row>
    <row r="26" spans="1:12" ht="20.100000000000001" customHeight="1" x14ac:dyDescent="0.25">
      <c r="D26" s="76" t="str" cm="1">
        <f t="array" ref="D26">Common_InputFunctions.Utility_DisplayArrayInTable(Fuel_SourceData.Fuel_Scope1Scope3EmissionFactorsTransport_Data(), Table_Fuel_EFs_Transport[[#Headers],[Transport type]], 0)</f>
        <v>Heavy duty vehicles</v>
      </c>
      <c r="E26" s="76" t="str" cm="1">
        <f t="array" ref="E26">Common_InputFunctions.Utility_DisplayArrayInTable(Fuel_SourceData.Fuel_Scope1Scope3EmissionFactorsTransport_Data(), Table_Fuel_EFs_Transport[[#Headers],[Transport type]], 0)</f>
        <v>Renewable diesel – Euro iii</v>
      </c>
      <c r="F26" s="76" cm="1">
        <f t="array" ref="F26">Common_InputFunctions.Utility_DisplayArrayInTable(Fuel_SourceData.Fuel_Scope1Scope3EmissionFactorsTransport_Data(), Table_Fuel_EFs_Transport[[#Headers],[Transport type]], 0)</f>
        <v>38.6</v>
      </c>
      <c r="G26" s="76" t="str" cm="1">
        <f t="array" ref="G26">Common_InputFunctions.Utility_DisplayArrayInTable(Fuel_SourceData.Fuel_Scope1Scope3EmissionFactorsTransport_Data(), Table_Fuel_EFs_Transport[[#Headers],[Transport type]], 0)</f>
        <v>kl</v>
      </c>
      <c r="H26" s="76" cm="1">
        <f t="array" ref="H26">Common_InputFunctions.Utility_DisplayArrayInTable(Fuel_SourceData.Fuel_Scope1Scope3EmissionFactorsTransport_Data(), Table_Fuel_EFs_Transport[[#Headers],[Transport type]], 0)</f>
        <v>0</v>
      </c>
      <c r="I26" s="76" cm="1">
        <f t="array" ref="I26">Common_InputFunctions.Utility_DisplayArrayInTable(Fuel_SourceData.Fuel_Scope1Scope3EmissionFactorsTransport_Data(), Table_Fuel_EFs_Transport[[#Headers],[Transport type]], 0)</f>
        <v>0.1</v>
      </c>
      <c r="J26" s="76" cm="1">
        <f t="array" ref="J26">Common_InputFunctions.Utility_DisplayArrayInTable(Fuel_SourceData.Fuel_Scope1Scope3EmissionFactorsTransport_Data(), Table_Fuel_EFs_Transport[[#Headers],[Transport type]], 0)</f>
        <v>0.4</v>
      </c>
      <c r="K26" s="76" cm="1">
        <f t="array" ref="K26">Common_InputFunctions.Utility_DisplayArrayInTable(Fuel_SourceData.Fuel_Scope1Scope3EmissionFactorsTransport_Data(), Table_Fuel_EFs_Transport[[#Headers],[Transport type]], 0)</f>
        <v>0.5</v>
      </c>
      <c r="L26" s="76" t="str" cm="1">
        <f t="array" ref="L26">Common_InputFunctions.Utility_DisplayArrayInTable(Fuel_SourceData.Fuel_Scope1Scope3EmissionFactorsTransport_Data(), Table_Fuel_EFs_Transport[[#Headers],[Transport type]], 0)</f>
        <v>NE</v>
      </c>
    </row>
    <row r="27" spans="1:12" ht="20.100000000000001" customHeight="1" x14ac:dyDescent="0.25">
      <c r="D27" s="76" t="str" cm="1">
        <f t="array" ref="D27">Common_InputFunctions.Utility_DisplayArrayInTable(Fuel_SourceData.Fuel_Scope1Scope3EmissionFactorsTransport_Data(), Table_Fuel_EFs_Transport[[#Headers],[Transport type]], 0)</f>
        <v>Heavy duty vehicles</v>
      </c>
      <c r="E27" s="76" t="str" cm="1">
        <f t="array" ref="E27">Common_InputFunctions.Utility_DisplayArrayInTable(Fuel_SourceData.Fuel_Scope1Scope3EmissionFactorsTransport_Data(), Table_Fuel_EFs_Transport[[#Headers],[Transport type]], 0)</f>
        <v>Renewable diesel – Euro i</v>
      </c>
      <c r="F27" s="76" cm="1">
        <f t="array" ref="F27">Common_InputFunctions.Utility_DisplayArrayInTable(Fuel_SourceData.Fuel_Scope1Scope3EmissionFactorsTransport_Data(), Table_Fuel_EFs_Transport[[#Headers],[Transport type]], 0)</f>
        <v>38.6</v>
      </c>
      <c r="G27" s="76" t="str" cm="1">
        <f t="array" ref="G27">Common_InputFunctions.Utility_DisplayArrayInTable(Fuel_SourceData.Fuel_Scope1Scope3EmissionFactorsTransport_Data(), Table_Fuel_EFs_Transport[[#Headers],[Transport type]], 0)</f>
        <v>kl</v>
      </c>
      <c r="H27" s="76" cm="1">
        <f t="array" ref="H27">Common_InputFunctions.Utility_DisplayArrayInTable(Fuel_SourceData.Fuel_Scope1Scope3EmissionFactorsTransport_Data(), Table_Fuel_EFs_Transport[[#Headers],[Transport type]], 0)</f>
        <v>0</v>
      </c>
      <c r="I27" s="76" cm="1">
        <f t="array" ref="I27">Common_InputFunctions.Utility_DisplayArrayInTable(Fuel_SourceData.Fuel_Scope1Scope3EmissionFactorsTransport_Data(), Table_Fuel_EFs_Transport[[#Headers],[Transport type]], 0)</f>
        <v>0.2</v>
      </c>
      <c r="J27" s="76" cm="1">
        <f t="array" ref="J27">Common_InputFunctions.Utility_DisplayArrayInTable(Fuel_SourceData.Fuel_Scope1Scope3EmissionFactorsTransport_Data(), Table_Fuel_EFs_Transport[[#Headers],[Transport type]], 0)</f>
        <v>0.4</v>
      </c>
      <c r="K27" s="76" cm="1">
        <f t="array" ref="K27">Common_InputFunctions.Utility_DisplayArrayInTable(Fuel_SourceData.Fuel_Scope1Scope3EmissionFactorsTransport_Data(), Table_Fuel_EFs_Transport[[#Headers],[Transport type]], 0)</f>
        <v>0.6</v>
      </c>
      <c r="L27" s="76" t="str" cm="1">
        <f t="array" ref="L27">Common_InputFunctions.Utility_DisplayArrayInTable(Fuel_SourceData.Fuel_Scope1Scope3EmissionFactorsTransport_Data(), Table_Fuel_EFs_Transport[[#Headers],[Transport type]], 0)</f>
        <v>NE</v>
      </c>
    </row>
    <row r="28" spans="1:12" ht="20.100000000000001" customHeight="1" x14ac:dyDescent="0.25">
      <c r="D28" s="76" t="str" cm="1">
        <f t="array" ref="D28">Common_InputFunctions.Utility_DisplayArrayInTable(Fuel_SourceData.Fuel_Scope1Scope3EmissionFactorsTransport_Data(), Table_Fuel_EFs_Transport[[#Headers],[Transport type]], 0)</f>
        <v>Aviation</v>
      </c>
      <c r="E28" s="76" t="str" cm="1">
        <f t="array" ref="E28">Common_InputFunctions.Utility_DisplayArrayInTable(Fuel_SourceData.Fuel_Scope1Scope3EmissionFactorsTransport_Data(), Table_Fuel_EFs_Transport[[#Headers],[Transport type]], 0)</f>
        <v>Gasoline for use as fuel in an aircraft</v>
      </c>
      <c r="F28" s="76" cm="1">
        <f t="array" ref="F28">Common_InputFunctions.Utility_DisplayArrayInTable(Fuel_SourceData.Fuel_Scope1Scope3EmissionFactorsTransport_Data(), Table_Fuel_EFs_Transport[[#Headers],[Transport type]], 0)</f>
        <v>33.1</v>
      </c>
      <c r="G28" s="76" t="str" cm="1">
        <f t="array" ref="G28">Common_InputFunctions.Utility_DisplayArrayInTable(Fuel_SourceData.Fuel_Scope1Scope3EmissionFactorsTransport_Data(), Table_Fuel_EFs_Transport[[#Headers],[Transport type]], 0)</f>
        <v>kl</v>
      </c>
      <c r="H28" s="76" cm="1">
        <f t="array" ref="H28">Common_InputFunctions.Utility_DisplayArrayInTable(Fuel_SourceData.Fuel_Scope1Scope3EmissionFactorsTransport_Data(), Table_Fuel_EFs_Transport[[#Headers],[Transport type]], 0)</f>
        <v>67</v>
      </c>
      <c r="I28" s="76" cm="1">
        <f t="array" ref="I28">Common_InputFunctions.Utility_DisplayArrayInTable(Fuel_SourceData.Fuel_Scope1Scope3EmissionFactorsTransport_Data(), Table_Fuel_EFs_Transport[[#Headers],[Transport type]], 0)</f>
        <v>0.06</v>
      </c>
      <c r="J28" s="76" cm="1">
        <f t="array" ref="J28">Common_InputFunctions.Utility_DisplayArrayInTable(Fuel_SourceData.Fuel_Scope1Scope3EmissionFactorsTransport_Data(), Table_Fuel_EFs_Transport[[#Headers],[Transport type]], 0)</f>
        <v>0.6</v>
      </c>
      <c r="K28" s="76" cm="1">
        <f t="array" ref="K28">Common_InputFunctions.Utility_DisplayArrayInTable(Fuel_SourceData.Fuel_Scope1Scope3EmissionFactorsTransport_Data(), Table_Fuel_EFs_Transport[[#Headers],[Transport type]], 0)</f>
        <v>67.66</v>
      </c>
      <c r="L28" s="76" cm="1">
        <f t="array" ref="L28">Common_InputFunctions.Utility_DisplayArrayInTable(Fuel_SourceData.Fuel_Scope1Scope3EmissionFactorsTransport_Data(), Table_Fuel_EFs_Transport[[#Headers],[Transport type]], 0)</f>
        <v>18</v>
      </c>
    </row>
    <row r="29" spans="1:12" ht="20.100000000000001" customHeight="1" x14ac:dyDescent="0.25">
      <c r="D29" s="76" t="str" cm="1">
        <f t="array" ref="D29">Common_InputFunctions.Utility_DisplayArrayInTable(Fuel_SourceData.Fuel_Scope1Scope3EmissionFactorsTransport_Data(), Table_Fuel_EFs_Transport[[#Headers],[Transport type]], 0)</f>
        <v>Aviation</v>
      </c>
      <c r="E29" s="76" t="str" cm="1">
        <f t="array" ref="E29">Common_InputFunctions.Utility_DisplayArrayInTable(Fuel_SourceData.Fuel_Scope1Scope3EmissionFactorsTransport_Data(), Table_Fuel_EFs_Transport[[#Headers],[Transport type]], 0)</f>
        <v>Kerosene for use as fuel in an aircraft</v>
      </c>
      <c r="F29" s="76" cm="1">
        <f t="array" ref="F29">Common_InputFunctions.Utility_DisplayArrayInTable(Fuel_SourceData.Fuel_Scope1Scope3EmissionFactorsTransport_Data(), Table_Fuel_EFs_Transport[[#Headers],[Transport type]], 0)</f>
        <v>36.799999999999997</v>
      </c>
      <c r="G29" s="76" t="str" cm="1">
        <f t="array" ref="G29">Common_InputFunctions.Utility_DisplayArrayInTable(Fuel_SourceData.Fuel_Scope1Scope3EmissionFactorsTransport_Data(), Table_Fuel_EFs_Transport[[#Headers],[Transport type]], 0)</f>
        <v>kl</v>
      </c>
      <c r="H29" s="76" cm="1">
        <f t="array" ref="H29">Common_InputFunctions.Utility_DisplayArrayInTable(Fuel_SourceData.Fuel_Scope1Scope3EmissionFactorsTransport_Data(), Table_Fuel_EFs_Transport[[#Headers],[Transport type]], 0)</f>
        <v>69.599999999999994</v>
      </c>
      <c r="I29" s="76" cm="1">
        <f t="array" ref="I29">Common_InputFunctions.Utility_DisplayArrayInTable(Fuel_SourceData.Fuel_Scope1Scope3EmissionFactorsTransport_Data(), Table_Fuel_EFs_Transport[[#Headers],[Transport type]], 0)</f>
        <v>0.01</v>
      </c>
      <c r="J29" s="76" cm="1">
        <f t="array" ref="J29">Common_InputFunctions.Utility_DisplayArrayInTable(Fuel_SourceData.Fuel_Scope1Scope3EmissionFactorsTransport_Data(), Table_Fuel_EFs_Transport[[#Headers],[Transport type]], 0)</f>
        <v>0.6</v>
      </c>
      <c r="K29" s="76" cm="1">
        <f t="array" ref="K29">Common_InputFunctions.Utility_DisplayArrayInTable(Fuel_SourceData.Fuel_Scope1Scope3EmissionFactorsTransport_Data(), Table_Fuel_EFs_Transport[[#Headers],[Transport type]], 0)</f>
        <v>70.209999999999994</v>
      </c>
      <c r="L29" s="76" cm="1">
        <f t="array" ref="L29">Common_InputFunctions.Utility_DisplayArrayInTable(Fuel_SourceData.Fuel_Scope1Scope3EmissionFactorsTransport_Data(), Table_Fuel_EFs_Transport[[#Headers],[Transport type]], 0)</f>
        <v>18</v>
      </c>
    </row>
    <row r="30" spans="1:12" ht="20.100000000000001" customHeight="1" x14ac:dyDescent="0.25">
      <c r="D30" s="76" t="str" cm="1">
        <f t="array" ref="D30">Common_InputFunctions.Utility_DisplayArrayInTable(Fuel_SourceData.Fuel_Scope1Scope3EmissionFactorsTransport_Data(), Table_Fuel_EFs_Transport[[#Headers],[Transport type]], 0)</f>
        <v>Aviation</v>
      </c>
      <c r="E30" s="76" t="str" cm="1">
        <f t="array" ref="E30">Common_InputFunctions.Utility_DisplayArrayInTable(Fuel_SourceData.Fuel_Scope1Scope3EmissionFactorsTransport_Data(), Table_Fuel_EFs_Transport[[#Headers],[Transport type]], 0)</f>
        <v>Renewable aviation kerosene</v>
      </c>
      <c r="F30" s="76" cm="1">
        <f t="array" ref="F30">Common_InputFunctions.Utility_DisplayArrayInTable(Fuel_SourceData.Fuel_Scope1Scope3EmissionFactorsTransport_Data(), Table_Fuel_EFs_Transport[[#Headers],[Transport type]], 0)</f>
        <v>36.799999999999997</v>
      </c>
      <c r="G30" s="76" t="str" cm="1">
        <f t="array" ref="G30">Common_InputFunctions.Utility_DisplayArrayInTable(Fuel_SourceData.Fuel_Scope1Scope3EmissionFactorsTransport_Data(), Table_Fuel_EFs_Transport[[#Headers],[Transport type]], 0)</f>
        <v>kl</v>
      </c>
      <c r="H30" s="76" cm="1">
        <f t="array" ref="H30">Common_InputFunctions.Utility_DisplayArrayInTable(Fuel_SourceData.Fuel_Scope1Scope3EmissionFactorsTransport_Data(), Table_Fuel_EFs_Transport[[#Headers],[Transport type]], 0)</f>
        <v>0</v>
      </c>
      <c r="I30" s="76" cm="1">
        <f t="array" ref="I30">Common_InputFunctions.Utility_DisplayArrayInTable(Fuel_SourceData.Fuel_Scope1Scope3EmissionFactorsTransport_Data(), Table_Fuel_EFs_Transport[[#Headers],[Transport type]], 0)</f>
        <v>0.01</v>
      </c>
      <c r="J30" s="76" cm="1">
        <f t="array" ref="J30">Common_InputFunctions.Utility_DisplayArrayInTable(Fuel_SourceData.Fuel_Scope1Scope3EmissionFactorsTransport_Data(), Table_Fuel_EFs_Transport[[#Headers],[Transport type]], 0)</f>
        <v>0.6</v>
      </c>
      <c r="K30" s="76" cm="1">
        <f t="array" ref="K30">Common_InputFunctions.Utility_DisplayArrayInTable(Fuel_SourceData.Fuel_Scope1Scope3EmissionFactorsTransport_Data(), Table_Fuel_EFs_Transport[[#Headers],[Transport type]], 0)</f>
        <v>0.61</v>
      </c>
      <c r="L30" s="76" t="str" cm="1">
        <f t="array" ref="L30">Common_InputFunctions.Utility_DisplayArrayInTable(Fuel_SourceData.Fuel_Scope1Scope3EmissionFactorsTransport_Data(), Table_Fuel_EFs_Transport[[#Headers],[Transport type]], 0)</f>
        <v>NE</v>
      </c>
    </row>
    <row r="31" spans="1:12" ht="20.100000000000001" customHeight="1" x14ac:dyDescent="0.25">
      <c r="D31" s="76" t="str" cm="1">
        <f t="array" ref="D31">Common_InputFunctions.Utility_DisplayArrayInTable(Fuel_SourceData.Fuel_Scope1Scope3EmissionFactorsTransport_Data(), Table_Fuel_EFs_Transport[[#Headers],[Transport type]], 0)</f>
        <v>Vessels</v>
      </c>
      <c r="E31" s="76" t="str" cm="1">
        <f t="array" ref="E31">Common_InputFunctions.Utility_DisplayArrayInTable(Fuel_SourceData.Fuel_Scope1Scope3EmissionFactorsTransport_Data(), Table_Fuel_EFs_Transport[[#Headers],[Transport type]], 0)</f>
        <v>Gasoline</v>
      </c>
      <c r="F31" s="76" cm="1">
        <f t="array" ref="F31">Common_InputFunctions.Utility_DisplayArrayInTable(Fuel_SourceData.Fuel_Scope1Scope3EmissionFactorsTransport_Data(), Table_Fuel_EFs_Transport[[#Headers],[Transport type]], 0)</f>
        <v>34.200000000000003</v>
      </c>
      <c r="G31" s="76" t="str" cm="1">
        <f t="array" ref="G31">Common_InputFunctions.Utility_DisplayArrayInTable(Fuel_SourceData.Fuel_Scope1Scope3EmissionFactorsTransport_Data(), Table_Fuel_EFs_Transport[[#Headers],[Transport type]], 0)</f>
        <v>kL</v>
      </c>
      <c r="H31" s="76" cm="1">
        <f t="array" ref="H31">Common_InputFunctions.Utility_DisplayArrayInTable(Fuel_SourceData.Fuel_Scope1Scope3EmissionFactorsTransport_Data(), Table_Fuel_EFs_Transport[[#Headers],[Transport type]], 0)</f>
        <v>67.400000000000006</v>
      </c>
      <c r="I31" s="76" cm="1">
        <f t="array" ref="I31">Common_InputFunctions.Utility_DisplayArrayInTable(Fuel_SourceData.Fuel_Scope1Scope3EmissionFactorsTransport_Data(), Table_Fuel_EFs_Transport[[#Headers],[Transport type]], 0)</f>
        <v>10.1</v>
      </c>
      <c r="J31" s="76" cm="1">
        <f t="array" ref="J31">Common_InputFunctions.Utility_DisplayArrayInTable(Fuel_SourceData.Fuel_Scope1Scope3EmissionFactorsTransport_Data(), Table_Fuel_EFs_Transport[[#Headers],[Transport type]], 0)</f>
        <v>0.3</v>
      </c>
      <c r="K31" s="76" t="str" cm="1">
        <f t="array" ref="K31">Common_InputFunctions.Utility_DisplayArrayInTable(Fuel_SourceData.Fuel_Scope1Scope3EmissionFactorsTransport_Data(), Table_Fuel_EFs_Transport[[#Headers],[Transport type]], 0)</f>
        <v/>
      </c>
      <c r="L31" s="76" cm="1">
        <f t="array" ref="L31">Common_InputFunctions.Utility_DisplayArrayInTable(Fuel_SourceData.Fuel_Scope1Scope3EmissionFactorsTransport_Data(), Table_Fuel_EFs_Transport[[#Headers],[Transport type]], 0)</f>
        <v>17.2</v>
      </c>
    </row>
    <row r="32" spans="1:12" ht="20.100000000000001" customHeight="1" x14ac:dyDescent="0.25">
      <c r="D32" s="100" t="str" cm="1">
        <f t="array" ref="D32">Common_InputFunctions.Utility_DisplayArrayInTable(Fuel_SourceData.Fuel_Scope1Scope3EmissionFactorsTransport_Data(), Table_Fuel_EFs_Transport[[#Headers],[Transport type]], 0)</f>
        <v>Vessels</v>
      </c>
      <c r="E32" s="100" t="str" cm="1">
        <f t="array" ref="E32">Common_InputFunctions.Utility_DisplayArrayInTable(Fuel_SourceData.Fuel_Scope1Scope3EmissionFactorsTransport_Data(), Table_Fuel_EFs_Transport[[#Headers],[Transport type]], 0)</f>
        <v>Diesel oil</v>
      </c>
      <c r="F32" s="100" cm="1">
        <f t="array" ref="F32">Common_InputFunctions.Utility_DisplayArrayInTable(Fuel_SourceData.Fuel_Scope1Scope3EmissionFactorsTransport_Data(), Table_Fuel_EFs_Transport[[#Headers],[Transport type]], 0)</f>
        <v>38.6</v>
      </c>
      <c r="G32" s="100" t="str" cm="1">
        <f t="array" ref="G32">Common_InputFunctions.Utility_DisplayArrayInTable(Fuel_SourceData.Fuel_Scope1Scope3EmissionFactorsTransport_Data(), Table_Fuel_EFs_Transport[[#Headers],[Transport type]], 0)</f>
        <v>kL</v>
      </c>
      <c r="H32" s="100" cm="1">
        <f t="array" ref="H32">Common_InputFunctions.Utility_DisplayArrayInTable(Fuel_SourceData.Fuel_Scope1Scope3EmissionFactorsTransport_Data(), Table_Fuel_EFs_Transport[[#Headers],[Transport type]], 0)</f>
        <v>69.900000000000006</v>
      </c>
      <c r="I32" s="100" cm="1">
        <f t="array" ref="I32">Common_InputFunctions.Utility_DisplayArrayInTable(Fuel_SourceData.Fuel_Scope1Scope3EmissionFactorsTransport_Data(), Table_Fuel_EFs_Transport[[#Headers],[Transport type]], 0)</f>
        <v>0.2</v>
      </c>
      <c r="J32" s="100" cm="1">
        <f t="array" ref="J32">Common_InputFunctions.Utility_DisplayArrayInTable(Fuel_SourceData.Fuel_Scope1Scope3EmissionFactorsTransport_Data(), Table_Fuel_EFs_Transport[[#Headers],[Transport type]], 0)</f>
        <v>0.5</v>
      </c>
      <c r="K32" s="100" t="str" cm="1">
        <f t="array" ref="K32">Common_InputFunctions.Utility_DisplayArrayInTable(Fuel_SourceData.Fuel_Scope1Scope3EmissionFactorsTransport_Data(), Table_Fuel_EFs_Transport[[#Headers],[Transport type]], 0)</f>
        <v/>
      </c>
      <c r="L32" s="100" cm="1">
        <f t="array" ref="L32">Common_InputFunctions.Utility_DisplayArrayInTable(Fuel_SourceData.Fuel_Scope1Scope3EmissionFactorsTransport_Data(), Table_Fuel_EFs_Transport[[#Headers],[Transport type]], 0)</f>
        <v>17.3</v>
      </c>
    </row>
    <row r="33" spans="4:12" ht="20.100000000000001" customHeight="1" x14ac:dyDescent="0.25">
      <c r="D33" s="100" t="str" cm="1">
        <f t="array" ref="D33">Common_InputFunctions.Utility_DisplayArrayInTable(Fuel_SourceData.Fuel_Scope1Scope3EmissionFactorsTransport_Data(), Table_Fuel_EFs_Transport[[#Headers],[Transport type]], 0)</f>
        <v>Vessels</v>
      </c>
      <c r="E33" s="100" t="str" cm="1">
        <f t="array" ref="E33">Common_InputFunctions.Utility_DisplayArrayInTable(Fuel_SourceData.Fuel_Scope1Scope3EmissionFactorsTransport_Data(), Table_Fuel_EFs_Transport[[#Headers],[Transport type]], 0)</f>
        <v>Fuel Oil</v>
      </c>
      <c r="F33" s="100" cm="1">
        <f t="array" ref="F33">Common_InputFunctions.Utility_DisplayArrayInTable(Fuel_SourceData.Fuel_Scope1Scope3EmissionFactorsTransport_Data(), Table_Fuel_EFs_Transport[[#Headers],[Transport type]], 0)</f>
        <v>39.700000000000003</v>
      </c>
      <c r="G33" s="100" t="str" cm="1">
        <f t="array" ref="G33">Common_InputFunctions.Utility_DisplayArrayInTable(Fuel_SourceData.Fuel_Scope1Scope3EmissionFactorsTransport_Data(), Table_Fuel_EFs_Transport[[#Headers],[Transport type]], 0)</f>
        <v>kL</v>
      </c>
      <c r="H33" s="100" cm="1">
        <f t="array" ref="H33">Common_InputFunctions.Utility_DisplayArrayInTable(Fuel_SourceData.Fuel_Scope1Scope3EmissionFactorsTransport_Data(), Table_Fuel_EFs_Transport[[#Headers],[Transport type]], 0)</f>
        <v>73.599999999999994</v>
      </c>
      <c r="I33" s="100" cm="1">
        <f t="array" ref="I33">Common_InputFunctions.Utility_DisplayArrayInTable(Fuel_SourceData.Fuel_Scope1Scope3EmissionFactorsTransport_Data(), Table_Fuel_EFs_Transport[[#Headers],[Transport type]], 0)</f>
        <v>0.2</v>
      </c>
      <c r="J33" s="100" cm="1">
        <f t="array" ref="J33">Common_InputFunctions.Utility_DisplayArrayInTable(Fuel_SourceData.Fuel_Scope1Scope3EmissionFactorsTransport_Data(), Table_Fuel_EFs_Transport[[#Headers],[Transport type]], 0)</f>
        <v>0.5</v>
      </c>
      <c r="K33" s="100" t="str" cm="1">
        <f t="array" ref="K33">Common_InputFunctions.Utility_DisplayArrayInTable(Fuel_SourceData.Fuel_Scope1Scope3EmissionFactorsTransport_Data(), Table_Fuel_EFs_Transport[[#Headers],[Transport type]], 0)</f>
        <v/>
      </c>
      <c r="L33" s="100" cm="1">
        <f t="array" ref="L33">Common_InputFunctions.Utility_DisplayArrayInTable(Fuel_SourceData.Fuel_Scope1Scope3EmissionFactorsTransport_Data(), Table_Fuel_EFs_Transport[[#Headers],[Transport type]], 0)</f>
        <v>18</v>
      </c>
    </row>
    <row r="34" spans="4:12" ht="20.100000000000001" customHeight="1" x14ac:dyDescent="0.25">
      <c r="D34" s="100" t="str" cm="1">
        <f t="array" ref="D34">Common_InputFunctions.Utility_DisplayArrayInTable(Fuel_SourceData.Fuel_Scope1Scope3EmissionFactorsTransport_Data(), Table_Fuel_EFs_Transport[[#Headers],[Transport type]], 0)</f>
        <v>Off-road Agriculture and forestry equipment</v>
      </c>
      <c r="E34" s="100" t="str" cm="1">
        <f t="array" ref="E34">Common_InputFunctions.Utility_DisplayArrayInTable(Fuel_SourceData.Fuel_Scope1Scope3EmissionFactorsTransport_Data(), Table_Fuel_EFs_Transport[[#Headers],[Transport type]], 0)</f>
        <v>Diesel oil</v>
      </c>
      <c r="F34" s="100" cm="1">
        <f t="array" ref="F34">Common_InputFunctions.Utility_DisplayArrayInTable(Fuel_SourceData.Fuel_Scope1Scope3EmissionFactorsTransport_Data(), Table_Fuel_EFs_Transport[[#Headers],[Transport type]], 0)</f>
        <v>38.6</v>
      </c>
      <c r="G34" s="100" t="str" cm="1">
        <f t="array" ref="G34">Common_InputFunctions.Utility_DisplayArrayInTable(Fuel_SourceData.Fuel_Scope1Scope3EmissionFactorsTransport_Data(), Table_Fuel_EFs_Transport[[#Headers],[Transport type]], 0)</f>
        <v>kL</v>
      </c>
      <c r="H34" s="100" cm="1">
        <f t="array" ref="H34">Common_InputFunctions.Utility_DisplayArrayInTable(Fuel_SourceData.Fuel_Scope1Scope3EmissionFactorsTransport_Data(), Table_Fuel_EFs_Transport[[#Headers],[Transport type]], 0)</f>
        <v>69.900000000000006</v>
      </c>
      <c r="I34" s="100" cm="1">
        <f t="array" ref="I34">Common_InputFunctions.Utility_DisplayArrayInTable(Fuel_SourceData.Fuel_Scope1Scope3EmissionFactorsTransport_Data(), Table_Fuel_EFs_Transport[[#Headers],[Transport type]], 0)</f>
        <v>0.3</v>
      </c>
      <c r="J34" s="100" cm="1">
        <f t="array" ref="J34">Common_InputFunctions.Utility_DisplayArrayInTable(Fuel_SourceData.Fuel_Scope1Scope3EmissionFactorsTransport_Data(), Table_Fuel_EFs_Transport[[#Headers],[Transport type]], 0)</f>
        <v>0.5</v>
      </c>
      <c r="K34" s="100" t="str" cm="1">
        <f t="array" ref="K34">Common_InputFunctions.Utility_DisplayArrayInTable(Fuel_SourceData.Fuel_Scope1Scope3EmissionFactorsTransport_Data(), Table_Fuel_EFs_Transport[[#Headers],[Transport type]], 0)</f>
        <v/>
      </c>
      <c r="L34" s="100"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28" t="s">
        <v>137</v>
      </c>
      <c r="E39" s="28" t="s">
        <v>138</v>
      </c>
      <c r="F39" s="28" t="s">
        <v>139</v>
      </c>
      <c r="G39" s="28" t="s">
        <v>140</v>
      </c>
      <c r="H39" s="28" t="s">
        <v>141</v>
      </c>
      <c r="I39" s="28" t="s">
        <v>142</v>
      </c>
      <c r="J39" s="28" t="s">
        <v>143</v>
      </c>
    </row>
    <row r="40" spans="4:12" ht="20.100000000000001" customHeight="1" x14ac:dyDescent="0.25">
      <c r="D40" s="28" t="str" cm="1">
        <f t="array" ref="D40">Common_InputFunctions.Utility_DisplayArrayInTable(Fuel_SourceData.Fuel_Scope1Scope3EmissionFactorsTransportOffRoad_Data(), Table_SourceData_Fuel_TransportOffroad[[#Headers],[Transport type t]],0)</f>
        <v>Vessel</v>
      </c>
      <c r="E40" s="28" t="str" cm="1">
        <f t="array" ref="E40">Common_InputFunctions.Utility_DisplayArrayInTable(Fuel_SourceData.Fuel_Scope1Scope3EmissionFactorsTransportOffRoad_Data(), Table_SourceData_Fuel_TransportOffroad[[#Headers],[Transport type t]],0)</f>
        <v>Petrol</v>
      </c>
      <c r="F40" s="28" cm="1">
        <f t="array" ref="F40">Common_InputFunctions.Utility_DisplayArrayInTable(Fuel_SourceData.Fuel_Scope1Scope3EmissionFactorsTransportOffRoad_Data(), Table_SourceData_Fuel_TransportOffroad[[#Headers],[Transport type t]],0)</f>
        <v>34.200000000000003</v>
      </c>
      <c r="G40" s="28" cm="1">
        <f t="array" ref="G40">Common_InputFunctions.Utility_DisplayArrayInTable(Fuel_SourceData.Fuel_Scope1Scope3EmissionFactorsTransportOffRoad_Data(), Table_SourceData_Fuel_TransportOffroad[[#Headers],[Transport type t]],0)</f>
        <v>67.400000000000006</v>
      </c>
      <c r="H40" s="28" cm="1">
        <f t="array" ref="H40">Common_InputFunctions.Utility_DisplayArrayInTable(Fuel_SourceData.Fuel_Scope1Scope3EmissionFactorsTransportOffRoad_Data(), Table_SourceData_Fuel_TransportOffroad[[#Headers],[Transport type t]],0)</f>
        <v>10.1</v>
      </c>
      <c r="I40" s="28" cm="1">
        <f t="array" ref="I40">Common_InputFunctions.Utility_DisplayArrayInTable(Fuel_SourceData.Fuel_Scope1Scope3EmissionFactorsTransportOffRoad_Data(), Table_SourceData_Fuel_TransportOffroad[[#Headers],[Transport type t]],0)</f>
        <v>0.3</v>
      </c>
      <c r="J40" s="28"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8" t="str" cm="1">
        <f t="array" ref="E41">Common_InputFunctions.Utility_DisplayArrayInTable(Fuel_SourceData.Fuel_Scope1Scope3EmissionFactorsTransportOffRoad_Data(), Table_SourceData_Fuel_TransportOffroad[[#Headers],[Transport type t]],0)</f>
        <v>Diesel</v>
      </c>
      <c r="F41" s="28" cm="1">
        <f t="array" ref="F41">Common_InputFunctions.Utility_DisplayArrayInTable(Fuel_SourceData.Fuel_Scope1Scope3EmissionFactorsTransportOffRoad_Data(), Table_SourceData_Fuel_TransportOffroad[[#Headers],[Transport type t]],0)</f>
        <v>38.6</v>
      </c>
      <c r="G41" s="28" cm="1">
        <f t="array" ref="G41">Common_InputFunctions.Utility_DisplayArrayInTable(Fuel_SourceData.Fuel_Scope1Scope3EmissionFactorsTransportOffRoad_Data(), Table_SourceData_Fuel_TransportOffroad[[#Headers],[Transport type t]],0)</f>
        <v>69.900000000000006</v>
      </c>
      <c r="H41" s="28" cm="1">
        <f t="array" ref="H41">Common_InputFunctions.Utility_DisplayArrayInTable(Fuel_SourceData.Fuel_Scope1Scope3EmissionFactorsTransportOffRoad_Data(), Table_SourceData_Fuel_TransportOffroad[[#Headers],[Transport type t]],0)</f>
        <v>0.2</v>
      </c>
      <c r="I41" s="28" cm="1">
        <f t="array" ref="I41">Common_InputFunctions.Utility_DisplayArrayInTable(Fuel_SourceData.Fuel_Scope1Scope3EmissionFactorsTransportOffRoad_Data(), Table_SourceData_Fuel_TransportOffroad[[#Headers],[Transport type t]],0)</f>
        <v>0.5</v>
      </c>
      <c r="J41" s="28"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8" t="str" cm="1">
        <f t="array" ref="E42">Common_InputFunctions.Utility_DisplayArrayInTable(Fuel_SourceData.Fuel_Scope1Scope3EmissionFactorsTransportOffRoad_Data(), Table_SourceData_Fuel_TransportOffroad[[#Headers],[Transport type t]],0)</f>
        <v>Fuel Oil</v>
      </c>
      <c r="F42" s="28" cm="1">
        <f t="array" ref="F42">Common_InputFunctions.Utility_DisplayArrayInTable(Fuel_SourceData.Fuel_Scope1Scope3EmissionFactorsTransportOffRoad_Data(), Table_SourceData_Fuel_TransportOffroad[[#Headers],[Transport type t]],0)</f>
        <v>39.700000000000003</v>
      </c>
      <c r="G42" s="28" cm="1">
        <f t="array" ref="G42">Common_InputFunctions.Utility_DisplayArrayInTable(Fuel_SourceData.Fuel_Scope1Scope3EmissionFactorsTransportOffRoad_Data(), Table_SourceData_Fuel_TransportOffroad[[#Headers],[Transport type t]],0)</f>
        <v>73.599999999999994</v>
      </c>
      <c r="H42" s="28" cm="1">
        <f t="array" ref="H42">Common_InputFunctions.Utility_DisplayArrayInTable(Fuel_SourceData.Fuel_Scope1Scope3EmissionFactorsTransportOffRoad_Data(), Table_SourceData_Fuel_TransportOffroad[[#Headers],[Transport type t]],0)</f>
        <v>0.2</v>
      </c>
      <c r="I42" s="28" cm="1">
        <f t="array" ref="I42">Common_InputFunctions.Utility_DisplayArrayInTable(Fuel_SourceData.Fuel_Scope1Scope3EmissionFactorsTransportOffRoad_Data(), Table_SourceData_Fuel_TransportOffroad[[#Headers],[Transport type t]],0)</f>
        <v>0.5</v>
      </c>
      <c r="J42" s="28"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8" t="str" cm="1">
        <f t="array" ref="E43">Common_InputFunctions.Utility_DisplayArrayInTable(Fuel_SourceData.Fuel_Scope1Scope3EmissionFactorsTransportOffRoad_Data(), Table_SourceData_Fuel_TransportOffroad[[#Headers],[Transport type t]],0)</f>
        <v>Diesel</v>
      </c>
      <c r="F43" s="28" cm="1">
        <f t="array" ref="F43">Common_InputFunctions.Utility_DisplayArrayInTable(Fuel_SourceData.Fuel_Scope1Scope3EmissionFactorsTransportOffRoad_Data(), Table_SourceData_Fuel_TransportOffroad[[#Headers],[Transport type t]],0)</f>
        <v>38.6</v>
      </c>
      <c r="G43" s="28" cm="1">
        <f t="array" ref="G43">Common_InputFunctions.Utility_DisplayArrayInTable(Fuel_SourceData.Fuel_Scope1Scope3EmissionFactorsTransportOffRoad_Data(), Table_SourceData_Fuel_TransportOffroad[[#Headers],[Transport type t]],0)</f>
        <v>69.900000000000006</v>
      </c>
      <c r="H43" s="28" cm="1">
        <f t="array" ref="H43">Common_InputFunctions.Utility_DisplayArrayInTable(Fuel_SourceData.Fuel_Scope1Scope3EmissionFactorsTransportOffRoad_Data(), Table_SourceData_Fuel_TransportOffroad[[#Headers],[Transport type t]],0)</f>
        <v>0.3</v>
      </c>
      <c r="I43" s="28" cm="1">
        <f t="array" ref="I43">Common_InputFunctions.Utility_DisplayArrayInTable(Fuel_SourceData.Fuel_Scope1Scope3EmissionFactorsTransportOffRoad_Data(), Table_SourceData_Fuel_TransportOffroad[[#Headers],[Transport type t]],0)</f>
        <v>0.5</v>
      </c>
      <c r="J43" s="28"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2"/>
      <c r="F49" s="52"/>
      <c r="G49" s="52"/>
      <c r="H49" s="52"/>
      <c r="I49" s="52"/>
      <c r="J49" s="52"/>
      <c r="K49" s="52"/>
      <c r="L49" s="52"/>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2"/>
      <c r="F50" s="52"/>
      <c r="G50" s="52"/>
      <c r="H50" s="52"/>
      <c r="I50" s="52"/>
      <c r="J50" s="52"/>
      <c r="K50" s="52"/>
      <c r="L50" s="52"/>
    </row>
    <row r="51" spans="4:12" ht="20.100000000000001" customHeight="1" x14ac:dyDescent="0.25">
      <c r="D51" s="5" t="str" cm="1">
        <f t="array" ref="D51">Fuel_SourceData.Fuel_Scope1Scope3EmissionFactorsStationaryLiquid_Source()</f>
        <v>Australian National Greenhouse Accounts Factors 2025 - Table 8</v>
      </c>
      <c r="E51" s="52"/>
      <c r="F51" s="52"/>
      <c r="G51" s="52"/>
      <c r="H51" s="52"/>
      <c r="I51" s="52"/>
      <c r="J51" s="52"/>
      <c r="K51" s="52"/>
      <c r="L51" s="52"/>
    </row>
    <row r="52" spans="4:12" ht="20.100000000000001" customHeight="1" x14ac:dyDescent="0.25">
      <c r="D52" s="34" t="str" cm="1">
        <f t="array" ref="D52">"⚠️" &amp; Fuel_SourceData.Fuel_Scope1Scope3EmissionFactorsStationaryLiquid_Variation()</f>
        <v>⚠️VARIATION OF SOURCE DATA: 'NE' values returned as zero for calculations.</v>
      </c>
      <c r="E52" s="52"/>
      <c r="F52" s="52"/>
      <c r="G52" s="52"/>
      <c r="H52" s="52"/>
      <c r="I52" s="52"/>
      <c r="J52" s="52"/>
      <c r="K52" s="52"/>
      <c r="L52" s="52"/>
    </row>
    <row r="53" spans="4:12" ht="20.100000000000001" customHeight="1" x14ac:dyDescent="0.25">
      <c r="D53" s="77" t="s">
        <v>113</v>
      </c>
      <c r="E53" s="75" t="s">
        <v>114</v>
      </c>
      <c r="F53" s="77" t="s">
        <v>115</v>
      </c>
      <c r="G53" s="75" t="s">
        <v>116</v>
      </c>
      <c r="H53" s="75" t="s">
        <v>117</v>
      </c>
      <c r="I53" s="75" t="s">
        <v>118</v>
      </c>
      <c r="J53" s="75" t="s">
        <v>119</v>
      </c>
      <c r="K53" s="75" t="s">
        <v>120</v>
      </c>
      <c r="L53" s="52"/>
    </row>
    <row r="54" spans="4:12" ht="20.100000000000001" customHeight="1" x14ac:dyDescent="0.25">
      <c r="D54" s="7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8" cm="1">
        <f t="array" ref="E54">Common_InputFunctions.Utility_DisplayArrayInTable(Fuel_SourceData.Fuel_Scope1Scope3EmissionFactorsStationaryLiquid_Data(), Table_Fuel_EFs_StationaryLiquid[[#Headers],[Fuel combusted]],0)</f>
        <v>38.799999999999997</v>
      </c>
      <c r="F54" s="78" t="str" cm="1">
        <f t="array" ref="F54">Common_InputFunctions.Utility_DisplayArrayInTable(Fuel_SourceData.Fuel_Scope1Scope3EmissionFactorsStationaryLiquid_Data(), Table_Fuel_EFs_StationaryLiquid[[#Headers],[Fuel combusted]],0)</f>
        <v>kl</v>
      </c>
      <c r="G54" s="78" cm="1">
        <f t="array" ref="G54">Common_InputFunctions.Utility_DisplayArrayInTable(Fuel_SourceData.Fuel_Scope1Scope3EmissionFactorsStationaryLiquid_Data(), Table_Fuel_EFs_StationaryLiquid[[#Headers],[Fuel combusted]],0)</f>
        <v>13.9</v>
      </c>
      <c r="H54" s="78" cm="1">
        <f t="array" ref="H54">Common_InputFunctions.Utility_DisplayArrayInTable(Fuel_SourceData.Fuel_Scope1Scope3EmissionFactorsStationaryLiquid_Data(), Table_Fuel_EFs_StationaryLiquid[[#Headers],[Fuel combusted]],0)</f>
        <v>0</v>
      </c>
      <c r="I54" s="78" cm="1">
        <f t="array" ref="I54">Common_InputFunctions.Utility_DisplayArrayInTable(Fuel_SourceData.Fuel_Scope1Scope3EmissionFactorsStationaryLiquid_Data(), Table_Fuel_EFs_StationaryLiquid[[#Headers],[Fuel combusted]],0)</f>
        <v>0</v>
      </c>
      <c r="J54" s="78" cm="1">
        <f t="array" ref="J54">Common_InputFunctions.Utility_DisplayArrayInTable(Fuel_SourceData.Fuel_Scope1Scope3EmissionFactorsStationaryLiquid_Data(), Table_Fuel_EFs_StationaryLiquid[[#Headers],[Fuel combusted]],0)</f>
        <v>13.9</v>
      </c>
      <c r="K54" s="78" cm="1">
        <f t="array" ref="K54">Common_InputFunctions.Utility_DisplayArrayInTable(Fuel_SourceData.Fuel_Scope1Scope3EmissionFactorsStationaryLiquid_Data(), Table_Fuel_EFs_StationaryLiquid[[#Headers],[Fuel combusted]],0)</f>
        <v>18</v>
      </c>
      <c r="L54" s="52"/>
    </row>
    <row r="55" spans="4:12" ht="20.100000000000001" customHeight="1" x14ac:dyDescent="0.25">
      <c r="D55" s="78" t="str" cm="1">
        <f t="array" ref="D55">Common_InputFunctions.Utility_DisplayArrayInTable(Fuel_SourceData.Fuel_Scope1Scope3EmissionFactorsStationaryLiquid_Data(), Table_Fuel_EFs_StationaryLiquid[[#Headers],[Fuel combusted]],0)</f>
        <v>Petroleum based greases</v>
      </c>
      <c r="E55" s="78" cm="1">
        <f t="array" ref="E55">Common_InputFunctions.Utility_DisplayArrayInTable(Fuel_SourceData.Fuel_Scope1Scope3EmissionFactorsStationaryLiquid_Data(), Table_Fuel_EFs_StationaryLiquid[[#Headers],[Fuel combusted]],0)</f>
        <v>38.799999999999997</v>
      </c>
      <c r="F55" s="78" t="str" cm="1">
        <f t="array" ref="F55">Common_InputFunctions.Utility_DisplayArrayInTable(Fuel_SourceData.Fuel_Scope1Scope3EmissionFactorsStationaryLiquid_Data(), Table_Fuel_EFs_StationaryLiquid[[#Headers],[Fuel combusted]],0)</f>
        <v>kl</v>
      </c>
      <c r="G55" s="78" cm="1">
        <f t="array" ref="G55">Common_InputFunctions.Utility_DisplayArrayInTable(Fuel_SourceData.Fuel_Scope1Scope3EmissionFactorsStationaryLiquid_Data(), Table_Fuel_EFs_StationaryLiquid[[#Headers],[Fuel combusted]],0)</f>
        <v>3.5</v>
      </c>
      <c r="H55" s="78" cm="1">
        <f t="array" ref="H55">Common_InputFunctions.Utility_DisplayArrayInTable(Fuel_SourceData.Fuel_Scope1Scope3EmissionFactorsStationaryLiquid_Data(), Table_Fuel_EFs_StationaryLiquid[[#Headers],[Fuel combusted]],0)</f>
        <v>0</v>
      </c>
      <c r="I55" s="78" cm="1">
        <f t="array" ref="I55">Common_InputFunctions.Utility_DisplayArrayInTable(Fuel_SourceData.Fuel_Scope1Scope3EmissionFactorsStationaryLiquid_Data(), Table_Fuel_EFs_StationaryLiquid[[#Headers],[Fuel combusted]],0)</f>
        <v>0</v>
      </c>
      <c r="J55" s="78" cm="1">
        <f t="array" ref="J55">Common_InputFunctions.Utility_DisplayArrayInTable(Fuel_SourceData.Fuel_Scope1Scope3EmissionFactorsStationaryLiquid_Data(), Table_Fuel_EFs_StationaryLiquid[[#Headers],[Fuel combusted]],0)</f>
        <v>3.5</v>
      </c>
      <c r="K55" s="78" cm="1">
        <f t="array" ref="K55">Common_InputFunctions.Utility_DisplayArrayInTable(Fuel_SourceData.Fuel_Scope1Scope3EmissionFactorsStationaryLiquid_Data(), Table_Fuel_EFs_StationaryLiquid[[#Headers],[Fuel combusted]],0)</f>
        <v>18</v>
      </c>
      <c r="L55" s="52"/>
    </row>
    <row r="56" spans="4:12" ht="20.100000000000001" customHeight="1" x14ac:dyDescent="0.25">
      <c r="D56" s="78" t="str" cm="1">
        <f t="array" ref="D56">Common_InputFunctions.Utility_DisplayArrayInTable(Fuel_SourceData.Fuel_Scope1Scope3EmissionFactorsStationaryLiquid_Data(), Table_Fuel_EFs_StationaryLiquid[[#Headers],[Fuel combusted]],0)</f>
        <v>Crude oil including crude oil condensates</v>
      </c>
      <c r="E56" s="78" cm="1">
        <f t="array" ref="E56">Common_InputFunctions.Utility_DisplayArrayInTable(Fuel_SourceData.Fuel_Scope1Scope3EmissionFactorsStationaryLiquid_Data(), Table_Fuel_EFs_StationaryLiquid[[#Headers],[Fuel combusted]],0)</f>
        <v>45.3</v>
      </c>
      <c r="F56" s="78" t="str" cm="1">
        <f t="array" ref="F56">Common_InputFunctions.Utility_DisplayArrayInTable(Fuel_SourceData.Fuel_Scope1Scope3EmissionFactorsStationaryLiquid_Data(), Table_Fuel_EFs_StationaryLiquid[[#Headers],[Fuel combusted]],0)</f>
        <v>t</v>
      </c>
      <c r="G56" s="78" cm="1">
        <f t="array" ref="G56">Common_InputFunctions.Utility_DisplayArrayInTable(Fuel_SourceData.Fuel_Scope1Scope3EmissionFactorsStationaryLiquid_Data(), Table_Fuel_EFs_StationaryLiquid[[#Headers],[Fuel combusted]],0)</f>
        <v>69.599999999999994</v>
      </c>
      <c r="H56" s="78" cm="1">
        <f t="array" ref="H56">Common_InputFunctions.Utility_DisplayArrayInTable(Fuel_SourceData.Fuel_Scope1Scope3EmissionFactorsStationaryLiquid_Data(), Table_Fuel_EFs_StationaryLiquid[[#Headers],[Fuel combusted]],0)</f>
        <v>0.08</v>
      </c>
      <c r="I56" s="78" cm="1">
        <f t="array" ref="I56">Common_InputFunctions.Utility_DisplayArrayInTable(Fuel_SourceData.Fuel_Scope1Scope3EmissionFactorsStationaryLiquid_Data(), Table_Fuel_EFs_StationaryLiquid[[#Headers],[Fuel combusted]],0)</f>
        <v>0.2</v>
      </c>
      <c r="J56" s="78" cm="1">
        <f t="array" ref="J56">Common_InputFunctions.Utility_DisplayArrayInTable(Fuel_SourceData.Fuel_Scope1Scope3EmissionFactorsStationaryLiquid_Data(), Table_Fuel_EFs_StationaryLiquid[[#Headers],[Fuel combusted]],0)</f>
        <v>69.88</v>
      </c>
      <c r="K56" s="78" t="str" cm="1">
        <f t="array" ref="K56">Common_InputFunctions.Utility_DisplayArrayInTable(Fuel_SourceData.Fuel_Scope1Scope3EmissionFactorsStationaryLiquid_Data(), Table_Fuel_EFs_StationaryLiquid[[#Headers],[Fuel combusted]],0)</f>
        <v>NE</v>
      </c>
      <c r="L56" s="52"/>
    </row>
    <row r="57" spans="4:12" ht="20.100000000000001" customHeight="1" x14ac:dyDescent="0.25">
      <c r="D57" s="78" t="str" cm="1">
        <f t="array" ref="D57">Common_InputFunctions.Utility_DisplayArrayInTable(Fuel_SourceData.Fuel_Scope1Scope3EmissionFactorsStationaryLiquid_Data(), Table_Fuel_EFs_StationaryLiquid[[#Headers],[Fuel combusted]],0)</f>
        <v>Other natural gas liquids</v>
      </c>
      <c r="E57" s="78" cm="1">
        <f t="array" ref="E57">Common_InputFunctions.Utility_DisplayArrayInTable(Fuel_SourceData.Fuel_Scope1Scope3EmissionFactorsStationaryLiquid_Data(), Table_Fuel_EFs_StationaryLiquid[[#Headers],[Fuel combusted]],0)</f>
        <v>46.5</v>
      </c>
      <c r="F57" s="78" t="str" cm="1">
        <f t="array" ref="F57">Common_InputFunctions.Utility_DisplayArrayInTable(Fuel_SourceData.Fuel_Scope1Scope3EmissionFactorsStationaryLiquid_Data(), Table_Fuel_EFs_StationaryLiquid[[#Headers],[Fuel combusted]],0)</f>
        <v>t</v>
      </c>
      <c r="G57" s="78" cm="1">
        <f t="array" ref="G57">Common_InputFunctions.Utility_DisplayArrayInTable(Fuel_SourceData.Fuel_Scope1Scope3EmissionFactorsStationaryLiquid_Data(), Table_Fuel_EFs_StationaryLiquid[[#Headers],[Fuel combusted]],0)</f>
        <v>61</v>
      </c>
      <c r="H57" s="78" cm="1">
        <f t="array" ref="H57">Common_InputFunctions.Utility_DisplayArrayInTable(Fuel_SourceData.Fuel_Scope1Scope3EmissionFactorsStationaryLiquid_Data(), Table_Fuel_EFs_StationaryLiquid[[#Headers],[Fuel combusted]],0)</f>
        <v>0.08</v>
      </c>
      <c r="I57" s="78" cm="1">
        <f t="array" ref="I57">Common_InputFunctions.Utility_DisplayArrayInTable(Fuel_SourceData.Fuel_Scope1Scope3EmissionFactorsStationaryLiquid_Data(), Table_Fuel_EFs_StationaryLiquid[[#Headers],[Fuel combusted]],0)</f>
        <v>0.2</v>
      </c>
      <c r="J57" s="78" cm="1">
        <f t="array" ref="J57">Common_InputFunctions.Utility_DisplayArrayInTable(Fuel_SourceData.Fuel_Scope1Scope3EmissionFactorsStationaryLiquid_Data(), Table_Fuel_EFs_StationaryLiquid[[#Headers],[Fuel combusted]],0)</f>
        <v>61.28</v>
      </c>
      <c r="K57" s="78" t="str" cm="1">
        <f t="array" ref="K57">Common_InputFunctions.Utility_DisplayArrayInTable(Fuel_SourceData.Fuel_Scope1Scope3EmissionFactorsStationaryLiquid_Data(), Table_Fuel_EFs_StationaryLiquid[[#Headers],[Fuel combusted]],0)</f>
        <v>NE</v>
      </c>
      <c r="L57" s="52"/>
    </row>
    <row r="58" spans="4:12" ht="20.100000000000001" customHeight="1" x14ac:dyDescent="0.25">
      <c r="D58" s="7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8" cm="1">
        <f t="array" ref="E58">Common_InputFunctions.Utility_DisplayArrayInTable(Fuel_SourceData.Fuel_Scope1Scope3EmissionFactorsStationaryLiquid_Data(), Table_Fuel_EFs_StationaryLiquid[[#Headers],[Fuel combusted]],0)</f>
        <v>34.200000000000003</v>
      </c>
      <c r="F58" s="78" t="str" cm="1">
        <f t="array" ref="F58">Common_InputFunctions.Utility_DisplayArrayInTable(Fuel_SourceData.Fuel_Scope1Scope3EmissionFactorsStationaryLiquid_Data(), Table_Fuel_EFs_StationaryLiquid[[#Headers],[Fuel combusted]],0)</f>
        <v>kL</v>
      </c>
      <c r="G58" s="78" cm="1">
        <f t="array" ref="G58">Common_InputFunctions.Utility_DisplayArrayInTable(Fuel_SourceData.Fuel_Scope1Scope3EmissionFactorsStationaryLiquid_Data(), Table_Fuel_EFs_StationaryLiquid[[#Headers],[Fuel combusted]],0)</f>
        <v>67.400000000000006</v>
      </c>
      <c r="H58" s="78" cm="1">
        <f t="array" ref="H58">Common_InputFunctions.Utility_DisplayArrayInTable(Fuel_SourceData.Fuel_Scope1Scope3EmissionFactorsStationaryLiquid_Data(), Table_Fuel_EFs_StationaryLiquid[[#Headers],[Fuel combusted]],0)</f>
        <v>0.2</v>
      </c>
      <c r="I58" s="78" cm="1">
        <f t="array" ref="I58">Common_InputFunctions.Utility_DisplayArrayInTable(Fuel_SourceData.Fuel_Scope1Scope3EmissionFactorsStationaryLiquid_Data(), Table_Fuel_EFs_StationaryLiquid[[#Headers],[Fuel combusted]],0)</f>
        <v>0.2</v>
      </c>
      <c r="J58" s="78" cm="1">
        <f t="array" ref="J58">Common_InputFunctions.Utility_DisplayArrayInTable(Fuel_SourceData.Fuel_Scope1Scope3EmissionFactorsStationaryLiquid_Data(), Table_Fuel_EFs_StationaryLiquid[[#Headers],[Fuel combusted]],0)</f>
        <v>67.8</v>
      </c>
      <c r="K58" s="78" cm="1">
        <f t="array" ref="K58">Common_InputFunctions.Utility_DisplayArrayInTable(Fuel_SourceData.Fuel_Scope1Scope3EmissionFactorsStationaryLiquid_Data(), Table_Fuel_EFs_StationaryLiquid[[#Headers],[Fuel combusted]],0)</f>
        <v>17.2</v>
      </c>
      <c r="L58" s="52"/>
    </row>
    <row r="59" spans="4:12" ht="20.100000000000001" customHeight="1" x14ac:dyDescent="0.25">
      <c r="D59" s="78" t="str" cm="1">
        <f t="array" ref="D59">Common_InputFunctions.Utility_DisplayArrayInTable(Fuel_SourceData.Fuel_Scope1Scope3EmissionFactorsStationaryLiquid_Data(), Table_Fuel_EFs_StationaryLiquid[[#Headers],[Fuel combusted]],0)</f>
        <v>Aviation gasoline</v>
      </c>
      <c r="E59" s="78" cm="1">
        <f t="array" ref="E59">Common_InputFunctions.Utility_DisplayArrayInTable(Fuel_SourceData.Fuel_Scope1Scope3EmissionFactorsStationaryLiquid_Data(), Table_Fuel_EFs_StationaryLiquid[[#Headers],[Fuel combusted]],0)</f>
        <v>33.1</v>
      </c>
      <c r="F59" s="78" t="str" cm="1">
        <f t="array" ref="F59">Common_InputFunctions.Utility_DisplayArrayInTable(Fuel_SourceData.Fuel_Scope1Scope3EmissionFactorsStationaryLiquid_Data(), Table_Fuel_EFs_StationaryLiquid[[#Headers],[Fuel combusted]],0)</f>
        <v>kL</v>
      </c>
      <c r="G59" s="78" cm="1">
        <f t="array" ref="G59">Common_InputFunctions.Utility_DisplayArrayInTable(Fuel_SourceData.Fuel_Scope1Scope3EmissionFactorsStationaryLiquid_Data(), Table_Fuel_EFs_StationaryLiquid[[#Headers],[Fuel combusted]],0)</f>
        <v>67</v>
      </c>
      <c r="H59" s="78" cm="1">
        <f t="array" ref="H59">Common_InputFunctions.Utility_DisplayArrayInTable(Fuel_SourceData.Fuel_Scope1Scope3EmissionFactorsStationaryLiquid_Data(), Table_Fuel_EFs_StationaryLiquid[[#Headers],[Fuel combusted]],0)</f>
        <v>0.2</v>
      </c>
      <c r="I59" s="78" cm="1">
        <f t="array" ref="I59">Common_InputFunctions.Utility_DisplayArrayInTable(Fuel_SourceData.Fuel_Scope1Scope3EmissionFactorsStationaryLiquid_Data(), Table_Fuel_EFs_StationaryLiquid[[#Headers],[Fuel combusted]],0)</f>
        <v>0.2</v>
      </c>
      <c r="J59" s="78" cm="1">
        <f t="array" ref="J59">Common_InputFunctions.Utility_DisplayArrayInTable(Fuel_SourceData.Fuel_Scope1Scope3EmissionFactorsStationaryLiquid_Data(), Table_Fuel_EFs_StationaryLiquid[[#Headers],[Fuel combusted]],0)</f>
        <v>67.400000000000006</v>
      </c>
      <c r="K59" s="78" cm="1">
        <f t="array" ref="K59">Common_InputFunctions.Utility_DisplayArrayInTable(Fuel_SourceData.Fuel_Scope1Scope3EmissionFactorsStationaryLiquid_Data(), Table_Fuel_EFs_StationaryLiquid[[#Headers],[Fuel combusted]],0)</f>
        <v>18</v>
      </c>
      <c r="L59" s="52"/>
    </row>
    <row r="60" spans="4:12" ht="20.100000000000001" customHeight="1" x14ac:dyDescent="0.25">
      <c r="D60" s="78" t="str" cm="1">
        <f t="array" ref="D60">Common_InputFunctions.Utility_DisplayArrayInTable(Fuel_SourceData.Fuel_Scope1Scope3EmissionFactorsStationaryLiquid_Data(), Table_Fuel_EFs_StationaryLiquid[[#Headers],[Fuel combusted]],0)</f>
        <v>Kerosene (other than for use as fuel in an aircraft)</v>
      </c>
      <c r="E60" s="78" cm="1">
        <f t="array" ref="E60">Common_InputFunctions.Utility_DisplayArrayInTable(Fuel_SourceData.Fuel_Scope1Scope3EmissionFactorsStationaryLiquid_Data(), Table_Fuel_EFs_StationaryLiquid[[#Headers],[Fuel combusted]],0)</f>
        <v>37.5</v>
      </c>
      <c r="F60" s="78" t="str" cm="1">
        <f t="array" ref="F60">Common_InputFunctions.Utility_DisplayArrayInTable(Fuel_SourceData.Fuel_Scope1Scope3EmissionFactorsStationaryLiquid_Data(), Table_Fuel_EFs_StationaryLiquid[[#Headers],[Fuel combusted]],0)</f>
        <v>kL</v>
      </c>
      <c r="G60" s="78" cm="1">
        <f t="array" ref="G60">Common_InputFunctions.Utility_DisplayArrayInTable(Fuel_SourceData.Fuel_Scope1Scope3EmissionFactorsStationaryLiquid_Data(), Table_Fuel_EFs_StationaryLiquid[[#Headers],[Fuel combusted]],0)</f>
        <v>68.900000000000006</v>
      </c>
      <c r="H60" s="78" cm="1">
        <f t="array" ref="H60">Common_InputFunctions.Utility_DisplayArrayInTable(Fuel_SourceData.Fuel_Scope1Scope3EmissionFactorsStationaryLiquid_Data(), Table_Fuel_EFs_StationaryLiquid[[#Headers],[Fuel combusted]],0)</f>
        <v>0.01</v>
      </c>
      <c r="I60" s="78" cm="1">
        <f t="array" ref="I60">Common_InputFunctions.Utility_DisplayArrayInTable(Fuel_SourceData.Fuel_Scope1Scope3EmissionFactorsStationaryLiquid_Data(), Table_Fuel_EFs_StationaryLiquid[[#Headers],[Fuel combusted]],0)</f>
        <v>0.2</v>
      </c>
      <c r="J60" s="78" cm="1">
        <f t="array" ref="J60">Common_InputFunctions.Utility_DisplayArrayInTable(Fuel_SourceData.Fuel_Scope1Scope3EmissionFactorsStationaryLiquid_Data(), Table_Fuel_EFs_StationaryLiquid[[#Headers],[Fuel combusted]],0)</f>
        <v>69.11</v>
      </c>
      <c r="K60" s="78" cm="1">
        <f t="array" ref="K60">Common_InputFunctions.Utility_DisplayArrayInTable(Fuel_SourceData.Fuel_Scope1Scope3EmissionFactorsStationaryLiquid_Data(), Table_Fuel_EFs_StationaryLiquid[[#Headers],[Fuel combusted]],0)</f>
        <v>18</v>
      </c>
      <c r="L60" s="52"/>
    </row>
    <row r="61" spans="4:12" ht="20.100000000000001" customHeight="1" x14ac:dyDescent="0.25">
      <c r="D61" s="78" t="str" cm="1">
        <f t="array" ref="D61">Common_InputFunctions.Utility_DisplayArrayInTable(Fuel_SourceData.Fuel_Scope1Scope3EmissionFactorsStationaryLiquid_Data(), Table_Fuel_EFs_StationaryLiquid[[#Headers],[Fuel combusted]],0)</f>
        <v>Aviation turbine fuel / kerosene</v>
      </c>
      <c r="E61" s="78" cm="1">
        <f t="array" ref="E61">Common_InputFunctions.Utility_DisplayArrayInTable(Fuel_SourceData.Fuel_Scope1Scope3EmissionFactorsStationaryLiquid_Data(), Table_Fuel_EFs_StationaryLiquid[[#Headers],[Fuel combusted]],0)</f>
        <v>36.799999999999997</v>
      </c>
      <c r="F61" s="78" t="str" cm="1">
        <f t="array" ref="F61">Common_InputFunctions.Utility_DisplayArrayInTable(Fuel_SourceData.Fuel_Scope1Scope3EmissionFactorsStationaryLiquid_Data(), Table_Fuel_EFs_StationaryLiquid[[#Headers],[Fuel combusted]],0)</f>
        <v>kL</v>
      </c>
      <c r="G61" s="78" cm="1">
        <f t="array" ref="G61">Common_InputFunctions.Utility_DisplayArrayInTable(Fuel_SourceData.Fuel_Scope1Scope3EmissionFactorsStationaryLiquid_Data(), Table_Fuel_EFs_StationaryLiquid[[#Headers],[Fuel combusted]],0)</f>
        <v>69.599999999999994</v>
      </c>
      <c r="H61" s="78" cm="1">
        <f t="array" ref="H61">Common_InputFunctions.Utility_DisplayArrayInTable(Fuel_SourceData.Fuel_Scope1Scope3EmissionFactorsStationaryLiquid_Data(), Table_Fuel_EFs_StationaryLiquid[[#Headers],[Fuel combusted]],0)</f>
        <v>0.02</v>
      </c>
      <c r="I61" s="78" cm="1">
        <f t="array" ref="I61">Common_InputFunctions.Utility_DisplayArrayInTable(Fuel_SourceData.Fuel_Scope1Scope3EmissionFactorsStationaryLiquid_Data(), Table_Fuel_EFs_StationaryLiquid[[#Headers],[Fuel combusted]],0)</f>
        <v>0.2</v>
      </c>
      <c r="J61" s="78" cm="1">
        <f t="array" ref="J61">Common_InputFunctions.Utility_DisplayArrayInTable(Fuel_SourceData.Fuel_Scope1Scope3EmissionFactorsStationaryLiquid_Data(), Table_Fuel_EFs_StationaryLiquid[[#Headers],[Fuel combusted]],0)</f>
        <v>69.819999999999993</v>
      </c>
      <c r="K61" s="78" cm="1">
        <f t="array" ref="K61">Common_InputFunctions.Utility_DisplayArrayInTable(Fuel_SourceData.Fuel_Scope1Scope3EmissionFactorsStationaryLiquid_Data(), Table_Fuel_EFs_StationaryLiquid[[#Headers],[Fuel combusted]],0)</f>
        <v>18</v>
      </c>
      <c r="L61" s="52"/>
    </row>
    <row r="62" spans="4:12" ht="20.100000000000001" customHeight="1" x14ac:dyDescent="0.25">
      <c r="D62" s="78" t="str" cm="1">
        <f t="array" ref="D62">Common_InputFunctions.Utility_DisplayArrayInTable(Fuel_SourceData.Fuel_Scope1Scope3EmissionFactorsStationaryLiquid_Data(), Table_Fuel_EFs_StationaryLiquid[[#Headers],[Fuel combusted]],0)</f>
        <v>Heating oil</v>
      </c>
      <c r="E62" s="78" cm="1">
        <f t="array" ref="E62">Common_InputFunctions.Utility_DisplayArrayInTable(Fuel_SourceData.Fuel_Scope1Scope3EmissionFactorsStationaryLiquid_Data(), Table_Fuel_EFs_StationaryLiquid[[#Headers],[Fuel combusted]],0)</f>
        <v>37.299999999999997</v>
      </c>
      <c r="F62" s="78" t="str" cm="1">
        <f t="array" ref="F62">Common_InputFunctions.Utility_DisplayArrayInTable(Fuel_SourceData.Fuel_Scope1Scope3EmissionFactorsStationaryLiquid_Data(), Table_Fuel_EFs_StationaryLiquid[[#Headers],[Fuel combusted]],0)</f>
        <v>kL</v>
      </c>
      <c r="G62" s="78" cm="1">
        <f t="array" ref="G62">Common_InputFunctions.Utility_DisplayArrayInTable(Fuel_SourceData.Fuel_Scope1Scope3EmissionFactorsStationaryLiquid_Data(), Table_Fuel_EFs_StationaryLiquid[[#Headers],[Fuel combusted]],0)</f>
        <v>69.5</v>
      </c>
      <c r="H62" s="78" cm="1">
        <f t="array" ref="H62">Common_InputFunctions.Utility_DisplayArrayInTable(Fuel_SourceData.Fuel_Scope1Scope3EmissionFactorsStationaryLiquid_Data(), Table_Fuel_EFs_StationaryLiquid[[#Headers],[Fuel combusted]],0)</f>
        <v>0.03</v>
      </c>
      <c r="I62" s="78" cm="1">
        <f t="array" ref="I62">Common_InputFunctions.Utility_DisplayArrayInTable(Fuel_SourceData.Fuel_Scope1Scope3EmissionFactorsStationaryLiquid_Data(), Table_Fuel_EFs_StationaryLiquid[[#Headers],[Fuel combusted]],0)</f>
        <v>0.2</v>
      </c>
      <c r="J62" s="78" cm="1">
        <f t="array" ref="J62">Common_InputFunctions.Utility_DisplayArrayInTable(Fuel_SourceData.Fuel_Scope1Scope3EmissionFactorsStationaryLiquid_Data(), Table_Fuel_EFs_StationaryLiquid[[#Headers],[Fuel combusted]],0)</f>
        <v>69.73</v>
      </c>
      <c r="K62" s="78" cm="1">
        <f t="array" ref="K62">Common_InputFunctions.Utility_DisplayArrayInTable(Fuel_SourceData.Fuel_Scope1Scope3EmissionFactorsStationaryLiquid_Data(), Table_Fuel_EFs_StationaryLiquid[[#Headers],[Fuel combusted]],0)</f>
        <v>18</v>
      </c>
      <c r="L62" s="52"/>
    </row>
    <row r="63" spans="4:12" ht="20.100000000000001" customHeight="1" x14ac:dyDescent="0.25">
      <c r="D63" s="78" t="str" cm="1">
        <f t="array" ref="D63">Common_InputFunctions.Utility_DisplayArrayInTable(Fuel_SourceData.Fuel_Scope1Scope3EmissionFactorsStationaryLiquid_Data(), Table_Fuel_EFs_StationaryLiquid[[#Headers],[Fuel combusted]],0)</f>
        <v>Diesel oil</v>
      </c>
      <c r="E63" s="78" cm="1">
        <f t="array" ref="E63">Common_InputFunctions.Utility_DisplayArrayInTable(Fuel_SourceData.Fuel_Scope1Scope3EmissionFactorsStationaryLiquid_Data(), Table_Fuel_EFs_StationaryLiquid[[#Headers],[Fuel combusted]],0)</f>
        <v>38.6</v>
      </c>
      <c r="F63" s="78" t="str" cm="1">
        <f t="array" ref="F63">Common_InputFunctions.Utility_DisplayArrayInTable(Fuel_SourceData.Fuel_Scope1Scope3EmissionFactorsStationaryLiquid_Data(), Table_Fuel_EFs_StationaryLiquid[[#Headers],[Fuel combusted]],0)</f>
        <v>kL</v>
      </c>
      <c r="G63" s="78" cm="1">
        <f t="array" ref="G63">Common_InputFunctions.Utility_DisplayArrayInTable(Fuel_SourceData.Fuel_Scope1Scope3EmissionFactorsStationaryLiquid_Data(), Table_Fuel_EFs_StationaryLiquid[[#Headers],[Fuel combusted]],0)</f>
        <v>69.900000000000006</v>
      </c>
      <c r="H63" s="78" cm="1">
        <f t="array" ref="H63">Common_InputFunctions.Utility_DisplayArrayInTable(Fuel_SourceData.Fuel_Scope1Scope3EmissionFactorsStationaryLiquid_Data(), Table_Fuel_EFs_StationaryLiquid[[#Headers],[Fuel combusted]],0)</f>
        <v>0.1</v>
      </c>
      <c r="I63" s="78" cm="1">
        <f t="array" ref="I63">Common_InputFunctions.Utility_DisplayArrayInTable(Fuel_SourceData.Fuel_Scope1Scope3EmissionFactorsStationaryLiquid_Data(), Table_Fuel_EFs_StationaryLiquid[[#Headers],[Fuel combusted]],0)</f>
        <v>0.2</v>
      </c>
      <c r="J63" s="78" cm="1">
        <f t="array" ref="J63">Common_InputFunctions.Utility_DisplayArrayInTable(Fuel_SourceData.Fuel_Scope1Scope3EmissionFactorsStationaryLiquid_Data(), Table_Fuel_EFs_StationaryLiquid[[#Headers],[Fuel combusted]],0)</f>
        <v>70.2</v>
      </c>
      <c r="K63" s="78" cm="1">
        <f t="array" ref="K63">Common_InputFunctions.Utility_DisplayArrayInTable(Fuel_SourceData.Fuel_Scope1Scope3EmissionFactorsStationaryLiquid_Data(), Table_Fuel_EFs_StationaryLiquid[[#Headers],[Fuel combusted]],0)</f>
        <v>17.3</v>
      </c>
      <c r="L63" s="52"/>
    </row>
    <row r="64" spans="4:12" ht="20.100000000000001" customHeight="1" x14ac:dyDescent="0.25">
      <c r="D64" s="78" t="str" cm="1">
        <f t="array" ref="D64">Common_InputFunctions.Utility_DisplayArrayInTable(Fuel_SourceData.Fuel_Scope1Scope3EmissionFactorsStationaryLiquid_Data(), Table_Fuel_EFs_StationaryLiquid[[#Headers],[Fuel combusted]],0)</f>
        <v>Fuel oil</v>
      </c>
      <c r="E64" s="78" cm="1">
        <f t="array" ref="E64">Common_InputFunctions.Utility_DisplayArrayInTable(Fuel_SourceData.Fuel_Scope1Scope3EmissionFactorsStationaryLiquid_Data(), Table_Fuel_EFs_StationaryLiquid[[#Headers],[Fuel combusted]],0)</f>
        <v>39.700000000000003</v>
      </c>
      <c r="F64" s="78" t="str" cm="1">
        <f t="array" ref="F64">Common_InputFunctions.Utility_DisplayArrayInTable(Fuel_SourceData.Fuel_Scope1Scope3EmissionFactorsStationaryLiquid_Data(), Table_Fuel_EFs_StationaryLiquid[[#Headers],[Fuel combusted]],0)</f>
        <v>kL</v>
      </c>
      <c r="G64" s="78" cm="1">
        <f t="array" ref="G64">Common_InputFunctions.Utility_DisplayArrayInTable(Fuel_SourceData.Fuel_Scope1Scope3EmissionFactorsStationaryLiquid_Data(), Table_Fuel_EFs_StationaryLiquid[[#Headers],[Fuel combusted]],0)</f>
        <v>73.599999999999994</v>
      </c>
      <c r="H64" s="78" cm="1">
        <f t="array" ref="H64">Common_InputFunctions.Utility_DisplayArrayInTable(Fuel_SourceData.Fuel_Scope1Scope3EmissionFactorsStationaryLiquid_Data(), Table_Fuel_EFs_StationaryLiquid[[#Headers],[Fuel combusted]],0)</f>
        <v>0.04</v>
      </c>
      <c r="I64" s="78" cm="1">
        <f t="array" ref="I64">Common_InputFunctions.Utility_DisplayArrayInTable(Fuel_SourceData.Fuel_Scope1Scope3EmissionFactorsStationaryLiquid_Data(), Table_Fuel_EFs_StationaryLiquid[[#Headers],[Fuel combusted]],0)</f>
        <v>0.2</v>
      </c>
      <c r="J64" s="78" cm="1">
        <f t="array" ref="J64">Common_InputFunctions.Utility_DisplayArrayInTable(Fuel_SourceData.Fuel_Scope1Scope3EmissionFactorsStationaryLiquid_Data(), Table_Fuel_EFs_StationaryLiquid[[#Headers],[Fuel combusted]],0)</f>
        <v>73.84</v>
      </c>
      <c r="K64" s="78" cm="1">
        <f t="array" ref="K64">Common_InputFunctions.Utility_DisplayArrayInTable(Fuel_SourceData.Fuel_Scope1Scope3EmissionFactorsStationaryLiquid_Data(), Table_Fuel_EFs_StationaryLiquid[[#Headers],[Fuel combusted]],0)</f>
        <v>18</v>
      </c>
      <c r="L64" s="52"/>
    </row>
    <row r="65" spans="4:13" ht="20.100000000000001" customHeight="1" x14ac:dyDescent="0.25">
      <c r="D65" s="78" t="str" cm="1">
        <f t="array" ref="D65">Common_InputFunctions.Utility_DisplayArrayInTable(Fuel_SourceData.Fuel_Scope1Scope3EmissionFactorsStationaryLiquid_Data(), Table_Fuel_EFs_StationaryLiquid[[#Headers],[Fuel combusted]],0)</f>
        <v>Liquefied aromatic hydrocarbons</v>
      </c>
      <c r="E65" s="78" cm="1">
        <f t="array" ref="E65">Common_InputFunctions.Utility_DisplayArrayInTable(Fuel_SourceData.Fuel_Scope1Scope3EmissionFactorsStationaryLiquid_Data(), Table_Fuel_EFs_StationaryLiquid[[#Headers],[Fuel combusted]],0)</f>
        <v>34.4</v>
      </c>
      <c r="F65" s="78" t="str" cm="1">
        <f t="array" ref="F65">Common_InputFunctions.Utility_DisplayArrayInTable(Fuel_SourceData.Fuel_Scope1Scope3EmissionFactorsStationaryLiquid_Data(), Table_Fuel_EFs_StationaryLiquid[[#Headers],[Fuel combusted]],0)</f>
        <v>kL</v>
      </c>
      <c r="G65" s="78" cm="1">
        <f t="array" ref="G65">Common_InputFunctions.Utility_DisplayArrayInTable(Fuel_SourceData.Fuel_Scope1Scope3EmissionFactorsStationaryLiquid_Data(), Table_Fuel_EFs_StationaryLiquid[[#Headers],[Fuel combusted]],0)</f>
        <v>69.7</v>
      </c>
      <c r="H65" s="78" cm="1">
        <f t="array" ref="H65">Common_InputFunctions.Utility_DisplayArrayInTable(Fuel_SourceData.Fuel_Scope1Scope3EmissionFactorsStationaryLiquid_Data(), Table_Fuel_EFs_StationaryLiquid[[#Headers],[Fuel combusted]],0)</f>
        <v>0.03</v>
      </c>
      <c r="I65" s="78" cm="1">
        <f t="array" ref="I65">Common_InputFunctions.Utility_DisplayArrayInTable(Fuel_SourceData.Fuel_Scope1Scope3EmissionFactorsStationaryLiquid_Data(), Table_Fuel_EFs_StationaryLiquid[[#Headers],[Fuel combusted]],0)</f>
        <v>0.2</v>
      </c>
      <c r="J65" s="78" cm="1">
        <f t="array" ref="J65">Common_InputFunctions.Utility_DisplayArrayInTable(Fuel_SourceData.Fuel_Scope1Scope3EmissionFactorsStationaryLiquid_Data(), Table_Fuel_EFs_StationaryLiquid[[#Headers],[Fuel combusted]],0)</f>
        <v>69.930000000000007</v>
      </c>
      <c r="K65" s="78" cm="1">
        <f t="array" ref="K65">Common_InputFunctions.Utility_DisplayArrayInTable(Fuel_SourceData.Fuel_Scope1Scope3EmissionFactorsStationaryLiquid_Data(), Table_Fuel_EFs_StationaryLiquid[[#Headers],[Fuel combusted]],0)</f>
        <v>18</v>
      </c>
      <c r="L65" s="52"/>
    </row>
    <row r="66" spans="4:13" ht="20.100000000000001" customHeight="1" x14ac:dyDescent="0.25">
      <c r="D66" s="78" t="str" cm="1">
        <f t="array" ref="D66">Common_InputFunctions.Utility_DisplayArrayInTable(Fuel_SourceData.Fuel_Scope1Scope3EmissionFactorsStationaryLiquid_Data(), Table_Fuel_EFs_StationaryLiquid[[#Headers],[Fuel combusted]],0)</f>
        <v>Solvents: mineral turpentine or white spirits</v>
      </c>
      <c r="E66" s="78" cm="1">
        <f t="array" ref="E66">Common_InputFunctions.Utility_DisplayArrayInTable(Fuel_SourceData.Fuel_Scope1Scope3EmissionFactorsStationaryLiquid_Data(), Table_Fuel_EFs_StationaryLiquid[[#Headers],[Fuel combusted]],0)</f>
        <v>34.4</v>
      </c>
      <c r="F66" s="78" t="str" cm="1">
        <f t="array" ref="F66">Common_InputFunctions.Utility_DisplayArrayInTable(Fuel_SourceData.Fuel_Scope1Scope3EmissionFactorsStationaryLiquid_Data(), Table_Fuel_EFs_StationaryLiquid[[#Headers],[Fuel combusted]],0)</f>
        <v>kL</v>
      </c>
      <c r="G66" s="78" cm="1">
        <f t="array" ref="G66">Common_InputFunctions.Utility_DisplayArrayInTable(Fuel_SourceData.Fuel_Scope1Scope3EmissionFactorsStationaryLiquid_Data(), Table_Fuel_EFs_StationaryLiquid[[#Headers],[Fuel combusted]],0)</f>
        <v>69.7</v>
      </c>
      <c r="H66" s="78" cm="1">
        <f t="array" ref="H66">Common_InputFunctions.Utility_DisplayArrayInTable(Fuel_SourceData.Fuel_Scope1Scope3EmissionFactorsStationaryLiquid_Data(), Table_Fuel_EFs_StationaryLiquid[[#Headers],[Fuel combusted]],0)</f>
        <v>0.03</v>
      </c>
      <c r="I66" s="78" cm="1">
        <f t="array" ref="I66">Common_InputFunctions.Utility_DisplayArrayInTable(Fuel_SourceData.Fuel_Scope1Scope3EmissionFactorsStationaryLiquid_Data(), Table_Fuel_EFs_StationaryLiquid[[#Headers],[Fuel combusted]],0)</f>
        <v>0.2</v>
      </c>
      <c r="J66" s="78" cm="1">
        <f t="array" ref="J66">Common_InputFunctions.Utility_DisplayArrayInTable(Fuel_SourceData.Fuel_Scope1Scope3EmissionFactorsStationaryLiquid_Data(), Table_Fuel_EFs_StationaryLiquid[[#Headers],[Fuel combusted]],0)</f>
        <v>69.930000000000007</v>
      </c>
      <c r="K66" s="78" cm="1">
        <f t="array" ref="K66">Common_InputFunctions.Utility_DisplayArrayInTable(Fuel_SourceData.Fuel_Scope1Scope3EmissionFactorsStationaryLiquid_Data(), Table_Fuel_EFs_StationaryLiquid[[#Headers],[Fuel combusted]],0)</f>
        <v>18</v>
      </c>
      <c r="L66" s="52"/>
    </row>
    <row r="67" spans="4:13" ht="20.100000000000001" customHeight="1" x14ac:dyDescent="0.25">
      <c r="D67" s="78" t="str" cm="1">
        <f t="array" ref="D67">Common_InputFunctions.Utility_DisplayArrayInTable(Fuel_SourceData.Fuel_Scope1Scope3EmissionFactorsStationaryLiquid_Data(), Table_Fuel_EFs_StationaryLiquid[[#Headers],[Fuel combusted]],0)</f>
        <v>Liquefied petroleum gas (LPG)</v>
      </c>
      <c r="E67" s="78" cm="1">
        <f t="array" ref="E67">Common_InputFunctions.Utility_DisplayArrayInTable(Fuel_SourceData.Fuel_Scope1Scope3EmissionFactorsStationaryLiquid_Data(), Table_Fuel_EFs_StationaryLiquid[[#Headers],[Fuel combusted]],0)</f>
        <v>25.7</v>
      </c>
      <c r="F67" s="78" t="str" cm="1">
        <f t="array" ref="F67">Common_InputFunctions.Utility_DisplayArrayInTable(Fuel_SourceData.Fuel_Scope1Scope3EmissionFactorsStationaryLiquid_Data(), Table_Fuel_EFs_StationaryLiquid[[#Headers],[Fuel combusted]],0)</f>
        <v>kL</v>
      </c>
      <c r="G67" s="78" cm="1">
        <f t="array" ref="G67">Common_InputFunctions.Utility_DisplayArrayInTable(Fuel_SourceData.Fuel_Scope1Scope3EmissionFactorsStationaryLiquid_Data(), Table_Fuel_EFs_StationaryLiquid[[#Headers],[Fuel combusted]],0)</f>
        <v>60.2</v>
      </c>
      <c r="H67" s="78" cm="1">
        <f t="array" ref="H67">Common_InputFunctions.Utility_DisplayArrayInTable(Fuel_SourceData.Fuel_Scope1Scope3EmissionFactorsStationaryLiquid_Data(), Table_Fuel_EFs_StationaryLiquid[[#Headers],[Fuel combusted]],0)</f>
        <v>0.2</v>
      </c>
      <c r="I67" s="78" cm="1">
        <f t="array" ref="I67">Common_InputFunctions.Utility_DisplayArrayInTable(Fuel_SourceData.Fuel_Scope1Scope3EmissionFactorsStationaryLiquid_Data(), Table_Fuel_EFs_StationaryLiquid[[#Headers],[Fuel combusted]],0)</f>
        <v>0.2</v>
      </c>
      <c r="J67" s="78" cm="1">
        <f t="array" ref="J67">Common_InputFunctions.Utility_DisplayArrayInTable(Fuel_SourceData.Fuel_Scope1Scope3EmissionFactorsStationaryLiquid_Data(), Table_Fuel_EFs_StationaryLiquid[[#Headers],[Fuel combusted]],0)</f>
        <v>60.6</v>
      </c>
      <c r="K67" s="78" cm="1">
        <f t="array" ref="K67">Common_InputFunctions.Utility_DisplayArrayInTable(Fuel_SourceData.Fuel_Scope1Scope3EmissionFactorsStationaryLiquid_Data(), Table_Fuel_EFs_StationaryLiquid[[#Headers],[Fuel combusted]],0)</f>
        <v>20.2</v>
      </c>
      <c r="L67" s="52"/>
    </row>
    <row r="68" spans="4:13" ht="20.100000000000001" customHeight="1" x14ac:dyDescent="0.25">
      <c r="D68" s="78" t="str" cm="1">
        <f t="array" ref="D68">Common_InputFunctions.Utility_DisplayArrayInTable(Fuel_SourceData.Fuel_Scope1Scope3EmissionFactorsStationaryLiquid_Data(), Table_Fuel_EFs_StationaryLiquid[[#Headers],[Fuel combusted]],0)</f>
        <v>Naphtha</v>
      </c>
      <c r="E68" s="78" cm="1">
        <f t="array" ref="E68">Common_InputFunctions.Utility_DisplayArrayInTable(Fuel_SourceData.Fuel_Scope1Scope3EmissionFactorsStationaryLiquid_Data(), Table_Fuel_EFs_StationaryLiquid[[#Headers],[Fuel combusted]],0)</f>
        <v>31.4</v>
      </c>
      <c r="F68" s="78" t="str" cm="1">
        <f t="array" ref="F68">Common_InputFunctions.Utility_DisplayArrayInTable(Fuel_SourceData.Fuel_Scope1Scope3EmissionFactorsStationaryLiquid_Data(), Table_Fuel_EFs_StationaryLiquid[[#Headers],[Fuel combusted]],0)</f>
        <v>kL</v>
      </c>
      <c r="G68" s="78" cm="1">
        <f t="array" ref="G68">Common_InputFunctions.Utility_DisplayArrayInTable(Fuel_SourceData.Fuel_Scope1Scope3EmissionFactorsStationaryLiquid_Data(), Table_Fuel_EFs_StationaryLiquid[[#Headers],[Fuel combusted]],0)</f>
        <v>69.8</v>
      </c>
      <c r="H68" s="78" cm="1">
        <f t="array" ref="H68">Common_InputFunctions.Utility_DisplayArrayInTable(Fuel_SourceData.Fuel_Scope1Scope3EmissionFactorsStationaryLiquid_Data(), Table_Fuel_EFs_StationaryLiquid[[#Headers],[Fuel combusted]],0)</f>
        <v>0.01</v>
      </c>
      <c r="I68" s="78" cm="1">
        <f t="array" ref="I68">Common_InputFunctions.Utility_DisplayArrayInTable(Fuel_SourceData.Fuel_Scope1Scope3EmissionFactorsStationaryLiquid_Data(), Table_Fuel_EFs_StationaryLiquid[[#Headers],[Fuel combusted]],0)</f>
        <v>0.01</v>
      </c>
      <c r="J68" s="78" cm="1">
        <f t="array" ref="J68">Common_InputFunctions.Utility_DisplayArrayInTable(Fuel_SourceData.Fuel_Scope1Scope3EmissionFactorsStationaryLiquid_Data(), Table_Fuel_EFs_StationaryLiquid[[#Headers],[Fuel combusted]],0)</f>
        <v>69.819999999999993</v>
      </c>
      <c r="K68" s="78" cm="1">
        <f t="array" ref="K68">Common_InputFunctions.Utility_DisplayArrayInTable(Fuel_SourceData.Fuel_Scope1Scope3EmissionFactorsStationaryLiquid_Data(), Table_Fuel_EFs_StationaryLiquid[[#Headers],[Fuel combusted]],0)</f>
        <v>18</v>
      </c>
      <c r="L68" s="52"/>
    </row>
    <row r="69" spans="4:13" ht="20.100000000000001" customHeight="1" x14ac:dyDescent="0.25">
      <c r="D69" s="78" t="str" cm="1">
        <f t="array" ref="D69">Common_InputFunctions.Utility_DisplayArrayInTable(Fuel_SourceData.Fuel_Scope1Scope3EmissionFactorsStationaryLiquid_Data(), Table_Fuel_EFs_StationaryLiquid[[#Headers],[Fuel combusted]],0)</f>
        <v>Petroleum coke</v>
      </c>
      <c r="E69" s="78" cm="1">
        <f t="array" ref="E69">Common_InputFunctions.Utility_DisplayArrayInTable(Fuel_SourceData.Fuel_Scope1Scope3EmissionFactorsStationaryLiquid_Data(), Table_Fuel_EFs_StationaryLiquid[[#Headers],[Fuel combusted]],0)</f>
        <v>34.200000000000003</v>
      </c>
      <c r="F69" s="78" t="str" cm="1">
        <f t="array" ref="F69">Common_InputFunctions.Utility_DisplayArrayInTable(Fuel_SourceData.Fuel_Scope1Scope3EmissionFactorsStationaryLiquid_Data(), Table_Fuel_EFs_StationaryLiquid[[#Headers],[Fuel combusted]],0)</f>
        <v>t</v>
      </c>
      <c r="G69" s="78" cm="1">
        <f t="array" ref="G69">Common_InputFunctions.Utility_DisplayArrayInTable(Fuel_SourceData.Fuel_Scope1Scope3EmissionFactorsStationaryLiquid_Data(), Table_Fuel_EFs_StationaryLiquid[[#Headers],[Fuel combusted]],0)</f>
        <v>92.6</v>
      </c>
      <c r="H69" s="78" cm="1">
        <f t="array" ref="H69">Common_InputFunctions.Utility_DisplayArrayInTable(Fuel_SourceData.Fuel_Scope1Scope3EmissionFactorsStationaryLiquid_Data(), Table_Fuel_EFs_StationaryLiquid[[#Headers],[Fuel combusted]],0)</f>
        <v>0.08</v>
      </c>
      <c r="I69" s="78" cm="1">
        <f t="array" ref="I69">Common_InputFunctions.Utility_DisplayArrayInTable(Fuel_SourceData.Fuel_Scope1Scope3EmissionFactorsStationaryLiquid_Data(), Table_Fuel_EFs_StationaryLiquid[[#Headers],[Fuel combusted]],0)</f>
        <v>0.2</v>
      </c>
      <c r="J69" s="78" cm="1">
        <f t="array" ref="J69">Common_InputFunctions.Utility_DisplayArrayInTable(Fuel_SourceData.Fuel_Scope1Scope3EmissionFactorsStationaryLiquid_Data(), Table_Fuel_EFs_StationaryLiquid[[#Headers],[Fuel combusted]],0)</f>
        <v>92.88</v>
      </c>
      <c r="K69" s="78" cm="1">
        <f t="array" ref="K69">Common_InputFunctions.Utility_DisplayArrayInTable(Fuel_SourceData.Fuel_Scope1Scope3EmissionFactorsStationaryLiquid_Data(), Table_Fuel_EFs_StationaryLiquid[[#Headers],[Fuel combusted]],0)</f>
        <v>18</v>
      </c>
      <c r="L69" s="52"/>
    </row>
    <row r="70" spans="4:13" ht="20.100000000000001" customHeight="1" x14ac:dyDescent="0.25">
      <c r="D70" s="78" t="str" cm="1">
        <f t="array" ref="D70">Common_InputFunctions.Utility_DisplayArrayInTable(Fuel_SourceData.Fuel_Scope1Scope3EmissionFactorsStationaryLiquid_Data(), Table_Fuel_EFs_StationaryLiquid[[#Headers],[Fuel combusted]],0)</f>
        <v>Refinery gas and liquids</v>
      </c>
      <c r="E70" s="78" cm="1">
        <f t="array" ref="E70">Common_InputFunctions.Utility_DisplayArrayInTable(Fuel_SourceData.Fuel_Scope1Scope3EmissionFactorsStationaryLiquid_Data(), Table_Fuel_EFs_StationaryLiquid[[#Headers],[Fuel combusted]],0)</f>
        <v>42.9</v>
      </c>
      <c r="F70" s="78" t="str" cm="1">
        <f t="array" ref="F70">Common_InputFunctions.Utility_DisplayArrayInTable(Fuel_SourceData.Fuel_Scope1Scope3EmissionFactorsStationaryLiquid_Data(), Table_Fuel_EFs_StationaryLiquid[[#Headers],[Fuel combusted]],0)</f>
        <v>t</v>
      </c>
      <c r="G70" s="78" cm="1">
        <f t="array" ref="G70">Common_InputFunctions.Utility_DisplayArrayInTable(Fuel_SourceData.Fuel_Scope1Scope3EmissionFactorsStationaryLiquid_Data(), Table_Fuel_EFs_StationaryLiquid[[#Headers],[Fuel combusted]],0)</f>
        <v>54.7</v>
      </c>
      <c r="H70" s="78" cm="1">
        <f t="array" ref="H70">Common_InputFunctions.Utility_DisplayArrayInTable(Fuel_SourceData.Fuel_Scope1Scope3EmissionFactorsStationaryLiquid_Data(), Table_Fuel_EFs_StationaryLiquid[[#Headers],[Fuel combusted]],0)</f>
        <v>0.03</v>
      </c>
      <c r="I70" s="78" cm="1">
        <f t="array" ref="I70">Common_InputFunctions.Utility_DisplayArrayInTable(Fuel_SourceData.Fuel_Scope1Scope3EmissionFactorsStationaryLiquid_Data(), Table_Fuel_EFs_StationaryLiquid[[#Headers],[Fuel combusted]],0)</f>
        <v>0.03</v>
      </c>
      <c r="J70" s="78" cm="1">
        <f t="array" ref="J70">Common_InputFunctions.Utility_DisplayArrayInTable(Fuel_SourceData.Fuel_Scope1Scope3EmissionFactorsStationaryLiquid_Data(), Table_Fuel_EFs_StationaryLiquid[[#Headers],[Fuel combusted]],0)</f>
        <v>54.76</v>
      </c>
      <c r="K70" s="78" cm="1">
        <f t="array" ref="K70">Common_InputFunctions.Utility_DisplayArrayInTable(Fuel_SourceData.Fuel_Scope1Scope3EmissionFactorsStationaryLiquid_Data(), Table_Fuel_EFs_StationaryLiquid[[#Headers],[Fuel combusted]],0)</f>
        <v>18</v>
      </c>
      <c r="L70" s="52"/>
    </row>
    <row r="71" spans="4:13" ht="20.100000000000001" customHeight="1" x14ac:dyDescent="0.25">
      <c r="D71" s="78" t="str" cm="1">
        <f t="array" ref="D71">Common_InputFunctions.Utility_DisplayArrayInTable(Fuel_SourceData.Fuel_Scope1Scope3EmissionFactorsStationaryLiquid_Data(), Table_Fuel_EFs_StationaryLiquid[[#Headers],[Fuel combusted]],0)</f>
        <v>Refinery coke</v>
      </c>
      <c r="E71" s="78" cm="1">
        <f t="array" ref="E71">Common_InputFunctions.Utility_DisplayArrayInTable(Fuel_SourceData.Fuel_Scope1Scope3EmissionFactorsStationaryLiquid_Data(), Table_Fuel_EFs_StationaryLiquid[[#Headers],[Fuel combusted]],0)</f>
        <v>34.200000000000003</v>
      </c>
      <c r="F71" s="78" t="str" cm="1">
        <f t="array" ref="F71">Common_InputFunctions.Utility_DisplayArrayInTable(Fuel_SourceData.Fuel_Scope1Scope3EmissionFactorsStationaryLiquid_Data(), Table_Fuel_EFs_StationaryLiquid[[#Headers],[Fuel combusted]],0)</f>
        <v>t</v>
      </c>
      <c r="G71" s="78" cm="1">
        <f t="array" ref="G71">Common_InputFunctions.Utility_DisplayArrayInTable(Fuel_SourceData.Fuel_Scope1Scope3EmissionFactorsStationaryLiquid_Data(), Table_Fuel_EFs_StationaryLiquid[[#Headers],[Fuel combusted]],0)</f>
        <v>92.6</v>
      </c>
      <c r="H71" s="78" cm="1">
        <f t="array" ref="H71">Common_InputFunctions.Utility_DisplayArrayInTable(Fuel_SourceData.Fuel_Scope1Scope3EmissionFactorsStationaryLiquid_Data(), Table_Fuel_EFs_StationaryLiquid[[#Headers],[Fuel combusted]],0)</f>
        <v>0.08</v>
      </c>
      <c r="I71" s="78" cm="1">
        <f t="array" ref="I71">Common_InputFunctions.Utility_DisplayArrayInTable(Fuel_SourceData.Fuel_Scope1Scope3EmissionFactorsStationaryLiquid_Data(), Table_Fuel_EFs_StationaryLiquid[[#Headers],[Fuel combusted]],0)</f>
        <v>0.2</v>
      </c>
      <c r="J71" s="78" cm="1">
        <f t="array" ref="J71">Common_InputFunctions.Utility_DisplayArrayInTable(Fuel_SourceData.Fuel_Scope1Scope3EmissionFactorsStationaryLiquid_Data(), Table_Fuel_EFs_StationaryLiquid[[#Headers],[Fuel combusted]],0)</f>
        <v>92.88</v>
      </c>
      <c r="K71" s="78" cm="1">
        <f t="array" ref="K71">Common_InputFunctions.Utility_DisplayArrayInTable(Fuel_SourceData.Fuel_Scope1Scope3EmissionFactorsStationaryLiquid_Data(), Table_Fuel_EFs_StationaryLiquid[[#Headers],[Fuel combusted]],0)</f>
        <v>18</v>
      </c>
      <c r="L71" s="52"/>
    </row>
    <row r="72" spans="4:13" ht="20.100000000000001" customHeight="1" x14ac:dyDescent="0.25">
      <c r="D72" s="78" t="str" cm="1">
        <f t="array" ref="D72">Common_InputFunctions.Utility_DisplayArrayInTable(Fuel_SourceData.Fuel_Scope1Scope3EmissionFactorsStationaryLiquid_Data(), Table_Fuel_EFs_StationaryLiquid[[#Headers],[Fuel combusted]],0)</f>
        <v>Petroleum based products other than mentioned in the items above</v>
      </c>
      <c r="E72" s="78" cm="1">
        <f t="array" ref="E72">Common_InputFunctions.Utility_DisplayArrayInTable(Fuel_SourceData.Fuel_Scope1Scope3EmissionFactorsStationaryLiquid_Data(), Table_Fuel_EFs_StationaryLiquid[[#Headers],[Fuel combusted]],0)</f>
        <v>34.4</v>
      </c>
      <c r="F72" s="78" t="str" cm="1">
        <f t="array" ref="F72">Common_InputFunctions.Utility_DisplayArrayInTable(Fuel_SourceData.Fuel_Scope1Scope3EmissionFactorsStationaryLiquid_Data(), Table_Fuel_EFs_StationaryLiquid[[#Headers],[Fuel combusted]],0)</f>
        <v>kL</v>
      </c>
      <c r="G72" s="78" cm="1">
        <f t="array" ref="G72">Common_InputFunctions.Utility_DisplayArrayInTable(Fuel_SourceData.Fuel_Scope1Scope3EmissionFactorsStationaryLiquid_Data(), Table_Fuel_EFs_StationaryLiquid[[#Headers],[Fuel combusted]],0)</f>
        <v>69.8</v>
      </c>
      <c r="H72" s="78" cm="1">
        <f t="array" ref="H72">Common_InputFunctions.Utility_DisplayArrayInTable(Fuel_SourceData.Fuel_Scope1Scope3EmissionFactorsStationaryLiquid_Data(), Table_Fuel_EFs_StationaryLiquid[[#Headers],[Fuel combusted]],0)</f>
        <v>0.02</v>
      </c>
      <c r="I72" s="78" cm="1">
        <f t="array" ref="I72">Common_InputFunctions.Utility_DisplayArrayInTable(Fuel_SourceData.Fuel_Scope1Scope3EmissionFactorsStationaryLiquid_Data(), Table_Fuel_EFs_StationaryLiquid[[#Headers],[Fuel combusted]],0)</f>
        <v>0.1</v>
      </c>
      <c r="J72" s="78" cm="1">
        <f t="array" ref="J72">Common_InputFunctions.Utility_DisplayArrayInTable(Fuel_SourceData.Fuel_Scope1Scope3EmissionFactorsStationaryLiquid_Data(), Table_Fuel_EFs_StationaryLiquid[[#Headers],[Fuel combusted]],0)</f>
        <v>69.92</v>
      </c>
      <c r="K72" s="78" cm="1">
        <f t="array" ref="K72">Common_InputFunctions.Utility_DisplayArrayInTable(Fuel_SourceData.Fuel_Scope1Scope3EmissionFactorsStationaryLiquid_Data(), Table_Fuel_EFs_StationaryLiquid[[#Headers],[Fuel combusted]],0)</f>
        <v>18</v>
      </c>
      <c r="L72" s="52"/>
    </row>
    <row r="73" spans="4:13" ht="20.100000000000001" customHeight="1" x14ac:dyDescent="0.25">
      <c r="D73" s="78" t="str" cm="1">
        <f t="array" ref="D73">Common_InputFunctions.Utility_DisplayArrayInTable(Fuel_SourceData.Fuel_Scope1Scope3EmissionFactorsStationaryLiquid_Data(), Table_Fuel_EFs_StationaryLiquid[[#Headers],[Fuel combusted]],0)</f>
        <v>Biodiesel</v>
      </c>
      <c r="E73" s="78" cm="1">
        <f t="array" ref="E73">Common_InputFunctions.Utility_DisplayArrayInTable(Fuel_SourceData.Fuel_Scope1Scope3EmissionFactorsStationaryLiquid_Data(), Table_Fuel_EFs_StationaryLiquid[[#Headers],[Fuel combusted]],0)</f>
        <v>34.6</v>
      </c>
      <c r="F73" s="78" t="str" cm="1">
        <f t="array" ref="F73">Common_InputFunctions.Utility_DisplayArrayInTable(Fuel_SourceData.Fuel_Scope1Scope3EmissionFactorsStationaryLiquid_Data(), Table_Fuel_EFs_StationaryLiquid[[#Headers],[Fuel combusted]],0)</f>
        <v>kL</v>
      </c>
      <c r="G73" s="78" cm="1">
        <f t="array" ref="G73">Common_InputFunctions.Utility_DisplayArrayInTable(Fuel_SourceData.Fuel_Scope1Scope3EmissionFactorsStationaryLiquid_Data(), Table_Fuel_EFs_StationaryLiquid[[#Headers],[Fuel combusted]],0)</f>
        <v>0</v>
      </c>
      <c r="H73" s="78" cm="1">
        <f t="array" ref="H73">Common_InputFunctions.Utility_DisplayArrayInTable(Fuel_SourceData.Fuel_Scope1Scope3EmissionFactorsStationaryLiquid_Data(), Table_Fuel_EFs_StationaryLiquid[[#Headers],[Fuel combusted]],0)</f>
        <v>0.08</v>
      </c>
      <c r="I73" s="78" cm="1">
        <f t="array" ref="I73">Common_InputFunctions.Utility_DisplayArrayInTable(Fuel_SourceData.Fuel_Scope1Scope3EmissionFactorsStationaryLiquid_Data(), Table_Fuel_EFs_StationaryLiquid[[#Headers],[Fuel combusted]],0)</f>
        <v>0.2</v>
      </c>
      <c r="J73" s="78" cm="1">
        <f t="array" ref="J73">Common_InputFunctions.Utility_DisplayArrayInTable(Fuel_SourceData.Fuel_Scope1Scope3EmissionFactorsStationaryLiquid_Data(), Table_Fuel_EFs_StationaryLiquid[[#Headers],[Fuel combusted]],0)</f>
        <v>0.28000000000000003</v>
      </c>
      <c r="K73" s="78" t="str" cm="1">
        <f t="array" ref="K73">Common_InputFunctions.Utility_DisplayArrayInTable(Fuel_SourceData.Fuel_Scope1Scope3EmissionFactorsStationaryLiquid_Data(), Table_Fuel_EFs_StationaryLiquid[[#Headers],[Fuel combusted]],0)</f>
        <v>NE</v>
      </c>
      <c r="L73" s="52"/>
    </row>
    <row r="74" spans="4:13" ht="20.100000000000001" customHeight="1" x14ac:dyDescent="0.25">
      <c r="D74" s="78" t="str" cm="1">
        <f t="array" ref="D74">Common_InputFunctions.Utility_DisplayArrayInTable(Fuel_SourceData.Fuel_Scope1Scope3EmissionFactorsStationaryLiquid_Data(), Table_Fuel_EFs_StationaryLiquid[[#Headers],[Fuel combusted]],0)</f>
        <v>Ethanol for use as a fuel in an internal combustion engine</v>
      </c>
      <c r="E74" s="78" cm="1">
        <f t="array" ref="E74">Common_InputFunctions.Utility_DisplayArrayInTable(Fuel_SourceData.Fuel_Scope1Scope3EmissionFactorsStationaryLiquid_Data(), Table_Fuel_EFs_StationaryLiquid[[#Headers],[Fuel combusted]],0)</f>
        <v>23.4</v>
      </c>
      <c r="F74" s="78" t="str" cm="1">
        <f t="array" ref="F74">Common_InputFunctions.Utility_DisplayArrayInTable(Fuel_SourceData.Fuel_Scope1Scope3EmissionFactorsStationaryLiquid_Data(), Table_Fuel_EFs_StationaryLiquid[[#Headers],[Fuel combusted]],0)</f>
        <v>kL</v>
      </c>
      <c r="G74" s="78" cm="1">
        <f t="array" ref="G74">Common_InputFunctions.Utility_DisplayArrayInTable(Fuel_SourceData.Fuel_Scope1Scope3EmissionFactorsStationaryLiquid_Data(), Table_Fuel_EFs_StationaryLiquid[[#Headers],[Fuel combusted]],0)</f>
        <v>0</v>
      </c>
      <c r="H74" s="78" cm="1">
        <f t="array" ref="H74">Common_InputFunctions.Utility_DisplayArrayInTable(Fuel_SourceData.Fuel_Scope1Scope3EmissionFactorsStationaryLiquid_Data(), Table_Fuel_EFs_StationaryLiquid[[#Headers],[Fuel combusted]],0)</f>
        <v>0.08</v>
      </c>
      <c r="I74" s="78" cm="1">
        <f t="array" ref="I74">Common_InputFunctions.Utility_DisplayArrayInTable(Fuel_SourceData.Fuel_Scope1Scope3EmissionFactorsStationaryLiquid_Data(), Table_Fuel_EFs_StationaryLiquid[[#Headers],[Fuel combusted]],0)</f>
        <v>0.2</v>
      </c>
      <c r="J74" s="78" cm="1">
        <f t="array" ref="J74">Common_InputFunctions.Utility_DisplayArrayInTable(Fuel_SourceData.Fuel_Scope1Scope3EmissionFactorsStationaryLiquid_Data(), Table_Fuel_EFs_StationaryLiquid[[#Headers],[Fuel combusted]],0)</f>
        <v>0.28000000000000003</v>
      </c>
      <c r="K74" s="78" t="str" cm="1">
        <f t="array" ref="K74">Common_InputFunctions.Utility_DisplayArrayInTable(Fuel_SourceData.Fuel_Scope1Scope3EmissionFactorsStationaryLiquid_Data(), Table_Fuel_EFs_StationaryLiquid[[#Headers],[Fuel combusted]],0)</f>
        <v>NE</v>
      </c>
      <c r="L74" s="52"/>
    </row>
    <row r="75" spans="4:13" ht="20.100000000000001" customHeight="1" x14ac:dyDescent="0.25">
      <c r="D75" s="78" t="str" cm="1">
        <f t="array" ref="D75">Common_InputFunctions.Utility_DisplayArrayInTable(Fuel_SourceData.Fuel_Scope1Scope3EmissionFactorsStationaryLiquid_Data(), Table_Fuel_EFs_StationaryLiquid[[#Headers],[Fuel combusted]],0)</f>
        <v>Biofuels other than those mentioned in the items above and below</v>
      </c>
      <c r="E75" s="78" cm="1">
        <f t="array" ref="E75">Common_InputFunctions.Utility_DisplayArrayInTable(Fuel_SourceData.Fuel_Scope1Scope3EmissionFactorsStationaryLiquid_Data(), Table_Fuel_EFs_StationaryLiquid[[#Headers],[Fuel combusted]],0)</f>
        <v>23.4</v>
      </c>
      <c r="F75" s="78" t="str" cm="1">
        <f t="array" ref="F75">Common_InputFunctions.Utility_DisplayArrayInTable(Fuel_SourceData.Fuel_Scope1Scope3EmissionFactorsStationaryLiquid_Data(), Table_Fuel_EFs_StationaryLiquid[[#Headers],[Fuel combusted]],0)</f>
        <v>kL</v>
      </c>
      <c r="G75" s="78" cm="1">
        <f t="array" ref="G75">Common_InputFunctions.Utility_DisplayArrayInTable(Fuel_SourceData.Fuel_Scope1Scope3EmissionFactorsStationaryLiquid_Data(), Table_Fuel_EFs_StationaryLiquid[[#Headers],[Fuel combusted]],0)</f>
        <v>0</v>
      </c>
      <c r="H75" s="78" cm="1">
        <f t="array" ref="H75">Common_InputFunctions.Utility_DisplayArrayInTable(Fuel_SourceData.Fuel_Scope1Scope3EmissionFactorsStationaryLiquid_Data(), Table_Fuel_EFs_StationaryLiquid[[#Headers],[Fuel combusted]],0)</f>
        <v>0.08</v>
      </c>
      <c r="I75" s="78" cm="1">
        <f t="array" ref="I75">Common_InputFunctions.Utility_DisplayArrayInTable(Fuel_SourceData.Fuel_Scope1Scope3EmissionFactorsStationaryLiquid_Data(), Table_Fuel_EFs_StationaryLiquid[[#Headers],[Fuel combusted]],0)</f>
        <v>0.2</v>
      </c>
      <c r="J75" s="78" cm="1">
        <f t="array" ref="J75">Common_InputFunctions.Utility_DisplayArrayInTable(Fuel_SourceData.Fuel_Scope1Scope3EmissionFactorsStationaryLiquid_Data(), Table_Fuel_EFs_StationaryLiquid[[#Headers],[Fuel combusted]],0)</f>
        <v>0.28000000000000003</v>
      </c>
      <c r="K75" s="78" t="str" cm="1">
        <f t="array" ref="K75">Common_InputFunctions.Utility_DisplayArrayInTable(Fuel_SourceData.Fuel_Scope1Scope3EmissionFactorsStationaryLiquid_Data(), Table_Fuel_EFs_StationaryLiquid[[#Headers],[Fuel combusted]],0)</f>
        <v>NE</v>
      </c>
      <c r="L75" s="52"/>
    </row>
    <row r="76" spans="4:13" ht="20.100000000000001" customHeight="1" x14ac:dyDescent="0.25">
      <c r="D76" s="78" t="str" cm="1">
        <f t="array" ref="D76">Common_InputFunctions.Utility_DisplayArrayInTable(Fuel_SourceData.Fuel_Scope1Scope3EmissionFactorsStationaryLiquid_Data(), Table_Fuel_EFs_StationaryLiquid[[#Headers],[Fuel combusted]],0)</f>
        <v>Renewable aviation kerosene</v>
      </c>
      <c r="E76" s="78" cm="1">
        <f t="array" ref="E76">Common_InputFunctions.Utility_DisplayArrayInTable(Fuel_SourceData.Fuel_Scope1Scope3EmissionFactorsStationaryLiquid_Data(), Table_Fuel_EFs_StationaryLiquid[[#Headers],[Fuel combusted]],0)</f>
        <v>36.799999999999997</v>
      </c>
      <c r="F76" s="78" t="str" cm="1">
        <f t="array" ref="F76">Common_InputFunctions.Utility_DisplayArrayInTable(Fuel_SourceData.Fuel_Scope1Scope3EmissionFactorsStationaryLiquid_Data(), Table_Fuel_EFs_StationaryLiquid[[#Headers],[Fuel combusted]],0)</f>
        <v>kL</v>
      </c>
      <c r="G76" s="78" cm="1">
        <f t="array" ref="G76">Common_InputFunctions.Utility_DisplayArrayInTable(Fuel_SourceData.Fuel_Scope1Scope3EmissionFactorsStationaryLiquid_Data(), Table_Fuel_EFs_StationaryLiquid[[#Headers],[Fuel combusted]],0)</f>
        <v>0</v>
      </c>
      <c r="H76" s="78" cm="1">
        <f t="array" ref="H76">Common_InputFunctions.Utility_DisplayArrayInTable(Fuel_SourceData.Fuel_Scope1Scope3EmissionFactorsStationaryLiquid_Data(), Table_Fuel_EFs_StationaryLiquid[[#Headers],[Fuel combusted]],0)</f>
        <v>0.02</v>
      </c>
      <c r="I76" s="78" cm="1">
        <f t="array" ref="I76">Common_InputFunctions.Utility_DisplayArrayInTable(Fuel_SourceData.Fuel_Scope1Scope3EmissionFactorsStationaryLiquid_Data(), Table_Fuel_EFs_StationaryLiquid[[#Headers],[Fuel combusted]],0)</f>
        <v>0.2</v>
      </c>
      <c r="J76" s="78" cm="1">
        <f t="array" ref="J76">Common_InputFunctions.Utility_DisplayArrayInTable(Fuel_SourceData.Fuel_Scope1Scope3EmissionFactorsStationaryLiquid_Data(), Table_Fuel_EFs_StationaryLiquid[[#Headers],[Fuel combusted]],0)</f>
        <v>0.22</v>
      </c>
      <c r="K76" s="78" t="str" cm="1">
        <f t="array" ref="K76">Common_InputFunctions.Utility_DisplayArrayInTable(Fuel_SourceData.Fuel_Scope1Scope3EmissionFactorsStationaryLiquid_Data(), Table_Fuel_EFs_StationaryLiquid[[#Headers],[Fuel combusted]],0)</f>
        <v>NE</v>
      </c>
      <c r="L76" s="52"/>
    </row>
    <row r="77" spans="4:13" ht="20.100000000000001" customHeight="1" x14ac:dyDescent="0.25">
      <c r="D77" s="78" t="str" cm="1">
        <f t="array" ref="D77">Common_InputFunctions.Utility_DisplayArrayInTable(Fuel_SourceData.Fuel_Scope1Scope3EmissionFactorsStationaryLiquid_Data(), Table_Fuel_EFs_StationaryLiquid[[#Headers],[Fuel combusted]],0)</f>
        <v>Renewable diesel</v>
      </c>
      <c r="E77" s="78" cm="1">
        <f t="array" ref="E77">Common_InputFunctions.Utility_DisplayArrayInTable(Fuel_SourceData.Fuel_Scope1Scope3EmissionFactorsStationaryLiquid_Data(), Table_Fuel_EFs_StationaryLiquid[[#Headers],[Fuel combusted]],0)</f>
        <v>38.6</v>
      </c>
      <c r="F77" s="78" t="str" cm="1">
        <f t="array" ref="F77">Common_InputFunctions.Utility_DisplayArrayInTable(Fuel_SourceData.Fuel_Scope1Scope3EmissionFactorsStationaryLiquid_Data(), Table_Fuel_EFs_StationaryLiquid[[#Headers],[Fuel combusted]],0)</f>
        <v>kL</v>
      </c>
      <c r="G77" s="78" cm="1">
        <f t="array" ref="G77">Common_InputFunctions.Utility_DisplayArrayInTable(Fuel_SourceData.Fuel_Scope1Scope3EmissionFactorsStationaryLiquid_Data(), Table_Fuel_EFs_StationaryLiquid[[#Headers],[Fuel combusted]],0)</f>
        <v>0</v>
      </c>
      <c r="H77" s="78" cm="1">
        <f t="array" ref="H77">Common_InputFunctions.Utility_DisplayArrayInTable(Fuel_SourceData.Fuel_Scope1Scope3EmissionFactorsStationaryLiquid_Data(), Table_Fuel_EFs_StationaryLiquid[[#Headers],[Fuel combusted]],0)</f>
        <v>0.1</v>
      </c>
      <c r="I77" s="78" cm="1">
        <f t="array" ref="I77">Common_InputFunctions.Utility_DisplayArrayInTable(Fuel_SourceData.Fuel_Scope1Scope3EmissionFactorsStationaryLiquid_Data(), Table_Fuel_EFs_StationaryLiquid[[#Headers],[Fuel combusted]],0)</f>
        <v>0.2</v>
      </c>
      <c r="J77" s="78" cm="1">
        <f t="array" ref="J77">Common_InputFunctions.Utility_DisplayArrayInTable(Fuel_SourceData.Fuel_Scope1Scope3EmissionFactorsStationaryLiquid_Data(), Table_Fuel_EFs_StationaryLiquid[[#Headers],[Fuel combusted]],0)</f>
        <v>0.3</v>
      </c>
      <c r="K77" s="78" t="str" cm="1">
        <f t="array" ref="K77">Common_InputFunctions.Utility_DisplayArrayInTable(Fuel_SourceData.Fuel_Scope1Scope3EmissionFactorsStationaryLiquid_Data(), Table_Fuel_EFs_StationaryLiquid[[#Headers],[Fuel combusted]],0)</f>
        <v>NE</v>
      </c>
      <c r="L77" s="52"/>
    </row>
    <row r="78" spans="4:13" ht="20.100000000000001" customHeight="1" x14ac:dyDescent="0.25">
      <c r="D78" s="52"/>
      <c r="E78" s="52"/>
      <c r="F78" s="52"/>
      <c r="G78" s="52"/>
      <c r="H78" s="52"/>
      <c r="I78" s="52"/>
      <c r="J78" s="52"/>
      <c r="K78" s="52"/>
      <c r="L78" s="52"/>
    </row>
    <row r="79" spans="4:13" ht="20.100000000000001" customHeight="1" x14ac:dyDescent="0.25">
      <c r="D79" s="52"/>
      <c r="E79" s="52"/>
      <c r="F79" s="52"/>
      <c r="G79" s="52"/>
      <c r="H79" s="52"/>
      <c r="I79" s="52"/>
      <c r="J79" s="52"/>
      <c r="K79" s="52"/>
      <c r="L79" s="52"/>
      <c r="M79" s="52"/>
    </row>
    <row r="80" spans="4:13" ht="20.100000000000001" customHeight="1" x14ac:dyDescent="0.25">
      <c r="D80" s="52"/>
      <c r="E80" s="52"/>
      <c r="F80" s="52"/>
      <c r="G80" s="52"/>
      <c r="H80" s="52"/>
      <c r="I80" s="52"/>
      <c r="J80" s="52"/>
      <c r="K80" s="52"/>
      <c r="L80" s="52"/>
      <c r="M80" s="52"/>
    </row>
    <row r="81" spans="4:12" ht="20.100000000000001" customHeight="1" x14ac:dyDescent="0.25">
      <c r="D81" s="6" t="str" cm="1">
        <f t="array" ref="D81">Fuel_SourceData.Fuel_Scope1EmissionFactorsStationaryGaseous_Title()</f>
        <v>Fuel scope 1 emission factors - Stationary gaseous fuels</v>
      </c>
      <c r="E81" s="52"/>
      <c r="F81" s="52"/>
      <c r="G81" s="52"/>
      <c r="H81" s="52"/>
      <c r="I81" s="52"/>
      <c r="J81" s="52"/>
      <c r="K81" s="52"/>
      <c r="L81" s="52"/>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2"/>
      <c r="F82" s="52"/>
      <c r="G82" s="52"/>
      <c r="H82" s="52"/>
      <c r="I82" s="52"/>
      <c r="J82" s="52"/>
      <c r="K82" s="52"/>
      <c r="L82" s="52"/>
    </row>
    <row r="83" spans="4:12" ht="20.100000000000001" customHeight="1" x14ac:dyDescent="0.25">
      <c r="D83" s="5" t="str" cm="1">
        <f t="array" ref="D83">Fuel_SourceData.Fuel_Scope1EmissionFactorsStationaryGaseous_Source()</f>
        <v>Australian National Greenhouse Accounts Factors 2025 - Table 5</v>
      </c>
      <c r="E83" s="52"/>
      <c r="F83" s="52"/>
      <c r="G83" s="52"/>
      <c r="H83" s="52"/>
      <c r="I83" s="52"/>
      <c r="J83" s="52"/>
      <c r="K83" s="52"/>
      <c r="L83" s="52"/>
    </row>
    <row r="84" spans="4:12" ht="20.100000000000001" customHeight="1" x14ac:dyDescent="0.25">
      <c r="D84" s="34"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2"/>
      <c r="F84" s="52"/>
      <c r="G84" s="52"/>
      <c r="H84" s="52"/>
      <c r="I84" s="52"/>
      <c r="J84" s="52"/>
      <c r="K84" s="52"/>
      <c r="L84" s="52"/>
    </row>
    <row r="85" spans="4:12" ht="20.100000000000001" customHeight="1" x14ac:dyDescent="0.25">
      <c r="D85" s="52"/>
      <c r="E85" s="52"/>
      <c r="F85" s="52"/>
      <c r="G85" s="52"/>
      <c r="H85" s="52"/>
      <c r="I85" s="52"/>
      <c r="J85" s="52"/>
      <c r="K85" s="52"/>
      <c r="L85" s="52"/>
    </row>
    <row r="86" spans="4:12" ht="20.100000000000001" customHeight="1" x14ac:dyDescent="0.25">
      <c r="D86" s="77" t="s">
        <v>113</v>
      </c>
      <c r="E86" s="75" t="s">
        <v>114</v>
      </c>
      <c r="F86" s="77" t="s">
        <v>115</v>
      </c>
      <c r="G86" s="75" t="s">
        <v>116</v>
      </c>
      <c r="H86" s="75" t="s">
        <v>117</v>
      </c>
      <c r="I86" s="75" t="s">
        <v>118</v>
      </c>
      <c r="J86" s="75" t="s">
        <v>119</v>
      </c>
      <c r="K86" s="52"/>
      <c r="L86" s="52"/>
    </row>
    <row r="87" spans="4:12" ht="20.100000000000001" customHeight="1" x14ac:dyDescent="0.25">
      <c r="D87" s="78" t="str" cm="1">
        <f t="array" ref="D87">Common_InputFunctions.Utility_DisplayArrayInTable(Fuel_SourceData.Fuel_Scope1EmissionFactorsStationaryGaseous_Data(), Table_Fuel_EFs_StationaryGaseous[[#Headers],[Fuel combusted]],0)</f>
        <v>Natural gas distributed in a pipeline</v>
      </c>
      <c r="E87" s="78" cm="1">
        <f t="array" ref="E87">Common_InputFunctions.Utility_DisplayArrayInTable(Fuel_SourceData.Fuel_Scope1EmissionFactorsStationaryGaseous_Data(), Table_Fuel_EFs_StationaryGaseous[[#Headers],[Fuel combusted]],0)</f>
        <v>3.9300000000000002E-2</v>
      </c>
      <c r="F87" s="78" t="str" cm="1">
        <f t="array" ref="F87">Common_InputFunctions.Utility_DisplayArrayInTable(Fuel_SourceData.Fuel_Scope1EmissionFactorsStationaryGaseous_Data(), Table_Fuel_EFs_StationaryGaseous[[#Headers],[Fuel combusted]],0)</f>
        <v>m3</v>
      </c>
      <c r="G87" s="78" cm="1">
        <f t="array" ref="G87">Common_InputFunctions.Utility_DisplayArrayInTable(Fuel_SourceData.Fuel_Scope1EmissionFactorsStationaryGaseous_Data(), Table_Fuel_EFs_StationaryGaseous[[#Headers],[Fuel combusted]],0)</f>
        <v>51.4</v>
      </c>
      <c r="H87" s="78" cm="1">
        <f t="array" ref="H87">Common_InputFunctions.Utility_DisplayArrayInTable(Fuel_SourceData.Fuel_Scope1EmissionFactorsStationaryGaseous_Data(), Table_Fuel_EFs_StationaryGaseous[[#Headers],[Fuel combusted]],0)</f>
        <v>0.1</v>
      </c>
      <c r="I87" s="78" cm="1">
        <f t="array" ref="I87">Common_InputFunctions.Utility_DisplayArrayInTable(Fuel_SourceData.Fuel_Scope1EmissionFactorsStationaryGaseous_Data(), Table_Fuel_EFs_StationaryGaseous[[#Headers],[Fuel combusted]],0)</f>
        <v>0.03</v>
      </c>
      <c r="J87" s="78" cm="1">
        <f t="array" ref="J87">Common_InputFunctions.Utility_DisplayArrayInTable(Fuel_SourceData.Fuel_Scope1EmissionFactorsStationaryGaseous_Data(), Table_Fuel_EFs_StationaryGaseous[[#Headers],[Fuel combusted]],0)</f>
        <v>51.53</v>
      </c>
      <c r="K87" s="52"/>
      <c r="L87" s="52"/>
    </row>
    <row r="88" spans="4:12" ht="20.100000000000001" customHeight="1" x14ac:dyDescent="0.25">
      <c r="D88" s="78" t="str" cm="1">
        <f t="array" ref="D88">Common_InputFunctions.Utility_DisplayArrayInTable(Fuel_SourceData.Fuel_Scope1EmissionFactorsStationaryGaseous_Data(), Table_Fuel_EFs_StationaryGaseous[[#Headers],[Fuel combusted]],0)</f>
        <v>Coal seam methane that is captured for combustion</v>
      </c>
      <c r="E88" s="78" cm="1">
        <f t="array" ref="E88">Common_InputFunctions.Utility_DisplayArrayInTable(Fuel_SourceData.Fuel_Scope1EmissionFactorsStationaryGaseous_Data(), Table_Fuel_EFs_StationaryGaseous[[#Headers],[Fuel combusted]],0)</f>
        <v>3.7699999999999997E-2</v>
      </c>
      <c r="F88" s="78" t="str" cm="1">
        <f t="array" ref="F88">Common_InputFunctions.Utility_DisplayArrayInTable(Fuel_SourceData.Fuel_Scope1EmissionFactorsStationaryGaseous_Data(), Table_Fuel_EFs_StationaryGaseous[[#Headers],[Fuel combusted]],0)</f>
        <v>m3</v>
      </c>
      <c r="G88" s="78" cm="1">
        <f t="array" ref="G88">Common_InputFunctions.Utility_DisplayArrayInTable(Fuel_SourceData.Fuel_Scope1EmissionFactorsStationaryGaseous_Data(), Table_Fuel_EFs_StationaryGaseous[[#Headers],[Fuel combusted]],0)</f>
        <v>51.4</v>
      </c>
      <c r="H88" s="78" cm="1">
        <f t="array" ref="H88">Common_InputFunctions.Utility_DisplayArrayInTable(Fuel_SourceData.Fuel_Scope1EmissionFactorsStationaryGaseous_Data(), Table_Fuel_EFs_StationaryGaseous[[#Headers],[Fuel combusted]],0)</f>
        <v>0.2</v>
      </c>
      <c r="I88" s="78" cm="1">
        <f t="array" ref="I88">Common_InputFunctions.Utility_DisplayArrayInTable(Fuel_SourceData.Fuel_Scope1EmissionFactorsStationaryGaseous_Data(), Table_Fuel_EFs_StationaryGaseous[[#Headers],[Fuel combusted]],0)</f>
        <v>0.03</v>
      </c>
      <c r="J88" s="78" cm="1">
        <f t="array" ref="J88">Common_InputFunctions.Utility_DisplayArrayInTable(Fuel_SourceData.Fuel_Scope1EmissionFactorsStationaryGaseous_Data(), Table_Fuel_EFs_StationaryGaseous[[#Headers],[Fuel combusted]],0)</f>
        <v>51.63</v>
      </c>
      <c r="K88" s="52"/>
      <c r="L88" s="52"/>
    </row>
    <row r="89" spans="4:12" ht="20.100000000000001" customHeight="1" x14ac:dyDescent="0.25">
      <c r="D89" s="78" t="str" cm="1">
        <f t="array" ref="D89">Common_InputFunctions.Utility_DisplayArrayInTable(Fuel_SourceData.Fuel_Scope1EmissionFactorsStationaryGaseous_Data(), Table_Fuel_EFs_StationaryGaseous[[#Headers],[Fuel combusted]],0)</f>
        <v>Coal mine waste gas that is captured for combustion</v>
      </c>
      <c r="E89" s="78" cm="1">
        <f t="array" ref="E89">Common_InputFunctions.Utility_DisplayArrayInTable(Fuel_SourceData.Fuel_Scope1EmissionFactorsStationaryGaseous_Data(), Table_Fuel_EFs_StationaryGaseous[[#Headers],[Fuel combusted]],0)</f>
        <v>3.7699999999999997E-2</v>
      </c>
      <c r="F89" s="78" t="str" cm="1">
        <f t="array" ref="F89">Common_InputFunctions.Utility_DisplayArrayInTable(Fuel_SourceData.Fuel_Scope1EmissionFactorsStationaryGaseous_Data(), Table_Fuel_EFs_StationaryGaseous[[#Headers],[Fuel combusted]],0)</f>
        <v>m3</v>
      </c>
      <c r="G89" s="78" cm="1">
        <f t="array" ref="G89">Common_InputFunctions.Utility_DisplayArrayInTable(Fuel_SourceData.Fuel_Scope1EmissionFactorsStationaryGaseous_Data(), Table_Fuel_EFs_StationaryGaseous[[#Headers],[Fuel combusted]],0)</f>
        <v>51.9</v>
      </c>
      <c r="H89" s="78" cm="1">
        <f t="array" ref="H89">Common_InputFunctions.Utility_DisplayArrayInTable(Fuel_SourceData.Fuel_Scope1EmissionFactorsStationaryGaseous_Data(), Table_Fuel_EFs_StationaryGaseous[[#Headers],[Fuel combusted]],0)</f>
        <v>4.5999999999999996</v>
      </c>
      <c r="I89" s="78" cm="1">
        <f t="array" ref="I89">Common_InputFunctions.Utility_DisplayArrayInTable(Fuel_SourceData.Fuel_Scope1EmissionFactorsStationaryGaseous_Data(), Table_Fuel_EFs_StationaryGaseous[[#Headers],[Fuel combusted]],0)</f>
        <v>0.3</v>
      </c>
      <c r="J89" s="78" cm="1">
        <f t="array" ref="J89">Common_InputFunctions.Utility_DisplayArrayInTable(Fuel_SourceData.Fuel_Scope1EmissionFactorsStationaryGaseous_Data(), Table_Fuel_EFs_StationaryGaseous[[#Headers],[Fuel combusted]],0)</f>
        <v>56.8</v>
      </c>
      <c r="K89" s="52"/>
      <c r="L89" s="52"/>
    </row>
    <row r="90" spans="4:12" ht="20.100000000000001" customHeight="1" x14ac:dyDescent="0.25">
      <c r="D90" s="78" t="str" cm="1">
        <f t="array" ref="D90">Common_InputFunctions.Utility_DisplayArrayInTable(Fuel_SourceData.Fuel_Scope1EmissionFactorsStationaryGaseous_Data(), Table_Fuel_EFs_StationaryGaseous[[#Headers],[Fuel combusted]],0)</f>
        <v>Compressed natural gas(reverting to standard conditions)</v>
      </c>
      <c r="E90" s="78" cm="1">
        <f t="array" ref="E90">Common_InputFunctions.Utility_DisplayArrayInTable(Fuel_SourceData.Fuel_Scope1EmissionFactorsStationaryGaseous_Data(), Table_Fuel_EFs_StationaryGaseous[[#Headers],[Fuel combusted]],0)</f>
        <v>3.9300000000000002E-2</v>
      </c>
      <c r="F90" s="78" t="str" cm="1">
        <f t="array" ref="F90">Common_InputFunctions.Utility_DisplayArrayInTable(Fuel_SourceData.Fuel_Scope1EmissionFactorsStationaryGaseous_Data(), Table_Fuel_EFs_StationaryGaseous[[#Headers],[Fuel combusted]],0)</f>
        <v>m3</v>
      </c>
      <c r="G90" s="78" cm="1">
        <f t="array" ref="G90">Common_InputFunctions.Utility_DisplayArrayInTable(Fuel_SourceData.Fuel_Scope1EmissionFactorsStationaryGaseous_Data(), Table_Fuel_EFs_StationaryGaseous[[#Headers],[Fuel combusted]],0)</f>
        <v>51.4</v>
      </c>
      <c r="H90" s="78" cm="1">
        <f t="array" ref="H90">Common_InputFunctions.Utility_DisplayArrayInTable(Fuel_SourceData.Fuel_Scope1EmissionFactorsStationaryGaseous_Data(), Table_Fuel_EFs_StationaryGaseous[[#Headers],[Fuel combusted]],0)</f>
        <v>0.1</v>
      </c>
      <c r="I90" s="78" cm="1">
        <f t="array" ref="I90">Common_InputFunctions.Utility_DisplayArrayInTable(Fuel_SourceData.Fuel_Scope1EmissionFactorsStationaryGaseous_Data(), Table_Fuel_EFs_StationaryGaseous[[#Headers],[Fuel combusted]],0)</f>
        <v>0.03</v>
      </c>
      <c r="J90" s="78" cm="1">
        <f t="array" ref="J90">Common_InputFunctions.Utility_DisplayArrayInTable(Fuel_SourceData.Fuel_Scope1EmissionFactorsStationaryGaseous_Data(), Table_Fuel_EFs_StationaryGaseous[[#Headers],[Fuel combusted]],0)</f>
        <v>51.53</v>
      </c>
      <c r="K90" s="52"/>
      <c r="L90" s="52"/>
    </row>
    <row r="91" spans="4:12" ht="20.100000000000001" customHeight="1" x14ac:dyDescent="0.25">
      <c r="D91" s="78" t="str" cm="1">
        <f t="array" ref="D91">Common_InputFunctions.Utility_DisplayArrayInTable(Fuel_SourceData.Fuel_Scope1EmissionFactorsStationaryGaseous_Data(), Table_Fuel_EFs_StationaryGaseous[[#Headers],[Fuel combusted]],0)</f>
        <v>Unprocessed natural gas</v>
      </c>
      <c r="E91" s="78" cm="1">
        <f t="array" ref="E91">Common_InputFunctions.Utility_DisplayArrayInTable(Fuel_SourceData.Fuel_Scope1EmissionFactorsStationaryGaseous_Data(), Table_Fuel_EFs_StationaryGaseous[[#Headers],[Fuel combusted]],0)</f>
        <v>3.9300000000000002E-2</v>
      </c>
      <c r="F91" s="78" t="str" cm="1">
        <f t="array" ref="F91">Common_InputFunctions.Utility_DisplayArrayInTable(Fuel_SourceData.Fuel_Scope1EmissionFactorsStationaryGaseous_Data(), Table_Fuel_EFs_StationaryGaseous[[#Headers],[Fuel combusted]],0)</f>
        <v>m3</v>
      </c>
      <c r="G91" s="78" cm="1">
        <f t="array" ref="G91">Common_InputFunctions.Utility_DisplayArrayInTable(Fuel_SourceData.Fuel_Scope1EmissionFactorsStationaryGaseous_Data(), Table_Fuel_EFs_StationaryGaseous[[#Headers],[Fuel combusted]],0)</f>
        <v>51.4</v>
      </c>
      <c r="H91" s="78" cm="1">
        <f t="array" ref="H91">Common_InputFunctions.Utility_DisplayArrayInTable(Fuel_SourceData.Fuel_Scope1EmissionFactorsStationaryGaseous_Data(), Table_Fuel_EFs_StationaryGaseous[[#Headers],[Fuel combusted]],0)</f>
        <v>0.1</v>
      </c>
      <c r="I91" s="78" cm="1">
        <f t="array" ref="I91">Common_InputFunctions.Utility_DisplayArrayInTable(Fuel_SourceData.Fuel_Scope1EmissionFactorsStationaryGaseous_Data(), Table_Fuel_EFs_StationaryGaseous[[#Headers],[Fuel combusted]],0)</f>
        <v>0.03</v>
      </c>
      <c r="J91" s="78" cm="1">
        <f t="array" ref="J91">Common_InputFunctions.Utility_DisplayArrayInTable(Fuel_SourceData.Fuel_Scope1EmissionFactorsStationaryGaseous_Data(), Table_Fuel_EFs_StationaryGaseous[[#Headers],[Fuel combusted]],0)</f>
        <v>51.53</v>
      </c>
      <c r="K91" s="52"/>
      <c r="L91" s="52"/>
    </row>
    <row r="92" spans="4:12" ht="20.100000000000001" customHeight="1" x14ac:dyDescent="0.25">
      <c r="D92" s="78" t="str" cm="1">
        <f t="array" ref="D92">Common_InputFunctions.Utility_DisplayArrayInTable(Fuel_SourceData.Fuel_Scope1EmissionFactorsStationaryGaseous_Data(), Table_Fuel_EFs_StationaryGaseous[[#Headers],[Fuel combusted]],0)</f>
        <v>Ethane</v>
      </c>
      <c r="E92" s="78" cm="1">
        <f t="array" ref="E92">Common_InputFunctions.Utility_DisplayArrayInTable(Fuel_SourceData.Fuel_Scope1EmissionFactorsStationaryGaseous_Data(), Table_Fuel_EFs_StationaryGaseous[[#Headers],[Fuel combusted]],0)</f>
        <v>6.2899999999999998E-2</v>
      </c>
      <c r="F92" s="78" t="str" cm="1">
        <f t="array" ref="F92">Common_InputFunctions.Utility_DisplayArrayInTable(Fuel_SourceData.Fuel_Scope1EmissionFactorsStationaryGaseous_Data(), Table_Fuel_EFs_StationaryGaseous[[#Headers],[Fuel combusted]],0)</f>
        <v>m3</v>
      </c>
      <c r="G92" s="78" cm="1">
        <f t="array" ref="G92">Common_InputFunctions.Utility_DisplayArrayInTable(Fuel_SourceData.Fuel_Scope1EmissionFactorsStationaryGaseous_Data(), Table_Fuel_EFs_StationaryGaseous[[#Headers],[Fuel combusted]],0)</f>
        <v>56.5</v>
      </c>
      <c r="H92" s="78" cm="1">
        <f t="array" ref="H92">Common_InputFunctions.Utility_DisplayArrayInTable(Fuel_SourceData.Fuel_Scope1EmissionFactorsStationaryGaseous_Data(), Table_Fuel_EFs_StationaryGaseous[[#Headers],[Fuel combusted]],0)</f>
        <v>0.03</v>
      </c>
      <c r="I92" s="78" cm="1">
        <f t="array" ref="I92">Common_InputFunctions.Utility_DisplayArrayInTable(Fuel_SourceData.Fuel_Scope1EmissionFactorsStationaryGaseous_Data(), Table_Fuel_EFs_StationaryGaseous[[#Headers],[Fuel combusted]],0)</f>
        <v>0.03</v>
      </c>
      <c r="J92" s="78" cm="1">
        <f t="array" ref="J92">Common_InputFunctions.Utility_DisplayArrayInTable(Fuel_SourceData.Fuel_Scope1EmissionFactorsStationaryGaseous_Data(), Table_Fuel_EFs_StationaryGaseous[[#Headers],[Fuel combusted]],0)</f>
        <v>56.56</v>
      </c>
      <c r="K92" s="52"/>
      <c r="L92" s="52"/>
    </row>
    <row r="93" spans="4:12" ht="20.100000000000001" customHeight="1" x14ac:dyDescent="0.25">
      <c r="D93" s="78" t="str" cm="1">
        <f t="array" ref="D93">Common_InputFunctions.Utility_DisplayArrayInTable(Fuel_SourceData.Fuel_Scope1EmissionFactorsStationaryGaseous_Data(), Table_Fuel_EFs_StationaryGaseous[[#Headers],[Fuel combusted]],0)</f>
        <v>Coke oven gas</v>
      </c>
      <c r="E93" s="78" cm="1">
        <f t="array" ref="E93">Common_InputFunctions.Utility_DisplayArrayInTable(Fuel_SourceData.Fuel_Scope1EmissionFactorsStationaryGaseous_Data(), Table_Fuel_EFs_StationaryGaseous[[#Headers],[Fuel combusted]],0)</f>
        <v>1.8100000000000002E-2</v>
      </c>
      <c r="F93" s="78" t="str" cm="1">
        <f t="array" ref="F93">Common_InputFunctions.Utility_DisplayArrayInTable(Fuel_SourceData.Fuel_Scope1EmissionFactorsStationaryGaseous_Data(), Table_Fuel_EFs_StationaryGaseous[[#Headers],[Fuel combusted]],0)</f>
        <v>m3</v>
      </c>
      <c r="G93" s="78" cm="1">
        <f t="array" ref="G93">Common_InputFunctions.Utility_DisplayArrayInTable(Fuel_SourceData.Fuel_Scope1EmissionFactorsStationaryGaseous_Data(), Table_Fuel_EFs_StationaryGaseous[[#Headers],[Fuel combusted]],0)</f>
        <v>37</v>
      </c>
      <c r="H93" s="78" cm="1">
        <f t="array" ref="H93">Common_InputFunctions.Utility_DisplayArrayInTable(Fuel_SourceData.Fuel_Scope1EmissionFactorsStationaryGaseous_Data(), Table_Fuel_EFs_StationaryGaseous[[#Headers],[Fuel combusted]],0)</f>
        <v>0.03</v>
      </c>
      <c r="I93" s="78" cm="1">
        <f t="array" ref="I93">Common_InputFunctions.Utility_DisplayArrayInTable(Fuel_SourceData.Fuel_Scope1EmissionFactorsStationaryGaseous_Data(), Table_Fuel_EFs_StationaryGaseous[[#Headers],[Fuel combusted]],0)</f>
        <v>0.05</v>
      </c>
      <c r="J93" s="78" cm="1">
        <f t="array" ref="J93">Common_InputFunctions.Utility_DisplayArrayInTable(Fuel_SourceData.Fuel_Scope1EmissionFactorsStationaryGaseous_Data(), Table_Fuel_EFs_StationaryGaseous[[#Headers],[Fuel combusted]],0)</f>
        <v>37.08</v>
      </c>
      <c r="K93" s="52"/>
      <c r="L93" s="52"/>
    </row>
    <row r="94" spans="4:12" ht="20.100000000000001" customHeight="1" x14ac:dyDescent="0.25">
      <c r="D94" s="78" t="str" cm="1">
        <f t="array" ref="D94">Common_InputFunctions.Utility_DisplayArrayInTable(Fuel_SourceData.Fuel_Scope1EmissionFactorsStationaryGaseous_Data(), Table_Fuel_EFs_StationaryGaseous[[#Headers],[Fuel combusted]],0)</f>
        <v>Blast furnace gas</v>
      </c>
      <c r="E94" s="78" cm="1">
        <f t="array" ref="E94">Common_InputFunctions.Utility_DisplayArrayInTable(Fuel_SourceData.Fuel_Scope1EmissionFactorsStationaryGaseous_Data(), Table_Fuel_EFs_StationaryGaseous[[#Headers],[Fuel combusted]],0)</f>
        <v>4.0000000000000001E-3</v>
      </c>
      <c r="F94" s="78" t="str" cm="1">
        <f t="array" ref="F94">Common_InputFunctions.Utility_DisplayArrayInTable(Fuel_SourceData.Fuel_Scope1EmissionFactorsStationaryGaseous_Data(), Table_Fuel_EFs_StationaryGaseous[[#Headers],[Fuel combusted]],0)</f>
        <v>m3</v>
      </c>
      <c r="G94" s="78" cm="1">
        <f t="array" ref="G94">Common_InputFunctions.Utility_DisplayArrayInTable(Fuel_SourceData.Fuel_Scope1EmissionFactorsStationaryGaseous_Data(), Table_Fuel_EFs_StationaryGaseous[[#Headers],[Fuel combusted]],0)</f>
        <v>234</v>
      </c>
      <c r="H94" s="78" cm="1">
        <f t="array" ref="H94">Common_InputFunctions.Utility_DisplayArrayInTable(Fuel_SourceData.Fuel_Scope1EmissionFactorsStationaryGaseous_Data(), Table_Fuel_EFs_StationaryGaseous[[#Headers],[Fuel combusted]],0)</f>
        <v>0.03</v>
      </c>
      <c r="I94" s="78" cm="1">
        <f t="array" ref="I94">Common_InputFunctions.Utility_DisplayArrayInTable(Fuel_SourceData.Fuel_Scope1EmissionFactorsStationaryGaseous_Data(), Table_Fuel_EFs_StationaryGaseous[[#Headers],[Fuel combusted]],0)</f>
        <v>0.02</v>
      </c>
      <c r="J94" s="78" cm="1">
        <f t="array" ref="J94">Common_InputFunctions.Utility_DisplayArrayInTable(Fuel_SourceData.Fuel_Scope1EmissionFactorsStationaryGaseous_Data(), Table_Fuel_EFs_StationaryGaseous[[#Headers],[Fuel combusted]],0)</f>
        <v>234.05</v>
      </c>
      <c r="K94" s="52"/>
      <c r="L94" s="52"/>
    </row>
    <row r="95" spans="4:12" ht="20.100000000000001" customHeight="1" x14ac:dyDescent="0.25">
      <c r="D95" s="78" t="str" cm="1">
        <f t="array" ref="D95">Common_InputFunctions.Utility_DisplayArrayInTable(Fuel_SourceData.Fuel_Scope1EmissionFactorsStationaryGaseous_Data(), Table_Fuel_EFs_StationaryGaseous[[#Headers],[Fuel combusted]],0)</f>
        <v>Town gas</v>
      </c>
      <c r="E95" s="78" cm="1">
        <f t="array" ref="E95">Common_InputFunctions.Utility_DisplayArrayInTable(Fuel_SourceData.Fuel_Scope1EmissionFactorsStationaryGaseous_Data(), Table_Fuel_EFs_StationaryGaseous[[#Headers],[Fuel combusted]],0)</f>
        <v>3.9E-2</v>
      </c>
      <c r="F95" s="78" t="str" cm="1">
        <f t="array" ref="F95">Common_InputFunctions.Utility_DisplayArrayInTable(Fuel_SourceData.Fuel_Scope1EmissionFactorsStationaryGaseous_Data(), Table_Fuel_EFs_StationaryGaseous[[#Headers],[Fuel combusted]],0)</f>
        <v>m3</v>
      </c>
      <c r="G95" s="78" cm="1">
        <f t="array" ref="G95">Common_InputFunctions.Utility_DisplayArrayInTable(Fuel_SourceData.Fuel_Scope1EmissionFactorsStationaryGaseous_Data(), Table_Fuel_EFs_StationaryGaseous[[#Headers],[Fuel combusted]],0)</f>
        <v>60.2</v>
      </c>
      <c r="H95" s="78" cm="1">
        <f t="array" ref="H95">Common_InputFunctions.Utility_DisplayArrayInTable(Fuel_SourceData.Fuel_Scope1EmissionFactorsStationaryGaseous_Data(), Table_Fuel_EFs_StationaryGaseous[[#Headers],[Fuel combusted]],0)</f>
        <v>0.04</v>
      </c>
      <c r="I95" s="78" cm="1">
        <f t="array" ref="I95">Common_InputFunctions.Utility_DisplayArrayInTable(Fuel_SourceData.Fuel_Scope1EmissionFactorsStationaryGaseous_Data(), Table_Fuel_EFs_StationaryGaseous[[#Headers],[Fuel combusted]],0)</f>
        <v>0.03</v>
      </c>
      <c r="J95" s="78" cm="1">
        <f t="array" ref="J95">Common_InputFunctions.Utility_DisplayArrayInTable(Fuel_SourceData.Fuel_Scope1EmissionFactorsStationaryGaseous_Data(), Table_Fuel_EFs_StationaryGaseous[[#Headers],[Fuel combusted]],0)</f>
        <v>60.27</v>
      </c>
      <c r="K95" s="52"/>
      <c r="L95" s="52"/>
    </row>
    <row r="96" spans="4:12" ht="20.100000000000001" customHeight="1" x14ac:dyDescent="0.25">
      <c r="D96" s="78" t="str" cm="1">
        <f t="array" ref="D96">Common_InputFunctions.Utility_DisplayArrayInTable(Fuel_SourceData.Fuel_Scope1EmissionFactorsStationaryGaseous_Data(), Table_Fuel_EFs_StationaryGaseous[[#Headers],[Fuel combusted]],0)</f>
        <v>Liquefied natural gas</v>
      </c>
      <c r="E96" s="78" cm="1">
        <f t="array" ref="E96">Common_InputFunctions.Utility_DisplayArrayInTable(Fuel_SourceData.Fuel_Scope1EmissionFactorsStationaryGaseous_Data(), Table_Fuel_EFs_StationaryGaseous[[#Headers],[Fuel combusted]],0)</f>
        <v>25.3</v>
      </c>
      <c r="F96" s="78" t="str" cm="1">
        <f t="array" ref="F96">Common_InputFunctions.Utility_DisplayArrayInTable(Fuel_SourceData.Fuel_Scope1EmissionFactorsStationaryGaseous_Data(), Table_Fuel_EFs_StationaryGaseous[[#Headers],[Fuel combusted]],0)</f>
        <v>kL</v>
      </c>
      <c r="G96" s="78" cm="1">
        <f t="array" ref="G96">Common_InputFunctions.Utility_DisplayArrayInTable(Fuel_SourceData.Fuel_Scope1EmissionFactorsStationaryGaseous_Data(), Table_Fuel_EFs_StationaryGaseous[[#Headers],[Fuel combusted]],0)</f>
        <v>51.4</v>
      </c>
      <c r="H96" s="78" cm="1">
        <f t="array" ref="H96">Common_InputFunctions.Utility_DisplayArrayInTable(Fuel_SourceData.Fuel_Scope1EmissionFactorsStationaryGaseous_Data(), Table_Fuel_EFs_StationaryGaseous[[#Headers],[Fuel combusted]],0)</f>
        <v>0.1</v>
      </c>
      <c r="I96" s="78" cm="1">
        <f t="array" ref="I96">Common_InputFunctions.Utility_DisplayArrayInTable(Fuel_SourceData.Fuel_Scope1EmissionFactorsStationaryGaseous_Data(), Table_Fuel_EFs_StationaryGaseous[[#Headers],[Fuel combusted]],0)</f>
        <v>0.03</v>
      </c>
      <c r="J96" s="78" cm="1">
        <f t="array" ref="J96">Common_InputFunctions.Utility_DisplayArrayInTable(Fuel_SourceData.Fuel_Scope1EmissionFactorsStationaryGaseous_Data(), Table_Fuel_EFs_StationaryGaseous[[#Headers],[Fuel combusted]],0)</f>
        <v>51.53</v>
      </c>
      <c r="K96" s="52"/>
      <c r="L96" s="52"/>
    </row>
    <row r="97" spans="4:13" ht="20.100000000000001" customHeight="1" x14ac:dyDescent="0.25">
      <c r="D97" s="78" t="str" cm="1">
        <f t="array" ref="D97">Common_InputFunctions.Utility_DisplayArrayInTable(Fuel_SourceData.Fuel_Scope1EmissionFactorsStationaryGaseous_Data(), Table_Fuel_EFs_StationaryGaseous[[#Headers],[Fuel combusted]],0)</f>
        <v>Gaseous fossil fuels other than those mentioned in the items above</v>
      </c>
      <c r="E97" s="78" cm="1">
        <f t="array" ref="E97">Common_InputFunctions.Utility_DisplayArrayInTable(Fuel_SourceData.Fuel_Scope1EmissionFactorsStationaryGaseous_Data(), Table_Fuel_EFs_StationaryGaseous[[#Headers],[Fuel combusted]],0)</f>
        <v>3.9E-2</v>
      </c>
      <c r="F97" s="78" t="str" cm="1">
        <f t="array" ref="F97">Common_InputFunctions.Utility_DisplayArrayInTable(Fuel_SourceData.Fuel_Scope1EmissionFactorsStationaryGaseous_Data(), Table_Fuel_EFs_StationaryGaseous[[#Headers],[Fuel combusted]],0)</f>
        <v>m3</v>
      </c>
      <c r="G97" s="78" cm="1">
        <f t="array" ref="G97">Common_InputFunctions.Utility_DisplayArrayInTable(Fuel_SourceData.Fuel_Scope1EmissionFactorsStationaryGaseous_Data(), Table_Fuel_EFs_StationaryGaseous[[#Headers],[Fuel combusted]],0)</f>
        <v>51.4</v>
      </c>
      <c r="H97" s="78" cm="1">
        <f t="array" ref="H97">Common_InputFunctions.Utility_DisplayArrayInTable(Fuel_SourceData.Fuel_Scope1EmissionFactorsStationaryGaseous_Data(), Table_Fuel_EFs_StationaryGaseous[[#Headers],[Fuel combusted]],0)</f>
        <v>0.1</v>
      </c>
      <c r="I97" s="78" cm="1">
        <f t="array" ref="I97">Common_InputFunctions.Utility_DisplayArrayInTable(Fuel_SourceData.Fuel_Scope1EmissionFactorsStationaryGaseous_Data(), Table_Fuel_EFs_StationaryGaseous[[#Headers],[Fuel combusted]],0)</f>
        <v>0.03</v>
      </c>
      <c r="J97" s="78" cm="1">
        <f t="array" ref="J97">Common_InputFunctions.Utility_DisplayArrayInTable(Fuel_SourceData.Fuel_Scope1EmissionFactorsStationaryGaseous_Data(), Table_Fuel_EFs_StationaryGaseous[[#Headers],[Fuel combusted]],0)</f>
        <v>51.53</v>
      </c>
      <c r="K97" s="52"/>
      <c r="L97" s="52"/>
    </row>
    <row r="98" spans="4:13" ht="20.100000000000001" customHeight="1" x14ac:dyDescent="0.25">
      <c r="D98" s="78" t="str" cm="1">
        <f t="array" ref="D98">Common_InputFunctions.Utility_DisplayArrayInTable(Fuel_SourceData.Fuel_Scope1EmissionFactorsStationaryGaseous_Data(), Table_Fuel_EFs_StationaryGaseous[[#Headers],[Fuel combusted]],0)</f>
        <v>Landfill biogas that is captured for combustion (methane only)</v>
      </c>
      <c r="E98" s="78" cm="1">
        <f t="array" ref="E98">Common_InputFunctions.Utility_DisplayArrayInTable(Fuel_SourceData.Fuel_Scope1EmissionFactorsStationaryGaseous_Data(), Table_Fuel_EFs_StationaryGaseous[[#Headers],[Fuel combusted]],0)</f>
        <v>3.7699999999999997E-2</v>
      </c>
      <c r="F98" s="78" t="str" cm="1">
        <f t="array" ref="F98">Common_InputFunctions.Utility_DisplayArrayInTable(Fuel_SourceData.Fuel_Scope1EmissionFactorsStationaryGaseous_Data(), Table_Fuel_EFs_StationaryGaseous[[#Headers],[Fuel combusted]],0)</f>
        <v>m3</v>
      </c>
      <c r="G98" s="78" cm="1">
        <f t="array" ref="G98">Common_InputFunctions.Utility_DisplayArrayInTable(Fuel_SourceData.Fuel_Scope1EmissionFactorsStationaryGaseous_Data(), Table_Fuel_EFs_StationaryGaseous[[#Headers],[Fuel combusted]],0)</f>
        <v>0</v>
      </c>
      <c r="H98" s="78" cm="1">
        <f t="array" ref="H98">Common_InputFunctions.Utility_DisplayArrayInTable(Fuel_SourceData.Fuel_Scope1EmissionFactorsStationaryGaseous_Data(), Table_Fuel_EFs_StationaryGaseous[[#Headers],[Fuel combusted]],0)</f>
        <v>6.4</v>
      </c>
      <c r="I98" s="78" cm="1">
        <f t="array" ref="I98">Common_InputFunctions.Utility_DisplayArrayInTable(Fuel_SourceData.Fuel_Scope1EmissionFactorsStationaryGaseous_Data(), Table_Fuel_EFs_StationaryGaseous[[#Headers],[Fuel combusted]],0)</f>
        <v>0.03</v>
      </c>
      <c r="J98" s="78" cm="1">
        <f t="array" ref="J98">Common_InputFunctions.Utility_DisplayArrayInTable(Fuel_SourceData.Fuel_Scope1EmissionFactorsStationaryGaseous_Data(), Table_Fuel_EFs_StationaryGaseous[[#Headers],[Fuel combusted]],0)</f>
        <v>6.43</v>
      </c>
      <c r="K98" s="52"/>
      <c r="L98" s="52"/>
    </row>
    <row r="99" spans="4:13" ht="20.100000000000001" customHeight="1" x14ac:dyDescent="0.25">
      <c r="D99" s="78" t="str" cm="1">
        <f t="array" ref="D99">Common_InputFunctions.Utility_DisplayArrayInTable(Fuel_SourceData.Fuel_Scope1EmissionFactorsStationaryGaseous_Data(), Table_Fuel_EFs_StationaryGaseous[[#Headers],[Fuel combusted]],0)</f>
        <v>Sludge biogas that is captured for combustion (methane only)</v>
      </c>
      <c r="E99" s="78" cm="1">
        <f t="array" ref="E99">Common_InputFunctions.Utility_DisplayArrayInTable(Fuel_SourceData.Fuel_Scope1EmissionFactorsStationaryGaseous_Data(), Table_Fuel_EFs_StationaryGaseous[[#Headers],[Fuel combusted]],0)</f>
        <v>3.7699999999999997E-2</v>
      </c>
      <c r="F99" s="78" t="str" cm="1">
        <f t="array" ref="F99">Common_InputFunctions.Utility_DisplayArrayInTable(Fuel_SourceData.Fuel_Scope1EmissionFactorsStationaryGaseous_Data(), Table_Fuel_EFs_StationaryGaseous[[#Headers],[Fuel combusted]],0)</f>
        <v>m3</v>
      </c>
      <c r="G99" s="78" cm="1">
        <f t="array" ref="G99">Common_InputFunctions.Utility_DisplayArrayInTable(Fuel_SourceData.Fuel_Scope1EmissionFactorsStationaryGaseous_Data(), Table_Fuel_EFs_StationaryGaseous[[#Headers],[Fuel combusted]],0)</f>
        <v>0</v>
      </c>
      <c r="H99" s="78" cm="1">
        <f t="array" ref="H99">Common_InputFunctions.Utility_DisplayArrayInTable(Fuel_SourceData.Fuel_Scope1EmissionFactorsStationaryGaseous_Data(), Table_Fuel_EFs_StationaryGaseous[[#Headers],[Fuel combusted]],0)</f>
        <v>6.4</v>
      </c>
      <c r="I99" s="78" cm="1">
        <f t="array" ref="I99">Common_InputFunctions.Utility_DisplayArrayInTable(Fuel_SourceData.Fuel_Scope1EmissionFactorsStationaryGaseous_Data(), Table_Fuel_EFs_StationaryGaseous[[#Headers],[Fuel combusted]],0)</f>
        <v>0.03</v>
      </c>
      <c r="J99" s="78" cm="1">
        <f t="array" ref="J99">Common_InputFunctions.Utility_DisplayArrayInTable(Fuel_SourceData.Fuel_Scope1EmissionFactorsStationaryGaseous_Data(), Table_Fuel_EFs_StationaryGaseous[[#Headers],[Fuel combusted]],0)</f>
        <v>6.43</v>
      </c>
      <c r="K99" s="52"/>
      <c r="L99" s="52"/>
    </row>
    <row r="100" spans="4:13" ht="20.100000000000001" customHeight="1" x14ac:dyDescent="0.25">
      <c r="D100" s="7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8" cm="1">
        <f t="array" ref="E100">Common_InputFunctions.Utility_DisplayArrayInTable(Fuel_SourceData.Fuel_Scope1EmissionFactorsStationaryGaseous_Data(), Table_Fuel_EFs_StationaryGaseous[[#Headers],[Fuel combusted]],0)</f>
        <v>3.6999999999999998E-2</v>
      </c>
      <c r="F100" s="78" t="str" cm="1">
        <f t="array" ref="F100">Common_InputFunctions.Utility_DisplayArrayInTable(Fuel_SourceData.Fuel_Scope1EmissionFactorsStationaryGaseous_Data(), Table_Fuel_EFs_StationaryGaseous[[#Headers],[Fuel combusted]],0)</f>
        <v>m3</v>
      </c>
      <c r="G100" s="78" cm="1">
        <f t="array" ref="G100">Common_InputFunctions.Utility_DisplayArrayInTable(Fuel_SourceData.Fuel_Scope1EmissionFactorsStationaryGaseous_Data(), Table_Fuel_EFs_StationaryGaseous[[#Headers],[Fuel combusted]],0)</f>
        <v>0</v>
      </c>
      <c r="H100" s="78" cm="1">
        <f t="array" ref="H100">Common_InputFunctions.Utility_DisplayArrayInTable(Fuel_SourceData.Fuel_Scope1EmissionFactorsStationaryGaseous_Data(), Table_Fuel_EFs_StationaryGaseous[[#Headers],[Fuel combusted]],0)</f>
        <v>6.4</v>
      </c>
      <c r="I100" s="78" cm="1">
        <f t="array" ref="I100">Common_InputFunctions.Utility_DisplayArrayInTable(Fuel_SourceData.Fuel_Scope1EmissionFactorsStationaryGaseous_Data(), Table_Fuel_EFs_StationaryGaseous[[#Headers],[Fuel combusted]],0)</f>
        <v>0.03</v>
      </c>
      <c r="J100" s="78" cm="1">
        <f t="array" ref="J100">Common_InputFunctions.Utility_DisplayArrayInTable(Fuel_SourceData.Fuel_Scope1EmissionFactorsStationaryGaseous_Data(), Table_Fuel_EFs_StationaryGaseous[[#Headers],[Fuel combusted]],0)</f>
        <v>6.43</v>
      </c>
      <c r="K100" s="52"/>
      <c r="L100" s="52"/>
    </row>
    <row r="101" spans="4:13" ht="20.100000000000001" customHeight="1" x14ac:dyDescent="0.25">
      <c r="D101" s="78" t="str" cm="1">
        <f t="array" ref="D101">Common_InputFunctions.Utility_DisplayArrayInTable(Fuel_SourceData.Fuel_Scope1EmissionFactorsStationaryGaseous_Data(), Table_Fuel_EFs_StationaryGaseous[[#Headers],[Fuel combusted]],0)</f>
        <v>Biomethane</v>
      </c>
      <c r="E101" s="78" cm="1">
        <f t="array" ref="E101">Common_InputFunctions.Utility_DisplayArrayInTable(Fuel_SourceData.Fuel_Scope1EmissionFactorsStationaryGaseous_Data(), Table_Fuel_EFs_StationaryGaseous[[#Headers],[Fuel combusted]],0)</f>
        <v>3.9300000000000002E-2</v>
      </c>
      <c r="F101" s="78" t="str" cm="1">
        <f t="array" ref="F101">Common_InputFunctions.Utility_DisplayArrayInTable(Fuel_SourceData.Fuel_Scope1EmissionFactorsStationaryGaseous_Data(), Table_Fuel_EFs_StationaryGaseous[[#Headers],[Fuel combusted]],0)</f>
        <v>m3</v>
      </c>
      <c r="G101" s="78" cm="1">
        <f t="array" ref="G101">Common_InputFunctions.Utility_DisplayArrayInTable(Fuel_SourceData.Fuel_Scope1EmissionFactorsStationaryGaseous_Data(), Table_Fuel_EFs_StationaryGaseous[[#Headers],[Fuel combusted]],0)</f>
        <v>0</v>
      </c>
      <c r="H101" s="78" cm="1">
        <f t="array" ref="H101">Common_InputFunctions.Utility_DisplayArrayInTable(Fuel_SourceData.Fuel_Scope1EmissionFactorsStationaryGaseous_Data(), Table_Fuel_EFs_StationaryGaseous[[#Headers],[Fuel combusted]],0)</f>
        <v>0.1</v>
      </c>
      <c r="I101" s="78" cm="1">
        <f t="array" ref="I101">Common_InputFunctions.Utility_DisplayArrayInTable(Fuel_SourceData.Fuel_Scope1EmissionFactorsStationaryGaseous_Data(), Table_Fuel_EFs_StationaryGaseous[[#Headers],[Fuel combusted]],0)</f>
        <v>0.03</v>
      </c>
      <c r="J101" s="78" cm="1">
        <f t="array" ref="J101">Common_InputFunctions.Utility_DisplayArrayInTable(Fuel_SourceData.Fuel_Scope1EmissionFactorsStationaryGaseous_Data(), Table_Fuel_EFs_StationaryGaseous[[#Headers],[Fuel combusted]],0)</f>
        <v>0.13</v>
      </c>
      <c r="K101" s="52"/>
      <c r="L101" s="52"/>
    </row>
    <row r="102" spans="4:13" ht="20.100000000000001" customHeight="1" x14ac:dyDescent="0.25">
      <c r="D102" s="78" t="str" cm="1">
        <f t="array" ref="D102">Common_InputFunctions.Utility_DisplayArrayInTable(Fuel_SourceData.Fuel_Scope1EmissionFactorsStationaryGaseous_Data(), Table_Fuel_EFs_StationaryGaseous[[#Headers],[Fuel combusted]],0)</f>
        <v>Hydrogen</v>
      </c>
      <c r="E102" s="78" cm="1">
        <f t="array" ref="E102">Common_InputFunctions.Utility_DisplayArrayInTable(Fuel_SourceData.Fuel_Scope1EmissionFactorsStationaryGaseous_Data(), Table_Fuel_EFs_StationaryGaseous[[#Headers],[Fuel combusted]],0)</f>
        <v>1.2200000000000001E-2</v>
      </c>
      <c r="F102" s="78" t="str" cm="1">
        <f t="array" ref="F102">Common_InputFunctions.Utility_DisplayArrayInTable(Fuel_SourceData.Fuel_Scope1EmissionFactorsStationaryGaseous_Data(), Table_Fuel_EFs_StationaryGaseous[[#Headers],[Fuel combusted]],0)</f>
        <v>m3</v>
      </c>
      <c r="G102" s="78" cm="1">
        <f t="array" ref="G102">Common_InputFunctions.Utility_DisplayArrayInTable(Fuel_SourceData.Fuel_Scope1EmissionFactorsStationaryGaseous_Data(), Table_Fuel_EFs_StationaryGaseous[[#Headers],[Fuel combusted]],0)</f>
        <v>0</v>
      </c>
      <c r="H102" s="78" cm="1">
        <f t="array" ref="H102">Common_InputFunctions.Utility_DisplayArrayInTable(Fuel_SourceData.Fuel_Scope1EmissionFactorsStationaryGaseous_Data(), Table_Fuel_EFs_StationaryGaseous[[#Headers],[Fuel combusted]],0)</f>
        <v>0</v>
      </c>
      <c r="I102" s="78" cm="1">
        <f t="array" ref="I102">Common_InputFunctions.Utility_DisplayArrayInTable(Fuel_SourceData.Fuel_Scope1EmissionFactorsStationaryGaseous_Data(), Table_Fuel_EFs_StationaryGaseous[[#Headers],[Fuel combusted]],0)</f>
        <v>0.5</v>
      </c>
      <c r="J102" s="78" cm="1">
        <f t="array" ref="J102">Common_InputFunctions.Utility_DisplayArrayInTable(Fuel_SourceData.Fuel_Scope1EmissionFactorsStationaryGaseous_Data(), Table_Fuel_EFs_StationaryGaseous[[#Headers],[Fuel combusted]],0)</f>
        <v>0.5</v>
      </c>
      <c r="K102" s="52"/>
      <c r="L102" s="52"/>
    </row>
    <row r="103" spans="4:13" ht="20.100000000000001" customHeight="1" x14ac:dyDescent="0.25">
      <c r="D103" s="78" t="str" cm="1">
        <f t="array" ref="D103">Common_InputFunctions.Utility_DisplayArrayInTable(Fuel_SourceData.Fuel_Scope1EmissionFactorsStationaryGaseous_Data(), Table_Fuel_EFs_StationaryGaseous[[#Headers],[Fuel combusted]],0)</f>
        <v>Natural gas distributed in a pipeline - Gigajoules</v>
      </c>
      <c r="E103" s="78" cm="1">
        <f t="array" ref="E103">Common_InputFunctions.Utility_DisplayArrayInTable(Fuel_SourceData.Fuel_Scope1EmissionFactorsStationaryGaseous_Data(), Table_Fuel_EFs_StationaryGaseous[[#Headers],[Fuel combusted]],0)</f>
        <v>1</v>
      </c>
      <c r="F103" s="78" t="str" cm="1">
        <f t="array" ref="F103">Common_InputFunctions.Utility_DisplayArrayInTable(Fuel_SourceData.Fuel_Scope1EmissionFactorsStationaryGaseous_Data(), Table_Fuel_EFs_StationaryGaseous[[#Headers],[Fuel combusted]],0)</f>
        <v>GJ</v>
      </c>
      <c r="G103" s="78" cm="1">
        <f t="array" ref="G103">Common_InputFunctions.Utility_DisplayArrayInTable(Fuel_SourceData.Fuel_Scope1EmissionFactorsStationaryGaseous_Data(), Table_Fuel_EFs_StationaryGaseous[[#Headers],[Fuel combusted]],0)</f>
        <v>51.4</v>
      </c>
      <c r="H103" s="78" cm="1">
        <f t="array" ref="H103">Common_InputFunctions.Utility_DisplayArrayInTable(Fuel_SourceData.Fuel_Scope1EmissionFactorsStationaryGaseous_Data(), Table_Fuel_EFs_StationaryGaseous[[#Headers],[Fuel combusted]],0)</f>
        <v>0.1</v>
      </c>
      <c r="I103" s="78" cm="1">
        <f t="array" ref="I103">Common_InputFunctions.Utility_DisplayArrayInTable(Fuel_SourceData.Fuel_Scope1EmissionFactorsStationaryGaseous_Data(), Table_Fuel_EFs_StationaryGaseous[[#Headers],[Fuel combusted]],0)</f>
        <v>0.03</v>
      </c>
      <c r="J103" s="78" cm="1">
        <f t="array" ref="J103">Common_InputFunctions.Utility_DisplayArrayInTable(Fuel_SourceData.Fuel_Scope1EmissionFactorsStationaryGaseous_Data(), Table_Fuel_EFs_StationaryGaseous[[#Headers],[Fuel combusted]],0)</f>
        <v>51.53</v>
      </c>
      <c r="K103" s="52"/>
      <c r="L103" s="52"/>
    </row>
    <row r="104" spans="4:13" ht="20.100000000000001" customHeight="1" x14ac:dyDescent="0.25">
      <c r="D104" s="78" t="str" cm="1">
        <f t="array" ref="D104">Common_InputFunctions.Utility_DisplayArrayInTable(Fuel_SourceData.Fuel_Scope1EmissionFactorsStationaryGaseous_Data(), Table_Fuel_EFs_StationaryGaseous[[#Headers],[Fuel combusted]],0)</f>
        <v>Town gas - Gigajoules</v>
      </c>
      <c r="E104" s="78" cm="1">
        <f t="array" ref="E104">Common_InputFunctions.Utility_DisplayArrayInTable(Fuel_SourceData.Fuel_Scope1EmissionFactorsStationaryGaseous_Data(), Table_Fuel_EFs_StationaryGaseous[[#Headers],[Fuel combusted]],0)</f>
        <v>1</v>
      </c>
      <c r="F104" s="78" t="str" cm="1">
        <f t="array" ref="F104">Common_InputFunctions.Utility_DisplayArrayInTable(Fuel_SourceData.Fuel_Scope1EmissionFactorsStationaryGaseous_Data(), Table_Fuel_EFs_StationaryGaseous[[#Headers],[Fuel combusted]],0)</f>
        <v>GJ</v>
      </c>
      <c r="G104" s="78" cm="1">
        <f t="array" ref="G104">Common_InputFunctions.Utility_DisplayArrayInTable(Fuel_SourceData.Fuel_Scope1EmissionFactorsStationaryGaseous_Data(), Table_Fuel_EFs_StationaryGaseous[[#Headers],[Fuel combusted]],0)</f>
        <v>60.2</v>
      </c>
      <c r="H104" s="78" cm="1">
        <f t="array" ref="H104">Common_InputFunctions.Utility_DisplayArrayInTable(Fuel_SourceData.Fuel_Scope1EmissionFactorsStationaryGaseous_Data(), Table_Fuel_EFs_StationaryGaseous[[#Headers],[Fuel combusted]],0)</f>
        <v>0.04</v>
      </c>
      <c r="I104" s="78" cm="1">
        <f t="array" ref="I104">Common_InputFunctions.Utility_DisplayArrayInTable(Fuel_SourceData.Fuel_Scope1EmissionFactorsStationaryGaseous_Data(), Table_Fuel_EFs_StationaryGaseous[[#Headers],[Fuel combusted]],0)</f>
        <v>0.03</v>
      </c>
      <c r="J104" s="78" cm="1">
        <f t="array" ref="J104">Common_InputFunctions.Utility_DisplayArrayInTable(Fuel_SourceData.Fuel_Scope1EmissionFactorsStationaryGaseous_Data(), Table_Fuel_EFs_StationaryGaseous[[#Headers],[Fuel combusted]],0)</f>
        <v>60.27</v>
      </c>
      <c r="K104" s="52"/>
      <c r="L104" s="52"/>
    </row>
    <row r="105" spans="4:13" ht="20.100000000000001" customHeight="1" x14ac:dyDescent="0.25">
      <c r="D105" s="52"/>
      <c r="E105" s="52"/>
      <c r="F105" s="52"/>
      <c r="G105" s="52"/>
      <c r="H105" s="52"/>
      <c r="I105" s="52"/>
      <c r="J105" s="52"/>
      <c r="K105" s="52"/>
      <c r="L105" s="52"/>
      <c r="M105" s="52"/>
    </row>
    <row r="106" spans="4:13" ht="20.100000000000001" customHeight="1" x14ac:dyDescent="0.25">
      <c r="D106" s="52"/>
      <c r="E106" s="52"/>
      <c r="F106" s="52"/>
      <c r="G106" s="52"/>
      <c r="H106" s="52"/>
      <c r="I106" s="52"/>
      <c r="J106" s="52"/>
      <c r="K106" s="52"/>
      <c r="L106" s="52"/>
      <c r="M106" s="52"/>
    </row>
    <row r="107" spans="4:13" ht="20.100000000000001" customHeight="1" x14ac:dyDescent="0.25">
      <c r="D107" s="6" t="str" cm="1">
        <f t="array" ref="D107">Fuel_SourceData.Fuel_Scope3EmissionFactorsStationaryGaseous_Title()</f>
        <v>Fuel scope 3 emission factors - Stationary gaseous fuels</v>
      </c>
      <c r="E107" s="52"/>
      <c r="F107" s="52"/>
      <c r="G107" s="52"/>
      <c r="H107" s="52"/>
      <c r="I107" s="52"/>
      <c r="J107" s="52"/>
      <c r="K107" s="52"/>
      <c r="L107" s="52"/>
    </row>
    <row r="108" spans="4:13" ht="20.100000000000001" customHeight="1" x14ac:dyDescent="0.25">
      <c r="D108" s="1" t="str" cm="1">
        <f t="array" ref="D108">Fuel_SourceData.Fuel_Scope3EmissionFactorsStationaryGaseous_Description()</f>
        <v>Indirect (Scope 3) emission factors for the consumption of natural gas.</v>
      </c>
      <c r="E108" s="52"/>
      <c r="F108" s="52"/>
      <c r="G108" s="52"/>
      <c r="H108" s="52"/>
      <c r="I108" s="52"/>
      <c r="J108" s="52"/>
      <c r="K108" s="52"/>
      <c r="L108" s="52"/>
    </row>
    <row r="109" spans="4:13" ht="20.100000000000001" customHeight="1" x14ac:dyDescent="0.25">
      <c r="D109" s="5" t="str" cm="1">
        <f t="array" ref="D109">Fuel_SourceData.Fuel_Scope3EmissionFactorsStationaryGaseous_Source()</f>
        <v>Australian National Greenhouse Accounts Factors 2025 - Table 6</v>
      </c>
      <c r="E109" s="52"/>
      <c r="F109" s="52"/>
      <c r="G109" s="52"/>
      <c r="H109" s="52"/>
      <c r="I109" s="52"/>
      <c r="J109" s="52"/>
      <c r="K109" s="52"/>
      <c r="L109" s="52"/>
    </row>
    <row r="110" spans="4:13" ht="20.100000000000001" customHeight="1" x14ac:dyDescent="0.25">
      <c r="D110" s="34"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2"/>
      <c r="F110" s="52"/>
      <c r="G110" s="52"/>
      <c r="H110" s="52"/>
      <c r="I110" s="52"/>
      <c r="J110" s="52"/>
      <c r="K110" s="52"/>
      <c r="L110" s="52"/>
    </row>
    <row r="111" spans="4:13" ht="20.100000000000001" customHeight="1" x14ac:dyDescent="0.25">
      <c r="D111" s="52"/>
      <c r="E111" s="52"/>
      <c r="F111" s="52"/>
      <c r="G111" s="52"/>
      <c r="H111" s="52"/>
      <c r="I111" s="52"/>
      <c r="J111" s="52"/>
      <c r="K111" s="52"/>
      <c r="L111" s="52"/>
    </row>
    <row r="112" spans="4:13" ht="20.100000000000001" customHeight="1" x14ac:dyDescent="0.25">
      <c r="D112" s="77" t="s">
        <v>121</v>
      </c>
      <c r="E112" s="75" t="s">
        <v>206</v>
      </c>
      <c r="F112" s="75" t="s">
        <v>207</v>
      </c>
      <c r="G112" s="52"/>
      <c r="H112" s="32" t="s">
        <v>122</v>
      </c>
      <c r="I112" s="52"/>
      <c r="J112" s="52"/>
      <c r="K112" s="52"/>
      <c r="L112" s="52"/>
    </row>
    <row r="113" spans="4:13" ht="20.100000000000001" customHeight="1" x14ac:dyDescent="0.25">
      <c r="D113" s="80" t="str" cm="1">
        <f t="array" ref="D113">Common_InputFunctions.Utility_DisplayArrayInTable(Fuel_SourceData.Fuel_Scope3EmissionFactorsStationaryGaseous_Data(), Table_Fuel_EFs_StationaryGaseous34[[#Headers],[State or territory]],0)</f>
        <v>New South Wales</v>
      </c>
      <c r="E113" s="80" cm="1">
        <f t="array" ref="E113">Common_InputFunctions.Utility_DisplayArrayInTable(Fuel_SourceData.Fuel_Scope3EmissionFactorsStationaryGaseous_Data(), Table_Fuel_EFs_StationaryGaseous34[[#Headers],[State or territory]],0)</f>
        <v>13.1</v>
      </c>
      <c r="F113" s="80" cm="1">
        <f t="array" ref="F113">Common_InputFunctions.Utility_DisplayArrayInTable(Fuel_SourceData.Fuel_Scope3EmissionFactorsStationaryGaseous_Data(), Table_Fuel_EFs_StationaryGaseous34[[#Headers],[State or territory]],0)</f>
        <v>14</v>
      </c>
      <c r="G113" s="26"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2"/>
      <c r="J113" s="52"/>
      <c r="K113" s="52"/>
      <c r="L113" s="52"/>
    </row>
    <row r="114" spans="4:13" ht="20.100000000000001" customHeight="1" x14ac:dyDescent="0.25">
      <c r="D114" s="80" t="str" cm="1">
        <f t="array" ref="D114">Common_InputFunctions.Utility_DisplayArrayInTable(Fuel_SourceData.Fuel_Scope3EmissionFactorsStationaryGaseous_Data(), Table_Fuel_EFs_StationaryGaseous34[[#Headers],[State or territory]],0)</f>
        <v>ACT</v>
      </c>
      <c r="E114" s="80" cm="1">
        <f t="array" ref="E114">Common_InputFunctions.Utility_DisplayArrayInTable(Fuel_SourceData.Fuel_Scope3EmissionFactorsStationaryGaseous_Data(), Table_Fuel_EFs_StationaryGaseous34[[#Headers],[State or territory]],0)</f>
        <v>13.1</v>
      </c>
      <c r="F114" s="80" cm="1">
        <f t="array" ref="F114">Common_InputFunctions.Utility_DisplayArrayInTable(Fuel_SourceData.Fuel_Scope3EmissionFactorsStationaryGaseous_Data(), Table_Fuel_EFs_StationaryGaseous34[[#Headers],[State or territory]],0)</f>
        <v>14</v>
      </c>
      <c r="G114" s="26" t="str">
        <v/>
      </c>
      <c r="H114" s="1" t="str">
        <v>Gas reaches end users either from the metro distribution networks or direct from the high - pressure distribution pipelines.</v>
      </c>
      <c r="I114" s="52"/>
      <c r="J114" s="52"/>
      <c r="K114" s="52"/>
      <c r="L114" s="52"/>
    </row>
    <row r="115" spans="4:13" ht="20.100000000000001" customHeight="1" x14ac:dyDescent="0.25">
      <c r="D115" s="80" t="str" cm="1">
        <f t="array" ref="D115">Common_InputFunctions.Utility_DisplayArrayInTable(Fuel_SourceData.Fuel_Scope3EmissionFactorsStationaryGaseous_Data(), Table_Fuel_EFs_StationaryGaseous34[[#Headers],[State or territory]],0)</f>
        <v>Victoria</v>
      </c>
      <c r="E115" s="80" cm="1">
        <f t="array" ref="E115">Common_InputFunctions.Utility_DisplayArrayInTable(Fuel_SourceData.Fuel_Scope3EmissionFactorsStationaryGaseous_Data(), Table_Fuel_EFs_StationaryGaseous34[[#Headers],[State or territory]],0)</f>
        <v>4</v>
      </c>
      <c r="F115" s="80" cm="1">
        <f t="array" ref="F115">Common_InputFunctions.Utility_DisplayArrayInTable(Fuel_SourceData.Fuel_Scope3EmissionFactorsStationaryGaseous_Data(), Table_Fuel_EFs_StationaryGaseous34[[#Headers],[State or territory]],0)</f>
        <v>4</v>
      </c>
      <c r="G115" s="26" t="str">
        <v/>
      </c>
      <c r="H115" s="1" t="str">
        <v>Households and commercial users tend to be served by the former, and electricity generators and large industrial plants from the latter.</v>
      </c>
      <c r="I115" s="52"/>
      <c r="J115" s="52"/>
      <c r="K115" s="52"/>
      <c r="L115" s="52"/>
    </row>
    <row r="116" spans="4:13" ht="20.100000000000001" customHeight="1" x14ac:dyDescent="0.25">
      <c r="D116" s="80" t="str" cm="1">
        <f t="array" ref="D116">Common_InputFunctions.Utility_DisplayArrayInTable(Fuel_SourceData.Fuel_Scope3EmissionFactorsStationaryGaseous_Data(), Table_Fuel_EFs_StationaryGaseous34[[#Headers],[State or territory]],0)</f>
        <v>Queensland</v>
      </c>
      <c r="E116" s="80" cm="1">
        <f t="array" ref="E116">Common_InputFunctions.Utility_DisplayArrayInTable(Fuel_SourceData.Fuel_Scope3EmissionFactorsStationaryGaseous_Data(), Table_Fuel_EFs_StationaryGaseous34[[#Headers],[State or territory]],0)</f>
        <v>8.8000000000000007</v>
      </c>
      <c r="F116" s="80" cm="1">
        <f t="array" ref="F116">Common_InputFunctions.Utility_DisplayArrayInTable(Fuel_SourceData.Fuel_Scope3EmissionFactorsStationaryGaseous_Data(), Table_Fuel_EFs_StationaryGaseous34[[#Headers],[State or territory]],0)</f>
        <v>7.9</v>
      </c>
      <c r="G116" s="26" t="str">
        <v>-</v>
      </c>
      <c r="H116" s="1" t="str">
        <v>Metro is defined as located on or east of the dividing range in NSW, including Canberra and Queanbeyan, Melbourne, Brisbane, Adelaide or Perth.</v>
      </c>
      <c r="I116" s="52"/>
      <c r="J116" s="52"/>
      <c r="K116" s="52"/>
      <c r="L116" s="52"/>
    </row>
    <row r="117" spans="4:13" ht="20.100000000000001" customHeight="1" x14ac:dyDescent="0.25">
      <c r="D117" s="80" t="str" cm="1">
        <f t="array" ref="D117">Common_InputFunctions.Utility_DisplayArrayInTable(Fuel_SourceData.Fuel_Scope3EmissionFactorsStationaryGaseous_Data(), Table_Fuel_EFs_StationaryGaseous34[[#Headers],[State or territory]],0)</f>
        <v>South Australia</v>
      </c>
      <c r="E117" s="80" cm="1">
        <f t="array" ref="E117">Common_InputFunctions.Utility_DisplayArrayInTable(Fuel_SourceData.Fuel_Scope3EmissionFactorsStationaryGaseous_Data(), Table_Fuel_EFs_StationaryGaseous34[[#Headers],[State or territory]],0)</f>
        <v>10.7</v>
      </c>
      <c r="F117" s="80" cm="1">
        <f t="array" ref="F117">Common_InputFunctions.Utility_DisplayArrayInTable(Fuel_SourceData.Fuel_Scope3EmissionFactorsStationaryGaseous_Data(), Table_Fuel_EFs_StationaryGaseous34[[#Headers],[State or territory]],0)</f>
        <v>10.6</v>
      </c>
      <c r="G117" s="26" t="str">
        <v/>
      </c>
      <c r="H117" s="1" t="str">
        <v>Otherwise, the non - metro factor should be used.</v>
      </c>
      <c r="I117" s="52"/>
      <c r="J117" s="52"/>
      <c r="K117" s="52"/>
      <c r="L117" s="52"/>
    </row>
    <row r="118" spans="4:13" ht="20.100000000000001" customHeight="1" x14ac:dyDescent="0.25">
      <c r="D118" s="80" t="str" cm="1">
        <f t="array" ref="D118">Common_InputFunctions.Utility_DisplayArrayInTable(Fuel_SourceData.Fuel_Scope3EmissionFactorsStationaryGaseous_Data(), Table_Fuel_EFs_StationaryGaseous34[[#Headers],[State or territory]],0)</f>
        <v>Western Australia</v>
      </c>
      <c r="E118" s="80" cm="1">
        <f t="array" ref="E118">Common_InputFunctions.Utility_DisplayArrayInTable(Fuel_SourceData.Fuel_Scope3EmissionFactorsStationaryGaseous_Data(), Table_Fuel_EFs_StationaryGaseous34[[#Headers],[State or territory]],0)</f>
        <v>4.0999999999999996</v>
      </c>
      <c r="F118" s="80" cm="1">
        <f t="array" ref="F118">Common_InputFunctions.Utility_DisplayArrayInTable(Fuel_SourceData.Fuel_Scope3EmissionFactorsStationaryGaseous_Data(), Table_Fuel_EFs_StationaryGaseous34[[#Headers],[State or territory]],0)</f>
        <v>4</v>
      </c>
      <c r="G118" s="26" t="str">
        <v>-</v>
      </c>
      <c r="H118" s="1" t="str">
        <v>Factors are calculated for all natural gas distributed in a pipeline which may include coal seam methane.</v>
      </c>
      <c r="I118" s="52"/>
      <c r="J118" s="52"/>
      <c r="K118" s="52"/>
      <c r="L118" s="52"/>
    </row>
    <row r="119" spans="4:13" ht="20.100000000000001" customHeight="1" x14ac:dyDescent="0.25">
      <c r="D119" s="80" t="str" cm="1">
        <f t="array" ref="D119">Common_InputFunctions.Utility_DisplayArrayInTable(Fuel_SourceData.Fuel_Scope3EmissionFactorsStationaryGaseous_Data(), Table_Fuel_EFs_StationaryGaseous34[[#Headers],[State or territory]],0)</f>
        <v>Tasmania</v>
      </c>
      <c r="E119" s="80" cm="1">
        <f t="array" ref="E119">Common_InputFunctions.Utility_DisplayArrayInTable(Fuel_SourceData.Fuel_Scope3EmissionFactorsStationaryGaseous_Data(), Table_Fuel_EFs_StationaryGaseous34[[#Headers],[State or territory]],0)</f>
        <v>4</v>
      </c>
      <c r="F119" s="80" cm="1">
        <f t="array" ref="F119">Common_InputFunctions.Utility_DisplayArrayInTable(Fuel_SourceData.Fuel_Scope3EmissionFactorsStationaryGaseous_Data(), Table_Fuel_EFs_StationaryGaseous34[[#Headers],[State or territory]],0)</f>
        <v>4</v>
      </c>
      <c r="G119" s="26" t="str">
        <v>-</v>
      </c>
      <c r="H119" s="1" t="str">
        <v>Table 6 is not applicable to ethane. See Table 7 Indirect (Scope 3) emissions from the consumption of ethane.</v>
      </c>
      <c r="I119" s="52"/>
      <c r="J119" s="52"/>
      <c r="K119" s="52"/>
      <c r="L119" s="52"/>
    </row>
    <row r="120" spans="4:13" ht="20.100000000000001" customHeight="1" x14ac:dyDescent="0.25">
      <c r="D120" s="80" t="str" cm="1">
        <f t="array" ref="D120">Common_InputFunctions.Utility_DisplayArrayInTable(Fuel_SourceData.Fuel_Scope3EmissionFactorsStationaryGaseous_Data(), Table_Fuel_EFs_StationaryGaseous34[[#Headers],[State or territory]],0)</f>
        <v>Northern Territory</v>
      </c>
      <c r="E120" s="80" cm="1">
        <f t="array" ref="E120">Common_InputFunctions.Utility_DisplayArrayInTable(Fuel_SourceData.Fuel_Scope3EmissionFactorsStationaryGaseous_Data(), Table_Fuel_EFs_StationaryGaseous34[[#Headers],[State or territory]],0)</f>
        <v>4.0999999999999996</v>
      </c>
      <c r="F120" s="80" cm="1">
        <f t="array" ref="F120">Common_InputFunctions.Utility_DisplayArrayInTable(Fuel_SourceData.Fuel_Scope3EmissionFactorsStationaryGaseous_Data(), Table_Fuel_EFs_StationaryGaseous34[[#Headers],[State or territory]],0)</f>
        <v>4</v>
      </c>
      <c r="G120" s="26" t="str">
        <v>-</v>
      </c>
      <c r="H120" s="1" t="str">
        <v>C = Confidential. Scope 3 emission factors for Tasmania and the Northern Territory are not available due to confidentiality constraints that arise</v>
      </c>
      <c r="I120" s="52"/>
      <c r="J120" s="52"/>
      <c r="K120" s="52"/>
      <c r="L120" s="52"/>
    </row>
    <row r="121" spans="4:13" ht="20.100000000000001" customHeight="1" x14ac:dyDescent="0.25">
      <c r="D121" s="19"/>
      <c r="E121" s="19"/>
      <c r="F121" s="19"/>
      <c r="G121" s="26" t="str">
        <v/>
      </c>
      <c r="H121" s="1" t="str">
        <v>from the use of a limited number of NGER data inputs. It is suggested that for Tasmania the use of the Victorian emission factors is appropriate,</v>
      </c>
      <c r="I121" s="52"/>
      <c r="J121" s="52"/>
      <c r="K121" s="52"/>
      <c r="L121" s="52"/>
    </row>
    <row r="122" spans="4:13" ht="20.100000000000001" customHeight="1" x14ac:dyDescent="0.25">
      <c r="D122" s="52"/>
      <c r="F122" s="79"/>
      <c r="G122" s="26" t="str">
        <v/>
      </c>
      <c r="H122" s="1" t="str">
        <v>while for Northern Territory the use of the Western Australian emission factors is appropriate.</v>
      </c>
      <c r="I122" s="52"/>
      <c r="J122" s="52"/>
      <c r="K122" s="52"/>
      <c r="L122" s="52"/>
    </row>
    <row r="123" spans="4:13" ht="20.100000000000001" customHeight="1" x14ac:dyDescent="0.25">
      <c r="D123" s="81"/>
      <c r="F123" s="79"/>
      <c r="G123" s="26" t="str">
        <v>-</v>
      </c>
      <c r="H123" s="1" t="str">
        <v>Scope 3 emission factors do not include fugitive emission leakage from low pressure natural gas distribution pipeline networks while those from high pressure</v>
      </c>
      <c r="I123" s="52"/>
      <c r="J123" s="52"/>
      <c r="K123" s="52"/>
      <c r="L123" s="52"/>
    </row>
    <row r="124" spans="4:13" ht="20.100000000000001" customHeight="1" x14ac:dyDescent="0.25">
      <c r="D124" s="81"/>
      <c r="F124" s="79"/>
      <c r="G124" s="52" t="str">
        <v/>
      </c>
      <c r="H124" s="1" t="str">
        <v>gas networks are considered negligible.</v>
      </c>
      <c r="I124" s="52"/>
      <c r="J124" s="52"/>
      <c r="K124" s="52"/>
      <c r="L124" s="52"/>
    </row>
    <row r="125" spans="4:13" ht="20.100000000000001" customHeight="1" x14ac:dyDescent="0.25">
      <c r="D125" s="81"/>
      <c r="F125" s="79"/>
      <c r="G125" s="52"/>
      <c r="H125" s="52"/>
      <c r="I125" s="52"/>
      <c r="J125" s="52"/>
      <c r="K125" s="52"/>
      <c r="L125" s="52"/>
    </row>
    <row r="126" spans="4:13" ht="20.100000000000001" customHeight="1" x14ac:dyDescent="0.25">
      <c r="D126" s="52"/>
      <c r="E126" s="52"/>
      <c r="F126" s="52"/>
      <c r="G126" s="52"/>
      <c r="H126" s="52"/>
      <c r="I126" s="52"/>
      <c r="J126" s="52"/>
      <c r="K126" s="52"/>
      <c r="L126" s="52"/>
      <c r="M126" s="52"/>
    </row>
    <row r="127" spans="4:13" ht="20.100000000000001" customHeight="1" x14ac:dyDescent="0.25">
      <c r="D127" s="52"/>
      <c r="E127" s="52"/>
      <c r="F127" s="52"/>
      <c r="G127" s="52"/>
      <c r="H127" s="52"/>
      <c r="I127" s="52"/>
      <c r="J127" s="52"/>
      <c r="K127" s="52"/>
      <c r="L127" s="52"/>
      <c r="M127" s="52"/>
    </row>
    <row r="128" spans="4:13" ht="20.100000000000001" customHeight="1" x14ac:dyDescent="0.25">
      <c r="D128" s="52"/>
      <c r="E128" s="52"/>
      <c r="F128" s="52"/>
      <c r="G128" s="52"/>
      <c r="H128" s="52"/>
      <c r="I128" s="52"/>
      <c r="J128" s="52"/>
      <c r="K128" s="52"/>
      <c r="L128" s="52"/>
      <c r="M128" s="52"/>
    </row>
    <row r="129" spans="4:33" ht="20.100000000000001" customHeight="1" x14ac:dyDescent="0.25">
      <c r="D129" s="82"/>
      <c r="E129" s="52"/>
      <c r="F129" s="52"/>
      <c r="G129" s="52"/>
      <c r="H129" s="52"/>
      <c r="I129" s="52"/>
      <c r="J129" s="52"/>
      <c r="K129" s="52"/>
      <c r="L129" s="52"/>
    </row>
    <row r="130" spans="4:33" ht="20.100000000000001" customHeight="1" x14ac:dyDescent="0.25">
      <c r="D130" s="83" t="s">
        <v>97</v>
      </c>
      <c r="E130" s="83" t="s">
        <v>95</v>
      </c>
      <c r="F130" s="83" t="s">
        <v>100</v>
      </c>
      <c r="G130" s="83" t="s">
        <v>104</v>
      </c>
      <c r="H130" s="83" t="s">
        <v>144</v>
      </c>
      <c r="I130" s="83" t="s">
        <v>145</v>
      </c>
      <c r="J130" s="52"/>
      <c r="K130" s="52"/>
      <c r="L130" s="52"/>
    </row>
    <row r="131" spans="4:33" ht="20.100000000000001" customHeight="1" x14ac:dyDescent="0.25">
      <c r="D131" s="84" t="str">
        <f>$D$143</f>
        <v>Petrol</v>
      </c>
      <c r="E131" s="84" t="str">
        <f>$D$143</f>
        <v>Petrol</v>
      </c>
      <c r="F131" s="84" t="str">
        <f>$D$150</f>
        <v>Avgas</v>
      </c>
      <c r="G131" s="84" t="str">
        <f>$D$143</f>
        <v>Petrol</v>
      </c>
      <c r="H131" s="84" t="str">
        <f>$D$144</f>
        <v>Diesel</v>
      </c>
      <c r="I131" s="84" t="str">
        <f>$D$143</f>
        <v>Petrol</v>
      </c>
      <c r="J131" s="52"/>
      <c r="K131" s="52"/>
      <c r="L131" s="52"/>
    </row>
    <row r="132" spans="4:33" ht="20.100000000000001" customHeight="1" x14ac:dyDescent="0.25">
      <c r="D132" s="84" t="str">
        <f>$D$144</f>
        <v>Diesel</v>
      </c>
      <c r="E132" s="84" t="str">
        <f>$D$144</f>
        <v>Diesel</v>
      </c>
      <c r="F132" s="84" t="str">
        <f>$D$151</f>
        <v>Jet A1, Jet B</v>
      </c>
      <c r="G132" s="84" t="str">
        <f>$D$144</f>
        <v>Diesel</v>
      </c>
      <c r="H132" s="84"/>
      <c r="I132" s="84" t="str">
        <f>$D$144</f>
        <v>Diesel</v>
      </c>
      <c r="J132" s="52"/>
      <c r="K132" s="52"/>
      <c r="L132" s="52"/>
    </row>
    <row r="133" spans="4:33" ht="20.100000000000001" customHeight="1" x14ac:dyDescent="0.25">
      <c r="D133" s="84" t="str">
        <f>$D$145</f>
        <v>Liquefied petroleum gas (LPG)</v>
      </c>
      <c r="E133" s="84" t="str">
        <f>$D$145</f>
        <v>Liquefied petroleum gas (LPG)</v>
      </c>
      <c r="F133" s="84" t="str">
        <f>$D$152</f>
        <v>Renewable aviation kerosene</v>
      </c>
      <c r="G133" s="84" t="str">
        <f>$D$145</f>
        <v>Liquefied petroleum gas (LPG)</v>
      </c>
      <c r="H133" s="84"/>
      <c r="I133" s="84" t="s">
        <v>135</v>
      </c>
      <c r="J133" s="52"/>
      <c r="K133" s="52"/>
      <c r="L133" s="52"/>
    </row>
    <row r="134" spans="4:33" ht="20.100000000000001" customHeight="1" x14ac:dyDescent="0.25">
      <c r="D134" s="84" t="str">
        <f>$D$146</f>
        <v>Biodiesel</v>
      </c>
      <c r="E134" s="84" t="str">
        <f>$D$146</f>
        <v>Biodiesel</v>
      </c>
      <c r="F134" s="83"/>
      <c r="G134" s="84" t="str">
        <f>$D$160</f>
        <v>Fuel oil</v>
      </c>
      <c r="H134" s="84"/>
      <c r="I134" s="84"/>
      <c r="J134" s="52"/>
      <c r="K134" s="52"/>
      <c r="L134" s="52"/>
    </row>
    <row r="135" spans="4:33" ht="20.100000000000001" customHeight="1" x14ac:dyDescent="0.25">
      <c r="D135" s="84" t="str">
        <f>$D$147</f>
        <v>Ethanol</v>
      </c>
      <c r="E135" s="84" t="str">
        <f>$D$147</f>
        <v>Ethanol</v>
      </c>
      <c r="F135" s="83"/>
      <c r="G135" s="84" t="str">
        <f>$D$147</f>
        <v>Ethanol</v>
      </c>
      <c r="H135" s="84"/>
      <c r="I135" s="84"/>
      <c r="J135" s="52"/>
      <c r="K135" s="52"/>
      <c r="L135" s="52"/>
    </row>
    <row r="136" spans="4:33" ht="20.100000000000001" customHeight="1" x14ac:dyDescent="0.25">
      <c r="D136" s="84" t="str">
        <f>$D$148</f>
        <v>Other biofuels</v>
      </c>
      <c r="E136" s="84" t="str">
        <f>$D$148</f>
        <v>Other biofuels</v>
      </c>
      <c r="F136" s="83"/>
      <c r="G136" s="84" t="str">
        <f>$D$146</f>
        <v>Biodiesel</v>
      </c>
      <c r="H136" s="84"/>
      <c r="I136" s="84"/>
      <c r="J136" s="52"/>
      <c r="K136" s="52"/>
      <c r="L136" s="52"/>
    </row>
    <row r="137" spans="4:33" ht="20.100000000000001" customHeight="1" x14ac:dyDescent="0.25">
      <c r="D137" s="84" t="str">
        <f>$D$149</f>
        <v>Renewable diesel</v>
      </c>
      <c r="E137" s="84" t="str">
        <f>$D$149</f>
        <v>Renewable diesel</v>
      </c>
      <c r="F137" s="83"/>
      <c r="G137" s="84" t="str">
        <f>$D$149</f>
        <v>Renewable diesel</v>
      </c>
      <c r="H137" s="84"/>
      <c r="I137" s="84"/>
      <c r="J137" s="52"/>
      <c r="K137" s="52"/>
      <c r="L137" s="52"/>
    </row>
    <row r="138" spans="4:33" ht="20.100000000000001" customHeight="1" x14ac:dyDescent="0.25">
      <c r="D138" s="83"/>
      <c r="E138" s="85" t="str">
        <f>$D$161</f>
        <v>Natural gas (via pipeline) in GJ</v>
      </c>
      <c r="F138" s="85"/>
      <c r="G138" s="84" t="str">
        <f>$D$148</f>
        <v>Other biofuels</v>
      </c>
      <c r="H138" s="84"/>
      <c r="I138" s="84"/>
      <c r="J138" s="52"/>
      <c r="K138" s="52"/>
      <c r="L138" s="52"/>
    </row>
    <row r="139" spans="4:33" ht="20.100000000000001" customHeight="1" x14ac:dyDescent="0.25">
      <c r="D139" s="85"/>
      <c r="E139" s="85" t="str">
        <f>$D$162</f>
        <v>Town gas in GJ</v>
      </c>
      <c r="F139" s="85"/>
      <c r="G139" s="85"/>
      <c r="H139" s="85"/>
      <c r="I139" s="85"/>
      <c r="J139" s="52"/>
      <c r="K139" s="52"/>
      <c r="L139" s="52"/>
    </row>
    <row r="140" spans="4:33" ht="20.100000000000001" customHeight="1" x14ac:dyDescent="0.25">
      <c r="D140" s="52"/>
      <c r="E140" s="52"/>
      <c r="F140" s="52"/>
      <c r="G140" s="52"/>
      <c r="H140" s="52"/>
      <c r="I140" s="52"/>
      <c r="J140" s="52"/>
      <c r="K140" s="52"/>
      <c r="L140" s="52"/>
    </row>
    <row r="141" spans="4:33" ht="20.100000000000001" customHeight="1" x14ac:dyDescent="0.25">
      <c r="D141" s="52"/>
      <c r="E141" s="52"/>
      <c r="F141" s="52"/>
      <c r="G141" s="52"/>
      <c r="H141" s="52"/>
      <c r="I141" s="52"/>
      <c r="J141" s="52"/>
      <c r="K141" s="52"/>
      <c r="L141" s="52"/>
    </row>
    <row r="142" spans="4:33" ht="20.100000000000001" customHeight="1" x14ac:dyDescent="0.25">
      <c r="D142" t="s">
        <v>123</v>
      </c>
      <c r="E142" t="s">
        <v>5</v>
      </c>
      <c r="F142" t="s">
        <v>209</v>
      </c>
      <c r="G142" s="52"/>
      <c r="H142" s="52"/>
      <c r="I142" s="52"/>
      <c r="J142" s="52"/>
      <c r="K142" s="52"/>
      <c r="L142" s="52"/>
      <c r="M142" s="52"/>
      <c r="AG142" s="1"/>
    </row>
    <row r="143" spans="4:33" ht="20.100000000000001" customHeight="1" x14ac:dyDescent="0.25">
      <c r="D143" s="84" t="s">
        <v>98</v>
      </c>
      <c r="E143" t="s">
        <v>124</v>
      </c>
      <c r="F143" t="s">
        <v>208</v>
      </c>
      <c r="G143" s="52"/>
      <c r="H143" s="52"/>
      <c r="I143" s="52"/>
      <c r="J143" s="52"/>
      <c r="K143" s="52"/>
      <c r="L143" s="52"/>
      <c r="M143" s="52"/>
      <c r="AG143" s="1"/>
    </row>
    <row r="144" spans="4:33" ht="20.100000000000001" customHeight="1" x14ac:dyDescent="0.25">
      <c r="D144" s="84" t="s">
        <v>105</v>
      </c>
      <c r="E144" t="s">
        <v>124</v>
      </c>
      <c r="F144" t="s">
        <v>208</v>
      </c>
      <c r="G144" s="52"/>
      <c r="H144" s="52"/>
      <c r="I144" s="52"/>
      <c r="J144" s="52"/>
      <c r="K144" s="52"/>
      <c r="L144" s="52"/>
      <c r="M144" s="52"/>
      <c r="AG144" s="1"/>
    </row>
    <row r="145" spans="4:33" ht="20.100000000000001" customHeight="1" x14ac:dyDescent="0.25">
      <c r="D145" s="84" t="s">
        <v>106</v>
      </c>
      <c r="E145" t="s">
        <v>124</v>
      </c>
      <c r="F145" t="s">
        <v>208</v>
      </c>
      <c r="G145" s="52"/>
      <c r="H145" s="52"/>
      <c r="I145" s="52"/>
      <c r="J145" s="52"/>
      <c r="K145" s="52"/>
      <c r="L145" s="52"/>
      <c r="M145" s="52"/>
      <c r="AG145" s="1"/>
    </row>
    <row r="146" spans="4:33" ht="20.100000000000001" customHeight="1" x14ac:dyDescent="0.25">
      <c r="D146" s="84" t="s">
        <v>125</v>
      </c>
      <c r="E146" t="s">
        <v>124</v>
      </c>
      <c r="F146" t="s">
        <v>208</v>
      </c>
      <c r="G146" s="52"/>
      <c r="H146" s="52"/>
      <c r="I146" s="52"/>
      <c r="J146" s="52"/>
      <c r="K146" s="52"/>
      <c r="L146" s="52"/>
      <c r="M146" s="52"/>
      <c r="AG146" s="1"/>
    </row>
    <row r="147" spans="4:33" ht="20.100000000000001" customHeight="1" x14ac:dyDescent="0.25">
      <c r="D147" s="84" t="s">
        <v>96</v>
      </c>
      <c r="E147" t="s">
        <v>124</v>
      </c>
      <c r="F147" t="s">
        <v>208</v>
      </c>
      <c r="G147" s="52"/>
      <c r="H147" s="52"/>
      <c r="I147" s="52"/>
      <c r="J147" s="52"/>
      <c r="K147" s="52"/>
      <c r="L147" s="52"/>
      <c r="M147" s="52"/>
      <c r="AG147" s="1"/>
    </row>
    <row r="148" spans="4:33" ht="20.100000000000001" customHeight="1" x14ac:dyDescent="0.25">
      <c r="D148" s="84" t="s">
        <v>126</v>
      </c>
      <c r="E148" t="s">
        <v>124</v>
      </c>
      <c r="F148" t="s">
        <v>208</v>
      </c>
      <c r="G148" s="52"/>
      <c r="H148" s="52"/>
      <c r="I148" s="52"/>
      <c r="J148" s="52"/>
      <c r="K148" s="52"/>
      <c r="L148" s="52"/>
      <c r="M148" s="52"/>
      <c r="AG148" s="1"/>
    </row>
    <row r="149" spans="4:33" ht="20.100000000000001" customHeight="1" x14ac:dyDescent="0.25">
      <c r="D149" s="84" t="s">
        <v>127</v>
      </c>
      <c r="E149" t="s">
        <v>124</v>
      </c>
      <c r="F149" t="s">
        <v>208</v>
      </c>
      <c r="G149" s="52"/>
      <c r="H149" s="52"/>
      <c r="I149" s="52"/>
      <c r="J149" s="52"/>
      <c r="K149" s="52"/>
      <c r="L149" s="52"/>
      <c r="M149" s="52"/>
      <c r="AG149" s="1"/>
    </row>
    <row r="150" spans="4:33" ht="20.100000000000001" customHeight="1" x14ac:dyDescent="0.25">
      <c r="D150" s="84" t="s">
        <v>128</v>
      </c>
      <c r="E150" t="s">
        <v>124</v>
      </c>
      <c r="F150" t="s">
        <v>208</v>
      </c>
      <c r="G150" s="52"/>
      <c r="H150" s="52"/>
      <c r="I150" s="52"/>
      <c r="J150" s="52"/>
      <c r="K150" s="52"/>
      <c r="L150" s="52"/>
      <c r="M150" s="52"/>
      <c r="AG150" s="1"/>
    </row>
    <row r="151" spans="4:33" ht="20.100000000000001" customHeight="1" x14ac:dyDescent="0.25">
      <c r="D151" s="84" t="s">
        <v>101</v>
      </c>
      <c r="E151" t="s">
        <v>124</v>
      </c>
      <c r="F151" t="s">
        <v>208</v>
      </c>
      <c r="G151" s="52"/>
      <c r="H151" s="52"/>
      <c r="I151" s="52"/>
      <c r="J151" s="52"/>
      <c r="K151" s="52"/>
      <c r="L151" s="52"/>
      <c r="M151" s="52"/>
      <c r="AG151" s="1"/>
    </row>
    <row r="152" spans="4:33" ht="20.100000000000001" customHeight="1" x14ac:dyDescent="0.25">
      <c r="D152" s="86" t="s">
        <v>129</v>
      </c>
      <c r="E152" s="19" t="s">
        <v>124</v>
      </c>
      <c r="F152" t="s">
        <v>208</v>
      </c>
      <c r="G152" s="52"/>
      <c r="H152" s="52"/>
      <c r="I152" s="52"/>
      <c r="J152" s="52"/>
      <c r="K152" s="52"/>
      <c r="L152" s="52"/>
      <c r="M152" s="52"/>
      <c r="AG152" s="1"/>
    </row>
    <row r="153" spans="4:33" ht="20.100000000000001" customHeight="1" x14ac:dyDescent="0.25">
      <c r="D153" s="86" t="s">
        <v>102</v>
      </c>
      <c r="E153" s="19" t="s">
        <v>124</v>
      </c>
      <c r="F153" t="s">
        <v>208</v>
      </c>
      <c r="G153" s="52"/>
      <c r="H153" s="52"/>
      <c r="I153" s="52"/>
      <c r="J153" s="52"/>
      <c r="K153" s="52"/>
      <c r="L153" s="52"/>
      <c r="M153" s="52"/>
      <c r="AG153" s="1"/>
    </row>
    <row r="154" spans="4:33" ht="20.100000000000001" customHeight="1" x14ac:dyDescent="0.25">
      <c r="D154" s="86" t="s">
        <v>103</v>
      </c>
      <c r="E154" s="19" t="s">
        <v>124</v>
      </c>
      <c r="F154" t="s">
        <v>208</v>
      </c>
      <c r="G154" s="52"/>
      <c r="H154" s="52"/>
      <c r="I154" s="52"/>
      <c r="J154" s="52"/>
      <c r="K154" s="52"/>
      <c r="L154" s="52"/>
      <c r="M154" s="52"/>
      <c r="AG154" s="1"/>
    </row>
    <row r="155" spans="4:33" ht="20.100000000000001" customHeight="1" x14ac:dyDescent="0.25">
      <c r="D155" s="86" t="s">
        <v>130</v>
      </c>
      <c r="E155" s="19" t="s">
        <v>124</v>
      </c>
      <c r="F155" t="s">
        <v>208</v>
      </c>
      <c r="G155" s="52"/>
      <c r="H155" s="52"/>
      <c r="I155" s="52"/>
      <c r="J155" s="52"/>
      <c r="K155" s="52"/>
      <c r="L155" s="52"/>
      <c r="M155" s="52"/>
      <c r="AG155" s="1"/>
    </row>
    <row r="156" spans="4:33" ht="20.100000000000001" customHeight="1" x14ac:dyDescent="0.25">
      <c r="D156" s="86" t="s">
        <v>131</v>
      </c>
      <c r="E156" s="19" t="s">
        <v>124</v>
      </c>
      <c r="F156" t="s">
        <v>208</v>
      </c>
      <c r="G156" s="52"/>
      <c r="H156" s="52"/>
      <c r="I156" s="52"/>
      <c r="J156" s="52"/>
      <c r="K156" s="52"/>
      <c r="L156" s="52"/>
      <c r="M156" s="52"/>
      <c r="AG156" s="1"/>
    </row>
    <row r="157" spans="4:33" ht="20.100000000000001" customHeight="1" x14ac:dyDescent="0.25">
      <c r="D157" s="86" t="s">
        <v>132</v>
      </c>
      <c r="E157" s="19" t="s">
        <v>124</v>
      </c>
      <c r="F157" t="s">
        <v>208</v>
      </c>
      <c r="G157" s="52"/>
      <c r="H157" s="52"/>
      <c r="I157" s="52"/>
      <c r="J157" s="52"/>
      <c r="K157" s="52"/>
      <c r="L157" s="52"/>
      <c r="M157" s="52"/>
      <c r="AG157" s="1"/>
    </row>
    <row r="158" spans="4:33" ht="20.100000000000001" customHeight="1" x14ac:dyDescent="0.25">
      <c r="D158" s="86" t="s">
        <v>133</v>
      </c>
      <c r="E158" s="19" t="s">
        <v>124</v>
      </c>
      <c r="F158" t="s">
        <v>208</v>
      </c>
      <c r="G158" s="52"/>
      <c r="H158" s="52"/>
      <c r="I158" s="52"/>
      <c r="J158" s="52"/>
      <c r="K158" s="52"/>
      <c r="L158" s="52"/>
      <c r="M158" s="52"/>
      <c r="AG158" s="1"/>
    </row>
    <row r="159" spans="4:33" ht="20.100000000000001" customHeight="1" x14ac:dyDescent="0.25">
      <c r="D159" s="86" t="s">
        <v>134</v>
      </c>
      <c r="E159" s="19" t="s">
        <v>124</v>
      </c>
      <c r="F159" t="s">
        <v>208</v>
      </c>
      <c r="G159" s="52"/>
      <c r="H159" s="52"/>
      <c r="I159" s="52"/>
      <c r="J159" s="52"/>
      <c r="K159" s="52"/>
      <c r="L159" s="52"/>
      <c r="M159" s="52"/>
      <c r="AG159" s="1"/>
    </row>
    <row r="160" spans="4:33" ht="20.100000000000001" customHeight="1" x14ac:dyDescent="0.25">
      <c r="D160" s="86" t="s">
        <v>135</v>
      </c>
      <c r="E160" s="19" t="s">
        <v>124</v>
      </c>
      <c r="F160" t="s">
        <v>208</v>
      </c>
      <c r="G160" s="52"/>
      <c r="H160" s="52"/>
      <c r="I160" s="52"/>
      <c r="J160" s="52"/>
      <c r="K160" s="52"/>
      <c r="L160" s="52"/>
      <c r="M160" s="52"/>
      <c r="AG160" s="1"/>
    </row>
    <row r="161" spans="4:33" ht="20.100000000000001" customHeight="1" x14ac:dyDescent="0.25">
      <c r="D161" s="85" t="s">
        <v>99</v>
      </c>
      <c r="E161" s="52" t="s">
        <v>136</v>
      </c>
      <c r="F161" s="52" t="s">
        <v>136</v>
      </c>
      <c r="G161" s="52"/>
      <c r="H161" s="52"/>
      <c r="I161" s="52"/>
      <c r="J161" s="52"/>
      <c r="K161" s="52"/>
      <c r="L161" s="52"/>
      <c r="M161" s="52"/>
      <c r="AG161" s="1"/>
    </row>
    <row r="162" spans="4:33" ht="20.100000000000001" customHeight="1" x14ac:dyDescent="0.25">
      <c r="D162" s="52" t="s">
        <v>107</v>
      </c>
      <c r="E162" s="52" t="s">
        <v>136</v>
      </c>
      <c r="F162" s="52" t="s">
        <v>136</v>
      </c>
      <c r="G162" s="52"/>
      <c r="H162" s="52"/>
      <c r="I162" s="52"/>
      <c r="J162" s="52"/>
      <c r="K162" s="52"/>
      <c r="L162" s="52"/>
      <c r="M162" s="52"/>
      <c r="AG162" s="1"/>
    </row>
    <row r="163" spans="4:33" ht="20.100000000000001" customHeight="1" x14ac:dyDescent="0.25"/>
    <row r="164" spans="4:33" ht="20.100000000000001" customHeight="1" x14ac:dyDescent="0.25"/>
    <row r="165" spans="4:33"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7FC7-4EBC-403C-963C-03C31DE9D523}">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8" t="s">
        <v>6</v>
      </c>
      <c r="E6" s="28" t="s">
        <v>7</v>
      </c>
      <c r="F6" s="28" t="s">
        <v>8</v>
      </c>
    </row>
    <row r="7" spans="1:65" ht="20.100000000000001" customHeight="1" x14ac:dyDescent="0.25">
      <c r="A7"/>
      <c r="D7" s="28" t="str" cm="1">
        <f t="array" ref="D7">Common_InputFunctions.Utility_DisplayArrayInTable(Common_SourceData.Common_SourceData_AustralianStatesTerritories_Data(),Table_AustralianStates[[#Headers],[State/Territory]],0)</f>
        <v>New South Wales</v>
      </c>
      <c r="E7" s="28" t="str" cm="1">
        <f t="array" ref="E7">Common_InputFunctions.Utility_DisplayArrayInTable(Common_SourceData.Common_SourceData_AustralianStatesTerritories_Data(),Table_AustralianStates[[#Headers],[State/Territory]],0)</f>
        <v>New South Wales</v>
      </c>
      <c r="F7" s="28" t="str" cm="1">
        <f t="array" ref="F7">Common_InputFunctions.Utility_DisplayArrayInTable(Common_SourceData.Common_SourceData_AustralianStatesTerritories_Data(),Table_AustralianStates[[#Headers],[State/Territory]],0)</f>
        <v>NSW</v>
      </c>
    </row>
    <row r="8" spans="1:65" ht="20.100000000000001" customHeight="1" x14ac:dyDescent="0.25">
      <c r="A8"/>
      <c r="D8" s="28" t="str" cm="1">
        <f t="array" ref="D8">Common_InputFunctions.Utility_DisplayArrayInTable(Common_SourceData.Common_SourceData_AustralianStatesTerritories_Data(),Table_AustralianStates[[#Headers],[State/Territory]],0)</f>
        <v>Australian Capital Territory</v>
      </c>
      <c r="E8" s="28" t="str" cm="1">
        <f t="array" ref="E8">Common_InputFunctions.Utility_DisplayArrayInTable(Common_SourceData.Common_SourceData_AustralianStatesTerritories_Data(),Table_AustralianStates[[#Headers],[State/Territory]],0)</f>
        <v>ACT</v>
      </c>
      <c r="F8" s="28" t="str" cm="1">
        <f t="array" ref="F8">Common_InputFunctions.Utility_DisplayArrayInTable(Common_SourceData.Common_SourceData_AustralianStatesTerritories_Data(),Table_AustralianStates[[#Headers],[State/Territory]],0)</f>
        <v>ACT</v>
      </c>
    </row>
    <row r="9" spans="1:65" ht="20.100000000000001" customHeight="1" x14ac:dyDescent="0.25">
      <c r="A9"/>
      <c r="D9" s="28" t="str" cm="1">
        <f t="array" ref="D9">Common_InputFunctions.Utility_DisplayArrayInTable(Common_SourceData.Common_SourceData_AustralianStatesTerritories_Data(),Table_AustralianStates[[#Headers],[State/Territory]],0)</f>
        <v>Victoria</v>
      </c>
      <c r="E9" s="28" t="str" cm="1">
        <f t="array" ref="E9">Common_InputFunctions.Utility_DisplayArrayInTable(Common_SourceData.Common_SourceData_AustralianStatesTerritories_Data(),Table_AustralianStates[[#Headers],[State/Territory]],0)</f>
        <v>Victoria</v>
      </c>
      <c r="F9" s="2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8" t="str" cm="1">
        <f t="array" ref="D10">Common_InputFunctions.Utility_DisplayArrayInTable(Common_SourceData.Common_SourceData_AustralianStatesTerritories_Data(),Table_AustralianStates[[#Headers],[State/Territory]],0)</f>
        <v>Queensland</v>
      </c>
      <c r="E10" s="28" t="str" cm="1">
        <f t="array" ref="E10">Common_InputFunctions.Utility_DisplayArrayInTable(Common_SourceData.Common_SourceData_AustralianStatesTerritories_Data(),Table_AustralianStates[[#Headers],[State/Territory]],0)</f>
        <v>Queensland</v>
      </c>
      <c r="F10" s="2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8" t="str" cm="1">
        <f t="array" ref="D11">Common_InputFunctions.Utility_DisplayArrayInTable(Common_SourceData.Common_SourceData_AustralianStatesTerritories_Data(),Table_AustralianStates[[#Headers],[State/Territory]],0)</f>
        <v>South Australia</v>
      </c>
      <c r="E11" s="28" t="str" cm="1">
        <f t="array" ref="E11">Common_InputFunctions.Utility_DisplayArrayInTable(Common_SourceData.Common_SourceData_AustralianStatesTerritories_Data(),Table_AustralianStates[[#Headers],[State/Territory]],0)</f>
        <v>South Australia</v>
      </c>
      <c r="F11" s="2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8" t="str" cm="1">
        <f t="array" ref="D12">Common_InputFunctions.Utility_DisplayArrayInTable(Common_SourceData.Common_SourceData_AustralianStatesTerritories_Data(),Table_AustralianStates[[#Headers],[State/Territory]],0)</f>
        <v>Western Australia</v>
      </c>
      <c r="E12" s="28" t="str" cm="1">
        <f t="array" ref="E12">Common_InputFunctions.Utility_DisplayArrayInTable(Common_SourceData.Common_SourceData_AustralianStatesTerritories_Data(),Table_AustralianStates[[#Headers],[State/Territory]],0)</f>
        <v>Western Australia</v>
      </c>
      <c r="F12" s="2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8" t="str" cm="1">
        <f t="array" ref="D13">Common_InputFunctions.Utility_DisplayArrayInTable(Common_SourceData.Common_SourceData_AustralianStatesTerritories_Data(),Table_AustralianStates[[#Headers],[State/Territory]],0)</f>
        <v>Tasmania</v>
      </c>
      <c r="E13" s="28" t="str" cm="1">
        <f t="array" ref="E13">Common_InputFunctions.Utility_DisplayArrayInTable(Common_SourceData.Common_SourceData_AustralianStatesTerritories_Data(),Table_AustralianStates[[#Headers],[State/Territory]],0)</f>
        <v>Tasmania</v>
      </c>
      <c r="F13" s="2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8" t="str" cm="1">
        <f t="array" ref="D14">Common_InputFunctions.Utility_DisplayArrayInTable(Common_SourceData.Common_SourceData_AustralianStatesTerritories_Data(),Table_AustralianStates[[#Headers],[State/Territory]],0)</f>
        <v>Northern Territory</v>
      </c>
      <c r="E14" s="28" t="str" cm="1">
        <f t="array" ref="E14">Common_InputFunctions.Utility_DisplayArrayInTable(Common_SourceData.Common_SourceData_AustralianStatesTerritories_Data(),Table_AustralianStates[[#Headers],[State/Territory]],0)</f>
        <v>Northern Territory</v>
      </c>
      <c r="F14" s="2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8" t="s">
        <v>9</v>
      </c>
    </row>
    <row r="21" spans="1:4" ht="20.100000000000001" customHeight="1" x14ac:dyDescent="0.25">
      <c r="A21"/>
      <c r="D21" s="28" t="str" cm="1">
        <f t="array" ref="D21">Common_InputFunctions.Utility_DisplayArrayInTable(Common_SourceData.Common_SourceData_WASA4Areas_Data(), Table_WASA4Areas[[#Headers],[SA 4 Name]], 0)</f>
        <v>Bunbury</v>
      </c>
    </row>
    <row r="22" spans="1:4" ht="20.100000000000001" customHeight="1" x14ac:dyDescent="0.25">
      <c r="A22"/>
      <c r="D22" s="28" t="str" cm="1">
        <f t="array" ref="D22">Common_InputFunctions.Utility_DisplayArrayInTable(Common_SourceData.Common_SourceData_WASA4Areas_Data(), Table_WASA4Areas[[#Headers],[SA 4 Name]], 0)</f>
        <v>Mandurah</v>
      </c>
    </row>
    <row r="23" spans="1:4" ht="20.100000000000001" customHeight="1" x14ac:dyDescent="0.25">
      <c r="A23"/>
      <c r="D23" s="28" t="str" cm="1">
        <f t="array" ref="D23">Common_InputFunctions.Utility_DisplayArrayInTable(Common_SourceData.Common_SourceData_WASA4Areas_Data(), Table_WASA4Areas[[#Headers],[SA 4 Name]], 0)</f>
        <v>Perth - Inner</v>
      </c>
    </row>
    <row r="24" spans="1:4" ht="20.100000000000001" customHeight="1" x14ac:dyDescent="0.25">
      <c r="A24"/>
      <c r="D24" s="28" t="str" cm="1">
        <f t="array" ref="D24">Common_InputFunctions.Utility_DisplayArrayInTable(Common_SourceData.Common_SourceData_WASA4Areas_Data(), Table_WASA4Areas[[#Headers],[SA 4 Name]], 0)</f>
        <v>Perth - North East</v>
      </c>
    </row>
    <row r="25" spans="1:4" ht="20.100000000000001" customHeight="1" x14ac:dyDescent="0.25">
      <c r="A25"/>
      <c r="D25" s="28" t="str" cm="1">
        <f t="array" ref="D25">Common_InputFunctions.Utility_DisplayArrayInTable(Common_SourceData.Common_SourceData_WASA4Areas_Data(), Table_WASA4Areas[[#Headers],[SA 4 Name]], 0)</f>
        <v>Perth - North West</v>
      </c>
    </row>
    <row r="26" spans="1:4" ht="20.100000000000001" customHeight="1" x14ac:dyDescent="0.25">
      <c r="A26"/>
      <c r="D26" s="28" t="str" cm="1">
        <f t="array" ref="D26">Common_InputFunctions.Utility_DisplayArrayInTable(Common_SourceData.Common_SourceData_WASA4Areas_Data(), Table_WASA4Areas[[#Headers],[SA 4 Name]], 0)</f>
        <v>Perth - South East</v>
      </c>
    </row>
    <row r="27" spans="1:4" ht="20.100000000000001" customHeight="1" x14ac:dyDescent="0.25">
      <c r="A27"/>
      <c r="D27" s="28" t="str" cm="1">
        <f t="array" ref="D27">Common_InputFunctions.Utility_DisplayArrayInTable(Common_SourceData.Common_SourceData_WASA4Areas_Data(), Table_WASA4Areas[[#Headers],[SA 4 Name]], 0)</f>
        <v>Perth - South West</v>
      </c>
    </row>
    <row r="28" spans="1:4" ht="20.100000000000001" customHeight="1" x14ac:dyDescent="0.25">
      <c r="A28"/>
      <c r="D28" s="2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8" t="s">
        <v>11</v>
      </c>
      <c r="E36" s="28" t="s">
        <v>12</v>
      </c>
    </row>
    <row r="37" spans="1:8" ht="20.100000000000001" customHeight="1" x14ac:dyDescent="0.25">
      <c r="A37"/>
      <c r="D37" s="28" t="str" cm="1">
        <f t="array" ref="D37">Common_InputFunctions.Utility_DisplayArrayInTable(Common_SourceData.Common_SourceData_GWP_Data(), Table_GWPData[[#Headers],[Gas]], 0)</f>
        <v>CO2</v>
      </c>
      <c r="E37" s="28" cm="1">
        <f t="array" ref="E37">Common_InputFunctions.Utility_DisplayArrayInTable(Common_SourceData.Common_SourceData_GWP_Data(), Table_GWPData[[#Headers],[Gas]], 0)</f>
        <v>1</v>
      </c>
    </row>
    <row r="38" spans="1:8" ht="20.100000000000001" customHeight="1" x14ac:dyDescent="0.25">
      <c r="A38"/>
      <c r="D38" s="28" t="str" cm="1">
        <f t="array" ref="D38">Common_InputFunctions.Utility_DisplayArrayInTable(Common_SourceData.Common_SourceData_GWP_Data(), Table_GWPData[[#Headers],[Gas]], 0)</f>
        <v>CH4</v>
      </c>
      <c r="E38" s="28" cm="1">
        <f t="array" ref="E38">Common_InputFunctions.Utility_DisplayArrayInTable(Common_SourceData.Common_SourceData_GWP_Data(), Table_GWPData[[#Headers],[Gas]], 0)</f>
        <v>28</v>
      </c>
    </row>
    <row r="39" spans="1:8" ht="20.100000000000001" customHeight="1" x14ac:dyDescent="0.25">
      <c r="A39"/>
      <c r="D39" s="28" t="str" cm="1">
        <f t="array" ref="D39">Common_InputFunctions.Utility_DisplayArrayInTable(Common_SourceData.Common_SourceData_GWP_Data(), Table_GWPData[[#Headers],[Gas]], 0)</f>
        <v>N2O</v>
      </c>
      <c r="E39" s="28" cm="1">
        <f t="array" ref="E39">Common_InputFunctions.Utility_DisplayArrayInTable(Common_SourceData.Common_SourceData_GWP_Data(), Table_GWPData[[#Headers],[Gas]], 0)</f>
        <v>265</v>
      </c>
    </row>
    <row r="40" spans="1:8" ht="20.100000000000001" customHeight="1" x14ac:dyDescent="0.25">
      <c r="A40"/>
      <c r="D40" s="28" t="str" cm="1">
        <f t="array" ref="D40">Common_InputFunctions.Utility_DisplayArrayInTable(Common_SourceData.Common_SourceData_GWP_Data(), Table_GWPData[[#Headers],[Gas]], 0)</f>
        <v>CF4</v>
      </c>
      <c r="E40" s="28" cm="1">
        <f t="array" ref="E40">Common_InputFunctions.Utility_DisplayArrayInTable(Common_SourceData.Common_SourceData_GWP_Data(), Table_GWPData[[#Headers],[Gas]], 0)</f>
        <v>6630</v>
      </c>
    </row>
    <row r="41" spans="1:8" ht="20.100000000000001" customHeight="1" x14ac:dyDescent="0.25">
      <c r="A41"/>
      <c r="D41" s="28" t="str" cm="1">
        <f t="array" ref="D41">Common_InputFunctions.Utility_DisplayArrayInTable(Common_SourceData.Common_SourceData_GWP_Data(), Table_GWPData[[#Headers],[Gas]], 0)</f>
        <v>C2F6</v>
      </c>
      <c r="E41" s="28" cm="1">
        <f t="array" ref="E41">Common_InputFunctions.Utility_DisplayArrayInTable(Common_SourceData.Common_SourceData_GWP_Data(), Table_GWPData[[#Headers],[Gas]], 0)</f>
        <v>12200</v>
      </c>
    </row>
    <row r="42" spans="1:8" ht="20.100000000000001" customHeight="1" x14ac:dyDescent="0.25">
      <c r="D42" s="28" t="str" cm="1">
        <f t="array" ref="D42">Common_InputFunctions.Utility_DisplayArrayInTable(Common_SourceData.Common_SourceData_GWP_Data(), Table_GWPData[[#Headers],[Gas]], 0)</f>
        <v>SF6</v>
      </c>
      <c r="E42" s="28" cm="1">
        <f t="array" ref="E42">Common_InputFunctions.Utility_DisplayArrayInTable(Common_SourceData.Common_SourceData_GWP_Data(), Table_GWPData[[#Headers],[Gas]], 0)</f>
        <v>22800</v>
      </c>
    </row>
    <row r="43" spans="1:8" ht="20.100000000000001" customHeight="1" x14ac:dyDescent="0.25">
      <c r="D43" s="28" t="str" cm="1">
        <f t="array" ref="D43">Common_InputFunctions.Utility_DisplayArrayInTable(Common_SourceData.Common_SourceData_GWP_Data(), Table_GWPData[[#Headers],[Gas]], 0)</f>
        <v>NF3</v>
      </c>
      <c r="E43" s="2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8" t="s">
        <v>11</v>
      </c>
      <c r="E47" s="28" t="s">
        <v>14</v>
      </c>
      <c r="F47" s="28" t="s">
        <v>15</v>
      </c>
      <c r="G47" s="28" t="s">
        <v>16</v>
      </c>
      <c r="H47" s="28" t="s">
        <v>17</v>
      </c>
    </row>
    <row r="48" spans="1:8" ht="20.100000000000001" customHeight="1" x14ac:dyDescent="0.25">
      <c r="D48" s="28" t="str" cm="1">
        <f t="array" ref="D48">Common_InputFunctions.Utility_DisplayArrayInTable(Common_SourceData.Common_SourceData_ConvertGasElementalToMolecular_Data(),Table_GasToMolecularConversionFactor[[#Headers],[Gas]], 0)</f>
        <v>CO2</v>
      </c>
      <c r="E48" s="28" t="str" cm="1">
        <f t="array" ref="E48">Common_InputFunctions.Utility_DisplayArrayInTable(Common_SourceData.Common_SourceData_ConvertGasElementalToMolecular_Data(),Table_GasToMolecularConversionFactor[[#Headers],[Gas]], 0)</f>
        <v>44/12</v>
      </c>
      <c r="F48" s="28" cm="1">
        <f t="array" ref="F48">Common_InputFunctions.Utility_DisplayArrayInTable(Common_SourceData.Common_SourceData_ConvertGasElementalToMolecular_Data(),Table_GasToMolecularConversionFactor[[#Headers],[Gas]], 0)</f>
        <v>44</v>
      </c>
      <c r="G48" s="28" cm="1">
        <f t="array" ref="G48">Common_InputFunctions.Utility_DisplayArrayInTable(Common_SourceData.Common_SourceData_ConvertGasElementalToMolecular_Data(),Table_GasToMolecularConversionFactor[[#Headers],[Gas]], 0)</f>
        <v>12</v>
      </c>
      <c r="H48" s="28">
        <f>Table_GasToMolecularConversionFactor[[#This Row],[Conversion factor 1]]/Table_GasToMolecularConversionFactor[[#This Row],[Conversion factor 2]]</f>
        <v>3.6666666666666665</v>
      </c>
    </row>
    <row r="49" spans="4:8" ht="20.100000000000001" customHeight="1" x14ac:dyDescent="0.25">
      <c r="D49" s="28" t="str" cm="1">
        <f t="array" ref="D49">Common_InputFunctions.Utility_DisplayArrayInTable(Common_SourceData.Common_SourceData_ConvertGasElementalToMolecular_Data(),Table_GasToMolecularConversionFactor[[#Headers],[Gas]], 0)</f>
        <v>CH4</v>
      </c>
      <c r="E49" s="28" t="str" cm="1">
        <f t="array" ref="E49">Common_InputFunctions.Utility_DisplayArrayInTable(Common_SourceData.Common_SourceData_ConvertGasElementalToMolecular_Data(),Table_GasToMolecularConversionFactor[[#Headers],[Gas]], 0)</f>
        <v>16/12</v>
      </c>
      <c r="F49" s="28" cm="1">
        <f t="array" ref="F49">Common_InputFunctions.Utility_DisplayArrayInTable(Common_SourceData.Common_SourceData_ConvertGasElementalToMolecular_Data(),Table_GasToMolecularConversionFactor[[#Headers],[Gas]], 0)</f>
        <v>16</v>
      </c>
      <c r="G49" s="28" cm="1">
        <f t="array" ref="G49">Common_InputFunctions.Utility_DisplayArrayInTable(Common_SourceData.Common_SourceData_ConvertGasElementalToMolecular_Data(),Table_GasToMolecularConversionFactor[[#Headers],[Gas]], 0)</f>
        <v>12</v>
      </c>
      <c r="H49" s="28">
        <f>Table_GasToMolecularConversionFactor[[#This Row],[Conversion factor 1]]/Table_GasToMolecularConversionFactor[[#This Row],[Conversion factor 2]]</f>
        <v>1.3333333333333333</v>
      </c>
    </row>
    <row r="50" spans="4:8" ht="20.100000000000001" customHeight="1" x14ac:dyDescent="0.25">
      <c r="D50" s="28" t="str" cm="1">
        <f t="array" ref="D50">Common_InputFunctions.Utility_DisplayArrayInTable(Common_SourceData.Common_SourceData_ConvertGasElementalToMolecular_Data(),Table_GasToMolecularConversionFactor[[#Headers],[Gas]], 0)</f>
        <v>N2O</v>
      </c>
      <c r="E50" s="28" t="str" cm="1">
        <f t="array" ref="E50">Common_InputFunctions.Utility_DisplayArrayInTable(Common_SourceData.Common_SourceData_ConvertGasElementalToMolecular_Data(),Table_GasToMolecularConversionFactor[[#Headers],[Gas]], 0)</f>
        <v>44/28</v>
      </c>
      <c r="F50" s="28" cm="1">
        <f t="array" ref="F50">Common_InputFunctions.Utility_DisplayArrayInTable(Common_SourceData.Common_SourceData_ConvertGasElementalToMolecular_Data(),Table_GasToMolecularConversionFactor[[#Headers],[Gas]], 0)</f>
        <v>44</v>
      </c>
      <c r="G50" s="28" cm="1">
        <f t="array" ref="G50">Common_InputFunctions.Utility_DisplayArrayInTable(Common_SourceData.Common_SourceData_ConvertGasElementalToMolecular_Data(),Table_GasToMolecularConversionFactor[[#Headers],[Gas]], 0)</f>
        <v>28</v>
      </c>
      <c r="H50" s="28">
        <f>Table_GasToMolecularConversionFactor[[#This Row],[Conversion factor 1]]/Table_GasToMolecularConversionFactor[[#This Row],[Conversion factor 2]]</f>
        <v>1.5714285714285714</v>
      </c>
    </row>
    <row r="51" spans="4:8" ht="20.100000000000001" customHeight="1" x14ac:dyDescent="0.25">
      <c r="D51" s="28" t="str" cm="1">
        <f t="array" ref="D51">Common_InputFunctions.Utility_DisplayArrayInTable(Common_SourceData.Common_SourceData_ConvertGasElementalToMolecular_Data(),Table_GasToMolecularConversionFactor[[#Headers],[Gas]], 0)</f>
        <v>Nox</v>
      </c>
      <c r="E51" s="28" t="str" cm="1">
        <f t="array" ref="E51">Common_InputFunctions.Utility_DisplayArrayInTable(Common_SourceData.Common_SourceData_ConvertGasElementalToMolecular_Data(),Table_GasToMolecularConversionFactor[[#Headers],[Gas]], 0)</f>
        <v>46/14</v>
      </c>
      <c r="F51" s="28" cm="1">
        <f t="array" ref="F51">Common_InputFunctions.Utility_DisplayArrayInTable(Common_SourceData.Common_SourceData_ConvertGasElementalToMolecular_Data(),Table_GasToMolecularConversionFactor[[#Headers],[Gas]], 0)</f>
        <v>46</v>
      </c>
      <c r="G51" s="28" cm="1">
        <f t="array" ref="G51">Common_InputFunctions.Utility_DisplayArrayInTable(Common_SourceData.Common_SourceData_ConvertGasElementalToMolecular_Data(),Table_GasToMolecularConversionFactor[[#Headers],[Gas]], 0)</f>
        <v>14</v>
      </c>
      <c r="H51" s="28">
        <f>Table_GasToMolecularConversionFactor[[#This Row],[Conversion factor 1]]/Table_GasToMolecularConversionFactor[[#This Row],[Conversion factor 2]]</f>
        <v>3.2857142857142856</v>
      </c>
    </row>
    <row r="52" spans="4:8" ht="20.100000000000001" customHeight="1" x14ac:dyDescent="0.25">
      <c r="D52" s="28" t="str" cm="1">
        <f t="array" ref="D52">Common_InputFunctions.Utility_DisplayArrayInTable(Common_SourceData.Common_SourceData_ConvertGasElementalToMolecular_Data(),Table_GasToMolecularConversionFactor[[#Headers],[Gas]], 0)</f>
        <v>CO</v>
      </c>
      <c r="E52" s="28" t="str" cm="1">
        <f t="array" ref="E52">Common_InputFunctions.Utility_DisplayArrayInTable(Common_SourceData.Common_SourceData_ConvertGasElementalToMolecular_Data(),Table_GasToMolecularConversionFactor[[#Headers],[Gas]], 0)</f>
        <v>28/12</v>
      </c>
      <c r="F52" s="28" cm="1">
        <f t="array" ref="F52">Common_InputFunctions.Utility_DisplayArrayInTable(Common_SourceData.Common_SourceData_ConvertGasElementalToMolecular_Data(),Table_GasToMolecularConversionFactor[[#Headers],[Gas]], 0)</f>
        <v>28</v>
      </c>
      <c r="G52" s="28" cm="1">
        <f t="array" ref="G52">Common_InputFunctions.Utility_DisplayArrayInTable(Common_SourceData.Common_SourceData_ConvertGasElementalToMolecular_Data(),Table_GasToMolecularConversionFactor[[#Headers],[Gas]], 0)</f>
        <v>12</v>
      </c>
      <c r="H52" s="28">
        <f>Table_GasToMolecularConversionFactor[[#This Row],[Conversion factor 1]]/Table_GasToMolecularConversionFactor[[#This Row],[Conversion factor 2]]</f>
        <v>2.3333333333333335</v>
      </c>
    </row>
    <row r="53" spans="4:8" ht="20.100000000000001" customHeight="1" x14ac:dyDescent="0.25">
      <c r="D53" s="28" t="str" cm="1">
        <f t="array" ref="D53">Common_InputFunctions.Utility_DisplayArrayInTable(Common_SourceData.Common_SourceData_ConvertGasElementalToMolecular_Data(),Table_GasToMolecularConversionFactor[[#Headers],[Gas]], 0)</f>
        <v>CO2 Lime</v>
      </c>
      <c r="E53" s="28" t="str" cm="1">
        <f t="array" ref="E53">Common_InputFunctions.Utility_DisplayArrayInTable(Common_SourceData.Common_SourceData_ConvertGasElementalToMolecular_Data(),Table_GasToMolecularConversionFactor[[#Headers],[Gas]], 0)</f>
        <v>44/12</v>
      </c>
      <c r="F53" s="28" cm="1">
        <f t="array" ref="F53">Common_InputFunctions.Utility_DisplayArrayInTable(Common_SourceData.Common_SourceData_ConvertGasElementalToMolecular_Data(),Table_GasToMolecularConversionFactor[[#Headers],[Gas]], 0)</f>
        <v>44</v>
      </c>
      <c r="G53" s="28" cm="1">
        <f t="array" ref="G53">Common_InputFunctions.Utility_DisplayArrayInTable(Common_SourceData.Common_SourceData_ConvertGasElementalToMolecular_Data(),Table_GasToMolecularConversionFactor[[#Headers],[Gas]], 0)</f>
        <v>12</v>
      </c>
      <c r="H53" s="28">
        <f>Table_GasToMolecularConversionFactor[[#This Row],[Conversion factor 1]]/Table_GasToMolecularConversionFactor[[#This Row],[Conversion factor 2]]</f>
        <v>3.6666666666666665</v>
      </c>
    </row>
    <row r="54" spans="4:8" ht="20.100000000000001" customHeight="1" x14ac:dyDescent="0.25">
      <c r="D54" s="28" t="str" cm="1">
        <f t="array" ref="D54">Common_InputFunctions.Utility_DisplayArrayInTable(Common_SourceData.Common_SourceData_ConvertGasElementalToMolecular_Data(),Table_GasToMolecularConversionFactor[[#Headers],[Gas]], 0)</f>
        <v>NMVOC</v>
      </c>
      <c r="E54" s="28" t="str" cm="1">
        <f t="array" ref="E54">Common_InputFunctions.Utility_DisplayArrayInTable(Common_SourceData.Common_SourceData_ConvertGasElementalToMolecular_Data(),Table_GasToMolecularConversionFactor[[#Headers],[Gas]], 0)</f>
        <v>14/12</v>
      </c>
      <c r="F54" s="28" cm="1">
        <f t="array" ref="F54">Common_InputFunctions.Utility_DisplayArrayInTable(Common_SourceData.Common_SourceData_ConvertGasElementalToMolecular_Data(),Table_GasToMolecularConversionFactor[[#Headers],[Gas]], 0)</f>
        <v>14</v>
      </c>
      <c r="G54" s="28" cm="1">
        <f t="array" ref="G54">Common_InputFunctions.Utility_DisplayArrayInTable(Common_SourceData.Common_SourceData_ConvertGasElementalToMolecular_Data(),Table_GasToMolecularConversionFactor[[#Headers],[Gas]], 0)</f>
        <v>12</v>
      </c>
      <c r="H54" s="2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4" t="str" cm="1">
        <f t="array" ref="D59:D61">"⚠️" &amp; Common_SourceData.Common_SourceData_WetAndDryZones_Variation()</f>
        <v>⚠️VARIATION OF SOURCE DATA:</v>
      </c>
    </row>
    <row r="60" spans="4:8" ht="20.100000000000001" customHeight="1" x14ac:dyDescent="0.25">
      <c r="D60" s="34" t="str">
        <v>⚠️Added warm / cool temperate moist / dry - low frost and high temp classes to accommodate climate scenarios excluded by VEERG criteria.</v>
      </c>
    </row>
    <row r="61" spans="4:8" ht="20.100000000000001" customHeight="1" x14ac:dyDescent="0.25">
      <c r="D61" s="34" t="str">
        <v>⚠️Fixed typo - Changed 'Fry' to 'Dry'.</v>
      </c>
    </row>
    <row r="62" spans="4:8" ht="20.100000000000001" customHeight="1" x14ac:dyDescent="0.25"/>
    <row r="63" spans="4:8" ht="20.100000000000001" customHeight="1" x14ac:dyDescent="0.25">
      <c r="D63" s="28" t="s">
        <v>4</v>
      </c>
      <c r="E63" s="28" t="s">
        <v>31</v>
      </c>
    </row>
    <row r="64" spans="4:8" ht="20.100000000000001" customHeight="1" x14ac:dyDescent="0.25">
      <c r="D64" s="28" t="str" cm="1">
        <f t="array" ref="D64">Common_InputFunctions.Utility_DisplayArrayInTable(Common_SourceData.Common_SourceData_WetAndDryZones_Data(), Table_SourceData_WetDryZones[[#Headers],[Climate zone]], 0)</f>
        <v>Tropical montane</v>
      </c>
      <c r="E64" s="2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8" t="str" cm="1">
        <f t="array" ref="D65">Common_InputFunctions.Utility_DisplayArrayInTable(Common_SourceData.Common_SourceData_WetAndDryZones_Data(), Table_SourceData_WetDryZones[[#Headers],[Climate zone]], 0)</f>
        <v>Tropical wet</v>
      </c>
      <c r="E65" s="2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8" t="str" cm="1">
        <f t="array" ref="D66">Common_InputFunctions.Utility_DisplayArrayInTable(Common_SourceData.Common_SourceData_WetAndDryZones_Data(), Table_SourceData_WetDryZones[[#Headers],[Climate zone]], 0)</f>
        <v>Tropical moist</v>
      </c>
      <c r="E66" s="2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8" t="str" cm="1">
        <f t="array" ref="D67">Common_InputFunctions.Utility_DisplayArrayInTable(Common_SourceData.Common_SourceData_WetAndDryZones_Data(), Table_SourceData_WetDryZones[[#Headers],[Climate zone]], 0)</f>
        <v>Tropical dry</v>
      </c>
      <c r="E67" s="2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8" t="str" cm="1">
        <f t="array" ref="D68">Common_InputFunctions.Utility_DisplayArrayInTable(Common_SourceData.Common_SourceData_WetAndDryZones_Data(), Table_SourceData_WetDryZones[[#Headers],[Climate zone]], 0)</f>
        <v>Warm temperate moist</v>
      </c>
      <c r="E68" s="2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8" t="str" cm="1">
        <f t="array" ref="D69">Common_InputFunctions.Utility_DisplayArrayInTable(Common_SourceData.Common_SourceData_WetAndDryZones_Data(), Table_SourceData_WetDryZones[[#Headers],[Climate zone]], 0)</f>
        <v>Warm temperate dry</v>
      </c>
      <c r="E69" s="2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8" t="str" cm="1">
        <f t="array" ref="D70">Common_InputFunctions.Utility_DisplayArrayInTable(Common_SourceData.Common_SourceData_WetAndDryZones_Data(), Table_SourceData_WetDryZones[[#Headers],[Climate zone]], 0)</f>
        <v>Cool temperate moist</v>
      </c>
      <c r="E70" s="2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8" t="str" cm="1">
        <f t="array" ref="D71">Common_InputFunctions.Utility_DisplayArrayInTable(Common_SourceData.Common_SourceData_WetAndDryZones_Data(), Table_SourceData_WetDryZones[[#Headers],[Climate zone]], 0)</f>
        <v>Cool temperate dry</v>
      </c>
      <c r="E71" s="2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8" t="str" cm="1">
        <f t="array" ref="D72">Common_InputFunctions.Utility_DisplayArrayInTable(Common_SourceData.Common_SourceData_WetAndDryZones_Data(), Table_SourceData_WetDryZones[[#Headers],[Climate zone]], 0)</f>
        <v>Warm temperate moist - low frost</v>
      </c>
      <c r="E72" s="2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8" t="str" cm="1">
        <f t="array" ref="D73">Common_InputFunctions.Utility_DisplayArrayInTable(Common_SourceData.Common_SourceData_WetAndDryZones_Data(), Table_SourceData_WetDryZones[[#Headers],[Climate zone]], 0)</f>
        <v>Warm temperate dry - low frost</v>
      </c>
      <c r="E73" s="2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8" t="str" cm="1">
        <f t="array" ref="D74">Common_InputFunctions.Utility_DisplayArrayInTable(Common_SourceData.Common_SourceData_WetAndDryZones_Data(), Table_SourceData_WetDryZones[[#Headers],[Climate zone]], 0)</f>
        <v>Warm temperate moist - high temp</v>
      </c>
      <c r="E74" s="2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8" t="str" cm="1">
        <f t="array" ref="D75">Common_InputFunctions.Utility_DisplayArrayInTable(Common_SourceData.Common_SourceData_WetAndDryZones_Data(), Table_SourceData_WetDryZones[[#Headers],[Climate zone]], 0)</f>
        <v>Warm temperate dry - high temp</v>
      </c>
      <c r="E75" s="2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8" t="str" cm="1">
        <f t="array" ref="D76">Common_InputFunctions.Utility_DisplayArrayInTable(Common_SourceData.Common_SourceData_WetAndDryZones_Data(), Table_SourceData_WetDryZones[[#Headers],[Climate zone]], 0)</f>
        <v>Cool temperate moist - low frost</v>
      </c>
      <c r="E76" s="2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8" t="str" cm="1">
        <f t="array" ref="D77">Common_InputFunctions.Utility_DisplayArrayInTable(Common_SourceData.Common_SourceData_WetAndDryZones_Data(), Table_SourceData_WetDryZones[[#Headers],[Climate zone]], 0)</f>
        <v>Cool temperate dry - low frost</v>
      </c>
      <c r="E77" s="2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4" t="str" cm="1">
        <f t="array" ref="D83:D87">"⚠️" &amp; Common_SourceData.Common_SourceData_ClimateZones_Variation()</f>
        <v>⚠️VARIATION OF SOURCE DATA:</v>
      </c>
    </row>
    <row r="84" spans="4:20" ht="20.100000000000001" customHeight="1" x14ac:dyDescent="0.25">
      <c r="D84" s="34" t="str">
        <v>⚠️Added warm / cool temperate moist / dry - low frost and high temp classes to accommodate climate scenarios excluded by VEERG criteria.</v>
      </c>
    </row>
    <row r="85" spans="4:20" ht="20.100000000000001" customHeight="1" x14ac:dyDescent="0.25">
      <c r="D85" s="34" t="str">
        <v>⚠️Fixed typo in MAT value for warm temperate dry - changed 10 to 11.</v>
      </c>
    </row>
    <row r="86" spans="4:20" ht="20.100000000000001" customHeight="1" x14ac:dyDescent="0.25">
      <c r="D86" s="34" t="str">
        <v>⚠️Added min and max columns for MAT, MAP, frost days per year, elevation, MAP:PET to calculate zones from real climate data.</v>
      </c>
    </row>
    <row r="87" spans="4:20" ht="20.100000000000001" customHeight="1" x14ac:dyDescent="0.25">
      <c r="D87" s="34" t="str">
        <v>⚠️GAF accepts rainfall as a proxy for precipitation.</v>
      </c>
    </row>
    <row r="88" spans="4:20" ht="20.100000000000001" customHeight="1" x14ac:dyDescent="0.25"/>
    <row r="89" spans="4:20" ht="20.100000000000001" customHeight="1" x14ac:dyDescent="0.25">
      <c r="D89" s="28" t="s">
        <v>4</v>
      </c>
      <c r="E89" s="28" t="s">
        <v>19</v>
      </c>
      <c r="F89" s="28" t="s">
        <v>20</v>
      </c>
      <c r="G89" s="28" t="s">
        <v>21</v>
      </c>
      <c r="H89" s="28" t="s">
        <v>22</v>
      </c>
      <c r="I89" s="28" t="s">
        <v>23</v>
      </c>
      <c r="J89" s="28" t="s">
        <v>24</v>
      </c>
      <c r="K89" s="28" t="s">
        <v>25</v>
      </c>
      <c r="L89" s="28" t="s">
        <v>26</v>
      </c>
      <c r="M89" s="28" t="s">
        <v>27</v>
      </c>
      <c r="N89" s="28" t="s">
        <v>28</v>
      </c>
      <c r="O89" s="28" t="s">
        <v>32</v>
      </c>
      <c r="P89" s="28" t="s">
        <v>29</v>
      </c>
      <c r="Q89" s="28" t="s">
        <v>33</v>
      </c>
      <c r="R89" s="28" t="s">
        <v>30</v>
      </c>
      <c r="S89" s="28" t="s">
        <v>34</v>
      </c>
      <c r="T89" s="28"/>
    </row>
    <row r="90" spans="4:20" ht="20.100000000000001" customHeight="1" x14ac:dyDescent="0.25">
      <c r="D90" s="28" t="str" cm="1">
        <f t="array" ref="D90">Common_InputFunctions.Utility_DisplayArrayInTable(Common_SourceData.Common_SourceData_ClimateZones_Data(), Table_SourceData_ClimateZones[[#Headers],[Climate zone]], 0)</f>
        <v>Tropical montane</v>
      </c>
      <c r="E90" s="28" t="str" cm="1">
        <f t="array" ref="E90">Common_InputFunctions.Utility_DisplayArrayInTable(Common_SourceData.Common_SourceData_ClimateZones_Data(), Table_SourceData_ClimateZones[[#Headers],[Climate zone]], 0)</f>
        <v>&gt; 18 C</v>
      </c>
      <c r="F90" s="28" t="str" cm="1">
        <f t="array" ref="F90">Common_InputFunctions.Utility_DisplayArrayInTable(Common_SourceData.Common_SourceData_ClimateZones_Data(), Table_SourceData_ClimateZones[[#Headers],[Climate zone]], 0)</f>
        <v>Any</v>
      </c>
      <c r="G90" s="28" t="str" cm="1">
        <f t="array" ref="G90">Common_InputFunctions.Utility_DisplayArrayInTable(Common_SourceData.Common_SourceData_ClimateZones_Data(), Table_SourceData_ClimateZones[[#Headers],[Climate zone]], 0)</f>
        <v>≤ 7</v>
      </c>
      <c r="H90" s="28" t="str" cm="1">
        <f t="array" ref="H90">Common_InputFunctions.Utility_DisplayArrayInTable(Common_SourceData.Common_SourceData_ClimateZones_Data(), Table_SourceData_ClimateZones[[#Headers],[Climate zone]], 0)</f>
        <v>&gt; 1000 m</v>
      </c>
      <c r="I90" s="28" t="str" cm="1">
        <f t="array" ref="I90">Common_InputFunctions.Utility_DisplayArrayInTable(Common_SourceData.Common_SourceData_ClimateZones_Data(), Table_SourceData_ClimateZones[[#Headers],[Climate zone]], 0)</f>
        <v>Any</v>
      </c>
      <c r="J90" s="28" cm="1">
        <f t="array" ref="J90">Common_InputFunctions.Utility_DisplayArrayInTable(Common_SourceData.Common_SourceData_ClimateZones_Data(), Table_SourceData_ClimateZones[[#Headers],[Climate zone]], 0)</f>
        <v>18.001000000000001</v>
      </c>
      <c r="K90" s="28" cm="1">
        <f t="array" ref="K90">Common_InputFunctions.Utility_DisplayArrayInTable(Common_SourceData.Common_SourceData_ClimateZones_Data(), Table_SourceData_ClimateZones[[#Headers],[Climate zone]], 0)</f>
        <v>999999</v>
      </c>
      <c r="L90" s="28" cm="1">
        <f t="array" ref="L90">Common_InputFunctions.Utility_DisplayArrayInTable(Common_SourceData.Common_SourceData_ClimateZones_Data(), Table_SourceData_ClimateZones[[#Headers],[Climate zone]], 0)</f>
        <v>-999999</v>
      </c>
      <c r="M90" s="28" cm="1">
        <f t="array" ref="M90">Common_InputFunctions.Utility_DisplayArrayInTable(Common_SourceData.Common_SourceData_ClimateZones_Data(), Table_SourceData_ClimateZones[[#Headers],[Climate zone]], 0)</f>
        <v>999999</v>
      </c>
      <c r="N90" s="28" cm="1">
        <f t="array" ref="N90">Common_InputFunctions.Utility_DisplayArrayInTable(Common_SourceData.Common_SourceData_ClimateZones_Data(), Table_SourceData_ClimateZones[[#Headers],[Climate zone]], 0)</f>
        <v>-999999</v>
      </c>
      <c r="O90" s="28" cm="1">
        <f t="array" ref="O90">Common_InputFunctions.Utility_DisplayArrayInTable(Common_SourceData.Common_SourceData_ClimateZones_Data(), Table_SourceData_ClimateZones[[#Headers],[Climate zone]], 0)</f>
        <v>7</v>
      </c>
      <c r="P90" s="28" cm="1">
        <f t="array" ref="P90">Common_InputFunctions.Utility_DisplayArrayInTable(Common_SourceData.Common_SourceData_ClimateZones_Data(), Table_SourceData_ClimateZones[[#Headers],[Climate zone]], 0)</f>
        <v>1000</v>
      </c>
      <c r="Q90" s="28" cm="1">
        <f t="array" ref="Q90">Common_InputFunctions.Utility_DisplayArrayInTable(Common_SourceData.Common_SourceData_ClimateZones_Data(), Table_SourceData_ClimateZones[[#Headers],[Climate zone]], 0)</f>
        <v>999999</v>
      </c>
      <c r="R90" s="28" cm="1">
        <f t="array" ref="R90">Common_InputFunctions.Utility_DisplayArrayInTable(Common_SourceData.Common_SourceData_ClimateZones_Data(), Table_SourceData_ClimateZones[[#Headers],[Climate zone]], 0)</f>
        <v>-999999</v>
      </c>
      <c r="S90" s="28" cm="1">
        <f t="array" ref="S90">Common_InputFunctions.Utility_DisplayArrayInTable(Common_SourceData.Common_SourceData_ClimateZones_Data(), Table_SourceData_ClimateZones[[#Headers],[Climate zone]], 0)</f>
        <v>999999</v>
      </c>
      <c r="T90" s="28"/>
    </row>
    <row r="91" spans="4:20" ht="20.100000000000001" customHeight="1" x14ac:dyDescent="0.25">
      <c r="D91" s="28" t="str" cm="1">
        <f t="array" ref="D91">Common_InputFunctions.Utility_DisplayArrayInTable(Common_SourceData.Common_SourceData_ClimateZones_Data(), Table_SourceData_ClimateZones[[#Headers],[Climate zone]], 0)</f>
        <v>Tropical wet</v>
      </c>
      <c r="E91" s="28" t="str" cm="1">
        <f t="array" ref="E91">Common_InputFunctions.Utility_DisplayArrayInTable(Common_SourceData.Common_SourceData_ClimateZones_Data(), Table_SourceData_ClimateZones[[#Headers],[Climate zone]], 0)</f>
        <v>&gt; 18 C</v>
      </c>
      <c r="F91" s="28" t="str" cm="1">
        <f t="array" ref="F91">Common_InputFunctions.Utility_DisplayArrayInTable(Common_SourceData.Common_SourceData_ClimateZones_Data(), Table_SourceData_ClimateZones[[#Headers],[Climate zone]], 0)</f>
        <v>&gt; 2000 mm</v>
      </c>
      <c r="G91" s="28" t="str" cm="1">
        <f t="array" ref="G91">Common_InputFunctions.Utility_DisplayArrayInTable(Common_SourceData.Common_SourceData_ClimateZones_Data(), Table_SourceData_ClimateZones[[#Headers],[Climate zone]], 0)</f>
        <v>≤ 7</v>
      </c>
      <c r="H91" s="28" t="str" cm="1">
        <f t="array" ref="H91">Common_InputFunctions.Utility_DisplayArrayInTable(Common_SourceData.Common_SourceData_ClimateZones_Data(), Table_SourceData_ClimateZones[[#Headers],[Climate zone]], 0)</f>
        <v>≤ 1000 m</v>
      </c>
      <c r="I91" s="28" t="str" cm="1">
        <f t="array" ref="I91">Common_InputFunctions.Utility_DisplayArrayInTable(Common_SourceData.Common_SourceData_ClimateZones_Data(), Table_SourceData_ClimateZones[[#Headers],[Climate zone]], 0)</f>
        <v>Any</v>
      </c>
      <c r="J91" s="28" cm="1">
        <f t="array" ref="J91">Common_InputFunctions.Utility_DisplayArrayInTable(Common_SourceData.Common_SourceData_ClimateZones_Data(), Table_SourceData_ClimateZones[[#Headers],[Climate zone]], 0)</f>
        <v>18.001000000000001</v>
      </c>
      <c r="K91" s="28" cm="1">
        <f t="array" ref="K91">Common_InputFunctions.Utility_DisplayArrayInTable(Common_SourceData.Common_SourceData_ClimateZones_Data(), Table_SourceData_ClimateZones[[#Headers],[Climate zone]], 0)</f>
        <v>999999</v>
      </c>
      <c r="L91" s="28" cm="1">
        <f t="array" ref="L91">Common_InputFunctions.Utility_DisplayArrayInTable(Common_SourceData.Common_SourceData_ClimateZones_Data(), Table_SourceData_ClimateZones[[#Headers],[Climate zone]], 0)</f>
        <v>2000.001</v>
      </c>
      <c r="M91" s="28" cm="1">
        <f t="array" ref="M91">Common_InputFunctions.Utility_DisplayArrayInTable(Common_SourceData.Common_SourceData_ClimateZones_Data(), Table_SourceData_ClimateZones[[#Headers],[Climate zone]], 0)</f>
        <v>999999</v>
      </c>
      <c r="N91" s="28" cm="1">
        <f t="array" ref="N91">Common_InputFunctions.Utility_DisplayArrayInTable(Common_SourceData.Common_SourceData_ClimateZones_Data(), Table_SourceData_ClimateZones[[#Headers],[Climate zone]], 0)</f>
        <v>-999999</v>
      </c>
      <c r="O91" s="28" cm="1">
        <f t="array" ref="O91">Common_InputFunctions.Utility_DisplayArrayInTable(Common_SourceData.Common_SourceData_ClimateZones_Data(), Table_SourceData_ClimateZones[[#Headers],[Climate zone]], 0)</f>
        <v>7</v>
      </c>
      <c r="P91" s="28" cm="1">
        <f t="array" ref="P91">Common_InputFunctions.Utility_DisplayArrayInTable(Common_SourceData.Common_SourceData_ClimateZones_Data(), Table_SourceData_ClimateZones[[#Headers],[Climate zone]], 0)</f>
        <v>-999999</v>
      </c>
      <c r="Q91" s="28" cm="1">
        <f t="array" ref="Q91">Common_InputFunctions.Utility_DisplayArrayInTable(Common_SourceData.Common_SourceData_ClimateZones_Data(), Table_SourceData_ClimateZones[[#Headers],[Climate zone]], 0)</f>
        <v>999.99900000000002</v>
      </c>
      <c r="R91" s="28" cm="1">
        <f t="array" ref="R91">Common_InputFunctions.Utility_DisplayArrayInTable(Common_SourceData.Common_SourceData_ClimateZones_Data(), Table_SourceData_ClimateZones[[#Headers],[Climate zone]], 0)</f>
        <v>-999999</v>
      </c>
      <c r="S91" s="28" cm="1">
        <f t="array" ref="S91">Common_InputFunctions.Utility_DisplayArrayInTable(Common_SourceData.Common_SourceData_ClimateZones_Data(), Table_SourceData_ClimateZones[[#Headers],[Climate zone]], 0)</f>
        <v>999999</v>
      </c>
      <c r="T91" s="28"/>
    </row>
    <row r="92" spans="4:20" ht="20.100000000000001" customHeight="1" x14ac:dyDescent="0.25">
      <c r="D92" s="28" t="str" cm="1">
        <f t="array" ref="D92">Common_InputFunctions.Utility_DisplayArrayInTable(Common_SourceData.Common_SourceData_ClimateZones_Data(), Table_SourceData_ClimateZones[[#Headers],[Climate zone]], 0)</f>
        <v>Tropical moist</v>
      </c>
      <c r="E92" s="28" t="str" cm="1">
        <f t="array" ref="E92">Common_InputFunctions.Utility_DisplayArrayInTable(Common_SourceData.Common_SourceData_ClimateZones_Data(), Table_SourceData_ClimateZones[[#Headers],[Climate zone]], 0)</f>
        <v>&gt; 18 C</v>
      </c>
      <c r="F92" s="28" t="str" cm="1">
        <f t="array" ref="F92">Common_InputFunctions.Utility_DisplayArrayInTable(Common_SourceData.Common_SourceData_ClimateZones_Data(), Table_SourceData_ClimateZones[[#Headers],[Climate zone]], 0)</f>
        <v>&gt; 1000 mm - ≤ 2000 mm</v>
      </c>
      <c r="G92" s="28" t="str" cm="1">
        <f t="array" ref="G92">Common_InputFunctions.Utility_DisplayArrayInTable(Common_SourceData.Common_SourceData_ClimateZones_Data(), Table_SourceData_ClimateZones[[#Headers],[Climate zone]], 0)</f>
        <v>≤ 7</v>
      </c>
      <c r="H92" s="28" t="str" cm="1">
        <f t="array" ref="H92">Common_InputFunctions.Utility_DisplayArrayInTable(Common_SourceData.Common_SourceData_ClimateZones_Data(), Table_SourceData_ClimateZones[[#Headers],[Climate zone]], 0)</f>
        <v>≤ 1000 m</v>
      </c>
      <c r="I92" s="28" t="str" cm="1">
        <f t="array" ref="I92">Common_InputFunctions.Utility_DisplayArrayInTable(Common_SourceData.Common_SourceData_ClimateZones_Data(), Table_SourceData_ClimateZones[[#Headers],[Climate zone]], 0)</f>
        <v>Any</v>
      </c>
      <c r="J92" s="28" cm="1">
        <f t="array" ref="J92">Common_InputFunctions.Utility_DisplayArrayInTable(Common_SourceData.Common_SourceData_ClimateZones_Data(), Table_SourceData_ClimateZones[[#Headers],[Climate zone]], 0)</f>
        <v>18.001000000000001</v>
      </c>
      <c r="K92" s="28" cm="1">
        <f t="array" ref="K92">Common_InputFunctions.Utility_DisplayArrayInTable(Common_SourceData.Common_SourceData_ClimateZones_Data(), Table_SourceData_ClimateZones[[#Headers],[Climate zone]], 0)</f>
        <v>999999</v>
      </c>
      <c r="L92" s="28" cm="1">
        <f t="array" ref="L92">Common_InputFunctions.Utility_DisplayArrayInTable(Common_SourceData.Common_SourceData_ClimateZones_Data(), Table_SourceData_ClimateZones[[#Headers],[Climate zone]], 0)</f>
        <v>1000.001</v>
      </c>
      <c r="M92" s="28" cm="1">
        <f t="array" ref="M92">Common_InputFunctions.Utility_DisplayArrayInTable(Common_SourceData.Common_SourceData_ClimateZones_Data(), Table_SourceData_ClimateZones[[#Headers],[Climate zone]], 0)</f>
        <v>2000</v>
      </c>
      <c r="N92" s="28" cm="1">
        <f t="array" ref="N92">Common_InputFunctions.Utility_DisplayArrayInTable(Common_SourceData.Common_SourceData_ClimateZones_Data(), Table_SourceData_ClimateZones[[#Headers],[Climate zone]], 0)</f>
        <v>-999999</v>
      </c>
      <c r="O92" s="28" cm="1">
        <f t="array" ref="O92">Common_InputFunctions.Utility_DisplayArrayInTable(Common_SourceData.Common_SourceData_ClimateZones_Data(), Table_SourceData_ClimateZones[[#Headers],[Climate zone]], 0)</f>
        <v>7</v>
      </c>
      <c r="P92" s="28" cm="1">
        <f t="array" ref="P92">Common_InputFunctions.Utility_DisplayArrayInTable(Common_SourceData.Common_SourceData_ClimateZones_Data(), Table_SourceData_ClimateZones[[#Headers],[Climate zone]], 0)</f>
        <v>-999999</v>
      </c>
      <c r="Q92" s="28" cm="1">
        <f t="array" ref="Q92">Common_InputFunctions.Utility_DisplayArrayInTable(Common_SourceData.Common_SourceData_ClimateZones_Data(), Table_SourceData_ClimateZones[[#Headers],[Climate zone]], 0)</f>
        <v>999.99900000000002</v>
      </c>
      <c r="R92" s="28" cm="1">
        <f t="array" ref="R92">Common_InputFunctions.Utility_DisplayArrayInTable(Common_SourceData.Common_SourceData_ClimateZones_Data(), Table_SourceData_ClimateZones[[#Headers],[Climate zone]], 0)</f>
        <v>-999999</v>
      </c>
      <c r="S92" s="28" cm="1">
        <f t="array" ref="S92">Common_InputFunctions.Utility_DisplayArrayInTable(Common_SourceData.Common_SourceData_ClimateZones_Data(), Table_SourceData_ClimateZones[[#Headers],[Climate zone]], 0)</f>
        <v>999999</v>
      </c>
      <c r="T92" s="28"/>
    </row>
    <row r="93" spans="4:20" ht="20.100000000000001" customHeight="1" x14ac:dyDescent="0.25">
      <c r="D93" s="28" t="str" cm="1">
        <f t="array" ref="D93">Common_InputFunctions.Utility_DisplayArrayInTable(Common_SourceData.Common_SourceData_ClimateZones_Data(), Table_SourceData_ClimateZones[[#Headers],[Climate zone]], 0)</f>
        <v>Tropical dry</v>
      </c>
      <c r="E93" s="28" t="str" cm="1">
        <f t="array" ref="E93">Common_InputFunctions.Utility_DisplayArrayInTable(Common_SourceData.Common_SourceData_ClimateZones_Data(), Table_SourceData_ClimateZones[[#Headers],[Climate zone]], 0)</f>
        <v>&gt; 18 C</v>
      </c>
      <c r="F93" s="28" t="str" cm="1">
        <f t="array" ref="F93">Common_InputFunctions.Utility_DisplayArrayInTable(Common_SourceData.Common_SourceData_ClimateZones_Data(), Table_SourceData_ClimateZones[[#Headers],[Climate zone]], 0)</f>
        <v>≤ 1000 mm</v>
      </c>
      <c r="G93" s="28" t="str" cm="1">
        <f t="array" ref="G93">Common_InputFunctions.Utility_DisplayArrayInTable(Common_SourceData.Common_SourceData_ClimateZones_Data(), Table_SourceData_ClimateZones[[#Headers],[Climate zone]], 0)</f>
        <v>≤ 7</v>
      </c>
      <c r="H93" s="28" t="str" cm="1">
        <f t="array" ref="H93">Common_InputFunctions.Utility_DisplayArrayInTable(Common_SourceData.Common_SourceData_ClimateZones_Data(), Table_SourceData_ClimateZones[[#Headers],[Climate zone]], 0)</f>
        <v>≤ 1000 m</v>
      </c>
      <c r="I93" s="28" t="str" cm="1">
        <f t="array" ref="I93">Common_InputFunctions.Utility_DisplayArrayInTable(Common_SourceData.Common_SourceData_ClimateZones_Data(), Table_SourceData_ClimateZones[[#Headers],[Climate zone]], 0)</f>
        <v>Any</v>
      </c>
      <c r="J93" s="28" cm="1">
        <f t="array" ref="J93">Common_InputFunctions.Utility_DisplayArrayInTable(Common_SourceData.Common_SourceData_ClimateZones_Data(), Table_SourceData_ClimateZones[[#Headers],[Climate zone]], 0)</f>
        <v>18.001000000000001</v>
      </c>
      <c r="K93" s="28" cm="1">
        <f t="array" ref="K93">Common_InputFunctions.Utility_DisplayArrayInTable(Common_SourceData.Common_SourceData_ClimateZones_Data(), Table_SourceData_ClimateZones[[#Headers],[Climate zone]], 0)</f>
        <v>999999</v>
      </c>
      <c r="L93" s="28" cm="1">
        <f t="array" ref="L93">Common_InputFunctions.Utility_DisplayArrayInTable(Common_SourceData.Common_SourceData_ClimateZones_Data(), Table_SourceData_ClimateZones[[#Headers],[Climate zone]], 0)</f>
        <v>-999999</v>
      </c>
      <c r="M93" s="28" cm="1">
        <f t="array" ref="M93">Common_InputFunctions.Utility_DisplayArrayInTable(Common_SourceData.Common_SourceData_ClimateZones_Data(), Table_SourceData_ClimateZones[[#Headers],[Climate zone]], 0)</f>
        <v>1000</v>
      </c>
      <c r="N93" s="28" cm="1">
        <f t="array" ref="N93">Common_InputFunctions.Utility_DisplayArrayInTable(Common_SourceData.Common_SourceData_ClimateZones_Data(), Table_SourceData_ClimateZones[[#Headers],[Climate zone]], 0)</f>
        <v>-999999</v>
      </c>
      <c r="O93" s="28" cm="1">
        <f t="array" ref="O93">Common_InputFunctions.Utility_DisplayArrayInTable(Common_SourceData.Common_SourceData_ClimateZones_Data(), Table_SourceData_ClimateZones[[#Headers],[Climate zone]], 0)</f>
        <v>7</v>
      </c>
      <c r="P93" s="28" cm="1">
        <f t="array" ref="P93">Common_InputFunctions.Utility_DisplayArrayInTable(Common_SourceData.Common_SourceData_ClimateZones_Data(), Table_SourceData_ClimateZones[[#Headers],[Climate zone]], 0)</f>
        <v>-999999</v>
      </c>
      <c r="Q93" s="28" cm="1">
        <f t="array" ref="Q93">Common_InputFunctions.Utility_DisplayArrayInTable(Common_SourceData.Common_SourceData_ClimateZones_Data(), Table_SourceData_ClimateZones[[#Headers],[Climate zone]], 0)</f>
        <v>999.99900000000002</v>
      </c>
      <c r="R93" s="28" cm="1">
        <f t="array" ref="R93">Common_InputFunctions.Utility_DisplayArrayInTable(Common_SourceData.Common_SourceData_ClimateZones_Data(), Table_SourceData_ClimateZones[[#Headers],[Climate zone]], 0)</f>
        <v>-999999</v>
      </c>
      <c r="S93" s="28" cm="1">
        <f t="array" ref="S93">Common_InputFunctions.Utility_DisplayArrayInTable(Common_SourceData.Common_SourceData_ClimateZones_Data(), Table_SourceData_ClimateZones[[#Headers],[Climate zone]], 0)</f>
        <v>999999</v>
      </c>
      <c r="T93" s="28"/>
    </row>
    <row r="94" spans="4:20" ht="20.100000000000001" customHeight="1" x14ac:dyDescent="0.25">
      <c r="D94" s="28" t="str" cm="1">
        <f t="array" ref="D94">Common_InputFunctions.Utility_DisplayArrayInTable(Common_SourceData.Common_SourceData_ClimateZones_Data(), Table_SourceData_ClimateZones[[#Headers],[Climate zone]], 0)</f>
        <v>Warm temperate moist</v>
      </c>
      <c r="E94" s="28" t="str" cm="1">
        <f t="array" ref="E94">Common_InputFunctions.Utility_DisplayArrayInTable(Common_SourceData.Common_SourceData_ClimateZones_Data(), Table_SourceData_ClimateZones[[#Headers],[Climate zone]], 0)</f>
        <v>&gt; 10 C</v>
      </c>
      <c r="F94" s="28" t="str" cm="1">
        <f t="array" ref="F94">Common_InputFunctions.Utility_DisplayArrayInTable(Common_SourceData.Common_SourceData_ClimateZones_Data(), Table_SourceData_ClimateZones[[#Headers],[Climate zone]], 0)</f>
        <v>Any</v>
      </c>
      <c r="G94" s="28" t="str" cm="1">
        <f t="array" ref="G94">Common_InputFunctions.Utility_DisplayArrayInTable(Common_SourceData.Common_SourceData_ClimateZones_Data(), Table_SourceData_ClimateZones[[#Headers],[Climate zone]], 0)</f>
        <v>Any</v>
      </c>
      <c r="H94" s="28" t="str" cm="1">
        <f t="array" ref="H94">Common_InputFunctions.Utility_DisplayArrayInTable(Common_SourceData.Common_SourceData_ClimateZones_Data(), Table_SourceData_ClimateZones[[#Headers],[Climate zone]], 0)</f>
        <v>Any</v>
      </c>
      <c r="I94" s="28" t="str" cm="1">
        <f t="array" ref="I94">Common_InputFunctions.Utility_DisplayArrayInTable(Common_SourceData.Common_SourceData_ClimateZones_Data(), Table_SourceData_ClimateZones[[#Headers],[Climate zone]], 0)</f>
        <v>&gt; 1</v>
      </c>
      <c r="J94" s="28" cm="1">
        <f t="array" ref="J94">Common_InputFunctions.Utility_DisplayArrayInTable(Common_SourceData.Common_SourceData_ClimateZones_Data(), Table_SourceData_ClimateZones[[#Headers],[Climate zone]], 0)</f>
        <v>10.000999999999999</v>
      </c>
      <c r="K94" s="28" cm="1">
        <f t="array" ref="K94">Common_InputFunctions.Utility_DisplayArrayInTable(Common_SourceData.Common_SourceData_ClimateZones_Data(), Table_SourceData_ClimateZones[[#Headers],[Climate zone]], 0)</f>
        <v>999999</v>
      </c>
      <c r="L94" s="28" cm="1">
        <f t="array" ref="L94">Common_InputFunctions.Utility_DisplayArrayInTable(Common_SourceData.Common_SourceData_ClimateZones_Data(), Table_SourceData_ClimateZones[[#Headers],[Climate zone]], 0)</f>
        <v>-999999</v>
      </c>
      <c r="M94" s="28" cm="1">
        <f t="array" ref="M94">Common_InputFunctions.Utility_DisplayArrayInTable(Common_SourceData.Common_SourceData_ClimateZones_Data(), Table_SourceData_ClimateZones[[#Headers],[Climate zone]], 0)</f>
        <v>999999</v>
      </c>
      <c r="N94" s="28" cm="1">
        <f t="array" ref="N94">Common_InputFunctions.Utility_DisplayArrayInTable(Common_SourceData.Common_SourceData_ClimateZones_Data(), Table_SourceData_ClimateZones[[#Headers],[Climate zone]], 0)</f>
        <v>-999999</v>
      </c>
      <c r="O94" s="28" cm="1">
        <f t="array" ref="O94">Common_InputFunctions.Utility_DisplayArrayInTable(Common_SourceData.Common_SourceData_ClimateZones_Data(), Table_SourceData_ClimateZones[[#Headers],[Climate zone]], 0)</f>
        <v>999999</v>
      </c>
      <c r="P94" s="28" cm="1">
        <f t="array" ref="P94">Common_InputFunctions.Utility_DisplayArrayInTable(Common_SourceData.Common_SourceData_ClimateZones_Data(), Table_SourceData_ClimateZones[[#Headers],[Climate zone]], 0)</f>
        <v>-999999</v>
      </c>
      <c r="Q94" s="28" cm="1">
        <f t="array" ref="Q94">Common_InputFunctions.Utility_DisplayArrayInTable(Common_SourceData.Common_SourceData_ClimateZones_Data(), Table_SourceData_ClimateZones[[#Headers],[Climate zone]], 0)</f>
        <v>999999</v>
      </c>
      <c r="R94" s="28" cm="1">
        <f t="array" ref="R94">Common_InputFunctions.Utility_DisplayArrayInTable(Common_SourceData.Common_SourceData_ClimateZones_Data(), Table_SourceData_ClimateZones[[#Headers],[Climate zone]], 0)</f>
        <v>1.0009999999999999</v>
      </c>
      <c r="S94" s="28" cm="1">
        <f t="array" ref="S94">Common_InputFunctions.Utility_DisplayArrayInTable(Common_SourceData.Common_SourceData_ClimateZones_Data(), Table_SourceData_ClimateZones[[#Headers],[Climate zone]], 0)</f>
        <v>999999</v>
      </c>
      <c r="T94" s="28"/>
    </row>
    <row r="95" spans="4:20" ht="20.100000000000001" customHeight="1" x14ac:dyDescent="0.25">
      <c r="D95" s="28" t="str" cm="1">
        <f t="array" ref="D95">Common_InputFunctions.Utility_DisplayArrayInTable(Common_SourceData.Common_SourceData_ClimateZones_Data(), Table_SourceData_ClimateZones[[#Headers],[Climate zone]], 0)</f>
        <v>Warm temperate dry</v>
      </c>
      <c r="E95" s="28" t="str" cm="1">
        <f t="array" ref="E95">Common_InputFunctions.Utility_DisplayArrayInTable(Common_SourceData.Common_SourceData_ClimateZones_Data(), Table_SourceData_ClimateZones[[#Headers],[Climate zone]], 0)</f>
        <v>&gt; 10 C</v>
      </c>
      <c r="F95" s="28" t="str" cm="1">
        <f t="array" ref="F95">Common_InputFunctions.Utility_DisplayArrayInTable(Common_SourceData.Common_SourceData_ClimateZones_Data(), Table_SourceData_ClimateZones[[#Headers],[Climate zone]], 0)</f>
        <v>Any</v>
      </c>
      <c r="G95" s="28" t="str" cm="1">
        <f t="array" ref="G95">Common_InputFunctions.Utility_DisplayArrayInTable(Common_SourceData.Common_SourceData_ClimateZones_Data(), Table_SourceData_ClimateZones[[#Headers],[Climate zone]], 0)</f>
        <v>Any</v>
      </c>
      <c r="H95" s="28" t="str" cm="1">
        <f t="array" ref="H95">Common_InputFunctions.Utility_DisplayArrayInTable(Common_SourceData.Common_SourceData_ClimateZones_Data(), Table_SourceData_ClimateZones[[#Headers],[Climate zone]], 0)</f>
        <v>Any</v>
      </c>
      <c r="I95" s="28" t="str" cm="1">
        <f t="array" ref="I95">Common_InputFunctions.Utility_DisplayArrayInTable(Common_SourceData.Common_SourceData_ClimateZones_Data(), Table_SourceData_ClimateZones[[#Headers],[Climate zone]], 0)</f>
        <v>≤ 1</v>
      </c>
      <c r="J95" s="28" cm="1">
        <f t="array" ref="J95">Common_InputFunctions.Utility_DisplayArrayInTable(Common_SourceData.Common_SourceData_ClimateZones_Data(), Table_SourceData_ClimateZones[[#Headers],[Climate zone]], 0)</f>
        <v>10.000999999999999</v>
      </c>
      <c r="K95" s="28" cm="1">
        <f t="array" ref="K95">Common_InputFunctions.Utility_DisplayArrayInTable(Common_SourceData.Common_SourceData_ClimateZones_Data(), Table_SourceData_ClimateZones[[#Headers],[Climate zone]], 0)</f>
        <v>999999</v>
      </c>
      <c r="L95" s="28" cm="1">
        <f t="array" ref="L95">Common_InputFunctions.Utility_DisplayArrayInTable(Common_SourceData.Common_SourceData_ClimateZones_Data(), Table_SourceData_ClimateZones[[#Headers],[Climate zone]], 0)</f>
        <v>-999999</v>
      </c>
      <c r="M95" s="28" cm="1">
        <f t="array" ref="M95">Common_InputFunctions.Utility_DisplayArrayInTable(Common_SourceData.Common_SourceData_ClimateZones_Data(), Table_SourceData_ClimateZones[[#Headers],[Climate zone]], 0)</f>
        <v>999999</v>
      </c>
      <c r="N95" s="28" cm="1">
        <f t="array" ref="N95">Common_InputFunctions.Utility_DisplayArrayInTable(Common_SourceData.Common_SourceData_ClimateZones_Data(), Table_SourceData_ClimateZones[[#Headers],[Climate zone]], 0)</f>
        <v>-999999</v>
      </c>
      <c r="O95" s="28" cm="1">
        <f t="array" ref="O95">Common_InputFunctions.Utility_DisplayArrayInTable(Common_SourceData.Common_SourceData_ClimateZones_Data(), Table_SourceData_ClimateZones[[#Headers],[Climate zone]], 0)</f>
        <v>999999</v>
      </c>
      <c r="P95" s="28" cm="1">
        <f t="array" ref="P95">Common_InputFunctions.Utility_DisplayArrayInTable(Common_SourceData.Common_SourceData_ClimateZones_Data(), Table_SourceData_ClimateZones[[#Headers],[Climate zone]], 0)</f>
        <v>-999999</v>
      </c>
      <c r="Q95" s="28" cm="1">
        <f t="array" ref="Q95">Common_InputFunctions.Utility_DisplayArrayInTable(Common_SourceData.Common_SourceData_ClimateZones_Data(), Table_SourceData_ClimateZones[[#Headers],[Climate zone]], 0)</f>
        <v>999999</v>
      </c>
      <c r="R95" s="28" cm="1">
        <f t="array" ref="R95">Common_InputFunctions.Utility_DisplayArrayInTable(Common_SourceData.Common_SourceData_ClimateZones_Data(), Table_SourceData_ClimateZones[[#Headers],[Climate zone]], 0)</f>
        <v>-999999</v>
      </c>
      <c r="S95" s="28" cm="1">
        <f t="array" ref="S95">Common_InputFunctions.Utility_DisplayArrayInTable(Common_SourceData.Common_SourceData_ClimateZones_Data(), Table_SourceData_ClimateZones[[#Headers],[Climate zone]], 0)</f>
        <v>1</v>
      </c>
      <c r="T95" s="28"/>
    </row>
    <row r="96" spans="4:20" ht="20.100000000000001" customHeight="1" x14ac:dyDescent="0.25">
      <c r="D96" s="28" t="str" cm="1">
        <f t="array" ref="D96">Common_InputFunctions.Utility_DisplayArrayInTable(Common_SourceData.Common_SourceData_ClimateZones_Data(), Table_SourceData_ClimateZones[[#Headers],[Climate zone]], 0)</f>
        <v>Cool temperate moist</v>
      </c>
      <c r="E96" s="28" t="str" cm="1">
        <f t="array" ref="E96">Common_InputFunctions.Utility_DisplayArrayInTable(Common_SourceData.Common_SourceData_ClimateZones_Data(), Table_SourceData_ClimateZones[[#Headers],[Climate zone]], 0)</f>
        <v>&gt; 0 C - ≤ 10 C</v>
      </c>
      <c r="F96" s="28" t="str" cm="1">
        <f t="array" ref="F96">Common_InputFunctions.Utility_DisplayArrayInTable(Common_SourceData.Common_SourceData_ClimateZones_Data(), Table_SourceData_ClimateZones[[#Headers],[Climate zone]], 0)</f>
        <v>Any</v>
      </c>
      <c r="G96" s="28" t="str" cm="1">
        <f t="array" ref="G96">Common_InputFunctions.Utility_DisplayArrayInTable(Common_SourceData.Common_SourceData_ClimateZones_Data(), Table_SourceData_ClimateZones[[#Headers],[Climate zone]], 0)</f>
        <v>Any</v>
      </c>
      <c r="H96" s="28" t="str" cm="1">
        <f t="array" ref="H96">Common_InputFunctions.Utility_DisplayArrayInTable(Common_SourceData.Common_SourceData_ClimateZones_Data(), Table_SourceData_ClimateZones[[#Headers],[Climate zone]], 0)</f>
        <v>Any</v>
      </c>
      <c r="I96" s="28" t="str" cm="1">
        <f t="array" ref="I96">Common_InputFunctions.Utility_DisplayArrayInTable(Common_SourceData.Common_SourceData_ClimateZones_Data(), Table_SourceData_ClimateZones[[#Headers],[Climate zone]], 0)</f>
        <v>&gt; 1</v>
      </c>
      <c r="J96" s="28" cm="1">
        <f t="array" ref="J96">Common_InputFunctions.Utility_DisplayArrayInTable(Common_SourceData.Common_SourceData_ClimateZones_Data(), Table_SourceData_ClimateZones[[#Headers],[Climate zone]], 0)</f>
        <v>-999999</v>
      </c>
      <c r="K96" s="28" cm="1">
        <f t="array" ref="K96">Common_InputFunctions.Utility_DisplayArrayInTable(Common_SourceData.Common_SourceData_ClimateZones_Data(), Table_SourceData_ClimateZones[[#Headers],[Climate zone]], 0)</f>
        <v>10</v>
      </c>
      <c r="L96" s="28" cm="1">
        <f t="array" ref="L96">Common_InputFunctions.Utility_DisplayArrayInTable(Common_SourceData.Common_SourceData_ClimateZones_Data(), Table_SourceData_ClimateZones[[#Headers],[Climate zone]], 0)</f>
        <v>-999999</v>
      </c>
      <c r="M96" s="28" cm="1">
        <f t="array" ref="M96">Common_InputFunctions.Utility_DisplayArrayInTable(Common_SourceData.Common_SourceData_ClimateZones_Data(), Table_SourceData_ClimateZones[[#Headers],[Climate zone]], 0)</f>
        <v>999999</v>
      </c>
      <c r="N96" s="28" cm="1">
        <f t="array" ref="N96">Common_InputFunctions.Utility_DisplayArrayInTable(Common_SourceData.Common_SourceData_ClimateZones_Data(), Table_SourceData_ClimateZones[[#Headers],[Climate zone]], 0)</f>
        <v>-999999</v>
      </c>
      <c r="O96" s="28" cm="1">
        <f t="array" ref="O96">Common_InputFunctions.Utility_DisplayArrayInTable(Common_SourceData.Common_SourceData_ClimateZones_Data(), Table_SourceData_ClimateZones[[#Headers],[Climate zone]], 0)</f>
        <v>999999</v>
      </c>
      <c r="P96" s="28" cm="1">
        <f t="array" ref="P96">Common_InputFunctions.Utility_DisplayArrayInTable(Common_SourceData.Common_SourceData_ClimateZones_Data(), Table_SourceData_ClimateZones[[#Headers],[Climate zone]], 0)</f>
        <v>-999999</v>
      </c>
      <c r="Q96" s="28" cm="1">
        <f t="array" ref="Q96">Common_InputFunctions.Utility_DisplayArrayInTable(Common_SourceData.Common_SourceData_ClimateZones_Data(), Table_SourceData_ClimateZones[[#Headers],[Climate zone]], 0)</f>
        <v>999999</v>
      </c>
      <c r="R96" s="28" cm="1">
        <f t="array" ref="R96">Common_InputFunctions.Utility_DisplayArrayInTable(Common_SourceData.Common_SourceData_ClimateZones_Data(), Table_SourceData_ClimateZones[[#Headers],[Climate zone]], 0)</f>
        <v>1.0009999999999999</v>
      </c>
      <c r="S96" s="28" cm="1">
        <f t="array" ref="S96">Common_InputFunctions.Utility_DisplayArrayInTable(Common_SourceData.Common_SourceData_ClimateZones_Data(), Table_SourceData_ClimateZones[[#Headers],[Climate zone]], 0)</f>
        <v>999999</v>
      </c>
      <c r="T96" s="28"/>
    </row>
    <row r="97" spans="4:20" ht="20.100000000000001" customHeight="1" x14ac:dyDescent="0.25">
      <c r="D97" s="28" t="str" cm="1">
        <f t="array" ref="D97">Common_InputFunctions.Utility_DisplayArrayInTable(Common_SourceData.Common_SourceData_ClimateZones_Data(), Table_SourceData_ClimateZones[[#Headers],[Climate zone]], 0)</f>
        <v>Cool temperate dry</v>
      </c>
      <c r="E97" s="28" t="str" cm="1">
        <f t="array" ref="E97">Common_InputFunctions.Utility_DisplayArrayInTable(Common_SourceData.Common_SourceData_ClimateZones_Data(), Table_SourceData_ClimateZones[[#Headers],[Climate zone]], 0)</f>
        <v>&gt; 0 C - ≤ 10 C</v>
      </c>
      <c r="F97" s="28" t="str" cm="1">
        <f t="array" ref="F97">Common_InputFunctions.Utility_DisplayArrayInTable(Common_SourceData.Common_SourceData_ClimateZones_Data(), Table_SourceData_ClimateZones[[#Headers],[Climate zone]], 0)</f>
        <v>Any</v>
      </c>
      <c r="G97" s="28" t="str" cm="1">
        <f t="array" ref="G97">Common_InputFunctions.Utility_DisplayArrayInTable(Common_SourceData.Common_SourceData_ClimateZones_Data(), Table_SourceData_ClimateZones[[#Headers],[Climate zone]], 0)</f>
        <v>Any</v>
      </c>
      <c r="H97" s="28" t="str" cm="1">
        <f t="array" ref="H97">Common_InputFunctions.Utility_DisplayArrayInTable(Common_SourceData.Common_SourceData_ClimateZones_Data(), Table_SourceData_ClimateZones[[#Headers],[Climate zone]], 0)</f>
        <v>Any</v>
      </c>
      <c r="I97" s="28" t="str" cm="1">
        <f t="array" ref="I97">Common_InputFunctions.Utility_DisplayArrayInTable(Common_SourceData.Common_SourceData_ClimateZones_Data(), Table_SourceData_ClimateZones[[#Headers],[Climate zone]], 0)</f>
        <v>≤ 1</v>
      </c>
      <c r="J97" s="28" cm="1">
        <f t="array" ref="J97">Common_InputFunctions.Utility_DisplayArrayInTable(Common_SourceData.Common_SourceData_ClimateZones_Data(), Table_SourceData_ClimateZones[[#Headers],[Climate zone]], 0)</f>
        <v>-999999</v>
      </c>
      <c r="K97" s="28" cm="1">
        <f t="array" ref="K97">Common_InputFunctions.Utility_DisplayArrayInTable(Common_SourceData.Common_SourceData_ClimateZones_Data(), Table_SourceData_ClimateZones[[#Headers],[Climate zone]], 0)</f>
        <v>10</v>
      </c>
      <c r="L97" s="28" cm="1">
        <f t="array" ref="L97">Common_InputFunctions.Utility_DisplayArrayInTable(Common_SourceData.Common_SourceData_ClimateZones_Data(), Table_SourceData_ClimateZones[[#Headers],[Climate zone]], 0)</f>
        <v>-999999</v>
      </c>
      <c r="M97" s="28" cm="1">
        <f t="array" ref="M97">Common_InputFunctions.Utility_DisplayArrayInTable(Common_SourceData.Common_SourceData_ClimateZones_Data(), Table_SourceData_ClimateZones[[#Headers],[Climate zone]], 0)</f>
        <v>999999</v>
      </c>
      <c r="N97" s="28" cm="1">
        <f t="array" ref="N97">Common_InputFunctions.Utility_DisplayArrayInTable(Common_SourceData.Common_SourceData_ClimateZones_Data(), Table_SourceData_ClimateZones[[#Headers],[Climate zone]], 0)</f>
        <v>-999999</v>
      </c>
      <c r="O97" s="28" cm="1">
        <f t="array" ref="O97">Common_InputFunctions.Utility_DisplayArrayInTable(Common_SourceData.Common_SourceData_ClimateZones_Data(), Table_SourceData_ClimateZones[[#Headers],[Climate zone]], 0)</f>
        <v>999999</v>
      </c>
      <c r="P97" s="28" cm="1">
        <f t="array" ref="P97">Common_InputFunctions.Utility_DisplayArrayInTable(Common_SourceData.Common_SourceData_ClimateZones_Data(), Table_SourceData_ClimateZones[[#Headers],[Climate zone]], 0)</f>
        <v>-999999</v>
      </c>
      <c r="Q97" s="28" cm="1">
        <f t="array" ref="Q97">Common_InputFunctions.Utility_DisplayArrayInTable(Common_SourceData.Common_SourceData_ClimateZones_Data(), Table_SourceData_ClimateZones[[#Headers],[Climate zone]], 0)</f>
        <v>999999</v>
      </c>
      <c r="R97" s="28" cm="1">
        <f t="array" ref="R97">Common_InputFunctions.Utility_DisplayArrayInTable(Common_SourceData.Common_SourceData_ClimateZones_Data(), Table_SourceData_ClimateZones[[#Headers],[Climate zone]], 0)</f>
        <v>-999999</v>
      </c>
      <c r="S97" s="28" cm="1">
        <f t="array" ref="S97">Common_InputFunctions.Utility_DisplayArrayInTable(Common_SourceData.Common_SourceData_ClimateZones_Data(), Table_SourceData_ClimateZones[[#Headers],[Climate zone]], 0)</f>
        <v>1</v>
      </c>
      <c r="T97" s="28"/>
    </row>
    <row r="98" spans="4:20" ht="20.100000000000001" customHeight="1" x14ac:dyDescent="0.25"/>
    <row r="99" spans="4:20" ht="20.100000000000001" customHeight="1" x14ac:dyDescent="0.25">
      <c r="D99" s="33" t="str" cm="1">
        <f t="array" ref="D99:D102">Common_SourceData.Common_SourceData_ClimateZones_Appendices()</f>
        <v>Note:</v>
      </c>
    </row>
    <row r="100" spans="4:20" ht="20.100000000000001" customHeight="1" x14ac:dyDescent="0.25">
      <c r="D100" s="33" t="str">
        <v>MAT = mean annual temperature</v>
      </c>
    </row>
    <row r="101" spans="4:20" ht="20.100000000000001" customHeight="1" x14ac:dyDescent="0.25">
      <c r="D101" s="33" t="str">
        <v>MAP = mean annual precipitation</v>
      </c>
    </row>
    <row r="102" spans="4:20" ht="20.100000000000001" customHeight="1" x14ac:dyDescent="0.25">
      <c r="D102" s="33" t="str">
        <v>PET = potential evapotranspiration</v>
      </c>
    </row>
    <row r="103" spans="4:20" ht="20.100000000000001" customHeight="1" x14ac:dyDescent="0.25">
      <c r="D103" s="3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8" t="s">
        <v>36</v>
      </c>
      <c r="E109" s="28" t="s">
        <v>19</v>
      </c>
      <c r="F109" s="28" t="s">
        <v>37</v>
      </c>
      <c r="G109" s="28" t="s">
        <v>38</v>
      </c>
    </row>
    <row r="110" spans="4:20" ht="20.100000000000001" customHeight="1" x14ac:dyDescent="0.25">
      <c r="D110" s="28" t="str" cm="1">
        <f t="array" ref="D110">Common_InputFunctions.Utility_DisplayArrayInTable(Common_SourceData.Common_SourceData_TemperatureZones_Data(),Table_SourceData_TemperatureZones[[#Headers],[Temperature Zone]],0)</f>
        <v>Warm</v>
      </c>
      <c r="E110" s="28" t="str" cm="1">
        <f t="array" ref="E110">Common_InputFunctions.Utility_DisplayArrayInTable(Common_SourceData.Common_SourceData_TemperatureZones_Data(),Table_SourceData_TemperatureZones[[#Headers],[Temperature Zone]],0)</f>
        <v>≥ 26 C</v>
      </c>
      <c r="F110" s="28" cm="1">
        <f t="array" ref="F110">Common_InputFunctions.Utility_DisplayArrayInTable(Common_SourceData.Common_SourceData_TemperatureZones_Data(),Table_SourceData_TemperatureZones[[#Headers],[Temperature Zone]],0)</f>
        <v>26</v>
      </c>
      <c r="G110" s="28" cm="1">
        <f t="array" ref="G110">Common_InputFunctions.Utility_DisplayArrayInTable(Common_SourceData.Common_SourceData_TemperatureZones_Data(),Table_SourceData_TemperatureZones[[#Headers],[Temperature Zone]],0)</f>
        <v>999999</v>
      </c>
    </row>
    <row r="111" spans="4:20" ht="20.100000000000001" customHeight="1" x14ac:dyDescent="0.25">
      <c r="D111" s="28" t="str" cm="1">
        <f t="array" ref="D111">Common_InputFunctions.Utility_DisplayArrayInTable(Common_SourceData.Common_SourceData_TemperatureZones_Data(),Table_SourceData_TemperatureZones[[#Headers],[Temperature Zone]],0)</f>
        <v>Temperate</v>
      </c>
      <c r="E111" s="28" t="str" cm="1">
        <f t="array" ref="E111">Common_InputFunctions.Utility_DisplayArrayInTable(Common_SourceData.Common_SourceData_TemperatureZones_Data(),Table_SourceData_TemperatureZones[[#Headers],[Temperature Zone]],0)</f>
        <v>15 - 25 C</v>
      </c>
      <c r="F111" s="28" cm="1">
        <f t="array" ref="F111">Common_InputFunctions.Utility_DisplayArrayInTable(Common_SourceData.Common_SourceData_TemperatureZones_Data(),Table_SourceData_TemperatureZones[[#Headers],[Temperature Zone]],0)</f>
        <v>15</v>
      </c>
      <c r="G111" s="28"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8" t="str" cm="1">
        <f t="array" ref="D112">Common_InputFunctions.Utility_DisplayArrayInTable(Common_SourceData.Common_SourceData_TemperatureZones_Data(),Table_SourceData_TemperatureZones[[#Headers],[Temperature Zone]],0)</f>
        <v>Cool</v>
      </c>
      <c r="E112" s="28" t="str" cm="1">
        <f t="array" ref="E112">Common_InputFunctions.Utility_DisplayArrayInTable(Common_SourceData.Common_SourceData_TemperatureZones_Data(),Table_SourceData_TemperatureZones[[#Headers],[Temperature Zone]],0)</f>
        <v>≤ 14 C</v>
      </c>
      <c r="F112" s="28" cm="1">
        <f t="array" ref="F112">Common_InputFunctions.Utility_DisplayArrayInTable(Common_SourceData.Common_SourceData_TemperatureZones_Data(),Table_SourceData_TemperatureZones[[#Headers],[Temperature Zone]],0)</f>
        <v>-999999</v>
      </c>
      <c r="G112" s="28"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8" t="s">
        <v>39</v>
      </c>
      <c r="E119" s="28" t="s">
        <v>40</v>
      </c>
      <c r="F119" s="28" t="s">
        <v>26</v>
      </c>
      <c r="G119" s="28" t="s">
        <v>27</v>
      </c>
      <c r="BN119" s="7"/>
    </row>
    <row r="120" spans="4:66" ht="20.100000000000001" customHeight="1" x14ac:dyDescent="0.25">
      <c r="D120" s="28" t="str" cm="1">
        <f t="array" ref="D120">Common_InputFunctions.Utility_DisplayArrayInTable(Common_SourceData.Common_SourceData_RainfallZones_Data(),Table_SourceData_RainfallZones[[#Headers],[Rainfall Zone]],0)</f>
        <v>High rainfall</v>
      </c>
      <c r="E120" s="28" t="str" cm="1">
        <f t="array" ref="E120">Common_InputFunctions.Utility_DisplayArrayInTable(Common_SourceData.Common_SourceData_RainfallZones_Data(),Table_SourceData_RainfallZones[[#Headers],[Rainfall Zone]],0)</f>
        <v>Annual rainfall &gt; 600mm</v>
      </c>
      <c r="F120" s="28" cm="1">
        <f t="array" ref="F120">Common_InputFunctions.Utility_DisplayArrayInTable(Common_SourceData.Common_SourceData_RainfallZones_Data(),Table_SourceData_RainfallZones[[#Headers],[Rainfall Zone]],0)</f>
        <v>600.00099999999998</v>
      </c>
      <c r="G120" s="28"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8" t="str" cm="1">
        <f t="array" ref="D121">Common_InputFunctions.Utility_DisplayArrayInTable(Common_SourceData.Common_SourceData_RainfallZones_Data(),Table_SourceData_RainfallZones[[#Headers],[Rainfall Zone]],0)</f>
        <v>Low rainfall</v>
      </c>
      <c r="E121" s="28" t="str" cm="1">
        <f t="array" ref="E121">Common_InputFunctions.Utility_DisplayArrayInTable(Common_SourceData.Common_SourceData_RainfallZones_Data(),Table_SourceData_RainfallZones[[#Headers],[Rainfall Zone]],0)</f>
        <v>Annual rainfall ≤ 600mm</v>
      </c>
      <c r="F121" s="28" cm="1">
        <f t="array" ref="F121">Common_InputFunctions.Utility_DisplayArrayInTable(Common_SourceData.Common_SourceData_RainfallZones_Data(),Table_SourceData_RainfallZones[[#Headers],[Rainfall Zone]],0)</f>
        <v>-999999</v>
      </c>
      <c r="G121" s="28"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8" t="s">
        <v>41</v>
      </c>
      <c r="E127" s="28" t="s">
        <v>42</v>
      </c>
    </row>
    <row r="128" spans="4:66" ht="20.100000000000001" customHeight="1" x14ac:dyDescent="0.25">
      <c r="D128" s="28" t="str" cm="1">
        <f t="array" ref="D128">Common_InputFunctions.Utility_DisplayArrayInTable(Common_SourceData.Common_SourceData_LeachingZones_Data(), Table_SourceData_LeachingZones[[#Headers],[Leaching Zone]], 0)</f>
        <v>Leaching occurs</v>
      </c>
      <c r="E128" s="2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8" t="str" cm="1">
        <f t="array" ref="D129">Common_InputFunctions.Utility_DisplayArrayInTable(Common_SourceData.Common_SourceData_LeachingZones_Data(), Table_SourceData_LeachingZones[[#Headers],[Leaching Zone]], 0)</f>
        <v>Leaching does not occur</v>
      </c>
      <c r="E129" s="2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8"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8" t="s">
        <v>58</v>
      </c>
      <c r="E142" s="28" t="s">
        <v>48</v>
      </c>
      <c r="BN142" s="7"/>
    </row>
    <row r="143" spans="4:77" ht="20.100000000000001" customHeight="1" x14ac:dyDescent="0.25">
      <c r="D143" s="28" t="str" cm="1">
        <f t="array" ref="D143">Common_InputFunctions.Utility_DisplayArrayInTable(Common_SourceData.Common_SourceData_FracWETIrrigation_Data(), Table_SourceData_FracWETIrrigation[[#Headers],[Irrigation type i]], 0)</f>
        <v>Not irrigated</v>
      </c>
      <c r="E143" s="28"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8"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8"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8"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8"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8" t="s">
        <v>43</v>
      </c>
      <c r="E153" s="28" t="s">
        <v>44</v>
      </c>
      <c r="BC153" s="3"/>
      <c r="BD153" s="3"/>
      <c r="BE153" s="3"/>
      <c r="BF153" s="3"/>
      <c r="BG153" s="3"/>
      <c r="BH153" s="3"/>
      <c r="BI153" s="3"/>
      <c r="BJ153" s="3"/>
      <c r="BK153" s="3"/>
      <c r="BL153" s="3"/>
      <c r="BM153" s="3"/>
    </row>
    <row r="154" spans="4:66" ht="20.100000000000001" customHeight="1" x14ac:dyDescent="0.25">
      <c r="D154" s="28" t="str" cm="1">
        <f t="array" ref="D154">Common_InputFunctions.Utility_DisplayArrayInTable(Common_SourceData.Common_SourceData_DataScores_Scope3_Data(), Table_SourceData_DataScores_Scope3[[#Headers],[Data source]], 0)</f>
        <v>International scope 3 database</v>
      </c>
      <c r="E154" s="2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8" t="str" cm="1">
        <f t="array" ref="D155">Common_InputFunctions.Utility_DisplayArrayInTable(Common_SourceData.Common_SourceData_DataScores_Scope3_Data(), Table_SourceData_DataScores_Scope3[[#Headers],[Data source]], 0)</f>
        <v>Australian scope 3 database</v>
      </c>
      <c r="E155" s="2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8" t="str" cm="1">
        <f t="array" ref="D156">Common_InputFunctions.Utility_DisplayArrayInTable(Common_SourceData.Common_SourceData_DataScores_Scope3_Data(), Table_SourceData_DataScores_Scope3[[#Headers],[Data source]], 0)</f>
        <v>State or regional scope 3 database</v>
      </c>
      <c r="E156" s="28" cm="1">
        <f t="array" ref="E156">Common_InputFunctions.Utility_DisplayArrayInTable(Common_SourceData.Common_SourceData_DataScores_Scope3_Data(), Table_SourceData_DataScores_Scope3[[#Headers],[Data source]], 0)</f>
        <v>3</v>
      </c>
    </row>
    <row r="157" spans="4:66" ht="20.100000000000001" customHeight="1" x14ac:dyDescent="0.25">
      <c r="D157" s="28" t="str" cm="1">
        <f t="array" ref="D157">Common_InputFunctions.Utility_DisplayArrayInTable(Common_SourceData.Common_SourceData_DataScores_Scope3_Data(), Table_SourceData_DataScores_Scope3[[#Headers],[Data source]], 0)</f>
        <v>Emissions intensity calculated from approved method</v>
      </c>
      <c r="E157" s="28" cm="1">
        <f t="array" ref="E157">Common_InputFunctions.Utility_DisplayArrayInTable(Common_SourceData.Common_SourceData_DataScores_Scope3_Data(), Table_SourceData_DataScores_Scope3[[#Headers],[Data source]], 0)</f>
        <v>4</v>
      </c>
    </row>
    <row r="158" spans="4:66" ht="20.100000000000001" customHeight="1" x14ac:dyDescent="0.25">
      <c r="D158" s="28" t="str" cm="1">
        <f t="array" ref="D158">Common_InputFunctions.Utility_DisplayArrayInTable(Common_SourceData.Common_SourceData_DataScores_Scope3_Data(), Table_SourceData_DataScores_Scope3[[#Headers],[Data source]], 0)</f>
        <v>Verified credential matching ISO14067</v>
      </c>
      <c r="E158" s="28"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3" t="str" cm="1">
        <f t="array" ref="D180">Common_SourceData.Common_SourceData_EFN2O_Unit()</f>
        <v>(kg N2O-N / kg N</v>
      </c>
    </row>
    <row r="181" spans="4:68" ht="20.100000000000001" customHeight="1" x14ac:dyDescent="0.25">
      <c r="D181" s="34" t="str" cm="1">
        <f t="array" ref="D181:D185">Common_SourceData.Common_SourceData_EFN2O_Variation()</f>
        <v>VARIATION OF SOURCE DATA:</v>
      </c>
    </row>
    <row r="182" spans="4:68" ht="20.100000000000001" customHeight="1" x14ac:dyDescent="0.25">
      <c r="D182" s="34" t="str">
        <v>Removed duplicate 'Aquaculture' row.</v>
      </c>
    </row>
    <row r="183" spans="4:68" ht="20.100000000000001" customHeight="1" x14ac:dyDescent="0.25">
      <c r="D183" s="34" t="str">
        <v>Removed asterisks to aid lookup.</v>
      </c>
    </row>
    <row r="184" spans="4:68" ht="20.100000000000001" customHeight="1" x14ac:dyDescent="0.25">
      <c r="D184" s="34" t="str">
        <v>Added 'production system only', 'rainfall zone' and 'irrigation method' columns to aid lookup.</v>
      </c>
    </row>
    <row r="185" spans="4:68" ht="20.100000000000001" customHeight="1" x14ac:dyDescent="0.25">
      <c r="D185" s="34" t="str">
        <v>Duplicated 'non-irrigated pasture' row with same EF for low and high rainfall zones to aid lookup.</v>
      </c>
    </row>
    <row r="186" spans="4:68" ht="20.100000000000001" customHeight="1" x14ac:dyDescent="0.25">
      <c r="D186" s="28" t="s">
        <v>51</v>
      </c>
      <c r="E186" s="28" t="s">
        <v>52</v>
      </c>
      <c r="F186" s="28" t="s">
        <v>53</v>
      </c>
      <c r="G186" s="28" t="s">
        <v>54</v>
      </c>
      <c r="H186" s="28" t="s">
        <v>18</v>
      </c>
    </row>
    <row r="187" spans="4:68" ht="20.100000000000001" customHeight="1" x14ac:dyDescent="0.25">
      <c r="D187" s="28" t="str" cm="1">
        <f t="array" ref="D187">Common_InputFunctions.Utility_DisplayArrayInTable(Common_SourceData.Common_SourceData_EFN2O_Data(), Table_SourceData_Common_EFN2O[[#Headers],[Production system j]], 0)</f>
        <v>Irrigated pasture</v>
      </c>
      <c r="E187" s="28" cm="1">
        <f t="array" ref="E187">Common_InputFunctions.Utility_DisplayArrayInTable(Common_SourceData.Common_SourceData_EFN2O_Data(), Table_SourceData_Common_EFN2O[[#Headers],[Production system j]], 0)</f>
        <v>5.8999999999999999E-3</v>
      </c>
      <c r="F187" s="28" t="str" cm="1">
        <f t="array" ref="F187">Common_InputFunctions.Utility_DisplayArrayInTable(Common_SourceData.Common_SourceData_EFN2O_Data(), Table_SourceData_Common_EFN2O[[#Headers],[Production system j]], 0)</f>
        <v>Pasture</v>
      </c>
      <c r="G187" s="28" t="str" cm="1">
        <f t="array" ref="G187">Common_InputFunctions.Utility_DisplayArrayInTable(Common_SourceData.Common_SourceData_EFN2O_Data(), Table_SourceData_Common_EFN2O[[#Headers],[Production system j]], 0)</f>
        <v>Any</v>
      </c>
      <c r="H187" s="28" t="str" cm="1">
        <f t="array" ref="H187">Common_InputFunctions.Utility_DisplayArrayInTable(Common_SourceData.Common_SourceData_EFN2O_Data(), Table_SourceData_Common_EFN2O[[#Headers],[Production system j]], 0)</f>
        <v>Any</v>
      </c>
    </row>
    <row r="188" spans="4:68" ht="20.100000000000001" customHeight="1" x14ac:dyDescent="0.25">
      <c r="D188" s="28" t="str" cm="1">
        <f t="array" ref="D188">Common_InputFunctions.Utility_DisplayArrayInTable(Common_SourceData.Common_SourceData_EFN2O_Data(), Table_SourceData_Common_EFN2O[[#Headers],[Production system j]], 0)</f>
        <v>Irrigated crop</v>
      </c>
      <c r="E188" s="28" cm="1">
        <f t="array" ref="E188">Common_InputFunctions.Utility_DisplayArrayInTable(Common_SourceData.Common_SourceData_EFN2O_Data(), Table_SourceData_Common_EFN2O[[#Headers],[Production system j]], 0)</f>
        <v>7.0000000000000001E-3</v>
      </c>
      <c r="F188" s="28" t="str" cm="1">
        <f t="array" ref="F188">Common_InputFunctions.Utility_DisplayArrayInTable(Common_SourceData.Common_SourceData_EFN2O_Data(), Table_SourceData_Common_EFN2O[[#Headers],[Production system j]], 0)</f>
        <v>Crop</v>
      </c>
      <c r="G188" s="28" t="str" cm="1">
        <f t="array" ref="G188">Common_InputFunctions.Utility_DisplayArrayInTable(Common_SourceData.Common_SourceData_EFN2O_Data(), Table_SourceData_Common_EFN2O[[#Headers],[Production system j]], 0)</f>
        <v>Any</v>
      </c>
      <c r="H188" s="28" t="str" cm="1">
        <f t="array" ref="H188">Common_InputFunctions.Utility_DisplayArrayInTable(Common_SourceData.Common_SourceData_EFN2O_Data(), Table_SourceData_Common_EFN2O[[#Headers],[Production system j]], 0)</f>
        <v>Any</v>
      </c>
    </row>
    <row r="189" spans="4:68" ht="20.100000000000001" customHeight="1" x14ac:dyDescent="0.25">
      <c r="D189" s="28" t="str" cm="1">
        <f t="array" ref="D189">Common_InputFunctions.Utility_DisplayArrayInTable(Common_SourceData.Common_SourceData_EFN2O_Data(), Table_SourceData_Common_EFN2O[[#Headers],[Production system j]], 0)</f>
        <v>Non-irrigated pasture</v>
      </c>
      <c r="E189" s="28" cm="1">
        <f t="array" ref="E189">Common_InputFunctions.Utility_DisplayArrayInTable(Common_SourceData.Common_SourceData_EFN2O_Data(), Table_SourceData_Common_EFN2O[[#Headers],[Production system j]], 0)</f>
        <v>1.8E-3</v>
      </c>
      <c r="F189" s="28" t="str" cm="1">
        <f t="array" ref="F189">Common_InputFunctions.Utility_DisplayArrayInTable(Common_SourceData.Common_SourceData_EFN2O_Data(), Table_SourceData_Common_EFN2O[[#Headers],[Production system j]], 0)</f>
        <v>Pasture</v>
      </c>
      <c r="G189" s="28" t="str" cm="1">
        <f t="array" ref="G189">Common_InputFunctions.Utility_DisplayArrayInTable(Common_SourceData.Common_SourceData_EFN2O_Data(), Table_SourceData_Common_EFN2O[[#Headers],[Production system j]], 0)</f>
        <v>Not irrigated</v>
      </c>
      <c r="H189" s="2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8" t="str" cm="1">
        <f t="array" ref="D190">Common_InputFunctions.Utility_DisplayArrayInTable(Common_SourceData.Common_SourceData_EFN2O_Data(), Table_SourceData_Common_EFN2O[[#Headers],[Production system j]], 0)</f>
        <v>Non-irrigated pasture</v>
      </c>
      <c r="E190" s="28" cm="1">
        <f t="array" ref="E190">Common_InputFunctions.Utility_DisplayArrayInTable(Common_SourceData.Common_SourceData_EFN2O_Data(), Table_SourceData_Common_EFN2O[[#Headers],[Production system j]], 0)</f>
        <v>1.8E-3</v>
      </c>
      <c r="F190" s="28" t="str" cm="1">
        <f t="array" ref="F190">Common_InputFunctions.Utility_DisplayArrayInTable(Common_SourceData.Common_SourceData_EFN2O_Data(), Table_SourceData_Common_EFN2O[[#Headers],[Production system j]], 0)</f>
        <v>Pasture</v>
      </c>
      <c r="G190" s="28" t="str" cm="1">
        <f t="array" ref="G190">Common_InputFunctions.Utility_DisplayArrayInTable(Common_SourceData.Common_SourceData_EFN2O_Data(), Table_SourceData_Common_EFN2O[[#Headers],[Production system j]], 0)</f>
        <v>Not irrigated</v>
      </c>
      <c r="H190" s="2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8" t="str" cm="1">
        <f t="array" ref="D191">Common_InputFunctions.Utility_DisplayArrayInTable(Common_SourceData.Common_SourceData_EFN2O_Data(), Table_SourceData_Common_EFN2O[[#Headers],[Production system j]], 0)</f>
        <v>Non-irrigated crop (low rainfall)</v>
      </c>
      <c r="E191" s="28" cm="1">
        <f t="array" ref="E191">Common_InputFunctions.Utility_DisplayArrayInTable(Common_SourceData.Common_SourceData_EFN2O_Data(), Table_SourceData_Common_EFN2O[[#Headers],[Production system j]], 0)</f>
        <v>2.8999999999999998E-3</v>
      </c>
      <c r="F191" s="28" t="str" cm="1">
        <f t="array" ref="F191">Common_InputFunctions.Utility_DisplayArrayInTable(Common_SourceData.Common_SourceData_EFN2O_Data(), Table_SourceData_Common_EFN2O[[#Headers],[Production system j]], 0)</f>
        <v>Crop</v>
      </c>
      <c r="G191" s="28" t="str" cm="1">
        <f t="array" ref="G191">Common_InputFunctions.Utility_DisplayArrayInTable(Common_SourceData.Common_SourceData_EFN2O_Data(), Table_SourceData_Common_EFN2O[[#Headers],[Production system j]], 0)</f>
        <v>Not irrigated</v>
      </c>
      <c r="H191" s="2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8" t="str" cm="1">
        <f t="array" ref="D192">Common_InputFunctions.Utility_DisplayArrayInTable(Common_SourceData.Common_SourceData_EFN2O_Data(), Table_SourceData_Common_EFN2O[[#Headers],[Production system j]], 0)</f>
        <v>Non-irrigated crop (high rainfall)</v>
      </c>
      <c r="E192" s="28" cm="1">
        <f t="array" ref="E192">Common_InputFunctions.Utility_DisplayArrayInTable(Common_SourceData.Common_SourceData_EFN2O_Data(), Table_SourceData_Common_EFN2O[[#Headers],[Production system j]], 0)</f>
        <v>8.0000000000000002E-3</v>
      </c>
      <c r="F192" s="28" t="str" cm="1">
        <f t="array" ref="F192">Common_InputFunctions.Utility_DisplayArrayInTable(Common_SourceData.Common_SourceData_EFN2O_Data(), Table_SourceData_Common_EFN2O[[#Headers],[Production system j]], 0)</f>
        <v>Crop</v>
      </c>
      <c r="G192" s="28" t="str" cm="1">
        <f t="array" ref="G192">Common_InputFunctions.Utility_DisplayArrayInTable(Common_SourceData.Common_SourceData_EFN2O_Data(), Table_SourceData_Common_EFN2O[[#Headers],[Production system j]], 0)</f>
        <v>Not irrigated</v>
      </c>
      <c r="H192" s="2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8" t="str" cm="1">
        <f t="array" ref="D193">Common_InputFunctions.Utility_DisplayArrayInTable(Common_SourceData.Common_SourceData_EFN2O_Data(), Table_SourceData_Common_EFN2O[[#Headers],[Production system j]], 0)</f>
        <v>Sugar</v>
      </c>
      <c r="E193" s="28" cm="1">
        <f t="array" ref="E193">Common_InputFunctions.Utility_DisplayArrayInTable(Common_SourceData.Common_SourceData_EFN2O_Data(), Table_SourceData_Common_EFN2O[[#Headers],[Production system j]], 0)</f>
        <v>1.9900000000000001E-2</v>
      </c>
      <c r="F193" s="28" t="str" cm="1">
        <f t="array" ref="F193">Common_InputFunctions.Utility_DisplayArrayInTable(Common_SourceData.Common_SourceData_EFN2O_Data(), Table_SourceData_Common_EFN2O[[#Headers],[Production system j]], 0)</f>
        <v>Sugar</v>
      </c>
      <c r="G193" s="28" t="str" cm="1">
        <f t="array" ref="G193">Common_InputFunctions.Utility_DisplayArrayInTable(Common_SourceData.Common_SourceData_EFN2O_Data(), Table_SourceData_Common_EFN2O[[#Headers],[Production system j]], 0)</f>
        <v>Any</v>
      </c>
      <c r="H193" s="28" t="str" cm="1">
        <f t="array" ref="H193">Common_InputFunctions.Utility_DisplayArrayInTable(Common_SourceData.Common_SourceData_EFN2O_Data(), Table_SourceData_Common_EFN2O[[#Headers],[Production system j]], 0)</f>
        <v>Any</v>
      </c>
    </row>
    <row r="194" spans="4:8" ht="20.100000000000001" customHeight="1" x14ac:dyDescent="0.25">
      <c r="D194" s="28" t="str" cm="1">
        <f t="array" ref="D194">Common_InputFunctions.Utility_DisplayArrayInTable(Common_SourceData.Common_SourceData_EFN2O_Data(), Table_SourceData_Common_EFN2O[[#Headers],[Production system j]], 0)</f>
        <v>Cotton</v>
      </c>
      <c r="E194" s="28" cm="1">
        <f t="array" ref="E194">Common_InputFunctions.Utility_DisplayArrayInTable(Common_SourceData.Common_SourceData_EFN2O_Data(), Table_SourceData_Common_EFN2O[[#Headers],[Production system j]], 0)</f>
        <v>5.3E-3</v>
      </c>
      <c r="F194" s="28" t="str" cm="1">
        <f t="array" ref="F194">Common_InputFunctions.Utility_DisplayArrayInTable(Common_SourceData.Common_SourceData_EFN2O_Data(), Table_SourceData_Common_EFN2O[[#Headers],[Production system j]], 0)</f>
        <v>Cotton</v>
      </c>
      <c r="G194" s="28" t="str" cm="1">
        <f t="array" ref="G194">Common_InputFunctions.Utility_DisplayArrayInTable(Common_SourceData.Common_SourceData_EFN2O_Data(), Table_SourceData_Common_EFN2O[[#Headers],[Production system j]], 0)</f>
        <v>Any</v>
      </c>
      <c r="H194" s="28" t="str" cm="1">
        <f t="array" ref="H194">Common_InputFunctions.Utility_DisplayArrayInTable(Common_SourceData.Common_SourceData_EFN2O_Data(), Table_SourceData_Common_EFN2O[[#Headers],[Production system j]], 0)</f>
        <v>Any</v>
      </c>
    </row>
    <row r="195" spans="4:8" ht="20.100000000000001" customHeight="1" x14ac:dyDescent="0.25">
      <c r="D195" s="28" t="str" cm="1">
        <f t="array" ref="D195">Common_InputFunctions.Utility_DisplayArrayInTable(Common_SourceData.Common_SourceData_EFN2O_Data(), Table_SourceData_Common_EFN2O[[#Headers],[Production system j]], 0)</f>
        <v>Horticultural crops</v>
      </c>
      <c r="E195" s="28" cm="1">
        <f t="array" ref="E195">Common_InputFunctions.Utility_DisplayArrayInTable(Common_SourceData.Common_SourceData_EFN2O_Data(), Table_SourceData_Common_EFN2O[[#Headers],[Production system j]], 0)</f>
        <v>6.4000000000000003E-3</v>
      </c>
      <c r="F195" s="28" t="str" cm="1">
        <f t="array" ref="F195">Common_InputFunctions.Utility_DisplayArrayInTable(Common_SourceData.Common_SourceData_EFN2O_Data(), Table_SourceData_Common_EFN2O[[#Headers],[Production system j]], 0)</f>
        <v>Horticultural crops</v>
      </c>
      <c r="G195" s="28" t="str" cm="1">
        <f t="array" ref="G195">Common_InputFunctions.Utility_DisplayArrayInTable(Common_SourceData.Common_SourceData_EFN2O_Data(), Table_SourceData_Common_EFN2O[[#Headers],[Production system j]], 0)</f>
        <v>Any</v>
      </c>
      <c r="H195" s="28" t="str" cm="1">
        <f t="array" ref="H195">Common_InputFunctions.Utility_DisplayArrayInTable(Common_SourceData.Common_SourceData_EFN2O_Data(), Table_SourceData_Common_EFN2O[[#Headers],[Production system j]], 0)</f>
        <v>Any</v>
      </c>
    </row>
    <row r="196" spans="4:8" ht="20.100000000000001" customHeight="1" x14ac:dyDescent="0.25">
      <c r="D196" s="28" t="str" cm="1">
        <f t="array" ref="D196">Common_InputFunctions.Utility_DisplayArrayInTable(Common_SourceData.Common_SourceData_EFN2O_Data(), Table_SourceData_Common_EFN2O[[#Headers],[Production system j]], 0)</f>
        <v>Rice (continuous flooding)</v>
      </c>
      <c r="E196" s="28" cm="1">
        <f t="array" ref="E196">Common_InputFunctions.Utility_DisplayArrayInTable(Common_SourceData.Common_SourceData_EFN2O_Data(), Table_SourceData_Common_EFN2O[[#Headers],[Production system j]], 0)</f>
        <v>3.0000000000000001E-3</v>
      </c>
      <c r="F196" s="28" t="str" cm="1">
        <f t="array" ref="F196">Common_InputFunctions.Utility_DisplayArrayInTable(Common_SourceData.Common_SourceData_EFN2O_Data(), Table_SourceData_Common_EFN2O[[#Headers],[Production system j]], 0)</f>
        <v>Rice</v>
      </c>
      <c r="G196" s="28" t="str" cm="1">
        <f t="array" ref="G196">Common_InputFunctions.Utility_DisplayArrayInTable(Common_SourceData.Common_SourceData_EFN2O_Data(), Table_SourceData_Common_EFN2O[[#Headers],[Production system j]], 0)</f>
        <v>Continuous flooding</v>
      </c>
      <c r="H196" s="28" t="str" cm="1">
        <f t="array" ref="H196">Common_InputFunctions.Utility_DisplayArrayInTable(Common_SourceData.Common_SourceData_EFN2O_Data(), Table_SourceData_Common_EFN2O[[#Headers],[Production system j]], 0)</f>
        <v>Any</v>
      </c>
    </row>
    <row r="197" spans="4:8" x14ac:dyDescent="0.25">
      <c r="D197" s="28" t="str" cm="1">
        <f t="array" ref="D197">Common_InputFunctions.Utility_DisplayArrayInTable(Common_SourceData.Common_SourceData_EFN2O_Data(), Table_SourceData_Common_EFN2O[[#Headers],[Production system j]], 0)</f>
        <v>Rice (single and multiple drainage, or alternate wetting and drying)</v>
      </c>
      <c r="E197" s="28" cm="1">
        <f t="array" ref="E197">Common_InputFunctions.Utility_DisplayArrayInTable(Common_SourceData.Common_SourceData_EFN2O_Data(), Table_SourceData_Common_EFN2O[[#Headers],[Production system j]], 0)</f>
        <v>5.0000000000000001E-3</v>
      </c>
      <c r="F197" s="28" t="str" cm="1">
        <f t="array" ref="F197">Common_InputFunctions.Utility_DisplayArrayInTable(Common_SourceData.Common_SourceData_EFN2O_Data(), Table_SourceData_Common_EFN2O[[#Headers],[Production system j]], 0)</f>
        <v>Rice</v>
      </c>
      <c r="G197" s="28" t="str" cm="1">
        <f t="array" ref="G197">Common_InputFunctions.Utility_DisplayArrayInTable(Common_SourceData.Common_SourceData_EFN2O_Data(), Table_SourceData_Common_EFN2O[[#Headers],[Production system j]], 0)</f>
        <v>Single and multiple drainage, or alternate wetting and drying</v>
      </c>
      <c r="H197" s="28" t="str" cm="1">
        <f t="array" ref="H197">Common_InputFunctions.Utility_DisplayArrayInTable(Common_SourceData.Common_SourceData_EFN2O_Data(), Table_SourceData_Common_EFN2O[[#Headers],[Production system j]], 0)</f>
        <v>Any</v>
      </c>
    </row>
    <row r="198" spans="4:8" x14ac:dyDescent="0.25">
      <c r="D198" s="28" t="str" cm="1">
        <f t="array" ref="D198">Common_InputFunctions.Utility_DisplayArrayInTable(Common_SourceData.Common_SourceData_EFN2O_Data(), Table_SourceData_Common_EFN2O[[#Headers],[Production system j]], 0)</f>
        <v>Aquaculture</v>
      </c>
      <c r="E198" s="28" cm="1">
        <f t="array" ref="E198">Common_InputFunctions.Utility_DisplayArrayInTable(Common_SourceData.Common_SourceData_EFN2O_Data(), Table_SourceData_Common_EFN2O[[#Headers],[Production system j]], 0)</f>
        <v>2.5999999999999999E-3</v>
      </c>
      <c r="F198" s="28" t="str" cm="1">
        <f t="array" ref="F198">Common_InputFunctions.Utility_DisplayArrayInTable(Common_SourceData.Common_SourceData_EFN2O_Data(), Table_SourceData_Common_EFN2O[[#Headers],[Production system j]], 0)</f>
        <v>Aquaculture</v>
      </c>
      <c r="G198" s="28" t="str" cm="1">
        <f t="array" ref="G198">Common_InputFunctions.Utility_DisplayArrayInTable(Common_SourceData.Common_SourceData_EFN2O_Data(), Table_SourceData_Common_EFN2O[[#Headers],[Production system j]], 0)</f>
        <v>Any</v>
      </c>
      <c r="H198" s="28" t="str" cm="1">
        <f t="array" ref="H198">Common_InputFunctions.Utility_DisplayArrayInTable(Common_SourceData.Common_SourceData_EFN2O_Data(), Table_SourceData_Common_EFN2O[[#Headers],[Production system j]], 0)</f>
        <v>Any</v>
      </c>
    </row>
    <row r="199" spans="4:8" x14ac:dyDescent="0.25">
      <c r="D199" s="28" t="str" cm="1">
        <f t="array" ref="D199">Common_InputFunctions.Utility_DisplayArrayInTable(Common_SourceData.Common_SourceData_EFN2O_Data(), Table_SourceData_Common_EFN2O[[#Headers],[Production system j]], 0)</f>
        <v>Forestry</v>
      </c>
      <c r="E199" s="28" cm="1">
        <f t="array" ref="E199">Common_InputFunctions.Utility_DisplayArrayInTable(Common_SourceData.Common_SourceData_EFN2O_Data(), Table_SourceData_Common_EFN2O[[#Headers],[Production system j]], 0)</f>
        <v>1.8E-3</v>
      </c>
      <c r="F199" s="28" t="str" cm="1">
        <f t="array" ref="F199">Common_InputFunctions.Utility_DisplayArrayInTable(Common_SourceData.Common_SourceData_EFN2O_Data(), Table_SourceData_Common_EFN2O[[#Headers],[Production system j]], 0)</f>
        <v>Forestry</v>
      </c>
      <c r="G199" s="28" t="str" cm="1">
        <f t="array" ref="G199">Common_InputFunctions.Utility_DisplayArrayInTable(Common_SourceData.Common_SourceData_EFN2O_Data(), Table_SourceData_Common_EFN2O[[#Headers],[Production system j]], 0)</f>
        <v>Any</v>
      </c>
      <c r="H199" s="2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4" t="str" cm="1">
        <f t="array" ref="D204">Common_SourceData.Common_SourceData_EFPastureRangeAndPaddock_Variation()</f>
        <v>VARIATION FROM SOURCE DATA: Changed 'Dry climate zones' to singular 'Dry climate zone' to aid lookup.</v>
      </c>
    </row>
    <row r="205" spans="4:8" x14ac:dyDescent="0.25">
      <c r="D205" s="33" t="str" cm="1">
        <f t="array" ref="D205">Common_SourceData.Common_SourceData_EFPastureRangeAndPaddock_Unit()</f>
        <v>kg N2O - N / kg N</v>
      </c>
    </row>
    <row r="206" spans="4:8" x14ac:dyDescent="0.25">
      <c r="D206" s="28" t="s">
        <v>4</v>
      </c>
      <c r="E206" s="28" t="s">
        <v>60</v>
      </c>
    </row>
    <row r="207" spans="4:8" x14ac:dyDescent="0.25">
      <c r="D207" s="28" t="str" cm="1">
        <f t="array" ref="D207">Common_InputFunctions.Utility_DisplayArrayInTable(Common_SourceData.Common_SourceData_EFPastureRangeAndPaddock_Data(), Table_SourceData_EFPastureRangeAndPaddock[[#Headers],[Climate zone]], 0)</f>
        <v>Wet climate zone</v>
      </c>
      <c r="E207" s="2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8" t="s">
        <v>57</v>
      </c>
      <c r="E212" s="28" t="s">
        <v>63</v>
      </c>
    </row>
    <row r="213" spans="4:5" x14ac:dyDescent="0.25">
      <c r="D213" s="28" t="str" cm="1">
        <f t="array" ref="D213">Common_InputFunctions.Utility_DisplayArrayInTable(Common_SourceData.Common_SourceData_MonthsToSeasons_Data(), Table_SourceData_Common_MonthToSeason[[#Headers],[Month]], 0)</f>
        <v>January</v>
      </c>
      <c r="E213" s="2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8" t="s">
        <v>35</v>
      </c>
      <c r="E231" s="28" t="s">
        <v>71</v>
      </c>
      <c r="F231" s="27" t="s">
        <v>72</v>
      </c>
      <c r="G231" s="28" t="s">
        <v>67</v>
      </c>
      <c r="H231" s="28" t="s">
        <v>73</v>
      </c>
      <c r="I231" s="28" t="s">
        <v>74</v>
      </c>
      <c r="J231" s="28" t="s">
        <v>66</v>
      </c>
      <c r="K231" s="28" t="s">
        <v>65</v>
      </c>
      <c r="L231" s="28" t="s">
        <v>75</v>
      </c>
      <c r="M231" s="28" t="s">
        <v>76</v>
      </c>
      <c r="N231" s="28" t="s">
        <v>64</v>
      </c>
      <c r="O231" s="28" t="s">
        <v>77</v>
      </c>
      <c r="P231" s="28" t="s">
        <v>69</v>
      </c>
      <c r="Q231" s="28" t="s">
        <v>70</v>
      </c>
      <c r="R231" s="28" t="s">
        <v>68</v>
      </c>
      <c r="S231" s="28" t="s">
        <v>78</v>
      </c>
    </row>
    <row r="232" spans="4:19" x14ac:dyDescent="0.25">
      <c r="D232" s="28" t="str" cm="1">
        <f t="array" ref="D232">Common_InputFunctions.Utility_DisplayArrayInTable(Common_SourceData.Common_SourceData_MCFTemperatureZone_Data(),Table_SourceData_Common_MCFTemperatureZone[[#Headers],[Temperature zone]],0)</f>
        <v>Cool</v>
      </c>
      <c r="E232" s="28" t="str" cm="1">
        <f t="array" ref="E232">Common_InputFunctions.Utility_DisplayArrayInTable(Common_SourceData.Common_SourceData_MCFTemperatureZone_Data(),Table_SourceData_Common_MCFTemperatureZone[[#Headers],[Temperature zone]],0)</f>
        <v>≤10</v>
      </c>
      <c r="F232" s="28" cm="1">
        <f t="array" ref="F232">Common_InputFunctions.Utility_DisplayArrayInTable(Common_SourceData.Common_SourceData_MCFTemperatureZone_Data(),Table_SourceData_Common_MCFTemperatureZone[[#Headers],[Temperature zone]],0)</f>
        <v>0.66</v>
      </c>
      <c r="G232" s="28" cm="1">
        <f t="array" ref="G232">Common_InputFunctions.Utility_DisplayArrayInTable(Common_SourceData.Common_SourceData_MCFTemperatureZone_Data(),Table_SourceData_Common_MCFTemperatureZone[[#Headers],[Temperature zone]],0)</f>
        <v>0.1</v>
      </c>
      <c r="H232" s="28" cm="1">
        <f t="array" ref="H232">Common_InputFunctions.Utility_DisplayArrayInTable(Common_SourceData.Common_SourceData_MCFTemperatureZone_Data(),Table_SourceData_Common_MCFTemperatureZone[[#Headers],[Temperature zone]],0)</f>
        <v>0.1</v>
      </c>
      <c r="I232" s="28" cm="1">
        <f t="array" ref="I232">Common_InputFunctions.Utility_DisplayArrayInTable(Common_SourceData.Common_SourceData_MCFTemperatureZone_Data(),Table_SourceData_Common_MCFTemperatureZone[[#Headers],[Temperature zone]],0)</f>
        <v>1E-3</v>
      </c>
      <c r="J232" s="28" cm="1">
        <f t="array" ref="J232">Common_InputFunctions.Utility_DisplayArrayInTable(Common_SourceData.Common_SourceData_MCFTemperatureZone_Data(),Table_SourceData_Common_MCFTemperatureZone[[#Headers],[Temperature zone]],0)</f>
        <v>5.0000000000000001E-3</v>
      </c>
      <c r="K232" s="28" cm="1">
        <f t="array" ref="K232">Common_InputFunctions.Utility_DisplayArrayInTable(Common_SourceData.Common_SourceData_MCFTemperatureZone_Data(),Table_SourceData_Common_MCFTemperatureZone[[#Headers],[Temperature zone]],0)</f>
        <v>0.02</v>
      </c>
      <c r="L232" s="28" cm="1">
        <f t="array" ref="L232">Common_InputFunctions.Utility_DisplayArrayInTable(Common_SourceData.Common_SourceData_MCFTemperatureZone_Data(),Table_SourceData_Common_MCFTemperatureZone[[#Headers],[Temperature zone]],0)</f>
        <v>0.03</v>
      </c>
      <c r="M232" s="28" cm="1">
        <f t="array" ref="M232">Common_InputFunctions.Utility_DisplayArrayInTable(Common_SourceData.Common_SourceData_MCFTemperatureZone_Data(),Table_SourceData_Common_MCFTemperatureZone[[#Headers],[Temperature zone]],0)</f>
        <v>0.04</v>
      </c>
      <c r="N232" s="28" cm="1">
        <f t="array" ref="N232">Common_InputFunctions.Utility_DisplayArrayInTable(Common_SourceData.Common_SourceData_MCFTemperatureZone_Data(),Table_SourceData_Common_MCFTemperatureZone[[#Headers],[Temperature zone]],0)</f>
        <v>1.4999999999999999E-2</v>
      </c>
      <c r="O232" s="28" cm="1">
        <f t="array" ref="O232">Common_InputFunctions.Utility_DisplayArrayInTable(Common_SourceData.Common_SourceData_MCFTemperatureZone_Data(),Table_SourceData_Common_MCFTemperatureZone[[#Headers],[Temperature zone]],0)</f>
        <v>1.4999999999999999E-2</v>
      </c>
      <c r="P232" s="28" cm="1">
        <f t="array" ref="P232">Common_InputFunctions.Utility_DisplayArrayInTable(Common_SourceData.Common_SourceData_MCFTemperatureZone_Data(),Table_SourceData_Common_MCFTemperatureZone[[#Headers],[Temperature zone]],0)</f>
        <v>0</v>
      </c>
      <c r="Q232" s="28" cm="1">
        <f t="array" ref="Q232">Common_InputFunctions.Utility_DisplayArrayInTable(Common_SourceData.Common_SourceData_MCFTemperatureZone_Data(),Table_SourceData_Common_MCFTemperatureZone[[#Headers],[Temperature zone]],0)</f>
        <v>0</v>
      </c>
      <c r="R232" s="28" cm="1">
        <f t="array" ref="R232">Common_InputFunctions.Utility_DisplayArrayInTable(Common_SourceData.Common_SourceData_MCFTemperatureZone_Data(),Table_SourceData_Common_MCFTemperatureZone[[#Headers],[Temperature zone]],0)</f>
        <v>4.7000000000000002E-3</v>
      </c>
      <c r="S232" s="2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8" cm="1">
        <f t="array" ref="E233">Common_InputFunctions.Utility_DisplayArrayInTable(Common_SourceData.Common_SourceData_MCFTemperatureZone_Data(),Table_SourceData_Common_MCFTemperatureZone[[#Headers],[Temperature zone]],0)</f>
        <v>11</v>
      </c>
      <c r="F233" s="28" cm="1">
        <f t="array" ref="F233">Common_InputFunctions.Utility_DisplayArrayInTable(Common_SourceData.Common_SourceData_MCFTemperatureZone_Data(),Table_SourceData_Common_MCFTemperatureZone[[#Headers],[Temperature zone]],0)</f>
        <v>0.68</v>
      </c>
      <c r="G233" s="28" cm="1">
        <f t="array" ref="G233">Common_InputFunctions.Utility_DisplayArrayInTable(Common_SourceData.Common_SourceData_MCFTemperatureZone_Data(),Table_SourceData_Common_MCFTemperatureZone[[#Headers],[Temperature zone]],0)</f>
        <v>0.1</v>
      </c>
      <c r="H233" s="28" cm="1">
        <f t="array" ref="H233">Common_InputFunctions.Utility_DisplayArrayInTable(Common_SourceData.Common_SourceData_MCFTemperatureZone_Data(),Table_SourceData_Common_MCFTemperatureZone[[#Headers],[Temperature zone]],0)</f>
        <v>0.11</v>
      </c>
      <c r="I233" s="28" cm="1">
        <f t="array" ref="I233">Common_InputFunctions.Utility_DisplayArrayInTable(Common_SourceData.Common_SourceData_MCFTemperatureZone_Data(),Table_SourceData_Common_MCFTemperatureZone[[#Headers],[Temperature zone]],0)</f>
        <v>1E-3</v>
      </c>
      <c r="J233" s="28" cm="1">
        <f t="array" ref="J233">Common_InputFunctions.Utility_DisplayArrayInTable(Common_SourceData.Common_SourceData_MCFTemperatureZone_Data(),Table_SourceData_Common_MCFTemperatureZone[[#Headers],[Temperature zone]],0)</f>
        <v>5.0000000000000001E-3</v>
      </c>
      <c r="K233" s="28" cm="1">
        <f t="array" ref="K233">Common_InputFunctions.Utility_DisplayArrayInTable(Common_SourceData.Common_SourceData_MCFTemperatureZone_Data(),Table_SourceData_Common_MCFTemperatureZone[[#Headers],[Temperature zone]],0)</f>
        <v>0.02</v>
      </c>
      <c r="L233" s="28" cm="1">
        <f t="array" ref="L233">Common_InputFunctions.Utility_DisplayArrayInTable(Common_SourceData.Common_SourceData_MCFTemperatureZone_Data(),Table_SourceData_Common_MCFTemperatureZone[[#Headers],[Temperature zone]],0)</f>
        <v>0.03</v>
      </c>
      <c r="M233" s="28" cm="1">
        <f t="array" ref="M233">Common_InputFunctions.Utility_DisplayArrayInTable(Common_SourceData.Common_SourceData_MCFTemperatureZone_Data(),Table_SourceData_Common_MCFTemperatureZone[[#Headers],[Temperature zone]],0)</f>
        <v>0.04</v>
      </c>
      <c r="N233" s="28" cm="1">
        <f t="array" ref="N233">Common_InputFunctions.Utility_DisplayArrayInTable(Common_SourceData.Common_SourceData_MCFTemperatureZone_Data(),Table_SourceData_Common_MCFTemperatureZone[[#Headers],[Temperature zone]],0)</f>
        <v>1.4999999999999999E-2</v>
      </c>
      <c r="O233" s="28" cm="1">
        <f t="array" ref="O233">Common_InputFunctions.Utility_DisplayArrayInTable(Common_SourceData.Common_SourceData_MCFTemperatureZone_Data(),Table_SourceData_Common_MCFTemperatureZone[[#Headers],[Temperature zone]],0)</f>
        <v>1.4999999999999999E-2</v>
      </c>
      <c r="P233" s="28" cm="1">
        <f t="array" ref="P233">Common_InputFunctions.Utility_DisplayArrayInTable(Common_SourceData.Common_SourceData_MCFTemperatureZone_Data(),Table_SourceData_Common_MCFTemperatureZone[[#Headers],[Temperature zone]],0)</f>
        <v>0</v>
      </c>
      <c r="Q233" s="28" cm="1">
        <f t="array" ref="Q233">Common_InputFunctions.Utility_DisplayArrayInTable(Common_SourceData.Common_SourceData_MCFTemperatureZone_Data(),Table_SourceData_Common_MCFTemperatureZone[[#Headers],[Temperature zone]],0)</f>
        <v>0</v>
      </c>
      <c r="R233" s="28" cm="1">
        <f t="array" ref="R233">Common_InputFunctions.Utility_DisplayArrayInTable(Common_SourceData.Common_SourceData_MCFTemperatureZone_Data(),Table_SourceData_Common_MCFTemperatureZone[[#Headers],[Temperature zone]],0)</f>
        <v>4.7000000000000002E-3</v>
      </c>
      <c r="S233" s="2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8" cm="1">
        <f t="array" ref="E234">Common_InputFunctions.Utility_DisplayArrayInTable(Common_SourceData.Common_SourceData_MCFTemperatureZone_Data(),Table_SourceData_Common_MCFTemperatureZone[[#Headers],[Temperature zone]],0)</f>
        <v>12</v>
      </c>
      <c r="F234" s="28" cm="1">
        <f t="array" ref="F234">Common_InputFunctions.Utility_DisplayArrayInTable(Common_SourceData.Common_SourceData_MCFTemperatureZone_Data(),Table_SourceData_Common_MCFTemperatureZone[[#Headers],[Temperature zone]],0)</f>
        <v>0.7</v>
      </c>
      <c r="G234" s="28" cm="1">
        <f t="array" ref="G234">Common_InputFunctions.Utility_DisplayArrayInTable(Common_SourceData.Common_SourceData_MCFTemperatureZone_Data(),Table_SourceData_Common_MCFTemperatureZone[[#Headers],[Temperature zone]],0)</f>
        <v>0.1</v>
      </c>
      <c r="H234" s="28" cm="1">
        <f t="array" ref="H234">Common_InputFunctions.Utility_DisplayArrayInTable(Common_SourceData.Common_SourceData_MCFTemperatureZone_Data(),Table_SourceData_Common_MCFTemperatureZone[[#Headers],[Temperature zone]],0)</f>
        <v>0.13</v>
      </c>
      <c r="I234" s="28" cm="1">
        <f t="array" ref="I234">Common_InputFunctions.Utility_DisplayArrayInTable(Common_SourceData.Common_SourceData_MCFTemperatureZone_Data(),Table_SourceData_Common_MCFTemperatureZone[[#Headers],[Temperature zone]],0)</f>
        <v>1E-3</v>
      </c>
      <c r="J234" s="28" cm="1">
        <f t="array" ref="J234">Common_InputFunctions.Utility_DisplayArrayInTable(Common_SourceData.Common_SourceData_MCFTemperatureZone_Data(),Table_SourceData_Common_MCFTemperatureZone[[#Headers],[Temperature zone]],0)</f>
        <v>5.0000000000000001E-3</v>
      </c>
      <c r="K234" s="28" cm="1">
        <f t="array" ref="K234">Common_InputFunctions.Utility_DisplayArrayInTable(Common_SourceData.Common_SourceData_MCFTemperatureZone_Data(),Table_SourceData_Common_MCFTemperatureZone[[#Headers],[Temperature zone]],0)</f>
        <v>0.02</v>
      </c>
      <c r="L234" s="28" cm="1">
        <f t="array" ref="L234">Common_InputFunctions.Utility_DisplayArrayInTable(Common_SourceData.Common_SourceData_MCFTemperatureZone_Data(),Table_SourceData_Common_MCFTemperatureZone[[#Headers],[Temperature zone]],0)</f>
        <v>0.03</v>
      </c>
      <c r="M234" s="28" cm="1">
        <f t="array" ref="M234">Common_InputFunctions.Utility_DisplayArrayInTable(Common_SourceData.Common_SourceData_MCFTemperatureZone_Data(),Table_SourceData_Common_MCFTemperatureZone[[#Headers],[Temperature zone]],0)</f>
        <v>0.04</v>
      </c>
      <c r="N234" s="28" cm="1">
        <f t="array" ref="N234">Common_InputFunctions.Utility_DisplayArrayInTable(Common_SourceData.Common_SourceData_MCFTemperatureZone_Data(),Table_SourceData_Common_MCFTemperatureZone[[#Headers],[Temperature zone]],0)</f>
        <v>1.4999999999999999E-2</v>
      </c>
      <c r="O234" s="28" cm="1">
        <f t="array" ref="O234">Common_InputFunctions.Utility_DisplayArrayInTable(Common_SourceData.Common_SourceData_MCFTemperatureZone_Data(),Table_SourceData_Common_MCFTemperatureZone[[#Headers],[Temperature zone]],0)</f>
        <v>1.4999999999999999E-2</v>
      </c>
      <c r="P234" s="28" cm="1">
        <f t="array" ref="P234">Common_InputFunctions.Utility_DisplayArrayInTable(Common_SourceData.Common_SourceData_MCFTemperatureZone_Data(),Table_SourceData_Common_MCFTemperatureZone[[#Headers],[Temperature zone]],0)</f>
        <v>0</v>
      </c>
      <c r="Q234" s="28" cm="1">
        <f t="array" ref="Q234">Common_InputFunctions.Utility_DisplayArrayInTable(Common_SourceData.Common_SourceData_MCFTemperatureZone_Data(),Table_SourceData_Common_MCFTemperatureZone[[#Headers],[Temperature zone]],0)</f>
        <v>0</v>
      </c>
      <c r="R234" s="28" cm="1">
        <f t="array" ref="R234">Common_InputFunctions.Utility_DisplayArrayInTable(Common_SourceData.Common_SourceData_MCFTemperatureZone_Data(),Table_SourceData_Common_MCFTemperatureZone[[#Headers],[Temperature zone]],0)</f>
        <v>4.7000000000000002E-3</v>
      </c>
      <c r="S234" s="2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8" cm="1">
        <f t="array" ref="E235">Common_InputFunctions.Utility_DisplayArrayInTable(Common_SourceData.Common_SourceData_MCFTemperatureZone_Data(),Table_SourceData_Common_MCFTemperatureZone[[#Headers],[Temperature zone]],0)</f>
        <v>13</v>
      </c>
      <c r="F235" s="28" cm="1">
        <f t="array" ref="F235">Common_InputFunctions.Utility_DisplayArrayInTable(Common_SourceData.Common_SourceData_MCFTemperatureZone_Data(),Table_SourceData_Common_MCFTemperatureZone[[#Headers],[Temperature zone]],0)</f>
        <v>0.71</v>
      </c>
      <c r="G235" s="28" cm="1">
        <f t="array" ref="G235">Common_InputFunctions.Utility_DisplayArrayInTable(Common_SourceData.Common_SourceData_MCFTemperatureZone_Data(),Table_SourceData_Common_MCFTemperatureZone[[#Headers],[Temperature zone]],0)</f>
        <v>0.1</v>
      </c>
      <c r="H235" s="28" cm="1">
        <f t="array" ref="H235">Common_InputFunctions.Utility_DisplayArrayInTable(Common_SourceData.Common_SourceData_MCFTemperatureZone_Data(),Table_SourceData_Common_MCFTemperatureZone[[#Headers],[Temperature zone]],0)</f>
        <v>0.14000000000000001</v>
      </c>
      <c r="I235" s="28" cm="1">
        <f t="array" ref="I235">Common_InputFunctions.Utility_DisplayArrayInTable(Common_SourceData.Common_SourceData_MCFTemperatureZone_Data(),Table_SourceData_Common_MCFTemperatureZone[[#Headers],[Temperature zone]],0)</f>
        <v>1E-3</v>
      </c>
      <c r="J235" s="28" cm="1">
        <f t="array" ref="J235">Common_InputFunctions.Utility_DisplayArrayInTable(Common_SourceData.Common_SourceData_MCFTemperatureZone_Data(),Table_SourceData_Common_MCFTemperatureZone[[#Headers],[Temperature zone]],0)</f>
        <v>5.0000000000000001E-3</v>
      </c>
      <c r="K235" s="28" cm="1">
        <f t="array" ref="K235">Common_InputFunctions.Utility_DisplayArrayInTable(Common_SourceData.Common_SourceData_MCFTemperatureZone_Data(),Table_SourceData_Common_MCFTemperatureZone[[#Headers],[Temperature zone]],0)</f>
        <v>0.02</v>
      </c>
      <c r="L235" s="28" cm="1">
        <f t="array" ref="L235">Common_InputFunctions.Utility_DisplayArrayInTable(Common_SourceData.Common_SourceData_MCFTemperatureZone_Data(),Table_SourceData_Common_MCFTemperatureZone[[#Headers],[Temperature zone]],0)</f>
        <v>0.03</v>
      </c>
      <c r="M235" s="28" cm="1">
        <f t="array" ref="M235">Common_InputFunctions.Utility_DisplayArrayInTable(Common_SourceData.Common_SourceData_MCFTemperatureZone_Data(),Table_SourceData_Common_MCFTemperatureZone[[#Headers],[Temperature zone]],0)</f>
        <v>0.04</v>
      </c>
      <c r="N235" s="28" cm="1">
        <f t="array" ref="N235">Common_InputFunctions.Utility_DisplayArrayInTable(Common_SourceData.Common_SourceData_MCFTemperatureZone_Data(),Table_SourceData_Common_MCFTemperatureZone[[#Headers],[Temperature zone]],0)</f>
        <v>1.4999999999999999E-2</v>
      </c>
      <c r="O235" s="28" cm="1">
        <f t="array" ref="O235">Common_InputFunctions.Utility_DisplayArrayInTable(Common_SourceData.Common_SourceData_MCFTemperatureZone_Data(),Table_SourceData_Common_MCFTemperatureZone[[#Headers],[Temperature zone]],0)</f>
        <v>1.4999999999999999E-2</v>
      </c>
      <c r="P235" s="28" cm="1">
        <f t="array" ref="P235">Common_InputFunctions.Utility_DisplayArrayInTable(Common_SourceData.Common_SourceData_MCFTemperatureZone_Data(),Table_SourceData_Common_MCFTemperatureZone[[#Headers],[Temperature zone]],0)</f>
        <v>0</v>
      </c>
      <c r="Q235" s="28" cm="1">
        <f t="array" ref="Q235">Common_InputFunctions.Utility_DisplayArrayInTable(Common_SourceData.Common_SourceData_MCFTemperatureZone_Data(),Table_SourceData_Common_MCFTemperatureZone[[#Headers],[Temperature zone]],0)</f>
        <v>0</v>
      </c>
      <c r="R235" s="28" cm="1">
        <f t="array" ref="R235">Common_InputFunctions.Utility_DisplayArrayInTable(Common_SourceData.Common_SourceData_MCFTemperatureZone_Data(),Table_SourceData_Common_MCFTemperatureZone[[#Headers],[Temperature zone]],0)</f>
        <v>4.7000000000000002E-3</v>
      </c>
      <c r="S235" s="2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8" cm="1">
        <f t="array" ref="E236">Common_InputFunctions.Utility_DisplayArrayInTable(Common_SourceData.Common_SourceData_MCFTemperatureZone_Data(),Table_SourceData_Common_MCFTemperatureZone[[#Headers],[Temperature zone]],0)</f>
        <v>14</v>
      </c>
      <c r="F236" s="28" cm="1">
        <f t="array" ref="F236">Common_InputFunctions.Utility_DisplayArrayInTable(Common_SourceData.Common_SourceData_MCFTemperatureZone_Data(),Table_SourceData_Common_MCFTemperatureZone[[#Headers],[Temperature zone]],0)</f>
        <v>0.73</v>
      </c>
      <c r="G236" s="28" cm="1">
        <f t="array" ref="G236">Common_InputFunctions.Utility_DisplayArrayInTable(Common_SourceData.Common_SourceData_MCFTemperatureZone_Data(),Table_SourceData_Common_MCFTemperatureZone[[#Headers],[Temperature zone]],0)</f>
        <v>0.1</v>
      </c>
      <c r="H236" s="28" cm="1">
        <f t="array" ref="H236">Common_InputFunctions.Utility_DisplayArrayInTable(Common_SourceData.Common_SourceData_MCFTemperatureZone_Data(),Table_SourceData_Common_MCFTemperatureZone[[#Headers],[Temperature zone]],0)</f>
        <v>0.15</v>
      </c>
      <c r="I236" s="28" cm="1">
        <f t="array" ref="I236">Common_InputFunctions.Utility_DisplayArrayInTable(Common_SourceData.Common_SourceData_MCFTemperatureZone_Data(),Table_SourceData_Common_MCFTemperatureZone[[#Headers],[Temperature zone]],0)</f>
        <v>1E-3</v>
      </c>
      <c r="J236" s="28" cm="1">
        <f t="array" ref="J236">Common_InputFunctions.Utility_DisplayArrayInTable(Common_SourceData.Common_SourceData_MCFTemperatureZone_Data(),Table_SourceData_Common_MCFTemperatureZone[[#Headers],[Temperature zone]],0)</f>
        <v>5.0000000000000001E-3</v>
      </c>
      <c r="K236" s="28" cm="1">
        <f t="array" ref="K236">Common_InputFunctions.Utility_DisplayArrayInTable(Common_SourceData.Common_SourceData_MCFTemperatureZone_Data(),Table_SourceData_Common_MCFTemperatureZone[[#Headers],[Temperature zone]],0)</f>
        <v>0.02</v>
      </c>
      <c r="L236" s="28" cm="1">
        <f t="array" ref="L236">Common_InputFunctions.Utility_DisplayArrayInTable(Common_SourceData.Common_SourceData_MCFTemperatureZone_Data(),Table_SourceData_Common_MCFTemperatureZone[[#Headers],[Temperature zone]],0)</f>
        <v>0.03</v>
      </c>
      <c r="M236" s="28" cm="1">
        <f t="array" ref="M236">Common_InputFunctions.Utility_DisplayArrayInTable(Common_SourceData.Common_SourceData_MCFTemperatureZone_Data(),Table_SourceData_Common_MCFTemperatureZone[[#Headers],[Temperature zone]],0)</f>
        <v>0.04</v>
      </c>
      <c r="N236" s="28" cm="1">
        <f t="array" ref="N236">Common_InputFunctions.Utility_DisplayArrayInTable(Common_SourceData.Common_SourceData_MCFTemperatureZone_Data(),Table_SourceData_Common_MCFTemperatureZone[[#Headers],[Temperature zone]],0)</f>
        <v>1.4999999999999999E-2</v>
      </c>
      <c r="O236" s="28" cm="1">
        <f t="array" ref="O236">Common_InputFunctions.Utility_DisplayArrayInTable(Common_SourceData.Common_SourceData_MCFTemperatureZone_Data(),Table_SourceData_Common_MCFTemperatureZone[[#Headers],[Temperature zone]],0)</f>
        <v>1.4999999999999999E-2</v>
      </c>
      <c r="P236" s="28" cm="1">
        <f t="array" ref="P236">Common_InputFunctions.Utility_DisplayArrayInTable(Common_SourceData.Common_SourceData_MCFTemperatureZone_Data(),Table_SourceData_Common_MCFTemperatureZone[[#Headers],[Temperature zone]],0)</f>
        <v>0</v>
      </c>
      <c r="Q236" s="28" cm="1">
        <f t="array" ref="Q236">Common_InputFunctions.Utility_DisplayArrayInTable(Common_SourceData.Common_SourceData_MCFTemperatureZone_Data(),Table_SourceData_Common_MCFTemperatureZone[[#Headers],[Temperature zone]],0)</f>
        <v>0</v>
      </c>
      <c r="R236" s="28" cm="1">
        <f t="array" ref="R236">Common_InputFunctions.Utility_DisplayArrayInTable(Common_SourceData.Common_SourceData_MCFTemperatureZone_Data(),Table_SourceData_Common_MCFTemperatureZone[[#Headers],[Temperature zone]],0)</f>
        <v>4.7000000000000002E-3</v>
      </c>
      <c r="S236" s="2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8" cm="1">
        <f t="array" ref="E237">Common_InputFunctions.Utility_DisplayArrayInTable(Common_SourceData.Common_SourceData_MCFTemperatureZone_Data(),Table_SourceData_Common_MCFTemperatureZone[[#Headers],[Temperature zone]],0)</f>
        <v>15</v>
      </c>
      <c r="F237" s="28" cm="1">
        <f t="array" ref="F237">Common_InputFunctions.Utility_DisplayArrayInTable(Common_SourceData.Common_SourceData_MCFTemperatureZone_Data(),Table_SourceData_Common_MCFTemperatureZone[[#Headers],[Temperature zone]],0)</f>
        <v>0.74</v>
      </c>
      <c r="G237" s="28" cm="1">
        <f t="array" ref="G237">Common_InputFunctions.Utility_DisplayArrayInTable(Common_SourceData.Common_SourceData_MCFTemperatureZone_Data(),Table_SourceData_Common_MCFTemperatureZone[[#Headers],[Temperature zone]],0)</f>
        <v>0.1</v>
      </c>
      <c r="H237" s="28" cm="1">
        <f t="array" ref="H237">Common_InputFunctions.Utility_DisplayArrayInTable(Common_SourceData.Common_SourceData_MCFTemperatureZone_Data(),Table_SourceData_Common_MCFTemperatureZone[[#Headers],[Temperature zone]],0)</f>
        <v>0.17</v>
      </c>
      <c r="I237" s="28" cm="1">
        <f t="array" ref="I237">Common_InputFunctions.Utility_DisplayArrayInTable(Common_SourceData.Common_SourceData_MCFTemperatureZone_Data(),Table_SourceData_Common_MCFTemperatureZone[[#Headers],[Temperature zone]],0)</f>
        <v>5.0000000000000001E-3</v>
      </c>
      <c r="J237" s="28" cm="1">
        <f t="array" ref="J237">Common_InputFunctions.Utility_DisplayArrayInTable(Common_SourceData.Common_SourceData_MCFTemperatureZone_Data(),Table_SourceData_Common_MCFTemperatureZone[[#Headers],[Temperature zone]],0)</f>
        <v>0.01</v>
      </c>
      <c r="K237" s="28" cm="1">
        <f t="array" ref="K237">Common_InputFunctions.Utility_DisplayArrayInTable(Common_SourceData.Common_SourceData_MCFTemperatureZone_Data(),Table_SourceData_Common_MCFTemperatureZone[[#Headers],[Temperature zone]],0)</f>
        <v>0.02</v>
      </c>
      <c r="L237" s="28" cm="1">
        <f t="array" ref="L237">Common_InputFunctions.Utility_DisplayArrayInTable(Common_SourceData.Common_SourceData_MCFTemperatureZone_Data(),Table_SourceData_Common_MCFTemperatureZone[[#Headers],[Temperature zone]],0)</f>
        <v>0.03</v>
      </c>
      <c r="M237" s="28" cm="1">
        <f t="array" ref="M237">Common_InputFunctions.Utility_DisplayArrayInTable(Common_SourceData.Common_SourceData_MCFTemperatureZone_Data(),Table_SourceData_Common_MCFTemperatureZone[[#Headers],[Temperature zone]],0)</f>
        <v>0.04</v>
      </c>
      <c r="N237" s="28" cm="1">
        <f t="array" ref="N237">Common_InputFunctions.Utility_DisplayArrayInTable(Common_SourceData.Common_SourceData_MCFTemperatureZone_Data(),Table_SourceData_Common_MCFTemperatureZone[[#Headers],[Temperature zone]],0)</f>
        <v>1.4999999999999999E-2</v>
      </c>
      <c r="O237" s="28" cm="1">
        <f t="array" ref="O237">Common_InputFunctions.Utility_DisplayArrayInTable(Common_SourceData.Common_SourceData_MCFTemperatureZone_Data(),Table_SourceData_Common_MCFTemperatureZone[[#Headers],[Temperature zone]],0)</f>
        <v>1.4999999999999999E-2</v>
      </c>
      <c r="P237" s="28" cm="1">
        <f t="array" ref="P237">Common_InputFunctions.Utility_DisplayArrayInTable(Common_SourceData.Common_SourceData_MCFTemperatureZone_Data(),Table_SourceData_Common_MCFTemperatureZone[[#Headers],[Temperature zone]],0)</f>
        <v>0</v>
      </c>
      <c r="Q237" s="28" cm="1">
        <f t="array" ref="Q237">Common_InputFunctions.Utility_DisplayArrayInTable(Common_SourceData.Common_SourceData_MCFTemperatureZone_Data(),Table_SourceData_Common_MCFTemperatureZone[[#Headers],[Temperature zone]],0)</f>
        <v>0</v>
      </c>
      <c r="R237" s="28" cm="1">
        <f t="array" ref="R237">Common_InputFunctions.Utility_DisplayArrayInTable(Common_SourceData.Common_SourceData_MCFTemperatureZone_Data(),Table_SourceData_Common_MCFTemperatureZone[[#Headers],[Temperature zone]],0)</f>
        <v>4.7000000000000002E-3</v>
      </c>
      <c r="S237" s="2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8" cm="1">
        <f t="array" ref="E238">Common_InputFunctions.Utility_DisplayArrayInTable(Common_SourceData.Common_SourceData_MCFTemperatureZone_Data(),Table_SourceData_Common_MCFTemperatureZone[[#Headers],[Temperature zone]],0)</f>
        <v>16</v>
      </c>
      <c r="F238" s="28" cm="1">
        <f t="array" ref="F238">Common_InputFunctions.Utility_DisplayArrayInTable(Common_SourceData.Common_SourceData_MCFTemperatureZone_Data(),Table_SourceData_Common_MCFTemperatureZone[[#Headers],[Temperature zone]],0)</f>
        <v>0.75</v>
      </c>
      <c r="G238" s="28" cm="1">
        <f t="array" ref="G238">Common_InputFunctions.Utility_DisplayArrayInTable(Common_SourceData.Common_SourceData_MCFTemperatureZone_Data(),Table_SourceData_Common_MCFTemperatureZone[[#Headers],[Temperature zone]],0)</f>
        <v>0.1</v>
      </c>
      <c r="H238" s="28" cm="1">
        <f t="array" ref="H238">Common_InputFunctions.Utility_DisplayArrayInTable(Common_SourceData.Common_SourceData_MCFTemperatureZone_Data(),Table_SourceData_Common_MCFTemperatureZone[[#Headers],[Temperature zone]],0)</f>
        <v>0.18</v>
      </c>
      <c r="I238" s="28" cm="1">
        <f t="array" ref="I238">Common_InputFunctions.Utility_DisplayArrayInTable(Common_SourceData.Common_SourceData_MCFTemperatureZone_Data(),Table_SourceData_Common_MCFTemperatureZone[[#Headers],[Temperature zone]],0)</f>
        <v>5.0000000000000001E-3</v>
      </c>
      <c r="J238" s="28" cm="1">
        <f t="array" ref="J238">Common_InputFunctions.Utility_DisplayArrayInTable(Common_SourceData.Common_SourceData_MCFTemperatureZone_Data(),Table_SourceData_Common_MCFTemperatureZone[[#Headers],[Temperature zone]],0)</f>
        <v>0.01</v>
      </c>
      <c r="K238" s="28" cm="1">
        <f t="array" ref="K238">Common_InputFunctions.Utility_DisplayArrayInTable(Common_SourceData.Common_SourceData_MCFTemperatureZone_Data(),Table_SourceData_Common_MCFTemperatureZone[[#Headers],[Temperature zone]],0)</f>
        <v>0.02</v>
      </c>
      <c r="L238" s="28" cm="1">
        <f t="array" ref="L238">Common_InputFunctions.Utility_DisplayArrayInTable(Common_SourceData.Common_SourceData_MCFTemperatureZone_Data(),Table_SourceData_Common_MCFTemperatureZone[[#Headers],[Temperature zone]],0)</f>
        <v>0.03</v>
      </c>
      <c r="M238" s="28" cm="1">
        <f t="array" ref="M238">Common_InputFunctions.Utility_DisplayArrayInTable(Common_SourceData.Common_SourceData_MCFTemperatureZone_Data(),Table_SourceData_Common_MCFTemperatureZone[[#Headers],[Temperature zone]],0)</f>
        <v>0.04</v>
      </c>
      <c r="N238" s="28" cm="1">
        <f t="array" ref="N238">Common_InputFunctions.Utility_DisplayArrayInTable(Common_SourceData.Common_SourceData_MCFTemperatureZone_Data(),Table_SourceData_Common_MCFTemperatureZone[[#Headers],[Temperature zone]],0)</f>
        <v>1.4999999999999999E-2</v>
      </c>
      <c r="O238" s="28" cm="1">
        <f t="array" ref="O238">Common_InputFunctions.Utility_DisplayArrayInTable(Common_SourceData.Common_SourceData_MCFTemperatureZone_Data(),Table_SourceData_Common_MCFTemperatureZone[[#Headers],[Temperature zone]],0)</f>
        <v>1.4999999999999999E-2</v>
      </c>
      <c r="P238" s="28" cm="1">
        <f t="array" ref="P238">Common_InputFunctions.Utility_DisplayArrayInTable(Common_SourceData.Common_SourceData_MCFTemperatureZone_Data(),Table_SourceData_Common_MCFTemperatureZone[[#Headers],[Temperature zone]],0)</f>
        <v>0</v>
      </c>
      <c r="Q238" s="28" cm="1">
        <f t="array" ref="Q238">Common_InputFunctions.Utility_DisplayArrayInTable(Common_SourceData.Common_SourceData_MCFTemperatureZone_Data(),Table_SourceData_Common_MCFTemperatureZone[[#Headers],[Temperature zone]],0)</f>
        <v>0</v>
      </c>
      <c r="R238" s="28" cm="1">
        <f t="array" ref="R238">Common_InputFunctions.Utility_DisplayArrayInTable(Common_SourceData.Common_SourceData_MCFTemperatureZone_Data(),Table_SourceData_Common_MCFTemperatureZone[[#Headers],[Temperature zone]],0)</f>
        <v>4.7000000000000002E-3</v>
      </c>
      <c r="S238" s="2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8" cm="1">
        <f t="array" ref="E239">Common_InputFunctions.Utility_DisplayArrayInTable(Common_SourceData.Common_SourceData_MCFTemperatureZone_Data(),Table_SourceData_Common_MCFTemperatureZone[[#Headers],[Temperature zone]],0)</f>
        <v>17</v>
      </c>
      <c r="F239" s="28" cm="1">
        <f t="array" ref="F239">Common_InputFunctions.Utility_DisplayArrayInTable(Common_SourceData.Common_SourceData_MCFTemperatureZone_Data(),Table_SourceData_Common_MCFTemperatureZone[[#Headers],[Temperature zone]],0)</f>
        <v>0.76</v>
      </c>
      <c r="G239" s="28" cm="1">
        <f t="array" ref="G239">Common_InputFunctions.Utility_DisplayArrayInTable(Common_SourceData.Common_SourceData_MCFTemperatureZone_Data(),Table_SourceData_Common_MCFTemperatureZone[[#Headers],[Temperature zone]],0)</f>
        <v>0.1</v>
      </c>
      <c r="H239" s="28" cm="1">
        <f t="array" ref="H239">Common_InputFunctions.Utility_DisplayArrayInTable(Common_SourceData.Common_SourceData_MCFTemperatureZone_Data(),Table_SourceData_Common_MCFTemperatureZone[[#Headers],[Temperature zone]],0)</f>
        <v>0.2</v>
      </c>
      <c r="I239" s="28" cm="1">
        <f t="array" ref="I239">Common_InputFunctions.Utility_DisplayArrayInTable(Common_SourceData.Common_SourceData_MCFTemperatureZone_Data(),Table_SourceData_Common_MCFTemperatureZone[[#Headers],[Temperature zone]],0)</f>
        <v>5.0000000000000001E-3</v>
      </c>
      <c r="J239" s="28" cm="1">
        <f t="array" ref="J239">Common_InputFunctions.Utility_DisplayArrayInTable(Common_SourceData.Common_SourceData_MCFTemperatureZone_Data(),Table_SourceData_Common_MCFTemperatureZone[[#Headers],[Temperature zone]],0)</f>
        <v>0.01</v>
      </c>
      <c r="K239" s="28" cm="1">
        <f t="array" ref="K239">Common_InputFunctions.Utility_DisplayArrayInTable(Common_SourceData.Common_SourceData_MCFTemperatureZone_Data(),Table_SourceData_Common_MCFTemperatureZone[[#Headers],[Temperature zone]],0)</f>
        <v>0.02</v>
      </c>
      <c r="L239" s="28" cm="1">
        <f t="array" ref="L239">Common_InputFunctions.Utility_DisplayArrayInTable(Common_SourceData.Common_SourceData_MCFTemperatureZone_Data(),Table_SourceData_Common_MCFTemperatureZone[[#Headers],[Temperature zone]],0)</f>
        <v>0.03</v>
      </c>
      <c r="M239" s="28" cm="1">
        <f t="array" ref="M239">Common_InputFunctions.Utility_DisplayArrayInTable(Common_SourceData.Common_SourceData_MCFTemperatureZone_Data(),Table_SourceData_Common_MCFTemperatureZone[[#Headers],[Temperature zone]],0)</f>
        <v>0.04</v>
      </c>
      <c r="N239" s="28" cm="1">
        <f t="array" ref="N239">Common_InputFunctions.Utility_DisplayArrayInTable(Common_SourceData.Common_SourceData_MCFTemperatureZone_Data(),Table_SourceData_Common_MCFTemperatureZone[[#Headers],[Temperature zone]],0)</f>
        <v>1.4999999999999999E-2</v>
      </c>
      <c r="O239" s="28" cm="1">
        <f t="array" ref="O239">Common_InputFunctions.Utility_DisplayArrayInTable(Common_SourceData.Common_SourceData_MCFTemperatureZone_Data(),Table_SourceData_Common_MCFTemperatureZone[[#Headers],[Temperature zone]],0)</f>
        <v>1.4999999999999999E-2</v>
      </c>
      <c r="P239" s="28" cm="1">
        <f t="array" ref="P239">Common_InputFunctions.Utility_DisplayArrayInTable(Common_SourceData.Common_SourceData_MCFTemperatureZone_Data(),Table_SourceData_Common_MCFTemperatureZone[[#Headers],[Temperature zone]],0)</f>
        <v>0</v>
      </c>
      <c r="Q239" s="28" cm="1">
        <f t="array" ref="Q239">Common_InputFunctions.Utility_DisplayArrayInTable(Common_SourceData.Common_SourceData_MCFTemperatureZone_Data(),Table_SourceData_Common_MCFTemperatureZone[[#Headers],[Temperature zone]],0)</f>
        <v>0</v>
      </c>
      <c r="R239" s="28" cm="1">
        <f t="array" ref="R239">Common_InputFunctions.Utility_DisplayArrayInTable(Common_SourceData.Common_SourceData_MCFTemperatureZone_Data(),Table_SourceData_Common_MCFTemperatureZone[[#Headers],[Temperature zone]],0)</f>
        <v>4.7000000000000002E-3</v>
      </c>
      <c r="S239" s="2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8" cm="1">
        <f t="array" ref="E240">Common_InputFunctions.Utility_DisplayArrayInTable(Common_SourceData.Common_SourceData_MCFTemperatureZone_Data(),Table_SourceData_Common_MCFTemperatureZone[[#Headers],[Temperature zone]],0)</f>
        <v>18</v>
      </c>
      <c r="F240" s="28" cm="1">
        <f t="array" ref="F240">Common_InputFunctions.Utility_DisplayArrayInTable(Common_SourceData.Common_SourceData_MCFTemperatureZone_Data(),Table_SourceData_Common_MCFTemperatureZone[[#Headers],[Temperature zone]],0)</f>
        <v>0.77</v>
      </c>
      <c r="G240" s="28" cm="1">
        <f t="array" ref="G240">Common_InputFunctions.Utility_DisplayArrayInTable(Common_SourceData.Common_SourceData_MCFTemperatureZone_Data(),Table_SourceData_Common_MCFTemperatureZone[[#Headers],[Temperature zone]],0)</f>
        <v>0.1</v>
      </c>
      <c r="H240" s="28" cm="1">
        <f t="array" ref="H240">Common_InputFunctions.Utility_DisplayArrayInTable(Common_SourceData.Common_SourceData_MCFTemperatureZone_Data(),Table_SourceData_Common_MCFTemperatureZone[[#Headers],[Temperature zone]],0)</f>
        <v>0.22</v>
      </c>
      <c r="I240" s="28" cm="1">
        <f t="array" ref="I240">Common_InputFunctions.Utility_DisplayArrayInTable(Common_SourceData.Common_SourceData_MCFTemperatureZone_Data(),Table_SourceData_Common_MCFTemperatureZone[[#Headers],[Temperature zone]],0)</f>
        <v>5.0000000000000001E-3</v>
      </c>
      <c r="J240" s="28" cm="1">
        <f t="array" ref="J240">Common_InputFunctions.Utility_DisplayArrayInTable(Common_SourceData.Common_SourceData_MCFTemperatureZone_Data(),Table_SourceData_Common_MCFTemperatureZone[[#Headers],[Temperature zone]],0)</f>
        <v>0.01</v>
      </c>
      <c r="K240" s="28" cm="1">
        <f t="array" ref="K240">Common_InputFunctions.Utility_DisplayArrayInTable(Common_SourceData.Common_SourceData_MCFTemperatureZone_Data(),Table_SourceData_Common_MCFTemperatureZone[[#Headers],[Temperature zone]],0)</f>
        <v>0.02</v>
      </c>
      <c r="L240" s="28" cm="1">
        <f t="array" ref="L240">Common_InputFunctions.Utility_DisplayArrayInTable(Common_SourceData.Common_SourceData_MCFTemperatureZone_Data(),Table_SourceData_Common_MCFTemperatureZone[[#Headers],[Temperature zone]],0)</f>
        <v>0.03</v>
      </c>
      <c r="M240" s="28" cm="1">
        <f t="array" ref="M240">Common_InputFunctions.Utility_DisplayArrayInTable(Common_SourceData.Common_SourceData_MCFTemperatureZone_Data(),Table_SourceData_Common_MCFTemperatureZone[[#Headers],[Temperature zone]],0)</f>
        <v>0.04</v>
      </c>
      <c r="N240" s="28" cm="1">
        <f t="array" ref="N240">Common_InputFunctions.Utility_DisplayArrayInTable(Common_SourceData.Common_SourceData_MCFTemperatureZone_Data(),Table_SourceData_Common_MCFTemperatureZone[[#Headers],[Temperature zone]],0)</f>
        <v>1.4999999999999999E-2</v>
      </c>
      <c r="O240" s="28" cm="1">
        <f t="array" ref="O240">Common_InputFunctions.Utility_DisplayArrayInTable(Common_SourceData.Common_SourceData_MCFTemperatureZone_Data(),Table_SourceData_Common_MCFTemperatureZone[[#Headers],[Temperature zone]],0)</f>
        <v>1.4999999999999999E-2</v>
      </c>
      <c r="P240" s="28" cm="1">
        <f t="array" ref="P240">Common_InputFunctions.Utility_DisplayArrayInTable(Common_SourceData.Common_SourceData_MCFTemperatureZone_Data(),Table_SourceData_Common_MCFTemperatureZone[[#Headers],[Temperature zone]],0)</f>
        <v>0</v>
      </c>
      <c r="Q240" s="28" cm="1">
        <f t="array" ref="Q240">Common_InputFunctions.Utility_DisplayArrayInTable(Common_SourceData.Common_SourceData_MCFTemperatureZone_Data(),Table_SourceData_Common_MCFTemperatureZone[[#Headers],[Temperature zone]],0)</f>
        <v>0</v>
      </c>
      <c r="R240" s="28" cm="1">
        <f t="array" ref="R240">Common_InputFunctions.Utility_DisplayArrayInTable(Common_SourceData.Common_SourceData_MCFTemperatureZone_Data(),Table_SourceData_Common_MCFTemperatureZone[[#Headers],[Temperature zone]],0)</f>
        <v>4.7000000000000002E-3</v>
      </c>
      <c r="S240" s="2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8" cm="1">
        <f t="array" ref="E241">Common_InputFunctions.Utility_DisplayArrayInTable(Common_SourceData.Common_SourceData_MCFTemperatureZone_Data(),Table_SourceData_Common_MCFTemperatureZone[[#Headers],[Temperature zone]],0)</f>
        <v>19</v>
      </c>
      <c r="F241" s="28" cm="1">
        <f t="array" ref="F241">Common_InputFunctions.Utility_DisplayArrayInTable(Common_SourceData.Common_SourceData_MCFTemperatureZone_Data(),Table_SourceData_Common_MCFTemperatureZone[[#Headers],[Temperature zone]],0)</f>
        <v>0.77</v>
      </c>
      <c r="G241" s="28" cm="1">
        <f t="array" ref="G241">Common_InputFunctions.Utility_DisplayArrayInTable(Common_SourceData.Common_SourceData_MCFTemperatureZone_Data(),Table_SourceData_Common_MCFTemperatureZone[[#Headers],[Temperature zone]],0)</f>
        <v>0.1</v>
      </c>
      <c r="H241" s="28" cm="1">
        <f t="array" ref="H241">Common_InputFunctions.Utility_DisplayArrayInTable(Common_SourceData.Common_SourceData_MCFTemperatureZone_Data(),Table_SourceData_Common_MCFTemperatureZone[[#Headers],[Temperature zone]],0)</f>
        <v>0.24</v>
      </c>
      <c r="I241" s="28" cm="1">
        <f t="array" ref="I241">Common_InputFunctions.Utility_DisplayArrayInTable(Common_SourceData.Common_SourceData_MCFTemperatureZone_Data(),Table_SourceData_Common_MCFTemperatureZone[[#Headers],[Temperature zone]],0)</f>
        <v>5.0000000000000001E-3</v>
      </c>
      <c r="J241" s="28" cm="1">
        <f t="array" ref="J241">Common_InputFunctions.Utility_DisplayArrayInTable(Common_SourceData.Common_SourceData_MCFTemperatureZone_Data(),Table_SourceData_Common_MCFTemperatureZone[[#Headers],[Temperature zone]],0)</f>
        <v>0.01</v>
      </c>
      <c r="K241" s="28" cm="1">
        <f t="array" ref="K241">Common_InputFunctions.Utility_DisplayArrayInTable(Common_SourceData.Common_SourceData_MCFTemperatureZone_Data(),Table_SourceData_Common_MCFTemperatureZone[[#Headers],[Temperature zone]],0)</f>
        <v>0.02</v>
      </c>
      <c r="L241" s="28" cm="1">
        <f t="array" ref="L241">Common_InputFunctions.Utility_DisplayArrayInTable(Common_SourceData.Common_SourceData_MCFTemperatureZone_Data(),Table_SourceData_Common_MCFTemperatureZone[[#Headers],[Temperature zone]],0)</f>
        <v>0.03</v>
      </c>
      <c r="M241" s="28" cm="1">
        <f t="array" ref="M241">Common_InputFunctions.Utility_DisplayArrayInTable(Common_SourceData.Common_SourceData_MCFTemperatureZone_Data(),Table_SourceData_Common_MCFTemperatureZone[[#Headers],[Temperature zone]],0)</f>
        <v>0.04</v>
      </c>
      <c r="N241" s="28" cm="1">
        <f t="array" ref="N241">Common_InputFunctions.Utility_DisplayArrayInTable(Common_SourceData.Common_SourceData_MCFTemperatureZone_Data(),Table_SourceData_Common_MCFTemperatureZone[[#Headers],[Temperature zone]],0)</f>
        <v>1.4999999999999999E-2</v>
      </c>
      <c r="O241" s="28" cm="1">
        <f t="array" ref="O241">Common_InputFunctions.Utility_DisplayArrayInTable(Common_SourceData.Common_SourceData_MCFTemperatureZone_Data(),Table_SourceData_Common_MCFTemperatureZone[[#Headers],[Temperature zone]],0)</f>
        <v>1.4999999999999999E-2</v>
      </c>
      <c r="P241" s="28" cm="1">
        <f t="array" ref="P241">Common_InputFunctions.Utility_DisplayArrayInTable(Common_SourceData.Common_SourceData_MCFTemperatureZone_Data(),Table_SourceData_Common_MCFTemperatureZone[[#Headers],[Temperature zone]],0)</f>
        <v>0</v>
      </c>
      <c r="Q241" s="28" cm="1">
        <f t="array" ref="Q241">Common_InputFunctions.Utility_DisplayArrayInTable(Common_SourceData.Common_SourceData_MCFTemperatureZone_Data(),Table_SourceData_Common_MCFTemperatureZone[[#Headers],[Temperature zone]],0)</f>
        <v>0</v>
      </c>
      <c r="R241" s="28" cm="1">
        <f t="array" ref="R241">Common_InputFunctions.Utility_DisplayArrayInTable(Common_SourceData.Common_SourceData_MCFTemperatureZone_Data(),Table_SourceData_Common_MCFTemperatureZone[[#Headers],[Temperature zone]],0)</f>
        <v>4.7000000000000002E-3</v>
      </c>
      <c r="S241" s="2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8" cm="1">
        <f t="array" ref="E242">Common_InputFunctions.Utility_DisplayArrayInTable(Common_SourceData.Common_SourceData_MCFTemperatureZone_Data(),Table_SourceData_Common_MCFTemperatureZone[[#Headers],[Temperature zone]],0)</f>
        <v>20</v>
      </c>
      <c r="F242" s="28" cm="1">
        <f t="array" ref="F242">Common_InputFunctions.Utility_DisplayArrayInTable(Common_SourceData.Common_SourceData_MCFTemperatureZone_Data(),Table_SourceData_Common_MCFTemperatureZone[[#Headers],[Temperature zone]],0)</f>
        <v>0.78</v>
      </c>
      <c r="G242" s="28" cm="1">
        <f t="array" ref="G242">Common_InputFunctions.Utility_DisplayArrayInTable(Common_SourceData.Common_SourceData_MCFTemperatureZone_Data(),Table_SourceData_Common_MCFTemperatureZone[[#Headers],[Temperature zone]],0)</f>
        <v>0.1</v>
      </c>
      <c r="H242" s="28" cm="1">
        <f t="array" ref="H242">Common_InputFunctions.Utility_DisplayArrayInTable(Common_SourceData.Common_SourceData_MCFTemperatureZone_Data(),Table_SourceData_Common_MCFTemperatureZone[[#Headers],[Temperature zone]],0)</f>
        <v>0.26</v>
      </c>
      <c r="I242" s="28" cm="1">
        <f t="array" ref="I242">Common_InputFunctions.Utility_DisplayArrayInTable(Common_SourceData.Common_SourceData_MCFTemperatureZone_Data(),Table_SourceData_Common_MCFTemperatureZone[[#Headers],[Temperature zone]],0)</f>
        <v>5.0000000000000001E-3</v>
      </c>
      <c r="J242" s="28" cm="1">
        <f t="array" ref="J242">Common_InputFunctions.Utility_DisplayArrayInTable(Common_SourceData.Common_SourceData_MCFTemperatureZone_Data(),Table_SourceData_Common_MCFTemperatureZone[[#Headers],[Temperature zone]],0)</f>
        <v>0.01</v>
      </c>
      <c r="K242" s="28" cm="1">
        <f t="array" ref="K242">Common_InputFunctions.Utility_DisplayArrayInTable(Common_SourceData.Common_SourceData_MCFTemperatureZone_Data(),Table_SourceData_Common_MCFTemperatureZone[[#Headers],[Temperature zone]],0)</f>
        <v>0.02</v>
      </c>
      <c r="L242" s="28" cm="1">
        <f t="array" ref="L242">Common_InputFunctions.Utility_DisplayArrayInTable(Common_SourceData.Common_SourceData_MCFTemperatureZone_Data(),Table_SourceData_Common_MCFTemperatureZone[[#Headers],[Temperature zone]],0)</f>
        <v>0.03</v>
      </c>
      <c r="M242" s="28" cm="1">
        <f t="array" ref="M242">Common_InputFunctions.Utility_DisplayArrayInTable(Common_SourceData.Common_SourceData_MCFTemperatureZone_Data(),Table_SourceData_Common_MCFTemperatureZone[[#Headers],[Temperature zone]],0)</f>
        <v>0.04</v>
      </c>
      <c r="N242" s="28" cm="1">
        <f t="array" ref="N242">Common_InputFunctions.Utility_DisplayArrayInTable(Common_SourceData.Common_SourceData_MCFTemperatureZone_Data(),Table_SourceData_Common_MCFTemperatureZone[[#Headers],[Temperature zone]],0)</f>
        <v>1.4999999999999999E-2</v>
      </c>
      <c r="O242" s="28" cm="1">
        <f t="array" ref="O242">Common_InputFunctions.Utility_DisplayArrayInTable(Common_SourceData.Common_SourceData_MCFTemperatureZone_Data(),Table_SourceData_Common_MCFTemperatureZone[[#Headers],[Temperature zone]],0)</f>
        <v>1.4999999999999999E-2</v>
      </c>
      <c r="P242" s="28" cm="1">
        <f t="array" ref="P242">Common_InputFunctions.Utility_DisplayArrayInTable(Common_SourceData.Common_SourceData_MCFTemperatureZone_Data(),Table_SourceData_Common_MCFTemperatureZone[[#Headers],[Temperature zone]],0)</f>
        <v>0</v>
      </c>
      <c r="Q242" s="28" cm="1">
        <f t="array" ref="Q242">Common_InputFunctions.Utility_DisplayArrayInTable(Common_SourceData.Common_SourceData_MCFTemperatureZone_Data(),Table_SourceData_Common_MCFTemperatureZone[[#Headers],[Temperature zone]],0)</f>
        <v>0</v>
      </c>
      <c r="R242" s="28" cm="1">
        <f t="array" ref="R242">Common_InputFunctions.Utility_DisplayArrayInTable(Common_SourceData.Common_SourceData_MCFTemperatureZone_Data(),Table_SourceData_Common_MCFTemperatureZone[[#Headers],[Temperature zone]],0)</f>
        <v>4.7000000000000002E-3</v>
      </c>
      <c r="S242" s="2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8" cm="1">
        <f t="array" ref="E243">Common_InputFunctions.Utility_DisplayArrayInTable(Common_SourceData.Common_SourceData_MCFTemperatureZone_Data(),Table_SourceData_Common_MCFTemperatureZone[[#Headers],[Temperature zone]],0)</f>
        <v>21</v>
      </c>
      <c r="F243" s="28" cm="1">
        <f t="array" ref="F243">Common_InputFunctions.Utility_DisplayArrayInTable(Common_SourceData.Common_SourceData_MCFTemperatureZone_Data(),Table_SourceData_Common_MCFTemperatureZone[[#Headers],[Temperature zone]],0)</f>
        <v>0.78</v>
      </c>
      <c r="G243" s="28" cm="1">
        <f t="array" ref="G243">Common_InputFunctions.Utility_DisplayArrayInTable(Common_SourceData.Common_SourceData_MCFTemperatureZone_Data(),Table_SourceData_Common_MCFTemperatureZone[[#Headers],[Temperature zone]],0)</f>
        <v>0.1</v>
      </c>
      <c r="H243" s="28" cm="1">
        <f t="array" ref="H243">Common_InputFunctions.Utility_DisplayArrayInTable(Common_SourceData.Common_SourceData_MCFTemperatureZone_Data(),Table_SourceData_Common_MCFTemperatureZone[[#Headers],[Temperature zone]],0)</f>
        <v>0.28999999999999998</v>
      </c>
      <c r="I243" s="28" cm="1">
        <f t="array" ref="I243">Common_InputFunctions.Utility_DisplayArrayInTable(Common_SourceData.Common_SourceData_MCFTemperatureZone_Data(),Table_SourceData_Common_MCFTemperatureZone[[#Headers],[Temperature zone]],0)</f>
        <v>5.0000000000000001E-3</v>
      </c>
      <c r="J243" s="28" cm="1">
        <f t="array" ref="J243">Common_InputFunctions.Utility_DisplayArrayInTable(Common_SourceData.Common_SourceData_MCFTemperatureZone_Data(),Table_SourceData_Common_MCFTemperatureZone[[#Headers],[Temperature zone]],0)</f>
        <v>0.01</v>
      </c>
      <c r="K243" s="28" cm="1">
        <f t="array" ref="K243">Common_InputFunctions.Utility_DisplayArrayInTable(Common_SourceData.Common_SourceData_MCFTemperatureZone_Data(),Table_SourceData_Common_MCFTemperatureZone[[#Headers],[Temperature zone]],0)</f>
        <v>0.02</v>
      </c>
      <c r="L243" s="28" cm="1">
        <f t="array" ref="L243">Common_InputFunctions.Utility_DisplayArrayInTable(Common_SourceData.Common_SourceData_MCFTemperatureZone_Data(),Table_SourceData_Common_MCFTemperatureZone[[#Headers],[Temperature zone]],0)</f>
        <v>0.03</v>
      </c>
      <c r="M243" s="28" cm="1">
        <f t="array" ref="M243">Common_InputFunctions.Utility_DisplayArrayInTable(Common_SourceData.Common_SourceData_MCFTemperatureZone_Data(),Table_SourceData_Common_MCFTemperatureZone[[#Headers],[Temperature zone]],0)</f>
        <v>0.04</v>
      </c>
      <c r="N243" s="28" cm="1">
        <f t="array" ref="N243">Common_InputFunctions.Utility_DisplayArrayInTable(Common_SourceData.Common_SourceData_MCFTemperatureZone_Data(),Table_SourceData_Common_MCFTemperatureZone[[#Headers],[Temperature zone]],0)</f>
        <v>1.4999999999999999E-2</v>
      </c>
      <c r="O243" s="28" cm="1">
        <f t="array" ref="O243">Common_InputFunctions.Utility_DisplayArrayInTable(Common_SourceData.Common_SourceData_MCFTemperatureZone_Data(),Table_SourceData_Common_MCFTemperatureZone[[#Headers],[Temperature zone]],0)</f>
        <v>1.4999999999999999E-2</v>
      </c>
      <c r="P243" s="28" cm="1">
        <f t="array" ref="P243">Common_InputFunctions.Utility_DisplayArrayInTable(Common_SourceData.Common_SourceData_MCFTemperatureZone_Data(),Table_SourceData_Common_MCFTemperatureZone[[#Headers],[Temperature zone]],0)</f>
        <v>0</v>
      </c>
      <c r="Q243" s="28" cm="1">
        <f t="array" ref="Q243">Common_InputFunctions.Utility_DisplayArrayInTable(Common_SourceData.Common_SourceData_MCFTemperatureZone_Data(),Table_SourceData_Common_MCFTemperatureZone[[#Headers],[Temperature zone]],0)</f>
        <v>0</v>
      </c>
      <c r="R243" s="28" cm="1">
        <f t="array" ref="R243">Common_InputFunctions.Utility_DisplayArrayInTable(Common_SourceData.Common_SourceData_MCFTemperatureZone_Data(),Table_SourceData_Common_MCFTemperatureZone[[#Headers],[Temperature zone]],0)</f>
        <v>4.7000000000000002E-3</v>
      </c>
      <c r="S243" s="2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8" cm="1">
        <f t="array" ref="E244">Common_InputFunctions.Utility_DisplayArrayInTable(Common_SourceData.Common_SourceData_MCFTemperatureZone_Data(),Table_SourceData_Common_MCFTemperatureZone[[#Headers],[Temperature zone]],0)</f>
        <v>22</v>
      </c>
      <c r="F244" s="28" cm="1">
        <f t="array" ref="F244">Common_InputFunctions.Utility_DisplayArrayInTable(Common_SourceData.Common_SourceData_MCFTemperatureZone_Data(),Table_SourceData_Common_MCFTemperatureZone[[#Headers],[Temperature zone]],0)</f>
        <v>0.78</v>
      </c>
      <c r="G244" s="28" cm="1">
        <f t="array" ref="G244">Common_InputFunctions.Utility_DisplayArrayInTable(Common_SourceData.Common_SourceData_MCFTemperatureZone_Data(),Table_SourceData_Common_MCFTemperatureZone[[#Headers],[Temperature zone]],0)</f>
        <v>0.1</v>
      </c>
      <c r="H244" s="28" cm="1">
        <f t="array" ref="H244">Common_InputFunctions.Utility_DisplayArrayInTable(Common_SourceData.Common_SourceData_MCFTemperatureZone_Data(),Table_SourceData_Common_MCFTemperatureZone[[#Headers],[Temperature zone]],0)</f>
        <v>0.31</v>
      </c>
      <c r="I244" s="28" cm="1">
        <f t="array" ref="I244">Common_InputFunctions.Utility_DisplayArrayInTable(Common_SourceData.Common_SourceData_MCFTemperatureZone_Data(),Table_SourceData_Common_MCFTemperatureZone[[#Headers],[Temperature zone]],0)</f>
        <v>5.0000000000000001E-3</v>
      </c>
      <c r="J244" s="28" cm="1">
        <f t="array" ref="J244">Common_InputFunctions.Utility_DisplayArrayInTable(Common_SourceData.Common_SourceData_MCFTemperatureZone_Data(),Table_SourceData_Common_MCFTemperatureZone[[#Headers],[Temperature zone]],0)</f>
        <v>0.01</v>
      </c>
      <c r="K244" s="28" cm="1">
        <f t="array" ref="K244">Common_InputFunctions.Utility_DisplayArrayInTable(Common_SourceData.Common_SourceData_MCFTemperatureZone_Data(),Table_SourceData_Common_MCFTemperatureZone[[#Headers],[Temperature zone]],0)</f>
        <v>0.02</v>
      </c>
      <c r="L244" s="28" cm="1">
        <f t="array" ref="L244">Common_InputFunctions.Utility_DisplayArrayInTable(Common_SourceData.Common_SourceData_MCFTemperatureZone_Data(),Table_SourceData_Common_MCFTemperatureZone[[#Headers],[Temperature zone]],0)</f>
        <v>0.03</v>
      </c>
      <c r="M244" s="28" cm="1">
        <f t="array" ref="M244">Common_InputFunctions.Utility_DisplayArrayInTable(Common_SourceData.Common_SourceData_MCFTemperatureZone_Data(),Table_SourceData_Common_MCFTemperatureZone[[#Headers],[Temperature zone]],0)</f>
        <v>0.04</v>
      </c>
      <c r="N244" s="28" cm="1">
        <f t="array" ref="N244">Common_InputFunctions.Utility_DisplayArrayInTable(Common_SourceData.Common_SourceData_MCFTemperatureZone_Data(),Table_SourceData_Common_MCFTemperatureZone[[#Headers],[Temperature zone]],0)</f>
        <v>1.4999999999999999E-2</v>
      </c>
      <c r="O244" s="28" cm="1">
        <f t="array" ref="O244">Common_InputFunctions.Utility_DisplayArrayInTable(Common_SourceData.Common_SourceData_MCFTemperatureZone_Data(),Table_SourceData_Common_MCFTemperatureZone[[#Headers],[Temperature zone]],0)</f>
        <v>1.4999999999999999E-2</v>
      </c>
      <c r="P244" s="28" cm="1">
        <f t="array" ref="P244">Common_InputFunctions.Utility_DisplayArrayInTable(Common_SourceData.Common_SourceData_MCFTemperatureZone_Data(),Table_SourceData_Common_MCFTemperatureZone[[#Headers],[Temperature zone]],0)</f>
        <v>0</v>
      </c>
      <c r="Q244" s="28" cm="1">
        <f t="array" ref="Q244">Common_InputFunctions.Utility_DisplayArrayInTable(Common_SourceData.Common_SourceData_MCFTemperatureZone_Data(),Table_SourceData_Common_MCFTemperatureZone[[#Headers],[Temperature zone]],0)</f>
        <v>0</v>
      </c>
      <c r="R244" s="28" cm="1">
        <f t="array" ref="R244">Common_InputFunctions.Utility_DisplayArrayInTable(Common_SourceData.Common_SourceData_MCFTemperatureZone_Data(),Table_SourceData_Common_MCFTemperatureZone[[#Headers],[Temperature zone]],0)</f>
        <v>4.7000000000000002E-3</v>
      </c>
      <c r="S244" s="2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8" cm="1">
        <f t="array" ref="E245">Common_InputFunctions.Utility_DisplayArrayInTable(Common_SourceData.Common_SourceData_MCFTemperatureZone_Data(),Table_SourceData_Common_MCFTemperatureZone[[#Headers],[Temperature zone]],0)</f>
        <v>23</v>
      </c>
      <c r="F245" s="28" cm="1">
        <f t="array" ref="F245">Common_InputFunctions.Utility_DisplayArrayInTable(Common_SourceData.Common_SourceData_MCFTemperatureZone_Data(),Table_SourceData_Common_MCFTemperatureZone[[#Headers],[Temperature zone]],0)</f>
        <v>0.79</v>
      </c>
      <c r="G245" s="28" cm="1">
        <f t="array" ref="G245">Common_InputFunctions.Utility_DisplayArrayInTable(Common_SourceData.Common_SourceData_MCFTemperatureZone_Data(),Table_SourceData_Common_MCFTemperatureZone[[#Headers],[Temperature zone]],0)</f>
        <v>0.1</v>
      </c>
      <c r="H245" s="28" cm="1">
        <f t="array" ref="H245">Common_InputFunctions.Utility_DisplayArrayInTable(Common_SourceData.Common_SourceData_MCFTemperatureZone_Data(),Table_SourceData_Common_MCFTemperatureZone[[#Headers],[Temperature zone]],0)</f>
        <v>0.34</v>
      </c>
      <c r="I245" s="28" cm="1">
        <f t="array" ref="I245">Common_InputFunctions.Utility_DisplayArrayInTable(Common_SourceData.Common_SourceData_MCFTemperatureZone_Data(),Table_SourceData_Common_MCFTemperatureZone[[#Headers],[Temperature zone]],0)</f>
        <v>5.0000000000000001E-3</v>
      </c>
      <c r="J245" s="28" cm="1">
        <f t="array" ref="J245">Common_InputFunctions.Utility_DisplayArrayInTable(Common_SourceData.Common_SourceData_MCFTemperatureZone_Data(),Table_SourceData_Common_MCFTemperatureZone[[#Headers],[Temperature zone]],0)</f>
        <v>0.01</v>
      </c>
      <c r="K245" s="28" cm="1">
        <f t="array" ref="K245">Common_InputFunctions.Utility_DisplayArrayInTable(Common_SourceData.Common_SourceData_MCFTemperatureZone_Data(),Table_SourceData_Common_MCFTemperatureZone[[#Headers],[Temperature zone]],0)</f>
        <v>0.02</v>
      </c>
      <c r="L245" s="28" cm="1">
        <f t="array" ref="L245">Common_InputFunctions.Utility_DisplayArrayInTable(Common_SourceData.Common_SourceData_MCFTemperatureZone_Data(),Table_SourceData_Common_MCFTemperatureZone[[#Headers],[Temperature zone]],0)</f>
        <v>0.03</v>
      </c>
      <c r="M245" s="28" cm="1">
        <f t="array" ref="M245">Common_InputFunctions.Utility_DisplayArrayInTable(Common_SourceData.Common_SourceData_MCFTemperatureZone_Data(),Table_SourceData_Common_MCFTemperatureZone[[#Headers],[Temperature zone]],0)</f>
        <v>0.04</v>
      </c>
      <c r="N245" s="28" cm="1">
        <f t="array" ref="N245">Common_InputFunctions.Utility_DisplayArrayInTable(Common_SourceData.Common_SourceData_MCFTemperatureZone_Data(),Table_SourceData_Common_MCFTemperatureZone[[#Headers],[Temperature zone]],0)</f>
        <v>1.4999999999999999E-2</v>
      </c>
      <c r="O245" s="28" cm="1">
        <f t="array" ref="O245">Common_InputFunctions.Utility_DisplayArrayInTable(Common_SourceData.Common_SourceData_MCFTemperatureZone_Data(),Table_SourceData_Common_MCFTemperatureZone[[#Headers],[Temperature zone]],0)</f>
        <v>1.4999999999999999E-2</v>
      </c>
      <c r="P245" s="28" cm="1">
        <f t="array" ref="P245">Common_InputFunctions.Utility_DisplayArrayInTable(Common_SourceData.Common_SourceData_MCFTemperatureZone_Data(),Table_SourceData_Common_MCFTemperatureZone[[#Headers],[Temperature zone]],0)</f>
        <v>0</v>
      </c>
      <c r="Q245" s="28" cm="1">
        <f t="array" ref="Q245">Common_InputFunctions.Utility_DisplayArrayInTable(Common_SourceData.Common_SourceData_MCFTemperatureZone_Data(),Table_SourceData_Common_MCFTemperatureZone[[#Headers],[Temperature zone]],0)</f>
        <v>0</v>
      </c>
      <c r="R245" s="28" cm="1">
        <f t="array" ref="R245">Common_InputFunctions.Utility_DisplayArrayInTable(Common_SourceData.Common_SourceData_MCFTemperatureZone_Data(),Table_SourceData_Common_MCFTemperatureZone[[#Headers],[Temperature zone]],0)</f>
        <v>4.7000000000000002E-3</v>
      </c>
      <c r="S245" s="2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8" cm="1">
        <f t="array" ref="E246">Common_InputFunctions.Utility_DisplayArrayInTable(Common_SourceData.Common_SourceData_MCFTemperatureZone_Data(),Table_SourceData_Common_MCFTemperatureZone[[#Headers],[Temperature zone]],0)</f>
        <v>24</v>
      </c>
      <c r="F246" s="28" cm="1">
        <f t="array" ref="F246">Common_InputFunctions.Utility_DisplayArrayInTable(Common_SourceData.Common_SourceData_MCFTemperatureZone_Data(),Table_SourceData_Common_MCFTemperatureZone[[#Headers],[Temperature zone]],0)</f>
        <v>0.79</v>
      </c>
      <c r="G246" s="28" cm="1">
        <f t="array" ref="G246">Common_InputFunctions.Utility_DisplayArrayInTable(Common_SourceData.Common_SourceData_MCFTemperatureZone_Data(),Table_SourceData_Common_MCFTemperatureZone[[#Headers],[Temperature zone]],0)</f>
        <v>0.1</v>
      </c>
      <c r="H246" s="28" cm="1">
        <f t="array" ref="H246">Common_InputFunctions.Utility_DisplayArrayInTable(Common_SourceData.Common_SourceData_MCFTemperatureZone_Data(),Table_SourceData_Common_MCFTemperatureZone[[#Headers],[Temperature zone]],0)</f>
        <v>0.37</v>
      </c>
      <c r="I246" s="28" cm="1">
        <f t="array" ref="I246">Common_InputFunctions.Utility_DisplayArrayInTable(Common_SourceData.Common_SourceData_MCFTemperatureZone_Data(),Table_SourceData_Common_MCFTemperatureZone[[#Headers],[Temperature zone]],0)</f>
        <v>5.0000000000000001E-3</v>
      </c>
      <c r="J246" s="28" cm="1">
        <f t="array" ref="J246">Common_InputFunctions.Utility_DisplayArrayInTable(Common_SourceData.Common_SourceData_MCFTemperatureZone_Data(),Table_SourceData_Common_MCFTemperatureZone[[#Headers],[Temperature zone]],0)</f>
        <v>0.01</v>
      </c>
      <c r="K246" s="28" cm="1">
        <f t="array" ref="K246">Common_InputFunctions.Utility_DisplayArrayInTable(Common_SourceData.Common_SourceData_MCFTemperatureZone_Data(),Table_SourceData_Common_MCFTemperatureZone[[#Headers],[Temperature zone]],0)</f>
        <v>0.02</v>
      </c>
      <c r="L246" s="28" cm="1">
        <f t="array" ref="L246">Common_InputFunctions.Utility_DisplayArrayInTable(Common_SourceData.Common_SourceData_MCFTemperatureZone_Data(),Table_SourceData_Common_MCFTemperatureZone[[#Headers],[Temperature zone]],0)</f>
        <v>0.03</v>
      </c>
      <c r="M246" s="28" cm="1">
        <f t="array" ref="M246">Common_InputFunctions.Utility_DisplayArrayInTable(Common_SourceData.Common_SourceData_MCFTemperatureZone_Data(),Table_SourceData_Common_MCFTemperatureZone[[#Headers],[Temperature zone]],0)</f>
        <v>0.04</v>
      </c>
      <c r="N246" s="28" cm="1">
        <f t="array" ref="N246">Common_InputFunctions.Utility_DisplayArrayInTable(Common_SourceData.Common_SourceData_MCFTemperatureZone_Data(),Table_SourceData_Common_MCFTemperatureZone[[#Headers],[Temperature zone]],0)</f>
        <v>1.4999999999999999E-2</v>
      </c>
      <c r="O246" s="28" cm="1">
        <f t="array" ref="O246">Common_InputFunctions.Utility_DisplayArrayInTable(Common_SourceData.Common_SourceData_MCFTemperatureZone_Data(),Table_SourceData_Common_MCFTemperatureZone[[#Headers],[Temperature zone]],0)</f>
        <v>1.4999999999999999E-2</v>
      </c>
      <c r="P246" s="28" cm="1">
        <f t="array" ref="P246">Common_InputFunctions.Utility_DisplayArrayInTable(Common_SourceData.Common_SourceData_MCFTemperatureZone_Data(),Table_SourceData_Common_MCFTemperatureZone[[#Headers],[Temperature zone]],0)</f>
        <v>0</v>
      </c>
      <c r="Q246" s="28" cm="1">
        <f t="array" ref="Q246">Common_InputFunctions.Utility_DisplayArrayInTable(Common_SourceData.Common_SourceData_MCFTemperatureZone_Data(),Table_SourceData_Common_MCFTemperatureZone[[#Headers],[Temperature zone]],0)</f>
        <v>0</v>
      </c>
      <c r="R246" s="28" cm="1">
        <f t="array" ref="R246">Common_InputFunctions.Utility_DisplayArrayInTable(Common_SourceData.Common_SourceData_MCFTemperatureZone_Data(),Table_SourceData_Common_MCFTemperatureZone[[#Headers],[Temperature zone]],0)</f>
        <v>4.7000000000000002E-3</v>
      </c>
      <c r="S246" s="2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8" cm="1">
        <f t="array" ref="E247">Common_InputFunctions.Utility_DisplayArrayInTable(Common_SourceData.Common_SourceData_MCFTemperatureZone_Data(),Table_SourceData_Common_MCFTemperatureZone[[#Headers],[Temperature zone]],0)</f>
        <v>25</v>
      </c>
      <c r="F247" s="28" cm="1">
        <f t="array" ref="F247">Common_InputFunctions.Utility_DisplayArrayInTable(Common_SourceData.Common_SourceData_MCFTemperatureZone_Data(),Table_SourceData_Common_MCFTemperatureZone[[#Headers],[Temperature zone]],0)</f>
        <v>0.79</v>
      </c>
      <c r="G247" s="28" cm="1">
        <f t="array" ref="G247">Common_InputFunctions.Utility_DisplayArrayInTable(Common_SourceData.Common_SourceData_MCFTemperatureZone_Data(),Table_SourceData_Common_MCFTemperatureZone[[#Headers],[Temperature zone]],0)</f>
        <v>0.1</v>
      </c>
      <c r="H247" s="28" cm="1">
        <f t="array" ref="H247">Common_InputFunctions.Utility_DisplayArrayInTable(Common_SourceData.Common_SourceData_MCFTemperatureZone_Data(),Table_SourceData_Common_MCFTemperatureZone[[#Headers],[Temperature zone]],0)</f>
        <v>0.41</v>
      </c>
      <c r="I247" s="28" cm="1">
        <f t="array" ref="I247">Common_InputFunctions.Utility_DisplayArrayInTable(Common_SourceData.Common_SourceData_MCFTemperatureZone_Data(),Table_SourceData_Common_MCFTemperatureZone[[#Headers],[Temperature zone]],0)</f>
        <v>5.0000000000000001E-3</v>
      </c>
      <c r="J247" s="28" cm="1">
        <f t="array" ref="J247">Common_InputFunctions.Utility_DisplayArrayInTable(Common_SourceData.Common_SourceData_MCFTemperatureZone_Data(),Table_SourceData_Common_MCFTemperatureZone[[#Headers],[Temperature zone]],0)</f>
        <v>0.01</v>
      </c>
      <c r="K247" s="28" cm="1">
        <f t="array" ref="K247">Common_InputFunctions.Utility_DisplayArrayInTable(Common_SourceData.Common_SourceData_MCFTemperatureZone_Data(),Table_SourceData_Common_MCFTemperatureZone[[#Headers],[Temperature zone]],0)</f>
        <v>0.02</v>
      </c>
      <c r="L247" s="28" cm="1">
        <f t="array" ref="L247">Common_InputFunctions.Utility_DisplayArrayInTable(Common_SourceData.Common_SourceData_MCFTemperatureZone_Data(),Table_SourceData_Common_MCFTemperatureZone[[#Headers],[Temperature zone]],0)</f>
        <v>0.03</v>
      </c>
      <c r="M247" s="28" cm="1">
        <f t="array" ref="M247">Common_InputFunctions.Utility_DisplayArrayInTable(Common_SourceData.Common_SourceData_MCFTemperatureZone_Data(),Table_SourceData_Common_MCFTemperatureZone[[#Headers],[Temperature zone]],0)</f>
        <v>0.04</v>
      </c>
      <c r="N247" s="28" cm="1">
        <f t="array" ref="N247">Common_InputFunctions.Utility_DisplayArrayInTable(Common_SourceData.Common_SourceData_MCFTemperatureZone_Data(),Table_SourceData_Common_MCFTemperatureZone[[#Headers],[Temperature zone]],0)</f>
        <v>1.4999999999999999E-2</v>
      </c>
      <c r="O247" s="28" cm="1">
        <f t="array" ref="O247">Common_InputFunctions.Utility_DisplayArrayInTable(Common_SourceData.Common_SourceData_MCFTemperatureZone_Data(),Table_SourceData_Common_MCFTemperatureZone[[#Headers],[Temperature zone]],0)</f>
        <v>1.4999999999999999E-2</v>
      </c>
      <c r="P247" s="28" cm="1">
        <f t="array" ref="P247">Common_InputFunctions.Utility_DisplayArrayInTable(Common_SourceData.Common_SourceData_MCFTemperatureZone_Data(),Table_SourceData_Common_MCFTemperatureZone[[#Headers],[Temperature zone]],0)</f>
        <v>0</v>
      </c>
      <c r="Q247" s="28" cm="1">
        <f t="array" ref="Q247">Common_InputFunctions.Utility_DisplayArrayInTable(Common_SourceData.Common_SourceData_MCFTemperatureZone_Data(),Table_SourceData_Common_MCFTemperatureZone[[#Headers],[Temperature zone]],0)</f>
        <v>0</v>
      </c>
      <c r="R247" s="28" cm="1">
        <f t="array" ref="R247">Common_InputFunctions.Utility_DisplayArrayInTable(Common_SourceData.Common_SourceData_MCFTemperatureZone_Data(),Table_SourceData_Common_MCFTemperatureZone[[#Headers],[Temperature zone]],0)</f>
        <v>4.7000000000000002E-3</v>
      </c>
      <c r="S247" s="2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8" cm="1">
        <f t="array" ref="E248">Common_InputFunctions.Utility_DisplayArrayInTable(Common_SourceData.Common_SourceData_MCFTemperatureZone_Data(),Table_SourceData_Common_MCFTemperatureZone[[#Headers],[Temperature zone]],0)</f>
        <v>26</v>
      </c>
      <c r="F248" s="28" cm="1">
        <f t="array" ref="F248">Common_InputFunctions.Utility_DisplayArrayInTable(Common_SourceData.Common_SourceData_MCFTemperatureZone_Data(),Table_SourceData_Common_MCFTemperatureZone[[#Headers],[Temperature zone]],0)</f>
        <v>0.79</v>
      </c>
      <c r="G248" s="28" cm="1">
        <f t="array" ref="G248">Common_InputFunctions.Utility_DisplayArrayInTable(Common_SourceData.Common_SourceData_MCFTemperatureZone_Data(),Table_SourceData_Common_MCFTemperatureZone[[#Headers],[Temperature zone]],0)</f>
        <v>0.1</v>
      </c>
      <c r="H248" s="28" cm="1">
        <f t="array" ref="H248">Common_InputFunctions.Utility_DisplayArrayInTable(Common_SourceData.Common_SourceData_MCFTemperatureZone_Data(),Table_SourceData_Common_MCFTemperatureZone[[#Headers],[Temperature zone]],0)</f>
        <v>0.44</v>
      </c>
      <c r="I248" s="28" cm="1">
        <f t="array" ref="I248">Common_InputFunctions.Utility_DisplayArrayInTable(Common_SourceData.Common_SourceData_MCFTemperatureZone_Data(),Table_SourceData_Common_MCFTemperatureZone[[#Headers],[Temperature zone]],0)</f>
        <v>0.01</v>
      </c>
      <c r="J248" s="28" cm="1">
        <f t="array" ref="J248">Common_InputFunctions.Utility_DisplayArrayInTable(Common_SourceData.Common_SourceData_MCFTemperatureZone_Data(),Table_SourceData_Common_MCFTemperatureZone[[#Headers],[Temperature zone]],0)</f>
        <v>1.4999999999999999E-2</v>
      </c>
      <c r="K248" s="28" cm="1">
        <f t="array" ref="K248">Common_InputFunctions.Utility_DisplayArrayInTable(Common_SourceData.Common_SourceData_MCFTemperatureZone_Data(),Table_SourceData_Common_MCFTemperatureZone[[#Headers],[Temperature zone]],0)</f>
        <v>0.02</v>
      </c>
      <c r="L248" s="28" cm="1">
        <f t="array" ref="L248">Common_InputFunctions.Utility_DisplayArrayInTable(Common_SourceData.Common_SourceData_MCFTemperatureZone_Data(),Table_SourceData_Common_MCFTemperatureZone[[#Headers],[Temperature zone]],0)</f>
        <v>0.03</v>
      </c>
      <c r="M248" s="28" cm="1">
        <f t="array" ref="M248">Common_InputFunctions.Utility_DisplayArrayInTable(Common_SourceData.Common_SourceData_MCFTemperatureZone_Data(),Table_SourceData_Common_MCFTemperatureZone[[#Headers],[Temperature zone]],0)</f>
        <v>0.04</v>
      </c>
      <c r="N248" s="28" cm="1">
        <f t="array" ref="N248">Common_InputFunctions.Utility_DisplayArrayInTable(Common_SourceData.Common_SourceData_MCFTemperatureZone_Data(),Table_SourceData_Common_MCFTemperatureZone[[#Headers],[Temperature zone]],0)</f>
        <v>1.4999999999999999E-2</v>
      </c>
      <c r="O248" s="28" cm="1">
        <f t="array" ref="O248">Common_InputFunctions.Utility_DisplayArrayInTable(Common_SourceData.Common_SourceData_MCFTemperatureZone_Data(),Table_SourceData_Common_MCFTemperatureZone[[#Headers],[Temperature zone]],0)</f>
        <v>1.4999999999999999E-2</v>
      </c>
      <c r="P248" s="28" cm="1">
        <f t="array" ref="P248">Common_InputFunctions.Utility_DisplayArrayInTable(Common_SourceData.Common_SourceData_MCFTemperatureZone_Data(),Table_SourceData_Common_MCFTemperatureZone[[#Headers],[Temperature zone]],0)</f>
        <v>0</v>
      </c>
      <c r="Q248" s="28" cm="1">
        <f t="array" ref="Q248">Common_InputFunctions.Utility_DisplayArrayInTable(Common_SourceData.Common_SourceData_MCFTemperatureZone_Data(),Table_SourceData_Common_MCFTemperatureZone[[#Headers],[Temperature zone]],0)</f>
        <v>0</v>
      </c>
      <c r="R248" s="28" cm="1">
        <f t="array" ref="R248">Common_InputFunctions.Utility_DisplayArrayInTable(Common_SourceData.Common_SourceData_MCFTemperatureZone_Data(),Table_SourceData_Common_MCFTemperatureZone[[#Headers],[Temperature zone]],0)</f>
        <v>4.7000000000000002E-3</v>
      </c>
      <c r="S248" s="2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8" cm="1">
        <f t="array" ref="E249">Common_InputFunctions.Utility_DisplayArrayInTable(Common_SourceData.Common_SourceData_MCFTemperatureZone_Data(),Table_SourceData_Common_MCFTemperatureZone[[#Headers],[Temperature zone]],0)</f>
        <v>27</v>
      </c>
      <c r="F249" s="28" cm="1">
        <f t="array" ref="F249">Common_InputFunctions.Utility_DisplayArrayInTable(Common_SourceData.Common_SourceData_MCFTemperatureZone_Data(),Table_SourceData_Common_MCFTemperatureZone[[#Headers],[Temperature zone]],0)</f>
        <v>0.8</v>
      </c>
      <c r="G249" s="28" cm="1">
        <f t="array" ref="G249">Common_InputFunctions.Utility_DisplayArrayInTable(Common_SourceData.Common_SourceData_MCFTemperatureZone_Data(),Table_SourceData_Common_MCFTemperatureZone[[#Headers],[Temperature zone]],0)</f>
        <v>0.1</v>
      </c>
      <c r="H249" s="28" cm="1">
        <f t="array" ref="H249">Common_InputFunctions.Utility_DisplayArrayInTable(Common_SourceData.Common_SourceData_MCFTemperatureZone_Data(),Table_SourceData_Common_MCFTemperatureZone[[#Headers],[Temperature zone]],0)</f>
        <v>0.48</v>
      </c>
      <c r="I249" s="28" cm="1">
        <f t="array" ref="I249">Common_InputFunctions.Utility_DisplayArrayInTable(Common_SourceData.Common_SourceData_MCFTemperatureZone_Data(),Table_SourceData_Common_MCFTemperatureZone[[#Headers],[Temperature zone]],0)</f>
        <v>0.01</v>
      </c>
      <c r="J249" s="28" cm="1">
        <f t="array" ref="J249">Common_InputFunctions.Utility_DisplayArrayInTable(Common_SourceData.Common_SourceData_MCFTemperatureZone_Data(),Table_SourceData_Common_MCFTemperatureZone[[#Headers],[Temperature zone]],0)</f>
        <v>1.4999999999999999E-2</v>
      </c>
      <c r="K249" s="28" cm="1">
        <f t="array" ref="K249">Common_InputFunctions.Utility_DisplayArrayInTable(Common_SourceData.Common_SourceData_MCFTemperatureZone_Data(),Table_SourceData_Common_MCFTemperatureZone[[#Headers],[Temperature zone]],0)</f>
        <v>0.02</v>
      </c>
      <c r="L249" s="28" cm="1">
        <f t="array" ref="L249">Common_InputFunctions.Utility_DisplayArrayInTable(Common_SourceData.Common_SourceData_MCFTemperatureZone_Data(),Table_SourceData_Common_MCFTemperatureZone[[#Headers],[Temperature zone]],0)</f>
        <v>0.03</v>
      </c>
      <c r="M249" s="28" cm="1">
        <f t="array" ref="M249">Common_InputFunctions.Utility_DisplayArrayInTable(Common_SourceData.Common_SourceData_MCFTemperatureZone_Data(),Table_SourceData_Common_MCFTemperatureZone[[#Headers],[Temperature zone]],0)</f>
        <v>0.04</v>
      </c>
      <c r="N249" s="28" cm="1">
        <f t="array" ref="N249">Common_InputFunctions.Utility_DisplayArrayInTable(Common_SourceData.Common_SourceData_MCFTemperatureZone_Data(),Table_SourceData_Common_MCFTemperatureZone[[#Headers],[Temperature zone]],0)</f>
        <v>1.4999999999999999E-2</v>
      </c>
      <c r="O249" s="28" cm="1">
        <f t="array" ref="O249">Common_InputFunctions.Utility_DisplayArrayInTable(Common_SourceData.Common_SourceData_MCFTemperatureZone_Data(),Table_SourceData_Common_MCFTemperatureZone[[#Headers],[Temperature zone]],0)</f>
        <v>1.4999999999999999E-2</v>
      </c>
      <c r="P249" s="28" cm="1">
        <f t="array" ref="P249">Common_InputFunctions.Utility_DisplayArrayInTable(Common_SourceData.Common_SourceData_MCFTemperatureZone_Data(),Table_SourceData_Common_MCFTemperatureZone[[#Headers],[Temperature zone]],0)</f>
        <v>0</v>
      </c>
      <c r="Q249" s="28" cm="1">
        <f t="array" ref="Q249">Common_InputFunctions.Utility_DisplayArrayInTable(Common_SourceData.Common_SourceData_MCFTemperatureZone_Data(),Table_SourceData_Common_MCFTemperatureZone[[#Headers],[Temperature zone]],0)</f>
        <v>0</v>
      </c>
      <c r="R249" s="28" cm="1">
        <f t="array" ref="R249">Common_InputFunctions.Utility_DisplayArrayInTable(Common_SourceData.Common_SourceData_MCFTemperatureZone_Data(),Table_SourceData_Common_MCFTemperatureZone[[#Headers],[Temperature zone]],0)</f>
        <v>4.7000000000000002E-3</v>
      </c>
      <c r="S249" s="2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8" t="str" cm="1">
        <f t="array" ref="E250">Common_InputFunctions.Utility_DisplayArrayInTable(Common_SourceData.Common_SourceData_MCFTemperatureZone_Data(),Table_SourceData_Common_MCFTemperatureZone[[#Headers],[Temperature zone]],0)</f>
        <v>≥28</v>
      </c>
      <c r="F250" s="28" cm="1">
        <f t="array" ref="F250">Common_InputFunctions.Utility_DisplayArrayInTable(Common_SourceData.Common_SourceData_MCFTemperatureZone_Data(),Table_SourceData_Common_MCFTemperatureZone[[#Headers],[Temperature zone]],0)</f>
        <v>0.8</v>
      </c>
      <c r="G250" s="28" cm="1">
        <f t="array" ref="G250">Common_InputFunctions.Utility_DisplayArrayInTable(Common_SourceData.Common_SourceData_MCFTemperatureZone_Data(),Table_SourceData_Common_MCFTemperatureZone[[#Headers],[Temperature zone]],0)</f>
        <v>0.1</v>
      </c>
      <c r="H250" s="28" cm="1">
        <f t="array" ref="H250">Common_InputFunctions.Utility_DisplayArrayInTable(Common_SourceData.Common_SourceData_MCFTemperatureZone_Data(),Table_SourceData_Common_MCFTemperatureZone[[#Headers],[Temperature zone]],0)</f>
        <v>0.5</v>
      </c>
      <c r="I250" s="28" cm="1">
        <f t="array" ref="I250">Common_InputFunctions.Utility_DisplayArrayInTable(Common_SourceData.Common_SourceData_MCFTemperatureZone_Data(),Table_SourceData_Common_MCFTemperatureZone[[#Headers],[Temperature zone]],0)</f>
        <v>0.01</v>
      </c>
      <c r="J250" s="28" cm="1">
        <f t="array" ref="J250">Common_InputFunctions.Utility_DisplayArrayInTable(Common_SourceData.Common_SourceData_MCFTemperatureZone_Data(),Table_SourceData_Common_MCFTemperatureZone[[#Headers],[Temperature zone]],0)</f>
        <v>1.4999999999999999E-2</v>
      </c>
      <c r="K250" s="28" cm="1">
        <f t="array" ref="K250">Common_InputFunctions.Utility_DisplayArrayInTable(Common_SourceData.Common_SourceData_MCFTemperatureZone_Data(),Table_SourceData_Common_MCFTemperatureZone[[#Headers],[Temperature zone]],0)</f>
        <v>0.02</v>
      </c>
      <c r="L250" s="28" cm="1">
        <f t="array" ref="L250">Common_InputFunctions.Utility_DisplayArrayInTable(Common_SourceData.Common_SourceData_MCFTemperatureZone_Data(),Table_SourceData_Common_MCFTemperatureZone[[#Headers],[Temperature zone]],0)</f>
        <v>0.03</v>
      </c>
      <c r="M250" s="28" cm="1">
        <f t="array" ref="M250">Common_InputFunctions.Utility_DisplayArrayInTable(Common_SourceData.Common_SourceData_MCFTemperatureZone_Data(),Table_SourceData_Common_MCFTemperatureZone[[#Headers],[Temperature zone]],0)</f>
        <v>0.04</v>
      </c>
      <c r="N250" s="28" cm="1">
        <f t="array" ref="N250">Common_InputFunctions.Utility_DisplayArrayInTable(Common_SourceData.Common_SourceData_MCFTemperatureZone_Data(),Table_SourceData_Common_MCFTemperatureZone[[#Headers],[Temperature zone]],0)</f>
        <v>1.4999999999999999E-2</v>
      </c>
      <c r="O250" s="28" cm="1">
        <f t="array" ref="O250">Common_InputFunctions.Utility_DisplayArrayInTable(Common_SourceData.Common_SourceData_MCFTemperatureZone_Data(),Table_SourceData_Common_MCFTemperatureZone[[#Headers],[Temperature zone]],0)</f>
        <v>1.4999999999999999E-2</v>
      </c>
      <c r="P250" s="28" cm="1">
        <f t="array" ref="P250">Common_InputFunctions.Utility_DisplayArrayInTable(Common_SourceData.Common_SourceData_MCFTemperatureZone_Data(),Table_SourceData_Common_MCFTemperatureZone[[#Headers],[Temperature zone]],0)</f>
        <v>0</v>
      </c>
      <c r="Q250" s="28" cm="1">
        <f t="array" ref="Q250">Common_InputFunctions.Utility_DisplayArrayInTable(Common_SourceData.Common_SourceData_MCFTemperatureZone_Data(),Table_SourceData_Common_MCFTemperatureZone[[#Headers],[Temperature zone]],0)</f>
        <v>0</v>
      </c>
      <c r="R250" s="28" cm="1">
        <f t="array" ref="R250">Common_InputFunctions.Utility_DisplayArrayInTable(Common_SourceData.Common_SourceData_MCFTemperatureZone_Data(),Table_SourceData_Common_MCFTemperatureZone[[#Headers],[Temperature zone]],0)</f>
        <v>4.7000000000000002E-3</v>
      </c>
      <c r="S250" s="2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3" t="str" cm="1">
        <f t="array" ref="D256">Common_SourceData.Common_SourceData_EFOrganicFertiliserAndCropResidues_Unit()</f>
        <v>kg N2O - N / kg N</v>
      </c>
    </row>
    <row r="257" spans="4:5" x14ac:dyDescent="0.25">
      <c r="D257" s="28" t="s">
        <v>79</v>
      </c>
      <c r="E257" s="28" t="s">
        <v>80</v>
      </c>
    </row>
    <row r="258" spans="4:5" x14ac:dyDescent="0.25">
      <c r="D258" s="28" t="str" cm="1">
        <f t="array" ref="D258">Common_InputFunctions.Utility_DisplayArrayInTable(Common_SourceData.Common_SourceData_EFOrganicFertiliserAndCropResidues_Data(), Table_SourceData_Common_EFOrganicFertCropResidues[[#Headers],[Climate Zone]], 0)</f>
        <v>Wet climate zone</v>
      </c>
      <c r="E258" s="2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GAHUAZQBsAF8AUwBvAHUAcgBjAGUARABhAHQAYQAuAEYAdQBlAGwAXwBTAGMAbwBwAGUAMQBFAG0AaQBzAHMAaQBvAG4ARgBhAGMAdABvAHIAcwBTAHQAYQB0AGkAbwBuAGEAcgB5AEcAYQBzAGUAbwB1AHMAXwBUAGkAdABsAGUAIgAsACIARgB1AGUAbABfAFMAbwB1AHIAYwBlAEQAYQB0AGEALgBGAHUAZQBsAF8AUwBjAG8AcABlADEARQBtAGkAcwBzAGkAbwBuAEYAYQBjAHQAbwByAHMAUwB0AGEAdABpAG8AbgBhAHIAeQBHAGEAcwBlAG8AdQBzAF8ARABlAHMAYwByAGkAcAB0AGkAbwBuACIALAAiAEYAdQBlAGwAXwBTAG8AdQByAGMAZQBEAGEAdABhAC4ARgB1AGUAbABfAFMAYwBvAHAAZQAxAEUAbQBpAHMAcwBpAG8AbgBGAGEAYwB0AG8AcgBzAFMAdABhAHQAaQBvAG4AYQByAHkARwBhAHMAZQBvAHUAcwBfAFMAbwB1AHIAYwBlACIALAAiAEYAdQBlAGwAXwBTAG8AdQByAGMAZQBEAGEAdABhAC4ARgB1AGUAbABfAFMAYwBvAHAAZQAxAEUAbQBpAHMAcwBpAG8AbgBGAGEAYwB0AG8AcgBzAFMAdABhAHQAaQBvAG4AYQByAHkARwBhAHMAZQBvAHUAcwBfAEQAYQB0AGEAIgAsACIARgB1AGUAbABfAFMAbwB1AHIAYwBlAEQAYQB0AGEALgBGAHUAZQBsAF8AUwBjAG8AcABlADE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VABpAHQAbABlACIALAAiAEYAdQBlAGwAXwBTAG8AdQByAGMAZQBEAGEAdABhAC4ARgB1AGUAbABfAFMAYwBvAHAAZQAzAEUAbQBpAHMAcwBpAG8AbgBGAGEAYwB0AG8AcgBzAFMAdABhAHQAaQBvAG4AYQByAHkARwBhAHMAZQBvAHUAcwBfAEQAZQBzAGMAcgBpAHAAdABpAG8AbgAiACwAIgBGAHUAZQBsAF8AUwBvAHUAcgBjAGUARABhAHQAYQAuAEYAdQBlAGwAXwBTAGMAbwBwAGUAMwBFAG0AaQBzAHMAaQBvAG4ARgBhAGMAdABvAHIAcwBTAHQAYQB0AGkAbwBuAGEAcgB5AEcAYQBzAGUAbwB1AHMAXwBTAG8AdQByAGMAZ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FQAaQB0AGwAZQAiACwAIgBGAHUAZQBsAF8AUwBvAHUAcgBjAGUARABhAHQAYQAuAEYAdQBlAGwAXwBTAGMAbwBwAGUAMQBTAGMAbwBwAGUAMwBFAG0AaQBzAHMAaQBvAG4ARgBhAGMAdABvAHIAcwBTAHQAYQB0AGkAbwBuAGEAcgB5AEwAaQBxAHUAaQBkAF8ARABlAHMAYwByAGkAcAB0AGkAbwBuACIALAAiAEYAdQBlAGwAXwBTAG8AdQByAGMAZQBEAGEAdABhAC4ARgB1AGUAbABfAFMAYwBvAHAAZQAxAFMAYwBvAHAAZQAzAEUAbQBpAHMAcwBpAG8AbgBGAGEAYwB0AG8AcgBzAFMAdABhAHQAaQBvAG4AYQByAHkATABpAHEAdQBpAGQAXwBTAG8AdQByAGMAZQAiACwAIgBGAHUAZQBsAF8AUwBvAHUAcgBjAGUARABhAHQAYQAuAEYAdQBlAGwAXwBTAGMAbwBwAGUAMQBTAGMAbwBwAGUAMwBFAG0AaQBzAHMAaQBvAG4ARgBhAGMAdABvAHIAcwBTAHQAYQB0AGkAbwBuAGEAcgB5AEwAaQBxAHUAaQBkAF8ARABhAHQAYQAiACwAIgBGAHUAZQBsAF8AUwBvAHUAcgBjAGUARABhAHQAYQAuAEYAdQBlAGwAXwBTAGMAbwBwAGUAMQBTAGMAbwBwAGUAMwBFAG0AaQBzAHMAaQBvAG4ARgBhAGMAdABvAHIAcwBTAHQAYQB0AGkAbwBuAGEAcgB5AEwAaQBxAHUAaQBkAF8AVgBhAHIAaQBhAHQAaQBvAG4AIgAsACIARgB1AGUAbABfAFMAbwB1AHIAYwBlAEQAYQB0AGEALgBGAHUAZQBsAF8AUwBjAG8AcABlADEAUwBjAG8AcABlADMARQBtAGkAcwBzAGkAbwBuAEYAYQBjAHQAbwByAHMAVAByAGEAbgBzAHAAbwByAHQAXwBUAGkAdABsAGUAIgAsACIARgB1AGUAbABfAFMAbwB1AHIAYwBlAEQAYQB0AGEALgBGAHUAZQBsAF8AUwBjAG8AcABlADEAUwBjAG8AcABlADMARQBtAGkAcwBzAGkAbwBuAEYAYQBjAHQAbwByAHMAVAByAGEAbgBzAHAAbwByAHQAXwBEAGUAcwBjAHIAaQBwAHQAaQBvAG4AIgAsACIARgB1AGUAbABfAFMAbwB1AHIAYwBlAEQAYQB0AGEALgBGAHUAZQBsAF8AUwBjAG8AcABlADEAUwBjAG8AcABlADMARQBtAGkAcwBzAGkAbwBuAEYAYQBjAHQAbwByAHMAVAByAGEAbgBzAHAAbwByAHQAXwBTAG8AdQByAGMAZQAiACwAIgBGAHUAZQBsAF8AUwBvAHUAcgBjAGUARABhAHQAYQAuAEYAdQBlAGwAXwBTAGMAbwBwAGUAMQBTAGMAbwBwAGUAMwBFAG0AaQBzAHMAaQBvAG4ARgBhAGMAdABvAHIAcwBUAHIAYQBuAHMAcABvAHIAdABfAEQAYQB0AGEAIgAsACIARgB1AGUAbABfAFMAbwB1AHIAYwBlAEQAYQB0AGEALgBGAHUAZQBsAF8AUwBjAG8AcABlADEAUwBjAG8AcABlADMARQBtAGkAcwBzAGkAbwBuAEYAYQBjAHQAbwByAHMAVAByAGEAbgBzAHAAbwByAHQAXwBWAGEAcgBpAGEAdABpAG8AbgAiACwAIgBGAHUAZQBsAF8AUwBvAHUAcgBjAGUARABhAHQAYQAuAEYAdQBlAGwAXwBTAGMAbwBwAGUAMQBTAGMAbwBwAGUAMwBFAG0AaQBzAHMAaQBvAG4ARgBhAGMAdABvAHIAcwBUAHIAYQBuAHMAcABvAHIAdABPAGYAZgBSAG8AYQBkAF8AVABpAHQAbABlACIALAAiAEYAdQBlAGwAXwBTAG8AdQByAGMAZQBEAGEAdABhAC4ARgB1AGUAbABfAFMAYwBvAHAAZQAxAFMAYwBvAHAAZQAzAEUAbQBpAHMAcwBpAG8AbgBGAGEAYwB0AG8AcgBzAFQAcgBhAG4AcwBwAG8AcgB0AE8AZgBmAFIAbwBhAGQAXwBEAGUAcwBjAHIAaQBwAHQAaQBvAG4AIgAsACIARgB1AGUAbABfAFMAbwB1AHIAYwBlAEQAYQB0AGEALgBGAHUAZQBsAF8AUwBjAG8AcABlADEAUwBjAG8AcABlADMARQBtAGkAcwBzAGkAbwBuAEYAYQBjAHQAbwByAHMAVAByAGEAbgBzAHAAbwByAHQATwBmAGYAUgBvAGEAZABfAFMAbwB1AHIAYwBlACIALAAiAEYAdQBlAGwAXwBTAG8AdQByAGMAZQBEAGEAdABhAC4ARgB1AGUAbABfAFMAYwBvAHAAZQAxAFMAYwBvAHAAZQAzAEUAbQBpAHMAcwBpAG8AbgBGAGEAYwB0AG8AcgBzAFQAcgBhAG4AcwBwAG8AcgB0AE8AZgBmAFIAbwBhAGQAXwBEAGEAdABh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MAGEAdABlAHg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EwAYQB0AGUAeABFAHEAdQBhAHQAaQBvAG4AIgAsACIARgB1AGUAbABfAEUAcQB1AGEAdABpAG8AbgBzAC4AVgBFAEUAUgBHAF8AOABfADIAXwAxAF8AMQBfAF8AMQBfAEYAdQBlAGwAQwBvAG0AYgB1AHMAdABpAG8AbgBTAHQAYQB0AGkAbwBuAGEAcgB5AF8AQQByAGcAdQBtAGUAbgB0AHM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EAXwAxAF8AMQBfAF8AMwBfAFUAcABzAHQAcgBlAGEAbQBTAHQAYQB0AGkAbwBuAGEAcgB5AEYAdQBlAGwARQBtAGkAcwBzAGkAbwBuAHMAXwBWAGEAcgBpAGEAdABpAG8AbgAiACwAIgBTAGMAbwBwAGUAMwBfAEUAcQB1AGEAdABpAG8AbgBzAC4AVgBFAEUAUgBHAF8AMQA1AF8AMQAyAF8AMQBfADEAXwBfADEAXwBVAHAAcwB0AHIAZQBhAG0AUAB1AHIAYwBoAGEAcwBlAGQARQBsAGUAYwB0AHIAaQBjAGkAdAB5AEwAbwBjAGEAdABpAG8AbgBCAGEAcwBlAGQAIgAsACIAUwBjAG8AcABlADMAXwBFAHEAdQBhAHQAaQBvAG4AcwAuAFYARQBFAFIARwBfADEANQBfADEAMgBfADEAXwAxAF8AXwAxAF8AVQBwAHMAdAByAGUAYQBtAFAAdQByAGMAaABhAHMAZQBkAEUAbABlAGMAdAByAGkAYwBpAHQAeQBMAG8AYwBhAHQAaQBvAG4AQgBhAHMAZQBkAF8AVABpAHQAbABlACIALAAiAFMAYwBvAHAAZQAzAF8ARQBxAHUAYQB0AGkAbwBuAHMALgBWAEUARQBSAEcAXwAxADUAXwAxADIAXwAxAF8AMQBfAF8AMQBfAFUAcABzAHQAcgBlAGEAbQBQAHUAcgBjAGgAYQBzAGUAZABFAGwAZQBjAHQAcgBpAGMAaQB0AHkATABvAGMAYQB0AGkAbwBuAEIAYQBzAGUAZABfAFYAYQByAGkAYQBiAGwAZQAiACwAIgBTAGMAbwBwAGUAMwBfAEUAcQB1AGEAdABpAG8AbgBzAC4AVgBFAEUAUgBHAF8AMQA1AF8AMQAyAF8AMQBfADEAXwBfADEAXwBVAHAAcwB0AHIAZQBhAG0AUAB1AHIAYwBoAGEAcwBlAGQARQBsAGUAYwB0AHIAaQBjAGkAdAB5AEwAbwBjAGEAdABpAG8AbgBCAGEAcwBlAGQAXwBVAG4AaQB0ACIALAAiAFMAYwBvAHAAZQAzAF8ARQBxAHUAYQB0AGkAbwBuAHMALgBWAEUARQBSAEcAXwAxADUAXwAxADIAXwAxAF8AMQBfAF8AMQBfAFUAcABzAHQAcgBlAGEAbQBQAHUAcgBjAGgAYQBzAGUAZABFAGwAZQBjAHQAcgBpAGMAaQB0AHkATABvAGMAYQB0AGkAbwBuAEIAYQBzAGUAZABfAFMAbwB1AHIAYwBlACIALAAiAFMAYwBvAHAAZQAzAF8ARQBxAHUAYQB0AGkAbwBuAHMALgBWAEUARQBSAEcAXwAxADUAXwAxADIAXwAxAF8AMQBfAF8AMQBfAFUAcABzAHQAcgBlAGEAbQBQAHUAcgBjAGgAYQBzAGUAZABFAGwAZQBjAHQAcgBpAGMAaQB0AHkATABvAGMAYQB0AGkAbwBuAEIAYQBzAGUAZABfAE4ASQBSAFIAZQBmAGUAcgBlAG4AYwBlACIALAAiAFMAYwBvAHAAZQAzAF8ARQBxAHUAYQB0AGkAbwBuAHMALgBWAEUARQBSAEcAXwAxADUAXwAxADIAXwAxAF8AMQBfAF8AMQBfAFUAcABzAHQAcgBlAGEAbQBQAHUAcgBjAGgAYQBzAGUAZABFAGwAZQBjAHQAcgBpAGMAaQB0AHkATABvAGMAYQB0AGkAbwBuAEIAYQBzAGUAZABfAEwAYQB0AGUAeABFAHEAdQBhAHQAaQBvAG4AIgAsACIAUwBjAG8AcABlADMAXwBFAHEAdQBhAHQAaQBvAG4AcwAuAFYARQBFAFIARwBfADEANQBfADEAMgBfADEAXwAxAF8AXwAxAF8AVQBwAHMAdAByAGUAYQBtAFAAdQByAGMAaABhAHMAZQBkAEUAbABlAGMAdAByAGkAYwBpAHQAeQBMAG8AYwBhAHQAaQBvAG4AQgBhAHMAZQBkAF8AQQByAGcAdQBtAGUAbgB0AHMAIgAsACIAUwBjAG8AcABlADMAXwBFAHEAdQBhAHQAaQBvAG4AcwAuAFYARQBFAFIARwBfADEANQBfADEAMgBfADEAXwAyAF8AXwAxAF8AVQBwAHMAdAByAGUAYQBtAFAAdQByAGMAaABhAHMAZQBkAEUAbABlAGMAdAByAGkAYwBpAHQAeQBNAGEAcgBrAGUAdABCAGEAcwBlAGQAIgAsACIAUwBjAG8AcABlADMAXwBFAHEAdQBhAHQAaQBvAG4AcwAuAFYARQBFAFIARwBfADEANQBfADEAMgBfADEAXwAyAF8AXwAxAF8AVQBwAHMAdAByAGUAYQBtAFAAdQByAGMAaABhAHMAZQBkAEUAbABlAGMAdAByAGkAYwBpAHQAeQBNAGEAcgBrAGUAdABCAGEAcwBlAGQAXwBUAGkAdABsAGUAIgAsACIAUwBjAG8AcABlADMAXwBFAHEAdQBhAHQAaQBvAG4AcwAuAFYARQBFAFIARwBfADEANQBfADEAMgBfADEAXwAyAF8AXwAxAF8AVQBwAHMAdAByAGUAYQBtAFAAdQByAGMAaABhAHMAZQBkAEUAbABlAGMAdAByAGkAYwBpAHQAeQBNAGEAcgBrAGUAdABCAGEAcwBlAGQAXwBWAGEAcgBpAGEAYgBsAGUAIgAsACIAUwBjAG8AcABlADMAXwBFAHEAdQBhAHQAaQBvAG4AcwAuAFYARQBFAFIARwBfADEANQBfADEAMgBfADEAXwAyAF8AXwAxAF8AVQBwAHMAdAByAGUAYQBtAFAAdQByAGMAaABhAHMAZQBkAEUAbABlAGMAdAByAGkAYwBpAHQAeQBNAGEAcgBrAGUAdABCAGEAcwBlAGQAXwBVAG4AaQB0ACIALAAiAFMAYwBvAHAAZQAzAF8ARQBxAHUAYQB0AGkAbwBuAHMALgBWAEUARQBSAEcAXwAxADUAXwAxADIAXwAxAF8AMgBfAF8AMQBfAFUAcABzAHQAcgBlAGEAbQBQAHUAcgBjAGgAYQBzAGUAZABFAGwAZQBjAHQAcgBpAGMAaQB0AHkATQBhAHIAawBlAHQAQgBhAHMAZQBkAF8AUwBvAHUAcgBjAGUAIgAsACIAUwBjAG8AcABlADMAXwBFAHEAdQBhAHQAaQBvAG4AcwAuAFYARQBFAFIARwBfADEANQBfADEAMgBfADEAXwAyAF8AXwAxAF8AVQBwAHMAdAByAGUAYQBtAFAAdQByAGMAaABhAHMAZQBkAEUAbABlAGMAdAByAGkAYwBpAHQAeQBNAGEAcgBrAGUAdABCAGEAcwBlAGQAXwBOAEkAUgBSAGUAZgBlAHIAZQBuAGMAZQAiACwAIgBTAGMAbwBwAGUAMwBfAEUAcQB1AGEAdABpAG8AbgBzAC4AVgBFAEUAUgBHAF8AMQA1AF8AMQAyAF8AMQBfADIAXwBfADEAXwBVAHAAcwB0AHIAZQBhAG0AUAB1AHIAYwBoAGEAcwBlAGQARQBsAGUAYwB0AHIAaQBjAGkAdAB5AE0AYQByAGsAZQB0AEIAYQBzAGUAZABfAEwAYQB0AGUAeABFAHEAd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zAF8AMQBfADEAXwBfADEAXwBFAG0AaQBzAHMAaQBvAG4AcwBGAHIAbwBtAE0AYQBuAHUAcgBlAFMAZQBuAHQATwBmAGYAUwBpAHQAZQAiACwAIgBTAGMAbwBwAGUAMwBfAEUAcQB1AGEAdABpAG8AbgBzAC4AVgBFAEUAUgBHAF8AMQA1AF8AMQAzAF8AMQBfADEAXwBfADEAXwBFAG0AaQBzAHMAaQBvAG4AcwBGAHIAbwBtAE0AYQBuAHUAcgBlAFMAZQBuAHQATwBmAGYAUwBpAHQAZQBfAFQAaQB0AGwAZQAiACwAIgBTAGMAbwBwAGUAMwBfAEUAcQB1AGEAdABpAG8AbgBzAC4AVgBFAEUAUgBHAF8AMQA1AF8AMQAzAF8AMQBfADEAXwBfADEAXwBFAG0AaQBzAHMAaQBvAG4AcwBGAHIAbwBtAE0AYQBuAHUAcgBlAFMAZQBuAHQATwBmAGYAUwBpAHQAZQBfAFYAYQByAGkAYQBiAGwAZQAiACwAIgBTAGMAbwBwAGUAMwBfAEUAcQB1AGEAdABpAG8AbgBzAC4AVgBFAEUAUgBHAF8AMQA1AF8AMQAzAF8AMQBfADEAXwBfADEAXwBFAG0AaQBzAHMAaQBvAG4AcwBGAHIAbwBtAE0AYQBuAHUAcgBlAFMAZQBuAHQATwBmAGYAUwBpAHQAZQBfAFUAbgBpAHQAIgAsACIAUwBjAG8AcABlADMAXwBFAHEAdQBhAHQAaQBvAG4AcwAuAFYARQBFAFIARwBfADEANQBfADEAMwBfADEAXwAxAF8AXwAxAF8ARQBtAGkAcwBzAGkAbwBuAHMARgByAG8AbQBNAGEAbgB1AHIAZQBTAGUAbgB0AE8AZgBmAFMAaQB0AGUAXwBTAG8AdQByAGMAZQAiACwAIgBTAGMAbwBwAGUAMwBfAEUAcQB1AGEAdABpAG8AbgBzAC4AVgBFAEUAUgBHAF8AMQA1AF8AMQAzAF8AMQBfADEAXwBfADEAXwBFAG0AaQBzAHMAaQBvAG4AcwBGAHIAbwBtAE0AYQBuAHUAcgBlAFMAZQBuAHQATwBmAGYAUwBpAHQAZQBfAE4ASQBSAFIAZQBmAGUAcgBlAG4AYwBlACIALAAiAFMAYwBvAHAAZQAzAF8ARQBxAHUAYQB0AGkAbwBuAHMALgBWAEUARQBSAEcAXwAxADUAXwAxADMAXwAxAF8AMQBfAF8AMQBfAEUAbQBpAHMAcwBpAG8AbgBzAEYAcgBvAG0ATQBhAG4AdQByAGUAUwBlAG4AdABPAGYAZgBTAGkAdABlAF8ATABhAHQAZQB4AEUAcQB1AGEAdABpAG8AbgAiACwAIgBTAGMAbwBwAGUAMwBfAEUAcQB1AGEAdABpAG8AbgBzAC4AVgBFAEUAUgBHAF8AMQA1AF8AMQAzAF8AMQBfADEAXwBfADEAXwBFAG0AaQBzAHMAaQBvAG4AcwBGAHIAbwBtAE0AYQBuAHUAcgBlAFMAZQBuAHQATwBmAGYAUwBpAHQAZQBfAEEAcgBnAHUAbQBlAG4AdABzACIALAAiAFMAYwBvAHAAZQAzAF8ARQBxAHUAYQB0AGkAbwBuAHMALgBWAEUARQBSAEcAXwAxADUAXwAxADQAXwAxAF8AMQBfAF8AMQBfAEUAbQBiAGUAZABkAGUAZABFAG0AaQBzAHMAaQBvAG4AcwBGAHIAbwBtAFUAcABzAHQAcgBlAGEAbQBGAHIAZQBpAGcAaAB0ACIALAAiAFMAYwBvAHAAZQAzAF8ARQBxAHUAYQB0AGkAbwBuAHMALgBWAEUARQBSAEcAXwAxADUAXwAxADQAXwAxAF8AMQBfAF8AMQBfAEUAbQBiAGUAZABkAGUAZABFAG0AaQBzAHMAaQBvAG4AcwBGAHIAbwBtAFUAcABzAHQAcgBlAGEAbQBGAHIAZQBpAGcAaAB0AF8AVABpAHQAbABlACIALAAiAFMAYwBvAHAAZQAzAF8ARQBxAHUAYQB0AGkAbwBuAHMALgBWAEUARQBSAEcAXwAxADUAXwAxADQAXwAxAF8AMQBfAF8AMQBfAEUAbQBiAGUAZABkAGUAZABFAG0AaQBzAHMAaQBvAG4AcwBGAHIAbwBtAFUAcABzAHQAcgBlAGEAbQBGAHIAZQBpAGcAaAB0AF8AVgBhAHIAaQBhAGIAbABlACIALAAiAFMAYwBvAHAAZQAzAF8ARQBxAHUAYQB0AGkAbwBuAHMALgBWAEUARQBSAEcAXwAxADUAXwAxADQAXwAxAF8AMQBfAF8AMQBfAEUAbQBiAGUAZABkAGUAZABFAG0AaQBzAHMAaQBvAG4AcwBGAHIAbwBtAFUAcABzAHQAcgBlAGEAbQBGAHIAZQBpAGcAaAB0AF8AVQBuAGkAdAAiACwAIgBTAGMAbwBwAGUAMwBfAEUAcQB1AGEAdABpAG8AbgBzAC4AVgBFAEUAUgBHAF8AMQA1AF8AMQA0AF8AMQBfADEAXwBfADEAXwBFAG0AYgBlAGQAZABlAGQARQBtAGkAcwBzAGkAbwBuAHMARgByAG8AbQBVAHAAcwB0AHIAZQBhAG0ARgByAGUAaQBnAGgAdABfAFMAbwB1AHIAYwBlACIALAAiAFMAYwBvAHAAZQAzAF8ARQBxAHUAYQB0AGkAbwBuAHMALgBWAEUARQBSAEcAXwAxADUAXwAxADQAXwAxAF8AMQBfAF8AMQBfAEUAbQBiAGUAZABkAGUAZABFAG0AaQBzAHMAaQBvAG4AcwBGAHIAbwBtAFUAcABzAHQAcgBlAGEAbQBGAHIAZQBpAGcAaAB0AF8ATgBJAFIAUgBlAGYAZQByAGUAbgBjAGUAIgAsACIAUwBjAG8AcABlADMAXwBFAHEAdQBhAHQAaQBvAG4AcwAuAFYARQBFAFIARwBfADEANQBfADEANABfADEAXwAxAF8AXwAxAF8ARQBtAGIAZQBkAGQAZQBkAEUAbQBpAHMAcwBpAG8AbgBzAEYAcgBvAG0AVQBwAHMAdAByAGUAYQBtAEYAcgBlAGkAZwBoAHQAXwBMAGEAdABlAHgARQBxAHUAYQB0AGkAbwBuACIALAAiAFMAYwBvAHAAZQAzAF8ARQBxAHUAYQB0AGkAbwBuAHMALgBWAEUARQBSAEcAXwAxADUAXwAxADQAXwAxAF8AMQBfAF8AMQBfAEUAbQBiAGUAZABkAGUAZABFAG0AaQBzAHMAaQBvAG4AcwBGAHIAbwBtAFUAcABzAHQAcgBlAGEAbQBGAHIAZQBpAGcAaAB0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Home</vt:lpstr>
      <vt:lpstr>Overview</vt:lpstr>
      <vt:lpstr>Results</vt:lpstr>
      <vt:lpstr>Input - Site</vt:lpstr>
      <vt:lpstr>Input - Fuel</vt:lpstr>
      <vt:lpstr>8.1.1.1-2 Transport fuel</vt:lpstr>
      <vt:lpstr>8.2.1.1-2 Stationary fuel</vt:lpstr>
      <vt:lpstr>Constants - Fuel</vt:lpstr>
      <vt:lpstr>Constants - Common</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X_Cell_Fuel_IsMetroLocation</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2026-07-08T05:17:21Z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