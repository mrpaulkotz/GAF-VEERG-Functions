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35582DDD-F809-41DC-8F1D-CBA7C65A2D3E}" xr6:coauthVersionLast="47" xr6:coauthVersionMax="47" xr10:uidLastSave="{00000000-0000-0000-0000-000000000000}"/>
  <bookViews>
    <workbookView xWindow="2730" yWindow="2730" windowWidth="21600" windowHeight="12645" firstSheet="5" activeTab="7"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ture Beef" sheetId="79" r:id="rId9"/>
    <sheet name="Constants - Common" sheetId="106" r:id="rId10"/>
    <sheet name="Constants - Livestock" sheetId="43" r:id="rId11"/>
    <sheet name="Acknowledgements" sheetId="72" r:id="rId12"/>
    <sheet name="Tab template" sheetId="74"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X_Cell_PastureBeef_Breed">'Input - Pasture Beef'!$E$9</definedName>
    <definedName name="X_Cell_PastureBeef_FencedWater">'Input - Pasture Beef'!$E$176</definedName>
    <definedName name="X_Cell_PastureBeef_GrazingIrrigationMethod">'Input - Pasture Beef'!$E$184</definedName>
    <definedName name="X_Cell_PastureBeef_GrazingProductionSystem">'Input - Pasture Beef'!$E$183</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Beef'!$D$153:$N$157</definedName>
    <definedName name="X_Table_PastureBeef_CrudeProtein_Method2">'Input - Pasture Beef'!$D$159:$N$171</definedName>
    <definedName name="X_Table_PastureBeef_DryMatterDigestibility_Method1">'Input - Pasture Beef'!$D$131:$N$135</definedName>
    <definedName name="X_Table_PastureBeef_DryMatterDigestibility_Method2">'Input - Pasture Beef'!$D$137:$N$149</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98" l="1"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AB159" i="69" l="1"/>
  <c r="Z154" i="69" a="1"/>
  <c r="Z154" i="69" s="1"/>
  <c r="W154" i="69" a="1"/>
  <c r="W154" i="69" s="1"/>
  <c r="I160" i="69"/>
  <c r="I159" i="69"/>
  <c r="J16" i="69"/>
  <c r="X172" i="69" l="1"/>
  <c r="X171" i="69"/>
  <c r="D9" i="79" l="1"/>
  <c r="D8" i="79"/>
  <c r="I33" i="98"/>
  <c r="I158" i="69"/>
  <c r="E30" i="15"/>
  <c r="I33" i="97" s="1"/>
  <c r="E33" i="15"/>
  <c r="I34" i="98"/>
  <c r="I30" i="97"/>
  <c r="H226" i="76"/>
  <c r="P39" i="98"/>
  <c r="G39" i="98"/>
  <c r="Q38" i="97"/>
  <c r="G38" i="97"/>
  <c r="X270" i="76"/>
  <c r="G232" i="76"/>
  <c r="Z279" i="69"/>
  <c r="G247" i="69"/>
  <c r="E172" i="69"/>
  <c r="E171" i="69"/>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c r="D180" i="106" a="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c r="D124" i="106" a="1"/>
  <c r="G121" i="106" a="1"/>
  <c r="G121" i="106" s="1"/>
  <c r="F121" i="106" a="1"/>
  <c r="F121" i="106" s="1"/>
  <c r="E121" i="106" a="1"/>
  <c r="E121" i="106" s="1"/>
  <c r="D121" i="106" a="1"/>
  <c r="D121" i="106" s="1"/>
  <c r="G120" i="106" a="1"/>
  <c r="G120" i="106" s="1"/>
  <c r="F120" i="106" a="1"/>
  <c r="F120" i="106" s="1"/>
  <c r="E120" i="106" a="1"/>
  <c r="E120" i="106" s="1"/>
  <c r="D120" i="106" a="1"/>
  <c r="D120" i="106" s="1"/>
  <c r="D117" i="106"/>
  <c r="D117" i="106" a="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c r="D82" i="106" a="1"/>
  <c r="D81" i="106"/>
  <c r="D81" i="106" a="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H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a="1"/>
  <c r="D45" i="106" s="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a="1"/>
  <c r="D18" i="106" s="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M120" i="70"/>
  <c r="J123" i="70"/>
  <c r="J122" i="70"/>
  <c r="J121" i="70"/>
  <c r="J120" i="70"/>
  <c r="K122" i="70"/>
  <c r="K121" i="70"/>
  <c r="K120" i="70"/>
  <c r="M121" i="70" s="1"/>
  <c r="K123" i="70"/>
  <c r="L123" i="70" s="1"/>
  <c r="M113" i="70"/>
  <c r="M112" i="70"/>
  <c r="M111" i="70"/>
  <c r="M110" i="70"/>
  <c r="L113" i="70"/>
  <c r="L112" i="70"/>
  <c r="L110" i="70"/>
  <c r="L111"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L122" i="70" l="1"/>
  <c r="M123" i="70"/>
  <c r="N123" i="70" s="1"/>
  <c r="O123" i="70" s="1"/>
  <c r="M122" i="70"/>
  <c r="N122" i="70"/>
  <c r="O122" i="70" s="1"/>
  <c r="L120" i="70"/>
  <c r="N120" i="70"/>
  <c r="L121" i="70"/>
  <c r="H54" i="106"/>
  <c r="H51" i="106"/>
  <c r="H49" i="106"/>
  <c r="H52" i="106"/>
  <c r="H50" i="106"/>
  <c r="H48" i="106"/>
  <c r="W172" i="69"/>
  <c r="W171" i="69"/>
  <c r="N121" i="70" l="1"/>
  <c r="O121" i="70" s="1"/>
  <c r="O120" i="70"/>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X92" i="76"/>
  <c r="G87" i="76"/>
  <c r="F87" i="76"/>
  <c r="E87" i="76"/>
  <c r="D87" i="76"/>
  <c r="W39" i="69"/>
  <c r="W38" i="69"/>
  <c r="W37" i="69"/>
  <c r="W36" i="69"/>
  <c r="W35" i="69"/>
  <c r="W34" i="69"/>
  <c r="W33" i="69"/>
  <c r="W32" i="69"/>
  <c r="W31" i="69"/>
  <c r="W30" i="69"/>
  <c r="W29" i="69"/>
  <c r="W28" i="69"/>
  <c r="D110" i="70"/>
  <c r="F127" i="70"/>
  <c r="Y22" i="69" s="1"/>
  <c r="E127" i="70"/>
  <c r="V92" i="76" s="1"/>
  <c r="G127" i="70"/>
  <c r="Z22" i="69" s="1"/>
  <c r="D124" i="70"/>
  <c r="W22" i="69" s="1"/>
  <c r="E120" i="70"/>
  <c r="D126" i="70" s="1"/>
  <c r="U93" i="76" s="1"/>
  <c r="E119" i="70"/>
  <c r="D125" i="70" s="1"/>
  <c r="U92" i="76" s="1"/>
  <c r="D6" i="69" a="1"/>
  <c r="D6" i="69" s="1"/>
  <c r="I148" i="76"/>
  <c r="V181" i="76" l="1" a="1"/>
  <c r="V181" i="76" s="1"/>
  <c r="D127" i="70"/>
  <c r="W23" i="69"/>
  <c r="X30" i="69" s="1" a="1"/>
  <c r="X30" i="69" s="1"/>
  <c r="Y30" i="69" s="1" a="1"/>
  <c r="Y30" i="69" s="1"/>
  <c r="X22" i="69"/>
  <c r="W92" i="76"/>
  <c r="V104" i="76" a="1"/>
  <c r="V104" i="76" s="1"/>
  <c r="W104" i="76" s="1" a="1"/>
  <c r="W104" i="76" s="1"/>
  <c r="AC104" i="76" s="1" a="1"/>
  <c r="AC104" i="76" s="1"/>
  <c r="V191" i="76" a="1"/>
  <c r="V191" i="76" s="1"/>
  <c r="V105" i="76" a="1"/>
  <c r="V105" i="76" s="1"/>
  <c r="W105" i="76" s="1" a="1"/>
  <c r="W105" i="76" s="1"/>
  <c r="AC105" i="76" s="1" a="1"/>
  <c r="AC105" i="76" s="1"/>
  <c r="V182" i="76" a="1"/>
  <c r="V182" i="76" s="1"/>
  <c r="V106" i="76" a="1"/>
  <c r="V106" i="76" s="1"/>
  <c r="W106" i="76" s="1" a="1"/>
  <c r="W106" i="76" s="1"/>
  <c r="AC106" i="76" s="1" a="1"/>
  <c r="AC106" i="76" s="1"/>
  <c r="V107" i="76" a="1"/>
  <c r="V107" i="76" s="1"/>
  <c r="V183" i="76" a="1"/>
  <c r="V183" i="76" s="1"/>
  <c r="V108" i="76" a="1"/>
  <c r="V108" i="76" s="1"/>
  <c r="V109" i="76" a="1"/>
  <c r="V109" i="76" s="1"/>
  <c r="V184" i="76" a="1"/>
  <c r="V184" i="76" s="1"/>
  <c r="V110" i="76" a="1"/>
  <c r="V110" i="76" s="1"/>
  <c r="V111" i="76" a="1"/>
  <c r="V111" i="76" s="1"/>
  <c r="V185" i="76" a="1"/>
  <c r="V185" i="76" s="1"/>
  <c r="V186" i="76" a="1"/>
  <c r="V186" i="76" s="1"/>
  <c r="V100" i="76" a="1"/>
  <c r="V100" i="76" s="1"/>
  <c r="V187" i="76" a="1"/>
  <c r="V187" i="76" s="1"/>
  <c r="V101" i="76" a="1"/>
  <c r="V101" i="76" s="1"/>
  <c r="W101" i="76" s="1" a="1"/>
  <c r="W101" i="76" s="1"/>
  <c r="AC101" i="76" s="1" a="1"/>
  <c r="AC101" i="76" s="1"/>
  <c r="V180" i="76" a="1"/>
  <c r="V180" i="76" s="1"/>
  <c r="V188" i="76" a="1"/>
  <c r="V188" i="76" s="1"/>
  <c r="V102" i="76" a="1"/>
  <c r="V102" i="76" s="1"/>
  <c r="W102" i="76" s="1" a="1"/>
  <c r="W102" i="76" s="1"/>
  <c r="AA102" i="76" s="1" a="1"/>
  <c r="AA102" i="76" s="1"/>
  <c r="V189" i="76" a="1"/>
  <c r="V189" i="76" s="1"/>
  <c r="V103" i="76" a="1"/>
  <c r="V103" i="76" s="1"/>
  <c r="W103" i="76" s="1" a="1"/>
  <c r="W103" i="76" s="1"/>
  <c r="AC103" i="76" s="1" a="1"/>
  <c r="AC103" i="76" s="1"/>
  <c r="V190" i="76" a="1"/>
  <c r="V190" i="76" s="1"/>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7" a="1"/>
  <c r="E26" i="98" a="1"/>
  <c r="E22" i="97" a="1"/>
  <c r="E7" i="98" a="1"/>
  <c r="I14" i="98" l="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AA104" i="76" a="1"/>
  <c r="AA104" i="76" s="1"/>
  <c r="X36" i="69" a="1"/>
  <c r="X36" i="69" s="1"/>
  <c r="X35" i="69" a="1"/>
  <c r="X35" i="69" s="1"/>
  <c r="X34" i="69" a="1"/>
  <c r="X34" i="69" s="1"/>
  <c r="Y34" i="69" s="1" a="1"/>
  <c r="Y34" i="69" s="1"/>
  <c r="AD34" i="69" s="1" a="1"/>
  <c r="AD34" i="69" s="1"/>
  <c r="X31" i="69" a="1"/>
  <c r="X31" i="69" s="1"/>
  <c r="Y31" i="69" s="1" a="1"/>
  <c r="Y31" i="69" s="1"/>
  <c r="AD31" i="69" s="1" a="1"/>
  <c r="AD31" i="69" s="1"/>
  <c r="AA101" i="76" a="1"/>
  <c r="AA101" i="76" s="1"/>
  <c r="AB104" i="76" a="1"/>
  <c r="AB104" i="76" s="1"/>
  <c r="AB101" i="76" a="1"/>
  <c r="AB101" i="76" s="1"/>
  <c r="AB103" i="76" a="1"/>
  <c r="AB103" i="76" s="1"/>
  <c r="AC102" i="76" a="1"/>
  <c r="AC102" i="76" s="1"/>
  <c r="AB106" i="76" a="1"/>
  <c r="AB106" i="76" s="1"/>
  <c r="AA105" i="76" a="1"/>
  <c r="AA105" i="76" s="1"/>
  <c r="AA106" i="76" a="1"/>
  <c r="AA106" i="76" s="1"/>
  <c r="AB105" i="76" a="1"/>
  <c r="AB105" i="76" s="1"/>
  <c r="AA103" i="76" a="1"/>
  <c r="AA103" i="76" s="1"/>
  <c r="AB102" i="76" a="1"/>
  <c r="AB102" i="76" s="1"/>
  <c r="AD30" i="69" a="1"/>
  <c r="AD30" i="69" s="1"/>
  <c r="AE30" i="69" a="1"/>
  <c r="AE30" i="69" s="1"/>
  <c r="AC30" i="69" a="1"/>
  <c r="AC30" i="69" s="1"/>
  <c r="P35" i="97"/>
  <c r="F36" i="98"/>
  <c r="G10" i="13" s="1"/>
  <c r="E26" i="98"/>
  <c r="O20" i="98"/>
  <c r="E7" i="98"/>
  <c r="E22" i="97"/>
  <c r="E7" i="97"/>
  <c r="AC32" i="69" l="1"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D122" i="76"/>
  <c r="D121" i="76"/>
  <c r="D120" i="76"/>
  <c r="D119" i="76"/>
  <c r="D98" i="76"/>
  <c r="D97" i="76"/>
  <c r="D96" i="76"/>
  <c r="D95" i="76"/>
  <c r="U47" i="76"/>
  <c r="U46" i="76"/>
  <c r="U45" i="76"/>
  <c r="U44" i="76"/>
  <c r="U43" i="76"/>
  <c r="U42" i="76"/>
  <c r="U41" i="76"/>
  <c r="U40" i="76"/>
  <c r="U39" i="76"/>
  <c r="U38" i="76"/>
  <c r="U37" i="76"/>
  <c r="U36" i="76"/>
  <c r="U31" i="76"/>
  <c r="U30" i="76"/>
  <c r="U29" i="76"/>
  <c r="U28" i="76"/>
  <c r="U27" i="76"/>
  <c r="U26" i="76"/>
  <c r="U25" i="76"/>
  <c r="U24" i="76"/>
  <c r="U23" i="76"/>
  <c r="U22" i="76"/>
  <c r="U21" i="76"/>
  <c r="U20" i="76"/>
  <c r="D36" i="76"/>
  <c r="D35" i="76"/>
  <c r="D34" i="76"/>
  <c r="D33" i="76"/>
  <c r="D20" i="76"/>
  <c r="D23" i="76"/>
  <c r="D22" i="76"/>
  <c r="D21"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D171" i="70"/>
  <c r="D170" i="70"/>
  <c r="D169" i="70"/>
  <c r="D168" i="70"/>
  <c r="D167" i="70"/>
  <c r="D166" i="70"/>
  <c r="D165" i="70"/>
  <c r="D164" i="70"/>
  <c r="D163" i="70"/>
  <c r="D162" i="70"/>
  <c r="D161" i="70"/>
  <c r="D160" i="70"/>
  <c r="W115" i="69" s="1"/>
  <c r="W131" i="69" s="1"/>
  <c r="X177" i="69" s="1"/>
  <c r="D149" i="70"/>
  <c r="D148" i="70"/>
  <c r="D147" i="70"/>
  <c r="D146" i="70"/>
  <c r="D145" i="70"/>
  <c r="D144" i="70"/>
  <c r="D143" i="70"/>
  <c r="D142" i="70"/>
  <c r="D141" i="70"/>
  <c r="D140" i="70"/>
  <c r="D139" i="70"/>
  <c r="D138" i="70"/>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178" i="76" a="1"/>
  <c r="E101" i="69" a="1"/>
  <c r="E206" i="69" a="1"/>
  <c r="E136" i="76" a="1"/>
  <c r="E218" i="76" a="1"/>
  <c r="E39" i="69" a="1"/>
  <c r="E7" i="76" a="1"/>
  <c r="E104" i="76" a="1"/>
  <c r="E42" i="76" a="1"/>
  <c r="E148" i="69" a="1"/>
  <c r="W121" i="69" l="1"/>
  <c r="W137" i="69" s="1"/>
  <c r="W122" i="69"/>
  <c r="W138" i="69" s="1"/>
  <c r="X196" i="69" s="1"/>
  <c r="W124" i="69"/>
  <c r="W140" i="69" s="1"/>
  <c r="X186" i="69" s="1"/>
  <c r="W125" i="69"/>
  <c r="W141" i="69" s="1"/>
  <c r="X187" i="69" s="1"/>
  <c r="W116" i="69"/>
  <c r="W132" i="69" s="1"/>
  <c r="X178" i="69" s="1"/>
  <c r="W117" i="69"/>
  <c r="W133" i="69" s="1"/>
  <c r="X179" i="69" s="1"/>
  <c r="W118" i="69"/>
  <c r="W134" i="69" s="1"/>
  <c r="X180" i="69" s="1"/>
  <c r="W119" i="69"/>
  <c r="W135" i="69" s="1"/>
  <c r="W123" i="69"/>
  <c r="W139" i="69" s="1"/>
  <c r="W120" i="69"/>
  <c r="W136" i="69" s="1"/>
  <c r="E98" i="76"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85" i="69"/>
  <c r="X197" i="69"/>
  <c r="X195" i="69"/>
  <c r="X183" i="69"/>
  <c r="X193" i="69"/>
  <c r="X181" i="69"/>
  <c r="X182" i="69"/>
  <c r="X194" i="69"/>
  <c r="W126" i="69"/>
  <c r="W142" i="69" s="1"/>
  <c r="X188" i="69" s="1"/>
  <c r="X198" i="69"/>
  <c r="X189" i="69"/>
  <c r="X190"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X191" i="69" l="1"/>
  <c r="X184" i="69"/>
  <c r="X199" i="69"/>
  <c r="K97" i="76" a="1"/>
  <c r="K97" i="76" s="1"/>
  <c r="L97" i="76" a="1"/>
  <c r="L97" i="76" s="1"/>
  <c r="J97" i="76" a="1"/>
  <c r="J97" i="76" s="1"/>
  <c r="L96" i="76" a="1"/>
  <c r="L96" i="76" s="1"/>
  <c r="K96" i="76" a="1"/>
  <c r="K96" i="76" s="1"/>
  <c r="J96" i="76" a="1"/>
  <c r="J96" i="76" s="1"/>
  <c r="X200" i="69"/>
  <c r="D71" i="69"/>
  <c r="D70" i="69"/>
  <c r="D69" i="69"/>
  <c r="D68" i="69"/>
  <c r="D55" i="69"/>
  <c r="D54" i="69"/>
  <c r="D53" i="69"/>
  <c r="D52"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06" i="69" a="1"/>
  <c r="E106" i="69" s="1"/>
  <c r="E105" i="69" a="1"/>
  <c r="E105" i="69" s="1"/>
  <c r="D100" i="69" a="1"/>
  <c r="D100" i="69" s="1"/>
  <c r="D99" i="69" a="1"/>
  <c r="D99" i="69" s="1"/>
  <c r="A20" i="98"/>
  <c r="A19" i="98"/>
  <c r="A18" i="98"/>
  <c r="A7" i="98"/>
  <c r="A4" i="98"/>
  <c r="A3" i="98"/>
  <c r="E180" i="70" l="1"/>
  <c r="E179" i="70"/>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H15" i="76"/>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E20" i="76" l="1" a="1"/>
  <c r="E20" i="76" s="1"/>
  <c r="E52" i="69" a="1"/>
  <c r="E52" i="69" s="1"/>
  <c r="X115" i="69" a="1"/>
  <c r="X115" i="69" s="1"/>
  <c r="F28" i="76"/>
  <c r="K28" i="76"/>
  <c r="J28" i="76"/>
  <c r="I28" i="76"/>
  <c r="H28" i="76"/>
  <c r="G28" i="76"/>
  <c r="E28" i="76"/>
  <c r="M28" i="76"/>
  <c r="D28" i="76"/>
  <c r="L28" i="76"/>
  <c r="E153" i="76" a="1"/>
  <c r="E153" i="76" s="1"/>
  <c r="E115" i="69" a="1"/>
  <c r="E115" i="69" s="1"/>
  <c r="V164" i="76" a="1"/>
  <c r="V164" i="76" s="1"/>
  <c r="E119" i="76" a="1"/>
  <c r="E119" i="76" s="1"/>
  <c r="E68" i="69" a="1"/>
  <c r="E68" i="69" s="1"/>
  <c r="V20" i="76" a="1"/>
  <c r="V20" i="76" s="1"/>
  <c r="X44" i="69" a="1"/>
  <c r="X44" i="69" s="1"/>
  <c r="V120" i="76" a="1"/>
  <c r="V120" i="76" s="1"/>
  <c r="X60" i="69" a="1"/>
  <c r="X60" i="69" s="1"/>
  <c r="V232" i="76" a="1"/>
  <c r="V232" i="76" s="1"/>
  <c r="X235" i="69" a="1"/>
  <c r="X235" i="69"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Y276" i="69" l="1"/>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E165" i="69" l="1"/>
  <c r="E166" i="69"/>
  <c r="AC38" i="76" a="1"/>
  <c r="AC38" i="76" s="1"/>
  <c r="Y38" i="76" a="1"/>
  <c r="Y38" i="76" s="1"/>
  <c r="AD38" i="76" a="1"/>
  <c r="AD38" i="76" s="1"/>
  <c r="X38" i="76" a="1"/>
  <c r="X38" i="76" s="1"/>
  <c r="V38" i="76" a="1"/>
  <c r="V38" i="76" s="1"/>
  <c r="AA38" i="76" a="1"/>
  <c r="AA38" i="76" s="1"/>
  <c r="AB38" i="76" a="1"/>
  <c r="AB38" i="76" s="1"/>
  <c r="W38" i="76" a="1"/>
  <c r="W38" i="76" s="1"/>
  <c r="Z38" i="76" a="1"/>
  <c r="Z38" i="76" s="1"/>
  <c r="I29" i="97"/>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45" i="76" a="1"/>
  <c r="AE45" i="76" s="1"/>
  <c r="X42" i="76" a="1"/>
  <c r="X42" i="76" s="1"/>
  <c r="AA39" i="76" a="1"/>
  <c r="AA39" i="76" s="1"/>
  <c r="W45" i="76" a="1"/>
  <c r="W45" i="76" s="1"/>
  <c r="AC47" i="76" a="1"/>
  <c r="AC47" i="76" s="1"/>
  <c r="AE84" i="69" a="1"/>
  <c r="AE84" i="69" s="1"/>
  <c r="AC44" i="76" a="1"/>
  <c r="AC44" i="76" s="1"/>
  <c r="AE42" i="76" a="1"/>
  <c r="AE42" i="76" s="1"/>
  <c r="AE79" i="69" a="1"/>
  <c r="AE79" i="69" s="1"/>
  <c r="AC39" i="76" a="1"/>
  <c r="AC39" i="76" s="1"/>
  <c r="V46" i="76" a="1"/>
  <c r="V46" i="76" s="1"/>
  <c r="AD36" i="76" a="1"/>
  <c r="AD36" i="76" s="1"/>
  <c r="Y46" i="76" a="1"/>
  <c r="Y46" i="76" s="1"/>
  <c r="AD37" i="76" a="1"/>
  <c r="AD37" i="76" s="1"/>
  <c r="X36" i="76" a="1"/>
  <c r="X36" i="76" s="1"/>
  <c r="AB46" i="76" a="1"/>
  <c r="AB46" i="76" s="1"/>
  <c r="AB83" i="69" a="1"/>
  <c r="AB83" i="69" s="1"/>
  <c r="Z43" i="76" a="1"/>
  <c r="Z43" i="76" s="1"/>
  <c r="AC40" i="76" a="1"/>
  <c r="AC40" i="76" s="1"/>
  <c r="Z87" i="69" a="1"/>
  <c r="Z87" i="69" s="1"/>
  <c r="X47" i="76" a="1"/>
  <c r="X47" i="76" s="1"/>
  <c r="X77" i="69" a="1"/>
  <c r="X77" i="69" s="1"/>
  <c r="V37" i="76" a="1"/>
  <c r="V37" i="76" s="1"/>
  <c r="W36" i="76" a="1"/>
  <c r="W36" i="76" s="1"/>
  <c r="V36" i="76" a="1"/>
  <c r="V36" i="76" s="1"/>
  <c r="V44" i="76" a="1"/>
  <c r="V44" i="76" s="1"/>
  <c r="W41" i="76" a="1"/>
  <c r="W41" i="76" s="1"/>
  <c r="AB77" i="69" a="1"/>
  <c r="AB77" i="69" s="1"/>
  <c r="Z37" i="76" a="1"/>
  <c r="Z37" i="76" s="1"/>
  <c r="AE37" i="76" a="1"/>
  <c r="AE37" i="76" s="1"/>
  <c r="Y39" i="76" a="1"/>
  <c r="Y39" i="76" s="1"/>
  <c r="AE39" i="76" a="1"/>
  <c r="AE39" i="76" s="1"/>
  <c r="V42" i="76" a="1"/>
  <c r="V42" i="76" s="1"/>
  <c r="X45" i="76" a="1"/>
  <c r="X45" i="76" s="1"/>
  <c r="AA80" i="69" a="1"/>
  <c r="AA80" i="69" s="1"/>
  <c r="Y40" i="76" a="1"/>
  <c r="Y40" i="76" s="1"/>
  <c r="AC46" i="76" a="1"/>
  <c r="AC46" i="76" s="1"/>
  <c r="X83" i="69" a="1"/>
  <c r="X83" i="69"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E33" i="76" a="1"/>
  <c r="E33" i="76" s="1"/>
  <c r="L36" i="76" a="1"/>
  <c r="L36" i="76" s="1"/>
  <c r="F34" i="76" a="1"/>
  <c r="F34" i="76" s="1"/>
  <c r="E35" i="76" a="1"/>
  <c r="E35" i="76" s="1"/>
  <c r="J35" i="76" a="1"/>
  <c r="J35" i="76" s="1"/>
  <c r="AA78" i="69" a="1"/>
  <c r="AA78" i="69"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M35" i="76" a="1"/>
  <c r="M35" i="76" s="1"/>
  <c r="G33" i="76" a="1"/>
  <c r="G33" i="76" s="1"/>
  <c r="F35" i="76" a="1"/>
  <c r="F35" i="76" s="1"/>
  <c r="J34" i="76" a="1"/>
  <c r="J34" i="76" s="1"/>
  <c r="K36" i="76" a="1"/>
  <c r="K36" i="76" s="1"/>
  <c r="H34" i="76" a="1"/>
  <c r="H34" i="76" s="1"/>
  <c r="AD78" i="69" l="1" a="1"/>
  <c r="AD78" i="69" s="1"/>
  <c r="AD133" i="69" s="1" a="1"/>
  <c r="AD133" i="69" s="1"/>
  <c r="AE191" i="69" s="1" a="1"/>
  <c r="AE191" i="69" s="1"/>
  <c r="AC78" i="69" a="1"/>
  <c r="AC78" i="69" s="1"/>
  <c r="AC86" i="69" a="1"/>
  <c r="AC86" i="69" s="1"/>
  <c r="AC141" i="69" s="1" a="1"/>
  <c r="AC141" i="69" s="1"/>
  <c r="AD199" i="69" s="1" a="1"/>
  <c r="AD199" i="69" s="1"/>
  <c r="AG79" i="69" a="1"/>
  <c r="AG79" i="69" s="1"/>
  <c r="AG134" i="69" s="1" a="1"/>
  <c r="AG134" i="69" s="1"/>
  <c r="AH192" i="69" s="1" a="1"/>
  <c r="AH192" i="69" s="1"/>
  <c r="AA76" i="69" a="1"/>
  <c r="AA76" i="69" s="1"/>
  <c r="AA131" i="69" s="1" a="1"/>
  <c r="AA131" i="69" s="1"/>
  <c r="AB189" i="69" s="1" a="1"/>
  <c r="AB189" i="69" s="1"/>
  <c r="AB86" i="69" a="1"/>
  <c r="AB86" i="69" s="1"/>
  <c r="AB141" i="69" s="1" a="1"/>
  <c r="AB141" i="69" s="1"/>
  <c r="AC199" i="69" s="1" a="1"/>
  <c r="AC199" i="69" s="1"/>
  <c r="AG80" i="69" a="1"/>
  <c r="AG80" i="69" s="1"/>
  <c r="AG135" i="69" s="1" a="1"/>
  <c r="AG135" i="69" s="1"/>
  <c r="AH193" i="69" s="1" a="1"/>
  <c r="AH193" i="69" s="1"/>
  <c r="AE87" i="69" a="1"/>
  <c r="AE87" i="69" s="1"/>
  <c r="AE142" i="69" s="1" a="1"/>
  <c r="AE142" i="69" s="1"/>
  <c r="AF200" i="69" s="1" a="1"/>
  <c r="AF200" i="69" s="1"/>
  <c r="Y79" i="69" a="1"/>
  <c r="Y79" i="69" s="1"/>
  <c r="W59" i="76" s="1"/>
  <c r="Y78" i="69" a="1"/>
  <c r="Y78" i="69" s="1"/>
  <c r="Y133" i="69" s="1" a="1"/>
  <c r="Y133" i="69" s="1"/>
  <c r="Z191" i="69" s="1" a="1"/>
  <c r="Z191" i="69" s="1"/>
  <c r="AD86" i="69" a="1"/>
  <c r="AD86" i="69" s="1"/>
  <c r="AD141" i="69" s="1" a="1"/>
  <c r="AD141" i="69" s="1"/>
  <c r="AE199" i="69" s="1" a="1"/>
  <c r="AE199" i="69" s="1"/>
  <c r="AA77" i="69" a="1"/>
  <c r="AA77" i="69" s="1"/>
  <c r="Y57" i="76" s="1"/>
  <c r="AC83" i="69" a="1"/>
  <c r="AC83" i="69" s="1"/>
  <c r="AC138" i="69" s="1" a="1"/>
  <c r="AC138" i="69" s="1"/>
  <c r="AD196" i="69" s="1" a="1"/>
  <c r="AD196" i="69" s="1"/>
  <c r="Z86" i="69" a="1"/>
  <c r="Z86" i="69" s="1"/>
  <c r="Z141" i="69" s="1" a="1"/>
  <c r="Z141" i="69" s="1"/>
  <c r="AA199" i="69" s="1" a="1"/>
  <c r="AA199" i="69" s="1"/>
  <c r="AC80" i="69" a="1"/>
  <c r="AC80" i="69" s="1"/>
  <c r="AA60" i="76" s="1"/>
  <c r="AG83" i="69" a="1"/>
  <c r="AG83" i="69" s="1"/>
  <c r="AG138" i="69" s="1" a="1"/>
  <c r="AG138" i="69" s="1"/>
  <c r="AH196" i="69" s="1" a="1"/>
  <c r="AH196" i="69" s="1"/>
  <c r="AA82" i="69" a="1"/>
  <c r="AA82" i="69" s="1"/>
  <c r="Y62" i="76" s="1"/>
  <c r="AB85" i="69" a="1"/>
  <c r="AB85" i="69" s="1"/>
  <c r="AB140" i="69" s="1" a="1"/>
  <c r="AB140" i="69" s="1"/>
  <c r="AC198" i="69" s="1" a="1"/>
  <c r="AC198" i="69" s="1"/>
  <c r="Y87" i="69" a="1"/>
  <c r="Y87" i="69" s="1"/>
  <c r="W67" i="76" s="1"/>
  <c r="AF86" i="69" a="1"/>
  <c r="AF86" i="69" s="1"/>
  <c r="AF141" i="69" s="1" a="1"/>
  <c r="AF141" i="69" s="1"/>
  <c r="AG199" i="69" s="1" a="1"/>
  <c r="AG199" i="69" s="1"/>
  <c r="AF84" i="69" a="1"/>
  <c r="AF84" i="69" s="1"/>
  <c r="AF139" i="69" s="1" a="1"/>
  <c r="AF139" i="69" s="1"/>
  <c r="AG197" i="69" s="1" a="1"/>
  <c r="AG197" i="69" s="1"/>
  <c r="Y76" i="69" a="1"/>
  <c r="Y76" i="69" s="1"/>
  <c r="Y131" i="69" s="1" a="1"/>
  <c r="Y131" i="69" s="1"/>
  <c r="Z189" i="69" s="1" a="1"/>
  <c r="Z189" i="69" s="1"/>
  <c r="Z83" i="69" a="1"/>
  <c r="Z83" i="69" s="1"/>
  <c r="Z138" i="69" s="1" a="1"/>
  <c r="Z138" i="69" s="1"/>
  <c r="AA196" i="69" s="1" a="1"/>
  <c r="AA196" i="69" s="1"/>
  <c r="AA79" i="69" a="1"/>
  <c r="AA79" i="69" s="1"/>
  <c r="Y59" i="76" s="1"/>
  <c r="AD87" i="69" a="1"/>
  <c r="AD87" i="69" s="1"/>
  <c r="AD142" i="69" s="1" a="1"/>
  <c r="AD142" i="69" s="1"/>
  <c r="AE200" i="69" s="1" a="1"/>
  <c r="AE200" i="69" s="1"/>
  <c r="AF78" i="69" a="1"/>
  <c r="AF78" i="69" s="1"/>
  <c r="AD58" i="76" s="1"/>
  <c r="AF80" i="69" a="1"/>
  <c r="AF80" i="69" s="1"/>
  <c r="AF135" i="69" s="1" a="1"/>
  <c r="AF135" i="69" s="1"/>
  <c r="AG193" i="69" s="1" a="1"/>
  <c r="AG193" i="69" s="1"/>
  <c r="X78" i="69" a="1"/>
  <c r="X78" i="69" s="1"/>
  <c r="X133" i="69" s="1" a="1"/>
  <c r="X133" i="69" s="1"/>
  <c r="Y191" i="69" s="1" a="1"/>
  <c r="Y191" i="69" s="1"/>
  <c r="AA81" i="69" a="1"/>
  <c r="AA81" i="69" s="1"/>
  <c r="AA136" i="69" s="1" a="1"/>
  <c r="AA136" i="69" s="1"/>
  <c r="AB194" i="69" s="1" a="1"/>
  <c r="AB194" i="69" s="1"/>
  <c r="AF77" i="69" a="1"/>
  <c r="AF77" i="69" s="1"/>
  <c r="AD57" i="76" s="1"/>
  <c r="Z82" i="69" a="1"/>
  <c r="Z82" i="69" s="1"/>
  <c r="Z137" i="69" s="1" a="1"/>
  <c r="Z137" i="69" s="1"/>
  <c r="AA195" i="69" s="1" a="1"/>
  <c r="AA195" i="69" s="1"/>
  <c r="AC76" i="69" a="1"/>
  <c r="AC76" i="69" s="1"/>
  <c r="AC131" i="69" s="1" a="1"/>
  <c r="AC131" i="69" s="1"/>
  <c r="AD189" i="69" s="1" a="1"/>
  <c r="AD189" i="69" s="1"/>
  <c r="AB82" i="69" a="1"/>
  <c r="AB82" i="69" s="1"/>
  <c r="Z62" i="76" s="1"/>
  <c r="AA87" i="69" a="1"/>
  <c r="AA87" i="69" s="1"/>
  <c r="AA142" i="69" s="1" a="1"/>
  <c r="AA142" i="69" s="1"/>
  <c r="AB200" i="69" s="1" a="1"/>
  <c r="AB200" i="69" s="1"/>
  <c r="AD84" i="69" a="1"/>
  <c r="AD84" i="69" s="1"/>
  <c r="AD139" i="69" s="1" a="1"/>
  <c r="AD139" i="69" s="1"/>
  <c r="AE197" i="69" s="1" a="1"/>
  <c r="AE197" i="69" s="1"/>
  <c r="Y81" i="69" a="1"/>
  <c r="Y81" i="69" s="1"/>
  <c r="Y136" i="69" s="1" a="1"/>
  <c r="Y136" i="69" s="1"/>
  <c r="Z194" i="69" s="1" a="1"/>
  <c r="Z194" i="69" s="1"/>
  <c r="X86" i="69" a="1"/>
  <c r="X86" i="69" s="1"/>
  <c r="X141" i="69" s="1" a="1"/>
  <c r="X141" i="69" s="1"/>
  <c r="Y199" i="69" s="1" a="1"/>
  <c r="Y199" i="69" s="1"/>
  <c r="AA84" i="69" a="1"/>
  <c r="AA84" i="69" s="1"/>
  <c r="Y64" i="76" s="1"/>
  <c r="AG78" i="69" a="1"/>
  <c r="AG78" i="69" s="1"/>
  <c r="AG133" i="69" s="1" a="1"/>
  <c r="AG133" i="69" s="1"/>
  <c r="AH191" i="69" s="1" a="1"/>
  <c r="AH191" i="69" s="1"/>
  <c r="Z79" i="69" a="1"/>
  <c r="Z79" i="69" s="1"/>
  <c r="Z134" i="69" s="1" a="1"/>
  <c r="Z134" i="69" s="1"/>
  <c r="AA192" i="69" s="1" a="1"/>
  <c r="AA192" i="69" s="1"/>
  <c r="AG87" i="69" a="1"/>
  <c r="AG87" i="69" s="1"/>
  <c r="AG142" i="69" s="1" a="1"/>
  <c r="AG142" i="69" s="1"/>
  <c r="AH200" i="69" s="1" a="1"/>
  <c r="AH200" i="69" s="1"/>
  <c r="AD82" i="69" a="1"/>
  <c r="AD82" i="69" s="1"/>
  <c r="AB62" i="76" s="1"/>
  <c r="AC81" i="69" a="1"/>
  <c r="AC81" i="69" s="1"/>
  <c r="AC136" i="69" s="1" a="1"/>
  <c r="AC136" i="69" s="1"/>
  <c r="AD194" i="69" s="1" a="1"/>
  <c r="AD194" i="69" s="1"/>
  <c r="AD81" i="69" a="1"/>
  <c r="AD81" i="69" s="1"/>
  <c r="AB61" i="76" s="1"/>
  <c r="AF83" i="69" a="1"/>
  <c r="AF83" i="69" s="1"/>
  <c r="AD63" i="76" s="1"/>
  <c r="AE80" i="69" a="1"/>
  <c r="AE80" i="69" s="1"/>
  <c r="AE135" i="69" s="1" a="1"/>
  <c r="AE135" i="69" s="1"/>
  <c r="AF193" i="69" s="1" a="1"/>
  <c r="AF193" i="69" s="1"/>
  <c r="AC85" i="69" a="1"/>
  <c r="AC85" i="69" s="1"/>
  <c r="AA65" i="76" s="1"/>
  <c r="AD77" i="69" a="1"/>
  <c r="AD77" i="69" s="1"/>
  <c r="AD132" i="69" s="1" a="1"/>
  <c r="AD132" i="69" s="1"/>
  <c r="AE190" i="69" s="1" a="1"/>
  <c r="AE190" i="69" s="1"/>
  <c r="AC79" i="69" a="1"/>
  <c r="AC79" i="69" s="1"/>
  <c r="AA59" i="76" s="1"/>
  <c r="AB84" i="69" a="1"/>
  <c r="AB84" i="69" s="1"/>
  <c r="Z64" i="76" s="1"/>
  <c r="Z78" i="69" a="1"/>
  <c r="Z78" i="69" s="1"/>
  <c r="Z133" i="69" s="1" a="1"/>
  <c r="Z133" i="69" s="1"/>
  <c r="AA191" i="69" s="1" a="1"/>
  <c r="AA191" i="69" s="1"/>
  <c r="Z85" i="69" a="1"/>
  <c r="Z85" i="69" s="1"/>
  <c r="Z140" i="69" s="1" a="1"/>
  <c r="Z140" i="69" s="1"/>
  <c r="AA198" i="69" s="1" a="1"/>
  <c r="AA198" i="69" s="1"/>
  <c r="AA86" i="69" a="1"/>
  <c r="AA86" i="69" s="1"/>
  <c r="AA141" i="69" s="1" a="1"/>
  <c r="AA141" i="69" s="1"/>
  <c r="AB199" i="69" s="1" a="1"/>
  <c r="AB199" i="69" s="1"/>
  <c r="AG82" i="69" a="1"/>
  <c r="AG82" i="69" s="1"/>
  <c r="AG137" i="69" s="1" a="1"/>
  <c r="AG137" i="69" s="1"/>
  <c r="AH195" i="69" s="1" a="1"/>
  <c r="AH195" i="69" s="1"/>
  <c r="AE77" i="69" a="1"/>
  <c r="AE77" i="69" s="1"/>
  <c r="AE132" i="69" s="1" a="1"/>
  <c r="AE132" i="69" s="1"/>
  <c r="AF190" i="69" s="1" a="1"/>
  <c r="AF190" i="69" s="1"/>
  <c r="Y82" i="69" a="1"/>
  <c r="Y82" i="69" s="1"/>
  <c r="Y137" i="69" s="1" a="1"/>
  <c r="Y137" i="69" s="1"/>
  <c r="Z195" i="69" s="1" a="1"/>
  <c r="Z195" i="69" s="1"/>
  <c r="AG76" i="69" a="1"/>
  <c r="AG76" i="69" s="1"/>
  <c r="AE56" i="76" s="1"/>
  <c r="AG84" i="69" a="1"/>
  <c r="AG84" i="69" s="1"/>
  <c r="AG139" i="69" s="1" a="1"/>
  <c r="AG139" i="69" s="1"/>
  <c r="AH197" i="69" s="1" a="1"/>
  <c r="AH197" i="69" s="1"/>
  <c r="AC77" i="69" a="1"/>
  <c r="AC77" i="69" s="1"/>
  <c r="AA57" i="76" s="1"/>
  <c r="AB87" i="69" a="1"/>
  <c r="AB87" i="69" s="1"/>
  <c r="Z67" i="76" s="1"/>
  <c r="AD85" i="69" a="1"/>
  <c r="AD85" i="69" s="1"/>
  <c r="AD140" i="69" s="1" a="1"/>
  <c r="AD140" i="69" s="1"/>
  <c r="AE198" i="69" s="1" a="1"/>
  <c r="AE198" i="69" s="1"/>
  <c r="X85" i="69" a="1"/>
  <c r="X85" i="69" s="1"/>
  <c r="X140" i="69" s="1" a="1"/>
  <c r="X140" i="69" s="1"/>
  <c r="Y198" i="69" s="1" a="1"/>
  <c r="Y198" i="69" s="1"/>
  <c r="AF87" i="69" a="1"/>
  <c r="AF87" i="69" s="1"/>
  <c r="AD67" i="76" s="1"/>
  <c r="AA83" i="69" a="1"/>
  <c r="AA83" i="69" s="1"/>
  <c r="Y63" i="76" s="1"/>
  <c r="Z81" i="69" a="1"/>
  <c r="Z81" i="69" s="1"/>
  <c r="Z136" i="69" s="1" a="1"/>
  <c r="Z136" i="69" s="1"/>
  <c r="AA194" i="69" s="1" a="1"/>
  <c r="AA194" i="69" s="1"/>
  <c r="Z77" i="69" a="1"/>
  <c r="Z77" i="69" s="1"/>
  <c r="Z132" i="69" s="1" a="1"/>
  <c r="Z132" i="69" s="1"/>
  <c r="AA190" i="69" s="1" a="1"/>
  <c r="AA190" i="69" s="1"/>
  <c r="X87" i="69" a="1"/>
  <c r="X87" i="69" s="1"/>
  <c r="X142" i="69" s="1" a="1"/>
  <c r="X142" i="69" s="1"/>
  <c r="Y200" i="69" s="1" a="1"/>
  <c r="Y200" i="69" s="1"/>
  <c r="AG81" i="69" a="1"/>
  <c r="AG81" i="69" s="1"/>
  <c r="AG136" i="69" s="1" a="1"/>
  <c r="AG136" i="69" s="1"/>
  <c r="AH194" i="69" s="1" a="1"/>
  <c r="AH194" i="69" s="1"/>
  <c r="AD83" i="69" a="1"/>
  <c r="AD83" i="69" s="1"/>
  <c r="AD138" i="69" s="1" a="1"/>
  <c r="AD138" i="69" s="1"/>
  <c r="AE196" i="69" s="1" a="1"/>
  <c r="AE196" i="69" s="1"/>
  <c r="X84" i="69" a="1"/>
  <c r="X84" i="69" s="1"/>
  <c r="Y80" i="69" a="1"/>
  <c r="Y80" i="69" s="1"/>
  <c r="Y135" i="69" s="1" a="1"/>
  <c r="Y135" i="69" s="1"/>
  <c r="Z193" i="69" s="1" a="1"/>
  <c r="Z193" i="69" s="1"/>
  <c r="Y84" i="69" a="1"/>
  <c r="Y84" i="69" s="1"/>
  <c r="Y139" i="69" s="1" a="1"/>
  <c r="Y139" i="69" s="1"/>
  <c r="Z197" i="69" s="1" a="1"/>
  <c r="Z197" i="69" s="1"/>
  <c r="X81" i="69" a="1"/>
  <c r="X81" i="69" s="1"/>
  <c r="V61" i="76" s="1"/>
  <c r="Z80" i="69" a="1"/>
  <c r="Z80" i="69" s="1"/>
  <c r="X60" i="76" s="1"/>
  <c r="AB76" i="69" a="1"/>
  <c r="AB76" i="69" s="1"/>
  <c r="Z56" i="76" s="1"/>
  <c r="X76" i="69" a="1"/>
  <c r="X76" i="69" s="1"/>
  <c r="V56" i="76" s="1"/>
  <c r="AF76" i="69" a="1"/>
  <c r="AF76" i="69" s="1"/>
  <c r="AF131" i="69" s="1" a="1"/>
  <c r="AF131" i="69" s="1"/>
  <c r="AG189" i="69" s="1" a="1"/>
  <c r="AG189" i="69" s="1"/>
  <c r="AF85" i="69" a="1"/>
  <c r="AF85" i="69" s="1"/>
  <c r="AD65" i="76" s="1"/>
  <c r="AE82" i="69" a="1"/>
  <c r="AE82" i="69" s="1"/>
  <c r="AE137" i="69" s="1" a="1"/>
  <c r="AE137" i="69" s="1"/>
  <c r="AF195" i="69" s="1" a="1"/>
  <c r="AF195" i="69" s="1"/>
  <c r="AF79" i="69" a="1"/>
  <c r="AF79" i="69" s="1"/>
  <c r="AD59" i="76" s="1"/>
  <c r="AD76" i="69" a="1"/>
  <c r="AD76" i="69" s="1"/>
  <c r="AB56" i="76" s="1"/>
  <c r="Z84" i="69" a="1"/>
  <c r="Z84" i="69" s="1"/>
  <c r="Z139" i="69" s="1" a="1"/>
  <c r="Z139" i="69" s="1"/>
  <c r="AA197" i="69" s="1" a="1"/>
  <c r="AA197" i="69" s="1"/>
  <c r="AD80" i="69" a="1"/>
  <c r="AD80" i="69" s="1"/>
  <c r="AB60" i="76" s="1"/>
  <c r="AA85" i="69" a="1"/>
  <c r="AA85" i="69" s="1"/>
  <c r="AA140" i="69" s="1" a="1"/>
  <c r="AA140" i="69" s="1"/>
  <c r="AB198" i="69" s="1" a="1"/>
  <c r="AB198" i="69" s="1"/>
  <c r="AE81" i="69" a="1"/>
  <c r="AE81" i="69" s="1"/>
  <c r="AC61" i="76" s="1"/>
  <c r="Y85" i="69" a="1"/>
  <c r="Y85" i="69" s="1"/>
  <c r="Y140" i="69" s="1" a="1"/>
  <c r="Y140" i="69" s="1"/>
  <c r="Z198" i="69" s="1" a="1"/>
  <c r="Z198" i="69" s="1"/>
  <c r="AC84" i="69" a="1"/>
  <c r="AC84" i="69" s="1"/>
  <c r="AC139" i="69" s="1" a="1"/>
  <c r="AC139" i="69" s="1"/>
  <c r="AD197" i="69" s="1" a="1"/>
  <c r="AD197" i="69" s="1"/>
  <c r="AE86" i="69" a="1"/>
  <c r="AE86" i="69" s="1"/>
  <c r="AE141" i="69" s="1" a="1"/>
  <c r="AE141" i="69" s="1"/>
  <c r="AF199" i="69" s="1" a="1"/>
  <c r="AF199" i="69" s="1"/>
  <c r="X82" i="69" a="1"/>
  <c r="X82" i="69" s="1"/>
  <c r="X137" i="69" s="1" a="1"/>
  <c r="X137" i="69" s="1"/>
  <c r="Y195" i="69" s="1" a="1"/>
  <c r="Y195" i="69" s="1"/>
  <c r="AF81" i="69" a="1"/>
  <c r="AF81" i="69" s="1"/>
  <c r="AF136" i="69" s="1" a="1"/>
  <c r="AF136" i="69" s="1"/>
  <c r="AG194" i="69" s="1" a="1"/>
  <c r="AG194" i="69" s="1"/>
  <c r="AB80" i="69" a="1"/>
  <c r="AB80" i="69" s="1"/>
  <c r="AC87" i="69" a="1"/>
  <c r="AC87" i="69" s="1"/>
  <c r="AA67" i="76" s="1"/>
  <c r="AB79" i="69" a="1"/>
  <c r="AB79" i="69" s="1"/>
  <c r="AB134" i="69" s="1" a="1"/>
  <c r="AB134" i="69" s="1"/>
  <c r="AC192" i="69" s="1" a="1"/>
  <c r="AC192" i="69" s="1"/>
  <c r="AE85" i="69" a="1"/>
  <c r="AE85" i="69" s="1"/>
  <c r="AB81" i="69" a="1"/>
  <c r="AB81" i="69" s="1"/>
  <c r="AB136" i="69" s="1" a="1"/>
  <c r="AB136" i="69" s="1"/>
  <c r="AC194" i="69" s="1" a="1"/>
  <c r="AC194" i="69" s="1"/>
  <c r="AC82" i="69" a="1"/>
  <c r="AC82" i="69" s="1"/>
  <c r="AC137" i="69" s="1" a="1"/>
  <c r="AC137" i="69" s="1"/>
  <c r="AD195" i="69" s="1" a="1"/>
  <c r="AD195" i="69" s="1"/>
  <c r="AG77" i="69" a="1"/>
  <c r="AG77" i="69" s="1"/>
  <c r="AE57" i="76" s="1"/>
  <c r="Z76" i="69" a="1"/>
  <c r="Z76" i="69" s="1"/>
  <c r="Z131" i="69" s="1" a="1"/>
  <c r="Z131" i="69" s="1"/>
  <c r="AA189" i="69" s="1" a="1"/>
  <c r="AA189" i="69" s="1"/>
  <c r="X80" i="69" a="1"/>
  <c r="X80" i="69" s="1"/>
  <c r="X135" i="69" s="1" a="1"/>
  <c r="X135" i="69" s="1"/>
  <c r="Y193" i="69" s="1" a="1"/>
  <c r="Y193" i="69" s="1"/>
  <c r="Y86" i="69" a="1"/>
  <c r="Y86" i="69" s="1"/>
  <c r="W66" i="76" s="1"/>
  <c r="Y77" i="69" a="1"/>
  <c r="Y77" i="69" s="1"/>
  <c r="AD79" i="69" a="1"/>
  <c r="AD79" i="69" s="1"/>
  <c r="AB59" i="76" s="1"/>
  <c r="Y83" i="69" a="1"/>
  <c r="Y83" i="69" s="1"/>
  <c r="Y138" i="69" s="1" a="1"/>
  <c r="Y138" i="69" s="1"/>
  <c r="Z196" i="69" s="1" a="1"/>
  <c r="Z196" i="69" s="1"/>
  <c r="AE76" i="69" a="1"/>
  <c r="AE76" i="69" s="1"/>
  <c r="AE131" i="69" s="1" a="1"/>
  <c r="AE131" i="69" s="1"/>
  <c r="AF189" i="69" s="1" a="1"/>
  <c r="AF189" i="69" s="1"/>
  <c r="AG86" i="69" a="1"/>
  <c r="AG86" i="69" s="1"/>
  <c r="AF82" i="69" a="1"/>
  <c r="AF82" i="69" s="1"/>
  <c r="AD62" i="76" s="1"/>
  <c r="X79" i="69" a="1"/>
  <c r="X79" i="69" s="1"/>
  <c r="V59" i="76" s="1"/>
  <c r="AE83" i="69" a="1"/>
  <c r="AE83" i="69" s="1"/>
  <c r="AC63" i="76" s="1"/>
  <c r="Y58" i="76"/>
  <c r="H84" i="69" a="1"/>
  <c r="H84" i="69" s="1"/>
  <c r="H131" i="69" s="1" a="1"/>
  <c r="H131" i="69" s="1"/>
  <c r="I181" i="69" s="1" a="1"/>
  <c r="I181" i="69" s="1"/>
  <c r="I239" i="69" s="1" a="1"/>
  <c r="I239" i="69" s="1"/>
  <c r="G84" i="69" a="1"/>
  <c r="G84" i="69" s="1"/>
  <c r="G131" i="69" s="1" a="1"/>
  <c r="G131" i="69" s="1"/>
  <c r="H177" i="69" s="1" a="1"/>
  <c r="H177" i="69" s="1"/>
  <c r="H235" i="69" s="1" a="1"/>
  <c r="H235" i="69" s="1"/>
  <c r="AE134" i="69" a="1"/>
  <c r="AE134" i="69" s="1"/>
  <c r="AF192" i="69" s="1" a="1"/>
  <c r="AF192" i="69" s="1"/>
  <c r="J87" i="69" a="1"/>
  <c r="J87" i="69" s="1"/>
  <c r="J134" i="69" s="1" a="1"/>
  <c r="J134" i="69" s="1"/>
  <c r="K184" i="69" s="1" a="1"/>
  <c r="K184" i="69" s="1"/>
  <c r="K242" i="69" s="1" a="1"/>
  <c r="K242" i="69" s="1"/>
  <c r="X132" i="69" a="1"/>
  <c r="X132" i="69" s="1"/>
  <c r="Y190" i="69" s="1" a="1"/>
  <c r="Y190" i="69" s="1"/>
  <c r="AG140" i="69" a="1"/>
  <c r="AG140" i="69" s="1"/>
  <c r="AH198" i="69" s="1" a="1"/>
  <c r="AH198" i="69" s="1"/>
  <c r="N84" i="69" a="1"/>
  <c r="N84" i="69" s="1"/>
  <c r="N131" i="69" s="1" a="1"/>
  <c r="N131" i="69" s="1"/>
  <c r="O177" i="69" s="1" a="1"/>
  <c r="O177" i="69" s="1"/>
  <c r="O235" i="69" s="1" a="1"/>
  <c r="O235" i="69" s="1"/>
  <c r="I86" i="69" a="1"/>
  <c r="I86" i="69" s="1"/>
  <c r="I56" i="76" s="1"/>
  <c r="I64" i="76" s="1" a="1"/>
  <c r="I64" i="76" s="1"/>
  <c r="I129" i="76" s="1" a="1"/>
  <c r="I129" i="76" s="1"/>
  <c r="I171" i="76" s="1" a="1"/>
  <c r="I171" i="76" s="1"/>
  <c r="I209" i="76" s="1" a="1"/>
  <c r="I209" i="76" s="1"/>
  <c r="I85" i="69" a="1"/>
  <c r="I85" i="69" s="1"/>
  <c r="I55" i="76" s="1"/>
  <c r="I63" i="76" s="1" a="1"/>
  <c r="I63" i="76" s="1"/>
  <c r="I128" i="76" s="1" a="1"/>
  <c r="I128" i="76" s="1"/>
  <c r="I170" i="76" s="1" a="1"/>
  <c r="I170" i="76" s="1"/>
  <c r="I208" i="76" s="1" a="1"/>
  <c r="I208" i="76" s="1"/>
  <c r="L87" i="69" a="1"/>
  <c r="L87" i="69" s="1"/>
  <c r="L57" i="76" s="1"/>
  <c r="L65" i="76" s="1" a="1"/>
  <c r="L65" i="76" s="1"/>
  <c r="L130" i="76" s="1" a="1"/>
  <c r="L130" i="76" s="1"/>
  <c r="L172" i="76" s="1" a="1"/>
  <c r="L172" i="76" s="1"/>
  <c r="L210" i="76" s="1" a="1"/>
  <c r="L210" i="76" s="1"/>
  <c r="E85" i="69" a="1"/>
  <c r="E85" i="69" s="1"/>
  <c r="E132" i="69" s="1" a="1"/>
  <c r="E132" i="69" s="1"/>
  <c r="F178" i="69" s="1" a="1"/>
  <c r="F178" i="69" s="1"/>
  <c r="F236" i="69" s="1" a="1"/>
  <c r="F236" i="69" s="1"/>
  <c r="G87" i="69" a="1"/>
  <c r="G87" i="69" s="1"/>
  <c r="G57" i="76" s="1"/>
  <c r="E86" i="69" a="1"/>
  <c r="E86" i="69" s="1"/>
  <c r="E133" i="69" s="1" a="1"/>
  <c r="E133" i="69" s="1"/>
  <c r="F179" i="69" s="1" a="1"/>
  <c r="F179" i="69" s="1"/>
  <c r="F237" i="69" s="1" a="1"/>
  <c r="F237" i="69" s="1"/>
  <c r="E87" i="69" a="1"/>
  <c r="E87" i="69" s="1"/>
  <c r="E134" i="69" s="1" a="1"/>
  <c r="E134" i="69" s="1"/>
  <c r="F184" i="69" s="1" a="1"/>
  <c r="F184" i="69" s="1"/>
  <c r="F242" i="69" s="1" a="1"/>
  <c r="F242" i="69" s="1"/>
  <c r="Z58" i="76"/>
  <c r="K87" i="69" a="1"/>
  <c r="K87" i="69" s="1"/>
  <c r="K57" i="76" s="1"/>
  <c r="M85" i="69" a="1"/>
  <c r="M85" i="69" s="1"/>
  <c r="M132" i="69" s="1" a="1"/>
  <c r="M132" i="69" s="1"/>
  <c r="N178" i="69" s="1" a="1"/>
  <c r="N178" i="69" s="1"/>
  <c r="N236" i="69" s="1" a="1"/>
  <c r="N236" i="69" s="1"/>
  <c r="F85" i="69" a="1"/>
  <c r="F85" i="69" s="1"/>
  <c r="F132" i="69" s="1" a="1"/>
  <c r="F132" i="69" s="1"/>
  <c r="G178" i="69" s="1" a="1"/>
  <c r="G178" i="69" s="1"/>
  <c r="G236" i="69" s="1" a="1"/>
  <c r="G236" i="69" s="1"/>
  <c r="H86" i="69" a="1"/>
  <c r="H86" i="69" s="1"/>
  <c r="H56" i="76" s="1"/>
  <c r="H64" i="76" s="1" a="1"/>
  <c r="H64" i="76" s="1"/>
  <c r="H129" i="76" s="1" a="1"/>
  <c r="H129" i="76" s="1"/>
  <c r="H171" i="76" s="1" a="1"/>
  <c r="H171" i="76" s="1"/>
  <c r="H209" i="76" s="1" a="1"/>
  <c r="H209" i="76" s="1"/>
  <c r="M84" i="69" a="1"/>
  <c r="M84" i="69" s="1"/>
  <c r="M131" i="69" s="1" a="1"/>
  <c r="M131" i="69" s="1"/>
  <c r="N177" i="69" s="1" a="1"/>
  <c r="N177" i="69" s="1"/>
  <c r="N235" i="69" s="1" a="1"/>
  <c r="N235" i="69" s="1"/>
  <c r="N87" i="69" a="1"/>
  <c r="N87" i="69" s="1"/>
  <c r="N57" i="76" s="1"/>
  <c r="N65" i="76" s="1" a="1"/>
  <c r="N65" i="76" s="1"/>
  <c r="N130" i="76" s="1" a="1"/>
  <c r="N130" i="76" s="1"/>
  <c r="N172" i="76" s="1" a="1"/>
  <c r="N172" i="76" s="1"/>
  <c r="N210" i="76" s="1" a="1"/>
  <c r="N210" i="76" s="1"/>
  <c r="N85" i="69" a="1"/>
  <c r="N85" i="69" s="1"/>
  <c r="N132" i="69" s="1" a="1"/>
  <c r="N132" i="69" s="1"/>
  <c r="L84" i="69" a="1"/>
  <c r="L84" i="69" s="1"/>
  <c r="L131" i="69" s="1" a="1"/>
  <c r="L131" i="69" s="1"/>
  <c r="M177" i="69" s="1" a="1"/>
  <c r="M177" i="69" s="1"/>
  <c r="M235" i="69" s="1" a="1"/>
  <c r="M235" i="69" s="1"/>
  <c r="I84" i="69" a="1"/>
  <c r="I84" i="69" s="1"/>
  <c r="I131" i="69" s="1" a="1"/>
  <c r="I131" i="69" s="1"/>
  <c r="J177" i="69" s="1" a="1"/>
  <c r="J177" i="69" s="1"/>
  <c r="J235" i="69" s="1" a="1"/>
  <c r="J235" i="69" s="1"/>
  <c r="AB138" i="69" a="1"/>
  <c r="AB138" i="69" s="1"/>
  <c r="AC196" i="69" s="1" a="1"/>
  <c r="AC196" i="69" s="1"/>
  <c r="AE139" i="69" a="1"/>
  <c r="AE139" i="69" s="1"/>
  <c r="AF197" i="69" s="1" a="1"/>
  <c r="AF197" i="69" s="1"/>
  <c r="M86" i="69" a="1"/>
  <c r="M86" i="69" s="1"/>
  <c r="M133" i="69" s="1" a="1"/>
  <c r="M133" i="69" s="1"/>
  <c r="N179" i="69" s="1" a="1"/>
  <c r="N179" i="69" s="1"/>
  <c r="N237" i="69" s="1" a="1"/>
  <c r="N237" i="69" s="1"/>
  <c r="H87" i="69" a="1"/>
  <c r="H87" i="69" s="1"/>
  <c r="H134" i="69" s="1" a="1"/>
  <c r="H134" i="69" s="1"/>
  <c r="I180" i="69" s="1" a="1"/>
  <c r="I180" i="69" s="1"/>
  <c r="I238" i="69" s="1" a="1"/>
  <c r="I238" i="69" s="1"/>
  <c r="F84" i="69" a="1"/>
  <c r="F84" i="69" s="1"/>
  <c r="F131" i="69" s="1" a="1"/>
  <c r="F131" i="69" s="1"/>
  <c r="L85" i="69" a="1"/>
  <c r="L85" i="69" s="1"/>
  <c r="L132" i="69" s="1" a="1"/>
  <c r="L132" i="69" s="1"/>
  <c r="J84" i="69" a="1"/>
  <c r="J84" i="69" s="1"/>
  <c r="J131" i="69" s="1" a="1"/>
  <c r="J131" i="69" s="1"/>
  <c r="K181" i="69" s="1" a="1"/>
  <c r="K181" i="69" s="1"/>
  <c r="K239" i="69" s="1" a="1"/>
  <c r="K239" i="69" s="1"/>
  <c r="K85" i="69" a="1"/>
  <c r="K85" i="69" s="1"/>
  <c r="K55" i="76" s="1"/>
  <c r="J85" i="69" a="1"/>
  <c r="J85" i="69" s="1"/>
  <c r="J132" i="69" s="1" a="1"/>
  <c r="J132" i="69" s="1"/>
  <c r="K182" i="69" s="1" a="1"/>
  <c r="K182" i="69" s="1"/>
  <c r="K240" i="69" s="1" a="1"/>
  <c r="K240" i="69" s="1"/>
  <c r="G85" i="69" a="1"/>
  <c r="G85" i="69" s="1"/>
  <c r="G132" i="69" s="1" a="1"/>
  <c r="G132" i="69" s="1"/>
  <c r="H178" i="69" s="1" a="1"/>
  <c r="H178" i="69" s="1"/>
  <c r="H236" i="69" s="1" a="1"/>
  <c r="H236" i="69" s="1"/>
  <c r="L86" i="69" a="1"/>
  <c r="L86" i="69" s="1"/>
  <c r="L133" i="69" s="1" a="1"/>
  <c r="L133" i="69" s="1"/>
  <c r="M179" i="69" s="1" a="1"/>
  <c r="M179" i="69" s="1"/>
  <c r="M237" i="69" s="1" a="1"/>
  <c r="M237" i="69" s="1"/>
  <c r="N86" i="69" a="1"/>
  <c r="N86" i="69" s="1"/>
  <c r="N133" i="69" s="1" a="1"/>
  <c r="N133" i="69" s="1"/>
  <c r="O183" i="69" s="1" a="1"/>
  <c r="O183" i="69" s="1"/>
  <c r="O241" i="69" s="1" a="1"/>
  <c r="O241" i="69" s="1"/>
  <c r="I87" i="69" a="1"/>
  <c r="I87" i="69" s="1"/>
  <c r="I57" i="76" s="1"/>
  <c r="I65" i="76" s="1" a="1"/>
  <c r="I65" i="76" s="1"/>
  <c r="I130" i="76" s="1" a="1"/>
  <c r="I130" i="76" s="1"/>
  <c r="I172" i="76" s="1" a="1"/>
  <c r="I172" i="76" s="1"/>
  <c r="I210" i="76" s="1" a="1"/>
  <c r="I210" i="76" s="1"/>
  <c r="F87" i="69" a="1"/>
  <c r="F87" i="69" s="1"/>
  <c r="F57" i="76" s="1"/>
  <c r="F65" i="76" s="1" a="1"/>
  <c r="F65" i="76" s="1"/>
  <c r="F130" i="76" s="1" a="1"/>
  <c r="F130" i="76" s="1"/>
  <c r="F172" i="76" s="1" a="1"/>
  <c r="F172" i="76" s="1"/>
  <c r="F210" i="76" s="1" a="1"/>
  <c r="F210" i="76" s="1"/>
  <c r="H85" i="69" a="1"/>
  <c r="H85" i="69" s="1"/>
  <c r="H132" i="69" s="1" a="1"/>
  <c r="H132" i="69" s="1"/>
  <c r="I178" i="69" s="1" a="1"/>
  <c r="I178" i="69" s="1"/>
  <c r="I236" i="69" s="1" a="1"/>
  <c r="I236" i="69" s="1"/>
  <c r="M87" i="69" a="1"/>
  <c r="M87" i="69" s="1"/>
  <c r="M134" i="69" s="1" a="1"/>
  <c r="M134" i="69" s="1"/>
  <c r="N180" i="69" s="1" a="1"/>
  <c r="N180" i="69" s="1"/>
  <c r="N238" i="69" s="1" a="1"/>
  <c r="N238" i="69" s="1"/>
  <c r="K84" i="69" a="1"/>
  <c r="K84" i="69" s="1"/>
  <c r="K131" i="69" s="1" a="1"/>
  <c r="K131" i="69" s="1"/>
  <c r="K86" i="69" a="1"/>
  <c r="K86" i="69" s="1"/>
  <c r="K133" i="69" s="1" a="1"/>
  <c r="K133" i="69" s="1"/>
  <c r="F86" i="69" a="1"/>
  <c r="F86" i="69" s="1"/>
  <c r="F56" i="76" s="1"/>
  <c r="F64" i="76" s="1" a="1"/>
  <c r="F64" i="76" s="1"/>
  <c r="F129" i="76" s="1" a="1"/>
  <c r="F129" i="76" s="1"/>
  <c r="F171" i="76" s="1" a="1"/>
  <c r="F171" i="76" s="1"/>
  <c r="F209" i="76" s="1" a="1"/>
  <c r="F209" i="76" s="1"/>
  <c r="G86" i="69" a="1"/>
  <c r="G86" i="69" s="1"/>
  <c r="G56" i="76" s="1"/>
  <c r="AE133" i="69" a="1"/>
  <c r="AE133" i="69" s="1"/>
  <c r="AF191" i="69" s="1" a="1"/>
  <c r="AF191" i="69" s="1"/>
  <c r="AC58" i="76"/>
  <c r="E84" i="69" a="1"/>
  <c r="E84" i="69" s="1"/>
  <c r="AB132" i="69" a="1"/>
  <c r="AB132" i="69" s="1"/>
  <c r="AC190" i="69" s="1" a="1"/>
  <c r="AC190" i="69" s="1"/>
  <c r="Z57" i="76"/>
  <c r="J86" i="69" a="1"/>
  <c r="J86" i="69" s="1"/>
  <c r="AA135" i="69" a="1"/>
  <c r="AA135" i="69" s="1"/>
  <c r="AB193" i="69" s="1" a="1"/>
  <c r="AB193" i="69" s="1"/>
  <c r="Y60" i="76"/>
  <c r="Z142" i="69" a="1"/>
  <c r="Z142" i="69" s="1"/>
  <c r="AA200" i="69" s="1" a="1"/>
  <c r="AA200" i="69" s="1"/>
  <c r="X67" i="76"/>
  <c r="X138" i="69" a="1"/>
  <c r="X138" i="69" s="1"/>
  <c r="Y196" i="69" s="1" a="1"/>
  <c r="Y196" i="69" s="1"/>
  <c r="V63" i="76"/>
  <c r="A39" i="74"/>
  <c r="A38" i="74"/>
  <c r="A37" i="74"/>
  <c r="A36" i="74"/>
  <c r="A33" i="74"/>
  <c r="A30" i="74"/>
  <c r="A29" i="74"/>
  <c r="A28" i="74"/>
  <c r="A27" i="74"/>
  <c r="A26" i="74"/>
  <c r="A25" i="74"/>
  <c r="A24" i="74"/>
  <c r="A19" i="74"/>
  <c r="A18" i="74"/>
  <c r="A15" i="74"/>
  <c r="A14" i="74"/>
  <c r="A13" i="74"/>
  <c r="A12" i="74"/>
  <c r="A11" i="74"/>
  <c r="A10" i="74"/>
  <c r="A9" i="74"/>
  <c r="A8" i="74"/>
  <c r="A7" i="74"/>
  <c r="A4" i="74"/>
  <c r="Y186" i="69" l="1" a="1"/>
  <c r="Y186" i="69" s="1"/>
  <c r="Y260" i="69" s="1" a="1"/>
  <c r="Y260" i="69" s="1"/>
  <c r="Y272" i="69" a="1"/>
  <c r="Y272" i="69" s="1"/>
  <c r="AG187" i="69" a="1"/>
  <c r="AG187" i="69" s="1"/>
  <c r="AG261" i="69" s="1" a="1"/>
  <c r="AG261" i="69" s="1"/>
  <c r="Y183" i="69" a="1"/>
  <c r="Y183" i="69" s="1"/>
  <c r="Y257" i="69" s="1" a="1"/>
  <c r="Y257" i="69" s="1"/>
  <c r="Y181" i="69" a="1"/>
  <c r="Y181" i="69" s="1"/>
  <c r="Y255" i="69" s="1" a="1"/>
  <c r="Y255" i="69" s="1"/>
  <c r="Y267" i="69" a="1"/>
  <c r="Y267" i="69" s="1"/>
  <c r="AB186" i="69" a="1"/>
  <c r="AB186" i="69" s="1"/>
  <c r="AB260" i="69" s="1" a="1"/>
  <c r="AB260" i="69" s="1"/>
  <c r="AF178" i="69" a="1"/>
  <c r="AF178" i="69" s="1"/>
  <c r="AF252" i="69" s="1" a="1"/>
  <c r="AF252" i="69" s="1"/>
  <c r="AF264" i="69" a="1"/>
  <c r="AF264" i="69" s="1"/>
  <c r="AA274" i="69" a="1"/>
  <c r="AA274" i="69" s="1"/>
  <c r="AC184" i="69" a="1"/>
  <c r="AC184" i="69" s="1"/>
  <c r="AC258" i="69" s="1" a="1"/>
  <c r="AC258" i="69" s="1"/>
  <c r="AA178" i="69" a="1"/>
  <c r="AA178" i="69" s="1"/>
  <c r="AA252" i="69" s="1" a="1"/>
  <c r="AA252" i="69" s="1"/>
  <c r="AF185" i="69" a="1"/>
  <c r="AF185" i="69" s="1"/>
  <c r="AF259" i="69" s="1" a="1"/>
  <c r="AF259" i="69" s="1"/>
  <c r="AE185" i="69" a="1"/>
  <c r="AE185" i="69" s="1"/>
  <c r="AE259" i="69" s="1" a="1"/>
  <c r="AE259" i="69" s="1"/>
  <c r="AD183" i="69" a="1"/>
  <c r="AD183" i="69" s="1"/>
  <c r="AE274" i="69" s="1" a="1"/>
  <c r="AE274" i="69" s="1"/>
  <c r="AH183" i="69" a="1"/>
  <c r="AH183" i="69" s="1"/>
  <c r="AH257" i="69" s="1" a="1"/>
  <c r="AH257" i="69" s="1"/>
  <c r="AC182" i="69" a="1"/>
  <c r="AC182" i="69" s="1"/>
  <c r="AD273" i="69" s="1" a="1"/>
  <c r="AD273" i="69" s="1"/>
  <c r="AB177" i="69" a="1"/>
  <c r="AB177" i="69" s="1"/>
  <c r="AC268" i="69" s="1" a="1"/>
  <c r="AC268" i="69" s="1"/>
  <c r="AB263" i="69" a="1"/>
  <c r="AB263" i="69" s="1"/>
  <c r="AC178" i="69" a="1"/>
  <c r="AC178" i="69" s="1"/>
  <c r="AC252" i="69" s="1" a="1"/>
  <c r="AC252" i="69" s="1"/>
  <c r="AC264" i="69" a="1"/>
  <c r="AC264" i="69" s="1"/>
  <c r="AA183" i="69" a="1"/>
  <c r="AA183" i="69" s="1"/>
  <c r="AA257" i="69" s="1" a="1"/>
  <c r="AA257" i="69" s="1"/>
  <c r="AB188" i="69" a="1"/>
  <c r="AB188" i="69" s="1"/>
  <c r="AB262" i="69" s="1" a="1"/>
  <c r="AB262" i="69" s="1"/>
  <c r="AF181" i="69" a="1"/>
  <c r="AF181" i="69" s="1"/>
  <c r="AF255" i="69" s="1" a="1"/>
  <c r="AF255" i="69" s="1"/>
  <c r="Z186" i="69" a="1"/>
  <c r="Z186" i="69" s="1"/>
  <c r="Z260" i="69" s="1" a="1"/>
  <c r="Z260" i="69" s="1"/>
  <c r="Z272" i="69" a="1"/>
  <c r="Z272" i="69" s="1"/>
  <c r="AB182" i="69" a="1"/>
  <c r="AB182" i="69" s="1"/>
  <c r="AC273" i="69" s="1" a="1"/>
  <c r="AC273" i="69" s="1"/>
  <c r="AA263" i="69" a="1"/>
  <c r="AA263" i="69" s="1"/>
  <c r="AA177" i="69" a="1"/>
  <c r="AA177" i="69" s="1"/>
  <c r="AB268" i="69" s="1" a="1"/>
  <c r="AB268" i="69" s="1"/>
  <c r="Y265" i="69" a="1"/>
  <c r="Y265" i="69" s="1"/>
  <c r="Y179" i="69" a="1"/>
  <c r="Y179" i="69" s="1"/>
  <c r="Z270" i="69" s="1" a="1"/>
  <c r="Z270" i="69" s="1"/>
  <c r="AH188" i="69" a="1"/>
  <c r="AH188" i="69" s="1"/>
  <c r="AH262" i="69" s="1" a="1"/>
  <c r="AH262" i="69" s="1"/>
  <c r="AD184" i="69" a="1"/>
  <c r="AD184" i="69" s="1"/>
  <c r="AD258" i="69" s="1" a="1"/>
  <c r="AD258" i="69" s="1"/>
  <c r="AA266" i="69" a="1"/>
  <c r="AA266" i="69" s="1"/>
  <c r="AA180" i="69" a="1"/>
  <c r="AA180" i="69" s="1"/>
  <c r="AA254" i="69" s="1" a="1"/>
  <c r="AA254" i="69" s="1"/>
  <c r="AH265" i="69" a="1"/>
  <c r="AH265" i="69" s="1"/>
  <c r="AH179" i="69" a="1"/>
  <c r="AH179" i="69" s="1"/>
  <c r="AH253" i="69" s="1" a="1"/>
  <c r="AH253" i="69" s="1"/>
  <c r="AA182" i="69" a="1"/>
  <c r="AA182" i="69" s="1"/>
  <c r="AA256" i="69" s="1" a="1"/>
  <c r="AA256" i="69" s="1"/>
  <c r="AA184" i="69" a="1"/>
  <c r="AA184" i="69" s="1"/>
  <c r="AA258" i="69" s="1" a="1"/>
  <c r="AA258" i="69" s="1"/>
  <c r="AA188" i="69" a="1"/>
  <c r="AA188" i="69" s="1"/>
  <c r="AA262" i="69" s="1" a="1"/>
  <c r="AA262" i="69" s="1"/>
  <c r="Z182" i="69" a="1"/>
  <c r="Z182" i="69" s="1"/>
  <c r="Z256" i="69" s="1" a="1"/>
  <c r="Z256" i="69" s="1"/>
  <c r="AF188" i="69" a="1"/>
  <c r="AF188" i="69" s="1"/>
  <c r="AF262" i="69" s="1" a="1"/>
  <c r="AF262" i="69" s="1"/>
  <c r="AH267" i="69" a="1"/>
  <c r="AH267" i="69" s="1"/>
  <c r="AH181" i="69" a="1"/>
  <c r="AH181" i="69" s="1"/>
  <c r="AH255" i="69" s="1" a="1"/>
  <c r="AH255" i="69" s="1"/>
  <c r="AE264" i="69" a="1"/>
  <c r="AE264" i="69" s="1"/>
  <c r="AE178" i="69" a="1"/>
  <c r="AE178" i="69" s="1"/>
  <c r="AE252" i="69" s="1" a="1"/>
  <c r="AE252" i="69" s="1"/>
  <c r="AC187" i="69" a="1"/>
  <c r="AC187" i="69" s="1"/>
  <c r="AC261" i="69" s="1" a="1"/>
  <c r="AC261" i="69" s="1"/>
  <c r="Z184" i="69" a="1"/>
  <c r="Z184" i="69" s="1"/>
  <c r="Z258" i="69" s="1" a="1"/>
  <c r="Z258" i="69" s="1"/>
  <c r="AE186" i="69" a="1"/>
  <c r="AE186" i="69" s="1"/>
  <c r="AE260" i="69" s="1" a="1"/>
  <c r="AE260" i="69" s="1"/>
  <c r="Z183" i="69" a="1"/>
  <c r="Z183" i="69" s="1"/>
  <c r="Z257" i="69" s="1" a="1"/>
  <c r="Z257" i="69" s="1"/>
  <c r="AA187" i="69" a="1"/>
  <c r="AA187" i="69" s="1"/>
  <c r="AA261" i="69" s="1" a="1"/>
  <c r="AA261" i="69" s="1"/>
  <c r="AA185" i="69" a="1"/>
  <c r="AA185" i="69" s="1"/>
  <c r="AA259" i="69" s="1" a="1"/>
  <c r="AA259" i="69" s="1"/>
  <c r="Y274" i="69" a="1"/>
  <c r="Y274" i="69" s="1"/>
  <c r="Y188" i="69" a="1"/>
  <c r="Y188" i="69" s="1"/>
  <c r="Y262" i="69" s="1" a="1"/>
  <c r="Y262" i="69" s="1"/>
  <c r="AB187" i="69" a="1"/>
  <c r="AB187" i="69" s="1"/>
  <c r="AB261" i="69" s="1" a="1"/>
  <c r="AB261" i="69" s="1"/>
  <c r="AE187" i="69" a="1"/>
  <c r="AE187" i="69" s="1"/>
  <c r="AE261" i="69" s="1" a="1"/>
  <c r="AE261" i="69" s="1"/>
  <c r="AA186" i="69" a="1"/>
  <c r="AA186" i="69" s="1"/>
  <c r="AA260" i="69" s="1" a="1"/>
  <c r="AA260" i="69" s="1"/>
  <c r="Z179" i="69" a="1"/>
  <c r="Z179" i="69" s="1"/>
  <c r="Z253" i="69" s="1" a="1"/>
  <c r="Z253" i="69" s="1"/>
  <c r="AF183" i="69" a="1"/>
  <c r="AF183" i="69" s="1"/>
  <c r="AF257" i="69" s="1" a="1"/>
  <c r="AF257" i="69" s="1"/>
  <c r="AA179" i="69" a="1"/>
  <c r="AA179" i="69" s="1"/>
  <c r="AA253" i="69" s="1" a="1"/>
  <c r="AA253" i="69" s="1"/>
  <c r="Y273" i="69" a="1"/>
  <c r="Y273" i="69" s="1"/>
  <c r="Y187" i="69" a="1"/>
  <c r="Y187" i="69" s="1"/>
  <c r="Y261" i="69" s="1" a="1"/>
  <c r="Y261" i="69" s="1"/>
  <c r="Z263" i="69" a="1"/>
  <c r="Z263" i="69" s="1"/>
  <c r="Z177" i="69" a="1"/>
  <c r="Z177" i="69" s="1"/>
  <c r="Z251" i="69" s="1" a="1"/>
  <c r="Z251" i="69" s="1"/>
  <c r="AG177" i="69" a="1"/>
  <c r="AG177" i="69" s="1"/>
  <c r="AG251" i="69" s="1" a="1"/>
  <c r="AG251" i="69" s="1"/>
  <c r="AG185" i="69" a="1"/>
  <c r="AG185" i="69" s="1"/>
  <c r="AG259" i="69" s="1" a="1"/>
  <c r="AG259" i="69" s="1"/>
  <c r="AB267" i="69" a="1"/>
  <c r="AB267" i="69" s="1"/>
  <c r="AB181" i="69" a="1"/>
  <c r="AB181" i="69" s="1"/>
  <c r="AB255" i="69" s="1" a="1"/>
  <c r="AB255" i="69" s="1"/>
  <c r="AF263" i="69" a="1"/>
  <c r="AF263" i="69" s="1"/>
  <c r="AF177" i="69" a="1"/>
  <c r="AF177" i="69" s="1"/>
  <c r="AF251" i="69" s="1" a="1"/>
  <c r="AF251" i="69" s="1"/>
  <c r="AG182" i="69" a="1"/>
  <c r="AG182" i="69" s="1"/>
  <c r="AG256" i="69" s="1" a="1"/>
  <c r="AG256" i="69" s="1"/>
  <c r="AF187" i="69" a="1"/>
  <c r="AF187" i="69" s="1"/>
  <c r="AF261" i="69" s="1" a="1"/>
  <c r="AF261" i="69" s="1"/>
  <c r="AD177" i="69" a="1"/>
  <c r="AD177" i="69" s="1"/>
  <c r="AD251" i="69" s="1" a="1"/>
  <c r="AD251" i="69" s="1"/>
  <c r="AC186" i="69" a="1"/>
  <c r="AC186" i="69" s="1"/>
  <c r="AC260" i="69" s="1" a="1"/>
  <c r="AC260" i="69" s="1"/>
  <c r="AH266" i="69" a="1"/>
  <c r="AH266" i="69" s="1"/>
  <c r="AH180" i="69" a="1"/>
  <c r="AH180" i="69" s="1"/>
  <c r="AH254" i="69" s="1" a="1"/>
  <c r="AH254" i="69" s="1"/>
  <c r="AH186" i="69" a="1"/>
  <c r="AH186" i="69" s="1"/>
  <c r="AH260" i="69" s="1" a="1"/>
  <c r="AH260" i="69" s="1"/>
  <c r="AD185" i="69" a="1"/>
  <c r="AD185" i="69" s="1"/>
  <c r="AD259" i="69" s="1" a="1"/>
  <c r="AD259" i="69" s="1"/>
  <c r="AD187" i="69" a="1"/>
  <c r="AD187" i="69" s="1"/>
  <c r="AD261" i="69" s="1" a="1"/>
  <c r="AD261" i="69" s="1"/>
  <c r="Y178" i="69" a="1"/>
  <c r="Y178" i="69" s="1"/>
  <c r="Y252" i="69" s="1" a="1"/>
  <c r="Y252" i="69" s="1"/>
  <c r="Z185" i="69" a="1"/>
  <c r="Z185" i="69" s="1"/>
  <c r="Z259" i="69" s="1" a="1"/>
  <c r="Z259" i="69" s="1"/>
  <c r="AH185" i="69" a="1"/>
  <c r="AH185" i="69" s="1"/>
  <c r="AH259" i="69" s="1" a="1"/>
  <c r="AH259" i="69" s="1"/>
  <c r="AH184" i="69" a="1"/>
  <c r="AH184" i="69" s="1"/>
  <c r="AH258" i="69" s="1" a="1"/>
  <c r="AH258" i="69" s="1"/>
  <c r="AF265" i="69" a="1"/>
  <c r="AF265" i="69" s="1"/>
  <c r="AF179" i="69" a="1"/>
  <c r="AF179" i="69" s="1"/>
  <c r="AF253" i="69" s="1" a="1"/>
  <c r="AF253" i="69" s="1"/>
  <c r="AF266" i="69" a="1"/>
  <c r="AF266" i="69" s="1"/>
  <c r="AF180" i="69" a="1"/>
  <c r="AF180" i="69" s="1"/>
  <c r="AF254" i="69" s="1" a="1"/>
  <c r="AF254" i="69" s="1"/>
  <c r="AE184" i="69" a="1"/>
  <c r="AE184" i="69" s="1"/>
  <c r="AE258" i="69" s="1" a="1"/>
  <c r="AE258" i="69" s="1"/>
  <c r="AG267" i="69" a="1"/>
  <c r="AG267" i="69" s="1"/>
  <c r="AG181" i="69" a="1"/>
  <c r="AG181" i="69" s="1"/>
  <c r="AG255" i="69" s="1" a="1"/>
  <c r="AG255" i="69" s="1"/>
  <c r="AH182" i="69" a="1"/>
  <c r="AH182" i="69" s="1"/>
  <c r="AH256" i="69" s="1" a="1"/>
  <c r="AH256" i="69" s="1"/>
  <c r="AE188" i="69" a="1"/>
  <c r="AE188" i="69" s="1"/>
  <c r="AE262" i="69" s="1" a="1"/>
  <c r="AE262" i="69" s="1"/>
  <c r="Y270" i="69" a="1"/>
  <c r="Y270" i="69" s="1"/>
  <c r="Y184" i="69" a="1"/>
  <c r="Y184" i="69" s="1"/>
  <c r="Y258" i="69" s="1" a="1"/>
  <c r="Y258" i="69" s="1"/>
  <c r="AC266" i="69" a="1"/>
  <c r="AC266" i="69" s="1"/>
  <c r="AC180" i="69" a="1"/>
  <c r="AC180" i="69" s="1"/>
  <c r="AD271" i="69" s="1" a="1"/>
  <c r="AD271" i="69" s="1"/>
  <c r="Z267" i="69" a="1"/>
  <c r="Z267" i="69" s="1"/>
  <c r="Z181" i="69" a="1"/>
  <c r="Z181" i="69" s="1"/>
  <c r="Z255" i="69" s="1" a="1"/>
  <c r="Z255" i="69" s="1"/>
  <c r="AD182" i="69" a="1"/>
  <c r="AD182" i="69" s="1"/>
  <c r="AE273" i="69" s="1" a="1"/>
  <c r="AE273" i="69" s="1"/>
  <c r="AE179" i="69" a="1"/>
  <c r="AE179" i="69" s="1"/>
  <c r="AE253" i="69" s="1" a="1"/>
  <c r="AE253" i="69" s="1"/>
  <c r="AD137" i="69" a="1"/>
  <c r="AD137" i="69" s="1"/>
  <c r="AE195" i="69" s="1" a="1"/>
  <c r="AE195" i="69" s="1"/>
  <c r="W58" i="76"/>
  <c r="W74" i="76" s="1" a="1"/>
  <c r="W74" i="76" s="1"/>
  <c r="W138" i="76" s="1" a="1"/>
  <c r="W138" i="76" s="1"/>
  <c r="W198" i="76" s="1" a="1"/>
  <c r="W198" i="76" s="1"/>
  <c r="AF142" i="69" a="1"/>
  <c r="AF142" i="69" s="1"/>
  <c r="AG200" i="69" s="1" a="1"/>
  <c r="AG200" i="69" s="1"/>
  <c r="AD83" i="76" a="1"/>
  <c r="AD83" i="76" s="1"/>
  <c r="AD147" i="76" s="1" a="1"/>
  <c r="AD147" i="76" s="1"/>
  <c r="AD207" i="76" s="1" a="1"/>
  <c r="AD207" i="76" s="1"/>
  <c r="AD259" i="76" s="1" a="1"/>
  <c r="AD259" i="76" s="1"/>
  <c r="AF137" i="69" a="1"/>
  <c r="AF137" i="69" s="1"/>
  <c r="AG195" i="69" s="1" a="1"/>
  <c r="AG195" i="69" s="1"/>
  <c r="AC59" i="76"/>
  <c r="AC75" i="76" s="1" a="1"/>
  <c r="AC75" i="76" s="1"/>
  <c r="AC139" i="76" s="1" a="1"/>
  <c r="AC139" i="76" s="1"/>
  <c r="H54" i="76"/>
  <c r="H62" i="76" s="1" a="1"/>
  <c r="H62" i="76" s="1"/>
  <c r="H127" i="76" s="1" a="1"/>
  <c r="H127" i="76" s="1"/>
  <c r="H169" i="76" s="1" a="1"/>
  <c r="H169" i="76" s="1"/>
  <c r="H207" i="76" s="1" a="1"/>
  <c r="H207" i="76" s="1"/>
  <c r="AE138" i="69" a="1"/>
  <c r="AE138" i="69" s="1"/>
  <c r="AF196" i="69" s="1" a="1"/>
  <c r="AF196" i="69" s="1"/>
  <c r="AA133" i="69" a="1"/>
  <c r="AA133" i="69" s="1"/>
  <c r="AB191" i="69" s="1" a="1"/>
  <c r="AB191" i="69" s="1"/>
  <c r="AE59" i="76"/>
  <c r="AC67" i="76"/>
  <c r="W63" i="76"/>
  <c r="X56" i="76"/>
  <c r="X65" i="76"/>
  <c r="G54" i="76"/>
  <c r="G62" i="76" s="1" a="1"/>
  <c r="G62" i="76" s="1"/>
  <c r="G127" i="76" s="1" a="1"/>
  <c r="G127" i="76" s="1"/>
  <c r="G169" i="76" s="1" a="1"/>
  <c r="G169" i="76" s="1"/>
  <c r="G207" i="76" s="1" a="1"/>
  <c r="G207" i="76"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V57" i="76"/>
  <c r="J57" i="76"/>
  <c r="J65" i="76" s="1" a="1"/>
  <c r="J65" i="76" s="1"/>
  <c r="J130" i="76" s="1" a="1"/>
  <c r="J130" i="76" s="1"/>
  <c r="J172" i="76" s="1" a="1"/>
  <c r="J172" i="76" s="1"/>
  <c r="J210" i="76" s="1" a="1"/>
  <c r="J210" i="76" s="1"/>
  <c r="AE65" i="76"/>
  <c r="AG132" i="69" a="1"/>
  <c r="AG132" i="69" s="1"/>
  <c r="AH190" i="69" s="1" a="1"/>
  <c r="AH190" i="69" s="1"/>
  <c r="AC66" i="76"/>
  <c r="AA64" i="76"/>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Z65" i="76"/>
  <c r="AF140" i="69" a="1"/>
  <c r="AF140" i="69" s="1"/>
  <c r="AG198" i="69" s="1" a="1"/>
  <c r="AG198" i="69" s="1"/>
  <c r="M55" i="76"/>
  <c r="M63" i="76" s="1" a="1"/>
  <c r="M63" i="76" s="1"/>
  <c r="M128" i="76" s="1" a="1"/>
  <c r="M128" i="76" s="1"/>
  <c r="M170" i="76" s="1" a="1"/>
  <c r="M170" i="76" s="1"/>
  <c r="M208" i="76" s="1" a="1"/>
  <c r="M208" i="76" s="1"/>
  <c r="W62" i="76"/>
  <c r="AG131" i="69" a="1"/>
  <c r="AG131" i="69" s="1"/>
  <c r="AH189" i="69" s="1" a="1"/>
  <c r="AH189" i="69" s="1"/>
  <c r="E55" i="76"/>
  <c r="E63" i="76" s="1" a="1"/>
  <c r="E63" i="76" s="1"/>
  <c r="E128" i="76" s="1" a="1"/>
  <c r="E128" i="76" s="1"/>
  <c r="E170" i="76" s="1" a="1"/>
  <c r="E170" i="76" s="1"/>
  <c r="E208" i="76" s="1" a="1"/>
  <c r="E208" i="76" s="1"/>
  <c r="I132" i="69" a="1"/>
  <c r="I132" i="69" s="1"/>
  <c r="J178" i="69" s="1" a="1"/>
  <c r="J178" i="69" s="1"/>
  <c r="J236" i="69" s="1" a="1"/>
  <c r="J236" i="69" s="1"/>
  <c r="AD66" i="76"/>
  <c r="AE64" i="76"/>
  <c r="J55" i="76"/>
  <c r="J63" i="76" s="1" a="1"/>
  <c r="J63" i="76" s="1"/>
  <c r="J128" i="76" s="1" a="1"/>
  <c r="J128" i="76" s="1"/>
  <c r="J170" i="76" s="1" a="1"/>
  <c r="J170" i="76" s="1"/>
  <c r="J208" i="76" s="1" a="1"/>
  <c r="J208" i="76" s="1"/>
  <c r="AD61" i="76"/>
  <c r="AF138" i="69" a="1"/>
  <c r="AF138" i="69" s="1"/>
  <c r="AG196" i="69" s="1" a="1"/>
  <c r="AG196" i="69" s="1"/>
  <c r="W61" i="76"/>
  <c r="AB65" i="76"/>
  <c r="F55" i="76"/>
  <c r="F63" i="76" s="1" a="1"/>
  <c r="F63" i="76" s="1"/>
  <c r="F128" i="76" s="1" a="1"/>
  <c r="F128" i="76" s="1"/>
  <c r="F170" i="76" s="1" a="1"/>
  <c r="F170" i="76" s="1"/>
  <c r="F208" i="76" s="1" a="1"/>
  <c r="F208" i="76"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V67" i="76"/>
  <c r="AC135" i="69" a="1"/>
  <c r="AC135" i="69" s="1"/>
  <c r="AD193" i="69" s="1" a="1"/>
  <c r="AD193" i="69" s="1"/>
  <c r="X59" i="76"/>
  <c r="M57" i="76"/>
  <c r="M65" i="76" s="1" a="1"/>
  <c r="M65" i="76" s="1"/>
  <c r="M130" i="76" s="1" a="1"/>
  <c r="M130" i="76" s="1"/>
  <c r="M172" i="76" s="1" a="1"/>
  <c r="M172" i="76" s="1"/>
  <c r="M210" i="76" s="1" a="1"/>
  <c r="M210" i="76" s="1"/>
  <c r="AB131" i="69" a="1"/>
  <c r="AB131" i="69" s="1"/>
  <c r="AC189" i="69" s="1" a="1"/>
  <c r="AC189" i="69" s="1"/>
  <c r="K134" i="69" a="1"/>
  <c r="K134" i="69" s="1"/>
  <c r="L184" i="69" s="1" a="1"/>
  <c r="L184" i="69" s="1"/>
  <c r="L242" i="69" s="1" a="1"/>
  <c r="L242" i="69" s="1"/>
  <c r="X58" i="76"/>
  <c r="AA137" i="69" a="1"/>
  <c r="AA137" i="69" s="1"/>
  <c r="AB195" i="69" s="1" a="1"/>
  <c r="AB195" i="69" s="1"/>
  <c r="I134" i="69" a="1"/>
  <c r="I134" i="69" s="1"/>
  <c r="J184" i="69" s="1" a="1"/>
  <c r="J184" i="69" s="1"/>
  <c r="J242" i="69" s="1" a="1"/>
  <c r="J242" i="69" s="1"/>
  <c r="AB57" i="76"/>
  <c r="AC132" i="69" a="1"/>
  <c r="AC132" i="69" s="1"/>
  <c r="AD190" i="69" s="1" a="1"/>
  <c r="AD190" i="69" s="1"/>
  <c r="E57" i="76"/>
  <c r="E65" i="76" s="1" a="1"/>
  <c r="E65" i="76" s="1"/>
  <c r="E130" i="76" s="1" a="1"/>
  <c r="E130" i="76" s="1"/>
  <c r="E172" i="76" s="1" a="1"/>
  <c r="E172" i="76" s="1"/>
  <c r="E210" i="76" s="1" a="1"/>
  <c r="E210" i="76" s="1"/>
  <c r="AD135" i="69" a="1"/>
  <c r="AD135" i="69" s="1"/>
  <c r="AE193" i="69" s="1" a="1"/>
  <c r="AE193" i="69" s="1"/>
  <c r="L56" i="76"/>
  <c r="L64" i="76" s="1" a="1"/>
  <c r="L64" i="76" s="1"/>
  <c r="L129" i="76" s="1" a="1"/>
  <c r="L129" i="76" s="1"/>
  <c r="L171" i="76" s="1" a="1"/>
  <c r="L171" i="76" s="1"/>
  <c r="L209" i="76" s="1" a="1"/>
  <c r="L209" i="76" s="1"/>
  <c r="L54" i="76"/>
  <c r="L62" i="76" s="1" a="1"/>
  <c r="L62" i="76" s="1"/>
  <c r="L127" i="76" s="1" a="1"/>
  <c r="L127" i="76" s="1"/>
  <c r="L169" i="76" s="1" a="1"/>
  <c r="L169" i="76" s="1"/>
  <c r="L207" i="76" s="1" a="1"/>
  <c r="L207" i="76" s="1"/>
  <c r="Z66" i="76"/>
  <c r="AB66" i="76"/>
  <c r="AB142" i="69" a="1"/>
  <c r="AB142" i="69" s="1"/>
  <c r="AC200" i="69" s="1" a="1"/>
  <c r="AC200" i="69" s="1"/>
  <c r="W60" i="76"/>
  <c r="H55" i="76"/>
  <c r="H63" i="76" s="1" a="1"/>
  <c r="H63" i="76" s="1"/>
  <c r="H128" i="76" s="1" a="1"/>
  <c r="H128" i="76" s="1"/>
  <c r="H170" i="76" s="1" a="1"/>
  <c r="H170" i="76" s="1"/>
  <c r="H208" i="76" s="1" a="1"/>
  <c r="H208" i="76" s="1"/>
  <c r="I54" i="76"/>
  <c r="I62" i="76" s="1" a="1"/>
  <c r="I62" i="76" s="1"/>
  <c r="I127" i="76" s="1" a="1"/>
  <c r="I127" i="76" s="1"/>
  <c r="I169" i="76" s="1" a="1"/>
  <c r="I169" i="76" s="1"/>
  <c r="I207" i="76" s="1" a="1"/>
  <c r="I207" i="76" s="1"/>
  <c r="X131" i="69" a="1"/>
  <c r="X131" i="69" s="1"/>
  <c r="Y189" i="69" s="1" a="1"/>
  <c r="Y189" i="69" s="1"/>
  <c r="N54" i="76"/>
  <c r="N62" i="76" s="1" a="1"/>
  <c r="N62" i="76" s="1"/>
  <c r="N127" i="76" s="1" a="1"/>
  <c r="N127" i="76" s="1"/>
  <c r="N169" i="76" s="1" a="1"/>
  <c r="N169" i="76" s="1"/>
  <c r="N207" i="76" s="1" a="1"/>
  <c r="N207" i="76" s="1"/>
  <c r="M54" i="76"/>
  <c r="M62" i="76" s="1" a="1"/>
  <c r="M62" i="76" s="1"/>
  <c r="M127" i="76" s="1" a="1"/>
  <c r="M127" i="76" s="1"/>
  <c r="M169" i="76" s="1" a="1"/>
  <c r="M169" i="76" s="1"/>
  <c r="M207" i="76" s="1" a="1"/>
  <c r="M207" i="76" s="1"/>
  <c r="AE63" i="76"/>
  <c r="W64" i="76"/>
  <c r="G133" i="69" a="1"/>
  <c r="G133" i="69" s="1"/>
  <c r="H179" i="69" s="1" a="1"/>
  <c r="H179" i="69" s="1"/>
  <c r="H237" i="69" s="1" a="1"/>
  <c r="H237" i="69" s="1"/>
  <c r="Z59" i="76"/>
  <c r="AD131" i="69" a="1"/>
  <c r="AD131" i="69" s="1"/>
  <c r="AE189" i="69" s="1" a="1"/>
  <c r="AE189" i="69" s="1"/>
  <c r="F133" i="69" a="1"/>
  <c r="F133" i="69" s="1"/>
  <c r="G179" i="69" s="1" a="1"/>
  <c r="G179" i="69" s="1"/>
  <c r="G237" i="69" s="1" a="1"/>
  <c r="G237" i="69" s="1"/>
  <c r="I133" i="69" a="1"/>
  <c r="I133" i="69" s="1"/>
  <c r="J183" i="69" s="1" a="1"/>
  <c r="J183" i="69" s="1"/>
  <c r="J241" i="69" s="1" a="1"/>
  <c r="J241" i="69" s="1"/>
  <c r="E56" i="76"/>
  <c r="E64" i="76" s="1" a="1"/>
  <c r="E64" i="76" s="1"/>
  <c r="E129" i="76" s="1" a="1"/>
  <c r="E129" i="76" s="1"/>
  <c r="E171" i="76" s="1" a="1"/>
  <c r="E171" i="76" s="1"/>
  <c r="E209" i="76" s="1" a="1"/>
  <c r="E209" i="76" s="1"/>
  <c r="AB64" i="76"/>
  <c r="AD64" i="76"/>
  <c r="Y61" i="76"/>
  <c r="Y142" i="69" a="1"/>
  <c r="Y142" i="69" s="1"/>
  <c r="Z200" i="69" s="1" a="1"/>
  <c r="Z200" i="69" s="1"/>
  <c r="X136" i="69" a="1"/>
  <c r="X136" i="69" s="1"/>
  <c r="Y194" i="69" s="1" a="1"/>
  <c r="Y194" i="69" s="1"/>
  <c r="M56" i="76"/>
  <c r="M64" i="76" s="1" a="1"/>
  <c r="M64" i="76" s="1"/>
  <c r="M129" i="76" s="1" a="1"/>
  <c r="M129" i="76" s="1"/>
  <c r="M171" i="76" s="1" a="1"/>
  <c r="M171" i="76" s="1"/>
  <c r="M209" i="76" s="1" a="1"/>
  <c r="M209" i="76" s="1"/>
  <c r="X66" i="76"/>
  <c r="AE67" i="76"/>
  <c r="AB139" i="69" a="1"/>
  <c r="AB139" i="69" s="1"/>
  <c r="AC197" i="69" s="1" a="1"/>
  <c r="AC197" i="69" s="1"/>
  <c r="AF133" i="69" a="1"/>
  <c r="AF133" i="69" s="1"/>
  <c r="AG191" i="69" s="1" a="1"/>
  <c r="AG191" i="69" s="1"/>
  <c r="X63" i="76"/>
  <c r="N184" i="69" a="1"/>
  <c r="N184" i="69" s="1"/>
  <c r="N242" i="69" s="1" a="1"/>
  <c r="N242" i="69" s="1"/>
  <c r="AB133" i="69" a="1"/>
  <c r="AB133" i="69" s="1"/>
  <c r="AC191" i="69" s="1" a="1"/>
  <c r="AC191" i="69" s="1"/>
  <c r="Y66" i="76"/>
  <c r="AC142" i="69" a="1"/>
  <c r="AC142" i="69" s="1"/>
  <c r="AD200" i="69" s="1" a="1"/>
  <c r="AD200" i="69" s="1"/>
  <c r="AE60" i="76"/>
  <c r="AF134" i="69" a="1"/>
  <c r="AF134" i="69" s="1"/>
  <c r="AG192" i="69" s="1" a="1"/>
  <c r="AG192" i="69" s="1"/>
  <c r="Y56" i="76"/>
  <c r="X64" i="76"/>
  <c r="AA61" i="76"/>
  <c r="AB137" i="69" a="1"/>
  <c r="AB137" i="69" s="1"/>
  <c r="AC195" i="69" s="1" a="1"/>
  <c r="AC195" i="69" s="1"/>
  <c r="X61" i="76"/>
  <c r="AA265" i="69" a="1"/>
  <c r="AA265" i="69" s="1"/>
  <c r="AB67" i="76"/>
  <c r="AC62" i="76"/>
  <c r="V65" i="76"/>
  <c r="AD56" i="76"/>
  <c r="AB63" i="76"/>
  <c r="AA56" i="76"/>
  <c r="L177" i="69" a="1"/>
  <c r="L177" i="69" s="1"/>
  <c r="L235" i="69" s="1" a="1"/>
  <c r="L235" i="69" s="1"/>
  <c r="L181" i="69" a="1"/>
  <c r="L181" i="69" s="1"/>
  <c r="L239" i="69" s="1" a="1"/>
  <c r="L239" i="69" s="1"/>
  <c r="Z265" i="69" a="1"/>
  <c r="Z265" i="69" s="1"/>
  <c r="X57" i="76"/>
  <c r="F54" i="76"/>
  <c r="F62" i="76" s="1" a="1"/>
  <c r="F62" i="76" s="1"/>
  <c r="F127" i="76" s="1" a="1"/>
  <c r="F127" i="76" s="1"/>
  <c r="F169" i="76" s="1" a="1"/>
  <c r="F169" i="76" s="1"/>
  <c r="F207" i="76" s="1" a="1"/>
  <c r="F207" i="76" s="1"/>
  <c r="K54" i="76"/>
  <c r="K62" i="76" s="1" a="1"/>
  <c r="K62" i="76" s="1"/>
  <c r="K127" i="76" s="1" a="1"/>
  <c r="K127" i="76" s="1"/>
  <c r="K169" i="76" s="1" a="1"/>
  <c r="K169" i="76" s="1"/>
  <c r="K207" i="76" s="1" a="1"/>
  <c r="K207" i="76" s="1"/>
  <c r="Y264" i="69" a="1"/>
  <c r="Y264" i="69" s="1"/>
  <c r="W56" i="76"/>
  <c r="V66" i="76"/>
  <c r="AD60" i="76"/>
  <c r="AB58" i="76"/>
  <c r="Z63" i="76"/>
  <c r="AC140" i="69" a="1"/>
  <c r="AC140" i="69" s="1"/>
  <c r="AD198" i="69" s="1" a="1"/>
  <c r="AD198" i="69" s="1"/>
  <c r="AC64" i="76"/>
  <c r="G177" i="69" a="1"/>
  <c r="G177" i="69" s="1"/>
  <c r="G235" i="69" s="1" a="1"/>
  <c r="G235" i="69" s="1"/>
  <c r="G181" i="69" a="1"/>
  <c r="G181" i="69" s="1"/>
  <c r="G239" i="69" s="1" a="1"/>
  <c r="G239" i="69" s="1"/>
  <c r="AE58" i="76"/>
  <c r="AC57" i="76"/>
  <c r="K180" i="69" a="1"/>
  <c r="K180" i="69" s="1"/>
  <c r="K238" i="69" s="1" a="1"/>
  <c r="K238" i="69" s="1"/>
  <c r="Z61" i="76"/>
  <c r="AF267" i="69" a="1"/>
  <c r="AF267" i="69" s="1"/>
  <c r="H181" i="69" a="1"/>
  <c r="H181" i="69" s="1"/>
  <c r="H239" i="69" s="1" a="1"/>
  <c r="H239" i="69" s="1"/>
  <c r="AC60" i="76"/>
  <c r="V60" i="76"/>
  <c r="G182" i="69" a="1"/>
  <c r="G182" i="69" s="1"/>
  <c r="G240" i="69" s="1" a="1"/>
  <c r="G240" i="69" s="1"/>
  <c r="AE62" i="76"/>
  <c r="N183" i="69" a="1"/>
  <c r="N183" i="69" s="1"/>
  <c r="N241" i="69" s="1" a="1"/>
  <c r="N241" i="69" s="1"/>
  <c r="Y67" i="76"/>
  <c r="N182" i="69" a="1"/>
  <c r="N182" i="69" s="1"/>
  <c r="N240" i="69" s="1" a="1"/>
  <c r="N240" i="69" s="1"/>
  <c r="AE136" i="69" a="1"/>
  <c r="AE136" i="69" s="1"/>
  <c r="AF194" i="69" s="1" a="1"/>
  <c r="AF194" i="69" s="1"/>
  <c r="H133" i="69" a="1"/>
  <c r="H133" i="69" s="1"/>
  <c r="K132" i="69" a="1"/>
  <c r="K132" i="69" s="1"/>
  <c r="L178" i="69" s="1" a="1"/>
  <c r="L178" i="69" s="1"/>
  <c r="L236" i="69" s="1" a="1"/>
  <c r="L236" i="69" s="1"/>
  <c r="AC56" i="76"/>
  <c r="F134" i="69" a="1"/>
  <c r="F134" i="69" s="1"/>
  <c r="G184" i="69" s="1" a="1"/>
  <c r="G184" i="69" s="1"/>
  <c r="G242" i="69" s="1" a="1"/>
  <c r="G242" i="69" s="1"/>
  <c r="M181" i="69" a="1"/>
  <c r="M181" i="69" s="1"/>
  <c r="M239" i="69" s="1" a="1"/>
  <c r="M239" i="69" s="1"/>
  <c r="AE61" i="76"/>
  <c r="L55" i="76"/>
  <c r="L63" i="76" s="1" a="1"/>
  <c r="L63" i="76" s="1"/>
  <c r="L128" i="76" s="1" a="1"/>
  <c r="L128" i="76" s="1"/>
  <c r="L170" i="76" s="1" a="1"/>
  <c r="L170" i="76" s="1"/>
  <c r="L208" i="76" s="1" a="1"/>
  <c r="L208" i="76" s="1"/>
  <c r="N134" i="69" a="1"/>
  <c r="N134" i="69" s="1"/>
  <c r="O184" i="69" s="1" a="1"/>
  <c r="O184" i="69" s="1"/>
  <c r="O242" i="69" s="1" a="1"/>
  <c r="O242" i="69" s="1"/>
  <c r="F182" i="69" a="1"/>
  <c r="F182" i="69" s="1"/>
  <c r="F240" i="69" s="1" a="1"/>
  <c r="F240" i="69" s="1"/>
  <c r="V62" i="76"/>
  <c r="AF132" i="69" a="1"/>
  <c r="AF132" i="69" s="1"/>
  <c r="AG190" i="69" s="1" a="1"/>
  <c r="AG190" i="69" s="1"/>
  <c r="M183" i="69" a="1"/>
  <c r="M183" i="69" s="1"/>
  <c r="M241" i="69" s="1" a="1"/>
  <c r="M241" i="69" s="1"/>
  <c r="AA63" i="76"/>
  <c r="G55" i="76"/>
  <c r="G63" i="76" s="1" a="1"/>
  <c r="G63" i="76" s="1"/>
  <c r="G128" i="76" s="1" a="1"/>
  <c r="G128" i="76" s="1"/>
  <c r="G170" i="76" s="1" a="1"/>
  <c r="G170" i="76" s="1"/>
  <c r="G208" i="76" s="1" a="1"/>
  <c r="G208" i="76" s="1"/>
  <c r="N55" i="76"/>
  <c r="N63" i="76" s="1" a="1"/>
  <c r="N63" i="76" s="1"/>
  <c r="N128" i="76" s="1" a="1"/>
  <c r="N128" i="76" s="1"/>
  <c r="N170" i="76" s="1" a="1"/>
  <c r="N170" i="76" s="1"/>
  <c r="N208" i="76" s="1" a="1"/>
  <c r="N208" i="76" s="1"/>
  <c r="H57" i="76"/>
  <c r="H65" i="76" s="1" a="1"/>
  <c r="H65" i="76" s="1"/>
  <c r="H130" i="76" s="1" a="1"/>
  <c r="H130" i="76" s="1"/>
  <c r="H172" i="76" s="1" a="1"/>
  <c r="H172" i="76" s="1"/>
  <c r="H210" i="76" s="1" a="1"/>
  <c r="H210" i="76" s="1"/>
  <c r="AA264" i="69" a="1"/>
  <c r="AA264" i="69" s="1"/>
  <c r="Y269" i="69" a="1"/>
  <c r="Y269" i="69" s="1"/>
  <c r="O182" i="69" a="1"/>
  <c r="O182" i="69" s="1"/>
  <c r="O240" i="69" s="1" a="1"/>
  <c r="O240" i="69" s="1"/>
  <c r="O178" i="69" a="1"/>
  <c r="O178" i="69" s="1"/>
  <c r="O236" i="69" s="1" a="1"/>
  <c r="O236" i="69" s="1"/>
  <c r="AB274" i="69" a="1"/>
  <c r="AB274" i="69" s="1"/>
  <c r="M182" i="69" a="1"/>
  <c r="M182" i="69" s="1"/>
  <c r="M240" i="69" s="1" a="1"/>
  <c r="M240" i="69" s="1"/>
  <c r="M178" i="69" a="1"/>
  <c r="M178" i="69" s="1"/>
  <c r="M236" i="69" s="1" a="1"/>
  <c r="M236" i="69" s="1"/>
  <c r="N56" i="76"/>
  <c r="N64" i="76" s="1" a="1"/>
  <c r="N64" i="76" s="1"/>
  <c r="N129" i="76" s="1" a="1"/>
  <c r="N129" i="76" s="1"/>
  <c r="N171" i="76" s="1" a="1"/>
  <c r="N171" i="76" s="1"/>
  <c r="N209" i="76" s="1" a="1"/>
  <c r="N209" i="76" s="1"/>
  <c r="V58" i="76"/>
  <c r="AA66" i="76"/>
  <c r="Y65" i="76"/>
  <c r="AA62" i="76"/>
  <c r="O181" i="69" a="1"/>
  <c r="O181" i="69" s="1"/>
  <c r="O239" i="69" s="1" a="1"/>
  <c r="O239" i="69" s="1"/>
  <c r="N181" i="69" a="1"/>
  <c r="N181" i="69" s="1"/>
  <c r="N239" i="69" s="1" a="1"/>
  <c r="N239" i="69" s="1"/>
  <c r="J54" i="76"/>
  <c r="J62" i="76" s="1" a="1"/>
  <c r="J62" i="76" s="1"/>
  <c r="J127" i="76" s="1" a="1"/>
  <c r="J127" i="76" s="1"/>
  <c r="J169" i="76" s="1" a="1"/>
  <c r="J169" i="76" s="1"/>
  <c r="J207" i="76" s="1" a="1"/>
  <c r="J207" i="76" s="1"/>
  <c r="X62" i="76"/>
  <c r="I182" i="69" a="1"/>
  <c r="I182" i="69" s="1"/>
  <c r="I240" i="69" s="1" a="1"/>
  <c r="I240" i="69" s="1"/>
  <c r="AG263" i="69" a="1"/>
  <c r="AG263" i="69" s="1"/>
  <c r="AE265" i="69" a="1"/>
  <c r="AE265" i="69" s="1"/>
  <c r="W65" i="76"/>
  <c r="AA138" i="69" a="1"/>
  <c r="AA138" i="69" s="1"/>
  <c r="AB196" i="69" s="1" a="1"/>
  <c r="AB196" i="69" s="1"/>
  <c r="L179" i="69" a="1"/>
  <c r="L179" i="69" s="1"/>
  <c r="L237" i="69" s="1" a="1"/>
  <c r="L237" i="69" s="1"/>
  <c r="L183" i="69" a="1"/>
  <c r="L183" i="69" s="1"/>
  <c r="L241" i="69" s="1" a="1"/>
  <c r="L241" i="69" s="1"/>
  <c r="O179" i="69" a="1"/>
  <c r="O179" i="69" s="1"/>
  <c r="O237" i="69" s="1" a="1"/>
  <c r="O237" i="69" s="1"/>
  <c r="I184" i="69" a="1"/>
  <c r="I184" i="69" s="1"/>
  <c r="I242" i="69" s="1" a="1"/>
  <c r="I242" i="69" s="1"/>
  <c r="K56" i="76"/>
  <c r="K64" i="76" s="1" a="1"/>
  <c r="K64" i="76" s="1"/>
  <c r="K129" i="76" s="1" a="1"/>
  <c r="K129" i="76" s="1"/>
  <c r="K171" i="76" s="1" a="1"/>
  <c r="K171" i="76" s="1"/>
  <c r="K209" i="76" s="1" a="1"/>
  <c r="K209" i="76" s="1"/>
  <c r="F183" i="69" a="1"/>
  <c r="F183" i="69" s="1"/>
  <c r="F241" i="69" s="1" a="1"/>
  <c r="F241" i="69" s="1"/>
  <c r="H182" i="69" a="1"/>
  <c r="H182" i="69" s="1"/>
  <c r="H240" i="69" s="1" a="1"/>
  <c r="H240" i="69" s="1"/>
  <c r="AD263" i="69" a="1"/>
  <c r="AD263" i="69" s="1"/>
  <c r="F180" i="69" a="1"/>
  <c r="F180" i="69" s="1"/>
  <c r="F238" i="69" s="1" a="1"/>
  <c r="F238" i="69" s="1"/>
  <c r="K177" i="69" a="1"/>
  <c r="K177" i="69" s="1"/>
  <c r="K235" i="69" s="1" a="1"/>
  <c r="K235" i="69" s="1"/>
  <c r="V77" i="76" a="1"/>
  <c r="V77" i="76" s="1"/>
  <c r="V141" i="76" s="1" a="1"/>
  <c r="V141" i="76" s="1"/>
  <c r="V201" i="76" s="1" a="1"/>
  <c r="V201" i="76" s="1"/>
  <c r="AB135" i="69" a="1"/>
  <c r="AB135" i="69" s="1"/>
  <c r="AC193" i="69" s="1" a="1"/>
  <c r="AC193" i="69" s="1"/>
  <c r="Z60" i="76"/>
  <c r="X76" i="76" a="1"/>
  <c r="X76" i="76" s="1"/>
  <c r="X140" i="76" s="1" a="1"/>
  <c r="X140" i="76" s="1"/>
  <c r="X200" i="76" s="1" a="1"/>
  <c r="X200" i="76" s="1"/>
  <c r="V75" i="76" a="1"/>
  <c r="V75" i="76" s="1"/>
  <c r="V139" i="76" s="1" a="1"/>
  <c r="V139" i="76" s="1"/>
  <c r="V199" i="76" s="1" a="1"/>
  <c r="V199" i="76" s="1"/>
  <c r="E131" i="69" a="1"/>
  <c r="E131" i="69" s="1"/>
  <c r="E54" i="76"/>
  <c r="K178" i="69" a="1"/>
  <c r="K178" i="69" s="1"/>
  <c r="K236" i="69" s="1" a="1"/>
  <c r="K236" i="69" s="1"/>
  <c r="AB77" i="76" a="1"/>
  <c r="AB77" i="76" s="1"/>
  <c r="AB141" i="76" s="1" a="1"/>
  <c r="AB141" i="76" s="1"/>
  <c r="AB201" i="76" s="1" a="1"/>
  <c r="AB201" i="76" s="1"/>
  <c r="J181" i="69" a="1"/>
  <c r="J181" i="69" s="1"/>
  <c r="J239" i="69" s="1" a="1"/>
  <c r="J239" i="69" s="1"/>
  <c r="V79" i="76" a="1"/>
  <c r="V79" i="76" s="1"/>
  <c r="V143" i="76" s="1" a="1"/>
  <c r="V143" i="76" s="1"/>
  <c r="V203" i="76" s="1" a="1"/>
  <c r="V203" i="76" s="1"/>
  <c r="G65" i="76" a="1"/>
  <c r="G65" i="76" s="1"/>
  <c r="G130" i="76" s="1" a="1"/>
  <c r="G130" i="76" s="1"/>
  <c r="G172" i="76" s="1" a="1"/>
  <c r="G172" i="76" s="1"/>
  <c r="G210" i="76" s="1" a="1"/>
  <c r="G210" i="76" s="1"/>
  <c r="J133" i="69" a="1"/>
  <c r="J133" i="69" s="1"/>
  <c r="J56" i="76"/>
  <c r="J64" i="76" s="1"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64" i="76"/>
  <c r="V72" i="76" a="1"/>
  <c r="V72" i="76" s="1"/>
  <c r="V136" i="76" s="1" a="1"/>
  <c r="V136" i="76" s="1"/>
  <c r="V196" i="76" s="1" a="1"/>
  <c r="V196" i="76" s="1"/>
  <c r="X83" i="76" a="1"/>
  <c r="X83" i="76" s="1"/>
  <c r="X147" i="76" s="1" a="1"/>
  <c r="X147" i="76" s="1"/>
  <c r="X207" i="76" s="1" a="1"/>
  <c r="X207" i="76" s="1"/>
  <c r="AE66" i="76"/>
  <c r="AG141" i="69" a="1"/>
  <c r="AG141" i="69" s="1"/>
  <c r="AH199" i="69" s="1" a="1"/>
  <c r="AH199" i="69" s="1"/>
  <c r="W57" i="76"/>
  <c r="Y132" i="69" a="1"/>
  <c r="Y132" i="69" s="1"/>
  <c r="Z190" i="69" s="1" a="1"/>
  <c r="Z190" i="69" s="1"/>
  <c r="AA58" i="76"/>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C65" i="76"/>
  <c r="AE140" i="69" a="1"/>
  <c r="AE140" i="69" s="1"/>
  <c r="AF198" i="69" s="1" a="1"/>
  <c r="AF198" i="69" s="1"/>
  <c r="AB75" i="76" a="1"/>
  <c r="AB75" i="76" s="1"/>
  <c r="AB139" i="76" s="1" a="1"/>
  <c r="AB139" i="76" s="1"/>
  <c r="AB199" i="76" s="1" a="1"/>
  <c r="AB199" i="76" s="1"/>
  <c r="AB72" i="76" a="1"/>
  <c r="AB72" i="76" s="1"/>
  <c r="AB136" i="76" s="1" a="1"/>
  <c r="AB136" i="76" s="1"/>
  <c r="AB196" i="76" s="1" a="1"/>
  <c r="AB196" i="76" s="1"/>
  <c r="I177" i="69" a="1"/>
  <c r="I177" i="69" s="1"/>
  <c r="I235" i="69" s="1" a="1"/>
  <c r="I235" i="69" s="1"/>
  <c r="AD257" i="69" l="1" a="1"/>
  <c r="AD257" i="69" s="1"/>
  <c r="AA251" i="69" a="1"/>
  <c r="AA251" i="69" s="1"/>
  <c r="AB256" i="69" a="1"/>
  <c r="AB256" i="69" s="1"/>
  <c r="AA270" i="69" a="1"/>
  <c r="AA270" i="69" s="1"/>
  <c r="AH268" i="69" a="1"/>
  <c r="AH268" i="69" s="1"/>
  <c r="Y253" i="69" a="1"/>
  <c r="Y253" i="69" s="1"/>
  <c r="AD269" i="69" a="1"/>
  <c r="AD269" i="69" s="1"/>
  <c r="AC256" i="69" a="1"/>
  <c r="AC256" i="69" s="1"/>
  <c r="AG274" i="69" a="1"/>
  <c r="AG274" i="69" s="1"/>
  <c r="AA272" i="69" a="1"/>
  <c r="AA272" i="69" s="1"/>
  <c r="AD256" i="69" a="1"/>
  <c r="AD256" i="69" s="1"/>
  <c r="AC254" i="69" a="1"/>
  <c r="AC254"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AB251" i="69" a="1"/>
  <c r="AB251"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I13" i="98" s="1"/>
  <c r="E20" i="98" s="1" a="1"/>
  <c r="E20" i="98"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Z252" i="69" l="1"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I32" i="98"/>
  <c r="E36" i="98" s="1" a="1"/>
  <c r="E36" i="98" s="1"/>
  <c r="E244" i="69"/>
  <c r="G246" i="69" s="1"/>
  <c r="E249" i="69" s="1" a="1"/>
  <c r="E249" i="69" s="1"/>
  <c r="H7" i="13" s="1"/>
  <c r="J13" i="97"/>
  <c r="E16" i="97" s="1" a="1"/>
  <c r="E16" i="97" s="1"/>
  <c r="I28" i="97" s="1"/>
  <c r="E35" i="97" s="1" a="1"/>
  <c r="E35" i="97" s="1"/>
  <c r="E29" i="15"/>
  <c r="E31" i="15" s="1"/>
  <c r="E32" i="15" s="1"/>
  <c r="H227" i="76" s="1"/>
  <c r="H225" i="76" s="1"/>
  <c r="E229" i="76" s="1" a="1"/>
  <c r="E229" i="76" s="1"/>
  <c r="X276" i="69" l="1"/>
  <c r="Z278" i="69" s="1"/>
  <c r="X281" i="69" s="1" a="1"/>
  <c r="X281" i="69" s="1"/>
  <c r="I7" i="13" s="1"/>
  <c r="V261" i="76"/>
  <c r="E7" i="13"/>
  <c r="E10" i="13"/>
  <c r="G38" i="98"/>
  <c r="E41" i="98" s="1" a="1"/>
  <c r="E41" i="98" s="1"/>
  <c r="H10" i="13" s="1"/>
  <c r="G37" i="97"/>
  <c r="E40" i="97" s="1" a="1"/>
  <c r="E40" i="97" s="1"/>
  <c r="H9" i="13" s="1"/>
  <c r="E9" i="13"/>
  <c r="G231" i="76"/>
  <c r="E234" i="76" s="1" a="1"/>
  <c r="E234" i="76" s="1"/>
  <c r="H8" i="13" s="1"/>
  <c r="E8" i="13"/>
  <c r="E13" i="15"/>
  <c r="F7" i="13" l="1"/>
  <c r="V267" i="76" a="1"/>
  <c r="V267" i="76" s="1"/>
  <c r="R13" i="98"/>
  <c r="N20" i="98" s="1" a="1"/>
  <c r="N20" i="98" s="1"/>
  <c r="R32" i="98" s="1"/>
  <c r="N36" i="98" s="1" a="1"/>
  <c r="N36" i="98" s="1"/>
  <c r="T13" i="97"/>
  <c r="O16" i="97" s="1" a="1"/>
  <c r="O16" i="97" s="1"/>
  <c r="S28" i="97" s="1"/>
  <c r="O35" i="97" s="1" a="1"/>
  <c r="O35" i="97" s="1"/>
  <c r="H11" i="13"/>
  <c r="P38" i="98" l="1"/>
  <c r="N41" i="98" s="1" a="1"/>
  <c r="N41" i="98" s="1"/>
  <c r="I10" i="13" s="1"/>
  <c r="F10" i="13"/>
  <c r="Q37" i="97"/>
  <c r="O40" i="97" s="1" a="1"/>
  <c r="O40" i="97" s="1"/>
  <c r="I9" i="13" s="1"/>
  <c r="F9" i="13"/>
  <c r="X269" i="76"/>
  <c r="V272" i="76" s="1" a="1"/>
  <c r="V272" i="76" s="1"/>
  <c r="I8" i="13" s="1"/>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<sst xmlns="http://schemas.openxmlformats.org/spreadsheetml/2006/main" count="1870" uniqueCount="367">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</sst>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4" borderId="2">
      <alignment horizontal="left" vertical="center"/>
    </xf>
    <xf numFmtId="0" fontId="35" fillId="4" borderId="2">
      <alignment horizontal="left" vertical="center"/>
    </xf>
    <xf numFmtId="0" fontId="61" fillId="15" borderId="2">
      <alignment horizontal="center" vertical="center"/>
    </xf>
    <xf numFmtId="0" fontId="62" fillId="16" borderId="2">
      <alignment horizontal="center"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35" fillId="4" borderId="19" xfId="55" applyBorder="1" applyAlignment="1">
      <alignment vertical="center"/>
    </xf>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60" fillId="4" borderId="2" xfId="65">
      <alignment horizontal="left" vertical="center"/>
    </xf>
    <xf numFmtId="0" fontId="35" fillId="4" borderId="2" xfId="66">
      <alignment horizontal="left" vertical="center"/>
    </xf>
    <xf numFmtId="0" fontId="61" fillId="15" borderId="2" xfId="67">
      <alignment horizontal="center" vertical="center"/>
    </xf>
    <xf numFmtId="0" fontId="62"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35" fillId="14" borderId="2" xfId="55" applyFill="1">
      <alignment horizontal="center" vertical="center"/>
    </xf>
    <xf numFmtId="0" fontId="63" fillId="4" borderId="0" xfId="8" applyFont="1">
      <alignment horizontal="left" vertical="center"/>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8"/>
      <tableStyleElement type="headerRow" dxfId="147"/>
      <tableStyleElement type="totalRow" dxfId="146"/>
      <tableStyleElement type="firstColumn" dxfId="145"/>
      <tableStyleElement type="firstRowStripe" dxfId="144"/>
      <tableStyleElement type="secondRowStripe" dxfId="143"/>
    </tableStyle>
    <tableStyle name="Equation table" pivot="0" count="6" xr9:uid="{B247698E-E41D-4CCD-AA0A-C14817E9DE65}">
      <tableStyleElement type="wholeTable" dxfId="142"/>
      <tableStyleElement type="headerRow" dxfId="141"/>
      <tableStyleElement type="totalRow" dxfId="140"/>
      <tableStyleElement type="firstColumn" dxfId="139"/>
      <tableStyleElement type="firstRowStripe" dxfId="138"/>
      <tableStyleElement type="secondRowStripe" dxfId="137"/>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1" dataCellStyle="Content normal">
      <calculatedColumnFormula>D351</calculatedColumnFormula>
    </tableColumn>
    <tableColumn id="2" xr3:uid="{B172192B-EDB5-47A5-A010-C82516ED13B5}" name="Bulls &lt; 1 year" dataDxfId="70" dataCellStyle="Content normal">
      <calculatedColumnFormula>E351</calculatedColumnFormula>
    </tableColumn>
    <tableColumn id="3" xr3:uid="{F83B528D-B6D7-4E92-967F-018ED1475D9B}" name="Bulls &gt; 1 year" dataDxfId="69" dataCellStyle="Content normal">
      <calculatedColumnFormula>F351</calculatedColumnFormula>
    </tableColumn>
    <tableColumn id="4" xr3:uid="{E83019D4-F113-4C9E-ADA7-433997A968A1}" name="Cows &lt; 1 year" dataDxfId="68" dataCellStyle="Content normal">
      <calculatedColumnFormula>G351</calculatedColumnFormula>
    </tableColumn>
    <tableColumn id="5" xr3:uid="{B51413B2-710F-409C-8C3C-6B72C8E99B49}" name="Cows 1-2 years" dataDxfId="67" dataCellStyle="Content normal">
      <calculatedColumnFormula>H351</calculatedColumnFormula>
    </tableColumn>
    <tableColumn id="6" xr3:uid="{F7B12596-1E7F-417C-83F5-67964BA7AAAE}" name="Cows 2-3 years" dataDxfId="66" dataCellStyle="Content normal">
      <calculatedColumnFormula>I351</calculatedColumnFormula>
    </tableColumn>
    <tableColumn id="7" xr3:uid="{C1B8EAD9-BCCE-49FF-9E3D-15E99DEC329C}" name="Cows &gt; 3 years" dataDxfId="65" dataCellStyle="Content normal">
      <calculatedColumnFormula>I351</calculatedColumnFormula>
    </tableColumn>
    <tableColumn id="8" xr3:uid="{6AB556D2-AF6C-4E98-9AA1-A8C6DC5F5CA9}" name="Steers &lt; 1 year" dataDxfId="64" dataCellStyle="Content normal">
      <calculatedColumnFormula>J351</calculatedColumnFormula>
    </tableColumn>
    <tableColumn id="9" xr3:uid="{46DC3CBA-6FB0-4A95-A39E-B2179DC8CFE6}" name="Steers 1-2 years" dataDxfId="63" dataCellStyle="Content normal">
      <calculatedColumnFormula>K351</calculatedColumnFormula>
    </tableColumn>
    <tableColumn id="10" xr3:uid="{105CEA90-EFAD-4757-B82A-B19E9A3F2664}" name="Steers 2-3 years" dataDxfId="62" dataCellStyle="Content normal"/>
    <tableColumn id="11" xr3:uid="{5E2A59D6-56CA-4967-885E-8602CA905B74}" name="Steers &gt;3 years" dataDxfId="61" dataCellStyle="Content normal"/>
    <tableColumn id="12" xr3:uid="{1C306FC1-FFBA-4C23-8EAD-1C07A5BAAA50}" name="State abbreviation" dataDxfId="60"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9C007A-46DD-4510-AB34-88F91AEB234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0C5DD88-278D-42DE-9B6D-7A0C9780D984}" name="State/Territory">
      <calculatedColumnFormula array="1">Common_InputFunctions.Utility_DisplayArrayInTable(Common_SourceData.Common_SourceData_AustralianStatesTerritories_Data(),Table_AustralianStates[[#Headers],[State/Territory]],0)</calculatedColumnFormula>
    </tableColumn>
    <tableColumn id="2" xr3:uid="{ECAF59D7-C694-4572-871B-DFD0343AB538}" name="Common Name">
      <calculatedColumnFormula array="1">Common_InputFunctions.Utility_DisplayArrayInTable(Common_SourceData.Common_SourceData_AustralianStatesTerritories_Data(),Table_AustralianStates[[#Headers],[State/Territory]],0)</calculatedColumnFormula>
    </tableColumn>
    <tableColumn id="3" xr3:uid="{DE64064D-EB64-40DF-ABC1-A949F03FC2D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CDCCB12-912F-4931-B000-702BC788BF1F}" name="Table_WASA4Areas" displayName="Table_WASA4Areas" ref="D20:D30" totalsRowShown="0">
  <autoFilter ref="D20:D30" xr:uid="{5FA81339-C6C8-4D36-BEEA-6C4AEDD9E676}">
    <filterColumn colId="0" hiddenButton="1"/>
  </autoFilter>
  <tableColumns count="1">
    <tableColumn id="1" xr3:uid="{4BF03F23-1D45-4A22-89C0-0C35206CB3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3FD0911-3394-498F-8E51-243E5B8FBF9D}" name="Table_GWPData" displayName="Table_GWPData" ref="D36:E43" totalsRowShown="0">
  <autoFilter ref="D36:E43" xr:uid="{B8E87A66-3E41-4AD3-925D-01EE21B43D7A}">
    <filterColumn colId="0" hiddenButton="1"/>
    <filterColumn colId="1" hiddenButton="1"/>
  </autoFilter>
  <tableColumns count="2">
    <tableColumn id="1" xr3:uid="{5F8069E6-7FC4-4EA4-9062-10C7D2E3C5D2}" name="Gas">
      <calculatedColumnFormula array="1">Common_InputFunctions.Utility_DisplayArrayInTable(Common_SourceData.Common_SourceData_GWP_Data(), Table_GWPData[[#Headers],[Gas]], 0)</calculatedColumnFormula>
    </tableColumn>
    <tableColumn id="2" xr3:uid="{9B963BB3-BA5E-47F8-86A8-436E16EA976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CC3D6E-03E2-4772-85E9-6640D2B6FCE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A3ED2C-BD3B-4683-B74E-C245F4298D56}" name="Gas">
      <calculatedColumnFormula array="1">Common_InputFunctions.Utility_DisplayArrayInTable(Common_SourceData.Common_SourceData_ConvertGasElementalToMolecular_Data(),Table_GasToMolecularConversionFactor[[#Headers],[Gas]], 0)</calculatedColumnFormula>
    </tableColumn>
    <tableColumn id="5" xr3:uid="{0D63208A-FC2A-4538-8E88-AE6A21ECC8A4}" name="Conversion factor">
      <calculatedColumnFormula array="1">Common_InputFunctions.Utility_DisplayArrayInTable(Common_SourceData.Common_SourceData_ConvertGasElementalToMolecular_Data(),Table_GasToMolecularConversionFactor[[#Headers],[Gas]], 0)</calculatedColumnFormula>
    </tableColumn>
    <tableColumn id="2" xr3:uid="{6E2C3DAB-0C14-4A09-9BA0-0636C3F2CEE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1414694-C8AA-4A36-8347-14CCD95F525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B46992A-47B8-4858-9C5B-D191349984B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DB2B93-9BE2-4B49-A969-4FD7362437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E365C3-BBC9-4B7D-AC1E-A12EF061FDB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2BB06A9-C47C-46CE-914F-267AC02C2352}"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CBD7B3F-15CA-4815-8569-0D7ED60B892D}"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767F3264-209F-4B52-A3D6-285F150B6CFA}"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AC33BFA3-D35D-4ADA-8CE5-01E53408CFDD}"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EF6EC61E-72F3-41BD-9092-47BD618FDD4E}"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AA658663-8951-4E57-9FB2-F274C77AE40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3FA0AB6E-812D-413E-882A-AF5A08D97EE6}"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74A99A20-5F0A-413A-AFA7-C356233B210C}"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F04967E0-7E03-48B5-ACC7-F637BAFEDAF8}"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A12F0767-89B5-41A1-81EA-47BA2AF17D87}"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E48C830D-E065-4445-9388-71910FCE0819}"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6811C42A-5A6B-4A3B-B22F-10063355D6A3}"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5A00CACD-99B3-463D-8316-126DFFAD0185}"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4F70D7AC-1FBF-4D2F-84EE-3961B00AB6FA}"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571EC256-613D-44E8-87A8-79784897AA93}"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628F05-61F9-43C0-86FF-A926379DACF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D18A7F2-B993-4465-A25C-9AE6879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0498D3B-10CB-4B39-9515-952AAC35602E}"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422648-87F7-426C-9042-362556669ED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865B7CB-BB8B-4CC6-8C96-95828EEB2D08}" name="Temperature Zone">
      <calculatedColumnFormula array="1">Common_InputFunctions.Utility_DisplayArrayInTable(Common_SourceData.Common_SourceData_TemperatureZones_Data(),Table_SourceData_TemperatureZones[[#Headers],[Temperature Zone]],0)</calculatedColumnFormula>
    </tableColumn>
    <tableColumn id="2" xr3:uid="{7468A213-C5A4-4374-86EB-77FC21407374}" name="MAT">
      <calculatedColumnFormula array="1">Common_InputFunctions.Utility_DisplayArrayInTable(Common_SourceData.Common_SourceData_TemperatureZones_Data(),Table_SourceData_TemperatureZones[[#Headers],[Temperature Zone]],0)</calculatedColumnFormula>
    </tableColumn>
    <tableColumn id="3" xr3:uid="{9DDBDBB6-95B9-4A4C-B92B-1B583FF6D062}" name="Min MAT">
      <calculatedColumnFormula array="1">Common_InputFunctions.Utility_DisplayArrayInTable(Common_SourceData.Common_SourceData_TemperatureZones_Data(),Table_SourceData_TemperatureZones[[#Headers],[Temperature Zone]],0)</calculatedColumnFormula>
    </tableColumn>
    <tableColumn id="4" xr3:uid="{F25172EE-E420-4E4F-8098-5935A9FD762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958618D-1933-4AEC-BC5D-FD36867F188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F6F2824-A6C9-454B-81C7-5243401FADE9}" name="Rainfall Zone">
      <calculatedColumnFormula array="1">Common_InputFunctions.Utility_DisplayArrayInTable(Common_SourceData.Common_SourceData_RainfallZones_Data(),Table_SourceData_RainfallZones[[#Headers],[Rainfall Zone]],0)</calculatedColumnFormula>
    </tableColumn>
    <tableColumn id="2" xr3:uid="{F3F5AD0F-84C2-4D9A-BD75-C9043B9F7A9E}" name="Annual rainfall">
      <calculatedColumnFormula array="1">Common_InputFunctions.Utility_DisplayArrayInTable(Common_SourceData.Common_SourceData_RainfallZones_Data(),Table_SourceData_RainfallZones[[#Headers],[Rainfall Zone]],0)</calculatedColumnFormula>
    </tableColumn>
    <tableColumn id="3" xr3:uid="{D63DE5A3-AFA2-417F-B052-5C85542A2A1A}" name="Min rainfall">
      <calculatedColumnFormula array="1">Common_InputFunctions.Utility_DisplayArrayInTable(Common_SourceData.Common_SourceData_RainfallZones_Data(),Table_SourceData_RainfallZones[[#Headers],[Rainfall Zone]],0)</calculatedColumnFormula>
    </tableColumn>
    <tableColumn id="4" xr3:uid="{EF7B99F2-DBDD-4B91-9808-FA5F372EEEB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D7C4603-62BD-4FCF-A6FB-94E1C562A1F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E6548BA-C07E-4AE3-B4C1-58186CDD45AC}" name="Leaching Zone">
      <calculatedColumnFormula array="1">Common_InputFunctions.Utility_DisplayArrayInTable(Common_SourceData.Common_SourceData_LeachingZones_Data(), Table_SourceData_LeachingZones[[#Headers],[Leaching Zone]], 0)</calculatedColumnFormula>
    </tableColumn>
    <tableColumn id="2" xr3:uid="{40A54995-C152-4AC4-A87E-E9F1F39F223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B92D41E-C940-4AD5-9605-FAE3E957C79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1E166F1-2647-422A-BCA9-D956FA90745D}" name="Data source">
      <calculatedColumnFormula array="1">Common_InputFunctions.Utility_DisplayArrayInTable(Common_SourceData.Common_SourceData_DataScores_Scope3_Data(), Table_SourceData_DataScores_Scope3[[#Headers],[Data source]], 0)</calculatedColumnFormula>
    </tableColumn>
    <tableColumn id="2" xr3:uid="{AB881DD6-B59B-4148-ADAE-EAE2D8F9A78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1AB846-42B9-499B-84FF-20F51B766498}" name="Table_SourceData_FracWET" displayName="Table_SourceData_FracWET" ref="D134:E136" totalsRowShown="0">
  <autoFilter ref="D134:E136" xr:uid="{308E99BE-FE1F-47A4-B2CA-97217277C4E9}">
    <filterColumn colId="0" hiddenButton="1"/>
    <filterColumn colId="1" hiddenButton="1"/>
  </autoFilter>
  <tableColumns count="2">
    <tableColumn id="1" xr3:uid="{25A1618F-2FB6-4F3A-9B07-6FE8E92014F4}" name="Is in leaching zone">
      <calculatedColumnFormula array="1">Common_InputFunctions.Utility_DisplayArrayInTable(Common_SourceData.Common_SourceData_FracWET_Data(),Table_SourceData_FracWET[[#Headers],[Is in leaching zone]],0)</calculatedColumnFormula>
    </tableColumn>
    <tableColumn id="2" xr3:uid="{60388008-2660-4F7B-B444-0194CB0523C0}"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E4E4495-0844-4D09-A1CF-BBEEEEA5D74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33A7D38-0C2B-459B-8111-76558B6B2F1F}" name="Production system j">
      <calculatedColumnFormula array="1">Common_InputFunctions.Utility_DisplayArrayInTable(Common_SourceData.Common_SourceData_EFN2O_Data(), Table_SourceData_Common_EFN2O[[#Headers],[Production system j]], 0)</calculatedColumnFormula>
    </tableColumn>
    <tableColumn id="2" xr3:uid="{003ABF3E-423D-447B-9A96-3AE7C094F96E}" name="EFN2O">
      <calculatedColumnFormula array="1">Common_InputFunctions.Utility_DisplayArrayInTable(Common_SourceData.Common_SourceData_EFN2O_Data(), Table_SourceData_Common_EFN2O[[#Headers],[Production system j]], 0)</calculatedColumnFormula>
    </tableColumn>
    <tableColumn id="3" xr3:uid="{2B2E2851-0B00-4D9F-8575-4AAC27537776}" name="Production system only">
      <calculatedColumnFormula array="1">Common_InputFunctions.Utility_DisplayArrayInTable(Common_SourceData.Common_SourceData_EFN2O_Data(), Table_SourceData_Common_EFN2O[[#Headers],[Production system j]], 0)</calculatedColumnFormula>
    </tableColumn>
    <tableColumn id="4" xr3:uid="{82ECD86B-9C31-4770-A944-CC7E245F87B2}" name="Irrigation method">
      <calculatedColumnFormula array="1">Common_InputFunctions.Utility_DisplayArrayInTable(Common_SourceData.Common_SourceData_EFN2O_Data(), Table_SourceData_Common_EFN2O[[#Headers],[Production system j]], 0)</calculatedColumnFormula>
    </tableColumn>
    <tableColumn id="5" xr3:uid="{E162F670-2470-4EF9-8563-738EBB6E43F5}"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4F21DD-BD30-4F36-BFB0-A360E3D6C21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6CF51EB-7AF2-41FA-8521-8F61AA2EA7AC}" name="Irrigation type i">
      <calculatedColumnFormula array="1">Common_InputFunctions.Utility_DisplayArrayInTable(Common_SourceData.Common_SourceData_FracWETIrrigation_Data(), Table_SourceData_FracWETIrrigation[[#Headers],[Irrigation type i]], 0)</calculatedColumnFormula>
    </tableColumn>
    <tableColumn id="2" xr3:uid="{43D7701F-7AA1-46E0-B1BD-07A0992C9668}"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30FBD35-3C18-4164-B56A-2903E1DF8E2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561D0DC-ACA9-463B-97EA-00A2215BBC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C762EAB-5EB9-4FA7-986D-27A021555BB2}"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354D81D-A397-48C1-93BD-DB6079D2ACA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BA995DD-CF8E-4942-843C-FA07D209EAF8}" name="Month">
      <calculatedColumnFormula array="1">Common_InputFunctions.Utility_DisplayArrayInTable(Common_SourceData.Common_SourceData_MonthsToSeasons_Data(), Table_SourceData_Common_MonthToSeason[[#Headers],[Month]], 0)</calculatedColumnFormula>
    </tableColumn>
    <tableColumn id="2" xr3:uid="{D19A1198-D137-45DC-88DC-3D48C19129AF}"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7617E9A-258E-4A2F-B0E2-0613DD40B17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F01394-77F9-43C6-8279-FF245D49D1C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664C386-FD70-4F96-A2A3-1745E467172E}"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F8F0874-581B-45DD-B52D-BDF84DAFB13A}"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07D5DCA-57B4-4979-96F6-2CBC7F8B8035}"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C59B44-5169-4CEB-A945-BE0C4780239E}"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1EFD931-530D-4F29-8773-089960C9B25B}"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92884B16-7320-4AE7-9A53-17E2FD8B964E}"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814C8E-A655-4F1F-8C08-C98CF566F167}"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AEF6BB-01C8-48FF-8152-A9ADF60A90C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AB4164-AEED-4F61-9077-E7609EEB81C7}"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E9BE87E-02C1-4737-95B0-313A50EF45CF}"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462A952-B880-4CA2-8583-84F3F84B7A16}"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8DF64B0-8DE9-431C-8210-617BBFF2D948}"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4D9857C-26D6-4A50-91CB-38B9518631D4}"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93455D6-7E16-4A9E-9520-758FA46528D7}"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9A9A46E-13BF-4587-8F9D-B0177E0402F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42E076A-C3E6-4F5A-9D0B-A8E2DC30D94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E368B32-8F28-4284-979B-9998690A69A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03918BF-7ABF-4D70-AB55-9B7B5B040913}"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6.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112</v>
      </c>
      <c r="E6" s="113" t="s">
        <v>155</v>
      </c>
      <c r="F6" s="113" t="s">
        <v>156</v>
      </c>
      <c r="G6" s="113" t="s">
        <v>125</v>
      </c>
      <c r="H6" s="113" t="s">
        <v>157</v>
      </c>
      <c r="I6" s="113" t="s">
        <v>158</v>
      </c>
      <c r="J6" s="113" t="s">
        <v>126</v>
      </c>
      <c r="K6" s="22"/>
    </row>
    <row r="7" spans="1:11" ht="20.100000000000001" customHeight="1" x14ac:dyDescent="0.25">
      <c r="A7" s="17" t="str">
        <f>HYPERLINK("#'Input - Site'!A1", "Site")</f>
        <v>Site</v>
      </c>
      <c r="C7" s="22"/>
      <c r="D7" s="1" t="s">
        <v>161</v>
      </c>
      <c r="E7" s="110">
        <f ca="1">'4.2.1.1-2 Methane'!$E$244</f>
        <v>0.88628531326724402</v>
      </c>
      <c r="F7" s="110">
        <f ca="1">'4.2.1.1-2 Methane'!X276</f>
        <v>0.89029635334910784</v>
      </c>
      <c r="G7" s="54" t="s">
        <v>146</v>
      </c>
      <c r="H7" s="110">
        <f ca="1">'4.2.1.1-2 Methane'!$E$249</f>
        <v>24.815988771482832</v>
      </c>
      <c r="I7" s="110">
        <f ca="1">'4.2.1.1-2 Methane'!$X$281</f>
        <v>24.928297893775021</v>
      </c>
      <c r="J7" s="54" t="s">
        <v>151</v>
      </c>
      <c r="K7" s="22"/>
    </row>
    <row r="8" spans="1:11" ht="20.100000000000001" customHeight="1" x14ac:dyDescent="0.25">
      <c r="A8" s="17" t="str">
        <f>HYPERLINK("#'Input - Pasture Beef'!A1", "Pasture Beef")</f>
        <v>Pasture Beef</v>
      </c>
      <c r="C8" s="22"/>
      <c r="D8" s="1" t="s">
        <v>301</v>
      </c>
      <c r="E8" s="110">
        <f ca="1">'4.2.1.3-4 Soil direct N20'!$E$229</f>
        <v>0.19011252663030423</v>
      </c>
      <c r="F8" s="110">
        <f ca="1">'4.2.1.3-4 Soil direct N20'!$V$267</f>
        <v>0.18424525527410571</v>
      </c>
      <c r="G8" s="54" t="s">
        <v>300</v>
      </c>
      <c r="H8" s="110">
        <f ca="1">'4.2.1.3-4 Soil direct N20'!$E$234</f>
        <v>50.379819557030622</v>
      </c>
      <c r="I8" s="110">
        <f ca="1">'4.2.1.3-4 Soil direct N20'!$V$272</f>
        <v>48.824992647638012</v>
      </c>
      <c r="J8" s="54" t="s">
        <v>151</v>
      </c>
      <c r="K8" s="22"/>
    </row>
    <row r="9" spans="1:11" ht="20.100000000000001" customHeight="1" x14ac:dyDescent="0.25">
      <c r="A9" s="17"/>
      <c r="C9" s="22"/>
      <c r="D9" s="1" t="s">
        <v>302</v>
      </c>
      <c r="E9" s="110">
        <f ca="1">'4.2.1.5-6 Soil Atmos Dep'!$E$35</f>
        <v>3.5931267533127496E-2</v>
      </c>
      <c r="F9" s="110">
        <f ca="1">'4.2.1.5-6 Soil Atmos Dep'!$O$35</f>
        <v>3.4822353246805965E-2</v>
      </c>
      <c r="G9" s="54" t="str">
        <f>'4.2.1.5-6 Soil Atmos Dep'!$F$35</f>
        <v>t N2O</v>
      </c>
      <c r="H9" s="110">
        <f ca="1">'4.2.1.5-6 Soil Atmos Dep'!$E$40</f>
        <v>9.5217858962787858</v>
      </c>
      <c r="I9" s="110">
        <f ca="1">'4.2.1.5-6 Soil Atmos Dep'!$O$40</f>
        <v>9.2279236104035807</v>
      </c>
      <c r="J9" s="54" t="s">
        <v>151</v>
      </c>
      <c r="K9" s="22"/>
    </row>
    <row r="10" spans="1:11" ht="20.100000000000001" customHeight="1" x14ac:dyDescent="0.25">
      <c r="A10" s="19" t="s">
        <v>75</v>
      </c>
      <c r="C10" s="22"/>
      <c r="D10" s="1" t="s">
        <v>303</v>
      </c>
      <c r="E10" s="110">
        <f ca="1">'4.2.1.7-8 Soil leach runoff'!$E$36</f>
        <v>0</v>
      </c>
      <c r="F10" s="110">
        <f ca="1">'4.2.1.7-8 Soil leach runoff'!$N$36</f>
        <v>0</v>
      </c>
      <c r="G10" s="54" t="str">
        <f>'4.2.1.7-8 Soil leach runoff'!$F$36</f>
        <v>t N2O</v>
      </c>
      <c r="H10" s="110">
        <f ca="1">'4.2.1.7-8 Soil leach runoff'!$E$41</f>
        <v>0</v>
      </c>
      <c r="I10" s="110">
        <f ca="1">'4.2.1.7-8 Soil leach runoff'!$N$41</f>
        <v>0</v>
      </c>
      <c r="J10" s="54" t="s">
        <v>151</v>
      </c>
      <c r="K10" s="22"/>
    </row>
    <row r="11" spans="1:11" ht="20.100000000000001" customHeight="1" x14ac:dyDescent="0.3">
      <c r="A11" s="17" t="str">
        <f>HYPERLINK("#'4.2.1.1-2 Methane'!A1", "4.2.1.1-2 Methane")</f>
        <v>4.2.1.1-2 Methane</v>
      </c>
      <c r="C11" s="22"/>
      <c r="D11" s="29" t="s">
        <v>124</v>
      </c>
      <c r="E11" s="23"/>
      <c r="F11" s="23"/>
      <c r="G11" s="29"/>
      <c r="H11" s="112">
        <f ca="1">SUM(H7:H10)</f>
        <v>84.717594224792236</v>
      </c>
      <c r="I11" s="112">
        <f ca="1">SUM(I7:I10)</f>
        <v>82.981214151816616</v>
      </c>
      <c r="J11" s="103" t="s">
        <v>151</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9" zoomScaleNormal="100" workbookViewId="0">
      <selection activeCell="E25" sqref="E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14</v>
      </c>
      <c r="N5" s="40"/>
    </row>
    <row r="6" spans="1:24" ht="20.100000000000001" customHeight="1" x14ac:dyDescent="0.25">
      <c r="A6" s="20" t="s">
        <v>3</v>
      </c>
      <c r="D6" s="14"/>
      <c r="N6" s="41"/>
    </row>
    <row r="7" spans="1:24" ht="20.100000000000001" customHeight="1" x14ac:dyDescent="0.25">
      <c r="A7" s="17" t="str">
        <f>HYPERLINK("#'Input - Site'!A1", "Site")</f>
        <v>Site</v>
      </c>
      <c r="D7" s="1" t="s">
        <v>6</v>
      </c>
      <c r="E7" s="33" t="s">
        <v>365</v>
      </c>
      <c r="F7" s="2"/>
    </row>
    <row r="8" spans="1:24" ht="20.100000000000001" customHeight="1" x14ac:dyDescent="0.25">
      <c r="A8" s="17" t="str">
        <f>HYPERLINK("#'Input - Pasture Beef'!A1", "Pasture Beef")</f>
        <v>Pasture Beef</v>
      </c>
      <c r="D8" s="10" t="s">
        <v>72</v>
      </c>
      <c r="E8" s="33" t="s">
        <v>366</v>
      </c>
    </row>
    <row r="9" spans="1:24" ht="20.100000000000001" customHeight="1" x14ac:dyDescent="0.25">
      <c r="A9" s="17"/>
      <c r="N9" s="42"/>
    </row>
    <row r="10" spans="1:24" ht="20.100000000000001" customHeight="1" x14ac:dyDescent="0.25">
      <c r="A10" s="19" t="s">
        <v>75</v>
      </c>
      <c r="D10" s="93" t="s">
        <v>89</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95</v>
      </c>
      <c r="E12" s="63">
        <v>45658</v>
      </c>
      <c r="F12" s="2" t="s">
        <v>70</v>
      </c>
    </row>
    <row r="13" spans="1:24" ht="20.100000000000001" customHeight="1" x14ac:dyDescent="0.25">
      <c r="A13" s="17" t="str">
        <f>HYPERLINK("#'4.2.1.5-6 Soil Atmos Dep'!A1", "4.2.1.5-6 Soil atm. deposition")</f>
        <v>4.2.1.5-6 Soil atm. deposition</v>
      </c>
      <c r="D13" s="10" t="s">
        <v>96</v>
      </c>
      <c r="E13" s="69">
        <f>DATE(YEAR(E12)+1,MONTH(E12),DAY(E12))-1</f>
        <v>46022</v>
      </c>
      <c r="F13" s="2" t="s">
        <v>16</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13</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15</v>
      </c>
      <c r="E18" s="90"/>
      <c r="F18" s="90"/>
      <c r="G18" s="86"/>
    </row>
    <row r="19" spans="1:25" ht="20.100000000000001" customHeight="1" x14ac:dyDescent="0.25">
      <c r="A19" s="17" t="str">
        <f>HYPERLINK("#'Constants - Common'!A1", "Constants - Common")</f>
        <v>Constants - Common</v>
      </c>
      <c r="D19" s="92" t="s">
        <v>71</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7</v>
      </c>
      <c r="E21" s="39" t="s">
        <v>216</v>
      </c>
      <c r="F21" s="2" t="s">
        <v>10</v>
      </c>
    </row>
    <row r="22" spans="1:25" ht="20.100000000000001" customHeight="1" x14ac:dyDescent="0.25">
      <c r="A22" s="17"/>
      <c r="D22" s="1" t="s">
        <v>25</v>
      </c>
      <c r="E22" s="39" t="s">
        <v>34</v>
      </c>
      <c r="F22" s="2" t="s">
        <v>10</v>
      </c>
      <c r="G22" s="1"/>
    </row>
    <row r="23" spans="1:25" ht="20.100000000000001" customHeight="1" x14ac:dyDescent="0.25">
      <c r="A23" s="17"/>
      <c r="D23" s="1" t="s">
        <v>8</v>
      </c>
      <c r="E23" s="39" t="s">
        <v>94</v>
      </c>
      <c r="F23" s="2" t="s">
        <v>10</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11</v>
      </c>
      <c r="N25" s="41"/>
    </row>
    <row r="26" spans="1:25" ht="20.100000000000001" customHeight="1" x14ac:dyDescent="0.25">
      <c r="A26"/>
      <c r="D26" s="1" t="s">
        <v>62</v>
      </c>
      <c r="E26" s="33">
        <v>601</v>
      </c>
      <c r="F26" s="2" t="s">
        <v>12</v>
      </c>
    </row>
    <row r="27" spans="1:25" ht="20.100000000000001" customHeight="1" x14ac:dyDescent="0.25">
      <c r="A27"/>
      <c r="D27" s="10" t="s">
        <v>63</v>
      </c>
      <c r="E27" s="33">
        <v>1326</v>
      </c>
      <c r="F27" s="2" t="s">
        <v>12</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9</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91</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D145" zoomScale="70" zoomScaleNormal="70" workbookViewId="0">
      <selection activeCell="E184" sqref="E184"/>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159</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99</v>
      </c>
      <c r="P5" s="3"/>
      <c r="T5" s="7"/>
    </row>
    <row r="6" spans="1:25" ht="20.100000000000001" customHeight="1" x14ac:dyDescent="0.25">
      <c r="A6" s="20" t="s">
        <v>3</v>
      </c>
      <c r="P6" s="3"/>
      <c r="T6" s="7"/>
    </row>
    <row r="7" spans="1:25" ht="20.100000000000001" customHeight="1" x14ac:dyDescent="0.25">
      <c r="A7" s="17" t="str">
        <f>HYPERLINK("#'Input - Site'!A1", "Site")</f>
        <v>Site</v>
      </c>
      <c r="D7" s="1" t="s">
        <v>7</v>
      </c>
      <c r="E7" s="52" t="str">
        <f>'Input - Site'!$E$21</f>
        <v>Western Australia</v>
      </c>
      <c r="P7" s="3"/>
      <c r="T7" s="7"/>
    </row>
    <row r="8" spans="1:25" ht="20.100000000000001" customHeight="1" x14ac:dyDescent="0.25">
      <c r="A8" s="17" t="str">
        <f>HYPERLINK("#'Input - Pasture Beef'!A1", "Pasture Beef")</f>
        <v>Pasture Beef</v>
      </c>
      <c r="D8" s="1" t="s">
        <v>202</v>
      </c>
      <c r="E8" s="39" t="s">
        <v>207</v>
      </c>
      <c r="F8" s="2" t="s">
        <v>10</v>
      </c>
      <c r="P8" s="3"/>
      <c r="T8" s="7"/>
    </row>
    <row r="9" spans="1:25" ht="20.100000000000001" customHeight="1" x14ac:dyDescent="0.25">
      <c r="A9" s="17"/>
      <c r="D9" s="1" t="s">
        <v>229</v>
      </c>
      <c r="E9" s="39" t="s">
        <v>237</v>
      </c>
      <c r="F9" s="2" t="s">
        <v>10</v>
      </c>
      <c r="T9" s="7"/>
    </row>
    <row r="10" spans="1:25" ht="20.100000000000001" customHeight="1" x14ac:dyDescent="0.25">
      <c r="A10" s="19" t="s">
        <v>75</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D12" s="93" t="s">
        <v>179</v>
      </c>
      <c r="E12" s="94"/>
      <c r="F12" s="94"/>
      <c r="G12" s="88"/>
      <c r="T12" s="7"/>
    </row>
    <row r="13" spans="1:25" ht="20.100000000000001" customHeight="1" x14ac:dyDescent="0.25">
      <c r="A13" s="17" t="str">
        <f>HYPERLINK("#'4.2.1.5-6 Soil Atmos Dep'!A1", "4.2.1.5-6 Soil atm. deposition")</f>
        <v>4.2.1.5-6 Soil atm. deposition</v>
      </c>
      <c r="T13" s="38"/>
    </row>
    <row r="14" spans="1:25" ht="20.100000000000001" customHeight="1" x14ac:dyDescent="0.25">
      <c r="A14" s="17" t="str">
        <f>HYPERLINK("#'4.2.1.7-8 Soil leach runoff'!A1", "4.2.1.7-8 Soil leach &amp; runoff")</f>
        <v>4.2.1.7-8 Soil leach &amp; runoff</v>
      </c>
      <c r="D14" s="48" t="s">
        <v>176</v>
      </c>
      <c r="T14" s="38"/>
    </row>
    <row r="15" spans="1:25" ht="20.100000000000001" customHeight="1" x14ac:dyDescent="0.25">
      <c r="A15" s="17"/>
      <c r="D15" s="62" t="s">
        <v>177</v>
      </c>
      <c r="E15" s="62" t="s">
        <v>129</v>
      </c>
      <c r="F15" s="62" t="s">
        <v>128</v>
      </c>
      <c r="G15" s="62" t="s">
        <v>163</v>
      </c>
      <c r="H15" s="62" t="s">
        <v>164</v>
      </c>
      <c r="I15" s="62" t="s">
        <v>165</v>
      </c>
      <c r="J15" s="62" t="s">
        <v>166</v>
      </c>
      <c r="K15" s="62" t="s">
        <v>167</v>
      </c>
      <c r="L15" s="62" t="s">
        <v>168</v>
      </c>
      <c r="M15" s="62" t="s">
        <v>169</v>
      </c>
      <c r="N15" s="62" t="s">
        <v>170</v>
      </c>
      <c r="T15" s="38"/>
    </row>
    <row r="16" spans="1:25" ht="20.100000000000001" customHeight="1" x14ac:dyDescent="0.25">
      <c r="A16" s="18" t="s">
        <v>4</v>
      </c>
      <c r="D16" s="1" t="s">
        <v>171</v>
      </c>
      <c r="E16" s="52">
        <v>91.25</v>
      </c>
      <c r="F16" s="52">
        <v>91.25</v>
      </c>
      <c r="G16" s="52">
        <v>91.25</v>
      </c>
      <c r="H16" s="52">
        <v>91.25</v>
      </c>
      <c r="I16" s="52">
        <v>91.25</v>
      </c>
      <c r="J16" s="52">
        <v>91.25</v>
      </c>
      <c r="K16" s="52">
        <v>91.25</v>
      </c>
      <c r="L16" s="52">
        <v>91.25</v>
      </c>
      <c r="M16" s="52">
        <v>91.25</v>
      </c>
      <c r="N16" s="52">
        <v>91.25</v>
      </c>
      <c r="O16" s="2" t="s">
        <v>54</v>
      </c>
      <c r="T16" s="38"/>
    </row>
    <row r="17" spans="1:20" ht="20.100000000000001" customHeight="1" x14ac:dyDescent="0.25">
      <c r="A17" s="17" t="str">
        <f>HYPERLINK("#'Constants - Pasture Beef'!A1", "Constants - Pasture Beef")</f>
        <v>Constants - Pasture Beef</v>
      </c>
      <c r="D17" s="1" t="s">
        <v>172</v>
      </c>
      <c r="E17" s="52">
        <v>91.25</v>
      </c>
      <c r="F17" s="52">
        <v>91.25</v>
      </c>
      <c r="G17" s="52">
        <v>91.25</v>
      </c>
      <c r="H17" s="52">
        <v>91.25</v>
      </c>
      <c r="I17" s="52">
        <v>91.25</v>
      </c>
      <c r="J17" s="52">
        <v>91.25</v>
      </c>
      <c r="K17" s="52">
        <v>91.25</v>
      </c>
      <c r="L17" s="52">
        <v>91.25</v>
      </c>
      <c r="M17" s="52">
        <v>91.25</v>
      </c>
      <c r="N17" s="52">
        <v>91.25</v>
      </c>
      <c r="O17" s="2" t="s">
        <v>54</v>
      </c>
      <c r="T17" s="7"/>
    </row>
    <row r="18" spans="1:20" ht="20.100000000000001" customHeight="1" x14ac:dyDescent="0.25">
      <c r="A18" s="17" t="str">
        <f>HYPERLINK("#'Constants - Livestock'!A1", "Constants - Livestock")</f>
        <v>Constants - Livestock</v>
      </c>
      <c r="D18" s="1" t="s">
        <v>173</v>
      </c>
      <c r="E18" s="52">
        <v>91.25</v>
      </c>
      <c r="F18" s="52">
        <v>91.25</v>
      </c>
      <c r="G18" s="52">
        <v>91.25</v>
      </c>
      <c r="H18" s="52">
        <v>91.25</v>
      </c>
      <c r="I18" s="52">
        <v>91.25</v>
      </c>
      <c r="J18" s="52">
        <v>91.25</v>
      </c>
      <c r="K18" s="52">
        <v>91.25</v>
      </c>
      <c r="L18" s="52">
        <v>91.25</v>
      </c>
      <c r="M18" s="52">
        <v>91.25</v>
      </c>
      <c r="N18" s="52">
        <v>91.25</v>
      </c>
      <c r="O18" s="2" t="s">
        <v>54</v>
      </c>
      <c r="T18" s="7"/>
    </row>
    <row r="19" spans="1:20" ht="20.100000000000001" customHeight="1" x14ac:dyDescent="0.25">
      <c r="A19" s="17" t="str">
        <f>HYPERLINK("#'Constants - Common'!A1", "Constants - Common")</f>
        <v>Constants - Common</v>
      </c>
      <c r="D19" s="1" t="s">
        <v>174</v>
      </c>
      <c r="E19" s="52">
        <v>91.25</v>
      </c>
      <c r="F19" s="52">
        <v>91.25</v>
      </c>
      <c r="G19" s="52">
        <v>91.25</v>
      </c>
      <c r="H19" s="52">
        <v>91.25</v>
      </c>
      <c r="I19" s="52">
        <v>91.25</v>
      </c>
      <c r="J19" s="52">
        <v>91.25</v>
      </c>
      <c r="K19" s="52">
        <v>91.25</v>
      </c>
      <c r="L19" s="52">
        <v>91.25</v>
      </c>
      <c r="M19" s="52">
        <v>91.25</v>
      </c>
      <c r="N19" s="52">
        <v>91.25</v>
      </c>
      <c r="O19" s="2" t="s">
        <v>54</v>
      </c>
      <c r="T19" s="7"/>
    </row>
    <row r="20" spans="1:20" ht="20.100000000000001" customHeight="1" x14ac:dyDescent="0.25">
      <c r="A20" s="17" t="str">
        <f>HYPERLINK("#'Acknowledgements'!A1", "Acknowledgements")</f>
        <v>Acknowledgements</v>
      </c>
      <c r="T20" s="7"/>
    </row>
    <row r="21" spans="1:20" ht="20.100000000000001" customHeight="1" x14ac:dyDescent="0.25">
      <c r="D21" s="62" t="s">
        <v>178</v>
      </c>
      <c r="E21" s="62" t="s">
        <v>129</v>
      </c>
      <c r="F21" s="62" t="s">
        <v>128</v>
      </c>
      <c r="G21" s="62" t="s">
        <v>163</v>
      </c>
      <c r="H21" s="62" t="s">
        <v>164</v>
      </c>
      <c r="I21" s="62" t="s">
        <v>165</v>
      </c>
      <c r="J21" s="62" t="s">
        <v>166</v>
      </c>
      <c r="K21" s="62" t="s">
        <v>167</v>
      </c>
      <c r="L21" s="62" t="s">
        <v>168</v>
      </c>
      <c r="M21" s="62" t="s">
        <v>169</v>
      </c>
      <c r="N21" s="62" t="s">
        <v>170</v>
      </c>
      <c r="T21" s="7"/>
    </row>
    <row r="22" spans="1:20" ht="20.100000000000001" customHeight="1" x14ac:dyDescent="0.25">
      <c r="A22" s="17"/>
      <c r="D22" s="1" t="str">
        <f>TEXT('Input - Site'!$E$12, "mmmm yyyy")</f>
        <v>January 2025</v>
      </c>
      <c r="E22" s="65">
        <v>31</v>
      </c>
      <c r="F22" s="65">
        <v>31</v>
      </c>
      <c r="G22" s="65">
        <v>31</v>
      </c>
      <c r="H22" s="65">
        <v>31</v>
      </c>
      <c r="I22" s="65">
        <v>31</v>
      </c>
      <c r="J22" s="65">
        <v>31</v>
      </c>
      <c r="K22" s="65">
        <v>31</v>
      </c>
      <c r="L22" s="65">
        <v>31</v>
      </c>
      <c r="M22" s="65">
        <v>31</v>
      </c>
      <c r="N22" s="65">
        <v>31</v>
      </c>
      <c r="O22" s="2" t="s">
        <v>54</v>
      </c>
      <c r="T22" s="7"/>
    </row>
    <row r="23" spans="1:20" ht="20.100000000000001" customHeight="1" x14ac:dyDescent="0.25">
      <c r="A23" s="17"/>
      <c r="D23" s="1" t="str">
        <f>TEXT(EDATE('Input - Site'!$E$12,1), "mmmm yyyy")</f>
        <v>February 2025</v>
      </c>
      <c r="E23" s="65">
        <v>29</v>
      </c>
      <c r="F23" s="65">
        <v>29</v>
      </c>
      <c r="G23" s="65">
        <v>29</v>
      </c>
      <c r="H23" s="65">
        <v>29</v>
      </c>
      <c r="I23" s="65">
        <v>29</v>
      </c>
      <c r="J23" s="65">
        <v>29</v>
      </c>
      <c r="K23" s="65">
        <v>29</v>
      </c>
      <c r="L23" s="65">
        <v>29</v>
      </c>
      <c r="M23" s="65">
        <v>29</v>
      </c>
      <c r="N23" s="65">
        <v>29</v>
      </c>
      <c r="O23" s="2" t="s">
        <v>54</v>
      </c>
      <c r="T23" s="7"/>
    </row>
    <row r="24" spans="1:20" ht="20.100000000000001" customHeight="1" x14ac:dyDescent="0.25">
      <c r="A24" s="17"/>
      <c r="D24" s="1" t="str">
        <f>TEXT(EDATE('Input - Site'!$E$12,2), "mmmm yyyy")</f>
        <v>March 2025</v>
      </c>
      <c r="E24" s="65">
        <v>31</v>
      </c>
      <c r="F24" s="65">
        <v>31</v>
      </c>
      <c r="G24" s="65">
        <v>31</v>
      </c>
      <c r="H24" s="65">
        <v>31</v>
      </c>
      <c r="I24" s="65">
        <v>31</v>
      </c>
      <c r="J24" s="65">
        <v>31</v>
      </c>
      <c r="K24" s="65">
        <v>31</v>
      </c>
      <c r="L24" s="65">
        <v>31</v>
      </c>
      <c r="M24" s="65">
        <v>31</v>
      </c>
      <c r="N24" s="65">
        <v>31</v>
      </c>
      <c r="O24" s="2" t="s">
        <v>54</v>
      </c>
      <c r="T24" s="7"/>
    </row>
    <row r="25" spans="1:20" ht="20.100000000000001" customHeight="1" x14ac:dyDescent="0.25">
      <c r="D25" s="1" t="str">
        <f>TEXT(EDATE('Input - Site'!$E$12,3), "mmmm yyyy")</f>
        <v>April 2025</v>
      </c>
      <c r="E25" s="65">
        <v>30</v>
      </c>
      <c r="F25" s="65">
        <v>30</v>
      </c>
      <c r="G25" s="65">
        <v>30</v>
      </c>
      <c r="H25" s="65">
        <v>30</v>
      </c>
      <c r="I25" s="65">
        <v>30</v>
      </c>
      <c r="J25" s="65">
        <v>30</v>
      </c>
      <c r="K25" s="65">
        <v>30</v>
      </c>
      <c r="L25" s="65">
        <v>30</v>
      </c>
      <c r="M25" s="65">
        <v>30</v>
      </c>
      <c r="N25" s="65">
        <v>30</v>
      </c>
      <c r="O25" s="2" t="s">
        <v>54</v>
      </c>
      <c r="T25" s="7"/>
    </row>
    <row r="26" spans="1:20" ht="20.100000000000001" customHeight="1" x14ac:dyDescent="0.25">
      <c r="A26" s="17"/>
      <c r="D26" s="1" t="str">
        <f>TEXT(EDATE('Input - Site'!$E$12,4), "mmmm yyyy")</f>
        <v>May 2025</v>
      </c>
      <c r="E26" s="65">
        <v>31</v>
      </c>
      <c r="F26" s="65">
        <v>31</v>
      </c>
      <c r="G26" s="65">
        <v>31</v>
      </c>
      <c r="H26" s="65">
        <v>31</v>
      </c>
      <c r="I26" s="65">
        <v>31</v>
      </c>
      <c r="J26" s="65">
        <v>31</v>
      </c>
      <c r="K26" s="65">
        <v>31</v>
      </c>
      <c r="L26" s="65">
        <v>31</v>
      </c>
      <c r="M26" s="65">
        <v>31</v>
      </c>
      <c r="N26" s="65">
        <v>31</v>
      </c>
      <c r="O26" s="2" t="s">
        <v>54</v>
      </c>
      <c r="T26" s="7"/>
    </row>
    <row r="27" spans="1:20" ht="20.100000000000001" customHeight="1" x14ac:dyDescent="0.25">
      <c r="A27" s="17"/>
      <c r="D27" s="1" t="str">
        <f>TEXT(EDATE('Input - Site'!$E$12,5), "mmmm yyyy")</f>
        <v>June 2025</v>
      </c>
      <c r="E27" s="65">
        <v>30</v>
      </c>
      <c r="F27" s="65">
        <v>30</v>
      </c>
      <c r="G27" s="65">
        <v>30</v>
      </c>
      <c r="H27" s="65">
        <v>30</v>
      </c>
      <c r="I27" s="65">
        <v>30</v>
      </c>
      <c r="J27" s="65">
        <v>30</v>
      </c>
      <c r="K27" s="65">
        <v>30</v>
      </c>
      <c r="L27" s="65">
        <v>30</v>
      </c>
      <c r="M27" s="65">
        <v>30</v>
      </c>
      <c r="N27" s="65">
        <v>30</v>
      </c>
      <c r="O27" s="2" t="s">
        <v>54</v>
      </c>
      <c r="T27" s="7"/>
    </row>
    <row r="28" spans="1:20" ht="20.100000000000001" customHeight="1" x14ac:dyDescent="0.25">
      <c r="A28" s="17"/>
      <c r="D28" s="1" t="str">
        <f>TEXT(EDATE('Input - Site'!$E$12,6), "mmmm yyyy")</f>
        <v>July 2025</v>
      </c>
      <c r="E28" s="65">
        <v>31</v>
      </c>
      <c r="F28" s="65">
        <v>31</v>
      </c>
      <c r="G28" s="65">
        <v>31</v>
      </c>
      <c r="H28" s="65">
        <v>31</v>
      </c>
      <c r="I28" s="65">
        <v>31</v>
      </c>
      <c r="J28" s="65">
        <v>31</v>
      </c>
      <c r="K28" s="65">
        <v>31</v>
      </c>
      <c r="L28" s="65">
        <v>31</v>
      </c>
      <c r="M28" s="65">
        <v>31</v>
      </c>
      <c r="N28" s="65">
        <v>31</v>
      </c>
      <c r="O28" s="2" t="s">
        <v>54</v>
      </c>
      <c r="T28" s="7"/>
    </row>
    <row r="29" spans="1:20" ht="20.100000000000001" customHeight="1" x14ac:dyDescent="0.25">
      <c r="A29" s="17"/>
      <c r="D29" s="1" t="str">
        <f>TEXT(EDATE('Input - Site'!$E$12,7), "mmmm yyyy")</f>
        <v>August 2025</v>
      </c>
      <c r="E29" s="65">
        <v>31</v>
      </c>
      <c r="F29" s="65">
        <v>31</v>
      </c>
      <c r="G29" s="65">
        <v>31</v>
      </c>
      <c r="H29" s="65">
        <v>31</v>
      </c>
      <c r="I29" s="65">
        <v>31</v>
      </c>
      <c r="J29" s="65">
        <v>31</v>
      </c>
      <c r="K29" s="65">
        <v>31</v>
      </c>
      <c r="L29" s="65">
        <v>31</v>
      </c>
      <c r="M29" s="65">
        <v>31</v>
      </c>
      <c r="N29" s="65">
        <v>31</v>
      </c>
      <c r="O29" s="2" t="s">
        <v>54</v>
      </c>
      <c r="T29" s="7"/>
    </row>
    <row r="30" spans="1:20" ht="20.100000000000001" customHeight="1" x14ac:dyDescent="0.25">
      <c r="A30" s="17"/>
      <c r="D30" s="1" t="str">
        <f>TEXT(EDATE('Input - Site'!$E$12,8), "mmmm yyyy")</f>
        <v>September 2025</v>
      </c>
      <c r="E30" s="65">
        <v>30</v>
      </c>
      <c r="F30" s="65">
        <v>30</v>
      </c>
      <c r="G30" s="65">
        <v>30</v>
      </c>
      <c r="H30" s="65">
        <v>30</v>
      </c>
      <c r="I30" s="65">
        <v>30</v>
      </c>
      <c r="J30" s="65">
        <v>30</v>
      </c>
      <c r="K30" s="65">
        <v>30</v>
      </c>
      <c r="L30" s="65">
        <v>30</v>
      </c>
      <c r="M30" s="65">
        <v>30</v>
      </c>
      <c r="N30" s="65">
        <v>30</v>
      </c>
      <c r="O30" s="2" t="s">
        <v>54</v>
      </c>
      <c r="T30" s="7"/>
    </row>
    <row r="31" spans="1:20" ht="20.100000000000001" customHeight="1" x14ac:dyDescent="0.25">
      <c r="A31" s="66"/>
      <c r="D31" s="1" t="str">
        <f>TEXT(EDATE('Input - Site'!$E$12,9), "mmmm yyyy")</f>
        <v>October 2025</v>
      </c>
      <c r="E31" s="65">
        <v>31</v>
      </c>
      <c r="F31" s="65">
        <v>31</v>
      </c>
      <c r="G31" s="65">
        <v>31</v>
      </c>
      <c r="H31" s="65">
        <v>31</v>
      </c>
      <c r="I31" s="65">
        <v>31</v>
      </c>
      <c r="J31" s="65">
        <v>31</v>
      </c>
      <c r="K31" s="65">
        <v>31</v>
      </c>
      <c r="L31" s="65">
        <v>31</v>
      </c>
      <c r="M31" s="65">
        <v>31</v>
      </c>
      <c r="N31" s="65">
        <v>31</v>
      </c>
      <c r="O31" s="2" t="s">
        <v>54</v>
      </c>
      <c r="T31" s="7"/>
    </row>
    <row r="32" spans="1:20" ht="20.100000000000001" customHeight="1" x14ac:dyDescent="0.25">
      <c r="A32" s="66"/>
      <c r="D32" s="1" t="str">
        <f>TEXT(EDATE('Input - Site'!$E$12,10), "mmmm yyyy")</f>
        <v>November 2025</v>
      </c>
      <c r="E32" s="65">
        <v>30</v>
      </c>
      <c r="F32" s="65">
        <v>30</v>
      </c>
      <c r="G32" s="65">
        <v>30</v>
      </c>
      <c r="H32" s="65">
        <v>30</v>
      </c>
      <c r="I32" s="65">
        <v>30</v>
      </c>
      <c r="J32" s="65">
        <v>30</v>
      </c>
      <c r="K32" s="65">
        <v>30</v>
      </c>
      <c r="L32" s="65">
        <v>30</v>
      </c>
      <c r="M32" s="65">
        <v>30</v>
      </c>
      <c r="N32" s="65">
        <v>30</v>
      </c>
      <c r="O32" s="2" t="s">
        <v>54</v>
      </c>
      <c r="T32" s="7"/>
    </row>
    <row r="33" spans="1:20" ht="20.100000000000001" customHeight="1" x14ac:dyDescent="0.25">
      <c r="A33" s="17"/>
      <c r="D33" s="1" t="str">
        <f>TEXT(EDATE('Input - Site'!$E$12,11), "mmmm yyyy")</f>
        <v>December 2025</v>
      </c>
      <c r="E33" s="65">
        <v>31</v>
      </c>
      <c r="F33" s="65">
        <v>31</v>
      </c>
      <c r="G33" s="65">
        <v>31</v>
      </c>
      <c r="H33" s="65">
        <v>31</v>
      </c>
      <c r="I33" s="65">
        <v>31</v>
      </c>
      <c r="J33" s="65">
        <v>31</v>
      </c>
      <c r="K33" s="65">
        <v>31</v>
      </c>
      <c r="L33" s="65">
        <v>31</v>
      </c>
      <c r="M33" s="65">
        <v>31</v>
      </c>
      <c r="N33" s="65">
        <v>31</v>
      </c>
      <c r="O33" s="2" t="s">
        <v>54</v>
      </c>
      <c r="T33" s="7"/>
    </row>
    <row r="34" spans="1:20" ht="20.100000000000001" customHeight="1" x14ac:dyDescent="0.25">
      <c r="T34" s="7"/>
    </row>
    <row r="35" spans="1:20" ht="20.100000000000001" customHeight="1" x14ac:dyDescent="0.25">
      <c r="T35" s="7"/>
    </row>
    <row r="36" spans="1:20" ht="20.100000000000001" customHeight="1" x14ac:dyDescent="0.25">
      <c r="D36" s="48" t="s">
        <v>101</v>
      </c>
      <c r="T36" s="7"/>
    </row>
    <row r="37" spans="1:20" ht="20.100000000000001" customHeight="1" x14ac:dyDescent="0.25">
      <c r="D37" s="62" t="s">
        <v>134</v>
      </c>
      <c r="E37" s="62" t="s">
        <v>129</v>
      </c>
      <c r="F37" s="62" t="s">
        <v>128</v>
      </c>
      <c r="G37" s="62" t="s">
        <v>163</v>
      </c>
      <c r="H37" s="62" t="s">
        <v>164</v>
      </c>
      <c r="I37" s="62" t="s">
        <v>165</v>
      </c>
      <c r="J37" s="62" t="s">
        <v>166</v>
      </c>
      <c r="K37" s="62" t="s">
        <v>167</v>
      </c>
      <c r="L37" s="62" t="s">
        <v>168</v>
      </c>
      <c r="M37" s="62" t="s">
        <v>169</v>
      </c>
      <c r="N37" s="62" t="s">
        <v>170</v>
      </c>
      <c r="T37" s="7"/>
    </row>
    <row r="38" spans="1:20" ht="20.100000000000001" customHeight="1" x14ac:dyDescent="0.25">
      <c r="D38" s="1" t="s">
        <v>171</v>
      </c>
      <c r="E38" s="65">
        <v>100</v>
      </c>
      <c r="F38" s="65">
        <v>100</v>
      </c>
      <c r="G38" s="65">
        <v>100</v>
      </c>
      <c r="H38" s="65">
        <v>100</v>
      </c>
      <c r="I38" s="65">
        <v>100</v>
      </c>
      <c r="J38" s="65">
        <v>100</v>
      </c>
      <c r="K38" s="65">
        <v>100</v>
      </c>
      <c r="L38" s="65">
        <v>100</v>
      </c>
      <c r="M38" s="65">
        <v>100</v>
      </c>
      <c r="N38" s="65">
        <v>100</v>
      </c>
      <c r="O38" s="2" t="s">
        <v>101</v>
      </c>
      <c r="T38" s="7"/>
    </row>
    <row r="39" spans="1:20" ht="20.100000000000001" customHeight="1" x14ac:dyDescent="0.25">
      <c r="A39" s="17"/>
      <c r="D39" s="1" t="s">
        <v>172</v>
      </c>
      <c r="E39" s="65">
        <v>100</v>
      </c>
      <c r="F39" s="65">
        <v>100</v>
      </c>
      <c r="G39" s="65">
        <v>100</v>
      </c>
      <c r="H39" s="65">
        <v>100</v>
      </c>
      <c r="I39" s="65">
        <v>100</v>
      </c>
      <c r="J39" s="65">
        <v>100</v>
      </c>
      <c r="K39" s="65">
        <v>100</v>
      </c>
      <c r="L39" s="65">
        <v>100</v>
      </c>
      <c r="M39" s="65">
        <v>100</v>
      </c>
      <c r="N39" s="65">
        <v>100</v>
      </c>
      <c r="O39" s="2" t="s">
        <v>101</v>
      </c>
      <c r="T39" s="7"/>
    </row>
    <row r="40" spans="1:20" ht="20.100000000000001" customHeight="1" x14ac:dyDescent="0.25">
      <c r="D40" s="1" t="s">
        <v>173</v>
      </c>
      <c r="E40" s="65">
        <v>100</v>
      </c>
      <c r="F40" s="65">
        <v>100</v>
      </c>
      <c r="G40" s="65">
        <v>100</v>
      </c>
      <c r="H40" s="65">
        <v>100</v>
      </c>
      <c r="I40" s="65">
        <v>100</v>
      </c>
      <c r="J40" s="65">
        <v>100</v>
      </c>
      <c r="K40" s="65">
        <v>100</v>
      </c>
      <c r="L40" s="65">
        <v>100</v>
      </c>
      <c r="M40" s="65">
        <v>100</v>
      </c>
      <c r="N40" s="65">
        <v>100</v>
      </c>
      <c r="O40" s="2" t="s">
        <v>101</v>
      </c>
      <c r="T40" s="7"/>
    </row>
    <row r="41" spans="1:20" ht="20.100000000000001" customHeight="1" x14ac:dyDescent="0.25">
      <c r="A41" s="44"/>
      <c r="D41" s="1" t="s">
        <v>174</v>
      </c>
      <c r="E41" s="65">
        <v>100</v>
      </c>
      <c r="F41" s="65">
        <v>100</v>
      </c>
      <c r="G41" s="65">
        <v>100</v>
      </c>
      <c r="H41" s="65">
        <v>100</v>
      </c>
      <c r="I41" s="65">
        <v>100</v>
      </c>
      <c r="J41" s="65">
        <v>100</v>
      </c>
      <c r="K41" s="65">
        <v>100</v>
      </c>
      <c r="L41" s="65">
        <v>100</v>
      </c>
      <c r="M41" s="65">
        <v>100</v>
      </c>
      <c r="N41" s="65">
        <v>100</v>
      </c>
      <c r="O41" s="2" t="s">
        <v>101</v>
      </c>
      <c r="T41" s="7"/>
    </row>
    <row r="42" spans="1:20" ht="20.100000000000001" customHeight="1" x14ac:dyDescent="0.25">
      <c r="O42" s="2"/>
      <c r="T42" s="7"/>
    </row>
    <row r="43" spans="1:20" ht="20.100000000000001" customHeight="1" x14ac:dyDescent="0.25">
      <c r="D43" s="62" t="s">
        <v>135</v>
      </c>
      <c r="E43" s="62" t="s">
        <v>129</v>
      </c>
      <c r="F43" s="62" t="s">
        <v>128</v>
      </c>
      <c r="G43" s="62" t="s">
        <v>163</v>
      </c>
      <c r="H43" s="62" t="s">
        <v>164</v>
      </c>
      <c r="I43" s="62" t="s">
        <v>165</v>
      </c>
      <c r="J43" s="62" t="s">
        <v>166</v>
      </c>
      <c r="K43" s="62" t="s">
        <v>167</v>
      </c>
      <c r="L43" s="62" t="s">
        <v>168</v>
      </c>
      <c r="M43" s="62" t="s">
        <v>169</v>
      </c>
      <c r="N43" s="62" t="s">
        <v>170</v>
      </c>
      <c r="O43" s="2"/>
      <c r="T43" s="7"/>
    </row>
    <row r="44" spans="1:20" ht="20.100000000000001" customHeight="1" x14ac:dyDescent="0.25">
      <c r="D44" s="1" t="str">
        <f>TEXT('Input - Site'!$E$12, "mmmm yyyy")</f>
        <v>January 2025</v>
      </c>
      <c r="E44" s="65">
        <v>100</v>
      </c>
      <c r="F44" s="65">
        <v>100</v>
      </c>
      <c r="G44" s="65">
        <v>100</v>
      </c>
      <c r="H44" s="65">
        <v>100</v>
      </c>
      <c r="I44" s="65">
        <v>100</v>
      </c>
      <c r="J44" s="65">
        <v>100</v>
      </c>
      <c r="K44" s="65">
        <v>100</v>
      </c>
      <c r="L44" s="65">
        <v>100</v>
      </c>
      <c r="M44" s="65">
        <v>100</v>
      </c>
      <c r="N44" s="65">
        <v>100</v>
      </c>
      <c r="O44" s="2" t="s">
        <v>101</v>
      </c>
      <c r="T44" s="7"/>
    </row>
    <row r="45" spans="1:20" ht="20.100000000000001" customHeight="1" x14ac:dyDescent="0.25">
      <c r="D45" s="1" t="str">
        <f>TEXT(EDATE('Input - Site'!$E$12,1), "mmmm yyyy")</f>
        <v>February 2025</v>
      </c>
      <c r="E45" s="65">
        <v>100</v>
      </c>
      <c r="F45" s="65">
        <v>100</v>
      </c>
      <c r="G45" s="65">
        <v>100</v>
      </c>
      <c r="H45" s="65">
        <v>100</v>
      </c>
      <c r="I45" s="65">
        <v>100</v>
      </c>
      <c r="J45" s="65">
        <v>100</v>
      </c>
      <c r="K45" s="65">
        <v>100</v>
      </c>
      <c r="L45" s="65">
        <v>100</v>
      </c>
      <c r="M45" s="65">
        <v>100</v>
      </c>
      <c r="N45" s="65">
        <v>100</v>
      </c>
      <c r="O45" s="2" t="s">
        <v>101</v>
      </c>
      <c r="T45" s="7"/>
    </row>
    <row r="46" spans="1:20" ht="20.100000000000001" customHeight="1" x14ac:dyDescent="0.25">
      <c r="D46" s="1" t="str">
        <f>TEXT(EDATE('Input - Site'!$E$12,2), "mmmm yyyy")</f>
        <v>March 2025</v>
      </c>
      <c r="E46" s="65">
        <v>100</v>
      </c>
      <c r="F46" s="65">
        <v>100</v>
      </c>
      <c r="G46" s="65">
        <v>100</v>
      </c>
      <c r="H46" s="65">
        <v>100</v>
      </c>
      <c r="I46" s="65">
        <v>100</v>
      </c>
      <c r="J46" s="65">
        <v>100</v>
      </c>
      <c r="K46" s="65">
        <v>100</v>
      </c>
      <c r="L46" s="65">
        <v>100</v>
      </c>
      <c r="M46" s="65">
        <v>100</v>
      </c>
      <c r="N46" s="65">
        <v>100</v>
      </c>
      <c r="O46" s="2" t="s">
        <v>101</v>
      </c>
      <c r="T46" s="7"/>
    </row>
    <row r="47" spans="1:20" ht="20.100000000000001" customHeight="1" x14ac:dyDescent="0.25">
      <c r="D47" s="1" t="str">
        <f>TEXT(EDATE('Input - Site'!$E$12,3), "mmmm yyyy")</f>
        <v>April 2025</v>
      </c>
      <c r="E47" s="65">
        <v>100</v>
      </c>
      <c r="F47" s="65">
        <v>100</v>
      </c>
      <c r="G47" s="65">
        <v>100</v>
      </c>
      <c r="H47" s="65">
        <v>100</v>
      </c>
      <c r="I47" s="65">
        <v>100</v>
      </c>
      <c r="J47" s="65">
        <v>100</v>
      </c>
      <c r="K47" s="65">
        <v>100</v>
      </c>
      <c r="L47" s="65">
        <v>100</v>
      </c>
      <c r="M47" s="65">
        <v>100</v>
      </c>
      <c r="N47" s="65">
        <v>100</v>
      </c>
      <c r="O47" s="2" t="s">
        <v>101</v>
      </c>
      <c r="T47" s="7"/>
    </row>
    <row r="48" spans="1:20" ht="20.100000000000001" customHeight="1" x14ac:dyDescent="0.25">
      <c r="D48" s="1" t="str">
        <f>TEXT(EDATE('Input - Site'!$E$12,4), "mmmm yyyy")</f>
        <v>May 2025</v>
      </c>
      <c r="E48" s="65">
        <v>100</v>
      </c>
      <c r="F48" s="65">
        <v>100</v>
      </c>
      <c r="G48" s="65">
        <v>100</v>
      </c>
      <c r="H48" s="65">
        <v>100</v>
      </c>
      <c r="I48" s="65">
        <v>100</v>
      </c>
      <c r="J48" s="65">
        <v>100</v>
      </c>
      <c r="K48" s="65">
        <v>100</v>
      </c>
      <c r="L48" s="65">
        <v>100</v>
      </c>
      <c r="M48" s="65">
        <v>100</v>
      </c>
      <c r="N48" s="65">
        <v>100</v>
      </c>
      <c r="O48" s="2" t="s">
        <v>101</v>
      </c>
      <c r="T48" s="7"/>
    </row>
    <row r="49" spans="4:20" ht="20.100000000000001" customHeight="1" x14ac:dyDescent="0.25">
      <c r="D49" s="1" t="str">
        <f>TEXT(EDATE('Input - Site'!$E$12,5), "mmmm yyyy")</f>
        <v>June 2025</v>
      </c>
      <c r="E49" s="65">
        <v>100</v>
      </c>
      <c r="F49" s="65">
        <v>100</v>
      </c>
      <c r="G49" s="65">
        <v>100</v>
      </c>
      <c r="H49" s="65">
        <v>100</v>
      </c>
      <c r="I49" s="65">
        <v>100</v>
      </c>
      <c r="J49" s="65">
        <v>100</v>
      </c>
      <c r="K49" s="65">
        <v>100</v>
      </c>
      <c r="L49" s="65">
        <v>100</v>
      </c>
      <c r="M49" s="65">
        <v>100</v>
      </c>
      <c r="N49" s="65">
        <v>100</v>
      </c>
      <c r="O49" s="2" t="s">
        <v>101</v>
      </c>
      <c r="T49" s="7"/>
    </row>
    <row r="50" spans="4:20" ht="20.100000000000001" customHeight="1" x14ac:dyDescent="0.25">
      <c r="D50" s="1" t="str">
        <f>TEXT(EDATE('Input - Site'!$E$12,6), "mmmm yyyy")</f>
        <v>July 2025</v>
      </c>
      <c r="E50" s="65">
        <v>100</v>
      </c>
      <c r="F50" s="65">
        <v>100</v>
      </c>
      <c r="G50" s="65">
        <v>100</v>
      </c>
      <c r="H50" s="65">
        <v>100</v>
      </c>
      <c r="I50" s="65">
        <v>100</v>
      </c>
      <c r="J50" s="65">
        <v>100</v>
      </c>
      <c r="K50" s="65">
        <v>100</v>
      </c>
      <c r="L50" s="65">
        <v>100</v>
      </c>
      <c r="M50" s="65">
        <v>100</v>
      </c>
      <c r="N50" s="65">
        <v>100</v>
      </c>
      <c r="O50" s="2" t="s">
        <v>101</v>
      </c>
      <c r="P50" s="3"/>
      <c r="T50" s="7"/>
    </row>
    <row r="51" spans="4:20" ht="20.100000000000001" customHeight="1" x14ac:dyDescent="0.25">
      <c r="D51" s="1" t="str">
        <f>TEXT(EDATE('Input - Site'!$E$12,7), "mmmm yyyy")</f>
        <v>August 2025</v>
      </c>
      <c r="E51" s="65">
        <v>100</v>
      </c>
      <c r="F51" s="65">
        <v>100</v>
      </c>
      <c r="G51" s="65">
        <v>100</v>
      </c>
      <c r="H51" s="65">
        <v>100</v>
      </c>
      <c r="I51" s="65">
        <v>100</v>
      </c>
      <c r="J51" s="65">
        <v>100</v>
      </c>
      <c r="K51" s="65">
        <v>100</v>
      </c>
      <c r="L51" s="65">
        <v>100</v>
      </c>
      <c r="M51" s="65">
        <v>100</v>
      </c>
      <c r="N51" s="65">
        <v>100</v>
      </c>
      <c r="O51" s="2" t="s">
        <v>101</v>
      </c>
      <c r="P51" s="3"/>
      <c r="T51" s="7"/>
    </row>
    <row r="52" spans="4:20" ht="20.100000000000001" customHeight="1" x14ac:dyDescent="0.25">
      <c r="D52" s="1" t="str">
        <f>TEXT(EDATE('Input - Site'!$E$12,8), "mmmm yyyy")</f>
        <v>September 2025</v>
      </c>
      <c r="E52" s="65">
        <v>100</v>
      </c>
      <c r="F52" s="65">
        <v>100</v>
      </c>
      <c r="G52" s="65">
        <v>100</v>
      </c>
      <c r="H52" s="65">
        <v>100</v>
      </c>
      <c r="I52" s="65">
        <v>100</v>
      </c>
      <c r="J52" s="65">
        <v>100</v>
      </c>
      <c r="K52" s="65">
        <v>100</v>
      </c>
      <c r="L52" s="65">
        <v>100</v>
      </c>
      <c r="M52" s="65">
        <v>100</v>
      </c>
      <c r="N52" s="65">
        <v>100</v>
      </c>
      <c r="O52" s="2" t="s">
        <v>101</v>
      </c>
      <c r="P52" s="3"/>
      <c r="T52" s="7"/>
    </row>
    <row r="53" spans="4:20" ht="20.100000000000001" customHeight="1" x14ac:dyDescent="0.25">
      <c r="D53" s="1" t="str">
        <f>TEXT(EDATE('Input - Site'!$E$12,9), "mmmm yyyy")</f>
        <v>October 2025</v>
      </c>
      <c r="E53" s="65">
        <v>100</v>
      </c>
      <c r="F53" s="65">
        <v>100</v>
      </c>
      <c r="G53" s="65">
        <v>100</v>
      </c>
      <c r="H53" s="65">
        <v>100</v>
      </c>
      <c r="I53" s="65">
        <v>100</v>
      </c>
      <c r="J53" s="65">
        <v>100</v>
      </c>
      <c r="K53" s="65">
        <v>100</v>
      </c>
      <c r="L53" s="65">
        <v>100</v>
      </c>
      <c r="M53" s="65">
        <v>100</v>
      </c>
      <c r="N53" s="65">
        <v>100</v>
      </c>
      <c r="O53" s="2" t="s">
        <v>101</v>
      </c>
      <c r="P53" s="3"/>
      <c r="T53" s="7"/>
    </row>
    <row r="54" spans="4:20" ht="20.100000000000001" customHeight="1" x14ac:dyDescent="0.25">
      <c r="D54" s="1" t="str">
        <f>TEXT(EDATE('Input - Site'!$E$12,10), "mmmm yyyy")</f>
        <v>November 2025</v>
      </c>
      <c r="E54" s="65">
        <v>100</v>
      </c>
      <c r="F54" s="65">
        <v>100</v>
      </c>
      <c r="G54" s="65">
        <v>100</v>
      </c>
      <c r="H54" s="65">
        <v>100</v>
      </c>
      <c r="I54" s="65">
        <v>100</v>
      </c>
      <c r="J54" s="65">
        <v>100</v>
      </c>
      <c r="K54" s="65">
        <v>100</v>
      </c>
      <c r="L54" s="65">
        <v>100</v>
      </c>
      <c r="M54" s="65">
        <v>100</v>
      </c>
      <c r="N54" s="65">
        <v>100</v>
      </c>
      <c r="O54" s="2" t="s">
        <v>101</v>
      </c>
      <c r="P54" s="3"/>
      <c r="T54" s="7"/>
    </row>
    <row r="55" spans="4:20" ht="20.100000000000001" customHeight="1" x14ac:dyDescent="0.25">
      <c r="D55" s="1" t="str">
        <f>TEXT(EDATE('Input - Site'!$E$12,11), "mmmm yyyy")</f>
        <v>December 2025</v>
      </c>
      <c r="E55" s="65">
        <v>100</v>
      </c>
      <c r="F55" s="65">
        <v>100</v>
      </c>
      <c r="G55" s="65">
        <v>100</v>
      </c>
      <c r="H55" s="65">
        <v>100</v>
      </c>
      <c r="I55" s="65">
        <v>100</v>
      </c>
      <c r="J55" s="65">
        <v>100</v>
      </c>
      <c r="K55" s="65">
        <v>100</v>
      </c>
      <c r="L55" s="65">
        <v>100</v>
      </c>
      <c r="M55" s="65">
        <v>100</v>
      </c>
      <c r="N55" s="65">
        <v>100</v>
      </c>
      <c r="O55" s="2" t="s">
        <v>101</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8" t="s">
        <v>138</v>
      </c>
      <c r="P58" s="3"/>
      <c r="T58" s="7"/>
    </row>
    <row r="59" spans="4:20" ht="20.100000000000001" customHeight="1" x14ac:dyDescent="0.25">
      <c r="D59" s="62" t="s">
        <v>177</v>
      </c>
      <c r="E59" s="62" t="s">
        <v>129</v>
      </c>
      <c r="F59" s="62" t="s">
        <v>128</v>
      </c>
      <c r="G59" s="62" t="s">
        <v>163</v>
      </c>
      <c r="H59" s="62" t="s">
        <v>164</v>
      </c>
      <c r="I59" s="62" t="s">
        <v>165</v>
      </c>
      <c r="J59" s="62" t="s">
        <v>166</v>
      </c>
      <c r="K59" s="62" t="s">
        <v>167</v>
      </c>
      <c r="L59" s="62" t="s">
        <v>168</v>
      </c>
      <c r="M59" s="62" t="s">
        <v>169</v>
      </c>
      <c r="N59" s="62" t="s">
        <v>170</v>
      </c>
      <c r="P59" s="3"/>
      <c r="T59" s="7"/>
    </row>
    <row r="60" spans="4:20" ht="20.100000000000001" customHeight="1" x14ac:dyDescent="0.25">
      <c r="D60" s="1" t="s">
        <v>171</v>
      </c>
      <c r="E60" s="52">
        <v>340</v>
      </c>
      <c r="F60" s="52">
        <v>800</v>
      </c>
      <c r="G60" s="52">
        <v>260</v>
      </c>
      <c r="H60" s="52">
        <v>420</v>
      </c>
      <c r="I60" s="52">
        <v>550</v>
      </c>
      <c r="J60" s="52">
        <v>550</v>
      </c>
      <c r="K60" s="52">
        <v>300</v>
      </c>
      <c r="L60" s="52">
        <v>480</v>
      </c>
      <c r="M60" s="52">
        <v>480</v>
      </c>
      <c r="N60" s="52">
        <v>480</v>
      </c>
      <c r="O60" s="2" t="s">
        <v>131</v>
      </c>
      <c r="P60" s="3"/>
      <c r="T60" s="7"/>
    </row>
    <row r="61" spans="4:20" ht="20.100000000000001" customHeight="1" x14ac:dyDescent="0.25">
      <c r="D61" s="1" t="s">
        <v>172</v>
      </c>
      <c r="E61" s="52">
        <v>380</v>
      </c>
      <c r="F61" s="52">
        <v>780</v>
      </c>
      <c r="G61" s="52">
        <v>300</v>
      </c>
      <c r="H61" s="52">
        <v>450</v>
      </c>
      <c r="I61" s="52">
        <v>530</v>
      </c>
      <c r="J61" s="52">
        <v>530</v>
      </c>
      <c r="K61" s="52">
        <v>340</v>
      </c>
      <c r="L61" s="52">
        <v>470</v>
      </c>
      <c r="M61" s="52">
        <v>470</v>
      </c>
      <c r="N61" s="52">
        <v>470</v>
      </c>
      <c r="O61" s="2" t="s">
        <v>131</v>
      </c>
      <c r="P61" s="3"/>
      <c r="T61" s="7"/>
    </row>
    <row r="62" spans="4:20" ht="20.100000000000001" customHeight="1" x14ac:dyDescent="0.25">
      <c r="D62" s="1" t="s">
        <v>173</v>
      </c>
      <c r="E62" s="52">
        <v>100</v>
      </c>
      <c r="F62" s="52">
        <v>680</v>
      </c>
      <c r="G62" s="52">
        <v>80</v>
      </c>
      <c r="H62" s="52">
        <v>320</v>
      </c>
      <c r="I62" s="52">
        <v>480</v>
      </c>
      <c r="J62" s="52">
        <v>480</v>
      </c>
      <c r="K62" s="52">
        <v>100</v>
      </c>
      <c r="L62" s="52">
        <v>340</v>
      </c>
      <c r="M62" s="52">
        <v>340</v>
      </c>
      <c r="N62" s="52">
        <v>340</v>
      </c>
      <c r="O62" s="2" t="s">
        <v>131</v>
      </c>
      <c r="P62" s="3"/>
      <c r="T62" s="7"/>
    </row>
    <row r="63" spans="4:20" ht="20.100000000000001" customHeight="1" x14ac:dyDescent="0.25">
      <c r="D63" s="1" t="s">
        <v>174</v>
      </c>
      <c r="E63" s="52">
        <v>190</v>
      </c>
      <c r="F63" s="52">
        <v>700</v>
      </c>
      <c r="G63" s="52">
        <v>150</v>
      </c>
      <c r="H63" s="52">
        <v>330</v>
      </c>
      <c r="I63" s="52">
        <v>490</v>
      </c>
      <c r="J63" s="52">
        <v>490</v>
      </c>
      <c r="K63" s="52">
        <v>170</v>
      </c>
      <c r="L63" s="52">
        <v>360</v>
      </c>
      <c r="M63" s="52">
        <v>360</v>
      </c>
      <c r="N63" s="52">
        <v>360</v>
      </c>
      <c r="O63" s="2" t="s">
        <v>131</v>
      </c>
      <c r="P63" s="3"/>
      <c r="T63" s="7"/>
    </row>
    <row r="64" spans="4:20" ht="20.100000000000001" customHeight="1" x14ac:dyDescent="0.25">
      <c r="O64" s="2"/>
      <c r="P64" s="3"/>
      <c r="T64" s="7"/>
    </row>
    <row r="65" spans="4:20" ht="20.100000000000001" customHeight="1" x14ac:dyDescent="0.25">
      <c r="D65" s="62" t="s">
        <v>178</v>
      </c>
      <c r="E65" s="62" t="s">
        <v>129</v>
      </c>
      <c r="F65" s="62" t="s">
        <v>128</v>
      </c>
      <c r="G65" s="62" t="s">
        <v>163</v>
      </c>
      <c r="H65" s="62" t="s">
        <v>164</v>
      </c>
      <c r="I65" s="62" t="s">
        <v>165</v>
      </c>
      <c r="J65" s="62" t="s">
        <v>166</v>
      </c>
      <c r="K65" s="62" t="s">
        <v>167</v>
      </c>
      <c r="L65" s="62" t="s">
        <v>168</v>
      </c>
      <c r="M65" s="62" t="s">
        <v>169</v>
      </c>
      <c r="N65" s="62" t="s">
        <v>170</v>
      </c>
      <c r="O65" s="2"/>
      <c r="P65" s="3"/>
      <c r="T65" s="7"/>
    </row>
    <row r="66" spans="4:20" ht="20.100000000000001" customHeight="1" x14ac:dyDescent="0.25">
      <c r="D66" s="1" t="str">
        <f>TEXT('Input - Site'!$E$12, "mmmm yyyy")</f>
        <v>January 2025</v>
      </c>
      <c r="E66" s="65">
        <v>380</v>
      </c>
      <c r="F66" s="65">
        <v>780</v>
      </c>
      <c r="G66" s="65">
        <v>300</v>
      </c>
      <c r="H66" s="65">
        <v>450</v>
      </c>
      <c r="I66" s="65">
        <v>530</v>
      </c>
      <c r="J66" s="65">
        <v>530</v>
      </c>
      <c r="K66" s="65">
        <v>340</v>
      </c>
      <c r="L66" s="65">
        <v>470</v>
      </c>
      <c r="M66" s="65">
        <v>470</v>
      </c>
      <c r="N66" s="65">
        <v>470</v>
      </c>
      <c r="O66" s="2" t="s">
        <v>131</v>
      </c>
      <c r="P66" s="3"/>
      <c r="T66" s="7"/>
    </row>
    <row r="67" spans="4:20" ht="20.100000000000001" customHeight="1" x14ac:dyDescent="0.25">
      <c r="D67" s="1" t="str">
        <f>TEXT(EDATE('Input - Site'!$E$12,1), "mmmm yyyy")</f>
        <v>February 2025</v>
      </c>
      <c r="E67" s="65">
        <v>380</v>
      </c>
      <c r="F67" s="65">
        <v>780</v>
      </c>
      <c r="G67" s="65">
        <v>300</v>
      </c>
      <c r="H67" s="65">
        <v>450</v>
      </c>
      <c r="I67" s="65">
        <v>530</v>
      </c>
      <c r="J67" s="65">
        <v>530</v>
      </c>
      <c r="K67" s="65">
        <v>340</v>
      </c>
      <c r="L67" s="65">
        <v>470</v>
      </c>
      <c r="M67" s="65">
        <v>470</v>
      </c>
      <c r="N67" s="65">
        <v>470</v>
      </c>
      <c r="O67" s="2" t="s">
        <v>131</v>
      </c>
      <c r="P67" s="3"/>
      <c r="T67" s="7"/>
    </row>
    <row r="68" spans="4:20" ht="20.100000000000001" customHeight="1" x14ac:dyDescent="0.25">
      <c r="D68" s="1" t="str">
        <f>TEXT(EDATE('Input - Site'!$E$12,2), "mmmm yyyy")</f>
        <v>March 2025</v>
      </c>
      <c r="E68" s="65">
        <v>100</v>
      </c>
      <c r="F68" s="65">
        <v>680</v>
      </c>
      <c r="G68" s="65">
        <v>80</v>
      </c>
      <c r="H68" s="65">
        <v>320</v>
      </c>
      <c r="I68" s="65">
        <v>480</v>
      </c>
      <c r="J68" s="65">
        <v>480</v>
      </c>
      <c r="K68" s="65">
        <v>100</v>
      </c>
      <c r="L68" s="65">
        <v>340</v>
      </c>
      <c r="M68" s="65">
        <v>340</v>
      </c>
      <c r="N68" s="65">
        <v>340</v>
      </c>
      <c r="O68" s="2" t="s">
        <v>131</v>
      </c>
      <c r="P68" s="3"/>
      <c r="T68" s="7"/>
    </row>
    <row r="69" spans="4:20" ht="20.100000000000001" customHeight="1" x14ac:dyDescent="0.25">
      <c r="D69" s="1" t="str">
        <f>TEXT(EDATE('Input - Site'!$E$12,3), "mmmm yyyy")</f>
        <v>April 2025</v>
      </c>
      <c r="E69" s="65">
        <v>100</v>
      </c>
      <c r="F69" s="65">
        <v>680</v>
      </c>
      <c r="G69" s="65">
        <v>80</v>
      </c>
      <c r="H69" s="65">
        <v>320</v>
      </c>
      <c r="I69" s="65">
        <v>480</v>
      </c>
      <c r="J69" s="65">
        <v>480</v>
      </c>
      <c r="K69" s="65">
        <v>100</v>
      </c>
      <c r="L69" s="65">
        <v>340</v>
      </c>
      <c r="M69" s="65">
        <v>340</v>
      </c>
      <c r="N69" s="65">
        <v>340</v>
      </c>
      <c r="O69" s="2" t="s">
        <v>131</v>
      </c>
      <c r="P69" s="3"/>
      <c r="T69" s="7"/>
    </row>
    <row r="70" spans="4:20" ht="20.100000000000001" customHeight="1" x14ac:dyDescent="0.25">
      <c r="D70" s="1" t="str">
        <f>TEXT(EDATE('Input - Site'!$E$12,4), "mmmm yyyy")</f>
        <v>May 2025</v>
      </c>
      <c r="E70" s="65">
        <v>100</v>
      </c>
      <c r="F70" s="65">
        <v>680</v>
      </c>
      <c r="G70" s="65">
        <v>80</v>
      </c>
      <c r="H70" s="65">
        <v>320</v>
      </c>
      <c r="I70" s="65">
        <v>480</v>
      </c>
      <c r="J70" s="65">
        <v>480</v>
      </c>
      <c r="K70" s="65">
        <v>100</v>
      </c>
      <c r="L70" s="65">
        <v>340</v>
      </c>
      <c r="M70" s="65">
        <v>340</v>
      </c>
      <c r="N70" s="65">
        <v>340</v>
      </c>
      <c r="O70" s="2" t="s">
        <v>131</v>
      </c>
      <c r="P70" s="3"/>
      <c r="T70" s="7"/>
    </row>
    <row r="71" spans="4:20" ht="20.100000000000001" customHeight="1" x14ac:dyDescent="0.25">
      <c r="D71" s="1" t="str">
        <f>TEXT(EDATE('Input - Site'!$E$12,5), "mmmm yyyy")</f>
        <v>June 2025</v>
      </c>
      <c r="E71" s="65">
        <v>190</v>
      </c>
      <c r="F71" s="65">
        <v>700</v>
      </c>
      <c r="G71" s="65">
        <v>150</v>
      </c>
      <c r="H71" s="65">
        <v>330</v>
      </c>
      <c r="I71" s="65">
        <v>490</v>
      </c>
      <c r="J71" s="65">
        <v>490</v>
      </c>
      <c r="K71" s="65">
        <v>170</v>
      </c>
      <c r="L71" s="65">
        <v>360</v>
      </c>
      <c r="M71" s="65">
        <v>360</v>
      </c>
      <c r="N71" s="65">
        <v>360</v>
      </c>
      <c r="O71" s="2" t="s">
        <v>131</v>
      </c>
      <c r="P71" s="3"/>
      <c r="T71" s="7"/>
    </row>
    <row r="72" spans="4:20" ht="20.100000000000001" customHeight="1" x14ac:dyDescent="0.25">
      <c r="D72" s="1" t="str">
        <f>TEXT(EDATE('Input - Site'!$E$12,6), "mmmm yyyy")</f>
        <v>July 2025</v>
      </c>
      <c r="E72" s="65">
        <v>190</v>
      </c>
      <c r="F72" s="65">
        <v>700</v>
      </c>
      <c r="G72" s="65">
        <v>150</v>
      </c>
      <c r="H72" s="65">
        <v>330</v>
      </c>
      <c r="I72" s="65">
        <v>490</v>
      </c>
      <c r="J72" s="65">
        <v>490</v>
      </c>
      <c r="K72" s="65">
        <v>170</v>
      </c>
      <c r="L72" s="65">
        <v>360</v>
      </c>
      <c r="M72" s="65">
        <v>360</v>
      </c>
      <c r="N72" s="65">
        <v>360</v>
      </c>
      <c r="O72" s="2" t="s">
        <v>131</v>
      </c>
      <c r="T72" s="7"/>
    </row>
    <row r="73" spans="4:20" ht="20.100000000000001" customHeight="1" x14ac:dyDescent="0.25">
      <c r="D73" s="1" t="str">
        <f>TEXT(EDATE('Input - Site'!$E$12,7), "mmmm yyyy")</f>
        <v>August 2025</v>
      </c>
      <c r="E73" s="65">
        <v>190</v>
      </c>
      <c r="F73" s="65">
        <v>700</v>
      </c>
      <c r="G73" s="65">
        <v>150</v>
      </c>
      <c r="H73" s="65">
        <v>330</v>
      </c>
      <c r="I73" s="65">
        <v>490</v>
      </c>
      <c r="J73" s="65">
        <v>490</v>
      </c>
      <c r="K73" s="65">
        <v>170</v>
      </c>
      <c r="L73" s="65">
        <v>360</v>
      </c>
      <c r="M73" s="65">
        <v>360</v>
      </c>
      <c r="N73" s="65">
        <v>360</v>
      </c>
      <c r="O73" s="2" t="s">
        <v>131</v>
      </c>
      <c r="T73" s="7"/>
    </row>
    <row r="74" spans="4:20" ht="20.100000000000001" customHeight="1" x14ac:dyDescent="0.25">
      <c r="D74" s="1" t="str">
        <f>TEXT(EDATE('Input - Site'!$E$12,8), "mmmm yyyy")</f>
        <v>September 2025</v>
      </c>
      <c r="E74" s="65">
        <v>340</v>
      </c>
      <c r="F74" s="65">
        <v>800</v>
      </c>
      <c r="G74" s="65">
        <v>260</v>
      </c>
      <c r="H74" s="65">
        <v>420</v>
      </c>
      <c r="I74" s="65">
        <v>550</v>
      </c>
      <c r="J74" s="65">
        <v>550</v>
      </c>
      <c r="K74" s="65">
        <v>300</v>
      </c>
      <c r="L74" s="65">
        <v>480</v>
      </c>
      <c r="M74" s="65">
        <v>480</v>
      </c>
      <c r="N74" s="65">
        <v>480</v>
      </c>
      <c r="O74" s="2" t="s">
        <v>131</v>
      </c>
      <c r="T74" s="7"/>
    </row>
    <row r="75" spans="4:20" ht="20.100000000000001" customHeight="1" x14ac:dyDescent="0.25">
      <c r="D75" s="1" t="str">
        <f>TEXT(EDATE('Input - Site'!$E$12,9), "mmmm yyyy")</f>
        <v>October 2025</v>
      </c>
      <c r="E75" s="65">
        <v>340</v>
      </c>
      <c r="F75" s="65">
        <v>800</v>
      </c>
      <c r="G75" s="65">
        <v>260</v>
      </c>
      <c r="H75" s="65">
        <v>420</v>
      </c>
      <c r="I75" s="65">
        <v>550</v>
      </c>
      <c r="J75" s="65">
        <v>550</v>
      </c>
      <c r="K75" s="65">
        <v>300</v>
      </c>
      <c r="L75" s="65">
        <v>480</v>
      </c>
      <c r="M75" s="65">
        <v>480</v>
      </c>
      <c r="N75" s="65">
        <v>480</v>
      </c>
      <c r="O75" s="2" t="s">
        <v>131</v>
      </c>
      <c r="T75" s="7"/>
    </row>
    <row r="76" spans="4:20" ht="20.100000000000001" customHeight="1" x14ac:dyDescent="0.25">
      <c r="D76" s="1" t="str">
        <f>TEXT(EDATE('Input - Site'!$E$12,10), "mmmm yyyy")</f>
        <v>November 2025</v>
      </c>
      <c r="E76" s="65">
        <v>340</v>
      </c>
      <c r="F76" s="65">
        <v>800</v>
      </c>
      <c r="G76" s="65">
        <v>260</v>
      </c>
      <c r="H76" s="65">
        <v>420</v>
      </c>
      <c r="I76" s="65">
        <v>550</v>
      </c>
      <c r="J76" s="65">
        <v>550</v>
      </c>
      <c r="K76" s="65">
        <v>300</v>
      </c>
      <c r="L76" s="65">
        <v>480</v>
      </c>
      <c r="M76" s="65">
        <v>480</v>
      </c>
      <c r="N76" s="65">
        <v>480</v>
      </c>
      <c r="O76" s="2" t="s">
        <v>131</v>
      </c>
      <c r="T76" s="7"/>
    </row>
    <row r="77" spans="4:20" ht="20.100000000000001" customHeight="1" x14ac:dyDescent="0.25">
      <c r="D77" s="1" t="str">
        <f>TEXT(EDATE('Input - Site'!$E$12,11), "mmmm yyyy")</f>
        <v>December 2025</v>
      </c>
      <c r="E77" s="65">
        <v>380</v>
      </c>
      <c r="F77" s="65">
        <v>780</v>
      </c>
      <c r="G77" s="65">
        <v>300</v>
      </c>
      <c r="H77" s="65">
        <v>450</v>
      </c>
      <c r="I77" s="65">
        <v>530</v>
      </c>
      <c r="J77" s="65">
        <v>530</v>
      </c>
      <c r="K77" s="65">
        <v>340</v>
      </c>
      <c r="L77" s="65">
        <v>470</v>
      </c>
      <c r="M77" s="65">
        <v>470</v>
      </c>
      <c r="N77" s="65">
        <v>470</v>
      </c>
      <c r="O77" s="2" t="s">
        <v>131</v>
      </c>
      <c r="T77" s="7"/>
    </row>
    <row r="78" spans="4:20" ht="20.100000000000001" customHeight="1" x14ac:dyDescent="0.25">
      <c r="T78" s="7"/>
    </row>
    <row r="79" spans="4:20" ht="20.100000000000001" customHeight="1" x14ac:dyDescent="0.25">
      <c r="T79" s="7"/>
    </row>
    <row r="80" spans="4:20" ht="20.100000000000001" customHeight="1" x14ac:dyDescent="0.25">
      <c r="D80" s="48" t="s">
        <v>175</v>
      </c>
      <c r="T80" s="7"/>
    </row>
    <row r="81" spans="4:20" ht="20.100000000000001" customHeight="1" x14ac:dyDescent="0.25">
      <c r="D81" s="62" t="s">
        <v>177</v>
      </c>
      <c r="E81" s="62" t="s">
        <v>129</v>
      </c>
      <c r="F81" s="62" t="s">
        <v>128</v>
      </c>
      <c r="G81" s="62" t="s">
        <v>163</v>
      </c>
      <c r="H81" s="62" t="s">
        <v>164</v>
      </c>
      <c r="I81" s="62" t="s">
        <v>165</v>
      </c>
      <c r="J81" s="62" t="s">
        <v>166</v>
      </c>
      <c r="K81" s="62" t="s">
        <v>167</v>
      </c>
      <c r="L81" s="62" t="s">
        <v>168</v>
      </c>
      <c r="M81" s="62" t="s">
        <v>169</v>
      </c>
      <c r="N81" s="62" t="s">
        <v>170</v>
      </c>
      <c r="T81" s="7"/>
    </row>
    <row r="82" spans="4:20" ht="20.100000000000001" customHeight="1" x14ac:dyDescent="0.25">
      <c r="D82" s="1" t="s">
        <v>171</v>
      </c>
      <c r="E82" s="52">
        <v>1.64</v>
      </c>
      <c r="F82" s="52">
        <v>1.1000000000000001</v>
      </c>
      <c r="G82" s="52">
        <v>1.21</v>
      </c>
      <c r="H82" s="52">
        <v>0.99</v>
      </c>
      <c r="I82" s="52">
        <v>0.66</v>
      </c>
      <c r="J82" s="52">
        <v>0.66</v>
      </c>
      <c r="K82" s="52">
        <v>1.42</v>
      </c>
      <c r="L82" s="52">
        <v>1.1000000000000001</v>
      </c>
      <c r="M82" s="52">
        <v>1.1000000000000001</v>
      </c>
      <c r="N82" s="52">
        <v>1.1000000000000001</v>
      </c>
      <c r="O82" s="2" t="s">
        <v>132</v>
      </c>
      <c r="T82" s="7"/>
    </row>
    <row r="83" spans="4:20" ht="20.100000000000001" customHeight="1" x14ac:dyDescent="0.25">
      <c r="D83" s="1" t="s">
        <v>172</v>
      </c>
      <c r="E83" s="52">
        <v>0.44</v>
      </c>
      <c r="F83" s="52">
        <v>-0.22</v>
      </c>
      <c r="G83" s="52">
        <v>0.44</v>
      </c>
      <c r="H83" s="52">
        <v>0.33</v>
      </c>
      <c r="I83" s="52">
        <v>-0.22</v>
      </c>
      <c r="J83" s="52">
        <v>-0.22</v>
      </c>
      <c r="K83" s="52">
        <v>0.44</v>
      </c>
      <c r="L83" s="52">
        <v>-0.11</v>
      </c>
      <c r="M83" s="52">
        <v>-0.11</v>
      </c>
      <c r="N83" s="52">
        <v>-0.11</v>
      </c>
      <c r="O83" s="2" t="s">
        <v>132</v>
      </c>
      <c r="T83" s="7"/>
    </row>
    <row r="84" spans="4:20" ht="20.100000000000001" customHeight="1" x14ac:dyDescent="0.25">
      <c r="D84" s="1" t="s">
        <v>173</v>
      </c>
      <c r="E84" s="52">
        <v>0.6</v>
      </c>
      <c r="F84" s="52">
        <v>0</v>
      </c>
      <c r="G84" s="52">
        <v>0.6</v>
      </c>
      <c r="H84" s="52">
        <v>0.22</v>
      </c>
      <c r="I84" s="52">
        <v>-0.55000000000000004</v>
      </c>
      <c r="J84" s="52">
        <v>-0.55000000000000004</v>
      </c>
      <c r="K84" s="52">
        <v>0.6</v>
      </c>
      <c r="L84" s="52">
        <v>0</v>
      </c>
      <c r="M84" s="52">
        <v>0</v>
      </c>
      <c r="N84" s="52">
        <v>0</v>
      </c>
      <c r="O84" s="2" t="s">
        <v>132</v>
      </c>
      <c r="T84" s="7"/>
    </row>
    <row r="85" spans="4:20" ht="20.100000000000001" customHeight="1" x14ac:dyDescent="0.25">
      <c r="D85" s="1" t="s">
        <v>174</v>
      </c>
      <c r="E85" s="52">
        <v>0.99</v>
      </c>
      <c r="F85" s="52">
        <v>0.22</v>
      </c>
      <c r="G85" s="52">
        <v>0.77</v>
      </c>
      <c r="H85" s="52">
        <v>0.11</v>
      </c>
      <c r="I85" s="52">
        <v>0.11</v>
      </c>
      <c r="J85" s="52">
        <v>0.11</v>
      </c>
      <c r="K85" s="52">
        <v>0.77</v>
      </c>
      <c r="L85" s="52">
        <v>0.44</v>
      </c>
      <c r="M85" s="52">
        <v>0.44</v>
      </c>
      <c r="N85" s="52">
        <v>0.44</v>
      </c>
      <c r="O85" s="2" t="s">
        <v>132</v>
      </c>
      <c r="T85" s="7"/>
    </row>
    <row r="86" spans="4:20" ht="20.100000000000001" customHeight="1" x14ac:dyDescent="0.25">
      <c r="O86" s="2"/>
      <c r="T86" s="7"/>
    </row>
    <row r="87" spans="4:20" ht="20.100000000000001" customHeight="1" x14ac:dyDescent="0.25">
      <c r="D87" s="62" t="s">
        <v>178</v>
      </c>
      <c r="E87" s="62" t="s">
        <v>129</v>
      </c>
      <c r="F87" s="62" t="s">
        <v>128</v>
      </c>
      <c r="G87" s="62" t="s">
        <v>163</v>
      </c>
      <c r="H87" s="62" t="s">
        <v>164</v>
      </c>
      <c r="I87" s="62" t="s">
        <v>165</v>
      </c>
      <c r="J87" s="62" t="s">
        <v>166</v>
      </c>
      <c r="K87" s="62" t="s">
        <v>167</v>
      </c>
      <c r="L87" s="62" t="s">
        <v>168</v>
      </c>
      <c r="M87" s="62" t="s">
        <v>169</v>
      </c>
      <c r="N87" s="62" t="s">
        <v>170</v>
      </c>
      <c r="O87" s="2"/>
      <c r="T87" s="7"/>
    </row>
    <row r="88" spans="4:20" ht="20.100000000000001" customHeight="1" x14ac:dyDescent="0.25">
      <c r="D88" s="1" t="str">
        <f>TEXT('Input - Site'!$E$12, "mmmm yyyy")</f>
        <v>January 2025</v>
      </c>
      <c r="E88" s="65">
        <v>0.44</v>
      </c>
      <c r="F88" s="65">
        <v>-0.22</v>
      </c>
      <c r="G88" s="65">
        <v>0.44</v>
      </c>
      <c r="H88" s="65">
        <v>0.33</v>
      </c>
      <c r="I88" s="65">
        <v>-0.22</v>
      </c>
      <c r="J88" s="65">
        <v>-0.22</v>
      </c>
      <c r="K88" s="65">
        <v>0.44</v>
      </c>
      <c r="L88" s="65">
        <v>-0.11</v>
      </c>
      <c r="M88" s="65">
        <v>-0.11</v>
      </c>
      <c r="N88" s="65">
        <v>-0.11</v>
      </c>
      <c r="O88" s="2" t="s">
        <v>132</v>
      </c>
      <c r="T88" s="7"/>
    </row>
    <row r="89" spans="4:20" ht="20.100000000000001" customHeight="1" x14ac:dyDescent="0.25">
      <c r="D89" s="1" t="str">
        <f>TEXT(EDATE('Input - Site'!$E$12,1), "mmmm yyyy")</f>
        <v>February 2025</v>
      </c>
      <c r="E89" s="65">
        <v>0.44</v>
      </c>
      <c r="F89" s="65">
        <v>-0.22</v>
      </c>
      <c r="G89" s="65">
        <v>0.44</v>
      </c>
      <c r="H89" s="65">
        <v>0.33</v>
      </c>
      <c r="I89" s="65">
        <v>-0.22</v>
      </c>
      <c r="J89" s="65">
        <v>-0.22</v>
      </c>
      <c r="K89" s="65">
        <v>0.44</v>
      </c>
      <c r="L89" s="65">
        <v>-0.11</v>
      </c>
      <c r="M89" s="65">
        <v>-0.11</v>
      </c>
      <c r="N89" s="65">
        <v>-0.11</v>
      </c>
      <c r="O89" s="2" t="s">
        <v>132</v>
      </c>
      <c r="T89" s="7"/>
    </row>
    <row r="90" spans="4:20" ht="20.100000000000001" customHeight="1" x14ac:dyDescent="0.25">
      <c r="D90" s="1" t="str">
        <f>TEXT(EDATE('Input - Site'!$E$12,2), "mmmm yyyy")</f>
        <v>March 2025</v>
      </c>
      <c r="E90" s="65">
        <v>0.6</v>
      </c>
      <c r="F90" s="65">
        <v>0</v>
      </c>
      <c r="G90" s="65">
        <v>0.6</v>
      </c>
      <c r="H90" s="65">
        <v>0.22</v>
      </c>
      <c r="I90" s="65">
        <v>-0.55000000000000004</v>
      </c>
      <c r="J90" s="65">
        <v>-0.55000000000000004</v>
      </c>
      <c r="K90" s="65">
        <v>0.6</v>
      </c>
      <c r="L90" s="65">
        <v>0</v>
      </c>
      <c r="M90" s="65">
        <v>0</v>
      </c>
      <c r="N90" s="65">
        <v>0</v>
      </c>
      <c r="O90" s="2" t="s">
        <v>132</v>
      </c>
      <c r="T90" s="7"/>
    </row>
    <row r="91" spans="4:20" ht="20.100000000000001" customHeight="1" x14ac:dyDescent="0.25">
      <c r="D91" s="1" t="str">
        <f>TEXT(EDATE('Input - Site'!$E$12,3), "mmmm yyyy")</f>
        <v>April 2025</v>
      </c>
      <c r="E91" s="65">
        <v>0.6</v>
      </c>
      <c r="F91" s="65">
        <v>0</v>
      </c>
      <c r="G91" s="65">
        <v>0.6</v>
      </c>
      <c r="H91" s="65">
        <v>0.22</v>
      </c>
      <c r="I91" s="65">
        <v>-0.55000000000000004</v>
      </c>
      <c r="J91" s="65">
        <v>-0.55000000000000004</v>
      </c>
      <c r="K91" s="65">
        <v>0.6</v>
      </c>
      <c r="L91" s="65">
        <v>0</v>
      </c>
      <c r="M91" s="65">
        <v>0</v>
      </c>
      <c r="N91" s="65">
        <v>0</v>
      </c>
      <c r="O91" s="2" t="s">
        <v>132</v>
      </c>
      <c r="T91" s="7"/>
    </row>
    <row r="92" spans="4:20" ht="20.100000000000001" customHeight="1" x14ac:dyDescent="0.25">
      <c r="D92" s="1" t="str">
        <f>TEXT(EDATE('Input - Site'!$E$12,4), "mmmm yyyy")</f>
        <v>May 2025</v>
      </c>
      <c r="E92" s="65">
        <v>0.6</v>
      </c>
      <c r="F92" s="65">
        <v>0</v>
      </c>
      <c r="G92" s="65">
        <v>0.6</v>
      </c>
      <c r="H92" s="65">
        <v>0.22</v>
      </c>
      <c r="I92" s="65">
        <v>-0.55000000000000004</v>
      </c>
      <c r="J92" s="65">
        <v>-0.55000000000000004</v>
      </c>
      <c r="K92" s="65">
        <v>0.6</v>
      </c>
      <c r="L92" s="65">
        <v>0</v>
      </c>
      <c r="M92" s="65">
        <v>0</v>
      </c>
      <c r="N92" s="65">
        <v>0</v>
      </c>
      <c r="O92" s="2" t="s">
        <v>132</v>
      </c>
      <c r="T92" s="7"/>
    </row>
    <row r="93" spans="4:20" ht="20.100000000000001" customHeight="1" x14ac:dyDescent="0.25">
      <c r="D93" s="1" t="str">
        <f>TEXT(EDATE('Input - Site'!$E$12,5), "mmmm yyyy")</f>
        <v>June 2025</v>
      </c>
      <c r="E93" s="65">
        <v>0.99</v>
      </c>
      <c r="F93" s="65">
        <v>0.22</v>
      </c>
      <c r="G93" s="65">
        <v>0.77</v>
      </c>
      <c r="H93" s="65">
        <v>0.11</v>
      </c>
      <c r="I93" s="65">
        <v>0.11</v>
      </c>
      <c r="J93" s="65">
        <v>0.11</v>
      </c>
      <c r="K93" s="65">
        <v>0.77</v>
      </c>
      <c r="L93" s="65">
        <v>0.44</v>
      </c>
      <c r="M93" s="65">
        <v>0.44</v>
      </c>
      <c r="N93" s="65">
        <v>0.44</v>
      </c>
      <c r="O93" s="2" t="s">
        <v>132</v>
      </c>
      <c r="T93" s="7"/>
    </row>
    <row r="94" spans="4:20" ht="20.100000000000001" customHeight="1" x14ac:dyDescent="0.25">
      <c r="D94" s="1" t="str">
        <f>TEXT(EDATE('Input - Site'!$E$12,6), "mmmm yyyy")</f>
        <v>July 2025</v>
      </c>
      <c r="E94" s="65">
        <v>0.99</v>
      </c>
      <c r="F94" s="65">
        <v>0.22</v>
      </c>
      <c r="G94" s="65">
        <v>0.77</v>
      </c>
      <c r="H94" s="65">
        <v>0.11</v>
      </c>
      <c r="I94" s="65">
        <v>0.11</v>
      </c>
      <c r="J94" s="65">
        <v>0.11</v>
      </c>
      <c r="K94" s="65">
        <v>0.77</v>
      </c>
      <c r="L94" s="65">
        <v>0.44</v>
      </c>
      <c r="M94" s="65">
        <v>0.44</v>
      </c>
      <c r="N94" s="65">
        <v>0.44</v>
      </c>
      <c r="O94" s="2" t="s">
        <v>132</v>
      </c>
      <c r="T94" s="7"/>
    </row>
    <row r="95" spans="4:20" ht="20.100000000000001" customHeight="1" x14ac:dyDescent="0.25">
      <c r="D95" s="1" t="str">
        <f>TEXT(EDATE('Input - Site'!$E$12,7), "mmmm yyyy")</f>
        <v>August 2025</v>
      </c>
      <c r="E95" s="65">
        <v>0.99</v>
      </c>
      <c r="F95" s="65">
        <v>0.22</v>
      </c>
      <c r="G95" s="65">
        <v>0.77</v>
      </c>
      <c r="H95" s="65">
        <v>0.11</v>
      </c>
      <c r="I95" s="65">
        <v>0.11</v>
      </c>
      <c r="J95" s="65">
        <v>0.11</v>
      </c>
      <c r="K95" s="65">
        <v>0.77</v>
      </c>
      <c r="L95" s="65">
        <v>0.44</v>
      </c>
      <c r="M95" s="65">
        <v>0.44</v>
      </c>
      <c r="N95" s="65">
        <v>0.44</v>
      </c>
      <c r="O95" s="2" t="s">
        <v>132</v>
      </c>
      <c r="T95" s="7"/>
    </row>
    <row r="96" spans="4:20" ht="20.100000000000001" customHeight="1" x14ac:dyDescent="0.25">
      <c r="D96" s="1" t="str">
        <f>TEXT(EDATE('Input - Site'!$E$12,8), "mmmm yyyy")</f>
        <v>September 2025</v>
      </c>
      <c r="E96" s="65">
        <v>1.64</v>
      </c>
      <c r="F96" s="65">
        <v>1.1000000000000001</v>
      </c>
      <c r="G96" s="65">
        <v>1.21</v>
      </c>
      <c r="H96" s="65">
        <v>0.99</v>
      </c>
      <c r="I96" s="65">
        <v>0.66</v>
      </c>
      <c r="J96" s="65">
        <v>0.66</v>
      </c>
      <c r="K96" s="65">
        <v>1.42</v>
      </c>
      <c r="L96" s="65">
        <v>1.1000000000000001</v>
      </c>
      <c r="M96" s="65">
        <v>1.1000000000000001</v>
      </c>
      <c r="N96" s="65">
        <v>1.1000000000000001</v>
      </c>
      <c r="O96" s="2" t="s">
        <v>132</v>
      </c>
      <c r="T96" s="7"/>
    </row>
    <row r="97" spans="4:20" ht="20.100000000000001" customHeight="1" x14ac:dyDescent="0.25">
      <c r="D97" s="1" t="str">
        <f>TEXT(EDATE('Input - Site'!$E$12,9), "mmmm yyyy")</f>
        <v>October 2025</v>
      </c>
      <c r="E97" s="65">
        <v>1.64</v>
      </c>
      <c r="F97" s="65">
        <v>1.1000000000000001</v>
      </c>
      <c r="G97" s="65">
        <v>1.21</v>
      </c>
      <c r="H97" s="65">
        <v>0.99</v>
      </c>
      <c r="I97" s="65">
        <v>0.66</v>
      </c>
      <c r="J97" s="65">
        <v>0.66</v>
      </c>
      <c r="K97" s="65">
        <v>1.42</v>
      </c>
      <c r="L97" s="65">
        <v>1.1000000000000001</v>
      </c>
      <c r="M97" s="65">
        <v>1.1000000000000001</v>
      </c>
      <c r="N97" s="65">
        <v>1.1000000000000001</v>
      </c>
      <c r="O97" s="2" t="s">
        <v>132</v>
      </c>
      <c r="T97" s="7"/>
    </row>
    <row r="98" spans="4:20" ht="20.100000000000001" customHeight="1" x14ac:dyDescent="0.25">
      <c r="D98" s="1" t="str">
        <f>TEXT(EDATE('Input - Site'!$E$12,10), "mmmm yyyy")</f>
        <v>November 2025</v>
      </c>
      <c r="E98" s="65">
        <v>1.64</v>
      </c>
      <c r="F98" s="65">
        <v>1.1000000000000001</v>
      </c>
      <c r="G98" s="65">
        <v>1.21</v>
      </c>
      <c r="H98" s="65">
        <v>0.99</v>
      </c>
      <c r="I98" s="65">
        <v>0.66</v>
      </c>
      <c r="J98" s="65">
        <v>0.66</v>
      </c>
      <c r="K98" s="65">
        <v>1.42</v>
      </c>
      <c r="L98" s="65">
        <v>1.1000000000000001</v>
      </c>
      <c r="M98" s="65">
        <v>1.1000000000000001</v>
      </c>
      <c r="N98" s="65">
        <v>1.1000000000000001</v>
      </c>
      <c r="O98" s="2" t="s">
        <v>132</v>
      </c>
      <c r="T98" s="7"/>
    </row>
    <row r="99" spans="4:20" ht="20.100000000000001" customHeight="1" x14ac:dyDescent="0.25">
      <c r="D99" s="1" t="str">
        <f>TEXT(EDATE('Input - Site'!$E$12,11), "mmmm yyyy")</f>
        <v>December 2025</v>
      </c>
      <c r="E99" s="65">
        <v>0.44</v>
      </c>
      <c r="F99" s="65">
        <v>-0.22</v>
      </c>
      <c r="G99" s="65">
        <v>0.44</v>
      </c>
      <c r="H99" s="65">
        <v>0.33</v>
      </c>
      <c r="I99" s="65">
        <v>-0.22</v>
      </c>
      <c r="J99" s="65">
        <v>-0.22</v>
      </c>
      <c r="K99" s="65">
        <v>0.44</v>
      </c>
      <c r="L99" s="65">
        <v>-0.11</v>
      </c>
      <c r="M99" s="65">
        <v>-0.11</v>
      </c>
      <c r="N99" s="65">
        <v>-0.11</v>
      </c>
      <c r="O99" s="2" t="s">
        <v>132</v>
      </c>
      <c r="T99" s="7"/>
    </row>
    <row r="100" spans="4:20" ht="20.100000000000001" customHeight="1" x14ac:dyDescent="0.25">
      <c r="T100" s="7"/>
    </row>
    <row r="101" spans="4:20" ht="20.100000000000001" customHeight="1" x14ac:dyDescent="0.25">
      <c r="T101" s="7"/>
    </row>
    <row r="102" spans="4:20" ht="20.100000000000001" customHeight="1" x14ac:dyDescent="0.25">
      <c r="D102" s="48" t="s">
        <v>227</v>
      </c>
      <c r="K102" s="2"/>
      <c r="L102" s="2"/>
      <c r="M102" s="2"/>
      <c r="N102" s="2"/>
      <c r="O102" s="2"/>
      <c r="T102" s="7"/>
    </row>
    <row r="103" spans="4:20" ht="20.100000000000001" customHeight="1" x14ac:dyDescent="0.25">
      <c r="D103" s="62" t="s">
        <v>134</v>
      </c>
      <c r="E103" s="62"/>
      <c r="F103" s="62"/>
      <c r="G103" s="62"/>
      <c r="T103" s="7"/>
    </row>
    <row r="104" spans="4:20" ht="20.100000000000001" customHeight="1" x14ac:dyDescent="0.25">
      <c r="D104" s="1" t="s">
        <v>244</v>
      </c>
      <c r="E104" s="39" t="s">
        <v>174</v>
      </c>
      <c r="F104" s="2" t="s">
        <v>10</v>
      </c>
      <c r="T104" s="7"/>
    </row>
    <row r="105" spans="4:20" ht="20.100000000000001" customHeight="1" x14ac:dyDescent="0.25">
      <c r="T105" s="7"/>
    </row>
    <row r="106" spans="4:20" ht="20.100000000000001" customHeight="1" x14ac:dyDescent="0.25">
      <c r="T106" s="7"/>
    </row>
    <row r="107" spans="4:20" ht="20.100000000000001" customHeight="1" x14ac:dyDescent="0.25">
      <c r="K107" s="1" t="s">
        <v>352</v>
      </c>
    </row>
    <row r="108" spans="4:20" ht="20.100000000000001" customHeight="1" x14ac:dyDescent="0.25"/>
    <row r="109" spans="4:20" ht="20.100000000000001" customHeight="1" x14ac:dyDescent="0.25">
      <c r="E109" s="62" t="s">
        <v>348</v>
      </c>
      <c r="F109" s="62" t="s">
        <v>164</v>
      </c>
      <c r="G109" s="62" t="s">
        <v>165</v>
      </c>
      <c r="H109" s="62" t="s">
        <v>166</v>
      </c>
      <c r="L109" s="1" t="s">
        <v>163</v>
      </c>
      <c r="M109" s="1" t="s">
        <v>167</v>
      </c>
      <c r="N109" s="2"/>
      <c r="O109" s="2"/>
    </row>
    <row r="110" spans="4:20" ht="20.100000000000001" customHeight="1" x14ac:dyDescent="0.25">
      <c r="D110" s="1" t="str">
        <f>"Proportion of cows &gt; 1 years in calf in " &amp; E104</f>
        <v>Proportion of cows &gt; 1 years in calf in Winter</v>
      </c>
      <c r="E110" s="39" t="s">
        <v>347</v>
      </c>
      <c r="F110" s="46">
        <v>0.7</v>
      </c>
      <c r="G110" s="46">
        <v>0.5</v>
      </c>
      <c r="H110" s="46">
        <v>0.5</v>
      </c>
      <c r="I110" s="2" t="s">
        <v>18</v>
      </c>
      <c r="L110" s="52">
        <f>MAX(0, G41-G40)</f>
        <v>0</v>
      </c>
      <c r="M110" s="52">
        <f>MAX(0,K41-K40)</f>
        <v>0</v>
      </c>
      <c r="N110" s="2"/>
      <c r="O110" s="2"/>
    </row>
    <row r="111" spans="4:20" ht="20.100000000000001" customHeight="1" x14ac:dyDescent="0.25">
      <c r="D111" s="1" t="s">
        <v>171</v>
      </c>
      <c r="E111" s="39" t="s">
        <v>347</v>
      </c>
      <c r="F111" s="46">
        <v>0.1</v>
      </c>
      <c r="G111" s="46">
        <v>0.4</v>
      </c>
      <c r="H111" s="46">
        <v>0.4</v>
      </c>
      <c r="I111" s="2" t="s">
        <v>18</v>
      </c>
      <c r="L111" s="52">
        <f>MAX(0, G38-G41)</f>
        <v>0</v>
      </c>
      <c r="M111" s="52">
        <f>MAX(0,K38-K41)</f>
        <v>0</v>
      </c>
    </row>
    <row r="112" spans="4:20" ht="20.100000000000001" customHeight="1" x14ac:dyDescent="0.25">
      <c r="D112" s="1" t="s">
        <v>172</v>
      </c>
      <c r="E112" s="39" t="s">
        <v>347</v>
      </c>
      <c r="F112" s="46">
        <v>0.1</v>
      </c>
      <c r="G112" s="46">
        <v>0</v>
      </c>
      <c r="H112" s="46">
        <v>0</v>
      </c>
      <c r="I112" s="2" t="s">
        <v>18</v>
      </c>
      <c r="L112" s="52">
        <f>MAX(0, G39-G38)</f>
        <v>0</v>
      </c>
      <c r="M112" s="52">
        <f>MAX(0,K39-K38)</f>
        <v>0</v>
      </c>
    </row>
    <row r="113" spans="4:15" ht="20.100000000000001" customHeight="1" x14ac:dyDescent="0.25">
      <c r="D113" s="1" t="s">
        <v>173</v>
      </c>
      <c r="E113" s="39" t="s">
        <v>137</v>
      </c>
      <c r="F113" s="46">
        <v>0</v>
      </c>
      <c r="G113" s="46">
        <v>0</v>
      </c>
      <c r="H113" s="46">
        <v>0</v>
      </c>
      <c r="I113" s="2" t="s">
        <v>18</v>
      </c>
      <c r="L113" s="52">
        <f>MAX(0,G40-G39)</f>
        <v>0</v>
      </c>
      <c r="M113" s="52">
        <f>MAX(0,K40-K39)</f>
        <v>0</v>
      </c>
    </row>
    <row r="114" spans="4:15" ht="20.100000000000001" customHeight="1" x14ac:dyDescent="0.25">
      <c r="J114" s="1" t="s">
        <v>353</v>
      </c>
    </row>
    <row r="115" spans="4:15" ht="20.100000000000001" customHeight="1" x14ac:dyDescent="0.25"/>
    <row r="116" spans="4:15" ht="20.100000000000001" customHeight="1" x14ac:dyDescent="0.25"/>
    <row r="117" spans="4:15" ht="20.100000000000001" customHeight="1" x14ac:dyDescent="0.25">
      <c r="D117" s="62" t="s">
        <v>135</v>
      </c>
      <c r="E117" s="62"/>
      <c r="F117" s="62"/>
      <c r="G117" s="62"/>
      <c r="L117" s="127" t="s">
        <v>358</v>
      </c>
    </row>
    <row r="118" spans="4:15" ht="20.100000000000001" customHeight="1" x14ac:dyDescent="0.25">
      <c r="D118" s="1" t="s">
        <v>344</v>
      </c>
      <c r="E118" s="39" t="s">
        <v>340</v>
      </c>
      <c r="F118" s="2" t="s">
        <v>10</v>
      </c>
      <c r="J118" s="53" t="s">
        <v>129</v>
      </c>
    </row>
    <row r="119" spans="4:15" ht="20.100000000000001" customHeight="1" x14ac:dyDescent="0.25">
      <c r="D119" s="1" t="s">
        <v>338</v>
      </c>
      <c r="E119" s="52" t="str">
        <f>TEXT(EDATE(E118,1), "mmmm yyyy")</f>
        <v>September 2024</v>
      </c>
      <c r="J119" s="1" t="s">
        <v>101</v>
      </c>
      <c r="K119" s="1" t="s">
        <v>356</v>
      </c>
      <c r="L119" s="1" t="s">
        <v>353</v>
      </c>
      <c r="M119" s="1" t="s">
        <v>354</v>
      </c>
      <c r="N119" s="1" t="s">
        <v>355</v>
      </c>
      <c r="O119" s="1" t="s">
        <v>357</v>
      </c>
    </row>
    <row r="120" spans="4:15" ht="20.100000000000001" customHeight="1" x14ac:dyDescent="0.25">
      <c r="D120" s="1" t="s">
        <v>339</v>
      </c>
      <c r="E120" s="52" t="str">
        <f>TEXT(EDATE(E118,2), "mmmm yyyy")</f>
        <v>October 2024</v>
      </c>
      <c r="J120" s="52">
        <f>E38</f>
        <v>100</v>
      </c>
      <c r="K120" s="52">
        <f>MAX(0, E38-E41)</f>
        <v>0</v>
      </c>
      <c r="L120" s="1">
        <f>K120/J120</f>
        <v>0</v>
      </c>
      <c r="M120" s="1">
        <f>K123/J120</f>
        <v>0</v>
      </c>
      <c r="N120" s="2">
        <f>1-(L120+M120)</f>
        <v>1</v>
      </c>
      <c r="O120" s="53">
        <f>(L120*6)+(M120*4)+(N120*0)</f>
        <v>0</v>
      </c>
    </row>
    <row r="121" spans="4:15" ht="20.100000000000001" customHeight="1" x14ac:dyDescent="0.25">
      <c r="J121" s="52">
        <f>E39</f>
        <v>100</v>
      </c>
      <c r="K121" s="52">
        <f>MAX(0, E39-E38)</f>
        <v>0</v>
      </c>
      <c r="L121" s="1">
        <f>K121/J121</f>
        <v>0</v>
      </c>
      <c r="M121" s="1">
        <f>K120/J121</f>
        <v>0</v>
      </c>
      <c r="N121" s="2">
        <f>1-(L121+M121)</f>
        <v>1</v>
      </c>
      <c r="O121" s="53">
        <f t="shared" ref="O121:O123" si="0">(L121*6)+(M121*4)+(N121*0)</f>
        <v>0</v>
      </c>
    </row>
    <row r="122" spans="4:15" ht="20.100000000000001" customHeight="1" x14ac:dyDescent="0.25">
      <c r="J122" s="52">
        <f>E40</f>
        <v>100</v>
      </c>
      <c r="K122" s="52">
        <f>MAX(0,E40-E39)</f>
        <v>0</v>
      </c>
      <c r="L122" s="1">
        <f>K122/J122</f>
        <v>0</v>
      </c>
      <c r="M122" s="1">
        <f>K121/J122</f>
        <v>0</v>
      </c>
      <c r="N122" s="2">
        <f>1-(L122+M122)</f>
        <v>1</v>
      </c>
      <c r="O122" s="53">
        <f t="shared" si="0"/>
        <v>0</v>
      </c>
    </row>
    <row r="123" spans="4:15" ht="20.100000000000001" customHeight="1" x14ac:dyDescent="0.25">
      <c r="E123" s="62" t="s">
        <v>164</v>
      </c>
      <c r="F123" s="62" t="s">
        <v>165</v>
      </c>
      <c r="G123" s="62" t="s">
        <v>166</v>
      </c>
      <c r="J123" s="52">
        <f>E41</f>
        <v>100</v>
      </c>
      <c r="K123" s="52">
        <f>MAX(0, E41-E40)</f>
        <v>0</v>
      </c>
      <c r="L123" s="1">
        <f>K123/J123</f>
        <v>0</v>
      </c>
      <c r="M123" s="2">
        <f>K122/J123</f>
        <v>0</v>
      </c>
      <c r="N123" s="2">
        <f>1-(L123+M123)</f>
        <v>1</v>
      </c>
      <c r="O123" s="53">
        <f t="shared" si="0"/>
        <v>0</v>
      </c>
    </row>
    <row r="124" spans="4:15" ht="20.100000000000001" customHeight="1" x14ac:dyDescent="0.25">
      <c r="D124" s="1" t="str">
        <f>E118</f>
        <v>August 2024</v>
      </c>
      <c r="E124" s="46">
        <v>0.25</v>
      </c>
      <c r="F124" s="46">
        <v>0.25</v>
      </c>
      <c r="G124" s="46">
        <v>0.25</v>
      </c>
      <c r="H124" s="2" t="s">
        <v>18</v>
      </c>
      <c r="L124" s="2"/>
      <c r="M124" s="2"/>
      <c r="N124" s="2"/>
      <c r="O124" s="2"/>
    </row>
    <row r="125" spans="4:15" ht="20.100000000000001" customHeight="1" x14ac:dyDescent="0.25">
      <c r="D125" s="1" t="str">
        <f>E119</f>
        <v>September 2024</v>
      </c>
      <c r="E125" s="46">
        <v>0.25</v>
      </c>
      <c r="F125" s="46">
        <v>0.25</v>
      </c>
      <c r="G125" s="46">
        <v>0.25</v>
      </c>
      <c r="H125" s="2" t="s">
        <v>18</v>
      </c>
    </row>
    <row r="126" spans="4:15" ht="20.100000000000001" customHeight="1" x14ac:dyDescent="0.25">
      <c r="D126" s="1" t="str">
        <f>E120</f>
        <v>October 2024</v>
      </c>
      <c r="E126" s="46">
        <v>0.25</v>
      </c>
      <c r="F126" s="46">
        <v>0.25</v>
      </c>
      <c r="G126" s="46">
        <v>0.25</v>
      </c>
      <c r="H126" s="2" t="s">
        <v>18</v>
      </c>
    </row>
    <row r="127" spans="4:15" ht="20.100000000000001" customHeight="1" x14ac:dyDescent="0.25">
      <c r="D127" s="1" t="str">
        <f>"Proportion of cows &gt; 1 years in calf in " &amp; D124 &amp; " to " &amp; D126</f>
        <v>Proportion of cows &gt; 1 years in calf in August 2024 to October 2024</v>
      </c>
      <c r="E127" s="96">
        <f>SUM(E124:E126)</f>
        <v>0.75</v>
      </c>
      <c r="F127" s="96">
        <f>SUM(F124:F126)</f>
        <v>0.75</v>
      </c>
      <c r="G127" s="96">
        <f>SUM(G124:G126)</f>
        <v>0.75</v>
      </c>
      <c r="H127" s="2" t="s">
        <v>18</v>
      </c>
    </row>
    <row r="128" spans="4:15" ht="20.100000000000001" customHeight="1" x14ac:dyDescent="0.25"/>
    <row r="129" spans="4:15" ht="20.100000000000001" customHeight="1" x14ac:dyDescent="0.25">
      <c r="K129" s="2"/>
      <c r="L129" s="2"/>
      <c r="M129" s="2"/>
      <c r="N129" s="2"/>
      <c r="O129" s="2"/>
    </row>
    <row r="130" spans="4:15" ht="20.100000000000001" customHeight="1" x14ac:dyDescent="0.25">
      <c r="D130" s="48" t="s">
        <v>17</v>
      </c>
      <c r="K130" s="2"/>
      <c r="L130" s="2"/>
      <c r="M130" s="2"/>
      <c r="N130" s="2"/>
      <c r="O130" s="2"/>
    </row>
    <row r="131" spans="4:15" ht="20.100000000000001" customHeight="1" x14ac:dyDescent="0.25">
      <c r="D131" s="62" t="s">
        <v>177</v>
      </c>
      <c r="E131" s="62" t="s">
        <v>129</v>
      </c>
      <c r="F131" s="62" t="s">
        <v>128</v>
      </c>
      <c r="G131" s="62" t="s">
        <v>163</v>
      </c>
      <c r="H131" s="62" t="s">
        <v>164</v>
      </c>
      <c r="I131" s="62" t="s">
        <v>165</v>
      </c>
      <c r="J131" s="62" t="s">
        <v>166</v>
      </c>
      <c r="K131" s="62" t="s">
        <v>167</v>
      </c>
      <c r="L131" s="62" t="s">
        <v>168</v>
      </c>
      <c r="M131" s="62" t="s">
        <v>169</v>
      </c>
      <c r="N131" s="62" t="s">
        <v>170</v>
      </c>
    </row>
    <row r="132" spans="4:15" ht="20.100000000000001" customHeight="1" x14ac:dyDescent="0.25">
      <c r="D132" s="1" t="s">
        <v>171</v>
      </c>
      <c r="E132" s="52">
        <v>0.8</v>
      </c>
      <c r="F132" s="52">
        <v>0.8</v>
      </c>
      <c r="G132" s="52">
        <v>0.8</v>
      </c>
      <c r="H132" s="52">
        <v>0.8</v>
      </c>
      <c r="I132" s="52">
        <v>0.8</v>
      </c>
      <c r="J132" s="52">
        <v>0.8</v>
      </c>
      <c r="K132" s="52">
        <v>0.8</v>
      </c>
      <c r="L132" s="52">
        <v>0.8</v>
      </c>
      <c r="M132" s="52">
        <v>0.8</v>
      </c>
      <c r="N132" s="52">
        <v>0.8</v>
      </c>
      <c r="O132" s="2" t="s">
        <v>139</v>
      </c>
    </row>
    <row r="133" spans="4:15" ht="20.100000000000001" customHeight="1" x14ac:dyDescent="0.25">
      <c r="D133" s="1" t="s">
        <v>172</v>
      </c>
      <c r="E133" s="52">
        <v>0.57999999999999996</v>
      </c>
      <c r="F133" s="52">
        <v>0.57999999999999996</v>
      </c>
      <c r="G133" s="52">
        <v>0.57999999999999996</v>
      </c>
      <c r="H133" s="52">
        <v>0.57999999999999996</v>
      </c>
      <c r="I133" s="52">
        <v>0.57999999999999996</v>
      </c>
      <c r="J133" s="52">
        <v>0.57999999999999996</v>
      </c>
      <c r="K133" s="52">
        <v>0.57999999999999996</v>
      </c>
      <c r="L133" s="52">
        <v>0.57999999999999996</v>
      </c>
      <c r="M133" s="52">
        <v>0.57999999999999996</v>
      </c>
      <c r="N133" s="52">
        <v>0.57999999999999996</v>
      </c>
      <c r="O133" s="2" t="s">
        <v>139</v>
      </c>
    </row>
    <row r="134" spans="4:15" ht="20.100000000000001" customHeight="1" x14ac:dyDescent="0.25">
      <c r="D134" s="1" t="s">
        <v>173</v>
      </c>
      <c r="E134" s="52">
        <v>0.5</v>
      </c>
      <c r="F134" s="52">
        <v>0.5</v>
      </c>
      <c r="G134" s="52">
        <v>0.5</v>
      </c>
      <c r="H134" s="52">
        <v>0.5</v>
      </c>
      <c r="I134" s="52">
        <v>0.5</v>
      </c>
      <c r="J134" s="52">
        <v>0.5</v>
      </c>
      <c r="K134" s="52">
        <v>0.5</v>
      </c>
      <c r="L134" s="52">
        <v>0.5</v>
      </c>
      <c r="M134" s="52">
        <v>0.5</v>
      </c>
      <c r="N134" s="52">
        <v>0.5</v>
      </c>
      <c r="O134" s="2" t="s">
        <v>139</v>
      </c>
    </row>
    <row r="135" spans="4:15" ht="20.100000000000001" customHeight="1" x14ac:dyDescent="0.25">
      <c r="D135" s="1" t="s">
        <v>174</v>
      </c>
      <c r="E135" s="52">
        <v>0.75</v>
      </c>
      <c r="F135" s="52">
        <v>0.75</v>
      </c>
      <c r="G135" s="52">
        <v>0.75</v>
      </c>
      <c r="H135" s="52">
        <v>0.75</v>
      </c>
      <c r="I135" s="52">
        <v>0.75</v>
      </c>
      <c r="J135" s="52">
        <v>0.75</v>
      </c>
      <c r="K135" s="52">
        <v>0.75</v>
      </c>
      <c r="L135" s="52">
        <v>0.75</v>
      </c>
      <c r="M135" s="52">
        <v>0.75</v>
      </c>
      <c r="N135" s="52">
        <v>0.75</v>
      </c>
      <c r="O135" s="2" t="s">
        <v>139</v>
      </c>
    </row>
    <row r="136" spans="4:15" ht="20.100000000000001" customHeight="1" x14ac:dyDescent="0.25"/>
    <row r="137" spans="4:15" ht="20.100000000000001" customHeight="1" x14ac:dyDescent="0.25">
      <c r="D137" s="62" t="s">
        <v>178</v>
      </c>
      <c r="E137" s="62" t="s">
        <v>129</v>
      </c>
      <c r="F137" s="62" t="s">
        <v>128</v>
      </c>
      <c r="G137" s="62" t="s">
        <v>163</v>
      </c>
      <c r="H137" s="62" t="s">
        <v>164</v>
      </c>
      <c r="I137" s="62" t="s">
        <v>165</v>
      </c>
      <c r="J137" s="62" t="s">
        <v>166</v>
      </c>
      <c r="K137" s="62" t="s">
        <v>167</v>
      </c>
      <c r="L137" s="62" t="s">
        <v>168</v>
      </c>
      <c r="M137" s="62" t="s">
        <v>169</v>
      </c>
      <c r="N137" s="62" t="s">
        <v>170</v>
      </c>
    </row>
    <row r="138" spans="4:15" ht="20.100000000000001" customHeight="1" x14ac:dyDescent="0.25">
      <c r="D138" s="1" t="str">
        <f>TEXT('Input - Site'!$E$12, "mmmm yyyy")</f>
        <v>January 2025</v>
      </c>
      <c r="E138" s="65">
        <v>0.57999999999999996</v>
      </c>
      <c r="F138" s="65">
        <v>0.57999999999999996</v>
      </c>
      <c r="G138" s="65">
        <v>0.57999999999999996</v>
      </c>
      <c r="H138" s="65">
        <v>0.57999999999999996</v>
      </c>
      <c r="I138" s="65">
        <v>0.57999999999999996</v>
      </c>
      <c r="J138" s="65">
        <v>0.57999999999999996</v>
      </c>
      <c r="K138" s="65">
        <v>0.57999999999999996</v>
      </c>
      <c r="L138" s="65">
        <v>0.57999999999999996</v>
      </c>
      <c r="M138" s="65">
        <v>0.57999999999999996</v>
      </c>
      <c r="N138" s="65">
        <v>0.57999999999999996</v>
      </c>
      <c r="O138" s="2" t="s">
        <v>139</v>
      </c>
    </row>
    <row r="139" spans="4:15" ht="20.100000000000001" customHeight="1" x14ac:dyDescent="0.25">
      <c r="D139" s="1" t="str">
        <f>TEXT(EDATE('Input - Site'!$E$12,1), "mmmm yyyy")</f>
        <v>February 2025</v>
      </c>
      <c r="E139" s="65">
        <v>0.57999999999999996</v>
      </c>
      <c r="F139" s="65">
        <v>0.57999999999999996</v>
      </c>
      <c r="G139" s="65">
        <v>0.57999999999999996</v>
      </c>
      <c r="H139" s="65">
        <v>0.57999999999999996</v>
      </c>
      <c r="I139" s="65">
        <v>0.57999999999999996</v>
      </c>
      <c r="J139" s="65">
        <v>0.57999999999999996</v>
      </c>
      <c r="K139" s="65">
        <v>0.57999999999999996</v>
      </c>
      <c r="L139" s="65">
        <v>0.57999999999999996</v>
      </c>
      <c r="M139" s="65">
        <v>0.57999999999999996</v>
      </c>
      <c r="N139" s="65">
        <v>0.57999999999999996</v>
      </c>
      <c r="O139" s="2" t="s">
        <v>139</v>
      </c>
    </row>
    <row r="140" spans="4:15" ht="20.100000000000001" customHeight="1" x14ac:dyDescent="0.25">
      <c r="D140" s="1" t="str">
        <f>TEXT(EDATE('Input - Site'!$E$12,2), "mmmm yyyy")</f>
        <v>March 2025</v>
      </c>
      <c r="E140" s="65">
        <v>0.5</v>
      </c>
      <c r="F140" s="65">
        <v>0.5</v>
      </c>
      <c r="G140" s="65">
        <v>0.5</v>
      </c>
      <c r="H140" s="65">
        <v>0.5</v>
      </c>
      <c r="I140" s="65">
        <v>0.5</v>
      </c>
      <c r="J140" s="65">
        <v>0.5</v>
      </c>
      <c r="K140" s="65">
        <v>0.5</v>
      </c>
      <c r="L140" s="65">
        <v>0.5</v>
      </c>
      <c r="M140" s="65">
        <v>0.5</v>
      </c>
      <c r="N140" s="65">
        <v>0.5</v>
      </c>
      <c r="O140" s="2" t="s">
        <v>139</v>
      </c>
    </row>
    <row r="141" spans="4:15" ht="20.100000000000001" customHeight="1" x14ac:dyDescent="0.25">
      <c r="D141" s="1" t="str">
        <f>TEXT(EDATE('Input - Site'!$E$12,3), "mmmm yyyy")</f>
        <v>April 2025</v>
      </c>
      <c r="E141" s="65">
        <v>0.5</v>
      </c>
      <c r="F141" s="65">
        <v>0.5</v>
      </c>
      <c r="G141" s="65">
        <v>0.5</v>
      </c>
      <c r="H141" s="65">
        <v>0.5</v>
      </c>
      <c r="I141" s="65">
        <v>0.5</v>
      </c>
      <c r="J141" s="65">
        <v>0.5</v>
      </c>
      <c r="K141" s="65">
        <v>0.5</v>
      </c>
      <c r="L141" s="65">
        <v>0.5</v>
      </c>
      <c r="M141" s="65">
        <v>0.5</v>
      </c>
      <c r="N141" s="65">
        <v>0.5</v>
      </c>
      <c r="O141" s="2" t="s">
        <v>139</v>
      </c>
    </row>
    <row r="142" spans="4:15" ht="20.100000000000001" customHeight="1" x14ac:dyDescent="0.25">
      <c r="D142" s="1" t="str">
        <f>TEXT(EDATE('Input - Site'!$E$12,4), "mmmm yyyy")</f>
        <v>May 2025</v>
      </c>
      <c r="E142" s="65">
        <v>0.5</v>
      </c>
      <c r="F142" s="65">
        <v>0.5</v>
      </c>
      <c r="G142" s="65">
        <v>0.5</v>
      </c>
      <c r="H142" s="65">
        <v>0.5</v>
      </c>
      <c r="I142" s="65">
        <v>0.5</v>
      </c>
      <c r="J142" s="65">
        <v>0.5</v>
      </c>
      <c r="K142" s="65">
        <v>0.5</v>
      </c>
      <c r="L142" s="65">
        <v>0.5</v>
      </c>
      <c r="M142" s="65">
        <v>0.5</v>
      </c>
      <c r="N142" s="65">
        <v>0.5</v>
      </c>
      <c r="O142" s="2" t="s">
        <v>139</v>
      </c>
    </row>
    <row r="143" spans="4:15" ht="20.100000000000001" customHeight="1" x14ac:dyDescent="0.25">
      <c r="D143" s="1" t="str">
        <f>TEXT(EDATE('Input - Site'!$E$12,5), "mmmm yyyy")</f>
        <v>June 2025</v>
      </c>
      <c r="E143" s="65">
        <v>0.75</v>
      </c>
      <c r="F143" s="65">
        <v>0.75</v>
      </c>
      <c r="G143" s="65">
        <v>0.75</v>
      </c>
      <c r="H143" s="65">
        <v>0.75</v>
      </c>
      <c r="I143" s="65">
        <v>0.75</v>
      </c>
      <c r="J143" s="65">
        <v>0.75</v>
      </c>
      <c r="K143" s="65">
        <v>0.75</v>
      </c>
      <c r="L143" s="65">
        <v>0.75</v>
      </c>
      <c r="M143" s="65">
        <v>0.75</v>
      </c>
      <c r="N143" s="65">
        <v>0.75</v>
      </c>
      <c r="O143" s="2" t="s">
        <v>139</v>
      </c>
    </row>
    <row r="144" spans="4:15" ht="20.100000000000001" customHeight="1" x14ac:dyDescent="0.25">
      <c r="D144" s="1" t="str">
        <f>TEXT(EDATE('Input - Site'!$E$12,6), "mmmm yyyy")</f>
        <v>July 2025</v>
      </c>
      <c r="E144" s="65">
        <v>0.75</v>
      </c>
      <c r="F144" s="65">
        <v>0.75</v>
      </c>
      <c r="G144" s="65">
        <v>0.75</v>
      </c>
      <c r="H144" s="65">
        <v>0.75</v>
      </c>
      <c r="I144" s="65">
        <v>0.75</v>
      </c>
      <c r="J144" s="65">
        <v>0.75</v>
      </c>
      <c r="K144" s="65">
        <v>0.75</v>
      </c>
      <c r="L144" s="65">
        <v>0.75</v>
      </c>
      <c r="M144" s="65">
        <v>0.75</v>
      </c>
      <c r="N144" s="65">
        <v>0.75</v>
      </c>
      <c r="O144" s="2" t="s">
        <v>139</v>
      </c>
    </row>
    <row r="145" spans="4:15" ht="20.100000000000001" customHeight="1" x14ac:dyDescent="0.25">
      <c r="D145" s="1" t="str">
        <f>TEXT(EDATE('Input - Site'!$E$12,7), "mmmm yyyy")</f>
        <v>August 2025</v>
      </c>
      <c r="E145" s="65">
        <v>0.75</v>
      </c>
      <c r="F145" s="65">
        <v>0.75</v>
      </c>
      <c r="G145" s="65">
        <v>0.75</v>
      </c>
      <c r="H145" s="65">
        <v>0.75</v>
      </c>
      <c r="I145" s="65">
        <v>0.75</v>
      </c>
      <c r="J145" s="65">
        <v>0.75</v>
      </c>
      <c r="K145" s="65">
        <v>0.75</v>
      </c>
      <c r="L145" s="65">
        <v>0.75</v>
      </c>
      <c r="M145" s="65">
        <v>0.75</v>
      </c>
      <c r="N145" s="65">
        <v>0.75</v>
      </c>
      <c r="O145" s="2" t="s">
        <v>139</v>
      </c>
    </row>
    <row r="146" spans="4:15" ht="20.100000000000001" customHeight="1" x14ac:dyDescent="0.25">
      <c r="D146" s="1" t="str">
        <f>TEXT(EDATE('Input - Site'!$E$12,8), "mmmm yyyy")</f>
        <v>September 2025</v>
      </c>
      <c r="E146" s="65">
        <v>0.8</v>
      </c>
      <c r="F146" s="65">
        <v>0.8</v>
      </c>
      <c r="G146" s="65">
        <v>0.8</v>
      </c>
      <c r="H146" s="65">
        <v>0.8</v>
      </c>
      <c r="I146" s="65">
        <v>0.8</v>
      </c>
      <c r="J146" s="65">
        <v>0.8</v>
      </c>
      <c r="K146" s="65">
        <v>0.8</v>
      </c>
      <c r="L146" s="65">
        <v>0.8</v>
      </c>
      <c r="M146" s="65">
        <v>0.8</v>
      </c>
      <c r="N146" s="65">
        <v>0.8</v>
      </c>
      <c r="O146" s="2" t="s">
        <v>139</v>
      </c>
    </row>
    <row r="147" spans="4:15" ht="20.100000000000001" customHeight="1" x14ac:dyDescent="0.25">
      <c r="D147" s="1" t="str">
        <f>TEXT(EDATE('Input - Site'!$E$12,9), "mmmm yyyy")</f>
        <v>October 2025</v>
      </c>
      <c r="E147" s="65">
        <v>0.8</v>
      </c>
      <c r="F147" s="65">
        <v>0.8</v>
      </c>
      <c r="G147" s="65">
        <v>0.8</v>
      </c>
      <c r="H147" s="65">
        <v>0.8</v>
      </c>
      <c r="I147" s="65">
        <v>0.8</v>
      </c>
      <c r="J147" s="65">
        <v>0.8</v>
      </c>
      <c r="K147" s="65">
        <v>0.8</v>
      </c>
      <c r="L147" s="65">
        <v>0.8</v>
      </c>
      <c r="M147" s="65">
        <v>0.8</v>
      </c>
      <c r="N147" s="65">
        <v>0.8</v>
      </c>
      <c r="O147" s="2" t="s">
        <v>139</v>
      </c>
    </row>
    <row r="148" spans="4:15" ht="20.100000000000001" customHeight="1" x14ac:dyDescent="0.25">
      <c r="D148" s="1" t="str">
        <f>TEXT(EDATE('Input - Site'!$E$12,10), "mmmm yyyy")</f>
        <v>November 2025</v>
      </c>
      <c r="E148" s="65">
        <v>0.8</v>
      </c>
      <c r="F148" s="65">
        <v>0.8</v>
      </c>
      <c r="G148" s="65">
        <v>0.8</v>
      </c>
      <c r="H148" s="65">
        <v>0.8</v>
      </c>
      <c r="I148" s="65">
        <v>0.8</v>
      </c>
      <c r="J148" s="65">
        <v>0.8</v>
      </c>
      <c r="K148" s="65">
        <v>0.8</v>
      </c>
      <c r="L148" s="65">
        <v>0.8</v>
      </c>
      <c r="M148" s="65">
        <v>0.8</v>
      </c>
      <c r="N148" s="65">
        <v>0.8</v>
      </c>
      <c r="O148" s="2" t="s">
        <v>139</v>
      </c>
    </row>
    <row r="149" spans="4:15" ht="20.100000000000001" customHeight="1" x14ac:dyDescent="0.25">
      <c r="D149" s="1" t="str">
        <f>TEXT(EDATE('Input - Site'!$E$12,11), "mmmm yyyy")</f>
        <v>December 2025</v>
      </c>
      <c r="E149" s="65">
        <v>0.57999999999999996</v>
      </c>
      <c r="F149" s="65">
        <v>0.57999999999999996</v>
      </c>
      <c r="G149" s="65">
        <v>0.57999999999999996</v>
      </c>
      <c r="H149" s="65">
        <v>0.57999999999999996</v>
      </c>
      <c r="I149" s="65">
        <v>0.57999999999999996</v>
      </c>
      <c r="J149" s="65">
        <v>0.57999999999999996</v>
      </c>
      <c r="K149" s="65">
        <v>0.57999999999999996</v>
      </c>
      <c r="L149" s="65">
        <v>0.57999999999999996</v>
      </c>
      <c r="M149" s="65">
        <v>0.57999999999999996</v>
      </c>
      <c r="N149" s="65">
        <v>0.57999999999999996</v>
      </c>
      <c r="O149" s="2" t="s">
        <v>139</v>
      </c>
    </row>
    <row r="150" spans="4:15" ht="20.100000000000001" customHeight="1" x14ac:dyDescent="0.25"/>
    <row r="151" spans="4:15" ht="20.100000000000001" customHeight="1" x14ac:dyDescent="0.25"/>
    <row r="152" spans="4:15" ht="20.100000000000001" customHeight="1" x14ac:dyDescent="0.25">
      <c r="D152" s="48" t="s">
        <v>103</v>
      </c>
      <c r="K152" s="2"/>
      <c r="L152" s="2"/>
      <c r="M152" s="2"/>
      <c r="N152" s="2"/>
      <c r="O152" s="2"/>
    </row>
    <row r="153" spans="4:15" ht="20.100000000000001" customHeight="1" x14ac:dyDescent="0.25">
      <c r="D153" s="62" t="s">
        <v>177</v>
      </c>
      <c r="E153" s="62" t="s">
        <v>129</v>
      </c>
      <c r="F153" s="62" t="s">
        <v>128</v>
      </c>
      <c r="G153" s="62" t="s">
        <v>163</v>
      </c>
      <c r="H153" s="62" t="s">
        <v>164</v>
      </c>
      <c r="I153" s="62" t="s">
        <v>165</v>
      </c>
      <c r="J153" s="62" t="s">
        <v>166</v>
      </c>
      <c r="K153" s="62" t="s">
        <v>167</v>
      </c>
      <c r="L153" s="62" t="s">
        <v>168</v>
      </c>
      <c r="M153" s="62" t="s">
        <v>169</v>
      </c>
      <c r="N153" s="62" t="s">
        <v>170</v>
      </c>
    </row>
    <row r="154" spans="4:15" ht="20.100000000000001" customHeight="1" x14ac:dyDescent="0.25">
      <c r="D154" s="1" t="s">
        <v>171</v>
      </c>
      <c r="E154" s="52">
        <v>0.2</v>
      </c>
      <c r="F154" s="52">
        <v>0.2</v>
      </c>
      <c r="G154" s="52">
        <v>0.2</v>
      </c>
      <c r="H154" s="52">
        <v>0.2</v>
      </c>
      <c r="I154" s="52">
        <v>0.2</v>
      </c>
      <c r="J154" s="52">
        <v>0.2</v>
      </c>
      <c r="K154" s="52">
        <v>0.2</v>
      </c>
      <c r="L154" s="52">
        <v>0.2</v>
      </c>
      <c r="M154" s="52">
        <v>0.2</v>
      </c>
      <c r="N154" s="52">
        <v>0.2</v>
      </c>
      <c r="O154" s="2" t="s">
        <v>139</v>
      </c>
    </row>
    <row r="155" spans="4:15" ht="20.100000000000001" customHeight="1" x14ac:dyDescent="0.25">
      <c r="D155" s="1" t="s">
        <v>172</v>
      </c>
      <c r="E155" s="52">
        <v>0.09</v>
      </c>
      <c r="F155" s="52">
        <v>0.09</v>
      </c>
      <c r="G155" s="52">
        <v>0.09</v>
      </c>
      <c r="H155" s="52">
        <v>0.09</v>
      </c>
      <c r="I155" s="52">
        <v>0.09</v>
      </c>
      <c r="J155" s="52">
        <v>0.09</v>
      </c>
      <c r="K155" s="52">
        <v>0.09</v>
      </c>
      <c r="L155" s="52">
        <v>0.09</v>
      </c>
      <c r="M155" s="52">
        <v>0.09</v>
      </c>
      <c r="N155" s="52">
        <v>0.09</v>
      </c>
      <c r="O155" s="2" t="s">
        <v>139</v>
      </c>
    </row>
    <row r="156" spans="4:15" ht="20.100000000000001" customHeight="1" x14ac:dyDescent="0.25">
      <c r="D156" s="1" t="s">
        <v>173</v>
      </c>
      <c r="E156" s="52">
        <v>0.06</v>
      </c>
      <c r="F156" s="52">
        <v>0.06</v>
      </c>
      <c r="G156" s="52">
        <v>0.06</v>
      </c>
      <c r="H156" s="52">
        <v>0.06</v>
      </c>
      <c r="I156" s="52">
        <v>0.06</v>
      </c>
      <c r="J156" s="52">
        <v>0.06</v>
      </c>
      <c r="K156" s="52">
        <v>0.06</v>
      </c>
      <c r="L156" s="52">
        <v>0.06</v>
      </c>
      <c r="M156" s="52">
        <v>0.06</v>
      </c>
      <c r="N156" s="52">
        <v>0.06</v>
      </c>
      <c r="O156" s="2" t="s">
        <v>139</v>
      </c>
    </row>
    <row r="157" spans="4:15" ht="20.100000000000001" customHeight="1" x14ac:dyDescent="0.25">
      <c r="D157" s="1" t="s">
        <v>174</v>
      </c>
      <c r="E157" s="52">
        <v>0.2</v>
      </c>
      <c r="F157" s="52">
        <v>0.2</v>
      </c>
      <c r="G157" s="52">
        <v>0.2</v>
      </c>
      <c r="H157" s="52">
        <v>0.2</v>
      </c>
      <c r="I157" s="52">
        <v>0.2</v>
      </c>
      <c r="J157" s="52">
        <v>0.2</v>
      </c>
      <c r="K157" s="52">
        <v>0.2</v>
      </c>
      <c r="L157" s="52">
        <v>0.2</v>
      </c>
      <c r="M157" s="52">
        <v>0.2</v>
      </c>
      <c r="N157" s="52">
        <v>0.2</v>
      </c>
      <c r="O157" s="2" t="s">
        <v>139</v>
      </c>
    </row>
    <row r="158" spans="4:15" ht="20.100000000000001" customHeight="1" x14ac:dyDescent="0.25"/>
    <row r="159" spans="4:15" ht="20.100000000000001" customHeight="1" x14ac:dyDescent="0.25">
      <c r="D159" s="62" t="s">
        <v>178</v>
      </c>
      <c r="E159" s="62" t="s">
        <v>129</v>
      </c>
      <c r="F159" s="62" t="s">
        <v>128</v>
      </c>
      <c r="G159" s="62" t="s">
        <v>163</v>
      </c>
      <c r="H159" s="62" t="s">
        <v>164</v>
      </c>
      <c r="I159" s="62" t="s">
        <v>165</v>
      </c>
      <c r="J159" s="62" t="s">
        <v>166</v>
      </c>
      <c r="K159" s="62" t="s">
        <v>167</v>
      </c>
      <c r="L159" s="62" t="s">
        <v>168</v>
      </c>
      <c r="M159" s="62" t="s">
        <v>169</v>
      </c>
      <c r="N159" s="62" t="s">
        <v>170</v>
      </c>
    </row>
    <row r="160" spans="4:15" ht="20.100000000000001" customHeight="1" x14ac:dyDescent="0.25">
      <c r="D160" s="1" t="str">
        <f>TEXT('Input - Site'!$E$12, "mmmm yyyy")</f>
        <v>January 2025</v>
      </c>
      <c r="E160" s="65">
        <v>0.09</v>
      </c>
      <c r="F160" s="65">
        <v>0.09</v>
      </c>
      <c r="G160" s="65">
        <v>0.09</v>
      </c>
      <c r="H160" s="65">
        <v>0.09</v>
      </c>
      <c r="I160" s="65">
        <v>0.09</v>
      </c>
      <c r="J160" s="65">
        <v>0.09</v>
      </c>
      <c r="K160" s="65">
        <v>0.09</v>
      </c>
      <c r="L160" s="65">
        <v>0.09</v>
      </c>
      <c r="M160" s="65">
        <v>0.09</v>
      </c>
      <c r="N160" s="65">
        <v>0.09</v>
      </c>
      <c r="O160" s="2" t="s">
        <v>139</v>
      </c>
    </row>
    <row r="161" spans="4:15" ht="20.100000000000001" customHeight="1" x14ac:dyDescent="0.25">
      <c r="D161" s="1" t="str">
        <f>TEXT(EDATE('Input - Site'!$E$12,1), "mmmm yyyy")</f>
        <v>February 2025</v>
      </c>
      <c r="E161" s="65">
        <v>0.09</v>
      </c>
      <c r="F161" s="65">
        <v>0.09</v>
      </c>
      <c r="G161" s="65">
        <v>0.09</v>
      </c>
      <c r="H161" s="65">
        <v>0.09</v>
      </c>
      <c r="I161" s="65">
        <v>0.09</v>
      </c>
      <c r="J161" s="65">
        <v>0.09</v>
      </c>
      <c r="K161" s="65">
        <v>0.09</v>
      </c>
      <c r="L161" s="65">
        <v>0.09</v>
      </c>
      <c r="M161" s="65">
        <v>0.09</v>
      </c>
      <c r="N161" s="65">
        <v>0.09</v>
      </c>
      <c r="O161" s="2" t="s">
        <v>139</v>
      </c>
    </row>
    <row r="162" spans="4:15" ht="20.100000000000001" customHeight="1" x14ac:dyDescent="0.25">
      <c r="D162" s="1" t="str">
        <f>TEXT(EDATE('Input - Site'!$E$12,2), "mmmm yyyy")</f>
        <v>March 2025</v>
      </c>
      <c r="E162" s="65">
        <v>0.06</v>
      </c>
      <c r="F162" s="65">
        <v>0.06</v>
      </c>
      <c r="G162" s="65">
        <v>0.06</v>
      </c>
      <c r="H162" s="65">
        <v>0.06</v>
      </c>
      <c r="I162" s="65">
        <v>0.06</v>
      </c>
      <c r="J162" s="65">
        <v>0.06</v>
      </c>
      <c r="K162" s="65">
        <v>0.06</v>
      </c>
      <c r="L162" s="65">
        <v>0.06</v>
      </c>
      <c r="M162" s="65">
        <v>0.06</v>
      </c>
      <c r="N162" s="65">
        <v>0.06</v>
      </c>
      <c r="O162" s="2" t="s">
        <v>139</v>
      </c>
    </row>
    <row r="163" spans="4:15" ht="20.100000000000001" customHeight="1" x14ac:dyDescent="0.25">
      <c r="D163" s="1" t="str">
        <f>TEXT(EDATE('Input - Site'!$E$12,3), "mmmm yyyy")</f>
        <v>April 2025</v>
      </c>
      <c r="E163" s="65">
        <v>0.06</v>
      </c>
      <c r="F163" s="65">
        <v>0.06</v>
      </c>
      <c r="G163" s="65">
        <v>0.06</v>
      </c>
      <c r="H163" s="65">
        <v>0.06</v>
      </c>
      <c r="I163" s="65">
        <v>0.06</v>
      </c>
      <c r="J163" s="65">
        <v>0.06</v>
      </c>
      <c r="K163" s="65">
        <v>0.06</v>
      </c>
      <c r="L163" s="65">
        <v>0.06</v>
      </c>
      <c r="M163" s="65">
        <v>0.06</v>
      </c>
      <c r="N163" s="65">
        <v>0.06</v>
      </c>
      <c r="O163" s="2" t="s">
        <v>139</v>
      </c>
    </row>
    <row r="164" spans="4:15" ht="20.100000000000001" customHeight="1" x14ac:dyDescent="0.25">
      <c r="D164" s="1" t="str">
        <f>TEXT(EDATE('Input - Site'!$E$12,4), "mmmm yyyy")</f>
        <v>May 2025</v>
      </c>
      <c r="E164" s="65">
        <v>0.06</v>
      </c>
      <c r="F164" s="65">
        <v>0.06</v>
      </c>
      <c r="G164" s="65">
        <v>0.06</v>
      </c>
      <c r="H164" s="65">
        <v>0.06</v>
      </c>
      <c r="I164" s="65">
        <v>0.06</v>
      </c>
      <c r="J164" s="65">
        <v>0.06</v>
      </c>
      <c r="K164" s="65">
        <v>0.06</v>
      </c>
      <c r="L164" s="65">
        <v>0.06</v>
      </c>
      <c r="M164" s="65">
        <v>0.06</v>
      </c>
      <c r="N164" s="65">
        <v>0.06</v>
      </c>
      <c r="O164" s="2" t="s">
        <v>139</v>
      </c>
    </row>
    <row r="165" spans="4:15" ht="20.100000000000001" customHeight="1" x14ac:dyDescent="0.25">
      <c r="D165" s="1" t="str">
        <f>TEXT(EDATE('Input - Site'!$E$12,5), "mmmm yyyy")</f>
        <v>June 2025</v>
      </c>
      <c r="E165" s="65">
        <v>0.2</v>
      </c>
      <c r="F165" s="65">
        <v>0.2</v>
      </c>
      <c r="G165" s="65">
        <v>0.2</v>
      </c>
      <c r="H165" s="65">
        <v>0.2</v>
      </c>
      <c r="I165" s="65">
        <v>0.2</v>
      </c>
      <c r="J165" s="65">
        <v>0.2</v>
      </c>
      <c r="K165" s="65">
        <v>0.2</v>
      </c>
      <c r="L165" s="65">
        <v>0.2</v>
      </c>
      <c r="M165" s="65">
        <v>0.2</v>
      </c>
      <c r="N165" s="65">
        <v>0.2</v>
      </c>
      <c r="O165" s="2" t="s">
        <v>139</v>
      </c>
    </row>
    <row r="166" spans="4:15" x14ac:dyDescent="0.25">
      <c r="D166" s="1" t="str">
        <f>TEXT(EDATE('Input - Site'!$E$12,6), "mmmm yyyy")</f>
        <v>July 2025</v>
      </c>
      <c r="E166" s="65">
        <v>0.2</v>
      </c>
      <c r="F166" s="65">
        <v>0.2</v>
      </c>
      <c r="G166" s="65">
        <v>0.2</v>
      </c>
      <c r="H166" s="65">
        <v>0.2</v>
      </c>
      <c r="I166" s="65">
        <v>0.2</v>
      </c>
      <c r="J166" s="65">
        <v>0.2</v>
      </c>
      <c r="K166" s="65">
        <v>0.2</v>
      </c>
      <c r="L166" s="65">
        <v>0.2</v>
      </c>
      <c r="M166" s="65">
        <v>0.2</v>
      </c>
      <c r="N166" s="65">
        <v>0.2</v>
      </c>
      <c r="O166" s="2" t="s">
        <v>139</v>
      </c>
    </row>
    <row r="167" spans="4:15" x14ac:dyDescent="0.25">
      <c r="D167" s="1" t="str">
        <f>TEXT(EDATE('Input - Site'!$E$12,7), "mmmm yyyy")</f>
        <v>August 2025</v>
      </c>
      <c r="E167" s="65">
        <v>0.2</v>
      </c>
      <c r="F167" s="65">
        <v>0.2</v>
      </c>
      <c r="G167" s="65">
        <v>0.2</v>
      </c>
      <c r="H167" s="65">
        <v>0.2</v>
      </c>
      <c r="I167" s="65">
        <v>0.2</v>
      </c>
      <c r="J167" s="65">
        <v>0.2</v>
      </c>
      <c r="K167" s="65">
        <v>0.2</v>
      </c>
      <c r="L167" s="65">
        <v>0.2</v>
      </c>
      <c r="M167" s="65">
        <v>0.2</v>
      </c>
      <c r="N167" s="65">
        <v>0.2</v>
      </c>
      <c r="O167" s="2" t="s">
        <v>139</v>
      </c>
    </row>
    <row r="168" spans="4:15" x14ac:dyDescent="0.25">
      <c r="D168" s="1" t="str">
        <f>TEXT(EDATE('Input - Site'!$E$12,8), "mmmm yyyy")</f>
        <v>September 2025</v>
      </c>
      <c r="E168" s="65">
        <v>0.2</v>
      </c>
      <c r="F168" s="65">
        <v>0.2</v>
      </c>
      <c r="G168" s="65">
        <v>0.2</v>
      </c>
      <c r="H168" s="65">
        <v>0.2</v>
      </c>
      <c r="I168" s="65">
        <v>0.2</v>
      </c>
      <c r="J168" s="65">
        <v>0.2</v>
      </c>
      <c r="K168" s="65">
        <v>0.2</v>
      </c>
      <c r="L168" s="65">
        <v>0.2</v>
      </c>
      <c r="M168" s="65">
        <v>0.2</v>
      </c>
      <c r="N168" s="65">
        <v>0.2</v>
      </c>
      <c r="O168" s="2" t="s">
        <v>139</v>
      </c>
    </row>
    <row r="169" spans="4:15" x14ac:dyDescent="0.25">
      <c r="D169" s="1" t="str">
        <f>TEXT(EDATE('Input - Site'!$E$12,9), "mmmm yyyy")</f>
        <v>October 2025</v>
      </c>
      <c r="E169" s="65">
        <v>0.2</v>
      </c>
      <c r="F169" s="65">
        <v>0.2</v>
      </c>
      <c r="G169" s="65">
        <v>0.2</v>
      </c>
      <c r="H169" s="65">
        <v>0.2</v>
      </c>
      <c r="I169" s="65">
        <v>0.2</v>
      </c>
      <c r="J169" s="65">
        <v>0.2</v>
      </c>
      <c r="K169" s="65">
        <v>0.2</v>
      </c>
      <c r="L169" s="65">
        <v>0.2</v>
      </c>
      <c r="M169" s="65">
        <v>0.2</v>
      </c>
      <c r="N169" s="65">
        <v>0.2</v>
      </c>
      <c r="O169" s="2" t="s">
        <v>139</v>
      </c>
    </row>
    <row r="170" spans="4:15" x14ac:dyDescent="0.25">
      <c r="D170" s="1" t="str">
        <f>TEXT(EDATE('Input - Site'!$E$12,10), "mmmm yyyy")</f>
        <v>November 2025</v>
      </c>
      <c r="E170" s="65">
        <v>0.2</v>
      </c>
      <c r="F170" s="65">
        <v>0.2</v>
      </c>
      <c r="G170" s="65">
        <v>0.2</v>
      </c>
      <c r="H170" s="65">
        <v>0.2</v>
      </c>
      <c r="I170" s="65">
        <v>0.2</v>
      </c>
      <c r="J170" s="65">
        <v>0.2</v>
      </c>
      <c r="K170" s="65">
        <v>0.2</v>
      </c>
      <c r="L170" s="65">
        <v>0.2</v>
      </c>
      <c r="M170" s="65">
        <v>0.2</v>
      </c>
      <c r="N170" s="65">
        <v>0.2</v>
      </c>
      <c r="O170" s="2" t="s">
        <v>139</v>
      </c>
    </row>
    <row r="171" spans="4:15" x14ac:dyDescent="0.25">
      <c r="D171" s="1" t="str">
        <f>TEXT(EDATE('Input - Site'!$E$12,11), "mmmm yyyy")</f>
        <v>December 2025</v>
      </c>
      <c r="E171" s="65">
        <v>0.09</v>
      </c>
      <c r="F171" s="65">
        <v>0.09</v>
      </c>
      <c r="G171" s="65">
        <v>0.09</v>
      </c>
      <c r="H171" s="65">
        <v>0.09</v>
      </c>
      <c r="I171" s="65">
        <v>0.09</v>
      </c>
      <c r="J171" s="65">
        <v>0.09</v>
      </c>
      <c r="K171" s="65">
        <v>0.09</v>
      </c>
      <c r="L171" s="65">
        <v>0.09</v>
      </c>
      <c r="M171" s="65">
        <v>0.09</v>
      </c>
      <c r="N171" s="65">
        <v>0.09</v>
      </c>
      <c r="O171" s="2" t="s">
        <v>139</v>
      </c>
    </row>
    <row r="172" spans="4:15" x14ac:dyDescent="0.25">
      <c r="L172" s="2"/>
      <c r="M172" s="2"/>
      <c r="N172" s="2"/>
      <c r="O172" s="2"/>
    </row>
    <row r="173" spans="4:15" x14ac:dyDescent="0.25">
      <c r="L173" s="2"/>
      <c r="M173" s="2"/>
      <c r="N173" s="2"/>
      <c r="O173" s="2"/>
    </row>
    <row r="174" spans="4:15" ht="18.75" x14ac:dyDescent="0.25">
      <c r="D174" s="48" t="s">
        <v>261</v>
      </c>
      <c r="L174" s="2"/>
      <c r="M174" s="2"/>
      <c r="N174" s="2"/>
      <c r="O174" s="2"/>
    </row>
    <row r="176" spans="4:15" x14ac:dyDescent="0.25">
      <c r="D176" s="1" t="s">
        <v>262</v>
      </c>
      <c r="E176" s="39" t="s">
        <v>137</v>
      </c>
      <c r="F176" s="2" t="s">
        <v>10</v>
      </c>
      <c r="L176" s="2"/>
      <c r="M176" s="2"/>
      <c r="N176" s="2"/>
      <c r="O176" s="2"/>
    </row>
    <row r="178" spans="4:15" x14ac:dyDescent="0.25">
      <c r="D178" s="62" t="s">
        <v>20</v>
      </c>
      <c r="E178" s="62" t="s">
        <v>263</v>
      </c>
      <c r="L178" s="2"/>
      <c r="M178" s="2"/>
      <c r="N178" s="2"/>
      <c r="O178" s="2"/>
    </row>
    <row r="179" spans="4:15" x14ac:dyDescent="0.25">
      <c r="D179" s="1" t="s">
        <v>136</v>
      </c>
      <c r="E179" s="117">
        <f>IF($E$176="Yes",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9" s="2" t="s">
        <v>18</v>
      </c>
      <c r="L179" s="2"/>
      <c r="M179" s="2"/>
      <c r="N179" s="2"/>
      <c r="O179" s="2"/>
    </row>
    <row r="180" spans="4:15" x14ac:dyDescent="0.25">
      <c r="D180" s="1" t="s">
        <v>264</v>
      </c>
      <c r="E180" s="117">
        <f>IF($E$176="Yes",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0" s="2" t="s">
        <v>18</v>
      </c>
      <c r="L180" s="2"/>
      <c r="M180" s="2"/>
      <c r="N180" s="2"/>
      <c r="O180" s="2"/>
    </row>
    <row r="181" spans="4:15" x14ac:dyDescent="0.25">
      <c r="L181" s="2"/>
      <c r="M181" s="2"/>
      <c r="N181" s="2"/>
      <c r="O181" s="2"/>
    </row>
    <row r="183" spans="4:15" x14ac:dyDescent="0.25">
      <c r="D183" s="1" t="s">
        <v>318</v>
      </c>
      <c r="E183" s="39" t="s">
        <v>323</v>
      </c>
      <c r="F183" s="2" t="s">
        <v>10</v>
      </c>
      <c r="L183" s="2"/>
      <c r="M183" s="2"/>
      <c r="N183" s="2"/>
      <c r="O183" s="2"/>
    </row>
    <row r="184" spans="4:15" x14ac:dyDescent="0.25">
      <c r="E184" s="39" t="s">
        <v>119</v>
      </c>
      <c r="F184" s="2" t="s">
        <v>10</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102:O102 L109:O110 M123:N123 I124 L124:O124 L172:O174 L176:O176 L178:O181 L183:O183 L199:O199 L202:O202 L207:O210 L212:O212 L214:O217 L219:O219 J223:J225 J228:J230 J243:K243 J248:K248 J253:K253 J258:K262 J264:K264 J266:K269 J271:K271 J277:K277 J282:K282 J287:K287 J292:K296 J298:K298 J300:K303 J305:K305">
    <cfRule type="cellIs" dxfId="12" priority="36" operator="lessThan">
      <formula>0</formula>
    </cfRule>
  </conditionalFormatting>
  <conditionalFormatting sqref="F245:F246">
    <cfRule type="cellIs" dxfId="11" priority="27" operator="lessThan">
      <formula>0</formula>
    </cfRule>
  </conditionalFormatting>
  <conditionalFormatting sqref="F250:F251">
    <cfRule type="cellIs" dxfId="10" priority="26" operator="lessThan">
      <formula>0</formula>
    </cfRule>
  </conditionalFormatting>
  <conditionalFormatting sqref="F255:F256">
    <cfRule type="cellIs" dxfId="9" priority="25" operator="lessThan">
      <formula>0</formula>
    </cfRule>
  </conditionalFormatting>
  <conditionalFormatting sqref="F279:F280">
    <cfRule type="cellIs" dxfId="8" priority="19" operator="lessThan">
      <formula>0</formula>
    </cfRule>
  </conditionalFormatting>
  <conditionalFormatting sqref="F284:F285">
    <cfRule type="cellIs" dxfId="7" priority="18" operator="lessThan">
      <formula>0</formula>
    </cfRule>
  </conditionalFormatting>
  <conditionalFormatting sqref="F289:F290">
    <cfRule type="cellIs" dxfId="6" priority="17" operator="lessThan">
      <formula>0</formula>
    </cfRule>
  </conditionalFormatting>
  <conditionalFormatting sqref="H123:K123">
    <cfRule type="cellIs" dxfId="5" priority="7" operator="lessThan">
      <formula>0</formula>
    </cfRule>
  </conditionalFormatting>
  <conditionalFormatting sqref="I129:O130">
    <cfRule type="cellIs" dxfId="4" priority="13" operator="lessThan">
      <formula>0</formula>
    </cfRule>
  </conditionalFormatting>
  <conditionalFormatting sqref="I152:O152">
    <cfRule type="cellIs" dxfId="3" priority="5" operator="lessThan">
      <formula>0</formula>
    </cfRule>
  </conditionalFormatting>
  <conditionalFormatting sqref="K122:K123">
    <cfRule type="cellIs" dxfId="2" priority="4" operator="lessThan">
      <formula>0</formula>
    </cfRule>
  </conditionalFormatting>
  <conditionalFormatting sqref="N120:N122">
    <cfRule type="cellIs" dxfId="1" priority="1" operator="lessThan">
      <formula>0</formula>
    </cfRule>
  </conditionalFormatting>
  <conditionalFormatting sqref="P43:R43">
    <cfRule type="cellIs" dxfId="0" priority="37"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76"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4" xr:uid="{964CB593-5D4D-4584-9033-0C54780AC43E}">
      <formula1>INDIRECT("Table_SourceData_PastureBeef_IrrigationMethods[Irrigation method]")</formula1>
    </dataValidation>
    <dataValidation type="list" allowBlank="1" showInputMessage="1" showErrorMessage="1" sqref="E183"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8"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O242" zoomScale="70" zoomScaleNormal="70" workbookViewId="0">
      <selection activeCell="X276" sqref="X27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162</v>
      </c>
    </row>
    <row r="2" spans="1:37" s="9" customFormat="1" ht="20.100000000000001" customHeight="1" x14ac:dyDescent="0.25"/>
    <row r="3" spans="1:37" ht="20.100000000000001" customHeight="1" x14ac:dyDescent="0.25">
      <c r="A3" s="17" t="str">
        <f>HYPERLINK("#'Home'!A1", "Home")</f>
        <v>Home</v>
      </c>
      <c r="C3" s="4"/>
      <c r="D3" s="4" t="s">
        <v>106</v>
      </c>
      <c r="E3" s="4"/>
      <c r="F3" s="4"/>
      <c r="G3" s="4"/>
      <c r="H3" s="4"/>
      <c r="I3" s="4"/>
      <c r="J3" s="4"/>
      <c r="K3" s="4"/>
      <c r="L3" s="4"/>
      <c r="M3" s="4"/>
      <c r="N3" s="4"/>
      <c r="O3" s="4"/>
      <c r="P3" s="4"/>
      <c r="Q3" s="4"/>
      <c r="R3" s="4"/>
      <c r="S3" s="4"/>
      <c r="T3" s="4"/>
      <c r="V3" s="4"/>
      <c r="W3" s="4" t="s">
        <v>107</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26</v>
      </c>
      <c r="E7" s="13" t="s">
        <v>341</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75</v>
      </c>
      <c r="D10" s="53" t="s">
        <v>29</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19</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228</v>
      </c>
      <c r="W19" s="98" t="s">
        <v>247</v>
      </c>
    </row>
    <row r="20" spans="1:36" ht="20.100000000000001" customHeight="1" x14ac:dyDescent="0.25">
      <c r="A20" s="17" t="str">
        <f>HYPERLINK("#'Acknowledgements'!A1", "Acknowledgements")</f>
        <v>Acknowledgements</v>
      </c>
      <c r="D20" s="97" t="s">
        <v>251</v>
      </c>
      <c r="W20" s="97" t="s">
        <v>248</v>
      </c>
    </row>
    <row r="21" spans="1:36" ht="20.100000000000001" customHeight="1" x14ac:dyDescent="0.25">
      <c r="D21" s="51" t="s">
        <v>182</v>
      </c>
      <c r="E21" s="122" t="s">
        <v>244</v>
      </c>
      <c r="F21" s="122" t="s">
        <v>164</v>
      </c>
      <c r="G21" s="122" t="s">
        <v>165</v>
      </c>
      <c r="H21" s="122" t="s">
        <v>166</v>
      </c>
      <c r="W21" s="51" t="s">
        <v>130</v>
      </c>
      <c r="X21" s="122" t="s">
        <v>164</v>
      </c>
      <c r="Y21" s="122" t="s">
        <v>165</v>
      </c>
      <c r="Z21" s="122" t="s">
        <v>166</v>
      </c>
    </row>
    <row r="22" spans="1:36" ht="20.100000000000001" customHeight="1" x14ac:dyDescent="0.25">
      <c r="A22" s="17"/>
      <c r="D22" s="52" t="s">
        <v>171</v>
      </c>
      <c r="E22" s="52" t="str">
        <f>'Input - Pasture Beef'!$E111</f>
        <v>Yes</v>
      </c>
      <c r="F22" s="52">
        <f>'Input - Pasture Beef'!$F111</f>
        <v>0.1</v>
      </c>
      <c r="G22" s="52">
        <f>'Input - Pasture Beef'!$G111</f>
        <v>0.4</v>
      </c>
      <c r="H22" s="52">
        <f>'Input - Pasture Beef'!$H111</f>
        <v>0.4</v>
      </c>
      <c r="I22" s="2" t="s">
        <v>98</v>
      </c>
      <c r="W22" s="52" t="str">
        <f>TEXT(EDATE('Input - Pasture Beef'!$D$124,0), "mmmm") &amp; ", " &amp; TEXT(EDATE('Input - Pasture Beef'!$D$125,0), "mmmm") &amp; ", " &amp; TEXT(EDATE('Input - Pasture Beef'!$D$126,0), "mmmm")</f>
        <v>August, September, October</v>
      </c>
      <c r="X22" s="52">
        <f>'Input - Pasture Beef'!$E$127</f>
        <v>0.75</v>
      </c>
      <c r="Y22" s="52">
        <f>'Input - Pasture Beef'!$F$127</f>
        <v>0.75</v>
      </c>
      <c r="Z22" s="52">
        <f>'Input - Pasture Beef'!$G$127</f>
        <v>0.75</v>
      </c>
      <c r="AA22" s="2" t="s">
        <v>98</v>
      </c>
    </row>
    <row r="23" spans="1:36" ht="20.100000000000001" customHeight="1" x14ac:dyDescent="0.25">
      <c r="A23" s="17"/>
      <c r="D23" s="52" t="s">
        <v>172</v>
      </c>
      <c r="E23" s="52" t="str">
        <f>'Input - Pasture Beef'!$E112</f>
        <v>Yes</v>
      </c>
      <c r="F23" s="52">
        <f>'Input - Pasture Beef'!$F112</f>
        <v>0.1</v>
      </c>
      <c r="G23" s="52">
        <f>'Input - Pasture Beef'!$G112</f>
        <v>0</v>
      </c>
      <c r="H23" s="52">
        <f>'Input - Pasture Beef'!$H112</f>
        <v>0</v>
      </c>
      <c r="W23" s="52" t="str">
        <f>TEXT(EDATE('Input - Pasture Beef'!$D$126,1), "mmmm") &amp; ", " &amp; TEXT(EDATE('Input - Pasture Beef'!$D$126,2), "mmmm") &amp; ", " &amp; TEXT(EDATE('Input - Pasture Beef'!$D$126,3), "mmmm")</f>
        <v>November, December, January</v>
      </c>
      <c r="AA23" s="2"/>
    </row>
    <row r="24" spans="1:36" ht="20.100000000000001" customHeight="1" x14ac:dyDescent="0.25">
      <c r="D24" s="52" t="s">
        <v>173</v>
      </c>
      <c r="E24" s="52" t="str">
        <f>'Input - Pasture Beef'!$E113</f>
        <v>No</v>
      </c>
      <c r="F24" s="52">
        <f>'Input - Pasture Beef'!$F113</f>
        <v>0</v>
      </c>
      <c r="G24" s="52">
        <f>'Input - Pasture Beef'!$G113</f>
        <v>0</v>
      </c>
      <c r="H24" s="52">
        <f>'Input - Pasture Beef'!$H113</f>
        <v>0</v>
      </c>
      <c r="AA24" s="2"/>
    </row>
    <row r="25" spans="1:36" ht="20.100000000000001" customHeight="1" x14ac:dyDescent="0.25">
      <c r="D25" s="52" t="s">
        <v>174</v>
      </c>
      <c r="E25" s="52" t="str">
        <f>'Input - Pasture Beef'!$E111</f>
        <v>Yes</v>
      </c>
      <c r="F25" s="52">
        <f>'Input - Pasture Beef'!$F$110</f>
        <v>0.7</v>
      </c>
      <c r="G25" s="52">
        <f>'Input - Pasture Beef'!$G$110</f>
        <v>0.5</v>
      </c>
      <c r="H25" s="52">
        <f>'Input - Pasture Beef'!$H$110</f>
        <v>0.5</v>
      </c>
      <c r="W25" s="98" t="s">
        <v>249</v>
      </c>
    </row>
    <row r="26" spans="1:36" ht="20.100000000000001" customHeight="1" x14ac:dyDescent="0.25">
      <c r="W26" s="97" t="s">
        <v>250</v>
      </c>
    </row>
    <row r="27" spans="1:36" ht="20.100000000000001" customHeight="1" x14ac:dyDescent="0.25">
      <c r="D27" s="98" t="s">
        <v>238</v>
      </c>
      <c r="W27" s="51" t="s">
        <v>130</v>
      </c>
      <c r="X27" s="51" t="s">
        <v>244</v>
      </c>
      <c r="Y27" s="51" t="s">
        <v>337</v>
      </c>
      <c r="Z27" s="51" t="s">
        <v>129</v>
      </c>
      <c r="AA27" s="51" t="s">
        <v>128</v>
      </c>
      <c r="AB27" s="51" t="s">
        <v>163</v>
      </c>
      <c r="AC27" s="51" t="s">
        <v>164</v>
      </c>
      <c r="AD27" s="51" t="s">
        <v>165</v>
      </c>
      <c r="AE27" s="51" t="s">
        <v>166</v>
      </c>
      <c r="AF27" s="51" t="s">
        <v>167</v>
      </c>
      <c r="AG27" s="51" t="s">
        <v>168</v>
      </c>
      <c r="AH27" s="51" t="s">
        <v>169</v>
      </c>
      <c r="AI27" s="51" t="s">
        <v>170</v>
      </c>
    </row>
    <row r="28" spans="1:36" ht="20.100000000000001" customHeight="1" x14ac:dyDescent="0.25">
      <c r="D28" s="97" t="s">
        <v>239</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182</v>
      </c>
      <c r="E29" s="51" t="s">
        <v>244</v>
      </c>
      <c r="F29" s="51" t="s">
        <v>245</v>
      </c>
      <c r="G29" s="51" t="s">
        <v>337</v>
      </c>
      <c r="H29" s="51" t="s">
        <v>337</v>
      </c>
      <c r="I29" s="51" t="s">
        <v>129</v>
      </c>
      <c r="J29" s="51" t="s">
        <v>128</v>
      </c>
      <c r="K29" s="51" t="s">
        <v>163</v>
      </c>
      <c r="L29" s="51" t="s">
        <v>164</v>
      </c>
      <c r="M29" s="51" t="s">
        <v>165</v>
      </c>
      <c r="N29" s="51" t="s">
        <v>166</v>
      </c>
      <c r="O29" s="51" t="s">
        <v>167</v>
      </c>
      <c r="P29" s="51" t="s">
        <v>168</v>
      </c>
      <c r="Q29" s="51" t="s">
        <v>169</v>
      </c>
      <c r="R29" s="51" t="s">
        <v>170</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171</v>
      </c>
      <c r="E30" s="52" t="str">
        <f>IF('Input - Pasture Beef'!E111="Yes", "Calving season", "")</f>
        <v>Calving season</v>
      </c>
      <c r="F30" s="52" t="str">
        <f>IF('Input - Pasture Beef'!E110="Yes",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172</v>
      </c>
      <c r="E31" s="52" t="str">
        <f>IF('Input - Pasture Beef'!E112="Yes", "Calving season", "")</f>
        <v>Calving season</v>
      </c>
      <c r="F31" s="52" t="str">
        <f>IF('Input - Pasture Beef'!E111="Yes",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173</v>
      </c>
      <c r="E32" s="52" t="str">
        <f>IF('Input - Pasture Beef'!E113="Yes", "Calving season", "")</f>
        <v/>
      </c>
      <c r="F32" s="52" t="str">
        <f>IF('Input - Pasture Beef'!E112="Yes",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174</v>
      </c>
      <c r="E33" s="52" t="str">
        <f>IF('Input - Pasture Beef'!E110="Yes", "Calving season", "")</f>
        <v>Calving season</v>
      </c>
      <c r="F33" s="52" t="str">
        <f>IF('Input - Pasture Beef'!E113="Yes",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351</v>
      </c>
      <c r="L38" s="1" t="s">
        <v>349</v>
      </c>
      <c r="M38" s="1" t="s">
        <v>350</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26</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345</v>
      </c>
    </row>
    <row r="42" spans="3:36" ht="20.100000000000001" customHeight="1" x14ac:dyDescent="0.25">
      <c r="D42" s="53" t="s">
        <v>29</v>
      </c>
      <c r="E42" s="1" t="str" cm="1">
        <f t="array" ref="E42">EntericMethane_PastureBeef_Equations.VEERG_3_2_1_1__3_FeedIntakeForGrazingBeef_Variable()</f>
        <v>I_jkl</v>
      </c>
      <c r="W42" s="97" t="s">
        <v>253</v>
      </c>
    </row>
    <row r="43" spans="3:36" ht="20.100000000000001" customHeight="1" x14ac:dyDescent="0.25">
      <c r="D43" s="53" t="s">
        <v>19</v>
      </c>
      <c r="E43" s="54" t="str" cm="1">
        <f t="array" ref="E43">EntericMethane_PastureBeef_Equations.VEERG_3_2_1_1__3_FeedIntakeForGrazingBeef_Unit()</f>
        <v>kg DM/head/day</v>
      </c>
      <c r="W43" s="51" t="s">
        <v>130</v>
      </c>
      <c r="X43" s="122" t="s">
        <v>129</v>
      </c>
      <c r="Y43" s="122" t="s">
        <v>128</v>
      </c>
      <c r="Z43" s="122" t="s">
        <v>163</v>
      </c>
      <c r="AA43" s="122" t="s">
        <v>164</v>
      </c>
      <c r="AB43" s="122" t="s">
        <v>165</v>
      </c>
      <c r="AC43" s="122" t="s">
        <v>166</v>
      </c>
      <c r="AD43" s="122" t="s">
        <v>167</v>
      </c>
      <c r="AE43" s="122" t="s">
        <v>168</v>
      </c>
      <c r="AF43" s="122" t="s">
        <v>169</v>
      </c>
      <c r="AG43" s="122" t="s">
        <v>170</v>
      </c>
      <c r="AH43" s="2"/>
    </row>
    <row r="44" spans="3:36" ht="20.100000000000001" customHeight="1" x14ac:dyDescent="0.25">
      <c r="W44" s="52" t="str">
        <f>TEXT('Input - Site'!$E$12, "mmmm yyyy")</f>
        <v>January 2025</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131</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2025</v>
      </c>
      <c r="X45" s="52">
        <f ca="1"/>
        <v>380</v>
      </c>
      <c r="Y45" s="52">
        <f ca="1"/>
        <v>780</v>
      </c>
      <c r="Z45" s="52">
        <f ca="1"/>
        <v>300</v>
      </c>
      <c r="AA45" s="52">
        <f ca="1"/>
        <v>450</v>
      </c>
      <c r="AB45" s="52">
        <f ca="1"/>
        <v>530</v>
      </c>
      <c r="AC45" s="52">
        <f ca="1"/>
        <v>530</v>
      </c>
      <c r="AD45" s="52">
        <f ca="1"/>
        <v>340</v>
      </c>
      <c r="AE45" s="52">
        <f ca="1"/>
        <v>470</v>
      </c>
      <c r="AF45" s="52">
        <f ca="1"/>
        <v>470</v>
      </c>
      <c r="AG45" s="52">
        <f ca="1"/>
        <v>470</v>
      </c>
      <c r="AH45" s="2" t="s">
        <v>131</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2025</v>
      </c>
      <c r="X46" s="52">
        <f ca="1"/>
        <v>100</v>
      </c>
      <c r="Y46" s="52">
        <f ca="1"/>
        <v>680</v>
      </c>
      <c r="Z46" s="52">
        <f ca="1"/>
        <v>80</v>
      </c>
      <c r="AA46" s="52">
        <f ca="1"/>
        <v>320</v>
      </c>
      <c r="AB46" s="52">
        <f ca="1"/>
        <v>480</v>
      </c>
      <c r="AC46" s="52">
        <f ca="1"/>
        <v>480</v>
      </c>
      <c r="AD46" s="52">
        <f ca="1"/>
        <v>100</v>
      </c>
      <c r="AE46" s="52">
        <f ca="1"/>
        <v>340</v>
      </c>
      <c r="AF46" s="52">
        <f ca="1"/>
        <v>340</v>
      </c>
      <c r="AG46" s="52">
        <f ca="1"/>
        <v>340</v>
      </c>
      <c r="AH46" s="2" t="s">
        <v>131</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2025</v>
      </c>
      <c r="X47" s="52">
        <f ca="1"/>
        <v>100</v>
      </c>
      <c r="Y47" s="52">
        <f ca="1"/>
        <v>680</v>
      </c>
      <c r="Z47" s="52">
        <f ca="1"/>
        <v>80</v>
      </c>
      <c r="AA47" s="52">
        <f ca="1"/>
        <v>320</v>
      </c>
      <c r="AB47" s="52">
        <f ca="1"/>
        <v>480</v>
      </c>
      <c r="AC47" s="52">
        <f ca="1"/>
        <v>480</v>
      </c>
      <c r="AD47" s="52">
        <f ca="1"/>
        <v>100</v>
      </c>
      <c r="AE47" s="52">
        <f ca="1"/>
        <v>340</v>
      </c>
      <c r="AF47" s="52">
        <f ca="1"/>
        <v>340</v>
      </c>
      <c r="AG47" s="52">
        <f ca="1"/>
        <v>340</v>
      </c>
      <c r="AH47" s="2" t="s">
        <v>131</v>
      </c>
    </row>
    <row r="48" spans="3:36" ht="20.100000000000001" customHeight="1" x14ac:dyDescent="0.25">
      <c r="W48" s="52" t="str">
        <f>TEXT(EDATE('Input - Site'!$E$12,4), "mmmm yyyy")</f>
        <v>May 2025</v>
      </c>
      <c r="X48" s="52">
        <f ca="1"/>
        <v>100</v>
      </c>
      <c r="Y48" s="52">
        <f ca="1"/>
        <v>680</v>
      </c>
      <c r="Z48" s="52">
        <f ca="1"/>
        <v>80</v>
      </c>
      <c r="AA48" s="52">
        <f ca="1"/>
        <v>320</v>
      </c>
      <c r="AB48" s="52">
        <f ca="1"/>
        <v>480</v>
      </c>
      <c r="AC48" s="52">
        <f ca="1"/>
        <v>480</v>
      </c>
      <c r="AD48" s="52">
        <f ca="1"/>
        <v>100</v>
      </c>
      <c r="AE48" s="52">
        <f ca="1"/>
        <v>340</v>
      </c>
      <c r="AF48" s="52">
        <f ca="1"/>
        <v>340</v>
      </c>
      <c r="AG48" s="52">
        <f ca="1"/>
        <v>340</v>
      </c>
      <c r="AH48" s="2" t="s">
        <v>131</v>
      </c>
    </row>
    <row r="49" spans="4:36" ht="20.100000000000001" customHeight="1" x14ac:dyDescent="0.25">
      <c r="D49" s="98" t="s">
        <v>283</v>
      </c>
      <c r="W49" s="52" t="str">
        <f>TEXT(EDATE('Input - Site'!$E$12,5), "mmmm yyyy")</f>
        <v>June 2025</v>
      </c>
      <c r="X49" s="52">
        <f ca="1"/>
        <v>190</v>
      </c>
      <c r="Y49" s="52">
        <f ca="1"/>
        <v>700</v>
      </c>
      <c r="Z49" s="52">
        <f ca="1"/>
        <v>150</v>
      </c>
      <c r="AA49" s="52">
        <f ca="1"/>
        <v>330</v>
      </c>
      <c r="AB49" s="52">
        <f ca="1"/>
        <v>490</v>
      </c>
      <c r="AC49" s="52">
        <f ca="1"/>
        <v>490</v>
      </c>
      <c r="AD49" s="52">
        <f ca="1"/>
        <v>170</v>
      </c>
      <c r="AE49" s="52">
        <f ca="1"/>
        <v>360</v>
      </c>
      <c r="AF49" s="52">
        <f ca="1"/>
        <v>360</v>
      </c>
      <c r="AG49" s="52">
        <f ca="1"/>
        <v>360</v>
      </c>
      <c r="AH49" s="2" t="s">
        <v>131</v>
      </c>
    </row>
    <row r="50" spans="4:36" ht="20.100000000000001" customHeight="1" x14ac:dyDescent="0.25">
      <c r="D50" s="97" t="s">
        <v>242</v>
      </c>
      <c r="W50" s="52" t="str">
        <f>TEXT(EDATE('Input - Site'!$E$12,6), "mmmm yyyy")</f>
        <v>July 2025</v>
      </c>
      <c r="X50" s="52">
        <f ca="1"/>
        <v>190</v>
      </c>
      <c r="Y50" s="52">
        <f ca="1"/>
        <v>700</v>
      </c>
      <c r="Z50" s="52">
        <f ca="1"/>
        <v>150</v>
      </c>
      <c r="AA50" s="52">
        <f ca="1"/>
        <v>330</v>
      </c>
      <c r="AB50" s="52">
        <f ca="1"/>
        <v>490</v>
      </c>
      <c r="AC50" s="52">
        <f ca="1"/>
        <v>490</v>
      </c>
      <c r="AD50" s="52">
        <f ca="1"/>
        <v>170</v>
      </c>
      <c r="AE50" s="52">
        <f ca="1"/>
        <v>360</v>
      </c>
      <c r="AF50" s="52">
        <f ca="1"/>
        <v>360</v>
      </c>
      <c r="AG50" s="52">
        <f ca="1"/>
        <v>360</v>
      </c>
      <c r="AH50" s="2" t="s">
        <v>131</v>
      </c>
    </row>
    <row r="51" spans="4:36" ht="20.100000000000001" customHeight="1" x14ac:dyDescent="0.25">
      <c r="D51" s="51" t="s">
        <v>182</v>
      </c>
      <c r="E51" s="122" t="s">
        <v>129</v>
      </c>
      <c r="F51" s="122" t="s">
        <v>128</v>
      </c>
      <c r="G51" s="122" t="s">
        <v>163</v>
      </c>
      <c r="H51" s="122" t="s">
        <v>164</v>
      </c>
      <c r="I51" s="122" t="s">
        <v>165</v>
      </c>
      <c r="J51" s="122" t="s">
        <v>166</v>
      </c>
      <c r="K51" s="122" t="s">
        <v>167</v>
      </c>
      <c r="L51" s="122" t="s">
        <v>168</v>
      </c>
      <c r="M51" s="122" t="s">
        <v>169</v>
      </c>
      <c r="N51" s="122" t="s">
        <v>170</v>
      </c>
      <c r="W51" s="52" t="str">
        <f>TEXT(EDATE('Input - Site'!$E$12,7), "mmmm yyyy")</f>
        <v>August 2025</v>
      </c>
      <c r="X51" s="52">
        <f ca="1"/>
        <v>190</v>
      </c>
      <c r="Y51" s="52">
        <f ca="1"/>
        <v>700</v>
      </c>
      <c r="Z51" s="52">
        <f ca="1"/>
        <v>150</v>
      </c>
      <c r="AA51" s="52">
        <f ca="1"/>
        <v>330</v>
      </c>
      <c r="AB51" s="52">
        <f ca="1"/>
        <v>490</v>
      </c>
      <c r="AC51" s="52">
        <f ca="1"/>
        <v>490</v>
      </c>
      <c r="AD51" s="52">
        <f ca="1"/>
        <v>170</v>
      </c>
      <c r="AE51" s="52">
        <f ca="1"/>
        <v>360</v>
      </c>
      <c r="AF51" s="52">
        <f ca="1"/>
        <v>360</v>
      </c>
      <c r="AG51" s="52">
        <f ca="1"/>
        <v>360</v>
      </c>
      <c r="AH51" s="2" t="s">
        <v>131</v>
      </c>
      <c r="AI51" s="2"/>
      <c r="AJ51" s="2"/>
    </row>
    <row r="52" spans="4:36" ht="20.100000000000001" customHeight="1" x14ac:dyDescent="0.25">
      <c r="D52" s="52" t="str">
        <f>'Input - Pasture Beef'!D60</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131</v>
      </c>
      <c r="P52" s="2"/>
      <c r="Q52" s="2"/>
      <c r="R52" s="2"/>
      <c r="S52" s="2"/>
      <c r="W52" s="52" t="str">
        <f>TEXT(EDATE('Input - Site'!$E$12,8), "mmmm yyyy")</f>
        <v>September 2025</v>
      </c>
      <c r="X52" s="52">
        <f ca="1"/>
        <v>340</v>
      </c>
      <c r="Y52" s="52">
        <f ca="1"/>
        <v>800</v>
      </c>
      <c r="Z52" s="52">
        <f ca="1"/>
        <v>260</v>
      </c>
      <c r="AA52" s="52">
        <f ca="1"/>
        <v>420</v>
      </c>
      <c r="AB52" s="52">
        <f ca="1"/>
        <v>550</v>
      </c>
      <c r="AC52" s="52">
        <f ca="1"/>
        <v>550</v>
      </c>
      <c r="AD52" s="52">
        <f ca="1"/>
        <v>300</v>
      </c>
      <c r="AE52" s="52">
        <f ca="1"/>
        <v>480</v>
      </c>
      <c r="AF52" s="52">
        <f ca="1"/>
        <v>480</v>
      </c>
      <c r="AG52" s="52">
        <f ca="1"/>
        <v>480</v>
      </c>
      <c r="AH52" s="2" t="s">
        <v>131</v>
      </c>
      <c r="AI52" s="2"/>
      <c r="AJ52" s="2"/>
    </row>
    <row r="53" spans="4:36" ht="20.100000000000001" customHeight="1" x14ac:dyDescent="0.25">
      <c r="D53" s="52" t="str">
        <f>'Input - Pasture Beef'!D61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131</v>
      </c>
      <c r="P53" s="2"/>
      <c r="Q53" s="2"/>
      <c r="R53" s="2"/>
      <c r="S53" s="2"/>
      <c r="W53" s="52" t="str">
        <f>TEXT(EDATE('Input - Site'!$E$12,9), "mmmm yyyy")</f>
        <v>October 2025</v>
      </c>
      <c r="X53" s="52">
        <f ca="1"/>
        <v>340</v>
      </c>
      <c r="Y53" s="52">
        <f ca="1"/>
        <v>800</v>
      </c>
      <c r="Z53" s="52">
        <f ca="1"/>
        <v>260</v>
      </c>
      <c r="AA53" s="52">
        <f ca="1"/>
        <v>420</v>
      </c>
      <c r="AB53" s="52">
        <f ca="1"/>
        <v>550</v>
      </c>
      <c r="AC53" s="52">
        <f ca="1"/>
        <v>550</v>
      </c>
      <c r="AD53" s="52">
        <f ca="1"/>
        <v>300</v>
      </c>
      <c r="AE53" s="52">
        <f ca="1"/>
        <v>480</v>
      </c>
      <c r="AF53" s="52">
        <f ca="1"/>
        <v>480</v>
      </c>
      <c r="AG53" s="52">
        <f ca="1"/>
        <v>480</v>
      </c>
      <c r="AH53" s="2" t="s">
        <v>131</v>
      </c>
      <c r="AI53" s="2"/>
      <c r="AJ53" s="2"/>
    </row>
    <row r="54" spans="4:36" ht="20.100000000000001" customHeight="1" x14ac:dyDescent="0.25">
      <c r="D54" s="52" t="str">
        <f>'Input - Pasture Beef'!D62</f>
        <v>Autumn</v>
      </c>
      <c r="E54" s="52">
        <f ca="1"/>
        <v>100</v>
      </c>
      <c r="F54" s="52">
        <f ca="1"/>
        <v>680</v>
      </c>
      <c r="G54" s="52">
        <f ca="1"/>
        <v>80</v>
      </c>
      <c r="H54" s="52">
        <f ca="1"/>
        <v>320</v>
      </c>
      <c r="I54" s="52">
        <f ca="1"/>
        <v>480</v>
      </c>
      <c r="J54" s="52">
        <f ca="1"/>
        <v>480</v>
      </c>
      <c r="K54" s="52">
        <f ca="1"/>
        <v>100</v>
      </c>
      <c r="L54" s="52">
        <f ca="1"/>
        <v>340</v>
      </c>
      <c r="M54" s="52">
        <f ca="1"/>
        <v>340</v>
      </c>
      <c r="N54" s="52">
        <f ca="1"/>
        <v>340</v>
      </c>
      <c r="O54" s="2" t="s">
        <v>131</v>
      </c>
      <c r="P54" s="2"/>
      <c r="Q54" s="2"/>
      <c r="R54" s="2"/>
      <c r="S54" s="2"/>
      <c r="W54" s="52" t="str">
        <f>TEXT(EDATE('Input - Site'!$E$12,10), "mmmm yyyy")</f>
        <v>November 2025</v>
      </c>
      <c r="X54" s="52">
        <f ca="1"/>
        <v>340</v>
      </c>
      <c r="Y54" s="52">
        <f ca="1"/>
        <v>800</v>
      </c>
      <c r="Z54" s="52">
        <f ca="1"/>
        <v>260</v>
      </c>
      <c r="AA54" s="52">
        <f ca="1"/>
        <v>420</v>
      </c>
      <c r="AB54" s="52">
        <f ca="1"/>
        <v>550</v>
      </c>
      <c r="AC54" s="52">
        <f ca="1"/>
        <v>550</v>
      </c>
      <c r="AD54" s="52">
        <f ca="1"/>
        <v>300</v>
      </c>
      <c r="AE54" s="52">
        <f ca="1"/>
        <v>480</v>
      </c>
      <c r="AF54" s="52">
        <f ca="1"/>
        <v>480</v>
      </c>
      <c r="AG54" s="52">
        <f ca="1"/>
        <v>480</v>
      </c>
      <c r="AH54" s="2" t="s">
        <v>131</v>
      </c>
      <c r="AI54" s="2"/>
      <c r="AJ54" s="2"/>
    </row>
    <row r="55" spans="4:36" ht="20.100000000000001" customHeight="1" x14ac:dyDescent="0.25">
      <c r="D55" s="52" t="str">
        <f>'Input - Pasture Beef'!D63</f>
        <v>Winter</v>
      </c>
      <c r="E55" s="52">
        <f ca="1"/>
        <v>190</v>
      </c>
      <c r="F55" s="52">
        <f ca="1"/>
        <v>700</v>
      </c>
      <c r="G55" s="52">
        <f ca="1"/>
        <v>150</v>
      </c>
      <c r="H55" s="52">
        <f ca="1"/>
        <v>330</v>
      </c>
      <c r="I55" s="52">
        <f ca="1"/>
        <v>490</v>
      </c>
      <c r="J55" s="52">
        <f ca="1"/>
        <v>490</v>
      </c>
      <c r="K55" s="52">
        <f ca="1"/>
        <v>170</v>
      </c>
      <c r="L55" s="52">
        <f ca="1"/>
        <v>360</v>
      </c>
      <c r="M55" s="52">
        <f ca="1"/>
        <v>360</v>
      </c>
      <c r="N55" s="52">
        <f ca="1"/>
        <v>360</v>
      </c>
      <c r="O55" s="2" t="s">
        <v>131</v>
      </c>
      <c r="P55" s="2"/>
      <c r="Q55" s="2"/>
      <c r="R55" s="2"/>
      <c r="S55" s="2"/>
      <c r="W55" s="52" t="str">
        <f>TEXT(EDATE('Input - Site'!$E$12,11), "mmmm yyyy")</f>
        <v>December 2025</v>
      </c>
      <c r="X55" s="52">
        <f ca="1"/>
        <v>380</v>
      </c>
      <c r="Y55" s="52">
        <f ca="1"/>
        <v>780</v>
      </c>
      <c r="Z55" s="52">
        <f ca="1"/>
        <v>300</v>
      </c>
      <c r="AA55" s="52">
        <f ca="1"/>
        <v>450</v>
      </c>
      <c r="AB55" s="52">
        <f ca="1"/>
        <v>530</v>
      </c>
      <c r="AC55" s="52">
        <f ca="1"/>
        <v>530</v>
      </c>
      <c r="AD55" s="52">
        <f ca="1"/>
        <v>340</v>
      </c>
      <c r="AE55" s="52">
        <f ca="1"/>
        <v>470</v>
      </c>
      <c r="AF55" s="52">
        <f ca="1"/>
        <v>470</v>
      </c>
      <c r="AG55" s="52">
        <f ca="1"/>
        <v>470</v>
      </c>
      <c r="AH55" s="2" t="s">
        <v>131</v>
      </c>
      <c r="AI55" s="2"/>
      <c r="AJ55" s="2"/>
    </row>
    <row r="56" spans="4:36" ht="20.100000000000001" customHeight="1" x14ac:dyDescent="0.25">
      <c r="AI56" s="2"/>
      <c r="AJ56" s="2"/>
    </row>
    <row r="57" spans="4:36" ht="20.100000000000001" customHeight="1" x14ac:dyDescent="0.25">
      <c r="W57" s="98" t="s">
        <v>254</v>
      </c>
      <c r="AI57" s="2"/>
      <c r="AJ57" s="2"/>
    </row>
    <row r="58" spans="4:36" ht="20.100000000000001" customHeight="1" x14ac:dyDescent="0.25">
      <c r="W58" s="97" t="s">
        <v>255</v>
      </c>
      <c r="AI58" s="2"/>
      <c r="AJ58" s="2"/>
    </row>
    <row r="59" spans="4:36" ht="20.100000000000001" customHeight="1" x14ac:dyDescent="0.25">
      <c r="W59" s="51" t="s">
        <v>130</v>
      </c>
      <c r="X59" s="122" t="s">
        <v>129</v>
      </c>
      <c r="Y59" s="122" t="s">
        <v>128</v>
      </c>
      <c r="Z59" s="122" t="s">
        <v>163</v>
      </c>
      <c r="AA59" s="122" t="s">
        <v>164</v>
      </c>
      <c r="AB59" s="122" t="s">
        <v>165</v>
      </c>
      <c r="AC59" s="122" t="s">
        <v>166</v>
      </c>
      <c r="AD59" s="122" t="s">
        <v>167</v>
      </c>
      <c r="AE59" s="122" t="s">
        <v>168</v>
      </c>
      <c r="AF59" s="122" t="s">
        <v>169</v>
      </c>
      <c r="AG59" s="122" t="s">
        <v>170</v>
      </c>
      <c r="AI59" s="2"/>
      <c r="AJ59" s="2"/>
    </row>
    <row r="60" spans="4:36" ht="20.100000000000001" customHeight="1" x14ac:dyDescent="0.25">
      <c r="W60" s="52" t="str">
        <f>TEXT('Input - Site'!$E$12, "mmmm yyyy")</f>
        <v>January 2025</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132</v>
      </c>
      <c r="AI60" s="2"/>
      <c r="AJ60" s="2"/>
    </row>
    <row r="61" spans="4:36" ht="20.100000000000001" customHeight="1" x14ac:dyDescent="0.25">
      <c r="W61" s="52" t="str">
        <f>TEXT(EDATE('Input - Site'!$E$12,1), "mmmm yyyy")</f>
        <v>February 2025</v>
      </c>
      <c r="X61" s="52">
        <f ca="1"/>
        <v>0.44</v>
      </c>
      <c r="Y61" s="52">
        <f ca="1"/>
        <v>-0.22</v>
      </c>
      <c r="Z61" s="52">
        <f ca="1"/>
        <v>0.44</v>
      </c>
      <c r="AA61" s="52">
        <f ca="1"/>
        <v>0.33</v>
      </c>
      <c r="AB61" s="52">
        <f ca="1"/>
        <v>-0.22</v>
      </c>
      <c r="AC61" s="52">
        <f ca="1"/>
        <v>-0.22</v>
      </c>
      <c r="AD61" s="52">
        <f ca="1"/>
        <v>0.44</v>
      </c>
      <c r="AE61" s="52">
        <f ca="1"/>
        <v>-0.11</v>
      </c>
      <c r="AF61" s="52">
        <f ca="1"/>
        <v>-0.11</v>
      </c>
      <c r="AG61" s="52">
        <f ca="1"/>
        <v>-0.11</v>
      </c>
      <c r="AH61" s="2" t="s">
        <v>132</v>
      </c>
      <c r="AI61" s="2"/>
      <c r="AJ61" s="2"/>
    </row>
    <row r="62" spans="4:36" ht="20.100000000000001" customHeight="1" x14ac:dyDescent="0.25">
      <c r="W62" s="52" t="str">
        <f>TEXT(EDATE('Input - Site'!$E$12,2), "mmmm yyyy")</f>
        <v>March 2025</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132</v>
      </c>
      <c r="AI62" s="2"/>
      <c r="AJ62" s="2"/>
    </row>
    <row r="63" spans="4:36" ht="20.100000000000001" customHeight="1" x14ac:dyDescent="0.25">
      <c r="W63" s="52" t="str">
        <f>TEXT(EDATE('Input - Site'!$E$12,3), "mmmm yyyy")</f>
        <v>April 2025</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132</v>
      </c>
      <c r="AI63" s="2"/>
      <c r="AJ63" s="2"/>
    </row>
    <row r="64" spans="4:36" ht="20.100000000000001" customHeight="1" x14ac:dyDescent="0.25">
      <c r="W64" s="52" t="str">
        <f>TEXT(EDATE('Input - Site'!$E$12,4), "mmmm yyyy")</f>
        <v>May 2025</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132</v>
      </c>
    </row>
    <row r="65" spans="4:36" ht="20.100000000000001" customHeight="1" x14ac:dyDescent="0.25">
      <c r="D65" s="98" t="s">
        <v>240</v>
      </c>
      <c r="W65" s="52" t="str">
        <f>TEXT(EDATE('Input - Site'!$E$12,5), "mmmm yyyy")</f>
        <v>June 2025</v>
      </c>
      <c r="X65" s="52">
        <f ca="1"/>
        <v>0.99</v>
      </c>
      <c r="Y65" s="52">
        <f ca="1"/>
        <v>0.22</v>
      </c>
      <c r="Z65" s="52">
        <f ca="1"/>
        <v>0.77</v>
      </c>
      <c r="AA65" s="52">
        <f ca="1"/>
        <v>0.11</v>
      </c>
      <c r="AB65" s="52">
        <f ca="1"/>
        <v>0.11</v>
      </c>
      <c r="AC65" s="52">
        <f ca="1"/>
        <v>0.11</v>
      </c>
      <c r="AD65" s="52">
        <f ca="1"/>
        <v>0.77</v>
      </c>
      <c r="AE65" s="52">
        <f ca="1"/>
        <v>0.44</v>
      </c>
      <c r="AF65" s="52">
        <f ca="1"/>
        <v>0.44</v>
      </c>
      <c r="AG65" s="52">
        <f ca="1"/>
        <v>0.44</v>
      </c>
      <c r="AH65" s="2" t="s">
        <v>132</v>
      </c>
    </row>
    <row r="66" spans="4:36" ht="20.100000000000001" customHeight="1" x14ac:dyDescent="0.25">
      <c r="D66" s="97" t="s">
        <v>241</v>
      </c>
      <c r="W66" s="52" t="str">
        <f>TEXT(EDATE('Input - Site'!$E$12,6), "mmmm yyyy")</f>
        <v>July 2025</v>
      </c>
      <c r="X66" s="52">
        <f ca="1"/>
        <v>0.99</v>
      </c>
      <c r="Y66" s="52">
        <f ca="1"/>
        <v>0.22</v>
      </c>
      <c r="Z66" s="52">
        <f ca="1"/>
        <v>0.77</v>
      </c>
      <c r="AA66" s="52">
        <f ca="1"/>
        <v>0.11</v>
      </c>
      <c r="AB66" s="52">
        <f ca="1"/>
        <v>0.11</v>
      </c>
      <c r="AC66" s="52">
        <f ca="1"/>
        <v>0.11</v>
      </c>
      <c r="AD66" s="52">
        <f ca="1"/>
        <v>0.77</v>
      </c>
      <c r="AE66" s="52">
        <f ca="1"/>
        <v>0.44</v>
      </c>
      <c r="AF66" s="52">
        <f ca="1"/>
        <v>0.44</v>
      </c>
      <c r="AG66" s="52">
        <f ca="1"/>
        <v>0.44</v>
      </c>
      <c r="AH66" s="2" t="s">
        <v>132</v>
      </c>
    </row>
    <row r="67" spans="4:36" ht="20.100000000000001" customHeight="1" x14ac:dyDescent="0.25">
      <c r="D67" s="51" t="s">
        <v>182</v>
      </c>
      <c r="E67" s="122" t="s">
        <v>129</v>
      </c>
      <c r="F67" s="122" t="s">
        <v>128</v>
      </c>
      <c r="G67" s="122" t="s">
        <v>163</v>
      </c>
      <c r="H67" s="122" t="s">
        <v>164</v>
      </c>
      <c r="I67" s="122" t="s">
        <v>165</v>
      </c>
      <c r="J67" s="122" t="s">
        <v>166</v>
      </c>
      <c r="K67" s="122" t="s">
        <v>167</v>
      </c>
      <c r="L67" s="122" t="s">
        <v>168</v>
      </c>
      <c r="M67" s="122" t="s">
        <v>169</v>
      </c>
      <c r="N67" s="122" t="s">
        <v>170</v>
      </c>
      <c r="W67" s="52" t="str">
        <f>TEXT(EDATE('Input - Site'!$E$12,7), "mmmm yyyy")</f>
        <v>August 2025</v>
      </c>
      <c r="X67" s="52">
        <f ca="1"/>
        <v>0.99</v>
      </c>
      <c r="Y67" s="52">
        <f ca="1"/>
        <v>0.22</v>
      </c>
      <c r="Z67" s="52">
        <f ca="1"/>
        <v>0.77</v>
      </c>
      <c r="AA67" s="52">
        <f ca="1"/>
        <v>0.11</v>
      </c>
      <c r="AB67" s="52">
        <f ca="1"/>
        <v>0.11</v>
      </c>
      <c r="AC67" s="52">
        <f ca="1"/>
        <v>0.11</v>
      </c>
      <c r="AD67" s="52">
        <f ca="1"/>
        <v>0.77</v>
      </c>
      <c r="AE67" s="52">
        <f ca="1"/>
        <v>0.44</v>
      </c>
      <c r="AF67" s="52">
        <f ca="1"/>
        <v>0.44</v>
      </c>
      <c r="AG67" s="52">
        <f ca="1"/>
        <v>0.44</v>
      </c>
      <c r="AH67" s="2" t="s">
        <v>132</v>
      </c>
    </row>
    <row r="68" spans="4:36" ht="20.100000000000001" customHeight="1" x14ac:dyDescent="0.25">
      <c r="D68" s="52" t="str">
        <f>'Input - Pasture Beef'!D82</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131</v>
      </c>
      <c r="P68" s="2"/>
      <c r="Q68" s="2"/>
      <c r="R68" s="2"/>
      <c r="S68" s="2"/>
      <c r="W68" s="52" t="str">
        <f>TEXT(EDATE('Input - Site'!$E$12,8), "mmmm yyyy")</f>
        <v>September 2025</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132</v>
      </c>
      <c r="AI68" s="2"/>
      <c r="AJ68" s="2"/>
    </row>
    <row r="69" spans="4:36" ht="20.100000000000001" customHeight="1" x14ac:dyDescent="0.25">
      <c r="D69" s="52" t="str">
        <f>'Input - Pasture Beef'!D83</f>
        <v>Summer</v>
      </c>
      <c r="E69" s="52">
        <f ca="1"/>
        <v>0.44</v>
      </c>
      <c r="F69" s="52">
        <f ca="1"/>
        <v>-0.22</v>
      </c>
      <c r="G69" s="52">
        <f ca="1"/>
        <v>0.44</v>
      </c>
      <c r="H69" s="52">
        <f ca="1"/>
        <v>0.33</v>
      </c>
      <c r="I69" s="52">
        <f ca="1"/>
        <v>-0.22</v>
      </c>
      <c r="J69" s="52">
        <f ca="1"/>
        <v>-0.22</v>
      </c>
      <c r="K69" s="52">
        <f ca="1"/>
        <v>0.44</v>
      </c>
      <c r="L69" s="52">
        <f ca="1"/>
        <v>-0.11</v>
      </c>
      <c r="M69" s="52">
        <f ca="1"/>
        <v>-0.11</v>
      </c>
      <c r="N69" s="52">
        <f ca="1"/>
        <v>-0.11</v>
      </c>
      <c r="O69" s="2" t="s">
        <v>131</v>
      </c>
      <c r="P69" s="2"/>
      <c r="Q69" s="2"/>
      <c r="R69" s="2"/>
      <c r="S69" s="2"/>
      <c r="W69" s="52" t="str">
        <f>TEXT(EDATE('Input - Site'!$E$12,9), "mmmm yyyy")</f>
        <v>October 2025</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132</v>
      </c>
      <c r="AI69" s="2"/>
      <c r="AJ69" s="2"/>
    </row>
    <row r="70" spans="4:36" ht="20.100000000000001" customHeight="1" x14ac:dyDescent="0.25">
      <c r="D70" s="52" t="str">
        <f>'Input - Pasture Beef'!D84</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131</v>
      </c>
      <c r="P70" s="2"/>
      <c r="Q70" s="2"/>
      <c r="R70" s="2"/>
      <c r="S70" s="2"/>
      <c r="W70" s="52" t="str">
        <f>TEXT(EDATE('Input - Site'!$E$12,10), "mmmm yyyy")</f>
        <v>November 2025</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132</v>
      </c>
      <c r="AI70" s="2"/>
      <c r="AJ70" s="2"/>
    </row>
    <row r="71" spans="4:36" ht="20.100000000000001" customHeight="1" x14ac:dyDescent="0.25">
      <c r="D71" s="52" t="str">
        <f>'Input - Pasture Beef'!D85</f>
        <v>Winter</v>
      </c>
      <c r="E71" s="52">
        <f ca="1"/>
        <v>0.99</v>
      </c>
      <c r="F71" s="52">
        <f ca="1"/>
        <v>0.22</v>
      </c>
      <c r="G71" s="52">
        <f ca="1"/>
        <v>0.77</v>
      </c>
      <c r="H71" s="52">
        <f ca="1"/>
        <v>0.11</v>
      </c>
      <c r="I71" s="52">
        <f ca="1"/>
        <v>0.11</v>
      </c>
      <c r="J71" s="52">
        <f ca="1"/>
        <v>0.11</v>
      </c>
      <c r="K71" s="52">
        <f ca="1"/>
        <v>0.77</v>
      </c>
      <c r="L71" s="52">
        <f ca="1"/>
        <v>0.44</v>
      </c>
      <c r="M71" s="52">
        <f ca="1"/>
        <v>0.44</v>
      </c>
      <c r="N71" s="52">
        <f ca="1"/>
        <v>0.44</v>
      </c>
      <c r="O71" s="2" t="s">
        <v>131</v>
      </c>
      <c r="P71" s="2"/>
      <c r="Q71" s="2"/>
      <c r="R71" s="2"/>
      <c r="S71" s="2"/>
      <c r="W71" s="52" t="str">
        <f>TEXT(EDATE('Input - Site'!$E$12,11), "mmmm yyyy")</f>
        <v>December 2025</v>
      </c>
      <c r="X71" s="52">
        <f ca="1"/>
        <v>0.44</v>
      </c>
      <c r="Y71" s="52">
        <f ca="1"/>
        <v>-0.22</v>
      </c>
      <c r="Z71" s="52">
        <f ca="1"/>
        <v>0.44</v>
      </c>
      <c r="AA71" s="52">
        <f ca="1"/>
        <v>0.33</v>
      </c>
      <c r="AB71" s="52">
        <f ca="1"/>
        <v>-0.22</v>
      </c>
      <c r="AC71" s="52">
        <f ca="1"/>
        <v>-0.22</v>
      </c>
      <c r="AD71" s="52">
        <f ca="1"/>
        <v>0.44</v>
      </c>
      <c r="AE71" s="52">
        <f ca="1"/>
        <v>-0.11</v>
      </c>
      <c r="AF71" s="52">
        <f ca="1"/>
        <v>-0.11</v>
      </c>
      <c r="AG71" s="52">
        <f ca="1"/>
        <v>-0.11</v>
      </c>
      <c r="AH71" s="2" t="s">
        <v>132</v>
      </c>
      <c r="AI71" s="2"/>
      <c r="AJ71" s="2"/>
    </row>
    <row r="72" spans="4:36" ht="20.100000000000001" customHeight="1" x14ac:dyDescent="0.25">
      <c r="AI72" s="2"/>
      <c r="AJ72" s="2"/>
    </row>
    <row r="73" spans="4:36" ht="20.100000000000001" customHeight="1" x14ac:dyDescent="0.25">
      <c r="W73" s="98" t="s">
        <v>256</v>
      </c>
      <c r="AI73" s="2"/>
      <c r="AJ73" s="2"/>
    </row>
    <row r="74" spans="4:36" ht="20.100000000000001" customHeight="1" x14ac:dyDescent="0.25">
      <c r="W74" s="97" t="s">
        <v>141</v>
      </c>
      <c r="AI74" s="2"/>
      <c r="AJ74" s="2"/>
    </row>
    <row r="75" spans="4:36" ht="20.100000000000001" customHeight="1" x14ac:dyDescent="0.25">
      <c r="W75" s="51" t="s">
        <v>130</v>
      </c>
      <c r="X75" s="51" t="s">
        <v>129</v>
      </c>
      <c r="Y75" s="51" t="s">
        <v>128</v>
      </c>
      <c r="Z75" s="51" t="s">
        <v>163</v>
      </c>
      <c r="AA75" s="51" t="s">
        <v>164</v>
      </c>
      <c r="AB75" s="51" t="s">
        <v>165</v>
      </c>
      <c r="AC75" s="51" t="s">
        <v>166</v>
      </c>
      <c r="AD75" s="51" t="s">
        <v>167</v>
      </c>
      <c r="AE75" s="51" t="s">
        <v>168</v>
      </c>
      <c r="AF75" s="51" t="s">
        <v>169</v>
      </c>
      <c r="AG75" s="51" t="s">
        <v>170</v>
      </c>
      <c r="AI75" s="2"/>
      <c r="AJ75" s="2"/>
    </row>
    <row r="76" spans="4:36" ht="20.100000000000001" customHeight="1" x14ac:dyDescent="0.25">
      <c r="W76" s="52" t="str">
        <f>TEXT('Input - Site'!$E$12, "mmmm yyyy")</f>
        <v>January 2025</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2025</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2025</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2025</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2025</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243</v>
      </c>
      <c r="W81" s="52" t="str">
        <f>TEXT(EDATE('Input - Site'!$E$12,5), "mmmm yyyy")</f>
        <v>June 2025</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142</v>
      </c>
      <c r="W82" s="52" t="str">
        <f>TEXT(EDATE('Input - Site'!$E$12,6), "mmmm yyyy")</f>
        <v>July 2025</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182</v>
      </c>
      <c r="E83" s="51" t="s">
        <v>129</v>
      </c>
      <c r="F83" s="51" t="s">
        <v>128</v>
      </c>
      <c r="G83" s="51" t="s">
        <v>163</v>
      </c>
      <c r="H83" s="51" t="s">
        <v>164</v>
      </c>
      <c r="I83" s="51" t="s">
        <v>165</v>
      </c>
      <c r="J83" s="51" t="s">
        <v>166</v>
      </c>
      <c r="K83" s="51" t="s">
        <v>167</v>
      </c>
      <c r="L83" s="51" t="s">
        <v>168</v>
      </c>
      <c r="M83" s="51" t="s">
        <v>169</v>
      </c>
      <c r="N83" s="51" t="s">
        <v>170</v>
      </c>
      <c r="W83" s="52" t="str">
        <f>TEXT(EDATE('Input - Site'!$E$12,7), "mmmm yyyy")</f>
        <v>August 2025</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171</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2025</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172</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2025</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173</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2025</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174</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2025</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26</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29</v>
      </c>
      <c r="E105" s="1" t="str" cm="1">
        <f t="array" ref="E105">MMS_PastureBeef_Methane_Equations.VEERG_4_2_1_1__3_VolatileSolidProductionFromGrazingBeef_Variable()</f>
        <v>VS_jkl</v>
      </c>
    </row>
    <row r="106" spans="3:37" ht="20.100000000000001" customHeight="1" x14ac:dyDescent="0.25">
      <c r="D106" s="53" t="s">
        <v>19</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'Constants - Pature Beef'!$D$422</f>
        <v>0.08</v>
      </c>
    </row>
    <row r="111" spans="3:37" ht="20.100000000000001" customHeight="1" x14ac:dyDescent="0.25"/>
    <row r="112" spans="3:37" ht="20.100000000000001" customHeight="1" x14ac:dyDescent="0.25">
      <c r="D112" s="98" t="s">
        <v>257</v>
      </c>
      <c r="W112" s="98" t="s">
        <v>258</v>
      </c>
    </row>
    <row r="113" spans="4:36" ht="20.100000000000001" customHeight="1" x14ac:dyDescent="0.25">
      <c r="D113" s="97" t="s">
        <v>110</v>
      </c>
      <c r="W113" s="97" t="s">
        <v>140</v>
      </c>
    </row>
    <row r="114" spans="4:36" ht="20.100000000000001" customHeight="1" x14ac:dyDescent="0.25">
      <c r="D114" s="51" t="s">
        <v>182</v>
      </c>
      <c r="E114" s="122" t="s">
        <v>129</v>
      </c>
      <c r="F114" s="122" t="s">
        <v>128</v>
      </c>
      <c r="G114" s="122" t="s">
        <v>163</v>
      </c>
      <c r="H114" s="122" t="s">
        <v>164</v>
      </c>
      <c r="I114" s="122" t="s">
        <v>165</v>
      </c>
      <c r="J114" s="122" t="s">
        <v>166</v>
      </c>
      <c r="K114" s="122" t="s">
        <v>167</v>
      </c>
      <c r="L114" s="122" t="s">
        <v>168</v>
      </c>
      <c r="M114" s="122" t="s">
        <v>169</v>
      </c>
      <c r="N114" s="122" t="s">
        <v>170</v>
      </c>
      <c r="W114" s="51" t="s">
        <v>130</v>
      </c>
      <c r="X114" s="122" t="s">
        <v>129</v>
      </c>
      <c r="Y114" s="122" t="s">
        <v>128</v>
      </c>
      <c r="Z114" s="122" t="s">
        <v>163</v>
      </c>
      <c r="AA114" s="122" t="s">
        <v>164</v>
      </c>
      <c r="AB114" s="122" t="s">
        <v>165</v>
      </c>
      <c r="AC114" s="122" t="s">
        <v>166</v>
      </c>
      <c r="AD114" s="122" t="s">
        <v>167</v>
      </c>
      <c r="AE114" s="122" t="s">
        <v>168</v>
      </c>
      <c r="AF114" s="122" t="s">
        <v>169</v>
      </c>
      <c r="AG114" s="122" t="s">
        <v>170</v>
      </c>
    </row>
    <row r="115" spans="4:36" ht="20.100000000000001" customHeight="1" x14ac:dyDescent="0.25">
      <c r="D115" s="52" t="s">
        <v>171</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139</v>
      </c>
      <c r="P115" s="2"/>
      <c r="Q115" s="2"/>
      <c r="R115" s="2"/>
      <c r="S115" s="2"/>
      <c r="W115" s="52" t="str">
        <f>'Input - Pasture Beef'!D160</f>
        <v>January 2025</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139</v>
      </c>
      <c r="AI115" s="2"/>
      <c r="AJ115" s="2"/>
    </row>
    <row r="116" spans="4:36" ht="20.100000000000001" customHeight="1" x14ac:dyDescent="0.25">
      <c r="D116" s="52" t="s">
        <v>172</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139</v>
      </c>
      <c r="P116" s="2"/>
      <c r="Q116" s="2"/>
      <c r="R116" s="2"/>
      <c r="S116" s="2"/>
      <c r="W116" s="52" t="str">
        <f>'Input - Pasture Beef'!D161</f>
        <v>February 2025</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139</v>
      </c>
      <c r="AI116" s="2"/>
      <c r="AJ116" s="2"/>
    </row>
    <row r="117" spans="4:36" ht="20.100000000000001" customHeight="1" x14ac:dyDescent="0.25">
      <c r="D117" s="52" t="s">
        <v>173</v>
      </c>
      <c r="E117" s="52">
        <f ca="1"/>
        <v>0.5</v>
      </c>
      <c r="F117" s="52">
        <f ca="1"/>
        <v>0.5</v>
      </c>
      <c r="G117" s="52">
        <f ca="1"/>
        <v>0.5</v>
      </c>
      <c r="H117" s="52">
        <f ca="1"/>
        <v>0.5</v>
      </c>
      <c r="I117" s="52">
        <f ca="1"/>
        <v>0.5</v>
      </c>
      <c r="J117" s="52">
        <f ca="1"/>
        <v>0.5</v>
      </c>
      <c r="K117" s="52">
        <f ca="1"/>
        <v>0.5</v>
      </c>
      <c r="L117" s="52">
        <f ca="1"/>
        <v>0.5</v>
      </c>
      <c r="M117" s="52">
        <f ca="1"/>
        <v>0.5</v>
      </c>
      <c r="N117" s="52">
        <f ca="1"/>
        <v>0.5</v>
      </c>
      <c r="O117" s="2" t="s">
        <v>139</v>
      </c>
      <c r="P117" s="2"/>
      <c r="Q117" s="2"/>
      <c r="R117" s="2"/>
      <c r="S117" s="2"/>
      <c r="W117" s="52" t="str">
        <f>'Input - Pasture Beef'!D162</f>
        <v>March 2025</v>
      </c>
      <c r="X117" s="52">
        <f ca="1"/>
        <v>0.5</v>
      </c>
      <c r="Y117" s="52">
        <f ca="1"/>
        <v>0.5</v>
      </c>
      <c r="Z117" s="52">
        <f ca="1"/>
        <v>0.5</v>
      </c>
      <c r="AA117" s="52">
        <f ca="1"/>
        <v>0.5</v>
      </c>
      <c r="AB117" s="52">
        <f ca="1"/>
        <v>0.5</v>
      </c>
      <c r="AC117" s="52">
        <f ca="1"/>
        <v>0.5</v>
      </c>
      <c r="AD117" s="52">
        <f ca="1"/>
        <v>0.5</v>
      </c>
      <c r="AE117" s="52">
        <f ca="1"/>
        <v>0.5</v>
      </c>
      <c r="AF117" s="52">
        <f ca="1"/>
        <v>0.5</v>
      </c>
      <c r="AG117" s="52">
        <f ca="1"/>
        <v>0.5</v>
      </c>
      <c r="AH117" s="2" t="s">
        <v>139</v>
      </c>
      <c r="AI117" s="2"/>
      <c r="AJ117" s="2"/>
    </row>
    <row r="118" spans="4:36" ht="20.100000000000001" customHeight="1" x14ac:dyDescent="0.25">
      <c r="D118" s="52" t="s">
        <v>174</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139</v>
      </c>
      <c r="P118" s="2"/>
      <c r="Q118" s="2"/>
      <c r="R118" s="2"/>
      <c r="S118" s="2"/>
      <c r="W118" s="52" t="str">
        <f>'Input - Pasture Beef'!D163</f>
        <v>April 2025</v>
      </c>
      <c r="X118" s="52">
        <f ca="1"/>
        <v>0.5</v>
      </c>
      <c r="Y118" s="52">
        <f ca="1"/>
        <v>0.5</v>
      </c>
      <c r="Z118" s="52">
        <f ca="1"/>
        <v>0.5</v>
      </c>
      <c r="AA118" s="52">
        <f ca="1"/>
        <v>0.5</v>
      </c>
      <c r="AB118" s="52">
        <f ca="1"/>
        <v>0.5</v>
      </c>
      <c r="AC118" s="52">
        <f ca="1"/>
        <v>0.5</v>
      </c>
      <c r="AD118" s="52">
        <f ca="1"/>
        <v>0.5</v>
      </c>
      <c r="AE118" s="52">
        <f ca="1"/>
        <v>0.5</v>
      </c>
      <c r="AF118" s="52">
        <f ca="1"/>
        <v>0.5</v>
      </c>
      <c r="AG118" s="52">
        <f ca="1"/>
        <v>0.5</v>
      </c>
      <c r="AH118" s="2" t="s">
        <v>139</v>
      </c>
      <c r="AI118" s="2"/>
      <c r="AJ118" s="2"/>
    </row>
    <row r="119" spans="4:36" ht="20.100000000000001" customHeight="1" x14ac:dyDescent="0.25">
      <c r="W119" s="52" t="str">
        <f>'Input - Pasture Beef'!D164</f>
        <v>May 2025</v>
      </c>
      <c r="X119" s="52">
        <f ca="1"/>
        <v>0.5</v>
      </c>
      <c r="Y119" s="52">
        <f ca="1"/>
        <v>0.5</v>
      </c>
      <c r="Z119" s="52">
        <f ca="1"/>
        <v>0.5</v>
      </c>
      <c r="AA119" s="52">
        <f ca="1"/>
        <v>0.5</v>
      </c>
      <c r="AB119" s="52">
        <f ca="1"/>
        <v>0.5</v>
      </c>
      <c r="AC119" s="52">
        <f ca="1"/>
        <v>0.5</v>
      </c>
      <c r="AD119" s="52">
        <f ca="1"/>
        <v>0.5</v>
      </c>
      <c r="AE119" s="52">
        <f ca="1"/>
        <v>0.5</v>
      </c>
      <c r="AF119" s="52">
        <f ca="1"/>
        <v>0.5</v>
      </c>
      <c r="AG119" s="52">
        <f ca="1"/>
        <v>0.5</v>
      </c>
      <c r="AH119" s="2" t="s">
        <v>139</v>
      </c>
      <c r="AI119" s="2"/>
      <c r="AJ119" s="2"/>
    </row>
    <row r="120" spans="4:36" ht="20.100000000000001" customHeight="1" x14ac:dyDescent="0.25">
      <c r="W120" s="52" t="str">
        <f>'Input - Pasture Beef'!D165</f>
        <v>June 2025</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139</v>
      </c>
      <c r="AI120" s="2"/>
      <c r="AJ120" s="2"/>
    </row>
    <row r="121" spans="4:36" ht="20.100000000000001" customHeight="1" x14ac:dyDescent="0.25">
      <c r="W121" s="52" t="str">
        <f>'Input - Pasture Beef'!D166</f>
        <v>July 2025</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139</v>
      </c>
      <c r="AI121" s="2"/>
      <c r="AJ121" s="2"/>
    </row>
    <row r="122" spans="4:36" ht="20.100000000000001" customHeight="1" x14ac:dyDescent="0.25">
      <c r="W122" s="52" t="str">
        <f>'Input - Pasture Beef'!D167</f>
        <v>August 2025</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139</v>
      </c>
      <c r="AI122" s="2"/>
      <c r="AJ122" s="2"/>
    </row>
    <row r="123" spans="4:36" ht="20.100000000000001" customHeight="1" x14ac:dyDescent="0.25">
      <c r="W123" s="52" t="str">
        <f>'Input - Pasture Beef'!D168</f>
        <v>September 2025</v>
      </c>
      <c r="X123" s="52">
        <f ca="1"/>
        <v>0.8</v>
      </c>
      <c r="Y123" s="52">
        <f ca="1"/>
        <v>0.8</v>
      </c>
      <c r="Z123" s="52">
        <f ca="1"/>
        <v>0.8</v>
      </c>
      <c r="AA123" s="52">
        <f ca="1"/>
        <v>0.8</v>
      </c>
      <c r="AB123" s="52">
        <f ca="1"/>
        <v>0.8</v>
      </c>
      <c r="AC123" s="52">
        <f ca="1"/>
        <v>0.8</v>
      </c>
      <c r="AD123" s="52">
        <f ca="1"/>
        <v>0.8</v>
      </c>
      <c r="AE123" s="52">
        <f ca="1"/>
        <v>0.8</v>
      </c>
      <c r="AF123" s="52">
        <f ca="1"/>
        <v>0.8</v>
      </c>
      <c r="AG123" s="52">
        <f ca="1"/>
        <v>0.8</v>
      </c>
      <c r="AH123" s="2" t="s">
        <v>139</v>
      </c>
      <c r="AI123" s="2"/>
      <c r="AJ123" s="2"/>
    </row>
    <row r="124" spans="4:36" ht="20.100000000000001" customHeight="1" x14ac:dyDescent="0.25">
      <c r="W124" s="52" t="str">
        <f>'Input - Pasture Beef'!D169</f>
        <v>October 2025</v>
      </c>
      <c r="X124" s="52">
        <f ca="1"/>
        <v>0.8</v>
      </c>
      <c r="Y124" s="52">
        <f ca="1"/>
        <v>0.8</v>
      </c>
      <c r="Z124" s="52">
        <f ca="1"/>
        <v>0.8</v>
      </c>
      <c r="AA124" s="52">
        <f ca="1"/>
        <v>0.8</v>
      </c>
      <c r="AB124" s="52">
        <f ca="1"/>
        <v>0.8</v>
      </c>
      <c r="AC124" s="52">
        <f ca="1"/>
        <v>0.8</v>
      </c>
      <c r="AD124" s="52">
        <f ca="1"/>
        <v>0.8</v>
      </c>
      <c r="AE124" s="52">
        <f ca="1"/>
        <v>0.8</v>
      </c>
      <c r="AF124" s="52">
        <f ca="1"/>
        <v>0.8</v>
      </c>
      <c r="AG124" s="52">
        <f ca="1"/>
        <v>0.8</v>
      </c>
      <c r="AH124" s="2" t="s">
        <v>139</v>
      </c>
      <c r="AI124" s="2"/>
      <c r="AJ124" s="2"/>
    </row>
    <row r="125" spans="4:36" ht="20.100000000000001" customHeight="1" x14ac:dyDescent="0.25">
      <c r="W125" s="52" t="str">
        <f>'Input - Pasture Beef'!D170</f>
        <v>November 2025</v>
      </c>
      <c r="X125" s="52">
        <f ca="1"/>
        <v>0.8</v>
      </c>
      <c r="Y125" s="52">
        <f ca="1"/>
        <v>0.8</v>
      </c>
      <c r="Z125" s="52">
        <f ca="1"/>
        <v>0.8</v>
      </c>
      <c r="AA125" s="52">
        <f ca="1"/>
        <v>0.8</v>
      </c>
      <c r="AB125" s="52">
        <f ca="1"/>
        <v>0.8</v>
      </c>
      <c r="AC125" s="52">
        <f ca="1"/>
        <v>0.8</v>
      </c>
      <c r="AD125" s="52">
        <f ca="1"/>
        <v>0.8</v>
      </c>
      <c r="AE125" s="52">
        <f ca="1"/>
        <v>0.8</v>
      </c>
      <c r="AF125" s="52">
        <f ca="1"/>
        <v>0.8</v>
      </c>
      <c r="AG125" s="52">
        <f ca="1"/>
        <v>0.8</v>
      </c>
      <c r="AH125" s="2" t="s">
        <v>139</v>
      </c>
      <c r="AI125" s="2"/>
      <c r="AJ125" s="2"/>
    </row>
    <row r="126" spans="4:36" ht="20.100000000000001" customHeight="1" x14ac:dyDescent="0.25">
      <c r="W126" s="52" t="str">
        <f>'Input - Pasture Beef'!D171</f>
        <v>December 2025</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139</v>
      </c>
      <c r="AI126" s="2"/>
      <c r="AJ126" s="2"/>
    </row>
    <row r="127" spans="4:36" ht="20.100000000000001" customHeight="1" x14ac:dyDescent="0.25"/>
    <row r="128" spans="4:36" ht="20.100000000000001" customHeight="1" x14ac:dyDescent="0.25">
      <c r="D128" s="98" t="s">
        <v>259</v>
      </c>
      <c r="W128" s="98" t="s">
        <v>260</v>
      </c>
    </row>
    <row r="129" spans="4:36" ht="20.100000000000001" customHeight="1" x14ac:dyDescent="0.25">
      <c r="D129" s="97" t="s">
        <v>109</v>
      </c>
      <c r="W129" s="97" t="s">
        <v>111</v>
      </c>
    </row>
    <row r="130" spans="4:36" ht="20.100000000000001" customHeight="1" x14ac:dyDescent="0.25">
      <c r="D130" s="51" t="s">
        <v>182</v>
      </c>
      <c r="E130" s="51" t="s">
        <v>129</v>
      </c>
      <c r="F130" s="51" t="s">
        <v>128</v>
      </c>
      <c r="G130" s="51" t="s">
        <v>163</v>
      </c>
      <c r="H130" s="51" t="s">
        <v>164</v>
      </c>
      <c r="I130" s="51" t="s">
        <v>165</v>
      </c>
      <c r="J130" s="51" t="s">
        <v>166</v>
      </c>
      <c r="K130" s="51" t="s">
        <v>167</v>
      </c>
      <c r="L130" s="51" t="s">
        <v>168</v>
      </c>
      <c r="M130" s="51" t="s">
        <v>169</v>
      </c>
      <c r="N130" s="51" t="s">
        <v>170</v>
      </c>
      <c r="W130" s="51" t="s">
        <v>130</v>
      </c>
      <c r="X130" s="51" t="s">
        <v>129</v>
      </c>
      <c r="Y130" s="51" t="s">
        <v>128</v>
      </c>
      <c r="Z130" s="51" t="s">
        <v>163</v>
      </c>
      <c r="AA130" s="51" t="s">
        <v>164</v>
      </c>
      <c r="AB130" s="51" t="s">
        <v>165</v>
      </c>
      <c r="AC130" s="51" t="s">
        <v>166</v>
      </c>
      <c r="AD130" s="51" t="s">
        <v>167</v>
      </c>
      <c r="AE130" s="51" t="s">
        <v>168</v>
      </c>
      <c r="AF130" s="51" t="s">
        <v>169</v>
      </c>
      <c r="AG130" s="51" t="s">
        <v>170</v>
      </c>
    </row>
    <row r="131" spans="4:36" ht="20.100000000000001" customHeight="1" x14ac:dyDescent="0.25">
      <c r="D131" s="52" t="s">
        <v>171</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2025</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172</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2025</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173</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2025</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174</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2025</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2025</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2025</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2025</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2025</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2025</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2025</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2025</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2025</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26</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29</v>
      </c>
      <c r="E151" s="1" t="str" cm="1">
        <f t="array" ref="E151">MMS_PastureBeef_Methane_Equations.VEERG_4_2_1_1__2_MethaneProductionFromManure_Variable()</f>
        <v>M_jklm</v>
      </c>
    </row>
    <row r="152" spans="3:37" ht="20.100000000000001" customHeight="1" x14ac:dyDescent="0.25">
      <c r="D152" s="53" t="s">
        <v>19</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'Constants - Pature Beef'!$D$428</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'Constants - Common'!$D$175</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267</v>
      </c>
    </row>
    <row r="163" spans="4:34" ht="20.100000000000001" customHeight="1" x14ac:dyDescent="0.25">
      <c r="D163" s="97" t="s">
        <v>266</v>
      </c>
    </row>
    <row r="164" spans="4:34" ht="20.100000000000001" customHeight="1" x14ac:dyDescent="0.25">
      <c r="D164" s="51" t="s">
        <v>67</v>
      </c>
      <c r="E164" s="122" t="s">
        <v>346</v>
      </c>
      <c r="F164" s="2" t="s">
        <v>139</v>
      </c>
    </row>
    <row r="165" spans="4:34" ht="20.100000000000001" customHeight="1" x14ac:dyDescent="0.25">
      <c r="D165" s="52" t="str">
        <f>'Input - Pasture Beef'!$D$179</f>
        <v>Pasture range and paddock</v>
      </c>
      <c r="E165" s="52">
        <f>'Input - Pasture Beef'!$E$179</f>
        <v>0.99621999999999999</v>
      </c>
      <c r="F165" s="2" t="s">
        <v>139</v>
      </c>
    </row>
    <row r="166" spans="4:34" ht="20.100000000000001" customHeight="1" x14ac:dyDescent="0.25">
      <c r="D166" s="52" t="str">
        <f>'Input - Pasture Beef'!$D$180</f>
        <v>Anaerobic lagoon</v>
      </c>
      <c r="E166" s="52">
        <f>'Input - Pasture Beef'!$E$180</f>
        <v>3.7799999999999999E-3</v>
      </c>
    </row>
    <row r="167" spans="4:34" ht="20.100000000000001" customHeight="1" x14ac:dyDescent="0.25"/>
    <row r="168" spans="4:34" ht="20.100000000000001" customHeight="1" x14ac:dyDescent="0.25">
      <c r="D168" s="98" t="s">
        <v>143</v>
      </c>
      <c r="W168" s="98" t="s">
        <v>363</v>
      </c>
    </row>
    <row r="169" spans="4:34" ht="20.100000000000001" customHeight="1" x14ac:dyDescent="0.25">
      <c r="D169" s="97" t="s">
        <v>362</v>
      </c>
      <c r="W169" s="97" t="s">
        <v>364</v>
      </c>
    </row>
    <row r="170" spans="4:34" ht="20.100000000000001" customHeight="1" x14ac:dyDescent="0.25">
      <c r="D170" s="51" t="s">
        <v>67</v>
      </c>
      <c r="E170" s="51" t="s">
        <v>97</v>
      </c>
      <c r="W170" s="51" t="s">
        <v>67</v>
      </c>
      <c r="X170" s="51" t="s">
        <v>97</v>
      </c>
    </row>
    <row r="171" spans="4:34" ht="20.100000000000001" customHeight="1" x14ac:dyDescent="0.25">
      <c r="D171" s="52" t="str">
        <f>'Input - Pasture Beef'!$D$179</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Beef'!$D$179</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Beef'!$D$180</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Beef'!$D$180</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268</v>
      </c>
      <c r="W174" s="98" t="s">
        <v>270</v>
      </c>
    </row>
    <row r="175" spans="4:34" ht="20.100000000000001" customHeight="1" x14ac:dyDescent="0.25">
      <c r="D175" s="97" t="s">
        <v>269</v>
      </c>
      <c r="W175" s="97" t="s">
        <v>271</v>
      </c>
    </row>
    <row r="176" spans="4:34" ht="20.100000000000001" customHeight="1" x14ac:dyDescent="0.25">
      <c r="D176" s="51" t="s">
        <v>67</v>
      </c>
      <c r="E176" s="51" t="s">
        <v>182</v>
      </c>
      <c r="F176" s="51" t="s">
        <v>129</v>
      </c>
      <c r="G176" s="51" t="s">
        <v>128</v>
      </c>
      <c r="H176" s="51" t="s">
        <v>163</v>
      </c>
      <c r="I176" s="51" t="s">
        <v>164</v>
      </c>
      <c r="J176" s="51" t="s">
        <v>165</v>
      </c>
      <c r="K176" s="51" t="s">
        <v>166</v>
      </c>
      <c r="L176" s="51" t="s">
        <v>167</v>
      </c>
      <c r="M176" s="51" t="s">
        <v>168</v>
      </c>
      <c r="N176" s="51" t="s">
        <v>169</v>
      </c>
      <c r="O176" s="51" t="s">
        <v>170</v>
      </c>
      <c r="W176" s="51" t="s">
        <v>67</v>
      </c>
      <c r="X176" s="51" t="s">
        <v>130</v>
      </c>
      <c r="Y176" s="51" t="s">
        <v>129</v>
      </c>
      <c r="Z176" s="51" t="s">
        <v>128</v>
      </c>
      <c r="AA176" s="51" t="s">
        <v>163</v>
      </c>
      <c r="AB176" s="51" t="s">
        <v>164</v>
      </c>
      <c r="AC176" s="51" t="s">
        <v>165</v>
      </c>
      <c r="AD176" s="51" t="s">
        <v>166</v>
      </c>
      <c r="AE176" s="51" t="s">
        <v>167</v>
      </c>
      <c r="AF176" s="51" t="s">
        <v>168</v>
      </c>
      <c r="AG176" s="51" t="s">
        <v>169</v>
      </c>
      <c r="AH176" s="51" t="s">
        <v>170</v>
      </c>
    </row>
    <row r="177" spans="4:36" ht="20.100000000000001" customHeight="1" x14ac:dyDescent="0.25">
      <c r="D177" s="52" t="str">
        <f>'Input - Pasture Beef'!$D$179</f>
        <v>Pasture range and paddock</v>
      </c>
      <c r="E177" s="52" t="s">
        <v>171</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Beef'!$D$179</f>
        <v>Pasture range and paddock</v>
      </c>
      <c r="X177" s="52" t="str">
        <f t="shared" ref="X177:X188" si="7">W131</f>
        <v>January 2025</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Beef'!$D$179</f>
        <v>Pasture range and paddock</v>
      </c>
      <c r="E178" s="52" t="s">
        <v>172</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Beef'!$D$179</f>
        <v>Pasture range and paddock</v>
      </c>
      <c r="X178" s="52" t="str">
        <f t="shared" si="7"/>
        <v>February 2025</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Beef'!$D$179</f>
        <v>Pasture range and paddock</v>
      </c>
      <c r="E179" s="52" t="s">
        <v>173</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Beef'!$D$179</f>
        <v>Pasture range and paddock</v>
      </c>
      <c r="X179" s="52" t="str">
        <f t="shared" si="7"/>
        <v>March 2025</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Beef'!$D$179</f>
        <v>Pasture range and paddock</v>
      </c>
      <c r="E180" s="52" t="s">
        <v>174</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Beef'!$D$179</f>
        <v>Pasture range and paddock</v>
      </c>
      <c r="X180" s="52" t="str">
        <f t="shared" si="7"/>
        <v>April 2025</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Beef'!$D$180</f>
        <v>Anaerobic lagoon</v>
      </c>
      <c r="E181" s="52" t="s">
        <v>171</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Beef'!$D$179</f>
        <v>Pasture range and paddock</v>
      </c>
      <c r="X181" s="52" t="str">
        <f t="shared" si="7"/>
        <v>May 2025</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Beef'!$D$180</f>
        <v>Anaerobic lagoon</v>
      </c>
      <c r="E182" s="52" t="s">
        <v>172</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Beef'!$D$179</f>
        <v>Pasture range and paddock</v>
      </c>
      <c r="X182" s="52" t="str">
        <f t="shared" si="7"/>
        <v>June 2025</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Beef'!$D$180</f>
        <v>Anaerobic lagoon</v>
      </c>
      <c r="E183" s="52" t="s">
        <v>173</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Beef'!$D$179</f>
        <v>Pasture range and paddock</v>
      </c>
      <c r="X183" s="52" t="str">
        <f t="shared" si="7"/>
        <v>July 2025</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Beef'!$D$180</f>
        <v>Anaerobic lagoon</v>
      </c>
      <c r="E184" s="52" t="s">
        <v>174</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Beef'!$D$179</f>
        <v>Pasture range and paddock</v>
      </c>
      <c r="X184" s="52" t="str">
        <f t="shared" si="7"/>
        <v>August 2025</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Beef'!$D$179</f>
        <v>Pasture range and paddock</v>
      </c>
      <c r="X185" s="52" t="str">
        <f t="shared" si="7"/>
        <v>September 2025</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Beef'!$D$179</f>
        <v>Pasture range and paddock</v>
      </c>
      <c r="X186" s="52" t="str">
        <f t="shared" si="7"/>
        <v>October 2025</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Beef'!$D$179</f>
        <v>Pasture range and paddock</v>
      </c>
      <c r="X187" s="52" t="str">
        <f t="shared" si="7"/>
        <v>November 2025</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Beef'!$D$179</f>
        <v>Pasture range and paddock</v>
      </c>
      <c r="X188" s="52" t="str">
        <f t="shared" si="7"/>
        <v>December 2025</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Beef'!$D$180</f>
        <v>Anaerobic lagoon</v>
      </c>
      <c r="X189" s="52" t="str">
        <f>W131</f>
        <v>January 2025</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Beef'!$D$180</f>
        <v>Anaerobic lagoon</v>
      </c>
      <c r="X190" s="52" t="str">
        <f t="shared" ref="X190:X200" si="9">W132</f>
        <v>February 2025</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Beef'!$D$180</f>
        <v>Anaerobic lagoon</v>
      </c>
      <c r="X191" s="52" t="str">
        <f t="shared" si="9"/>
        <v>March 2025</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Beef'!$D$180</f>
        <v>Anaerobic lagoon</v>
      </c>
      <c r="X192" s="52" t="str">
        <f t="shared" si="9"/>
        <v>April 2025</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Beef'!$D$180</f>
        <v>Anaerobic lagoon</v>
      </c>
      <c r="X193" s="52" t="str">
        <f t="shared" si="9"/>
        <v>May 2025</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Beef'!$D$180</f>
        <v>Anaerobic lagoon</v>
      </c>
      <c r="X194" s="52" t="str">
        <f t="shared" si="9"/>
        <v>June 2025</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Beef'!$D$180</f>
        <v>Anaerobic lagoon</v>
      </c>
      <c r="X195" s="52" t="str">
        <f t="shared" si="9"/>
        <v>July 2025</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Beef'!$D$180</f>
        <v>Anaerobic lagoon</v>
      </c>
      <c r="X196" s="52" t="str">
        <f t="shared" si="9"/>
        <v>August 2025</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Beef'!$D$180</f>
        <v>Anaerobic lagoon</v>
      </c>
      <c r="X197" s="52" t="str">
        <f t="shared" si="9"/>
        <v>September 2025</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Beef'!$D$180</f>
        <v>Anaerobic lagoon</v>
      </c>
      <c r="X198" s="52" t="str">
        <f t="shared" si="9"/>
        <v>October 2025</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Beef'!$D$180</f>
        <v>Anaerobic lagoon</v>
      </c>
      <c r="X199" s="52" t="str">
        <f t="shared" si="9"/>
        <v>November 2025</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Beef'!$D$180</f>
        <v>Anaerobic lagoon</v>
      </c>
      <c r="X200" s="52" t="str">
        <f t="shared" si="9"/>
        <v>December 2025</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26</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29</v>
      </c>
      <c r="E209" s="1" t="str" cm="1">
        <f t="array" ref="E209">MMS_PastureBeef_Methane_Equations.VEERG_4_2_1_1__1_TotalAnnualMethaneProductionFromManureManagement_Variable()</f>
        <v>E_CH4</v>
      </c>
    </row>
    <row r="210" spans="4:34" ht="20.100000000000001" customHeight="1" x14ac:dyDescent="0.25">
      <c r="D210" s="53" t="s">
        <v>19</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272</v>
      </c>
      <c r="W216" s="98" t="s">
        <v>277</v>
      </c>
    </row>
    <row r="217" spans="4:34" ht="20.100000000000001" customHeight="1" x14ac:dyDescent="0.25">
      <c r="D217" s="97" t="s">
        <v>273</v>
      </c>
      <c r="W217" s="97" t="s">
        <v>278</v>
      </c>
    </row>
    <row r="218" spans="4:34" ht="20.100000000000001" customHeight="1" x14ac:dyDescent="0.25">
      <c r="D218" s="51" t="s">
        <v>182</v>
      </c>
      <c r="E218" s="122" t="s">
        <v>129</v>
      </c>
      <c r="F218" s="122" t="s">
        <v>128</v>
      </c>
      <c r="G218" s="122" t="s">
        <v>163</v>
      </c>
      <c r="H218" s="122" t="s">
        <v>164</v>
      </c>
      <c r="I218" s="122" t="s">
        <v>165</v>
      </c>
      <c r="J218" s="122" t="s">
        <v>166</v>
      </c>
      <c r="K218" s="122" t="s">
        <v>167</v>
      </c>
      <c r="L218" s="122" t="s">
        <v>168</v>
      </c>
      <c r="M218" s="122" t="s">
        <v>169</v>
      </c>
      <c r="N218" s="122" t="s">
        <v>170</v>
      </c>
      <c r="W218" s="51" t="s">
        <v>130</v>
      </c>
      <c r="X218" s="122" t="s">
        <v>129</v>
      </c>
      <c r="Y218" s="122" t="s">
        <v>128</v>
      </c>
      <c r="Z218" s="122" t="s">
        <v>163</v>
      </c>
      <c r="AA218" s="122" t="s">
        <v>164</v>
      </c>
      <c r="AB218" s="122" t="s">
        <v>165</v>
      </c>
      <c r="AC218" s="122" t="s">
        <v>166</v>
      </c>
      <c r="AD218" s="122" t="s">
        <v>167</v>
      </c>
      <c r="AE218" s="122" t="s">
        <v>168</v>
      </c>
      <c r="AF218" s="122" t="s">
        <v>169</v>
      </c>
      <c r="AG218" s="122" t="s">
        <v>170</v>
      </c>
      <c r="AH218" s="2"/>
    </row>
    <row r="219" spans="4:34" ht="20.100000000000001" customHeight="1" x14ac:dyDescent="0.25">
      <c r="D219" s="52" t="s">
        <v>171</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100</v>
      </c>
      <c r="W219" s="52" t="str">
        <f>TEXT('Input - Site'!$E$12, "mmmm yyyy")</f>
        <v>January 2025</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101</v>
      </c>
    </row>
    <row r="220" spans="4:34" ht="20.100000000000001" customHeight="1" x14ac:dyDescent="0.25">
      <c r="D220" s="52" t="s">
        <v>172</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100</v>
      </c>
      <c r="W220" s="52" t="str">
        <f>TEXT(EDATE('Input - Site'!$E$12,1), "mmmm yyyy")</f>
        <v>February 2025</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101</v>
      </c>
    </row>
    <row r="221" spans="4:34" ht="20.100000000000001" customHeight="1" x14ac:dyDescent="0.25">
      <c r="D221" s="52" t="s">
        <v>173</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100</v>
      </c>
      <c r="W221" s="52" t="str">
        <f>TEXT(EDATE('Input - Site'!$E$12,2), "mmmm yyyy")</f>
        <v>March 2025</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101</v>
      </c>
    </row>
    <row r="222" spans="4:34" ht="20.100000000000001" customHeight="1" x14ac:dyDescent="0.25">
      <c r="D222" s="52" t="s">
        <v>174</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100</v>
      </c>
      <c r="W222" s="52" t="str">
        <f>TEXT(EDATE('Input - Site'!$E$12,3), "mmmm yyyy")</f>
        <v>April 2025</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101</v>
      </c>
    </row>
    <row r="223" spans="4:34" ht="20.100000000000001" customHeight="1" x14ac:dyDescent="0.25">
      <c r="W223" s="52" t="str">
        <f>TEXT(EDATE('Input - Site'!$E$12,4), "mmmm yyyy")</f>
        <v>May 2025</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101</v>
      </c>
    </row>
    <row r="224" spans="4:34" ht="20.100000000000001" customHeight="1" x14ac:dyDescent="0.25">
      <c r="D224" s="98" t="s">
        <v>144</v>
      </c>
      <c r="W224" s="52" t="str">
        <f>TEXT(EDATE('Input - Site'!$E$12,5), "mmmm yyyy")</f>
        <v>June 2025</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101</v>
      </c>
    </row>
    <row r="225" spans="4:34" ht="20.100000000000001" customHeight="1" x14ac:dyDescent="0.25">
      <c r="D225" s="97" t="s">
        <v>274</v>
      </c>
      <c r="W225" s="52" t="str">
        <f>TEXT(EDATE('Input - Site'!$E$12,6), "mmmm yyyy")</f>
        <v>July 2025</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101</v>
      </c>
    </row>
    <row r="226" spans="4:34" ht="20.100000000000001" customHeight="1" x14ac:dyDescent="0.25">
      <c r="D226" s="51" t="s">
        <v>182</v>
      </c>
      <c r="E226" s="122" t="s">
        <v>129</v>
      </c>
      <c r="F226" s="122" t="s">
        <v>128</v>
      </c>
      <c r="G226" s="122" t="s">
        <v>163</v>
      </c>
      <c r="H226" s="122" t="s">
        <v>164</v>
      </c>
      <c r="I226" s="122" t="s">
        <v>165</v>
      </c>
      <c r="J226" s="122" t="s">
        <v>166</v>
      </c>
      <c r="K226" s="122" t="s">
        <v>167</v>
      </c>
      <c r="L226" s="122" t="s">
        <v>168</v>
      </c>
      <c r="M226" s="122" t="s">
        <v>169</v>
      </c>
      <c r="N226" s="122" t="s">
        <v>170</v>
      </c>
      <c r="W226" s="52" t="str">
        <f>TEXT(EDATE('Input - Site'!$E$12,7), "mmmm yyyy")</f>
        <v>August 2025</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101</v>
      </c>
    </row>
    <row r="227" spans="4:34" ht="20.100000000000001" customHeight="1" x14ac:dyDescent="0.25">
      <c r="D227" s="52" t="s">
        <v>171</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275</v>
      </c>
      <c r="W227" s="52" t="str">
        <f>TEXT(EDATE('Input - Site'!$E$12,8), "mmmm yyyy")</f>
        <v>September 2025</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101</v>
      </c>
    </row>
    <row r="228" spans="4:34" ht="20.100000000000001" customHeight="1" x14ac:dyDescent="0.25">
      <c r="D228" s="52" t="s">
        <v>172</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275</v>
      </c>
      <c r="W228" s="52" t="str">
        <f>TEXT(EDATE('Input - Site'!$E$12,9), "mmmm yyyy")</f>
        <v>October 2025</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101</v>
      </c>
    </row>
    <row r="229" spans="4:34" ht="20.100000000000001" customHeight="1" x14ac:dyDescent="0.25">
      <c r="D229" s="52" t="s">
        <v>173</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275</v>
      </c>
      <c r="W229" s="52" t="str">
        <f>TEXT(EDATE('Input - Site'!$E$12,10), "mmmm yyyy")</f>
        <v>November 2025</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101</v>
      </c>
    </row>
    <row r="230" spans="4:34" ht="20.100000000000001" customHeight="1" x14ac:dyDescent="0.25">
      <c r="D230" s="52" t="s">
        <v>174</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275</v>
      </c>
      <c r="W230" s="52" t="str">
        <f>TEXT(EDATE('Input - Site'!$E$12,11), "mmmm yyyy")</f>
        <v>December 2025</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101</v>
      </c>
    </row>
    <row r="231" spans="4:34" ht="20.100000000000001" customHeight="1" x14ac:dyDescent="0.25"/>
    <row r="232" spans="4:34" ht="20.100000000000001" customHeight="1" x14ac:dyDescent="0.25">
      <c r="D232" s="98" t="s">
        <v>145</v>
      </c>
      <c r="W232" s="98" t="s">
        <v>147</v>
      </c>
    </row>
    <row r="233" spans="4:34" ht="20.100000000000001" customHeight="1" x14ac:dyDescent="0.25">
      <c r="D233" s="97" t="s">
        <v>276</v>
      </c>
      <c r="W233" s="97" t="s">
        <v>279</v>
      </c>
    </row>
    <row r="234" spans="4:34" ht="20.100000000000001" customHeight="1" x14ac:dyDescent="0.25">
      <c r="D234" s="51" t="s">
        <v>67</v>
      </c>
      <c r="E234" s="51" t="s">
        <v>182</v>
      </c>
      <c r="F234" s="51" t="s">
        <v>129</v>
      </c>
      <c r="G234" s="51" t="s">
        <v>128</v>
      </c>
      <c r="H234" s="51" t="s">
        <v>163</v>
      </c>
      <c r="I234" s="51" t="s">
        <v>164</v>
      </c>
      <c r="J234" s="51" t="s">
        <v>165</v>
      </c>
      <c r="K234" s="51" t="s">
        <v>166</v>
      </c>
      <c r="L234" s="51" t="s">
        <v>167</v>
      </c>
      <c r="M234" s="51" t="s">
        <v>168</v>
      </c>
      <c r="N234" s="51" t="s">
        <v>169</v>
      </c>
      <c r="O234" s="51" t="s">
        <v>170</v>
      </c>
      <c r="W234" s="51" t="s">
        <v>130</v>
      </c>
      <c r="X234" s="122" t="s">
        <v>129</v>
      </c>
      <c r="Y234" s="122" t="s">
        <v>128</v>
      </c>
      <c r="Z234" s="122" t="s">
        <v>163</v>
      </c>
      <c r="AA234" s="122" t="s">
        <v>164</v>
      </c>
      <c r="AB234" s="122" t="s">
        <v>165</v>
      </c>
      <c r="AC234" s="122" t="s">
        <v>166</v>
      </c>
      <c r="AD234" s="122" t="s">
        <v>167</v>
      </c>
      <c r="AE234" s="122" t="s">
        <v>168</v>
      </c>
      <c r="AF234" s="122" t="s">
        <v>169</v>
      </c>
      <c r="AG234" s="122" t="s">
        <v>170</v>
      </c>
      <c r="AH234" s="2"/>
    </row>
    <row r="235" spans="4:34" ht="20.100000000000001" customHeight="1" x14ac:dyDescent="0.25">
      <c r="D235" s="52" t="str">
        <f>'Input - Pasture Beef'!$D$179</f>
        <v>Pasture range and paddock</v>
      </c>
      <c r="E235" s="52" t="s">
        <v>171</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2025</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275</v>
      </c>
    </row>
    <row r="236" spans="4:34" ht="20.100000000000001" customHeight="1" x14ac:dyDescent="0.25">
      <c r="D236" s="52" t="str">
        <f>'Input - Pasture Beef'!$D$179</f>
        <v>Pasture range and paddock</v>
      </c>
      <c r="E236" s="52" t="s">
        <v>172</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2025</v>
      </c>
      <c r="X236" s="52">
        <f ca="1"/>
        <v>29</v>
      </c>
      <c r="Y236" s="52">
        <f ca="1"/>
        <v>29</v>
      </c>
      <c r="Z236" s="52">
        <f ca="1"/>
        <v>29</v>
      </c>
      <c r="AA236" s="52">
        <f ca="1"/>
        <v>29</v>
      </c>
      <c r="AB236" s="52">
        <f ca="1"/>
        <v>29</v>
      </c>
      <c r="AC236" s="52">
        <f ca="1"/>
        <v>29</v>
      </c>
      <c r="AD236" s="52">
        <f ca="1"/>
        <v>29</v>
      </c>
      <c r="AE236" s="52">
        <f ca="1"/>
        <v>29</v>
      </c>
      <c r="AF236" s="52">
        <f ca="1"/>
        <v>29</v>
      </c>
      <c r="AG236" s="52">
        <f ca="1"/>
        <v>29</v>
      </c>
      <c r="AH236" s="2" t="s">
        <v>275</v>
      </c>
    </row>
    <row r="237" spans="4:34" ht="20.100000000000001" customHeight="1" x14ac:dyDescent="0.25">
      <c r="D237" s="52" t="str">
        <f>'Input - Pasture Beef'!$D$179</f>
        <v>Pasture range and paddock</v>
      </c>
      <c r="E237" s="52" t="s">
        <v>173</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2025</v>
      </c>
      <c r="X237" s="52">
        <f ca="1"/>
        <v>31</v>
      </c>
      <c r="Y237" s="52">
        <f ca="1"/>
        <v>31</v>
      </c>
      <c r="Z237" s="52">
        <f ca="1"/>
        <v>31</v>
      </c>
      <c r="AA237" s="52">
        <f ca="1"/>
        <v>31</v>
      </c>
      <c r="AB237" s="52">
        <f ca="1"/>
        <v>31</v>
      </c>
      <c r="AC237" s="52">
        <f ca="1"/>
        <v>31</v>
      </c>
      <c r="AD237" s="52">
        <f ca="1"/>
        <v>31</v>
      </c>
      <c r="AE237" s="52">
        <f ca="1"/>
        <v>31</v>
      </c>
      <c r="AF237" s="52">
        <f ca="1"/>
        <v>31</v>
      </c>
      <c r="AG237" s="52">
        <f ca="1"/>
        <v>31</v>
      </c>
      <c r="AH237" s="2" t="s">
        <v>275</v>
      </c>
    </row>
    <row r="238" spans="4:34" ht="20.100000000000001" customHeight="1" x14ac:dyDescent="0.25">
      <c r="D238" s="52" t="str">
        <f>'Input - Pasture Beef'!$D$179</f>
        <v>Pasture range and paddock</v>
      </c>
      <c r="E238" s="52" t="s">
        <v>174</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2025</v>
      </c>
      <c r="X238" s="52">
        <f ca="1"/>
        <v>30</v>
      </c>
      <c r="Y238" s="52">
        <f ca="1"/>
        <v>30</v>
      </c>
      <c r="Z238" s="52">
        <f ca="1"/>
        <v>30</v>
      </c>
      <c r="AA238" s="52">
        <f ca="1"/>
        <v>30</v>
      </c>
      <c r="AB238" s="52">
        <f ca="1"/>
        <v>30</v>
      </c>
      <c r="AC238" s="52">
        <f ca="1"/>
        <v>30</v>
      </c>
      <c r="AD238" s="52">
        <f ca="1"/>
        <v>30</v>
      </c>
      <c r="AE238" s="52">
        <f ca="1"/>
        <v>30</v>
      </c>
      <c r="AF238" s="52">
        <f ca="1"/>
        <v>30</v>
      </c>
      <c r="AG238" s="52">
        <f ca="1"/>
        <v>30</v>
      </c>
      <c r="AH238" s="2" t="s">
        <v>275</v>
      </c>
    </row>
    <row r="239" spans="4:34" ht="20.100000000000001" customHeight="1" x14ac:dyDescent="0.25">
      <c r="D239" s="52" t="str">
        <f>'Input - Pasture Beef'!$D$180</f>
        <v>Anaerobic lagoon</v>
      </c>
      <c r="E239" s="52" t="s">
        <v>171</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2025</v>
      </c>
      <c r="X239" s="52">
        <f ca="1"/>
        <v>31</v>
      </c>
      <c r="Y239" s="52">
        <f ca="1"/>
        <v>31</v>
      </c>
      <c r="Z239" s="52">
        <f ca="1"/>
        <v>31</v>
      </c>
      <c r="AA239" s="52">
        <f ca="1"/>
        <v>31</v>
      </c>
      <c r="AB239" s="52">
        <f ca="1"/>
        <v>31</v>
      </c>
      <c r="AC239" s="52">
        <f ca="1"/>
        <v>31</v>
      </c>
      <c r="AD239" s="52">
        <f ca="1"/>
        <v>31</v>
      </c>
      <c r="AE239" s="52">
        <f ca="1"/>
        <v>31</v>
      </c>
      <c r="AF239" s="52">
        <f ca="1"/>
        <v>31</v>
      </c>
      <c r="AG239" s="52">
        <f ca="1"/>
        <v>31</v>
      </c>
      <c r="AH239" s="2" t="s">
        <v>275</v>
      </c>
    </row>
    <row r="240" spans="4:34" ht="20.100000000000001" customHeight="1" x14ac:dyDescent="0.25">
      <c r="D240" s="52" t="str">
        <f>'Input - Pasture Beef'!$D$180</f>
        <v>Anaerobic lagoon</v>
      </c>
      <c r="E240" s="52" t="s">
        <v>172</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2025</v>
      </c>
      <c r="X240" s="52">
        <f ca="1"/>
        <v>30</v>
      </c>
      <c r="Y240" s="52">
        <f ca="1"/>
        <v>30</v>
      </c>
      <c r="Z240" s="52">
        <f ca="1"/>
        <v>30</v>
      </c>
      <c r="AA240" s="52">
        <f ca="1"/>
        <v>30</v>
      </c>
      <c r="AB240" s="52">
        <f ca="1"/>
        <v>30</v>
      </c>
      <c r="AC240" s="52">
        <f ca="1"/>
        <v>30</v>
      </c>
      <c r="AD240" s="52">
        <f ca="1"/>
        <v>30</v>
      </c>
      <c r="AE240" s="52">
        <f ca="1"/>
        <v>30</v>
      </c>
      <c r="AF240" s="52">
        <f ca="1"/>
        <v>30</v>
      </c>
      <c r="AG240" s="52">
        <f ca="1"/>
        <v>30</v>
      </c>
      <c r="AH240" s="2" t="s">
        <v>275</v>
      </c>
    </row>
    <row r="241" spans="4:36" ht="20.100000000000001" customHeight="1" x14ac:dyDescent="0.25">
      <c r="D241" s="52" t="str">
        <f>'Input - Pasture Beef'!$D$180</f>
        <v>Anaerobic lagoon</v>
      </c>
      <c r="E241" s="52" t="s">
        <v>173</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2025</v>
      </c>
      <c r="X241" s="52">
        <f ca="1"/>
        <v>31</v>
      </c>
      <c r="Y241" s="52">
        <f ca="1"/>
        <v>31</v>
      </c>
      <c r="Z241" s="52">
        <f ca="1"/>
        <v>31</v>
      </c>
      <c r="AA241" s="52">
        <f ca="1"/>
        <v>31</v>
      </c>
      <c r="AB241" s="52">
        <f ca="1"/>
        <v>31</v>
      </c>
      <c r="AC241" s="52">
        <f ca="1"/>
        <v>31</v>
      </c>
      <c r="AD241" s="52">
        <f ca="1"/>
        <v>31</v>
      </c>
      <c r="AE241" s="52">
        <f ca="1"/>
        <v>31</v>
      </c>
      <c r="AF241" s="52">
        <f ca="1"/>
        <v>31</v>
      </c>
      <c r="AG241" s="52">
        <f ca="1"/>
        <v>31</v>
      </c>
      <c r="AH241" s="2" t="s">
        <v>275</v>
      </c>
    </row>
    <row r="242" spans="4:36" ht="20.100000000000001" customHeight="1" x14ac:dyDescent="0.25">
      <c r="D242" s="52" t="str">
        <f>'Input - Pasture Beef'!$D$180</f>
        <v>Anaerobic lagoon</v>
      </c>
      <c r="E242" s="52" t="s">
        <v>174</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2025</v>
      </c>
      <c r="X242" s="52">
        <f ca="1"/>
        <v>31</v>
      </c>
      <c r="Y242" s="52">
        <f ca="1"/>
        <v>31</v>
      </c>
      <c r="Z242" s="52">
        <f ca="1"/>
        <v>31</v>
      </c>
      <c r="AA242" s="52">
        <f ca="1"/>
        <v>31</v>
      </c>
      <c r="AB242" s="52">
        <f ca="1"/>
        <v>31</v>
      </c>
      <c r="AC242" s="52">
        <f ca="1"/>
        <v>31</v>
      </c>
      <c r="AD242" s="52">
        <f ca="1"/>
        <v>31</v>
      </c>
      <c r="AE242" s="52">
        <f ca="1"/>
        <v>31</v>
      </c>
      <c r="AF242" s="52">
        <f ca="1"/>
        <v>31</v>
      </c>
      <c r="AG242" s="52">
        <f ca="1"/>
        <v>31</v>
      </c>
      <c r="AH242" s="2" t="s">
        <v>275</v>
      </c>
    </row>
    <row r="243" spans="4:36" ht="20.100000000000001" customHeight="1" x14ac:dyDescent="0.25">
      <c r="W243" s="52" t="str">
        <f>TEXT(EDATE('Input - Site'!$E$12,8), "mmmm yyyy")</f>
        <v>September 2025</v>
      </c>
      <c r="X243" s="52">
        <f ca="1"/>
        <v>30</v>
      </c>
      <c r="Y243" s="52">
        <f ca="1"/>
        <v>30</v>
      </c>
      <c r="Z243" s="52">
        <f ca="1"/>
        <v>30</v>
      </c>
      <c r="AA243" s="52">
        <f ca="1"/>
        <v>30</v>
      </c>
      <c r="AB243" s="52">
        <f ca="1"/>
        <v>30</v>
      </c>
      <c r="AC243" s="52">
        <f ca="1"/>
        <v>30</v>
      </c>
      <c r="AD243" s="52">
        <f ca="1"/>
        <v>30</v>
      </c>
      <c r="AE243" s="52">
        <f ca="1"/>
        <v>30</v>
      </c>
      <c r="AF243" s="52">
        <f ca="1"/>
        <v>30</v>
      </c>
      <c r="AG243" s="52">
        <f ca="1"/>
        <v>30</v>
      </c>
      <c r="AH243" s="2" t="s">
        <v>275</v>
      </c>
    </row>
    <row r="244" spans="4:36" ht="20.100000000000001" customHeight="1" x14ac:dyDescent="0.25">
      <c r="D244" s="99" t="s">
        <v>299</v>
      </c>
      <c r="E244" s="100">
        <f ca="1">SUM(F235:O242)</f>
        <v>0.88628531326724402</v>
      </c>
      <c r="F244" s="101" t="str">
        <f>E210</f>
        <v>t CH4</v>
      </c>
      <c r="W244" s="52" t="str">
        <f>TEXT(EDATE('Input - Site'!$E$12,9), "mmmm yyyy")</f>
        <v>October 2025</v>
      </c>
      <c r="X244" s="52">
        <f ca="1"/>
        <v>31</v>
      </c>
      <c r="Y244" s="52">
        <f ca="1"/>
        <v>31</v>
      </c>
      <c r="Z244" s="52">
        <f ca="1"/>
        <v>31</v>
      </c>
      <c r="AA244" s="52">
        <f ca="1"/>
        <v>31</v>
      </c>
      <c r="AB244" s="52">
        <f ca="1"/>
        <v>31</v>
      </c>
      <c r="AC244" s="52">
        <f ca="1"/>
        <v>31</v>
      </c>
      <c r="AD244" s="52">
        <f ca="1"/>
        <v>31</v>
      </c>
      <c r="AE244" s="52">
        <f ca="1"/>
        <v>31</v>
      </c>
      <c r="AF244" s="52">
        <f ca="1"/>
        <v>31</v>
      </c>
      <c r="AG244" s="52">
        <f ca="1"/>
        <v>31</v>
      </c>
      <c r="AH244" s="2" t="s">
        <v>275</v>
      </c>
    </row>
    <row r="245" spans="4:36" ht="20.100000000000001" customHeight="1" x14ac:dyDescent="0.25">
      <c r="W245" s="52" t="str">
        <f>TEXT(EDATE('Input - Site'!$E$12,10), "mmmm yyyy")</f>
        <v>November 2025</v>
      </c>
      <c r="X245" s="52">
        <f ca="1"/>
        <v>30</v>
      </c>
      <c r="Y245" s="52">
        <f ca="1"/>
        <v>30</v>
      </c>
      <c r="Z245" s="52">
        <f ca="1"/>
        <v>30</v>
      </c>
      <c r="AA245" s="52">
        <f ca="1"/>
        <v>30</v>
      </c>
      <c r="AB245" s="52">
        <f ca="1"/>
        <v>30</v>
      </c>
      <c r="AC245" s="52">
        <f ca="1"/>
        <v>30</v>
      </c>
      <c r="AD245" s="52">
        <f ca="1"/>
        <v>30</v>
      </c>
      <c r="AE245" s="52">
        <f ca="1"/>
        <v>30</v>
      </c>
      <c r="AF245" s="52">
        <f ca="1"/>
        <v>30</v>
      </c>
      <c r="AG245" s="52">
        <f ca="1"/>
        <v>30</v>
      </c>
      <c r="AH245" s="2" t="s">
        <v>275</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2025</v>
      </c>
      <c r="X246" s="52">
        <f ca="1"/>
        <v>31</v>
      </c>
      <c r="Y246" s="52">
        <f ca="1"/>
        <v>31</v>
      </c>
      <c r="Z246" s="52">
        <f ca="1"/>
        <v>31</v>
      </c>
      <c r="AA246" s="52">
        <f ca="1"/>
        <v>31</v>
      </c>
      <c r="AB246" s="52">
        <f ca="1"/>
        <v>31</v>
      </c>
      <c r="AC246" s="52">
        <f ca="1"/>
        <v>31</v>
      </c>
      <c r="AD246" s="52">
        <f ca="1"/>
        <v>31</v>
      </c>
      <c r="AE246" s="52">
        <f ca="1"/>
        <v>31</v>
      </c>
      <c r="AF246" s="52">
        <f ca="1"/>
        <v>31</v>
      </c>
      <c r="AG246" s="52">
        <f ca="1"/>
        <v>31</v>
      </c>
      <c r="AH246" s="2" t="s">
        <v>275</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280</v>
      </c>
    </row>
    <row r="249" spans="4:36" ht="20.100000000000001" customHeight="1" x14ac:dyDescent="0.25">
      <c r="D249" s="45" t="s">
        <v>102</v>
      </c>
      <c r="E249" s="45" cm="1">
        <f t="array" aca="1" ref="E249" ca="1">Common_Equations.Common_ConvertN2OToCO2e(G246,G247)</f>
        <v>24.815988771482832</v>
      </c>
      <c r="F249" s="103" t="str" cm="1">
        <f t="array" ref="F249">Common_Equations.Common_ConvertN2OToCO2e_Unit()</f>
        <v>t CO2e</v>
      </c>
      <c r="W249" s="97" t="s">
        <v>281</v>
      </c>
    </row>
    <row r="250" spans="4:36" ht="20.100000000000001" customHeight="1" x14ac:dyDescent="0.25">
      <c r="W250" s="51" t="s">
        <v>67</v>
      </c>
      <c r="X250" s="51" t="s">
        <v>130</v>
      </c>
      <c r="Y250" s="51" t="s">
        <v>129</v>
      </c>
      <c r="Z250" s="51" t="s">
        <v>128</v>
      </c>
      <c r="AA250" s="51" t="s">
        <v>163</v>
      </c>
      <c r="AB250" s="51" t="s">
        <v>164</v>
      </c>
      <c r="AC250" s="51" t="s">
        <v>165</v>
      </c>
      <c r="AD250" s="51" t="s">
        <v>166</v>
      </c>
      <c r="AE250" s="51" t="s">
        <v>167</v>
      </c>
      <c r="AF250" s="51" t="s">
        <v>168</v>
      </c>
      <c r="AG250" s="51" t="s">
        <v>169</v>
      </c>
      <c r="AH250" s="51" t="s">
        <v>170</v>
      </c>
    </row>
    <row r="251" spans="4:36" ht="20.100000000000001" customHeight="1" x14ac:dyDescent="0.25">
      <c r="W251" s="52" t="str">
        <f>'Input - Pasture Beef'!$D$179</f>
        <v>Pasture range and paddock</v>
      </c>
      <c r="X251" s="52" t="str">
        <f>W235</f>
        <v>January 2025</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Beef'!$D$179</f>
        <v>Pasture range and paddock</v>
      </c>
      <c r="X252" s="52" t="str">
        <f t="shared" ref="X252:X262" si="12">W236</f>
        <v>February 2025</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Beef'!$D$179</f>
        <v>Pasture range and paddock</v>
      </c>
      <c r="X253" s="52" t="str">
        <f t="shared" si="12"/>
        <v>March 2025</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Beef'!$D$179</f>
        <v>Pasture range and paddock</v>
      </c>
      <c r="X254" s="52" t="str">
        <f t="shared" si="12"/>
        <v>April 2025</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Beef'!$D$179</f>
        <v>Pasture range and paddock</v>
      </c>
      <c r="X255" s="52" t="str">
        <f t="shared" si="12"/>
        <v>May 2025</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Beef'!$D$179</f>
        <v>Pasture range and paddock</v>
      </c>
      <c r="X256" s="52" t="str">
        <f t="shared" si="12"/>
        <v>June 2025</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Beef'!$D$179</f>
        <v>Pasture range and paddock</v>
      </c>
      <c r="X257" s="52" t="str">
        <f t="shared" si="12"/>
        <v>July 2025</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Beef'!$D$179</f>
        <v>Pasture range and paddock</v>
      </c>
      <c r="X258" s="52" t="str">
        <f t="shared" si="12"/>
        <v>August 2025</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Beef'!$D$179</f>
        <v>Pasture range and paddock</v>
      </c>
      <c r="X259" s="52" t="str">
        <f t="shared" si="12"/>
        <v>September 2025</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Beef'!$D$179</f>
        <v>Pasture range and paddock</v>
      </c>
      <c r="X260" s="52" t="str">
        <f t="shared" si="12"/>
        <v>October 2025</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Beef'!$D$179</f>
        <v>Pasture range and paddock</v>
      </c>
      <c r="X261" s="52" t="str">
        <f t="shared" si="12"/>
        <v>November 2025</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Beef'!$D$179</f>
        <v>Pasture range and paddock</v>
      </c>
      <c r="X262" s="52" t="str">
        <f t="shared" si="12"/>
        <v>December 2025</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Beef'!$D$180</f>
        <v>Anaerobic lagoon</v>
      </c>
      <c r="X263" s="52" t="str">
        <f>W235</f>
        <v>January 2025</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Beef'!$D$180</f>
        <v>Anaerobic lagoon</v>
      </c>
      <c r="X264" s="52" t="str">
        <f t="shared" ref="X264:X274" si="13">W236</f>
        <v>February 2025</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Beef'!$D$180</f>
        <v>Anaerobic lagoon</v>
      </c>
      <c r="X265" s="52" t="str">
        <f t="shared" si="13"/>
        <v>March 2025</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Beef'!$D$180</f>
        <v>Anaerobic lagoon</v>
      </c>
      <c r="X266" s="52" t="str">
        <f t="shared" si="13"/>
        <v>April 2025</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Beef'!$D$180</f>
        <v>Anaerobic lagoon</v>
      </c>
      <c r="X267" s="52" t="str">
        <f t="shared" si="13"/>
        <v>May 2025</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Beef'!$D$180</f>
        <v>Anaerobic lagoon</v>
      </c>
      <c r="X268" s="52" t="str">
        <f t="shared" si="13"/>
        <v>June 2025</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Beef'!$D$180</f>
        <v>Anaerobic lagoon</v>
      </c>
      <c r="X269" s="52" t="str">
        <f t="shared" si="13"/>
        <v>July 2025</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Beef'!$D$180</f>
        <v>Anaerobic lagoon</v>
      </c>
      <c r="X270" s="52" t="str">
        <f t="shared" si="13"/>
        <v>August 2025</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Beef'!$D$180</f>
        <v>Anaerobic lagoon</v>
      </c>
      <c r="X271" s="52" t="str">
        <f t="shared" si="13"/>
        <v>September 2025</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Beef'!$D$180</f>
        <v>Anaerobic lagoon</v>
      </c>
      <c r="X272" s="52" t="str">
        <f t="shared" si="13"/>
        <v>October 2025</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Beef'!$D$180</f>
        <v>Anaerobic lagoon</v>
      </c>
      <c r="X273" s="52" t="str">
        <f t="shared" si="13"/>
        <v>November 2025</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Beef'!$D$180</f>
        <v>Anaerobic lagoon</v>
      </c>
      <c r="X274" s="52" t="str">
        <f t="shared" si="13"/>
        <v>December 2025</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299</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102</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R250" zoomScaleNormal="100" workbookViewId="0">
      <selection activeCell="V267" sqref="V267"/>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282</v>
      </c>
    </row>
    <row r="2" spans="1:35" s="9" customFormat="1" ht="20.100000000000001" customHeight="1" x14ac:dyDescent="0.25"/>
    <row r="3" spans="1:35" ht="20.100000000000001" customHeight="1" x14ac:dyDescent="0.25">
      <c r="A3" s="17" t="str">
        <f>HYPERLINK("#'Home'!A1", "Home")</f>
        <v>Home</v>
      </c>
      <c r="C3" s="4"/>
      <c r="D3" s="4" t="s">
        <v>106</v>
      </c>
      <c r="E3" s="4"/>
      <c r="F3" s="4"/>
      <c r="G3" s="4"/>
      <c r="H3" s="4"/>
      <c r="I3" s="4"/>
      <c r="J3" s="4"/>
      <c r="K3" s="4"/>
      <c r="L3" s="4"/>
      <c r="M3" s="4"/>
      <c r="N3" s="4"/>
      <c r="O3" s="4"/>
      <c r="P3" s="4"/>
      <c r="Q3" s="4"/>
      <c r="R3" s="4"/>
      <c r="T3" s="4"/>
      <c r="U3" s="4" t="s">
        <v>107</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26</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75</v>
      </c>
      <c r="D10" s="53" t="s">
        <v>29</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19</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'Input - Pasture Beef'!$E$7</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283</v>
      </c>
      <c r="U17" s="98" t="s">
        <v>252</v>
      </c>
    </row>
    <row r="18" spans="1:34" ht="20.100000000000001" customHeight="1" x14ac:dyDescent="0.25">
      <c r="A18" s="17" t="str">
        <f>HYPERLINK("#'Constants - Livestock'!A1", "Constants - Livestock")</f>
        <v>Constants - Livestock</v>
      </c>
      <c r="D18" s="97" t="s">
        <v>242</v>
      </c>
      <c r="U18" s="97" t="s">
        <v>253</v>
      </c>
    </row>
    <row r="19" spans="1:34" ht="20.100000000000001" customHeight="1" x14ac:dyDescent="0.25">
      <c r="A19" s="17" t="str">
        <f>HYPERLINK("#'Constants - Common'!A1", "Constants - Common")</f>
        <v>Constants - Common</v>
      </c>
      <c r="D19" s="51" t="s">
        <v>182</v>
      </c>
      <c r="E19" s="122" t="s">
        <v>129</v>
      </c>
      <c r="F19" s="122" t="s">
        <v>128</v>
      </c>
      <c r="G19" s="122" t="s">
        <v>163</v>
      </c>
      <c r="H19" s="122" t="s">
        <v>164</v>
      </c>
      <c r="I19" s="122" t="s">
        <v>165</v>
      </c>
      <c r="J19" s="122" t="s">
        <v>166</v>
      </c>
      <c r="K19" s="122" t="s">
        <v>167</v>
      </c>
      <c r="L19" s="122" t="s">
        <v>168</v>
      </c>
      <c r="M19" s="122" t="s">
        <v>169</v>
      </c>
      <c r="N19" s="122" t="s">
        <v>170</v>
      </c>
      <c r="U19" s="51" t="s">
        <v>130</v>
      </c>
      <c r="V19" s="122" t="s">
        <v>129</v>
      </c>
      <c r="W19" s="122" t="s">
        <v>128</v>
      </c>
      <c r="X19" s="122" t="s">
        <v>163</v>
      </c>
      <c r="Y19" s="122" t="s">
        <v>164</v>
      </c>
      <c r="Z19" s="122" t="s">
        <v>165</v>
      </c>
      <c r="AA19" s="122" t="s">
        <v>166</v>
      </c>
      <c r="AB19" s="122" t="s">
        <v>167</v>
      </c>
      <c r="AC19" s="122" t="s">
        <v>168</v>
      </c>
      <c r="AD19" s="122" t="s">
        <v>169</v>
      </c>
      <c r="AE19" s="122" t="s">
        <v>170</v>
      </c>
      <c r="AF19" s="2"/>
      <c r="AG19" s="2"/>
      <c r="AH19" s="2"/>
    </row>
    <row r="20" spans="1:34" ht="20.100000000000001" customHeight="1" x14ac:dyDescent="0.25">
      <c r="A20" s="17" t="str">
        <f>HYPERLINK("#'Acknowledgements'!A1", "Acknowledgements")</f>
        <v>Acknowledgements</v>
      </c>
      <c r="D20" s="52" t="str">
        <f>'Input - Pasture Beef'!D60</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131</v>
      </c>
      <c r="U20" s="52" t="str">
        <f>TEXT('Input - Site'!$E$12, "mmmm yyyy")</f>
        <v>January 2025</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131</v>
      </c>
      <c r="AG20" s="2"/>
      <c r="AH20" s="2"/>
    </row>
    <row r="21" spans="1:34" ht="20.100000000000001" customHeight="1" x14ac:dyDescent="0.25">
      <c r="D21" s="52" t="str">
        <f>'Input - Pasture Beef'!D61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131</v>
      </c>
      <c r="U21" s="52" t="str">
        <f>TEXT(EDATE('Input - Site'!$E$12,1), "mmmm yyyy")</f>
        <v>February 2025</v>
      </c>
      <c r="V21" s="52">
        <f ca="1"/>
        <v>380</v>
      </c>
      <c r="W21" s="52">
        <f ca="1"/>
        <v>780</v>
      </c>
      <c r="X21" s="52">
        <f ca="1"/>
        <v>300</v>
      </c>
      <c r="Y21" s="52">
        <f ca="1"/>
        <v>450</v>
      </c>
      <c r="Z21" s="52">
        <f ca="1"/>
        <v>530</v>
      </c>
      <c r="AA21" s="52">
        <f ca="1"/>
        <v>530</v>
      </c>
      <c r="AB21" s="52">
        <f ca="1"/>
        <v>340</v>
      </c>
      <c r="AC21" s="52">
        <f ca="1"/>
        <v>470</v>
      </c>
      <c r="AD21" s="52">
        <f ca="1"/>
        <v>470</v>
      </c>
      <c r="AE21" s="52">
        <f ca="1"/>
        <v>470</v>
      </c>
      <c r="AF21" s="2" t="s">
        <v>131</v>
      </c>
      <c r="AG21" s="2"/>
      <c r="AH21" s="2"/>
    </row>
    <row r="22" spans="1:34" ht="20.100000000000001" customHeight="1" x14ac:dyDescent="0.25">
      <c r="A22" s="17"/>
      <c r="D22" s="52" t="str">
        <f>'Input - Pasture Beef'!D62</f>
        <v>Autumn</v>
      </c>
      <c r="E22" s="52">
        <f ca="1"/>
        <v>100</v>
      </c>
      <c r="F22" s="52">
        <f ca="1"/>
        <v>680</v>
      </c>
      <c r="G22" s="52">
        <f ca="1"/>
        <v>80</v>
      </c>
      <c r="H22" s="52">
        <f ca="1"/>
        <v>320</v>
      </c>
      <c r="I22" s="52">
        <f ca="1"/>
        <v>480</v>
      </c>
      <c r="J22" s="52">
        <f ca="1"/>
        <v>480</v>
      </c>
      <c r="K22" s="52">
        <f ca="1"/>
        <v>100</v>
      </c>
      <c r="L22" s="52">
        <f ca="1"/>
        <v>340</v>
      </c>
      <c r="M22" s="52">
        <f ca="1"/>
        <v>340</v>
      </c>
      <c r="N22" s="52">
        <f ca="1"/>
        <v>340</v>
      </c>
      <c r="O22" s="2" t="s">
        <v>131</v>
      </c>
      <c r="U22" s="52" t="str">
        <f>TEXT(EDATE('Input - Site'!$E$12,2), "mmmm yyyy")</f>
        <v>March 2025</v>
      </c>
      <c r="V22" s="52">
        <f ca="1"/>
        <v>100</v>
      </c>
      <c r="W22" s="52">
        <f ca="1"/>
        <v>680</v>
      </c>
      <c r="X22" s="52">
        <f ca="1"/>
        <v>80</v>
      </c>
      <c r="Y22" s="52">
        <f ca="1"/>
        <v>320</v>
      </c>
      <c r="Z22" s="52">
        <f ca="1"/>
        <v>480</v>
      </c>
      <c r="AA22" s="52">
        <f ca="1"/>
        <v>480</v>
      </c>
      <c r="AB22" s="52">
        <f ca="1"/>
        <v>100</v>
      </c>
      <c r="AC22" s="52">
        <f ca="1"/>
        <v>340</v>
      </c>
      <c r="AD22" s="52">
        <f ca="1"/>
        <v>340</v>
      </c>
      <c r="AE22" s="52">
        <f ca="1"/>
        <v>340</v>
      </c>
      <c r="AF22" s="2" t="s">
        <v>131</v>
      </c>
      <c r="AG22" s="2"/>
      <c r="AH22" s="2"/>
    </row>
    <row r="23" spans="1:34" ht="20.100000000000001" customHeight="1" x14ac:dyDescent="0.25">
      <c r="A23" s="17"/>
      <c r="D23" s="52" t="str">
        <f>'Input - Pasture Beef'!D63</f>
        <v>Winter</v>
      </c>
      <c r="E23" s="52">
        <f ca="1"/>
        <v>190</v>
      </c>
      <c r="F23" s="52">
        <f ca="1"/>
        <v>700</v>
      </c>
      <c r="G23" s="52">
        <f ca="1"/>
        <v>150</v>
      </c>
      <c r="H23" s="52">
        <f ca="1"/>
        <v>330</v>
      </c>
      <c r="I23" s="52">
        <f ca="1"/>
        <v>490</v>
      </c>
      <c r="J23" s="52">
        <f ca="1"/>
        <v>490</v>
      </c>
      <c r="K23" s="52">
        <f ca="1"/>
        <v>170</v>
      </c>
      <c r="L23" s="52">
        <f ca="1"/>
        <v>360</v>
      </c>
      <c r="M23" s="52">
        <f ca="1"/>
        <v>360</v>
      </c>
      <c r="N23" s="52">
        <f ca="1"/>
        <v>360</v>
      </c>
      <c r="O23" s="2" t="s">
        <v>131</v>
      </c>
      <c r="U23" s="52" t="str">
        <f>TEXT(EDATE('Input - Site'!$E$12,3), "mmmm yyyy")</f>
        <v>April 2025</v>
      </c>
      <c r="V23" s="52">
        <f ca="1"/>
        <v>100</v>
      </c>
      <c r="W23" s="52">
        <f ca="1"/>
        <v>680</v>
      </c>
      <c r="X23" s="52">
        <f ca="1"/>
        <v>80</v>
      </c>
      <c r="Y23" s="52">
        <f ca="1"/>
        <v>320</v>
      </c>
      <c r="Z23" s="52">
        <f ca="1"/>
        <v>480</v>
      </c>
      <c r="AA23" s="52">
        <f ca="1"/>
        <v>480</v>
      </c>
      <c r="AB23" s="52">
        <f ca="1"/>
        <v>100</v>
      </c>
      <c r="AC23" s="52">
        <f ca="1"/>
        <v>340</v>
      </c>
      <c r="AD23" s="52">
        <f ca="1"/>
        <v>340</v>
      </c>
      <c r="AE23" s="52">
        <f ca="1"/>
        <v>340</v>
      </c>
      <c r="AF23" s="2" t="s">
        <v>131</v>
      </c>
      <c r="AG23" s="2"/>
      <c r="AH23" s="2"/>
    </row>
    <row r="24" spans="1:34" ht="20.100000000000001" customHeight="1" x14ac:dyDescent="0.25">
      <c r="A24" s="17"/>
      <c r="U24" s="52" t="str">
        <f>TEXT(EDATE('Input - Site'!$E$12,4), "mmmm yyyy")</f>
        <v>May 2025</v>
      </c>
      <c r="V24" s="52">
        <f ca="1"/>
        <v>100</v>
      </c>
      <c r="W24" s="52">
        <f ca="1"/>
        <v>680</v>
      </c>
      <c r="X24" s="52">
        <f ca="1"/>
        <v>80</v>
      </c>
      <c r="Y24" s="52">
        <f ca="1"/>
        <v>320</v>
      </c>
      <c r="Z24" s="52">
        <f ca="1"/>
        <v>480</v>
      </c>
      <c r="AA24" s="52">
        <f ca="1"/>
        <v>480</v>
      </c>
      <c r="AB24" s="52">
        <f ca="1"/>
        <v>100</v>
      </c>
      <c r="AC24" s="52">
        <f ca="1"/>
        <v>340</v>
      </c>
      <c r="AD24" s="52">
        <f ca="1"/>
        <v>340</v>
      </c>
      <c r="AE24" s="52">
        <f ca="1"/>
        <v>340</v>
      </c>
      <c r="AF24" s="2" t="s">
        <v>131</v>
      </c>
      <c r="AG24" s="2"/>
      <c r="AH24" s="2"/>
    </row>
    <row r="25" spans="1:34" ht="20.100000000000001" customHeight="1" x14ac:dyDescent="0.25">
      <c r="D25" s="98" t="s">
        <v>285</v>
      </c>
      <c r="U25" s="52" t="str">
        <f>TEXT(EDATE('Input - Site'!$E$12,5), "mmmm yyyy")</f>
        <v>June 2025</v>
      </c>
      <c r="V25" s="52">
        <f ca="1"/>
        <v>190</v>
      </c>
      <c r="W25" s="52">
        <f ca="1"/>
        <v>700</v>
      </c>
      <c r="X25" s="52">
        <f ca="1"/>
        <v>150</v>
      </c>
      <c r="Y25" s="52">
        <f ca="1"/>
        <v>330</v>
      </c>
      <c r="Z25" s="52">
        <f ca="1"/>
        <v>490</v>
      </c>
      <c r="AA25" s="52">
        <f ca="1"/>
        <v>490</v>
      </c>
      <c r="AB25" s="52">
        <f ca="1"/>
        <v>170</v>
      </c>
      <c r="AC25" s="52">
        <f ca="1"/>
        <v>360</v>
      </c>
      <c r="AD25" s="52">
        <f ca="1"/>
        <v>360</v>
      </c>
      <c r="AE25" s="52">
        <f ca="1"/>
        <v>360</v>
      </c>
      <c r="AF25" s="2" t="s">
        <v>131</v>
      </c>
      <c r="AG25" s="2"/>
      <c r="AH25" s="2"/>
    </row>
    <row r="26" spans="1:34" ht="20.100000000000001" customHeight="1" x14ac:dyDescent="0.25">
      <c r="D26" s="97" t="s">
        <v>284</v>
      </c>
      <c r="U26" s="52" t="str">
        <f>TEXT(EDATE('Input - Site'!$E$12,6), "mmmm yyyy")</f>
        <v>July 2025</v>
      </c>
      <c r="V26" s="52">
        <f ca="1"/>
        <v>190</v>
      </c>
      <c r="W26" s="52">
        <f ca="1"/>
        <v>700</v>
      </c>
      <c r="X26" s="52">
        <f ca="1"/>
        <v>150</v>
      </c>
      <c r="Y26" s="52">
        <f ca="1"/>
        <v>330</v>
      </c>
      <c r="Z26" s="52">
        <f ca="1"/>
        <v>490</v>
      </c>
      <c r="AA26" s="52">
        <f ca="1"/>
        <v>490</v>
      </c>
      <c r="AB26" s="52">
        <f ca="1"/>
        <v>170</v>
      </c>
      <c r="AC26" s="52">
        <f ca="1"/>
        <v>360</v>
      </c>
      <c r="AD26" s="52">
        <f ca="1"/>
        <v>360</v>
      </c>
      <c r="AE26" s="52">
        <f ca="1"/>
        <v>360</v>
      </c>
      <c r="AF26" s="2" t="s">
        <v>131</v>
      </c>
      <c r="AG26" s="2"/>
      <c r="AH26" s="2"/>
    </row>
    <row r="27" spans="1:34" ht="20.100000000000001" customHeight="1" x14ac:dyDescent="0.25">
      <c r="D27" s="51" t="s">
        <v>129</v>
      </c>
      <c r="E27" s="51" t="s">
        <v>128</v>
      </c>
      <c r="F27" s="51" t="s">
        <v>163</v>
      </c>
      <c r="G27" s="51" t="s">
        <v>164</v>
      </c>
      <c r="H27" s="51" t="s">
        <v>165</v>
      </c>
      <c r="I27" s="51" t="s">
        <v>166</v>
      </c>
      <c r="J27" s="51" t="s">
        <v>167</v>
      </c>
      <c r="K27" s="51" t="s">
        <v>168</v>
      </c>
      <c r="L27" s="51" t="s">
        <v>169</v>
      </c>
      <c r="M27" s="51" t="s">
        <v>170</v>
      </c>
      <c r="U27" s="52" t="str">
        <f>TEXT(EDATE('Input - Site'!$E$12,7), "mmmm yyyy")</f>
        <v>August 2025</v>
      </c>
      <c r="V27" s="52">
        <f ca="1"/>
        <v>190</v>
      </c>
      <c r="W27" s="52">
        <f ca="1"/>
        <v>700</v>
      </c>
      <c r="X27" s="52">
        <f ca="1"/>
        <v>150</v>
      </c>
      <c r="Y27" s="52">
        <f ca="1"/>
        <v>330</v>
      </c>
      <c r="Z27" s="52">
        <f ca="1"/>
        <v>490</v>
      </c>
      <c r="AA27" s="52">
        <f ca="1"/>
        <v>490</v>
      </c>
      <c r="AB27" s="52">
        <f ca="1"/>
        <v>170</v>
      </c>
      <c r="AC27" s="52">
        <f ca="1"/>
        <v>360</v>
      </c>
      <c r="AD27" s="52">
        <f ca="1"/>
        <v>360</v>
      </c>
      <c r="AE27" s="52">
        <f ca="1"/>
        <v>360</v>
      </c>
      <c r="AF27" s="2" t="s">
        <v>131</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131</v>
      </c>
      <c r="U28" s="52" t="str">
        <f>TEXT(EDATE('Input - Site'!$E$12,8), "mmmm yyyy")</f>
        <v>September 2025</v>
      </c>
      <c r="V28" s="52">
        <f ca="1"/>
        <v>340</v>
      </c>
      <c r="W28" s="52">
        <f ca="1"/>
        <v>800</v>
      </c>
      <c r="X28" s="52">
        <f ca="1"/>
        <v>260</v>
      </c>
      <c r="Y28" s="52">
        <f ca="1"/>
        <v>420</v>
      </c>
      <c r="Z28" s="52">
        <f ca="1"/>
        <v>550</v>
      </c>
      <c r="AA28" s="52">
        <f ca="1"/>
        <v>550</v>
      </c>
      <c r="AB28" s="52">
        <f ca="1"/>
        <v>300</v>
      </c>
      <c r="AC28" s="52">
        <f ca="1"/>
        <v>480</v>
      </c>
      <c r="AD28" s="52">
        <f ca="1"/>
        <v>480</v>
      </c>
      <c r="AE28" s="52">
        <f ca="1"/>
        <v>480</v>
      </c>
      <c r="AF28" s="2" t="s">
        <v>131</v>
      </c>
      <c r="AG28" s="2"/>
      <c r="AH28" s="2"/>
    </row>
    <row r="29" spans="1:34" ht="20.100000000000001" customHeight="1" x14ac:dyDescent="0.25">
      <c r="U29" s="52" t="str">
        <f>TEXT(EDATE('Input - Site'!$E$12,9), "mmmm yyyy")</f>
        <v>October 2025</v>
      </c>
      <c r="V29" s="52">
        <f ca="1"/>
        <v>340</v>
      </c>
      <c r="W29" s="52">
        <f ca="1"/>
        <v>800</v>
      </c>
      <c r="X29" s="52">
        <f ca="1"/>
        <v>260</v>
      </c>
      <c r="Y29" s="52">
        <f ca="1"/>
        <v>420</v>
      </c>
      <c r="Z29" s="52">
        <f ca="1"/>
        <v>550</v>
      </c>
      <c r="AA29" s="52">
        <f ca="1"/>
        <v>550</v>
      </c>
      <c r="AB29" s="52">
        <f ca="1"/>
        <v>300</v>
      </c>
      <c r="AC29" s="52">
        <f ca="1"/>
        <v>480</v>
      </c>
      <c r="AD29" s="52">
        <f ca="1"/>
        <v>480</v>
      </c>
      <c r="AE29" s="52">
        <f ca="1"/>
        <v>480</v>
      </c>
      <c r="AF29" s="2" t="s">
        <v>131</v>
      </c>
      <c r="AG29" s="2"/>
      <c r="AH29" s="2"/>
    </row>
    <row r="30" spans="1:34" ht="20.100000000000001" customHeight="1" x14ac:dyDescent="0.25">
      <c r="D30" s="98" t="s">
        <v>286</v>
      </c>
      <c r="U30" s="52" t="str">
        <f>TEXT(EDATE('Input - Site'!$E$12,10), "mmmm yyyy")</f>
        <v>November 2025</v>
      </c>
      <c r="V30" s="52">
        <f ca="1"/>
        <v>340</v>
      </c>
      <c r="W30" s="52">
        <f ca="1"/>
        <v>800</v>
      </c>
      <c r="X30" s="52">
        <f ca="1"/>
        <v>260</v>
      </c>
      <c r="Y30" s="52">
        <f ca="1"/>
        <v>420</v>
      </c>
      <c r="Z30" s="52">
        <f ca="1"/>
        <v>550</v>
      </c>
      <c r="AA30" s="52">
        <f ca="1"/>
        <v>550</v>
      </c>
      <c r="AB30" s="52">
        <f ca="1"/>
        <v>300</v>
      </c>
      <c r="AC30" s="52">
        <f ca="1"/>
        <v>480</v>
      </c>
      <c r="AD30" s="52">
        <f ca="1"/>
        <v>480</v>
      </c>
      <c r="AE30" s="52">
        <f ca="1"/>
        <v>480</v>
      </c>
      <c r="AF30" s="2" t="s">
        <v>131</v>
      </c>
      <c r="AG30" s="2"/>
      <c r="AH30" s="2"/>
    </row>
    <row r="31" spans="1:34" ht="20.100000000000001" customHeight="1" x14ac:dyDescent="0.25">
      <c r="D31" s="97" t="s">
        <v>287</v>
      </c>
      <c r="U31" s="52" t="str">
        <f>TEXT(EDATE('Input - Site'!$E$12,11), "mmmm yyyy")</f>
        <v>December 2025</v>
      </c>
      <c r="V31" s="52">
        <f ca="1"/>
        <v>380</v>
      </c>
      <c r="W31" s="52">
        <f ca="1"/>
        <v>780</v>
      </c>
      <c r="X31" s="52">
        <f ca="1"/>
        <v>300</v>
      </c>
      <c r="Y31" s="52">
        <f ca="1"/>
        <v>450</v>
      </c>
      <c r="Z31" s="52">
        <f ca="1"/>
        <v>530</v>
      </c>
      <c r="AA31" s="52">
        <f ca="1"/>
        <v>530</v>
      </c>
      <c r="AB31" s="52">
        <f ca="1"/>
        <v>340</v>
      </c>
      <c r="AC31" s="52">
        <f ca="1"/>
        <v>470</v>
      </c>
      <c r="AD31" s="52">
        <f ca="1"/>
        <v>470</v>
      </c>
      <c r="AE31" s="52">
        <f ca="1"/>
        <v>470</v>
      </c>
      <c r="AF31" s="2" t="s">
        <v>131</v>
      </c>
      <c r="AG31" s="2"/>
      <c r="AH31" s="2"/>
    </row>
    <row r="32" spans="1:34" ht="20.100000000000001" customHeight="1" x14ac:dyDescent="0.25">
      <c r="D32" s="51" t="s">
        <v>182</v>
      </c>
      <c r="E32" s="51" t="s">
        <v>129</v>
      </c>
      <c r="F32" s="51" t="s">
        <v>128</v>
      </c>
      <c r="G32" s="51" t="s">
        <v>163</v>
      </c>
      <c r="H32" s="51" t="s">
        <v>164</v>
      </c>
      <c r="I32" s="51" t="s">
        <v>165</v>
      </c>
      <c r="J32" s="51" t="s">
        <v>166</v>
      </c>
      <c r="K32" s="51" t="s">
        <v>167</v>
      </c>
      <c r="L32" s="51" t="s">
        <v>168</v>
      </c>
      <c r="M32" s="51" t="s">
        <v>169</v>
      </c>
      <c r="N32" s="51" t="s">
        <v>170</v>
      </c>
    </row>
    <row r="33" spans="3:34" ht="20.100000000000001" customHeight="1" x14ac:dyDescent="0.25">
      <c r="D33" s="52" t="str">
        <f>'Input - Pasture Beef'!D60</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288</v>
      </c>
    </row>
    <row r="34" spans="3:34" ht="20.100000000000001" customHeight="1" x14ac:dyDescent="0.25">
      <c r="D34" s="52" t="str">
        <f>'Input - Pasture Beef'!D61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289</v>
      </c>
    </row>
    <row r="35" spans="3:34" ht="20.100000000000001" customHeight="1" x14ac:dyDescent="0.25">
      <c r="D35" s="52" t="str">
        <f>'Input - Pasture Beef'!D62</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130</v>
      </c>
      <c r="V35" s="51" t="s">
        <v>129</v>
      </c>
      <c r="W35" s="51" t="s">
        <v>128</v>
      </c>
      <c r="X35" s="51" t="s">
        <v>163</v>
      </c>
      <c r="Y35" s="51" t="s">
        <v>164</v>
      </c>
      <c r="Z35" s="51" t="s">
        <v>165</v>
      </c>
      <c r="AA35" s="51" t="s">
        <v>166</v>
      </c>
      <c r="AB35" s="51" t="s">
        <v>167</v>
      </c>
      <c r="AC35" s="51" t="s">
        <v>168</v>
      </c>
      <c r="AD35" s="51" t="s">
        <v>169</v>
      </c>
      <c r="AE35" s="51" t="s">
        <v>170</v>
      </c>
      <c r="AF35" s="2"/>
      <c r="AG35" s="2"/>
      <c r="AH35" s="2"/>
    </row>
    <row r="36" spans="3:34" ht="20.100000000000001" customHeight="1" x14ac:dyDescent="0.25">
      <c r="D36" s="52" t="str">
        <f>'Input - Pasture Beef'!D63</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2025</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2025</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2025</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2025</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2025</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2025</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26</v>
      </c>
      <c r="E42" s="13" t="str" cm="1">
        <f t="array" aca="1" ref="E42" ca="1">Common_InputFunctions.Utility_DisplayFunctionName(E62)</f>
        <v>=MMS_PastureBeef_Soil_N2ODirect_Equations.VEERG_4_2_1_3__6_IntakeRelativeToMaintenance</v>
      </c>
      <c r="U42" s="52" t="str">
        <f>TEXT(EDATE('Input - Site'!$E$12,6), "mmmm yyyy")</f>
        <v>July 2025</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2025</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2025</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29</v>
      </c>
      <c r="E45" s="1" t="str" cm="1">
        <f t="array" ref="E45">MMS_PastureBeef_Soil_N2ODirect_Equations.VEERG_4_2_1_3__6_IntakeRelativeToMaintenance_Variable()</f>
        <v>L_jkl</v>
      </c>
      <c r="U45" s="52" t="str">
        <f>TEXT(EDATE('Input - Site'!$E$12,9), "mmmm yyyy")</f>
        <v>October 2025</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19</v>
      </c>
      <c r="E46" s="54" t="str" cm="1">
        <f t="array" ref="E46">MMS_PastureBeef_Soil_N2ODirect_Equations.VEERG_4_2_1_3__6_IntakeRelativeToMaintenance_Unit()</f>
        <v>ratio</v>
      </c>
      <c r="U46" s="52" t="str">
        <f>TEXT(EDATE('Input - Site'!$E$12,10), "mmmm yyyy")</f>
        <v>November 2025</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2025</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243</v>
      </c>
      <c r="U51" s="6" t="str" cm="1">
        <f t="array" ref="U51">MMS_PastureBeef_Soil_N2ODirect_Equations.VEERG_4_2_1_3__6_IntakeRelativeToMaintenance_Title()</f>
        <v>Intake relative to that needed for maintenance</v>
      </c>
    </row>
    <row r="52" spans="4:35" ht="20.100000000000001" customHeight="1" x14ac:dyDescent="0.25">
      <c r="D52" s="97" t="s">
        <v>142</v>
      </c>
    </row>
    <row r="53" spans="4:35" ht="20.100000000000001" customHeight="1" x14ac:dyDescent="0.25">
      <c r="D53" s="51" t="s">
        <v>182</v>
      </c>
      <c r="E53" s="51" t="s">
        <v>129</v>
      </c>
      <c r="F53" s="51" t="s">
        <v>128</v>
      </c>
      <c r="G53" s="51" t="s">
        <v>163</v>
      </c>
      <c r="H53" s="51" t="s">
        <v>164</v>
      </c>
      <c r="I53" s="51" t="s">
        <v>165</v>
      </c>
      <c r="J53" s="51" t="s">
        <v>166</v>
      </c>
      <c r="K53" s="51" t="s">
        <v>167</v>
      </c>
      <c r="L53" s="51" t="s">
        <v>168</v>
      </c>
      <c r="M53" s="51" t="s">
        <v>169</v>
      </c>
      <c r="N53" s="51" t="s">
        <v>170</v>
      </c>
      <c r="U53" s="98" t="s">
        <v>256</v>
      </c>
    </row>
    <row r="54" spans="4:35" ht="20.100000000000001" customHeight="1" x14ac:dyDescent="0.25">
      <c r="D54" s="52" t="s">
        <v>171</v>
      </c>
      <c r="E54" s="52">
        <f ca="1">'4.2.1.1-2 Methane'!E84</f>
        <v>8.6709047296000001</v>
      </c>
      <c r="F54" s="52">
        <f ca="1">'4.2.1.1-2 Methane'!F84</f>
        <v>12.246500250000002</v>
      </c>
      <c r="G54" s="52">
        <f ca="1">'4.2.1.1-2 Methane'!G84</f>
        <v>6.6089612241000006</v>
      </c>
      <c r="H54" s="52">
        <f ca="1">'4.2.1.1-2 Methane'!H84</f>
        <v>9.5403922901100024</v>
      </c>
      <c r="I54" s="52">
        <f ca="1">'4.2.1.1-2 Methane'!I84</f>
        <v>11.268377125200001</v>
      </c>
      <c r="J54" s="52">
        <f ca="1">'4.2.1.1-2 Methane'!J84</f>
        <v>11.268377125200001</v>
      </c>
      <c r="K54" s="52">
        <f ca="1">'4.2.1.1-2 Methane'!K84</f>
        <v>7.6192560899999977</v>
      </c>
      <c r="L54" s="52">
        <f ca="1">'4.2.1.1-2 Methane'!L84</f>
        <v>9.6824279555999979</v>
      </c>
      <c r="M54" s="52">
        <f ca="1">'4.2.1.1-2 Methane'!M84</f>
        <v>9.6824279555999979</v>
      </c>
      <c r="N54" s="52">
        <f ca="1">'4.2.1.1-2 Methane'!N84</f>
        <v>9.6824279555999979</v>
      </c>
      <c r="O54" s="2" t="str">
        <f>'4.2.1.1-2 Methane'!O84</f>
        <v>kg DM/head/day</v>
      </c>
      <c r="U54" s="97" t="s">
        <v>141</v>
      </c>
    </row>
    <row r="55" spans="4:35" ht="20.100000000000001" customHeight="1" x14ac:dyDescent="0.25">
      <c r="D55" s="52" t="s">
        <v>172</v>
      </c>
      <c r="E55" s="52">
        <f ca="1">'4.2.1.1-2 Methane'!E85</f>
        <v>7.1468536895999959</v>
      </c>
      <c r="F55" s="52">
        <f ca="1">'4.2.1.1-2 Methane'!F85</f>
        <v>9.4559940036000008</v>
      </c>
      <c r="G55" s="52">
        <f ca="1">'4.2.1.1-2 Methane'!G85</f>
        <v>6.010342559999998</v>
      </c>
      <c r="H55" s="52">
        <f ca="1">'4.2.1.1-2 Methane'!H85</f>
        <v>8.1853716906000002</v>
      </c>
      <c r="I55" s="52">
        <f ca="1">'4.2.1.1-2 Methane'!I85</f>
        <v>8.1045195229439972</v>
      </c>
      <c r="J55" s="52">
        <f ca="1">'4.2.1.1-2 Methane'!J85</f>
        <v>8.1045195229439972</v>
      </c>
      <c r="K55" s="52">
        <f ca="1">'4.2.1.1-2 Methane'!K85</f>
        <v>6.5876408896000003</v>
      </c>
      <c r="L55" s="52">
        <f ca="1">'4.2.1.1-2 Methane'!L85</f>
        <v>7.3430702361</v>
      </c>
      <c r="M55" s="52">
        <f ca="1">'4.2.1.1-2 Methane'!M85</f>
        <v>7.3430702361</v>
      </c>
      <c r="N55" s="52">
        <f ca="1">'4.2.1.1-2 Methane'!N85</f>
        <v>7.3430702361</v>
      </c>
      <c r="O55" s="2" t="str">
        <f>'4.2.1.1-2 Methane'!O85</f>
        <v>kg DM/head/day</v>
      </c>
      <c r="U55" s="51" t="s">
        <v>130</v>
      </c>
      <c r="V55" s="51" t="s">
        <v>129</v>
      </c>
      <c r="W55" s="51" t="s">
        <v>128</v>
      </c>
      <c r="X55" s="51" t="s">
        <v>163</v>
      </c>
      <c r="Y55" s="51" t="s">
        <v>164</v>
      </c>
      <c r="Z55" s="51" t="s">
        <v>165</v>
      </c>
      <c r="AA55" s="51" t="s">
        <v>166</v>
      </c>
      <c r="AB55" s="51" t="s">
        <v>167</v>
      </c>
      <c r="AC55" s="51" t="s">
        <v>168</v>
      </c>
      <c r="AD55" s="51" t="s">
        <v>169</v>
      </c>
      <c r="AE55" s="51" t="s">
        <v>170</v>
      </c>
    </row>
    <row r="56" spans="4:35" ht="20.100000000000001" customHeight="1" x14ac:dyDescent="0.25">
      <c r="D56" s="52" t="s">
        <v>173</v>
      </c>
      <c r="E56" s="52">
        <f ca="1">'4.2.1.1-2 Methane'!E86</f>
        <v>3.247204</v>
      </c>
      <c r="F56" s="52">
        <f ca="1">'4.2.1.1-2 Methane'!F86</f>
        <v>9.4246544015999998</v>
      </c>
      <c r="G56" s="52">
        <f ca="1">'4.2.1.1-2 Methane'!G86</f>
        <v>2.9603267136000002</v>
      </c>
      <c r="H56" s="52">
        <f ca="1">'4.2.1.1-2 Methane'!H86</f>
        <v>6.0173755149959991</v>
      </c>
      <c r="I56" s="52">
        <f ca="1">'4.2.1.1-2 Methane'!I86</f>
        <v>6.7179974480999993</v>
      </c>
      <c r="J56" s="52">
        <f ca="1">'4.2.1.1-2 Methane'!J86</f>
        <v>6.7179974480999993</v>
      </c>
      <c r="K56" s="52">
        <f ca="1">'4.2.1.1-2 Methane'!K86</f>
        <v>3.247204</v>
      </c>
      <c r="L56" s="52">
        <f ca="1">'4.2.1.1-2 Methane'!L86</f>
        <v>5.8953782416000013</v>
      </c>
      <c r="M56" s="52">
        <f ca="1">'4.2.1.1-2 Methane'!M86</f>
        <v>5.8953782416000013</v>
      </c>
      <c r="N56" s="52">
        <f ca="1">'4.2.1.1-2 Methane'!N86</f>
        <v>5.8953782416000013</v>
      </c>
      <c r="O56" s="2" t="str">
        <f>'4.2.1.1-2 Methane'!O86</f>
        <v>kg DM/head/day</v>
      </c>
      <c r="U56" s="52" t="str">
        <f>TEXT('Input - Site'!$E$12, "mmmm yyyy")</f>
        <v>January 2025</v>
      </c>
      <c r="V56" s="52">
        <f ca="1">'4.2.1.1-2 Methane'!X76</f>
        <v>7.1468536895999959</v>
      </c>
      <c r="W56" s="52">
        <f ca="1">'4.2.1.1-2 Methane'!Y76</f>
        <v>9.4559940036000008</v>
      </c>
      <c r="X56" s="52">
        <f ca="1">'4.2.1.1-2 Methane'!Z76</f>
        <v>6.010342559999998</v>
      </c>
      <c r="Y56" s="52">
        <f ca="1">'4.2.1.1-2 Methane'!AA76</f>
        <v>8.4608409301875014</v>
      </c>
      <c r="Z56" s="52">
        <f ca="1">'4.2.1.1-2 Methane'!AB76</f>
        <v>8.3772677761199983</v>
      </c>
      <c r="AA56" s="52">
        <f ca="1">'4.2.1.1-2 Methane'!AC76</f>
        <v>8.3772677761199983</v>
      </c>
      <c r="AB56" s="52">
        <f ca="1">'4.2.1.1-2 Methane'!AD76</f>
        <v>6.5876408896000003</v>
      </c>
      <c r="AC56" s="52">
        <f ca="1">'4.2.1.1-2 Methane'!AE76</f>
        <v>7.3430702361</v>
      </c>
      <c r="AD56" s="52">
        <f ca="1">'4.2.1.1-2 Methane'!AF76</f>
        <v>7.3430702361</v>
      </c>
      <c r="AE56" s="52">
        <f ca="1">'4.2.1.1-2 Methane'!AG76</f>
        <v>7.3430702361</v>
      </c>
      <c r="AF56" s="2" t="str">
        <f>'4.2.1.1-2 Methane'!AH76</f>
        <v>kg DM/head/day</v>
      </c>
      <c r="AG56" s="2"/>
      <c r="AH56" s="2"/>
    </row>
    <row r="57" spans="4:35" ht="20.100000000000001" customHeight="1" x14ac:dyDescent="0.25">
      <c r="D57" s="52" t="s">
        <v>174</v>
      </c>
      <c r="E57" s="52">
        <f ca="1">'4.2.1.1-2 Methane'!E87</f>
        <v>5.1328980481000004</v>
      </c>
      <c r="F57" s="52">
        <f ca="1">'4.2.1.1-2 Methane'!F87</f>
        <v>9.9748588899999984</v>
      </c>
      <c r="G57" s="52">
        <f ca="1">'4.2.1.1-2 Methane'!G87</f>
        <v>4.202705002500001</v>
      </c>
      <c r="H57" s="52">
        <f ca="1">'4.2.1.1-2 Methane'!H87</f>
        <v>7.172653468761002</v>
      </c>
      <c r="I57" s="52">
        <f ca="1">'4.2.1.1-2 Methane'!I87</f>
        <v>9.145195140114998</v>
      </c>
      <c r="J57" s="52">
        <f ca="1">'4.2.1.1-2 Methane'!J87</f>
        <v>9.145195140114998</v>
      </c>
      <c r="K57" s="52">
        <f ca="1">'4.2.1.1-2 Methane'!K87</f>
        <v>4.5122681240999984</v>
      </c>
      <c r="L57" s="52">
        <f ca="1">'4.2.1.1-2 Methane'!L87</f>
        <v>6.8698506815999991</v>
      </c>
      <c r="M57" s="52">
        <f ca="1">'4.2.1.1-2 Methane'!M87</f>
        <v>6.8698506815999991</v>
      </c>
      <c r="N57" s="52">
        <f ca="1">'4.2.1.1-2 Methane'!N87</f>
        <v>6.8698506815999991</v>
      </c>
      <c r="O57" s="2" t="str">
        <f>'4.2.1.1-2 Methane'!O87</f>
        <v>kg DM/head/day</v>
      </c>
      <c r="U57" s="52" t="str">
        <f>TEXT(EDATE('Input - Site'!$E$12,1), "mmmm yyyy")</f>
        <v>February 2025</v>
      </c>
      <c r="V57" s="52">
        <f ca="1">'4.2.1.1-2 Methane'!X77</f>
        <v>7.1468536895999959</v>
      </c>
      <c r="W57" s="52">
        <f ca="1">'4.2.1.1-2 Methane'!Y77</f>
        <v>9.4559940036000008</v>
      </c>
      <c r="X57" s="52">
        <f ca="1">'4.2.1.1-2 Methane'!Z77</f>
        <v>6.010342559999998</v>
      </c>
      <c r="Y57" s="52">
        <f ca="1">'4.2.1.1-2 Methane'!AA77</f>
        <v>7.8705497025</v>
      </c>
      <c r="Z57" s="52">
        <f ca="1">'4.2.1.1-2 Methane'!AB77</f>
        <v>7.7928072335999978</v>
      </c>
      <c r="AA57" s="52">
        <f ca="1">'4.2.1.1-2 Methane'!AC77</f>
        <v>7.7928072335999978</v>
      </c>
      <c r="AB57" s="52">
        <f ca="1">'4.2.1.1-2 Methane'!AD77</f>
        <v>6.5876408896000003</v>
      </c>
      <c r="AC57" s="52">
        <f ca="1">'4.2.1.1-2 Methane'!AE77</f>
        <v>7.3430702361</v>
      </c>
      <c r="AD57" s="52">
        <f ca="1">'4.2.1.1-2 Methane'!AF77</f>
        <v>7.3430702361</v>
      </c>
      <c r="AE57" s="52">
        <f ca="1">'4.2.1.1-2 Methane'!AG77</f>
        <v>7.3430702361</v>
      </c>
      <c r="AF57" s="2" t="str">
        <f>'4.2.1.1-2 Methane'!AH77</f>
        <v>kg DM/head/day</v>
      </c>
      <c r="AG57" s="2"/>
      <c r="AH57" s="2"/>
    </row>
    <row r="58" spans="4:35" ht="20.100000000000001" customHeight="1" x14ac:dyDescent="0.25">
      <c r="U58" s="52" t="str">
        <f>TEXT(EDATE('Input - Site'!$E$12,2), "mmmm yyyy")</f>
        <v>March 2025</v>
      </c>
      <c r="V58" s="52">
        <f ca="1">'4.2.1.1-2 Methane'!X78</f>
        <v>3.247204</v>
      </c>
      <c r="W58" s="52">
        <f ca="1">'4.2.1.1-2 Methane'!Y78</f>
        <v>9.4246544015999998</v>
      </c>
      <c r="X58" s="52">
        <f ca="1">'4.2.1.1-2 Methane'!Z78</f>
        <v>2.9603267136000002</v>
      </c>
      <c r="Y58" s="52">
        <f ca="1">'4.2.1.1-2 Methane'!AA78</f>
        <v>5.9577975395999987</v>
      </c>
      <c r="Z58" s="52">
        <f ca="1">'4.2.1.1-2 Methane'!AB78</f>
        <v>6.7179974480999993</v>
      </c>
      <c r="AA58" s="52">
        <f ca="1">'4.2.1.1-2 Methane'!AC78</f>
        <v>6.7179974480999993</v>
      </c>
      <c r="AB58" s="52">
        <f ca="1">'4.2.1.1-2 Methane'!AD78</f>
        <v>3.247204</v>
      </c>
      <c r="AC58" s="52">
        <f ca="1">'4.2.1.1-2 Methane'!AE78</f>
        <v>5.8953782416000013</v>
      </c>
      <c r="AD58" s="52">
        <f ca="1">'4.2.1.1-2 Methane'!AF78</f>
        <v>5.8953782416000013</v>
      </c>
      <c r="AE58" s="52">
        <f ca="1">'4.2.1.1-2 Methane'!AG78</f>
        <v>5.8953782416000013</v>
      </c>
      <c r="AF58" s="2" t="str">
        <f>'4.2.1.1-2 Methane'!AH78</f>
        <v>kg DM/head/day</v>
      </c>
      <c r="AG58" s="2"/>
      <c r="AH58" s="2"/>
    </row>
    <row r="59" spans="4:35" ht="20.100000000000001" customHeight="1" x14ac:dyDescent="0.25">
      <c r="D59" s="98" t="s">
        <v>290</v>
      </c>
      <c r="U59" s="52" t="str">
        <f>TEXT(EDATE('Input - Site'!$E$12,3), "mmmm yyyy")</f>
        <v>April 2025</v>
      </c>
      <c r="V59" s="52">
        <f ca="1">'4.2.1.1-2 Methane'!X79</f>
        <v>3.247204</v>
      </c>
      <c r="W59" s="52">
        <f ca="1">'4.2.1.1-2 Methane'!Y79</f>
        <v>9.4246544015999998</v>
      </c>
      <c r="X59" s="52">
        <f ca="1">'4.2.1.1-2 Methane'!Z79</f>
        <v>2.9603267136000002</v>
      </c>
      <c r="Y59" s="52">
        <f ca="1">'4.2.1.1-2 Methane'!AA79</f>
        <v>5.9577975395999987</v>
      </c>
      <c r="Z59" s="52">
        <f ca="1">'4.2.1.1-2 Methane'!AB79</f>
        <v>6.7179974480999993</v>
      </c>
      <c r="AA59" s="52">
        <f ca="1">'4.2.1.1-2 Methane'!AC79</f>
        <v>6.7179974480999993</v>
      </c>
      <c r="AB59" s="52">
        <f ca="1">'4.2.1.1-2 Methane'!AD79</f>
        <v>3.247204</v>
      </c>
      <c r="AC59" s="52">
        <f ca="1">'4.2.1.1-2 Methane'!AE79</f>
        <v>5.8953782416000013</v>
      </c>
      <c r="AD59" s="52">
        <f ca="1">'4.2.1.1-2 Methane'!AF79</f>
        <v>5.8953782416000013</v>
      </c>
      <c r="AE59" s="52">
        <f ca="1">'4.2.1.1-2 Methane'!AG79</f>
        <v>5.8953782416000013</v>
      </c>
      <c r="AF59" s="2" t="str">
        <f>'4.2.1.1-2 Methane'!AH79</f>
        <v>kg DM/head/day</v>
      </c>
      <c r="AG59" s="2"/>
      <c r="AH59" s="2"/>
    </row>
    <row r="60" spans="4:35" ht="20.100000000000001" customHeight="1" x14ac:dyDescent="0.25">
      <c r="D60" s="97" t="s">
        <v>148</v>
      </c>
      <c r="U60" s="52" t="str">
        <f>TEXT(EDATE('Input - Site'!$E$12,4), "mmmm yyyy")</f>
        <v>May 2025</v>
      </c>
      <c r="V60" s="52">
        <f ca="1">'4.2.1.1-2 Methane'!X80</f>
        <v>3.247204</v>
      </c>
      <c r="W60" s="52">
        <f ca="1">'4.2.1.1-2 Methane'!Y80</f>
        <v>9.4246544015999998</v>
      </c>
      <c r="X60" s="52">
        <f ca="1">'4.2.1.1-2 Methane'!Z80</f>
        <v>2.9603267136000002</v>
      </c>
      <c r="Y60" s="52">
        <f ca="1">'4.2.1.1-2 Methane'!AA80</f>
        <v>5.9577975395999987</v>
      </c>
      <c r="Z60" s="52">
        <f ca="1">'4.2.1.1-2 Methane'!AB80</f>
        <v>6.7179974480999993</v>
      </c>
      <c r="AA60" s="52">
        <f ca="1">'4.2.1.1-2 Methane'!AC80</f>
        <v>6.7179974480999993</v>
      </c>
      <c r="AB60" s="52">
        <f ca="1">'4.2.1.1-2 Methane'!AD80</f>
        <v>3.247204</v>
      </c>
      <c r="AC60" s="52">
        <f ca="1">'4.2.1.1-2 Methane'!AE80</f>
        <v>5.8953782416000013</v>
      </c>
      <c r="AD60" s="52">
        <f ca="1">'4.2.1.1-2 Methane'!AF80</f>
        <v>5.8953782416000013</v>
      </c>
      <c r="AE60" s="52">
        <f ca="1">'4.2.1.1-2 Methane'!AG80</f>
        <v>5.8953782416000013</v>
      </c>
      <c r="AF60" s="2" t="str">
        <f>'4.2.1.1-2 Methane'!AH80</f>
        <v>kg DM/head/day</v>
      </c>
      <c r="AG60" s="2"/>
      <c r="AH60" s="2"/>
    </row>
    <row r="61" spans="4:35" ht="20.100000000000001" customHeight="1" x14ac:dyDescent="0.25">
      <c r="D61" s="51" t="s">
        <v>182</v>
      </c>
      <c r="E61" s="51" t="s">
        <v>129</v>
      </c>
      <c r="F61" s="51" t="s">
        <v>128</v>
      </c>
      <c r="G61" s="51" t="s">
        <v>163</v>
      </c>
      <c r="H61" s="51" t="s">
        <v>164</v>
      </c>
      <c r="I61" s="51" t="s">
        <v>165</v>
      </c>
      <c r="J61" s="51" t="s">
        <v>166</v>
      </c>
      <c r="K61" s="51" t="s">
        <v>167</v>
      </c>
      <c r="L61" s="51" t="s">
        <v>168</v>
      </c>
      <c r="M61" s="51" t="s">
        <v>169</v>
      </c>
      <c r="N61" s="51" t="s">
        <v>170</v>
      </c>
      <c r="U61" s="52" t="str">
        <f>TEXT(EDATE('Input - Site'!$E$12,5), "mmmm yyyy")</f>
        <v>June 2025</v>
      </c>
      <c r="V61" s="52">
        <f ca="1">'4.2.1.1-2 Methane'!X81</f>
        <v>5.1328980481000004</v>
      </c>
      <c r="W61" s="52">
        <f ca="1">'4.2.1.1-2 Methane'!Y81</f>
        <v>9.9748588899999984</v>
      </c>
      <c r="X61" s="52">
        <f ca="1">'4.2.1.1-2 Methane'!Z81</f>
        <v>4.202705002500001</v>
      </c>
      <c r="Y61" s="52">
        <f ca="1">'4.2.1.1-2 Methane'!AA81</f>
        <v>5.9278127841000021</v>
      </c>
      <c r="Z61" s="52">
        <f ca="1">'4.2.1.1-2 Methane'!AB81</f>
        <v>7.952343600099999</v>
      </c>
      <c r="AA61" s="52">
        <f ca="1">'4.2.1.1-2 Methane'!AC81</f>
        <v>7.952343600099999</v>
      </c>
      <c r="AB61" s="52">
        <f ca="1">'4.2.1.1-2 Methane'!AD81</f>
        <v>4.5122681240999984</v>
      </c>
      <c r="AC61" s="52">
        <f ca="1">'4.2.1.1-2 Methane'!AE81</f>
        <v>6.8698506815999991</v>
      </c>
      <c r="AD61" s="52">
        <f ca="1">'4.2.1.1-2 Methane'!AF81</f>
        <v>6.8698506815999991</v>
      </c>
      <c r="AE61" s="52">
        <f ca="1">'4.2.1.1-2 Methane'!AG81</f>
        <v>6.8698506815999991</v>
      </c>
      <c r="AF61" s="2" t="str">
        <f>'4.2.1.1-2 Methane'!AH81</f>
        <v>kg DM/head/day</v>
      </c>
      <c r="AG61" s="2"/>
      <c r="AH61" s="2"/>
    </row>
    <row r="62" spans="4:35" ht="20.100000000000001" customHeight="1" x14ac:dyDescent="0.25">
      <c r="D62" s="52" t="s">
        <v>171</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2025</v>
      </c>
      <c r="V62" s="52">
        <f ca="1">'4.2.1.1-2 Methane'!X82</f>
        <v>5.1328980481000004</v>
      </c>
      <c r="W62" s="52">
        <f ca="1">'4.2.1.1-2 Methane'!Y82</f>
        <v>9.9748588899999984</v>
      </c>
      <c r="X62" s="52">
        <f ca="1">'4.2.1.1-2 Methane'!Z82</f>
        <v>4.202705002500001</v>
      </c>
      <c r="Y62" s="52">
        <f ca="1">'4.2.1.1-2 Methane'!AA82</f>
        <v>5.9278127841000021</v>
      </c>
      <c r="Z62" s="52">
        <f ca="1">'4.2.1.1-2 Methane'!AB82</f>
        <v>7.952343600099999</v>
      </c>
      <c r="AA62" s="52">
        <f ca="1">'4.2.1.1-2 Methane'!AC82</f>
        <v>7.952343600099999</v>
      </c>
      <c r="AB62" s="52">
        <f ca="1">'4.2.1.1-2 Methane'!AD82</f>
        <v>4.5122681240999984</v>
      </c>
      <c r="AC62" s="52">
        <f ca="1">'4.2.1.1-2 Methane'!AE82</f>
        <v>6.8698506815999991</v>
      </c>
      <c r="AD62" s="52">
        <f ca="1">'4.2.1.1-2 Methane'!AF82</f>
        <v>6.8698506815999991</v>
      </c>
      <c r="AE62" s="52">
        <f ca="1">'4.2.1.1-2 Methane'!AG82</f>
        <v>6.8698506815999991</v>
      </c>
      <c r="AF62" s="2" t="str">
        <f>'4.2.1.1-2 Methane'!AH82</f>
        <v>kg DM/head/day</v>
      </c>
      <c r="AG62" s="2"/>
      <c r="AH62" s="2"/>
    </row>
    <row r="63" spans="4:35" ht="20.100000000000001" customHeight="1" x14ac:dyDescent="0.25">
      <c r="D63" s="52" t="s">
        <v>172</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2025</v>
      </c>
      <c r="V63" s="52">
        <f ca="1">'4.2.1.1-2 Methane'!X83</f>
        <v>5.1328980481000004</v>
      </c>
      <c r="W63" s="52">
        <f ca="1">'4.2.1.1-2 Methane'!Y83</f>
        <v>9.9748588899999984</v>
      </c>
      <c r="X63" s="52">
        <f ca="1">'4.2.1.1-2 Methane'!Z83</f>
        <v>4.202705002500001</v>
      </c>
      <c r="Y63" s="52">
        <f ca="1">'4.2.1.1-2 Methane'!AA83</f>
        <v>7.2615706605225032</v>
      </c>
      <c r="Z63" s="52">
        <f ca="1">'4.2.1.1-2 Methane'!AB83</f>
        <v>9.7416209101224993</v>
      </c>
      <c r="AA63" s="52">
        <f ca="1">'4.2.1.1-2 Methane'!AC83</f>
        <v>9.7416209101224993</v>
      </c>
      <c r="AB63" s="52">
        <f ca="1">'4.2.1.1-2 Methane'!AD83</f>
        <v>4.5122681240999984</v>
      </c>
      <c r="AC63" s="52">
        <f ca="1">'4.2.1.1-2 Methane'!AE83</f>
        <v>6.8698506815999991</v>
      </c>
      <c r="AD63" s="52">
        <f ca="1">'4.2.1.1-2 Methane'!AF83</f>
        <v>6.8698506815999991</v>
      </c>
      <c r="AE63" s="52">
        <f ca="1">'4.2.1.1-2 Methane'!AG83</f>
        <v>6.8698506815999991</v>
      </c>
      <c r="AF63" s="2" t="str">
        <f>'4.2.1.1-2 Methane'!AH83</f>
        <v>kg DM/head/day</v>
      </c>
      <c r="AG63" s="2"/>
      <c r="AH63" s="2"/>
    </row>
    <row r="64" spans="4:35" ht="20.100000000000001" customHeight="1" x14ac:dyDescent="0.25">
      <c r="D64" s="52" t="s">
        <v>173</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2025</v>
      </c>
      <c r="V64" s="52">
        <f ca="1">'4.2.1.1-2 Methane'!X84</f>
        <v>8.6709047296000001</v>
      </c>
      <c r="W64" s="52">
        <f ca="1">'4.2.1.1-2 Methane'!Y84</f>
        <v>12.246500250000002</v>
      </c>
      <c r="X64" s="52">
        <f ca="1">'4.2.1.1-2 Methane'!Z84</f>
        <v>6.6089612241000006</v>
      </c>
      <c r="Y64" s="52">
        <f ca="1">'4.2.1.1-2 Methane'!AA84</f>
        <v>10.624527777622504</v>
      </c>
      <c r="Z64" s="52">
        <f ca="1">'4.2.1.1-2 Methane'!AB84</f>
        <v>11.798087161000003</v>
      </c>
      <c r="AA64" s="52">
        <f ca="1">'4.2.1.1-2 Methane'!AC84</f>
        <v>11.798087161000003</v>
      </c>
      <c r="AB64" s="52">
        <f ca="1">'4.2.1.1-2 Methane'!AD84</f>
        <v>7.6192560899999977</v>
      </c>
      <c r="AC64" s="52">
        <f ca="1">'4.2.1.1-2 Methane'!AE84</f>
        <v>9.6824279555999979</v>
      </c>
      <c r="AD64" s="52">
        <f ca="1">'4.2.1.1-2 Methane'!AF84</f>
        <v>9.6824279555999979</v>
      </c>
      <c r="AE64" s="52">
        <f ca="1">'4.2.1.1-2 Methane'!AG84</f>
        <v>9.6824279555999979</v>
      </c>
      <c r="AF64" s="2" t="str">
        <f>'4.2.1.1-2 Methane'!AH84</f>
        <v>kg DM/head/day</v>
      </c>
      <c r="AG64" s="2"/>
      <c r="AH64" s="2"/>
    </row>
    <row r="65" spans="3:34" ht="20.100000000000001" customHeight="1" x14ac:dyDescent="0.25">
      <c r="D65" s="52" t="s">
        <v>174</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2025</v>
      </c>
      <c r="V65" s="52">
        <f ca="1">'4.2.1.1-2 Methane'!X85</f>
        <v>8.6709047296000001</v>
      </c>
      <c r="W65" s="52">
        <f ca="1">'4.2.1.1-2 Methane'!Y85</f>
        <v>12.246500250000002</v>
      </c>
      <c r="X65" s="52">
        <f ca="1">'4.2.1.1-2 Methane'!Z85</f>
        <v>6.6089612241000006</v>
      </c>
      <c r="Y65" s="52">
        <f ca="1">'4.2.1.1-2 Methane'!AA85</f>
        <v>10.624527777622504</v>
      </c>
      <c r="Z65" s="52">
        <f ca="1">'4.2.1.1-2 Methane'!AB85</f>
        <v>11.798087161000003</v>
      </c>
      <c r="AA65" s="52">
        <f ca="1">'4.2.1.1-2 Methane'!AC85</f>
        <v>11.798087161000003</v>
      </c>
      <c r="AB65" s="52">
        <f ca="1">'4.2.1.1-2 Methane'!AD85</f>
        <v>7.6192560899999977</v>
      </c>
      <c r="AC65" s="52">
        <f ca="1">'4.2.1.1-2 Methane'!AE85</f>
        <v>9.6824279555999979</v>
      </c>
      <c r="AD65" s="52">
        <f ca="1">'4.2.1.1-2 Methane'!AF85</f>
        <v>9.6824279555999979</v>
      </c>
      <c r="AE65" s="52">
        <f ca="1">'4.2.1.1-2 Methane'!AG85</f>
        <v>9.6824279555999979</v>
      </c>
      <c r="AF65" s="2" t="str">
        <f>'4.2.1.1-2 Methane'!AH85</f>
        <v>kg DM/head/day</v>
      </c>
      <c r="AG65" s="2"/>
      <c r="AH65" s="2"/>
    </row>
    <row r="66" spans="3:34" ht="20.100000000000001" customHeight="1" x14ac:dyDescent="0.25">
      <c r="U66" s="52" t="str">
        <f>TEXT(EDATE('Input - Site'!$E$12,10), "mmmm yyyy")</f>
        <v>November 2025</v>
      </c>
      <c r="V66" s="52">
        <f ca="1">'4.2.1.1-2 Methane'!X86</f>
        <v>8.6709047296000001</v>
      </c>
      <c r="W66" s="52">
        <f ca="1">'4.2.1.1-2 Methane'!Y86</f>
        <v>12.246500250000002</v>
      </c>
      <c r="X66" s="52">
        <f ca="1">'4.2.1.1-2 Methane'!Z86</f>
        <v>6.6089612241000006</v>
      </c>
      <c r="Y66" s="52">
        <f ca="1">'4.2.1.1-2 Methane'!AA86</f>
        <v>9.3235651926075036</v>
      </c>
      <c r="Z66" s="52">
        <f ca="1">'4.2.1.1-2 Methane'!AB86</f>
        <v>10.353423427000003</v>
      </c>
      <c r="AA66" s="52">
        <f ca="1">'4.2.1.1-2 Methane'!AC86</f>
        <v>10.353423427000003</v>
      </c>
      <c r="AB66" s="52">
        <f ca="1">'4.2.1.1-2 Methane'!AD86</f>
        <v>7.6192560899999977</v>
      </c>
      <c r="AC66" s="52">
        <f ca="1">'4.2.1.1-2 Methane'!AE86</f>
        <v>9.6824279555999979</v>
      </c>
      <c r="AD66" s="52">
        <f ca="1">'4.2.1.1-2 Methane'!AF86</f>
        <v>9.6824279555999979</v>
      </c>
      <c r="AE66" s="52">
        <f ca="1">'4.2.1.1-2 Methane'!AG86</f>
        <v>9.6824279555999979</v>
      </c>
      <c r="AF66" s="2" t="str">
        <f>'4.2.1.1-2 Methane'!AH86</f>
        <v>kg DM/head/day</v>
      </c>
      <c r="AG66" s="2"/>
      <c r="AH66" s="2"/>
    </row>
    <row r="67" spans="3:34" ht="20.100000000000001" customHeight="1" x14ac:dyDescent="0.25">
      <c r="U67" s="52" t="str">
        <f>TEXT(EDATE('Input - Site'!$E$12,11), "mmmm yyyy")</f>
        <v>December 2025</v>
      </c>
      <c r="V67" s="52">
        <f ca="1">'4.2.1.1-2 Methane'!X87</f>
        <v>7.1468536895999959</v>
      </c>
      <c r="W67" s="52">
        <f ca="1">'4.2.1.1-2 Methane'!Y87</f>
        <v>9.4559940036000008</v>
      </c>
      <c r="X67" s="52">
        <f ca="1">'4.2.1.1-2 Methane'!Z87</f>
        <v>6.010342559999998</v>
      </c>
      <c r="Y67" s="52">
        <f ca="1">'4.2.1.1-2 Methane'!AA87</f>
        <v>8.4608409301875014</v>
      </c>
      <c r="Z67" s="52">
        <f ca="1">'4.2.1.1-2 Methane'!AB87</f>
        <v>8.3772677761199983</v>
      </c>
      <c r="AA67" s="52">
        <f ca="1">'4.2.1.1-2 Methane'!AC87</f>
        <v>8.3772677761199983</v>
      </c>
      <c r="AB67" s="52">
        <f ca="1">'4.2.1.1-2 Methane'!AD87</f>
        <v>6.5876408896000003</v>
      </c>
      <c r="AC67" s="52">
        <f ca="1">'4.2.1.1-2 Methane'!AE87</f>
        <v>7.3430702361</v>
      </c>
      <c r="AD67" s="52">
        <f ca="1">'4.2.1.1-2 Methane'!AF87</f>
        <v>7.3430702361</v>
      </c>
      <c r="AE67" s="52">
        <f ca="1">'4.2.1.1-2 Methane'!AG87</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305</v>
      </c>
    </row>
    <row r="70" spans="3:34" ht="20.100000000000001" customHeight="1" x14ac:dyDescent="0.25">
      <c r="D70" s="5" t="str" cm="1">
        <f t="array" ref="D70">MMS_PastureBeef_Soil_N2ODirect_Equations.VEERG_4_2_1_3__5_MilkProductionForCalvingSeason_Source()</f>
        <v>VEERG 2026: 4.2.1.3, Equation (5)</v>
      </c>
      <c r="U70" s="97" t="s">
        <v>149</v>
      </c>
    </row>
    <row r="71" spans="3:34" ht="20.100000000000001" customHeight="1" x14ac:dyDescent="0.25">
      <c r="D71" s="55"/>
      <c r="U71" s="51" t="s">
        <v>130</v>
      </c>
      <c r="V71" s="51" t="s">
        <v>129</v>
      </c>
      <c r="W71" s="51" t="s">
        <v>128</v>
      </c>
      <c r="X71" s="51" t="s">
        <v>163</v>
      </c>
      <c r="Y71" s="51" t="s">
        <v>164</v>
      </c>
      <c r="Z71" s="51" t="s">
        <v>165</v>
      </c>
      <c r="AA71" s="51" t="s">
        <v>166</v>
      </c>
      <c r="AB71" s="51" t="s">
        <v>167</v>
      </c>
      <c r="AC71" s="51" t="s">
        <v>168</v>
      </c>
      <c r="AD71" s="51" t="s">
        <v>169</v>
      </c>
      <c r="AE71" s="51" t="s">
        <v>170</v>
      </c>
    </row>
    <row r="72" spans="3:34" ht="20.100000000000001" customHeight="1" x14ac:dyDescent="0.25">
      <c r="D72" s="13" t="s">
        <v>26</v>
      </c>
      <c r="E72" s="13" t="s">
        <v>343</v>
      </c>
      <c r="U72" s="52" t="str">
        <f>TEXT('Input - Site'!$E$12, "mmmm yyyy")</f>
        <v>January 2025</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2025</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2025</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29</v>
      </c>
      <c r="E75" s="1" t="str" cm="1">
        <f t="array" ref="E75">MMS_PastureBeef_Soil_N2ODirect_Equations.VEERG_4_2_1_3__5_MilkProductionForCalvingSeason_Variable()</f>
        <v>MP_jk5</v>
      </c>
      <c r="U75" s="52" t="str">
        <f>TEXT(EDATE('Input - Site'!$E$12,3), "mmmm yyyy")</f>
        <v>April 2025</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19</v>
      </c>
      <c r="E76" s="54" t="str" cm="1">
        <f t="array" ref="E76">MMS_PastureBeef_Soil_N2ODirect_Equations.VEERG_4_2_1_3__5_MilkProductionForCalvingSeason_Unit()</f>
        <v>kg/head/day</v>
      </c>
      <c r="U76" s="52" t="str">
        <f>TEXT(EDATE('Input - Site'!$E$12,4), "mmmm yyyy")</f>
        <v>May 2025</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2025</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2025</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2025</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2025</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2025</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2025</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2025</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228</v>
      </c>
    </row>
    <row r="85" spans="4:35" ht="20.100000000000001" customHeight="1" x14ac:dyDescent="0.25">
      <c r="D85" s="97" t="s">
        <v>251</v>
      </c>
    </row>
    <row r="86" spans="4:35" ht="20.100000000000001" customHeight="1" x14ac:dyDescent="0.25">
      <c r="D86" s="51" t="s">
        <v>182</v>
      </c>
      <c r="E86" s="122" t="s">
        <v>164</v>
      </c>
      <c r="F86" s="122" t="s">
        <v>165</v>
      </c>
      <c r="G86" s="122" t="s">
        <v>166</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Beef'!$E$104</f>
        <v>Winter</v>
      </c>
      <c r="E87" s="52">
        <f>'Input - Pasture Beef'!$F$110</f>
        <v>0.7</v>
      </c>
      <c r="F87" s="52">
        <f>'Input - Pasture Beef'!$G$110</f>
        <v>0.5</v>
      </c>
      <c r="G87" s="52">
        <f>'Input - Pasture Beef'!$H$110</f>
        <v>0.5</v>
      </c>
      <c r="H87" s="2" t="s">
        <v>98</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247</v>
      </c>
    </row>
    <row r="90" spans="4:35" ht="20.100000000000001" customHeight="1" x14ac:dyDescent="0.25">
      <c r="U90" s="97" t="s">
        <v>248</v>
      </c>
    </row>
    <row r="91" spans="4:35" ht="20.100000000000001" customHeight="1" x14ac:dyDescent="0.25">
      <c r="U91" s="51" t="s">
        <v>130</v>
      </c>
      <c r="V91" s="122" t="s">
        <v>164</v>
      </c>
      <c r="W91" s="122" t="s">
        <v>165</v>
      </c>
      <c r="X91" s="122" t="s">
        <v>166</v>
      </c>
    </row>
    <row r="92" spans="4:35" ht="20.100000000000001" customHeight="1" x14ac:dyDescent="0.25">
      <c r="D92" s="98" t="s">
        <v>291</v>
      </c>
      <c r="U92" s="52" t="str">
        <f>TEXT(EDATE('Input - Pasture Beef'!$D$124,0), "mmmm") &amp; ", " &amp; TEXT(EDATE('Input - Pasture Beef'!$D$125,0), "mmmm") &amp; ", " &amp; TEXT(EDATE('Input - Pasture Beef'!$D$126,0), "mmmm")</f>
        <v>August, September, October</v>
      </c>
      <c r="V92" s="52">
        <f>'Input - Pasture Beef'!$E$127</f>
        <v>0.75</v>
      </c>
      <c r="W92" s="52">
        <f>'Input - Pasture Beef'!$F$127</f>
        <v>0.75</v>
      </c>
      <c r="X92" s="52">
        <f>'Input - Pasture Beef'!$G$127</f>
        <v>0.75</v>
      </c>
      <c r="Y92" s="2" t="s">
        <v>98</v>
      </c>
    </row>
    <row r="93" spans="4:35" ht="20.100000000000001" customHeight="1" x14ac:dyDescent="0.25">
      <c r="D93" s="97" t="s">
        <v>133</v>
      </c>
      <c r="U93" s="52" t="str">
        <f>TEXT(EDATE('Input - Pasture Beef'!$D$126,1), "mmmm") &amp; ", " &amp; TEXT(EDATE('Input - Pasture Beef'!$D$126,2), "mmmm") &amp; ", " &amp; TEXT(EDATE('Input - Pasture Beef'!$D$126,3), "mmmm")</f>
        <v>November, December, January</v>
      </c>
      <c r="Y93" s="2"/>
    </row>
    <row r="94" spans="4:35" ht="20.100000000000001" customHeight="1" x14ac:dyDescent="0.25">
      <c r="D94" s="51" t="s">
        <v>182</v>
      </c>
      <c r="E94" s="51" t="s">
        <v>244</v>
      </c>
      <c r="F94" s="51" t="s">
        <v>342</v>
      </c>
      <c r="G94" s="51" t="s">
        <v>129</v>
      </c>
      <c r="H94" s="51" t="s">
        <v>128</v>
      </c>
      <c r="I94" s="51" t="s">
        <v>163</v>
      </c>
      <c r="J94" s="51" t="s">
        <v>164</v>
      </c>
      <c r="K94" s="51" t="s">
        <v>165</v>
      </c>
      <c r="L94" s="51" t="s">
        <v>166</v>
      </c>
      <c r="M94" s="51" t="s">
        <v>167</v>
      </c>
      <c r="N94" s="51" t="s">
        <v>168</v>
      </c>
      <c r="O94" s="51" t="s">
        <v>169</v>
      </c>
      <c r="P94" s="51" t="s">
        <v>170</v>
      </c>
    </row>
    <row r="95" spans="4:35" ht="20.100000000000001" customHeight="1" x14ac:dyDescent="0.25">
      <c r="D95" s="52" t="str">
        <f>'4.2.1.1-2 Methane'!D30</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'4.2.1.1-2 Methane'!D31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'4.2.1.1-2 Methane'!D32</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291</v>
      </c>
    </row>
    <row r="98" spans="3:34" ht="20.100000000000001" customHeight="1" x14ac:dyDescent="0.25">
      <c r="D98" s="52" t="str">
        <f>'4.2.1.1-2 Methane'!D33</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133</v>
      </c>
    </row>
    <row r="99" spans="3:34" ht="20.100000000000001" customHeight="1" x14ac:dyDescent="0.25">
      <c r="U99" s="51" t="s">
        <v>130</v>
      </c>
      <c r="V99" s="51" t="s">
        <v>244</v>
      </c>
      <c r="W99" s="51" t="s">
        <v>342</v>
      </c>
      <c r="X99" s="51" t="s">
        <v>129</v>
      </c>
      <c r="Y99" s="51" t="s">
        <v>128</v>
      </c>
      <c r="Z99" s="51" t="s">
        <v>163</v>
      </c>
      <c r="AA99" s="51" t="s">
        <v>164</v>
      </c>
      <c r="AB99" s="51" t="s">
        <v>165</v>
      </c>
      <c r="AC99" s="51" t="s">
        <v>166</v>
      </c>
      <c r="AD99" s="51" t="s">
        <v>167</v>
      </c>
      <c r="AE99" s="51" t="s">
        <v>168</v>
      </c>
      <c r="AF99" s="51" t="s">
        <v>169</v>
      </c>
      <c r="AG99" s="51" t="s">
        <v>170</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26</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29</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19</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240</v>
      </c>
    </row>
    <row r="117" spans="4:35" ht="20.100000000000001" customHeight="1" x14ac:dyDescent="0.25">
      <c r="D117" s="97" t="s">
        <v>241</v>
      </c>
      <c r="U117" s="98" t="s">
        <v>254</v>
      </c>
    </row>
    <row r="118" spans="4:35" ht="20.100000000000001" customHeight="1" x14ac:dyDescent="0.25">
      <c r="D118" s="51" t="s">
        <v>182</v>
      </c>
      <c r="E118" s="122" t="s">
        <v>129</v>
      </c>
      <c r="F118" s="122" t="s">
        <v>128</v>
      </c>
      <c r="G118" s="122" t="s">
        <v>163</v>
      </c>
      <c r="H118" s="122" t="s">
        <v>164</v>
      </c>
      <c r="I118" s="122" t="s">
        <v>165</v>
      </c>
      <c r="J118" s="122" t="s">
        <v>166</v>
      </c>
      <c r="K118" s="122" t="s">
        <v>167</v>
      </c>
      <c r="L118" s="122" t="s">
        <v>168</v>
      </c>
      <c r="M118" s="122" t="s">
        <v>169</v>
      </c>
      <c r="N118" s="122" t="s">
        <v>170</v>
      </c>
      <c r="U118" s="97" t="s">
        <v>255</v>
      </c>
    </row>
    <row r="119" spans="4:35" ht="20.100000000000001" customHeight="1" x14ac:dyDescent="0.25">
      <c r="D119" s="52" t="str">
        <f>'Input - Pasture Beef'!D82</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131</v>
      </c>
      <c r="U119" s="51" t="s">
        <v>130</v>
      </c>
      <c r="V119" s="122" t="s">
        <v>129</v>
      </c>
      <c r="W119" s="122" t="s">
        <v>128</v>
      </c>
      <c r="X119" s="122" t="s">
        <v>163</v>
      </c>
      <c r="Y119" s="122" t="s">
        <v>164</v>
      </c>
      <c r="Z119" s="122" t="s">
        <v>165</v>
      </c>
      <c r="AA119" s="122" t="s">
        <v>166</v>
      </c>
      <c r="AB119" s="122" t="s">
        <v>167</v>
      </c>
      <c r="AC119" s="122" t="s">
        <v>168</v>
      </c>
      <c r="AD119" s="122" t="s">
        <v>169</v>
      </c>
      <c r="AE119" s="122" t="s">
        <v>170</v>
      </c>
    </row>
    <row r="120" spans="4:35" ht="20.100000000000001" customHeight="1" x14ac:dyDescent="0.25">
      <c r="D120" s="52" t="str">
        <f>'Input - Pasture Beef'!D83</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131</v>
      </c>
      <c r="U120" s="52" t="str">
        <f>TEXT('Input - Site'!$E$12, "mmmm yyyy")</f>
        <v>January 2025</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132</v>
      </c>
      <c r="AG120" s="2"/>
      <c r="AH120" s="2"/>
    </row>
    <row r="121" spans="4:35" ht="20.100000000000001" customHeight="1" x14ac:dyDescent="0.25">
      <c r="D121" s="52" t="str">
        <f>'Input - Pasture Beef'!D84</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131</v>
      </c>
      <c r="U121" s="52" t="str">
        <f>TEXT(EDATE('Input - Site'!$E$12,1), "mmmm yyyy")</f>
        <v>February 2025</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132</v>
      </c>
      <c r="AG121" s="2"/>
      <c r="AH121" s="2"/>
    </row>
    <row r="122" spans="4:35" ht="20.100000000000001" customHeight="1" x14ac:dyDescent="0.25">
      <c r="D122" s="52" t="str">
        <f>'Input - Pasture Beef'!D85</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131</v>
      </c>
      <c r="U122" s="52" t="str">
        <f>TEXT(EDATE('Input - Site'!$E$12,2), "mmmm yyyy")</f>
        <v>March 2025</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132</v>
      </c>
      <c r="AG122" s="2"/>
      <c r="AH122" s="2"/>
    </row>
    <row r="123" spans="4:35" ht="20.100000000000001" customHeight="1" x14ac:dyDescent="0.25">
      <c r="U123" s="52" t="str">
        <f>TEXT(EDATE('Input - Site'!$E$12,3), "mmmm yyyy")</f>
        <v>April 2025</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132</v>
      </c>
      <c r="AG123" s="2"/>
      <c r="AH123" s="2"/>
    </row>
    <row r="124" spans="4:35" ht="20.100000000000001" customHeight="1" x14ac:dyDescent="0.25">
      <c r="D124" s="98" t="s">
        <v>292</v>
      </c>
      <c r="U124" s="52" t="str">
        <f>TEXT(EDATE('Input - Site'!$E$12,4), "mmmm yyyy")</f>
        <v>May 2025</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132</v>
      </c>
      <c r="AG124" s="2"/>
      <c r="AH124" s="2"/>
    </row>
    <row r="125" spans="4:35" ht="20.100000000000001" customHeight="1" x14ac:dyDescent="0.25">
      <c r="D125" s="97" t="s">
        <v>293</v>
      </c>
      <c r="U125" s="52" t="str">
        <f>TEXT(EDATE('Input - Site'!$E$12,5), "mmmm yyyy")</f>
        <v>June 2025</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132</v>
      </c>
      <c r="AG125" s="2"/>
      <c r="AH125" s="2"/>
    </row>
    <row r="126" spans="4:35" ht="20.100000000000001" customHeight="1" x14ac:dyDescent="0.25">
      <c r="D126" s="51" t="s">
        <v>182</v>
      </c>
      <c r="E126" s="51" t="s">
        <v>129</v>
      </c>
      <c r="F126" s="51" t="s">
        <v>128</v>
      </c>
      <c r="G126" s="51" t="s">
        <v>163</v>
      </c>
      <c r="H126" s="51" t="s">
        <v>164</v>
      </c>
      <c r="I126" s="51" t="s">
        <v>165</v>
      </c>
      <c r="J126" s="51" t="s">
        <v>166</v>
      </c>
      <c r="K126" s="51" t="s">
        <v>167</v>
      </c>
      <c r="L126" s="51" t="s">
        <v>168</v>
      </c>
      <c r="M126" s="51" t="s">
        <v>169</v>
      </c>
      <c r="N126" s="51" t="s">
        <v>170</v>
      </c>
      <c r="U126" s="52" t="str">
        <f>TEXT(EDATE('Input - Site'!$E$12,6), "mmmm yyyy")</f>
        <v>July 2025</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132</v>
      </c>
      <c r="AG126" s="2"/>
      <c r="AH126" s="2"/>
    </row>
    <row r="127" spans="4:35" ht="20.100000000000001" customHeight="1" x14ac:dyDescent="0.25">
      <c r="D127" s="52" t="s">
        <v>171</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2025</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132</v>
      </c>
      <c r="AG127" s="2"/>
      <c r="AH127" s="2"/>
    </row>
    <row r="128" spans="4:35" ht="20.100000000000001" customHeight="1" x14ac:dyDescent="0.25">
      <c r="D128" s="52" t="s">
        <v>172</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2025</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132</v>
      </c>
      <c r="AG128" s="2"/>
      <c r="AH128" s="2"/>
    </row>
    <row r="129" spans="3:34" ht="20.100000000000001" customHeight="1" x14ac:dyDescent="0.25">
      <c r="D129" s="52" t="s">
        <v>173</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2025</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132</v>
      </c>
      <c r="AG129" s="2"/>
      <c r="AH129" s="2"/>
    </row>
    <row r="130" spans="3:34" ht="20.100000000000001" customHeight="1" x14ac:dyDescent="0.25">
      <c r="D130" s="52" t="s">
        <v>174</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2025</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132</v>
      </c>
      <c r="AG130" s="2"/>
      <c r="AH130" s="2"/>
    </row>
    <row r="131" spans="3:34" ht="20.100000000000001" customHeight="1" x14ac:dyDescent="0.25">
      <c r="U131" s="52" t="str">
        <f>TEXT(EDATE('Input - Site'!$E$12,11), "mmmm yyyy")</f>
        <v>December 2025</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132</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306</v>
      </c>
    </row>
    <row r="134" spans="3:34" ht="20.100000000000001" customHeight="1" x14ac:dyDescent="0.25">
      <c r="D134" s="6" t="str" cm="1">
        <f t="array" ref="D134">MMS_PastureBeef_Soil_N2ODirect_Equations.VEERG_4_2_1_3__3_NitrogenExcreted_Title()</f>
        <v>Nitrogen excreted</v>
      </c>
      <c r="U134" s="97" t="s">
        <v>307</v>
      </c>
    </row>
    <row r="135" spans="3:34" ht="20.100000000000001" customHeight="1" x14ac:dyDescent="0.25">
      <c r="D135" s="5" t="str" cm="1">
        <f t="array" ref="D135">MMS_PastureBeef_Soil_N2ODirect_Equations.VEERG_4_2_1_3__3_NitrogenExcreted_Source()</f>
        <v>VEERG 2026: 4.2.1.3, Equation (3)</v>
      </c>
      <c r="U135" s="51" t="s">
        <v>130</v>
      </c>
      <c r="V135" s="51" t="s">
        <v>129</v>
      </c>
      <c r="W135" s="51" t="s">
        <v>128</v>
      </c>
      <c r="X135" s="51" t="s">
        <v>163</v>
      </c>
      <c r="Y135" s="51" t="s">
        <v>164</v>
      </c>
      <c r="Z135" s="51" t="s">
        <v>165</v>
      </c>
      <c r="AA135" s="51" t="s">
        <v>166</v>
      </c>
      <c r="AB135" s="51" t="s">
        <v>167</v>
      </c>
      <c r="AC135" s="51" t="s">
        <v>168</v>
      </c>
      <c r="AD135" s="51" t="s">
        <v>169</v>
      </c>
      <c r="AE135" s="51" t="s">
        <v>170</v>
      </c>
    </row>
    <row r="136" spans="3:34" ht="20.100000000000001" customHeight="1" x14ac:dyDescent="0.25">
      <c r="D136" s="13" t="s">
        <v>26</v>
      </c>
      <c r="E136" s="13" t="str" cm="1">
        <f t="array" aca="1" ref="E136" ca="1">Common_InputFunctions.Utility_DisplayFunctionName($E$169)</f>
        <v>=MMS_PastureBeef_Soil_N2ODirect_Equations.VEERG_4_2_1_3__3_NitrogenExcreted</v>
      </c>
      <c r="U136" s="52" t="str">
        <f>TEXT('Input - Site'!$E$12, "mmmm yyyy")</f>
        <v>January 2025</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2025</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2025</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29</v>
      </c>
      <c r="E139" s="1" t="str" cm="1">
        <f t="array" ref="E139">MMS_PastureBeef_Soil_N2ODirect_Equations.VEERG_4_2_1_3__3_NitrogenExcreted_Variable()</f>
        <v>NE_jkl</v>
      </c>
      <c r="U139" s="52" t="str">
        <f>TEXT(EDATE('Input - Site'!$E$12,3), "mmmm yyyy")</f>
        <v>April 2025</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19</v>
      </c>
      <c r="E140" s="54" t="str" cm="1">
        <f t="array" ref="E140">MMS_PastureBeef_Soil_N2ODirect_Equations.VEERG_4_2_1_3__3_NitrogenExcreted_Unit()</f>
        <v>kg N/head/day</v>
      </c>
      <c r="U140" s="52" t="str">
        <f>TEXT(EDATE('Input - Site'!$E$12,4), "mmmm yyyy")</f>
        <v>May 2025</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2025</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2025</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2025</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2025</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2025</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2025</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2025</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Beef'!$E$104</f>
        <v>Winter</v>
      </c>
    </row>
    <row r="149" spans="4:35" ht="20.100000000000001" customHeight="1" x14ac:dyDescent="0.25"/>
    <row r="150" spans="4:35" ht="20.100000000000001" customHeight="1" x14ac:dyDescent="0.25">
      <c r="D150" s="98" t="s">
        <v>104</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309</v>
      </c>
      <c r="U151" s="6" t="str" cm="1">
        <f t="array" ref="U151">MMS_PastureBeef_Soil_N2ODirect_Equations.VEERG_4_2_1_3__3_NitrogenExcreted_Title()</f>
        <v>Nitrogen excreted</v>
      </c>
    </row>
    <row r="152" spans="4:35" ht="20.100000000000001" customHeight="1" x14ac:dyDescent="0.25">
      <c r="D152" s="51" t="s">
        <v>182</v>
      </c>
      <c r="E152" s="122" t="s">
        <v>129</v>
      </c>
      <c r="F152" s="122" t="s">
        <v>128</v>
      </c>
      <c r="G152" s="122" t="s">
        <v>163</v>
      </c>
      <c r="H152" s="122" t="s">
        <v>164</v>
      </c>
      <c r="I152" s="122" t="s">
        <v>165</v>
      </c>
      <c r="J152" s="122" t="s">
        <v>166</v>
      </c>
      <c r="K152" s="122" t="s">
        <v>167</v>
      </c>
      <c r="L152" s="122" t="s">
        <v>168</v>
      </c>
      <c r="M152" s="122" t="s">
        <v>169</v>
      </c>
      <c r="N152" s="122" t="s">
        <v>170</v>
      </c>
    </row>
    <row r="153" spans="4:35" ht="20.100000000000001" customHeight="1" x14ac:dyDescent="0.25">
      <c r="D153" s="52" t="s">
        <v>171</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139</v>
      </c>
    </row>
    <row r="154" spans="4:35" ht="20.100000000000001" customHeight="1" x14ac:dyDescent="0.25">
      <c r="D154" s="52" t="s">
        <v>172</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139</v>
      </c>
    </row>
    <row r="155" spans="4:35" ht="20.100000000000001" customHeight="1" x14ac:dyDescent="0.25">
      <c r="D155" s="52" t="s">
        <v>173</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139</v>
      </c>
    </row>
    <row r="156" spans="4:35" ht="20.100000000000001" customHeight="1" x14ac:dyDescent="0.25">
      <c r="D156" s="52" t="s">
        <v>174</v>
      </c>
      <c r="E156" s="52">
        <f ca="1"/>
        <v>0.2</v>
      </c>
      <c r="F156" s="52">
        <f ca="1"/>
        <v>0.2</v>
      </c>
      <c r="G156" s="52">
        <f ca="1"/>
        <v>0.2</v>
      </c>
      <c r="H156" s="52">
        <f ca="1"/>
        <v>0.2</v>
      </c>
      <c r="I156" s="52">
        <f ca="1"/>
        <v>0.2</v>
      </c>
      <c r="J156" s="52">
        <f ca="1"/>
        <v>0.2</v>
      </c>
      <c r="K156" s="52">
        <f ca="1"/>
        <v>0.2</v>
      </c>
      <c r="L156" s="52">
        <f ca="1"/>
        <v>0.2</v>
      </c>
      <c r="M156" s="52">
        <f ca="1"/>
        <v>0.2</v>
      </c>
      <c r="N156" s="52">
        <f ca="1"/>
        <v>0.2</v>
      </c>
      <c r="O156" s="2" t="s">
        <v>139</v>
      </c>
    </row>
    <row r="157" spans="4:35" ht="20.100000000000001" customHeight="1" x14ac:dyDescent="0.25"/>
    <row r="158" spans="4:35" ht="20.100000000000001" customHeight="1" x14ac:dyDescent="0.25">
      <c r="D158" s="98" t="s">
        <v>294</v>
      </c>
    </row>
    <row r="159" spans="4:35" ht="20.100000000000001" customHeight="1" x14ac:dyDescent="0.25">
      <c r="D159" s="97" t="s">
        <v>311</v>
      </c>
    </row>
    <row r="160" spans="4:35" ht="20.100000000000001" customHeight="1" x14ac:dyDescent="0.25">
      <c r="D160" s="51" t="s">
        <v>182</v>
      </c>
      <c r="E160" s="51" t="s">
        <v>244</v>
      </c>
      <c r="F160" s="51" t="s">
        <v>129</v>
      </c>
      <c r="G160" s="51" t="s">
        <v>128</v>
      </c>
      <c r="H160" s="51" t="s">
        <v>163</v>
      </c>
      <c r="I160" s="51" t="s">
        <v>164</v>
      </c>
      <c r="J160" s="51" t="s">
        <v>165</v>
      </c>
      <c r="K160" s="51" t="s">
        <v>166</v>
      </c>
      <c r="L160" s="51" t="s">
        <v>167</v>
      </c>
      <c r="M160" s="51" t="s">
        <v>168</v>
      </c>
      <c r="N160" s="51" t="s">
        <v>169</v>
      </c>
      <c r="O160" s="51" t="s">
        <v>170</v>
      </c>
    </row>
    <row r="161" spans="3:34" ht="20.100000000000001" customHeight="1" x14ac:dyDescent="0.25">
      <c r="D161" s="52" t="s">
        <v>171</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132</v>
      </c>
      <c r="Q161" s="2"/>
      <c r="U161" s="98" t="s">
        <v>105</v>
      </c>
    </row>
    <row r="162" spans="3:34" ht="20.100000000000001" customHeight="1" x14ac:dyDescent="0.25">
      <c r="D162" s="52" t="s">
        <v>172</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132</v>
      </c>
      <c r="Q162" s="2"/>
      <c r="U162" s="97" t="s">
        <v>308</v>
      </c>
    </row>
    <row r="163" spans="3:34" ht="20.100000000000001" customHeight="1" x14ac:dyDescent="0.25">
      <c r="D163" s="52" t="s">
        <v>173</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132</v>
      </c>
      <c r="Q163" s="2"/>
      <c r="U163" s="51" t="s">
        <v>130</v>
      </c>
      <c r="V163" s="122" t="s">
        <v>129</v>
      </c>
      <c r="W163" s="122" t="s">
        <v>128</v>
      </c>
      <c r="X163" s="122" t="s">
        <v>163</v>
      </c>
      <c r="Y163" s="122" t="s">
        <v>164</v>
      </c>
      <c r="Z163" s="122" t="s">
        <v>165</v>
      </c>
      <c r="AA163" s="122" t="s">
        <v>166</v>
      </c>
      <c r="AB163" s="122" t="s">
        <v>167</v>
      </c>
      <c r="AC163" s="122" t="s">
        <v>168</v>
      </c>
      <c r="AD163" s="122" t="s">
        <v>169</v>
      </c>
      <c r="AE163" s="122" t="s">
        <v>170</v>
      </c>
    </row>
    <row r="164" spans="3:34" ht="20.100000000000001" customHeight="1" x14ac:dyDescent="0.25">
      <c r="D164" s="52" t="s">
        <v>174</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132</v>
      </c>
      <c r="Q164" s="2"/>
      <c r="U164" s="52" t="str">
        <f>TEXT('Input - Site'!$E$12, "mmmm yyyy")</f>
        <v>January 2025</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139</v>
      </c>
    </row>
    <row r="165" spans="3:34" ht="20.100000000000001" customHeight="1" x14ac:dyDescent="0.25">
      <c r="U165" s="52" t="str">
        <f>TEXT(EDATE('Input - Site'!$E$12,1), "mmmm yyyy")</f>
        <v>February 2025</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139</v>
      </c>
    </row>
    <row r="166" spans="3:34" ht="20.100000000000001" customHeight="1" x14ac:dyDescent="0.25">
      <c r="D166" s="98" t="s">
        <v>295</v>
      </c>
      <c r="U166" s="52" t="str">
        <f>TEXT(EDATE('Input - Site'!$E$12,2), "mmmm yyyy")</f>
        <v>March 2025</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139</v>
      </c>
    </row>
    <row r="167" spans="3:34" ht="20.100000000000001" customHeight="1" x14ac:dyDescent="0.25">
      <c r="D167" s="97" t="s">
        <v>312</v>
      </c>
      <c r="U167" s="52" t="str">
        <f>TEXT(EDATE('Input - Site'!$E$12,3), "mmmm yyyy")</f>
        <v>April 2025</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139</v>
      </c>
    </row>
    <row r="168" spans="3:34" ht="20.100000000000001" customHeight="1" x14ac:dyDescent="0.25">
      <c r="D168" s="51" t="s">
        <v>182</v>
      </c>
      <c r="E168" s="51" t="s">
        <v>129</v>
      </c>
      <c r="F168" s="51" t="s">
        <v>128</v>
      </c>
      <c r="G168" s="51" t="s">
        <v>163</v>
      </c>
      <c r="H168" s="51" t="s">
        <v>164</v>
      </c>
      <c r="I168" s="51" t="s">
        <v>165</v>
      </c>
      <c r="J168" s="51" t="s">
        <v>166</v>
      </c>
      <c r="K168" s="51" t="s">
        <v>167</v>
      </c>
      <c r="L168" s="51" t="s">
        <v>168</v>
      </c>
      <c r="M168" s="51" t="s">
        <v>169</v>
      </c>
      <c r="N168" s="51" t="s">
        <v>170</v>
      </c>
      <c r="U168" s="52" t="str">
        <f>TEXT(EDATE('Input - Site'!$E$12,4), "mmmm yyyy")</f>
        <v>May 2025</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139</v>
      </c>
      <c r="AG168" s="2"/>
      <c r="AH168" s="2"/>
    </row>
    <row r="169" spans="3:34" ht="20.100000000000001" customHeight="1" x14ac:dyDescent="0.25">
      <c r="D169" s="52" t="s">
        <v>171</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2025</v>
      </c>
      <c r="V169" s="52">
        <f ca="1"/>
        <v>0.2</v>
      </c>
      <c r="W169" s="52">
        <f ca="1"/>
        <v>0.2</v>
      </c>
      <c r="X169" s="52">
        <f ca="1"/>
        <v>0.2</v>
      </c>
      <c r="Y169" s="52">
        <f ca="1"/>
        <v>0.2</v>
      </c>
      <c r="Z169" s="52">
        <f ca="1"/>
        <v>0.2</v>
      </c>
      <c r="AA169" s="52">
        <f ca="1"/>
        <v>0.2</v>
      </c>
      <c r="AB169" s="52">
        <f ca="1"/>
        <v>0.2</v>
      </c>
      <c r="AC169" s="52">
        <f ca="1"/>
        <v>0.2</v>
      </c>
      <c r="AD169" s="52">
        <f ca="1"/>
        <v>0.2</v>
      </c>
      <c r="AE169" s="52">
        <f ca="1"/>
        <v>0.2</v>
      </c>
      <c r="AF169" s="2" t="s">
        <v>139</v>
      </c>
      <c r="AG169" s="2"/>
      <c r="AH169" s="2"/>
    </row>
    <row r="170" spans="3:34" ht="20.100000000000001" customHeight="1" x14ac:dyDescent="0.25">
      <c r="D170" s="52" t="s">
        <v>172</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2025</v>
      </c>
      <c r="V170" s="52">
        <f ca="1"/>
        <v>0.2</v>
      </c>
      <c r="W170" s="52">
        <f ca="1"/>
        <v>0.2</v>
      </c>
      <c r="X170" s="52">
        <f ca="1"/>
        <v>0.2</v>
      </c>
      <c r="Y170" s="52">
        <f ca="1"/>
        <v>0.2</v>
      </c>
      <c r="Z170" s="52">
        <f ca="1"/>
        <v>0.2</v>
      </c>
      <c r="AA170" s="52">
        <f ca="1"/>
        <v>0.2</v>
      </c>
      <c r="AB170" s="52">
        <f ca="1"/>
        <v>0.2</v>
      </c>
      <c r="AC170" s="52">
        <f ca="1"/>
        <v>0.2</v>
      </c>
      <c r="AD170" s="52">
        <f ca="1"/>
        <v>0.2</v>
      </c>
      <c r="AE170" s="52">
        <f ca="1"/>
        <v>0.2</v>
      </c>
      <c r="AF170" s="2" t="s">
        <v>139</v>
      </c>
      <c r="AG170" s="2"/>
      <c r="AH170" s="2"/>
    </row>
    <row r="171" spans="3:34" ht="20.100000000000001" customHeight="1" x14ac:dyDescent="0.25">
      <c r="D171" s="52" t="s">
        <v>173</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2025</v>
      </c>
      <c r="V171" s="52">
        <f ca="1"/>
        <v>0.2</v>
      </c>
      <c r="W171" s="52">
        <f ca="1"/>
        <v>0.2</v>
      </c>
      <c r="X171" s="52">
        <f ca="1"/>
        <v>0.2</v>
      </c>
      <c r="Y171" s="52">
        <f ca="1"/>
        <v>0.2</v>
      </c>
      <c r="Z171" s="52">
        <f ca="1"/>
        <v>0.2</v>
      </c>
      <c r="AA171" s="52">
        <f ca="1"/>
        <v>0.2</v>
      </c>
      <c r="AB171" s="52">
        <f ca="1"/>
        <v>0.2</v>
      </c>
      <c r="AC171" s="52">
        <f ca="1"/>
        <v>0.2</v>
      </c>
      <c r="AD171" s="52">
        <f ca="1"/>
        <v>0.2</v>
      </c>
      <c r="AE171" s="52">
        <f ca="1"/>
        <v>0.2</v>
      </c>
      <c r="AF171" s="2" t="s">
        <v>139</v>
      </c>
      <c r="AG171" s="2"/>
      <c r="AH171" s="2"/>
    </row>
    <row r="172" spans="3:34" ht="20.100000000000001" customHeight="1" x14ac:dyDescent="0.25">
      <c r="D172" s="52" t="s">
        <v>174</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2025</v>
      </c>
      <c r="V172" s="52">
        <f ca="1"/>
        <v>0.2</v>
      </c>
      <c r="W172" s="52">
        <f ca="1"/>
        <v>0.2</v>
      </c>
      <c r="X172" s="52">
        <f ca="1"/>
        <v>0.2</v>
      </c>
      <c r="Y172" s="52">
        <f ca="1"/>
        <v>0.2</v>
      </c>
      <c r="Z172" s="52">
        <f ca="1"/>
        <v>0.2</v>
      </c>
      <c r="AA172" s="52">
        <f ca="1"/>
        <v>0.2</v>
      </c>
      <c r="AB172" s="52">
        <f ca="1"/>
        <v>0.2</v>
      </c>
      <c r="AC172" s="52">
        <f ca="1"/>
        <v>0.2</v>
      </c>
      <c r="AD172" s="52">
        <f ca="1"/>
        <v>0.2</v>
      </c>
      <c r="AE172" s="52">
        <f ca="1"/>
        <v>0.2</v>
      </c>
      <c r="AF172" s="2" t="s">
        <v>139</v>
      </c>
      <c r="AG172" s="2"/>
      <c r="AH172" s="2"/>
    </row>
    <row r="173" spans="3:34" ht="20.100000000000001" customHeight="1" x14ac:dyDescent="0.25">
      <c r="U173" s="52" t="str">
        <f>TEXT(EDATE('Input - Site'!$E$12,9), "mmmm yyyy")</f>
        <v>October 2025</v>
      </c>
      <c r="V173" s="52">
        <f ca="1"/>
        <v>0.2</v>
      </c>
      <c r="W173" s="52">
        <f ca="1"/>
        <v>0.2</v>
      </c>
      <c r="X173" s="52">
        <f ca="1"/>
        <v>0.2</v>
      </c>
      <c r="Y173" s="52">
        <f ca="1"/>
        <v>0.2</v>
      </c>
      <c r="Z173" s="52">
        <f ca="1"/>
        <v>0.2</v>
      </c>
      <c r="AA173" s="52">
        <f ca="1"/>
        <v>0.2</v>
      </c>
      <c r="AB173" s="52">
        <f ca="1"/>
        <v>0.2</v>
      </c>
      <c r="AC173" s="52">
        <f ca="1"/>
        <v>0.2</v>
      </c>
      <c r="AD173" s="52">
        <f ca="1"/>
        <v>0.2</v>
      </c>
      <c r="AE173" s="52">
        <f ca="1"/>
        <v>0.2</v>
      </c>
      <c r="AF173" s="2" t="s">
        <v>139</v>
      </c>
      <c r="AG173" s="2"/>
      <c r="AH173" s="2"/>
    </row>
    <row r="174" spans="3:34" ht="20.100000000000001" customHeight="1" x14ac:dyDescent="0.25">
      <c r="U174" s="52" t="str">
        <f>TEXT(EDATE('Input - Site'!$E$12,10), "mmmm yyyy")</f>
        <v>November 2025</v>
      </c>
      <c r="V174" s="52">
        <f ca="1"/>
        <v>0.2</v>
      </c>
      <c r="W174" s="52">
        <f ca="1"/>
        <v>0.2</v>
      </c>
      <c r="X174" s="52">
        <f ca="1"/>
        <v>0.2</v>
      </c>
      <c r="Y174" s="52">
        <f ca="1"/>
        <v>0.2</v>
      </c>
      <c r="Z174" s="52">
        <f ca="1"/>
        <v>0.2</v>
      </c>
      <c r="AA174" s="52">
        <f ca="1"/>
        <v>0.2</v>
      </c>
      <c r="AB174" s="52">
        <f ca="1"/>
        <v>0.2</v>
      </c>
      <c r="AC174" s="52">
        <f ca="1"/>
        <v>0.2</v>
      </c>
      <c r="AD174" s="52">
        <f ca="1"/>
        <v>0.2</v>
      </c>
      <c r="AE174" s="52">
        <f ca="1"/>
        <v>0.2</v>
      </c>
      <c r="AF174" s="2" t="s">
        <v>139</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2025</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139</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294</v>
      </c>
      <c r="AH177" s="2"/>
    </row>
    <row r="178" spans="4:34" ht="20.100000000000001" customHeight="1" x14ac:dyDescent="0.25">
      <c r="D178" s="13" t="s">
        <v>26</v>
      </c>
      <c r="E178" s="13" t="str" cm="1">
        <f t="array" aca="1" ref="E178" ca="1">Common_InputFunctions.Utility_DisplayFunctionName($E$207)</f>
        <v>=MMS_PastureBeef_Soil_N2ODirect_Equations.VEERG_4_2_1_3__2_TotalNitrogenExcretedToPastureRangeAndPaddock</v>
      </c>
      <c r="U178" s="97" t="s">
        <v>310</v>
      </c>
      <c r="AH178" s="2"/>
    </row>
    <row r="179" spans="4:34" ht="20.100000000000001" customHeight="1" x14ac:dyDescent="0.25">
      <c r="U179" s="51" t="s">
        <v>130</v>
      </c>
      <c r="V179" s="51" t="s">
        <v>244</v>
      </c>
      <c r="W179" s="51" t="s">
        <v>129</v>
      </c>
      <c r="X179" s="51" t="s">
        <v>128</v>
      </c>
      <c r="Y179" s="51" t="s">
        <v>163</v>
      </c>
      <c r="Z179" s="51" t="s">
        <v>164</v>
      </c>
      <c r="AA179" s="51" t="s">
        <v>165</v>
      </c>
      <c r="AB179" s="51" t="s">
        <v>166</v>
      </c>
      <c r="AC179" s="51" t="s">
        <v>167</v>
      </c>
      <c r="AD179" s="51" t="s">
        <v>168</v>
      </c>
      <c r="AE179" s="51" t="s">
        <v>169</v>
      </c>
      <c r="AF179" s="51" t="s">
        <v>170</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132</v>
      </c>
    </row>
    <row r="181" spans="4:34" ht="20.100000000000001" customHeight="1" x14ac:dyDescent="0.25">
      <c r="D181" s="53" t="s">
        <v>29</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132</v>
      </c>
    </row>
    <row r="182" spans="4:34" ht="20.100000000000001" customHeight="1" x14ac:dyDescent="0.25">
      <c r="D182" s="53" t="s">
        <v>19</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132</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132</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132</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132</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132</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132</v>
      </c>
      <c r="AH187" s="2"/>
    </row>
    <row r="188" spans="4:34" ht="20.100000000000001" customHeight="1" x14ac:dyDescent="0.25">
      <c r="D188" s="98" t="s">
        <v>272</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132</v>
      </c>
    </row>
    <row r="189" spans="4:34" ht="20.100000000000001" customHeight="1" x14ac:dyDescent="0.25">
      <c r="D189" s="97" t="s">
        <v>273</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132</v>
      </c>
    </row>
    <row r="190" spans="4:34" ht="20.100000000000001" customHeight="1" x14ac:dyDescent="0.25">
      <c r="D190" s="51" t="s">
        <v>182</v>
      </c>
      <c r="E190" s="122" t="s">
        <v>129</v>
      </c>
      <c r="F190" s="122" t="s">
        <v>128</v>
      </c>
      <c r="G190" s="122" t="s">
        <v>163</v>
      </c>
      <c r="H190" s="122" t="s">
        <v>164</v>
      </c>
      <c r="I190" s="122" t="s">
        <v>165</v>
      </c>
      <c r="J190" s="122" t="s">
        <v>166</v>
      </c>
      <c r="K190" s="122" t="s">
        <v>167</v>
      </c>
      <c r="L190" s="122" t="s">
        <v>168</v>
      </c>
      <c r="M190" s="122" t="s">
        <v>169</v>
      </c>
      <c r="N190" s="122" t="s">
        <v>170</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132</v>
      </c>
    </row>
    <row r="191" spans="4:34" ht="20.100000000000001" customHeight="1" x14ac:dyDescent="0.25">
      <c r="D191" s="52" t="s">
        <v>171</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100</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132</v>
      </c>
    </row>
    <row r="192" spans="4:34" ht="20.100000000000001" customHeight="1" x14ac:dyDescent="0.25">
      <c r="D192" s="52" t="s">
        <v>172</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100</v>
      </c>
    </row>
    <row r="193" spans="4:34" ht="20.100000000000001" customHeight="1" x14ac:dyDescent="0.25">
      <c r="D193" s="52" t="s">
        <v>173</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100</v>
      </c>
      <c r="U193" s="98" t="s">
        <v>313</v>
      </c>
    </row>
    <row r="194" spans="4:34" ht="20.100000000000001" customHeight="1" x14ac:dyDescent="0.25">
      <c r="D194" s="52" t="s">
        <v>174</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100</v>
      </c>
      <c r="U194" s="97" t="s">
        <v>314</v>
      </c>
    </row>
    <row r="195" spans="4:34" ht="20.100000000000001" customHeight="1" x14ac:dyDescent="0.25">
      <c r="U195" s="51" t="s">
        <v>130</v>
      </c>
      <c r="V195" s="51" t="s">
        <v>129</v>
      </c>
      <c r="W195" s="51" t="s">
        <v>128</v>
      </c>
      <c r="X195" s="51" t="s">
        <v>163</v>
      </c>
      <c r="Y195" s="51" t="s">
        <v>164</v>
      </c>
      <c r="Z195" s="51" t="s">
        <v>165</v>
      </c>
      <c r="AA195" s="51" t="s">
        <v>166</v>
      </c>
      <c r="AB195" s="51" t="s">
        <v>167</v>
      </c>
      <c r="AC195" s="51" t="s">
        <v>168</v>
      </c>
      <c r="AD195" s="51" t="s">
        <v>169</v>
      </c>
      <c r="AE195" s="51" t="s">
        <v>170</v>
      </c>
    </row>
    <row r="196" spans="4:34" ht="20.100000000000001" customHeight="1" x14ac:dyDescent="0.25">
      <c r="D196" s="98" t="s">
        <v>144</v>
      </c>
      <c r="U196" s="52" t="str">
        <f>TEXT('Input - Site'!$E$12, "mmmm yyyy")</f>
        <v>January 2025</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274</v>
      </c>
      <c r="U197" s="52" t="str">
        <f>TEXT(EDATE('Input - Site'!$E$12,1), "mmmm yyyy")</f>
        <v>February 2025</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182</v>
      </c>
      <c r="E198" s="122" t="s">
        <v>129</v>
      </c>
      <c r="F198" s="122" t="s">
        <v>128</v>
      </c>
      <c r="G198" s="122" t="s">
        <v>163</v>
      </c>
      <c r="H198" s="122" t="s">
        <v>164</v>
      </c>
      <c r="I198" s="122" t="s">
        <v>165</v>
      </c>
      <c r="J198" s="122" t="s">
        <v>166</v>
      </c>
      <c r="K198" s="122" t="s">
        <v>167</v>
      </c>
      <c r="L198" s="122" t="s">
        <v>168</v>
      </c>
      <c r="M198" s="122" t="s">
        <v>169</v>
      </c>
      <c r="N198" s="122" t="s">
        <v>170</v>
      </c>
      <c r="U198" s="52" t="str">
        <f>TEXT(EDATE('Input - Site'!$E$12,2), "mmmm yyyy")</f>
        <v>March 2025</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171</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275</v>
      </c>
      <c r="U199" s="52" t="str">
        <f>TEXT(EDATE('Input - Site'!$E$12,3), "mmmm yyyy")</f>
        <v>April 2025</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172</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275</v>
      </c>
      <c r="U200" s="52" t="str">
        <f>TEXT(EDATE('Input - Site'!$E$12,4), "mmmm yyyy")</f>
        <v>May 2025</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173</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275</v>
      </c>
      <c r="U201" s="52" t="str">
        <f>TEXT(EDATE('Input - Site'!$E$12,5), "mmmm yyyy")</f>
        <v>June 2025</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174</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275</v>
      </c>
      <c r="U202" s="52" t="str">
        <f>TEXT(EDATE('Input - Site'!$E$12,6), "mmmm yyyy")</f>
        <v>July 2025</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2025</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296</v>
      </c>
      <c r="U204" s="52" t="str">
        <f>TEXT(EDATE('Input - Site'!$E$12,8), "mmmm yyyy")</f>
        <v>September 2025</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297</v>
      </c>
      <c r="U205" s="52" t="str">
        <f>TEXT(EDATE('Input - Site'!$E$12,9), "mmmm yyyy")</f>
        <v>October 2025</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182</v>
      </c>
      <c r="E206" s="51" t="s">
        <v>129</v>
      </c>
      <c r="F206" s="51" t="s">
        <v>128</v>
      </c>
      <c r="G206" s="51" t="s">
        <v>163</v>
      </c>
      <c r="H206" s="51" t="s">
        <v>164</v>
      </c>
      <c r="I206" s="51" t="s">
        <v>165</v>
      </c>
      <c r="J206" s="51" t="s">
        <v>166</v>
      </c>
      <c r="K206" s="51" t="s">
        <v>167</v>
      </c>
      <c r="L206" s="51" t="s">
        <v>168</v>
      </c>
      <c r="M206" s="51" t="s">
        <v>169</v>
      </c>
      <c r="N206" s="51" t="s">
        <v>170</v>
      </c>
      <c r="U206" s="52" t="str">
        <f>TEXT(EDATE('Input - Site'!$E$12,10), "mmmm yyyy")</f>
        <v>November 2025</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171</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2025</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172</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173</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174</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298</v>
      </c>
      <c r="E212" s="45">
        <f ca="1">SUM(E207:N210)</f>
        <v>60490.349382369524</v>
      </c>
      <c r="F212" s="103" t="str">
        <f>E182</f>
        <v>kg N</v>
      </c>
    </row>
    <row r="213" spans="3:35" ht="20.100000000000001" customHeight="1" x14ac:dyDescent="0.25">
      <c r="U213" s="98" t="s">
        <v>277</v>
      </c>
    </row>
    <row r="214" spans="3:35" ht="20.100000000000001" customHeight="1" x14ac:dyDescent="0.25">
      <c r="U214" s="97" t="s">
        <v>278</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130</v>
      </c>
      <c r="V215" s="122" t="s">
        <v>129</v>
      </c>
      <c r="W215" s="122" t="s">
        <v>128</v>
      </c>
      <c r="X215" s="122" t="s">
        <v>163</v>
      </c>
      <c r="Y215" s="122" t="s">
        <v>164</v>
      </c>
      <c r="Z215" s="122" t="s">
        <v>165</v>
      </c>
      <c r="AA215" s="122" t="s">
        <v>166</v>
      </c>
      <c r="AB215" s="122" t="s">
        <v>167</v>
      </c>
      <c r="AC215" s="122" t="s">
        <v>168</v>
      </c>
      <c r="AD215" s="122" t="s">
        <v>169</v>
      </c>
      <c r="AE215" s="122" t="s">
        <v>170</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2025</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100</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2025</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100</v>
      </c>
      <c r="AG217" s="2"/>
      <c r="AH217" s="2"/>
    </row>
    <row r="218" spans="3:35" ht="20.100000000000001" customHeight="1" x14ac:dyDescent="0.25">
      <c r="D218" s="13" t="s">
        <v>26</v>
      </c>
      <c r="E218" s="13" t="str" cm="1">
        <f t="array" aca="1" ref="E218" ca="1">Common_InputFunctions.Utility_DisplayFunctionName(E229)</f>
        <v>=MMS_PastureBeef_Soil_N2ODirect_Equations.VEERG_4_2_1_3__1_DirectNitrousOxideEmissionsOnPasture</v>
      </c>
      <c r="U218" s="52" t="str">
        <f>TEXT(EDATE('Input - Site'!$E$12,2), "mmmm yyyy")</f>
        <v>March 2025</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100</v>
      </c>
      <c r="AG218" s="2"/>
      <c r="AH218" s="2"/>
    </row>
    <row r="219" spans="3:35" ht="20.100000000000001" customHeight="1" x14ac:dyDescent="0.25">
      <c r="U219" s="52" t="str">
        <f>TEXT(EDATE('Input - Site'!$E$12,3), "mmmm yyyy")</f>
        <v>April 2025</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100</v>
      </c>
      <c r="AG219" s="2"/>
      <c r="AH219" s="2"/>
    </row>
    <row r="220" spans="3:35" ht="20.100000000000001" customHeight="1" x14ac:dyDescent="0.25">
      <c r="U220" s="52" t="str">
        <f>TEXT(EDATE('Input - Site'!$E$12,4), "mmmm yyyy")</f>
        <v>May 2025</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100</v>
      </c>
      <c r="AG220" s="2"/>
      <c r="AH220" s="2"/>
    </row>
    <row r="221" spans="3:35" ht="20.100000000000001" customHeight="1" x14ac:dyDescent="0.25">
      <c r="D221" s="53" t="s">
        <v>29</v>
      </c>
      <c r="E221" s="1" t="str" cm="1">
        <f t="array" ref="E221">MMS_PastureBeef_Soil_N2ODirect_Equations.VEERG_4_2_1_3__1_DirectNitrousOxideEmissionsOnPasture_Variable()</f>
        <v>E_N2Odir</v>
      </c>
      <c r="U221" s="52" t="str">
        <f>TEXT(EDATE('Input - Site'!$E$12,5), "mmmm yyyy")</f>
        <v>June 2025</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100</v>
      </c>
      <c r="AG221" s="2"/>
      <c r="AH221" s="2"/>
    </row>
    <row r="222" spans="3:35" ht="20.100000000000001" customHeight="1" x14ac:dyDescent="0.25">
      <c r="D222" s="53" t="s">
        <v>19</v>
      </c>
      <c r="E222" s="54" t="str" cm="1">
        <f t="array" ref="E222">MMS_PastureBeef_Soil_N2ODirect_Equations.VEERG_4_2_1_3__1_DirectNitrousOxideEmissionsOnPasture_Unit()</f>
        <v>t N2O</v>
      </c>
      <c r="U222" s="52" t="str">
        <f>TEXT(EDATE('Input - Site'!$E$12,6), "mmmm yyyy")</f>
        <v>July 2025</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100</v>
      </c>
      <c r="AG222" s="2"/>
      <c r="AH222" s="2"/>
    </row>
    <row r="223" spans="3:35" ht="20.100000000000001" customHeight="1" x14ac:dyDescent="0.25">
      <c r="U223" s="52" t="str">
        <f>TEXT(EDATE('Input - Site'!$E$12,7), "mmmm yyyy")</f>
        <v>August 2025</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100</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2025</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100</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2025</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100</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2025</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100</v>
      </c>
      <c r="AG226" s="2"/>
      <c r="AH226" s="2"/>
    </row>
    <row r="227" spans="4:34" ht="20.100000000000001" customHeight="1" x14ac:dyDescent="0.25">
      <c r="D227" s="106" t="str">
        <v>z</v>
      </c>
      <c r="E227" s="108" t="str">
        <v>wet or dry climate zone</v>
      </c>
      <c r="F227" s="115" t="str">
        <v/>
      </c>
      <c r="G227" s="107" t="str">
        <v>Input</v>
      </c>
      <c r="H227" s="106" t="str">
        <f>'Input - Site'!$E$32</f>
        <v>Dry climate zone</v>
      </c>
      <c r="U227" s="52" t="str">
        <f>TEXT(EDATE('Input - Site'!$E$12,11), "mmmm yyyy")</f>
        <v>December 2025</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100</v>
      </c>
      <c r="AG227" s="2"/>
      <c r="AH227" s="2"/>
    </row>
    <row r="228" spans="4:34" ht="20.100000000000001" customHeight="1" x14ac:dyDescent="0.25"/>
    <row r="229" spans="4:34" ht="20.100000000000001" customHeight="1" x14ac:dyDescent="0.25">
      <c r="D229" s="99" t="s">
        <v>108</v>
      </c>
      <c r="E229" s="100" cm="1">
        <f t="array" aca="1" ref="E229" ca="1">MMS_PastureBeef_Soil_N2ODirect_Equations.VEERG_4_2_1_3__1_DirectNitrousOxideEmissionsOnPasture($E$212,$H$225,$H$226)</f>
        <v>0.19011252663030423</v>
      </c>
      <c r="F229" s="101" t="str">
        <f>$E$222</f>
        <v>t N2O</v>
      </c>
      <c r="U229" s="98" t="s">
        <v>147</v>
      </c>
    </row>
    <row r="230" spans="4:34" ht="20.100000000000001" customHeight="1" x14ac:dyDescent="0.25">
      <c r="U230" s="97" t="s">
        <v>279</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130</v>
      </c>
      <c r="V231" s="122" t="s">
        <v>129</v>
      </c>
      <c r="W231" s="122" t="s">
        <v>128</v>
      </c>
      <c r="X231" s="122" t="s">
        <v>163</v>
      </c>
      <c r="Y231" s="122" t="s">
        <v>164</v>
      </c>
      <c r="Z231" s="122" t="s">
        <v>165</v>
      </c>
      <c r="AA231" s="122" t="s">
        <v>166</v>
      </c>
      <c r="AB231" s="122" t="s">
        <v>167</v>
      </c>
      <c r="AC231" s="122" t="s">
        <v>168</v>
      </c>
      <c r="AD231" s="122" t="s">
        <v>169</v>
      </c>
      <c r="AE231" s="122" t="s">
        <v>170</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2025</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275</v>
      </c>
      <c r="AG232" s="2"/>
      <c r="AH232" s="2"/>
    </row>
    <row r="233" spans="4:34" ht="20.100000000000001" customHeight="1" x14ac:dyDescent="0.25">
      <c r="U233" s="52" t="str">
        <f>TEXT(EDATE('Input - Site'!$E$12,1), "mmmm yyyy")</f>
        <v>February 2025</v>
      </c>
      <c r="V233" s="52">
        <f ca="1"/>
        <v>29</v>
      </c>
      <c r="W233" s="52">
        <f ca="1"/>
        <v>29</v>
      </c>
      <c r="X233" s="52">
        <f ca="1"/>
        <v>29</v>
      </c>
      <c r="Y233" s="52">
        <f ca="1"/>
        <v>29</v>
      </c>
      <c r="Z233" s="52">
        <f ca="1"/>
        <v>29</v>
      </c>
      <c r="AA233" s="52">
        <f ca="1"/>
        <v>29</v>
      </c>
      <c r="AB233" s="52">
        <f ca="1"/>
        <v>29</v>
      </c>
      <c r="AC233" s="52">
        <f ca="1"/>
        <v>29</v>
      </c>
      <c r="AD233" s="52">
        <f ca="1"/>
        <v>29</v>
      </c>
      <c r="AE233" s="52">
        <f ca="1"/>
        <v>29</v>
      </c>
      <c r="AF233" s="2" t="s">
        <v>275</v>
      </c>
      <c r="AG233" s="2"/>
      <c r="AH233" s="2"/>
    </row>
    <row r="234" spans="4:34" ht="20.100000000000001" customHeight="1" x14ac:dyDescent="0.25">
      <c r="D234" s="45" t="s">
        <v>102</v>
      </c>
      <c r="E234" s="45" cm="1">
        <f t="array" aca="1" ref="E234" ca="1">Common_Equations.Common_ConvertN2OToCO2e(G231,G232)</f>
        <v>50.379819557030622</v>
      </c>
      <c r="F234" s="103" t="str" cm="1">
        <f t="array" ref="F234">Common_Equations.Common_ConvertN2OToCO2e_Unit()</f>
        <v>t CO2e</v>
      </c>
      <c r="U234" s="52" t="str">
        <f>TEXT(EDATE('Input - Site'!$E$12,2), "mmmm yyyy")</f>
        <v>March 2025</v>
      </c>
      <c r="V234" s="52">
        <f ca="1"/>
        <v>31</v>
      </c>
      <c r="W234" s="52">
        <f ca="1"/>
        <v>31</v>
      </c>
      <c r="X234" s="52">
        <f ca="1"/>
        <v>31</v>
      </c>
      <c r="Y234" s="52">
        <f ca="1"/>
        <v>31</v>
      </c>
      <c r="Z234" s="52">
        <f ca="1"/>
        <v>31</v>
      </c>
      <c r="AA234" s="52">
        <f ca="1"/>
        <v>31</v>
      </c>
      <c r="AB234" s="52">
        <f ca="1"/>
        <v>31</v>
      </c>
      <c r="AC234" s="52">
        <f ca="1"/>
        <v>31</v>
      </c>
      <c r="AD234" s="52">
        <f ca="1"/>
        <v>31</v>
      </c>
      <c r="AE234" s="52">
        <f ca="1"/>
        <v>31</v>
      </c>
      <c r="AF234" s="2" t="s">
        <v>275</v>
      </c>
      <c r="AG234" s="2"/>
      <c r="AH234" s="2"/>
    </row>
    <row r="235" spans="4:34" ht="20.100000000000001" customHeight="1" x14ac:dyDescent="0.25">
      <c r="U235" s="52" t="str">
        <f>TEXT(EDATE('Input - Site'!$E$12,3), "mmmm yyyy")</f>
        <v>April 2025</v>
      </c>
      <c r="V235" s="52">
        <f ca="1"/>
        <v>30</v>
      </c>
      <c r="W235" s="52">
        <f ca="1"/>
        <v>30</v>
      </c>
      <c r="X235" s="52">
        <f ca="1"/>
        <v>30</v>
      </c>
      <c r="Y235" s="52">
        <f ca="1"/>
        <v>30</v>
      </c>
      <c r="Z235" s="52">
        <f ca="1"/>
        <v>30</v>
      </c>
      <c r="AA235" s="52">
        <f ca="1"/>
        <v>30</v>
      </c>
      <c r="AB235" s="52">
        <f ca="1"/>
        <v>30</v>
      </c>
      <c r="AC235" s="52">
        <f ca="1"/>
        <v>30</v>
      </c>
      <c r="AD235" s="52">
        <f ca="1"/>
        <v>30</v>
      </c>
      <c r="AE235" s="52">
        <f ca="1"/>
        <v>30</v>
      </c>
      <c r="AF235" s="2" t="s">
        <v>275</v>
      </c>
      <c r="AG235" s="2"/>
      <c r="AH235" s="2"/>
    </row>
    <row r="236" spans="4:34" ht="20.100000000000001" customHeight="1" x14ac:dyDescent="0.25">
      <c r="U236" s="52" t="str">
        <f>TEXT(EDATE('Input - Site'!$E$12,4), "mmmm yyyy")</f>
        <v>May 2025</v>
      </c>
      <c r="V236" s="52">
        <f ca="1"/>
        <v>31</v>
      </c>
      <c r="W236" s="52">
        <f ca="1"/>
        <v>31</v>
      </c>
      <c r="X236" s="52">
        <f ca="1"/>
        <v>31</v>
      </c>
      <c r="Y236" s="52">
        <f ca="1"/>
        <v>31</v>
      </c>
      <c r="Z236" s="52">
        <f ca="1"/>
        <v>31</v>
      </c>
      <c r="AA236" s="52">
        <f ca="1"/>
        <v>31</v>
      </c>
      <c r="AB236" s="52">
        <f ca="1"/>
        <v>31</v>
      </c>
      <c r="AC236" s="52">
        <f ca="1"/>
        <v>31</v>
      </c>
      <c r="AD236" s="52">
        <f ca="1"/>
        <v>31</v>
      </c>
      <c r="AE236" s="52">
        <f ca="1"/>
        <v>31</v>
      </c>
      <c r="AF236" s="2" t="s">
        <v>275</v>
      </c>
      <c r="AG236" s="2"/>
      <c r="AH236" s="2"/>
    </row>
    <row r="237" spans="4:34" ht="20.100000000000001" customHeight="1" x14ac:dyDescent="0.25">
      <c r="U237" s="52" t="str">
        <f>TEXT(EDATE('Input - Site'!$E$12,5), "mmmm yyyy")</f>
        <v>June 2025</v>
      </c>
      <c r="V237" s="52">
        <f ca="1"/>
        <v>30</v>
      </c>
      <c r="W237" s="52">
        <f ca="1"/>
        <v>30</v>
      </c>
      <c r="X237" s="52">
        <f ca="1"/>
        <v>30</v>
      </c>
      <c r="Y237" s="52">
        <f ca="1"/>
        <v>30</v>
      </c>
      <c r="Z237" s="52">
        <f ca="1"/>
        <v>30</v>
      </c>
      <c r="AA237" s="52">
        <f ca="1"/>
        <v>30</v>
      </c>
      <c r="AB237" s="52">
        <f ca="1"/>
        <v>30</v>
      </c>
      <c r="AC237" s="52">
        <f ca="1"/>
        <v>30</v>
      </c>
      <c r="AD237" s="52">
        <f ca="1"/>
        <v>30</v>
      </c>
      <c r="AE237" s="52">
        <f ca="1"/>
        <v>30</v>
      </c>
      <c r="AF237" s="2" t="s">
        <v>275</v>
      </c>
      <c r="AG237" s="2"/>
      <c r="AH237" s="2"/>
    </row>
    <row r="238" spans="4:34" ht="20.100000000000001" customHeight="1" x14ac:dyDescent="0.25">
      <c r="U238" s="52" t="str">
        <f>TEXT(EDATE('Input - Site'!$E$12,6), "mmmm yyyy")</f>
        <v>July 2025</v>
      </c>
      <c r="V238" s="52">
        <f ca="1"/>
        <v>31</v>
      </c>
      <c r="W238" s="52">
        <f ca="1"/>
        <v>31</v>
      </c>
      <c r="X238" s="52">
        <f ca="1"/>
        <v>31</v>
      </c>
      <c r="Y238" s="52">
        <f ca="1"/>
        <v>31</v>
      </c>
      <c r="Z238" s="52">
        <f ca="1"/>
        <v>31</v>
      </c>
      <c r="AA238" s="52">
        <f ca="1"/>
        <v>31</v>
      </c>
      <c r="AB238" s="52">
        <f ca="1"/>
        <v>31</v>
      </c>
      <c r="AC238" s="52">
        <f ca="1"/>
        <v>31</v>
      </c>
      <c r="AD238" s="52">
        <f ca="1"/>
        <v>31</v>
      </c>
      <c r="AE238" s="52">
        <f ca="1"/>
        <v>31</v>
      </c>
      <c r="AF238" s="2" t="s">
        <v>275</v>
      </c>
      <c r="AG238" s="2"/>
      <c r="AH238" s="2"/>
    </row>
    <row r="239" spans="4:34" ht="20.100000000000001" customHeight="1" x14ac:dyDescent="0.25">
      <c r="U239" s="52" t="str">
        <f>TEXT(EDATE('Input - Site'!$E$12,7), "mmmm yyyy")</f>
        <v>August 2025</v>
      </c>
      <c r="V239" s="52">
        <f ca="1"/>
        <v>31</v>
      </c>
      <c r="W239" s="52">
        <f ca="1"/>
        <v>31</v>
      </c>
      <c r="X239" s="52">
        <f ca="1"/>
        <v>31</v>
      </c>
      <c r="Y239" s="52">
        <f ca="1"/>
        <v>31</v>
      </c>
      <c r="Z239" s="52">
        <f ca="1"/>
        <v>31</v>
      </c>
      <c r="AA239" s="52">
        <f ca="1"/>
        <v>31</v>
      </c>
      <c r="AB239" s="52">
        <f ca="1"/>
        <v>31</v>
      </c>
      <c r="AC239" s="52">
        <f ca="1"/>
        <v>31</v>
      </c>
      <c r="AD239" s="52">
        <f ca="1"/>
        <v>31</v>
      </c>
      <c r="AE239" s="52">
        <f ca="1"/>
        <v>31</v>
      </c>
      <c r="AF239" s="2" t="s">
        <v>275</v>
      </c>
      <c r="AG239" s="2"/>
      <c r="AH239" s="2"/>
    </row>
    <row r="240" spans="4:34" ht="20.100000000000001" customHeight="1" x14ac:dyDescent="0.25">
      <c r="U240" s="52" t="str">
        <f>TEXT(EDATE('Input - Site'!$E$12,8), "mmmm yyyy")</f>
        <v>September 2025</v>
      </c>
      <c r="V240" s="52">
        <f ca="1"/>
        <v>30</v>
      </c>
      <c r="W240" s="52">
        <f ca="1"/>
        <v>30</v>
      </c>
      <c r="X240" s="52">
        <f ca="1"/>
        <v>30</v>
      </c>
      <c r="Y240" s="52">
        <f ca="1"/>
        <v>30</v>
      </c>
      <c r="Z240" s="52">
        <f ca="1"/>
        <v>30</v>
      </c>
      <c r="AA240" s="52">
        <f ca="1"/>
        <v>30</v>
      </c>
      <c r="AB240" s="52">
        <f ca="1"/>
        <v>30</v>
      </c>
      <c r="AC240" s="52">
        <f ca="1"/>
        <v>30</v>
      </c>
      <c r="AD240" s="52">
        <f ca="1"/>
        <v>30</v>
      </c>
      <c r="AE240" s="52">
        <f ca="1"/>
        <v>30</v>
      </c>
      <c r="AF240" s="2" t="s">
        <v>275</v>
      </c>
      <c r="AG240" s="2"/>
      <c r="AH240" s="2"/>
    </row>
    <row r="241" spans="21:34" ht="20.100000000000001" customHeight="1" x14ac:dyDescent="0.25">
      <c r="U241" s="52" t="str">
        <f>TEXT(EDATE('Input - Site'!$E$12,9), "mmmm yyyy")</f>
        <v>October 2025</v>
      </c>
      <c r="V241" s="52">
        <f ca="1"/>
        <v>31</v>
      </c>
      <c r="W241" s="52">
        <f ca="1"/>
        <v>31</v>
      </c>
      <c r="X241" s="52">
        <f ca="1"/>
        <v>31</v>
      </c>
      <c r="Y241" s="52">
        <f ca="1"/>
        <v>31</v>
      </c>
      <c r="Z241" s="52">
        <f ca="1"/>
        <v>31</v>
      </c>
      <c r="AA241" s="52">
        <f ca="1"/>
        <v>31</v>
      </c>
      <c r="AB241" s="52">
        <f ca="1"/>
        <v>31</v>
      </c>
      <c r="AC241" s="52">
        <f ca="1"/>
        <v>31</v>
      </c>
      <c r="AD241" s="52">
        <f ca="1"/>
        <v>31</v>
      </c>
      <c r="AE241" s="52">
        <f ca="1"/>
        <v>31</v>
      </c>
      <c r="AF241" s="2" t="s">
        <v>275</v>
      </c>
      <c r="AG241" s="2"/>
      <c r="AH241" s="2"/>
    </row>
    <row r="242" spans="21:34" ht="20.100000000000001" customHeight="1" x14ac:dyDescent="0.25">
      <c r="U242" s="52" t="str">
        <f>TEXT(EDATE('Input - Site'!$E$12,10), "mmmm yyyy")</f>
        <v>November 2025</v>
      </c>
      <c r="V242" s="52">
        <f ca="1"/>
        <v>30</v>
      </c>
      <c r="W242" s="52">
        <f ca="1"/>
        <v>30</v>
      </c>
      <c r="X242" s="52">
        <f ca="1"/>
        <v>30</v>
      </c>
      <c r="Y242" s="52">
        <f ca="1"/>
        <v>30</v>
      </c>
      <c r="Z242" s="52">
        <f ca="1"/>
        <v>30</v>
      </c>
      <c r="AA242" s="52">
        <f ca="1"/>
        <v>30</v>
      </c>
      <c r="AB242" s="52">
        <f ca="1"/>
        <v>30</v>
      </c>
      <c r="AC242" s="52">
        <f ca="1"/>
        <v>30</v>
      </c>
      <c r="AD242" s="52">
        <f ca="1"/>
        <v>30</v>
      </c>
      <c r="AE242" s="52">
        <f ca="1"/>
        <v>30</v>
      </c>
      <c r="AF242" s="2" t="s">
        <v>275</v>
      </c>
      <c r="AG242" s="2"/>
      <c r="AH242" s="2"/>
    </row>
    <row r="243" spans="21:34" ht="20.100000000000001" customHeight="1" x14ac:dyDescent="0.25">
      <c r="U243" s="52" t="str">
        <f>TEXT(EDATE('Input - Site'!$E$12,11), "mmmm yyyy")</f>
        <v>December 2025</v>
      </c>
      <c r="V243" s="52">
        <f ca="1"/>
        <v>31</v>
      </c>
      <c r="W243" s="52">
        <f ca="1"/>
        <v>31</v>
      </c>
      <c r="X243" s="52">
        <f ca="1"/>
        <v>31</v>
      </c>
      <c r="Y243" s="52">
        <f ca="1"/>
        <v>31</v>
      </c>
      <c r="Z243" s="52">
        <f ca="1"/>
        <v>31</v>
      </c>
      <c r="AA243" s="52">
        <f ca="1"/>
        <v>31</v>
      </c>
      <c r="AB243" s="52">
        <f ca="1"/>
        <v>31</v>
      </c>
      <c r="AC243" s="52">
        <f ca="1"/>
        <v>31</v>
      </c>
      <c r="AD243" s="52">
        <f ca="1"/>
        <v>31</v>
      </c>
      <c r="AE243" s="52">
        <f ca="1"/>
        <v>31</v>
      </c>
      <c r="AF243" s="2" t="s">
        <v>275</v>
      </c>
      <c r="AG243" s="2"/>
      <c r="AH243" s="2"/>
    </row>
    <row r="244" spans="21:34" ht="20.100000000000001" customHeight="1" x14ac:dyDescent="0.25"/>
    <row r="245" spans="21:34" ht="20.100000000000001" customHeight="1" x14ac:dyDescent="0.25">
      <c r="U245" s="98" t="s">
        <v>315</v>
      </c>
    </row>
    <row r="246" spans="21:34" ht="20.100000000000001" customHeight="1" x14ac:dyDescent="0.25">
      <c r="U246" s="97" t="s">
        <v>316</v>
      </c>
    </row>
    <row r="247" spans="21:34" ht="20.100000000000001" customHeight="1" x14ac:dyDescent="0.25">
      <c r="U247" s="51" t="s">
        <v>130</v>
      </c>
      <c r="V247" s="51" t="s">
        <v>129</v>
      </c>
      <c r="W247" s="51" t="s">
        <v>128</v>
      </c>
      <c r="X247" s="51" t="s">
        <v>163</v>
      </c>
      <c r="Y247" s="51" t="s">
        <v>164</v>
      </c>
      <c r="Z247" s="51" t="s">
        <v>165</v>
      </c>
      <c r="AA247" s="51" t="s">
        <v>166</v>
      </c>
      <c r="AB247" s="51" t="s">
        <v>167</v>
      </c>
      <c r="AC247" s="51" t="s">
        <v>168</v>
      </c>
      <c r="AD247" s="51" t="s">
        <v>169</v>
      </c>
      <c r="AE247" s="51" t="s">
        <v>170</v>
      </c>
    </row>
    <row r="248" spans="21:34" ht="20.100000000000001" customHeight="1" x14ac:dyDescent="0.25">
      <c r="U248" s="52" t="str">
        <f>TEXT('Input - Site'!$E$12, "mmmm yyyy")</f>
        <v>January 2025</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2025</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2025</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2025</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2025</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2025</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2025</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2025</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2025</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2025</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2025</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2025</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298</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108</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102</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H17" workbookViewId="0">
      <selection activeCell="O35" sqref="O3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304</v>
      </c>
    </row>
    <row r="2" spans="1:22" s="9" customFormat="1" ht="20.100000000000001" customHeight="1" x14ac:dyDescent="0.25"/>
    <row r="3" spans="1:22" ht="20.100000000000001" customHeight="1" x14ac:dyDescent="0.25">
      <c r="A3" s="17" t="str">
        <f>HYPERLINK("#'Home'!A1", "Home")</f>
        <v>Home</v>
      </c>
      <c r="C3" s="4"/>
      <c r="D3" s="4" t="s">
        <v>106</v>
      </c>
      <c r="E3" s="4"/>
      <c r="F3" s="4"/>
      <c r="G3" s="4"/>
      <c r="H3" s="4"/>
      <c r="I3" s="4"/>
      <c r="J3" s="4"/>
      <c r="K3" s="4"/>
      <c r="M3" s="4"/>
      <c r="N3" s="4" t="s">
        <v>107</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26</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75</v>
      </c>
      <c r="D10" s="53" t="s">
        <v>29</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19</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'4.2.1.3-4 Soil direct N20'!$E$212</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'4.2.1.3-4 Soil direct N20'!$V$261</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'Constants - Pature Beef'!$D$434</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317</v>
      </c>
      <c r="E16" s="45" cm="1">
        <f t="array" aca="1" ref="E16" ca="1">MMS_PastureBeef_Soil_AtmosphericDeposition_Equations.VEERG_4_2_1_5__2_MassOfNitrogenVolatilisedOnPasture(J13,J14)</f>
        <v>12702.973370297599</v>
      </c>
      <c r="F16" s="103" t="str">
        <f>E11</f>
        <v>kg N</v>
      </c>
      <c r="L16" s="56"/>
      <c r="N16" s="111" t="s">
        <v>317</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26</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29</v>
      </c>
      <c r="E25" s="1" t="str" cm="1">
        <f t="array" ref="E25">MMS_PastureBeef_Soil_AtmosphericDeposition_Equations.VEERG_4_2_1_5__1_AtmosphericDepositionEmissionsFromUrineAndDungOnPasture_Variable()</f>
        <v>E_N2Oad</v>
      </c>
    </row>
    <row r="26" spans="1:22" ht="20.100000000000001" customHeight="1" x14ac:dyDescent="0.25">
      <c r="D26" s="53" t="s">
        <v>19</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1.8E-3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Not irrigated</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320</v>
      </c>
      <c r="E35" s="45" cm="1">
        <f t="array" aca="1" ref="E35" ca="1">MMS_PastureBeef_Soil_AtmosphericDeposition_Equations.VEERG_4_2_1_5__1_AtmosphericDepositionEmissionsFromUrineAndDungOnPasture(I28,I29,I30)</f>
        <v>3.5931267533127496E-2</v>
      </c>
      <c r="F35" s="103" t="str">
        <f>$E$26</f>
        <v>t N2O</v>
      </c>
      <c r="N35" s="111" t="s">
        <v>320</v>
      </c>
      <c r="O35" s="45" cm="1">
        <f t="array" aca="1" ref="O35" ca="1">MMS_PastureBeef_Soil_AtmosphericDeposition_Equations.VEERG_4_2_1_5__1_AtmosphericDepositionEmissionsFromUrineAndDungOnPasture(S28,I29,I30)</f>
        <v>3.4822353246805965E-2</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3.5931267533127496E-2</v>
      </c>
      <c r="N37" s="57" t="str" cm="1">
        <f t="array" ref="N37:O38">Common_Equations.Common_ConvertN2OToCO2e_Arguments()</f>
        <v>EN2O</v>
      </c>
      <c r="O37" s="58" t="str">
        <v>Nitrous oxide emissions (t N2O)</v>
      </c>
      <c r="P37" s="102"/>
      <c r="Q37" s="52">
        <f ca="1">O35</f>
        <v>3.4822353246805965E-2</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102</v>
      </c>
      <c r="E40" s="45" cm="1">
        <f t="array" aca="1" ref="E40" ca="1">Common_Equations.Common_ConvertN2OToCO2e(G37,G38)</f>
        <v>9.5217858962787858</v>
      </c>
      <c r="F40" s="103" t="str" cm="1">
        <f t="array" ref="F40">Common_Equations.Common_ConvertN2OToCO2e_Unit()</f>
        <v>t CO2e</v>
      </c>
      <c r="N40" s="45" t="s">
        <v>102</v>
      </c>
      <c r="O40" s="45" cm="1">
        <f t="array" aca="1" ref="O40" ca="1">Common_Equations.Common_ConvertN2OToCO2e(Q37,Q38)</f>
        <v>9.2279236104035807</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abSelected="1" topLeftCell="H15" workbookViewId="0">
      <selection activeCell="N36" sqref="N3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153</v>
      </c>
    </row>
    <row r="2" spans="1:19" s="9" customFormat="1" ht="20.100000000000001" customHeight="1" x14ac:dyDescent="0.25"/>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26</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75</v>
      </c>
      <c r="D10" s="53" t="s">
        <v>29</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19</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'4.2.1.3-4 Soil direct N20'!$E$212</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'4.2.1.3-4 Soil direct N20'!$V$261</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0</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'Constants - Pature Beef'!$D$440</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Not irrigated</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321</v>
      </c>
      <c r="E20" s="45" cm="1">
        <f t="array" aca="1" ref="E20" ca="1">MMS_PastureBeef_Soil_LeachingAndRunoff.VEERG_4_2_1_7__2_MassOfNitrogenLostToLeachingAndRunoffOnPasture($I$13,$I$14,$I$15)</f>
        <v>0</v>
      </c>
      <c r="F20" s="103" t="str">
        <f>$E$11</f>
        <v>kg N</v>
      </c>
      <c r="K20" s="56"/>
      <c r="M20" s="111" t="s">
        <v>321</v>
      </c>
      <c r="N20" s="45" cm="1">
        <f t="array" aca="1" ref="N20" ca="1">MMS_PastureBeef_Soil_LeachingAndRunoff.VEERG_4_2_1_7__2_MassOfNitrogenLostToLeachingAndRunoffOnPasture($R$13,$I$14,$I$15)</f>
        <v>0</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26</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29</v>
      </c>
      <c r="E29" s="1" t="str" cm="1">
        <f t="array" ref="E29">MMS_PastureBeef_Soil_LeachingAndRunoff.VEERG_4_2_1_7__1_LeachingAndRunoffEmissionsFromUrineAndDungOnPasture_Variable()</f>
        <v>E_N2Oleach</v>
      </c>
    </row>
    <row r="30" spans="1:19" ht="20.100000000000001" customHeight="1" x14ac:dyDescent="0.25">
      <c r="D30" s="53" t="s">
        <v>19</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0</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0</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154</v>
      </c>
      <c r="E36" s="45" cm="1">
        <f t="array" aca="1" ref="E36" ca="1">MMS_PastureBeef_Soil_LeachingAndRunoff.VEERG_4_2_1_7__1_LeachingAndRunoffEmissionsFromUrineAndDungOnPasture(I32,I33,I34)</f>
        <v>0</v>
      </c>
      <c r="F36" s="103" t="str">
        <f>$E$30</f>
        <v>t N2O</v>
      </c>
      <c r="M36" s="111" t="s">
        <v>154</v>
      </c>
      <c r="N36" s="45" cm="1">
        <f t="array" aca="1" ref="N36" ca="1">MMS_PastureBeef_Soil_LeachingAndRunoff.VEERG_4_2_1_7__1_LeachingAndRunoffEmissionsFromUrineAndDungOnPasture(R32,I33,I34)</f>
        <v>0</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v>
      </c>
      <c r="M38" s="57" t="str" cm="1">
        <f t="array" ref="M38:N39">Common_Equations.Common_ConvertN2OToCO2e_Arguments()</f>
        <v>EN2O</v>
      </c>
      <c r="N38" s="58" t="str">
        <v>Nitrous oxide emissions (t N2O)</v>
      </c>
      <c r="O38" s="102"/>
      <c r="P38" s="52">
        <f ca="1">N36</f>
        <v>0</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102</v>
      </c>
      <c r="E41" s="45" cm="1">
        <f t="array" aca="1" ref="E41" ca="1">Common_Equations.Common_ConvertN2OToCO2e(G38,G39)</f>
        <v>0</v>
      </c>
      <c r="F41" s="103" t="str" cm="1">
        <f t="array" ref="F41">Common_Equations.Common_ConvertN2OToCO2e_Unit()</f>
        <v>t CO2e</v>
      </c>
      <c r="M41" s="45" t="s">
        <v>102</v>
      </c>
      <c r="N41" s="45" cm="1">
        <f t="array" aca="1" ref="N41" ca="1">Common_Equations.Common_ConvertN2OToCO2e(P38,P39)</f>
        <v>0</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D115" zoomScale="85" zoomScaleNormal="85" workbookViewId="0">
      <selection activeCell="F151" sqref="F151"/>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319</v>
      </c>
      <c r="G5" s="6" t="s">
        <v>118</v>
      </c>
      <c r="M5" s="1" t="s">
        <v>204</v>
      </c>
      <c r="O5" s="1" t="s">
        <v>205</v>
      </c>
      <c r="Q5" s="1" t="s">
        <v>206</v>
      </c>
      <c r="S5" s="1" t="s">
        <v>217</v>
      </c>
    </row>
    <row r="6" spans="1:21" ht="20.100000000000001" customHeight="1" x14ac:dyDescent="0.25">
      <c r="A6" s="20" t="s">
        <v>3</v>
      </c>
      <c r="M6" s="1"/>
    </row>
    <row r="7" spans="1:21" ht="20.100000000000001" customHeight="1" x14ac:dyDescent="0.25">
      <c r="A7" s="17" t="str">
        <f>HYPERLINK("#'Input - Site'!A1", "Site")</f>
        <v>Site</v>
      </c>
      <c r="D7" s="37" t="s">
        <v>117</v>
      </c>
      <c r="G7" s="37" t="s">
        <v>116</v>
      </c>
      <c r="M7" t="s">
        <v>181</v>
      </c>
      <c r="O7" s="37" t="s">
        <v>181</v>
      </c>
      <c r="Q7" s="37" t="s">
        <v>181</v>
      </c>
      <c r="S7" s="37" t="s">
        <v>181</v>
      </c>
    </row>
    <row r="8" spans="1:21" ht="20.100000000000001" customHeight="1" x14ac:dyDescent="0.25">
      <c r="A8" s="17" t="str">
        <f>HYPERLINK("#'Input - Pasture Beef'!A1", "Pasture Beef")</f>
        <v>Pasture Beef</v>
      </c>
      <c r="D8" s="37" t="str">
        <f>'Constants - Common'!$F$187</f>
        <v>Pasture</v>
      </c>
      <c r="G8" s="37" t="s">
        <v>119</v>
      </c>
      <c r="M8" s="37" t="s">
        <v>207</v>
      </c>
      <c r="O8" s="37" t="s">
        <v>209</v>
      </c>
      <c r="Q8" s="37" t="s">
        <v>212</v>
      </c>
      <c r="S8" s="37" t="s">
        <v>200</v>
      </c>
    </row>
    <row r="9" spans="1:21" ht="20.100000000000001" customHeight="1" x14ac:dyDescent="0.25">
      <c r="A9" s="17"/>
      <c r="D9" s="1" t="str">
        <f>'Constants - Common'!$F$188</f>
        <v>Crop</v>
      </c>
      <c r="G9" s="37" t="s">
        <v>120</v>
      </c>
      <c r="M9" s="37" t="s">
        <v>208</v>
      </c>
      <c r="O9" s="37" t="s">
        <v>210</v>
      </c>
      <c r="Q9" s="37" t="s">
        <v>213</v>
      </c>
    </row>
    <row r="10" spans="1:21" ht="20.100000000000001" customHeight="1" x14ac:dyDescent="0.25">
      <c r="A10" s="19" t="s">
        <v>75</v>
      </c>
      <c r="G10" s="1" t="s">
        <v>121</v>
      </c>
      <c r="M10" s="37" t="s">
        <v>203</v>
      </c>
      <c r="O10" s="37" t="s">
        <v>211</v>
      </c>
      <c r="Q10" s="37" t="s">
        <v>214</v>
      </c>
      <c r="S10" s="1" t="s">
        <v>218</v>
      </c>
    </row>
    <row r="11" spans="1:21" ht="20.100000000000001" customHeight="1" x14ac:dyDescent="0.25">
      <c r="A11" s="17" t="str">
        <f>HYPERLINK("#'4.2.1.1-2 Methane'!A1", "4.2.1.1-2 Methane")</f>
        <v>4.2.1.1-2 Methane</v>
      </c>
      <c r="G11" s="1" t="s">
        <v>122</v>
      </c>
      <c r="M11" s="1"/>
      <c r="Q11" s="37" t="s">
        <v>215</v>
      </c>
    </row>
    <row r="12" spans="1:21" ht="20.100000000000001" customHeight="1" x14ac:dyDescent="0.25">
      <c r="A12" s="17" t="str">
        <f>HYPERLINK("#'4.2.1.3-4 Soil direct N2O'!A1", "4.2.1.3-4 Soil direct N2O")</f>
        <v>4.2.1.3-4 Soil direct N2O</v>
      </c>
      <c r="G12" s="1" t="s">
        <v>123</v>
      </c>
      <c r="M12" s="1"/>
      <c r="S12" s="37" t="s">
        <v>181</v>
      </c>
    </row>
    <row r="13" spans="1:21" ht="20.100000000000001" customHeight="1" x14ac:dyDescent="0.25">
      <c r="A13" s="17" t="str">
        <f>HYPERLINK("#'4.2.1.5-6 Soil Atmos Dep'!A1", "4.2.1.5-6 Soil atm. deposition")</f>
        <v>4.2.1.5-6 Soil atm. deposition</v>
      </c>
      <c r="M13" s="1"/>
      <c r="S13" s="37" t="s">
        <v>200</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219</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S17" s="37" t="s">
        <v>181</v>
      </c>
    </row>
    <row r="18" spans="1:19" ht="20.100000000000001" customHeight="1" x14ac:dyDescent="0.25">
      <c r="A18" s="17" t="str">
        <f>HYPERLINK("#'Constants - Livestock'!A1", "Constants - Livestock")</f>
        <v>Constants - Livestock</v>
      </c>
      <c r="D18" s="37" t="s">
        <v>7</v>
      </c>
      <c r="E18" s="37" t="s">
        <v>181</v>
      </c>
      <c r="F18" s="37" t="s">
        <v>182</v>
      </c>
      <c r="G18" s="37" t="s">
        <v>183</v>
      </c>
      <c r="H18" s="37" t="s">
        <v>184</v>
      </c>
      <c r="I18" s="37" t="s">
        <v>185</v>
      </c>
      <c r="J18" s="37" t="s">
        <v>186</v>
      </c>
      <c r="K18" s="37" t="s">
        <v>187</v>
      </c>
      <c r="L18" s="37" t="s">
        <v>188</v>
      </c>
      <c r="M18" s="37" t="s">
        <v>189</v>
      </c>
      <c r="S18" s="37" t="s">
        <v>200</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S20" s="1" t="s">
        <v>220</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S22" s="37" t="s">
        <v>181</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S23" s="37" t="s">
        <v>200</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S25" s="1" t="s">
        <v>221</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S27" s="37" t="s">
        <v>181</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S28" s="37" t="s">
        <v>200</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7</v>
      </c>
      <c r="E53" s="37" t="s">
        <v>181</v>
      </c>
      <c r="F53" s="37" t="s">
        <v>182</v>
      </c>
      <c r="G53" s="37" t="s">
        <v>201</v>
      </c>
      <c r="H53" s="37" t="s">
        <v>190</v>
      </c>
      <c r="I53" s="37" t="s">
        <v>191</v>
      </c>
      <c r="J53" s="37" t="s">
        <v>192</v>
      </c>
      <c r="K53" s="37" t="s">
        <v>193</v>
      </c>
      <c r="L53" s="37" t="s">
        <v>194</v>
      </c>
      <c r="M53" s="37" t="s">
        <v>195</v>
      </c>
      <c r="N53" s="37" t="s">
        <v>196</v>
      </c>
      <c r="O53" s="37" t="s">
        <v>197</v>
      </c>
      <c r="P53" s="37" t="s">
        <v>198</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199</v>
      </c>
      <c r="M84" s="1"/>
    </row>
    <row r="85" spans="4:22" ht="20.100000000000001" customHeight="1" x14ac:dyDescent="0.25">
      <c r="D85" s="37" t="s">
        <v>7</v>
      </c>
      <c r="E85" s="37" t="s">
        <v>181</v>
      </c>
      <c r="F85" s="37" t="s">
        <v>182</v>
      </c>
      <c r="G85" s="116" t="s">
        <v>129</v>
      </c>
      <c r="H85" s="116" t="s">
        <v>128</v>
      </c>
      <c r="I85" s="116" t="s">
        <v>163</v>
      </c>
      <c r="J85" s="116" t="s">
        <v>164</v>
      </c>
      <c r="K85" s="116" t="s">
        <v>165</v>
      </c>
      <c r="L85" s="116" t="s">
        <v>166</v>
      </c>
      <c r="M85" s="116" t="s">
        <v>167</v>
      </c>
      <c r="N85" s="116" t="s">
        <v>168</v>
      </c>
      <c r="O85" s="116" t="s">
        <v>169</v>
      </c>
      <c r="P85" s="116" t="s">
        <v>170</v>
      </c>
      <c r="V85" s="1"/>
    </row>
    <row r="86" spans="4:22" ht="20.100000000000001" customHeight="1" x14ac:dyDescent="0.25">
      <c r="D86" s="37" t="s">
        <v>81</v>
      </c>
      <c r="E86" s="37" t="s">
        <v>200</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81</v>
      </c>
      <c r="E87" s="37" t="s">
        <v>200</v>
      </c>
      <c r="F87" s="37" t="s">
        <v>172</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81</v>
      </c>
      <c r="E88" s="37" t="s">
        <v>200</v>
      </c>
      <c r="F88" s="37" t="s">
        <v>173</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81</v>
      </c>
      <c r="E89" s="37" t="s">
        <v>200</v>
      </c>
      <c r="F89" s="37" t="s">
        <v>174</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82</v>
      </c>
      <c r="E90" s="37" t="s">
        <v>200</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82</v>
      </c>
      <c r="E91" s="37" t="s">
        <v>200</v>
      </c>
      <c r="F91" s="37" t="s">
        <v>172</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82</v>
      </c>
      <c r="E92" s="37" t="s">
        <v>200</v>
      </c>
      <c r="F92" s="37" t="s">
        <v>173</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82</v>
      </c>
      <c r="E93" s="37" t="s">
        <v>200</v>
      </c>
      <c r="F93" s="37" t="s">
        <v>174</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85</v>
      </c>
      <c r="E94" s="37" t="s">
        <v>200</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85</v>
      </c>
      <c r="E95" s="37" t="s">
        <v>200</v>
      </c>
      <c r="F95" s="37" t="s">
        <v>172</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85</v>
      </c>
      <c r="E96" s="37" t="s">
        <v>200</v>
      </c>
      <c r="F96" s="37" t="s">
        <v>173</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85</v>
      </c>
      <c r="E97" s="37" t="s">
        <v>200</v>
      </c>
      <c r="F97" s="37" t="s">
        <v>174</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86</v>
      </c>
      <c r="E98" s="37" t="s">
        <v>200</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86</v>
      </c>
      <c r="E99" s="37" t="s">
        <v>200</v>
      </c>
      <c r="F99" s="37" t="s">
        <v>172</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86</v>
      </c>
      <c r="E100" s="37" t="s">
        <v>200</v>
      </c>
      <c r="F100" s="37" t="s">
        <v>173</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86</v>
      </c>
      <c r="E101" s="37" t="s">
        <v>200</v>
      </c>
      <c r="F101" s="37" t="s">
        <v>174</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87</v>
      </c>
      <c r="E102" s="37" t="s">
        <v>200</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87</v>
      </c>
      <c r="E103" s="37" t="s">
        <v>200</v>
      </c>
      <c r="F103" s="37" t="s">
        <v>172</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87</v>
      </c>
      <c r="E104" s="37" t="s">
        <v>200</v>
      </c>
      <c r="F104" s="37" t="s">
        <v>173</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87</v>
      </c>
      <c r="E105" s="37" t="s">
        <v>200</v>
      </c>
      <c r="F105" s="37" t="s">
        <v>174</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88</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88</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88</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88</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88</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88</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88</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88</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88</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88</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88</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88</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83</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83</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83</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83</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83</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83</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83</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83</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83</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83</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83</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83</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84</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84</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84</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84</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84</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84</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84</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84</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84</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84</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84</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84</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84</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84</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84</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84</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359</v>
      </c>
      <c r="E146" s="1" t="s">
        <v>200</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359</v>
      </c>
      <c r="E147" s="1" t="s">
        <v>200</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359</v>
      </c>
      <c r="E148" s="1" t="s">
        <v>200</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359</v>
      </c>
      <c r="E149" s="1" t="s">
        <v>200</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7</v>
      </c>
      <c r="E154" s="37" t="s">
        <v>181</v>
      </c>
      <c r="F154" s="37" t="s">
        <v>182</v>
      </c>
      <c r="G154" s="37" t="s">
        <v>201</v>
      </c>
      <c r="H154" s="37" t="s">
        <v>190</v>
      </c>
      <c r="I154" s="37" t="s">
        <v>222</v>
      </c>
      <c r="J154" s="37" t="s">
        <v>186</v>
      </c>
      <c r="K154" s="37" t="s">
        <v>223</v>
      </c>
      <c r="L154" s="37" t="s">
        <v>195</v>
      </c>
      <c r="M154" s="37" t="s">
        <v>224</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7</v>
      </c>
      <c r="E189" s="37" t="s">
        <v>181</v>
      </c>
      <c r="F189" s="37" t="s">
        <v>182</v>
      </c>
      <c r="G189" s="37" t="s">
        <v>201</v>
      </c>
      <c r="H189" s="37" t="s">
        <v>190</v>
      </c>
      <c r="I189" s="37" t="s">
        <v>222</v>
      </c>
      <c r="J189" s="37" t="s">
        <v>186</v>
      </c>
      <c r="K189" s="37" t="s">
        <v>225</v>
      </c>
      <c r="L189" s="37" t="s">
        <v>226</v>
      </c>
      <c r="M189" s="37" t="s">
        <v>195</v>
      </c>
      <c r="N189" s="37" t="s">
        <v>196</v>
      </c>
      <c r="O189" s="37" t="s">
        <v>197</v>
      </c>
      <c r="P189" s="37" t="s">
        <v>198</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199</v>
      </c>
      <c r="M220" s="1"/>
    </row>
    <row r="221" spans="4:16" x14ac:dyDescent="0.25">
      <c r="M221" s="1"/>
    </row>
    <row r="222" spans="4:16" x14ac:dyDescent="0.25">
      <c r="D222" s="37" t="s">
        <v>7</v>
      </c>
      <c r="E222" s="37" t="s">
        <v>181</v>
      </c>
      <c r="F222" s="37" t="s">
        <v>182</v>
      </c>
      <c r="G222" s="116" t="s">
        <v>129</v>
      </c>
      <c r="H222" s="116" t="s">
        <v>128</v>
      </c>
      <c r="I222" s="116" t="s">
        <v>163</v>
      </c>
      <c r="J222" s="116" t="s">
        <v>164</v>
      </c>
      <c r="K222" s="116" t="s">
        <v>165</v>
      </c>
      <c r="L222" s="116" t="s">
        <v>166</v>
      </c>
      <c r="M222" s="116" t="s">
        <v>167</v>
      </c>
      <c r="N222" s="116" t="s">
        <v>168</v>
      </c>
      <c r="O222" s="116" t="s">
        <v>169</v>
      </c>
      <c r="P222" s="116" t="s">
        <v>170</v>
      </c>
    </row>
    <row r="223" spans="4:16" x14ac:dyDescent="0.25">
      <c r="D223" s="37" t="s">
        <v>81</v>
      </c>
      <c r="E223" s="37" t="s">
        <v>200</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81</v>
      </c>
      <c r="E224" s="37" t="s">
        <v>200</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81</v>
      </c>
      <c r="E225" s="37" t="s">
        <v>200</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81</v>
      </c>
      <c r="E226" s="37" t="s">
        <v>200</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82</v>
      </c>
      <c r="E227" s="37" t="s">
        <v>200</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82</v>
      </c>
      <c r="E228" s="37" t="s">
        <v>200</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82</v>
      </c>
      <c r="E229" s="37" t="s">
        <v>200</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82</v>
      </c>
      <c r="E230" s="37" t="s">
        <v>200</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85</v>
      </c>
      <c r="E231" s="37" t="s">
        <v>200</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85</v>
      </c>
      <c r="E232" s="37" t="s">
        <v>200</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85</v>
      </c>
      <c r="E233" s="37" t="s">
        <v>200</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85</v>
      </c>
      <c r="E234" s="37" t="s">
        <v>200</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86</v>
      </c>
      <c r="E235" s="37" t="s">
        <v>200</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86</v>
      </c>
      <c r="E236" s="37" t="s">
        <v>200</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86</v>
      </c>
      <c r="E237" s="37" t="s">
        <v>200</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86</v>
      </c>
      <c r="E238" s="37" t="s">
        <v>200</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87</v>
      </c>
      <c r="E239" s="37" t="s">
        <v>200</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87</v>
      </c>
      <c r="E240" s="37" t="s">
        <v>200</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87</v>
      </c>
      <c r="E241" s="37" t="s">
        <v>200</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87</v>
      </c>
      <c r="E242" s="37" t="s">
        <v>200</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88</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88</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88</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88</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88</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88</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88</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88</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88</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88</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88</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88</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83</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83</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83</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83</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83</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83</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83</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83</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83</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83</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83</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83</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84</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84</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84</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84</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84</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84</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84</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84</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84</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84</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84</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84</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84</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84</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84</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84</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7</v>
      </c>
      <c r="E290" s="37" t="s">
        <v>181</v>
      </c>
      <c r="F290" s="37" t="s">
        <v>171</v>
      </c>
      <c r="G290" s="37" t="s">
        <v>172</v>
      </c>
      <c r="H290" s="37" t="s">
        <v>173</v>
      </c>
      <c r="I290" s="37" t="s">
        <v>174</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7</v>
      </c>
      <c r="E313" s="37" t="s">
        <v>181</v>
      </c>
      <c r="F313" s="37" t="s">
        <v>171</v>
      </c>
      <c r="G313" s="37" t="s">
        <v>172</v>
      </c>
      <c r="H313" s="37" t="s">
        <v>173</v>
      </c>
      <c r="I313" s="37" t="s">
        <v>174</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246</v>
      </c>
      <c r="M333" s="1"/>
    </row>
    <row r="334" spans="4:13" x14ac:dyDescent="0.25">
      <c r="D334" s="37" t="s">
        <v>127</v>
      </c>
      <c r="E334" s="37" t="s">
        <v>182</v>
      </c>
      <c r="F334" s="37" t="s">
        <v>230</v>
      </c>
      <c r="G334" s="37" t="s">
        <v>231</v>
      </c>
      <c r="I334" s="37" t="s">
        <v>127</v>
      </c>
      <c r="J334" s="37" t="s">
        <v>182</v>
      </c>
      <c r="K334" s="37" t="s">
        <v>230</v>
      </c>
      <c r="L334" s="37" t="s">
        <v>231</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244</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245</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244</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245</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7</v>
      </c>
      <c r="E350" s="37" t="s">
        <v>232</v>
      </c>
      <c r="F350" s="37" t="s">
        <v>233</v>
      </c>
      <c r="G350" s="37" t="s">
        <v>191</v>
      </c>
      <c r="H350" s="37" t="s">
        <v>192</v>
      </c>
      <c r="I350" s="37" t="s">
        <v>234</v>
      </c>
      <c r="J350" s="37" t="s">
        <v>195</v>
      </c>
      <c r="K350" s="37" t="s">
        <v>224</v>
      </c>
      <c r="L350" s="37" t="s">
        <v>235</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7</v>
      </c>
      <c r="E361" s="116" t="s">
        <v>129</v>
      </c>
      <c r="F361" s="116" t="s">
        <v>128</v>
      </c>
      <c r="G361" s="116" t="s">
        <v>163</v>
      </c>
      <c r="H361" s="116" t="s">
        <v>164</v>
      </c>
      <c r="I361" s="116" t="s">
        <v>165</v>
      </c>
      <c r="J361" s="116" t="s">
        <v>166</v>
      </c>
      <c r="K361" s="116" t="s">
        <v>167</v>
      </c>
      <c r="L361" s="116" t="s">
        <v>168</v>
      </c>
      <c r="M361" s="116" t="s">
        <v>169</v>
      </c>
      <c r="N361" s="116" t="s">
        <v>170</v>
      </c>
      <c r="O361" s="37" t="s">
        <v>235</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265</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7</v>
      </c>
      <c r="E377" s="37" t="s">
        <v>181</v>
      </c>
      <c r="F377" s="37" t="s">
        <v>136</v>
      </c>
      <c r="G377" s="37" t="s">
        <v>236</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7</v>
      </c>
      <c r="E400" s="37" t="s">
        <v>181</v>
      </c>
      <c r="F400" s="37" t="s">
        <v>136</v>
      </c>
      <c r="G400" s="37" t="s">
        <v>236</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D98-0B55-48F2-82C8-D14A48986042}">
  <dimension ref="A1:BY259"/>
  <sheetViews>
    <sheetView showGridLines="0" topLeftCell="A219"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9</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9</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92</v>
      </c>
      <c r="E134" t="s">
        <v>93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150</v>
      </c>
      <c r="E142" s="37" t="s">
        <v>93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9</v>
      </c>
      <c r="E206" s="37" t="s">
        <v>152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130</v>
      </c>
      <c r="E212" s="37" t="s">
        <v>182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52</v>
      </c>
      <c r="E231" s="37" t="s">
        <v>324</v>
      </c>
      <c r="F231" s="36" t="s">
        <v>264</v>
      </c>
      <c r="G231" s="37" t="s">
        <v>325</v>
      </c>
      <c r="H231" s="37" t="s">
        <v>326</v>
      </c>
      <c r="I231" s="37" t="s">
        <v>327</v>
      </c>
      <c r="J231" s="37" t="s">
        <v>328</v>
      </c>
      <c r="K231" s="37" t="s">
        <v>329</v>
      </c>
      <c r="L231" s="37" t="s">
        <v>330</v>
      </c>
      <c r="M231" s="37" t="s">
        <v>331</v>
      </c>
      <c r="N231" s="37" t="s">
        <v>332</v>
      </c>
      <c r="O231" s="37" t="s">
        <v>333</v>
      </c>
      <c r="P231" s="37" t="s">
        <v>334</v>
      </c>
      <c r="Q231" s="37" t="s">
        <v>335</v>
      </c>
      <c r="R231" s="37" t="s">
        <v>136</v>
      </c>
      <c r="S231" s="37" t="s">
        <v>336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360</v>
      </c>
      <c r="E257" s="37" t="s">
        <v>361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78</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79</v>
      </c>
      <c r="E9" s="37" t="s">
        <v>20</v>
      </c>
      <c r="F9" s="37" t="s">
        <v>80</v>
      </c>
      <c r="G9" s="3"/>
    </row>
    <row r="10" spans="1:13" ht="20.100000000000001" customHeight="1" x14ac:dyDescent="0.25">
      <c r="A10" s="19" t="s">
        <v>75</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77</v>
      </c>
    </row>
    <row r="17" spans="1:1" ht="20.100000000000001" customHeight="1" x14ac:dyDescent="0.25">
      <c r="A17" s="66" t="s">
        <v>73</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75</v>
      </c>
    </row>
    <row r="22" spans="1:1" ht="20.100000000000001" customHeight="1" x14ac:dyDescent="0.25">
      <c r="A22" s="66" t="s">
        <v>1</v>
      </c>
    </row>
    <row r="23" spans="1:1" ht="20.100000000000001" customHeight="1" x14ac:dyDescent="0.25">
      <c r="A23" s="66" t="s">
        <v>74</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77</v>
      </c>
    </row>
    <row r="32" spans="1:1" ht="20.100000000000001" customHeight="1" x14ac:dyDescent="0.25">
      <c r="A32" s="66" t="s">
        <v>73</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Home</vt:lpstr>
      <vt:lpstr>Results</vt:lpstr>
      <vt:lpstr>Input - Site</vt:lpstr>
      <vt:lpstr>Input - Pasture Beef</vt:lpstr>
      <vt:lpstr>4.2.1.1-2 Methane</vt:lpstr>
      <vt:lpstr>4.2.1.3-4 Soil direct N20</vt:lpstr>
      <vt:lpstr>4.2.1.5-6 Soil Atmos Dep</vt:lpstr>
      <vt:lpstr>4.2.1.7-8 Soil leach runoff</vt:lpstr>
      <vt:lpstr>Constants - Pature Beef</vt:lpstr>
      <vt:lpstr>Constants - Common</vt:lpstr>
      <vt:lpstr>Constants - Livestock</vt:lpstr>
      <vt:lpstr>Acknowledgements</vt:lpstr>
      <vt:lpstr>Tab template</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2026-07-08T02:02:36Z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