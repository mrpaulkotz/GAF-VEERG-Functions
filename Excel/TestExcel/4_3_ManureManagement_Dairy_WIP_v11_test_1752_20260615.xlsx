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htdocs\zneagcrc\GAF-VEERG-Functions\Excel\TestExcel\"/>
    </mc:Choice>
  </mc:AlternateContent>
  <xr:revisionPtr revIDLastSave="0" documentId="13_ncr:1_{E9EBE250-DBC3-4CCD-B684-F0AEBAD56ACF}" xr6:coauthVersionLast="47" xr6:coauthVersionMax="47" xr10:uidLastSave="{00000000-0000-0000-0000-000000000000}"/>
  <bookViews>
    <workbookView xWindow="1020" yWindow="0" windowWidth="37140" windowHeight="20475" firstSheet="2" activeTab="4" xr2:uid="{992023F3-CAB7-4E5B-A348-08D563A0EF40}"/>
  </bookViews>
  <sheets>
    <sheet name="Home" sheetId="71" r:id="rId1"/>
    <sheet name="Overview" sheetId="106" r:id="rId2"/>
    <sheet name="Results" sheetId="13" r:id="rId3"/>
    <sheet name="Input - Site" sheetId="15" r:id="rId4"/>
    <sheet name="Input - Dairy" sheetId="70" r:id="rId5"/>
    <sheet name="4.3.1.1-2 Methane" sheetId="69" r:id="rId6"/>
    <sheet name="4.3.1.3-4 Direct N20" sheetId="76" r:id="rId7"/>
    <sheet name="4.3.1.5 Atmos deposition" sheetId="82" r:id="rId8"/>
    <sheet name="4.3.1.6-7 Leaching and runoff" sheetId="95" r:id="rId9"/>
    <sheet name="4.3.1.8 Manure applied to soils" sheetId="81" r:id="rId10"/>
    <sheet name="4.3.1.9 Soil direct N2O" sheetId="96" r:id="rId11"/>
    <sheet name="4.3.1.10-11 Soil Atmos Dep" sheetId="97" r:id="rId12"/>
    <sheet name="4.3.1.12-13 Soil leach runoff" sheetId="98" r:id="rId13"/>
    <sheet name="Constants - Dairy" sheetId="79" r:id="rId14"/>
    <sheet name="Constants - Common" sheetId="108" r:id="rId15"/>
    <sheet name="Constants - Livestock" sheetId="43" r:id="rId16"/>
    <sheet name="Acknowledgements" sheetId="72" r:id="rId17"/>
    <sheet name="Tab template" sheetId="74" r:id="rId18"/>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 _xlfn.XLOOKUP(_xlpm.LookupValue1, _xlpm.LookupArray1, _xlfn.XLOOKUP(_xlpm.LookupValue2, _xlpm.LookupArray2, _xlpm.ReturnArray)))</definedName>
    <definedName name="Common_InputFunctions.Utility_LookupValueInTableTwoColumns">_xlfn.LAMBDA(_xlpm.LookupValue1,_xlpm.LookupValue2,_xlpm.LookupArray1,_xlpm.LookupArray2,_xlpm.ReturnArray, _xlfn.XLOOKUP(1, (_xlpm.LookupArray1 = _xlpm.LookupValue1) * (_xlpm.LookupArray2 = _xlpm.LookupValue2), _xlpm.ReturnArray,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14">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14">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14">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14">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14">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EntericMethane_Dairy_Equations.VEERG_3_3_1_1__1_TotalAnnualMethaneFromEntericFermentation">_xlfn.LAMBDA(_xlpm.N_j124,_xlpm.M_j124,_xlpm.D_j124,_xlpm.N_j35,_xlpm.M_j35,_xlpm.D_j35,_xlpm.MPW_ENTERIC_j35, ((_xlpm.N_j124 * _xlpm.M_j124 * _xlpm.D_j124) + (_xlpm.N_j35 * _xlpm.M_j35 * _xlpm.D_j35) + (_xlpm.N_j35 * _xlpm.MPW_ENTERIC_j35 * _xlpm.D_j35)) * 10 ^ -3)</definedName>
    <definedName name="EntericMethane_Dairy_Equations.VEERG_3_3_1_1__1_TotalAnnualMethaneFromEntericFermentation_Arguments">_xlfn.LAMBDA(_xlfn.MAKEARRAY(8, 4, _xlfn.LAMBDA(_xlpm.r,_xlpm.c, INDEX({"N_j124","number of dairy cattle in classes j=1,2,4","head","Input";"M_j124","daily enteric methane production for classes j=1,2,4","kg CH4/head/day","Calculated from 3.3.1.1 (2)";"D_j124","duration of stay on the farm for classes j=1,2,4","days","Input";"N_j35","number of dairy cattle in classes j=3,5","head","Input";"M_j35","daily enteric methane production for weaned classes j=3,5","kg CH4/head/day","Calculated from 3.3.1.1 (2)";"D_j35","duration of stay on the farm for weaned classes j=3,5","days","Input";"DPW_j35","duration of stay on the farm for pre-weaned heifer and bull calves","days","Input";"MPW_ENTERIC_j35","daily methane production for pre-weaned heifer and bull calves","kg CH4/head/day","Constant"}, _xlpm.r, _xlpm.c))))</definedName>
    <definedName name="EntericMethane_Dairy_Equations.VEERG_3_3_1_1__1_TotalAnnualMethaneFromEntericFermentation_LatexEquation">_xlfn.LAMBDA("E_{enteric}=\sum\nolimits_j((N_{j=1,2,4}\times M_{j=1,2,4}\times D_{j=1,2,4})+(N_{j=3,5}\times M_{j=3,5}\times D_{j=3,5})+(N_{j=3,5}\times MPW_{ENTERIC,j=3,5}\times D_{j=3,5}))\times 10^{-3}")</definedName>
    <definedName name="EntericMethane_Dairy_Equations.VEERG_3_3_1_1__1_TotalAnnualMethaneFromEntericFermentation_LatexEquationVariation">_xlfn.LAMBDA("E_{enteric}=\sum\nolimits_j((N_{j=1,2,4}\times M_{j=1,2,4}\times D_{j=1,2,4})+(N_{j=3,5}\times M_{j=3,5}\times D_{j=3,5})+(N_{j=3,5}\times MPW_{ENTERIC,j=3,5}\times DPW_{j=3,5}))\times 10^{-3}")</definedName>
    <definedName name="EntericMethane_Dairy_Equations.VEERG_3_3_1_1__1_TotalAnnualMethaneFromEntericFermentation_NIRReference">_xlfn.LAMBDA("")</definedName>
    <definedName name="EntericMethane_Dairy_Equations.VEERG_3_3_1_1__1_TotalAnnualMethaneFromEntericFermentation_Source">_xlfn.LAMBDA("VEERG 2026: 3.3.1.1, Equation (1)")</definedName>
    <definedName name="EntericMethane_Dairy_Equations.VEERG_3_3_1_1__1_TotalAnnualMethaneFromEntericFermentation_Title">_xlfn.LAMBDA("Total annual methane production from enteric fermentation in dairy cattle")</definedName>
    <definedName name="EntericMethane_Dairy_Equations.VEERG_3_3_1_1__1_TotalAnnualMethaneFromEntericFermentation_Unit">_xlfn.LAMBDA("t CH4")</definedName>
    <definedName name="EntericMethane_Dairy_Equations.VEERG_3_3_1_1__1_TotalAnnualMethaneFromEntericFermentation_Variable">_xlfn.LAMBDA("E_enteric")</definedName>
    <definedName name="EntericMethane_Dairy_Equations.VEERG_3_3_1_1__1_TotalAnnualMethaneFromEntericFermentation_Variation">_xlfn.LAMBDA("VARIATION ON SOURCE: Added 'DPW' variable to allow for a separate handling of pre-weaned duration.")</definedName>
    <definedName name="EntericMethane_Dairy_Equations.VEERG_3_3_1_1__1_TotalAnnualMethaneFromEntericFermentationVariation">_xlfn.LAMBDA(_xlpm.N_j124,_xlpm.M_j124,_xlpm.D_j124,_xlpm.N_j35,_xlpm.M_j35,_xlpm.D_j35,_xlpm.DPW_j35,_xlpm.MPW_ENTERIC_j35, ((_xlpm.N_j124 * _xlpm.M_j124 * _xlpm.D_j124) + (_xlpm.N_j35 * _xlpm.M_j35 * _xlpm.D_j35) + (_xlpm.N_j35 * _xlpm.MPW_ENTERIC_j35 * _xlpm.DPW_j35)) * 10 ^ -3)</definedName>
    <definedName name="EntericMethane_Dairy_Equations.VEERG_3_3_1_1__2_DailyEntericMethaneProduction">_xlfn.LAMBDA(_xlpm.I_j, 20.7 * _xlpm.I_j * 10 ^ -3)</definedName>
    <definedName name="EntericMethane_Dairy_Equations.VEERG_3_3_1_1__2_DailyEntericMethaneProduction_Arguments">_xlfn.LAMBDA(_xlfn.MAKEARRAY(1, 4, _xlfn.LAMBDA(_xlpm.r,_xlpm.c, INDEX({"I_j","dry matter feed intake","kg DM/head/day","Calculated from 3.3.1.1 (3)"}, _xlpm.r, _xlpm.c))))</definedName>
    <definedName name="EntericMethane_Dairy_Equations.VEERG_3_3_1_1__2_DailyEntericMethaneProduction_LatexEquation">_xlfn.LAMBDA("M_j=20.7\times I_j\times 10^{-3}")</definedName>
    <definedName name="EntericMethane_Dairy_Equations.VEERG_3_3_1_1__2_DailyEntericMethaneProduction_NIRReference">_xlfn.LAMBDA("Charmley et al. (2015)")</definedName>
    <definedName name="EntericMethane_Dairy_Equations.VEERG_3_3_1_1__2_DailyEntericMethaneProduction_Source">_xlfn.LAMBDA("VEERG 2026: 3.3.1.1, Equation (2)")</definedName>
    <definedName name="EntericMethane_Dairy_Equations.VEERG_3_3_1_1__2_DailyEntericMethaneProduction_Title">_xlfn.LAMBDA("Daily production of enteric methane")</definedName>
    <definedName name="EntericMethane_Dairy_Equations.VEERG_3_3_1_1__2_DailyEntericMethaneProduction_Unit">_xlfn.LAMBDA("kg CH4/head/day")</definedName>
    <definedName name="EntericMethane_Dairy_Equations.VEERG_3_3_1_1__2_DailyEntericMethaneProduction_Variable">_xlfn.LAMBDA("M_j")</definedName>
    <definedName name="EntericMethane_Dairy_Equations.VEERG_3_3_1_1__3_DryMatterFeedIntake">_xlfn.LAMBDA(_xlpm.W_j,_xlpm.LWG_j,_xlpm.MR_j,_xlpm.MI_j, (1.185 + 0.00454 * _xlpm.W_j - 0.0000026 * _xlpm.W_j ^ 2 + 0.315 * _xlpm.LWG_j) ^ 2 * _xlpm.MR_j + _xlpm.MI_j)</definedName>
    <definedName name="EntericMethane_Dairy_Equations.VEERG_3_3_1_1__3_DryMatterFeedIntake_Arguments">_xlfn.LAMBDA(_xlfn.MAKEARRAY(4, 4, _xlfn.LAMBDA(_xlpm.r,_xlpm.c, INDEX({"W_j","liveweight","kg","Input";"LWG_j","liveweight gain","kg/head/day","Input";"MR_j","increase in metabolic rate when producing milk","fraction","Constant";"MI_j","additional intake required for milk production","kg DM/head/day","Calculated from 3.3.1.1 (4)"}, _xlpm.r, _xlpm.c))))</definedName>
    <definedName name="EntericMethane_Dairy_Equations.VEERG_3_3_1_1__3_DryMatterFeedIntake_LatexEquation">_xlfn.LAMBDA("I_j=(1.185+0.00454\times W_j-0.0000026\times W_j^2+0.315\times LWG_j)^2\times MR_j+MI_j")</definedName>
    <definedName name="EntericMethane_Dairy_Equations.VEERG_3_3_1_1__3_DryMatterFeedIntake_NIRReference">_xlfn.LAMBDA("")</definedName>
    <definedName name="EntericMethane_Dairy_Equations.VEERG_3_3_1_1__3_DryMatterFeedIntake_Source">_xlfn.LAMBDA("VEERG 2026: 3.3.1.1, Equation (3)")</definedName>
    <definedName name="EntericMethane_Dairy_Equations.VEERG_3_3_1_1__3_DryMatterFeedIntake_Title">_xlfn.LAMBDA("Feed intake")</definedName>
    <definedName name="EntericMethane_Dairy_Equations.VEERG_3_3_1_1__3_DryMatterFeedIntake_Unit">_xlfn.LAMBDA("kg DM/head/day")</definedName>
    <definedName name="EntericMethane_Dairy_Equations.VEERG_3_3_1_1__3_DryMatterFeedIntake_Variable">_xlfn.LAMBDA("I_j")</definedName>
    <definedName name="EntericMethane_Dairy_Equations.VEERG_3_3_1_1__4_AdditionalIntakeForMilkProduction">_xlfn.LAMBDA(_xlpm.MP_j,_xlpm.NE,_xlpm.GEC,_xlpm.k,_xlpm.qm_j, (_xlpm.MP_j * 1.03 * _xlpm.NE) / (_xlpm.GEC * _xlpm.k * _xlpm.qm_j))</definedName>
    <definedName name="EntericMethane_Dairy_Equations.VEERG_3_3_1_1__4_AdditionalIntakeForMilkProduction_Arguments">_xlfn.LAMBDA(_xlfn.MAKEARRAY(7, 4, _xlfn.LAMBDA(_xlpm.r,_xlpm.c, INDEX({"MPU","input milk production unit","","Input";"MP_j","milk production (if input as litres of milk)","L/head/day","Input";"MP_j","milk production (if input as milk solids)","L/head/day","Calculated from 3.3.1.1 (5)";"NE","net energy","MJ net energy/kg milk","Constant";"GEC","gross energy content","MJ/kgDM","Constant";"k","efficiency of metabolizable energy use for milk production","fraction","Constant";"qm_j","metabolisability of the diet","fraction","Calculated from 3.3.1.1 (6)"}, _xlpm.r, _xlpm.c))))</definedName>
    <definedName name="EntericMethane_Dairy_Equations.VEERG_3_3_1_1__4_AdditionalIntakeForMilkProduction_LatexEquation">_xlfn.LAMBDA("MI_j=\frac{MP_j\times 1.03\times NE}{GEC\times k\times qm_j}")</definedName>
    <definedName name="EntericMethane_Dairy_Equations.VEERG_3_3_1_1__4_AdditionalIntakeForMilkProduction_NIRReference">_xlfn.LAMBDA("")</definedName>
    <definedName name="EntericMethane_Dairy_Equations.VEERG_3_3_1_1__4_AdditionalIntakeForMilkProduction_Source">_xlfn.LAMBDA("VEERG 2026: 3.3.1.1, Equation (4)")</definedName>
    <definedName name="EntericMethane_Dairy_Equations.VEERG_3_3_1_1__4_AdditionalIntakeForMilkProduction_Title">_xlfn.LAMBDA("Additional intake required for milk production")</definedName>
    <definedName name="EntericMethane_Dairy_Equations.VEERG_3_3_1_1__4_AdditionalIntakeForMilkProduction_Unit">_xlfn.LAMBDA("kg DM/head/day")</definedName>
    <definedName name="EntericMethane_Dairy_Equations.VEERG_3_3_1_1__4_AdditionalIntakeForMilkProduction_Variable">_xlfn.LAMBDA("MI_j")</definedName>
    <definedName name="EntericMethane_Dairy_Equations.VEERG_3_3_1_1__4_AdditionalIntakeForMilkProduction_Variation">_xlfn.LAMBDA("VARATION ON SOURCE: Added milk production unit variable to allow for use of either milk solids or litres of milk.")</definedName>
    <definedName name="EntericMethane_Dairy_Equations.VEERG_3_3_1_1__5_MilkProductionFromMilkSolids">_xlfn.LAMBDA(_xlpm.MS_j,_xlpm.FC_j,_xlpm.PC_j, _xlpm.MS_j / (0.01 * (_xlpm.FC_j + _xlpm.PC_j)))</definedName>
    <definedName name="EntericMethane_Dairy_Equations.VEERG_3_3_1_1__5_MilkProductionFromMilkSolids_Arguments">_xlfn.LAMBDA(_xlfn.MAKEARRAY(4, 4, _xlfn.LAMBDA(_xlpm.r,_xlpm.c, INDEX({"MPU","input milk production unit","","Input";"MS_j","daily production of milk solids","kg MS/head/day","Input";"FC_j","fat content in fat and protein corrected milk","per cent","Constant";"PC_j","protein content in fat and protein corrected milk","per cent","Constant"}, _xlpm.r, _xlpm.c))))</definedName>
    <definedName name="EntericMethane_Dairy_Equations.VEERG_3_3_1_1__5_MilkProductionFromMilkSolids_Arguments_Method2">_xlfn.LAMBDA(_xlfn.MAKEARRAY(4, 4, _xlfn.LAMBDA(_xlpm.r,_xlpm.c, INDEX({"MPU","milk production unit","","Input";"MS_j","daily production of milk solids","kg MS/head/day","Input";"FC_j","fat content in fat and protein corrected milk","per cent","Input";"PC_j","protein content in fat and protein corrected milk","per cent","Input"}, _xlpm.r, _xlpm.c))))</definedName>
    <definedName name="EntericMethane_Dairy_Equations.VEERG_3_3_1_1__5_MilkProductionFromMilkSolids_LatexEquation">_xlfn.LAMBDA("MP_j=\frac{MS_j}{0.01\times (FC_j+PC_j)}")</definedName>
    <definedName name="EntericMethane_Dairy_Equations.VEERG_3_3_1_1__5_MilkProductionFromMilkSolids_NIRReference">_xlfn.LAMBDA("")</definedName>
    <definedName name="EntericMethane_Dairy_Equations.VEERG_3_3_1_1__5_MilkProductionFromMilkSolids_Source">_xlfn.LAMBDA("VEERG 2026: 3.3.1.1, Equation (5)")</definedName>
    <definedName name="EntericMethane_Dairy_Equations.VEERG_3_3_1_1__5_MilkProductionFromMilkSolids_Title">_xlfn.LAMBDA("Milk production converted from milk solids")</definedName>
    <definedName name="EntericMethane_Dairy_Equations.VEERG_3_3_1_1__5_MilkProductionFromMilkSolids_Unit">_xlfn.LAMBDA("L/head/day")</definedName>
    <definedName name="EntericMethane_Dairy_Equations.VEERG_3_3_1_1__5_MilkProductionFromMilkSolids_Variable">_xlfn.LAMBDA("MP_j")</definedName>
    <definedName name="EntericMethane_Dairy_Equations.VEERG_3_3_1_1__5_MilkProductionFromMilkSolids_Variation">_xlfn.LAMBDA("VARATION ON SOURCE: Added milk production unit variable to allow for use of either milk solids or litres of milk. Converted input FC and PC percent to integer.")</definedName>
    <definedName name="EntericMethane_Dairy_Equations.VEERG_3_3_1_1__6_MetabolisabilityOfDiet">_xlfn.LAMBDA(_xlpm.DMD_j, 0.795 * (_xlpm.DMD_j * 100) - 0.0014)</definedName>
    <definedName name="EntericMethane_Dairy_Equations.VEERG_3_3_1_1__6_MetabolisabilityOfDiet_Arguments">_xlfn.LAMBDA(_xlfn.MAKEARRAY(1, 4, _xlfn.LAMBDA(_xlpm.r,_xlpm.c, INDEX({"DMD_j","dry matter digestibility expressed as a fraction","fraction","Input"}, _xlpm.r, _xlpm.c))))</definedName>
    <definedName name="EntericMethane_Dairy_Equations.VEERG_3_3_1_1__6_MetabolisabilityOfDiet_LatexEquation">_xlfn.LAMBDA("qm_j=0.795\times (DMD_j\times 100)-0.0014")</definedName>
    <definedName name="EntericMethane_Dairy_Equations.VEERG_3_3_1_1__6_MetabolisabilityOfDiet_LatexEquationVariation">_xlfn.LAMBDA("qm_j=0.00795\times (DMD_j\times 100)-0.0014")</definedName>
    <definedName name="EntericMethane_Dairy_Equations.VEERG_3_3_1_1__6_MetabolisabilityOfDiet_NIRReference">_xlfn.LAMBDA("")</definedName>
    <definedName name="EntericMethane_Dairy_Equations.VEERG_3_3_1_1__6_MetabolisabilityOfDiet_Source">_xlfn.LAMBDA("VEERG 2026: 3.3.1.1, Equation (6)")</definedName>
    <definedName name="EntericMethane_Dairy_Equations.VEERG_3_3_1_1__6_MetabolisabilityOfDiet_Title">_xlfn.LAMBDA("Metabolisability of diet")</definedName>
    <definedName name="EntericMethane_Dairy_Equations.VEERG_3_3_1_1__6_MetabolisabilityOfDiet_Unit">_xlfn.LAMBDA("fraction")</definedName>
    <definedName name="EntericMethane_Dairy_Equations.VEERG_3_3_1_1__6_MetabolisabilityOfDiet_Variable">_xlfn.LAMBDA("qm_j")</definedName>
    <definedName name="EntericMethane_Dairy_Equations.VEERG_3_3_1_1__6_MetabolisabilityOfDiet_Variation">_xlfn.LAMBDA("VARIATION ON SOURCE: changed 0.795 to 0.00795 which is the value used in the National Inventory Report")</definedName>
    <definedName name="EntericMethane_Dairy_Equations.VEERG_3_3_1_1__6_MetabolisabilityOfDietVariation">_xlfn.LAMBDA(_xlpm.DMD_j, 0.00795 * (_xlpm.DMD_j * 100) - 0.0014)</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InputFunctions_Dairy.CalculateFractionInMMSAfterSolidSeparation">_xlfn.LAMBDA(_xlpm.ProductionSystem,_xlpm.MMSFraction,_xlpm.FractionSeparated, _xlpm.ProductionSystem * (_xlpm.MMSFraction - (_xlpm.MMSFraction * _xlpm.FractionSeparated)))</definedName>
    <definedName name="InputFunctions_Dairy.CalculateFractionInSolidStorage">_xlfn.LAMBDA(_xlpm.ProductionSystem,_xlpm.InitalSolidStorageFraction,_xlpm.MMS1Fraction,_xlpm.MMS1Separated,_xlpm.MMS2Fraction,_xlpm.MMS2Separated,_xlpm.MMS3Fraction,_xlpm.MMS3Separated, _xlpm.ProductionSystem * (_xlpm.InitalSolidStorageFraction + (_xlpm.MMS1Fraction * _xlpm.MMS1Separated) + (_xlpm.MMS2Fraction * _xlpm.MMS2Separated) + (_xlpm.MMS3Fraction * _xlpm.MMS3Separated)))</definedName>
    <definedName name="MMS_Dairy_AtmosphericDeposition_Equations.VEERG_4_3_1_5__1_AnnualAtmosphericDepositionEmissionsFromMMS">_xlfn.LAMBDA(_xlpm.MN_ATMOS,_xlpm.EF_N2O,_xlpm.C_N2O, _xlpm.MN_ATMOS * _xlpm.EF_N2O * _xlpm.C_N2O * 10 ^ -3)</definedName>
    <definedName name="MMS_Dairy_AtmosphericDeposition_Equations.VEERG_4_3_1_5__1_AnnualAtmosphericDepositionEmissionsFromMMS_Arguments">_xlfn.LAMBDA(_xlfn.MAKEARRAY(6, 4, _xlfn.LAMBDA(_xlpm.r,_xlpm.c, INDEX({"MN_ATMOS","mass of N volatilised from MMS","kg N","Calculated from 4.3.1.5 (2)";"EF_N2O","nitrous oxide emission factor for atmospheric deposition","kg N2O-N/kg N","Constant";"C_N2O","factor to convert elemental mass of N2O to molecular mass","","Constant";"j","production system","","Input";"ir","irrigation method","","Input";"r","rainfall region","","Input"}, _xlpm.r, _xlpm.c))))</definedName>
    <definedName name="MMS_Dairy_AtmosphericDeposition_Equations.VEERG_4_3_1_5__1_AnnualAtmosphericDepositionEmissionsFromMMS_LatexEquation">_xlfn.LAMBDA("E_{N2O,MMS,ad}=MN_{ATMOS}\times EF_{N2O}\times C_{N2O}\times 10^{-3}")</definedName>
    <definedName name="MMS_Dairy_AtmosphericDeposition_Equations.VEERG_4_3_1_5__1_AnnualAtmosphericDepositionEmissionsFromMMS_NIRReference">_xlfn.LAMBDA("")</definedName>
    <definedName name="MMS_Dairy_AtmosphericDeposition_Equations.VEERG_4_3_1_5__1_AnnualAtmosphericDepositionEmissionsFromMMS_Source">_xlfn.LAMBDA("VEERG 2026: 4.3.1.5, Equation (1)")</definedName>
    <definedName name="MMS_Dairy_AtmosphericDeposition_Equations.VEERG_4_3_1_5__1_AnnualAtmosphericDepositionEmissionsFromMMS_Title">_xlfn.LAMBDA("Annual atmospheric deposition emissions from MMS")</definedName>
    <definedName name="MMS_Dairy_AtmosphericDeposition_Equations.VEERG_4_3_1_5__1_AnnualAtmosphericDepositionEmissionsFromMMS_Unit">_xlfn.LAMBDA("t N2O")</definedName>
    <definedName name="MMS_Dairy_AtmosphericDeposition_Equations.VEERG_4_3_1_5__1_AnnualAtmosphericDepositionEmissionsFromMMS_Variable">_xlfn.LAMBDA("E_N2OMMSad")</definedName>
    <definedName name="MMS_Dairy_AtmosphericDeposition_Equations.VEERG_4_3_1_5__2_TotalNitrogenVolatilisedFromMMS">_xlfn.LAMBDA(_xlpm.MN_jm,_xlpm.FracGASM_m, _xlpm.MN_jm * _xlpm.FracGASM_m)</definedName>
    <definedName name="MMS_Dairy_AtmosphericDeposition_Equations.VEERG_4_3_1_5__2_TotalNitrogenVolatilisedFromMMS_Arguments">_xlfn.LAMBDA(_xlfn.MAKEARRAY(2, 4, _xlfn.LAMBDA(_xlpm.r,_xlpm.c, INDEX({"MN_jm","total nitrogen in each MMS for dairy cattle classes","kg N","Calculated from 4.3.1.3 (2)";"FracGASM_m","fraction of N volatilised from MMS","fraction","Constant"}, _xlpm.r, _xlpm.c))))</definedName>
    <definedName name="MMS_Dairy_AtmosphericDeposition_Equations.VEERG_4_3_1_5__2_TotalNitrogenVolatilisedFromMMS_LatexEquation">_xlfn.LAMBDA("MN_{ATMOS}=\sum\nolimits_{j}\sum\nolimits_{m}(MN_{jm}\times FracGASM_m)")</definedName>
    <definedName name="MMS_Dairy_AtmosphericDeposition_Equations.VEERG_4_3_1_5__2_TotalNitrogenVolatilisedFromMMS_NIRReference">_xlfn.LAMBDA("")</definedName>
    <definedName name="MMS_Dairy_AtmosphericDeposition_Equations.VEERG_4_3_1_5__2_TotalNitrogenVolatilisedFromMMS_Source">_xlfn.LAMBDA("VEERG 2026: 4.3.1.5, Equation (2)")</definedName>
    <definedName name="MMS_Dairy_AtmosphericDeposition_Equations.VEERG_4_3_1_5__2_TotalNitrogenVolatilisedFromMMS_Title">_xlfn.LAMBDA("Total nitrogen volatilised from MMS")</definedName>
    <definedName name="MMS_Dairy_AtmosphericDeposition_Equations.VEERG_4_3_1_5__2_TotalNitrogenVolatilisedFromMMS_Unit">_xlfn.LAMBDA("kg N")</definedName>
    <definedName name="MMS_Dairy_AtmosphericDeposition_Equations.VEERG_4_3_1_5__2_TotalNitrogenVolatilisedFromMMS_Variable">_xlfn.LAMBDA("MN_ATMOS")</definedName>
    <definedName name="MMS_Dairy_LeachingAndRunoff_Equations.VEERG_4_3_1_6__1_AnnualEmissionsFromLeachingAndRunoffFromMMS">_xlfn.LAMBDA(_xlpm.MNLeach_jm,_xlpm.EF_leach,_xlpm.C_N2O, (_xlpm.MNLeach_jm * _xlpm.EF_leach * _xlpm.C_N2O) * 10 ^ -3)</definedName>
    <definedName name="MMS_Dairy_LeachingAndRunoff_Equations.VEERG_4_3_1_6__1_AnnualEmissionsFromLeachingAndRunoffFromMMS_Arguments">_xlfn.LAMBDA(_xlfn.MAKEARRAY(3, 4, _xlfn.LAMBDA(_xlpm.r,_xlpm.c, INDEX({"MNLeach_jm","mass of N lost through leaching and runoff","kg N","Calculated from 4.3.1.6 (2)";"EF_leach","nitrous oxide emission factor for leaching and runoff","kg N2O-N/kg N","Constant";"C_N2O","factor to convert elemental mass of N2O to molecular mass","","Constant"}, _xlpm.r, _xlpm.c))))</definedName>
    <definedName name="MMS_Dairy_LeachingAndRunoff_Equations.VEERG_4_3_1_6__1_AnnualEmissionsFromLeachingAndRunoffFromMMS_LatexEquation">_xlfn.LAMBDA("E_{N2O,leach}=\sum\nolimits_{j}\sum\nolimits_{m=1-13}(MNLeach_{jm}\times EF_{leach}\times C_{N2O})\times 10^{-3}")</definedName>
    <definedName name="MMS_Dairy_LeachingAndRunoff_Equations.VEERG_4_3_1_6__1_AnnualEmissionsFromLeachingAndRunoffFromMMS_NIRReference">_xlfn.LAMBDA("")</definedName>
    <definedName name="MMS_Dairy_LeachingAndRunoff_Equations.VEERG_4_3_1_6__1_AnnualEmissionsFromLeachingAndRunoffFromMMS_Source">_xlfn.LAMBDA("VEERG 2026: 4.3.1.6, Equation (1)")</definedName>
    <definedName name="MMS_Dairy_LeachingAndRunoff_Equations.VEERG_4_3_1_6__1_AnnualEmissionsFromLeachingAndRunoffFromMMS_Title">_xlfn.LAMBDA("Annual emissions from leaching and runoff from each MMS")</definedName>
    <definedName name="MMS_Dairy_LeachingAndRunoff_Equations.VEERG_4_3_1_6__1_AnnualEmissionsFromLeachingAndRunoffFromMMS_Unit">_xlfn.LAMBDA("t N2O")</definedName>
    <definedName name="MMS_Dairy_LeachingAndRunoff_Equations.VEERG_4_3_1_6__1_AnnualEmissionsFromLeachingAndRunoffFromMMS_Variable">_xlfn.LAMBDA("E_N2Oleach")</definedName>
    <definedName name="MMS_Dairy_LeachingAndRunoff_Equations.VEERG_4_3_1_6__2_MassOfNitrogenLostToLeachingAndRunoffFromSolidStorage">_xlfn.LAMBDA(_xlpm.MN_jm4,_xlpm.FracWET_i,_xlpm.FracLEACH_MS, _xlpm.MN_jm4 * _xlpm.FracWET_i * _xlpm.FracLEACH_MS)</definedName>
    <definedName name="MMS_Dairy_LeachingAndRunoff_Equations.VEERG_4_3_1_6__2_MassOfNitrogenLostToLeachingAndRunoffFromSolidStorage_Arguments">_xlfn.LAMBDA(_xlfn.MAKEARRAY(6, 4, _xlfn.LAMBDA(_xlpm.r,_xlpm.c, INDEX({"MN_jm4","total nitrogen in solid storage system m=4 (kg N)","kg N","Calculated from 4.3.1.3 (2)";"FracWET_i","fraction of N that is available for leaching and runoff from the leaching zone z and irrigation type ir","fraction","Constant";"FracLEACH_MS","fraction of N that is lost through leaching and runoff","fraction","Constant";"z","location in leaching zone","","Input";"j","production system","","Input";"ir","irrigation method","","Input"}, _xlpm.r, _xlpm.c))))</definedName>
    <definedName name="MMS_Dairy_LeachingAndRunoff_Equations.VEERG_4_3_1_6__2_MassOfNitrogenLostToLeachingAndRunoffFromSolidStorage_LatexEquation">_xlfn.LAMBDA("MNLeach_{jm=4}=MN_{jm=4}\times FracWET_i\times FracLEACH_{MS}")</definedName>
    <definedName name="MMS_Dairy_LeachingAndRunoff_Equations.VEERG_4_3_1_6__2_MassOfNitrogenLostToLeachingAndRunoffFromSolidStorage_NIRReference">_xlfn.LAMBDA("")</definedName>
    <definedName name="MMS_Dairy_LeachingAndRunoff_Equations.VEERG_4_3_1_6__2_MassOfNitrogenLostToLeachingAndRunoffFromSolidStorage_Source">_xlfn.LAMBDA("VEERG 2026: 4.3.1.6, Equation (2)")</definedName>
    <definedName name="MMS_Dairy_LeachingAndRunoff_Equations.VEERG_4_3_1_6__2_MassOfNitrogenLostToLeachingAndRunoffFromSolidStorage_Title">_xlfn.LAMBDA("Mass of nitrogen lost to leaching and runoff from solid storage systems")</definedName>
    <definedName name="MMS_Dairy_LeachingAndRunoff_Equations.VEERG_4_3_1_6__2_MassOfNitrogenLostToLeachingAndRunoffFromSolidStorage_Unit">_xlfn.LAMBDA("kg N")</definedName>
    <definedName name="MMS_Dairy_LeachingAndRunoff_Equations.VEERG_4_3_1_6__2_MassOfNitrogenLostToLeachingAndRunoffFromSolidStorage_Variable">_xlfn.LAMBDA("MNLeach_jm4")</definedName>
    <definedName name="MMS_Dairy_ManureAppliedToSoils_Equations.VEERG_4_3_1_8__1_MassOfNitrogenAppliedToSoilsScope1">_xlfn.LAMBDA(_xlpm.MN_jm,_xlpm.EF_m,_xlpm.FracGASM_m,_xlpm.MNLeach_jm,_xlpm.PF_scope, (_xlpm.MN_jm * (1 - _xlpm.EF_m - _xlpm.FracGASM_m) - _xlpm.MNLeach_jm) * _xlpm.PF_scope)</definedName>
    <definedName name="MMS_Dairy_ManureAppliedToSoils_Equations.VEERG_4_3_1_8__1_MassOfNitrogenAppliedToSoilsScope1_Arguments">_xlfn.LAMBDA(_xlfn.MAKEARRAY(5, 4, _xlfn.LAMBDA(_xlpm.r,_xlpm.c, INDEX({"MN_jm","total nitrogen in each MMS for dairy cattle classes","kg N","Calculated from 4.3.1.3 (2)";"EF_m","emission factor for nitrous oxide emissions per MMS","kg N2O-N/kg N","Constant";"FracGASM_m","fraction of N volatilised from MMS","fraction","Constant";"MNLeach_jm","mass of N lost through leaching and runoff from each MMS","kg N","Calculated from 4.3.1.6 (2)";"PF_scope","fraction of manure applied to soil within farm boundary","fraction","Input"}, _xlpm.r, _xlpm.c))))</definedName>
    <definedName name="MMS_Dairy_ManureAppliedToSoils_Equations.VEERG_4_3_1_8__1_MassOfNitrogenAppliedToSoilsScope1_LatexEquation">_xlfn.LAMBDA("MNSoil_{scope1}=\sum\nolimits_{j}\sum\nolimits_{m}(MN_{jm=1-13}\times (1-EF_{m=1-13}-FracGASM_{m=1-13})-MNLeach_{jm})\times PF")</definedName>
    <definedName name="MMS_Dairy_ManureAppliedToSoils_Equations.VEERG_4_3_1_8__1_MassOfNitrogenAppliedToSoilsScope1_NIRReference">_xlfn.LAMBDA("")</definedName>
    <definedName name="MMS_Dairy_ManureAppliedToSoils_Equations.VEERG_4_3_1_8__1_MassOfNitrogenAppliedToSoilsScope1_Source">_xlfn.LAMBDA("VEERG 2026: 4.3.1.8, Equation (1)")</definedName>
    <definedName name="MMS_Dairy_ManureAppliedToSoils_Equations.VEERG_4_3_1_8__1_MassOfNitrogenAppliedToSoilsScope1_Title">_xlfn.LAMBDA("Mass of nitrogen from manure applied to soils for scope 1 emissions")</definedName>
    <definedName name="MMS_Dairy_ManureAppliedToSoils_Equations.VEERG_4_3_1_8__1_MassOfNitrogenAppliedToSoilsScope1_Unit">_xlfn.LAMBDA("kg N")</definedName>
    <definedName name="MMS_Dairy_ManureAppliedToSoils_Equations.VEERG_4_3_1_8__1_MassOfNitrogenAppliedToSoilsScope1_Variable">_xlfn.LAMBDA("MNSoil_scope1")</definedName>
    <definedName name="MMS_Dairy_ManureAppliedToSoils_Equations.VEERG_4_3_1_8__2_MassOfNitrogenAppliedToSoilsScope3">_xlfn.LAMBDA(_xlpm.MN_jm,_xlpm.EF_m,_xlpm.FracGASM_m,_xlpm.MNLeach_jm,_xlpm.PF, (_xlpm.MN_jm * (1 - _xlpm.EF_m - _xlpm.FracGASM_m) - _xlpm.MNLeach_jm) * (1 - _xlpm.PF))</definedName>
    <definedName name="MMS_Dairy_ManureAppliedToSoils_Equations.VEERG_4_3_1_8__2_MassOfNitrogenAppliedToSoilsScope3_Arguments">_xlfn.LAMBDA(_xlfn.MAKEARRAY(5, 4, _xlfn.LAMBDA(_xlpm.r,_xlpm.c, INDEX({"MN_jm","total nitrogen in each MMS for dairy cattle classes","kg N","Calculated from 4.3.1.3 (2)";"EF_m","emission factor for nitrous oxide emissions per MMS","kg N2O-N/kg N","Constant";"FracGASM_m","fraction of N volatilised from MMS","fraction","Constant";"MNLeach_jm","mass of N lost through leaching and runoff from each MMS","kg N","Calculated from 4.3.1.6 (2)";"PF","fraction of manure applied to soil within farm boundary","fraction","Input"}, _xlpm.r, _xlpm.c))))</definedName>
    <definedName name="MMS_Dairy_ManureAppliedToSoils_Equations.VEERG_4_3_1_8__2_MassOfNitrogenAppliedToSoilsScope3_LatexEquation">_xlfn.LAMBDA("MNSoil_{scope3}=\sum\nolimits_{j}\sum\nolimits_{m}(MN_{jm=1-13}\times (1-EF_{m=1-13}-FracGASM_{m=1-13})-MNLeach_{jm})\times (1-PF)")</definedName>
    <definedName name="MMS_Dairy_ManureAppliedToSoils_Equations.VEERG_4_3_1_8__2_MassOfNitrogenAppliedToSoilsScope3_NIRReference">_xlfn.LAMBDA("")</definedName>
    <definedName name="MMS_Dairy_ManureAppliedToSoils_Equations.VEERG_4_3_1_8__2_MassOfNitrogenAppliedToSoilsScope3_Source">_xlfn.LAMBDA("VEERG 2026: 4.3.1.8, Equation (2)")</definedName>
    <definedName name="MMS_Dairy_ManureAppliedToSoils_Equations.VEERG_4_3_1_8__2_MassOfNitrogenAppliedToSoilsScope3_Title">_xlfn.LAMBDA("Mass of nitrogen from manure applied to soils for scope 3 emissions")</definedName>
    <definedName name="MMS_Dairy_ManureAppliedToSoils_Equations.VEERG_4_3_1_8__2_MassOfNitrogenAppliedToSoilsScope3_Unit">_xlfn.LAMBDA("kg N")</definedName>
    <definedName name="MMS_Dairy_ManureAppliedToSoils_Equations.VEERG_4_3_1_8__2_MassOfNitrogenAppliedToSoilsScope3_Variable">_xlfn.LAMBDA("MNSoil_scope3")</definedName>
    <definedName name="MMS_Dairy_Methane_Equations.VEERG_4_3_1_1__1_TotalAnnualMethaneFromManureManagement">_xlfn.LAMBDA(_xlpm.N_j124,_xlpm.M_j124m,_xlpm.D_j124,_xlpm.N_j35,_xlpm.M_j35m,_xlpm.D_j35,_xlpm.MPW_manure_j35, ((_xlpm.N_j124 * _xlpm.M_j124m * _xlpm.D_j124) + (_xlpm.N_j35 * _xlpm.M_j35m * _xlpm.D_j35) + (_xlpm.N_j35 * _xlpm.MPW_manure_j35 * _xlpm.D_j35)) * 10 ^ -3)</definedName>
    <definedName name="MMS_Dairy_Methane_Equations.VEERG_4_3_1_1__1_TotalAnnualMethaneFromManureManagement_Arguments">_xlfn.LAMBDA(_xlfn.MAKEARRAY(8, 4, _xlfn.LAMBDA(_xlpm.r,_xlpm.c, INDEX({"N_j124","number of dairy cattle in classes j=1,2,4","head","Input";"M_j124m","methane production from manure of weaned dairy cattle in classes j=1,2,4 in MMS m","kg CH4/head/day","Calculated from 4.3.1.1 (2)";"D_j124","duration of stay on farm for classes j=1,2,4","days","Input";"N_j35","number of dairy cattle in classes j=3,5","head","Input";"M_j35m","methane production from manure of weaned dairy cattle in classes j=3,5 in MMS m","kg CH4/head/day","Calculated from 4.3.1.1 (2)";"D_j35","duration of stay on farm for classes j=3,5","days","Input";"MPW_manure_j35","methane production from manure of pre-weaned heifer and bull calves","kg CH4/head/day","Constant";"DPW_j35","duration of stay on farm for pre-weaned heifer and bull calves","days","Input"}, _xlpm.r, _xlpm.c))))</definedName>
    <definedName name="MMS_Dairy_Methane_Equations.VEERG_4_3_1_1__1_TotalAnnualMethaneFromManureManagement_LatexEquation">_xlfn.LAMBDA("E_{CH4}=\sum\nolimits_{j}\sum\nolimits_{m}((N_{j=1,2,4}\times M_{j=1,2,4,m}\times D_{j=1,2,4})+(N_{j=3,5}\times M_{j=3,5,m}\times D_{j=3,5})+(N_{j=3,5}\times MPW_{manure,j=3,5}\times D_{j=3,5}))\times 10^{-3}")</definedName>
    <definedName name="MMS_Dairy_Methane_Equations.VEERG_4_3_1_1__1_TotalAnnualMethaneFromManureManagement_LatexEquationVariation">_xlfn.LAMBDA("E_{CH4}=\sum\nolimits_{j}\sum\nolimits_{m}((N_{j=1,2,4}\times M_{j=1,2,4,m}\times D_{j=1,2,4})+(N_{j=3,5}\times M_{j=3,5,m}\times D_{j=3,5})+(N_{j=3,5}\times MPW_{manure,j=3,5}\times DPW_{j=3,5}))\times 10^{-3}")</definedName>
    <definedName name="MMS_Dairy_Methane_Equations.VEERG_4_3_1_1__1_TotalAnnualMethaneFromManureManagement_NIRReference">_xlfn.LAMBDA("")</definedName>
    <definedName name="MMS_Dairy_Methane_Equations.VEERG_4_3_1_1__1_TotalAnnualMethaneFromManureManagement_Source">_xlfn.LAMBDA("VEERG 2026: 4.3.1.1, Equation (1)")</definedName>
    <definedName name="MMS_Dairy_Methane_Equations.VEERG_4_3_1_1__1_TotalAnnualMethaneFromManureManagement_Title">_xlfn.LAMBDA("Total annual methane production from manure management")</definedName>
    <definedName name="MMS_Dairy_Methane_Equations.VEERG_4_3_1_1__1_TotalAnnualMethaneFromManureManagement_Unit">_xlfn.LAMBDA("t CH4")</definedName>
    <definedName name="MMS_Dairy_Methane_Equations.VEERG_4_3_1_1__1_TotalAnnualMethaneFromManureManagement_Variable">_xlfn.LAMBDA("E_CH4")</definedName>
    <definedName name="MMS_Dairy_Methane_Equations.VEERG_4_3_1_1__1_TotalAnnualMethaneFromManureManagement_Variation">_xlfn.LAMBDA("VARIATION: Used separate variable for duration of stay on farm for pre-weaned heifer and bull calves.")</definedName>
    <definedName name="MMS_Dairy_Methane_Equations.VEERG_4_3_1_1__1_TotalAnnualMethaneFromManureManagementVariation">_xlfn.LAMBDA(_xlpm.N_j124,_xlpm.M_j124m,_xlpm.D_j124,_xlpm.N_j35,_xlpm.M_j35m,_xlpm.D_j35,_xlpm.MPW_manure_j35,_xlpm.DPW_j35, ((_xlpm.N_j124 * _xlpm.M_j124m * _xlpm.D_j124) + (_xlpm.N_j35 * _xlpm.M_j35m * _xlpm.D_j35) + (_xlpm.N_j35 * _xlpm.MPW_manure_j35 * _xlpm.DPW_j35)) * 10 ^ -3)</definedName>
    <definedName name="MMS_Dairy_Methane_Equations.VEERG_4_3_1_1__2_MethaneFromManureProduction">_xlfn.LAMBDA(_xlpm.VS_j,_xlpm.FVS_jmT1,_xlpm.MCF_im,_xlpm.B_o,_xlpm.rho, _xlpm.VS_j * _xlpm.FVS_jmT1 * _xlpm.MCF_im * _xlpm.B_o * _xlpm.rho)</definedName>
    <definedName name="MMS_Dairy_Methane_Equations.VEERG_4_3_1_1__2_MethaneFromManureProduction_Arguments">_xlfn.LAMBDA(_xlfn.MAKEARRAY(6, 4, _xlfn.LAMBDA(_xlpm.r,_xlpm.c, INDEX({"VS_j","daily volatile solids production per head for dairy cattle (kg/head/day)","kg/head/day","Calculated from 4.3.1.1 (3)";"FVS_jmT1","fraction of waste from each class in each management system","fraction","Calculated from 4.3.1.1 (4)(5)";"MCF_im","methane conversion factor for temperature zone and MMS","fraction","Constant";"B_o","emissions potential (m3 CH4/kgVS)","m3 CH4/kgVS","Constant";"rho","density of methane (kg/m3)","kg/m3","Constant";"i","state","state","Input"}, _xlpm.r, _xlpm.c))))</definedName>
    <definedName name="MMS_Dairy_Methane_Equations.VEERG_4_3_1_1__2_MethaneFromManureProduction_Arguments_Method2">_xlfn.LAMBDA(_xlfn.MAKEARRAY(6, 4, _xlfn.LAMBDA(_xlpm.r,_xlpm.c, INDEX({"VS_j","daily volatile solids production per head for dairy cattle (kg/head/day)","kg/head/day","Calculated from 4.3.1.1 (3)";"FVS_jmT1","fraction of waste from each class in each management system","fraction","Calculated from 4.3.1.1 (4)(5)";"MCF_im","methane conversion factor for temperature zone and MMS","fraction","Constant";"B_o","emissions potential (m3 CH4/kgVS)","m3 CH4/kgVS","Constant";"rho","density of methane (kg/m3)","kg/m3","Constant";"MAT","Mean annual temperature","°C","Input"}, _xlpm.r, _xlpm.c))))</definedName>
    <definedName name="MMS_Dairy_Methane_Equations.VEERG_4_3_1_1__2_MethaneFromManureProduction_LatexEquation">_xlfn.LAMBDA("M_{jm}=VS_j\times FVS_{jm,T=1}\times MCF_{im}\times B_o\times \rho")</definedName>
    <definedName name="MMS_Dairy_Methane_Equations.VEERG_4_3_1_1__2_MethaneFromManureProduction_NIRReference">_xlfn.LAMBDA("")</definedName>
    <definedName name="MMS_Dairy_Methane_Equations.VEERG_4_3_1_1__2_MethaneFromManureProduction_Source">_xlfn.LAMBDA("VEERG 2026: 4.3.1.1, Equation (2)")</definedName>
    <definedName name="MMS_Dairy_Methane_Equations.VEERG_4_3_1_1__2_MethaneFromManureProduction_Title">_xlfn.LAMBDA("Methane from manure production from weaned dairy cattle")</definedName>
    <definedName name="MMS_Dairy_Methane_Equations.VEERG_4_3_1_1__2_MethaneFromManureProduction_Unit">_xlfn.LAMBDA("kg CH4/head/day")</definedName>
    <definedName name="MMS_Dairy_Methane_Equations.VEERG_4_3_1_1__2_MethaneFromManureProduction_Variable">_xlfn.LAMBDA("M_jm")</definedName>
    <definedName name="MMS_Dairy_Methane_Equations.VEERG_4_3_1_1__3_VolatileSolidsForWeanedDairyCattle">_xlfn.LAMBDA(_xlpm.I_j,_xlpm.DMD_j,_xlpm.A, (_xlpm.I_j * (1 - _xlpm.DMD_j) + (0.04 * _xlpm.I_j)) * (1 - _xlpm.A))</definedName>
    <definedName name="MMS_Dairy_Methane_Equations.VEERG_4_3_1_1__3_VolatileSolidsForWeanedDairyCattle_Arguments">_xlfn.LAMBDA(_xlfn.MAKEARRAY(3, 4, _xlfn.LAMBDA(_xlpm.r,_xlpm.c, INDEX({"I_j","dry matter feed intake (kgDM/head/day)","kgDM/head/day","Calculated from 3.3.1.1 (3)";"DMD_j","dry matter digestibility","fraction","Input";"A","ash content of feed intake","fraction","Constant"}, _xlpm.r, _xlpm.c))))</definedName>
    <definedName name="MMS_Dairy_Methane_Equations.VEERG_4_3_1_1__3_VolatileSolidsForWeanedDairyCattle_LatexEquation">_xlfn.LAMBDA("VS_j=(I_j\times (1-DMD_j)+(0.04\times I_j))\times (1-A)")</definedName>
    <definedName name="MMS_Dairy_Methane_Equations.VEERG_4_3_1_1__3_VolatileSolidsForWeanedDairyCattle_NIRReference">_xlfn.LAMBDA("")</definedName>
    <definedName name="MMS_Dairy_Methane_Equations.VEERG_4_3_1_1__3_VolatileSolidsForWeanedDairyCattle_Source">_xlfn.LAMBDA("VEERG 2026: 4.3.1.1, Equation (3)")</definedName>
    <definedName name="MMS_Dairy_Methane_Equations.VEERG_4_3_1_1__3_VolatileSolidsForWeanedDairyCattle_Title">_xlfn.LAMBDA("Volatile solids for weaned dairy cattle")</definedName>
    <definedName name="MMS_Dairy_Methane_Equations.VEERG_4_3_1_1__3_VolatileSolidsForWeanedDairyCattle_Unit">_xlfn.LAMBDA("kg/head/day")</definedName>
    <definedName name="MMS_Dairy_Methane_Equations.VEERG_4_3_1_1__3_VolatileSolidsForWeanedDairyCattle_Variable">_xlfn.LAMBDA("VS_j")</definedName>
    <definedName name="MMS_Dairy_Methane_Equations.VEERG_4_3_1_1__4_FractionVolatileSolidsNotSolidStorage">_xlfn.LAMBDA(_xlpm.MMS_jm,_xlpm.SS_m, _xlpm.MMS_jm * (1 - _xlpm.SS_m))</definedName>
    <definedName name="MMS_Dairy_Methane_Equations.VEERG_4_3_1_1__4_FractionVolatileSolidsNotSolidStorage_Arguments">_xlfn.LAMBDA(_xlfn.MAKEARRAY(2, 4, _xlfn.LAMBDA(_xlpm.r,_xlpm.c, INDEX({"MMS_jm","fraction of manure to each primary MMS for each class prior to solid separation","fraction","Input";"SS_m","fraction of volatile solids separated to solid storage for each MMS","fraction","Input"}, _xlpm.r, _xlpm.c))))</definedName>
    <definedName name="MMS_Dairy_Methane_Equations.VEERG_4_3_1_1__4_FractionVolatileSolidsNotSolidStorage_LatexEquation">_xlfn.LAMBDA("FVS_{jm}=MMS_{jm}\times (1-SS_m)")</definedName>
    <definedName name="MMS_Dairy_Methane_Equations.VEERG_4_3_1_1__4_FractionVolatileSolidsNotSolidStorage_NIRReference">_xlfn.LAMBDA("")</definedName>
    <definedName name="MMS_Dairy_Methane_Equations.VEERG_4_3_1_1__4_FractionVolatileSolidsNotSolidStorage_Source">_xlfn.LAMBDA("VEERG 2026: 4.3.1.1, Equation (4)")</definedName>
    <definedName name="MMS_Dairy_Methane_Equations.VEERG_4_3_1_1__4_FractionVolatileSolidsNotSolidStorage_Title">_xlfn.LAMBDA("Fraction of volatile solids in each system other than solid storage")</definedName>
    <definedName name="MMS_Dairy_Methane_Equations.VEERG_4_3_1_1__4_FractionVolatileSolidsNotSolidStorage_Unit">_xlfn.LAMBDA("fraction")</definedName>
    <definedName name="MMS_Dairy_Methane_Equations.VEERG_4_3_1_1__4_FractionVolatileSolidsNotSolidStorage_Variable">_xlfn.LAMBDA("FVS_jm")</definedName>
    <definedName name="MMS_Dairy_Methane_Equations.VEERG_4_3_1_1__5_FractionVolatileSolidsSolidStorage">_xlfn.LAMBDA(_xlpm.MMS_jm4,_xlpm.MMS_jm179,_xlpm.SS_m, _xlpm.MMS_jm4 + (_xlpm.MMS_jm179 * _xlpm.SS_m))</definedName>
    <definedName name="MMS_Dairy_Methane_Equations.VEERG_4_3_1_1__5_FractionVolatileSolidsSolidStorage_Arguments">_xlfn.LAMBDA(_xlfn.MAKEARRAY(3, 4, _xlfn.LAMBDA(_xlpm.r,_xlpm.c, INDEX({"MMS_jm4","fraction of volatile solids in solid storage before transfer","fraction","Input";"MMS_jm179","fraction of volatile solids in MMS m=1,7,9 before transfer","fraction","Input";"SS_m","fraction of volatile solids separated to solid storage for each MMS","fraction","Input"}, _xlpm.r, _xlpm.c))))</definedName>
    <definedName name="MMS_Dairy_Methane_Equations.VEERG_4_3_1_1__5_FractionVolatileSolidsSolidStorage_LatexEquation">_xlfn.LAMBDA("FVS_{jm=4}=MMS_{jm=4}+(MMS_{jm=1,7,9}\times SS_m)")</definedName>
    <definedName name="MMS_Dairy_Methane_Equations.VEERG_4_3_1_1__5_FractionVolatileSolidsSolidStorage_LatexEquationVariation">_xlfn.LAMBDA("FVS_{jm=4}=MMS_{jm=4}+(MMS_{jm=1}\times SS_{m=1})+(MMS_{jm=7}\times SS_{m=7})+(MMS_{jm=9}\times SS_{m=9})")</definedName>
    <definedName name="MMS_Dairy_Methane_Equations.VEERG_4_3_1_1__5_FractionVolatileSolidsSolidStorage_NIRReference">_xlfn.LAMBDA("")</definedName>
    <definedName name="MMS_Dairy_Methane_Equations.VEERG_4_3_1_1__5_FractionVolatileSolidsSolidStorage_Source">_xlfn.LAMBDA("VEERG 2026: 4.3.1.1, Equation (5)")</definedName>
    <definedName name="MMS_Dairy_Methane_Equations.VEERG_4_3_1_1__5_FractionVolatileSolidsSolidStorage_Title">_xlfn.LAMBDA("Fraction of volatile solids in solid storage")</definedName>
    <definedName name="MMS_Dairy_Methane_Equations.VEERG_4_3_1_1__5_FractionVolatileSolidsSolidStorage_Unit">_xlfn.LAMBDA("fraction")</definedName>
    <definedName name="MMS_Dairy_Methane_Equations.VEERG_4_3_1_1__5_FractionVolatileSolidsSolidStorage_Variable">_xlfn.LAMBDA("FVS_jm4")</definedName>
    <definedName name="MMS_Dairy_Methane_Equations.VEERG_4_3_1_1__5_FractionVolatileSolidsSolidStorage_Variation">_xlfn.LAMBDA("Used separate variables for MMS and SS m 1, 7 and 9.")</definedName>
    <definedName name="MMS_Dairy_Methane_Equations.VEERG_4_3_1_1__5_FractionVolatileSolidsSolidStorageVariation">_xlfn.LAMBDA(_xlpm.MMS_jm4,_xlpm.MMS_jm1,_xlpm.MMS_jm7,_xlpm.MMS_jm9,_xlpm.SS_m1,_xlpm.SS_m7,_xlpm.SS_m9, _xlpm.MMS_jm4 + (_xlpm.MMS_jm1 * _xlpm.SS_m1) + (_xlpm.MMS_jm7 * _xlpm.SS_m7) + (_xlpm.MMS_jm9 * _xlpm.SS_m9))</definedName>
    <definedName name="MMS_Dairy_N2ODirect_Equations.VEERG_4_3_1_3__1_TotalAnnualDirectNitrousOxideEmissionsFromMMS">_xlfn.LAMBDA(_xlpm.MN_jm,_xlpm.EF_m,_xlpm.C_N2O, _xlpm.MN_jm * _xlpm.EF_m * _xlpm.C_N2O * 10 ^ -3)</definedName>
    <definedName name="MMS_Dairy_N2ODirect_Equations.VEERG_4_3_1_3__1_TotalAnnualDirectNitrousOxideEmissionsFromMMS_Arguments">_xlfn.LAMBDA(_xlfn.MAKEARRAY(3, 4, _xlfn.LAMBDA(_xlpm.r,_xlpm.c, INDEX({"MN_jm","total nitrogen in each MMS for dairy cattle classes","kg N","Calculated from 4.3.1.3 (2)";"EF_m","nitrous oxide emission factor for each MMS (kg N2O-N/kg N deposited)","kg N2O-N/kg N","Constant";"C_N2O","factor to convert elemental mass of N2O to molecular mass","fraction","Constant"}, _xlpm.r, _xlpm.c))))</definedName>
    <definedName name="MMS_Dairy_N2ODirect_Equations.VEERG_4_3_1_3__1_TotalAnnualDirectNitrousOxideEmissionsFromMMS_LatexEquation">_xlfn.LAMBDA("E_{N2O,dir}=\sum\nolimits_{j}\sum\nolimits_{m}(MN_{jm}\times EF_m\times C_{N2O}\times 10^{-3})")</definedName>
    <definedName name="MMS_Dairy_N2ODirect_Equations.VEERG_4_3_1_3__1_TotalAnnualDirectNitrousOxideEmissionsFromMMS_NIRReference">_xlfn.LAMBDA("")</definedName>
    <definedName name="MMS_Dairy_N2ODirect_Equations.VEERG_4_3_1_3__1_TotalAnnualDirectNitrousOxideEmissionsFromMMS_Source">_xlfn.LAMBDA("VEERG 2026: 4.3.1.3, Equation (1)")</definedName>
    <definedName name="MMS_Dairy_N2ODirect_Equations.VEERG_4_3_1_3__1_TotalAnnualDirectNitrousOxideEmissionsFromMMS_Title">_xlfn.LAMBDA("Total annual direct nitrous oxide emissions from manure management systems")</definedName>
    <definedName name="MMS_Dairy_N2ODirect_Equations.VEERG_4_3_1_3__1_TotalAnnualDirectNitrousOxideEmissionsFromMMS_Unit">_xlfn.LAMBDA("t N2O")</definedName>
    <definedName name="MMS_Dairy_N2ODirect_Equations.VEERG_4_3_1_3__1_TotalAnnualDirectNitrousOxideEmissionsFromMMS_Variable">_xlfn.LAMBDA("E_N2Odir")</definedName>
    <definedName name="MMS_Dairy_N2ODirect_Equations.VEERG_4_3_1_3__2_TotalNitrogenInEachMMS">_xlfn.LAMBDA(_xlpm.AE_j,_xlpm.MMS_jm, _xlpm.AE_j * _xlpm.MMS_jm)</definedName>
    <definedName name="MMS_Dairy_N2ODirect_Equations.VEERG_4_3_1_3__2_TotalNitrogenInEachMMS_Arguments">_xlfn.LAMBDA(_xlfn.MAKEARRAY(2, 4, _xlfn.LAMBDA(_xlpm.r,_xlpm.c, INDEX({"AE_j","total nitrogen excreted by each dairy class","kg N","Calculated from 4.3.1.3 (3a) and (3b)";"MMS_jm","manure management system fraction for class j and system m","fraction","Input"}, _xlpm.r, _xlpm.c))))</definedName>
    <definedName name="MMS_Dairy_N2ODirect_Equations.VEERG_4_3_1_3__2_TotalNitrogenInEachMMS_LatexEquation">_xlfn.LAMBDA("MN_{jm}=AE_j\times MMS_{jm}")</definedName>
    <definedName name="MMS_Dairy_N2ODirect_Equations.VEERG_4_3_1_3__2_TotalNitrogenInEachMMS_NIRReference">_xlfn.LAMBDA("")</definedName>
    <definedName name="MMS_Dairy_N2ODirect_Equations.VEERG_4_3_1_3__2_TotalNitrogenInEachMMS_Source">_xlfn.LAMBDA("VEERG 2026: 4.3.1.3, Equation (2)")</definedName>
    <definedName name="MMS_Dairy_N2ODirect_Equations.VEERG_4_3_1_3__2_TotalNitrogenInEachMMS_Title">_xlfn.LAMBDA("Total nitrogen in each MMS")</definedName>
    <definedName name="MMS_Dairy_N2ODirect_Equations.VEERG_4_3_1_3__2_TotalNitrogenInEachMMS_Unit">_xlfn.LAMBDA("kg N")</definedName>
    <definedName name="MMS_Dairy_N2ODirect_Equations.VEERG_4_3_1_3__2_TotalNitrogenInEachMMS_Variable">_xlfn.LAMBDA("MN_jm")</definedName>
    <definedName name="MMS_Dairy_N2ODirect_Equations.VEERG_4_3_1_3__3a_TotalAnnualNitrogenExcretedGreaterThanOneYear">_xlfn.LAMBDA(_xlpm.N_j124,_xlpm.NE_j124, _xlpm.N_j124 * _xlpm.NE_j124 * 365)</definedName>
    <definedName name="MMS_Dairy_N2ODirect_Equations.VEERG_4_3_1_3__3a_TotalAnnualNitrogenExcretedGreaterThanOneYear_Arguments">_xlfn.LAMBDA(_xlfn.MAKEARRAY(3, 4, _xlfn.LAMBDA(_xlpm.r,_xlpm.c, INDEX({"N_j124","number of dairy cattle in classes j=1,2,4","head","Input";"NE_j124","nitrogen excreted by dairy cattle greater than one year old (kg N/head/day)","kg N/head/day","Calculated from 4.3.1.3 (4)";"D_j124","duration of stay on farm for classes j=1,2,4 (days)","days","Input"}, _xlpm.r, _xlpm.c))))</definedName>
    <definedName name="MMS_Dairy_N2ODirect_Equations.VEERG_4_3_1_3__3a_TotalAnnualNitrogenExcretedGreaterThanOneYear_LatexEquation">_xlfn.LAMBDA("AE_{j=1,2,4}=N_{j=1,2,4}\times NE_{j=1,2,4}\times 365")</definedName>
    <definedName name="MMS_Dairy_N2ODirect_Equations.VEERG_4_3_1_3__3a_TotalAnnualNitrogenExcretedGreaterThanOneYear_LatexEquationVariation">_xlfn.LAMBDA("AE_{j=1,2,4}=N_{j=1,2,4}\times NE_{j=1,2,4}\times D_{j=1,2,4}")</definedName>
    <definedName name="MMS_Dairy_N2ODirect_Equations.VEERG_4_3_1_3__3a_TotalAnnualNitrogenExcretedGreaterThanOneYear_NIRReference">_xlfn.LAMBDA("")</definedName>
    <definedName name="MMS_Dairy_N2ODirect_Equations.VEERG_4_3_1_3__3a_TotalAnnualNitrogenExcretedGreaterThanOneYear_Source">_xlfn.LAMBDA("VEERG 2026: 4.3.1.3, Equation (3a)")</definedName>
    <definedName name="MMS_Dairy_N2ODirect_Equations.VEERG_4_3_1_3__3a_TotalAnnualNitrogenExcretedGreaterThanOneYear_Title">_xlfn.LAMBDA("Total annual nitrogen excreted by dairy cattle greater than one year old")</definedName>
    <definedName name="MMS_Dairy_N2ODirect_Equations.VEERG_4_3_1_3__3a_TotalAnnualNitrogenExcretedGreaterThanOneYear_Unit">_xlfn.LAMBDA("kg N")</definedName>
    <definedName name="MMS_Dairy_N2ODirect_Equations.VEERG_4_3_1_3__3a_TotalAnnualNitrogenExcretedGreaterThanOneYear_Variable">_xlfn.LAMBDA("AE_j124")</definedName>
    <definedName name="MMS_Dairy_N2ODirect_Equations.VEERG_4_3_1_3__3a_TotalAnnualNitrogenExcretedGreaterThanOneYear_Variation">_xlfn.LAMBDA("VARIATION: Used Duration variables instead of hard-coded 365 value.")</definedName>
    <definedName name="MMS_Dairy_N2ODirect_Equations.VEERG_4_3_1_3__3a_TotalAnnualNitrogenExcretedGreaterThanOneYearVariation">_xlfn.LAMBDA(_xlpm.N_j124,_xlpm.NE_j124,_xlpm.D_j124, _xlpm.N_j124 * _xlpm.NE_j124 * _xlpm.D_j124)</definedName>
    <definedName name="MMS_Dairy_N2ODirect_Equations.VEERG_4_3_1_3__3b_TotalAnnualNitrogenExcretedLessThanOneYear">_xlfn.LAMBDA(_xlpm.N_j35,_xlpm.NE_j35,_xlpm.NPW_j35, (_xlpm.N_j35 * _xlpm.NE_j35 * 281) + (_xlpm.N_j35 * _xlpm.NPW_j35 * 84))</definedName>
    <definedName name="MMS_Dairy_N2ODirect_Equations.VEERG_4_3_1_3__3b_TotalAnnualNitrogenExcretedLessThanOneYear_Arguments">_xlfn.LAMBDA(_xlfn.MAKEARRAY(5, 4, _xlfn.LAMBDA(_xlpm.r,_xlpm.c, INDEX({"N_j35","number of dairy cattle in classes j=3,5","head","Input";"NE_j35","nitrogen excreted by weaned dairy cattle less than one year old (kg N/head/day)","kg N/head/day","Calculated from 4.3.1.3 (4)";"NPW_j35","nitrogen excreted by pre-weaned calves (kg N/head/day)","kg N/head/day","Constant";"D_j35","duration of stay on farm for weaned dairy cattle less than one year old (days)","days","Input";"DPW_j35","duration of stay on farm for pre-weaned calves (days)","days","Input"}, _xlpm.r, _xlpm.c))))</definedName>
    <definedName name="MMS_Dairy_N2ODirect_Equations.VEERG_4_3_1_3__3b_TotalAnnualNitrogenExcretedLessThanOneYear_LatexEquation">_xlfn.LAMBDA("AE_{j=3,5}=(N_{j=3,5}\times NE_{j=3,5}\times 281)+(N_{j=3,5}\times NPW_{j=3,5}\times 84)")</definedName>
    <definedName name="MMS_Dairy_N2ODirect_Equations.VEERG_4_3_1_3__3b_TotalAnnualNitrogenExcretedLessThanOneYear_LatexEquationVariation">_xlfn.LAMBDA("AE_{j=3,5}=(N_{j=3,5}\times NE_{j=3,5}\times D_{j=3,5})+(N_{j=3,5}\times NPW_{j=3,5}\times DPW_{j=3,5})")</definedName>
    <definedName name="MMS_Dairy_N2ODirect_Equations.VEERG_4_3_1_3__3b_TotalAnnualNitrogenExcretedLessThanOneYear_NIRReference">_xlfn.LAMBDA("")</definedName>
    <definedName name="MMS_Dairy_N2ODirect_Equations.VEERG_4_3_1_3__3b_TotalAnnualNitrogenExcretedLessThanOneYear_Source">_xlfn.LAMBDA("VEERG 2026: 4.3.1.3, Equation (3b)")</definedName>
    <definedName name="MMS_Dairy_N2ODirect_Equations.VEERG_4_3_1_3__3b_TotalAnnualNitrogenExcretedLessThanOneYear_Title">_xlfn.LAMBDA("Total annual nitrogen excreted by dairy cattle less than one year old")</definedName>
    <definedName name="MMS_Dairy_N2ODirect_Equations.VEERG_4_3_1_3__3b_TotalAnnualNitrogenExcretedLessThanOneYear_Unit">_xlfn.LAMBDA("kg N")</definedName>
    <definedName name="MMS_Dairy_N2ODirect_Equations.VEERG_4_3_1_3__3b_TotalAnnualNitrogenExcretedLessThanOneYear_Variable">_xlfn.LAMBDA("AE_j35")</definedName>
    <definedName name="MMS_Dairy_N2ODirect_Equations.VEERG_4_3_1_3__3b_TotalAnnualNitrogenExcretedLessThanOneYear_Variation">_xlfn.LAMBDA("VARIATION: Used Duration variables instead of hard-coded 281 and 84 values.")</definedName>
    <definedName name="MMS_Dairy_N2ODirect_Equations.VEERG_4_3_1_3__3b_TotalAnnualNitrogenExcretedLessThanOneYearVariation">_xlfn.LAMBDA(_xlpm.N_j35,_xlpm.NE_j35,_xlpm.NPW_j35,_xlpm.D_j35,_xlpm.DPW_j35, (_xlpm.N_j35 * _xlpm.NE_j35 * _xlpm.D_j35) + (_xlpm.N_j35 * _xlpm.NPW_j35 * _xlpm.DPW_j35))</definedName>
    <definedName name="MMS_Dairy_N2ODirect_Equations.VEERG_4_3_1_3__4_NitrogenExcretedByDairyCattleGreaterThanOneYear">_xlfn.LAMBDA(_xlpm.CPI_j,_xlpm.NR_j,_xlpm.W_j, (_xlpm.CPI_j / 6.25) - _xlpm.NR_j - ((1.1 * 10 ^ -4 * _xlpm.W_j ^ 0.75) / 6.25))</definedName>
    <definedName name="MMS_Dairy_N2ODirect_Equations.VEERG_4_3_1_3__4_NitrogenExcretedByDairyCattleGreaterThanOneYear_Arguments">_xlfn.LAMBDA(_xlfn.MAKEARRAY(3, 4, _xlfn.LAMBDA(_xlpm.r,_xlpm.c, INDEX({"CPI_j","crude protein intake (kg/head/day)","kg/head/day","Calculated from 4.3.1.3 (5)";"NR_j","amount of nitrogen retained by the body","kg N/head/day","Calculated from 4.3.1.3 (6)";"W_j","liveweight (kg)","kg","Input"}, _xlpm.r, _xlpm.c))))</definedName>
    <definedName name="MMS_Dairy_N2ODirect_Equations.VEERG_4_3_1_3__4_NitrogenExcretedByDairyCattleGreaterThanOneYear_LatexEquation">_xlfn.LAMBDA("NE_j=(\frac{CPI_j}{6.25})-NR_j-\left[\frac{1.1\times10^{-4} \times W_j^{0.75}}{6.25}\right]")</definedName>
    <definedName name="MMS_Dairy_N2ODirect_Equations.VEERG_4_3_1_3__4_NitrogenExcretedByDairyCattleGreaterThanOneYear_NIRReference">_xlfn.LAMBDA("")</definedName>
    <definedName name="MMS_Dairy_N2ODirect_Equations.VEERG_4_3_1_3__4_NitrogenExcretedByDairyCattleGreaterThanOneYear_Source">_xlfn.LAMBDA("VEERG 2026: 4.3.1.3, Equation (4)")</definedName>
    <definedName name="MMS_Dairy_N2ODirect_Equations.VEERG_4_3_1_3__4_NitrogenExcretedByDairyCattleGreaterThanOneYear_Title">_xlfn.LAMBDA("Nitrogen excreted by dairy cattle greater than one year old")</definedName>
    <definedName name="MMS_Dairy_N2ODirect_Equations.VEERG_4_3_1_3__4_NitrogenExcretedByDairyCattleGreaterThanOneYear_Unit">_xlfn.LAMBDA("kg N/head/day")</definedName>
    <definedName name="MMS_Dairy_N2ODirect_Equations.VEERG_4_3_1_3__4_NitrogenExcretedByDairyCattleGreaterThanOneYear_Variable">_xlfn.LAMBDA("NE_j")</definedName>
    <definedName name="MMS_Dairy_N2ODirect_Equations.VEERG_4_3_1_3__5_CrudeProteinIntakeOfDairyCattle">_xlfn.LAMBDA(_xlpm.I_j,_xlpm.CP_j, _xlpm.I_j * _xlpm.CP_j)</definedName>
    <definedName name="MMS_Dairy_N2ODirect_Equations.VEERG_4_3_1_3__5_CrudeProteinIntakeOfDairyCattle_Arguments">_xlfn.LAMBDA(_xlfn.MAKEARRAY(2, 4, _xlfn.LAMBDA(_xlpm.r,_xlpm.c, INDEX({"I_j","dry matter intake","kgDM/head/day","Calculated from 3.3.1.1 (3)";"CP_j","crude protein content of feed intake","fraction","Input"}, _xlpm.r, _xlpm.c))))</definedName>
    <definedName name="MMS_Dairy_N2ODirect_Equations.VEERG_4_3_1_3__5_CrudeProteinIntakeOfDairyCattle_LatexEquation">_xlfn.LAMBDA("CPI_j=I_j\times CP_j")</definedName>
    <definedName name="MMS_Dairy_N2ODirect_Equations.VEERG_4_3_1_3__5_CrudeProteinIntakeOfDairyCattle_NIRReference">_xlfn.LAMBDA("")</definedName>
    <definedName name="MMS_Dairy_N2ODirect_Equations.VEERG_4_3_1_3__5_CrudeProteinIntakeOfDairyCattle_Source">_xlfn.LAMBDA("VEERG 2026: 4.3.1.3, Equation (5)")</definedName>
    <definedName name="MMS_Dairy_N2ODirect_Equations.VEERG_4_3_1_3__5_CrudeProteinIntakeOfDairyCattle_Title">_xlfn.LAMBDA("Crude protein intake of dairy cattle")</definedName>
    <definedName name="MMS_Dairy_N2ODirect_Equations.VEERG_4_3_1_3__5_CrudeProteinIntakeOfDairyCattle_Unit">_xlfn.LAMBDA("kg/head/day")</definedName>
    <definedName name="MMS_Dairy_N2ODirect_Equations.VEERG_4_3_1_3__5_CrudeProteinIntakeOfDairyCattle_Variable">_xlfn.LAMBDA("CPI_j")</definedName>
    <definedName name="MMS_Dairy_N2ODirect_Equations.VEERG_4_3_1_3__6_NitrogenRetainedByBody">_xlfn.LAMBDA(_xlpm.MP_j,_xlpm.L_j,_xlpm.Z_j,_xlpm.LWG_j, (((0.032 * _xlpm.MP_j * 1.03) / 6.38) + ((0.212 - 0.008 * (_xlpm.L_j - 2) - ((0.14 - 0.008 * (_xlpm.L_j - 2)) / (1 + EXP(-6 * (_xlpm.Z_j - 0.4))))) * (_xlpm.LWG_j * 0.92))) * (1 / 6.25))</definedName>
    <definedName name="MMS_Dairy_N2ODirect_Equations.VEERG_4_3_1_3__6_NitrogenRetainedByBody_Arguments">_xlfn.LAMBDA(_xlfn.MAKEARRAY(6, 4, _xlfn.LAMBDA(_xlpm.r,_xlpm.c, INDEX({"MPU","input milk production unit","","Input";"MP_j","milk production (if input as litres of milk)","L/head/day","Input";"MP_j","milk production (if input as milk solids)","L/head/day","Calculated from 3.3.1.1 (5)";"L_j","intake relative to maintenance","","Calculated from 4.3.1.3 (7)";"Z_j","relative size","","Calculated from 4.3.1.3 (8)";"LWG_j","liveweight gain","kg/head/day","Input"}, _xlpm.r, _xlpm.c))))</definedName>
    <definedName name="MMS_Dairy_N2ODirect_Equations.VEERG_4_3_1_3__6_NitrogenRetainedByBody_LatexEquation">_xlfn.LAMBDA("NR_j=\left(\frac{0.032 \times MP_j \times 1.03}{6.38}\right) + \left\{\left(0.212-0.008 \times (L_j - 2) - \left[\frac{0.140-0.008\times(L_j-2)}{1+e^{-6\times(Z_j-0.4)}}\right]\right) \times (LWG_j \times 0.92)\right\} \times \frac{1}{6.25}")</definedName>
    <definedName name="MMS_Dairy_N2ODirect_Equations.VEERG_4_3_1_3__6_NitrogenRetainedByBody_NIRReference">_xlfn.LAMBDA("")</definedName>
    <definedName name="MMS_Dairy_N2ODirect_Equations.VEERG_4_3_1_3__6_NitrogenRetainedByBody_Source">_xlfn.LAMBDA("VEERG 2026: 4.3.1.3, Equation (6)")</definedName>
    <definedName name="MMS_Dairy_N2ODirect_Equations.VEERG_4_3_1_3__6_NitrogenRetainedByBody_Title">_xlfn.LAMBDA("Amount of nitrogen retained by the body")</definedName>
    <definedName name="MMS_Dairy_N2ODirect_Equations.VEERG_4_3_1_3__6_NitrogenRetainedByBody_Unit">_xlfn.LAMBDA("kg N/head/day")</definedName>
    <definedName name="MMS_Dairy_N2ODirect_Equations.VEERG_4_3_1_3__6_NitrogenRetainedByBody_Variable">_xlfn.LAMBDA("NR_j")</definedName>
    <definedName name="MMS_Dairy_N2ODirect_Equations.VEERG_4_3_1_3__6_NitrogenRetainedByBody_Variation">_xlfn.LAMBDA("VARIATION ON SOURCE: Added check for milk production input unit and choose corresponding MP_j value accordingly.")</definedName>
    <definedName name="MMS_Dairy_N2ODirect_Equations.VEERG_4_3_1_3__7_IntakeRelativeToMaintenance">_xlfn.LAMBDA(_xlpm.I_j,_xlpm.W_j,_xlpm.MR_j,_xlpm.MI_j, _xlpm.I_j / (((1.185 + 0.00454 * _xlpm.W_j - 0.0000026 * _xlpm.W_j ^ 2) ^ 2 * _xlpm.MR_j) + _xlpm.MI_j))</definedName>
    <definedName name="MMS_Dairy_N2ODirect_Equations.VEERG_4_3_1_3__7_IntakeRelativeToMaintenance_Arguments">_xlfn.LAMBDA(_xlfn.MAKEARRAY(4, 4, _xlfn.LAMBDA(_xlpm.r,_xlpm.c, INDEX({"I_j","dry matter intake","kgDM/head/day","Calculated from 3.3.1.1 (3)";"W_j","liveweight","kg/head","Input";"MR_j","increase in metabolic rate when producing milk","","Constant";"MI_j","additional intake required for milk production","kgDM/head/day","Calculated from 3.3.1.1 (4)"}, _xlpm.r, _xlpm.c))))</definedName>
    <definedName name="MMS_Dairy_N2ODirect_Equations.VEERG_4_3_1_3__7_IntakeRelativeToMaintenance_LatexEquation">_xlfn.LAMBDA("L_j=\frac{I_j}{(1.185+0.00454\times W_j-0.0000026\times W_j^2)^2\times MR_j+MI_j}")</definedName>
    <definedName name="MMS_Dairy_N2ODirect_Equations.VEERG_4_3_1_3__7_IntakeRelativeToMaintenance_NIRReference">_xlfn.LAMBDA("")</definedName>
    <definedName name="MMS_Dairy_N2ODirect_Equations.VEERG_4_3_1_3__7_IntakeRelativeToMaintenance_Source">_xlfn.LAMBDA("VEERG 2026: 4.3.1.3, Equation (7)")</definedName>
    <definedName name="MMS_Dairy_N2ODirect_Equations.VEERG_4_3_1_3__7_IntakeRelativeToMaintenance_Title">_xlfn.LAMBDA("Intake relative to maintenance")</definedName>
    <definedName name="MMS_Dairy_N2ODirect_Equations.VEERG_4_3_1_3__7_IntakeRelativeToMaintenance_Unit">_xlfn.LAMBDA("ratio")</definedName>
    <definedName name="MMS_Dairy_N2ODirect_Equations.VEERG_4_3_1_3__7_IntakeRelativeToMaintenance_Variable">_xlfn.LAMBDA("L_j")</definedName>
    <definedName name="MMS_Dairy_N2ODirect_Equations.VEERG_4_3_1_3__8_RelativeSize">_xlfn.LAMBDA(_xlpm.W_j,_xlpm.WR_j, _xlpm.W_j / _xlpm.WR_j)</definedName>
    <definedName name="MMS_Dairy_N2ODirect_Equations.VEERG_4_3_1_3__8_RelativeSize_Arguments">_xlfn.LAMBDA(_xlfn.MAKEARRAY(2, 4, _xlfn.LAMBDA(_xlpm.r,_xlpm.c, INDEX({"W_j","liveweight","kg/head","Input";"WR_j","reference weight","kg/head","Constant"}, _xlpm.r, _xlpm.c))))</definedName>
    <definedName name="MMS_Dairy_N2ODirect_Equations.VEERG_4_3_1_3__8_RelativeSize_LatexEquation">_xlfn.LAMBDA("Z_j=\frac{W_j}{WR_j}")</definedName>
    <definedName name="MMS_Dairy_N2ODirect_Equations.VEERG_4_3_1_3__8_RelativeSize_NIRReference">_xlfn.LAMBDA("")</definedName>
    <definedName name="MMS_Dairy_N2ODirect_Equations.VEERG_4_3_1_3__8_RelativeSize_Source">_xlfn.LAMBDA("VEERG 2026: 4.3.1.3, Equation (8)")</definedName>
    <definedName name="MMS_Dairy_N2ODirect_Equations.VEERG_4_3_1_3__8_RelativeSize_Title">_xlfn.LAMBDA("Relative size")</definedName>
    <definedName name="MMS_Dairy_N2ODirect_Equations.VEERG_4_3_1_3__8_RelativeSize_Unit">_xlfn.LAMBDA("ratio")</definedName>
    <definedName name="MMS_Dairy_N2ODirect_Equations.VEERG_4_3_1_3__8_RelativeSize_Variable">_xlfn.LAMBDA("Z_j")</definedName>
    <definedName name="MMS_Dairy_Soil_AtmosphericDeposition_Equations.VEERG_4_3_1_10__1_AtmosphericDepositionEmissionsFromUrineAndDungOnPasture">_xlfn.LAMBDA(_xlpm.M_vol_m14,_xlpm.EF_N2O,_xlpm.C_N2O, _xlpm.M_vol_m14 * _xlpm.EF_N2O * _xlpm.C_N2O * 10 ^ -3)</definedName>
    <definedName name="MMS_Dairy_Soil_AtmosphericDeposition_Equations.VEERG_4_3_1_10__1_AtmosphericDepositionEmissionsFromUrineAndDungOnPasture_Arguments">_xlfn.LAMBDA(_xlfn.MAKEARRAY(6, 4, _xlfn.LAMBDA(_xlpm.r,_xlpm.c, INDEX({"M_vol_m14","mass of nitrogen volatilised from urine and faeces deposited on pasture","kg N","Calculated from 4.3.1.10 (2)";"EF_N2O","nitrous oxide emission factor for atmospheric deposition","kg N2O-N/kg N","Constant";"C_N2O","factor to convert elemental mass of N2O to molecular mass","","Constant";"j","production system","","Input";"ir","irrigation method","","Input";"r","rainfall region","","Input"}, _xlpm.r, _xlpm.c))))</definedName>
    <definedName name="MMS_Dairy_Soil_AtmosphericDeposition_Equations.VEERG_4_3_1_10__1_AtmosphericDepositionEmissionsFromUrineAndDungOnPasture_LatexEquation">_xlfn.LAMBDA("E_{N2O,ad}=M_{vol,m=14}\times EF_{N2O}\times C_{N2O}\times 10^{-3}")</definedName>
    <definedName name="MMS_Dairy_Soil_AtmosphericDeposition_Equations.VEERG_4_3_1_10__1_AtmosphericDepositionEmissionsFromUrineAndDungOnPasture_NIRReference">_xlfn.LAMBDA("")</definedName>
    <definedName name="MMS_Dairy_Soil_AtmosphericDeposition_Equations.VEERG_4_3_1_10__1_AtmosphericDepositionEmissionsFromUrineAndDungOnPasture_Source">_xlfn.LAMBDA("VEERG 2026: 4.3.1.10, Equation (1)")</definedName>
    <definedName name="MMS_Dairy_Soil_AtmosphericDeposition_Equations.VEERG_4_3_1_10__1_AtmosphericDepositionEmissionsFromUrineAndDungOnPasture_Title">_xlfn.LAMBDA("Atmospheric deposition emissions from urine and dung deposited on pasture")</definedName>
    <definedName name="MMS_Dairy_Soil_AtmosphericDeposition_Equations.VEERG_4_3_1_10__1_AtmosphericDepositionEmissionsFromUrineAndDungOnPasture_Unit">_xlfn.LAMBDA("t N2O")</definedName>
    <definedName name="MMS_Dairy_Soil_AtmosphericDeposition_Equations.VEERG_4_3_1_10__1_AtmosphericDepositionEmissionsFromUrineAndDungOnPasture_Variable">_xlfn.LAMBDA("E_N2Oad")</definedName>
    <definedName name="MMS_Dairy_Soil_AtmosphericDeposition_Equations.VEERG_4_3_1_10__2_MassOfNitrogenVolatilisedOnPasture">_xlfn.LAMBDA(_xlpm.MN_jm14,_xlpm.FracGASMsoil, _xlpm.MN_jm14 * _xlpm.FracGASMsoil)</definedName>
    <definedName name="MMS_Dairy_Soil_AtmosphericDeposition_Equations.VEERG_4_3_1_10__2_MassOfNitrogenVolatilisedOnPasture_Arguments">_xlfn.LAMBDA(_xlfn.MAKEARRAY(2, 4, _xlfn.LAMBDA(_xlpm.r,_xlpm.c, INDEX({"MN_jm14","mass of nitrogen excreted on pasture, range and paddock for each dairy class","kg N","Calculated from 4.3.1.3 (2)";"FracGASMsoil","fraction of nitrogen volatilised from urine and faeces deposited on pasture","(kg NH3-N + NOx-N)/kg N)","Constant"}, _xlpm.r, _xlpm.c))))</definedName>
    <definedName name="MMS_Dairy_Soil_AtmosphericDeposition_Equations.VEERG_4_3_1_10__2_MassOfNitrogenVolatilisedOnPasture_LatexEquation">_xlfn.LAMBDA("M_{vol,m=14}=\sum\nolimits_{j}(MN_{jm=14}\times FracGASMsoil)")</definedName>
    <definedName name="MMS_Dairy_Soil_AtmosphericDeposition_Equations.VEERG_4_3_1_10__2_MassOfNitrogenVolatilisedOnPasture_NIRReference">_xlfn.LAMBDA("")</definedName>
    <definedName name="MMS_Dairy_Soil_AtmosphericDeposition_Equations.VEERG_4_3_1_10__2_MassOfNitrogenVolatilisedOnPasture_Source">_xlfn.LAMBDA("VEERG 2026: 4.3.1.10, Equation (2)")</definedName>
    <definedName name="MMS_Dairy_Soil_AtmosphericDeposition_Equations.VEERG_4_3_1_10__2_MassOfNitrogenVolatilisedOnPasture_Title">_xlfn.LAMBDA("Mass of nitrogen volatilised from urine and faeces deposited on pasture")</definedName>
    <definedName name="MMS_Dairy_Soil_AtmosphericDeposition_Equations.VEERG_4_3_1_10__2_MassOfNitrogenVolatilisedOnPasture_Unit">_xlfn.LAMBDA("kg N")</definedName>
    <definedName name="MMS_Dairy_Soil_AtmosphericDeposition_Equations.VEERG_4_3_1_10__2_MassOfNitrogenVolatilisedOnPasture_Variable">_xlfn.LAMBDA("M_vol_m14")</definedName>
    <definedName name="MMS_Dairy_Soil_LeachingAndRunoff.VEERG_4_3_1_12__1_LeachingAndRunoffEmissionsFromUrineAndDungOnPasture">_xlfn.LAMBDA(_xlpm.M_leach_m14,_xlpm.EF_leach,_xlpm.C_N2O, _xlpm.M_leach_m14 * _xlpm.EF_leach * _xlpm.C_N2O * 10 ^ -3)</definedName>
    <definedName name="MMS_Dairy_Soil_LeachingAndRunoff.VEERG_4_3_1_12__1_LeachingAndRunoffEmissionsFromUrineAndDungOnPasture_Arguments">_xlfn.LAMBDA(_xlfn.MAKEARRAY(3, 4, _xlfn.LAMBDA(_xlpm.r,_xlpm.c, INDEX({"M_leach_m14","mass of nitrogen lost to leaching and runoff from urine and faeces deposited on pasture","kg N","Calculated from 4.3.1.12 (2)";"EF_leach","nitrous oxide emission factor for leaching and runoff","kg N2O-N/kg N","Constant";"C_N2O","factor to convert elemental mass of N2O to molecular mass","","Constant"}, _xlpm.r, _xlpm.c))))</definedName>
    <definedName name="MMS_Dairy_Soil_LeachingAndRunoff.VEERG_4_3_1_12__1_LeachingAndRunoffEmissionsFromUrineAndDungOnPasture_LatexEquation">_xlfn.LAMBDA("E_{N2O,leach}=M_{leach,m=14}\times EF_{leach}\times C_{N2O}\times 10^{-3}")</definedName>
    <definedName name="MMS_Dairy_Soil_LeachingAndRunoff.VEERG_4_3_1_12__1_LeachingAndRunoffEmissionsFromUrineAndDungOnPasture_NIRReference">_xlfn.LAMBDA("")</definedName>
    <definedName name="MMS_Dairy_Soil_LeachingAndRunoff.VEERG_4_3_1_12__1_LeachingAndRunoffEmissionsFromUrineAndDungOnPasture_Source">_xlfn.LAMBDA("VEERG 2026: 4.3.1.12, Equation (1)")</definedName>
    <definedName name="MMS_Dairy_Soil_LeachingAndRunoff.VEERG_4_3_1_12__1_LeachingAndRunoffEmissionsFromUrineAndDungOnPasture_Title">_xlfn.LAMBDA("Leaching and runoff emissions from urine and dung deposited on pasture")</definedName>
    <definedName name="MMS_Dairy_Soil_LeachingAndRunoff.VEERG_4_3_1_12__1_LeachingAndRunoffEmissionsFromUrineAndDungOnPasture_Unit">_xlfn.LAMBDA("t N2O")</definedName>
    <definedName name="MMS_Dairy_Soil_LeachingAndRunoff.VEERG_4_3_1_12__1_LeachingAndRunoffEmissionsFromUrineAndDungOnPasture_Variable">_xlfn.LAMBDA("E_N2Oleach")</definedName>
    <definedName name="MMS_Dairy_Soil_LeachingAndRunoff.VEERG_4_3_1_12__2_MassOfNitrogenLostToLeachingAndRunoffOnPasture">_xlfn.LAMBDA(_xlpm.MN_jm14,_xlpm.FracWet,_xlpm.FracLEACH, _xlpm.MN_jm14 * _xlpm.FracWet * _xlpm.FracLEACH)</definedName>
    <definedName name="MMS_Dairy_Soil_LeachingAndRunoff.VEERG_4_3_1_12__2_MassOfNitrogenLostToLeachingAndRunoffOnPasture_Arguments">_xlfn.LAMBDA(_xlfn.MAKEARRAY(6, 4, _xlfn.LAMBDA(_xlpm.r,_xlpm.c, INDEX({"MN_jm14","mass of nitrogen excreted on pasture, range and paddock for each dairy class","kg N","Calculated from 4.3.1.3 (2)";"FracWet","fraction of N available for leaching and runoff","","Constant";"FracLEACH","fraction of N lost through leaching and runoff","","Constant";"z","location in leaching zone","","Input";"j","production system","","Input";"ir","irrigation method","","Input"}, _xlpm.r, _xlpm.c))))</definedName>
    <definedName name="MMS_Dairy_Soil_LeachingAndRunoff.VEERG_4_3_1_12__2_MassOfNitrogenLostToLeachingAndRunoffOnPasture_LatexEquation">_xlfn.LAMBDA("M_{leach,m=14}=\sum\nolimits_{j}(MN_{jm=14}\times FracWet\times FracLEACH)")</definedName>
    <definedName name="MMS_Dairy_Soil_LeachingAndRunoff.VEERG_4_3_1_12__2_MassOfNitrogenLostToLeachingAndRunoffOnPasture_NIRReference">_xlfn.LAMBDA("")</definedName>
    <definedName name="MMS_Dairy_Soil_LeachingAndRunoff.VEERG_4_3_1_12__2_MassOfNitrogenLostToLeachingAndRunoffOnPasture_Source">_xlfn.LAMBDA("VEERG 2026: 4.3.1.12, Equation (2)")</definedName>
    <definedName name="MMS_Dairy_Soil_LeachingAndRunoff.VEERG_4_3_1_12__2_MassOfNitrogenLostToLeachingAndRunoffOnPasture_Title">_xlfn.LAMBDA("Mass of nitrogen lost to leaching and runoff from urine and faeces on pasture")</definedName>
    <definedName name="MMS_Dairy_Soil_LeachingAndRunoff.VEERG_4_3_1_12__2_MassOfNitrogenLostToLeachingAndRunoffOnPasture_Unit">_xlfn.LAMBDA("kg N")</definedName>
    <definedName name="MMS_Dairy_Soil_LeachingAndRunoff.VEERG_4_3_1_12__2_MassOfNitrogenLostToLeachingAndRunoffOnPasture_Variable">_xlfn.LAMBDA("M_leach_m14")</definedName>
    <definedName name="MMS_Dairy_Soil_N2ODirect_Equations.VEERG_4_3_1_9__1_DirectNitrousOxideEmissionsOnPasture">_xlfn.LAMBDA(_xlpm.MN_jm14,_xlpm.EF_PRP,_xlpm.C_N2O, _xlpm.MN_jm14 * _xlpm.EF_PRP * _xlpm.C_N2O * 10 ^ -3)</definedName>
    <definedName name="MMS_Dairy_Soil_N2ODirect_Equations.VEERG_4_3_1_9__1_DirectNitrousOxideEmissionsOnPasture_Arguments">_xlfn.LAMBDA(_xlfn.MAKEARRAY(4, 4, _xlfn.LAMBDA(_xlpm.r,_xlpm.c, INDEX({"MN_jm14","mass of nitrogen excreted on pasture, range, and paddock for each dairy cattle class","kg N","Calculated from 4.3.1.3 (2)";"EF_PRP","emission factor for nitrous oxide emissions for urine and dung deposited on PRP","kg N2O-N/kg N deposited","Constant";"C_N2O","factor to convert elemental mass of N2O to molecular mass","","Constant";"z","Wet or dry climate zone","","Input"}, _xlpm.r, _xlpm.c))))</definedName>
    <definedName name="MMS_Dairy_Soil_N2ODirect_Equations.VEERG_4_3_1_9__1_DirectNitrousOxideEmissionsOnPasture_LatexEquation">_xlfn.LAMBDA("E_{N2O,dir}=\sum\nolimits_{j}(MN_{jm=14}\times EF_{PRP}\times C_{N2O}\times 10^{-3})")</definedName>
    <definedName name="MMS_Dairy_Soil_N2ODirect_Equations.VEERG_4_3_1_9__1_DirectNitrousOxideEmissionsOnPasture_NIRReference">_xlfn.LAMBDA("")</definedName>
    <definedName name="MMS_Dairy_Soil_N2ODirect_Equations.VEERG_4_3_1_9__1_DirectNitrousOxideEmissionsOnPasture_Source">_xlfn.LAMBDA("VEERG 2026: 4.3.1.9, Equation (1)")</definedName>
    <definedName name="MMS_Dairy_Soil_N2ODirect_Equations.VEERG_4_3_1_9__1_DirectNitrousOxideEmissionsOnPasture_Title">_xlfn.LAMBDA("Direct nitrous oxide emissions on pasture")</definedName>
    <definedName name="MMS_Dairy_Soil_N2ODirect_Equations.VEERG_4_3_1_9__1_DirectNitrousOxideEmissionsOnPasture_Unit">_xlfn.LAMBDA("t N2O")</definedName>
    <definedName name="MMS_Dairy_Soil_N2ODirect_Equations.VEERG_4_3_1_9__1_DirectNitrousOxideEmissionsOnPasture_Variable">_xlfn.LAMBDA("E_N2Odir")</definedName>
    <definedName name="Range_LivestockStartingValues">#REF!</definedName>
    <definedName name="SourceData_Dairy.SourceData_Dairy_AshContent_Data">_xlfn.LAMBDA(0.08)</definedName>
    <definedName name="SourceData_Dairy.SourceData_Dairy_AshContent_Source">_xlfn.LAMBDA("VEERG 2026: 4.3.2.3 CONSTANTS")</definedName>
    <definedName name="SourceData_Dairy.SourceData_Dairy_AshContent_Title">_xlfn.LAMBDA("Ash content of manure")</definedName>
    <definedName name="SourceData_Dairy.SourceData_Dairy_AshContent_Unit">_xlfn.LAMBDA("fraction")</definedName>
    <definedName name="SourceData_Dairy.SourceData_Dairy_AshContent_Variable">_xlfn.LAMBDA("A")</definedName>
    <definedName name="SourceData_Dairy.SourceData_Dairy_AshContent_Variation">_xlfn.LAMBDA("")</definedName>
    <definedName name="SourceData_Dairy.SourceData_Dairy_CrudeProtein_Data">_xlfn.LAMBDA(0.2)</definedName>
    <definedName name="SourceData_Dairy.SourceData_Dairy_CrudeProtein_Source">_xlfn.LAMBDA("VEERG 2026: 4.3.2.2	DATA (METHOD 1 AND 2 OPTIONS)")</definedName>
    <definedName name="SourceData_Dairy.SourceData_Dairy_CrudeProtein_Title">_xlfn.LAMBDA("Crude protein content of feed intake")</definedName>
    <definedName name="SourceData_Dairy.SourceData_Dairy_CrudeProtein_Unit">_xlfn.LAMBDA("fraction")</definedName>
    <definedName name="SourceData_Dairy.SourceData_Dairy_CrudeProtein_Variable">_xlfn.LAMBDA("CP")</definedName>
    <definedName name="SourceData_Dairy.SourceData_Dairy_CrudeProtein_Variation">_xlfn.LAMBDA("")</definedName>
    <definedName name="SourceData_Dairy.SourceData_Dairy_DryMatterDigestibility_Data">_xlfn.LAMBDA(0.75)</definedName>
    <definedName name="SourceData_Dairy.SourceData_Dairy_DryMatterDigestibility_Source">_xlfn.LAMBDA("VEERG 2026: 3.3.2.2	DATA (METHOD 1 AND 2 OPTIONS)")</definedName>
    <definedName name="SourceData_Dairy.SourceData_Dairy_DryMatterDigestibility_Title">_xlfn.LAMBDA("Dry matter digestibility")</definedName>
    <definedName name="SourceData_Dairy.SourceData_Dairy_DryMatterDigestibility_Unit">_xlfn.LAMBDA("fraction")</definedName>
    <definedName name="SourceData_Dairy.SourceData_Dairy_DryMatterDigestibility_Variable">_xlfn.LAMBDA("DMD")</definedName>
    <definedName name="SourceData_Dairy.SourceData_Dairy_DryMatterDigestibility_Variation">_xlfn.LAMBDA("")</definedName>
    <definedName name="SourceData_Dairy.SourceData_Dairy_DurationOfStay_Data">_xlfn.LAMBDA(_xlfn.MAKEARRAY(6, 3, _xlfn.LAMBDA(_xlpm.r,_xlpm.c, INDEX({"Animal class j","Duration (weaned)","Duration (pre-weaned)";"Milking cows",365,0;"Heifers &gt; 1 year",365,0;"Heifers &lt; 1 year",281,84;"Bulls &gt; 1 year",365,0;"Bulls &lt; 1 year",281,84}, _xlpm.r, _xlpm.c))))</definedName>
    <definedName name="SourceData_Dairy.SourceData_Dairy_DurationOfStay_Source">_xlfn.LAMBDA("VEERG 2026: 4.3.2.2	DATA (METHOD 1 AND 2 OPTIONS)")</definedName>
    <definedName name="SourceData_Dairy.SourceData_Dairy_DurationOfStay_Title">_xlfn.LAMBDA("Duration of stay for each dairy cattle input class")</definedName>
    <definedName name="SourceData_Dairy.SourceData_Dairy_DurationOfStay_Unit">_xlfn.LAMBDA("days")</definedName>
    <definedName name="SourceData_Dairy.SourceData_Dairy_DurationOfStay_Variable">_xlfn.LAMBDA("D")</definedName>
    <definedName name="SourceData_Dairy.SourceData_Dairy_DurationOfStay_Variation">_xlfn.LAMBDA("VARIATION OF SOURCE: Converted free text in document to table, matching livestock class names.")</definedName>
    <definedName name="SourceData_Dairy.SourceData_Dairy_EfficiencyOfUseOfMetabolizableEnergy_Data">_xlfn.LAMBDA(0.6)</definedName>
    <definedName name="SourceData_Dairy.SourceData_Dairy_EfficiencyOfUseOfMetabolizableEnergy_Source">_xlfn.LAMBDA("VEERG 2026: 3.3.2.3 CONSTANTS")</definedName>
    <definedName name="SourceData_Dairy.SourceData_Dairy_EfficiencyOfUseOfMetabolizableEnergy_Title">_xlfn.LAMBDA("Efficiency of use of metabolizable energy for milk production")</definedName>
    <definedName name="SourceData_Dairy.SourceData_Dairy_EfficiencyOfUseOfMetabolizableEnergy_Unit">_xlfn.LAMBDA("fraction")</definedName>
    <definedName name="SourceData_Dairy.SourceData_Dairy_EfficiencyOfUseOfMetabolizableEnergy_Variable">_xlfn.LAMBDA("k")</definedName>
    <definedName name="SourceData_Dairy.SourceData_Dairy_EfficiencyOfUseOfMetabolizableEnergy_Variation">_xlfn.LAMBDA("")</definedName>
    <definedName name="SourceData_Dairy.SourceData_Dairy_EFNitrousOxidePerMMS_Data">_xlfn.LAMBDA(_xlfn.MAKEARRAY(6, 3, _xlfn.LAMBDA(_xlpm.r,_xlpm.c, INDEX({"MMS m","EFm","NIR reference";"m=14 Pasture",0,"Pasture range and paddock";"m=1 Anerobic Lagoon",0,"Anaerobic lagoon";"m=2 Daily Spread: Sump and dispersal",0,"Sump and dispersal system";"m=3 Daily Spread: Drains to paddocks",0,"Drains to paddock";"m=4 Solid Storage",0.005,"Solid storage"}, _xlpm.r, _xlpm.c))))</definedName>
    <definedName name="SourceData_Dairy.SourceData_Dairy_EFNitrousOxidePerMMS_Source">_xlfn.LAMBDA("VEERG 2026: Table A.1.3.11")</definedName>
    <definedName name="SourceData_Dairy.SourceData_Dairy_EFNitrousOxidePerMMS_Title">_xlfn.LAMBDA("Table A.1.3.11: Dairy cattle - EF for nitrous oxide per MMS (kg N2O-N/kg N) (EFm)")</definedName>
    <definedName name="SourceData_Dairy.SourceData_Dairy_EFNitrousOxidePerMMS_Unit">_xlfn.LAMBDA("kg N2O-N/kg N")</definedName>
    <definedName name="SourceData_Dairy.SourceData_Dairy_EFNitrousOxidePerMMS_Variable">_xlfn.LAMBDA("EFm")</definedName>
    <definedName name="SourceData_Dairy.SourceData_Dairy_EFNitrousOxidePerMMS_Variation">_xlfn.LAMBDA("VARIATION OF SOURCE: Added 'NIR reference' column to aid lookup")</definedName>
    <definedName name="SourceData_Dairy.SourceData_Dairy_EmissionFactorForLeachingAndRunoff_Data">_xlfn.LAMBDA(0.011)</definedName>
    <definedName name="SourceData_Dairy.SourceData_Dairy_EmissionFactorForLeachingAndRunoff_Source">_xlfn.LAMBDA("VEERG 2026: 4.3.2.3 CONSTANTS")</definedName>
    <definedName name="SourceData_Dairy.SourceData_Dairy_EmissionFactorForLeachingAndRunoff_Title">_xlfn.LAMBDA("Emission factor for leaching and runoff")</definedName>
    <definedName name="SourceData_Dairy.SourceData_Dairy_EmissionFactorForLeachingAndRunoff_Unit">_xlfn.LAMBDA("kg N2O-N/kg N")</definedName>
    <definedName name="SourceData_Dairy.SourceData_Dairy_EmissionFactorForLeachingAndRunoff_Variable">_xlfn.LAMBDA("EF_leach")</definedName>
    <definedName name="SourceData_Dairy.SourceData_Dairy_EmissionFactorForLeachingAndRunoff_Variation">_xlfn.LAMBDA("")</definedName>
    <definedName name="SourceData_Dairy.SourceData_Dairy_FatContentInMilk_Data">_xlfn.LAMBDA(4)</definedName>
    <definedName name="SourceData_Dairy.SourceData_Dairy_FatContentInMilk_Source">_xlfn.LAMBDA("VEERG 2026: 3.3.2.2 DATA (METHOD 1 AND 2 OPTIONS)")</definedName>
    <definedName name="SourceData_Dairy.SourceData_Dairy_FatContentInMilk_Title">_xlfn.LAMBDA("Fat content in fat and protein corrected milk")</definedName>
    <definedName name="SourceData_Dairy.SourceData_Dairy_FatContentInMilk_Unit">_xlfn.LAMBDA("percent")</definedName>
    <definedName name="SourceData_Dairy.SourceData_Dairy_FatContentInMilk_Variable">_xlfn.LAMBDA("FC_j")</definedName>
    <definedName name="SourceData_Dairy.SourceData_Dairy_FatContentInMilk_Variation">_xlfn.LAMBDA("")</definedName>
    <definedName name="SourceData_Dairy.SourceData_Dairy_FracGASMSoil_Data">_xlfn.LAMBDA(0.21)</definedName>
    <definedName name="SourceData_Dairy.SourceData_Dairy_FracGASMSoil_Source">_xlfn.LAMBDA("VEERG 2026: 4.3.2.3 CONSTANTS")</definedName>
    <definedName name="SourceData_Dairy.SourceData_Dairy_FracGASMSoil_Title">_xlfn.LAMBDA("Fraction of nitrogen volatilized from urine and faeces deposited on pasture")</definedName>
    <definedName name="SourceData_Dairy.SourceData_Dairy_FracGASMSoil_Unit">_xlfn.LAMBDA("(kg NH3-N + NOx-N)/kg N")</definedName>
    <definedName name="SourceData_Dairy.SourceData_Dairy_FracGASMSoil_Variable">_xlfn.LAMBDA("FracGASMsoil")</definedName>
    <definedName name="SourceData_Dairy.SourceData_Dairy_FracGASMSoil_Variation">_xlfn.LAMBDA("")</definedName>
    <definedName name="SourceData_Dairy.SourceData_Dairy_FractionOfNitrogenLostThroughLeachingAndRunoff_Data">_xlfn.LAMBDA(0.24)</definedName>
    <definedName name="SourceData_Dairy.SourceData_Dairy_FractionOfNitrogenLostThroughLeachingAndRunoff_Source">_xlfn.LAMBDA("VEERG 2026: 4.3.2.3 CONSTANTS")</definedName>
    <definedName name="SourceData_Dairy.SourceData_Dairy_FractionOfNitrogenLostThroughLeachingAndRunoff_Title">_xlfn.LAMBDA("Default fraction of N that is lost through leaching and runoff when manure is excreted to pasture, range and paddock (m=14).")</definedName>
    <definedName name="SourceData_Dairy.SourceData_Dairy_FractionOfNitrogenLostThroughLeachingAndRunoff_Unit">_xlfn.LAMBDA("Fraction")</definedName>
    <definedName name="SourceData_Dairy.SourceData_Dairy_FractionOfNitrogenLostThroughLeachingAndRunoff_Variable">_xlfn.LAMBDA("Frac_LEACH_MS")</definedName>
    <definedName name="SourceData_Dairy.SourceData_Dairy_FractionOfNitrogenLostThroughLeachingAndRunoff_Variation">_xlfn.LAMBDA("")</definedName>
    <definedName name="SourceData_Dairy.SourceData_Dairy_FractionOfNitrogenLostThroughLeachingAndRunoffSolidStorage_Data">_xlfn.LAMBDA(0.02)</definedName>
    <definedName name="SourceData_Dairy.SourceData_Dairy_FractionOfNitrogenLostThroughLeachingAndRunoffSolidStorage_Source">_xlfn.LAMBDA("VEERG 2026: 4.3.2.3 CONSTANTS")</definedName>
    <definedName name="SourceData_Dairy.SourceData_Dairy_FractionOfNitrogenLostThroughLeachingAndRunoffSolidStorage_Title">_xlfn.LAMBDA("Fraction of nitrogen lost through leaching and runoff for solid storage MMS only")</definedName>
    <definedName name="SourceData_Dairy.SourceData_Dairy_FractionOfNitrogenLostThroughLeachingAndRunoffSolidStorage_Unit">_xlfn.LAMBDA("Fraction")</definedName>
    <definedName name="SourceData_Dairy.SourceData_Dairy_FractionOfNitrogenLostThroughLeachingAndRunoffSolidStorage_Variable">_xlfn.LAMBDA("Frac_LEACH_MS")</definedName>
    <definedName name="SourceData_Dairy.SourceData_Dairy_FractionOfNitrogenLostThroughLeachingAndRunoffSolidStorage_Variation">_xlfn.LAMBDA("")</definedName>
    <definedName name="SourceData_Dairy.SourceData_Dairy_FractionVolatileSolidsVoidedMMS_Data">_xlfn.LAMBDA(_xlfn.MAKEARRAY(5, 4, _xlfn.LAMBDA(_xlpm.r,_xlpm.c, INDEX({"Area","Pasture","Milking Shed","Feedpad";"System 1: Grazed Only",0.89,0.11,0;"System 2: On feedpad for &lt;10 hr/day for &lt;3 months/year",0.79,0.11,0.1;"System 3: Pasture-grazed 3-9 months/year",0.534,0.11,0.356;"System 4: Zero grazing",0,0.11,0.89}, _xlpm.r, _xlpm.c))))</definedName>
    <definedName name="SourceData_Dairy.SourceData_Dairy_FractionVolatileSolidsVoidedMMS_Source">_xlfn.LAMBDA("VEERG 2026: Table A.1.3.10")</definedName>
    <definedName name="SourceData_Dairy.SourceData_Dairy_FractionVolatileSolidsVoidedMMS_Title">_xlfn.LAMBDA("Table A.1.3.10: Dairy cattle - Fraction of volatile solids voided to each manure management system (fraction) (MMSjm)")</definedName>
    <definedName name="SourceData_Dairy.SourceData_Dairy_FractionVolatileSolidsVoidedMMS_Unit">_xlfn.LAMBDA("fraction")</definedName>
    <definedName name="SourceData_Dairy.SourceData_Dairy_FractionVolatileSolidsVoidedMMS_Variable">_xlfn.LAMBDA("MMSjm")</definedName>
    <definedName name="SourceData_Dairy.SourceData_Dairy_FractionVolatileSolidsVoidedMMS_Variation">_xlfn.LAMBDA("VARIATION OF SOURCE: Excluded 'Annual fraction of time spent per area' row as this information is in the table title.")</definedName>
    <definedName name="SourceData_Dairy.SourceData_Dairy_GrossEnergyContent_Data">_xlfn.LAMBDA(18.4)</definedName>
    <definedName name="SourceData_Dairy.SourceData_Dairy_GrossEnergyContent_Source">_xlfn.LAMBDA("VEERG 2026: 3.3.2.3 CONSTANTS")</definedName>
    <definedName name="SourceData_Dairy.SourceData_Dairy_GrossEnergyContent_Title">_xlfn.LAMBDA("Gross energy content of feed dry matter")</definedName>
    <definedName name="SourceData_Dairy.SourceData_Dairy_GrossEnergyContent_Unit">_xlfn.LAMBDA("MJ / kgDM")</definedName>
    <definedName name="SourceData_Dairy.SourceData_Dairy_GrossEnergyContent_Variable">_xlfn.LAMBDA("GEC")</definedName>
    <definedName name="SourceData_Dairy.SourceData_Dairy_GrossEnergyContent_Variation">_xlfn.LAMBDA("")</definedName>
    <definedName name="SourceData_Dairy.SourceData_Dairy_IncreasedMetabolicRateMilk_Data">_xlfn.LAMBDA(_xlfn.MAKEARRAY(3, 2, _xlfn.LAMBDA(_xlpm.r,_xlpm.c, INDEX({"Animal Class j","MRj";"Milking cows, and house cows",1.1;"All other cattle classes",1}, _xlpm.r, _xlpm.c))))</definedName>
    <definedName name="SourceData_Dairy.SourceData_Dairy_IncreasedMetabolicRateMilk_Source">_xlfn.LAMBDA("VEERG 2026: Table A.1.3.9")</definedName>
    <definedName name="SourceData_Dairy.SourceData_Dairy_IncreasedMetabolicRateMilk_Title">_xlfn.LAMBDA("Table A.1.3.9: Dairy cattle - Increased metabolic rate when producing milk (MRj)")</definedName>
    <definedName name="SourceData_Dairy.SourceData_Dairy_IncreasedMetabolicRateMilk_Unit">_xlfn.LAMBDA("")</definedName>
    <definedName name="SourceData_Dairy.SourceData_Dairy_IncreasedMetabolicRateMilk_Variable">_xlfn.LAMBDA("MRj")</definedName>
    <definedName name="SourceData_Dairy.SourceData_Dairy_IncreasedMetabolicRateMilk_Variation">_xlfn.LAMBDA("")</definedName>
    <definedName name="SourceData_Dairy.SourceData_Dairy_LiveweightBulls_Data">_xlfn.LAMBDA(_xlfn.MAKEARRAY(2, 3, _xlfn.LAMBDA(_xlpm.r,_xlpm.c, INDEX({"Breed","Bulls &gt;1","Bulls &lt;1 (weaned)";"All breeds",600,225}, _xlpm.r, _xlpm.c))))</definedName>
    <definedName name="SourceData_Dairy.SourceData_Dairy_LiveweightBulls_Source">_xlfn.LAMBDA("VEERG 2026: Table A.1.3.2")</definedName>
    <definedName name="SourceData_Dairy.SourceData_Dairy_LiveweightBulls_Title">_xlfn.LAMBDA("Table A.1.3.2: Dairy cattle - Liveweight (kg) - Bulls (Wj)")</definedName>
    <definedName name="SourceData_Dairy.SourceData_Dairy_LiveweightBulls_Unit">_xlfn.LAMBDA("kg")</definedName>
    <definedName name="SourceData_Dairy.SourceData_Dairy_LiveweightBulls_Variable">_xlfn.LAMBDA("Wj")</definedName>
    <definedName name="SourceData_Dairy.SourceData_Dairy_LiveweightBulls_Variation">_xlfn.LAMBDA("")</definedName>
    <definedName name="SourceData_Dairy.SourceData_Dairy_LiveweightCowsAndHeifers_Data">_xlfn.LAMBDA(_xlfn.MAKEARRAY(11, 4, _xlfn.LAMBDA(_xlpm.r,_xlpm.c, INDEX({"Breed","Milking Cows","Heifers &gt;1","Heifers &lt;1 (weaned)";"Medium Friesian",550,380,155;"Large Friesian",600,415,170;"Holstein-Friesian",650,450,185;"Friesian crossbred",500,350,145;"Jersey",400,275,115;"Jersey crossbred",450,315,130;"Ayrshire",540,375,150;"Guernsey",480,335,140;"Brown Swiss",600,415,170;"Illawarra/Aussie Red",550,375,150}, _xlpm.r, _xlpm.c))))</definedName>
    <definedName name="SourceData_Dairy.SourceData_Dairy_LiveweightCowsAndHeifers_Source">_xlfn.LAMBDA("VEERG 2026: Table A.1.3.1")</definedName>
    <definedName name="SourceData_Dairy.SourceData_Dairy_LiveweightCowsAndHeifers_Title">_xlfn.LAMBDA("Table A.1.3.1: Dairy cattle - Liveweight (kg) - Cows and Heifers (Wj)")</definedName>
    <definedName name="SourceData_Dairy.SourceData_Dairy_LiveweightCowsAndHeifers_Unit">_xlfn.LAMBDA("kg")</definedName>
    <definedName name="SourceData_Dairy.SourceData_Dairy_LiveweightCowsAndHeifers_Variable">_xlfn.LAMBDA("Wj")</definedName>
    <definedName name="SourceData_Dairy.SourceData_Dairy_LiveweightCowsAndHeifers_Variation">_xlfn.LAMBDA("VARIATION OF SOURCE: Excluded 'Reference', as the value is consistently 'Dairy Australia [1]' and is not used in calculation.")</definedName>
    <definedName name="SourceData_Dairy.SourceData_Dairy_LiveweightGain_Data">_xlfn.LAMBDA(_xlfn.MAKEARRAY(2, 5, _xlfn.LAMBDA(_xlpm.r,_xlpm.c, INDEX({"Milking Cows","Heifers &gt;1","Heifers &lt;1 (weaned)","Bulls &gt;1","Bulls &lt;1 (weaned)";0.016,0.6,0.57,0.1,0.8}, _xlpm.r, _xlpm.c))))</definedName>
    <definedName name="SourceData_Dairy.SourceData_Dairy_LiveweightGain_Source">_xlfn.LAMBDA("VEERG 2026: Table A.1.3.3")</definedName>
    <definedName name="SourceData_Dairy.SourceData_Dairy_LiveweightGain_Title">_xlfn.LAMBDA("Table A.1.3.3: Dairy cattle - Liveweight gain (kg) (LWGj)")</definedName>
    <definedName name="SourceData_Dairy.SourceData_Dairy_LiveweightGain_Unit">_xlfn.LAMBDA("kg")</definedName>
    <definedName name="SourceData_Dairy.SourceData_Dairy_LiveweightGain_Variable">_xlfn.LAMBDA("LWGj")</definedName>
    <definedName name="SourceData_Dairy.SourceData_Dairy_LiveweightGain_Variation">_xlfn.LAMBDA("")</definedName>
    <definedName name="SourceData_Dairy.SourceData_Dairy_MCF_Data">_xlfn.LAMBDA(_xlfn.MAKEARRAY(7, 10, _xlfn.LAMBDA(_xlpm.r,_xlpm.c, INDEX({"MMS m","ACT","NSW","NT","QLD","SA","TAS","VIC","WA","NIR reference";"Pasture",0.01,0.01,0.02,0.01,0.01,0.01,0.01,0.01,"Pasture range and paddock";"Anaerobic lagoon",0.72,0.76,0.8,0.78,0.74,0.69,0.73,0.76,"Anaerobic lagoon";"Daily spread - Sump and dispersal systems",0.005,0.005,0.01,0.005,0.005,0.001,0.005,0.005,"Sump and dispersal system";"Daily spread - Drains to paddocks (a)",0.15,0.18,0.5,0.24,0.17,0.13,0.17,0.18,"Drains to paddock";"Solid Storage",0.02,0.02,0.02,0.02,0.02,0.02,0.02,0.02,"Solid storage";"Direct Application to soil",0,0,0,0,0,0,0,0,"Direct application"}, _xlpm.r, _xlpm.c))))</definedName>
    <definedName name="SourceData_Dairy.SourceData_Dairy_MCF_Source">_xlfn.LAMBDA("VEERG 2026: Table A.1.3.6")</definedName>
    <definedName name="SourceData_Dairy.SourceData_Dairy_MCF_Title">_xlfn.LAMBDA("Table A.1.3.6: Dairy cattle - Dairy cattle - MCFs (fraction) (MCFjm)")</definedName>
    <definedName name="SourceData_Dairy.SourceData_Dairy_MCF_Unit">_xlfn.LAMBDA("fraction")</definedName>
    <definedName name="SourceData_Dairy.SourceData_Dairy_MCF_Variable">_xlfn.LAMBDA("MCFjm")</definedName>
    <definedName name="SourceData_Dairy.SourceData_Dairy_MCF_Variation">_xlfn.LAMBDA("VARIATION OF SOURCE: Added 'NIR reference' column to aid lookup")</definedName>
    <definedName name="SourceData_Dairy.SourceData_Dairy_MethaneEmissionsPotential_Data">_xlfn.LAMBDA(0.24)</definedName>
    <definedName name="SourceData_Dairy.SourceData_Dairy_MethaneEmissionsPotential_Source">_xlfn.LAMBDA("VEERG 2026: 4.3.2.3 CONSTANTS")</definedName>
    <definedName name="SourceData_Dairy.SourceData_Dairy_MethaneEmissionsPotential_Title">_xlfn.LAMBDA("Methane emissions potential")</definedName>
    <definedName name="SourceData_Dairy.SourceData_Dairy_MethaneEmissionsPotential_Unit">_xlfn.LAMBDA("m3 CH4/kgVS")</definedName>
    <definedName name="SourceData_Dairy.SourceData_Dairy_MethaneEmissionsPotential_Variable">_xlfn.LAMBDA("B_o")</definedName>
    <definedName name="SourceData_Dairy.SourceData_Dairy_MethaneEmissionsPotential_Variation">_xlfn.LAMBDA("")</definedName>
    <definedName name="SourceData_Dairy.SourceData_Dairy_MethaneProductionPreWeanedCalves_Data">_xlfn.LAMBDA(_xlfn.MAKEARRAY(3, 2, _xlfn.LAMBDA(_xlpm.r,_xlpm.c, INDEX({"Animal Class j","MPWENTERIC";"Heifers &lt; 1 year",0.0176;"Bulls &lt; 1 year",0.0204}, _xlpm.r, _xlpm.c))))</definedName>
    <definedName name="SourceData_Dairy.SourceData_Dairy_MethaneProductionPreWeanedCalves_Source">_xlfn.LAMBDA("VEERG 2026: Table A.1.3.8")</definedName>
    <definedName name="SourceData_Dairy.SourceData_Dairy_MethaneProductionPreWeanedCalves_Title">_xlfn.LAMBDA("Table A.1.3.8: Dairy cattle - Methane production for pre-weaned heifer and bull calves (kg CH4/head/day) (MPWENTERIC,j=3,5)")</definedName>
    <definedName name="SourceData_Dairy.SourceData_Dairy_MethaneProductionPreWeanedCalves_Unit">_xlfn.LAMBDA("kg CH4/head/day")</definedName>
    <definedName name="SourceData_Dairy.SourceData_Dairy_MethaneProductionPreWeanedCalves_Variable">_xlfn.LAMBDA("MPWENTERIC,j=3,5")</definedName>
    <definedName name="SourceData_Dairy.SourceData_Dairy_MethaneProductionPreWeanedCalves_Variation">_xlfn.LAMBDA("")</definedName>
    <definedName name="SourceData_Dairy.SourceData_Dairy_NetEnergy_Data">_xlfn.LAMBDA(3.054)</definedName>
    <definedName name="SourceData_Dairy.SourceData_Dairy_NetEnergy_Source">_xlfn.LAMBDA("VEERG 2026: 3.3.2.3 CONSTANTS")</definedName>
    <definedName name="SourceData_Dairy.SourceData_Dairy_NetEnergy_Title">_xlfn.LAMBDA("Net energy required for milk production")</definedName>
    <definedName name="SourceData_Dairy.SourceData_Dairy_NetEnergy_Unit">_xlfn.LAMBDA("MJ net energy / kg milk")</definedName>
    <definedName name="SourceData_Dairy.SourceData_Dairy_NetEnergy_Variable">_xlfn.LAMBDA("NE")</definedName>
    <definedName name="SourceData_Dairy.SourceData_Dairy_NetEnergy_Variation">_xlfn.LAMBDA("")</definedName>
    <definedName name="SourceData_Dairy.SourceData_Dairy_NitrousOxideEFsAndFracGASM_Data">_xlfn.LAMBDA(_xlfn.MAKEARRAY(6, 4, _xlfn.LAMBDA(_xlpm.r,_xlpm.c, INDEX({"MMS m","EFm (kg N2O-N/kg N excreted)","FracGASMm (kg N2O-N/kg N excreted)","NIR reference";"M=14 Pasture",0,0,"Pasture range and paddock";"M=1 Anaerobic lagoon",0,0.35,"Anaerobic lagoon";"M=2 Daily Spread - Sump and Dispersal",0,0.07,"Sump and dispersal system";"M=3 Daily Spread - Drains to Paddock",0,0.2,"Drains to paddock";"M=3 Solid Storage",0.005,0.3,"Solid storage"}, _xlpm.r, _xlpm.c))))</definedName>
    <definedName name="SourceData_Dairy.SourceData_Dairy_NitrousOxideEFsAndFracGASM_Source">_xlfn.LAMBDA("VEERG 2026: Table A.1.3.7")</definedName>
    <definedName name="SourceData_Dairy.SourceData_Dairy_NitrousOxideEFsAndFracGASM_Title">_xlfn.LAMBDA("Table A.1.3.7: Dairy cattle - Nitrous oxide EFs and fraction of N volatilised by MMS")</definedName>
    <definedName name="SourceData_Dairy.SourceData_Dairy_NitrousOxideEFsAndFracGASM_Unit">_xlfn.LAMBDA("kg N2O-N/kg N excreted")</definedName>
    <definedName name="SourceData_Dairy.SourceData_Dairy_NitrousOxideEFsAndFracGASM_Variable">_xlfn.LAMBDA("EFm; FracGASMm")</definedName>
    <definedName name="SourceData_Dairy.SourceData_Dairy_NitrousOxideEFsAndFracGASM_Variation">_xlfn.LAMBDA("VARIATION OF SOURCE: Added 'NIR reference' column to aid lookup")</definedName>
    <definedName name="SourceData_Dairy.SourceData_Dairy_PreWeanedCalves_Data">_xlfn.LAMBDA(_xlfn.MAKEARRAY(4, 4, _xlfn.LAMBDA(_xlpm.r,_xlpm.c, INDEX({"Animal class j","CH4 production","Volatile solids (VSj=3,5)","Nitrogen Excreted (NPWj=3,5)";"","(kg/day)","(kg/day)","(kg/day)";"Heifers&lt;1",0.0176,0.2685,0.0137;"Bulls&lt;1",0.0204,0.3003,0.0092}, _xlpm.r, _xlpm.c))))</definedName>
    <definedName name="SourceData_Dairy.SourceData_Dairy_PreWeanedCalves_Source">_xlfn.LAMBDA("VEERG 2026: Table A.1.3.5")</definedName>
    <definedName name="SourceData_Dairy.SourceData_Dairy_PreWeanedCalves_Title">_xlfn.LAMBDA("Table A.1.3.5: Dairy cattle - Data for pre - weaned calves")</definedName>
    <definedName name="SourceData_Dairy.SourceData_Dairy_PreWeanedCalves_Unit">_xlfn.LAMBDA("kg/day")</definedName>
    <definedName name="SourceData_Dairy.SourceData_Dairy_PreWeanedCalves_Variable">_xlfn.LAMBDA("VSj=3,5; NPWj=3,5")</definedName>
    <definedName name="SourceData_Dairy.SourceData_Dairy_PreWeanedCalves_Variation">_xlfn.LAMBDA("VARIATION OF SOURCE: Added 'Animal class j' column header")</definedName>
    <definedName name="SourceData_Dairy.SourceData_Dairy_ProteinContentInMilk_Data">_xlfn.LAMBDA(3.3)</definedName>
    <definedName name="SourceData_Dairy.SourceData_Dairy_ProteinContentInMilk_Source">_xlfn.LAMBDA("VEERG 2026: 3.3.2.2 DATA (METHOD 1 AND 2 OPTIONS)")</definedName>
    <definedName name="SourceData_Dairy.SourceData_Dairy_ProteinContentInMilk_Title">_xlfn.LAMBDA("Protein content in fat and protein corrected milk")</definedName>
    <definedName name="SourceData_Dairy.SourceData_Dairy_ProteinContentInMilk_Unit">_xlfn.LAMBDA("percent")</definedName>
    <definedName name="SourceData_Dairy.SourceData_Dairy_ProteinContentInMilk_Variable">_xlfn.LAMBDA("PC_j")</definedName>
    <definedName name="SourceData_Dairy.SourceData_Dairy_ProteinContentInMilk_Variation">_xlfn.LAMBDA("")</definedName>
    <definedName name="SourceData_Dairy.SourceData_Dairy_ReferenceWeights_Data">_xlfn.LAMBDA(_xlfn.MAKEARRAY(2, 5, _xlfn.LAMBDA(_xlpm.r,_xlpm.c, INDEX({"Milking Cows","Heifers &gt;1","Heifers &lt;1 (weaned)","Bulls &gt;1","Bulls &lt;1 (weaned)";590,590,590,770,770}, _xlpm.r, _xlpm.c))))</definedName>
    <definedName name="SourceData_Dairy.SourceData_Dairy_ReferenceWeights_Source">_xlfn.LAMBDA("VEERG 2026: Table A.1.3.4")</definedName>
    <definedName name="SourceData_Dairy.SourceData_Dairy_ReferenceWeights_Title">_xlfn.LAMBDA("Table A.1.3.4: Dairy cattle - Reference weights (kg) (WRj)")</definedName>
    <definedName name="SourceData_Dairy.SourceData_Dairy_ReferenceWeights_Unit">_xlfn.LAMBDA("kg")</definedName>
    <definedName name="SourceData_Dairy.SourceData_Dairy_ReferenceWeights_Variable">_xlfn.LAMBDA("WRj")</definedName>
    <definedName name="SourceData_Dairy.SourceData_Dairy_ReferenceWeights_Variation">_xlfn.LAMBDA("")</definedName>
    <definedName name="Step1">#REF!</definedName>
    <definedName name="Step2">#REF!</definedName>
    <definedName name="Step3">#REF!</definedName>
    <definedName name="VEERG_4_3_1_1__1_TotalAnnualMethaneFromManureManagement_Result_Method1">'4.3.1.1-2 Methane'!$E$300</definedName>
    <definedName name="VEERG_4_3_1_1__1_TotalAnnualMethaneFromManureManagement_Result_Method2">'4.3.1.1-2 Methane'!$P$300</definedName>
    <definedName name="X_Cell_Dairy_Breed">'Input - Dairy'!$E$7</definedName>
    <definedName name="X_Cell_Dairy_ManureAppliedIrrigationMethod">'Input - Dairy'!$E$126</definedName>
    <definedName name="X_Cell_Dairy_ManureAppliedProductionSystem">'Input - Dairy'!$E$125</definedName>
    <definedName name="X_Cell_Dairy_MilkProductionAmount">'Input - Dairy'!$E$52</definedName>
    <definedName name="X_Cell_Dairy_MilkProductionUnit">'Input - Dairy'!$E$49</definedName>
    <definedName name="X_Cell_Dairy_ProductionSystemTemplate">'Input - Dairy'!$E$62</definedName>
    <definedName name="X_Cell_Dairy_Stage1MMS_1_AnaerobicLagoon_AmountSeparated_Method1">'Input - Dairy'!$E$83</definedName>
    <definedName name="X_Cell_Dairy_Stage1MMS_1_AnaerobicLagoon_AmountSeparated_Method2">'Input - Dairy'!$E$84</definedName>
    <definedName name="X_Cell_Dairy_Stage1MMS_1_AnaerobicLagoon_SolidsSeparated">'Input - Dairy'!$E$82</definedName>
    <definedName name="X_Cell_Dairy_Stage1MMS_1_DrainsToPaddock_AmountSeparated_Method1">'Input - Dairy'!$E$93</definedName>
    <definedName name="X_Cell_Dairy_Stage1MMS_1_DrainsToPaddock_AmountSeparated_Method2">'Input - Dairy'!$E$94</definedName>
    <definedName name="X_Cell_Dairy_Stage1MMS_1_DrainsToPaddock_SolidsSeparated">'Input - Dairy'!$E$92</definedName>
    <definedName name="X_Cell_Dairy_Stage1MMS_1_SumpAndDispersal_AmountSeparated_Method1">'Input - Dairy'!$E$88</definedName>
    <definedName name="X_Cell_Dairy_Stage1MMS_1_SumpAndDispersal_AmountSeparated_Method2">'Input - Dairy'!$E$89</definedName>
    <definedName name="X_Cell_Dairy_Stage1MMS_1_SumpAndDispersal_SolidsSeparated">'Input - Dairy'!$E$87</definedName>
    <definedName name="X_Cell_Dairy_Stage1MMS_2_AnaerobicLagoon_AmountSeparated_Method1">'Input - Dairy'!$E$107</definedName>
    <definedName name="X_Cell_Dairy_Stage1MMS_2_AnaerobicLagoon_AmountSeparated_Method2">'Input - Dairy'!$E$108</definedName>
    <definedName name="X_Cell_Dairy_Stage1MMS_2_AnaerobicLagoon_SolidsSeparated">'Input - Dairy'!$E$106</definedName>
    <definedName name="X_Cell_Dairy_Stage1MMS_2_DrainsToPaddock_AmountSeparated_Method1">'Input - Dairy'!$E$117</definedName>
    <definedName name="X_Cell_Dairy_Stage1MMS_2_DrainsToPaddock_AmountSeparated_Method2">'Input - Dairy'!$E$118</definedName>
    <definedName name="X_Cell_Dairy_Stage1MMS_2_DrainsToPaddock_SolidsSeparated">'Input - Dairy'!$E$116</definedName>
    <definedName name="X_Cell_Dairy_Stage1MMS_2_SumpAndDispersal_AmountSeparated_Method1">'Input - Dairy'!$E$112</definedName>
    <definedName name="X_Cell_Dairy_Stage1MMS_2_SumpAndDispersal_AmountSeparated_Method2">'Input - Dairy'!$E$113</definedName>
    <definedName name="X_Cell_Dairy_Stage1MMS_2_SumpAndDispersal_SolidsSeparated">'Input - Dairy'!$E$111</definedName>
    <definedName name="X_Cell_Site_AverageTemperature">'Input - Site'!$E$25</definedName>
    <definedName name="X_Cell_Site_Elevation">'Input - Site'!$E$24</definedName>
    <definedName name="X_Cell_Site_FarmName">'Input - Site'!$E$7</definedName>
    <definedName name="X_Cell_Site_FrostDays">'Input - Site'!$E$28</definedName>
    <definedName name="X_Cell_Site_LeachingZone">'Input - Site'!$E$23</definedName>
    <definedName name="X_Cell_Site_PotentialEvapotranspiration">'Input - Site'!$E$27</definedName>
    <definedName name="X_Cell_Site_Region">'Input - Site'!$E$22</definedName>
    <definedName name="X_Cell_Site_ReportingEntityName">'Input - Site'!$E$8</definedName>
    <definedName name="X_Cell_Site_StartDate">'Input - Site'!$E$12</definedName>
    <definedName name="X_Cell_Site_State">'Input - Site'!$E$21</definedName>
    <definedName name="X_Cell_Site_TotalRainfall">'Input - Site'!$E$26</definedName>
    <definedName name="X_Table_Dairy_Diet_Method1">'Input - Dairy'!$D$35:$I$37</definedName>
    <definedName name="X_Table_Dairy_Diet_Method2">'Input - Dairy'!$D$39:$I$41</definedName>
    <definedName name="X_Table_Dairy_DurationOfStay_Method1">'Input - Dairy'!$D$23:$I$25</definedName>
    <definedName name="X_Table_Dairy_DurationOfStay_Method2">'Input - Dairy'!$D$27:$I$29</definedName>
    <definedName name="X_Table_Dairy_HerdMovement">'Input - Dairy'!$D$9:$I$10</definedName>
    <definedName name="X_Table_Dairy_Liveweight_Method1">'Input - Dairy'!$D$13:$I$15</definedName>
    <definedName name="X_Table_Dairy_Liveweight_Method2">'Input - Dairy'!$D$17:$I$19</definedName>
    <definedName name="X_Table_Dairy_MilkSolidAttributes">'Input - Dairy'!$D$54:$F$56</definedName>
    <definedName name="X_Table_Dairy_ProductionSystems_Method1">'Input - Dairy'!$D$64:$I$67</definedName>
    <definedName name="X_Table_Dairy_ProductionSystems_Method2">'Input - Dairy'!$D$69:$I$72</definedName>
    <definedName name="X_Table_Dairy_Stage1MMS_1_AnaerobicLagoon">'Input - Dairy'!$D$81:$I$81</definedName>
    <definedName name="X_Table_Dairy_Stage1MMS_1_AnaerobicLagoon_Destinations">'Input - Dairy'!$K$81:$M$81</definedName>
    <definedName name="X_Table_Dairy_Stage1MMS_1_DrainsToPaddock">'Input - Dairy'!$D$91:$I$91</definedName>
    <definedName name="X_Table_Dairy_Stage1MMS_1_DrainsToPaddock_Destinations">'Input - Dairy'!$K$91:$M$91</definedName>
    <definedName name="X_Table_Dairy_Stage1MMS_1_SolidStorage">'Input - Dairy'!$D$96:$I$96</definedName>
    <definedName name="X_Table_Dairy_Stage1MMS_1_SolidStorage_Destinations">'Input - Dairy'!$K$96:$M$96</definedName>
    <definedName name="X_Table_Dairy_Stage1MMS_1_SumpAndDispersal">'Input - Dairy'!$D$86:$I$86</definedName>
    <definedName name="X_Table_Dairy_Stage1MMS_1_SumpAndDispersal_Destinations">'Input - Dairy'!$K$86:$M$86</definedName>
    <definedName name="X_Table_Dairy_Stage1MMS_2_AnaerobicLagoon">'Input - Dairy'!$D$105:$I$105</definedName>
    <definedName name="X_Table_Dairy_Stage1MMS_2_AnaerobicLagoon_Destinations">'Input - Dairy'!$K$105:$M$105</definedName>
    <definedName name="X_Table_Dairy_Stage1MMS_2_DrainsToPaddock">'Input - Dairy'!$D$115:$I$115</definedName>
    <definedName name="X_Table_Dairy_Stage1MMS_2_DrainsToPaddock_Destinations">'Input - Dairy'!$K$115:$M$115</definedName>
    <definedName name="X_Table_Dairy_Stage1MMS_2_SolidStorage">'Input - Dairy'!$D$120:$I$120</definedName>
    <definedName name="X_Table_Dairy_Stage1MMS_2_SolidStorage_Destinations">'Input - Dairy'!$K$120:$M$120</definedName>
    <definedName name="X_Table_Dairy_Stage1MMS_2_SumpAndDispersal">'Input - Dairy'!$D$110:$I$110</definedName>
    <definedName name="X_Table_Dairy_Stage1MMS_2_SumpAndDispersal_Destinations">'Input - Dairy'!$K$110:$M$110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3" i="15" l="1"/>
  <c r="E31" i="15"/>
  <c r="E32" i="15" s="1"/>
  <c r="E30" i="15"/>
  <c r="E29" i="15"/>
  <c r="E13" i="15"/>
  <c r="Q85" i="81"/>
  <c r="G9" i="79"/>
  <c r="G8" i="79"/>
  <c r="I222" i="69"/>
  <c r="J45" i="98"/>
  <c r="I40" i="97"/>
  <c r="J45" i="96"/>
  <c r="I44" i="95"/>
  <c r="I63" i="82"/>
  <c r="I264" i="76"/>
  <c r="R50" i="98"/>
  <c r="G50" i="98"/>
  <c r="R48" i="97"/>
  <c r="G48" i="97"/>
  <c r="R56" i="96"/>
  <c r="G56" i="96"/>
  <c r="R55" i="95"/>
  <c r="G55" i="95"/>
  <c r="R71" i="82"/>
  <c r="G71" i="82"/>
  <c r="Q290" i="76"/>
  <c r="G290" i="76"/>
  <c r="R303" i="69"/>
  <c r="G303" i="69"/>
  <c r="I223" i="69"/>
  <c r="E259" i="108" a="1"/>
  <c r="E259" i="108" s="1"/>
  <c r="D259" i="108" a="1"/>
  <c r="D259" i="108" s="1"/>
  <c r="E258" i="108" a="1"/>
  <c r="E258" i="108" s="1"/>
  <c r="D258" i="108" a="1"/>
  <c r="D258" i="108" s="1"/>
  <c r="D256" i="108" a="1"/>
  <c r="D256" i="108" s="1"/>
  <c r="D255" i="108" a="1"/>
  <c r="D255" i="108" s="1"/>
  <c r="D254" i="108" a="1"/>
  <c r="D254" i="108" s="1"/>
  <c r="D253" i="108" a="1"/>
  <c r="D253" i="108" s="1"/>
  <c r="S250" i="108" a="1"/>
  <c r="S250" i="108" s="1"/>
  <c r="R250" i="108" a="1"/>
  <c r="R250" i="108" s="1"/>
  <c r="Q250" i="108" a="1"/>
  <c r="Q250" i="108" s="1"/>
  <c r="P250" i="108" a="1"/>
  <c r="P250" i="108" s="1"/>
  <c r="O250" i="108" a="1"/>
  <c r="O250" i="108" s="1"/>
  <c r="N250" i="108" a="1"/>
  <c r="N250" i="108" s="1"/>
  <c r="M250" i="108" a="1"/>
  <c r="M250" i="108" s="1"/>
  <c r="L250" i="108" a="1"/>
  <c r="L250" i="108" s="1"/>
  <c r="K250" i="108" a="1"/>
  <c r="K250" i="108" s="1"/>
  <c r="J250" i="108" a="1"/>
  <c r="J250" i="108" s="1"/>
  <c r="I250" i="108" a="1"/>
  <c r="I250" i="108" s="1"/>
  <c r="H250" i="108" a="1"/>
  <c r="H250" i="108" s="1"/>
  <c r="G250" i="108" a="1"/>
  <c r="G250" i="108" s="1"/>
  <c r="F250" i="108" a="1"/>
  <c r="F250" i="108" s="1"/>
  <c r="E250" i="108" a="1"/>
  <c r="E250" i="108" s="1"/>
  <c r="D250" i="108" a="1"/>
  <c r="D250" i="108" s="1"/>
  <c r="S249" i="108" a="1"/>
  <c r="S249" i="108" s="1"/>
  <c r="R249" i="108" a="1"/>
  <c r="R249" i="108" s="1"/>
  <c r="Q249" i="108" a="1"/>
  <c r="Q249" i="108" s="1"/>
  <c r="P249" i="108" a="1"/>
  <c r="P249" i="108" s="1"/>
  <c r="O249" i="108" a="1"/>
  <c r="O249" i="108" s="1"/>
  <c r="N249" i="108" a="1"/>
  <c r="N249" i="108" s="1"/>
  <c r="M249" i="108" a="1"/>
  <c r="M249" i="108" s="1"/>
  <c r="L249" i="108" a="1"/>
  <c r="L249" i="108" s="1"/>
  <c r="K249" i="108" a="1"/>
  <c r="K249" i="108" s="1"/>
  <c r="J249" i="108" a="1"/>
  <c r="J249" i="108" s="1"/>
  <c r="I249" i="108" a="1"/>
  <c r="I249" i="108" s="1"/>
  <c r="H249" i="108" a="1"/>
  <c r="H249" i="108" s="1"/>
  <c r="G249" i="108" a="1"/>
  <c r="G249" i="108" s="1"/>
  <c r="F249" i="108" a="1"/>
  <c r="F249" i="108" s="1"/>
  <c r="E249" i="108" a="1"/>
  <c r="E249" i="108" s="1"/>
  <c r="D249" i="108" a="1"/>
  <c r="D249" i="108" s="1"/>
  <c r="S248" i="108" a="1"/>
  <c r="S248" i="108" s="1"/>
  <c r="R248" i="108" a="1"/>
  <c r="R248" i="108" s="1"/>
  <c r="Q248" i="108" a="1"/>
  <c r="Q248" i="108" s="1"/>
  <c r="P248" i="108" a="1"/>
  <c r="P248" i="108" s="1"/>
  <c r="O248" i="108" a="1"/>
  <c r="O248" i="108" s="1"/>
  <c r="N248" i="108" a="1"/>
  <c r="N248" i="108" s="1"/>
  <c r="M248" i="108" a="1"/>
  <c r="M248" i="108" s="1"/>
  <c r="L248" i="108" a="1"/>
  <c r="L248" i="108" s="1"/>
  <c r="K248" i="108" a="1"/>
  <c r="K248" i="108" s="1"/>
  <c r="J248" i="108" a="1"/>
  <c r="J248" i="108" s="1"/>
  <c r="I248" i="108" a="1"/>
  <c r="I248" i="108" s="1"/>
  <c r="H248" i="108" a="1"/>
  <c r="H248" i="108" s="1"/>
  <c r="G248" i="108" a="1"/>
  <c r="G248" i="108" s="1"/>
  <c r="F248" i="108" a="1"/>
  <c r="F248" i="108" s="1"/>
  <c r="E248" i="108" a="1"/>
  <c r="E248" i="108" s="1"/>
  <c r="D248" i="108" a="1"/>
  <c r="D248" i="108" s="1"/>
  <c r="S247" i="108" a="1"/>
  <c r="S247" i="108" s="1"/>
  <c r="R247" i="108" a="1"/>
  <c r="R247" i="108" s="1"/>
  <c r="Q247" i="108" a="1"/>
  <c r="Q247" i="108" s="1"/>
  <c r="P247" i="108" a="1"/>
  <c r="P247" i="108" s="1"/>
  <c r="O247" i="108" a="1"/>
  <c r="O247" i="108" s="1"/>
  <c r="N247" i="108" a="1"/>
  <c r="N247" i="108" s="1"/>
  <c r="M247" i="108" a="1"/>
  <c r="M247" i="108" s="1"/>
  <c r="L247" i="108" a="1"/>
  <c r="L247" i="108" s="1"/>
  <c r="K247" i="108" a="1"/>
  <c r="K247" i="108" s="1"/>
  <c r="J247" i="108" a="1"/>
  <c r="J247" i="108" s="1"/>
  <c r="I247" i="108" a="1"/>
  <c r="I247" i="108" s="1"/>
  <c r="H247" i="108" a="1"/>
  <c r="H247" i="108" s="1"/>
  <c r="G247" i="108" a="1"/>
  <c r="G247" i="108" s="1"/>
  <c r="F247" i="108" a="1"/>
  <c r="F247" i="108" s="1"/>
  <c r="E247" i="108" a="1"/>
  <c r="E247" i="108" s="1"/>
  <c r="D247" i="108" a="1"/>
  <c r="D247" i="108" s="1"/>
  <c r="S246" i="108" a="1"/>
  <c r="S246" i="108" s="1"/>
  <c r="R246" i="108" a="1"/>
  <c r="R246" i="108" s="1"/>
  <c r="Q246" i="108" a="1"/>
  <c r="Q246" i="108" s="1"/>
  <c r="P246" i="108" a="1"/>
  <c r="P246" i="108" s="1"/>
  <c r="O246" i="108" a="1"/>
  <c r="O246" i="108" s="1"/>
  <c r="N246" i="108" a="1"/>
  <c r="N246" i="108" s="1"/>
  <c r="M246" i="108" a="1"/>
  <c r="M246" i="108" s="1"/>
  <c r="L246" i="108" a="1"/>
  <c r="L246" i="108" s="1"/>
  <c r="K246" i="108" a="1"/>
  <c r="K246" i="108" s="1"/>
  <c r="J246" i="108" a="1"/>
  <c r="J246" i="108" s="1"/>
  <c r="I246" i="108" a="1"/>
  <c r="I246" i="108" s="1"/>
  <c r="H246" i="108" a="1"/>
  <c r="H246" i="108" s="1"/>
  <c r="G246" i="108" a="1"/>
  <c r="G246" i="108" s="1"/>
  <c r="F246" i="108" a="1"/>
  <c r="F246" i="108" s="1"/>
  <c r="E246" i="108" a="1"/>
  <c r="E246" i="108" s="1"/>
  <c r="D246" i="108" a="1"/>
  <c r="D246" i="108" s="1"/>
  <c r="S245" i="108" a="1"/>
  <c r="S245" i="108" s="1"/>
  <c r="R245" i="108" a="1"/>
  <c r="R245" i="108" s="1"/>
  <c r="Q245" i="108" a="1"/>
  <c r="Q245" i="108" s="1"/>
  <c r="P245" i="108" a="1"/>
  <c r="P245" i="108" s="1"/>
  <c r="O245" i="108" a="1"/>
  <c r="O245" i="108" s="1"/>
  <c r="N245" i="108" a="1"/>
  <c r="N245" i="108" s="1"/>
  <c r="M245" i="108" a="1"/>
  <c r="M245" i="108" s="1"/>
  <c r="L245" i="108" a="1"/>
  <c r="L245" i="108" s="1"/>
  <c r="K245" i="108" a="1"/>
  <c r="K245" i="108" s="1"/>
  <c r="J245" i="108" a="1"/>
  <c r="J245" i="108" s="1"/>
  <c r="I245" i="108" a="1"/>
  <c r="I245" i="108" s="1"/>
  <c r="H245" i="108" a="1"/>
  <c r="H245" i="108" s="1"/>
  <c r="G245" i="108" a="1"/>
  <c r="G245" i="108" s="1"/>
  <c r="F245" i="108" a="1"/>
  <c r="F245" i="108" s="1"/>
  <c r="E245" i="108" a="1"/>
  <c r="E245" i="108" s="1"/>
  <c r="D245" i="108" a="1"/>
  <c r="D245" i="108" s="1"/>
  <c r="S244" i="108" a="1"/>
  <c r="S244" i="108" s="1"/>
  <c r="R244" i="108" a="1"/>
  <c r="R244" i="108" s="1"/>
  <c r="Q244" i="108" a="1"/>
  <c r="Q244" i="108" s="1"/>
  <c r="P244" i="108" a="1"/>
  <c r="P244" i="108" s="1"/>
  <c r="O244" i="108" a="1"/>
  <c r="O244" i="108" s="1"/>
  <c r="N244" i="108" a="1"/>
  <c r="N244" i="108" s="1"/>
  <c r="M244" i="108" a="1"/>
  <c r="M244" i="108" s="1"/>
  <c r="L244" i="108" a="1"/>
  <c r="L244" i="108" s="1"/>
  <c r="K244" i="108" a="1"/>
  <c r="K244" i="108" s="1"/>
  <c r="J244" i="108" a="1"/>
  <c r="J244" i="108" s="1"/>
  <c r="I244" i="108" a="1"/>
  <c r="I244" i="108" s="1"/>
  <c r="H244" i="108" a="1"/>
  <c r="H244" i="108" s="1"/>
  <c r="G244" i="108" a="1"/>
  <c r="G244" i="108" s="1"/>
  <c r="F244" i="108" a="1"/>
  <c r="F244" i="108" s="1"/>
  <c r="E244" i="108" a="1"/>
  <c r="E244" i="108" s="1"/>
  <c r="D244" i="108" a="1"/>
  <c r="D244" i="108" s="1"/>
  <c r="S243" i="108" a="1"/>
  <c r="S243" i="108" s="1"/>
  <c r="R243" i="108" a="1"/>
  <c r="R243" i="108" s="1"/>
  <c r="Q243" i="108" a="1"/>
  <c r="Q243" i="108" s="1"/>
  <c r="P243" i="108" a="1"/>
  <c r="P243" i="108" s="1"/>
  <c r="O243" i="108" a="1"/>
  <c r="O243" i="108" s="1"/>
  <c r="N243" i="108" a="1"/>
  <c r="N243" i="108" s="1"/>
  <c r="M243" i="108" a="1"/>
  <c r="M243" i="108" s="1"/>
  <c r="L243" i="108"/>
  <c r="L243" i="108" a="1"/>
  <c r="K243" i="108" a="1"/>
  <c r="K243" i="108" s="1"/>
  <c r="J243" i="108" a="1"/>
  <c r="J243" i="108" s="1"/>
  <c r="I243" i="108" a="1"/>
  <c r="I243" i="108" s="1"/>
  <c r="H243" i="108" a="1"/>
  <c r="H243" i="108" s="1"/>
  <c r="G243" i="108" a="1"/>
  <c r="G243" i="108" s="1"/>
  <c r="F243" i="108" a="1"/>
  <c r="F243" i="108" s="1"/>
  <c r="E243" i="108" a="1"/>
  <c r="E243" i="108" s="1"/>
  <c r="D243" i="108" a="1"/>
  <c r="D243" i="108" s="1"/>
  <c r="S242" i="108" a="1"/>
  <c r="S242" i="108" s="1"/>
  <c r="R242" i="108" a="1"/>
  <c r="R242" i="108" s="1"/>
  <c r="Q242" i="108" a="1"/>
  <c r="Q242" i="108" s="1"/>
  <c r="P242" i="108" a="1"/>
  <c r="P242" i="108" s="1"/>
  <c r="O242" i="108" a="1"/>
  <c r="O242" i="108" s="1"/>
  <c r="N242" i="108" a="1"/>
  <c r="N242" i="108" s="1"/>
  <c r="M242" i="108" a="1"/>
  <c r="M242" i="108" s="1"/>
  <c r="L242" i="108" a="1"/>
  <c r="L242" i="108" s="1"/>
  <c r="K242" i="108" a="1"/>
  <c r="K242" i="108" s="1"/>
  <c r="J242" i="108" a="1"/>
  <c r="J242" i="108" s="1"/>
  <c r="I242" i="108" a="1"/>
  <c r="I242" i="108" s="1"/>
  <c r="H242" i="108" a="1"/>
  <c r="H242" i="108" s="1"/>
  <c r="G242" i="108" a="1"/>
  <c r="G242" i="108" s="1"/>
  <c r="F242" i="108" a="1"/>
  <c r="F242" i="108" s="1"/>
  <c r="E242" i="108" a="1"/>
  <c r="E242" i="108" s="1"/>
  <c r="D242" i="108" a="1"/>
  <c r="D242" i="108" s="1"/>
  <c r="S241" i="108" a="1"/>
  <c r="S241" i="108" s="1"/>
  <c r="R241" i="108" a="1"/>
  <c r="R241" i="108" s="1"/>
  <c r="Q241" i="108" a="1"/>
  <c r="Q241" i="108" s="1"/>
  <c r="P241" i="108" a="1"/>
  <c r="P241" i="108" s="1"/>
  <c r="O241" i="108" a="1"/>
  <c r="O241" i="108" s="1"/>
  <c r="N241" i="108" a="1"/>
  <c r="N241" i="108" s="1"/>
  <c r="M241" i="108" a="1"/>
  <c r="M241" i="108" s="1"/>
  <c r="L241" i="108" a="1"/>
  <c r="L241" i="108" s="1"/>
  <c r="K241" i="108" a="1"/>
  <c r="K241" i="108" s="1"/>
  <c r="J241" i="108" a="1"/>
  <c r="J241" i="108" s="1"/>
  <c r="I241" i="108" a="1"/>
  <c r="I241" i="108" s="1"/>
  <c r="H241" i="108" a="1"/>
  <c r="H241" i="108" s="1"/>
  <c r="G241" i="108" a="1"/>
  <c r="G241" i="108" s="1"/>
  <c r="F241" i="108" a="1"/>
  <c r="F241" i="108" s="1"/>
  <c r="E241" i="108" a="1"/>
  <c r="E241" i="108" s="1"/>
  <c r="D241" i="108" a="1"/>
  <c r="D241" i="108" s="1"/>
  <c r="S240" i="108" a="1"/>
  <c r="S240" i="108" s="1"/>
  <c r="R240" i="108" a="1"/>
  <c r="R240" i="108" s="1"/>
  <c r="Q240" i="108" a="1"/>
  <c r="Q240" i="108" s="1"/>
  <c r="P240" i="108" a="1"/>
  <c r="P240" i="108" s="1"/>
  <c r="O240" i="108" a="1"/>
  <c r="O240" i="108" s="1"/>
  <c r="N240" i="108" a="1"/>
  <c r="N240" i="108" s="1"/>
  <c r="M240" i="108" a="1"/>
  <c r="M240" i="108" s="1"/>
  <c r="L240" i="108" a="1"/>
  <c r="L240" i="108" s="1"/>
  <c r="K240" i="108" a="1"/>
  <c r="K240" i="108" s="1"/>
  <c r="J240" i="108" a="1"/>
  <c r="J240" i="108" s="1"/>
  <c r="I240" i="108" a="1"/>
  <c r="I240" i="108" s="1"/>
  <c r="H240" i="108" a="1"/>
  <c r="H240" i="108" s="1"/>
  <c r="G240" i="108" a="1"/>
  <c r="G240" i="108" s="1"/>
  <c r="F240" i="108" a="1"/>
  <c r="F240" i="108" s="1"/>
  <c r="E240" i="108" a="1"/>
  <c r="E240" i="108" s="1"/>
  <c r="D240" i="108" a="1"/>
  <c r="D240" i="108" s="1"/>
  <c r="S239" i="108" a="1"/>
  <c r="S239" i="108" s="1"/>
  <c r="R239" i="108" a="1"/>
  <c r="R239" i="108" s="1"/>
  <c r="Q239" i="108" a="1"/>
  <c r="Q239" i="108" s="1"/>
  <c r="P239" i="108" a="1"/>
  <c r="P239" i="108" s="1"/>
  <c r="O239" i="108" a="1"/>
  <c r="O239" i="108" s="1"/>
  <c r="N239" i="108" a="1"/>
  <c r="N239" i="108" s="1"/>
  <c r="M239" i="108" a="1"/>
  <c r="M239" i="108" s="1"/>
  <c r="L239" i="108" a="1"/>
  <c r="L239" i="108" s="1"/>
  <c r="K239" i="108" a="1"/>
  <c r="K239" i="108" s="1"/>
  <c r="J239" i="108" a="1"/>
  <c r="J239" i="108" s="1"/>
  <c r="I239" i="108" a="1"/>
  <c r="I239" i="108" s="1"/>
  <c r="H239" i="108" a="1"/>
  <c r="H239" i="108" s="1"/>
  <c r="G239" i="108" a="1"/>
  <c r="G239" i="108" s="1"/>
  <c r="F239" i="108" a="1"/>
  <c r="F239" i="108" s="1"/>
  <c r="E239" i="108" a="1"/>
  <c r="E239" i="108" s="1"/>
  <c r="D239" i="108" a="1"/>
  <c r="D239" i="108" s="1"/>
  <c r="S238" i="108" a="1"/>
  <c r="S238" i="108" s="1"/>
  <c r="R238" i="108" a="1"/>
  <c r="R238" i="108" s="1"/>
  <c r="Q238" i="108" a="1"/>
  <c r="Q238" i="108" s="1"/>
  <c r="P238" i="108" a="1"/>
  <c r="P238" i="108" s="1"/>
  <c r="O238" i="108" a="1"/>
  <c r="O238" i="108" s="1"/>
  <c r="N238" i="108" a="1"/>
  <c r="N238" i="108" s="1"/>
  <c r="M238" i="108" a="1"/>
  <c r="M238" i="108" s="1"/>
  <c r="L238" i="108" a="1"/>
  <c r="L238" i="108" s="1"/>
  <c r="K238" i="108" a="1"/>
  <c r="K238" i="108" s="1"/>
  <c r="J238" i="108" a="1"/>
  <c r="J238" i="108" s="1"/>
  <c r="I238" i="108" a="1"/>
  <c r="I238" i="108" s="1"/>
  <c r="H238" i="108" a="1"/>
  <c r="H238" i="108" s="1"/>
  <c r="G238" i="108" a="1"/>
  <c r="G238" i="108" s="1"/>
  <c r="F238" i="108" a="1"/>
  <c r="F238" i="108" s="1"/>
  <c r="E238" i="108" a="1"/>
  <c r="E238" i="108" s="1"/>
  <c r="D238" i="108" a="1"/>
  <c r="D238" i="108" s="1"/>
  <c r="S237" i="108" a="1"/>
  <c r="S237" i="108" s="1"/>
  <c r="R237" i="108" a="1"/>
  <c r="R237" i="108" s="1"/>
  <c r="Q237" i="108" a="1"/>
  <c r="Q237" i="108" s="1"/>
  <c r="P237" i="108" a="1"/>
  <c r="P237" i="108" s="1"/>
  <c r="O237" i="108" a="1"/>
  <c r="O237" i="108" s="1"/>
  <c r="N237" i="108" a="1"/>
  <c r="N237" i="108" s="1"/>
  <c r="M237" i="108" a="1"/>
  <c r="M237" i="108" s="1"/>
  <c r="L237" i="108" a="1"/>
  <c r="L237" i="108" s="1"/>
  <c r="K237" i="108" a="1"/>
  <c r="K237" i="108" s="1"/>
  <c r="J237" i="108" a="1"/>
  <c r="J237" i="108" s="1"/>
  <c r="I237" i="108" a="1"/>
  <c r="I237" i="108" s="1"/>
  <c r="H237" i="108" a="1"/>
  <c r="H237" i="108" s="1"/>
  <c r="G237" i="108" a="1"/>
  <c r="G237" i="108" s="1"/>
  <c r="F237" i="108" a="1"/>
  <c r="F237" i="108" s="1"/>
  <c r="E237" i="108" a="1"/>
  <c r="E237" i="108" s="1"/>
  <c r="D237" i="108" a="1"/>
  <c r="D237" i="108" s="1"/>
  <c r="S236" i="108" a="1"/>
  <c r="S236" i="108" s="1"/>
  <c r="R236" i="108" a="1"/>
  <c r="R236" i="108" s="1"/>
  <c r="Q236" i="108" a="1"/>
  <c r="Q236" i="108" s="1"/>
  <c r="P236" i="108" a="1"/>
  <c r="P236" i="108" s="1"/>
  <c r="O236" i="108" a="1"/>
  <c r="O236" i="108" s="1"/>
  <c r="N236" i="108" a="1"/>
  <c r="N236" i="108" s="1"/>
  <c r="M236" i="108" a="1"/>
  <c r="M236" i="108" s="1"/>
  <c r="L236" i="108" a="1"/>
  <c r="L236" i="108" s="1"/>
  <c r="K236" i="108" a="1"/>
  <c r="K236" i="108" s="1"/>
  <c r="J236" i="108" a="1"/>
  <c r="J236" i="108" s="1"/>
  <c r="I236" i="108" a="1"/>
  <c r="I236" i="108" s="1"/>
  <c r="H236" i="108" a="1"/>
  <c r="H236" i="108" s="1"/>
  <c r="G236" i="108" a="1"/>
  <c r="G236" i="108" s="1"/>
  <c r="F236" i="108" a="1"/>
  <c r="F236" i="108" s="1"/>
  <c r="E236" i="108" a="1"/>
  <c r="E236" i="108" s="1"/>
  <c r="D236" i="108" a="1"/>
  <c r="D236" i="108" s="1"/>
  <c r="S235" i="108" a="1"/>
  <c r="S235" i="108" s="1"/>
  <c r="R235" i="108" a="1"/>
  <c r="R235" i="108" s="1"/>
  <c r="Q235" i="108" a="1"/>
  <c r="Q235" i="108" s="1"/>
  <c r="P235" i="108" a="1"/>
  <c r="P235" i="108" s="1"/>
  <c r="O235" i="108" a="1"/>
  <c r="O235" i="108" s="1"/>
  <c r="N235" i="108" a="1"/>
  <c r="N235" i="108" s="1"/>
  <c r="M235" i="108" a="1"/>
  <c r="M235" i="108" s="1"/>
  <c r="L235" i="108" a="1"/>
  <c r="L235" i="108" s="1"/>
  <c r="K235" i="108" a="1"/>
  <c r="K235" i="108" s="1"/>
  <c r="J235" i="108" a="1"/>
  <c r="J235" i="108" s="1"/>
  <c r="I235" i="108" a="1"/>
  <c r="I235" i="108" s="1"/>
  <c r="H235" i="108" a="1"/>
  <c r="H235" i="108" s="1"/>
  <c r="G235" i="108" a="1"/>
  <c r="G235" i="108" s="1"/>
  <c r="F235" i="108" a="1"/>
  <c r="F235" i="108" s="1"/>
  <c r="E235" i="108" a="1"/>
  <c r="E235" i="108" s="1"/>
  <c r="D235" i="108" a="1"/>
  <c r="D235" i="108" s="1"/>
  <c r="S234" i="108" a="1"/>
  <c r="S234" i="108" s="1"/>
  <c r="R234" i="108" a="1"/>
  <c r="R234" i="108" s="1"/>
  <c r="Q234" i="108" a="1"/>
  <c r="Q234" i="108" s="1"/>
  <c r="P234" i="108" a="1"/>
  <c r="P234" i="108" s="1"/>
  <c r="O234" i="108" a="1"/>
  <c r="O234" i="108" s="1"/>
  <c r="N234" i="108" a="1"/>
  <c r="N234" i="108" s="1"/>
  <c r="M234" i="108" a="1"/>
  <c r="M234" i="108" s="1"/>
  <c r="L234" i="108" a="1"/>
  <c r="L234" i="108" s="1"/>
  <c r="K234" i="108" a="1"/>
  <c r="K234" i="108" s="1"/>
  <c r="J234" i="108" a="1"/>
  <c r="J234" i="108" s="1"/>
  <c r="I234" i="108" a="1"/>
  <c r="I234" i="108" s="1"/>
  <c r="H234" i="108" a="1"/>
  <c r="H234" i="108" s="1"/>
  <c r="G234" i="108" a="1"/>
  <c r="G234" i="108" s="1"/>
  <c r="F234" i="108" a="1"/>
  <c r="F234" i="108" s="1"/>
  <c r="E234" i="108" a="1"/>
  <c r="E234" i="108" s="1"/>
  <c r="D234" i="108" a="1"/>
  <c r="D234" i="108" s="1"/>
  <c r="S233" i="108" a="1"/>
  <c r="S233" i="108" s="1"/>
  <c r="R233" i="108" a="1"/>
  <c r="R233" i="108" s="1"/>
  <c r="Q233" i="108" a="1"/>
  <c r="Q233" i="108" s="1"/>
  <c r="P233" i="108" a="1"/>
  <c r="P233" i="108" s="1"/>
  <c r="O233" i="108" a="1"/>
  <c r="O233" i="108" s="1"/>
  <c r="N233" i="108" a="1"/>
  <c r="N233" i="108" s="1"/>
  <c r="M233" i="108" a="1"/>
  <c r="M233" i="108" s="1"/>
  <c r="L233" i="108" a="1"/>
  <c r="L233" i="108" s="1"/>
  <c r="K233" i="108" a="1"/>
  <c r="K233" i="108" s="1"/>
  <c r="J233" i="108" a="1"/>
  <c r="J233" i="108" s="1"/>
  <c r="I233" i="108" a="1"/>
  <c r="I233" i="108" s="1"/>
  <c r="H233" i="108" a="1"/>
  <c r="H233" i="108" s="1"/>
  <c r="G233" i="108" a="1"/>
  <c r="G233" i="108" s="1"/>
  <c r="F233" i="108" a="1"/>
  <c r="F233" i="108" s="1"/>
  <c r="E233" i="108" a="1"/>
  <c r="E233" i="108" s="1"/>
  <c r="D233" i="108" a="1"/>
  <c r="D233" i="108" s="1"/>
  <c r="S232" i="108" a="1"/>
  <c r="S232" i="108" s="1"/>
  <c r="R232" i="108" a="1"/>
  <c r="R232" i="108" s="1"/>
  <c r="Q232" i="108" a="1"/>
  <c r="Q232" i="108" s="1"/>
  <c r="P232" i="108" a="1"/>
  <c r="P232" i="108" s="1"/>
  <c r="O232" i="108" a="1"/>
  <c r="O232" i="108" s="1"/>
  <c r="N232" i="108" a="1"/>
  <c r="N232" i="108" s="1"/>
  <c r="M232" i="108" a="1"/>
  <c r="M232" i="108" s="1"/>
  <c r="L232" i="108" a="1"/>
  <c r="L232" i="108" s="1"/>
  <c r="K232" i="108" a="1"/>
  <c r="K232" i="108" s="1"/>
  <c r="J232" i="108" a="1"/>
  <c r="J232" i="108" s="1"/>
  <c r="I232" i="108" a="1"/>
  <c r="I232" i="108" s="1"/>
  <c r="H232" i="108" a="1"/>
  <c r="H232" i="108" s="1"/>
  <c r="G232" i="108" a="1"/>
  <c r="G232" i="108" s="1"/>
  <c r="F232" i="108" a="1"/>
  <c r="F232" i="108" s="1"/>
  <c r="E232" i="108" a="1"/>
  <c r="E232" i="108" s="1"/>
  <c r="D232" i="108" a="1"/>
  <c r="D232" i="108" s="1"/>
  <c r="D229" i="108" a="1"/>
  <c r="D229" i="108" s="1"/>
  <c r="D228" i="108" a="1"/>
  <c r="D228" i="108" s="1"/>
  <c r="D227" i="108" a="1"/>
  <c r="D227" i="108" s="1"/>
  <c r="E224" i="108" a="1"/>
  <c r="E224" i="108" s="1"/>
  <c r="D224" i="108" a="1"/>
  <c r="D224" i="108" s="1"/>
  <c r="E223" i="108" a="1"/>
  <c r="E223" i="108" s="1"/>
  <c r="D223" i="108" a="1"/>
  <c r="D223" i="108" s="1"/>
  <c r="E222" i="108" a="1"/>
  <c r="E222" i="108" s="1"/>
  <c r="D222" i="108" a="1"/>
  <c r="D222" i="108" s="1"/>
  <c r="E221" i="108" a="1"/>
  <c r="E221" i="108" s="1"/>
  <c r="D221" i="108" a="1"/>
  <c r="D221" i="108" s="1"/>
  <c r="E220" i="108" a="1"/>
  <c r="E220" i="108" s="1"/>
  <c r="D220" i="108" a="1"/>
  <c r="D220" i="108" s="1"/>
  <c r="E219" i="108" a="1"/>
  <c r="E219" i="108" s="1"/>
  <c r="D219" i="108" a="1"/>
  <c r="D219" i="108" s="1"/>
  <c r="E218" i="108" a="1"/>
  <c r="E218" i="108" s="1"/>
  <c r="D218" i="108" a="1"/>
  <c r="D218" i="108" s="1"/>
  <c r="E217" i="108" a="1"/>
  <c r="E217" i="108" s="1"/>
  <c r="D217" i="108" a="1"/>
  <c r="D217" i="108" s="1"/>
  <c r="E216" i="108" a="1"/>
  <c r="E216" i="108" s="1"/>
  <c r="D216" i="108" a="1"/>
  <c r="D216" i="108" s="1"/>
  <c r="E215" i="108" a="1"/>
  <c r="E215" i="108" s="1"/>
  <c r="D215" i="108" a="1"/>
  <c r="D215" i="108" s="1"/>
  <c r="E214" i="108" a="1"/>
  <c r="E214" i="108" s="1"/>
  <c r="D214" i="108" a="1"/>
  <c r="D214" i="108" s="1"/>
  <c r="E213" i="108" a="1"/>
  <c r="E213" i="108" s="1"/>
  <c r="D213" i="108" a="1"/>
  <c r="D213" i="108" s="1"/>
  <c r="D211" i="108" a="1"/>
  <c r="D211" i="108" s="1"/>
  <c r="E208" i="108" a="1"/>
  <c r="E208" i="108" s="1"/>
  <c r="D208" i="108" a="1"/>
  <c r="D208" i="108" s="1"/>
  <c r="E207" i="108" a="1"/>
  <c r="E207" i="108" s="1"/>
  <c r="D207" i="108" a="1"/>
  <c r="D207" i="108" s="1"/>
  <c r="D205" i="108" a="1"/>
  <c r="D205" i="108" s="1"/>
  <c r="D204" i="108" a="1"/>
  <c r="D204" i="108" s="1"/>
  <c r="D203" i="108" a="1"/>
  <c r="D203" i="108" s="1"/>
  <c r="D202" i="108" a="1"/>
  <c r="D202" i="108" s="1"/>
  <c r="H199" i="108" a="1"/>
  <c r="H199" i="108" s="1"/>
  <c r="G199" i="108" a="1"/>
  <c r="G199" i="108" s="1"/>
  <c r="F199" i="108" a="1"/>
  <c r="F199" i="108" s="1"/>
  <c r="E199" i="108" a="1"/>
  <c r="E199" i="108" s="1"/>
  <c r="D199" i="108" a="1"/>
  <c r="D199" i="108" s="1"/>
  <c r="H198" i="108" a="1"/>
  <c r="H198" i="108" s="1"/>
  <c r="G198" i="108" a="1"/>
  <c r="G198" i="108" s="1"/>
  <c r="F198" i="108" a="1"/>
  <c r="F198" i="108" s="1"/>
  <c r="E198" i="108" a="1"/>
  <c r="E198" i="108" s="1"/>
  <c r="D198" i="108" a="1"/>
  <c r="D198" i="108" s="1"/>
  <c r="H197" i="108" a="1"/>
  <c r="H197" i="108" s="1"/>
  <c r="G197" i="108" a="1"/>
  <c r="G197" i="108" s="1"/>
  <c r="F197" i="108" a="1"/>
  <c r="F197" i="108" s="1"/>
  <c r="E197" i="108" a="1"/>
  <c r="E197" i="108" s="1"/>
  <c r="D197" i="108" a="1"/>
  <c r="D197" i="108" s="1"/>
  <c r="H196" i="108" a="1"/>
  <c r="H196" i="108" s="1"/>
  <c r="G196" i="108" a="1"/>
  <c r="G196" i="108" s="1"/>
  <c r="F196" i="108" a="1"/>
  <c r="F196" i="108" s="1"/>
  <c r="E196" i="108" a="1"/>
  <c r="E196" i="108" s="1"/>
  <c r="D196" i="108" a="1"/>
  <c r="D196" i="108" s="1"/>
  <c r="H195" i="108" a="1"/>
  <c r="H195" i="108" s="1"/>
  <c r="G195" i="108" a="1"/>
  <c r="G195" i="108" s="1"/>
  <c r="F195" i="108" a="1"/>
  <c r="F195" i="108" s="1"/>
  <c r="E195" i="108" a="1"/>
  <c r="E195" i="108" s="1"/>
  <c r="D195" i="108" a="1"/>
  <c r="D195" i="108" s="1"/>
  <c r="H194" i="108" a="1"/>
  <c r="H194" i="108" s="1"/>
  <c r="G194" i="108" a="1"/>
  <c r="G194" i="108" s="1"/>
  <c r="F194" i="108" a="1"/>
  <c r="F194" i="108" s="1"/>
  <c r="E194" i="108" a="1"/>
  <c r="E194" i="108" s="1"/>
  <c r="D194" i="108" a="1"/>
  <c r="D194" i="108" s="1"/>
  <c r="H193" i="108" a="1"/>
  <c r="H193" i="108" s="1"/>
  <c r="G193" i="108" a="1"/>
  <c r="G193" i="108" s="1"/>
  <c r="F193" i="108" a="1"/>
  <c r="F193" i="108" s="1"/>
  <c r="E193" i="108" a="1"/>
  <c r="E193" i="108" s="1"/>
  <c r="D193" i="108" a="1"/>
  <c r="D193" i="108" s="1"/>
  <c r="H192" i="108" a="1"/>
  <c r="H192" i="108" s="1"/>
  <c r="G192" i="108" a="1"/>
  <c r="G192" i="108" s="1"/>
  <c r="F192" i="108" a="1"/>
  <c r="F192" i="108" s="1"/>
  <c r="E192" i="108" a="1"/>
  <c r="E192" i="108" s="1"/>
  <c r="D192" i="108" a="1"/>
  <c r="D192" i="108" s="1"/>
  <c r="H191" i="108" a="1"/>
  <c r="H191" i="108" s="1"/>
  <c r="G191" i="108" a="1"/>
  <c r="G191" i="108" s="1"/>
  <c r="F191" i="108" a="1"/>
  <c r="F191" i="108" s="1"/>
  <c r="E191" i="108" a="1"/>
  <c r="E191" i="108" s="1"/>
  <c r="D191" i="108" a="1"/>
  <c r="D191" i="108" s="1"/>
  <c r="H190" i="108" a="1"/>
  <c r="H190" i="108" s="1"/>
  <c r="G190" i="108" a="1"/>
  <c r="G190" i="108" s="1"/>
  <c r="F190" i="108" a="1"/>
  <c r="F190" i="108" s="1"/>
  <c r="E190" i="108" a="1"/>
  <c r="E190" i="108" s="1"/>
  <c r="D190" i="108" a="1"/>
  <c r="D190" i="108" s="1"/>
  <c r="H189" i="108" a="1"/>
  <c r="H189" i="108" s="1"/>
  <c r="G189" i="108" a="1"/>
  <c r="G189" i="108" s="1"/>
  <c r="F189" i="108" a="1"/>
  <c r="F189" i="108" s="1"/>
  <c r="E189" i="108" a="1"/>
  <c r="E189" i="108" s="1"/>
  <c r="D189" i="108" a="1"/>
  <c r="D189" i="108" s="1"/>
  <c r="H188" i="108" a="1"/>
  <c r="H188" i="108" s="1"/>
  <c r="G188" i="108" a="1"/>
  <c r="G188" i="108" s="1"/>
  <c r="F188" i="108" a="1"/>
  <c r="F188" i="108" s="1"/>
  <c r="E188" i="108" a="1"/>
  <c r="E188" i="108" s="1"/>
  <c r="D188" i="108" a="1"/>
  <c r="D188" i="108" s="1"/>
  <c r="H187" i="108" a="1"/>
  <c r="H187" i="108" s="1"/>
  <c r="G187" i="108" a="1"/>
  <c r="G187" i="108" s="1"/>
  <c r="F187" i="108" a="1"/>
  <c r="F187" i="108" s="1"/>
  <c r="E187" i="108" a="1"/>
  <c r="E187" i="108" s="1"/>
  <c r="D187" i="108" a="1"/>
  <c r="D187" i="108" s="1"/>
  <c r="D181" i="108" a="1"/>
  <c r="D181" i="108" s="1"/>
  <c r="D180" i="108"/>
  <c r="D180" i="108" a="1"/>
  <c r="D179" i="108" a="1"/>
  <c r="D179" i="108" s="1"/>
  <c r="D178" i="108" a="1"/>
  <c r="D178" i="108" s="1"/>
  <c r="E175" i="108" a="1"/>
  <c r="E175" i="108" s="1"/>
  <c r="D175" i="108" a="1"/>
  <c r="D175" i="108" s="1"/>
  <c r="D174" i="108" a="1"/>
  <c r="D174" i="108" s="1"/>
  <c r="D173" i="108" a="1"/>
  <c r="D173" i="108" s="1"/>
  <c r="D170" i="108" a="1"/>
  <c r="D170" i="108" s="1"/>
  <c r="D169" i="108" a="1"/>
  <c r="D169" i="108" s="1"/>
  <c r="D168" i="108" a="1"/>
  <c r="D168" i="108" s="1"/>
  <c r="D167" i="108" a="1"/>
  <c r="D167" i="108" s="1"/>
  <c r="D164" i="108" a="1"/>
  <c r="D164" i="108" s="1"/>
  <c r="D163" i="108" a="1"/>
  <c r="D163" i="108" s="1"/>
  <c r="D162" i="108" a="1"/>
  <c r="D162" i="108" s="1"/>
  <c r="D161" i="108" a="1"/>
  <c r="D161" i="108" s="1"/>
  <c r="E158" i="108" a="1"/>
  <c r="E158" i="108" s="1"/>
  <c r="D158" i="108" a="1"/>
  <c r="D158" i="108" s="1"/>
  <c r="E157" i="108" a="1"/>
  <c r="E157" i="108" s="1"/>
  <c r="D157" i="108" a="1"/>
  <c r="D157" i="108" s="1"/>
  <c r="E156" i="108" a="1"/>
  <c r="E156" i="108" s="1"/>
  <c r="D156" i="108" a="1"/>
  <c r="D156" i="108" s="1"/>
  <c r="E155" i="108" a="1"/>
  <c r="E155" i="108" s="1"/>
  <c r="D155" i="108" a="1"/>
  <c r="D155" i="108" s="1"/>
  <c r="E154" i="108" a="1"/>
  <c r="E154" i="108" s="1"/>
  <c r="D154" i="108" a="1"/>
  <c r="D154" i="108" s="1"/>
  <c r="D151" i="108" a="1"/>
  <c r="D151" i="108" s="1"/>
  <c r="D150" i="108" a="1"/>
  <c r="D150" i="108" s="1"/>
  <c r="E147" i="108" a="1"/>
  <c r="E147" i="108" s="1"/>
  <c r="D147" i="108" a="1"/>
  <c r="D147" i="108" s="1"/>
  <c r="E146" i="108" a="1"/>
  <c r="E146" i="108" s="1"/>
  <c r="D146" i="108" a="1"/>
  <c r="D146" i="108" s="1"/>
  <c r="E145" i="108" a="1"/>
  <c r="E145" i="108" s="1"/>
  <c r="D145" i="108" a="1"/>
  <c r="D145" i="108" s="1"/>
  <c r="E144" i="108" a="1"/>
  <c r="E144" i="108" s="1"/>
  <c r="D144" i="108" a="1"/>
  <c r="D144" i="108" s="1"/>
  <c r="E143" i="108" a="1"/>
  <c r="E143" i="108" s="1"/>
  <c r="D143" i="108" a="1"/>
  <c r="D143" i="108" s="1"/>
  <c r="D141" i="108" a="1"/>
  <c r="D141" i="108" s="1"/>
  <c r="D140" i="108" a="1"/>
  <c r="D140" i="108" s="1"/>
  <c r="D139" i="108" a="1"/>
  <c r="D139" i="108" s="1"/>
  <c r="E136" i="108" a="1"/>
  <c r="E136" i="108" s="1"/>
  <c r="D136" i="108" a="1"/>
  <c r="D136" i="108" s="1"/>
  <c r="E135" i="108" a="1"/>
  <c r="E135" i="108" s="1"/>
  <c r="D135" i="108" a="1"/>
  <c r="D135" i="108" s="1"/>
  <c r="D133" i="108" a="1"/>
  <c r="D133" i="108" s="1"/>
  <c r="D132" i="108" a="1"/>
  <c r="D132" i="108" s="1"/>
  <c r="E129" i="108" a="1"/>
  <c r="E129" i="108" s="1"/>
  <c r="D129" i="108" a="1"/>
  <c r="D129" i="108" s="1"/>
  <c r="E128" i="108" a="1"/>
  <c r="E128" i="108" s="1"/>
  <c r="D128" i="108" a="1"/>
  <c r="D128" i="108" s="1"/>
  <c r="D125" i="108" a="1"/>
  <c r="D125" i="108" s="1"/>
  <c r="D124" i="108" a="1"/>
  <c r="D124" i="108" s="1"/>
  <c r="G121" i="108" a="1"/>
  <c r="G121" i="108" s="1"/>
  <c r="F121" i="108" a="1"/>
  <c r="F121" i="108" s="1"/>
  <c r="E121" i="108" a="1"/>
  <c r="E121" i="108" s="1"/>
  <c r="D121" i="108" a="1"/>
  <c r="D121" i="108" s="1"/>
  <c r="G120" i="108" a="1"/>
  <c r="G120" i="108" s="1"/>
  <c r="F120" i="108" a="1"/>
  <c r="F120" i="108" s="1"/>
  <c r="E120" i="108" a="1"/>
  <c r="E120" i="108" s="1"/>
  <c r="D120" i="108" a="1"/>
  <c r="D120" i="108" s="1"/>
  <c r="D117" i="108" a="1"/>
  <c r="D117" i="108" s="1"/>
  <c r="D116" i="108" a="1"/>
  <c r="D116" i="108" s="1"/>
  <c r="D115" i="108" a="1"/>
  <c r="D115" i="108" s="1"/>
  <c r="G112" i="108" a="1"/>
  <c r="G112" i="108" s="1"/>
  <c r="F112" i="108" a="1"/>
  <c r="F112" i="108" s="1"/>
  <c r="E112" i="108" a="1"/>
  <c r="E112" i="108" s="1"/>
  <c r="D112" i="108" a="1"/>
  <c r="D112" i="108" s="1"/>
  <c r="G111" i="108" a="1"/>
  <c r="G111" i="108" s="1"/>
  <c r="F111" i="108" a="1"/>
  <c r="F111" i="108" s="1"/>
  <c r="E111" i="108" a="1"/>
  <c r="E111" i="108" s="1"/>
  <c r="D111" i="108" a="1"/>
  <c r="D111" i="108" s="1"/>
  <c r="G110" i="108" a="1"/>
  <c r="G110" i="108" s="1"/>
  <c r="F110" i="108" a="1"/>
  <c r="F110" i="108" s="1"/>
  <c r="E110" i="108" a="1"/>
  <c r="E110" i="108" s="1"/>
  <c r="D110" i="108" a="1"/>
  <c r="D110" i="108" s="1"/>
  <c r="D107" i="108" a="1"/>
  <c r="D107" i="108" s="1"/>
  <c r="D106" i="108" a="1"/>
  <c r="D106" i="108" s="1"/>
  <c r="D105" i="108"/>
  <c r="D105" i="108" a="1"/>
  <c r="D99" i="108" a="1"/>
  <c r="D99" i="108" s="1"/>
  <c r="S97" i="108" a="1"/>
  <c r="S97" i="108" s="1"/>
  <c r="R97" i="108" a="1"/>
  <c r="R97" i="108" s="1"/>
  <c r="Q97" i="108" a="1"/>
  <c r="Q97" i="108" s="1"/>
  <c r="P97" i="108" a="1"/>
  <c r="P97" i="108" s="1"/>
  <c r="O97" i="108" a="1"/>
  <c r="O97" i="108" s="1"/>
  <c r="N97" i="108" a="1"/>
  <c r="N97" i="108" s="1"/>
  <c r="M97" i="108" a="1"/>
  <c r="M97" i="108" s="1"/>
  <c r="L97" i="108" a="1"/>
  <c r="L97" i="108" s="1"/>
  <c r="K97" i="108" a="1"/>
  <c r="K97" i="108" s="1"/>
  <c r="J97" i="108" a="1"/>
  <c r="J97" i="108" s="1"/>
  <c r="I97" i="108" a="1"/>
  <c r="I97" i="108" s="1"/>
  <c r="H97" i="108" a="1"/>
  <c r="H97" i="108" s="1"/>
  <c r="G97" i="108" a="1"/>
  <c r="G97" i="108" s="1"/>
  <c r="F97" i="108" a="1"/>
  <c r="F97" i="108" s="1"/>
  <c r="E97" i="108" a="1"/>
  <c r="E97" i="108" s="1"/>
  <c r="D97" i="108" a="1"/>
  <c r="D97" i="108" s="1"/>
  <c r="S96" i="108" a="1"/>
  <c r="S96" i="108" s="1"/>
  <c r="R96" i="108" a="1"/>
  <c r="R96" i="108" s="1"/>
  <c r="Q96" i="108" a="1"/>
  <c r="Q96" i="108" s="1"/>
  <c r="P96" i="108" a="1"/>
  <c r="P96" i="108" s="1"/>
  <c r="O96" i="108" a="1"/>
  <c r="O96" i="108" s="1"/>
  <c r="N96" i="108" a="1"/>
  <c r="N96" i="108" s="1"/>
  <c r="M96" i="108" a="1"/>
  <c r="M96" i="108" s="1"/>
  <c r="L96" i="108" a="1"/>
  <c r="L96" i="108" s="1"/>
  <c r="K96" i="108" a="1"/>
  <c r="K96" i="108" s="1"/>
  <c r="J96" i="108" a="1"/>
  <c r="J96" i="108" s="1"/>
  <c r="I96" i="108" a="1"/>
  <c r="I96" i="108" s="1"/>
  <c r="H96" i="108" a="1"/>
  <c r="H96" i="108" s="1"/>
  <c r="G96" i="108" a="1"/>
  <c r="G96" i="108" s="1"/>
  <c r="F96" i="108" a="1"/>
  <c r="F96" i="108" s="1"/>
  <c r="E96" i="108" a="1"/>
  <c r="E96" i="108" s="1"/>
  <c r="D96" i="108" a="1"/>
  <c r="D96" i="108" s="1"/>
  <c r="S95" i="108" a="1"/>
  <c r="S95" i="108" s="1"/>
  <c r="R95" i="108" a="1"/>
  <c r="R95" i="108" s="1"/>
  <c r="Q95" i="108" a="1"/>
  <c r="Q95" i="108" s="1"/>
  <c r="P95" i="108" a="1"/>
  <c r="P95" i="108" s="1"/>
  <c r="O95" i="108" a="1"/>
  <c r="O95" i="108" s="1"/>
  <c r="N95" i="108" a="1"/>
  <c r="N95" i="108" s="1"/>
  <c r="M95" i="108" a="1"/>
  <c r="M95" i="108" s="1"/>
  <c r="L95" i="108" a="1"/>
  <c r="L95" i="108" s="1"/>
  <c r="K95" i="108" a="1"/>
  <c r="K95" i="108" s="1"/>
  <c r="J95" i="108" a="1"/>
  <c r="J95" i="108" s="1"/>
  <c r="I95" i="108" a="1"/>
  <c r="I95" i="108" s="1"/>
  <c r="H95" i="108" a="1"/>
  <c r="H95" i="108" s="1"/>
  <c r="G95" i="108" a="1"/>
  <c r="G95" i="108" s="1"/>
  <c r="F95" i="108" a="1"/>
  <c r="F95" i="108" s="1"/>
  <c r="E95" i="108" a="1"/>
  <c r="E95" i="108" s="1"/>
  <c r="D95" i="108" a="1"/>
  <c r="D95" i="108" s="1"/>
  <c r="S94" i="108" a="1"/>
  <c r="S94" i="108" s="1"/>
  <c r="R94" i="108" a="1"/>
  <c r="R94" i="108" s="1"/>
  <c r="Q94" i="108" a="1"/>
  <c r="Q94" i="108" s="1"/>
  <c r="P94" i="108" a="1"/>
  <c r="P94" i="108" s="1"/>
  <c r="O94" i="108" a="1"/>
  <c r="O94" i="108" s="1"/>
  <c r="N94" i="108" a="1"/>
  <c r="N94" i="108" s="1"/>
  <c r="M94" i="108" a="1"/>
  <c r="M94" i="108" s="1"/>
  <c r="L94" i="108" a="1"/>
  <c r="L94" i="108" s="1"/>
  <c r="K94" i="108" a="1"/>
  <c r="K94" i="108" s="1"/>
  <c r="J94" i="108" a="1"/>
  <c r="J94" i="108" s="1"/>
  <c r="I94" i="108" a="1"/>
  <c r="I94" i="108" s="1"/>
  <c r="H94" i="108" a="1"/>
  <c r="H94" i="108" s="1"/>
  <c r="G94" i="108" a="1"/>
  <c r="G94" i="108" s="1"/>
  <c r="F94" i="108" a="1"/>
  <c r="F94" i="108" s="1"/>
  <c r="E94" i="108" a="1"/>
  <c r="E94" i="108" s="1"/>
  <c r="D94" i="108" a="1"/>
  <c r="D94" i="108" s="1"/>
  <c r="S93" i="108" a="1"/>
  <c r="S93" i="108" s="1"/>
  <c r="R93" i="108" a="1"/>
  <c r="R93" i="108" s="1"/>
  <c r="Q93" i="108" a="1"/>
  <c r="Q93" i="108" s="1"/>
  <c r="P93" i="108" a="1"/>
  <c r="P93" i="108" s="1"/>
  <c r="O93" i="108" a="1"/>
  <c r="O93" i="108" s="1"/>
  <c r="N93" i="108" a="1"/>
  <c r="N93" i="108" s="1"/>
  <c r="M93" i="108" a="1"/>
  <c r="M93" i="108" s="1"/>
  <c r="L93" i="108" a="1"/>
  <c r="L93" i="108" s="1"/>
  <c r="K93" i="108" a="1"/>
  <c r="K93" i="108" s="1"/>
  <c r="J93" i="108" a="1"/>
  <c r="J93" i="108" s="1"/>
  <c r="I93" i="108" a="1"/>
  <c r="I93" i="108" s="1"/>
  <c r="H93" i="108" a="1"/>
  <c r="H93" i="108" s="1"/>
  <c r="G93" i="108" a="1"/>
  <c r="G93" i="108" s="1"/>
  <c r="F93" i="108" a="1"/>
  <c r="F93" i="108" s="1"/>
  <c r="E93" i="108" a="1"/>
  <c r="E93" i="108" s="1"/>
  <c r="D93" i="108" a="1"/>
  <c r="D93" i="108" s="1"/>
  <c r="S92" i="108" a="1"/>
  <c r="S92" i="108" s="1"/>
  <c r="R92" i="108" a="1"/>
  <c r="R92" i="108" s="1"/>
  <c r="Q92" i="108" a="1"/>
  <c r="Q92" i="108" s="1"/>
  <c r="P92" i="108" a="1"/>
  <c r="P92" i="108" s="1"/>
  <c r="O92" i="108" a="1"/>
  <c r="O92" i="108" s="1"/>
  <c r="N92" i="108" a="1"/>
  <c r="N92" i="108" s="1"/>
  <c r="M92" i="108" a="1"/>
  <c r="M92" i="108" s="1"/>
  <c r="L92" i="108" a="1"/>
  <c r="L92" i="108" s="1"/>
  <c r="K92" i="108" a="1"/>
  <c r="K92" i="108" s="1"/>
  <c r="J92" i="108" a="1"/>
  <c r="J92" i="108" s="1"/>
  <c r="I92" i="108" a="1"/>
  <c r="I92" i="108" s="1"/>
  <c r="H92" i="108" a="1"/>
  <c r="H92" i="108" s="1"/>
  <c r="G92" i="108" a="1"/>
  <c r="G92" i="108" s="1"/>
  <c r="F92" i="108" a="1"/>
  <c r="F92" i="108" s="1"/>
  <c r="E92" i="108" a="1"/>
  <c r="E92" i="108" s="1"/>
  <c r="D92" i="108" a="1"/>
  <c r="D92" i="108" s="1"/>
  <c r="S91" i="108" a="1"/>
  <c r="S91" i="108" s="1"/>
  <c r="R91" i="108" a="1"/>
  <c r="R91" i="108" s="1"/>
  <c r="Q91" i="108" a="1"/>
  <c r="Q91" i="108" s="1"/>
  <c r="P91" i="108" a="1"/>
  <c r="P91" i="108" s="1"/>
  <c r="O91" i="108" a="1"/>
  <c r="O91" i="108" s="1"/>
  <c r="N91" i="108" a="1"/>
  <c r="N91" i="108" s="1"/>
  <c r="M91" i="108" a="1"/>
  <c r="M91" i="108" s="1"/>
  <c r="L91" i="108" a="1"/>
  <c r="L91" i="108" s="1"/>
  <c r="K91" i="108" a="1"/>
  <c r="K91" i="108" s="1"/>
  <c r="J91" i="108" a="1"/>
  <c r="J91" i="108" s="1"/>
  <c r="I91" i="108" a="1"/>
  <c r="I91" i="108" s="1"/>
  <c r="H91" i="108" a="1"/>
  <c r="H91" i="108" s="1"/>
  <c r="G91" i="108" a="1"/>
  <c r="G91" i="108" s="1"/>
  <c r="F91" i="108" a="1"/>
  <c r="F91" i="108" s="1"/>
  <c r="E91" i="108" a="1"/>
  <c r="E91" i="108" s="1"/>
  <c r="D91" i="108" a="1"/>
  <c r="D91" i="108" s="1"/>
  <c r="S90" i="108" a="1"/>
  <c r="S90" i="108" s="1"/>
  <c r="R90" i="108" a="1"/>
  <c r="R90" i="108" s="1"/>
  <c r="Q90" i="108" a="1"/>
  <c r="Q90" i="108" s="1"/>
  <c r="P90" i="108" a="1"/>
  <c r="P90" i="108" s="1"/>
  <c r="O90" i="108" a="1"/>
  <c r="O90" i="108" s="1"/>
  <c r="N90" i="108" a="1"/>
  <c r="N90" i="108" s="1"/>
  <c r="M90" i="108" a="1"/>
  <c r="M90" i="108" s="1"/>
  <c r="L90" i="108" a="1"/>
  <c r="L90" i="108" s="1"/>
  <c r="K90" i="108" a="1"/>
  <c r="K90" i="108" s="1"/>
  <c r="J90" i="108" a="1"/>
  <c r="J90" i="108" s="1"/>
  <c r="I90" i="108" a="1"/>
  <c r="I90" i="108" s="1"/>
  <c r="H90" i="108" a="1"/>
  <c r="H90" i="108" s="1"/>
  <c r="G90" i="108" a="1"/>
  <c r="G90" i="108" s="1"/>
  <c r="F90" i="108" a="1"/>
  <c r="F90" i="108" s="1"/>
  <c r="E90" i="108" a="1"/>
  <c r="E90" i="108" s="1"/>
  <c r="D90" i="108" a="1"/>
  <c r="D90" i="108" s="1"/>
  <c r="D83" i="108" a="1"/>
  <c r="D83" i="108" s="1"/>
  <c r="D82" i="108"/>
  <c r="D82" i="108" a="1"/>
  <c r="D81" i="108" a="1"/>
  <c r="D81" i="108" s="1"/>
  <c r="E77" i="108" a="1"/>
  <c r="E77" i="108" s="1"/>
  <c r="D77" i="108" a="1"/>
  <c r="D77" i="108" s="1"/>
  <c r="E76" i="108" a="1"/>
  <c r="E76" i="108" s="1"/>
  <c r="D76" i="108" a="1"/>
  <c r="D76" i="108" s="1"/>
  <c r="E75" i="108" a="1"/>
  <c r="E75" i="108" s="1"/>
  <c r="D75" i="108" a="1"/>
  <c r="D75" i="108" s="1"/>
  <c r="E74" i="108" a="1"/>
  <c r="E74" i="108" s="1"/>
  <c r="D74" i="108" a="1"/>
  <c r="D74" i="108" s="1"/>
  <c r="E73" i="108" a="1"/>
  <c r="E73" i="108" s="1"/>
  <c r="D73" i="108" a="1"/>
  <c r="D73" i="108" s="1"/>
  <c r="E72" i="108" a="1"/>
  <c r="E72" i="108" s="1"/>
  <c r="D72" i="108" a="1"/>
  <c r="D72" i="108" s="1"/>
  <c r="E71" i="108" a="1"/>
  <c r="E71" i="108" s="1"/>
  <c r="D71" i="108" a="1"/>
  <c r="D71" i="108" s="1"/>
  <c r="E70" i="108" a="1"/>
  <c r="E70" i="108" s="1"/>
  <c r="D70" i="108" a="1"/>
  <c r="D70" i="108" s="1"/>
  <c r="E69" i="108" a="1"/>
  <c r="E69" i="108" s="1"/>
  <c r="D69" i="108" a="1"/>
  <c r="D69" i="108" s="1"/>
  <c r="E68" i="108" a="1"/>
  <c r="E68" i="108" s="1"/>
  <c r="D68" i="108" a="1"/>
  <c r="D68" i="108" s="1"/>
  <c r="E67" i="108" a="1"/>
  <c r="E67" i="108" s="1"/>
  <c r="D67" i="108" a="1"/>
  <c r="D67" i="108" s="1"/>
  <c r="E66" i="108" a="1"/>
  <c r="E66" i="108" s="1"/>
  <c r="D66" i="108" a="1"/>
  <c r="D66" i="108" s="1"/>
  <c r="E65" i="108" a="1"/>
  <c r="E65" i="108" s="1"/>
  <c r="D65" i="108" a="1"/>
  <c r="D65" i="108" s="1"/>
  <c r="E64" i="108" a="1"/>
  <c r="E64" i="108" s="1"/>
  <c r="D64" i="108" a="1"/>
  <c r="D64" i="108" s="1"/>
  <c r="D59" i="108" a="1"/>
  <c r="D59" i="108" s="1"/>
  <c r="D58" i="108" a="1"/>
  <c r="D58" i="108" s="1"/>
  <c r="D57" i="108"/>
  <c r="D57" i="108" a="1"/>
  <c r="G54" i="108" a="1"/>
  <c r="G54" i="108" s="1"/>
  <c r="F54" i="108" a="1"/>
  <c r="F54" i="108" s="1"/>
  <c r="E54" i="108" a="1"/>
  <c r="E54" i="108" s="1"/>
  <c r="D54" i="108" a="1"/>
  <c r="D54" i="108" s="1"/>
  <c r="G53" i="108" a="1"/>
  <c r="G53" i="108" s="1"/>
  <c r="F53" i="108" a="1"/>
  <c r="F53" i="108" s="1"/>
  <c r="E53" i="108" a="1"/>
  <c r="E53" i="108" s="1"/>
  <c r="D53" i="108" a="1"/>
  <c r="D53" i="108" s="1"/>
  <c r="G52" i="108" a="1"/>
  <c r="G52" i="108" s="1"/>
  <c r="F52" i="108" a="1"/>
  <c r="F52" i="108" s="1"/>
  <c r="E52" i="108" a="1"/>
  <c r="E52" i="108" s="1"/>
  <c r="D52" i="108" a="1"/>
  <c r="D52" i="108" s="1"/>
  <c r="G51" i="108" a="1"/>
  <c r="G51" i="108" s="1"/>
  <c r="F51" i="108" a="1"/>
  <c r="F51" i="108" s="1"/>
  <c r="E51" i="108" a="1"/>
  <c r="E51" i="108" s="1"/>
  <c r="D51" i="108" a="1"/>
  <c r="D51" i="108" s="1"/>
  <c r="G50" i="108" a="1"/>
  <c r="G50" i="108" s="1"/>
  <c r="F50" i="108" a="1"/>
  <c r="F50" i="108" s="1"/>
  <c r="E50" i="108" a="1"/>
  <c r="E50" i="108" s="1"/>
  <c r="D50" i="108" a="1"/>
  <c r="D50" i="108" s="1"/>
  <c r="G49" i="108" a="1"/>
  <c r="G49" i="108" s="1"/>
  <c r="F49" i="108" a="1"/>
  <c r="F49" i="108" s="1"/>
  <c r="H49" i="108" s="1"/>
  <c r="E49" i="108" a="1"/>
  <c r="E49" i="108" s="1"/>
  <c r="D49" i="108" a="1"/>
  <c r="D49" i="108" s="1"/>
  <c r="G48" i="108" a="1"/>
  <c r="G48" i="108" s="1"/>
  <c r="F48" i="108" a="1"/>
  <c r="F48" i="108" s="1"/>
  <c r="E48" i="108" a="1"/>
  <c r="E48" i="108" s="1"/>
  <c r="D48" i="108" a="1"/>
  <c r="D48" i="108" s="1"/>
  <c r="D46" i="108" a="1"/>
  <c r="D46" i="108" s="1"/>
  <c r="D45" i="108" a="1"/>
  <c r="D45" i="108" s="1"/>
  <c r="E43" i="108" a="1"/>
  <c r="E43" i="108" s="1"/>
  <c r="D43" i="108" a="1"/>
  <c r="D43" i="108" s="1"/>
  <c r="E42" i="108" a="1"/>
  <c r="E42" i="108" s="1"/>
  <c r="D42" i="108" a="1"/>
  <c r="D42" i="108" s="1"/>
  <c r="E41" i="108" a="1"/>
  <c r="E41" i="108" s="1"/>
  <c r="D41" i="108" a="1"/>
  <c r="D41" i="108" s="1"/>
  <c r="E40" i="108" a="1"/>
  <c r="E40" i="108" s="1"/>
  <c r="D40" i="108" a="1"/>
  <c r="D40" i="108" s="1"/>
  <c r="E39" i="108" a="1"/>
  <c r="E39" i="108" s="1"/>
  <c r="D39" i="108" a="1"/>
  <c r="D39" i="108" s="1"/>
  <c r="E38" i="108" a="1"/>
  <c r="E38" i="108" s="1"/>
  <c r="D38" i="108" a="1"/>
  <c r="D38" i="108" s="1"/>
  <c r="E37" i="108" a="1"/>
  <c r="E37" i="108" s="1"/>
  <c r="D37" i="108" a="1"/>
  <c r="D37" i="108" s="1"/>
  <c r="D35" i="108" a="1"/>
  <c r="D35" i="108" s="1"/>
  <c r="D34" i="108" a="1"/>
  <c r="D34" i="108" s="1"/>
  <c r="D30" i="108" a="1"/>
  <c r="D30" i="108" s="1"/>
  <c r="D29" i="108" a="1"/>
  <c r="D29" i="108" s="1"/>
  <c r="D28" i="108" a="1"/>
  <c r="D28" i="108" s="1"/>
  <c r="D27" i="108" a="1"/>
  <c r="D27" i="108" s="1"/>
  <c r="D26" i="108" a="1"/>
  <c r="D26" i="108" s="1"/>
  <c r="D25" i="108" a="1"/>
  <c r="D25" i="108" s="1"/>
  <c r="D24" i="108" a="1"/>
  <c r="D24" i="108" s="1"/>
  <c r="D23" i="108" a="1"/>
  <c r="D23" i="108" s="1"/>
  <c r="D22" i="108" a="1"/>
  <c r="D22" i="108" s="1"/>
  <c r="D21" i="108" a="1"/>
  <c r="D21" i="108" s="1"/>
  <c r="D19" i="108" a="1"/>
  <c r="D19" i="108" s="1"/>
  <c r="D18" i="108" a="1"/>
  <c r="D18" i="108" s="1"/>
  <c r="F14" i="108" a="1"/>
  <c r="F14" i="108" s="1"/>
  <c r="E14" i="108" a="1"/>
  <c r="E14" i="108" s="1"/>
  <c r="D14" i="108" a="1"/>
  <c r="D14" i="108" s="1"/>
  <c r="F13" i="108" a="1"/>
  <c r="F13" i="108" s="1"/>
  <c r="E13" i="108" a="1"/>
  <c r="E13" i="108" s="1"/>
  <c r="D13" i="108" a="1"/>
  <c r="D13" i="108" s="1"/>
  <c r="F12" i="108" a="1"/>
  <c r="F12" i="108" s="1"/>
  <c r="E12" i="108" a="1"/>
  <c r="E12" i="108" s="1"/>
  <c r="D12" i="108" a="1"/>
  <c r="D12" i="108" s="1"/>
  <c r="F11" i="108" a="1"/>
  <c r="F11" i="108" s="1"/>
  <c r="E11" i="108" a="1"/>
  <c r="E11" i="108" s="1"/>
  <c r="D11" i="108" a="1"/>
  <c r="D11" i="108" s="1"/>
  <c r="F10" i="108" a="1"/>
  <c r="F10" i="108" s="1"/>
  <c r="E10" i="108" a="1"/>
  <c r="E10" i="108" s="1"/>
  <c r="D10" i="108" a="1"/>
  <c r="D10" i="108" s="1"/>
  <c r="F9" i="108" a="1"/>
  <c r="F9" i="108" s="1"/>
  <c r="E9" i="108" a="1"/>
  <c r="E9" i="108" s="1"/>
  <c r="D9" i="108" a="1"/>
  <c r="D9" i="108" s="1"/>
  <c r="F8" i="108" a="1"/>
  <c r="F8" i="108" s="1"/>
  <c r="E8" i="108" a="1"/>
  <c r="E8" i="108" s="1"/>
  <c r="D8" i="108" a="1"/>
  <c r="D8" i="108" s="1"/>
  <c r="F7" i="108" a="1"/>
  <c r="F7" i="108" s="1"/>
  <c r="E7" i="108" a="1"/>
  <c r="E7" i="108" s="1"/>
  <c r="D7" i="108" a="1"/>
  <c r="D7" i="108" s="1"/>
  <c r="D5" i="108" a="1"/>
  <c r="D5" i="108" s="1"/>
  <c r="D215" i="79" a="1"/>
  <c r="D215" i="79" s="1"/>
  <c r="J15" i="95" s="1"/>
  <c r="D214" i="79" a="1"/>
  <c r="D214" i="79" s="1"/>
  <c r="D213" i="79" a="1"/>
  <c r="D213" i="79" s="1"/>
  <c r="D212" i="79" a="1"/>
  <c r="D212" i="79" s="1"/>
  <c r="D211" i="79" a="1"/>
  <c r="D211" i="79" s="1"/>
  <c r="H51" i="108" l="1"/>
  <c r="H53" i="108"/>
  <c r="H54" i="108"/>
  <c r="H48" i="108"/>
  <c r="H52" i="108"/>
  <c r="H50" i="108"/>
  <c r="D7" i="69" a="1"/>
  <c r="D7" i="69" s="1"/>
  <c r="D233" i="79" l="1" a="1"/>
  <c r="D233" i="79" s="1"/>
  <c r="D232" i="79" a="1"/>
  <c r="D232" i="79" s="1"/>
  <c r="D231" i="79" a="1"/>
  <c r="D231" i="79" s="1"/>
  <c r="D230" i="79" a="1"/>
  <c r="D230" i="79" s="1"/>
  <c r="D229" i="79" a="1"/>
  <c r="D229" i="79" s="1"/>
  <c r="D227" i="79" a="1"/>
  <c r="D227" i="79" s="1"/>
  <c r="D226" i="79" a="1"/>
  <c r="D226" i="79" s="1"/>
  <c r="D225" i="79" a="1"/>
  <c r="D225" i="79" s="1"/>
  <c r="D224" i="79" a="1"/>
  <c r="D224" i="79" s="1"/>
  <c r="D223" i="79" a="1"/>
  <c r="D223" i="79" s="1"/>
  <c r="T40" i="69" l="1"/>
  <c r="I39" i="69"/>
  <c r="D71" i="76" a="1"/>
  <c r="D71" i="76" s="1"/>
  <c r="I80" i="76" a="1"/>
  <c r="I80" i="76" s="1"/>
  <c r="I78" i="76"/>
  <c r="G78" i="76" a="1"/>
  <c r="G78" i="76" s="1"/>
  <c r="D78" i="76" a="1"/>
  <c r="D78" i="76" s="1"/>
  <c r="T39" i="69"/>
  <c r="R37" i="69" a="1"/>
  <c r="R37" i="69" s="1"/>
  <c r="O37" i="69" a="1"/>
  <c r="O37" i="69" s="1"/>
  <c r="I64" i="69" a="1"/>
  <c r="I64" i="69" s="1"/>
  <c r="I40" i="69"/>
  <c r="I37" i="69"/>
  <c r="D45" i="69" s="1"/>
  <c r="I38" i="69" a="1"/>
  <c r="I38" i="69" s="1"/>
  <c r="G37" i="69" a="1"/>
  <c r="G37" i="69" s="1"/>
  <c r="D37" i="69" a="1"/>
  <c r="D37" i="69" s="1"/>
  <c r="E35" i="69" a="1"/>
  <c r="E35" i="69" s="1"/>
  <c r="E34" i="69" a="1"/>
  <c r="E34" i="69" s="1"/>
  <c r="D30" i="69" a="1"/>
  <c r="D30" i="69" s="1"/>
  <c r="D29" i="69" a="1"/>
  <c r="D29" i="69" s="1"/>
  <c r="D28" i="69" a="1"/>
  <c r="D28" i="69" s="1"/>
  <c r="I62" i="69"/>
  <c r="D74" i="69" s="1"/>
  <c r="F52" i="70"/>
  <c r="A25" i="43"/>
  <c r="A24" i="43"/>
  <c r="A23" i="43"/>
  <c r="A22" i="43"/>
  <c r="A19" i="43"/>
  <c r="A18" i="43"/>
  <c r="A17" i="43"/>
  <c r="A16" i="43"/>
  <c r="A15" i="43"/>
  <c r="A14" i="43"/>
  <c r="A13" i="43"/>
  <c r="A12" i="43"/>
  <c r="A9" i="43"/>
  <c r="A8" i="43"/>
  <c r="A5" i="43"/>
  <c r="A4" i="43"/>
  <c r="A3" i="43"/>
  <c r="A25" i="79"/>
  <c r="A24" i="79"/>
  <c r="A23" i="79"/>
  <c r="A22" i="79"/>
  <c r="A19" i="79"/>
  <c r="A18" i="79"/>
  <c r="A17" i="79"/>
  <c r="A16" i="79"/>
  <c r="A15" i="79"/>
  <c r="A14" i="79"/>
  <c r="A13" i="79"/>
  <c r="A12" i="79"/>
  <c r="A9" i="79"/>
  <c r="A8" i="79"/>
  <c r="A5" i="79"/>
  <c r="A4" i="79"/>
  <c r="A3" i="79"/>
  <c r="A25" i="98"/>
  <c r="A24" i="98"/>
  <c r="A23" i="98"/>
  <c r="A22" i="98"/>
  <c r="A19" i="98"/>
  <c r="A18" i="98"/>
  <c r="A17" i="98"/>
  <c r="A16" i="98"/>
  <c r="A15" i="98"/>
  <c r="A14" i="98"/>
  <c r="A13" i="98"/>
  <c r="A12" i="98"/>
  <c r="A9" i="98"/>
  <c r="A8" i="98"/>
  <c r="A5" i="98"/>
  <c r="A4" i="98"/>
  <c r="A3" i="98"/>
  <c r="A25" i="97"/>
  <c r="A24" i="97"/>
  <c r="A23" i="97"/>
  <c r="A22" i="97"/>
  <c r="A19" i="97"/>
  <c r="A18" i="97"/>
  <c r="A17" i="97"/>
  <c r="A16" i="97"/>
  <c r="A15" i="97"/>
  <c r="A14" i="97"/>
  <c r="A13" i="97"/>
  <c r="A12" i="97"/>
  <c r="A9" i="97"/>
  <c r="A8" i="97"/>
  <c r="A5" i="97"/>
  <c r="A4" i="97"/>
  <c r="A3" i="97"/>
  <c r="A25" i="96"/>
  <c r="A24" i="96"/>
  <c r="A23" i="96"/>
  <c r="A22" i="96"/>
  <c r="A19" i="96"/>
  <c r="A18" i="96"/>
  <c r="A17" i="96"/>
  <c r="A16" i="96"/>
  <c r="A15" i="96"/>
  <c r="A14" i="96"/>
  <c r="A13" i="96"/>
  <c r="A12" i="96"/>
  <c r="A9" i="96"/>
  <c r="A8" i="96"/>
  <c r="A5" i="96"/>
  <c r="A4" i="96"/>
  <c r="A3" i="96"/>
  <c r="A25" i="81"/>
  <c r="A24" i="81"/>
  <c r="A23" i="81"/>
  <c r="A22" i="81"/>
  <c r="A19" i="81"/>
  <c r="A18" i="81"/>
  <c r="A17" i="81"/>
  <c r="A16" i="81"/>
  <c r="A15" i="81"/>
  <c r="A14" i="81"/>
  <c r="A13" i="81"/>
  <c r="A12" i="81"/>
  <c r="A9" i="81"/>
  <c r="A8" i="81"/>
  <c r="A5" i="81"/>
  <c r="A4" i="81"/>
  <c r="A3" i="81"/>
  <c r="A25" i="95"/>
  <c r="A24" i="95"/>
  <c r="A23" i="95"/>
  <c r="A22" i="95"/>
  <c r="A19" i="95"/>
  <c r="A18" i="95"/>
  <c r="A17" i="95"/>
  <c r="A16" i="95"/>
  <c r="A15" i="95"/>
  <c r="A14" i="95"/>
  <c r="A13" i="95"/>
  <c r="A12" i="95"/>
  <c r="A9" i="95"/>
  <c r="A8" i="95"/>
  <c r="A5" i="95"/>
  <c r="A4" i="95"/>
  <c r="A3" i="95"/>
  <c r="A25" i="82"/>
  <c r="A24" i="82"/>
  <c r="A23" i="82"/>
  <c r="A22" i="82"/>
  <c r="A19" i="82"/>
  <c r="A18" i="82"/>
  <c r="A17" i="82"/>
  <c r="A16" i="82"/>
  <c r="A15" i="82"/>
  <c r="A14" i="82"/>
  <c r="A13" i="82"/>
  <c r="A12" i="82"/>
  <c r="A9" i="82"/>
  <c r="A8" i="82"/>
  <c r="A5" i="82"/>
  <c r="A4" i="82"/>
  <c r="A3" i="82"/>
  <c r="A25" i="76"/>
  <c r="A24" i="76"/>
  <c r="A23" i="76"/>
  <c r="A22" i="76"/>
  <c r="A19" i="76"/>
  <c r="A18" i="76"/>
  <c r="A17" i="76"/>
  <c r="A16" i="76"/>
  <c r="A15" i="76"/>
  <c r="A14" i="76"/>
  <c r="A13" i="76"/>
  <c r="A12" i="76"/>
  <c r="A9" i="76"/>
  <c r="A8" i="76"/>
  <c r="A5" i="76"/>
  <c r="A4" i="76"/>
  <c r="A3" i="76"/>
  <c r="A25" i="69"/>
  <c r="A24" i="69"/>
  <c r="A23" i="69"/>
  <c r="A22" i="69"/>
  <c r="A19" i="69"/>
  <c r="A18" i="69"/>
  <c r="A17" i="69"/>
  <c r="A16" i="69"/>
  <c r="A15" i="69"/>
  <c r="A14" i="69"/>
  <c r="A13" i="69"/>
  <c r="A12" i="69"/>
  <c r="A9" i="69"/>
  <c r="A8" i="69"/>
  <c r="A5" i="69"/>
  <c r="A4" i="69"/>
  <c r="A3" i="69"/>
  <c r="A25" i="70"/>
  <c r="A24" i="70"/>
  <c r="A23" i="70"/>
  <c r="A22" i="70"/>
  <c r="A19" i="70"/>
  <c r="A18" i="70"/>
  <c r="A17" i="70"/>
  <c r="A16" i="70"/>
  <c r="A15" i="70"/>
  <c r="A14" i="70"/>
  <c r="A13" i="70"/>
  <c r="A12" i="70"/>
  <c r="A9" i="70"/>
  <c r="A8" i="70"/>
  <c r="A5" i="70"/>
  <c r="A4" i="70"/>
  <c r="A3" i="70"/>
  <c r="A25" i="15"/>
  <c r="A24" i="15"/>
  <c r="A23" i="15"/>
  <c r="A22" i="15"/>
  <c r="A19" i="15"/>
  <c r="A18" i="15"/>
  <c r="A17" i="15"/>
  <c r="A16" i="15"/>
  <c r="A15" i="15"/>
  <c r="A14" i="15"/>
  <c r="A13" i="15"/>
  <c r="A12" i="15"/>
  <c r="A9" i="15"/>
  <c r="A8" i="15"/>
  <c r="A5" i="15"/>
  <c r="A4" i="15"/>
  <c r="A3" i="15"/>
  <c r="A215" i="79"/>
  <c r="A174" i="79"/>
  <c r="A137" i="79"/>
  <c r="A104" i="79"/>
  <c r="A79" i="79"/>
  <c r="A55" i="79"/>
  <c r="A52" i="98"/>
  <c r="A50" i="97"/>
  <c r="A58" i="96"/>
  <c r="A39" i="81"/>
  <c r="A87" i="81"/>
  <c r="A117" i="81"/>
  <c r="A148" i="81"/>
  <c r="A57" i="95"/>
  <c r="A51" i="82"/>
  <c r="A73" i="82"/>
  <c r="A285" i="76"/>
  <c r="A245" i="76"/>
  <c r="A208" i="76"/>
  <c r="A171" i="76"/>
  <c r="A141" i="76"/>
  <c r="A121" i="76"/>
  <c r="A98" i="76"/>
  <c r="A67" i="76"/>
  <c r="I98" i="70"/>
  <c r="H98" i="70"/>
  <c r="G98" i="70"/>
  <c r="F98" i="70"/>
  <c r="I97" i="70"/>
  <c r="H97" i="70"/>
  <c r="G97" i="70"/>
  <c r="F97" i="70"/>
  <c r="E98" i="70"/>
  <c r="E97" i="70"/>
  <c r="F134" i="81"/>
  <c r="F133" i="81"/>
  <c r="F132" i="81"/>
  <c r="F131" i="81"/>
  <c r="F130" i="81"/>
  <c r="F129" i="81"/>
  <c r="F128" i="81"/>
  <c r="F127" i="81"/>
  <c r="F71" i="81"/>
  <c r="F70" i="81"/>
  <c r="F69" i="81"/>
  <c r="F68" i="81"/>
  <c r="F67" i="81"/>
  <c r="F66" i="81"/>
  <c r="F65" i="81"/>
  <c r="F64" i="81"/>
  <c r="E31" i="69" a="1"/>
  <c r="I88" i="76" l="1"/>
  <c r="I93" i="76"/>
  <c r="I98" i="76"/>
  <c r="S98" i="76"/>
  <c r="S88" i="76"/>
  <c r="I45" i="69"/>
  <c r="D50" i="69" a="1"/>
  <c r="D50" i="69" s="1"/>
  <c r="D88" i="76" s="1"/>
  <c r="O50" i="69" a="1"/>
  <c r="O50" i="69" s="1"/>
  <c r="N88" i="76" s="1"/>
  <c r="D93" i="76"/>
  <c r="E31" i="69"/>
  <c r="A25" i="106"/>
  <c r="A24" i="106"/>
  <c r="A23" i="106"/>
  <c r="A22" i="106"/>
  <c r="A19" i="106"/>
  <c r="A18" i="106"/>
  <c r="A17" i="106"/>
  <c r="A16" i="106"/>
  <c r="A15" i="106"/>
  <c r="A14" i="106"/>
  <c r="A13" i="106"/>
  <c r="A12" i="106"/>
  <c r="A9" i="106"/>
  <c r="A8" i="106"/>
  <c r="A5" i="106"/>
  <c r="A4" i="106"/>
  <c r="A3" i="106"/>
  <c r="A4" i="13"/>
  <c r="I14" i="96" l="1" a="1"/>
  <c r="I14" i="96" s="1"/>
  <c r="I13" i="96" a="1"/>
  <c r="I13" i="96" s="1"/>
  <c r="I13" i="97" a="1"/>
  <c r="I13" i="97" s="1"/>
  <c r="S43" i="98" a="1"/>
  <c r="S43" i="98" s="1"/>
  <c r="O43" i="98" a="1"/>
  <c r="O43" i="98" s="1"/>
  <c r="I13" i="98" a="1"/>
  <c r="I13" i="98" s="1"/>
  <c r="H43" i="98" a="1"/>
  <c r="H43" i="98" s="1"/>
  <c r="D43" i="98" a="1"/>
  <c r="D43" i="98" s="1"/>
  <c r="G13" i="98" a="1"/>
  <c r="G13" i="98" s="1"/>
  <c r="D13" i="98" a="1"/>
  <c r="D13" i="98" s="1"/>
  <c r="G13" i="97" a="1"/>
  <c r="G13" i="97" s="1"/>
  <c r="D13" i="97" a="1"/>
  <c r="D13" i="97" s="1"/>
  <c r="G38" i="97" a="1"/>
  <c r="G38" i="97" s="1"/>
  <c r="D38" i="97" a="1"/>
  <c r="D38" i="97" s="1"/>
  <c r="J43" i="96" a="1"/>
  <c r="J43" i="96" s="1"/>
  <c r="H43" i="96" a="1"/>
  <c r="H43" i="96" s="1"/>
  <c r="D43" i="96" a="1"/>
  <c r="D43" i="96" s="1"/>
  <c r="I161" i="76" a="1"/>
  <c r="I161" i="76" s="1"/>
  <c r="I160" i="76" a="1"/>
  <c r="I160" i="76" s="1"/>
  <c r="I159" i="76" a="1"/>
  <c r="I159" i="76" s="1"/>
  <c r="G159" i="76" a="1"/>
  <c r="G159" i="76" s="1"/>
  <c r="I166" i="76" s="1"/>
  <c r="D159" i="76" a="1"/>
  <c r="D159" i="76" s="1"/>
  <c r="G13" i="96" a="1"/>
  <c r="G13" i="96" s="1"/>
  <c r="T19" i="96" s="1"/>
  <c r="D13" i="96" a="1"/>
  <c r="D13" i="96" s="1"/>
  <c r="I101" i="81" a="1"/>
  <c r="I101" i="81" s="1"/>
  <c r="I100" i="81" a="1"/>
  <c r="I100" i="81" s="1"/>
  <c r="I99" i="81" a="1"/>
  <c r="I99" i="81" s="1"/>
  <c r="I98" i="81" a="1"/>
  <c r="I98" i="81" s="1"/>
  <c r="I97" i="81" a="1"/>
  <c r="I97" i="81" s="1"/>
  <c r="I17" i="81" a="1"/>
  <c r="I17" i="81" s="1"/>
  <c r="I16" i="81" a="1"/>
  <c r="I16" i="81" s="1"/>
  <c r="I15" i="81" a="1"/>
  <c r="I15" i="81" s="1"/>
  <c r="I14" i="81" a="1"/>
  <c r="I14" i="81" s="1"/>
  <c r="I13" i="81" a="1"/>
  <c r="I13" i="81" s="1"/>
  <c r="G13" i="81" a="1"/>
  <c r="D13" i="81" a="1"/>
  <c r="D13" i="81" s="1"/>
  <c r="G97" i="81" a="1"/>
  <c r="D97" i="81" a="1"/>
  <c r="D97" i="81" s="1"/>
  <c r="V23" i="95"/>
  <c r="I42" i="95" a="1"/>
  <c r="I42" i="95" s="1"/>
  <c r="J13" i="95" a="1"/>
  <c r="J13" i="95" s="1"/>
  <c r="G42" i="95" a="1"/>
  <c r="G42" i="95" s="1"/>
  <c r="D42" i="95" a="1"/>
  <c r="D42" i="95" s="1"/>
  <c r="H13" i="95" a="1"/>
  <c r="H13" i="95" s="1"/>
  <c r="K23" i="95" s="1"/>
  <c r="D13" i="95" a="1"/>
  <c r="D13" i="95" s="1"/>
  <c r="G61" i="82" a="1"/>
  <c r="G61" i="82" s="1"/>
  <c r="D61" i="82" a="1"/>
  <c r="D61" i="82" s="1"/>
  <c r="F31" i="82"/>
  <c r="V19" i="82"/>
  <c r="K19" i="82"/>
  <c r="I14" i="82" a="1"/>
  <c r="I14" i="82" s="1"/>
  <c r="I13" i="82" a="1"/>
  <c r="I13" i="82" s="1"/>
  <c r="G13" i="82" a="1"/>
  <c r="G13" i="82" s="1"/>
  <c r="D13" i="82" a="1"/>
  <c r="D13" i="82" s="1"/>
  <c r="I262" i="76" a="1"/>
  <c r="I262" i="76" s="1"/>
  <c r="I263" i="76" a="1"/>
  <c r="I263" i="76" s="1"/>
  <c r="G262" i="76" a="1"/>
  <c r="G262" i="76" s="1"/>
  <c r="D262" i="76" a="1"/>
  <c r="D262" i="76" s="1"/>
  <c r="I226" i="76" a="1"/>
  <c r="I226" i="76" s="1"/>
  <c r="I225" i="76" a="1"/>
  <c r="I225" i="76" s="1"/>
  <c r="J225" i="76" a="1"/>
  <c r="J225" i="76" s="1"/>
  <c r="G225" i="76" a="1"/>
  <c r="G225" i="76" s="1"/>
  <c r="D225" i="76" a="1"/>
  <c r="D225" i="76" s="1"/>
  <c r="I193" i="76" a="1"/>
  <c r="I193" i="76" s="1"/>
  <c r="I192" i="76" a="1"/>
  <c r="I192" i="76" s="1"/>
  <c r="I191" i="76" a="1"/>
  <c r="I191" i="76" s="1"/>
  <c r="I190" i="76" a="1"/>
  <c r="I190" i="76" s="1"/>
  <c r="I189" i="76" a="1"/>
  <c r="I189" i="76" s="1"/>
  <c r="G189" i="76" a="1"/>
  <c r="G189" i="76" s="1"/>
  <c r="D189" i="76" a="1"/>
  <c r="D189" i="76" s="1"/>
  <c r="I139" i="76" a="1"/>
  <c r="I139" i="76" s="1"/>
  <c r="I140" i="76" a="1"/>
  <c r="I140" i="76" s="1"/>
  <c r="I141" i="76" a="1"/>
  <c r="I141" i="76" s="1"/>
  <c r="G139" i="76" a="1"/>
  <c r="G139" i="76" s="1"/>
  <c r="D139" i="76" a="1"/>
  <c r="D139" i="76" s="1"/>
  <c r="H115" i="76" a="1"/>
  <c r="H115" i="76" s="1"/>
  <c r="H116" i="76" a="1"/>
  <c r="H116" i="76" s="1"/>
  <c r="D115" i="76" a="1"/>
  <c r="D115" i="76" s="1"/>
  <c r="I83" i="76" a="1"/>
  <c r="I83" i="76" s="1"/>
  <c r="I82" i="76" a="1"/>
  <c r="I82" i="76" s="1"/>
  <c r="I81" i="76" a="1"/>
  <c r="I81" i="76" s="1"/>
  <c r="I79" i="76" a="1"/>
  <c r="I79" i="76" s="1"/>
  <c r="I45" i="76" a="1"/>
  <c r="I45" i="76" s="1"/>
  <c r="I44" i="76" a="1"/>
  <c r="I44" i="76" s="1"/>
  <c r="I43" i="76" a="1"/>
  <c r="I43" i="76" s="1"/>
  <c r="I42" i="76" a="1"/>
  <c r="I42" i="76" s="1"/>
  <c r="G42" i="76" a="1"/>
  <c r="G42" i="76" s="1"/>
  <c r="I50" i="76" s="1"/>
  <c r="D42" i="76" a="1"/>
  <c r="D42" i="76" s="1"/>
  <c r="H14" i="76" a="1"/>
  <c r="H14" i="76" s="1"/>
  <c r="H13" i="76" a="1"/>
  <c r="H13" i="76" s="1"/>
  <c r="F13" i="76" a="1"/>
  <c r="F13" i="76" s="1"/>
  <c r="D13" i="76" a="1"/>
  <c r="D13" i="76" s="1"/>
  <c r="A51" i="69"/>
  <c r="A105" i="69"/>
  <c r="A151" i="69"/>
  <c r="A178" i="69"/>
  <c r="A217" i="69"/>
  <c r="A275" i="69"/>
  <c r="O290" i="69"/>
  <c r="D290" i="69"/>
  <c r="O237" i="69"/>
  <c r="D237" i="69"/>
  <c r="O151" i="69"/>
  <c r="O162" i="69"/>
  <c r="O173" i="69"/>
  <c r="D173" i="69"/>
  <c r="D162" i="69"/>
  <c r="D151" i="69"/>
  <c r="G97" i="81" l="1"/>
  <c r="G127" i="81"/>
  <c r="G13" i="81"/>
  <c r="G64" i="81"/>
  <c r="V52" i="81"/>
  <c r="K52" i="81"/>
  <c r="I19" i="96"/>
  <c r="K25" i="96"/>
  <c r="V25" i="96"/>
  <c r="I171" i="76"/>
  <c r="I121" i="76"/>
  <c r="S121" i="76"/>
  <c r="I198" i="76"/>
  <c r="I203" i="76"/>
  <c r="I208" i="76"/>
  <c r="S203" i="76"/>
  <c r="S208" i="76"/>
  <c r="I55" i="76"/>
  <c r="V40" i="81" l="1"/>
  <c r="K40" i="81"/>
  <c r="T220" i="69" a="1"/>
  <c r="T220" i="69" s="1"/>
  <c r="R218" i="69" a="1"/>
  <c r="R218" i="69" s="1"/>
  <c r="O218" i="69" a="1"/>
  <c r="O218" i="69" s="1"/>
  <c r="T223" i="69" l="1"/>
  <c r="J265" i="69" a="1"/>
  <c r="J265" i="69" s="1"/>
  <c r="J264" i="69" a="1"/>
  <c r="J264" i="69" s="1"/>
  <c r="J263" i="69" a="1"/>
  <c r="J263" i="69" s="1"/>
  <c r="J262" i="69" a="1"/>
  <c r="J262" i="69" s="1"/>
  <c r="J261" i="69" a="1"/>
  <c r="J261" i="69" s="1"/>
  <c r="J260" i="69" a="1"/>
  <c r="J260" i="69" s="1"/>
  <c r="J259" i="69" a="1"/>
  <c r="J259" i="69" s="1"/>
  <c r="J258" i="69" a="1"/>
  <c r="J258" i="69" s="1"/>
  <c r="H258" i="69" a="1"/>
  <c r="H258" i="69" s="1"/>
  <c r="D258" i="69" a="1"/>
  <c r="D258" i="69" s="1"/>
  <c r="I220" i="69" a="1"/>
  <c r="I220" i="69" s="1"/>
  <c r="I219" i="69" a="1"/>
  <c r="I219" i="69" s="1"/>
  <c r="J219" i="69" a="1"/>
  <c r="J219" i="69" s="1"/>
  <c r="I218" i="69" a="1"/>
  <c r="I218" i="69" s="1"/>
  <c r="G218" i="69" a="1"/>
  <c r="G218" i="69" s="1"/>
  <c r="D218" i="69" a="1"/>
  <c r="D218" i="69" s="1"/>
  <c r="I194" i="69" a="1"/>
  <c r="I194" i="69" s="1"/>
  <c r="I193" i="69" a="1"/>
  <c r="I193" i="69" s="1"/>
  <c r="I192" i="69" a="1"/>
  <c r="I192" i="69" s="1"/>
  <c r="G192" i="69" a="1"/>
  <c r="G192" i="69" s="1"/>
  <c r="D192" i="69" a="1"/>
  <c r="D192" i="69" s="1"/>
  <c r="I146" i="69" a="1"/>
  <c r="I146" i="69" s="1"/>
  <c r="I145" i="69" a="1"/>
  <c r="I145" i="69" s="1"/>
  <c r="G145" i="69" a="1"/>
  <c r="D145" i="69" a="1"/>
  <c r="D145" i="69" s="1"/>
  <c r="I127" i="69" a="1"/>
  <c r="I127" i="69" s="1"/>
  <c r="I126" i="69" a="1"/>
  <c r="I126" i="69" s="1"/>
  <c r="G126" i="69" a="1"/>
  <c r="G126" i="69" s="1"/>
  <c r="D126" i="69" a="1"/>
  <c r="D126" i="69" s="1"/>
  <c r="I91" i="69" a="1"/>
  <c r="I91" i="69" s="1"/>
  <c r="I92" i="69" a="1"/>
  <c r="I92" i="69" s="1"/>
  <c r="I93" i="69" a="1"/>
  <c r="I93" i="69" s="1"/>
  <c r="I94" i="69" a="1"/>
  <c r="I94" i="69" s="1"/>
  <c r="G91" i="69" a="1"/>
  <c r="G91" i="69" s="1"/>
  <c r="D91" i="69" a="1"/>
  <c r="D91" i="69" s="1"/>
  <c r="I63" i="69" a="1"/>
  <c r="I63" i="69" s="1"/>
  <c r="I68" i="69" a="1"/>
  <c r="I68" i="69" s="1"/>
  <c r="G62" i="69" a="1"/>
  <c r="G62" i="69" s="1"/>
  <c r="D62" i="69" a="1"/>
  <c r="D62" i="69" s="1"/>
  <c r="P229" i="69" l="1"/>
  <c r="P231" i="69"/>
  <c r="P230" i="69"/>
  <c r="P232" i="69"/>
  <c r="G145" i="69"/>
  <c r="G162" i="69"/>
  <c r="R162" i="69"/>
  <c r="K151" i="69" l="1"/>
  <c r="V152" i="69"/>
  <c r="G14" i="69" l="1" a="1"/>
  <c r="G14" i="69" s="1"/>
  <c r="D14" i="69" a="1"/>
  <c r="D14" i="69" s="1"/>
  <c r="O47" i="81"/>
  <c r="D47" i="81"/>
  <c r="O46" i="81"/>
  <c r="D46" i="81"/>
  <c r="O45" i="81"/>
  <c r="D45" i="81"/>
  <c r="O44" i="81"/>
  <c r="D44" i="81"/>
  <c r="O43" i="81"/>
  <c r="D43" i="81"/>
  <c r="O42" i="81"/>
  <c r="D42" i="81"/>
  <c r="O41" i="81"/>
  <c r="D41" i="81"/>
  <c r="O40" i="81"/>
  <c r="D40" i="81"/>
  <c r="O59" i="81"/>
  <c r="O58" i="81"/>
  <c r="O57" i="81"/>
  <c r="O56" i="81"/>
  <c r="O55" i="81"/>
  <c r="O54" i="81"/>
  <c r="O53" i="81"/>
  <c r="O52" i="81"/>
  <c r="D59" i="81"/>
  <c r="D58" i="81"/>
  <c r="D57" i="81"/>
  <c r="D56" i="81"/>
  <c r="D55" i="81"/>
  <c r="D54" i="81"/>
  <c r="D53" i="81"/>
  <c r="D52" i="81"/>
  <c r="O146" i="81" l="1"/>
  <c r="D146" i="81"/>
  <c r="O145" i="81"/>
  <c r="D145" i="81"/>
  <c r="O144" i="81"/>
  <c r="D144" i="81"/>
  <c r="O143" i="81"/>
  <c r="D143" i="81"/>
  <c r="O142" i="81"/>
  <c r="D142" i="81"/>
  <c r="O141" i="81"/>
  <c r="D141" i="81"/>
  <c r="O140" i="81"/>
  <c r="D140" i="81"/>
  <c r="O139" i="81"/>
  <c r="D139" i="81"/>
  <c r="D134" i="81"/>
  <c r="D133" i="81"/>
  <c r="D132" i="81"/>
  <c r="D131" i="81"/>
  <c r="D130" i="81"/>
  <c r="D129" i="81"/>
  <c r="D128" i="81"/>
  <c r="D127" i="81"/>
  <c r="A19" i="13" l="1"/>
  <c r="A18" i="13"/>
  <c r="A22" i="13"/>
  <c r="A17" i="13"/>
  <c r="A15" i="13"/>
  <c r="A16" i="13"/>
  <c r="A14" i="13"/>
  <c r="A13" i="13"/>
  <c r="A9" i="13"/>
  <c r="A12" i="13"/>
  <c r="D249" i="69" a="1"/>
  <c r="D249" i="69" s="1"/>
  <c r="Q52" i="98" a="1"/>
  <c r="Q52" i="98" s="1"/>
  <c r="O49" i="98" a="1"/>
  <c r="O49" i="98" s="1"/>
  <c r="F52" i="98" a="1"/>
  <c r="F52" i="98" s="1"/>
  <c r="J13" i="13" s="1"/>
  <c r="D49" i="98" a="1"/>
  <c r="D49" i="98" s="1"/>
  <c r="D35" i="98" a="1"/>
  <c r="D35" i="98" s="1"/>
  <c r="E41" i="98" a="1"/>
  <c r="E41" i="98" s="1"/>
  <c r="F47" i="98" s="1"/>
  <c r="G13" i="13" s="1"/>
  <c r="E40" i="98" a="1"/>
  <c r="E40" i="98" s="1"/>
  <c r="D36" i="98" a="1"/>
  <c r="D36" i="98" s="1"/>
  <c r="O28" i="98"/>
  <c r="D28" i="98"/>
  <c r="I18" i="98"/>
  <c r="I17" i="98"/>
  <c r="I16" i="98"/>
  <c r="I14" i="98" s="1"/>
  <c r="O23" i="98"/>
  <c r="D23" i="98"/>
  <c r="E11" i="98" a="1"/>
  <c r="E11" i="98" s="1"/>
  <c r="V23" i="98" s="1"/>
  <c r="E10" i="98" a="1"/>
  <c r="E10" i="98" s="1"/>
  <c r="D6" i="98" a="1"/>
  <c r="D6" i="98" s="1"/>
  <c r="D5" i="98" a="1"/>
  <c r="D5" i="98" s="1"/>
  <c r="Q50" i="97" a="1"/>
  <c r="Q50" i="97" s="1"/>
  <c r="O47" i="97" a="1"/>
  <c r="O47" i="97" s="1"/>
  <c r="F50" i="97" a="1"/>
  <c r="F50" i="97" s="1"/>
  <c r="J12" i="13" s="1"/>
  <c r="D47" i="97" a="1"/>
  <c r="D47" i="97" s="1"/>
  <c r="I42" i="97"/>
  <c r="I39" i="97" s="1"/>
  <c r="I41" i="97"/>
  <c r="O38" i="97"/>
  <c r="E36" i="97" a="1"/>
  <c r="E36" i="97" s="1"/>
  <c r="F45" i="97" s="1"/>
  <c r="G12" i="13" s="1"/>
  <c r="E35" i="97" a="1"/>
  <c r="E35" i="97" s="1"/>
  <c r="D31" i="97" a="1"/>
  <c r="D31" i="97" s="1"/>
  <c r="D30" i="97" a="1"/>
  <c r="D30" i="97" s="1"/>
  <c r="O24" i="97"/>
  <c r="D24" i="97"/>
  <c r="D221" i="79" a="1"/>
  <c r="D221" i="79" s="1"/>
  <c r="I14" i="97" s="1"/>
  <c r="D220" i="79" a="1"/>
  <c r="D220" i="79" s="1"/>
  <c r="D219" i="79" a="1"/>
  <c r="D219" i="79" s="1"/>
  <c r="D218" i="79" a="1"/>
  <c r="D218" i="79" s="1"/>
  <c r="D217" i="79" a="1"/>
  <c r="D217" i="79" s="1"/>
  <c r="O19" i="97"/>
  <c r="D19" i="97"/>
  <c r="E11" i="97" a="1"/>
  <c r="E11" i="97" s="1"/>
  <c r="V19" i="97" s="1"/>
  <c r="E10" i="97" a="1"/>
  <c r="E10" i="97" s="1"/>
  <c r="D6" i="97" a="1"/>
  <c r="D6" i="97" s="1"/>
  <c r="D5" i="97" a="1"/>
  <c r="D5" i="97" s="1"/>
  <c r="Q58" i="96" a="1"/>
  <c r="Q58" i="96" s="1"/>
  <c r="O55" i="96" a="1"/>
  <c r="O55" i="96" s="1"/>
  <c r="F58" i="96" a="1"/>
  <c r="F58" i="96" s="1"/>
  <c r="J11" i="13" s="1"/>
  <c r="D55" i="96" a="1"/>
  <c r="D55" i="96" s="1"/>
  <c r="O51" i="96"/>
  <c r="D51" i="96"/>
  <c r="D35" i="96" a="1"/>
  <c r="D35" i="96" s="1"/>
  <c r="D36" i="96" a="1"/>
  <c r="D36" i="96" s="1"/>
  <c r="O31" i="96"/>
  <c r="D31" i="96"/>
  <c r="O25" i="96"/>
  <c r="D25" i="96"/>
  <c r="E11" i="96" a="1"/>
  <c r="E11" i="96" s="1"/>
  <c r="K31" i="96" s="1"/>
  <c r="E10" i="96" a="1"/>
  <c r="E10" i="96" s="1"/>
  <c r="D6" i="96" a="1"/>
  <c r="D6" i="96" s="1"/>
  <c r="D5" i="96" a="1"/>
  <c r="D5" i="96" s="1"/>
  <c r="E41" i="96" a="1"/>
  <c r="E41" i="96" s="1"/>
  <c r="Q53" i="96" s="1"/>
  <c r="E40" i="96" a="1"/>
  <c r="E40" i="96" s="1"/>
  <c r="O113" i="81"/>
  <c r="O112" i="81"/>
  <c r="O111" i="81"/>
  <c r="O110" i="81"/>
  <c r="O109" i="81"/>
  <c r="O108" i="81"/>
  <c r="O107" i="81"/>
  <c r="O106" i="81"/>
  <c r="D113" i="81"/>
  <c r="D112" i="81"/>
  <c r="D111" i="81"/>
  <c r="D110" i="81"/>
  <c r="D109" i="81"/>
  <c r="D108" i="81"/>
  <c r="D107" i="81"/>
  <c r="D106" i="81"/>
  <c r="E95" i="81" a="1"/>
  <c r="E95" i="81" s="1"/>
  <c r="V106" i="81" s="1"/>
  <c r="E94" i="81" a="1"/>
  <c r="E94" i="81" s="1"/>
  <c r="D90" i="81" a="1"/>
  <c r="D90" i="81" s="1"/>
  <c r="D89" i="81" a="1"/>
  <c r="D89" i="81" s="1"/>
  <c r="O83" i="81"/>
  <c r="O82" i="81"/>
  <c r="O81" i="81"/>
  <c r="O80" i="81"/>
  <c r="O79" i="81"/>
  <c r="O78" i="81"/>
  <c r="O77" i="81"/>
  <c r="O76" i="81"/>
  <c r="D83" i="81"/>
  <c r="D82" i="81"/>
  <c r="D81" i="81"/>
  <c r="D80" i="81"/>
  <c r="D79" i="81"/>
  <c r="D78" i="81"/>
  <c r="D77" i="81"/>
  <c r="D76" i="81"/>
  <c r="D71" i="81"/>
  <c r="D70" i="81"/>
  <c r="D69" i="81"/>
  <c r="D68" i="81"/>
  <c r="D67" i="81"/>
  <c r="D66" i="81"/>
  <c r="D65" i="81"/>
  <c r="D64" i="81"/>
  <c r="E11" i="81" a="1"/>
  <c r="E11" i="81" s="1"/>
  <c r="V76" i="81" s="1"/>
  <c r="E10" i="81" a="1"/>
  <c r="E10" i="81" s="1"/>
  <c r="D6" i="81" a="1"/>
  <c r="D6" i="81" s="1"/>
  <c r="D119" i="81" s="1"/>
  <c r="D5" i="81" a="1"/>
  <c r="D5" i="81" s="1"/>
  <c r="D209" i="79" a="1"/>
  <c r="D209" i="79" s="1"/>
  <c r="D208" i="79" a="1"/>
  <c r="D208" i="79" s="1"/>
  <c r="D207" i="79" a="1"/>
  <c r="D207" i="79" s="1"/>
  <c r="D206" i="79" a="1"/>
  <c r="D206" i="79" s="1"/>
  <c r="D205" i="79" a="1"/>
  <c r="D205" i="79" s="1"/>
  <c r="D202" i="79" a="1"/>
  <c r="D202" i="79" s="1"/>
  <c r="I43" i="95" s="1"/>
  <c r="D201" i="79" a="1"/>
  <c r="D201" i="79" s="1"/>
  <c r="D200" i="79" a="1"/>
  <c r="D200" i="79" s="1"/>
  <c r="D199" i="79" a="1"/>
  <c r="D199" i="79" s="1"/>
  <c r="D198" i="79" a="1"/>
  <c r="D198" i="79" s="1"/>
  <c r="Q57" i="95" a="1"/>
  <c r="Q57" i="95" s="1"/>
  <c r="O54" i="95" a="1"/>
  <c r="O54" i="95" s="1"/>
  <c r="F57" i="95" a="1"/>
  <c r="F57" i="95" s="1"/>
  <c r="J10" i="13" s="1"/>
  <c r="D54" i="95" a="1"/>
  <c r="D54" i="95" s="1"/>
  <c r="O50" i="95"/>
  <c r="O49" i="95"/>
  <c r="D50" i="95"/>
  <c r="D49" i="95"/>
  <c r="E40" i="95" a="1"/>
  <c r="E40" i="95" s="1"/>
  <c r="K49" i="95" s="1"/>
  <c r="E39" i="95" a="1"/>
  <c r="E39" i="95" s="1"/>
  <c r="D35" i="95" a="1"/>
  <c r="D35" i="95" s="1"/>
  <c r="D34" i="95" a="1"/>
  <c r="D34" i="95" s="1"/>
  <c r="O30" i="95"/>
  <c r="O29" i="95"/>
  <c r="O24" i="95"/>
  <c r="O23" i="95"/>
  <c r="D30" i="95"/>
  <c r="D29" i="95"/>
  <c r="D24" i="95"/>
  <c r="D23" i="95"/>
  <c r="E32" i="97" a="1"/>
  <c r="E7" i="96" a="1"/>
  <c r="E7" i="95" a="1"/>
  <c r="E7" i="97" a="1"/>
  <c r="E7" i="81" a="1"/>
  <c r="E36" i="95" a="1"/>
  <c r="E55" i="82" a="1"/>
  <c r="E37" i="96" a="1"/>
  <c r="E37" i="98" a="1"/>
  <c r="E91" i="81" a="1"/>
  <c r="E7" i="98" a="1"/>
  <c r="F148" i="81" l="1"/>
  <c r="K142" i="81"/>
  <c r="V139" i="81"/>
  <c r="K144" i="81"/>
  <c r="K140" i="81"/>
  <c r="K146" i="81"/>
  <c r="K139" i="81"/>
  <c r="K141" i="81"/>
  <c r="K143" i="81"/>
  <c r="K145" i="81"/>
  <c r="Q148" i="81"/>
  <c r="Q47" i="98"/>
  <c r="P38" i="97"/>
  <c r="I15" i="98"/>
  <c r="K28" i="98"/>
  <c r="V28" i="98"/>
  <c r="J44" i="98"/>
  <c r="F30" i="98"/>
  <c r="F26" i="97"/>
  <c r="Q45" i="97"/>
  <c r="Q30" i="98"/>
  <c r="Q26" i="97"/>
  <c r="E55" i="82"/>
  <c r="E37" i="98"/>
  <c r="E32" i="97"/>
  <c r="E7" i="98"/>
  <c r="K23" i="98"/>
  <c r="V24" i="97"/>
  <c r="K51" i="96"/>
  <c r="V51" i="96"/>
  <c r="K24" i="97"/>
  <c r="E7" i="97"/>
  <c r="K19" i="97"/>
  <c r="V31" i="96"/>
  <c r="F53" i="96"/>
  <c r="G11" i="13" s="1"/>
  <c r="E37" i="96"/>
  <c r="E7" i="96"/>
  <c r="V49" i="95"/>
  <c r="Q52" i="95"/>
  <c r="F52" i="95"/>
  <c r="G10" i="13" s="1"/>
  <c r="Q115" i="81"/>
  <c r="F85" i="81"/>
  <c r="F115" i="81"/>
  <c r="K76" i="81"/>
  <c r="K106" i="81"/>
  <c r="E91" i="81"/>
  <c r="E7" i="81"/>
  <c r="E36" i="95"/>
  <c r="E7" i="95"/>
  <c r="J18" i="95" l="1"/>
  <c r="J17" i="95"/>
  <c r="I64" i="82"/>
  <c r="I65" i="82"/>
  <c r="J16" i="95"/>
  <c r="D6" i="95" a="1"/>
  <c r="D6" i="95" s="1"/>
  <c r="E11" i="95" a="1"/>
  <c r="E11" i="95" s="1"/>
  <c r="V29" i="95" s="1"/>
  <c r="E10" i="95" a="1"/>
  <c r="E10" i="95" s="1"/>
  <c r="D5" i="95" a="1"/>
  <c r="D5" i="95" s="1"/>
  <c r="Q73" i="82" a="1"/>
  <c r="Q73" i="82" s="1"/>
  <c r="O70" i="82" a="1"/>
  <c r="O70" i="82" s="1"/>
  <c r="F73" i="82" a="1"/>
  <c r="F73" i="82" s="1"/>
  <c r="J9" i="13" s="1"/>
  <c r="D70" i="82" a="1"/>
  <c r="D70" i="82" s="1"/>
  <c r="E59" i="82" a="1"/>
  <c r="E59" i="82" s="1"/>
  <c r="F68" i="82" s="1"/>
  <c r="G9" i="13" s="1"/>
  <c r="E58" i="82" a="1"/>
  <c r="E58" i="82" s="1"/>
  <c r="D54" i="82" a="1"/>
  <c r="D54" i="82" s="1"/>
  <c r="D53" i="82" a="1"/>
  <c r="D53" i="82" s="1"/>
  <c r="O47" i="82"/>
  <c r="O46" i="82"/>
  <c r="O45" i="82"/>
  <c r="O44" i="82"/>
  <c r="O43" i="82"/>
  <c r="O42" i="82"/>
  <c r="O41" i="82"/>
  <c r="O40" i="82"/>
  <c r="D47" i="82"/>
  <c r="D46" i="82"/>
  <c r="D45" i="82"/>
  <c r="D44" i="82"/>
  <c r="D43" i="82"/>
  <c r="D42" i="82"/>
  <c r="D41" i="82"/>
  <c r="D40" i="82"/>
  <c r="O26" i="82"/>
  <c r="O25" i="82"/>
  <c r="O24" i="82"/>
  <c r="O23" i="82"/>
  <c r="O22" i="82"/>
  <c r="O21" i="82"/>
  <c r="O20" i="82"/>
  <c r="O19" i="82"/>
  <c r="D26" i="82"/>
  <c r="D25" i="82"/>
  <c r="D24" i="82"/>
  <c r="D23" i="82"/>
  <c r="D22" i="82"/>
  <c r="D21" i="82"/>
  <c r="D20" i="82"/>
  <c r="D19" i="82"/>
  <c r="D6" i="82" a="1"/>
  <c r="D6" i="82" s="1"/>
  <c r="E11" i="82" a="1"/>
  <c r="E11" i="82" s="1"/>
  <c r="E10" i="82" a="1"/>
  <c r="E10" i="82" s="1"/>
  <c r="D5" i="82" a="1"/>
  <c r="D5" i="82" s="1"/>
  <c r="P292" i="76" a="1"/>
  <c r="P292" i="76" s="1"/>
  <c r="N289" i="76" a="1"/>
  <c r="N289" i="76" s="1"/>
  <c r="N285" i="76"/>
  <c r="N284" i="76"/>
  <c r="N283" i="76"/>
  <c r="N282" i="76"/>
  <c r="N281" i="76"/>
  <c r="N280" i="76"/>
  <c r="N279" i="76"/>
  <c r="N278" i="76"/>
  <c r="F292" i="76" a="1"/>
  <c r="F292" i="76" s="1"/>
  <c r="D289" i="76" a="1"/>
  <c r="D289" i="76" s="1"/>
  <c r="D285" i="76"/>
  <c r="D284" i="76"/>
  <c r="D283" i="76"/>
  <c r="D282" i="76"/>
  <c r="D281" i="76"/>
  <c r="D280" i="76"/>
  <c r="D279" i="76"/>
  <c r="D278" i="76"/>
  <c r="E260" i="76" a="1"/>
  <c r="E260" i="76" s="1"/>
  <c r="P287" i="76" s="1"/>
  <c r="E259" i="76" a="1"/>
  <c r="E259" i="76" s="1"/>
  <c r="D255" i="76" a="1"/>
  <c r="D255" i="76" s="1"/>
  <c r="D254" i="76" a="1"/>
  <c r="D254" i="76" s="1"/>
  <c r="N250" i="76"/>
  <c r="N249" i="76"/>
  <c r="N248" i="76"/>
  <c r="N247" i="76"/>
  <c r="N246" i="76"/>
  <c r="N245" i="76"/>
  <c r="N244" i="76"/>
  <c r="N243" i="76"/>
  <c r="D250" i="76"/>
  <c r="D249" i="76"/>
  <c r="D248" i="76"/>
  <c r="D247" i="76"/>
  <c r="D246" i="76"/>
  <c r="D245" i="76"/>
  <c r="D244" i="76"/>
  <c r="D243" i="76"/>
  <c r="N238" i="76"/>
  <c r="N237" i="76"/>
  <c r="N236" i="76"/>
  <c r="N235" i="76"/>
  <c r="N234" i="76"/>
  <c r="N233" i="76"/>
  <c r="N232" i="76"/>
  <c r="N231" i="76"/>
  <c r="D238" i="76"/>
  <c r="D237" i="76"/>
  <c r="D236" i="76"/>
  <c r="D235" i="76"/>
  <c r="D234" i="76"/>
  <c r="D233" i="76"/>
  <c r="D232" i="76"/>
  <c r="D231" i="76"/>
  <c r="E223" i="76" a="1"/>
  <c r="E223" i="76" s="1"/>
  <c r="E222" i="76" a="1"/>
  <c r="E222" i="76" s="1"/>
  <c r="D218" i="76" a="1"/>
  <c r="D218" i="76" s="1"/>
  <c r="D217" i="76" a="1"/>
  <c r="D217" i="76" s="1"/>
  <c r="D182" i="76" a="1"/>
  <c r="D182" i="76" s="1"/>
  <c r="E187" i="76" a="1"/>
  <c r="E187" i="76" s="1"/>
  <c r="E186" i="76" a="1"/>
  <c r="E186" i="76" s="1"/>
  <c r="D181" i="76" a="1"/>
  <c r="D181" i="76" s="1"/>
  <c r="D180" i="76" a="1"/>
  <c r="D180" i="76" s="1"/>
  <c r="H166" i="76"/>
  <c r="G166" i="76"/>
  <c r="F166" i="76"/>
  <c r="E166" i="76"/>
  <c r="D166" i="76"/>
  <c r="H270" i="69"/>
  <c r="G270" i="69"/>
  <c r="F270" i="69"/>
  <c r="E270" i="69"/>
  <c r="D270" i="69"/>
  <c r="D152" i="76" a="1"/>
  <c r="D152" i="76" s="1"/>
  <c r="E157" i="76" a="1"/>
  <c r="E157" i="76" s="1"/>
  <c r="S176" i="76" s="1"/>
  <c r="E156" i="76" a="1"/>
  <c r="E156" i="76" s="1"/>
  <c r="D151" i="76" a="1"/>
  <c r="D151" i="76" s="1"/>
  <c r="D150" i="76" a="1"/>
  <c r="D150" i="76" s="1"/>
  <c r="E137" i="76" a="1"/>
  <c r="E137" i="76" s="1"/>
  <c r="I146" i="76" s="1"/>
  <c r="E136" i="76" a="1"/>
  <c r="E136" i="76" s="1"/>
  <c r="D131" i="76" a="1"/>
  <c r="D131" i="76" s="1"/>
  <c r="D130" i="76" a="1"/>
  <c r="D130" i="76" s="1"/>
  <c r="R121" i="76"/>
  <c r="Q121" i="76"/>
  <c r="P121" i="76"/>
  <c r="O121" i="76"/>
  <c r="N121" i="76"/>
  <c r="E113" i="76" a="1"/>
  <c r="E113" i="76" s="1"/>
  <c r="S126" i="76" s="1"/>
  <c r="E112" i="76" a="1"/>
  <c r="E112" i="76" s="1"/>
  <c r="D108" i="76" a="1"/>
  <c r="D108" i="76" s="1"/>
  <c r="D107" i="76" a="1"/>
  <c r="D107" i="76" s="1"/>
  <c r="E76" i="76" a="1"/>
  <c r="E76" i="76" s="1"/>
  <c r="I103" i="76" s="1"/>
  <c r="E75" i="76" a="1"/>
  <c r="E75" i="76" s="1"/>
  <c r="D70" i="76" a="1"/>
  <c r="D70" i="76" s="1"/>
  <c r="D69" i="76" a="1"/>
  <c r="D69" i="76" s="1"/>
  <c r="E40" i="76" a="1"/>
  <c r="E40" i="76" s="1"/>
  <c r="S65" i="76" s="1"/>
  <c r="E39" i="76" a="1"/>
  <c r="E39" i="76" s="1"/>
  <c r="D34" i="76" a="1"/>
  <c r="D34" i="76" s="1"/>
  <c r="D33" i="76" a="1"/>
  <c r="D33" i="76" s="1"/>
  <c r="E11" i="76" a="1"/>
  <c r="E11" i="76" s="1"/>
  <c r="I29" i="76" s="1"/>
  <c r="E10" i="76" a="1"/>
  <c r="E10" i="76" s="1"/>
  <c r="D6" i="76" a="1"/>
  <c r="D6" i="76" s="1"/>
  <c r="D5" i="76" a="1"/>
  <c r="D5" i="76" s="1"/>
  <c r="Q305" i="69" a="1"/>
  <c r="Q305" i="69" s="1"/>
  <c r="O302" i="69" a="1"/>
  <c r="O302" i="69" s="1"/>
  <c r="O298" i="69"/>
  <c r="O297" i="69"/>
  <c r="O296" i="69"/>
  <c r="O295" i="69"/>
  <c r="O294" i="69"/>
  <c r="O293" i="69"/>
  <c r="O292" i="69"/>
  <c r="O291" i="69"/>
  <c r="O245" i="69"/>
  <c r="O244" i="69"/>
  <c r="O243" i="69"/>
  <c r="O242" i="69"/>
  <c r="O241" i="69"/>
  <c r="O240" i="69"/>
  <c r="O239" i="69"/>
  <c r="O238" i="69"/>
  <c r="F305" i="69" a="1"/>
  <c r="F305" i="69" s="1"/>
  <c r="J7" i="13" s="1"/>
  <c r="D302" i="69" a="1"/>
  <c r="D302" i="69" s="1"/>
  <c r="D298" i="69"/>
  <c r="D297" i="69"/>
  <c r="D296" i="69"/>
  <c r="D295" i="69"/>
  <c r="D294" i="69"/>
  <c r="D293" i="69"/>
  <c r="D292" i="69"/>
  <c r="D291" i="69"/>
  <c r="E256" i="69" a="1"/>
  <c r="E256" i="69" s="1"/>
  <c r="Q300" i="69" s="1"/>
  <c r="E255" i="69" a="1"/>
  <c r="E255" i="69" s="1"/>
  <c r="D251" i="69" a="1"/>
  <c r="D251" i="69" s="1"/>
  <c r="D250" i="69" a="1"/>
  <c r="D250" i="69" s="1"/>
  <c r="D245" i="69"/>
  <c r="D244" i="69"/>
  <c r="D243" i="69"/>
  <c r="D242" i="69"/>
  <c r="D241" i="69"/>
  <c r="D240" i="69"/>
  <c r="D239" i="69"/>
  <c r="D238" i="69"/>
  <c r="D195" i="79" a="1"/>
  <c r="D195" i="79" s="1"/>
  <c r="D194" i="79" a="1"/>
  <c r="D194" i="79" s="1"/>
  <c r="D193" i="79" a="1"/>
  <c r="D193" i="79" s="1"/>
  <c r="D192" i="79" a="1"/>
  <c r="D192" i="79" s="1"/>
  <c r="D191" i="79" a="1"/>
  <c r="D191" i="79" s="1"/>
  <c r="E215" i="69" a="1"/>
  <c r="E215" i="69" s="1"/>
  <c r="D211" i="69" a="1"/>
  <c r="D211" i="69" s="1"/>
  <c r="E216" i="69" a="1"/>
  <c r="E216" i="69" s="1"/>
  <c r="D210" i="69" a="1"/>
  <c r="D210" i="69" s="1"/>
  <c r="O206" i="69"/>
  <c r="O205" i="69"/>
  <c r="O200" i="69"/>
  <c r="O199" i="69"/>
  <c r="D185" i="69" a="1"/>
  <c r="D185" i="69" s="1"/>
  <c r="D206" i="69"/>
  <c r="D205" i="69"/>
  <c r="D200" i="69"/>
  <c r="D199" i="69"/>
  <c r="E190" i="69" a="1"/>
  <c r="E190" i="69" s="1"/>
  <c r="V206" i="69" s="1"/>
  <c r="E189" i="69" a="1"/>
  <c r="E189" i="69" s="1"/>
  <c r="D184" i="69" a="1"/>
  <c r="D184" i="69" s="1"/>
  <c r="D183" i="69" a="1"/>
  <c r="D183" i="69" s="1"/>
  <c r="O179" i="69"/>
  <c r="O178" i="69"/>
  <c r="O177" i="69"/>
  <c r="O176" i="69"/>
  <c r="O175" i="69"/>
  <c r="O174" i="69"/>
  <c r="D138" i="69" a="1"/>
  <c r="D138" i="69" s="1"/>
  <c r="D179" i="69"/>
  <c r="D178" i="69"/>
  <c r="D177" i="69"/>
  <c r="D176" i="69"/>
  <c r="D175" i="69"/>
  <c r="D174" i="69"/>
  <c r="Q165" i="69"/>
  <c r="Q164" i="69"/>
  <c r="Q163" i="69"/>
  <c r="O168" i="69"/>
  <c r="O167" i="69"/>
  <c r="O166" i="69"/>
  <c r="O165" i="69"/>
  <c r="O164" i="69"/>
  <c r="O163" i="69"/>
  <c r="O157" i="69"/>
  <c r="O156" i="69"/>
  <c r="O155" i="69"/>
  <c r="O154" i="69"/>
  <c r="O153" i="69"/>
  <c r="O152" i="69"/>
  <c r="F165" i="69"/>
  <c r="F164" i="69"/>
  <c r="F163" i="69"/>
  <c r="D168" i="69"/>
  <c r="D167" i="69"/>
  <c r="D166" i="69"/>
  <c r="D165" i="69"/>
  <c r="D164" i="69"/>
  <c r="D163" i="69"/>
  <c r="D157" i="69"/>
  <c r="D156" i="69"/>
  <c r="D155" i="69"/>
  <c r="D154" i="69"/>
  <c r="D153" i="69"/>
  <c r="D152" i="69"/>
  <c r="E142" i="69" a="1"/>
  <c r="E142" i="69" s="1"/>
  <c r="E143" i="69" a="1"/>
  <c r="E143" i="69" s="1"/>
  <c r="D137" i="69" a="1"/>
  <c r="D137" i="69" s="1"/>
  <c r="D188" i="79" a="1"/>
  <c r="D188" i="79" s="1"/>
  <c r="I128" i="69" s="1"/>
  <c r="D187" i="79" a="1"/>
  <c r="D187" i="79" s="1"/>
  <c r="D186" i="79" a="1"/>
  <c r="D186" i="79" s="1"/>
  <c r="D185" i="79" a="1"/>
  <c r="D185" i="79" s="1"/>
  <c r="D184" i="79" a="1"/>
  <c r="D184" i="79" s="1"/>
  <c r="D54" i="69" a="1"/>
  <c r="D54" i="69" s="1"/>
  <c r="S19" i="69"/>
  <c r="S24" i="69" s="1" a="1"/>
  <c r="S24" i="69" s="1"/>
  <c r="R19" i="69"/>
  <c r="R24" i="69" s="1" a="1"/>
  <c r="R24" i="69" s="1"/>
  <c r="Q19" i="69"/>
  <c r="Q24" i="69" s="1" a="1"/>
  <c r="Q24" i="69" s="1"/>
  <c r="P19" i="69"/>
  <c r="P24" i="69" s="1" a="1"/>
  <c r="P24" i="69" s="1"/>
  <c r="O19" i="69"/>
  <c r="I14" i="69"/>
  <c r="D6" i="69" a="1"/>
  <c r="D6" i="69" s="1"/>
  <c r="E11" i="69" a="1"/>
  <c r="E11" i="69" s="1"/>
  <c r="E12" i="69" a="1"/>
  <c r="E12" i="69" s="1"/>
  <c r="D5" i="69" a="1"/>
  <c r="D5" i="69" s="1"/>
  <c r="D55" i="69" a="1"/>
  <c r="D55" i="69" s="1"/>
  <c r="D181" i="79" a="1"/>
  <c r="D181" i="79" s="1"/>
  <c r="I67" i="69" s="1"/>
  <c r="D180" i="79" a="1"/>
  <c r="D180" i="79" s="1"/>
  <c r="D179" i="79" a="1"/>
  <c r="D179" i="79" s="1"/>
  <c r="D178" i="79" a="1"/>
  <c r="D178" i="79" s="1"/>
  <c r="D177" i="79" a="1"/>
  <c r="D177" i="79" s="1"/>
  <c r="D174" i="79" a="1"/>
  <c r="D174" i="79" s="1"/>
  <c r="I66" i="69" s="1"/>
  <c r="D173" i="79" a="1"/>
  <c r="D173" i="79" s="1"/>
  <c r="D172" i="79" a="1"/>
  <c r="D172" i="79" s="1"/>
  <c r="D171" i="79" a="1"/>
  <c r="D171" i="79" s="1"/>
  <c r="D170" i="79" a="1"/>
  <c r="D170" i="79" s="1"/>
  <c r="D167" i="79" a="1"/>
  <c r="D167" i="79" s="1"/>
  <c r="I65" i="69" s="1"/>
  <c r="D166" i="79" a="1"/>
  <c r="D166" i="79" s="1"/>
  <c r="D165" i="79" a="1"/>
  <c r="D165" i="79" s="1"/>
  <c r="D164" i="79" a="1"/>
  <c r="D164" i="79" s="1"/>
  <c r="D163" i="79" a="1"/>
  <c r="D163" i="79" s="1"/>
  <c r="E59" i="69" a="1"/>
  <c r="E59" i="69" s="1"/>
  <c r="E60" i="69" a="1"/>
  <c r="E60" i="69" s="1"/>
  <c r="T79" i="69" s="1"/>
  <c r="D84" i="69" a="1"/>
  <c r="D84" i="69" s="1"/>
  <c r="E88" i="69" a="1"/>
  <c r="E88" i="69" s="1"/>
  <c r="E89" i="69" a="1"/>
  <c r="E89" i="69" s="1"/>
  <c r="I114" i="69" s="1"/>
  <c r="D83" i="69" a="1"/>
  <c r="D83" i="69" s="1"/>
  <c r="D160" i="79" a="1"/>
  <c r="D160" i="79" s="1"/>
  <c r="D19" i="69" s="1"/>
  <c r="D159" i="79" a="1"/>
  <c r="D159" i="79" s="1"/>
  <c r="D158" i="79" a="1"/>
  <c r="D158" i="79" s="1"/>
  <c r="D157" i="79" a="1"/>
  <c r="D157" i="79" s="1"/>
  <c r="D156" i="79" a="1"/>
  <c r="D156" i="79" s="1"/>
  <c r="D150" i="79" a="1"/>
  <c r="D150" i="79" s="1"/>
  <c r="D151" i="79" a="1"/>
  <c r="D151" i="79" s="1"/>
  <c r="D152" i="79" a="1"/>
  <c r="D152" i="79" s="1"/>
  <c r="D153" i="79" a="1"/>
  <c r="D153" i="79" s="1"/>
  <c r="E121" i="76" s="1"/>
  <c r="D149" i="79" a="1"/>
  <c r="D149" i="79" s="1"/>
  <c r="D119" i="69" a="1"/>
  <c r="D119" i="69" s="1"/>
  <c r="E123" i="69" a="1"/>
  <c r="E123" i="69" s="1"/>
  <c r="E124" i="69" a="1"/>
  <c r="E124" i="69" s="1"/>
  <c r="I133" i="69" s="1"/>
  <c r="D118" i="69" a="1"/>
  <c r="D118" i="69" s="1"/>
  <c r="Q168" i="69"/>
  <c r="F168" i="69"/>
  <c r="Q167" i="69"/>
  <c r="F167" i="69"/>
  <c r="D77" i="70"/>
  <c r="D101" i="70"/>
  <c r="E132" i="76" a="1"/>
  <c r="E212" i="69" a="1"/>
  <c r="E186" i="69" a="1"/>
  <c r="E109" i="76" a="1"/>
  <c r="E183" i="76" a="1"/>
  <c r="E120" i="69" a="1"/>
  <c r="E7" i="82" a="1"/>
  <c r="E35" i="76" a="1"/>
  <c r="E153" i="76" a="1"/>
  <c r="E56" i="69" a="1"/>
  <c r="E72" i="76" a="1"/>
  <c r="E256" i="76" a="1"/>
  <c r="E139" i="69" a="1"/>
  <c r="E252" i="69" a="1"/>
  <c r="E219" i="76" a="1"/>
  <c r="E8" i="69" a="1"/>
  <c r="E85" i="69" a="1"/>
  <c r="E7" i="76" a="1"/>
  <c r="I62" i="82" l="1"/>
  <c r="J14" i="95"/>
  <c r="V40" i="82"/>
  <c r="K40" i="82"/>
  <c r="D24" i="69" a="1"/>
  <c r="D24" i="69" s="1"/>
  <c r="D79" i="69" s="1" a="1"/>
  <c r="D79" i="69" s="1"/>
  <c r="D60" i="76" s="1"/>
  <c r="O24" i="69" a="1"/>
  <c r="O24" i="69" s="1"/>
  <c r="O79" i="69" s="1" a="1"/>
  <c r="O79" i="69" s="1"/>
  <c r="F166" i="69"/>
  <c r="F121" i="70"/>
  <c r="E121" i="70"/>
  <c r="I121" i="70"/>
  <c r="H121" i="70"/>
  <c r="G121" i="70"/>
  <c r="Q166" i="69"/>
  <c r="I122" i="70"/>
  <c r="H122" i="70"/>
  <c r="G122" i="70"/>
  <c r="F122" i="70"/>
  <c r="E122" i="70"/>
  <c r="S146" i="76"/>
  <c r="F49" i="82"/>
  <c r="Q49" i="82"/>
  <c r="O61" i="82"/>
  <c r="P61" i="82"/>
  <c r="I221" i="69"/>
  <c r="S29" i="76"/>
  <c r="S213" i="76"/>
  <c r="I213" i="76"/>
  <c r="I176" i="76"/>
  <c r="K29" i="95"/>
  <c r="S103" i="76"/>
  <c r="I126" i="76"/>
  <c r="F287" i="76"/>
  <c r="G8" i="13" s="1"/>
  <c r="T114" i="69"/>
  <c r="S50" i="76" s="1"/>
  <c r="T133" i="69"/>
  <c r="I65" i="76"/>
  <c r="E19" i="69"/>
  <c r="V205" i="69"/>
  <c r="K206" i="69"/>
  <c r="K205" i="69"/>
  <c r="F19" i="69"/>
  <c r="G19" i="69"/>
  <c r="F121" i="76"/>
  <c r="H121" i="76"/>
  <c r="G121" i="76"/>
  <c r="D121" i="76"/>
  <c r="H19" i="69"/>
  <c r="F300" i="69"/>
  <c r="G7" i="13" s="1"/>
  <c r="I24" i="69"/>
  <c r="T24" i="69"/>
  <c r="Q68" i="82"/>
  <c r="V173" i="69"/>
  <c r="V237" i="69"/>
  <c r="K237" i="69"/>
  <c r="J8" i="13"/>
  <c r="K173" i="69"/>
  <c r="E7" i="82"/>
  <c r="E256" i="76"/>
  <c r="E219" i="76"/>
  <c r="E183" i="76"/>
  <c r="E153" i="76"/>
  <c r="E132" i="76"/>
  <c r="E109" i="76"/>
  <c r="E72" i="76"/>
  <c r="E35" i="76"/>
  <c r="E7" i="76"/>
  <c r="E252" i="69"/>
  <c r="E212" i="69"/>
  <c r="E186" i="69"/>
  <c r="E139" i="69"/>
  <c r="E85" i="69"/>
  <c r="E120" i="69"/>
  <c r="R79" i="69" a="1"/>
  <c r="R79" i="69" s="1"/>
  <c r="P79" i="69" a="1"/>
  <c r="P79" i="69" s="1"/>
  <c r="S79" i="69" a="1"/>
  <c r="S79" i="69" s="1"/>
  <c r="I79" i="69"/>
  <c r="I60" i="76" s="1"/>
  <c r="Q79" i="69" a="1"/>
  <c r="Q79" i="69" s="1"/>
  <c r="E56" i="69"/>
  <c r="E8" i="69"/>
  <c r="G24" i="69" l="1" a="1"/>
  <c r="G24" i="69" s="1"/>
  <c r="G79" i="69" s="1" a="1"/>
  <c r="G79" i="69" s="1"/>
  <c r="G60" i="76" s="1"/>
  <c r="F24" i="69" a="1"/>
  <c r="F24" i="69" s="1"/>
  <c r="F79" i="69" s="1" a="1"/>
  <c r="F79" i="69" s="1"/>
  <c r="F60" i="76" s="1"/>
  <c r="E24" i="69" a="1"/>
  <c r="E24" i="69" s="1"/>
  <c r="E79" i="69" s="1" a="1"/>
  <c r="E79" i="69" s="1"/>
  <c r="E60" i="76" s="1"/>
  <c r="H24" i="69" a="1"/>
  <c r="H24" i="69" s="1"/>
  <c r="H79" i="69" s="1" a="1"/>
  <c r="H79" i="69" s="1"/>
  <c r="H60" i="76" s="1"/>
  <c r="D146" i="79" a="1"/>
  <c r="D146" i="79" s="1"/>
  <c r="E146" i="79" a="1"/>
  <c r="E146" i="79" s="1"/>
  <c r="F146" i="79" a="1"/>
  <c r="F146" i="79" s="1"/>
  <c r="D145" i="79" a="1"/>
  <c r="D145" i="79" s="1"/>
  <c r="E145" i="79" a="1"/>
  <c r="E145" i="79" s="1"/>
  <c r="F145" i="79" a="1"/>
  <c r="F145" i="79" s="1"/>
  <c r="D144" i="79" a="1"/>
  <c r="D144" i="79" s="1"/>
  <c r="E144" i="79" a="1"/>
  <c r="E144" i="79" s="1"/>
  <c r="F144" i="79" a="1"/>
  <c r="F144" i="79" s="1"/>
  <c r="D143" i="79" a="1"/>
  <c r="D143" i="79" s="1"/>
  <c r="E143" i="79" a="1"/>
  <c r="E143" i="79" s="1"/>
  <c r="F143" i="79" a="1"/>
  <c r="F143" i="79" s="1"/>
  <c r="F142" i="79" a="1"/>
  <c r="F142" i="79" s="1"/>
  <c r="E142" i="79" a="1"/>
  <c r="E142" i="79" s="1"/>
  <c r="D142" i="79" a="1"/>
  <c r="D142" i="79" s="1"/>
  <c r="D137" i="79" a="1"/>
  <c r="D137" i="79" s="1"/>
  <c r="D138" i="79" a="1"/>
  <c r="D138" i="79" s="1"/>
  <c r="D139" i="79" a="1"/>
  <c r="D139" i="79" s="1"/>
  <c r="D140" i="79" a="1"/>
  <c r="D140" i="79" s="1"/>
  <c r="D136" i="79" a="1"/>
  <c r="D136" i="79" s="1"/>
  <c r="D29" i="70"/>
  <c r="D28" i="70"/>
  <c r="D24" i="70"/>
  <c r="D25" i="70"/>
  <c r="D10" i="70"/>
  <c r="G208" i="76" l="1"/>
  <c r="Q208" i="76"/>
  <c r="G285" i="69"/>
  <c r="P203" i="76"/>
  <c r="Q275" i="69"/>
  <c r="H275" i="69"/>
  <c r="H203" i="76"/>
  <c r="F208" i="76"/>
  <c r="F285" i="69"/>
  <c r="F275" i="69"/>
  <c r="F203" i="76"/>
  <c r="E171" i="76"/>
  <c r="E275" i="69"/>
  <c r="R203" i="76"/>
  <c r="S275" i="69"/>
  <c r="D275" i="69"/>
  <c r="D171" i="76"/>
  <c r="D208" i="76"/>
  <c r="N208" i="76"/>
  <c r="D285" i="69"/>
  <c r="P275" i="69"/>
  <c r="P285" i="69"/>
  <c r="O171" i="76"/>
  <c r="H208" i="76"/>
  <c r="H285" i="69"/>
  <c r="G275" i="69"/>
  <c r="G171" i="76"/>
  <c r="E208" i="76"/>
  <c r="E285" i="69"/>
  <c r="O208" i="76"/>
  <c r="Q171" i="76"/>
  <c r="R275" i="69"/>
  <c r="R285" i="69"/>
  <c r="N171" i="76"/>
  <c r="O275" i="69"/>
  <c r="O285" i="69"/>
  <c r="P208" i="76" l="1"/>
  <c r="Q285" i="69"/>
  <c r="S285" i="69"/>
  <c r="R208" i="76"/>
  <c r="D71" i="79" l="1" a="1"/>
  <c r="D71" i="79" s="1"/>
  <c r="M78" i="79" a="1"/>
  <c r="M78" i="79" s="1"/>
  <c r="M77" i="79" a="1"/>
  <c r="M77" i="79" s="1"/>
  <c r="M76" i="79" a="1"/>
  <c r="M76" i="79" s="1"/>
  <c r="M75" i="79" a="1"/>
  <c r="M75" i="79" s="1"/>
  <c r="M74" i="79" a="1"/>
  <c r="M74" i="79" s="1"/>
  <c r="M73" i="79" a="1"/>
  <c r="M73" i="79" s="1"/>
  <c r="G91" i="79" a="1"/>
  <c r="G91" i="79" s="1"/>
  <c r="G90" i="79" a="1"/>
  <c r="G90" i="79" s="1"/>
  <c r="G89" i="79" a="1"/>
  <c r="G89" i="79" s="1"/>
  <c r="G88" i="79" a="1"/>
  <c r="G88" i="79" s="1"/>
  <c r="G87" i="79" a="1"/>
  <c r="G87" i="79" s="1"/>
  <c r="D85" i="79" a="1"/>
  <c r="D85" i="79" s="1"/>
  <c r="D127" i="79" a="1"/>
  <c r="D127" i="79" s="1"/>
  <c r="F133" i="79" a="1"/>
  <c r="F133" i="79" s="1"/>
  <c r="F132" i="79" a="1"/>
  <c r="F132" i="79" s="1"/>
  <c r="F131" i="79" a="1"/>
  <c r="F131" i="79" s="1"/>
  <c r="F130" i="79" a="1"/>
  <c r="F130" i="79" s="1"/>
  <c r="F129" i="79" a="1"/>
  <c r="F129" i="79" s="1"/>
  <c r="D124" i="79" a="1"/>
  <c r="D124" i="79" s="1"/>
  <c r="D125" i="79" a="1"/>
  <c r="D125" i="79" s="1"/>
  <c r="D126" i="79" a="1"/>
  <c r="D126" i="79" s="1"/>
  <c r="D133" i="79" a="1"/>
  <c r="D133" i="79" s="1"/>
  <c r="E133" i="79" a="1"/>
  <c r="E133" i="79" s="1"/>
  <c r="D132" i="79" a="1"/>
  <c r="D132" i="79" s="1"/>
  <c r="E132" i="79" a="1"/>
  <c r="E132" i="79" s="1"/>
  <c r="D131" i="79" a="1"/>
  <c r="D131" i="79" s="1"/>
  <c r="E131" i="79" a="1"/>
  <c r="E131" i="79" s="1"/>
  <c r="D130" i="79" a="1"/>
  <c r="D130" i="79" s="1"/>
  <c r="E130" i="79" a="1"/>
  <c r="E130" i="79" s="1"/>
  <c r="E129" i="79" a="1"/>
  <c r="E129" i="79" s="1"/>
  <c r="D129" i="79" a="1"/>
  <c r="D129" i="79" s="1"/>
  <c r="D123" i="79" a="1"/>
  <c r="D123" i="79" s="1"/>
  <c r="D113" i="79" a="1"/>
  <c r="D113" i="79" s="1"/>
  <c r="D114" i="79" a="1"/>
  <c r="D114" i="79" s="1"/>
  <c r="D115" i="79" a="1"/>
  <c r="D115" i="79" s="1"/>
  <c r="D120" i="79" a="1"/>
  <c r="D120" i="79" s="1"/>
  <c r="E120" i="79" a="1"/>
  <c r="E120" i="79" s="1"/>
  <c r="F120" i="79" a="1"/>
  <c r="F120" i="79" s="1"/>
  <c r="G120" i="79" a="1"/>
  <c r="G120" i="79" s="1"/>
  <c r="D119" i="79" a="1"/>
  <c r="D119" i="79" s="1"/>
  <c r="E119" i="79" a="1"/>
  <c r="E119" i="79" s="1"/>
  <c r="F119" i="79" a="1"/>
  <c r="F119" i="79" s="1"/>
  <c r="G119" i="79" a="1"/>
  <c r="G119" i="79" s="1"/>
  <c r="D118" i="79" a="1"/>
  <c r="D118" i="79" s="1"/>
  <c r="E118" i="79" a="1"/>
  <c r="E118" i="79" s="1"/>
  <c r="F118" i="79" a="1"/>
  <c r="F118" i="79" s="1"/>
  <c r="G118" i="79" a="1"/>
  <c r="G118" i="79" s="1"/>
  <c r="G117" i="79" a="1"/>
  <c r="G117" i="79" s="1"/>
  <c r="F117" i="79" a="1"/>
  <c r="F117" i="79" s="1"/>
  <c r="E117" i="79" a="1"/>
  <c r="E117" i="79" s="1"/>
  <c r="D117" i="79" a="1"/>
  <c r="D117" i="79" s="1"/>
  <c r="D112" i="79" a="1"/>
  <c r="D112" i="79" s="1"/>
  <c r="D104" i="79" a="1"/>
  <c r="D104" i="79" s="1"/>
  <c r="D105" i="79" a="1"/>
  <c r="D105" i="79" s="1"/>
  <c r="D106" i="79" a="1"/>
  <c r="D106" i="79" s="1"/>
  <c r="D109" i="79" a="1"/>
  <c r="D109" i="79" s="1"/>
  <c r="E109" i="79" a="1"/>
  <c r="E109" i="79" s="1"/>
  <c r="E108" i="79" a="1"/>
  <c r="E108" i="79" s="1"/>
  <c r="D55" i="76" s="1"/>
  <c r="D108" i="79" a="1"/>
  <c r="D108" i="79" s="1"/>
  <c r="D103" i="79" a="1"/>
  <c r="D103" i="79" s="1"/>
  <c r="D95" i="79" a="1"/>
  <c r="D95" i="79" s="1"/>
  <c r="D96" i="79" a="1"/>
  <c r="D96" i="79" s="1"/>
  <c r="D97" i="79" a="1"/>
  <c r="D97" i="79" s="1"/>
  <c r="D100" i="79" a="1"/>
  <c r="D100" i="79" s="1"/>
  <c r="E100" i="79" a="1"/>
  <c r="E100" i="79" s="1"/>
  <c r="E99" i="79" a="1"/>
  <c r="E99" i="79" s="1"/>
  <c r="D99" i="79" a="1"/>
  <c r="D99" i="79" s="1"/>
  <c r="D94" i="79" a="1"/>
  <c r="D94" i="79" s="1"/>
  <c r="D91" i="79" a="1"/>
  <c r="D91" i="79" s="1"/>
  <c r="E91" i="79" a="1"/>
  <c r="E91" i="79" s="1"/>
  <c r="F91" i="79" a="1"/>
  <c r="F91" i="79" s="1"/>
  <c r="D90" i="79" a="1"/>
  <c r="D90" i="79" s="1"/>
  <c r="E90" i="79" a="1"/>
  <c r="E90" i="79" s="1"/>
  <c r="F90" i="79" a="1"/>
  <c r="F90" i="79" s="1"/>
  <c r="D89" i="79" a="1"/>
  <c r="D89" i="79" s="1"/>
  <c r="E89" i="79" a="1"/>
  <c r="E89" i="79" s="1"/>
  <c r="F89" i="79" a="1"/>
  <c r="F89" i="79" s="1"/>
  <c r="D88" i="79" a="1"/>
  <c r="D88" i="79" s="1"/>
  <c r="E88" i="79" a="1"/>
  <c r="E88" i="79" s="1"/>
  <c r="F88" i="79" a="1"/>
  <c r="F88" i="79" s="1"/>
  <c r="F87" i="79" a="1"/>
  <c r="F87" i="79" s="1"/>
  <c r="E87" i="79" a="1"/>
  <c r="E87" i="79" s="1"/>
  <c r="D87" i="79" a="1"/>
  <c r="D87" i="79" s="1"/>
  <c r="D82" i="79" a="1"/>
  <c r="D82" i="79" s="1"/>
  <c r="D83" i="79" a="1"/>
  <c r="D83" i="79" s="1"/>
  <c r="D84" i="79" a="1"/>
  <c r="D84" i="79" s="1"/>
  <c r="D81" i="79" a="1"/>
  <c r="D81" i="79" s="1"/>
  <c r="D68" i="79" a="1"/>
  <c r="D68" i="79" s="1"/>
  <c r="D69" i="79" a="1"/>
  <c r="D69" i="79" s="1"/>
  <c r="D70" i="79" a="1"/>
  <c r="D70" i="79" s="1"/>
  <c r="D78" i="79" a="1"/>
  <c r="D78" i="79" s="1"/>
  <c r="E78" i="79" a="1"/>
  <c r="E78" i="79" s="1"/>
  <c r="F78" i="79" a="1"/>
  <c r="F78" i="79" s="1"/>
  <c r="G78" i="79" a="1"/>
  <c r="G78" i="79" s="1"/>
  <c r="H78" i="79" a="1"/>
  <c r="H78" i="79" s="1"/>
  <c r="I78" i="79" a="1"/>
  <c r="I78" i="79" s="1"/>
  <c r="J78" i="79" a="1"/>
  <c r="J78" i="79" s="1"/>
  <c r="K78" i="79" a="1"/>
  <c r="K78" i="79" s="1"/>
  <c r="L78" i="79" a="1"/>
  <c r="L78" i="79" s="1"/>
  <c r="D77" i="79" a="1"/>
  <c r="D77" i="79" s="1"/>
  <c r="E77" i="79" a="1"/>
  <c r="E77" i="79" s="1"/>
  <c r="F77" i="79" a="1"/>
  <c r="F77" i="79" s="1"/>
  <c r="G77" i="79" a="1"/>
  <c r="G77" i="79" s="1"/>
  <c r="H77" i="79" a="1"/>
  <c r="H77" i="79" s="1"/>
  <c r="I77" i="79" a="1"/>
  <c r="I77" i="79" s="1"/>
  <c r="J77" i="79" a="1"/>
  <c r="J77" i="79" s="1"/>
  <c r="K77" i="79" a="1"/>
  <c r="K77" i="79" s="1"/>
  <c r="L77" i="79" a="1"/>
  <c r="L77" i="79" s="1"/>
  <c r="D76" i="79" a="1"/>
  <c r="D76" i="79" s="1"/>
  <c r="E76" i="79" a="1"/>
  <c r="E76" i="79" s="1"/>
  <c r="F76" i="79" a="1"/>
  <c r="F76" i="79" s="1"/>
  <c r="G76" i="79" a="1"/>
  <c r="G76" i="79" s="1"/>
  <c r="H76" i="79" a="1"/>
  <c r="H76" i="79" s="1"/>
  <c r="I76" i="79" a="1"/>
  <c r="I76" i="79" s="1"/>
  <c r="J76" i="79" a="1"/>
  <c r="J76" i="79" s="1"/>
  <c r="K76" i="79" a="1"/>
  <c r="K76" i="79" s="1"/>
  <c r="L76" i="79" a="1"/>
  <c r="L76" i="79" s="1"/>
  <c r="D75" i="79" a="1"/>
  <c r="D75" i="79" s="1"/>
  <c r="E75" i="79" a="1"/>
  <c r="E75" i="79" s="1"/>
  <c r="F75" i="79" a="1"/>
  <c r="F75" i="79" s="1"/>
  <c r="G75" i="79" a="1"/>
  <c r="G75" i="79" s="1"/>
  <c r="H75" i="79" a="1"/>
  <c r="H75" i="79" s="1"/>
  <c r="I75" i="79" a="1"/>
  <c r="I75" i="79" s="1"/>
  <c r="J75" i="79" a="1"/>
  <c r="J75" i="79" s="1"/>
  <c r="K75" i="79" a="1"/>
  <c r="K75" i="79" s="1"/>
  <c r="L75" i="79" a="1"/>
  <c r="L75" i="79" s="1"/>
  <c r="D74" i="79" a="1"/>
  <c r="D74" i="79" s="1"/>
  <c r="E74" i="79" a="1"/>
  <c r="E74" i="79" s="1"/>
  <c r="F74" i="79" a="1"/>
  <c r="F74" i="79" s="1"/>
  <c r="G74" i="79" a="1"/>
  <c r="G74" i="79" s="1"/>
  <c r="H74" i="79" a="1"/>
  <c r="H74" i="79" s="1"/>
  <c r="I74" i="79" a="1"/>
  <c r="I74" i="79" s="1"/>
  <c r="J74" i="79" a="1"/>
  <c r="J74" i="79" s="1"/>
  <c r="K74" i="79" a="1"/>
  <c r="K74" i="79" s="1"/>
  <c r="L74" i="79" a="1"/>
  <c r="L74" i="79" s="1"/>
  <c r="L73" i="79" a="1"/>
  <c r="L73" i="79" s="1"/>
  <c r="K73" i="79" a="1"/>
  <c r="K73" i="79" s="1"/>
  <c r="J73" i="79" a="1"/>
  <c r="J73" i="79" s="1"/>
  <c r="I73" i="79" a="1"/>
  <c r="I73" i="79" s="1"/>
  <c r="H73" i="79" a="1"/>
  <c r="H73" i="79" s="1"/>
  <c r="G73" i="79" a="1"/>
  <c r="G73" i="79" s="1"/>
  <c r="F73" i="79" a="1"/>
  <c r="F73" i="79" s="1"/>
  <c r="E73" i="79" a="1"/>
  <c r="E73" i="79" s="1"/>
  <c r="D73" i="79" a="1"/>
  <c r="D73" i="79" s="1"/>
  <c r="D67" i="79" a="1"/>
  <c r="D67" i="79" s="1"/>
  <c r="G64" i="79" a="1"/>
  <c r="G64" i="79" s="1"/>
  <c r="H198" i="76" s="1"/>
  <c r="F64" i="79" a="1"/>
  <c r="F64" i="79" s="1"/>
  <c r="E64" i="79" a="1"/>
  <c r="E64" i="79" s="1"/>
  <c r="H280" i="69" s="1"/>
  <c r="D64" i="79" a="1"/>
  <c r="D64" i="79" s="1"/>
  <c r="G63" i="79" a="1"/>
  <c r="G63" i="79" s="1"/>
  <c r="F198" i="76" s="1"/>
  <c r="F63" i="79" a="1"/>
  <c r="F63" i="79" s="1"/>
  <c r="E63" i="79" a="1"/>
  <c r="E63" i="79" s="1"/>
  <c r="F280" i="69" s="1"/>
  <c r="D63" i="79" a="1"/>
  <c r="D63" i="79" s="1"/>
  <c r="D59" i="79" a="1"/>
  <c r="D59" i="79" s="1"/>
  <c r="D60" i="79" a="1"/>
  <c r="D60" i="79" s="1"/>
  <c r="D61" i="79" a="1"/>
  <c r="D61" i="79" s="1"/>
  <c r="D58" i="79" a="1"/>
  <c r="D58" i="79" s="1"/>
  <c r="H55" i="79" a="1"/>
  <c r="H55" i="79" s="1"/>
  <c r="H24" i="76" s="1" a="1"/>
  <c r="H24" i="76" s="1"/>
  <c r="G55" i="79" a="1"/>
  <c r="G55" i="79" s="1"/>
  <c r="G24" i="76" s="1" a="1"/>
  <c r="G24" i="76" s="1"/>
  <c r="F55" i="79" a="1"/>
  <c r="F55" i="79" s="1"/>
  <c r="F24" i="76" s="1" a="1"/>
  <c r="F24" i="76" s="1"/>
  <c r="E55" i="79" a="1"/>
  <c r="E55" i="79" s="1"/>
  <c r="E24" i="76" s="1" a="1"/>
  <c r="E24" i="76" s="1"/>
  <c r="D55" i="79" a="1"/>
  <c r="D55" i="79" s="1"/>
  <c r="D24" i="76" s="1" a="1"/>
  <c r="D24" i="76" s="1"/>
  <c r="D51" i="79" a="1"/>
  <c r="D51" i="79" s="1"/>
  <c r="D52" i="79" a="1"/>
  <c r="D52" i="79" s="1"/>
  <c r="D53" i="79" a="1"/>
  <c r="D53" i="79" s="1"/>
  <c r="D50" i="79" a="1"/>
  <c r="D50" i="79" s="1"/>
  <c r="D43" i="79" a="1"/>
  <c r="D43" i="79" s="1"/>
  <c r="D44" i="79" a="1"/>
  <c r="D44" i="79" s="1"/>
  <c r="D45" i="79" a="1"/>
  <c r="D45" i="79" s="1"/>
  <c r="H47" i="79" a="1"/>
  <c r="H47" i="79" s="1"/>
  <c r="G47" i="79" a="1"/>
  <c r="G47" i="79" s="1"/>
  <c r="F47" i="79" a="1"/>
  <c r="F47" i="79" s="1"/>
  <c r="E47" i="79" a="1"/>
  <c r="E47" i="79" s="1"/>
  <c r="D47" i="79" a="1"/>
  <c r="D47" i="79" s="1"/>
  <c r="D42" i="79" a="1"/>
  <c r="D42" i="79" s="1"/>
  <c r="F39" i="79" a="1"/>
  <c r="F39" i="79" s="1"/>
  <c r="E39" i="79" a="1"/>
  <c r="E39" i="79" s="1"/>
  <c r="D39" i="79" a="1"/>
  <c r="D39" i="79" s="1"/>
  <c r="D35" i="79" a="1"/>
  <c r="D35" i="79" s="1"/>
  <c r="D36" i="79" a="1"/>
  <c r="D36" i="79" s="1"/>
  <c r="D37" i="79" a="1"/>
  <c r="D37" i="79" s="1"/>
  <c r="D34" i="79" a="1"/>
  <c r="D34" i="79" s="1"/>
  <c r="D20" i="79" a="1"/>
  <c r="D20" i="79" s="1"/>
  <c r="D31" i="79" a="1"/>
  <c r="D31" i="79" s="1"/>
  <c r="E31" i="79" a="1"/>
  <c r="E31" i="79" s="1"/>
  <c r="F31" i="79" a="1"/>
  <c r="F31" i="79" s="1"/>
  <c r="G31" i="79" a="1"/>
  <c r="G31" i="79" s="1"/>
  <c r="D30" i="79" a="1"/>
  <c r="D30" i="79" s="1"/>
  <c r="E30" i="79" a="1"/>
  <c r="E30" i="79" s="1"/>
  <c r="F30" i="79" a="1"/>
  <c r="F30" i="79" s="1"/>
  <c r="G30" i="79" a="1"/>
  <c r="G30" i="79" s="1"/>
  <c r="D29" i="79" a="1"/>
  <c r="D29" i="79" s="1"/>
  <c r="E29" i="79" a="1"/>
  <c r="E29" i="79" s="1"/>
  <c r="F29" i="79" a="1"/>
  <c r="F29" i="79" s="1"/>
  <c r="G29" i="79" a="1"/>
  <c r="G29" i="79" s="1"/>
  <c r="D28" i="79" a="1"/>
  <c r="D28" i="79" s="1"/>
  <c r="E28" i="79" a="1"/>
  <c r="E28" i="79" s="1"/>
  <c r="F28" i="79" a="1"/>
  <c r="F28" i="79" s="1"/>
  <c r="G28" i="79" a="1"/>
  <c r="G28" i="79" s="1"/>
  <c r="D27" i="79" a="1"/>
  <c r="D27" i="79" s="1"/>
  <c r="E27" i="79" a="1"/>
  <c r="E27" i="79" s="1"/>
  <c r="F27" i="79" a="1"/>
  <c r="F27" i="79" s="1"/>
  <c r="G27" i="79" a="1"/>
  <c r="G27" i="79" s="1"/>
  <c r="D26" i="79" a="1"/>
  <c r="D26" i="79" s="1"/>
  <c r="E26" i="79" a="1"/>
  <c r="E26" i="79" s="1"/>
  <c r="F26" i="79" a="1"/>
  <c r="F26" i="79" s="1"/>
  <c r="G26" i="79" a="1"/>
  <c r="G26" i="79" s="1"/>
  <c r="D25" i="79" a="1"/>
  <c r="D25" i="79" s="1"/>
  <c r="E25" i="79" a="1"/>
  <c r="E25" i="79" s="1"/>
  <c r="F25" i="79" a="1"/>
  <c r="F25" i="79" s="1"/>
  <c r="G25" i="79" a="1"/>
  <c r="G25" i="79" s="1"/>
  <c r="D24" i="79" a="1"/>
  <c r="D24" i="79" s="1"/>
  <c r="E24" i="79" a="1"/>
  <c r="E24" i="79" s="1"/>
  <c r="F24" i="79" a="1"/>
  <c r="F24" i="79" s="1"/>
  <c r="G24" i="79" a="1"/>
  <c r="G24" i="79" s="1"/>
  <c r="D23" i="79" a="1"/>
  <c r="D23" i="79" s="1"/>
  <c r="E23" i="79" a="1"/>
  <c r="E23" i="79" s="1"/>
  <c r="F23" i="79" a="1"/>
  <c r="F23" i="79" s="1"/>
  <c r="G23" i="79" a="1"/>
  <c r="G23" i="79" s="1"/>
  <c r="G22" i="79" a="1"/>
  <c r="G22" i="79" s="1"/>
  <c r="F22" i="79" a="1"/>
  <c r="F22" i="79" s="1"/>
  <c r="E22" i="79" a="1"/>
  <c r="E22" i="79" s="1"/>
  <c r="D22" i="79" a="1"/>
  <c r="D22" i="79" s="1"/>
  <c r="D19" i="79" a="1"/>
  <c r="D19" i="79" s="1"/>
  <c r="D18" i="79" a="1"/>
  <c r="D18" i="79" s="1"/>
  <c r="D17" i="79" a="1"/>
  <c r="D17" i="79" s="1"/>
  <c r="D16" i="79" a="1"/>
  <c r="D16" i="79" s="1"/>
  <c r="F35" i="81" l="1"/>
  <c r="F34" i="81"/>
  <c r="F32" i="81"/>
  <c r="F31" i="81"/>
  <c r="F33" i="81"/>
  <c r="E22" i="81" a="1"/>
  <c r="E31" i="81" a="1"/>
  <c r="E31" i="81" s="1"/>
  <c r="D31" i="81" a="1"/>
  <c r="D31" i="81" s="1"/>
  <c r="D22" i="81" a="1"/>
  <c r="D22" i="81" s="1"/>
  <c r="E269" i="76" a="1"/>
  <c r="E269" i="76" s="1"/>
  <c r="E31" i="82" a="1"/>
  <c r="E31" i="82" s="1"/>
  <c r="D269" i="76" a="1"/>
  <c r="D269" i="76" s="1"/>
  <c r="D31" i="82" a="1"/>
  <c r="D31" i="82" s="1"/>
  <c r="H55" i="76"/>
  <c r="G55" i="76"/>
  <c r="E55" i="76"/>
  <c r="F55" i="76"/>
  <c r="F109" i="69"/>
  <c r="E109" i="69"/>
  <c r="G109" i="69"/>
  <c r="H109" i="69"/>
  <c r="D109" i="69"/>
  <c r="J151" i="69"/>
  <c r="J173" i="69" s="1" a="1"/>
  <c r="J173" i="69" s="1"/>
  <c r="J199" i="69"/>
  <c r="I199" i="69"/>
  <c r="G199" i="69"/>
  <c r="H199" i="69"/>
  <c r="I151" i="69"/>
  <c r="I173" i="69" s="1" a="1"/>
  <c r="I173" i="69" s="1"/>
  <c r="H151" i="69"/>
  <c r="H173" i="69" s="1" a="1"/>
  <c r="H173" i="69" s="1"/>
  <c r="G151" i="69"/>
  <c r="G173" i="69" s="1" a="1"/>
  <c r="G173" i="69" s="1"/>
  <c r="F199" i="69" l="1"/>
  <c r="F152" i="69"/>
  <c r="Q25" i="96"/>
  <c r="Q151" i="69"/>
  <c r="Q173" i="69" s="1" a="1"/>
  <c r="Q173" i="69" s="1"/>
  <c r="S25" i="96"/>
  <c r="S151" i="69"/>
  <c r="S173" i="69" s="1" a="1"/>
  <c r="S173" i="69" s="1"/>
  <c r="F25" i="96"/>
  <c r="F151" i="69"/>
  <c r="F173" i="69" s="1" a="1"/>
  <c r="F173" i="69" s="1"/>
  <c r="T25" i="96"/>
  <c r="T151" i="69"/>
  <c r="T173" i="69" s="1" a="1"/>
  <c r="T173" i="69" s="1"/>
  <c r="R25" i="96"/>
  <c r="R151" i="69"/>
  <c r="R173" i="69" s="1" a="1"/>
  <c r="R173" i="69" s="1"/>
  <c r="U25" i="96"/>
  <c r="U151" i="69"/>
  <c r="U173" i="69" s="1" a="1"/>
  <c r="U173" i="69" s="1"/>
  <c r="E22" i="81"/>
  <c r="J25" i="96"/>
  <c r="G25" i="96"/>
  <c r="H25" i="96"/>
  <c r="I25" i="96"/>
  <c r="R231" i="76" a="1"/>
  <c r="R231" i="76" s="1"/>
  <c r="R233" i="76" a="1"/>
  <c r="R233" i="76" s="1"/>
  <c r="R234" i="76" a="1"/>
  <c r="R234" i="76" s="1"/>
  <c r="R232" i="76" a="1"/>
  <c r="R232" i="76" s="1"/>
  <c r="T233" i="76" a="1"/>
  <c r="T233" i="76" s="1"/>
  <c r="T231" i="76" a="1"/>
  <c r="T231" i="76" s="1"/>
  <c r="T232" i="76" a="1"/>
  <c r="T232" i="76" s="1"/>
  <c r="T234" i="76" a="1"/>
  <c r="T234" i="76" s="1"/>
  <c r="R104" i="69"/>
  <c r="Q98" i="76"/>
  <c r="J236" i="76" a="1"/>
  <c r="J236" i="76" s="1"/>
  <c r="J237" i="76" a="1"/>
  <c r="J237" i="76" s="1"/>
  <c r="J238" i="76" a="1"/>
  <c r="J238" i="76" s="1"/>
  <c r="J235" i="76" a="1"/>
  <c r="J235" i="76" s="1"/>
  <c r="P238" i="76" a="1"/>
  <c r="P238" i="76" s="1"/>
  <c r="P236" i="76" a="1"/>
  <c r="P236" i="76" s="1"/>
  <c r="P235" i="76" a="1"/>
  <c r="P235" i="76" s="1"/>
  <c r="P237" i="76" a="1"/>
  <c r="P237" i="76" s="1"/>
  <c r="G104" i="69"/>
  <c r="G98" i="76"/>
  <c r="F232" i="76" a="1"/>
  <c r="F232" i="76" s="1"/>
  <c r="F234" i="76" a="1"/>
  <c r="F234" i="76" s="1"/>
  <c r="F233" i="76" a="1"/>
  <c r="F233" i="76" s="1"/>
  <c r="F231" i="76" a="1"/>
  <c r="F231" i="76" s="1"/>
  <c r="I237" i="76" a="1"/>
  <c r="I237" i="76" s="1"/>
  <c r="I236" i="76" a="1"/>
  <c r="I236" i="76" s="1"/>
  <c r="I238" i="76" a="1"/>
  <c r="I238" i="76" s="1"/>
  <c r="I235" i="76" a="1"/>
  <c r="I235" i="76" s="1"/>
  <c r="F104" i="69"/>
  <c r="F98" i="76"/>
  <c r="P234" i="76" a="1"/>
  <c r="P234" i="76" s="1"/>
  <c r="P231" i="76" a="1"/>
  <c r="P231" i="76" s="1"/>
  <c r="P233" i="76" a="1"/>
  <c r="P233" i="76" s="1"/>
  <c r="P232" i="76" a="1"/>
  <c r="P232" i="76" s="1"/>
  <c r="R236" i="76" a="1"/>
  <c r="R236" i="76" s="1"/>
  <c r="R238" i="76" a="1"/>
  <c r="R238" i="76" s="1"/>
  <c r="R235" i="76" a="1"/>
  <c r="R235" i="76" s="1"/>
  <c r="R237" i="76" a="1"/>
  <c r="R237" i="76" s="1"/>
  <c r="Q104" i="69"/>
  <c r="P98" i="76"/>
  <c r="T238" i="76" a="1"/>
  <c r="T238" i="76" s="1"/>
  <c r="T235" i="76" a="1"/>
  <c r="T235" i="76" s="1"/>
  <c r="T237" i="76" a="1"/>
  <c r="T237" i="76" s="1"/>
  <c r="T236" i="76" a="1"/>
  <c r="T236" i="76" s="1"/>
  <c r="J234" i="76" a="1"/>
  <c r="J234" i="76" s="1"/>
  <c r="J231" i="76" a="1"/>
  <c r="J231" i="76" s="1"/>
  <c r="J233" i="76" a="1"/>
  <c r="J233" i="76" s="1"/>
  <c r="J232" i="76" a="1"/>
  <c r="J232" i="76" s="1"/>
  <c r="E104" i="69"/>
  <c r="E98" i="76"/>
  <c r="P99" i="69"/>
  <c r="O19" i="76"/>
  <c r="O29" i="76" s="1" a="1"/>
  <c r="O29" i="76" s="1"/>
  <c r="S231" i="76" a="1"/>
  <c r="S231" i="76" s="1"/>
  <c r="S233" i="76" a="1"/>
  <c r="S233" i="76" s="1"/>
  <c r="S232" i="76" a="1"/>
  <c r="S232" i="76" s="1"/>
  <c r="S234" i="76" a="1"/>
  <c r="S234" i="76" s="1"/>
  <c r="P104" i="69"/>
  <c r="O98" i="76"/>
  <c r="E99" i="69"/>
  <c r="E19" i="76"/>
  <c r="E29" i="76" s="1" a="1"/>
  <c r="E29" i="76" s="1"/>
  <c r="O104" i="69"/>
  <c r="N98" i="76"/>
  <c r="Q99" i="69"/>
  <c r="P19" i="76"/>
  <c r="P29" i="76" s="1" a="1"/>
  <c r="P29" i="76" s="1"/>
  <c r="F235" i="76" a="1"/>
  <c r="F235" i="76" s="1"/>
  <c r="F237" i="76" a="1"/>
  <c r="F237" i="76" s="1"/>
  <c r="F236" i="76" a="1"/>
  <c r="F236" i="76" s="1"/>
  <c r="F238" i="76" a="1"/>
  <c r="F238" i="76" s="1"/>
  <c r="D104" i="69"/>
  <c r="D98" i="76"/>
  <c r="F99" i="69"/>
  <c r="F19" i="76"/>
  <c r="F29" i="76" s="1" a="1"/>
  <c r="F29" i="76" s="1"/>
  <c r="G235" i="76" a="1"/>
  <c r="G235" i="76" s="1"/>
  <c r="G237" i="76" a="1"/>
  <c r="G237" i="76" s="1"/>
  <c r="G238" i="76" a="1"/>
  <c r="G238" i="76" s="1"/>
  <c r="G236" i="76" a="1"/>
  <c r="G236" i="76" s="1"/>
  <c r="H99" i="69"/>
  <c r="H19" i="76"/>
  <c r="H29" i="76" s="1" a="1"/>
  <c r="H29" i="76" s="1"/>
  <c r="O99" i="69"/>
  <c r="N19" i="76"/>
  <c r="N29" i="76" s="1" a="1"/>
  <c r="N29" i="76" s="1"/>
  <c r="H232" i="76" a="1"/>
  <c r="H232" i="76" s="1"/>
  <c r="H234" i="76" a="1"/>
  <c r="H234" i="76" s="1"/>
  <c r="H231" i="76" a="1"/>
  <c r="H231" i="76" s="1"/>
  <c r="H233" i="76" a="1"/>
  <c r="H233" i="76" s="1"/>
  <c r="H237" i="76" a="1"/>
  <c r="H237" i="76" s="1"/>
  <c r="H236" i="76" a="1"/>
  <c r="H236" i="76" s="1"/>
  <c r="H235" i="76" a="1"/>
  <c r="H235" i="76" s="1"/>
  <c r="H238" i="76" a="1"/>
  <c r="H238" i="76" s="1"/>
  <c r="S99" i="69"/>
  <c r="R19" i="76"/>
  <c r="R29" i="76" s="1" a="1"/>
  <c r="R29" i="76" s="1"/>
  <c r="D99" i="69"/>
  <c r="D19" i="76"/>
  <c r="D29" i="76" s="1" a="1"/>
  <c r="D29" i="76" s="1"/>
  <c r="Q231" i="76" a="1"/>
  <c r="Q231" i="76" s="1"/>
  <c r="Q233" i="76" a="1"/>
  <c r="Q233" i="76" s="1"/>
  <c r="Q234" i="76" a="1"/>
  <c r="Q234" i="76" s="1"/>
  <c r="Q232" i="76" a="1"/>
  <c r="Q232" i="76" s="1"/>
  <c r="Q236" i="76" a="1"/>
  <c r="Q236" i="76" s="1"/>
  <c r="Q238" i="76" a="1"/>
  <c r="Q238" i="76" s="1"/>
  <c r="Q235" i="76" a="1"/>
  <c r="Q235" i="76" s="1"/>
  <c r="Q237" i="76" a="1"/>
  <c r="Q237" i="76" s="1"/>
  <c r="G99" i="69"/>
  <c r="G19" i="76"/>
  <c r="G29" i="76" s="1" a="1"/>
  <c r="G29" i="76" s="1"/>
  <c r="S236" i="76" a="1"/>
  <c r="S236" i="76" s="1"/>
  <c r="S238" i="76" a="1"/>
  <c r="S238" i="76" s="1"/>
  <c r="S235" i="76" a="1"/>
  <c r="S235" i="76" s="1"/>
  <c r="S237" i="76" a="1"/>
  <c r="S237" i="76" s="1"/>
  <c r="R99" i="69"/>
  <c r="R114" i="69" s="1" a="1"/>
  <c r="R114" i="69" s="1"/>
  <c r="Q19" i="76"/>
  <c r="Q29" i="76" s="1" a="1"/>
  <c r="Q29" i="76" s="1"/>
  <c r="G232" i="76" a="1"/>
  <c r="G232" i="76" s="1"/>
  <c r="G234" i="76" a="1"/>
  <c r="G234" i="76" s="1"/>
  <c r="G231" i="76" a="1"/>
  <c r="G231" i="76" s="1"/>
  <c r="G233" i="76" a="1"/>
  <c r="G233" i="76" s="1"/>
  <c r="H104" i="69"/>
  <c r="H98" i="76"/>
  <c r="I232" i="76" a="1"/>
  <c r="I232" i="76" s="1"/>
  <c r="I234" i="76" a="1"/>
  <c r="I234" i="76" s="1"/>
  <c r="I231" i="76" a="1"/>
  <c r="I231" i="76" s="1"/>
  <c r="I233" i="76" a="1"/>
  <c r="I233" i="76" s="1"/>
  <c r="S104" i="69"/>
  <c r="R98" i="76"/>
  <c r="J155" i="69"/>
  <c r="J177" i="69" s="1" a="1"/>
  <c r="J177" i="69" s="1"/>
  <c r="J157" i="69"/>
  <c r="J179" i="69" s="1" a="1"/>
  <c r="J179" i="69" s="1"/>
  <c r="J156" i="69"/>
  <c r="J178" i="69" s="1" a="1"/>
  <c r="J178" i="69" s="1"/>
  <c r="J200" i="69"/>
  <c r="Q155" i="69"/>
  <c r="Q177" i="69" s="1" a="1"/>
  <c r="Q177" i="69" s="1"/>
  <c r="Q156" i="69"/>
  <c r="Q178" i="69" s="1" a="1"/>
  <c r="Q178" i="69" s="1"/>
  <c r="Q157" i="69"/>
  <c r="Q179" i="69" s="1" a="1"/>
  <c r="Q179" i="69" s="1"/>
  <c r="Q200" i="69"/>
  <c r="S157" i="69"/>
  <c r="S179" i="69" s="1" a="1"/>
  <c r="S179" i="69" s="1"/>
  <c r="S156" i="69"/>
  <c r="S178" i="69" s="1" a="1"/>
  <c r="S178" i="69" s="1"/>
  <c r="S155" i="69"/>
  <c r="S177" i="69" s="1" a="1"/>
  <c r="S177" i="69" s="1"/>
  <c r="S200" i="69"/>
  <c r="T199" i="69"/>
  <c r="T154" i="69"/>
  <c r="T176" i="69" s="1" a="1"/>
  <c r="T176" i="69" s="1"/>
  <c r="T153" i="69"/>
  <c r="T175" i="69" s="1" a="1"/>
  <c r="T175" i="69" s="1"/>
  <c r="T152" i="69"/>
  <c r="T174" i="69" s="1" a="1"/>
  <c r="T174" i="69" s="1"/>
  <c r="F154" i="69"/>
  <c r="F176" i="69" s="1" a="1"/>
  <c r="F176" i="69" s="1"/>
  <c r="F153" i="69"/>
  <c r="F175" i="69" s="1" a="1"/>
  <c r="F175" i="69" s="1"/>
  <c r="F174" i="69" a="1"/>
  <c r="F174" i="69" s="1"/>
  <c r="U157" i="69"/>
  <c r="U179" i="69" s="1" a="1"/>
  <c r="U179" i="69" s="1"/>
  <c r="U156" i="69"/>
  <c r="U178" i="69" s="1" a="1"/>
  <c r="U178" i="69" s="1"/>
  <c r="U155" i="69"/>
  <c r="U177" i="69" s="1" a="1"/>
  <c r="U177" i="69" s="1"/>
  <c r="U200" i="69"/>
  <c r="F156" i="69"/>
  <c r="F178" i="69" s="1" a="1"/>
  <c r="F178" i="69" s="1"/>
  <c r="F200" i="69"/>
  <c r="F155" i="69"/>
  <c r="F177" i="69" s="1" a="1"/>
  <c r="F177" i="69" s="1"/>
  <c r="F157" i="69"/>
  <c r="F179" i="69" s="1" a="1"/>
  <c r="F179" i="69" s="1"/>
  <c r="H155" i="69"/>
  <c r="H177" i="69" s="1" a="1"/>
  <c r="H177" i="69" s="1"/>
  <c r="H200" i="69"/>
  <c r="H157" i="69"/>
  <c r="H179" i="69" s="1" a="1"/>
  <c r="H179" i="69" s="1"/>
  <c r="H156" i="69"/>
  <c r="H178" i="69" s="1" a="1"/>
  <c r="H178" i="69" s="1"/>
  <c r="J154" i="69"/>
  <c r="J176" i="69" s="1" a="1"/>
  <c r="J176" i="69" s="1"/>
  <c r="J153" i="69"/>
  <c r="J175" i="69" s="1" a="1"/>
  <c r="J175" i="69" s="1"/>
  <c r="J152" i="69"/>
  <c r="J174" i="69" s="1" a="1"/>
  <c r="J174" i="69" s="1"/>
  <c r="G155" i="69"/>
  <c r="G177" i="69" s="1" a="1"/>
  <c r="G177" i="69" s="1"/>
  <c r="G200" i="69"/>
  <c r="G157" i="69"/>
  <c r="G179" i="69" s="1" a="1"/>
  <c r="G179" i="69" s="1"/>
  <c r="G156" i="69"/>
  <c r="G178" i="69" s="1" a="1"/>
  <c r="G178" i="69" s="1"/>
  <c r="H152" i="69"/>
  <c r="H174" i="69" s="1" a="1"/>
  <c r="H174" i="69" s="1"/>
  <c r="H154" i="69"/>
  <c r="H176" i="69" s="1" a="1"/>
  <c r="H176" i="69" s="1"/>
  <c r="H153" i="69"/>
  <c r="H175" i="69" s="1" a="1"/>
  <c r="H175" i="69" s="1"/>
  <c r="R152" i="69"/>
  <c r="R174" i="69" s="1" a="1"/>
  <c r="R174" i="69" s="1"/>
  <c r="R199" i="69"/>
  <c r="R154" i="69"/>
  <c r="R176" i="69" s="1" a="1"/>
  <c r="R176" i="69" s="1"/>
  <c r="R153" i="69"/>
  <c r="R175" i="69" s="1" a="1"/>
  <c r="R175" i="69" s="1"/>
  <c r="T200" i="69"/>
  <c r="T156" i="69"/>
  <c r="T178" i="69" s="1" a="1"/>
  <c r="T178" i="69" s="1"/>
  <c r="T155" i="69"/>
  <c r="T177" i="69" s="1" a="1"/>
  <c r="T177" i="69" s="1"/>
  <c r="T157" i="69"/>
  <c r="T179" i="69" s="1" a="1"/>
  <c r="T179" i="69" s="1"/>
  <c r="I200" i="69"/>
  <c r="I157" i="69"/>
  <c r="I179" i="69" s="1" a="1"/>
  <c r="I179" i="69" s="1"/>
  <c r="I156" i="69"/>
  <c r="I178" i="69" s="1" a="1"/>
  <c r="I178" i="69" s="1"/>
  <c r="I155" i="69"/>
  <c r="I177" i="69" s="1" a="1"/>
  <c r="I177" i="69" s="1"/>
  <c r="G154" i="69"/>
  <c r="G176" i="69" s="1" a="1"/>
  <c r="G176" i="69" s="1"/>
  <c r="G153" i="69"/>
  <c r="G175" i="69" s="1" a="1"/>
  <c r="G175" i="69" s="1"/>
  <c r="G152" i="69"/>
  <c r="G174" i="69" s="1" a="1"/>
  <c r="G174" i="69" s="1"/>
  <c r="Q199" i="69"/>
  <c r="Q153" i="69"/>
  <c r="Q175" i="69" s="1" a="1"/>
  <c r="Q175" i="69" s="1"/>
  <c r="Q154" i="69"/>
  <c r="Q176" i="69" s="1" a="1"/>
  <c r="Q176" i="69" s="1"/>
  <c r="Q152" i="69"/>
  <c r="Q174" i="69" s="1" a="1"/>
  <c r="Q174" i="69" s="1"/>
  <c r="R155" i="69"/>
  <c r="R177" i="69" s="1" a="1"/>
  <c r="R177" i="69" s="1"/>
  <c r="R157" i="69"/>
  <c r="R179" i="69" s="1" a="1"/>
  <c r="R179" i="69" s="1"/>
  <c r="R156" i="69"/>
  <c r="R178" i="69" s="1" a="1"/>
  <c r="R178" i="69" s="1"/>
  <c r="R200" i="69"/>
  <c r="I152" i="69"/>
  <c r="I174" i="69" s="1" a="1"/>
  <c r="I174" i="69" s="1"/>
  <c r="I154" i="69"/>
  <c r="I176" i="69" s="1" a="1"/>
  <c r="I176" i="69" s="1"/>
  <c r="I153" i="69"/>
  <c r="I175" i="69" s="1" a="1"/>
  <c r="I175" i="69" s="1"/>
  <c r="S152" i="69"/>
  <c r="S174" i="69" s="1" a="1"/>
  <c r="S174" i="69" s="1"/>
  <c r="S199" i="69"/>
  <c r="S154" i="69"/>
  <c r="S176" i="69" s="1" a="1"/>
  <c r="S176" i="69" s="1"/>
  <c r="S153" i="69"/>
  <c r="S175" i="69" s="1" a="1"/>
  <c r="S175" i="69" s="1"/>
  <c r="U199" i="69"/>
  <c r="U153" i="69"/>
  <c r="U175" i="69" s="1" a="1"/>
  <c r="U175" i="69" s="1"/>
  <c r="U152" i="69"/>
  <c r="U174" i="69" s="1" a="1"/>
  <c r="U174" i="69" s="1"/>
  <c r="U154" i="69"/>
  <c r="U176" i="69" s="1" a="1"/>
  <c r="U176" i="69" s="1"/>
  <c r="J46" i="96"/>
  <c r="J44" i="96" s="1"/>
  <c r="D114" i="69" l="1" a="1"/>
  <c r="D114" i="69" s="1"/>
  <c r="D133" i="69" s="1" a="1"/>
  <c r="D133" i="69" s="1"/>
  <c r="G114" i="69" a="1"/>
  <c r="G114" i="69" s="1"/>
  <c r="G50" i="76" s="1"/>
  <c r="F114" i="69" a="1"/>
  <c r="F114" i="69" s="1"/>
  <c r="F133" i="69" s="1" a="1"/>
  <c r="F133" i="69" s="1"/>
  <c r="E114" i="69" a="1"/>
  <c r="E114" i="69" s="1"/>
  <c r="E133" i="69" s="1" a="1"/>
  <c r="E133" i="69" s="1"/>
  <c r="H114" i="69" a="1"/>
  <c r="H114" i="69" s="1"/>
  <c r="H133" i="69" s="1" a="1"/>
  <c r="H133" i="69" s="1"/>
  <c r="I43" i="97"/>
  <c r="I66" i="82"/>
  <c r="Q114" i="69" a="1"/>
  <c r="Q114" i="69" s="1"/>
  <c r="P50" i="76" s="1"/>
  <c r="P114" i="69" a="1"/>
  <c r="P114" i="69" s="1"/>
  <c r="O50" i="76" s="1"/>
  <c r="S114" i="69" a="1"/>
  <c r="S114" i="69" s="1"/>
  <c r="S133" i="69" s="1" a="1"/>
  <c r="S133" i="69" s="1"/>
  <c r="O114" i="69" a="1"/>
  <c r="O114" i="69" s="1"/>
  <c r="O133" i="69" s="1" a="1"/>
  <c r="O133" i="69" s="1"/>
  <c r="R206" i="69" a="1"/>
  <c r="R206" i="69" s="1"/>
  <c r="G206" i="69" a="1"/>
  <c r="G206" i="69" s="1"/>
  <c r="Q206" i="69" a="1"/>
  <c r="Q206" i="69" s="1"/>
  <c r="J206" i="69" a="1"/>
  <c r="J206" i="69" s="1"/>
  <c r="S205" i="69" a="1"/>
  <c r="S205" i="69" s="1"/>
  <c r="F206" i="69" a="1"/>
  <c r="F206" i="69" s="1"/>
  <c r="U206" i="69" a="1"/>
  <c r="U206" i="69" s="1"/>
  <c r="I206" i="69" a="1"/>
  <c r="I206" i="69" s="1"/>
  <c r="R133" i="69" a="1"/>
  <c r="R133" i="69" s="1"/>
  <c r="Q50" i="76"/>
  <c r="T206" i="69" a="1"/>
  <c r="T206" i="69" s="1"/>
  <c r="G205" i="69" a="1"/>
  <c r="G205" i="69" s="1"/>
  <c r="S206" i="69" a="1"/>
  <c r="S206" i="69" s="1"/>
  <c r="H205" i="69" a="1"/>
  <c r="H205" i="69" s="1"/>
  <c r="U205" i="69" a="1"/>
  <c r="U205" i="69" s="1"/>
  <c r="Q205" i="69" a="1"/>
  <c r="Q205" i="69" s="1"/>
  <c r="R205" i="69" a="1"/>
  <c r="R205" i="69" s="1"/>
  <c r="H206" i="69" a="1"/>
  <c r="H206" i="69" s="1"/>
  <c r="F205" i="69" a="1"/>
  <c r="F205" i="69" s="1"/>
  <c r="J205" i="69" a="1"/>
  <c r="J205" i="69" s="1"/>
  <c r="T205" i="69" a="1"/>
  <c r="T205" i="69" s="1"/>
  <c r="I205" i="69" a="1"/>
  <c r="I205" i="69" s="1"/>
  <c r="F50" i="76" l="1"/>
  <c r="F65" i="76" s="1" a="1"/>
  <c r="F65" i="76" s="1"/>
  <c r="F103" i="76" s="1" a="1"/>
  <c r="F103" i="76" s="1"/>
  <c r="G133" i="69" a="1"/>
  <c r="G133" i="69" s="1"/>
  <c r="D50" i="76"/>
  <c r="D126" i="76" s="1" a="1"/>
  <c r="D126" i="76" s="1"/>
  <c r="H50" i="76"/>
  <c r="H65" i="76" s="1" a="1"/>
  <c r="H65" i="76" s="1"/>
  <c r="H103" i="76" s="1" a="1"/>
  <c r="H103" i="76" s="1"/>
  <c r="R50" i="76"/>
  <c r="R126" i="76" s="1" a="1"/>
  <c r="R126" i="76" s="1"/>
  <c r="Q133" i="69" a="1"/>
  <c r="Q133" i="69" s="1"/>
  <c r="E50" i="76"/>
  <c r="E65" i="76" s="1" a="1"/>
  <c r="E65" i="76" s="1"/>
  <c r="E103" i="76" s="1" a="1"/>
  <c r="E103" i="76" s="1"/>
  <c r="P133" i="69" a="1"/>
  <c r="P133" i="69" s="1"/>
  <c r="N50" i="76"/>
  <c r="N65" i="76" s="1" a="1"/>
  <c r="N65" i="76" s="1"/>
  <c r="N103" i="76" s="1" a="1"/>
  <c r="N103" i="76" s="1"/>
  <c r="P65" i="76" a="1"/>
  <c r="P65" i="76" s="1"/>
  <c r="P103" i="76" s="1" a="1"/>
  <c r="P103" i="76" s="1"/>
  <c r="P126" i="76" a="1"/>
  <c r="P126" i="76" s="1"/>
  <c r="Q65" i="76" a="1"/>
  <c r="Q65" i="76" s="1"/>
  <c r="Q103" i="76" s="1" a="1"/>
  <c r="Q103" i="76" s="1"/>
  <c r="Q126" i="76" a="1"/>
  <c r="Q126" i="76" s="1"/>
  <c r="G126" i="76" a="1"/>
  <c r="G126" i="76" s="1"/>
  <c r="G65" i="76" a="1"/>
  <c r="G65" i="76" s="1"/>
  <c r="G103" i="76" s="1" a="1"/>
  <c r="G103" i="76" s="1"/>
  <c r="O65" i="76" a="1"/>
  <c r="O65" i="76" s="1"/>
  <c r="O103" i="76" s="1" a="1"/>
  <c r="O103" i="76" s="1"/>
  <c r="O126" i="76" a="1"/>
  <c r="O126" i="76" s="1"/>
  <c r="A39" i="74"/>
  <c r="A38" i="74"/>
  <c r="A37" i="74"/>
  <c r="A36" i="74"/>
  <c r="A33" i="74"/>
  <c r="A30" i="74"/>
  <c r="A29" i="74"/>
  <c r="A28" i="74"/>
  <c r="A27" i="74"/>
  <c r="A26" i="74"/>
  <c r="A25" i="74"/>
  <c r="A24" i="74"/>
  <c r="A19" i="74"/>
  <c r="A18" i="74"/>
  <c r="A15" i="74"/>
  <c r="A14" i="74"/>
  <c r="A13" i="74"/>
  <c r="A12" i="74"/>
  <c r="A11" i="74"/>
  <c r="A10" i="74"/>
  <c r="A9" i="74"/>
  <c r="A8" i="74"/>
  <c r="A7" i="74"/>
  <c r="A4" i="74"/>
  <c r="F126" i="76" l="1" a="1"/>
  <c r="F126" i="76" s="1"/>
  <c r="F146" i="76" s="1" a="1"/>
  <c r="F146" i="76" s="1"/>
  <c r="F213" i="76" s="1" a="1"/>
  <c r="F213" i="76" s="1"/>
  <c r="F19" i="96" s="1"/>
  <c r="N126" i="76" a="1"/>
  <c r="N126" i="76" s="1"/>
  <c r="N146" i="76" s="1" a="1"/>
  <c r="N146" i="76" s="1"/>
  <c r="D65" i="76" a="1"/>
  <c r="D65" i="76" s="1"/>
  <c r="E126" i="76" a="1"/>
  <c r="E126" i="76" s="1"/>
  <c r="E146" i="76" s="1" a="1"/>
  <c r="E146" i="76" s="1"/>
  <c r="H126" i="76" a="1"/>
  <c r="H126" i="76" s="1"/>
  <c r="H146" i="76" s="1" a="1"/>
  <c r="H146" i="76" s="1"/>
  <c r="R65" i="76" a="1"/>
  <c r="R65" i="76" s="1"/>
  <c r="Q146" i="76" a="1"/>
  <c r="Q146" i="76" s="1"/>
  <c r="Q176" i="76" s="1" a="1"/>
  <c r="Q176" i="76" s="1"/>
  <c r="R19" i="96" s="1"/>
  <c r="T31" i="96" s="1" a="1"/>
  <c r="T31" i="96" s="1"/>
  <c r="G146" i="76" a="1"/>
  <c r="G146" i="76" s="1"/>
  <c r="G213" i="76" s="1" a="1"/>
  <c r="G213" i="76" s="1"/>
  <c r="O146" i="76" a="1"/>
  <c r="O146" i="76" s="1"/>
  <c r="P146" i="76" a="1"/>
  <c r="P146" i="76" s="1"/>
  <c r="R103" i="76" l="1" a="1"/>
  <c r="R103" i="76" s="1"/>
  <c r="R146" i="76" s="1" a="1"/>
  <c r="R146" i="76" s="1"/>
  <c r="D103" i="76" a="1"/>
  <c r="D103" i="76" s="1"/>
  <c r="D146" i="76" s="1" a="1"/>
  <c r="D146" i="76" s="1"/>
  <c r="G176" i="76" a="1"/>
  <c r="G176" i="76" s="1"/>
  <c r="G19" i="96" s="1"/>
  <c r="I31" i="96" s="1" a="1"/>
  <c r="I31" i="96" s="1"/>
  <c r="H176" i="76" a="1"/>
  <c r="H176" i="76" s="1"/>
  <c r="H213" i="76" a="1"/>
  <c r="H213" i="76" s="1"/>
  <c r="H19" i="96" s="1"/>
  <c r="F176" i="76" a="1"/>
  <c r="F176" i="76" s="1"/>
  <c r="H31" i="96" a="1"/>
  <c r="H31" i="96" s="1"/>
  <c r="Q213" i="76" a="1"/>
  <c r="Q213" i="76" s="1"/>
  <c r="H250" i="76" a="1"/>
  <c r="H250" i="76" s="1"/>
  <c r="H47" i="81" s="1"/>
  <c r="H249" i="76" a="1"/>
  <c r="H249" i="76" s="1"/>
  <c r="H46" i="81" s="1"/>
  <c r="H248" i="76" a="1"/>
  <c r="H248" i="76" s="1"/>
  <c r="H45" i="81" s="1"/>
  <c r="H246" i="76" a="1"/>
  <c r="H246" i="76" s="1"/>
  <c r="H43" i="81" s="1"/>
  <c r="H244" i="76" a="1"/>
  <c r="H244" i="76" s="1"/>
  <c r="H41" i="81" s="1"/>
  <c r="H243" i="76" a="1"/>
  <c r="H243" i="76" s="1"/>
  <c r="H40" i="81" s="1"/>
  <c r="H247" i="76" a="1"/>
  <c r="H247" i="76" s="1"/>
  <c r="H44" i="81" s="1"/>
  <c r="H245" i="76" a="1"/>
  <c r="H245" i="76" s="1"/>
  <c r="H42" i="81" s="1"/>
  <c r="S250" i="76" a="1"/>
  <c r="S250" i="76" s="1"/>
  <c r="T47" i="81" s="1"/>
  <c r="S248" i="76" a="1"/>
  <c r="S248" i="76" s="1"/>
  <c r="T45" i="81" s="1"/>
  <c r="S243" i="76" a="1"/>
  <c r="S243" i="76" s="1"/>
  <c r="T40" i="81" s="1"/>
  <c r="S246" i="76" a="1"/>
  <c r="S246" i="76" s="1"/>
  <c r="T43" i="81" s="1"/>
  <c r="S245" i="76" a="1"/>
  <c r="S245" i="76" s="1"/>
  <c r="T42" i="81" s="1"/>
  <c r="S247" i="76" a="1"/>
  <c r="S247" i="76" s="1"/>
  <c r="T44" i="81" s="1"/>
  <c r="S244" i="76" a="1"/>
  <c r="S244" i="76" s="1"/>
  <c r="T41" i="81" s="1"/>
  <c r="S249" i="76" a="1"/>
  <c r="S249" i="76" s="1"/>
  <c r="T46" i="81" s="1"/>
  <c r="O176" i="76" a="1"/>
  <c r="O176" i="76" s="1"/>
  <c r="P19" i="96" s="1"/>
  <c r="R31" i="96" s="1" a="1"/>
  <c r="R31" i="96" s="1"/>
  <c r="O213" i="76" a="1"/>
  <c r="O213" i="76" s="1"/>
  <c r="E176" i="76" a="1"/>
  <c r="E176" i="76" s="1"/>
  <c r="E19" i="96" s="1"/>
  <c r="E213" i="76" a="1"/>
  <c r="E213" i="76" s="1"/>
  <c r="N176" i="76" a="1"/>
  <c r="N176" i="76" s="1"/>
  <c r="O19" i="96" s="1"/>
  <c r="Q31" i="96" s="1" a="1"/>
  <c r="Q31" i="96" s="1"/>
  <c r="N213" i="76" a="1"/>
  <c r="N213" i="76" s="1"/>
  <c r="P176" i="76" a="1"/>
  <c r="P176" i="76" s="1"/>
  <c r="P213" i="76" a="1"/>
  <c r="P213" i="76" s="1"/>
  <c r="Q19" i="96" s="1"/>
  <c r="S31" i="96" s="1" a="1"/>
  <c r="S31" i="96" s="1"/>
  <c r="R176" i="76" l="1" a="1"/>
  <c r="R176" i="76" s="1"/>
  <c r="R213" i="76" a="1"/>
  <c r="R213" i="76" s="1"/>
  <c r="T244" i="76" s="1" a="1"/>
  <c r="T244" i="76" s="1"/>
  <c r="U41" i="81" s="1"/>
  <c r="D213" i="76" a="1"/>
  <c r="D213" i="76" s="1"/>
  <c r="D176" i="76" a="1"/>
  <c r="D176" i="76" s="1"/>
  <c r="D19" i="96" s="1"/>
  <c r="Q23" i="98" s="1"/>
  <c r="Q28" i="98" s="1" a="1"/>
  <c r="Q28" i="98" s="1"/>
  <c r="I250" i="76" a="1"/>
  <c r="I250" i="76" s="1"/>
  <c r="I47" i="81" s="1"/>
  <c r="I246" i="76" a="1"/>
  <c r="I246" i="76" s="1"/>
  <c r="I43" i="81" s="1"/>
  <c r="I249" i="76" a="1"/>
  <c r="I249" i="76" s="1"/>
  <c r="I46" i="81" s="1"/>
  <c r="I248" i="76" a="1"/>
  <c r="I248" i="76" s="1"/>
  <c r="I45" i="81" s="1"/>
  <c r="I243" i="76" a="1"/>
  <c r="I243" i="76" s="1"/>
  <c r="I40" i="81" s="1"/>
  <c r="I244" i="76" a="1"/>
  <c r="I244" i="76" s="1"/>
  <c r="I41" i="81" s="1"/>
  <c r="I245" i="76" a="1"/>
  <c r="I245" i="76" s="1"/>
  <c r="I42" i="81" s="1"/>
  <c r="T51" i="96" a="1"/>
  <c r="T51" i="96" s="1"/>
  <c r="I247" i="76" a="1"/>
  <c r="I247" i="76" s="1"/>
  <c r="I44" i="81" s="1"/>
  <c r="J248" i="76" a="1"/>
  <c r="J248" i="76" s="1"/>
  <c r="J45" i="81" s="1"/>
  <c r="J246" i="76" a="1"/>
  <c r="J246" i="76" s="1"/>
  <c r="J43" i="81" s="1"/>
  <c r="J243" i="76" a="1"/>
  <c r="J243" i="76" s="1"/>
  <c r="J249" i="76" a="1"/>
  <c r="J249" i="76" s="1"/>
  <c r="J25" i="82" s="1"/>
  <c r="J46" i="82" s="1" a="1"/>
  <c r="J46" i="82" s="1"/>
  <c r="J31" i="96" a="1"/>
  <c r="J31" i="96" s="1"/>
  <c r="J51" i="96" s="1" a="1"/>
  <c r="J51" i="96" s="1"/>
  <c r="J250" i="76" a="1"/>
  <c r="J250" i="76" s="1"/>
  <c r="J247" i="76" a="1"/>
  <c r="J247" i="76" s="1"/>
  <c r="J245" i="76" a="1"/>
  <c r="J245" i="76" s="1"/>
  <c r="J280" i="76" s="1" a="1"/>
  <c r="J280" i="76" s="1"/>
  <c r="J244" i="76" a="1"/>
  <c r="J244" i="76" s="1"/>
  <c r="J41" i="81" s="1"/>
  <c r="H23" i="98"/>
  <c r="H28" i="98" s="1" a="1"/>
  <c r="H28" i="98" s="1"/>
  <c r="H19" i="97"/>
  <c r="H24" i="97" s="1" a="1"/>
  <c r="H24" i="97" s="1"/>
  <c r="S23" i="98"/>
  <c r="S28" i="98" s="1" a="1"/>
  <c r="S28" i="98" s="1"/>
  <c r="S19" i="97"/>
  <c r="S24" i="97" s="1" a="1"/>
  <c r="S24" i="97" s="1"/>
  <c r="I19" i="97"/>
  <c r="I24" i="97" s="1" a="1"/>
  <c r="I24" i="97" s="1"/>
  <c r="I23" i="98"/>
  <c r="I28" i="98" s="1" a="1"/>
  <c r="I28" i="98" s="1"/>
  <c r="H51" i="96" a="1"/>
  <c r="H51" i="96" s="1"/>
  <c r="S51" i="96" a="1"/>
  <c r="S51" i="96" s="1"/>
  <c r="I51" i="96" a="1"/>
  <c r="I51" i="96" s="1"/>
  <c r="G31" i="96" a="1"/>
  <c r="G31" i="96" s="1"/>
  <c r="H24" i="82"/>
  <c r="H45" i="82" s="1" a="1"/>
  <c r="H45" i="82" s="1"/>
  <c r="T25" i="82"/>
  <c r="T46" i="82" s="1" a="1"/>
  <c r="T46" i="82" s="1"/>
  <c r="H25" i="82"/>
  <c r="H46" i="82" s="1" a="1"/>
  <c r="H46" i="82" s="1"/>
  <c r="H24" i="95"/>
  <c r="H30" i="95" s="1" a="1"/>
  <c r="H30" i="95" s="1"/>
  <c r="H26" i="82"/>
  <c r="H47" i="82" s="1" a="1"/>
  <c r="H47" i="82" s="1"/>
  <c r="T20" i="82"/>
  <c r="T41" i="82" s="1" a="1"/>
  <c r="T41" i="82" s="1"/>
  <c r="T23" i="82"/>
  <c r="T44" i="82" s="1" a="1"/>
  <c r="T44" i="82" s="1"/>
  <c r="T19" i="82"/>
  <c r="T40" i="82" s="1" a="1"/>
  <c r="T40" i="82" s="1"/>
  <c r="T24" i="95"/>
  <c r="T30" i="95" s="1" a="1"/>
  <c r="T30" i="95" s="1"/>
  <c r="T26" i="82"/>
  <c r="T47" i="82" s="1" a="1"/>
  <c r="T47" i="82" s="1"/>
  <c r="H21" i="82"/>
  <c r="H42" i="82" s="1" a="1"/>
  <c r="H42" i="82" s="1"/>
  <c r="T21" i="82"/>
  <c r="T42" i="82" s="1" a="1"/>
  <c r="T42" i="82" s="1"/>
  <c r="T24" i="82"/>
  <c r="T45" i="82" s="1" a="1"/>
  <c r="T45" i="82" s="1"/>
  <c r="H23" i="82"/>
  <c r="H44" i="82" s="1" a="1"/>
  <c r="H44" i="82" s="1"/>
  <c r="H19" i="82"/>
  <c r="H40" i="82" s="1" a="1"/>
  <c r="H40" i="82" s="1"/>
  <c r="H20" i="82"/>
  <c r="H41" i="82" s="1" a="1"/>
  <c r="H41" i="82" s="1"/>
  <c r="T23" i="95"/>
  <c r="T29" i="95" s="1" a="1"/>
  <c r="T29" i="95" s="1"/>
  <c r="T22" i="82"/>
  <c r="T43" i="82" s="1" a="1"/>
  <c r="T43" i="82" s="1"/>
  <c r="H23" i="95"/>
  <c r="H29" i="95" s="1" a="1"/>
  <c r="H29" i="95" s="1"/>
  <c r="H22" i="82"/>
  <c r="H43" i="82" s="1" a="1"/>
  <c r="H43" i="82" s="1"/>
  <c r="H281" i="76" a="1"/>
  <c r="H281" i="76" s="1"/>
  <c r="H283" i="76" a="1"/>
  <c r="H283" i="76" s="1"/>
  <c r="H284" i="76" a="1"/>
  <c r="H284" i="76" s="1"/>
  <c r="P247" i="76" a="1"/>
  <c r="P247" i="76" s="1"/>
  <c r="Q44" i="81" s="1"/>
  <c r="P245" i="76" a="1"/>
  <c r="P245" i="76" s="1"/>
  <c r="Q42" i="81" s="1"/>
  <c r="P250" i="76" a="1"/>
  <c r="P250" i="76" s="1"/>
  <c r="Q47" i="81" s="1"/>
  <c r="P248" i="76" a="1"/>
  <c r="P248" i="76" s="1"/>
  <c r="Q45" i="81" s="1"/>
  <c r="P243" i="76" a="1"/>
  <c r="P243" i="76" s="1"/>
  <c r="Q40" i="81" s="1"/>
  <c r="P246" i="76" a="1"/>
  <c r="P246" i="76" s="1"/>
  <c r="Q43" i="81" s="1"/>
  <c r="P249" i="76" a="1"/>
  <c r="P249" i="76" s="1"/>
  <c r="Q46" i="81" s="1"/>
  <c r="P244" i="76" a="1"/>
  <c r="P244" i="76" s="1"/>
  <c r="Q41" i="81" s="1"/>
  <c r="S282" i="76" a="1"/>
  <c r="S282" i="76" s="1"/>
  <c r="S283" i="76" a="1"/>
  <c r="S283" i="76" s="1"/>
  <c r="S284" i="76" a="1"/>
  <c r="S284" i="76" s="1"/>
  <c r="H285" i="76" a="1"/>
  <c r="H285" i="76" s="1"/>
  <c r="S285" i="76" a="1"/>
  <c r="S285" i="76" s="1"/>
  <c r="H280" i="76" a="1"/>
  <c r="H280" i="76" s="1"/>
  <c r="S280" i="76" a="1"/>
  <c r="S280" i="76" s="1"/>
  <c r="S278" i="76" a="1"/>
  <c r="S278" i="76" s="1"/>
  <c r="G245" i="76" a="1"/>
  <c r="G245" i="76" s="1"/>
  <c r="G42" i="81" s="1"/>
  <c r="G244" i="76" a="1"/>
  <c r="G244" i="76" s="1"/>
  <c r="G41" i="81" s="1"/>
  <c r="G243" i="76" a="1"/>
  <c r="G243" i="76" s="1"/>
  <c r="G40" i="81" s="1"/>
  <c r="G250" i="76" a="1"/>
  <c r="G250" i="76" s="1"/>
  <c r="G47" i="81" s="1"/>
  <c r="G247" i="76" a="1"/>
  <c r="G247" i="76" s="1"/>
  <c r="G44" i="81" s="1"/>
  <c r="G246" i="76" a="1"/>
  <c r="G246" i="76" s="1"/>
  <c r="G43" i="81" s="1"/>
  <c r="G248" i="76" a="1"/>
  <c r="G248" i="76" s="1"/>
  <c r="G45" i="81" s="1"/>
  <c r="G249" i="76" a="1"/>
  <c r="G249" i="76" s="1"/>
  <c r="G46" i="81" s="1"/>
  <c r="S279" i="76" a="1"/>
  <c r="S279" i="76" s="1"/>
  <c r="S281" i="76" a="1"/>
  <c r="S281" i="76" s="1"/>
  <c r="Q250" i="76" a="1"/>
  <c r="Q250" i="76" s="1"/>
  <c r="R47" i="81" s="1"/>
  <c r="Q245" i="76" a="1"/>
  <c r="Q245" i="76" s="1"/>
  <c r="R42" i="81" s="1"/>
  <c r="Q248" i="76" a="1"/>
  <c r="Q248" i="76" s="1"/>
  <c r="R45" i="81" s="1"/>
  <c r="Q243" i="76" a="1"/>
  <c r="Q243" i="76" s="1"/>
  <c r="R40" i="81" s="1"/>
  <c r="Q247" i="76" a="1"/>
  <c r="Q247" i="76" s="1"/>
  <c r="R44" i="81" s="1"/>
  <c r="Q249" i="76" a="1"/>
  <c r="Q249" i="76" s="1"/>
  <c r="R46" i="81" s="1"/>
  <c r="Q246" i="76" a="1"/>
  <c r="Q246" i="76" s="1"/>
  <c r="R43" i="81" s="1"/>
  <c r="Q244" i="76" a="1"/>
  <c r="Q244" i="76" s="1"/>
  <c r="R41" i="81" s="1"/>
  <c r="H282" i="76" a="1"/>
  <c r="H282" i="76" s="1"/>
  <c r="R250" i="76" a="1"/>
  <c r="R250" i="76" s="1"/>
  <c r="S47" i="81" s="1"/>
  <c r="R245" i="76" a="1"/>
  <c r="R245" i="76" s="1"/>
  <c r="S42" i="81" s="1"/>
  <c r="R248" i="76" a="1"/>
  <c r="R248" i="76" s="1"/>
  <c r="S45" i="81" s="1"/>
  <c r="R243" i="76" a="1"/>
  <c r="R243" i="76" s="1"/>
  <c r="S40" i="81" s="1"/>
  <c r="R246" i="76" a="1"/>
  <c r="R246" i="76" s="1"/>
  <c r="S43" i="81" s="1"/>
  <c r="R244" i="76" a="1"/>
  <c r="R244" i="76" s="1"/>
  <c r="S41" i="81" s="1"/>
  <c r="R247" i="76" a="1"/>
  <c r="R247" i="76" s="1"/>
  <c r="S44" i="81" s="1"/>
  <c r="R249" i="76" a="1"/>
  <c r="R249" i="76" s="1"/>
  <c r="S46" i="81" s="1"/>
  <c r="H278" i="76" a="1"/>
  <c r="H278" i="76" s="1"/>
  <c r="H279" i="76" a="1"/>
  <c r="H279" i="76" s="1"/>
  <c r="A25" i="13"/>
  <c r="A23" i="13"/>
  <c r="A24" i="13"/>
  <c r="A8" i="13"/>
  <c r="A5" i="13"/>
  <c r="A3" i="13"/>
  <c r="T248" i="76" l="1" a="1"/>
  <c r="T248" i="76" s="1"/>
  <c r="T283" i="76" s="1" a="1"/>
  <c r="T283" i="76" s="1"/>
  <c r="T249" i="76" a="1"/>
  <c r="T249" i="76" s="1"/>
  <c r="U46" i="81" s="1"/>
  <c r="T250" i="76" a="1"/>
  <c r="T250" i="76" s="1"/>
  <c r="U47" i="81" s="1"/>
  <c r="T245" i="76" a="1"/>
  <c r="T245" i="76" s="1"/>
  <c r="U42" i="81" s="1"/>
  <c r="S19" i="96"/>
  <c r="U31" i="96" s="1" a="1"/>
  <c r="U31" i="96" s="1"/>
  <c r="T247" i="76" a="1"/>
  <c r="T247" i="76" s="1"/>
  <c r="U44" i="81" s="1"/>
  <c r="T243" i="76" a="1"/>
  <c r="T243" i="76" s="1"/>
  <c r="U40" i="81" s="1"/>
  <c r="T246" i="76" a="1"/>
  <c r="T246" i="76" s="1"/>
  <c r="U43" i="81" s="1"/>
  <c r="F249" i="76" a="1"/>
  <c r="F249" i="76" s="1"/>
  <c r="F284" i="76" s="1" a="1"/>
  <c r="F284" i="76" s="1"/>
  <c r="F248" i="76" a="1"/>
  <c r="F248" i="76" s="1"/>
  <c r="F45" i="81" s="1"/>
  <c r="F31" i="96" a="1"/>
  <c r="F31" i="96" s="1"/>
  <c r="F23" i="98" s="1"/>
  <c r="F28" i="98" s="1" a="1"/>
  <c r="F28" i="98" s="1"/>
  <c r="F247" i="76" a="1"/>
  <c r="F247" i="76" s="1"/>
  <c r="F23" i="82" s="1"/>
  <c r="F44" i="82" s="1" a="1"/>
  <c r="F44" i="82" s="1"/>
  <c r="Q51" i="96" a="1"/>
  <c r="Q51" i="96" s="1"/>
  <c r="F245" i="76" a="1"/>
  <c r="F245" i="76" s="1"/>
  <c r="F42" i="81" s="1"/>
  <c r="F244" i="76" a="1"/>
  <c r="F244" i="76" s="1"/>
  <c r="F41" i="81" s="1"/>
  <c r="F243" i="76" a="1"/>
  <c r="F243" i="76" s="1"/>
  <c r="F278" i="76" s="1" a="1"/>
  <c r="F278" i="76" s="1"/>
  <c r="Q19" i="97"/>
  <c r="Q24" i="97" s="1" a="1"/>
  <c r="Q24" i="97" s="1"/>
  <c r="I281" i="76" a="1"/>
  <c r="I281" i="76" s="1"/>
  <c r="F246" i="76" a="1"/>
  <c r="F246" i="76" s="1"/>
  <c r="F43" i="81" s="1"/>
  <c r="F250" i="76" a="1"/>
  <c r="F250" i="76" s="1"/>
  <c r="F47" i="81" s="1"/>
  <c r="I278" i="76" a="1"/>
  <c r="I278" i="76" s="1"/>
  <c r="I25" i="82"/>
  <c r="I46" i="82" s="1" a="1"/>
  <c r="I46" i="82" s="1"/>
  <c r="I26" i="82"/>
  <c r="I47" i="82" s="1" a="1"/>
  <c r="I47" i="82" s="1"/>
  <c r="I24" i="95"/>
  <c r="I30" i="95" s="1" a="1"/>
  <c r="I30" i="95" s="1"/>
  <c r="I50" i="95" s="1" a="1"/>
  <c r="I50" i="95" s="1"/>
  <c r="I21" i="82"/>
  <c r="I42" i="82" s="1" a="1"/>
  <c r="I42" i="82" s="1"/>
  <c r="I22" i="82"/>
  <c r="I43" i="82" s="1" a="1"/>
  <c r="I43" i="82" s="1"/>
  <c r="I282" i="76" a="1"/>
  <c r="I282" i="76" s="1"/>
  <c r="I283" i="76" a="1"/>
  <c r="I283" i="76" s="1"/>
  <c r="J22" i="82"/>
  <c r="J43" i="82" s="1" a="1"/>
  <c r="J43" i="82" s="1"/>
  <c r="I24" i="82"/>
  <c r="I45" i="82" s="1" a="1"/>
  <c r="I45" i="82" s="1"/>
  <c r="I19" i="82"/>
  <c r="I40" i="82" s="1" a="1"/>
  <c r="I40" i="82" s="1"/>
  <c r="I280" i="76" a="1"/>
  <c r="I280" i="76" s="1"/>
  <c r="I285" i="76" a="1"/>
  <c r="I285" i="76" s="1"/>
  <c r="I23" i="95"/>
  <c r="I29" i="95" s="1" a="1"/>
  <c r="I29" i="95" s="1"/>
  <c r="I55" i="81" s="1"/>
  <c r="I279" i="76" a="1"/>
  <c r="I279" i="76" s="1"/>
  <c r="J24" i="82"/>
  <c r="J45" i="82" s="1" a="1"/>
  <c r="J45" i="82" s="1"/>
  <c r="I284" i="76" a="1"/>
  <c r="I284" i="76" s="1"/>
  <c r="J23" i="95"/>
  <c r="J29" i="95" s="1" a="1"/>
  <c r="J29" i="95" s="1"/>
  <c r="J49" i="95" s="1" a="1"/>
  <c r="J49" i="95" s="1"/>
  <c r="J281" i="76" a="1"/>
  <c r="J281" i="76" s="1"/>
  <c r="I20" i="82"/>
  <c r="I41" i="82" s="1" a="1"/>
  <c r="I41" i="82" s="1"/>
  <c r="I23" i="82"/>
  <c r="I44" i="82" s="1" a="1"/>
  <c r="I44" i="82" s="1"/>
  <c r="J283" i="76" a="1"/>
  <c r="J283" i="76" s="1"/>
  <c r="T19" i="97"/>
  <c r="T24" i="97" s="1" a="1"/>
  <c r="T24" i="97" s="1"/>
  <c r="T23" i="98"/>
  <c r="T28" i="98" s="1" a="1"/>
  <c r="T28" i="98" s="1"/>
  <c r="H50" i="95" a="1"/>
  <c r="H50" i="95" s="1"/>
  <c r="H59" i="81"/>
  <c r="J24" i="95"/>
  <c r="J30" i="95" s="1" a="1"/>
  <c r="J30" i="95" s="1"/>
  <c r="J47" i="81"/>
  <c r="J19" i="82"/>
  <c r="J40" i="82" s="1" a="1"/>
  <c r="J40" i="82" s="1"/>
  <c r="J40" i="81"/>
  <c r="T49" i="95" a="1"/>
  <c r="T49" i="95" s="1"/>
  <c r="T55" i="81"/>
  <c r="J284" i="76" a="1"/>
  <c r="J284" i="76" s="1"/>
  <c r="J46" i="81"/>
  <c r="H49" i="95" a="1"/>
  <c r="H49" i="95" s="1"/>
  <c r="H55" i="81"/>
  <c r="J21" i="82"/>
  <c r="J42" i="82" s="1" a="1"/>
  <c r="J42" i="82" s="1"/>
  <c r="J42" i="81"/>
  <c r="J278" i="76" a="1"/>
  <c r="J278" i="76" s="1"/>
  <c r="T50" i="95" a="1"/>
  <c r="T50" i="95" s="1"/>
  <c r="T59" i="81"/>
  <c r="J23" i="82"/>
  <c r="J44" i="82" s="1" a="1"/>
  <c r="J44" i="82" s="1"/>
  <c r="J44" i="81"/>
  <c r="J23" i="98"/>
  <c r="J28" i="98" s="1" a="1"/>
  <c r="J28" i="98" s="1"/>
  <c r="U20" i="82"/>
  <c r="U41" i="82" s="1" a="1"/>
  <c r="U41" i="82" s="1"/>
  <c r="J19" i="97"/>
  <c r="J24" i="97" s="1" a="1"/>
  <c r="J24" i="97" s="1"/>
  <c r="J285" i="76" a="1"/>
  <c r="J285" i="76" s="1"/>
  <c r="J282" i="76" a="1"/>
  <c r="J282" i="76" s="1"/>
  <c r="T279" i="76" a="1"/>
  <c r="T279" i="76" s="1"/>
  <c r="J279" i="76" a="1"/>
  <c r="J279" i="76" s="1"/>
  <c r="J20" i="82"/>
  <c r="J41" i="82" s="1" a="1"/>
  <c r="J41" i="82" s="1"/>
  <c r="J26" i="82"/>
  <c r="J47" i="82" s="1" a="1"/>
  <c r="J47" i="82" s="1"/>
  <c r="G23" i="98"/>
  <c r="G28" i="98" s="1" a="1"/>
  <c r="G28" i="98" s="1"/>
  <c r="G19" i="97"/>
  <c r="G24" i="97" s="1" a="1"/>
  <c r="G24" i="97" s="1"/>
  <c r="R23" i="98"/>
  <c r="R28" i="98" s="1" a="1"/>
  <c r="R28" i="98" s="1"/>
  <c r="R19" i="97"/>
  <c r="R24" i="97" s="1" a="1"/>
  <c r="R24" i="97" s="1"/>
  <c r="G51" i="96" a="1"/>
  <c r="G51" i="96" s="1"/>
  <c r="R51" i="96" a="1"/>
  <c r="R51" i="96" s="1"/>
  <c r="R19" i="82"/>
  <c r="R40" i="82" s="1" a="1"/>
  <c r="R40" i="82" s="1"/>
  <c r="G24" i="95"/>
  <c r="G30" i="95" s="1" a="1"/>
  <c r="G30" i="95" s="1"/>
  <c r="G26" i="82"/>
  <c r="G47" i="82" s="1" a="1"/>
  <c r="G47" i="82" s="1"/>
  <c r="Q21" i="82"/>
  <c r="Q42" i="82" s="1" a="1"/>
  <c r="Q42" i="82" s="1"/>
  <c r="S23" i="82"/>
  <c r="S44" i="82" s="1" a="1"/>
  <c r="S44" i="82" s="1"/>
  <c r="S20" i="82"/>
  <c r="S41" i="82" s="1" a="1"/>
  <c r="S41" i="82" s="1"/>
  <c r="R21" i="82"/>
  <c r="R42" i="82" s="1" a="1"/>
  <c r="R42" i="82" s="1"/>
  <c r="G20" i="82"/>
  <c r="G41" i="82" s="1" a="1"/>
  <c r="G41" i="82" s="1"/>
  <c r="S25" i="82"/>
  <c r="S46" i="82" s="1" a="1"/>
  <c r="S46" i="82" s="1"/>
  <c r="S23" i="95"/>
  <c r="S29" i="95" s="1" a="1"/>
  <c r="S29" i="95" s="1"/>
  <c r="S22" i="82"/>
  <c r="S43" i="82" s="1" a="1"/>
  <c r="S43" i="82" s="1"/>
  <c r="R24" i="95"/>
  <c r="R30" i="95" s="1" a="1"/>
  <c r="R30" i="95" s="1"/>
  <c r="R26" i="82"/>
  <c r="R47" i="82" s="1" a="1"/>
  <c r="R47" i="82" s="1"/>
  <c r="G21" i="82"/>
  <c r="G42" i="82" s="1" a="1"/>
  <c r="G42" i="82" s="1"/>
  <c r="S19" i="82"/>
  <c r="S40" i="82" s="1" a="1"/>
  <c r="S40" i="82" s="1"/>
  <c r="S24" i="95"/>
  <c r="S30" i="95" s="1" a="1"/>
  <c r="S30" i="95" s="1"/>
  <c r="S26" i="82"/>
  <c r="S47" i="82" s="1" a="1"/>
  <c r="S47" i="82" s="1"/>
  <c r="S21" i="82"/>
  <c r="S42" i="82" s="1" a="1"/>
  <c r="S42" i="82" s="1"/>
  <c r="Q20" i="82"/>
  <c r="Q41" i="82" s="1" a="1"/>
  <c r="Q41" i="82" s="1"/>
  <c r="Q25" i="82"/>
  <c r="Q46" i="82" s="1" a="1"/>
  <c r="Q46" i="82" s="1"/>
  <c r="G25" i="82"/>
  <c r="G46" i="82" s="1" a="1"/>
  <c r="G46" i="82" s="1"/>
  <c r="Q23" i="95"/>
  <c r="Q29" i="95" s="1" a="1"/>
  <c r="Q29" i="95" s="1"/>
  <c r="Q22" i="82"/>
  <c r="Q43" i="82" s="1" a="1"/>
  <c r="Q43" i="82" s="1"/>
  <c r="R20" i="82"/>
  <c r="R41" i="82" s="1" a="1"/>
  <c r="R41" i="82" s="1"/>
  <c r="G24" i="82"/>
  <c r="G45" i="82" s="1" a="1"/>
  <c r="G45" i="82" s="1"/>
  <c r="Q19" i="82"/>
  <c r="Q40" i="82" s="1" a="1"/>
  <c r="Q40" i="82" s="1"/>
  <c r="R25" i="82"/>
  <c r="R46" i="82" s="1" a="1"/>
  <c r="R46" i="82" s="1"/>
  <c r="G23" i="95"/>
  <c r="G29" i="95" s="1" a="1"/>
  <c r="G29" i="95" s="1"/>
  <c r="G22" i="82"/>
  <c r="G43" i="82" s="1" a="1"/>
  <c r="G43" i="82" s="1"/>
  <c r="Q24" i="82"/>
  <c r="Q45" i="82" s="1" a="1"/>
  <c r="Q45" i="82" s="1"/>
  <c r="R23" i="82"/>
  <c r="R44" i="82" s="1" a="1"/>
  <c r="R44" i="82" s="1"/>
  <c r="G23" i="82"/>
  <c r="G44" i="82" s="1" a="1"/>
  <c r="G44" i="82" s="1"/>
  <c r="Q24" i="95"/>
  <c r="Q30" i="95" s="1" a="1"/>
  <c r="Q30" i="95" s="1"/>
  <c r="Q26" i="82"/>
  <c r="Q47" i="82" s="1" a="1"/>
  <c r="Q47" i="82" s="1"/>
  <c r="S24" i="82"/>
  <c r="S45" i="82" s="1" a="1"/>
  <c r="S45" i="82" s="1"/>
  <c r="R23" i="95"/>
  <c r="R29" i="95" s="1" a="1"/>
  <c r="R29" i="95" s="1"/>
  <c r="R22" i="82"/>
  <c r="R43" i="82" s="1" a="1"/>
  <c r="R43" i="82" s="1"/>
  <c r="R24" i="82"/>
  <c r="R45" i="82" s="1" a="1"/>
  <c r="R45" i="82" s="1"/>
  <c r="G19" i="82"/>
  <c r="G40" i="82" s="1" a="1"/>
  <c r="G40" i="82" s="1"/>
  <c r="Q23" i="82"/>
  <c r="Q44" i="82" s="1" a="1"/>
  <c r="Q44" i="82" s="1"/>
  <c r="G284" i="76" a="1"/>
  <c r="G284" i="76" s="1"/>
  <c r="R280" i="76" a="1"/>
  <c r="R280" i="76" s="1"/>
  <c r="P279" i="76" a="1"/>
  <c r="P279" i="76" s="1"/>
  <c r="P284" i="76" a="1"/>
  <c r="P284" i="76" s="1"/>
  <c r="P281" i="76" a="1"/>
  <c r="P281" i="76" s="1"/>
  <c r="R285" i="76" a="1"/>
  <c r="R285" i="76" s="1"/>
  <c r="P278" i="76" a="1"/>
  <c r="P278" i="76" s="1"/>
  <c r="Q284" i="76" a="1"/>
  <c r="Q284" i="76" s="1"/>
  <c r="G281" i="76" a="1"/>
  <c r="G281" i="76" s="1"/>
  <c r="P283" i="76" a="1"/>
  <c r="P283" i="76" s="1"/>
  <c r="P285" i="76" a="1"/>
  <c r="P285" i="76" s="1"/>
  <c r="P280" i="76" a="1"/>
  <c r="P280" i="76" s="1"/>
  <c r="Q279" i="76" a="1"/>
  <c r="Q279" i="76" s="1"/>
  <c r="Q281" i="76" a="1"/>
  <c r="Q281" i="76" s="1"/>
  <c r="G283" i="76" a="1"/>
  <c r="G283" i="76" s="1"/>
  <c r="G282" i="76" a="1"/>
  <c r="G282" i="76" s="1"/>
  <c r="R284" i="76" a="1"/>
  <c r="R284" i="76" s="1"/>
  <c r="Q278" i="76" a="1"/>
  <c r="Q278" i="76" s="1"/>
  <c r="G285" i="76" a="1"/>
  <c r="G285" i="76" s="1"/>
  <c r="R282" i="76" a="1"/>
  <c r="R282" i="76" s="1"/>
  <c r="Q283" i="76" a="1"/>
  <c r="Q283" i="76" s="1"/>
  <c r="G278" i="76" a="1"/>
  <c r="G278" i="76" s="1"/>
  <c r="P282" i="76" a="1"/>
  <c r="P282" i="76" s="1"/>
  <c r="Q282" i="76" a="1"/>
  <c r="Q282" i="76" s="1"/>
  <c r="R279" i="76" a="1"/>
  <c r="R279" i="76" s="1"/>
  <c r="R281" i="76" a="1"/>
  <c r="R281" i="76" s="1"/>
  <c r="G280" i="76" a="1"/>
  <c r="G280" i="76" s="1"/>
  <c r="R278" i="76" a="1"/>
  <c r="R278" i="76" s="1"/>
  <c r="Q280" i="76" a="1"/>
  <c r="Q280" i="76" s="1"/>
  <c r="G279" i="76" a="1"/>
  <c r="G279" i="76" s="1"/>
  <c r="Q285" i="76" a="1"/>
  <c r="Q285" i="76" s="1"/>
  <c r="R283" i="76" a="1"/>
  <c r="R283" i="76" s="1"/>
  <c r="F27" i="43" a="1"/>
  <c r="F27" i="43" s="1"/>
  <c r="E27" i="43" a="1"/>
  <c r="E27" i="43" s="1"/>
  <c r="D27" i="43" a="1"/>
  <c r="D27" i="43" s="1"/>
  <c r="F26" i="43" a="1"/>
  <c r="F26" i="43" s="1"/>
  <c r="E26" i="43" a="1"/>
  <c r="E26" i="43" s="1"/>
  <c r="D26" i="43" a="1"/>
  <c r="D26" i="43" s="1"/>
  <c r="F25" i="43" a="1"/>
  <c r="F25" i="43" s="1"/>
  <c r="E25" i="43" a="1"/>
  <c r="E25" i="43" s="1"/>
  <c r="D25" i="43" a="1"/>
  <c r="D25" i="43" s="1"/>
  <c r="F24" i="43" a="1"/>
  <c r="F24" i="43" s="1"/>
  <c r="E24" i="43" a="1"/>
  <c r="E24" i="43" s="1"/>
  <c r="D24" i="43" a="1"/>
  <c r="D24" i="43" s="1"/>
  <c r="F23" i="43" a="1"/>
  <c r="F23" i="43" s="1"/>
  <c r="E23" i="43" a="1"/>
  <c r="E23" i="43" s="1"/>
  <c r="D23" i="43" a="1"/>
  <c r="D23" i="43" s="1"/>
  <c r="F22" i="43" a="1"/>
  <c r="F22" i="43" s="1"/>
  <c r="E22" i="43" a="1"/>
  <c r="E22" i="43" s="1"/>
  <c r="D22" i="43" a="1"/>
  <c r="D22" i="43" s="1"/>
  <c r="F21" i="43" a="1"/>
  <c r="F21" i="43" s="1"/>
  <c r="E21" i="43" a="1"/>
  <c r="E21" i="43" s="1"/>
  <c r="D21" i="43" a="1"/>
  <c r="D21" i="43" s="1"/>
  <c r="F20" i="43" a="1"/>
  <c r="F20" i="43" s="1"/>
  <c r="E20" i="43" a="1"/>
  <c r="E20" i="43" s="1"/>
  <c r="D20" i="43" a="1"/>
  <c r="D20" i="43" s="1"/>
  <c r="F19" i="43" a="1"/>
  <c r="F19" i="43" s="1"/>
  <c r="E19" i="43" a="1"/>
  <c r="E19" i="43" s="1"/>
  <c r="D19" i="43" a="1"/>
  <c r="D19" i="43" s="1"/>
  <c r="F18" i="43" a="1"/>
  <c r="F18" i="43" s="1"/>
  <c r="E18" i="43" a="1"/>
  <c r="E18" i="43" s="1"/>
  <c r="D18" i="43" a="1"/>
  <c r="D18" i="43" s="1"/>
  <c r="F17" i="43" a="1"/>
  <c r="F17" i="43" s="1"/>
  <c r="E17" i="43" a="1"/>
  <c r="E17" i="43" s="1"/>
  <c r="D17" i="43" a="1"/>
  <c r="D17" i="43" s="1"/>
  <c r="F16" i="43" a="1"/>
  <c r="F16" i="43" s="1"/>
  <c r="E16" i="43" a="1"/>
  <c r="E16" i="43" s="1"/>
  <c r="D16" i="43" a="1"/>
  <c r="D16" i="43" s="1"/>
  <c r="F15" i="43" a="1"/>
  <c r="F15" i="43" s="1"/>
  <c r="E11" i="79" s="1"/>
  <c r="E15" i="43" a="1"/>
  <c r="E15" i="43" s="1"/>
  <c r="D11" i="79" s="1"/>
  <c r="D15" i="43" a="1"/>
  <c r="D15" i="43" s="1"/>
  <c r="F14" i="43" a="1"/>
  <c r="F14" i="43" s="1"/>
  <c r="E10" i="79" s="1"/>
  <c r="E14" i="43" a="1"/>
  <c r="E14" i="43" s="1"/>
  <c r="D10" i="79" s="1"/>
  <c r="D14" i="43" a="1"/>
  <c r="D14" i="43" s="1"/>
  <c r="F13" i="43" a="1"/>
  <c r="F13" i="43" s="1"/>
  <c r="E9" i="79" s="1"/>
  <c r="E13" i="43" a="1"/>
  <c r="E13" i="43" s="1"/>
  <c r="D9" i="79" s="1"/>
  <c r="D13" i="43" a="1"/>
  <c r="D13" i="43" s="1"/>
  <c r="F12" i="43" a="1"/>
  <c r="F12" i="43" s="1"/>
  <c r="E12" i="43" a="1"/>
  <c r="E12" i="43" s="1"/>
  <c r="D12" i="43" a="1"/>
  <c r="D12" i="43" s="1"/>
  <c r="F11" i="43" a="1"/>
  <c r="F11" i="43" s="1"/>
  <c r="E11" i="43" a="1"/>
  <c r="E11" i="43" s="1"/>
  <c r="D11" i="43" a="1"/>
  <c r="D11" i="43" s="1"/>
  <c r="F10" i="43" a="1"/>
  <c r="F10" i="43" s="1"/>
  <c r="E8" i="79" s="1"/>
  <c r="E10" i="43" a="1"/>
  <c r="E10" i="43" s="1"/>
  <c r="D8" i="79" s="1"/>
  <c r="D10" i="43" a="1"/>
  <c r="D10" i="43" s="1"/>
  <c r="D8" i="43" a="1"/>
  <c r="D8" i="43" s="1"/>
  <c r="D7" i="43" a="1"/>
  <c r="D7" i="43" s="1"/>
  <c r="D6" i="43" a="1"/>
  <c r="D6" i="43" s="1"/>
  <c r="O230" i="69" l="1"/>
  <c r="D230" i="69"/>
  <c r="E230" i="69" s="1" a="1"/>
  <c r="E230" i="69" s="1"/>
  <c r="D228" i="69"/>
  <c r="E228" i="69" s="1" a="1"/>
  <c r="E228" i="69" s="1"/>
  <c r="P151" i="69"/>
  <c r="P162" i="69"/>
  <c r="E290" i="69"/>
  <c r="E173" i="69"/>
  <c r="P237" i="69"/>
  <c r="E162" i="69"/>
  <c r="E237" i="69"/>
  <c r="P290" i="69"/>
  <c r="P173" i="69"/>
  <c r="E151" i="69"/>
  <c r="O228" i="69"/>
  <c r="P228" i="69" s="1" a="1"/>
  <c r="P228" i="69" s="1"/>
  <c r="D81" i="70"/>
  <c r="O229" i="69"/>
  <c r="D229" i="69"/>
  <c r="E229" i="69" s="1" a="1"/>
  <c r="E229" i="69" s="1"/>
  <c r="U25" i="82"/>
  <c r="U46" i="82" s="1" a="1"/>
  <c r="U46" i="82" s="1"/>
  <c r="D96" i="70"/>
  <c r="D120" i="70"/>
  <c r="O232" i="69"/>
  <c r="D232" i="69"/>
  <c r="E232" i="69" s="1" a="1"/>
  <c r="E232" i="69" s="1"/>
  <c r="O231" i="69"/>
  <c r="D231" i="69"/>
  <c r="E231" i="69" s="1" a="1"/>
  <c r="E231" i="69" s="1"/>
  <c r="T284" i="76" a="1"/>
  <c r="T284" i="76" s="1"/>
  <c r="U51" i="96" a="1"/>
  <c r="U51" i="96" s="1"/>
  <c r="P53" i="96" s="1"/>
  <c r="R55" i="96" s="1"/>
  <c r="P58" i="96" s="1" a="1"/>
  <c r="P58" i="96" s="1"/>
  <c r="I11" i="13" s="1"/>
  <c r="U23" i="98"/>
  <c r="U28" i="98" s="1" a="1"/>
  <c r="U28" i="98" s="1"/>
  <c r="P30" i="98" s="1"/>
  <c r="U43" i="98" s="1"/>
  <c r="P47" i="98" s="1" a="1"/>
  <c r="P47" i="98" s="1"/>
  <c r="F13" i="13" s="1"/>
  <c r="U19" i="97"/>
  <c r="U24" i="97" s="1" a="1"/>
  <c r="U24" i="97" s="1"/>
  <c r="P26" i="97" s="1"/>
  <c r="S38" i="97" s="1"/>
  <c r="P45" i="97" s="1" a="1"/>
  <c r="P45" i="97" s="1"/>
  <c r="F12" i="13" s="1"/>
  <c r="T280" i="76" a="1"/>
  <c r="T280" i="76" s="1"/>
  <c r="T282" i="76" a="1"/>
  <c r="T282" i="76" s="1"/>
  <c r="U26" i="82"/>
  <c r="U47" i="82" s="1" a="1"/>
  <c r="U47" i="82" s="1"/>
  <c r="T285" i="76" a="1"/>
  <c r="T285" i="76" s="1"/>
  <c r="T281" i="76" a="1"/>
  <c r="T281" i="76" s="1"/>
  <c r="U23" i="82"/>
  <c r="U44" i="82" s="1" a="1"/>
  <c r="U44" i="82" s="1"/>
  <c r="F283" i="76" a="1"/>
  <c r="F283" i="76" s="1"/>
  <c r="F19" i="97"/>
  <c r="F24" i="97" s="1" a="1"/>
  <c r="F24" i="97" s="1"/>
  <c r="E26" i="97" s="1"/>
  <c r="I38" i="97" s="1"/>
  <c r="E45" i="97" s="1" a="1"/>
  <c r="E45" i="97" s="1"/>
  <c r="E12" i="13" s="1"/>
  <c r="U45" i="81"/>
  <c r="U24" i="82"/>
  <c r="U45" i="82" s="1" a="1"/>
  <c r="U45" i="82" s="1"/>
  <c r="F44" i="81"/>
  <c r="F282" i="76" a="1"/>
  <c r="F282" i="76" s="1"/>
  <c r="U21" i="82"/>
  <c r="U42" i="82" s="1" a="1"/>
  <c r="U42" i="82" s="1"/>
  <c r="T278" i="76" a="1"/>
  <c r="T278" i="76" s="1"/>
  <c r="U19" i="82"/>
  <c r="U40" i="82" s="1" a="1"/>
  <c r="U40" i="82" s="1"/>
  <c r="U23" i="95"/>
  <c r="U29" i="95" s="1" a="1"/>
  <c r="U29" i="95" s="1"/>
  <c r="U55" i="81" s="1"/>
  <c r="U22" i="82"/>
  <c r="U43" i="82" s="1" a="1"/>
  <c r="U43" i="82" s="1"/>
  <c r="U24" i="95"/>
  <c r="U30" i="95" s="1" a="1"/>
  <c r="U30" i="95" s="1"/>
  <c r="U50" i="95" s="1" a="1"/>
  <c r="U50" i="95" s="1"/>
  <c r="F46" i="81"/>
  <c r="F25" i="82"/>
  <c r="F46" i="82" s="1" a="1"/>
  <c r="F46" i="82" s="1"/>
  <c r="F51" i="96" a="1"/>
  <c r="F51" i="96" s="1"/>
  <c r="E53" i="96" s="1"/>
  <c r="G55" i="96" s="1"/>
  <c r="E58" i="96" s="1" a="1"/>
  <c r="E58" i="96" s="1"/>
  <c r="H11" i="13" s="1"/>
  <c r="F24" i="82"/>
  <c r="F45" i="82" s="1" a="1"/>
  <c r="F45" i="82" s="1"/>
  <c r="F40" i="81"/>
  <c r="F19" i="82"/>
  <c r="F40" i="82" s="1" a="1"/>
  <c r="F40" i="82" s="1"/>
  <c r="F20" i="82"/>
  <c r="F41" i="82" s="1" a="1"/>
  <c r="F41" i="82" s="1"/>
  <c r="F279" i="76" a="1"/>
  <c r="F279" i="76" s="1"/>
  <c r="F21" i="82"/>
  <c r="F42" i="82" s="1" a="1"/>
  <c r="F42" i="82" s="1"/>
  <c r="F280" i="76" a="1"/>
  <c r="F280" i="76" s="1"/>
  <c r="F22" i="82"/>
  <c r="F43" i="82" s="1" a="1"/>
  <c r="F43" i="82" s="1"/>
  <c r="F26" i="82"/>
  <c r="F47" i="82" s="1" a="1"/>
  <c r="F47" i="82" s="1"/>
  <c r="F23" i="95"/>
  <c r="F29" i="95" s="1" a="1"/>
  <c r="F29" i="95" s="1"/>
  <c r="F55" i="81" s="1"/>
  <c r="F281" i="76" a="1"/>
  <c r="F281" i="76" s="1"/>
  <c r="F24" i="95"/>
  <c r="F30" i="95" s="1" a="1"/>
  <c r="F30" i="95" s="1"/>
  <c r="F59" i="81" s="1"/>
  <c r="F285" i="76" a="1"/>
  <c r="F285" i="76" s="1"/>
  <c r="I59" i="81"/>
  <c r="J55" i="81"/>
  <c r="I49" i="95" a="1"/>
  <c r="I49" i="95" s="1"/>
  <c r="J50" i="95" a="1"/>
  <c r="J50" i="95" s="1"/>
  <c r="J59" i="81"/>
  <c r="G49" i="95" a="1"/>
  <c r="G49" i="95" s="1"/>
  <c r="G55" i="81"/>
  <c r="G50" i="95" a="1"/>
  <c r="G50" i="95" s="1"/>
  <c r="G59" i="81"/>
  <c r="R50" i="95" a="1"/>
  <c r="R50" i="95" s="1"/>
  <c r="R59" i="81"/>
  <c r="S49" i="95" a="1"/>
  <c r="S49" i="95" s="1"/>
  <c r="S55" i="81"/>
  <c r="S50" i="95" a="1"/>
  <c r="S50" i="95" s="1"/>
  <c r="S59" i="81"/>
  <c r="Q50" i="95" a="1"/>
  <c r="Q50" i="95" s="1"/>
  <c r="Q59" i="81"/>
  <c r="R49" i="95" a="1"/>
  <c r="R49" i="95" s="1"/>
  <c r="R55" i="81"/>
  <c r="Q49" i="95" a="1"/>
  <c r="Q49" i="95" s="1"/>
  <c r="Q55" i="81"/>
  <c r="E30" i="98"/>
  <c r="J43" i="98" s="1"/>
  <c r="E47" i="98" s="1" a="1"/>
  <c r="E47" i="98" s="1"/>
  <c r="G49" i="98" s="1"/>
  <c r="E52" i="98" s="1" a="1"/>
  <c r="E52" i="98" s="1"/>
  <c r="H13" i="13" s="1"/>
  <c r="E28" i="98"/>
  <c r="P28" i="98"/>
  <c r="E23" i="98"/>
  <c r="P23" i="98"/>
  <c r="P19" i="97"/>
  <c r="E19" i="97"/>
  <c r="P24" i="97"/>
  <c r="E24" i="97"/>
  <c r="P51" i="96"/>
  <c r="P25" i="96"/>
  <c r="E25" i="96"/>
  <c r="P31" i="96"/>
  <c r="E51" i="96"/>
  <c r="E31" i="96"/>
  <c r="D86" i="70"/>
  <c r="D110" i="70"/>
  <c r="D91" i="70"/>
  <c r="D115" i="70"/>
  <c r="D105" i="70"/>
  <c r="J237" i="69" l="1" a="1"/>
  <c r="J237" i="69" s="1"/>
  <c r="J290" i="69" s="1" a="1"/>
  <c r="J290" i="69" s="1"/>
  <c r="H237" i="69" a="1"/>
  <c r="H237" i="69" s="1"/>
  <c r="H290" i="69" s="1" a="1"/>
  <c r="H290" i="69" s="1"/>
  <c r="G237" i="69" a="1"/>
  <c r="G237" i="69" s="1"/>
  <c r="G290" i="69" s="1" a="1"/>
  <c r="G290" i="69" s="1"/>
  <c r="F237" i="69" a="1"/>
  <c r="F237" i="69" s="1"/>
  <c r="F290" i="69" s="1" a="1"/>
  <c r="F290" i="69" s="1"/>
  <c r="I237" i="69" a="1"/>
  <c r="I237" i="69" s="1"/>
  <c r="I290" i="69" s="1" a="1"/>
  <c r="I290" i="69" s="1"/>
  <c r="U237" i="69" a="1"/>
  <c r="U237" i="69" s="1"/>
  <c r="U290" i="69" s="1" a="1"/>
  <c r="U290" i="69" s="1"/>
  <c r="T237" i="69" a="1"/>
  <c r="T237" i="69" s="1"/>
  <c r="T290" i="69" s="1" a="1"/>
  <c r="T290" i="69" s="1"/>
  <c r="Q237" i="69" a="1"/>
  <c r="Q237" i="69" s="1"/>
  <c r="Q290" i="69" s="1" a="1"/>
  <c r="Q290" i="69" s="1"/>
  <c r="S237" i="69" a="1"/>
  <c r="S237" i="69" s="1"/>
  <c r="S290" i="69" s="1" a="1"/>
  <c r="S290" i="69" s="1"/>
  <c r="R237" i="69" a="1"/>
  <c r="R237" i="69" s="1"/>
  <c r="R290" i="69" s="1" a="1"/>
  <c r="R290" i="69" s="1"/>
  <c r="D83" i="70"/>
  <c r="D82" i="70"/>
  <c r="D84" i="70"/>
  <c r="D106" i="70"/>
  <c r="D107" i="70"/>
  <c r="D108" i="70"/>
  <c r="D118" i="70"/>
  <c r="D117" i="70"/>
  <c r="D116" i="70"/>
  <c r="D113" i="70"/>
  <c r="D112" i="70"/>
  <c r="D111" i="70"/>
  <c r="D94" i="70"/>
  <c r="D93" i="70"/>
  <c r="D92" i="70"/>
  <c r="D89" i="70"/>
  <c r="D88" i="70"/>
  <c r="D87" i="70"/>
  <c r="O287" i="76"/>
  <c r="Q289" i="76" s="1"/>
  <c r="P49" i="82"/>
  <c r="R61" i="82" s="1"/>
  <c r="P68" i="82" s="1" a="1"/>
  <c r="P68" i="82" s="1"/>
  <c r="F9" i="13" s="1"/>
  <c r="U59" i="81"/>
  <c r="F11" i="13"/>
  <c r="U49" i="95" a="1"/>
  <c r="U49" i="95" s="1"/>
  <c r="P52" i="95" s="1"/>
  <c r="R54" i="95" s="1"/>
  <c r="P57" i="95" s="1" a="1"/>
  <c r="P57" i="95" s="1"/>
  <c r="I10" i="13" s="1"/>
  <c r="E287" i="76"/>
  <c r="E49" i="82"/>
  <c r="I61" i="82" s="1"/>
  <c r="E68" i="82" s="1" a="1"/>
  <c r="E68" i="82" s="1"/>
  <c r="E9" i="13" s="1"/>
  <c r="F49" i="95" a="1"/>
  <c r="F49" i="95" s="1"/>
  <c r="F50" i="95" a="1"/>
  <c r="F50" i="95" s="1"/>
  <c r="R47" i="97"/>
  <c r="P50" i="97" s="1" a="1"/>
  <c r="P50" i="97" s="1"/>
  <c r="I12" i="13" s="1"/>
  <c r="R49" i="98"/>
  <c r="P52" i="98" s="1" a="1"/>
  <c r="P52" i="98" s="1"/>
  <c r="I13" i="13" s="1"/>
  <c r="P56" i="81"/>
  <c r="E44" i="81"/>
  <c r="P44" i="81"/>
  <c r="E56" i="81"/>
  <c r="E131" i="81"/>
  <c r="E143" i="81"/>
  <c r="P143" i="81"/>
  <c r="P40" i="81"/>
  <c r="E40" i="81"/>
  <c r="P52" i="81"/>
  <c r="E52" i="81"/>
  <c r="P139" i="81"/>
  <c r="E139" i="81"/>
  <c r="E127" i="81"/>
  <c r="E58" i="81"/>
  <c r="P46" i="81"/>
  <c r="P58" i="81"/>
  <c r="E46" i="81"/>
  <c r="E145" i="81"/>
  <c r="E133" i="81"/>
  <c r="P145" i="81"/>
  <c r="E42" i="81"/>
  <c r="P54" i="81"/>
  <c r="P42" i="81"/>
  <c r="E54" i="81"/>
  <c r="P141" i="81"/>
  <c r="E141" i="81"/>
  <c r="E129" i="81"/>
  <c r="P45" i="81"/>
  <c r="P57" i="81"/>
  <c r="E45" i="81"/>
  <c r="E57" i="81"/>
  <c r="P144" i="81"/>
  <c r="E132" i="81"/>
  <c r="E144" i="81"/>
  <c r="P41" i="81"/>
  <c r="E53" i="81"/>
  <c r="E41" i="81"/>
  <c r="P53" i="81"/>
  <c r="E128" i="81"/>
  <c r="P140" i="81"/>
  <c r="E140" i="81"/>
  <c r="E13" i="13"/>
  <c r="G47" i="97"/>
  <c r="E50" i="97" s="1" a="1"/>
  <c r="E50" i="97" s="1"/>
  <c r="H12" i="13" s="1"/>
  <c r="E11" i="13"/>
  <c r="E67" i="81"/>
  <c r="E68" i="81"/>
  <c r="P110" i="81"/>
  <c r="P80" i="81"/>
  <c r="E110" i="81"/>
  <c r="E80" i="81"/>
  <c r="E71" i="81"/>
  <c r="P76" i="81"/>
  <c r="P106" i="81"/>
  <c r="E76" i="81"/>
  <c r="E106" i="81"/>
  <c r="E64" i="81"/>
  <c r="P81" i="81"/>
  <c r="P111" i="81"/>
  <c r="E81" i="81"/>
  <c r="E111" i="81"/>
  <c r="E69" i="81"/>
  <c r="P82" i="81"/>
  <c r="E112" i="81"/>
  <c r="E70" i="81"/>
  <c r="E82" i="81"/>
  <c r="P112" i="81"/>
  <c r="E108" i="81"/>
  <c r="E66" i="81"/>
  <c r="P78" i="81"/>
  <c r="P108" i="81"/>
  <c r="E78" i="81"/>
  <c r="P77" i="81"/>
  <c r="E107" i="81"/>
  <c r="P107" i="81"/>
  <c r="E77" i="81"/>
  <c r="E65" i="81"/>
  <c r="P297" i="69"/>
  <c r="E249" i="76"/>
  <c r="E46" i="82"/>
  <c r="P25" i="82"/>
  <c r="O284" i="76"/>
  <c r="E284" i="76"/>
  <c r="E297" i="69"/>
  <c r="P179" i="69"/>
  <c r="P244" i="69"/>
  <c r="E179" i="69"/>
  <c r="E244" i="69"/>
  <c r="G244" i="69" s="1" a="1"/>
  <c r="G244" i="69" s="1"/>
  <c r="O237" i="76"/>
  <c r="P46" i="82"/>
  <c r="E25" i="82"/>
  <c r="O249" i="76"/>
  <c r="E237" i="76"/>
  <c r="P157" i="69"/>
  <c r="E157" i="69"/>
  <c r="P168" i="69"/>
  <c r="E168" i="69"/>
  <c r="P45" i="82"/>
  <c r="E296" i="69"/>
  <c r="P296" i="69"/>
  <c r="E248" i="76"/>
  <c r="E45" i="82"/>
  <c r="P24" i="82"/>
  <c r="E283" i="76"/>
  <c r="O248" i="76"/>
  <c r="P243" i="69"/>
  <c r="E243" i="69"/>
  <c r="H243" i="69" s="1" a="1"/>
  <c r="H243" i="69" s="1"/>
  <c r="P178" i="69"/>
  <c r="O236" i="76"/>
  <c r="O283" i="76"/>
  <c r="E24" i="82"/>
  <c r="E236" i="76"/>
  <c r="P167" i="69"/>
  <c r="E167" i="69"/>
  <c r="E178" i="69"/>
  <c r="P156" i="69"/>
  <c r="E156" i="69"/>
  <c r="P239" i="69"/>
  <c r="P164" i="69"/>
  <c r="P41" i="82"/>
  <c r="O232" i="76"/>
  <c r="E164" i="69"/>
  <c r="E153" i="69"/>
  <c r="E20" i="82"/>
  <c r="E232" i="76"/>
  <c r="O279" i="76"/>
  <c r="E41" i="82"/>
  <c r="P20" i="82"/>
  <c r="E279" i="76"/>
  <c r="O244" i="76"/>
  <c r="E292" i="69"/>
  <c r="E175" i="69"/>
  <c r="P153" i="69"/>
  <c r="E244" i="76"/>
  <c r="P175" i="69"/>
  <c r="E239" i="69"/>
  <c r="F239" i="69" s="1" a="1"/>
  <c r="F239" i="69" s="1"/>
  <c r="P292" i="69"/>
  <c r="E40" i="82"/>
  <c r="P19" i="82"/>
  <c r="E278" i="76"/>
  <c r="E291" i="69"/>
  <c r="P174" i="69"/>
  <c r="P152" i="69"/>
  <c r="P163" i="69"/>
  <c r="E152" i="69"/>
  <c r="O278" i="76"/>
  <c r="O231" i="76"/>
  <c r="E163" i="69"/>
  <c r="E19" i="82"/>
  <c r="E231" i="76"/>
  <c r="P40" i="82"/>
  <c r="E243" i="76"/>
  <c r="O243" i="76"/>
  <c r="E174" i="69"/>
  <c r="P238" i="69"/>
  <c r="P291" i="69"/>
  <c r="E238" i="69"/>
  <c r="H238" i="69" s="1" a="1"/>
  <c r="H238" i="69" s="1"/>
  <c r="O233" i="76"/>
  <c r="P240" i="69"/>
  <c r="O280" i="76"/>
  <c r="E165" i="69"/>
  <c r="E154" i="69"/>
  <c r="O245" i="76"/>
  <c r="E21" i="82"/>
  <c r="E233" i="76"/>
  <c r="P42" i="82"/>
  <c r="E245" i="76"/>
  <c r="E240" i="69"/>
  <c r="J240" i="69" s="1" a="1"/>
  <c r="J240" i="69" s="1"/>
  <c r="E42" i="82"/>
  <c r="P21" i="82"/>
  <c r="E280" i="76"/>
  <c r="E176" i="69"/>
  <c r="P154" i="69"/>
  <c r="P176" i="69"/>
  <c r="P165" i="69"/>
  <c r="P293" i="69"/>
  <c r="E293" i="69"/>
  <c r="E23" i="82"/>
  <c r="E235" i="76"/>
  <c r="E166" i="69"/>
  <c r="O247" i="76"/>
  <c r="O282" i="76"/>
  <c r="P295" i="69"/>
  <c r="E247" i="76"/>
  <c r="E44" i="82"/>
  <c r="P23" i="82"/>
  <c r="E282" i="76"/>
  <c r="E295" i="69"/>
  <c r="P44" i="82"/>
  <c r="P177" i="69"/>
  <c r="P242" i="69"/>
  <c r="P166" i="69"/>
  <c r="O235" i="76"/>
  <c r="E242" i="69"/>
  <c r="F242" i="69" s="1" a="1"/>
  <c r="F242" i="69" s="1"/>
  <c r="E177" i="69"/>
  <c r="P155" i="69"/>
  <c r="E155" i="69"/>
  <c r="O238" i="76"/>
  <c r="E200" i="69"/>
  <c r="P200" i="69"/>
  <c r="J245" i="69" a="1"/>
  <c r="J245" i="69" s="1"/>
  <c r="H241" i="69" a="1"/>
  <c r="H241" i="69" s="1"/>
  <c r="E199" i="69"/>
  <c r="P199" i="69"/>
  <c r="E52" i="95" l="1"/>
  <c r="G54" i="95" s="1"/>
  <c r="E57" i="95" s="1" a="1"/>
  <c r="E57" i="95" s="1"/>
  <c r="H10" i="13" s="1"/>
  <c r="R70" i="82"/>
  <c r="P73" i="82" s="1" a="1"/>
  <c r="P73" i="82" s="1"/>
  <c r="I9" i="13" s="1"/>
  <c r="F78" i="81" a="1"/>
  <c r="F78" i="81" s="1"/>
  <c r="J78" i="81" a="1"/>
  <c r="J78" i="81" s="1"/>
  <c r="G78" i="81" a="1"/>
  <c r="G78" i="81" s="1"/>
  <c r="I78" i="81" a="1"/>
  <c r="I78" i="81" s="1"/>
  <c r="H78" i="81" a="1"/>
  <c r="H78" i="81" s="1"/>
  <c r="U81" i="81" a="1"/>
  <c r="U81" i="81" s="1"/>
  <c r="Q81" i="81" a="1"/>
  <c r="Q81" i="81" s="1"/>
  <c r="T81" i="81" a="1"/>
  <c r="T81" i="81" s="1"/>
  <c r="S81" i="81" a="1"/>
  <c r="S81" i="81" s="1"/>
  <c r="R81" i="81" a="1"/>
  <c r="R81" i="81" s="1"/>
  <c r="U113" i="81" a="1"/>
  <c r="U113" i="81" s="1"/>
  <c r="T113" i="81" a="1"/>
  <c r="T113" i="81" s="1"/>
  <c r="S113" i="81" a="1"/>
  <c r="S113" i="81" s="1"/>
  <c r="R113" i="81" a="1"/>
  <c r="R113" i="81" s="1"/>
  <c r="Q113" i="81" a="1"/>
  <c r="Q113" i="81" s="1"/>
  <c r="U79" i="81" a="1"/>
  <c r="U79" i="81" s="1"/>
  <c r="R79" i="81" a="1"/>
  <c r="R79" i="81" s="1"/>
  <c r="T79" i="81" a="1"/>
  <c r="T79" i="81" s="1"/>
  <c r="S79" i="81" a="1"/>
  <c r="S79" i="81" s="1"/>
  <c r="Q79" i="81" a="1"/>
  <c r="Q79" i="81" s="1"/>
  <c r="T83" i="81" a="1"/>
  <c r="T83" i="81" s="1"/>
  <c r="U83" i="81" a="1"/>
  <c r="U83" i="81" s="1"/>
  <c r="S83" i="81" a="1"/>
  <c r="S83" i="81" s="1"/>
  <c r="R83" i="81" a="1"/>
  <c r="R83" i="81" s="1"/>
  <c r="Q83" i="81" a="1"/>
  <c r="Q83" i="81" s="1"/>
  <c r="S78" i="81" a="1"/>
  <c r="S78" i="81" s="1"/>
  <c r="T78" i="81" a="1"/>
  <c r="T78" i="81" s="1"/>
  <c r="U78" i="81" a="1"/>
  <c r="U78" i="81" s="1"/>
  <c r="R78" i="81" a="1"/>
  <c r="R78" i="81" s="1"/>
  <c r="Q78" i="81" a="1"/>
  <c r="Q78" i="81" s="1"/>
  <c r="F106" i="81" a="1"/>
  <c r="F106" i="81" s="1"/>
  <c r="J106" i="81" a="1"/>
  <c r="J106" i="81" s="1"/>
  <c r="I106" i="81" a="1"/>
  <c r="I106" i="81" s="1"/>
  <c r="G106" i="81" a="1"/>
  <c r="G106" i="81" s="1"/>
  <c r="H106" i="81" a="1"/>
  <c r="H106" i="81" s="1"/>
  <c r="G142" i="81" a="1"/>
  <c r="G142" i="81" s="1"/>
  <c r="I142" i="81" a="1"/>
  <c r="I142" i="81" s="1"/>
  <c r="J142" i="81" a="1"/>
  <c r="J142" i="81" s="1"/>
  <c r="F142" i="81" a="1"/>
  <c r="F142" i="81" s="1"/>
  <c r="H142" i="81" a="1"/>
  <c r="H142" i="81" s="1"/>
  <c r="J144" i="81" a="1"/>
  <c r="J144" i="81" s="1"/>
  <c r="I144" i="81" a="1"/>
  <c r="I144" i="81" s="1"/>
  <c r="F144" i="81" a="1"/>
  <c r="F144" i="81" s="1"/>
  <c r="H144" i="81" a="1"/>
  <c r="H144" i="81" s="1"/>
  <c r="G144" i="81" a="1"/>
  <c r="G144" i="81" s="1"/>
  <c r="T145" i="81" a="1"/>
  <c r="T145" i="81" s="1"/>
  <c r="S145" i="81" a="1"/>
  <c r="S145" i="81" s="1"/>
  <c r="U145" i="81" a="1"/>
  <c r="U145" i="81" s="1"/>
  <c r="R145" i="81" a="1"/>
  <c r="R145" i="81" s="1"/>
  <c r="Q145" i="81" a="1"/>
  <c r="Q145" i="81" s="1"/>
  <c r="R143" i="81" a="1"/>
  <c r="R143" i="81" s="1"/>
  <c r="S143" i="81" a="1"/>
  <c r="S143" i="81" s="1"/>
  <c r="Q143" i="81" a="1"/>
  <c r="Q143" i="81" s="1"/>
  <c r="U143" i="81" a="1"/>
  <c r="U143" i="81" s="1"/>
  <c r="T143" i="81" a="1"/>
  <c r="T143" i="81" s="1"/>
  <c r="U108" i="81" a="1"/>
  <c r="U108" i="81" s="1"/>
  <c r="Q108" i="81" a="1"/>
  <c r="Q108" i="81" s="1"/>
  <c r="T108" i="81" a="1"/>
  <c r="T108" i="81" s="1"/>
  <c r="S108" i="81" a="1"/>
  <c r="S108" i="81" s="1"/>
  <c r="R108" i="81" a="1"/>
  <c r="R108" i="81" s="1"/>
  <c r="F76" i="81" a="1"/>
  <c r="F76" i="81" s="1"/>
  <c r="J76" i="81" a="1"/>
  <c r="J76" i="81" s="1"/>
  <c r="I76" i="81" a="1"/>
  <c r="I76" i="81" s="1"/>
  <c r="H76" i="81" a="1"/>
  <c r="H76" i="81" s="1"/>
  <c r="G76" i="81" a="1"/>
  <c r="G76" i="81" s="1"/>
  <c r="H80" i="81" a="1"/>
  <c r="H80" i="81" s="1"/>
  <c r="F80" i="81" a="1"/>
  <c r="F80" i="81" s="1"/>
  <c r="I80" i="81" a="1"/>
  <c r="I80" i="81" s="1"/>
  <c r="G80" i="81" a="1"/>
  <c r="G80" i="81" s="1"/>
  <c r="J80" i="81" a="1"/>
  <c r="J80" i="81" s="1"/>
  <c r="F143" i="81" a="1"/>
  <c r="F143" i="81" s="1"/>
  <c r="H143" i="81" a="1"/>
  <c r="H143" i="81" s="1"/>
  <c r="I143" i="81" a="1"/>
  <c r="I143" i="81" s="1"/>
  <c r="J143" i="81" a="1"/>
  <c r="J143" i="81" s="1"/>
  <c r="G143" i="81" a="1"/>
  <c r="G143" i="81" s="1"/>
  <c r="H108" i="81" a="1"/>
  <c r="H108" i="81" s="1"/>
  <c r="I108" i="81" a="1"/>
  <c r="I108" i="81" s="1"/>
  <c r="G108" i="81" a="1"/>
  <c r="G108" i="81" s="1"/>
  <c r="J108" i="81" a="1"/>
  <c r="J108" i="81" s="1"/>
  <c r="F108" i="81" a="1"/>
  <c r="F108" i="81" s="1"/>
  <c r="Q106" i="81" a="1"/>
  <c r="Q106" i="81" s="1"/>
  <c r="R106" i="81" a="1"/>
  <c r="R106" i="81" s="1"/>
  <c r="S106" i="81" a="1"/>
  <c r="S106" i="81" s="1"/>
  <c r="U106" i="81" a="1"/>
  <c r="U106" i="81" s="1"/>
  <c r="T106" i="81" a="1"/>
  <c r="T106" i="81" s="1"/>
  <c r="J110" i="81" a="1"/>
  <c r="J110" i="81" s="1"/>
  <c r="I110" i="81" a="1"/>
  <c r="I110" i="81" s="1"/>
  <c r="H110" i="81" a="1"/>
  <c r="H110" i="81" s="1"/>
  <c r="G110" i="81" a="1"/>
  <c r="G110" i="81" s="1"/>
  <c r="F110" i="81" a="1"/>
  <c r="F110" i="81" s="1"/>
  <c r="U142" i="81" a="1"/>
  <c r="U142" i="81" s="1"/>
  <c r="T142" i="81" a="1"/>
  <c r="T142" i="81" s="1"/>
  <c r="S142" i="81" a="1"/>
  <c r="S142" i="81" s="1"/>
  <c r="R142" i="81" a="1"/>
  <c r="R142" i="81" s="1"/>
  <c r="Q142" i="81" a="1"/>
  <c r="Q142" i="81" s="1"/>
  <c r="Q144" i="81" a="1"/>
  <c r="Q144" i="81" s="1"/>
  <c r="U144" i="81" a="1"/>
  <c r="U144" i="81" s="1"/>
  <c r="T144" i="81" a="1"/>
  <c r="T144" i="81" s="1"/>
  <c r="R144" i="81" a="1"/>
  <c r="R144" i="81" s="1"/>
  <c r="S144" i="81" a="1"/>
  <c r="S144" i="81" s="1"/>
  <c r="G145" i="81" a="1"/>
  <c r="G145" i="81" s="1"/>
  <c r="F145" i="81" a="1"/>
  <c r="F145" i="81" s="1"/>
  <c r="J145" i="81" a="1"/>
  <c r="J145" i="81" s="1"/>
  <c r="H145" i="81" a="1"/>
  <c r="H145" i="81" s="1"/>
  <c r="I145" i="81" a="1"/>
  <c r="I145" i="81" s="1"/>
  <c r="T112" i="81" a="1"/>
  <c r="T112" i="81" s="1"/>
  <c r="Q112" i="81" a="1"/>
  <c r="Q112" i="81" s="1"/>
  <c r="U112" i="81" a="1"/>
  <c r="U112" i="81" s="1"/>
  <c r="S112" i="81" a="1"/>
  <c r="S112" i="81" s="1"/>
  <c r="R112" i="81" a="1"/>
  <c r="R112" i="81" s="1"/>
  <c r="U76" i="81" a="1"/>
  <c r="U76" i="81" s="1"/>
  <c r="T76" i="81" a="1"/>
  <c r="T76" i="81" s="1"/>
  <c r="S76" i="81" a="1"/>
  <c r="S76" i="81" s="1"/>
  <c r="R76" i="81" a="1"/>
  <c r="R76" i="81" s="1"/>
  <c r="Q76" i="81" a="1"/>
  <c r="Q76" i="81" s="1"/>
  <c r="Q80" i="81" a="1"/>
  <c r="Q80" i="81" s="1"/>
  <c r="R80" i="81" a="1"/>
  <c r="R80" i="81" s="1"/>
  <c r="S80" i="81" a="1"/>
  <c r="S80" i="81" s="1"/>
  <c r="U80" i="81" a="1"/>
  <c r="U80" i="81" s="1"/>
  <c r="T80" i="81" a="1"/>
  <c r="T80" i="81" s="1"/>
  <c r="H82" i="81" a="1"/>
  <c r="H82" i="81" s="1"/>
  <c r="G82" i="81" a="1"/>
  <c r="G82" i="81" s="1"/>
  <c r="F82" i="81" a="1"/>
  <c r="F82" i="81" s="1"/>
  <c r="J82" i="81" a="1"/>
  <c r="J82" i="81" s="1"/>
  <c r="I82" i="81" a="1"/>
  <c r="I82" i="81" s="1"/>
  <c r="Q110" i="81" a="1"/>
  <c r="Q110" i="81" s="1"/>
  <c r="U110" i="81" a="1"/>
  <c r="U110" i="81" s="1"/>
  <c r="T110" i="81" a="1"/>
  <c r="T110" i="81" s="1"/>
  <c r="R110" i="81" a="1"/>
  <c r="R110" i="81" s="1"/>
  <c r="S110" i="81" a="1"/>
  <c r="S110" i="81" s="1"/>
  <c r="J112" i="81" a="1"/>
  <c r="J112" i="81" s="1"/>
  <c r="G112" i="81" a="1"/>
  <c r="G112" i="81" s="1"/>
  <c r="I112" i="81" a="1"/>
  <c r="I112" i="81" s="1"/>
  <c r="F112" i="81" a="1"/>
  <c r="F112" i="81" s="1"/>
  <c r="H112" i="81" a="1"/>
  <c r="H112" i="81" s="1"/>
  <c r="F146" i="81" a="1"/>
  <c r="F146" i="81" s="1"/>
  <c r="J146" i="81" a="1"/>
  <c r="J146" i="81" s="1"/>
  <c r="I146" i="81" a="1"/>
  <c r="I146" i="81" s="1"/>
  <c r="H146" i="81" a="1"/>
  <c r="H146" i="81" s="1"/>
  <c r="G146" i="81" a="1"/>
  <c r="G146" i="81" s="1"/>
  <c r="F140" i="81" a="1"/>
  <c r="F140" i="81" s="1"/>
  <c r="I140" i="81" a="1"/>
  <c r="I140" i="81" s="1"/>
  <c r="H140" i="81" a="1"/>
  <c r="H140" i="81" s="1"/>
  <c r="J140" i="81" a="1"/>
  <c r="J140" i="81" s="1"/>
  <c r="G140" i="81" a="1"/>
  <c r="G140" i="81" s="1"/>
  <c r="I77" i="81" a="1"/>
  <c r="I77" i="81" s="1"/>
  <c r="G77" i="81" a="1"/>
  <c r="G77" i="81" s="1"/>
  <c r="F77" i="81" a="1"/>
  <c r="F77" i="81" s="1"/>
  <c r="J77" i="81" a="1"/>
  <c r="J77" i="81" s="1"/>
  <c r="H77" i="81" a="1"/>
  <c r="H77" i="81" s="1"/>
  <c r="Q140" i="81" a="1"/>
  <c r="Q140" i="81" s="1"/>
  <c r="T140" i="81" a="1"/>
  <c r="T140" i="81" s="1"/>
  <c r="S140" i="81" a="1"/>
  <c r="S140" i="81" s="1"/>
  <c r="R140" i="81" a="1"/>
  <c r="R140" i="81" s="1"/>
  <c r="U140" i="81" a="1"/>
  <c r="U140" i="81" s="1"/>
  <c r="J141" i="81" a="1"/>
  <c r="J141" i="81" s="1"/>
  <c r="I141" i="81" a="1"/>
  <c r="I141" i="81" s="1"/>
  <c r="H141" i="81" a="1"/>
  <c r="H141" i="81" s="1"/>
  <c r="G141" i="81" a="1"/>
  <c r="G141" i="81" s="1"/>
  <c r="F141" i="81" a="1"/>
  <c r="F141" i="81" s="1"/>
  <c r="G139" i="81" a="1"/>
  <c r="G139" i="81" s="1"/>
  <c r="I139" i="81" a="1"/>
  <c r="I139" i="81" s="1"/>
  <c r="H139" i="81" a="1"/>
  <c r="H139" i="81" s="1"/>
  <c r="F139" i="81" a="1"/>
  <c r="F139" i="81" s="1"/>
  <c r="J139" i="81" a="1"/>
  <c r="J139" i="81" s="1"/>
  <c r="U107" i="81" a="1"/>
  <c r="U107" i="81" s="1"/>
  <c r="R107" i="81" a="1"/>
  <c r="R107" i="81" s="1"/>
  <c r="T107" i="81" a="1"/>
  <c r="T107" i="81" s="1"/>
  <c r="S107" i="81" a="1"/>
  <c r="S107" i="81" s="1"/>
  <c r="Q107" i="81" a="1"/>
  <c r="Q107" i="81" s="1"/>
  <c r="H111" i="81" a="1"/>
  <c r="H111" i="81" s="1"/>
  <c r="G111" i="81" a="1"/>
  <c r="G111" i="81" s="1"/>
  <c r="I111" i="81" a="1"/>
  <c r="I111" i="81" s="1"/>
  <c r="F111" i="81" a="1"/>
  <c r="F111" i="81" s="1"/>
  <c r="J111" i="81" a="1"/>
  <c r="J111" i="81" s="1"/>
  <c r="F109" i="81" a="1"/>
  <c r="F109" i="81" s="1"/>
  <c r="H109" i="81" a="1"/>
  <c r="H109" i="81" s="1"/>
  <c r="J109" i="81" a="1"/>
  <c r="J109" i="81" s="1"/>
  <c r="I109" i="81" a="1"/>
  <c r="I109" i="81" s="1"/>
  <c r="G109" i="81" a="1"/>
  <c r="G109" i="81" s="1"/>
  <c r="R139" i="81" a="1"/>
  <c r="R139" i="81" s="1"/>
  <c r="U139" i="81" a="1"/>
  <c r="U139" i="81" s="1"/>
  <c r="T139" i="81" a="1"/>
  <c r="T139" i="81" s="1"/>
  <c r="S139" i="81" a="1"/>
  <c r="S139" i="81" s="1"/>
  <c r="Q139" i="81" a="1"/>
  <c r="Q139" i="81" s="1"/>
  <c r="G81" i="81" a="1"/>
  <c r="G81" i="81" s="1"/>
  <c r="J81" i="81" a="1"/>
  <c r="J81" i="81" s="1"/>
  <c r="F81" i="81" a="1"/>
  <c r="F81" i="81" s="1"/>
  <c r="I81" i="81" a="1"/>
  <c r="I81" i="81" s="1"/>
  <c r="H81" i="81" a="1"/>
  <c r="H81" i="81" s="1"/>
  <c r="G113" i="81" a="1"/>
  <c r="G113" i="81" s="1"/>
  <c r="J113" i="81" a="1"/>
  <c r="J113" i="81" s="1"/>
  <c r="I113" i="81" a="1"/>
  <c r="I113" i="81" s="1"/>
  <c r="H113" i="81" a="1"/>
  <c r="H113" i="81" s="1"/>
  <c r="F113" i="81" a="1"/>
  <c r="F113" i="81" s="1"/>
  <c r="S82" i="81" a="1"/>
  <c r="S82" i="81" s="1"/>
  <c r="R82" i="81" a="1"/>
  <c r="R82" i="81" s="1"/>
  <c r="U82" i="81" a="1"/>
  <c r="U82" i="81" s="1"/>
  <c r="Q82" i="81" a="1"/>
  <c r="Q82" i="81" s="1"/>
  <c r="T82" i="81" a="1"/>
  <c r="T82" i="81" s="1"/>
  <c r="T146" i="81" a="1"/>
  <c r="T146" i="81" s="1"/>
  <c r="Q146" i="81" a="1"/>
  <c r="Q146" i="81" s="1"/>
  <c r="U146" i="81" a="1"/>
  <c r="U146" i="81" s="1"/>
  <c r="S146" i="81" a="1"/>
  <c r="S146" i="81" s="1"/>
  <c r="R146" i="81" a="1"/>
  <c r="R146" i="81" s="1"/>
  <c r="U141" i="81" a="1"/>
  <c r="U141" i="81" s="1"/>
  <c r="R141" i="81" a="1"/>
  <c r="R141" i="81" s="1"/>
  <c r="T141" i="81" a="1"/>
  <c r="T141" i="81" s="1"/>
  <c r="S141" i="81" a="1"/>
  <c r="S141" i="81" s="1"/>
  <c r="Q141" i="81" a="1"/>
  <c r="Q141" i="81" s="1"/>
  <c r="J107" i="81" a="1"/>
  <c r="J107" i="81" s="1"/>
  <c r="F107" i="81" a="1"/>
  <c r="F107" i="81" s="1"/>
  <c r="I107" i="81" a="1"/>
  <c r="I107" i="81" s="1"/>
  <c r="H107" i="81" a="1"/>
  <c r="H107" i="81" s="1"/>
  <c r="G107" i="81" a="1"/>
  <c r="G107" i="81" s="1"/>
  <c r="J79" i="81" a="1"/>
  <c r="J79" i="81" s="1"/>
  <c r="F79" i="81" a="1"/>
  <c r="F79" i="81" s="1"/>
  <c r="I79" i="81" a="1"/>
  <c r="I79" i="81" s="1"/>
  <c r="H79" i="81" a="1"/>
  <c r="H79" i="81" s="1"/>
  <c r="G79" i="81" a="1"/>
  <c r="G79" i="81" s="1"/>
  <c r="R77" i="81" a="1"/>
  <c r="R77" i="81" s="1"/>
  <c r="Q77" i="81" a="1"/>
  <c r="Q77" i="81" s="1"/>
  <c r="S77" i="81" a="1"/>
  <c r="S77" i="81" s="1"/>
  <c r="U77" i="81" a="1"/>
  <c r="U77" i="81" s="1"/>
  <c r="T77" i="81" a="1"/>
  <c r="T77" i="81" s="1"/>
  <c r="T111" i="81" a="1"/>
  <c r="T111" i="81" s="1"/>
  <c r="S111" i="81" a="1"/>
  <c r="S111" i="81" s="1"/>
  <c r="R111" i="81" a="1"/>
  <c r="R111" i="81" s="1"/>
  <c r="Q111" i="81" a="1"/>
  <c r="Q111" i="81" s="1"/>
  <c r="U111" i="81" a="1"/>
  <c r="U111" i="81" s="1"/>
  <c r="G83" i="81" a="1"/>
  <c r="G83" i="81" s="1"/>
  <c r="J83" i="81" a="1"/>
  <c r="J83" i="81" s="1"/>
  <c r="H83" i="81" a="1"/>
  <c r="H83" i="81" s="1"/>
  <c r="I83" i="81" a="1"/>
  <c r="I83" i="81" s="1"/>
  <c r="F83" i="81" a="1"/>
  <c r="F83" i="81" s="1"/>
  <c r="R109" i="81" a="1"/>
  <c r="R109" i="81" s="1"/>
  <c r="Q109" i="81" a="1"/>
  <c r="Q109" i="81" s="1"/>
  <c r="U109" i="81" a="1"/>
  <c r="U109" i="81" s="1"/>
  <c r="T109" i="81" a="1"/>
  <c r="T109" i="81" s="1"/>
  <c r="S109" i="81" a="1"/>
  <c r="S109" i="81" s="1"/>
  <c r="I245" i="69" a="1"/>
  <c r="I245" i="69" s="1"/>
  <c r="I298" i="69" s="1" a="1"/>
  <c r="I298" i="69" s="1"/>
  <c r="J244" i="69" a="1"/>
  <c r="J244" i="69" s="1"/>
  <c r="J297" i="69" s="1" a="1"/>
  <c r="J297" i="69" s="1"/>
  <c r="F243" i="69" a="1"/>
  <c r="F243" i="69" s="1"/>
  <c r="F296" i="69" s="1" a="1"/>
  <c r="F296" i="69" s="1"/>
  <c r="I241" i="69" a="1"/>
  <c r="I241" i="69" s="1"/>
  <c r="I294" i="69" s="1" a="1"/>
  <c r="I294" i="69" s="1"/>
  <c r="G240" i="69" a="1"/>
  <c r="G240" i="69" s="1"/>
  <c r="G293" i="69" s="1" a="1"/>
  <c r="G293" i="69" s="1"/>
  <c r="J239" i="69" a="1"/>
  <c r="J239" i="69" s="1"/>
  <c r="J292" i="69" s="1" a="1"/>
  <c r="J292" i="69" s="1"/>
  <c r="U241" i="69" a="1"/>
  <c r="U241" i="69" s="1"/>
  <c r="U294" i="69" s="1" a="1"/>
  <c r="U294" i="69" s="1"/>
  <c r="T241" i="69" a="1"/>
  <c r="T241" i="69" s="1"/>
  <c r="T294" i="69" s="1" a="1"/>
  <c r="T294" i="69" s="1"/>
  <c r="Q241" i="69" a="1"/>
  <c r="Q241" i="69" s="1"/>
  <c r="Q294" i="69" s="1" a="1"/>
  <c r="Q294" i="69" s="1"/>
  <c r="S241" i="69" a="1"/>
  <c r="S241" i="69" s="1"/>
  <c r="S294" i="69" s="1" a="1"/>
  <c r="S294" i="69" s="1"/>
  <c r="R241" i="69" a="1"/>
  <c r="R241" i="69" s="1"/>
  <c r="R294" i="69" s="1" a="1"/>
  <c r="R294" i="69" s="1"/>
  <c r="U245" i="69" a="1"/>
  <c r="U245" i="69" s="1"/>
  <c r="U298" i="69" s="1" a="1"/>
  <c r="U298" i="69" s="1"/>
  <c r="Q245" i="69" a="1"/>
  <c r="Q245" i="69" s="1"/>
  <c r="Q298" i="69" s="1" a="1"/>
  <c r="Q298" i="69" s="1"/>
  <c r="T245" i="69" a="1"/>
  <c r="T245" i="69" s="1"/>
  <c r="T298" i="69" s="1" a="1"/>
  <c r="T298" i="69" s="1"/>
  <c r="R245" i="69" a="1"/>
  <c r="R245" i="69" s="1"/>
  <c r="R298" i="69" s="1" a="1"/>
  <c r="R298" i="69" s="1"/>
  <c r="S245" i="69" a="1"/>
  <c r="S245" i="69" s="1"/>
  <c r="S298" i="69" s="1" a="1"/>
  <c r="S298" i="69" s="1"/>
  <c r="U244" i="69" a="1"/>
  <c r="U244" i="69" s="1"/>
  <c r="U297" i="69" s="1" a="1"/>
  <c r="U297" i="69" s="1"/>
  <c r="Q244" i="69" a="1"/>
  <c r="Q244" i="69" s="1"/>
  <c r="Q297" i="69" s="1" a="1"/>
  <c r="Q297" i="69" s="1"/>
  <c r="T244" i="69" a="1"/>
  <c r="T244" i="69" s="1"/>
  <c r="T297" i="69" s="1" a="1"/>
  <c r="T297" i="69" s="1"/>
  <c r="R244" i="69" a="1"/>
  <c r="R244" i="69" s="1"/>
  <c r="R297" i="69" s="1" a="1"/>
  <c r="R297" i="69" s="1"/>
  <c r="S244" i="69" a="1"/>
  <c r="S244" i="69" s="1"/>
  <c r="S297" i="69" s="1" a="1"/>
  <c r="S297" i="69" s="1"/>
  <c r="G245" i="69" a="1"/>
  <c r="G245" i="69" s="1"/>
  <c r="G298" i="69" s="1" a="1"/>
  <c r="G298" i="69" s="1"/>
  <c r="H240" i="69" a="1"/>
  <c r="H240" i="69" s="1"/>
  <c r="H293" i="69" s="1" a="1"/>
  <c r="H293" i="69" s="1"/>
  <c r="I242" i="69" a="1"/>
  <c r="I242" i="69" s="1"/>
  <c r="I295" i="69" s="1" a="1"/>
  <c r="I295" i="69" s="1"/>
  <c r="H245" i="69" a="1"/>
  <c r="H245" i="69" s="1"/>
  <c r="H298" i="69" s="1" a="1"/>
  <c r="H298" i="69" s="1"/>
  <c r="H244" i="69" a="1"/>
  <c r="H244" i="69" s="1"/>
  <c r="H297" i="69" s="1" a="1"/>
  <c r="H297" i="69" s="1"/>
  <c r="I238" i="69" a="1"/>
  <c r="I238" i="69" s="1"/>
  <c r="I291" i="69" s="1" a="1"/>
  <c r="I291" i="69" s="1"/>
  <c r="F245" i="69" a="1"/>
  <c r="F245" i="69" s="1"/>
  <c r="F298" i="69" s="1" a="1"/>
  <c r="F298" i="69" s="1"/>
  <c r="F240" i="69" a="1"/>
  <c r="F240" i="69" s="1"/>
  <c r="F293" i="69" s="1" a="1"/>
  <c r="F293" i="69" s="1"/>
  <c r="J238" i="69" a="1"/>
  <c r="J238" i="69" s="1"/>
  <c r="J291" i="69" s="1" a="1"/>
  <c r="J291" i="69" s="1"/>
  <c r="F241" i="69" a="1"/>
  <c r="F241" i="69" s="1"/>
  <c r="F294" i="69" s="1" a="1"/>
  <c r="F294" i="69" s="1"/>
  <c r="F244" i="69" a="1"/>
  <c r="F244" i="69" s="1"/>
  <c r="F297" i="69" s="1" a="1"/>
  <c r="F297" i="69" s="1"/>
  <c r="J242" i="69" a="1"/>
  <c r="J242" i="69" s="1"/>
  <c r="J295" i="69" s="1" a="1"/>
  <c r="J295" i="69" s="1"/>
  <c r="J241" i="69" a="1"/>
  <c r="J241" i="69" s="1"/>
  <c r="J294" i="69" s="1" a="1"/>
  <c r="J294" i="69" s="1"/>
  <c r="I239" i="69" a="1"/>
  <c r="I239" i="69" s="1"/>
  <c r="I292" i="69" s="1" a="1"/>
  <c r="I292" i="69" s="1"/>
  <c r="G238" i="69" a="1"/>
  <c r="G238" i="69" s="1"/>
  <c r="G291" i="69" s="1" a="1"/>
  <c r="G291" i="69" s="1"/>
  <c r="I243" i="69" a="1"/>
  <c r="I243" i="69" s="1"/>
  <c r="I296" i="69" s="1" a="1"/>
  <c r="I296" i="69" s="1"/>
  <c r="H242" i="69" a="1"/>
  <c r="H242" i="69" s="1"/>
  <c r="H295" i="69" s="1" a="1"/>
  <c r="H295" i="69" s="1"/>
  <c r="G241" i="69" a="1"/>
  <c r="G241" i="69" s="1"/>
  <c r="G294" i="69" s="1" a="1"/>
  <c r="G294" i="69" s="1"/>
  <c r="G239" i="69" a="1"/>
  <c r="G239" i="69" s="1"/>
  <c r="G292" i="69" s="1" a="1"/>
  <c r="G292" i="69" s="1"/>
  <c r="F238" i="69" a="1"/>
  <c r="F238" i="69" s="1"/>
  <c r="F291" i="69" s="1" a="1"/>
  <c r="F291" i="69" s="1"/>
  <c r="G243" i="69" a="1"/>
  <c r="G243" i="69" s="1"/>
  <c r="G296" i="69" s="1" a="1"/>
  <c r="G296" i="69" s="1"/>
  <c r="G242" i="69" a="1"/>
  <c r="G242" i="69" s="1"/>
  <c r="G295" i="69" s="1" a="1"/>
  <c r="G295" i="69" s="1"/>
  <c r="T238" i="69" a="1"/>
  <c r="T238" i="69" s="1"/>
  <c r="T291" i="69" s="1" a="1"/>
  <c r="T291" i="69" s="1"/>
  <c r="U238" i="69" a="1"/>
  <c r="U238" i="69" s="1"/>
  <c r="U291" i="69" s="1" a="1"/>
  <c r="U291" i="69" s="1"/>
  <c r="Q238" i="69" a="1"/>
  <c r="Q238" i="69" s="1"/>
  <c r="Q291" i="69" s="1" a="1"/>
  <c r="Q291" i="69" s="1"/>
  <c r="R238" i="69" a="1"/>
  <c r="R238" i="69" s="1"/>
  <c r="R291" i="69" s="1" a="1"/>
  <c r="R291" i="69" s="1"/>
  <c r="S238" i="69" a="1"/>
  <c r="S238" i="69" s="1"/>
  <c r="S291" i="69" s="1" a="1"/>
  <c r="S291" i="69" s="1"/>
  <c r="T240" i="69" a="1"/>
  <c r="T240" i="69" s="1"/>
  <c r="T293" i="69" s="1" a="1"/>
  <c r="T293" i="69" s="1"/>
  <c r="U240" i="69" a="1"/>
  <c r="U240" i="69" s="1"/>
  <c r="U293" i="69" s="1" a="1"/>
  <c r="U293" i="69" s="1"/>
  <c r="Q240" i="69" a="1"/>
  <c r="Q240" i="69" s="1"/>
  <c r="Q293" i="69" s="1" a="1"/>
  <c r="Q293" i="69" s="1"/>
  <c r="R240" i="69" a="1"/>
  <c r="R240" i="69" s="1"/>
  <c r="R293" i="69" s="1" a="1"/>
  <c r="R293" i="69" s="1"/>
  <c r="S240" i="69" a="1"/>
  <c r="S240" i="69" s="1"/>
  <c r="S293" i="69" s="1" a="1"/>
  <c r="S293" i="69" s="1"/>
  <c r="U243" i="69" a="1"/>
  <c r="U243" i="69" s="1"/>
  <c r="U296" i="69" s="1" a="1"/>
  <c r="U296" i="69" s="1"/>
  <c r="T243" i="69" a="1"/>
  <c r="T243" i="69" s="1"/>
  <c r="T296" i="69" s="1" a="1"/>
  <c r="T296" i="69" s="1"/>
  <c r="Q243" i="69" a="1"/>
  <c r="Q243" i="69" s="1"/>
  <c r="Q296" i="69" s="1" a="1"/>
  <c r="Q296" i="69" s="1"/>
  <c r="R243" i="69" a="1"/>
  <c r="R243" i="69" s="1"/>
  <c r="R296" i="69" s="1" a="1"/>
  <c r="R296" i="69" s="1"/>
  <c r="S243" i="69" a="1"/>
  <c r="S243" i="69" s="1"/>
  <c r="S296" i="69" s="1" a="1"/>
  <c r="S296" i="69" s="1"/>
  <c r="I244" i="69" a="1"/>
  <c r="I244" i="69" s="1"/>
  <c r="I297" i="69" s="1" a="1"/>
  <c r="I297" i="69" s="1"/>
  <c r="J243" i="69" a="1"/>
  <c r="J243" i="69" s="1"/>
  <c r="J296" i="69" s="1" a="1"/>
  <c r="J296" i="69" s="1"/>
  <c r="I240" i="69" a="1"/>
  <c r="I240" i="69" s="1"/>
  <c r="I293" i="69" s="1" a="1"/>
  <c r="I293" i="69" s="1"/>
  <c r="H239" i="69" a="1"/>
  <c r="H239" i="69" s="1"/>
  <c r="H292" i="69" s="1" a="1"/>
  <c r="H292" i="69" s="1"/>
  <c r="U239" i="69" a="1"/>
  <c r="U239" i="69" s="1"/>
  <c r="U292" i="69" s="1" a="1"/>
  <c r="U292" i="69" s="1"/>
  <c r="Q239" i="69" a="1"/>
  <c r="Q239" i="69" s="1"/>
  <c r="Q292" i="69" s="1" a="1"/>
  <c r="Q292" i="69" s="1"/>
  <c r="T239" i="69" a="1"/>
  <c r="T239" i="69" s="1"/>
  <c r="T292" i="69" s="1" a="1"/>
  <c r="T292" i="69" s="1"/>
  <c r="S239" i="69" a="1"/>
  <c r="S239" i="69" s="1"/>
  <c r="S292" i="69" s="1" a="1"/>
  <c r="S292" i="69" s="1"/>
  <c r="R239" i="69" a="1"/>
  <c r="R239" i="69" s="1"/>
  <c r="R292" i="69" s="1" a="1"/>
  <c r="R292" i="69" s="1"/>
  <c r="T242" i="69" a="1"/>
  <c r="T242" i="69" s="1"/>
  <c r="T295" i="69" s="1" a="1"/>
  <c r="T295" i="69" s="1"/>
  <c r="U242" i="69" a="1"/>
  <c r="U242" i="69" s="1"/>
  <c r="U295" i="69" s="1" a="1"/>
  <c r="U295" i="69" s="1"/>
  <c r="Q242" i="69" a="1"/>
  <c r="Q242" i="69" s="1"/>
  <c r="Q295" i="69" s="1" a="1"/>
  <c r="Q295" i="69" s="1"/>
  <c r="S242" i="69" a="1"/>
  <c r="S242" i="69" s="1"/>
  <c r="S295" i="69" s="1" a="1"/>
  <c r="S295" i="69" s="1"/>
  <c r="R242" i="69" a="1"/>
  <c r="R242" i="69" s="1"/>
  <c r="R295" i="69" s="1" a="1"/>
  <c r="R295" i="69" s="1"/>
  <c r="F292" i="69" a="1"/>
  <c r="F292" i="69" s="1"/>
  <c r="F295" i="69" a="1"/>
  <c r="F295" i="69" s="1"/>
  <c r="H294" i="69" a="1"/>
  <c r="H294" i="69" s="1"/>
  <c r="J298" i="69" a="1"/>
  <c r="J298" i="69" s="1"/>
  <c r="J293" i="69" a="1"/>
  <c r="J293" i="69" s="1"/>
  <c r="H296" i="69" a="1"/>
  <c r="H296" i="69" s="1"/>
  <c r="H291" i="69" a="1"/>
  <c r="H291" i="69" s="1"/>
  <c r="G297" i="69" a="1"/>
  <c r="G297" i="69" s="1"/>
  <c r="F10" i="13"/>
  <c r="G70" i="82"/>
  <c r="E73" i="82" s="1" a="1"/>
  <c r="E73" i="82" s="1"/>
  <c r="H9" i="13" s="1"/>
  <c r="F8" i="13"/>
  <c r="E10" i="13" l="1"/>
  <c r="P85" i="81"/>
  <c r="F20" i="13" s="1"/>
  <c r="P300" i="69"/>
  <c r="R302" i="69" s="1"/>
  <c r="P305" i="69" s="1" a="1"/>
  <c r="P305" i="69" s="1"/>
  <c r="I7" i="13" s="1"/>
  <c r="E300" i="69"/>
  <c r="G302" i="69" s="1"/>
  <c r="E305" i="69" s="1" a="1"/>
  <c r="E305" i="69" s="1"/>
  <c r="H7" i="13" s="1"/>
  <c r="E85" i="81"/>
  <c r="E20" i="13" s="1"/>
  <c r="P115" i="81"/>
  <c r="F22" i="13" s="1"/>
  <c r="E115" i="81"/>
  <c r="E22" i="13" s="1"/>
  <c r="E148" i="81"/>
  <c r="E21" i="13" s="1"/>
  <c r="P148" i="81"/>
  <c r="F21" i="13" s="1"/>
  <c r="O292" i="76" a="1"/>
  <c r="O292" i="76" s="1"/>
  <c r="I8" i="13" s="1"/>
  <c r="G289" i="76"/>
  <c r="E292" i="76" s="1" a="1"/>
  <c r="E292" i="76" s="1"/>
  <c r="H8" i="13" s="1"/>
  <c r="E8" i="13"/>
  <c r="F7" i="13" l="1"/>
  <c r="E7" i="13"/>
  <c r="I14" i="13"/>
  <c r="H14" i="13"/>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<sst xmlns="http://schemas.openxmlformats.org/spreadsheetml/2006/main" count="1636" uniqueCount="476">
  <si>
    <t>Home</t>
  </si>
  <si>
    <t>N2O MMS</t>
  </si>
  <si>
    <t>Sources &amp; acknowledgements</t>
  </si>
  <si>
    <t>INPUTS</t>
  </si>
  <si>
    <t>APPENDICES</t>
  </si>
  <si>
    <t>Emissions breakdown</t>
  </si>
  <si>
    <t>Farm name</t>
  </si>
  <si>
    <t>State</t>
  </si>
  <si>
    <t>Leaching zone</t>
  </si>
  <si>
    <t>Climate zone</t>
  </si>
  <si>
    <r>
      <rPr>
        <sz val="12"/>
        <color theme="1" tint="0.34998626667073579"/>
        <rFont val="Times New Roman"/>
        <family val="1"/>
      </rPr>
      <t xml:space="preserve">← </t>
    </r>
    <r>
      <rPr>
        <i/>
        <sz val="12"/>
        <color theme="1" tint="0.34998626667073579"/>
        <rFont val="Times New Roman"/>
        <family val="1"/>
      </rPr>
      <t>Please select</t>
    </r>
  </si>
  <si>
    <t>Degrees celsius</t>
  </si>
  <si>
    <t>Millimetres</t>
  </si>
  <si>
    <t>Location and climate</t>
  </si>
  <si>
    <t>Your business</t>
  </si>
  <si>
    <t>Location information is used to reference some region and climate-specific emission factors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</si>
  <si>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</si>
  <si>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 xml:space="preserve"> </t>
  </si>
  <si>
    <t>Dry matter digestibility</t>
  </si>
  <si>
    <t>Percent</t>
  </si>
  <si>
    <t>Unit</t>
  </si>
  <si>
    <t>Manure management system</t>
  </si>
  <si>
    <t>State/Territory</t>
  </si>
  <si>
    <t>Common Name</t>
  </si>
  <si>
    <t>Abbreviation</t>
  </si>
  <si>
    <t>SA 4 Name</t>
  </si>
  <si>
    <t>Region (ABS Statistical area level 4) if state is WA</t>
  </si>
  <si>
    <t>Function name</t>
  </si>
  <si>
    <t>Gas</t>
  </si>
  <si>
    <t>CO2-e factor</t>
  </si>
  <si>
    <t>Variable</t>
  </si>
  <si>
    <t>Conversion factor</t>
  </si>
  <si>
    <t>Conversion factor 1</t>
  </si>
  <si>
    <t>Conversion factor 2</t>
  </si>
  <si>
    <t>Conversion factor combined</t>
  </si>
  <si>
    <t>Western Australia - Outback (South)</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</si>
  <si>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</si>
  <si>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</si>
  <si>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</si>
  <si>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</si>
  <si>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</si>
  <si>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</si>
  <si>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</si>
  <si>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</si>
  <si>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</si>
  <si>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</si>
  <si>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</si>
  <si>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</si>
  <si>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</si>
  <si>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</si>
  <si>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</si>
  <si>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</si>
  <si>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</si>
  <si>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</si>
  <si>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Meters</t>
  </si>
  <si>
    <t>Days</t>
  </si>
  <si>
    <t>Temperature Zone</t>
  </si>
  <si>
    <t>Min MAT</t>
  </si>
  <si>
    <t>Max MAT</t>
  </si>
  <si>
    <t>Rainfall Zone</t>
  </si>
  <si>
    <t>Annual rainfall</t>
  </si>
  <si>
    <t>MAP:PET ratio</t>
  </si>
  <si>
    <t>Average temperature for reporting period</t>
  </si>
  <si>
    <t>Total rainfall for reporting period</t>
  </si>
  <si>
    <t>Potential evapotranspiration for reporting period</t>
  </si>
  <si>
    <t>Number of frost days for reporting period</t>
  </si>
  <si>
    <t>Leaching Zone</t>
  </si>
  <si>
    <t>Leaching criteria</t>
  </si>
  <si>
    <t>MMS</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</si>
  <si>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</si>
  <si>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</si>
  <si>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</si>
  <si>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Tip: Use the web-based GAF Location Helper tool to easily get region and climate information. You will need an internet connection to use the GAF Location Helper.</t>
  </si>
  <si>
    <t>Reporting entity name</t>
  </si>
  <si>
    <t>Freight and transport</t>
  </si>
  <si>
    <t>Enteric methane</t>
  </si>
  <si>
    <t>CALCULATIONS</t>
  </si>
  <si>
    <t>Constants - Common</t>
  </si>
  <si>
    <t>Waste</t>
  </si>
  <si>
    <t>Constants - Livestock</t>
  </si>
  <si>
    <t>Symbol</t>
  </si>
  <si>
    <t>Symbol and MMS</t>
  </si>
  <si>
    <t>ACT</t>
  </si>
  <si>
    <t>NSW</t>
  </si>
  <si>
    <t>NT</t>
  </si>
  <si>
    <t>QLD</t>
  </si>
  <si>
    <t>SA</t>
  </si>
  <si>
    <t>TAS</t>
  </si>
  <si>
    <t>VIC</t>
  </si>
  <si>
    <t>WA</t>
  </si>
  <si>
    <t>💡An 'Emissions accounting period' is a 12 month period where the business can report on the emissions, and is typically the same as the business' financial accounting period.</t>
  </si>
  <si>
    <t>Input - Site</t>
  </si>
  <si>
    <t>Wet or dry climate zone</t>
  </si>
  <si>
    <t>Is in leaching zone</t>
  </si>
  <si>
    <t>FracWET</t>
  </si>
  <si>
    <t>NO - Not in leaching zone</t>
  </si>
  <si>
    <t>Emissions calculation period start date</t>
  </si>
  <si>
    <t>Emissions calculation period end date</t>
  </si>
  <si>
    <r>
      <t>MCF</t>
    </r>
    <r>
      <rPr>
        <b/>
        <vertAlign val="subscript"/>
        <sz val="11"/>
        <color rgb="FF183C1B"/>
        <rFont val="Times New Roman"/>
        <family val="1"/>
      </rPr>
      <t>im</t>
    </r>
  </si>
  <si>
    <t>Fraction</t>
  </si>
  <si>
    <t>MMS m</t>
  </si>
  <si>
    <t>Stage 1 MMS</t>
  </si>
  <si>
    <t>Manure management systems</t>
  </si>
  <si>
    <t>Herd movement</t>
  </si>
  <si>
    <t>Duration of stay</t>
  </si>
  <si>
    <t>head</t>
  </si>
  <si>
    <t>Table_N_j</t>
  </si>
  <si>
    <t>Head</t>
  </si>
  <si>
    <r>
      <t>E</t>
    </r>
    <r>
      <rPr>
        <vertAlign val="subscript"/>
        <sz val="12"/>
        <color theme="1" tint="0.24994659260841701"/>
        <rFont val="Times New Roman"/>
        <family val="1"/>
      </rPr>
      <t>CO2e</t>
    </r>
  </si>
  <si>
    <t>Formula name</t>
  </si>
  <si>
    <t>Crude protein</t>
  </si>
  <si>
    <t>M1_Table_I_j</t>
  </si>
  <si>
    <t>M1_Table_CP_j</t>
  </si>
  <si>
    <t>M2_Table_I_j</t>
  </si>
  <si>
    <t>M1_Table_NR_j</t>
  </si>
  <si>
    <t>M2_Table_NR_j</t>
  </si>
  <si>
    <t>M1_Table_NE_j</t>
  </si>
  <si>
    <t>M2_Table_NE_j</t>
  </si>
  <si>
    <t>Method 1</t>
  </si>
  <si>
    <t>Method 2</t>
  </si>
  <si>
    <t>M1_Table_AE_j</t>
  </si>
  <si>
    <r>
      <t>E</t>
    </r>
    <r>
      <rPr>
        <b/>
        <vertAlign val="subscript"/>
        <sz val="16"/>
        <color theme="1" tint="0.24994659260841701"/>
        <rFont val="Times New Roman"/>
        <family val="1"/>
      </rPr>
      <t>N2O,dir</t>
    </r>
  </si>
  <si>
    <t>M1_Table_E_N2O_dir</t>
  </si>
  <si>
    <t>M1_Table_DMD_j</t>
  </si>
  <si>
    <t>M1_Table_VS_j</t>
  </si>
  <si>
    <t>Dry matter digestibility (Method 1)</t>
  </si>
  <si>
    <t>M2_Table_DMD_j</t>
  </si>
  <si>
    <t>M2_Table_VS_j</t>
  </si>
  <si>
    <t>ECH4 (Method 1)</t>
  </si>
  <si>
    <r>
      <t>E</t>
    </r>
    <r>
      <rPr>
        <vertAlign val="subscript"/>
        <sz val="12"/>
        <color theme="1" tint="0.24994659260841701"/>
        <rFont val="Times New Roman"/>
        <family val="1"/>
      </rPr>
      <t>CO2e</t>
    </r>
    <r>
      <rPr>
        <sz val="12"/>
        <color theme="1" tint="0.24994659260841701"/>
        <rFont val="Times New Roman"/>
        <family val="1"/>
      </rPr>
      <t xml:space="preserve"> (Method 1)</t>
    </r>
  </si>
  <si>
    <t>kg N</t>
  </si>
  <si>
    <r>
      <t>MNSoil</t>
    </r>
    <r>
      <rPr>
        <b/>
        <vertAlign val="subscript"/>
        <sz val="16"/>
        <color theme="1" tint="0.24994659260841701"/>
        <rFont val="Times New Roman"/>
        <family val="1"/>
      </rPr>
      <t>scope1</t>
    </r>
  </si>
  <si>
    <t>Table_PF_fert</t>
  </si>
  <si>
    <t>Fraction of manure applied to as fertiliser on own farm from MMS</t>
  </si>
  <si>
    <t>M1_Table_MNSoil_scope3_fert</t>
  </si>
  <si>
    <t>M2_Table_MNSoil_scope3_fert</t>
  </si>
  <si>
    <t>Mass of N applied to own farm as fertiliser (Method 2)</t>
  </si>
  <si>
    <t>Mass of N applied to own farm as fertiliser (Method 1)</t>
  </si>
  <si>
    <r>
      <t>MNSoil</t>
    </r>
    <r>
      <rPr>
        <b/>
        <vertAlign val="subscript"/>
        <sz val="16"/>
        <color theme="1" tint="0.24994659260841701"/>
        <rFont val="Times New Roman"/>
        <family val="1"/>
      </rPr>
      <t>scope3,fert</t>
    </r>
  </si>
  <si>
    <t>Scope 1 source</t>
  </si>
  <si>
    <t>Where deposited on farm soils as waste, what is the closest match?</t>
  </si>
  <si>
    <t>Production system j</t>
  </si>
  <si>
    <t>EFN2O</t>
  </si>
  <si>
    <t>Production system only</t>
  </si>
  <si>
    <t>Irrigation method</t>
  </si>
  <si>
    <t>Pasture</t>
  </si>
  <si>
    <t>Production system</t>
  </si>
  <si>
    <t>Irrigation methods</t>
  </si>
  <si>
    <t>Not irrigated</t>
  </si>
  <si>
    <t>Drip irrigation</t>
  </si>
  <si>
    <t>Sprinkler irrigation</t>
  </si>
  <si>
    <t>Surface irrigation</t>
  </si>
  <si>
    <t>Other irrigation</t>
  </si>
  <si>
    <r>
      <t>E</t>
    </r>
    <r>
      <rPr>
        <b/>
        <vertAlign val="subscript"/>
        <sz val="16"/>
        <color theme="1" tint="0.24994659260841701"/>
        <rFont val="Times New Roman"/>
        <family val="1"/>
      </rPr>
      <t>N2O,ad</t>
    </r>
  </si>
  <si>
    <t>Total</t>
  </si>
  <si>
    <t>Emissions allocated to</t>
  </si>
  <si>
    <t>GHG Unit</t>
  </si>
  <si>
    <t>CO2-e unit</t>
  </si>
  <si>
    <t>Manure nitrogen sold</t>
  </si>
  <si>
    <t>Scope 3 (downstream)</t>
  </si>
  <si>
    <t>N unit</t>
  </si>
  <si>
    <t>WARNING: Manure nitrogen that was applied to soils must be accounted for</t>
  </si>
  <si>
    <t>Manure nitrogen use</t>
  </si>
  <si>
    <t>Manure nitrogen deposited on farm soils as fertiliser for other farm enterpsies (eg crops)</t>
  </si>
  <si>
    <t>15.13.1.1 (1), 5.2.2.1 (1), 5.4.1.3 (1, 2), 5.5.1.1 (1, 3)</t>
  </si>
  <si>
    <t>5.2.2.1 (1), 5.4.1.3 (1, 2), 5.5.1.1 (1, 3)</t>
  </si>
  <si>
    <t>VEERG Calculation method</t>
  </si>
  <si>
    <t>See the table below for how to account for manure applied to soils for scope 1 and 3.</t>
  </si>
  <si>
    <t>Dairy manure management systems</t>
  </si>
  <si>
    <t>Dairy crop or pasture production systems</t>
  </si>
  <si>
    <t>Breed</t>
  </si>
  <si>
    <t>Milking cows</t>
  </si>
  <si>
    <t>Heifers &gt; 1</t>
  </si>
  <si>
    <t>Heifers &lt; 1 (weaned)</t>
  </si>
  <si>
    <t>Bulls &lt; 1 (weaned)</t>
  </si>
  <si>
    <t>Bulls &gt; 1</t>
  </si>
  <si>
    <t>Animal class j</t>
  </si>
  <si>
    <t>CH4 production</t>
  </si>
  <si>
    <t>Volatile solids (VSj=3,5)</t>
  </si>
  <si>
    <t>Nitrogen Excreted (NPWj=3,5)</t>
  </si>
  <si>
    <t>EFm</t>
  </si>
  <si>
    <t>FracGASMm</t>
  </si>
  <si>
    <t>MPW ENTERIC</t>
  </si>
  <si>
    <t>MRj</t>
  </si>
  <si>
    <t>Area</t>
  </si>
  <si>
    <t>Milking shed</t>
  </si>
  <si>
    <t>Feedpad</t>
  </si>
  <si>
    <t>NIR reference</t>
  </si>
  <si>
    <t>Heifers &gt; 1 year</t>
  </si>
  <si>
    <t>Heifers &lt; 1 year</t>
  </si>
  <si>
    <t>Bulls &gt; 1 year</t>
  </si>
  <si>
    <t>Bulls &lt; 1 year</t>
  </si>
  <si>
    <t>Input -Dairy</t>
  </si>
  <si>
    <t>kg/head</t>
  </si>
  <si>
    <t>kg/head/day</t>
  </si>
  <si>
    <t>Milk production</t>
  </si>
  <si>
    <t>Average daily milk production</t>
  </si>
  <si>
    <t>Duration (weaned)</t>
  </si>
  <si>
    <t>Duration (pre-weaned)</t>
  </si>
  <si>
    <t>Time spent in production systems</t>
  </si>
  <si>
    <t>Feed pad</t>
  </si>
  <si>
    <t>Production system template</t>
  </si>
  <si>
    <t>Duplicate of data in table 1.3.7</t>
  </si>
  <si>
    <t>Method 2 custom values (Edit if known)</t>
  </si>
  <si>
    <t>Method 1 default values (Do not edit)</t>
  </si>
  <si>
    <t>Yes</t>
  </si>
  <si>
    <t>Production systems</t>
  </si>
  <si>
    <t>No</t>
  </si>
  <si>
    <t>System 3: Pasture-grazed 3-9 months/year</t>
  </si>
  <si>
    <t>Diet</t>
  </si>
  <si>
    <t>Liveweight</t>
  </si>
  <si>
    <t>Average liveweight</t>
  </si>
  <si>
    <t>Average liveweight gain</t>
  </si>
  <si>
    <t>Medium Friesian</t>
  </si>
  <si>
    <t>M1_Table_W_j</t>
  </si>
  <si>
    <t>Liveweight for each animal class j (Method 1)</t>
  </si>
  <si>
    <t>M2_Table_W_j</t>
  </si>
  <si>
    <t>Liveweight for each animal class j (Method 2)</t>
  </si>
  <si>
    <t>M1_Table_LWG_j</t>
  </si>
  <si>
    <t>Liveweight gain for each animal class j (Method 1)</t>
  </si>
  <si>
    <t>M2_Table_LWG_j</t>
  </si>
  <si>
    <t>Liveweight gain for each animal class j (Method 2)</t>
  </si>
  <si>
    <t>Table_MR_j</t>
  </si>
  <si>
    <t>Increase in metabolic rate when producing milk</t>
  </si>
  <si>
    <t>fraction</t>
  </si>
  <si>
    <t>M1_Table_qm_j</t>
  </si>
  <si>
    <t>Metabolisability of diet (Method 1)</t>
  </si>
  <si>
    <t>M2_Table_qm_j</t>
  </si>
  <si>
    <t>Metabolisability of diet (Method 2)</t>
  </si>
  <si>
    <t>M1_Table_MI_j</t>
  </si>
  <si>
    <t>Additional intake for milk production (Method 1)</t>
  </si>
  <si>
    <t>L/head/day</t>
  </si>
  <si>
    <t>M2_Table_MI_j</t>
  </si>
  <si>
    <t>Additional intake for milk production (Method 2)</t>
  </si>
  <si>
    <t>Table_MP_j</t>
  </si>
  <si>
    <t>Dry matter digestibility (Method 2)</t>
  </si>
  <si>
    <t>Feed intake (Method 2)</t>
  </si>
  <si>
    <t>Feed intake (Method 1)</t>
  </si>
  <si>
    <t>Volatile solids for weaned cattle (Method 1)</t>
  </si>
  <si>
    <t>Volatile solids for weaned cattle (Method 2)</t>
  </si>
  <si>
    <t>Fraction volatile solids to MMS other than solid storage (Method 1)</t>
  </si>
  <si>
    <t>M1_Table_FVS_j_m</t>
  </si>
  <si>
    <t>M1_Table_SS_m</t>
  </si>
  <si>
    <t>SS</t>
  </si>
  <si>
    <t>M1_Table_MMS_j_m</t>
  </si>
  <si>
    <t>Fraction of manure in each MMS prior to solid separation (Method 1)</t>
  </si>
  <si>
    <t>M2_Table_MMS_j_m</t>
  </si>
  <si>
    <t>Fraction of manure in each MMS prior to solid separation (Method 2)</t>
  </si>
  <si>
    <t>M2_Table_SS_m</t>
  </si>
  <si>
    <t>M1_Table_MMS_j_m-4</t>
  </si>
  <si>
    <t>Fraction volatile solids to in solid storage before transfer (Method 1)</t>
  </si>
  <si>
    <t>Fraction volatile solids separated to solid storage (Method 1)</t>
  </si>
  <si>
    <t>Fraction volatile solids separated to solid storage (Method 2)</t>
  </si>
  <si>
    <t>M1_Table_FVS_j_m-4</t>
  </si>
  <si>
    <t>Fraction volatile solids to in solid storage (Method 1)</t>
  </si>
  <si>
    <t>M2_Table_MMS_j_m-4</t>
  </si>
  <si>
    <t>Fraction volatile solids to in solid storage before transfer (Method 2)</t>
  </si>
  <si>
    <t>M2_Table_FVS_j_m-4</t>
  </si>
  <si>
    <t>Fraction volatile solids to in solid storage (Method 2)</t>
  </si>
  <si>
    <t>M1_Table_MCF_i_m</t>
  </si>
  <si>
    <t>Methane conversion factor for state (Method 1)</t>
  </si>
  <si>
    <t>M1_M_j_m</t>
  </si>
  <si>
    <t>Number of dairy cattle in all classes</t>
  </si>
  <si>
    <t>M1_Table_D_j</t>
  </si>
  <si>
    <t>M1_Table_DPW_j</t>
  </si>
  <si>
    <t>Table_MPW_manure_j-3-5</t>
  </si>
  <si>
    <t>Methane production of pre-weaned cattle</t>
  </si>
  <si>
    <t>M1_Table_E_CH4</t>
  </si>
  <si>
    <t>CH4/head/day</t>
  </si>
  <si>
    <t>M1_Table_D_j-1-2-4</t>
  </si>
  <si>
    <t>t CH4</t>
  </si>
  <si>
    <t>Duration of stay of weaned dairy cattle in all classes (Method 1)</t>
  </si>
  <si>
    <t>Duration of stay of of pre-weaned dairy cattle in all classes (Method 1)</t>
  </si>
  <si>
    <t>M2_Table_D_j</t>
  </si>
  <si>
    <t>Duration of stay of weaned dairy cattle in all classes (Method 2)</t>
  </si>
  <si>
    <t>M2_M_j_m</t>
  </si>
  <si>
    <t>Methane from manure production of weaned cattle (Method 2)</t>
  </si>
  <si>
    <t>Methane from manure production of weaned cattle (Method 1)</t>
  </si>
  <si>
    <t>Methane production from manure management (Method 1)</t>
  </si>
  <si>
    <t>4.3.1.1-2 Manure Methane</t>
  </si>
  <si>
    <t>4.3.1.3-4 Manure Direct N2O</t>
  </si>
  <si>
    <t>Table_WR_j</t>
  </si>
  <si>
    <t>Reference weight for each animal class</t>
  </si>
  <si>
    <t>M1_Table_Z_j</t>
  </si>
  <si>
    <t>Relative size for each animal class (Method 1)</t>
  </si>
  <si>
    <t>M1_Table_L_j</t>
  </si>
  <si>
    <t>Intake relative to maintenance (Method 1)</t>
  </si>
  <si>
    <t>M2_Table_L_j</t>
  </si>
  <si>
    <t>Intake relative to maintenance (Method 2)</t>
  </si>
  <si>
    <t>Nitrogen retained in the body for each animal class j (Method 1)</t>
  </si>
  <si>
    <t>Nitrogen retained in the body for each animal class j (Method 2)</t>
  </si>
  <si>
    <t>Crude protein content of feed intake for each animal class j (Method 1)</t>
  </si>
  <si>
    <t>M1_Table_CPI_j</t>
  </si>
  <si>
    <t>Crude protein intake for each animal class j (Method 1)</t>
  </si>
  <si>
    <t>Nitrogen excreted for each animal class j (Method 1)</t>
  </si>
  <si>
    <t>Nitrogen excreted for each animal class j (Method 2)</t>
  </si>
  <si>
    <t>M1_Table_AE_j-1-2-4</t>
  </si>
  <si>
    <t>Duration of stay of cattle &gt; 1 year (Method 1)</t>
  </si>
  <si>
    <t>Duration of stay of cattle &gt; 1 year (Method 2)</t>
  </si>
  <si>
    <t>M1_Table_D_j-3-5</t>
  </si>
  <si>
    <t>Duration of stay of weaned cattle &lt; 1 year (Method 1)</t>
  </si>
  <si>
    <t>Table_NPW_j-3-5</t>
  </si>
  <si>
    <t>Nitrogen excretion of pre-weaned cattle</t>
  </si>
  <si>
    <t>Total annual nitrogen excreted cattle &lt; 1 year old (Method 1)</t>
  </si>
  <si>
    <t>Total annual nitrogen excreted cattle &gt; 1 year old (Method 1)</t>
  </si>
  <si>
    <t>Fraction of manure sent to each MMS (Method 1)</t>
  </si>
  <si>
    <t>Fraction of manure sent to each MMS (Method 2)</t>
  </si>
  <si>
    <t>M1_Table_MN_j_m</t>
  </si>
  <si>
    <t>Total nitrogen in each MMS (Method 1)</t>
  </si>
  <si>
    <t>Total nitrogen in each MMS (Method 2)</t>
  </si>
  <si>
    <t>M2_Table_MN_j_m</t>
  </si>
  <si>
    <t>Table_EF_m</t>
  </si>
  <si>
    <t>Nitrous oxide EF for each MMS</t>
  </si>
  <si>
    <r>
      <t>EF</t>
    </r>
    <r>
      <rPr>
        <b/>
        <vertAlign val="subscript"/>
        <sz val="11"/>
        <color rgb="FF183C1B"/>
        <rFont val="Times New Roman"/>
        <family val="1"/>
      </rPr>
      <t>m</t>
    </r>
  </si>
  <si>
    <t>Total annual direct N2O emissions from each MMS (Method 1)</t>
  </si>
  <si>
    <t>4.3 Manure management: Dairy: Results</t>
  </si>
  <si>
    <t>4.3.1.5 Manure Atmospheric Deposition</t>
  </si>
  <si>
    <t>Table_FracGASM_m</t>
  </si>
  <si>
    <r>
      <t>FracGASM</t>
    </r>
    <r>
      <rPr>
        <b/>
        <vertAlign val="subscript"/>
        <sz val="11"/>
        <color rgb="FF183C1B"/>
        <rFont val="Times New Roman"/>
        <family val="1"/>
      </rPr>
      <t>m</t>
    </r>
  </si>
  <si>
    <t>Fraction N volatilised from each MS</t>
  </si>
  <si>
    <t>M1_Table_MN_atmos</t>
  </si>
  <si>
    <t>Total nitrogen volatilised from each MMS (Method 1)</t>
  </si>
  <si>
    <t>M2_Table_MN_atmos</t>
  </si>
  <si>
    <t>Total nitrogen volatilised from each MMS (Method 2)</t>
  </si>
  <si>
    <r>
      <t>E</t>
    </r>
    <r>
      <rPr>
        <b/>
        <vertAlign val="subscript"/>
        <sz val="16"/>
        <color theme="1" tint="0.24994659260841701"/>
        <rFont val="Times New Roman"/>
        <family val="1"/>
      </rPr>
      <t>N2O,MMS,ad</t>
    </r>
  </si>
  <si>
    <t>Irrigation type i</t>
  </si>
  <si>
    <t>M1_Table_MN_j_m-4</t>
  </si>
  <si>
    <t>Total nitrogen in solid storage MMS (Method 1)</t>
  </si>
  <si>
    <t>M2_Table_MN_j_m-4</t>
  </si>
  <si>
    <t>Total nitrogen in solid storage MMS (Method 2)</t>
  </si>
  <si>
    <t>Mass of N lost to leaching and runoff from solid storage (Method 1)</t>
  </si>
  <si>
    <t>M1_Table_MN_leach_j_m-4</t>
  </si>
  <si>
    <t>M2_Table_MN_leach_j_m-4</t>
  </si>
  <si>
    <t>Mass of N lost to leaching and runoff from solid storage (Method 2)</t>
  </si>
  <si>
    <t>M1_Table_EF_N2O_leach</t>
  </si>
  <si>
    <t>Emissions from leaching and runoff (Method 1)</t>
  </si>
  <si>
    <t>M2_Table_EF_N2O_leach</t>
  </si>
  <si>
    <t>Emissions from leaching and runoff (Method 2)</t>
  </si>
  <si>
    <t>4.3.1.8 Manure applied to soils</t>
  </si>
  <si>
    <t>Table_PF_scope</t>
  </si>
  <si>
    <t>Fraction of manure applied to soils within farm boundary</t>
  </si>
  <si>
    <t>M1_Table_MN_soil_scope1</t>
  </si>
  <si>
    <t>M1_Table_MN_soil_scope3</t>
  </si>
  <si>
    <t>Mass of nitrogen from manure applied to soils for scope 3 emissions (Method 1)</t>
  </si>
  <si>
    <t>Mass of nitrogen from manure applied to soils for scope 1 emissions (Method 1)</t>
  </si>
  <si>
    <t>M2_Table_MN_soil_scope1</t>
  </si>
  <si>
    <t>Mass of nitrogen from manure applied to soils for scope 1 emissions (Method 2)</t>
  </si>
  <si>
    <r>
      <t>MNSoil</t>
    </r>
    <r>
      <rPr>
        <b/>
        <vertAlign val="subscript"/>
        <sz val="16"/>
        <color theme="1" tint="0.24994659260841701"/>
        <rFont val="Times New Roman"/>
        <family val="1"/>
      </rPr>
      <t>scope3</t>
    </r>
  </si>
  <si>
    <t>M2_Table_MN_soil_scope3</t>
  </si>
  <si>
    <t>Mass of nitrogen from manure applied to soils for scope 3 emissions (Method 2)</t>
  </si>
  <si>
    <t>t CO2e</t>
  </si>
  <si>
    <t>4.1.1.6-7 Manure leaching and runoff</t>
  </si>
  <si>
    <t>4.3.1.9 Soil direct N2O</t>
  </si>
  <si>
    <t>M1_Table_MMS_j_m-14</t>
  </si>
  <si>
    <t>Fraction of manure deposited on pasture range and paddock (Method 1)</t>
  </si>
  <si>
    <t>Total annual nitrogen excreted all cattle (Method 1)</t>
  </si>
  <si>
    <t>M1_Table_MN_j_m-14</t>
  </si>
  <si>
    <t>Total nitrogen deposited on pasture range and paddock (Method 1)</t>
  </si>
  <si>
    <t>M2_Table_MN_j_m-14</t>
  </si>
  <si>
    <t>Total nitrogen deposited on pasture range and paddock (Method 2)</t>
  </si>
  <si>
    <t>EFPRP</t>
  </si>
  <si>
    <t>Direct nitrous oxide emissions from urine and dung deposited on pasture (Method 1)</t>
  </si>
  <si>
    <t>M2_Table_E_N2O_dir</t>
  </si>
  <si>
    <t>Direct nitrous oxide emissions from urine and dung deposited on pasture (Method 2)</t>
  </si>
  <si>
    <t>M1_Table_M_vol_m-14</t>
  </si>
  <si>
    <t>Mass of N volatilised from urine and dung on pasture (Method 1)</t>
  </si>
  <si>
    <t>M2_Table_M_vol_m-14</t>
  </si>
  <si>
    <t>Mass of N volatilised from urine and dung on pasture (Method 2)</t>
  </si>
  <si>
    <t>4.3.1.10-11 Soil atmospheric deposition</t>
  </si>
  <si>
    <t>4.3.1.12-13 Soil leaching and runoff</t>
  </si>
  <si>
    <t>4.3.1.12-13 Soil leaching and runoff N2O</t>
  </si>
  <si>
    <t>4.3.1.10-11 Soil atmospheric deposition N2O</t>
  </si>
  <si>
    <t>M1_Table_M_leach_M-14</t>
  </si>
  <si>
    <t>Mass of N lost to leaching and runoff urine and faeces on pasture (Method 1)</t>
  </si>
  <si>
    <t>M2_Table_M_leach_M-14</t>
  </si>
  <si>
    <t>Mass of N lost to leaching and runoff urine and faeces on pasture (Method 2)</t>
  </si>
  <si>
    <r>
      <t>E</t>
    </r>
    <r>
      <rPr>
        <b/>
        <vertAlign val="subscript"/>
        <sz val="16"/>
        <color theme="1" tint="0.24994659260841701"/>
        <rFont val="Times New Roman"/>
        <family val="1"/>
      </rPr>
      <t>N2O,leach</t>
    </r>
  </si>
  <si>
    <r>
      <t>M</t>
    </r>
    <r>
      <rPr>
        <b/>
        <vertAlign val="subscript"/>
        <sz val="12"/>
        <color theme="1" tint="0.24994659260841701"/>
        <rFont val="Times New Roman"/>
        <family val="1"/>
      </rPr>
      <t>leach,m=14</t>
    </r>
  </si>
  <si>
    <r>
      <t>M</t>
    </r>
    <r>
      <rPr>
        <b/>
        <vertAlign val="subscript"/>
        <sz val="12"/>
        <color theme="1" tint="0.24994659260841701"/>
        <rFont val="Times New Roman"/>
        <family val="1"/>
      </rPr>
      <t>vol,m=14</t>
    </r>
  </si>
  <si>
    <r>
      <t>MN</t>
    </r>
    <r>
      <rPr>
        <b/>
        <vertAlign val="subscript"/>
        <sz val="12"/>
        <color theme="1" tint="0.24994659260841701"/>
        <rFont val="Times New Roman"/>
        <family val="1"/>
      </rPr>
      <t>ATMOS</t>
    </r>
  </si>
  <si>
    <t>GHG emissions method 1</t>
  </si>
  <si>
    <t>GHG emissions method 2</t>
  </si>
  <si>
    <t>4.3.1.1-2 Manure methane</t>
  </si>
  <si>
    <t>4.3.1.3-4 Manure direct N2O</t>
  </si>
  <si>
    <t>4.3.1.5 Manure atmospheric deposition</t>
  </si>
  <si>
    <t>4.3.1.6-7 Manure leaching and runoff</t>
  </si>
  <si>
    <t>CO2-e emissions method 1</t>
  </si>
  <si>
    <t>CO2-e emissions method 2</t>
  </si>
  <si>
    <t>Scope 1 - This dairy</t>
  </si>
  <si>
    <t>Month</t>
  </si>
  <si>
    <t>Season</t>
  </si>
  <si>
    <t>Acknowledgements</t>
  </si>
  <si>
    <t>Scope 1: Mass of nitrogen applied as fertiliser on own farm</t>
  </si>
  <si>
    <t>* Scope 1: Manure that is removed from MMS and used as fertiliser on the farm, for other enterprises (eg crops)</t>
  </si>
  <si>
    <r>
      <t>Manure nitrogen deposited on farm soils (</t>
    </r>
    <r>
      <rPr>
        <i/>
        <sz val="12"/>
        <color theme="1" tint="0.24994659260841701"/>
        <rFont val="Times New Roman"/>
        <family val="1"/>
      </rPr>
      <t>including</t>
    </r>
    <r>
      <rPr>
        <sz val="12"/>
        <color theme="1" tint="0.24994659260841701"/>
        <rFont val="Times New Roman"/>
        <family val="1"/>
      </rPr>
      <t xml:space="preserve"> use as fertiliser for other enterprises on own farm eg crops)</t>
    </r>
  </si>
  <si>
    <t>M2_Table_MN_leach_j_m</t>
  </si>
  <si>
    <t>Mass of N lost to leaching and runoff from MMS (Method 2)</t>
  </si>
  <si>
    <t>M1_Table_MN_leach_j_m</t>
  </si>
  <si>
    <t>Mass of N lost to leaching and runoff from MMS (Method 1)</t>
  </si>
  <si>
    <t>MAT (ºC)</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</si>
  <si>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</si>
  <si>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</si>
  <si>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</si>
  <si>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</si>
  <si>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</si>
  <si>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</si>
  <si>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</si>
  <si>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</si>
  <si>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</si>
  <si>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</si>
  <si>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</si>
  <si>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</si>
  <si>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Pasture range and paddock</t>
  </si>
  <si>
    <t>MAT raw</t>
  </si>
  <si>
    <t>NOTE: Drains to paddock uses 'Liquid slurry' MCFs</t>
  </si>
  <si>
    <t>NOTE: 'Sump and dispersal' uses 'Daily spread' MCFs</t>
  </si>
  <si>
    <t>M2_Table_MCF_i_m</t>
  </si>
  <si>
    <t>Methane conversion factor for state (Method 2)</t>
  </si>
  <si>
    <t>NOTE: 'Pasture range and paddock' MCF is state-based</t>
  </si>
  <si>
    <r>
      <t>E</t>
    </r>
    <r>
      <rPr>
        <vertAlign val="subscript"/>
        <sz val="12"/>
        <color theme="1" tint="0.24994659260841701"/>
        <rFont val="Times New Roman"/>
        <family val="1"/>
      </rPr>
      <t>CO2e</t>
    </r>
    <r>
      <rPr>
        <sz val="12"/>
        <color theme="1" tint="0.24994659260841701"/>
        <rFont val="Times New Roman"/>
        <family val="1"/>
      </rPr>
      <t xml:space="preserve"> (Method 2)</t>
    </r>
  </si>
  <si>
    <t>ECH4 (Method 2)</t>
  </si>
  <si>
    <t>`</t>
  </si>
  <si>
    <t>M2_Table_MMS_j_m-14</t>
  </si>
  <si>
    <t>Fraction of manure deposited on pasture range and paddock (Method 2)</t>
  </si>
  <si>
    <t xml:space="preserve">    Click on a box to go to the corresponding calculation.</t>
  </si>
  <si>
    <t>4.3: Manure Management: Dairy: Overview</t>
  </si>
  <si>
    <t>Destination after stage 2 MMS (Percent)</t>
  </si>
  <si>
    <t>►</t>
  </si>
  <si>
    <t>Sold</t>
  </si>
  <si>
    <t>Fert for own farm (eg crop)</t>
  </si>
  <si>
    <t>Direct application to soil</t>
  </si>
  <si>
    <t>PF_scope</t>
  </si>
  <si>
    <t>PF_fert</t>
  </si>
  <si>
    <t>Solid storage (after solid separation) - Method 1</t>
  </si>
  <si>
    <t>Solid storage (after solid separation) - Method 2</t>
  </si>
  <si>
    <t>💡 Below is a diagram that maps the equations used to calculate emissions, how they interact with each other and how they align with dairy manure management processes.</t>
  </si>
  <si>
    <t>Source Data - Dairy</t>
  </si>
  <si>
    <t>Milk production unit</t>
  </si>
  <si>
    <t>For milk solids only:</t>
  </si>
  <si>
    <t>Method 1 (don't edit)</t>
  </si>
  <si>
    <t>Method 2 (edit if known)</t>
  </si>
  <si>
    <t>Fat content in fat and protein corrected milk</t>
  </si>
  <si>
    <t>percent</t>
  </si>
  <si>
    <t>Protein content in fat and protein corrected milk</t>
  </si>
  <si>
    <t>M1_Table_MS_j</t>
  </si>
  <si>
    <t>Milk solids production (Method 1)</t>
  </si>
  <si>
    <t>M1_Table_MP_j_from_solids</t>
  </si>
  <si>
    <t>Milk production from milk solids (Method 1)</t>
  </si>
  <si>
    <t>M2_Table_MP_j_from_solids</t>
  </si>
  <si>
    <t>Milk production from milk solids (Method 2)</t>
  </si>
  <si>
    <t>Litres of milk</t>
  </si>
  <si>
    <t>Methane production from manure management (Method 2)</t>
  </si>
  <si>
    <t>Milk production for the full 365 days of the year</t>
  </si>
  <si>
    <t>Fraction volatile solids to MMS other than solid storage (Method 2)</t>
  </si>
  <si>
    <t>Duration of stay of weaned cattle &lt; 1 year (Method 2)</t>
  </si>
  <si>
    <t>Duration of stay of of pre-weaned dairy cattle in all classes (Method 2)</t>
  </si>
  <si>
    <t>Total annual nitrogen excreted cattle &lt; 1 year old (Method 2)</t>
  </si>
  <si>
    <t>M2_Table_AE_j-1-2-4</t>
  </si>
  <si>
    <t>Total annual nitrogen excreted cattle &gt; 1 year old (Method 2)</t>
  </si>
  <si>
    <t>M2_Table_D_j-1-2-4</t>
  </si>
  <si>
    <t>M2_Table_CP_j</t>
  </si>
  <si>
    <t>Crude protein content of feed intake for each animal class j (Method 2)</t>
  </si>
  <si>
    <t>M2_Table_CPI_j</t>
  </si>
  <si>
    <t>Crude protein intake for each animal class j (Method 2)</t>
  </si>
  <si>
    <t>Relative size for each animal class (Method 2)</t>
  </si>
  <si>
    <t>Total annual direct N2O emissions from each MMS (Method 2)</t>
  </si>
  <si>
    <t>Total annual nitrogen excreted all cattle (Method 2)</t>
  </si>
  <si>
    <t>M2_Table_AE_j</t>
  </si>
  <si>
    <t>Climate Zone</t>
  </si>
  <si>
    <t>EFNi &amp; EFN2Oi</t>
  </si>
  <si>
    <t xml:space="preserve"> N in manure (Method 1)</t>
  </si>
  <si>
    <t xml:space="preserve"> N in manure (Method 2)</t>
  </si>
  <si>
    <t>Western Australia</t>
  </si>
  <si>
    <t>My test farm</t>
  </si>
  <si>
    <t>My test Farms Pty Ltd</t>
  </si>
  <si>
    <t>Sprinkler Irrigation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</si>
</sst>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 numFmtId="170" formatCode="0.0000%"/>
    <numFmt numFmtId="171" formatCode="0.0%"/>
  </numFmts>
  <fonts count="71"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vertAlign val="subscript"/>
      <sz val="11"/>
      <color rgb="FF183C1B"/>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sz val="11"/>
      <color theme="1"/>
      <name val="Times New Roman"/>
      <family val="2"/>
      <scheme val="minor"/>
    </font>
    <font>
      <b/>
      <vertAlign val="subscript"/>
      <sz val="16"/>
      <color theme="1" tint="0.24994659260841701"/>
      <name val="Times New Roman"/>
      <family val="1"/>
    </font>
    <font>
      <b/>
      <vertAlign val="subscript"/>
      <sz val="12"/>
      <color theme="1" tint="0.24994659260841701"/>
      <name val="Times New Roman"/>
      <family val="1"/>
    </font>
    <font>
      <sz val="12"/>
      <color rgb="FFCC6600"/>
      <name val="Times New Roman"/>
      <family val="1"/>
    </font>
    <font>
      <b/>
      <sz val="20"/>
      <color theme="4" tint="-0.249977111117893"/>
      <name val="Times New Roman"/>
      <family val="1"/>
    </font>
    <font>
      <b/>
      <sz val="12"/>
      <color theme="1" tint="0.499984740745262"/>
      <name val="Times New Roman"/>
      <family val="1"/>
    </font>
    <font>
      <sz val="10"/>
      <color theme="1" tint="0.499984740745262"/>
      <name val="Times New Roman"/>
      <family val="1"/>
    </font>
    <font>
      <i/>
      <sz val="12"/>
      <color theme="1" tint="0.24994659260841701"/>
      <name val="Times New Roman"/>
      <family val="1"/>
    </font>
    <font>
      <i/>
      <sz val="10"/>
      <color theme="6" tint="-0.499984740745262"/>
      <name val="Times New Roman"/>
      <family val="1"/>
    </font>
    <font>
      <u/>
      <sz val="10"/>
      <color theme="1" tint="0.34998626667073579"/>
      <name val="Times New Roman"/>
      <family val="1"/>
    </font>
    <font>
      <i/>
      <sz val="10"/>
      <color theme="5" tint="-0.499984740745262"/>
      <name val="Times New Roman"/>
      <family val="1"/>
    </font>
    <font>
      <i/>
      <sz val="10"/>
      <color theme="1" tint="0.14999847407452621"/>
      <name val="Times New Roman"/>
      <family val="1"/>
      <scheme val="minor"/>
    </font>
    <font>
      <b/>
      <sz val="20"/>
      <color theme="3" tint="9.9978637043366805E-2"/>
      <name val="Times New Roman"/>
      <family val="1"/>
    </font>
    <font>
      <b/>
      <sz val="22"/>
      <color theme="5" tint="-0.499984740745262"/>
      <name val="Times New Roman"/>
      <family val="1"/>
    </font>
  </fonts>
  <fills count="17">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rgb="FFFFFF00"/>
        <bgColor indexed="64"/>
      </patternFill>
    </fill>
    <fill>
      <patternFill patternType="solid">
        <fgColor rgb="FFDCECD0"/>
        <bgColor indexed="64"/>
      </patternFill>
    </fill>
    <fill>
      <patternFill patternType="solid">
        <fgColor theme="9" tint="0.59999389629810485"/>
        <bgColor indexed="64"/>
      </patternFill>
    </fill>
  </fills>
  <borders count="22">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diagonal/>
    </border>
    <border>
      <left style="thin">
        <color theme="3" tint="0.749961851863155"/>
      </left>
      <right style="thin">
        <color theme="3" tint="0.749961851863155"/>
      </right>
      <top/>
      <bottom style="thin">
        <color theme="3" tint="0.749961851863155"/>
      </bottom>
      <diagonal/>
    </border>
  </borders>
  <cellStyleXfs count="70">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8" fillId="4" borderId="0">
      <alignment horizontal="left" vertical="center"/>
    </xf>
    <xf numFmtId="0" fontId="44" fillId="4" borderId="0">
      <alignment vertical="center"/>
    </xf>
    <xf numFmtId="0" fontId="3" fillId="4" borderId="0">
      <alignment horizontal="left" vertical="center"/>
    </xf>
    <xf numFmtId="0" fontId="40"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9" fontId="10" fillId="0" borderId="0" applyFont="0" applyFill="0" applyBorder="0" applyAlignment="0" applyProtection="0"/>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6" fillId="13" borderId="8">
      <alignment horizontal="left" vertical="center"/>
    </xf>
    <xf numFmtId="43" fontId="10" fillId="0" borderId="0" applyFont="0" applyFill="0" applyBorder="0" applyAlignment="0" applyProtection="0"/>
    <xf numFmtId="3" fontId="35" fillId="4" borderId="2">
      <alignment horizontal="center" vertical="center"/>
    </xf>
    <xf numFmtId="168" fontId="2" fillId="0" borderId="2">
      <alignment horizontal="center" vertical="center"/>
    </xf>
    <xf numFmtId="0" fontId="36" fillId="0" borderId="0"/>
    <xf numFmtId="0" fontId="10" fillId="0" borderId="0"/>
    <xf numFmtId="0" fontId="36" fillId="0" borderId="0"/>
    <xf numFmtId="166" fontId="35" fillId="4" borderId="2">
      <alignment horizontal="center" vertical="center"/>
    </xf>
    <xf numFmtId="4" fontId="35" fillId="4" borderId="2">
      <alignment horizontal="center" vertical="center"/>
    </xf>
    <xf numFmtId="0" fontId="55" fillId="4" borderId="0">
      <alignment horizontal="left" vertical="center"/>
    </xf>
    <xf numFmtId="0" fontId="39" fillId="4" borderId="0" applyNumberFormat="0">
      <alignment horizontal="center" vertical="center"/>
    </xf>
    <xf numFmtId="165" fontId="35" fillId="4" borderId="2">
      <alignment horizontal="center" vertical="center"/>
    </xf>
    <xf numFmtId="0" fontId="34" fillId="4" borderId="0">
      <alignment horizontal="left" vertical="center"/>
    </xf>
    <xf numFmtId="169" fontId="35" fillId="4" borderId="2">
      <alignment horizontal="center" vertical="center"/>
    </xf>
    <xf numFmtId="0" fontId="35" fillId="4" borderId="2">
      <alignment horizontal="center" vertical="center"/>
    </xf>
    <xf numFmtId="0" fontId="6" fillId="4" borderId="0">
      <alignment horizontal="left" vertical="center"/>
    </xf>
    <xf numFmtId="0" fontId="43" fillId="4" borderId="0">
      <alignment horizontal="left" vertical="center"/>
    </xf>
    <xf numFmtId="0" fontId="10" fillId="0" borderId="0"/>
    <xf numFmtId="0" fontId="2" fillId="0" borderId="2">
      <alignment horizontal="center" vertical="center"/>
    </xf>
    <xf numFmtId="0" fontId="49" fillId="4" borderId="0">
      <alignment horizontal="left" vertical="center"/>
    </xf>
    <xf numFmtId="0" fontId="50" fillId="4" borderId="0">
      <alignment horizontal="left" vertical="center"/>
    </xf>
    <xf numFmtId="0" fontId="56" fillId="4" borderId="0">
      <alignment horizontal="left" vertical="center"/>
    </xf>
    <xf numFmtId="0" fontId="48" fillId="11" borderId="0">
      <alignment horizontal="center" vertical="center"/>
    </xf>
    <xf numFmtId="0" fontId="22" fillId="11" borderId="0">
      <alignment horizontal="left" vertical="center" indent="1"/>
    </xf>
    <xf numFmtId="0" fontId="65" fillId="15" borderId="2">
      <alignment horizontal="center" vertical="center"/>
    </xf>
    <xf numFmtId="0" fontId="66" fillId="4" borderId="2">
      <alignment horizontal="left" vertical="center"/>
    </xf>
    <xf numFmtId="0" fontId="67" fillId="16" borderId="2">
      <alignment horizontal="center" vertical="center"/>
    </xf>
    <xf numFmtId="0" fontId="35" fillId="4" borderId="2">
      <alignment horizontal="left" vertical="center"/>
    </xf>
    <xf numFmtId="0" fontId="68" fillId="0" borderId="0"/>
  </cellStyleXfs>
  <cellXfs count="157">
    <xf numFmtId="0" fontId="0" fillId="0" borderId="0" xfId="0"/>
    <xf numFmtId="0" fontId="40"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4" fillId="4" borderId="0" xfId="6">
      <alignment vertical="center"/>
    </xf>
    <xf numFmtId="0" fontId="38"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5">
      <alignment horizontal="left" vertical="center"/>
    </xf>
    <xf numFmtId="0" fontId="12" fillId="4" borderId="0" xfId="31">
      <alignment vertical="center"/>
    </xf>
    <xf numFmtId="0" fontId="17" fillId="7" borderId="0" xfId="32">
      <alignment vertical="center"/>
    </xf>
    <xf numFmtId="0" fontId="2" fillId="9" borderId="0" xfId="7" applyFont="1" applyFill="1" applyAlignment="1">
      <alignment horizontal="left" vertical="center" indent="1"/>
    </xf>
    <xf numFmtId="0" fontId="2" fillId="0" borderId="0" xfId="35">
      <alignment horizontal="left" vertical="center" indent="1"/>
    </xf>
    <xf numFmtId="0" fontId="19" fillId="9" borderId="5" xfId="36">
      <alignment horizontal="left" vertical="center" indent="1"/>
    </xf>
    <xf numFmtId="0" fontId="20" fillId="9" borderId="5" xfId="36" applyFont="1">
      <alignment horizontal="left" vertical="center" indent="1"/>
    </xf>
    <xf numFmtId="0" fontId="21" fillId="9" borderId="5" xfId="36" applyFont="1">
      <alignment horizontal="left" vertical="center" indent="1"/>
    </xf>
    <xf numFmtId="0" fontId="22" fillId="5" borderId="0" xfId="38">
      <alignment horizontal="left" vertical="center" indent="1"/>
    </xf>
    <xf numFmtId="0" fontId="22" fillId="8" borderId="0" xfId="39">
      <alignment horizontal="left" vertical="center" indent="1"/>
    </xf>
    <xf numFmtId="0" fontId="46" fillId="13" borderId="8" xfId="41">
      <alignment horizontal="left" vertical="center"/>
    </xf>
    <xf numFmtId="0" fontId="0" fillId="4" borderId="0" xfId="0" applyFill="1"/>
    <xf numFmtId="2" fontId="32"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31" fillId="4" borderId="0" xfId="0" applyFont="1" applyFill="1"/>
    <xf numFmtId="2" fontId="32" fillId="4" borderId="0" xfId="0" applyNumberFormat="1" applyFont="1" applyFill="1"/>
    <xf numFmtId="0" fontId="6" fillId="4" borderId="0" xfId="12" applyAlignment="1">
      <alignment horizontal="left" indent="1"/>
    </xf>
    <xf numFmtId="0" fontId="32" fillId="4" borderId="1" xfId="0" applyFont="1" applyFill="1" applyBorder="1"/>
    <xf numFmtId="0" fontId="40" fillId="4" borderId="0" xfId="8" applyAlignment="1">
      <alignment horizontal="right" vertical="center"/>
    </xf>
    <xf numFmtId="4" fontId="2" fillId="4" borderId="0" xfId="18" applyFill="1" applyBorder="1">
      <alignment horizontal="center" vertical="center"/>
    </xf>
    <xf numFmtId="0" fontId="13" fillId="4" borderId="0" xfId="30" applyFill="1">
      <alignment horizontal="center" vertical="center"/>
      <protection locked="0"/>
    </xf>
    <xf numFmtId="0" fontId="2" fillId="0" borderId="2" xfId="15">
      <alignment horizontal="center" vertical="center"/>
    </xf>
    <xf numFmtId="0" fontId="29" fillId="4" borderId="0" xfId="7" applyFont="1" applyAlignment="1">
      <alignment horizontal="center" vertical="center"/>
    </xf>
    <xf numFmtId="166" fontId="29"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13" fillId="6" borderId="0" xfId="30">
      <alignment horizontal="center" vertical="center"/>
      <protection locked="0"/>
    </xf>
    <xf numFmtId="0" fontId="3" fillId="12" borderId="2" xfId="16">
      <alignment horizontal="center" vertical="center"/>
    </xf>
    <xf numFmtId="0" fontId="38" fillId="0" borderId="0" xfId="5" applyFill="1">
      <alignment horizontal="left" vertical="center"/>
    </xf>
    <xf numFmtId="0" fontId="44" fillId="0" borderId="0" xfId="6" applyFill="1">
      <alignment vertical="center"/>
    </xf>
    <xf numFmtId="0" fontId="40" fillId="0" borderId="0" xfId="8" applyFill="1">
      <alignment horizontal="left" vertical="center"/>
    </xf>
    <xf numFmtId="0" fontId="9" fillId="0" borderId="0" xfId="12" applyFont="1" applyFill="1" applyAlignment="1">
      <alignment horizontal="left" vertical="center"/>
    </xf>
    <xf numFmtId="0" fontId="37" fillId="0" borderId="0" xfId="0" applyFont="1"/>
    <xf numFmtId="0" fontId="40" fillId="4" borderId="1" xfId="8" applyBorder="1">
      <alignment horizontal="left" vertical="center"/>
    </xf>
    <xf numFmtId="9" fontId="2" fillId="0" borderId="2" xfId="17">
      <alignment horizontal="center" vertical="center"/>
    </xf>
    <xf numFmtId="4" fontId="26" fillId="0" borderId="0" xfId="18" applyFont="1" applyBorder="1">
      <alignment horizontal="center" vertical="center"/>
    </xf>
    <xf numFmtId="0" fontId="55" fillId="4" borderId="0" xfId="50">
      <alignment horizontal="left"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5" fillId="4" borderId="2" xfId="55">
      <alignment horizontal="center" vertical="center"/>
    </xf>
    <xf numFmtId="0" fontId="42" fillId="4" borderId="0" xfId="8" applyFont="1">
      <alignment horizontal="left" vertical="center"/>
    </xf>
    <xf numFmtId="0" fontId="6" fillId="4" borderId="0" xfId="56">
      <alignment horizontal="left" vertical="center"/>
    </xf>
    <xf numFmtId="0" fontId="43" fillId="4" borderId="0" xfId="57">
      <alignment horizontal="left" vertical="center"/>
    </xf>
    <xf numFmtId="0" fontId="10" fillId="0" borderId="0" xfId="58"/>
    <xf numFmtId="0" fontId="35" fillId="4" borderId="2" xfId="55" applyAlignment="1">
      <alignment horizontal="left" vertical="center"/>
    </xf>
    <xf numFmtId="0" fontId="35" fillId="4" borderId="7" xfId="55" applyBorder="1" applyAlignment="1">
      <alignment horizontal="left" vertical="center"/>
    </xf>
    <xf numFmtId="0" fontId="35" fillId="4" borderId="6" xfId="55" applyBorder="1" applyAlignment="1">
      <alignment horizontal="left" vertical="center"/>
    </xf>
    <xf numFmtId="0" fontId="0" fillId="4" borderId="0" xfId="7" applyFont="1">
      <alignment horizontal="left" vertical="center"/>
    </xf>
    <xf numFmtId="4" fontId="26" fillId="4" borderId="0" xfId="18" applyFont="1" applyFill="1" applyBorder="1">
      <alignment horizontal="center" vertical="center"/>
    </xf>
    <xf numFmtId="9" fontId="26" fillId="4" borderId="0" xfId="14" applyFont="1" applyFill="1" applyBorder="1" applyAlignment="1">
      <alignment horizontal="center" vertical="center"/>
    </xf>
    <xf numFmtId="0" fontId="13" fillId="6" borderId="0" xfId="29">
      <alignment horizontal="left" vertical="center" indent="1"/>
    </xf>
    <xf numFmtId="168" fontId="2" fillId="0" borderId="2" xfId="44">
      <alignment horizontal="center" vertical="center"/>
    </xf>
    <xf numFmtId="0" fontId="2" fillId="0" borderId="0" xfId="7" applyFont="1" applyFill="1" applyAlignment="1">
      <alignment horizontal="left" vertical="center" indent="1"/>
    </xf>
    <xf numFmtId="0" fontId="2" fillId="0" borderId="2" xfId="59">
      <alignment horizontal="center" vertical="center"/>
    </xf>
    <xf numFmtId="0" fontId="45" fillId="0" borderId="0" xfId="35" applyFont="1">
      <alignment horizontal="left" vertical="center" indent="1"/>
    </xf>
    <xf numFmtId="0" fontId="11" fillId="0" borderId="0" xfId="33"/>
    <xf numFmtId="0" fontId="22" fillId="10" borderId="0" xfId="37">
      <alignment horizontal="left" vertical="center" indent="1"/>
    </xf>
    <xf numFmtId="0" fontId="3" fillId="4" borderId="3" xfId="7" applyBorder="1">
      <alignment horizontal="left" vertical="center"/>
    </xf>
    <xf numFmtId="166" fontId="35" fillId="4" borderId="2" xfId="43" applyNumberFormat="1">
      <alignment horizontal="center" vertical="center"/>
    </xf>
    <xf numFmtId="164" fontId="8" fillId="4" borderId="0" xfId="27" applyBorder="1">
      <alignment horizontal="center" vertical="center"/>
    </xf>
    <xf numFmtId="0" fontId="26" fillId="4" borderId="0" xfId="8" applyFont="1" applyAlignment="1">
      <alignment horizontal="center" vertical="center"/>
    </xf>
    <xf numFmtId="166" fontId="26" fillId="4" borderId="0" xfId="8" applyNumberFormat="1" applyFont="1" applyAlignment="1">
      <alignment horizontal="center" vertical="center"/>
    </xf>
    <xf numFmtId="0" fontId="26" fillId="4" borderId="0" xfId="12" applyFont="1" applyAlignment="1">
      <alignment horizontal="center" vertical="center"/>
    </xf>
    <xf numFmtId="0" fontId="27" fillId="4" borderId="0" xfId="0" applyFont="1" applyFill="1" applyAlignment="1">
      <alignment horizontal="center" vertical="center"/>
    </xf>
    <xf numFmtId="0" fontId="27" fillId="4" borderId="0" xfId="0" applyFont="1" applyFill="1"/>
    <xf numFmtId="0" fontId="26" fillId="4" borderId="0" xfId="0" applyFont="1" applyFill="1"/>
    <xf numFmtId="0" fontId="28" fillId="4" borderId="0" xfId="7" applyFont="1" applyAlignment="1">
      <alignment horizontal="center" vertical="center"/>
    </xf>
    <xf numFmtId="0" fontId="29" fillId="4" borderId="0" xfId="0" applyFont="1" applyFill="1" applyAlignment="1">
      <alignment horizontal="center" vertical="center"/>
    </xf>
    <xf numFmtId="0" fontId="30" fillId="4" borderId="0" xfId="0" applyFont="1" applyFill="1" applyAlignment="1">
      <alignment horizontal="center" vertical="center"/>
    </xf>
    <xf numFmtId="0" fontId="30" fillId="4" borderId="0" xfId="0" applyFont="1" applyFill="1" applyAlignment="1">
      <alignment horizontal="left" vertical="center"/>
    </xf>
    <xf numFmtId="14" fontId="3" fillId="4" borderId="0" xfId="7" applyNumberFormat="1">
      <alignment horizontal="left" vertical="center"/>
    </xf>
    <xf numFmtId="0" fontId="18" fillId="4" borderId="0" xfId="34" applyFill="1" applyBorder="1"/>
    <xf numFmtId="166" fontId="2" fillId="4" borderId="0" xfId="19" applyNumberFormat="1" applyFill="1" applyBorder="1">
      <alignment horizontal="center" vertical="center"/>
    </xf>
    <xf numFmtId="167" fontId="3" fillId="4" borderId="0" xfId="42" applyNumberFormat="1" applyFont="1" applyFill="1" applyBorder="1" applyAlignment="1">
      <alignment horizontal="center" vertical="center"/>
    </xf>
    <xf numFmtId="0" fontId="33" fillId="4" borderId="0" xfId="0" applyFont="1" applyFill="1"/>
    <xf numFmtId="0" fontId="46" fillId="13" borderId="10" xfId="41" applyBorder="1">
      <alignment horizontal="left" vertical="center"/>
    </xf>
    <xf numFmtId="0" fontId="46" fillId="13" borderId="12" xfId="41" applyBorder="1">
      <alignment horizontal="left" vertical="center"/>
    </xf>
    <xf numFmtId="0" fontId="46" fillId="13" borderId="14" xfId="41" applyBorder="1">
      <alignment horizontal="left" vertical="center"/>
    </xf>
    <xf numFmtId="0" fontId="46" fillId="13" borderId="13" xfId="41" applyBorder="1">
      <alignment horizontal="left" vertical="center"/>
    </xf>
    <xf numFmtId="0" fontId="46" fillId="13" borderId="15" xfId="41" applyBorder="1">
      <alignment horizontal="left" vertical="center"/>
    </xf>
    <xf numFmtId="0" fontId="46" fillId="13" borderId="17" xfId="41" applyBorder="1">
      <alignment horizontal="left" vertical="center"/>
    </xf>
    <xf numFmtId="0" fontId="46" fillId="13" borderId="11" xfId="41" applyBorder="1">
      <alignment horizontal="left" vertical="center"/>
    </xf>
    <xf numFmtId="0" fontId="46" fillId="13" borderId="16" xfId="41" applyBorder="1">
      <alignment horizontal="left" vertical="center"/>
    </xf>
    <xf numFmtId="0" fontId="46" fillId="13" borderId="18" xfId="41" applyBorder="1">
      <alignment horizontal="left" vertical="center"/>
    </xf>
    <xf numFmtId="0" fontId="47" fillId="13" borderId="9" xfId="41" applyFont="1" applyBorder="1">
      <alignment horizontal="left" vertical="center"/>
    </xf>
    <xf numFmtId="9" fontId="35" fillId="4" borderId="2" xfId="14" applyFont="1" applyFill="1" applyBorder="1" applyAlignment="1">
      <alignment horizontal="center" vertical="center"/>
    </xf>
    <xf numFmtId="0" fontId="0" fillId="0" borderId="0" xfId="1" applyFont="1" applyFill="1">
      <alignment horizontal="left" vertical="center" indent="1"/>
      <protection locked="0"/>
    </xf>
    <xf numFmtId="0" fontId="50" fillId="4" borderId="0" xfId="61">
      <alignment horizontal="left" vertical="center"/>
    </xf>
    <xf numFmtId="0" fontId="49" fillId="4" borderId="0" xfId="60">
      <alignment horizontal="left" vertical="center"/>
    </xf>
    <xf numFmtId="0" fontId="35" fillId="4" borderId="19" xfId="55" applyBorder="1" applyAlignment="1">
      <alignment horizontal="left" vertical="center"/>
    </xf>
    <xf numFmtId="3" fontId="2" fillId="0" borderId="2" xfId="19">
      <alignment horizontal="center" vertical="center"/>
    </xf>
    <xf numFmtId="3" fontId="35" fillId="4" borderId="2" xfId="55" applyNumberFormat="1">
      <alignment horizontal="center" vertical="center"/>
    </xf>
    <xf numFmtId="0" fontId="51" fillId="4" borderId="1" xfId="8" applyFont="1" applyBorder="1">
      <alignment horizontal="left" vertical="center"/>
    </xf>
    <xf numFmtId="0" fontId="52" fillId="4" borderId="1" xfId="8" applyFont="1" applyBorder="1">
      <alignment horizontal="left" vertical="center"/>
    </xf>
    <xf numFmtId="0" fontId="53" fillId="4" borderId="1" xfId="56" applyFont="1" applyBorder="1">
      <alignment horizontal="left" vertical="center"/>
    </xf>
    <xf numFmtId="0" fontId="35" fillId="4" borderId="19" xfId="55" applyBorder="1">
      <alignment horizontal="center" vertical="center"/>
    </xf>
    <xf numFmtId="0" fontId="6" fillId="4" borderId="1" xfId="56" applyBorder="1">
      <alignment horizontal="left" vertical="center"/>
    </xf>
    <xf numFmtId="0" fontId="56" fillId="4" borderId="0" xfId="62">
      <alignment horizontal="left" vertical="center"/>
    </xf>
    <xf numFmtId="0" fontId="40" fillId="14" borderId="0" xfId="8" applyFill="1">
      <alignment horizontal="left" vertical="center"/>
    </xf>
    <xf numFmtId="0" fontId="46" fillId="13" borderId="9" xfId="41" applyBorder="1">
      <alignment horizontal="left" vertical="center"/>
    </xf>
    <xf numFmtId="9" fontId="8" fillId="4" borderId="0" xfId="11">
      <alignment horizontal="center" vertical="center"/>
    </xf>
    <xf numFmtId="164" fontId="8" fillId="4" borderId="0" xfId="10">
      <alignment horizontal="center" vertical="center"/>
    </xf>
    <xf numFmtId="0" fontId="42" fillId="4" borderId="1" xfId="8" applyFont="1" applyBorder="1">
      <alignment horizontal="left" vertical="center"/>
    </xf>
    <xf numFmtId="2" fontId="32" fillId="4" borderId="1" xfId="0" applyNumberFormat="1" applyFont="1" applyFill="1" applyBorder="1" applyAlignment="1">
      <alignment horizontal="center"/>
    </xf>
    <xf numFmtId="0" fontId="60" fillId="4" borderId="0" xfId="62" applyFont="1">
      <alignment horizontal="left" vertical="center"/>
    </xf>
    <xf numFmtId="0" fontId="40" fillId="4" borderId="0" xfId="8" applyAlignment="1">
      <alignment horizontal="center" vertical="center"/>
    </xf>
    <xf numFmtId="0" fontId="48" fillId="11" borderId="0" xfId="63">
      <alignment horizontal="center" vertical="center"/>
    </xf>
    <xf numFmtId="0" fontId="22" fillId="11" borderId="0" xfId="64">
      <alignment horizontal="left" vertical="center" indent="1"/>
    </xf>
    <xf numFmtId="0" fontId="61" fillId="0" borderId="0" xfId="2" applyFont="1"/>
    <xf numFmtId="0" fontId="57" fillId="2" borderId="0" xfId="8" applyFont="1" applyFill="1">
      <alignment horizontal="left" vertical="center"/>
    </xf>
    <xf numFmtId="0" fontId="17" fillId="4" borderId="0" xfId="32" applyFill="1">
      <alignment vertical="center"/>
    </xf>
    <xf numFmtId="170" fontId="40" fillId="4" borderId="0" xfId="8" applyNumberFormat="1">
      <alignment horizontal="left" vertical="center"/>
    </xf>
    <xf numFmtId="0" fontId="62" fillId="4" borderId="0" xfId="8" applyFont="1">
      <alignment horizontal="left" vertical="center"/>
    </xf>
    <xf numFmtId="0" fontId="63" fillId="4" borderId="0" xfId="8" applyFont="1">
      <alignment horizontal="left" vertical="center"/>
    </xf>
    <xf numFmtId="171" fontId="40" fillId="4" borderId="0" xfId="8" applyNumberFormat="1">
      <alignment horizontal="left" vertical="center"/>
    </xf>
    <xf numFmtId="43" fontId="40" fillId="4" borderId="0" xfId="42" applyFont="1" applyFill="1" applyAlignment="1">
      <alignment horizontal="left" vertical="center"/>
    </xf>
    <xf numFmtId="0" fontId="10" fillId="0" borderId="0" xfId="46"/>
    <xf numFmtId="0" fontId="65" fillId="15" borderId="2" xfId="65">
      <alignment horizontal="center" vertical="center"/>
    </xf>
    <xf numFmtId="0" fontId="66" fillId="4" borderId="2" xfId="66">
      <alignment horizontal="left" vertical="center"/>
    </xf>
    <xf numFmtId="0" fontId="67" fillId="16" borderId="2" xfId="67">
      <alignment horizontal="center" vertical="center"/>
    </xf>
    <xf numFmtId="0" fontId="35" fillId="4" borderId="7" xfId="68" applyBorder="1">
      <alignment horizontal="left" vertical="center"/>
    </xf>
    <xf numFmtId="0" fontId="35" fillId="4" borderId="2" xfId="68">
      <alignment horizontal="left" vertical="center"/>
    </xf>
    <xf numFmtId="0" fontId="35" fillId="4" borderId="6" xfId="68" applyBorder="1">
      <alignment horizontal="left" vertical="center"/>
    </xf>
    <xf numFmtId="171" fontId="2" fillId="0" borderId="2" xfId="14" applyNumberFormat="1" applyFont="1" applyBorder="1" applyAlignment="1">
      <alignment horizontal="center" vertical="center"/>
    </xf>
    <xf numFmtId="171" fontId="35" fillId="4" borderId="2" xfId="14" applyNumberFormat="1" applyFont="1" applyFill="1" applyBorder="1" applyAlignment="1">
      <alignment horizontal="center" vertical="center"/>
    </xf>
    <xf numFmtId="0" fontId="68" fillId="0" borderId="0" xfId="69"/>
    <xf numFmtId="0" fontId="35" fillId="4" borderId="19" xfId="68" applyBorder="1">
      <alignment horizontal="left" vertical="center"/>
    </xf>
    <xf numFmtId="0" fontId="69" fillId="9" borderId="0" xfId="33" applyFont="1" applyFill="1"/>
    <xf numFmtId="0" fontId="40" fillId="9" borderId="0" xfId="8" applyFill="1">
      <alignment horizontal="left" vertical="center"/>
    </xf>
    <xf numFmtId="0" fontId="17" fillId="11" borderId="0" xfId="32" applyFill="1">
      <alignment vertical="center"/>
    </xf>
    <xf numFmtId="0" fontId="70" fillId="4" borderId="0" xfId="62" applyFont="1">
      <alignment horizontal="left" vertical="center"/>
    </xf>
    <xf numFmtId="10" fontId="40" fillId="4" borderId="0" xfId="8" applyNumberFormat="1">
      <alignment horizontal="left" vertical="center"/>
    </xf>
    <xf numFmtId="0" fontId="13" fillId="6" borderId="0" xfId="29" applyAlignment="1">
      <alignment horizontal="left" vertical="center" indent="6"/>
    </xf>
    <xf numFmtId="0" fontId="42" fillId="4" borderId="0" xfId="8" applyFont="1" applyAlignment="1">
      <alignment horizontal="left" vertical="center" indent="6"/>
    </xf>
    <xf numFmtId="0" fontId="40" fillId="4" borderId="0" xfId="8" applyAlignment="1">
      <alignment horizontal="left" vertical="center" indent="6"/>
    </xf>
    <xf numFmtId="0" fontId="3" fillId="4" borderId="1" xfId="7" applyBorder="1">
      <alignment horizontal="left" vertical="center"/>
    </xf>
    <xf numFmtId="0" fontId="46" fillId="13" borderId="21" xfId="41" applyBorder="1">
      <alignment horizontal="left" vertical="center"/>
    </xf>
    <xf numFmtId="0" fontId="46" fillId="13" borderId="20" xfId="41" applyBorder="1">
      <alignment horizontal="left" vertical="center"/>
    </xf>
    <xf numFmtId="0" fontId="47" fillId="13" borderId="21" xfId="41" applyFont="1" applyBorder="1">
      <alignment horizontal="left" vertical="center"/>
    </xf>
    <xf numFmtId="171" fontId="2" fillId="0" borderId="2" xfId="17" applyNumberFormat="1">
      <alignment horizontal="center" vertical="center"/>
    </xf>
    <xf numFmtId="0" fontId="40" fillId="4" borderId="0" xfId="8" applyAlignment="1">
      <alignment horizontal="left" vertical="center" indent="9"/>
    </xf>
  </cellXfs>
  <cellStyles count="70">
    <cellStyle name="Alert" xfId="62" xr:uid="{34EFE908-8095-4010-8F93-8CFE88055637}"/>
    <cellStyle name="Arguments" xfId="68" xr:uid="{FA757B97-4758-40CB-8A6E-0394BBFDA67B}"/>
    <cellStyle name="Arguments hyperlink" xfId="66" xr:uid="{33A5ECEB-99F2-4A12-BA97-44EC5955E59E}"/>
    <cellStyle name="Back to top link" xfId="69" xr:uid="{10673712-2C80-48FA-8576-FE2FBB8719E6}"/>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4" builtinId="8"/>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 name="Variable type input" xfId="67" xr:uid="{8B650911-9251-4CA7-8D5F-FC6CA32FF621}"/>
    <cellStyle name="Variable type other" xfId="65" xr:uid="{B3E8C5CF-C085-4800-95E7-0E14E266DEDE}"/>
  </cellStyles>
  <dxfs count="91">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i val="0"/>
        <strike val="0"/>
        <condense val="0"/>
        <extend val="0"/>
        <outline val="0"/>
        <shadow val="0"/>
        <u val="none"/>
        <vertAlign val="baseline"/>
        <sz val="11"/>
        <color theme="1"/>
        <name val="Times New Roman"/>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90"/>
      <tableStyleElement type="headerRow" dxfId="89"/>
      <tableStyleElement type="totalRow" dxfId="88"/>
      <tableStyleElement type="firstColumn" dxfId="87"/>
      <tableStyleElement type="firstRowStripe" dxfId="86"/>
      <tableStyleElement type="secondRowStripe" dxfId="85"/>
    </tableStyle>
    <tableStyle name="Equation table" pivot="0" count="6" xr9:uid="{B247698E-E41D-4CCD-AA0A-C14817E9DE65}">
      <tableStyleElement type="wholeTable" dxfId="84"/>
      <tableStyleElement type="headerRow" dxfId="83"/>
      <tableStyleElement type="totalRow" dxfId="82"/>
      <tableStyleElement type="firstColumn" dxfId="81"/>
      <tableStyleElement type="firstRowStripe" dxfId="80"/>
      <tableStyleElement type="secondRowStripe" dxfId="79"/>
    </tableStyle>
    <tableStyle name="Table Style 1" pivot="0" count="0" xr9:uid="{97B370DB-5463-4A31-9160-5A96BD6A559D}"/>
  </tableStyles>
  <colors>
    <mruColors>
      <color rgb="FF0D9D96"/>
      <color rgb="FFCC6600"/>
      <color rgb="FF0C769E"/>
      <color rgb="FFC44340"/>
      <color rgb="FF008000"/>
      <color rgb="FFFFCCCC"/>
      <color rgb="FFC4433F"/>
      <color rgb="FFE9F2FB"/>
      <color rgb="FF183C1B"/>
      <color rgb="FFB2D49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17/06/relationships/rdRichValueTypes" Target="richData/rdRichValueTypes.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06/relationships/rdRichValueStructure" Target="richData/rdrichvaluestructure.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06/relationships/rdRichValue" Target="richData/rdrichvalue.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22/10/relationships/richValueRel" Target="richData/richValueRel.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 Id="rId27" Type="http://schemas.openxmlformats.org/officeDocument/2006/relationships/calcChain" Target="calcChain.xml"/><Relationship Id="rId30"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4.3.1.1-2 Methane'!D107"/><Relationship Id="rId13" Type="http://schemas.openxmlformats.org/officeDocument/2006/relationships/hyperlink" Target="#'4.3.1.3-4 Direct N20'!D69"/><Relationship Id="rId18" Type="http://schemas.openxmlformats.org/officeDocument/2006/relationships/hyperlink" Target="#'4.3.1.3-4 Direct N20'!D210"/><Relationship Id="rId26" Type="http://schemas.openxmlformats.org/officeDocument/2006/relationships/hyperlink" Target="#'4.3.1.12-13 Soil leach runoff'!D5"/><Relationship Id="rId3" Type="http://schemas.openxmlformats.org/officeDocument/2006/relationships/hyperlink" Target="#'4.3.1.8 Manure applied to soils'!D5"/><Relationship Id="rId21" Type="http://schemas.openxmlformats.org/officeDocument/2006/relationships/hyperlink" Target="#'4.3.1.5 Atmos deposition'!D5"/><Relationship Id="rId7" Type="http://schemas.openxmlformats.org/officeDocument/2006/relationships/hyperlink" Target="#'4.3.1.1-2 Methane'!D88"/><Relationship Id="rId12" Type="http://schemas.openxmlformats.org/officeDocument/2006/relationships/hyperlink" Target="#'4.3.1.3-4 Direct N20'!D33"/><Relationship Id="rId17" Type="http://schemas.openxmlformats.org/officeDocument/2006/relationships/hyperlink" Target="#'4.3.1.3-4 Direct N20'!D173"/><Relationship Id="rId25" Type="http://schemas.openxmlformats.org/officeDocument/2006/relationships/hyperlink" Target="#'4.3.1.10-11 Soil Atmos Dep'!D30"/><Relationship Id="rId2" Type="http://schemas.openxmlformats.org/officeDocument/2006/relationships/hyperlink" Target="#'4.3.1.3-4 Direct N20'!D5"/><Relationship Id="rId16" Type="http://schemas.openxmlformats.org/officeDocument/2006/relationships/hyperlink" Target="#'4.3.1.3-4 Direct N20'!D143"/><Relationship Id="rId20" Type="http://schemas.openxmlformats.org/officeDocument/2006/relationships/hyperlink" Target="#'4.3.1.8 Manure applied to soils'!D89"/><Relationship Id="rId1" Type="http://schemas.openxmlformats.org/officeDocument/2006/relationships/hyperlink" Target="#'4.3.1.1-2 Methane'!D5"/><Relationship Id="rId6" Type="http://schemas.openxmlformats.org/officeDocument/2006/relationships/hyperlink" Target="#'4.3.1.1-2 Methane'!D53"/><Relationship Id="rId11" Type="http://schemas.openxmlformats.org/officeDocument/2006/relationships/hyperlink" Target="#'4.3.1.1-2 Methane'!D219"/><Relationship Id="rId24" Type="http://schemas.openxmlformats.org/officeDocument/2006/relationships/hyperlink" Target="#'4.3.1.10-11 Soil Atmos Dep'!D5"/><Relationship Id="rId5" Type="http://schemas.openxmlformats.org/officeDocument/2006/relationships/hyperlink" Target="#'4.3.1.1-2 Methane'!D27"/><Relationship Id="rId15" Type="http://schemas.openxmlformats.org/officeDocument/2006/relationships/hyperlink" Target="#'4.3.1.3-4 Direct N20'!D123"/><Relationship Id="rId23" Type="http://schemas.openxmlformats.org/officeDocument/2006/relationships/hyperlink" Target="#'4.3.1.5 Atmos deposition'!D53"/><Relationship Id="rId10" Type="http://schemas.openxmlformats.org/officeDocument/2006/relationships/hyperlink" Target="#'4.3.1.1-2 Methane'!D180"/><Relationship Id="rId19" Type="http://schemas.openxmlformats.org/officeDocument/2006/relationships/hyperlink" Target="#'4.3.1.3-4 Direct N20'!D247"/><Relationship Id="rId4" Type="http://schemas.openxmlformats.org/officeDocument/2006/relationships/hyperlink" Target="#'4.3.1.9 Soil direct N2O'!D35"/><Relationship Id="rId9" Type="http://schemas.openxmlformats.org/officeDocument/2006/relationships/hyperlink" Target="#'4.3.1.1-2 Methane'!D153"/><Relationship Id="rId14" Type="http://schemas.openxmlformats.org/officeDocument/2006/relationships/hyperlink" Target="#'4.3.1.3-4 Direct N20'!D100"/><Relationship Id="rId22" Type="http://schemas.openxmlformats.org/officeDocument/2006/relationships/hyperlink" Target="#'4.3.1.6-7 Leaching and runoff'!D5"/><Relationship Id="rId27" Type="http://schemas.openxmlformats.org/officeDocument/2006/relationships/hyperlink" Target="#'4.3.1.12-13 Soil leach runoff'!D35"/></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7</xdr:col>
      <xdr:colOff>123990</xdr:colOff>
      <xdr:row>7</xdr:row>
      <xdr:rowOff>106369</xdr:rowOff>
    </xdr:from>
    <xdr:ext cx="1928078" cy="298800"/>
    <xdr:sp macro="" textlink="">
      <xdr:nvSpPr>
        <xdr:cNvPr id="2" name="TextBox 1">
          <a:extLst>
            <a:ext uri="{FF2B5EF4-FFF2-40B4-BE49-F238E27FC236}">
              <a16:creationId xmlns:a16="http://schemas.microsoft.com/office/drawing/2014/main" id="{1D84D715-10A5-40B7-9527-5C8FA3BD89EE}"/>
            </a:ext>
          </a:extLst>
        </xdr:cNvPr>
        <xdr:cNvSpPr txBox="1"/>
      </xdr:nvSpPr>
      <xdr:spPr>
        <a:xfrm>
          <a:off x="5253883" y="1956940"/>
          <a:ext cx="1928078"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4.3.1.1-2 Methane</a:t>
          </a:r>
        </a:p>
      </xdr:txBody>
    </xdr:sp>
    <xdr:clientData/>
  </xdr:oneCellAnchor>
  <xdr:twoCellAnchor>
    <xdr:from>
      <xdr:col>3</xdr:col>
      <xdr:colOff>110835</xdr:colOff>
      <xdr:row>9</xdr:row>
      <xdr:rowOff>180108</xdr:rowOff>
    </xdr:from>
    <xdr:to>
      <xdr:col>5</xdr:col>
      <xdr:colOff>403635</xdr:colOff>
      <xdr:row>12</xdr:row>
      <xdr:rowOff>157158</xdr:rowOff>
    </xdr:to>
    <xdr:sp macro="" textlink="'4.3.1.1-2 Methane'!D5">
      <xdr:nvSpPr>
        <xdr:cNvPr id="3" name="TextBox 2">
          <a:hlinkClick xmlns:r="http://schemas.openxmlformats.org/officeDocument/2006/relationships" r:id="rId1"/>
          <a:extLst>
            <a:ext uri="{FF2B5EF4-FFF2-40B4-BE49-F238E27FC236}">
              <a16:creationId xmlns:a16="http://schemas.microsoft.com/office/drawing/2014/main" id="{110A9EA9-6A5C-4265-A12D-7D16577EF13E}"/>
            </a:ext>
          </a:extLst>
        </xdr:cNvPr>
        <xdr:cNvSpPr txBox="1"/>
      </xdr:nvSpPr>
      <xdr:spPr>
        <a:xfrm>
          <a:off x="2787360" y="2542308"/>
          <a:ext cx="1512000" cy="720000"/>
        </a:xfrm>
        <a:prstGeom prst="rect">
          <a:avLst/>
        </a:prstGeom>
        <a:solidFill>
          <a:schemeClr val="lt1"/>
        </a:solidFill>
        <a:ln w="9525" cmpd="sng">
          <a:solidFill>
            <a:srgbClr val="0D9D9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13BC695-B346-48CF-9041-49D631DF69F4}" type="TxLink">
            <a:rPr lang="en-US" sz="1000" b="0" i="0" u="none" strike="noStrike">
              <a:solidFill>
                <a:srgbClr val="0D9D96"/>
              </a:solidFill>
              <a:latin typeface="Times New Roman"/>
              <a:cs typeface="Times New Roman"/>
            </a:rPr>
            <a:pPr algn="ctr"/>
            <a:t>Metabolisability of diet</a:t>
          </a:fld>
          <a:endParaRPr lang="en-AU" sz="1000">
            <a:solidFill>
              <a:srgbClr val="0D9D96"/>
            </a:solidFill>
          </a:endParaRPr>
        </a:p>
      </xdr:txBody>
    </xdr:sp>
    <xdr:clientData/>
  </xdr:twoCellAnchor>
  <xdr:oneCellAnchor>
    <xdr:from>
      <xdr:col>11</xdr:col>
      <xdr:colOff>336371</xdr:colOff>
      <xdr:row>7</xdr:row>
      <xdr:rowOff>106369</xdr:rowOff>
    </xdr:from>
    <xdr:ext cx="1946138" cy="298800"/>
    <xdr:sp macro="" textlink="">
      <xdr:nvSpPr>
        <xdr:cNvPr id="12" name="TextBox 11">
          <a:extLst>
            <a:ext uri="{FF2B5EF4-FFF2-40B4-BE49-F238E27FC236}">
              <a16:creationId xmlns:a16="http://schemas.microsoft.com/office/drawing/2014/main" id="{D9E520E3-EDA0-4545-8A08-1BA9077945B3}"/>
            </a:ext>
          </a:extLst>
        </xdr:cNvPr>
        <xdr:cNvSpPr txBox="1"/>
      </xdr:nvSpPr>
      <xdr:spPr>
        <a:xfrm>
          <a:off x="7915550" y="1956940"/>
          <a:ext cx="1946138"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5">
                  <a:lumMod val="75000"/>
                </a:schemeClr>
              </a:solidFill>
            </a:rPr>
            <a:t>4.3.1.3-4 Direct</a:t>
          </a:r>
          <a:r>
            <a:rPr lang="en-AU" sz="1400" b="0" baseline="0">
              <a:solidFill>
                <a:schemeClr val="accent5">
                  <a:lumMod val="75000"/>
                </a:schemeClr>
              </a:solidFill>
            </a:rPr>
            <a:t> N2O</a:t>
          </a:r>
          <a:endParaRPr lang="en-AU" sz="1400" b="0">
            <a:solidFill>
              <a:schemeClr val="accent5">
                <a:lumMod val="75000"/>
              </a:schemeClr>
            </a:solidFill>
          </a:endParaRPr>
        </a:p>
      </xdr:txBody>
    </xdr:sp>
    <xdr:clientData/>
  </xdr:oneCellAnchor>
  <xdr:twoCellAnchor>
    <xdr:from>
      <xdr:col>11</xdr:col>
      <xdr:colOff>491466</xdr:colOff>
      <xdr:row>9</xdr:row>
      <xdr:rowOff>180108</xdr:rowOff>
    </xdr:from>
    <xdr:to>
      <xdr:col>14</xdr:col>
      <xdr:colOff>174666</xdr:colOff>
      <xdr:row>12</xdr:row>
      <xdr:rowOff>157158</xdr:rowOff>
    </xdr:to>
    <xdr:sp macro="" textlink="'4.3.1.3-4 Direct N20'!D5">
      <xdr:nvSpPr>
        <xdr:cNvPr id="13" name="TextBox 12">
          <a:hlinkClick xmlns:r="http://schemas.openxmlformats.org/officeDocument/2006/relationships" r:id="rId2"/>
          <a:extLst>
            <a:ext uri="{FF2B5EF4-FFF2-40B4-BE49-F238E27FC236}">
              <a16:creationId xmlns:a16="http://schemas.microsoft.com/office/drawing/2014/main" id="{A0F40C96-5DBA-4237-B85A-83903BEB28E4}"/>
            </a:ext>
          </a:extLst>
        </xdr:cNvPr>
        <xdr:cNvSpPr txBox="1"/>
      </xdr:nvSpPr>
      <xdr:spPr>
        <a:xfrm>
          <a:off x="8070645" y="2520537"/>
          <a:ext cx="1520164" cy="711835"/>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8693AB1-EB1F-4E54-BE18-0AD5C946102B}" type="TxLink">
            <a:rPr lang="en-US" sz="1000" b="0" i="0" u="none" strike="noStrike">
              <a:solidFill>
                <a:srgbClr val="002060"/>
              </a:solidFill>
              <a:latin typeface="Times New Roman"/>
              <a:cs typeface="Times New Roman"/>
            </a:rPr>
            <a:pPr algn="ctr"/>
            <a:t>Relative size</a:t>
          </a:fld>
          <a:endParaRPr lang="en-AU" sz="1000">
            <a:solidFill>
              <a:srgbClr val="002060"/>
            </a:solidFill>
          </a:endParaRPr>
        </a:p>
      </xdr:txBody>
    </xdr:sp>
    <xdr:clientData/>
  </xdr:twoCellAnchor>
  <xdr:oneCellAnchor>
    <xdr:from>
      <xdr:col>15</xdr:col>
      <xdr:colOff>566813</xdr:colOff>
      <xdr:row>7</xdr:row>
      <xdr:rowOff>3136</xdr:rowOff>
    </xdr:from>
    <xdr:ext cx="1905000" cy="505267"/>
    <xdr:sp macro="" textlink="">
      <xdr:nvSpPr>
        <xdr:cNvPr id="16" name="TextBox 15">
          <a:extLst>
            <a:ext uri="{FF2B5EF4-FFF2-40B4-BE49-F238E27FC236}">
              <a16:creationId xmlns:a16="http://schemas.microsoft.com/office/drawing/2014/main" id="{97FDFA38-FB5B-4D8A-944A-FACF4C57836C}"/>
            </a:ext>
          </a:extLst>
        </xdr:cNvPr>
        <xdr:cNvSpPr txBox="1"/>
      </xdr:nvSpPr>
      <xdr:spPr>
        <a:xfrm>
          <a:off x="10595277" y="1853707"/>
          <a:ext cx="1905000"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7030A0"/>
              </a:solidFill>
            </a:rPr>
            <a:t>4.3.1.5 </a:t>
          </a:r>
          <a:br>
            <a:rPr lang="en-AU" sz="1400" b="0">
              <a:solidFill>
                <a:srgbClr val="7030A0"/>
              </a:solidFill>
            </a:rPr>
          </a:br>
          <a:r>
            <a:rPr lang="en-AU" sz="1400" b="0">
              <a:solidFill>
                <a:srgbClr val="7030A0"/>
              </a:solidFill>
            </a:rPr>
            <a:t>Atmospheric</a:t>
          </a:r>
          <a:r>
            <a:rPr lang="en-AU" sz="1400" b="0" baseline="0">
              <a:solidFill>
                <a:srgbClr val="7030A0"/>
              </a:solidFill>
            </a:rPr>
            <a:t> </a:t>
          </a:r>
          <a:r>
            <a:rPr lang="en-AU" sz="1400" b="0">
              <a:solidFill>
                <a:srgbClr val="7030A0"/>
              </a:solidFill>
            </a:rPr>
            <a:t>deposition</a:t>
          </a:r>
        </a:p>
      </xdr:txBody>
    </xdr:sp>
    <xdr:clientData/>
  </xdr:oneCellAnchor>
  <xdr:oneCellAnchor>
    <xdr:from>
      <xdr:col>20</xdr:col>
      <xdr:colOff>143795</xdr:colOff>
      <xdr:row>7</xdr:row>
      <xdr:rowOff>3136</xdr:rowOff>
    </xdr:from>
    <xdr:ext cx="1590674" cy="505267"/>
    <xdr:sp macro="" textlink="">
      <xdr:nvSpPr>
        <xdr:cNvPr id="20" name="TextBox 19">
          <a:extLst>
            <a:ext uri="{FF2B5EF4-FFF2-40B4-BE49-F238E27FC236}">
              <a16:creationId xmlns:a16="http://schemas.microsoft.com/office/drawing/2014/main" id="{8D1E9E99-F69F-4259-969F-3EA4B11C92C2}"/>
            </a:ext>
          </a:extLst>
        </xdr:cNvPr>
        <xdr:cNvSpPr txBox="1"/>
      </xdr:nvSpPr>
      <xdr:spPr>
        <a:xfrm>
          <a:off x="13233866" y="1853707"/>
          <a:ext cx="1590674"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C44340"/>
              </a:solidFill>
            </a:rPr>
            <a:t>4.3.1.6-7 </a:t>
          </a:r>
          <a:br>
            <a:rPr lang="en-AU" sz="1400" b="0">
              <a:solidFill>
                <a:srgbClr val="C44340"/>
              </a:solidFill>
            </a:rPr>
          </a:br>
          <a:r>
            <a:rPr lang="en-AU" sz="1400" b="0">
              <a:solidFill>
                <a:srgbClr val="C44340"/>
              </a:solidFill>
            </a:rPr>
            <a:t>Leaching &amp; runoff</a:t>
          </a:r>
        </a:p>
      </xdr:txBody>
    </xdr:sp>
    <xdr:clientData/>
  </xdr:oneCellAnchor>
  <xdr:oneCellAnchor>
    <xdr:from>
      <xdr:col>24</xdr:col>
      <xdr:colOff>18772</xdr:colOff>
      <xdr:row>7</xdr:row>
      <xdr:rowOff>106369</xdr:rowOff>
    </xdr:from>
    <xdr:ext cx="1683647" cy="505267"/>
    <xdr:sp macro="" textlink="">
      <xdr:nvSpPr>
        <xdr:cNvPr id="22" name="TextBox 21">
          <a:extLst>
            <a:ext uri="{FF2B5EF4-FFF2-40B4-BE49-F238E27FC236}">
              <a16:creationId xmlns:a16="http://schemas.microsoft.com/office/drawing/2014/main" id="{90C102F1-A574-4017-9AFC-4FC1E36AD803}"/>
            </a:ext>
          </a:extLst>
        </xdr:cNvPr>
        <xdr:cNvSpPr txBox="1"/>
      </xdr:nvSpPr>
      <xdr:spPr>
        <a:xfrm>
          <a:off x="15558129" y="1956940"/>
          <a:ext cx="1683647"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CC6600"/>
              </a:solidFill>
            </a:rPr>
            <a:t>4.3.1.8 Manure applied</a:t>
          </a:r>
          <a:r>
            <a:rPr lang="en-AU" sz="1400" b="0" baseline="0">
              <a:solidFill>
                <a:srgbClr val="CC6600"/>
              </a:solidFill>
            </a:rPr>
            <a:t> to soils</a:t>
          </a:r>
          <a:endParaRPr lang="en-AU" sz="1400" b="0">
            <a:solidFill>
              <a:srgbClr val="CC6600"/>
            </a:solidFill>
          </a:endParaRPr>
        </a:p>
      </xdr:txBody>
    </xdr:sp>
    <xdr:clientData/>
  </xdr:oneCellAnchor>
  <xdr:twoCellAnchor>
    <xdr:from>
      <xdr:col>23</xdr:col>
      <xdr:colOff>292702</xdr:colOff>
      <xdr:row>72</xdr:row>
      <xdr:rowOff>44035</xdr:rowOff>
    </xdr:from>
    <xdr:to>
      <xdr:col>25</xdr:col>
      <xdr:colOff>584910</xdr:colOff>
      <xdr:row>75</xdr:row>
      <xdr:rowOff>184370</xdr:rowOff>
    </xdr:to>
    <xdr:sp macro="" textlink="'4.3.1.8 Manure applied to soils'!D5">
      <xdr:nvSpPr>
        <xdr:cNvPr id="23" name="TextBox 22">
          <a:hlinkClick xmlns:r="http://schemas.openxmlformats.org/officeDocument/2006/relationships" r:id="rId3"/>
          <a:extLst>
            <a:ext uri="{FF2B5EF4-FFF2-40B4-BE49-F238E27FC236}">
              <a16:creationId xmlns:a16="http://schemas.microsoft.com/office/drawing/2014/main" id="{9397134A-F539-41D7-997F-30953678168E}"/>
            </a:ext>
          </a:extLst>
        </xdr:cNvPr>
        <xdr:cNvSpPr txBox="1"/>
      </xdr:nvSpPr>
      <xdr:spPr>
        <a:xfrm>
          <a:off x="15082429" y="16911944"/>
          <a:ext cx="1504481" cy="711835"/>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707C738-1CA7-4C5B-978C-8966CCA93A67}" type="TxLink">
            <a:rPr lang="en-US" sz="1000" b="1" i="0" u="none" strike="noStrike">
              <a:solidFill>
                <a:srgbClr val="CC6600"/>
              </a:solidFill>
              <a:latin typeface="Times New Roman"/>
              <a:cs typeface="Times New Roman"/>
            </a:rPr>
            <a:pPr algn="ctr"/>
            <a:t>Mass of nitrogen from manure applied to soils for scope 1 emissions</a:t>
          </a:fld>
          <a:endParaRPr lang="en-AU" sz="1000" b="1">
            <a:solidFill>
              <a:srgbClr val="CC6600"/>
            </a:solidFill>
          </a:endParaRPr>
        </a:p>
      </xdr:txBody>
    </xdr:sp>
    <xdr:clientData/>
  </xdr:twoCellAnchor>
  <xdr:oneCellAnchor>
    <xdr:from>
      <xdr:col>27</xdr:col>
      <xdr:colOff>599044</xdr:colOff>
      <xdr:row>7</xdr:row>
      <xdr:rowOff>106369</xdr:rowOff>
    </xdr:from>
    <xdr:ext cx="1587293" cy="505267"/>
    <xdr:sp macro="" textlink="">
      <xdr:nvSpPr>
        <xdr:cNvPr id="31" name="TextBox 30">
          <a:extLst>
            <a:ext uri="{FF2B5EF4-FFF2-40B4-BE49-F238E27FC236}">
              <a16:creationId xmlns:a16="http://schemas.microsoft.com/office/drawing/2014/main" id="{E90C6298-1BCA-44F6-9B9E-02AE6CD8BDAB}"/>
            </a:ext>
          </a:extLst>
        </xdr:cNvPr>
        <xdr:cNvSpPr txBox="1"/>
      </xdr:nvSpPr>
      <xdr:spPr>
        <a:xfrm>
          <a:off x="17975365" y="1956940"/>
          <a:ext cx="1587293"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6">
                  <a:lumMod val="50000"/>
                </a:schemeClr>
              </a:solidFill>
            </a:rPr>
            <a:t>4.3.1.9</a:t>
          </a:r>
          <a:r>
            <a:rPr lang="en-AU" sz="1400" b="0" baseline="0">
              <a:solidFill>
                <a:schemeClr val="accent6">
                  <a:lumMod val="50000"/>
                </a:schemeClr>
              </a:solidFill>
            </a:rPr>
            <a:t> Soil direct N2O</a:t>
          </a:r>
          <a:endParaRPr lang="en-AU" sz="1400" b="0">
            <a:solidFill>
              <a:schemeClr val="accent6">
                <a:lumMod val="50000"/>
              </a:schemeClr>
            </a:solidFill>
          </a:endParaRPr>
        </a:p>
      </xdr:txBody>
    </xdr:sp>
    <xdr:clientData/>
  </xdr:oneCellAnchor>
  <xdr:twoCellAnchor>
    <xdr:from>
      <xdr:col>29</xdr:col>
      <xdr:colOff>93889</xdr:colOff>
      <xdr:row>52</xdr:row>
      <xdr:rowOff>31667</xdr:rowOff>
    </xdr:from>
    <xdr:to>
      <xdr:col>31</xdr:col>
      <xdr:colOff>389411</xdr:colOff>
      <xdr:row>55</xdr:row>
      <xdr:rowOff>14844</xdr:rowOff>
    </xdr:to>
    <xdr:sp macro="" textlink="'4.3.1.9 Soil direct N2O'!D35">
      <xdr:nvSpPr>
        <xdr:cNvPr id="32" name="TextBox 31">
          <a:hlinkClick xmlns:r="http://schemas.openxmlformats.org/officeDocument/2006/relationships" r:id="rId4"/>
          <a:extLst>
            <a:ext uri="{FF2B5EF4-FFF2-40B4-BE49-F238E27FC236}">
              <a16:creationId xmlns:a16="http://schemas.microsoft.com/office/drawing/2014/main" id="{C1AB63F5-4B24-47F1-9CF2-9095A9B98919}"/>
            </a:ext>
          </a:extLst>
        </xdr:cNvPr>
        <xdr:cNvSpPr txBox="1"/>
      </xdr:nvSpPr>
      <xdr:spPr>
        <a:xfrm>
          <a:off x="18520434" y="12777849"/>
          <a:ext cx="1507795" cy="710540"/>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BF0A44C-9B3C-4F36-BC43-BFFDE477146A}" type="TxLink">
            <a:rPr lang="en-US" sz="1000" b="1" i="0" u="none" strike="noStrike">
              <a:solidFill>
                <a:schemeClr val="accent6">
                  <a:lumMod val="50000"/>
                </a:schemeClr>
              </a:solidFill>
              <a:latin typeface="Times New Roman"/>
              <a:cs typeface="Times New Roman"/>
            </a:rPr>
            <a:pPr algn="ctr"/>
            <a:t>Direct nitrous oxide emissions on pasture</a:t>
          </a:fld>
          <a:endParaRPr lang="en-AU" sz="1000" b="1">
            <a:solidFill>
              <a:schemeClr val="accent6">
                <a:lumMod val="50000"/>
              </a:schemeClr>
            </a:solidFill>
          </a:endParaRPr>
        </a:p>
      </xdr:txBody>
    </xdr:sp>
    <xdr:clientData/>
  </xdr:twoCellAnchor>
  <xdr:oneCellAnchor>
    <xdr:from>
      <xdr:col>31</xdr:col>
      <xdr:colOff>470640</xdr:colOff>
      <xdr:row>7</xdr:row>
      <xdr:rowOff>115894</xdr:rowOff>
    </xdr:from>
    <xdr:ext cx="1962150" cy="505267"/>
    <xdr:sp macro="" textlink="">
      <xdr:nvSpPr>
        <xdr:cNvPr id="39" name="TextBox 38">
          <a:extLst>
            <a:ext uri="{FF2B5EF4-FFF2-40B4-BE49-F238E27FC236}">
              <a16:creationId xmlns:a16="http://schemas.microsoft.com/office/drawing/2014/main" id="{21681B8B-168C-49D7-9D40-4349668ACBB1}"/>
            </a:ext>
          </a:extLst>
        </xdr:cNvPr>
        <xdr:cNvSpPr txBox="1"/>
      </xdr:nvSpPr>
      <xdr:spPr>
        <a:xfrm>
          <a:off x="20296247" y="1966465"/>
          <a:ext cx="1962150"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6">
                  <a:lumMod val="50000"/>
                </a:schemeClr>
              </a:solidFill>
            </a:rPr>
            <a:t>4.3.1.10-11</a:t>
          </a:r>
          <a:r>
            <a:rPr lang="en-AU" sz="1400" b="0" baseline="0">
              <a:solidFill>
                <a:schemeClr val="accent6">
                  <a:lumMod val="50000"/>
                </a:schemeClr>
              </a:solidFill>
            </a:rPr>
            <a:t> Soil Atmospheric deposition</a:t>
          </a:r>
          <a:endParaRPr lang="en-AU" sz="1400" b="0">
            <a:solidFill>
              <a:schemeClr val="accent6">
                <a:lumMod val="50000"/>
              </a:schemeClr>
            </a:solidFill>
          </a:endParaRPr>
        </a:p>
      </xdr:txBody>
    </xdr:sp>
    <xdr:clientData/>
  </xdr:oneCellAnchor>
  <xdr:oneCellAnchor>
    <xdr:from>
      <xdr:col>36</xdr:col>
      <xdr:colOff>104775</xdr:colOff>
      <xdr:row>7</xdr:row>
      <xdr:rowOff>125419</xdr:rowOff>
    </xdr:from>
    <xdr:ext cx="1962150" cy="505267"/>
    <xdr:sp macro="" textlink="">
      <xdr:nvSpPr>
        <xdr:cNvPr id="40" name="TextBox 39">
          <a:extLst>
            <a:ext uri="{FF2B5EF4-FFF2-40B4-BE49-F238E27FC236}">
              <a16:creationId xmlns:a16="http://schemas.microsoft.com/office/drawing/2014/main" id="{FF9E80FC-DBE6-4B05-979C-00544A3BB45E}"/>
            </a:ext>
          </a:extLst>
        </xdr:cNvPr>
        <xdr:cNvSpPr txBox="1"/>
      </xdr:nvSpPr>
      <xdr:spPr>
        <a:xfrm>
          <a:off x="22898100" y="1992319"/>
          <a:ext cx="1962150"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6">
                  <a:lumMod val="50000"/>
                </a:schemeClr>
              </a:solidFill>
            </a:rPr>
            <a:t>4.3.1.12-13 Soil Leaching &amp; Runoff</a:t>
          </a:r>
        </a:p>
      </xdr:txBody>
    </xdr:sp>
    <xdr:clientData/>
  </xdr:oneCellAnchor>
  <xdr:twoCellAnchor>
    <xdr:from>
      <xdr:col>3</xdr:col>
      <xdr:colOff>120360</xdr:colOff>
      <xdr:row>18</xdr:row>
      <xdr:rowOff>201756</xdr:rowOff>
    </xdr:from>
    <xdr:to>
      <xdr:col>5</xdr:col>
      <xdr:colOff>413160</xdr:colOff>
      <xdr:row>21</xdr:row>
      <xdr:rowOff>178806</xdr:rowOff>
    </xdr:to>
    <xdr:sp macro="" textlink="'4.3.1.1-2 Methane'!D54">
      <xdr:nvSpPr>
        <xdr:cNvPr id="41" name="TextBox 40">
          <a:hlinkClick xmlns:r="http://schemas.openxmlformats.org/officeDocument/2006/relationships" r:id="rId5"/>
          <a:extLst>
            <a:ext uri="{FF2B5EF4-FFF2-40B4-BE49-F238E27FC236}">
              <a16:creationId xmlns:a16="http://schemas.microsoft.com/office/drawing/2014/main" id="{82BBB490-20A6-44A4-855D-5BFCA5839BC1}"/>
            </a:ext>
          </a:extLst>
        </xdr:cNvPr>
        <xdr:cNvSpPr txBox="1"/>
      </xdr:nvSpPr>
      <xdr:spPr>
        <a:xfrm>
          <a:off x="2796885" y="4792806"/>
          <a:ext cx="1512000" cy="720000"/>
        </a:xfrm>
        <a:prstGeom prst="rect">
          <a:avLst/>
        </a:prstGeom>
        <a:solidFill>
          <a:schemeClr val="lt1"/>
        </a:solidFill>
        <a:ln w="9525" cmpd="sng">
          <a:solidFill>
            <a:srgbClr val="0D9D9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19A448A-EDED-4D06-8B0A-9F5C65C58677}" type="TxLink">
            <a:rPr lang="en-US" sz="1000" b="0" i="0" u="none" strike="noStrike">
              <a:solidFill>
                <a:srgbClr val="0D9D96"/>
              </a:solidFill>
              <a:latin typeface="Times New Roman"/>
              <a:cs typeface="Times New Roman"/>
            </a:rPr>
            <a:pPr algn="ctr"/>
            <a:t>Additional intake required for milk production</a:t>
          </a:fld>
          <a:endParaRPr lang="en-AU" sz="1000">
            <a:solidFill>
              <a:srgbClr val="0D9D96"/>
            </a:solidFill>
          </a:endParaRPr>
        </a:p>
      </xdr:txBody>
    </xdr:sp>
    <xdr:clientData/>
  </xdr:twoCellAnchor>
  <xdr:twoCellAnchor>
    <xdr:from>
      <xdr:col>3</xdr:col>
      <xdr:colOff>110835</xdr:colOff>
      <xdr:row>23</xdr:row>
      <xdr:rowOff>39831</xdr:rowOff>
    </xdr:from>
    <xdr:to>
      <xdr:col>5</xdr:col>
      <xdr:colOff>403635</xdr:colOff>
      <xdr:row>26</xdr:row>
      <xdr:rowOff>16880</xdr:rowOff>
    </xdr:to>
    <xdr:sp macro="" textlink="'4.3.1.1-2 Methane'!D83">
      <xdr:nvSpPr>
        <xdr:cNvPr id="42" name="TextBox 41">
          <a:hlinkClick xmlns:r="http://schemas.openxmlformats.org/officeDocument/2006/relationships" r:id="rId6"/>
          <a:extLst>
            <a:ext uri="{FF2B5EF4-FFF2-40B4-BE49-F238E27FC236}">
              <a16:creationId xmlns:a16="http://schemas.microsoft.com/office/drawing/2014/main" id="{5890F85A-690F-4E76-AFA6-9552C00B26D5}"/>
            </a:ext>
          </a:extLst>
        </xdr:cNvPr>
        <xdr:cNvSpPr txBox="1"/>
      </xdr:nvSpPr>
      <xdr:spPr>
        <a:xfrm>
          <a:off x="2777835" y="5754831"/>
          <a:ext cx="1505073" cy="704413"/>
        </a:xfrm>
        <a:prstGeom prst="rect">
          <a:avLst/>
        </a:prstGeom>
        <a:solidFill>
          <a:schemeClr val="lt1"/>
        </a:solidFill>
        <a:ln w="9525" cmpd="sng">
          <a:solidFill>
            <a:srgbClr val="0D9D9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3C70739-4C3A-4EAC-8F15-28C27F4E622A}" type="TxLink">
            <a:rPr lang="en-US" sz="1000" b="0" i="0" u="none" strike="noStrike">
              <a:solidFill>
                <a:srgbClr val="0D9D96"/>
              </a:solidFill>
              <a:latin typeface="Times New Roman"/>
              <a:cs typeface="Times New Roman"/>
            </a:rPr>
            <a:pPr algn="ctr"/>
            <a:t>Feed intake</a:t>
          </a:fld>
          <a:endParaRPr lang="en-AU" sz="1000">
            <a:solidFill>
              <a:srgbClr val="0D9D96"/>
            </a:solidFill>
          </a:endParaRPr>
        </a:p>
      </xdr:txBody>
    </xdr:sp>
    <xdr:clientData/>
  </xdr:twoCellAnchor>
  <xdr:twoCellAnchor>
    <xdr:from>
      <xdr:col>7</xdr:col>
      <xdr:colOff>101310</xdr:colOff>
      <xdr:row>26</xdr:row>
      <xdr:rowOff>148935</xdr:rowOff>
    </xdr:from>
    <xdr:to>
      <xdr:col>9</xdr:col>
      <xdr:colOff>394110</xdr:colOff>
      <xdr:row>29</xdr:row>
      <xdr:rowOff>125986</xdr:rowOff>
    </xdr:to>
    <xdr:sp macro="" textlink="'4.3.1.1-2 Methane'!D118">
      <xdr:nvSpPr>
        <xdr:cNvPr id="43" name="TextBox 42">
          <a:hlinkClick xmlns:r="http://schemas.openxmlformats.org/officeDocument/2006/relationships" r:id="rId7"/>
          <a:extLst>
            <a:ext uri="{FF2B5EF4-FFF2-40B4-BE49-F238E27FC236}">
              <a16:creationId xmlns:a16="http://schemas.microsoft.com/office/drawing/2014/main" id="{91312EE3-1F9E-4914-8F12-5096A0DE65B9}"/>
            </a:ext>
          </a:extLst>
        </xdr:cNvPr>
        <xdr:cNvSpPr txBox="1"/>
      </xdr:nvSpPr>
      <xdr:spPr>
        <a:xfrm>
          <a:off x="5192855" y="6591299"/>
          <a:ext cx="1505073" cy="704414"/>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0FBB973-88ED-4A22-A935-BDD550D6A852}" type="TxLink">
            <a:rPr lang="en-US" sz="1000" b="0" i="0" u="none" strike="noStrike">
              <a:solidFill>
                <a:srgbClr val="0C769E"/>
              </a:solidFill>
              <a:latin typeface="Times New Roman"/>
              <a:cs typeface="Times New Roman"/>
            </a:rPr>
            <a:pPr algn="ctr"/>
            <a:t>Volatile solids for weaned dairy cattle</a:t>
          </a:fld>
          <a:endParaRPr lang="en-AU" sz="1000">
            <a:solidFill>
              <a:srgbClr val="0C769E"/>
            </a:solidFill>
          </a:endParaRPr>
        </a:p>
      </xdr:txBody>
    </xdr:sp>
    <xdr:clientData/>
  </xdr:twoCellAnchor>
  <xdr:twoCellAnchor>
    <xdr:from>
      <xdr:col>7</xdr:col>
      <xdr:colOff>74096</xdr:colOff>
      <xdr:row>47</xdr:row>
      <xdr:rowOff>218331</xdr:rowOff>
    </xdr:from>
    <xdr:to>
      <xdr:col>9</xdr:col>
      <xdr:colOff>366896</xdr:colOff>
      <xdr:row>50</xdr:row>
      <xdr:rowOff>195381</xdr:rowOff>
    </xdr:to>
    <xdr:sp macro="" textlink="'4.3.1.1-2 Methane'!D137">
      <xdr:nvSpPr>
        <xdr:cNvPr id="44" name="TextBox 43">
          <a:hlinkClick xmlns:r="http://schemas.openxmlformats.org/officeDocument/2006/relationships" r:id="rId8"/>
          <a:extLst>
            <a:ext uri="{FF2B5EF4-FFF2-40B4-BE49-F238E27FC236}">
              <a16:creationId xmlns:a16="http://schemas.microsoft.com/office/drawing/2014/main" id="{27FF12DD-C78D-4BF6-BDF1-4AE217C14861}"/>
            </a:ext>
          </a:extLst>
        </xdr:cNvPr>
        <xdr:cNvSpPr txBox="1"/>
      </xdr:nvSpPr>
      <xdr:spPr>
        <a:xfrm>
          <a:off x="5165641" y="11752240"/>
          <a:ext cx="1505073" cy="704414"/>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FAC6FE5-9375-488F-8972-E21E68EED8B2}" type="TxLink">
            <a:rPr lang="en-US" sz="1000" b="0" i="0" u="none" strike="noStrike">
              <a:solidFill>
                <a:srgbClr val="0C769E"/>
              </a:solidFill>
              <a:latin typeface="Times New Roman"/>
              <a:cs typeface="Times New Roman"/>
            </a:rPr>
            <a:pPr algn="ctr"/>
            <a:t>Fraction of volatile solids in each system other than solid storage</a:t>
          </a:fld>
          <a:endParaRPr lang="en-AU" sz="1000">
            <a:solidFill>
              <a:srgbClr val="0C769E"/>
            </a:solidFill>
          </a:endParaRPr>
        </a:p>
      </xdr:txBody>
    </xdr:sp>
    <xdr:clientData/>
  </xdr:twoCellAnchor>
  <xdr:twoCellAnchor>
    <xdr:from>
      <xdr:col>7</xdr:col>
      <xdr:colOff>93146</xdr:colOff>
      <xdr:row>51</xdr:row>
      <xdr:rowOff>116030</xdr:rowOff>
    </xdr:from>
    <xdr:to>
      <xdr:col>9</xdr:col>
      <xdr:colOff>385946</xdr:colOff>
      <xdr:row>54</xdr:row>
      <xdr:rowOff>93080</xdr:rowOff>
    </xdr:to>
    <xdr:sp macro="" textlink="'4.3.1.1-2 Methane'!D183">
      <xdr:nvSpPr>
        <xdr:cNvPr id="45" name="TextBox 44">
          <a:hlinkClick xmlns:r="http://schemas.openxmlformats.org/officeDocument/2006/relationships" r:id="rId9"/>
          <a:extLst>
            <a:ext uri="{FF2B5EF4-FFF2-40B4-BE49-F238E27FC236}">
              <a16:creationId xmlns:a16="http://schemas.microsoft.com/office/drawing/2014/main" id="{B60DE701-E046-4FE6-8418-F08AB3556650}"/>
            </a:ext>
          </a:extLst>
        </xdr:cNvPr>
        <xdr:cNvSpPr txBox="1"/>
      </xdr:nvSpPr>
      <xdr:spPr>
        <a:xfrm>
          <a:off x="5184691" y="12619757"/>
          <a:ext cx="1505073" cy="704414"/>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DA313D9-C45C-43CA-B870-14C168DFFDC9}" type="TxLink">
            <a:rPr lang="en-US" sz="1000" b="0" i="0" u="none" strike="noStrike">
              <a:solidFill>
                <a:srgbClr val="0C769E"/>
              </a:solidFill>
              <a:latin typeface="Times New Roman"/>
              <a:cs typeface="Times New Roman"/>
            </a:rPr>
            <a:pPr algn="ctr"/>
            <a:t>Fraction of volatile solids in solid storage</a:t>
          </a:fld>
          <a:endParaRPr lang="en-AU" sz="1000">
            <a:solidFill>
              <a:srgbClr val="0C769E"/>
            </a:solidFill>
          </a:endParaRPr>
        </a:p>
      </xdr:txBody>
    </xdr:sp>
    <xdr:clientData/>
  </xdr:twoCellAnchor>
  <xdr:twoCellAnchor>
    <xdr:from>
      <xdr:col>7</xdr:col>
      <xdr:colOff>93146</xdr:colOff>
      <xdr:row>55</xdr:row>
      <xdr:rowOff>42552</xdr:rowOff>
    </xdr:from>
    <xdr:to>
      <xdr:col>9</xdr:col>
      <xdr:colOff>385946</xdr:colOff>
      <xdr:row>58</xdr:row>
      <xdr:rowOff>19602</xdr:rowOff>
    </xdr:to>
    <xdr:sp macro="" textlink="'4.3.1.1-2 Methane'!D210">
      <xdr:nvSpPr>
        <xdr:cNvPr id="46" name="TextBox 45">
          <a:hlinkClick xmlns:r="http://schemas.openxmlformats.org/officeDocument/2006/relationships" r:id="rId10"/>
          <a:extLst>
            <a:ext uri="{FF2B5EF4-FFF2-40B4-BE49-F238E27FC236}">
              <a16:creationId xmlns:a16="http://schemas.microsoft.com/office/drawing/2014/main" id="{1DF73E34-8559-4F1F-BB82-E3E2B4035879}"/>
            </a:ext>
          </a:extLst>
        </xdr:cNvPr>
        <xdr:cNvSpPr txBox="1"/>
      </xdr:nvSpPr>
      <xdr:spPr>
        <a:xfrm>
          <a:off x="5184691" y="13516097"/>
          <a:ext cx="1505073" cy="704414"/>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C728A61-C488-4859-9D64-BDEEC900F74F}" type="TxLink">
            <a:rPr lang="en-US" sz="1000" b="0" i="0" u="none" strike="noStrike">
              <a:solidFill>
                <a:srgbClr val="0C769E"/>
              </a:solidFill>
              <a:latin typeface="Times New Roman"/>
              <a:cs typeface="Times New Roman"/>
            </a:rPr>
            <a:pPr algn="ctr"/>
            <a:t>Methane from manure production from weaned dairy cattle</a:t>
          </a:fld>
          <a:endParaRPr lang="en-AU" sz="1000">
            <a:solidFill>
              <a:srgbClr val="0C769E"/>
            </a:solidFill>
          </a:endParaRPr>
        </a:p>
      </xdr:txBody>
    </xdr:sp>
    <xdr:clientData/>
  </xdr:twoCellAnchor>
  <xdr:twoCellAnchor>
    <xdr:from>
      <xdr:col>7</xdr:col>
      <xdr:colOff>74096</xdr:colOff>
      <xdr:row>63</xdr:row>
      <xdr:rowOff>137906</xdr:rowOff>
    </xdr:from>
    <xdr:to>
      <xdr:col>9</xdr:col>
      <xdr:colOff>366896</xdr:colOff>
      <xdr:row>67</xdr:row>
      <xdr:rowOff>82792</xdr:rowOff>
    </xdr:to>
    <xdr:sp macro="" textlink="'4.3.1.1-2 Methane'!D249">
      <xdr:nvSpPr>
        <xdr:cNvPr id="47" name="TextBox 46">
          <a:hlinkClick xmlns:r="http://schemas.openxmlformats.org/officeDocument/2006/relationships" r:id="rId11"/>
          <a:extLst>
            <a:ext uri="{FF2B5EF4-FFF2-40B4-BE49-F238E27FC236}">
              <a16:creationId xmlns:a16="http://schemas.microsoft.com/office/drawing/2014/main" id="{5BB39083-14D5-4E03-B2EF-96E2D8D78D27}"/>
            </a:ext>
          </a:extLst>
        </xdr:cNvPr>
        <xdr:cNvSpPr txBox="1"/>
      </xdr:nvSpPr>
      <xdr:spPr>
        <a:xfrm>
          <a:off x="5165641" y="15291315"/>
          <a:ext cx="1505073" cy="706886"/>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C116284-0161-4ADB-B34F-D4AB31F12260}" type="TxLink">
            <a:rPr lang="en-US" sz="1000" b="1" i="0" u="none" strike="noStrike">
              <a:solidFill>
                <a:srgbClr val="0C769E"/>
              </a:solidFill>
              <a:latin typeface="Times New Roman"/>
              <a:cs typeface="Times New Roman"/>
            </a:rPr>
            <a:pPr algn="ctr"/>
            <a:t>Total annual methane production from manure management</a:t>
          </a:fld>
          <a:endParaRPr lang="en-AU" sz="1000" b="1">
            <a:solidFill>
              <a:srgbClr val="0C769E"/>
            </a:solidFill>
          </a:endParaRPr>
        </a:p>
      </xdr:txBody>
    </xdr:sp>
    <xdr:clientData/>
  </xdr:twoCellAnchor>
  <xdr:oneCellAnchor>
    <xdr:from>
      <xdr:col>2</xdr:col>
      <xdr:colOff>224573</xdr:colOff>
      <xdr:row>7</xdr:row>
      <xdr:rowOff>96844</xdr:rowOff>
    </xdr:from>
    <xdr:ext cx="1928078" cy="298800"/>
    <xdr:sp macro="" textlink="">
      <xdr:nvSpPr>
        <xdr:cNvPr id="52" name="TextBox 51">
          <a:extLst>
            <a:ext uri="{FF2B5EF4-FFF2-40B4-BE49-F238E27FC236}">
              <a16:creationId xmlns:a16="http://schemas.microsoft.com/office/drawing/2014/main" id="{C875CD87-FE1D-41B0-946A-B4B8E4614B48}"/>
            </a:ext>
          </a:extLst>
        </xdr:cNvPr>
        <xdr:cNvSpPr txBox="1"/>
      </xdr:nvSpPr>
      <xdr:spPr>
        <a:xfrm>
          <a:off x="2586773" y="1963744"/>
          <a:ext cx="1928078"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D9D96"/>
              </a:solidFill>
            </a:rPr>
            <a:t>3.3.1.1 Enteric methane</a:t>
          </a:r>
        </a:p>
      </xdr:txBody>
    </xdr:sp>
    <xdr:clientData/>
  </xdr:oneCellAnchor>
  <xdr:twoCellAnchor>
    <xdr:from>
      <xdr:col>4</xdr:col>
      <xdr:colOff>257236</xdr:colOff>
      <xdr:row>21</xdr:row>
      <xdr:rowOff>178806</xdr:rowOff>
    </xdr:from>
    <xdr:to>
      <xdr:col>4</xdr:col>
      <xdr:colOff>266761</xdr:colOff>
      <xdr:row>23</xdr:row>
      <xdr:rowOff>39831</xdr:rowOff>
    </xdr:to>
    <xdr:cxnSp macro="">
      <xdr:nvCxnSpPr>
        <xdr:cNvPr id="54" name="Connector: Curved 53">
          <a:extLst>
            <a:ext uri="{FF2B5EF4-FFF2-40B4-BE49-F238E27FC236}">
              <a16:creationId xmlns:a16="http://schemas.microsoft.com/office/drawing/2014/main" id="{900B639B-115C-1DCF-B500-684BF27906A8}"/>
            </a:ext>
          </a:extLst>
        </xdr:cNvPr>
        <xdr:cNvCxnSpPr>
          <a:stCxn id="41" idx="2"/>
          <a:endCxn id="42" idx="0"/>
        </xdr:cNvCxnSpPr>
      </xdr:nvCxnSpPr>
      <xdr:spPr>
        <a:xfrm rot="5400000">
          <a:off x="3369961" y="5686206"/>
          <a:ext cx="356325" cy="9525"/>
        </a:xfrm>
        <a:prstGeom prst="curvedConnector3">
          <a:avLst/>
        </a:prstGeom>
        <a:ln>
          <a:solidFill>
            <a:srgbClr val="0D9D96"/>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403635</xdr:colOff>
      <xdr:row>24</xdr:row>
      <xdr:rowOff>149583</xdr:rowOff>
    </xdr:from>
    <xdr:to>
      <xdr:col>8</xdr:col>
      <xdr:colOff>247710</xdr:colOff>
      <xdr:row>26</xdr:row>
      <xdr:rowOff>148935</xdr:rowOff>
    </xdr:to>
    <xdr:cxnSp macro="">
      <xdr:nvCxnSpPr>
        <xdr:cNvPr id="56" name="Connector: Curved 55">
          <a:extLst>
            <a:ext uri="{FF2B5EF4-FFF2-40B4-BE49-F238E27FC236}">
              <a16:creationId xmlns:a16="http://schemas.microsoft.com/office/drawing/2014/main" id="{1C8DCB3A-3AD5-64F4-B793-763E4DE2AC62}"/>
            </a:ext>
          </a:extLst>
        </xdr:cNvPr>
        <xdr:cNvCxnSpPr>
          <a:stCxn id="42" idx="3"/>
          <a:endCxn id="43" idx="0"/>
        </xdr:cNvCxnSpPr>
      </xdr:nvCxnSpPr>
      <xdr:spPr>
        <a:xfrm>
          <a:off x="4282908" y="6107038"/>
          <a:ext cx="1662484" cy="484261"/>
        </a:xfrm>
        <a:prstGeom prst="curvedConnector2">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220497</xdr:colOff>
      <xdr:row>29</xdr:row>
      <xdr:rowOff>125985</xdr:rowOff>
    </xdr:from>
    <xdr:to>
      <xdr:col>8</xdr:col>
      <xdr:colOff>247711</xdr:colOff>
      <xdr:row>47</xdr:row>
      <xdr:rowOff>218330</xdr:rowOff>
    </xdr:to>
    <xdr:cxnSp macro="">
      <xdr:nvCxnSpPr>
        <xdr:cNvPr id="58" name="Connector: Curved 57">
          <a:extLst>
            <a:ext uri="{FF2B5EF4-FFF2-40B4-BE49-F238E27FC236}">
              <a16:creationId xmlns:a16="http://schemas.microsoft.com/office/drawing/2014/main" id="{61022535-73B7-6FA8-34C1-B96F2865BCA7}"/>
            </a:ext>
          </a:extLst>
        </xdr:cNvPr>
        <xdr:cNvCxnSpPr>
          <a:stCxn id="43" idx="2"/>
          <a:endCxn id="44" idx="0"/>
        </xdr:cNvCxnSpPr>
      </xdr:nvCxnSpPr>
      <xdr:spPr>
        <a:xfrm rot="5400000">
          <a:off x="3703522" y="9510369"/>
          <a:ext cx="4456527" cy="27214"/>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220497</xdr:colOff>
      <xdr:row>50</xdr:row>
      <xdr:rowOff>195380</xdr:rowOff>
    </xdr:from>
    <xdr:to>
      <xdr:col>8</xdr:col>
      <xdr:colOff>239547</xdr:colOff>
      <xdr:row>51</xdr:row>
      <xdr:rowOff>116029</xdr:rowOff>
    </xdr:to>
    <xdr:cxnSp macro="">
      <xdr:nvCxnSpPr>
        <xdr:cNvPr id="60" name="Connector: Curved 59">
          <a:extLst>
            <a:ext uri="{FF2B5EF4-FFF2-40B4-BE49-F238E27FC236}">
              <a16:creationId xmlns:a16="http://schemas.microsoft.com/office/drawing/2014/main" id="{DEBC39A6-15BA-3E5D-DF57-4FEE0FD6B27D}"/>
            </a:ext>
          </a:extLst>
        </xdr:cNvPr>
        <xdr:cNvCxnSpPr>
          <a:stCxn id="44" idx="2"/>
          <a:endCxn id="45" idx="0"/>
        </xdr:cNvCxnSpPr>
      </xdr:nvCxnSpPr>
      <xdr:spPr>
        <a:xfrm rot="16200000" flipH="1">
          <a:off x="5846152" y="12528680"/>
          <a:ext cx="163103" cy="19050"/>
        </a:xfrm>
        <a:prstGeom prst="curvedConnector3">
          <a:avLst>
            <a:gd name="adj1" fmla="val 50000"/>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233196</xdr:colOff>
      <xdr:row>54</xdr:row>
      <xdr:rowOff>99430</xdr:rowOff>
    </xdr:from>
    <xdr:to>
      <xdr:col>8</xdr:col>
      <xdr:colOff>245896</xdr:colOff>
      <xdr:row>55</xdr:row>
      <xdr:rowOff>48902</xdr:rowOff>
    </xdr:to>
    <xdr:cxnSp macro="">
      <xdr:nvCxnSpPr>
        <xdr:cNvPr id="62" name="Connector: Curved 61">
          <a:extLst>
            <a:ext uri="{FF2B5EF4-FFF2-40B4-BE49-F238E27FC236}">
              <a16:creationId xmlns:a16="http://schemas.microsoft.com/office/drawing/2014/main" id="{5A2BA810-5644-6241-791A-DB9FB9D1418E}"/>
            </a:ext>
          </a:extLst>
        </xdr:cNvPr>
        <xdr:cNvCxnSpPr>
          <a:stCxn id="45" idx="2"/>
          <a:endCxn id="46" idx="0"/>
        </xdr:cNvCxnSpPr>
      </xdr:nvCxnSpPr>
      <xdr:spPr>
        <a:xfrm rot="5400000">
          <a:off x="5841265" y="13420134"/>
          <a:ext cx="191926" cy="12700"/>
        </a:xfrm>
        <a:prstGeom prst="curvedConnector3">
          <a:avLst>
            <a:gd name="adj1" fmla="val 50000"/>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220496</xdr:colOff>
      <xdr:row>58</xdr:row>
      <xdr:rowOff>19602</xdr:rowOff>
    </xdr:from>
    <xdr:to>
      <xdr:col>8</xdr:col>
      <xdr:colOff>239546</xdr:colOff>
      <xdr:row>63</xdr:row>
      <xdr:rowOff>137906</xdr:rowOff>
    </xdr:to>
    <xdr:cxnSp macro="">
      <xdr:nvCxnSpPr>
        <xdr:cNvPr id="64" name="Connector: Curved 63">
          <a:extLst>
            <a:ext uri="{FF2B5EF4-FFF2-40B4-BE49-F238E27FC236}">
              <a16:creationId xmlns:a16="http://schemas.microsoft.com/office/drawing/2014/main" id="{66D9845B-9E16-E423-ADE5-2754DBB16C8F}"/>
            </a:ext>
          </a:extLst>
        </xdr:cNvPr>
        <xdr:cNvCxnSpPr>
          <a:stCxn id="46" idx="2"/>
          <a:endCxn id="47" idx="0"/>
        </xdr:cNvCxnSpPr>
      </xdr:nvCxnSpPr>
      <xdr:spPr>
        <a:xfrm rot="5400000">
          <a:off x="5392301" y="14746388"/>
          <a:ext cx="1070804" cy="19050"/>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487723</xdr:colOff>
      <xdr:row>26</xdr:row>
      <xdr:rowOff>81502</xdr:rowOff>
    </xdr:from>
    <xdr:to>
      <xdr:col>14</xdr:col>
      <xdr:colOff>170923</xdr:colOff>
      <xdr:row>29</xdr:row>
      <xdr:rowOff>58553</xdr:rowOff>
    </xdr:to>
    <xdr:sp macro="" textlink="'4.3.1.3-4 Direct N20'!D33">
      <xdr:nvSpPr>
        <xdr:cNvPr id="65" name="TextBox 64">
          <a:hlinkClick xmlns:r="http://schemas.openxmlformats.org/officeDocument/2006/relationships" r:id="rId12"/>
          <a:extLst>
            <a:ext uri="{FF2B5EF4-FFF2-40B4-BE49-F238E27FC236}">
              <a16:creationId xmlns:a16="http://schemas.microsoft.com/office/drawing/2014/main" id="{BE3FB815-FBE9-4F7A-8364-CD052E9659EE}"/>
            </a:ext>
          </a:extLst>
        </xdr:cNvPr>
        <xdr:cNvSpPr txBox="1"/>
      </xdr:nvSpPr>
      <xdr:spPr>
        <a:xfrm>
          <a:off x="8003814" y="6523866"/>
          <a:ext cx="1501609" cy="704414"/>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548F6F5-BAE7-4105-A6FD-6B8198866203}" type="TxLink">
            <a:rPr lang="en-US" sz="1000" b="0" i="0" u="none" strike="noStrike">
              <a:solidFill>
                <a:srgbClr val="002060"/>
              </a:solidFill>
              <a:latin typeface="Times New Roman"/>
              <a:cs typeface="Times New Roman"/>
            </a:rPr>
            <a:pPr algn="ctr"/>
            <a:t>Intake relative to maintenance</a:t>
          </a:fld>
          <a:endParaRPr lang="en-AU" sz="1000">
            <a:solidFill>
              <a:srgbClr val="002060"/>
            </a:solidFill>
          </a:endParaRPr>
        </a:p>
      </xdr:txBody>
    </xdr:sp>
    <xdr:clientData/>
  </xdr:twoCellAnchor>
  <xdr:twoCellAnchor>
    <xdr:from>
      <xdr:col>5</xdr:col>
      <xdr:colOff>403635</xdr:colOff>
      <xdr:row>24</xdr:row>
      <xdr:rowOff>149583</xdr:rowOff>
    </xdr:from>
    <xdr:to>
      <xdr:col>13</xdr:col>
      <xdr:colOff>26255</xdr:colOff>
      <xdr:row>26</xdr:row>
      <xdr:rowOff>81502</xdr:rowOff>
    </xdr:to>
    <xdr:cxnSp macro="">
      <xdr:nvCxnSpPr>
        <xdr:cNvPr id="69" name="Connector: Curved 68">
          <a:extLst>
            <a:ext uri="{FF2B5EF4-FFF2-40B4-BE49-F238E27FC236}">
              <a16:creationId xmlns:a16="http://schemas.microsoft.com/office/drawing/2014/main" id="{90C4E357-7C61-617B-133C-0323E517E2CC}"/>
            </a:ext>
          </a:extLst>
        </xdr:cNvPr>
        <xdr:cNvCxnSpPr>
          <a:stCxn id="42" idx="3"/>
          <a:endCxn id="65" idx="0"/>
        </xdr:cNvCxnSpPr>
      </xdr:nvCxnSpPr>
      <xdr:spPr>
        <a:xfrm>
          <a:off x="4282908" y="6107038"/>
          <a:ext cx="4471711" cy="416828"/>
        </a:xfrm>
        <a:prstGeom prst="curvedConnector2">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479389</xdr:colOff>
      <xdr:row>30</xdr:row>
      <xdr:rowOff>1731</xdr:rowOff>
    </xdr:from>
    <xdr:to>
      <xdr:col>14</xdr:col>
      <xdr:colOff>162589</xdr:colOff>
      <xdr:row>32</xdr:row>
      <xdr:rowOff>221235</xdr:rowOff>
    </xdr:to>
    <xdr:sp macro="" textlink="'4.3.1.3-4 Direct N20'!D69">
      <xdr:nvSpPr>
        <xdr:cNvPr id="71" name="TextBox 70">
          <a:hlinkClick xmlns:r="http://schemas.openxmlformats.org/officeDocument/2006/relationships" r:id="rId13"/>
          <a:extLst>
            <a:ext uri="{FF2B5EF4-FFF2-40B4-BE49-F238E27FC236}">
              <a16:creationId xmlns:a16="http://schemas.microsoft.com/office/drawing/2014/main" id="{7D7EFDD9-03EF-49FF-A864-1C7FA40DCCF2}"/>
            </a:ext>
          </a:extLst>
        </xdr:cNvPr>
        <xdr:cNvSpPr txBox="1"/>
      </xdr:nvSpPr>
      <xdr:spPr>
        <a:xfrm>
          <a:off x="7995480" y="7413913"/>
          <a:ext cx="1501609" cy="704413"/>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7E903EE-14B6-4C9A-AA3D-938C1DDA9BA1}" type="TxLink">
            <a:rPr lang="en-US" sz="1000" b="0" i="0" u="none" strike="noStrike">
              <a:solidFill>
                <a:srgbClr val="002060"/>
              </a:solidFill>
              <a:latin typeface="Times New Roman"/>
              <a:cs typeface="Times New Roman"/>
            </a:rPr>
            <a:pPr algn="ctr"/>
            <a:t>Amount of nitrogen retained by the body</a:t>
          </a:fld>
          <a:endParaRPr lang="en-AU" sz="1000">
            <a:solidFill>
              <a:srgbClr val="002060"/>
            </a:solidFill>
          </a:endParaRPr>
        </a:p>
      </xdr:txBody>
    </xdr:sp>
    <xdr:clientData/>
  </xdr:twoCellAnchor>
  <xdr:twoCellAnchor>
    <xdr:from>
      <xdr:col>13</xdr:col>
      <xdr:colOff>26255</xdr:colOff>
      <xdr:row>12</xdr:row>
      <xdr:rowOff>157159</xdr:rowOff>
    </xdr:from>
    <xdr:to>
      <xdr:col>13</xdr:col>
      <xdr:colOff>29998</xdr:colOff>
      <xdr:row>26</xdr:row>
      <xdr:rowOff>81503</xdr:rowOff>
    </xdr:to>
    <xdr:cxnSp macro="">
      <xdr:nvCxnSpPr>
        <xdr:cNvPr id="73" name="Connector: Curved 72">
          <a:extLst>
            <a:ext uri="{FF2B5EF4-FFF2-40B4-BE49-F238E27FC236}">
              <a16:creationId xmlns:a16="http://schemas.microsoft.com/office/drawing/2014/main" id="{5ADBA7D5-DA21-ACAB-CAB2-F8955A4CF96D}"/>
            </a:ext>
          </a:extLst>
        </xdr:cNvPr>
        <xdr:cNvCxnSpPr>
          <a:stCxn id="13" idx="2"/>
          <a:endCxn id="65" idx="0"/>
        </xdr:cNvCxnSpPr>
      </xdr:nvCxnSpPr>
      <xdr:spPr>
        <a:xfrm rot="5400000">
          <a:off x="7097137" y="4862641"/>
          <a:ext cx="3318708" cy="3743"/>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482961</xdr:colOff>
      <xdr:row>33</xdr:row>
      <xdr:rowOff>164414</xdr:rowOff>
    </xdr:from>
    <xdr:to>
      <xdr:col>14</xdr:col>
      <xdr:colOff>166161</xdr:colOff>
      <xdr:row>36</xdr:row>
      <xdr:rowOff>141463</xdr:rowOff>
    </xdr:to>
    <xdr:sp macro="" textlink="'4.3.1.3-4 Direct N20'!D107">
      <xdr:nvSpPr>
        <xdr:cNvPr id="74" name="TextBox 73">
          <a:hlinkClick xmlns:r="http://schemas.openxmlformats.org/officeDocument/2006/relationships" r:id="rId14"/>
          <a:extLst>
            <a:ext uri="{FF2B5EF4-FFF2-40B4-BE49-F238E27FC236}">
              <a16:creationId xmlns:a16="http://schemas.microsoft.com/office/drawing/2014/main" id="{ED329F61-0057-4B10-AAF5-B29223F0C1C7}"/>
            </a:ext>
          </a:extLst>
        </xdr:cNvPr>
        <xdr:cNvSpPr txBox="1"/>
      </xdr:nvSpPr>
      <xdr:spPr>
        <a:xfrm>
          <a:off x="7999052" y="8303959"/>
          <a:ext cx="1501609" cy="704413"/>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3D8DBE2-ABD6-498E-A8B5-C74C4141311E}" type="TxLink">
            <a:rPr lang="en-US" sz="1000" b="0" i="0" u="none" strike="noStrike">
              <a:solidFill>
                <a:srgbClr val="002060"/>
              </a:solidFill>
              <a:latin typeface="Times New Roman"/>
              <a:cs typeface="Times New Roman"/>
            </a:rPr>
            <a:pPr algn="ctr"/>
            <a:t>Crude protein intake of dairy cattle</a:t>
          </a:fld>
          <a:endParaRPr lang="en-AU" sz="1000">
            <a:solidFill>
              <a:srgbClr val="002060"/>
            </a:solidFill>
          </a:endParaRPr>
        </a:p>
      </xdr:txBody>
    </xdr:sp>
    <xdr:clientData/>
  </xdr:twoCellAnchor>
  <xdr:twoCellAnchor>
    <xdr:from>
      <xdr:col>11</xdr:col>
      <xdr:colOff>498440</xdr:colOff>
      <xdr:row>37</xdr:row>
      <xdr:rowOff>68405</xdr:rowOff>
    </xdr:from>
    <xdr:to>
      <xdr:col>14</xdr:col>
      <xdr:colOff>181640</xdr:colOff>
      <xdr:row>40</xdr:row>
      <xdr:rowOff>45457</xdr:rowOff>
    </xdr:to>
    <xdr:sp macro="" textlink="'4.3.1.3-4 Direct N20'!D130">
      <xdr:nvSpPr>
        <xdr:cNvPr id="75" name="TextBox 74">
          <a:hlinkClick xmlns:r="http://schemas.openxmlformats.org/officeDocument/2006/relationships" r:id="rId15"/>
          <a:extLst>
            <a:ext uri="{FF2B5EF4-FFF2-40B4-BE49-F238E27FC236}">
              <a16:creationId xmlns:a16="http://schemas.microsoft.com/office/drawing/2014/main" id="{EF341A28-8B51-47C3-8F79-E7E1684C4D44}"/>
            </a:ext>
          </a:extLst>
        </xdr:cNvPr>
        <xdr:cNvSpPr txBox="1"/>
      </xdr:nvSpPr>
      <xdr:spPr>
        <a:xfrm>
          <a:off x="8014531" y="9177769"/>
          <a:ext cx="1501609" cy="704415"/>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EF25A30-2812-4765-A458-BA62006E84A8}" type="TxLink">
            <a:rPr lang="en-US" sz="1000" b="0" i="0" u="none" strike="noStrike">
              <a:solidFill>
                <a:srgbClr val="002060"/>
              </a:solidFill>
              <a:latin typeface="Times New Roman"/>
              <a:cs typeface="Times New Roman"/>
            </a:rPr>
            <a:pPr algn="ctr"/>
            <a:t>Nitrogen excreted by dairy cattle greater than one year old</a:t>
          </a:fld>
          <a:endParaRPr lang="en-AU" sz="1000">
            <a:solidFill>
              <a:srgbClr val="002060"/>
            </a:solidFill>
          </a:endParaRPr>
        </a:p>
      </xdr:txBody>
    </xdr:sp>
    <xdr:clientData/>
  </xdr:twoCellAnchor>
  <xdr:twoCellAnchor>
    <xdr:from>
      <xdr:col>10</xdr:col>
      <xdr:colOff>238262</xdr:colOff>
      <xdr:row>41</xdr:row>
      <xdr:rowOff>109509</xdr:rowOff>
    </xdr:from>
    <xdr:to>
      <xdr:col>12</xdr:col>
      <xdr:colOff>534375</xdr:colOff>
      <xdr:row>44</xdr:row>
      <xdr:rowOff>86560</xdr:rowOff>
    </xdr:to>
    <xdr:sp macro="" textlink="'4.3.1.3-4 Direct N20'!D150">
      <xdr:nvSpPr>
        <xdr:cNvPr id="76" name="TextBox 75">
          <a:hlinkClick xmlns:r="http://schemas.openxmlformats.org/officeDocument/2006/relationships" r:id="rId16"/>
          <a:extLst>
            <a:ext uri="{FF2B5EF4-FFF2-40B4-BE49-F238E27FC236}">
              <a16:creationId xmlns:a16="http://schemas.microsoft.com/office/drawing/2014/main" id="{E81D19C4-A204-4EAB-B09F-3181E6CFBBDE}"/>
            </a:ext>
          </a:extLst>
        </xdr:cNvPr>
        <xdr:cNvSpPr txBox="1"/>
      </xdr:nvSpPr>
      <xdr:spPr>
        <a:xfrm>
          <a:off x="7148217" y="10188691"/>
          <a:ext cx="1508385" cy="704414"/>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5D7B348-2C71-4279-BD94-24CE3245FC92}" type="TxLink">
            <a:rPr lang="en-US" sz="1000" b="0" i="0" u="none" strike="noStrike">
              <a:solidFill>
                <a:srgbClr val="002060"/>
              </a:solidFill>
              <a:latin typeface="Times New Roman"/>
              <a:cs typeface="Times New Roman"/>
            </a:rPr>
            <a:pPr algn="ctr"/>
            <a:t>Total annual nitrogen excreted by dairy cattle greater than one year old</a:t>
          </a:fld>
          <a:endParaRPr lang="en-AU" sz="1000">
            <a:solidFill>
              <a:srgbClr val="002060"/>
            </a:solidFill>
          </a:endParaRPr>
        </a:p>
      </xdr:txBody>
    </xdr:sp>
    <xdr:clientData/>
  </xdr:twoCellAnchor>
  <xdr:twoCellAnchor>
    <xdr:from>
      <xdr:col>13</xdr:col>
      <xdr:colOff>63240</xdr:colOff>
      <xdr:row>41</xdr:row>
      <xdr:rowOff>113081</xdr:rowOff>
    </xdr:from>
    <xdr:to>
      <xdr:col>15</xdr:col>
      <xdr:colOff>359354</xdr:colOff>
      <xdr:row>44</xdr:row>
      <xdr:rowOff>90132</xdr:rowOff>
    </xdr:to>
    <xdr:sp macro="" textlink="'4.3.1.3-4 Direct N20'!D180">
      <xdr:nvSpPr>
        <xdr:cNvPr id="77" name="TextBox 76">
          <a:hlinkClick xmlns:r="http://schemas.openxmlformats.org/officeDocument/2006/relationships" r:id="rId17"/>
          <a:extLst>
            <a:ext uri="{FF2B5EF4-FFF2-40B4-BE49-F238E27FC236}">
              <a16:creationId xmlns:a16="http://schemas.microsoft.com/office/drawing/2014/main" id="{AE747D7E-F842-455A-B724-ECC014DD9AFD}"/>
            </a:ext>
          </a:extLst>
        </xdr:cNvPr>
        <xdr:cNvSpPr txBox="1"/>
      </xdr:nvSpPr>
      <xdr:spPr>
        <a:xfrm>
          <a:off x="8791604" y="10192263"/>
          <a:ext cx="1508386" cy="704414"/>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9C9358C-3002-4C87-86E9-93AEF25C673A}" type="TxLink">
            <a:rPr lang="en-US" sz="1000" b="0" i="0" u="none" strike="noStrike">
              <a:solidFill>
                <a:srgbClr val="002060"/>
              </a:solidFill>
              <a:latin typeface="Times New Roman"/>
              <a:cs typeface="Times New Roman"/>
            </a:rPr>
            <a:pPr algn="ctr"/>
            <a:t>Total annual nitrogen excreted by dairy cattle less than one year old</a:t>
          </a:fld>
          <a:endParaRPr lang="en-AU" sz="1000">
            <a:solidFill>
              <a:srgbClr val="002060"/>
            </a:solidFill>
          </a:endParaRPr>
        </a:p>
      </xdr:txBody>
    </xdr:sp>
    <xdr:clientData/>
  </xdr:twoCellAnchor>
  <xdr:twoCellAnchor>
    <xdr:from>
      <xdr:col>11</xdr:col>
      <xdr:colOff>459459</xdr:colOff>
      <xdr:row>47</xdr:row>
      <xdr:rowOff>222074</xdr:rowOff>
    </xdr:from>
    <xdr:to>
      <xdr:col>14</xdr:col>
      <xdr:colOff>136966</xdr:colOff>
      <xdr:row>50</xdr:row>
      <xdr:rowOff>199124</xdr:rowOff>
    </xdr:to>
    <xdr:sp macro="" textlink="'4.3.1.3-4 Direct N20'!D217">
      <xdr:nvSpPr>
        <xdr:cNvPr id="78" name="TextBox 77">
          <a:hlinkClick xmlns:r="http://schemas.openxmlformats.org/officeDocument/2006/relationships" r:id="rId18"/>
          <a:extLst>
            <a:ext uri="{FF2B5EF4-FFF2-40B4-BE49-F238E27FC236}">
              <a16:creationId xmlns:a16="http://schemas.microsoft.com/office/drawing/2014/main" id="{0A04FC63-812A-4B29-93E2-9109058499F4}"/>
            </a:ext>
          </a:extLst>
        </xdr:cNvPr>
        <xdr:cNvSpPr txBox="1"/>
      </xdr:nvSpPr>
      <xdr:spPr>
        <a:xfrm>
          <a:off x="7975550" y="11755983"/>
          <a:ext cx="1495916" cy="704414"/>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C4287E5-F972-4674-A9C7-86E5DE613A85}" type="TxLink">
            <a:rPr lang="en-US" sz="1000" b="0" i="0" u="none" strike="noStrike">
              <a:solidFill>
                <a:srgbClr val="002060"/>
              </a:solidFill>
              <a:latin typeface="Times New Roman"/>
              <a:cs typeface="Times New Roman"/>
            </a:rPr>
            <a:pPr algn="ctr"/>
            <a:t>Total nitrogen in each MMS</a:t>
          </a:fld>
          <a:endParaRPr lang="en-AU" sz="1000">
            <a:solidFill>
              <a:srgbClr val="002060"/>
            </a:solidFill>
          </a:endParaRPr>
        </a:p>
      </xdr:txBody>
    </xdr:sp>
    <xdr:clientData/>
  </xdr:twoCellAnchor>
  <xdr:twoCellAnchor>
    <xdr:from>
      <xdr:col>11</xdr:col>
      <xdr:colOff>457078</xdr:colOff>
      <xdr:row>63</xdr:row>
      <xdr:rowOff>150710</xdr:rowOff>
    </xdr:from>
    <xdr:to>
      <xdr:col>14</xdr:col>
      <xdr:colOff>134585</xdr:colOff>
      <xdr:row>67</xdr:row>
      <xdr:rowOff>98070</xdr:rowOff>
    </xdr:to>
    <xdr:sp macro="" textlink="'4.3.1.3-4 Direct N20'!D254">
      <xdr:nvSpPr>
        <xdr:cNvPr id="79" name="TextBox 78">
          <a:hlinkClick xmlns:r="http://schemas.openxmlformats.org/officeDocument/2006/relationships" r:id="rId19"/>
          <a:extLst>
            <a:ext uri="{FF2B5EF4-FFF2-40B4-BE49-F238E27FC236}">
              <a16:creationId xmlns:a16="http://schemas.microsoft.com/office/drawing/2014/main" id="{C3BC9EB5-F04F-4C6D-A04D-225779E975AE}"/>
            </a:ext>
          </a:extLst>
        </xdr:cNvPr>
        <xdr:cNvSpPr txBox="1"/>
      </xdr:nvSpPr>
      <xdr:spPr>
        <a:xfrm>
          <a:off x="7973169" y="15304119"/>
          <a:ext cx="1495916" cy="709360"/>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3057367-B228-4AD6-9D17-C0D1F71DB32A}" type="TxLink">
            <a:rPr lang="en-US" sz="1000" b="1" i="0" u="none" strike="noStrike">
              <a:solidFill>
                <a:srgbClr val="002060"/>
              </a:solidFill>
              <a:latin typeface="Times New Roman"/>
              <a:cs typeface="Times New Roman"/>
            </a:rPr>
            <a:pPr algn="ctr"/>
            <a:t>Total annual direct nitrous oxide emissions from manure management systems</a:t>
          </a:fld>
          <a:endParaRPr lang="en-AU" sz="1000" b="1">
            <a:solidFill>
              <a:srgbClr val="002060"/>
            </a:solidFill>
          </a:endParaRPr>
        </a:p>
      </xdr:txBody>
    </xdr:sp>
    <xdr:clientData/>
  </xdr:twoCellAnchor>
  <xdr:twoCellAnchor>
    <xdr:from>
      <xdr:col>13</xdr:col>
      <xdr:colOff>17922</xdr:colOff>
      <xdr:row>29</xdr:row>
      <xdr:rowOff>58552</xdr:rowOff>
    </xdr:from>
    <xdr:to>
      <xdr:col>13</xdr:col>
      <xdr:colOff>26256</xdr:colOff>
      <xdr:row>30</xdr:row>
      <xdr:rowOff>1730</xdr:rowOff>
    </xdr:to>
    <xdr:cxnSp macro="">
      <xdr:nvCxnSpPr>
        <xdr:cNvPr id="81" name="Connector: Curved 80">
          <a:extLst>
            <a:ext uri="{FF2B5EF4-FFF2-40B4-BE49-F238E27FC236}">
              <a16:creationId xmlns:a16="http://schemas.microsoft.com/office/drawing/2014/main" id="{269449AD-6D65-DAD3-75BB-00595941A6CA}"/>
            </a:ext>
          </a:extLst>
        </xdr:cNvPr>
        <xdr:cNvCxnSpPr>
          <a:stCxn id="65" idx="2"/>
          <a:endCxn id="71" idx="0"/>
        </xdr:cNvCxnSpPr>
      </xdr:nvCxnSpPr>
      <xdr:spPr>
        <a:xfrm rot="5400000">
          <a:off x="8657636" y="7316929"/>
          <a:ext cx="185633" cy="8334"/>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13</xdr:col>
      <xdr:colOff>17922</xdr:colOff>
      <xdr:row>32</xdr:row>
      <xdr:rowOff>221234</xdr:rowOff>
    </xdr:from>
    <xdr:to>
      <xdr:col>13</xdr:col>
      <xdr:colOff>21494</xdr:colOff>
      <xdr:row>33</xdr:row>
      <xdr:rowOff>164413</xdr:rowOff>
    </xdr:to>
    <xdr:cxnSp macro="">
      <xdr:nvCxnSpPr>
        <xdr:cNvPr id="83" name="Connector: Curved 82">
          <a:extLst>
            <a:ext uri="{FF2B5EF4-FFF2-40B4-BE49-F238E27FC236}">
              <a16:creationId xmlns:a16="http://schemas.microsoft.com/office/drawing/2014/main" id="{1E727A50-8C79-F3D5-9191-A5300FED2CB6}"/>
            </a:ext>
          </a:extLst>
        </xdr:cNvPr>
        <xdr:cNvCxnSpPr>
          <a:stCxn id="71" idx="2"/>
          <a:endCxn id="74" idx="0"/>
        </xdr:cNvCxnSpPr>
      </xdr:nvCxnSpPr>
      <xdr:spPr>
        <a:xfrm rot="16200000" flipH="1">
          <a:off x="8655255" y="8209356"/>
          <a:ext cx="185633" cy="3572"/>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13</xdr:col>
      <xdr:colOff>21493</xdr:colOff>
      <xdr:row>36</xdr:row>
      <xdr:rowOff>141462</xdr:rowOff>
    </xdr:from>
    <xdr:to>
      <xdr:col>13</xdr:col>
      <xdr:colOff>36972</xdr:colOff>
      <xdr:row>37</xdr:row>
      <xdr:rowOff>68404</xdr:rowOff>
    </xdr:to>
    <xdr:cxnSp macro="">
      <xdr:nvCxnSpPr>
        <xdr:cNvPr id="85" name="Connector: Curved 84">
          <a:extLst>
            <a:ext uri="{FF2B5EF4-FFF2-40B4-BE49-F238E27FC236}">
              <a16:creationId xmlns:a16="http://schemas.microsoft.com/office/drawing/2014/main" id="{CD77FCA6-AC3D-5496-EAB1-97FC53A1A144}"/>
            </a:ext>
          </a:extLst>
        </xdr:cNvPr>
        <xdr:cNvCxnSpPr>
          <a:stCxn id="74" idx="2"/>
          <a:endCxn id="75" idx="0"/>
        </xdr:cNvCxnSpPr>
      </xdr:nvCxnSpPr>
      <xdr:spPr>
        <a:xfrm rot="16200000" flipH="1">
          <a:off x="8672898" y="9085330"/>
          <a:ext cx="169397" cy="15479"/>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386320</xdr:colOff>
      <xdr:row>40</xdr:row>
      <xdr:rowOff>45456</xdr:rowOff>
    </xdr:from>
    <xdr:to>
      <xdr:col>13</xdr:col>
      <xdr:colOff>36973</xdr:colOff>
      <xdr:row>41</xdr:row>
      <xdr:rowOff>109508</xdr:rowOff>
    </xdr:to>
    <xdr:cxnSp macro="">
      <xdr:nvCxnSpPr>
        <xdr:cNvPr id="87" name="Connector: Curved 86">
          <a:extLst>
            <a:ext uri="{FF2B5EF4-FFF2-40B4-BE49-F238E27FC236}">
              <a16:creationId xmlns:a16="http://schemas.microsoft.com/office/drawing/2014/main" id="{AFBF84D8-D07E-B1D2-EEB6-1788FE8F5EA0}"/>
            </a:ext>
          </a:extLst>
        </xdr:cNvPr>
        <xdr:cNvCxnSpPr>
          <a:stCxn id="75" idx="2"/>
          <a:endCxn id="76" idx="0"/>
        </xdr:cNvCxnSpPr>
      </xdr:nvCxnSpPr>
      <xdr:spPr>
        <a:xfrm rot="5400000">
          <a:off x="8180620" y="9603974"/>
          <a:ext cx="306507" cy="862926"/>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386319</xdr:colOff>
      <xdr:row>44</xdr:row>
      <xdr:rowOff>86560</xdr:rowOff>
    </xdr:from>
    <xdr:to>
      <xdr:col>12</xdr:col>
      <xdr:colOff>601281</xdr:colOff>
      <xdr:row>47</xdr:row>
      <xdr:rowOff>222074</xdr:rowOff>
    </xdr:to>
    <xdr:cxnSp macro="">
      <xdr:nvCxnSpPr>
        <xdr:cNvPr id="89" name="Connector: Curved 88">
          <a:extLst>
            <a:ext uri="{FF2B5EF4-FFF2-40B4-BE49-F238E27FC236}">
              <a16:creationId xmlns:a16="http://schemas.microsoft.com/office/drawing/2014/main" id="{3C9EB857-15C1-DA45-5042-4B6F5197C3DC}"/>
            </a:ext>
          </a:extLst>
        </xdr:cNvPr>
        <xdr:cNvCxnSpPr>
          <a:stCxn id="76" idx="2"/>
          <a:endCxn id="78" idx="0"/>
        </xdr:cNvCxnSpPr>
      </xdr:nvCxnSpPr>
      <xdr:spPr>
        <a:xfrm rot="16200000" flipH="1">
          <a:off x="7881520" y="10913995"/>
          <a:ext cx="862878" cy="821098"/>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13</xdr:col>
      <xdr:colOff>36972</xdr:colOff>
      <xdr:row>40</xdr:row>
      <xdr:rowOff>45456</xdr:rowOff>
    </xdr:from>
    <xdr:to>
      <xdr:col>14</xdr:col>
      <xdr:colOff>211297</xdr:colOff>
      <xdr:row>41</xdr:row>
      <xdr:rowOff>113080</xdr:rowOff>
    </xdr:to>
    <xdr:cxnSp macro="">
      <xdr:nvCxnSpPr>
        <xdr:cNvPr id="91" name="Connector: Curved 90">
          <a:extLst>
            <a:ext uri="{FF2B5EF4-FFF2-40B4-BE49-F238E27FC236}">
              <a16:creationId xmlns:a16="http://schemas.microsoft.com/office/drawing/2014/main" id="{09599CB2-63B0-FF3C-CDFB-6AAFCCE2B8CF}"/>
            </a:ext>
          </a:extLst>
        </xdr:cNvPr>
        <xdr:cNvCxnSpPr>
          <a:stCxn id="75" idx="2"/>
          <a:endCxn id="77" idx="0"/>
        </xdr:cNvCxnSpPr>
      </xdr:nvCxnSpPr>
      <xdr:spPr>
        <a:xfrm rot="16200000" flipH="1">
          <a:off x="9000527" y="9646992"/>
          <a:ext cx="310079" cy="780461"/>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601281</xdr:colOff>
      <xdr:row>44</xdr:row>
      <xdr:rowOff>90133</xdr:rowOff>
    </xdr:from>
    <xdr:to>
      <xdr:col>14</xdr:col>
      <xdr:colOff>211297</xdr:colOff>
      <xdr:row>47</xdr:row>
      <xdr:rowOff>222075</xdr:rowOff>
    </xdr:to>
    <xdr:cxnSp macro="">
      <xdr:nvCxnSpPr>
        <xdr:cNvPr id="93" name="Connector: Curved 92">
          <a:extLst>
            <a:ext uri="{FF2B5EF4-FFF2-40B4-BE49-F238E27FC236}">
              <a16:creationId xmlns:a16="http://schemas.microsoft.com/office/drawing/2014/main" id="{0F5EDDB3-F613-5D9D-7109-ACFCD05B4037}"/>
            </a:ext>
          </a:extLst>
        </xdr:cNvPr>
        <xdr:cNvCxnSpPr>
          <a:stCxn id="77" idx="2"/>
          <a:endCxn id="78" idx="0"/>
        </xdr:cNvCxnSpPr>
      </xdr:nvCxnSpPr>
      <xdr:spPr>
        <a:xfrm rot="5400000">
          <a:off x="8705000" y="10915186"/>
          <a:ext cx="859306" cy="822289"/>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598900</xdr:colOff>
      <xdr:row>50</xdr:row>
      <xdr:rowOff>199125</xdr:rowOff>
    </xdr:from>
    <xdr:to>
      <xdr:col>12</xdr:col>
      <xdr:colOff>601281</xdr:colOff>
      <xdr:row>63</xdr:row>
      <xdr:rowOff>150711</xdr:rowOff>
    </xdr:to>
    <xdr:cxnSp macro="">
      <xdr:nvCxnSpPr>
        <xdr:cNvPr id="95" name="Connector: Curved 94">
          <a:extLst>
            <a:ext uri="{FF2B5EF4-FFF2-40B4-BE49-F238E27FC236}">
              <a16:creationId xmlns:a16="http://schemas.microsoft.com/office/drawing/2014/main" id="{4A0592A3-E6C8-DCD3-EE51-D171A932D6B0}"/>
            </a:ext>
          </a:extLst>
        </xdr:cNvPr>
        <xdr:cNvCxnSpPr>
          <a:stCxn id="78" idx="2"/>
          <a:endCxn id="79" idx="0"/>
        </xdr:cNvCxnSpPr>
      </xdr:nvCxnSpPr>
      <xdr:spPr>
        <a:xfrm rot="5400000">
          <a:off x="7300457" y="13881068"/>
          <a:ext cx="2843722" cy="2381"/>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136966</xdr:colOff>
      <xdr:row>49</xdr:row>
      <xdr:rowOff>89372</xdr:rowOff>
    </xdr:from>
    <xdr:to>
      <xdr:col>17</xdr:col>
      <xdr:colOff>304489</xdr:colOff>
      <xdr:row>52</xdr:row>
      <xdr:rowOff>53556</xdr:rowOff>
    </xdr:to>
    <xdr:cxnSp macro="">
      <xdr:nvCxnSpPr>
        <xdr:cNvPr id="111" name="Connector: Curved 110">
          <a:extLst>
            <a:ext uri="{FF2B5EF4-FFF2-40B4-BE49-F238E27FC236}">
              <a16:creationId xmlns:a16="http://schemas.microsoft.com/office/drawing/2014/main" id="{8CD3589F-9AFB-C690-9C6F-7AF5DE7E57BB}"/>
            </a:ext>
          </a:extLst>
        </xdr:cNvPr>
        <xdr:cNvCxnSpPr>
          <a:stCxn id="78" idx="3"/>
          <a:endCxn id="17" idx="0"/>
        </xdr:cNvCxnSpPr>
      </xdr:nvCxnSpPr>
      <xdr:spPr>
        <a:xfrm>
          <a:off x="9471466" y="12108190"/>
          <a:ext cx="1985932" cy="691548"/>
        </a:xfrm>
        <a:prstGeom prst="curvedConnector2">
          <a:avLst/>
        </a:prstGeom>
        <a:ln>
          <a:solidFill>
            <a:srgbClr val="7030A0"/>
          </a:solidFill>
          <a:tailEnd type="triangle"/>
        </a:ln>
      </xdr:spPr>
      <xdr:style>
        <a:lnRef idx="2">
          <a:schemeClr val="accent5"/>
        </a:lnRef>
        <a:fillRef idx="0">
          <a:schemeClr val="accent5"/>
        </a:fillRef>
        <a:effectRef idx="1">
          <a:schemeClr val="accent5"/>
        </a:effectRef>
        <a:fontRef idx="minor">
          <a:schemeClr val="tx1"/>
        </a:fontRef>
      </xdr:style>
    </xdr:cxnSp>
    <xdr:clientData/>
  </xdr:twoCellAnchor>
  <xdr:twoCellAnchor>
    <xdr:from>
      <xdr:col>17</xdr:col>
      <xdr:colOff>304489</xdr:colOff>
      <xdr:row>55</xdr:row>
      <xdr:rowOff>30607</xdr:rowOff>
    </xdr:from>
    <xdr:to>
      <xdr:col>17</xdr:col>
      <xdr:colOff>307388</xdr:colOff>
      <xdr:row>63</xdr:row>
      <xdr:rowOff>126960</xdr:rowOff>
    </xdr:to>
    <xdr:cxnSp macro="">
      <xdr:nvCxnSpPr>
        <xdr:cNvPr id="113" name="Connector: Curved 112">
          <a:extLst>
            <a:ext uri="{FF2B5EF4-FFF2-40B4-BE49-F238E27FC236}">
              <a16:creationId xmlns:a16="http://schemas.microsoft.com/office/drawing/2014/main" id="{1C67CB42-96F4-DAA4-196C-8A64548918E8}"/>
            </a:ext>
          </a:extLst>
        </xdr:cNvPr>
        <xdr:cNvCxnSpPr>
          <a:stCxn id="17" idx="2"/>
          <a:endCxn id="107" idx="0"/>
        </xdr:cNvCxnSpPr>
      </xdr:nvCxnSpPr>
      <xdr:spPr>
        <a:xfrm rot="16200000" flipH="1">
          <a:off x="10570739" y="14390811"/>
          <a:ext cx="1776217" cy="2899"/>
        </a:xfrm>
        <a:prstGeom prst="curvedConnector3">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136966</xdr:colOff>
      <xdr:row>49</xdr:row>
      <xdr:rowOff>89372</xdr:rowOff>
    </xdr:from>
    <xdr:to>
      <xdr:col>21</xdr:col>
      <xdr:colOff>292245</xdr:colOff>
      <xdr:row>52</xdr:row>
      <xdr:rowOff>36990</xdr:rowOff>
    </xdr:to>
    <xdr:cxnSp macro="">
      <xdr:nvCxnSpPr>
        <xdr:cNvPr id="117" name="Connector: Curved 116">
          <a:extLst>
            <a:ext uri="{FF2B5EF4-FFF2-40B4-BE49-F238E27FC236}">
              <a16:creationId xmlns:a16="http://schemas.microsoft.com/office/drawing/2014/main" id="{4610B5F2-BA4A-C232-1266-CB5F0FED0277}"/>
            </a:ext>
          </a:extLst>
        </xdr:cNvPr>
        <xdr:cNvCxnSpPr>
          <a:stCxn id="78" idx="3"/>
          <a:endCxn id="21" idx="0"/>
        </xdr:cNvCxnSpPr>
      </xdr:nvCxnSpPr>
      <xdr:spPr>
        <a:xfrm>
          <a:off x="9471466" y="12108190"/>
          <a:ext cx="4398234" cy="674982"/>
        </a:xfrm>
        <a:prstGeom prst="curvedConnector2">
          <a:avLst/>
        </a:prstGeom>
        <a:ln>
          <a:solidFill>
            <a:srgbClr val="C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21</xdr:col>
      <xdr:colOff>292245</xdr:colOff>
      <xdr:row>55</xdr:row>
      <xdr:rowOff>14042</xdr:rowOff>
    </xdr:from>
    <xdr:to>
      <xdr:col>21</xdr:col>
      <xdr:colOff>303841</xdr:colOff>
      <xdr:row>63</xdr:row>
      <xdr:rowOff>115010</xdr:rowOff>
    </xdr:to>
    <xdr:cxnSp macro="">
      <xdr:nvCxnSpPr>
        <xdr:cNvPr id="119" name="Connector: Curved 118">
          <a:extLst>
            <a:ext uri="{FF2B5EF4-FFF2-40B4-BE49-F238E27FC236}">
              <a16:creationId xmlns:a16="http://schemas.microsoft.com/office/drawing/2014/main" id="{F880E262-4162-C2AA-9F7A-BEC2A3ED7D21}"/>
            </a:ext>
          </a:extLst>
        </xdr:cNvPr>
        <xdr:cNvCxnSpPr>
          <a:stCxn id="21" idx="2"/>
          <a:endCxn id="115" idx="0"/>
        </xdr:cNvCxnSpPr>
      </xdr:nvCxnSpPr>
      <xdr:spPr>
        <a:xfrm rot="16200000" flipH="1">
          <a:off x="12985082" y="14372205"/>
          <a:ext cx="1780832" cy="11596"/>
        </a:xfrm>
        <a:prstGeom prst="curvedConnector3">
          <a:avLst/>
        </a:prstGeom>
        <a:ln>
          <a:solidFill>
            <a:srgbClr val="C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26</xdr:col>
      <xdr:colOff>48779</xdr:colOff>
      <xdr:row>72</xdr:row>
      <xdr:rowOff>37409</xdr:rowOff>
    </xdr:from>
    <xdr:to>
      <xdr:col>28</xdr:col>
      <xdr:colOff>341580</xdr:colOff>
      <xdr:row>75</xdr:row>
      <xdr:rowOff>177744</xdr:rowOff>
    </xdr:to>
    <xdr:sp macro="" textlink="'4.3.1.8 Manure applied to soils'!D89">
      <xdr:nvSpPr>
        <xdr:cNvPr id="120" name="TextBox 119">
          <a:hlinkClick xmlns:r="http://schemas.openxmlformats.org/officeDocument/2006/relationships" r:id="rId20"/>
          <a:extLst>
            <a:ext uri="{FF2B5EF4-FFF2-40B4-BE49-F238E27FC236}">
              <a16:creationId xmlns:a16="http://schemas.microsoft.com/office/drawing/2014/main" id="{AF0739EF-5132-4BB9-8A48-332CA37733AD}"/>
            </a:ext>
          </a:extLst>
        </xdr:cNvPr>
        <xdr:cNvSpPr txBox="1"/>
      </xdr:nvSpPr>
      <xdr:spPr>
        <a:xfrm>
          <a:off x="16656915" y="16905318"/>
          <a:ext cx="1505074" cy="711835"/>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6A2476F-D79B-4943-8251-6752031A25D4}" type="TxLink">
            <a:rPr lang="en-US" sz="1000" b="1" i="0" u="none" strike="noStrike">
              <a:solidFill>
                <a:srgbClr val="CC6600"/>
              </a:solidFill>
              <a:latin typeface="Times New Roman"/>
              <a:cs typeface="Times New Roman"/>
            </a:rPr>
            <a:pPr algn="ctr"/>
            <a:t>Mass of nitrogen from manure applied to soils for scope 3 emissions</a:t>
          </a:fld>
          <a:endParaRPr lang="en-AU" sz="1000" b="1">
            <a:solidFill>
              <a:srgbClr val="CC6600"/>
            </a:solidFill>
          </a:endParaRPr>
        </a:p>
      </xdr:txBody>
    </xdr:sp>
    <xdr:clientData/>
  </xdr:twoCellAnchor>
  <xdr:twoCellAnchor>
    <xdr:from>
      <xdr:col>14</xdr:col>
      <xdr:colOff>136966</xdr:colOff>
      <xdr:row>49</xdr:row>
      <xdr:rowOff>89372</xdr:rowOff>
    </xdr:from>
    <xdr:to>
      <xdr:col>24</xdr:col>
      <xdr:colOff>438806</xdr:colOff>
      <xdr:row>72</xdr:row>
      <xdr:rowOff>44035</xdr:rowOff>
    </xdr:to>
    <xdr:cxnSp macro="">
      <xdr:nvCxnSpPr>
        <xdr:cNvPr id="122" name="Connector: Curved 121">
          <a:extLst>
            <a:ext uri="{FF2B5EF4-FFF2-40B4-BE49-F238E27FC236}">
              <a16:creationId xmlns:a16="http://schemas.microsoft.com/office/drawing/2014/main" id="{D16DD1C8-8C84-E3C7-8AB3-CB7BA5947779}"/>
            </a:ext>
          </a:extLst>
        </xdr:cNvPr>
        <xdr:cNvCxnSpPr>
          <a:stCxn id="78" idx="3"/>
          <a:endCxn id="23" idx="0"/>
        </xdr:cNvCxnSpPr>
      </xdr:nvCxnSpPr>
      <xdr:spPr>
        <a:xfrm>
          <a:off x="9471466" y="12108190"/>
          <a:ext cx="6363204" cy="4803754"/>
        </a:xfrm>
        <a:prstGeom prst="curvedConnector2">
          <a:avLst/>
        </a:prstGeom>
        <a:ln>
          <a:solidFill>
            <a:srgbClr val="CC66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136966</xdr:colOff>
      <xdr:row>49</xdr:row>
      <xdr:rowOff>89372</xdr:rowOff>
    </xdr:from>
    <xdr:to>
      <xdr:col>27</xdr:col>
      <xdr:colOff>195179</xdr:colOff>
      <xdr:row>72</xdr:row>
      <xdr:rowOff>37409</xdr:rowOff>
    </xdr:to>
    <xdr:cxnSp macro="">
      <xdr:nvCxnSpPr>
        <xdr:cNvPr id="124" name="Connector: Curved 123">
          <a:extLst>
            <a:ext uri="{FF2B5EF4-FFF2-40B4-BE49-F238E27FC236}">
              <a16:creationId xmlns:a16="http://schemas.microsoft.com/office/drawing/2014/main" id="{AB9103AE-7367-BB76-1C06-299E20CE0DE8}"/>
            </a:ext>
          </a:extLst>
        </xdr:cNvPr>
        <xdr:cNvCxnSpPr>
          <a:stCxn id="78" idx="3"/>
          <a:endCxn id="120" idx="0"/>
        </xdr:cNvCxnSpPr>
      </xdr:nvCxnSpPr>
      <xdr:spPr>
        <a:xfrm>
          <a:off x="9471466" y="12108190"/>
          <a:ext cx="7937986" cy="4797128"/>
        </a:xfrm>
        <a:prstGeom prst="curvedConnector2">
          <a:avLst/>
        </a:prstGeom>
        <a:ln>
          <a:solidFill>
            <a:srgbClr val="CC66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158089</xdr:colOff>
      <xdr:row>52</xdr:row>
      <xdr:rowOff>53556</xdr:rowOff>
    </xdr:from>
    <xdr:to>
      <xdr:col>18</xdr:col>
      <xdr:colOff>450889</xdr:colOff>
      <xdr:row>55</xdr:row>
      <xdr:rowOff>30608</xdr:rowOff>
    </xdr:to>
    <xdr:sp macro="" textlink="'4.3.1.5 Atmos deposition'!D5">
      <xdr:nvSpPr>
        <xdr:cNvPr id="17" name="TextBox 16">
          <a:hlinkClick xmlns:r="http://schemas.openxmlformats.org/officeDocument/2006/relationships" r:id="rId21"/>
          <a:extLst>
            <a:ext uri="{FF2B5EF4-FFF2-40B4-BE49-F238E27FC236}">
              <a16:creationId xmlns:a16="http://schemas.microsoft.com/office/drawing/2014/main" id="{68C548DB-4AE3-450A-9AE3-76F39207811B}"/>
            </a:ext>
          </a:extLst>
        </xdr:cNvPr>
        <xdr:cNvSpPr txBox="1"/>
      </xdr:nvSpPr>
      <xdr:spPr>
        <a:xfrm>
          <a:off x="10704862" y="12799738"/>
          <a:ext cx="1505072" cy="704415"/>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72D26E0-7285-4F7D-8766-85C46C34EA77}" type="TxLink">
            <a:rPr lang="en-US" sz="1000" b="0" i="0" u="none" strike="noStrike">
              <a:solidFill>
                <a:srgbClr val="7030A0"/>
              </a:solidFill>
              <a:latin typeface="Times New Roman"/>
              <a:cs typeface="Times New Roman"/>
            </a:rPr>
            <a:pPr algn="ctr"/>
            <a:t>Total nitrogen volatilised from MMS</a:t>
          </a:fld>
          <a:endParaRPr lang="en-AU" sz="1000">
            <a:solidFill>
              <a:srgbClr val="7030A0"/>
            </a:solidFill>
          </a:endParaRPr>
        </a:p>
      </xdr:txBody>
    </xdr:sp>
    <xdr:clientData/>
  </xdr:twoCellAnchor>
  <xdr:twoCellAnchor>
    <xdr:from>
      <xdr:col>20</xdr:col>
      <xdr:colOff>144485</xdr:colOff>
      <xdr:row>52</xdr:row>
      <xdr:rowOff>36990</xdr:rowOff>
    </xdr:from>
    <xdr:to>
      <xdr:col>22</xdr:col>
      <xdr:colOff>440006</xdr:colOff>
      <xdr:row>55</xdr:row>
      <xdr:rowOff>14042</xdr:rowOff>
    </xdr:to>
    <xdr:sp macro="" textlink="'4.3.1.6-7 Leaching and runoff'!D5">
      <xdr:nvSpPr>
        <xdr:cNvPr id="21" name="TextBox 20">
          <a:hlinkClick xmlns:r="http://schemas.openxmlformats.org/officeDocument/2006/relationships" r:id="rId22"/>
          <a:extLst>
            <a:ext uri="{FF2B5EF4-FFF2-40B4-BE49-F238E27FC236}">
              <a16:creationId xmlns:a16="http://schemas.microsoft.com/office/drawing/2014/main" id="{ADE1B198-9F1F-4820-80B2-2F9A45A5EAF5}"/>
            </a:ext>
          </a:extLst>
        </xdr:cNvPr>
        <xdr:cNvSpPr txBox="1"/>
      </xdr:nvSpPr>
      <xdr:spPr>
        <a:xfrm>
          <a:off x="13115803" y="12783172"/>
          <a:ext cx="1507794" cy="704415"/>
        </a:xfrm>
        <a:prstGeom prst="rect">
          <a:avLst/>
        </a:prstGeom>
        <a:solidFill>
          <a:schemeClr val="lt1"/>
        </a:solidFill>
        <a:ln w="9525" cmpd="sng">
          <a:solidFill>
            <a:srgbClr val="C4434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67840F7-9D56-4C7F-AE66-7D2F8BD2026B}" type="TxLink">
            <a:rPr lang="en-US" sz="1000" b="0" i="0" u="none" strike="noStrike">
              <a:solidFill>
                <a:srgbClr val="C00000"/>
              </a:solidFill>
              <a:latin typeface="Times New Roman"/>
              <a:cs typeface="Times New Roman"/>
            </a:rPr>
            <a:pPr algn="ctr"/>
            <a:t>Mass of nitrogen lost to leaching and runoff from solid storage systems</a:t>
          </a:fld>
          <a:endParaRPr lang="en-AU" sz="1000" b="0">
            <a:solidFill>
              <a:srgbClr val="C00000"/>
            </a:solidFill>
          </a:endParaRPr>
        </a:p>
      </xdr:txBody>
    </xdr:sp>
    <xdr:clientData/>
  </xdr:twoCellAnchor>
  <xdr:twoCellAnchor>
    <xdr:from>
      <xdr:col>16</xdr:col>
      <xdr:colOff>160988</xdr:colOff>
      <xdr:row>63</xdr:row>
      <xdr:rowOff>126961</xdr:rowOff>
    </xdr:from>
    <xdr:to>
      <xdr:col>18</xdr:col>
      <xdr:colOff>453788</xdr:colOff>
      <xdr:row>67</xdr:row>
      <xdr:rowOff>71847</xdr:rowOff>
    </xdr:to>
    <xdr:sp macro="" textlink="'4.3.1.5 Atmos deposition'!D53">
      <xdr:nvSpPr>
        <xdr:cNvPr id="107" name="TextBox 106">
          <a:hlinkClick xmlns:r="http://schemas.openxmlformats.org/officeDocument/2006/relationships" r:id="rId23"/>
          <a:extLst>
            <a:ext uri="{FF2B5EF4-FFF2-40B4-BE49-F238E27FC236}">
              <a16:creationId xmlns:a16="http://schemas.microsoft.com/office/drawing/2014/main" id="{75AB35EF-987C-4659-9DCC-48F50A4077A0}"/>
            </a:ext>
          </a:extLst>
        </xdr:cNvPr>
        <xdr:cNvSpPr txBox="1"/>
      </xdr:nvSpPr>
      <xdr:spPr>
        <a:xfrm>
          <a:off x="10707761" y="15280370"/>
          <a:ext cx="1505072" cy="706886"/>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4A81703-96F8-4EAB-A73D-294E59030947}" type="TxLink">
            <a:rPr lang="en-US" sz="1000" b="1" i="0" u="none" strike="noStrike">
              <a:solidFill>
                <a:srgbClr val="7030A0"/>
              </a:solidFill>
              <a:latin typeface="Times New Roman"/>
              <a:cs typeface="Times New Roman"/>
            </a:rPr>
            <a:pPr algn="ctr"/>
            <a:t>Annual atmospheric deposition emissions from MMS</a:t>
          </a:fld>
          <a:endParaRPr lang="en-AU" sz="1000" b="1">
            <a:solidFill>
              <a:srgbClr val="7030A0"/>
            </a:solidFill>
          </a:endParaRPr>
        </a:p>
      </xdr:txBody>
    </xdr:sp>
    <xdr:clientData/>
  </xdr:twoCellAnchor>
  <xdr:twoCellAnchor>
    <xdr:from>
      <xdr:col>20</xdr:col>
      <xdr:colOff>156081</xdr:colOff>
      <xdr:row>63</xdr:row>
      <xdr:rowOff>115010</xdr:rowOff>
    </xdr:from>
    <xdr:to>
      <xdr:col>22</xdr:col>
      <xdr:colOff>451602</xdr:colOff>
      <xdr:row>67</xdr:row>
      <xdr:rowOff>59896</xdr:rowOff>
    </xdr:to>
    <xdr:sp macro="" textlink="'4.3.1.5 Atmos deposition'!D53">
      <xdr:nvSpPr>
        <xdr:cNvPr id="115" name="TextBox 114">
          <a:hlinkClick xmlns:r="http://schemas.openxmlformats.org/officeDocument/2006/relationships" r:id="rId23"/>
          <a:extLst>
            <a:ext uri="{FF2B5EF4-FFF2-40B4-BE49-F238E27FC236}">
              <a16:creationId xmlns:a16="http://schemas.microsoft.com/office/drawing/2014/main" id="{44EE026D-EBA6-4CD3-89C2-9EFD65454A24}"/>
            </a:ext>
          </a:extLst>
        </xdr:cNvPr>
        <xdr:cNvSpPr txBox="1"/>
      </xdr:nvSpPr>
      <xdr:spPr>
        <a:xfrm>
          <a:off x="13127399" y="15268419"/>
          <a:ext cx="1507794" cy="706886"/>
        </a:xfrm>
        <a:prstGeom prst="rect">
          <a:avLst/>
        </a:prstGeom>
        <a:solidFill>
          <a:schemeClr val="lt1"/>
        </a:solidFill>
        <a:ln w="9525" cmpd="sng">
          <a:solidFill>
            <a:srgbClr val="C4434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5932A5A-4B9C-4952-80C0-031C99452CAA}" type="TxLink">
            <a:rPr lang="en-US" sz="1000" b="1" i="0" u="none" strike="noStrike">
              <a:solidFill>
                <a:srgbClr val="C00000"/>
              </a:solidFill>
              <a:latin typeface="Times New Roman"/>
              <a:cs typeface="Times New Roman"/>
            </a:rPr>
            <a:pPr algn="ctr"/>
            <a:t>Annual atmospheric deposition emissions from MMS</a:t>
          </a:fld>
          <a:endParaRPr lang="en-AU" sz="1000" b="1">
            <a:solidFill>
              <a:srgbClr val="C00000"/>
            </a:solidFill>
          </a:endParaRPr>
        </a:p>
      </xdr:txBody>
    </xdr:sp>
    <xdr:clientData/>
  </xdr:twoCellAnchor>
  <xdr:twoCellAnchor>
    <xdr:from>
      <xdr:col>14</xdr:col>
      <xdr:colOff>136966</xdr:colOff>
      <xdr:row>49</xdr:row>
      <xdr:rowOff>89372</xdr:rowOff>
    </xdr:from>
    <xdr:to>
      <xdr:col>30</xdr:col>
      <xdr:colOff>241650</xdr:colOff>
      <xdr:row>52</xdr:row>
      <xdr:rowOff>31667</xdr:rowOff>
    </xdr:to>
    <xdr:cxnSp macro="">
      <xdr:nvCxnSpPr>
        <xdr:cNvPr id="129" name="Connector: Curved 128">
          <a:extLst>
            <a:ext uri="{FF2B5EF4-FFF2-40B4-BE49-F238E27FC236}">
              <a16:creationId xmlns:a16="http://schemas.microsoft.com/office/drawing/2014/main" id="{5F37BF19-90E1-DBD6-6E23-A13BC59FED3A}"/>
            </a:ext>
          </a:extLst>
        </xdr:cNvPr>
        <xdr:cNvCxnSpPr>
          <a:stCxn id="78" idx="3"/>
          <a:endCxn id="32" idx="0"/>
        </xdr:cNvCxnSpPr>
      </xdr:nvCxnSpPr>
      <xdr:spPr>
        <a:xfrm>
          <a:off x="9471466" y="12108190"/>
          <a:ext cx="9802866" cy="669659"/>
        </a:xfrm>
        <a:prstGeom prst="curvedConnector2">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32</xdr:col>
      <xdr:colOff>164645</xdr:colOff>
      <xdr:row>52</xdr:row>
      <xdr:rowOff>47996</xdr:rowOff>
    </xdr:from>
    <xdr:to>
      <xdr:col>34</xdr:col>
      <xdr:colOff>460168</xdr:colOff>
      <xdr:row>55</xdr:row>
      <xdr:rowOff>31173</xdr:rowOff>
    </xdr:to>
    <xdr:sp macro="" textlink="'4.3.1.10-11 Soil Atmos Dep'!D5">
      <xdr:nvSpPr>
        <xdr:cNvPr id="130" name="TextBox 129">
          <a:hlinkClick xmlns:r="http://schemas.openxmlformats.org/officeDocument/2006/relationships" r:id="rId24"/>
          <a:extLst>
            <a:ext uri="{FF2B5EF4-FFF2-40B4-BE49-F238E27FC236}">
              <a16:creationId xmlns:a16="http://schemas.microsoft.com/office/drawing/2014/main" id="{44B66A09-F9C9-4EF3-BB0C-2D541F5B6CC8}"/>
            </a:ext>
          </a:extLst>
        </xdr:cNvPr>
        <xdr:cNvSpPr txBox="1"/>
      </xdr:nvSpPr>
      <xdr:spPr>
        <a:xfrm>
          <a:off x="20409600" y="12794178"/>
          <a:ext cx="1507795" cy="710540"/>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850D902-5385-4FBC-835E-4ECD29601E2C}" type="TxLink">
            <a:rPr lang="en-US" sz="1000" b="0" i="0" u="none" strike="noStrike">
              <a:solidFill>
                <a:schemeClr val="accent6">
                  <a:lumMod val="50000"/>
                </a:schemeClr>
              </a:solidFill>
              <a:latin typeface="Times New Roman"/>
              <a:cs typeface="Times New Roman"/>
            </a:rPr>
            <a:pPr algn="ctr"/>
            <a:t>Mass of nitrogen volatilised from urine and faeces deposited on pasture</a:t>
          </a:fld>
          <a:endParaRPr lang="en-AU" sz="1000" b="0">
            <a:solidFill>
              <a:schemeClr val="accent6">
                <a:lumMod val="50000"/>
              </a:schemeClr>
            </a:solidFill>
          </a:endParaRPr>
        </a:p>
      </xdr:txBody>
    </xdr:sp>
    <xdr:clientData/>
  </xdr:twoCellAnchor>
  <xdr:twoCellAnchor>
    <xdr:from>
      <xdr:col>32</xdr:col>
      <xdr:colOff>167366</xdr:colOff>
      <xdr:row>56</xdr:row>
      <xdr:rowOff>143493</xdr:rowOff>
    </xdr:from>
    <xdr:to>
      <xdr:col>34</xdr:col>
      <xdr:colOff>462889</xdr:colOff>
      <xdr:row>59</xdr:row>
      <xdr:rowOff>178625</xdr:rowOff>
    </xdr:to>
    <xdr:sp macro="" textlink="'4.3.1.10-11 Soil Atmos Dep'!D30">
      <xdr:nvSpPr>
        <xdr:cNvPr id="131" name="TextBox 130">
          <a:hlinkClick xmlns:r="http://schemas.openxmlformats.org/officeDocument/2006/relationships" r:id="rId25"/>
          <a:extLst>
            <a:ext uri="{FF2B5EF4-FFF2-40B4-BE49-F238E27FC236}">
              <a16:creationId xmlns:a16="http://schemas.microsoft.com/office/drawing/2014/main" id="{C11A3B18-67DA-434D-BF87-46D534AAC1C3}"/>
            </a:ext>
          </a:extLst>
        </xdr:cNvPr>
        <xdr:cNvSpPr txBox="1"/>
      </xdr:nvSpPr>
      <xdr:spPr>
        <a:xfrm>
          <a:off x="20412321" y="13859493"/>
          <a:ext cx="1507795" cy="710541"/>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C54E621-A07E-4777-91A3-B2F47EE59156}" type="TxLink">
            <a:rPr lang="en-US" sz="1000" b="1" i="0" u="none" strike="noStrike">
              <a:solidFill>
                <a:schemeClr val="accent6">
                  <a:lumMod val="50000"/>
                </a:schemeClr>
              </a:solidFill>
              <a:latin typeface="Times New Roman"/>
              <a:cs typeface="Times New Roman"/>
            </a:rPr>
            <a:pPr algn="ctr"/>
            <a:t>Atmospheric deposition emissions from urine and dung deposited on pasture</a:t>
          </a:fld>
          <a:endParaRPr lang="en-AU" sz="1000" b="1">
            <a:solidFill>
              <a:schemeClr val="accent6">
                <a:lumMod val="50000"/>
              </a:schemeClr>
            </a:solidFill>
          </a:endParaRPr>
        </a:p>
      </xdr:txBody>
    </xdr:sp>
    <xdr:clientData/>
  </xdr:twoCellAnchor>
  <xdr:twoCellAnchor>
    <xdr:from>
      <xdr:col>36</xdr:col>
      <xdr:colOff>6802</xdr:colOff>
      <xdr:row>52</xdr:row>
      <xdr:rowOff>39832</xdr:rowOff>
    </xdr:from>
    <xdr:to>
      <xdr:col>38</xdr:col>
      <xdr:colOff>302324</xdr:colOff>
      <xdr:row>55</xdr:row>
      <xdr:rowOff>23009</xdr:rowOff>
    </xdr:to>
    <xdr:sp macro="" textlink="'4.3.1.12-13 Soil leach runoff'!D5">
      <xdr:nvSpPr>
        <xdr:cNvPr id="132" name="TextBox 131">
          <a:hlinkClick xmlns:r="http://schemas.openxmlformats.org/officeDocument/2006/relationships" r:id="rId26"/>
          <a:extLst>
            <a:ext uri="{FF2B5EF4-FFF2-40B4-BE49-F238E27FC236}">
              <a16:creationId xmlns:a16="http://schemas.microsoft.com/office/drawing/2014/main" id="{D5FAD217-5D22-42A6-832F-EADF4D6CEC65}"/>
            </a:ext>
          </a:extLst>
        </xdr:cNvPr>
        <xdr:cNvSpPr txBox="1"/>
      </xdr:nvSpPr>
      <xdr:spPr>
        <a:xfrm>
          <a:off x="22676302" y="12786014"/>
          <a:ext cx="1507795" cy="710540"/>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142AFC9-F71C-49CD-88C3-99E89341784D}" type="TxLink">
            <a:rPr lang="en-US" sz="1000" b="0" i="0" u="none" strike="noStrike">
              <a:solidFill>
                <a:schemeClr val="accent6">
                  <a:lumMod val="50000"/>
                </a:schemeClr>
              </a:solidFill>
              <a:latin typeface="Times New Roman"/>
              <a:cs typeface="Times New Roman"/>
            </a:rPr>
            <a:pPr algn="ctr"/>
            <a:t>Mass of nitrogen lost to leaching and runoff from urine and faeces on pasture</a:t>
          </a:fld>
          <a:endParaRPr lang="en-AU" sz="1000" b="0">
            <a:solidFill>
              <a:schemeClr val="accent6">
                <a:lumMod val="50000"/>
              </a:schemeClr>
            </a:solidFill>
          </a:endParaRPr>
        </a:p>
      </xdr:txBody>
    </xdr:sp>
    <xdr:clientData/>
  </xdr:twoCellAnchor>
  <xdr:twoCellAnchor>
    <xdr:from>
      <xdr:col>36</xdr:col>
      <xdr:colOff>4082</xdr:colOff>
      <xdr:row>56</xdr:row>
      <xdr:rowOff>143493</xdr:rowOff>
    </xdr:from>
    <xdr:to>
      <xdr:col>38</xdr:col>
      <xdr:colOff>299604</xdr:colOff>
      <xdr:row>59</xdr:row>
      <xdr:rowOff>178625</xdr:rowOff>
    </xdr:to>
    <xdr:sp macro="" textlink="'4.3.1.12-13 Soil leach runoff'!D35">
      <xdr:nvSpPr>
        <xdr:cNvPr id="133" name="TextBox 132">
          <a:hlinkClick xmlns:r="http://schemas.openxmlformats.org/officeDocument/2006/relationships" r:id="rId27"/>
          <a:extLst>
            <a:ext uri="{FF2B5EF4-FFF2-40B4-BE49-F238E27FC236}">
              <a16:creationId xmlns:a16="http://schemas.microsoft.com/office/drawing/2014/main" id="{3C13A335-1F96-4FF2-9226-69D75ABB98C7}"/>
            </a:ext>
          </a:extLst>
        </xdr:cNvPr>
        <xdr:cNvSpPr txBox="1"/>
      </xdr:nvSpPr>
      <xdr:spPr>
        <a:xfrm>
          <a:off x="22673582" y="13859493"/>
          <a:ext cx="1507795" cy="710541"/>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D737E15-2502-44D4-B826-A5C1A57AF917}" type="TxLink">
            <a:rPr lang="en-US" sz="1000" b="1" i="0" u="none" strike="noStrike">
              <a:solidFill>
                <a:schemeClr val="accent6">
                  <a:lumMod val="50000"/>
                </a:schemeClr>
              </a:solidFill>
              <a:latin typeface="Times New Roman"/>
              <a:cs typeface="Times New Roman"/>
            </a:rPr>
            <a:pPr algn="ctr"/>
            <a:t>Leaching and runoff emissions from urine and dung deposited on pasture</a:t>
          </a:fld>
          <a:endParaRPr lang="en-AU" sz="1000" b="1">
            <a:solidFill>
              <a:schemeClr val="accent6">
                <a:lumMod val="50000"/>
              </a:schemeClr>
            </a:solidFill>
          </a:endParaRPr>
        </a:p>
      </xdr:txBody>
    </xdr:sp>
    <xdr:clientData/>
  </xdr:twoCellAnchor>
  <xdr:twoCellAnchor>
    <xdr:from>
      <xdr:col>14</xdr:col>
      <xdr:colOff>136966</xdr:colOff>
      <xdr:row>49</xdr:row>
      <xdr:rowOff>89372</xdr:rowOff>
    </xdr:from>
    <xdr:to>
      <xdr:col>33</xdr:col>
      <xdr:colOff>312407</xdr:colOff>
      <xdr:row>52</xdr:row>
      <xdr:rowOff>47996</xdr:rowOff>
    </xdr:to>
    <xdr:cxnSp macro="">
      <xdr:nvCxnSpPr>
        <xdr:cNvPr id="135" name="Connector: Curved 134">
          <a:extLst>
            <a:ext uri="{FF2B5EF4-FFF2-40B4-BE49-F238E27FC236}">
              <a16:creationId xmlns:a16="http://schemas.microsoft.com/office/drawing/2014/main" id="{B2B05C77-061C-DBBD-AD4C-857262EA55EB}"/>
            </a:ext>
          </a:extLst>
        </xdr:cNvPr>
        <xdr:cNvCxnSpPr>
          <a:stCxn id="78" idx="3"/>
          <a:endCxn id="130" idx="0"/>
        </xdr:cNvCxnSpPr>
      </xdr:nvCxnSpPr>
      <xdr:spPr>
        <a:xfrm>
          <a:off x="9471466" y="12108190"/>
          <a:ext cx="11692032" cy="685988"/>
        </a:xfrm>
        <a:prstGeom prst="curvedConnector2">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136966</xdr:colOff>
      <xdr:row>49</xdr:row>
      <xdr:rowOff>89372</xdr:rowOff>
    </xdr:from>
    <xdr:to>
      <xdr:col>37</xdr:col>
      <xdr:colOff>154564</xdr:colOff>
      <xdr:row>52</xdr:row>
      <xdr:rowOff>39832</xdr:rowOff>
    </xdr:to>
    <xdr:cxnSp macro="">
      <xdr:nvCxnSpPr>
        <xdr:cNvPr id="137" name="Connector: Curved 136">
          <a:extLst>
            <a:ext uri="{FF2B5EF4-FFF2-40B4-BE49-F238E27FC236}">
              <a16:creationId xmlns:a16="http://schemas.microsoft.com/office/drawing/2014/main" id="{6586B6B4-0A15-144D-16BE-39BC6D205D1B}"/>
            </a:ext>
          </a:extLst>
        </xdr:cNvPr>
        <xdr:cNvCxnSpPr>
          <a:stCxn id="78" idx="3"/>
          <a:endCxn id="132" idx="0"/>
        </xdr:cNvCxnSpPr>
      </xdr:nvCxnSpPr>
      <xdr:spPr>
        <a:xfrm>
          <a:off x="9471466" y="12108190"/>
          <a:ext cx="13958734" cy="677824"/>
        </a:xfrm>
        <a:prstGeom prst="curvedConnector2">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33</xdr:col>
      <xdr:colOff>312407</xdr:colOff>
      <xdr:row>55</xdr:row>
      <xdr:rowOff>31172</xdr:rowOff>
    </xdr:from>
    <xdr:to>
      <xdr:col>33</xdr:col>
      <xdr:colOff>315128</xdr:colOff>
      <xdr:row>56</xdr:row>
      <xdr:rowOff>143492</xdr:rowOff>
    </xdr:to>
    <xdr:cxnSp macro="">
      <xdr:nvCxnSpPr>
        <xdr:cNvPr id="150" name="Connector: Curved 149">
          <a:extLst>
            <a:ext uri="{FF2B5EF4-FFF2-40B4-BE49-F238E27FC236}">
              <a16:creationId xmlns:a16="http://schemas.microsoft.com/office/drawing/2014/main" id="{36AE65F0-C291-B81A-22D7-D7425B7986CF}"/>
            </a:ext>
          </a:extLst>
        </xdr:cNvPr>
        <xdr:cNvCxnSpPr>
          <a:stCxn id="130" idx="2"/>
          <a:endCxn id="131" idx="0"/>
        </xdr:cNvCxnSpPr>
      </xdr:nvCxnSpPr>
      <xdr:spPr>
        <a:xfrm rot="16200000" flipH="1">
          <a:off x="20987471" y="13680744"/>
          <a:ext cx="354775" cy="2721"/>
        </a:xfrm>
        <a:prstGeom prst="curvedConnector3">
          <a:avLst>
            <a:gd name="adj1" fmla="val 50000"/>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37</xdr:col>
      <xdr:colOff>151845</xdr:colOff>
      <xdr:row>55</xdr:row>
      <xdr:rowOff>23008</xdr:rowOff>
    </xdr:from>
    <xdr:to>
      <xdr:col>37</xdr:col>
      <xdr:colOff>154565</xdr:colOff>
      <xdr:row>56</xdr:row>
      <xdr:rowOff>143492</xdr:rowOff>
    </xdr:to>
    <xdr:cxnSp macro="">
      <xdr:nvCxnSpPr>
        <xdr:cNvPr id="152" name="Connector: Curved 151">
          <a:extLst>
            <a:ext uri="{FF2B5EF4-FFF2-40B4-BE49-F238E27FC236}">
              <a16:creationId xmlns:a16="http://schemas.microsoft.com/office/drawing/2014/main" id="{676866DA-B673-DBF2-88B5-DBF16E0247F0}"/>
            </a:ext>
          </a:extLst>
        </xdr:cNvPr>
        <xdr:cNvCxnSpPr>
          <a:stCxn id="132" idx="2"/>
          <a:endCxn id="133" idx="0"/>
        </xdr:cNvCxnSpPr>
      </xdr:nvCxnSpPr>
      <xdr:spPr>
        <a:xfrm rot="5400000">
          <a:off x="23247371" y="13676663"/>
          <a:ext cx="362939" cy="2720"/>
        </a:xfrm>
        <a:prstGeom prst="curvedConnector3">
          <a:avLst>
            <a:gd name="adj1" fmla="val 50000"/>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42</xdr:col>
      <xdr:colOff>517071</xdr:colOff>
      <xdr:row>49</xdr:row>
      <xdr:rowOff>80404</xdr:rowOff>
    </xdr:from>
    <xdr:to>
      <xdr:col>45</xdr:col>
      <xdr:colOff>341701</xdr:colOff>
      <xdr:row>52</xdr:row>
      <xdr:rowOff>227610</xdr:rowOff>
    </xdr:to>
    <xdr:sp macro="" textlink="">
      <xdr:nvSpPr>
        <xdr:cNvPr id="162" name="Rectangle 161">
          <a:extLst>
            <a:ext uri="{FF2B5EF4-FFF2-40B4-BE49-F238E27FC236}">
              <a16:creationId xmlns:a16="http://schemas.microsoft.com/office/drawing/2014/main" id="{D5CF8D1D-D154-45F7-818B-B91705E6D8DC}"/>
            </a:ext>
          </a:extLst>
        </xdr:cNvPr>
        <xdr:cNvSpPr/>
      </xdr:nvSpPr>
      <xdr:spPr>
        <a:xfrm>
          <a:off x="26823389" y="12099222"/>
          <a:ext cx="1643039" cy="87457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Manure deposited on pasture range and paddock</a:t>
          </a:r>
        </a:p>
      </xdr:txBody>
    </xdr:sp>
    <xdr:clientData/>
  </xdr:twoCellAnchor>
  <xdr:twoCellAnchor>
    <xdr:from>
      <xdr:col>42</xdr:col>
      <xdr:colOff>506185</xdr:colOff>
      <xdr:row>25</xdr:row>
      <xdr:rowOff>205590</xdr:rowOff>
    </xdr:from>
    <xdr:to>
      <xdr:col>45</xdr:col>
      <xdr:colOff>330815</xdr:colOff>
      <xdr:row>29</xdr:row>
      <xdr:rowOff>112815</xdr:rowOff>
    </xdr:to>
    <xdr:sp macro="" textlink="">
      <xdr:nvSpPr>
        <xdr:cNvPr id="164" name="Rectangle 163">
          <a:extLst>
            <a:ext uri="{FF2B5EF4-FFF2-40B4-BE49-F238E27FC236}">
              <a16:creationId xmlns:a16="http://schemas.microsoft.com/office/drawing/2014/main" id="{F3C6CB1D-4C84-464D-B2BF-DC8AF4FE5DFE}"/>
            </a:ext>
          </a:extLst>
        </xdr:cNvPr>
        <xdr:cNvSpPr/>
      </xdr:nvSpPr>
      <xdr:spPr>
        <a:xfrm>
          <a:off x="26812503" y="6405499"/>
          <a:ext cx="1643039" cy="877043"/>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Cattle on pasture, range and paddock</a:t>
          </a:r>
        </a:p>
      </xdr:txBody>
    </xdr:sp>
    <xdr:clientData/>
  </xdr:twoCellAnchor>
  <xdr:twoCellAnchor>
    <xdr:from>
      <xdr:col>51</xdr:col>
      <xdr:colOff>454479</xdr:colOff>
      <xdr:row>25</xdr:row>
      <xdr:rowOff>194705</xdr:rowOff>
    </xdr:from>
    <xdr:to>
      <xdr:col>54</xdr:col>
      <xdr:colOff>279109</xdr:colOff>
      <xdr:row>29</xdr:row>
      <xdr:rowOff>101930</xdr:rowOff>
    </xdr:to>
    <xdr:sp macro="" textlink="">
      <xdr:nvSpPr>
        <xdr:cNvPr id="166" name="Rectangle 165">
          <a:extLst>
            <a:ext uri="{FF2B5EF4-FFF2-40B4-BE49-F238E27FC236}">
              <a16:creationId xmlns:a16="http://schemas.microsoft.com/office/drawing/2014/main" id="{5618E090-501A-4B00-8965-422A095F6833}"/>
            </a:ext>
          </a:extLst>
        </xdr:cNvPr>
        <xdr:cNvSpPr/>
      </xdr:nvSpPr>
      <xdr:spPr>
        <a:xfrm>
          <a:off x="32216024" y="6394614"/>
          <a:ext cx="1643040" cy="877043"/>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Cattle in milking shed or feed pad</a:t>
          </a:r>
        </a:p>
      </xdr:txBody>
    </xdr:sp>
    <xdr:clientData/>
  </xdr:twoCellAnchor>
  <xdr:twoCellAnchor>
    <xdr:from>
      <xdr:col>48</xdr:col>
      <xdr:colOff>443594</xdr:colOff>
      <xdr:row>49</xdr:row>
      <xdr:rowOff>47748</xdr:rowOff>
    </xdr:from>
    <xdr:to>
      <xdr:col>51</xdr:col>
      <xdr:colOff>268223</xdr:colOff>
      <xdr:row>52</xdr:row>
      <xdr:rowOff>194954</xdr:rowOff>
    </xdr:to>
    <xdr:sp macro="" textlink="">
      <xdr:nvSpPr>
        <xdr:cNvPr id="167" name="Rectangle 166">
          <a:extLst>
            <a:ext uri="{FF2B5EF4-FFF2-40B4-BE49-F238E27FC236}">
              <a16:creationId xmlns:a16="http://schemas.microsoft.com/office/drawing/2014/main" id="{C628196E-E770-4DF9-8942-3CE7510D0535}"/>
            </a:ext>
          </a:extLst>
        </xdr:cNvPr>
        <xdr:cNvSpPr/>
      </xdr:nvSpPr>
      <xdr:spPr>
        <a:xfrm>
          <a:off x="30386730" y="12066566"/>
          <a:ext cx="1643038" cy="87457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Manure sent to MMS other than solid storage</a:t>
          </a:r>
        </a:p>
      </xdr:txBody>
    </xdr:sp>
    <xdr:clientData/>
  </xdr:twoCellAnchor>
  <xdr:twoCellAnchor>
    <xdr:from>
      <xdr:col>52</xdr:col>
      <xdr:colOff>204108</xdr:colOff>
      <xdr:row>55</xdr:row>
      <xdr:rowOff>216478</xdr:rowOff>
    </xdr:from>
    <xdr:to>
      <xdr:col>55</xdr:col>
      <xdr:colOff>28735</xdr:colOff>
      <xdr:row>58</xdr:row>
      <xdr:rowOff>148441</xdr:rowOff>
    </xdr:to>
    <xdr:sp macro="" textlink="">
      <xdr:nvSpPr>
        <xdr:cNvPr id="168" name="Rectangle 167">
          <a:extLst>
            <a:ext uri="{FF2B5EF4-FFF2-40B4-BE49-F238E27FC236}">
              <a16:creationId xmlns:a16="http://schemas.microsoft.com/office/drawing/2014/main" id="{FDFC5965-793F-482A-B053-A4CED5383D93}"/>
            </a:ext>
          </a:extLst>
        </xdr:cNvPr>
        <xdr:cNvSpPr/>
      </xdr:nvSpPr>
      <xdr:spPr>
        <a:xfrm>
          <a:off x="32571790" y="13690023"/>
          <a:ext cx="1643036" cy="659327"/>
        </a:xfrm>
        <a:prstGeom prst="rect">
          <a:avLst/>
        </a:prstGeom>
        <a:solidFill>
          <a:schemeClr val="bg1"/>
        </a:solidFill>
        <a:ln>
          <a:solidFill>
            <a:srgbClr val="008000"/>
          </a:solidFill>
        </a:ln>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i="1">
              <a:solidFill>
                <a:srgbClr val="008000"/>
              </a:solidFill>
            </a:rPr>
            <a:t>Solids separated</a:t>
          </a:r>
        </a:p>
      </xdr:txBody>
    </xdr:sp>
    <xdr:clientData/>
  </xdr:twoCellAnchor>
  <xdr:twoCellAnchor>
    <xdr:from>
      <xdr:col>55</xdr:col>
      <xdr:colOff>190501</xdr:colOff>
      <xdr:row>49</xdr:row>
      <xdr:rowOff>107620</xdr:rowOff>
    </xdr:from>
    <xdr:to>
      <xdr:col>58</xdr:col>
      <xdr:colOff>19611</xdr:colOff>
      <xdr:row>52</xdr:row>
      <xdr:rowOff>227611</xdr:rowOff>
    </xdr:to>
    <xdr:sp macro="" textlink="">
      <xdr:nvSpPr>
        <xdr:cNvPr id="169" name="Rectangle 168">
          <a:extLst>
            <a:ext uri="{FF2B5EF4-FFF2-40B4-BE49-F238E27FC236}">
              <a16:creationId xmlns:a16="http://schemas.microsoft.com/office/drawing/2014/main" id="{BF5584D8-512F-4D4F-9E7C-5AF2A07186D6}"/>
            </a:ext>
          </a:extLst>
        </xdr:cNvPr>
        <xdr:cNvSpPr/>
      </xdr:nvSpPr>
      <xdr:spPr>
        <a:xfrm>
          <a:off x="34376592" y="12126438"/>
          <a:ext cx="1647519" cy="847355"/>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Manure sent to Solid storage</a:t>
          </a:r>
        </a:p>
      </xdr:txBody>
    </xdr:sp>
    <xdr:clientData/>
  </xdr:twoCellAnchor>
  <xdr:twoCellAnchor>
    <xdr:from>
      <xdr:col>55</xdr:col>
      <xdr:colOff>176894</xdr:colOff>
      <xdr:row>61</xdr:row>
      <xdr:rowOff>12618</xdr:rowOff>
    </xdr:from>
    <xdr:to>
      <xdr:col>58</xdr:col>
      <xdr:colOff>6004</xdr:colOff>
      <xdr:row>65</xdr:row>
      <xdr:rowOff>108856</xdr:rowOff>
    </xdr:to>
    <xdr:sp macro="" textlink="">
      <xdr:nvSpPr>
        <xdr:cNvPr id="170" name="Rectangle 169">
          <a:extLst>
            <a:ext uri="{FF2B5EF4-FFF2-40B4-BE49-F238E27FC236}">
              <a16:creationId xmlns:a16="http://schemas.microsoft.com/office/drawing/2014/main" id="{C72EDE28-0617-46C7-81EC-9A84A4C42015}"/>
            </a:ext>
          </a:extLst>
        </xdr:cNvPr>
        <xdr:cNvSpPr/>
      </xdr:nvSpPr>
      <xdr:spPr>
        <a:xfrm>
          <a:off x="34362985" y="14785027"/>
          <a:ext cx="1647519" cy="858238"/>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Post-separation solid storage</a:t>
          </a:r>
        </a:p>
      </xdr:txBody>
    </xdr:sp>
    <xdr:clientData/>
  </xdr:twoCellAnchor>
  <xdr:twoCellAnchor>
    <xdr:from>
      <xdr:col>48</xdr:col>
      <xdr:colOff>446315</xdr:colOff>
      <xdr:row>61</xdr:row>
      <xdr:rowOff>7175</xdr:rowOff>
    </xdr:from>
    <xdr:to>
      <xdr:col>51</xdr:col>
      <xdr:colOff>270944</xdr:colOff>
      <xdr:row>65</xdr:row>
      <xdr:rowOff>119743</xdr:rowOff>
    </xdr:to>
    <xdr:sp macro="" textlink="">
      <xdr:nvSpPr>
        <xdr:cNvPr id="171" name="Rectangle 170">
          <a:extLst>
            <a:ext uri="{FF2B5EF4-FFF2-40B4-BE49-F238E27FC236}">
              <a16:creationId xmlns:a16="http://schemas.microsoft.com/office/drawing/2014/main" id="{4C54173E-FBA6-4D09-A37C-3C8E553DCA07}"/>
            </a:ext>
          </a:extLst>
        </xdr:cNvPr>
        <xdr:cNvSpPr/>
      </xdr:nvSpPr>
      <xdr:spPr>
        <a:xfrm>
          <a:off x="30389451" y="14779584"/>
          <a:ext cx="1643038" cy="874568"/>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Post-separation MMS other than solid storage</a:t>
          </a:r>
        </a:p>
      </xdr:txBody>
    </xdr:sp>
    <xdr:clientData/>
  </xdr:twoCellAnchor>
  <xdr:twoCellAnchor>
    <xdr:from>
      <xdr:col>49</xdr:col>
      <xdr:colOff>97971</xdr:colOff>
      <xdr:row>71</xdr:row>
      <xdr:rowOff>16328</xdr:rowOff>
    </xdr:from>
    <xdr:to>
      <xdr:col>51</xdr:col>
      <xdr:colOff>534920</xdr:colOff>
      <xdr:row>74</xdr:row>
      <xdr:rowOff>111578</xdr:rowOff>
    </xdr:to>
    <xdr:sp macro="" textlink="">
      <xdr:nvSpPr>
        <xdr:cNvPr id="172" name="Rectangle 171">
          <a:extLst>
            <a:ext uri="{FF2B5EF4-FFF2-40B4-BE49-F238E27FC236}">
              <a16:creationId xmlns:a16="http://schemas.microsoft.com/office/drawing/2014/main" id="{93B6012B-B836-486D-84EA-65A9F19BC0B9}"/>
            </a:ext>
          </a:extLst>
        </xdr:cNvPr>
        <xdr:cNvSpPr/>
      </xdr:nvSpPr>
      <xdr:spPr>
        <a:xfrm>
          <a:off x="30647244" y="16693737"/>
          <a:ext cx="1649221"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Direct application</a:t>
          </a:r>
        </a:p>
      </xdr:txBody>
    </xdr:sp>
    <xdr:clientData/>
  </xdr:twoCellAnchor>
  <xdr:twoCellAnchor>
    <xdr:from>
      <xdr:col>51</xdr:col>
      <xdr:colOff>583905</xdr:colOff>
      <xdr:row>71</xdr:row>
      <xdr:rowOff>16328</xdr:rowOff>
    </xdr:from>
    <xdr:to>
      <xdr:col>54</xdr:col>
      <xdr:colOff>408534</xdr:colOff>
      <xdr:row>74</xdr:row>
      <xdr:rowOff>111578</xdr:rowOff>
    </xdr:to>
    <xdr:sp macro="" textlink="">
      <xdr:nvSpPr>
        <xdr:cNvPr id="173" name="Rectangle 172">
          <a:extLst>
            <a:ext uri="{FF2B5EF4-FFF2-40B4-BE49-F238E27FC236}">
              <a16:creationId xmlns:a16="http://schemas.microsoft.com/office/drawing/2014/main" id="{D422C0CF-B4B3-45D9-9031-C7206C9FFDF3}"/>
            </a:ext>
          </a:extLst>
        </xdr:cNvPr>
        <xdr:cNvSpPr/>
      </xdr:nvSpPr>
      <xdr:spPr>
        <a:xfrm>
          <a:off x="32345450" y="16693737"/>
          <a:ext cx="1643039"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Used as fertiliser on own farm</a:t>
          </a:r>
        </a:p>
      </xdr:txBody>
    </xdr:sp>
    <xdr:clientData/>
  </xdr:twoCellAnchor>
  <xdr:twoCellAnchor>
    <xdr:from>
      <xdr:col>54</xdr:col>
      <xdr:colOff>486094</xdr:colOff>
      <xdr:row>71</xdr:row>
      <xdr:rowOff>16328</xdr:rowOff>
    </xdr:from>
    <xdr:to>
      <xdr:col>57</xdr:col>
      <xdr:colOff>310724</xdr:colOff>
      <xdr:row>74</xdr:row>
      <xdr:rowOff>111578</xdr:rowOff>
    </xdr:to>
    <xdr:sp macro="" textlink="">
      <xdr:nvSpPr>
        <xdr:cNvPr id="174" name="Rectangle 173">
          <a:extLst>
            <a:ext uri="{FF2B5EF4-FFF2-40B4-BE49-F238E27FC236}">
              <a16:creationId xmlns:a16="http://schemas.microsoft.com/office/drawing/2014/main" id="{B845FD8D-6D69-4637-BB63-9D69985BA226}"/>
            </a:ext>
          </a:extLst>
        </xdr:cNvPr>
        <xdr:cNvSpPr/>
      </xdr:nvSpPr>
      <xdr:spPr>
        <a:xfrm>
          <a:off x="34066049" y="16693737"/>
          <a:ext cx="1643039"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Sold</a:t>
          </a:r>
        </a:p>
      </xdr:txBody>
    </xdr:sp>
    <xdr:clientData/>
  </xdr:twoCellAnchor>
  <xdr:twoCellAnchor>
    <xdr:from>
      <xdr:col>44</xdr:col>
      <xdr:colOff>115432</xdr:colOff>
      <xdr:row>29</xdr:row>
      <xdr:rowOff>112815</xdr:rowOff>
    </xdr:from>
    <xdr:to>
      <xdr:col>44</xdr:col>
      <xdr:colOff>126318</xdr:colOff>
      <xdr:row>49</xdr:row>
      <xdr:rowOff>80404</xdr:rowOff>
    </xdr:to>
    <xdr:cxnSp macro="">
      <xdr:nvCxnSpPr>
        <xdr:cNvPr id="178" name="Connector: Curved 177">
          <a:extLst>
            <a:ext uri="{FF2B5EF4-FFF2-40B4-BE49-F238E27FC236}">
              <a16:creationId xmlns:a16="http://schemas.microsoft.com/office/drawing/2014/main" id="{C1B26EC3-A31F-6C94-46DA-FC6B6D4590BA}"/>
            </a:ext>
          </a:extLst>
        </xdr:cNvPr>
        <xdr:cNvCxnSpPr>
          <a:stCxn id="164" idx="2"/>
          <a:endCxn id="162" idx="0"/>
        </xdr:cNvCxnSpPr>
      </xdr:nvCxnSpPr>
      <xdr:spPr>
        <a:xfrm rot="16200000" flipH="1">
          <a:off x="25231126" y="9685439"/>
          <a:ext cx="4816680" cy="10886"/>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50</xdr:col>
      <xdr:colOff>52841</xdr:colOff>
      <xdr:row>29</xdr:row>
      <xdr:rowOff>101930</xdr:rowOff>
    </xdr:from>
    <xdr:to>
      <xdr:col>53</xdr:col>
      <xdr:colOff>63727</xdr:colOff>
      <xdr:row>49</xdr:row>
      <xdr:rowOff>47748</xdr:rowOff>
    </xdr:to>
    <xdr:cxnSp macro="">
      <xdr:nvCxnSpPr>
        <xdr:cNvPr id="180" name="Connector: Curved 179">
          <a:extLst>
            <a:ext uri="{FF2B5EF4-FFF2-40B4-BE49-F238E27FC236}">
              <a16:creationId xmlns:a16="http://schemas.microsoft.com/office/drawing/2014/main" id="{155D7C87-2737-953F-F874-54B06F7D9DB4}"/>
            </a:ext>
          </a:extLst>
        </xdr:cNvPr>
        <xdr:cNvCxnSpPr>
          <a:stCxn id="166" idx="2"/>
          <a:endCxn id="167" idx="0"/>
        </xdr:cNvCxnSpPr>
      </xdr:nvCxnSpPr>
      <xdr:spPr>
        <a:xfrm rot="5400000">
          <a:off x="29725443" y="8754464"/>
          <a:ext cx="4794909" cy="1829295"/>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53</xdr:col>
      <xdr:colOff>63727</xdr:colOff>
      <xdr:row>29</xdr:row>
      <xdr:rowOff>101929</xdr:rowOff>
    </xdr:from>
    <xdr:to>
      <xdr:col>56</xdr:col>
      <xdr:colOff>408126</xdr:colOff>
      <xdr:row>49</xdr:row>
      <xdr:rowOff>107619</xdr:rowOff>
    </xdr:to>
    <xdr:cxnSp macro="">
      <xdr:nvCxnSpPr>
        <xdr:cNvPr id="182" name="Connector: Curved 181">
          <a:extLst>
            <a:ext uri="{FF2B5EF4-FFF2-40B4-BE49-F238E27FC236}">
              <a16:creationId xmlns:a16="http://schemas.microsoft.com/office/drawing/2014/main" id="{B2CF4B38-87AB-1EFC-EA91-0CF0553D3EFD}"/>
            </a:ext>
          </a:extLst>
        </xdr:cNvPr>
        <xdr:cNvCxnSpPr>
          <a:stCxn id="166" idx="2"/>
          <a:endCxn id="169" idx="0"/>
        </xdr:cNvCxnSpPr>
      </xdr:nvCxnSpPr>
      <xdr:spPr>
        <a:xfrm rot="16200000" flipH="1">
          <a:off x="31691558" y="8617643"/>
          <a:ext cx="4854781" cy="2162808"/>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50</xdr:col>
      <xdr:colOff>52839</xdr:colOff>
      <xdr:row>52</xdr:row>
      <xdr:rowOff>194954</xdr:rowOff>
    </xdr:from>
    <xdr:to>
      <xdr:col>50</xdr:col>
      <xdr:colOff>55560</xdr:colOff>
      <xdr:row>61</xdr:row>
      <xdr:rowOff>7175</xdr:rowOff>
    </xdr:to>
    <xdr:cxnSp macro="">
      <xdr:nvCxnSpPr>
        <xdr:cNvPr id="186" name="Connector: Curved 185">
          <a:extLst>
            <a:ext uri="{FF2B5EF4-FFF2-40B4-BE49-F238E27FC236}">
              <a16:creationId xmlns:a16="http://schemas.microsoft.com/office/drawing/2014/main" id="{0CE31E0D-560A-286A-FAE8-E9476A807CD9}"/>
            </a:ext>
          </a:extLst>
        </xdr:cNvPr>
        <xdr:cNvCxnSpPr>
          <a:stCxn id="167" idx="2"/>
          <a:endCxn id="171" idx="0"/>
        </xdr:cNvCxnSpPr>
      </xdr:nvCxnSpPr>
      <xdr:spPr>
        <a:xfrm rot="16200000" flipH="1">
          <a:off x="30290385" y="13858999"/>
          <a:ext cx="1838448" cy="2721"/>
        </a:xfrm>
        <a:prstGeom prst="curvedConnector3">
          <a:avLst>
            <a:gd name="adj1" fmla="val 50000"/>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50</xdr:col>
      <xdr:colOff>52840</xdr:colOff>
      <xdr:row>52</xdr:row>
      <xdr:rowOff>194953</xdr:rowOff>
    </xdr:from>
    <xdr:to>
      <xdr:col>53</xdr:col>
      <xdr:colOff>419490</xdr:colOff>
      <xdr:row>55</xdr:row>
      <xdr:rowOff>216477</xdr:rowOff>
    </xdr:to>
    <xdr:cxnSp macro="">
      <xdr:nvCxnSpPr>
        <xdr:cNvPr id="189" name="Connector: Curved 188">
          <a:extLst>
            <a:ext uri="{FF2B5EF4-FFF2-40B4-BE49-F238E27FC236}">
              <a16:creationId xmlns:a16="http://schemas.microsoft.com/office/drawing/2014/main" id="{00FDE934-5A19-25E6-EF23-46FF18983C09}"/>
            </a:ext>
          </a:extLst>
        </xdr:cNvPr>
        <xdr:cNvCxnSpPr>
          <a:stCxn id="167" idx="2"/>
          <a:endCxn id="168" idx="0"/>
        </xdr:cNvCxnSpPr>
      </xdr:nvCxnSpPr>
      <xdr:spPr>
        <a:xfrm rot="16200000" flipH="1">
          <a:off x="31926335" y="12223049"/>
          <a:ext cx="748887" cy="2185059"/>
        </a:xfrm>
        <a:prstGeom prst="curvedConnector3">
          <a:avLst>
            <a:gd name="adj1" fmla="val 50000"/>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53</xdr:col>
      <xdr:colOff>419490</xdr:colOff>
      <xdr:row>58</xdr:row>
      <xdr:rowOff>148440</xdr:rowOff>
    </xdr:from>
    <xdr:to>
      <xdr:col>56</xdr:col>
      <xdr:colOff>394518</xdr:colOff>
      <xdr:row>61</xdr:row>
      <xdr:rowOff>12617</xdr:rowOff>
    </xdr:to>
    <xdr:cxnSp macro="">
      <xdr:nvCxnSpPr>
        <xdr:cNvPr id="191" name="Connector: Curved 190">
          <a:extLst>
            <a:ext uri="{FF2B5EF4-FFF2-40B4-BE49-F238E27FC236}">
              <a16:creationId xmlns:a16="http://schemas.microsoft.com/office/drawing/2014/main" id="{088FCC81-87E4-CBBD-B651-8124D36ABCD7}"/>
            </a:ext>
          </a:extLst>
        </xdr:cNvPr>
        <xdr:cNvCxnSpPr>
          <a:stCxn id="168" idx="2"/>
          <a:endCxn id="170" idx="0"/>
        </xdr:cNvCxnSpPr>
      </xdr:nvCxnSpPr>
      <xdr:spPr>
        <a:xfrm rot="16200000" flipH="1">
          <a:off x="34072188" y="13670469"/>
          <a:ext cx="435677" cy="1793437"/>
        </a:xfrm>
        <a:prstGeom prst="curvedConnector3">
          <a:avLst>
            <a:gd name="adj1" fmla="val 50000"/>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56</xdr:col>
      <xdr:colOff>394518</xdr:colOff>
      <xdr:row>52</xdr:row>
      <xdr:rowOff>227612</xdr:rowOff>
    </xdr:from>
    <xdr:to>
      <xdr:col>56</xdr:col>
      <xdr:colOff>408125</xdr:colOff>
      <xdr:row>61</xdr:row>
      <xdr:rowOff>12619</xdr:rowOff>
    </xdr:to>
    <xdr:cxnSp macro="">
      <xdr:nvCxnSpPr>
        <xdr:cNvPr id="193" name="Connector: Curved 192">
          <a:extLst>
            <a:ext uri="{FF2B5EF4-FFF2-40B4-BE49-F238E27FC236}">
              <a16:creationId xmlns:a16="http://schemas.microsoft.com/office/drawing/2014/main" id="{68C7F3D3-EB68-FD43-7BD2-4385F61FA27A}"/>
            </a:ext>
          </a:extLst>
        </xdr:cNvPr>
        <xdr:cNvCxnSpPr>
          <a:stCxn id="169" idx="2"/>
          <a:endCxn id="170" idx="0"/>
        </xdr:cNvCxnSpPr>
      </xdr:nvCxnSpPr>
      <xdr:spPr>
        <a:xfrm rot="5400000">
          <a:off x="34287932" y="13872607"/>
          <a:ext cx="1811234" cy="13607"/>
        </a:xfrm>
        <a:prstGeom prst="curvedConnector3">
          <a:avLst>
            <a:gd name="adj1" fmla="val 50000"/>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47</xdr:col>
      <xdr:colOff>386443</xdr:colOff>
      <xdr:row>10</xdr:row>
      <xdr:rowOff>57397</xdr:rowOff>
    </xdr:from>
    <xdr:to>
      <xdr:col>50</xdr:col>
      <xdr:colOff>211073</xdr:colOff>
      <xdr:row>13</xdr:row>
      <xdr:rowOff>207075</xdr:rowOff>
    </xdr:to>
    <xdr:sp macro="" textlink="">
      <xdr:nvSpPr>
        <xdr:cNvPr id="196" name="Rectangle 195">
          <a:extLst>
            <a:ext uri="{FF2B5EF4-FFF2-40B4-BE49-F238E27FC236}">
              <a16:creationId xmlns:a16="http://schemas.microsoft.com/office/drawing/2014/main" id="{9E607BF0-8A60-43F8-A85C-7AFBAB5516F7}"/>
            </a:ext>
          </a:extLst>
        </xdr:cNvPr>
        <xdr:cNvSpPr/>
      </xdr:nvSpPr>
      <xdr:spPr>
        <a:xfrm>
          <a:off x="29723443" y="2620488"/>
          <a:ext cx="1643039" cy="877042"/>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Dairy enterprise</a:t>
          </a:r>
        </a:p>
      </xdr:txBody>
    </xdr:sp>
    <xdr:clientData/>
  </xdr:twoCellAnchor>
  <xdr:twoCellAnchor>
    <xdr:from>
      <xdr:col>44</xdr:col>
      <xdr:colOff>115433</xdr:colOff>
      <xdr:row>13</xdr:row>
      <xdr:rowOff>207074</xdr:rowOff>
    </xdr:from>
    <xdr:to>
      <xdr:col>48</xdr:col>
      <xdr:colOff>601828</xdr:colOff>
      <xdr:row>25</xdr:row>
      <xdr:rowOff>205589</xdr:rowOff>
    </xdr:to>
    <xdr:cxnSp macro="">
      <xdr:nvCxnSpPr>
        <xdr:cNvPr id="198" name="Connector: Curved 197">
          <a:extLst>
            <a:ext uri="{FF2B5EF4-FFF2-40B4-BE49-F238E27FC236}">
              <a16:creationId xmlns:a16="http://schemas.microsoft.com/office/drawing/2014/main" id="{5B085BC6-6DCC-1D67-2FE0-4A7686DB1998}"/>
            </a:ext>
          </a:extLst>
        </xdr:cNvPr>
        <xdr:cNvCxnSpPr>
          <a:stCxn id="196" idx="2"/>
          <a:endCxn id="164" idx="0"/>
        </xdr:cNvCxnSpPr>
      </xdr:nvCxnSpPr>
      <xdr:spPr>
        <a:xfrm rot="5400000">
          <a:off x="27635509" y="3496044"/>
          <a:ext cx="2907969" cy="2910940"/>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48</xdr:col>
      <xdr:colOff>601826</xdr:colOff>
      <xdr:row>13</xdr:row>
      <xdr:rowOff>207075</xdr:rowOff>
    </xdr:from>
    <xdr:to>
      <xdr:col>53</xdr:col>
      <xdr:colOff>63725</xdr:colOff>
      <xdr:row>25</xdr:row>
      <xdr:rowOff>194705</xdr:rowOff>
    </xdr:to>
    <xdr:cxnSp macro="">
      <xdr:nvCxnSpPr>
        <xdr:cNvPr id="200" name="Connector: Curved 199">
          <a:extLst>
            <a:ext uri="{FF2B5EF4-FFF2-40B4-BE49-F238E27FC236}">
              <a16:creationId xmlns:a16="http://schemas.microsoft.com/office/drawing/2014/main" id="{D3483AA1-2050-B84D-44BA-6AFB06CA7695}"/>
            </a:ext>
          </a:extLst>
        </xdr:cNvPr>
        <xdr:cNvCxnSpPr>
          <a:stCxn id="196" idx="2"/>
          <a:endCxn id="166" idx="0"/>
        </xdr:cNvCxnSpPr>
      </xdr:nvCxnSpPr>
      <xdr:spPr>
        <a:xfrm rot="16200000" flipH="1">
          <a:off x="30342711" y="3699781"/>
          <a:ext cx="2897084" cy="2492581"/>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46</xdr:col>
      <xdr:colOff>540327</xdr:colOff>
      <xdr:row>7</xdr:row>
      <xdr:rowOff>138597</xdr:rowOff>
    </xdr:from>
    <xdr:ext cx="2490354" cy="298800"/>
    <xdr:sp macro="" textlink="">
      <xdr:nvSpPr>
        <xdr:cNvPr id="254" name="TextBox 253">
          <a:extLst>
            <a:ext uri="{FF2B5EF4-FFF2-40B4-BE49-F238E27FC236}">
              <a16:creationId xmlns:a16="http://schemas.microsoft.com/office/drawing/2014/main" id="{F962AD50-F9C3-4CD3-AE84-E76EA6281DDC}"/>
            </a:ext>
          </a:extLst>
        </xdr:cNvPr>
        <xdr:cNvSpPr txBox="1"/>
      </xdr:nvSpPr>
      <xdr:spPr>
        <a:xfrm>
          <a:off x="29271191" y="1974324"/>
          <a:ext cx="2490354"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3">
                  <a:lumMod val="75000"/>
                </a:schemeClr>
              </a:solidFill>
            </a:rPr>
            <a:t>Manure management process</a:t>
          </a:r>
        </a:p>
      </xdr:txBody>
    </xdr:sp>
    <xdr:clientData/>
  </xdr:oneCellAnchor>
  <xdr:twoCellAnchor>
    <xdr:from>
      <xdr:col>50</xdr:col>
      <xdr:colOff>55561</xdr:colOff>
      <xdr:row>65</xdr:row>
      <xdr:rowOff>119742</xdr:rowOff>
    </xdr:from>
    <xdr:to>
      <xdr:col>50</xdr:col>
      <xdr:colOff>316446</xdr:colOff>
      <xdr:row>71</xdr:row>
      <xdr:rowOff>16327</xdr:rowOff>
    </xdr:to>
    <xdr:cxnSp macro="">
      <xdr:nvCxnSpPr>
        <xdr:cNvPr id="256" name="Connector: Curved 255">
          <a:extLst>
            <a:ext uri="{FF2B5EF4-FFF2-40B4-BE49-F238E27FC236}">
              <a16:creationId xmlns:a16="http://schemas.microsoft.com/office/drawing/2014/main" id="{DB2A268F-D151-4025-71DF-AA7FD0A82CD0}"/>
            </a:ext>
          </a:extLst>
        </xdr:cNvPr>
        <xdr:cNvCxnSpPr>
          <a:stCxn id="171" idx="2"/>
          <a:endCxn id="172" idx="0"/>
        </xdr:cNvCxnSpPr>
      </xdr:nvCxnSpPr>
      <xdr:spPr>
        <a:xfrm rot="16200000" flipH="1">
          <a:off x="30821620" y="16043501"/>
          <a:ext cx="1039585" cy="260885"/>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50</xdr:col>
      <xdr:colOff>55562</xdr:colOff>
      <xdr:row>65</xdr:row>
      <xdr:rowOff>119742</xdr:rowOff>
    </xdr:from>
    <xdr:to>
      <xdr:col>53</xdr:col>
      <xdr:colOff>193153</xdr:colOff>
      <xdr:row>71</xdr:row>
      <xdr:rowOff>16327</xdr:rowOff>
    </xdr:to>
    <xdr:cxnSp macro="">
      <xdr:nvCxnSpPr>
        <xdr:cNvPr id="258" name="Connector: Curved 257">
          <a:extLst>
            <a:ext uri="{FF2B5EF4-FFF2-40B4-BE49-F238E27FC236}">
              <a16:creationId xmlns:a16="http://schemas.microsoft.com/office/drawing/2014/main" id="{093A1E3C-0054-2F9D-A5AF-A75BD3C2E675}"/>
            </a:ext>
          </a:extLst>
        </xdr:cNvPr>
        <xdr:cNvCxnSpPr>
          <a:stCxn id="171" idx="2"/>
          <a:endCxn id="173" idx="0"/>
        </xdr:cNvCxnSpPr>
      </xdr:nvCxnSpPr>
      <xdr:spPr>
        <a:xfrm rot="16200000" flipH="1">
          <a:off x="31669178" y="15195944"/>
          <a:ext cx="1039585" cy="1956000"/>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50</xdr:col>
      <xdr:colOff>55561</xdr:colOff>
      <xdr:row>65</xdr:row>
      <xdr:rowOff>119742</xdr:rowOff>
    </xdr:from>
    <xdr:to>
      <xdr:col>56</xdr:col>
      <xdr:colOff>95342</xdr:colOff>
      <xdr:row>71</xdr:row>
      <xdr:rowOff>16327</xdr:rowOff>
    </xdr:to>
    <xdr:cxnSp macro="">
      <xdr:nvCxnSpPr>
        <xdr:cNvPr id="260" name="Connector: Curved 259">
          <a:extLst>
            <a:ext uri="{FF2B5EF4-FFF2-40B4-BE49-F238E27FC236}">
              <a16:creationId xmlns:a16="http://schemas.microsoft.com/office/drawing/2014/main" id="{D4FDC863-3D9A-66CB-47BC-8FC8B21FF805}"/>
            </a:ext>
          </a:extLst>
        </xdr:cNvPr>
        <xdr:cNvCxnSpPr>
          <a:stCxn id="171" idx="2"/>
          <a:endCxn id="174" idx="0"/>
        </xdr:cNvCxnSpPr>
      </xdr:nvCxnSpPr>
      <xdr:spPr>
        <a:xfrm rot="16200000" flipH="1">
          <a:off x="32529477" y="14335644"/>
          <a:ext cx="1039585" cy="3676599"/>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50</xdr:col>
      <xdr:colOff>316446</xdr:colOff>
      <xdr:row>65</xdr:row>
      <xdr:rowOff>108856</xdr:rowOff>
    </xdr:from>
    <xdr:to>
      <xdr:col>56</xdr:col>
      <xdr:colOff>394518</xdr:colOff>
      <xdr:row>71</xdr:row>
      <xdr:rowOff>16328</xdr:rowOff>
    </xdr:to>
    <xdr:cxnSp macro="">
      <xdr:nvCxnSpPr>
        <xdr:cNvPr id="262" name="Connector: Curved 261">
          <a:extLst>
            <a:ext uri="{FF2B5EF4-FFF2-40B4-BE49-F238E27FC236}">
              <a16:creationId xmlns:a16="http://schemas.microsoft.com/office/drawing/2014/main" id="{66799E70-D94E-7822-F8C8-FF9972A796B9}"/>
            </a:ext>
          </a:extLst>
        </xdr:cNvPr>
        <xdr:cNvCxnSpPr>
          <a:stCxn id="170" idx="2"/>
          <a:endCxn id="172" idx="0"/>
        </xdr:cNvCxnSpPr>
      </xdr:nvCxnSpPr>
      <xdr:spPr>
        <a:xfrm rot="5400000">
          <a:off x="32804064" y="14311056"/>
          <a:ext cx="1050472" cy="3714890"/>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53</xdr:col>
      <xdr:colOff>193152</xdr:colOff>
      <xdr:row>65</xdr:row>
      <xdr:rowOff>108857</xdr:rowOff>
    </xdr:from>
    <xdr:to>
      <xdr:col>56</xdr:col>
      <xdr:colOff>394518</xdr:colOff>
      <xdr:row>71</xdr:row>
      <xdr:rowOff>16329</xdr:rowOff>
    </xdr:to>
    <xdr:cxnSp macro="">
      <xdr:nvCxnSpPr>
        <xdr:cNvPr id="264" name="Connector: Curved 263">
          <a:extLst>
            <a:ext uri="{FF2B5EF4-FFF2-40B4-BE49-F238E27FC236}">
              <a16:creationId xmlns:a16="http://schemas.microsoft.com/office/drawing/2014/main" id="{3349764F-CE49-F2E6-6D97-C28C59B79BA4}"/>
            </a:ext>
          </a:extLst>
        </xdr:cNvPr>
        <xdr:cNvCxnSpPr>
          <a:stCxn id="170" idx="2"/>
          <a:endCxn id="173" idx="0"/>
        </xdr:cNvCxnSpPr>
      </xdr:nvCxnSpPr>
      <xdr:spPr>
        <a:xfrm rot="5400000">
          <a:off x="33651622" y="15158614"/>
          <a:ext cx="1050472" cy="2019775"/>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56</xdr:col>
      <xdr:colOff>95342</xdr:colOff>
      <xdr:row>65</xdr:row>
      <xdr:rowOff>108856</xdr:rowOff>
    </xdr:from>
    <xdr:to>
      <xdr:col>56</xdr:col>
      <xdr:colOff>394518</xdr:colOff>
      <xdr:row>71</xdr:row>
      <xdr:rowOff>16328</xdr:rowOff>
    </xdr:to>
    <xdr:cxnSp macro="">
      <xdr:nvCxnSpPr>
        <xdr:cNvPr id="266" name="Connector: Curved 265">
          <a:extLst>
            <a:ext uri="{FF2B5EF4-FFF2-40B4-BE49-F238E27FC236}">
              <a16:creationId xmlns:a16="http://schemas.microsoft.com/office/drawing/2014/main" id="{8251E7A0-48B0-57DD-6444-827E7DB18995}"/>
            </a:ext>
          </a:extLst>
        </xdr:cNvPr>
        <xdr:cNvCxnSpPr>
          <a:stCxn id="170" idx="2"/>
          <a:endCxn id="174" idx="0"/>
        </xdr:cNvCxnSpPr>
      </xdr:nvCxnSpPr>
      <xdr:spPr>
        <a:xfrm rot="5400000">
          <a:off x="34511921" y="16018913"/>
          <a:ext cx="1050472" cy="299176"/>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106098</xdr:colOff>
      <xdr:row>14</xdr:row>
      <xdr:rowOff>48591</xdr:rowOff>
    </xdr:from>
    <xdr:to>
      <xdr:col>5</xdr:col>
      <xdr:colOff>398898</xdr:colOff>
      <xdr:row>17</xdr:row>
      <xdr:rowOff>25641</xdr:rowOff>
    </xdr:to>
    <xdr:sp macro="" textlink="'4.3.1.1-2 Methane'!D28">
      <xdr:nvSpPr>
        <xdr:cNvPr id="4" name="TextBox 3">
          <a:extLst>
            <a:ext uri="{FF2B5EF4-FFF2-40B4-BE49-F238E27FC236}">
              <a16:creationId xmlns:a16="http://schemas.microsoft.com/office/drawing/2014/main" id="{A70746A1-EBF7-43FF-85D8-0B3F9463F885}"/>
            </a:ext>
          </a:extLst>
        </xdr:cNvPr>
        <xdr:cNvSpPr txBox="1"/>
      </xdr:nvSpPr>
      <xdr:spPr>
        <a:xfrm>
          <a:off x="2773098" y="3581500"/>
          <a:ext cx="1505073" cy="704414"/>
        </a:xfrm>
        <a:prstGeom prst="rect">
          <a:avLst/>
        </a:prstGeom>
        <a:solidFill>
          <a:schemeClr val="lt1"/>
        </a:solidFill>
        <a:ln w="9525" cmpd="sng">
          <a:solidFill>
            <a:srgbClr val="0D9D9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3836C7B-CDBC-4017-8FDA-D8799018F3FC}" type="TxLink">
            <a:rPr lang="en-US" sz="1000" b="0" i="0" u="none" strike="noStrike">
              <a:solidFill>
                <a:srgbClr val="0D9D96"/>
              </a:solidFill>
              <a:latin typeface="Times New Roman"/>
              <a:cs typeface="Times New Roman"/>
            </a:rPr>
            <a:pPr algn="ctr"/>
            <a:t>Milk production converted from milk solids</a:t>
          </a:fld>
          <a:endParaRPr lang="en-AU" sz="1000">
            <a:solidFill>
              <a:srgbClr val="0D9D96"/>
            </a:solidFill>
          </a:endParaRPr>
        </a:p>
      </xdr:txBody>
    </xdr:sp>
    <xdr:clientData/>
  </xdr:twoCellAnchor>
  <xdr:twoCellAnchor>
    <xdr:from>
      <xdr:col>4</xdr:col>
      <xdr:colOff>252499</xdr:colOff>
      <xdr:row>17</xdr:row>
      <xdr:rowOff>25640</xdr:rowOff>
    </xdr:from>
    <xdr:to>
      <xdr:col>4</xdr:col>
      <xdr:colOff>266761</xdr:colOff>
      <xdr:row>18</xdr:row>
      <xdr:rowOff>201755</xdr:rowOff>
    </xdr:to>
    <xdr:cxnSp macro="">
      <xdr:nvCxnSpPr>
        <xdr:cNvPr id="49" name="Connector: Curved 48">
          <a:extLst>
            <a:ext uri="{FF2B5EF4-FFF2-40B4-BE49-F238E27FC236}">
              <a16:creationId xmlns:a16="http://schemas.microsoft.com/office/drawing/2014/main" id="{1D041237-CB58-D291-A916-B20245816879}"/>
            </a:ext>
          </a:extLst>
        </xdr:cNvPr>
        <xdr:cNvCxnSpPr>
          <a:stCxn id="4" idx="2"/>
          <a:endCxn id="41" idx="0"/>
        </xdr:cNvCxnSpPr>
      </xdr:nvCxnSpPr>
      <xdr:spPr>
        <a:xfrm rot="16200000" flipH="1">
          <a:off x="3333872" y="4573792"/>
          <a:ext cx="423765" cy="14262"/>
        </a:xfrm>
        <a:prstGeom prst="curvedConnector3">
          <a:avLst/>
        </a:prstGeom>
        <a:ln>
          <a:solidFill>
            <a:srgbClr val="0D9D96"/>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252498</xdr:colOff>
      <xdr:row>12</xdr:row>
      <xdr:rowOff>157159</xdr:rowOff>
    </xdr:from>
    <xdr:to>
      <xdr:col>4</xdr:col>
      <xdr:colOff>257235</xdr:colOff>
      <xdr:row>14</xdr:row>
      <xdr:rowOff>48592</xdr:rowOff>
    </xdr:to>
    <xdr:cxnSp macro="">
      <xdr:nvCxnSpPr>
        <xdr:cNvPr id="53" name="Connector: Curved 52">
          <a:extLst>
            <a:ext uri="{FF2B5EF4-FFF2-40B4-BE49-F238E27FC236}">
              <a16:creationId xmlns:a16="http://schemas.microsoft.com/office/drawing/2014/main" id="{8F8E6DFB-9AE6-E5DB-DC6C-966E80CD3668}"/>
            </a:ext>
          </a:extLst>
        </xdr:cNvPr>
        <xdr:cNvCxnSpPr>
          <a:stCxn id="3" idx="2"/>
          <a:endCxn id="4" idx="0"/>
        </xdr:cNvCxnSpPr>
      </xdr:nvCxnSpPr>
      <xdr:spPr>
        <a:xfrm rot="5400000">
          <a:off x="3357151" y="3420649"/>
          <a:ext cx="381290" cy="4737"/>
        </a:xfrm>
        <a:prstGeom prst="curvedConnector3">
          <a:avLst>
            <a:gd name="adj1" fmla="val 50000"/>
          </a:avLst>
        </a:prstGeom>
        <a:ln>
          <a:solidFill>
            <a:srgbClr val="0D9D96"/>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9</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3</xdr:col>
      <xdr:colOff>14287</xdr:colOff>
      <xdr:row>120</xdr:row>
      <xdr:rowOff>90487</xdr:rowOff>
    </xdr:from>
    <xdr:ext cx="2975751" cy="253339"/>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73179BBD-EF70-3AA3-409E-878BDA2E566F}"/>
                </a:ext>
              </a:extLst>
            </xdr:cNvPr>
            <xdr:cNvSpPr txBox="1"/>
          </xdr:nvSpPr>
          <xdr:spPr>
            <a:xfrm>
              <a:off x="2690812" y="1957387"/>
              <a:ext cx="2975751"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𝐷𝑀</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0.04×</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e>
                        </m:d>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𝐴</m:t>
                        </m:r>
                      </m:e>
                    </m:d>
                  </m:oMath>
                </m:oMathPara>
              </a14:m>
              <a:endParaRPr lang="en-AU" sz="1100"/>
            </a:p>
          </xdr:txBody>
        </xdr:sp>
      </mc:Choice>
      <mc:Fallback xmlns="">
        <xdr:sp macro="" textlink="">
          <xdr:nvSpPr>
            <xdr:cNvPr id="6" name="TextBox 5">
              <a:extLst>
                <a:ext uri="{FF2B5EF4-FFF2-40B4-BE49-F238E27FC236}">
                  <a16:creationId xmlns:a16="http://schemas.microsoft.com/office/drawing/2014/main" id="{73179BBD-EF70-3AA3-409E-878BDA2E566F}"/>
                </a:ext>
              </a:extLst>
            </xdr:cNvPr>
            <xdr:cNvSpPr txBox="1"/>
          </xdr:nvSpPr>
          <xdr:spPr>
            <a:xfrm>
              <a:off x="2690812" y="1957387"/>
              <a:ext cx="2975751"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𝑉𝑆_𝑗=(𝐼_𝑗×(1−𝐷𝑀𝐷_𝑗 )+(0.04×𝐼_𝑗 ))×(1−𝐴)</a:t>
              </a:r>
              <a:endParaRPr lang="en-AU" sz="1100"/>
            </a:p>
          </xdr:txBody>
        </xdr:sp>
      </mc:Fallback>
    </mc:AlternateContent>
    <xdr:clientData/>
  </xdr:oneCellAnchor>
  <xdr:oneCellAnchor>
    <xdr:from>
      <xdr:col>2</xdr:col>
      <xdr:colOff>309562</xdr:colOff>
      <xdr:row>85</xdr:row>
      <xdr:rowOff>52387</xdr:rowOff>
    </xdr:from>
    <xdr:ext cx="4845044" cy="234103"/>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92BDE28D-28D0-62B3-DE0C-2DFB92441FA4}"/>
                </a:ext>
              </a:extLst>
            </xdr:cNvPr>
            <xdr:cNvSpPr txBox="1"/>
          </xdr:nvSpPr>
          <xdr:spPr>
            <a:xfrm>
              <a:off x="2671762" y="1919287"/>
              <a:ext cx="4845044"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d>
                          <m:dPr>
                            <m:ctrlPr>
                              <a:rPr lang="en-AU" sz="1100" i="1">
                                <a:latin typeface="Cambria Math" panose="02040503050406030204" pitchFamily="18" charset="0"/>
                              </a:rPr>
                            </m:ctrlPr>
                          </m:dPr>
                          <m:e>
                            <m:r>
                              <a:rPr lang="en-AU" sz="1100" i="1">
                                <a:latin typeface="Cambria Math" panose="02040503050406030204" pitchFamily="18" charset="0"/>
                              </a:rPr>
                              <m:t>1.185+0.00454×</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sub>
                            </m:sSub>
                            <m:r>
                              <a:rPr lang="en-AU" sz="1100" i="1">
                                <a:latin typeface="Cambria Math" panose="02040503050406030204" pitchFamily="18" charset="0"/>
                              </a:rPr>
                              <m:t>−0.0000026×</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m:t>
                                </m:r>
                              </m:sub>
                              <m:sup>
                                <m:r>
                                  <a:rPr lang="en-AU" sz="1100" i="1">
                                    <a:latin typeface="Cambria Math" panose="02040503050406030204" pitchFamily="18" charset="0"/>
                                  </a:rPr>
                                  <m:t>2</m:t>
                                </m:r>
                              </m:sup>
                            </m:sSubSup>
                            <m:r>
                              <a:rPr lang="en-AU" sz="1100" i="1">
                                <a:latin typeface="Cambria Math" panose="02040503050406030204" pitchFamily="18" charset="0"/>
                              </a:rPr>
                              <m:t>+0.315×</m:t>
                            </m:r>
                            <m:r>
                              <a:rPr lang="en-AU" sz="1100" i="1">
                                <a:latin typeface="Cambria Math" panose="02040503050406030204" pitchFamily="18" charset="0"/>
                              </a:rPr>
                              <m:t>𝐿𝑊</m:t>
                            </m:r>
                            <m:sSub>
                              <m:sSubPr>
                                <m:ctrlPr>
                                  <a:rPr lang="en-AU" sz="1100" i="1">
                                    <a:latin typeface="Cambria Math" panose="02040503050406030204" pitchFamily="18" charset="0"/>
                                  </a:rPr>
                                </m:ctrlPr>
                              </m:sSubPr>
                              <m:e>
                                <m:r>
                                  <a:rPr lang="en-AU" sz="1100" i="1">
                                    <a:latin typeface="Cambria Math" panose="02040503050406030204" pitchFamily="18" charset="0"/>
                                  </a:rPr>
                                  <m:t>𝐺</m:t>
                                </m:r>
                              </m:e>
                              <m:sub>
                                <m:r>
                                  <a:rPr lang="en-AU" sz="1100" i="1">
                                    <a:latin typeface="Cambria Math" panose="02040503050406030204" pitchFamily="18" charset="0"/>
                                  </a:rPr>
                                  <m:t>𝑗</m:t>
                                </m:r>
                              </m:sub>
                            </m:sSub>
                          </m:e>
                        </m:d>
                      </m:e>
                      <m:sup>
                        <m:r>
                          <a:rPr lang="en-AU" sz="1100" i="1">
                            <a:latin typeface="Cambria Math" panose="02040503050406030204" pitchFamily="18" charset="0"/>
                          </a:rPr>
                          <m:t>2</m:t>
                        </m:r>
                      </m:sup>
                    </m:sSup>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oMath>
                </m:oMathPara>
              </a14:m>
              <a:endParaRPr lang="en-AU" sz="1100"/>
            </a:p>
          </xdr:txBody>
        </xdr:sp>
      </mc:Choice>
      <mc:Fallback xmlns="">
        <xdr:sp macro="" textlink="">
          <xdr:nvSpPr>
            <xdr:cNvPr id="9" name="TextBox 8">
              <a:extLst>
                <a:ext uri="{FF2B5EF4-FFF2-40B4-BE49-F238E27FC236}">
                  <a16:creationId xmlns:a16="http://schemas.microsoft.com/office/drawing/2014/main" id="{92BDE28D-28D0-62B3-DE0C-2DFB92441FA4}"/>
                </a:ext>
              </a:extLst>
            </xdr:cNvPr>
            <xdr:cNvSpPr txBox="1"/>
          </xdr:nvSpPr>
          <xdr:spPr>
            <a:xfrm>
              <a:off x="2671762" y="1919287"/>
              <a:ext cx="4845044"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𝐼_𝑗=(1.185+0.00454×𝑊_𝑗−0.0000026×𝑊_𝑗^2+0.315×𝐿𝑊𝐺_𝑗 )^2×𝑀𝑅_𝑗+𝑀𝐼_𝑗</a:t>
              </a:r>
              <a:endParaRPr lang="en-AU" sz="1100"/>
            </a:p>
          </xdr:txBody>
        </xdr:sp>
      </mc:Fallback>
    </mc:AlternateContent>
    <xdr:clientData/>
  </xdr:oneCellAnchor>
  <xdr:oneCellAnchor>
    <xdr:from>
      <xdr:col>3</xdr:col>
      <xdr:colOff>14287</xdr:colOff>
      <xdr:row>56</xdr:row>
      <xdr:rowOff>42862</xdr:rowOff>
    </xdr:from>
    <xdr:ext cx="1461105" cy="370551"/>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013F75C9-EF18-E456-1E1C-8FB164826A2C}"/>
                </a:ext>
              </a:extLst>
            </xdr:cNvPr>
            <xdr:cNvSpPr txBox="1"/>
          </xdr:nvSpPr>
          <xdr:spPr>
            <a:xfrm>
              <a:off x="2690812" y="1909762"/>
              <a:ext cx="1461105" cy="3705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f>
                      <m:fPr>
                        <m:ctrlPr>
                          <a:rPr lang="en-AU" sz="1100" i="1">
                            <a:latin typeface="Cambria Math" panose="02040503050406030204" pitchFamily="18" charset="0"/>
                          </a:rPr>
                        </m:ctrlPr>
                      </m:fPr>
                      <m:num>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r>
                          <a:rPr lang="en-AU" sz="1100" i="1">
                            <a:latin typeface="Cambria Math" panose="02040503050406030204" pitchFamily="18" charset="0"/>
                          </a:rPr>
                          <m:t>×1.03×</m:t>
                        </m:r>
                        <m:r>
                          <a:rPr lang="en-AU" sz="1100" i="1">
                            <a:latin typeface="Cambria Math" panose="02040503050406030204" pitchFamily="18" charset="0"/>
                          </a:rPr>
                          <m:t>𝑁𝐸</m:t>
                        </m:r>
                      </m:num>
                      <m:den>
                        <m:r>
                          <a:rPr lang="en-AU" sz="1100" i="1">
                            <a:latin typeface="Cambria Math" panose="02040503050406030204" pitchFamily="18" charset="0"/>
                          </a:rPr>
                          <m:t>𝐺𝐸𝐶</m:t>
                        </m:r>
                        <m:r>
                          <a:rPr lang="en-AU" sz="1100" i="1">
                            <a:latin typeface="Cambria Math" panose="02040503050406030204" pitchFamily="18" charset="0"/>
                          </a:rPr>
                          <m:t>×</m:t>
                        </m:r>
                        <m:r>
                          <a:rPr lang="en-AU" sz="1100" i="1">
                            <a:latin typeface="Cambria Math" panose="02040503050406030204" pitchFamily="18" charset="0"/>
                          </a:rPr>
                          <m:t>𝑘</m:t>
                        </m:r>
                        <m:r>
                          <a:rPr lang="en-AU" sz="1100" i="1">
                            <a:latin typeface="Cambria Math" panose="02040503050406030204" pitchFamily="18" charset="0"/>
                          </a:rPr>
                          <m:t>×</m:t>
                        </m:r>
                        <m:r>
                          <a:rPr lang="en-AU" sz="1100" i="1">
                            <a:latin typeface="Cambria Math" panose="02040503050406030204" pitchFamily="18" charset="0"/>
                          </a:rPr>
                          <m:t>𝑞</m:t>
                        </m:r>
                        <m:sSub>
                          <m:sSubPr>
                            <m:ctrlPr>
                              <a:rPr lang="en-AU" sz="1100" i="1">
                                <a:latin typeface="Cambria Math" panose="02040503050406030204" pitchFamily="18" charset="0"/>
                              </a:rPr>
                            </m:ctrlPr>
                          </m:sSubPr>
                          <m:e>
                            <m:r>
                              <a:rPr lang="en-AU" sz="1100" i="1">
                                <a:latin typeface="Cambria Math" panose="02040503050406030204" pitchFamily="18" charset="0"/>
                              </a:rPr>
                              <m:t>𝑚</m:t>
                            </m:r>
                          </m:e>
                          <m:sub>
                            <m:r>
                              <a:rPr lang="en-AU" sz="1100" i="1">
                                <a:latin typeface="Cambria Math" panose="02040503050406030204" pitchFamily="18" charset="0"/>
                              </a:rPr>
                              <m:t>𝑗</m:t>
                            </m:r>
                          </m:sub>
                        </m:sSub>
                      </m:den>
                    </m:f>
                  </m:oMath>
                </m:oMathPara>
              </a14:m>
              <a:endParaRPr lang="en-AU" sz="1100"/>
            </a:p>
          </xdr:txBody>
        </xdr:sp>
      </mc:Choice>
      <mc:Fallback xmlns="">
        <xdr:sp macro="" textlink="">
          <xdr:nvSpPr>
            <xdr:cNvPr id="11" name="TextBox 10">
              <a:extLst>
                <a:ext uri="{FF2B5EF4-FFF2-40B4-BE49-F238E27FC236}">
                  <a16:creationId xmlns:a16="http://schemas.microsoft.com/office/drawing/2014/main" id="{013F75C9-EF18-E456-1E1C-8FB164826A2C}"/>
                </a:ext>
              </a:extLst>
            </xdr:cNvPr>
            <xdr:cNvSpPr txBox="1"/>
          </xdr:nvSpPr>
          <xdr:spPr>
            <a:xfrm>
              <a:off x="2690812" y="1909762"/>
              <a:ext cx="1461105" cy="3705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𝑀𝐼_𝑗=(𝑀𝑃_𝑗×1.03×𝑁𝐸)/(𝐺𝐸𝐶×𝑘×𝑞𝑚_𝑗 )</a:t>
              </a:r>
              <a:endParaRPr lang="en-AU" sz="1100"/>
            </a:p>
          </xdr:txBody>
        </xdr:sp>
      </mc:Fallback>
    </mc:AlternateContent>
    <xdr:clientData/>
  </xdr:oneCellAnchor>
  <xdr:oneCellAnchor>
    <xdr:from>
      <xdr:col>3</xdr:col>
      <xdr:colOff>23812</xdr:colOff>
      <xdr:row>8</xdr:row>
      <xdr:rowOff>128587</xdr:rowOff>
    </xdr:from>
    <xdr:ext cx="2591542" cy="194990"/>
    <mc:AlternateContent xmlns:mc="http://schemas.openxmlformats.org/markup-compatibility/2006" xmlns:a14="http://schemas.microsoft.com/office/drawing/2010/main">
      <mc:Choice Requires="a14">
        <xdr:sp macro="" textlink="">
          <xdr:nvSpPr>
            <xdr:cNvPr id="13" name="TextBox 12">
              <a:extLst>
                <a:ext uri="{FF2B5EF4-FFF2-40B4-BE49-F238E27FC236}">
                  <a16:creationId xmlns:a16="http://schemas.microsoft.com/office/drawing/2014/main" id="{5AF19414-E247-C759-A016-BB7AB8A39AAC}"/>
                </a:ext>
              </a:extLst>
            </xdr:cNvPr>
            <xdr:cNvSpPr txBox="1"/>
          </xdr:nvSpPr>
          <xdr:spPr>
            <a:xfrm>
              <a:off x="2705466" y="2004279"/>
              <a:ext cx="2591542"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𝑞</m:t>
                    </m:r>
                    <m:sSub>
                      <m:sSubPr>
                        <m:ctrlPr>
                          <a:rPr lang="en-AU" sz="1100" i="1">
                            <a:latin typeface="Cambria Math" panose="02040503050406030204" pitchFamily="18" charset="0"/>
                          </a:rPr>
                        </m:ctrlPr>
                      </m:sSubPr>
                      <m:e>
                        <m:r>
                          <a:rPr lang="en-AU" sz="1100" i="1">
                            <a:latin typeface="Cambria Math" panose="02040503050406030204" pitchFamily="18" charset="0"/>
                          </a:rPr>
                          <m:t>𝑚</m:t>
                        </m:r>
                      </m:e>
                      <m:sub>
                        <m:r>
                          <a:rPr lang="en-AU" sz="1100" i="1">
                            <a:latin typeface="Cambria Math" panose="02040503050406030204" pitchFamily="18" charset="0"/>
                          </a:rPr>
                          <m:t>𝑗</m:t>
                        </m:r>
                      </m:sub>
                    </m:sSub>
                    <m:r>
                      <a:rPr lang="en-AU" sz="1100" i="1">
                        <a:latin typeface="Cambria Math" panose="02040503050406030204" pitchFamily="18" charset="0"/>
                      </a:rPr>
                      <m:t>=0.00795×</m:t>
                    </m:r>
                    <m:d>
                      <m:dPr>
                        <m:ctrlPr>
                          <a:rPr lang="en-AU" sz="1100" i="1">
                            <a:latin typeface="Cambria Math" panose="02040503050406030204" pitchFamily="18" charset="0"/>
                          </a:rPr>
                        </m:ctrlPr>
                      </m:dPr>
                      <m:e>
                        <m:r>
                          <a:rPr lang="en-AU" sz="1100" i="1">
                            <a:latin typeface="Cambria Math" panose="02040503050406030204" pitchFamily="18" charset="0"/>
                          </a:rPr>
                          <m:t>𝐷𝑀</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r>
                          <a:rPr lang="en-AU" sz="1100" i="1">
                            <a:latin typeface="Cambria Math" panose="02040503050406030204" pitchFamily="18" charset="0"/>
                          </a:rPr>
                          <m:t>×100</m:t>
                        </m:r>
                      </m:e>
                    </m:d>
                    <m:r>
                      <a:rPr lang="en-AU" sz="1100" i="1">
                        <a:latin typeface="Cambria Math" panose="02040503050406030204" pitchFamily="18" charset="0"/>
                      </a:rPr>
                      <m:t>−0.0014</m:t>
                    </m:r>
                  </m:oMath>
                </m:oMathPara>
              </a14:m>
              <a:endParaRPr lang="en-AU" sz="1100"/>
            </a:p>
          </xdr:txBody>
        </xdr:sp>
      </mc:Choice>
      <mc:Fallback xmlns="">
        <xdr:sp macro="" textlink="">
          <xdr:nvSpPr>
            <xdr:cNvPr id="13" name="TextBox 12">
              <a:extLst>
                <a:ext uri="{FF2B5EF4-FFF2-40B4-BE49-F238E27FC236}">
                  <a16:creationId xmlns:a16="http://schemas.microsoft.com/office/drawing/2014/main" id="{5AF19414-E247-C759-A016-BB7AB8A39AAC}"/>
                </a:ext>
              </a:extLst>
            </xdr:cNvPr>
            <xdr:cNvSpPr txBox="1"/>
          </xdr:nvSpPr>
          <xdr:spPr>
            <a:xfrm>
              <a:off x="2705466" y="2004279"/>
              <a:ext cx="2591542"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𝑞𝑚_𝑗=0.00795×(𝐷𝑀𝐷_𝑗×100)−0.0014</a:t>
              </a:r>
              <a:endParaRPr lang="en-AU" sz="1100"/>
            </a:p>
          </xdr:txBody>
        </xdr:sp>
      </mc:Fallback>
    </mc:AlternateContent>
    <xdr:clientData/>
  </xdr:oneCellAnchor>
  <xdr:oneCellAnchor>
    <xdr:from>
      <xdr:col>3</xdr:col>
      <xdr:colOff>14287</xdr:colOff>
      <xdr:row>139</xdr:row>
      <xdr:rowOff>128587</xdr:rowOff>
    </xdr:from>
    <xdr:ext cx="1834220" cy="182871"/>
    <mc:AlternateContent xmlns:mc="http://schemas.openxmlformats.org/markup-compatibility/2006" xmlns:a14="http://schemas.microsoft.com/office/drawing/2010/main">
      <mc:Choice Requires="a14">
        <xdr:sp macro="" textlink="">
          <xdr:nvSpPr>
            <xdr:cNvPr id="14" name="TextBox 13">
              <a:extLst>
                <a:ext uri="{FF2B5EF4-FFF2-40B4-BE49-F238E27FC236}">
                  <a16:creationId xmlns:a16="http://schemas.microsoft.com/office/drawing/2014/main" id="{FE428F22-1198-DB5D-F222-30923EBCE0F1}"/>
                </a:ext>
              </a:extLst>
            </xdr:cNvPr>
            <xdr:cNvSpPr txBox="1"/>
          </xdr:nvSpPr>
          <xdr:spPr>
            <a:xfrm>
              <a:off x="2690812" y="27255787"/>
              <a:ext cx="1834220"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𝐹𝑉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sub>
                        </m:sSub>
                      </m:e>
                    </m:d>
                  </m:oMath>
                </m:oMathPara>
              </a14:m>
              <a:endParaRPr lang="en-AU" sz="1100"/>
            </a:p>
          </xdr:txBody>
        </xdr:sp>
      </mc:Choice>
      <mc:Fallback xmlns="">
        <xdr:sp macro="" textlink="">
          <xdr:nvSpPr>
            <xdr:cNvPr id="14" name="TextBox 13">
              <a:extLst>
                <a:ext uri="{FF2B5EF4-FFF2-40B4-BE49-F238E27FC236}">
                  <a16:creationId xmlns:a16="http://schemas.microsoft.com/office/drawing/2014/main" id="{FE428F22-1198-DB5D-F222-30923EBCE0F1}"/>
                </a:ext>
              </a:extLst>
            </xdr:cNvPr>
            <xdr:cNvSpPr txBox="1"/>
          </xdr:nvSpPr>
          <xdr:spPr>
            <a:xfrm>
              <a:off x="2690812" y="27255787"/>
              <a:ext cx="1834220"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𝐹𝑉𝑆_𝑗𝑚=𝑀𝑀𝑆_𝑗𝑚×(1−𝑆𝑆_𝑚 )</a:t>
              </a:r>
              <a:endParaRPr lang="en-AU" sz="1100"/>
            </a:p>
          </xdr:txBody>
        </xdr:sp>
      </mc:Fallback>
    </mc:AlternateContent>
    <xdr:clientData/>
  </xdr:oneCellAnchor>
  <xdr:oneCellAnchor>
    <xdr:from>
      <xdr:col>6</xdr:col>
      <xdr:colOff>1604962</xdr:colOff>
      <xdr:row>186</xdr:row>
      <xdr:rowOff>157162</xdr:rowOff>
    </xdr:from>
    <xdr:ext cx="3888692" cy="194990"/>
    <mc:AlternateContent xmlns:mc="http://schemas.openxmlformats.org/markup-compatibility/2006" xmlns:a14="http://schemas.microsoft.com/office/drawing/2010/main">
      <mc:Choice Requires="a14">
        <xdr:sp macro="" textlink="">
          <xdr:nvSpPr>
            <xdr:cNvPr id="15" name="TextBox 14">
              <a:extLst>
                <a:ext uri="{FF2B5EF4-FFF2-40B4-BE49-F238E27FC236}">
                  <a16:creationId xmlns:a16="http://schemas.microsoft.com/office/drawing/2014/main" id="{3EE9869D-6FA8-8099-9C36-BD26AA525E1F}"/>
                </a:ext>
              </a:extLst>
            </xdr:cNvPr>
            <xdr:cNvSpPr txBox="1"/>
          </xdr:nvSpPr>
          <xdr:spPr>
            <a:xfrm>
              <a:off x="10425112" y="38180962"/>
              <a:ext cx="3888692"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m:rPr>
                        <m:sty m:val="p"/>
                      </m:rPr>
                      <a:rPr lang="en-AU" sz="1100" b="0" i="1">
                        <a:solidFill>
                          <a:srgbClr val="C44340"/>
                        </a:solidFill>
                        <a:latin typeface="Cambria Math" panose="02040503050406030204" pitchFamily="18" charset="0"/>
                      </a:rPr>
                      <m:t>Original</m:t>
                    </m:r>
                    <m:r>
                      <a:rPr lang="en-AU" sz="1100" b="0" i="1">
                        <a:solidFill>
                          <a:srgbClr val="C44340"/>
                        </a:solidFill>
                        <a:latin typeface="Cambria Math" panose="02040503050406030204" pitchFamily="18" charset="0"/>
                      </a:rPr>
                      <m:t> </m:t>
                    </m:r>
                    <m:r>
                      <m:rPr>
                        <m:sty m:val="p"/>
                      </m:rPr>
                      <a:rPr lang="en-AU" sz="1100" b="0" i="1">
                        <a:solidFill>
                          <a:srgbClr val="C44340"/>
                        </a:solidFill>
                        <a:latin typeface="Cambria Math" panose="02040503050406030204" pitchFamily="18" charset="0"/>
                      </a:rPr>
                      <m:t>equation</m:t>
                    </m:r>
                    <m:r>
                      <a:rPr lang="en-AU" sz="1100" b="0" i="1">
                        <a:solidFill>
                          <a:srgbClr val="C44340"/>
                        </a:solidFill>
                        <a:latin typeface="Cambria Math" panose="02040503050406030204" pitchFamily="18" charset="0"/>
                      </a:rPr>
                      <m:t>: </m:t>
                    </m:r>
                    <m:r>
                      <a:rPr lang="en-AU" sz="1100" i="1">
                        <a:latin typeface="Cambria Math" panose="02040503050406030204" pitchFamily="18" charset="0"/>
                      </a:rPr>
                      <m:t>𝐹𝑉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=4</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=4</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=1,7,9</m:t>
                            </m:r>
                          </m:sub>
                        </m:sSub>
                        <m:r>
                          <a:rPr lang="en-AU" sz="1100" i="1">
                            <a:latin typeface="Cambria Math" panose="02040503050406030204" pitchFamily="18" charset="0"/>
                          </a:rPr>
                          <m:t>×</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sub>
                        </m:sSub>
                      </m:e>
                    </m:d>
                  </m:oMath>
                </m:oMathPara>
              </a14:m>
              <a:endParaRPr lang="en-AU" sz="1100"/>
            </a:p>
          </xdr:txBody>
        </xdr:sp>
      </mc:Choice>
      <mc:Fallback xmlns="">
        <xdr:sp macro="" textlink="">
          <xdr:nvSpPr>
            <xdr:cNvPr id="15" name="TextBox 14">
              <a:extLst>
                <a:ext uri="{FF2B5EF4-FFF2-40B4-BE49-F238E27FC236}">
                  <a16:creationId xmlns:a16="http://schemas.microsoft.com/office/drawing/2014/main" id="{3EE9869D-6FA8-8099-9C36-BD26AA525E1F}"/>
                </a:ext>
              </a:extLst>
            </xdr:cNvPr>
            <xdr:cNvSpPr txBox="1"/>
          </xdr:nvSpPr>
          <xdr:spPr>
            <a:xfrm>
              <a:off x="10425112" y="38180962"/>
              <a:ext cx="3888692"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b="0" i="0">
                  <a:solidFill>
                    <a:srgbClr val="C44340"/>
                  </a:solidFill>
                  <a:latin typeface="Cambria Math" panose="02040503050406030204" pitchFamily="18" charset="0"/>
                </a:rPr>
                <a:t>Original equation: </a:t>
              </a:r>
              <a:r>
                <a:rPr lang="en-AU" sz="1100" i="0">
                  <a:latin typeface="Cambria Math" panose="02040503050406030204" pitchFamily="18" charset="0"/>
                </a:rPr>
                <a:t>𝐹𝑉𝑆_(𝑗𝑚=4)=𝑀𝑀𝑆_(𝑗𝑚=4)+(𝑀𝑀𝑆_(𝑗𝑚=1,7,9)×𝑆𝑆_𝑚 )</a:t>
              </a:r>
              <a:endParaRPr lang="en-AU" sz="1100"/>
            </a:p>
          </xdr:txBody>
        </xdr:sp>
      </mc:Fallback>
    </mc:AlternateContent>
    <xdr:clientData/>
  </xdr:oneCellAnchor>
  <xdr:oneCellAnchor>
    <xdr:from>
      <xdr:col>2</xdr:col>
      <xdr:colOff>276225</xdr:colOff>
      <xdr:row>186</xdr:row>
      <xdr:rowOff>128587</xdr:rowOff>
    </xdr:from>
    <xdr:ext cx="5606791" cy="194990"/>
    <mc:AlternateContent xmlns:mc="http://schemas.openxmlformats.org/markup-compatibility/2006" xmlns:a14="http://schemas.microsoft.com/office/drawing/2010/main">
      <mc:Choice Requires="a14">
        <xdr:sp macro="" textlink="">
          <xdr:nvSpPr>
            <xdr:cNvPr id="16" name="TextBox 15">
              <a:extLst>
                <a:ext uri="{FF2B5EF4-FFF2-40B4-BE49-F238E27FC236}">
                  <a16:creationId xmlns:a16="http://schemas.microsoft.com/office/drawing/2014/main" id="{B783E7C7-628E-ED4E-B009-8738147D5CD4}"/>
                </a:ext>
              </a:extLst>
            </xdr:cNvPr>
            <xdr:cNvSpPr txBox="1"/>
          </xdr:nvSpPr>
          <xdr:spPr>
            <a:xfrm>
              <a:off x="2638425" y="37904737"/>
              <a:ext cx="5606791"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𝐹𝑉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=4</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=4</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r>
                              <a:rPr lang="en-AU" sz="1100" i="1">
                                <a:latin typeface="Cambria Math" panose="02040503050406030204" pitchFamily="18" charset="0"/>
                              </a:rPr>
                              <m:t>=1</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=7</m:t>
                            </m:r>
                          </m:sub>
                        </m:sSub>
                        <m:r>
                          <a:rPr lang="en-AU" sz="1100" i="1">
                            <a:latin typeface="Cambria Math" panose="02040503050406030204" pitchFamily="18" charset="0"/>
                          </a:rPr>
                          <m:t>×</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r>
                              <a:rPr lang="en-AU" sz="1100" i="1">
                                <a:latin typeface="Cambria Math" panose="02040503050406030204" pitchFamily="18" charset="0"/>
                              </a:rPr>
                              <m:t>=7</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=9</m:t>
                            </m:r>
                          </m:sub>
                        </m:sSub>
                        <m:r>
                          <a:rPr lang="en-AU" sz="1100" i="1">
                            <a:latin typeface="Cambria Math" panose="02040503050406030204" pitchFamily="18" charset="0"/>
                          </a:rPr>
                          <m:t>×</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r>
                              <a:rPr lang="en-AU" sz="1100" i="1">
                                <a:latin typeface="Cambria Math" panose="02040503050406030204" pitchFamily="18" charset="0"/>
                              </a:rPr>
                              <m:t>=9</m:t>
                            </m:r>
                          </m:sub>
                        </m:sSub>
                      </m:e>
                    </m:d>
                  </m:oMath>
                </m:oMathPara>
              </a14:m>
              <a:endParaRPr lang="en-AU" sz="1100"/>
            </a:p>
          </xdr:txBody>
        </xdr:sp>
      </mc:Choice>
      <mc:Fallback xmlns="">
        <xdr:sp macro="" textlink="">
          <xdr:nvSpPr>
            <xdr:cNvPr id="16" name="TextBox 15">
              <a:extLst>
                <a:ext uri="{FF2B5EF4-FFF2-40B4-BE49-F238E27FC236}">
                  <a16:creationId xmlns:a16="http://schemas.microsoft.com/office/drawing/2014/main" id="{B783E7C7-628E-ED4E-B009-8738147D5CD4}"/>
                </a:ext>
              </a:extLst>
            </xdr:cNvPr>
            <xdr:cNvSpPr txBox="1"/>
          </xdr:nvSpPr>
          <xdr:spPr>
            <a:xfrm>
              <a:off x="2638425" y="37904737"/>
              <a:ext cx="5606791"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𝐹𝑉𝑆_(𝑗𝑚=4)=𝑀𝑀𝑆_(𝑗𝑚=4)+(𝑀𝑀𝑆_(𝑗𝑚=1)×𝑆𝑆_(𝑚=1) )+(𝑀𝑀𝑆_(𝑗𝑚=7)×𝑆𝑆_(𝑚=7) )+(𝑀𝑀𝑆_(𝑗𝑚=9)×𝑆𝑆_(𝑚=9) )</a:t>
              </a:r>
              <a:endParaRPr lang="en-AU" sz="1100"/>
            </a:p>
          </xdr:txBody>
        </xdr:sp>
      </mc:Fallback>
    </mc:AlternateContent>
    <xdr:clientData/>
  </xdr:oneCellAnchor>
  <xdr:oneCellAnchor>
    <xdr:from>
      <xdr:col>3</xdr:col>
      <xdr:colOff>4762</xdr:colOff>
      <xdr:row>212</xdr:row>
      <xdr:rowOff>157162</xdr:rowOff>
    </xdr:from>
    <xdr:ext cx="2591222" cy="182871"/>
    <mc:AlternateContent xmlns:mc="http://schemas.openxmlformats.org/markup-compatibility/2006" xmlns:a14="http://schemas.microsoft.com/office/drawing/2010/main">
      <mc:Choice Requires="a14">
        <xdr:sp macro="" textlink="">
          <xdr:nvSpPr>
            <xdr:cNvPr id="17" name="TextBox 16">
              <a:extLst>
                <a:ext uri="{FF2B5EF4-FFF2-40B4-BE49-F238E27FC236}">
                  <a16:creationId xmlns:a16="http://schemas.microsoft.com/office/drawing/2014/main" id="{18E21375-9427-CC3D-EA08-BABBDC2A099B}"/>
                </a:ext>
              </a:extLst>
            </xdr:cNvPr>
            <xdr:cNvSpPr txBox="1"/>
          </xdr:nvSpPr>
          <xdr:spPr>
            <a:xfrm>
              <a:off x="2681287" y="44048362"/>
              <a:ext cx="2591222"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𝐹𝑉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𝑀𝐶</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𝑖𝑚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𝐵</m:t>
                        </m:r>
                      </m:e>
                      <m:sub>
                        <m:r>
                          <a:rPr lang="en-AU" sz="1100" i="1">
                            <a:latin typeface="Cambria Math" panose="02040503050406030204" pitchFamily="18" charset="0"/>
                          </a:rPr>
                          <m:t>𝑜</m:t>
                        </m:r>
                      </m:sub>
                    </m:sSub>
                    <m:r>
                      <a:rPr lang="en-AU" sz="1100" i="1">
                        <a:latin typeface="Cambria Math" panose="02040503050406030204" pitchFamily="18" charset="0"/>
                      </a:rPr>
                      <m:t>×</m:t>
                    </m:r>
                    <m:r>
                      <a:rPr lang="en-AU" sz="1100" i="1">
                        <a:latin typeface="Cambria Math" panose="02040503050406030204" pitchFamily="18" charset="0"/>
                      </a:rPr>
                      <m:t>𝜌</m:t>
                    </m:r>
                  </m:oMath>
                </m:oMathPara>
              </a14:m>
              <a:endParaRPr lang="en-AU" sz="1100"/>
            </a:p>
          </xdr:txBody>
        </xdr:sp>
      </mc:Choice>
      <mc:Fallback xmlns="">
        <xdr:sp macro="" textlink="">
          <xdr:nvSpPr>
            <xdr:cNvPr id="17" name="TextBox 16">
              <a:extLst>
                <a:ext uri="{FF2B5EF4-FFF2-40B4-BE49-F238E27FC236}">
                  <a16:creationId xmlns:a16="http://schemas.microsoft.com/office/drawing/2014/main" id="{18E21375-9427-CC3D-EA08-BABBDC2A099B}"/>
                </a:ext>
              </a:extLst>
            </xdr:cNvPr>
            <xdr:cNvSpPr txBox="1"/>
          </xdr:nvSpPr>
          <xdr:spPr>
            <a:xfrm>
              <a:off x="2681287" y="44048362"/>
              <a:ext cx="2591222"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𝑀_𝑗𝑚=𝑉𝑆_𝑗×𝐹𝑉𝑆_(𝑗𝑚,𝑇=1)×𝑀𝐶𝐹_𝑖𝑚×𝐵_𝑜×𝜌</a:t>
              </a:r>
              <a:endParaRPr lang="en-AU" sz="1100"/>
            </a:p>
          </xdr:txBody>
        </xdr:sp>
      </mc:Fallback>
    </mc:AlternateContent>
    <xdr:clientData/>
  </xdr:oneCellAnchor>
  <xdr:oneCellAnchor>
    <xdr:from>
      <xdr:col>3</xdr:col>
      <xdr:colOff>14287</xdr:colOff>
      <xdr:row>252</xdr:row>
      <xdr:rowOff>166687</xdr:rowOff>
    </xdr:from>
    <xdr:ext cx="7943200" cy="332079"/>
    <mc:AlternateContent xmlns:mc="http://schemas.openxmlformats.org/markup-compatibility/2006" xmlns:a14="http://schemas.microsoft.com/office/drawing/2010/main">
      <mc:Choice Requires="a14">
        <xdr:sp macro="" textlink="">
          <xdr:nvSpPr>
            <xdr:cNvPr id="18" name="TextBox 17">
              <a:extLst>
                <a:ext uri="{FF2B5EF4-FFF2-40B4-BE49-F238E27FC236}">
                  <a16:creationId xmlns:a16="http://schemas.microsoft.com/office/drawing/2014/main" id="{016DD997-BB8E-716E-6CC6-AEDE1997F35D}"/>
                </a:ext>
              </a:extLst>
            </xdr:cNvPr>
            <xdr:cNvSpPr txBox="1"/>
          </xdr:nvSpPr>
          <xdr:spPr>
            <a:xfrm>
              <a:off x="2690812" y="54040087"/>
              <a:ext cx="794320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=1,2,4,</m:t>
                                        </m:r>
                                        <m:r>
                                          <a:rPr lang="en-AU" sz="1100" i="1">
                                            <a:latin typeface="Cambria Math" panose="02040503050406030204" pitchFamily="18" charset="0"/>
                                          </a:rPr>
                                          <m:t>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=1,2,4</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=3,5,</m:t>
                                        </m:r>
                                        <m:r>
                                          <a:rPr lang="en-AU" sz="1100" i="1">
                                            <a:latin typeface="Cambria Math" panose="02040503050406030204" pitchFamily="18" charset="0"/>
                                          </a:rPr>
                                          <m:t>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=3,5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𝑀𝑃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𝑚𝑎𝑛𝑢𝑟𝑒</m:t>
                                        </m:r>
                                        <m:r>
                                          <a:rPr lang="en-AU" sz="1100" i="1">
                                            <a:latin typeface="Cambria Math" panose="02040503050406030204" pitchFamily="18" charset="0"/>
                                          </a:rPr>
                                          <m:t>,</m:t>
                                        </m:r>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𝐷𝑃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r>
                                          <a:rPr lang="en-AU" sz="1100" i="1">
                                            <a:latin typeface="Cambria Math" panose="02040503050406030204" pitchFamily="18" charset="0"/>
                                          </a:rPr>
                                          <m:t>=3,5</m:t>
                                        </m:r>
                                      </m:sub>
                                    </m:sSub>
                                  </m:e>
                                </m:d>
                              </m:e>
                            </m:d>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8" name="TextBox 17">
              <a:extLst>
                <a:ext uri="{FF2B5EF4-FFF2-40B4-BE49-F238E27FC236}">
                  <a16:creationId xmlns:a16="http://schemas.microsoft.com/office/drawing/2014/main" id="{016DD997-BB8E-716E-6CC6-AEDE1997F35D}"/>
                </a:ext>
              </a:extLst>
            </xdr:cNvPr>
            <xdr:cNvSpPr txBox="1"/>
          </xdr:nvSpPr>
          <xdr:spPr>
            <a:xfrm>
              <a:off x="2690812" y="54040087"/>
              <a:ext cx="794320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𝐸_𝐶𝐻4=∑2_𝑗▒∑2_𝑚▒((𝑁_(𝑗=1,2,4)×𝑀_(𝑗=1,2,4,𝑚)×𝐷_(𝑗=1,2,4) )+(𝑁_(𝑗=3,5)×𝑀_(𝑗=3,5,𝑚)×𝐷_(𝑗=3,5) )+(𝑁_(𝑗=3,5)×𝑀𝑃𝑊_(𝑚𝑎𝑛𝑢𝑟𝑒,𝑗=3,5)×𝐷𝑃𝑊_(𝑗=3,5) )) ×10^(−3)</a:t>
              </a:r>
              <a:endParaRPr lang="en-AU" sz="1100"/>
            </a:p>
          </xdr:txBody>
        </xdr:sp>
      </mc:Fallback>
    </mc:AlternateContent>
    <xdr:clientData/>
  </xdr:oneCellAnchor>
  <xdr:oneCellAnchor>
    <xdr:from>
      <xdr:col>7</xdr:col>
      <xdr:colOff>4762</xdr:colOff>
      <xdr:row>252</xdr:row>
      <xdr:rowOff>147637</xdr:rowOff>
    </xdr:from>
    <xdr:ext cx="8406468" cy="332079"/>
    <mc:AlternateContent xmlns:mc="http://schemas.openxmlformats.org/markup-compatibility/2006" xmlns:a14="http://schemas.microsoft.com/office/drawing/2010/main">
      <mc:Choice Requires="a14">
        <xdr:sp macro="" textlink="">
          <xdr:nvSpPr>
            <xdr:cNvPr id="19" name="TextBox 18">
              <a:extLst>
                <a:ext uri="{FF2B5EF4-FFF2-40B4-BE49-F238E27FC236}">
                  <a16:creationId xmlns:a16="http://schemas.microsoft.com/office/drawing/2014/main" id="{334A6A40-C561-1982-B5AC-9BE72AF47198}"/>
                </a:ext>
              </a:extLst>
            </xdr:cNvPr>
            <xdr:cNvSpPr txBox="1"/>
          </xdr:nvSpPr>
          <xdr:spPr>
            <a:xfrm>
              <a:off x="10872787" y="54021037"/>
              <a:ext cx="840646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m:rPr>
                            <m:sty m:val="p"/>
                          </m:rPr>
                          <a:rPr lang="en-AU" sz="1100" b="0" i="1">
                            <a:solidFill>
                              <a:srgbClr val="C44340"/>
                            </a:solidFill>
                            <a:latin typeface="Cambria Math" panose="02040503050406030204" pitchFamily="18" charset="0"/>
                          </a:rPr>
                          <m:t>ORIGINAL</m:t>
                        </m:r>
                        <m:r>
                          <a:rPr lang="en-AU" sz="1100" b="0" i="1">
                            <a:solidFill>
                              <a:srgbClr val="C44340"/>
                            </a:solidFill>
                            <a:latin typeface="Cambria Math" panose="02040503050406030204" pitchFamily="18" charset="0"/>
                          </a:rPr>
                          <m:t>: </m:t>
                        </m:r>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=1,2,4,</m:t>
                                        </m:r>
                                        <m:r>
                                          <a:rPr lang="en-AU" sz="1100" i="1">
                                            <a:latin typeface="Cambria Math" panose="02040503050406030204" pitchFamily="18" charset="0"/>
                                          </a:rPr>
                                          <m:t>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=1,2,4</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=3,5,</m:t>
                                        </m:r>
                                        <m:r>
                                          <a:rPr lang="en-AU" sz="1100" i="1">
                                            <a:latin typeface="Cambria Math" panose="02040503050406030204" pitchFamily="18" charset="0"/>
                                          </a:rPr>
                                          <m:t>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=3,5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𝑀𝑃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𝑚𝑎𝑛𝑢𝑟𝑒</m:t>
                                        </m:r>
                                        <m:r>
                                          <a:rPr lang="en-AU" sz="1100" i="1">
                                            <a:latin typeface="Cambria Math" panose="02040503050406030204" pitchFamily="18" charset="0"/>
                                          </a:rPr>
                                          <m:t>,</m:t>
                                        </m:r>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=3,5</m:t>
                                        </m:r>
                                      </m:sub>
                                    </m:sSub>
                                  </m:e>
                                </m:d>
                              </m:e>
                            </m:d>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9" name="TextBox 18">
              <a:extLst>
                <a:ext uri="{FF2B5EF4-FFF2-40B4-BE49-F238E27FC236}">
                  <a16:creationId xmlns:a16="http://schemas.microsoft.com/office/drawing/2014/main" id="{334A6A40-C561-1982-B5AC-9BE72AF47198}"/>
                </a:ext>
              </a:extLst>
            </xdr:cNvPr>
            <xdr:cNvSpPr txBox="1"/>
          </xdr:nvSpPr>
          <xdr:spPr>
            <a:xfrm>
              <a:off x="10872787" y="54021037"/>
              <a:ext cx="840646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a:t>
              </a:r>
              <a:r>
                <a:rPr lang="en-AU" sz="1100" b="0" i="0">
                  <a:solidFill>
                    <a:srgbClr val="C44340"/>
                  </a:solidFill>
                  <a:latin typeface="Cambria Math" panose="02040503050406030204" pitchFamily="18" charset="0"/>
                </a:rPr>
                <a:t>ORIGINAL: </a:t>
              </a:r>
              <a:r>
                <a:rPr lang="en-AU" sz="1100" i="0">
                  <a:latin typeface="Cambria Math" panose="02040503050406030204" pitchFamily="18" charset="0"/>
                </a:rPr>
                <a:t>𝐸〗_𝐶𝐻4=∑2_𝑗▒∑2_𝑚▒((𝑁_(𝑗=1,2,4)×𝑀_(𝑗=1,2,4,𝑚)×𝐷_(𝑗=1,2,4) )+(𝑁_(𝑗=3,5)×𝑀_(𝑗=3,5,𝑚)×𝐷_(𝑗=3,5) )+(𝑁_(𝑗=3,5)×𝑀𝑃𝑊_(𝑚𝑎𝑛𝑢𝑟𝑒,𝑗=3,5)×𝐷_(𝑗=3,5) )) ×10^(−3)</a:t>
              </a:r>
              <a:endParaRPr lang="en-AU" sz="1100"/>
            </a:p>
          </xdr:txBody>
        </xdr:sp>
      </mc:Fallback>
    </mc:AlternateContent>
    <xdr:clientData/>
  </xdr:oneCellAnchor>
  <xdr:oneCellAnchor>
    <xdr:from>
      <xdr:col>3</xdr:col>
      <xdr:colOff>9525</xdr:colOff>
      <xdr:row>30</xdr:row>
      <xdr:rowOff>228600</xdr:rowOff>
    </xdr:from>
    <xdr:ext cx="1606465" cy="383888"/>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F5AFB0A2-AF9C-4D0F-A4C7-54D5CB251EE6}"/>
                </a:ext>
              </a:extLst>
            </xdr:cNvPr>
            <xdr:cNvSpPr txBox="1"/>
          </xdr:nvSpPr>
          <xdr:spPr>
            <a:xfrm>
              <a:off x="2686050" y="7543800"/>
              <a:ext cx="1606465" cy="3838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r>
                      <a:rPr lang="en-AU" sz="1100" i="1">
                        <a:latin typeface="Cambria Math" panose="02040503050406030204" pitchFamily="18" charset="0"/>
                      </a:rPr>
                      <m:t>=</m:t>
                    </m:r>
                    <m:f>
                      <m:fPr>
                        <m:ctrlPr>
                          <a:rPr lang="en-AU" sz="1100" i="1">
                            <a:latin typeface="Cambria Math" panose="02040503050406030204" pitchFamily="18" charset="0"/>
                          </a:rPr>
                        </m:ctrlPr>
                      </m:fPr>
                      <m:num>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sub>
                        </m:sSub>
                      </m:num>
                      <m:den>
                        <m:r>
                          <a:rPr lang="en-AU" sz="1100" i="1">
                            <a:latin typeface="Cambria Math" panose="02040503050406030204" pitchFamily="18" charset="0"/>
                          </a:rPr>
                          <m:t>0.01×</m:t>
                        </m:r>
                        <m:d>
                          <m:dPr>
                            <m:ctrlPr>
                              <a:rPr lang="en-AU" sz="1100" i="1">
                                <a:latin typeface="Cambria Math" panose="02040503050406030204" pitchFamily="18" charset="0"/>
                              </a:rPr>
                            </m:ctrlPr>
                          </m:dPr>
                          <m:e>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𝑃</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m:t>
                                </m:r>
                              </m:sub>
                            </m:sSub>
                          </m:e>
                        </m:d>
                      </m:den>
                    </m:f>
                  </m:oMath>
                </m:oMathPara>
              </a14:m>
              <a:endParaRPr lang="en-AU" sz="1100"/>
            </a:p>
          </xdr:txBody>
        </xdr:sp>
      </mc:Choice>
      <mc:Fallback xmlns="">
        <xdr:sp macro="" textlink="">
          <xdr:nvSpPr>
            <xdr:cNvPr id="2" name="TextBox 1">
              <a:extLst>
                <a:ext uri="{FF2B5EF4-FFF2-40B4-BE49-F238E27FC236}">
                  <a16:creationId xmlns:a16="http://schemas.microsoft.com/office/drawing/2014/main" id="{F5AFB0A2-AF9C-4D0F-A4C7-54D5CB251EE6}"/>
                </a:ext>
              </a:extLst>
            </xdr:cNvPr>
            <xdr:cNvSpPr txBox="1"/>
          </xdr:nvSpPr>
          <xdr:spPr>
            <a:xfrm>
              <a:off x="2686050" y="7543800"/>
              <a:ext cx="1606465" cy="3838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𝑀𝑃_𝑗=(𝑀𝑆_𝑗)/(0.01×(𝐹𝐶_𝑗+𝑃𝐶_𝑗 ) )</a:t>
              </a:r>
              <a:endParaRPr lang="en-AU" sz="1100"/>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oneCellAnchor>
    <xdr:from>
      <xdr:col>3</xdr:col>
      <xdr:colOff>57150</xdr:colOff>
      <xdr:row>7</xdr:row>
      <xdr:rowOff>52387</xdr:rowOff>
    </xdr:from>
    <xdr:ext cx="615810" cy="369460"/>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ADC1AC29-4554-D3F7-3394-68026F9F736D}"/>
                </a:ext>
              </a:extLst>
            </xdr:cNvPr>
            <xdr:cNvSpPr txBox="1"/>
          </xdr:nvSpPr>
          <xdr:spPr>
            <a:xfrm>
              <a:off x="2733675" y="1919287"/>
              <a:ext cx="615810" cy="3694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𝑍</m:t>
                        </m:r>
                      </m:e>
                      <m:sub>
                        <m:r>
                          <a:rPr lang="en-AU" sz="1100" i="1">
                            <a:latin typeface="Cambria Math" panose="02040503050406030204" pitchFamily="18" charset="0"/>
                          </a:rPr>
                          <m:t>𝑗</m:t>
                        </m:r>
                      </m:sub>
                    </m:sSub>
                    <m:r>
                      <a:rPr lang="en-AU" sz="1100" i="1">
                        <a:latin typeface="Cambria Math" panose="02040503050406030204" pitchFamily="18" charset="0"/>
                      </a:rPr>
                      <m:t>=</m:t>
                    </m:r>
                    <m:f>
                      <m:fPr>
                        <m:ctrlPr>
                          <a:rPr lang="en-AU" sz="1100" i="1">
                            <a:latin typeface="Cambria Math" panose="02040503050406030204" pitchFamily="18" charset="0"/>
                          </a:rPr>
                        </m:ctrlPr>
                      </m:fPr>
                      <m:num>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sub>
                        </m:sSub>
                      </m:num>
                      <m:den>
                        <m:r>
                          <a:rPr lang="en-AU" sz="1100" i="1">
                            <a:latin typeface="Cambria Math" panose="02040503050406030204" pitchFamily="18" charset="0"/>
                          </a:rPr>
                          <m:t>𝑊</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den>
                    </m:f>
                  </m:oMath>
                </m:oMathPara>
              </a14:m>
              <a:endParaRPr lang="en-AU" sz="1100"/>
            </a:p>
          </xdr:txBody>
        </xdr:sp>
      </mc:Choice>
      <mc:Fallback xmlns="">
        <xdr:sp macro="" textlink="">
          <xdr:nvSpPr>
            <xdr:cNvPr id="6" name="TextBox 5">
              <a:extLst>
                <a:ext uri="{FF2B5EF4-FFF2-40B4-BE49-F238E27FC236}">
                  <a16:creationId xmlns:a16="http://schemas.microsoft.com/office/drawing/2014/main" id="{ADC1AC29-4554-D3F7-3394-68026F9F736D}"/>
                </a:ext>
              </a:extLst>
            </xdr:cNvPr>
            <xdr:cNvSpPr txBox="1"/>
          </xdr:nvSpPr>
          <xdr:spPr>
            <a:xfrm>
              <a:off x="2733675" y="1919287"/>
              <a:ext cx="615810" cy="3694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𝑍_𝑗=𝑊_𝑗/(𝑊𝑅_𝑗 )</a:t>
              </a:r>
              <a:endParaRPr lang="en-AU" sz="1100"/>
            </a:p>
          </xdr:txBody>
        </xdr:sp>
      </mc:Fallback>
    </mc:AlternateContent>
    <xdr:clientData/>
  </xdr:oneCellAnchor>
  <xdr:oneCellAnchor>
    <xdr:from>
      <xdr:col>3</xdr:col>
      <xdr:colOff>19050</xdr:colOff>
      <xdr:row>35</xdr:row>
      <xdr:rowOff>157162</xdr:rowOff>
    </xdr:from>
    <xdr:ext cx="3857466" cy="426592"/>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CEB8026E-DC74-F16A-425F-99C91A2791F4}"/>
                </a:ext>
              </a:extLst>
            </xdr:cNvPr>
            <xdr:cNvSpPr txBox="1"/>
          </xdr:nvSpPr>
          <xdr:spPr>
            <a:xfrm>
              <a:off x="2695575" y="8958262"/>
              <a:ext cx="3857466" cy="4265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𝐿</m:t>
                        </m:r>
                      </m:e>
                      <m:sub>
                        <m:r>
                          <a:rPr lang="en-AU" sz="1100" i="1">
                            <a:latin typeface="Cambria Math" panose="02040503050406030204" pitchFamily="18" charset="0"/>
                          </a:rPr>
                          <m:t>𝑗</m:t>
                        </m:r>
                      </m:sub>
                    </m:sSub>
                    <m:r>
                      <a:rPr lang="en-AU" sz="1100" i="1">
                        <a:latin typeface="Cambria Math" panose="02040503050406030204" pitchFamily="18" charset="0"/>
                      </a:rPr>
                      <m:t>=</m:t>
                    </m:r>
                    <m:f>
                      <m:fPr>
                        <m:ctrlPr>
                          <a:rPr lang="en-AU" sz="1100" i="1">
                            <a:latin typeface="Cambria Math" panose="02040503050406030204" pitchFamily="18" charset="0"/>
                          </a:rPr>
                        </m:ctrlPr>
                      </m:fPr>
                      <m:num>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num>
                      <m:den>
                        <m:sSup>
                          <m:sSupPr>
                            <m:ctrlPr>
                              <a:rPr lang="en-AU" sz="1100" i="1">
                                <a:latin typeface="Cambria Math" panose="02040503050406030204" pitchFamily="18" charset="0"/>
                              </a:rPr>
                            </m:ctrlPr>
                          </m:sSupPr>
                          <m:e>
                            <m:d>
                              <m:dPr>
                                <m:ctrlPr>
                                  <a:rPr lang="en-AU" sz="1100" i="1">
                                    <a:latin typeface="Cambria Math" panose="02040503050406030204" pitchFamily="18" charset="0"/>
                                  </a:rPr>
                                </m:ctrlPr>
                              </m:dPr>
                              <m:e>
                                <m:r>
                                  <a:rPr lang="en-AU" sz="1100" i="1">
                                    <a:latin typeface="Cambria Math" panose="02040503050406030204" pitchFamily="18" charset="0"/>
                                  </a:rPr>
                                  <m:t>1.185+0.00454×</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sub>
                                </m:sSub>
                                <m:r>
                                  <a:rPr lang="en-AU" sz="1100" i="1">
                                    <a:latin typeface="Cambria Math" panose="02040503050406030204" pitchFamily="18" charset="0"/>
                                  </a:rPr>
                                  <m:t>−0.0000026×</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m:t>
                                    </m:r>
                                  </m:sub>
                                  <m:sup>
                                    <m:r>
                                      <a:rPr lang="en-AU" sz="1100" i="1">
                                        <a:latin typeface="Cambria Math" panose="02040503050406030204" pitchFamily="18" charset="0"/>
                                      </a:rPr>
                                      <m:t>2</m:t>
                                    </m:r>
                                  </m:sup>
                                </m:sSubSup>
                              </m:e>
                            </m:d>
                          </m:e>
                          <m:sup>
                            <m:r>
                              <a:rPr lang="en-AU" sz="1100" i="1">
                                <a:latin typeface="Cambria Math" panose="02040503050406030204" pitchFamily="18" charset="0"/>
                              </a:rPr>
                              <m:t>2</m:t>
                            </m:r>
                          </m:sup>
                        </m:sSup>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den>
                    </m:f>
                  </m:oMath>
                </m:oMathPara>
              </a14:m>
              <a:endParaRPr lang="en-AU" sz="1100"/>
            </a:p>
          </xdr:txBody>
        </xdr:sp>
      </mc:Choice>
      <mc:Fallback xmlns="">
        <xdr:sp macro="" textlink="">
          <xdr:nvSpPr>
            <xdr:cNvPr id="11" name="TextBox 10">
              <a:extLst>
                <a:ext uri="{FF2B5EF4-FFF2-40B4-BE49-F238E27FC236}">
                  <a16:creationId xmlns:a16="http://schemas.microsoft.com/office/drawing/2014/main" id="{CEB8026E-DC74-F16A-425F-99C91A2791F4}"/>
                </a:ext>
              </a:extLst>
            </xdr:cNvPr>
            <xdr:cNvSpPr txBox="1"/>
          </xdr:nvSpPr>
          <xdr:spPr>
            <a:xfrm>
              <a:off x="2695575" y="8958262"/>
              <a:ext cx="3857466" cy="4265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𝐿_𝑗=𝐼_𝑗/((1.185+0.00454×𝑊_𝑗−0.0000026×𝑊_𝑗^2 )^2×𝑀𝑅_𝑗+𝑀𝐼_𝑗 )</a:t>
              </a:r>
              <a:endParaRPr lang="en-AU" sz="1100"/>
            </a:p>
          </xdr:txBody>
        </xdr:sp>
      </mc:Fallback>
    </mc:AlternateContent>
    <xdr:clientData/>
  </xdr:oneCellAnchor>
  <xdr:oneCellAnchor>
    <xdr:from>
      <xdr:col>3</xdr:col>
      <xdr:colOff>19050</xdr:colOff>
      <xdr:row>72</xdr:row>
      <xdr:rowOff>71437</xdr:rowOff>
    </xdr:from>
    <xdr:ext cx="7038402" cy="397288"/>
    <mc:AlternateContent xmlns:mc="http://schemas.openxmlformats.org/markup-compatibility/2006" xmlns:a14="http://schemas.microsoft.com/office/drawing/2010/main">
      <mc:Choice Requires="a14">
        <xdr:sp macro="" textlink="">
          <xdr:nvSpPr>
            <xdr:cNvPr id="18" name="TextBox 17">
              <a:extLst>
                <a:ext uri="{FF2B5EF4-FFF2-40B4-BE49-F238E27FC236}">
                  <a16:creationId xmlns:a16="http://schemas.microsoft.com/office/drawing/2014/main" id="{4551B19B-D856-1382-65D0-2C898FCEC22A}"/>
                </a:ext>
              </a:extLst>
            </xdr:cNvPr>
            <xdr:cNvSpPr txBox="1"/>
          </xdr:nvSpPr>
          <xdr:spPr>
            <a:xfrm>
              <a:off x="2695575" y="18035587"/>
              <a:ext cx="7038402" cy="3972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r>
                      <a:rPr lang="en-AU" sz="1100" i="1">
                        <a:latin typeface="Cambria Math" panose="02040503050406030204" pitchFamily="18" charset="0"/>
                      </a:rPr>
                      <m:t>=</m:t>
                    </m:r>
                    <m:d>
                      <m:dPr>
                        <m:ctrlPr>
                          <a:rPr lang="en-AU" sz="1100" i="1">
                            <a:latin typeface="Cambria Math" panose="02040503050406030204" pitchFamily="18" charset="0"/>
                          </a:rPr>
                        </m:ctrlPr>
                      </m:dPr>
                      <m:e>
                        <m:f>
                          <m:fPr>
                            <m:ctrlPr>
                              <a:rPr lang="en-AU" sz="1100" i="1">
                                <a:latin typeface="Cambria Math" panose="02040503050406030204" pitchFamily="18" charset="0"/>
                              </a:rPr>
                            </m:ctrlPr>
                          </m:fPr>
                          <m:num>
                            <m:r>
                              <a:rPr lang="en-AU" sz="1100" i="1">
                                <a:latin typeface="Cambria Math" panose="02040503050406030204" pitchFamily="18" charset="0"/>
                              </a:rPr>
                              <m:t>0.032×</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r>
                              <a:rPr lang="en-AU" sz="1100" i="1">
                                <a:latin typeface="Cambria Math" panose="02040503050406030204" pitchFamily="18" charset="0"/>
                              </a:rPr>
                              <m:t>×1.03</m:t>
                            </m:r>
                          </m:num>
                          <m:den>
                            <m:r>
                              <a:rPr lang="en-AU" sz="1100" i="1">
                                <a:latin typeface="Cambria Math" panose="02040503050406030204" pitchFamily="18" charset="0"/>
                              </a:rPr>
                              <m:t>6.38</m:t>
                            </m:r>
                          </m:den>
                        </m:f>
                      </m:e>
                    </m:d>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0.212−0.008×</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𝐿</m:t>
                                    </m:r>
                                  </m:e>
                                  <m:sub>
                                    <m:r>
                                      <a:rPr lang="en-AU" sz="1100" i="1">
                                        <a:latin typeface="Cambria Math" panose="02040503050406030204" pitchFamily="18" charset="0"/>
                                      </a:rPr>
                                      <m:t>𝑗</m:t>
                                    </m:r>
                                  </m:sub>
                                </m:sSub>
                                <m:r>
                                  <a:rPr lang="en-AU" sz="1100" i="1">
                                    <a:latin typeface="Cambria Math" panose="02040503050406030204" pitchFamily="18" charset="0"/>
                                  </a:rPr>
                                  <m:t>−2</m:t>
                                </m:r>
                              </m:e>
                            </m:d>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f>
                                  <m:fPr>
                                    <m:ctrlPr>
                                      <a:rPr lang="en-AU" sz="1100" i="1">
                                        <a:latin typeface="Cambria Math" panose="02040503050406030204" pitchFamily="18" charset="0"/>
                                      </a:rPr>
                                    </m:ctrlPr>
                                  </m:fPr>
                                  <m:num>
                                    <m:r>
                                      <a:rPr lang="en-AU" sz="1100" i="1">
                                        <a:latin typeface="Cambria Math" panose="02040503050406030204" pitchFamily="18" charset="0"/>
                                      </a:rPr>
                                      <m:t>0.140−0.008×</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𝐿</m:t>
                                            </m:r>
                                          </m:e>
                                          <m:sub>
                                            <m:r>
                                              <a:rPr lang="en-AU" sz="1100" i="1">
                                                <a:latin typeface="Cambria Math" panose="02040503050406030204" pitchFamily="18" charset="0"/>
                                              </a:rPr>
                                              <m:t>𝑗</m:t>
                                            </m:r>
                                          </m:sub>
                                        </m:sSub>
                                        <m:r>
                                          <a:rPr lang="en-AU" sz="1100" i="1">
                                            <a:latin typeface="Cambria Math" panose="02040503050406030204" pitchFamily="18" charset="0"/>
                                          </a:rPr>
                                          <m:t>−2</m:t>
                                        </m:r>
                                      </m:e>
                                    </m:d>
                                  </m:num>
                                  <m:den>
                                    <m:r>
                                      <a:rPr lang="en-AU" sz="1100" i="1">
                                        <a:latin typeface="Cambria Math" panose="02040503050406030204" pitchFamily="18" charset="0"/>
                                      </a:rPr>
                                      <m:t>1+</m:t>
                                    </m:r>
                                    <m:sSup>
                                      <m:sSupPr>
                                        <m:ctrlPr>
                                          <a:rPr lang="en-AU" sz="1100" i="1">
                                            <a:latin typeface="Cambria Math" panose="02040503050406030204" pitchFamily="18" charset="0"/>
                                          </a:rPr>
                                        </m:ctrlPr>
                                      </m:sSupPr>
                                      <m:e>
                                        <m:r>
                                          <a:rPr lang="en-AU" sz="1100" i="1">
                                            <a:latin typeface="Cambria Math" panose="02040503050406030204" pitchFamily="18" charset="0"/>
                                          </a:rPr>
                                          <m:t>𝑒</m:t>
                                        </m:r>
                                      </m:e>
                                      <m:sup>
                                        <m:r>
                                          <a:rPr lang="en-AU" sz="1100" i="1">
                                            <a:latin typeface="Cambria Math" panose="02040503050406030204" pitchFamily="18" charset="0"/>
                                          </a:rPr>
                                          <m:t>−6×</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𝑍</m:t>
                                                </m:r>
                                              </m:e>
                                              <m:sub>
                                                <m:r>
                                                  <a:rPr lang="en-AU" sz="1100" i="1">
                                                    <a:latin typeface="Cambria Math" panose="02040503050406030204" pitchFamily="18" charset="0"/>
                                                  </a:rPr>
                                                  <m:t>𝑗</m:t>
                                                </m:r>
                                              </m:sub>
                                            </m:sSub>
                                            <m:r>
                                              <a:rPr lang="en-AU" sz="1100" i="1">
                                                <a:latin typeface="Cambria Math" panose="02040503050406030204" pitchFamily="18" charset="0"/>
                                              </a:rPr>
                                              <m:t>−0.4</m:t>
                                            </m:r>
                                          </m:e>
                                        </m:d>
                                      </m:sup>
                                    </m:sSup>
                                  </m:den>
                                </m:f>
                              </m:e>
                            </m:d>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𝐿𝑊</m:t>
                            </m:r>
                            <m:sSub>
                              <m:sSubPr>
                                <m:ctrlPr>
                                  <a:rPr lang="en-AU" sz="1100" i="1">
                                    <a:latin typeface="Cambria Math" panose="02040503050406030204" pitchFamily="18" charset="0"/>
                                  </a:rPr>
                                </m:ctrlPr>
                              </m:sSubPr>
                              <m:e>
                                <m:r>
                                  <a:rPr lang="en-AU" sz="1100" i="1">
                                    <a:latin typeface="Cambria Math" panose="02040503050406030204" pitchFamily="18" charset="0"/>
                                  </a:rPr>
                                  <m:t>𝐺</m:t>
                                </m:r>
                              </m:e>
                              <m:sub>
                                <m:r>
                                  <a:rPr lang="en-AU" sz="1100" i="1">
                                    <a:latin typeface="Cambria Math" panose="02040503050406030204" pitchFamily="18" charset="0"/>
                                  </a:rPr>
                                  <m:t>𝑗</m:t>
                                </m:r>
                              </m:sub>
                            </m:sSub>
                            <m:r>
                              <a:rPr lang="en-AU" sz="1100" i="1">
                                <a:latin typeface="Cambria Math" panose="02040503050406030204" pitchFamily="18" charset="0"/>
                              </a:rPr>
                              <m:t>×0.92</m:t>
                            </m:r>
                          </m:e>
                        </m:d>
                      </m:e>
                    </m:d>
                    <m:r>
                      <a:rPr lang="en-AU" sz="1100" i="1">
                        <a:latin typeface="Cambria Math" panose="02040503050406030204" pitchFamily="18" charset="0"/>
                      </a:rPr>
                      <m:t>×</m:t>
                    </m:r>
                    <m:f>
                      <m:fPr>
                        <m:ctrlPr>
                          <a:rPr lang="en-AU" sz="1100" i="1">
                            <a:latin typeface="Cambria Math" panose="02040503050406030204" pitchFamily="18" charset="0"/>
                          </a:rPr>
                        </m:ctrlPr>
                      </m:fPr>
                      <m:num>
                        <m:r>
                          <a:rPr lang="en-AU" sz="1100" i="1">
                            <a:latin typeface="Cambria Math" panose="02040503050406030204" pitchFamily="18" charset="0"/>
                          </a:rPr>
                          <m:t>1</m:t>
                        </m:r>
                      </m:num>
                      <m:den>
                        <m:r>
                          <a:rPr lang="en-AU" sz="1100" i="1">
                            <a:latin typeface="Cambria Math" panose="02040503050406030204" pitchFamily="18" charset="0"/>
                          </a:rPr>
                          <m:t>6.25</m:t>
                        </m:r>
                      </m:den>
                    </m:f>
                  </m:oMath>
                </m:oMathPara>
              </a14:m>
              <a:endParaRPr lang="en-AU" sz="1100"/>
            </a:p>
          </xdr:txBody>
        </xdr:sp>
      </mc:Choice>
      <mc:Fallback xmlns="">
        <xdr:sp macro="" textlink="">
          <xdr:nvSpPr>
            <xdr:cNvPr id="18" name="TextBox 17">
              <a:extLst>
                <a:ext uri="{FF2B5EF4-FFF2-40B4-BE49-F238E27FC236}">
                  <a16:creationId xmlns:a16="http://schemas.microsoft.com/office/drawing/2014/main" id="{4551B19B-D856-1382-65D0-2C898FCEC22A}"/>
                </a:ext>
              </a:extLst>
            </xdr:cNvPr>
            <xdr:cNvSpPr txBox="1"/>
          </xdr:nvSpPr>
          <xdr:spPr>
            <a:xfrm>
              <a:off x="2695575" y="18035587"/>
              <a:ext cx="7038402" cy="3972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𝑁𝑅_𝑗=((0.032×𝑀𝑃_𝑗×1.03)/6.38)+{(0.212−0.008×(𝐿_𝑗−2)−[(0.140−0.008×(𝐿_𝑗−2))/(1+𝑒^(−6×(𝑍_𝑗−0.4) ) )])×(𝐿𝑊𝐺_𝑗×0.92)}×1/6.25</a:t>
              </a:r>
              <a:endParaRPr lang="en-AU" sz="1100"/>
            </a:p>
          </xdr:txBody>
        </xdr:sp>
      </mc:Fallback>
    </mc:AlternateContent>
    <xdr:clientData/>
  </xdr:oneCellAnchor>
  <xdr:oneCellAnchor>
    <xdr:from>
      <xdr:col>3</xdr:col>
      <xdr:colOff>19050</xdr:colOff>
      <xdr:row>109</xdr:row>
      <xdr:rowOff>147637</xdr:rowOff>
    </xdr:from>
    <xdr:ext cx="946413" cy="182871"/>
    <mc:AlternateContent xmlns:mc="http://schemas.openxmlformats.org/markup-compatibility/2006" xmlns:a14="http://schemas.microsoft.com/office/drawing/2010/main">
      <mc:Choice Requires="a14">
        <xdr:sp macro="" textlink="">
          <xdr:nvSpPr>
            <xdr:cNvPr id="22" name="TextBox 21">
              <a:extLst>
                <a:ext uri="{FF2B5EF4-FFF2-40B4-BE49-F238E27FC236}">
                  <a16:creationId xmlns:a16="http://schemas.microsoft.com/office/drawing/2014/main" id="{D25A724A-12E6-5DED-7CD9-F1182C7BC417}"/>
                </a:ext>
              </a:extLst>
            </xdr:cNvPr>
            <xdr:cNvSpPr txBox="1"/>
          </xdr:nvSpPr>
          <xdr:spPr>
            <a:xfrm>
              <a:off x="2695575" y="27274837"/>
              <a:ext cx="94641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𝐶𝑃</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𝐶</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oMath>
                </m:oMathPara>
              </a14:m>
              <a:endParaRPr lang="en-AU" sz="1100"/>
            </a:p>
          </xdr:txBody>
        </xdr:sp>
      </mc:Choice>
      <mc:Fallback xmlns="">
        <xdr:sp macro="" textlink="">
          <xdr:nvSpPr>
            <xdr:cNvPr id="22" name="TextBox 21">
              <a:extLst>
                <a:ext uri="{FF2B5EF4-FFF2-40B4-BE49-F238E27FC236}">
                  <a16:creationId xmlns:a16="http://schemas.microsoft.com/office/drawing/2014/main" id="{D25A724A-12E6-5DED-7CD9-F1182C7BC417}"/>
                </a:ext>
              </a:extLst>
            </xdr:cNvPr>
            <xdr:cNvSpPr txBox="1"/>
          </xdr:nvSpPr>
          <xdr:spPr>
            <a:xfrm>
              <a:off x="2695575" y="27274837"/>
              <a:ext cx="94641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𝐶𝑃𝐼_𝑗=𝐼_𝑗×𝐶𝑃_𝑗</a:t>
              </a:r>
              <a:endParaRPr lang="en-AU" sz="1100"/>
            </a:p>
          </xdr:txBody>
        </xdr:sp>
      </mc:Fallback>
    </mc:AlternateContent>
    <xdr:clientData/>
  </xdr:oneCellAnchor>
  <xdr:oneCellAnchor>
    <xdr:from>
      <xdr:col>3</xdr:col>
      <xdr:colOff>28575</xdr:colOff>
      <xdr:row>132</xdr:row>
      <xdr:rowOff>119062</xdr:rowOff>
    </xdr:from>
    <xdr:ext cx="2719847" cy="413768"/>
    <mc:AlternateContent xmlns:mc="http://schemas.openxmlformats.org/markup-compatibility/2006" xmlns:a14="http://schemas.microsoft.com/office/drawing/2010/main">
      <mc:Choice Requires="a14">
        <xdr:sp macro="" textlink="">
          <xdr:nvSpPr>
            <xdr:cNvPr id="24" name="TextBox 23">
              <a:extLst>
                <a:ext uri="{FF2B5EF4-FFF2-40B4-BE49-F238E27FC236}">
                  <a16:creationId xmlns:a16="http://schemas.microsoft.com/office/drawing/2014/main" id="{C070E054-0365-2149-1F86-465BAFC26EBF}"/>
                </a:ext>
              </a:extLst>
            </xdr:cNvPr>
            <xdr:cNvSpPr txBox="1"/>
          </xdr:nvSpPr>
          <xdr:spPr>
            <a:xfrm>
              <a:off x="2705100" y="31208662"/>
              <a:ext cx="2719847" cy="4137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m:t>
                    </m:r>
                    <m:d>
                      <m:dPr>
                        <m:ctrlPr>
                          <a:rPr lang="en-AU" sz="1100" i="1">
                            <a:latin typeface="Cambria Math" panose="02040503050406030204" pitchFamily="18" charset="0"/>
                          </a:rPr>
                        </m:ctrlPr>
                      </m:dPr>
                      <m:e>
                        <m:f>
                          <m:fPr>
                            <m:ctrlPr>
                              <a:rPr lang="en-AU" sz="1100" i="1">
                                <a:latin typeface="Cambria Math" panose="02040503050406030204" pitchFamily="18" charset="0"/>
                              </a:rPr>
                            </m:ctrlPr>
                          </m:fPr>
                          <m:num>
                            <m:r>
                              <a:rPr lang="en-AU" sz="1100" i="1">
                                <a:latin typeface="Cambria Math" panose="02040503050406030204" pitchFamily="18" charset="0"/>
                              </a:rPr>
                              <m:t>𝐶𝑃</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num>
                          <m:den>
                            <m:r>
                              <a:rPr lang="en-AU" sz="1100" i="1">
                                <a:latin typeface="Cambria Math" panose="02040503050406030204" pitchFamily="18" charset="0"/>
                              </a:rPr>
                              <m:t>6.25</m:t>
                            </m:r>
                          </m:den>
                        </m:f>
                      </m:e>
                    </m:d>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f>
                          <m:fPr>
                            <m:ctrlPr>
                              <a:rPr lang="en-AU" sz="1100" i="1">
                                <a:latin typeface="Cambria Math" panose="02040503050406030204" pitchFamily="18" charset="0"/>
                              </a:rPr>
                            </m:ctrlPr>
                          </m:fPr>
                          <m:num>
                            <m:r>
                              <a:rPr lang="en-AU" sz="1100" i="1">
                                <a:latin typeface="Cambria Math" panose="02040503050406030204" pitchFamily="18" charset="0"/>
                              </a:rPr>
                              <m:t>1.1×</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−4</m:t>
                                </m:r>
                              </m:sup>
                            </m:sSup>
                            <m:r>
                              <a:rPr lang="en-AU" sz="1100" i="1">
                                <a:latin typeface="Cambria Math" panose="02040503050406030204" pitchFamily="18" charset="0"/>
                              </a:rPr>
                              <m:t>×</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m:t>
                                </m:r>
                              </m:sub>
                              <m:sup>
                                <m:r>
                                  <a:rPr lang="en-AU" sz="1100" i="1">
                                    <a:latin typeface="Cambria Math" panose="02040503050406030204" pitchFamily="18" charset="0"/>
                                  </a:rPr>
                                  <m:t>0.75</m:t>
                                </m:r>
                              </m:sup>
                            </m:sSubSup>
                          </m:num>
                          <m:den>
                            <m:r>
                              <a:rPr lang="en-AU" sz="1100" i="1">
                                <a:latin typeface="Cambria Math" panose="02040503050406030204" pitchFamily="18" charset="0"/>
                              </a:rPr>
                              <m:t>6.25</m:t>
                            </m:r>
                          </m:den>
                        </m:f>
                      </m:e>
                    </m:d>
                  </m:oMath>
                </m:oMathPara>
              </a14:m>
              <a:endParaRPr lang="en-AU" sz="1100"/>
            </a:p>
          </xdr:txBody>
        </xdr:sp>
      </mc:Choice>
      <mc:Fallback xmlns="">
        <xdr:sp macro="" textlink="">
          <xdr:nvSpPr>
            <xdr:cNvPr id="24" name="TextBox 23">
              <a:extLst>
                <a:ext uri="{FF2B5EF4-FFF2-40B4-BE49-F238E27FC236}">
                  <a16:creationId xmlns:a16="http://schemas.microsoft.com/office/drawing/2014/main" id="{C070E054-0365-2149-1F86-465BAFC26EBF}"/>
                </a:ext>
              </a:extLst>
            </xdr:cNvPr>
            <xdr:cNvSpPr txBox="1"/>
          </xdr:nvSpPr>
          <xdr:spPr>
            <a:xfrm>
              <a:off x="2705100" y="31208662"/>
              <a:ext cx="2719847" cy="4137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𝑁𝐸_𝑗=((𝐶𝑃𝐼_𝑗)/6.25)−𝑁𝑅_𝑗−[(1.1×10^(−4)×𝑊_𝑗^0.75)/6.25]</a:t>
              </a:r>
              <a:endParaRPr lang="en-AU" sz="1100"/>
            </a:p>
          </xdr:txBody>
        </xdr:sp>
      </mc:Fallback>
    </mc:AlternateContent>
    <xdr:clientData/>
  </xdr:oneCellAnchor>
  <xdr:oneCellAnchor>
    <xdr:from>
      <xdr:col>5</xdr:col>
      <xdr:colOff>1733550</xdr:colOff>
      <xdr:row>153</xdr:row>
      <xdr:rowOff>119062</xdr:rowOff>
    </xdr:from>
    <xdr:ext cx="3283528" cy="182871"/>
    <mc:AlternateContent xmlns:mc="http://schemas.openxmlformats.org/markup-compatibility/2006" xmlns:a14="http://schemas.microsoft.com/office/drawing/2010/main">
      <mc:Choice Requires="a14">
        <xdr:sp macro="" textlink="">
          <xdr:nvSpPr>
            <xdr:cNvPr id="25" name="TextBox 24">
              <a:extLst>
                <a:ext uri="{FF2B5EF4-FFF2-40B4-BE49-F238E27FC236}">
                  <a16:creationId xmlns:a16="http://schemas.microsoft.com/office/drawing/2014/main" id="{881600BC-97E9-11A9-0397-9DA995559046}"/>
                </a:ext>
              </a:extLst>
            </xdr:cNvPr>
            <xdr:cNvSpPr txBox="1"/>
          </xdr:nvSpPr>
          <xdr:spPr>
            <a:xfrm>
              <a:off x="8505825" y="36161662"/>
              <a:ext cx="328352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a:solidFill>
                    <a:srgbClr val="C44340"/>
                  </a:solidFill>
                </a:rPr>
                <a:t>Original equation</a:t>
              </a:r>
              <a:r>
                <a:rPr lang="en-AU" sz="1100"/>
                <a:t>: </a:t>
              </a:r>
              <a14:m>
                <m:oMath xmlns:m="http://schemas.openxmlformats.org/officeDocument/2006/math">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×365</m:t>
                  </m:r>
                </m:oMath>
              </a14:m>
              <a:endParaRPr lang="en-AU" sz="1100"/>
            </a:p>
          </xdr:txBody>
        </xdr:sp>
      </mc:Choice>
      <mc:Fallback xmlns="">
        <xdr:sp macro="" textlink="">
          <xdr:nvSpPr>
            <xdr:cNvPr id="25" name="TextBox 24">
              <a:extLst>
                <a:ext uri="{FF2B5EF4-FFF2-40B4-BE49-F238E27FC236}">
                  <a16:creationId xmlns:a16="http://schemas.microsoft.com/office/drawing/2014/main" id="{881600BC-97E9-11A9-0397-9DA995559046}"/>
                </a:ext>
              </a:extLst>
            </xdr:cNvPr>
            <xdr:cNvSpPr txBox="1"/>
          </xdr:nvSpPr>
          <xdr:spPr>
            <a:xfrm>
              <a:off x="8505825" y="36161662"/>
              <a:ext cx="328352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a:solidFill>
                    <a:srgbClr val="C44340"/>
                  </a:solidFill>
                </a:rPr>
                <a:t>Original equation</a:t>
              </a:r>
              <a:r>
                <a:rPr lang="en-AU" sz="1100"/>
                <a:t>: </a:t>
              </a:r>
              <a:r>
                <a:rPr lang="en-AU" sz="1100" i="0">
                  <a:latin typeface="Cambria Math" panose="02040503050406030204" pitchFamily="18" charset="0"/>
                </a:rPr>
                <a:t>𝐴𝐸_(𝑗=1,2,4)=𝑁_(𝑗=1,2,4)×𝑁𝐸_(𝑗=1,2,4)×365</a:t>
              </a:r>
              <a:endParaRPr lang="en-AU" sz="1100"/>
            </a:p>
          </xdr:txBody>
        </xdr:sp>
      </mc:Fallback>
    </mc:AlternateContent>
    <xdr:clientData/>
  </xdr:oneCellAnchor>
  <xdr:oneCellAnchor>
    <xdr:from>
      <xdr:col>3</xdr:col>
      <xdr:colOff>28575</xdr:colOff>
      <xdr:row>153</xdr:row>
      <xdr:rowOff>138112</xdr:rowOff>
    </xdr:from>
    <xdr:ext cx="2449453" cy="182871"/>
    <mc:AlternateContent xmlns:mc="http://schemas.openxmlformats.org/markup-compatibility/2006" xmlns:a14="http://schemas.microsoft.com/office/drawing/2010/main">
      <mc:Choice Requires="a14">
        <xdr:sp macro="" textlink="">
          <xdr:nvSpPr>
            <xdr:cNvPr id="26" name="TextBox 25">
              <a:extLst>
                <a:ext uri="{FF2B5EF4-FFF2-40B4-BE49-F238E27FC236}">
                  <a16:creationId xmlns:a16="http://schemas.microsoft.com/office/drawing/2014/main" id="{3E8CF4A6-B0EE-3ADF-4E58-4EE3ACB7BB52}"/>
                </a:ext>
              </a:extLst>
            </xdr:cNvPr>
            <xdr:cNvSpPr txBox="1"/>
          </xdr:nvSpPr>
          <xdr:spPr>
            <a:xfrm>
              <a:off x="2705100" y="36180712"/>
              <a:ext cx="244945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=1,2,4</m:t>
                        </m:r>
                      </m:sub>
                    </m:sSub>
                  </m:oMath>
                </m:oMathPara>
              </a14:m>
              <a:endParaRPr lang="en-AU" sz="1100"/>
            </a:p>
          </xdr:txBody>
        </xdr:sp>
      </mc:Choice>
      <mc:Fallback xmlns="">
        <xdr:sp macro="" textlink="">
          <xdr:nvSpPr>
            <xdr:cNvPr id="26" name="TextBox 25">
              <a:extLst>
                <a:ext uri="{FF2B5EF4-FFF2-40B4-BE49-F238E27FC236}">
                  <a16:creationId xmlns:a16="http://schemas.microsoft.com/office/drawing/2014/main" id="{3E8CF4A6-B0EE-3ADF-4E58-4EE3ACB7BB52}"/>
                </a:ext>
              </a:extLst>
            </xdr:cNvPr>
            <xdr:cNvSpPr txBox="1"/>
          </xdr:nvSpPr>
          <xdr:spPr>
            <a:xfrm>
              <a:off x="2705100" y="36180712"/>
              <a:ext cx="244945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𝐴𝐸_(𝑗=1,2,4)=𝑁_(𝑗=1,2,4)×𝑁𝐸_(𝑗=1,2,4)×𝐷_(𝑗=1,2,4)</a:t>
              </a:r>
              <a:endParaRPr lang="en-AU" sz="1100"/>
            </a:p>
          </xdr:txBody>
        </xdr:sp>
      </mc:Fallback>
    </mc:AlternateContent>
    <xdr:clientData/>
  </xdr:oneCellAnchor>
  <xdr:oneCellAnchor>
    <xdr:from>
      <xdr:col>5</xdr:col>
      <xdr:colOff>1485900</xdr:colOff>
      <xdr:row>183</xdr:row>
      <xdr:rowOff>128587</xdr:rowOff>
    </xdr:from>
    <xdr:ext cx="4867936" cy="194990"/>
    <mc:AlternateContent xmlns:mc="http://schemas.openxmlformats.org/markup-compatibility/2006" xmlns:a14="http://schemas.microsoft.com/office/drawing/2010/main">
      <mc:Choice Requires="a14">
        <xdr:sp macro="" textlink="">
          <xdr:nvSpPr>
            <xdr:cNvPr id="27" name="TextBox 26">
              <a:extLst>
                <a:ext uri="{FF2B5EF4-FFF2-40B4-BE49-F238E27FC236}">
                  <a16:creationId xmlns:a16="http://schemas.microsoft.com/office/drawing/2014/main" id="{8D1BBEBF-A436-DDDF-F2D4-F5BF51FB4DDD}"/>
                </a:ext>
              </a:extLst>
            </xdr:cNvPr>
            <xdr:cNvSpPr txBox="1"/>
          </xdr:nvSpPr>
          <xdr:spPr>
            <a:xfrm>
              <a:off x="8258175" y="43848337"/>
              <a:ext cx="4867936"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a:solidFill>
                    <a:srgbClr val="C44340"/>
                  </a:solidFill>
                </a:rPr>
                <a:t>Original equation: </a:t>
              </a:r>
              <a14:m>
                <m:oMath xmlns:m="http://schemas.openxmlformats.org/officeDocument/2006/math">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×281</m:t>
                      </m:r>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𝑁𝑃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×84</m:t>
                      </m:r>
                    </m:e>
                  </m:d>
                </m:oMath>
              </a14:m>
              <a:endParaRPr lang="en-AU" sz="1100"/>
            </a:p>
          </xdr:txBody>
        </xdr:sp>
      </mc:Choice>
      <mc:Fallback xmlns="">
        <xdr:sp macro="" textlink="">
          <xdr:nvSpPr>
            <xdr:cNvPr id="27" name="TextBox 26">
              <a:extLst>
                <a:ext uri="{FF2B5EF4-FFF2-40B4-BE49-F238E27FC236}">
                  <a16:creationId xmlns:a16="http://schemas.microsoft.com/office/drawing/2014/main" id="{8D1BBEBF-A436-DDDF-F2D4-F5BF51FB4DDD}"/>
                </a:ext>
              </a:extLst>
            </xdr:cNvPr>
            <xdr:cNvSpPr txBox="1"/>
          </xdr:nvSpPr>
          <xdr:spPr>
            <a:xfrm>
              <a:off x="8258175" y="43848337"/>
              <a:ext cx="4867936"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a:solidFill>
                    <a:srgbClr val="C44340"/>
                  </a:solidFill>
                </a:rPr>
                <a:t>Original equation: </a:t>
              </a:r>
              <a:r>
                <a:rPr lang="en-AU" sz="1100" i="0">
                  <a:latin typeface="Cambria Math" panose="02040503050406030204" pitchFamily="18" charset="0"/>
                </a:rPr>
                <a:t>𝐴𝐸_(𝑗=3,5)=(𝑁_(𝑗=3,5)×𝑁𝐸_(𝑗=3,5)×281)+(𝑁_(𝑗=3,5)×𝑁𝑃𝑊_(𝑗=3,5)×84)</a:t>
              </a:r>
              <a:endParaRPr lang="en-AU" sz="1100"/>
            </a:p>
          </xdr:txBody>
        </xdr:sp>
      </mc:Fallback>
    </mc:AlternateContent>
    <xdr:clientData/>
  </xdr:oneCellAnchor>
  <xdr:oneCellAnchor>
    <xdr:from>
      <xdr:col>3</xdr:col>
      <xdr:colOff>0</xdr:colOff>
      <xdr:row>183</xdr:row>
      <xdr:rowOff>138112</xdr:rowOff>
    </xdr:from>
    <xdr:ext cx="4361129" cy="194990"/>
    <mc:AlternateContent xmlns:mc="http://schemas.openxmlformats.org/markup-compatibility/2006" xmlns:a14="http://schemas.microsoft.com/office/drawing/2010/main">
      <mc:Choice Requires="a14">
        <xdr:sp macro="" textlink="">
          <xdr:nvSpPr>
            <xdr:cNvPr id="28" name="TextBox 27">
              <a:extLst>
                <a:ext uri="{FF2B5EF4-FFF2-40B4-BE49-F238E27FC236}">
                  <a16:creationId xmlns:a16="http://schemas.microsoft.com/office/drawing/2014/main" id="{906D419A-7447-EBE5-57D6-00449E021FDC}"/>
                </a:ext>
              </a:extLst>
            </xdr:cNvPr>
            <xdr:cNvSpPr txBox="1"/>
          </xdr:nvSpPr>
          <xdr:spPr>
            <a:xfrm>
              <a:off x="2676525" y="43857862"/>
              <a:ext cx="4361129"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=3,5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𝑁𝑃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𝐷𝑃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r>
                              <a:rPr lang="en-AU" sz="1100" i="1">
                                <a:latin typeface="Cambria Math" panose="02040503050406030204" pitchFamily="18" charset="0"/>
                              </a:rPr>
                              <m:t>=3,5</m:t>
                            </m:r>
                          </m:sub>
                        </m:sSub>
                      </m:e>
                    </m:d>
                  </m:oMath>
                </m:oMathPara>
              </a14:m>
              <a:endParaRPr lang="en-AU" sz="1100"/>
            </a:p>
          </xdr:txBody>
        </xdr:sp>
      </mc:Choice>
      <mc:Fallback xmlns="">
        <xdr:sp macro="" textlink="">
          <xdr:nvSpPr>
            <xdr:cNvPr id="28" name="TextBox 27">
              <a:extLst>
                <a:ext uri="{FF2B5EF4-FFF2-40B4-BE49-F238E27FC236}">
                  <a16:creationId xmlns:a16="http://schemas.microsoft.com/office/drawing/2014/main" id="{906D419A-7447-EBE5-57D6-00449E021FDC}"/>
                </a:ext>
              </a:extLst>
            </xdr:cNvPr>
            <xdr:cNvSpPr txBox="1"/>
          </xdr:nvSpPr>
          <xdr:spPr>
            <a:xfrm>
              <a:off x="2676525" y="43857862"/>
              <a:ext cx="4361129"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𝐴𝐸_(𝑗=3,5)=(𝑁_(𝑗=3,5)×𝑁𝐸_(𝑗=3,5)×𝐷_(𝑗=3,5) )+(𝑁_(𝑗=3,5)×𝑁𝑃𝑊_(𝑗=3,5)×𝐷𝑃𝑊_(𝑗=3,5) )</a:t>
              </a:r>
              <a:endParaRPr lang="en-AU" sz="1100"/>
            </a:p>
          </xdr:txBody>
        </xdr:sp>
      </mc:Fallback>
    </mc:AlternateContent>
    <xdr:clientData/>
  </xdr:oneCellAnchor>
  <xdr:oneCellAnchor>
    <xdr:from>
      <xdr:col>3</xdr:col>
      <xdr:colOff>27332</xdr:colOff>
      <xdr:row>219</xdr:row>
      <xdr:rowOff>118440</xdr:rowOff>
    </xdr:from>
    <xdr:ext cx="1405385" cy="182871"/>
    <mc:AlternateContent xmlns:mc="http://schemas.openxmlformats.org/markup-compatibility/2006" xmlns:a14="http://schemas.microsoft.com/office/drawing/2010/main">
      <mc:Choice Requires="a14">
        <xdr:sp macro="" textlink="">
          <xdr:nvSpPr>
            <xdr:cNvPr id="29" name="TextBox 28">
              <a:extLst>
                <a:ext uri="{FF2B5EF4-FFF2-40B4-BE49-F238E27FC236}">
                  <a16:creationId xmlns:a16="http://schemas.microsoft.com/office/drawing/2014/main" id="{62ADE2A4-EEC3-DAC5-1821-0C69D2A297BC}"/>
                </a:ext>
              </a:extLst>
            </xdr:cNvPr>
            <xdr:cNvSpPr txBox="1"/>
          </xdr:nvSpPr>
          <xdr:spPr>
            <a:xfrm>
              <a:off x="2702615" y="52928353"/>
              <a:ext cx="140538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sub>
                    </m:sSub>
                  </m:oMath>
                </m:oMathPara>
              </a14:m>
              <a:endParaRPr lang="en-AU" sz="1100"/>
            </a:p>
          </xdr:txBody>
        </xdr:sp>
      </mc:Choice>
      <mc:Fallback xmlns="">
        <xdr:sp macro="" textlink="">
          <xdr:nvSpPr>
            <xdr:cNvPr id="29" name="TextBox 28">
              <a:extLst>
                <a:ext uri="{FF2B5EF4-FFF2-40B4-BE49-F238E27FC236}">
                  <a16:creationId xmlns:a16="http://schemas.microsoft.com/office/drawing/2014/main" id="{62ADE2A4-EEC3-DAC5-1821-0C69D2A297BC}"/>
                </a:ext>
              </a:extLst>
            </xdr:cNvPr>
            <xdr:cNvSpPr txBox="1"/>
          </xdr:nvSpPr>
          <xdr:spPr>
            <a:xfrm>
              <a:off x="2702615" y="52928353"/>
              <a:ext cx="140538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𝑀𝑁_𝑗𝑚=𝐴𝐸_𝑗×𝑀𝑀𝑆_𝑗𝑚</a:t>
              </a:r>
              <a:endParaRPr lang="en-AU" sz="1100"/>
            </a:p>
          </xdr:txBody>
        </xdr:sp>
      </mc:Fallback>
    </mc:AlternateContent>
    <xdr:clientData/>
  </xdr:oneCellAnchor>
  <xdr:oneCellAnchor>
    <xdr:from>
      <xdr:col>3</xdr:col>
      <xdr:colOff>10766</xdr:colOff>
      <xdr:row>256</xdr:row>
      <xdr:rowOff>126723</xdr:rowOff>
    </xdr:from>
    <xdr:ext cx="3059363" cy="332079"/>
    <mc:AlternateContent xmlns:mc="http://schemas.openxmlformats.org/markup-compatibility/2006" xmlns:a14="http://schemas.microsoft.com/office/drawing/2010/main">
      <mc:Choice Requires="a14">
        <xdr:sp macro="" textlink="">
          <xdr:nvSpPr>
            <xdr:cNvPr id="30" name="TextBox 29">
              <a:extLst>
                <a:ext uri="{FF2B5EF4-FFF2-40B4-BE49-F238E27FC236}">
                  <a16:creationId xmlns:a16="http://schemas.microsoft.com/office/drawing/2014/main" id="{9A52C0E0-63D1-F42F-F297-DEB574BE3508}"/>
                </a:ext>
              </a:extLst>
            </xdr:cNvPr>
            <xdr:cNvSpPr txBox="1"/>
          </xdr:nvSpPr>
          <xdr:spPr>
            <a:xfrm>
              <a:off x="2686049" y="62130332"/>
              <a:ext cx="3059363"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𝑑𝑖𝑟</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30" name="TextBox 29">
              <a:extLst>
                <a:ext uri="{FF2B5EF4-FFF2-40B4-BE49-F238E27FC236}">
                  <a16:creationId xmlns:a16="http://schemas.microsoft.com/office/drawing/2014/main" id="{9A52C0E0-63D1-F42F-F297-DEB574BE3508}"/>
                </a:ext>
              </a:extLst>
            </xdr:cNvPr>
            <xdr:cNvSpPr txBox="1"/>
          </xdr:nvSpPr>
          <xdr:spPr>
            <a:xfrm>
              <a:off x="2686049" y="62130332"/>
              <a:ext cx="3059363"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𝐸_(𝑁2𝑂,𝑑𝑖𝑟)=∑2_𝑗▒∑2_𝑚▒(𝑀𝑁_𝑗𝑚×𝐸𝐹_𝑚×𝐶_𝑁2𝑂×10^(−3) ) </a:t>
              </a:r>
              <a:endParaRPr lang="en-AU" sz="11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oneCellAnchor>
    <xdr:from>
      <xdr:col>3</xdr:col>
      <xdr:colOff>0</xdr:colOff>
      <xdr:row>7</xdr:row>
      <xdr:rowOff>119062</xdr:rowOff>
    </xdr:from>
    <xdr:ext cx="2746200" cy="33207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605AF6FB-7AF1-FCCA-DC0C-55473FC6CFC2}"/>
                </a:ext>
              </a:extLst>
            </xdr:cNvPr>
            <xdr:cNvSpPr txBox="1"/>
          </xdr:nvSpPr>
          <xdr:spPr>
            <a:xfrm>
              <a:off x="2676525" y="1985962"/>
              <a:ext cx="274620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𝐴𝑇𝑀𝑂𝑆</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m:t>
                                    </m:r>
                                  </m:sub>
                                </m:sSub>
                              </m:e>
                            </m:d>
                          </m:e>
                        </m:nary>
                      </m:e>
                    </m:nary>
                  </m:oMath>
                </m:oMathPara>
              </a14:m>
              <a:endParaRPr lang="en-AU" sz="1100"/>
            </a:p>
          </xdr:txBody>
        </xdr:sp>
      </mc:Choice>
      <mc:Fallback xmlns="">
        <xdr:sp macro="" textlink="">
          <xdr:nvSpPr>
            <xdr:cNvPr id="4" name="TextBox 3">
              <a:extLst>
                <a:ext uri="{FF2B5EF4-FFF2-40B4-BE49-F238E27FC236}">
                  <a16:creationId xmlns:a16="http://schemas.microsoft.com/office/drawing/2014/main" id="{605AF6FB-7AF1-FCCA-DC0C-55473FC6CFC2}"/>
                </a:ext>
              </a:extLst>
            </xdr:cNvPr>
            <xdr:cNvSpPr txBox="1"/>
          </xdr:nvSpPr>
          <xdr:spPr>
            <a:xfrm>
              <a:off x="2676525" y="1985962"/>
              <a:ext cx="274620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𝑀𝑁_𝐴𝑇𝑀𝑂𝑆=∑10_𝑗▒∑10_𝑚▒(𝑀𝑁_𝑗𝑚×𝐹𝑟𝑎𝑐𝐺𝐴𝑆𝑀_𝑚 ) </a:t>
              </a:r>
              <a:endParaRPr lang="en-AU" sz="1100"/>
            </a:p>
          </xdr:txBody>
        </xdr:sp>
      </mc:Fallback>
    </mc:AlternateContent>
    <xdr:clientData/>
  </xdr:oneCellAnchor>
  <xdr:oneCellAnchor>
    <xdr:from>
      <xdr:col>2</xdr:col>
      <xdr:colOff>309562</xdr:colOff>
      <xdr:row>55</xdr:row>
      <xdr:rowOff>128587</xdr:rowOff>
    </xdr:from>
    <xdr:ext cx="2962093" cy="180114"/>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FA3CFBE6-70BE-30B0-69AE-00B861A23008}"/>
                </a:ext>
              </a:extLst>
            </xdr:cNvPr>
            <xdr:cNvSpPr txBox="1"/>
          </xdr:nvSpPr>
          <xdr:spPr>
            <a:xfrm>
              <a:off x="2671762" y="13387387"/>
              <a:ext cx="2962093"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𝑀𝑀𝑆</m:t>
                        </m:r>
                        <m:r>
                          <a:rPr lang="en-AU" sz="1100" i="1">
                            <a:latin typeface="Cambria Math" panose="02040503050406030204" pitchFamily="18" charset="0"/>
                          </a:rPr>
                          <m:t>,</m:t>
                        </m:r>
                        <m:r>
                          <a:rPr lang="en-AU" sz="1100" i="1">
                            <a:latin typeface="Cambria Math" panose="02040503050406030204" pitchFamily="18" charset="0"/>
                          </a:rPr>
                          <m:t>𝑎𝑑</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𝐴𝑇𝑀𝑂𝑆</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5" name="TextBox 4">
              <a:extLst>
                <a:ext uri="{FF2B5EF4-FFF2-40B4-BE49-F238E27FC236}">
                  <a16:creationId xmlns:a16="http://schemas.microsoft.com/office/drawing/2014/main" id="{FA3CFBE6-70BE-30B0-69AE-00B861A23008}"/>
                </a:ext>
              </a:extLst>
            </xdr:cNvPr>
            <xdr:cNvSpPr txBox="1"/>
          </xdr:nvSpPr>
          <xdr:spPr>
            <a:xfrm>
              <a:off x="2671762" y="13387387"/>
              <a:ext cx="2962093"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𝐸_(𝑁2𝑂,𝑀𝑀𝑆,𝑎𝑑)=𝑀𝑁_𝐴𝑇𝑀𝑂𝑆×𝐸𝐹_𝑁2𝑂×𝐶_𝑁2𝑂×10^(−3)</a:t>
              </a:r>
              <a:endParaRPr lang="en-AU" sz="1100"/>
            </a:p>
          </xdr:txBody>
        </xdr:sp>
      </mc:Fallback>
    </mc:AlternateContent>
    <xdr:clientData/>
  </xdr:oneCellAnchor>
</xdr:wsDr>
</file>

<file path=xl/drawings/drawing6.xml><?xml version="1.0" encoding="utf-8"?>
<xdr:wsDr xmlns:xdr="http://schemas.openxmlformats.org/drawingml/2006/spreadsheetDrawing" xmlns:a="http://schemas.openxmlformats.org/drawingml/2006/main">
  <xdr:oneCellAnchor>
    <xdr:from>
      <xdr:col>3</xdr:col>
      <xdr:colOff>19050</xdr:colOff>
      <xdr:row>7</xdr:row>
      <xdr:rowOff>128587</xdr:rowOff>
    </xdr:from>
    <xdr:ext cx="3431965" cy="18287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A968A4CC-38E1-F028-2290-9DEF85E3089C}"/>
                </a:ext>
              </a:extLst>
            </xdr:cNvPr>
            <xdr:cNvSpPr txBox="1"/>
          </xdr:nvSpPr>
          <xdr:spPr>
            <a:xfrm>
              <a:off x="2695575" y="1995487"/>
              <a:ext cx="343196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𝑀𝑁𝐿𝑒𝑎𝑐</m:t>
                    </m:r>
                    <m:sSub>
                      <m:sSubPr>
                        <m:ctrlPr>
                          <a:rPr lang="en-AU" sz="1100" i="1">
                            <a:latin typeface="Cambria Math" panose="02040503050406030204" pitchFamily="18" charset="0"/>
                          </a:rPr>
                        </m:ctrlPr>
                      </m:sSubPr>
                      <m:e>
                        <m:r>
                          <a:rPr lang="en-AU" sz="1100" i="1">
                            <a:latin typeface="Cambria Math" panose="02040503050406030204" pitchFamily="18" charset="0"/>
                          </a:rPr>
                          <m:t>h</m:t>
                        </m:r>
                      </m:e>
                      <m:sub>
                        <m:r>
                          <a:rPr lang="en-AU" sz="1100" i="1">
                            <a:latin typeface="Cambria Math" panose="02040503050406030204" pitchFamily="18" charset="0"/>
                          </a:rPr>
                          <m:t>𝑗𝑚</m:t>
                        </m:r>
                        <m:r>
                          <a:rPr lang="en-AU" sz="1100" i="1">
                            <a:latin typeface="Cambria Math" panose="02040503050406030204" pitchFamily="18" charset="0"/>
                          </a:rPr>
                          <m:t>=4</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=4</m:t>
                        </m:r>
                      </m:sub>
                    </m:sSub>
                    <m:r>
                      <a:rPr lang="en-AU" sz="1100" i="1">
                        <a:latin typeface="Cambria Math" panose="02040503050406030204" pitchFamily="18" charset="0"/>
                      </a:rPr>
                      <m:t>×</m:t>
                    </m:r>
                    <m:r>
                      <a:rPr lang="en-AU" sz="1100" i="1">
                        <a:latin typeface="Cambria Math" panose="02040503050406030204" pitchFamily="18" charset="0"/>
                      </a:rPr>
                      <m:t>𝐹𝑟𝑎𝑐𝑊𝐸</m:t>
                    </m:r>
                    <m:sSub>
                      <m:sSubPr>
                        <m:ctrlPr>
                          <a:rPr lang="en-AU" sz="1100" i="1">
                            <a:latin typeface="Cambria Math" panose="02040503050406030204" pitchFamily="18" charset="0"/>
                          </a:rPr>
                        </m:ctrlPr>
                      </m:sSubPr>
                      <m:e>
                        <m:r>
                          <a:rPr lang="en-AU" sz="1100" i="1">
                            <a:latin typeface="Cambria Math" panose="02040503050406030204" pitchFamily="18" charset="0"/>
                          </a:rPr>
                          <m:t>𝑇</m:t>
                        </m:r>
                      </m:e>
                      <m:sub>
                        <m:r>
                          <a:rPr lang="en-AU" sz="1100" i="1">
                            <a:latin typeface="Cambria Math" panose="02040503050406030204" pitchFamily="18" charset="0"/>
                          </a:rPr>
                          <m:t>𝑖</m:t>
                        </m:r>
                      </m:sub>
                    </m:sSub>
                    <m:r>
                      <a:rPr lang="en-AU" sz="1100" i="1">
                        <a:latin typeface="Cambria Math" panose="02040503050406030204" pitchFamily="18" charset="0"/>
                      </a:rPr>
                      <m:t>×</m:t>
                    </m:r>
                    <m:r>
                      <a:rPr lang="en-AU" sz="1100" i="1">
                        <a:latin typeface="Cambria Math" panose="02040503050406030204" pitchFamily="18" charset="0"/>
                      </a:rPr>
                      <m:t>𝐹𝑟𝑎𝑐𝐿𝐸𝐴𝐶</m:t>
                    </m:r>
                    <m:sSub>
                      <m:sSubPr>
                        <m:ctrlPr>
                          <a:rPr lang="en-AU" sz="1100" i="1">
                            <a:latin typeface="Cambria Math" panose="02040503050406030204" pitchFamily="18" charset="0"/>
                          </a:rPr>
                        </m:ctrlPr>
                      </m:sSubPr>
                      <m:e>
                        <m:r>
                          <a:rPr lang="en-AU" sz="1100" i="1">
                            <a:latin typeface="Cambria Math" panose="02040503050406030204" pitchFamily="18" charset="0"/>
                          </a:rPr>
                          <m:t>𝐻</m:t>
                        </m:r>
                      </m:e>
                      <m:sub>
                        <m:r>
                          <a:rPr lang="en-AU" sz="1100" i="1">
                            <a:latin typeface="Cambria Math" panose="02040503050406030204" pitchFamily="18" charset="0"/>
                          </a:rPr>
                          <m:t>𝑀𝑆</m:t>
                        </m:r>
                      </m:sub>
                    </m:sSub>
                  </m:oMath>
                </m:oMathPara>
              </a14:m>
              <a:endParaRPr lang="en-AU" sz="1100"/>
            </a:p>
          </xdr:txBody>
        </xdr:sp>
      </mc:Choice>
      <mc:Fallback xmlns="">
        <xdr:sp macro="" textlink="">
          <xdr:nvSpPr>
            <xdr:cNvPr id="2" name="TextBox 1">
              <a:extLst>
                <a:ext uri="{FF2B5EF4-FFF2-40B4-BE49-F238E27FC236}">
                  <a16:creationId xmlns:a16="http://schemas.microsoft.com/office/drawing/2014/main" id="{A968A4CC-38E1-F028-2290-9DEF85E3089C}"/>
                </a:ext>
              </a:extLst>
            </xdr:cNvPr>
            <xdr:cNvSpPr txBox="1"/>
          </xdr:nvSpPr>
          <xdr:spPr>
            <a:xfrm>
              <a:off x="2695575" y="1995487"/>
              <a:ext cx="343196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𝑀𝑁𝐿𝑒𝑎𝑐ℎ_(𝑗𝑚=4)=𝑀𝑁_(𝑗𝑚=4)×𝐹𝑟𝑎𝑐𝑊𝐸𝑇_𝑖×𝐹𝑟𝑎𝑐𝐿𝐸𝐴𝐶𝐻_𝑀𝑆</a:t>
              </a:r>
              <a:endParaRPr lang="en-AU" sz="1100"/>
            </a:p>
          </xdr:txBody>
        </xdr:sp>
      </mc:Fallback>
    </mc:AlternateContent>
    <xdr:clientData/>
  </xdr:oneCellAnchor>
  <xdr:oneCellAnchor>
    <xdr:from>
      <xdr:col>3</xdr:col>
      <xdr:colOff>14287</xdr:colOff>
      <xdr:row>36</xdr:row>
      <xdr:rowOff>128587</xdr:rowOff>
    </xdr:from>
    <xdr:ext cx="4071884" cy="332079"/>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72A0C7D8-9DAA-59BB-EAE8-CDDDC6E84314}"/>
                </a:ext>
              </a:extLst>
            </xdr:cNvPr>
            <xdr:cNvSpPr txBox="1"/>
          </xdr:nvSpPr>
          <xdr:spPr>
            <a:xfrm>
              <a:off x="2690812" y="9177337"/>
              <a:ext cx="4071884"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𝑙𝑒𝑎𝑐h</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r>
                              <a:rPr lang="en-AU" sz="1100" i="1">
                                <a:latin typeface="Cambria Math" panose="02040503050406030204" pitchFamily="18" charset="0"/>
                              </a:rPr>
                              <m:t>=1−13</m:t>
                            </m:r>
                          </m:sub>
                          <m:sup/>
                          <m:e>
                            <m:d>
                              <m:dPr>
                                <m:ctrlPr>
                                  <a:rPr lang="en-AU" sz="1100" i="1">
                                    <a:latin typeface="Cambria Math" panose="02040503050406030204" pitchFamily="18" charset="0"/>
                                  </a:rPr>
                                </m:ctrlPr>
                              </m:dPr>
                              <m:e>
                                <m:r>
                                  <a:rPr lang="en-AU" sz="1100" i="1">
                                    <a:latin typeface="Cambria Math" panose="02040503050406030204" pitchFamily="18" charset="0"/>
                                  </a:rPr>
                                  <m:t>𝑀𝑁𝐿𝑒𝑎𝑐</m:t>
                                </m:r>
                                <m:sSub>
                                  <m:sSubPr>
                                    <m:ctrlPr>
                                      <a:rPr lang="en-AU" sz="1100" i="1">
                                        <a:latin typeface="Cambria Math" panose="02040503050406030204" pitchFamily="18" charset="0"/>
                                      </a:rPr>
                                    </m:ctrlPr>
                                  </m:sSubPr>
                                  <m:e>
                                    <m:r>
                                      <a:rPr lang="en-AU" sz="1100" i="1">
                                        <a:latin typeface="Cambria Math" panose="02040503050406030204" pitchFamily="18" charset="0"/>
                                      </a:rPr>
                                      <m:t>h</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72A0C7D8-9DAA-59BB-EAE8-CDDDC6E84314}"/>
                </a:ext>
              </a:extLst>
            </xdr:cNvPr>
            <xdr:cNvSpPr txBox="1"/>
          </xdr:nvSpPr>
          <xdr:spPr>
            <a:xfrm>
              <a:off x="2690812" y="9177337"/>
              <a:ext cx="4071884"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𝐸_(𝑁2𝑂,𝑙𝑒𝑎𝑐ℎ)=∑10_𝑗▒∑10_(𝑚=1−13)▒(𝑀𝑁𝐿𝑒𝑎𝑐ℎ_𝑗𝑚×𝐸𝐹_𝑙𝑒𝑎𝑐ℎ×𝐶_𝑁2𝑂 ) ×10^(−3)</a:t>
              </a:r>
              <a14:m xmlns:a14="http://schemas.microsoft.com/office/drawing/2010/main"/>
            </a:p>
          </xdr:txBody>
        </xdr:sp>
      </mc:Fallback>
    </mc:AlternateContent>
    <xdr:clientData/>
  </xdr:oneCellAnchor>
</xdr:wsDr>
</file>

<file path=xl/drawings/drawing7.xml><?xml version="1.0" encoding="utf-8"?>
<xdr:wsDr xmlns:xdr="http://schemas.openxmlformats.org/drawingml/2006/spreadsheetDrawing" xmlns:a="http://schemas.openxmlformats.org/drawingml/2006/main">
  <xdr:oneCellAnchor>
    <xdr:from>
      <xdr:col>2</xdr:col>
      <xdr:colOff>295275</xdr:colOff>
      <xdr:row>7</xdr:row>
      <xdr:rowOff>93289</xdr:rowOff>
    </xdr:from>
    <xdr:ext cx="6020815" cy="33207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A726328E-340A-1113-AB49-75A92C825931}"/>
                </a:ext>
              </a:extLst>
            </xdr:cNvPr>
            <xdr:cNvSpPr txBox="1"/>
          </xdr:nvSpPr>
          <xdr:spPr>
            <a:xfrm>
              <a:off x="2659716" y="12061171"/>
              <a:ext cx="6020815"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𝑠𝑐𝑜𝑝𝑒</m:t>
                        </m:r>
                        <m:r>
                          <a:rPr lang="en-AU" sz="1100" i="1">
                            <a:latin typeface="Cambria Math" panose="02040503050406030204" pitchFamily="18" charset="0"/>
                          </a:rPr>
                          <m:t>1</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=1−13</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m:t>
                                        </m:r>
                                        <m:r>
                                          <a:rPr lang="en-AU" sz="1100" i="1">
                                            <a:latin typeface="Cambria Math" panose="02040503050406030204" pitchFamily="18" charset="0"/>
                                          </a:rPr>
                                          <m:t>=1−13</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m:t>
                                        </m:r>
                                        <m:r>
                                          <a:rPr lang="en-AU" sz="1100" i="1">
                                            <a:latin typeface="Cambria Math" panose="02040503050406030204" pitchFamily="18" charset="0"/>
                                          </a:rPr>
                                          <m:t>=1−13</m:t>
                                        </m:r>
                                      </m:sub>
                                    </m:sSub>
                                  </m:e>
                                </m:d>
                                <m:r>
                                  <a:rPr lang="en-AU" sz="1100" i="1">
                                    <a:latin typeface="Cambria Math" panose="02040503050406030204" pitchFamily="18" charset="0"/>
                                  </a:rPr>
                                  <m:t>−</m:t>
                                </m:r>
                                <m:r>
                                  <a:rPr lang="en-AU" sz="1100" i="1">
                                    <a:latin typeface="Cambria Math" panose="02040503050406030204" pitchFamily="18" charset="0"/>
                                  </a:rPr>
                                  <m:t>𝑀𝑁𝐿𝑒𝑎𝑐</m:t>
                                </m:r>
                                <m:sSub>
                                  <m:sSubPr>
                                    <m:ctrlPr>
                                      <a:rPr lang="en-AU" sz="1100" i="1">
                                        <a:latin typeface="Cambria Math" panose="02040503050406030204" pitchFamily="18" charset="0"/>
                                      </a:rPr>
                                    </m:ctrlPr>
                                  </m:sSubPr>
                                  <m:e>
                                    <m:r>
                                      <a:rPr lang="en-AU" sz="1100" i="1">
                                        <a:latin typeface="Cambria Math" panose="02040503050406030204" pitchFamily="18" charset="0"/>
                                      </a:rPr>
                                      <m:t>h</m:t>
                                    </m:r>
                                  </m:e>
                                  <m:sub>
                                    <m:r>
                                      <a:rPr lang="en-AU" sz="1100" i="1">
                                        <a:latin typeface="Cambria Math" panose="02040503050406030204" pitchFamily="18" charset="0"/>
                                      </a:rPr>
                                      <m:t>𝑗𝑚</m:t>
                                    </m:r>
                                  </m:sub>
                                </m:sSub>
                              </m:e>
                            </m:d>
                          </m:e>
                        </m:nary>
                      </m:e>
                    </m:nary>
                    <m:r>
                      <a:rPr lang="en-AU" sz="1100" i="1">
                        <a:latin typeface="Cambria Math" panose="02040503050406030204" pitchFamily="18" charset="0"/>
                      </a:rPr>
                      <m:t>×</m:t>
                    </m:r>
                    <m:r>
                      <a:rPr lang="en-AU" sz="1100" i="1">
                        <a:latin typeface="Cambria Math" panose="02040503050406030204" pitchFamily="18" charset="0"/>
                      </a:rPr>
                      <m:t>𝑃𝐹</m:t>
                    </m:r>
                  </m:oMath>
                </m:oMathPara>
              </a14:m>
              <a:endParaRPr lang="en-AU" sz="1100"/>
            </a:p>
          </xdr:txBody>
        </xdr:sp>
      </mc:Choice>
      <mc:Fallback xmlns="">
        <xdr:sp macro="" textlink="">
          <xdr:nvSpPr>
            <xdr:cNvPr id="4" name="TextBox 3">
              <a:extLst>
                <a:ext uri="{FF2B5EF4-FFF2-40B4-BE49-F238E27FC236}">
                  <a16:creationId xmlns:a16="http://schemas.microsoft.com/office/drawing/2014/main" id="{A726328E-340A-1113-AB49-75A92C825931}"/>
                </a:ext>
              </a:extLst>
            </xdr:cNvPr>
            <xdr:cNvSpPr txBox="1"/>
          </xdr:nvSpPr>
          <xdr:spPr>
            <a:xfrm>
              <a:off x="2659716" y="12061171"/>
              <a:ext cx="6020815"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𝑀𝑁𝑆𝑜𝑖𝑙_𝑠𝑐𝑜𝑝𝑒1=∑2_𝑗▒∑2_𝑚▒(𝑀𝑁_(𝑗𝑚=1−13)×(1−𝐸𝐹_(𝑚=1−13)−𝐹𝑟𝑎𝑐𝐺𝐴𝑆𝑀_(𝑚=1−13) )−𝑀𝑁𝐿𝑒𝑎𝑐ℎ_𝑗𝑚 ) ×𝑃𝐹</a:t>
              </a:r>
              <a:endParaRPr lang="en-AU" sz="1100"/>
            </a:p>
          </xdr:txBody>
        </xdr:sp>
      </mc:Fallback>
    </mc:AlternateContent>
    <xdr:clientData/>
  </xdr:oneCellAnchor>
  <xdr:oneCellAnchor>
    <xdr:from>
      <xdr:col>3</xdr:col>
      <xdr:colOff>13445</xdr:colOff>
      <xdr:row>91</xdr:row>
      <xdr:rowOff>108696</xdr:rowOff>
    </xdr:from>
    <xdr:ext cx="6384120" cy="332079"/>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D1D84F8D-E857-934D-8CCF-DE7C29BCD497}"/>
                </a:ext>
              </a:extLst>
            </xdr:cNvPr>
            <xdr:cNvSpPr txBox="1"/>
          </xdr:nvSpPr>
          <xdr:spPr>
            <a:xfrm>
              <a:off x="2691651" y="26868343"/>
              <a:ext cx="638412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𝑠𝑐𝑜𝑝𝑒</m:t>
                        </m:r>
                        <m:r>
                          <a:rPr lang="en-AU" sz="1100" i="1">
                            <a:latin typeface="Cambria Math" panose="02040503050406030204" pitchFamily="18" charset="0"/>
                          </a:rPr>
                          <m:t>3</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=1−13</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m:t>
                                        </m:r>
                                        <m:r>
                                          <a:rPr lang="en-AU" sz="1100" i="1">
                                            <a:latin typeface="Cambria Math" panose="02040503050406030204" pitchFamily="18" charset="0"/>
                                          </a:rPr>
                                          <m:t>=1−13</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m:t>
                                        </m:r>
                                        <m:r>
                                          <a:rPr lang="en-AU" sz="1100" i="1">
                                            <a:latin typeface="Cambria Math" panose="02040503050406030204" pitchFamily="18" charset="0"/>
                                          </a:rPr>
                                          <m:t>=1−13</m:t>
                                        </m:r>
                                      </m:sub>
                                    </m:sSub>
                                  </m:e>
                                </m:d>
                                <m:r>
                                  <a:rPr lang="en-AU" sz="1100" i="1">
                                    <a:latin typeface="Cambria Math" panose="02040503050406030204" pitchFamily="18" charset="0"/>
                                  </a:rPr>
                                  <m:t>−</m:t>
                                </m:r>
                                <m:r>
                                  <a:rPr lang="en-AU" sz="1100" i="1">
                                    <a:latin typeface="Cambria Math" panose="02040503050406030204" pitchFamily="18" charset="0"/>
                                  </a:rPr>
                                  <m:t>𝑀𝑁𝐿𝑒𝑎𝑐</m:t>
                                </m:r>
                                <m:sSub>
                                  <m:sSubPr>
                                    <m:ctrlPr>
                                      <a:rPr lang="en-AU" sz="1100" i="1">
                                        <a:latin typeface="Cambria Math" panose="02040503050406030204" pitchFamily="18" charset="0"/>
                                      </a:rPr>
                                    </m:ctrlPr>
                                  </m:sSubPr>
                                  <m:e>
                                    <m:r>
                                      <a:rPr lang="en-AU" sz="1100" i="1">
                                        <a:latin typeface="Cambria Math" panose="02040503050406030204" pitchFamily="18" charset="0"/>
                                      </a:rPr>
                                      <m:t>h</m:t>
                                    </m:r>
                                  </m:e>
                                  <m:sub>
                                    <m:r>
                                      <a:rPr lang="en-AU" sz="1100" i="1">
                                        <a:latin typeface="Cambria Math" panose="02040503050406030204" pitchFamily="18" charset="0"/>
                                      </a:rPr>
                                      <m:t>𝑗𝑚</m:t>
                                    </m:r>
                                  </m:sub>
                                </m:sSub>
                              </m:e>
                            </m:d>
                          </m:e>
                        </m:nary>
                      </m:e>
                    </m:nary>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𝑃𝐹</m:t>
                        </m:r>
                      </m:e>
                    </m:d>
                  </m:oMath>
                </m:oMathPara>
              </a14:m>
              <a:endParaRPr lang="en-AU" sz="1100"/>
            </a:p>
          </xdr:txBody>
        </xdr:sp>
      </mc:Choice>
      <mc:Fallback xmlns="">
        <xdr:sp macro="" textlink="">
          <xdr:nvSpPr>
            <xdr:cNvPr id="6" name="TextBox 5">
              <a:extLst>
                <a:ext uri="{FF2B5EF4-FFF2-40B4-BE49-F238E27FC236}">
                  <a16:creationId xmlns:a16="http://schemas.microsoft.com/office/drawing/2014/main" id="{D1D84F8D-E857-934D-8CCF-DE7C29BCD497}"/>
                </a:ext>
              </a:extLst>
            </xdr:cNvPr>
            <xdr:cNvSpPr txBox="1"/>
          </xdr:nvSpPr>
          <xdr:spPr>
            <a:xfrm>
              <a:off x="2691651" y="26868343"/>
              <a:ext cx="638412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𝑀𝑁𝑆𝑜𝑖𝑙_𝑠𝑐𝑜𝑝𝑒3=∑2_𝑗▒∑2_𝑚▒(𝑀𝑁_(𝑗𝑚=1−13)×(1−𝐸𝐹_(𝑚=1−13)−𝐹𝑟𝑎𝑐𝐺𝐴𝑆𝑀_(𝑚=1−13) )−𝑀𝑁𝐿𝑒𝑎𝑐ℎ_𝑗𝑚 ) ×(1−𝑃𝐹)</a:t>
              </a:r>
              <a:endParaRPr lang="en-AU" sz="1100"/>
            </a:p>
          </xdr:txBody>
        </xdr:sp>
      </mc:Fallback>
    </mc:AlternateContent>
    <xdr:clientData/>
  </xdr:oneCellAnchor>
</xdr:wsDr>
</file>

<file path=xl/drawings/drawing8.xml><?xml version="1.0" encoding="utf-8"?>
<xdr:wsDr xmlns:xdr="http://schemas.openxmlformats.org/drawingml/2006/spreadsheetDrawing" xmlns:a="http://schemas.openxmlformats.org/drawingml/2006/main">
  <xdr:oneCellAnchor>
    <xdr:from>
      <xdr:col>3</xdr:col>
      <xdr:colOff>0</xdr:colOff>
      <xdr:row>37</xdr:row>
      <xdr:rowOff>90487</xdr:rowOff>
    </xdr:from>
    <xdr:ext cx="3066352" cy="33207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ADF194B7-FEFD-04AE-8133-8DF4365FDE6D}"/>
                </a:ext>
              </a:extLst>
            </xdr:cNvPr>
            <xdr:cNvSpPr txBox="1"/>
          </xdr:nvSpPr>
          <xdr:spPr>
            <a:xfrm>
              <a:off x="2676525" y="9386887"/>
              <a:ext cx="306635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𝑑𝑖𝑟</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=14</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𝑃𝑅𝑃</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oMath>
                </m:oMathPara>
              </a14:m>
              <a:endParaRPr lang="en-AU" sz="1100"/>
            </a:p>
          </xdr:txBody>
        </xdr:sp>
      </mc:Choice>
      <mc:Fallback xmlns="">
        <xdr:sp macro="" textlink="">
          <xdr:nvSpPr>
            <xdr:cNvPr id="2" name="TextBox 1">
              <a:extLst>
                <a:ext uri="{FF2B5EF4-FFF2-40B4-BE49-F238E27FC236}">
                  <a16:creationId xmlns:a16="http://schemas.microsoft.com/office/drawing/2014/main" id="{ADF194B7-FEFD-04AE-8133-8DF4365FDE6D}"/>
                </a:ext>
              </a:extLst>
            </xdr:cNvPr>
            <xdr:cNvSpPr txBox="1"/>
          </xdr:nvSpPr>
          <xdr:spPr>
            <a:xfrm>
              <a:off x="2676525" y="9386887"/>
              <a:ext cx="306635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𝐸_(𝑁2𝑂,𝑑𝑖𝑟)=∑10_𝑗▒(𝑀𝑁_(𝑗𝑚=14)×𝐸𝐹_𝑃𝑅𝑃×𝐶_𝑁2𝑂×10^(−3) ) </a:t>
              </a:r>
              <a:endParaRPr lang="en-AU" sz="1100"/>
            </a:p>
          </xdr:txBody>
        </xdr:sp>
      </mc:Fallback>
    </mc:AlternateContent>
    <xdr:clientData/>
  </xdr:oneCellAnchor>
  <xdr:oneCellAnchor>
    <xdr:from>
      <xdr:col>3</xdr:col>
      <xdr:colOff>27332</xdr:colOff>
      <xdr:row>7</xdr:row>
      <xdr:rowOff>118440</xdr:rowOff>
    </xdr:from>
    <xdr:ext cx="1405385" cy="182871"/>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FCE4692A-99FC-4A4D-A2C1-8A8FA6D1A6D6}"/>
                </a:ext>
              </a:extLst>
            </xdr:cNvPr>
            <xdr:cNvSpPr txBox="1"/>
          </xdr:nvSpPr>
          <xdr:spPr>
            <a:xfrm>
              <a:off x="2703857" y="52753590"/>
              <a:ext cx="140538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sub>
                    </m:sSub>
                  </m:oMath>
                </m:oMathPara>
              </a14:m>
              <a:endParaRPr lang="en-AU" sz="1100"/>
            </a:p>
          </xdr:txBody>
        </xdr:sp>
      </mc:Choice>
      <mc:Fallback xmlns="">
        <xdr:sp macro="" textlink="">
          <xdr:nvSpPr>
            <xdr:cNvPr id="3" name="TextBox 2">
              <a:extLst>
                <a:ext uri="{FF2B5EF4-FFF2-40B4-BE49-F238E27FC236}">
                  <a16:creationId xmlns:a16="http://schemas.microsoft.com/office/drawing/2014/main" id="{FCE4692A-99FC-4A4D-A2C1-8A8FA6D1A6D6}"/>
                </a:ext>
              </a:extLst>
            </xdr:cNvPr>
            <xdr:cNvSpPr txBox="1"/>
          </xdr:nvSpPr>
          <xdr:spPr>
            <a:xfrm>
              <a:off x="2703857" y="52753590"/>
              <a:ext cx="140538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𝑀𝑁_𝑗𝑚=𝐴𝐸_𝑗×𝑀𝑀𝑆_𝑗𝑚</a:t>
              </a:r>
              <a:endParaRPr lang="en-AU" sz="1100"/>
            </a:p>
          </xdr:txBody>
        </xdr:sp>
      </mc:Fallback>
    </mc:AlternateContent>
    <xdr:clientData/>
  </xdr:oneCellAnchor>
</xdr:wsDr>
</file>

<file path=xl/drawings/drawing9.xml><?xml version="1.0" encoding="utf-8"?>
<xdr:wsDr xmlns:xdr="http://schemas.openxmlformats.org/drawingml/2006/spreadsheetDrawing" xmlns:a="http://schemas.openxmlformats.org/drawingml/2006/main">
  <xdr:oneCellAnchor>
    <xdr:from>
      <xdr:col>2</xdr:col>
      <xdr:colOff>304800</xdr:colOff>
      <xdr:row>7</xdr:row>
      <xdr:rowOff>109537</xdr:rowOff>
    </xdr:from>
    <xdr:ext cx="2790058" cy="33207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3B6391E0-FCC4-69B3-A285-38EEF2AFD673}"/>
                </a:ext>
              </a:extLst>
            </xdr:cNvPr>
            <xdr:cNvSpPr txBox="1"/>
          </xdr:nvSpPr>
          <xdr:spPr>
            <a:xfrm>
              <a:off x="2667000" y="1976437"/>
              <a:ext cx="279005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=14</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=14</m:t>
                                </m:r>
                              </m:sub>
                            </m:sSub>
                            <m:r>
                              <a:rPr lang="en-AU" sz="1100" i="1">
                                <a:latin typeface="Cambria Math" panose="02040503050406030204" pitchFamily="18" charset="0"/>
                              </a:rPr>
                              <m:t>×</m:t>
                            </m:r>
                            <m:r>
                              <a:rPr lang="en-AU" sz="1100" i="1">
                                <a:latin typeface="Cambria Math" panose="02040503050406030204" pitchFamily="18" charset="0"/>
                              </a:rPr>
                              <m:t>𝐹𝑟𝑎𝑐𝐺𝐴𝑆𝑀𝑠𝑜𝑖𝑙</m:t>
                            </m:r>
                          </m:e>
                        </m:d>
                      </m:e>
                    </m:nary>
                  </m:oMath>
                </m:oMathPara>
              </a14:m>
              <a:endParaRPr lang="en-AU" sz="1100"/>
            </a:p>
          </xdr:txBody>
        </xdr:sp>
      </mc:Choice>
      <mc:Fallback xmlns="">
        <xdr:sp macro="" textlink="">
          <xdr:nvSpPr>
            <xdr:cNvPr id="2" name="TextBox 1">
              <a:extLst>
                <a:ext uri="{FF2B5EF4-FFF2-40B4-BE49-F238E27FC236}">
                  <a16:creationId xmlns:a16="http://schemas.microsoft.com/office/drawing/2014/main" id="{3B6391E0-FCC4-69B3-A285-38EEF2AFD673}"/>
                </a:ext>
              </a:extLst>
            </xdr:cNvPr>
            <xdr:cNvSpPr txBox="1"/>
          </xdr:nvSpPr>
          <xdr:spPr>
            <a:xfrm>
              <a:off x="2667000" y="1976437"/>
              <a:ext cx="279005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𝑀_(𝑣𝑜𝑙,𝑚=14)=∑10_𝑗▒(𝑀𝑁_(𝑗𝑚=14)×𝐹𝑟𝑎𝑐𝐺𝐴𝑆𝑀𝑠𝑜𝑖𝑙) </a:t>
              </a:r>
              <a:endParaRPr lang="en-AU" sz="1100"/>
            </a:p>
          </xdr:txBody>
        </xdr:sp>
      </mc:Fallback>
    </mc:AlternateContent>
    <xdr:clientData/>
  </xdr:oneCellAnchor>
  <xdr:oneCellAnchor>
    <xdr:from>
      <xdr:col>3</xdr:col>
      <xdr:colOff>4762</xdr:colOff>
      <xdr:row>32</xdr:row>
      <xdr:rowOff>119062</xdr:rowOff>
    </xdr:from>
    <xdr:ext cx="2723630" cy="1801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E94096BB-B3AC-C657-F074-4108B97A6AB3}"/>
                </a:ext>
              </a:extLst>
            </xdr:cNvPr>
            <xdr:cNvSpPr txBox="1"/>
          </xdr:nvSpPr>
          <xdr:spPr>
            <a:xfrm>
              <a:off x="2681287" y="7681912"/>
              <a:ext cx="2723630"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𝑎𝑑</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=14</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E94096BB-B3AC-C657-F074-4108B97A6AB3}"/>
                </a:ext>
              </a:extLst>
            </xdr:cNvPr>
            <xdr:cNvSpPr txBox="1"/>
          </xdr:nvSpPr>
          <xdr:spPr>
            <a:xfrm>
              <a:off x="2681287" y="7681912"/>
              <a:ext cx="2723630"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𝐸_(𝑁2𝑂,𝑎𝑑)=𝑀_(𝑣𝑜𝑙,𝑚=14)×𝐸𝐹_𝑁2𝑂×𝐶_𝑁2𝑂×10^(−3)</a:t>
              </a:r>
              <a:endParaRPr lang="en-AU" sz="1100"/>
            </a:p>
          </xdr:txBody>
        </xdr:sp>
      </mc:Fallback>
    </mc:AlternateContent>
    <xdr:clientData/>
  </xdr:oneCellAnchor>
</xdr:wsDr>
</file>

<file path=xl/drawings/drawing10.xml><?xml version="1.0" encoding="utf-8"?>
<xdr:wsDr xmlns:xdr="http://schemas.openxmlformats.org/drawingml/2006/spreadsheetDrawing" xmlns:a="http://schemas.openxmlformats.org/drawingml/2006/main">
  <xdr:oneCellAnchor>
    <xdr:from>
      <xdr:col>3</xdr:col>
      <xdr:colOff>9525</xdr:colOff>
      <xdr:row>7</xdr:row>
      <xdr:rowOff>52387</xdr:rowOff>
    </xdr:from>
    <xdr:ext cx="3462037" cy="33207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D10DFE55-4154-79C9-A905-876895805C5B}"/>
                </a:ext>
              </a:extLst>
            </xdr:cNvPr>
            <xdr:cNvSpPr txBox="1"/>
          </xdr:nvSpPr>
          <xdr:spPr>
            <a:xfrm>
              <a:off x="2686050" y="1919287"/>
              <a:ext cx="3462037"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=14</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=14</m:t>
                                </m:r>
                              </m:sub>
                            </m:sSub>
                            <m:r>
                              <a:rPr lang="en-AU" sz="1100" i="1">
                                <a:latin typeface="Cambria Math" panose="02040503050406030204" pitchFamily="18" charset="0"/>
                              </a:rPr>
                              <m:t>×</m:t>
                            </m:r>
                            <m:r>
                              <a:rPr lang="en-AU" sz="1100" i="1">
                                <a:latin typeface="Cambria Math" panose="02040503050406030204" pitchFamily="18" charset="0"/>
                              </a:rPr>
                              <m:t>𝐹𝑟𝑎𝑐𝑊𝑒𝑡</m:t>
                            </m:r>
                            <m:r>
                              <a:rPr lang="en-AU" sz="1100" i="1">
                                <a:latin typeface="Cambria Math" panose="02040503050406030204" pitchFamily="18" charset="0"/>
                              </a:rPr>
                              <m:t>×</m:t>
                            </m:r>
                            <m:r>
                              <a:rPr lang="en-AU" sz="1100" i="1">
                                <a:latin typeface="Cambria Math" panose="02040503050406030204" pitchFamily="18" charset="0"/>
                              </a:rPr>
                              <m:t>𝐹𝑟𝑎𝑐𝐿𝐸𝐴𝐶𝐻</m:t>
                            </m:r>
                          </m:e>
                        </m:d>
                      </m:e>
                    </m:nary>
                  </m:oMath>
                </m:oMathPara>
              </a14:m>
              <a:endParaRPr lang="en-AU" sz="1100"/>
            </a:p>
          </xdr:txBody>
        </xdr:sp>
      </mc:Choice>
      <mc:Fallback xmlns="">
        <xdr:sp macro="" textlink="">
          <xdr:nvSpPr>
            <xdr:cNvPr id="2" name="TextBox 1">
              <a:extLst>
                <a:ext uri="{FF2B5EF4-FFF2-40B4-BE49-F238E27FC236}">
                  <a16:creationId xmlns:a16="http://schemas.microsoft.com/office/drawing/2014/main" id="{D10DFE55-4154-79C9-A905-876895805C5B}"/>
                </a:ext>
              </a:extLst>
            </xdr:cNvPr>
            <xdr:cNvSpPr txBox="1"/>
          </xdr:nvSpPr>
          <xdr:spPr>
            <a:xfrm>
              <a:off x="2686050" y="1919287"/>
              <a:ext cx="3462037"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𝑀_(𝑙𝑒𝑎𝑐ℎ,𝑚=14)=∑10_𝑗▒(𝑀𝑁_(𝑗𝑚=14)×𝐹𝑟𝑎𝑐𝑊𝑒𝑡×𝐹𝑟𝑎𝑐𝐿𝐸𝐴𝐶𝐻</a:t>
              </a:r>
              <a14:m xmlns:a14="http://schemas.microsoft.com/office/drawing/2010/main"/>
            </a:p>
          </xdr:txBody>
        </xdr:sp>
      </mc:Fallback>
    </mc:AlternateContent>
    <xdr:clientData/>
  </xdr:oneCellAnchor>
  <xdr:oneCellAnchor>
    <xdr:from>
      <xdr:col>3</xdr:col>
      <xdr:colOff>19050</xdr:colOff>
      <xdr:row>37</xdr:row>
      <xdr:rowOff>109537</xdr:rowOff>
    </xdr:from>
    <xdr:ext cx="3045001" cy="1801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4C304F3D-5707-9227-DCF1-C193757E1DBE}"/>
                </a:ext>
              </a:extLst>
            </xdr:cNvPr>
            <xdr:cNvSpPr txBox="1"/>
          </xdr:nvSpPr>
          <xdr:spPr>
            <a:xfrm>
              <a:off x="2695575" y="8662987"/>
              <a:ext cx="3045001"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=14</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4C304F3D-5707-9227-DCF1-C193757E1DBE}"/>
                </a:ext>
              </a:extLst>
            </xdr:cNvPr>
            <xdr:cNvSpPr txBox="1"/>
          </xdr:nvSpPr>
          <xdr:spPr>
            <a:xfrm>
              <a:off x="2695575" y="8662987"/>
              <a:ext cx="3045001"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𝐸_(𝑁2𝑂,𝑙𝑒𝑎𝑐ℎ)=𝑀_(𝑙𝑒𝑎𝑐ℎ,𝑚=14)×𝐸𝐹_𝑙𝑒𝑎𝑐ℎ×𝐶_𝑁2𝑂×10^(−3)</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D5C443B2-EDE2-4250-B2EE-016878D19AD9}" name="Table_SourceData_Dairy_MMS" displayName="Table_SourceData_Dairy_MMS" ref="D7:E11" totalsRowShown="0">
  <autoFilter ref="D7:E11" xr:uid="{D5C443B2-EDE2-4250-B2EE-016878D19AD9}">
    <filterColumn colId="0" hiddenButton="1"/>
    <filterColumn colId="1" hiddenButton="1"/>
  </autoFilter>
  <tableColumns count="2">
    <tableColumn id="1" xr3:uid="{F2B173A3-CADE-4DCA-988D-39EE2392D8DB}" name="MMS"/>
    <tableColumn id="2" xr3:uid="{67006656-167A-4452-9820-88D798B88ADD}" name="Symbol and MMS" dataDxfId="78" dataCellStyle="Content normal"/>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F3FE3A-A0B5-47E7-85B2-8426FB75A7C8}" name="Table_SourceData_Dairy_CropProdSystems" displayName="Table_SourceData_Dairy_CropProdSystems" ref="G7:G9" totalsRowShown="0">
  <autoFilter ref="G7:G9" xr:uid="{B6F3FE3A-A0B5-47E7-85B2-8426FB75A7C8}">
    <filterColumn colId="0" hiddenButton="1"/>
  </autoFilter>
  <tableColumns count="1">
    <tableColumn id="1" xr3:uid="{488F257E-D7D8-4266-96A1-1EA0C5DDDD42}" name="Production system">
      <calculatedColumnFormula>#REF!</calculatedColumnFormula>
    </tableColumn>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E172B77-CEA3-430C-84BC-392A64D0B8FF}" name="Table_SourceData_Dairy_IrrigationMethods" displayName="Table_SourceData_Dairy_IrrigationMethods" ref="J7:J12" totalsRowShown="0">
  <autoFilter ref="J7:J12" xr:uid="{FE172B77-CEA3-430C-84BC-392A64D0B8FF}">
    <filterColumn colId="0" hiddenButton="1"/>
  </autoFilter>
  <tableColumns count="1">
    <tableColumn id="1" xr3:uid="{A9C33016-6229-4481-B099-D67C87E2584C}" name="Irrigation method"/>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67AC8BB-7677-48EA-BDB5-2C0BC5B0F947}" name="Table_SourceData_Dairy_WjCowsHeifers" displayName="Table_SourceData_Dairy_WjCowsHeifers" ref="D21:G31" totalsRowShown="0">
  <autoFilter ref="D21:G31" xr:uid="{967AC8BB-7677-48EA-BDB5-2C0BC5B0F947}">
    <filterColumn colId="0" hiddenButton="1"/>
    <filterColumn colId="1" hiddenButton="1"/>
    <filterColumn colId="2" hiddenButton="1"/>
    <filterColumn colId="3" hiddenButton="1"/>
  </autoFilter>
  <tableColumns count="4">
    <tableColumn id="1" xr3:uid="{CAC4C566-E7DF-44B3-BDB4-4B1785D5F9F0}" name="Breed">
      <calculatedColumnFormula array="1">Common_InputFunctions.Utility_DisplayArrayInTable(SourceData_Dairy.SourceData_Dairy_LiveweightCowsAndHeifers_Data(), Table_SourceData_Dairy_WjCowsHeifers[[#Headers],[Breed]], 0)</calculatedColumnFormula>
    </tableColumn>
    <tableColumn id="2" xr3:uid="{4C5541D8-40C3-436A-815B-7A3D9D154BB6}" name="Milking cows" dataDxfId="77" dataCellStyle="Content normal">
      <calculatedColumnFormula array="1">Common_InputFunctions.Utility_DisplayArrayInTable(SourceData_Dairy.SourceData_Dairy_LiveweightCowsAndHeifers_Data(), Table_SourceData_Dairy_WjCowsHeifers[[#Headers],[Breed]], 0)</calculatedColumnFormula>
    </tableColumn>
    <tableColumn id="3" xr3:uid="{A8A468F3-E260-4E60-AC14-8F50FD33B46B}" name="Heifers &gt; 1" dataDxfId="76" dataCellStyle="Content normal">
      <calculatedColumnFormula array="1">Common_InputFunctions.Utility_DisplayArrayInTable(SourceData_Dairy.SourceData_Dairy_LiveweightCowsAndHeifers_Data(), Table_SourceData_Dairy_WjCowsHeifers[[#Headers],[Breed]], 0)</calculatedColumnFormula>
    </tableColumn>
    <tableColumn id="4" xr3:uid="{2081FE2E-69DF-48BF-9561-91AC655332BC}" name="Heifers &lt; 1 (weaned)" dataDxfId="75" dataCellStyle="Content normal">
      <calculatedColumnFormula array="1">Common_InputFunctions.Utility_DisplayArrayInTable(SourceData_Dairy.SourceData_Dairy_LiveweightCowsAndHeifers_Data(), Table_SourceData_Dairy_WjCowsHeifers[[#Headers],[Breed]],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F7576A8-349F-4CC0-92AE-D91A1F2F1417}" name="Table_SourceData_Dairy_WjBulls" displayName="Table_SourceData_Dairy_WjBulls" ref="D38:F39" totalsRowShown="0">
  <autoFilter ref="D38:F39" xr:uid="{AF7576A8-349F-4CC0-92AE-D91A1F2F1417}">
    <filterColumn colId="0" hiddenButton="1"/>
    <filterColumn colId="1" hiddenButton="1"/>
    <filterColumn colId="2" hiddenButton="1"/>
  </autoFilter>
  <tableColumns count="3">
    <tableColumn id="1" xr3:uid="{40374F5E-9BC3-4080-A28F-8B1F65DE1774}" name="Breed">
      <calculatedColumnFormula array="1">Common_InputFunctions.Utility_DisplayArrayInTable(SourceData_Dairy.SourceData_Dairy_LiveweightBulls_Data(), Table_SourceData_Dairy_WjBulls[[#Headers],[Breed]], 0)</calculatedColumnFormula>
    </tableColumn>
    <tableColumn id="2" xr3:uid="{C20ABB8A-524B-457C-86CD-D1ADCBCD6339}" name="Bulls &gt; 1" dataDxfId="74" dataCellStyle="Content normal">
      <calculatedColumnFormula array="1">Common_InputFunctions.Utility_DisplayArrayInTable(SourceData_Dairy.SourceData_Dairy_LiveweightBulls_Data(), Table_SourceData_Dairy_WjBulls[[#Headers],[Breed]], 0)</calculatedColumnFormula>
    </tableColumn>
    <tableColumn id="3" xr3:uid="{7E843FE2-40FC-4270-88C9-9204E6D4AFBC}" name="Bulls &lt; 1 (weaned)" dataDxfId="73" dataCellStyle="Content normal">
      <calculatedColumnFormula array="1">Common_InputFunctions.Utility_DisplayArrayInTable(SourceData_Dairy.SourceData_Dairy_LiveweightBulls_Data(), Table_SourceData_Dairy_WjBulls[[#Headers],[Breed]], 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FCFB773-B7EE-42F8-AC7C-31621B260645}" name="Table_SourceData_Dairy_LWGj" displayName="Table_SourceData_Dairy_LWGj" ref="D46:H47" totalsRowShown="0">
  <autoFilter ref="D46:H47" xr:uid="{8FCFB773-B7EE-42F8-AC7C-31621B260645}">
    <filterColumn colId="0" hiddenButton="1"/>
    <filterColumn colId="1" hiddenButton="1"/>
    <filterColumn colId="2" hiddenButton="1"/>
    <filterColumn colId="3" hiddenButton="1"/>
    <filterColumn colId="4" hiddenButton="1"/>
  </autoFilter>
  <tableColumns count="5">
    <tableColumn id="1" xr3:uid="{69C0AC05-6C13-494A-8124-C36C4B6D01B6}" name="Milking cows">
      <calculatedColumnFormula array="1">Common_InputFunctions.Utility_DisplayArrayInTable(SourceData_Dairy.SourceData_Dairy_LiveweightGain_Data(), Table_SourceData_Dairy_LWGj[[#Headers],[Milking cows]], 0)</calculatedColumnFormula>
    </tableColumn>
    <tableColumn id="2" xr3:uid="{6F9B3B56-C4EB-4BB7-8805-05635494D786}" name="Heifers &gt; 1" dataDxfId="72" dataCellStyle="Content normal">
      <calculatedColumnFormula array="1">Common_InputFunctions.Utility_DisplayArrayInTable(SourceData_Dairy.SourceData_Dairy_LiveweightGain_Data(), Table_SourceData_Dairy_LWGj[[#Headers],[Milking cows]], 0)</calculatedColumnFormula>
    </tableColumn>
    <tableColumn id="3" xr3:uid="{9CCB5E7F-697E-47C8-A2FC-07B0CCA18EF6}" name="Heifers &lt; 1 (weaned)" dataDxfId="71" dataCellStyle="Content normal">
      <calculatedColumnFormula array="1">Common_InputFunctions.Utility_DisplayArrayInTable(SourceData_Dairy.SourceData_Dairy_LiveweightGain_Data(), Table_SourceData_Dairy_LWGj[[#Headers],[Milking cows]], 0)</calculatedColumnFormula>
    </tableColumn>
    <tableColumn id="4" xr3:uid="{E2F3229F-1A83-4902-9C97-123E692B43D6}" name="Bulls &gt; 1" dataDxfId="70" dataCellStyle="Content normal">
      <calculatedColumnFormula array="1">Common_InputFunctions.Utility_DisplayArrayInTable(SourceData_Dairy.SourceData_Dairy_LiveweightGain_Data(), Table_SourceData_Dairy_LWGj[[#Headers],[Milking cows]], 0)</calculatedColumnFormula>
    </tableColumn>
    <tableColumn id="5" xr3:uid="{409BDD9D-D084-43BF-B34D-A29B0DFF00E7}" name="Bulls &lt; 1 (weaned)" dataDxfId="69" dataCellStyle="Content normal">
      <calculatedColumnFormula array="1">Common_InputFunctions.Utility_DisplayArrayInTable(SourceData_Dairy.SourceData_Dairy_LiveweightGain_Data(), Table_SourceData_Dairy_LWGj[[#Headers],[Milking cows]], 0)</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96C6784-8B86-412A-92D3-E911DE28757C}" name="Table_SourceData_Dairy_WRj" displayName="Table_SourceData_Dairy_WRj" ref="D54:H55" totalsRowShown="0" headerRowDxfId="68" headerRowCellStyle="Content normal" dataCellStyle="Content normal">
  <autoFilter ref="D54:H55" xr:uid="{296C6784-8B86-412A-92D3-E911DE28757C}">
    <filterColumn colId="0" hiddenButton="1"/>
    <filterColumn colId="1" hiddenButton="1"/>
    <filterColumn colId="2" hiddenButton="1"/>
    <filterColumn colId="3" hiddenButton="1"/>
    <filterColumn colId="4" hiddenButton="1"/>
  </autoFilter>
  <tableColumns count="5">
    <tableColumn id="1" xr3:uid="{3AC95D93-D298-4573-B050-1788F492B878}" name="Milking cows" dataCellStyle="Content normal">
      <calculatedColumnFormula array="1">Common_InputFunctions.Utility_DisplayArrayInTable(SourceData_Dairy.SourceData_Dairy_ReferenceWeights_Data(), Table_SourceData_Dairy_WRj[[#Headers],[Milking cows]], 0)</calculatedColumnFormula>
    </tableColumn>
    <tableColumn id="2" xr3:uid="{991629E4-B0F0-475C-93F7-4A12ED668A18}" name="Heifers &gt; 1" dataCellStyle="Content normal">
      <calculatedColumnFormula array="1">Common_InputFunctions.Utility_DisplayArrayInTable(SourceData_Dairy.SourceData_Dairy_ReferenceWeights_Data(), Table_SourceData_Dairy_WRj[[#Headers],[Milking cows]], 0)</calculatedColumnFormula>
    </tableColumn>
    <tableColumn id="3" xr3:uid="{6C94EF39-6711-4487-81B0-B42EDB4594D8}" name="Heifers &lt; 1 (weaned)" dataCellStyle="Content normal">
      <calculatedColumnFormula array="1">Common_InputFunctions.Utility_DisplayArrayInTable(SourceData_Dairy.SourceData_Dairy_ReferenceWeights_Data(), Table_SourceData_Dairy_WRj[[#Headers],[Milking cows]], 0)</calculatedColumnFormula>
    </tableColumn>
    <tableColumn id="4" xr3:uid="{C3DD81A6-AACD-494F-AF05-233BBF18C20E}" name="Bulls &gt; 1" dataCellStyle="Content normal">
      <calculatedColumnFormula array="1">Common_InputFunctions.Utility_DisplayArrayInTable(SourceData_Dairy.SourceData_Dairy_ReferenceWeights_Data(), Table_SourceData_Dairy_WRj[[#Headers],[Milking cows]], 0)</calculatedColumnFormula>
    </tableColumn>
    <tableColumn id="5" xr3:uid="{094C9E2A-1500-4255-BA17-5A613FBA8EBC}" name="Bulls &lt; 1 (weaned)" dataCellStyle="Content normal">
      <calculatedColumnFormula array="1">Common_InputFunctions.Utility_DisplayArrayInTable(SourceData_Dairy.SourceData_Dairy_ReferenceWeights_Data(), Table_SourceData_Dairy_WRj[[#Headers],[Milking cows]], 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968BB314-DB2C-4CA2-BAA9-E66557777E59}" name="Table_SourceData_Dairy_DataPreWeaned" displayName="Table_SourceData_Dairy_DataPreWeaned" ref="D62:G64" totalsRowShown="0" dataDxfId="67" dataCellStyle="Content normal">
  <autoFilter ref="D62:G64" xr:uid="{968BB314-DB2C-4CA2-BAA9-E66557777E59}">
    <filterColumn colId="0" hiddenButton="1"/>
    <filterColumn colId="1" hiddenButton="1"/>
    <filterColumn colId="2" hiddenButton="1"/>
    <filterColumn colId="3" hiddenButton="1"/>
  </autoFilter>
  <tableColumns count="4">
    <tableColumn id="1" xr3:uid="{598A8529-B449-4014-BE34-ECB667ED42D5}" name="Animal class j" dataDxfId="66" dataCellStyle="Content normal">
      <calculatedColumnFormula array="1">Common_InputFunctions.Utility_DisplayArrayInTable(SourceData_Dairy.SourceData_Dairy_PreWeanedCalves_Data(), Table_SourceData_Dairy_DataPreWeaned[[#Headers],[Animal class j]], 0)</calculatedColumnFormula>
    </tableColumn>
    <tableColumn id="2" xr3:uid="{5C0E8AAB-9E7B-4D2E-B948-D2A0CC665284}" name="CH4 production" dataDxfId="65" dataCellStyle="Content normal">
      <calculatedColumnFormula array="1">Common_InputFunctions.Utility_DisplayArrayInTable(SourceData_Dairy.SourceData_Dairy_PreWeanedCalves_Data(), Table_SourceData_Dairy_DataPreWeaned[[#Headers],[Animal class j]], 0)</calculatedColumnFormula>
    </tableColumn>
    <tableColumn id="3" xr3:uid="{945A18DE-556C-4BC4-A6F6-B0601941462E}" name="Volatile solids (VSj=3,5)" dataDxfId="64" dataCellStyle="Content normal">
      <calculatedColumnFormula array="1">Common_InputFunctions.Utility_DisplayArrayInTable(SourceData_Dairy.SourceData_Dairy_PreWeanedCalves_Data(), Table_SourceData_Dairy_DataPreWeaned[[#Headers],[Animal class j]], 0)</calculatedColumnFormula>
    </tableColumn>
    <tableColumn id="4" xr3:uid="{8FC08B28-B758-4413-861D-9585CC484979}" name="Nitrogen Excreted (NPWj=3,5)" dataDxfId="63" dataCellStyle="Content normal">
      <calculatedColumnFormula array="1">Common_InputFunctions.Utility_DisplayArrayInTable(SourceData_Dairy.SourceData_Dairy_PreWeanedCalves_Data(), Table_SourceData_Dairy_DataPreWeaned[[#Headers],[Animal class j]], 0)</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AFB1D80F-8BB0-4A20-AF5A-A288BBED76EB}" name="Table_SourceData_Dairy_MCFjm" displayName="Table_SourceData_Dairy_MCFjm" ref="D72:M78" totalsRowShown="0">
  <autoFilter ref="D72:M78" xr:uid="{AFB1D80F-8BB0-4A20-AF5A-A288BBED76E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A54F6170-CD83-454D-874A-2A78490F2BD1}" name="MMS m">
      <calculatedColumnFormula array="1">Common_InputFunctions.Utility_DisplayArrayInTable(SourceData_Dairy.SourceData_Dairy_MCF_Data(), Table_SourceData_Dairy_MCFjm[[#Headers],[MMS m]], 0)</calculatedColumnFormula>
    </tableColumn>
    <tableColumn id="2" xr3:uid="{B29E40EC-DE00-4962-8467-1C7A786C3DE4}" name="ACT" dataDxfId="62" dataCellStyle="Content normal">
      <calculatedColumnFormula array="1">Common_InputFunctions.Utility_DisplayArrayInTable(SourceData_Dairy.SourceData_Dairy_MCF_Data(), Table_SourceData_Dairy_MCFjm[[#Headers],[MMS m]], 0)</calculatedColumnFormula>
    </tableColumn>
    <tableColumn id="3" xr3:uid="{1ABF48E7-6948-4398-A069-F461406208B9}" name="NSW" dataDxfId="61" dataCellStyle="Content normal">
      <calculatedColumnFormula array="1">Common_InputFunctions.Utility_DisplayArrayInTable(SourceData_Dairy.SourceData_Dairy_MCF_Data(), Table_SourceData_Dairy_MCFjm[[#Headers],[MMS m]], 0)</calculatedColumnFormula>
    </tableColumn>
    <tableColumn id="4" xr3:uid="{A3DDB858-97C5-4EC8-955B-D48536431CC8}" name="NT" dataDxfId="60" dataCellStyle="Content normal">
      <calculatedColumnFormula array="1">Common_InputFunctions.Utility_DisplayArrayInTable(SourceData_Dairy.SourceData_Dairy_MCF_Data(), Table_SourceData_Dairy_MCFjm[[#Headers],[MMS m]], 0)</calculatedColumnFormula>
    </tableColumn>
    <tableColumn id="5" xr3:uid="{64B146B6-1E4C-4E4E-A22B-B3F33B7F2C8D}" name="QLD" dataDxfId="59" dataCellStyle="Content normal">
      <calculatedColumnFormula array="1">Common_InputFunctions.Utility_DisplayArrayInTable(SourceData_Dairy.SourceData_Dairy_MCF_Data(), Table_SourceData_Dairy_MCFjm[[#Headers],[MMS m]], 0)</calculatedColumnFormula>
    </tableColumn>
    <tableColumn id="6" xr3:uid="{4AC061FD-3D5D-4347-80B4-437EEDDA407C}" name="SA" dataDxfId="58" dataCellStyle="Content normal">
      <calculatedColumnFormula array="1">Common_InputFunctions.Utility_DisplayArrayInTable(SourceData_Dairy.SourceData_Dairy_MCF_Data(), Table_SourceData_Dairy_MCFjm[[#Headers],[MMS m]], 0)</calculatedColumnFormula>
    </tableColumn>
    <tableColumn id="7" xr3:uid="{58DE1EF2-ABA1-4507-A5A2-10DBB72C5360}" name="TAS" dataDxfId="57" dataCellStyle="Content normal">
      <calculatedColumnFormula array="1">Common_InputFunctions.Utility_DisplayArrayInTable(SourceData_Dairy.SourceData_Dairy_MCF_Data(), Table_SourceData_Dairy_MCFjm[[#Headers],[MMS m]], 0)</calculatedColumnFormula>
    </tableColumn>
    <tableColumn id="8" xr3:uid="{BA557B69-47EC-4B41-B9CC-12F16489EFF2}" name="VIC" dataDxfId="56" dataCellStyle="Content normal">
      <calculatedColumnFormula array="1">Common_InputFunctions.Utility_DisplayArrayInTable(SourceData_Dairy.SourceData_Dairy_MCF_Data(), Table_SourceData_Dairy_MCFjm[[#Headers],[MMS m]], 0)</calculatedColumnFormula>
    </tableColumn>
    <tableColumn id="9" xr3:uid="{1830500E-FEC6-4240-A1B1-EB7C6052507D}" name="WA" dataDxfId="55" dataCellStyle="Content normal">
      <calculatedColumnFormula array="1">Common_InputFunctions.Utility_DisplayArrayInTable(SourceData_Dairy.SourceData_Dairy_MCF_Data(), Table_SourceData_Dairy_MCFjm[[#Headers],[MMS m]], 0)</calculatedColumnFormula>
    </tableColumn>
    <tableColumn id="10" xr3:uid="{32D3BCE1-C338-4B12-B792-DFD9C2DF0EAC}" name="NIR reference" dataDxfId="54" dataCellStyle="Content normal">
      <calculatedColumnFormula array="1">Common_InputFunctions.Utility_DisplayArrayInTable(SourceData_Dairy.SourceData_Dairy_MCF_Data(), Table_SourceData_Dairy_MCFjm[[#Headers],[MMS m]], 0)</calculatedColumnFormula>
    </tableColum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9FA92AE0-614A-46D8-9E98-33BA2B8E3C1D}" name="Table_SourceData_Dairy_EFmFracGASM" displayName="Table_SourceData_Dairy_EFmFracGASM" ref="D86:G91" totalsRowShown="0">
  <autoFilter ref="D86:G91" xr:uid="{9FA92AE0-614A-46D8-9E98-33BA2B8E3C1D}">
    <filterColumn colId="0" hiddenButton="1"/>
    <filterColumn colId="1" hiddenButton="1"/>
    <filterColumn colId="2" hiddenButton="1"/>
    <filterColumn colId="3" hiddenButton="1"/>
  </autoFilter>
  <tableColumns count="4">
    <tableColumn id="1" xr3:uid="{8ACEF380-8A1A-411E-A23A-665A769E20C7}" name="MMS m">
      <calculatedColumnFormula array="1">Common_InputFunctions.Utility_DisplayArrayInTable(SourceData_Dairy.SourceData_Dairy_NitrousOxideEFsAndFracGASM_Data(), Table_SourceData_Dairy_EFmFracGASM[[#Headers],[MMS m]], 0)</calculatedColumnFormula>
    </tableColumn>
    <tableColumn id="2" xr3:uid="{1898B440-928B-49CE-BE96-215FD9903B4D}" name="EFm" dataDxfId="53" dataCellStyle="Content normal">
      <calculatedColumnFormula array="1">Common_InputFunctions.Utility_DisplayArrayInTable(SourceData_Dairy.SourceData_Dairy_NitrousOxideEFsAndFracGASM_Data(), Table_SourceData_Dairy_EFmFracGASM[[#Headers],[MMS m]], 0)</calculatedColumnFormula>
    </tableColumn>
    <tableColumn id="3" xr3:uid="{E38469E4-0572-4872-BE43-36C7BBE75007}" name="FracGASMm" dataDxfId="52" dataCellStyle="Content normal">
      <calculatedColumnFormula array="1">Common_InputFunctions.Utility_DisplayArrayInTable(SourceData_Dairy.SourceData_Dairy_NitrousOxideEFsAndFracGASM_Data(), Table_SourceData_Dairy_EFmFracGASM[[#Headers],[MMS m]], 0)</calculatedColumnFormula>
    </tableColumn>
    <tableColumn id="4" xr3:uid="{2136786A-A3D3-4E62-B5A7-46AAC51855AD}" name="NIR reference" dataDxfId="51" dataCellStyle="Content normal">
      <calculatedColumnFormula array="1">Common_InputFunctions.Utility_DisplayArrayInTable(SourceData_Dairy.SourceData_Dairy_NitrousOxideEFsAndFracGASM_Data(), Table_SourceData_Dairy_EFmFracGASM[[#Headers],[MMS m]], 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486563E6-CB80-4A05-BFA1-062176052592}" name="Table_SourceData_Dairy_MPWENTERIC" displayName="Table_SourceData_Dairy_MPWENTERIC" ref="D98:E100" totalsRowShown="0">
  <autoFilter ref="D98:E100" xr:uid="{486563E6-CB80-4A05-BFA1-062176052592}">
    <filterColumn colId="0" hiddenButton="1"/>
    <filterColumn colId="1" hiddenButton="1"/>
  </autoFilter>
  <tableColumns count="2">
    <tableColumn id="1" xr3:uid="{34872B36-E9B0-443E-A8EC-EC35C2572085}" name="Animal class j">
      <calculatedColumnFormula array="1">Common_InputFunctions.Utility_DisplayArrayInTable(SourceData_Dairy.SourceData_Dairy_MethaneProductionPreWeanedCalves_Data(), Table_SourceData_Dairy_MPWENTERIC[[#Headers],[Animal class j]], 0)</calculatedColumnFormula>
    </tableColumn>
    <tableColumn id="2" xr3:uid="{5BF46DC3-A57C-4E83-B386-D48BB1DB64E1}" name="MPW ENTERIC" dataDxfId="50" dataCellStyle="Content normal">
      <calculatedColumnFormula array="1">Common_InputFunctions.Utility_DisplayArrayInTable(SourceData_Dairy.SourceData_Dairy_MethaneProductionPreWeanedCalves_Data(), Table_SourceData_Dairy_MPWENTERIC[[#Headers],[Animal class j]], 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2C28AB58-EB72-448B-B56E-C8B9764D38F9}" name="Table_SourceData_Dairy_MRj" displayName="Table_SourceData_Dairy_MRj" ref="D107:E109" totalsRowShown="0">
  <autoFilter ref="D107:E109" xr:uid="{2C28AB58-EB72-448B-B56E-C8B9764D38F9}">
    <filterColumn colId="0" hiddenButton="1"/>
    <filterColumn colId="1" hiddenButton="1"/>
  </autoFilter>
  <tableColumns count="2">
    <tableColumn id="1" xr3:uid="{B2383F7B-29D1-4559-9E34-4E2C127CFB5C}" name="Animal class j">
      <calculatedColumnFormula array="1">Common_InputFunctions.Utility_DisplayArrayInTable(SourceData_Dairy.SourceData_Dairy_IncreasedMetabolicRateMilk_Data(), Table_SourceData_Dairy_MRj[[#Headers],[Animal class j]], 0)</calculatedColumnFormula>
    </tableColumn>
    <tableColumn id="2" xr3:uid="{D1C6DB76-173B-4192-987A-A32F6D0D0E1A}" name="MRj" dataDxfId="49" dataCellStyle="Content normal">
      <calculatedColumnFormula array="1">Common_InputFunctions.Utility_DisplayArrayInTable(SourceData_Dairy.SourceData_Dairy_IncreasedMetabolicRateMilk_Data(), Table_SourceData_Dairy_MRj[[#Headers],[Animal class j]], 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1FB5F0D9-A87E-4E79-A32C-4BDDD47665B0}" name="Table_SourceData_Dairy_ProductionSystemTemplates" displayName="Table_SourceData_Dairy_ProductionSystemTemplates" ref="D116:G120" totalsRowShown="0">
  <autoFilter ref="D116:G120" xr:uid="{1FB5F0D9-A87E-4E79-A32C-4BDDD47665B0}">
    <filterColumn colId="0" hiddenButton="1"/>
    <filterColumn colId="1" hiddenButton="1"/>
    <filterColumn colId="2" hiddenButton="1"/>
    <filterColumn colId="3" hiddenButton="1"/>
  </autoFilter>
  <tableColumns count="4">
    <tableColumn id="1" xr3:uid="{A4A196FD-DBDB-46C0-83CE-7C77F2C477B3}" name="Area">
      <calculatedColumnFormula array="1">Common_InputFunctions.Utility_DisplayArrayInTable(SourceData_Dairy.SourceData_Dairy_FractionVolatileSolidsVoidedMMS_Data(), Table_SourceData_Dairy_ProductionSystemTemplates[[#Headers],[Area]], 0)</calculatedColumnFormula>
    </tableColumn>
    <tableColumn id="2" xr3:uid="{53A25CAD-C5FE-4619-A71E-7D4EE15E4A88}" name="Pasture" dataDxfId="48"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 id="3" xr3:uid="{9DFD752F-089A-45B1-A1B3-329B65BC5650}" name="Milking shed" dataDxfId="47"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 id="4" xr3:uid="{37872FA9-DEFB-4D6F-848C-F92D7B048A75}" name="Feedpad" dataDxfId="46"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9FB5B8DA-9F8D-4436-A441-EA112190025D}" name="Table_SourceData_Dairy_EFm" displayName="Table_SourceData_Dairy_EFm" ref="D128:F133" totalsRowShown="0">
  <autoFilter ref="D128:F133" xr:uid="{9FB5B8DA-9F8D-4436-A441-EA112190025D}">
    <filterColumn colId="0" hiddenButton="1"/>
    <filterColumn colId="1" hiddenButton="1"/>
    <filterColumn colId="2" hiddenButton="1"/>
  </autoFilter>
  <tableColumns count="3">
    <tableColumn id="1" xr3:uid="{D85FDEBC-2FC0-45F1-BCD6-4464E2C22E94}" name="MMS m">
      <calculatedColumnFormula array="1">Common_InputFunctions.Utility_DisplayArrayInTable(SourceData_Dairy.SourceData_Dairy_EFNitrousOxidePerMMS_Data(), Table_SourceData_Dairy_EFm[[#Headers],[MMS m]], 0)</calculatedColumnFormula>
    </tableColumn>
    <tableColumn id="2" xr3:uid="{A21A17E4-5CBE-457C-83F6-E66794AB20C1}" name="EFm" dataDxfId="45" dataCellStyle="Content normal">
      <calculatedColumnFormula array="1">Common_InputFunctions.Utility_DisplayArrayInTable(SourceData_Dairy.SourceData_Dairy_EFNitrousOxidePerMMS_Data(), Table_SourceData_Dairy_EFm[[#Headers],[MMS m]], 0)</calculatedColumnFormula>
    </tableColumn>
    <tableColumn id="3" xr3:uid="{0552581B-C2BB-481C-87D1-7C1129F487A9}" name="NIR reference" dataDxfId="44" dataCellStyle="Content normal">
      <calculatedColumnFormula array="1">Common_InputFunctions.Utility_DisplayArrayInTable(SourceData_Dairy.SourceData_Dairy_EFNitrousOxidePerMMS_Data(), Table_SourceData_Dairy_EFm[[#Headers],[MMS m]],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BB1ACE7A-AFF1-4870-9774-9D68332837FF}" name="Table_SourceData_Dairy_Duration" displayName="Table_SourceData_Dairy_Duration" ref="D141:F146" totalsRowShown="0">
  <autoFilter ref="D141:F146" xr:uid="{BB1ACE7A-AFF1-4870-9774-9D68332837FF}">
    <filterColumn colId="0" hiddenButton="1"/>
    <filterColumn colId="1" hiddenButton="1"/>
    <filterColumn colId="2" hiddenButton="1"/>
  </autoFilter>
  <tableColumns count="3">
    <tableColumn id="1" xr3:uid="{C1D0CE9E-4549-48D9-9C0F-1310FC73ABC5}" name="Animal class j">
      <calculatedColumnFormula array="1">Common_InputFunctions.Utility_DisplayArrayInTable(SourceData_Dairy.SourceData_Dairy_DurationOfStay_Data(), Table_SourceData_Dairy_Duration[[#Headers],[Animal class j]], 0)</calculatedColumnFormula>
    </tableColumn>
    <tableColumn id="2" xr3:uid="{1396CED3-63B3-4B3F-8629-5350DAE232F8}" name="Duration (weaned)" dataDxfId="43" dataCellStyle="Content normal">
      <calculatedColumnFormula array="1">Common_InputFunctions.Utility_DisplayArrayInTable(SourceData_Dairy.SourceData_Dairy_DurationOfStay_Data(), Table_SourceData_Dairy_Duration[[#Headers],[Animal class j]], 0)</calculatedColumnFormula>
    </tableColumn>
    <tableColumn id="3" xr3:uid="{9A35A34C-C373-43B3-B087-AB054A306734}" name="Duration (pre-weaned)" dataDxfId="42" dataCellStyle="Content normal">
      <calculatedColumnFormula array="1">Common_InputFunctions.Utility_DisplayArrayInTable(SourceData_Dairy.SourceData_Dairy_DurationOfStay_Data(), Table_SourceData_Dairy_Duration[[#Headers],[Animal class j]], 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A3A2FDC1-EEF0-46E4-9417-085DDCE6CAF3}"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C17E53B6-D29D-422E-BFB8-E8E919B258B0}" name="State/Territory">
      <calculatedColumnFormula array="1">Common_InputFunctions.Utility_DisplayArrayInTable(Common_SourceData.Common_SourceData_AustralianStatesTerritories_Data(),Table_AustralianStates[[#Headers],[State/Territory]],0)</calculatedColumnFormula>
    </tableColumn>
    <tableColumn id="2" xr3:uid="{FC1B266F-975A-42F4-AD65-5DC9245129EE}" name="Common Name">
      <calculatedColumnFormula array="1">Common_InputFunctions.Utility_DisplayArrayInTable(Common_SourceData.Common_SourceData_AustralianStatesTerritories_Data(),Table_AustralianStates[[#Headers],[State/Territory]],0)</calculatedColumnFormula>
    </tableColumn>
    <tableColumn id="3" xr3:uid="{72AE50D9-600F-4A12-9C90-791C9D979D25}"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B147BC2A-E605-4D35-A99F-FA3383F3B092}" name="Table_WASA4Areas" displayName="Table_WASA4Areas" ref="D20:D30" totalsRowShown="0">
  <autoFilter ref="D20:D30" xr:uid="{5FA81339-C6C8-4D36-BEEA-6C4AEDD9E676}">
    <filterColumn colId="0" hiddenButton="1"/>
  </autoFilter>
  <tableColumns count="1">
    <tableColumn id="1" xr3:uid="{A662120D-5F4E-4983-BF2A-02D484142FA4}"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63EDDD7A-3A9D-4382-B2D0-D7CC65EDF35B}" name="Table_GWPData" displayName="Table_GWPData" ref="D36:E43" totalsRowShown="0">
  <autoFilter ref="D36:E43" xr:uid="{B8E87A66-3E41-4AD3-925D-01EE21B43D7A}">
    <filterColumn colId="0" hiddenButton="1"/>
    <filterColumn colId="1" hiddenButton="1"/>
  </autoFilter>
  <tableColumns count="2">
    <tableColumn id="1" xr3:uid="{60E75B0B-245B-449E-A614-2F58240399E6}" name="Gas">
      <calculatedColumnFormula array="1">Common_InputFunctions.Utility_DisplayArrayInTable(Common_SourceData.Common_SourceData_GWP_Data(), Table_GWPData[[#Headers],[Gas]], 0)</calculatedColumnFormula>
    </tableColumn>
    <tableColumn id="2" xr3:uid="{8406B1F8-71A8-4973-8BA8-41AB886DFBE9}"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CF33CACF-F168-4931-98A1-48400C533253}"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96A7D883-A1B1-4F85-8A37-152C48DF8A66}" name="Gas">
      <calculatedColumnFormula array="1">Common_InputFunctions.Utility_DisplayArrayInTable(Common_SourceData.Common_SourceData_ConvertGasElementalToMolecular_Data(),Table_GasToMolecularConversionFactor[[#Headers],[Gas]], 0)</calculatedColumnFormula>
    </tableColumn>
    <tableColumn id="5" xr3:uid="{37C7780D-E959-47B3-A84B-1AAF41149833}" name="Conversion factor">
      <calculatedColumnFormula array="1">Common_InputFunctions.Utility_DisplayArrayInTable(Common_SourceData.Common_SourceData_ConvertGasElementalToMolecular_Data(),Table_GasToMolecularConversionFactor[[#Headers],[Gas]], 0)</calculatedColumnFormula>
    </tableColumn>
    <tableColumn id="2" xr3:uid="{ADB2C670-F93F-49B0-86F4-4F32F60825FE}" name="Conversion factor 1">
      <calculatedColumnFormula array="1">Common_InputFunctions.Utility_DisplayArrayInTable(Common_SourceData.Common_SourceData_ConvertGasElementalToMolecular_Data(),Table_GasToMolecularConversionFactor[[#Headers],[Gas]], 0)</calculatedColumnFormula>
    </tableColumn>
    <tableColumn id="3" xr3:uid="{E398BBF2-0332-47FD-9EF2-72B0D3E8B9CB}" name="Conversion factor 2">
      <calculatedColumnFormula array="1">Common_InputFunctions.Utility_DisplayArrayInTable(Common_SourceData.Common_SourceData_ConvertGasElementalToMolecular_Data(),Table_GasToMolecularConversionFactor[[#Headers],[Gas]], 0)</calculatedColumnFormula>
    </tableColumn>
    <tableColumn id="4" xr3:uid="{50CE3D41-CF59-4B09-B620-070AA05F1D43}"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F17091F0-32E0-49AB-85ED-BBCD00B31642}"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816EACE4-436E-4C0E-95BE-08744396471C}"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A4EA6D03-C9E6-4033-8427-7D86E6D46B48}" name="MAT" totalsRowDxfId="41" totalsRowCellStyle="Content bold">
      <calculatedColumnFormula array="1">Common_InputFunctions.Utility_DisplayArrayInTable(Common_SourceData.Common_SourceData_ClimateZones_Data(), Table_SourceData_ClimateZones[[#Headers],[Climate zone]], 0)</calculatedColumnFormula>
    </tableColumn>
    <tableColumn id="3" xr3:uid="{3930CC3A-E9C2-463E-AEA8-0260C1684373}" name="MAP" totalsRowDxfId="40" totalsRowCellStyle="Content bold">
      <calculatedColumnFormula array="1">Common_InputFunctions.Utility_DisplayArrayInTable(Common_SourceData.Common_SourceData_ClimateZones_Data(), Table_SourceData_ClimateZones[[#Headers],[Climate zone]], 0)</calculatedColumnFormula>
    </tableColumn>
    <tableColumn id="4" xr3:uid="{F55EF59A-FCDA-4BBE-A3E9-BF47FC020E3C}" name="Frost days per year" totalsRowDxfId="39" totalsRowCellStyle="Content bold">
      <calculatedColumnFormula array="1">Common_InputFunctions.Utility_DisplayArrayInTable(Common_SourceData.Common_SourceData_ClimateZones_Data(), Table_SourceData_ClimateZones[[#Headers],[Climate zone]], 0)</calculatedColumnFormula>
    </tableColumn>
    <tableColumn id="5" xr3:uid="{BA45C81D-8C0A-4A1B-9F50-EA436728D658}" name="Elevation" totalsRowDxfId="38" totalsRowCellStyle="Content bold">
      <calculatedColumnFormula array="1">Common_InputFunctions.Utility_DisplayArrayInTable(Common_SourceData.Common_SourceData_ClimateZones_Data(), Table_SourceData_ClimateZones[[#Headers],[Climate zone]], 0)</calculatedColumnFormula>
    </tableColumn>
    <tableColumn id="6" xr3:uid="{EE2232EA-BA00-4588-8400-09968BA7F4AF}" name="MAP:PET" totalsRowDxfId="37" totalsRowCellStyle="Content bold">
      <calculatedColumnFormula array="1">Common_InputFunctions.Utility_DisplayArrayInTable(Common_SourceData.Common_SourceData_ClimateZones_Data(), Table_SourceData_ClimateZones[[#Headers],[Climate zone]], 0)</calculatedColumnFormula>
    </tableColumn>
    <tableColumn id="7" xr3:uid="{B9F5CC0D-CD13-4FD3-8A47-87BD309FCC7C}" name="Min temp" totalsRowDxfId="36" totalsRowCellStyle="Content bold">
      <calculatedColumnFormula array="1">Common_InputFunctions.Utility_DisplayArrayInTable(Common_SourceData.Common_SourceData_ClimateZones_Data(), Table_SourceData_ClimateZones[[#Headers],[Climate zone]], 0)</calculatedColumnFormula>
    </tableColumn>
    <tableColumn id="8" xr3:uid="{B1F9043C-DF78-4968-BD8C-E87E53B6BD95}" name="Max temp" totalsRowDxfId="35" totalsRowCellStyle="Content bold">
      <calculatedColumnFormula array="1">Common_InputFunctions.Utility_DisplayArrayInTable(Common_SourceData.Common_SourceData_ClimateZones_Data(), Table_SourceData_ClimateZones[[#Headers],[Climate zone]], 0)</calculatedColumnFormula>
    </tableColumn>
    <tableColumn id="9" xr3:uid="{3E952854-9EF1-46D0-B208-AD0712BC7644}" name="Min rainfall" totalsRowDxfId="34" totalsRowCellStyle="Content bold">
      <calculatedColumnFormula array="1">Common_InputFunctions.Utility_DisplayArrayInTable(Common_SourceData.Common_SourceData_ClimateZones_Data(), Table_SourceData_ClimateZones[[#Headers],[Climate zone]], 0)</calculatedColumnFormula>
    </tableColumn>
    <tableColumn id="10" xr3:uid="{CE596730-A142-4A99-986D-19E81F1F61A1}" name="Max rainfall" totalsRowDxfId="33" totalsRowCellStyle="Content bold">
      <calculatedColumnFormula array="1">Common_InputFunctions.Utility_DisplayArrayInTable(Common_SourceData.Common_SourceData_ClimateZones_Data(), Table_SourceData_ClimateZones[[#Headers],[Climate zone]], 0)</calculatedColumnFormula>
    </tableColumn>
    <tableColumn id="11" xr3:uid="{82135793-D195-4932-AC6F-6C3C01297ABA}" name="Min frost days" totalsRowDxfId="32" totalsRowCellStyle="Content bold">
      <calculatedColumnFormula array="1">Common_InputFunctions.Utility_DisplayArrayInTable(Common_SourceData.Common_SourceData_ClimateZones_Data(), Table_SourceData_ClimateZones[[#Headers],[Climate zone]], 0)</calculatedColumnFormula>
    </tableColumn>
    <tableColumn id="15" xr3:uid="{482B1348-BFDC-4BD7-94CD-18F2C66E031E}" name="Max frost days" totalsRowDxfId="31" totalsRowCellStyle="Content bold">
      <calculatedColumnFormula array="1">Common_InputFunctions.Utility_DisplayArrayInTable(Common_SourceData.Common_SourceData_ClimateZones_Data(), Table_SourceData_ClimateZones[[#Headers],[Climate zone]], 0)</calculatedColumnFormula>
    </tableColumn>
    <tableColumn id="12" xr3:uid="{4F916100-43C3-40A4-AABF-605011344B84}" name="Min elevation" totalsRowDxfId="30" totalsRowCellStyle="Content bold">
      <calculatedColumnFormula array="1">Common_InputFunctions.Utility_DisplayArrayInTable(Common_SourceData.Common_SourceData_ClimateZones_Data(), Table_SourceData_ClimateZones[[#Headers],[Climate zone]], 0)</calculatedColumnFormula>
    </tableColumn>
    <tableColumn id="16" xr3:uid="{9F71A2AD-EC85-40BD-94C2-779041C08D62}" name="Max elevation" totalsRowDxfId="29" totalsRowCellStyle="Content bold">
      <calculatedColumnFormula array="1">Common_InputFunctions.Utility_DisplayArrayInTable(Common_SourceData.Common_SourceData_ClimateZones_Data(), Table_SourceData_ClimateZones[[#Headers],[Climate zone]], 0)</calculatedColumnFormula>
    </tableColumn>
    <tableColumn id="13" xr3:uid="{E52DFBAF-AA15-43AC-A208-738885E5FDCF}" name="Min MAP:PET" totalsRowDxfId="28" totalsRowCellStyle="Content bold">
      <calculatedColumnFormula array="1">Common_InputFunctions.Utility_DisplayArrayInTable(Common_SourceData.Common_SourceData_ClimateZones_Data(), Table_SourceData_ClimateZones[[#Headers],[Climate zone]], 0)</calculatedColumnFormula>
    </tableColumn>
    <tableColumn id="17" xr3:uid="{35D50A78-5066-4CD2-94C7-DA99799E3BEA}" name="Max MAP:PET" totalsRowDxfId="27"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29BD747A-0CFC-4A08-8FC8-064B62C402A5}"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EA8BA587-6BEB-4824-8326-9D8CBC8BF34C}"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DAE8B282-C181-4786-83CB-F892676B379D}" name="Wet or Dry Zone" totalsRowDxfId="26"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F7516BFB-3088-4DF6-A03B-05D1E0E6BA47}"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E1A121BD-DA11-4B9F-853C-6D7F3E42EA05}" name="Temperature Zone">
      <calculatedColumnFormula array="1">Common_InputFunctions.Utility_DisplayArrayInTable(Common_SourceData.Common_SourceData_TemperatureZones_Data(),Table_SourceData_TemperatureZones[[#Headers],[Temperature Zone]],0)</calculatedColumnFormula>
    </tableColumn>
    <tableColumn id="2" xr3:uid="{55CAA3A6-0DED-4634-9704-D82A95FD3022}" name="MAT">
      <calculatedColumnFormula array="1">Common_InputFunctions.Utility_DisplayArrayInTable(Common_SourceData.Common_SourceData_TemperatureZones_Data(),Table_SourceData_TemperatureZones[[#Headers],[Temperature Zone]],0)</calculatedColumnFormula>
    </tableColumn>
    <tableColumn id="3" xr3:uid="{10C685FC-4B8F-449B-9A09-8575E19D0DF1}" name="Min MAT">
      <calculatedColumnFormula array="1">Common_InputFunctions.Utility_DisplayArrayInTable(Common_SourceData.Common_SourceData_TemperatureZones_Data(),Table_SourceData_TemperatureZones[[#Headers],[Temperature Zone]],0)</calculatedColumnFormula>
    </tableColumn>
    <tableColumn id="4" xr3:uid="{0ECC1149-DEA1-4624-9770-4E49B26ABD70}"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EFDA5B4E-27C6-4237-B1FC-D280347C6636}"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FD02F59F-B20C-41C8-A261-3C2633606B2B}" name="Rainfall Zone">
      <calculatedColumnFormula array="1">Common_InputFunctions.Utility_DisplayArrayInTable(Common_SourceData.Common_SourceData_RainfallZones_Data(),Table_SourceData_RainfallZones[[#Headers],[Rainfall Zone]],0)</calculatedColumnFormula>
    </tableColumn>
    <tableColumn id="2" xr3:uid="{CA45BCE5-EB8D-4601-AC9E-E616B6EFDC34}" name="Annual rainfall">
      <calculatedColumnFormula array="1">Common_InputFunctions.Utility_DisplayArrayInTable(Common_SourceData.Common_SourceData_RainfallZones_Data(),Table_SourceData_RainfallZones[[#Headers],[Rainfall Zone]],0)</calculatedColumnFormula>
    </tableColumn>
    <tableColumn id="3" xr3:uid="{825936EC-4F63-4B54-8C9F-1E5A23F7C870}" name="Min rainfall">
      <calculatedColumnFormula array="1">Common_InputFunctions.Utility_DisplayArrayInTable(Common_SourceData.Common_SourceData_RainfallZones_Data(),Table_SourceData_RainfallZones[[#Headers],[Rainfall Zone]],0)</calculatedColumnFormula>
    </tableColumn>
    <tableColumn id="4" xr3:uid="{AFA84B51-0C30-4DC7-B243-87A47DBE682A}"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E16F09AD-22AF-4245-B5A7-0D4EA77A21F6}"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64824A11-46F5-4DE2-B9EF-F51C83FF038C}" name="Leaching Zone">
      <calculatedColumnFormula array="1">Common_InputFunctions.Utility_DisplayArrayInTable(Common_SourceData.Common_SourceData_LeachingZones_Data(), Table_SourceData_LeachingZones[[#Headers],[Leaching Zone]], 0)</calculatedColumnFormula>
    </tableColumn>
    <tableColumn id="2" xr3:uid="{836A13C6-0E67-4860-8819-2BED1E7BD34D}"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A952EABB-8FD0-481B-A52D-FD0F13EB182D}"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8E5259A9-B5F1-4438-BCE9-33BBA525F4F1}" name="Data source">
      <calculatedColumnFormula array="1">Common_InputFunctions.Utility_DisplayArrayInTable(Common_SourceData.Common_SourceData_DataScores_Scope3_Data(), Table_SourceData_DataScores_Scope3[[#Headers],[Data source]], 0)</calculatedColumnFormula>
    </tableColumn>
    <tableColumn id="2" xr3:uid="{EB9C5F74-9184-4C73-B090-77115D9444AE}"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9F494ABB-CE61-439E-B889-A063108083CD}" name="Table_SourceData_FracWET" displayName="Table_SourceData_FracWET" ref="D134:E136" totalsRowShown="0">
  <autoFilter ref="D134:E136" xr:uid="{308E99BE-FE1F-47A4-B2CA-97217277C4E9}">
    <filterColumn colId="0" hiddenButton="1"/>
    <filterColumn colId="1" hiddenButton="1"/>
  </autoFilter>
  <tableColumns count="2">
    <tableColumn id="1" xr3:uid="{2E069C7E-9DC6-44E9-82EC-5A96D68C0390}" name="Is in leaching zone">
      <calculatedColumnFormula array="1">Common_InputFunctions.Utility_DisplayArrayInTable(Common_SourceData.Common_SourceData_FracWET_Data(),Table_SourceData_FracWET[[#Headers],[Is in leaching zone]],0)</calculatedColumnFormula>
    </tableColumn>
    <tableColumn id="2" xr3:uid="{4FC3EE7A-0ECE-43F2-9635-15E5D2A4A941}" name="FracWET" dataDxfId="25">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55B08CB9-B776-4DC3-BC12-E37A49C38523}"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0B2ED747-9AFF-4308-BA0D-0DB2734EC905}" name="Production system j">
      <calculatedColumnFormula array="1">Common_InputFunctions.Utility_DisplayArrayInTable(Common_SourceData.Common_SourceData_EFN2O_Data(), Table_SourceData_Common_EFN2O[[#Headers],[Production system j]], 0)</calculatedColumnFormula>
    </tableColumn>
    <tableColumn id="2" xr3:uid="{1DE7E90C-5C7C-4F24-9559-2A12CF459DC2}" name="EFN2O">
      <calculatedColumnFormula array="1">Common_InputFunctions.Utility_DisplayArrayInTable(Common_SourceData.Common_SourceData_EFN2O_Data(), Table_SourceData_Common_EFN2O[[#Headers],[Production system j]], 0)</calculatedColumnFormula>
    </tableColumn>
    <tableColumn id="3" xr3:uid="{090D207F-DBF4-4DBB-A3C1-29F63A81DC41}" name="Production system only">
      <calculatedColumnFormula array="1">Common_InputFunctions.Utility_DisplayArrayInTable(Common_SourceData.Common_SourceData_EFN2O_Data(), Table_SourceData_Common_EFN2O[[#Headers],[Production system j]], 0)</calculatedColumnFormula>
    </tableColumn>
    <tableColumn id="4" xr3:uid="{4EB4AE55-46D4-4874-9AD8-FFBD9B6BC043}" name="Irrigation method">
      <calculatedColumnFormula array="1">Common_InputFunctions.Utility_DisplayArrayInTable(Common_SourceData.Common_SourceData_EFN2O_Data(), Table_SourceData_Common_EFN2O[[#Headers],[Production system j]], 0)</calculatedColumnFormula>
    </tableColumn>
    <tableColumn id="5" xr3:uid="{EA49DAFF-A03F-4B38-9942-F3DCC8E7EC37}"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5B04961C-CFB7-4208-BE66-89EEEE939BE7}"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559D434A-D208-47BD-8708-8070455F5C51}" name="Irrigation type i">
      <calculatedColumnFormula array="1">Common_InputFunctions.Utility_DisplayArrayInTable(Common_SourceData.Common_SourceData_FracWETIrrigation_Data(), Table_SourceData_FracWETIrrigation[[#Headers],[Irrigation type i]], 0)</calculatedColumnFormula>
    </tableColumn>
    <tableColumn id="2" xr3:uid="{47516022-3940-4140-93FA-DE9CA581F79A}" name="FracWET" dataDxfId="24"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A8F91CD9-DCD0-4DEE-9277-844007A9FF54}"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DBF4DAA8-40D4-4BB5-A93D-865581AD83E9}"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43774BEC-451B-42C6-9FF4-B4C3DC5919E9}" name="EFPRP" dataDxfId="23"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1DB3A1D3-5A86-4C36-8BF1-D77CE583B61A}"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767C9855-1B52-4B7C-9304-9C5B8428996D}" name="Month">
      <calculatedColumnFormula array="1">Common_InputFunctions.Utility_DisplayArrayInTable(Common_SourceData.Common_SourceData_MonthsToSeasons_Data(), Table_SourceData_Common_MonthToSeason[[#Headers],[Month]], 0)</calculatedColumnFormula>
    </tableColumn>
    <tableColumn id="2" xr3:uid="{4CF27ED4-F76C-46AA-A524-DFD2E7DCFC70}" name="Season" dataDxfId="22"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F667AF7E-8BCE-4559-9412-EFEA3A48FB88}"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9427B87F-2CF9-473A-AE0C-92E918C3B922}"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430F8946-EF57-4713-B55D-714AEA507071}" name="MAT (ºC)" dataDxfId="2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DBC4E11C-C835-4A37-B6EA-14A058C669E9}" name="Anaerobic lagoon" dataDxfId="2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FB9E4F73-2FC8-4050-A04C-0D868AE13152}" name="Digester / covered lagoons" dataDxfId="1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7899F1A2-6EF1-4D3C-9267-214921527C19}" name="Liquid systems" dataDxfId="1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42935601-94B1-49D6-859D-E079A8F2B835}" name="Daily spread" dataDxfId="1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F993D38E-1832-451B-8D49-2A02A0260439}" name="Composting (passive windrow)" dataDxfId="1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AB2688EC-45FB-471E-A4C6-773741CF827D}" name="Solid storage" dataDxfId="1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41A62CE9-A6C7-40AC-B742-7818064B64A1}" name="Pit storage" dataDxfId="1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F6B4D21E-B4ED-48DB-8095-F50FC2B19102}" name="Deep litter" dataDxfId="1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4A8A98C4-87FD-4F1D-8486-89B431EB7B57}" name="Poultry manure with bedding" dataDxfId="1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1B5B78AA-94E3-4970-A1BE-6CD2581ADFC5}" name="Poultry manure without bedding" dataDxfId="1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655383AE-A984-4632-8D82-BD633B1A17C9}" name="Direct processing" dataDxfId="1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12353F24-7221-405B-A01E-B30A8D5EEEAF}" name="Direct application" dataDxfId="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60B9E33E-8EAF-4141-A388-6C9AD186425D}" name="Pasture range and paddock" dataDxfId="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6E840A4D-D247-44A8-B1BA-39BB41E09B94}" name="MAT raw" dataDxfId="7"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85891194-54C4-4E84-891D-9869619AF013}"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ADBC903B-DB06-4BD2-ABA1-F9A58EB1F726}"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5A0F253F-24CC-41CB-9696-7876D25351DE}" name="EFNi &amp; EFN2Oi" dataDxfId="6"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7CC28B-CF78-4195-86CA-5AEBBA7FA04E}"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FA4B4DF7-A993-40F2-870A-87A35A1D1CD3}" name="Symbol">
      <calculatedColumnFormula array="1">InputFunctions_Utilities.Utility_DisplayArrayInTable(CommonLivestock_SourceData.SourceData_Livestock_Common_SymbolsMMS_Data(), Table_Data_MMSSymbols[[#Headers],[Symbol]], 0)</calculatedColumnFormula>
    </tableColumn>
    <tableColumn id="2" xr3:uid="{8A23F85B-E11F-43B7-AF58-1032F42D9585}" name="Manure management system">
      <calculatedColumnFormula array="1">InputFunctions_Utilities.Utility_DisplayArrayInTable(CommonLivestock_SourceData.SourceData_Livestock_Common_SymbolsMMS_Data(), Table_Data_MMSSymbols[[#Headers],[Symbol]], 0)</calculatedColumnFormula>
    </tableColumn>
    <tableColumn id="3" xr3:uid="{58D0574C-2490-473B-A8E1-317E3A493B21}" name="Symbol and MMS">
      <calculatedColumnFormula array="1">InputFunctions_Utilities.Utility_DisplayArrayInTable(CommonLivestock_SourceData.SourceData_Livestock_Common_SymbolsMMS_Data(),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55"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5.bin"/></Relationships>
</file>

<file path=xl/worksheets/_rels/sheet14.xml.rels><?xml version="1.0" encoding="UTF-8" standalone="yes"?>
<Relationships xmlns="http://schemas.openxmlformats.org/package/2006/relationships"><Relationship Id="rId8" Type="http://schemas.openxmlformats.org/officeDocument/2006/relationships/table" Target="../tables/table8.xml"/><Relationship Id="rId13" Type="http://schemas.openxmlformats.org/officeDocument/2006/relationships/table" Target="../tables/table13.xml"/><Relationship Id="rId3" Type="http://schemas.openxmlformats.org/officeDocument/2006/relationships/table" Target="../tables/table3.xml"/><Relationship Id="rId7" Type="http://schemas.openxmlformats.org/officeDocument/2006/relationships/table" Target="../tables/table7.xml"/><Relationship Id="rId12" Type="http://schemas.openxmlformats.org/officeDocument/2006/relationships/table" Target="../tables/table12.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11" Type="http://schemas.openxmlformats.org/officeDocument/2006/relationships/table" Target="../tables/table11.xml"/><Relationship Id="rId5" Type="http://schemas.openxmlformats.org/officeDocument/2006/relationships/table" Target="../tables/table5.xml"/><Relationship Id="rId15" Type="http://schemas.openxmlformats.org/officeDocument/2006/relationships/table" Target="../tables/table15.xml"/><Relationship Id="rId10" Type="http://schemas.openxmlformats.org/officeDocument/2006/relationships/table" Target="../tables/table10.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s>
</file>

<file path=xl/worksheets/_rels/sheet15.xml.rels><?xml version="1.0" encoding="UTF-8" standalone="yes"?>
<Relationships xmlns="http://schemas.openxmlformats.org/package/2006/relationships"><Relationship Id="rId8" Type="http://schemas.openxmlformats.org/officeDocument/2006/relationships/table" Target="../tables/table22.xml"/><Relationship Id="rId13" Type="http://schemas.openxmlformats.org/officeDocument/2006/relationships/table" Target="../tables/table27.xml"/><Relationship Id="rId18" Type="http://schemas.openxmlformats.org/officeDocument/2006/relationships/table" Target="../tables/table32.xml"/><Relationship Id="rId3" Type="http://schemas.openxmlformats.org/officeDocument/2006/relationships/table" Target="../tables/table17.xml"/><Relationship Id="rId7" Type="http://schemas.openxmlformats.org/officeDocument/2006/relationships/table" Target="../tables/table21.xml"/><Relationship Id="rId12" Type="http://schemas.openxmlformats.org/officeDocument/2006/relationships/table" Target="../tables/table26.xml"/><Relationship Id="rId17" Type="http://schemas.openxmlformats.org/officeDocument/2006/relationships/table" Target="../tables/table31.xml"/><Relationship Id="rId2" Type="http://schemas.openxmlformats.org/officeDocument/2006/relationships/table" Target="../tables/table16.xml"/><Relationship Id="rId16" Type="http://schemas.openxmlformats.org/officeDocument/2006/relationships/table" Target="../tables/table30.xml"/><Relationship Id="rId1" Type="http://schemas.openxmlformats.org/officeDocument/2006/relationships/printerSettings" Target="../printerSettings/printerSettings6.bin"/><Relationship Id="rId6" Type="http://schemas.openxmlformats.org/officeDocument/2006/relationships/table" Target="../tables/table20.xml"/><Relationship Id="rId11" Type="http://schemas.openxmlformats.org/officeDocument/2006/relationships/table" Target="../tables/table25.xml"/><Relationship Id="rId5" Type="http://schemas.openxmlformats.org/officeDocument/2006/relationships/table" Target="../tables/table19.xml"/><Relationship Id="rId15" Type="http://schemas.openxmlformats.org/officeDocument/2006/relationships/table" Target="../tables/table29.xml"/><Relationship Id="rId10" Type="http://schemas.openxmlformats.org/officeDocument/2006/relationships/table" Target="../tables/table24.xml"/><Relationship Id="rId4" Type="http://schemas.openxmlformats.org/officeDocument/2006/relationships/table" Target="../tables/table18.xml"/><Relationship Id="rId9" Type="http://schemas.openxmlformats.org/officeDocument/2006/relationships/table" Target="../tables/table23.xml"/><Relationship Id="rId14" Type="http://schemas.openxmlformats.org/officeDocument/2006/relationships/table" Target="../tables/table28.xml"/></Relationships>
</file>

<file path=xl/worksheets/_rels/sheet16.xml.rels><?xml version="1.0" encoding="UTF-8" standalone="yes"?>
<Relationships xmlns="http://schemas.openxmlformats.org/package/2006/relationships"><Relationship Id="rId2" Type="http://schemas.openxmlformats.org/officeDocument/2006/relationships/table" Target="../tables/table33.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33E255-07EB-4813-8B33-1B16E53D1ABE}">
  <dimension ref="A1:BL82"/>
  <sheetViews>
    <sheetView showGridLines="0" zoomScale="70" zoomScaleNormal="70" workbookViewId="0">
      <selection activeCell="J16" sqref="J16"/>
    </sheetView>
  </sheetViews>
  <sheetFormatPr defaultRowHeight="15" x14ac:dyDescent="0.25"/>
  <cols>
    <col min="1" max="1" width="30.7109375" customWidth="1"/>
    <col min="2" max="3" width="4.7109375" customWidth="1"/>
  </cols>
  <sheetData>
    <row r="1" spans="1:64" ht="30" customHeight="1" x14ac:dyDescent="0.35">
      <c r="A1" s="71" t="e" vm="1">
        <v>#VALUE!</v>
      </c>
      <c r="C1" s="143" t="s">
        <v>425</v>
      </c>
      <c r="D1" s="144"/>
      <c r="E1" s="144"/>
      <c r="F1" s="144"/>
      <c r="G1" s="144"/>
      <c r="H1" s="144"/>
      <c r="I1" s="144"/>
      <c r="J1" s="144"/>
      <c r="K1" s="144"/>
      <c r="L1" s="144"/>
      <c r="M1" s="144"/>
      <c r="N1" s="144"/>
      <c r="O1" s="144"/>
      <c r="P1" s="144"/>
      <c r="Q1" s="144"/>
      <c r="R1" s="144"/>
      <c r="S1" s="144"/>
      <c r="T1" s="144"/>
      <c r="U1" s="144"/>
      <c r="V1" s="144"/>
      <c r="W1" s="144"/>
      <c r="X1" s="144"/>
      <c r="Y1" s="144"/>
      <c r="Z1" s="144"/>
      <c r="AA1" s="144"/>
      <c r="AB1" s="144"/>
      <c r="AC1" s="144"/>
      <c r="AD1" s="144"/>
      <c r="AE1" s="144"/>
      <c r="AF1" s="144"/>
      <c r="AG1" s="144"/>
    </row>
    <row r="2" spans="1:64" ht="20.100000000000001" customHeight="1" x14ac:dyDescent="0.25">
      <c r="A2" s="9"/>
      <c r="C2" s="144"/>
      <c r="D2" s="144"/>
      <c r="E2" s="144"/>
      <c r="F2" s="144"/>
      <c r="G2" s="144"/>
      <c r="H2" s="144"/>
      <c r="I2" s="144"/>
      <c r="J2" s="144"/>
      <c r="K2" s="144"/>
      <c r="L2" s="144"/>
      <c r="M2" s="144"/>
      <c r="N2" s="144"/>
      <c r="O2" s="144"/>
      <c r="P2" s="144"/>
      <c r="Q2" s="144"/>
      <c r="R2" s="144"/>
      <c r="S2" s="144"/>
      <c r="T2" s="144"/>
      <c r="U2" s="144"/>
      <c r="V2" s="144"/>
      <c r="W2" s="144"/>
      <c r="X2" s="144"/>
      <c r="Y2" s="144"/>
      <c r="Z2" s="144"/>
      <c r="AA2" s="144"/>
      <c r="AB2" s="144"/>
      <c r="AC2" s="144"/>
      <c r="AD2" s="144"/>
      <c r="AE2" s="144"/>
      <c r="AF2" s="144"/>
      <c r="AG2" s="144"/>
    </row>
    <row r="3" spans="1:64" ht="20.100000000000001" customHeight="1" x14ac:dyDescent="0.25">
      <c r="A3" s="17" t="str">
        <f>HYPERLINK("#'Home'!A1", "Home")</f>
        <v>Home</v>
      </c>
      <c r="C3" s="145"/>
      <c r="D3" s="145"/>
      <c r="E3" s="145"/>
      <c r="F3" s="145"/>
      <c r="G3" s="145"/>
      <c r="H3" s="145"/>
      <c r="I3" s="145"/>
      <c r="J3" s="145"/>
      <c r="K3" s="145"/>
      <c r="L3" s="145"/>
      <c r="M3" s="145"/>
      <c r="N3" s="145"/>
      <c r="O3" s="145"/>
      <c r="P3" s="145"/>
      <c r="Q3" s="145"/>
      <c r="R3" s="145"/>
      <c r="S3" s="145"/>
      <c r="T3" s="145"/>
      <c r="U3" s="145"/>
      <c r="V3" s="145"/>
      <c r="W3" s="145"/>
      <c r="X3" s="145"/>
      <c r="Y3" s="145"/>
      <c r="Z3" s="145"/>
      <c r="AA3" s="145"/>
      <c r="AB3" s="145"/>
      <c r="AC3" s="145"/>
      <c r="AD3" s="145"/>
      <c r="AE3" s="145"/>
      <c r="AF3" s="145"/>
      <c r="AG3" s="145"/>
      <c r="AH3" s="145"/>
      <c r="AI3" s="145"/>
      <c r="AJ3" s="145"/>
      <c r="AK3" s="145"/>
      <c r="AL3" s="145"/>
      <c r="AM3" s="145"/>
      <c r="AN3" s="145"/>
      <c r="AO3" s="145"/>
      <c r="AP3" s="145"/>
      <c r="AQ3" s="145"/>
      <c r="AR3" s="145"/>
      <c r="AS3" s="145"/>
      <c r="AT3" s="145"/>
      <c r="AU3" s="145"/>
      <c r="AV3" s="145"/>
      <c r="AW3" s="145"/>
      <c r="AX3" s="145"/>
      <c r="AY3" s="145"/>
      <c r="AZ3" s="145"/>
      <c r="BA3" s="145"/>
      <c r="BB3" s="145"/>
      <c r="BC3" s="145"/>
      <c r="BD3" s="145"/>
      <c r="BE3" s="145"/>
      <c r="BF3" s="145"/>
      <c r="BG3" s="145"/>
      <c r="BH3" s="145"/>
      <c r="BI3" s="145"/>
      <c r="BJ3" s="145"/>
      <c r="BK3" s="145"/>
      <c r="BL3" s="145"/>
    </row>
    <row r="4" spans="1:64" ht="20.100000000000001" customHeight="1" x14ac:dyDescent="0.25">
      <c r="A4" s="123" t="str">
        <f>HYPERLINK("#'Overview'!A1", "Overview")</f>
        <v>Overview</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24"/>
      <c r="AI4" s="24"/>
      <c r="AJ4" s="24"/>
      <c r="AK4" s="24"/>
      <c r="AL4" s="24"/>
      <c r="AM4" s="24"/>
      <c r="AN4" s="24"/>
      <c r="AO4" s="24"/>
      <c r="AP4" s="24"/>
      <c r="AQ4" s="24"/>
      <c r="AR4" s="24"/>
      <c r="AS4" s="24"/>
      <c r="AT4" s="24"/>
      <c r="AU4" s="24"/>
      <c r="AV4" s="24"/>
      <c r="AW4" s="24"/>
      <c r="AX4" s="24"/>
      <c r="AY4" s="24"/>
      <c r="AZ4" s="24"/>
      <c r="BA4" s="24"/>
      <c r="BB4" s="24"/>
      <c r="BC4" s="24"/>
      <c r="BD4" s="24"/>
      <c r="BE4" s="24"/>
      <c r="BF4" s="24"/>
      <c r="BG4" s="24"/>
      <c r="BH4" s="24"/>
      <c r="BI4" s="24"/>
      <c r="BJ4" s="24"/>
      <c r="BK4" s="24"/>
      <c r="BL4" s="24"/>
    </row>
    <row r="5" spans="1:64" ht="20.100000000000001" customHeight="1" x14ac:dyDescent="0.25">
      <c r="A5" s="17" t="str">
        <f>HYPERLINK("#'Results'!A1", "Results")</f>
        <v>Results</v>
      </c>
      <c r="C5" s="1"/>
      <c r="D5" s="153" t="s">
        <v>435</v>
      </c>
      <c r="E5" s="153"/>
      <c r="F5" s="153"/>
      <c r="G5" s="153"/>
      <c r="H5" s="153"/>
      <c r="I5" s="115"/>
      <c r="J5" s="95"/>
      <c r="K5" s="95"/>
      <c r="L5" s="95"/>
      <c r="M5" s="95"/>
      <c r="N5" s="95"/>
      <c r="O5" s="95"/>
      <c r="P5" s="95"/>
      <c r="Q5" s="95"/>
      <c r="R5" s="95"/>
      <c r="S5" s="95"/>
      <c r="T5" s="95"/>
      <c r="U5" s="95"/>
      <c r="V5" s="91"/>
      <c r="W5" s="1"/>
      <c r="X5" s="1"/>
      <c r="Y5" s="1"/>
      <c r="Z5" s="1"/>
      <c r="AA5" s="1"/>
      <c r="AB5" s="1"/>
      <c r="AC5" s="1"/>
      <c r="AD5" s="1"/>
      <c r="AE5" s="1"/>
      <c r="AF5" s="1"/>
      <c r="AG5" s="1"/>
      <c r="AH5" s="24"/>
      <c r="AI5" s="24"/>
      <c r="AJ5" s="24"/>
      <c r="AK5" s="24"/>
      <c r="AL5" s="24"/>
      <c r="AM5" s="24"/>
      <c r="AN5" s="24"/>
      <c r="AO5" s="24"/>
      <c r="AP5" s="24"/>
      <c r="AQ5" s="24"/>
      <c r="AR5" s="24"/>
      <c r="AS5" s="24"/>
      <c r="AT5" s="24"/>
      <c r="AU5" s="24"/>
      <c r="AV5" s="24"/>
      <c r="AW5" s="24"/>
      <c r="AX5" s="24"/>
      <c r="AY5" s="24"/>
      <c r="AZ5" s="24"/>
      <c r="BA5" s="24"/>
      <c r="BB5" s="24"/>
      <c r="BC5" s="24"/>
      <c r="BD5" s="24"/>
      <c r="BE5" s="24"/>
      <c r="BF5" s="24"/>
      <c r="BG5" s="24"/>
      <c r="BH5" s="24"/>
      <c r="BI5" s="24"/>
      <c r="BJ5" s="24"/>
      <c r="BK5" s="24"/>
      <c r="BL5" s="24"/>
    </row>
    <row r="6" spans="1:64" ht="20.100000000000001" customHeight="1" x14ac:dyDescent="0.25">
      <c r="A6" s="16"/>
      <c r="C6" s="1"/>
      <c r="D6" s="154" t="s">
        <v>424</v>
      </c>
      <c r="E6" s="152"/>
      <c r="F6" s="152"/>
      <c r="G6" s="152"/>
      <c r="H6" s="152"/>
      <c r="I6" s="97"/>
      <c r="J6" s="94"/>
      <c r="K6" s="94"/>
      <c r="L6" s="94"/>
      <c r="M6" s="94"/>
      <c r="N6" s="94"/>
      <c r="O6" s="94"/>
      <c r="P6" s="94"/>
      <c r="Q6" s="94"/>
      <c r="R6" s="94"/>
      <c r="S6" s="94"/>
      <c r="T6" s="94"/>
      <c r="U6" s="94"/>
      <c r="V6" s="92"/>
      <c r="W6" s="1"/>
      <c r="X6" s="1"/>
      <c r="Y6" s="1"/>
      <c r="Z6" s="1"/>
      <c r="AA6" s="1"/>
      <c r="AB6" s="1"/>
      <c r="AC6" s="1"/>
      <c r="AD6" s="1"/>
      <c r="AE6" s="1"/>
      <c r="AF6" s="1"/>
      <c r="AG6" s="1"/>
      <c r="AH6" s="24"/>
      <c r="AI6" s="24"/>
      <c r="AJ6" s="24"/>
      <c r="AK6" s="24"/>
      <c r="AL6" s="24"/>
      <c r="AM6" s="24"/>
      <c r="AN6" s="24"/>
      <c r="AO6" s="24"/>
      <c r="AP6" s="24"/>
      <c r="AQ6" s="24"/>
      <c r="AR6" s="24"/>
      <c r="AS6" s="24"/>
      <c r="AT6" s="24"/>
      <c r="AU6" s="24"/>
      <c r="AV6" s="24"/>
      <c r="AW6" s="24"/>
      <c r="AX6" s="24"/>
      <c r="AY6" s="24"/>
      <c r="AZ6" s="24"/>
      <c r="BA6" s="24"/>
      <c r="BB6" s="24"/>
      <c r="BC6" s="24"/>
      <c r="BD6" s="24"/>
      <c r="BE6" s="24"/>
      <c r="BF6" s="24"/>
      <c r="BG6" s="24"/>
      <c r="BH6" s="24"/>
      <c r="BI6" s="24"/>
      <c r="BJ6" s="24"/>
      <c r="BK6" s="24"/>
      <c r="BL6" s="24"/>
    </row>
    <row r="7" spans="1:64" ht="20.100000000000001" customHeight="1" x14ac:dyDescent="0.25">
      <c r="A7" s="20" t="s">
        <v>3</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24"/>
      <c r="AI7" s="24"/>
      <c r="AJ7" s="24"/>
      <c r="AK7" s="24"/>
      <c r="AL7" s="24"/>
      <c r="AM7" s="24"/>
      <c r="AN7" s="24"/>
      <c r="AO7" s="24"/>
      <c r="AP7" s="24"/>
      <c r="AQ7" s="24"/>
      <c r="AR7" s="24"/>
      <c r="AS7" s="24"/>
      <c r="AT7" s="24"/>
      <c r="AU7" s="24"/>
      <c r="AV7" s="24"/>
      <c r="AW7" s="24"/>
      <c r="AX7" s="24"/>
      <c r="AY7" s="24"/>
      <c r="AZ7" s="24"/>
      <c r="BA7" s="24"/>
      <c r="BB7" s="24"/>
      <c r="BC7" s="24"/>
      <c r="BD7" s="24"/>
      <c r="BE7" s="24"/>
      <c r="BF7" s="24"/>
      <c r="BG7" s="24"/>
      <c r="BH7" s="24"/>
      <c r="BI7" s="24"/>
      <c r="BJ7" s="24"/>
      <c r="BK7" s="24"/>
      <c r="BL7" s="24"/>
    </row>
    <row r="8" spans="1:64" ht="20.100000000000001" customHeight="1" x14ac:dyDescent="0.25">
      <c r="A8" s="17" t="str">
        <f>HYPERLINK("#'Input - Site'!A1", "Site")</f>
        <v>Site</v>
      </c>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24"/>
      <c r="AI8" s="24"/>
      <c r="AJ8" s="24"/>
      <c r="AK8" s="24"/>
      <c r="AL8" s="24"/>
      <c r="AM8" s="24"/>
      <c r="AN8" s="24"/>
      <c r="AO8" s="24"/>
      <c r="AP8" s="24"/>
      <c r="AQ8" s="24"/>
      <c r="AR8" s="24"/>
      <c r="AS8" s="24"/>
      <c r="AT8" s="24"/>
      <c r="AU8" s="24"/>
      <c r="AV8" s="24"/>
      <c r="AW8" s="24"/>
      <c r="AX8" s="24"/>
      <c r="AY8" s="24"/>
      <c r="AZ8" s="24"/>
      <c r="BA8" s="24"/>
      <c r="BB8" s="24"/>
      <c r="BC8" s="24"/>
      <c r="BD8" s="24"/>
      <c r="BE8" s="24"/>
      <c r="BF8" s="24"/>
      <c r="BG8" s="24"/>
      <c r="BH8" s="24"/>
      <c r="BI8" s="24"/>
      <c r="BJ8" s="24"/>
      <c r="BK8" s="24"/>
      <c r="BL8" s="24"/>
    </row>
    <row r="9" spans="1:64" ht="20.100000000000001" customHeight="1" x14ac:dyDescent="0.25">
      <c r="A9" s="17" t="str">
        <f>HYPERLINK("#'Input - Dairy'!A1", "Dairy")</f>
        <v>Dairy</v>
      </c>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24"/>
      <c r="AI9" s="24"/>
      <c r="AJ9" s="24"/>
      <c r="AK9" s="24"/>
      <c r="AL9" s="24"/>
      <c r="AM9" s="24"/>
      <c r="AN9" s="24"/>
      <c r="AO9" s="24"/>
      <c r="AP9" s="24"/>
      <c r="AQ9" s="24"/>
      <c r="AR9" s="24"/>
      <c r="AS9" s="24"/>
      <c r="AT9" s="24"/>
      <c r="AU9" s="24"/>
      <c r="AV9" s="24"/>
      <c r="AW9" s="24"/>
      <c r="AX9" s="24"/>
      <c r="AY9" s="24"/>
      <c r="AZ9" s="24"/>
      <c r="BA9" s="24"/>
      <c r="BB9" s="24"/>
      <c r="BC9" s="24"/>
      <c r="BD9" s="24"/>
      <c r="BE9" s="24"/>
      <c r="BF9" s="24"/>
      <c r="BG9" s="24"/>
      <c r="BH9" s="24"/>
      <c r="BI9" s="24"/>
      <c r="BJ9" s="24"/>
      <c r="BK9" s="24"/>
      <c r="BL9" s="24"/>
    </row>
    <row r="10" spans="1:64" ht="20.100000000000001" customHeight="1" x14ac:dyDescent="0.25">
      <c r="A10" s="17"/>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24"/>
      <c r="AI10" s="24"/>
      <c r="AJ10" s="24"/>
      <c r="AK10" s="24"/>
      <c r="AL10" s="24"/>
      <c r="AM10" s="24"/>
      <c r="AN10" s="24"/>
      <c r="AO10" s="24"/>
      <c r="AP10" s="24"/>
      <c r="AQ10" s="24"/>
      <c r="AR10" s="24"/>
      <c r="AS10" s="24"/>
      <c r="AT10" s="24"/>
      <c r="AU10" s="24"/>
      <c r="AV10" s="24"/>
      <c r="AW10" s="24"/>
      <c r="AX10" s="24"/>
      <c r="AY10" s="24"/>
      <c r="AZ10" s="24"/>
      <c r="BA10" s="24"/>
      <c r="BB10" s="24"/>
      <c r="BC10" s="24"/>
      <c r="BD10" s="24"/>
      <c r="BE10" s="24"/>
      <c r="BF10" s="24"/>
      <c r="BG10" s="24"/>
      <c r="BH10" s="24"/>
      <c r="BI10" s="24"/>
      <c r="BJ10" s="24"/>
      <c r="BK10" s="24"/>
      <c r="BL10" s="24"/>
    </row>
    <row r="11" spans="1:64" ht="20.100000000000001" customHeight="1" x14ac:dyDescent="0.25">
      <c r="A11" s="19" t="s">
        <v>76</v>
      </c>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24"/>
      <c r="AI11" s="24"/>
      <c r="AJ11" s="24"/>
      <c r="AK11" s="24"/>
      <c r="AL11" s="24"/>
      <c r="AM11" s="24"/>
      <c r="AN11" s="24"/>
      <c r="AO11" s="24"/>
      <c r="AP11" s="24"/>
      <c r="AQ11" s="24"/>
      <c r="AR11" s="24"/>
      <c r="AS11" s="24"/>
      <c r="AT11" s="24"/>
      <c r="AU11" s="24"/>
      <c r="AV11" s="24"/>
      <c r="AW11" s="24"/>
      <c r="AX11" s="24"/>
      <c r="AY11" s="24"/>
      <c r="AZ11" s="24"/>
      <c r="BA11" s="24"/>
      <c r="BB11" s="24"/>
      <c r="BC11" s="24"/>
      <c r="BD11" s="24"/>
      <c r="BE11" s="24"/>
      <c r="BF11" s="24"/>
      <c r="BG11" s="24"/>
      <c r="BH11" s="24"/>
      <c r="BI11" s="24"/>
      <c r="BJ11" s="24"/>
      <c r="BK11" s="24"/>
      <c r="BL11" s="24"/>
    </row>
    <row r="12" spans="1:64" ht="20.100000000000001" customHeight="1" x14ac:dyDescent="0.25">
      <c r="A12" s="17" t="str">
        <f>HYPERLINK("#'4.3.1.1-2 Methane'!A1", "4.3.1.1-2 Methane")</f>
        <v>4.3.1.1-2 Methane</v>
      </c>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24"/>
      <c r="AI12" s="24"/>
      <c r="AJ12" s="24"/>
      <c r="AK12" s="24"/>
      <c r="AL12" s="24"/>
      <c r="AM12" s="24"/>
      <c r="AN12" s="24"/>
      <c r="AO12" s="24"/>
      <c r="AP12" s="24"/>
      <c r="AQ12" s="24"/>
      <c r="AR12" s="24"/>
      <c r="AS12" s="24"/>
      <c r="AT12" s="24"/>
      <c r="AU12" s="24"/>
      <c r="AV12" s="24"/>
      <c r="AW12" s="24"/>
      <c r="AX12" s="24"/>
      <c r="AY12" s="24"/>
      <c r="AZ12" s="24"/>
      <c r="BA12" s="24"/>
      <c r="BB12" s="24"/>
      <c r="BC12" s="24"/>
      <c r="BD12" s="24"/>
      <c r="BE12" s="24"/>
      <c r="BF12" s="24"/>
      <c r="BG12" s="24"/>
      <c r="BH12" s="24"/>
      <c r="BI12" s="24"/>
      <c r="BJ12" s="24"/>
      <c r="BK12" s="24"/>
      <c r="BL12" s="24"/>
    </row>
    <row r="13" spans="1:64" ht="20.100000000000001" customHeight="1" x14ac:dyDescent="0.25">
      <c r="A13" s="17" t="str">
        <f>HYPERLINK("#'4.3.1.3-4 Direct N20'!A1", "4.3.1.3-4 Direct N2O")</f>
        <v>4.3.1.3-4 Direct N2O</v>
      </c>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24"/>
      <c r="AI13" s="24"/>
      <c r="AJ13" s="24"/>
      <c r="AK13" s="24"/>
      <c r="AL13" s="24"/>
      <c r="AM13" s="24"/>
      <c r="AN13" s="24"/>
      <c r="AO13" s="24"/>
      <c r="AP13" s="24"/>
      <c r="AQ13" s="24"/>
      <c r="AR13" s="24"/>
      <c r="AS13" s="24"/>
      <c r="AT13" s="24"/>
      <c r="AU13" s="24"/>
      <c r="AV13" s="24"/>
      <c r="AW13" s="24"/>
      <c r="AX13" s="24"/>
      <c r="AY13" s="24"/>
      <c r="AZ13" s="24"/>
      <c r="BA13" s="24"/>
      <c r="BB13" s="24"/>
      <c r="BC13" s="24"/>
      <c r="BD13" s="24"/>
      <c r="BE13" s="24"/>
      <c r="BF13" s="24"/>
      <c r="BG13" s="24"/>
      <c r="BH13" s="24"/>
      <c r="BI13" s="24"/>
      <c r="BJ13" s="24"/>
      <c r="BK13" s="24"/>
      <c r="BL13" s="24"/>
    </row>
    <row r="14" spans="1:64" ht="20.100000000000001" customHeight="1" x14ac:dyDescent="0.25">
      <c r="A14" s="17" t="str">
        <f>HYPERLINK("#'4.3.1.5 Atmos Deposition'!A1", "4.3.1.5 Atmospheric deposition")</f>
        <v>4.3.1.5 Atmospheric deposition</v>
      </c>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24"/>
      <c r="AI14" s="24"/>
      <c r="AJ14" s="24"/>
      <c r="AK14" s="24"/>
      <c r="AL14" s="24"/>
      <c r="AM14" s="24"/>
      <c r="AN14" s="24"/>
      <c r="AO14" s="24"/>
      <c r="AP14" s="24"/>
      <c r="AQ14" s="24"/>
      <c r="AR14" s="24"/>
      <c r="AS14" s="24"/>
      <c r="AT14" s="24"/>
      <c r="AU14" s="24"/>
      <c r="AV14" s="24"/>
      <c r="AW14" s="24"/>
      <c r="AX14" s="24"/>
      <c r="AY14" s="24"/>
      <c r="AZ14" s="24"/>
      <c r="BA14" s="24"/>
      <c r="BB14" s="24"/>
      <c r="BC14" s="24"/>
      <c r="BD14" s="24"/>
      <c r="BE14" s="24"/>
      <c r="BF14" s="24"/>
      <c r="BG14" s="24"/>
      <c r="BH14" s="24"/>
      <c r="BI14" s="24"/>
      <c r="BJ14" s="24"/>
      <c r="BK14" s="24"/>
      <c r="BL14" s="24"/>
    </row>
    <row r="15" spans="1:64" ht="20.100000000000001" customHeight="1" x14ac:dyDescent="0.25">
      <c r="A15" s="17" t="str">
        <f>HYPERLINK("#'4.3.1.6-7 Leaching and runoff'!A1", "4.3.1.6-7 Leaching and runoff")</f>
        <v>4.3.1.6-7 Leaching and runoff</v>
      </c>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24"/>
      <c r="AI15" s="24"/>
      <c r="AJ15" s="24"/>
      <c r="AK15" s="24"/>
      <c r="AL15" s="24"/>
      <c r="AM15" s="24"/>
      <c r="AN15" s="24"/>
      <c r="AO15" s="24"/>
      <c r="AP15" s="24"/>
      <c r="AQ15" s="24"/>
      <c r="AR15" s="24"/>
      <c r="AS15" s="24"/>
      <c r="AT15" s="24"/>
      <c r="AU15" s="24"/>
      <c r="AV15" s="24"/>
      <c r="AW15" s="24"/>
      <c r="AX15" s="24"/>
      <c r="AY15" s="24"/>
      <c r="AZ15" s="24"/>
      <c r="BA15" s="24"/>
      <c r="BB15" s="24"/>
      <c r="BC15" s="24"/>
      <c r="BD15" s="24"/>
      <c r="BE15" s="24"/>
      <c r="BF15" s="24"/>
      <c r="BG15" s="24"/>
      <c r="BH15" s="24"/>
      <c r="BI15" s="24"/>
      <c r="BJ15" s="24"/>
      <c r="BK15" s="24"/>
      <c r="BL15" s="24"/>
    </row>
    <row r="16" spans="1:64" ht="20.100000000000001" customHeight="1" x14ac:dyDescent="0.25">
      <c r="A16" s="17" t="str">
        <f>HYPERLINK("#'4.3.1.8 Manure applied to soils'!A1", "4.3.1.8 Manure applied to soils")</f>
        <v>4.3.1.8 Manure applied to soils</v>
      </c>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24"/>
      <c r="AI16" s="24"/>
      <c r="AJ16" s="24"/>
      <c r="AK16" s="24"/>
      <c r="AL16" s="24"/>
      <c r="AM16" s="24"/>
      <c r="AN16" s="24"/>
      <c r="AO16" s="24"/>
      <c r="AP16" s="24"/>
      <c r="AQ16" s="24"/>
      <c r="AR16" s="24"/>
      <c r="AS16" s="24"/>
      <c r="AT16" s="24"/>
      <c r="AU16" s="24"/>
      <c r="AV16" s="24"/>
      <c r="AW16" s="24"/>
      <c r="AX16" s="24"/>
      <c r="AY16" s="24"/>
      <c r="AZ16" s="24"/>
      <c r="BA16" s="24"/>
      <c r="BB16" s="24"/>
      <c r="BC16" s="24"/>
      <c r="BD16" s="24"/>
      <c r="BE16" s="24"/>
      <c r="BF16" s="24"/>
      <c r="BG16" s="24"/>
      <c r="BH16" s="24"/>
      <c r="BI16" s="24"/>
      <c r="BJ16" s="24"/>
      <c r="BK16" s="24"/>
      <c r="BL16" s="24"/>
    </row>
    <row r="17" spans="1:64" ht="20.100000000000001" customHeight="1" x14ac:dyDescent="0.25">
      <c r="A17" s="17" t="str">
        <f>HYPERLINK("#'4.3.1.9 Soil direct N2O'!A1", "4.3.1.9 Soil direct N2O")</f>
        <v>4.3.1.9 Soil direct N2O</v>
      </c>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24"/>
      <c r="AI17" s="24"/>
      <c r="AJ17" s="24"/>
      <c r="AK17" s="24"/>
      <c r="AL17" s="24"/>
      <c r="AM17" s="24"/>
      <c r="AN17" s="24"/>
      <c r="AO17" s="24"/>
      <c r="AP17" s="24"/>
      <c r="AQ17" s="24"/>
      <c r="AR17" s="24"/>
      <c r="AS17" s="24"/>
      <c r="AT17" s="24"/>
      <c r="AU17" s="24"/>
      <c r="AV17" s="24"/>
      <c r="AW17" s="24"/>
      <c r="AX17" s="24"/>
      <c r="AY17" s="24"/>
      <c r="AZ17" s="24"/>
      <c r="BA17" s="24"/>
      <c r="BB17" s="24"/>
      <c r="BC17" s="24"/>
      <c r="BD17" s="24"/>
      <c r="BE17" s="24"/>
      <c r="BF17" s="24"/>
      <c r="BG17" s="24"/>
      <c r="BH17" s="24"/>
      <c r="BI17" s="24"/>
      <c r="BJ17" s="24"/>
      <c r="BK17" s="24"/>
      <c r="BL17" s="24"/>
    </row>
    <row r="18" spans="1:64" ht="20.100000000000001" customHeight="1" x14ac:dyDescent="0.25">
      <c r="A18" s="17" t="str">
        <f>HYPERLINK("#'4.3.1.10-11 Soil Atmos Dep'!A1", "4.3.1.10-11 Soil atm. deposition")</f>
        <v>4.3.1.10-11 Soil atm. deposition</v>
      </c>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24"/>
      <c r="AI18" s="24"/>
      <c r="AJ18" s="24"/>
      <c r="AK18" s="24"/>
      <c r="AL18" s="24"/>
      <c r="AM18" s="24"/>
      <c r="AN18" s="24"/>
      <c r="AO18" s="24"/>
      <c r="AP18" s="24"/>
      <c r="AQ18" s="24"/>
      <c r="AR18" s="24"/>
      <c r="AS18" s="24"/>
      <c r="AT18" s="24"/>
      <c r="AU18" s="24"/>
      <c r="AV18" s="24"/>
      <c r="AW18" s="24"/>
      <c r="AX18" s="24"/>
      <c r="AY18" s="24"/>
      <c r="AZ18" s="24"/>
      <c r="BA18" s="24"/>
      <c r="BB18" s="24"/>
      <c r="BC18" s="24"/>
      <c r="BD18" s="24"/>
      <c r="BE18" s="24"/>
      <c r="BF18" s="24"/>
      <c r="BG18" s="24"/>
      <c r="BH18" s="24"/>
      <c r="BI18" s="24"/>
      <c r="BJ18" s="24"/>
      <c r="BK18" s="24"/>
      <c r="BL18" s="24"/>
    </row>
    <row r="19" spans="1:64" ht="20.100000000000001" customHeight="1" x14ac:dyDescent="0.25">
      <c r="A19" s="17" t="str">
        <f>HYPERLINK("#'4.3.1.12-13 Soil leach runoff'!A1", "4.3.1.12-13 Soil leach &amp; runoff")</f>
        <v>4.3.1.12-13 Soil leach &amp; runoff</v>
      </c>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24"/>
      <c r="AI19" s="24"/>
      <c r="AJ19" s="24"/>
      <c r="AK19" s="24"/>
      <c r="AL19" s="24"/>
      <c r="AM19" s="24"/>
      <c r="AN19" s="24"/>
      <c r="AO19" s="24"/>
      <c r="AP19" s="24"/>
      <c r="AQ19" s="24"/>
      <c r="AR19" s="24"/>
      <c r="AS19" s="24"/>
      <c r="AT19" s="24"/>
      <c r="AU19" s="24"/>
      <c r="AV19" s="24"/>
      <c r="AW19" s="24"/>
      <c r="AX19" s="24"/>
      <c r="AY19" s="24"/>
      <c r="AZ19" s="24"/>
      <c r="BA19" s="24"/>
      <c r="BB19" s="24"/>
      <c r="BC19" s="24"/>
      <c r="BD19" s="24"/>
      <c r="BE19" s="24"/>
      <c r="BF19" s="24"/>
      <c r="BG19" s="24"/>
      <c r="BH19" s="24"/>
      <c r="BI19" s="24"/>
      <c r="BJ19" s="24"/>
      <c r="BK19" s="24"/>
      <c r="BL19" s="24"/>
    </row>
    <row r="20" spans="1:64" ht="20.100000000000001" customHeight="1" x14ac:dyDescent="0.25">
      <c r="A20" s="17"/>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24"/>
      <c r="AI20" s="24"/>
      <c r="AJ20" s="24"/>
      <c r="AK20" s="24"/>
      <c r="AL20" s="24"/>
      <c r="AM20" s="24"/>
      <c r="AN20" s="24"/>
      <c r="AO20" s="24"/>
      <c r="AP20" s="24"/>
      <c r="AQ20" s="24"/>
      <c r="AR20" s="24"/>
      <c r="AS20" s="24"/>
      <c r="AT20" s="24"/>
      <c r="AU20" s="24"/>
      <c r="AV20" s="24"/>
      <c r="AW20" s="24"/>
      <c r="AX20" s="24"/>
      <c r="AY20" s="24"/>
      <c r="AZ20" s="24"/>
      <c r="BA20" s="24"/>
      <c r="BB20" s="24"/>
      <c r="BC20" s="24"/>
      <c r="BD20" s="24"/>
      <c r="BE20" s="24"/>
      <c r="BF20" s="24"/>
      <c r="BG20" s="24"/>
      <c r="BH20" s="24"/>
      <c r="BI20" s="24"/>
      <c r="BJ20" s="24"/>
      <c r="BK20" s="24"/>
      <c r="BL20" s="24"/>
    </row>
    <row r="21" spans="1:64" ht="20.100000000000001" customHeight="1" x14ac:dyDescent="0.25">
      <c r="A21" s="18" t="s">
        <v>4</v>
      </c>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24"/>
      <c r="AI21" s="24"/>
      <c r="AJ21" s="24"/>
      <c r="AK21" s="24"/>
      <c r="AL21" s="24"/>
      <c r="AM21" s="24"/>
      <c r="AN21" s="24"/>
      <c r="AO21" s="24"/>
      <c r="AP21" s="24"/>
      <c r="AQ21" s="24"/>
      <c r="AR21" s="24"/>
      <c r="AS21" s="24"/>
      <c r="AT21" s="24"/>
      <c r="AU21" s="24"/>
      <c r="AV21" s="24"/>
      <c r="AW21" s="24"/>
      <c r="AX21" s="24"/>
      <c r="AY21" s="24"/>
      <c r="AZ21" s="24"/>
      <c r="BA21" s="24"/>
      <c r="BB21" s="24"/>
      <c r="BC21" s="24"/>
      <c r="BD21" s="24"/>
      <c r="BE21" s="24"/>
      <c r="BF21" s="24"/>
      <c r="BG21" s="24"/>
      <c r="BH21" s="24"/>
      <c r="BI21" s="24"/>
      <c r="BJ21" s="24"/>
      <c r="BK21" s="24"/>
      <c r="BL21" s="24"/>
    </row>
    <row r="22" spans="1:64" ht="20.100000000000001" customHeight="1" x14ac:dyDescent="0.25">
      <c r="A22" s="17" t="str">
        <f>HYPERLINK("#'Constants - Dairy'!A1", "Constants - Dairy")</f>
        <v>Constants - Dairy</v>
      </c>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24"/>
      <c r="AI22" s="24"/>
      <c r="AJ22" s="24"/>
      <c r="AK22" s="24"/>
      <c r="AL22" s="24"/>
      <c r="AM22" s="24"/>
      <c r="AN22" s="24"/>
      <c r="AO22" s="24"/>
      <c r="AP22" s="24"/>
      <c r="AQ22" s="24"/>
      <c r="AR22" s="24"/>
      <c r="AS22" s="24"/>
      <c r="AT22" s="24"/>
      <c r="AU22" s="24"/>
      <c r="AV22" s="24"/>
      <c r="AW22" s="24"/>
      <c r="AX22" s="24"/>
      <c r="AY22" s="24"/>
      <c r="AZ22" s="24"/>
      <c r="BA22" s="24"/>
      <c r="BB22" s="24"/>
      <c r="BC22" s="24"/>
      <c r="BD22" s="24"/>
      <c r="BE22" s="24"/>
      <c r="BF22" s="24"/>
      <c r="BG22" s="24"/>
      <c r="BH22" s="24"/>
      <c r="BI22" s="24"/>
      <c r="BJ22" s="24"/>
      <c r="BK22" s="24"/>
      <c r="BL22" s="24"/>
    </row>
    <row r="23" spans="1:64" ht="20.100000000000001" customHeight="1" x14ac:dyDescent="0.25">
      <c r="A23" s="17" t="str">
        <f>HYPERLINK("#'Constants - Livestock'!A1", "Constants - Livestock")</f>
        <v>Constants - Livestock</v>
      </c>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24"/>
      <c r="AI23" s="24"/>
      <c r="AJ23" s="24"/>
      <c r="AK23" s="24"/>
      <c r="AL23" s="24"/>
      <c r="AM23" s="24"/>
      <c r="AN23" s="24"/>
      <c r="AO23" s="24"/>
      <c r="AP23" s="24"/>
      <c r="AQ23" s="24"/>
      <c r="AR23" s="24"/>
      <c r="AS23" s="24"/>
      <c r="AT23" s="24"/>
      <c r="AU23" s="24"/>
      <c r="AV23" s="24"/>
      <c r="AW23" s="24"/>
      <c r="AX23" s="24"/>
      <c r="AY23" s="24"/>
      <c r="AZ23" s="24"/>
      <c r="BA23" s="24"/>
      <c r="BB23" s="24"/>
      <c r="BC23" s="24"/>
      <c r="BD23" s="24"/>
      <c r="BE23" s="24"/>
      <c r="BF23" s="24"/>
      <c r="BG23" s="24"/>
      <c r="BH23" s="24"/>
      <c r="BI23" s="24"/>
      <c r="BJ23" s="24"/>
      <c r="BK23" s="24"/>
      <c r="BL23" s="24"/>
    </row>
    <row r="24" spans="1:64" ht="20.100000000000001" customHeight="1" x14ac:dyDescent="0.25">
      <c r="A24" s="17" t="str">
        <f>HYPERLINK("#'Constants - Common'!A1", "Constants - Common")</f>
        <v>Constants - Common</v>
      </c>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24"/>
      <c r="AI24" s="24"/>
      <c r="AJ24" s="24"/>
      <c r="AK24" s="24"/>
      <c r="AL24" s="24"/>
      <c r="AM24" s="24"/>
      <c r="AN24" s="24"/>
      <c r="AO24" s="24"/>
      <c r="AP24" s="24"/>
      <c r="AQ24" s="24"/>
      <c r="AR24" s="24"/>
      <c r="AS24" s="24"/>
      <c r="AT24" s="24"/>
      <c r="AU24" s="24"/>
      <c r="AV24" s="24"/>
      <c r="AW24" s="24"/>
      <c r="AX24" s="24"/>
      <c r="AY24" s="24"/>
      <c r="AZ24" s="24"/>
      <c r="BA24" s="24"/>
      <c r="BB24" s="24"/>
      <c r="BC24" s="24"/>
      <c r="BD24" s="24"/>
      <c r="BE24" s="24"/>
      <c r="BF24" s="24"/>
      <c r="BG24" s="24"/>
      <c r="BH24" s="24"/>
      <c r="BI24" s="24"/>
      <c r="BJ24" s="24"/>
      <c r="BK24" s="24"/>
      <c r="BL24" s="24"/>
    </row>
    <row r="25" spans="1:64" ht="20.100000000000001" customHeight="1" x14ac:dyDescent="0.25">
      <c r="A25" s="17" t="str">
        <f>HYPERLINK("#'Acknowledgements'!A1", "Acknowledgements")</f>
        <v>Acknowledgements</v>
      </c>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24"/>
      <c r="AI25" s="24"/>
      <c r="AJ25" s="24"/>
      <c r="AK25" s="24"/>
      <c r="AL25" s="24"/>
      <c r="AM25" s="24"/>
      <c r="AN25" s="24"/>
      <c r="AO25" s="24"/>
      <c r="AP25" s="24"/>
      <c r="AQ25" s="24"/>
      <c r="AR25" s="24"/>
      <c r="AS25" s="24"/>
      <c r="AT25" s="24"/>
      <c r="AU25" s="24"/>
      <c r="AV25" s="24"/>
      <c r="AW25" s="24"/>
      <c r="AX25" s="24"/>
      <c r="AY25" s="24"/>
      <c r="AZ25" s="24"/>
      <c r="BA25" s="24"/>
      <c r="BB25" s="24"/>
      <c r="BC25" s="24"/>
      <c r="BD25" s="24"/>
      <c r="BE25" s="24"/>
      <c r="BF25" s="24"/>
      <c r="BG25" s="24"/>
      <c r="BH25" s="24"/>
      <c r="BI25" s="24"/>
      <c r="BJ25" s="24"/>
      <c r="BK25" s="24"/>
      <c r="BL25" s="24"/>
    </row>
    <row r="26" spans="1:64" ht="20.100000000000001" customHeight="1" x14ac:dyDescent="0.25">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24"/>
      <c r="AI26" s="24"/>
      <c r="AJ26" s="24"/>
      <c r="AK26" s="24"/>
      <c r="AL26" s="24"/>
      <c r="AM26" s="24"/>
      <c r="AN26" s="24"/>
      <c r="AO26" s="24"/>
      <c r="AP26" s="24"/>
      <c r="AQ26" s="24"/>
      <c r="AR26" s="24"/>
      <c r="AS26" s="24"/>
      <c r="AT26" s="24"/>
      <c r="AU26" s="24"/>
      <c r="AV26" s="24"/>
      <c r="AW26" s="24"/>
      <c r="AX26" s="24"/>
      <c r="AY26" s="24"/>
      <c r="AZ26" s="24"/>
      <c r="BA26" s="24"/>
      <c r="BB26" s="24"/>
      <c r="BC26" s="24"/>
      <c r="BD26" s="24"/>
      <c r="BE26" s="24"/>
      <c r="BF26" s="24"/>
      <c r="BG26" s="24"/>
      <c r="BH26" s="24"/>
      <c r="BI26" s="24"/>
      <c r="BJ26" s="24"/>
      <c r="BK26" s="24"/>
      <c r="BL26" s="24"/>
    </row>
    <row r="27" spans="1:64" ht="20.100000000000001" customHeight="1" x14ac:dyDescent="0.25">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24"/>
      <c r="AI27" s="24"/>
      <c r="AJ27" s="24"/>
      <c r="AK27" s="24"/>
      <c r="AL27" s="24"/>
      <c r="AM27" s="24"/>
      <c r="AN27" s="24"/>
      <c r="AO27" s="24"/>
      <c r="AP27" s="24"/>
      <c r="AQ27" s="24"/>
      <c r="AR27" s="24"/>
      <c r="AS27" s="24"/>
      <c r="AT27" s="24"/>
      <c r="AU27" s="24"/>
      <c r="AV27" s="24"/>
      <c r="AW27" s="24"/>
      <c r="AX27" s="24"/>
      <c r="AY27" s="24"/>
      <c r="AZ27" s="24"/>
      <c r="BA27" s="24"/>
      <c r="BB27" s="24"/>
      <c r="BC27" s="24"/>
      <c r="BD27" s="24"/>
      <c r="BE27" s="24"/>
      <c r="BF27" s="24"/>
      <c r="BG27" s="24"/>
      <c r="BH27" s="24"/>
      <c r="BI27" s="24"/>
      <c r="BJ27" s="24"/>
      <c r="BK27" s="24"/>
      <c r="BL27" s="24"/>
    </row>
    <row r="28" spans="1:64" ht="20.100000000000001" customHeight="1" x14ac:dyDescent="0.25">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24"/>
      <c r="AI28" s="24"/>
      <c r="AJ28" s="24"/>
      <c r="AK28" s="24"/>
      <c r="AL28" s="24"/>
      <c r="AM28" s="24"/>
      <c r="AN28" s="24"/>
      <c r="AO28" s="24"/>
      <c r="AP28" s="24"/>
      <c r="AQ28" s="24"/>
      <c r="AR28" s="24"/>
      <c r="AS28" s="24"/>
      <c r="AT28" s="24"/>
      <c r="AU28" s="24"/>
      <c r="AV28" s="24"/>
      <c r="AW28" s="24"/>
      <c r="AX28" s="24"/>
      <c r="AY28" s="24"/>
      <c r="AZ28" s="24"/>
      <c r="BA28" s="24"/>
      <c r="BB28" s="24"/>
      <c r="BC28" s="24"/>
      <c r="BD28" s="24"/>
      <c r="BE28" s="24"/>
      <c r="BF28" s="24"/>
      <c r="BG28" s="24"/>
      <c r="BH28" s="24"/>
      <c r="BI28" s="24"/>
      <c r="BJ28" s="24"/>
      <c r="BK28" s="24"/>
      <c r="BL28" s="24"/>
    </row>
    <row r="29" spans="1:64" ht="20.100000000000001" customHeight="1" x14ac:dyDescent="0.25">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24"/>
      <c r="AI29" s="24"/>
      <c r="AJ29" s="24"/>
      <c r="AK29" s="24"/>
      <c r="AL29" s="24"/>
      <c r="AM29" s="24"/>
      <c r="AN29" s="24"/>
      <c r="AO29" s="24"/>
      <c r="AP29" s="24"/>
      <c r="AQ29" s="24"/>
      <c r="AR29" s="24"/>
      <c r="AS29" s="24"/>
      <c r="AT29" s="24"/>
      <c r="AU29" s="24"/>
      <c r="AV29" s="24"/>
      <c r="AW29" s="24"/>
      <c r="AX29" s="24"/>
      <c r="AY29" s="24"/>
      <c r="AZ29" s="24"/>
      <c r="BA29" s="24"/>
      <c r="BB29" s="24"/>
      <c r="BC29" s="24"/>
      <c r="BD29" s="24"/>
      <c r="BE29" s="24"/>
      <c r="BF29" s="24"/>
      <c r="BG29" s="24"/>
      <c r="BH29" s="24"/>
      <c r="BI29" s="24"/>
      <c r="BJ29" s="24"/>
      <c r="BK29" s="24"/>
      <c r="BL29" s="24"/>
    </row>
    <row r="30" spans="1:64" ht="20.100000000000001" customHeight="1" x14ac:dyDescent="0.25">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24"/>
      <c r="AI30" s="24"/>
      <c r="AJ30" s="24"/>
      <c r="AK30" s="24"/>
      <c r="AL30" s="24"/>
      <c r="AM30" s="24"/>
      <c r="AN30" s="24"/>
      <c r="AO30" s="24"/>
      <c r="AP30" s="24"/>
      <c r="AQ30" s="24"/>
      <c r="AR30" s="24"/>
      <c r="AS30" s="24"/>
      <c r="AT30" s="24"/>
      <c r="AU30" s="24"/>
      <c r="AV30" s="24"/>
      <c r="AW30" s="24"/>
      <c r="AX30" s="24"/>
      <c r="AY30" s="24"/>
      <c r="AZ30" s="24"/>
      <c r="BA30" s="24"/>
      <c r="BB30" s="24"/>
      <c r="BC30" s="24"/>
      <c r="BD30" s="24"/>
      <c r="BE30" s="24"/>
      <c r="BF30" s="24"/>
      <c r="BG30" s="24"/>
      <c r="BH30" s="24"/>
      <c r="BI30" s="24"/>
      <c r="BJ30" s="24"/>
      <c r="BK30" s="24"/>
      <c r="BL30" s="24"/>
    </row>
    <row r="31" spans="1:64" ht="20.100000000000001" customHeight="1" x14ac:dyDescent="0.25">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24"/>
      <c r="AI31" s="24"/>
      <c r="AJ31" s="24"/>
      <c r="AK31" s="24"/>
      <c r="AL31" s="24"/>
      <c r="AM31" s="24"/>
      <c r="AN31" s="24"/>
      <c r="AO31" s="24"/>
      <c r="AP31" s="24"/>
      <c r="AQ31" s="24"/>
      <c r="AR31" s="24"/>
      <c r="AS31" s="24"/>
      <c r="AT31" s="24"/>
      <c r="AU31" s="24"/>
      <c r="AV31" s="24"/>
      <c r="AW31" s="24"/>
      <c r="AX31" s="24"/>
      <c r="AY31" s="24"/>
      <c r="AZ31" s="24"/>
      <c r="BA31" s="24"/>
      <c r="BB31" s="24"/>
      <c r="BC31" s="24"/>
      <c r="BD31" s="24"/>
      <c r="BE31" s="24"/>
      <c r="BF31" s="24"/>
      <c r="BG31" s="24"/>
      <c r="BH31" s="24"/>
      <c r="BI31" s="24"/>
      <c r="BJ31" s="24"/>
      <c r="BK31" s="24"/>
      <c r="BL31" s="24"/>
    </row>
    <row r="32" spans="1:64" ht="20.100000000000001" customHeight="1" x14ac:dyDescent="0.25">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24"/>
      <c r="AI32" s="24"/>
      <c r="AJ32" s="24"/>
      <c r="AK32" s="24"/>
      <c r="AL32" s="24"/>
      <c r="AM32" s="24"/>
      <c r="AN32" s="24"/>
      <c r="AO32" s="24"/>
      <c r="AP32" s="24"/>
      <c r="AQ32" s="24"/>
      <c r="AR32" s="24"/>
      <c r="AS32" s="24"/>
      <c r="AT32" s="24"/>
      <c r="AU32" s="24"/>
      <c r="AV32" s="24"/>
      <c r="AW32" s="24"/>
      <c r="AX32" s="24"/>
      <c r="AY32" s="24"/>
      <c r="AZ32" s="24"/>
      <c r="BA32" s="24"/>
      <c r="BB32" s="24"/>
      <c r="BC32" s="24"/>
      <c r="BD32" s="24"/>
      <c r="BE32" s="24"/>
      <c r="BF32" s="24"/>
      <c r="BG32" s="24"/>
      <c r="BH32" s="24"/>
      <c r="BI32" s="24"/>
      <c r="BJ32" s="24"/>
      <c r="BK32" s="24"/>
      <c r="BL32" s="24"/>
    </row>
    <row r="33" spans="3:64" ht="20.100000000000001" customHeight="1" x14ac:dyDescent="0.25">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24"/>
      <c r="AI33" s="24"/>
      <c r="AJ33" s="24"/>
      <c r="AK33" s="24"/>
      <c r="AL33" s="24"/>
      <c r="AM33" s="24"/>
      <c r="AN33" s="24"/>
      <c r="AO33" s="24"/>
      <c r="AP33" s="24"/>
      <c r="AQ33" s="24"/>
      <c r="AR33" s="24"/>
      <c r="AS33" s="24"/>
      <c r="AT33" s="24"/>
      <c r="AU33" s="24"/>
      <c r="AV33" s="24"/>
      <c r="AW33" s="24"/>
      <c r="AX33" s="24"/>
      <c r="AY33" s="24"/>
      <c r="AZ33" s="24"/>
      <c r="BA33" s="24"/>
      <c r="BB33" s="24"/>
      <c r="BC33" s="24"/>
      <c r="BD33" s="24"/>
      <c r="BE33" s="24"/>
      <c r="BF33" s="24"/>
      <c r="BG33" s="24"/>
      <c r="BH33" s="24"/>
      <c r="BI33" s="24"/>
      <c r="BJ33" s="24"/>
      <c r="BK33" s="24"/>
      <c r="BL33" s="24"/>
    </row>
    <row r="34" spans="3:64" ht="20.100000000000001" customHeight="1" x14ac:dyDescent="0.25">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24"/>
      <c r="AI34" s="24"/>
      <c r="AJ34" s="24"/>
      <c r="AK34" s="24"/>
      <c r="AL34" s="24"/>
      <c r="AM34" s="24"/>
      <c r="AN34" s="24"/>
      <c r="AO34" s="24"/>
      <c r="AP34" s="24"/>
      <c r="AQ34" s="24"/>
      <c r="AR34" s="24"/>
      <c r="AS34" s="24"/>
      <c r="AT34" s="24"/>
      <c r="AU34" s="24"/>
      <c r="AV34" s="24"/>
      <c r="AW34" s="24"/>
      <c r="AX34" s="24"/>
      <c r="AY34" s="24"/>
      <c r="AZ34" s="24"/>
      <c r="BA34" s="24"/>
      <c r="BB34" s="24"/>
      <c r="BC34" s="24"/>
      <c r="BD34" s="24"/>
      <c r="BE34" s="24"/>
      <c r="BF34" s="24"/>
      <c r="BG34" s="24"/>
      <c r="BH34" s="24"/>
      <c r="BI34" s="24"/>
      <c r="BJ34" s="24"/>
      <c r="BK34" s="24"/>
      <c r="BL34" s="24"/>
    </row>
    <row r="35" spans="3:64" ht="20.100000000000001" customHeight="1" x14ac:dyDescent="0.25">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24"/>
      <c r="AI35" s="24"/>
      <c r="AJ35" s="24"/>
      <c r="AK35" s="24"/>
      <c r="AL35" s="24"/>
      <c r="AM35" s="24"/>
      <c r="AN35" s="24"/>
      <c r="AO35" s="24"/>
      <c r="AP35" s="24"/>
      <c r="AQ35" s="24"/>
      <c r="AR35" s="24"/>
      <c r="AS35" s="24"/>
      <c r="AT35" s="24"/>
      <c r="AU35" s="24"/>
      <c r="AV35" s="24"/>
      <c r="AW35" s="24"/>
      <c r="AX35" s="24"/>
      <c r="AY35" s="24"/>
      <c r="AZ35" s="24"/>
      <c r="BA35" s="24"/>
      <c r="BB35" s="24"/>
      <c r="BC35" s="24"/>
      <c r="BD35" s="24"/>
      <c r="BE35" s="24"/>
      <c r="BF35" s="24"/>
      <c r="BG35" s="24"/>
      <c r="BH35" s="24"/>
      <c r="BI35" s="24"/>
      <c r="BJ35" s="24"/>
      <c r="BK35" s="24"/>
      <c r="BL35" s="24"/>
    </row>
    <row r="36" spans="3:64" ht="20.100000000000001" customHeight="1" x14ac:dyDescent="0.25">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24"/>
      <c r="AI36" s="24"/>
      <c r="AJ36" s="24"/>
      <c r="AK36" s="24"/>
      <c r="AL36" s="24"/>
      <c r="AM36" s="24"/>
      <c r="AN36" s="24"/>
      <c r="AO36" s="24"/>
      <c r="AP36" s="24"/>
      <c r="AQ36" s="24"/>
      <c r="AR36" s="24"/>
      <c r="AS36" s="24"/>
      <c r="AT36" s="24"/>
      <c r="AU36" s="24"/>
      <c r="AV36" s="24"/>
      <c r="AW36" s="24"/>
      <c r="AX36" s="24"/>
      <c r="AY36" s="24"/>
      <c r="AZ36" s="24"/>
      <c r="BA36" s="24"/>
      <c r="BB36" s="24"/>
      <c r="BC36" s="24"/>
      <c r="BD36" s="24"/>
      <c r="BE36" s="24"/>
      <c r="BF36" s="24"/>
      <c r="BG36" s="24"/>
      <c r="BH36" s="24"/>
      <c r="BI36" s="24"/>
      <c r="BJ36" s="24"/>
      <c r="BK36" s="24"/>
      <c r="BL36" s="24"/>
    </row>
    <row r="37" spans="3:64" ht="20.100000000000001" customHeight="1" x14ac:dyDescent="0.25">
      <c r="C37" s="24"/>
      <c r="D37" s="24"/>
      <c r="E37" s="24"/>
      <c r="F37" s="24"/>
      <c r="G37" s="24"/>
      <c r="H37" s="24"/>
      <c r="I37" s="24"/>
      <c r="J37" s="24"/>
      <c r="K37" s="24"/>
      <c r="L37" s="24"/>
      <c r="M37" s="24"/>
      <c r="N37" s="24"/>
      <c r="O37" s="24"/>
      <c r="P37" s="24"/>
      <c r="Q37" s="24"/>
      <c r="R37" s="24"/>
      <c r="S37" s="24"/>
      <c r="T37" s="24"/>
      <c r="U37" s="24"/>
      <c r="V37" s="24"/>
      <c r="W37" s="24"/>
      <c r="X37" s="24"/>
      <c r="Y37" s="24"/>
      <c r="Z37" s="24"/>
      <c r="AA37" s="24"/>
      <c r="AB37" s="24"/>
      <c r="AC37" s="24"/>
      <c r="AD37" s="24"/>
      <c r="AE37" s="24"/>
      <c r="AF37" s="24"/>
      <c r="AG37" s="24"/>
      <c r="AH37" s="24"/>
      <c r="AI37" s="24"/>
      <c r="AJ37" s="24"/>
      <c r="AK37" s="24"/>
      <c r="AL37" s="24"/>
      <c r="AM37" s="24"/>
      <c r="AN37" s="24"/>
      <c r="AO37" s="24"/>
      <c r="AP37" s="24"/>
      <c r="AQ37" s="24"/>
      <c r="AR37" s="24"/>
      <c r="AS37" s="24"/>
      <c r="AT37" s="24"/>
      <c r="AU37" s="24"/>
      <c r="AV37" s="24"/>
      <c r="AW37" s="24"/>
      <c r="AX37" s="24"/>
      <c r="AY37" s="24"/>
      <c r="AZ37" s="24"/>
      <c r="BA37" s="24"/>
      <c r="BB37" s="24"/>
      <c r="BC37" s="24"/>
      <c r="BD37" s="24"/>
      <c r="BE37" s="24"/>
      <c r="BF37" s="24"/>
      <c r="BG37" s="24"/>
      <c r="BH37" s="24"/>
      <c r="BI37" s="24"/>
      <c r="BJ37" s="24"/>
      <c r="BK37" s="24"/>
      <c r="BL37" s="24"/>
    </row>
    <row r="38" spans="3:64" ht="20.100000000000001" customHeight="1" x14ac:dyDescent="0.25">
      <c r="C38" s="24"/>
      <c r="D38" s="24"/>
      <c r="E38" s="24"/>
      <c r="F38" s="24"/>
      <c r="G38" s="24"/>
      <c r="H38" s="24"/>
      <c r="I38" s="24"/>
      <c r="J38" s="24"/>
      <c r="K38" s="24"/>
      <c r="L38" s="24"/>
      <c r="M38" s="24"/>
      <c r="N38" s="24"/>
      <c r="O38" s="24"/>
      <c r="P38" s="24"/>
      <c r="Q38" s="24"/>
      <c r="R38" s="24"/>
      <c r="S38" s="24"/>
      <c r="T38" s="24"/>
      <c r="U38" s="24"/>
      <c r="V38" s="24"/>
      <c r="W38" s="24"/>
      <c r="X38" s="24"/>
      <c r="Y38" s="24"/>
      <c r="Z38" s="24"/>
      <c r="AA38" s="24"/>
      <c r="AB38" s="24"/>
      <c r="AC38" s="24"/>
      <c r="AD38" s="24"/>
      <c r="AE38" s="24"/>
      <c r="AF38" s="24"/>
      <c r="AG38" s="24"/>
      <c r="AH38" s="24"/>
      <c r="AI38" s="24"/>
      <c r="AJ38" s="24"/>
      <c r="AK38" s="24"/>
      <c r="AL38" s="24"/>
      <c r="AM38" s="24"/>
      <c r="AN38" s="24"/>
      <c r="AO38" s="24"/>
      <c r="AP38" s="24"/>
      <c r="AQ38" s="24"/>
      <c r="AR38" s="24"/>
      <c r="AS38" s="24"/>
      <c r="AT38" s="24"/>
      <c r="AU38" s="24"/>
      <c r="AV38" s="24"/>
      <c r="AW38" s="24"/>
      <c r="AX38" s="24"/>
      <c r="AY38" s="24"/>
      <c r="AZ38" s="24"/>
      <c r="BA38" s="24"/>
      <c r="BB38" s="24"/>
      <c r="BC38" s="24"/>
      <c r="BD38" s="24"/>
      <c r="BE38" s="24"/>
      <c r="BF38" s="24"/>
      <c r="BG38" s="24"/>
      <c r="BH38" s="24"/>
      <c r="BI38" s="24"/>
      <c r="BJ38" s="24"/>
      <c r="BK38" s="24"/>
      <c r="BL38" s="24"/>
    </row>
    <row r="39" spans="3:64" ht="20.100000000000001" customHeight="1" x14ac:dyDescent="0.25">
      <c r="C39" s="24"/>
      <c r="D39" s="24"/>
      <c r="E39" s="24"/>
      <c r="F39" s="24"/>
      <c r="G39" s="24"/>
      <c r="H39" s="24"/>
      <c r="I39" s="24"/>
      <c r="J39" s="24"/>
      <c r="K39" s="24"/>
      <c r="L39" s="24"/>
      <c r="M39" s="24"/>
      <c r="N39" s="24"/>
      <c r="O39" s="24"/>
      <c r="P39" s="24"/>
      <c r="Q39" s="24"/>
      <c r="R39" s="24"/>
      <c r="S39" s="24"/>
      <c r="T39" s="24"/>
      <c r="U39" s="24"/>
      <c r="V39" s="24"/>
      <c r="W39" s="24"/>
      <c r="X39" s="24"/>
      <c r="Y39" s="24"/>
      <c r="Z39" s="24"/>
      <c r="AA39" s="24"/>
      <c r="AB39" s="24"/>
      <c r="AC39" s="24"/>
      <c r="AD39" s="24"/>
      <c r="AE39" s="24"/>
      <c r="AF39" s="24"/>
      <c r="AG39" s="24"/>
      <c r="AH39" s="24"/>
      <c r="AI39" s="24"/>
      <c r="AJ39" s="24"/>
      <c r="AK39" s="24"/>
      <c r="AL39" s="24"/>
      <c r="AM39" s="24"/>
      <c r="AN39" s="24"/>
      <c r="AO39" s="24"/>
      <c r="AP39" s="24"/>
      <c r="AQ39" s="24"/>
      <c r="AR39" s="24"/>
      <c r="AS39" s="24"/>
      <c r="AT39" s="24"/>
      <c r="AU39" s="24"/>
      <c r="AV39" s="24"/>
      <c r="AW39" s="24"/>
      <c r="AX39" s="24"/>
      <c r="AY39" s="24"/>
      <c r="AZ39" s="24"/>
      <c r="BA39" s="24"/>
      <c r="BB39" s="24"/>
      <c r="BC39" s="24"/>
      <c r="BD39" s="24"/>
      <c r="BE39" s="24"/>
      <c r="BF39" s="24"/>
      <c r="BG39" s="24"/>
      <c r="BH39" s="24"/>
      <c r="BI39" s="24"/>
      <c r="BJ39" s="24"/>
      <c r="BK39" s="24"/>
      <c r="BL39" s="24"/>
    </row>
    <row r="40" spans="3:64" ht="20.100000000000001" customHeight="1" x14ac:dyDescent="0.25">
      <c r="C40" s="24"/>
      <c r="D40" s="24"/>
      <c r="E40" s="24"/>
      <c r="F40" s="24"/>
      <c r="G40" s="24"/>
      <c r="H40" s="24"/>
      <c r="I40" s="24"/>
      <c r="J40" s="24"/>
      <c r="K40" s="24"/>
      <c r="L40" s="24"/>
      <c r="M40" s="24"/>
      <c r="N40" s="24"/>
      <c r="O40" s="24"/>
      <c r="P40" s="24"/>
      <c r="Q40" s="24"/>
      <c r="R40" s="24"/>
      <c r="S40" s="24"/>
      <c r="T40" s="24"/>
      <c r="U40" s="24"/>
      <c r="V40" s="24"/>
      <c r="W40" s="24"/>
      <c r="X40" s="24"/>
      <c r="Y40" s="24"/>
      <c r="Z40" s="24"/>
      <c r="AA40" s="24"/>
      <c r="AB40" s="24"/>
      <c r="AC40" s="24"/>
      <c r="AD40" s="24"/>
      <c r="AE40" s="24"/>
      <c r="AF40" s="24"/>
      <c r="AG40" s="24"/>
      <c r="AH40" s="24"/>
      <c r="AI40" s="24"/>
      <c r="AJ40" s="24"/>
      <c r="AK40" s="24"/>
      <c r="AL40" s="24"/>
      <c r="AM40" s="24"/>
      <c r="AN40" s="24"/>
      <c r="AO40" s="24"/>
      <c r="AP40" s="24"/>
      <c r="AQ40" s="24"/>
      <c r="AR40" s="24"/>
      <c r="AS40" s="24"/>
      <c r="AT40" s="24"/>
      <c r="AU40" s="24"/>
      <c r="AV40" s="24"/>
      <c r="AW40" s="24"/>
      <c r="AX40" s="24"/>
      <c r="AY40" s="24"/>
      <c r="AZ40" s="24"/>
      <c r="BA40" s="24"/>
      <c r="BB40" s="24"/>
      <c r="BC40" s="24"/>
      <c r="BD40" s="24"/>
      <c r="BE40" s="24"/>
      <c r="BF40" s="24"/>
      <c r="BG40" s="24"/>
      <c r="BH40" s="24"/>
      <c r="BI40" s="24"/>
      <c r="BJ40" s="24"/>
      <c r="BK40" s="24"/>
      <c r="BL40" s="24"/>
    </row>
    <row r="41" spans="3:64" ht="20.100000000000001" customHeight="1" x14ac:dyDescent="0.25">
      <c r="C41" s="24"/>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4"/>
      <c r="AG41" s="24"/>
      <c r="AH41" s="24"/>
      <c r="AI41" s="24"/>
      <c r="AJ41" s="24"/>
      <c r="AK41" s="24"/>
      <c r="AL41" s="24"/>
      <c r="AM41" s="24"/>
      <c r="AN41" s="24"/>
      <c r="AO41" s="24"/>
      <c r="AP41" s="24"/>
      <c r="AQ41" s="24"/>
      <c r="AR41" s="24"/>
      <c r="AS41" s="24"/>
      <c r="AT41" s="24"/>
      <c r="AU41" s="24"/>
      <c r="AV41" s="24"/>
      <c r="AW41" s="24"/>
      <c r="AX41" s="24"/>
      <c r="AY41" s="24"/>
      <c r="AZ41" s="24"/>
      <c r="BA41" s="24"/>
      <c r="BB41" s="24"/>
      <c r="BC41" s="24"/>
      <c r="BD41" s="24"/>
      <c r="BE41" s="24"/>
      <c r="BF41" s="24"/>
      <c r="BG41" s="24"/>
      <c r="BH41" s="24"/>
      <c r="BI41" s="24"/>
      <c r="BJ41" s="24"/>
      <c r="BK41" s="24"/>
      <c r="BL41" s="24"/>
    </row>
    <row r="42" spans="3:64" ht="20.100000000000001" customHeight="1" x14ac:dyDescent="0.25">
      <c r="C42" s="24"/>
      <c r="D42" s="24"/>
      <c r="E42" s="24"/>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c r="AF42" s="24"/>
      <c r="AG42" s="24"/>
      <c r="AH42" s="24"/>
      <c r="AI42" s="24"/>
      <c r="AJ42" s="24"/>
      <c r="AK42" s="24"/>
      <c r="AL42" s="24"/>
      <c r="AM42" s="24"/>
      <c r="AN42" s="24"/>
      <c r="AO42" s="24"/>
      <c r="AP42" s="24"/>
      <c r="AQ42" s="24"/>
      <c r="AR42" s="24"/>
      <c r="AS42" s="24"/>
      <c r="AT42" s="24"/>
      <c r="AU42" s="24"/>
      <c r="AV42" s="24"/>
      <c r="AW42" s="24"/>
      <c r="AX42" s="24"/>
      <c r="AY42" s="24"/>
      <c r="AZ42" s="24"/>
      <c r="BA42" s="24"/>
      <c r="BB42" s="24"/>
      <c r="BC42" s="24"/>
      <c r="BD42" s="24"/>
      <c r="BE42" s="24"/>
      <c r="BF42" s="24"/>
      <c r="BG42" s="24"/>
      <c r="BH42" s="24"/>
      <c r="BI42" s="24"/>
      <c r="BJ42" s="24"/>
      <c r="BK42" s="24"/>
      <c r="BL42" s="24"/>
    </row>
    <row r="43" spans="3:64" ht="20.100000000000001" customHeight="1" x14ac:dyDescent="0.25">
      <c r="C43" s="24"/>
      <c r="D43" s="24"/>
      <c r="E43" s="24"/>
      <c r="F43" s="24"/>
      <c r="G43" s="24"/>
      <c r="H43" s="24"/>
      <c r="I43" s="24"/>
      <c r="J43" s="24"/>
      <c r="K43" s="24"/>
      <c r="L43" s="24"/>
      <c r="M43" s="24"/>
      <c r="N43" s="24"/>
      <c r="O43" s="24"/>
      <c r="P43" s="24"/>
      <c r="Q43" s="24"/>
      <c r="R43" s="24"/>
      <c r="S43" s="24"/>
      <c r="T43" s="24"/>
      <c r="U43" s="24"/>
      <c r="V43" s="24"/>
      <c r="W43" s="24"/>
      <c r="X43" s="24"/>
      <c r="Y43" s="24"/>
      <c r="Z43" s="24"/>
      <c r="AA43" s="24"/>
      <c r="AB43" s="24"/>
      <c r="AC43" s="24"/>
      <c r="AD43" s="24"/>
      <c r="AE43" s="24"/>
      <c r="AF43" s="24"/>
      <c r="AG43" s="24"/>
      <c r="AH43" s="24"/>
      <c r="AI43" s="24"/>
      <c r="AJ43" s="24"/>
      <c r="AK43" s="24"/>
      <c r="AL43" s="24"/>
      <c r="AM43" s="24"/>
      <c r="AN43" s="24"/>
      <c r="AO43" s="24"/>
      <c r="AP43" s="24"/>
      <c r="AQ43" s="24"/>
      <c r="AR43" s="24"/>
      <c r="AS43" s="24"/>
      <c r="AT43" s="24"/>
      <c r="AU43" s="24"/>
      <c r="AV43" s="24"/>
      <c r="AW43" s="24"/>
      <c r="AX43" s="24"/>
      <c r="AY43" s="24"/>
      <c r="AZ43" s="24"/>
      <c r="BA43" s="24"/>
      <c r="BB43" s="24"/>
      <c r="BC43" s="24"/>
      <c r="BD43" s="24"/>
      <c r="BE43" s="24"/>
      <c r="BF43" s="24"/>
      <c r="BG43" s="24"/>
      <c r="BH43" s="24"/>
      <c r="BI43" s="24"/>
      <c r="BJ43" s="24"/>
      <c r="BK43" s="24"/>
      <c r="BL43" s="24"/>
    </row>
    <row r="44" spans="3:64" ht="20.100000000000001" customHeight="1" x14ac:dyDescent="0.25">
      <c r="C44" s="24"/>
      <c r="D44" s="24"/>
      <c r="E44" s="24"/>
      <c r="F44" s="24"/>
      <c r="G44" s="24"/>
      <c r="H44" s="24"/>
      <c r="I44" s="24"/>
      <c r="J44" s="24"/>
      <c r="K44" s="24"/>
      <c r="L44" s="24"/>
      <c r="M44" s="24"/>
      <c r="N44" s="24"/>
      <c r="O44" s="24"/>
      <c r="P44" s="24"/>
      <c r="Q44" s="24"/>
      <c r="R44" s="24"/>
      <c r="S44" s="24"/>
      <c r="T44" s="24"/>
      <c r="U44" s="24"/>
      <c r="V44" s="24"/>
      <c r="W44" s="24"/>
      <c r="X44" s="24"/>
      <c r="Y44" s="24"/>
      <c r="Z44" s="24"/>
      <c r="AA44" s="24"/>
      <c r="AB44" s="24"/>
      <c r="AC44" s="24"/>
      <c r="AD44" s="24"/>
      <c r="AE44" s="24"/>
      <c r="AF44" s="24"/>
      <c r="AG44" s="24"/>
      <c r="AH44" s="24"/>
      <c r="AI44" s="24"/>
      <c r="AJ44" s="24"/>
      <c r="AK44" s="24"/>
      <c r="AL44" s="24"/>
      <c r="AM44" s="24"/>
      <c r="AN44" s="24"/>
      <c r="AO44" s="24"/>
      <c r="AP44" s="24"/>
      <c r="AQ44" s="24"/>
      <c r="AR44" s="24"/>
      <c r="AS44" s="24"/>
      <c r="AT44" s="24"/>
      <c r="AU44" s="24"/>
      <c r="AV44" s="24"/>
      <c r="AW44" s="24"/>
      <c r="AX44" s="24"/>
      <c r="AY44" s="24"/>
      <c r="AZ44" s="24"/>
      <c r="BA44" s="24"/>
      <c r="BB44" s="24"/>
      <c r="BC44" s="24"/>
      <c r="BD44" s="24"/>
      <c r="BE44" s="24"/>
      <c r="BF44" s="24"/>
      <c r="BG44" s="24"/>
      <c r="BH44" s="24"/>
      <c r="BI44" s="24"/>
      <c r="BJ44" s="24"/>
      <c r="BK44" s="24"/>
      <c r="BL44" s="24"/>
    </row>
    <row r="45" spans="3:64" ht="20.100000000000001" customHeight="1" x14ac:dyDescent="0.25">
      <c r="C45" s="24"/>
      <c r="D45" s="24"/>
      <c r="E45" s="24"/>
      <c r="F45" s="24"/>
      <c r="G45" s="24"/>
      <c r="H45" s="24"/>
      <c r="I45" s="24"/>
      <c r="J45" s="24"/>
      <c r="K45" s="24"/>
      <c r="L45" s="24"/>
      <c r="M45" s="24"/>
      <c r="N45" s="24"/>
      <c r="O45" s="24"/>
      <c r="P45" s="24"/>
      <c r="Q45" s="24"/>
      <c r="R45" s="24"/>
      <c r="S45" s="24"/>
      <c r="T45" s="24"/>
      <c r="U45" s="24"/>
      <c r="V45" s="24"/>
      <c r="W45" s="24"/>
      <c r="X45" s="24"/>
      <c r="Y45" s="24"/>
      <c r="Z45" s="24"/>
      <c r="AA45" s="24"/>
      <c r="AB45" s="24"/>
      <c r="AC45" s="24"/>
      <c r="AD45" s="24"/>
      <c r="AE45" s="24"/>
      <c r="AF45" s="24"/>
      <c r="AG45" s="24"/>
      <c r="AH45" s="24"/>
      <c r="AI45" s="24"/>
      <c r="AJ45" s="24"/>
      <c r="AK45" s="24"/>
      <c r="AL45" s="24"/>
      <c r="AM45" s="24"/>
      <c r="AN45" s="24"/>
      <c r="AO45" s="24"/>
      <c r="AP45" s="24"/>
      <c r="AQ45" s="24"/>
      <c r="AR45" s="24"/>
      <c r="AS45" s="24"/>
      <c r="AT45" s="24"/>
      <c r="AU45" s="24"/>
      <c r="AV45" s="24"/>
      <c r="AW45" s="24"/>
      <c r="AX45" s="24"/>
      <c r="AY45" s="24"/>
      <c r="AZ45" s="24"/>
      <c r="BA45" s="24"/>
      <c r="BB45" s="24"/>
      <c r="BC45" s="24"/>
      <c r="BD45" s="24"/>
      <c r="BE45" s="24"/>
      <c r="BF45" s="24"/>
      <c r="BG45" s="24"/>
      <c r="BH45" s="24"/>
      <c r="BI45" s="24"/>
      <c r="BJ45" s="24"/>
      <c r="BK45" s="24"/>
      <c r="BL45" s="24"/>
    </row>
    <row r="46" spans="3:64" ht="20.100000000000001" customHeight="1" x14ac:dyDescent="0.25">
      <c r="C46" s="24"/>
      <c r="D46" s="24"/>
      <c r="E46" s="24"/>
      <c r="F46" s="24"/>
      <c r="G46" s="24"/>
      <c r="H46" s="24"/>
      <c r="I46" s="24"/>
      <c r="J46" s="24"/>
      <c r="K46" s="24"/>
      <c r="L46" s="24"/>
      <c r="M46" s="24"/>
      <c r="N46" s="24"/>
      <c r="O46" s="24"/>
      <c r="P46" s="24"/>
      <c r="Q46" s="24"/>
      <c r="R46" s="24"/>
      <c r="S46" s="24"/>
      <c r="T46" s="24"/>
      <c r="U46" s="24"/>
      <c r="V46" s="24"/>
      <c r="W46" s="24"/>
      <c r="X46" s="24"/>
      <c r="Y46" s="24"/>
      <c r="Z46" s="24"/>
      <c r="AA46" s="24"/>
      <c r="AB46" s="24"/>
      <c r="AC46" s="24"/>
      <c r="AD46" s="24"/>
      <c r="AE46" s="24"/>
      <c r="AF46" s="24"/>
      <c r="AG46" s="24"/>
      <c r="AH46" s="24"/>
      <c r="AI46" s="24"/>
      <c r="AJ46" s="24"/>
      <c r="AK46" s="24"/>
      <c r="AL46" s="24"/>
      <c r="AM46" s="24"/>
      <c r="AN46" s="24"/>
      <c r="AO46" s="24"/>
      <c r="AP46" s="24"/>
      <c r="AQ46" s="24"/>
      <c r="AR46" s="24"/>
      <c r="AS46" s="24"/>
      <c r="AT46" s="24"/>
      <c r="AU46" s="24"/>
      <c r="AV46" s="24"/>
      <c r="AW46" s="24"/>
      <c r="AX46" s="24"/>
      <c r="AY46" s="24"/>
      <c r="AZ46" s="24"/>
      <c r="BA46" s="24"/>
      <c r="BB46" s="24"/>
      <c r="BC46" s="24"/>
      <c r="BD46" s="24"/>
      <c r="BE46" s="24"/>
      <c r="BF46" s="24"/>
      <c r="BG46" s="24"/>
      <c r="BH46" s="24"/>
      <c r="BI46" s="24"/>
      <c r="BJ46" s="24"/>
      <c r="BK46" s="24"/>
      <c r="BL46" s="24"/>
    </row>
    <row r="47" spans="3:64" ht="20.100000000000001" customHeight="1" x14ac:dyDescent="0.25">
      <c r="C47" s="24"/>
      <c r="D47" s="24"/>
      <c r="E47" s="24"/>
      <c r="F47" s="24"/>
      <c r="G47" s="24"/>
      <c r="H47" s="24"/>
      <c r="I47" s="24"/>
      <c r="J47" s="24"/>
      <c r="K47" s="24"/>
      <c r="L47" s="24"/>
      <c r="M47" s="24"/>
      <c r="N47" s="24"/>
      <c r="O47" s="24"/>
      <c r="P47" s="24"/>
      <c r="Q47" s="24"/>
      <c r="R47" s="24"/>
      <c r="S47" s="24"/>
      <c r="T47" s="24"/>
      <c r="U47" s="24"/>
      <c r="V47" s="24"/>
      <c r="W47" s="24"/>
      <c r="X47" s="24"/>
      <c r="Y47" s="24"/>
      <c r="Z47" s="24"/>
      <c r="AA47" s="24"/>
      <c r="AB47" s="24"/>
      <c r="AC47" s="24"/>
      <c r="AD47" s="24"/>
      <c r="AE47" s="24"/>
      <c r="AF47" s="24"/>
      <c r="AG47" s="24"/>
      <c r="AH47" s="24"/>
      <c r="AI47" s="24"/>
      <c r="AJ47" s="24"/>
      <c r="AK47" s="24"/>
      <c r="AL47" s="24"/>
      <c r="AM47" s="24"/>
      <c r="AN47" s="24"/>
      <c r="AO47" s="24"/>
      <c r="AP47" s="24"/>
      <c r="AQ47" s="24"/>
      <c r="AR47" s="24"/>
      <c r="AS47" s="24"/>
      <c r="AT47" s="24"/>
      <c r="AU47" s="24"/>
      <c r="AV47" s="24"/>
      <c r="AW47" s="24"/>
      <c r="AX47" s="24"/>
      <c r="AY47" s="24"/>
      <c r="AZ47" s="24"/>
      <c r="BA47" s="24"/>
      <c r="BB47" s="24"/>
      <c r="BC47" s="24"/>
      <c r="BD47" s="24"/>
      <c r="BE47" s="24"/>
      <c r="BF47" s="24"/>
      <c r="BG47" s="24"/>
      <c r="BH47" s="24"/>
      <c r="BI47" s="24"/>
      <c r="BJ47" s="24"/>
      <c r="BK47" s="24"/>
      <c r="BL47" s="24"/>
    </row>
    <row r="48" spans="3:64" ht="20.100000000000001" customHeight="1" x14ac:dyDescent="0.25">
      <c r="C48" s="24"/>
      <c r="D48" s="24"/>
      <c r="E48" s="24"/>
      <c r="F48" s="24"/>
      <c r="G48" s="24"/>
      <c r="H48" s="24"/>
      <c r="I48" s="24"/>
      <c r="J48" s="24"/>
      <c r="K48" s="24"/>
      <c r="L48" s="24"/>
      <c r="M48" s="24"/>
      <c r="N48" s="24"/>
      <c r="O48" s="24"/>
      <c r="P48" s="24"/>
      <c r="Q48" s="24"/>
      <c r="R48" s="24"/>
      <c r="S48" s="24"/>
      <c r="T48" s="24"/>
      <c r="U48" s="24"/>
      <c r="V48" s="24"/>
      <c r="W48" s="24"/>
      <c r="X48" s="24"/>
      <c r="Y48" s="24"/>
      <c r="Z48" s="24"/>
      <c r="AA48" s="24"/>
      <c r="AB48" s="24"/>
      <c r="AC48" s="24"/>
      <c r="AD48" s="24"/>
      <c r="AE48" s="24"/>
      <c r="AF48" s="24"/>
      <c r="AG48" s="24"/>
      <c r="AH48" s="24"/>
      <c r="AI48" s="24"/>
      <c r="AJ48" s="24"/>
      <c r="AK48" s="24"/>
      <c r="AL48" s="24"/>
      <c r="AM48" s="24"/>
      <c r="AN48" s="24"/>
      <c r="AO48" s="24"/>
      <c r="AP48" s="24"/>
      <c r="AQ48" s="24"/>
      <c r="AR48" s="24"/>
      <c r="AS48" s="24"/>
      <c r="AT48" s="24"/>
      <c r="AU48" s="24"/>
      <c r="AV48" s="24"/>
      <c r="AW48" s="24"/>
      <c r="AX48" s="24"/>
      <c r="AY48" s="24"/>
      <c r="AZ48" s="24"/>
      <c r="BA48" s="24"/>
      <c r="BB48" s="24"/>
      <c r="BC48" s="24"/>
      <c r="BD48" s="24"/>
      <c r="BE48" s="24"/>
      <c r="BF48" s="24"/>
      <c r="BG48" s="24"/>
      <c r="BH48" s="24"/>
      <c r="BI48" s="24"/>
      <c r="BJ48" s="24"/>
      <c r="BK48" s="24"/>
      <c r="BL48" s="24"/>
    </row>
    <row r="49" spans="3:64" ht="20.100000000000001" customHeight="1" x14ac:dyDescent="0.25">
      <c r="C49" s="24"/>
      <c r="D49" s="24"/>
      <c r="E49" s="24"/>
      <c r="F49" s="24"/>
      <c r="G49" s="24"/>
      <c r="H49" s="24"/>
      <c r="I49" s="24"/>
      <c r="J49" s="24"/>
      <c r="K49" s="24"/>
      <c r="L49" s="24"/>
      <c r="M49" s="24"/>
      <c r="N49" s="24"/>
      <c r="O49" s="24"/>
      <c r="P49" s="24"/>
      <c r="Q49" s="24"/>
      <c r="R49" s="24"/>
      <c r="S49" s="24"/>
      <c r="T49" s="24"/>
      <c r="U49" s="24"/>
      <c r="V49" s="24"/>
      <c r="W49" s="24"/>
      <c r="X49" s="24"/>
      <c r="Y49" s="24"/>
      <c r="Z49" s="24"/>
      <c r="AA49" s="24"/>
      <c r="AB49" s="24"/>
      <c r="AC49" s="24"/>
      <c r="AD49" s="24"/>
      <c r="AE49" s="24"/>
      <c r="AF49" s="24"/>
      <c r="AG49" s="24"/>
      <c r="AH49" s="24"/>
      <c r="AI49" s="24"/>
      <c r="AJ49" s="24"/>
      <c r="AK49" s="24"/>
      <c r="AL49" s="24"/>
      <c r="AM49" s="24"/>
      <c r="AN49" s="24"/>
      <c r="AO49" s="24"/>
      <c r="AP49" s="24"/>
      <c r="AQ49" s="24"/>
      <c r="AR49" s="24"/>
      <c r="AS49" s="24"/>
      <c r="AT49" s="24"/>
      <c r="AU49" s="24"/>
      <c r="AV49" s="24"/>
      <c r="AW49" s="24"/>
      <c r="AX49" s="24"/>
      <c r="AY49" s="24"/>
      <c r="AZ49" s="24"/>
      <c r="BA49" s="24"/>
      <c r="BB49" s="24"/>
      <c r="BC49" s="24"/>
      <c r="BD49" s="24"/>
      <c r="BE49" s="24"/>
      <c r="BF49" s="24"/>
      <c r="BG49" s="24"/>
      <c r="BH49" s="24"/>
      <c r="BI49" s="24"/>
      <c r="BJ49" s="24"/>
      <c r="BK49" s="24"/>
      <c r="BL49" s="24"/>
    </row>
    <row r="50" spans="3:64" ht="20.100000000000001" customHeight="1" x14ac:dyDescent="0.25">
      <c r="C50" s="24"/>
      <c r="D50" s="24"/>
      <c r="E50" s="24"/>
      <c r="F50" s="24"/>
      <c r="G50" s="24"/>
      <c r="H50" s="24"/>
      <c r="I50" s="24"/>
      <c r="J50" s="24"/>
      <c r="K50" s="24"/>
      <c r="L50" s="24"/>
      <c r="M50" s="24"/>
      <c r="N50" s="24"/>
      <c r="O50" s="24"/>
      <c r="P50" s="24"/>
      <c r="Q50" s="24"/>
      <c r="R50" s="24"/>
      <c r="S50" s="24"/>
      <c r="T50" s="24"/>
      <c r="U50" s="24"/>
      <c r="V50" s="24"/>
      <c r="W50" s="24"/>
      <c r="X50" s="24"/>
      <c r="Y50" s="24"/>
      <c r="Z50" s="24"/>
      <c r="AA50" s="24"/>
      <c r="AB50" s="24"/>
      <c r="AC50" s="24"/>
      <c r="AD50" s="24"/>
      <c r="AE50" s="24"/>
      <c r="AF50" s="24"/>
      <c r="AG50" s="24"/>
      <c r="AH50" s="24"/>
      <c r="AI50" s="24"/>
      <c r="AJ50" s="24"/>
      <c r="AK50" s="24"/>
      <c r="AL50" s="24"/>
      <c r="AM50" s="24"/>
      <c r="AN50" s="24"/>
      <c r="AO50" s="24"/>
      <c r="AP50" s="24"/>
      <c r="AQ50" s="24"/>
      <c r="AR50" s="24"/>
      <c r="AS50" s="24"/>
      <c r="AT50" s="24"/>
      <c r="AU50" s="24"/>
      <c r="AV50" s="24"/>
      <c r="AW50" s="24"/>
      <c r="AX50" s="24"/>
      <c r="AY50" s="24"/>
      <c r="AZ50" s="24"/>
      <c r="BA50" s="24"/>
      <c r="BB50" s="24"/>
      <c r="BC50" s="24"/>
      <c r="BD50" s="24"/>
      <c r="BE50" s="24"/>
      <c r="BF50" s="24"/>
      <c r="BG50" s="24"/>
      <c r="BH50" s="24"/>
      <c r="BI50" s="24"/>
      <c r="BJ50" s="24"/>
      <c r="BK50" s="24"/>
      <c r="BL50" s="24"/>
    </row>
    <row r="51" spans="3:64" ht="20.100000000000001" customHeight="1" x14ac:dyDescent="0.25">
      <c r="C51" s="24"/>
      <c r="D51" s="24"/>
      <c r="E51" s="24"/>
      <c r="F51" s="24"/>
      <c r="G51" s="24"/>
      <c r="H51" s="24"/>
      <c r="I51" s="24"/>
      <c r="J51" s="24"/>
      <c r="K51" s="24"/>
      <c r="L51" s="24"/>
      <c r="M51" s="24"/>
      <c r="N51" s="24"/>
      <c r="O51" s="24"/>
      <c r="P51" s="24"/>
      <c r="Q51" s="24"/>
      <c r="R51" s="24"/>
      <c r="S51" s="24"/>
      <c r="T51" s="24"/>
      <c r="U51" s="24"/>
      <c r="V51" s="24"/>
      <c r="W51" s="24"/>
      <c r="X51" s="24"/>
      <c r="Y51" s="24"/>
      <c r="Z51" s="24"/>
      <c r="AA51" s="24"/>
      <c r="AB51" s="24"/>
      <c r="AC51" s="24"/>
      <c r="AD51" s="24"/>
      <c r="AE51" s="24"/>
      <c r="AF51" s="24"/>
      <c r="AG51" s="24"/>
      <c r="AH51" s="24"/>
      <c r="AI51" s="24"/>
      <c r="AJ51" s="24"/>
      <c r="AK51" s="24"/>
      <c r="AL51" s="24"/>
      <c r="AM51" s="24"/>
      <c r="AN51" s="24"/>
      <c r="AO51" s="24"/>
      <c r="AP51" s="24"/>
      <c r="AQ51" s="24"/>
      <c r="AR51" s="24"/>
      <c r="AS51" s="24"/>
      <c r="AT51" s="24"/>
      <c r="AU51" s="24"/>
      <c r="AV51" s="24"/>
      <c r="AW51" s="24"/>
      <c r="AX51" s="24"/>
      <c r="AY51" s="24"/>
      <c r="AZ51" s="24"/>
      <c r="BA51" s="24"/>
      <c r="BB51" s="24"/>
      <c r="BC51" s="24"/>
      <c r="BD51" s="24"/>
      <c r="BE51" s="24"/>
      <c r="BF51" s="24"/>
      <c r="BG51" s="24"/>
      <c r="BH51" s="24"/>
      <c r="BI51" s="24"/>
      <c r="BJ51" s="24"/>
      <c r="BK51" s="24"/>
      <c r="BL51" s="24"/>
    </row>
    <row r="52" spans="3:64" ht="20.100000000000001" customHeight="1" x14ac:dyDescent="0.25">
      <c r="C52" s="24"/>
      <c r="D52" s="24"/>
      <c r="E52" s="24"/>
      <c r="F52" s="24"/>
      <c r="G52" s="24"/>
      <c r="H52" s="24"/>
      <c r="I52" s="24"/>
      <c r="J52" s="24"/>
      <c r="K52" s="24"/>
      <c r="L52" s="24"/>
      <c r="M52" s="24"/>
      <c r="N52" s="24"/>
      <c r="O52" s="24"/>
      <c r="P52" s="24"/>
      <c r="Q52" s="24"/>
      <c r="R52" s="24"/>
      <c r="S52" s="24"/>
      <c r="T52" s="24"/>
      <c r="U52" s="24"/>
      <c r="V52" s="24"/>
      <c r="W52" s="24"/>
      <c r="X52" s="24"/>
      <c r="Y52" s="24"/>
      <c r="Z52" s="24"/>
      <c r="AA52" s="24"/>
      <c r="AB52" s="24"/>
      <c r="AC52" s="24"/>
      <c r="AD52" s="24"/>
      <c r="AE52" s="24"/>
      <c r="AF52" s="24"/>
      <c r="AG52" s="24"/>
      <c r="AH52" s="24"/>
      <c r="AI52" s="24"/>
      <c r="AJ52" s="24"/>
      <c r="AK52" s="24"/>
      <c r="AL52" s="24"/>
      <c r="AM52" s="24"/>
      <c r="AN52" s="24"/>
      <c r="AO52" s="24"/>
      <c r="AP52" s="24"/>
      <c r="AQ52" s="24"/>
      <c r="AR52" s="24"/>
      <c r="AS52" s="24"/>
      <c r="AT52" s="24"/>
      <c r="AU52" s="24"/>
      <c r="AV52" s="24"/>
      <c r="AW52" s="24"/>
      <c r="AX52" s="24"/>
      <c r="AY52" s="24"/>
      <c r="AZ52" s="24"/>
      <c r="BA52" s="24"/>
      <c r="BB52" s="24"/>
      <c r="BC52" s="24"/>
      <c r="BD52" s="24"/>
      <c r="BE52" s="24"/>
      <c r="BF52" s="24"/>
      <c r="BG52" s="24"/>
      <c r="BH52" s="24"/>
      <c r="BI52" s="24"/>
      <c r="BJ52" s="24"/>
      <c r="BK52" s="24"/>
      <c r="BL52" s="24"/>
    </row>
    <row r="53" spans="3:64" ht="20.100000000000001" customHeight="1" x14ac:dyDescent="0.25">
      <c r="C53" s="24"/>
      <c r="D53" s="24"/>
      <c r="E53" s="24"/>
      <c r="F53" s="24"/>
      <c r="G53" s="24"/>
      <c r="H53" s="24"/>
      <c r="I53" s="24"/>
      <c r="J53" s="24"/>
      <c r="K53" s="24"/>
      <c r="L53" s="24"/>
      <c r="M53" s="24"/>
      <c r="N53" s="24"/>
      <c r="O53" s="24"/>
      <c r="P53" s="24"/>
      <c r="Q53" s="24"/>
      <c r="R53" s="24"/>
      <c r="S53" s="24"/>
      <c r="T53" s="24"/>
      <c r="U53" s="24"/>
      <c r="V53" s="24"/>
      <c r="W53" s="24"/>
      <c r="X53" s="24"/>
      <c r="Y53" s="24"/>
      <c r="Z53" s="24"/>
      <c r="AA53" s="24"/>
      <c r="AB53" s="24"/>
      <c r="AC53" s="24"/>
      <c r="AD53" s="24"/>
      <c r="AE53" s="24"/>
      <c r="AF53" s="24"/>
      <c r="AG53" s="24"/>
      <c r="AH53" s="24"/>
      <c r="AI53" s="24"/>
      <c r="AJ53" s="24"/>
      <c r="AK53" s="24"/>
      <c r="AL53" s="24"/>
      <c r="AM53" s="24"/>
      <c r="AN53" s="24"/>
      <c r="AO53" s="24"/>
      <c r="AP53" s="24"/>
      <c r="AQ53" s="24"/>
      <c r="AR53" s="24"/>
      <c r="AS53" s="24"/>
      <c r="AT53" s="24"/>
      <c r="AU53" s="24"/>
      <c r="AV53" s="24"/>
      <c r="AW53" s="24"/>
      <c r="AX53" s="24"/>
      <c r="AY53" s="24"/>
      <c r="AZ53" s="24"/>
      <c r="BA53" s="24"/>
      <c r="BB53" s="24"/>
      <c r="BC53" s="24"/>
      <c r="BD53" s="24"/>
      <c r="BE53" s="24"/>
      <c r="BF53" s="24"/>
      <c r="BG53" s="24"/>
      <c r="BH53" s="24"/>
      <c r="BI53" s="24"/>
      <c r="BJ53" s="24"/>
      <c r="BK53" s="24"/>
      <c r="BL53" s="24"/>
    </row>
    <row r="54" spans="3:64" ht="20.100000000000001" customHeight="1" x14ac:dyDescent="0.25">
      <c r="C54" s="24"/>
      <c r="D54" s="24"/>
      <c r="E54" s="24"/>
      <c r="F54" s="24"/>
      <c r="G54" s="24"/>
      <c r="H54" s="24"/>
      <c r="I54" s="24"/>
      <c r="J54" s="24"/>
      <c r="K54" s="24"/>
      <c r="L54" s="24"/>
      <c r="M54" s="24"/>
      <c r="N54" s="24"/>
      <c r="O54" s="24"/>
      <c r="P54" s="24"/>
      <c r="Q54" s="24"/>
      <c r="R54" s="24"/>
      <c r="S54" s="24"/>
      <c r="T54" s="24"/>
      <c r="U54" s="24"/>
      <c r="V54" s="24"/>
      <c r="W54" s="24"/>
      <c r="X54" s="24"/>
      <c r="Y54" s="24"/>
      <c r="Z54" s="24"/>
      <c r="AA54" s="24"/>
      <c r="AB54" s="24"/>
      <c r="AC54" s="24"/>
      <c r="AD54" s="24"/>
      <c r="AE54" s="24"/>
      <c r="AF54" s="24"/>
      <c r="AG54" s="24"/>
      <c r="AH54" s="24"/>
      <c r="AI54" s="24"/>
      <c r="AJ54" s="24"/>
      <c r="AK54" s="24"/>
      <c r="AL54" s="24"/>
      <c r="AM54" s="24"/>
      <c r="AN54" s="24"/>
      <c r="AO54" s="24"/>
      <c r="AP54" s="24"/>
      <c r="AQ54" s="24"/>
      <c r="AR54" s="24"/>
      <c r="AS54" s="24"/>
      <c r="AT54" s="24"/>
      <c r="AU54" s="24"/>
      <c r="AV54" s="24"/>
      <c r="AW54" s="24"/>
      <c r="AX54" s="24"/>
      <c r="AY54" s="24"/>
      <c r="AZ54" s="24"/>
      <c r="BA54" s="24"/>
      <c r="BB54" s="24"/>
      <c r="BC54" s="24"/>
      <c r="BD54" s="24"/>
      <c r="BE54" s="24"/>
      <c r="BF54" s="24"/>
      <c r="BG54" s="24"/>
      <c r="BH54" s="24"/>
      <c r="BI54" s="24"/>
      <c r="BJ54" s="24"/>
      <c r="BK54" s="24"/>
      <c r="BL54" s="24"/>
    </row>
    <row r="55" spans="3:64" ht="20.100000000000001" customHeight="1" x14ac:dyDescent="0.25">
      <c r="C55" s="24"/>
      <c r="D55" s="24"/>
      <c r="E55" s="24"/>
      <c r="F55" s="24"/>
      <c r="G55" s="24"/>
      <c r="H55" s="24"/>
      <c r="I55" s="24"/>
      <c r="J55" s="24"/>
      <c r="K55" s="24"/>
      <c r="L55" s="24"/>
      <c r="M55" s="24"/>
      <c r="N55" s="24"/>
      <c r="O55" s="24"/>
      <c r="P55" s="24"/>
      <c r="Q55" s="24"/>
      <c r="R55" s="24"/>
      <c r="S55" s="24"/>
      <c r="T55" s="24"/>
      <c r="U55" s="24"/>
      <c r="V55" s="24"/>
      <c r="W55" s="24"/>
      <c r="X55" s="24"/>
      <c r="Y55" s="24"/>
      <c r="Z55" s="24"/>
      <c r="AA55" s="24"/>
      <c r="AB55" s="24"/>
      <c r="AC55" s="24"/>
      <c r="AD55" s="24"/>
      <c r="AE55" s="24"/>
      <c r="AF55" s="24"/>
      <c r="AG55" s="24"/>
      <c r="AH55" s="24"/>
      <c r="AI55" s="24"/>
      <c r="AJ55" s="24"/>
      <c r="AK55" s="24"/>
      <c r="AL55" s="24"/>
      <c r="AM55" s="24"/>
      <c r="AN55" s="24"/>
      <c r="AO55" s="24"/>
      <c r="AP55" s="24"/>
      <c r="AQ55" s="24"/>
      <c r="AR55" s="24"/>
      <c r="AS55" s="24"/>
      <c r="AT55" s="24"/>
      <c r="AU55" s="24"/>
      <c r="AV55" s="24"/>
      <c r="AW55" s="24"/>
      <c r="AX55" s="24"/>
      <c r="AY55" s="24"/>
      <c r="AZ55" s="24"/>
      <c r="BA55" s="24"/>
      <c r="BB55" s="24"/>
      <c r="BC55" s="24"/>
      <c r="BD55" s="24"/>
      <c r="BE55" s="24"/>
      <c r="BF55" s="24"/>
      <c r="BG55" s="24"/>
      <c r="BH55" s="24"/>
      <c r="BI55" s="24"/>
      <c r="BJ55" s="24"/>
      <c r="BK55" s="24"/>
      <c r="BL55" s="24"/>
    </row>
    <row r="56" spans="3:64" ht="20.100000000000001" customHeight="1" x14ac:dyDescent="0.25">
      <c r="C56" s="24"/>
      <c r="D56" s="24"/>
      <c r="E56" s="24"/>
      <c r="F56" s="24"/>
      <c r="G56" s="24"/>
      <c r="H56" s="24"/>
      <c r="I56" s="24"/>
      <c r="J56" s="24"/>
      <c r="K56" s="24"/>
      <c r="L56" s="24"/>
      <c r="M56" s="24"/>
      <c r="N56" s="24"/>
      <c r="O56" s="24"/>
      <c r="P56" s="24"/>
      <c r="Q56" s="24"/>
      <c r="R56" s="24"/>
      <c r="S56" s="24"/>
      <c r="T56" s="24"/>
      <c r="U56" s="24"/>
      <c r="V56" s="24"/>
      <c r="W56" s="24"/>
      <c r="X56" s="24"/>
      <c r="Y56" s="24"/>
      <c r="Z56" s="24"/>
      <c r="AA56" s="24"/>
      <c r="AB56" s="24"/>
      <c r="AC56" s="24"/>
      <c r="AD56" s="24"/>
      <c r="AE56" s="24"/>
      <c r="AF56" s="24"/>
      <c r="AG56" s="24"/>
      <c r="AH56" s="24"/>
      <c r="AI56" s="24"/>
      <c r="AJ56" s="24"/>
      <c r="AK56" s="24"/>
      <c r="AL56" s="24"/>
      <c r="AM56" s="24"/>
      <c r="AN56" s="24"/>
      <c r="AO56" s="24"/>
      <c r="AP56" s="24"/>
      <c r="AQ56" s="24"/>
      <c r="AR56" s="24"/>
      <c r="AS56" s="24"/>
      <c r="AT56" s="24"/>
      <c r="AU56" s="24"/>
      <c r="AV56" s="24"/>
      <c r="AW56" s="24"/>
      <c r="AX56" s="24"/>
      <c r="AY56" s="24"/>
      <c r="AZ56" s="24"/>
      <c r="BA56" s="24"/>
      <c r="BB56" s="24"/>
      <c r="BC56" s="24"/>
      <c r="BD56" s="24"/>
      <c r="BE56" s="24"/>
      <c r="BF56" s="24"/>
      <c r="BG56" s="24"/>
      <c r="BH56" s="24"/>
      <c r="BI56" s="24"/>
      <c r="BJ56" s="24"/>
      <c r="BK56" s="24"/>
      <c r="BL56" s="24"/>
    </row>
    <row r="57" spans="3:64" ht="20.100000000000001" customHeight="1" x14ac:dyDescent="0.25">
      <c r="C57" s="24"/>
      <c r="D57" s="24"/>
      <c r="E57" s="24"/>
      <c r="F57" s="24"/>
      <c r="G57" s="24"/>
      <c r="H57" s="24"/>
      <c r="I57" s="24"/>
      <c r="J57" s="24"/>
      <c r="K57" s="24"/>
      <c r="L57" s="24"/>
      <c r="M57" s="24"/>
      <c r="N57" s="24"/>
      <c r="O57" s="24"/>
      <c r="P57" s="24"/>
      <c r="Q57" s="24"/>
      <c r="R57" s="24"/>
      <c r="S57" s="24"/>
      <c r="T57" s="24"/>
      <c r="U57" s="24"/>
      <c r="V57" s="24"/>
      <c r="W57" s="24"/>
      <c r="X57" s="24"/>
      <c r="Y57" s="24"/>
      <c r="Z57" s="24"/>
      <c r="AA57" s="24"/>
      <c r="AB57" s="24"/>
      <c r="AC57" s="24"/>
      <c r="AD57" s="24"/>
      <c r="AE57" s="24"/>
      <c r="AF57" s="24"/>
      <c r="AG57" s="24"/>
      <c r="AH57" s="24"/>
      <c r="AI57" s="24"/>
      <c r="AJ57" s="24"/>
      <c r="AK57" s="24"/>
      <c r="AL57" s="24"/>
      <c r="AM57" s="24"/>
      <c r="AN57" s="24"/>
      <c r="AO57" s="24"/>
      <c r="AP57" s="24"/>
      <c r="AQ57" s="24"/>
      <c r="AR57" s="24"/>
      <c r="AS57" s="24"/>
      <c r="AT57" s="24"/>
      <c r="AU57" s="24"/>
      <c r="AV57" s="24"/>
      <c r="AW57" s="24"/>
      <c r="AX57" s="24"/>
      <c r="AY57" s="24"/>
      <c r="AZ57" s="24"/>
      <c r="BA57" s="24"/>
      <c r="BB57" s="24"/>
      <c r="BC57" s="24"/>
      <c r="BD57" s="24"/>
      <c r="BE57" s="24"/>
      <c r="BF57" s="24"/>
      <c r="BG57" s="24"/>
      <c r="BH57" s="24"/>
      <c r="BI57" s="24"/>
      <c r="BJ57" s="24"/>
      <c r="BK57" s="24"/>
      <c r="BL57" s="24"/>
    </row>
    <row r="58" spans="3:64" ht="20.100000000000001" customHeight="1" x14ac:dyDescent="0.25">
      <c r="C58" s="24"/>
      <c r="D58" s="24"/>
      <c r="E58" s="24"/>
      <c r="F58" s="24"/>
      <c r="G58" s="24"/>
      <c r="H58" s="24"/>
      <c r="I58" s="24"/>
      <c r="J58" s="24"/>
      <c r="K58" s="24"/>
      <c r="L58" s="24"/>
      <c r="M58" s="24"/>
      <c r="N58" s="24"/>
      <c r="O58" s="24"/>
      <c r="P58" s="24"/>
      <c r="Q58" s="24"/>
      <c r="R58" s="24"/>
      <c r="S58" s="24"/>
      <c r="T58" s="24"/>
      <c r="U58" s="24"/>
      <c r="V58" s="24"/>
      <c r="W58" s="24"/>
      <c r="X58" s="24"/>
      <c r="Y58" s="24"/>
      <c r="Z58" s="24"/>
      <c r="AA58" s="24"/>
      <c r="AB58" s="24"/>
      <c r="AC58" s="24"/>
      <c r="AD58" s="24"/>
      <c r="AE58" s="24"/>
      <c r="AF58" s="24"/>
      <c r="AG58" s="24"/>
      <c r="AH58" s="24"/>
      <c r="AI58" s="24"/>
      <c r="AJ58" s="24"/>
      <c r="AK58" s="24"/>
      <c r="AL58" s="24"/>
      <c r="AM58" s="24"/>
      <c r="AN58" s="24"/>
      <c r="AO58" s="24"/>
      <c r="AP58" s="24"/>
      <c r="AQ58" s="24"/>
      <c r="AR58" s="24"/>
      <c r="AS58" s="24"/>
      <c r="AT58" s="24"/>
      <c r="AU58" s="24"/>
      <c r="AV58" s="24"/>
      <c r="AW58" s="24"/>
      <c r="AX58" s="24"/>
      <c r="AY58" s="24"/>
      <c r="AZ58" s="24"/>
      <c r="BA58" s="24"/>
      <c r="BB58" s="24"/>
      <c r="BC58" s="24"/>
      <c r="BD58" s="24"/>
      <c r="BE58" s="24"/>
      <c r="BF58" s="24"/>
      <c r="BG58" s="24"/>
      <c r="BH58" s="24"/>
      <c r="BI58" s="24"/>
      <c r="BJ58" s="24"/>
      <c r="BK58" s="24"/>
      <c r="BL58" s="24"/>
    </row>
    <row r="59" spans="3:64" x14ac:dyDescent="0.25">
      <c r="C59" s="24"/>
      <c r="D59" s="24"/>
      <c r="E59" s="24"/>
      <c r="F59" s="24"/>
      <c r="G59" s="24"/>
      <c r="H59" s="24"/>
      <c r="I59" s="24"/>
      <c r="J59" s="24"/>
      <c r="K59" s="24"/>
      <c r="L59" s="24"/>
      <c r="M59" s="24"/>
      <c r="N59" s="24"/>
      <c r="O59" s="24"/>
      <c r="P59" s="24"/>
      <c r="Q59" s="24"/>
      <c r="R59" s="24"/>
      <c r="S59" s="24"/>
      <c r="T59" s="24"/>
      <c r="U59" s="24"/>
      <c r="V59" s="24"/>
      <c r="W59" s="24"/>
      <c r="X59" s="24"/>
      <c r="Y59" s="24"/>
      <c r="Z59" s="24"/>
      <c r="AA59" s="24"/>
      <c r="AB59" s="24"/>
      <c r="AC59" s="24"/>
      <c r="AD59" s="24"/>
      <c r="AE59" s="24"/>
      <c r="AF59" s="24"/>
      <c r="AG59" s="24"/>
      <c r="AH59" s="24"/>
      <c r="AI59" s="24"/>
      <c r="AJ59" s="24"/>
      <c r="AK59" s="24"/>
      <c r="AL59" s="24"/>
      <c r="AM59" s="24"/>
      <c r="AN59" s="24"/>
      <c r="AO59" s="24"/>
      <c r="AP59" s="24"/>
      <c r="AQ59" s="24"/>
      <c r="AR59" s="24"/>
      <c r="AS59" s="24"/>
      <c r="AT59" s="24"/>
      <c r="AU59" s="24"/>
      <c r="AV59" s="24"/>
      <c r="AW59" s="24"/>
      <c r="AX59" s="24"/>
      <c r="AY59" s="24"/>
      <c r="AZ59" s="24"/>
      <c r="BA59" s="24"/>
      <c r="BB59" s="24"/>
      <c r="BC59" s="24"/>
      <c r="BD59" s="24"/>
      <c r="BE59" s="24"/>
      <c r="BF59" s="24"/>
      <c r="BG59" s="24"/>
      <c r="BH59" s="24"/>
      <c r="BI59" s="24"/>
      <c r="BJ59" s="24"/>
      <c r="BK59" s="24"/>
      <c r="BL59" s="24"/>
    </row>
    <row r="60" spans="3:64" x14ac:dyDescent="0.25">
      <c r="C60" s="24"/>
      <c r="D60" s="24"/>
      <c r="E60" s="24"/>
      <c r="F60" s="24"/>
      <c r="G60" s="24"/>
      <c r="H60" s="24"/>
      <c r="I60" s="24"/>
      <c r="J60" s="24"/>
      <c r="K60" s="24"/>
      <c r="L60" s="24"/>
      <c r="M60" s="24"/>
      <c r="N60" s="24"/>
      <c r="O60" s="24"/>
      <c r="P60" s="24"/>
      <c r="Q60" s="24"/>
      <c r="R60" s="24"/>
      <c r="S60" s="24"/>
      <c r="T60" s="24"/>
      <c r="U60" s="24"/>
      <c r="V60" s="24"/>
      <c r="W60" s="24"/>
      <c r="X60" s="24"/>
      <c r="Y60" s="24"/>
      <c r="Z60" s="24"/>
      <c r="AA60" s="24"/>
      <c r="AB60" s="24"/>
      <c r="AC60" s="24"/>
      <c r="AD60" s="24"/>
      <c r="AE60" s="24"/>
      <c r="AF60" s="24"/>
      <c r="AG60" s="24"/>
      <c r="AH60" s="24"/>
      <c r="AI60" s="24"/>
      <c r="AJ60" s="24"/>
      <c r="AK60" s="24"/>
      <c r="AL60" s="24"/>
      <c r="AM60" s="24"/>
      <c r="AN60" s="24"/>
      <c r="AO60" s="24"/>
      <c r="AP60" s="24"/>
      <c r="AQ60" s="24"/>
      <c r="AR60" s="24"/>
      <c r="AS60" s="24"/>
      <c r="AT60" s="24"/>
      <c r="AU60" s="24"/>
      <c r="AV60" s="24"/>
      <c r="AW60" s="24"/>
      <c r="AX60" s="24"/>
      <c r="AY60" s="24"/>
      <c r="AZ60" s="24"/>
      <c r="BA60" s="24"/>
      <c r="BB60" s="24"/>
      <c r="BC60" s="24"/>
      <c r="BD60" s="24"/>
      <c r="BE60" s="24"/>
      <c r="BF60" s="24"/>
      <c r="BG60" s="24"/>
      <c r="BH60" s="24"/>
      <c r="BI60" s="24"/>
      <c r="BJ60" s="24"/>
      <c r="BK60" s="24"/>
      <c r="BL60" s="24"/>
    </row>
    <row r="61" spans="3:64" x14ac:dyDescent="0.25">
      <c r="C61" s="24"/>
      <c r="D61" s="24"/>
      <c r="E61" s="24"/>
      <c r="F61" s="24"/>
      <c r="G61" s="24"/>
      <c r="H61" s="24"/>
      <c r="I61" s="24"/>
      <c r="J61" s="24"/>
      <c r="K61" s="24"/>
      <c r="L61" s="24"/>
      <c r="M61" s="24"/>
      <c r="N61" s="24"/>
      <c r="O61" s="24"/>
      <c r="P61" s="24"/>
      <c r="Q61" s="24"/>
      <c r="R61" s="24"/>
      <c r="S61" s="24"/>
      <c r="T61" s="24"/>
      <c r="U61" s="24"/>
      <c r="V61" s="24"/>
      <c r="W61" s="24"/>
      <c r="X61" s="24"/>
      <c r="Y61" s="24"/>
      <c r="Z61" s="24"/>
      <c r="AA61" s="24"/>
      <c r="AB61" s="24"/>
      <c r="AC61" s="24"/>
      <c r="AD61" s="24"/>
      <c r="AE61" s="24"/>
      <c r="AF61" s="24"/>
      <c r="AG61" s="24"/>
      <c r="AH61" s="24"/>
      <c r="AI61" s="24"/>
      <c r="AJ61" s="24"/>
      <c r="AK61" s="24"/>
      <c r="AL61" s="24"/>
      <c r="AM61" s="24"/>
      <c r="AN61" s="24"/>
      <c r="AO61" s="24"/>
      <c r="AP61" s="24"/>
      <c r="AQ61" s="24"/>
      <c r="AR61" s="24"/>
      <c r="AS61" s="24"/>
      <c r="AT61" s="24"/>
      <c r="AU61" s="24"/>
      <c r="AV61" s="24"/>
      <c r="AW61" s="24"/>
      <c r="AX61" s="24"/>
      <c r="AY61" s="24"/>
      <c r="AZ61" s="24"/>
      <c r="BA61" s="24"/>
      <c r="BB61" s="24"/>
      <c r="BC61" s="24"/>
      <c r="BD61" s="24"/>
      <c r="BE61" s="24"/>
      <c r="BF61" s="24"/>
      <c r="BG61" s="24"/>
      <c r="BH61" s="24"/>
      <c r="BI61" s="24"/>
      <c r="BJ61" s="24"/>
      <c r="BK61" s="24"/>
      <c r="BL61" s="24"/>
    </row>
    <row r="62" spans="3:64" x14ac:dyDescent="0.25">
      <c r="C62" s="24"/>
      <c r="D62" s="24"/>
      <c r="E62" s="24"/>
      <c r="F62" s="24"/>
      <c r="G62" s="24"/>
      <c r="H62" s="24"/>
      <c r="I62" s="24"/>
      <c r="J62" s="24"/>
      <c r="K62" s="24"/>
      <c r="L62" s="24"/>
      <c r="M62" s="24"/>
      <c r="N62" s="24"/>
      <c r="O62" s="24"/>
      <c r="P62" s="24"/>
      <c r="Q62" s="24"/>
      <c r="R62" s="24"/>
      <c r="S62" s="24"/>
      <c r="T62" s="24"/>
      <c r="U62" s="24"/>
      <c r="V62" s="24"/>
      <c r="W62" s="24"/>
      <c r="X62" s="24"/>
      <c r="Y62" s="24"/>
      <c r="Z62" s="24"/>
      <c r="AA62" s="24"/>
      <c r="AB62" s="24"/>
      <c r="AC62" s="24"/>
      <c r="AD62" s="24"/>
      <c r="AE62" s="24"/>
      <c r="AF62" s="24"/>
      <c r="AG62" s="24"/>
      <c r="AH62" s="24"/>
      <c r="AI62" s="24"/>
      <c r="AJ62" s="24"/>
      <c r="AK62" s="24"/>
      <c r="AL62" s="24"/>
      <c r="AM62" s="24"/>
      <c r="AN62" s="24"/>
      <c r="AO62" s="24"/>
      <c r="AP62" s="24"/>
      <c r="AQ62" s="24"/>
      <c r="AR62" s="24"/>
      <c r="AS62" s="24"/>
      <c r="AT62" s="24"/>
      <c r="AU62" s="24"/>
      <c r="AV62" s="24"/>
      <c r="AW62" s="24"/>
      <c r="AX62" s="24"/>
      <c r="AY62" s="24"/>
      <c r="AZ62" s="24"/>
      <c r="BA62" s="24"/>
      <c r="BB62" s="24"/>
      <c r="BC62" s="24"/>
      <c r="BD62" s="24"/>
      <c r="BE62" s="24"/>
      <c r="BF62" s="24"/>
      <c r="BG62" s="24"/>
      <c r="BH62" s="24"/>
      <c r="BI62" s="24"/>
      <c r="BJ62" s="24"/>
      <c r="BK62" s="24"/>
      <c r="BL62" s="24"/>
    </row>
    <row r="63" spans="3:64" x14ac:dyDescent="0.25">
      <c r="C63" s="24"/>
      <c r="D63" s="24"/>
      <c r="E63" s="24"/>
      <c r="F63" s="24"/>
      <c r="G63" s="24"/>
      <c r="H63" s="24"/>
      <c r="I63" s="24"/>
      <c r="J63" s="24"/>
      <c r="K63" s="24"/>
      <c r="L63" s="24"/>
      <c r="M63" s="24"/>
      <c r="N63" s="24"/>
      <c r="O63" s="24"/>
      <c r="P63" s="24"/>
      <c r="Q63" s="24"/>
      <c r="R63" s="24"/>
      <c r="S63" s="24"/>
      <c r="T63" s="24"/>
      <c r="U63" s="24"/>
      <c r="V63" s="24"/>
      <c r="W63" s="24"/>
      <c r="X63" s="24"/>
      <c r="Y63" s="24"/>
      <c r="Z63" s="24"/>
      <c r="AA63" s="24"/>
      <c r="AB63" s="24"/>
      <c r="AC63" s="24"/>
      <c r="AD63" s="24"/>
      <c r="AE63" s="24"/>
      <c r="AF63" s="24"/>
      <c r="AG63" s="24"/>
      <c r="AH63" s="24"/>
      <c r="AI63" s="24"/>
      <c r="AJ63" s="24"/>
      <c r="AK63" s="24"/>
      <c r="AL63" s="24"/>
      <c r="AM63" s="24"/>
      <c r="AN63" s="24"/>
      <c r="AO63" s="24"/>
      <c r="AP63" s="24"/>
      <c r="AQ63" s="24"/>
      <c r="AR63" s="24"/>
      <c r="AS63" s="24"/>
      <c r="AT63" s="24"/>
      <c r="AU63" s="24"/>
      <c r="AV63" s="24"/>
      <c r="AW63" s="24"/>
      <c r="AX63" s="24"/>
      <c r="AY63" s="24"/>
      <c r="AZ63" s="24"/>
      <c r="BA63" s="24"/>
      <c r="BB63" s="24"/>
      <c r="BC63" s="24"/>
      <c r="BD63" s="24"/>
      <c r="BE63" s="24"/>
      <c r="BF63" s="24"/>
      <c r="BG63" s="24"/>
      <c r="BH63" s="24"/>
      <c r="BI63" s="24"/>
      <c r="BJ63" s="24"/>
      <c r="BK63" s="24"/>
      <c r="BL63" s="24"/>
    </row>
    <row r="64" spans="3:64" x14ac:dyDescent="0.25">
      <c r="C64" s="24"/>
      <c r="D64" s="24"/>
      <c r="E64" s="24"/>
      <c r="F64" s="24"/>
      <c r="G64" s="24"/>
      <c r="H64" s="24"/>
      <c r="I64" s="24"/>
      <c r="J64" s="24"/>
      <c r="K64" s="24"/>
      <c r="L64" s="24"/>
      <c r="M64" s="24"/>
      <c r="N64" s="24"/>
      <c r="O64" s="24"/>
      <c r="P64" s="24"/>
      <c r="Q64" s="24"/>
      <c r="R64" s="24"/>
      <c r="S64" s="24"/>
      <c r="T64" s="24"/>
      <c r="U64" s="24"/>
      <c r="V64" s="24"/>
      <c r="W64" s="24"/>
      <c r="X64" s="24"/>
      <c r="Y64" s="24"/>
      <c r="Z64" s="24"/>
      <c r="AA64" s="24"/>
      <c r="AB64" s="24"/>
      <c r="AC64" s="24"/>
      <c r="AD64" s="24"/>
      <c r="AE64" s="24"/>
      <c r="AF64" s="24"/>
      <c r="AG64" s="24"/>
      <c r="AH64" s="24"/>
      <c r="AI64" s="24"/>
      <c r="AJ64" s="24"/>
      <c r="AK64" s="24"/>
      <c r="AL64" s="24"/>
      <c r="AM64" s="24"/>
      <c r="AN64" s="24"/>
      <c r="AO64" s="24"/>
      <c r="AP64" s="24"/>
      <c r="AQ64" s="24"/>
      <c r="AR64" s="24"/>
      <c r="AS64" s="24"/>
      <c r="AT64" s="24"/>
      <c r="AU64" s="24"/>
      <c r="AV64" s="24"/>
      <c r="AW64" s="24"/>
      <c r="AX64" s="24"/>
      <c r="AY64" s="24"/>
      <c r="AZ64" s="24"/>
      <c r="BA64" s="24"/>
      <c r="BB64" s="24"/>
      <c r="BC64" s="24"/>
      <c r="BD64" s="24"/>
      <c r="BE64" s="24"/>
      <c r="BF64" s="24"/>
      <c r="BG64" s="24"/>
      <c r="BH64" s="24"/>
      <c r="BI64" s="24"/>
      <c r="BJ64" s="24"/>
      <c r="BK64" s="24"/>
      <c r="BL64" s="24"/>
    </row>
    <row r="65" spans="3:64" x14ac:dyDescent="0.25">
      <c r="C65" s="24"/>
      <c r="D65" s="24"/>
      <c r="E65" s="24"/>
      <c r="F65" s="24"/>
      <c r="G65" s="24"/>
      <c r="H65" s="24"/>
      <c r="I65" s="24"/>
      <c r="J65" s="24"/>
      <c r="K65" s="24"/>
      <c r="L65" s="24"/>
      <c r="M65" s="24"/>
      <c r="N65" s="24"/>
      <c r="O65" s="24"/>
      <c r="P65" s="24"/>
      <c r="Q65" s="24"/>
      <c r="R65" s="24"/>
      <c r="S65" s="24"/>
      <c r="T65" s="24"/>
      <c r="U65" s="24"/>
      <c r="V65" s="24"/>
      <c r="W65" s="24"/>
      <c r="X65" s="24"/>
      <c r="Y65" s="24"/>
      <c r="Z65" s="24"/>
      <c r="AA65" s="24"/>
      <c r="AB65" s="24"/>
      <c r="AC65" s="24"/>
      <c r="AD65" s="24"/>
      <c r="AE65" s="24"/>
      <c r="AF65" s="24"/>
      <c r="AG65" s="24"/>
      <c r="AH65" s="24"/>
      <c r="AI65" s="24"/>
      <c r="AJ65" s="24"/>
      <c r="AK65" s="24"/>
      <c r="AL65" s="24"/>
      <c r="AM65" s="24"/>
      <c r="AN65" s="24"/>
      <c r="AO65" s="24"/>
      <c r="AP65" s="24"/>
      <c r="AQ65" s="24"/>
      <c r="AR65" s="24"/>
      <c r="AS65" s="24"/>
      <c r="AT65" s="24"/>
      <c r="AU65" s="24"/>
      <c r="AV65" s="24"/>
      <c r="AW65" s="24"/>
      <c r="AX65" s="24"/>
      <c r="AY65" s="24"/>
      <c r="AZ65" s="24"/>
      <c r="BA65" s="24"/>
      <c r="BB65" s="24"/>
      <c r="BC65" s="24"/>
      <c r="BD65" s="24"/>
      <c r="BE65" s="24"/>
      <c r="BF65" s="24"/>
      <c r="BG65" s="24"/>
      <c r="BH65" s="24"/>
      <c r="BI65" s="24"/>
      <c r="BJ65" s="24"/>
      <c r="BK65" s="24"/>
      <c r="BL65" s="24"/>
    </row>
    <row r="66" spans="3:64" x14ac:dyDescent="0.25">
      <c r="C66" s="24"/>
      <c r="D66" s="24"/>
      <c r="E66" s="24"/>
      <c r="F66" s="24"/>
      <c r="G66" s="24"/>
      <c r="H66" s="24"/>
      <c r="I66" s="24"/>
      <c r="J66" s="24"/>
      <c r="K66" s="24"/>
      <c r="L66" s="24"/>
      <c r="M66" s="24"/>
      <c r="N66" s="24"/>
      <c r="O66" s="24"/>
      <c r="P66" s="24"/>
      <c r="Q66" s="24"/>
      <c r="R66" s="24"/>
      <c r="S66" s="24"/>
      <c r="T66" s="24"/>
      <c r="U66" s="24"/>
      <c r="V66" s="24"/>
      <c r="W66" s="24"/>
      <c r="X66" s="24"/>
      <c r="Y66" s="24"/>
      <c r="Z66" s="24"/>
      <c r="AA66" s="24"/>
      <c r="AB66" s="24"/>
      <c r="AC66" s="24"/>
      <c r="AD66" s="24"/>
      <c r="AE66" s="24"/>
      <c r="AF66" s="24"/>
      <c r="AG66" s="24"/>
      <c r="AH66" s="24"/>
      <c r="AI66" s="24"/>
      <c r="AJ66" s="24"/>
      <c r="AK66" s="24"/>
      <c r="AL66" s="24"/>
      <c r="AM66" s="24"/>
      <c r="AN66" s="24"/>
      <c r="AO66" s="24"/>
      <c r="AP66" s="24"/>
      <c r="AQ66" s="24"/>
      <c r="AR66" s="24"/>
      <c r="AS66" s="24"/>
      <c r="AT66" s="24"/>
      <c r="AU66" s="24"/>
      <c r="AV66" s="24"/>
      <c r="AW66" s="24"/>
      <c r="AX66" s="24"/>
      <c r="AY66" s="24"/>
      <c r="AZ66" s="24"/>
      <c r="BA66" s="24"/>
      <c r="BB66" s="24"/>
      <c r="BC66" s="24"/>
      <c r="BD66" s="24"/>
      <c r="BE66" s="24"/>
      <c r="BF66" s="24"/>
      <c r="BG66" s="24"/>
      <c r="BH66" s="24"/>
      <c r="BI66" s="24"/>
      <c r="BJ66" s="24"/>
      <c r="BK66" s="24"/>
      <c r="BL66" s="24"/>
    </row>
    <row r="67" spans="3:64" x14ac:dyDescent="0.25">
      <c r="C67" s="24"/>
      <c r="D67" s="24"/>
      <c r="E67" s="24"/>
      <c r="F67" s="24"/>
      <c r="G67" s="24"/>
      <c r="H67" s="24"/>
      <c r="I67" s="24"/>
      <c r="J67" s="24"/>
      <c r="K67" s="24"/>
      <c r="L67" s="24"/>
      <c r="M67" s="24"/>
      <c r="N67" s="24"/>
      <c r="O67" s="24"/>
      <c r="P67" s="24"/>
      <c r="Q67" s="24"/>
      <c r="R67" s="24"/>
      <c r="S67" s="24"/>
      <c r="T67" s="24"/>
      <c r="U67" s="24"/>
      <c r="V67" s="24"/>
      <c r="W67" s="24"/>
      <c r="X67" s="24"/>
      <c r="Y67" s="24"/>
      <c r="Z67" s="24"/>
      <c r="AA67" s="24"/>
      <c r="AB67" s="24"/>
      <c r="AC67" s="24"/>
      <c r="AD67" s="24"/>
      <c r="AE67" s="24"/>
      <c r="AF67" s="24"/>
      <c r="AG67" s="24"/>
      <c r="AH67" s="24"/>
      <c r="AI67" s="24"/>
      <c r="AJ67" s="24"/>
      <c r="AK67" s="24"/>
      <c r="AL67" s="24"/>
      <c r="AM67" s="24"/>
      <c r="AN67" s="24"/>
      <c r="AO67" s="24"/>
      <c r="AP67" s="24"/>
      <c r="AQ67" s="24"/>
      <c r="AR67" s="24"/>
      <c r="AS67" s="24"/>
      <c r="AT67" s="24"/>
      <c r="AU67" s="24"/>
      <c r="AV67" s="24"/>
      <c r="AW67" s="24"/>
      <c r="AX67" s="24"/>
      <c r="AY67" s="24"/>
      <c r="AZ67" s="24"/>
      <c r="BA67" s="24"/>
      <c r="BB67" s="24"/>
      <c r="BC67" s="24"/>
      <c r="BD67" s="24"/>
      <c r="BE67" s="24"/>
      <c r="BF67" s="24"/>
      <c r="BG67" s="24"/>
      <c r="BH67" s="24"/>
      <c r="BI67" s="24"/>
      <c r="BJ67" s="24"/>
      <c r="BK67" s="24"/>
      <c r="BL67" s="24"/>
    </row>
    <row r="68" spans="3:64" x14ac:dyDescent="0.25">
      <c r="C68" s="24"/>
      <c r="D68" s="24"/>
      <c r="E68" s="24"/>
      <c r="F68" s="24"/>
      <c r="G68" s="24"/>
      <c r="H68" s="24"/>
      <c r="I68" s="24"/>
      <c r="J68" s="24"/>
      <c r="K68" s="24"/>
      <c r="L68" s="24"/>
      <c r="M68" s="24"/>
      <c r="N68" s="24"/>
      <c r="O68" s="24"/>
      <c r="P68" s="24"/>
      <c r="Q68" s="24"/>
      <c r="R68" s="24"/>
      <c r="S68" s="24"/>
      <c r="T68" s="24"/>
      <c r="U68" s="24"/>
      <c r="V68" s="24"/>
      <c r="W68" s="24"/>
      <c r="X68" s="24"/>
      <c r="Y68" s="24"/>
      <c r="Z68" s="24"/>
      <c r="AA68" s="24"/>
      <c r="AB68" s="24"/>
      <c r="AC68" s="24"/>
      <c r="AD68" s="24"/>
      <c r="AE68" s="24"/>
      <c r="AF68" s="24"/>
      <c r="AG68" s="24"/>
      <c r="AH68" s="24"/>
      <c r="AI68" s="24"/>
      <c r="AJ68" s="24"/>
      <c r="AK68" s="24"/>
      <c r="AL68" s="24"/>
      <c r="AM68" s="24"/>
      <c r="AN68" s="24"/>
      <c r="AO68" s="24"/>
      <c r="AP68" s="24"/>
      <c r="AQ68" s="24"/>
      <c r="AR68" s="24"/>
      <c r="AS68" s="24"/>
      <c r="AT68" s="24"/>
      <c r="AU68" s="24"/>
      <c r="AV68" s="24"/>
      <c r="AW68" s="24"/>
      <c r="AX68" s="24"/>
      <c r="AY68" s="24"/>
      <c r="AZ68" s="24"/>
      <c r="BA68" s="24"/>
      <c r="BB68" s="24"/>
      <c r="BC68" s="24"/>
      <c r="BD68" s="24"/>
      <c r="BE68" s="24"/>
      <c r="BF68" s="24"/>
      <c r="BG68" s="24"/>
      <c r="BH68" s="24"/>
      <c r="BI68" s="24"/>
      <c r="BJ68" s="24"/>
      <c r="BK68" s="24"/>
      <c r="BL68" s="24"/>
    </row>
    <row r="69" spans="3:64" x14ac:dyDescent="0.25">
      <c r="C69" s="24"/>
      <c r="D69" s="24"/>
      <c r="E69" s="24"/>
      <c r="F69" s="24"/>
      <c r="G69" s="24"/>
      <c r="H69" s="24"/>
      <c r="I69" s="24"/>
      <c r="J69" s="24"/>
      <c r="K69" s="24"/>
      <c r="L69" s="24"/>
      <c r="M69" s="24"/>
      <c r="N69" s="24"/>
      <c r="O69" s="24"/>
      <c r="P69" s="24"/>
      <c r="Q69" s="24"/>
      <c r="R69" s="24"/>
      <c r="S69" s="24"/>
      <c r="T69" s="24"/>
      <c r="U69" s="24"/>
      <c r="V69" s="24"/>
      <c r="W69" s="24"/>
      <c r="X69" s="24"/>
      <c r="Y69" s="24"/>
      <c r="Z69" s="24"/>
      <c r="AA69" s="24"/>
      <c r="AB69" s="24"/>
      <c r="AC69" s="24"/>
      <c r="AD69" s="24"/>
      <c r="AE69" s="24"/>
      <c r="AF69" s="24"/>
      <c r="AG69" s="24"/>
      <c r="AH69" s="24"/>
      <c r="AI69" s="24"/>
      <c r="AJ69" s="24"/>
      <c r="AK69" s="24"/>
      <c r="AL69" s="24"/>
      <c r="AM69" s="24"/>
      <c r="AN69" s="24"/>
      <c r="AO69" s="24"/>
      <c r="AP69" s="24"/>
      <c r="AQ69" s="24"/>
      <c r="AR69" s="24"/>
      <c r="AS69" s="24"/>
      <c r="AT69" s="24"/>
      <c r="AU69" s="24"/>
      <c r="AV69" s="24"/>
      <c r="AW69" s="24"/>
      <c r="AX69" s="24"/>
      <c r="AY69" s="24"/>
      <c r="AZ69" s="24"/>
      <c r="BA69" s="24"/>
      <c r="BB69" s="24"/>
      <c r="BC69" s="24"/>
      <c r="BD69" s="24"/>
      <c r="BE69" s="24"/>
      <c r="BF69" s="24"/>
      <c r="BG69" s="24"/>
      <c r="BH69" s="24"/>
      <c r="BI69" s="24"/>
      <c r="BJ69" s="24"/>
      <c r="BK69" s="24"/>
      <c r="BL69" s="24"/>
    </row>
    <row r="70" spans="3:64" x14ac:dyDescent="0.25">
      <c r="C70" s="24"/>
      <c r="D70" s="24"/>
      <c r="E70" s="24"/>
      <c r="F70" s="24"/>
      <c r="G70" s="24"/>
      <c r="H70" s="24"/>
      <c r="I70" s="24"/>
      <c r="J70" s="24"/>
      <c r="K70" s="24"/>
      <c r="L70" s="24"/>
      <c r="M70" s="24"/>
      <c r="N70" s="24"/>
      <c r="O70" s="24"/>
      <c r="P70" s="24"/>
      <c r="Q70" s="24"/>
      <c r="R70" s="24"/>
      <c r="S70" s="24"/>
      <c r="T70" s="24"/>
      <c r="U70" s="24"/>
      <c r="V70" s="24"/>
      <c r="W70" s="24"/>
      <c r="X70" s="24"/>
      <c r="Y70" s="24"/>
      <c r="Z70" s="24"/>
      <c r="AA70" s="24"/>
      <c r="AB70" s="24"/>
      <c r="AC70" s="24"/>
      <c r="AD70" s="24"/>
      <c r="AE70" s="24"/>
      <c r="AF70" s="24"/>
      <c r="AG70" s="24"/>
      <c r="AH70" s="24"/>
      <c r="AI70" s="24"/>
      <c r="AJ70" s="24"/>
      <c r="AK70" s="24"/>
      <c r="AL70" s="24"/>
      <c r="AM70" s="24"/>
      <c r="AN70" s="24"/>
      <c r="AO70" s="24"/>
      <c r="AP70" s="24"/>
      <c r="AQ70" s="24"/>
      <c r="AR70" s="24"/>
      <c r="AS70" s="24"/>
      <c r="AT70" s="24"/>
      <c r="AU70" s="24"/>
      <c r="AV70" s="24"/>
      <c r="AW70" s="24"/>
      <c r="AX70" s="24"/>
      <c r="AY70" s="24"/>
      <c r="AZ70" s="24"/>
      <c r="BA70" s="24"/>
      <c r="BB70" s="24"/>
      <c r="BC70" s="24"/>
      <c r="BD70" s="24"/>
      <c r="BE70" s="24"/>
      <c r="BF70" s="24"/>
      <c r="BG70" s="24"/>
      <c r="BH70" s="24"/>
      <c r="BI70" s="24"/>
      <c r="BJ70" s="24"/>
      <c r="BK70" s="24"/>
      <c r="BL70" s="24"/>
    </row>
    <row r="71" spans="3:64" x14ac:dyDescent="0.25">
      <c r="C71" s="24"/>
      <c r="D71" s="24"/>
      <c r="E71" s="24"/>
      <c r="F71" s="24"/>
      <c r="G71" s="24"/>
      <c r="H71" s="24"/>
      <c r="I71" s="24"/>
      <c r="J71" s="24"/>
      <c r="K71" s="24"/>
      <c r="L71" s="24"/>
      <c r="M71" s="24"/>
      <c r="N71" s="24"/>
      <c r="O71" s="24"/>
      <c r="P71" s="24"/>
      <c r="Q71" s="24"/>
      <c r="R71" s="24"/>
      <c r="S71" s="24"/>
      <c r="T71" s="24"/>
      <c r="U71" s="24"/>
      <c r="V71" s="24"/>
      <c r="W71" s="24"/>
      <c r="X71" s="24"/>
      <c r="Y71" s="24"/>
      <c r="Z71" s="24"/>
      <c r="AA71" s="24"/>
      <c r="AB71" s="24"/>
      <c r="AC71" s="24"/>
      <c r="AD71" s="24"/>
      <c r="AE71" s="24"/>
      <c r="AF71" s="24"/>
      <c r="AG71" s="24"/>
      <c r="AH71" s="24"/>
      <c r="AI71" s="24"/>
      <c r="AJ71" s="24"/>
      <c r="AK71" s="24"/>
      <c r="AL71" s="24"/>
      <c r="AM71" s="24"/>
      <c r="AN71" s="24"/>
      <c r="AO71" s="24"/>
      <c r="AP71" s="24"/>
      <c r="AQ71" s="24"/>
      <c r="AR71" s="24"/>
      <c r="AS71" s="24"/>
      <c r="AT71" s="24"/>
      <c r="AU71" s="24"/>
      <c r="AV71" s="24"/>
      <c r="AW71" s="24"/>
      <c r="AX71" s="24"/>
      <c r="AY71" s="24"/>
      <c r="AZ71" s="24"/>
      <c r="BA71" s="24"/>
      <c r="BB71" s="24"/>
      <c r="BC71" s="24"/>
      <c r="BD71" s="24"/>
      <c r="BE71" s="24"/>
      <c r="BF71" s="24"/>
      <c r="BG71" s="24"/>
      <c r="BH71" s="24"/>
      <c r="BI71" s="24"/>
      <c r="BJ71" s="24"/>
      <c r="BK71" s="24"/>
      <c r="BL71" s="24"/>
    </row>
    <row r="72" spans="3:64" x14ac:dyDescent="0.25">
      <c r="C72" s="24"/>
      <c r="D72" s="24"/>
      <c r="E72" s="24"/>
      <c r="F72" s="24"/>
      <c r="G72" s="24"/>
      <c r="H72" s="24"/>
      <c r="I72" s="24"/>
      <c r="J72" s="24"/>
      <c r="K72" s="24"/>
      <c r="L72" s="24"/>
      <c r="M72" s="24"/>
      <c r="N72" s="24"/>
      <c r="O72" s="24"/>
      <c r="P72" s="24"/>
      <c r="Q72" s="24"/>
      <c r="R72" s="24"/>
      <c r="S72" s="24"/>
      <c r="T72" s="24"/>
      <c r="U72" s="24"/>
      <c r="V72" s="24"/>
      <c r="W72" s="24"/>
      <c r="X72" s="24"/>
      <c r="Y72" s="24"/>
      <c r="Z72" s="24"/>
      <c r="AA72" s="24"/>
      <c r="AB72" s="24"/>
      <c r="AC72" s="24"/>
      <c r="AD72" s="24"/>
      <c r="AE72" s="24"/>
      <c r="AF72" s="24"/>
      <c r="AG72" s="24"/>
      <c r="AH72" s="24"/>
      <c r="AI72" s="24"/>
      <c r="AJ72" s="24"/>
      <c r="AK72" s="24"/>
      <c r="AL72" s="24"/>
      <c r="AM72" s="24"/>
      <c r="AN72" s="24"/>
      <c r="AO72" s="24"/>
      <c r="AP72" s="24"/>
      <c r="AQ72" s="24"/>
      <c r="AR72" s="24"/>
      <c r="AS72" s="24"/>
      <c r="AT72" s="24"/>
      <c r="AU72" s="24"/>
      <c r="AV72" s="24"/>
      <c r="AW72" s="24"/>
      <c r="AX72" s="24"/>
      <c r="AY72" s="24"/>
      <c r="AZ72" s="24"/>
      <c r="BA72" s="24"/>
      <c r="BB72" s="24"/>
      <c r="BC72" s="24"/>
      <c r="BD72" s="24"/>
      <c r="BE72" s="24"/>
      <c r="BF72" s="24"/>
      <c r="BG72" s="24"/>
      <c r="BH72" s="24"/>
      <c r="BI72" s="24"/>
      <c r="BJ72" s="24"/>
      <c r="BK72" s="24"/>
      <c r="BL72" s="24"/>
    </row>
    <row r="73" spans="3:64" x14ac:dyDescent="0.25">
      <c r="C73" s="24"/>
      <c r="D73" s="24"/>
      <c r="E73" s="24"/>
      <c r="F73" s="24"/>
      <c r="G73" s="24"/>
      <c r="H73" s="24"/>
      <c r="I73" s="24"/>
      <c r="J73" s="24"/>
      <c r="K73" s="24"/>
      <c r="L73" s="24"/>
      <c r="M73" s="24"/>
      <c r="N73" s="24"/>
      <c r="O73" s="24"/>
      <c r="P73" s="24"/>
      <c r="Q73" s="24"/>
      <c r="R73" s="24"/>
      <c r="S73" s="24"/>
      <c r="T73" s="24"/>
      <c r="U73" s="24"/>
      <c r="V73" s="24"/>
      <c r="W73" s="24"/>
      <c r="X73" s="24"/>
      <c r="Y73" s="24"/>
      <c r="Z73" s="24"/>
      <c r="AA73" s="24"/>
      <c r="AB73" s="24"/>
      <c r="AC73" s="24"/>
      <c r="AD73" s="24"/>
      <c r="AE73" s="24"/>
      <c r="AF73" s="24"/>
      <c r="AG73" s="24"/>
      <c r="AH73" s="24"/>
      <c r="AI73" s="24"/>
      <c r="AJ73" s="24"/>
      <c r="AK73" s="24"/>
      <c r="AL73" s="24"/>
      <c r="AM73" s="24"/>
      <c r="AN73" s="24"/>
      <c r="AO73" s="24"/>
      <c r="AP73" s="24"/>
      <c r="AQ73" s="24"/>
      <c r="AR73" s="24"/>
      <c r="AS73" s="24"/>
      <c r="AT73" s="24"/>
      <c r="AU73" s="24"/>
      <c r="AV73" s="24"/>
      <c r="AW73" s="24"/>
      <c r="AX73" s="24"/>
      <c r="AY73" s="24"/>
      <c r="AZ73" s="24"/>
      <c r="BA73" s="24"/>
      <c r="BB73" s="24"/>
      <c r="BC73" s="24"/>
      <c r="BD73" s="24"/>
      <c r="BE73" s="24"/>
      <c r="BF73" s="24"/>
      <c r="BG73" s="24"/>
      <c r="BH73" s="24"/>
      <c r="BI73" s="24"/>
      <c r="BJ73" s="24"/>
      <c r="BK73" s="24"/>
      <c r="BL73" s="24"/>
    </row>
    <row r="74" spans="3:64" x14ac:dyDescent="0.25">
      <c r="C74" s="24"/>
      <c r="D74" s="24"/>
      <c r="E74" s="24"/>
      <c r="F74" s="24"/>
      <c r="G74" s="24"/>
      <c r="H74" s="24"/>
      <c r="I74" s="24"/>
      <c r="J74" s="24"/>
      <c r="K74" s="24"/>
      <c r="L74" s="24"/>
      <c r="M74" s="24"/>
      <c r="N74" s="24"/>
      <c r="O74" s="24"/>
      <c r="P74" s="24"/>
      <c r="Q74" s="24"/>
      <c r="R74" s="24"/>
      <c r="S74" s="24"/>
      <c r="T74" s="24"/>
      <c r="U74" s="24"/>
      <c r="V74" s="24"/>
      <c r="W74" s="24"/>
      <c r="X74" s="24"/>
      <c r="Y74" s="24"/>
      <c r="Z74" s="24"/>
      <c r="AA74" s="24"/>
      <c r="AB74" s="24"/>
      <c r="AC74" s="24"/>
      <c r="AD74" s="24"/>
      <c r="AE74" s="24"/>
      <c r="AF74" s="24"/>
      <c r="AG74" s="24"/>
      <c r="AH74" s="24"/>
      <c r="AI74" s="24"/>
      <c r="AJ74" s="24"/>
      <c r="AK74" s="24"/>
      <c r="AL74" s="24"/>
      <c r="AM74" s="24"/>
      <c r="AN74" s="24"/>
      <c r="AO74" s="24"/>
      <c r="AP74" s="24"/>
      <c r="AQ74" s="24"/>
      <c r="AR74" s="24"/>
      <c r="AS74" s="24"/>
      <c r="AT74" s="24"/>
      <c r="AU74" s="24"/>
      <c r="AV74" s="24"/>
      <c r="AW74" s="24"/>
      <c r="AX74" s="24"/>
      <c r="AY74" s="24"/>
      <c r="AZ74" s="24"/>
      <c r="BA74" s="24"/>
      <c r="BB74" s="24"/>
      <c r="BC74" s="24"/>
      <c r="BD74" s="24"/>
      <c r="BE74" s="24"/>
      <c r="BF74" s="24"/>
      <c r="BG74" s="24"/>
      <c r="BH74" s="24"/>
      <c r="BI74" s="24"/>
      <c r="BJ74" s="24"/>
      <c r="BK74" s="24"/>
      <c r="BL74" s="24"/>
    </row>
    <row r="75" spans="3:64" x14ac:dyDescent="0.25">
      <c r="C75" s="24"/>
      <c r="D75" s="24"/>
      <c r="E75" s="24"/>
      <c r="F75" s="24"/>
      <c r="G75" s="24"/>
      <c r="H75" s="24"/>
      <c r="I75" s="24"/>
      <c r="J75" s="24"/>
      <c r="K75" s="24"/>
      <c r="L75" s="24"/>
      <c r="M75" s="24"/>
      <c r="N75" s="24"/>
      <c r="O75" s="24"/>
      <c r="P75" s="24"/>
      <c r="Q75" s="24"/>
      <c r="R75" s="24"/>
      <c r="S75" s="24"/>
      <c r="T75" s="24"/>
      <c r="U75" s="24"/>
      <c r="V75" s="24"/>
      <c r="W75" s="24"/>
      <c r="X75" s="24"/>
      <c r="Y75" s="24"/>
      <c r="Z75" s="24"/>
      <c r="AA75" s="24"/>
      <c r="AB75" s="24"/>
      <c r="AC75" s="24"/>
      <c r="AD75" s="24"/>
      <c r="AE75" s="24"/>
      <c r="AF75" s="24"/>
      <c r="AG75" s="24"/>
      <c r="AH75" s="24"/>
      <c r="AI75" s="24"/>
      <c r="AJ75" s="24"/>
      <c r="AK75" s="24"/>
      <c r="AL75" s="24"/>
      <c r="AM75" s="24"/>
      <c r="AN75" s="24"/>
      <c r="AO75" s="24"/>
      <c r="AP75" s="24"/>
      <c r="AQ75" s="24"/>
      <c r="AR75" s="24"/>
      <c r="AS75" s="24"/>
      <c r="AT75" s="24"/>
      <c r="AU75" s="24"/>
      <c r="AV75" s="24"/>
      <c r="AW75" s="24"/>
      <c r="AX75" s="24"/>
      <c r="AY75" s="24"/>
      <c r="AZ75" s="24"/>
      <c r="BA75" s="24"/>
      <c r="BB75" s="24"/>
      <c r="BC75" s="24"/>
      <c r="BD75" s="24"/>
      <c r="BE75" s="24"/>
      <c r="BF75" s="24"/>
      <c r="BG75" s="24"/>
      <c r="BH75" s="24"/>
      <c r="BI75" s="24"/>
      <c r="BJ75" s="24"/>
      <c r="BK75" s="24"/>
      <c r="BL75" s="24"/>
    </row>
    <row r="76" spans="3:64" x14ac:dyDescent="0.25">
      <c r="C76" s="24"/>
      <c r="D76" s="24"/>
      <c r="E76" s="24"/>
      <c r="F76" s="24"/>
      <c r="G76" s="24"/>
      <c r="H76" s="24"/>
      <c r="I76" s="24"/>
      <c r="J76" s="24"/>
      <c r="K76" s="24"/>
      <c r="L76" s="24"/>
      <c r="M76" s="24"/>
      <c r="N76" s="24"/>
      <c r="O76" s="24"/>
      <c r="P76" s="24"/>
      <c r="Q76" s="24"/>
      <c r="R76" s="24"/>
      <c r="S76" s="24"/>
      <c r="T76" s="24"/>
      <c r="U76" s="24"/>
      <c r="V76" s="24"/>
      <c r="W76" s="24"/>
      <c r="X76" s="24"/>
      <c r="Y76" s="24"/>
      <c r="Z76" s="24"/>
      <c r="AA76" s="24"/>
      <c r="AB76" s="24"/>
      <c r="AC76" s="24"/>
      <c r="AD76" s="24"/>
      <c r="AE76" s="24"/>
      <c r="AF76" s="24"/>
      <c r="AG76" s="24"/>
      <c r="AH76" s="24"/>
      <c r="AI76" s="24"/>
      <c r="AJ76" s="24"/>
      <c r="AK76" s="24"/>
      <c r="AL76" s="24"/>
      <c r="AM76" s="24"/>
      <c r="AN76" s="24"/>
      <c r="AO76" s="24"/>
      <c r="AP76" s="24"/>
      <c r="AQ76" s="24"/>
      <c r="AR76" s="24"/>
      <c r="AS76" s="24"/>
      <c r="AT76" s="24"/>
      <c r="AU76" s="24"/>
      <c r="AV76" s="24"/>
      <c r="AW76" s="24"/>
      <c r="AX76" s="24"/>
      <c r="AY76" s="24"/>
      <c r="AZ76" s="24"/>
      <c r="BA76" s="24"/>
      <c r="BB76" s="24"/>
      <c r="BC76" s="24"/>
      <c r="BD76" s="24"/>
      <c r="BE76" s="24"/>
      <c r="BF76" s="24"/>
      <c r="BG76" s="24"/>
      <c r="BH76" s="24"/>
      <c r="BI76" s="24"/>
      <c r="BJ76" s="24"/>
      <c r="BK76" s="24"/>
      <c r="BL76" s="24"/>
    </row>
    <row r="77" spans="3:64" x14ac:dyDescent="0.25">
      <c r="C77" s="24"/>
      <c r="D77" s="24"/>
      <c r="E77" s="24"/>
      <c r="F77" s="24"/>
      <c r="G77" s="24"/>
      <c r="H77" s="24"/>
      <c r="I77" s="24"/>
      <c r="J77" s="24"/>
      <c r="K77" s="24"/>
      <c r="L77" s="24"/>
      <c r="M77" s="24"/>
      <c r="N77" s="24"/>
      <c r="O77" s="24"/>
      <c r="P77" s="24"/>
      <c r="Q77" s="24"/>
      <c r="R77" s="24"/>
      <c r="S77" s="24"/>
      <c r="T77" s="24"/>
      <c r="U77" s="24"/>
      <c r="V77" s="24"/>
      <c r="W77" s="24"/>
      <c r="X77" s="24"/>
      <c r="Y77" s="24"/>
      <c r="Z77" s="24"/>
      <c r="AA77" s="24"/>
      <c r="AB77" s="24"/>
      <c r="AC77" s="24"/>
      <c r="AD77" s="24"/>
      <c r="AE77" s="24"/>
      <c r="AF77" s="24"/>
      <c r="AG77" s="24"/>
      <c r="AH77" s="24"/>
      <c r="AI77" s="24"/>
      <c r="AJ77" s="24"/>
      <c r="AK77" s="24"/>
      <c r="AL77" s="24"/>
      <c r="AM77" s="24"/>
      <c r="AN77" s="24"/>
      <c r="AO77" s="24"/>
      <c r="AP77" s="24"/>
      <c r="AQ77" s="24"/>
      <c r="AR77" s="24"/>
      <c r="AS77" s="24"/>
      <c r="AT77" s="24"/>
      <c r="AU77" s="24"/>
      <c r="AV77" s="24"/>
      <c r="AW77" s="24"/>
      <c r="AX77" s="24"/>
      <c r="AY77" s="24"/>
      <c r="AZ77" s="24"/>
      <c r="BA77" s="24"/>
      <c r="BB77" s="24"/>
      <c r="BC77" s="24"/>
      <c r="BD77" s="24"/>
      <c r="BE77" s="24"/>
      <c r="BF77" s="24"/>
      <c r="BG77" s="24"/>
      <c r="BH77" s="24"/>
      <c r="BI77" s="24"/>
      <c r="BJ77" s="24"/>
      <c r="BK77" s="24"/>
      <c r="BL77" s="24"/>
    </row>
    <row r="78" spans="3:64" x14ac:dyDescent="0.25">
      <c r="C78" s="24"/>
      <c r="D78" s="24"/>
      <c r="E78" s="24"/>
      <c r="F78" s="24"/>
      <c r="G78" s="24"/>
      <c r="H78" s="24"/>
      <c r="I78" s="24"/>
      <c r="J78" s="24"/>
      <c r="K78" s="24"/>
      <c r="L78" s="24"/>
      <c r="M78" s="24"/>
      <c r="N78" s="24"/>
      <c r="O78" s="24"/>
      <c r="P78" s="24"/>
      <c r="Q78" s="24"/>
      <c r="R78" s="24"/>
      <c r="S78" s="24"/>
      <c r="T78" s="24"/>
      <c r="U78" s="24"/>
      <c r="V78" s="24"/>
      <c r="W78" s="24"/>
      <c r="X78" s="24"/>
      <c r="Y78" s="24"/>
      <c r="Z78" s="24"/>
      <c r="AA78" s="24"/>
      <c r="AB78" s="24"/>
      <c r="AC78" s="24"/>
      <c r="AD78" s="24"/>
      <c r="AE78" s="24"/>
      <c r="AF78" s="24"/>
      <c r="AG78" s="24"/>
      <c r="AH78" s="24"/>
      <c r="AI78" s="24"/>
      <c r="AJ78" s="24"/>
      <c r="AK78" s="24"/>
      <c r="AL78" s="24"/>
      <c r="AM78" s="24"/>
      <c r="AN78" s="24"/>
      <c r="AO78" s="24"/>
      <c r="AP78" s="24"/>
      <c r="AQ78" s="24"/>
      <c r="AR78" s="24"/>
      <c r="AS78" s="24"/>
      <c r="AT78" s="24"/>
      <c r="AU78" s="24"/>
      <c r="AV78" s="24"/>
      <c r="AW78" s="24"/>
      <c r="AX78" s="24"/>
      <c r="AY78" s="24"/>
      <c r="AZ78" s="24"/>
      <c r="BA78" s="24"/>
      <c r="BB78" s="24"/>
      <c r="BC78" s="24"/>
      <c r="BD78" s="24"/>
      <c r="BE78" s="24"/>
      <c r="BF78" s="24"/>
      <c r="BG78" s="24"/>
      <c r="BH78" s="24"/>
      <c r="BI78" s="24"/>
      <c r="BJ78" s="24"/>
      <c r="BK78" s="24"/>
      <c r="BL78" s="24"/>
    </row>
    <row r="79" spans="3:64" x14ac:dyDescent="0.25">
      <c r="C79" s="24"/>
      <c r="D79" s="24"/>
      <c r="E79" s="24"/>
      <c r="F79" s="24"/>
      <c r="G79" s="24"/>
      <c r="H79" s="24"/>
      <c r="I79" s="24"/>
      <c r="J79" s="24"/>
      <c r="K79" s="24"/>
      <c r="L79" s="24"/>
      <c r="M79" s="24"/>
      <c r="N79" s="24"/>
      <c r="O79" s="24"/>
      <c r="P79" s="24"/>
      <c r="Q79" s="24"/>
      <c r="R79" s="24"/>
      <c r="S79" s="24"/>
      <c r="T79" s="24"/>
      <c r="U79" s="24"/>
      <c r="V79" s="24"/>
      <c r="W79" s="24"/>
      <c r="X79" s="24"/>
      <c r="Y79" s="24"/>
      <c r="Z79" s="24"/>
      <c r="AA79" s="24"/>
      <c r="AB79" s="24"/>
      <c r="AC79" s="24"/>
      <c r="AD79" s="24"/>
      <c r="AE79" s="24"/>
      <c r="AF79" s="24"/>
      <c r="AG79" s="24"/>
      <c r="AH79" s="24"/>
      <c r="AI79" s="24"/>
      <c r="AJ79" s="24"/>
      <c r="AK79" s="24"/>
      <c r="AL79" s="24"/>
      <c r="AM79" s="24"/>
      <c r="AN79" s="24"/>
      <c r="AO79" s="24"/>
      <c r="AP79" s="24"/>
      <c r="AQ79" s="24"/>
      <c r="AR79" s="24"/>
      <c r="AS79" s="24"/>
      <c r="AT79" s="24"/>
      <c r="AU79" s="24"/>
      <c r="AV79" s="24"/>
      <c r="AW79" s="24"/>
      <c r="AX79" s="24"/>
      <c r="AY79" s="24"/>
      <c r="AZ79" s="24"/>
      <c r="BA79" s="24"/>
      <c r="BB79" s="24"/>
      <c r="BC79" s="24"/>
      <c r="BD79" s="24"/>
      <c r="BE79" s="24"/>
      <c r="BF79" s="24"/>
      <c r="BG79" s="24"/>
      <c r="BH79" s="24"/>
      <c r="BI79" s="24"/>
      <c r="BJ79" s="24"/>
      <c r="BK79" s="24"/>
      <c r="BL79" s="24"/>
    </row>
    <row r="80" spans="3:64" x14ac:dyDescent="0.25">
      <c r="C80" s="24"/>
      <c r="D80" s="24"/>
      <c r="E80" s="24"/>
      <c r="F80" s="24"/>
      <c r="G80" s="24"/>
      <c r="H80" s="24"/>
      <c r="I80" s="24"/>
      <c r="J80" s="24"/>
      <c r="K80" s="24"/>
      <c r="L80" s="24"/>
      <c r="M80" s="24"/>
      <c r="N80" s="24"/>
      <c r="O80" s="24"/>
      <c r="P80" s="24"/>
      <c r="Q80" s="24"/>
      <c r="R80" s="24"/>
      <c r="S80" s="24"/>
      <c r="T80" s="24"/>
      <c r="U80" s="24"/>
      <c r="V80" s="24"/>
      <c r="W80" s="24"/>
      <c r="X80" s="24"/>
      <c r="Y80" s="24"/>
      <c r="Z80" s="24"/>
      <c r="AA80" s="24"/>
      <c r="AB80" s="24"/>
      <c r="AC80" s="24"/>
      <c r="AD80" s="24"/>
      <c r="AE80" s="24"/>
      <c r="AF80" s="24"/>
      <c r="AG80" s="24"/>
      <c r="AH80" s="24"/>
      <c r="AI80" s="24"/>
      <c r="AJ80" s="24"/>
      <c r="AK80" s="24"/>
      <c r="AL80" s="24"/>
      <c r="AM80" s="24"/>
      <c r="AN80" s="24"/>
      <c r="AO80" s="24"/>
      <c r="AP80" s="24"/>
      <c r="AQ80" s="24"/>
      <c r="AR80" s="24"/>
      <c r="AS80" s="24"/>
      <c r="AT80" s="24"/>
      <c r="AU80" s="24"/>
      <c r="AV80" s="24"/>
      <c r="AW80" s="24"/>
      <c r="AX80" s="24"/>
      <c r="AY80" s="24"/>
      <c r="AZ80" s="24"/>
      <c r="BA80" s="24"/>
      <c r="BB80" s="24"/>
      <c r="BC80" s="24"/>
      <c r="BD80" s="24"/>
      <c r="BE80" s="24"/>
      <c r="BF80" s="24"/>
      <c r="BG80" s="24"/>
      <c r="BH80" s="24"/>
      <c r="BI80" s="24"/>
      <c r="BJ80" s="24"/>
      <c r="BK80" s="24"/>
      <c r="BL80" s="24"/>
    </row>
    <row r="81" spans="3:64" x14ac:dyDescent="0.25">
      <c r="C81" s="24"/>
      <c r="D81" s="24"/>
      <c r="E81" s="24"/>
      <c r="F81" s="24"/>
      <c r="G81" s="24"/>
      <c r="H81" s="24"/>
      <c r="I81" s="24"/>
      <c r="J81" s="24"/>
      <c r="K81" s="24"/>
      <c r="L81" s="24"/>
      <c r="M81" s="24"/>
      <c r="N81" s="24"/>
      <c r="O81" s="24"/>
      <c r="P81" s="24"/>
      <c r="Q81" s="24"/>
      <c r="R81" s="24"/>
      <c r="S81" s="24"/>
      <c r="T81" s="24"/>
      <c r="U81" s="24"/>
      <c r="V81" s="24"/>
      <c r="W81" s="24"/>
      <c r="X81" s="24"/>
      <c r="Y81" s="24"/>
      <c r="Z81" s="24"/>
      <c r="AA81" s="24"/>
      <c r="AB81" s="24"/>
      <c r="AC81" s="24"/>
      <c r="AD81" s="24"/>
      <c r="AE81" s="24"/>
      <c r="AF81" s="24"/>
      <c r="AG81" s="24"/>
      <c r="AH81" s="24"/>
      <c r="AI81" s="24"/>
      <c r="AJ81" s="24"/>
      <c r="AK81" s="24"/>
      <c r="AL81" s="24"/>
      <c r="AM81" s="24"/>
      <c r="AN81" s="24"/>
      <c r="AO81" s="24"/>
      <c r="AP81" s="24"/>
      <c r="AQ81" s="24"/>
      <c r="AR81" s="24"/>
      <c r="AS81" s="24"/>
      <c r="AT81" s="24"/>
      <c r="AU81" s="24"/>
      <c r="AV81" s="24"/>
      <c r="AW81" s="24"/>
      <c r="AX81" s="24"/>
      <c r="AY81" s="24"/>
      <c r="AZ81" s="24"/>
      <c r="BA81" s="24"/>
      <c r="BB81" s="24"/>
      <c r="BC81" s="24"/>
      <c r="BD81" s="24"/>
      <c r="BE81" s="24"/>
      <c r="BF81" s="24"/>
      <c r="BG81" s="24"/>
      <c r="BH81" s="24"/>
      <c r="BI81" s="24"/>
      <c r="BJ81" s="24"/>
      <c r="BK81" s="24"/>
      <c r="BL81" s="24"/>
    </row>
    <row r="82" spans="3:64" x14ac:dyDescent="0.25">
      <c r="C82" s="24"/>
      <c r="D82" s="24"/>
      <c r="E82" s="24"/>
      <c r="F82" s="24"/>
      <c r="G82" s="24"/>
      <c r="H82" s="24"/>
      <c r="I82" s="24"/>
      <c r="J82" s="24"/>
      <c r="K82" s="24"/>
      <c r="L82" s="24"/>
      <c r="M82" s="24"/>
      <c r="N82" s="24"/>
      <c r="O82" s="24"/>
      <c r="P82" s="24"/>
      <c r="Q82" s="24"/>
      <c r="R82" s="24"/>
      <c r="S82" s="24"/>
      <c r="T82" s="24"/>
      <c r="U82" s="24"/>
      <c r="V82" s="24"/>
      <c r="W82" s="24"/>
      <c r="X82" s="24"/>
      <c r="Y82" s="24"/>
      <c r="Z82" s="24"/>
      <c r="AA82" s="24"/>
      <c r="AB82" s="24"/>
      <c r="AC82" s="24"/>
      <c r="AD82" s="24"/>
      <c r="AE82" s="24"/>
      <c r="AF82" s="24"/>
      <c r="AG82" s="24"/>
      <c r="AH82" s="24"/>
      <c r="AI82" s="24"/>
      <c r="AJ82" s="24"/>
      <c r="AK82" s="24"/>
      <c r="AL82" s="24"/>
      <c r="AM82" s="24"/>
      <c r="AN82" s="24"/>
      <c r="AO82" s="24"/>
      <c r="AP82" s="24"/>
      <c r="AQ82" s="24"/>
      <c r="AR82" s="24"/>
      <c r="AS82" s="24"/>
      <c r="AT82" s="24"/>
      <c r="AU82" s="24"/>
      <c r="AV82" s="24"/>
      <c r="AW82" s="24"/>
      <c r="AX82" s="24"/>
      <c r="AY82" s="24"/>
      <c r="AZ82" s="24"/>
      <c r="BA82" s="24"/>
      <c r="BB82" s="24"/>
      <c r="BC82" s="24"/>
      <c r="BD82" s="24"/>
      <c r="BE82" s="24"/>
      <c r="BF82" s="24"/>
      <c r="BG82" s="24"/>
      <c r="BH82" s="24"/>
      <c r="BI82" s="24"/>
      <c r="BJ82" s="24"/>
      <c r="BK82" s="24"/>
      <c r="BL82" s="24"/>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K87"/>
  <sheetViews>
    <sheetView showGridLines="0" zoomScaleNormal="100" workbookViewId="0">
      <selection activeCell="G27" sqref="G27"/>
    </sheetView>
  </sheetViews>
  <sheetFormatPr defaultRowHeight="15" x14ac:dyDescent="0.25"/>
  <cols>
    <col min="1" max="1" width="30.7109375" customWidth="1"/>
    <col min="2" max="3" width="2.7109375" customWidth="1"/>
    <col min="4" max="4" width="97.42578125" customWidth="1"/>
    <col min="5" max="10" width="30.7109375" customWidth="1"/>
    <col min="11" max="11" width="7.42578125" customWidth="1"/>
    <col min="12" max="26" width="28.7109375" customWidth="1"/>
  </cols>
  <sheetData>
    <row r="1" spans="1:11" ht="30" customHeight="1" x14ac:dyDescent="0.35">
      <c r="A1" s="71" t="e" vm="1">
        <v>#VALUE!</v>
      </c>
      <c r="C1" s="124" t="s">
        <v>315</v>
      </c>
    </row>
    <row r="2" spans="1:11" ht="20.100000000000001" customHeight="1" x14ac:dyDescent="0.25">
      <c r="A2" s="9"/>
      <c r="C2" s="9"/>
    </row>
    <row r="3" spans="1:11" ht="20.100000000000001" customHeight="1" x14ac:dyDescent="0.25">
      <c r="A3" s="17" t="str">
        <f>HYPERLINK("#'Home'!A1", "Home")</f>
        <v>Home</v>
      </c>
      <c r="C3" s="24"/>
      <c r="D3" s="24"/>
      <c r="E3" s="24"/>
      <c r="F3" s="24"/>
      <c r="G3" s="24"/>
      <c r="H3" s="24"/>
      <c r="I3" s="24"/>
      <c r="J3" s="24"/>
      <c r="K3" s="24"/>
    </row>
    <row r="4" spans="1:11" ht="20.100000000000001" customHeight="1" x14ac:dyDescent="0.25">
      <c r="A4" s="17" t="str">
        <f>HYPERLINK("#'Overview'!A1", "Overview")</f>
        <v>Overview</v>
      </c>
      <c r="C4" s="24"/>
      <c r="D4" s="6" t="s">
        <v>5</v>
      </c>
      <c r="E4" s="26"/>
      <c r="F4" s="26"/>
      <c r="G4" s="26"/>
      <c r="H4" s="6"/>
      <c r="I4" s="6"/>
      <c r="J4" s="6"/>
      <c r="K4" s="27"/>
    </row>
    <row r="5" spans="1:11" ht="20.100000000000001" customHeight="1" x14ac:dyDescent="0.3">
      <c r="A5" s="123" t="str">
        <f>HYPERLINK("#'Results'!A1", "Results")</f>
        <v>Results</v>
      </c>
      <c r="C5" s="24"/>
      <c r="D5" s="28"/>
      <c r="E5" s="29"/>
      <c r="F5" s="29"/>
      <c r="G5" s="29"/>
      <c r="H5" s="26"/>
      <c r="I5" s="24"/>
      <c r="J5" s="24"/>
      <c r="K5" s="24"/>
    </row>
    <row r="6" spans="1:11" ht="20.100000000000001" customHeight="1" x14ac:dyDescent="0.25">
      <c r="A6" s="16"/>
      <c r="C6" s="24"/>
      <c r="D6" s="122" t="s">
        <v>139</v>
      </c>
      <c r="E6" s="122" t="s">
        <v>380</v>
      </c>
      <c r="F6" s="122" t="s">
        <v>381</v>
      </c>
      <c r="G6" s="122" t="s">
        <v>156</v>
      </c>
      <c r="H6" s="122" t="s">
        <v>386</v>
      </c>
      <c r="I6" s="122" t="s">
        <v>387</v>
      </c>
      <c r="J6" s="122" t="s">
        <v>157</v>
      </c>
      <c r="K6" s="24"/>
    </row>
    <row r="7" spans="1:11" ht="20.100000000000001" customHeight="1" x14ac:dyDescent="0.25">
      <c r="A7" s="20" t="s">
        <v>3</v>
      </c>
      <c r="C7" s="24"/>
      <c r="D7" s="1" t="s">
        <v>382</v>
      </c>
      <c r="E7" s="117">
        <f>'4.3.1.1-2 Methane'!$E$300</f>
        <v>11.006573699319889</v>
      </c>
      <c r="F7" s="117">
        <f>'4.3.1.1-2 Methane'!$P$300</f>
        <v>11.385488679680847</v>
      </c>
      <c r="G7" s="57" t="str">
        <f>'4.3.1.1-2 Methane'!$F$300</f>
        <v>t CH4</v>
      </c>
      <c r="H7" s="117">
        <f>'4.3.1.1-2 Methane'!$E$305</f>
        <v>308.18406358095689</v>
      </c>
      <c r="I7" s="117">
        <f>'4.3.1.1-2 Methane'!$P$305</f>
        <v>318.79368303106372</v>
      </c>
      <c r="J7" s="57" t="str">
        <f>'4.3.1.1-2 Methane'!$F$305</f>
        <v>t CO2e</v>
      </c>
      <c r="K7" s="24"/>
    </row>
    <row r="8" spans="1:11" ht="20.100000000000001" customHeight="1" x14ac:dyDescent="0.25">
      <c r="A8" s="17" t="str">
        <f>HYPERLINK("#'Input - Site'!A1", "Site")</f>
        <v>Site</v>
      </c>
      <c r="C8" s="24"/>
      <c r="D8" s="1" t="s">
        <v>383</v>
      </c>
      <c r="E8" s="117">
        <f>'4.3.1.3-4 Direct N20'!$E$287</f>
        <v>6.891966997822202E-2</v>
      </c>
      <c r="F8" s="117">
        <f>'4.3.1.3-4 Direct N20'!$O$287</f>
        <v>6.891966997822202E-2</v>
      </c>
      <c r="G8" s="57" t="str">
        <f>'4.3.1.3-4 Direct N20'!$F$287</f>
        <v>t N2O</v>
      </c>
      <c r="H8" s="117">
        <f>'4.3.1.3-4 Direct N20'!$E$292</f>
        <v>18.263712544228834</v>
      </c>
      <c r="I8" s="117">
        <f>'4.3.1.3-4 Direct N20'!$O$292</f>
        <v>18.263712544228834</v>
      </c>
      <c r="J8" s="57" t="str">
        <f>'4.3.1.3-4 Direct N20'!$F$292</f>
        <v>t CO2e</v>
      </c>
      <c r="K8" s="24"/>
    </row>
    <row r="9" spans="1:11" ht="20.100000000000001" customHeight="1" x14ac:dyDescent="0.25">
      <c r="A9" s="17" t="str">
        <f>HYPERLINK("#'Input - Dairy'!A1", "Dairy")</f>
        <v>Dairy</v>
      </c>
      <c r="C9" s="24"/>
      <c r="D9" s="1" t="s">
        <v>384</v>
      </c>
      <c r="E9" s="117">
        <f>'4.3.1.5 Atmos deposition'!$E$68</f>
        <v>5.1240277368979369E-2</v>
      </c>
      <c r="F9" s="117">
        <f>'4.3.1.5 Atmos deposition'!$P$68</f>
        <v>5.1240277368979369E-2</v>
      </c>
      <c r="G9" s="57" t="str">
        <f>'4.3.1.5 Atmos deposition'!$F$68</f>
        <v>t N2O</v>
      </c>
      <c r="H9" s="117">
        <f>'4.3.1.5 Atmos deposition'!$E$73</f>
        <v>13.578673502779532</v>
      </c>
      <c r="I9" s="117">
        <f>'4.3.1.5 Atmos deposition'!$P$73</f>
        <v>13.578673502779532</v>
      </c>
      <c r="J9" s="57" t="str">
        <f>'4.3.1.5 Atmos deposition'!$F$73</f>
        <v>t CO2e</v>
      </c>
      <c r="K9" s="24"/>
    </row>
    <row r="10" spans="1:11" ht="20.100000000000001" customHeight="1" x14ac:dyDescent="0.25">
      <c r="A10" s="17"/>
      <c r="C10" s="24"/>
      <c r="D10" s="1" t="s">
        <v>385</v>
      </c>
      <c r="E10" s="117">
        <f>'4.3.1.6-7 Leaching and runoff'!$E$52</f>
        <v>3.0324654790417692E-3</v>
      </c>
      <c r="F10" s="117">
        <f>'4.3.1.6-7 Leaching and runoff'!$P$52</f>
        <v>3.0324654790417692E-3</v>
      </c>
      <c r="G10" s="57" t="str">
        <f>'4.3.1.6-7 Leaching and runoff'!$F$52</f>
        <v>t N2O</v>
      </c>
      <c r="H10" s="117">
        <f>'4.3.1.6-7 Leaching and runoff'!$E$57</f>
        <v>0.8036033519460688</v>
      </c>
      <c r="I10" s="117">
        <f>'4.3.1.6-7 Leaching and runoff'!$P$57</f>
        <v>0.8036033519460688</v>
      </c>
      <c r="J10" s="57" t="str">
        <f>'4.3.1.6-7 Leaching and runoff'!$F$57</f>
        <v>t CO2e</v>
      </c>
      <c r="K10" s="24"/>
    </row>
    <row r="11" spans="1:11" ht="20.100000000000001" customHeight="1" x14ac:dyDescent="0.25">
      <c r="A11" s="19" t="s">
        <v>76</v>
      </c>
      <c r="C11" s="24"/>
      <c r="D11" s="1" t="s">
        <v>352</v>
      </c>
      <c r="E11" s="117">
        <f>'4.3.1.9 Soil direct N2O'!$E$53</f>
        <v>8.1377786110272132E-2</v>
      </c>
      <c r="F11" s="117">
        <f>'4.3.1.9 Soil direct N2O'!$P$53</f>
        <v>8.1377786110272132E-2</v>
      </c>
      <c r="G11" s="57" t="str">
        <f>'4.3.1.9 Soil direct N2O'!$F$53</f>
        <v>t N2O</v>
      </c>
      <c r="H11" s="117">
        <f>'4.3.1.9 Soil direct N2O'!$E$58</f>
        <v>21.565113319222114</v>
      </c>
      <c r="I11" s="117">
        <f>'4.3.1.9 Soil direct N2O'!$P$58</f>
        <v>21.565113319222114</v>
      </c>
      <c r="J11" s="57" t="str">
        <f>'4.3.1.9 Soil direct N2O'!$F$58</f>
        <v>t CO2e</v>
      </c>
      <c r="K11" s="24"/>
    </row>
    <row r="12" spans="1:11" ht="20.100000000000001" customHeight="1" x14ac:dyDescent="0.25">
      <c r="A12" s="17" t="str">
        <f>HYPERLINK("#'4.3.1.1-2 Methane'!A1", "4.3.1.1-2 Methane")</f>
        <v>4.3.1.1-2 Methane</v>
      </c>
      <c r="C12" s="24"/>
      <c r="D12" s="1" t="s">
        <v>368</v>
      </c>
      <c r="E12" s="117">
        <f>'4.3.1.10-11 Soil Atmos Dep'!$E$45</f>
        <v>5.0413538495313583E-2</v>
      </c>
      <c r="F12" s="117">
        <f>'4.3.1.10-11 Soil Atmos Dep'!$P$45</f>
        <v>5.0413538495313583E-2</v>
      </c>
      <c r="G12" s="57" t="str">
        <f>'4.3.1.10-11 Soil Atmos Dep'!$F$45</f>
        <v>t N2O</v>
      </c>
      <c r="H12" s="117">
        <f>'4.3.1.10-11 Soil Atmos Dep'!$E$50</f>
        <v>13.3595877012581</v>
      </c>
      <c r="I12" s="117">
        <f>'4.3.1.10-11 Soil Atmos Dep'!$P$50</f>
        <v>13.3595877012581</v>
      </c>
      <c r="J12" s="57" t="str">
        <f>'4.3.1.10-11 Soil Atmos Dep'!$F$50</f>
        <v>t CO2e</v>
      </c>
      <c r="K12" s="24"/>
    </row>
    <row r="13" spans="1:11" ht="20.100000000000001" customHeight="1" x14ac:dyDescent="0.25">
      <c r="A13" s="17" t="str">
        <f>HYPERLINK("#'4.3.1.3-4 Direct N20'!A1", "4.3.1.3-4 Direct N2O")</f>
        <v>4.3.1.3-4 Direct N2O</v>
      </c>
      <c r="C13" s="24"/>
      <c r="D13" s="1" t="s">
        <v>369</v>
      </c>
      <c r="E13" s="117">
        <f>'4.3.1.12-13 Soil leach runoff'!$E$47</f>
        <v>0.10741867766555921</v>
      </c>
      <c r="F13" s="117">
        <f>'4.3.1.12-13 Soil leach runoff'!$P$47</f>
        <v>0.10741867766555921</v>
      </c>
      <c r="G13" s="57" t="str">
        <f>'4.3.1.12-13 Soil leach runoff'!$F$47</f>
        <v>t N2O</v>
      </c>
      <c r="H13" s="117">
        <f>'4.3.1.12-13 Soil leach runoff'!$E$52</f>
        <v>28.465949581373192</v>
      </c>
      <c r="I13" s="117">
        <f>'4.3.1.12-13 Soil leach runoff'!$P$52</f>
        <v>28.465949581373192</v>
      </c>
      <c r="J13" s="57" t="str">
        <f>'4.3.1.12-13 Soil leach runoff'!$F$52</f>
        <v>t CO2e</v>
      </c>
      <c r="K13" s="24"/>
    </row>
    <row r="14" spans="1:11" ht="20.100000000000001" customHeight="1" x14ac:dyDescent="0.3">
      <c r="A14" s="17" t="str">
        <f>HYPERLINK("#'4.3.1.5 Atmos Deposition'!A1", "4.3.1.5 Atmospheric deposition")</f>
        <v>4.3.1.5 Atmospheric deposition</v>
      </c>
      <c r="C14" s="24"/>
      <c r="D14" s="31" t="s">
        <v>154</v>
      </c>
      <c r="E14" s="25"/>
      <c r="F14" s="25"/>
      <c r="G14" s="31"/>
      <c r="H14" s="119">
        <f>SUM(H7:H13)</f>
        <v>404.22070358176472</v>
      </c>
      <c r="I14" s="119">
        <f>SUM(I7:I13)</f>
        <v>414.83032303187156</v>
      </c>
      <c r="J14" s="112" t="s">
        <v>350</v>
      </c>
      <c r="K14" s="24"/>
    </row>
    <row r="15" spans="1:11" ht="20.100000000000001" customHeight="1" x14ac:dyDescent="0.25">
      <c r="A15" s="17" t="str">
        <f>HYPERLINK("#'4.3.1.6-7 Leaching and runoff'!A1", "4.3.1.6-7 Leaching and runoff")</f>
        <v>4.3.1.6-7 Leaching and runoff</v>
      </c>
      <c r="C15" s="24"/>
      <c r="D15" s="1"/>
      <c r="E15" s="1"/>
      <c r="F15" s="1"/>
      <c r="G15" s="26"/>
      <c r="H15" s="24"/>
      <c r="I15" s="1"/>
      <c r="J15" s="1"/>
      <c r="K15" s="24"/>
    </row>
    <row r="16" spans="1:11" ht="20.100000000000001" customHeight="1" x14ac:dyDescent="0.25">
      <c r="A16" s="17" t="str">
        <f>HYPERLINK("#'4.3.1.8 Manure applied to soils'!A1", "4.3.1.8 Manure applied to soils")</f>
        <v>4.3.1.8 Manure applied to soils</v>
      </c>
      <c r="C16" s="24"/>
      <c r="D16" s="51" t="s">
        <v>338</v>
      </c>
      <c r="E16" s="1"/>
      <c r="F16" s="1"/>
      <c r="G16" s="1"/>
      <c r="H16" s="26"/>
      <c r="I16" s="1"/>
      <c r="J16" s="1"/>
      <c r="K16" s="24"/>
    </row>
    <row r="17" spans="1:11" ht="20.100000000000001" customHeight="1" x14ac:dyDescent="0.25">
      <c r="A17" s="17" t="str">
        <f>HYPERLINK("#'4.3.1.9 Soil direct N2O'!A1", "4.3.1.9 Soil direct N2O")</f>
        <v>4.3.1.9 Soil direct N2O</v>
      </c>
      <c r="C17" s="24"/>
      <c r="D17" s="113" t="s">
        <v>161</v>
      </c>
      <c r="E17" s="1"/>
      <c r="F17" s="1"/>
      <c r="G17" s="1"/>
      <c r="H17" s="1"/>
      <c r="I17" s="1"/>
      <c r="J17" s="1"/>
      <c r="K17" s="24"/>
    </row>
    <row r="18" spans="1:11" ht="20.100000000000001" customHeight="1" x14ac:dyDescent="0.25">
      <c r="A18" s="17" t="str">
        <f>HYPERLINK("#'4.3.1.10-11 Soil Atmos Dep'!A1", "4.3.1.10-11 Soil atm. deposition")</f>
        <v>4.3.1.10-11 Soil atm. deposition</v>
      </c>
      <c r="C18" s="24"/>
      <c r="D18" s="120" t="s">
        <v>167</v>
      </c>
      <c r="E18" s="1"/>
      <c r="F18" s="1"/>
      <c r="G18" s="1"/>
      <c r="H18" s="1"/>
      <c r="I18" s="1"/>
      <c r="J18" s="1"/>
      <c r="K18" s="24"/>
    </row>
    <row r="19" spans="1:11" ht="20.100000000000001" customHeight="1" x14ac:dyDescent="0.25">
      <c r="A19" s="17" t="str">
        <f>HYPERLINK("#'4.3.1.12-13 Soil leach runoff'!A1", "4.3.1.12-13 Soil leach &amp; runoff")</f>
        <v>4.3.1.12-13 Soil leach &amp; runoff</v>
      </c>
      <c r="C19" s="24"/>
      <c r="D19" s="122" t="s">
        <v>162</v>
      </c>
      <c r="E19" s="122" t="s">
        <v>470</v>
      </c>
      <c r="F19" s="122" t="s">
        <v>471</v>
      </c>
      <c r="G19" s="122" t="s">
        <v>160</v>
      </c>
      <c r="H19" s="122" t="s">
        <v>155</v>
      </c>
      <c r="I19" s="122" t="s">
        <v>166</v>
      </c>
      <c r="J19" s="1"/>
      <c r="K19" s="24"/>
    </row>
    <row r="20" spans="1:11" ht="20.100000000000001" customHeight="1" x14ac:dyDescent="0.25">
      <c r="A20" s="17"/>
      <c r="C20" s="24"/>
      <c r="D20" s="1" t="s">
        <v>394</v>
      </c>
      <c r="E20" s="121">
        <f>'4.3.1.8 Manure applied to soils'!$E$85</f>
        <v>12637.296364050231</v>
      </c>
      <c r="F20" s="121">
        <f>'4.3.1.8 Manure applied to soils'!$P$85</f>
        <v>12637.296364050231</v>
      </c>
      <c r="G20" s="57" t="s">
        <v>130</v>
      </c>
      <c r="H20" s="1" t="s">
        <v>388</v>
      </c>
      <c r="I20" s="1" t="s">
        <v>165</v>
      </c>
      <c r="J20" s="1"/>
      <c r="K20" s="24"/>
    </row>
    <row r="21" spans="1:11" ht="20.100000000000001" customHeight="1" x14ac:dyDescent="0.25">
      <c r="A21" s="18" t="s">
        <v>4</v>
      </c>
      <c r="C21" s="24"/>
      <c r="D21" s="1" t="s">
        <v>163</v>
      </c>
      <c r="E21" s="121">
        <f>'4.3.1.8 Manure applied to soils'!$E$148</f>
        <v>4212.4321213500762</v>
      </c>
      <c r="F21" s="121">
        <f>'4.3.1.8 Manure applied to soils'!$P$148</f>
        <v>4212.4321213500762</v>
      </c>
      <c r="G21" s="57" t="s">
        <v>130</v>
      </c>
      <c r="H21" s="1" t="s">
        <v>388</v>
      </c>
      <c r="I21" s="1" t="s">
        <v>165</v>
      </c>
      <c r="J21" s="1"/>
      <c r="K21" s="24"/>
    </row>
    <row r="22" spans="1:11" ht="20.100000000000001" customHeight="1" x14ac:dyDescent="0.25">
      <c r="A22" s="17" t="str">
        <f>HYPERLINK("#'Constants - Dairy'!A1", "Constants - Dairy")</f>
        <v>Constants - Dairy</v>
      </c>
      <c r="C22" s="24"/>
      <c r="D22" s="1" t="s">
        <v>158</v>
      </c>
      <c r="E22" s="121">
        <f>'4.3.1.8 Manure applied to soils'!$E$115</f>
        <v>4212.4321213500762</v>
      </c>
      <c r="F22" s="121">
        <f>'4.3.1.8 Manure applied to soils'!$P$115</f>
        <v>4212.4321213500762</v>
      </c>
      <c r="G22" s="57" t="s">
        <v>130</v>
      </c>
      <c r="H22" s="1" t="s">
        <v>159</v>
      </c>
      <c r="I22" s="1" t="s">
        <v>164</v>
      </c>
      <c r="J22" s="24"/>
      <c r="K22" s="24"/>
    </row>
    <row r="23" spans="1:11" ht="20.100000000000001" customHeight="1" x14ac:dyDescent="0.25">
      <c r="A23" s="17" t="str">
        <f>HYPERLINK("#'Constants - Livestock'!A1", "Constants - Livestock")</f>
        <v>Constants - Livestock</v>
      </c>
      <c r="C23" s="24"/>
      <c r="D23" s="1"/>
      <c r="E23" s="1"/>
      <c r="F23" s="1"/>
      <c r="G23" s="1"/>
      <c r="H23" s="1"/>
      <c r="I23" s="24"/>
      <c r="J23" s="24"/>
      <c r="K23" s="24"/>
    </row>
    <row r="24" spans="1:11" ht="20.100000000000001" customHeight="1" x14ac:dyDescent="0.25">
      <c r="A24" s="17" t="str">
        <f>HYPERLINK("#'Constants - Common'!A1", "Constants - Common")</f>
        <v>Constants - Common</v>
      </c>
      <c r="C24" s="24"/>
      <c r="D24" s="1"/>
      <c r="E24" s="1"/>
      <c r="F24" s="1"/>
      <c r="G24" s="1"/>
      <c r="H24" s="26"/>
      <c r="I24" s="24"/>
      <c r="J24" s="24"/>
      <c r="K24" s="24"/>
    </row>
    <row r="25" spans="1:11" ht="20.100000000000001" customHeight="1" x14ac:dyDescent="0.3">
      <c r="A25" s="17" t="str">
        <f>HYPERLINK("#'Acknowledgements'!A1", "Acknowledgements")</f>
        <v>Acknowledgements</v>
      </c>
      <c r="C25" s="24"/>
      <c r="D25" s="1"/>
      <c r="E25" s="1"/>
      <c r="F25" s="1"/>
      <c r="G25" s="1"/>
      <c r="H25" s="29"/>
      <c r="I25" s="24"/>
      <c r="J25" s="24"/>
      <c r="K25" s="24"/>
    </row>
    <row r="26" spans="1:11" ht="20.100000000000001" customHeight="1" x14ac:dyDescent="0.25">
      <c r="C26" s="24"/>
      <c r="D26" s="1"/>
      <c r="E26" s="1"/>
      <c r="F26" s="1"/>
      <c r="G26" s="1"/>
      <c r="H26" s="1"/>
      <c r="I26" s="1"/>
      <c r="J26" s="1"/>
      <c r="K26" s="24"/>
    </row>
    <row r="27" spans="1:11" ht="20.100000000000001" customHeight="1" x14ac:dyDescent="0.25">
      <c r="C27" s="24"/>
      <c r="D27" s="1"/>
      <c r="E27" s="1"/>
      <c r="F27" s="1"/>
      <c r="G27" s="1"/>
      <c r="H27" s="1"/>
      <c r="I27" s="1"/>
      <c r="J27" s="24"/>
      <c r="K27" s="24"/>
    </row>
    <row r="28" spans="1:11" ht="20.100000000000001" customHeight="1" x14ac:dyDescent="0.25">
      <c r="C28" s="24"/>
      <c r="D28" s="1"/>
      <c r="E28" s="1"/>
      <c r="F28" s="1"/>
      <c r="G28" s="1"/>
      <c r="H28" s="1"/>
      <c r="I28" s="1"/>
      <c r="J28" s="24"/>
      <c r="K28" s="24"/>
    </row>
    <row r="29" spans="1:11" ht="20.100000000000001" customHeight="1" x14ac:dyDescent="0.25">
      <c r="C29" s="24"/>
      <c r="D29" s="1"/>
      <c r="E29" s="1"/>
      <c r="F29" s="1"/>
      <c r="G29" s="1"/>
      <c r="H29" s="1"/>
      <c r="I29" s="1"/>
      <c r="J29" s="24"/>
      <c r="K29" s="24"/>
    </row>
    <row r="30" spans="1:11" ht="20.100000000000001" customHeight="1" x14ac:dyDescent="0.25">
      <c r="C30" s="24"/>
      <c r="D30" s="1"/>
      <c r="E30" s="1"/>
      <c r="F30" s="1"/>
      <c r="G30" s="1"/>
      <c r="H30" s="1"/>
      <c r="I30" s="1"/>
      <c r="J30" s="24"/>
      <c r="K30" s="24"/>
    </row>
    <row r="31" spans="1:11" ht="20.100000000000001" customHeight="1" x14ac:dyDescent="0.25">
      <c r="C31" s="24"/>
      <c r="D31" s="1"/>
      <c r="E31" s="1"/>
      <c r="F31" s="1"/>
      <c r="G31" s="1"/>
      <c r="H31" s="1"/>
      <c r="I31" s="1"/>
      <c r="J31" s="24"/>
      <c r="K31" s="24"/>
    </row>
    <row r="32" spans="1:11" ht="20.100000000000001" customHeight="1" x14ac:dyDescent="0.25">
      <c r="C32" s="24"/>
      <c r="D32" s="1"/>
      <c r="E32" s="1"/>
      <c r="F32" s="1"/>
      <c r="G32" s="1"/>
      <c r="H32" s="1"/>
      <c r="I32" s="1"/>
      <c r="J32" s="24"/>
      <c r="K32" s="24"/>
    </row>
    <row r="33" spans="3:11" ht="20.100000000000001" customHeight="1" x14ac:dyDescent="0.25">
      <c r="C33" s="24"/>
      <c r="D33" s="1"/>
      <c r="E33" s="1"/>
      <c r="F33" s="1"/>
      <c r="G33" s="1"/>
      <c r="H33" s="1"/>
      <c r="I33" s="1"/>
      <c r="J33" s="24"/>
      <c r="K33" s="24"/>
    </row>
    <row r="34" spans="3:11" ht="20.100000000000001" customHeight="1" x14ac:dyDescent="0.25">
      <c r="C34" s="24"/>
      <c r="D34" s="1"/>
      <c r="E34" s="1"/>
      <c r="F34" s="1"/>
      <c r="G34" s="1"/>
      <c r="H34" s="1"/>
      <c r="I34" s="24"/>
      <c r="J34" s="24"/>
      <c r="K34" s="24"/>
    </row>
    <row r="35" spans="3:11" ht="20.100000000000001" customHeight="1" x14ac:dyDescent="0.25">
      <c r="C35" s="24"/>
      <c r="D35" s="1"/>
      <c r="E35" s="1"/>
      <c r="F35" s="1"/>
      <c r="G35" s="1"/>
      <c r="H35" s="1"/>
      <c r="I35" s="24"/>
      <c r="J35" s="24"/>
      <c r="K35" s="24"/>
    </row>
    <row r="36" spans="3:11" ht="20.100000000000001" customHeight="1" x14ac:dyDescent="0.25">
      <c r="C36" s="24"/>
      <c r="D36" s="1"/>
      <c r="E36" s="1"/>
      <c r="F36" s="1"/>
      <c r="G36" s="1"/>
      <c r="H36" s="1"/>
      <c r="I36" s="24"/>
      <c r="J36" s="24"/>
      <c r="K36" s="24"/>
    </row>
    <row r="37" spans="3:11" ht="20.100000000000001" customHeight="1" x14ac:dyDescent="0.25">
      <c r="C37" s="24"/>
      <c r="D37" s="1"/>
      <c r="E37" s="1"/>
      <c r="F37" s="1"/>
      <c r="G37" s="1"/>
      <c r="H37" s="1"/>
      <c r="I37" s="24"/>
      <c r="J37" s="24"/>
      <c r="K37" s="24"/>
    </row>
    <row r="38" spans="3:11" ht="20.100000000000001" customHeight="1" x14ac:dyDescent="0.25">
      <c r="C38" s="24"/>
      <c r="D38" s="1"/>
      <c r="E38" s="1"/>
      <c r="F38" s="1"/>
      <c r="G38" s="1"/>
      <c r="H38" s="1"/>
      <c r="I38" s="116"/>
      <c r="J38" s="116"/>
      <c r="K38" s="24"/>
    </row>
    <row r="39" spans="3:11" ht="20.100000000000001" customHeight="1" x14ac:dyDescent="0.25">
      <c r="C39" s="24"/>
      <c r="D39" s="1"/>
      <c r="E39" s="1"/>
      <c r="F39" s="1"/>
      <c r="G39" s="1"/>
      <c r="H39" s="1"/>
      <c r="I39" s="116"/>
      <c r="J39" s="116"/>
      <c r="K39" s="24"/>
    </row>
    <row r="40" spans="3:11" ht="20.100000000000001" customHeight="1" x14ac:dyDescent="0.25">
      <c r="C40" s="24"/>
      <c r="D40" s="1"/>
      <c r="E40" s="1"/>
      <c r="F40" s="1"/>
      <c r="G40" s="1"/>
      <c r="H40" s="1"/>
      <c r="I40" s="116"/>
      <c r="J40" s="116"/>
      <c r="K40" s="24"/>
    </row>
    <row r="41" spans="3:11" ht="20.100000000000001" customHeight="1" x14ac:dyDescent="0.25">
      <c r="C41" s="24"/>
      <c r="D41" s="1"/>
      <c r="E41" s="1"/>
      <c r="F41" s="1"/>
      <c r="G41" s="1"/>
      <c r="H41" s="1"/>
      <c r="I41" s="116"/>
      <c r="J41" s="116"/>
      <c r="K41" s="24"/>
    </row>
    <row r="42" spans="3:11" ht="20.100000000000001" customHeight="1" x14ac:dyDescent="0.25">
      <c r="C42" s="24"/>
      <c r="D42" s="1"/>
      <c r="E42" s="1"/>
      <c r="F42" s="1"/>
      <c r="G42" s="1"/>
      <c r="H42" s="1"/>
      <c r="I42" s="116"/>
      <c r="J42" s="116"/>
      <c r="K42" s="24"/>
    </row>
    <row r="43" spans="3:11" ht="20.100000000000001" customHeight="1" x14ac:dyDescent="0.25">
      <c r="C43" s="24"/>
      <c r="D43" s="1"/>
      <c r="E43" s="1"/>
      <c r="F43" s="1"/>
      <c r="G43" s="1"/>
      <c r="H43" s="1"/>
      <c r="I43" s="116"/>
      <c r="J43" s="116"/>
      <c r="K43" s="24"/>
    </row>
    <row r="44" spans="3:11" ht="20.100000000000001" customHeight="1" x14ac:dyDescent="0.25">
      <c r="C44" s="24"/>
      <c r="D44" s="1"/>
      <c r="E44" s="1"/>
      <c r="F44" s="1"/>
      <c r="G44" s="1"/>
      <c r="H44" s="1"/>
      <c r="I44" s="116"/>
      <c r="J44" s="116"/>
      <c r="K44" s="24"/>
    </row>
    <row r="45" spans="3:11" ht="20.100000000000001" customHeight="1" x14ac:dyDescent="0.25">
      <c r="C45" s="24"/>
      <c r="D45" s="1"/>
      <c r="E45" s="1"/>
      <c r="F45" s="1"/>
      <c r="G45" s="1"/>
      <c r="H45" s="1"/>
      <c r="I45" s="116"/>
      <c r="J45" s="116"/>
      <c r="K45" s="24"/>
    </row>
    <row r="46" spans="3:11" ht="20.100000000000001" customHeight="1" x14ac:dyDescent="0.25">
      <c r="C46" s="24"/>
      <c r="D46" s="1"/>
      <c r="E46" s="1"/>
      <c r="F46" s="1"/>
      <c r="G46" s="1"/>
      <c r="H46" s="1"/>
      <c r="I46" s="116"/>
      <c r="J46" s="116"/>
      <c r="K46" s="24"/>
    </row>
    <row r="47" spans="3:11" ht="20.100000000000001" customHeight="1" x14ac:dyDescent="0.25">
      <c r="C47" s="24"/>
      <c r="D47" s="1"/>
      <c r="E47" s="1"/>
      <c r="F47" s="1"/>
      <c r="G47" s="1"/>
      <c r="H47" s="1"/>
      <c r="I47" s="116"/>
      <c r="J47" s="116"/>
      <c r="K47" s="24"/>
    </row>
    <row r="48" spans="3:11" ht="20.100000000000001" customHeight="1" x14ac:dyDescent="0.25">
      <c r="C48" s="24"/>
      <c r="D48" s="1"/>
      <c r="E48" s="1"/>
      <c r="F48" s="1"/>
      <c r="G48" s="1"/>
      <c r="H48" s="1"/>
      <c r="I48" s="116"/>
      <c r="J48" s="116"/>
      <c r="K48" s="24"/>
    </row>
    <row r="49" spans="3:11" ht="20.100000000000001" customHeight="1" x14ac:dyDescent="0.25">
      <c r="C49" s="24"/>
      <c r="D49" s="1"/>
      <c r="E49" s="1"/>
      <c r="F49" s="1"/>
      <c r="G49" s="1"/>
      <c r="H49" s="116"/>
      <c r="I49" s="116"/>
      <c r="J49" s="116"/>
      <c r="K49" s="24"/>
    </row>
    <row r="50" spans="3:11" ht="20.100000000000001" customHeight="1" x14ac:dyDescent="0.25">
      <c r="C50" s="24"/>
      <c r="D50" s="1"/>
      <c r="E50" s="1"/>
      <c r="F50" s="1"/>
      <c r="G50" s="1"/>
      <c r="H50" s="116"/>
      <c r="I50" s="116"/>
      <c r="J50" s="116"/>
      <c r="K50" s="24"/>
    </row>
    <row r="51" spans="3:11" ht="20.100000000000001" customHeight="1" x14ac:dyDescent="0.25">
      <c r="C51" s="24"/>
      <c r="D51" s="1"/>
      <c r="E51" s="1"/>
      <c r="F51" s="1"/>
      <c r="G51" s="1"/>
      <c r="H51" s="116"/>
      <c r="I51" s="116"/>
      <c r="J51" s="116"/>
      <c r="K51" s="24"/>
    </row>
    <row r="52" spans="3:11" ht="20.100000000000001" customHeight="1" x14ac:dyDescent="0.25">
      <c r="C52" s="24"/>
      <c r="D52" s="1"/>
      <c r="E52" s="1"/>
      <c r="F52" s="1"/>
      <c r="G52" s="1"/>
      <c r="H52" s="116"/>
      <c r="I52" s="116"/>
      <c r="J52" s="116"/>
      <c r="K52" s="24"/>
    </row>
    <row r="53" spans="3:11" ht="20.100000000000001" customHeight="1" x14ac:dyDescent="0.25">
      <c r="C53" s="24"/>
      <c r="D53" s="1"/>
      <c r="E53" s="1"/>
      <c r="F53" s="1"/>
      <c r="G53" s="1"/>
      <c r="H53" s="116"/>
      <c r="I53" s="116"/>
      <c r="J53" s="116"/>
      <c r="K53" s="24"/>
    </row>
    <row r="54" spans="3:11" ht="20.100000000000001" customHeight="1" x14ac:dyDescent="0.25">
      <c r="C54" s="24"/>
      <c r="D54" s="1"/>
      <c r="E54" s="1"/>
      <c r="F54" s="1"/>
      <c r="G54" s="1"/>
      <c r="H54" s="24"/>
      <c r="I54" s="24"/>
      <c r="J54" s="24"/>
      <c r="K54" s="24"/>
    </row>
    <row r="55" spans="3:11" ht="20.100000000000001" customHeight="1" x14ac:dyDescent="0.25">
      <c r="C55" s="24"/>
      <c r="D55" s="1"/>
      <c r="E55" s="1"/>
      <c r="F55" s="1"/>
      <c r="G55" s="1"/>
      <c r="H55" s="24"/>
      <c r="I55" s="24"/>
      <c r="J55" s="24"/>
      <c r="K55" s="24"/>
    </row>
    <row r="56" spans="3:11" ht="20.100000000000001" customHeight="1" x14ac:dyDescent="0.25">
      <c r="C56" s="24"/>
      <c r="D56" s="1"/>
      <c r="E56" s="1"/>
      <c r="F56" s="1"/>
      <c r="G56" s="1"/>
      <c r="H56" s="24"/>
      <c r="I56" s="24"/>
      <c r="J56" s="24"/>
      <c r="K56" s="24"/>
    </row>
    <row r="57" spans="3:11" ht="20.100000000000001" customHeight="1" x14ac:dyDescent="0.25">
      <c r="C57" s="24"/>
      <c r="D57" s="1"/>
      <c r="E57" s="1"/>
      <c r="F57" s="1"/>
      <c r="G57" s="1"/>
      <c r="H57" s="24"/>
      <c r="I57" s="24"/>
      <c r="J57" s="24"/>
      <c r="K57" s="24"/>
    </row>
    <row r="58" spans="3:11" ht="20.100000000000001" customHeight="1" x14ac:dyDescent="0.25">
      <c r="C58" s="24"/>
      <c r="D58" s="1"/>
      <c r="E58" s="32"/>
      <c r="F58" s="30"/>
      <c r="G58" s="24"/>
      <c r="H58" s="24"/>
      <c r="I58" s="24"/>
      <c r="J58" s="24"/>
      <c r="K58" s="24"/>
    </row>
    <row r="59" spans="3:11" ht="20.100000000000001" customHeight="1" x14ac:dyDescent="0.25">
      <c r="C59" s="24"/>
      <c r="D59" s="1"/>
      <c r="E59" s="1"/>
      <c r="F59" s="1"/>
      <c r="G59" s="1"/>
      <c r="H59" s="1"/>
      <c r="I59" s="1"/>
      <c r="J59" s="1"/>
      <c r="K59" s="24"/>
    </row>
    <row r="60" spans="3:11" ht="20.100000000000001" customHeight="1" x14ac:dyDescent="0.25">
      <c r="C60" s="24"/>
      <c r="D60" s="1"/>
      <c r="E60" s="1"/>
      <c r="F60" s="1"/>
      <c r="G60" s="1"/>
      <c r="H60" s="1"/>
      <c r="I60" s="1"/>
      <c r="J60" s="1"/>
      <c r="K60" s="24"/>
    </row>
    <row r="61" spans="3:11" ht="20.100000000000001" customHeight="1" x14ac:dyDescent="0.25">
      <c r="C61" s="24"/>
      <c r="D61" s="1"/>
      <c r="E61" s="1"/>
      <c r="F61" s="1"/>
      <c r="G61" s="1"/>
      <c r="H61" s="1"/>
      <c r="I61" s="1"/>
      <c r="J61" s="1"/>
      <c r="K61" s="24"/>
    </row>
    <row r="62" spans="3:11" ht="20.100000000000001" customHeight="1" x14ac:dyDescent="0.25">
      <c r="C62" s="24"/>
      <c r="D62" s="1"/>
      <c r="E62" s="1"/>
      <c r="F62" s="1"/>
      <c r="G62" s="1"/>
      <c r="H62" s="1"/>
      <c r="I62" s="1"/>
      <c r="J62" s="1"/>
      <c r="K62" s="24"/>
    </row>
    <row r="63" spans="3:11" ht="20.100000000000001" customHeight="1" x14ac:dyDescent="0.25">
      <c r="C63" s="24"/>
      <c r="D63" s="1"/>
      <c r="E63" s="1"/>
      <c r="F63" s="1"/>
      <c r="G63" s="1"/>
      <c r="H63" s="1"/>
      <c r="I63" s="1"/>
      <c r="J63" s="1"/>
      <c r="K63" s="24"/>
    </row>
    <row r="64" spans="3:11" ht="20.100000000000001" customHeight="1" x14ac:dyDescent="0.25">
      <c r="C64" s="24"/>
      <c r="D64" s="1"/>
      <c r="E64" s="1"/>
      <c r="F64" s="1"/>
      <c r="G64" s="1"/>
      <c r="H64" s="1"/>
      <c r="I64" s="1"/>
      <c r="J64" s="1"/>
      <c r="K64" s="24"/>
    </row>
    <row r="65" spans="3:11" ht="20.100000000000001" customHeight="1" x14ac:dyDescent="0.25">
      <c r="C65" s="24"/>
      <c r="D65" s="1"/>
      <c r="E65" s="1"/>
      <c r="F65" s="1"/>
      <c r="G65" s="1"/>
      <c r="H65" s="1"/>
      <c r="I65" s="1"/>
      <c r="J65" s="1"/>
      <c r="K65" s="24"/>
    </row>
    <row r="66" spans="3:11" ht="20.100000000000001" customHeight="1" x14ac:dyDescent="0.25">
      <c r="C66" s="24"/>
      <c r="D66" s="1"/>
      <c r="E66" s="1"/>
      <c r="F66" s="1"/>
      <c r="G66" s="1"/>
      <c r="H66" s="1"/>
      <c r="I66" s="1"/>
      <c r="J66" s="1"/>
      <c r="K66" s="24"/>
    </row>
    <row r="67" spans="3:11" ht="20.100000000000001" customHeight="1" x14ac:dyDescent="0.25">
      <c r="C67" s="24"/>
      <c r="D67" s="1"/>
      <c r="E67" s="1"/>
      <c r="F67" s="1"/>
      <c r="G67" s="1"/>
      <c r="H67" s="1"/>
      <c r="I67" s="1"/>
      <c r="J67" s="1"/>
      <c r="K67" s="24"/>
    </row>
    <row r="68" spans="3:11" ht="20.100000000000001" customHeight="1" x14ac:dyDescent="0.25">
      <c r="C68" s="24"/>
      <c r="D68" s="1"/>
      <c r="E68" s="1"/>
      <c r="F68" s="1"/>
      <c r="G68" s="1"/>
      <c r="H68" s="1"/>
      <c r="I68" s="1"/>
      <c r="J68" s="1"/>
      <c r="K68" s="24"/>
    </row>
    <row r="69" spans="3:11" ht="20.100000000000001" customHeight="1" x14ac:dyDescent="0.25">
      <c r="C69" s="24"/>
      <c r="D69" s="1"/>
      <c r="E69" s="1"/>
      <c r="F69" s="1"/>
      <c r="G69" s="1"/>
      <c r="H69" s="1"/>
      <c r="I69" s="1"/>
      <c r="J69" s="1"/>
      <c r="K69" s="24"/>
    </row>
    <row r="70" spans="3:11" ht="20.100000000000001" customHeight="1" x14ac:dyDescent="0.25">
      <c r="C70" s="24"/>
      <c r="D70" s="1"/>
      <c r="E70" s="1"/>
      <c r="F70" s="1"/>
      <c r="G70" s="1"/>
      <c r="H70" s="1"/>
      <c r="I70" s="1"/>
      <c r="J70" s="1"/>
      <c r="K70" s="24"/>
    </row>
    <row r="71" spans="3:11" ht="20.100000000000001" customHeight="1" x14ac:dyDescent="0.25">
      <c r="C71" s="24"/>
      <c r="D71" s="1"/>
      <c r="E71" s="1"/>
      <c r="F71" s="1"/>
      <c r="G71" s="1"/>
      <c r="H71" s="1"/>
      <c r="I71" s="1"/>
      <c r="J71" s="1"/>
      <c r="K71" s="24"/>
    </row>
    <row r="72" spans="3:11" ht="20.100000000000001" customHeight="1" x14ac:dyDescent="0.25">
      <c r="C72" s="24"/>
      <c r="D72" s="1"/>
      <c r="E72" s="1"/>
      <c r="F72" s="1"/>
      <c r="G72" s="1"/>
      <c r="H72" s="1"/>
      <c r="I72" s="1"/>
      <c r="J72" s="1"/>
      <c r="K72" s="24"/>
    </row>
    <row r="73" spans="3:11" ht="20.100000000000001" customHeight="1" x14ac:dyDescent="0.25">
      <c r="C73" s="24"/>
      <c r="D73" s="1"/>
      <c r="E73" s="1"/>
      <c r="F73" s="1"/>
      <c r="G73" s="1"/>
      <c r="H73" s="1"/>
      <c r="I73" s="1"/>
      <c r="J73" s="1"/>
      <c r="K73" s="24"/>
    </row>
    <row r="74" spans="3:11" ht="20.100000000000001" customHeight="1" x14ac:dyDescent="0.25">
      <c r="C74" s="24"/>
      <c r="D74" s="1"/>
      <c r="E74" s="1"/>
      <c r="F74" s="1"/>
      <c r="G74" s="1"/>
      <c r="H74" s="1"/>
      <c r="I74" s="1"/>
      <c r="J74" s="1"/>
      <c r="K74" s="24"/>
    </row>
    <row r="75" spans="3:11" ht="20.100000000000001" customHeight="1" x14ac:dyDescent="0.25">
      <c r="C75" s="24"/>
      <c r="D75" s="1"/>
      <c r="E75" s="1"/>
      <c r="F75" s="1"/>
      <c r="G75" s="1"/>
      <c r="H75" s="1"/>
      <c r="I75" s="1"/>
      <c r="J75" s="1"/>
      <c r="K75" s="24"/>
    </row>
    <row r="76" spans="3:11" ht="15.75" x14ac:dyDescent="0.25">
      <c r="C76" s="24"/>
      <c r="D76" s="1"/>
      <c r="E76" s="1"/>
      <c r="F76" s="1"/>
      <c r="G76" s="1"/>
      <c r="H76" s="1"/>
      <c r="I76" s="1"/>
      <c r="J76" s="1"/>
      <c r="K76" s="24"/>
    </row>
    <row r="77" spans="3:11" ht="15.75" x14ac:dyDescent="0.25">
      <c r="C77" s="24"/>
      <c r="D77" s="1"/>
      <c r="E77" s="1"/>
      <c r="F77" s="1"/>
      <c r="G77" s="1"/>
      <c r="H77" s="1"/>
      <c r="I77" s="1"/>
      <c r="J77" s="1"/>
      <c r="K77" s="24"/>
    </row>
    <row r="78" spans="3:11" ht="15.75" x14ac:dyDescent="0.25">
      <c r="C78" s="24"/>
      <c r="D78" s="1"/>
      <c r="E78" s="1"/>
      <c r="F78" s="1"/>
      <c r="G78" s="1"/>
      <c r="H78" s="1"/>
      <c r="I78" s="1"/>
      <c r="J78" s="1"/>
      <c r="K78" s="24"/>
    </row>
    <row r="79" spans="3:11" ht="15.75" x14ac:dyDescent="0.25">
      <c r="C79" s="24"/>
      <c r="D79" s="1"/>
      <c r="E79" s="1"/>
      <c r="F79" s="1"/>
      <c r="G79" s="1"/>
      <c r="H79" s="1"/>
      <c r="I79" s="1"/>
      <c r="J79" s="1"/>
      <c r="K79" s="24"/>
    </row>
    <row r="80" spans="3:11" ht="15.75" x14ac:dyDescent="0.25">
      <c r="C80" s="24"/>
      <c r="D80" s="1"/>
      <c r="E80" s="1"/>
      <c r="F80" s="1"/>
      <c r="G80" s="1"/>
      <c r="H80" s="1"/>
      <c r="I80" s="1"/>
      <c r="J80" s="1"/>
      <c r="K80" s="24"/>
    </row>
    <row r="81" spans="3:11" ht="15.75" x14ac:dyDescent="0.25">
      <c r="C81" s="24"/>
      <c r="D81" s="1"/>
      <c r="E81" s="1"/>
      <c r="F81" s="1"/>
      <c r="G81" s="1"/>
      <c r="H81" s="1"/>
      <c r="I81" s="1"/>
      <c r="J81" s="1"/>
      <c r="K81" s="24"/>
    </row>
    <row r="82" spans="3:11" ht="15.75" x14ac:dyDescent="0.25">
      <c r="C82" s="24"/>
      <c r="D82" s="1"/>
      <c r="E82" s="1"/>
      <c r="F82" s="1"/>
      <c r="G82" s="1"/>
      <c r="H82" s="1"/>
      <c r="I82" s="1"/>
      <c r="J82" s="1"/>
      <c r="K82" s="24"/>
    </row>
    <row r="83" spans="3:11" ht="15.75" x14ac:dyDescent="0.25">
      <c r="C83" s="24"/>
      <c r="D83" s="1"/>
      <c r="E83" s="1"/>
      <c r="F83" s="1"/>
      <c r="G83" s="1"/>
      <c r="H83" s="1"/>
      <c r="I83" s="1"/>
      <c r="J83" s="1"/>
      <c r="K83" s="24"/>
    </row>
    <row r="84" spans="3:11" ht="15.75" x14ac:dyDescent="0.25">
      <c r="C84" s="24"/>
      <c r="D84" s="1"/>
      <c r="E84" s="1"/>
      <c r="F84" s="1"/>
      <c r="G84" s="1"/>
      <c r="H84" s="1"/>
      <c r="I84" s="1"/>
      <c r="J84" s="1"/>
      <c r="K84" s="24"/>
    </row>
    <row r="85" spans="3:11" ht="15.75" x14ac:dyDescent="0.25">
      <c r="C85" s="24"/>
      <c r="D85" s="1"/>
      <c r="E85" s="1"/>
      <c r="F85" s="1"/>
      <c r="G85" s="1"/>
      <c r="H85" s="1"/>
      <c r="I85" s="1"/>
      <c r="J85" s="1"/>
      <c r="K85" s="24"/>
    </row>
    <row r="86" spans="3:11" x14ac:dyDescent="0.25">
      <c r="C86" s="24"/>
      <c r="D86" s="24"/>
      <c r="E86" s="24"/>
      <c r="F86" s="24"/>
      <c r="G86" s="24"/>
      <c r="H86" s="24"/>
      <c r="I86" s="24"/>
      <c r="J86" s="24"/>
      <c r="K86" s="24"/>
    </row>
    <row r="87" spans="3:11" x14ac:dyDescent="0.25">
      <c r="C87" s="24"/>
      <c r="D87" s="24"/>
      <c r="E87" s="24"/>
      <c r="F87" s="24"/>
      <c r="G87" s="24"/>
      <c r="H87" s="24"/>
      <c r="I87" s="24"/>
      <c r="J87" s="24"/>
      <c r="K87" s="24"/>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15"/>
  <sheetViews>
    <sheetView showGridLines="0" zoomScaleNormal="100" workbookViewId="0">
      <selection activeCell="E28" sqref="E28"/>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71" t="e" vm="1">
        <v>#VALUE!</v>
      </c>
      <c r="C1" s="12" t="s">
        <v>91</v>
      </c>
    </row>
    <row r="2" spans="1:24" s="7" customFormat="1" ht="20.100000000000001" customHeight="1" x14ac:dyDescent="0.25">
      <c r="A2" s="9"/>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HYPERLINK("#'Overview'!A1", "Overview")</f>
        <v>Overview</v>
      </c>
      <c r="C4" s="73"/>
      <c r="D4" s="73"/>
      <c r="E4" s="73"/>
      <c r="F4" s="73"/>
      <c r="G4" s="73"/>
      <c r="H4" s="73"/>
      <c r="I4" s="73"/>
      <c r="J4" s="73"/>
      <c r="K4" s="73"/>
    </row>
    <row r="5" spans="1:24" ht="20.100000000000001" customHeight="1" x14ac:dyDescent="0.25">
      <c r="A5" s="17" t="str">
        <f>HYPERLINK("#'Results'!A1", "Results")</f>
        <v>Results</v>
      </c>
      <c r="D5" s="6" t="s">
        <v>14</v>
      </c>
      <c r="N5" s="43"/>
    </row>
    <row r="6" spans="1:24" ht="20.100000000000001" customHeight="1" x14ac:dyDescent="0.25">
      <c r="D6" s="14"/>
      <c r="N6" s="44"/>
    </row>
    <row r="7" spans="1:24" ht="20.100000000000001" customHeight="1" x14ac:dyDescent="0.25">
      <c r="A7" s="20" t="s">
        <v>3</v>
      </c>
      <c r="D7" s="1" t="s">
        <v>6</v>
      </c>
      <c r="E7" s="35" t="s">
        <v>473</v>
      </c>
      <c r="F7" s="2"/>
    </row>
    <row r="8" spans="1:24" ht="20.100000000000001" customHeight="1" x14ac:dyDescent="0.25">
      <c r="A8" s="21" t="str">
        <f>HYPERLINK("#'Input - Site'!A1", "Site")</f>
        <v>Site</v>
      </c>
      <c r="D8" s="10" t="s">
        <v>73</v>
      </c>
      <c r="E8" s="35" t="s">
        <v>474</v>
      </c>
    </row>
    <row r="9" spans="1:24" ht="20.100000000000001" customHeight="1" x14ac:dyDescent="0.25">
      <c r="A9" s="17" t="str">
        <f>HYPERLINK("#'Input - Dairy'!A1", "Dairy")</f>
        <v>Dairy</v>
      </c>
      <c r="N9" s="45"/>
    </row>
    <row r="10" spans="1:24" ht="20.100000000000001" customHeight="1" x14ac:dyDescent="0.25">
      <c r="A10" s="17"/>
      <c r="D10" s="98" t="s">
        <v>90</v>
      </c>
      <c r="E10" s="96"/>
      <c r="F10" s="99"/>
      <c r="G10" s="93"/>
      <c r="N10" s="45"/>
    </row>
    <row r="11" spans="1:24" ht="20.100000000000001" customHeight="1" x14ac:dyDescent="0.25">
      <c r="A11" s="19" t="s">
        <v>76</v>
      </c>
      <c r="N11" s="46"/>
    </row>
    <row r="12" spans="1:24" ht="20.100000000000001" customHeight="1" x14ac:dyDescent="0.25">
      <c r="A12" s="17" t="str">
        <f>HYPERLINK("#'4.3.1.1-2 Methane'!A1", "4.3.1.1-2 Methane")</f>
        <v>4.3.1.1-2 Methane</v>
      </c>
      <c r="D12" s="10" t="s">
        <v>96</v>
      </c>
      <c r="E12" s="67">
        <v>45658</v>
      </c>
      <c r="F12" s="2" t="s">
        <v>71</v>
      </c>
    </row>
    <row r="13" spans="1:24" ht="20.100000000000001" customHeight="1" x14ac:dyDescent="0.25">
      <c r="A13" s="17" t="str">
        <f>HYPERLINK("#'4.3.1.3-4 Direct N20'!A1", "4.3.1.3-4 Direct N2O")</f>
        <v>4.3.1.3-4 Direct N2O</v>
      </c>
      <c r="D13" s="10" t="s">
        <v>97</v>
      </c>
      <c r="E13" s="74">
        <f>DATE(YEAR(E12)+1,MONTH(E12),DAY(E12))-1</f>
        <v>46022</v>
      </c>
      <c r="F13" s="2" t="s">
        <v>16</v>
      </c>
      <c r="N13" s="40"/>
      <c r="O13" s="40"/>
    </row>
    <row r="14" spans="1:24" ht="20.100000000000001" customHeight="1" x14ac:dyDescent="0.25">
      <c r="A14" s="17" t="str">
        <f>HYPERLINK("#'4.3.1.5 Atmos Deposition'!A1", "4.3.1.5 Atmospheric deposition")</f>
        <v>4.3.1.5 Atmospheric deposition</v>
      </c>
      <c r="N14" s="40"/>
      <c r="O14" s="40"/>
    </row>
    <row r="15" spans="1:24" ht="20.100000000000001" customHeight="1" x14ac:dyDescent="0.25">
      <c r="A15" s="17" t="str">
        <f>HYPERLINK("#'4.3.1.6-7 Leaching and runoff'!A1", "4.3.1.6-7 Leaching and runoff")</f>
        <v>4.3.1.6-7 Leaching and runoff</v>
      </c>
      <c r="N15" s="40"/>
      <c r="O15" s="40"/>
    </row>
    <row r="16" spans="1:24" ht="20.100000000000001" customHeight="1" x14ac:dyDescent="0.25">
      <c r="A16" s="17" t="str">
        <f>HYPERLINK("#'4.3.1.8 Manure applied to soils'!A1", "4.3.1.8 Manure applied to soils")</f>
        <v>4.3.1.8 Manure applied to soils</v>
      </c>
      <c r="D16" s="6" t="s">
        <v>13</v>
      </c>
      <c r="N16" s="40"/>
      <c r="O16" s="40"/>
    </row>
    <row r="17" spans="1:25" ht="20.100000000000001" customHeight="1" x14ac:dyDescent="0.25">
      <c r="A17" s="17" t="str">
        <f>HYPERLINK("#'4.3.1.9 Soil direct N2O'!A1", "4.3.1.9 Soil direct N2O")</f>
        <v>4.3.1.9 Soil direct N2O</v>
      </c>
    </row>
    <row r="18" spans="1:25" ht="20.100000000000001" customHeight="1" x14ac:dyDescent="0.25">
      <c r="A18" s="17" t="str">
        <f>HYPERLINK("#'4.3.1.10-11 Soil Atmos Dep'!A1", "4.3.1.10-11 Soil atm. deposition")</f>
        <v>4.3.1.10-11 Soil atm. deposition</v>
      </c>
      <c r="D18" s="100" t="s">
        <v>15</v>
      </c>
      <c r="E18" s="95"/>
      <c r="F18" s="95"/>
      <c r="G18" s="91"/>
    </row>
    <row r="19" spans="1:25" ht="20.100000000000001" customHeight="1" x14ac:dyDescent="0.25">
      <c r="A19" s="17" t="str">
        <f>HYPERLINK("#'4.3.1.12-13 Soil leach runoff'!A1", "4.3.1.12-13 Soil leach &amp; runoff")</f>
        <v>4.3.1.12-13 Soil leach &amp; runoff</v>
      </c>
      <c r="D19" s="97" t="s">
        <v>72</v>
      </c>
      <c r="E19" s="94"/>
      <c r="F19" s="94"/>
      <c r="G19" s="92"/>
      <c r="N19" s="43"/>
    </row>
    <row r="20" spans="1:25" ht="20.100000000000001" customHeight="1" x14ac:dyDescent="0.25">
      <c r="A20" s="17"/>
      <c r="D20" s="1"/>
      <c r="E20" s="33"/>
      <c r="F20" s="2"/>
      <c r="N20" s="44"/>
    </row>
    <row r="21" spans="1:25" ht="20.100000000000001" customHeight="1" x14ac:dyDescent="0.25">
      <c r="A21" s="18" t="s">
        <v>4</v>
      </c>
      <c r="D21" s="1" t="s">
        <v>7</v>
      </c>
      <c r="E21" s="42" t="s">
        <v>472</v>
      </c>
      <c r="F21" s="2" t="s">
        <v>10</v>
      </c>
    </row>
    <row r="22" spans="1:25" ht="20.100000000000001" customHeight="1" x14ac:dyDescent="0.25">
      <c r="A22" s="17" t="str">
        <f>HYPERLINK("#'Constants - Dairy'!A1", "Constants - Dairy")</f>
        <v>Constants - Dairy</v>
      </c>
      <c r="D22" s="1" t="s">
        <v>26</v>
      </c>
      <c r="E22" s="42" t="s">
        <v>35</v>
      </c>
      <c r="F22" s="2" t="s">
        <v>10</v>
      </c>
      <c r="G22" s="1"/>
    </row>
    <row r="23" spans="1:25" ht="20.100000000000001" customHeight="1" x14ac:dyDescent="0.25">
      <c r="A23" s="17" t="str">
        <f>HYPERLINK("#'Constants - Livestock'!A1", "Constants - Livestock")</f>
        <v>Constants - Livestock</v>
      </c>
      <c r="D23" s="1" t="s">
        <v>8</v>
      </c>
      <c r="E23" s="42" t="s">
        <v>95</v>
      </c>
      <c r="F23" s="2" t="s">
        <v>10</v>
      </c>
    </row>
    <row r="24" spans="1:25" ht="20.100000000000001" customHeight="1" x14ac:dyDescent="0.25">
      <c r="A24" s="17" t="str">
        <f>HYPERLINK("#'Constants - Common'!A1", "Constants - Common")</f>
        <v>Constants - Common</v>
      </c>
      <c r="D24" s="1" t="s">
        <v>40</v>
      </c>
      <c r="E24" s="35">
        <v>307.7</v>
      </c>
      <c r="F24" s="2" t="s">
        <v>54</v>
      </c>
    </row>
    <row r="25" spans="1:25" ht="20.100000000000001" customHeight="1" x14ac:dyDescent="0.25">
      <c r="A25" s="17" t="str">
        <f>HYPERLINK("#'Acknowledgements'!A1", "Acknowledgements")</f>
        <v>Acknowledgements</v>
      </c>
      <c r="D25" s="1" t="s">
        <v>62</v>
      </c>
      <c r="E25" s="35">
        <v>18</v>
      </c>
      <c r="F25" s="2" t="s">
        <v>11</v>
      </c>
      <c r="N25" s="44"/>
    </row>
    <row r="26" spans="1:25" ht="20.100000000000001" customHeight="1" x14ac:dyDescent="0.25">
      <c r="A26"/>
      <c r="D26" s="1" t="s">
        <v>63</v>
      </c>
      <c r="E26" s="35">
        <v>601</v>
      </c>
      <c r="F26" s="2" t="s">
        <v>12</v>
      </c>
    </row>
    <row r="27" spans="1:25" ht="20.100000000000001" customHeight="1" x14ac:dyDescent="0.25">
      <c r="A27"/>
      <c r="D27" s="10" t="s">
        <v>64</v>
      </c>
      <c r="E27" s="35">
        <v>1326</v>
      </c>
      <c r="F27" s="2" t="s">
        <v>12</v>
      </c>
    </row>
    <row r="28" spans="1:25" ht="20.100000000000001" customHeight="1" x14ac:dyDescent="0.25">
      <c r="A28"/>
      <c r="D28" s="1" t="s">
        <v>65</v>
      </c>
      <c r="E28" s="35">
        <v>7</v>
      </c>
      <c r="F28" s="2" t="s">
        <v>55</v>
      </c>
    </row>
    <row r="29" spans="1:25" ht="20.100000000000001" customHeight="1" x14ac:dyDescent="0.25">
      <c r="A29"/>
      <c r="D29" s="10" t="s">
        <v>61</v>
      </c>
      <c r="E29" s="55">
        <f>E26/E27</f>
        <v>0.45324283559577677</v>
      </c>
      <c r="F29" s="2"/>
    </row>
    <row r="30" spans="1:25" ht="20.100000000000001" customHeight="1" x14ac:dyDescent="0.25">
      <c r="A30"/>
      <c r="D30" s="10" t="s">
        <v>36</v>
      </c>
      <c r="E30" s="55" t="str">
        <f>Common_InputFunctions.Utility_LookupItemFromMinMax(E26,Table_SourceData_RainfallZones[Min rainfall],Table_SourceData_RainfallZones[Max rainfall],Table_SourceData_RainfallZones[Rainfall Zone])</f>
        <v>High rainfall</v>
      </c>
      <c r="G30" s="34"/>
      <c r="L30" s="52"/>
      <c r="M30" s="52"/>
      <c r="N30" s="52"/>
      <c r="O30" s="52"/>
      <c r="P30" s="52"/>
      <c r="Q30" s="52"/>
      <c r="R30" s="52"/>
      <c r="S30" s="52"/>
      <c r="T30" s="52"/>
      <c r="U30" s="52"/>
      <c r="V30" s="52"/>
      <c r="W30" s="52"/>
      <c r="X30" s="52"/>
      <c r="Y30" s="52"/>
    </row>
    <row r="31" spans="1:25" ht="20.100000000000001" customHeight="1" x14ac:dyDescent="0.25">
      <c r="A31"/>
      <c r="D31" s="1" t="s">
        <v>9</v>
      </c>
      <c r="E31" s="55" t="str">
        <f>Common_InputFunctions.Utility_GetClimateZone(E25,E26,E28,E24,E29,Table_SourceData_ClimateZones[Min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31" s="1"/>
      <c r="G31" s="33"/>
      <c r="L31" s="50"/>
      <c r="M31" s="50"/>
      <c r="N31" s="50"/>
      <c r="O31" s="50"/>
      <c r="P31" s="50"/>
      <c r="Q31" s="50"/>
      <c r="R31" s="50"/>
      <c r="S31" s="50"/>
      <c r="T31" s="50"/>
      <c r="U31" s="50"/>
      <c r="V31" s="50"/>
      <c r="W31" s="50"/>
      <c r="X31" s="50"/>
      <c r="Y31" s="50"/>
    </row>
    <row r="32" spans="1:25" ht="20.100000000000001" customHeight="1" x14ac:dyDescent="0.25">
      <c r="A32"/>
      <c r="D32" s="1" t="s">
        <v>92</v>
      </c>
      <c r="E32" s="55" t="str">
        <f>Common_InputFunctions.Utility_LookupValueInTable($E$31,Table_SourceData_WetDryZones[Climate zone],Table_SourceData_WetDryZones[Wet or Dry Zone])</f>
        <v>Dry climate zone</v>
      </c>
      <c r="F32" s="1"/>
      <c r="G32" s="33"/>
      <c r="L32" s="50"/>
      <c r="M32" s="50"/>
      <c r="N32" s="50"/>
      <c r="O32" s="50"/>
      <c r="P32" s="50"/>
      <c r="Q32" s="50"/>
      <c r="R32" s="50"/>
      <c r="S32" s="50"/>
      <c r="T32" s="50"/>
      <c r="U32" s="50"/>
      <c r="V32" s="50"/>
      <c r="W32" s="50"/>
      <c r="X32" s="50"/>
      <c r="Y32" s="50"/>
    </row>
    <row r="33" spans="1:25" ht="20.100000000000001" customHeight="1" x14ac:dyDescent="0.25">
      <c r="A33"/>
      <c r="D33" s="1" t="s">
        <v>53</v>
      </c>
      <c r="E33" s="55" t="str">
        <f>Common_InputFunctions.Utility_LookupItemFromMinMax(E25,Table_SourceData_TemperatureZones[Min MAT],Table_SourceData_TemperatureZones[Max MAT],Table_SourceData_TemperatureZones[Temperature Zone])</f>
        <v>Temperate</v>
      </c>
      <c r="G33" s="75"/>
      <c r="L33" s="50"/>
      <c r="M33" s="50"/>
      <c r="N33" s="50"/>
      <c r="O33" s="50"/>
      <c r="P33" s="50"/>
      <c r="Q33" s="50"/>
      <c r="R33" s="50"/>
      <c r="S33" s="50"/>
      <c r="T33" s="50"/>
      <c r="U33" s="50"/>
      <c r="V33" s="50"/>
      <c r="W33" s="50"/>
      <c r="X33" s="50"/>
      <c r="Y33" s="50"/>
    </row>
    <row r="34" spans="1:25" ht="20.100000000000001" customHeight="1" x14ac:dyDescent="0.25">
      <c r="A34"/>
      <c r="J34" s="64"/>
      <c r="K34" s="78"/>
      <c r="L34" s="50"/>
      <c r="M34" s="50"/>
      <c r="N34" s="50"/>
      <c r="O34" s="50"/>
      <c r="P34" s="50"/>
      <c r="Q34" s="50"/>
      <c r="R34" s="50"/>
      <c r="S34" s="50"/>
      <c r="T34" s="50"/>
      <c r="U34" s="50"/>
      <c r="V34" s="50"/>
      <c r="W34" s="50"/>
      <c r="X34" s="50"/>
      <c r="Y34" s="50"/>
    </row>
    <row r="35" spans="1:25" ht="20.100000000000001" customHeight="1" x14ac:dyDescent="0.25">
      <c r="A35"/>
      <c r="J35" s="64"/>
      <c r="K35" s="78"/>
      <c r="L35" s="50"/>
      <c r="M35" s="50"/>
      <c r="N35" s="50"/>
      <c r="O35" s="50"/>
      <c r="P35" s="50"/>
      <c r="Q35" s="50"/>
      <c r="R35" s="50"/>
      <c r="S35" s="50"/>
      <c r="T35" s="50"/>
      <c r="U35" s="50"/>
      <c r="V35" s="50"/>
      <c r="W35" s="50"/>
      <c r="X35" s="50"/>
      <c r="Y35" s="50"/>
    </row>
    <row r="36" spans="1:25" ht="20.100000000000001" customHeight="1" x14ac:dyDescent="0.25">
      <c r="A36"/>
      <c r="D36" s="76"/>
      <c r="E36" s="76"/>
      <c r="F36" s="77"/>
      <c r="G36" s="64"/>
      <c r="H36" s="64"/>
      <c r="I36" s="65"/>
      <c r="J36" s="64"/>
      <c r="K36" s="78"/>
      <c r="L36" s="50"/>
      <c r="M36" s="50"/>
      <c r="N36" s="50"/>
      <c r="O36" s="50"/>
      <c r="P36" s="50"/>
      <c r="Q36" s="50"/>
      <c r="R36" s="50"/>
      <c r="S36" s="50"/>
      <c r="T36" s="50"/>
      <c r="U36" s="50"/>
      <c r="V36" s="50"/>
      <c r="W36" s="50"/>
      <c r="X36" s="50"/>
      <c r="Y36" s="50"/>
    </row>
    <row r="37" spans="1:25" ht="20.100000000000001" customHeight="1" x14ac:dyDescent="0.25">
      <c r="A37"/>
      <c r="D37" s="76"/>
      <c r="E37" s="76"/>
      <c r="F37" s="77"/>
      <c r="G37" s="64"/>
      <c r="H37" s="64"/>
      <c r="I37" s="65"/>
      <c r="J37" s="64"/>
      <c r="K37" s="78"/>
      <c r="L37" s="50"/>
      <c r="M37" s="50"/>
      <c r="N37" s="50"/>
      <c r="O37" s="50"/>
      <c r="P37" s="50"/>
      <c r="Q37" s="50"/>
      <c r="R37" s="50"/>
      <c r="S37" s="50"/>
      <c r="T37" s="50"/>
      <c r="U37" s="50"/>
      <c r="V37" s="50"/>
      <c r="W37" s="50"/>
      <c r="X37" s="50"/>
      <c r="Y37" s="50"/>
    </row>
    <row r="38" spans="1:25" ht="20.100000000000001" customHeight="1" x14ac:dyDescent="0.25">
      <c r="A38"/>
      <c r="D38" s="76"/>
      <c r="E38" s="76"/>
      <c r="F38" s="77"/>
      <c r="G38" s="64"/>
      <c r="H38" s="64"/>
      <c r="I38" s="65"/>
      <c r="J38" s="64"/>
      <c r="K38" s="78"/>
      <c r="L38" s="50"/>
      <c r="M38" s="50"/>
      <c r="N38" s="50"/>
      <c r="O38" s="50"/>
      <c r="P38" s="50"/>
      <c r="Q38" s="50"/>
      <c r="R38" s="50"/>
      <c r="S38" s="50"/>
      <c r="T38" s="50"/>
      <c r="U38" s="50"/>
      <c r="V38" s="50"/>
      <c r="W38" s="50"/>
      <c r="X38" s="50"/>
      <c r="Y38" s="50"/>
    </row>
    <row r="39" spans="1:25" ht="20.100000000000001" customHeight="1" x14ac:dyDescent="0.25">
      <c r="A39"/>
      <c r="D39" s="76"/>
      <c r="E39" s="76"/>
      <c r="F39" s="77"/>
      <c r="G39" s="64"/>
      <c r="H39" s="64"/>
      <c r="I39" s="65"/>
      <c r="J39" s="64"/>
      <c r="K39" s="78"/>
      <c r="L39" s="50"/>
      <c r="M39" s="50"/>
      <c r="N39" s="50"/>
      <c r="O39" s="50"/>
      <c r="P39" s="50"/>
      <c r="Q39" s="50"/>
      <c r="R39" s="50"/>
      <c r="S39" s="50"/>
      <c r="T39" s="50"/>
      <c r="U39" s="50"/>
      <c r="V39" s="50"/>
      <c r="W39" s="50"/>
      <c r="X39" s="50"/>
      <c r="Y39" s="50"/>
    </row>
    <row r="40" spans="1:25" ht="20.100000000000001" customHeight="1" x14ac:dyDescent="0.25">
      <c r="A40"/>
      <c r="D40" s="79"/>
      <c r="E40" s="79"/>
      <c r="F40" s="79"/>
      <c r="G40" s="80"/>
      <c r="H40" s="81"/>
      <c r="I40" s="81"/>
      <c r="J40" s="81"/>
      <c r="K40" s="81"/>
      <c r="L40" s="53"/>
      <c r="M40" s="53"/>
      <c r="N40" s="53"/>
      <c r="O40" s="53"/>
      <c r="P40" s="53"/>
      <c r="Q40" s="53"/>
      <c r="R40" s="53"/>
      <c r="S40" s="53"/>
      <c r="T40" s="53"/>
      <c r="U40" s="53"/>
      <c r="V40" s="53"/>
      <c r="W40" s="53"/>
      <c r="X40" s="53"/>
      <c r="Y40" s="53"/>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row r="45" spans="1:25" ht="20.100000000000001" customHeight="1" x14ac:dyDescent="0.25">
      <c r="D45" s="6"/>
    </row>
    <row r="46" spans="1:25" ht="20.100000000000001" customHeight="1" x14ac:dyDescent="0.25">
      <c r="D46" s="23"/>
    </row>
    <row r="47" spans="1:25" ht="20.100000000000001" customHeight="1" x14ac:dyDescent="0.25">
      <c r="D47" s="82"/>
      <c r="E47" s="82"/>
      <c r="F47" s="82"/>
      <c r="G47" s="82"/>
      <c r="H47" s="82"/>
    </row>
    <row r="48" spans="1:25" ht="20.100000000000001" customHeight="1" x14ac:dyDescent="0.25">
      <c r="D48" s="36"/>
      <c r="E48" s="36"/>
      <c r="F48" s="37"/>
      <c r="G48" s="37"/>
      <c r="H48" s="36"/>
    </row>
    <row r="49" spans="4:8" ht="20.100000000000001" customHeight="1" x14ac:dyDescent="0.25">
      <c r="D49" s="36"/>
      <c r="E49" s="36"/>
      <c r="F49" s="37"/>
      <c r="G49" s="37"/>
      <c r="H49" s="36"/>
    </row>
    <row r="50" spans="4:8" ht="20.100000000000001" customHeight="1" x14ac:dyDescent="0.25">
      <c r="D50" s="36"/>
      <c r="E50" s="36"/>
      <c r="F50" s="37"/>
      <c r="G50" s="37"/>
      <c r="H50" s="36"/>
    </row>
    <row r="51" spans="4:8" ht="20.100000000000001" customHeight="1" x14ac:dyDescent="0.25">
      <c r="D51" s="83"/>
      <c r="E51" s="84"/>
      <c r="F51" s="84"/>
      <c r="G51" s="84"/>
      <c r="H51" s="85"/>
    </row>
    <row r="52" spans="4:8" ht="20.100000000000001" customHeight="1" x14ac:dyDescent="0.25"/>
    <row r="53" spans="4:8" ht="20.100000000000001" customHeight="1" x14ac:dyDescent="0.25"/>
    <row r="54" spans="4:8" ht="20.100000000000001" customHeight="1" x14ac:dyDescent="0.25">
      <c r="G54" s="86"/>
    </row>
    <row r="55" spans="4:8" ht="20.100000000000001" customHeight="1" x14ac:dyDescent="0.25">
      <c r="D55" s="6"/>
    </row>
    <row r="56" spans="4:8" ht="20.100000000000001" customHeight="1" x14ac:dyDescent="0.25"/>
    <row r="57" spans="4:8" ht="20.100000000000001" customHeight="1" x14ac:dyDescent="0.25">
      <c r="D57" s="23"/>
      <c r="F57" s="87"/>
    </row>
    <row r="58" spans="4:8" ht="20.100000000000001" customHeight="1" x14ac:dyDescent="0.25">
      <c r="D58" s="1"/>
      <c r="E58" s="88"/>
    </row>
    <row r="59" spans="4:8" ht="20.100000000000001" customHeight="1" x14ac:dyDescent="0.25">
      <c r="D59" s="1"/>
      <c r="E59" s="88"/>
    </row>
    <row r="60" spans="4:8" ht="20.100000000000001" customHeight="1" x14ac:dyDescent="0.25">
      <c r="D60" s="1"/>
      <c r="E60" s="89"/>
    </row>
    <row r="61" spans="4:8" ht="20.100000000000001" customHeight="1" x14ac:dyDescent="0.25">
      <c r="D61" s="1"/>
    </row>
    <row r="62" spans="4:8" ht="20.100000000000001" customHeight="1" x14ac:dyDescent="0.25"/>
    <row r="63" spans="4:8" ht="20.100000000000001" customHeight="1" x14ac:dyDescent="0.25">
      <c r="D63" s="23"/>
    </row>
    <row r="64" spans="4:8" ht="20.100000000000001" customHeight="1" x14ac:dyDescent="0.25">
      <c r="D64" s="1"/>
      <c r="E64" s="88"/>
    </row>
    <row r="65" spans="4:9" ht="20.100000000000001" customHeight="1" x14ac:dyDescent="0.25">
      <c r="D65" s="1"/>
      <c r="E65" s="88"/>
    </row>
    <row r="66" spans="4:9" ht="20.100000000000001" customHeight="1" x14ac:dyDescent="0.25">
      <c r="D66" s="1"/>
      <c r="E66" s="89"/>
    </row>
    <row r="67" spans="4:9" ht="20.100000000000001" customHeight="1" x14ac:dyDescent="0.25"/>
    <row r="68" spans="4:9" ht="20.100000000000001" customHeight="1" x14ac:dyDescent="0.25"/>
    <row r="69" spans="4:9" ht="20.100000000000001" customHeight="1" x14ac:dyDescent="0.25">
      <c r="D69" s="63"/>
      <c r="E69" s="63"/>
      <c r="F69" s="63"/>
      <c r="G69" s="63"/>
      <c r="H69" s="63"/>
      <c r="I69" s="63"/>
    </row>
    <row r="70" spans="4:9" ht="20.100000000000001" customHeight="1" x14ac:dyDescent="0.25">
      <c r="D70" s="63"/>
      <c r="E70" s="63"/>
      <c r="F70" s="63"/>
      <c r="G70" s="63"/>
      <c r="H70" s="63"/>
      <c r="I70" s="63"/>
    </row>
    <row r="71" spans="4:9" ht="20.100000000000001" customHeight="1" x14ac:dyDescent="0.25">
      <c r="D71" s="63"/>
      <c r="E71" s="63"/>
      <c r="F71" s="63"/>
      <c r="G71" s="63"/>
      <c r="H71" s="63"/>
      <c r="I71" s="63"/>
    </row>
    <row r="72" spans="4:9" ht="20.100000000000001" customHeight="1" x14ac:dyDescent="0.25">
      <c r="D72" s="63"/>
      <c r="E72" s="63"/>
      <c r="F72" s="63"/>
      <c r="G72" s="63"/>
      <c r="H72" s="63"/>
      <c r="I72" s="63"/>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90"/>
    </row>
    <row r="79" spans="4:9" ht="20.100000000000001" customHeight="1" x14ac:dyDescent="0.25">
      <c r="D79" s="90"/>
    </row>
    <row r="80" spans="4:9" ht="20.100000000000001" customHeight="1" x14ac:dyDescent="0.25">
      <c r="D80" s="90"/>
    </row>
    <row r="81" spans="4:4" ht="20.100000000000001" customHeight="1" x14ac:dyDescent="0.25">
      <c r="D81" s="90"/>
    </row>
    <row r="82" spans="4:4" ht="20.100000000000001" customHeight="1" x14ac:dyDescent="0.25">
      <c r="D82" s="90"/>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phoneticPr fontId="23" type="noConversion"/>
  <dataValidations count="4">
    <dataValidation type="list" allowBlank="1" showInputMessage="1" showErrorMessage="1" sqref="E21" xr:uid="{50A5885C-5D2D-4BF0-A681-3069ABFDCE1D}">
      <formula1>INDIRECT("Table_AustralianStates[Common Name]")</formula1>
    </dataValidation>
    <dataValidation type="list" allowBlank="1" showInputMessage="1" showErrorMessage="1" sqref="E22" xr:uid="{82230FB2-F69C-4F26-98A3-8ABF362BCB05}">
      <formula1>INDIRECT("Table_WASA4Areas[SA 4 Name]")</formula1>
    </dataValidation>
    <dataValidation type="list" allowBlank="1" showInputMessage="1" showErrorMessage="1" sqref="G36:G39" xr:uid="{1FAF98F1-BA66-4A46-872C-02D4419DFE3B}">
      <formula1>$D$41:$D$43</formula1>
    </dataValidation>
    <dataValidation type="list" allowBlank="1" showInputMessage="1" showErrorMessage="1" sqref="E23" xr:uid="{807FD90D-3D90-477F-87CC-AECD63F163B8}">
      <formula1>"YES - In leaching zone, NO - Not in leaching zone"</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W178"/>
  <sheetViews>
    <sheetView showGridLines="0" tabSelected="1" topLeftCell="C1" workbookViewId="0">
      <selection activeCell="E7" sqref="E7"/>
    </sheetView>
  </sheetViews>
  <sheetFormatPr defaultRowHeight="15.75" x14ac:dyDescent="0.25"/>
  <cols>
    <col min="1" max="1" width="30.7109375" customWidth="1"/>
    <col min="2" max="2" width="4.7109375" customWidth="1"/>
    <col min="3" max="3" width="4.7109375" style="1" customWidth="1"/>
    <col min="4" max="4" width="77.7109375" style="1" customWidth="1"/>
    <col min="5" max="9" width="30.7109375" style="1" customWidth="1"/>
    <col min="10" max="10" width="16.42578125" style="1" customWidth="1"/>
    <col min="11" max="13" width="30.7109375" style="1" customWidth="1"/>
    <col min="14" max="14" width="4.7109375" style="1" customWidth="1"/>
    <col min="15" max="16" width="4.7109375" style="59" customWidth="1"/>
    <col min="17" max="22" width="30.7109375" style="59" customWidth="1"/>
    <col min="23" max="23" width="4.7109375" style="59" customWidth="1"/>
  </cols>
  <sheetData>
    <row r="1" spans="1:23" s="71" customFormat="1" ht="30" customHeight="1" x14ac:dyDescent="0.35">
      <c r="A1" s="71" t="e" vm="1">
        <v>#VALUE!</v>
      </c>
      <c r="C1" s="71" t="s">
        <v>192</v>
      </c>
      <c r="O1" s="59"/>
      <c r="P1" s="59"/>
      <c r="Q1" s="59"/>
      <c r="R1" s="59"/>
      <c r="S1" s="59"/>
      <c r="T1" s="59"/>
      <c r="U1" s="59"/>
      <c r="V1" s="59"/>
      <c r="W1" s="59"/>
    </row>
    <row r="2" spans="1:23" s="9" customFormat="1" ht="20.100000000000001" customHeight="1" x14ac:dyDescent="0.25">
      <c r="O2" s="59"/>
      <c r="P2" s="59"/>
      <c r="Q2" s="59"/>
      <c r="R2" s="59"/>
      <c r="S2" s="59"/>
      <c r="T2" s="59"/>
      <c r="U2" s="59"/>
      <c r="V2" s="59"/>
      <c r="W2" s="59"/>
    </row>
    <row r="3" spans="1:23" ht="20.100000000000001" customHeight="1" x14ac:dyDescent="0.25">
      <c r="A3" s="17" t="str">
        <f>HYPERLINK("#'Home'!A1", "Home")</f>
        <v>Home</v>
      </c>
      <c r="C3" s="15"/>
      <c r="D3" s="15"/>
      <c r="E3" s="15"/>
      <c r="F3" s="15"/>
      <c r="G3" s="15"/>
      <c r="H3" s="15"/>
      <c r="I3" s="15"/>
      <c r="J3" s="15"/>
      <c r="K3" s="15"/>
      <c r="L3" s="15"/>
      <c r="M3" s="15"/>
      <c r="N3" s="15"/>
    </row>
    <row r="4" spans="1:23" ht="20.100000000000001" customHeight="1" x14ac:dyDescent="0.25">
      <c r="A4" s="17" t="str">
        <f>HYPERLINK("#'Overview'!A1", "Overview")</f>
        <v>Overview</v>
      </c>
    </row>
    <row r="5" spans="1:23" ht="20.100000000000001" customHeight="1" x14ac:dyDescent="0.25">
      <c r="A5" s="17" t="str">
        <f>HYPERLINK("#'Results'!A1", "Results")</f>
        <v>Results</v>
      </c>
      <c r="D5" s="6" t="s">
        <v>103</v>
      </c>
      <c r="N5" s="3"/>
      <c r="R5" s="7"/>
    </row>
    <row r="6" spans="1:23" ht="20.100000000000001" customHeight="1" x14ac:dyDescent="0.25">
      <c r="A6" s="16"/>
      <c r="N6" s="3"/>
      <c r="R6" s="7"/>
    </row>
    <row r="7" spans="1:23" ht="20.100000000000001" customHeight="1" x14ac:dyDescent="0.25">
      <c r="A7" s="20" t="s">
        <v>3</v>
      </c>
      <c r="D7" s="1" t="s">
        <v>170</v>
      </c>
      <c r="E7" s="42" t="s">
        <v>213</v>
      </c>
      <c r="F7" s="2" t="s">
        <v>10</v>
      </c>
      <c r="N7" s="3"/>
      <c r="R7" s="7"/>
    </row>
    <row r="8" spans="1:23" ht="20.100000000000001" customHeight="1" x14ac:dyDescent="0.25">
      <c r="A8" s="17" t="str">
        <f>HYPERLINK("#'Input - Site'!A1", "Site")</f>
        <v>Site</v>
      </c>
      <c r="N8" s="3"/>
      <c r="R8" s="7"/>
    </row>
    <row r="9" spans="1:23" ht="20.100000000000001" customHeight="1" x14ac:dyDescent="0.25">
      <c r="A9" s="21" t="str">
        <f>HYPERLINK("#'Input - Dairy'!A1", "Dairy")</f>
        <v>Dairy</v>
      </c>
      <c r="D9" s="66"/>
      <c r="E9" s="41" t="s">
        <v>171</v>
      </c>
      <c r="F9" s="41" t="s">
        <v>188</v>
      </c>
      <c r="G9" s="41" t="s">
        <v>189</v>
      </c>
      <c r="H9" s="41" t="s">
        <v>190</v>
      </c>
      <c r="I9" s="41" t="s">
        <v>191</v>
      </c>
      <c r="R9" s="7"/>
    </row>
    <row r="10" spans="1:23" ht="20.100000000000001" customHeight="1" x14ac:dyDescent="0.25">
      <c r="A10" s="17"/>
      <c r="D10" s="1" t="str">
        <f>"Average number of head between " &amp; TEXT('Input - Site'!$E$12, "dd mmm yy") &amp; " and " &amp; TEXT('Input - Site'!$E$13, "dd mmm yy")</f>
        <v>Average number of head between 01 Jan 25 and 31 Dec 25</v>
      </c>
      <c r="E10" s="106">
        <v>100</v>
      </c>
      <c r="F10" s="106">
        <v>100</v>
      </c>
      <c r="G10" s="106">
        <v>100</v>
      </c>
      <c r="H10" s="106">
        <v>100</v>
      </c>
      <c r="I10" s="106">
        <v>100</v>
      </c>
      <c r="J10" s="2" t="s">
        <v>105</v>
      </c>
      <c r="K10" s="2"/>
      <c r="L10" s="2"/>
      <c r="M10" s="2"/>
      <c r="R10" s="7"/>
    </row>
    <row r="11" spans="1:23" ht="20.100000000000001" customHeight="1" x14ac:dyDescent="0.25">
      <c r="A11" s="19" t="s">
        <v>76</v>
      </c>
      <c r="R11" s="7"/>
    </row>
    <row r="12" spans="1:23" ht="20.100000000000001" customHeight="1" x14ac:dyDescent="0.25">
      <c r="A12" s="17" t="str">
        <f>HYPERLINK("#'4.3.1.1-2 Methane'!A1", "4.3.1.1-2 Methane")</f>
        <v>4.3.1.1-2 Methane</v>
      </c>
      <c r="D12" s="51" t="s">
        <v>210</v>
      </c>
      <c r="R12" s="7"/>
    </row>
    <row r="13" spans="1:23" ht="20.100000000000001" customHeight="1" x14ac:dyDescent="0.25">
      <c r="A13" s="17" t="str">
        <f>HYPERLINK("#'4.3.1.3-4 Direct N20'!A1", "4.3.1.3-4 Direct N2O")</f>
        <v>4.3.1.3-4 Direct N2O</v>
      </c>
      <c r="D13" s="66" t="s">
        <v>204</v>
      </c>
      <c r="E13" s="41" t="s">
        <v>171</v>
      </c>
      <c r="F13" s="41" t="s">
        <v>188</v>
      </c>
      <c r="G13" s="41" t="s">
        <v>189</v>
      </c>
      <c r="H13" s="41" t="s">
        <v>190</v>
      </c>
      <c r="I13" s="41" t="s">
        <v>191</v>
      </c>
      <c r="R13" s="40"/>
    </row>
    <row r="14" spans="1:23" ht="20.100000000000001" customHeight="1" x14ac:dyDescent="0.25">
      <c r="A14" s="17" t="str">
        <f>HYPERLINK("#'4.3.1.5 Atmos Deposition'!A1", "4.3.1.5 Atmospheric deposition")</f>
        <v>4.3.1.5 Atmospheric deposition</v>
      </c>
      <c r="D14" s="1" t="s">
        <v>211</v>
      </c>
      <c r="E14" s="55">
        <v>550</v>
      </c>
      <c r="F14" s="55">
        <v>380</v>
      </c>
      <c r="G14" s="55">
        <v>155</v>
      </c>
      <c r="H14" s="55">
        <v>600</v>
      </c>
      <c r="I14" s="55">
        <v>225</v>
      </c>
      <c r="J14" s="2" t="s">
        <v>193</v>
      </c>
      <c r="K14" s="2"/>
      <c r="L14" s="2"/>
      <c r="M14" s="2"/>
      <c r="R14" s="40"/>
    </row>
    <row r="15" spans="1:23" ht="20.100000000000001" customHeight="1" x14ac:dyDescent="0.25">
      <c r="A15" s="17" t="str">
        <f>HYPERLINK("#'4.3.1.6-7 Leaching and runoff'!A1", "4.3.1.6-7 Leaching and runoff")</f>
        <v>4.3.1.6-7 Leaching and runoff</v>
      </c>
      <c r="D15" s="1" t="s">
        <v>212</v>
      </c>
      <c r="E15" s="55">
        <v>1.6E-2</v>
      </c>
      <c r="F15" s="55">
        <v>0.6</v>
      </c>
      <c r="G15" s="55">
        <v>0.56999999999999995</v>
      </c>
      <c r="H15" s="55">
        <v>0.1</v>
      </c>
      <c r="I15" s="55">
        <v>0.8</v>
      </c>
      <c r="J15" s="2" t="s">
        <v>194</v>
      </c>
      <c r="K15" s="2"/>
      <c r="L15" s="2"/>
      <c r="M15" s="2"/>
      <c r="R15" s="40"/>
    </row>
    <row r="16" spans="1:23" ht="20.100000000000001" customHeight="1" x14ac:dyDescent="0.25">
      <c r="A16" s="17" t="str">
        <f>HYPERLINK("#'4.3.1.8 Manure applied to soils'!A1", "4.3.1.8 Manure applied to soils")</f>
        <v>4.3.1.8 Manure applied to soils</v>
      </c>
      <c r="R16" s="40"/>
    </row>
    <row r="17" spans="1:18" ht="20.100000000000001" customHeight="1" x14ac:dyDescent="0.25">
      <c r="A17" s="17" t="str">
        <f>HYPERLINK("#'4.3.1.9 Soil direct N2O'!A1", "4.3.1.9 Soil direct N2O")</f>
        <v>4.3.1.9 Soil direct N2O</v>
      </c>
      <c r="D17" s="66" t="s">
        <v>203</v>
      </c>
      <c r="E17" s="41" t="s">
        <v>171</v>
      </c>
      <c r="F17" s="41" t="s">
        <v>188</v>
      </c>
      <c r="G17" s="41" t="s">
        <v>189</v>
      </c>
      <c r="H17" s="41" t="s">
        <v>190</v>
      </c>
      <c r="I17" s="41" t="s">
        <v>191</v>
      </c>
      <c r="R17" s="7"/>
    </row>
    <row r="18" spans="1:18" ht="20.100000000000001" customHeight="1" x14ac:dyDescent="0.25">
      <c r="A18" s="17" t="str">
        <f>HYPERLINK("#'4.3.1.10-11 Soil Atmos Dep'!A1", "4.3.1.10-11 Soil atm. deposition")</f>
        <v>4.3.1.10-11 Soil atm. deposition</v>
      </c>
      <c r="D18" s="1" t="s">
        <v>211</v>
      </c>
      <c r="E18" s="69">
        <v>550</v>
      </c>
      <c r="F18" s="69">
        <v>380</v>
      </c>
      <c r="G18" s="69">
        <v>155</v>
      </c>
      <c r="H18" s="69">
        <v>600</v>
      </c>
      <c r="I18" s="69">
        <v>225</v>
      </c>
      <c r="J18" s="2" t="s">
        <v>193</v>
      </c>
      <c r="K18" s="2"/>
      <c r="L18" s="2"/>
      <c r="M18" s="2"/>
      <c r="R18" s="7"/>
    </row>
    <row r="19" spans="1:18" ht="20.100000000000001" customHeight="1" x14ac:dyDescent="0.25">
      <c r="A19" s="17" t="str">
        <f>HYPERLINK("#'4.3.1.12-13 Soil leach runoff'!A1", "4.3.1.12-13 Soil leach &amp; runoff")</f>
        <v>4.3.1.12-13 Soil leach &amp; runoff</v>
      </c>
      <c r="D19" s="1" t="s">
        <v>212</v>
      </c>
      <c r="E19" s="69">
        <v>1.6E-2</v>
      </c>
      <c r="F19" s="69">
        <v>0.6</v>
      </c>
      <c r="G19" s="69">
        <v>0.56999999999999995</v>
      </c>
      <c r="H19" s="69">
        <v>0.1</v>
      </c>
      <c r="I19" s="69">
        <v>0.8</v>
      </c>
      <c r="J19" s="2" t="s">
        <v>194</v>
      </c>
      <c r="K19" s="2"/>
      <c r="L19" s="2"/>
      <c r="M19" s="2"/>
      <c r="R19" s="7"/>
    </row>
    <row r="20" spans="1:18" ht="20.100000000000001" customHeight="1" x14ac:dyDescent="0.25">
      <c r="A20" s="17"/>
      <c r="R20" s="7"/>
    </row>
    <row r="21" spans="1:18" ht="20.100000000000001" customHeight="1" x14ac:dyDescent="0.25">
      <c r="A21" s="18" t="s">
        <v>4</v>
      </c>
      <c r="D21" s="51" t="s">
        <v>104</v>
      </c>
      <c r="R21" s="7"/>
    </row>
    <row r="22" spans="1:18" ht="20.100000000000001" customHeight="1" x14ac:dyDescent="0.25">
      <c r="A22" s="17" t="str">
        <f>HYPERLINK("#'Constants - Dairy'!A1", "Constants - Dairy")</f>
        <v>Constants - Dairy</v>
      </c>
      <c r="R22" s="7"/>
    </row>
    <row r="23" spans="1:18" ht="20.100000000000001" customHeight="1" x14ac:dyDescent="0.25">
      <c r="A23" s="17" t="str">
        <f>HYPERLINK("#'Constants - Livestock'!A1", "Constants - Livestock")</f>
        <v>Constants - Livestock</v>
      </c>
      <c r="D23" s="66" t="s">
        <v>204</v>
      </c>
      <c r="E23" s="41" t="s">
        <v>171</v>
      </c>
      <c r="F23" s="41" t="s">
        <v>188</v>
      </c>
      <c r="G23" s="41" t="s">
        <v>189</v>
      </c>
      <c r="H23" s="41" t="s">
        <v>190</v>
      </c>
      <c r="I23" s="41" t="s">
        <v>191</v>
      </c>
      <c r="R23" s="7"/>
    </row>
    <row r="24" spans="1:18" ht="20.100000000000001" customHeight="1" x14ac:dyDescent="0.25">
      <c r="A24" s="17" t="str">
        <f>HYPERLINK("#'Constants - Common'!A1", "Constants - Common")</f>
        <v>Constants - Common</v>
      </c>
      <c r="D24" s="1" t="str">
        <f>"Average duration of stay between " &amp; TEXT('Input - Site'!$E$12, "dd mmm yy") &amp; " and " &amp; TEXT('Input - Site'!$E$13, "dd mmm yy") &amp; " weaned livestock"</f>
        <v>Average duration of stay between 01 Jan 25 and 31 Dec 25 weaned livestock</v>
      </c>
      <c r="E24" s="55">
        <v>365</v>
      </c>
      <c r="F24" s="55">
        <v>365</v>
      </c>
      <c r="G24" s="55">
        <v>281</v>
      </c>
      <c r="H24" s="55">
        <v>365</v>
      </c>
      <c r="I24" s="55">
        <v>281</v>
      </c>
      <c r="J24" s="2" t="s">
        <v>55</v>
      </c>
      <c r="K24" s="2"/>
      <c r="L24" s="2"/>
      <c r="M24" s="2"/>
      <c r="R24" s="7"/>
    </row>
    <row r="25" spans="1:18" ht="20.100000000000001" customHeight="1" x14ac:dyDescent="0.25">
      <c r="A25" s="17" t="str">
        <f>HYPERLINK("#'Acknowledgements'!A1", "Acknowledgements")</f>
        <v>Acknowledgements</v>
      </c>
      <c r="D25" s="1" t="str">
        <f>"Average duration of stay between " &amp; TEXT('Input - Site'!$E$12, "dd mmm yy") &amp; " and " &amp; TEXT('Input - Site'!$E$13, "dd mmm yy") &amp; " pre-weaned livestock"</f>
        <v>Average duration of stay between 01 Jan 25 and 31 Dec 25 pre-weaned livestock</v>
      </c>
      <c r="E25" s="55">
        <v>0</v>
      </c>
      <c r="F25" s="55">
        <v>0</v>
      </c>
      <c r="G25" s="55">
        <v>84</v>
      </c>
      <c r="H25" s="55">
        <v>0</v>
      </c>
      <c r="I25" s="55">
        <v>84</v>
      </c>
      <c r="J25" s="2" t="s">
        <v>55</v>
      </c>
      <c r="K25" s="2"/>
      <c r="L25" s="2"/>
      <c r="M25" s="2"/>
      <c r="R25" s="7"/>
    </row>
    <row r="26" spans="1:18" ht="20.100000000000001" customHeight="1" x14ac:dyDescent="0.25">
      <c r="R26" s="7"/>
    </row>
    <row r="27" spans="1:18" ht="20.100000000000001" customHeight="1" x14ac:dyDescent="0.25">
      <c r="D27" s="66" t="s">
        <v>203</v>
      </c>
      <c r="E27" s="41" t="s">
        <v>171</v>
      </c>
      <c r="F27" s="41" t="s">
        <v>188</v>
      </c>
      <c r="G27" s="41" t="s">
        <v>189</v>
      </c>
      <c r="H27" s="41" t="s">
        <v>190</v>
      </c>
      <c r="I27" s="41" t="s">
        <v>191</v>
      </c>
      <c r="R27" s="7"/>
    </row>
    <row r="28" spans="1:18" ht="20.100000000000001" customHeight="1" x14ac:dyDescent="0.25">
      <c r="A28" s="17"/>
      <c r="D28" s="1" t="str">
        <f>"Average duration of stay between " &amp; TEXT('Input - Site'!$E$12, "dd mmm yy") &amp; " and " &amp; TEXT('Input - Site'!$E$13, "dd mmm yy") &amp; " weaned livestock"</f>
        <v>Average duration of stay between 01 Jan 25 and 31 Dec 25 weaned livestock</v>
      </c>
      <c r="E28" s="69">
        <v>365</v>
      </c>
      <c r="F28" s="69">
        <v>365</v>
      </c>
      <c r="G28" s="69">
        <v>281</v>
      </c>
      <c r="H28" s="69">
        <v>365</v>
      </c>
      <c r="I28" s="69">
        <v>281</v>
      </c>
      <c r="J28" s="2" t="s">
        <v>55</v>
      </c>
      <c r="K28" s="2"/>
      <c r="L28" s="2"/>
      <c r="M28" s="2"/>
      <c r="R28" s="7"/>
    </row>
    <row r="29" spans="1:18" ht="20.100000000000001" customHeight="1" x14ac:dyDescent="0.25">
      <c r="A29" s="17"/>
      <c r="D29" s="1" t="str">
        <f>"Average duration of stay between " &amp; TEXT('Input - Site'!$E$12, "dd mmm yy") &amp; " and " &amp; TEXT('Input - Site'!$E$13, "dd mmm yy") &amp; " pre-weaned livestock"</f>
        <v>Average duration of stay between 01 Jan 25 and 31 Dec 25 pre-weaned livestock</v>
      </c>
      <c r="E29" s="55">
        <v>0</v>
      </c>
      <c r="F29" s="55">
        <v>0</v>
      </c>
      <c r="G29" s="55">
        <v>84</v>
      </c>
      <c r="H29" s="55">
        <v>0</v>
      </c>
      <c r="I29" s="55">
        <v>84</v>
      </c>
      <c r="J29" s="2" t="s">
        <v>55</v>
      </c>
      <c r="K29" s="2"/>
      <c r="L29" s="2"/>
      <c r="M29" s="2"/>
      <c r="R29" s="7"/>
    </row>
    <row r="30" spans="1:18" ht="20.100000000000001" customHeight="1" x14ac:dyDescent="0.25">
      <c r="A30" s="17"/>
      <c r="R30" s="7"/>
    </row>
    <row r="31" spans="1:18" ht="20.100000000000001" customHeight="1" x14ac:dyDescent="0.25">
      <c r="A31" s="70"/>
      <c r="R31" s="7"/>
    </row>
    <row r="32" spans="1:18" ht="20.100000000000001" customHeight="1" x14ac:dyDescent="0.25">
      <c r="A32" s="70"/>
      <c r="C32" s="48"/>
      <c r="D32" s="48"/>
      <c r="E32" s="48"/>
      <c r="F32" s="48"/>
      <c r="G32" s="48"/>
      <c r="H32" s="48"/>
      <c r="I32" s="48"/>
      <c r="J32" s="48"/>
      <c r="K32" s="48"/>
      <c r="L32" s="48"/>
      <c r="M32" s="48"/>
      <c r="N32" s="48"/>
      <c r="R32" s="7"/>
    </row>
    <row r="33" spans="1:18" ht="20.100000000000001" customHeight="1" x14ac:dyDescent="0.25">
      <c r="A33" s="17"/>
      <c r="D33" s="6" t="s">
        <v>209</v>
      </c>
      <c r="R33" s="7"/>
    </row>
    <row r="34" spans="1:18" ht="20.100000000000001" customHeight="1" x14ac:dyDescent="0.25">
      <c r="D34" s="51"/>
      <c r="R34" s="7"/>
    </row>
    <row r="35" spans="1:18" ht="20.100000000000001" customHeight="1" x14ac:dyDescent="0.25">
      <c r="D35" s="66" t="s">
        <v>204</v>
      </c>
      <c r="E35" s="41" t="s">
        <v>171</v>
      </c>
      <c r="F35" s="41" t="s">
        <v>188</v>
      </c>
      <c r="G35" s="41" t="s">
        <v>189</v>
      </c>
      <c r="H35" s="41" t="s">
        <v>190</v>
      </c>
      <c r="I35" s="41" t="s">
        <v>191</v>
      </c>
      <c r="R35" s="7"/>
    </row>
    <row r="36" spans="1:18" ht="20.100000000000001" customHeight="1" x14ac:dyDescent="0.25">
      <c r="D36" s="1" t="s">
        <v>18</v>
      </c>
      <c r="E36" s="55">
        <v>0.7</v>
      </c>
      <c r="F36" s="55">
        <v>0.7</v>
      </c>
      <c r="G36" s="55">
        <v>0.7</v>
      </c>
      <c r="H36" s="55">
        <v>0.7</v>
      </c>
      <c r="I36" s="55">
        <v>0.7</v>
      </c>
      <c r="J36" s="2" t="s">
        <v>99</v>
      </c>
      <c r="K36" s="2"/>
      <c r="L36" s="2"/>
      <c r="M36" s="2"/>
      <c r="R36" s="7"/>
    </row>
    <row r="37" spans="1:18" ht="20.100000000000001" customHeight="1" x14ac:dyDescent="0.25">
      <c r="D37" s="1" t="s">
        <v>110</v>
      </c>
      <c r="E37" s="55">
        <v>0.2</v>
      </c>
      <c r="F37" s="55">
        <v>0.2</v>
      </c>
      <c r="G37" s="55">
        <v>0.2</v>
      </c>
      <c r="H37" s="55">
        <v>0.2</v>
      </c>
      <c r="I37" s="55">
        <v>0.2</v>
      </c>
      <c r="J37" s="2" t="s">
        <v>99</v>
      </c>
      <c r="K37" s="2"/>
      <c r="L37" s="2"/>
      <c r="M37" s="2"/>
      <c r="R37" s="7"/>
    </row>
    <row r="38" spans="1:18" ht="20.100000000000001" customHeight="1" x14ac:dyDescent="0.25">
      <c r="L38" s="2"/>
      <c r="M38" s="2"/>
      <c r="R38" s="7"/>
    </row>
    <row r="39" spans="1:18" ht="20.100000000000001" customHeight="1" x14ac:dyDescent="0.25">
      <c r="A39" s="17"/>
      <c r="D39" s="66" t="s">
        <v>203</v>
      </c>
      <c r="E39" s="41" t="s">
        <v>171</v>
      </c>
      <c r="F39" s="41" t="s">
        <v>188</v>
      </c>
      <c r="G39" s="41" t="s">
        <v>189</v>
      </c>
      <c r="H39" s="41" t="s">
        <v>190</v>
      </c>
      <c r="I39" s="41" t="s">
        <v>191</v>
      </c>
      <c r="R39" s="7"/>
    </row>
    <row r="40" spans="1:18" ht="20.100000000000001" customHeight="1" x14ac:dyDescent="0.25">
      <c r="D40" s="1" t="s">
        <v>18</v>
      </c>
      <c r="E40" s="69">
        <v>0.7</v>
      </c>
      <c r="F40" s="69">
        <v>0.7</v>
      </c>
      <c r="G40" s="69">
        <v>0.7</v>
      </c>
      <c r="H40" s="69">
        <v>0.7</v>
      </c>
      <c r="I40" s="69">
        <v>0.7</v>
      </c>
      <c r="J40" s="2" t="s">
        <v>99</v>
      </c>
      <c r="K40" s="2"/>
      <c r="R40" s="7"/>
    </row>
    <row r="41" spans="1:18" ht="20.100000000000001" customHeight="1" x14ac:dyDescent="0.25">
      <c r="A41" s="47"/>
      <c r="D41" s="1" t="s">
        <v>110</v>
      </c>
      <c r="E41" s="69">
        <v>0.2</v>
      </c>
      <c r="F41" s="69">
        <v>0.2</v>
      </c>
      <c r="G41" s="69">
        <v>0.2</v>
      </c>
      <c r="H41" s="69">
        <v>0.2</v>
      </c>
      <c r="I41" s="69">
        <v>0.2</v>
      </c>
      <c r="J41" s="2" t="s">
        <v>99</v>
      </c>
      <c r="K41" s="2"/>
      <c r="L41" s="2"/>
      <c r="M41" s="2"/>
      <c r="R41" s="7"/>
    </row>
    <row r="42" spans="1:18" ht="20.100000000000001" customHeight="1" x14ac:dyDescent="0.25">
      <c r="K42" s="2"/>
      <c r="L42" s="2"/>
      <c r="M42" s="2"/>
      <c r="R42" s="7"/>
    </row>
    <row r="43" spans="1:18" ht="20.100000000000001" customHeight="1" x14ac:dyDescent="0.25">
      <c r="L43" s="2"/>
      <c r="M43" s="2"/>
      <c r="R43" s="7"/>
    </row>
    <row r="44" spans="1:18" ht="20.100000000000001" customHeight="1" x14ac:dyDescent="0.25">
      <c r="R44" s="7"/>
    </row>
    <row r="45" spans="1:18" ht="20.100000000000001" customHeight="1" x14ac:dyDescent="0.25">
      <c r="R45" s="7"/>
    </row>
    <row r="46" spans="1:18" ht="20.100000000000001" customHeight="1" x14ac:dyDescent="0.25">
      <c r="C46" s="48"/>
      <c r="D46" s="48"/>
      <c r="E46" s="48"/>
      <c r="F46" s="48"/>
      <c r="G46" s="48"/>
      <c r="H46" s="48"/>
      <c r="I46" s="48"/>
      <c r="J46" s="48"/>
      <c r="K46" s="48"/>
      <c r="L46" s="48"/>
      <c r="M46" s="48"/>
      <c r="N46" s="48"/>
      <c r="R46" s="7"/>
    </row>
    <row r="47" spans="1:18" ht="20.100000000000001" customHeight="1" x14ac:dyDescent="0.25">
      <c r="D47" s="6" t="s">
        <v>195</v>
      </c>
      <c r="E47" s="3"/>
      <c r="F47" s="3"/>
      <c r="G47" s="3"/>
      <c r="H47" s="3"/>
      <c r="I47" s="3"/>
      <c r="J47" s="3"/>
      <c r="K47" s="3"/>
      <c r="L47" s="3"/>
      <c r="M47" s="3"/>
      <c r="R47" s="7"/>
    </row>
    <row r="48" spans="1:18" ht="20.100000000000001" customHeight="1" x14ac:dyDescent="0.25">
      <c r="D48" s="23" t="s">
        <v>452</v>
      </c>
      <c r="G48" s="6"/>
      <c r="H48" s="6"/>
      <c r="I48" s="6"/>
      <c r="J48" s="126"/>
      <c r="K48" s="126"/>
      <c r="L48" s="126"/>
      <c r="M48" s="126"/>
      <c r="R48" s="7"/>
    </row>
    <row r="49" spans="3:18" ht="20.100000000000001" customHeight="1" x14ac:dyDescent="0.25">
      <c r="D49" s="1" t="s">
        <v>437</v>
      </c>
      <c r="E49" s="42" t="s">
        <v>450</v>
      </c>
      <c r="F49" s="2" t="s">
        <v>10</v>
      </c>
      <c r="R49" s="7"/>
    </row>
    <row r="50" spans="3:18" ht="20.100000000000001" customHeight="1" x14ac:dyDescent="0.25">
      <c r="R50" s="7"/>
    </row>
    <row r="51" spans="3:18" ht="20.100000000000001" customHeight="1" x14ac:dyDescent="0.25">
      <c r="E51" s="41" t="s">
        <v>171</v>
      </c>
      <c r="R51" s="7"/>
    </row>
    <row r="52" spans="3:18" ht="20.100000000000001" customHeight="1" x14ac:dyDescent="0.25">
      <c r="D52" s="1" t="s">
        <v>196</v>
      </c>
      <c r="E52" s="69">
        <v>20</v>
      </c>
      <c r="F52" s="2" t="str">
        <f>IF(E49="Litres of milk", "litres/head/day", "kg milk solids/head/day")</f>
        <v>litres/head/day</v>
      </c>
      <c r="R52" s="7"/>
    </row>
    <row r="53" spans="3:18" ht="20.100000000000001" customHeight="1" x14ac:dyDescent="0.25">
      <c r="E53" s="6"/>
      <c r="F53" s="6"/>
      <c r="R53" s="7"/>
    </row>
    <row r="54" spans="3:18" ht="20.100000000000001" customHeight="1" x14ac:dyDescent="0.25">
      <c r="D54" s="56" t="s">
        <v>438</v>
      </c>
      <c r="E54" s="41" t="s">
        <v>439</v>
      </c>
      <c r="F54" s="41" t="s">
        <v>440</v>
      </c>
      <c r="R54" s="7"/>
    </row>
    <row r="55" spans="3:18" ht="20.100000000000001" customHeight="1" x14ac:dyDescent="0.25">
      <c r="D55" s="1" t="s">
        <v>441</v>
      </c>
      <c r="E55" s="140">
        <v>0.04</v>
      </c>
      <c r="F55" s="155">
        <v>0.04</v>
      </c>
      <c r="G55" s="2" t="s">
        <v>442</v>
      </c>
      <c r="R55" s="7"/>
    </row>
    <row r="56" spans="3:18" ht="20.100000000000001" customHeight="1" x14ac:dyDescent="0.25">
      <c r="D56" s="1" t="s">
        <v>443</v>
      </c>
      <c r="E56" s="140">
        <v>3.3000000000000002E-2</v>
      </c>
      <c r="F56" s="155">
        <v>3.3000000000000002E-2</v>
      </c>
      <c r="G56" s="2" t="s">
        <v>442</v>
      </c>
      <c r="R56" s="7"/>
    </row>
    <row r="57" spans="3:18" ht="20.100000000000001" customHeight="1" x14ac:dyDescent="0.25">
      <c r="R57" s="7"/>
    </row>
    <row r="58" spans="3:18" ht="20.100000000000001" customHeight="1" x14ac:dyDescent="0.25">
      <c r="R58" s="7"/>
    </row>
    <row r="59" spans="3:18" ht="20.100000000000001" customHeight="1" x14ac:dyDescent="0.25">
      <c r="C59" s="48"/>
      <c r="D59" s="48"/>
      <c r="E59" s="48"/>
      <c r="F59" s="48"/>
      <c r="G59" s="48"/>
      <c r="H59" s="48"/>
      <c r="I59" s="48"/>
      <c r="J59" s="48"/>
      <c r="K59" s="48"/>
      <c r="L59" s="48"/>
      <c r="M59" s="48"/>
      <c r="N59" s="48"/>
      <c r="R59" s="7"/>
    </row>
    <row r="60" spans="3:18" ht="20.100000000000001" customHeight="1" x14ac:dyDescent="0.25">
      <c r="D60" s="6" t="s">
        <v>206</v>
      </c>
      <c r="R60" s="7"/>
    </row>
    <row r="61" spans="3:18" ht="20.100000000000001" customHeight="1" x14ac:dyDescent="0.25">
      <c r="D61" s="51" t="s">
        <v>199</v>
      </c>
      <c r="R61" s="7"/>
    </row>
    <row r="62" spans="3:18" ht="20.100000000000001" customHeight="1" x14ac:dyDescent="0.25">
      <c r="D62" s="1" t="s">
        <v>201</v>
      </c>
      <c r="E62" s="42" t="s">
        <v>208</v>
      </c>
      <c r="F62" s="2" t="s">
        <v>10</v>
      </c>
      <c r="N62" s="3"/>
      <c r="R62" s="7"/>
    </row>
    <row r="63" spans="3:18" ht="20.100000000000001" customHeight="1" x14ac:dyDescent="0.25">
      <c r="N63" s="3"/>
      <c r="R63" s="7"/>
    </row>
    <row r="64" spans="3:18" ht="20.100000000000001" customHeight="1" x14ac:dyDescent="0.25">
      <c r="D64" s="66" t="s">
        <v>204</v>
      </c>
      <c r="E64" s="41" t="s">
        <v>171</v>
      </c>
      <c r="F64" s="41" t="s">
        <v>188</v>
      </c>
      <c r="G64" s="41" t="s">
        <v>189</v>
      </c>
      <c r="H64" s="41" t="s">
        <v>190</v>
      </c>
      <c r="I64" s="41" t="s">
        <v>191</v>
      </c>
      <c r="N64" s="3"/>
      <c r="R64" s="7"/>
    </row>
    <row r="65" spans="3:18" ht="20.100000000000001" customHeight="1" x14ac:dyDescent="0.25">
      <c r="D65" s="1" t="s">
        <v>145</v>
      </c>
      <c r="E65" s="140">
        <v>0.53400000000000003</v>
      </c>
      <c r="F65" s="140">
        <v>0.53400000000000003</v>
      </c>
      <c r="G65" s="140">
        <v>0.53400000000000003</v>
      </c>
      <c r="H65" s="140">
        <v>0.53400000000000003</v>
      </c>
      <c r="I65" s="140">
        <v>0.53400000000000003</v>
      </c>
      <c r="J65" s="2" t="s">
        <v>19</v>
      </c>
      <c r="K65" s="2"/>
      <c r="L65" s="2"/>
      <c r="M65" s="2"/>
      <c r="N65" s="3"/>
    </row>
    <row r="66" spans="3:18" ht="20.100000000000001" customHeight="1" x14ac:dyDescent="0.25">
      <c r="D66" s="1" t="s">
        <v>185</v>
      </c>
      <c r="E66" s="140">
        <v>0.11</v>
      </c>
      <c r="F66" s="140">
        <v>0.11</v>
      </c>
      <c r="G66" s="140">
        <v>0.11</v>
      </c>
      <c r="H66" s="140">
        <v>0.11</v>
      </c>
      <c r="I66" s="140">
        <v>0.11</v>
      </c>
      <c r="J66" s="2" t="s">
        <v>19</v>
      </c>
      <c r="K66" s="2"/>
      <c r="L66" s="2"/>
      <c r="M66" s="2"/>
      <c r="N66" s="3"/>
    </row>
    <row r="67" spans="3:18" ht="20.100000000000001" customHeight="1" x14ac:dyDescent="0.25">
      <c r="D67" s="1" t="s">
        <v>200</v>
      </c>
      <c r="E67" s="140">
        <v>0.35599999999999998</v>
      </c>
      <c r="F67" s="140">
        <v>0.35599999999999998</v>
      </c>
      <c r="G67" s="140">
        <v>0.35599999999999998</v>
      </c>
      <c r="H67" s="140">
        <v>0.35599999999999998</v>
      </c>
      <c r="I67" s="140">
        <v>0.35599999999999998</v>
      </c>
      <c r="J67" s="2" t="s">
        <v>19</v>
      </c>
      <c r="K67" s="2"/>
      <c r="L67" s="2"/>
      <c r="M67" s="2"/>
      <c r="N67" s="3"/>
    </row>
    <row r="68" spans="3:18" ht="20.100000000000001" customHeight="1" x14ac:dyDescent="0.25">
      <c r="N68" s="3"/>
    </row>
    <row r="69" spans="3:18" ht="20.100000000000001" customHeight="1" x14ac:dyDescent="0.25">
      <c r="D69" s="66" t="s">
        <v>203</v>
      </c>
      <c r="E69" s="41" t="s">
        <v>171</v>
      </c>
      <c r="F69" s="41" t="s">
        <v>188</v>
      </c>
      <c r="G69" s="41" t="s">
        <v>189</v>
      </c>
      <c r="H69" s="41" t="s">
        <v>190</v>
      </c>
      <c r="I69" s="41" t="s">
        <v>191</v>
      </c>
      <c r="N69" s="3"/>
    </row>
    <row r="70" spans="3:18" ht="20.100000000000001" customHeight="1" x14ac:dyDescent="0.25">
      <c r="D70" s="1" t="s">
        <v>145</v>
      </c>
      <c r="E70" s="139">
        <v>0.53400000000000003</v>
      </c>
      <c r="F70" s="139">
        <v>0.53400000000000003</v>
      </c>
      <c r="G70" s="139">
        <v>0.53400000000000003</v>
      </c>
      <c r="H70" s="139">
        <v>0.53400000000000003</v>
      </c>
      <c r="I70" s="139">
        <v>0.53400000000000003</v>
      </c>
      <c r="J70" s="2" t="s">
        <v>19</v>
      </c>
      <c r="K70" s="2"/>
      <c r="L70" s="2"/>
      <c r="M70" s="2"/>
      <c r="N70" s="3"/>
    </row>
    <row r="71" spans="3:18" ht="20.100000000000001" customHeight="1" x14ac:dyDescent="0.25">
      <c r="D71" s="1" t="s">
        <v>185</v>
      </c>
      <c r="E71" s="139">
        <v>0.11</v>
      </c>
      <c r="F71" s="139">
        <v>0.11</v>
      </c>
      <c r="G71" s="139">
        <v>0.11</v>
      </c>
      <c r="H71" s="139">
        <v>0.11</v>
      </c>
      <c r="I71" s="139">
        <v>0.11</v>
      </c>
      <c r="J71" s="2" t="s">
        <v>19</v>
      </c>
      <c r="K71" s="2"/>
      <c r="L71" s="2"/>
      <c r="M71" s="2"/>
      <c r="N71" s="3"/>
    </row>
    <row r="72" spans="3:18" ht="20.100000000000001" customHeight="1" x14ac:dyDescent="0.25">
      <c r="D72" s="1" t="s">
        <v>200</v>
      </c>
      <c r="E72" s="139">
        <v>0.35599999999999998</v>
      </c>
      <c r="F72" s="139">
        <v>0.35599999999999998</v>
      </c>
      <c r="G72" s="139">
        <v>0.35599999999999998</v>
      </c>
      <c r="H72" s="139">
        <v>0.35599999999999998</v>
      </c>
      <c r="I72" s="139">
        <v>0.35599999999999998</v>
      </c>
      <c r="J72" s="2" t="s">
        <v>19</v>
      </c>
      <c r="K72" s="2"/>
      <c r="L72" s="2"/>
      <c r="M72" s="2"/>
      <c r="N72" s="3"/>
    </row>
    <row r="73" spans="3:18" ht="20.100000000000001" customHeight="1" x14ac:dyDescent="0.25">
      <c r="E73" s="130"/>
      <c r="N73" s="3"/>
    </row>
    <row r="74" spans="3:18" ht="20.100000000000001" customHeight="1" x14ac:dyDescent="0.25"/>
    <row r="75" spans="3:18" ht="20.100000000000001" customHeight="1" x14ac:dyDescent="0.25">
      <c r="C75" s="48"/>
      <c r="D75" s="48"/>
      <c r="E75" s="48"/>
      <c r="F75" s="48"/>
      <c r="G75" s="48"/>
      <c r="H75" s="48"/>
      <c r="I75" s="48"/>
      <c r="J75" s="48"/>
      <c r="K75" s="48"/>
      <c r="L75" s="48"/>
      <c r="M75" s="48"/>
      <c r="N75" s="151"/>
    </row>
    <row r="76" spans="3:18" ht="20.100000000000001" customHeight="1" x14ac:dyDescent="0.25">
      <c r="D76" s="6" t="s">
        <v>102</v>
      </c>
      <c r="F76" s="127"/>
      <c r="N76" s="3"/>
    </row>
    <row r="77" spans="3:18" ht="20.100000000000001" customHeight="1" x14ac:dyDescent="0.25">
      <c r="D77" s="51" t="str">
        <f>"From " &amp; $D$66</f>
        <v>From Milking shed</v>
      </c>
      <c r="N77" s="3"/>
    </row>
    <row r="78" spans="3:18" ht="20.100000000000001" customHeight="1" x14ac:dyDescent="0.25">
      <c r="N78" s="3"/>
    </row>
    <row r="79" spans="3:18" ht="20.100000000000001" customHeight="1" x14ac:dyDescent="0.25">
      <c r="D79" s="148" t="s">
        <v>101</v>
      </c>
      <c r="E79" s="41" t="s">
        <v>171</v>
      </c>
      <c r="F79" s="41" t="s">
        <v>188</v>
      </c>
      <c r="G79" s="41" t="s">
        <v>189</v>
      </c>
      <c r="H79" s="41" t="s">
        <v>190</v>
      </c>
      <c r="I79" s="41" t="s">
        <v>191</v>
      </c>
      <c r="J79" s="146" t="s">
        <v>427</v>
      </c>
      <c r="K79" s="66" t="s">
        <v>426</v>
      </c>
      <c r="L79" s="66"/>
      <c r="M79" s="41"/>
      <c r="N79" s="3"/>
    </row>
    <row r="80" spans="3:18" ht="20.100000000000001" customHeight="1" x14ac:dyDescent="0.25">
      <c r="K80" s="121" t="s">
        <v>428</v>
      </c>
      <c r="L80" s="121" t="s">
        <v>429</v>
      </c>
      <c r="M80" s="121" t="s">
        <v>430</v>
      </c>
      <c r="N80" s="3"/>
      <c r="R80" s="7"/>
    </row>
    <row r="81" spans="4:18" ht="20.100000000000001" customHeight="1" x14ac:dyDescent="0.25">
      <c r="D81" s="149" t="str">
        <f>'Constants - Dairy'!$D$8</f>
        <v>Anaerobic lagoon</v>
      </c>
      <c r="E81" s="49">
        <v>0.25</v>
      </c>
      <c r="F81" s="49">
        <v>0.25</v>
      </c>
      <c r="G81" s="49">
        <v>0.25</v>
      </c>
      <c r="H81" s="49">
        <v>0.25</v>
      </c>
      <c r="I81" s="49">
        <v>0.25</v>
      </c>
      <c r="J81" s="2" t="s">
        <v>19</v>
      </c>
      <c r="K81" s="49">
        <v>0.25</v>
      </c>
      <c r="L81" s="49">
        <v>0.25</v>
      </c>
      <c r="M81" s="101">
        <v>0.5</v>
      </c>
      <c r="N81" s="3"/>
      <c r="R81" s="7"/>
    </row>
    <row r="82" spans="4:18" ht="20.100000000000001" customHeight="1" x14ac:dyDescent="0.25">
      <c r="D82" s="156" t="str">
        <f>"Were solids separated from " &amp; D81 &amp; "?"</f>
        <v>Were solids separated from Anaerobic lagoon?</v>
      </c>
      <c r="E82" s="42" t="s">
        <v>207</v>
      </c>
      <c r="N82" s="3"/>
      <c r="R82" s="7"/>
    </row>
    <row r="83" spans="4:18" ht="20.100000000000001" customHeight="1" x14ac:dyDescent="0.25">
      <c r="D83" s="156" t="str">
        <f>"Percent solids separated from " &amp; D81 &amp; " (Method 1)"</f>
        <v>Percent solids separated from Anaerobic lagoon (Method 1)</v>
      </c>
      <c r="E83" s="101">
        <v>0</v>
      </c>
      <c r="N83" s="3"/>
      <c r="R83" s="7"/>
    </row>
    <row r="84" spans="4:18" ht="20.100000000000001" customHeight="1" x14ac:dyDescent="0.25">
      <c r="D84" s="156" t="str">
        <f>"Percent solids separated from " &amp; D81 &amp; " (Method 2)"</f>
        <v>Percent solids separated from Anaerobic lagoon (Method 2)</v>
      </c>
      <c r="E84" s="49">
        <v>0</v>
      </c>
      <c r="N84" s="3"/>
      <c r="R84" s="7"/>
    </row>
    <row r="85" spans="4:18" ht="20.100000000000001" customHeight="1" x14ac:dyDescent="0.25">
      <c r="R85" s="7"/>
    </row>
    <row r="86" spans="4:18" ht="20.100000000000001" customHeight="1" x14ac:dyDescent="0.25">
      <c r="D86" s="149" t="str">
        <f>'Constants - Dairy'!$D$9</f>
        <v>Sump and dispersal system</v>
      </c>
      <c r="E86" s="49">
        <v>0.25</v>
      </c>
      <c r="F86" s="49">
        <v>0.25</v>
      </c>
      <c r="G86" s="49">
        <v>0.25</v>
      </c>
      <c r="H86" s="49">
        <v>0.25</v>
      </c>
      <c r="I86" s="49">
        <v>0.25</v>
      </c>
      <c r="J86" s="2" t="s">
        <v>19</v>
      </c>
      <c r="K86" s="49">
        <v>0.25</v>
      </c>
      <c r="L86" s="49">
        <v>0.25</v>
      </c>
      <c r="M86" s="101">
        <v>0.5</v>
      </c>
      <c r="R86" s="7"/>
    </row>
    <row r="87" spans="4:18" ht="20.100000000000001" customHeight="1" x14ac:dyDescent="0.25">
      <c r="D87" s="156" t="str">
        <f>"Were solids separated from " &amp; D86 &amp; "?"</f>
        <v>Were solids separated from Sump and dispersal system?</v>
      </c>
      <c r="E87" s="42" t="s">
        <v>205</v>
      </c>
      <c r="R87" s="7"/>
    </row>
    <row r="88" spans="4:18" ht="20.100000000000001" customHeight="1" x14ac:dyDescent="0.25">
      <c r="D88" s="156" t="str">
        <f>"Percent solids separated from " &amp; D86 &amp; " (Method 1)"</f>
        <v>Percent solids separated from Sump and dispersal system (Method 1)</v>
      </c>
      <c r="E88" s="101">
        <v>0.2</v>
      </c>
      <c r="R88" s="7"/>
    </row>
    <row r="89" spans="4:18" ht="20.100000000000001" customHeight="1" x14ac:dyDescent="0.25">
      <c r="D89" s="156" t="str">
        <f>"Percent solids separated from " &amp; D86 &amp; " (Method 2)"</f>
        <v>Percent solids separated from Sump and dispersal system (Method 2)</v>
      </c>
      <c r="E89" s="49">
        <v>0.2</v>
      </c>
      <c r="R89" s="7"/>
    </row>
    <row r="90" spans="4:18" ht="20.100000000000001" customHeight="1" x14ac:dyDescent="0.25">
      <c r="R90" s="7"/>
    </row>
    <row r="91" spans="4:18" ht="20.100000000000001" customHeight="1" x14ac:dyDescent="0.25">
      <c r="D91" s="149" t="str">
        <f>'Constants - Dairy'!$D$10</f>
        <v>Drains to paddock</v>
      </c>
      <c r="E91" s="49">
        <v>0.25</v>
      </c>
      <c r="F91" s="49">
        <v>0.25</v>
      </c>
      <c r="G91" s="49">
        <v>0.25</v>
      </c>
      <c r="H91" s="49">
        <v>0.25</v>
      </c>
      <c r="I91" s="49">
        <v>0.25</v>
      </c>
      <c r="J91" s="2" t="s">
        <v>19</v>
      </c>
      <c r="K91" s="49">
        <v>0.25</v>
      </c>
      <c r="L91" s="49">
        <v>0.25</v>
      </c>
      <c r="M91" s="101">
        <v>0.5</v>
      </c>
      <c r="R91" s="7"/>
    </row>
    <row r="92" spans="4:18" ht="20.100000000000001" customHeight="1" x14ac:dyDescent="0.25">
      <c r="D92" s="156" t="str">
        <f>"Were solids separated from " &amp; D91 &amp; "?"</f>
        <v>Were solids separated from Drains to paddock?</v>
      </c>
      <c r="E92" s="42" t="s">
        <v>205</v>
      </c>
      <c r="R92" s="7"/>
    </row>
    <row r="93" spans="4:18" ht="20.100000000000001" customHeight="1" x14ac:dyDescent="0.25">
      <c r="D93" s="156" t="str">
        <f>"Percent solids separated from " &amp; D91 &amp; " (Method 1)"</f>
        <v>Percent solids separated from Drains to paddock (Method 1)</v>
      </c>
      <c r="E93" s="101">
        <v>0.2</v>
      </c>
      <c r="R93" s="7"/>
    </row>
    <row r="94" spans="4:18" ht="20.100000000000001" customHeight="1" x14ac:dyDescent="0.25">
      <c r="D94" s="156" t="str">
        <f>"Percent solids separated from " &amp; D91 &amp; " (Method 2)"</f>
        <v>Percent solids separated from Drains to paddock (Method 2)</v>
      </c>
      <c r="E94" s="49">
        <v>0.2</v>
      </c>
      <c r="R94" s="7"/>
    </row>
    <row r="95" spans="4:18" ht="20.100000000000001" customHeight="1" x14ac:dyDescent="0.25">
      <c r="R95" s="7"/>
    </row>
    <row r="96" spans="4:18" ht="20.100000000000001" customHeight="1" x14ac:dyDescent="0.25">
      <c r="D96" s="149" t="str">
        <f>'Constants - Dairy'!$D$11 &amp; " (before solid separation)"</f>
        <v>Solid storage (before solid separation)</v>
      </c>
      <c r="E96" s="49">
        <v>0.25</v>
      </c>
      <c r="F96" s="49">
        <v>0.25</v>
      </c>
      <c r="G96" s="49">
        <v>0.25</v>
      </c>
      <c r="H96" s="49">
        <v>0.25</v>
      </c>
      <c r="I96" s="49">
        <v>0.25</v>
      </c>
      <c r="J96" s="2" t="s">
        <v>19</v>
      </c>
      <c r="K96" s="49">
        <v>0.25</v>
      </c>
      <c r="L96" s="49">
        <v>0.25</v>
      </c>
      <c r="M96" s="101">
        <v>0.5</v>
      </c>
      <c r="R96" s="7"/>
    </row>
    <row r="97" spans="4:18" ht="20.100000000000001" customHeight="1" x14ac:dyDescent="0.25">
      <c r="D97" s="150" t="s">
        <v>433</v>
      </c>
      <c r="E97" s="101">
        <f>E96+(E81*$E83)+(E86*$E88)+(E91*$E93)</f>
        <v>0.35</v>
      </c>
      <c r="F97" s="101">
        <f>F96+(F81*$E83)+(F86*$E88)+(F91*$E93)</f>
        <v>0.35</v>
      </c>
      <c r="G97" s="101">
        <f>G96+(G81*$E83)+(G86*$E88)+(G91*$E93)</f>
        <v>0.35</v>
      </c>
      <c r="H97" s="101">
        <f>H96+(H81*$E83)+(H86*$E88)+(H91*$E93)</f>
        <v>0.35</v>
      </c>
      <c r="I97" s="101">
        <f>I96+(I81*$E83)+(I86*$E88)+(I91*$E93)</f>
        <v>0.35</v>
      </c>
      <c r="J97" s="2" t="s">
        <v>19</v>
      </c>
      <c r="K97" s="2"/>
      <c r="L97" s="2"/>
      <c r="M97" s="2"/>
      <c r="R97" s="7"/>
    </row>
    <row r="98" spans="4:18" ht="20.100000000000001" customHeight="1" x14ac:dyDescent="0.25">
      <c r="D98" s="150" t="s">
        <v>434</v>
      </c>
      <c r="E98" s="101">
        <f>E96+(E81*$E84)+(E86*$E89)+(E91*$E94)</f>
        <v>0.35</v>
      </c>
      <c r="F98" s="101">
        <f>F96+(F81*$E84)+(F86*$E89)+(F91*$E94)</f>
        <v>0.35</v>
      </c>
      <c r="G98" s="101">
        <f>G96+(G81*$E84)+(G86*$E89)+(G91*$E94)</f>
        <v>0.35</v>
      </c>
      <c r="H98" s="101">
        <f>H96+(H81*$E84)+(H86*$E89)+(H91*$E94)</f>
        <v>0.35</v>
      </c>
      <c r="I98" s="101">
        <f>I96+(I81*$E84)+(I86*$E89)+(I91*$E94)</f>
        <v>0.35</v>
      </c>
      <c r="J98" s="2" t="s">
        <v>19</v>
      </c>
      <c r="R98" s="7"/>
    </row>
    <row r="99" spans="4:18" ht="20.100000000000001" customHeight="1" x14ac:dyDescent="0.25">
      <c r="F99" s="2"/>
      <c r="R99" s="7"/>
    </row>
    <row r="100" spans="4:18" ht="20.100000000000001" customHeight="1" x14ac:dyDescent="0.25">
      <c r="F100" s="147"/>
      <c r="R100" s="7"/>
    </row>
    <row r="101" spans="4:18" ht="20.100000000000001" customHeight="1" x14ac:dyDescent="0.25">
      <c r="D101" s="51" t="str">
        <f>"From " &amp; $D$67</f>
        <v>From Feed pad</v>
      </c>
      <c r="R101" s="7"/>
    </row>
    <row r="102" spans="4:18" ht="20.100000000000001" customHeight="1" x14ac:dyDescent="0.25">
      <c r="R102" s="7"/>
    </row>
    <row r="103" spans="4:18" ht="20.100000000000001" customHeight="1" x14ac:dyDescent="0.25">
      <c r="D103" s="148" t="s">
        <v>101</v>
      </c>
      <c r="E103" s="41" t="s">
        <v>171</v>
      </c>
      <c r="F103" s="41" t="s">
        <v>188</v>
      </c>
      <c r="G103" s="41" t="s">
        <v>189</v>
      </c>
      <c r="H103" s="41" t="s">
        <v>190</v>
      </c>
      <c r="I103" s="41" t="s">
        <v>191</v>
      </c>
      <c r="J103" s="146" t="s">
        <v>427</v>
      </c>
      <c r="K103" s="66" t="s">
        <v>426</v>
      </c>
      <c r="L103" s="66"/>
      <c r="M103" s="41"/>
      <c r="R103" s="7"/>
    </row>
    <row r="104" spans="4:18" ht="20.100000000000001" customHeight="1" x14ac:dyDescent="0.25">
      <c r="D104" s="150"/>
      <c r="K104" s="121" t="s">
        <v>428</v>
      </c>
      <c r="L104" s="121" t="s">
        <v>429</v>
      </c>
      <c r="M104" s="121" t="s">
        <v>430</v>
      </c>
      <c r="R104" s="7"/>
    </row>
    <row r="105" spans="4:18" ht="20.100000000000001" customHeight="1" x14ac:dyDescent="0.25">
      <c r="D105" s="149" t="str">
        <f>'Constants - Dairy'!$D$8</f>
        <v>Anaerobic lagoon</v>
      </c>
      <c r="E105" s="49">
        <v>0.25</v>
      </c>
      <c r="F105" s="49">
        <v>0.25</v>
      </c>
      <c r="G105" s="49">
        <v>0.25</v>
      </c>
      <c r="H105" s="49">
        <v>0.25</v>
      </c>
      <c r="I105" s="49">
        <v>0.25</v>
      </c>
      <c r="J105" s="2" t="s">
        <v>19</v>
      </c>
      <c r="K105" s="49">
        <v>0.25</v>
      </c>
      <c r="L105" s="49">
        <v>0.25</v>
      </c>
      <c r="M105" s="101">
        <v>0.5</v>
      </c>
      <c r="R105" s="7"/>
    </row>
    <row r="106" spans="4:18" ht="20.100000000000001" customHeight="1" x14ac:dyDescent="0.25">
      <c r="D106" s="156" t="str">
        <f>"Were solids separated from " &amp; D105 &amp; "?"</f>
        <v>Were solids separated from Anaerobic lagoon?</v>
      </c>
      <c r="E106" s="42" t="s">
        <v>205</v>
      </c>
      <c r="R106" s="7"/>
    </row>
    <row r="107" spans="4:18" ht="20.100000000000001" customHeight="1" x14ac:dyDescent="0.25">
      <c r="D107" s="156" t="str">
        <f>"Percent solids separated from " &amp; D105 &amp; " (Method 1)"</f>
        <v>Percent solids separated from Anaerobic lagoon (Method 1)</v>
      </c>
      <c r="E107" s="101">
        <v>0.2</v>
      </c>
    </row>
    <row r="108" spans="4:18" ht="20.100000000000001" customHeight="1" x14ac:dyDescent="0.25">
      <c r="D108" s="156" t="str">
        <f>"Percent solids separated from " &amp; D105 &amp; " (Method 2)"</f>
        <v>Percent solids separated from Anaerobic lagoon (Method 2)</v>
      </c>
      <c r="E108" s="49">
        <v>0.2</v>
      </c>
    </row>
    <row r="109" spans="4:18" ht="20.100000000000001" customHeight="1" x14ac:dyDescent="0.25"/>
    <row r="110" spans="4:18" ht="20.100000000000001" customHeight="1" x14ac:dyDescent="0.25">
      <c r="D110" s="149" t="str">
        <f>'Constants - Dairy'!$D$9</f>
        <v>Sump and dispersal system</v>
      </c>
      <c r="E110" s="49">
        <v>0.25</v>
      </c>
      <c r="F110" s="49">
        <v>0.25</v>
      </c>
      <c r="G110" s="49">
        <v>0.25</v>
      </c>
      <c r="H110" s="49">
        <v>0.25</v>
      </c>
      <c r="I110" s="49">
        <v>0.25</v>
      </c>
      <c r="J110" s="2" t="s">
        <v>19</v>
      </c>
      <c r="K110" s="49">
        <v>0.25</v>
      </c>
      <c r="L110" s="49">
        <v>0.25</v>
      </c>
      <c r="M110" s="101">
        <v>0.5</v>
      </c>
    </row>
    <row r="111" spans="4:18" ht="20.100000000000001" customHeight="1" x14ac:dyDescent="0.25">
      <c r="D111" s="156" t="str">
        <f>"Were solids separated from " &amp; D110 &amp; "?"</f>
        <v>Were solids separated from Sump and dispersal system?</v>
      </c>
      <c r="E111" s="42" t="s">
        <v>205</v>
      </c>
    </row>
    <row r="112" spans="4:18" ht="20.100000000000001" customHeight="1" x14ac:dyDescent="0.25">
      <c r="D112" s="156" t="str">
        <f>"Percent solids separated from " &amp; D110 &amp; " (Method 1)"</f>
        <v>Percent solids separated from Sump and dispersal system (Method 1)</v>
      </c>
      <c r="E112" s="101">
        <v>0.2</v>
      </c>
    </row>
    <row r="113" spans="4:13" ht="20.100000000000001" customHeight="1" x14ac:dyDescent="0.25">
      <c r="D113" s="156" t="str">
        <f>"Percent solids separated from " &amp; D110 &amp; " (Method 2)"</f>
        <v>Percent solids separated from Sump and dispersal system (Method 2)</v>
      </c>
      <c r="E113" s="49">
        <v>0.2</v>
      </c>
    </row>
    <row r="114" spans="4:13" ht="20.100000000000001" customHeight="1" x14ac:dyDescent="0.25"/>
    <row r="115" spans="4:13" ht="20.100000000000001" customHeight="1" x14ac:dyDescent="0.25">
      <c r="D115" s="149" t="str">
        <f>'Constants - Dairy'!$D$10</f>
        <v>Drains to paddock</v>
      </c>
      <c r="E115" s="49">
        <v>0.25</v>
      </c>
      <c r="F115" s="49">
        <v>0.25</v>
      </c>
      <c r="G115" s="49">
        <v>0.25</v>
      </c>
      <c r="H115" s="49">
        <v>0.25</v>
      </c>
      <c r="I115" s="49">
        <v>0.25</v>
      </c>
      <c r="J115" s="2" t="s">
        <v>19</v>
      </c>
      <c r="K115" s="49">
        <v>0.25</v>
      </c>
      <c r="L115" s="49">
        <v>0.25</v>
      </c>
      <c r="M115" s="101">
        <v>0.5</v>
      </c>
    </row>
    <row r="116" spans="4:13" ht="20.100000000000001" customHeight="1" x14ac:dyDescent="0.25">
      <c r="D116" s="156" t="str">
        <f>"Were solids separated from " &amp; D115 &amp; "?"</f>
        <v>Were solids separated from Drains to paddock?</v>
      </c>
      <c r="E116" s="42" t="s">
        <v>205</v>
      </c>
    </row>
    <row r="117" spans="4:13" ht="20.100000000000001" customHeight="1" x14ac:dyDescent="0.25">
      <c r="D117" s="156" t="str">
        <f>"Percent solids separated from " &amp; D115 &amp; " (Method 1)"</f>
        <v>Percent solids separated from Drains to paddock (Method 1)</v>
      </c>
      <c r="E117" s="101">
        <v>0.2</v>
      </c>
    </row>
    <row r="118" spans="4:13" ht="20.100000000000001" customHeight="1" x14ac:dyDescent="0.25">
      <c r="D118" s="156" t="str">
        <f>"Percent solids separated from " &amp; D115 &amp; " (Method 2)"</f>
        <v>Percent solids separated from Drains to paddock (Method 2)</v>
      </c>
      <c r="E118" s="49">
        <v>0.2</v>
      </c>
    </row>
    <row r="119" spans="4:13" ht="20.100000000000001" customHeight="1" x14ac:dyDescent="0.25"/>
    <row r="120" spans="4:13" ht="20.100000000000001" customHeight="1" x14ac:dyDescent="0.25">
      <c r="D120" s="149" t="str">
        <f>'Constants - Dairy'!$D$11 &amp; " (before solid separation)"</f>
        <v>Solid storage (before solid separation)</v>
      </c>
      <c r="E120" s="49">
        <v>0.25</v>
      </c>
      <c r="F120" s="49">
        <v>0.25</v>
      </c>
      <c r="G120" s="49">
        <v>0.25</v>
      </c>
      <c r="H120" s="49">
        <v>0.25</v>
      </c>
      <c r="I120" s="49">
        <v>0.25</v>
      </c>
      <c r="J120" s="2" t="s">
        <v>19</v>
      </c>
      <c r="K120" s="49">
        <v>0.25</v>
      </c>
      <c r="L120" s="49">
        <v>0.25</v>
      </c>
      <c r="M120" s="101">
        <v>0.5</v>
      </c>
    </row>
    <row r="121" spans="4:13" ht="20.100000000000001" customHeight="1" x14ac:dyDescent="0.25">
      <c r="D121" s="150" t="s">
        <v>433</v>
      </c>
      <c r="E121" s="101">
        <f>E120+(E105*$E107)+(E110*$E112)+(E115*$E117)</f>
        <v>0.39999999999999997</v>
      </c>
      <c r="F121" s="101">
        <f>F120+(F105*$E107)+(F110*$E112)+(F115*$E117)</f>
        <v>0.39999999999999997</v>
      </c>
      <c r="G121" s="101">
        <f>G120+(G105*$E107)+(G110*$E112)+(G115*$E117)</f>
        <v>0.39999999999999997</v>
      </c>
      <c r="H121" s="101">
        <f>H120+(H105*$E107)+(H110*$E112)+(H115*$E117)</f>
        <v>0.39999999999999997</v>
      </c>
      <c r="I121" s="101">
        <f>I120+(I105*$E107)+(I110*$E112)+(I115*$E117)</f>
        <v>0.39999999999999997</v>
      </c>
      <c r="J121" s="2" t="s">
        <v>19</v>
      </c>
      <c r="K121" s="2"/>
      <c r="L121" s="2"/>
      <c r="M121" s="2"/>
    </row>
    <row r="122" spans="4:13" ht="20.100000000000001" customHeight="1" x14ac:dyDescent="0.25">
      <c r="D122" s="150" t="s">
        <v>434</v>
      </c>
      <c r="E122" s="101">
        <f>E120+(E105*$E108)+(E110*$E113)+(E115*$E118)</f>
        <v>0.39999999999999997</v>
      </c>
      <c r="F122" s="101">
        <f>F120+(F105*$E108)+(F110*$E113)+(F115*$E118)</f>
        <v>0.39999999999999997</v>
      </c>
      <c r="G122" s="101">
        <f>G120+(G105*$E108)+(G110*$E113)+(G115*$E118)</f>
        <v>0.39999999999999997</v>
      </c>
      <c r="H122" s="101">
        <f>H120+(H105*$E108)+(H110*$E113)+(H115*$E118)</f>
        <v>0.39999999999999997</v>
      </c>
      <c r="I122" s="101">
        <f>I120+(I105*$E108)+(I110*$E113)+(I115*$E118)</f>
        <v>0.39999999999999997</v>
      </c>
      <c r="J122" s="2" t="s">
        <v>19</v>
      </c>
    </row>
    <row r="123" spans="4:13" ht="20.100000000000001" customHeight="1" x14ac:dyDescent="0.25"/>
    <row r="124" spans="4:13" ht="20.100000000000001" customHeight="1" x14ac:dyDescent="0.25"/>
    <row r="125" spans="4:13" ht="20.100000000000001" customHeight="1" x14ac:dyDescent="0.25">
      <c r="D125" s="1" t="s">
        <v>140</v>
      </c>
      <c r="E125" s="42" t="s">
        <v>145</v>
      </c>
      <c r="F125" s="2" t="s">
        <v>10</v>
      </c>
    </row>
    <row r="126" spans="4:13" ht="20.100000000000001" customHeight="1" x14ac:dyDescent="0.25">
      <c r="E126" s="42" t="s">
        <v>475</v>
      </c>
      <c r="F126" s="2" t="s">
        <v>10</v>
      </c>
      <c r="K126" s="2"/>
      <c r="L126" s="2"/>
      <c r="M126" s="2"/>
    </row>
    <row r="127" spans="4:13" ht="20.100000000000001" customHeight="1" x14ac:dyDescent="0.25"/>
    <row r="128" spans="4:13" ht="20.100000000000001" customHeight="1" x14ac:dyDescent="0.25"/>
    <row r="129" spans="12:13" ht="20.100000000000001" customHeight="1" x14ac:dyDescent="0.25"/>
    <row r="130" spans="12:13" ht="20.100000000000001" customHeight="1" x14ac:dyDescent="0.25"/>
    <row r="131" spans="12:13" ht="20.100000000000001" customHeight="1" x14ac:dyDescent="0.25"/>
    <row r="132" spans="12:13" ht="20.100000000000001" customHeight="1" x14ac:dyDescent="0.25"/>
    <row r="133" spans="12:13" ht="20.100000000000001" customHeight="1" x14ac:dyDescent="0.25"/>
    <row r="134" spans="12:13" ht="20.100000000000001" customHeight="1" x14ac:dyDescent="0.25"/>
    <row r="135" spans="12:13" ht="20.100000000000001" customHeight="1" x14ac:dyDescent="0.25"/>
    <row r="136" spans="12:13" ht="20.100000000000001" customHeight="1" x14ac:dyDescent="0.25"/>
    <row r="137" spans="12:13" ht="20.100000000000001" customHeight="1" x14ac:dyDescent="0.25"/>
    <row r="138" spans="12:13" ht="20.100000000000001" customHeight="1" x14ac:dyDescent="0.25"/>
    <row r="139" spans="12:13" ht="20.100000000000001" customHeight="1" x14ac:dyDescent="0.25"/>
    <row r="140" spans="12:13" ht="20.100000000000001" customHeight="1" x14ac:dyDescent="0.25"/>
    <row r="141" spans="12:13" ht="20.100000000000001" customHeight="1" x14ac:dyDescent="0.25"/>
    <row r="142" spans="12:13" ht="20.100000000000001" customHeight="1" x14ac:dyDescent="0.25">
      <c r="L142" s="2"/>
      <c r="M142" s="2"/>
    </row>
    <row r="143" spans="12:13" ht="20.100000000000001" customHeight="1" x14ac:dyDescent="0.25">
      <c r="L143" s="2"/>
      <c r="M143" s="2"/>
    </row>
    <row r="144" spans="12:13" ht="20.100000000000001" customHeight="1" x14ac:dyDescent="0.25">
      <c r="L144" s="2"/>
      <c r="M144" s="2"/>
    </row>
    <row r="145" spans="12:13" ht="20.100000000000001" customHeight="1" x14ac:dyDescent="0.25"/>
    <row r="146" spans="12:13" ht="20.100000000000001" customHeight="1" x14ac:dyDescent="0.25"/>
    <row r="147" spans="12:13" ht="20.100000000000001" customHeight="1" x14ac:dyDescent="0.25">
      <c r="L147" s="2"/>
      <c r="M147" s="2"/>
    </row>
    <row r="148" spans="12:13" ht="20.100000000000001" customHeight="1" x14ac:dyDescent="0.25">
      <c r="L148" s="2"/>
      <c r="M148" s="2"/>
    </row>
    <row r="149" spans="12:13" ht="20.100000000000001" customHeight="1" x14ac:dyDescent="0.25">
      <c r="L149" s="2"/>
      <c r="M149" s="2"/>
    </row>
    <row r="150" spans="12:13" ht="20.100000000000001" customHeight="1" x14ac:dyDescent="0.25"/>
    <row r="151" spans="12:13" ht="20.100000000000001" customHeight="1" x14ac:dyDescent="0.25"/>
    <row r="152" spans="12:13" ht="20.100000000000001" customHeight="1" x14ac:dyDescent="0.25">
      <c r="L152" s="2"/>
      <c r="M152" s="2"/>
    </row>
    <row r="153" spans="12:13" ht="20.100000000000001" customHeight="1" x14ac:dyDescent="0.25">
      <c r="L153" s="2"/>
      <c r="M153" s="2"/>
    </row>
    <row r="154" spans="12:13" ht="20.100000000000001" customHeight="1" x14ac:dyDescent="0.25">
      <c r="L154" s="2"/>
      <c r="M154" s="2"/>
    </row>
    <row r="155" spans="12:13" ht="20.100000000000001" customHeight="1" x14ac:dyDescent="0.25"/>
    <row r="156" spans="12:13" ht="20.100000000000001" customHeight="1" x14ac:dyDescent="0.25"/>
    <row r="157" spans="12:13" ht="20.100000000000001" customHeight="1" x14ac:dyDescent="0.25"/>
    <row r="158" spans="12:13" ht="20.100000000000001" customHeight="1" x14ac:dyDescent="0.25"/>
    <row r="159" spans="12:13" ht="20.100000000000001" customHeight="1" x14ac:dyDescent="0.25"/>
    <row r="160" spans="12:13" ht="20.100000000000001" customHeight="1" x14ac:dyDescent="0.25"/>
    <row r="161" spans="12:13" ht="20.100000000000001" customHeight="1" x14ac:dyDescent="0.25">
      <c r="L161" s="2"/>
      <c r="M161" s="2"/>
    </row>
    <row r="162" spans="12:13" ht="20.100000000000001" customHeight="1" x14ac:dyDescent="0.25">
      <c r="L162" s="2"/>
      <c r="M162" s="2"/>
    </row>
    <row r="163" spans="12:13" ht="20.100000000000001" customHeight="1" x14ac:dyDescent="0.25">
      <c r="L163" s="2"/>
      <c r="M163" s="2"/>
    </row>
    <row r="164" spans="12:13" ht="20.100000000000001" customHeight="1" x14ac:dyDescent="0.25"/>
    <row r="165" spans="12:13" ht="20.100000000000001" customHeight="1" x14ac:dyDescent="0.25"/>
    <row r="166" spans="12:13" x14ac:dyDescent="0.25">
      <c r="L166" s="2"/>
      <c r="M166" s="2"/>
    </row>
    <row r="167" spans="12:13" x14ac:dyDescent="0.25">
      <c r="L167" s="2"/>
      <c r="M167" s="2"/>
    </row>
    <row r="168" spans="12:13" x14ac:dyDescent="0.25">
      <c r="L168" s="2"/>
      <c r="M168" s="2"/>
    </row>
    <row r="171" spans="12:13" x14ac:dyDescent="0.25">
      <c r="L171" s="2"/>
      <c r="M171" s="2"/>
    </row>
    <row r="172" spans="12:13" x14ac:dyDescent="0.25">
      <c r="L172" s="2"/>
      <c r="M172" s="2"/>
    </row>
    <row r="173" spans="12:13" x14ac:dyDescent="0.25">
      <c r="L173" s="2"/>
      <c r="M173" s="2"/>
    </row>
    <row r="176" spans="12:13" x14ac:dyDescent="0.25">
      <c r="L176" s="2"/>
      <c r="M176" s="2"/>
    </row>
    <row r="177" spans="12:13" x14ac:dyDescent="0.25">
      <c r="L177" s="2"/>
      <c r="M177" s="2"/>
    </row>
    <row r="178" spans="12:13" x14ac:dyDescent="0.25">
      <c r="L178" s="2"/>
      <c r="M178" s="2"/>
    </row>
  </sheetData>
  <conditionalFormatting sqref="E10:M10 E24:M25 E28:M29 E36:K37 L36:M38 E40:J41 K40:K42 L41:M43 O43:P43 N44 J81 J86 F91 J91 F96 J96:J98 K97:M97 F102 J105 J110 J115 J120:J122 K121:M121 K126:M126">
    <cfRule type="cellIs" dxfId="5" priority="30" operator="lessThan">
      <formula>0</formula>
    </cfRule>
  </conditionalFormatting>
  <conditionalFormatting sqref="E14:M15">
    <cfRule type="cellIs" dxfId="4" priority="2" operator="lessThan">
      <formula>0</formula>
    </cfRule>
  </conditionalFormatting>
  <conditionalFormatting sqref="E18:M19">
    <cfRule type="cellIs" dxfId="3" priority="1" operator="lessThan">
      <formula>0</formula>
    </cfRule>
  </conditionalFormatting>
  <conditionalFormatting sqref="F99">
    <cfRule type="cellIs" dxfId="2" priority="20" operator="lessThan">
      <formula>0</formula>
    </cfRule>
  </conditionalFormatting>
  <conditionalFormatting sqref="J65:M67">
    <cfRule type="cellIs" dxfId="1" priority="24" operator="lessThan">
      <formula>0</formula>
    </cfRule>
  </conditionalFormatting>
  <conditionalFormatting sqref="J70:M72">
    <cfRule type="cellIs" dxfId="0" priority="23" operator="lessThan">
      <formula>0</formula>
    </cfRule>
  </conditionalFormatting>
  <dataValidations count="6">
    <dataValidation type="list" allowBlank="1" showInputMessage="1" showErrorMessage="1" sqref="E125" xr:uid="{AF94BFC8-A9BD-4286-932B-111409BF1EB6}">
      <formula1>INDIRECT("Table_SourceData_Dairy_CropProdSystems[Production system]")</formula1>
    </dataValidation>
    <dataValidation type="list" allowBlank="1" showInputMessage="1" showErrorMessage="1" sqref="E126" xr:uid="{20E9D9A1-CABD-46A5-B149-02F06B30AA0E}">
      <formula1>INDIRECT("Table_SourceData_Dairy_IrrigationMethods[Irrigation method]")</formula1>
    </dataValidation>
    <dataValidation type="list" allowBlank="1" showInputMessage="1" showErrorMessage="1" sqref="E62" xr:uid="{9FB53635-991F-44AA-A123-E8ABEF9EE0A6}">
      <formula1>INDIRECT("Table_SourceData_Dairy_ProductionSystemTemplates[Area]")</formula1>
    </dataValidation>
    <dataValidation type="list" allowBlank="1" showInputMessage="1" showErrorMessage="1" sqref="E82 E87 E92 E106 E111 E116" xr:uid="{00A4EA4C-90D3-4150-979D-4D71C7F37A31}">
      <formula1>"Yes, No"</formula1>
    </dataValidation>
    <dataValidation type="list" allowBlank="1" showInputMessage="1" showErrorMessage="1" sqref="E7" xr:uid="{4AE50AD3-14AA-4BCF-9F4A-CDB83D5683F7}">
      <formula1>INDIRECT("Table_SourceData_Dairy_WjCowsHeifers[Breed]")</formula1>
    </dataValidation>
    <dataValidation type="list" allowBlank="1" showInputMessage="1" showErrorMessage="1" sqref="E49" xr:uid="{00EB9640-5A32-4119-9EC9-65330CC2A6A9}">
      <formula1>"Litres of milk, Milk solids"</formula1>
    </dataValidation>
  </dataValidation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W305"/>
  <sheetViews>
    <sheetView showGridLines="0" topLeftCell="A258" zoomScale="85" zoomScaleNormal="85" workbookViewId="0">
      <selection activeCell="P300" sqref="P300"/>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2" width="30.7109375" style="1" customWidth="1"/>
    <col min="23" max="23" width="4.7109375" style="1" customWidth="1"/>
  </cols>
  <sheetData>
    <row r="1" spans="1:23" s="8" customFormat="1" ht="30" customHeight="1" x14ac:dyDescent="0.35">
      <c r="A1" s="71" t="e" vm="1">
        <v>#VALUE!</v>
      </c>
      <c r="C1" s="8" t="s">
        <v>279</v>
      </c>
    </row>
    <row r="2" spans="1:23" s="9" customFormat="1" ht="20.100000000000001" customHeight="1" x14ac:dyDescent="0.25"/>
    <row r="3" spans="1:23" ht="20.100000000000001" customHeight="1" x14ac:dyDescent="0.25">
      <c r="A3" s="17" t="str">
        <f>HYPERLINK("#'Home'!A1", "Home")</f>
        <v>Home</v>
      </c>
      <c r="C3" s="4"/>
      <c r="D3" s="4" t="s">
        <v>118</v>
      </c>
      <c r="E3" s="4"/>
      <c r="F3" s="4"/>
      <c r="G3" s="4"/>
      <c r="H3" s="4"/>
      <c r="I3" s="4"/>
      <c r="J3" s="4"/>
      <c r="K3" s="4"/>
      <c r="L3" s="4"/>
      <c r="N3" s="4"/>
      <c r="O3" s="4" t="s">
        <v>119</v>
      </c>
      <c r="P3" s="4"/>
      <c r="Q3" s="4"/>
      <c r="R3" s="4"/>
      <c r="S3" s="4"/>
      <c r="T3" s="4"/>
      <c r="U3" s="4"/>
      <c r="V3" s="4"/>
      <c r="W3" s="4"/>
    </row>
    <row r="4" spans="1:23" ht="20.100000000000001" customHeight="1" x14ac:dyDescent="0.25">
      <c r="A4" s="17" t="str">
        <f>HYPERLINK("#'Overview'!A1", "Overview")</f>
        <v>Overview</v>
      </c>
    </row>
    <row r="5" spans="1:23" ht="20.100000000000001" customHeight="1" x14ac:dyDescent="0.25">
      <c r="A5" s="17" t="str">
        <f>HYPERLINK("#'Results'!A1", "Results")</f>
        <v>Results</v>
      </c>
      <c r="D5" s="6" t="str" cm="1">
        <f t="array" ref="D5">EntericMethane_Dairy_Equations.VEERG_3_3_1_1__6_MetabolisabilityOfDiet_Title()</f>
        <v>Metabolisability of diet</v>
      </c>
    </row>
    <row r="6" spans="1:23" ht="20.100000000000001" customHeight="1" x14ac:dyDescent="0.25">
      <c r="A6" s="16"/>
      <c r="D6" s="5" t="str" cm="1">
        <f t="array" ref="D6">EntericMethane_Dairy_Equations.VEERG_3_3_1_1__6_MetabolisabilityOfDiet_Source()</f>
        <v>VEERG 2026: 3.3.1.1, Equation (6)</v>
      </c>
    </row>
    <row r="7" spans="1:23" ht="20.100000000000001" customHeight="1" x14ac:dyDescent="0.25">
      <c r="A7" s="20" t="s">
        <v>3</v>
      </c>
      <c r="D7" s="58" t="str" cm="1">
        <f t="array" ref="D7">EntericMethane_Dairy_Equations.VEERG_3_3_1_1__6_MetabolisabilityOfDiet_Variation()</f>
        <v>VARIATION ON SOURCE: changed 0.795 to 0.00795 which is the value used in the National Inventory Report</v>
      </c>
    </row>
    <row r="8" spans="1:23" ht="20.100000000000001" customHeight="1" x14ac:dyDescent="0.25">
      <c r="A8" s="17" t="str">
        <f>HYPERLINK("#'Input - Site'!A1", "Site")</f>
        <v>Site</v>
      </c>
      <c r="D8" s="13" t="s">
        <v>27</v>
      </c>
      <c r="E8" s="13" t="str" cm="1">
        <f t="array" aca="1" ref="E8" ca="1">Common_InputFunctions.Utility_DisplayFunctionName(D24)</f>
        <v>=EntericMethane_Dairy_Equations.VEERG_3_3_1_1__6_MetabolisabilityOfDietVariation</v>
      </c>
    </row>
    <row r="9" spans="1:23" ht="20.100000000000001" customHeight="1" x14ac:dyDescent="0.25">
      <c r="A9" s="17" t="str">
        <f>HYPERLINK("#'Input - Dairy'!A1", "Dairy")</f>
        <v>Dairy</v>
      </c>
    </row>
    <row r="10" spans="1:23" ht="20.100000000000001" customHeight="1" x14ac:dyDescent="0.25">
      <c r="A10" s="17"/>
    </row>
    <row r="11" spans="1:23" ht="20.100000000000001" customHeight="1" x14ac:dyDescent="0.25">
      <c r="A11" s="19" t="s">
        <v>76</v>
      </c>
      <c r="D11" s="56" t="s">
        <v>30</v>
      </c>
      <c r="E11" s="1" t="str" cm="1">
        <f t="array" ref="E11">EntericMethane_Dairy_Equations.VEERG_3_3_1_1__6_MetabolisabilityOfDiet_Variable()</f>
        <v>qm_j</v>
      </c>
    </row>
    <row r="12" spans="1:23" ht="20.100000000000001" customHeight="1" x14ac:dyDescent="0.25">
      <c r="A12" s="22" t="str">
        <f>HYPERLINK("#'4.3.1.1-2 Methane'!A1", "4.3.1.1-2 Methane")</f>
        <v>4.3.1.1-2 Methane</v>
      </c>
      <c r="D12" s="56" t="s">
        <v>20</v>
      </c>
      <c r="E12" s="57" t="str" cm="1">
        <f t="array" ref="E12">EntericMethane_Dairy_Equations.VEERG_3_3_1_1__6_MetabolisabilityOfDiet_Unit()</f>
        <v>fraction</v>
      </c>
    </row>
    <row r="13" spans="1:23" ht="20.100000000000001" customHeight="1" x14ac:dyDescent="0.25">
      <c r="A13" s="17" t="str">
        <f>HYPERLINK("#'4.3.1.3-4 Direct N20'!A1", "4.3.1.3-4 Direct N2O")</f>
        <v>4.3.1.3-4 Direct N2O</v>
      </c>
    </row>
    <row r="14" spans="1:23" ht="20.100000000000001" customHeight="1" x14ac:dyDescent="0.25">
      <c r="A14" s="17" t="str">
        <f>HYPERLINK("#'4.3.1.5 Atmos Deposition'!A1", "4.3.1.5 Atmospheric deposition")</f>
        <v>4.3.1.5 Atmospheric deposition</v>
      </c>
      <c r="D14" s="137" t="str" cm="1">
        <f t="array" ref="D14:E14">_xlfn.CHOOSECOLS(EntericMethane_Dairy_Equations.VEERG_3_3_1_1__6_MetabolisabilityOfDiet_Arguments(), 1,2)</f>
        <v>DMD_j</v>
      </c>
      <c r="E14" s="137" t="str">
        <v>dry matter digestibility expressed as a fraction</v>
      </c>
      <c r="F14" s="137"/>
      <c r="G14" s="137" t="str" cm="1">
        <f t="array" ref="G14:H14">_xlfn.CHOOSECOLS(EntericMethane_Dairy_Equations.VEERG_3_3_1_1__6_MetabolisabilityOfDiet_Arguments(), 3,4)</f>
        <v>fraction</v>
      </c>
      <c r="H14" s="135" t="str">
        <v>Input</v>
      </c>
      <c r="I14" s="137" t="str">
        <f>"See " &amp; D16</f>
        <v>See M1_Table_DMD_j</v>
      </c>
    </row>
    <row r="15" spans="1:23" ht="20.100000000000001" customHeight="1" x14ac:dyDescent="0.25">
      <c r="A15" s="17" t="str">
        <f>HYPERLINK("#'4.3.1.6-7 Leaching and runoff'!A1", "4.3.1.6-7 Leaching and runoff")</f>
        <v>4.3.1.6-7 Leaching and runoff</v>
      </c>
    </row>
    <row r="16" spans="1:23" ht="20.100000000000001" customHeight="1" x14ac:dyDescent="0.25">
      <c r="A16" s="17" t="str">
        <f>HYPERLINK("#'4.3.1.8 Manure applied to soils'!A1", "4.3.1.8 Manure applied to soils")</f>
        <v>4.3.1.8 Manure applied to soils</v>
      </c>
      <c r="D16" s="104" t="s">
        <v>123</v>
      </c>
      <c r="O16" s="104" t="s">
        <v>126</v>
      </c>
    </row>
    <row r="17" spans="1:23" ht="20.100000000000001" customHeight="1" x14ac:dyDescent="0.25">
      <c r="A17" s="17" t="str">
        <f>HYPERLINK("#'4.3.1.9 Soil direct N2O'!A1", "4.3.1.9 Soil direct N2O")</f>
        <v>4.3.1.9 Soil direct N2O</v>
      </c>
      <c r="D17" s="103" t="s">
        <v>125</v>
      </c>
      <c r="O17" s="103" t="s">
        <v>235</v>
      </c>
    </row>
    <row r="18" spans="1:23" ht="20.100000000000001" customHeight="1" x14ac:dyDescent="0.25">
      <c r="A18" s="17" t="str">
        <f>HYPERLINK("#'4.3.1.10-11 Soil Atmos Dep'!A1", "4.3.1.10-11 Soil atm. deposition")</f>
        <v>4.3.1.10-11 Soil atm. deposition</v>
      </c>
      <c r="D18" s="41" t="s">
        <v>171</v>
      </c>
      <c r="E18" s="41" t="s">
        <v>188</v>
      </c>
      <c r="F18" s="41" t="s">
        <v>189</v>
      </c>
      <c r="G18" s="41" t="s">
        <v>190</v>
      </c>
      <c r="H18" s="41" t="s">
        <v>191</v>
      </c>
      <c r="O18" s="41" t="s">
        <v>171</v>
      </c>
      <c r="P18" s="41" t="s">
        <v>188</v>
      </c>
      <c r="Q18" s="41" t="s">
        <v>189</v>
      </c>
      <c r="R18" s="41" t="s">
        <v>190</v>
      </c>
      <c r="S18" s="41" t="s">
        <v>191</v>
      </c>
    </row>
    <row r="19" spans="1:23" ht="20.100000000000001" customHeight="1" x14ac:dyDescent="0.25">
      <c r="A19" s="17" t="str">
        <f>HYPERLINK("#'4.3.1.12-13 Soil leach runoff'!A1", "4.3.1.12-13 Soil leach &amp; runoff")</f>
        <v>4.3.1.12-13 Soil leach &amp; runoff</v>
      </c>
      <c r="D19" s="55">
        <f>'Input - Dairy'!$E$36</f>
        <v>0.7</v>
      </c>
      <c r="E19" s="55">
        <f>'Input - Dairy'!$F$36</f>
        <v>0.7</v>
      </c>
      <c r="F19" s="55">
        <f>'Input - Dairy'!$G$36</f>
        <v>0.7</v>
      </c>
      <c r="G19" s="55">
        <f>'Input - Dairy'!$H$36</f>
        <v>0.7</v>
      </c>
      <c r="H19" s="55">
        <f>'Input - Dairy'!$I$36</f>
        <v>0.7</v>
      </c>
      <c r="I19" s="2" t="s">
        <v>224</v>
      </c>
      <c r="J19" s="2"/>
      <c r="K19" s="2"/>
      <c r="O19" s="55">
        <f>'Input - Dairy'!$E$40</f>
        <v>0.7</v>
      </c>
      <c r="P19" s="55">
        <f>'Input - Dairy'!$F$40</f>
        <v>0.7</v>
      </c>
      <c r="Q19" s="55">
        <f>'Input - Dairy'!$G$40</f>
        <v>0.7</v>
      </c>
      <c r="R19" s="55">
        <f>'Input - Dairy'!$H$40</f>
        <v>0.7</v>
      </c>
      <c r="S19" s="55">
        <f>'Input - Dairy'!$I$40</f>
        <v>0.7</v>
      </c>
      <c r="T19" s="2" t="s">
        <v>224</v>
      </c>
      <c r="U19" s="2"/>
      <c r="V19" s="2"/>
    </row>
    <row r="20" spans="1:23" ht="20.100000000000001" customHeight="1" x14ac:dyDescent="0.25">
      <c r="A20" s="17"/>
    </row>
    <row r="21" spans="1:23" ht="20.100000000000001" customHeight="1" x14ac:dyDescent="0.25">
      <c r="A21" s="18" t="s">
        <v>4</v>
      </c>
      <c r="D21" s="104" t="s">
        <v>225</v>
      </c>
      <c r="O21" s="104" t="s">
        <v>227</v>
      </c>
    </row>
    <row r="22" spans="1:23" ht="20.100000000000001" customHeight="1" x14ac:dyDescent="0.25">
      <c r="A22" s="17" t="str">
        <f>HYPERLINK("#'Constants - Dairy'!A1", "Constants - Dairy")</f>
        <v>Constants - Dairy</v>
      </c>
      <c r="D22" s="103" t="s">
        <v>226</v>
      </c>
      <c r="O22" s="103" t="s">
        <v>228</v>
      </c>
    </row>
    <row r="23" spans="1:23" ht="20.100000000000001" customHeight="1" x14ac:dyDescent="0.25">
      <c r="A23" s="17" t="str">
        <f>HYPERLINK("#'Constants - Livestock'!A1", "Constants - Livestock")</f>
        <v>Constants - Livestock</v>
      </c>
      <c r="D23" s="54" t="s">
        <v>171</v>
      </c>
      <c r="E23" s="54" t="s">
        <v>188</v>
      </c>
      <c r="F23" s="54" t="s">
        <v>189</v>
      </c>
      <c r="G23" s="54" t="s">
        <v>190</v>
      </c>
      <c r="H23" s="54" t="s">
        <v>191</v>
      </c>
      <c r="O23" s="54" t="s">
        <v>171</v>
      </c>
      <c r="P23" s="54" t="s">
        <v>188</v>
      </c>
      <c r="Q23" s="54" t="s">
        <v>189</v>
      </c>
      <c r="R23" s="54" t="s">
        <v>190</v>
      </c>
      <c r="S23" s="54" t="s">
        <v>191</v>
      </c>
    </row>
    <row r="24" spans="1:23" ht="20.100000000000001" customHeight="1" x14ac:dyDescent="0.25">
      <c r="A24" s="17" t="str">
        <f>HYPERLINK("#'Constants - Common'!A1", "Constants - Common")</f>
        <v>Constants - Common</v>
      </c>
      <c r="D24" s="55" cm="1">
        <f t="array" ref="D24">EntericMethane_Dairy_Equations.VEERG_3_3_1_1__6_MetabolisabilityOfDietVariation(D19)</f>
        <v>0.55510000000000004</v>
      </c>
      <c r="E24" s="55" cm="1">
        <f t="array" ref="E24">EntericMethane_Dairy_Equations.VEERG_3_3_1_1__6_MetabolisabilityOfDietVariation(E19)</f>
        <v>0.55510000000000004</v>
      </c>
      <c r="F24" s="55" cm="1">
        <f t="array" ref="F24">EntericMethane_Dairy_Equations.VEERG_3_3_1_1__6_MetabolisabilityOfDietVariation(F19)</f>
        <v>0.55510000000000004</v>
      </c>
      <c r="G24" s="55" cm="1">
        <f t="array" ref="G24">EntericMethane_Dairy_Equations.VEERG_3_3_1_1__6_MetabolisabilityOfDietVariation(G19)</f>
        <v>0.55510000000000004</v>
      </c>
      <c r="H24" s="55" cm="1">
        <f t="array" ref="H24">EntericMethane_Dairy_Equations.VEERG_3_3_1_1__6_MetabolisabilityOfDietVariation(H19)</f>
        <v>0.55510000000000004</v>
      </c>
      <c r="I24" s="2" t="str">
        <f>$E$12</f>
        <v>fraction</v>
      </c>
      <c r="J24" s="2"/>
      <c r="K24" s="2"/>
      <c r="O24" s="55" cm="1">
        <f t="array" ref="O24">EntericMethane_Dairy_Equations.VEERG_3_3_1_1__6_MetabolisabilityOfDietVariation(O19)</f>
        <v>0.55510000000000004</v>
      </c>
      <c r="P24" s="55" cm="1">
        <f t="array" ref="P24">EntericMethane_Dairy_Equations.VEERG_3_3_1_1__6_MetabolisabilityOfDietVariation(P19)</f>
        <v>0.55510000000000004</v>
      </c>
      <c r="Q24" s="55" cm="1">
        <f t="array" ref="Q24">EntericMethane_Dairy_Equations.VEERG_3_3_1_1__6_MetabolisabilityOfDietVariation(Q19)</f>
        <v>0.55510000000000004</v>
      </c>
      <c r="R24" s="55" cm="1">
        <f t="array" ref="R24">EntericMethane_Dairy_Equations.VEERG_3_3_1_1__6_MetabolisabilityOfDietVariation(R19)</f>
        <v>0.55510000000000004</v>
      </c>
      <c r="S24" s="55" cm="1">
        <f t="array" ref="S24">EntericMethane_Dairy_Equations.VEERG_3_3_1_1__6_MetabolisabilityOfDietVariation(S19)</f>
        <v>0.55510000000000004</v>
      </c>
      <c r="T24" s="2" t="str">
        <f>$E$12</f>
        <v>fraction</v>
      </c>
      <c r="U24" s="2"/>
      <c r="V24" s="2"/>
    </row>
    <row r="25" spans="1:23" ht="20.100000000000001" customHeight="1" x14ac:dyDescent="0.25">
      <c r="A25" s="17" t="str">
        <f>HYPERLINK("#'Acknowledgements'!A1", "Acknowledgements")</f>
        <v>Acknowledgements</v>
      </c>
    </row>
    <row r="26" spans="1:23" ht="20.100000000000001" customHeight="1" x14ac:dyDescent="0.25"/>
    <row r="27" spans="1:23" ht="20.100000000000001" customHeight="1" x14ac:dyDescent="0.25">
      <c r="C27" s="48"/>
      <c r="D27" s="48"/>
      <c r="E27" s="48"/>
      <c r="F27" s="48"/>
      <c r="G27" s="48"/>
      <c r="H27" s="48"/>
      <c r="I27" s="48"/>
      <c r="J27" s="48"/>
      <c r="K27" s="48"/>
      <c r="L27" s="48"/>
      <c r="N27" s="48"/>
      <c r="O27" s="48"/>
      <c r="P27" s="48"/>
      <c r="Q27" s="48"/>
      <c r="R27" s="48"/>
      <c r="S27" s="48"/>
      <c r="T27" s="48"/>
      <c r="U27" s="48"/>
      <c r="V27" s="48"/>
      <c r="W27" s="48"/>
    </row>
    <row r="28" spans="1:23" ht="20.100000000000001" customHeight="1" x14ac:dyDescent="0.25">
      <c r="D28" s="6" t="str" cm="1">
        <f t="array" ref="D28">EntericMethane_Dairy_Equations.VEERG_3_3_1_1__5_MilkProductionFromMilkSolids_Title()</f>
        <v>Milk production converted from milk solids</v>
      </c>
    </row>
    <row r="29" spans="1:23" ht="20.100000000000001" customHeight="1" x14ac:dyDescent="0.25">
      <c r="D29" s="5" t="str" cm="1">
        <f t="array" ref="D29">EntericMethane_Dairy_Equations.VEERG_3_3_1_1__5_MilkProductionFromMilkSolids_Source()</f>
        <v>VEERG 2026: 3.3.1.1, Equation (5)</v>
      </c>
    </row>
    <row r="30" spans="1:23" ht="20.100000000000001" customHeight="1" x14ac:dyDescent="0.25">
      <c r="D30" s="58" t="str" cm="1">
        <f t="array" ref="D30">EntericMethane_Dairy_Equations.VEERG_3_3_1_1__5_MilkProductionFromMilkSolids_Variation()</f>
        <v>VARATION ON SOURCE: Added milk production unit variable to allow for use of either milk solids or litres of milk. Converted input FC and PC percent to integer.</v>
      </c>
    </row>
    <row r="31" spans="1:23" ht="20.100000000000001" customHeight="1" x14ac:dyDescent="0.25">
      <c r="D31" s="13" t="s">
        <v>27</v>
      </c>
      <c r="E31" s="13" t="str" cm="1">
        <f t="array" aca="1" ref="E31" ca="1">Common_InputFunctions.Utility_DisplayFunctionName(D50)</f>
        <v>=EntericMethane_Dairy_Equations.VEERG_3_3_1_1__5_MilkProductionFromMilkSolids</v>
      </c>
    </row>
    <row r="32" spans="1:23" ht="20.100000000000001" customHeight="1" x14ac:dyDescent="0.25"/>
    <row r="33" spans="4:20" ht="20.100000000000001" customHeight="1" x14ac:dyDescent="0.25"/>
    <row r="34" spans="4:20" ht="20.100000000000001" customHeight="1" x14ac:dyDescent="0.25">
      <c r="D34" s="56" t="s">
        <v>30</v>
      </c>
      <c r="E34" s="1" t="str" cm="1">
        <f t="array" ref="E34">EntericMethane_Dairy_Equations.VEERG_3_3_1_1__5_MilkProductionFromMilkSolids_Variable()</f>
        <v>MP_j</v>
      </c>
    </row>
    <row r="35" spans="4:20" ht="20.100000000000001" customHeight="1" x14ac:dyDescent="0.25">
      <c r="D35" s="56" t="s">
        <v>20</v>
      </c>
      <c r="E35" s="57" t="str" cm="1">
        <f t="array" ref="E35">EntericMethane_Dairy_Equations.VEERG_3_3_1_1__5_MilkProductionFromMilkSolids_Unit()</f>
        <v>L/head/day</v>
      </c>
    </row>
    <row r="36" spans="4:20" ht="20.100000000000001" customHeight="1" x14ac:dyDescent="0.25"/>
    <row r="37" spans="4:20" ht="20.100000000000001" customHeight="1" x14ac:dyDescent="0.25">
      <c r="D37" s="137" t="str" cm="1">
        <f t="array" ref="D37:E40">_xlfn.CHOOSECOLS(EntericMethane_Dairy_Equations.VEERG_3_3_1_1__5_MilkProductionFromMilkSolids_Arguments(),1,2)</f>
        <v>MPU</v>
      </c>
      <c r="E37" s="136" t="str">
        <v>input milk production unit</v>
      </c>
      <c r="F37" s="138"/>
      <c r="G37" s="137" t="str" cm="1">
        <f t="array" ref="G37:H40">_xlfn.CHOOSECOLS(EntericMethane_Dairy_Equations.VEERG_3_3_1_1__5_MilkProductionFromMilkSolids_Arguments(),3,4)</f>
        <v/>
      </c>
      <c r="H37" s="135" t="str">
        <v>Input</v>
      </c>
      <c r="I37" s="137" t="str">
        <f>'Input - Dairy'!$E$49</f>
        <v>Litres of milk</v>
      </c>
      <c r="O37" s="137" t="str" cm="1">
        <f t="array" ref="O37:P40">_xlfn.CHOOSECOLS(EntericMethane_Dairy_Equations.VEERG_3_3_1_1__5_MilkProductionFromMilkSolids_Arguments(),1,2)</f>
        <v>MPU</v>
      </c>
      <c r="P37" s="136" t="str">
        <v>input milk production unit</v>
      </c>
      <c r="Q37" s="138"/>
      <c r="R37" s="137" t="str" cm="1">
        <f t="array" ref="R37:S40">_xlfn.CHOOSECOLS(EntericMethane_Dairy_Equations.VEERG_3_3_1_1__5_MilkProductionFromMilkSolids_Arguments(),3,4)</f>
        <v/>
      </c>
      <c r="S37" s="135" t="str">
        <v>Input</v>
      </c>
      <c r="T37" s="137"/>
    </row>
    <row r="38" spans="4:20" ht="20.100000000000001" customHeight="1" x14ac:dyDescent="0.25">
      <c r="D38" s="137" t="str">
        <v>MS_j</v>
      </c>
      <c r="E38" s="136" t="str">
        <v>daily production of milk solids</v>
      </c>
      <c r="F38" s="138"/>
      <c r="G38" s="137" t="str">
        <v>kg MS/head/day</v>
      </c>
      <c r="H38" s="135" t="str">
        <v>Input</v>
      </c>
      <c r="I38" s="134" t="str" cm="1">
        <f t="array" aca="1" ref="I38" ca="1">HYPERLINK(Common_InputFunctions.Utility_SourceHyperlink($D$42),$D$42)</f>
        <v>M1_Table_MS_j</v>
      </c>
      <c r="O38" s="137" t="str">
        <v>MS_j</v>
      </c>
      <c r="P38" s="136" t="str">
        <v>daily production of milk solids</v>
      </c>
      <c r="Q38" s="138"/>
      <c r="R38" s="137" t="str">
        <v>kg MS/head/day</v>
      </c>
      <c r="S38" s="135" t="str">
        <v>Input</v>
      </c>
      <c r="T38" s="134"/>
    </row>
    <row r="39" spans="4:20" ht="20.100000000000001" customHeight="1" x14ac:dyDescent="0.25">
      <c r="D39" s="137" t="str">
        <v>FC_j</v>
      </c>
      <c r="E39" s="136" t="str">
        <v>fat content in fat and protein corrected milk</v>
      </c>
      <c r="F39" s="138"/>
      <c r="G39" s="137" t="str">
        <v>per cent</v>
      </c>
      <c r="H39" s="133" t="str">
        <v>Constant</v>
      </c>
      <c r="I39" s="137">
        <f>'Input - Dairy'!E55*100</f>
        <v>4</v>
      </c>
      <c r="O39" s="137" t="str">
        <v>FC_j</v>
      </c>
      <c r="P39" s="136" t="str">
        <v>fat content in fat and protein corrected milk</v>
      </c>
      <c r="Q39" s="138"/>
      <c r="R39" s="137" t="str">
        <v>per cent</v>
      </c>
      <c r="S39" s="133" t="str">
        <v>Constant</v>
      </c>
      <c r="T39" s="137">
        <f>'Input - Dairy'!$F$55*100</f>
        <v>4</v>
      </c>
    </row>
    <row r="40" spans="4:20" ht="20.100000000000001" customHeight="1" x14ac:dyDescent="0.25">
      <c r="D40" s="137" t="str">
        <v>PC_j</v>
      </c>
      <c r="E40" s="137" t="str">
        <v>protein content in fat and protein corrected milk</v>
      </c>
      <c r="F40" s="137"/>
      <c r="G40" s="137" t="str">
        <v>per cent</v>
      </c>
      <c r="H40" s="133" t="str">
        <v>Constant</v>
      </c>
      <c r="I40" s="137">
        <f>'Input - Dairy'!E56*100</f>
        <v>3.3000000000000003</v>
      </c>
      <c r="O40" s="137" t="str">
        <v>PC_j</v>
      </c>
      <c r="P40" s="137" t="str">
        <v>protein content in fat and protein corrected milk</v>
      </c>
      <c r="Q40" s="137"/>
      <c r="R40" s="137" t="str">
        <v>per cent</v>
      </c>
      <c r="S40" s="133" t="str">
        <v>Constant</v>
      </c>
      <c r="T40" s="137">
        <f>'Input - Dairy'!$F$56*100</f>
        <v>3.3000000000000003</v>
      </c>
    </row>
    <row r="41" spans="4:20" ht="20.100000000000001" customHeight="1" x14ac:dyDescent="0.25"/>
    <row r="42" spans="4:20" ht="20.100000000000001" customHeight="1" x14ac:dyDescent="0.25">
      <c r="D42" s="104" t="s">
        <v>444</v>
      </c>
    </row>
    <row r="43" spans="4:20" ht="20.100000000000001" customHeight="1" x14ac:dyDescent="0.25">
      <c r="D43" s="103" t="s">
        <v>445</v>
      </c>
    </row>
    <row r="44" spans="4:20" ht="20.100000000000001" customHeight="1" x14ac:dyDescent="0.25">
      <c r="D44" s="41" t="s">
        <v>171</v>
      </c>
      <c r="E44" s="41" t="s">
        <v>188</v>
      </c>
      <c r="F44" s="41" t="s">
        <v>189</v>
      </c>
      <c r="G44" s="41" t="s">
        <v>190</v>
      </c>
      <c r="H44" s="41" t="s">
        <v>191</v>
      </c>
    </row>
    <row r="45" spans="4:20" ht="20.100000000000001" customHeight="1" x14ac:dyDescent="0.25">
      <c r="D45" s="55">
        <f>IF($I$37="Milk solids", 'Input - Dairy'!E52, 0)</f>
        <v>0</v>
      </c>
      <c r="E45" s="55">
        <v>0</v>
      </c>
      <c r="F45" s="55">
        <v>0</v>
      </c>
      <c r="G45" s="55">
        <v>0</v>
      </c>
      <c r="H45" s="55">
        <v>0</v>
      </c>
      <c r="I45" s="2" t="str">
        <f>G38</f>
        <v>kg MS/head/day</v>
      </c>
    </row>
    <row r="46" spans="4:20" ht="20.100000000000001" customHeight="1" x14ac:dyDescent="0.25"/>
    <row r="47" spans="4:20" ht="20.100000000000001" customHeight="1" x14ac:dyDescent="0.25">
      <c r="D47" s="104" t="s">
        <v>446</v>
      </c>
      <c r="O47" s="104" t="s">
        <v>448</v>
      </c>
    </row>
    <row r="48" spans="4:20" ht="20.100000000000001" customHeight="1" x14ac:dyDescent="0.25">
      <c r="D48" s="103" t="s">
        <v>447</v>
      </c>
      <c r="O48" s="103" t="s">
        <v>449</v>
      </c>
    </row>
    <row r="49" spans="1:23" ht="20.100000000000001" customHeight="1" x14ac:dyDescent="0.25">
      <c r="D49" s="54" t="s">
        <v>171</v>
      </c>
      <c r="E49" s="54" t="s">
        <v>188</v>
      </c>
      <c r="F49" s="54" t="s">
        <v>189</v>
      </c>
      <c r="G49" s="54" t="s">
        <v>190</v>
      </c>
      <c r="H49" s="54" t="s">
        <v>191</v>
      </c>
      <c r="O49" s="54" t="s">
        <v>171</v>
      </c>
      <c r="P49" s="54" t="s">
        <v>188</v>
      </c>
      <c r="Q49" s="54" t="s">
        <v>189</v>
      </c>
      <c r="R49" s="54" t="s">
        <v>190</v>
      </c>
      <c r="S49" s="54" t="s">
        <v>191</v>
      </c>
    </row>
    <row r="50" spans="1:23" ht="20.100000000000001" customHeight="1" x14ac:dyDescent="0.25">
      <c r="D50" s="55" cm="1">
        <f t="array" ref="D50">EntericMethane_Dairy_Equations.VEERG_3_3_1_1__5_MilkProductionFromMilkSolids(D45,$I$39,$I$40)</f>
        <v>0</v>
      </c>
      <c r="E50" s="55">
        <v>0</v>
      </c>
      <c r="F50" s="55">
        <v>0</v>
      </c>
      <c r="G50" s="55">
        <v>0</v>
      </c>
      <c r="H50" s="55">
        <v>0</v>
      </c>
      <c r="I50" s="2" t="s">
        <v>231</v>
      </c>
      <c r="O50" s="55" cm="1">
        <f t="array" ref="O50">EntericMethane_Dairy_Equations.VEERG_3_3_1_1__5_MilkProductionFromMilkSolids(D45,$T$39,$T$40)</f>
        <v>0</v>
      </c>
      <c r="P50" s="55">
        <v>0</v>
      </c>
      <c r="Q50" s="55">
        <v>0</v>
      </c>
      <c r="R50" s="55">
        <v>0</v>
      </c>
      <c r="S50" s="55">
        <v>0</v>
      </c>
      <c r="T50" s="2" t="s">
        <v>231</v>
      </c>
    </row>
    <row r="51" spans="1:23" ht="20.100000000000001" customHeight="1" x14ac:dyDescent="0.25">
      <c r="A51" s="141" t="str">
        <f>HYPERLINK("#A1", "▲ Back to top")</f>
        <v>▲ Back to top</v>
      </c>
    </row>
    <row r="52" spans="1:23" ht="20.100000000000001" customHeight="1" x14ac:dyDescent="0.25"/>
    <row r="53" spans="1:23" ht="20.100000000000001" customHeight="1" x14ac:dyDescent="0.25">
      <c r="C53" s="48"/>
      <c r="D53" s="48"/>
      <c r="E53" s="48"/>
      <c r="F53" s="48"/>
      <c r="G53" s="48"/>
      <c r="H53" s="48"/>
      <c r="I53" s="48"/>
      <c r="J53" s="48"/>
      <c r="K53" s="48"/>
      <c r="L53" s="48"/>
      <c r="N53" s="48"/>
      <c r="O53" s="48"/>
      <c r="P53" s="48"/>
      <c r="Q53" s="48"/>
      <c r="R53" s="48"/>
      <c r="S53" s="48"/>
      <c r="T53" s="48"/>
      <c r="U53" s="48"/>
      <c r="V53" s="48"/>
      <c r="W53" s="48"/>
    </row>
    <row r="54" spans="1:23" ht="20.100000000000001" customHeight="1" x14ac:dyDescent="0.25">
      <c r="D54" s="6" t="str" cm="1">
        <f t="array" ref="D54">EntericMethane_Dairy_Equations.VEERG_3_3_1_1__4_AdditionalIntakeForMilkProduction_Title()</f>
        <v>Additional intake required for milk production</v>
      </c>
    </row>
    <row r="55" spans="1:23" ht="20.100000000000001" customHeight="1" x14ac:dyDescent="0.25">
      <c r="D55" s="5" t="str" cm="1">
        <f t="array" ref="D55">EntericMethane_Dairy_Equations.VEERG_3_3_1_1__4_AdditionalIntakeForMilkProduction_Source()</f>
        <v>VEERG 2026: 3.3.1.1, Equation (4)</v>
      </c>
    </row>
    <row r="56" spans="1:23" ht="20.100000000000001" customHeight="1" x14ac:dyDescent="0.25">
      <c r="D56" s="13" t="s">
        <v>27</v>
      </c>
      <c r="E56" s="13" t="str" cm="1">
        <f t="array" aca="1" ref="E56" ca="1">Common_InputFunctions.Utility_DisplayFunctionName(D79)</f>
        <v>=EntericMethane_Dairy_Equations.VEERG_3_3_1_1__4_AdditionalIntakeForMilkProduction</v>
      </c>
    </row>
    <row r="57" spans="1:23" ht="20.100000000000001" customHeight="1" x14ac:dyDescent="0.25"/>
    <row r="58" spans="1:23" ht="20.100000000000001" customHeight="1" x14ac:dyDescent="0.25">
      <c r="D58" s="6"/>
    </row>
    <row r="59" spans="1:23" ht="20.100000000000001" customHeight="1" x14ac:dyDescent="0.25">
      <c r="D59" s="56" t="s">
        <v>30</v>
      </c>
      <c r="E59" s="1" t="str" cm="1">
        <f t="array" ref="E59">EntericMethane_Dairy_Equations.VEERG_3_3_1_1__4_AdditionalIntakeForMilkProduction_Variable()</f>
        <v>MI_j</v>
      </c>
    </row>
    <row r="60" spans="1:23" ht="20.100000000000001" customHeight="1" x14ac:dyDescent="0.25">
      <c r="D60" s="56" t="s">
        <v>20</v>
      </c>
      <c r="E60" s="57" t="str" cm="1">
        <f t="array" ref="E60">EntericMethane_Dairy_Equations.VEERG_3_3_1_1__4_AdditionalIntakeForMilkProduction_Unit()</f>
        <v>kg DM/head/day</v>
      </c>
    </row>
    <row r="61" spans="1:23" ht="20.100000000000001" customHeight="1" x14ac:dyDescent="0.25"/>
    <row r="62" spans="1:23" ht="20.100000000000001" customHeight="1" x14ac:dyDescent="0.25">
      <c r="D62" s="137" t="str" cm="1">
        <f t="array" ref="D62:E68">_xlfn.CHOOSECOLS(EntericMethane_Dairy_Equations.VEERG_3_3_1_1__4_AdditionalIntakeForMilkProduction_Arguments(), 1,2)</f>
        <v>MPU</v>
      </c>
      <c r="E62" s="136" t="str">
        <v>input milk production unit</v>
      </c>
      <c r="F62" s="138"/>
      <c r="G62" s="137" t="str" cm="1">
        <f t="array" ref="G62:H68">_xlfn.CHOOSECOLS(EntericMethane_Dairy_Equations.VEERG_3_3_1_1__4_AdditionalIntakeForMilkProduction_Arguments(), 3,4)</f>
        <v/>
      </c>
      <c r="H62" s="135" t="str">
        <v>Input</v>
      </c>
      <c r="I62" s="137" t="str">
        <f>'Input - Dairy'!$E$49</f>
        <v>Litres of milk</v>
      </c>
    </row>
    <row r="63" spans="1:23" ht="20.100000000000001" customHeight="1" x14ac:dyDescent="0.25">
      <c r="D63" s="137" t="str">
        <v>MP_j</v>
      </c>
      <c r="E63" s="136" t="str">
        <v>milk production (if input as litres of milk)</v>
      </c>
      <c r="F63" s="138"/>
      <c r="G63" s="137" t="str">
        <v>L/head/day</v>
      </c>
      <c r="H63" s="133" t="str">
        <v>Input</v>
      </c>
      <c r="I63" s="134" t="str" cm="1">
        <f t="array" aca="1" ref="I63" ca="1">HYPERLINK(Common_InputFunctions.Utility_SourceHyperlink($D$71), $D$71)</f>
        <v>Table_MP_j</v>
      </c>
    </row>
    <row r="64" spans="1:23" ht="20.100000000000001" customHeight="1" x14ac:dyDescent="0.25">
      <c r="D64" s="137" t="str">
        <v>MP_j</v>
      </c>
      <c r="E64" s="136" t="str">
        <v>milk production (if input as milk solids)</v>
      </c>
      <c r="F64" s="138"/>
      <c r="G64" s="137" t="str">
        <v>L/head/day</v>
      </c>
      <c r="H64" s="133" t="str">
        <v>Calculated from 3.3.1.1 (5)</v>
      </c>
      <c r="I64" s="134" t="str" cm="1">
        <f t="array" aca="1" ref="I64" ca="1">HYPERLINK(Common_InputFunctions.Utility_SourceHyperlink($D$47),$D$47)</f>
        <v>M1_Table_MP_j_from_solids</v>
      </c>
    </row>
    <row r="65" spans="4:22" ht="20.100000000000001" customHeight="1" x14ac:dyDescent="0.25">
      <c r="D65" s="137" t="str">
        <v>NE</v>
      </c>
      <c r="E65" s="136" t="str">
        <v>net energy</v>
      </c>
      <c r="F65" s="138"/>
      <c r="G65" s="137" t="str">
        <v>MJ net energy/kg milk</v>
      </c>
      <c r="H65" s="133" t="str">
        <v>Constant</v>
      </c>
      <c r="I65" s="137">
        <f>'Constants - Dairy'!$D$167</f>
        <v>3.0539999999999998</v>
      </c>
    </row>
    <row r="66" spans="4:22" ht="20.100000000000001" customHeight="1" x14ac:dyDescent="0.25">
      <c r="D66" s="137" t="str">
        <v>GEC</v>
      </c>
      <c r="E66" s="136" t="str">
        <v>gross energy content</v>
      </c>
      <c r="F66" s="138"/>
      <c r="G66" s="137" t="str">
        <v>MJ/kgDM</v>
      </c>
      <c r="H66" s="133" t="str">
        <v>Constant</v>
      </c>
      <c r="I66" s="137">
        <f>'Constants - Dairy'!$D$174</f>
        <v>18.399999999999999</v>
      </c>
    </row>
    <row r="67" spans="4:22" ht="20.100000000000001" customHeight="1" x14ac:dyDescent="0.25">
      <c r="D67" s="137" t="str">
        <v>k</v>
      </c>
      <c r="E67" s="137" t="str">
        <v>efficiency of metabolizable energy use for milk production</v>
      </c>
      <c r="F67" s="137"/>
      <c r="G67" s="137" t="str">
        <v>fraction</v>
      </c>
      <c r="H67" s="133" t="str">
        <v>Constant</v>
      </c>
      <c r="I67" s="137">
        <f>'Constants - Dairy'!$D$181</f>
        <v>0.6</v>
      </c>
    </row>
    <row r="68" spans="4:22" ht="20.100000000000001" customHeight="1" x14ac:dyDescent="0.25">
      <c r="D68" s="137" t="str">
        <v>qm_j</v>
      </c>
      <c r="E68" s="136" t="str">
        <v>metabolisability of the diet</v>
      </c>
      <c r="F68" s="138"/>
      <c r="G68" s="137" t="str">
        <v>fraction</v>
      </c>
      <c r="H68" s="133" t="str">
        <v>Calculated from 3.3.1.1 (6)</v>
      </c>
      <c r="I68" s="134" t="str" cm="1">
        <f t="array" aca="1" ref="I68" ca="1">HYPERLINK(Common_InputFunctions.Utility_SourceHyperlink($D$21), $D$21)</f>
        <v>M1_Table_qm_j</v>
      </c>
    </row>
    <row r="69" spans="4:22" ht="20.100000000000001" customHeight="1" x14ac:dyDescent="0.25"/>
    <row r="70" spans="4:22" ht="20.100000000000001" customHeight="1" x14ac:dyDescent="0.25"/>
    <row r="71" spans="4:22" ht="20.100000000000001" customHeight="1" x14ac:dyDescent="0.25">
      <c r="D71" s="104" t="s">
        <v>234</v>
      </c>
    </row>
    <row r="72" spans="4:22" ht="20.100000000000001" customHeight="1" x14ac:dyDescent="0.25">
      <c r="D72" s="103" t="s">
        <v>195</v>
      </c>
    </row>
    <row r="73" spans="4:22" ht="20.100000000000001" customHeight="1" x14ac:dyDescent="0.25">
      <c r="D73" s="41" t="s">
        <v>171</v>
      </c>
      <c r="E73" s="41" t="s">
        <v>188</v>
      </c>
      <c r="F73" s="41" t="s">
        <v>189</v>
      </c>
      <c r="G73" s="41" t="s">
        <v>190</v>
      </c>
      <c r="H73" s="41" t="s">
        <v>191</v>
      </c>
    </row>
    <row r="74" spans="4:22" ht="20.100000000000001" customHeight="1" x14ac:dyDescent="0.25">
      <c r="D74" s="55">
        <f>IF(I62="Milk solids", 0, 'Input - Dairy'!$E$52)</f>
        <v>20</v>
      </c>
      <c r="E74" s="55">
        <v>0</v>
      </c>
      <c r="F74" s="55">
        <v>0</v>
      </c>
      <c r="G74" s="55">
        <v>0</v>
      </c>
      <c r="H74" s="55">
        <v>0</v>
      </c>
      <c r="I74" s="2" t="s">
        <v>231</v>
      </c>
      <c r="J74" s="2"/>
      <c r="K74" s="2"/>
    </row>
    <row r="75" spans="4:22" ht="20.100000000000001" customHeight="1" x14ac:dyDescent="0.25"/>
    <row r="76" spans="4:22" ht="20.100000000000001" customHeight="1" x14ac:dyDescent="0.25">
      <c r="D76" s="104" t="s">
        <v>229</v>
      </c>
      <c r="O76" s="104" t="s">
        <v>232</v>
      </c>
    </row>
    <row r="77" spans="4:22" ht="20.100000000000001" customHeight="1" x14ac:dyDescent="0.25">
      <c r="D77" s="103" t="s">
        <v>230</v>
      </c>
      <c r="O77" s="103" t="s">
        <v>233</v>
      </c>
    </row>
    <row r="78" spans="4:22" ht="20.100000000000001" customHeight="1" x14ac:dyDescent="0.25">
      <c r="D78" s="54" t="s">
        <v>171</v>
      </c>
      <c r="E78" s="54" t="s">
        <v>188</v>
      </c>
      <c r="F78" s="54" t="s">
        <v>189</v>
      </c>
      <c r="G78" s="54" t="s">
        <v>190</v>
      </c>
      <c r="H78" s="54" t="s">
        <v>191</v>
      </c>
      <c r="O78" s="54" t="s">
        <v>171</v>
      </c>
      <c r="P78" s="54" t="s">
        <v>188</v>
      </c>
      <c r="Q78" s="54" t="s">
        <v>189</v>
      </c>
      <c r="R78" s="54" t="s">
        <v>190</v>
      </c>
      <c r="S78" s="54" t="s">
        <v>191</v>
      </c>
    </row>
    <row r="79" spans="4:22" ht="20.100000000000001" customHeight="1" x14ac:dyDescent="0.25">
      <c r="D79" s="55" cm="1">
        <f t="array" ref="D79">EntericMethane_Dairy_Equations.VEERG_3_3_1_1__4_AdditionalIntakeForMilkProduction(IF(I62="Milk solids", D50, D74), $I$65,$I$66,$I$67,D24)</f>
        <v>10.265874538860997</v>
      </c>
      <c r="E79" s="55" cm="1">
        <f t="array" ref="E79">EntericMethane_Dairy_Equations.VEERG_3_3_1_1__4_AdditionalIntakeForMilkProduction(E74, $I$65,$I$66,$I$67,E24)</f>
        <v>0</v>
      </c>
      <c r="F79" s="55" cm="1">
        <f t="array" ref="F79">EntericMethane_Dairy_Equations.VEERG_3_3_1_1__4_AdditionalIntakeForMilkProduction(F74, $I$65,$I$66,$I$67,F24)</f>
        <v>0</v>
      </c>
      <c r="G79" s="55" cm="1">
        <f t="array" ref="G79">EntericMethane_Dairy_Equations.VEERG_3_3_1_1__4_AdditionalIntakeForMilkProduction(G74, $I$65,$I$66,$I$67,G24)</f>
        <v>0</v>
      </c>
      <c r="H79" s="55" cm="1">
        <f t="array" ref="H79">EntericMethane_Dairy_Equations.VEERG_3_3_1_1__4_AdditionalIntakeForMilkProduction(H74, $I$65,$I$66,$I$67,H24)</f>
        <v>0</v>
      </c>
      <c r="I79" s="2" t="str">
        <f>$E$60</f>
        <v>kg DM/head/day</v>
      </c>
      <c r="J79" s="2"/>
      <c r="K79" s="2"/>
      <c r="O79" s="55" cm="1">
        <f t="array" ref="O79">EntericMethane_Dairy_Equations.VEERG_3_3_1_1__4_AdditionalIntakeForMilkProduction(IF(I62="Milk solids", O50, D74), $I$65,$I$66,$I$67,O24)</f>
        <v>10.265874538860997</v>
      </c>
      <c r="P79" s="55" cm="1">
        <f t="array" ref="P79">EntericMethane_Dairy_Equations.VEERG_3_3_1_1__4_AdditionalIntakeForMilkProduction(E74, $I$65,$I$66,$I$67,P24)</f>
        <v>0</v>
      </c>
      <c r="Q79" s="55" cm="1">
        <f t="array" ref="Q79">EntericMethane_Dairy_Equations.VEERG_3_3_1_1__4_AdditionalIntakeForMilkProduction(F74, $I$65,$I$66,$I$67,Q24)</f>
        <v>0</v>
      </c>
      <c r="R79" s="55" cm="1">
        <f t="array" ref="R79">EntericMethane_Dairy_Equations.VEERG_3_3_1_1__4_AdditionalIntakeForMilkProduction(G74, $I$65,$I$66,$I$67,R24)</f>
        <v>0</v>
      </c>
      <c r="S79" s="55" cm="1">
        <f t="array" ref="S79">EntericMethane_Dairy_Equations.VEERG_3_3_1_1__4_AdditionalIntakeForMilkProduction(H74, $I$65,$I$66,$I$67,S24)</f>
        <v>0</v>
      </c>
      <c r="T79" s="2" t="str">
        <f>$E$60</f>
        <v>kg DM/head/day</v>
      </c>
      <c r="U79" s="2"/>
      <c r="V79" s="2"/>
    </row>
    <row r="80" spans="4:22" ht="20.100000000000001" customHeight="1" x14ac:dyDescent="0.25"/>
    <row r="81" spans="3:23" ht="20.100000000000001" customHeight="1" x14ac:dyDescent="0.25"/>
    <row r="82" spans="3:23" ht="20.100000000000001" customHeight="1" x14ac:dyDescent="0.25">
      <c r="C82" s="48"/>
      <c r="D82" s="48"/>
      <c r="E82" s="48"/>
      <c r="F82" s="48"/>
      <c r="G82" s="48"/>
      <c r="H82" s="48"/>
      <c r="I82" s="48"/>
      <c r="J82" s="48"/>
      <c r="K82" s="48"/>
      <c r="L82" s="48"/>
      <c r="N82" s="48"/>
      <c r="O82" s="48"/>
      <c r="P82" s="48"/>
      <c r="Q82" s="48"/>
      <c r="R82" s="48"/>
      <c r="S82" s="48"/>
      <c r="T82" s="48"/>
      <c r="U82" s="48"/>
      <c r="V82" s="48"/>
      <c r="W82" s="48"/>
    </row>
    <row r="83" spans="3:23" ht="20.100000000000001" customHeight="1" x14ac:dyDescent="0.25">
      <c r="D83" s="6" t="str" cm="1">
        <f t="array" ref="D83">EntericMethane_Dairy_Equations.VEERG_3_3_1_1__3_DryMatterFeedIntake_Title()</f>
        <v>Feed intake</v>
      </c>
    </row>
    <row r="84" spans="3:23" ht="20.100000000000001" customHeight="1" x14ac:dyDescent="0.25">
      <c r="D84" s="5" t="str" cm="1">
        <f t="array" ref="D84">EntericMethane_Dairy_Equations.VEERG_3_3_1_1__3_DryMatterFeedIntake_Source()</f>
        <v>VEERG 2026: 3.3.1.1, Equation (3)</v>
      </c>
    </row>
    <row r="85" spans="3:23" ht="20.100000000000001" customHeight="1" x14ac:dyDescent="0.25">
      <c r="D85" s="13" t="s">
        <v>27</v>
      </c>
      <c r="E85" s="13" t="str" cm="1">
        <f t="array" aca="1" ref="E85" ca="1">Common_InputFunctions.Utility_DisplayFunctionName(D114)</f>
        <v>=EntericMethane_Dairy_Equations.VEERG_3_3_1_1__3_DryMatterFeedIntake</v>
      </c>
    </row>
    <row r="86" spans="3:23" ht="20.100000000000001" customHeight="1" x14ac:dyDescent="0.25"/>
    <row r="87" spans="3:23" ht="20.100000000000001" customHeight="1" x14ac:dyDescent="0.25"/>
    <row r="88" spans="3:23" ht="20.100000000000001" customHeight="1" x14ac:dyDescent="0.25">
      <c r="D88" s="56" t="s">
        <v>30</v>
      </c>
      <c r="E88" s="1" t="str" cm="1">
        <f t="array" ref="E88">EntericMethane_Dairy_Equations.VEERG_3_3_1_1__3_DryMatterFeedIntake_Variable()</f>
        <v>I_j</v>
      </c>
    </row>
    <row r="89" spans="3:23" ht="20.100000000000001" customHeight="1" x14ac:dyDescent="0.25">
      <c r="D89" s="56" t="s">
        <v>20</v>
      </c>
      <c r="E89" s="57" t="str" cm="1">
        <f t="array" ref="E89">EntericMethane_Dairy_Equations.VEERG_3_3_1_1__3_DryMatterFeedIntake_Unit()</f>
        <v>kg DM/head/day</v>
      </c>
    </row>
    <row r="90" spans="3:23" ht="20.100000000000001" customHeight="1" x14ac:dyDescent="0.25"/>
    <row r="91" spans="3:23" ht="20.100000000000001" customHeight="1" x14ac:dyDescent="0.25">
      <c r="D91" s="137" t="str" cm="1">
        <f t="array" ref="D91:E94">_xlfn.CHOOSECOLS(EntericMethane_Dairy_Equations.VEERG_3_3_1_1__3_DryMatterFeedIntake_Arguments(),1,2)</f>
        <v>W_j</v>
      </c>
      <c r="E91" s="136" t="str">
        <v>liveweight</v>
      </c>
      <c r="F91" s="138"/>
      <c r="G91" s="137" t="str" cm="1">
        <f t="array" ref="G91:H94">_xlfn.CHOOSECOLS(EntericMethane_Dairy_Equations.VEERG_3_3_1_1__3_DryMatterFeedIntake_Arguments(),3,4)</f>
        <v>kg</v>
      </c>
      <c r="H91" s="135" t="str">
        <v>Input</v>
      </c>
      <c r="I91" s="134" t="str" cm="1">
        <f t="array" aca="1" ref="I91" ca="1">HYPERLINK(Common_InputFunctions.Utility_SourceHyperlink($D$96), $D$96)</f>
        <v>M1_Table_W_j</v>
      </c>
    </row>
    <row r="92" spans="3:23" ht="20.100000000000001" customHeight="1" x14ac:dyDescent="0.25">
      <c r="D92" s="137" t="str">
        <v>LWG_j</v>
      </c>
      <c r="E92" s="136" t="str">
        <v>liveweight gain</v>
      </c>
      <c r="F92" s="138"/>
      <c r="G92" s="137" t="str">
        <v>kg/head/day</v>
      </c>
      <c r="H92" s="135" t="str">
        <v>Input</v>
      </c>
      <c r="I92" s="134" t="str" cm="1">
        <f t="array" aca="1" ref="I92" ca="1">HYPERLINK(Common_InputFunctions.Utility_SourceHyperlink($D$101), $D$101)</f>
        <v>M1_Table_LWG_j</v>
      </c>
    </row>
    <row r="93" spans="3:23" ht="20.100000000000001" customHeight="1" x14ac:dyDescent="0.25">
      <c r="D93" s="137" t="str">
        <v>MR_j</v>
      </c>
      <c r="E93" s="136" t="str">
        <v>increase in metabolic rate when producing milk</v>
      </c>
      <c r="F93" s="138"/>
      <c r="G93" s="137" t="str">
        <v>fraction</v>
      </c>
      <c r="H93" s="133" t="str">
        <v>Constant</v>
      </c>
      <c r="I93" s="134" t="str" cm="1">
        <f t="array" aca="1" ref="I93" ca="1">HYPERLINK(Common_InputFunctions.Utility_SourceHyperlink($D$106), $D$106)</f>
        <v>Table_MR_j</v>
      </c>
    </row>
    <row r="94" spans="3:23" ht="20.100000000000001" customHeight="1" x14ac:dyDescent="0.25">
      <c r="D94" s="137" t="str">
        <v>MI_j</v>
      </c>
      <c r="E94" s="136" t="str">
        <v>additional intake required for milk production</v>
      </c>
      <c r="F94" s="138"/>
      <c r="G94" s="137" t="str">
        <v>kg DM/head/day</v>
      </c>
      <c r="H94" s="133" t="str">
        <v>Calculated from 3.3.1.1 (4)</v>
      </c>
      <c r="I94" s="134" t="str" cm="1">
        <f t="array" aca="1" ref="I94" ca="1">HYPERLINK(Common_InputFunctions.Utility_SourceHyperlink($D$76), $D$76)</f>
        <v>M1_Table_MI_j</v>
      </c>
    </row>
    <row r="95" spans="3:23" ht="20.100000000000001" customHeight="1" x14ac:dyDescent="0.25"/>
    <row r="96" spans="3:23" ht="20.100000000000001" customHeight="1" x14ac:dyDescent="0.25">
      <c r="D96" s="104" t="s">
        <v>214</v>
      </c>
      <c r="O96" s="104" t="s">
        <v>216</v>
      </c>
    </row>
    <row r="97" spans="1:22" ht="20.100000000000001" customHeight="1" x14ac:dyDescent="0.25">
      <c r="D97" s="103" t="s">
        <v>215</v>
      </c>
      <c r="O97" s="103" t="s">
        <v>217</v>
      </c>
    </row>
    <row r="98" spans="1:22" ht="20.100000000000001" customHeight="1" x14ac:dyDescent="0.25">
      <c r="D98" s="41" t="s">
        <v>171</v>
      </c>
      <c r="E98" s="41" t="s">
        <v>188</v>
      </c>
      <c r="F98" s="41" t="s">
        <v>189</v>
      </c>
      <c r="G98" s="41" t="s">
        <v>190</v>
      </c>
      <c r="H98" s="41" t="s">
        <v>191</v>
      </c>
      <c r="O98" s="41" t="s">
        <v>171</v>
      </c>
      <c r="P98" s="41" t="s">
        <v>188</v>
      </c>
      <c r="Q98" s="41" t="s">
        <v>189</v>
      </c>
      <c r="R98" s="41" t="s">
        <v>190</v>
      </c>
      <c r="S98" s="41" t="s">
        <v>191</v>
      </c>
    </row>
    <row r="99" spans="1:22" ht="20.100000000000001" customHeight="1" x14ac:dyDescent="0.25">
      <c r="D99" s="55">
        <f>'Input - Dairy'!$E$14</f>
        <v>550</v>
      </c>
      <c r="E99" s="55">
        <f>'Input - Dairy'!$F$14</f>
        <v>380</v>
      </c>
      <c r="F99" s="55">
        <f>'Input - Dairy'!$G$14</f>
        <v>155</v>
      </c>
      <c r="G99" s="55">
        <f>'Input - Dairy'!$H$14</f>
        <v>600</v>
      </c>
      <c r="H99" s="55">
        <f>'Input - Dairy'!$I$14</f>
        <v>225</v>
      </c>
      <c r="I99" s="2" t="s">
        <v>193</v>
      </c>
      <c r="J99" s="2"/>
      <c r="K99" s="2"/>
      <c r="O99" s="55">
        <f>'Input - Dairy'!$E$18</f>
        <v>550</v>
      </c>
      <c r="P99" s="55">
        <f>'Input - Dairy'!$F$18</f>
        <v>380</v>
      </c>
      <c r="Q99" s="55">
        <f>'Input - Dairy'!$G$18</f>
        <v>155</v>
      </c>
      <c r="R99" s="55">
        <f>'Input - Dairy'!$H$18</f>
        <v>600</v>
      </c>
      <c r="S99" s="55">
        <f>'Input - Dairy'!$I$18</f>
        <v>225</v>
      </c>
      <c r="T99" s="2" t="s">
        <v>193</v>
      </c>
      <c r="U99" s="2"/>
      <c r="V99" s="2"/>
    </row>
    <row r="100" spans="1:22" ht="20.100000000000001" customHeight="1" x14ac:dyDescent="0.25"/>
    <row r="101" spans="1:22" ht="20.100000000000001" customHeight="1" x14ac:dyDescent="0.25">
      <c r="D101" s="104" t="s">
        <v>218</v>
      </c>
      <c r="O101" s="104" t="s">
        <v>220</v>
      </c>
    </row>
    <row r="102" spans="1:22" ht="20.100000000000001" customHeight="1" x14ac:dyDescent="0.25">
      <c r="D102" s="103" t="s">
        <v>219</v>
      </c>
      <c r="O102" s="103" t="s">
        <v>221</v>
      </c>
    </row>
    <row r="103" spans="1:22" ht="20.100000000000001" customHeight="1" x14ac:dyDescent="0.25">
      <c r="D103" s="41" t="s">
        <v>171</v>
      </c>
      <c r="E103" s="41" t="s">
        <v>188</v>
      </c>
      <c r="F103" s="41" t="s">
        <v>189</v>
      </c>
      <c r="G103" s="41" t="s">
        <v>190</v>
      </c>
      <c r="H103" s="41" t="s">
        <v>191</v>
      </c>
      <c r="O103" s="41" t="s">
        <v>171</v>
      </c>
      <c r="P103" s="41" t="s">
        <v>188</v>
      </c>
      <c r="Q103" s="41" t="s">
        <v>189</v>
      </c>
      <c r="R103" s="41" t="s">
        <v>190</v>
      </c>
      <c r="S103" s="41" t="s">
        <v>191</v>
      </c>
    </row>
    <row r="104" spans="1:22" ht="20.100000000000001" customHeight="1" x14ac:dyDescent="0.25">
      <c r="D104" s="55">
        <f>'Input - Dairy'!$E$15</f>
        <v>1.6E-2</v>
      </c>
      <c r="E104" s="55">
        <f>'Input - Dairy'!$F$15</f>
        <v>0.6</v>
      </c>
      <c r="F104" s="55">
        <f>'Input - Dairy'!$G$15</f>
        <v>0.56999999999999995</v>
      </c>
      <c r="G104" s="55">
        <f>'Input - Dairy'!$H$15</f>
        <v>0.1</v>
      </c>
      <c r="H104" s="55">
        <f>'Input - Dairy'!$I$15</f>
        <v>0.8</v>
      </c>
      <c r="I104" s="2" t="s">
        <v>194</v>
      </c>
      <c r="J104" s="2"/>
      <c r="K104" s="2"/>
      <c r="O104" s="55">
        <f>'Input - Dairy'!$E$19</f>
        <v>1.6E-2</v>
      </c>
      <c r="P104" s="55">
        <f>'Input - Dairy'!$F$19</f>
        <v>0.6</v>
      </c>
      <c r="Q104" s="55">
        <f>'Input - Dairy'!$G$19</f>
        <v>0.56999999999999995</v>
      </c>
      <c r="R104" s="55">
        <f>'Input - Dairy'!$H$19</f>
        <v>0.1</v>
      </c>
      <c r="S104" s="55">
        <f>'Input - Dairy'!$I$19</f>
        <v>0.8</v>
      </c>
      <c r="T104" s="2" t="s">
        <v>194</v>
      </c>
      <c r="U104" s="2"/>
      <c r="V104" s="2"/>
    </row>
    <row r="105" spans="1:22" ht="20.100000000000001" customHeight="1" x14ac:dyDescent="0.25">
      <c r="A105" s="141" t="str">
        <f>HYPERLINK("#A1", "▲ Back to top")</f>
        <v>▲ Back to top</v>
      </c>
    </row>
    <row r="106" spans="1:22" ht="20.100000000000001" customHeight="1" x14ac:dyDescent="0.25">
      <c r="D106" s="104" t="s">
        <v>222</v>
      </c>
    </row>
    <row r="107" spans="1:22" ht="20.100000000000001" customHeight="1" x14ac:dyDescent="0.25">
      <c r="D107" s="103" t="s">
        <v>223</v>
      </c>
    </row>
    <row r="108" spans="1:22" ht="20.100000000000001" customHeight="1" x14ac:dyDescent="0.25">
      <c r="D108" s="54" t="s">
        <v>171</v>
      </c>
      <c r="E108" s="54" t="s">
        <v>188</v>
      </c>
      <c r="F108" s="54" t="s">
        <v>189</v>
      </c>
      <c r="G108" s="54" t="s">
        <v>190</v>
      </c>
      <c r="H108" s="54" t="s">
        <v>191</v>
      </c>
    </row>
    <row r="109" spans="1:22" ht="20.100000000000001" customHeight="1" x14ac:dyDescent="0.25">
      <c r="D109" s="55">
        <f>'Constants - Dairy'!$E$108</f>
        <v>1.1000000000000001</v>
      </c>
      <c r="E109" s="55">
        <f>'Constants - Dairy'!$E$109</f>
        <v>1</v>
      </c>
      <c r="F109" s="55">
        <f>'Constants - Dairy'!$E$109</f>
        <v>1</v>
      </c>
      <c r="G109" s="55">
        <f>'Constants - Dairy'!$E$109</f>
        <v>1</v>
      </c>
      <c r="H109" s="55">
        <f>'Constants - Dairy'!$E$109</f>
        <v>1</v>
      </c>
      <c r="I109" s="2" t="s">
        <v>99</v>
      </c>
      <c r="J109" s="2"/>
      <c r="K109" s="2"/>
    </row>
    <row r="110" spans="1:22" ht="20.100000000000001" customHeight="1" x14ac:dyDescent="0.25"/>
    <row r="111" spans="1:22" ht="20.100000000000001" customHeight="1" x14ac:dyDescent="0.25">
      <c r="D111" s="104" t="s">
        <v>111</v>
      </c>
      <c r="O111" s="104" t="s">
        <v>113</v>
      </c>
    </row>
    <row r="112" spans="1:22" ht="20.100000000000001" customHeight="1" x14ac:dyDescent="0.25">
      <c r="D112" s="103" t="s">
        <v>237</v>
      </c>
      <c r="O112" s="103" t="s">
        <v>236</v>
      </c>
    </row>
    <row r="113" spans="3:23" ht="20.100000000000001" customHeight="1" x14ac:dyDescent="0.25">
      <c r="D113" s="54" t="s">
        <v>171</v>
      </c>
      <c r="E113" s="54" t="s">
        <v>188</v>
      </c>
      <c r="F113" s="54" t="s">
        <v>189</v>
      </c>
      <c r="G113" s="54" t="s">
        <v>190</v>
      </c>
      <c r="H113" s="54" t="s">
        <v>191</v>
      </c>
      <c r="O113" s="54" t="s">
        <v>171</v>
      </c>
      <c r="P113" s="54" t="s">
        <v>188</v>
      </c>
      <c r="Q113" s="54" t="s">
        <v>189</v>
      </c>
      <c r="R113" s="54" t="s">
        <v>190</v>
      </c>
      <c r="S113" s="54" t="s">
        <v>191</v>
      </c>
    </row>
    <row r="114" spans="3:23" ht="20.100000000000001" customHeight="1" x14ac:dyDescent="0.25">
      <c r="D114" s="55" cm="1">
        <f t="array" ref="D114">EntericMethane_Dairy_Equations.VEERG_3_3_1_1__3_DryMatterFeedIntake(D99,D104,D109,D79)</f>
        <v>19.520320059621</v>
      </c>
      <c r="E114" s="55" cm="1">
        <f t="array" ref="E114">EntericMethane_Dairy_Equations.VEERG_3_3_1_1__3_DryMatterFeedIntake(E99,E104,E109,E79)</f>
        <v>7.4188685375999972</v>
      </c>
      <c r="F114" s="55" cm="1">
        <f t="array" ref="F114">EntericMethane_Dairy_Equations.VEERG_3_3_1_1__3_DryMatterFeedIntake(F99,F104,F109,F79)</f>
        <v>4.0231734662249998</v>
      </c>
      <c r="G114" s="55" cm="1">
        <f t="array" ref="G114">EntericMethane_Dairy_Equations.VEERG_3_3_1_1__3_DryMatterFeedIntake(G99,G104,G109,G79)</f>
        <v>9.0270202499999979</v>
      </c>
      <c r="H114" s="55" cm="1">
        <f t="array" ref="H114">EntericMethane_Dairy_Equations.VEERG_3_3_1_1__3_DryMatterFeedIntake(H99,H104,H109,H79)</f>
        <v>5.4143472656250013</v>
      </c>
      <c r="I114" s="2" t="str">
        <f>$E$89</f>
        <v>kg DM/head/day</v>
      </c>
      <c r="J114" s="2"/>
      <c r="K114" s="2"/>
      <c r="O114" s="55" cm="1">
        <f t="array" ref="O114">EntericMethane_Dairy_Equations.VEERG_3_3_1_1__3_DryMatterFeedIntake(O99,O104,D109,O79)</f>
        <v>19.520320059621</v>
      </c>
      <c r="P114" s="55" cm="1">
        <f t="array" ref="P114">EntericMethane_Dairy_Equations.VEERG_3_3_1_1__3_DryMatterFeedIntake(P99,P104,E109,P79)</f>
        <v>7.4188685375999972</v>
      </c>
      <c r="Q114" s="55" cm="1">
        <f t="array" ref="Q114">EntericMethane_Dairy_Equations.VEERG_3_3_1_1__3_DryMatterFeedIntake(Q99,Q104,F109,Q79)</f>
        <v>4.0231734662249998</v>
      </c>
      <c r="R114" s="55" cm="1">
        <f t="array" ref="R114">EntericMethane_Dairy_Equations.VEERG_3_3_1_1__3_DryMatterFeedIntake(R99,R104,G109,R79)</f>
        <v>9.0270202499999979</v>
      </c>
      <c r="S114" s="55" cm="1">
        <f t="array" ref="S114">EntericMethane_Dairy_Equations.VEERG_3_3_1_1__3_DryMatterFeedIntake(S99,S104,H109,S79)</f>
        <v>5.4143472656250013</v>
      </c>
      <c r="T114" s="2" t="str">
        <f>$E$89</f>
        <v>kg DM/head/day</v>
      </c>
      <c r="U114" s="2"/>
      <c r="V114" s="2"/>
    </row>
    <row r="115" spans="3:23" ht="20.100000000000001" customHeight="1" x14ac:dyDescent="0.25"/>
    <row r="116" spans="3:23" ht="20.100000000000001" customHeight="1" x14ac:dyDescent="0.25"/>
    <row r="117" spans="3:23" ht="20.100000000000001" customHeight="1" x14ac:dyDescent="0.25">
      <c r="C117" s="48"/>
      <c r="D117" s="48"/>
      <c r="E117" s="48"/>
      <c r="F117" s="48"/>
      <c r="G117" s="48"/>
      <c r="H117" s="48"/>
      <c r="I117" s="48"/>
      <c r="J117" s="48"/>
      <c r="K117" s="48"/>
      <c r="L117" s="48"/>
      <c r="N117" s="48"/>
      <c r="O117" s="48"/>
      <c r="P117" s="48"/>
      <c r="Q117" s="48"/>
      <c r="R117" s="48"/>
      <c r="S117" s="48"/>
      <c r="T117" s="48"/>
      <c r="U117" s="48"/>
      <c r="V117" s="48"/>
      <c r="W117" s="48"/>
    </row>
    <row r="118" spans="3:23" ht="20.100000000000001" customHeight="1" x14ac:dyDescent="0.25">
      <c r="D118" s="6" t="str" cm="1">
        <f t="array" ref="D118">MMS_Dairy_Methane_Equations.VEERG_4_3_1_1__3_VolatileSolidsForWeanedDairyCattle_Title()</f>
        <v>Volatile solids for weaned dairy cattle</v>
      </c>
    </row>
    <row r="119" spans="3:23" ht="20.100000000000001" customHeight="1" x14ac:dyDescent="0.25">
      <c r="D119" s="5" t="str" cm="1">
        <f t="array" ref="D119">MMS_Dairy_Methane_Equations.VEERG_4_3_1_1__3_VolatileSolidsForWeanedDairyCattle_Source()</f>
        <v>VEERG 2026: 4.3.1.1, Equation (3)</v>
      </c>
    </row>
    <row r="120" spans="3:23" ht="20.100000000000001" customHeight="1" x14ac:dyDescent="0.25">
      <c r="D120" s="13" t="s">
        <v>27</v>
      </c>
      <c r="E120" s="13" t="str" cm="1">
        <f t="array" aca="1" ref="E120" ca="1">Common_InputFunctions.Utility_DisplayFunctionName(D133)</f>
        <v>=MMS_Dairy_Methane_Equations.VEERG_4_3_1_1__3_VolatileSolidsForWeanedDairyCattle</v>
      </c>
    </row>
    <row r="121" spans="3:23" ht="20.100000000000001" customHeight="1" x14ac:dyDescent="0.25"/>
    <row r="122" spans="3:23" ht="20.100000000000001" customHeight="1" x14ac:dyDescent="0.25"/>
    <row r="123" spans="3:23" ht="20.100000000000001" customHeight="1" x14ac:dyDescent="0.25">
      <c r="D123" s="56" t="s">
        <v>30</v>
      </c>
      <c r="E123" s="1" t="str" cm="1">
        <f t="array" ref="E123">MMS_Dairy_Methane_Equations.VEERG_4_3_1_1__3_VolatileSolidsForWeanedDairyCattle_Variable()</f>
        <v>VS_j</v>
      </c>
    </row>
    <row r="124" spans="3:23" ht="20.100000000000001" customHeight="1" x14ac:dyDescent="0.25">
      <c r="D124" s="56" t="s">
        <v>20</v>
      </c>
      <c r="E124" s="57" t="str" cm="1">
        <f t="array" ref="E124">MMS_Dairy_Methane_Equations.VEERG_4_3_1_1__3_VolatileSolidsForWeanedDairyCattle_Unit()</f>
        <v>kg/head/day</v>
      </c>
    </row>
    <row r="125" spans="3:23" ht="20.100000000000001" customHeight="1" x14ac:dyDescent="0.25"/>
    <row r="126" spans="3:23" ht="20.100000000000001" customHeight="1" x14ac:dyDescent="0.25">
      <c r="D126" s="137" t="str" cm="1">
        <f t="array" ref="D126:E128">_xlfn.CHOOSECOLS(MMS_Dairy_Methane_Equations.VEERG_4_3_1_1__3_VolatileSolidsForWeanedDairyCattle_Arguments(), 1,2)</f>
        <v>I_j</v>
      </c>
      <c r="E126" s="136" t="str">
        <v>dry matter feed intake (kgDM/head/day)</v>
      </c>
      <c r="F126" s="138"/>
      <c r="G126" s="137" t="str" cm="1">
        <f t="array" ref="G126:H128">_xlfn.CHOOSECOLS(MMS_Dairy_Methane_Equations.VEERG_4_3_1_1__3_VolatileSolidsForWeanedDairyCattle_Arguments(), 3,4)</f>
        <v>kgDM/head/day</v>
      </c>
      <c r="H126" s="133" t="str">
        <v>Calculated from 3.3.1.1 (3)</v>
      </c>
      <c r="I126" s="134" t="str" cm="1">
        <f t="array" aca="1" ref="I126" ca="1">HYPERLINK(Common_InputFunctions.Utility_SourceHyperlink($D$111), $D$111)</f>
        <v>M1_Table_I_j</v>
      </c>
    </row>
    <row r="127" spans="3:23" ht="20.100000000000001" customHeight="1" x14ac:dyDescent="0.25">
      <c r="D127" s="137" t="str">
        <v>DMD_j</v>
      </c>
      <c r="E127" s="136" t="str">
        <v>dry matter digestibility</v>
      </c>
      <c r="F127" s="138"/>
      <c r="G127" s="137" t="str">
        <v>fraction</v>
      </c>
      <c r="H127" s="135" t="str">
        <v>Input</v>
      </c>
      <c r="I127" s="134" t="str" cm="1">
        <f t="array" aca="1" ref="I127" ca="1">HYPERLINK(Common_InputFunctions.Utility_SourceHyperlink($D$16), $D$16)</f>
        <v>M1_Table_DMD_j</v>
      </c>
    </row>
    <row r="128" spans="3:23" ht="20.100000000000001" customHeight="1" x14ac:dyDescent="0.25">
      <c r="D128" s="137" t="str">
        <v>A</v>
      </c>
      <c r="E128" s="136" t="str">
        <v>ash content of feed intake</v>
      </c>
      <c r="F128" s="138"/>
      <c r="G128" s="137" t="str">
        <v>fraction</v>
      </c>
      <c r="H128" s="133" t="str">
        <v>Constant</v>
      </c>
      <c r="I128" s="137">
        <f>'Constants - Dairy'!$D$188</f>
        <v>0.08</v>
      </c>
    </row>
    <row r="129" spans="3:23" ht="20.100000000000001" customHeight="1" x14ac:dyDescent="0.25"/>
    <row r="130" spans="3:23" ht="20.100000000000001" customHeight="1" x14ac:dyDescent="0.25">
      <c r="D130" s="104" t="s">
        <v>124</v>
      </c>
      <c r="O130" s="104" t="s">
        <v>127</v>
      </c>
    </row>
    <row r="131" spans="3:23" ht="20.100000000000001" customHeight="1" x14ac:dyDescent="0.25">
      <c r="D131" s="103" t="s">
        <v>238</v>
      </c>
      <c r="O131" s="103" t="s">
        <v>239</v>
      </c>
    </row>
    <row r="132" spans="3:23" ht="20.100000000000001" customHeight="1" x14ac:dyDescent="0.25">
      <c r="D132" s="54" t="s">
        <v>171</v>
      </c>
      <c r="E132" s="54" t="s">
        <v>188</v>
      </c>
      <c r="F132" s="54" t="s">
        <v>189</v>
      </c>
      <c r="G132" s="54" t="s">
        <v>190</v>
      </c>
      <c r="H132" s="54" t="s">
        <v>191</v>
      </c>
      <c r="O132" s="54" t="s">
        <v>171</v>
      </c>
      <c r="P132" s="54" t="s">
        <v>188</v>
      </c>
      <c r="Q132" s="54" t="s">
        <v>189</v>
      </c>
      <c r="R132" s="54" t="s">
        <v>190</v>
      </c>
      <c r="S132" s="54" t="s">
        <v>191</v>
      </c>
    </row>
    <row r="133" spans="3:23" ht="20.100000000000001" customHeight="1" x14ac:dyDescent="0.25">
      <c r="D133" s="55" cm="1">
        <f t="array" ref="D133">MMS_Dairy_Methane_Equations.VEERG_4_3_1_1__3_VolatileSolidsForWeanedDairyCattle(D114,D19,$I$128)</f>
        <v>6.105956114649449</v>
      </c>
      <c r="E133" s="55" cm="1">
        <f t="array" ref="E133">MMS_Dairy_Methane_Equations.VEERG_4_3_1_1__3_VolatileSolidsForWeanedDairyCattle(E114,E19,$I$128)</f>
        <v>2.3206220785612794</v>
      </c>
      <c r="F133" s="55" cm="1">
        <f t="array" ref="F133">MMS_Dairy_Methane_Equations.VEERG_4_3_1_1__3_VolatileSolidsForWeanedDairyCattle(F114,F19,$I$128)</f>
        <v>1.2584486602351803</v>
      </c>
      <c r="G133" s="55" cm="1">
        <f t="array" ref="G133">MMS_Dairy_Methane_Equations.VEERG_4_3_1_1__3_VolatileSolidsForWeanedDairyCattle(G114,G19,$I$128)</f>
        <v>2.8236519341999999</v>
      </c>
      <c r="H133" s="55" cm="1">
        <f t="array" ref="H133">MMS_Dairy_Methane_Equations.VEERG_4_3_1_1__3_VolatileSolidsForWeanedDairyCattle(H114,H19,$I$128)</f>
        <v>1.6936078246875008</v>
      </c>
      <c r="I133" s="2" t="str">
        <f>$E$124</f>
        <v>kg/head/day</v>
      </c>
      <c r="O133" s="55" cm="1">
        <f t="array" ref="O133">MMS_Dairy_Methane_Equations.VEERG_4_3_1_1__3_VolatileSolidsForWeanedDairyCattle(O114,O19,$I$128)</f>
        <v>6.105956114649449</v>
      </c>
      <c r="P133" s="55" cm="1">
        <f t="array" ref="P133">MMS_Dairy_Methane_Equations.VEERG_4_3_1_1__3_VolatileSolidsForWeanedDairyCattle(P114,P19,$I$128)</f>
        <v>2.3206220785612794</v>
      </c>
      <c r="Q133" s="55" cm="1">
        <f t="array" ref="Q133">MMS_Dairy_Methane_Equations.VEERG_4_3_1_1__3_VolatileSolidsForWeanedDairyCattle(Q114,Q19,$I$128)</f>
        <v>1.2584486602351803</v>
      </c>
      <c r="R133" s="55" cm="1">
        <f t="array" ref="R133">MMS_Dairy_Methane_Equations.VEERG_4_3_1_1__3_VolatileSolidsForWeanedDairyCattle(R114,R19,$I$128)</f>
        <v>2.8236519341999999</v>
      </c>
      <c r="S133" s="55" cm="1">
        <f t="array" ref="S133">MMS_Dairy_Methane_Equations.VEERG_4_3_1_1__3_VolatileSolidsForWeanedDairyCattle(S114,S19,$I$128)</f>
        <v>1.6936078246875008</v>
      </c>
      <c r="T133" s="2" t="str">
        <f>$E$124</f>
        <v>kg/head/day</v>
      </c>
    </row>
    <row r="134" spans="3:23" ht="20.100000000000001" customHeight="1" x14ac:dyDescent="0.25"/>
    <row r="135" spans="3:23" ht="20.100000000000001" customHeight="1" x14ac:dyDescent="0.25"/>
    <row r="136" spans="3:23" ht="20.100000000000001" customHeight="1" x14ac:dyDescent="0.25">
      <c r="C136" s="48"/>
      <c r="D136" s="48"/>
      <c r="E136" s="48"/>
      <c r="F136" s="48"/>
      <c r="G136" s="48"/>
      <c r="H136" s="48"/>
      <c r="I136" s="48"/>
      <c r="J136" s="48"/>
      <c r="K136" s="48"/>
      <c r="L136" s="48"/>
      <c r="N136" s="48"/>
      <c r="O136" s="48"/>
      <c r="P136" s="48"/>
      <c r="Q136" s="48"/>
      <c r="R136" s="48"/>
      <c r="S136" s="48"/>
      <c r="T136" s="48"/>
      <c r="U136" s="48"/>
      <c r="V136" s="48"/>
      <c r="W136" s="48"/>
    </row>
    <row r="137" spans="3:23" ht="20.100000000000001" customHeight="1" x14ac:dyDescent="0.25">
      <c r="D137" s="6" t="str" cm="1">
        <f t="array" ref="D137">MMS_Dairy_Methane_Equations.VEERG_4_3_1_1__4_FractionVolatileSolidsNotSolidStorage_Title()</f>
        <v>Fraction of volatile solids in each system other than solid storage</v>
      </c>
    </row>
    <row r="138" spans="3:23" ht="20.100000000000001" customHeight="1" x14ac:dyDescent="0.25">
      <c r="D138" s="5" t="str" cm="1">
        <f t="array" ref="D138">MMS_Dairy_Methane_Equations.VEERG_4_3_1_1__4_FractionVolatileSolidsNotSolidStorage_Source()</f>
        <v>VEERG 2026: 4.3.1.1, Equation (4)</v>
      </c>
      <c r="E138" s="13"/>
    </row>
    <row r="139" spans="3:23" ht="20.100000000000001" customHeight="1" x14ac:dyDescent="0.25">
      <c r="D139" s="13" t="s">
        <v>27</v>
      </c>
      <c r="E139" s="13" t="str" cm="1">
        <f t="array" aca="1" ref="E139" ca="1">Common_InputFunctions.Utility_DisplayFunctionName(F174)</f>
        <v>=MMS_Dairy_Methane_Equations.VEERG_4_3_1_1__4_FractionVolatileSolidsNotSolidStorage</v>
      </c>
    </row>
    <row r="140" spans="3:23" ht="20.100000000000001" customHeight="1" x14ac:dyDescent="0.25">
      <c r="D140" s="6"/>
    </row>
    <row r="141" spans="3:23" ht="20.100000000000001" customHeight="1" x14ac:dyDescent="0.25"/>
    <row r="142" spans="3:23" ht="20.100000000000001" customHeight="1" x14ac:dyDescent="0.25">
      <c r="D142" s="56" t="s">
        <v>30</v>
      </c>
      <c r="E142" s="1" t="str" cm="1">
        <f t="array" ref="E142">MMS_Dairy_Methane_Equations.VEERG_4_3_1_1__4_FractionVolatileSolidsNotSolidStorage_Variable()</f>
        <v>FVS_jm</v>
      </c>
    </row>
    <row r="143" spans="3:23" ht="20.100000000000001" customHeight="1" x14ac:dyDescent="0.25">
      <c r="D143" s="56" t="s">
        <v>20</v>
      </c>
      <c r="E143" s="57" t="str" cm="1">
        <f t="array" ref="E143">MMS_Dairy_Methane_Equations.VEERG_4_3_1_1__4_FractionVolatileSolidsNotSolidStorage_Unit()</f>
        <v>fraction</v>
      </c>
    </row>
    <row r="144" spans="3:23" ht="20.100000000000001" customHeight="1" x14ac:dyDescent="0.25"/>
    <row r="145" spans="1:22" ht="20.100000000000001" customHeight="1" x14ac:dyDescent="0.25">
      <c r="D145" s="137" t="str" cm="1">
        <f t="array" ref="D145:E146">_xlfn.CHOOSECOLS(MMS_Dairy_Methane_Equations.VEERG_4_3_1_1__4_FractionVolatileSolidsNotSolidStorage_Arguments(),1,2)</f>
        <v>MMS_jm</v>
      </c>
      <c r="E145" s="137" t="str">
        <v>fraction of manure to each primary MMS for each class prior to solid separation</v>
      </c>
      <c r="F145" s="137"/>
      <c r="G145" s="137" t="str" cm="1">
        <f t="array" ref="G145:H146">_xlfn.CHOOSECOLS(MMS_Dairy_Methane_Equations.VEERG_4_3_1_1__4_FractionVolatileSolidsNotSolidStorage_Arguments(),3,4)</f>
        <v>fraction</v>
      </c>
      <c r="H145" s="135" t="str">
        <v>Input</v>
      </c>
      <c r="I145" s="134" t="str" cm="1">
        <f t="array" aca="1" ref="I145" ca="1">HYPERLINK(Common_InputFunctions.Utility_SourceHyperlink($D$148),$D$148)</f>
        <v>M1_Table_MMS_j_m</v>
      </c>
    </row>
    <row r="146" spans="1:22" ht="20.100000000000001" customHeight="1" x14ac:dyDescent="0.25">
      <c r="D146" s="137" t="str">
        <v>SS_m</v>
      </c>
      <c r="E146" s="137" t="str">
        <v>fraction of volatile solids separated to solid storage for each MMS</v>
      </c>
      <c r="F146" s="137"/>
      <c r="G146" s="137" t="str">
        <v>fraction</v>
      </c>
      <c r="H146" s="135" t="str">
        <v>Input</v>
      </c>
      <c r="I146" s="134" t="str" cm="1">
        <f t="array" aca="1" ref="I146" ca="1">HYPERLINK(Common_InputFunctions.Utility_SourceHyperlink($D$159),$D$159)</f>
        <v>M1_Table_SS_m</v>
      </c>
    </row>
    <row r="147" spans="1:22" ht="20.100000000000001" customHeight="1" x14ac:dyDescent="0.25"/>
    <row r="148" spans="1:22" ht="20.100000000000001" customHeight="1" x14ac:dyDescent="0.25">
      <c r="D148" s="104" t="s">
        <v>244</v>
      </c>
      <c r="O148" s="104" t="s">
        <v>246</v>
      </c>
    </row>
    <row r="149" spans="1:22" ht="20.100000000000001" customHeight="1" x14ac:dyDescent="0.25">
      <c r="D149" s="103" t="s">
        <v>245</v>
      </c>
      <c r="O149" s="103" t="s">
        <v>247</v>
      </c>
    </row>
    <row r="150" spans="1:22" ht="20.100000000000001" customHeight="1" x14ac:dyDescent="0.25">
      <c r="D150" s="41" t="s">
        <v>146</v>
      </c>
      <c r="E150" s="41" t="s">
        <v>68</v>
      </c>
      <c r="F150" s="41" t="s">
        <v>171</v>
      </c>
      <c r="G150" s="41" t="s">
        <v>188</v>
      </c>
      <c r="H150" s="41" t="s">
        <v>189</v>
      </c>
      <c r="I150" s="41" t="s">
        <v>190</v>
      </c>
      <c r="J150" s="41" t="s">
        <v>191</v>
      </c>
      <c r="O150" s="41" t="s">
        <v>146</v>
      </c>
      <c r="P150" s="41" t="s">
        <v>68</v>
      </c>
      <c r="Q150" s="41" t="s">
        <v>171</v>
      </c>
      <c r="R150" s="41" t="s">
        <v>188</v>
      </c>
      <c r="S150" s="41" t="s">
        <v>189</v>
      </c>
      <c r="T150" s="41" t="s">
        <v>190</v>
      </c>
      <c r="U150" s="41" t="s">
        <v>191</v>
      </c>
    </row>
    <row r="151" spans="1:22" ht="20.100000000000001" customHeight="1" x14ac:dyDescent="0.25">
      <c r="A151" s="141" t="str">
        <f>HYPERLINK("#A1", "▲ Back to top")</f>
        <v>▲ Back to top</v>
      </c>
      <c r="D151" s="55" t="str">
        <f>'Input - Dairy'!$D$65</f>
        <v>Pasture</v>
      </c>
      <c r="E151" s="55" t="str">
        <f>'Constants - Livestock'!$E$27</f>
        <v>Pasture range and paddock</v>
      </c>
      <c r="F151" s="55">
        <f>'Input - Dairy'!E65</f>
        <v>0.53400000000000003</v>
      </c>
      <c r="G151" s="55">
        <f>'Input - Dairy'!F65</f>
        <v>0.53400000000000003</v>
      </c>
      <c r="H151" s="55">
        <f>'Input - Dairy'!G65</f>
        <v>0.53400000000000003</v>
      </c>
      <c r="I151" s="55">
        <f>'Input - Dairy'!H65</f>
        <v>0.53400000000000003</v>
      </c>
      <c r="J151" s="55">
        <f>'Input - Dairy'!I65</f>
        <v>0.53400000000000003</v>
      </c>
      <c r="K151" s="2" t="str">
        <f>$G$145</f>
        <v>fraction</v>
      </c>
      <c r="O151" s="55" t="str">
        <f>'Input - Dairy'!$D$65</f>
        <v>Pasture</v>
      </c>
      <c r="P151" s="55" t="str">
        <f>'Constants - Livestock'!$E$27</f>
        <v>Pasture range and paddock</v>
      </c>
      <c r="Q151" s="55">
        <f>'Input - Dairy'!E70</f>
        <v>0.53400000000000003</v>
      </c>
      <c r="R151" s="55">
        <f>'Input - Dairy'!F70</f>
        <v>0.53400000000000003</v>
      </c>
      <c r="S151" s="55">
        <f>'Input - Dairy'!G70</f>
        <v>0.53400000000000003</v>
      </c>
      <c r="T151" s="55">
        <f>'Input - Dairy'!H70</f>
        <v>0.53400000000000003</v>
      </c>
      <c r="U151" s="55">
        <f>'Input - Dairy'!I70</f>
        <v>0.53400000000000003</v>
      </c>
    </row>
    <row r="152" spans="1:22" ht="20.100000000000001" customHeight="1" x14ac:dyDescent="0.25">
      <c r="D152" s="55" t="str">
        <f>'Input - Dairy'!$D$66</f>
        <v>Milking shed</v>
      </c>
      <c r="E152" s="55" t="str">
        <f>'Input - Dairy'!$D$81</f>
        <v>Anaerobic lagoon</v>
      </c>
      <c r="F152" s="55">
        <f>'Input - Dairy'!E$66*'Input - Dairy'!E81</f>
        <v>2.75E-2</v>
      </c>
      <c r="G152" s="55">
        <f>'Input - Dairy'!F$66*'Input - Dairy'!F81</f>
        <v>2.75E-2</v>
      </c>
      <c r="H152" s="55">
        <f>'Input - Dairy'!G$66*'Input - Dairy'!G81</f>
        <v>2.75E-2</v>
      </c>
      <c r="I152" s="55">
        <f>'Input - Dairy'!H$66*'Input - Dairy'!H81</f>
        <v>2.75E-2</v>
      </c>
      <c r="J152" s="55">
        <f>'Input - Dairy'!I$66*'Input - Dairy'!I81</f>
        <v>2.75E-2</v>
      </c>
      <c r="K152" s="2"/>
      <c r="O152" s="55" t="str">
        <f>'Input - Dairy'!$D$66</f>
        <v>Milking shed</v>
      </c>
      <c r="P152" s="55" t="str">
        <f>'Input - Dairy'!$D$81</f>
        <v>Anaerobic lagoon</v>
      </c>
      <c r="Q152" s="55">
        <f>'Input - Dairy'!E$71*'Input - Dairy'!E81</f>
        <v>2.75E-2</v>
      </c>
      <c r="R152" s="55">
        <f>'Input - Dairy'!F$71*'Input - Dairy'!F81</f>
        <v>2.75E-2</v>
      </c>
      <c r="S152" s="55">
        <f>'Input - Dairy'!G$71*'Input - Dairy'!G81</f>
        <v>2.75E-2</v>
      </c>
      <c r="T152" s="55">
        <f>'Input - Dairy'!H$71*'Input - Dairy'!H81</f>
        <v>2.75E-2</v>
      </c>
      <c r="U152" s="55">
        <f>'Input - Dairy'!I$71*'Input - Dairy'!I81</f>
        <v>2.75E-2</v>
      </c>
      <c r="V152" s="2" t="str">
        <f>$G$145</f>
        <v>fraction</v>
      </c>
    </row>
    <row r="153" spans="1:22" ht="20.100000000000001" customHeight="1" x14ac:dyDescent="0.25">
      <c r="D153" s="55" t="str">
        <f>'Input - Dairy'!$D$66</f>
        <v>Milking shed</v>
      </c>
      <c r="E153" s="55" t="str">
        <f>'Input - Dairy'!$D$86</f>
        <v>Sump and dispersal system</v>
      </c>
      <c r="F153" s="55">
        <f>'Input - Dairy'!E$66*'Input - Dairy'!E86</f>
        <v>2.75E-2</v>
      </c>
      <c r="G153" s="55">
        <f>'Input - Dairy'!F$66*'Input - Dairy'!F86</f>
        <v>2.75E-2</v>
      </c>
      <c r="H153" s="55">
        <f>'Input - Dairy'!G$66*'Input - Dairy'!G86</f>
        <v>2.75E-2</v>
      </c>
      <c r="I153" s="55">
        <f>'Input - Dairy'!H$66*'Input - Dairy'!H86</f>
        <v>2.75E-2</v>
      </c>
      <c r="J153" s="55">
        <f>'Input - Dairy'!I$66*'Input - Dairy'!I86</f>
        <v>2.75E-2</v>
      </c>
      <c r="K153" s="2"/>
      <c r="O153" s="55" t="str">
        <f>'Input - Dairy'!$D$66</f>
        <v>Milking shed</v>
      </c>
      <c r="P153" s="55" t="str">
        <f>'Input - Dairy'!$D$86</f>
        <v>Sump and dispersal system</v>
      </c>
      <c r="Q153" s="55">
        <f>'Input - Dairy'!E$71*'Input - Dairy'!E86</f>
        <v>2.75E-2</v>
      </c>
      <c r="R153" s="55">
        <f>'Input - Dairy'!F$71*'Input - Dairy'!F86</f>
        <v>2.75E-2</v>
      </c>
      <c r="S153" s="55">
        <f>'Input - Dairy'!G$71*'Input - Dairy'!G86</f>
        <v>2.75E-2</v>
      </c>
      <c r="T153" s="55">
        <f>'Input - Dairy'!H$71*'Input - Dairy'!H86</f>
        <v>2.75E-2</v>
      </c>
      <c r="U153" s="55">
        <f>'Input - Dairy'!I$71*'Input - Dairy'!I86</f>
        <v>2.75E-2</v>
      </c>
      <c r="V153" s="2"/>
    </row>
    <row r="154" spans="1:22" ht="20.100000000000001" customHeight="1" x14ac:dyDescent="0.25">
      <c r="D154" s="55" t="str">
        <f>'Input - Dairy'!$D$66</f>
        <v>Milking shed</v>
      </c>
      <c r="E154" s="55" t="str">
        <f>'Input - Dairy'!$D$91</f>
        <v>Drains to paddock</v>
      </c>
      <c r="F154" s="55">
        <f>'Input - Dairy'!E$66*'Input - Dairy'!E91</f>
        <v>2.75E-2</v>
      </c>
      <c r="G154" s="55">
        <f>'Input - Dairy'!F$66*'Input - Dairy'!F91</f>
        <v>2.75E-2</v>
      </c>
      <c r="H154" s="55">
        <f>'Input - Dairy'!G$66*'Input - Dairy'!G91</f>
        <v>2.75E-2</v>
      </c>
      <c r="I154" s="55">
        <f>'Input - Dairy'!H$66*'Input - Dairy'!H91</f>
        <v>2.75E-2</v>
      </c>
      <c r="J154" s="55">
        <f>'Input - Dairy'!I$66*'Input - Dairy'!I91</f>
        <v>2.75E-2</v>
      </c>
      <c r="K154" s="2"/>
      <c r="O154" s="55" t="str">
        <f>'Input - Dairy'!$D$66</f>
        <v>Milking shed</v>
      </c>
      <c r="P154" s="55" t="str">
        <f>'Input - Dairy'!$D$91</f>
        <v>Drains to paddock</v>
      </c>
      <c r="Q154" s="55">
        <f>'Input - Dairy'!E$71*'Input - Dairy'!E91</f>
        <v>2.75E-2</v>
      </c>
      <c r="R154" s="55">
        <f>'Input - Dairy'!F$71*'Input - Dairy'!F91</f>
        <v>2.75E-2</v>
      </c>
      <c r="S154" s="55">
        <f>'Input - Dairy'!G$71*'Input - Dairy'!G91</f>
        <v>2.75E-2</v>
      </c>
      <c r="T154" s="55">
        <f>'Input - Dairy'!H$71*'Input - Dairy'!H91</f>
        <v>2.75E-2</v>
      </c>
      <c r="U154" s="55">
        <f>'Input - Dairy'!I$71*'Input - Dairy'!I91</f>
        <v>2.75E-2</v>
      </c>
      <c r="V154" s="2"/>
    </row>
    <row r="155" spans="1:22" ht="20.100000000000001" customHeight="1" x14ac:dyDescent="0.25">
      <c r="D155" s="55" t="str">
        <f>'Input - Dairy'!$D$67</f>
        <v>Feed pad</v>
      </c>
      <c r="E155" s="55" t="str">
        <f>'Input - Dairy'!$D$105</f>
        <v>Anaerobic lagoon</v>
      </c>
      <c r="F155" s="55">
        <f>'Input - Dairy'!E$67*'Input - Dairy'!E105</f>
        <v>8.8999999999999996E-2</v>
      </c>
      <c r="G155" s="55">
        <f>'Input - Dairy'!F$67*'Input - Dairy'!F105</f>
        <v>8.8999999999999996E-2</v>
      </c>
      <c r="H155" s="55">
        <f>'Input - Dairy'!G$67*'Input - Dairy'!G105</f>
        <v>8.8999999999999996E-2</v>
      </c>
      <c r="I155" s="55">
        <f>'Input - Dairy'!H$67*'Input - Dairy'!H105</f>
        <v>8.8999999999999996E-2</v>
      </c>
      <c r="J155" s="55">
        <f>'Input - Dairy'!I$67*'Input - Dairy'!I105</f>
        <v>8.8999999999999996E-2</v>
      </c>
      <c r="K155" s="2"/>
      <c r="O155" s="55" t="str">
        <f>'Input - Dairy'!$D$67</f>
        <v>Feed pad</v>
      </c>
      <c r="P155" s="55" t="str">
        <f>'Input - Dairy'!$D$105</f>
        <v>Anaerobic lagoon</v>
      </c>
      <c r="Q155" s="55">
        <f>'Input - Dairy'!E$72*'Input - Dairy'!E105</f>
        <v>8.8999999999999996E-2</v>
      </c>
      <c r="R155" s="55">
        <f>'Input - Dairy'!F$72*'Input - Dairy'!F105</f>
        <v>8.8999999999999996E-2</v>
      </c>
      <c r="S155" s="55">
        <f>'Input - Dairy'!G$72*'Input - Dairy'!G105</f>
        <v>8.8999999999999996E-2</v>
      </c>
      <c r="T155" s="55">
        <f>'Input - Dairy'!H$72*'Input - Dairy'!H105</f>
        <v>8.8999999999999996E-2</v>
      </c>
      <c r="U155" s="55">
        <f>'Input - Dairy'!I$72*'Input - Dairy'!I105</f>
        <v>8.8999999999999996E-2</v>
      </c>
      <c r="V155" s="2"/>
    </row>
    <row r="156" spans="1:22" ht="20.100000000000001" customHeight="1" x14ac:dyDescent="0.25">
      <c r="D156" s="55" t="str">
        <f>'Input - Dairy'!$D$67</f>
        <v>Feed pad</v>
      </c>
      <c r="E156" s="55" t="str">
        <f>'Input - Dairy'!$D$110</f>
        <v>Sump and dispersal system</v>
      </c>
      <c r="F156" s="55">
        <f>'Input - Dairy'!E$67*'Input - Dairy'!E110</f>
        <v>8.8999999999999996E-2</v>
      </c>
      <c r="G156" s="55">
        <f>'Input - Dairy'!F$67*'Input - Dairy'!F110</f>
        <v>8.8999999999999996E-2</v>
      </c>
      <c r="H156" s="55">
        <f>'Input - Dairy'!G$67*'Input - Dairy'!G110</f>
        <v>8.8999999999999996E-2</v>
      </c>
      <c r="I156" s="55">
        <f>'Input - Dairy'!H$67*'Input - Dairy'!H110</f>
        <v>8.8999999999999996E-2</v>
      </c>
      <c r="J156" s="55">
        <f>'Input - Dairy'!I$67*'Input - Dairy'!I110</f>
        <v>8.8999999999999996E-2</v>
      </c>
      <c r="K156" s="2"/>
      <c r="O156" s="55" t="str">
        <f>'Input - Dairy'!$D$67</f>
        <v>Feed pad</v>
      </c>
      <c r="P156" s="55" t="str">
        <f>'Input - Dairy'!$D$110</f>
        <v>Sump and dispersal system</v>
      </c>
      <c r="Q156" s="55">
        <f>'Input - Dairy'!E$72*'Input - Dairy'!E110</f>
        <v>8.8999999999999996E-2</v>
      </c>
      <c r="R156" s="55">
        <f>'Input - Dairy'!F$72*'Input - Dairy'!F110</f>
        <v>8.8999999999999996E-2</v>
      </c>
      <c r="S156" s="55">
        <f>'Input - Dairy'!G$72*'Input - Dairy'!G110</f>
        <v>8.8999999999999996E-2</v>
      </c>
      <c r="T156" s="55">
        <f>'Input - Dairy'!H$72*'Input - Dairy'!H110</f>
        <v>8.8999999999999996E-2</v>
      </c>
      <c r="U156" s="55">
        <f>'Input - Dairy'!I$72*'Input - Dairy'!I110</f>
        <v>8.8999999999999996E-2</v>
      </c>
      <c r="V156" s="2"/>
    </row>
    <row r="157" spans="1:22" ht="20.100000000000001" customHeight="1" x14ac:dyDescent="0.25">
      <c r="D157" s="55" t="str">
        <f>'Input - Dairy'!$D$67</f>
        <v>Feed pad</v>
      </c>
      <c r="E157" s="55" t="str">
        <f>'Input - Dairy'!$D$115</f>
        <v>Drains to paddock</v>
      </c>
      <c r="F157" s="55">
        <f>'Input - Dairy'!E$67*'Input - Dairy'!E115</f>
        <v>8.8999999999999996E-2</v>
      </c>
      <c r="G157" s="55">
        <f>'Input - Dairy'!F$67*'Input - Dairy'!F115</f>
        <v>8.8999999999999996E-2</v>
      </c>
      <c r="H157" s="55">
        <f>'Input - Dairy'!G$67*'Input - Dairy'!G115</f>
        <v>8.8999999999999996E-2</v>
      </c>
      <c r="I157" s="55">
        <f>'Input - Dairy'!H$67*'Input - Dairy'!H115</f>
        <v>8.8999999999999996E-2</v>
      </c>
      <c r="J157" s="55">
        <f>'Input - Dairy'!I$67*'Input - Dairy'!I115</f>
        <v>8.8999999999999996E-2</v>
      </c>
      <c r="K157" s="2"/>
      <c r="O157" s="55" t="str">
        <f>'Input - Dairy'!$D$67</f>
        <v>Feed pad</v>
      </c>
      <c r="P157" s="55" t="str">
        <f>'Input - Dairy'!$D$115</f>
        <v>Drains to paddock</v>
      </c>
      <c r="Q157" s="55">
        <f>'Input - Dairy'!E$72*'Input - Dairy'!E115</f>
        <v>8.8999999999999996E-2</v>
      </c>
      <c r="R157" s="55">
        <f>'Input - Dairy'!F$72*'Input - Dairy'!F115</f>
        <v>8.8999999999999996E-2</v>
      </c>
      <c r="S157" s="55">
        <f>'Input - Dairy'!G$72*'Input - Dairy'!G115</f>
        <v>8.8999999999999996E-2</v>
      </c>
      <c r="T157" s="55">
        <f>'Input - Dairy'!H$72*'Input - Dairy'!H115</f>
        <v>8.8999999999999996E-2</v>
      </c>
      <c r="U157" s="55">
        <f>'Input - Dairy'!I$72*'Input - Dairy'!I115</f>
        <v>8.8999999999999996E-2</v>
      </c>
      <c r="V157" s="2"/>
    </row>
    <row r="158" spans="1:22" ht="20.100000000000001" customHeight="1" x14ac:dyDescent="0.25"/>
    <row r="159" spans="1:22" ht="20.100000000000001" customHeight="1" x14ac:dyDescent="0.25">
      <c r="D159" s="104" t="s">
        <v>242</v>
      </c>
      <c r="O159" s="104" t="s">
        <v>248</v>
      </c>
    </row>
    <row r="160" spans="1:22" ht="20.100000000000001" customHeight="1" x14ac:dyDescent="0.25">
      <c r="D160" s="103" t="s">
        <v>251</v>
      </c>
      <c r="O160" s="103" t="s">
        <v>252</v>
      </c>
    </row>
    <row r="161" spans="4:22" ht="20.100000000000001" customHeight="1" x14ac:dyDescent="0.25">
      <c r="D161" s="41" t="s">
        <v>146</v>
      </c>
      <c r="E161" s="41" t="s">
        <v>68</v>
      </c>
      <c r="F161" s="41" t="s">
        <v>243</v>
      </c>
      <c r="O161" s="41" t="s">
        <v>146</v>
      </c>
      <c r="P161" s="41" t="s">
        <v>68</v>
      </c>
      <c r="Q161" s="41" t="s">
        <v>243</v>
      </c>
    </row>
    <row r="162" spans="4:22" ht="20.100000000000001" customHeight="1" x14ac:dyDescent="0.25">
      <c r="D162" s="55" t="str">
        <f>'Input - Dairy'!$D$65</f>
        <v>Pasture</v>
      </c>
      <c r="E162" s="55" t="str">
        <f>'Constants - Livestock'!$E$27</f>
        <v>Pasture range and paddock</v>
      </c>
      <c r="F162" s="55">
        <v>0</v>
      </c>
      <c r="G162" s="2" t="str">
        <f>$G$146</f>
        <v>fraction</v>
      </c>
      <c r="O162" s="55" t="str">
        <f>'Input - Dairy'!$D$65</f>
        <v>Pasture</v>
      </c>
      <c r="P162" s="55" t="str">
        <f>'Constants - Livestock'!$E$27</f>
        <v>Pasture range and paddock</v>
      </c>
      <c r="Q162" s="55">
        <v>0</v>
      </c>
      <c r="R162" s="2" t="str">
        <f>$G$146</f>
        <v>fraction</v>
      </c>
    </row>
    <row r="163" spans="4:22" ht="20.100000000000001" customHeight="1" x14ac:dyDescent="0.25">
      <c r="D163" s="55" t="str">
        <f>'Input - Dairy'!$D$66</f>
        <v>Milking shed</v>
      </c>
      <c r="E163" s="55" t="str">
        <f>'Input - Dairy'!$D$81</f>
        <v>Anaerobic lagoon</v>
      </c>
      <c r="F163" s="55">
        <f>'Input - Dairy'!$E$83</f>
        <v>0</v>
      </c>
      <c r="O163" s="55" t="str">
        <f>'Input - Dairy'!$D$66</f>
        <v>Milking shed</v>
      </c>
      <c r="P163" s="55" t="str">
        <f>'Input - Dairy'!$D$81</f>
        <v>Anaerobic lagoon</v>
      </c>
      <c r="Q163" s="55">
        <f>'Input - Dairy'!$E$84</f>
        <v>0</v>
      </c>
      <c r="R163" s="2"/>
    </row>
    <row r="164" spans="4:22" ht="20.100000000000001" customHeight="1" x14ac:dyDescent="0.25">
      <c r="D164" s="55" t="str">
        <f>'Input - Dairy'!$D$66</f>
        <v>Milking shed</v>
      </c>
      <c r="E164" s="55" t="str">
        <f>'Input - Dairy'!$D$86</f>
        <v>Sump and dispersal system</v>
      </c>
      <c r="F164" s="55">
        <f>'Input - Dairy'!$E$88</f>
        <v>0.2</v>
      </c>
      <c r="G164" s="2"/>
      <c r="O164" s="55" t="str">
        <f>'Input - Dairy'!$D$66</f>
        <v>Milking shed</v>
      </c>
      <c r="P164" s="55" t="str">
        <f>'Input - Dairy'!$D$86</f>
        <v>Sump and dispersal system</v>
      </c>
      <c r="Q164" s="55">
        <f>'Input - Dairy'!$E$89</f>
        <v>0.2</v>
      </c>
      <c r="R164" s="2"/>
    </row>
    <row r="165" spans="4:22" ht="20.100000000000001" customHeight="1" x14ac:dyDescent="0.25">
      <c r="D165" s="55" t="str">
        <f>'Input - Dairy'!$D$66</f>
        <v>Milking shed</v>
      </c>
      <c r="E165" s="55" t="str">
        <f>'Input - Dairy'!$D$91</f>
        <v>Drains to paddock</v>
      </c>
      <c r="F165" s="55">
        <f>'Input - Dairy'!$E$93</f>
        <v>0.2</v>
      </c>
      <c r="G165" s="2"/>
      <c r="O165" s="55" t="str">
        <f>'Input - Dairy'!$D$66</f>
        <v>Milking shed</v>
      </c>
      <c r="P165" s="55" t="str">
        <f>'Input - Dairy'!$D$91</f>
        <v>Drains to paddock</v>
      </c>
      <c r="Q165" s="55">
        <f>'Input - Dairy'!$E$94</f>
        <v>0.2</v>
      </c>
      <c r="R165" s="2"/>
    </row>
    <row r="166" spans="4:22" ht="20.100000000000001" customHeight="1" x14ac:dyDescent="0.25">
      <c r="D166" s="55" t="str">
        <f>'Input - Dairy'!$D$67</f>
        <v>Feed pad</v>
      </c>
      <c r="E166" s="55" t="str">
        <f>'Input - Dairy'!$D$105</f>
        <v>Anaerobic lagoon</v>
      </c>
      <c r="F166" s="55">
        <f>'Input - Dairy'!$E$107</f>
        <v>0.2</v>
      </c>
      <c r="G166" s="2"/>
      <c r="O166" s="55" t="str">
        <f>'Input - Dairy'!$D$67</f>
        <v>Feed pad</v>
      </c>
      <c r="P166" s="55" t="str">
        <f>'Input - Dairy'!$D$105</f>
        <v>Anaerobic lagoon</v>
      </c>
      <c r="Q166" s="55">
        <f>'Input - Dairy'!$E$108</f>
        <v>0.2</v>
      </c>
      <c r="R166" s="2"/>
    </row>
    <row r="167" spans="4:22" ht="20.100000000000001" customHeight="1" x14ac:dyDescent="0.25">
      <c r="D167" s="55" t="str">
        <f>'Input - Dairy'!$D$67</f>
        <v>Feed pad</v>
      </c>
      <c r="E167" s="55" t="str">
        <f>'Input - Dairy'!$D$110</f>
        <v>Sump and dispersal system</v>
      </c>
      <c r="F167" s="55">
        <f>'Input - Dairy'!$E$112</f>
        <v>0.2</v>
      </c>
      <c r="G167" s="2"/>
      <c r="O167" s="55" t="str">
        <f>'Input - Dairy'!$D$67</f>
        <v>Feed pad</v>
      </c>
      <c r="P167" s="55" t="str">
        <f>'Input - Dairy'!$D$110</f>
        <v>Sump and dispersal system</v>
      </c>
      <c r="Q167" s="55">
        <f>'Input - Dairy'!$E$113</f>
        <v>0.2</v>
      </c>
      <c r="R167" s="2"/>
    </row>
    <row r="168" spans="4:22" ht="20.100000000000001" customHeight="1" x14ac:dyDescent="0.25">
      <c r="D168" s="55" t="str">
        <f>'Input - Dairy'!$D$67</f>
        <v>Feed pad</v>
      </c>
      <c r="E168" s="55" t="str">
        <f>'Input - Dairy'!$D$115</f>
        <v>Drains to paddock</v>
      </c>
      <c r="F168" s="55">
        <f>'Input - Dairy'!$E$117</f>
        <v>0.2</v>
      </c>
      <c r="G168" s="2"/>
      <c r="O168" s="55" t="str">
        <f>'Input - Dairy'!$D$67</f>
        <v>Feed pad</v>
      </c>
      <c r="P168" s="55" t="str">
        <f>'Input - Dairy'!$D$115</f>
        <v>Drains to paddock</v>
      </c>
      <c r="Q168" s="55">
        <f>'Input - Dairy'!$E$118</f>
        <v>0.2</v>
      </c>
      <c r="R168" s="2"/>
    </row>
    <row r="169" spans="4:22" ht="20.100000000000001" customHeight="1" x14ac:dyDescent="0.25"/>
    <row r="170" spans="4:22" ht="20.100000000000001" customHeight="1" x14ac:dyDescent="0.25">
      <c r="D170" s="104" t="s">
        <v>241</v>
      </c>
      <c r="O170" s="104" t="s">
        <v>241</v>
      </c>
    </row>
    <row r="171" spans="4:22" ht="20.100000000000001" customHeight="1" x14ac:dyDescent="0.25">
      <c r="D171" s="103" t="s">
        <v>240</v>
      </c>
      <c r="O171" s="103" t="s">
        <v>453</v>
      </c>
    </row>
    <row r="172" spans="4:22" ht="20.100000000000001" customHeight="1" x14ac:dyDescent="0.25">
      <c r="D172" s="54" t="s">
        <v>146</v>
      </c>
      <c r="E172" s="54" t="s">
        <v>68</v>
      </c>
      <c r="F172" s="54" t="s">
        <v>171</v>
      </c>
      <c r="G172" s="54" t="s">
        <v>188</v>
      </c>
      <c r="H172" s="54" t="s">
        <v>189</v>
      </c>
      <c r="I172" s="54" t="s">
        <v>190</v>
      </c>
      <c r="J172" s="54" t="s">
        <v>191</v>
      </c>
      <c r="O172" s="54" t="s">
        <v>146</v>
      </c>
      <c r="P172" s="54" t="s">
        <v>68</v>
      </c>
      <c r="Q172" s="54" t="s">
        <v>171</v>
      </c>
      <c r="R172" s="54" t="s">
        <v>188</v>
      </c>
      <c r="S172" s="54" t="s">
        <v>189</v>
      </c>
      <c r="T172" s="54" t="s">
        <v>190</v>
      </c>
      <c r="U172" s="54" t="s">
        <v>191</v>
      </c>
    </row>
    <row r="173" spans="4:22" ht="20.100000000000001" customHeight="1" x14ac:dyDescent="0.25">
      <c r="D173" s="55" t="str">
        <f>'Input - Dairy'!$D$65</f>
        <v>Pasture</v>
      </c>
      <c r="E173" s="55" t="str">
        <f>'Constants - Livestock'!$E$27</f>
        <v>Pasture range and paddock</v>
      </c>
      <c r="F173" s="55" cm="1">
        <f t="array" ref="F173">MMS_Dairy_Methane_Equations.VEERG_4_3_1_1__4_FractionVolatileSolidsNotSolidStorage(F151,$F162)</f>
        <v>0.53400000000000003</v>
      </c>
      <c r="G173" s="55" cm="1">
        <f t="array" ref="G173">MMS_Dairy_Methane_Equations.VEERG_4_3_1_1__4_FractionVolatileSolidsNotSolidStorage(G151,$F162)</f>
        <v>0.53400000000000003</v>
      </c>
      <c r="H173" s="55" cm="1">
        <f t="array" ref="H173">MMS_Dairy_Methane_Equations.VEERG_4_3_1_1__4_FractionVolatileSolidsNotSolidStorage(H151,$F162)</f>
        <v>0.53400000000000003</v>
      </c>
      <c r="I173" s="55" cm="1">
        <f t="array" ref="I173">MMS_Dairy_Methane_Equations.VEERG_4_3_1_1__4_FractionVolatileSolidsNotSolidStorage(I151,$F162)</f>
        <v>0.53400000000000003</v>
      </c>
      <c r="J173" s="55" cm="1">
        <f t="array" ref="J173">MMS_Dairy_Methane_Equations.VEERG_4_3_1_1__4_FractionVolatileSolidsNotSolidStorage(J151,$F162)</f>
        <v>0.53400000000000003</v>
      </c>
      <c r="K173" s="2" t="str">
        <f>$E$143</f>
        <v>fraction</v>
      </c>
      <c r="O173" s="55" t="str">
        <f>'Input - Dairy'!$D$65</f>
        <v>Pasture</v>
      </c>
      <c r="P173" s="55" t="str">
        <f>'Constants - Livestock'!$E$27</f>
        <v>Pasture range and paddock</v>
      </c>
      <c r="Q173" s="55" cm="1">
        <f t="array" ref="Q173">MMS_Dairy_Methane_Equations.VEERG_4_3_1_1__4_FractionVolatileSolidsNotSolidStorage(Q151,$Q162)</f>
        <v>0.53400000000000003</v>
      </c>
      <c r="R173" s="55" cm="1">
        <f t="array" ref="R173">MMS_Dairy_Methane_Equations.VEERG_4_3_1_1__4_FractionVolatileSolidsNotSolidStorage(R151,$Q162)</f>
        <v>0.53400000000000003</v>
      </c>
      <c r="S173" s="55" cm="1">
        <f t="array" ref="S173">MMS_Dairy_Methane_Equations.VEERG_4_3_1_1__4_FractionVolatileSolidsNotSolidStorage(S151,$Q162)</f>
        <v>0.53400000000000003</v>
      </c>
      <c r="T173" s="55" cm="1">
        <f t="array" ref="T173">MMS_Dairy_Methane_Equations.VEERG_4_3_1_1__4_FractionVolatileSolidsNotSolidStorage(T151,$Q162)</f>
        <v>0.53400000000000003</v>
      </c>
      <c r="U173" s="55" cm="1">
        <f t="array" ref="U173">MMS_Dairy_Methane_Equations.VEERG_4_3_1_1__4_FractionVolatileSolidsNotSolidStorage(U151,$Q162)</f>
        <v>0.53400000000000003</v>
      </c>
      <c r="V173" s="2" t="str">
        <f>$E$143</f>
        <v>fraction</v>
      </c>
    </row>
    <row r="174" spans="4:22" ht="20.100000000000001" customHeight="1" x14ac:dyDescent="0.25">
      <c r="D174" s="55" t="str">
        <f>'Input - Dairy'!$D$66</f>
        <v>Milking shed</v>
      </c>
      <c r="E174" s="55" t="str">
        <f>'Input - Dairy'!$D$81</f>
        <v>Anaerobic lagoon</v>
      </c>
      <c r="F174" s="55" cm="1">
        <f t="array" ref="F174">MMS_Dairy_Methane_Equations.VEERG_4_3_1_1__4_FractionVolatileSolidsNotSolidStorage(F152,$F163)</f>
        <v>2.75E-2</v>
      </c>
      <c r="G174" s="55" cm="1">
        <f t="array" ref="G174">MMS_Dairy_Methane_Equations.VEERG_4_3_1_1__4_FractionVolatileSolidsNotSolidStorage(G152,$F163)</f>
        <v>2.75E-2</v>
      </c>
      <c r="H174" s="55" cm="1">
        <f t="array" ref="H174">MMS_Dairy_Methane_Equations.VEERG_4_3_1_1__4_FractionVolatileSolidsNotSolidStorage(H152,$F163)</f>
        <v>2.75E-2</v>
      </c>
      <c r="I174" s="55" cm="1">
        <f t="array" ref="I174">MMS_Dairy_Methane_Equations.VEERG_4_3_1_1__4_FractionVolatileSolidsNotSolidStorage(I152,$F163)</f>
        <v>2.75E-2</v>
      </c>
      <c r="J174" s="55" cm="1">
        <f t="array" ref="J174">MMS_Dairy_Methane_Equations.VEERG_4_3_1_1__4_FractionVolatileSolidsNotSolidStorage(J152,$F163)</f>
        <v>2.75E-2</v>
      </c>
      <c r="O174" s="55" t="str">
        <f>'Input - Dairy'!$D$66</f>
        <v>Milking shed</v>
      </c>
      <c r="P174" s="55" t="str">
        <f>'Input - Dairy'!$D$81</f>
        <v>Anaerobic lagoon</v>
      </c>
      <c r="Q174" s="55" cm="1">
        <f t="array" ref="Q174">MMS_Dairy_Methane_Equations.VEERG_4_3_1_1__4_FractionVolatileSolidsNotSolidStorage(Q152,$Q163)</f>
        <v>2.75E-2</v>
      </c>
      <c r="R174" s="55" cm="1">
        <f t="array" ref="R174">MMS_Dairy_Methane_Equations.VEERG_4_3_1_1__4_FractionVolatileSolidsNotSolidStorage(R152,$Q163)</f>
        <v>2.75E-2</v>
      </c>
      <c r="S174" s="55" cm="1">
        <f t="array" ref="S174">MMS_Dairy_Methane_Equations.VEERG_4_3_1_1__4_FractionVolatileSolidsNotSolidStorage(S152,$Q163)</f>
        <v>2.75E-2</v>
      </c>
      <c r="T174" s="55" cm="1">
        <f t="array" ref="T174">MMS_Dairy_Methane_Equations.VEERG_4_3_1_1__4_FractionVolatileSolidsNotSolidStorage(T152,$Q163)</f>
        <v>2.75E-2</v>
      </c>
      <c r="U174" s="55" cm="1">
        <f t="array" ref="U174">MMS_Dairy_Methane_Equations.VEERG_4_3_1_1__4_FractionVolatileSolidsNotSolidStorage(U152,$Q163)</f>
        <v>2.75E-2</v>
      </c>
    </row>
    <row r="175" spans="4:22" ht="20.100000000000001" customHeight="1" x14ac:dyDescent="0.25">
      <c r="D175" s="55" t="str">
        <f>'Input - Dairy'!$D$66</f>
        <v>Milking shed</v>
      </c>
      <c r="E175" s="55" t="str">
        <f>'Input - Dairy'!$D$86</f>
        <v>Sump and dispersal system</v>
      </c>
      <c r="F175" s="55" cm="1">
        <f t="array" ref="F175">MMS_Dairy_Methane_Equations.VEERG_4_3_1_1__4_FractionVolatileSolidsNotSolidStorage(F153,$F164)</f>
        <v>2.2000000000000002E-2</v>
      </c>
      <c r="G175" s="55" cm="1">
        <f t="array" ref="G175">MMS_Dairy_Methane_Equations.VEERG_4_3_1_1__4_FractionVolatileSolidsNotSolidStorage(G153,$F164)</f>
        <v>2.2000000000000002E-2</v>
      </c>
      <c r="H175" s="55" cm="1">
        <f t="array" ref="H175">MMS_Dairy_Methane_Equations.VEERG_4_3_1_1__4_FractionVolatileSolidsNotSolidStorage(H153,$F164)</f>
        <v>2.2000000000000002E-2</v>
      </c>
      <c r="I175" s="55" cm="1">
        <f t="array" ref="I175">MMS_Dairy_Methane_Equations.VEERG_4_3_1_1__4_FractionVolatileSolidsNotSolidStorage(I153,$F164)</f>
        <v>2.2000000000000002E-2</v>
      </c>
      <c r="J175" s="55" cm="1">
        <f t="array" ref="J175">MMS_Dairy_Methane_Equations.VEERG_4_3_1_1__4_FractionVolatileSolidsNotSolidStorage(J153,$F164)</f>
        <v>2.2000000000000002E-2</v>
      </c>
      <c r="K175" s="2"/>
      <c r="O175" s="55" t="str">
        <f>'Input - Dairy'!$D$66</f>
        <v>Milking shed</v>
      </c>
      <c r="P175" s="55" t="str">
        <f>'Input - Dairy'!$D$86</f>
        <v>Sump and dispersal system</v>
      </c>
      <c r="Q175" s="55" cm="1">
        <f t="array" ref="Q175">MMS_Dairy_Methane_Equations.VEERG_4_3_1_1__4_FractionVolatileSolidsNotSolidStorage(Q153,$Q164)</f>
        <v>2.2000000000000002E-2</v>
      </c>
      <c r="R175" s="55" cm="1">
        <f t="array" ref="R175">MMS_Dairy_Methane_Equations.VEERG_4_3_1_1__4_FractionVolatileSolidsNotSolidStorage(R153,$Q164)</f>
        <v>2.2000000000000002E-2</v>
      </c>
      <c r="S175" s="55" cm="1">
        <f t="array" ref="S175">MMS_Dairy_Methane_Equations.VEERG_4_3_1_1__4_FractionVolatileSolidsNotSolidStorage(S153,$Q164)</f>
        <v>2.2000000000000002E-2</v>
      </c>
      <c r="T175" s="55" cm="1">
        <f t="array" ref="T175">MMS_Dairy_Methane_Equations.VEERG_4_3_1_1__4_FractionVolatileSolidsNotSolidStorage(T153,$Q164)</f>
        <v>2.2000000000000002E-2</v>
      </c>
      <c r="U175" s="55" cm="1">
        <f t="array" ref="U175">MMS_Dairy_Methane_Equations.VEERG_4_3_1_1__4_FractionVolatileSolidsNotSolidStorage(U153,$Q164)</f>
        <v>2.2000000000000002E-2</v>
      </c>
      <c r="V175" s="2"/>
    </row>
    <row r="176" spans="4:22" ht="20.100000000000001" customHeight="1" x14ac:dyDescent="0.25">
      <c r="D176" s="55" t="str">
        <f>'Input - Dairy'!$D$66</f>
        <v>Milking shed</v>
      </c>
      <c r="E176" s="55" t="str">
        <f>'Input - Dairy'!$D$91</f>
        <v>Drains to paddock</v>
      </c>
      <c r="F176" s="55" cm="1">
        <f t="array" ref="F176">MMS_Dairy_Methane_Equations.VEERG_4_3_1_1__4_FractionVolatileSolidsNotSolidStorage(F154,$F165)</f>
        <v>2.2000000000000002E-2</v>
      </c>
      <c r="G176" s="55" cm="1">
        <f t="array" ref="G176">MMS_Dairy_Methane_Equations.VEERG_4_3_1_1__4_FractionVolatileSolidsNotSolidStorage(G154,$F165)</f>
        <v>2.2000000000000002E-2</v>
      </c>
      <c r="H176" s="55" cm="1">
        <f t="array" ref="H176">MMS_Dairy_Methane_Equations.VEERG_4_3_1_1__4_FractionVolatileSolidsNotSolidStorage(H154,$F165)</f>
        <v>2.2000000000000002E-2</v>
      </c>
      <c r="I176" s="55" cm="1">
        <f t="array" ref="I176">MMS_Dairy_Methane_Equations.VEERG_4_3_1_1__4_FractionVolatileSolidsNotSolidStorage(I154,$F165)</f>
        <v>2.2000000000000002E-2</v>
      </c>
      <c r="J176" s="55" cm="1">
        <f t="array" ref="J176">MMS_Dairy_Methane_Equations.VEERG_4_3_1_1__4_FractionVolatileSolidsNotSolidStorage(J154,$F165)</f>
        <v>2.2000000000000002E-2</v>
      </c>
      <c r="K176" s="2"/>
      <c r="O176" s="55" t="str">
        <f>'Input - Dairy'!$D$66</f>
        <v>Milking shed</v>
      </c>
      <c r="P176" s="55" t="str">
        <f>'Input - Dairy'!$D$91</f>
        <v>Drains to paddock</v>
      </c>
      <c r="Q176" s="55" cm="1">
        <f t="array" ref="Q176">MMS_Dairy_Methane_Equations.VEERG_4_3_1_1__4_FractionVolatileSolidsNotSolidStorage(Q154,$Q165)</f>
        <v>2.2000000000000002E-2</v>
      </c>
      <c r="R176" s="55" cm="1">
        <f t="array" ref="R176">MMS_Dairy_Methane_Equations.VEERG_4_3_1_1__4_FractionVolatileSolidsNotSolidStorage(R154,$Q165)</f>
        <v>2.2000000000000002E-2</v>
      </c>
      <c r="S176" s="55" cm="1">
        <f t="array" ref="S176">MMS_Dairy_Methane_Equations.VEERG_4_3_1_1__4_FractionVolatileSolidsNotSolidStorage(S154,$Q165)</f>
        <v>2.2000000000000002E-2</v>
      </c>
      <c r="T176" s="55" cm="1">
        <f t="array" ref="T176">MMS_Dairy_Methane_Equations.VEERG_4_3_1_1__4_FractionVolatileSolidsNotSolidStorage(T154,$Q165)</f>
        <v>2.2000000000000002E-2</v>
      </c>
      <c r="U176" s="55" cm="1">
        <f t="array" ref="U176">MMS_Dairy_Methane_Equations.VEERG_4_3_1_1__4_FractionVolatileSolidsNotSolidStorage(U154,$Q165)</f>
        <v>2.2000000000000002E-2</v>
      </c>
      <c r="V176" s="2"/>
    </row>
    <row r="177" spans="1:23" ht="20.100000000000001" customHeight="1" x14ac:dyDescent="0.25">
      <c r="D177" s="55" t="str">
        <f>'Input - Dairy'!$D$67</f>
        <v>Feed pad</v>
      </c>
      <c r="E177" s="55" t="str">
        <f>'Input - Dairy'!$D$105</f>
        <v>Anaerobic lagoon</v>
      </c>
      <c r="F177" s="55" cm="1">
        <f t="array" ref="F177">MMS_Dairy_Methane_Equations.VEERG_4_3_1_1__4_FractionVolatileSolidsNotSolidStorage(F155,$F166)</f>
        <v>7.1199999999999999E-2</v>
      </c>
      <c r="G177" s="55" cm="1">
        <f t="array" ref="G177">MMS_Dairy_Methane_Equations.VEERG_4_3_1_1__4_FractionVolatileSolidsNotSolidStorage(G155,$F166)</f>
        <v>7.1199999999999999E-2</v>
      </c>
      <c r="H177" s="55" cm="1">
        <f t="array" ref="H177">MMS_Dairy_Methane_Equations.VEERG_4_3_1_1__4_FractionVolatileSolidsNotSolidStorage(H155,$F166)</f>
        <v>7.1199999999999999E-2</v>
      </c>
      <c r="I177" s="55" cm="1">
        <f t="array" ref="I177">MMS_Dairy_Methane_Equations.VEERG_4_3_1_1__4_FractionVolatileSolidsNotSolidStorage(I155,$F166)</f>
        <v>7.1199999999999999E-2</v>
      </c>
      <c r="J177" s="55" cm="1">
        <f t="array" ref="J177">MMS_Dairy_Methane_Equations.VEERG_4_3_1_1__4_FractionVolatileSolidsNotSolidStorage(J155,$F166)</f>
        <v>7.1199999999999999E-2</v>
      </c>
      <c r="K177" s="2"/>
      <c r="O177" s="55" t="str">
        <f>'Input - Dairy'!$D$67</f>
        <v>Feed pad</v>
      </c>
      <c r="P177" s="55" t="str">
        <f>'Input - Dairy'!$D$105</f>
        <v>Anaerobic lagoon</v>
      </c>
      <c r="Q177" s="55" cm="1">
        <f t="array" ref="Q177">MMS_Dairy_Methane_Equations.VEERG_4_3_1_1__4_FractionVolatileSolidsNotSolidStorage(Q155,$Q166)</f>
        <v>7.1199999999999999E-2</v>
      </c>
      <c r="R177" s="55" cm="1">
        <f t="array" ref="R177">MMS_Dairy_Methane_Equations.VEERG_4_3_1_1__4_FractionVolatileSolidsNotSolidStorage(R155,$Q166)</f>
        <v>7.1199999999999999E-2</v>
      </c>
      <c r="S177" s="55" cm="1">
        <f t="array" ref="S177">MMS_Dairy_Methane_Equations.VEERG_4_3_1_1__4_FractionVolatileSolidsNotSolidStorage(S155,$Q166)</f>
        <v>7.1199999999999999E-2</v>
      </c>
      <c r="T177" s="55" cm="1">
        <f t="array" ref="T177">MMS_Dairy_Methane_Equations.VEERG_4_3_1_1__4_FractionVolatileSolidsNotSolidStorage(T155,$Q166)</f>
        <v>7.1199999999999999E-2</v>
      </c>
      <c r="U177" s="55" cm="1">
        <f t="array" ref="U177">MMS_Dairy_Methane_Equations.VEERG_4_3_1_1__4_FractionVolatileSolidsNotSolidStorage(U155,$Q166)</f>
        <v>7.1199999999999999E-2</v>
      </c>
      <c r="V177" s="2"/>
    </row>
    <row r="178" spans="1:23" ht="20.100000000000001" customHeight="1" x14ac:dyDescent="0.25">
      <c r="A178" s="141" t="str">
        <f>HYPERLINK("#A1", "▲ Back to top")</f>
        <v>▲ Back to top</v>
      </c>
      <c r="D178" s="55" t="str">
        <f>'Input - Dairy'!$D$67</f>
        <v>Feed pad</v>
      </c>
      <c r="E178" s="55" t="str">
        <f>'Input - Dairy'!$D$110</f>
        <v>Sump and dispersal system</v>
      </c>
      <c r="F178" s="55" cm="1">
        <f t="array" ref="F178">MMS_Dairy_Methane_Equations.VEERG_4_3_1_1__4_FractionVolatileSolidsNotSolidStorage(F156,$F167)</f>
        <v>7.1199999999999999E-2</v>
      </c>
      <c r="G178" s="55" cm="1">
        <f t="array" ref="G178">MMS_Dairy_Methane_Equations.VEERG_4_3_1_1__4_FractionVolatileSolidsNotSolidStorage(G156,$F167)</f>
        <v>7.1199999999999999E-2</v>
      </c>
      <c r="H178" s="55" cm="1">
        <f t="array" ref="H178">MMS_Dairy_Methane_Equations.VEERG_4_3_1_1__4_FractionVolatileSolidsNotSolidStorage(H156,$F167)</f>
        <v>7.1199999999999999E-2</v>
      </c>
      <c r="I178" s="55" cm="1">
        <f t="array" ref="I178">MMS_Dairy_Methane_Equations.VEERG_4_3_1_1__4_FractionVolatileSolidsNotSolidStorage(I156,$F167)</f>
        <v>7.1199999999999999E-2</v>
      </c>
      <c r="J178" s="55" cm="1">
        <f t="array" ref="J178">MMS_Dairy_Methane_Equations.VEERG_4_3_1_1__4_FractionVolatileSolidsNotSolidStorage(J156,$F167)</f>
        <v>7.1199999999999999E-2</v>
      </c>
      <c r="K178" s="2"/>
      <c r="O178" s="55" t="str">
        <f>'Input - Dairy'!$D$67</f>
        <v>Feed pad</v>
      </c>
      <c r="P178" s="55" t="str">
        <f>'Input - Dairy'!$D$110</f>
        <v>Sump and dispersal system</v>
      </c>
      <c r="Q178" s="55" cm="1">
        <f t="array" ref="Q178">MMS_Dairy_Methane_Equations.VEERG_4_3_1_1__4_FractionVolatileSolidsNotSolidStorage(Q156,$Q167)</f>
        <v>7.1199999999999999E-2</v>
      </c>
      <c r="R178" s="55" cm="1">
        <f t="array" ref="R178">MMS_Dairy_Methane_Equations.VEERG_4_3_1_1__4_FractionVolatileSolidsNotSolidStorage(R156,$Q167)</f>
        <v>7.1199999999999999E-2</v>
      </c>
      <c r="S178" s="55" cm="1">
        <f t="array" ref="S178">MMS_Dairy_Methane_Equations.VEERG_4_3_1_1__4_FractionVolatileSolidsNotSolidStorage(S156,$Q167)</f>
        <v>7.1199999999999999E-2</v>
      </c>
      <c r="T178" s="55" cm="1">
        <f t="array" ref="T178">MMS_Dairy_Methane_Equations.VEERG_4_3_1_1__4_FractionVolatileSolidsNotSolidStorage(T156,$Q167)</f>
        <v>7.1199999999999999E-2</v>
      </c>
      <c r="U178" s="55" cm="1">
        <f t="array" ref="U178">MMS_Dairy_Methane_Equations.VEERG_4_3_1_1__4_FractionVolatileSolidsNotSolidStorage(U156,$Q167)</f>
        <v>7.1199999999999999E-2</v>
      </c>
      <c r="V178" s="2"/>
    </row>
    <row r="179" spans="1:23" ht="20.100000000000001" customHeight="1" x14ac:dyDescent="0.25">
      <c r="D179" s="55" t="str">
        <f>'Input - Dairy'!$D$67</f>
        <v>Feed pad</v>
      </c>
      <c r="E179" s="55" t="str">
        <f>'Input - Dairy'!$D$115</f>
        <v>Drains to paddock</v>
      </c>
      <c r="F179" s="55" cm="1">
        <f t="array" ref="F179">MMS_Dairy_Methane_Equations.VEERG_4_3_1_1__4_FractionVolatileSolidsNotSolidStorage(F157,$F168)</f>
        <v>7.1199999999999999E-2</v>
      </c>
      <c r="G179" s="55" cm="1">
        <f t="array" ref="G179">MMS_Dairy_Methane_Equations.VEERG_4_3_1_1__4_FractionVolatileSolidsNotSolidStorage(G157,$F168)</f>
        <v>7.1199999999999999E-2</v>
      </c>
      <c r="H179" s="55" cm="1">
        <f t="array" ref="H179">MMS_Dairy_Methane_Equations.VEERG_4_3_1_1__4_FractionVolatileSolidsNotSolidStorage(H157,$F168)</f>
        <v>7.1199999999999999E-2</v>
      </c>
      <c r="I179" s="55" cm="1">
        <f t="array" ref="I179">MMS_Dairy_Methane_Equations.VEERG_4_3_1_1__4_FractionVolatileSolidsNotSolidStorage(I157,$F168)</f>
        <v>7.1199999999999999E-2</v>
      </c>
      <c r="J179" s="55" cm="1">
        <f t="array" ref="J179">MMS_Dairy_Methane_Equations.VEERG_4_3_1_1__4_FractionVolatileSolidsNotSolidStorage(J157,$F168)</f>
        <v>7.1199999999999999E-2</v>
      </c>
      <c r="K179" s="2"/>
      <c r="O179" s="55" t="str">
        <f>'Input - Dairy'!$D$67</f>
        <v>Feed pad</v>
      </c>
      <c r="P179" s="55" t="str">
        <f>'Input - Dairy'!$D$115</f>
        <v>Drains to paddock</v>
      </c>
      <c r="Q179" s="55" cm="1">
        <f t="array" ref="Q179">MMS_Dairy_Methane_Equations.VEERG_4_3_1_1__4_FractionVolatileSolidsNotSolidStorage(Q157,$Q168)</f>
        <v>7.1199999999999999E-2</v>
      </c>
      <c r="R179" s="55" cm="1">
        <f t="array" ref="R179">MMS_Dairy_Methane_Equations.VEERG_4_3_1_1__4_FractionVolatileSolidsNotSolidStorage(R157,$Q168)</f>
        <v>7.1199999999999999E-2</v>
      </c>
      <c r="S179" s="55" cm="1">
        <f t="array" ref="S179">MMS_Dairy_Methane_Equations.VEERG_4_3_1_1__4_FractionVolatileSolidsNotSolidStorage(S157,$Q168)</f>
        <v>7.1199999999999999E-2</v>
      </c>
      <c r="T179" s="55" cm="1">
        <f t="array" ref="T179">MMS_Dairy_Methane_Equations.VEERG_4_3_1_1__4_FractionVolatileSolidsNotSolidStorage(T157,$Q168)</f>
        <v>7.1199999999999999E-2</v>
      </c>
      <c r="U179" s="55" cm="1">
        <f t="array" ref="U179">MMS_Dairy_Methane_Equations.VEERG_4_3_1_1__4_FractionVolatileSolidsNotSolidStorage(U157,$Q168)</f>
        <v>7.1199999999999999E-2</v>
      </c>
      <c r="V179" s="2"/>
    </row>
    <row r="180" spans="1:23" ht="20.100000000000001" customHeight="1" x14ac:dyDescent="0.25"/>
    <row r="181" spans="1:23" ht="20.100000000000001" customHeight="1" x14ac:dyDescent="0.25"/>
    <row r="182" spans="1:23" ht="20.100000000000001" customHeight="1" x14ac:dyDescent="0.25">
      <c r="C182" s="48"/>
      <c r="D182" s="48"/>
      <c r="E182" s="48"/>
      <c r="F182" s="48"/>
      <c r="G182" s="48"/>
      <c r="H182" s="48"/>
      <c r="I182" s="48"/>
      <c r="J182" s="48"/>
      <c r="K182" s="48"/>
      <c r="L182" s="48"/>
      <c r="N182" s="48"/>
      <c r="O182" s="48"/>
      <c r="P182" s="48"/>
      <c r="Q182" s="48"/>
      <c r="R182" s="48"/>
      <c r="S182" s="48"/>
      <c r="T182" s="48"/>
      <c r="U182" s="48"/>
      <c r="V182" s="48"/>
      <c r="W182" s="48"/>
    </row>
    <row r="183" spans="1:23" ht="20.100000000000001" customHeight="1" x14ac:dyDescent="0.25">
      <c r="D183" s="6" t="str" cm="1">
        <f t="array" ref="D183">MMS_Dairy_Methane_Equations.VEERG_4_3_1_1__5_FractionVolatileSolidsSolidStorage_Title()</f>
        <v>Fraction of volatile solids in solid storage</v>
      </c>
    </row>
    <row r="184" spans="1:23" ht="20.100000000000001" customHeight="1" x14ac:dyDescent="0.25">
      <c r="D184" s="5" t="str" cm="1">
        <f t="array" ref="D184">MMS_Dairy_Methane_Equations.VEERG_4_3_1_1__5_FractionVolatileSolidsSolidStorage_Source()</f>
        <v>VEERG 2026: 4.3.1.1, Equation (5)</v>
      </c>
    </row>
    <row r="185" spans="1:23" ht="20.100000000000001" customHeight="1" x14ac:dyDescent="0.25">
      <c r="D185" s="58" t="str" cm="1">
        <f t="array" ref="D185">MMS_Dairy_Methane_Equations.VEERG_4_3_1_1__5_FractionVolatileSolidsSolidStorage_Variation()</f>
        <v>Used separate variables for MMS and SS m 1, 7 and 9.</v>
      </c>
    </row>
    <row r="186" spans="1:23" ht="20.100000000000001" customHeight="1" x14ac:dyDescent="0.25">
      <c r="D186" s="13" t="s">
        <v>27</v>
      </c>
      <c r="E186" s="13" t="str" cm="1">
        <f t="array" aca="1" ref="E186" ca="1">Common_InputFunctions.Utility_DisplayFunctionName($F$205)</f>
        <v>=MMS_Dairy_Methane_Equations.VEERG_4_3_1_1__5_FractionVolatileSolidsSolidStorageVariation</v>
      </c>
    </row>
    <row r="187" spans="1:23" ht="20.100000000000001" customHeight="1" x14ac:dyDescent="0.25"/>
    <row r="188" spans="1:23" ht="20.100000000000001" customHeight="1" x14ac:dyDescent="0.25">
      <c r="D188" s="6"/>
    </row>
    <row r="189" spans="1:23" ht="20.100000000000001" customHeight="1" x14ac:dyDescent="0.25">
      <c r="D189" s="56" t="s">
        <v>30</v>
      </c>
      <c r="E189" s="1" t="str" cm="1">
        <f t="array" ref="E189">MMS_Dairy_Methane_Equations.VEERG_4_3_1_1__5_FractionVolatileSolidsSolidStorage_Variable()</f>
        <v>FVS_jm4</v>
      </c>
    </row>
    <row r="190" spans="1:23" ht="20.100000000000001" customHeight="1" x14ac:dyDescent="0.25">
      <c r="D190" s="56" t="s">
        <v>20</v>
      </c>
      <c r="E190" s="57" t="str" cm="1">
        <f t="array" ref="E190">MMS_Dairy_Methane_Equations.VEERG_4_3_1_1__5_FractionVolatileSolidsSolidStorage_Unit()</f>
        <v>fraction</v>
      </c>
    </row>
    <row r="191" spans="1:23" ht="20.100000000000001" customHeight="1" x14ac:dyDescent="0.25"/>
    <row r="192" spans="1:23" ht="20.100000000000001" customHeight="1" x14ac:dyDescent="0.25">
      <c r="D192" s="137" t="str" cm="1">
        <f t="array" ref="D192:E194">_xlfn.CHOOSECOLS(MMS_Dairy_Methane_Equations.VEERG_4_3_1_1__5_FractionVolatileSolidsSolidStorage_Arguments(),1,2)</f>
        <v>MMS_jm4</v>
      </c>
      <c r="E192" s="137" t="str">
        <v>fraction of volatile solids in solid storage before transfer</v>
      </c>
      <c r="F192" s="137"/>
      <c r="G192" s="137" t="str" cm="1">
        <f t="array" ref="G192:H194">_xlfn.CHOOSECOLS(MMS_Dairy_Methane_Equations.VEERG_4_3_1_1__5_FractionVolatileSolidsSolidStorage_Arguments(),3,4)</f>
        <v>fraction</v>
      </c>
      <c r="H192" s="135" t="str">
        <v>Input</v>
      </c>
      <c r="I192" s="134" t="str" cm="1">
        <f t="array" aca="1" ref="I192" ca="1">HYPERLINK(Common_InputFunctions.Utility_SourceHyperlink($D$196),$D$196)</f>
        <v>M1_Table_MMS_j_m-4</v>
      </c>
    </row>
    <row r="193" spans="4:22" ht="20.100000000000001" customHeight="1" x14ac:dyDescent="0.25">
      <c r="D193" s="137" t="str">
        <v>MMS_jm179</v>
      </c>
      <c r="E193" s="137" t="str">
        <v>fraction of volatile solids in MMS m=1,7,9 before transfer</v>
      </c>
      <c r="F193" s="137"/>
      <c r="G193" s="137" t="str">
        <v>fraction</v>
      </c>
      <c r="H193" s="135" t="str">
        <v>Input</v>
      </c>
      <c r="I193" s="134" t="str" cm="1">
        <f t="array" aca="1" ref="I193" ca="1">HYPERLINK(Common_InputFunctions.Utility_SourceHyperlink($D$148),$D$148)</f>
        <v>M1_Table_MMS_j_m</v>
      </c>
    </row>
    <row r="194" spans="4:22" ht="20.100000000000001" customHeight="1" x14ac:dyDescent="0.25">
      <c r="D194" s="137" t="str">
        <v>SS_m</v>
      </c>
      <c r="E194" s="137" t="str">
        <v>fraction of volatile solids separated to solid storage for each MMS</v>
      </c>
      <c r="F194" s="137"/>
      <c r="G194" s="137" t="str">
        <v>fraction</v>
      </c>
      <c r="H194" s="135" t="str">
        <v>Input</v>
      </c>
      <c r="I194" s="134" t="str" cm="1">
        <f t="array" aca="1" ref="I194" ca="1">HYPERLINK(Common_InputFunctions.Utility_SourceHyperlink($D$159),$D$159)</f>
        <v>M1_Table_SS_m</v>
      </c>
    </row>
    <row r="195" spans="4:22" ht="20.100000000000001" customHeight="1" x14ac:dyDescent="0.25"/>
    <row r="196" spans="4:22" ht="20.100000000000001" customHeight="1" x14ac:dyDescent="0.25">
      <c r="D196" s="104" t="s">
        <v>249</v>
      </c>
      <c r="O196" s="104" t="s">
        <v>255</v>
      </c>
    </row>
    <row r="197" spans="4:22" ht="20.100000000000001" customHeight="1" x14ac:dyDescent="0.25">
      <c r="D197" s="103" t="s">
        <v>250</v>
      </c>
      <c r="O197" s="103" t="s">
        <v>256</v>
      </c>
    </row>
    <row r="198" spans="4:22" ht="20.100000000000001" customHeight="1" x14ac:dyDescent="0.25">
      <c r="D198" s="41" t="s">
        <v>146</v>
      </c>
      <c r="E198" s="41" t="s">
        <v>68</v>
      </c>
      <c r="F198" s="41" t="s">
        <v>171</v>
      </c>
      <c r="G198" s="41" t="s">
        <v>188</v>
      </c>
      <c r="H198" s="41" t="s">
        <v>189</v>
      </c>
      <c r="I198" s="41" t="s">
        <v>190</v>
      </c>
      <c r="J198" s="41" t="s">
        <v>191</v>
      </c>
      <c r="O198" s="41" t="s">
        <v>146</v>
      </c>
      <c r="P198" s="41" t="s">
        <v>68</v>
      </c>
      <c r="Q198" s="41" t="s">
        <v>171</v>
      </c>
      <c r="R198" s="41" t="s">
        <v>188</v>
      </c>
      <c r="S198" s="41" t="s">
        <v>189</v>
      </c>
      <c r="T198" s="41" t="s">
        <v>190</v>
      </c>
      <c r="U198" s="41" t="s">
        <v>191</v>
      </c>
    </row>
    <row r="199" spans="4:22" ht="20.100000000000001" customHeight="1" x14ac:dyDescent="0.25">
      <c r="D199" s="55" t="str">
        <f>'Input - Dairy'!$D$66</f>
        <v>Milking shed</v>
      </c>
      <c r="E199" s="55" t="str">
        <f>'Input - Dairy'!$D$96</f>
        <v>Solid storage (before solid separation)</v>
      </c>
      <c r="F199" s="55">
        <f>'Input - Dairy'!E$66*'Input - Dairy'!E96</f>
        <v>2.75E-2</v>
      </c>
      <c r="G199" s="55">
        <f>'Input - Dairy'!F$66*'Input - Dairy'!F96</f>
        <v>2.75E-2</v>
      </c>
      <c r="H199" s="55">
        <f>'Input - Dairy'!G$66*'Input - Dairy'!G96</f>
        <v>2.75E-2</v>
      </c>
      <c r="I199" s="55">
        <f>'Input - Dairy'!H$66*'Input - Dairy'!H96</f>
        <v>2.75E-2</v>
      </c>
      <c r="J199" s="55">
        <f>'Input - Dairy'!I$66*'Input - Dairy'!I96</f>
        <v>2.75E-2</v>
      </c>
      <c r="K199" s="2" t="s">
        <v>99</v>
      </c>
      <c r="O199" s="55" t="str">
        <f>'Input - Dairy'!$D$66</f>
        <v>Milking shed</v>
      </c>
      <c r="P199" s="55" t="str">
        <f>'Input - Dairy'!$D$96</f>
        <v>Solid storage (before solid separation)</v>
      </c>
      <c r="Q199" s="55">
        <f>'Input - Dairy'!E71*'Input - Dairy'!E96</f>
        <v>2.75E-2</v>
      </c>
      <c r="R199" s="55">
        <f>'Input - Dairy'!F71*'Input - Dairy'!F96</f>
        <v>2.75E-2</v>
      </c>
      <c r="S199" s="55">
        <f>'Input - Dairy'!G71*'Input - Dairy'!G96</f>
        <v>2.75E-2</v>
      </c>
      <c r="T199" s="55">
        <f>'Input - Dairy'!H71*'Input - Dairy'!H96</f>
        <v>2.75E-2</v>
      </c>
      <c r="U199" s="55">
        <f>'Input - Dairy'!I71*'Input - Dairy'!I96</f>
        <v>2.75E-2</v>
      </c>
      <c r="V199" s="2" t="s">
        <v>99</v>
      </c>
    </row>
    <row r="200" spans="4:22" ht="20.100000000000001" customHeight="1" x14ac:dyDescent="0.25">
      <c r="D200" s="55" t="str">
        <f>'Input - Dairy'!$D$67</f>
        <v>Feed pad</v>
      </c>
      <c r="E200" s="55" t="str">
        <f>'Input - Dairy'!$D$120</f>
        <v>Solid storage (before solid separation)</v>
      </c>
      <c r="F200" s="55">
        <f>'Input - Dairy'!E67*'Input - Dairy'!E120</f>
        <v>8.8999999999999996E-2</v>
      </c>
      <c r="G200" s="55">
        <f>'Input - Dairy'!F67*'Input - Dairy'!F120</f>
        <v>8.8999999999999996E-2</v>
      </c>
      <c r="H200" s="55">
        <f>'Input - Dairy'!G67*'Input - Dairy'!G120</f>
        <v>8.8999999999999996E-2</v>
      </c>
      <c r="I200" s="55">
        <f>'Input - Dairy'!H67*'Input - Dairy'!H120</f>
        <v>8.8999999999999996E-2</v>
      </c>
      <c r="J200" s="55">
        <f>'Input - Dairy'!I67*'Input - Dairy'!I120</f>
        <v>8.8999999999999996E-2</v>
      </c>
      <c r="K200" s="2" t="s">
        <v>99</v>
      </c>
      <c r="O200" s="55" t="str">
        <f>'Input - Dairy'!$D$67</f>
        <v>Feed pad</v>
      </c>
      <c r="P200" s="55" t="str">
        <f>'Input - Dairy'!$D$120</f>
        <v>Solid storage (before solid separation)</v>
      </c>
      <c r="Q200" s="55">
        <f>'Input - Dairy'!E72*'Input - Dairy'!E120</f>
        <v>8.8999999999999996E-2</v>
      </c>
      <c r="R200" s="55">
        <f>'Input - Dairy'!F72*'Input - Dairy'!F120</f>
        <v>8.8999999999999996E-2</v>
      </c>
      <c r="S200" s="55">
        <f>'Input - Dairy'!G72*'Input - Dairy'!G120</f>
        <v>8.8999999999999996E-2</v>
      </c>
      <c r="T200" s="55">
        <f>'Input - Dairy'!H72*'Input - Dairy'!H120</f>
        <v>8.8999999999999996E-2</v>
      </c>
      <c r="U200" s="55">
        <f>'Input - Dairy'!I72*'Input - Dairy'!I120</f>
        <v>8.8999999999999996E-2</v>
      </c>
      <c r="V200" s="2" t="s">
        <v>99</v>
      </c>
    </row>
    <row r="201" spans="4:22" ht="20.100000000000001" customHeight="1" x14ac:dyDescent="0.25"/>
    <row r="202" spans="4:22" ht="20.100000000000001" customHeight="1" x14ac:dyDescent="0.25">
      <c r="D202" s="104" t="s">
        <v>253</v>
      </c>
      <c r="O202" s="104" t="s">
        <v>257</v>
      </c>
    </row>
    <row r="203" spans="4:22" ht="20.100000000000001" customHeight="1" x14ac:dyDescent="0.25">
      <c r="D203" s="103" t="s">
        <v>254</v>
      </c>
      <c r="O203" s="103" t="s">
        <v>258</v>
      </c>
    </row>
    <row r="204" spans="4:22" ht="20.100000000000001" customHeight="1" x14ac:dyDescent="0.25">
      <c r="D204" s="54" t="s">
        <v>146</v>
      </c>
      <c r="E204" s="54" t="s">
        <v>68</v>
      </c>
      <c r="F204" s="54" t="s">
        <v>171</v>
      </c>
      <c r="G204" s="54" t="s">
        <v>188</v>
      </c>
      <c r="H204" s="54" t="s">
        <v>189</v>
      </c>
      <c r="I204" s="54" t="s">
        <v>190</v>
      </c>
      <c r="J204" s="54" t="s">
        <v>191</v>
      </c>
      <c r="O204" s="54" t="s">
        <v>146</v>
      </c>
      <c r="P204" s="54" t="s">
        <v>68</v>
      </c>
      <c r="Q204" s="54" t="s">
        <v>171</v>
      </c>
      <c r="R204" s="54" t="s">
        <v>188</v>
      </c>
      <c r="S204" s="54" t="s">
        <v>189</v>
      </c>
      <c r="T204" s="54" t="s">
        <v>190</v>
      </c>
      <c r="U204" s="54" t="s">
        <v>191</v>
      </c>
    </row>
    <row r="205" spans="4:22" ht="20.100000000000001" customHeight="1" x14ac:dyDescent="0.25">
      <c r="D205" s="55" t="str">
        <f>'Input - Dairy'!$D$66</f>
        <v>Milking shed</v>
      </c>
      <c r="E205" s="55" t="s">
        <v>405</v>
      </c>
      <c r="F205" s="55" cm="1">
        <f t="array" ref="F205">MMS_Dairy_Methane_Equations.VEERG_4_3_1_1__5_FractionVolatileSolidsSolidStorageVariation(F199,F152,$F163,F153,$F164,F154,$F165)</f>
        <v>3.85E-2</v>
      </c>
      <c r="G205" s="55" cm="1">
        <f t="array" ref="G205">MMS_Dairy_Methane_Equations.VEERG_4_3_1_1__5_FractionVolatileSolidsSolidStorageVariation(G199,G152,$F163,G153,$F164,G154,$F165)</f>
        <v>3.85E-2</v>
      </c>
      <c r="H205" s="55" cm="1">
        <f t="array" ref="H205">MMS_Dairy_Methane_Equations.VEERG_4_3_1_1__5_FractionVolatileSolidsSolidStorageVariation(H199,H152,$F163,H153,$F164,H154,$F165)</f>
        <v>3.85E-2</v>
      </c>
      <c r="I205" s="55" cm="1">
        <f t="array" ref="I205">MMS_Dairy_Methane_Equations.VEERG_4_3_1_1__5_FractionVolatileSolidsSolidStorageVariation(I199,I152,$F163,I153,$F164,I154,$F165)</f>
        <v>3.85E-2</v>
      </c>
      <c r="J205" s="55" cm="1">
        <f t="array" ref="J205">MMS_Dairy_Methane_Equations.VEERG_4_3_1_1__5_FractionVolatileSolidsSolidStorageVariation(J199,J152,$F163,J153,$F164,J154,$F165)</f>
        <v>3.85E-2</v>
      </c>
      <c r="K205" s="2" t="str">
        <f>$E$190</f>
        <v>fraction</v>
      </c>
      <c r="O205" s="55" t="str">
        <f>'Input - Dairy'!$D$66</f>
        <v>Milking shed</v>
      </c>
      <c r="P205" s="55" t="s">
        <v>405</v>
      </c>
      <c r="Q205" s="55" cm="1">
        <f t="array" ref="Q205">MMS_Dairy_Methane_Equations.VEERG_4_3_1_1__5_FractionVolatileSolidsSolidStorageVariation(Q199,Q152,$Q163,Q153,$Q164,Q154,$Q165)</f>
        <v>3.85E-2</v>
      </c>
      <c r="R205" s="55" cm="1">
        <f t="array" ref="R205">MMS_Dairy_Methane_Equations.VEERG_4_3_1_1__5_FractionVolatileSolidsSolidStorageVariation(R199,R152,$Q163,R153,$Q164,R154,$Q165)</f>
        <v>3.85E-2</v>
      </c>
      <c r="S205" s="55" cm="1">
        <f t="array" ref="S205">MMS_Dairy_Methane_Equations.VEERG_4_3_1_1__5_FractionVolatileSolidsSolidStorageVariation(S199,S152,$Q163,S153,$Q164,S154,$Q165)</f>
        <v>3.85E-2</v>
      </c>
      <c r="T205" s="55" cm="1">
        <f t="array" ref="T205">MMS_Dairy_Methane_Equations.VEERG_4_3_1_1__5_FractionVolatileSolidsSolidStorageVariation(T199,T152,$Q163,T153,$Q164,T154,$Q165)</f>
        <v>3.85E-2</v>
      </c>
      <c r="U205" s="55" cm="1">
        <f t="array" ref="U205">MMS_Dairy_Methane_Equations.VEERG_4_3_1_1__5_FractionVolatileSolidsSolidStorageVariation(U199,U152,$Q163,U153,$Q164,U154,$Q165)</f>
        <v>3.85E-2</v>
      </c>
      <c r="V205" s="2" t="str">
        <f>$E$190</f>
        <v>fraction</v>
      </c>
    </row>
    <row r="206" spans="4:22" ht="20.100000000000001" customHeight="1" x14ac:dyDescent="0.25">
      <c r="D206" s="55" t="str">
        <f>'Input - Dairy'!$D$67</f>
        <v>Feed pad</v>
      </c>
      <c r="E206" s="55" t="s">
        <v>405</v>
      </c>
      <c r="F206" s="55" cm="1">
        <f t="array" ref="F206">MMS_Dairy_Methane_Equations.VEERG_4_3_1_1__5_FractionVolatileSolidsSolidStorageVariation(F200,F155,$F166,F156,$F167,F157,$F168)</f>
        <v>0.1424</v>
      </c>
      <c r="G206" s="55" cm="1">
        <f t="array" ref="G206">MMS_Dairy_Methane_Equations.VEERG_4_3_1_1__5_FractionVolatileSolidsSolidStorageVariation(G200,G155,$F166,G156,$F167,G157,$F168)</f>
        <v>0.1424</v>
      </c>
      <c r="H206" s="55" cm="1">
        <f t="array" ref="H206">MMS_Dairy_Methane_Equations.VEERG_4_3_1_1__5_FractionVolatileSolidsSolidStorageVariation(H200,H155,$F166,H156,$F167,H157,$F168)</f>
        <v>0.1424</v>
      </c>
      <c r="I206" s="55" cm="1">
        <f t="array" ref="I206">MMS_Dairy_Methane_Equations.VEERG_4_3_1_1__5_FractionVolatileSolidsSolidStorageVariation(I200,I155,$F166,I156,$F167,I157,$F168)</f>
        <v>0.1424</v>
      </c>
      <c r="J206" s="55" cm="1">
        <f t="array" ref="J206">MMS_Dairy_Methane_Equations.VEERG_4_3_1_1__5_FractionVolatileSolidsSolidStorageVariation(J200,J155,$F166,J156,$F167,J157,$F168)</f>
        <v>0.1424</v>
      </c>
      <c r="K206" s="2" t="str">
        <f>$E$190</f>
        <v>fraction</v>
      </c>
      <c r="O206" s="55" t="str">
        <f>'Input - Dairy'!$D$67</f>
        <v>Feed pad</v>
      </c>
      <c r="P206" s="55" t="s">
        <v>405</v>
      </c>
      <c r="Q206" s="55" cm="1">
        <f t="array" ref="Q206">MMS_Dairy_Methane_Equations.VEERG_4_3_1_1__5_FractionVolatileSolidsSolidStorageVariation(Q200,Q155,$Q166,Q156,$Q167,Q157,$Q168)</f>
        <v>0.1424</v>
      </c>
      <c r="R206" s="55" cm="1">
        <f t="array" ref="R206">MMS_Dairy_Methane_Equations.VEERG_4_3_1_1__5_FractionVolatileSolidsSolidStorageVariation(R200,R155,$Q166,R156,$Q167,R157,$Q168)</f>
        <v>0.1424</v>
      </c>
      <c r="S206" s="55" cm="1">
        <f t="array" ref="S206">MMS_Dairy_Methane_Equations.VEERG_4_3_1_1__5_FractionVolatileSolidsSolidStorageVariation(S200,S155,$Q166,S156,$Q167,S157,$Q168)</f>
        <v>0.1424</v>
      </c>
      <c r="T206" s="55" cm="1">
        <f t="array" ref="T206">MMS_Dairy_Methane_Equations.VEERG_4_3_1_1__5_FractionVolatileSolidsSolidStorageVariation(T200,T155,$Q166,T156,$Q167,T157,$Q168)</f>
        <v>0.1424</v>
      </c>
      <c r="U206" s="55" cm="1">
        <f t="array" ref="U206">MMS_Dairy_Methane_Equations.VEERG_4_3_1_1__5_FractionVolatileSolidsSolidStorageVariation(U200,U155,$Q166,U156,$Q167,U157,$Q168)</f>
        <v>0.1424</v>
      </c>
      <c r="V206" s="2" t="str">
        <f>$E$190</f>
        <v>fraction</v>
      </c>
    </row>
    <row r="207" spans="4:22" ht="20.100000000000001" customHeight="1" x14ac:dyDescent="0.25"/>
    <row r="208" spans="4:22" ht="20.100000000000001" customHeight="1" x14ac:dyDescent="0.25"/>
    <row r="209" spans="1:23" ht="20.100000000000001" customHeight="1" x14ac:dyDescent="0.25">
      <c r="C209" s="48"/>
      <c r="D209" s="48"/>
      <c r="E209" s="48"/>
      <c r="F209" s="48"/>
      <c r="G209" s="48"/>
      <c r="H209" s="48"/>
      <c r="I209" s="48"/>
      <c r="J209" s="48"/>
      <c r="K209" s="48"/>
      <c r="L209" s="48"/>
      <c r="N209" s="48"/>
      <c r="O209" s="48"/>
      <c r="P209" s="48"/>
      <c r="Q209" s="48"/>
      <c r="R209" s="48"/>
      <c r="S209" s="48"/>
      <c r="T209" s="48"/>
      <c r="U209" s="48"/>
      <c r="V209" s="48"/>
      <c r="W209" s="48"/>
    </row>
    <row r="210" spans="1:23" ht="20.100000000000001" customHeight="1" x14ac:dyDescent="0.25">
      <c r="D210" s="6" t="str" cm="1">
        <f t="array" ref="D210">MMS_Dairy_Methane_Equations.VEERG_4_3_1_1__2_MethaneFromManureProduction_Title()</f>
        <v>Methane from manure production from weaned dairy cattle</v>
      </c>
    </row>
    <row r="211" spans="1:23" ht="20.100000000000001" customHeight="1" x14ac:dyDescent="0.25">
      <c r="D211" s="5" t="str" cm="1">
        <f t="array" ref="D211">MMS_Dairy_Methane_Equations.VEERG_4_3_1_1__2_MethaneFromManureProduction_Source()</f>
        <v>VEERG 2026: 4.3.1.1, Equation (2)</v>
      </c>
    </row>
    <row r="212" spans="1:23" ht="20.100000000000001" customHeight="1" x14ac:dyDescent="0.25">
      <c r="D212" s="13" t="s">
        <v>27</v>
      </c>
      <c r="E212" s="13" t="str" cm="1">
        <f t="array" aca="1" ref="E212" ca="1">Common_InputFunctions.Utility_DisplayFunctionName($F$238)</f>
        <v>=MMS_Dairy_Methane_Equations.VEERG_4_3_1_1__2_MethaneFromManureProduction</v>
      </c>
    </row>
    <row r="213" spans="1:23" ht="20.100000000000001" customHeight="1" x14ac:dyDescent="0.25"/>
    <row r="214" spans="1:23" ht="20.100000000000001" customHeight="1" x14ac:dyDescent="0.25">
      <c r="D214" s="6"/>
    </row>
    <row r="215" spans="1:23" ht="20.100000000000001" customHeight="1" x14ac:dyDescent="0.25">
      <c r="D215" s="56" t="s">
        <v>30</v>
      </c>
      <c r="E215" s="1" t="str" cm="1">
        <f t="array" ref="E215">MMS_Dairy_Methane_Equations.VEERG_4_3_1_1__2_MethaneFromManureProduction_Variable()</f>
        <v>M_jm</v>
      </c>
    </row>
    <row r="216" spans="1:23" ht="20.100000000000001" customHeight="1" x14ac:dyDescent="0.25">
      <c r="D216" s="56" t="s">
        <v>20</v>
      </c>
      <c r="E216" s="57" t="str" cm="1">
        <f t="array" ref="E216">MMS_Dairy_Methane_Equations.VEERG_4_3_1_1__2_MethaneFromManureProduction_Unit()</f>
        <v>kg CH4/head/day</v>
      </c>
    </row>
    <row r="217" spans="1:23" ht="20.100000000000001" customHeight="1" x14ac:dyDescent="0.25">
      <c r="A217" s="141" t="str">
        <f>HYPERLINK("#A1", "▲ Back to top")</f>
        <v>▲ Back to top</v>
      </c>
    </row>
    <row r="218" spans="1:23" ht="20.100000000000001" customHeight="1" x14ac:dyDescent="0.25">
      <c r="D218" s="137" t="str" cm="1">
        <f t="array" ref="D218:E223">_xlfn.CHOOSECOLS(MMS_Dairy_Methane_Equations.VEERG_4_3_1_1__2_MethaneFromManureProduction_Arguments(),1,2)</f>
        <v>VS_j</v>
      </c>
      <c r="E218" s="136" t="str">
        <v>daily volatile solids production per head for dairy cattle (kg/head/day)</v>
      </c>
      <c r="F218" s="138"/>
      <c r="G218" s="137" t="str" cm="1">
        <f t="array" ref="G218:H223">_xlfn.CHOOSECOLS(MMS_Dairy_Methane_Equations.VEERG_4_3_1_1__2_MethaneFromManureProduction_Arguments(),3,4)</f>
        <v>kg/head/day</v>
      </c>
      <c r="H218" s="133" t="str">
        <v>Calculated from 4.3.1.1 (3)</v>
      </c>
      <c r="I218" s="134" t="str" cm="1">
        <f t="array" aca="1" ref="I218" ca="1">HYPERLINK(Common_InputFunctions.Utility_SourceHyperlink($D$130),$D$130)</f>
        <v>M1_Table_VS_j</v>
      </c>
      <c r="J218" s="137"/>
      <c r="O218" s="137" t="str" cm="1">
        <f t="array" ref="O218:P223">_xlfn.CHOOSECOLS(MMS_Dairy_Methane_Equations.VEERG_4_3_1_1__2_MethaneFromManureProduction_Arguments_Method2(),1,2)</f>
        <v>VS_j</v>
      </c>
      <c r="P218" s="136" t="str">
        <v>daily volatile solids production per head for dairy cattle (kg/head/day)</v>
      </c>
      <c r="Q218" s="138"/>
      <c r="R218" s="137" t="str" cm="1">
        <f t="array" ref="R218:S223">_xlfn.CHOOSECOLS(MMS_Dairy_Methane_Equations.VEERG_4_3_1_1__2_MethaneFromManureProduction_Arguments_Method2(),3,4)</f>
        <v>kg/head/day</v>
      </c>
      <c r="S218" s="133" t="str">
        <v>Calculated from 4.3.1.1 (3)</v>
      </c>
      <c r="T218" s="137"/>
    </row>
    <row r="219" spans="1:23" ht="20.100000000000001" customHeight="1" x14ac:dyDescent="0.25">
      <c r="D219" s="137" t="str">
        <v>FVS_jmT1</v>
      </c>
      <c r="E219" s="136" t="str">
        <v>fraction of waste from each class in each management system</v>
      </c>
      <c r="F219" s="138"/>
      <c r="G219" s="137" t="str">
        <v>fraction</v>
      </c>
      <c r="H219" s="133" t="str">
        <v>Calculated from 4.3.1.1 (4)(5)</v>
      </c>
      <c r="I219" s="134" t="str" cm="1">
        <f t="array" aca="1" ref="I219" ca="1">HYPERLINK(Common_InputFunctions.Utility_SourceHyperlink($D$170),$D$170)</f>
        <v>M1_Table_FVS_j_m</v>
      </c>
      <c r="J219" s="134" t="str" cm="1">
        <f t="array" aca="1" ref="J219" ca="1">HYPERLINK(Common_InputFunctions.Utility_SourceHyperlink($D$202),$D$202)</f>
        <v>M1_Table_FVS_j_m-4</v>
      </c>
      <c r="O219" s="137" t="str">
        <v>FVS_jmT1</v>
      </c>
      <c r="P219" s="136" t="str">
        <v>fraction of waste from each class in each management system</v>
      </c>
      <c r="Q219" s="138"/>
      <c r="R219" s="137" t="str">
        <v>fraction</v>
      </c>
      <c r="S219" s="133" t="str">
        <v>Calculated from 4.3.1.1 (4)(5)</v>
      </c>
      <c r="T219" s="137"/>
    </row>
    <row r="220" spans="1:23" ht="20.100000000000001" customHeight="1" x14ac:dyDescent="0.25">
      <c r="D220" s="137" t="str">
        <v>MCF_im</v>
      </c>
      <c r="E220" s="136" t="str">
        <v>methane conversion factor for temperature zone and MMS</v>
      </c>
      <c r="F220" s="138"/>
      <c r="G220" s="137" t="str">
        <v>fraction</v>
      </c>
      <c r="H220" s="133" t="str">
        <v>Constant</v>
      </c>
      <c r="I220" s="134" t="str" cm="1">
        <f t="array" aca="1" ref="I220" ca="1">HYPERLINK(Common_InputFunctions.Utility_SourceHyperlink($D$225),$D$225)</f>
        <v>M1_Table_MCF_i_m</v>
      </c>
      <c r="J220" s="137"/>
      <c r="O220" s="137" t="str">
        <v>MCF_im</v>
      </c>
      <c r="P220" s="136" t="str">
        <v>methane conversion factor for temperature zone and MMS</v>
      </c>
      <c r="Q220" s="138"/>
      <c r="R220" s="137" t="str">
        <v>fraction</v>
      </c>
      <c r="S220" s="133" t="str">
        <v>Constant</v>
      </c>
      <c r="T220" s="134" t="str" cm="1">
        <f t="array" aca="1" ref="T220" ca="1">HYPERLINK(Common_InputFunctions.Utility_SourceHyperlink($O$225),$O$225)</f>
        <v>M2_Table_MCF_i_m</v>
      </c>
    </row>
    <row r="221" spans="1:23" ht="20.100000000000001" customHeight="1" x14ac:dyDescent="0.25">
      <c r="D221" s="137" t="str">
        <v>B_o</v>
      </c>
      <c r="E221" s="136" t="str">
        <v>emissions potential (m3 CH4/kgVS)</v>
      </c>
      <c r="F221" s="138"/>
      <c r="G221" s="137" t="str">
        <v>m3 CH4/kgVS</v>
      </c>
      <c r="H221" s="133" t="str">
        <v>Constant</v>
      </c>
      <c r="I221" s="137">
        <f>'Constants - Dairy'!$D$195</f>
        <v>0.24</v>
      </c>
      <c r="J221" s="137"/>
      <c r="O221" s="137" t="str">
        <v>B_o</v>
      </c>
      <c r="P221" s="136" t="str">
        <v>emissions potential (m3 CH4/kgVS)</v>
      </c>
      <c r="Q221" s="138"/>
      <c r="R221" s="137" t="str">
        <v>m3 CH4/kgVS</v>
      </c>
      <c r="S221" s="133" t="str">
        <v>Constant</v>
      </c>
      <c r="T221" s="137"/>
    </row>
    <row r="222" spans="1:23" ht="20.100000000000001" customHeight="1" x14ac:dyDescent="0.25">
      <c r="D222" s="137" t="str">
        <v>rho</v>
      </c>
      <c r="E222" s="136" t="str">
        <v>density of methane (kg/m3)</v>
      </c>
      <c r="F222" s="138"/>
      <c r="G222" s="137" t="str">
        <v>kg/m3</v>
      </c>
      <c r="H222" s="133" t="str">
        <v>Constant</v>
      </c>
      <c r="I222" s="137">
        <f>'Constants - Common'!$D$175</f>
        <v>0.6784</v>
      </c>
      <c r="J222" s="137"/>
      <c r="O222" s="137" t="str">
        <v>rho</v>
      </c>
      <c r="P222" s="136" t="str">
        <v>density of methane (kg/m3)</v>
      </c>
      <c r="Q222" s="138"/>
      <c r="R222" s="137" t="str">
        <v>kg/m3</v>
      </c>
      <c r="S222" s="133" t="str">
        <v>Constant</v>
      </c>
      <c r="T222" s="137"/>
    </row>
    <row r="223" spans="1:23" ht="20.100000000000001" customHeight="1" x14ac:dyDescent="0.25">
      <c r="D223" s="137" t="str">
        <v>i</v>
      </c>
      <c r="E223" s="136" t="str">
        <v>state</v>
      </c>
      <c r="F223" s="138"/>
      <c r="G223" s="137" t="str">
        <v>state</v>
      </c>
      <c r="H223" s="135" t="str">
        <v>Input</v>
      </c>
      <c r="I223" s="137" t="str">
        <f>Common_InputFunctions.Utility_LookupValueInTable('Input - Site'!$E$21, Table_AustralianStates[Common Name],Table_AustralianStates[Abbreviation])</f>
        <v>WA</v>
      </c>
      <c r="J223" s="137"/>
      <c r="O223" s="137" t="str">
        <v>MAT</v>
      </c>
      <c r="P223" s="136" t="str">
        <v>Mean annual temperature</v>
      </c>
      <c r="Q223" s="138"/>
      <c r="R223" s="137" t="str">
        <v>°C</v>
      </c>
      <c r="S223" s="135" t="str">
        <v>Input</v>
      </c>
      <c r="T223" s="137">
        <f>'Input - Site'!$E$25</f>
        <v>18</v>
      </c>
    </row>
    <row r="224" spans="1:23" ht="20.100000000000001" customHeight="1" x14ac:dyDescent="0.25"/>
    <row r="225" spans="4:22" ht="20.100000000000001" customHeight="1" x14ac:dyDescent="0.25">
      <c r="D225" s="128" t="s">
        <v>259</v>
      </c>
      <c r="O225" s="128" t="s">
        <v>416</v>
      </c>
    </row>
    <row r="226" spans="4:22" ht="20.100000000000001" customHeight="1" x14ac:dyDescent="0.25">
      <c r="D226" s="129" t="s">
        <v>260</v>
      </c>
      <c r="O226" s="129" t="s">
        <v>417</v>
      </c>
    </row>
    <row r="227" spans="4:22" ht="20.100000000000001" customHeight="1" x14ac:dyDescent="0.25">
      <c r="D227" s="54" t="s">
        <v>68</v>
      </c>
      <c r="E227" s="54" t="s">
        <v>98</v>
      </c>
      <c r="O227" s="54" t="s">
        <v>68</v>
      </c>
      <c r="P227" s="54" t="s">
        <v>98</v>
      </c>
    </row>
    <row r="228" spans="4:22" ht="20.100000000000001" customHeight="1" x14ac:dyDescent="0.25">
      <c r="D228" s="60" t="str">
        <f>'Constants - Livestock'!$E$27</f>
        <v>Pasture range and paddock</v>
      </c>
      <c r="E228" s="55" cm="1">
        <f t="array" ref="E228">CommonLivestock_InputFunctions.Livestock_LookupMCFState(D228,Table_SourceData_Dairy_MCFjm[NIR reference],$I$223,Table_SourceData_Dairy_MCFjm[#Headers],Table_SourceData_Dairy_MCFjm[])</f>
        <v>0.01</v>
      </c>
      <c r="O228" s="60" t="str">
        <f>'Constants - Livestock'!$E$27</f>
        <v>Pasture range and paddock</v>
      </c>
      <c r="P228" s="55" cm="1">
        <f t="array" ref="P228">CommonLivestock_InputFunctions.Livestock_LookupMCFState(O228,Table_SourceData_Dairy_MCFjm[NIR reference],$I$223,Table_SourceData_Dairy_MCFjm[#Headers],Table_SourceData_Dairy_MCFjm[])</f>
        <v>0.01</v>
      </c>
      <c r="Q228" s="23" t="s">
        <v>418</v>
      </c>
      <c r="R228" s="23"/>
    </row>
    <row r="229" spans="4:22" ht="20.100000000000001" customHeight="1" x14ac:dyDescent="0.25">
      <c r="D229" s="60" t="str">
        <f>'Constants - Dairy'!$D$8</f>
        <v>Anaerobic lagoon</v>
      </c>
      <c r="E229" s="55" cm="1">
        <f t="array" ref="E229">CommonLivestock_InputFunctions.Livestock_LookupMCFState(D229,Table_SourceData_Dairy_MCFjm[NIR reference],$I$223,Table_SourceData_Dairy_MCFjm[#Headers],Table_SourceData_Dairy_MCFjm[])</f>
        <v>0.76</v>
      </c>
      <c r="O229" s="60" t="str">
        <f>'Constants - Dairy'!$D$8</f>
        <v>Anaerobic lagoon</v>
      </c>
      <c r="P229" s="55">
        <f>Common_InputFunctions.Common_GetMCFTemperatureZone($T$223, O229,Table_SourceData_Common_MCFTemperatureZone[MAT raw],Table_SourceData_Common_MCFTemperatureZone[#Headers],Table_SourceData_Common_MCFTemperatureZone[])</f>
        <v>0.77</v>
      </c>
    </row>
    <row r="230" spans="4:22" ht="20.100000000000001" customHeight="1" x14ac:dyDescent="0.25">
      <c r="D230" s="60" t="str">
        <f>'Constants - Dairy'!$D$9</f>
        <v>Sump and dispersal system</v>
      </c>
      <c r="E230" s="55" cm="1">
        <f t="array" ref="E230">CommonLivestock_InputFunctions.Livestock_LookupMCFState(D230,Table_SourceData_Dairy_MCFjm[NIR reference],$I$223,Table_SourceData_Dairy_MCFjm[#Headers],Table_SourceData_Dairy_MCFjm[])</f>
        <v>5.0000000000000001E-3</v>
      </c>
      <c r="O230" s="60" t="str">
        <f>'Constants - Dairy'!$D$9</f>
        <v>Sump and dispersal system</v>
      </c>
      <c r="P230" s="55">
        <f>Common_InputFunctions.Common_GetMCFTemperatureZone($T$223, "Daily spread",Table_SourceData_Common_MCFTemperatureZone[MAT raw],Table_SourceData_Common_MCFTemperatureZone[#Headers],Table_SourceData_Common_MCFTemperatureZone[])</f>
        <v>5.0000000000000001E-3</v>
      </c>
      <c r="Q230" s="23" t="s">
        <v>415</v>
      </c>
      <c r="R230" s="23"/>
    </row>
    <row r="231" spans="4:22" ht="20.100000000000001" customHeight="1" x14ac:dyDescent="0.25">
      <c r="D231" s="60" t="str">
        <f>'Constants - Dairy'!$D$10</f>
        <v>Drains to paddock</v>
      </c>
      <c r="E231" s="55" cm="1">
        <f t="array" ref="E231">CommonLivestock_InputFunctions.Livestock_LookupMCFState(D231,Table_SourceData_Dairy_MCFjm[NIR reference],$I$223,Table_SourceData_Dairy_MCFjm[#Headers],Table_SourceData_Dairy_MCFjm[])</f>
        <v>0.18</v>
      </c>
      <c r="O231" s="60" t="str">
        <f>'Constants - Dairy'!$D$10</f>
        <v>Drains to paddock</v>
      </c>
      <c r="P231" s="55">
        <f>Common_InputFunctions.Common_GetMCFTemperatureZone($T$223, "Liquid systems",Table_SourceData_Common_MCFTemperatureZone[MAT raw],Table_SourceData_Common_MCFTemperatureZone[#Headers],Table_SourceData_Common_MCFTemperatureZone[])</f>
        <v>0.22</v>
      </c>
      <c r="Q231" s="23" t="s">
        <v>414</v>
      </c>
      <c r="R231" s="23"/>
    </row>
    <row r="232" spans="4:22" ht="20.100000000000001" customHeight="1" x14ac:dyDescent="0.25">
      <c r="D232" s="60" t="str">
        <f>'Constants - Dairy'!$D$11</f>
        <v>Solid storage</v>
      </c>
      <c r="E232" s="55" cm="1">
        <f t="array" ref="E232">CommonLivestock_InputFunctions.Livestock_LookupMCFState(D232,Table_SourceData_Dairy_MCFjm[NIR reference],$I$223,Table_SourceData_Dairy_MCFjm[#Headers],Table_SourceData_Dairy_MCFjm[])</f>
        <v>0.02</v>
      </c>
      <c r="O232" s="60" t="str">
        <f>'Constants - Dairy'!$D$11</f>
        <v>Solid storage</v>
      </c>
      <c r="P232" s="55">
        <f>Common_InputFunctions.Common_GetMCFTemperatureZone($T$223, O232,Table_SourceData_Common_MCFTemperatureZone[MAT raw],Table_SourceData_Common_MCFTemperatureZone[#Headers],Table_SourceData_Common_MCFTemperatureZone[])</f>
        <v>0.02</v>
      </c>
    </row>
    <row r="233" spans="4:22" ht="20.100000000000001" customHeight="1" x14ac:dyDescent="0.25"/>
    <row r="234" spans="4:22" ht="20.100000000000001" customHeight="1" x14ac:dyDescent="0.25">
      <c r="D234" s="128" t="s">
        <v>261</v>
      </c>
      <c r="O234" s="128" t="s">
        <v>275</v>
      </c>
    </row>
    <row r="235" spans="4:22" ht="20.100000000000001" customHeight="1" x14ac:dyDescent="0.25">
      <c r="D235" s="129" t="s">
        <v>277</v>
      </c>
      <c r="O235" s="129" t="s">
        <v>276</v>
      </c>
    </row>
    <row r="236" spans="4:22" ht="20.100000000000001" customHeight="1" x14ac:dyDescent="0.25">
      <c r="D236" s="54" t="s">
        <v>146</v>
      </c>
      <c r="E236" s="54" t="s">
        <v>68</v>
      </c>
      <c r="F236" s="54" t="s">
        <v>171</v>
      </c>
      <c r="G236" s="54" t="s">
        <v>188</v>
      </c>
      <c r="H236" s="54" t="s">
        <v>189</v>
      </c>
      <c r="I236" s="54" t="s">
        <v>190</v>
      </c>
      <c r="J236" s="54" t="s">
        <v>191</v>
      </c>
      <c r="O236" s="54" t="s">
        <v>146</v>
      </c>
      <c r="P236" s="54" t="s">
        <v>68</v>
      </c>
      <c r="Q236" s="54" t="s">
        <v>171</v>
      </c>
      <c r="R236" s="54" t="s">
        <v>188</v>
      </c>
      <c r="S236" s="54" t="s">
        <v>189</v>
      </c>
      <c r="T236" s="54" t="s">
        <v>190</v>
      </c>
      <c r="U236" s="54" t="s">
        <v>191</v>
      </c>
    </row>
    <row r="237" spans="4:22" ht="20.100000000000001" customHeight="1" x14ac:dyDescent="0.25">
      <c r="D237" s="55" t="str">
        <f>'Input - Dairy'!$D$65</f>
        <v>Pasture</v>
      </c>
      <c r="E237" s="55" t="str">
        <f>'Constants - Livestock'!$E$27</f>
        <v>Pasture range and paddock</v>
      </c>
      <c r="F237" s="55" cm="1">
        <f t="array" ref="F237">MMS_Dairy_Methane_Equations.VEERG_4_3_1_1__2_MethaneFromManureProduction(D$133,F173,_xlfn.XLOOKUP($E237,$D$228:$D$232,$E$228:$E$232),$I$221,$I$222)</f>
        <v>5.3087468530731638E-3</v>
      </c>
      <c r="G237" s="55" cm="1">
        <f t="array" ref="G237">MMS_Dairy_Methane_Equations.VEERG_4_3_1_1__2_MethaneFromManureProduction(E$133,G173,_xlfn.XLOOKUP($E237,$D$228:$D$232,$E$228:$E$232),$I$221,$I$222)</f>
        <v>2.0176357191917975E-3</v>
      </c>
      <c r="H237" s="55" cm="1">
        <f t="array" ref="H237">MMS_Dairy_Methane_Equations.VEERG_4_3_1_1__2_MethaneFromManureProduction(F$133,H173,_xlfn.XLOOKUP($E237,$D$228:$D$232,$E$228:$E$232),$I$221,$I$222)</f>
        <v>1.0941423815263051E-3</v>
      </c>
      <c r="I237" s="55" cm="1">
        <f t="array" ref="I237">MMS_Dairy_Methane_Equations.VEERG_4_3_1_1__2_MethaneFromManureProduction(G$133,I173,_xlfn.XLOOKUP($E237,$D$228:$D$232,$E$228:$E$232),$I$221,$I$222)</f>
        <v>2.4549887091218966E-3</v>
      </c>
      <c r="J237" s="55" cm="1">
        <f t="array" ref="J237">MMS_Dairy_Methane_Equations.VEERG_4_3_1_1__2_MethaneFromManureProduction(H$133,J173,_xlfn.XLOOKUP($E237,$D$228:$D$232,$E$228:$E$232),$I$221,$I$222)</f>
        <v>1.4724860514602697E-3</v>
      </c>
      <c r="K237" s="2" t="str">
        <f>$E$216</f>
        <v>kg CH4/head/day</v>
      </c>
      <c r="O237" s="55" t="str">
        <f>'Input - Dairy'!$D$65</f>
        <v>Pasture</v>
      </c>
      <c r="P237" s="55" t="str">
        <f>'Constants - Livestock'!$E$27</f>
        <v>Pasture range and paddock</v>
      </c>
      <c r="Q237" s="55" cm="1">
        <f t="array" ref="Q237">MMS_Dairy_Methane_Equations.VEERG_4_3_1_1__2_MethaneFromManureProduction(O$133,Q173,_xlfn.XLOOKUP($P237,$O$228:$O$232,$P$228:$P$232),$I$221,$I$222)</f>
        <v>5.3087468530731638E-3</v>
      </c>
      <c r="R237" s="55" cm="1">
        <f t="array" ref="R237">MMS_Dairy_Methane_Equations.VEERG_4_3_1_1__2_MethaneFromManureProduction(P$133,R173,_xlfn.XLOOKUP($P237,$O$228:$O$232,$P$228:$P$232),$I$221,$I$222)</f>
        <v>2.0176357191917975E-3</v>
      </c>
      <c r="S237" s="55" cm="1">
        <f t="array" ref="S237">MMS_Dairy_Methane_Equations.VEERG_4_3_1_1__2_MethaneFromManureProduction(Q$133,S173,_xlfn.XLOOKUP($P237,$O$228:$O$232,$P$228:$P$232),$I$221,$I$222)</f>
        <v>1.0941423815263051E-3</v>
      </c>
      <c r="T237" s="55" cm="1">
        <f t="array" ref="T237">MMS_Dairy_Methane_Equations.VEERG_4_3_1_1__2_MethaneFromManureProduction(R$133,T173,_xlfn.XLOOKUP($P237,$O$228:$O$232,$P$228:$P$232),$I$221,$I$222)</f>
        <v>2.4549887091218966E-3</v>
      </c>
      <c r="U237" s="55" cm="1">
        <f t="array" ref="U237">MMS_Dairy_Methane_Equations.VEERG_4_3_1_1__2_MethaneFromManureProduction(S$133,U173,_xlfn.XLOOKUP($P237,$O$228:$O$232,$P$228:$P$232),$I$221,$I$222)</f>
        <v>1.4724860514602697E-3</v>
      </c>
      <c r="V237" s="2" t="str">
        <f>$E$216</f>
        <v>kg CH4/head/day</v>
      </c>
    </row>
    <row r="238" spans="4:22" ht="20.100000000000001" customHeight="1" x14ac:dyDescent="0.25">
      <c r="D238" s="55" t="str">
        <f>'Input - Dairy'!$D$66</f>
        <v>Milking shed</v>
      </c>
      <c r="E238" s="55" t="str">
        <f>'Input - Dairy'!$D$81</f>
        <v>Anaerobic lagoon</v>
      </c>
      <c r="F238" s="55" cm="1">
        <f t="array" ref="F238">MMS_Dairy_Methane_Equations.VEERG_4_3_1_1__2_MethaneFromManureProduction(D$133,F174,_xlfn.XLOOKUP($E238,$D$228:$D$232,$E$228:$E$232),$I$221,$I$222)</f>
        <v>2.0777679630941782E-2</v>
      </c>
      <c r="G238" s="55" cm="1">
        <f t="array" ref="G238">MMS_Dairy_Methane_Equations.VEERG_4_3_1_1__2_MethaneFromManureProduction(E$133,G174,_xlfn.XLOOKUP($E238,$D$228:$D$232,$E$228:$E$232),$I$221,$I$222)</f>
        <v>7.8967390507693955E-3</v>
      </c>
      <c r="H238" s="55" cm="1">
        <f t="array" ref="H238">MMS_Dairy_Methane_Equations.VEERG_4_3_1_1__2_MethaneFromManureProduction(F$133,H174,_xlfn.XLOOKUP($E238,$D$228:$D$232,$E$228:$E$232),$I$221,$I$222)</f>
        <v>4.2823175606553883E-3</v>
      </c>
      <c r="I238" s="55" cm="1">
        <f t="array" ref="I238">MMS_Dairy_Methane_Equations.VEERG_4_3_1_1__2_MethaneFromManureProduction(G$133,I174,_xlfn.XLOOKUP($E238,$D$228:$D$232,$E$228:$E$232),$I$221,$I$222)</f>
        <v>9.6084764083609799E-3</v>
      </c>
      <c r="J238" s="55" cm="1">
        <f t="array" ref="J238">MMS_Dairy_Methane_Equations.VEERG_4_3_1_1__2_MethaneFromManureProduction(H$133,J174,_xlfn.XLOOKUP($E238,$D$228:$D$232,$E$228:$E$232),$I$221,$I$222)</f>
        <v>5.7631008381122915E-3</v>
      </c>
      <c r="O238" s="55" t="str">
        <f>'Input - Dairy'!$D$66</f>
        <v>Milking shed</v>
      </c>
      <c r="P238" s="55" t="str">
        <f>'Input - Dairy'!$D$81</f>
        <v>Anaerobic lagoon</v>
      </c>
      <c r="Q238" s="55" cm="1">
        <f t="array" ref="Q238">MMS_Dairy_Methane_Equations.VEERG_4_3_1_1__2_MethaneFromManureProduction(O$133,Q174,_xlfn.XLOOKUP($P238,$O$228:$O$232,$P$228:$P$232),$I$221,$I$222)</f>
        <v>2.1051070152401541E-2</v>
      </c>
      <c r="R238" s="55" cm="1">
        <f t="array" ref="R238">MMS_Dairy_Methane_Equations.VEERG_4_3_1_1__2_MethaneFromManureProduction(P$133,R174,_xlfn.XLOOKUP($P238,$O$228:$O$232,$P$228:$P$232),$I$221,$I$222)</f>
        <v>8.0006435119637301E-3</v>
      </c>
      <c r="S238" s="55" cm="1">
        <f t="array" ref="S238">MMS_Dairy_Methane_Equations.VEERG_4_3_1_1__2_MethaneFromManureProduction(Q$133,S174,_xlfn.XLOOKUP($P238,$O$228:$O$232,$P$228:$P$232),$I$221,$I$222)</f>
        <v>4.3386638443482228E-3</v>
      </c>
      <c r="T238" s="55" cm="1">
        <f t="array" ref="T238">MMS_Dairy_Methane_Equations.VEERG_4_3_1_1__2_MethaneFromManureProduction(R$133,T174,_xlfn.XLOOKUP($P238,$O$228:$O$232,$P$228:$P$232),$I$221,$I$222)</f>
        <v>9.7349037295236251E-3</v>
      </c>
      <c r="U238" s="55" cm="1">
        <f t="array" ref="U238">MMS_Dairy_Methane_Equations.VEERG_4_3_1_1__2_MethaneFromManureProduction(S$133,U174,_xlfn.XLOOKUP($P238,$O$228:$O$232,$P$228:$P$232),$I$221,$I$222)</f>
        <v>5.8389311122979794E-3</v>
      </c>
    </row>
    <row r="239" spans="4:22" ht="20.100000000000001" customHeight="1" x14ac:dyDescent="0.25">
      <c r="D239" s="55" t="str">
        <f>'Input - Dairy'!$D$66</f>
        <v>Milking shed</v>
      </c>
      <c r="E239" s="55" t="str">
        <f>'Input - Dairy'!$D$86</f>
        <v>Sump and dispersal system</v>
      </c>
      <c r="F239" s="55" cm="1">
        <f t="array" ref="F239">MMS_Dairy_Methane_Equations.VEERG_4_3_1_1__2_MethaneFromManureProduction(D$133,F175,_xlfn.XLOOKUP($E239,$D$228:$D$232,$E$228:$E$232),$I$221,$I$222)</f>
        <v>1.0935620858390414E-4</v>
      </c>
      <c r="G239" s="55" cm="1">
        <f t="array" ref="G239">MMS_Dairy_Methane_Equations.VEERG_4_3_1_1__2_MethaneFromManureProduction(E$133,G175,_xlfn.XLOOKUP($E239,$D$228:$D$232,$E$228:$E$232),$I$221,$I$222)</f>
        <v>4.1561784477733665E-5</v>
      </c>
      <c r="H239" s="55" cm="1">
        <f t="array" ref="H239">MMS_Dairy_Methane_Equations.VEERG_4_3_1_1__2_MethaneFromManureProduction(F$133,H175,_xlfn.XLOOKUP($E239,$D$228:$D$232,$E$228:$E$232),$I$221,$I$222)</f>
        <v>2.2538513477133629E-5</v>
      </c>
      <c r="I239" s="55" cm="1">
        <f t="array" ref="I239">MMS_Dairy_Methane_Equations.VEERG_4_3_1_1__2_MethaneFromManureProduction(G$133,I175,_xlfn.XLOOKUP($E239,$D$228:$D$232,$E$228:$E$232),$I$221,$I$222)</f>
        <v>5.0570928465057785E-5</v>
      </c>
      <c r="J239" s="55" cm="1">
        <f t="array" ref="J239">MMS_Dairy_Methane_Equations.VEERG_4_3_1_1__2_MethaneFromManureProduction(H$133,J175,_xlfn.XLOOKUP($E239,$D$228:$D$232,$E$228:$E$232),$I$221,$I$222)</f>
        <v>3.0332109674275219E-5</v>
      </c>
      <c r="K239" s="2"/>
      <c r="O239" s="55" t="str">
        <f>'Input - Dairy'!$D$66</f>
        <v>Milking shed</v>
      </c>
      <c r="P239" s="55" t="str">
        <f>'Input - Dairy'!$D$86</f>
        <v>Sump and dispersal system</v>
      </c>
      <c r="Q239" s="55" cm="1">
        <f t="array" ref="Q239">MMS_Dairy_Methane_Equations.VEERG_4_3_1_1__2_MethaneFromManureProduction(O$133,Q175,_xlfn.XLOOKUP($P239,$O$228:$O$232,$P$228:$P$232),$I$221,$I$222)</f>
        <v>1.0935620858390414E-4</v>
      </c>
      <c r="R239" s="55" cm="1">
        <f t="array" ref="R239">MMS_Dairy_Methane_Equations.VEERG_4_3_1_1__2_MethaneFromManureProduction(P$133,R175,_xlfn.XLOOKUP($P239,$O$228:$O$232,$P$228:$P$232),$I$221,$I$222)</f>
        <v>4.1561784477733665E-5</v>
      </c>
      <c r="S239" s="55" cm="1">
        <f t="array" ref="S239">MMS_Dairy_Methane_Equations.VEERG_4_3_1_1__2_MethaneFromManureProduction(Q$133,S175,_xlfn.XLOOKUP($P239,$O$228:$O$232,$P$228:$P$232),$I$221,$I$222)</f>
        <v>2.2538513477133629E-5</v>
      </c>
      <c r="T239" s="55" cm="1">
        <f t="array" ref="T239">MMS_Dairy_Methane_Equations.VEERG_4_3_1_1__2_MethaneFromManureProduction(R$133,T175,_xlfn.XLOOKUP($P239,$O$228:$O$232,$P$228:$P$232),$I$221,$I$222)</f>
        <v>5.0570928465057785E-5</v>
      </c>
      <c r="U239" s="55" cm="1">
        <f t="array" ref="U239">MMS_Dairy_Methane_Equations.VEERG_4_3_1_1__2_MethaneFromManureProduction(S$133,U175,_xlfn.XLOOKUP($P239,$O$228:$O$232,$P$228:$P$232),$I$221,$I$222)</f>
        <v>3.0332109674275219E-5</v>
      </c>
      <c r="V239" s="2"/>
    </row>
    <row r="240" spans="4:22" ht="20.100000000000001" customHeight="1" x14ac:dyDescent="0.25">
      <c r="D240" s="55" t="str">
        <f>'Input - Dairy'!$D$66</f>
        <v>Milking shed</v>
      </c>
      <c r="E240" s="55" t="str">
        <f>'Input - Dairy'!$D$91</f>
        <v>Drains to paddock</v>
      </c>
      <c r="F240" s="55" cm="1">
        <f t="array" ref="F240">MMS_Dairy_Methane_Equations.VEERG_4_3_1_1__2_MethaneFromManureProduction(D$133,F176,_xlfn.XLOOKUP($E240,$D$228:$D$232,$E$228:$E$232),$I$221,$I$222)</f>
        <v>3.9368235090205487E-3</v>
      </c>
      <c r="G240" s="55" cm="1">
        <f t="array" ref="G240">MMS_Dairy_Methane_Equations.VEERG_4_3_1_1__2_MethaneFromManureProduction(E$133,G176,_xlfn.XLOOKUP($E240,$D$228:$D$232,$E$228:$E$232),$I$221,$I$222)</f>
        <v>1.4962242411984121E-3</v>
      </c>
      <c r="H240" s="55" cm="1">
        <f t="array" ref="H240">MMS_Dairy_Methane_Equations.VEERG_4_3_1_1__2_MethaneFromManureProduction(F$133,H176,_xlfn.XLOOKUP($E240,$D$228:$D$232,$E$228:$E$232),$I$221,$I$222)</f>
        <v>8.113864851768105E-4</v>
      </c>
      <c r="I240" s="55" cm="1">
        <f t="array" ref="I240">MMS_Dairy_Methane_Equations.VEERG_4_3_1_1__2_MethaneFromManureProduction(G$133,I176,_xlfn.XLOOKUP($E240,$D$228:$D$232,$E$228:$E$232),$I$221,$I$222)</f>
        <v>1.8205534247420804E-3</v>
      </c>
      <c r="J240" s="55" cm="1">
        <f t="array" ref="J240">MMS_Dairy_Methane_Equations.VEERG_4_3_1_1__2_MethaneFromManureProduction(H$133,J176,_xlfn.XLOOKUP($E240,$D$228:$D$232,$E$228:$E$232),$I$221,$I$222)</f>
        <v>1.0919559482739079E-3</v>
      </c>
      <c r="K240" s="2"/>
      <c r="O240" s="55" t="str">
        <f>'Input - Dairy'!$D$66</f>
        <v>Milking shed</v>
      </c>
      <c r="P240" s="55" t="str">
        <f>'Input - Dairy'!$D$91</f>
        <v>Drains to paddock</v>
      </c>
      <c r="Q240" s="55" cm="1">
        <f t="array" ref="Q240">MMS_Dairy_Methane_Equations.VEERG_4_3_1_1__2_MethaneFromManureProduction(O$133,Q176,_xlfn.XLOOKUP($P240,$O$228:$O$232,$P$228:$P$232),$I$221,$I$222)</f>
        <v>4.8116731776917821E-3</v>
      </c>
      <c r="R240" s="55" cm="1">
        <f t="array" ref="R240">MMS_Dairy_Methane_Equations.VEERG_4_3_1_1__2_MethaneFromManureProduction(P$133,R176,_xlfn.XLOOKUP($P240,$O$228:$O$232,$P$228:$P$232),$I$221,$I$222)</f>
        <v>1.8287185170202812E-3</v>
      </c>
      <c r="S240" s="55" cm="1">
        <f t="array" ref="S240">MMS_Dairy_Methane_Equations.VEERG_4_3_1_1__2_MethaneFromManureProduction(Q$133,S176,_xlfn.XLOOKUP($P240,$O$228:$O$232,$P$228:$P$232),$I$221,$I$222)</f>
        <v>9.9169459299387947E-4</v>
      </c>
      <c r="T240" s="55" cm="1">
        <f t="array" ref="T240">MMS_Dairy_Methane_Equations.VEERG_4_3_1_1__2_MethaneFromManureProduction(R$133,T176,_xlfn.XLOOKUP($P240,$O$228:$O$232,$P$228:$P$232),$I$221,$I$222)</f>
        <v>2.225120852462543E-3</v>
      </c>
      <c r="U240" s="55" cm="1">
        <f t="array" ref="U240">MMS_Dairy_Methane_Equations.VEERG_4_3_1_1__2_MethaneFromManureProduction(S$133,U176,_xlfn.XLOOKUP($P240,$O$228:$O$232,$P$228:$P$232),$I$221,$I$222)</f>
        <v>1.3346128256681096E-3</v>
      </c>
      <c r="V240" s="2"/>
    </row>
    <row r="241" spans="3:23" ht="20.100000000000001" customHeight="1" x14ac:dyDescent="0.25">
      <c r="D241" s="55" t="str">
        <f>'Input - Dairy'!$D$66</f>
        <v>Milking shed</v>
      </c>
      <c r="E241" s="55" t="s">
        <v>405</v>
      </c>
      <c r="F241" s="55" cm="1">
        <f t="array" ref="F241">MMS_Dairy_Methane_Equations.VEERG_4_3_1_1__2_MethaneFromManureProduction(D$133,F205,_xlfn.XLOOKUP($E241,$D$228:$D$232,$E$228:$E$232),$I$221,$I$222)</f>
        <v>7.6549346008732881E-4</v>
      </c>
      <c r="G241" s="55" cm="1">
        <f t="array" ref="G241">MMS_Dairy_Methane_Equations.VEERG_4_3_1_1__2_MethaneFromManureProduction(E$133,G205,_xlfn.XLOOKUP($E241,$D$228:$D$232,$E$228:$E$232),$I$221,$I$222)</f>
        <v>2.9093249134413566E-4</v>
      </c>
      <c r="H241" s="55" cm="1">
        <f t="array" ref="H241">MMS_Dairy_Methane_Equations.VEERG_4_3_1_1__2_MethaneFromManureProduction(F$133,H205,_xlfn.XLOOKUP($E241,$D$228:$D$232,$E$228:$E$232),$I$221,$I$222)</f>
        <v>1.5776959433993535E-4</v>
      </c>
      <c r="I241" s="55" cm="1">
        <f t="array" ref="I241">MMS_Dairy_Methane_Equations.VEERG_4_3_1_1__2_MethaneFromManureProduction(G$133,I205,_xlfn.XLOOKUP($E241,$D$228:$D$232,$E$228:$E$232),$I$221,$I$222)</f>
        <v>3.5399649925540452E-4</v>
      </c>
      <c r="J241" s="55" cm="1">
        <f t="array" ref="J241">MMS_Dairy_Methane_Equations.VEERG_4_3_1_1__2_MethaneFromManureProduction(H$133,J205,_xlfn.XLOOKUP($E241,$D$228:$D$232,$E$228:$E$232),$I$221,$I$222)</f>
        <v>2.1232476771992649E-4</v>
      </c>
      <c r="K241" s="2"/>
      <c r="O241" s="55" t="str">
        <f>'Input - Dairy'!$D$66</f>
        <v>Milking shed</v>
      </c>
      <c r="P241" s="55" t="s">
        <v>405</v>
      </c>
      <c r="Q241" s="55" cm="1">
        <f t="array" ref="Q241">MMS_Dairy_Methane_Equations.VEERG_4_3_1_1__2_MethaneFromManureProduction(O$133,Q205,_xlfn.XLOOKUP($P241,$O$228:$O$232,$P$228:$P$232),$I$221,$I$222)</f>
        <v>7.6549346008732881E-4</v>
      </c>
      <c r="R241" s="55" cm="1">
        <f t="array" ref="R241">MMS_Dairy_Methane_Equations.VEERG_4_3_1_1__2_MethaneFromManureProduction(P$133,R205,_xlfn.XLOOKUP($P241,$O$228:$O$232,$P$228:$P$232),$I$221,$I$222)</f>
        <v>2.9093249134413566E-4</v>
      </c>
      <c r="S241" s="55" cm="1">
        <f t="array" ref="S241">MMS_Dairy_Methane_Equations.VEERG_4_3_1_1__2_MethaneFromManureProduction(Q$133,S205,_xlfn.XLOOKUP($P241,$O$228:$O$232,$P$228:$P$232),$I$221,$I$222)</f>
        <v>1.5776959433993535E-4</v>
      </c>
      <c r="T241" s="55" cm="1">
        <f t="array" ref="T241">MMS_Dairy_Methane_Equations.VEERG_4_3_1_1__2_MethaneFromManureProduction(R$133,T205,_xlfn.XLOOKUP($P241,$O$228:$O$232,$P$228:$P$232),$I$221,$I$222)</f>
        <v>3.5399649925540452E-4</v>
      </c>
      <c r="U241" s="55" cm="1">
        <f t="array" ref="U241">MMS_Dairy_Methane_Equations.VEERG_4_3_1_1__2_MethaneFromManureProduction(S$133,U205,_xlfn.XLOOKUP($P241,$O$228:$O$232,$P$228:$P$232),$I$221,$I$222)</f>
        <v>2.1232476771992649E-4</v>
      </c>
      <c r="V241" s="2"/>
    </row>
    <row r="242" spans="3:23" ht="20.100000000000001" customHeight="1" x14ac:dyDescent="0.25">
      <c r="D242" s="55" t="str">
        <f>'Input - Dairy'!$D$67</f>
        <v>Feed pad</v>
      </c>
      <c r="E242" s="55" t="str">
        <f>'Input - Dairy'!$D$105</f>
        <v>Anaerobic lagoon</v>
      </c>
      <c r="F242" s="55" cm="1">
        <f t="array" ref="F242">MMS_Dairy_Methane_Equations.VEERG_4_3_1_1__2_MethaneFromManureProduction(D$133,F177,_xlfn.XLOOKUP($E242,$D$228:$D$232,$E$228:$E$232),$I$221,$I$222)</f>
        <v>5.3795301444474725E-2</v>
      </c>
      <c r="G242" s="55" cm="1">
        <f t="array" ref="G242">MMS_Dairy_Methane_Equations.VEERG_4_3_1_1__2_MethaneFromManureProduction(E$133,G177,_xlfn.XLOOKUP($E242,$D$228:$D$232,$E$228:$E$232),$I$221,$I$222)</f>
        <v>2.0445375287810211E-2</v>
      </c>
      <c r="H242" s="55" cm="1">
        <f t="array" ref="H242">MMS_Dairy_Methane_Equations.VEERG_4_3_1_1__2_MethaneFromManureProduction(F$133,H177,_xlfn.XLOOKUP($E242,$D$228:$D$232,$E$228:$E$232),$I$221,$I$222)</f>
        <v>1.1087309466133224E-2</v>
      </c>
      <c r="I242" s="55" cm="1">
        <f t="array" ref="I242">MMS_Dairy_Methane_Equations.VEERG_4_3_1_1__2_MethaneFromManureProduction(G$133,I177,_xlfn.XLOOKUP($E242,$D$228:$D$232,$E$228:$E$232),$I$221,$I$222)</f>
        <v>2.4877218919101884E-2</v>
      </c>
      <c r="J242" s="55" cm="1">
        <f t="array" ref="J242">MMS_Dairy_Methane_Equations.VEERG_4_3_1_1__2_MethaneFromManureProduction(H$133,J177,_xlfn.XLOOKUP($E242,$D$228:$D$232,$E$228:$E$232),$I$221,$I$222)</f>
        <v>1.492119198813073E-2</v>
      </c>
      <c r="K242" s="2"/>
      <c r="O242" s="55" t="str">
        <f>'Input - Dairy'!$D$67</f>
        <v>Feed pad</v>
      </c>
      <c r="P242" s="55" t="str">
        <f>'Input - Dairy'!$D$105</f>
        <v>Anaerobic lagoon</v>
      </c>
      <c r="Q242" s="55" cm="1">
        <f t="array" ref="Q242">MMS_Dairy_Methane_Equations.VEERG_4_3_1_1__2_MethaneFromManureProduction(O$133,Q177,_xlfn.XLOOKUP($P242,$O$228:$O$232,$P$228:$P$232),$I$221,$I$222)</f>
        <v>5.4503134358217811E-2</v>
      </c>
      <c r="R242" s="55" cm="1">
        <f t="array" ref="R242">MMS_Dairy_Methane_Equations.VEERG_4_3_1_1__2_MethaneFromManureProduction(P$133,R177,_xlfn.XLOOKUP($P242,$O$228:$O$232,$P$228:$P$232),$I$221,$I$222)</f>
        <v>2.0714393383702453E-2</v>
      </c>
      <c r="S242" s="55" cm="1">
        <f t="array" ref="S242">MMS_Dairy_Methane_Equations.VEERG_4_3_1_1__2_MethaneFromManureProduction(Q$133,S177,_xlfn.XLOOKUP($P242,$O$228:$O$232,$P$228:$P$232),$I$221,$I$222)</f>
        <v>1.1233195117003396E-2</v>
      </c>
      <c r="T242" s="55" cm="1">
        <f t="array" ref="T242">MMS_Dairy_Methane_Equations.VEERG_4_3_1_1__2_MethaneFromManureProduction(R$133,T177,_xlfn.XLOOKUP($P242,$O$228:$O$232,$P$228:$P$232),$I$221,$I$222)</f>
        <v>2.5204550746984803E-2</v>
      </c>
      <c r="U242" s="55" cm="1">
        <f t="array" ref="U242">MMS_Dairy_Methane_Equations.VEERG_4_3_1_1__2_MethaneFromManureProduction(S$133,U177,_xlfn.XLOOKUP($P242,$O$228:$O$232,$P$228:$P$232),$I$221,$I$222)</f>
        <v>1.5117523461658768E-2</v>
      </c>
      <c r="V242" s="2"/>
    </row>
    <row r="243" spans="3:23" ht="20.100000000000001" customHeight="1" x14ac:dyDescent="0.25">
      <c r="D243" s="55" t="str">
        <f>'Input - Dairy'!$D$67</f>
        <v>Feed pad</v>
      </c>
      <c r="E243" s="55" t="str">
        <f>'Input - Dairy'!$D$110</f>
        <v>Sump and dispersal system</v>
      </c>
      <c r="F243" s="55" cm="1">
        <f t="array" ref="F243">MMS_Dairy_Methane_Equations.VEERG_4_3_1_1__2_MethaneFromManureProduction(D$133,F178,_xlfn.XLOOKUP($E243,$D$228:$D$232,$E$228:$E$232),$I$221,$I$222)</f>
        <v>3.5391645687154425E-4</v>
      </c>
      <c r="G243" s="55" cm="1">
        <f t="array" ref="G243">MMS_Dairy_Methane_Equations.VEERG_4_3_1_1__2_MethaneFromManureProduction(E$133,G178,_xlfn.XLOOKUP($E243,$D$228:$D$232,$E$228:$E$232),$I$221,$I$222)</f>
        <v>1.3450904794611983E-4</v>
      </c>
      <c r="H243" s="55" cm="1">
        <f t="array" ref="H243">MMS_Dairy_Methane_Equations.VEERG_4_3_1_1__2_MethaneFromManureProduction(F$133,H178,_xlfn.XLOOKUP($E243,$D$228:$D$232,$E$228:$E$232),$I$221,$I$222)</f>
        <v>7.2942825435087002E-5</v>
      </c>
      <c r="I243" s="55" cm="1">
        <f t="array" ref="I243">MMS_Dairy_Methane_Equations.VEERG_4_3_1_1__2_MethaneFromManureProduction(G$133,I178,_xlfn.XLOOKUP($E243,$D$228:$D$232,$E$228:$E$232),$I$221,$I$222)</f>
        <v>1.6366591394145974E-4</v>
      </c>
      <c r="J243" s="55" cm="1">
        <f t="array" ref="J243">MMS_Dairy_Methane_Equations.VEERG_4_3_1_1__2_MethaneFromManureProduction(H$133,J178,_xlfn.XLOOKUP($E243,$D$228:$D$232,$E$228:$E$232),$I$221,$I$222)</f>
        <v>9.8165736764017965E-5</v>
      </c>
      <c r="K243" s="2"/>
      <c r="O243" s="55" t="str">
        <f>'Input - Dairy'!$D$67</f>
        <v>Feed pad</v>
      </c>
      <c r="P243" s="55" t="str">
        <f>'Input - Dairy'!$D$110</f>
        <v>Sump and dispersal system</v>
      </c>
      <c r="Q243" s="55" cm="1">
        <f t="array" ref="Q243">MMS_Dairy_Methane_Equations.VEERG_4_3_1_1__2_MethaneFromManureProduction(O$133,Q178,_xlfn.XLOOKUP($P243,$O$228:$O$232,$P$228:$P$232),$I$221,$I$222)</f>
        <v>3.5391645687154425E-4</v>
      </c>
      <c r="R243" s="55" cm="1">
        <f t="array" ref="R243">MMS_Dairy_Methane_Equations.VEERG_4_3_1_1__2_MethaneFromManureProduction(P$133,R178,_xlfn.XLOOKUP($P243,$O$228:$O$232,$P$228:$P$232),$I$221,$I$222)</f>
        <v>1.3450904794611983E-4</v>
      </c>
      <c r="S243" s="55" cm="1">
        <f t="array" ref="S243">MMS_Dairy_Methane_Equations.VEERG_4_3_1_1__2_MethaneFromManureProduction(Q$133,S178,_xlfn.XLOOKUP($P243,$O$228:$O$232,$P$228:$P$232),$I$221,$I$222)</f>
        <v>7.2942825435087002E-5</v>
      </c>
      <c r="T243" s="55" cm="1">
        <f t="array" ref="T243">MMS_Dairy_Methane_Equations.VEERG_4_3_1_1__2_MethaneFromManureProduction(R$133,T178,_xlfn.XLOOKUP($P243,$O$228:$O$232,$P$228:$P$232),$I$221,$I$222)</f>
        <v>1.6366591394145974E-4</v>
      </c>
      <c r="U243" s="55" cm="1">
        <f t="array" ref="U243">MMS_Dairy_Methane_Equations.VEERG_4_3_1_1__2_MethaneFromManureProduction(S$133,U178,_xlfn.XLOOKUP($P243,$O$228:$O$232,$P$228:$P$232),$I$221,$I$222)</f>
        <v>9.8165736764017965E-5</v>
      </c>
      <c r="V243" s="2"/>
    </row>
    <row r="244" spans="3:23" ht="20.100000000000001" customHeight="1" x14ac:dyDescent="0.25">
      <c r="D244" s="55" t="str">
        <f>'Input - Dairy'!$D$67</f>
        <v>Feed pad</v>
      </c>
      <c r="E244" s="55" t="str">
        <f>'Input - Dairy'!$D$115</f>
        <v>Drains to paddock</v>
      </c>
      <c r="F244" s="55" cm="1">
        <f t="array" ref="F244">MMS_Dairy_Methane_Equations.VEERG_4_3_1_1__2_MethaneFromManureProduction(D$133,F179,_xlfn.XLOOKUP($E244,$D$228:$D$232,$E$228:$E$232),$I$221,$I$222)</f>
        <v>1.2740992447375593E-2</v>
      </c>
      <c r="G244" s="55" cm="1">
        <f t="array" ref="G244">MMS_Dairy_Methane_Equations.VEERG_4_3_1_1__2_MethaneFromManureProduction(E$133,G179,_xlfn.XLOOKUP($E244,$D$228:$D$232,$E$228:$E$232),$I$221,$I$222)</f>
        <v>4.8423257260603141E-3</v>
      </c>
      <c r="H244" s="55" cm="1">
        <f t="array" ref="H244">MMS_Dairy_Methane_Equations.VEERG_4_3_1_1__2_MethaneFromManureProduction(F$133,H179,_xlfn.XLOOKUP($E244,$D$228:$D$232,$E$228:$E$232),$I$221,$I$222)</f>
        <v>2.6259417156631322E-3</v>
      </c>
      <c r="I244" s="55" cm="1">
        <f t="array" ref="I244">MMS_Dairy_Methane_Equations.VEERG_4_3_1_1__2_MethaneFromManureProduction(G$133,I179,_xlfn.XLOOKUP($E244,$D$228:$D$232,$E$228:$E$232),$I$221,$I$222)</f>
        <v>5.8919729018925508E-3</v>
      </c>
      <c r="J244" s="55" cm="1">
        <f t="array" ref="J244">MMS_Dairy_Methane_Equations.VEERG_4_3_1_1__2_MethaneFromManureProduction(H$133,J179,_xlfn.XLOOKUP($E244,$D$228:$D$232,$E$228:$E$232),$I$221,$I$222)</f>
        <v>3.5339665235046462E-3</v>
      </c>
      <c r="K244" s="2"/>
      <c r="O244" s="55" t="str">
        <f>'Input - Dairy'!$D$67</f>
        <v>Feed pad</v>
      </c>
      <c r="P244" s="55" t="str">
        <f>'Input - Dairy'!$D$115</f>
        <v>Drains to paddock</v>
      </c>
      <c r="Q244" s="55" cm="1">
        <f t="array" ref="Q244">MMS_Dairy_Methane_Equations.VEERG_4_3_1_1__2_MethaneFromManureProduction(O$133,Q179,_xlfn.XLOOKUP($P244,$O$228:$O$232,$P$228:$P$232),$I$221,$I$222)</f>
        <v>1.5572324102347946E-2</v>
      </c>
      <c r="R244" s="55" cm="1">
        <f t="array" ref="R244">MMS_Dairy_Methane_Equations.VEERG_4_3_1_1__2_MethaneFromManureProduction(P$133,R179,_xlfn.XLOOKUP($P244,$O$228:$O$232,$P$228:$P$232),$I$221,$I$222)</f>
        <v>5.9183981096292736E-3</v>
      </c>
      <c r="S244" s="55" cm="1">
        <f t="array" ref="S244">MMS_Dairy_Methane_Equations.VEERG_4_3_1_1__2_MethaneFromManureProduction(Q$133,S179,_xlfn.XLOOKUP($P244,$O$228:$O$232,$P$228:$P$232),$I$221,$I$222)</f>
        <v>3.2094843191438275E-3</v>
      </c>
      <c r="T244" s="55" cm="1">
        <f t="array" ref="T244">MMS_Dairy_Methane_Equations.VEERG_4_3_1_1__2_MethaneFromManureProduction(R$133,T179,_xlfn.XLOOKUP($P244,$O$228:$O$232,$P$228:$P$232),$I$221,$I$222)</f>
        <v>7.2013002134242278E-3</v>
      </c>
      <c r="U244" s="55" cm="1">
        <f t="array" ref="U244">MMS_Dairy_Methane_Equations.VEERG_4_3_1_1__2_MethaneFromManureProduction(S$133,U179,_xlfn.XLOOKUP($P244,$O$228:$O$232,$P$228:$P$232),$I$221,$I$222)</f>
        <v>4.3192924176167907E-3</v>
      </c>
      <c r="V244" s="2"/>
    </row>
    <row r="245" spans="3:23" ht="20.100000000000001" customHeight="1" x14ac:dyDescent="0.25">
      <c r="D245" s="55" t="str">
        <f>'Input - Dairy'!$D$67</f>
        <v>Feed pad</v>
      </c>
      <c r="E245" s="55" t="s">
        <v>405</v>
      </c>
      <c r="F245" s="55" cm="1">
        <f t="array" ref="F245">MMS_Dairy_Methane_Equations.VEERG_4_3_1_1__2_MethaneFromManureProduction(D$133,F206,_xlfn.XLOOKUP($E245,$D$228:$D$232,$E$228:$E$232),$I$221,$I$222)</f>
        <v>2.831331654972354E-3</v>
      </c>
      <c r="G245" s="55" cm="1">
        <f t="array" ref="G245">MMS_Dairy_Methane_Equations.VEERG_4_3_1_1__2_MethaneFromManureProduction(E$133,G206,_xlfn.XLOOKUP($E245,$D$228:$D$232,$E$228:$E$232),$I$221,$I$222)</f>
        <v>1.0760723835689587E-3</v>
      </c>
      <c r="H245" s="55" cm="1">
        <f t="array" ref="H245">MMS_Dairy_Methane_Equations.VEERG_4_3_1_1__2_MethaneFromManureProduction(F$133,H206,_xlfn.XLOOKUP($E245,$D$228:$D$232,$E$228:$E$232),$I$221,$I$222)</f>
        <v>5.8354260348069602E-4</v>
      </c>
      <c r="I245" s="55" cm="1">
        <f t="array" ref="I245">MMS_Dairy_Methane_Equations.VEERG_4_3_1_1__2_MethaneFromManureProduction(G$133,I206,_xlfn.XLOOKUP($E245,$D$228:$D$232,$E$228:$E$232),$I$221,$I$222)</f>
        <v>1.3093273115316779E-3</v>
      </c>
      <c r="J245" s="55" cm="1">
        <f t="array" ref="J245">MMS_Dairy_Methane_Equations.VEERG_4_3_1_1__2_MethaneFromManureProduction(H$133,J206,_xlfn.XLOOKUP($E245,$D$228:$D$232,$E$228:$E$232),$I$221,$I$222)</f>
        <v>7.8532589411214372E-4</v>
      </c>
      <c r="K245" s="2"/>
      <c r="O245" s="55" t="str">
        <f>'Input - Dairy'!$D$67</f>
        <v>Feed pad</v>
      </c>
      <c r="P245" s="55" t="s">
        <v>405</v>
      </c>
      <c r="Q245" s="55" cm="1">
        <f t="array" ref="Q245">MMS_Dairy_Methane_Equations.VEERG_4_3_1_1__2_MethaneFromManureProduction(O$133,Q206,_xlfn.XLOOKUP($P245,$O$228:$O$232,$P$228:$P$232),$I$221,$I$222)</f>
        <v>2.831331654972354E-3</v>
      </c>
      <c r="R245" s="55" cm="1">
        <f t="array" ref="R245">MMS_Dairy_Methane_Equations.VEERG_4_3_1_1__2_MethaneFromManureProduction(P$133,R206,_xlfn.XLOOKUP($P245,$O$228:$O$232,$P$228:$P$232),$I$221,$I$222)</f>
        <v>1.0760723835689587E-3</v>
      </c>
      <c r="S245" s="55" cm="1">
        <f t="array" ref="S245">MMS_Dairy_Methane_Equations.VEERG_4_3_1_1__2_MethaneFromManureProduction(Q$133,S206,_xlfn.XLOOKUP($P245,$O$228:$O$232,$P$228:$P$232),$I$221,$I$222)</f>
        <v>5.8354260348069602E-4</v>
      </c>
      <c r="T245" s="55" cm="1">
        <f t="array" ref="T245">MMS_Dairy_Methane_Equations.VEERG_4_3_1_1__2_MethaneFromManureProduction(R$133,T206,_xlfn.XLOOKUP($P245,$O$228:$O$232,$P$228:$P$232),$I$221,$I$222)</f>
        <v>1.3093273115316779E-3</v>
      </c>
      <c r="U245" s="55" cm="1">
        <f t="array" ref="U245">MMS_Dairy_Methane_Equations.VEERG_4_3_1_1__2_MethaneFromManureProduction(S$133,U206,_xlfn.XLOOKUP($P245,$O$228:$O$232,$P$228:$P$232),$I$221,$I$222)</f>
        <v>7.8532589411214372E-4</v>
      </c>
      <c r="V245" s="2"/>
    </row>
    <row r="246" spans="3:23" ht="20.100000000000001" customHeight="1" x14ac:dyDescent="0.25"/>
    <row r="247" spans="3:23" ht="20.100000000000001" customHeight="1" x14ac:dyDescent="0.25"/>
    <row r="248" spans="3:23" ht="20.100000000000001" customHeight="1" x14ac:dyDescent="0.25">
      <c r="C248" s="48"/>
      <c r="D248" s="48"/>
      <c r="E248" s="48"/>
      <c r="F248" s="48"/>
      <c r="G248" s="48"/>
      <c r="H248" s="48"/>
      <c r="I248" s="48"/>
      <c r="J248" s="48"/>
      <c r="K248" s="48"/>
      <c r="L248" s="48"/>
      <c r="N248" s="48"/>
      <c r="O248" s="48"/>
      <c r="P248" s="48"/>
      <c r="Q248" s="48"/>
      <c r="R248" s="48"/>
      <c r="S248" s="48"/>
      <c r="T248" s="48"/>
      <c r="U248" s="48"/>
      <c r="V248" s="48"/>
      <c r="W248" s="48"/>
    </row>
    <row r="249" spans="3:23" ht="20.100000000000001" customHeight="1" x14ac:dyDescent="0.25">
      <c r="D249" s="6" t="str" cm="1">
        <f t="array" ref="D249">MMS_Dairy_Methane_Equations.VEERG_4_3_1_1__1_TotalAnnualMethaneFromManureManagement_Title()</f>
        <v>Total annual methane production from manure management</v>
      </c>
    </row>
    <row r="250" spans="3:23" ht="20.100000000000001" customHeight="1" x14ac:dyDescent="0.25">
      <c r="D250" s="5" t="str" cm="1">
        <f t="array" ref="D250">MMS_Dairy_Methane_Equations.VEERG_4_3_1_1__1_TotalAnnualMethaneFromManureManagement_Source()</f>
        <v>VEERG 2026: 4.3.1.1, Equation (1)</v>
      </c>
    </row>
    <row r="251" spans="3:23" ht="20.100000000000001" customHeight="1" x14ac:dyDescent="0.25">
      <c r="D251" s="58" t="str" cm="1">
        <f t="array" ref="D251">MMS_Dairy_Methane_Equations.VEERG_4_3_1_1__1_TotalAnnualMethaneFromManureManagement_Variation()</f>
        <v>VARIATION: Used separate variable for duration of stay on farm for pre-weaned heifer and bull calves.</v>
      </c>
    </row>
    <row r="252" spans="3:23" ht="20.100000000000001" customHeight="1" x14ac:dyDescent="0.25">
      <c r="D252" s="13" t="s">
        <v>27</v>
      </c>
      <c r="E252" s="13" t="str" cm="1">
        <f t="array" aca="1" ref="E252" ca="1">Common_InputFunctions.Utility_DisplayFunctionName($F$291)</f>
        <v>=MMS_Dairy_Methane_Equations.VEERG_4_3_1_1__1_TotalAnnualMethaneFromManureManagementVariation</v>
      </c>
    </row>
    <row r="253" spans="3:23" ht="20.100000000000001" customHeight="1" x14ac:dyDescent="0.25">
      <c r="D253" s="6"/>
    </row>
    <row r="254" spans="3:23" ht="20.100000000000001" customHeight="1" x14ac:dyDescent="0.25">
      <c r="D254" s="6"/>
    </row>
    <row r="255" spans="3:23" ht="20.100000000000001" customHeight="1" x14ac:dyDescent="0.25">
      <c r="D255" s="56" t="s">
        <v>30</v>
      </c>
      <c r="E255" s="1" t="str" cm="1">
        <f t="array" ref="E255">MMS_Dairy_Methane_Equations.VEERG_4_3_1_1__1_TotalAnnualMethaneFromManureManagement_Variable()</f>
        <v>E_CH4</v>
      </c>
    </row>
    <row r="256" spans="3:23" ht="20.100000000000001" customHeight="1" x14ac:dyDescent="0.25">
      <c r="D256" s="56" t="s">
        <v>20</v>
      </c>
      <c r="E256" s="57" t="str" cm="1">
        <f t="array" ref="E256">MMS_Dairy_Methane_Equations.VEERG_4_3_1_1__1_TotalAnnualMethaneFromManureManagement_Unit()</f>
        <v>t CH4</v>
      </c>
    </row>
    <row r="257" spans="4:15" ht="20.100000000000001" customHeight="1" x14ac:dyDescent="0.25"/>
    <row r="258" spans="4:15" ht="20.100000000000001" customHeight="1" x14ac:dyDescent="0.25">
      <c r="D258" s="137" t="str" cm="1">
        <f t="array" ref="D258:E265">_xlfn.CHOOSECOLS(MMS_Dairy_Methane_Equations.VEERG_4_3_1_1__1_TotalAnnualMethaneFromManureManagement_Arguments(),1,2)</f>
        <v>N_j124</v>
      </c>
      <c r="E258" s="136" t="str">
        <v>number of dairy cattle in classes j=1,2,4</v>
      </c>
      <c r="F258" s="142"/>
      <c r="G258" s="138"/>
      <c r="H258" s="137" t="str" cm="1">
        <f t="array" ref="H258:I265">_xlfn.CHOOSECOLS(MMS_Dairy_Methane_Equations.VEERG_4_3_1_1__1_TotalAnnualMethaneFromManureManagement_Arguments(),3,4)</f>
        <v>head</v>
      </c>
      <c r="I258" s="135" t="str">
        <v>Input</v>
      </c>
      <c r="J258" s="134" t="str" cm="1">
        <f t="array" aca="1" ref="J258" ca="1">HYPERLINK(Common_InputFunctions.Utility_SourceHyperlink($D$267),$D$267)</f>
        <v>Table_N_j</v>
      </c>
    </row>
    <row r="259" spans="4:15" ht="20.100000000000001" customHeight="1" x14ac:dyDescent="0.25">
      <c r="D259" s="137" t="str">
        <v>M_j124m</v>
      </c>
      <c r="E259" s="136" t="str">
        <v>methane production from manure of weaned dairy cattle in classes j=1,2,4 in MMS m</v>
      </c>
      <c r="F259" s="142"/>
      <c r="G259" s="138"/>
      <c r="H259" s="137" t="str">
        <v>kg CH4/head/day</v>
      </c>
      <c r="I259" s="133" t="str">
        <v>Calculated from 4.3.1.1 (2)</v>
      </c>
      <c r="J259" s="134" t="str" cm="1">
        <f t="array" aca="1" ref="J259" ca="1">HYPERLINK(Common_InputFunctions.Utility_SourceHyperlink($D$234),$D$234)</f>
        <v>M1_M_j_m</v>
      </c>
    </row>
    <row r="260" spans="4:15" ht="20.100000000000001" customHeight="1" x14ac:dyDescent="0.25">
      <c r="D260" s="137" t="str">
        <v>D_j124</v>
      </c>
      <c r="E260" s="136" t="str">
        <v>duration of stay on farm for classes j=1,2,4</v>
      </c>
      <c r="F260" s="142"/>
      <c r="G260" s="138"/>
      <c r="H260" s="137" t="str">
        <v>days</v>
      </c>
      <c r="I260" s="135" t="str">
        <v>Input</v>
      </c>
      <c r="J260" s="134" t="str" cm="1">
        <f t="array" aca="1" ref="J260" ca="1">HYPERLINK(Common_InputFunctions.Utility_SourceHyperlink($D$272),$D$272)</f>
        <v>M1_Table_D_j</v>
      </c>
    </row>
    <row r="261" spans="4:15" ht="20.100000000000001" customHeight="1" x14ac:dyDescent="0.25">
      <c r="D261" s="137" t="str">
        <v>N_j35</v>
      </c>
      <c r="E261" s="136" t="str">
        <v>number of dairy cattle in classes j=3,5</v>
      </c>
      <c r="F261" s="142"/>
      <c r="G261" s="138"/>
      <c r="H261" s="137" t="str">
        <v>head</v>
      </c>
      <c r="I261" s="135" t="str">
        <v>Input</v>
      </c>
      <c r="J261" s="134" t="str" cm="1">
        <f t="array" aca="1" ref="J261" ca="1">HYPERLINK(Common_InputFunctions.Utility_SourceHyperlink($D$267),$D$267)</f>
        <v>Table_N_j</v>
      </c>
    </row>
    <row r="262" spans="4:15" ht="20.100000000000001" customHeight="1" x14ac:dyDescent="0.25">
      <c r="D262" s="137" t="str">
        <v>M_j35m</v>
      </c>
      <c r="E262" s="136" t="str">
        <v>methane production from manure of weaned dairy cattle in classes j=3,5 in MMS m</v>
      </c>
      <c r="F262" s="142"/>
      <c r="G262" s="138"/>
      <c r="H262" s="137" t="str">
        <v>kg CH4/head/day</v>
      </c>
      <c r="I262" s="133" t="str">
        <v>Calculated from 4.3.1.1 (2)</v>
      </c>
      <c r="J262" s="134" t="str" cm="1">
        <f t="array" aca="1" ref="J262" ca="1">HYPERLINK(Common_InputFunctions.Utility_SourceHyperlink($D$234),$D$234)</f>
        <v>M1_M_j_m</v>
      </c>
    </row>
    <row r="263" spans="4:15" ht="20.100000000000001" customHeight="1" x14ac:dyDescent="0.25">
      <c r="D263" s="137" t="str">
        <v>D_j35</v>
      </c>
      <c r="E263" s="136" t="str">
        <v>duration of stay on farm for classes j=3,5</v>
      </c>
      <c r="F263" s="142"/>
      <c r="G263" s="138"/>
      <c r="H263" s="137" t="str">
        <v>days</v>
      </c>
      <c r="I263" s="135" t="str">
        <v>Input</v>
      </c>
      <c r="J263" s="134" t="str" cm="1">
        <f t="array" aca="1" ref="J263" ca="1">HYPERLINK(Common_InputFunctions.Utility_SourceHyperlink($D$272),$D$272)</f>
        <v>M1_Table_D_j</v>
      </c>
    </row>
    <row r="264" spans="4:15" ht="20.100000000000001" customHeight="1" x14ac:dyDescent="0.25">
      <c r="D264" s="137" t="str">
        <v>MPW_manure_j35</v>
      </c>
      <c r="E264" s="136" t="str">
        <v>methane production from manure of pre-weaned heifer and bull calves</v>
      </c>
      <c r="F264" s="142"/>
      <c r="G264" s="138"/>
      <c r="H264" s="137" t="str">
        <v>kg CH4/head/day</v>
      </c>
      <c r="I264" s="133" t="str">
        <v>Constant</v>
      </c>
      <c r="J264" s="134" t="str" cm="1">
        <f t="array" aca="1" ref="J264" ca="1">HYPERLINK(Common_InputFunctions.Utility_SourceHyperlink($D$277),$D$277)</f>
        <v>Table_MPW_manure_j-3-5</v>
      </c>
    </row>
    <row r="265" spans="4:15" ht="20.100000000000001" customHeight="1" x14ac:dyDescent="0.25">
      <c r="D265" s="137" t="str">
        <v>DPW_j35</v>
      </c>
      <c r="E265" s="136" t="str">
        <v>duration of stay on farm for pre-weaned heifer and bull calves</v>
      </c>
      <c r="F265" s="142"/>
      <c r="G265" s="138"/>
      <c r="H265" s="137" t="str">
        <v>days</v>
      </c>
      <c r="I265" s="135" t="str">
        <v>Input</v>
      </c>
      <c r="J265" s="134" t="str" cm="1">
        <f t="array" aca="1" ref="J265" ca="1">HYPERLINK(Common_InputFunctions.Utility_SourceHyperlink($D$282),$D$282)</f>
        <v>M1_Table_DPW_j</v>
      </c>
    </row>
    <row r="266" spans="4:15" ht="20.100000000000001" customHeight="1" x14ac:dyDescent="0.25"/>
    <row r="267" spans="4:15" ht="20.100000000000001" customHeight="1" x14ac:dyDescent="0.25">
      <c r="D267" s="104" t="s">
        <v>106</v>
      </c>
    </row>
    <row r="268" spans="4:15" ht="20.100000000000001" customHeight="1" x14ac:dyDescent="0.25">
      <c r="D268" s="103" t="s">
        <v>262</v>
      </c>
    </row>
    <row r="269" spans="4:15" ht="20.100000000000001" customHeight="1" x14ac:dyDescent="0.25">
      <c r="D269" s="41" t="s">
        <v>171</v>
      </c>
      <c r="E269" s="41" t="s">
        <v>188</v>
      </c>
      <c r="F269" s="41" t="s">
        <v>189</v>
      </c>
      <c r="G269" s="41" t="s">
        <v>190</v>
      </c>
      <c r="H269" s="41" t="s">
        <v>191</v>
      </c>
    </row>
    <row r="270" spans="4:15" ht="20.100000000000001" customHeight="1" x14ac:dyDescent="0.25">
      <c r="D270" s="107">
        <f>'Input - Dairy'!$E$10</f>
        <v>100</v>
      </c>
      <c r="E270" s="107">
        <f>'Input - Dairy'!$F$10</f>
        <v>100</v>
      </c>
      <c r="F270" s="107">
        <f>'Input - Dairy'!$G$10</f>
        <v>100</v>
      </c>
      <c r="G270" s="107">
        <f>'Input - Dairy'!$H$10</f>
        <v>100</v>
      </c>
      <c r="H270" s="107">
        <f>'Input - Dairy'!$I$10</f>
        <v>100</v>
      </c>
      <c r="I270" s="2" t="s">
        <v>107</v>
      </c>
    </row>
    <row r="271" spans="4:15" ht="20.100000000000001" customHeight="1" x14ac:dyDescent="0.25"/>
    <row r="272" spans="4:15" x14ac:dyDescent="0.25">
      <c r="D272" s="104" t="s">
        <v>263</v>
      </c>
      <c r="O272" s="104" t="s">
        <v>273</v>
      </c>
    </row>
    <row r="273" spans="1:20" x14ac:dyDescent="0.25">
      <c r="D273" s="103" t="s">
        <v>271</v>
      </c>
      <c r="O273" s="103" t="s">
        <v>274</v>
      </c>
    </row>
    <row r="274" spans="1:20" x14ac:dyDescent="0.25">
      <c r="D274" s="41" t="s">
        <v>171</v>
      </c>
      <c r="E274" s="41" t="s">
        <v>188</v>
      </c>
      <c r="F274" s="41" t="s">
        <v>189</v>
      </c>
      <c r="G274" s="41" t="s">
        <v>190</v>
      </c>
      <c r="H274" s="41" t="s">
        <v>191</v>
      </c>
      <c r="O274" s="41" t="s">
        <v>171</v>
      </c>
      <c r="P274" s="41" t="s">
        <v>188</v>
      </c>
      <c r="Q274" s="41" t="s">
        <v>189</v>
      </c>
      <c r="R274" s="41" t="s">
        <v>190</v>
      </c>
      <c r="S274" s="41" t="s">
        <v>191</v>
      </c>
    </row>
    <row r="275" spans="1:20" x14ac:dyDescent="0.25">
      <c r="A275" s="141" t="str">
        <f>HYPERLINK("#A1", "▲ Back to top")</f>
        <v>▲ Back to top</v>
      </c>
      <c r="D275" s="55">
        <f>'Input - Dairy'!$E$24</f>
        <v>365</v>
      </c>
      <c r="E275" s="55">
        <f>'Input - Dairy'!$F$24</f>
        <v>365</v>
      </c>
      <c r="F275" s="55">
        <f>'Input - Dairy'!$G$24</f>
        <v>281</v>
      </c>
      <c r="G275" s="55">
        <f>'Input - Dairy'!$H$24</f>
        <v>365</v>
      </c>
      <c r="H275" s="55">
        <f>'Input - Dairy'!$I$24</f>
        <v>281</v>
      </c>
      <c r="I275" s="2" t="s">
        <v>55</v>
      </c>
      <c r="O275" s="55">
        <f>'Input - Dairy'!$E$28</f>
        <v>365</v>
      </c>
      <c r="P275" s="55">
        <f>'Input - Dairy'!$F$28</f>
        <v>365</v>
      </c>
      <c r="Q275" s="55">
        <f>'Input - Dairy'!$G$28</f>
        <v>281</v>
      </c>
      <c r="R275" s="55">
        <f>'Input - Dairy'!$H$28</f>
        <v>365</v>
      </c>
      <c r="S275" s="55">
        <f>'Input - Dairy'!$I$28</f>
        <v>281</v>
      </c>
      <c r="T275" s="2" t="s">
        <v>55</v>
      </c>
    </row>
    <row r="277" spans="1:20" x14ac:dyDescent="0.25">
      <c r="D277" s="104" t="s">
        <v>265</v>
      </c>
    </row>
    <row r="278" spans="1:20" x14ac:dyDescent="0.25">
      <c r="D278" s="103" t="s">
        <v>266</v>
      </c>
    </row>
    <row r="279" spans="1:20" x14ac:dyDescent="0.25">
      <c r="D279" s="54" t="s">
        <v>171</v>
      </c>
      <c r="E279" s="54" t="s">
        <v>188</v>
      </c>
      <c r="F279" s="54" t="s">
        <v>189</v>
      </c>
      <c r="G279" s="54" t="s">
        <v>190</v>
      </c>
      <c r="H279" s="54" t="s">
        <v>191</v>
      </c>
    </row>
    <row r="280" spans="1:20" x14ac:dyDescent="0.25">
      <c r="D280" s="55">
        <v>0</v>
      </c>
      <c r="E280" s="55">
        <v>0</v>
      </c>
      <c r="F280" s="55">
        <f>'Constants - Dairy'!$E$63</f>
        <v>1.7600000000000001E-2</v>
      </c>
      <c r="G280" s="55">
        <v>0</v>
      </c>
      <c r="H280" s="55">
        <f>'Constants - Dairy'!$E$64</f>
        <v>2.0400000000000001E-2</v>
      </c>
      <c r="I280" s="2" t="s">
        <v>268</v>
      </c>
    </row>
    <row r="282" spans="1:20" x14ac:dyDescent="0.25">
      <c r="D282" s="104" t="s">
        <v>264</v>
      </c>
      <c r="O282" s="104" t="s">
        <v>264</v>
      </c>
    </row>
    <row r="283" spans="1:20" x14ac:dyDescent="0.25">
      <c r="D283" s="103" t="s">
        <v>272</v>
      </c>
      <c r="O283" s="103" t="s">
        <v>272</v>
      </c>
    </row>
    <row r="284" spans="1:20" x14ac:dyDescent="0.25">
      <c r="D284" s="54" t="s">
        <v>171</v>
      </c>
      <c r="E284" s="54" t="s">
        <v>188</v>
      </c>
      <c r="F284" s="54" t="s">
        <v>189</v>
      </c>
      <c r="G284" s="54" t="s">
        <v>190</v>
      </c>
      <c r="H284" s="54" t="s">
        <v>191</v>
      </c>
      <c r="O284" s="41" t="s">
        <v>171</v>
      </c>
      <c r="P284" s="41" t="s">
        <v>188</v>
      </c>
      <c r="Q284" s="41" t="s">
        <v>189</v>
      </c>
      <c r="R284" s="41" t="s">
        <v>190</v>
      </c>
      <c r="S284" s="41" t="s">
        <v>191</v>
      </c>
    </row>
    <row r="285" spans="1:20" x14ac:dyDescent="0.25">
      <c r="D285" s="55">
        <f>'Input - Dairy'!$E$25</f>
        <v>0</v>
      </c>
      <c r="E285" s="55">
        <f>'Input - Dairy'!$F$25</f>
        <v>0</v>
      </c>
      <c r="F285" s="55">
        <f>'Input - Dairy'!$G$25</f>
        <v>84</v>
      </c>
      <c r="G285" s="55">
        <f>'Input - Dairy'!$H$25</f>
        <v>0</v>
      </c>
      <c r="H285" s="55">
        <f>'Input - Dairy'!$I$25</f>
        <v>84</v>
      </c>
      <c r="I285" s="2" t="s">
        <v>55</v>
      </c>
      <c r="O285" s="55">
        <f>'Input - Dairy'!$E$29</f>
        <v>0</v>
      </c>
      <c r="P285" s="55">
        <f>'Input - Dairy'!$F$29</f>
        <v>0</v>
      </c>
      <c r="Q285" s="55">
        <f>'Input - Dairy'!$G$29</f>
        <v>84</v>
      </c>
      <c r="R285" s="55">
        <f>'Input - Dairy'!$H$29</f>
        <v>0</v>
      </c>
      <c r="S285" s="55">
        <f>'Input - Dairy'!$I$29</f>
        <v>84</v>
      </c>
      <c r="T285" s="2" t="s">
        <v>55</v>
      </c>
    </row>
    <row r="287" spans="1:20" x14ac:dyDescent="0.25">
      <c r="D287" s="104" t="s">
        <v>267</v>
      </c>
      <c r="O287" s="104" t="s">
        <v>267</v>
      </c>
    </row>
    <row r="288" spans="1:20" x14ac:dyDescent="0.25">
      <c r="D288" s="103" t="s">
        <v>278</v>
      </c>
      <c r="O288" s="103" t="s">
        <v>451</v>
      </c>
    </row>
    <row r="289" spans="4:21" x14ac:dyDescent="0.25">
      <c r="D289" s="54" t="s">
        <v>146</v>
      </c>
      <c r="E289" s="54" t="s">
        <v>68</v>
      </c>
      <c r="F289" s="54" t="s">
        <v>171</v>
      </c>
      <c r="G289" s="54" t="s">
        <v>188</v>
      </c>
      <c r="H289" s="54" t="s">
        <v>189</v>
      </c>
      <c r="I289" s="54" t="s">
        <v>190</v>
      </c>
      <c r="J289" s="54" t="s">
        <v>191</v>
      </c>
      <c r="O289" s="54" t="s">
        <v>146</v>
      </c>
      <c r="P289" s="54" t="s">
        <v>68</v>
      </c>
      <c r="Q289" s="54" t="s">
        <v>171</v>
      </c>
      <c r="R289" s="54" t="s">
        <v>188</v>
      </c>
      <c r="S289" s="54" t="s">
        <v>189</v>
      </c>
      <c r="T289" s="54" t="s">
        <v>190</v>
      </c>
      <c r="U289" s="54" t="s">
        <v>191</v>
      </c>
    </row>
    <row r="290" spans="4:21" x14ac:dyDescent="0.25">
      <c r="D290" s="55" t="str">
        <f>'Input - Dairy'!$D$65</f>
        <v>Pasture</v>
      </c>
      <c r="E290" s="55" t="str">
        <f>'Constants - Livestock'!$E$27</f>
        <v>Pasture range and paddock</v>
      </c>
      <c r="F290" s="55" cm="1">
        <f t="array" ref="F290">MMS_Dairy_Methane_Equations.VEERG_4_3_1_1__1_TotalAnnualMethaneFromManureManagementVariation(D$270,F237,D$275,0,0,0,0,0)</f>
        <v>0.19376926013717047</v>
      </c>
      <c r="G290" s="55" cm="1">
        <f t="array" ref="G290">MMS_Dairy_Methane_Equations.VEERG_4_3_1_1__1_TotalAnnualMethaneFromManureManagementVariation(E$270,G237,E$275,0,0,0,0,0)</f>
        <v>7.3643703750500625E-2</v>
      </c>
      <c r="H290" s="55" cm="1">
        <f t="array" ref="H290">MMS_Dairy_Methane_Equations.VEERG_4_3_1_1__1_TotalAnnualMethaneFromManureManagementVariation(0,0,0,F$270,H237,F$275,F$280,F$285)</f>
        <v>0.17858540092088918</v>
      </c>
      <c r="I290" s="55" cm="1">
        <f t="array" ref="I290">MMS_Dairy_Methane_Equations.VEERG_4_3_1_1__1_TotalAnnualMethaneFromManureManagementVariation(G$270,I237,G$275,0,0,0,0,0)</f>
        <v>8.960708788294923E-2</v>
      </c>
      <c r="J290" s="55" cm="1">
        <f t="array" ref="J290">MMS_Dairy_Methane_Equations.VEERG_4_3_1_1__1_TotalAnnualMethaneFromManureManagementVariation(0,0,0,H$270,J237,H$275,H$280,H$285)</f>
        <v>0.21273685804603359</v>
      </c>
      <c r="O290" s="55" t="str">
        <f>'Input - Dairy'!$D$65</f>
        <v>Pasture</v>
      </c>
      <c r="P290" s="55" t="str">
        <f>'Constants - Livestock'!$E$27</f>
        <v>Pasture range and paddock</v>
      </c>
      <c r="Q290" s="55" cm="1">
        <f t="array" ref="Q290">MMS_Dairy_Methane_Equations.VEERG_4_3_1_1__1_TotalAnnualMethaneFromManureManagementVariation(D$270,Q237,O$275,0,0,0,0,0)</f>
        <v>0.19376926013717047</v>
      </c>
      <c r="R290" s="55" cm="1">
        <f t="array" ref="R290">MMS_Dairy_Methane_Equations.VEERG_4_3_1_1__1_TotalAnnualMethaneFromManureManagementVariation(E$270,R237,P$275,0,0,0,0,0)</f>
        <v>7.3643703750500625E-2</v>
      </c>
      <c r="S290" s="55" cm="1">
        <f t="array" ref="S290">MMS_Dairy_Methane_Equations.VEERG_4_3_1_1__1_TotalAnnualMethaneFromManureManagementVariation(0,0,0,F$270,S237,Q$275,F$280,Q$285)</f>
        <v>0.17858540092088918</v>
      </c>
      <c r="T290" s="55" cm="1">
        <f t="array" ref="T290">MMS_Dairy_Methane_Equations.VEERG_4_3_1_1__1_TotalAnnualMethaneFromManureManagementVariation(G$270,T237,R$275,0,0,0,0,0)</f>
        <v>8.960708788294923E-2</v>
      </c>
      <c r="U290" s="55" cm="1">
        <f t="array" ref="U290">MMS_Dairy_Methane_Equations.VEERG_4_3_1_1__1_TotalAnnualMethaneFromManureManagementVariation(0,0,0,H$270,U237,S$275,H$280,S$285)</f>
        <v>0.21273685804603359</v>
      </c>
    </row>
    <row r="291" spans="4:21" x14ac:dyDescent="0.25">
      <c r="D291" s="55" t="str">
        <f>'Input - Dairy'!$D$66</f>
        <v>Milking shed</v>
      </c>
      <c r="E291" s="55" t="str">
        <f>'Input - Dairy'!$D$81</f>
        <v>Anaerobic lagoon</v>
      </c>
      <c r="F291" s="55" cm="1">
        <f t="array" ref="F291">MMS_Dairy_Methane_Equations.VEERG_4_3_1_1__1_TotalAnnualMethaneFromManureManagementVariation(D$270,F238,D$275,0,0,0,0,0)</f>
        <v>0.75838530652937508</v>
      </c>
      <c r="G291" s="55" cm="1">
        <f t="array" ref="G291">MMS_Dairy_Methane_Equations.VEERG_4_3_1_1__1_TotalAnnualMethaneFromManureManagementVariation(E$270,G238,E$275,0,0,0,0,0)</f>
        <v>0.28823097535308295</v>
      </c>
      <c r="H291" s="55" cm="1">
        <f t="array" ref="H291">MMS_Dairy_Methane_Equations.VEERG_4_3_1_1__1_TotalAnnualMethaneFromManureManagementVariation(0,0,0,F$270,H238,F$275,F$280,F$285)</f>
        <v>0.26817312345441646</v>
      </c>
      <c r="I291" s="55" cm="1">
        <f t="array" ref="I291">MMS_Dairy_Methane_Equations.VEERG_4_3_1_1__1_TotalAnnualMethaneFromManureManagementVariation(G$270,I238,G$275,0,0,0,0,0)</f>
        <v>0.35070938890517578</v>
      </c>
      <c r="J291" s="55" cm="1">
        <f t="array" ref="J291">MMS_Dairy_Methane_Equations.VEERG_4_3_1_1__1_TotalAnnualMethaneFromManureManagementVariation(0,0,0,H$270,J238,H$275,H$280,H$285)</f>
        <v>0.33330313355095542</v>
      </c>
      <c r="O291" s="55" t="str">
        <f>'Input - Dairy'!$D$66</f>
        <v>Milking shed</v>
      </c>
      <c r="P291" s="55" t="str">
        <f>'Input - Dairy'!$D$81</f>
        <v>Anaerobic lagoon</v>
      </c>
      <c r="Q291" s="55" cm="1">
        <f t="array" ref="Q291">MMS_Dairy_Methane_Equations.VEERG_4_3_1_1__1_TotalAnnualMethaneFromManureManagementVariation(D$270,Q238,O$275,0,0,0,0,0)</f>
        <v>0.76836406056265627</v>
      </c>
      <c r="R291" s="55" cm="1">
        <f t="array" ref="R291">MMS_Dairy_Methane_Equations.VEERG_4_3_1_1__1_TotalAnnualMethaneFromManureManagementVariation(E$270,R238,P$275,0,0,0,0,0)</f>
        <v>0.29202348818667617</v>
      </c>
      <c r="S291" s="55" cm="1">
        <f t="array" ref="S291">MMS_Dairy_Methane_Equations.VEERG_4_3_1_1__1_TotalAnnualMethaneFromManureManagementVariation(0,0,0,F$270,S238,Q$275,F$280,Q$285)</f>
        <v>0.26975645402618503</v>
      </c>
      <c r="T291" s="55" cm="1">
        <f t="array" ref="T291">MMS_Dairy_Methane_Equations.VEERG_4_3_1_1__1_TotalAnnualMethaneFromManureManagementVariation(G$270,T238,R$275,0,0,0,0,0)</f>
        <v>0.35532398612761235</v>
      </c>
      <c r="U291" s="55" cm="1">
        <f t="array" ref="U291">MMS_Dairy_Methane_Equations.VEERG_4_3_1_1__1_TotalAnnualMethaneFromManureManagementVariation(0,0,0,H$270,U238,S$275,H$280,S$285)</f>
        <v>0.33543396425557326</v>
      </c>
    </row>
    <row r="292" spans="4:21" x14ac:dyDescent="0.25">
      <c r="D292" s="55" t="str">
        <f>'Input - Dairy'!$D$66</f>
        <v>Milking shed</v>
      </c>
      <c r="E292" s="55" t="str">
        <f>'Input - Dairy'!$D$86</f>
        <v>Sump and dispersal system</v>
      </c>
      <c r="F292" s="55" cm="1">
        <f t="array" ref="F292">MMS_Dairy_Methane_Equations.VEERG_4_3_1_1__1_TotalAnnualMethaneFromManureManagementVariation(D$270,F239,D$275,0,0,0,0,0)</f>
        <v>3.9915016133125012E-3</v>
      </c>
      <c r="G292" s="55" cm="1">
        <f t="array" ref="G292">MMS_Dairy_Methane_Equations.VEERG_4_3_1_1__1_TotalAnnualMethaneFromManureManagementVariation(E$270,G239,E$275,0,0,0,0,0)</f>
        <v>1.5170051334372789E-3</v>
      </c>
      <c r="H292" s="55" cm="1">
        <f t="array" ref="H292">MMS_Dairy_Methane_Equations.VEERG_4_3_1_1__1_TotalAnnualMethaneFromManureManagementVariation(0,0,0,F$270,H239,F$275,F$280,F$285)</f>
        <v>0.14847333222870746</v>
      </c>
      <c r="I292" s="55" cm="1">
        <f t="array" ref="I292">MMS_Dairy_Methane_Equations.VEERG_4_3_1_1__1_TotalAnnualMethaneFromManureManagementVariation(G$270,I239,G$275,0,0,0,0,0)</f>
        <v>1.8458388889746092E-3</v>
      </c>
      <c r="J292" s="55" cm="1">
        <f t="array" ref="J292">MMS_Dairy_Methane_Equations.VEERG_4_3_1_1__1_TotalAnnualMethaneFromManureManagementVariation(0,0,0,H$270,J239,H$275,H$280,H$285)</f>
        <v>0.17221233228184715</v>
      </c>
      <c r="O292" s="55" t="str">
        <f>'Input - Dairy'!$D$66</f>
        <v>Milking shed</v>
      </c>
      <c r="P292" s="55" t="str">
        <f>'Input - Dairy'!$D$86</f>
        <v>Sump and dispersal system</v>
      </c>
      <c r="Q292" s="55" cm="1">
        <f t="array" ref="Q292">MMS_Dairy_Methane_Equations.VEERG_4_3_1_1__1_TotalAnnualMethaneFromManureManagementVariation(D$270,Q239,O$275,0,0,0,0,0)</f>
        <v>3.9915016133125012E-3</v>
      </c>
      <c r="R292" s="55" cm="1">
        <f t="array" ref="R292">MMS_Dairy_Methane_Equations.VEERG_4_3_1_1__1_TotalAnnualMethaneFromManureManagementVariation(E$270,R239,P$275,0,0,0,0,0)</f>
        <v>1.5170051334372789E-3</v>
      </c>
      <c r="S292" s="55" cm="1">
        <f t="array" ref="S292">MMS_Dairy_Methane_Equations.VEERG_4_3_1_1__1_TotalAnnualMethaneFromManureManagementVariation(0,0,0,F$270,S239,Q$275,F$280,Q$285)</f>
        <v>0.14847333222870746</v>
      </c>
      <c r="T292" s="55" cm="1">
        <f t="array" ref="T292">MMS_Dairy_Methane_Equations.VEERG_4_3_1_1__1_TotalAnnualMethaneFromManureManagementVariation(G$270,T239,R$275,0,0,0,0,0)</f>
        <v>1.8458388889746092E-3</v>
      </c>
      <c r="U292" s="55" cm="1">
        <f t="array" ref="U292">MMS_Dairy_Methane_Equations.VEERG_4_3_1_1__1_TotalAnnualMethaneFromManureManagementVariation(0,0,0,H$270,U239,S$275,H$280,S$285)</f>
        <v>0.17221233228184715</v>
      </c>
    </row>
    <row r="293" spans="4:21" x14ac:dyDescent="0.25">
      <c r="D293" s="55" t="str">
        <f>'Input - Dairy'!$D$66</f>
        <v>Milking shed</v>
      </c>
      <c r="E293" s="55" t="str">
        <f>'Input - Dairy'!$D$91</f>
        <v>Drains to paddock</v>
      </c>
      <c r="F293" s="55" cm="1">
        <f t="array" ref="F293">MMS_Dairy_Methane_Equations.VEERG_4_3_1_1__1_TotalAnnualMethaneFromManureManagementVariation(D$270,F240,D$275,0,0,0,0,0)</f>
        <v>0.14369405807925004</v>
      </c>
      <c r="G293" s="55" cm="1">
        <f t="array" ref="G293">MMS_Dairy_Methane_Equations.VEERG_4_3_1_1__1_TotalAnnualMethaneFromManureManagementVariation(E$270,G240,E$275,0,0,0,0,0)</f>
        <v>5.4612184803742046E-2</v>
      </c>
      <c r="H293" s="55" cm="1">
        <f t="array" ref="H293">MMS_Dairy_Methane_Equations.VEERG_4_3_1_1__1_TotalAnnualMethaneFromManureManagementVariation(0,0,0,F$270,H240,F$275,F$280,F$285)</f>
        <v>0.17063996023346836</v>
      </c>
      <c r="I293" s="55" cm="1">
        <f t="array" ref="I293">MMS_Dairy_Methane_Equations.VEERG_4_3_1_1__1_TotalAnnualMethaneFromManureManagementVariation(G$270,I240,G$275,0,0,0,0,0)</f>
        <v>6.6450200003085935E-2</v>
      </c>
      <c r="J293" s="55" cm="1">
        <f t="array" ref="J293">MMS_Dairy_Methane_Equations.VEERG_4_3_1_1__1_TotalAnnualMethaneFromManureManagementVariation(0,0,0,H$270,J240,H$275,H$280,H$285)</f>
        <v>0.20204396214649684</v>
      </c>
      <c r="O293" s="55" t="str">
        <f>'Input - Dairy'!$D$66</f>
        <v>Milking shed</v>
      </c>
      <c r="P293" s="55" t="str">
        <f>'Input - Dairy'!$D$91</f>
        <v>Drains to paddock</v>
      </c>
      <c r="Q293" s="55" cm="1">
        <f t="array" ref="Q293">MMS_Dairy_Methane_Equations.VEERG_4_3_1_1__1_TotalAnnualMethaneFromManureManagementVariation(D$270,Q240,O$275,0,0,0,0,0)</f>
        <v>0.17562607098575003</v>
      </c>
      <c r="R293" s="55" cm="1">
        <f t="array" ref="R293">MMS_Dairy_Methane_Equations.VEERG_4_3_1_1__1_TotalAnnualMethaneFromManureManagementVariation(E$270,R240,P$275,0,0,0,0,0)</f>
        <v>6.6748225871240269E-2</v>
      </c>
      <c r="S293" s="55" cm="1">
        <f t="array" ref="S293">MMS_Dairy_Methane_Equations.VEERG_4_3_1_1__1_TotalAnnualMethaneFromManureManagementVariation(0,0,0,F$270,S240,Q$275,F$280,Q$285)</f>
        <v>0.17570661806312801</v>
      </c>
      <c r="T293" s="55" cm="1">
        <f t="array" ref="T293">MMS_Dairy_Methane_Equations.VEERG_4_3_1_1__1_TotalAnnualMethaneFromManureManagementVariation(G$270,T240,R$275,0,0,0,0,0)</f>
        <v>8.1216911114882814E-2</v>
      </c>
      <c r="U293" s="55" cm="1">
        <f t="array" ref="U293">MMS_Dairy_Methane_Equations.VEERG_4_3_1_1__1_TotalAnnualMethaneFromManureManagementVariation(0,0,0,H$270,U240,S$275,H$280,S$285)</f>
        <v>0.2088626204012739</v>
      </c>
    </row>
    <row r="294" spans="4:21" x14ac:dyDescent="0.25">
      <c r="D294" s="55" t="str">
        <f>'Input - Dairy'!$D$66</f>
        <v>Milking shed</v>
      </c>
      <c r="E294" s="55" t="s">
        <v>405</v>
      </c>
      <c r="F294" s="55" cm="1">
        <f t="array" ref="F294">MMS_Dairy_Methane_Equations.VEERG_4_3_1_1__1_TotalAnnualMethaneFromManureManagementVariation(D$270,F241,D$275,0,0,0,0,0)</f>
        <v>2.7940511293187503E-2</v>
      </c>
      <c r="G294" s="55" cm="1">
        <f t="array" ref="G294">MMS_Dairy_Methane_Equations.VEERG_4_3_1_1__1_TotalAnnualMethaneFromManureManagementVariation(E$270,G241,E$275,0,0,0,0,0)</f>
        <v>1.0619035934060952E-2</v>
      </c>
      <c r="H294" s="55" cm="1">
        <f t="array" ref="H294">MMS_Dairy_Methane_Equations.VEERG_4_3_1_1__1_TotalAnnualMethaneFromManureManagementVariation(0,0,0,F$270,H241,F$275,F$280,F$285)</f>
        <v>0.15227332560095219</v>
      </c>
      <c r="I294" s="55" cm="1">
        <f t="array" ref="I294">MMS_Dairy_Methane_Equations.VEERG_4_3_1_1__1_TotalAnnualMethaneFromManureManagementVariation(G$270,I241,G$275,0,0,0,0,0)</f>
        <v>1.2920872222822267E-2</v>
      </c>
      <c r="J294" s="55" cm="1">
        <f t="array" ref="J294">MMS_Dairy_Methane_Equations.VEERG_4_3_1_1__1_TotalAnnualMethaneFromManureManagementVariation(0,0,0,H$270,J241,H$275,H$280,H$285)</f>
        <v>0.17732632597292994</v>
      </c>
      <c r="O294" s="55" t="str">
        <f>'Input - Dairy'!$D$66</f>
        <v>Milking shed</v>
      </c>
      <c r="P294" s="55" t="s">
        <v>405</v>
      </c>
      <c r="Q294" s="55" cm="1">
        <f t="array" ref="Q294">MMS_Dairy_Methane_Equations.VEERG_4_3_1_1__1_TotalAnnualMethaneFromManureManagementVariation(D$270,Q241,O$275,0,0,0,0,0)</f>
        <v>2.7940511293187503E-2</v>
      </c>
      <c r="R294" s="55" cm="1">
        <f t="array" ref="R294">MMS_Dairy_Methane_Equations.VEERG_4_3_1_1__1_TotalAnnualMethaneFromManureManagementVariation(E$270,R241,P$275,0,0,0,0,0)</f>
        <v>1.0619035934060952E-2</v>
      </c>
      <c r="S294" s="55" cm="1">
        <f t="array" ref="S294">MMS_Dairy_Methane_Equations.VEERG_4_3_1_1__1_TotalAnnualMethaneFromManureManagementVariation(0,0,0,F$270,S241,Q$275,F$280,Q$285)</f>
        <v>0.15227332560095219</v>
      </c>
      <c r="T294" s="55" cm="1">
        <f t="array" ref="T294">MMS_Dairy_Methane_Equations.VEERG_4_3_1_1__1_TotalAnnualMethaneFromManureManagementVariation(G$270,T241,R$275,0,0,0,0,0)</f>
        <v>1.2920872222822267E-2</v>
      </c>
      <c r="U294" s="55" cm="1">
        <f t="array" ref="U294">MMS_Dairy_Methane_Equations.VEERG_4_3_1_1__1_TotalAnnualMethaneFromManureManagementVariation(0,0,0,H$270,U241,S$275,H$280,S$285)</f>
        <v>0.17732632597292994</v>
      </c>
    </row>
    <row r="295" spans="4:21" x14ac:dyDescent="0.25">
      <c r="D295" s="55" t="str">
        <f>'Input - Dairy'!$D$67</f>
        <v>Feed pad</v>
      </c>
      <c r="E295" s="55" t="str">
        <f>'Input - Dairy'!$D$105</f>
        <v>Anaerobic lagoon</v>
      </c>
      <c r="F295" s="55" cm="1">
        <f t="array" ref="F295">MMS_Dairy_Methane_Equations.VEERG_4_3_1_1__1_TotalAnnualMethaneFromManureManagementVariation(D$270,F242,D$275,0,0,0,0,0)</f>
        <v>1.9635285027233274</v>
      </c>
      <c r="G295" s="55" cm="1">
        <f t="array" ref="G295">MMS_Dairy_Methane_Equations.VEERG_4_3_1_1__1_TotalAnnualMethaneFromManureManagementVariation(E$270,G242,E$275,0,0,0,0,0)</f>
        <v>0.74625619800507281</v>
      </c>
      <c r="H295" s="55" cm="1">
        <f t="array" ref="H295">MMS_Dairy_Methane_Equations.VEERG_4_3_1_1__1_TotalAnnualMethaneFromManureManagementVariation(0,0,0,F$270,H242,F$275,F$280,F$285)</f>
        <v>0.45939339599834367</v>
      </c>
      <c r="I295" s="55" cm="1">
        <f t="array" ref="I295">MMS_Dairy_Methane_Equations.VEERG_4_3_1_1__1_TotalAnnualMethaneFromManureManagementVariation(G$270,I242,G$275,0,0,0,0,0)</f>
        <v>0.90801849054721884</v>
      </c>
      <c r="J295" s="55" cm="1">
        <f t="array" ref="J295">MMS_Dairy_Methane_Equations.VEERG_4_3_1_1__1_TotalAnnualMethaneFromManureManagementVariation(0,0,0,H$270,J242,H$275,H$280,H$285)</f>
        <v>0.59064549486647355</v>
      </c>
      <c r="O295" s="55" t="str">
        <f>'Input - Dairy'!$D$67</f>
        <v>Feed pad</v>
      </c>
      <c r="P295" s="55" t="str">
        <f>'Input - Dairy'!$D$105</f>
        <v>Anaerobic lagoon</v>
      </c>
      <c r="Q295" s="55" cm="1">
        <f t="array" ref="Q295">MMS_Dairy_Methane_Equations.VEERG_4_3_1_1__1_TotalAnnualMethaneFromManureManagementVariation(D$270,Q242,O$275,0,0,0,0,0)</f>
        <v>1.9893644040749501</v>
      </c>
      <c r="R295" s="55" cm="1">
        <f t="array" ref="R295">MMS_Dairy_Methane_Equations.VEERG_4_3_1_1__1_TotalAnnualMethaneFromManureManagementVariation(E$270,R242,P$275,0,0,0,0,0)</f>
        <v>0.75607535850513952</v>
      </c>
      <c r="S295" s="55" cm="1">
        <f t="array" ref="S295">MMS_Dairy_Methane_Equations.VEERG_4_3_1_1__1_TotalAnnualMethaneFromManureManagementVariation(0,0,0,F$270,S242,Q$275,F$280,Q$285)</f>
        <v>0.46349278278779549</v>
      </c>
      <c r="T295" s="55" cm="1">
        <f t="array" ref="T295">MMS_Dairy_Methane_Equations.VEERG_4_3_1_1__1_TotalAnnualMethaneFromManureManagementVariation(G$270,T242,R$275,0,0,0,0,0)</f>
        <v>0.91996610226494535</v>
      </c>
      <c r="U295" s="55" cm="1">
        <f t="array" ref="U295">MMS_Dairy_Methane_Equations.VEERG_4_3_1_1__1_TotalAnnualMethaneFromManureManagementVariation(0,0,0,H$270,U242,S$275,H$280,S$285)</f>
        <v>0.59616240927261144</v>
      </c>
    </row>
    <row r="296" spans="4:21" x14ac:dyDescent="0.25">
      <c r="D296" s="55" t="str">
        <f>'Input - Dairy'!$D$67</f>
        <v>Feed pad</v>
      </c>
      <c r="E296" s="55" t="str">
        <f>'Input - Dairy'!$D$110</f>
        <v>Sump and dispersal system</v>
      </c>
      <c r="F296" s="55" cm="1">
        <f t="array" ref="F296">MMS_Dairy_Methane_Equations.VEERG_4_3_1_1__1_TotalAnnualMethaneFromManureManagementVariation(D$270,F243,D$275,0,0,0,0,0)</f>
        <v>1.2917950675811364E-2</v>
      </c>
      <c r="G296" s="55" cm="1">
        <f t="array" ref="G296">MMS_Dairy_Methane_Equations.VEERG_4_3_1_1__1_TotalAnnualMethaneFromManureManagementVariation(E$270,G243,E$275,0,0,0,0,0)</f>
        <v>4.9095802500333735E-3</v>
      </c>
      <c r="H296" s="55" cm="1">
        <f t="array" ref="H296">MMS_Dairy_Methane_Equations.VEERG_4_3_1_1__1_TotalAnnualMethaneFromManureManagementVariation(0,0,0,F$270,H243,F$275,F$280,F$285)</f>
        <v>0.14988969339472596</v>
      </c>
      <c r="I296" s="55" cm="1">
        <f t="array" ref="I296">MMS_Dairy_Methane_Equations.VEERG_4_3_1_1__1_TotalAnnualMethaneFromManureManagementVariation(G$270,I243,G$275,0,0,0,0,0)</f>
        <v>5.9738058588632795E-3</v>
      </c>
      <c r="J296" s="55" cm="1">
        <f t="array" ref="J296">MMS_Dairy_Methane_Equations.VEERG_4_3_1_1__1_TotalAnnualMethaneFromManureManagementVariation(0,0,0,H$270,J243,H$275,H$280,H$285)</f>
        <v>0.17411845720306893</v>
      </c>
      <c r="O296" s="55" t="str">
        <f>'Input - Dairy'!$D$67</f>
        <v>Feed pad</v>
      </c>
      <c r="P296" s="55" t="str">
        <f>'Input - Dairy'!$D$110</f>
        <v>Sump and dispersal system</v>
      </c>
      <c r="Q296" s="55" cm="1">
        <f t="array" ref="Q296">MMS_Dairy_Methane_Equations.VEERG_4_3_1_1__1_TotalAnnualMethaneFromManureManagementVariation(D$270,Q243,O$275,0,0,0,0,0)</f>
        <v>1.2917950675811364E-2</v>
      </c>
      <c r="R296" s="55" cm="1">
        <f t="array" ref="R296">MMS_Dairy_Methane_Equations.VEERG_4_3_1_1__1_TotalAnnualMethaneFromManureManagementVariation(E$270,R243,P$275,0,0,0,0,0)</f>
        <v>4.9095802500333735E-3</v>
      </c>
      <c r="S296" s="55" cm="1">
        <f t="array" ref="S296">MMS_Dairy_Methane_Equations.VEERG_4_3_1_1__1_TotalAnnualMethaneFromManureManagementVariation(0,0,0,F$270,S243,Q$275,F$280,Q$285)</f>
        <v>0.14988969339472596</v>
      </c>
      <c r="T296" s="55" cm="1">
        <f t="array" ref="T296">MMS_Dairy_Methane_Equations.VEERG_4_3_1_1__1_TotalAnnualMethaneFromManureManagementVariation(G$270,T243,R$275,0,0,0,0,0)</f>
        <v>5.9738058588632795E-3</v>
      </c>
      <c r="U296" s="55" cm="1">
        <f t="array" ref="U296">MMS_Dairy_Methane_Equations.VEERG_4_3_1_1__1_TotalAnnualMethaneFromManureManagementVariation(0,0,0,H$270,U243,S$275,H$280,S$285)</f>
        <v>0.17411845720306893</v>
      </c>
    </row>
    <row r="297" spans="4:21" x14ac:dyDescent="0.25">
      <c r="D297" s="55" t="str">
        <f>'Input - Dairy'!$D$67</f>
        <v>Feed pad</v>
      </c>
      <c r="E297" s="55" t="str">
        <f>'Input - Dairy'!$D$115</f>
        <v>Drains to paddock</v>
      </c>
      <c r="F297" s="55" cm="1">
        <f t="array" ref="F297">MMS_Dairy_Methane_Equations.VEERG_4_3_1_1__1_TotalAnnualMethaneFromManureManagementVariation(D$270,F244,D$275,0,0,0,0,0)</f>
        <v>0.46504622432920911</v>
      </c>
      <c r="G297" s="55" cm="1">
        <f t="array" ref="G297">MMS_Dairy_Methane_Equations.VEERG_4_3_1_1__1_TotalAnnualMethaneFromManureManagementVariation(E$270,G244,E$275,0,0,0,0,0)</f>
        <v>0.17674488900120147</v>
      </c>
      <c r="H297" s="55" cm="1">
        <f t="array" ref="H297">MMS_Dairy_Methane_Equations.VEERG_4_3_1_1__1_TotalAnnualMethaneFromManureManagementVariation(0,0,0,F$270,H244,F$275,F$280,F$285)</f>
        <v>0.22162896221013403</v>
      </c>
      <c r="I297" s="55" cm="1">
        <f t="array" ref="I297">MMS_Dairy_Methane_Equations.VEERG_4_3_1_1__1_TotalAnnualMethaneFromManureManagementVariation(G$270,I244,G$275,0,0,0,0,0)</f>
        <v>0.21505701091907811</v>
      </c>
      <c r="J297" s="55" cm="1">
        <f t="array" ref="J297">MMS_Dairy_Methane_Equations.VEERG_4_3_1_1__1_TotalAnnualMethaneFromManureManagementVariation(0,0,0,H$270,J244,H$275,H$280,H$285)</f>
        <v>0.27066445931048061</v>
      </c>
      <c r="O297" s="55" t="str">
        <f>'Input - Dairy'!$D$67</f>
        <v>Feed pad</v>
      </c>
      <c r="P297" s="55" t="str">
        <f>'Input - Dairy'!$D$115</f>
        <v>Drains to paddock</v>
      </c>
      <c r="Q297" s="55" cm="1">
        <f t="array" ref="Q297">MMS_Dairy_Methane_Equations.VEERG_4_3_1_1__1_TotalAnnualMethaneFromManureManagementVariation(D$270,Q244,O$275,0,0,0,0,0)</f>
        <v>0.56838982973570007</v>
      </c>
      <c r="R297" s="55" cm="1">
        <f t="array" ref="R297">MMS_Dairy_Methane_Equations.VEERG_4_3_1_1__1_TotalAnnualMethaneFromManureManagementVariation(E$270,R244,P$275,0,0,0,0,0)</f>
        <v>0.21602153100146851</v>
      </c>
      <c r="S297" s="55" cm="1">
        <f t="array" ref="S297">MMS_Dairy_Methane_Equations.VEERG_4_3_1_1__1_TotalAnnualMethaneFromManureManagementVariation(0,0,0,F$270,S244,Q$275,F$280,Q$285)</f>
        <v>0.23802650936794156</v>
      </c>
      <c r="T297" s="55" cm="1">
        <f t="array" ref="T297">MMS_Dairy_Methane_Equations.VEERG_4_3_1_1__1_TotalAnnualMethaneFromManureManagementVariation(G$270,T244,R$275,0,0,0,0,0)</f>
        <v>0.26284745778998436</v>
      </c>
      <c r="U297" s="55" cm="1">
        <f t="array" ref="U297">MMS_Dairy_Methane_Equations.VEERG_4_3_1_1__1_TotalAnnualMethaneFromManureManagementVariation(0,0,0,H$270,U244,S$275,H$280,S$285)</f>
        <v>0.29273211693503187</v>
      </c>
    </row>
    <row r="298" spans="4:21" x14ac:dyDescent="0.25">
      <c r="D298" s="55" t="str">
        <f>'Input - Dairy'!$D$67</f>
        <v>Feed pad</v>
      </c>
      <c r="E298" s="55" t="s">
        <v>405</v>
      </c>
      <c r="F298" s="55" cm="1">
        <f t="array" ref="F298">MMS_Dairy_Methane_Equations.VEERG_4_3_1_1__1_TotalAnnualMethaneFromManureManagementVariation(D$270,F245,D$275,0,0,0,0,0)</f>
        <v>0.10334360540649092</v>
      </c>
      <c r="G298" s="55" cm="1">
        <f t="array" ref="G298">MMS_Dairy_Methane_Equations.VEERG_4_3_1_1__1_TotalAnnualMethaneFromManureManagementVariation(E$270,G245,E$275,0,0,0,0,0)</f>
        <v>3.9276642000266988E-2</v>
      </c>
      <c r="H298" s="55" cm="1">
        <f t="array" ref="H298">MMS_Dairy_Methane_Equations.VEERG_4_3_1_1__1_TotalAnnualMethaneFromManureManagementVariation(0,0,0,F$270,H245,F$275,F$280,F$285)</f>
        <v>0.16423754715780758</v>
      </c>
      <c r="I298" s="55" cm="1">
        <f t="array" ref="I298">MMS_Dairy_Methane_Equations.VEERG_4_3_1_1__1_TotalAnnualMethaneFromManureManagementVariation(G$270,I245,G$275,0,0,0,0,0)</f>
        <v>4.7790446870906236E-2</v>
      </c>
      <c r="J298" s="55" cm="1">
        <f t="array" ref="J298">MMS_Dairy_Methane_Equations.VEERG_4_3_1_1__1_TotalAnnualMethaneFromManureManagementVariation(0,0,0,H$270,J245,H$275,H$280,H$285)</f>
        <v>0.19342765762455125</v>
      </c>
      <c r="O298" s="55" t="str">
        <f>'Input - Dairy'!$D$67</f>
        <v>Feed pad</v>
      </c>
      <c r="P298" s="55" t="s">
        <v>405</v>
      </c>
      <c r="Q298" s="55" cm="1">
        <f t="array" ref="Q298">MMS_Dairy_Methane_Equations.VEERG_4_3_1_1__1_TotalAnnualMethaneFromManureManagementVariation(D$270,Q245,O$275,0,0,0,0,0)</f>
        <v>0.10334360540649092</v>
      </c>
      <c r="R298" s="55" cm="1">
        <f t="array" ref="R298">MMS_Dairy_Methane_Equations.VEERG_4_3_1_1__1_TotalAnnualMethaneFromManureManagementVariation(E$270,R245,P$275,0,0,0,0,0)</f>
        <v>3.9276642000266988E-2</v>
      </c>
      <c r="S298" s="55" cm="1">
        <f t="array" ref="S298">MMS_Dairy_Methane_Equations.VEERG_4_3_1_1__1_TotalAnnualMethaneFromManureManagementVariation(0,0,0,F$270,S245,Q$275,F$280,Q$285)</f>
        <v>0.16423754715780758</v>
      </c>
      <c r="T298" s="55" cm="1">
        <f t="array" ref="T298">MMS_Dairy_Methane_Equations.VEERG_4_3_1_1__1_TotalAnnualMethaneFromManureManagementVariation(G$270,T245,R$275,0,0,0,0,0)</f>
        <v>4.7790446870906236E-2</v>
      </c>
      <c r="U298" s="55" cm="1">
        <f t="array" ref="U298">MMS_Dairy_Methane_Equations.VEERG_4_3_1_1__1_TotalAnnualMethaneFromManureManagementVariation(0,0,0,H$270,U245,S$275,H$280,S$285)</f>
        <v>0.19342765762455125</v>
      </c>
    </row>
    <row r="300" spans="4:21" ht="20.25" x14ac:dyDescent="0.25">
      <c r="D300" s="108" t="s">
        <v>128</v>
      </c>
      <c r="E300" s="109">
        <f>SUM(F290:J298)</f>
        <v>11.006573699319889</v>
      </c>
      <c r="F300" s="110" t="str">
        <f>$E$256</f>
        <v>t CH4</v>
      </c>
      <c r="O300" s="108" t="s">
        <v>420</v>
      </c>
      <c r="P300" s="109">
        <f>SUM(Q290:U298)</f>
        <v>11.385488679680847</v>
      </c>
      <c r="Q300" s="110" t="str">
        <f>$E$256</f>
        <v>t CH4</v>
      </c>
    </row>
    <row r="302" spans="4:21" x14ac:dyDescent="0.25">
      <c r="D302" s="60" t="str" cm="1">
        <f t="array" ref="D302:E303">Common_Equations.Common_ConvertCH4ToCO2e_Arguments()</f>
        <v>ECH4</v>
      </c>
      <c r="E302" s="61" t="str">
        <v>Methane emissions (t CH4)</v>
      </c>
      <c r="F302" s="111"/>
      <c r="G302" s="55">
        <f>E300</f>
        <v>11.006573699319889</v>
      </c>
      <c r="H302" s="2"/>
      <c r="O302" s="60" t="str" cm="1">
        <f t="array" ref="O302:P303">Common_Equations.Common_ConvertCH4ToCO2e_Arguments()</f>
        <v>ECH4</v>
      </c>
      <c r="P302" s="61" t="str">
        <v>Methane emissions (t CH4)</v>
      </c>
      <c r="Q302" s="111"/>
      <c r="R302" s="55">
        <f>P300</f>
        <v>11.385488679680847</v>
      </c>
      <c r="S302" s="2" t="s">
        <v>270</v>
      </c>
    </row>
    <row r="303" spans="4:21" x14ac:dyDescent="0.25">
      <c r="D303" s="60" t="str">
        <v>GWPCH4</v>
      </c>
      <c r="E303" s="61" t="str">
        <v>Global warming potential for methane (t CO2-e / t CH4)</v>
      </c>
      <c r="F303" s="111"/>
      <c r="G303" s="55">
        <f>Common_InputFunctions.Utility_LookupValueInTableNumber("CH4",Table_GWPData[Gas],Table_GWPData[CO2-e factor])</f>
        <v>28</v>
      </c>
      <c r="O303" s="60" t="str">
        <v>GWPCH4</v>
      </c>
      <c r="P303" s="61" t="str">
        <v>Global warming potential for methane (t CO2-e / t CH4)</v>
      </c>
      <c r="Q303" s="111"/>
      <c r="R303" s="55">
        <f>Common_InputFunctions.Utility_LookupValueInTableNumber("CH4",Table_GWPData[Gas],Table_GWPData[CO2-e factor])</f>
        <v>28</v>
      </c>
    </row>
    <row r="305" spans="4:17" ht="18.75" x14ac:dyDescent="0.25">
      <c r="D305" s="48" t="s">
        <v>129</v>
      </c>
      <c r="E305" s="48" cm="1">
        <f t="array" ref="E305">Common_Equations.Common_ConvertCH4ToCO2e(G302,G303)</f>
        <v>308.18406358095689</v>
      </c>
      <c r="F305" s="112" t="str" cm="1">
        <f t="array" ref="F305">Common_Equations.Common_ConvertN2OToCO2e_Unit()</f>
        <v>t CO2e</v>
      </c>
      <c r="O305" s="48" t="s">
        <v>419</v>
      </c>
      <c r="P305" s="48" cm="1">
        <f t="array" ref="P305">Common_Equations.Common_ConvertCH4ToCO2e(R302,R303)</f>
        <v>318.79368303106372</v>
      </c>
      <c r="Q305" s="112" t="str" cm="1">
        <f t="array" ref="Q305">Common_Equations.Common_ConvertN2OToCO2e_Unit()</f>
        <v>t CO2e</v>
      </c>
    </row>
  </sheetData>
  <dataValidations count="1">
    <dataValidation operator="equal" allowBlank="1" showInputMessage="1" showErrorMessage="1" sqref="F164:F168 Q153:U157 D187:F187 P90:R90 E152:J152 F153:J157 E163:F163 Q164:Q168 P163:Q163 P152:U152 E174:J174 F175:J179 P174:U174 Q175:U179 Q173:U173 F200:J200 P205:U206 P199:U199 Q200:U200 P298 E241 E238 E294 E291 E245 P238 E298 P291 I146 E146:F146 F173:J173 Q162 Q151:U151 E199:J199 P241 P245 P294 E205:J206" xr:uid="{AF7BB680-B75F-4AE8-AA2D-EDF03FCB10D8}"/>
  </dataValidation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652C6-038D-41EC-BA1B-216C9E3A60D3}">
  <dimension ref="A1:U292"/>
  <sheetViews>
    <sheetView showGridLines="0" topLeftCell="A243" zoomScale="85" zoomScaleNormal="85" workbookViewId="0">
      <selection activeCell="N276" sqref="N276"/>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0" width="30.7109375" style="1" customWidth="1"/>
    <col min="21" max="21" width="4.7109375" style="1" customWidth="1"/>
  </cols>
  <sheetData>
    <row r="1" spans="1:21" s="8" customFormat="1" ht="30" customHeight="1" x14ac:dyDescent="0.35">
      <c r="A1" s="71" t="e" vm="1">
        <v>#VALUE!</v>
      </c>
      <c r="C1" s="8" t="s">
        <v>280</v>
      </c>
    </row>
    <row r="2" spans="1:21" s="9" customFormat="1" ht="20.100000000000001" customHeight="1" x14ac:dyDescent="0.25"/>
    <row r="3" spans="1:21" ht="20.100000000000001" customHeight="1" x14ac:dyDescent="0.25">
      <c r="A3" s="17" t="str">
        <f>HYPERLINK("#'Home'!A1", "Home")</f>
        <v>Home</v>
      </c>
      <c r="C3" s="4"/>
      <c r="D3" s="4" t="s">
        <v>118</v>
      </c>
      <c r="E3" s="4"/>
      <c r="F3" s="4"/>
      <c r="G3" s="4"/>
      <c r="H3" s="4"/>
      <c r="I3" s="4"/>
      <c r="J3" s="4"/>
      <c r="K3" s="4"/>
      <c r="M3" s="4"/>
      <c r="N3" s="4" t="s">
        <v>119</v>
      </c>
      <c r="O3" s="4"/>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MMS_Dairy_N2ODirect_Equations.VEERG_4_3_1_3__8_RelativeSize_Title()</f>
        <v>Relative size</v>
      </c>
    </row>
    <row r="6" spans="1:21" ht="20.100000000000001" customHeight="1" x14ac:dyDescent="0.25">
      <c r="A6" s="16"/>
      <c r="D6" s="5" t="str" cm="1">
        <f t="array" ref="D6">MMS_Dairy_N2ODirect_Equations.VEERG_4_3_1_3__8_RelativeSize_Source()</f>
        <v>VEERG 2026: 4.3.1.3, Equation (8)</v>
      </c>
    </row>
    <row r="7" spans="1:21" ht="20.100000000000001" customHeight="1" x14ac:dyDescent="0.25">
      <c r="A7" s="20" t="s">
        <v>3</v>
      </c>
      <c r="D7" s="13" t="s">
        <v>27</v>
      </c>
      <c r="E7" s="13" t="str" cm="1">
        <f t="array" aca="1" ref="E7" ca="1">Common_InputFunctions.Utility_DisplayFunctionName(D29)</f>
        <v>=MMS_Dairy_N2ODirect_Equations.VEERG_4_3_1_3__8_RelativeSize</v>
      </c>
    </row>
    <row r="8" spans="1:21" ht="20.100000000000001" customHeight="1" x14ac:dyDescent="0.25">
      <c r="A8" s="17" t="str">
        <f>HYPERLINK("#'Input - Site'!A1", "Site")</f>
        <v>Site</v>
      </c>
    </row>
    <row r="9" spans="1:21" ht="20.100000000000001" customHeight="1" x14ac:dyDescent="0.25">
      <c r="A9" s="17" t="str">
        <f>HYPERLINK("#'Input - Dairy'!A1", "Dairy")</f>
        <v>Dairy</v>
      </c>
    </row>
    <row r="10" spans="1:21" ht="20.100000000000001" customHeight="1" x14ac:dyDescent="0.25">
      <c r="A10" s="17"/>
      <c r="D10" s="56" t="s">
        <v>30</v>
      </c>
      <c r="E10" s="1" t="str" cm="1">
        <f t="array" ref="E10">MMS_Dairy_N2ODirect_Equations.VEERG_4_3_1_3__8_RelativeSize_Variable()</f>
        <v>Z_j</v>
      </c>
    </row>
    <row r="11" spans="1:21" ht="20.100000000000001" customHeight="1" x14ac:dyDescent="0.25">
      <c r="A11" s="19" t="s">
        <v>76</v>
      </c>
      <c r="D11" s="56" t="s">
        <v>20</v>
      </c>
      <c r="E11" s="57" t="str" cm="1">
        <f t="array" ref="E11">MMS_Dairy_N2ODirect_Equations.VEERG_4_3_1_3__8_RelativeSize_Unit()</f>
        <v>ratio</v>
      </c>
    </row>
    <row r="12" spans="1:21" ht="20.100000000000001" customHeight="1" x14ac:dyDescent="0.25">
      <c r="A12" s="17" t="str">
        <f>HYPERLINK("#'4.3.1.1-2 Methane'!A1", "4.3.1.1-2 Methane")</f>
        <v>4.3.1.1-2 Methane</v>
      </c>
    </row>
    <row r="13" spans="1:21" ht="20.100000000000001" customHeight="1" x14ac:dyDescent="0.25">
      <c r="A13" s="22" t="str">
        <f>HYPERLINK("#'4.3.1.3-4 Direct N20'!A1", "4.3.1.3-4 Direct N2O")</f>
        <v>4.3.1.3-4 Direct N2O</v>
      </c>
      <c r="D13" s="137" t="str" cm="1">
        <f t="array" ref="D13:E14">_xlfn.CHOOSECOLS(MMS_Dairy_N2ODirect_Equations.VEERG_4_3_1_3__8_RelativeSize_Arguments(),1,2)</f>
        <v>W_j</v>
      </c>
      <c r="E13" s="137" t="str">
        <v>liveweight</v>
      </c>
      <c r="F13" s="137" t="str" cm="1">
        <f t="array" ref="F13:G14">_xlfn.CHOOSECOLS(MMS_Dairy_N2ODirect_Equations.VEERG_4_3_1_3__8_RelativeSize_Arguments(),3,4)</f>
        <v>kg/head</v>
      </c>
      <c r="G13" s="135" t="str">
        <v>Input</v>
      </c>
      <c r="H13" s="134" t="str" cm="1">
        <f t="array" aca="1" ref="H13" ca="1">HYPERLINK(Common_InputFunctions.Utility_SourceHyperlink($D$16),$D$16)</f>
        <v>M1_Table_W_j</v>
      </c>
    </row>
    <row r="14" spans="1:21" ht="20.100000000000001" customHeight="1" x14ac:dyDescent="0.25">
      <c r="A14" s="17" t="str">
        <f>HYPERLINK("#'4.3.1.5 Atmos Deposition'!A1", "4.3.1.5 Atmospheric deposition")</f>
        <v>4.3.1.5 Atmospheric deposition</v>
      </c>
      <c r="D14" s="137" t="str">
        <v>WR_j</v>
      </c>
      <c r="E14" s="137" t="str">
        <v>reference weight</v>
      </c>
      <c r="F14" s="137" t="str">
        <v>kg/head</v>
      </c>
      <c r="G14" s="133" t="str">
        <v>Constant</v>
      </c>
      <c r="H14" s="134" t="str" cm="1">
        <f t="array" aca="1" ref="H14" ca="1">HYPERLINK(Common_InputFunctions.Utility_SourceHyperlink($D$21),$D$21)</f>
        <v>Table_WR_j</v>
      </c>
    </row>
    <row r="15" spans="1:21" ht="20.100000000000001" customHeight="1" x14ac:dyDescent="0.25">
      <c r="A15" s="17" t="str">
        <f>HYPERLINK("#'4.3.1.6-7 Leaching and runoff'!A1", "4.3.1.6-7 Leaching and runoff")</f>
        <v>4.3.1.6-7 Leaching and runoff</v>
      </c>
    </row>
    <row r="16" spans="1:21" ht="20.100000000000001" customHeight="1" x14ac:dyDescent="0.25">
      <c r="A16" s="17" t="str">
        <f>HYPERLINK("#'4.3.1.8 Manure applied to soils'!A1", "4.3.1.8 Manure applied to soils")</f>
        <v>4.3.1.8 Manure applied to soils</v>
      </c>
      <c r="D16" s="104" t="s">
        <v>214</v>
      </c>
      <c r="N16" s="104" t="s">
        <v>216</v>
      </c>
    </row>
    <row r="17" spans="1:21" ht="20.100000000000001" customHeight="1" x14ac:dyDescent="0.25">
      <c r="A17" s="17" t="str">
        <f>HYPERLINK("#'4.3.1.9 Soil direct N2O'!A1", "4.3.1.9 Soil direct N2O")</f>
        <v>4.3.1.9 Soil direct N2O</v>
      </c>
      <c r="D17" s="103" t="s">
        <v>215</v>
      </c>
      <c r="N17" s="103" t="s">
        <v>217</v>
      </c>
    </row>
    <row r="18" spans="1:21" ht="20.100000000000001" customHeight="1" x14ac:dyDescent="0.25">
      <c r="A18" s="17" t="str">
        <f>HYPERLINK("#'4.3.1.10-11 Soil Atmos Dep'!A1", "4.3.1.10-11 Soil atm. deposition")</f>
        <v>4.3.1.10-11 Soil atm. deposition</v>
      </c>
      <c r="D18" s="41" t="s">
        <v>171</v>
      </c>
      <c r="E18" s="41" t="s">
        <v>188</v>
      </c>
      <c r="F18" s="41" t="s">
        <v>189</v>
      </c>
      <c r="G18" s="41" t="s">
        <v>190</v>
      </c>
      <c r="H18" s="41" t="s">
        <v>191</v>
      </c>
      <c r="N18" s="41" t="s">
        <v>171</v>
      </c>
      <c r="O18" s="41" t="s">
        <v>188</v>
      </c>
      <c r="P18" s="41" t="s">
        <v>189</v>
      </c>
      <c r="Q18" s="41" t="s">
        <v>190</v>
      </c>
      <c r="R18" s="41" t="s">
        <v>191</v>
      </c>
    </row>
    <row r="19" spans="1:21" ht="20.100000000000001" customHeight="1" x14ac:dyDescent="0.25">
      <c r="A19" s="17" t="str">
        <f>HYPERLINK("#'4.3.1.12-13 Soil leach runoff'!A1", "4.3.1.12-13 Soil leach &amp; runoff")</f>
        <v>4.3.1.12-13 Soil leach &amp; runoff</v>
      </c>
      <c r="D19" s="55">
        <f>'Input - Dairy'!$E$14</f>
        <v>550</v>
      </c>
      <c r="E19" s="55">
        <f>'Input - Dairy'!$F$14</f>
        <v>380</v>
      </c>
      <c r="F19" s="55">
        <f>'Input - Dairy'!$G$14</f>
        <v>155</v>
      </c>
      <c r="G19" s="55">
        <f>'Input - Dairy'!$H$14</f>
        <v>600</v>
      </c>
      <c r="H19" s="55">
        <f>'Input - Dairy'!$I$14</f>
        <v>225</v>
      </c>
      <c r="I19" s="2" t="s">
        <v>193</v>
      </c>
      <c r="N19" s="55">
        <f>'Input - Dairy'!$E$18</f>
        <v>550</v>
      </c>
      <c r="O19" s="55">
        <f>'Input - Dairy'!$F$18</f>
        <v>380</v>
      </c>
      <c r="P19" s="55">
        <f>'Input - Dairy'!$G$18</f>
        <v>155</v>
      </c>
      <c r="Q19" s="55">
        <f>'Input - Dairy'!$H$18</f>
        <v>600</v>
      </c>
      <c r="R19" s="55">
        <f>'Input - Dairy'!$I$18</f>
        <v>225</v>
      </c>
      <c r="S19" s="2" t="s">
        <v>193</v>
      </c>
    </row>
    <row r="20" spans="1:21" ht="20.100000000000001" customHeight="1" x14ac:dyDescent="0.25">
      <c r="A20" s="17"/>
    </row>
    <row r="21" spans="1:21" ht="20.100000000000001" customHeight="1" x14ac:dyDescent="0.25">
      <c r="A21" s="18" t="s">
        <v>4</v>
      </c>
      <c r="D21" s="104" t="s">
        <v>281</v>
      </c>
    </row>
    <row r="22" spans="1:21" ht="20.100000000000001" customHeight="1" x14ac:dyDescent="0.25">
      <c r="A22" s="17" t="str">
        <f>HYPERLINK("#'Constants - Dairy'!A1", "Constants - Dairy")</f>
        <v>Constants - Dairy</v>
      </c>
      <c r="D22" s="103" t="s">
        <v>282</v>
      </c>
    </row>
    <row r="23" spans="1:21" ht="20.100000000000001" customHeight="1" x14ac:dyDescent="0.25">
      <c r="A23" s="17" t="str">
        <f>HYPERLINK("#'Constants - Livestock'!A1", "Constants - Livestock")</f>
        <v>Constants - Livestock</v>
      </c>
      <c r="D23" s="54" t="s">
        <v>171</v>
      </c>
      <c r="E23" s="54" t="s">
        <v>188</v>
      </c>
      <c r="F23" s="54" t="s">
        <v>189</v>
      </c>
      <c r="G23" s="54" t="s">
        <v>190</v>
      </c>
      <c r="H23" s="54" t="s">
        <v>191</v>
      </c>
    </row>
    <row r="24" spans="1:21" ht="20.100000000000001" customHeight="1" x14ac:dyDescent="0.25">
      <c r="A24" s="17" t="str">
        <f>HYPERLINK("#'Constants - Common'!A1", "Constants - Common")</f>
        <v>Constants - Common</v>
      </c>
      <c r="D24" s="55" cm="1">
        <f t="array" ref="D24">Table_SourceData_Dairy_WRj[Milking cows]</f>
        <v>590</v>
      </c>
      <c r="E24" s="55" cm="1">
        <f t="array" ref="E24">Table_SourceData_Dairy_WRj[Heifers &gt; 1]</f>
        <v>590</v>
      </c>
      <c r="F24" s="55" cm="1">
        <f t="array" ref="F24">Table_SourceData_Dairy_WRj[Heifers &lt; 1 (weaned)]</f>
        <v>590</v>
      </c>
      <c r="G24" s="55" cm="1">
        <f t="array" ref="G24">Table_SourceData_Dairy_WRj[Bulls &gt; 1]</f>
        <v>770</v>
      </c>
      <c r="H24" s="55" cm="1">
        <f t="array" ref="H24">Table_SourceData_Dairy_WRj[Bulls &lt; 1 (weaned)]</f>
        <v>770</v>
      </c>
      <c r="I24" s="2" t="s">
        <v>193</v>
      </c>
    </row>
    <row r="25" spans="1:21" ht="20.100000000000001" customHeight="1" x14ac:dyDescent="0.25">
      <c r="A25" s="17" t="str">
        <f>HYPERLINK("#'Acknowledgements'!A1", "Acknowledgements")</f>
        <v>Acknowledgements</v>
      </c>
    </row>
    <row r="26" spans="1:21" ht="20.100000000000001" customHeight="1" x14ac:dyDescent="0.25">
      <c r="D26" s="104" t="s">
        <v>283</v>
      </c>
      <c r="N26" s="104" t="s">
        <v>283</v>
      </c>
    </row>
    <row r="27" spans="1:21" ht="20.100000000000001" customHeight="1" x14ac:dyDescent="0.25">
      <c r="D27" s="103" t="s">
        <v>284</v>
      </c>
      <c r="N27" s="103" t="s">
        <v>464</v>
      </c>
    </row>
    <row r="28" spans="1:21" ht="20.100000000000001" customHeight="1" x14ac:dyDescent="0.25">
      <c r="D28" s="54" t="s">
        <v>171</v>
      </c>
      <c r="E28" s="54" t="s">
        <v>188</v>
      </c>
      <c r="F28" s="54" t="s">
        <v>189</v>
      </c>
      <c r="G28" s="54" t="s">
        <v>190</v>
      </c>
      <c r="H28" s="54" t="s">
        <v>191</v>
      </c>
      <c r="N28" s="54" t="s">
        <v>171</v>
      </c>
      <c r="O28" s="54" t="s">
        <v>188</v>
      </c>
      <c r="P28" s="54" t="s">
        <v>189</v>
      </c>
      <c r="Q28" s="54" t="s">
        <v>190</v>
      </c>
      <c r="R28" s="54" t="s">
        <v>191</v>
      </c>
    </row>
    <row r="29" spans="1:21" ht="20.100000000000001" customHeight="1" x14ac:dyDescent="0.25">
      <c r="D29" s="55" cm="1">
        <f t="array" ref="D29">MMS_Dairy_N2ODirect_Equations.VEERG_4_3_1_3__8_RelativeSize(D19,D24)</f>
        <v>0.93220338983050843</v>
      </c>
      <c r="E29" s="55" cm="1">
        <f t="array" ref="E29">MMS_Dairy_N2ODirect_Equations.VEERG_4_3_1_3__8_RelativeSize(E19,E24)</f>
        <v>0.64406779661016944</v>
      </c>
      <c r="F29" s="55" cm="1">
        <f t="array" ref="F29">MMS_Dairy_N2ODirect_Equations.VEERG_4_3_1_3__8_RelativeSize(F19,F24)</f>
        <v>0.26271186440677968</v>
      </c>
      <c r="G29" s="55" cm="1">
        <f t="array" ref="G29">MMS_Dairy_N2ODirect_Equations.VEERG_4_3_1_3__8_RelativeSize(G19,G24)</f>
        <v>0.77922077922077926</v>
      </c>
      <c r="H29" s="55" cm="1">
        <f t="array" ref="H29">MMS_Dairy_N2ODirect_Equations.VEERG_4_3_1_3__8_RelativeSize(H19,H24)</f>
        <v>0.29220779220779219</v>
      </c>
      <c r="I29" s="2" t="str">
        <f>$E$11</f>
        <v>ratio</v>
      </c>
      <c r="N29" s="55" cm="1">
        <f t="array" ref="N29">MMS_Dairy_N2ODirect_Equations.VEERG_4_3_1_3__8_RelativeSize(N19,D24)</f>
        <v>0.93220338983050843</v>
      </c>
      <c r="O29" s="55" cm="1">
        <f t="array" ref="O29">MMS_Dairy_N2ODirect_Equations.VEERG_4_3_1_3__8_RelativeSize(O19,E24)</f>
        <v>0.64406779661016944</v>
      </c>
      <c r="P29" s="55" cm="1">
        <f t="array" ref="P29">MMS_Dairy_N2ODirect_Equations.VEERG_4_3_1_3__8_RelativeSize(P19,F24)</f>
        <v>0.26271186440677968</v>
      </c>
      <c r="Q29" s="55" cm="1">
        <f t="array" ref="Q29">MMS_Dairy_N2ODirect_Equations.VEERG_4_3_1_3__8_RelativeSize(Q19,G24)</f>
        <v>0.77922077922077926</v>
      </c>
      <c r="R29" s="55" cm="1">
        <f t="array" ref="R29">MMS_Dairy_N2ODirect_Equations.VEERG_4_3_1_3__8_RelativeSize(R19,H24)</f>
        <v>0.29220779220779219</v>
      </c>
      <c r="S29" s="2" t="str">
        <f>$E$11</f>
        <v>ratio</v>
      </c>
    </row>
    <row r="30" spans="1:21" ht="20.100000000000001" customHeight="1" x14ac:dyDescent="0.25"/>
    <row r="31" spans="1:21" ht="20.100000000000001" customHeight="1" x14ac:dyDescent="0.25"/>
    <row r="32" spans="1:21" ht="20.100000000000001" customHeight="1" x14ac:dyDescent="0.25">
      <c r="C32" s="48"/>
      <c r="D32" s="48"/>
      <c r="E32" s="48"/>
      <c r="F32" s="48"/>
      <c r="G32" s="48"/>
      <c r="H32" s="48"/>
      <c r="I32" s="48"/>
      <c r="J32" s="48"/>
      <c r="K32" s="48"/>
      <c r="M32" s="48"/>
      <c r="N32" s="48"/>
      <c r="O32" s="48"/>
      <c r="P32" s="48"/>
      <c r="Q32" s="48"/>
      <c r="R32" s="48"/>
      <c r="S32" s="48"/>
      <c r="T32" s="48"/>
      <c r="U32" s="48"/>
    </row>
    <row r="33" spans="4:14" ht="20.100000000000001" customHeight="1" x14ac:dyDescent="0.25">
      <c r="D33" s="6" t="str" cm="1">
        <f t="array" ref="D33">MMS_Dairy_N2ODirect_Equations.VEERG_4_3_1_3__7_IntakeRelativeToMaintenance_Title()</f>
        <v>Intake relative to maintenance</v>
      </c>
    </row>
    <row r="34" spans="4:14" ht="20.100000000000001" customHeight="1" x14ac:dyDescent="0.25">
      <c r="D34" s="5" t="str" cm="1">
        <f t="array" ref="D34">MMS_Dairy_N2ODirect_Equations.VEERG_4_3_1_3__7_IntakeRelativeToMaintenance_Source()</f>
        <v>VEERG 2026: 4.3.1.3, Equation (7)</v>
      </c>
    </row>
    <row r="35" spans="4:14" ht="20.100000000000001" customHeight="1" x14ac:dyDescent="0.25">
      <c r="D35" s="13" t="s">
        <v>27</v>
      </c>
      <c r="E35" s="13" t="str" cm="1">
        <f t="array" aca="1" ref="E35" ca="1">Common_InputFunctions.Utility_DisplayFunctionName(D65)</f>
        <v>=MMS_Dairy_N2ODirect_Equations.VEERG_4_3_1_3__7_IntakeRelativeToMaintenance</v>
      </c>
    </row>
    <row r="36" spans="4:14" ht="20.100000000000001" customHeight="1" x14ac:dyDescent="0.25"/>
    <row r="37" spans="4:14" ht="20.100000000000001" customHeight="1" x14ac:dyDescent="0.25">
      <c r="D37" s="6"/>
      <c r="F37" s="6"/>
    </row>
    <row r="38" spans="4:14" ht="20.100000000000001" customHeight="1" x14ac:dyDescent="0.25"/>
    <row r="39" spans="4:14" ht="20.100000000000001" customHeight="1" x14ac:dyDescent="0.25">
      <c r="D39" s="56" t="s">
        <v>30</v>
      </c>
      <c r="E39" s="1" t="str" cm="1">
        <f t="array" ref="E39">MMS_Dairy_N2ODirect_Equations.VEERG_4_3_1_3__7_IntakeRelativeToMaintenance_Variable()</f>
        <v>L_j</v>
      </c>
    </row>
    <row r="40" spans="4:14" ht="20.100000000000001" customHeight="1" x14ac:dyDescent="0.25">
      <c r="D40" s="56" t="s">
        <v>20</v>
      </c>
      <c r="E40" s="57" t="str" cm="1">
        <f t="array" ref="E40">MMS_Dairy_N2ODirect_Equations.VEERG_4_3_1_3__7_IntakeRelativeToMaintenance_Unit()</f>
        <v>ratio</v>
      </c>
    </row>
    <row r="41" spans="4:14" ht="20.100000000000001" customHeight="1" x14ac:dyDescent="0.25"/>
    <row r="42" spans="4:14" ht="20.100000000000001" customHeight="1" x14ac:dyDescent="0.25">
      <c r="D42" s="137" t="str" cm="1">
        <f t="array" ref="D42:E45">_xlfn.CHOOSECOLS(MMS_Dairy_N2ODirect_Equations.VEERG_4_3_1_3__7_IntakeRelativeToMaintenance_Arguments(),1,2)</f>
        <v>I_j</v>
      </c>
      <c r="E42" s="136" t="str">
        <v>dry matter intake</v>
      </c>
      <c r="F42" s="138"/>
      <c r="G42" s="137" t="str" cm="1">
        <f t="array" ref="G42:H45">_xlfn.CHOOSECOLS(MMS_Dairy_N2ODirect_Equations.VEERG_4_3_1_3__7_IntakeRelativeToMaintenance_Arguments(),3,4)</f>
        <v>kgDM/head/day</v>
      </c>
      <c r="H42" s="133" t="str">
        <v>Calculated from 3.3.1.1 (3)</v>
      </c>
      <c r="I42" s="134" t="str" cm="1">
        <f t="array" aca="1" ref="I42" ca="1">HYPERLINK(Common_InputFunctions.Utility_SourceHyperlink($D$47),$D$47)</f>
        <v>M1_Table_I_j</v>
      </c>
    </row>
    <row r="43" spans="4:14" ht="20.100000000000001" customHeight="1" x14ac:dyDescent="0.25">
      <c r="D43" s="137" t="str">
        <v>W_j</v>
      </c>
      <c r="E43" s="136" t="str">
        <v>liveweight</v>
      </c>
      <c r="F43" s="138"/>
      <c r="G43" s="137" t="str">
        <v>kg/head</v>
      </c>
      <c r="H43" s="135" t="str">
        <v>Input</v>
      </c>
      <c r="I43" s="134" t="str" cm="1">
        <f t="array" aca="1" ref="I43" ca="1">HYPERLINK(Common_InputFunctions.Utility_SourceHyperlink($D$16),$D$16)</f>
        <v>M1_Table_W_j</v>
      </c>
    </row>
    <row r="44" spans="4:14" ht="20.100000000000001" customHeight="1" x14ac:dyDescent="0.25">
      <c r="D44" s="137" t="str">
        <v>MR_j</v>
      </c>
      <c r="E44" s="136" t="str">
        <v>increase in metabolic rate when producing milk</v>
      </c>
      <c r="F44" s="138"/>
      <c r="G44" s="137" t="str">
        <v/>
      </c>
      <c r="H44" s="133" t="str">
        <v>Constant</v>
      </c>
      <c r="I44" s="134" t="str" cm="1">
        <f t="array" aca="1" ref="I44" ca="1">HYPERLINK(Common_InputFunctions.Utility_SourceHyperlink($D$52),$D$52)</f>
        <v>Table_MR_j</v>
      </c>
    </row>
    <row r="45" spans="4:14" ht="20.100000000000001" customHeight="1" x14ac:dyDescent="0.25">
      <c r="D45" s="137" t="str">
        <v>MI_j</v>
      </c>
      <c r="E45" s="136" t="str">
        <v>additional intake required for milk production</v>
      </c>
      <c r="F45" s="138"/>
      <c r="G45" s="137" t="str">
        <v>kgDM/head/day</v>
      </c>
      <c r="H45" s="133" t="str">
        <v>Calculated from 3.3.1.1 (4)</v>
      </c>
      <c r="I45" s="134" t="str" cm="1">
        <f t="array" aca="1" ref="I45" ca="1">HYPERLINK(Common_InputFunctions.Utility_SourceHyperlink($D$57),$D$57)</f>
        <v>M1_Table_MI_j</v>
      </c>
    </row>
    <row r="46" spans="4:14" ht="20.100000000000001" customHeight="1" x14ac:dyDescent="0.25"/>
    <row r="47" spans="4:14" ht="20.100000000000001" customHeight="1" x14ac:dyDescent="0.25">
      <c r="D47" s="104" t="s">
        <v>111</v>
      </c>
      <c r="N47" s="104" t="s">
        <v>113</v>
      </c>
    </row>
    <row r="48" spans="4:14" ht="20.100000000000001" customHeight="1" x14ac:dyDescent="0.25">
      <c r="D48" s="103" t="s">
        <v>237</v>
      </c>
      <c r="N48" s="103" t="s">
        <v>236</v>
      </c>
    </row>
    <row r="49" spans="4:19" ht="20.100000000000001" customHeight="1" x14ac:dyDescent="0.25">
      <c r="D49" s="54" t="s">
        <v>171</v>
      </c>
      <c r="E49" s="54" t="s">
        <v>188</v>
      </c>
      <c r="F49" s="54" t="s">
        <v>189</v>
      </c>
      <c r="G49" s="54" t="s">
        <v>190</v>
      </c>
      <c r="H49" s="54" t="s">
        <v>191</v>
      </c>
      <c r="N49" s="54" t="s">
        <v>171</v>
      </c>
      <c r="O49" s="54" t="s">
        <v>188</v>
      </c>
      <c r="P49" s="54" t="s">
        <v>189</v>
      </c>
      <c r="Q49" s="54" t="s">
        <v>190</v>
      </c>
      <c r="R49" s="54" t="s">
        <v>191</v>
      </c>
    </row>
    <row r="50" spans="4:19" ht="20.100000000000001" customHeight="1" x14ac:dyDescent="0.25">
      <c r="D50" s="55">
        <f>'4.3.1.1-2 Methane'!D114</f>
        <v>19.520320059621</v>
      </c>
      <c r="E50" s="55">
        <f>'4.3.1.1-2 Methane'!E114</f>
        <v>7.4188685375999972</v>
      </c>
      <c r="F50" s="55">
        <f>'4.3.1.1-2 Methane'!F114</f>
        <v>4.0231734662249998</v>
      </c>
      <c r="G50" s="55">
        <f>'4.3.1.1-2 Methane'!G114</f>
        <v>9.0270202499999979</v>
      </c>
      <c r="H50" s="55">
        <f>'4.3.1.1-2 Methane'!H114</f>
        <v>5.4143472656250013</v>
      </c>
      <c r="I50" s="2" t="str">
        <f>G42</f>
        <v>kgDM/head/day</v>
      </c>
      <c r="N50" s="55">
        <f>'4.3.1.1-2 Methane'!O114</f>
        <v>19.520320059621</v>
      </c>
      <c r="O50" s="55">
        <f>'4.3.1.1-2 Methane'!P114</f>
        <v>7.4188685375999972</v>
      </c>
      <c r="P50" s="55">
        <f>'4.3.1.1-2 Methane'!Q114</f>
        <v>4.0231734662249998</v>
      </c>
      <c r="Q50" s="55">
        <f>'4.3.1.1-2 Methane'!R114</f>
        <v>9.0270202499999979</v>
      </c>
      <c r="R50" s="55">
        <f>'4.3.1.1-2 Methane'!S114</f>
        <v>5.4143472656250013</v>
      </c>
      <c r="S50" s="2" t="str">
        <f>'4.3.1.1-2 Methane'!T114</f>
        <v>kg DM/head/day</v>
      </c>
    </row>
    <row r="51" spans="4:19" ht="20.100000000000001" customHeight="1" x14ac:dyDescent="0.25"/>
    <row r="52" spans="4:19" ht="20.100000000000001" customHeight="1" x14ac:dyDescent="0.25">
      <c r="D52" s="104" t="s">
        <v>222</v>
      </c>
    </row>
    <row r="53" spans="4:19" ht="20.100000000000001" customHeight="1" x14ac:dyDescent="0.25">
      <c r="D53" s="103" t="s">
        <v>223</v>
      </c>
    </row>
    <row r="54" spans="4:19" ht="20.100000000000001" customHeight="1" x14ac:dyDescent="0.25">
      <c r="D54" s="54" t="s">
        <v>171</v>
      </c>
      <c r="E54" s="54" t="s">
        <v>188</v>
      </c>
      <c r="F54" s="54" t="s">
        <v>189</v>
      </c>
      <c r="G54" s="54" t="s">
        <v>190</v>
      </c>
      <c r="H54" s="54" t="s">
        <v>191</v>
      </c>
    </row>
    <row r="55" spans="4:19" ht="20.100000000000001" customHeight="1" x14ac:dyDescent="0.25">
      <c r="D55" s="55">
        <f>'Constants - Dairy'!$E$108</f>
        <v>1.1000000000000001</v>
      </c>
      <c r="E55" s="55">
        <f>'Constants - Dairy'!$E$109</f>
        <v>1</v>
      </c>
      <c r="F55" s="55">
        <f>'Constants - Dairy'!$E$109</f>
        <v>1</v>
      </c>
      <c r="G55" s="55">
        <f>'Constants - Dairy'!$E$109</f>
        <v>1</v>
      </c>
      <c r="H55" s="55">
        <f>'Constants - Dairy'!$E$109</f>
        <v>1</v>
      </c>
      <c r="I55" s="2" t="str">
        <f>G44</f>
        <v/>
      </c>
    </row>
    <row r="56" spans="4:19" ht="20.100000000000001" customHeight="1" x14ac:dyDescent="0.25"/>
    <row r="57" spans="4:19" ht="20.100000000000001" customHeight="1" x14ac:dyDescent="0.25">
      <c r="D57" s="104" t="s">
        <v>229</v>
      </c>
    </row>
    <row r="58" spans="4:19" ht="20.100000000000001" customHeight="1" x14ac:dyDescent="0.25">
      <c r="D58" s="103" t="s">
        <v>230</v>
      </c>
    </row>
    <row r="59" spans="4:19" ht="20.100000000000001" customHeight="1" x14ac:dyDescent="0.25">
      <c r="D59" s="54" t="s">
        <v>171</v>
      </c>
      <c r="E59" s="54" t="s">
        <v>188</v>
      </c>
      <c r="F59" s="54" t="s">
        <v>189</v>
      </c>
      <c r="G59" s="54" t="s">
        <v>190</v>
      </c>
      <c r="H59" s="54" t="s">
        <v>191</v>
      </c>
    </row>
    <row r="60" spans="4:19" ht="20.100000000000001" customHeight="1" x14ac:dyDescent="0.25">
      <c r="D60" s="55">
        <f>'4.3.1.1-2 Methane'!D79</f>
        <v>10.265874538860997</v>
      </c>
      <c r="E60" s="55">
        <f>'4.3.1.1-2 Methane'!E79</f>
        <v>0</v>
      </c>
      <c r="F60" s="55">
        <f>'4.3.1.1-2 Methane'!F79</f>
        <v>0</v>
      </c>
      <c r="G60" s="55">
        <f>'4.3.1.1-2 Methane'!G79</f>
        <v>0</v>
      </c>
      <c r="H60" s="55">
        <f>'4.3.1.1-2 Methane'!H79</f>
        <v>0</v>
      </c>
      <c r="I60" s="2" t="str">
        <f>'4.3.1.1-2 Methane'!I79</f>
        <v>kg DM/head/day</v>
      </c>
    </row>
    <row r="61" spans="4:19" ht="20.100000000000001" customHeight="1" x14ac:dyDescent="0.25"/>
    <row r="62" spans="4:19" ht="20.100000000000001" customHeight="1" x14ac:dyDescent="0.25">
      <c r="D62" s="104" t="s">
        <v>285</v>
      </c>
      <c r="N62" s="104" t="s">
        <v>287</v>
      </c>
    </row>
    <row r="63" spans="4:19" ht="20.100000000000001" customHeight="1" x14ac:dyDescent="0.25">
      <c r="D63" s="103" t="s">
        <v>286</v>
      </c>
      <c r="N63" s="103" t="s">
        <v>288</v>
      </c>
    </row>
    <row r="64" spans="4:19" ht="20.100000000000001" customHeight="1" x14ac:dyDescent="0.25">
      <c r="D64" s="54" t="s">
        <v>171</v>
      </c>
      <c r="E64" s="54" t="s">
        <v>188</v>
      </c>
      <c r="F64" s="54" t="s">
        <v>189</v>
      </c>
      <c r="G64" s="54" t="s">
        <v>190</v>
      </c>
      <c r="H64" s="54" t="s">
        <v>191</v>
      </c>
      <c r="N64" s="54" t="s">
        <v>171</v>
      </c>
      <c r="O64" s="54" t="s">
        <v>188</v>
      </c>
      <c r="P64" s="54" t="s">
        <v>189</v>
      </c>
      <c r="Q64" s="54" t="s">
        <v>190</v>
      </c>
      <c r="R64" s="54" t="s">
        <v>191</v>
      </c>
    </row>
    <row r="65" spans="1:21" ht="20.100000000000001" customHeight="1" x14ac:dyDescent="0.25">
      <c r="D65" s="55" cm="1">
        <f t="array" ref="D65">MMS_Dairy_N2ODirect_Equations.VEERG_4_3_1_3__7_IntakeRelativeToMaintenance(D50,D19,D55,D60)</f>
        <v>1.0016488576421663</v>
      </c>
      <c r="E65" s="55" cm="1">
        <f t="array" ref="E65">MMS_Dairy_N2ODirect_Equations.VEERG_4_3_1_3__7_IntakeRelativeToMaintenance(E50,E19,E55,E60)</f>
        <v>1.1546862260954116</v>
      </c>
      <c r="F65" s="55" cm="1">
        <f t="array" ref="F65">MMS_Dairy_N2ODirect_Equations.VEERG_4_3_1_3__7_IntakeRelativeToMaintenance(F50,F19,F55,F60)</f>
        <v>1.206300296845944</v>
      </c>
      <c r="G65" s="55" cm="1">
        <f t="array" ref="G65">MMS_Dairy_N2ODirect_Equations.VEERG_4_3_1_3__7_IntakeRelativeToMaintenance(G50,G19,G55,G60)</f>
        <v>1.0213029780639273</v>
      </c>
      <c r="H65" s="55" cm="1">
        <f t="array" ref="H65">MMS_Dairy_N2ODirect_Equations.VEERG_4_3_1_3__7_IntakeRelativeToMaintenance(H50,H19,H55,H60)</f>
        <v>1.2576570545672616</v>
      </c>
      <c r="I65" s="2" t="str">
        <f>$E$40</f>
        <v>ratio</v>
      </c>
      <c r="N65" s="55" cm="1">
        <f t="array" ref="N65">MMS_Dairy_N2ODirect_Equations.VEERG_4_3_1_3__7_IntakeRelativeToMaintenance(N50,N19,D55,D60)</f>
        <v>1.0016488576421663</v>
      </c>
      <c r="O65" s="55" cm="1">
        <f t="array" ref="O65">MMS_Dairy_N2ODirect_Equations.VEERG_4_3_1_3__7_IntakeRelativeToMaintenance(O50,O19,E55,E60)</f>
        <v>1.1546862260954116</v>
      </c>
      <c r="P65" s="55" cm="1">
        <f t="array" ref="P65">MMS_Dairy_N2ODirect_Equations.VEERG_4_3_1_3__7_IntakeRelativeToMaintenance(P50,P19,F55,F60)</f>
        <v>1.206300296845944</v>
      </c>
      <c r="Q65" s="55" cm="1">
        <f t="array" ref="Q65">MMS_Dairy_N2ODirect_Equations.VEERG_4_3_1_3__7_IntakeRelativeToMaintenance(Q50,Q19,G55,G60)</f>
        <v>1.0213029780639273</v>
      </c>
      <c r="R65" s="55" cm="1">
        <f t="array" ref="R65">MMS_Dairy_N2ODirect_Equations.VEERG_4_3_1_3__7_IntakeRelativeToMaintenance(R50,R19,H55,H60)</f>
        <v>1.2576570545672616</v>
      </c>
      <c r="S65" s="2" t="str">
        <f>$E$40</f>
        <v>ratio</v>
      </c>
    </row>
    <row r="66" spans="1:21" ht="20.100000000000001" customHeight="1" x14ac:dyDescent="0.25"/>
    <row r="67" spans="1:21" ht="20.100000000000001" customHeight="1" x14ac:dyDescent="0.25">
      <c r="A67" s="141" t="str">
        <f>HYPERLINK("#A1", "▲ Back to top")</f>
        <v>▲ Back to top</v>
      </c>
    </row>
    <row r="68" spans="1:21" ht="20.100000000000001" customHeight="1" x14ac:dyDescent="0.25">
      <c r="C68" s="48"/>
      <c r="D68" s="48"/>
      <c r="E68" s="48"/>
      <c r="F68" s="48"/>
      <c r="G68" s="48"/>
      <c r="H68" s="48"/>
      <c r="I68" s="48"/>
      <c r="J68" s="48"/>
      <c r="K68" s="48"/>
      <c r="M68" s="48"/>
      <c r="N68" s="48"/>
      <c r="O68" s="48"/>
      <c r="P68" s="48"/>
      <c r="Q68" s="48"/>
      <c r="R68" s="48"/>
      <c r="S68" s="48"/>
      <c r="T68" s="48"/>
      <c r="U68" s="48"/>
    </row>
    <row r="69" spans="1:21" ht="20.100000000000001" customHeight="1" x14ac:dyDescent="0.25">
      <c r="D69" s="6" t="str" cm="1">
        <f t="array" ref="D69">MMS_Dairy_N2ODirect_Equations.VEERG_4_3_1_3__6_NitrogenRetainedByBody_Title()</f>
        <v>Amount of nitrogen retained by the body</v>
      </c>
    </row>
    <row r="70" spans="1:21" ht="20.100000000000001" customHeight="1" x14ac:dyDescent="0.25">
      <c r="D70" s="5" t="str" cm="1">
        <f t="array" ref="D70">MMS_Dairy_N2ODirect_Equations.VEERG_4_3_1_3__6_NitrogenRetainedByBody_Source()</f>
        <v>VEERG 2026: 4.3.1.3, Equation (6)</v>
      </c>
    </row>
    <row r="71" spans="1:21" ht="20.100000000000001" customHeight="1" x14ac:dyDescent="0.25">
      <c r="D71" s="58" t="str" cm="1">
        <f t="array" ref="D71">MMS_Dairy_N2ODirect_Equations.VEERG_4_3_1_3__6_NitrogenRetainedByBody_Variation()</f>
        <v>VARIATION ON SOURCE: Added check for milk production input unit and choose corresponding MP_j value accordingly.</v>
      </c>
    </row>
    <row r="72" spans="1:21" ht="20.100000000000001" customHeight="1" x14ac:dyDescent="0.25">
      <c r="D72" s="13" t="s">
        <v>27</v>
      </c>
      <c r="E72" s="13" t="str" cm="1">
        <f t="array" aca="1" ref="E72" ca="1">Common_InputFunctions.Utility_DisplayFunctionName(D103)</f>
        <v>=MMS_Dairy_N2ODirect_Equations.VEERG_4_3_1_3__6_NitrogenRetainedByBody</v>
      </c>
    </row>
    <row r="73" spans="1:21" ht="20.100000000000001" customHeight="1" x14ac:dyDescent="0.25"/>
    <row r="74" spans="1:21" ht="20.100000000000001" customHeight="1" x14ac:dyDescent="0.25"/>
    <row r="75" spans="1:21" ht="20.100000000000001" customHeight="1" x14ac:dyDescent="0.25">
      <c r="D75" s="56" t="s">
        <v>30</v>
      </c>
      <c r="E75" s="1" t="str" cm="1">
        <f t="array" ref="E75">MMS_Dairy_N2ODirect_Equations.VEERG_4_3_1_3__6_NitrogenRetainedByBody_Variable()</f>
        <v>NR_j</v>
      </c>
    </row>
    <row r="76" spans="1:21" ht="20.100000000000001" customHeight="1" x14ac:dyDescent="0.25">
      <c r="D76" s="56" t="s">
        <v>20</v>
      </c>
      <c r="E76" s="57" t="str" cm="1">
        <f t="array" ref="E76">MMS_Dairy_N2ODirect_Equations.VEERG_4_3_1_3__6_NitrogenRetainedByBody_Unit()</f>
        <v>kg N/head/day</v>
      </c>
    </row>
    <row r="77" spans="1:21" ht="20.100000000000001" customHeight="1" x14ac:dyDescent="0.25"/>
    <row r="78" spans="1:21" ht="20.100000000000001" customHeight="1" x14ac:dyDescent="0.25">
      <c r="D78" s="137" t="str" cm="1">
        <f t="array" ref="D78:E83">_xlfn.CHOOSECOLS(MMS_Dairy_N2ODirect_Equations.VEERG_4_3_1_3__6_NitrogenRetainedByBody_Arguments(),1,2)</f>
        <v>MPU</v>
      </c>
      <c r="E78" s="136" t="str">
        <v>input milk production unit</v>
      </c>
      <c r="F78" s="138"/>
      <c r="G78" s="137" t="str" cm="1">
        <f t="array" ref="G78:H83">_xlfn.CHOOSECOLS(MMS_Dairy_N2ODirect_Equations.VEERG_4_3_1_3__6_NitrogenRetainedByBody_Arguments(),3,4)</f>
        <v/>
      </c>
      <c r="H78" s="135" t="str">
        <v>Input</v>
      </c>
      <c r="I78" s="137" t="str">
        <f>'Input - Dairy'!$E$49</f>
        <v>Litres of milk</v>
      </c>
    </row>
    <row r="79" spans="1:21" ht="20.100000000000001" customHeight="1" x14ac:dyDescent="0.25">
      <c r="D79" s="137" t="str">
        <v>MP_j</v>
      </c>
      <c r="E79" s="136" t="str">
        <v>milk production (if input as litres of milk)</v>
      </c>
      <c r="F79" s="138"/>
      <c r="G79" s="137" t="str">
        <v>L/head/day</v>
      </c>
      <c r="H79" s="135" t="str">
        <v>Input</v>
      </c>
      <c r="I79" s="134" t="str" cm="1">
        <f t="array" aca="1" ref="I79" ca="1">HYPERLINK(Common_InputFunctions.Utility_SourceHyperlink($D$90),$D$90)</f>
        <v>Table_MP_j</v>
      </c>
    </row>
    <row r="80" spans="1:21" ht="20.100000000000001" customHeight="1" x14ac:dyDescent="0.25">
      <c r="D80" s="137" t="str">
        <v>MP_j</v>
      </c>
      <c r="E80" s="136" t="str">
        <v>milk production (if input as milk solids)</v>
      </c>
      <c r="F80" s="138"/>
      <c r="G80" s="137" t="str">
        <v>L/head/day</v>
      </c>
      <c r="H80" s="133" t="str">
        <v>Calculated from 3.3.1.1 (5)</v>
      </c>
      <c r="I80" s="134" t="str" cm="1">
        <f t="array" aca="1" ref="I80" ca="1">HYPERLINK(Common_InputFunctions.Utility_SourceHyperlink($D$85),$D$85)</f>
        <v>M1_Table_MP_j_from_solids</v>
      </c>
    </row>
    <row r="81" spans="4:19" ht="20.100000000000001" customHeight="1" x14ac:dyDescent="0.25">
      <c r="D81" s="137" t="str">
        <v>L_j</v>
      </c>
      <c r="E81" s="136" t="str">
        <v>intake relative to maintenance</v>
      </c>
      <c r="F81" s="138"/>
      <c r="G81" s="137" t="str">
        <v/>
      </c>
      <c r="H81" s="133" t="str">
        <v>Calculated from 4.3.1.3 (7)</v>
      </c>
      <c r="I81" s="134" t="str" cm="1">
        <f t="array" aca="1" ref="I81" ca="1">HYPERLINK(Common_InputFunctions.Utility_SourceHyperlink($D$62),$D$62)</f>
        <v>M1_Table_L_j</v>
      </c>
    </row>
    <row r="82" spans="4:19" ht="20.100000000000001" customHeight="1" x14ac:dyDescent="0.25">
      <c r="D82" s="137" t="str">
        <v>Z_j</v>
      </c>
      <c r="E82" s="136" t="str">
        <v>relative size</v>
      </c>
      <c r="F82" s="138"/>
      <c r="G82" s="137" t="str">
        <v/>
      </c>
      <c r="H82" s="133" t="str">
        <v>Calculated from 4.3.1.3 (8)</v>
      </c>
      <c r="I82" s="134" t="str" cm="1">
        <f t="array" aca="1" ref="I82" ca="1">HYPERLINK(Common_InputFunctions.Utility_SourceHyperlink($D$26),$D$26)</f>
        <v>M1_Table_Z_j</v>
      </c>
    </row>
    <row r="83" spans="4:19" ht="20.100000000000001" customHeight="1" x14ac:dyDescent="0.25">
      <c r="D83" s="137" t="str">
        <v>LWG_j</v>
      </c>
      <c r="E83" s="136" t="str">
        <v>liveweight gain</v>
      </c>
      <c r="F83" s="138"/>
      <c r="G83" s="137" t="str">
        <v>kg/head/day</v>
      </c>
      <c r="H83" s="135" t="str">
        <v>Input</v>
      </c>
      <c r="I83" s="134" t="str" cm="1">
        <f t="array" aca="1" ref="I83" ca="1">HYPERLINK(Common_InputFunctions.Utility_SourceHyperlink($D$95),$D$95)</f>
        <v>M1_Table_LWG_j</v>
      </c>
    </row>
    <row r="84" spans="4:19" ht="20.100000000000001" customHeight="1" x14ac:dyDescent="0.25"/>
    <row r="85" spans="4:19" ht="20.100000000000001" customHeight="1" x14ac:dyDescent="0.25">
      <c r="D85" s="104" t="s">
        <v>446</v>
      </c>
      <c r="N85" s="104" t="s">
        <v>448</v>
      </c>
    </row>
    <row r="86" spans="4:19" ht="20.100000000000001" customHeight="1" x14ac:dyDescent="0.25">
      <c r="D86" s="103" t="s">
        <v>447</v>
      </c>
      <c r="N86" s="103" t="s">
        <v>449</v>
      </c>
    </row>
    <row r="87" spans="4:19" ht="20.100000000000001" customHeight="1" x14ac:dyDescent="0.25">
      <c r="D87" s="54" t="s">
        <v>171</v>
      </c>
      <c r="E87" s="54" t="s">
        <v>188</v>
      </c>
      <c r="F87" s="54" t="s">
        <v>189</v>
      </c>
      <c r="G87" s="54" t="s">
        <v>190</v>
      </c>
      <c r="H87" s="54" t="s">
        <v>191</v>
      </c>
      <c r="N87" s="54" t="s">
        <v>171</v>
      </c>
      <c r="O87" s="54" t="s">
        <v>188</v>
      </c>
      <c r="P87" s="54" t="s">
        <v>189</v>
      </c>
      <c r="Q87" s="54" t="s">
        <v>190</v>
      </c>
      <c r="R87" s="54" t="s">
        <v>191</v>
      </c>
    </row>
    <row r="88" spans="4:19" ht="20.100000000000001" customHeight="1" x14ac:dyDescent="0.25">
      <c r="D88" s="55">
        <f>'4.3.1.1-2 Methane'!D50</f>
        <v>0</v>
      </c>
      <c r="E88" s="55">
        <v>0</v>
      </c>
      <c r="F88" s="55">
        <v>0</v>
      </c>
      <c r="G88" s="55">
        <v>0</v>
      </c>
      <c r="H88" s="55">
        <v>0</v>
      </c>
      <c r="I88" s="2" t="str">
        <f>$G$80</f>
        <v>L/head/day</v>
      </c>
      <c r="N88" s="55">
        <f>'4.3.1.1-2 Methane'!O50</f>
        <v>0</v>
      </c>
      <c r="O88" s="55">
        <v>0</v>
      </c>
      <c r="P88" s="55">
        <v>0</v>
      </c>
      <c r="Q88" s="55">
        <v>0</v>
      </c>
      <c r="R88" s="55">
        <v>0</v>
      </c>
      <c r="S88" s="2" t="str">
        <f>$G$80</f>
        <v>L/head/day</v>
      </c>
    </row>
    <row r="89" spans="4:19" ht="20.100000000000001" customHeight="1" x14ac:dyDescent="0.25"/>
    <row r="90" spans="4:19" ht="20.100000000000001" customHeight="1" x14ac:dyDescent="0.25">
      <c r="D90" s="104" t="s">
        <v>234</v>
      </c>
    </row>
    <row r="91" spans="4:19" ht="20.100000000000001" customHeight="1" x14ac:dyDescent="0.25">
      <c r="D91" s="103" t="s">
        <v>195</v>
      </c>
    </row>
    <row r="92" spans="4:19" ht="20.100000000000001" customHeight="1" x14ac:dyDescent="0.25">
      <c r="D92" s="41" t="s">
        <v>171</v>
      </c>
      <c r="E92" s="41" t="s">
        <v>188</v>
      </c>
      <c r="F92" s="41" t="s">
        <v>189</v>
      </c>
      <c r="G92" s="41" t="s">
        <v>190</v>
      </c>
      <c r="H92" s="41" t="s">
        <v>191</v>
      </c>
    </row>
    <row r="93" spans="4:19" ht="20.100000000000001" customHeight="1" x14ac:dyDescent="0.25">
      <c r="D93" s="55">
        <f>'4.3.1.1-2 Methane'!D74</f>
        <v>20</v>
      </c>
      <c r="E93" s="55">
        <v>0</v>
      </c>
      <c r="F93" s="55">
        <v>0</v>
      </c>
      <c r="G93" s="55">
        <v>0</v>
      </c>
      <c r="H93" s="55">
        <v>0</v>
      </c>
      <c r="I93" s="2" t="str">
        <f>$G$79</f>
        <v>L/head/day</v>
      </c>
    </row>
    <row r="94" spans="4:19" ht="20.100000000000001" customHeight="1" x14ac:dyDescent="0.25"/>
    <row r="95" spans="4:19" ht="20.100000000000001" customHeight="1" x14ac:dyDescent="0.25">
      <c r="D95" s="104" t="s">
        <v>218</v>
      </c>
      <c r="N95" s="104" t="s">
        <v>220</v>
      </c>
    </row>
    <row r="96" spans="4:19" ht="20.100000000000001" customHeight="1" x14ac:dyDescent="0.25">
      <c r="D96" s="103" t="s">
        <v>219</v>
      </c>
      <c r="N96" s="103" t="s">
        <v>221</v>
      </c>
    </row>
    <row r="97" spans="1:21" ht="20.100000000000001" customHeight="1" x14ac:dyDescent="0.25">
      <c r="D97" s="41" t="s">
        <v>171</v>
      </c>
      <c r="E97" s="41" t="s">
        <v>188</v>
      </c>
      <c r="F97" s="41" t="s">
        <v>189</v>
      </c>
      <c r="G97" s="41" t="s">
        <v>190</v>
      </c>
      <c r="H97" s="41" t="s">
        <v>191</v>
      </c>
      <c r="N97" s="41" t="s">
        <v>171</v>
      </c>
      <c r="O97" s="41" t="s">
        <v>188</v>
      </c>
      <c r="P97" s="41" t="s">
        <v>189</v>
      </c>
      <c r="Q97" s="41" t="s">
        <v>190</v>
      </c>
      <c r="R97" s="41" t="s">
        <v>191</v>
      </c>
    </row>
    <row r="98" spans="1:21" ht="20.100000000000001" customHeight="1" x14ac:dyDescent="0.25">
      <c r="A98" s="141" t="str">
        <f>HYPERLINK("#A1", "▲ Back to top")</f>
        <v>▲ Back to top</v>
      </c>
      <c r="D98" s="55">
        <f>'Input - Dairy'!$E$15</f>
        <v>1.6E-2</v>
      </c>
      <c r="E98" s="55">
        <f>'Input - Dairy'!$F$15</f>
        <v>0.6</v>
      </c>
      <c r="F98" s="55">
        <f>'Input - Dairy'!$G$15</f>
        <v>0.56999999999999995</v>
      </c>
      <c r="G98" s="55">
        <f>'Input - Dairy'!$H$15</f>
        <v>0.1</v>
      </c>
      <c r="H98" s="55">
        <f>'Input - Dairy'!$I$15</f>
        <v>0.8</v>
      </c>
      <c r="I98" s="2" t="str">
        <f>$G$83</f>
        <v>kg/head/day</v>
      </c>
      <c r="N98" s="55">
        <f>'Input - Dairy'!$E$19</f>
        <v>1.6E-2</v>
      </c>
      <c r="O98" s="55">
        <f>'Input - Dairy'!$F$19</f>
        <v>0.6</v>
      </c>
      <c r="P98" s="55">
        <f>'Input - Dairy'!$G$19</f>
        <v>0.56999999999999995</v>
      </c>
      <c r="Q98" s="55">
        <f>'Input - Dairy'!$H$19</f>
        <v>0.1</v>
      </c>
      <c r="R98" s="55">
        <f>'Input - Dairy'!$I$19</f>
        <v>0.8</v>
      </c>
      <c r="S98" s="2" t="str">
        <f>$G$83</f>
        <v>kg/head/day</v>
      </c>
    </row>
    <row r="99" spans="1:21" ht="20.100000000000001" customHeight="1" x14ac:dyDescent="0.25"/>
    <row r="100" spans="1:21" ht="20.100000000000001" customHeight="1" x14ac:dyDescent="0.25">
      <c r="D100" s="104" t="s">
        <v>114</v>
      </c>
      <c r="N100" s="104" t="s">
        <v>115</v>
      </c>
    </row>
    <row r="101" spans="1:21" ht="20.100000000000001" customHeight="1" x14ac:dyDescent="0.25">
      <c r="D101" s="103" t="s">
        <v>289</v>
      </c>
      <c r="N101" s="103" t="s">
        <v>290</v>
      </c>
    </row>
    <row r="102" spans="1:21" ht="20.100000000000001" customHeight="1" x14ac:dyDescent="0.25">
      <c r="D102" s="54" t="s">
        <v>171</v>
      </c>
      <c r="E102" s="54" t="s">
        <v>188</v>
      </c>
      <c r="F102" s="54" t="s">
        <v>189</v>
      </c>
      <c r="G102" s="54" t="s">
        <v>190</v>
      </c>
      <c r="H102" s="54" t="s">
        <v>191</v>
      </c>
      <c r="N102" s="54" t="s">
        <v>171</v>
      </c>
      <c r="O102" s="54" t="s">
        <v>188</v>
      </c>
      <c r="P102" s="54" t="s">
        <v>189</v>
      </c>
      <c r="Q102" s="54" t="s">
        <v>190</v>
      </c>
      <c r="R102" s="54" t="s">
        <v>191</v>
      </c>
    </row>
    <row r="103" spans="1:21" ht="20.100000000000001" customHeight="1" x14ac:dyDescent="0.25">
      <c r="D103" s="55" cm="1">
        <f t="array" ref="D103">MMS_Dairy_N2ODirect_Equations.VEERG_4_3_1_3__6_NitrogenRetainedByBody(IF($I$78="Milk solids", D88, D93),D65,D29,D98)</f>
        <v>1.6714975806776777E-2</v>
      </c>
      <c r="E103" s="55" cm="1">
        <f t="array" ref="E103">MMS_Dairy_N2ODirect_Equations.VEERG_4_3_1_3__6_NitrogenRetainedByBody(IF($I$78="Milk solids", E88, E93),E65,E29,E98)</f>
        <v>8.7932411900846184E-3</v>
      </c>
      <c r="F103" s="55" cm="1">
        <f t="array" ref="F103">MMS_Dairy_N2ODirect_Equations.VEERG_4_3_1_3__6_NitrogenRetainedByBody(IF($I$78="Milk solids", F88, F93),F65,F29,F98)</f>
        <v>1.4575548166167214E-2</v>
      </c>
      <c r="G103" s="55" cm="1">
        <f t="array" ref="G103">MMS_Dairy_N2ODirect_Equations.VEERG_4_3_1_3__6_NitrogenRetainedByBody(IF($I$78="Milk solids", G88, G93),G65,G29,G98)</f>
        <v>1.2626203146474683E-3</v>
      </c>
      <c r="H103" s="55" cm="1">
        <f t="array" ref="H103">MMS_Dairy_N2ODirect_Equations.VEERG_4_3_1_3__6_NitrogenRetainedByBody(IF($I$78="Milk solids", H88, H93),H65,H29,H98)</f>
        <v>1.9757354894894087E-2</v>
      </c>
      <c r="I103" s="2" t="str">
        <f>$E$76</f>
        <v>kg N/head/day</v>
      </c>
      <c r="N103" s="55" cm="1">
        <f t="array" ref="N103">MMS_Dairy_N2ODirect_Equations.VEERG_4_3_1_3__6_NitrogenRetainedByBody(IF($I$78="Milk solids",N88,D93),N65,N29,N98)</f>
        <v>1.6714975806776777E-2</v>
      </c>
      <c r="O103" s="55" cm="1">
        <f t="array" ref="O103">MMS_Dairy_N2ODirect_Equations.VEERG_4_3_1_3__6_NitrogenRetainedByBody(IF($I$78="Milk solids",O88,E93),O65,O29,O98)</f>
        <v>8.7932411900846184E-3</v>
      </c>
      <c r="P103" s="55" cm="1">
        <f t="array" ref="P103">MMS_Dairy_N2ODirect_Equations.VEERG_4_3_1_3__6_NitrogenRetainedByBody(IF($I$78="Milk solids",P88,F93),P65,P29,P98)</f>
        <v>1.4575548166167214E-2</v>
      </c>
      <c r="Q103" s="55" cm="1">
        <f t="array" ref="Q103">MMS_Dairy_N2ODirect_Equations.VEERG_4_3_1_3__6_NitrogenRetainedByBody(IF($I$78="Milk solids",Q88,G93),Q65,Q29,Q98)</f>
        <v>1.2626203146474683E-3</v>
      </c>
      <c r="R103" s="55" cm="1">
        <f t="array" ref="R103">MMS_Dairy_N2ODirect_Equations.VEERG_4_3_1_3__6_NitrogenRetainedByBody(IF($I$78="Milk solids",R88,H93),R65,R29,R98)</f>
        <v>1.9757354894894087E-2</v>
      </c>
      <c r="S103" s="2" t="str">
        <f>$E$76</f>
        <v>kg N/head/day</v>
      </c>
    </row>
    <row r="104" spans="1:21" ht="20.100000000000001" customHeight="1" x14ac:dyDescent="0.25"/>
    <row r="105" spans="1:21" ht="20.100000000000001" customHeight="1" x14ac:dyDescent="0.25"/>
    <row r="106" spans="1:21" ht="20.100000000000001" customHeight="1" x14ac:dyDescent="0.25">
      <c r="C106" s="48"/>
      <c r="D106" s="48"/>
      <c r="E106" s="48"/>
      <c r="F106" s="48"/>
      <c r="G106" s="48"/>
      <c r="H106" s="48"/>
      <c r="I106" s="48"/>
      <c r="J106" s="48"/>
      <c r="K106" s="48"/>
      <c r="M106" s="48"/>
      <c r="N106" s="48"/>
      <c r="O106" s="48"/>
      <c r="P106" s="48"/>
      <c r="Q106" s="48"/>
      <c r="R106" s="48"/>
      <c r="S106" s="48"/>
      <c r="T106" s="48"/>
      <c r="U106" s="48"/>
    </row>
    <row r="107" spans="1:21" ht="20.100000000000001" customHeight="1" x14ac:dyDescent="0.25">
      <c r="D107" s="6" t="str" cm="1">
        <f t="array" ref="D107">MMS_Dairy_N2ODirect_Equations.VEERG_4_3_1_3__5_CrudeProteinIntakeOfDairyCattle_Title()</f>
        <v>Crude protein intake of dairy cattle</v>
      </c>
    </row>
    <row r="108" spans="1:21" ht="20.100000000000001" customHeight="1" x14ac:dyDescent="0.25">
      <c r="D108" s="5" t="str" cm="1">
        <f t="array" ref="D108">MMS_Dairy_N2ODirect_Equations.VEERG_4_3_1_3__5_CrudeProteinIntakeOfDairyCattle_Source()</f>
        <v>VEERG 2026: 4.3.1.3, Equation (5)</v>
      </c>
    </row>
    <row r="109" spans="1:21" ht="20.100000000000001" customHeight="1" x14ac:dyDescent="0.25">
      <c r="D109" s="13" t="s">
        <v>27</v>
      </c>
      <c r="E109" s="13" t="str" cm="1">
        <f t="array" aca="1" ref="E109" ca="1">Common_InputFunctions.Utility_DisplayFunctionName(D126)</f>
        <v>=MMS_Dairy_N2ODirect_Equations.VEERG_4_3_1_3__5_CrudeProteinIntakeOfDairyCattle</v>
      </c>
    </row>
    <row r="110" spans="1:21" ht="20.100000000000001" customHeight="1" x14ac:dyDescent="0.25"/>
    <row r="111" spans="1:21" ht="20.100000000000001" customHeight="1" x14ac:dyDescent="0.25">
      <c r="D111" s="6"/>
    </row>
    <row r="112" spans="1:21" ht="20.100000000000001" customHeight="1" x14ac:dyDescent="0.25">
      <c r="D112" s="56" t="s">
        <v>30</v>
      </c>
      <c r="E112" s="1" t="str" cm="1">
        <f t="array" ref="E112">MMS_Dairy_N2ODirect_Equations.VEERG_4_3_1_3__5_CrudeProteinIntakeOfDairyCattle_Variable()</f>
        <v>CPI_j</v>
      </c>
    </row>
    <row r="113" spans="1:19" ht="20.100000000000001" customHeight="1" x14ac:dyDescent="0.25">
      <c r="D113" s="56" t="s">
        <v>20</v>
      </c>
      <c r="E113" s="57" t="str" cm="1">
        <f t="array" ref="E113">MMS_Dairy_N2ODirect_Equations.VEERG_4_3_1_3__5_CrudeProteinIntakeOfDairyCattle_Unit()</f>
        <v>kg/head/day</v>
      </c>
    </row>
    <row r="114" spans="1:19" ht="20.100000000000001" customHeight="1" x14ac:dyDescent="0.25"/>
    <row r="115" spans="1:19" ht="20.100000000000001" customHeight="1" x14ac:dyDescent="0.25">
      <c r="D115" s="137" t="str" cm="1">
        <f t="array" ref="D115:G116">MMS_Dairy_N2ODirect_Equations.VEERG_4_3_1_3__5_CrudeProteinIntakeOfDairyCattle_Arguments()</f>
        <v>I_j</v>
      </c>
      <c r="E115" s="137" t="str">
        <v>dry matter intake</v>
      </c>
      <c r="F115" s="137" t="str">
        <v>kgDM/head/day</v>
      </c>
      <c r="G115" s="133" t="str">
        <v>Calculated from 3.3.1.1 (3)</v>
      </c>
      <c r="H115" s="134" t="str" cm="1">
        <f t="array" aca="1" ref="H115" ca="1">HYPERLINK(Common_InputFunctions.Utility_SourceHyperlink($D$47),$D$47)</f>
        <v>M1_Table_I_j</v>
      </c>
    </row>
    <row r="116" spans="1:19" ht="20.100000000000001" customHeight="1" x14ac:dyDescent="0.25">
      <c r="D116" s="137" t="str">
        <v>CP_j</v>
      </c>
      <c r="E116" s="137" t="str">
        <v>crude protein content of feed intake</v>
      </c>
      <c r="F116" s="137" t="str">
        <v>fraction</v>
      </c>
      <c r="G116" s="135" t="str">
        <v>Input</v>
      </c>
      <c r="H116" s="134" t="str" cm="1">
        <f t="array" aca="1" ref="H116" ca="1">HYPERLINK(Common_InputFunctions.Utility_SourceHyperlink($D$118),$D$118)</f>
        <v>M1_Table_CP_j</v>
      </c>
    </row>
    <row r="117" spans="1:19" ht="20.100000000000001" customHeight="1" x14ac:dyDescent="0.25"/>
    <row r="118" spans="1:19" ht="20.100000000000001" customHeight="1" x14ac:dyDescent="0.25">
      <c r="D118" s="104" t="s">
        <v>112</v>
      </c>
      <c r="N118" s="104" t="s">
        <v>460</v>
      </c>
    </row>
    <row r="119" spans="1:19" ht="20.100000000000001" customHeight="1" x14ac:dyDescent="0.25">
      <c r="D119" s="103" t="s">
        <v>291</v>
      </c>
      <c r="N119" s="103" t="s">
        <v>461</v>
      </c>
    </row>
    <row r="120" spans="1:19" ht="20.100000000000001" customHeight="1" x14ac:dyDescent="0.25">
      <c r="D120" s="41" t="s">
        <v>171</v>
      </c>
      <c r="E120" s="41" t="s">
        <v>188</v>
      </c>
      <c r="F120" s="41" t="s">
        <v>189</v>
      </c>
      <c r="G120" s="41" t="s">
        <v>190</v>
      </c>
      <c r="H120" s="41" t="s">
        <v>191</v>
      </c>
      <c r="N120" s="41" t="s">
        <v>171</v>
      </c>
      <c r="O120" s="41" t="s">
        <v>188</v>
      </c>
      <c r="P120" s="41" t="s">
        <v>189</v>
      </c>
      <c r="Q120" s="41" t="s">
        <v>190</v>
      </c>
      <c r="R120" s="41" t="s">
        <v>191</v>
      </c>
    </row>
    <row r="121" spans="1:19" ht="20.100000000000001" customHeight="1" x14ac:dyDescent="0.25">
      <c r="A121" s="141" t="str">
        <f>HYPERLINK("#A1", "▲ Back to top")</f>
        <v>▲ Back to top</v>
      </c>
      <c r="D121" s="55">
        <f>'Input - Dairy'!E37</f>
        <v>0.2</v>
      </c>
      <c r="E121" s="55">
        <f>'Input - Dairy'!F37</f>
        <v>0.2</v>
      </c>
      <c r="F121" s="55">
        <f>'Input - Dairy'!G37</f>
        <v>0.2</v>
      </c>
      <c r="G121" s="55">
        <f>'Input - Dairy'!H37</f>
        <v>0.2</v>
      </c>
      <c r="H121" s="55">
        <f>'Input - Dairy'!I37</f>
        <v>0.2</v>
      </c>
      <c r="I121" s="2" t="str">
        <f>$F$116</f>
        <v>fraction</v>
      </c>
      <c r="N121" s="55">
        <f>'Input - Dairy'!E41</f>
        <v>0.2</v>
      </c>
      <c r="O121" s="55">
        <f>'Input - Dairy'!F41</f>
        <v>0.2</v>
      </c>
      <c r="P121" s="55">
        <f>'Input - Dairy'!G41</f>
        <v>0.2</v>
      </c>
      <c r="Q121" s="55">
        <f>'Input - Dairy'!H41</f>
        <v>0.2</v>
      </c>
      <c r="R121" s="55">
        <f>'Input - Dairy'!I41</f>
        <v>0.2</v>
      </c>
      <c r="S121" s="2" t="str">
        <f>$F$116</f>
        <v>fraction</v>
      </c>
    </row>
    <row r="122" spans="1:19" ht="20.100000000000001" customHeight="1" x14ac:dyDescent="0.25"/>
    <row r="123" spans="1:19" ht="20.100000000000001" customHeight="1" x14ac:dyDescent="0.25">
      <c r="D123" s="104" t="s">
        <v>292</v>
      </c>
      <c r="N123" s="104" t="s">
        <v>462</v>
      </c>
    </row>
    <row r="124" spans="1:19" ht="20.100000000000001" customHeight="1" x14ac:dyDescent="0.25">
      <c r="D124" s="103" t="s">
        <v>293</v>
      </c>
      <c r="N124" s="103" t="s">
        <v>463</v>
      </c>
    </row>
    <row r="125" spans="1:19" ht="20.100000000000001" customHeight="1" x14ac:dyDescent="0.25">
      <c r="D125" s="54" t="s">
        <v>171</v>
      </c>
      <c r="E125" s="54" t="s">
        <v>188</v>
      </c>
      <c r="F125" s="54" t="s">
        <v>189</v>
      </c>
      <c r="G125" s="54" t="s">
        <v>190</v>
      </c>
      <c r="H125" s="54" t="s">
        <v>191</v>
      </c>
      <c r="N125" s="54" t="s">
        <v>171</v>
      </c>
      <c r="O125" s="54" t="s">
        <v>188</v>
      </c>
      <c r="P125" s="54" t="s">
        <v>189</v>
      </c>
      <c r="Q125" s="54" t="s">
        <v>190</v>
      </c>
      <c r="R125" s="54" t="s">
        <v>191</v>
      </c>
    </row>
    <row r="126" spans="1:19" ht="20.100000000000001" customHeight="1" x14ac:dyDescent="0.25">
      <c r="D126" s="55" cm="1">
        <f t="array" ref="D126">MMS_Dairy_N2ODirect_Equations.VEERG_4_3_1_3__5_CrudeProteinIntakeOfDairyCattle(D50,D121)</f>
        <v>3.9040640119242003</v>
      </c>
      <c r="E126" s="55" cm="1">
        <f t="array" ref="E126">MMS_Dairy_N2ODirect_Equations.VEERG_4_3_1_3__5_CrudeProteinIntakeOfDairyCattle(E50,E121)</f>
        <v>1.4837737075199995</v>
      </c>
      <c r="F126" s="55" cm="1">
        <f t="array" ref="F126">MMS_Dairy_N2ODirect_Equations.VEERG_4_3_1_3__5_CrudeProteinIntakeOfDairyCattle(F50,F121)</f>
        <v>0.80463469324500003</v>
      </c>
      <c r="G126" s="55" cm="1">
        <f t="array" ref="G126">MMS_Dairy_N2ODirect_Equations.VEERG_4_3_1_3__5_CrudeProteinIntakeOfDairyCattle(G50,G121)</f>
        <v>1.8054040499999997</v>
      </c>
      <c r="H126" s="55" cm="1">
        <f t="array" ref="H126">MMS_Dairy_N2ODirect_Equations.VEERG_4_3_1_3__5_CrudeProteinIntakeOfDairyCattle(H50,H121)</f>
        <v>1.0828694531250003</v>
      </c>
      <c r="I126" s="2" t="str">
        <f>$E$113</f>
        <v>kg/head/day</v>
      </c>
      <c r="N126" s="55" cm="1">
        <f t="array" ref="N126">MMS_Dairy_N2ODirect_Equations.VEERG_4_3_1_3__5_CrudeProteinIntakeOfDairyCattle(N50,N121)</f>
        <v>3.9040640119242003</v>
      </c>
      <c r="O126" s="55" cm="1">
        <f t="array" ref="O126">MMS_Dairy_N2ODirect_Equations.VEERG_4_3_1_3__5_CrudeProteinIntakeOfDairyCattle(O50,O121)</f>
        <v>1.4837737075199995</v>
      </c>
      <c r="P126" s="55" cm="1">
        <f t="array" ref="P126">MMS_Dairy_N2ODirect_Equations.VEERG_4_3_1_3__5_CrudeProteinIntakeOfDairyCattle(P50,P121)</f>
        <v>0.80463469324500003</v>
      </c>
      <c r="Q126" s="55" cm="1">
        <f t="array" ref="Q126">MMS_Dairy_N2ODirect_Equations.VEERG_4_3_1_3__5_CrudeProteinIntakeOfDairyCattle(Q50,Q121)</f>
        <v>1.8054040499999997</v>
      </c>
      <c r="R126" s="55" cm="1">
        <f t="array" ref="R126">MMS_Dairy_N2ODirect_Equations.VEERG_4_3_1_3__5_CrudeProteinIntakeOfDairyCattle(R50,R121)</f>
        <v>1.0828694531250003</v>
      </c>
      <c r="S126" s="2" t="str">
        <f>$E$113</f>
        <v>kg/head/day</v>
      </c>
    </row>
    <row r="127" spans="1:19" ht="20.100000000000001" customHeight="1" x14ac:dyDescent="0.25"/>
    <row r="128" spans="1:19" ht="20.100000000000001" customHeight="1" x14ac:dyDescent="0.25"/>
    <row r="129" spans="1:21" ht="20.100000000000001" customHeight="1" x14ac:dyDescent="0.25">
      <c r="C129" s="48"/>
      <c r="D129" s="48"/>
      <c r="E129" s="48"/>
      <c r="F129" s="48"/>
      <c r="G129" s="48"/>
      <c r="H129" s="48"/>
      <c r="I129" s="48"/>
      <c r="J129" s="48"/>
      <c r="K129" s="48"/>
      <c r="M129" s="48"/>
      <c r="N129" s="48"/>
      <c r="O129" s="48"/>
      <c r="P129" s="48"/>
      <c r="Q129" s="48"/>
      <c r="R129" s="48"/>
      <c r="S129" s="48"/>
      <c r="T129" s="48"/>
      <c r="U129" s="48"/>
    </row>
    <row r="130" spans="1:21" ht="20.100000000000001" customHeight="1" x14ac:dyDescent="0.25">
      <c r="D130" s="6" t="str" cm="1">
        <f t="array" ref="D130">MMS_Dairy_N2ODirect_Equations.VEERG_4_3_1_3__4_NitrogenExcretedByDairyCattleGreaterThanOneYear_Title()</f>
        <v>Nitrogen excreted by dairy cattle greater than one year old</v>
      </c>
    </row>
    <row r="131" spans="1:21" ht="20.100000000000001" customHeight="1" x14ac:dyDescent="0.25">
      <c r="D131" s="5" t="str" cm="1">
        <f t="array" ref="D131">MMS_Dairy_N2ODirect_Equations.VEERG_4_3_1_3__4_NitrogenExcretedByDairyCattleGreaterThanOneYear_Source()</f>
        <v>VEERG 2026: 4.3.1.3, Equation (4)</v>
      </c>
    </row>
    <row r="132" spans="1:21" ht="20.100000000000001" customHeight="1" x14ac:dyDescent="0.25">
      <c r="D132" s="13" t="s">
        <v>27</v>
      </c>
      <c r="E132" s="13" t="str" cm="1">
        <f t="array" aca="1" ref="E132" ca="1">Common_InputFunctions.Utility_DisplayFunctionName(D146)</f>
        <v>=MMS_Dairy_N2ODirect_Equations.VEERG_4_3_1_3__4_NitrogenExcretedByDairyCattleGreaterThanOneYear</v>
      </c>
    </row>
    <row r="133" spans="1:21" ht="20.100000000000001" customHeight="1" x14ac:dyDescent="0.25"/>
    <row r="134" spans="1:21" ht="20.100000000000001" customHeight="1" x14ac:dyDescent="0.25">
      <c r="D134" s="6"/>
    </row>
    <row r="135" spans="1:21" ht="20.100000000000001" customHeight="1" x14ac:dyDescent="0.25"/>
    <row r="136" spans="1:21" ht="20.100000000000001" customHeight="1" x14ac:dyDescent="0.25">
      <c r="D136" s="56" t="s">
        <v>30</v>
      </c>
      <c r="E136" s="1" t="str" cm="1">
        <f t="array" ref="E136">MMS_Dairy_N2ODirect_Equations.VEERG_4_3_1_3__4_NitrogenExcretedByDairyCattleGreaterThanOneYear_Variable()</f>
        <v>NE_j</v>
      </c>
    </row>
    <row r="137" spans="1:21" ht="20.100000000000001" customHeight="1" x14ac:dyDescent="0.25">
      <c r="D137" s="56" t="s">
        <v>20</v>
      </c>
      <c r="E137" s="57" t="str" cm="1">
        <f t="array" ref="E137">MMS_Dairy_N2ODirect_Equations.VEERG_4_3_1_3__4_NitrogenExcretedByDairyCattleGreaterThanOneYear_Unit()</f>
        <v>kg N/head/day</v>
      </c>
    </row>
    <row r="138" spans="1:21" ht="20.100000000000001" customHeight="1" x14ac:dyDescent="0.25"/>
    <row r="139" spans="1:21" ht="20.100000000000001" customHeight="1" x14ac:dyDescent="0.25">
      <c r="D139" s="137" t="str" cm="1">
        <f t="array" ref="D139:E141">_xlfn.CHOOSECOLS(MMS_Dairy_N2ODirect_Equations.VEERG_4_3_1_3__4_NitrogenExcretedByDairyCattleGreaterThanOneYear_Arguments(),1,2)</f>
        <v>CPI_j</v>
      </c>
      <c r="E139" s="136" t="str">
        <v>crude protein intake (kg/head/day)</v>
      </c>
      <c r="F139" s="138"/>
      <c r="G139" s="137" t="str" cm="1">
        <f t="array" ref="G139:H141">_xlfn.CHOOSECOLS(MMS_Dairy_N2ODirect_Equations.VEERG_4_3_1_3__4_NitrogenExcretedByDairyCattleGreaterThanOneYear_Arguments(),3,4)</f>
        <v>kg/head/day</v>
      </c>
      <c r="H139" s="133" t="str">
        <v>Calculated from 4.3.1.3 (5)</v>
      </c>
      <c r="I139" s="134" t="str" cm="1">
        <f t="array" aca="1" ref="I139" ca="1">HYPERLINK(Common_InputFunctions.Utility_SourceHyperlink($D$123),$D$123)</f>
        <v>M1_Table_CPI_j</v>
      </c>
    </row>
    <row r="140" spans="1:21" ht="20.100000000000001" customHeight="1" x14ac:dyDescent="0.25">
      <c r="D140" s="137" t="str">
        <v>NR_j</v>
      </c>
      <c r="E140" s="136" t="str">
        <v>amount of nitrogen retained by the body</v>
      </c>
      <c r="F140" s="138"/>
      <c r="G140" s="137" t="str">
        <v>kg N/head/day</v>
      </c>
      <c r="H140" s="133" t="str">
        <v>Calculated from 4.3.1.3 (6)</v>
      </c>
      <c r="I140" s="134" t="str" cm="1">
        <f t="array" aca="1" ref="I140" ca="1">HYPERLINK(Common_InputFunctions.Utility_SourceHyperlink($D$100),$D$100)</f>
        <v>M1_Table_NR_j</v>
      </c>
    </row>
    <row r="141" spans="1:21" ht="20.100000000000001" customHeight="1" x14ac:dyDescent="0.25">
      <c r="A141" s="141" t="str">
        <f>HYPERLINK("#A1", "▲ Back to top")</f>
        <v>▲ Back to top</v>
      </c>
      <c r="D141" s="137" t="str">
        <v>W_j</v>
      </c>
      <c r="E141" s="136" t="str">
        <v>liveweight (kg)</v>
      </c>
      <c r="F141" s="138"/>
      <c r="G141" s="137" t="str">
        <v>kg</v>
      </c>
      <c r="H141" s="135" t="str">
        <v>Input</v>
      </c>
      <c r="I141" s="134" t="str" cm="1">
        <f t="array" aca="1" ref="I141" ca="1">HYPERLINK(Common_InputFunctions.Utility_SourceHyperlink($D$16),$D$16)</f>
        <v>M1_Table_W_j</v>
      </c>
    </row>
    <row r="142" spans="1:21" ht="20.100000000000001" customHeight="1" x14ac:dyDescent="0.25"/>
    <row r="143" spans="1:21" ht="20.100000000000001" customHeight="1" x14ac:dyDescent="0.25">
      <c r="D143" s="104" t="s">
        <v>116</v>
      </c>
      <c r="N143" s="104" t="s">
        <v>117</v>
      </c>
    </row>
    <row r="144" spans="1:21" ht="20.100000000000001" customHeight="1" x14ac:dyDescent="0.25">
      <c r="D144" s="103" t="s">
        <v>294</v>
      </c>
      <c r="N144" s="103" t="s">
        <v>295</v>
      </c>
    </row>
    <row r="145" spans="3:21" ht="20.100000000000001" customHeight="1" x14ac:dyDescent="0.25">
      <c r="D145" s="54" t="s">
        <v>171</v>
      </c>
      <c r="E145" s="54" t="s">
        <v>188</v>
      </c>
      <c r="F145" s="54" t="s">
        <v>189</v>
      </c>
      <c r="G145" s="54" t="s">
        <v>190</v>
      </c>
      <c r="H145" s="54" t="s">
        <v>191</v>
      </c>
      <c r="N145" s="54" t="s">
        <v>171</v>
      </c>
      <c r="O145" s="54" t="s">
        <v>188</v>
      </c>
      <c r="P145" s="54" t="s">
        <v>189</v>
      </c>
      <c r="Q145" s="54" t="s">
        <v>190</v>
      </c>
      <c r="R145" s="54" t="s">
        <v>191</v>
      </c>
    </row>
    <row r="146" spans="3:21" ht="20.100000000000001" customHeight="1" x14ac:dyDescent="0.25">
      <c r="D146" s="55" cm="1">
        <f t="array" ref="D146">MMS_Dairy_N2ODirect_Equations.VEERG_4_3_1_3__4_NitrogenExcretedByDairyCattleGreaterThanOneYear(D126,D103,D19)</f>
        <v>0.60593639547975731</v>
      </c>
      <c r="E146" s="55" cm="1">
        <f t="array" ref="E146">MMS_Dairy_N2ODirect_Equations.VEERG_4_3_1_3__4_NitrogenExcretedByDairyCattleGreaterThanOneYear(E126,E103,E19)</f>
        <v>0.22709576921272823</v>
      </c>
      <c r="F146" s="55" cm="1">
        <f t="array" ref="F146">MMS_Dairy_N2ODirect_Equations.VEERG_4_3_1_3__4_NitrogenExcretedByDairyCattleGreaterThanOneYear(F126,F103,F19)</f>
        <v>0.1133928568810149</v>
      </c>
      <c r="G146" s="55" cm="1">
        <f t="array" ref="G146">MMS_Dairy_N2ODirect_Equations.VEERG_4_3_1_3__4_NitrogenExcretedByDairyCattleGreaterThanOneYear(G126,G103,G19)</f>
        <v>0.28546836331241399</v>
      </c>
      <c r="H146" s="55" cm="1">
        <f t="array" ref="H146">MMS_Dairy_N2ODirect_Equations.VEERG_4_3_1_3__4_NitrogenExcretedByDairyCattleGreaterThanOneYear(H126,H103,H19)</f>
        <v>0.15247929000170721</v>
      </c>
      <c r="I146" s="2" t="str">
        <f>$E$137</f>
        <v>kg N/head/day</v>
      </c>
      <c r="N146" s="55" cm="1">
        <f t="array" ref="N146">MMS_Dairy_N2ODirect_Equations.VEERG_4_3_1_3__4_NitrogenExcretedByDairyCattleGreaterThanOneYear(N126,N103,N19)</f>
        <v>0.60593639547975731</v>
      </c>
      <c r="O146" s="55" cm="1">
        <f t="array" ref="O146">MMS_Dairy_N2ODirect_Equations.VEERG_4_3_1_3__4_NitrogenExcretedByDairyCattleGreaterThanOneYear(O126,O103,O19)</f>
        <v>0.22709576921272823</v>
      </c>
      <c r="P146" s="55" cm="1">
        <f t="array" ref="P146">MMS_Dairy_N2ODirect_Equations.VEERG_4_3_1_3__4_NitrogenExcretedByDairyCattleGreaterThanOneYear(P126,P103,P19)</f>
        <v>0.1133928568810149</v>
      </c>
      <c r="Q146" s="55" cm="1">
        <f t="array" ref="Q146">MMS_Dairy_N2ODirect_Equations.VEERG_4_3_1_3__4_NitrogenExcretedByDairyCattleGreaterThanOneYear(Q126,Q103,Q19)</f>
        <v>0.28546836331241399</v>
      </c>
      <c r="R146" s="55" cm="1">
        <f t="array" ref="R146">MMS_Dairy_N2ODirect_Equations.VEERG_4_3_1_3__4_NitrogenExcretedByDairyCattleGreaterThanOneYear(R126,R103,R19)</f>
        <v>0.15247929000170721</v>
      </c>
      <c r="S146" s="2" t="str">
        <f>$E$137</f>
        <v>kg N/head/day</v>
      </c>
    </row>
    <row r="147" spans="3:21" ht="20.100000000000001" customHeight="1" x14ac:dyDescent="0.25"/>
    <row r="148" spans="3:21" ht="20.100000000000001" customHeight="1" x14ac:dyDescent="0.25"/>
    <row r="149" spans="3:21" ht="20.100000000000001" customHeight="1" x14ac:dyDescent="0.25">
      <c r="C149" s="48"/>
      <c r="D149" s="48"/>
      <c r="E149" s="48"/>
      <c r="F149" s="48"/>
      <c r="G149" s="48"/>
      <c r="H149" s="48"/>
      <c r="I149" s="48"/>
      <c r="J149" s="48"/>
      <c r="K149" s="48"/>
      <c r="M149" s="48"/>
      <c r="N149" s="48"/>
      <c r="O149" s="48"/>
      <c r="P149" s="48"/>
      <c r="Q149" s="48"/>
      <c r="R149" s="48"/>
      <c r="S149" s="48"/>
      <c r="T149" s="48"/>
      <c r="U149" s="48"/>
    </row>
    <row r="150" spans="3:21" ht="20.100000000000001" customHeight="1" x14ac:dyDescent="0.25">
      <c r="D150" s="6" t="str" cm="1">
        <f t="array" ref="D150">MMS_Dairy_N2ODirect_Equations.VEERG_4_3_1_3__3a_TotalAnnualNitrogenExcretedGreaterThanOneYear_Title()</f>
        <v>Total annual nitrogen excreted by dairy cattle greater than one year old</v>
      </c>
    </row>
    <row r="151" spans="3:21" ht="20.100000000000001" customHeight="1" x14ac:dyDescent="0.25">
      <c r="D151" s="5" t="str" cm="1">
        <f t="array" ref="D151">MMS_Dairy_N2ODirect_Equations.VEERG_4_3_1_3__3a_TotalAnnualNitrogenExcretedGreaterThanOneYear_Source()</f>
        <v>VEERG 2026: 4.3.1.3, Equation (3a)</v>
      </c>
    </row>
    <row r="152" spans="3:21" ht="20.100000000000001" customHeight="1" x14ac:dyDescent="0.25">
      <c r="D152" s="58" t="str" cm="1">
        <f t="array" ref="D152">MMS_Dairy_N2ODirect_Equations.VEERG_4_3_1_3__3a_TotalAnnualNitrogenExcretedGreaterThanOneYear_Variation()</f>
        <v>VARIATION: Used Duration variables instead of hard-coded 365 value.</v>
      </c>
    </row>
    <row r="153" spans="3:21" ht="20.100000000000001" customHeight="1" x14ac:dyDescent="0.25">
      <c r="D153" s="13" t="s">
        <v>27</v>
      </c>
      <c r="E153" s="13" t="str" cm="1">
        <f t="array" aca="1" ref="E153" ca="1">Common_InputFunctions.Utility_DisplayFunctionName(D176)</f>
        <v>=MMS_Dairy_N2ODirect_Equations.VEERG_4_3_1_3__3a_TotalAnnualNitrogenExcretedGreaterThanOneYearVariation</v>
      </c>
    </row>
    <row r="154" spans="3:21" ht="20.100000000000001" customHeight="1" x14ac:dyDescent="0.25"/>
    <row r="155" spans="3:21" ht="20.100000000000001" customHeight="1" x14ac:dyDescent="0.25">
      <c r="D155" s="6"/>
    </row>
    <row r="156" spans="3:21" ht="20.100000000000001" customHeight="1" x14ac:dyDescent="0.25">
      <c r="D156" s="56" t="s">
        <v>30</v>
      </c>
      <c r="E156" s="1" t="str" cm="1">
        <f t="array" ref="E156">MMS_Dairy_N2ODirect_Equations.VEERG_4_3_1_3__3a_TotalAnnualNitrogenExcretedGreaterThanOneYear_Variable()</f>
        <v>AE_j124</v>
      </c>
    </row>
    <row r="157" spans="3:21" ht="20.100000000000001" customHeight="1" x14ac:dyDescent="0.25">
      <c r="D157" s="56" t="s">
        <v>20</v>
      </c>
      <c r="E157" s="57" t="str" cm="1">
        <f t="array" ref="E157">MMS_Dairy_N2ODirect_Equations.VEERG_4_3_1_3__3a_TotalAnnualNitrogenExcretedGreaterThanOneYear_Unit()</f>
        <v>kg N</v>
      </c>
    </row>
    <row r="158" spans="3:21" ht="20.100000000000001" customHeight="1" x14ac:dyDescent="0.25"/>
    <row r="159" spans="3:21" ht="20.100000000000001" customHeight="1" x14ac:dyDescent="0.25">
      <c r="D159" s="137" t="str" cm="1">
        <f t="array" ref="D159:E161">_xlfn.CHOOSECOLS(MMS_Dairy_N2ODirect_Equations.VEERG_4_3_1_3__3a_TotalAnnualNitrogenExcretedGreaterThanOneYear_Arguments(),1,2)</f>
        <v>N_j124</v>
      </c>
      <c r="E159" s="136" t="str">
        <v>number of dairy cattle in classes j=1,2,4</v>
      </c>
      <c r="F159" s="138"/>
      <c r="G159" s="137" t="str" cm="1">
        <f t="array" ref="G159:H161">_xlfn.CHOOSECOLS(MMS_Dairy_N2ODirect_Equations.VEERG_4_3_1_3__3a_TotalAnnualNitrogenExcretedGreaterThanOneYear_Arguments(),3,4)</f>
        <v>head</v>
      </c>
      <c r="H159" s="135" t="str">
        <v>Input</v>
      </c>
      <c r="I159" s="134" t="str" cm="1">
        <f t="array" aca="1" ref="I159" ca="1">HYPERLINK(Common_InputFunctions.Utility_SourceHyperlink($D$163),$D$163)</f>
        <v>Table_N_j</v>
      </c>
    </row>
    <row r="160" spans="3:21" ht="20.100000000000001" customHeight="1" x14ac:dyDescent="0.25">
      <c r="D160" s="137" t="str">
        <v>NE_j124</v>
      </c>
      <c r="E160" s="136" t="str">
        <v>nitrogen excreted by dairy cattle greater than one year old (kg N/head/day)</v>
      </c>
      <c r="F160" s="138"/>
      <c r="G160" s="137" t="str">
        <v>kg N/head/day</v>
      </c>
      <c r="H160" s="133" t="str">
        <v>Calculated from 4.3.1.3 (4)</v>
      </c>
      <c r="I160" s="134" t="str" cm="1">
        <f t="array" aca="1" ref="I160" ca="1">HYPERLINK(Common_InputFunctions.Utility_SourceHyperlink($D$143),$D$143)</f>
        <v>M1_Table_NE_j</v>
      </c>
    </row>
    <row r="161" spans="1:19" ht="20.100000000000001" customHeight="1" x14ac:dyDescent="0.25">
      <c r="D161" s="137" t="str">
        <v>D_j124</v>
      </c>
      <c r="E161" s="136" t="str">
        <v>duration of stay on farm for classes j=1,2,4 (days)</v>
      </c>
      <c r="F161" s="138"/>
      <c r="G161" s="137" t="str">
        <v>days</v>
      </c>
      <c r="H161" s="135" t="str">
        <v>Input</v>
      </c>
      <c r="I161" s="134" t="str" cm="1">
        <f t="array" aca="1" ref="I161" ca="1">HYPERLINK(Common_InputFunctions.Utility_SourceHyperlink($D$168),$D$168)</f>
        <v>M1_Table_D_j-1-2-4</v>
      </c>
    </row>
    <row r="162" spans="1:19" ht="20.100000000000001" customHeight="1" x14ac:dyDescent="0.25"/>
    <row r="163" spans="1:19" ht="20.100000000000001" customHeight="1" x14ac:dyDescent="0.25">
      <c r="D163" s="104" t="s">
        <v>106</v>
      </c>
    </row>
    <row r="164" spans="1:19" ht="20.100000000000001" customHeight="1" x14ac:dyDescent="0.25">
      <c r="D164" s="103" t="s">
        <v>262</v>
      </c>
    </row>
    <row r="165" spans="1:19" ht="20.100000000000001" customHeight="1" x14ac:dyDescent="0.25">
      <c r="D165" s="41" t="s">
        <v>171</v>
      </c>
      <c r="E165" s="41" t="s">
        <v>188</v>
      </c>
      <c r="F165" s="41" t="s">
        <v>189</v>
      </c>
      <c r="G165" s="41" t="s">
        <v>190</v>
      </c>
      <c r="H165" s="41" t="s">
        <v>191</v>
      </c>
    </row>
    <row r="166" spans="1:19" ht="20.100000000000001" customHeight="1" x14ac:dyDescent="0.25">
      <c r="D166" s="107">
        <f>'Input - Dairy'!$E$10</f>
        <v>100</v>
      </c>
      <c r="E166" s="107">
        <f>'Input - Dairy'!$F$10</f>
        <v>100</v>
      </c>
      <c r="F166" s="107">
        <f>'Input - Dairy'!$G$10</f>
        <v>100</v>
      </c>
      <c r="G166" s="107">
        <f>'Input - Dairy'!$H$10</f>
        <v>100</v>
      </c>
      <c r="H166" s="107">
        <f>'Input - Dairy'!$I$10</f>
        <v>100</v>
      </c>
      <c r="I166" s="2" t="str">
        <f>G159</f>
        <v>head</v>
      </c>
    </row>
    <row r="167" spans="1:19" ht="20.100000000000001" customHeight="1" x14ac:dyDescent="0.25"/>
    <row r="168" spans="1:19" ht="20.100000000000001" customHeight="1" x14ac:dyDescent="0.25">
      <c r="D168" s="104" t="s">
        <v>269</v>
      </c>
      <c r="N168" s="104" t="s">
        <v>459</v>
      </c>
    </row>
    <row r="169" spans="1:19" ht="20.100000000000001" customHeight="1" x14ac:dyDescent="0.25">
      <c r="D169" s="103" t="s">
        <v>297</v>
      </c>
      <c r="N169" s="103" t="s">
        <v>298</v>
      </c>
    </row>
    <row r="170" spans="1:19" ht="20.100000000000001" customHeight="1" x14ac:dyDescent="0.25">
      <c r="D170" s="41" t="s">
        <v>171</v>
      </c>
      <c r="E170" s="41" t="s">
        <v>188</v>
      </c>
      <c r="F170" s="41" t="s">
        <v>189</v>
      </c>
      <c r="G170" s="41" t="s">
        <v>190</v>
      </c>
      <c r="H170" s="41" t="s">
        <v>191</v>
      </c>
      <c r="N170" s="41" t="s">
        <v>171</v>
      </c>
      <c r="O170" s="41" t="s">
        <v>188</v>
      </c>
      <c r="P170" s="41" t="s">
        <v>189</v>
      </c>
      <c r="Q170" s="41" t="s">
        <v>190</v>
      </c>
      <c r="R170" s="41" t="s">
        <v>191</v>
      </c>
    </row>
    <row r="171" spans="1:19" ht="20.100000000000001" customHeight="1" x14ac:dyDescent="0.25">
      <c r="A171" s="141" t="str">
        <f>HYPERLINK("#A1", "▲ Back to top")</f>
        <v>▲ Back to top</v>
      </c>
      <c r="D171" s="55">
        <f>'Input - Dairy'!$E$24</f>
        <v>365</v>
      </c>
      <c r="E171" s="55">
        <f>'Input - Dairy'!$F$24</f>
        <v>365</v>
      </c>
      <c r="F171" s="55">
        <v>0</v>
      </c>
      <c r="G171" s="55">
        <f>'Input - Dairy'!$H$24</f>
        <v>365</v>
      </c>
      <c r="H171" s="55">
        <v>0</v>
      </c>
      <c r="I171" s="2" t="str">
        <f>G161</f>
        <v>days</v>
      </c>
      <c r="N171" s="55">
        <f>'Input - Dairy'!E28</f>
        <v>365</v>
      </c>
      <c r="O171" s="55">
        <f>'Input - Dairy'!F28</f>
        <v>365</v>
      </c>
      <c r="P171" s="55">
        <v>0</v>
      </c>
      <c r="Q171" s="55">
        <f>'Input - Dairy'!H28</f>
        <v>365</v>
      </c>
      <c r="R171" s="55">
        <v>0</v>
      </c>
      <c r="S171" s="2" t="s">
        <v>55</v>
      </c>
    </row>
    <row r="172" spans="1:19" ht="20.100000000000001" customHeight="1" x14ac:dyDescent="0.25"/>
    <row r="173" spans="1:19" ht="20.100000000000001" customHeight="1" x14ac:dyDescent="0.25">
      <c r="D173" s="104" t="s">
        <v>296</v>
      </c>
      <c r="N173" s="104" t="s">
        <v>457</v>
      </c>
    </row>
    <row r="174" spans="1:19" ht="20.100000000000001" customHeight="1" x14ac:dyDescent="0.25">
      <c r="D174" s="103" t="s">
        <v>304</v>
      </c>
      <c r="N174" s="103" t="s">
        <v>458</v>
      </c>
    </row>
    <row r="175" spans="1:19" ht="20.100000000000001" customHeight="1" x14ac:dyDescent="0.25">
      <c r="D175" s="54" t="s">
        <v>171</v>
      </c>
      <c r="E175" s="54" t="s">
        <v>188</v>
      </c>
      <c r="F175" s="54" t="s">
        <v>189</v>
      </c>
      <c r="G175" s="54" t="s">
        <v>190</v>
      </c>
      <c r="H175" s="54" t="s">
        <v>191</v>
      </c>
      <c r="N175" s="54" t="s">
        <v>171</v>
      </c>
      <c r="O175" s="54" t="s">
        <v>188</v>
      </c>
      <c r="P175" s="54" t="s">
        <v>189</v>
      </c>
      <c r="Q175" s="54" t="s">
        <v>190</v>
      </c>
      <c r="R175" s="54" t="s">
        <v>191</v>
      </c>
    </row>
    <row r="176" spans="1:19" ht="20.100000000000001" customHeight="1" x14ac:dyDescent="0.25">
      <c r="D176" s="55" cm="1">
        <f t="array" ref="D176">MMS_Dairy_N2ODirect_Equations.VEERG_4_3_1_3__3a_TotalAnnualNitrogenExcretedGreaterThanOneYearVariation(D166,D146,D171)</f>
        <v>22116.678435011141</v>
      </c>
      <c r="E176" s="55" cm="1">
        <f t="array" ref="E176">MMS_Dairy_N2ODirect_Equations.VEERG_4_3_1_3__3a_TotalAnnualNitrogenExcretedGreaterThanOneYearVariation(E166,E146,E171)</f>
        <v>8288.9955762645804</v>
      </c>
      <c r="F176" s="55" cm="1">
        <f t="array" ref="F176">MMS_Dairy_N2ODirect_Equations.VEERG_4_3_1_3__3a_TotalAnnualNitrogenExcretedGreaterThanOneYearVariation(F166,F146,F171)</f>
        <v>0</v>
      </c>
      <c r="G176" s="55" cm="1">
        <f t="array" ref="G176">MMS_Dairy_N2ODirect_Equations.VEERG_4_3_1_3__3a_TotalAnnualNitrogenExcretedGreaterThanOneYearVariation(G166,G146,G171)</f>
        <v>10419.59526090311</v>
      </c>
      <c r="H176" s="55" cm="1">
        <f t="array" ref="H176">MMS_Dairy_N2ODirect_Equations.VEERG_4_3_1_3__3a_TotalAnnualNitrogenExcretedGreaterThanOneYearVariation(H166,H146,H171)</f>
        <v>0</v>
      </c>
      <c r="I176" s="2" t="str">
        <f>$E$157</f>
        <v>kg N</v>
      </c>
      <c r="N176" s="55" cm="1">
        <f t="array" ref="N176">MMS_Dairy_N2ODirect_Equations.VEERG_4_3_1_3__3a_TotalAnnualNitrogenExcretedGreaterThanOneYearVariation(D166,N146,N171)</f>
        <v>22116.678435011141</v>
      </c>
      <c r="O176" s="55" cm="1">
        <f t="array" ref="O176">MMS_Dairy_N2ODirect_Equations.VEERG_4_3_1_3__3a_TotalAnnualNitrogenExcretedGreaterThanOneYearVariation(E166,O146,O171)</f>
        <v>8288.9955762645804</v>
      </c>
      <c r="P176" s="55" cm="1">
        <f t="array" ref="P176">MMS_Dairy_N2ODirect_Equations.VEERG_4_3_1_3__3a_TotalAnnualNitrogenExcretedGreaterThanOneYearVariation(F166,P146,P171)</f>
        <v>0</v>
      </c>
      <c r="Q176" s="55" cm="1">
        <f t="array" ref="Q176">MMS_Dairy_N2ODirect_Equations.VEERG_4_3_1_3__3a_TotalAnnualNitrogenExcretedGreaterThanOneYearVariation(G166,Q146,Q171)</f>
        <v>10419.59526090311</v>
      </c>
      <c r="R176" s="55" cm="1">
        <f t="array" ref="R176">MMS_Dairy_N2ODirect_Equations.VEERG_4_3_1_3__3a_TotalAnnualNitrogenExcretedGreaterThanOneYearVariation(H166,R146,R171)</f>
        <v>0</v>
      </c>
      <c r="S176" s="2" t="str">
        <f>$E$157</f>
        <v>kg N</v>
      </c>
    </row>
    <row r="177" spans="3:21" ht="20.100000000000001" customHeight="1" x14ac:dyDescent="0.25"/>
    <row r="178" spans="3:21" ht="20.100000000000001" customHeight="1" x14ac:dyDescent="0.25"/>
    <row r="179" spans="3:21" ht="20.100000000000001" customHeight="1" x14ac:dyDescent="0.25">
      <c r="C179" s="48"/>
      <c r="D179" s="48"/>
      <c r="E179" s="48"/>
      <c r="F179" s="48"/>
      <c r="G179" s="48"/>
      <c r="H179" s="48"/>
      <c r="I179" s="48"/>
      <c r="J179" s="48"/>
      <c r="K179" s="48"/>
      <c r="M179" s="48"/>
      <c r="N179" s="48"/>
      <c r="O179" s="48"/>
      <c r="P179" s="48"/>
      <c r="Q179" s="48"/>
      <c r="R179" s="48"/>
      <c r="S179" s="48"/>
      <c r="T179" s="48"/>
      <c r="U179" s="48"/>
    </row>
    <row r="180" spans="3:21" ht="20.100000000000001" customHeight="1" x14ac:dyDescent="0.25">
      <c r="D180" s="6" t="str" cm="1">
        <f t="array" ref="D180">MMS_Dairy_N2ODirect_Equations.VEERG_4_3_1_3__3b_TotalAnnualNitrogenExcretedLessThanOneYear_Title()</f>
        <v>Total annual nitrogen excreted by dairy cattle less than one year old</v>
      </c>
    </row>
    <row r="181" spans="3:21" ht="20.100000000000001" customHeight="1" x14ac:dyDescent="0.25">
      <c r="D181" s="5" t="str" cm="1">
        <f t="array" ref="D181">MMS_Dairy_N2ODirect_Equations.VEERG_4_3_1_3__3b_TotalAnnualNitrogenExcretedLessThanOneYear_Source()</f>
        <v>VEERG 2026: 4.3.1.3, Equation (3b)</v>
      </c>
    </row>
    <row r="182" spans="3:21" ht="20.100000000000001" customHeight="1" x14ac:dyDescent="0.25">
      <c r="D182" s="58" t="str" cm="1">
        <f t="array" ref="D182">MMS_Dairy_N2ODirect_Equations.VEERG_4_3_1_3__3b_TotalAnnualNitrogenExcretedLessThanOneYear_Variation()</f>
        <v>VARIATION: Used Duration variables instead of hard-coded 281 and 84 values.</v>
      </c>
    </row>
    <row r="183" spans="3:21" ht="20.100000000000001" customHeight="1" x14ac:dyDescent="0.25">
      <c r="D183" s="13" t="s">
        <v>27</v>
      </c>
      <c r="E183" s="13" t="str" cm="1">
        <f t="array" aca="1" ref="E183" ca="1">Common_InputFunctions.Utility_DisplayFunctionName(D213)</f>
        <v>=MMS_Dairy_N2ODirect_Equations.VEERG_4_3_1_3__3b_TotalAnnualNitrogenExcretedLessThanOneYearVariation</v>
      </c>
    </row>
    <row r="184" spans="3:21" ht="20.100000000000001" customHeight="1" x14ac:dyDescent="0.25">
      <c r="D184" s="6"/>
    </row>
    <row r="185" spans="3:21" ht="20.100000000000001" customHeight="1" x14ac:dyDescent="0.25">
      <c r="D185" s="6"/>
    </row>
    <row r="186" spans="3:21" ht="20.100000000000001" customHeight="1" x14ac:dyDescent="0.25">
      <c r="D186" s="56" t="s">
        <v>30</v>
      </c>
      <c r="E186" s="1" t="str" cm="1">
        <f t="array" ref="E186">MMS_Dairy_N2ODirect_Equations.VEERG_4_3_1_3__3b_TotalAnnualNitrogenExcretedLessThanOneYear_Variable()</f>
        <v>AE_j35</v>
      </c>
    </row>
    <row r="187" spans="3:21" ht="20.100000000000001" customHeight="1" x14ac:dyDescent="0.25">
      <c r="D187" s="56" t="s">
        <v>20</v>
      </c>
      <c r="E187" s="57" t="str" cm="1">
        <f t="array" ref="E187">MMS_Dairy_N2ODirect_Equations.VEERG_4_3_1_3__3b_TotalAnnualNitrogenExcretedLessThanOneYear_Unit()</f>
        <v>kg N</v>
      </c>
    </row>
    <row r="188" spans="3:21" ht="20.100000000000001" customHeight="1" x14ac:dyDescent="0.25"/>
    <row r="189" spans="3:21" ht="20.100000000000001" customHeight="1" x14ac:dyDescent="0.25">
      <c r="D189" s="137" t="str" cm="1">
        <f t="array" ref="D189:E193">_xlfn.CHOOSECOLS(MMS_Dairy_N2ODirect_Equations.VEERG_4_3_1_3__3b_TotalAnnualNitrogenExcretedLessThanOneYear_Arguments(),1,2)</f>
        <v>N_j35</v>
      </c>
      <c r="E189" s="136" t="str">
        <v>number of dairy cattle in classes j=3,5</v>
      </c>
      <c r="F189" s="138"/>
      <c r="G189" s="137" t="str" cm="1">
        <f t="array" ref="G189:H193">_xlfn.CHOOSECOLS(MMS_Dairy_N2ODirect_Equations.VEERG_4_3_1_3__3b_TotalAnnualNitrogenExcretedLessThanOneYear_Arguments(),3,4)</f>
        <v>head</v>
      </c>
      <c r="H189" s="135" t="str">
        <v>Input</v>
      </c>
      <c r="I189" s="134" t="str" cm="1">
        <f t="array" aca="1" ref="I189" ca="1">HYPERLINK(Common_InputFunctions.Utility_SourceHyperlink($D$163),$D$163)</f>
        <v>Table_N_j</v>
      </c>
    </row>
    <row r="190" spans="3:21" ht="20.100000000000001" customHeight="1" x14ac:dyDescent="0.25">
      <c r="D190" s="137" t="str">
        <v>NE_j35</v>
      </c>
      <c r="E190" s="136" t="str">
        <v>nitrogen excreted by weaned dairy cattle less than one year old (kg N/head/day)</v>
      </c>
      <c r="F190" s="138"/>
      <c r="G190" s="137" t="str">
        <v>kg N/head/day</v>
      </c>
      <c r="H190" s="133" t="str">
        <v>Calculated from 4.3.1.3 (4)</v>
      </c>
      <c r="I190" s="134" t="str" cm="1">
        <f t="array" aca="1" ref="I190" ca="1">HYPERLINK(Common_InputFunctions.Utility_SourceHyperlink($D$143),$D$143)</f>
        <v>M1_Table_NE_j</v>
      </c>
    </row>
    <row r="191" spans="3:21" ht="20.100000000000001" customHeight="1" x14ac:dyDescent="0.25">
      <c r="D191" s="137" t="str">
        <v>NPW_j35</v>
      </c>
      <c r="E191" s="136" t="str">
        <v>nitrogen excreted by pre-weaned calves (kg N/head/day)</v>
      </c>
      <c r="F191" s="138"/>
      <c r="G191" s="137" t="str">
        <v>kg N/head/day</v>
      </c>
      <c r="H191" s="133" t="str">
        <v>Constant</v>
      </c>
      <c r="I191" s="134" t="str" cm="1">
        <f t="array" aca="1" ref="I191" ca="1">HYPERLINK(Common_InputFunctions.Utility_SourceHyperlink($D$195),$D$195)</f>
        <v>Table_NPW_j-3-5</v>
      </c>
    </row>
    <row r="192" spans="3:21" ht="20.100000000000001" customHeight="1" x14ac:dyDescent="0.25">
      <c r="D192" s="137" t="str">
        <v>D_j35</v>
      </c>
      <c r="E192" s="136" t="str">
        <v>duration of stay on farm for weaned dairy cattle less than one year old (days)</v>
      </c>
      <c r="F192" s="138"/>
      <c r="G192" s="137" t="str">
        <v>days</v>
      </c>
      <c r="H192" s="135" t="str">
        <v>Input</v>
      </c>
      <c r="I192" s="134" t="str" cm="1">
        <f t="array" aca="1" ref="I192" ca="1">HYPERLINK(Common_InputFunctions.Utility_SourceHyperlink($D$200),$D$200)</f>
        <v>M1_Table_D_j-3-5</v>
      </c>
    </row>
    <row r="193" spans="1:19" ht="20.100000000000001" customHeight="1" x14ac:dyDescent="0.25">
      <c r="D193" s="137" t="str">
        <v>DPW_j35</v>
      </c>
      <c r="E193" s="136" t="str">
        <v>duration of stay on farm for pre-weaned calves (days)</v>
      </c>
      <c r="F193" s="138"/>
      <c r="G193" s="137" t="str">
        <v>days</v>
      </c>
      <c r="H193" s="135" t="str">
        <v>Input</v>
      </c>
      <c r="I193" s="134" t="str" cm="1">
        <f t="array" aca="1" ref="I193" ca="1">HYPERLINK(Common_InputFunctions.Utility_SourceHyperlink($D$205),$D$205)</f>
        <v>M1_Table_DPW_j</v>
      </c>
    </row>
    <row r="194" spans="1:19" ht="20.100000000000001" customHeight="1" x14ac:dyDescent="0.25"/>
    <row r="195" spans="1:19" ht="20.100000000000001" customHeight="1" x14ac:dyDescent="0.25">
      <c r="D195" s="104" t="s">
        <v>301</v>
      </c>
    </row>
    <row r="196" spans="1:19" ht="20.100000000000001" customHeight="1" x14ac:dyDescent="0.25">
      <c r="D196" s="103" t="s">
        <v>302</v>
      </c>
    </row>
    <row r="197" spans="1:19" ht="20.100000000000001" customHeight="1" x14ac:dyDescent="0.25">
      <c r="D197" s="54" t="s">
        <v>171</v>
      </c>
      <c r="E197" s="54" t="s">
        <v>188</v>
      </c>
      <c r="F197" s="54" t="s">
        <v>189</v>
      </c>
      <c r="G197" s="54" t="s">
        <v>190</v>
      </c>
      <c r="H197" s="54" t="s">
        <v>191</v>
      </c>
    </row>
    <row r="198" spans="1:19" ht="20.100000000000001" customHeight="1" x14ac:dyDescent="0.25">
      <c r="D198" s="55">
        <v>0</v>
      </c>
      <c r="E198" s="55">
        <v>0</v>
      </c>
      <c r="F198" s="55">
        <f>'Constants - Dairy'!$G$63</f>
        <v>1.37E-2</v>
      </c>
      <c r="G198" s="55">
        <v>0</v>
      </c>
      <c r="H198" s="55">
        <f>'Constants - Dairy'!$G$64</f>
        <v>9.1999999999999998E-3</v>
      </c>
      <c r="I198" s="2" t="str">
        <f>G191</f>
        <v>kg N/head/day</v>
      </c>
    </row>
    <row r="199" spans="1:19" ht="20.100000000000001" customHeight="1" x14ac:dyDescent="0.25"/>
    <row r="200" spans="1:19" ht="20.100000000000001" customHeight="1" x14ac:dyDescent="0.25">
      <c r="D200" s="104" t="s">
        <v>299</v>
      </c>
      <c r="N200" s="104" t="s">
        <v>299</v>
      </c>
    </row>
    <row r="201" spans="1:19" ht="20.100000000000001" customHeight="1" x14ac:dyDescent="0.25">
      <c r="D201" s="103" t="s">
        <v>300</v>
      </c>
      <c r="N201" s="103" t="s">
        <v>454</v>
      </c>
    </row>
    <row r="202" spans="1:19" ht="20.100000000000001" customHeight="1" x14ac:dyDescent="0.25">
      <c r="D202" s="41" t="s">
        <v>171</v>
      </c>
      <c r="E202" s="41" t="s">
        <v>188</v>
      </c>
      <c r="F202" s="41" t="s">
        <v>189</v>
      </c>
      <c r="G202" s="41" t="s">
        <v>190</v>
      </c>
      <c r="H202" s="41" t="s">
        <v>191</v>
      </c>
      <c r="N202" s="41" t="s">
        <v>171</v>
      </c>
      <c r="O202" s="41" t="s">
        <v>188</v>
      </c>
      <c r="P202" s="41" t="s">
        <v>189</v>
      </c>
      <c r="Q202" s="41" t="s">
        <v>190</v>
      </c>
      <c r="R202" s="41" t="s">
        <v>191</v>
      </c>
    </row>
    <row r="203" spans="1:19" ht="20.100000000000001" customHeight="1" x14ac:dyDescent="0.25">
      <c r="D203" s="55">
        <v>0</v>
      </c>
      <c r="E203" s="55">
        <v>0</v>
      </c>
      <c r="F203" s="55">
        <f>'Input - Dairy'!$G$24</f>
        <v>281</v>
      </c>
      <c r="G203" s="55">
        <v>0</v>
      </c>
      <c r="H203" s="55">
        <f>'Input - Dairy'!$I$24</f>
        <v>281</v>
      </c>
      <c r="I203" s="2" t="str">
        <f>$G$192</f>
        <v>days</v>
      </c>
      <c r="N203" s="55">
        <v>0</v>
      </c>
      <c r="O203" s="55">
        <v>0</v>
      </c>
      <c r="P203" s="55">
        <f>'Input - Dairy'!G28</f>
        <v>281</v>
      </c>
      <c r="Q203" s="55">
        <v>0</v>
      </c>
      <c r="R203" s="55">
        <f>'Input - Dairy'!I28</f>
        <v>281</v>
      </c>
      <c r="S203" s="2" t="str">
        <f>$G$192</f>
        <v>days</v>
      </c>
    </row>
    <row r="204" spans="1:19" ht="20.100000000000001" customHeight="1" x14ac:dyDescent="0.25"/>
    <row r="205" spans="1:19" ht="20.100000000000001" customHeight="1" x14ac:dyDescent="0.25">
      <c r="D205" s="104" t="s">
        <v>264</v>
      </c>
      <c r="N205" s="104" t="s">
        <v>264</v>
      </c>
    </row>
    <row r="206" spans="1:19" ht="20.100000000000001" customHeight="1" x14ac:dyDescent="0.25">
      <c r="D206" s="103" t="s">
        <v>272</v>
      </c>
      <c r="N206" s="103" t="s">
        <v>455</v>
      </c>
    </row>
    <row r="207" spans="1:19" ht="20.100000000000001" customHeight="1" x14ac:dyDescent="0.25">
      <c r="D207" s="41" t="s">
        <v>171</v>
      </c>
      <c r="E207" s="41" t="s">
        <v>188</v>
      </c>
      <c r="F207" s="41" t="s">
        <v>189</v>
      </c>
      <c r="G207" s="41" t="s">
        <v>190</v>
      </c>
      <c r="H207" s="41" t="s">
        <v>191</v>
      </c>
      <c r="N207" s="41" t="s">
        <v>171</v>
      </c>
      <c r="O207" s="41" t="s">
        <v>188</v>
      </c>
      <c r="P207" s="41" t="s">
        <v>189</v>
      </c>
      <c r="Q207" s="41" t="s">
        <v>190</v>
      </c>
      <c r="R207" s="41" t="s">
        <v>191</v>
      </c>
    </row>
    <row r="208" spans="1:19" ht="20.100000000000001" customHeight="1" x14ac:dyDescent="0.25">
      <c r="A208" s="141" t="str">
        <f>HYPERLINK("#A1", "▲ Back to top")</f>
        <v>▲ Back to top</v>
      </c>
      <c r="D208" s="55">
        <f>'Input - Dairy'!$E$25</f>
        <v>0</v>
      </c>
      <c r="E208" s="55">
        <f>'Input - Dairy'!$F$25</f>
        <v>0</v>
      </c>
      <c r="F208" s="55">
        <f>'Input - Dairy'!$G$25</f>
        <v>84</v>
      </c>
      <c r="G208" s="55">
        <f>'Input - Dairy'!$H$25</f>
        <v>0</v>
      </c>
      <c r="H208" s="55">
        <f>'Input - Dairy'!$I$25</f>
        <v>84</v>
      </c>
      <c r="I208" s="2" t="str">
        <f>$G$193</f>
        <v>days</v>
      </c>
      <c r="N208" s="55">
        <f>'Input - Dairy'!$E$25</f>
        <v>0</v>
      </c>
      <c r="O208" s="55">
        <f>'Input - Dairy'!$F$25</f>
        <v>0</v>
      </c>
      <c r="P208" s="55">
        <f>'Input - Dairy'!G29</f>
        <v>84</v>
      </c>
      <c r="Q208" s="55">
        <f>'Input - Dairy'!$H$25</f>
        <v>0</v>
      </c>
      <c r="R208" s="55">
        <f>'Input - Dairy'!I29</f>
        <v>84</v>
      </c>
      <c r="S208" s="2" t="str">
        <f>$G$193</f>
        <v>days</v>
      </c>
    </row>
    <row r="209" spans="3:21" ht="20.100000000000001" customHeight="1" x14ac:dyDescent="0.25"/>
    <row r="210" spans="3:21" ht="20.100000000000001" customHeight="1" x14ac:dyDescent="0.25">
      <c r="D210" s="104" t="s">
        <v>120</v>
      </c>
      <c r="N210" s="104" t="s">
        <v>120</v>
      </c>
    </row>
    <row r="211" spans="3:21" ht="20.100000000000001" customHeight="1" x14ac:dyDescent="0.25">
      <c r="D211" s="103" t="s">
        <v>303</v>
      </c>
      <c r="N211" s="103" t="s">
        <v>456</v>
      </c>
    </row>
    <row r="212" spans="3:21" ht="20.100000000000001" customHeight="1" x14ac:dyDescent="0.25">
      <c r="D212" s="54" t="s">
        <v>171</v>
      </c>
      <c r="E212" s="54" t="s">
        <v>188</v>
      </c>
      <c r="F212" s="54" t="s">
        <v>189</v>
      </c>
      <c r="G212" s="54" t="s">
        <v>190</v>
      </c>
      <c r="H212" s="54" t="s">
        <v>191</v>
      </c>
      <c r="N212" s="54" t="s">
        <v>171</v>
      </c>
      <c r="O212" s="54" t="s">
        <v>188</v>
      </c>
      <c r="P212" s="54" t="s">
        <v>189</v>
      </c>
      <c r="Q212" s="54" t="s">
        <v>190</v>
      </c>
      <c r="R212" s="54" t="s">
        <v>191</v>
      </c>
    </row>
    <row r="213" spans="3:21" ht="20.100000000000001" customHeight="1" x14ac:dyDescent="0.25">
      <c r="D213" s="55" cm="1">
        <f t="array" ref="D213">MMS_Dairy_N2ODirect_Equations.VEERG_4_3_1_3__3b_TotalAnnualNitrogenExcretedLessThanOneYearVariation(D166,D146,D198,D203,D208)</f>
        <v>0</v>
      </c>
      <c r="E213" s="55" cm="1">
        <f t="array" ref="E213">MMS_Dairy_N2ODirect_Equations.VEERG_4_3_1_3__3b_TotalAnnualNitrogenExcretedLessThanOneYearVariation(E166,E146,E198,E203,E208)</f>
        <v>0</v>
      </c>
      <c r="F213" s="55" cm="1">
        <f t="array" ref="F213">MMS_Dairy_N2ODirect_Equations.VEERG_4_3_1_3__3b_TotalAnnualNitrogenExcretedLessThanOneYearVariation(F166,F146,F198,F203,F208)</f>
        <v>3301.419278356519</v>
      </c>
      <c r="G213" s="55" cm="1">
        <f t="array" ref="G213">MMS_Dairy_N2ODirect_Equations.VEERG_4_3_1_3__3b_TotalAnnualNitrogenExcretedLessThanOneYearVariation(G166,G146,G198,G203,G208)</f>
        <v>0</v>
      </c>
      <c r="H213" s="55" cm="1">
        <f t="array" ref="H213">MMS_Dairy_N2ODirect_Equations.VEERG_4_3_1_3__3b_TotalAnnualNitrogenExcretedLessThanOneYearVariation(H166,H146,H198,H203,H208)</f>
        <v>4361.9480490479727</v>
      </c>
      <c r="I213" s="2" t="str">
        <f>$E$187</f>
        <v>kg N</v>
      </c>
      <c r="N213" s="55" cm="1">
        <f t="array" ref="N213">MMS_Dairy_N2ODirect_Equations.VEERG_4_3_1_3__3b_TotalAnnualNitrogenExcretedLessThanOneYearVariation(D166,N146,D198,N203,N208)</f>
        <v>0</v>
      </c>
      <c r="O213" s="55" cm="1">
        <f t="array" ref="O213">MMS_Dairy_N2ODirect_Equations.VEERG_4_3_1_3__3b_TotalAnnualNitrogenExcretedLessThanOneYearVariation(E166,O146,E198,O203,O208)</f>
        <v>0</v>
      </c>
      <c r="P213" s="55" cm="1">
        <f t="array" ref="P213">MMS_Dairy_N2ODirect_Equations.VEERG_4_3_1_3__3b_TotalAnnualNitrogenExcretedLessThanOneYearVariation(F166,P146,F198,P203,P208)</f>
        <v>3301.419278356519</v>
      </c>
      <c r="Q213" s="55" cm="1">
        <f t="array" ref="Q213">MMS_Dairy_N2ODirect_Equations.VEERG_4_3_1_3__3b_TotalAnnualNitrogenExcretedLessThanOneYearVariation(G166,Q146,G198,Q203,Q208)</f>
        <v>0</v>
      </c>
      <c r="R213" s="55" cm="1">
        <f t="array" ref="R213">MMS_Dairy_N2ODirect_Equations.VEERG_4_3_1_3__3b_TotalAnnualNitrogenExcretedLessThanOneYearVariation(H166,R146,H198,R203,R208)</f>
        <v>4361.9480490479727</v>
      </c>
      <c r="S213" s="2" t="str">
        <f>$E$187</f>
        <v>kg N</v>
      </c>
    </row>
    <row r="214" spans="3:21" ht="20.100000000000001" customHeight="1" x14ac:dyDescent="0.25"/>
    <row r="215" spans="3:21" ht="20.100000000000001" customHeight="1" x14ac:dyDescent="0.25"/>
    <row r="216" spans="3:21" ht="20.100000000000001" customHeight="1" x14ac:dyDescent="0.25">
      <c r="C216" s="48"/>
      <c r="D216" s="48"/>
      <c r="E216" s="48"/>
      <c r="F216" s="48"/>
      <c r="G216" s="48"/>
      <c r="H216" s="48"/>
      <c r="I216" s="48"/>
      <c r="J216" s="48"/>
      <c r="K216" s="48"/>
      <c r="M216" s="48"/>
      <c r="N216" s="48"/>
      <c r="O216" s="48"/>
      <c r="P216" s="48"/>
      <c r="Q216" s="48"/>
      <c r="R216" s="48"/>
      <c r="S216" s="48"/>
      <c r="T216" s="48"/>
      <c r="U216" s="48"/>
    </row>
    <row r="217" spans="3:21" ht="20.100000000000001" customHeight="1" x14ac:dyDescent="0.25">
      <c r="D217" s="6" t="str" cm="1">
        <f t="array" ref="D217">MMS_Dairy_N2ODirect_Equations.VEERG_4_3_1_3__2_TotalNitrogenInEachMMS_Title()</f>
        <v>Total nitrogen in each MMS</v>
      </c>
    </row>
    <row r="218" spans="3:21" ht="20.100000000000001" customHeight="1" x14ac:dyDescent="0.25">
      <c r="D218" s="5" t="str" cm="1">
        <f t="array" ref="D218">MMS_Dairy_N2ODirect_Equations.VEERG_4_3_1_3__2_TotalNitrogenInEachMMS_Source()</f>
        <v>VEERG 2026: 4.3.1.3, Equation (2)</v>
      </c>
    </row>
    <row r="219" spans="3:21" ht="20.100000000000001" customHeight="1" x14ac:dyDescent="0.25">
      <c r="D219" s="13" t="s">
        <v>27</v>
      </c>
      <c r="E219" s="13" t="str" cm="1">
        <f t="array" aca="1" ref="E219" ca="1">Common_InputFunctions.Utility_DisplayFunctionName(F243)</f>
        <v>=MMS_Dairy_N2ODirect_Equations.VEERG_4_3_1_3__2_TotalNitrogenInEachMMS</v>
      </c>
    </row>
    <row r="220" spans="3:21" ht="20.100000000000001" customHeight="1" x14ac:dyDescent="0.25"/>
    <row r="221" spans="3:21" ht="20.100000000000001" customHeight="1" x14ac:dyDescent="0.25">
      <c r="D221" s="6"/>
    </row>
    <row r="222" spans="3:21" ht="20.100000000000001" customHeight="1" x14ac:dyDescent="0.25">
      <c r="D222" s="56" t="s">
        <v>30</v>
      </c>
      <c r="E222" s="1" t="str" cm="1">
        <f t="array" ref="E222">MMS_Dairy_N2ODirect_Equations.VEERG_4_3_1_3__2_TotalNitrogenInEachMMS_Variable()</f>
        <v>MN_jm</v>
      </c>
    </row>
    <row r="223" spans="3:21" ht="20.100000000000001" customHeight="1" x14ac:dyDescent="0.25">
      <c r="D223" s="56" t="s">
        <v>20</v>
      </c>
      <c r="E223" s="57" t="str" cm="1">
        <f t="array" ref="E223">MMS_Dairy_N2ODirect_Equations.VEERG_4_3_1_3__2_TotalNitrogenInEachMMS_Unit()</f>
        <v>kg N</v>
      </c>
    </row>
    <row r="224" spans="3:21" ht="20.100000000000001" customHeight="1" x14ac:dyDescent="0.25"/>
    <row r="225" spans="4:20" ht="20.100000000000001" customHeight="1" x14ac:dyDescent="0.25">
      <c r="D225" s="137" t="str" cm="1">
        <f t="array" ref="D225:E226">_xlfn.CHOOSECOLS(MMS_Dairy_N2ODirect_Equations.VEERG_4_3_1_3__2_TotalNitrogenInEachMMS_Arguments(),1,2)</f>
        <v>AE_j</v>
      </c>
      <c r="E225" s="137" t="str">
        <v>total nitrogen excreted by each dairy class</v>
      </c>
      <c r="F225" s="137"/>
      <c r="G225" s="137" t="str" cm="1">
        <f t="array" ref="G225:H226">_xlfn.CHOOSECOLS(MMS_Dairy_N2ODirect_Equations.VEERG_4_3_1_3__2_TotalNitrogenInEachMMS_Arguments(),3,4)</f>
        <v>kg N</v>
      </c>
      <c r="H225" s="133" t="str">
        <v>Calculated from 4.3.1.3 (3a) and (3b)</v>
      </c>
      <c r="I225" s="134" t="str" cm="1">
        <f t="array" aca="1" ref="I225" ca="1">HYPERLINK(Common_InputFunctions.Utility_SourceHyperlink($D$173),$D$173)</f>
        <v>M1_Table_AE_j-1-2-4</v>
      </c>
      <c r="J225" s="134" t="str" cm="1">
        <f t="array" aca="1" ref="J225" ca="1">HYPERLINK(Common_InputFunctions.Utility_SourceHyperlink($D$210),$D$210)</f>
        <v>M1_Table_AE_j</v>
      </c>
    </row>
    <row r="226" spans="4:20" ht="20.100000000000001" customHeight="1" x14ac:dyDescent="0.25">
      <c r="D226" s="137" t="str">
        <v>MMS_jm</v>
      </c>
      <c r="E226" s="137" t="str">
        <v>manure management system fraction for class j and system m</v>
      </c>
      <c r="F226" s="137"/>
      <c r="G226" s="137" t="str">
        <v>fraction</v>
      </c>
      <c r="H226" s="135" t="str">
        <v>Input</v>
      </c>
      <c r="I226" s="134" t="str" cm="1">
        <f t="array" aca="1" ref="I226" ca="1">HYPERLINK(Common_InputFunctions.Utility_SourceHyperlink($D$228),$D$228)</f>
        <v>M1_Table_MMS_j_m</v>
      </c>
      <c r="J226" s="134"/>
    </row>
    <row r="227" spans="4:20" ht="20.100000000000001" customHeight="1" x14ac:dyDescent="0.25"/>
    <row r="228" spans="4:20" ht="20.100000000000001" customHeight="1" x14ac:dyDescent="0.25">
      <c r="D228" s="104" t="s">
        <v>244</v>
      </c>
      <c r="N228" s="104" t="s">
        <v>246</v>
      </c>
    </row>
    <row r="229" spans="4:20" ht="20.100000000000001" customHeight="1" x14ac:dyDescent="0.25">
      <c r="D229" s="103" t="s">
        <v>305</v>
      </c>
      <c r="N229" s="103" t="s">
        <v>306</v>
      </c>
    </row>
    <row r="230" spans="4:20" ht="20.100000000000001" customHeight="1" x14ac:dyDescent="0.25">
      <c r="D230" s="41" t="s">
        <v>146</v>
      </c>
      <c r="E230" s="41" t="s">
        <v>68</v>
      </c>
      <c r="F230" s="41" t="s">
        <v>171</v>
      </c>
      <c r="G230" s="41" t="s">
        <v>188</v>
      </c>
      <c r="H230" s="41" t="s">
        <v>189</v>
      </c>
      <c r="I230" s="41" t="s">
        <v>190</v>
      </c>
      <c r="J230" s="41" t="s">
        <v>191</v>
      </c>
      <c r="N230" s="41" t="s">
        <v>146</v>
      </c>
      <c r="O230" s="41" t="s">
        <v>68</v>
      </c>
      <c r="P230" s="41" t="s">
        <v>171</v>
      </c>
      <c r="Q230" s="41" t="s">
        <v>188</v>
      </c>
      <c r="R230" s="41" t="s">
        <v>189</v>
      </c>
      <c r="S230" s="41" t="s">
        <v>190</v>
      </c>
      <c r="T230" s="41" t="s">
        <v>191</v>
      </c>
    </row>
    <row r="231" spans="4:20" ht="20.100000000000001" customHeight="1" x14ac:dyDescent="0.25">
      <c r="D231" s="55" t="str">
        <f>'Input - Dairy'!$D$66</f>
        <v>Milking shed</v>
      </c>
      <c r="E231" s="55" t="str">
        <f>'Input - Dairy'!$D$81</f>
        <v>Anaerobic lagoon</v>
      </c>
      <c r="F231" s="55" cm="1">
        <f t="array" ref="F231">InputFunctions_Dairy.CalculateFractionInMMSAfterSolidSeparation('Input - Dairy'!E66,'Input - Dairy'!E81,'Input - Dairy'!$E$83)</f>
        <v>2.75E-2</v>
      </c>
      <c r="G231" s="55" cm="1">
        <f t="array" ref="G231">InputFunctions_Dairy.CalculateFractionInMMSAfterSolidSeparation('Input - Dairy'!F66,'Input - Dairy'!F81,'Input - Dairy'!$E$83)</f>
        <v>2.75E-2</v>
      </c>
      <c r="H231" s="55" cm="1">
        <f t="array" ref="H231">InputFunctions_Dairy.CalculateFractionInMMSAfterSolidSeparation('Input - Dairy'!G66,'Input - Dairy'!G81,'Input - Dairy'!$E$83)</f>
        <v>2.75E-2</v>
      </c>
      <c r="I231" s="55" cm="1">
        <f t="array" ref="I231">InputFunctions_Dairy.CalculateFractionInMMSAfterSolidSeparation('Input - Dairy'!H66,'Input - Dairy'!H81,'Input - Dairy'!$E$83)</f>
        <v>2.75E-2</v>
      </c>
      <c r="J231" s="55" cm="1">
        <f t="array" ref="J231">InputFunctions_Dairy.CalculateFractionInMMSAfterSolidSeparation('Input - Dairy'!I66,'Input - Dairy'!I81,'Input - Dairy'!$E$83)</f>
        <v>2.75E-2</v>
      </c>
      <c r="N231" s="55" t="str">
        <f>'Input - Dairy'!$D$66</f>
        <v>Milking shed</v>
      </c>
      <c r="O231" s="55" t="str">
        <f>'Input - Dairy'!$D$81</f>
        <v>Anaerobic lagoon</v>
      </c>
      <c r="P231" s="55" cm="1">
        <f t="array" ref="P231">InputFunctions_Dairy.CalculateFractionInMMSAfterSolidSeparation('Input - Dairy'!E71,'Input - Dairy'!E81,'Input - Dairy'!$E$84)</f>
        <v>2.75E-2</v>
      </c>
      <c r="Q231" s="55" cm="1">
        <f t="array" ref="Q231">InputFunctions_Dairy.CalculateFractionInMMSAfterSolidSeparation('Input - Dairy'!F71,'Input - Dairy'!F81,'Input - Dairy'!$E$84)</f>
        <v>2.75E-2</v>
      </c>
      <c r="R231" s="55" cm="1">
        <f t="array" ref="R231">InputFunctions_Dairy.CalculateFractionInMMSAfterSolidSeparation('Input - Dairy'!G71,'Input - Dairy'!G81,'Input - Dairy'!$E$84)</f>
        <v>2.75E-2</v>
      </c>
      <c r="S231" s="55" cm="1">
        <f t="array" ref="S231">InputFunctions_Dairy.CalculateFractionInMMSAfterSolidSeparation('Input - Dairy'!H71,'Input - Dairy'!H81,'Input - Dairy'!$E$84)</f>
        <v>2.75E-2</v>
      </c>
      <c r="T231" s="55" cm="1">
        <f t="array" ref="T231">InputFunctions_Dairy.CalculateFractionInMMSAfterSolidSeparation('Input - Dairy'!I71,'Input - Dairy'!I81,'Input - Dairy'!$E$84)</f>
        <v>2.75E-2</v>
      </c>
    </row>
    <row r="232" spans="4:20" ht="20.100000000000001" customHeight="1" x14ac:dyDescent="0.25">
      <c r="D232" s="55" t="str">
        <f>'Input - Dairy'!$D$66</f>
        <v>Milking shed</v>
      </c>
      <c r="E232" s="55" t="str">
        <f>'Input - Dairy'!$D$86</f>
        <v>Sump and dispersal system</v>
      </c>
      <c r="F232" s="55" cm="1">
        <f t="array" ref="F232">InputFunctions_Dairy.CalculateFractionInMMSAfterSolidSeparation('Input - Dairy'!E66,'Input - Dairy'!E86,'Input - Dairy'!$E$88)</f>
        <v>2.2000000000000002E-2</v>
      </c>
      <c r="G232" s="55" cm="1">
        <f t="array" ref="G232">InputFunctions_Dairy.CalculateFractionInMMSAfterSolidSeparation('Input - Dairy'!F66,'Input - Dairy'!F86,'Input - Dairy'!$E$88)</f>
        <v>2.2000000000000002E-2</v>
      </c>
      <c r="H232" s="55" cm="1">
        <f t="array" ref="H232">InputFunctions_Dairy.CalculateFractionInMMSAfterSolidSeparation('Input - Dairy'!G66,'Input - Dairy'!G86,'Input - Dairy'!$E$88)</f>
        <v>2.2000000000000002E-2</v>
      </c>
      <c r="I232" s="55" cm="1">
        <f t="array" ref="I232">InputFunctions_Dairy.CalculateFractionInMMSAfterSolidSeparation('Input - Dairy'!H66,'Input - Dairy'!H86,'Input - Dairy'!$E$88)</f>
        <v>2.2000000000000002E-2</v>
      </c>
      <c r="J232" s="55" cm="1">
        <f t="array" ref="J232">InputFunctions_Dairy.CalculateFractionInMMSAfterSolidSeparation('Input - Dairy'!I66,'Input - Dairy'!I86,'Input - Dairy'!$E$88)</f>
        <v>2.2000000000000002E-2</v>
      </c>
      <c r="N232" s="55" t="str">
        <f>'Input - Dairy'!$D$66</f>
        <v>Milking shed</v>
      </c>
      <c r="O232" s="55" t="str">
        <f>'Input - Dairy'!$D$86</f>
        <v>Sump and dispersal system</v>
      </c>
      <c r="P232" s="55" cm="1">
        <f t="array" ref="P232">InputFunctions_Dairy.CalculateFractionInMMSAfterSolidSeparation('Input - Dairy'!E71,'Input - Dairy'!E86,'Input - Dairy'!$E$89)</f>
        <v>2.2000000000000002E-2</v>
      </c>
      <c r="Q232" s="55" cm="1">
        <f t="array" ref="Q232">InputFunctions_Dairy.CalculateFractionInMMSAfterSolidSeparation('Input - Dairy'!F71,'Input - Dairy'!F86,'Input - Dairy'!$E$89)</f>
        <v>2.2000000000000002E-2</v>
      </c>
      <c r="R232" s="55" cm="1">
        <f t="array" ref="R232">InputFunctions_Dairy.CalculateFractionInMMSAfterSolidSeparation('Input - Dairy'!G71,'Input - Dairy'!G86,'Input - Dairy'!$E$89)</f>
        <v>2.2000000000000002E-2</v>
      </c>
      <c r="S232" s="55" cm="1">
        <f t="array" ref="S232">InputFunctions_Dairy.CalculateFractionInMMSAfterSolidSeparation('Input - Dairy'!H71,'Input - Dairy'!H86,'Input - Dairy'!$E$89)</f>
        <v>2.2000000000000002E-2</v>
      </c>
      <c r="T232" s="55" cm="1">
        <f t="array" ref="T232">InputFunctions_Dairy.CalculateFractionInMMSAfterSolidSeparation('Input - Dairy'!I71,'Input - Dairy'!I86,'Input - Dairy'!$E$89)</f>
        <v>2.2000000000000002E-2</v>
      </c>
    </row>
    <row r="233" spans="4:20" ht="20.100000000000001" customHeight="1" x14ac:dyDescent="0.25">
      <c r="D233" s="55" t="str">
        <f>'Input - Dairy'!$D$66</f>
        <v>Milking shed</v>
      </c>
      <c r="E233" s="55" t="str">
        <f>'Input - Dairy'!$D$91</f>
        <v>Drains to paddock</v>
      </c>
      <c r="F233" s="55" cm="1">
        <f t="array" ref="F233">InputFunctions_Dairy.CalculateFractionInMMSAfterSolidSeparation('Input - Dairy'!E66,'Input - Dairy'!E91,'Input - Dairy'!$E$93)</f>
        <v>2.2000000000000002E-2</v>
      </c>
      <c r="G233" s="55" cm="1">
        <f t="array" ref="G233">InputFunctions_Dairy.CalculateFractionInMMSAfterSolidSeparation('Input - Dairy'!F66,'Input - Dairy'!F91,'Input - Dairy'!$E$93)</f>
        <v>2.2000000000000002E-2</v>
      </c>
      <c r="H233" s="55" cm="1">
        <f t="array" ref="H233">InputFunctions_Dairy.CalculateFractionInMMSAfterSolidSeparation('Input - Dairy'!G66,'Input - Dairy'!G91,'Input - Dairy'!$E$93)</f>
        <v>2.2000000000000002E-2</v>
      </c>
      <c r="I233" s="55" cm="1">
        <f t="array" ref="I233">InputFunctions_Dairy.CalculateFractionInMMSAfterSolidSeparation('Input - Dairy'!H66,'Input - Dairy'!H91,'Input - Dairy'!$E$93)</f>
        <v>2.2000000000000002E-2</v>
      </c>
      <c r="J233" s="55" cm="1">
        <f t="array" ref="J233">InputFunctions_Dairy.CalculateFractionInMMSAfterSolidSeparation('Input - Dairy'!I66,'Input - Dairy'!I91,'Input - Dairy'!$E$93)</f>
        <v>2.2000000000000002E-2</v>
      </c>
      <c r="N233" s="55" t="str">
        <f>'Input - Dairy'!$D$66</f>
        <v>Milking shed</v>
      </c>
      <c r="O233" s="55" t="str">
        <f>'Input - Dairy'!$D$91</f>
        <v>Drains to paddock</v>
      </c>
      <c r="P233" s="55" cm="1">
        <f t="array" ref="P233">InputFunctions_Dairy.CalculateFractionInMMSAfterSolidSeparation('Input - Dairy'!E71,'Input - Dairy'!E91,'Input - Dairy'!$E$94)</f>
        <v>2.2000000000000002E-2</v>
      </c>
      <c r="Q233" s="55" cm="1">
        <f t="array" ref="Q233">InputFunctions_Dairy.CalculateFractionInMMSAfterSolidSeparation('Input - Dairy'!F71,'Input - Dairy'!F91,'Input - Dairy'!$E$94)</f>
        <v>2.2000000000000002E-2</v>
      </c>
      <c r="R233" s="55" cm="1">
        <f t="array" ref="R233">InputFunctions_Dairy.CalculateFractionInMMSAfterSolidSeparation('Input - Dairy'!G71,'Input - Dairy'!G91,'Input - Dairy'!$E$94)</f>
        <v>2.2000000000000002E-2</v>
      </c>
      <c r="S233" s="55" cm="1">
        <f t="array" ref="S233">InputFunctions_Dairy.CalculateFractionInMMSAfterSolidSeparation('Input - Dairy'!H71,'Input - Dairy'!H91,'Input - Dairy'!$E$94)</f>
        <v>2.2000000000000002E-2</v>
      </c>
      <c r="T233" s="55" cm="1">
        <f t="array" ref="T233">InputFunctions_Dairy.CalculateFractionInMMSAfterSolidSeparation('Input - Dairy'!I71,'Input - Dairy'!I91,'Input - Dairy'!$E$94)</f>
        <v>2.2000000000000002E-2</v>
      </c>
    </row>
    <row r="234" spans="4:20" ht="20.100000000000001" customHeight="1" x14ac:dyDescent="0.25">
      <c r="D234" s="55" t="str">
        <f>'Input - Dairy'!$D$66</f>
        <v>Milking shed</v>
      </c>
      <c r="E234" s="55" t="s">
        <v>405</v>
      </c>
      <c r="F234" s="55" cm="1">
        <f t="array" ref="F234">InputFunctions_Dairy.CalculateFractionInSolidStorage('Input - Dairy'!E66,'Input - Dairy'!E96,'Input - Dairy'!E81,'Input - Dairy'!$E$83,'Input - Dairy'!E86,'Input - Dairy'!$E$88,'Input - Dairy'!E91,'Input - Dairy'!$E$93)</f>
        <v>3.85E-2</v>
      </c>
      <c r="G234" s="55" cm="1">
        <f t="array" ref="G234">InputFunctions_Dairy.CalculateFractionInSolidStorage('Input - Dairy'!F66,'Input - Dairy'!F96,'Input - Dairy'!F81,'Input - Dairy'!$E$83,'Input - Dairy'!F86,'Input - Dairy'!$E$88,'Input - Dairy'!F91,'Input - Dairy'!$E$93)</f>
        <v>3.85E-2</v>
      </c>
      <c r="H234" s="55" cm="1">
        <f t="array" ref="H234">InputFunctions_Dairy.CalculateFractionInSolidStorage('Input - Dairy'!G66,'Input - Dairy'!G96,'Input - Dairy'!G81,'Input - Dairy'!$E$83,'Input - Dairy'!G86,'Input - Dairy'!$E$88,'Input - Dairy'!G91,'Input - Dairy'!$E$93)</f>
        <v>3.85E-2</v>
      </c>
      <c r="I234" s="55" cm="1">
        <f t="array" ref="I234">InputFunctions_Dairy.CalculateFractionInSolidStorage('Input - Dairy'!H66,'Input - Dairy'!H96,'Input - Dairy'!H81,'Input - Dairy'!$E$83,'Input - Dairy'!H86,'Input - Dairy'!$E$88,'Input - Dairy'!H91,'Input - Dairy'!$E$93)</f>
        <v>3.85E-2</v>
      </c>
      <c r="J234" s="55" cm="1">
        <f t="array" ref="J234">InputFunctions_Dairy.CalculateFractionInSolidStorage('Input - Dairy'!I66,'Input - Dairy'!I96,'Input - Dairy'!I81,'Input - Dairy'!$E$83,'Input - Dairy'!I86,'Input - Dairy'!$E$88,'Input - Dairy'!I91,'Input - Dairy'!$E$93)</f>
        <v>3.85E-2</v>
      </c>
      <c r="N234" s="55" t="str">
        <f>'Input - Dairy'!$D$66</f>
        <v>Milking shed</v>
      </c>
      <c r="O234" s="55" t="s">
        <v>405</v>
      </c>
      <c r="P234" s="55" cm="1">
        <f t="array" ref="P234">InputFunctions_Dairy.CalculateFractionInSolidStorage('Input - Dairy'!E71,'Input - Dairy'!E96,'Input - Dairy'!E81,'Input - Dairy'!$E$84,'Input - Dairy'!E86,'Input - Dairy'!$E$89,'Input - Dairy'!E91,'Input - Dairy'!$E$94)</f>
        <v>3.85E-2</v>
      </c>
      <c r="Q234" s="55" cm="1">
        <f t="array" ref="Q234">InputFunctions_Dairy.CalculateFractionInSolidStorage('Input - Dairy'!F71,'Input - Dairy'!F96,'Input - Dairy'!F81,'Input - Dairy'!$E$84,'Input - Dairy'!F86,'Input - Dairy'!$E$89,'Input - Dairy'!F91,'Input - Dairy'!$E$94)</f>
        <v>3.85E-2</v>
      </c>
      <c r="R234" s="55" cm="1">
        <f t="array" ref="R234">InputFunctions_Dairy.CalculateFractionInSolidStorage('Input - Dairy'!G71,'Input - Dairy'!G96,'Input - Dairy'!G81,'Input - Dairy'!$E$84,'Input - Dairy'!G86,'Input - Dairy'!$E$89,'Input - Dairy'!G91,'Input - Dairy'!$E$94)</f>
        <v>3.85E-2</v>
      </c>
      <c r="S234" s="55" cm="1">
        <f t="array" ref="S234">InputFunctions_Dairy.CalculateFractionInSolidStorage('Input - Dairy'!H71,'Input - Dairy'!H96,'Input - Dairy'!H81,'Input - Dairy'!$E$84,'Input - Dairy'!H86,'Input - Dairy'!$E$89,'Input - Dairy'!H91,'Input - Dairy'!$E$94)</f>
        <v>3.85E-2</v>
      </c>
      <c r="T234" s="55" cm="1">
        <f t="array" ref="T234">InputFunctions_Dairy.CalculateFractionInSolidStorage('Input - Dairy'!I71,'Input - Dairy'!I96,'Input - Dairy'!I81,'Input - Dairy'!$E$84,'Input - Dairy'!I86,'Input - Dairy'!$E$89,'Input - Dairy'!I91,'Input - Dairy'!$E$94)</f>
        <v>3.85E-2</v>
      </c>
    </row>
    <row r="235" spans="4:20" ht="20.100000000000001" customHeight="1" x14ac:dyDescent="0.25">
      <c r="D235" s="55" t="str">
        <f>'Input - Dairy'!$D$67</f>
        <v>Feed pad</v>
      </c>
      <c r="E235" s="55" t="str">
        <f>'Input - Dairy'!$D$105</f>
        <v>Anaerobic lagoon</v>
      </c>
      <c r="F235" s="55" cm="1">
        <f t="array" ref="F235">InputFunctions_Dairy.CalculateFractionInMMSAfterSolidSeparation('Input - Dairy'!E67,'Input - Dairy'!E105,'Input - Dairy'!$E$107)</f>
        <v>7.1199999999999999E-2</v>
      </c>
      <c r="G235" s="55" cm="1">
        <f t="array" ref="G235">InputFunctions_Dairy.CalculateFractionInMMSAfterSolidSeparation('Input - Dairy'!F67,'Input - Dairy'!F105,'Input - Dairy'!$E$107)</f>
        <v>7.1199999999999999E-2</v>
      </c>
      <c r="H235" s="55" cm="1">
        <f t="array" ref="H235">InputFunctions_Dairy.CalculateFractionInMMSAfterSolidSeparation('Input - Dairy'!G67,'Input - Dairy'!G105,'Input - Dairy'!$E$107)</f>
        <v>7.1199999999999999E-2</v>
      </c>
      <c r="I235" s="55" cm="1">
        <f t="array" ref="I235">InputFunctions_Dairy.CalculateFractionInMMSAfterSolidSeparation('Input - Dairy'!H67,'Input - Dairy'!H105,'Input - Dairy'!$E$107)</f>
        <v>7.1199999999999999E-2</v>
      </c>
      <c r="J235" s="55" cm="1">
        <f t="array" ref="J235">InputFunctions_Dairy.CalculateFractionInMMSAfterSolidSeparation('Input - Dairy'!I67,'Input - Dairy'!I105,'Input - Dairy'!$E$107)</f>
        <v>7.1199999999999999E-2</v>
      </c>
      <c r="N235" s="55" t="str">
        <f>'Input - Dairy'!$D$67</f>
        <v>Feed pad</v>
      </c>
      <c r="O235" s="55" t="str">
        <f>'Input - Dairy'!$D$105</f>
        <v>Anaerobic lagoon</v>
      </c>
      <c r="P235" s="55" cm="1">
        <f t="array" ref="P235">InputFunctions_Dairy.CalculateFractionInMMSAfterSolidSeparation('Input - Dairy'!E72,'Input - Dairy'!E105,'Input - Dairy'!$E$108)</f>
        <v>7.1199999999999999E-2</v>
      </c>
      <c r="Q235" s="55" cm="1">
        <f t="array" ref="Q235">InputFunctions_Dairy.CalculateFractionInMMSAfterSolidSeparation('Input - Dairy'!F72,'Input - Dairy'!F105,'Input - Dairy'!$E$108)</f>
        <v>7.1199999999999999E-2</v>
      </c>
      <c r="R235" s="55" cm="1">
        <f t="array" ref="R235">InputFunctions_Dairy.CalculateFractionInMMSAfterSolidSeparation('Input - Dairy'!G72,'Input - Dairy'!G105,'Input - Dairy'!$E$108)</f>
        <v>7.1199999999999999E-2</v>
      </c>
      <c r="S235" s="55" cm="1">
        <f t="array" ref="S235">InputFunctions_Dairy.CalculateFractionInMMSAfterSolidSeparation('Input - Dairy'!H72,'Input - Dairy'!H105,'Input - Dairy'!$E$108)</f>
        <v>7.1199999999999999E-2</v>
      </c>
      <c r="T235" s="55" cm="1">
        <f t="array" ref="T235">InputFunctions_Dairy.CalculateFractionInMMSAfterSolidSeparation('Input - Dairy'!I72,'Input - Dairy'!I105,'Input - Dairy'!$E$108)</f>
        <v>7.1199999999999999E-2</v>
      </c>
    </row>
    <row r="236" spans="4:20" ht="20.100000000000001" customHeight="1" x14ac:dyDescent="0.25">
      <c r="D236" s="55" t="str">
        <f>'Input - Dairy'!$D$67</f>
        <v>Feed pad</v>
      </c>
      <c r="E236" s="55" t="str">
        <f>'Input - Dairy'!$D$110</f>
        <v>Sump and dispersal system</v>
      </c>
      <c r="F236" s="55" cm="1">
        <f t="array" ref="F236">InputFunctions_Dairy.CalculateFractionInMMSAfterSolidSeparation('Input - Dairy'!E67,'Input - Dairy'!E110,'Input - Dairy'!$E$112)</f>
        <v>7.1199999999999999E-2</v>
      </c>
      <c r="G236" s="55" cm="1">
        <f t="array" ref="G236">InputFunctions_Dairy.CalculateFractionInMMSAfterSolidSeparation('Input - Dairy'!F67,'Input - Dairy'!F110,'Input - Dairy'!$E$112)</f>
        <v>7.1199999999999999E-2</v>
      </c>
      <c r="H236" s="55" cm="1">
        <f t="array" ref="H236">InputFunctions_Dairy.CalculateFractionInMMSAfterSolidSeparation('Input - Dairy'!G67,'Input - Dairy'!G110,'Input - Dairy'!$E$112)</f>
        <v>7.1199999999999999E-2</v>
      </c>
      <c r="I236" s="55" cm="1">
        <f t="array" ref="I236">InputFunctions_Dairy.CalculateFractionInMMSAfterSolidSeparation('Input - Dairy'!H67,'Input - Dairy'!H110,'Input - Dairy'!$E$112)</f>
        <v>7.1199999999999999E-2</v>
      </c>
      <c r="J236" s="55" cm="1">
        <f t="array" ref="J236">InputFunctions_Dairy.CalculateFractionInMMSAfterSolidSeparation('Input - Dairy'!I67,'Input - Dairy'!I110,'Input - Dairy'!$E$112)</f>
        <v>7.1199999999999999E-2</v>
      </c>
      <c r="N236" s="55" t="str">
        <f>'Input - Dairy'!$D$67</f>
        <v>Feed pad</v>
      </c>
      <c r="O236" s="55" t="str">
        <f>'Input - Dairy'!$D$110</f>
        <v>Sump and dispersal system</v>
      </c>
      <c r="P236" s="55" cm="1">
        <f t="array" ref="P236">InputFunctions_Dairy.CalculateFractionInMMSAfterSolidSeparation('Input - Dairy'!E72,'Input - Dairy'!E110,'Input - Dairy'!$E$113)</f>
        <v>7.1199999999999999E-2</v>
      </c>
      <c r="Q236" s="55" cm="1">
        <f t="array" ref="Q236">InputFunctions_Dairy.CalculateFractionInMMSAfterSolidSeparation('Input - Dairy'!F72,'Input - Dairy'!F110,'Input - Dairy'!$E$113)</f>
        <v>7.1199999999999999E-2</v>
      </c>
      <c r="R236" s="55" cm="1">
        <f t="array" ref="R236">InputFunctions_Dairy.CalculateFractionInMMSAfterSolidSeparation('Input - Dairy'!G72,'Input - Dairy'!G110,'Input - Dairy'!$E$113)</f>
        <v>7.1199999999999999E-2</v>
      </c>
      <c r="S236" s="55" cm="1">
        <f t="array" ref="S236">InputFunctions_Dairy.CalculateFractionInMMSAfterSolidSeparation('Input - Dairy'!H72,'Input - Dairy'!H110,'Input - Dairy'!$E$113)</f>
        <v>7.1199999999999999E-2</v>
      </c>
      <c r="T236" s="55" cm="1">
        <f t="array" ref="T236">InputFunctions_Dairy.CalculateFractionInMMSAfterSolidSeparation('Input - Dairy'!I72,'Input - Dairy'!I110,'Input - Dairy'!$E$113)</f>
        <v>7.1199999999999999E-2</v>
      </c>
    </row>
    <row r="237" spans="4:20" ht="20.100000000000001" customHeight="1" x14ac:dyDescent="0.25">
      <c r="D237" s="55" t="str">
        <f>'Input - Dairy'!$D$67</f>
        <v>Feed pad</v>
      </c>
      <c r="E237" s="55" t="str">
        <f>'Input - Dairy'!$D$115</f>
        <v>Drains to paddock</v>
      </c>
      <c r="F237" s="55" cm="1">
        <f t="array" ref="F237">InputFunctions_Dairy.CalculateFractionInMMSAfterSolidSeparation('Input - Dairy'!E67,'Input - Dairy'!E115,'Input - Dairy'!$E$117)</f>
        <v>7.1199999999999999E-2</v>
      </c>
      <c r="G237" s="55" cm="1">
        <f t="array" ref="G237">InputFunctions_Dairy.CalculateFractionInMMSAfterSolidSeparation('Input - Dairy'!F67,'Input - Dairy'!F115,'Input - Dairy'!$E$117)</f>
        <v>7.1199999999999999E-2</v>
      </c>
      <c r="H237" s="55" cm="1">
        <f t="array" ref="H237">InputFunctions_Dairy.CalculateFractionInMMSAfterSolidSeparation('Input - Dairy'!G67,'Input - Dairy'!G115,'Input - Dairy'!$E$117)</f>
        <v>7.1199999999999999E-2</v>
      </c>
      <c r="I237" s="55" cm="1">
        <f t="array" ref="I237">InputFunctions_Dairy.CalculateFractionInMMSAfterSolidSeparation('Input - Dairy'!H67,'Input - Dairy'!H115,'Input - Dairy'!$E$117)</f>
        <v>7.1199999999999999E-2</v>
      </c>
      <c r="J237" s="55" cm="1">
        <f t="array" ref="J237">InputFunctions_Dairy.CalculateFractionInMMSAfterSolidSeparation('Input - Dairy'!I67,'Input - Dairy'!I115,'Input - Dairy'!$E$117)</f>
        <v>7.1199999999999999E-2</v>
      </c>
      <c r="N237" s="55" t="str">
        <f>'Input - Dairy'!$D$67</f>
        <v>Feed pad</v>
      </c>
      <c r="O237" s="55" t="str">
        <f>'Input - Dairy'!$D$115</f>
        <v>Drains to paddock</v>
      </c>
      <c r="P237" s="55" cm="1">
        <f t="array" ref="P237">InputFunctions_Dairy.CalculateFractionInMMSAfterSolidSeparation('Input - Dairy'!E72,'Input - Dairy'!E115,'Input - Dairy'!$E$118)</f>
        <v>7.1199999999999999E-2</v>
      </c>
      <c r="Q237" s="55" cm="1">
        <f t="array" ref="Q237">InputFunctions_Dairy.CalculateFractionInMMSAfterSolidSeparation('Input - Dairy'!F72,'Input - Dairy'!F115,'Input - Dairy'!$E$118)</f>
        <v>7.1199999999999999E-2</v>
      </c>
      <c r="R237" s="55" cm="1">
        <f t="array" ref="R237">InputFunctions_Dairy.CalculateFractionInMMSAfterSolidSeparation('Input - Dairy'!G72,'Input - Dairy'!G115,'Input - Dairy'!$E$118)</f>
        <v>7.1199999999999999E-2</v>
      </c>
      <c r="S237" s="55" cm="1">
        <f t="array" ref="S237">InputFunctions_Dairy.CalculateFractionInMMSAfterSolidSeparation('Input - Dairy'!H72,'Input - Dairy'!H115,'Input - Dairy'!$E$118)</f>
        <v>7.1199999999999999E-2</v>
      </c>
      <c r="T237" s="55" cm="1">
        <f t="array" ref="T237">InputFunctions_Dairy.CalculateFractionInMMSAfterSolidSeparation('Input - Dairy'!I72,'Input - Dairy'!I115,'Input - Dairy'!$E$118)</f>
        <v>7.1199999999999999E-2</v>
      </c>
    </row>
    <row r="238" spans="4:20" ht="20.100000000000001" customHeight="1" x14ac:dyDescent="0.25">
      <c r="D238" s="55" t="str">
        <f>'Input - Dairy'!$D$67</f>
        <v>Feed pad</v>
      </c>
      <c r="E238" s="55" t="s">
        <v>405</v>
      </c>
      <c r="F238" s="55" cm="1">
        <f t="array" ref="F238">InputFunctions_Dairy.CalculateFractionInSolidStorage('Input - Dairy'!E67,'Input - Dairy'!E120,'Input - Dairy'!E105,'Input - Dairy'!$E$107,'Input - Dairy'!E110,'Input - Dairy'!$E$112,'Input - Dairy'!E115,'Input - Dairy'!$E$117)</f>
        <v>0.14239999999999997</v>
      </c>
      <c r="G238" s="55" cm="1">
        <f t="array" ref="G238">InputFunctions_Dairy.CalculateFractionInSolidStorage('Input - Dairy'!F67,'Input - Dairy'!F120,'Input - Dairy'!F105,'Input - Dairy'!$E$107,'Input - Dairy'!F110,'Input - Dairy'!$E$112,'Input - Dairy'!F115,'Input - Dairy'!$E$117)</f>
        <v>0.14239999999999997</v>
      </c>
      <c r="H238" s="55" cm="1">
        <f t="array" ref="H238">InputFunctions_Dairy.CalculateFractionInSolidStorage('Input - Dairy'!G67,'Input - Dairy'!G120,'Input - Dairy'!G105,'Input - Dairy'!$E$107,'Input - Dairy'!G110,'Input - Dairy'!$E$112,'Input - Dairy'!G115,'Input - Dairy'!$E$117)</f>
        <v>0.14239999999999997</v>
      </c>
      <c r="I238" s="55" cm="1">
        <f t="array" ref="I238">InputFunctions_Dairy.CalculateFractionInSolidStorage('Input - Dairy'!H67,'Input - Dairy'!H120,'Input - Dairy'!H105,'Input - Dairy'!$E$107,'Input - Dairy'!H110,'Input - Dairy'!$E$112,'Input - Dairy'!H115,'Input - Dairy'!$E$117)</f>
        <v>0.14239999999999997</v>
      </c>
      <c r="J238" s="55" cm="1">
        <f t="array" ref="J238">InputFunctions_Dairy.CalculateFractionInSolidStorage('Input - Dairy'!I67,'Input - Dairy'!I120,'Input - Dairy'!I105,'Input - Dairy'!$E$107,'Input - Dairy'!I110,'Input - Dairy'!$E$112,'Input - Dairy'!I115,'Input - Dairy'!$E$117)</f>
        <v>0.14239999999999997</v>
      </c>
      <c r="N238" s="55" t="str">
        <f>'Input - Dairy'!$D$67</f>
        <v>Feed pad</v>
      </c>
      <c r="O238" s="55" t="str">
        <f>'Input - Dairy'!$D$120</f>
        <v>Solid storage (before solid separation)</v>
      </c>
      <c r="P238" s="55" cm="1">
        <f t="array" ref="P238">InputFunctions_Dairy.CalculateFractionInSolidStorage('Input - Dairy'!E72,'Input - Dairy'!E120,'Input - Dairy'!E105,'Input - Dairy'!$E$108, 'Input - Dairy'!E110,'Input - Dairy'!$E$113,'Input - Dairy'!E115,'Input - Dairy'!$E$118)</f>
        <v>0.14239999999999997</v>
      </c>
      <c r="Q238" s="55" cm="1">
        <f t="array" ref="Q238">InputFunctions_Dairy.CalculateFractionInSolidStorage('Input - Dairy'!F72,'Input - Dairy'!F120,'Input - Dairy'!F105,'Input - Dairy'!$E$108, 'Input - Dairy'!F110,'Input - Dairy'!$E$113,'Input - Dairy'!F115,'Input - Dairy'!$E$118)</f>
        <v>0.14239999999999997</v>
      </c>
      <c r="R238" s="55" cm="1">
        <f t="array" ref="R238">InputFunctions_Dairy.CalculateFractionInSolidStorage('Input - Dairy'!G72,'Input - Dairy'!G120,'Input - Dairy'!G105,'Input - Dairy'!$E$108, 'Input - Dairy'!G110,'Input - Dairy'!$E$113,'Input - Dairy'!G115,'Input - Dairy'!$E$118)</f>
        <v>0.14239999999999997</v>
      </c>
      <c r="S238" s="55" cm="1">
        <f t="array" ref="S238">InputFunctions_Dairy.CalculateFractionInSolidStorage('Input - Dairy'!H72,'Input - Dairy'!H120,'Input - Dairy'!H105,'Input - Dairy'!$E$108, 'Input - Dairy'!H110,'Input - Dairy'!$E$113,'Input - Dairy'!H115,'Input - Dairy'!$E$118)</f>
        <v>0.14239999999999997</v>
      </c>
      <c r="T238" s="55" cm="1">
        <f t="array" ref="T238">InputFunctions_Dairy.CalculateFractionInSolidStorage('Input - Dairy'!I72,'Input - Dairy'!I120,'Input - Dairy'!I105,'Input - Dairy'!$E$108, 'Input - Dairy'!I110,'Input - Dairy'!$E$113,'Input - Dairy'!I115,'Input - Dairy'!$E$118)</f>
        <v>0.14239999999999997</v>
      </c>
    </row>
    <row r="239" spans="4:20" ht="20.100000000000001" customHeight="1" x14ac:dyDescent="0.25">
      <c r="Q239" s="131"/>
    </row>
    <row r="240" spans="4:20" ht="20.100000000000001" customHeight="1" x14ac:dyDescent="0.25">
      <c r="D240" s="104" t="s">
        <v>307</v>
      </c>
      <c r="N240" s="104" t="s">
        <v>310</v>
      </c>
    </row>
    <row r="241" spans="1:21" ht="20.100000000000001" customHeight="1" x14ac:dyDescent="0.25">
      <c r="D241" s="103" t="s">
        <v>308</v>
      </c>
      <c r="N241" s="103" t="s">
        <v>309</v>
      </c>
    </row>
    <row r="242" spans="1:21" ht="20.100000000000001" customHeight="1" x14ac:dyDescent="0.25">
      <c r="D242" s="54" t="s">
        <v>146</v>
      </c>
      <c r="E242" s="54" t="s">
        <v>68</v>
      </c>
      <c r="F242" s="54" t="s">
        <v>171</v>
      </c>
      <c r="G242" s="54" t="s">
        <v>188</v>
      </c>
      <c r="H242" s="54" t="s">
        <v>189</v>
      </c>
      <c r="I242" s="54" t="s">
        <v>190</v>
      </c>
      <c r="J242" s="54" t="s">
        <v>191</v>
      </c>
      <c r="N242" s="54" t="s">
        <v>146</v>
      </c>
      <c r="O242" s="54" t="s">
        <v>68</v>
      </c>
      <c r="P242" s="54" t="s">
        <v>171</v>
      </c>
      <c r="Q242" s="54" t="s">
        <v>188</v>
      </c>
      <c r="R242" s="54" t="s">
        <v>189</v>
      </c>
      <c r="S242" s="54" t="s">
        <v>190</v>
      </c>
      <c r="T242" s="54" t="s">
        <v>191</v>
      </c>
    </row>
    <row r="243" spans="1:21" ht="20.100000000000001" customHeight="1" x14ac:dyDescent="0.25">
      <c r="D243" s="55" t="str">
        <f>'Input - Dairy'!$D$66</f>
        <v>Milking shed</v>
      </c>
      <c r="E243" s="55" t="str">
        <f>'Input - Dairy'!$D$81</f>
        <v>Anaerobic lagoon</v>
      </c>
      <c r="F243" s="55" cm="1">
        <f t="array" ref="F243">MMS_Dairy_N2ODirect_Equations.VEERG_4_3_1_3__2_TotalNitrogenInEachMMS(D$176,F231)</f>
        <v>608.20865696280634</v>
      </c>
      <c r="G243" s="55" cm="1">
        <f t="array" ref="G243">MMS_Dairy_N2ODirect_Equations.VEERG_4_3_1_3__2_TotalNitrogenInEachMMS(E$176,G231)</f>
        <v>227.94737834727596</v>
      </c>
      <c r="H243" s="55" cm="1">
        <f t="array" ref="H243">MMS_Dairy_N2ODirect_Equations.VEERG_4_3_1_3__2_TotalNitrogenInEachMMS(F$213,H231)</f>
        <v>90.78903015480428</v>
      </c>
      <c r="I243" s="55" cm="1">
        <f t="array" ref="I243">MMS_Dairy_N2ODirect_Equations.VEERG_4_3_1_3__2_TotalNitrogenInEachMMS(G$176,I231)</f>
        <v>286.53886967483555</v>
      </c>
      <c r="J243" s="55" cm="1">
        <f t="array" ref="J243">MMS_Dairy_N2ODirect_Equations.VEERG_4_3_1_3__2_TotalNitrogenInEachMMS(H$213,J231)</f>
        <v>119.95357134881925</v>
      </c>
      <c r="N243" s="55" t="str">
        <f>'Input - Dairy'!$D$66</f>
        <v>Milking shed</v>
      </c>
      <c r="O243" s="55" t="str">
        <f>'Input - Dairy'!$D$81</f>
        <v>Anaerobic lagoon</v>
      </c>
      <c r="P243" s="55" cm="1">
        <f t="array" ref="P243">MMS_Dairy_N2ODirect_Equations.VEERG_4_3_1_3__2_TotalNitrogenInEachMMS(N$176,P231)</f>
        <v>608.20865696280634</v>
      </c>
      <c r="Q243" s="55" cm="1">
        <f t="array" ref="Q243">MMS_Dairy_N2ODirect_Equations.VEERG_4_3_1_3__2_TotalNitrogenInEachMMS(O$176,Q231)</f>
        <v>227.94737834727596</v>
      </c>
      <c r="R243" s="55" cm="1">
        <f t="array" ref="R243">MMS_Dairy_N2ODirect_Equations.VEERG_4_3_1_3__2_TotalNitrogenInEachMMS(P$213,R231)</f>
        <v>90.78903015480428</v>
      </c>
      <c r="S243" s="55" cm="1">
        <f t="array" ref="S243">MMS_Dairy_N2ODirect_Equations.VEERG_4_3_1_3__2_TotalNitrogenInEachMMS(Q$176,S231)</f>
        <v>286.53886967483555</v>
      </c>
      <c r="T243" s="55" cm="1">
        <f t="array" ref="T243">MMS_Dairy_N2ODirect_Equations.VEERG_4_3_1_3__2_TotalNitrogenInEachMMS(R$213,T231)</f>
        <v>119.95357134881925</v>
      </c>
    </row>
    <row r="244" spans="1:21" ht="20.100000000000001" customHeight="1" x14ac:dyDescent="0.25">
      <c r="D244" s="55" t="str">
        <f>'Input - Dairy'!$D$66</f>
        <v>Milking shed</v>
      </c>
      <c r="E244" s="55" t="str">
        <f>'Input - Dairy'!$D$86</f>
        <v>Sump and dispersal system</v>
      </c>
      <c r="F244" s="55" cm="1">
        <f t="array" ref="F244">MMS_Dairy_N2ODirect_Equations.VEERG_4_3_1_3__2_TotalNitrogenInEachMMS(D$176,F232)</f>
        <v>486.56692557024513</v>
      </c>
      <c r="G244" s="55" cm="1">
        <f t="array" ref="G244">MMS_Dairy_N2ODirect_Equations.VEERG_4_3_1_3__2_TotalNitrogenInEachMMS(E$176,G232)</f>
        <v>182.35790267782079</v>
      </c>
      <c r="H244" s="55" cm="1">
        <f t="array" ref="H244">MMS_Dairy_N2ODirect_Equations.VEERG_4_3_1_3__2_TotalNitrogenInEachMMS(F$213,H232)</f>
        <v>72.631224123843424</v>
      </c>
      <c r="I244" s="55" cm="1">
        <f t="array" ref="I244">MMS_Dairy_N2ODirect_Equations.VEERG_4_3_1_3__2_TotalNitrogenInEachMMS(G$176,I232)</f>
        <v>229.23109573986844</v>
      </c>
      <c r="J244" s="55" cm="1">
        <f t="array" ref="J244">MMS_Dairy_N2ODirect_Equations.VEERG_4_3_1_3__2_TotalNitrogenInEachMMS(H$213,J232)</f>
        <v>95.962857079055411</v>
      </c>
      <c r="N244" s="55" t="str">
        <f>'Input - Dairy'!$D$66</f>
        <v>Milking shed</v>
      </c>
      <c r="O244" s="55" t="str">
        <f>'Input - Dairy'!$D$86</f>
        <v>Sump and dispersal system</v>
      </c>
      <c r="P244" s="55" cm="1">
        <f t="array" ref="P244">MMS_Dairy_N2ODirect_Equations.VEERG_4_3_1_3__2_TotalNitrogenInEachMMS(N$176,P232)</f>
        <v>486.56692557024513</v>
      </c>
      <c r="Q244" s="55" cm="1">
        <f t="array" ref="Q244">MMS_Dairy_N2ODirect_Equations.VEERG_4_3_1_3__2_TotalNitrogenInEachMMS(O$176,Q232)</f>
        <v>182.35790267782079</v>
      </c>
      <c r="R244" s="55" cm="1">
        <f t="array" ref="R244">MMS_Dairy_N2ODirect_Equations.VEERG_4_3_1_3__2_TotalNitrogenInEachMMS(P$213,R232)</f>
        <v>72.631224123843424</v>
      </c>
      <c r="S244" s="55" cm="1">
        <f t="array" ref="S244">MMS_Dairy_N2ODirect_Equations.VEERG_4_3_1_3__2_TotalNitrogenInEachMMS(Q$176,S232)</f>
        <v>229.23109573986844</v>
      </c>
      <c r="T244" s="55" cm="1">
        <f t="array" ref="T244">MMS_Dairy_N2ODirect_Equations.VEERG_4_3_1_3__2_TotalNitrogenInEachMMS(R$213,T232)</f>
        <v>95.962857079055411</v>
      </c>
    </row>
    <row r="245" spans="1:21" ht="20.100000000000001" customHeight="1" x14ac:dyDescent="0.25">
      <c r="A245" s="141" t="str">
        <f>HYPERLINK("#A1", "▲ Back to top")</f>
        <v>▲ Back to top</v>
      </c>
      <c r="D245" s="55" t="str">
        <f>'Input - Dairy'!$D$66</f>
        <v>Milking shed</v>
      </c>
      <c r="E245" s="55" t="str">
        <f>'Input - Dairy'!$D$91</f>
        <v>Drains to paddock</v>
      </c>
      <c r="F245" s="55" cm="1">
        <f t="array" ref="F245">MMS_Dairy_N2ODirect_Equations.VEERG_4_3_1_3__2_TotalNitrogenInEachMMS(D$176,F233)</f>
        <v>486.56692557024513</v>
      </c>
      <c r="G245" s="55" cm="1">
        <f t="array" ref="G245">MMS_Dairy_N2ODirect_Equations.VEERG_4_3_1_3__2_TotalNitrogenInEachMMS(E$176,G233)</f>
        <v>182.35790267782079</v>
      </c>
      <c r="H245" s="55" cm="1">
        <f t="array" ref="H245">MMS_Dairy_N2ODirect_Equations.VEERG_4_3_1_3__2_TotalNitrogenInEachMMS(F$213,H233)</f>
        <v>72.631224123843424</v>
      </c>
      <c r="I245" s="55" cm="1">
        <f t="array" ref="I245">MMS_Dairy_N2ODirect_Equations.VEERG_4_3_1_3__2_TotalNitrogenInEachMMS(G$176,I233)</f>
        <v>229.23109573986844</v>
      </c>
      <c r="J245" s="55" cm="1">
        <f t="array" ref="J245">MMS_Dairy_N2ODirect_Equations.VEERG_4_3_1_3__2_TotalNitrogenInEachMMS(H$213,J233)</f>
        <v>95.962857079055411</v>
      </c>
      <c r="N245" s="55" t="str">
        <f>'Input - Dairy'!$D$66</f>
        <v>Milking shed</v>
      </c>
      <c r="O245" s="55" t="str">
        <f>'Input - Dairy'!$D$91</f>
        <v>Drains to paddock</v>
      </c>
      <c r="P245" s="55" cm="1">
        <f t="array" ref="P245">MMS_Dairy_N2ODirect_Equations.VEERG_4_3_1_3__2_TotalNitrogenInEachMMS(N$176,P233)</f>
        <v>486.56692557024513</v>
      </c>
      <c r="Q245" s="55" cm="1">
        <f t="array" ref="Q245">MMS_Dairy_N2ODirect_Equations.VEERG_4_3_1_3__2_TotalNitrogenInEachMMS(O$176,Q233)</f>
        <v>182.35790267782079</v>
      </c>
      <c r="R245" s="55" cm="1">
        <f t="array" ref="R245">MMS_Dairy_N2ODirect_Equations.VEERG_4_3_1_3__2_TotalNitrogenInEachMMS(P$213,R233)</f>
        <v>72.631224123843424</v>
      </c>
      <c r="S245" s="55" cm="1">
        <f t="array" ref="S245">MMS_Dairy_N2ODirect_Equations.VEERG_4_3_1_3__2_TotalNitrogenInEachMMS(Q$176,S233)</f>
        <v>229.23109573986844</v>
      </c>
      <c r="T245" s="55" cm="1">
        <f t="array" ref="T245">MMS_Dairy_N2ODirect_Equations.VEERG_4_3_1_3__2_TotalNitrogenInEachMMS(R$213,T233)</f>
        <v>95.962857079055411</v>
      </c>
    </row>
    <row r="246" spans="1:21" ht="20.100000000000001" customHeight="1" x14ac:dyDescent="0.25">
      <c r="D246" s="55" t="str">
        <f>'Input - Dairy'!$D$66</f>
        <v>Milking shed</v>
      </c>
      <c r="E246" s="55" t="s">
        <v>405</v>
      </c>
      <c r="F246" s="55" cm="1">
        <f t="array" ref="F246">MMS_Dairy_N2ODirect_Equations.VEERG_4_3_1_3__2_TotalNitrogenInEachMMS(D$176,F234)</f>
        <v>851.49211974792888</v>
      </c>
      <c r="G246" s="55" cm="1">
        <f t="array" ref="G246">MMS_Dairy_N2ODirect_Equations.VEERG_4_3_1_3__2_TotalNitrogenInEachMMS(E$176,G234)</f>
        <v>319.12632968618635</v>
      </c>
      <c r="H246" s="55" cm="1">
        <f t="array" ref="H246">MMS_Dairy_N2ODirect_Equations.VEERG_4_3_1_3__2_TotalNitrogenInEachMMS(F$213,H234)</f>
        <v>127.10464221672598</v>
      </c>
      <c r="I246" s="55" cm="1">
        <f t="array" ref="I246">MMS_Dairy_N2ODirect_Equations.VEERG_4_3_1_3__2_TotalNitrogenInEachMMS(G$176,I234)</f>
        <v>401.15441754476973</v>
      </c>
      <c r="J246" s="55" cm="1">
        <f t="array" ref="J246">MMS_Dairy_N2ODirect_Equations.VEERG_4_3_1_3__2_TotalNitrogenInEachMMS(H$213,J234)</f>
        <v>167.93499988834694</v>
      </c>
      <c r="N246" s="55" t="str">
        <f>'Input - Dairy'!$D$66</f>
        <v>Milking shed</v>
      </c>
      <c r="O246" s="55" t="s">
        <v>405</v>
      </c>
      <c r="P246" s="55" cm="1">
        <f t="array" ref="P246">MMS_Dairy_N2ODirect_Equations.VEERG_4_3_1_3__2_TotalNitrogenInEachMMS(N$176,P234)</f>
        <v>851.49211974792888</v>
      </c>
      <c r="Q246" s="55" cm="1">
        <f t="array" ref="Q246">MMS_Dairy_N2ODirect_Equations.VEERG_4_3_1_3__2_TotalNitrogenInEachMMS(O$176,Q234)</f>
        <v>319.12632968618635</v>
      </c>
      <c r="R246" s="55" cm="1">
        <f t="array" ref="R246">MMS_Dairy_N2ODirect_Equations.VEERG_4_3_1_3__2_TotalNitrogenInEachMMS(P$213,R234)</f>
        <v>127.10464221672598</v>
      </c>
      <c r="S246" s="55" cm="1">
        <f t="array" ref="S246">MMS_Dairy_N2ODirect_Equations.VEERG_4_3_1_3__2_TotalNitrogenInEachMMS(Q$176,S234)</f>
        <v>401.15441754476973</v>
      </c>
      <c r="T246" s="55" cm="1">
        <f t="array" ref="T246">MMS_Dairy_N2ODirect_Equations.VEERG_4_3_1_3__2_TotalNitrogenInEachMMS(R$213,T234)</f>
        <v>167.93499988834694</v>
      </c>
    </row>
    <row r="247" spans="1:21" ht="20.100000000000001" customHeight="1" x14ac:dyDescent="0.25">
      <c r="D247" s="55" t="str">
        <f>'Input - Dairy'!$D$67</f>
        <v>Feed pad</v>
      </c>
      <c r="E247" s="55" t="str">
        <f>'Input - Dairy'!$D$105</f>
        <v>Anaerobic lagoon</v>
      </c>
      <c r="F247" s="55" cm="1">
        <f t="array" ref="F247">MMS_Dairy_N2ODirect_Equations.VEERG_4_3_1_3__2_TotalNitrogenInEachMMS(D$176,F235)</f>
        <v>1574.7075045727931</v>
      </c>
      <c r="G247" s="55" cm="1">
        <f t="array" ref="G247">MMS_Dairy_N2ODirect_Equations.VEERG_4_3_1_3__2_TotalNitrogenInEachMMS(E$176,G235)</f>
        <v>590.17648503003818</v>
      </c>
      <c r="H247" s="55" cm="1">
        <f t="array" ref="H247">MMS_Dairy_N2ODirect_Equations.VEERG_4_3_1_3__2_TotalNitrogenInEachMMS(F$213,H235)</f>
        <v>235.06105261898415</v>
      </c>
      <c r="I247" s="55" cm="1">
        <f t="array" ref="I247">MMS_Dairy_N2ODirect_Equations.VEERG_4_3_1_3__2_TotalNitrogenInEachMMS(G$176,I235)</f>
        <v>741.87518257630143</v>
      </c>
      <c r="J247" s="55" cm="1">
        <f t="array" ref="J247">MMS_Dairy_N2ODirect_Equations.VEERG_4_3_1_3__2_TotalNitrogenInEachMMS(H$213,J235)</f>
        <v>310.57070109221564</v>
      </c>
      <c r="N247" s="55" t="str">
        <f>'Input - Dairy'!$D$67</f>
        <v>Feed pad</v>
      </c>
      <c r="O247" s="55" t="str">
        <f>'Input - Dairy'!$D$105</f>
        <v>Anaerobic lagoon</v>
      </c>
      <c r="P247" s="55" cm="1">
        <f t="array" ref="P247">MMS_Dairy_N2ODirect_Equations.VEERG_4_3_1_3__2_TotalNitrogenInEachMMS(N$176,P235)</f>
        <v>1574.7075045727931</v>
      </c>
      <c r="Q247" s="55" cm="1">
        <f t="array" ref="Q247">MMS_Dairy_N2ODirect_Equations.VEERG_4_3_1_3__2_TotalNitrogenInEachMMS(O$176,Q235)</f>
        <v>590.17648503003818</v>
      </c>
      <c r="R247" s="55" cm="1">
        <f t="array" ref="R247">MMS_Dairy_N2ODirect_Equations.VEERG_4_3_1_3__2_TotalNitrogenInEachMMS(P$213,R235)</f>
        <v>235.06105261898415</v>
      </c>
      <c r="S247" s="55" cm="1">
        <f t="array" ref="S247">MMS_Dairy_N2ODirect_Equations.VEERG_4_3_1_3__2_TotalNitrogenInEachMMS(Q$176,S235)</f>
        <v>741.87518257630143</v>
      </c>
      <c r="T247" s="55" cm="1">
        <f t="array" ref="T247">MMS_Dairy_N2ODirect_Equations.VEERG_4_3_1_3__2_TotalNitrogenInEachMMS(R$213,T235)</f>
        <v>310.57070109221564</v>
      </c>
    </row>
    <row r="248" spans="1:21" ht="20.100000000000001" customHeight="1" x14ac:dyDescent="0.25">
      <c r="D248" s="55" t="str">
        <f>'Input - Dairy'!$D$67</f>
        <v>Feed pad</v>
      </c>
      <c r="E248" s="55" t="str">
        <f>'Input - Dairy'!$D$110</f>
        <v>Sump and dispersal system</v>
      </c>
      <c r="F248" s="55" cm="1">
        <f t="array" ref="F248">MMS_Dairy_N2ODirect_Equations.VEERG_4_3_1_3__2_TotalNitrogenInEachMMS(D$176,F236)</f>
        <v>1574.7075045727931</v>
      </c>
      <c r="G248" s="55" cm="1">
        <f t="array" ref="G248">MMS_Dairy_N2ODirect_Equations.VEERG_4_3_1_3__2_TotalNitrogenInEachMMS(E$176,G236)</f>
        <v>590.17648503003818</v>
      </c>
      <c r="H248" s="55" cm="1">
        <f t="array" ref="H248">MMS_Dairy_N2ODirect_Equations.VEERG_4_3_1_3__2_TotalNitrogenInEachMMS(F$213,H236)</f>
        <v>235.06105261898415</v>
      </c>
      <c r="I248" s="55" cm="1">
        <f t="array" ref="I248">MMS_Dairy_N2ODirect_Equations.VEERG_4_3_1_3__2_TotalNitrogenInEachMMS(G$176,I236)</f>
        <v>741.87518257630143</v>
      </c>
      <c r="J248" s="55" cm="1">
        <f t="array" ref="J248">MMS_Dairy_N2ODirect_Equations.VEERG_4_3_1_3__2_TotalNitrogenInEachMMS(H$213,J236)</f>
        <v>310.57070109221564</v>
      </c>
      <c r="N248" s="55" t="str">
        <f>'Input - Dairy'!$D$67</f>
        <v>Feed pad</v>
      </c>
      <c r="O248" s="55" t="str">
        <f>'Input - Dairy'!$D$110</f>
        <v>Sump and dispersal system</v>
      </c>
      <c r="P248" s="55" cm="1">
        <f t="array" ref="P248">MMS_Dairy_N2ODirect_Equations.VEERG_4_3_1_3__2_TotalNitrogenInEachMMS(N$176,P236)</f>
        <v>1574.7075045727931</v>
      </c>
      <c r="Q248" s="55" cm="1">
        <f t="array" ref="Q248">MMS_Dairy_N2ODirect_Equations.VEERG_4_3_1_3__2_TotalNitrogenInEachMMS(O$176,Q236)</f>
        <v>590.17648503003818</v>
      </c>
      <c r="R248" s="55" cm="1">
        <f t="array" ref="R248">MMS_Dairy_N2ODirect_Equations.VEERG_4_3_1_3__2_TotalNitrogenInEachMMS(P$213,R236)</f>
        <v>235.06105261898415</v>
      </c>
      <c r="S248" s="55" cm="1">
        <f t="array" ref="S248">MMS_Dairy_N2ODirect_Equations.VEERG_4_3_1_3__2_TotalNitrogenInEachMMS(Q$176,S236)</f>
        <v>741.87518257630143</v>
      </c>
      <c r="T248" s="55" cm="1">
        <f t="array" ref="T248">MMS_Dairy_N2ODirect_Equations.VEERG_4_3_1_3__2_TotalNitrogenInEachMMS(R$213,T236)</f>
        <v>310.57070109221564</v>
      </c>
    </row>
    <row r="249" spans="1:21" ht="20.100000000000001" customHeight="1" x14ac:dyDescent="0.25">
      <c r="D249" s="55" t="str">
        <f>'Input - Dairy'!$D$67</f>
        <v>Feed pad</v>
      </c>
      <c r="E249" s="55" t="str">
        <f>'Input - Dairy'!$D$115</f>
        <v>Drains to paddock</v>
      </c>
      <c r="F249" s="55" cm="1">
        <f t="array" ref="F249">MMS_Dairy_N2ODirect_Equations.VEERG_4_3_1_3__2_TotalNitrogenInEachMMS(D$176,F237)</f>
        <v>1574.7075045727931</v>
      </c>
      <c r="G249" s="55" cm="1">
        <f t="array" ref="G249">MMS_Dairy_N2ODirect_Equations.VEERG_4_3_1_3__2_TotalNitrogenInEachMMS(E$176,G237)</f>
        <v>590.17648503003818</v>
      </c>
      <c r="H249" s="55" cm="1">
        <f t="array" ref="H249">MMS_Dairy_N2ODirect_Equations.VEERG_4_3_1_3__2_TotalNitrogenInEachMMS(F$213,H237)</f>
        <v>235.06105261898415</v>
      </c>
      <c r="I249" s="55" cm="1">
        <f t="array" ref="I249">MMS_Dairy_N2ODirect_Equations.VEERG_4_3_1_3__2_TotalNitrogenInEachMMS(G$176,I237)</f>
        <v>741.87518257630143</v>
      </c>
      <c r="J249" s="55" cm="1">
        <f t="array" ref="J249">MMS_Dairy_N2ODirect_Equations.VEERG_4_3_1_3__2_TotalNitrogenInEachMMS(H$213,J237)</f>
        <v>310.57070109221564</v>
      </c>
      <c r="N249" s="55" t="str">
        <f>'Input - Dairy'!$D$67</f>
        <v>Feed pad</v>
      </c>
      <c r="O249" s="55" t="str">
        <f>'Input - Dairy'!$D$115</f>
        <v>Drains to paddock</v>
      </c>
      <c r="P249" s="55" cm="1">
        <f t="array" ref="P249">MMS_Dairy_N2ODirect_Equations.VEERG_4_3_1_3__2_TotalNitrogenInEachMMS(N$176,P237)</f>
        <v>1574.7075045727931</v>
      </c>
      <c r="Q249" s="55" cm="1">
        <f t="array" ref="Q249">MMS_Dairy_N2ODirect_Equations.VEERG_4_3_1_3__2_TotalNitrogenInEachMMS(O$176,Q237)</f>
        <v>590.17648503003818</v>
      </c>
      <c r="R249" s="55" cm="1">
        <f t="array" ref="R249">MMS_Dairy_N2ODirect_Equations.VEERG_4_3_1_3__2_TotalNitrogenInEachMMS(P$213,R237)</f>
        <v>235.06105261898415</v>
      </c>
      <c r="S249" s="55" cm="1">
        <f t="array" ref="S249">MMS_Dairy_N2ODirect_Equations.VEERG_4_3_1_3__2_TotalNitrogenInEachMMS(Q$176,S237)</f>
        <v>741.87518257630143</v>
      </c>
      <c r="T249" s="55" cm="1">
        <f t="array" ref="T249">MMS_Dairy_N2ODirect_Equations.VEERG_4_3_1_3__2_TotalNitrogenInEachMMS(R$213,T237)</f>
        <v>310.57070109221564</v>
      </c>
    </row>
    <row r="250" spans="1:21" ht="20.100000000000001" customHeight="1" x14ac:dyDescent="0.25">
      <c r="D250" s="55" t="str">
        <f>'Input - Dairy'!$D$67</f>
        <v>Feed pad</v>
      </c>
      <c r="E250" s="55" t="s">
        <v>405</v>
      </c>
      <c r="F250" s="55" cm="1">
        <f t="array" ref="F250">MMS_Dairy_N2ODirect_Equations.VEERG_4_3_1_3__2_TotalNitrogenInEachMMS(D$176,F238)</f>
        <v>3149.4150091455858</v>
      </c>
      <c r="G250" s="55" cm="1">
        <f t="array" ref="G250">MMS_Dairy_N2ODirect_Equations.VEERG_4_3_1_3__2_TotalNitrogenInEachMMS(E$176,G238)</f>
        <v>1180.3529700600759</v>
      </c>
      <c r="H250" s="55" cm="1">
        <f t="array" ref="H250">MMS_Dairy_N2ODirect_Equations.VEERG_4_3_1_3__2_TotalNitrogenInEachMMS(F$213,H238)</f>
        <v>470.12210523796824</v>
      </c>
      <c r="I250" s="55" cm="1">
        <f t="array" ref="I250">MMS_Dairy_N2ODirect_Equations.VEERG_4_3_1_3__2_TotalNitrogenInEachMMS(G$176,I238)</f>
        <v>1483.7503651526026</v>
      </c>
      <c r="J250" s="55" cm="1">
        <f t="array" ref="J250">MMS_Dairy_N2ODirect_Equations.VEERG_4_3_1_3__2_TotalNitrogenInEachMMS(H$213,J238)</f>
        <v>621.14140218443117</v>
      </c>
      <c r="N250" s="55" t="str">
        <f>'Input - Dairy'!$D$67</f>
        <v>Feed pad</v>
      </c>
      <c r="O250" s="55" t="s">
        <v>405</v>
      </c>
      <c r="P250" s="55" cm="1">
        <f t="array" ref="P250">MMS_Dairy_N2ODirect_Equations.VEERG_4_3_1_3__2_TotalNitrogenInEachMMS(N$176,P238)</f>
        <v>3149.4150091455858</v>
      </c>
      <c r="Q250" s="55" cm="1">
        <f t="array" ref="Q250">MMS_Dairy_N2ODirect_Equations.VEERG_4_3_1_3__2_TotalNitrogenInEachMMS(O$176,Q238)</f>
        <v>1180.3529700600759</v>
      </c>
      <c r="R250" s="55" cm="1">
        <f t="array" ref="R250">MMS_Dairy_N2ODirect_Equations.VEERG_4_3_1_3__2_TotalNitrogenInEachMMS(P$213,R238)</f>
        <v>470.12210523796824</v>
      </c>
      <c r="S250" s="55" cm="1">
        <f t="array" ref="S250">MMS_Dairy_N2ODirect_Equations.VEERG_4_3_1_3__2_TotalNitrogenInEachMMS(Q$176,S238)</f>
        <v>1483.7503651526026</v>
      </c>
      <c r="T250" s="55" cm="1">
        <f t="array" ref="T250">MMS_Dairy_N2ODirect_Equations.VEERG_4_3_1_3__2_TotalNitrogenInEachMMS(R$213,T238)</f>
        <v>621.14140218443117</v>
      </c>
    </row>
    <row r="251" spans="1:21" ht="20.100000000000001" customHeight="1" x14ac:dyDescent="0.25"/>
    <row r="252" spans="1:21" ht="20.100000000000001" customHeight="1" x14ac:dyDescent="0.25"/>
    <row r="253" spans="1:21" ht="20.100000000000001" customHeight="1" x14ac:dyDescent="0.25">
      <c r="C253" s="48"/>
      <c r="D253" s="48"/>
      <c r="E253" s="48"/>
      <c r="F253" s="48"/>
      <c r="G253" s="48"/>
      <c r="H253" s="48"/>
      <c r="I253" s="48"/>
      <c r="J253" s="48"/>
      <c r="K253" s="48"/>
      <c r="M253" s="48"/>
      <c r="N253" s="48"/>
      <c r="O253" s="48"/>
      <c r="P253" s="48"/>
      <c r="Q253" s="48"/>
      <c r="R253" s="48"/>
      <c r="S253" s="48"/>
      <c r="T253" s="48"/>
      <c r="U253" s="48"/>
    </row>
    <row r="254" spans="1:21" ht="20.100000000000001" customHeight="1" x14ac:dyDescent="0.25">
      <c r="D254" s="6" t="str" cm="1">
        <f t="array" ref="D254">MMS_Dairy_N2ODirect_Equations.VEERG_4_3_1_3__1_TotalAnnualDirectNitrousOxideEmissionsFromMMS_Title()</f>
        <v>Total annual direct nitrous oxide emissions from manure management systems</v>
      </c>
    </row>
    <row r="255" spans="1:21" ht="20.100000000000001" customHeight="1" x14ac:dyDescent="0.25">
      <c r="D255" s="5" t="str" cm="1">
        <f t="array" ref="D255">MMS_Dairy_N2ODirect_Equations.VEERG_4_3_1_3__1_TotalAnnualDirectNitrousOxideEmissionsFromMMS_Source()</f>
        <v>VEERG 2026: 4.3.1.3, Equation (1)</v>
      </c>
    </row>
    <row r="256" spans="1:21" ht="20.100000000000001" customHeight="1" x14ac:dyDescent="0.25">
      <c r="D256" s="13" t="s">
        <v>27</v>
      </c>
      <c r="E256" s="13" t="str" cm="1">
        <f t="array" aca="1" ref="E256" ca="1">Common_InputFunctions.Utility_DisplayFunctionName(F280)</f>
        <v>=MMS_Dairy_N2ODirect_Equations.VEERG_4_3_1_3__1_TotalAnnualDirectNitrousOxideEmissionsFromMMS</v>
      </c>
    </row>
    <row r="257" spans="4:9" ht="20.100000000000001" customHeight="1" x14ac:dyDescent="0.25"/>
    <row r="258" spans="4:9" ht="20.100000000000001" customHeight="1" x14ac:dyDescent="0.25">
      <c r="D258" s="6"/>
    </row>
    <row r="259" spans="4:9" ht="20.100000000000001" customHeight="1" x14ac:dyDescent="0.25">
      <c r="D259" s="56" t="s">
        <v>30</v>
      </c>
      <c r="E259" s="1" t="str" cm="1">
        <f t="array" ref="E259">MMS_Dairy_N2ODirect_Equations.VEERG_4_3_1_3__1_TotalAnnualDirectNitrousOxideEmissionsFromMMS_Variable()</f>
        <v>E_N2Odir</v>
      </c>
    </row>
    <row r="260" spans="4:9" ht="20.100000000000001" customHeight="1" x14ac:dyDescent="0.25">
      <c r="D260" s="56" t="s">
        <v>20</v>
      </c>
      <c r="E260" s="57" t="str" cm="1">
        <f t="array" ref="E260">MMS_Dairy_N2ODirect_Equations.VEERG_4_3_1_3__1_TotalAnnualDirectNitrousOxideEmissionsFromMMS_Unit()</f>
        <v>t N2O</v>
      </c>
    </row>
    <row r="261" spans="4:9" ht="20.100000000000001" customHeight="1" x14ac:dyDescent="0.25"/>
    <row r="262" spans="4:9" ht="20.100000000000001" customHeight="1" x14ac:dyDescent="0.25">
      <c r="D262" s="137" t="str" cm="1">
        <f t="array" ref="D262:E264">_xlfn.CHOOSECOLS(MMS_Dairy_N2ODirect_Equations.VEERG_4_3_1_3__1_TotalAnnualDirectNitrousOxideEmissionsFromMMS_Arguments(),1,2)</f>
        <v>MN_jm</v>
      </c>
      <c r="E262" s="137" t="str">
        <v>total nitrogen in each MMS for dairy cattle classes</v>
      </c>
      <c r="F262" s="137"/>
      <c r="G262" s="137" t="str" cm="1">
        <f t="array" ref="G262:H264">_xlfn.CHOOSECOLS(MMS_Dairy_N2ODirect_Equations.VEERG_4_3_1_3__1_TotalAnnualDirectNitrousOxideEmissionsFromMMS_Arguments(),3,4)</f>
        <v>kg N</v>
      </c>
      <c r="H262" s="133" t="str">
        <v>Calculated from 4.3.1.3 (2)</v>
      </c>
      <c r="I262" s="134" t="str" cm="1">
        <f t="array" aca="1" ref="I262" ca="1">HYPERLINK(Common_InputFunctions.Utility_SourceHyperlink($D$240),$D$240)</f>
        <v>M1_Table_MN_j_m</v>
      </c>
    </row>
    <row r="263" spans="4:9" ht="20.100000000000001" customHeight="1" x14ac:dyDescent="0.25">
      <c r="D263" s="137" t="str">
        <v>EF_m</v>
      </c>
      <c r="E263" s="137" t="str">
        <v>nitrous oxide emission factor for each MMS (kg N2O-N/kg N deposited)</v>
      </c>
      <c r="F263" s="137"/>
      <c r="G263" s="137" t="str">
        <v>kg N2O-N/kg N</v>
      </c>
      <c r="H263" s="133" t="str">
        <v>Constant</v>
      </c>
      <c r="I263" s="134" t="str" cm="1">
        <f t="array" aca="1" ref="I263" ca="1">HYPERLINK(Common_InputFunctions.Utility_SourceHyperlink($D$266),$D$266)</f>
        <v>Table_EF_m</v>
      </c>
    </row>
    <row r="264" spans="4:9" ht="20.100000000000001" customHeight="1" x14ac:dyDescent="0.25">
      <c r="D264" s="137" t="str">
        <v>C_N2O</v>
      </c>
      <c r="E264" s="137" t="str">
        <v>factor to convert elemental mass of N2O to molecular mass</v>
      </c>
      <c r="F264" s="137"/>
      <c r="G264" s="137" t="str">
        <v>fraction</v>
      </c>
      <c r="H264" s="133" t="str">
        <v>Constant</v>
      </c>
      <c r="I264" s="137">
        <f>Common_InputFunctions.Utility_LookupValueInTableNumber("N2O",Table_GasToMolecularConversionFactor[Gas],Table_GasToMolecularConversionFactor[Conversion factor combined])</f>
        <v>1.5714285714285714</v>
      </c>
    </row>
    <row r="265" spans="4:9" ht="20.100000000000001" customHeight="1" x14ac:dyDescent="0.25"/>
    <row r="266" spans="4:9" ht="20.100000000000001" customHeight="1" x14ac:dyDescent="0.25">
      <c r="D266" s="104" t="s">
        <v>311</v>
      </c>
    </row>
    <row r="267" spans="4:9" ht="20.100000000000001" customHeight="1" x14ac:dyDescent="0.25">
      <c r="D267" s="103" t="s">
        <v>312</v>
      </c>
    </row>
    <row r="268" spans="4:9" ht="20.100000000000001" customHeight="1" x14ac:dyDescent="0.25">
      <c r="D268" s="54" t="s">
        <v>68</v>
      </c>
      <c r="E268" s="54" t="s">
        <v>313</v>
      </c>
    </row>
    <row r="269" spans="4:9" ht="20.100000000000001" customHeight="1" x14ac:dyDescent="0.25">
      <c r="D269" s="55" t="str" cm="1">
        <f t="array" ref="D269:D273">Table_SourceData_Dairy_EFmFracGASM[NIR reference]</f>
        <v>Pasture range and paddock</v>
      </c>
      <c r="E269" s="55" cm="1">
        <f t="array" ref="E269:E273">Table_SourceData_Dairy_EFmFracGASM[EFm]</f>
        <v>0</v>
      </c>
    </row>
    <row r="270" spans="4:9" ht="20.100000000000001" customHeight="1" x14ac:dyDescent="0.25">
      <c r="D270" s="55" t="str">
        <v>Anaerobic lagoon</v>
      </c>
      <c r="E270" s="55">
        <v>0</v>
      </c>
    </row>
    <row r="271" spans="4:9" ht="20.100000000000001" customHeight="1" x14ac:dyDescent="0.25">
      <c r="D271" s="55" t="str">
        <v>Sump and dispersal system</v>
      </c>
      <c r="E271" s="55">
        <v>0</v>
      </c>
    </row>
    <row r="272" spans="4:9" ht="20.100000000000001" customHeight="1" x14ac:dyDescent="0.25">
      <c r="D272" s="55" t="str">
        <v>Drains to paddock</v>
      </c>
      <c r="E272" s="55">
        <v>0</v>
      </c>
    </row>
    <row r="273" spans="1:20" ht="20.100000000000001" customHeight="1" x14ac:dyDescent="0.25">
      <c r="D273" s="55" t="str">
        <v>Solid storage</v>
      </c>
      <c r="E273" s="55">
        <v>5.0000000000000001E-3</v>
      </c>
    </row>
    <row r="274" spans="1:20" ht="20.100000000000001" customHeight="1" x14ac:dyDescent="0.25"/>
    <row r="275" spans="1:20" ht="20.100000000000001" customHeight="1" x14ac:dyDescent="0.25">
      <c r="D275" s="104" t="s">
        <v>122</v>
      </c>
      <c r="N275" s="104" t="s">
        <v>362</v>
      </c>
    </row>
    <row r="276" spans="1:20" ht="20.100000000000001" customHeight="1" x14ac:dyDescent="0.25">
      <c r="D276" s="103" t="s">
        <v>314</v>
      </c>
      <c r="N276" s="103" t="s">
        <v>465</v>
      </c>
    </row>
    <row r="277" spans="1:20" ht="20.100000000000001" customHeight="1" x14ac:dyDescent="0.25">
      <c r="D277" s="54" t="s">
        <v>146</v>
      </c>
      <c r="E277" s="54" t="s">
        <v>68</v>
      </c>
      <c r="F277" s="54" t="s">
        <v>171</v>
      </c>
      <c r="G277" s="54" t="s">
        <v>188</v>
      </c>
      <c r="H277" s="54" t="s">
        <v>189</v>
      </c>
      <c r="I277" s="54" t="s">
        <v>190</v>
      </c>
      <c r="J277" s="54" t="s">
        <v>191</v>
      </c>
      <c r="N277" s="54" t="s">
        <v>146</v>
      </c>
      <c r="O277" s="54" t="s">
        <v>68</v>
      </c>
      <c r="P277" s="54" t="s">
        <v>171</v>
      </c>
      <c r="Q277" s="54" t="s">
        <v>188</v>
      </c>
      <c r="R277" s="54" t="s">
        <v>189</v>
      </c>
      <c r="S277" s="54" t="s">
        <v>190</v>
      </c>
      <c r="T277" s="54" t="s">
        <v>191</v>
      </c>
    </row>
    <row r="278" spans="1:20" ht="20.100000000000001" customHeight="1" x14ac:dyDescent="0.25">
      <c r="D278" s="55" t="str">
        <f>'Input - Dairy'!$D$66</f>
        <v>Milking shed</v>
      </c>
      <c r="E278" s="55" t="str">
        <f>'Input - Dairy'!$D$81</f>
        <v>Anaerobic lagoon</v>
      </c>
      <c r="F278" s="55" cm="1">
        <f t="array" ref="F278">MMS_Dairy_N2ODirect_Equations.VEERG_4_3_1_3__1_TotalAnnualDirectNitrousOxideEmissionsFromMMS(F243,$E270,$I$264)</f>
        <v>0</v>
      </c>
      <c r="G278" s="55" cm="1">
        <f t="array" ref="G278">MMS_Dairy_N2ODirect_Equations.VEERG_4_3_1_3__1_TotalAnnualDirectNitrousOxideEmissionsFromMMS(G243,$E270,$I$264)</f>
        <v>0</v>
      </c>
      <c r="H278" s="55" cm="1">
        <f t="array" ref="H278">MMS_Dairy_N2ODirect_Equations.VEERG_4_3_1_3__1_TotalAnnualDirectNitrousOxideEmissionsFromMMS(H243,$E270,$I$264)</f>
        <v>0</v>
      </c>
      <c r="I278" s="55" cm="1">
        <f t="array" ref="I278">MMS_Dairy_N2ODirect_Equations.VEERG_4_3_1_3__1_TotalAnnualDirectNitrousOxideEmissionsFromMMS(I243,$E270,$I$264)</f>
        <v>0</v>
      </c>
      <c r="J278" s="55" cm="1">
        <f t="array" ref="J278">MMS_Dairy_N2ODirect_Equations.VEERG_4_3_1_3__1_TotalAnnualDirectNitrousOxideEmissionsFromMMS(J243,$E270,$I$264)</f>
        <v>0</v>
      </c>
      <c r="N278" s="55" t="str">
        <f>'Input - Dairy'!$D$66</f>
        <v>Milking shed</v>
      </c>
      <c r="O278" s="55" t="str">
        <f>'Input - Dairy'!$D$81</f>
        <v>Anaerobic lagoon</v>
      </c>
      <c r="P278" s="55" cm="1">
        <f t="array" ref="P278">MMS_Dairy_N2ODirect_Equations.VEERG_4_3_1_3__1_TotalAnnualDirectNitrousOxideEmissionsFromMMS(P243,$E270,$I$264)</f>
        <v>0</v>
      </c>
      <c r="Q278" s="55" cm="1">
        <f t="array" ref="Q278">MMS_Dairy_N2ODirect_Equations.VEERG_4_3_1_3__1_TotalAnnualDirectNitrousOxideEmissionsFromMMS(Q243,$E270,$I$264)</f>
        <v>0</v>
      </c>
      <c r="R278" s="55" cm="1">
        <f t="array" ref="R278">MMS_Dairy_N2ODirect_Equations.VEERG_4_3_1_3__1_TotalAnnualDirectNitrousOxideEmissionsFromMMS(R243,$E270,$I$264)</f>
        <v>0</v>
      </c>
      <c r="S278" s="55" cm="1">
        <f t="array" ref="S278">MMS_Dairy_N2ODirect_Equations.VEERG_4_3_1_3__1_TotalAnnualDirectNitrousOxideEmissionsFromMMS(S243,$E270,$I$264)</f>
        <v>0</v>
      </c>
      <c r="T278" s="55" cm="1">
        <f t="array" ref="T278">MMS_Dairy_N2ODirect_Equations.VEERG_4_3_1_3__1_TotalAnnualDirectNitrousOxideEmissionsFromMMS(T243,$E270,$I$264)</f>
        <v>0</v>
      </c>
    </row>
    <row r="279" spans="1:20" ht="20.100000000000001" customHeight="1" x14ac:dyDescent="0.25">
      <c r="D279" s="55" t="str">
        <f>'Input - Dairy'!$D$66</f>
        <v>Milking shed</v>
      </c>
      <c r="E279" s="55" t="str">
        <f>'Input - Dairy'!$D$86</f>
        <v>Sump and dispersal system</v>
      </c>
      <c r="F279" s="55" cm="1">
        <f t="array" ref="F279">MMS_Dairy_N2ODirect_Equations.VEERG_4_3_1_3__1_TotalAnnualDirectNitrousOxideEmissionsFromMMS(F244,$E271,$I$264)</f>
        <v>0</v>
      </c>
      <c r="G279" s="55" cm="1">
        <f t="array" ref="G279">MMS_Dairy_N2ODirect_Equations.VEERG_4_3_1_3__1_TotalAnnualDirectNitrousOxideEmissionsFromMMS(G244,$E271,$I$264)</f>
        <v>0</v>
      </c>
      <c r="H279" s="55" cm="1">
        <f t="array" ref="H279">MMS_Dairy_N2ODirect_Equations.VEERG_4_3_1_3__1_TotalAnnualDirectNitrousOxideEmissionsFromMMS(H244,$E271,$I$264)</f>
        <v>0</v>
      </c>
      <c r="I279" s="55" cm="1">
        <f t="array" ref="I279">MMS_Dairy_N2ODirect_Equations.VEERG_4_3_1_3__1_TotalAnnualDirectNitrousOxideEmissionsFromMMS(I244,$E271,$I$264)</f>
        <v>0</v>
      </c>
      <c r="J279" s="55" cm="1">
        <f t="array" ref="J279">MMS_Dairy_N2ODirect_Equations.VEERG_4_3_1_3__1_TotalAnnualDirectNitrousOxideEmissionsFromMMS(J244,$E271,$I$264)</f>
        <v>0</v>
      </c>
      <c r="N279" s="55" t="str">
        <f>'Input - Dairy'!$D$66</f>
        <v>Milking shed</v>
      </c>
      <c r="O279" s="55" t="str">
        <f>'Input - Dairy'!$D$86</f>
        <v>Sump and dispersal system</v>
      </c>
      <c r="P279" s="55" cm="1">
        <f t="array" ref="P279">MMS_Dairy_N2ODirect_Equations.VEERG_4_3_1_3__1_TotalAnnualDirectNitrousOxideEmissionsFromMMS(P244,$E271,$I$264)</f>
        <v>0</v>
      </c>
      <c r="Q279" s="55" cm="1">
        <f t="array" ref="Q279">MMS_Dairy_N2ODirect_Equations.VEERG_4_3_1_3__1_TotalAnnualDirectNitrousOxideEmissionsFromMMS(Q244,$E271,$I$264)</f>
        <v>0</v>
      </c>
      <c r="R279" s="55" cm="1">
        <f t="array" ref="R279">MMS_Dairy_N2ODirect_Equations.VEERG_4_3_1_3__1_TotalAnnualDirectNitrousOxideEmissionsFromMMS(R244,$E271,$I$264)</f>
        <v>0</v>
      </c>
      <c r="S279" s="55" cm="1">
        <f t="array" ref="S279">MMS_Dairy_N2ODirect_Equations.VEERG_4_3_1_3__1_TotalAnnualDirectNitrousOxideEmissionsFromMMS(S244,$E271,$I$264)</f>
        <v>0</v>
      </c>
      <c r="T279" s="55" cm="1">
        <f t="array" ref="T279">MMS_Dairy_N2ODirect_Equations.VEERG_4_3_1_3__1_TotalAnnualDirectNitrousOxideEmissionsFromMMS(T244,$E271,$I$264)</f>
        <v>0</v>
      </c>
    </row>
    <row r="280" spans="1:20" ht="20.100000000000001" customHeight="1" x14ac:dyDescent="0.25">
      <c r="D280" s="55" t="str">
        <f>'Input - Dairy'!$D$66</f>
        <v>Milking shed</v>
      </c>
      <c r="E280" s="55" t="str">
        <f>'Input - Dairy'!$D$91</f>
        <v>Drains to paddock</v>
      </c>
      <c r="F280" s="55" cm="1">
        <f t="array" ref="F280">MMS_Dairy_N2ODirect_Equations.VEERG_4_3_1_3__1_TotalAnnualDirectNitrousOxideEmissionsFromMMS(F245,$E272,$I$264)</f>
        <v>0</v>
      </c>
      <c r="G280" s="55" cm="1">
        <f t="array" ref="G280">MMS_Dairy_N2ODirect_Equations.VEERG_4_3_1_3__1_TotalAnnualDirectNitrousOxideEmissionsFromMMS(G245,$E272,$I$264)</f>
        <v>0</v>
      </c>
      <c r="H280" s="55" cm="1">
        <f t="array" ref="H280">MMS_Dairy_N2ODirect_Equations.VEERG_4_3_1_3__1_TotalAnnualDirectNitrousOxideEmissionsFromMMS(H245,$E272,$I$264)</f>
        <v>0</v>
      </c>
      <c r="I280" s="55" cm="1">
        <f t="array" ref="I280">MMS_Dairy_N2ODirect_Equations.VEERG_4_3_1_3__1_TotalAnnualDirectNitrousOxideEmissionsFromMMS(I245,$E272,$I$264)</f>
        <v>0</v>
      </c>
      <c r="J280" s="55" cm="1">
        <f t="array" ref="J280">MMS_Dairy_N2ODirect_Equations.VEERG_4_3_1_3__1_TotalAnnualDirectNitrousOxideEmissionsFromMMS(J245,$E272,$I$264)</f>
        <v>0</v>
      </c>
      <c r="N280" s="55" t="str">
        <f>'Input - Dairy'!$D$66</f>
        <v>Milking shed</v>
      </c>
      <c r="O280" s="55" t="str">
        <f>'Input - Dairy'!$D$91</f>
        <v>Drains to paddock</v>
      </c>
      <c r="P280" s="55" cm="1">
        <f t="array" ref="P280">MMS_Dairy_N2ODirect_Equations.VEERG_4_3_1_3__1_TotalAnnualDirectNitrousOxideEmissionsFromMMS(P245,$E272,$I$264)</f>
        <v>0</v>
      </c>
      <c r="Q280" s="55" cm="1">
        <f t="array" ref="Q280">MMS_Dairy_N2ODirect_Equations.VEERG_4_3_1_3__1_TotalAnnualDirectNitrousOxideEmissionsFromMMS(Q245,$E272,$I$264)</f>
        <v>0</v>
      </c>
      <c r="R280" s="55" cm="1">
        <f t="array" ref="R280">MMS_Dairy_N2ODirect_Equations.VEERG_4_3_1_3__1_TotalAnnualDirectNitrousOxideEmissionsFromMMS(R245,$E272,$I$264)</f>
        <v>0</v>
      </c>
      <c r="S280" s="55" cm="1">
        <f t="array" ref="S280">MMS_Dairy_N2ODirect_Equations.VEERG_4_3_1_3__1_TotalAnnualDirectNitrousOxideEmissionsFromMMS(S245,$E272,$I$264)</f>
        <v>0</v>
      </c>
      <c r="T280" s="55" cm="1">
        <f t="array" ref="T280">MMS_Dairy_N2ODirect_Equations.VEERG_4_3_1_3__1_TotalAnnualDirectNitrousOxideEmissionsFromMMS(T245,$E272,$I$264)</f>
        <v>0</v>
      </c>
    </row>
    <row r="281" spans="1:20" ht="20.100000000000001" customHeight="1" x14ac:dyDescent="0.25">
      <c r="D281" s="55" t="str">
        <f>'Input - Dairy'!$D$66</f>
        <v>Milking shed</v>
      </c>
      <c r="E281" s="55" t="s">
        <v>405</v>
      </c>
      <c r="F281" s="55" cm="1">
        <f t="array" ref="F281">MMS_Dairy_N2ODirect_Equations.VEERG_4_3_1_3__1_TotalAnnualDirectNitrousOxideEmissionsFromMMS(F246,$E273,$I$264)</f>
        <v>6.6902952265908699E-3</v>
      </c>
      <c r="G281" s="55" cm="1">
        <f t="array" ref="G281">MMS_Dairy_N2ODirect_Equations.VEERG_4_3_1_3__1_TotalAnnualDirectNitrousOxideEmissionsFromMMS(G246,$E273,$I$264)</f>
        <v>2.5074211618200358E-3</v>
      </c>
      <c r="H281" s="55" cm="1">
        <f t="array" ref="H281">MMS_Dairy_N2ODirect_Equations.VEERG_4_3_1_3__1_TotalAnnualDirectNitrousOxideEmissionsFromMMS(H246,$E273,$I$264)</f>
        <v>9.9867933170284698E-4</v>
      </c>
      <c r="I281" s="55" cm="1">
        <f t="array" ref="I281">MMS_Dairy_N2ODirect_Equations.VEERG_4_3_1_3__1_TotalAnnualDirectNitrousOxideEmissionsFromMMS(I246,$E273,$I$264)</f>
        <v>3.1519275664231901E-3</v>
      </c>
      <c r="J281" s="55" cm="1">
        <f t="array" ref="J281">MMS_Dairy_N2ODirect_Equations.VEERG_4_3_1_3__1_TotalAnnualDirectNitrousOxideEmissionsFromMMS(J246,$E273,$I$264)</f>
        <v>1.3194892848370117E-3</v>
      </c>
      <c r="N281" s="55" t="str">
        <f>'Input - Dairy'!$D$66</f>
        <v>Milking shed</v>
      </c>
      <c r="O281" s="55" t="s">
        <v>405</v>
      </c>
      <c r="P281" s="55" cm="1">
        <f t="array" ref="P281">MMS_Dairy_N2ODirect_Equations.VEERG_4_3_1_3__1_TotalAnnualDirectNitrousOxideEmissionsFromMMS(P246,$E273,$I$264)</f>
        <v>6.6902952265908699E-3</v>
      </c>
      <c r="Q281" s="55" cm="1">
        <f t="array" ref="Q281">MMS_Dairy_N2ODirect_Equations.VEERG_4_3_1_3__1_TotalAnnualDirectNitrousOxideEmissionsFromMMS(Q246,$E273,$I$264)</f>
        <v>2.5074211618200358E-3</v>
      </c>
      <c r="R281" s="55" cm="1">
        <f t="array" ref="R281">MMS_Dairy_N2ODirect_Equations.VEERG_4_3_1_3__1_TotalAnnualDirectNitrousOxideEmissionsFromMMS(R246,$E273,$I$264)</f>
        <v>9.9867933170284698E-4</v>
      </c>
      <c r="S281" s="55" cm="1">
        <f t="array" ref="S281">MMS_Dairy_N2ODirect_Equations.VEERG_4_3_1_3__1_TotalAnnualDirectNitrousOxideEmissionsFromMMS(S246,$E273,$I$264)</f>
        <v>3.1519275664231901E-3</v>
      </c>
      <c r="T281" s="55" cm="1">
        <f t="array" ref="T281">MMS_Dairy_N2ODirect_Equations.VEERG_4_3_1_3__1_TotalAnnualDirectNitrousOxideEmissionsFromMMS(T246,$E273,$I$264)</f>
        <v>1.3194892848370117E-3</v>
      </c>
    </row>
    <row r="282" spans="1:20" ht="20.100000000000001" customHeight="1" x14ac:dyDescent="0.25">
      <c r="D282" s="55" t="str">
        <f>'Input - Dairy'!$D$67</f>
        <v>Feed pad</v>
      </c>
      <c r="E282" s="55" t="str">
        <f>'Input - Dairy'!$D$105</f>
        <v>Anaerobic lagoon</v>
      </c>
      <c r="F282" s="55" cm="1">
        <f t="array" ref="F282">MMS_Dairy_N2ODirect_Equations.VEERG_4_3_1_3__1_TotalAnnualDirectNitrousOxideEmissionsFromMMS(F247,$E270,$I$264)</f>
        <v>0</v>
      </c>
      <c r="G282" s="55" cm="1">
        <f t="array" ref="G282">MMS_Dairy_N2ODirect_Equations.VEERG_4_3_1_3__1_TotalAnnualDirectNitrousOxideEmissionsFromMMS(G247,$E270,$I$264)</f>
        <v>0</v>
      </c>
      <c r="H282" s="55" cm="1">
        <f t="array" ref="H282">MMS_Dairy_N2ODirect_Equations.VEERG_4_3_1_3__1_TotalAnnualDirectNitrousOxideEmissionsFromMMS(H247,$E270,$I$264)</f>
        <v>0</v>
      </c>
      <c r="I282" s="55" cm="1">
        <f t="array" ref="I282">MMS_Dairy_N2ODirect_Equations.VEERG_4_3_1_3__1_TotalAnnualDirectNitrousOxideEmissionsFromMMS(I247,$E270,$I$264)</f>
        <v>0</v>
      </c>
      <c r="J282" s="55" cm="1">
        <f t="array" ref="J282">MMS_Dairy_N2ODirect_Equations.VEERG_4_3_1_3__1_TotalAnnualDirectNitrousOxideEmissionsFromMMS(J247,$E270,$I$264)</f>
        <v>0</v>
      </c>
      <c r="N282" s="55" t="str">
        <f>'Input - Dairy'!$D$67</f>
        <v>Feed pad</v>
      </c>
      <c r="O282" s="55" t="str">
        <f>'Input - Dairy'!$D$105</f>
        <v>Anaerobic lagoon</v>
      </c>
      <c r="P282" s="55" cm="1">
        <f t="array" ref="P282">MMS_Dairy_N2ODirect_Equations.VEERG_4_3_1_3__1_TotalAnnualDirectNitrousOxideEmissionsFromMMS(P247,$E270,$I$264)</f>
        <v>0</v>
      </c>
      <c r="Q282" s="55" cm="1">
        <f t="array" ref="Q282">MMS_Dairy_N2ODirect_Equations.VEERG_4_3_1_3__1_TotalAnnualDirectNitrousOxideEmissionsFromMMS(Q247,$E270,$I$264)</f>
        <v>0</v>
      </c>
      <c r="R282" s="55" cm="1">
        <f t="array" ref="R282">MMS_Dairy_N2ODirect_Equations.VEERG_4_3_1_3__1_TotalAnnualDirectNitrousOxideEmissionsFromMMS(R247,$E270,$I$264)</f>
        <v>0</v>
      </c>
      <c r="S282" s="55" cm="1">
        <f t="array" ref="S282">MMS_Dairy_N2ODirect_Equations.VEERG_4_3_1_3__1_TotalAnnualDirectNitrousOxideEmissionsFromMMS(S247,$E270,$I$264)</f>
        <v>0</v>
      </c>
      <c r="T282" s="55" cm="1">
        <f t="array" ref="T282">MMS_Dairy_N2ODirect_Equations.VEERG_4_3_1_3__1_TotalAnnualDirectNitrousOxideEmissionsFromMMS(T247,$E270,$I$264)</f>
        <v>0</v>
      </c>
    </row>
    <row r="283" spans="1:20" ht="20.100000000000001" customHeight="1" x14ac:dyDescent="0.25">
      <c r="D283" s="55" t="str">
        <f>'Input - Dairy'!$D$67</f>
        <v>Feed pad</v>
      </c>
      <c r="E283" s="55" t="str">
        <f>'Input - Dairy'!$D$110</f>
        <v>Sump and dispersal system</v>
      </c>
      <c r="F283" s="55" cm="1">
        <f t="array" ref="F283">MMS_Dairy_N2ODirect_Equations.VEERG_4_3_1_3__1_TotalAnnualDirectNitrousOxideEmissionsFromMMS(F248,$E271,$I$264)</f>
        <v>0</v>
      </c>
      <c r="G283" s="55" cm="1">
        <f t="array" ref="G283">MMS_Dairy_N2ODirect_Equations.VEERG_4_3_1_3__1_TotalAnnualDirectNitrousOxideEmissionsFromMMS(G248,$E271,$I$264)</f>
        <v>0</v>
      </c>
      <c r="H283" s="55" cm="1">
        <f t="array" ref="H283">MMS_Dairy_N2ODirect_Equations.VEERG_4_3_1_3__1_TotalAnnualDirectNitrousOxideEmissionsFromMMS(H248,$E271,$I$264)</f>
        <v>0</v>
      </c>
      <c r="I283" s="55" cm="1">
        <f t="array" ref="I283">MMS_Dairy_N2ODirect_Equations.VEERG_4_3_1_3__1_TotalAnnualDirectNitrousOxideEmissionsFromMMS(I248,$E271,$I$264)</f>
        <v>0</v>
      </c>
      <c r="J283" s="55" cm="1">
        <f t="array" ref="J283">MMS_Dairy_N2ODirect_Equations.VEERG_4_3_1_3__1_TotalAnnualDirectNitrousOxideEmissionsFromMMS(J248,$E271,$I$264)</f>
        <v>0</v>
      </c>
      <c r="N283" s="55" t="str">
        <f>'Input - Dairy'!$D$67</f>
        <v>Feed pad</v>
      </c>
      <c r="O283" s="55" t="str">
        <f>'Input - Dairy'!$D$110</f>
        <v>Sump and dispersal system</v>
      </c>
      <c r="P283" s="55" cm="1">
        <f t="array" ref="P283">MMS_Dairy_N2ODirect_Equations.VEERG_4_3_1_3__1_TotalAnnualDirectNitrousOxideEmissionsFromMMS(P248,$E271,$I$264)</f>
        <v>0</v>
      </c>
      <c r="Q283" s="55" cm="1">
        <f t="array" ref="Q283">MMS_Dairy_N2ODirect_Equations.VEERG_4_3_1_3__1_TotalAnnualDirectNitrousOxideEmissionsFromMMS(Q248,$E271,$I$264)</f>
        <v>0</v>
      </c>
      <c r="R283" s="55" cm="1">
        <f t="array" ref="R283">MMS_Dairy_N2ODirect_Equations.VEERG_4_3_1_3__1_TotalAnnualDirectNitrousOxideEmissionsFromMMS(R248,$E271,$I$264)</f>
        <v>0</v>
      </c>
      <c r="S283" s="55" cm="1">
        <f t="array" ref="S283">MMS_Dairy_N2ODirect_Equations.VEERG_4_3_1_3__1_TotalAnnualDirectNitrousOxideEmissionsFromMMS(S248,$E271,$I$264)</f>
        <v>0</v>
      </c>
      <c r="T283" s="55" cm="1">
        <f t="array" ref="T283">MMS_Dairy_N2ODirect_Equations.VEERG_4_3_1_3__1_TotalAnnualDirectNitrousOxideEmissionsFromMMS(T248,$E271,$I$264)</f>
        <v>0</v>
      </c>
    </row>
    <row r="284" spans="1:20" ht="20.100000000000001" customHeight="1" x14ac:dyDescent="0.25">
      <c r="D284" s="55" t="str">
        <f>'Input - Dairy'!$D$67</f>
        <v>Feed pad</v>
      </c>
      <c r="E284" s="55" t="str">
        <f>'Input - Dairy'!$D$115</f>
        <v>Drains to paddock</v>
      </c>
      <c r="F284" s="55" cm="1">
        <f t="array" ref="F284">MMS_Dairy_N2ODirect_Equations.VEERG_4_3_1_3__1_TotalAnnualDirectNitrousOxideEmissionsFromMMS(F249,$E272,$I$264)</f>
        <v>0</v>
      </c>
      <c r="G284" s="55" cm="1">
        <f t="array" ref="G284">MMS_Dairy_N2ODirect_Equations.VEERG_4_3_1_3__1_TotalAnnualDirectNitrousOxideEmissionsFromMMS(G249,$E272,$I$264)</f>
        <v>0</v>
      </c>
      <c r="H284" s="55" cm="1">
        <f t="array" ref="H284">MMS_Dairy_N2ODirect_Equations.VEERG_4_3_1_3__1_TotalAnnualDirectNitrousOxideEmissionsFromMMS(H249,$E272,$I$264)</f>
        <v>0</v>
      </c>
      <c r="I284" s="55" cm="1">
        <f t="array" ref="I284">MMS_Dairy_N2ODirect_Equations.VEERG_4_3_1_3__1_TotalAnnualDirectNitrousOxideEmissionsFromMMS(I249,$E272,$I$264)</f>
        <v>0</v>
      </c>
      <c r="J284" s="55" cm="1">
        <f t="array" ref="J284">MMS_Dairy_N2ODirect_Equations.VEERG_4_3_1_3__1_TotalAnnualDirectNitrousOxideEmissionsFromMMS(J249,$E272,$I$264)</f>
        <v>0</v>
      </c>
      <c r="N284" s="55" t="str">
        <f>'Input - Dairy'!$D$67</f>
        <v>Feed pad</v>
      </c>
      <c r="O284" s="55" t="str">
        <f>'Input - Dairy'!$D$115</f>
        <v>Drains to paddock</v>
      </c>
      <c r="P284" s="55" cm="1">
        <f t="array" ref="P284">MMS_Dairy_N2ODirect_Equations.VEERG_4_3_1_3__1_TotalAnnualDirectNitrousOxideEmissionsFromMMS(P249,$E272,$I$264)</f>
        <v>0</v>
      </c>
      <c r="Q284" s="55" cm="1">
        <f t="array" ref="Q284">MMS_Dairy_N2ODirect_Equations.VEERG_4_3_1_3__1_TotalAnnualDirectNitrousOxideEmissionsFromMMS(Q249,$E272,$I$264)</f>
        <v>0</v>
      </c>
      <c r="R284" s="55" cm="1">
        <f t="array" ref="R284">MMS_Dairy_N2ODirect_Equations.VEERG_4_3_1_3__1_TotalAnnualDirectNitrousOxideEmissionsFromMMS(R249,$E272,$I$264)</f>
        <v>0</v>
      </c>
      <c r="S284" s="55" cm="1">
        <f t="array" ref="S284">MMS_Dairy_N2ODirect_Equations.VEERG_4_3_1_3__1_TotalAnnualDirectNitrousOxideEmissionsFromMMS(S249,$E272,$I$264)</f>
        <v>0</v>
      </c>
      <c r="T284" s="55" cm="1">
        <f t="array" ref="T284">MMS_Dairy_N2ODirect_Equations.VEERG_4_3_1_3__1_TotalAnnualDirectNitrousOxideEmissionsFromMMS(T249,$E272,$I$264)</f>
        <v>0</v>
      </c>
    </row>
    <row r="285" spans="1:20" ht="20.100000000000001" customHeight="1" x14ac:dyDescent="0.25">
      <c r="A285" s="141" t="str">
        <f>HYPERLINK("#A1", "▲ Back to top")</f>
        <v>▲ Back to top</v>
      </c>
      <c r="D285" s="55" t="str">
        <f>'Input - Dairy'!$D$67</f>
        <v>Feed pad</v>
      </c>
      <c r="E285" s="55" t="s">
        <v>405</v>
      </c>
      <c r="F285" s="55" cm="1">
        <f t="array" ref="F285">MMS_Dairy_N2ODirect_Equations.VEERG_4_3_1_3__1_TotalAnnualDirectNitrousOxideEmissionsFromMMS(F250,$E273,$I$264)</f>
        <v>2.4745403643286746E-2</v>
      </c>
      <c r="G285" s="55" cm="1">
        <f t="array" ref="G285">MMS_Dairy_N2ODirect_Equations.VEERG_4_3_1_3__1_TotalAnnualDirectNitrousOxideEmissionsFromMMS(G250,$E273,$I$264)</f>
        <v>9.2742019076148818E-3</v>
      </c>
      <c r="H285" s="55" cm="1">
        <f t="array" ref="H285">MMS_Dairy_N2ODirect_Equations.VEERG_4_3_1_3__1_TotalAnnualDirectNitrousOxideEmissionsFromMMS(H250,$E273,$I$264)</f>
        <v>3.6938165411554646E-3</v>
      </c>
      <c r="I285" s="55" cm="1">
        <f t="array" ref="I285">MMS_Dairy_N2ODirect_Equations.VEERG_4_3_1_3__1_TotalAnnualDirectNitrousOxideEmissionsFromMMS(I250,$E273,$I$264)</f>
        <v>1.1658038583341877E-2</v>
      </c>
      <c r="J285" s="55" cm="1">
        <f t="array" ref="J285">MMS_Dairy_N2ODirect_Equations.VEERG_4_3_1_3__1_TotalAnnualDirectNitrousOxideEmissionsFromMMS(J250,$E273,$I$264)</f>
        <v>4.8803967314491022E-3</v>
      </c>
      <c r="N285" s="55" t="str">
        <f>'Input - Dairy'!$D$67</f>
        <v>Feed pad</v>
      </c>
      <c r="O285" s="55" t="s">
        <v>405</v>
      </c>
      <c r="P285" s="55" cm="1">
        <f t="array" ref="P285">MMS_Dairy_N2ODirect_Equations.VEERG_4_3_1_3__1_TotalAnnualDirectNitrousOxideEmissionsFromMMS(P250,$E273,$I$264)</f>
        <v>2.4745403643286746E-2</v>
      </c>
      <c r="Q285" s="55" cm="1">
        <f t="array" ref="Q285">MMS_Dairy_N2ODirect_Equations.VEERG_4_3_1_3__1_TotalAnnualDirectNitrousOxideEmissionsFromMMS(Q250,$E273,$I$264)</f>
        <v>9.2742019076148818E-3</v>
      </c>
      <c r="R285" s="55" cm="1">
        <f t="array" ref="R285">MMS_Dairy_N2ODirect_Equations.VEERG_4_3_1_3__1_TotalAnnualDirectNitrousOxideEmissionsFromMMS(R250,$E273,$I$264)</f>
        <v>3.6938165411554646E-3</v>
      </c>
      <c r="S285" s="55" cm="1">
        <f t="array" ref="S285">MMS_Dairy_N2ODirect_Equations.VEERG_4_3_1_3__1_TotalAnnualDirectNitrousOxideEmissionsFromMMS(S250,$E273,$I$264)</f>
        <v>1.1658038583341877E-2</v>
      </c>
      <c r="T285" s="55" cm="1">
        <f t="array" ref="T285">MMS_Dairy_N2ODirect_Equations.VEERG_4_3_1_3__1_TotalAnnualDirectNitrousOxideEmissionsFromMMS(T250,$E273,$I$264)</f>
        <v>4.8803967314491022E-3</v>
      </c>
    </row>
    <row r="286" spans="1:20" ht="20.100000000000001" customHeight="1" x14ac:dyDescent="0.25"/>
    <row r="287" spans="1:20" ht="20.100000000000001" customHeight="1" x14ac:dyDescent="0.25">
      <c r="D287" s="108" t="s">
        <v>121</v>
      </c>
      <c r="E287" s="109">
        <f>SUM(F278:J285)</f>
        <v>6.891966997822202E-2</v>
      </c>
      <c r="F287" s="110" t="str">
        <f>$E$260</f>
        <v>t N2O</v>
      </c>
      <c r="N287" s="108" t="s">
        <v>121</v>
      </c>
      <c r="O287" s="109">
        <f>SUM(P278:T285)</f>
        <v>6.891966997822202E-2</v>
      </c>
      <c r="P287" s="110" t="str">
        <f>$E$260</f>
        <v>t N2O</v>
      </c>
    </row>
    <row r="288" spans="1:20" ht="20.100000000000001" customHeight="1" x14ac:dyDescent="0.25"/>
    <row r="289" spans="4:17" ht="20.100000000000001" customHeight="1" x14ac:dyDescent="0.25">
      <c r="D289" s="60" t="str" cm="1">
        <f t="array" ref="D289:E290">Common_Equations.Common_ConvertN2OToCO2e_Arguments()</f>
        <v>EN2O</v>
      </c>
      <c r="E289" s="61" t="str">
        <v>Nitrous oxide emissions (t N2O)</v>
      </c>
      <c r="F289" s="111"/>
      <c r="G289" s="55">
        <f>$E$287</f>
        <v>6.891966997822202E-2</v>
      </c>
      <c r="N289" s="60" t="str" cm="1">
        <f t="array" ref="N289:O290">Common_Equations.Common_ConvertN2OToCO2e_Arguments()</f>
        <v>EN2O</v>
      </c>
      <c r="O289" s="61" t="str">
        <v>Nitrous oxide emissions (t N2O)</v>
      </c>
      <c r="P289" s="111"/>
      <c r="Q289" s="55">
        <f>O287</f>
        <v>6.891966997822202E-2</v>
      </c>
    </row>
    <row r="290" spans="4:17" ht="20.100000000000001" customHeight="1" x14ac:dyDescent="0.25">
      <c r="D290" s="60" t="str">
        <v>GWPN2O</v>
      </c>
      <c r="E290" s="61" t="str">
        <v>Global warming potential for nitrous oxide (t CO2-e / t N2O)</v>
      </c>
      <c r="F290" s="111"/>
      <c r="G290" s="55">
        <f>Common_InputFunctions.Utility_LookupValueInTableNumber("N2O",Table_GWPData[Gas],Table_GWPData[CO2-e factor])</f>
        <v>265</v>
      </c>
      <c r="N290" s="60" t="str">
        <v>GWPN2O</v>
      </c>
      <c r="O290" s="61" t="str">
        <v>Global warming potential for nitrous oxide (t CO2-e / t N2O)</v>
      </c>
      <c r="P290" s="111"/>
      <c r="Q290" s="55">
        <f>Common_InputFunctions.Utility_LookupValueInTableNumber("N2O",Table_GWPData[Gas],Table_GWPData[CO2-e factor])</f>
        <v>265</v>
      </c>
    </row>
    <row r="291" spans="4:17" ht="20.100000000000001" customHeight="1" x14ac:dyDescent="0.25"/>
    <row r="292" spans="4:17" ht="18.75" x14ac:dyDescent="0.25">
      <c r="D292" s="48" t="s">
        <v>108</v>
      </c>
      <c r="E292" s="48" cm="1">
        <f t="array" ref="E292">Common_Equations.Common_ConvertN2OToCO2e(G289,G290)</f>
        <v>18.263712544228834</v>
      </c>
      <c r="F292" s="112" t="str" cm="1">
        <f t="array" ref="F292">Common_Equations.Common_ConvertN2OToCO2e_Unit()</f>
        <v>t CO2e</v>
      </c>
      <c r="N292" s="48" t="s">
        <v>108</v>
      </c>
      <c r="O292" s="48" cm="1">
        <f t="array" ref="O292">Common_Equations.Common_ConvertN2OToCO2e(Q289,Q290)</f>
        <v>18.263712544228834</v>
      </c>
      <c r="P292" s="112" t="str" cm="1">
        <f t="array" ref="P292">Common_Equations.Common_ConvertN2OToCO2e_Unit()</f>
        <v>t CO2e</v>
      </c>
    </row>
  </sheetData>
  <dataValidations disablePrompts="1" count="1">
    <dataValidation operator="equal" allowBlank="1" showInputMessage="1" showErrorMessage="1" sqref="O113:T113 O285 N90:P90 D79:E79 E108:J108 E73:F73 F113:J113 O278 E231 E250 O231 E238 E243 O234 O243 E272 E269 O250 E278 E285 E234 E246 O246 E281 O281" xr:uid="{CE18DC45-74F3-46B3-972B-5F44E5579A05}"/>
  </dataValidation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2AB313-50E2-4B94-9781-2A2897CB38F7}">
  <dimension ref="A1:W165"/>
  <sheetViews>
    <sheetView showGridLines="0" topLeftCell="I51" workbookViewId="0">
      <selection activeCell="P47" sqref="P47"/>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2" width="30.7109375" style="1" customWidth="1"/>
    <col min="23" max="23" width="4.7109375" style="1" customWidth="1"/>
  </cols>
  <sheetData>
    <row r="1" spans="1:23" s="8" customFormat="1" ht="30" customHeight="1" x14ac:dyDescent="0.35">
      <c r="A1" s="8" t="e" vm="1">
        <v>#VALUE!</v>
      </c>
      <c r="C1" s="8" t="s">
        <v>316</v>
      </c>
    </row>
    <row r="2" spans="1:23" s="9" customFormat="1" ht="20.100000000000001" customHeight="1" x14ac:dyDescent="0.25"/>
    <row r="3" spans="1:23" ht="20.100000000000001" customHeight="1" x14ac:dyDescent="0.25">
      <c r="A3" s="17" t="str">
        <f>HYPERLINK("#'Home'!A1", "Home")</f>
        <v>Home</v>
      </c>
      <c r="C3" s="4"/>
      <c r="D3" s="4" t="s">
        <v>118</v>
      </c>
      <c r="E3" s="4"/>
      <c r="F3" s="4"/>
      <c r="G3" s="4"/>
      <c r="H3" s="4"/>
      <c r="I3" s="4"/>
      <c r="J3" s="4"/>
      <c r="K3" s="4"/>
      <c r="L3" s="4"/>
      <c r="N3" s="4"/>
      <c r="O3" s="4" t="s">
        <v>119</v>
      </c>
      <c r="P3" s="4"/>
      <c r="Q3" s="4"/>
      <c r="R3" s="4"/>
      <c r="S3" s="4"/>
      <c r="T3" s="4"/>
      <c r="U3" s="4"/>
      <c r="V3" s="4"/>
      <c r="W3" s="4"/>
    </row>
    <row r="4" spans="1:23" ht="20.100000000000001" customHeight="1" x14ac:dyDescent="0.25">
      <c r="A4" s="17" t="str">
        <f>HYPERLINK("#'Overview'!A1", "Overview")</f>
        <v>Overview</v>
      </c>
    </row>
    <row r="5" spans="1:23" ht="20.100000000000001" customHeight="1" x14ac:dyDescent="0.25">
      <c r="A5" s="17" t="str">
        <f>HYPERLINK("#'Results'!A1", "Results")</f>
        <v>Results</v>
      </c>
      <c r="D5" s="6" t="str" cm="1">
        <f t="array" ref="D5">MMS_Dairy_AtmosphericDeposition_Equations.VEERG_4_3_1_5__2_TotalNitrogenVolatilisedFromMMS_Title()</f>
        <v>Total nitrogen volatilised from MMS</v>
      </c>
    </row>
    <row r="6" spans="1:23" ht="20.100000000000001" customHeight="1" x14ac:dyDescent="0.25">
      <c r="A6" s="16"/>
      <c r="D6" s="5" t="str" cm="1">
        <f t="array" ref="D6">MMS_Dairy_AtmosphericDeposition_Equations.VEERG_4_3_1_5__2_TotalNitrogenVolatilisedFromMMS_Source()</f>
        <v>VEERG 2026: 4.3.1.5, Equation (2)</v>
      </c>
    </row>
    <row r="7" spans="1:23" ht="20.100000000000001" customHeight="1" x14ac:dyDescent="0.25">
      <c r="A7" s="20" t="s">
        <v>3</v>
      </c>
      <c r="D7" s="13" t="s">
        <v>27</v>
      </c>
      <c r="E7" s="13" t="str" cm="1">
        <f t="array" aca="1" ref="E7" ca="1">Common_InputFunctions.Utility_DisplayFunctionName(F40)</f>
        <v>=MMS_Dairy_AtmosphericDeposition_Equations.VEERG_4_3_1_5__2_TotalNitrogenVolatilisedFromMMS</v>
      </c>
    </row>
    <row r="8" spans="1:23" ht="20.100000000000001" customHeight="1" x14ac:dyDescent="0.25">
      <c r="A8" s="17" t="str">
        <f>HYPERLINK("#'Input - Site'!A1", "Site")</f>
        <v>Site</v>
      </c>
    </row>
    <row r="9" spans="1:23" ht="20.100000000000001" customHeight="1" x14ac:dyDescent="0.25">
      <c r="A9" s="17" t="str">
        <f>HYPERLINK("#'Input - Dairy'!A1", "Dairy")</f>
        <v>Dairy</v>
      </c>
    </row>
    <row r="10" spans="1:23" ht="20.100000000000001" customHeight="1" x14ac:dyDescent="0.25">
      <c r="A10" s="17"/>
      <c r="D10" s="56" t="s">
        <v>30</v>
      </c>
      <c r="E10" s="1" t="str" cm="1">
        <f t="array" ref="E10">MMS_Dairy_AtmosphericDeposition_Equations.VEERG_4_3_1_5__2_TotalNitrogenVolatilisedFromMMS_Variable()</f>
        <v>MN_ATMOS</v>
      </c>
    </row>
    <row r="11" spans="1:23" ht="20.100000000000001" customHeight="1" x14ac:dyDescent="0.25">
      <c r="A11" s="19" t="s">
        <v>76</v>
      </c>
      <c r="D11" s="56" t="s">
        <v>20</v>
      </c>
      <c r="E11" s="57" t="str" cm="1">
        <f t="array" ref="E11">MMS_Dairy_AtmosphericDeposition_Equations.VEERG_4_3_1_5__2_TotalNitrogenVolatilisedFromMMS_Unit()</f>
        <v>kg N</v>
      </c>
    </row>
    <row r="12" spans="1:23" ht="20.100000000000001" customHeight="1" x14ac:dyDescent="0.25">
      <c r="A12" s="17" t="str">
        <f>HYPERLINK("#'4.3.1.1-2 Methane'!A1", "4.3.1.1-2 Methane")</f>
        <v>4.3.1.1-2 Methane</v>
      </c>
    </row>
    <row r="13" spans="1:23" ht="20.100000000000001" customHeight="1" x14ac:dyDescent="0.25">
      <c r="A13" s="17" t="str">
        <f>HYPERLINK("#'4.3.1.3-4 Direct N20'!A1", "4.3.1.3-4 Direct N2O")</f>
        <v>4.3.1.3-4 Direct N2O</v>
      </c>
      <c r="D13" s="137" t="str" cm="1">
        <f t="array" ref="D13:E14">_xlfn.CHOOSECOLS(MMS_Dairy_AtmosphericDeposition_Equations.VEERG_4_3_1_5__2_TotalNitrogenVolatilisedFromMMS_Arguments(),1,2)</f>
        <v>MN_jm</v>
      </c>
      <c r="E13" s="136" t="str">
        <v>total nitrogen in each MMS for dairy cattle classes</v>
      </c>
      <c r="F13" s="138"/>
      <c r="G13" s="137" t="str" cm="1">
        <f t="array" ref="G13:H14">_xlfn.CHOOSECOLS(MMS_Dairy_AtmosphericDeposition_Equations.VEERG_4_3_1_5__2_TotalNitrogenVolatilisedFromMMS_Arguments(),3,4)</f>
        <v>kg N</v>
      </c>
      <c r="H13" s="133" t="str">
        <v>Calculated from 4.3.1.3 (2)</v>
      </c>
      <c r="I13" s="134" t="str" cm="1">
        <f t="array" aca="1" ref="I13" ca="1">HYPERLINK(Common_InputFunctions.Utility_SourceHyperlink(D$16),D$16)</f>
        <v>M1_Table_MN_j_m</v>
      </c>
    </row>
    <row r="14" spans="1:23" ht="20.100000000000001" customHeight="1" x14ac:dyDescent="0.25">
      <c r="A14" s="22" t="str">
        <f>HYPERLINK("#'4.3.1.5 Atmos Deposition'!A1", "4.3.1.5 Atmospheric deposition")</f>
        <v>4.3.1.5 Atmospheric deposition</v>
      </c>
      <c r="D14" s="137" t="str">
        <v>FracGASM_m</v>
      </c>
      <c r="E14" s="136" t="str">
        <v>fraction of N volatilised from MMS</v>
      </c>
      <c r="F14" s="138"/>
      <c r="G14" s="137" t="str">
        <v>fraction</v>
      </c>
      <c r="H14" s="133" t="str">
        <v>Constant</v>
      </c>
      <c r="I14" s="134" t="str" cm="1">
        <f t="array" aca="1" ref="I14" ca="1">HYPERLINK(Common_InputFunctions.Utility_SourceHyperlink($D$28),$D$28)</f>
        <v>Table_FracGASM_m</v>
      </c>
    </row>
    <row r="15" spans="1:23" ht="20.100000000000001" customHeight="1" x14ac:dyDescent="0.25">
      <c r="A15" s="17" t="str">
        <f>HYPERLINK("#'4.3.1.6-7 Leaching and runoff'!A1", "4.3.1.6-7 Leaching and runoff")</f>
        <v>4.3.1.6-7 Leaching and runoff</v>
      </c>
    </row>
    <row r="16" spans="1:23" ht="20.100000000000001" customHeight="1" x14ac:dyDescent="0.25">
      <c r="A16" s="17" t="str">
        <f>HYPERLINK("#'4.3.1.8 Manure applied to soils'!A1", "4.3.1.8 Manure applied to soils")</f>
        <v>4.3.1.8 Manure applied to soils</v>
      </c>
      <c r="D16" s="104" t="s">
        <v>307</v>
      </c>
      <c r="O16" s="104" t="s">
        <v>310</v>
      </c>
    </row>
    <row r="17" spans="1:22" ht="20.100000000000001" customHeight="1" x14ac:dyDescent="0.25">
      <c r="A17" s="17" t="str">
        <f>HYPERLINK("#'4.3.1.9 Soil direct N2O'!A1", "4.3.1.9 Soil direct N2O")</f>
        <v>4.3.1.9 Soil direct N2O</v>
      </c>
      <c r="D17" s="103" t="s">
        <v>308</v>
      </c>
      <c r="O17" s="103" t="s">
        <v>309</v>
      </c>
    </row>
    <row r="18" spans="1:22" ht="20.100000000000001" customHeight="1" x14ac:dyDescent="0.25">
      <c r="A18" s="17" t="str">
        <f>HYPERLINK("#'4.3.1.10-11 Soil Atmos Dep'!A1", "4.3.1.10-11 Soil atm. deposition")</f>
        <v>4.3.1.10-11 Soil atm. deposition</v>
      </c>
      <c r="D18" s="54" t="s">
        <v>146</v>
      </c>
      <c r="E18" s="54" t="s">
        <v>68</v>
      </c>
      <c r="F18" s="54" t="s">
        <v>171</v>
      </c>
      <c r="G18" s="54" t="s">
        <v>188</v>
      </c>
      <c r="H18" s="54" t="s">
        <v>189</v>
      </c>
      <c r="I18" s="54" t="s">
        <v>190</v>
      </c>
      <c r="J18" s="54" t="s">
        <v>191</v>
      </c>
      <c r="O18" s="54" t="s">
        <v>146</v>
      </c>
      <c r="P18" s="54" t="s">
        <v>68</v>
      </c>
      <c r="Q18" s="54" t="s">
        <v>171</v>
      </c>
      <c r="R18" s="54" t="s">
        <v>188</v>
      </c>
      <c r="S18" s="54" t="s">
        <v>189</v>
      </c>
      <c r="T18" s="54" t="s">
        <v>190</v>
      </c>
      <c r="U18" s="54" t="s">
        <v>191</v>
      </c>
    </row>
    <row r="19" spans="1:22" ht="20.100000000000001" customHeight="1" x14ac:dyDescent="0.25">
      <c r="A19" s="17" t="str">
        <f>HYPERLINK("#'4.3.1.12-13 Soil leach runoff'!A1", "4.3.1.12-13 Soil leach &amp; runoff")</f>
        <v>4.3.1.12-13 Soil leach &amp; runoff</v>
      </c>
      <c r="D19" s="55" t="str">
        <f>'Input - Dairy'!$D$66</f>
        <v>Milking shed</v>
      </c>
      <c r="E19" s="55" t="str">
        <f>'Input - Dairy'!$D$81</f>
        <v>Anaerobic lagoon</v>
      </c>
      <c r="F19" s="55">
        <f>'4.3.1.3-4 Direct N20'!$F$243</f>
        <v>608.20865696280634</v>
      </c>
      <c r="G19" s="55">
        <f>'4.3.1.3-4 Direct N20'!$G$243</f>
        <v>227.94737834727596</v>
      </c>
      <c r="H19" s="55">
        <f>'4.3.1.3-4 Direct N20'!$H$243</f>
        <v>90.78903015480428</v>
      </c>
      <c r="I19" s="55">
        <f>'4.3.1.3-4 Direct N20'!$I$243</f>
        <v>286.53886967483555</v>
      </c>
      <c r="J19" s="55">
        <f>'4.3.1.3-4 Direct N20'!$J$243</f>
        <v>119.95357134881925</v>
      </c>
      <c r="K19" s="2" t="str">
        <f>$G$13</f>
        <v>kg N</v>
      </c>
      <c r="O19" s="55" t="str">
        <f>'Input - Dairy'!$D$66</f>
        <v>Milking shed</v>
      </c>
      <c r="P19" s="55" t="str">
        <f>'Input - Dairy'!$D$81</f>
        <v>Anaerobic lagoon</v>
      </c>
      <c r="Q19" s="55">
        <f>'4.3.1.3-4 Direct N20'!$P$243</f>
        <v>608.20865696280634</v>
      </c>
      <c r="R19" s="55">
        <f>'4.3.1.3-4 Direct N20'!$Q$243</f>
        <v>227.94737834727596</v>
      </c>
      <c r="S19" s="55">
        <f>'4.3.1.3-4 Direct N20'!$R$243</f>
        <v>90.78903015480428</v>
      </c>
      <c r="T19" s="55">
        <f>'4.3.1.3-4 Direct N20'!$S$243</f>
        <v>286.53886967483555</v>
      </c>
      <c r="U19" s="55">
        <f>'4.3.1.3-4 Direct N20'!$T$243</f>
        <v>119.95357134881925</v>
      </c>
      <c r="V19" s="2" t="str">
        <f>$G$13</f>
        <v>kg N</v>
      </c>
    </row>
    <row r="20" spans="1:22" ht="20.100000000000001" customHeight="1" x14ac:dyDescent="0.25">
      <c r="A20" s="17"/>
      <c r="D20" s="55" t="str">
        <f>'Input - Dairy'!$D$66</f>
        <v>Milking shed</v>
      </c>
      <c r="E20" s="55" t="str">
        <f>'Input - Dairy'!$D$86</f>
        <v>Sump and dispersal system</v>
      </c>
      <c r="F20" s="55">
        <f>'4.3.1.3-4 Direct N20'!$F$244</f>
        <v>486.56692557024513</v>
      </c>
      <c r="G20" s="55">
        <f>'4.3.1.3-4 Direct N20'!$G$244</f>
        <v>182.35790267782079</v>
      </c>
      <c r="H20" s="55">
        <f>'4.3.1.3-4 Direct N20'!$H$244</f>
        <v>72.631224123843424</v>
      </c>
      <c r="I20" s="55">
        <f>'4.3.1.3-4 Direct N20'!$I$244</f>
        <v>229.23109573986844</v>
      </c>
      <c r="J20" s="55">
        <f>'4.3.1.3-4 Direct N20'!$J$244</f>
        <v>95.962857079055411</v>
      </c>
      <c r="K20" s="2"/>
      <c r="O20" s="55" t="str">
        <f>'Input - Dairy'!$D$66</f>
        <v>Milking shed</v>
      </c>
      <c r="P20" s="55" t="str">
        <f>'Input - Dairy'!$D$86</f>
        <v>Sump and dispersal system</v>
      </c>
      <c r="Q20" s="55">
        <f>'4.3.1.3-4 Direct N20'!$P$244</f>
        <v>486.56692557024513</v>
      </c>
      <c r="R20" s="55">
        <f>'4.3.1.3-4 Direct N20'!$Q$244</f>
        <v>182.35790267782079</v>
      </c>
      <c r="S20" s="55">
        <f>'4.3.1.3-4 Direct N20'!$R$244</f>
        <v>72.631224123843424</v>
      </c>
      <c r="T20" s="55">
        <f>'4.3.1.3-4 Direct N20'!$S$244</f>
        <v>229.23109573986844</v>
      </c>
      <c r="U20" s="55">
        <f>'4.3.1.3-4 Direct N20'!$T$244</f>
        <v>95.962857079055411</v>
      </c>
      <c r="V20" s="2"/>
    </row>
    <row r="21" spans="1:22" ht="20.100000000000001" customHeight="1" x14ac:dyDescent="0.25">
      <c r="A21" s="18" t="s">
        <v>4</v>
      </c>
      <c r="D21" s="55" t="str">
        <f>'Input - Dairy'!$D$66</f>
        <v>Milking shed</v>
      </c>
      <c r="E21" s="55" t="str">
        <f>'Input - Dairy'!$D$91</f>
        <v>Drains to paddock</v>
      </c>
      <c r="F21" s="55">
        <f>'4.3.1.3-4 Direct N20'!$F$245</f>
        <v>486.56692557024513</v>
      </c>
      <c r="G21" s="55">
        <f>'4.3.1.3-4 Direct N20'!$G$245</f>
        <v>182.35790267782079</v>
      </c>
      <c r="H21" s="55">
        <f>'4.3.1.3-4 Direct N20'!$H$245</f>
        <v>72.631224123843424</v>
      </c>
      <c r="I21" s="55">
        <f>'4.3.1.3-4 Direct N20'!$I$245</f>
        <v>229.23109573986844</v>
      </c>
      <c r="J21" s="55">
        <f>'4.3.1.3-4 Direct N20'!$J$245</f>
        <v>95.962857079055411</v>
      </c>
      <c r="K21" s="2"/>
      <c r="O21" s="55" t="str">
        <f>'Input - Dairy'!$D$66</f>
        <v>Milking shed</v>
      </c>
      <c r="P21" s="55" t="str">
        <f>'Input - Dairy'!$D$91</f>
        <v>Drains to paddock</v>
      </c>
      <c r="Q21" s="55">
        <f>'4.3.1.3-4 Direct N20'!$P$245</f>
        <v>486.56692557024513</v>
      </c>
      <c r="R21" s="55">
        <f>'4.3.1.3-4 Direct N20'!$Q$245</f>
        <v>182.35790267782079</v>
      </c>
      <c r="S21" s="55">
        <f>'4.3.1.3-4 Direct N20'!$R$245</f>
        <v>72.631224123843424</v>
      </c>
      <c r="T21" s="55">
        <f>'4.3.1.3-4 Direct N20'!$S$245</f>
        <v>229.23109573986844</v>
      </c>
      <c r="U21" s="55">
        <f>'4.3.1.3-4 Direct N20'!$T$245</f>
        <v>95.962857079055411</v>
      </c>
      <c r="V21" s="2"/>
    </row>
    <row r="22" spans="1:22" ht="20.100000000000001" customHeight="1" x14ac:dyDescent="0.25">
      <c r="A22" s="17" t="str">
        <f>HYPERLINK("#'Constants - Dairy'!A1", "Constants - Dairy")</f>
        <v>Constants - Dairy</v>
      </c>
      <c r="D22" s="55" t="str">
        <f>'Input - Dairy'!$D$66</f>
        <v>Milking shed</v>
      </c>
      <c r="E22" s="55" t="s">
        <v>405</v>
      </c>
      <c r="F22" s="55">
        <f>'4.3.1.3-4 Direct N20'!$F$246</f>
        <v>851.49211974792888</v>
      </c>
      <c r="G22" s="55">
        <f>'4.3.1.3-4 Direct N20'!$G$246</f>
        <v>319.12632968618635</v>
      </c>
      <c r="H22" s="55">
        <f>'4.3.1.3-4 Direct N20'!$H$246</f>
        <v>127.10464221672598</v>
      </c>
      <c r="I22" s="55">
        <f>'4.3.1.3-4 Direct N20'!$I$246</f>
        <v>401.15441754476973</v>
      </c>
      <c r="J22" s="55">
        <f>'4.3.1.3-4 Direct N20'!$J$246</f>
        <v>167.93499988834694</v>
      </c>
      <c r="K22" s="2"/>
      <c r="O22" s="55" t="str">
        <f>'Input - Dairy'!$D$66</f>
        <v>Milking shed</v>
      </c>
      <c r="P22" s="55" t="s">
        <v>405</v>
      </c>
      <c r="Q22" s="55">
        <f>'4.3.1.3-4 Direct N20'!$P$246</f>
        <v>851.49211974792888</v>
      </c>
      <c r="R22" s="55">
        <f>'4.3.1.3-4 Direct N20'!$Q$246</f>
        <v>319.12632968618635</v>
      </c>
      <c r="S22" s="55">
        <f>'4.3.1.3-4 Direct N20'!$R$246</f>
        <v>127.10464221672598</v>
      </c>
      <c r="T22" s="55">
        <f>'4.3.1.3-4 Direct N20'!$S$246</f>
        <v>401.15441754476973</v>
      </c>
      <c r="U22" s="55">
        <f>'4.3.1.3-4 Direct N20'!$T$246</f>
        <v>167.93499988834694</v>
      </c>
      <c r="V22" s="2"/>
    </row>
    <row r="23" spans="1:22" ht="20.100000000000001" customHeight="1" x14ac:dyDescent="0.25">
      <c r="A23" s="17" t="str">
        <f>HYPERLINK("#'Constants - Livestock'!A1", "Constants - Livestock")</f>
        <v>Constants - Livestock</v>
      </c>
      <c r="D23" s="55" t="str">
        <f>'Input - Dairy'!$D$67</f>
        <v>Feed pad</v>
      </c>
      <c r="E23" s="55" t="str">
        <f>'Input - Dairy'!$D$105</f>
        <v>Anaerobic lagoon</v>
      </c>
      <c r="F23" s="55">
        <f>'4.3.1.3-4 Direct N20'!$F$247</f>
        <v>1574.7075045727931</v>
      </c>
      <c r="G23" s="55">
        <f>'4.3.1.3-4 Direct N20'!$G$247</f>
        <v>590.17648503003818</v>
      </c>
      <c r="H23" s="55">
        <f>'4.3.1.3-4 Direct N20'!$H$247</f>
        <v>235.06105261898415</v>
      </c>
      <c r="I23" s="55">
        <f>'4.3.1.3-4 Direct N20'!$I$247</f>
        <v>741.87518257630143</v>
      </c>
      <c r="J23" s="55">
        <f>'4.3.1.3-4 Direct N20'!$J$247</f>
        <v>310.57070109221564</v>
      </c>
      <c r="K23" s="2"/>
      <c r="O23" s="55" t="str">
        <f>'Input - Dairy'!$D$67</f>
        <v>Feed pad</v>
      </c>
      <c r="P23" s="55" t="str">
        <f>'Input - Dairy'!$D$105</f>
        <v>Anaerobic lagoon</v>
      </c>
      <c r="Q23" s="55">
        <f>'4.3.1.3-4 Direct N20'!$P$247</f>
        <v>1574.7075045727931</v>
      </c>
      <c r="R23" s="55">
        <f>'4.3.1.3-4 Direct N20'!$Q$247</f>
        <v>590.17648503003818</v>
      </c>
      <c r="S23" s="55">
        <f>'4.3.1.3-4 Direct N20'!$R$247</f>
        <v>235.06105261898415</v>
      </c>
      <c r="T23" s="55">
        <f>'4.3.1.3-4 Direct N20'!$S$247</f>
        <v>741.87518257630143</v>
      </c>
      <c r="U23" s="55">
        <f>'4.3.1.3-4 Direct N20'!$T$247</f>
        <v>310.57070109221564</v>
      </c>
      <c r="V23" s="2"/>
    </row>
    <row r="24" spans="1:22" ht="20.100000000000001" customHeight="1" x14ac:dyDescent="0.25">
      <c r="A24" s="17" t="str">
        <f>HYPERLINK("#'Constants - Common'!A1", "Constants - Common")</f>
        <v>Constants - Common</v>
      </c>
      <c r="D24" s="55" t="str">
        <f>'Input - Dairy'!$D$67</f>
        <v>Feed pad</v>
      </c>
      <c r="E24" s="55" t="str">
        <f>'Input - Dairy'!$D$110</f>
        <v>Sump and dispersal system</v>
      </c>
      <c r="F24" s="55">
        <f>'4.3.1.3-4 Direct N20'!$F$248</f>
        <v>1574.7075045727931</v>
      </c>
      <c r="G24" s="55">
        <f>'4.3.1.3-4 Direct N20'!$G$248</f>
        <v>590.17648503003818</v>
      </c>
      <c r="H24" s="55">
        <f>'4.3.1.3-4 Direct N20'!$H$248</f>
        <v>235.06105261898415</v>
      </c>
      <c r="I24" s="55">
        <f>'4.3.1.3-4 Direct N20'!$I$248</f>
        <v>741.87518257630143</v>
      </c>
      <c r="J24" s="55">
        <f>'4.3.1.3-4 Direct N20'!$J$248</f>
        <v>310.57070109221564</v>
      </c>
      <c r="K24" s="2"/>
      <c r="O24" s="55" t="str">
        <f>'Input - Dairy'!$D$67</f>
        <v>Feed pad</v>
      </c>
      <c r="P24" s="55" t="str">
        <f>'Input - Dairy'!$D$110</f>
        <v>Sump and dispersal system</v>
      </c>
      <c r="Q24" s="55">
        <f>'4.3.1.3-4 Direct N20'!$P$248</f>
        <v>1574.7075045727931</v>
      </c>
      <c r="R24" s="55">
        <f>'4.3.1.3-4 Direct N20'!$Q$248</f>
        <v>590.17648503003818</v>
      </c>
      <c r="S24" s="55">
        <f>'4.3.1.3-4 Direct N20'!$R$248</f>
        <v>235.06105261898415</v>
      </c>
      <c r="T24" s="55">
        <f>'4.3.1.3-4 Direct N20'!$S$248</f>
        <v>741.87518257630143</v>
      </c>
      <c r="U24" s="55">
        <f>'4.3.1.3-4 Direct N20'!$T$248</f>
        <v>310.57070109221564</v>
      </c>
      <c r="V24" s="2"/>
    </row>
    <row r="25" spans="1:22" ht="20.100000000000001" customHeight="1" x14ac:dyDescent="0.25">
      <c r="A25" s="17" t="str">
        <f>HYPERLINK("#'Acknowledgements'!A1", "Acknowledgements")</f>
        <v>Acknowledgements</v>
      </c>
      <c r="D25" s="55" t="str">
        <f>'Input - Dairy'!$D$67</f>
        <v>Feed pad</v>
      </c>
      <c r="E25" s="55" t="str">
        <f>'Input - Dairy'!$D$115</f>
        <v>Drains to paddock</v>
      </c>
      <c r="F25" s="55">
        <f>'4.3.1.3-4 Direct N20'!$F$249</f>
        <v>1574.7075045727931</v>
      </c>
      <c r="G25" s="55">
        <f>'4.3.1.3-4 Direct N20'!$G$249</f>
        <v>590.17648503003818</v>
      </c>
      <c r="H25" s="55">
        <f>'4.3.1.3-4 Direct N20'!$H$249</f>
        <v>235.06105261898415</v>
      </c>
      <c r="I25" s="55">
        <f>'4.3.1.3-4 Direct N20'!$I$249</f>
        <v>741.87518257630143</v>
      </c>
      <c r="J25" s="55">
        <f>'4.3.1.3-4 Direct N20'!$J$249</f>
        <v>310.57070109221564</v>
      </c>
      <c r="K25" s="2"/>
      <c r="O25" s="55" t="str">
        <f>'Input - Dairy'!$D$67</f>
        <v>Feed pad</v>
      </c>
      <c r="P25" s="55" t="str">
        <f>'Input - Dairy'!$D$115</f>
        <v>Drains to paddock</v>
      </c>
      <c r="Q25" s="55">
        <f>'4.3.1.3-4 Direct N20'!$P$249</f>
        <v>1574.7075045727931</v>
      </c>
      <c r="R25" s="55">
        <f>'4.3.1.3-4 Direct N20'!$Q$249</f>
        <v>590.17648503003818</v>
      </c>
      <c r="S25" s="55">
        <f>'4.3.1.3-4 Direct N20'!$R$249</f>
        <v>235.06105261898415</v>
      </c>
      <c r="T25" s="55">
        <f>'4.3.1.3-4 Direct N20'!$S$249</f>
        <v>741.87518257630143</v>
      </c>
      <c r="U25" s="55">
        <f>'4.3.1.3-4 Direct N20'!$T$249</f>
        <v>310.57070109221564</v>
      </c>
      <c r="V25" s="2"/>
    </row>
    <row r="26" spans="1:22" ht="20.100000000000001" customHeight="1" x14ac:dyDescent="0.25">
      <c r="D26" s="55" t="str">
        <f>'Input - Dairy'!$D$67</f>
        <v>Feed pad</v>
      </c>
      <c r="E26" s="55" t="s">
        <v>405</v>
      </c>
      <c r="F26" s="55">
        <f>'4.3.1.3-4 Direct N20'!$F$250</f>
        <v>3149.4150091455858</v>
      </c>
      <c r="G26" s="55">
        <f>'4.3.1.3-4 Direct N20'!$G$250</f>
        <v>1180.3529700600759</v>
      </c>
      <c r="H26" s="55">
        <f>'4.3.1.3-4 Direct N20'!$H$250</f>
        <v>470.12210523796824</v>
      </c>
      <c r="I26" s="55">
        <f>'4.3.1.3-4 Direct N20'!$I$250</f>
        <v>1483.7503651526026</v>
      </c>
      <c r="J26" s="55">
        <f>'4.3.1.3-4 Direct N20'!$J$250</f>
        <v>621.14140218443117</v>
      </c>
      <c r="K26" s="2"/>
      <c r="O26" s="55" t="str">
        <f>'Input - Dairy'!$D$67</f>
        <v>Feed pad</v>
      </c>
      <c r="P26" s="55" t="s">
        <v>405</v>
      </c>
      <c r="Q26" s="55">
        <f>'4.3.1.3-4 Direct N20'!$P$250</f>
        <v>3149.4150091455858</v>
      </c>
      <c r="R26" s="55">
        <f>'4.3.1.3-4 Direct N20'!$Q$250</f>
        <v>1180.3529700600759</v>
      </c>
      <c r="S26" s="55">
        <f>'4.3.1.3-4 Direct N20'!$R$250</f>
        <v>470.12210523796824</v>
      </c>
      <c r="T26" s="55">
        <f>'4.3.1.3-4 Direct N20'!$S$250</f>
        <v>1483.7503651526026</v>
      </c>
      <c r="U26" s="55">
        <f>'4.3.1.3-4 Direct N20'!$T$250</f>
        <v>621.14140218443117</v>
      </c>
      <c r="V26" s="2"/>
    </row>
    <row r="27" spans="1:22" ht="20.100000000000001" customHeight="1" x14ac:dyDescent="0.25"/>
    <row r="28" spans="1:22" ht="20.100000000000001" customHeight="1" x14ac:dyDescent="0.25">
      <c r="D28" s="104" t="s">
        <v>317</v>
      </c>
    </row>
    <row r="29" spans="1:22" ht="20.100000000000001" customHeight="1" x14ac:dyDescent="0.25">
      <c r="D29" s="103" t="s">
        <v>319</v>
      </c>
    </row>
    <row r="30" spans="1:22" ht="20.100000000000001" customHeight="1" x14ac:dyDescent="0.25">
      <c r="D30" s="54" t="s">
        <v>68</v>
      </c>
      <c r="E30" s="54" t="s">
        <v>318</v>
      </c>
    </row>
    <row r="31" spans="1:22" ht="20.100000000000001" customHeight="1" x14ac:dyDescent="0.25">
      <c r="D31" s="55" t="str" cm="1">
        <f t="array" ref="D31:D35">Table_SourceData_Dairy_EFmFracGASM[NIR reference]</f>
        <v>Pasture range and paddock</v>
      </c>
      <c r="E31" s="55" cm="1">
        <f t="array" ref="E31:E35">Table_SourceData_Dairy_EFmFracGASM[FracGASMm]</f>
        <v>0</v>
      </c>
      <c r="F31" s="2" t="str">
        <f>G14</f>
        <v>fraction</v>
      </c>
    </row>
    <row r="32" spans="1:22" ht="20.100000000000001" customHeight="1" x14ac:dyDescent="0.25">
      <c r="D32" s="55" t="str">
        <v>Anaerobic lagoon</v>
      </c>
      <c r="E32" s="55">
        <v>0.35</v>
      </c>
      <c r="F32" s="2"/>
    </row>
    <row r="33" spans="4:22" ht="20.100000000000001" customHeight="1" x14ac:dyDescent="0.25">
      <c r="D33" s="55" t="str">
        <v>Sump and dispersal system</v>
      </c>
      <c r="E33" s="55">
        <v>7.0000000000000007E-2</v>
      </c>
      <c r="F33" s="2"/>
    </row>
    <row r="34" spans="4:22" ht="20.100000000000001" customHeight="1" x14ac:dyDescent="0.25">
      <c r="D34" s="55" t="str">
        <v>Drains to paddock</v>
      </c>
      <c r="E34" s="55">
        <v>0.2</v>
      </c>
      <c r="F34" s="2"/>
    </row>
    <row r="35" spans="4:22" ht="20.100000000000001" customHeight="1" x14ac:dyDescent="0.25">
      <c r="D35" s="55" t="str">
        <v>Solid storage</v>
      </c>
      <c r="E35" s="55">
        <v>0.3</v>
      </c>
      <c r="F35" s="2"/>
    </row>
    <row r="36" spans="4:22" ht="20.100000000000001" customHeight="1" x14ac:dyDescent="0.25"/>
    <row r="37" spans="4:22" ht="20.100000000000001" customHeight="1" x14ac:dyDescent="0.25">
      <c r="D37" s="104" t="s">
        <v>320</v>
      </c>
      <c r="O37" s="104" t="s">
        <v>322</v>
      </c>
    </row>
    <row r="38" spans="4:22" ht="20.100000000000001" customHeight="1" x14ac:dyDescent="0.25">
      <c r="D38" s="103" t="s">
        <v>321</v>
      </c>
      <c r="O38" s="103" t="s">
        <v>323</v>
      </c>
    </row>
    <row r="39" spans="4:22" ht="20.100000000000001" customHeight="1" x14ac:dyDescent="0.25">
      <c r="D39" s="54" t="s">
        <v>146</v>
      </c>
      <c r="E39" s="54" t="s">
        <v>68</v>
      </c>
      <c r="F39" s="54" t="s">
        <v>171</v>
      </c>
      <c r="G39" s="54" t="s">
        <v>188</v>
      </c>
      <c r="H39" s="54" t="s">
        <v>189</v>
      </c>
      <c r="I39" s="54" t="s">
        <v>190</v>
      </c>
      <c r="J39" s="54" t="s">
        <v>191</v>
      </c>
      <c r="O39" s="54" t="s">
        <v>146</v>
      </c>
      <c r="P39" s="54" t="s">
        <v>68</v>
      </c>
      <c r="Q39" s="54" t="s">
        <v>171</v>
      </c>
      <c r="R39" s="54" t="s">
        <v>188</v>
      </c>
      <c r="S39" s="54" t="s">
        <v>189</v>
      </c>
      <c r="T39" s="54" t="s">
        <v>190</v>
      </c>
      <c r="U39" s="54" t="s">
        <v>191</v>
      </c>
    </row>
    <row r="40" spans="4:22" ht="20.100000000000001" customHeight="1" x14ac:dyDescent="0.25">
      <c r="D40" s="55" t="str">
        <f>'Input - Dairy'!$D$66</f>
        <v>Milking shed</v>
      </c>
      <c r="E40" s="55" t="str">
        <f>'Input - Dairy'!$D$81</f>
        <v>Anaerobic lagoon</v>
      </c>
      <c r="F40" s="55" cm="1">
        <f t="array" ref="F40">MMS_Dairy_AtmosphericDeposition_Equations.VEERG_4_3_1_5__2_TotalNitrogenVolatilisedFromMMS(F19,$E32)</f>
        <v>212.87302993698222</v>
      </c>
      <c r="G40" s="55" cm="1">
        <f t="array" ref="G40">MMS_Dairy_AtmosphericDeposition_Equations.VEERG_4_3_1_5__2_TotalNitrogenVolatilisedFromMMS(G19,$E32)</f>
        <v>79.781582421546574</v>
      </c>
      <c r="H40" s="55" cm="1">
        <f t="array" ref="H40">MMS_Dairy_AtmosphericDeposition_Equations.VEERG_4_3_1_5__2_TotalNitrogenVolatilisedFromMMS(H19,$E32)</f>
        <v>31.776160554181494</v>
      </c>
      <c r="I40" s="55" cm="1">
        <f t="array" ref="I40">MMS_Dairy_AtmosphericDeposition_Equations.VEERG_4_3_1_5__2_TotalNitrogenVolatilisedFromMMS(I19,$E32)</f>
        <v>100.28860438619243</v>
      </c>
      <c r="J40" s="55" cm="1">
        <f t="array" ref="J40">MMS_Dairy_AtmosphericDeposition_Equations.VEERG_4_3_1_5__2_TotalNitrogenVolatilisedFromMMS(J19,$E32)</f>
        <v>41.983749972086734</v>
      </c>
      <c r="K40" s="2" t="str">
        <f>$E$11</f>
        <v>kg N</v>
      </c>
      <c r="O40" s="55" t="str">
        <f>'Input - Dairy'!$D$66</f>
        <v>Milking shed</v>
      </c>
      <c r="P40" s="55" t="str">
        <f>'Input - Dairy'!$D$81</f>
        <v>Anaerobic lagoon</v>
      </c>
      <c r="Q40" s="55" cm="1">
        <f t="array" ref="Q40">MMS_Dairy_AtmosphericDeposition_Equations.VEERG_4_3_1_5__2_TotalNitrogenVolatilisedFromMMS(Q19,$E32)</f>
        <v>212.87302993698222</v>
      </c>
      <c r="R40" s="55" cm="1">
        <f t="array" ref="R40">MMS_Dairy_AtmosphericDeposition_Equations.VEERG_4_3_1_5__2_TotalNitrogenVolatilisedFromMMS(R19,$E32)</f>
        <v>79.781582421546574</v>
      </c>
      <c r="S40" s="55" cm="1">
        <f t="array" ref="S40">MMS_Dairy_AtmosphericDeposition_Equations.VEERG_4_3_1_5__2_TotalNitrogenVolatilisedFromMMS(S19,$E32)</f>
        <v>31.776160554181494</v>
      </c>
      <c r="T40" s="55" cm="1">
        <f t="array" ref="T40">MMS_Dairy_AtmosphericDeposition_Equations.VEERG_4_3_1_5__2_TotalNitrogenVolatilisedFromMMS(T19,$E32)</f>
        <v>100.28860438619243</v>
      </c>
      <c r="U40" s="55" cm="1">
        <f t="array" ref="U40">MMS_Dairy_AtmosphericDeposition_Equations.VEERG_4_3_1_5__2_TotalNitrogenVolatilisedFromMMS(U19,$E32)</f>
        <v>41.983749972086734</v>
      </c>
      <c r="V40" s="2" t="str">
        <f>$E$11</f>
        <v>kg N</v>
      </c>
    </row>
    <row r="41" spans="4:22" ht="20.100000000000001" customHeight="1" x14ac:dyDescent="0.25">
      <c r="D41" s="55" t="str">
        <f>'Input - Dairy'!$D$66</f>
        <v>Milking shed</v>
      </c>
      <c r="E41" s="55" t="str">
        <f>'Input - Dairy'!$D$86</f>
        <v>Sump and dispersal system</v>
      </c>
      <c r="F41" s="55" cm="1">
        <f t="array" ref="F41">MMS_Dairy_AtmosphericDeposition_Equations.VEERG_4_3_1_5__2_TotalNitrogenVolatilisedFromMMS(F20,$E33)</f>
        <v>34.059684789917164</v>
      </c>
      <c r="G41" s="55" cm="1">
        <f t="array" ref="G41">MMS_Dairy_AtmosphericDeposition_Equations.VEERG_4_3_1_5__2_TotalNitrogenVolatilisedFromMMS(G20,$E33)</f>
        <v>12.765053187447457</v>
      </c>
      <c r="H41" s="55" cm="1">
        <f t="array" ref="H41">MMS_Dairy_AtmosphericDeposition_Equations.VEERG_4_3_1_5__2_TotalNitrogenVolatilisedFromMMS(H20,$E33)</f>
        <v>5.0841856886690397</v>
      </c>
      <c r="I41" s="55" cm="1">
        <f t="array" ref="I41">MMS_Dairy_AtmosphericDeposition_Equations.VEERG_4_3_1_5__2_TotalNitrogenVolatilisedFromMMS(I20,$E33)</f>
        <v>16.046176701790792</v>
      </c>
      <c r="J41" s="55" cm="1">
        <f t="array" ref="J41">MMS_Dairy_AtmosphericDeposition_Equations.VEERG_4_3_1_5__2_TotalNitrogenVolatilisedFromMMS(J20,$E33)</f>
        <v>6.7173999955338797</v>
      </c>
      <c r="K41" s="2"/>
      <c r="O41" s="55" t="str">
        <f>'Input - Dairy'!$D$66</f>
        <v>Milking shed</v>
      </c>
      <c r="P41" s="55" t="str">
        <f>'Input - Dairy'!$D$86</f>
        <v>Sump and dispersal system</v>
      </c>
      <c r="Q41" s="55" cm="1">
        <f t="array" ref="Q41">MMS_Dairy_AtmosphericDeposition_Equations.VEERG_4_3_1_5__2_TotalNitrogenVolatilisedFromMMS(Q20,$E33)</f>
        <v>34.059684789917164</v>
      </c>
      <c r="R41" s="55" cm="1">
        <f t="array" ref="R41">MMS_Dairy_AtmosphericDeposition_Equations.VEERG_4_3_1_5__2_TotalNitrogenVolatilisedFromMMS(R20,$E33)</f>
        <v>12.765053187447457</v>
      </c>
      <c r="S41" s="55" cm="1">
        <f t="array" ref="S41">MMS_Dairy_AtmosphericDeposition_Equations.VEERG_4_3_1_5__2_TotalNitrogenVolatilisedFromMMS(S20,$E33)</f>
        <v>5.0841856886690397</v>
      </c>
      <c r="T41" s="55" cm="1">
        <f t="array" ref="T41">MMS_Dairy_AtmosphericDeposition_Equations.VEERG_4_3_1_5__2_TotalNitrogenVolatilisedFromMMS(T20,$E33)</f>
        <v>16.046176701790792</v>
      </c>
      <c r="U41" s="55" cm="1">
        <f t="array" ref="U41">MMS_Dairy_AtmosphericDeposition_Equations.VEERG_4_3_1_5__2_TotalNitrogenVolatilisedFromMMS(U20,$E33)</f>
        <v>6.7173999955338797</v>
      </c>
      <c r="V41" s="2"/>
    </row>
    <row r="42" spans="4:22" ht="20.100000000000001" customHeight="1" x14ac:dyDescent="0.25">
      <c r="D42" s="55" t="str">
        <f>'Input - Dairy'!$D$66</f>
        <v>Milking shed</v>
      </c>
      <c r="E42" s="55" t="str">
        <f>'Input - Dairy'!$D$91</f>
        <v>Drains to paddock</v>
      </c>
      <c r="F42" s="55" cm="1">
        <f t="array" ref="F42">MMS_Dairy_AtmosphericDeposition_Equations.VEERG_4_3_1_5__2_TotalNitrogenVolatilisedFromMMS(F21,$E34)</f>
        <v>97.313385114049026</v>
      </c>
      <c r="G42" s="55" cm="1">
        <f t="array" ref="G42">MMS_Dairy_AtmosphericDeposition_Equations.VEERG_4_3_1_5__2_TotalNitrogenVolatilisedFromMMS(G21,$E34)</f>
        <v>36.471580535564158</v>
      </c>
      <c r="H42" s="55" cm="1">
        <f t="array" ref="H42">MMS_Dairy_AtmosphericDeposition_Equations.VEERG_4_3_1_5__2_TotalNitrogenVolatilisedFromMMS(H21,$E34)</f>
        <v>14.526244824768686</v>
      </c>
      <c r="I42" s="55" cm="1">
        <f t="array" ref="I42">MMS_Dairy_AtmosphericDeposition_Equations.VEERG_4_3_1_5__2_TotalNitrogenVolatilisedFromMMS(I21,$E34)</f>
        <v>45.846219147973692</v>
      </c>
      <c r="J42" s="55" cm="1">
        <f t="array" ref="J42">MMS_Dairy_AtmosphericDeposition_Equations.VEERG_4_3_1_5__2_TotalNitrogenVolatilisedFromMMS(J21,$E34)</f>
        <v>19.192571415811084</v>
      </c>
      <c r="K42" s="2"/>
      <c r="O42" s="55" t="str">
        <f>'Input - Dairy'!$D$66</f>
        <v>Milking shed</v>
      </c>
      <c r="P42" s="55" t="str">
        <f>'Input - Dairy'!$D$91</f>
        <v>Drains to paddock</v>
      </c>
      <c r="Q42" s="55" cm="1">
        <f t="array" ref="Q42">MMS_Dairy_AtmosphericDeposition_Equations.VEERG_4_3_1_5__2_TotalNitrogenVolatilisedFromMMS(Q21,$E34)</f>
        <v>97.313385114049026</v>
      </c>
      <c r="R42" s="55" cm="1">
        <f t="array" ref="R42">MMS_Dairy_AtmosphericDeposition_Equations.VEERG_4_3_1_5__2_TotalNitrogenVolatilisedFromMMS(R21,$E34)</f>
        <v>36.471580535564158</v>
      </c>
      <c r="S42" s="55" cm="1">
        <f t="array" ref="S42">MMS_Dairy_AtmosphericDeposition_Equations.VEERG_4_3_1_5__2_TotalNitrogenVolatilisedFromMMS(S21,$E34)</f>
        <v>14.526244824768686</v>
      </c>
      <c r="T42" s="55" cm="1">
        <f t="array" ref="T42">MMS_Dairy_AtmosphericDeposition_Equations.VEERG_4_3_1_5__2_TotalNitrogenVolatilisedFromMMS(T21,$E34)</f>
        <v>45.846219147973692</v>
      </c>
      <c r="U42" s="55" cm="1">
        <f t="array" ref="U42">MMS_Dairy_AtmosphericDeposition_Equations.VEERG_4_3_1_5__2_TotalNitrogenVolatilisedFromMMS(U21,$E34)</f>
        <v>19.192571415811084</v>
      </c>
      <c r="V42" s="2"/>
    </row>
    <row r="43" spans="4:22" ht="20.100000000000001" customHeight="1" x14ac:dyDescent="0.25">
      <c r="D43" s="55" t="str">
        <f>'Input - Dairy'!$D$66</f>
        <v>Milking shed</v>
      </c>
      <c r="E43" s="55" t="s">
        <v>405</v>
      </c>
      <c r="F43" s="55" cm="1">
        <f t="array" ref="F43">MMS_Dairy_AtmosphericDeposition_Equations.VEERG_4_3_1_5__2_TotalNitrogenVolatilisedFromMMS(F22,$E35)</f>
        <v>255.44763592437866</v>
      </c>
      <c r="G43" s="55" cm="1">
        <f t="array" ref="G43">MMS_Dairy_AtmosphericDeposition_Equations.VEERG_4_3_1_5__2_TotalNitrogenVolatilisedFromMMS(G22,$E35)</f>
        <v>95.7378989058559</v>
      </c>
      <c r="H43" s="55" cm="1">
        <f t="array" ref="H43">MMS_Dairy_AtmosphericDeposition_Equations.VEERG_4_3_1_5__2_TotalNitrogenVolatilisedFromMMS(H22,$E35)</f>
        <v>38.131392665017792</v>
      </c>
      <c r="I43" s="55" cm="1">
        <f t="array" ref="I43">MMS_Dairy_AtmosphericDeposition_Equations.VEERG_4_3_1_5__2_TotalNitrogenVolatilisedFromMMS(I22,$E35)</f>
        <v>120.34632526343091</v>
      </c>
      <c r="J43" s="55" cm="1">
        <f t="array" ref="J43">MMS_Dairy_AtmosphericDeposition_Equations.VEERG_4_3_1_5__2_TotalNitrogenVolatilisedFromMMS(J22,$E35)</f>
        <v>50.380499966504082</v>
      </c>
      <c r="K43" s="2"/>
      <c r="O43" s="55" t="str">
        <f>'Input - Dairy'!$D$66</f>
        <v>Milking shed</v>
      </c>
      <c r="P43" s="55" t="s">
        <v>405</v>
      </c>
      <c r="Q43" s="55" cm="1">
        <f t="array" ref="Q43">MMS_Dairy_AtmosphericDeposition_Equations.VEERG_4_3_1_5__2_TotalNitrogenVolatilisedFromMMS(Q22,$E35)</f>
        <v>255.44763592437866</v>
      </c>
      <c r="R43" s="55" cm="1">
        <f t="array" ref="R43">MMS_Dairy_AtmosphericDeposition_Equations.VEERG_4_3_1_5__2_TotalNitrogenVolatilisedFromMMS(R22,$E35)</f>
        <v>95.7378989058559</v>
      </c>
      <c r="S43" s="55" cm="1">
        <f t="array" ref="S43">MMS_Dairy_AtmosphericDeposition_Equations.VEERG_4_3_1_5__2_TotalNitrogenVolatilisedFromMMS(S22,$E35)</f>
        <v>38.131392665017792</v>
      </c>
      <c r="T43" s="55" cm="1">
        <f t="array" ref="T43">MMS_Dairy_AtmosphericDeposition_Equations.VEERG_4_3_1_5__2_TotalNitrogenVolatilisedFromMMS(T22,$E35)</f>
        <v>120.34632526343091</v>
      </c>
      <c r="U43" s="55" cm="1">
        <f t="array" ref="U43">MMS_Dairy_AtmosphericDeposition_Equations.VEERG_4_3_1_5__2_TotalNitrogenVolatilisedFromMMS(U22,$E35)</f>
        <v>50.380499966504082</v>
      </c>
      <c r="V43" s="2"/>
    </row>
    <row r="44" spans="4:22" ht="20.100000000000001" customHeight="1" x14ac:dyDescent="0.25">
      <c r="D44" s="55" t="str">
        <f>'Input - Dairy'!$D$67</f>
        <v>Feed pad</v>
      </c>
      <c r="E44" s="55" t="str">
        <f>'Input - Dairy'!$D$105</f>
        <v>Anaerobic lagoon</v>
      </c>
      <c r="F44" s="55" cm="1">
        <f t="array" ref="F44">MMS_Dairy_AtmosphericDeposition_Equations.VEERG_4_3_1_5__2_TotalNitrogenVolatilisedFromMMS(F23, $E32)</f>
        <v>551.14762660047757</v>
      </c>
      <c r="G44" s="55" cm="1">
        <f t="array" ref="G44">MMS_Dairy_AtmosphericDeposition_Equations.VEERG_4_3_1_5__2_TotalNitrogenVolatilisedFromMMS(G23, $E32)</f>
        <v>206.56176976051336</v>
      </c>
      <c r="H44" s="55" cm="1">
        <f t="array" ref="H44">MMS_Dairy_AtmosphericDeposition_Equations.VEERG_4_3_1_5__2_TotalNitrogenVolatilisedFromMMS(H23, $E32)</f>
        <v>82.271368416644449</v>
      </c>
      <c r="I44" s="55" cm="1">
        <f t="array" ref="I44">MMS_Dairy_AtmosphericDeposition_Equations.VEERG_4_3_1_5__2_TotalNitrogenVolatilisedFromMMS(I23, $E32)</f>
        <v>259.65631390170546</v>
      </c>
      <c r="J44" s="55" cm="1">
        <f t="array" ref="J44">MMS_Dairy_AtmosphericDeposition_Equations.VEERG_4_3_1_5__2_TotalNitrogenVolatilisedFromMMS(J23, $E32)</f>
        <v>108.69974538227547</v>
      </c>
      <c r="K44" s="2"/>
      <c r="O44" s="55" t="str">
        <f>'Input - Dairy'!$D$67</f>
        <v>Feed pad</v>
      </c>
      <c r="P44" s="55" t="str">
        <f>'Input - Dairy'!$D$105</f>
        <v>Anaerobic lagoon</v>
      </c>
      <c r="Q44" s="55" cm="1">
        <f t="array" ref="Q44">MMS_Dairy_AtmosphericDeposition_Equations.VEERG_4_3_1_5__2_TotalNitrogenVolatilisedFromMMS(Q23, $E32)</f>
        <v>551.14762660047757</v>
      </c>
      <c r="R44" s="55" cm="1">
        <f t="array" ref="R44">MMS_Dairy_AtmosphericDeposition_Equations.VEERG_4_3_1_5__2_TotalNitrogenVolatilisedFromMMS(R23, $E32)</f>
        <v>206.56176976051336</v>
      </c>
      <c r="S44" s="55" cm="1">
        <f t="array" ref="S44">MMS_Dairy_AtmosphericDeposition_Equations.VEERG_4_3_1_5__2_TotalNitrogenVolatilisedFromMMS(S23, $E32)</f>
        <v>82.271368416644449</v>
      </c>
      <c r="T44" s="55" cm="1">
        <f t="array" ref="T44">MMS_Dairy_AtmosphericDeposition_Equations.VEERG_4_3_1_5__2_TotalNitrogenVolatilisedFromMMS(T23, $E32)</f>
        <v>259.65631390170546</v>
      </c>
      <c r="U44" s="55" cm="1">
        <f t="array" ref="U44">MMS_Dairy_AtmosphericDeposition_Equations.VEERG_4_3_1_5__2_TotalNitrogenVolatilisedFromMMS(U23, $E32)</f>
        <v>108.69974538227547</v>
      </c>
      <c r="V44" s="2"/>
    </row>
    <row r="45" spans="4:22" ht="20.100000000000001" customHeight="1" x14ac:dyDescent="0.25">
      <c r="D45" s="55" t="str">
        <f>'Input - Dairy'!$D$67</f>
        <v>Feed pad</v>
      </c>
      <c r="E45" s="55" t="str">
        <f>'Input - Dairy'!$D$110</f>
        <v>Sump and dispersal system</v>
      </c>
      <c r="F45" s="55" cm="1">
        <f t="array" ref="F45">MMS_Dairy_AtmosphericDeposition_Equations.VEERG_4_3_1_5__2_TotalNitrogenVolatilisedFromMMS(F24, $E33)</f>
        <v>110.22952532009553</v>
      </c>
      <c r="G45" s="55" cm="1">
        <f t="array" ref="G45">MMS_Dairy_AtmosphericDeposition_Equations.VEERG_4_3_1_5__2_TotalNitrogenVolatilisedFromMMS(G24, $E33)</f>
        <v>41.312353952102676</v>
      </c>
      <c r="H45" s="55" cm="1">
        <f t="array" ref="H45">MMS_Dairy_AtmosphericDeposition_Equations.VEERG_4_3_1_5__2_TotalNitrogenVolatilisedFromMMS(H24, $E33)</f>
        <v>16.454273683328893</v>
      </c>
      <c r="I45" s="55" cm="1">
        <f t="array" ref="I45">MMS_Dairy_AtmosphericDeposition_Equations.VEERG_4_3_1_5__2_TotalNitrogenVolatilisedFromMMS(I24, $E33)</f>
        <v>51.931262780341108</v>
      </c>
      <c r="J45" s="55" cm="1">
        <f t="array" ref="J45">MMS_Dairy_AtmosphericDeposition_Equations.VEERG_4_3_1_5__2_TotalNitrogenVolatilisedFromMMS(J24, $E33)</f>
        <v>21.739949076455098</v>
      </c>
      <c r="K45" s="2"/>
      <c r="O45" s="55" t="str">
        <f>'Input - Dairy'!$D$67</f>
        <v>Feed pad</v>
      </c>
      <c r="P45" s="55" t="str">
        <f>'Input - Dairy'!$D$110</f>
        <v>Sump and dispersal system</v>
      </c>
      <c r="Q45" s="55" cm="1">
        <f t="array" ref="Q45">MMS_Dairy_AtmosphericDeposition_Equations.VEERG_4_3_1_5__2_TotalNitrogenVolatilisedFromMMS(Q24, $E33)</f>
        <v>110.22952532009553</v>
      </c>
      <c r="R45" s="55" cm="1">
        <f t="array" ref="R45">MMS_Dairy_AtmosphericDeposition_Equations.VEERG_4_3_1_5__2_TotalNitrogenVolatilisedFromMMS(R24, $E33)</f>
        <v>41.312353952102676</v>
      </c>
      <c r="S45" s="55" cm="1">
        <f t="array" ref="S45">MMS_Dairy_AtmosphericDeposition_Equations.VEERG_4_3_1_5__2_TotalNitrogenVolatilisedFromMMS(S24, $E33)</f>
        <v>16.454273683328893</v>
      </c>
      <c r="T45" s="55" cm="1">
        <f t="array" ref="T45">MMS_Dairy_AtmosphericDeposition_Equations.VEERG_4_3_1_5__2_TotalNitrogenVolatilisedFromMMS(T24, $E33)</f>
        <v>51.931262780341108</v>
      </c>
      <c r="U45" s="55" cm="1">
        <f t="array" ref="U45">MMS_Dairy_AtmosphericDeposition_Equations.VEERG_4_3_1_5__2_TotalNitrogenVolatilisedFromMMS(U24, $E33)</f>
        <v>21.739949076455098</v>
      </c>
      <c r="V45" s="2"/>
    </row>
    <row r="46" spans="4:22" ht="20.100000000000001" customHeight="1" x14ac:dyDescent="0.25">
      <c r="D46" s="55" t="str">
        <f>'Input - Dairy'!$D$67</f>
        <v>Feed pad</v>
      </c>
      <c r="E46" s="55" t="str">
        <f>'Input - Dairy'!$D$115</f>
        <v>Drains to paddock</v>
      </c>
      <c r="F46" s="55" cm="1">
        <f t="array" ref="F46">MMS_Dairy_AtmosphericDeposition_Equations.VEERG_4_3_1_5__2_TotalNitrogenVolatilisedFromMMS(F25, $E34)</f>
        <v>314.94150091455867</v>
      </c>
      <c r="G46" s="55" cm="1">
        <f t="array" ref="G46">MMS_Dairy_AtmosphericDeposition_Equations.VEERG_4_3_1_5__2_TotalNitrogenVolatilisedFromMMS(G25, $E34)</f>
        <v>118.03529700600764</v>
      </c>
      <c r="H46" s="55" cm="1">
        <f t="array" ref="H46">MMS_Dairy_AtmosphericDeposition_Equations.VEERG_4_3_1_5__2_TotalNitrogenVolatilisedFromMMS(H25, $E34)</f>
        <v>47.012210523796831</v>
      </c>
      <c r="I46" s="55" cm="1">
        <f t="array" ref="I46">MMS_Dairy_AtmosphericDeposition_Equations.VEERG_4_3_1_5__2_TotalNitrogenVolatilisedFromMMS(I25, $E34)</f>
        <v>148.37503651526029</v>
      </c>
      <c r="J46" s="55" cm="1">
        <f t="array" ref="J46">MMS_Dairy_AtmosphericDeposition_Equations.VEERG_4_3_1_5__2_TotalNitrogenVolatilisedFromMMS(J25, $E34)</f>
        <v>62.114140218443133</v>
      </c>
      <c r="K46" s="2"/>
      <c r="O46" s="55" t="str">
        <f>'Input - Dairy'!$D$67</f>
        <v>Feed pad</v>
      </c>
      <c r="P46" s="55" t="str">
        <f>'Input - Dairy'!$D$115</f>
        <v>Drains to paddock</v>
      </c>
      <c r="Q46" s="55" cm="1">
        <f t="array" ref="Q46">MMS_Dairy_AtmosphericDeposition_Equations.VEERG_4_3_1_5__2_TotalNitrogenVolatilisedFromMMS(Q25, $E34)</f>
        <v>314.94150091455867</v>
      </c>
      <c r="R46" s="55" cm="1">
        <f t="array" ref="R46">MMS_Dairy_AtmosphericDeposition_Equations.VEERG_4_3_1_5__2_TotalNitrogenVolatilisedFromMMS(R25, $E34)</f>
        <v>118.03529700600764</v>
      </c>
      <c r="S46" s="55" cm="1">
        <f t="array" ref="S46">MMS_Dairy_AtmosphericDeposition_Equations.VEERG_4_3_1_5__2_TotalNitrogenVolatilisedFromMMS(S25, $E34)</f>
        <v>47.012210523796831</v>
      </c>
      <c r="T46" s="55" cm="1">
        <f t="array" ref="T46">MMS_Dairy_AtmosphericDeposition_Equations.VEERG_4_3_1_5__2_TotalNitrogenVolatilisedFromMMS(T25, $E34)</f>
        <v>148.37503651526029</v>
      </c>
      <c r="U46" s="55" cm="1">
        <f t="array" ref="U46">MMS_Dairy_AtmosphericDeposition_Equations.VEERG_4_3_1_5__2_TotalNitrogenVolatilisedFromMMS(U25, $E34)</f>
        <v>62.114140218443133</v>
      </c>
      <c r="V46" s="2"/>
    </row>
    <row r="47" spans="4:22" ht="20.100000000000001" customHeight="1" x14ac:dyDescent="0.25">
      <c r="D47" s="55" t="str">
        <f>'Input - Dairy'!$D$67</f>
        <v>Feed pad</v>
      </c>
      <c r="E47" s="55" t="s">
        <v>405</v>
      </c>
      <c r="F47" s="55" cm="1">
        <f t="array" ref="F47">MMS_Dairy_AtmosphericDeposition_Equations.VEERG_4_3_1_5__2_TotalNitrogenVolatilisedFromMMS(F26, $E35)</f>
        <v>944.82450274367568</v>
      </c>
      <c r="G47" s="55" cm="1">
        <f t="array" ref="G47">MMS_Dairy_AtmosphericDeposition_Equations.VEERG_4_3_1_5__2_TotalNitrogenVolatilisedFromMMS(G26, $E35)</f>
        <v>354.10589101802276</v>
      </c>
      <c r="H47" s="55" cm="1">
        <f t="array" ref="H47">MMS_Dairy_AtmosphericDeposition_Equations.VEERG_4_3_1_5__2_TotalNitrogenVolatilisedFromMMS(H26, $E35)</f>
        <v>141.03663157139047</v>
      </c>
      <c r="I47" s="55" cm="1">
        <f t="array" ref="I47">MMS_Dairy_AtmosphericDeposition_Equations.VEERG_4_3_1_5__2_TotalNitrogenVolatilisedFromMMS(I26, $E35)</f>
        <v>445.12510954578079</v>
      </c>
      <c r="J47" s="55" cm="1">
        <f t="array" ref="J47">MMS_Dairy_AtmosphericDeposition_Equations.VEERG_4_3_1_5__2_TotalNitrogenVolatilisedFromMMS(J26, $E35)</f>
        <v>186.34242065532933</v>
      </c>
      <c r="K47" s="2"/>
      <c r="O47" s="55" t="str">
        <f>'Input - Dairy'!$D$67</f>
        <v>Feed pad</v>
      </c>
      <c r="P47" s="55" t="s">
        <v>405</v>
      </c>
      <c r="Q47" s="55" cm="1">
        <f t="array" ref="Q47">MMS_Dairy_AtmosphericDeposition_Equations.VEERG_4_3_1_5__2_TotalNitrogenVolatilisedFromMMS(Q26, $E35)</f>
        <v>944.82450274367568</v>
      </c>
      <c r="R47" s="55" cm="1">
        <f t="array" ref="R47">MMS_Dairy_AtmosphericDeposition_Equations.VEERG_4_3_1_5__2_TotalNitrogenVolatilisedFromMMS(R26, $E35)</f>
        <v>354.10589101802276</v>
      </c>
      <c r="S47" s="55" cm="1">
        <f t="array" ref="S47">MMS_Dairy_AtmosphericDeposition_Equations.VEERG_4_3_1_5__2_TotalNitrogenVolatilisedFromMMS(S26, $E35)</f>
        <v>141.03663157139047</v>
      </c>
      <c r="T47" s="55" cm="1">
        <f t="array" ref="T47">MMS_Dairy_AtmosphericDeposition_Equations.VEERG_4_3_1_5__2_TotalNitrogenVolatilisedFromMMS(T26, $E35)</f>
        <v>445.12510954578079</v>
      </c>
      <c r="U47" s="55" cm="1">
        <f t="array" ref="U47">MMS_Dairy_AtmosphericDeposition_Equations.VEERG_4_3_1_5__2_TotalNitrogenVolatilisedFromMMS(U26, $E35)</f>
        <v>186.34242065532933</v>
      </c>
      <c r="V47" s="2"/>
    </row>
    <row r="48" spans="4:22" ht="20.100000000000001" customHeight="1" x14ac:dyDescent="0.25"/>
    <row r="49" spans="1:23" ht="20.100000000000001" customHeight="1" x14ac:dyDescent="0.25">
      <c r="D49" s="118" t="s">
        <v>379</v>
      </c>
      <c r="E49" s="48">
        <f>SUM(F40:J47)</f>
        <v>5526.6863109839078</v>
      </c>
      <c r="F49" s="112" t="str">
        <f>$E$11</f>
        <v>kg N</v>
      </c>
      <c r="O49" s="118" t="s">
        <v>379</v>
      </c>
      <c r="P49" s="48">
        <f>SUM(Q40:U47)</f>
        <v>5526.6863109839078</v>
      </c>
      <c r="Q49" s="112" t="str">
        <f>$E$11</f>
        <v>kg N</v>
      </c>
    </row>
    <row r="50" spans="1:23" ht="20.100000000000001" customHeight="1" x14ac:dyDescent="0.25"/>
    <row r="51" spans="1:23" ht="20.100000000000001" customHeight="1" x14ac:dyDescent="0.25">
      <c r="A51" s="141" t="str">
        <f>HYPERLINK("#A1", "▲ Back to top")</f>
        <v>▲ Back to top</v>
      </c>
    </row>
    <row r="52" spans="1:23" ht="20.100000000000001" customHeight="1" x14ac:dyDescent="0.25">
      <c r="C52" s="48"/>
      <c r="D52" s="48"/>
      <c r="E52" s="48"/>
      <c r="F52" s="48"/>
      <c r="G52" s="48"/>
      <c r="H52" s="48"/>
      <c r="I52" s="48"/>
      <c r="J52" s="48"/>
      <c r="K52" s="48"/>
      <c r="L52" s="48"/>
      <c r="N52" s="48"/>
      <c r="O52" s="48"/>
      <c r="P52" s="48"/>
      <c r="Q52" s="48"/>
      <c r="R52" s="48"/>
      <c r="S52" s="48"/>
      <c r="T52" s="48"/>
      <c r="U52" s="48"/>
      <c r="V52" s="48"/>
      <c r="W52" s="48"/>
    </row>
    <row r="53" spans="1:23" ht="20.100000000000001" customHeight="1" x14ac:dyDescent="0.25">
      <c r="D53" s="6" t="str" cm="1">
        <f t="array" ref="D53">MMS_Dairy_AtmosphericDeposition_Equations.VEERG_4_3_1_5__1_AnnualAtmosphericDepositionEmissionsFromMMS_Title()</f>
        <v>Annual atmospheric deposition emissions from MMS</v>
      </c>
    </row>
    <row r="54" spans="1:23" ht="20.100000000000001" customHeight="1" x14ac:dyDescent="0.25">
      <c r="D54" s="5" t="str" cm="1">
        <f t="array" ref="D54">MMS_Dairy_AtmosphericDeposition_Equations.VEERG_4_3_1_5__1_AnnualAtmosphericDepositionEmissionsFromMMS_Source()</f>
        <v>VEERG 2026: 4.3.1.5, Equation (1)</v>
      </c>
    </row>
    <row r="55" spans="1:23" ht="20.100000000000001" customHeight="1" x14ac:dyDescent="0.25">
      <c r="D55" s="13" t="s">
        <v>27</v>
      </c>
      <c r="E55" s="13" t="str" cm="1">
        <f t="array" aca="1" ref="E55" ca="1">Common_InputFunctions.Utility_DisplayFunctionName($E$68)</f>
        <v>=MMS_Dairy_AtmosphericDeposition_Equations.VEERG_4_3_1_5__1_AnnualAtmosphericDepositionEmissionsFromMMS</v>
      </c>
    </row>
    <row r="56" spans="1:23" ht="20.100000000000001" customHeight="1" x14ac:dyDescent="0.25"/>
    <row r="57" spans="1:23" ht="20.100000000000001" customHeight="1" x14ac:dyDescent="0.25">
      <c r="D57" s="6"/>
      <c r="H57" s="1" t="s">
        <v>421</v>
      </c>
    </row>
    <row r="58" spans="1:23" ht="20.100000000000001" customHeight="1" x14ac:dyDescent="0.25">
      <c r="D58" s="56" t="s">
        <v>30</v>
      </c>
      <c r="E58" s="1" t="str" cm="1">
        <f t="array" ref="E58">MMS_Dairy_AtmosphericDeposition_Equations.VEERG_4_3_1_5__1_AnnualAtmosphericDepositionEmissionsFromMMS_Variable()</f>
        <v>E_N2OMMSad</v>
      </c>
    </row>
    <row r="59" spans="1:23" ht="20.100000000000001" customHeight="1" x14ac:dyDescent="0.25">
      <c r="D59" s="56" t="s">
        <v>20</v>
      </c>
      <c r="E59" s="57" t="str" cm="1">
        <f t="array" ref="E59">MMS_Dairy_AtmosphericDeposition_Equations.VEERG_4_3_1_5__1_AnnualAtmosphericDepositionEmissionsFromMMS_Unit()</f>
        <v>t N2O</v>
      </c>
    </row>
    <row r="60" spans="1:23" ht="20.100000000000001" customHeight="1" x14ac:dyDescent="0.25"/>
    <row r="61" spans="1:23" ht="20.100000000000001" customHeight="1" x14ac:dyDescent="0.25">
      <c r="D61" s="137" t="str" cm="1">
        <f t="array" ref="D61:E66">_xlfn.CHOOSECOLS(MMS_Dairy_AtmosphericDeposition_Equations.VEERG_4_3_1_5__1_AnnualAtmosphericDepositionEmissionsFromMMS_Arguments(),1,2)</f>
        <v>MN_ATMOS</v>
      </c>
      <c r="E61" s="136" t="str">
        <v>mass of N volatilised from MMS</v>
      </c>
      <c r="F61" s="138"/>
      <c r="G61" s="137" t="str" cm="1">
        <f t="array" ref="G61:H66">_xlfn.CHOOSECOLS(MMS_Dairy_AtmosphericDeposition_Equations.VEERG_4_3_1_5__1_AnnualAtmosphericDepositionEmissionsFromMMS_Arguments(),3,4)</f>
        <v>kg N</v>
      </c>
      <c r="H61" s="133" t="str">
        <v>Calculated from 4.3.1.5 (2)</v>
      </c>
      <c r="I61" s="137">
        <f>$E$49</f>
        <v>5526.6863109839078</v>
      </c>
      <c r="O61" s="60" t="str">
        <f>D61</f>
        <v>MN_ATMOS</v>
      </c>
      <c r="P61" s="61" t="str">
        <f>E61</f>
        <v>mass of N volatilised from MMS</v>
      </c>
      <c r="Q61" s="62"/>
      <c r="R61" s="60">
        <f>$P$49</f>
        <v>5526.6863109839078</v>
      </c>
    </row>
    <row r="62" spans="1:23" ht="20.100000000000001" customHeight="1" x14ac:dyDescent="0.25">
      <c r="D62" s="137" t="str">
        <v>EF_N2O</v>
      </c>
      <c r="E62" s="136" t="str">
        <v>nitrous oxide emission factor for atmospheric deposition</v>
      </c>
      <c r="F62" s="138"/>
      <c r="G62" s="137" t="str">
        <v>kg N2O-N/kg N</v>
      </c>
      <c r="H62" s="133" t="str">
        <v>Constant</v>
      </c>
      <c r="I62" s="137">
        <f>Common_InputFunctions.Utility_LookupN2OEFFromProdIrrigationRainfall(I64,I65,I66,Table_SourceData_Common_EFN2O[Production system only],Table_SourceData_Common_EFN2O[Irrigation method],Table_SourceData_Common_EFN2O[Rainfall zone],Table_SourceData_Common_EFN2O[EFN2O])</f>
        <v>5.8999999999999999E-3</v>
      </c>
      <c r="O62" s="60"/>
      <c r="P62" s="61"/>
      <c r="Q62" s="62"/>
      <c r="R62" s="60"/>
    </row>
    <row r="63" spans="1:23" ht="20.100000000000001" customHeight="1" x14ac:dyDescent="0.25">
      <c r="D63" s="137" t="str">
        <v>C_N2O</v>
      </c>
      <c r="E63" s="136" t="str">
        <v>factor to convert elemental mass of N2O to molecular mass</v>
      </c>
      <c r="F63" s="138"/>
      <c r="G63" s="137" t="str">
        <v/>
      </c>
      <c r="H63" s="133" t="str">
        <v>Constant</v>
      </c>
      <c r="I63" s="137">
        <f>Common_InputFunctions.Utility_LookupValueInTableNumber("N2O",Table_GasToMolecularConversionFactor[Gas],Table_GasToMolecularConversionFactor[Conversion factor combined])</f>
        <v>1.5714285714285714</v>
      </c>
      <c r="O63" s="60"/>
      <c r="P63" s="61"/>
      <c r="Q63" s="62"/>
      <c r="R63" s="60"/>
    </row>
    <row r="64" spans="1:23" ht="20.100000000000001" customHeight="1" x14ac:dyDescent="0.25">
      <c r="D64" s="137" t="str">
        <v>j</v>
      </c>
      <c r="E64" s="136" t="str">
        <v>production system</v>
      </c>
      <c r="F64" s="138"/>
      <c r="G64" s="137" t="str">
        <v/>
      </c>
      <c r="H64" s="135" t="str">
        <v>Input</v>
      </c>
      <c r="I64" s="137" t="str">
        <f>'Input - Dairy'!$E$125</f>
        <v>Pasture</v>
      </c>
      <c r="O64" s="60"/>
      <c r="P64" s="61"/>
      <c r="Q64" s="62"/>
      <c r="R64" s="60"/>
    </row>
    <row r="65" spans="1:18" ht="20.100000000000001" customHeight="1" x14ac:dyDescent="0.25">
      <c r="D65" s="137" t="str">
        <v>ir</v>
      </c>
      <c r="E65" s="136" t="str">
        <v>irrigation method</v>
      </c>
      <c r="F65" s="138"/>
      <c r="G65" s="137" t="str">
        <v/>
      </c>
      <c r="H65" s="135" t="str">
        <v>Input</v>
      </c>
      <c r="I65" s="137" t="str">
        <f>'Input - Dairy'!$E$126</f>
        <v>Sprinkler Irrigation</v>
      </c>
      <c r="O65" s="60"/>
      <c r="P65" s="61"/>
      <c r="Q65" s="62"/>
      <c r="R65" s="60"/>
    </row>
    <row r="66" spans="1:18" ht="20.100000000000001" customHeight="1" x14ac:dyDescent="0.25">
      <c r="D66" s="137" t="str">
        <v>r</v>
      </c>
      <c r="E66" s="136" t="str">
        <v>rainfall region</v>
      </c>
      <c r="F66" s="138"/>
      <c r="G66" s="137" t="str">
        <v/>
      </c>
      <c r="H66" s="135" t="str">
        <v>Input</v>
      </c>
      <c r="I66" s="137" t="str">
        <f>'Input - Site'!$E$30</f>
        <v>High rainfall</v>
      </c>
      <c r="O66" s="60"/>
      <c r="P66" s="61"/>
      <c r="Q66" s="62"/>
      <c r="R66" s="60"/>
    </row>
    <row r="67" spans="1:18" ht="20.100000000000001" customHeight="1" x14ac:dyDescent="0.25"/>
    <row r="68" spans="1:18" ht="20.100000000000001" customHeight="1" x14ac:dyDescent="0.25">
      <c r="D68" s="108" t="s">
        <v>324</v>
      </c>
      <c r="E68" s="109" cm="1">
        <f t="array" ref="E68">MMS_Dairy_AtmosphericDeposition_Equations.VEERG_4_3_1_5__1_AnnualAtmosphericDepositionEmissionsFromMMS($I$61,$I$62,$I$63)</f>
        <v>5.1240277368979369E-2</v>
      </c>
      <c r="F68" s="110" t="str">
        <f>$E$59</f>
        <v>t N2O</v>
      </c>
      <c r="O68" s="108" t="s">
        <v>324</v>
      </c>
      <c r="P68" s="109" cm="1">
        <f t="array" ref="P68">MMS_Dairy_AtmosphericDeposition_Equations.VEERG_4_3_1_5__1_AnnualAtmosphericDepositionEmissionsFromMMS($R$61,$I$62,$I$63)</f>
        <v>5.1240277368979369E-2</v>
      </c>
      <c r="Q68" s="110" t="str">
        <f>$E$59</f>
        <v>t N2O</v>
      </c>
    </row>
    <row r="69" spans="1:18" ht="20.100000000000001" customHeight="1" x14ac:dyDescent="0.25"/>
    <row r="70" spans="1:18" ht="20.100000000000001" customHeight="1" x14ac:dyDescent="0.25">
      <c r="D70" s="60" t="str" cm="1">
        <f t="array" ref="D70:E71">Common_Equations.Common_ConvertN2OToCO2e_Arguments()</f>
        <v>EN2O</v>
      </c>
      <c r="E70" s="61" t="str">
        <v>Nitrous oxide emissions (t N2O)</v>
      </c>
      <c r="F70" s="111"/>
      <c r="G70" s="55">
        <f>$E$68</f>
        <v>5.1240277368979369E-2</v>
      </c>
      <c r="O70" s="60" t="str" cm="1">
        <f t="array" ref="O70:P71">Common_Equations.Common_ConvertN2OToCO2e_Arguments()</f>
        <v>EN2O</v>
      </c>
      <c r="P70" s="61" t="str">
        <v>Nitrous oxide emissions (t N2O)</v>
      </c>
      <c r="Q70" s="111"/>
      <c r="R70" s="55">
        <f>P68</f>
        <v>5.1240277368979369E-2</v>
      </c>
    </row>
    <row r="71" spans="1:18" ht="20.100000000000001" customHeight="1" x14ac:dyDescent="0.25">
      <c r="D71" s="60" t="str">
        <v>GWPN2O</v>
      </c>
      <c r="E71" s="61" t="str">
        <v>Global warming potential for nitrous oxide (t CO2-e / t N2O)</v>
      </c>
      <c r="F71" s="111"/>
      <c r="G71" s="55">
        <f>Common_InputFunctions.Utility_LookupValueInTableNumber("N2O",Table_GWPData[Gas],Table_GWPData[CO2-e factor])</f>
        <v>265</v>
      </c>
      <c r="O71" s="60" t="str">
        <v>GWPN2O</v>
      </c>
      <c r="P71" s="61" t="str">
        <v>Global warming potential for nitrous oxide (t CO2-e / t N2O)</v>
      </c>
      <c r="Q71" s="111"/>
      <c r="R71" s="55">
        <f>Common_InputFunctions.Utility_LookupValueInTableNumber("N2O",Table_GWPData[Gas],Table_GWPData[CO2-e factor])</f>
        <v>265</v>
      </c>
    </row>
    <row r="72" spans="1:18" ht="20.100000000000001" customHeight="1" x14ac:dyDescent="0.25"/>
    <row r="73" spans="1:18" ht="20.100000000000001" customHeight="1" x14ac:dyDescent="0.25">
      <c r="A73" s="141" t="str">
        <f>HYPERLINK("#A1", "▲ Back to top")</f>
        <v>▲ Back to top</v>
      </c>
      <c r="D73" s="48" t="s">
        <v>108</v>
      </c>
      <c r="E73" s="48" cm="1">
        <f t="array" ref="E73">Common_Equations.Common_ConvertN2OToCO2e(G70,G71)</f>
        <v>13.578673502779532</v>
      </c>
      <c r="F73" s="112" t="str" cm="1">
        <f t="array" ref="F73">Common_Equations.Common_ConvertN2OToCO2e_Unit()</f>
        <v>t CO2e</v>
      </c>
      <c r="O73" s="48" t="s">
        <v>108</v>
      </c>
      <c r="P73" s="48" cm="1">
        <f t="array" ref="P73">Common_Equations.Common_ConvertN2OToCO2e(R70,R71)</f>
        <v>13.578673502779532</v>
      </c>
      <c r="Q73" s="112" t="str" cm="1">
        <f t="array" ref="Q73">Common_Equations.Common_ConvertN2OToCO2e_Unit()</f>
        <v>t CO2e</v>
      </c>
    </row>
    <row r="74" spans="1:18" ht="20.100000000000001" customHeight="1" x14ac:dyDescent="0.25"/>
    <row r="75" spans="1:18" ht="20.100000000000001" customHeight="1" x14ac:dyDescent="0.25"/>
    <row r="76" spans="1:18" ht="20.100000000000001" customHeight="1" x14ac:dyDescent="0.25"/>
    <row r="77" spans="1:18" ht="20.100000000000001" customHeight="1" x14ac:dyDescent="0.25"/>
    <row r="78" spans="1:18" ht="20.100000000000001" customHeight="1" x14ac:dyDescent="0.25"/>
    <row r="79" spans="1:18" ht="20.100000000000001" customHeight="1" x14ac:dyDescent="0.25"/>
    <row r="80" spans="1:18"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count="1">
    <dataValidation operator="equal" allowBlank="1" showInputMessage="1" showErrorMessage="1" sqref="E34 E31 E22 E19 E26 P19 P26 E40 E47 P40 E74 P74 P22 E43 P43 P47" xr:uid="{7FA3C31B-BFCF-4AA3-9A1C-D3DF345CD246}"/>
  </dataValidation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CFF1F9-358B-4D16-8622-0A1620082E5C}">
  <dimension ref="A1:W165"/>
  <sheetViews>
    <sheetView showGridLines="0" topLeftCell="A7" workbookViewId="0">
      <selection activeCell="J15" sqref="J15"/>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2" width="30.7109375" style="1" customWidth="1"/>
    <col min="23" max="23" width="4.7109375" style="1" customWidth="1"/>
  </cols>
  <sheetData>
    <row r="1" spans="1:23" s="8" customFormat="1" ht="30" customHeight="1" x14ac:dyDescent="0.35">
      <c r="A1" s="8" t="e" vm="1">
        <v>#VALUE!</v>
      </c>
      <c r="C1" s="8" t="s">
        <v>351</v>
      </c>
    </row>
    <row r="2" spans="1:23" s="9" customFormat="1" ht="20.100000000000001" customHeight="1" x14ac:dyDescent="0.25"/>
    <row r="3" spans="1:23" ht="20.100000000000001" customHeight="1" x14ac:dyDescent="0.25">
      <c r="A3" s="17" t="str">
        <f>HYPERLINK("#'Home'!A1", "Home")</f>
        <v>Home</v>
      </c>
      <c r="C3" s="4"/>
      <c r="D3" s="4" t="s">
        <v>118</v>
      </c>
      <c r="E3" s="4"/>
      <c r="F3" s="4"/>
      <c r="G3" s="4"/>
      <c r="H3" s="4"/>
      <c r="I3" s="4"/>
      <c r="J3" s="4"/>
      <c r="K3" s="4"/>
      <c r="L3" s="4"/>
      <c r="N3" s="4"/>
      <c r="O3" s="4" t="s">
        <v>119</v>
      </c>
      <c r="P3" s="4"/>
      <c r="Q3" s="4"/>
      <c r="R3" s="4"/>
      <c r="S3" s="4"/>
      <c r="T3" s="4"/>
      <c r="U3" s="4"/>
      <c r="V3" s="4"/>
      <c r="W3" s="4"/>
    </row>
    <row r="4" spans="1:23" ht="20.100000000000001" customHeight="1" x14ac:dyDescent="0.25">
      <c r="A4" s="17" t="str">
        <f>HYPERLINK("#'Overview'!A1", "Overview")</f>
        <v>Overview</v>
      </c>
    </row>
    <row r="5" spans="1:23" ht="20.100000000000001" customHeight="1" x14ac:dyDescent="0.25">
      <c r="A5" s="17" t="str">
        <f>HYPERLINK("#'Results'!A1", "Results")</f>
        <v>Results</v>
      </c>
      <c r="D5" s="6" t="str" cm="1">
        <f t="array" ref="D5">MMS_Dairy_LeachingAndRunoff_Equations.VEERG_4_3_1_6__2_MassOfNitrogenLostToLeachingAndRunoffFromSolidStorage_Title()</f>
        <v>Mass of nitrogen lost to leaching and runoff from solid storage systems</v>
      </c>
    </row>
    <row r="6" spans="1:23" ht="20.100000000000001" customHeight="1" x14ac:dyDescent="0.25">
      <c r="A6" s="16"/>
      <c r="D6" s="5" t="str" cm="1">
        <f t="array" ref="D6">MMS_Dairy_LeachingAndRunoff_Equations.VEERG_4_3_1_6__2_MassOfNitrogenLostToLeachingAndRunoffFromSolidStorage_Source()</f>
        <v>VEERG 2026: 4.3.1.6, Equation (2)</v>
      </c>
    </row>
    <row r="7" spans="1:23" ht="20.100000000000001" customHeight="1" x14ac:dyDescent="0.25">
      <c r="A7" s="20" t="s">
        <v>3</v>
      </c>
      <c r="D7" s="13" t="s">
        <v>27</v>
      </c>
      <c r="E7" s="13" t="str" cm="1">
        <f t="array" aca="1" ref="E7" ca="1">Common_InputFunctions.Utility_DisplayFunctionName($F$29)</f>
        <v>=MMS_Dairy_LeachingAndRunoff_Equations.VEERG_4_3_1_6__2_MassOfNitrogenLostToLeachingAndRunoffFromSolidStorage</v>
      </c>
    </row>
    <row r="8" spans="1:23" ht="20.100000000000001" customHeight="1" x14ac:dyDescent="0.25">
      <c r="A8" s="17" t="str">
        <f>HYPERLINK("#'Input - Site'!A1", "Site")</f>
        <v>Site</v>
      </c>
    </row>
    <row r="9" spans="1:23" ht="20.100000000000001" customHeight="1" x14ac:dyDescent="0.25">
      <c r="A9" s="17" t="str">
        <f>HYPERLINK("#'Input - Dairy'!A1", "Dairy")</f>
        <v>Dairy</v>
      </c>
    </row>
    <row r="10" spans="1:23" ht="20.100000000000001" customHeight="1" x14ac:dyDescent="0.25">
      <c r="A10" s="17"/>
      <c r="D10" s="56" t="s">
        <v>30</v>
      </c>
      <c r="E10" s="1" t="str" cm="1">
        <f t="array" ref="E10">MMS_Dairy_LeachingAndRunoff_Equations.VEERG_4_3_1_6__2_MassOfNitrogenLostToLeachingAndRunoffFromSolidStorage_Variable()</f>
        <v>MNLeach_jm4</v>
      </c>
    </row>
    <row r="11" spans="1:23" ht="20.100000000000001" customHeight="1" x14ac:dyDescent="0.25">
      <c r="A11" s="19" t="s">
        <v>76</v>
      </c>
      <c r="D11" s="56" t="s">
        <v>20</v>
      </c>
      <c r="E11" s="57" t="str" cm="1">
        <f t="array" ref="E11">MMS_Dairy_LeachingAndRunoff_Equations.VEERG_4_3_1_6__2_MassOfNitrogenLostToLeachingAndRunoffFromSolidStorage_Unit()</f>
        <v>kg N</v>
      </c>
    </row>
    <row r="12" spans="1:23" ht="20.100000000000001" customHeight="1" x14ac:dyDescent="0.25">
      <c r="A12" s="17" t="str">
        <f>HYPERLINK("#'4.3.1.1-2 Methane'!A1", "4.3.1.1-2 Methane")</f>
        <v>4.3.1.1-2 Methane</v>
      </c>
    </row>
    <row r="13" spans="1:23" ht="20.100000000000001" customHeight="1" x14ac:dyDescent="0.25">
      <c r="A13" s="17" t="str">
        <f>HYPERLINK("#'4.3.1.3-4 Direct N20'!A1", "4.3.1.3-4 Direct N2O")</f>
        <v>4.3.1.3-4 Direct N2O</v>
      </c>
      <c r="D13" s="137" t="str" cm="1">
        <f t="array" ref="D13:E18">_xlfn.CHOOSECOLS(MMS_Dairy_LeachingAndRunoff_Equations.VEERG_4_3_1_6__2_MassOfNitrogenLostToLeachingAndRunoffFromSolidStorage_Arguments(),1,2)</f>
        <v>MN_jm4</v>
      </c>
      <c r="E13" s="136" t="str">
        <v>total nitrogen in solid storage system m=4 (kg N)</v>
      </c>
      <c r="F13" s="142"/>
      <c r="G13" s="138"/>
      <c r="H13" s="137" t="str" cm="1">
        <f t="array" ref="H13:I18">_xlfn.CHOOSECOLS(MMS_Dairy_LeachingAndRunoff_Equations.VEERG_4_3_1_6__2_MassOfNitrogenLostToLeachingAndRunoffFromSolidStorage_Arguments(),3,4)</f>
        <v>kg N</v>
      </c>
      <c r="I13" s="133" t="str">
        <v>Calculated from 4.3.1.3 (2)</v>
      </c>
      <c r="J13" s="134" t="str" cm="1">
        <f t="array" aca="1" ref="J13" ca="1">HYPERLINK(Common_InputFunctions.Utility_SourceHyperlink($D$20),$D$20)</f>
        <v>M1_Table_MN_j_m-4</v>
      </c>
    </row>
    <row r="14" spans="1:23" ht="20.100000000000001" customHeight="1" x14ac:dyDescent="0.25">
      <c r="A14" s="17" t="str">
        <f>HYPERLINK("#'4.3.1.5 Atmos Deposition'!A1", "4.3.1.5 Atmospheric deposition")</f>
        <v>4.3.1.5 Atmospheric deposition</v>
      </c>
      <c r="D14" s="137" t="str">
        <v>FracWET_i</v>
      </c>
      <c r="E14" s="136" t="str">
        <v>fraction of N that is available for leaching and runoff from the leaching zone z and irrigation type ir</v>
      </c>
      <c r="F14" s="142"/>
      <c r="G14" s="138"/>
      <c r="H14" s="137" t="str">
        <v>fraction</v>
      </c>
      <c r="I14" s="133" t="str">
        <v>Constant</v>
      </c>
      <c r="J14" s="137">
        <f>Common_InputFunctions.CommonCropping_GetFracWET(J16,J18,#REF!,#REF!,Table_SourceData_FracWETIrrigation[Irrigation type i],Table_SourceData_FracWETIrrigation[FracWET])</f>
        <v>1</v>
      </c>
    </row>
    <row r="15" spans="1:23" ht="20.100000000000001" customHeight="1" x14ac:dyDescent="0.25">
      <c r="A15" s="22" t="str">
        <f>HYPERLINK("#'4.3.1.6-7 Leaching and runoff'!A1", "4.3.1.6-7 Leaching and runoff")</f>
        <v>4.3.1.6-7 Leaching and runoff</v>
      </c>
      <c r="D15" s="137" t="str">
        <v>FracLEACH_MS</v>
      </c>
      <c r="E15" s="136" t="str">
        <v>fraction of N that is lost through leaching and runoff</v>
      </c>
      <c r="F15" s="142"/>
      <c r="G15" s="138"/>
      <c r="H15" s="137" t="str">
        <v>fraction</v>
      </c>
      <c r="I15" s="133" t="str">
        <v>Constant</v>
      </c>
      <c r="J15" s="137">
        <f>'Constants - Dairy'!$D$215</f>
        <v>0.02</v>
      </c>
    </row>
    <row r="16" spans="1:23" ht="20.100000000000001" customHeight="1" x14ac:dyDescent="0.25">
      <c r="A16" s="17" t="str">
        <f>HYPERLINK("#'4.3.1.8 Manure applied to soils'!A1", "4.3.1.8 Manure applied to soils")</f>
        <v>4.3.1.8 Manure applied to soils</v>
      </c>
      <c r="D16" s="137" t="str">
        <v>z</v>
      </c>
      <c r="E16" s="136" t="str">
        <v>location in leaching zone</v>
      </c>
      <c r="F16" s="142"/>
      <c r="G16" s="138"/>
      <c r="H16" s="137" t="str">
        <v/>
      </c>
      <c r="I16" s="135" t="str">
        <v>Input</v>
      </c>
      <c r="J16" s="137" t="str">
        <f>'Input - Site'!$E$23</f>
        <v>NO - Not in leaching zone</v>
      </c>
    </row>
    <row r="17" spans="1:22" ht="20.100000000000001" customHeight="1" x14ac:dyDescent="0.25">
      <c r="A17" s="17" t="str">
        <f>HYPERLINK("#'4.3.1.9 Soil direct N2O'!A1", "4.3.1.9 Soil direct N2O")</f>
        <v>4.3.1.9 Soil direct N2O</v>
      </c>
      <c r="D17" s="137" t="str">
        <v>j</v>
      </c>
      <c r="E17" s="136" t="str">
        <v>production system</v>
      </c>
      <c r="F17" s="142"/>
      <c r="G17" s="138"/>
      <c r="H17" s="137" t="str">
        <v/>
      </c>
      <c r="I17" s="135" t="str">
        <v>Input</v>
      </c>
      <c r="J17" s="137" t="str">
        <f>'Input - Dairy'!$E$125</f>
        <v>Pasture</v>
      </c>
    </row>
    <row r="18" spans="1:22" ht="20.100000000000001" customHeight="1" x14ac:dyDescent="0.25">
      <c r="A18" s="17" t="str">
        <f>HYPERLINK("#'4.3.1.10-11 Soil Atmos Dep'!A1", "4.3.1.10-11 Soil atm. deposition")</f>
        <v>4.3.1.10-11 Soil atm. deposition</v>
      </c>
      <c r="D18" s="137" t="str">
        <v>ir</v>
      </c>
      <c r="E18" s="136" t="str">
        <v>irrigation method</v>
      </c>
      <c r="F18" s="142"/>
      <c r="G18" s="138"/>
      <c r="H18" s="137" t="str">
        <v/>
      </c>
      <c r="I18" s="135" t="str">
        <v>Input</v>
      </c>
      <c r="J18" s="137" t="str">
        <f>'Input - Dairy'!$E$126</f>
        <v>Sprinkler Irrigation</v>
      </c>
    </row>
    <row r="19" spans="1:22" ht="20.100000000000001" customHeight="1" x14ac:dyDescent="0.25">
      <c r="A19" s="17" t="str">
        <f>HYPERLINK("#'4.3.1.12-13 Soil leach runoff'!A1", "4.3.1.12-13 Soil leach &amp; runoff")</f>
        <v>4.3.1.12-13 Soil leach &amp; runoff</v>
      </c>
    </row>
    <row r="20" spans="1:22" ht="20.100000000000001" customHeight="1" x14ac:dyDescent="0.25">
      <c r="A20" s="17"/>
      <c r="D20" s="104" t="s">
        <v>326</v>
      </c>
      <c r="O20" s="104" t="s">
        <v>328</v>
      </c>
    </row>
    <row r="21" spans="1:22" ht="20.100000000000001" customHeight="1" x14ac:dyDescent="0.25">
      <c r="A21" s="18" t="s">
        <v>4</v>
      </c>
      <c r="D21" s="103" t="s">
        <v>327</v>
      </c>
      <c r="O21" s="103" t="s">
        <v>329</v>
      </c>
    </row>
    <row r="22" spans="1:22" ht="20.100000000000001" customHeight="1" x14ac:dyDescent="0.25">
      <c r="A22" s="17" t="str">
        <f>HYPERLINK("#'Constants - Dairy'!A1", "Constants - Dairy")</f>
        <v>Constants - Dairy</v>
      </c>
      <c r="D22" s="54" t="s">
        <v>146</v>
      </c>
      <c r="E22" s="54" t="s">
        <v>68</v>
      </c>
      <c r="F22" s="54" t="s">
        <v>171</v>
      </c>
      <c r="G22" s="54" t="s">
        <v>188</v>
      </c>
      <c r="H22" s="54" t="s">
        <v>189</v>
      </c>
      <c r="I22" s="54" t="s">
        <v>190</v>
      </c>
      <c r="J22" s="54" t="s">
        <v>191</v>
      </c>
      <c r="O22" s="54" t="s">
        <v>146</v>
      </c>
      <c r="P22" s="54" t="s">
        <v>68</v>
      </c>
      <c r="Q22" s="54" t="s">
        <v>171</v>
      </c>
      <c r="R22" s="54" t="s">
        <v>188</v>
      </c>
      <c r="S22" s="54" t="s">
        <v>189</v>
      </c>
      <c r="T22" s="54" t="s">
        <v>190</v>
      </c>
      <c r="U22" s="54" t="s">
        <v>191</v>
      </c>
    </row>
    <row r="23" spans="1:22" ht="20.100000000000001" customHeight="1" x14ac:dyDescent="0.25">
      <c r="A23" s="17" t="str">
        <f>HYPERLINK("#'Constants - Livestock'!A1", "Constants - Livestock")</f>
        <v>Constants - Livestock</v>
      </c>
      <c r="D23" s="55" t="str">
        <f>'Input - Dairy'!$D$66</f>
        <v>Milking shed</v>
      </c>
      <c r="E23" s="55" t="s">
        <v>405</v>
      </c>
      <c r="F23" s="55">
        <f>'4.3.1.3-4 Direct N20'!F246</f>
        <v>851.49211974792888</v>
      </c>
      <c r="G23" s="55">
        <f>'4.3.1.3-4 Direct N20'!G246</f>
        <v>319.12632968618635</v>
      </c>
      <c r="H23" s="55">
        <f>'4.3.1.3-4 Direct N20'!H246</f>
        <v>127.10464221672598</v>
      </c>
      <c r="I23" s="55">
        <f>'4.3.1.3-4 Direct N20'!I246</f>
        <v>401.15441754476973</v>
      </c>
      <c r="J23" s="55">
        <f>'4.3.1.3-4 Direct N20'!J246</f>
        <v>167.93499988834694</v>
      </c>
      <c r="K23" s="2" t="str">
        <f>$H$13</f>
        <v>kg N</v>
      </c>
      <c r="O23" s="55" t="str">
        <f>'Input - Dairy'!$D$66</f>
        <v>Milking shed</v>
      </c>
      <c r="P23" s="55" t="s">
        <v>405</v>
      </c>
      <c r="Q23" s="55">
        <f>'4.3.1.3-4 Direct N20'!P246</f>
        <v>851.49211974792888</v>
      </c>
      <c r="R23" s="55">
        <f>'4.3.1.3-4 Direct N20'!Q246</f>
        <v>319.12632968618635</v>
      </c>
      <c r="S23" s="55">
        <f>'4.3.1.3-4 Direct N20'!R246</f>
        <v>127.10464221672598</v>
      </c>
      <c r="T23" s="55">
        <f>'4.3.1.3-4 Direct N20'!S246</f>
        <v>401.15441754476973</v>
      </c>
      <c r="U23" s="55">
        <f>'4.3.1.3-4 Direct N20'!T246</f>
        <v>167.93499988834694</v>
      </c>
      <c r="V23" s="2" t="str">
        <f>$H$13</f>
        <v>kg N</v>
      </c>
    </row>
    <row r="24" spans="1:22" ht="20.100000000000001" customHeight="1" x14ac:dyDescent="0.25">
      <c r="A24" s="17" t="str">
        <f>HYPERLINK("#'Constants - Common'!A1", "Constants - Common")</f>
        <v>Constants - Common</v>
      </c>
      <c r="D24" s="55" t="str">
        <f>'Input - Dairy'!$D$67</f>
        <v>Feed pad</v>
      </c>
      <c r="E24" s="55" t="s">
        <v>405</v>
      </c>
      <c r="F24" s="55">
        <f>'4.3.1.3-4 Direct N20'!F250</f>
        <v>3149.4150091455858</v>
      </c>
      <c r="G24" s="55">
        <f>'4.3.1.3-4 Direct N20'!G250</f>
        <v>1180.3529700600759</v>
      </c>
      <c r="H24" s="55">
        <f>'4.3.1.3-4 Direct N20'!H250</f>
        <v>470.12210523796824</v>
      </c>
      <c r="I24" s="55">
        <f>'4.3.1.3-4 Direct N20'!I250</f>
        <v>1483.7503651526026</v>
      </c>
      <c r="J24" s="55">
        <f>'4.3.1.3-4 Direct N20'!J250</f>
        <v>621.14140218443117</v>
      </c>
      <c r="K24" s="2"/>
      <c r="O24" s="55" t="str">
        <f>'Input - Dairy'!$D$67</f>
        <v>Feed pad</v>
      </c>
      <c r="P24" s="55" t="s">
        <v>405</v>
      </c>
      <c r="Q24" s="55">
        <f>'4.3.1.3-4 Direct N20'!P250</f>
        <v>3149.4150091455858</v>
      </c>
      <c r="R24" s="55">
        <f>'4.3.1.3-4 Direct N20'!Q250</f>
        <v>1180.3529700600759</v>
      </c>
      <c r="S24" s="55">
        <f>'4.3.1.3-4 Direct N20'!R250</f>
        <v>470.12210523796824</v>
      </c>
      <c r="T24" s="55">
        <f>'4.3.1.3-4 Direct N20'!S250</f>
        <v>1483.7503651526026</v>
      </c>
      <c r="U24" s="55">
        <f>'4.3.1.3-4 Direct N20'!T250</f>
        <v>621.14140218443117</v>
      </c>
      <c r="V24" s="2"/>
    </row>
    <row r="25" spans="1:22" ht="20.100000000000001" customHeight="1" x14ac:dyDescent="0.25">
      <c r="A25" s="17" t="str">
        <f>HYPERLINK("#'Acknowledgements'!A1", "Acknowledgements")</f>
        <v>Acknowledgements</v>
      </c>
    </row>
    <row r="26" spans="1:22" ht="20.100000000000001" customHeight="1" x14ac:dyDescent="0.25">
      <c r="D26" s="104" t="s">
        <v>331</v>
      </c>
      <c r="O26" s="104" t="s">
        <v>332</v>
      </c>
    </row>
    <row r="27" spans="1:22" ht="20.100000000000001" customHeight="1" x14ac:dyDescent="0.25">
      <c r="D27" s="103" t="s">
        <v>330</v>
      </c>
      <c r="O27" s="103" t="s">
        <v>333</v>
      </c>
    </row>
    <row r="28" spans="1:22" ht="20.100000000000001" customHeight="1" x14ac:dyDescent="0.25">
      <c r="D28" s="54" t="s">
        <v>146</v>
      </c>
      <c r="E28" s="54" t="s">
        <v>68</v>
      </c>
      <c r="F28" s="54" t="s">
        <v>171</v>
      </c>
      <c r="G28" s="54" t="s">
        <v>188</v>
      </c>
      <c r="H28" s="54" t="s">
        <v>189</v>
      </c>
      <c r="I28" s="54" t="s">
        <v>190</v>
      </c>
      <c r="J28" s="54" t="s">
        <v>191</v>
      </c>
      <c r="O28" s="54" t="s">
        <v>146</v>
      </c>
      <c r="P28" s="54" t="s">
        <v>68</v>
      </c>
      <c r="Q28" s="54" t="s">
        <v>171</v>
      </c>
      <c r="R28" s="54" t="s">
        <v>188</v>
      </c>
      <c r="S28" s="54" t="s">
        <v>189</v>
      </c>
      <c r="T28" s="54" t="s">
        <v>190</v>
      </c>
      <c r="U28" s="54" t="s">
        <v>191</v>
      </c>
    </row>
    <row r="29" spans="1:22" ht="20.100000000000001" customHeight="1" x14ac:dyDescent="0.25">
      <c r="D29" s="55" t="str">
        <f>'Input - Dairy'!$D$66</f>
        <v>Milking shed</v>
      </c>
      <c r="E29" s="55" t="s">
        <v>405</v>
      </c>
      <c r="F29" s="55" cm="1">
        <f t="array" ref="F29">MMS_Dairy_LeachingAndRunoff_Equations.VEERG_4_3_1_6__2_MassOfNitrogenLostToLeachingAndRunoffFromSolidStorage(F23,$J$14,$J$15)</f>
        <v>17.029842394958578</v>
      </c>
      <c r="G29" s="55" cm="1">
        <f t="array" ref="G29">MMS_Dairy_LeachingAndRunoff_Equations.VEERG_4_3_1_6__2_MassOfNitrogenLostToLeachingAndRunoffFromSolidStorage(G23,$J$14,$J$15)</f>
        <v>6.3825265937237274</v>
      </c>
      <c r="H29" s="55" cm="1">
        <f t="array" ref="H29">MMS_Dairy_LeachingAndRunoff_Equations.VEERG_4_3_1_6__2_MassOfNitrogenLostToLeachingAndRunoffFromSolidStorage(H23,$J$14,$J$15)</f>
        <v>2.5420928443345194</v>
      </c>
      <c r="I29" s="55" cm="1">
        <f t="array" ref="I29">MMS_Dairy_LeachingAndRunoff_Equations.VEERG_4_3_1_6__2_MassOfNitrogenLostToLeachingAndRunoffFromSolidStorage(I23,$J$14,$J$15)</f>
        <v>8.0230883508953941</v>
      </c>
      <c r="J29" s="55" cm="1">
        <f t="array" ref="J29">MMS_Dairy_LeachingAndRunoff_Equations.VEERG_4_3_1_6__2_MassOfNitrogenLostToLeachingAndRunoffFromSolidStorage(J23,$J$14,$J$15)</f>
        <v>3.3586999977669389</v>
      </c>
      <c r="K29" s="2" t="str">
        <f>$E$11</f>
        <v>kg N</v>
      </c>
      <c r="O29" s="55" t="str">
        <f>'Input - Dairy'!$D$66</f>
        <v>Milking shed</v>
      </c>
      <c r="P29" s="55" t="s">
        <v>405</v>
      </c>
      <c r="Q29" s="55" cm="1">
        <f t="array" ref="Q29">MMS_Dairy_LeachingAndRunoff_Equations.VEERG_4_3_1_6__2_MassOfNitrogenLostToLeachingAndRunoffFromSolidStorage(Q23,$J$14,$J$15)</f>
        <v>17.029842394958578</v>
      </c>
      <c r="R29" s="55" cm="1">
        <f t="array" ref="R29">MMS_Dairy_LeachingAndRunoff_Equations.VEERG_4_3_1_6__2_MassOfNitrogenLostToLeachingAndRunoffFromSolidStorage(R23,$J$14,$J$15)</f>
        <v>6.3825265937237274</v>
      </c>
      <c r="S29" s="55" cm="1">
        <f t="array" ref="S29">MMS_Dairy_LeachingAndRunoff_Equations.VEERG_4_3_1_6__2_MassOfNitrogenLostToLeachingAndRunoffFromSolidStorage(S23,$J$14,$J$15)</f>
        <v>2.5420928443345194</v>
      </c>
      <c r="T29" s="55" cm="1">
        <f t="array" ref="T29">MMS_Dairy_LeachingAndRunoff_Equations.VEERG_4_3_1_6__2_MassOfNitrogenLostToLeachingAndRunoffFromSolidStorage(T23,$J$14,$J$15)</f>
        <v>8.0230883508953941</v>
      </c>
      <c r="U29" s="55" cm="1">
        <f t="array" ref="U29">MMS_Dairy_LeachingAndRunoff_Equations.VEERG_4_3_1_6__2_MassOfNitrogenLostToLeachingAndRunoffFromSolidStorage(U23,$J$14,$J$15)</f>
        <v>3.3586999977669389</v>
      </c>
      <c r="V29" s="2" t="str">
        <f>$E$11</f>
        <v>kg N</v>
      </c>
    </row>
    <row r="30" spans="1:22" ht="20.100000000000001" customHeight="1" x14ac:dyDescent="0.25">
      <c r="D30" s="55" t="str">
        <f>'Input - Dairy'!$D$67</f>
        <v>Feed pad</v>
      </c>
      <c r="E30" s="55" t="s">
        <v>405</v>
      </c>
      <c r="F30" s="55" cm="1">
        <f t="array" ref="F30">MMS_Dairy_LeachingAndRunoff_Equations.VEERG_4_3_1_6__2_MassOfNitrogenLostToLeachingAndRunoffFromSolidStorage(F24,$J$14,$J$15)</f>
        <v>62.988300182911715</v>
      </c>
      <c r="G30" s="55" cm="1">
        <f t="array" ref="G30">MMS_Dairy_LeachingAndRunoff_Equations.VEERG_4_3_1_6__2_MassOfNitrogenLostToLeachingAndRunoffFromSolidStorage(G24,$J$14,$J$15)</f>
        <v>23.607059401201518</v>
      </c>
      <c r="H30" s="55" cm="1">
        <f t="array" ref="H30">MMS_Dairy_LeachingAndRunoff_Equations.VEERG_4_3_1_6__2_MassOfNitrogenLostToLeachingAndRunoffFromSolidStorage(H24,$J$14,$J$15)</f>
        <v>9.4024421047593645</v>
      </c>
      <c r="I30" s="55" cm="1">
        <f t="array" ref="I30">MMS_Dairy_LeachingAndRunoff_Equations.VEERG_4_3_1_6__2_MassOfNitrogenLostToLeachingAndRunoffFromSolidStorage(I24,$J$14,$J$15)</f>
        <v>29.675007303052052</v>
      </c>
      <c r="J30" s="55" cm="1">
        <f t="array" ref="J30">MMS_Dairy_LeachingAndRunoff_Equations.VEERG_4_3_1_6__2_MassOfNitrogenLostToLeachingAndRunoffFromSolidStorage(J24,$J$14,$J$15)</f>
        <v>12.422828043688623</v>
      </c>
      <c r="K30" s="2"/>
      <c r="O30" s="55" t="str">
        <f>'Input - Dairy'!$D$67</f>
        <v>Feed pad</v>
      </c>
      <c r="P30" s="55" t="s">
        <v>405</v>
      </c>
      <c r="Q30" s="55" cm="1">
        <f t="array" ref="Q30">MMS_Dairy_LeachingAndRunoff_Equations.VEERG_4_3_1_6__2_MassOfNitrogenLostToLeachingAndRunoffFromSolidStorage(Q24,$J$14,$J$15)</f>
        <v>62.988300182911715</v>
      </c>
      <c r="R30" s="55" cm="1">
        <f t="array" ref="R30">MMS_Dairy_LeachingAndRunoff_Equations.VEERG_4_3_1_6__2_MassOfNitrogenLostToLeachingAndRunoffFromSolidStorage(R24,$J$14,$J$15)</f>
        <v>23.607059401201518</v>
      </c>
      <c r="S30" s="55" cm="1">
        <f t="array" ref="S30">MMS_Dairy_LeachingAndRunoff_Equations.VEERG_4_3_1_6__2_MassOfNitrogenLostToLeachingAndRunoffFromSolidStorage(S24,$J$14,$J$15)</f>
        <v>9.4024421047593645</v>
      </c>
      <c r="T30" s="55" cm="1">
        <f t="array" ref="T30">MMS_Dairy_LeachingAndRunoff_Equations.VEERG_4_3_1_6__2_MassOfNitrogenLostToLeachingAndRunoffFromSolidStorage(T24,$J$14,$J$15)</f>
        <v>29.675007303052052</v>
      </c>
      <c r="U30" s="55" cm="1">
        <f t="array" ref="U30">MMS_Dairy_LeachingAndRunoff_Equations.VEERG_4_3_1_6__2_MassOfNitrogenLostToLeachingAndRunoffFromSolidStorage(U24,$J$14,$J$15)</f>
        <v>12.422828043688623</v>
      </c>
      <c r="V30" s="2"/>
    </row>
    <row r="31" spans="1:22" ht="20.100000000000001" customHeight="1" x14ac:dyDescent="0.25"/>
    <row r="32" spans="1:22" ht="20.100000000000001" customHeight="1" x14ac:dyDescent="0.25"/>
    <row r="33" spans="3:23" ht="20.100000000000001" customHeight="1" x14ac:dyDescent="0.25">
      <c r="C33" s="48"/>
      <c r="D33" s="48"/>
      <c r="E33" s="48"/>
      <c r="F33" s="48"/>
      <c r="G33" s="48"/>
      <c r="H33" s="48"/>
      <c r="I33" s="48"/>
      <c r="J33" s="48"/>
      <c r="K33" s="48"/>
      <c r="L33" s="48"/>
      <c r="N33" s="48"/>
      <c r="O33" s="48"/>
      <c r="P33" s="48"/>
      <c r="Q33" s="48"/>
      <c r="R33" s="48"/>
      <c r="S33" s="48"/>
      <c r="T33" s="48"/>
      <c r="U33" s="48"/>
      <c r="V33" s="48"/>
      <c r="W33" s="48"/>
    </row>
    <row r="34" spans="3:23" ht="20.100000000000001" customHeight="1" x14ac:dyDescent="0.25">
      <c r="D34" s="6" t="str" cm="1">
        <f t="array" ref="D34">MMS_Dairy_LeachingAndRunoff_Equations.VEERG_4_3_1_6__1_AnnualEmissionsFromLeachingAndRunoffFromMMS_Title()</f>
        <v>Annual emissions from leaching and runoff from each MMS</v>
      </c>
    </row>
    <row r="35" spans="3:23" ht="20.100000000000001" customHeight="1" x14ac:dyDescent="0.25">
      <c r="D35" s="5" t="str" cm="1">
        <f t="array" ref="D35">MMS_Dairy_LeachingAndRunoff_Equations.VEERG_4_3_1_6__1_AnnualEmissionsFromLeachingAndRunoffFromMMS_Source()</f>
        <v>VEERG 2026: 4.3.1.6, Equation (1)</v>
      </c>
    </row>
    <row r="36" spans="3:23" ht="20.100000000000001" customHeight="1" x14ac:dyDescent="0.25">
      <c r="D36" s="13" t="s">
        <v>27</v>
      </c>
      <c r="E36" s="13" t="str" cm="1">
        <f t="array" aca="1" ref="E36" ca="1">Common_InputFunctions.Utility_DisplayFunctionName($F$29)</f>
        <v>=MMS_Dairy_LeachingAndRunoff_Equations.VEERG_4_3_1_6__2_MassOfNitrogenLostToLeachingAndRunoffFromSolidStorage</v>
      </c>
    </row>
    <row r="37" spans="3:23" ht="20.100000000000001" customHeight="1" x14ac:dyDescent="0.25"/>
    <row r="38" spans="3:23" ht="20.100000000000001" customHeight="1" x14ac:dyDescent="0.25">
      <c r="D38" s="6"/>
    </row>
    <row r="39" spans="3:23" ht="20.100000000000001" customHeight="1" x14ac:dyDescent="0.25">
      <c r="D39" s="56" t="s">
        <v>30</v>
      </c>
      <c r="E39" s="1" t="str" cm="1">
        <f t="array" ref="E39">MMS_Dairy_LeachingAndRunoff_Equations.VEERG_4_3_1_6__1_AnnualEmissionsFromLeachingAndRunoffFromMMS_Variable()</f>
        <v>E_N2Oleach</v>
      </c>
    </row>
    <row r="40" spans="3:23" ht="20.100000000000001" customHeight="1" x14ac:dyDescent="0.25">
      <c r="D40" s="56" t="s">
        <v>20</v>
      </c>
      <c r="E40" s="57" t="str" cm="1">
        <f t="array" ref="E40">MMS_Dairy_LeachingAndRunoff_Equations.VEERG_4_3_1_6__1_AnnualEmissionsFromLeachingAndRunoffFromMMS_Unit()</f>
        <v>t N2O</v>
      </c>
    </row>
    <row r="41" spans="3:23" ht="20.100000000000001" customHeight="1" x14ac:dyDescent="0.25"/>
    <row r="42" spans="3:23" ht="20.100000000000001" customHeight="1" x14ac:dyDescent="0.25">
      <c r="D42" s="137" t="str" cm="1">
        <f t="array" ref="D42:E44">_xlfn.CHOOSECOLS(MMS_Dairy_LeachingAndRunoff_Equations.VEERG_4_3_1_6__1_AnnualEmissionsFromLeachingAndRunoffFromMMS_Arguments(),1,2)</f>
        <v>MNLeach_jm</v>
      </c>
      <c r="E42" s="136" t="str">
        <v>mass of N lost through leaching and runoff</v>
      </c>
      <c r="F42" s="138"/>
      <c r="G42" s="137" t="str" cm="1">
        <f t="array" ref="G42:H44">_xlfn.CHOOSECOLS(MMS_Dairy_LeachingAndRunoff_Equations.VEERG_4_3_1_6__1_AnnualEmissionsFromLeachingAndRunoffFromMMS_Arguments(),3,4)</f>
        <v>kg N</v>
      </c>
      <c r="H42" s="133" t="str">
        <v>Calculated from 4.3.1.6 (2)</v>
      </c>
      <c r="I42" s="134" t="str" cm="1">
        <f t="array" aca="1" ref="I42" ca="1">HYPERLINK(Common_InputFunctions.Utility_SourceHyperlink($D$26),$D$26)</f>
        <v>M1_Table_MN_leach_j_m-4</v>
      </c>
    </row>
    <row r="43" spans="3:23" ht="20.100000000000001" customHeight="1" x14ac:dyDescent="0.25">
      <c r="D43" s="137" t="str">
        <v>EF_leach</v>
      </c>
      <c r="E43" s="136" t="str">
        <v>nitrous oxide emission factor for leaching and runoff</v>
      </c>
      <c r="F43" s="138"/>
      <c r="G43" s="137" t="str">
        <v>kg N2O-N/kg N</v>
      </c>
      <c r="H43" s="133" t="str">
        <v>Constant</v>
      </c>
      <c r="I43" s="137">
        <f>'Constants - Dairy'!$D$202</f>
        <v>1.0999999999999999E-2</v>
      </c>
    </row>
    <row r="44" spans="3:23" ht="20.100000000000001" customHeight="1" x14ac:dyDescent="0.25">
      <c r="D44" s="137" t="str">
        <v>C_N2O</v>
      </c>
      <c r="E44" s="136" t="str">
        <v>factor to convert elemental mass of N2O to molecular mass</v>
      </c>
      <c r="F44" s="138"/>
      <c r="G44" s="137" t="str">
        <v/>
      </c>
      <c r="H44" s="133" t="str">
        <v>Constant</v>
      </c>
      <c r="I44" s="137">
        <f>Common_InputFunctions.Utility_LookupValueInTableNumber("N2O",Table_GasToMolecularConversionFactor[Gas],Table_GasToMolecularConversionFactor[Conversion factor combined])</f>
        <v>1.5714285714285714</v>
      </c>
    </row>
    <row r="45" spans="3:23" ht="20.100000000000001" customHeight="1" x14ac:dyDescent="0.25"/>
    <row r="46" spans="3:23" ht="20.100000000000001" customHeight="1" x14ac:dyDescent="0.25">
      <c r="D46" s="104" t="s">
        <v>334</v>
      </c>
      <c r="O46" s="104" t="s">
        <v>336</v>
      </c>
    </row>
    <row r="47" spans="3:23" ht="20.100000000000001" customHeight="1" x14ac:dyDescent="0.25">
      <c r="D47" s="103" t="s">
        <v>335</v>
      </c>
      <c r="O47" s="103" t="s">
        <v>337</v>
      </c>
    </row>
    <row r="48" spans="3:23" ht="20.100000000000001" customHeight="1" x14ac:dyDescent="0.25">
      <c r="D48" s="54" t="s">
        <v>146</v>
      </c>
      <c r="E48" s="54" t="s">
        <v>68</v>
      </c>
      <c r="F48" s="54" t="s">
        <v>171</v>
      </c>
      <c r="G48" s="54" t="s">
        <v>188</v>
      </c>
      <c r="H48" s="54" t="s">
        <v>189</v>
      </c>
      <c r="I48" s="54" t="s">
        <v>190</v>
      </c>
      <c r="J48" s="54" t="s">
        <v>191</v>
      </c>
      <c r="O48" s="54" t="s">
        <v>146</v>
      </c>
      <c r="P48" s="54" t="s">
        <v>68</v>
      </c>
      <c r="Q48" s="54" t="s">
        <v>171</v>
      </c>
      <c r="R48" s="54" t="s">
        <v>188</v>
      </c>
      <c r="S48" s="54" t="s">
        <v>189</v>
      </c>
      <c r="T48" s="54" t="s">
        <v>190</v>
      </c>
      <c r="U48" s="54" t="s">
        <v>191</v>
      </c>
    </row>
    <row r="49" spans="1:22" ht="20.100000000000001" customHeight="1" x14ac:dyDescent="0.25">
      <c r="D49" s="55" t="str">
        <f>'Input - Dairy'!$D$66</f>
        <v>Milking shed</v>
      </c>
      <c r="E49" s="55" t="s">
        <v>405</v>
      </c>
      <c r="F49" s="55" cm="1">
        <f t="array" ref="F49">MMS_Dairy_LeachingAndRunoff_Equations.VEERG_4_3_1_6__1_AnnualEmissionsFromLeachingAndRunoffFromMMS(F29,$I$43,$I$44)</f>
        <v>2.9437298996999828E-4</v>
      </c>
      <c r="G49" s="55" cm="1">
        <f t="array" ref="G49">MMS_Dairy_LeachingAndRunoff_Equations.VEERG_4_3_1_6__1_AnnualEmissionsFromLeachingAndRunoffFromMMS(G29,$I$43,$I$44)</f>
        <v>1.1032653112008158E-4</v>
      </c>
      <c r="H49" s="55" cm="1">
        <f t="array" ref="H49">MMS_Dairy_LeachingAndRunoff_Equations.VEERG_4_3_1_6__1_AnnualEmissionsFromLeachingAndRunoffFromMMS(H29,$I$43,$I$44)</f>
        <v>4.3941890594925259E-5</v>
      </c>
      <c r="I49" s="55" cm="1">
        <f t="array" ref="I49">MMS_Dairy_LeachingAndRunoff_Equations.VEERG_4_3_1_6__1_AnnualEmissionsFromLeachingAndRunoffFromMMS(I29,$I$43,$I$44)</f>
        <v>1.3868481292262039E-4</v>
      </c>
      <c r="J49" s="55" cm="1">
        <f t="array" ref="J49">MMS_Dairy_LeachingAndRunoff_Equations.VEERG_4_3_1_6__1_AnnualEmissionsFromLeachingAndRunoffFromMMS(J29,$I$43,$I$44)</f>
        <v>5.8057528532828516E-5</v>
      </c>
      <c r="K49" s="2" t="str">
        <f>$E$40</f>
        <v>t N2O</v>
      </c>
      <c r="O49" s="55" t="str">
        <f>'Input - Dairy'!$D$66</f>
        <v>Milking shed</v>
      </c>
      <c r="P49" s="55" t="s">
        <v>405</v>
      </c>
      <c r="Q49" s="55" cm="1">
        <f t="array" ref="Q49">MMS_Dairy_LeachingAndRunoff_Equations.VEERG_4_3_1_6__1_AnnualEmissionsFromLeachingAndRunoffFromMMS(Q29,$I$43,$I$44)</f>
        <v>2.9437298996999828E-4</v>
      </c>
      <c r="R49" s="55" cm="1">
        <f t="array" ref="R49">MMS_Dairy_LeachingAndRunoff_Equations.VEERG_4_3_1_6__1_AnnualEmissionsFromLeachingAndRunoffFromMMS(R29,$I$43,$I$44)</f>
        <v>1.1032653112008158E-4</v>
      </c>
      <c r="S49" s="55" cm="1">
        <f t="array" ref="S49">MMS_Dairy_LeachingAndRunoff_Equations.VEERG_4_3_1_6__1_AnnualEmissionsFromLeachingAndRunoffFromMMS(S29,$I$43,$I$44)</f>
        <v>4.3941890594925259E-5</v>
      </c>
      <c r="T49" s="55" cm="1">
        <f t="array" ref="T49">MMS_Dairy_LeachingAndRunoff_Equations.VEERG_4_3_1_6__1_AnnualEmissionsFromLeachingAndRunoffFromMMS(T29,$I$43,$I$44)</f>
        <v>1.3868481292262039E-4</v>
      </c>
      <c r="U49" s="55" cm="1">
        <f t="array" ref="U49">MMS_Dairy_LeachingAndRunoff_Equations.VEERG_4_3_1_6__1_AnnualEmissionsFromLeachingAndRunoffFromMMS(U29,$I$43,$I$44)</f>
        <v>5.8057528532828516E-5</v>
      </c>
      <c r="V49" s="2" t="str">
        <f>$E$40</f>
        <v>t N2O</v>
      </c>
    </row>
    <row r="50" spans="1:22" ht="20.100000000000001" customHeight="1" x14ac:dyDescent="0.25">
      <c r="D50" s="55" t="str">
        <f>'Input - Dairy'!$D$67</f>
        <v>Feed pad</v>
      </c>
      <c r="E50" s="55" t="s">
        <v>405</v>
      </c>
      <c r="F50" s="55" cm="1">
        <f t="array" ref="F50">MMS_Dairy_LeachingAndRunoff_Equations.VEERG_4_3_1_6__1_AnnualEmissionsFromLeachingAndRunoffFromMMS(F30,$I$43,$I$44)</f>
        <v>1.0887977603046169E-3</v>
      </c>
      <c r="G50" s="55" cm="1">
        <f t="array" ref="G50">MMS_Dairy_LeachingAndRunoff_Equations.VEERG_4_3_1_6__1_AnnualEmissionsFromLeachingAndRunoffFromMMS(G30,$I$43,$I$44)</f>
        <v>4.0806488393505479E-4</v>
      </c>
      <c r="H50" s="55" cm="1">
        <f t="array" ref="H50">MMS_Dairy_LeachingAndRunoff_Equations.VEERG_4_3_1_6__1_AnnualEmissionsFromLeachingAndRunoffFromMMS(H30,$I$43,$I$44)</f>
        <v>1.625279278108404E-4</v>
      </c>
      <c r="I50" s="55" cm="1">
        <f t="array" ref="I50">MMS_Dairy_LeachingAndRunoff_Equations.VEERG_4_3_1_6__1_AnnualEmissionsFromLeachingAndRunoffFromMMS(I30,$I$43,$I$44)</f>
        <v>5.1295369766704254E-4</v>
      </c>
      <c r="J50" s="55" cm="1">
        <f t="array" ref="J50">MMS_Dairy_LeachingAndRunoff_Equations.VEERG_4_3_1_6__1_AnnualEmissionsFromLeachingAndRunoffFromMMS(J30,$I$43,$I$44)</f>
        <v>2.1473745618376047E-4</v>
      </c>
      <c r="K50" s="2"/>
      <c r="O50" s="55" t="str">
        <f>'Input - Dairy'!$D$67</f>
        <v>Feed pad</v>
      </c>
      <c r="P50" s="55" t="s">
        <v>405</v>
      </c>
      <c r="Q50" s="55" cm="1">
        <f t="array" ref="Q50">MMS_Dairy_LeachingAndRunoff_Equations.VEERG_4_3_1_6__1_AnnualEmissionsFromLeachingAndRunoffFromMMS(Q30,$I$43,$I$44)</f>
        <v>1.0887977603046169E-3</v>
      </c>
      <c r="R50" s="55" cm="1">
        <f t="array" ref="R50">MMS_Dairy_LeachingAndRunoff_Equations.VEERG_4_3_1_6__1_AnnualEmissionsFromLeachingAndRunoffFromMMS(R30,$I$43,$I$44)</f>
        <v>4.0806488393505479E-4</v>
      </c>
      <c r="S50" s="55" cm="1">
        <f t="array" ref="S50">MMS_Dairy_LeachingAndRunoff_Equations.VEERG_4_3_1_6__1_AnnualEmissionsFromLeachingAndRunoffFromMMS(S30,$I$43,$I$44)</f>
        <v>1.625279278108404E-4</v>
      </c>
      <c r="T50" s="55" cm="1">
        <f t="array" ref="T50">MMS_Dairy_LeachingAndRunoff_Equations.VEERG_4_3_1_6__1_AnnualEmissionsFromLeachingAndRunoffFromMMS(T30,$I$43,$I$44)</f>
        <v>5.1295369766704254E-4</v>
      </c>
      <c r="U50" s="55" cm="1">
        <f t="array" ref="U50">MMS_Dairy_LeachingAndRunoff_Equations.VEERG_4_3_1_6__1_AnnualEmissionsFromLeachingAndRunoffFromMMS(U30,$I$43,$I$44)</f>
        <v>2.1473745618376047E-4</v>
      </c>
      <c r="V50" s="2"/>
    </row>
    <row r="51" spans="1:22" ht="20.100000000000001" customHeight="1" x14ac:dyDescent="0.25"/>
    <row r="52" spans="1:22" ht="20.100000000000001" customHeight="1" x14ac:dyDescent="0.25">
      <c r="D52" s="108" t="s">
        <v>324</v>
      </c>
      <c r="E52" s="109">
        <f>SUM(F49:J50)</f>
        <v>3.0324654790417692E-3</v>
      </c>
      <c r="F52" s="110" t="str">
        <f>$E$40</f>
        <v>t N2O</v>
      </c>
      <c r="O52" s="108" t="s">
        <v>324</v>
      </c>
      <c r="P52" s="109">
        <f>SUM(Q49:U50)</f>
        <v>3.0324654790417692E-3</v>
      </c>
      <c r="Q52" s="110" t="str">
        <f>$E$40</f>
        <v>t N2O</v>
      </c>
    </row>
    <row r="53" spans="1:22" ht="20.100000000000001" customHeight="1" x14ac:dyDescent="0.25"/>
    <row r="54" spans="1:22" ht="20.100000000000001" customHeight="1" x14ac:dyDescent="0.25">
      <c r="D54" s="60" t="str" cm="1">
        <f t="array" ref="D54:E55">Common_Equations.Common_ConvertN2OToCO2e_Arguments()</f>
        <v>EN2O</v>
      </c>
      <c r="E54" s="61" t="str">
        <v>Nitrous oxide emissions (t N2O)</v>
      </c>
      <c r="F54" s="111"/>
      <c r="G54" s="55">
        <f>E$52</f>
        <v>3.0324654790417692E-3</v>
      </c>
      <c r="O54" s="60" t="str" cm="1">
        <f t="array" ref="O54:P55">Common_Equations.Common_ConvertN2OToCO2e_Arguments()</f>
        <v>EN2O</v>
      </c>
      <c r="P54" s="61" t="str">
        <v>Nitrous oxide emissions (t N2O)</v>
      </c>
      <c r="Q54" s="111"/>
      <c r="R54" s="55">
        <f>P$52</f>
        <v>3.0324654790417692E-3</v>
      </c>
    </row>
    <row r="55" spans="1:22" ht="20.100000000000001" customHeight="1" x14ac:dyDescent="0.25">
      <c r="D55" s="60" t="str">
        <v>GWPN2O</v>
      </c>
      <c r="E55" s="61" t="str">
        <v>Global warming potential for nitrous oxide (t CO2-e / t N2O)</v>
      </c>
      <c r="F55" s="111"/>
      <c r="G55" s="55">
        <f>Common_InputFunctions.Utility_LookupValueInTableNumber("N2O",Table_GWPData[Gas],Table_GWPData[CO2-e factor])</f>
        <v>265</v>
      </c>
      <c r="O55" s="60" t="str">
        <v>GWPN2O</v>
      </c>
      <c r="P55" s="61" t="str">
        <v>Global warming potential for nitrous oxide (t CO2-e / t N2O)</v>
      </c>
      <c r="Q55" s="111"/>
      <c r="R55" s="55">
        <f>Common_InputFunctions.Utility_LookupValueInTableNumber("N2O",Table_GWPData[Gas],Table_GWPData[CO2-e factor])</f>
        <v>265</v>
      </c>
    </row>
    <row r="56" spans="1:22" ht="20.100000000000001" customHeight="1" x14ac:dyDescent="0.25"/>
    <row r="57" spans="1:22" ht="20.100000000000001" customHeight="1" x14ac:dyDescent="0.25">
      <c r="A57" s="141" t="str">
        <f>HYPERLINK("#A1", "▲ Back to top")</f>
        <v>▲ Back to top</v>
      </c>
      <c r="D57" s="48" t="s">
        <v>108</v>
      </c>
      <c r="E57" s="48" cm="1">
        <f t="array" ref="E57">Common_Equations.Common_ConvertN2OToCO2e(G54,G55)</f>
        <v>0.8036033519460688</v>
      </c>
      <c r="F57" s="112" t="str" cm="1">
        <f t="array" ref="F57">Common_Equations.Common_ConvertN2OToCO2e_Unit()</f>
        <v>t CO2e</v>
      </c>
      <c r="O57" s="48" t="s">
        <v>108</v>
      </c>
      <c r="P57" s="48" cm="1">
        <f t="array" ref="P57">Common_Equations.Common_ConvertN2OToCO2e(R54,R55)</f>
        <v>0.8036033519460688</v>
      </c>
      <c r="Q57" s="112" t="str" cm="1">
        <f t="array" ref="Q57">Common_Equations.Common_ConvertN2OToCO2e_Unit()</f>
        <v>t CO2e</v>
      </c>
    </row>
    <row r="58" spans="1:22" ht="20.100000000000001" customHeight="1" x14ac:dyDescent="0.25"/>
    <row r="59" spans="1:22" ht="20.100000000000001" customHeight="1" x14ac:dyDescent="0.25"/>
    <row r="60" spans="1:22" ht="20.100000000000001" customHeight="1" x14ac:dyDescent="0.25"/>
    <row r="61" spans="1:22" ht="20.100000000000001" customHeight="1" x14ac:dyDescent="0.25"/>
    <row r="62" spans="1:22" ht="20.100000000000001" customHeight="1" x14ac:dyDescent="0.25"/>
    <row r="63" spans="1:22" ht="20.100000000000001" customHeight="1" x14ac:dyDescent="0.25"/>
    <row r="64" spans="1:22"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count="1">
    <dataValidation operator="equal" allowBlank="1" showInputMessage="1" showErrorMessage="1" sqref="E23:E24 P29:P30 E29:E30 P23:P24 P49:P50 E49:E50" xr:uid="{41AE1C4A-D10F-453D-9EBD-FABAB69A8FB2}"/>
  </dataValidations>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29EE4-6811-4EE3-BAA2-11924CEC7522}">
  <dimension ref="A1:W207"/>
  <sheetViews>
    <sheetView showGridLines="0" topLeftCell="I122" zoomScaleNormal="100" workbookViewId="0">
      <selection activeCell="P148" sqref="P148"/>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style="132" customWidth="1"/>
    <col min="14" max="14" width="4.7109375" style="1" customWidth="1"/>
    <col min="15" max="22" width="30.7109375" style="1" customWidth="1"/>
    <col min="23" max="23" width="4.7109375" style="1" customWidth="1"/>
  </cols>
  <sheetData>
    <row r="1" spans="1:23" s="8" customFormat="1" ht="30" customHeight="1" x14ac:dyDescent="0.35">
      <c r="A1" s="8" t="e" vm="1">
        <v>#VALUE!</v>
      </c>
      <c r="C1" s="8" t="s">
        <v>338</v>
      </c>
      <c r="M1" s="132"/>
    </row>
    <row r="2" spans="1:23" s="9" customFormat="1" ht="20.100000000000001" customHeight="1" x14ac:dyDescent="0.25">
      <c r="M2" s="132"/>
    </row>
    <row r="3" spans="1:23" ht="20.100000000000001" customHeight="1" x14ac:dyDescent="0.25">
      <c r="A3" s="17" t="str">
        <f>HYPERLINK("#'Home'!A1", "Home")</f>
        <v>Home</v>
      </c>
      <c r="C3" s="4"/>
      <c r="D3" s="4" t="s">
        <v>118</v>
      </c>
      <c r="E3" s="4"/>
      <c r="F3" s="4"/>
      <c r="G3" s="4"/>
      <c r="H3" s="4"/>
      <c r="I3" s="4"/>
      <c r="J3" s="4"/>
      <c r="K3" s="4"/>
      <c r="L3" s="4"/>
      <c r="N3" s="4"/>
      <c r="O3" s="4" t="s">
        <v>119</v>
      </c>
      <c r="P3" s="4"/>
      <c r="Q3" s="4"/>
      <c r="R3" s="4"/>
      <c r="S3" s="4"/>
      <c r="T3" s="4"/>
      <c r="U3" s="4"/>
      <c r="V3" s="4"/>
      <c r="W3" s="4"/>
    </row>
    <row r="4" spans="1:23" ht="20.100000000000001" customHeight="1" x14ac:dyDescent="0.25">
      <c r="A4" s="17" t="str">
        <f>HYPERLINK("#'Overview'!A1", "Overview")</f>
        <v>Overview</v>
      </c>
    </row>
    <row r="5" spans="1:23" ht="20.100000000000001" customHeight="1" x14ac:dyDescent="0.25">
      <c r="A5" s="17" t="str">
        <f>HYPERLINK("#'Results'!A1", "Results")</f>
        <v>Results</v>
      </c>
      <c r="D5" s="6" t="str" cm="1">
        <f t="array" ref="D5">MMS_Dairy_ManureAppliedToSoils_Equations.VEERG_4_3_1_8__1_MassOfNitrogenAppliedToSoilsScope1_Title()</f>
        <v>Mass of nitrogen from manure applied to soils for scope 1 emissions</v>
      </c>
    </row>
    <row r="6" spans="1:23" ht="20.100000000000001" customHeight="1" x14ac:dyDescent="0.25">
      <c r="A6" s="16"/>
      <c r="D6" s="5" t="str" cm="1">
        <f t="array" ref="D6">MMS_Dairy_ManureAppliedToSoils_Equations.VEERG_4_3_1_8__1_MassOfNitrogenAppliedToSoilsScope1_Source()</f>
        <v>VEERG 2026: 4.3.1.8, Equation (1)</v>
      </c>
    </row>
    <row r="7" spans="1:23" ht="20.100000000000001" customHeight="1" x14ac:dyDescent="0.25">
      <c r="A7" s="20" t="s">
        <v>3</v>
      </c>
      <c r="D7" s="13" t="s">
        <v>27</v>
      </c>
      <c r="E7" s="13" t="str" cm="1">
        <f t="array" aca="1" ref="E7" ca="1">Common_InputFunctions.Utility_DisplayFunctionName($F$76)</f>
        <v>=MMS_Dairy_ManureAppliedToSoils_Equations.VEERG_4_3_1_8__1_MassOfNitrogenAppliedToSoilsScope1</v>
      </c>
    </row>
    <row r="8" spans="1:23" ht="20.100000000000001" customHeight="1" x14ac:dyDescent="0.25">
      <c r="A8" s="17" t="str">
        <f>HYPERLINK("#'Input - Site'!A1", "Site")</f>
        <v>Site</v>
      </c>
    </row>
    <row r="9" spans="1:23" ht="20.100000000000001" customHeight="1" x14ac:dyDescent="0.25">
      <c r="A9" s="17" t="str">
        <f>HYPERLINK("#'Input - Dairy'!A1", "Dairy")</f>
        <v>Dairy</v>
      </c>
    </row>
    <row r="10" spans="1:23" ht="20.100000000000001" customHeight="1" x14ac:dyDescent="0.25">
      <c r="A10" s="17"/>
      <c r="D10" s="56" t="s">
        <v>30</v>
      </c>
      <c r="E10" s="1" t="str" cm="1">
        <f t="array" ref="E10">MMS_Dairy_ManureAppliedToSoils_Equations.VEERG_4_3_1_8__1_MassOfNitrogenAppliedToSoilsScope1_Variable()</f>
        <v>MNSoil_scope1</v>
      </c>
    </row>
    <row r="11" spans="1:23" ht="20.100000000000001" customHeight="1" x14ac:dyDescent="0.25">
      <c r="A11" s="19" t="s">
        <v>76</v>
      </c>
      <c r="D11" s="56" t="s">
        <v>20</v>
      </c>
      <c r="E11" s="57" t="str" cm="1">
        <f t="array" ref="E11">MMS_Dairy_ManureAppliedToSoils_Equations.VEERG_4_3_1_8__1_MassOfNitrogenAppliedToSoilsScope1_Unit()</f>
        <v>kg N</v>
      </c>
    </row>
    <row r="12" spans="1:23" ht="20.100000000000001" customHeight="1" x14ac:dyDescent="0.25">
      <c r="A12" s="17" t="str">
        <f>HYPERLINK("#'4.3.1.1-2 Methane'!A1", "4.3.1.1-2 Methane")</f>
        <v>4.3.1.1-2 Methane</v>
      </c>
    </row>
    <row r="13" spans="1:23" ht="20.100000000000001" customHeight="1" x14ac:dyDescent="0.25">
      <c r="A13" s="17" t="str">
        <f>HYPERLINK("#'4.3.1.3-4 Direct N20'!A1", "4.3.1.3-4 Direct N2O")</f>
        <v>4.3.1.3-4 Direct N2O</v>
      </c>
      <c r="D13" s="137" t="str" cm="1">
        <f t="array" ref="D13:E17">_xlfn.CHOOSECOLS(MMS_Dairy_ManureAppliedToSoils_Equations.VEERG_4_3_1_8__1_MassOfNitrogenAppliedToSoilsScope1_Arguments(),1,2)</f>
        <v>MN_jm</v>
      </c>
      <c r="E13" s="136" t="str">
        <v>total nitrogen in each MMS for dairy cattle classes</v>
      </c>
      <c r="F13" s="138"/>
      <c r="G13" s="137" t="str" cm="1">
        <f t="array" ref="G13:H17">_xlfn.CHOOSECOLS(MMS_Dairy_ManureAppliedToSoils_Equations.VEERG_4_3_1_8__1_MassOfNitrogenAppliedToSoilsScope1_Arguments(),3,4)</f>
        <v>kg N</v>
      </c>
      <c r="H13" s="133" t="str">
        <v>Calculated from 4.3.1.3 (2)</v>
      </c>
      <c r="I13" s="134" t="str" cm="1">
        <f t="array" aca="1" ref="I13" ca="1">HYPERLINK(Common_InputFunctions.Utility_SourceHyperlink($D$37),$D$37)</f>
        <v>M1_Table_MN_j_m</v>
      </c>
    </row>
    <row r="14" spans="1:23" ht="20.100000000000001" customHeight="1" x14ac:dyDescent="0.25">
      <c r="A14" s="17" t="str">
        <f>HYPERLINK("#'4.3.1.5 Atmos Deposition'!A1", "4.3.1.5 Atmospheric deposition")</f>
        <v>4.3.1.5 Atmospheric deposition</v>
      </c>
      <c r="D14" s="137" t="str">
        <v>EF_m</v>
      </c>
      <c r="E14" s="136" t="str">
        <v>emission factor for nitrous oxide emissions per MMS</v>
      </c>
      <c r="F14" s="138"/>
      <c r="G14" s="137" t="str">
        <v>kg N2O-N/kg N</v>
      </c>
      <c r="H14" s="133" t="str">
        <v>Constant</v>
      </c>
      <c r="I14" s="134" t="str" cm="1">
        <f t="array" aca="1" ref="I14" ca="1">HYPERLINK(Common_InputFunctions.Utility_SourceHyperlink($D$19),$D$19)</f>
        <v>Table_EF_m</v>
      </c>
    </row>
    <row r="15" spans="1:23" ht="20.100000000000001" customHeight="1" x14ac:dyDescent="0.25">
      <c r="A15" s="17" t="str">
        <f>HYPERLINK("#'4.3.1.6-7 Leaching and runoff'!A1", "4.3.1.6-7 Leaching and runoff")</f>
        <v>4.3.1.6-7 Leaching and runoff</v>
      </c>
      <c r="D15" s="137" t="str">
        <v>FracGASM_m</v>
      </c>
      <c r="E15" s="136" t="str">
        <v>fraction of N volatilised from MMS</v>
      </c>
      <c r="F15" s="138"/>
      <c r="G15" s="137" t="str">
        <v>fraction</v>
      </c>
      <c r="H15" s="133" t="str">
        <v>Constant</v>
      </c>
      <c r="I15" s="134" t="str" cm="1">
        <f t="array" aca="1" ref="I15" ca="1">HYPERLINK(Common_InputFunctions.Utility_SourceHyperlink($D$28),$D$28)</f>
        <v>Table_FracGASM_m</v>
      </c>
    </row>
    <row r="16" spans="1:23" ht="20.100000000000001" customHeight="1" x14ac:dyDescent="0.25">
      <c r="A16" s="22" t="str">
        <f>HYPERLINK("#'4.3.1.8 Manure applied to soils'!A1", "4.3.1.8 Manure applied to soils")</f>
        <v>4.3.1.8 Manure applied to soils</v>
      </c>
      <c r="D16" s="137" t="str">
        <v>MNLeach_jm</v>
      </c>
      <c r="E16" s="136" t="str">
        <v>mass of N lost through leaching and runoff from each MMS</v>
      </c>
      <c r="F16" s="138"/>
      <c r="G16" s="137" t="str">
        <v>kg N</v>
      </c>
      <c r="H16" s="133" t="str">
        <v>Calculated from 4.3.1.6 (2)</v>
      </c>
      <c r="I16" s="134" t="str" cm="1">
        <f t="array" aca="1" ref="I16" ca="1">HYPERLINK(Common_InputFunctions.Utility_SourceHyperlink($D$49),$D$49)</f>
        <v>M1_Table_MN_leach_j_m</v>
      </c>
    </row>
    <row r="17" spans="1:9" ht="20.100000000000001" customHeight="1" x14ac:dyDescent="0.25">
      <c r="A17" s="17" t="str">
        <f>HYPERLINK("#'4.3.1.9 Soil direct N2O'!A1", "4.3.1.9 Soil direct N2O")</f>
        <v>4.3.1.9 Soil direct N2O</v>
      </c>
      <c r="D17" s="137" t="str">
        <v>PF_scope</v>
      </c>
      <c r="E17" s="136" t="str">
        <v>fraction of manure applied to soil within farm boundary</v>
      </c>
      <c r="F17" s="138"/>
      <c r="G17" s="137" t="str">
        <v>fraction</v>
      </c>
      <c r="H17" s="135" t="str">
        <v>Input</v>
      </c>
      <c r="I17" s="134" t="str" cm="1">
        <f t="array" aca="1" ref="I17" ca="1">HYPERLINK(Common_InputFunctions.Utility_SourceHyperlink($D$61),$D$61)</f>
        <v>Table_PF_scope</v>
      </c>
    </row>
    <row r="18" spans="1:9" ht="20.100000000000001" customHeight="1" x14ac:dyDescent="0.25">
      <c r="A18" s="17" t="str">
        <f>HYPERLINK("#'4.3.1.10-11 Soil Atmos Dep'!A1", "4.3.1.10-11 Soil atm. deposition")</f>
        <v>4.3.1.10-11 Soil atm. deposition</v>
      </c>
    </row>
    <row r="19" spans="1:9" ht="20.100000000000001" customHeight="1" x14ac:dyDescent="0.25">
      <c r="A19" s="17" t="str">
        <f>HYPERLINK("#'4.3.1.12-13 Soil leach runoff'!A1", "4.3.1.12-13 Soil leach &amp; runoff")</f>
        <v>4.3.1.12-13 Soil leach &amp; runoff</v>
      </c>
      <c r="D19" s="104" t="s">
        <v>311</v>
      </c>
    </row>
    <row r="20" spans="1:9" ht="20.100000000000001" customHeight="1" x14ac:dyDescent="0.25">
      <c r="A20" s="17"/>
      <c r="D20" s="103" t="s">
        <v>312</v>
      </c>
    </row>
    <row r="21" spans="1:9" ht="20.100000000000001" customHeight="1" x14ac:dyDescent="0.25">
      <c r="A21" s="18" t="s">
        <v>4</v>
      </c>
      <c r="D21" s="54" t="s">
        <v>68</v>
      </c>
      <c r="E21" s="54" t="s">
        <v>313</v>
      </c>
    </row>
    <row r="22" spans="1:9" ht="20.100000000000001" customHeight="1" x14ac:dyDescent="0.25">
      <c r="A22" s="17" t="str">
        <f>HYPERLINK("#'Constants - Dairy'!A1", "Constants - Dairy")</f>
        <v>Constants - Dairy</v>
      </c>
      <c r="D22" s="55" t="str" cm="1">
        <f t="array" ref="D22:D26">Table_SourceData_Dairy_EFmFracGASM[NIR reference]</f>
        <v>Pasture range and paddock</v>
      </c>
      <c r="E22" s="55" cm="1">
        <f t="array" ref="E22:E26">Table_SourceData_Dairy_EFmFracGASM[EFm]</f>
        <v>0</v>
      </c>
    </row>
    <row r="23" spans="1:9" ht="20.100000000000001" customHeight="1" x14ac:dyDescent="0.25">
      <c r="A23" s="17" t="str">
        <f>HYPERLINK("#'Constants - Livestock'!A1", "Constants - Livestock")</f>
        <v>Constants - Livestock</v>
      </c>
      <c r="D23" s="55" t="str">
        <v>Anaerobic lagoon</v>
      </c>
      <c r="E23" s="55">
        <v>0</v>
      </c>
    </row>
    <row r="24" spans="1:9" ht="20.100000000000001" customHeight="1" x14ac:dyDescent="0.25">
      <c r="A24" s="17" t="str">
        <f>HYPERLINK("#'Constants - Common'!A1", "Constants - Common")</f>
        <v>Constants - Common</v>
      </c>
      <c r="D24" s="55" t="str">
        <v>Sump and dispersal system</v>
      </c>
      <c r="E24" s="55">
        <v>0</v>
      </c>
    </row>
    <row r="25" spans="1:9" ht="20.100000000000001" customHeight="1" x14ac:dyDescent="0.25">
      <c r="A25" s="17" t="str">
        <f>HYPERLINK("#'Acknowledgements'!A1", "Acknowledgements")</f>
        <v>Acknowledgements</v>
      </c>
      <c r="D25" s="55" t="str">
        <v>Drains to paddock</v>
      </c>
      <c r="E25" s="55">
        <v>0</v>
      </c>
    </row>
    <row r="26" spans="1:9" ht="20.100000000000001" customHeight="1" x14ac:dyDescent="0.25">
      <c r="D26" s="55" t="str">
        <v>Solid storage</v>
      </c>
      <c r="E26" s="55">
        <v>5.0000000000000001E-3</v>
      </c>
    </row>
    <row r="27" spans="1:9" ht="20.100000000000001" customHeight="1" x14ac:dyDescent="0.25"/>
    <row r="28" spans="1:9" ht="20.100000000000001" customHeight="1" x14ac:dyDescent="0.25">
      <c r="D28" s="104" t="s">
        <v>317</v>
      </c>
    </row>
    <row r="29" spans="1:9" ht="20.100000000000001" customHeight="1" x14ac:dyDescent="0.25">
      <c r="D29" s="103" t="s">
        <v>319</v>
      </c>
    </row>
    <row r="30" spans="1:9" ht="20.100000000000001" customHeight="1" x14ac:dyDescent="0.25">
      <c r="D30" s="54" t="s">
        <v>68</v>
      </c>
      <c r="E30" s="54" t="s">
        <v>318</v>
      </c>
    </row>
    <row r="31" spans="1:9" ht="20.100000000000001" customHeight="1" x14ac:dyDescent="0.25">
      <c r="D31" s="55" t="str" cm="1">
        <f t="array" ref="D31:D35">Table_SourceData_Dairy_EFmFracGASM[NIR reference]</f>
        <v>Pasture range and paddock</v>
      </c>
      <c r="E31" s="55" cm="1">
        <f t="array" ref="E31:E35">Table_SourceData_Dairy_EFmFracGASM[FracGASMm]</f>
        <v>0</v>
      </c>
      <c r="F31" s="2" t="str">
        <f>'Constants - Dairy'!$D$84</f>
        <v>kg N2O-N/kg N excreted</v>
      </c>
    </row>
    <row r="32" spans="1:9" ht="20.100000000000001" customHeight="1" x14ac:dyDescent="0.25">
      <c r="D32" s="55" t="str">
        <v>Anaerobic lagoon</v>
      </c>
      <c r="E32" s="55">
        <v>0.35</v>
      </c>
      <c r="F32" s="2" t="str">
        <f>'Constants - Dairy'!$D$84</f>
        <v>kg N2O-N/kg N excreted</v>
      </c>
    </row>
    <row r="33" spans="1:22" ht="20.100000000000001" customHeight="1" x14ac:dyDescent="0.25">
      <c r="D33" s="55" t="str">
        <v>Sump and dispersal system</v>
      </c>
      <c r="E33" s="55">
        <v>7.0000000000000007E-2</v>
      </c>
      <c r="F33" s="2" t="str">
        <f>'Constants - Dairy'!$D$84</f>
        <v>kg N2O-N/kg N excreted</v>
      </c>
    </row>
    <row r="34" spans="1:22" ht="20.100000000000001" customHeight="1" x14ac:dyDescent="0.25">
      <c r="D34" s="55" t="str">
        <v>Drains to paddock</v>
      </c>
      <c r="E34" s="55">
        <v>0.2</v>
      </c>
      <c r="F34" s="2" t="str">
        <f>'Constants - Dairy'!$D$84</f>
        <v>kg N2O-N/kg N excreted</v>
      </c>
    </row>
    <row r="35" spans="1:22" ht="20.100000000000001" customHeight="1" x14ac:dyDescent="0.25">
      <c r="D35" s="55" t="str">
        <v>Solid storage</v>
      </c>
      <c r="E35" s="55">
        <v>0.3</v>
      </c>
      <c r="F35" s="2" t="str">
        <f>'Constants - Dairy'!$D$84</f>
        <v>kg N2O-N/kg N excreted</v>
      </c>
    </row>
    <row r="36" spans="1:22" ht="20.100000000000001" customHeight="1" x14ac:dyDescent="0.25"/>
    <row r="37" spans="1:22" ht="20.100000000000001" customHeight="1" x14ac:dyDescent="0.25">
      <c r="D37" s="104" t="s">
        <v>307</v>
      </c>
      <c r="M37"/>
      <c r="O37" s="104" t="s">
        <v>310</v>
      </c>
    </row>
    <row r="38" spans="1:22" ht="20.100000000000001" customHeight="1" x14ac:dyDescent="0.25">
      <c r="D38" s="103" t="s">
        <v>308</v>
      </c>
      <c r="M38"/>
      <c r="O38" s="103" t="s">
        <v>309</v>
      </c>
    </row>
    <row r="39" spans="1:22" ht="20.100000000000001" customHeight="1" x14ac:dyDescent="0.25">
      <c r="A39" s="141" t="str">
        <f>HYPERLINK("#A1", "▲ Back to top")</f>
        <v>▲ Back to top</v>
      </c>
      <c r="D39" s="54" t="s">
        <v>146</v>
      </c>
      <c r="E39" s="54" t="s">
        <v>68</v>
      </c>
      <c r="F39" s="54" t="s">
        <v>171</v>
      </c>
      <c r="G39" s="54" t="s">
        <v>188</v>
      </c>
      <c r="H39" s="54" t="s">
        <v>189</v>
      </c>
      <c r="I39" s="54" t="s">
        <v>190</v>
      </c>
      <c r="J39" s="54" t="s">
        <v>191</v>
      </c>
      <c r="M39"/>
      <c r="O39" s="54" t="s">
        <v>146</v>
      </c>
      <c r="P39" s="54" t="s">
        <v>68</v>
      </c>
      <c r="Q39" s="54" t="s">
        <v>171</v>
      </c>
      <c r="R39" s="54" t="s">
        <v>188</v>
      </c>
      <c r="S39" s="54" t="s">
        <v>189</v>
      </c>
      <c r="T39" s="54" t="s">
        <v>190</v>
      </c>
      <c r="U39" s="54" t="s">
        <v>191</v>
      </c>
    </row>
    <row r="40" spans="1:22" ht="20.100000000000001" customHeight="1" x14ac:dyDescent="0.25">
      <c r="D40" s="55" t="str">
        <f>'Input - Dairy'!$D$66</f>
        <v>Milking shed</v>
      </c>
      <c r="E40" s="55" t="str">
        <f>'Input - Dairy'!$D$81</f>
        <v>Anaerobic lagoon</v>
      </c>
      <c r="F40" s="55">
        <f>'4.3.1.3-4 Direct N20'!F243</f>
        <v>608.20865696280634</v>
      </c>
      <c r="G40" s="55">
        <f>'4.3.1.3-4 Direct N20'!G243</f>
        <v>227.94737834727596</v>
      </c>
      <c r="H40" s="55">
        <f>'4.3.1.3-4 Direct N20'!H243</f>
        <v>90.78903015480428</v>
      </c>
      <c r="I40" s="55">
        <f>'4.3.1.3-4 Direct N20'!I243</f>
        <v>286.53886967483555</v>
      </c>
      <c r="J40" s="55">
        <f>'4.3.1.3-4 Direct N20'!J243</f>
        <v>119.95357134881925</v>
      </c>
      <c r="K40" s="2" t="str">
        <f>$G$13</f>
        <v>kg N</v>
      </c>
      <c r="M40"/>
      <c r="O40" s="55" t="str">
        <f>'Input - Dairy'!$D$66</f>
        <v>Milking shed</v>
      </c>
      <c r="P40" s="55" t="str">
        <f>'Input - Dairy'!$D$81</f>
        <v>Anaerobic lagoon</v>
      </c>
      <c r="Q40" s="55">
        <f>'4.3.1.3-4 Direct N20'!P243</f>
        <v>608.20865696280634</v>
      </c>
      <c r="R40" s="55">
        <f>'4.3.1.3-4 Direct N20'!Q243</f>
        <v>227.94737834727596</v>
      </c>
      <c r="S40" s="55">
        <f>'4.3.1.3-4 Direct N20'!R243</f>
        <v>90.78903015480428</v>
      </c>
      <c r="T40" s="55">
        <f>'4.3.1.3-4 Direct N20'!S243</f>
        <v>286.53886967483555</v>
      </c>
      <c r="U40" s="55">
        <f>'4.3.1.3-4 Direct N20'!T243</f>
        <v>119.95357134881925</v>
      </c>
      <c r="V40" s="2" t="str">
        <f>$G$13</f>
        <v>kg N</v>
      </c>
    </row>
    <row r="41" spans="1:22" ht="20.100000000000001" customHeight="1" x14ac:dyDescent="0.25">
      <c r="D41" s="55" t="str">
        <f>'Input - Dairy'!$D$66</f>
        <v>Milking shed</v>
      </c>
      <c r="E41" s="55" t="str">
        <f>'Input - Dairy'!$D$86</f>
        <v>Sump and dispersal system</v>
      </c>
      <c r="F41" s="55">
        <f>'4.3.1.3-4 Direct N20'!F244</f>
        <v>486.56692557024513</v>
      </c>
      <c r="G41" s="55">
        <f>'4.3.1.3-4 Direct N20'!G244</f>
        <v>182.35790267782079</v>
      </c>
      <c r="H41" s="55">
        <f>'4.3.1.3-4 Direct N20'!H244</f>
        <v>72.631224123843424</v>
      </c>
      <c r="I41" s="55">
        <f>'4.3.1.3-4 Direct N20'!I244</f>
        <v>229.23109573986844</v>
      </c>
      <c r="J41" s="55">
        <f>'4.3.1.3-4 Direct N20'!J244</f>
        <v>95.962857079055411</v>
      </c>
      <c r="K41" s="2"/>
      <c r="M41"/>
      <c r="O41" s="55" t="str">
        <f>'Input - Dairy'!$D$66</f>
        <v>Milking shed</v>
      </c>
      <c r="P41" s="55" t="str">
        <f>'Input - Dairy'!$D$86</f>
        <v>Sump and dispersal system</v>
      </c>
      <c r="Q41" s="55">
        <f>'4.3.1.3-4 Direct N20'!P244</f>
        <v>486.56692557024513</v>
      </c>
      <c r="R41" s="55">
        <f>'4.3.1.3-4 Direct N20'!Q244</f>
        <v>182.35790267782079</v>
      </c>
      <c r="S41" s="55">
        <f>'4.3.1.3-4 Direct N20'!R244</f>
        <v>72.631224123843424</v>
      </c>
      <c r="T41" s="55">
        <f>'4.3.1.3-4 Direct N20'!S244</f>
        <v>229.23109573986844</v>
      </c>
      <c r="U41" s="55">
        <f>'4.3.1.3-4 Direct N20'!T244</f>
        <v>95.962857079055411</v>
      </c>
      <c r="V41" s="2"/>
    </row>
    <row r="42" spans="1:22" ht="20.100000000000001" customHeight="1" x14ac:dyDescent="0.25">
      <c r="D42" s="55" t="str">
        <f>'Input - Dairy'!$D$66</f>
        <v>Milking shed</v>
      </c>
      <c r="E42" s="55" t="str">
        <f>'Input - Dairy'!$D$91</f>
        <v>Drains to paddock</v>
      </c>
      <c r="F42" s="55">
        <f>'4.3.1.3-4 Direct N20'!F245</f>
        <v>486.56692557024513</v>
      </c>
      <c r="G42" s="55">
        <f>'4.3.1.3-4 Direct N20'!G245</f>
        <v>182.35790267782079</v>
      </c>
      <c r="H42" s="55">
        <f>'4.3.1.3-4 Direct N20'!H245</f>
        <v>72.631224123843424</v>
      </c>
      <c r="I42" s="55">
        <f>'4.3.1.3-4 Direct N20'!I245</f>
        <v>229.23109573986844</v>
      </c>
      <c r="J42" s="55">
        <f>'4.3.1.3-4 Direct N20'!J245</f>
        <v>95.962857079055411</v>
      </c>
      <c r="K42" s="2"/>
      <c r="M42"/>
      <c r="O42" s="55" t="str">
        <f>'Input - Dairy'!$D$66</f>
        <v>Milking shed</v>
      </c>
      <c r="P42" s="55" t="str">
        <f>'Input - Dairy'!$D$91</f>
        <v>Drains to paddock</v>
      </c>
      <c r="Q42" s="55">
        <f>'4.3.1.3-4 Direct N20'!P245</f>
        <v>486.56692557024513</v>
      </c>
      <c r="R42" s="55">
        <f>'4.3.1.3-4 Direct N20'!Q245</f>
        <v>182.35790267782079</v>
      </c>
      <c r="S42" s="55">
        <f>'4.3.1.3-4 Direct N20'!R245</f>
        <v>72.631224123843424</v>
      </c>
      <c r="T42" s="55">
        <f>'4.3.1.3-4 Direct N20'!S245</f>
        <v>229.23109573986844</v>
      </c>
      <c r="U42" s="55">
        <f>'4.3.1.3-4 Direct N20'!T245</f>
        <v>95.962857079055411</v>
      </c>
      <c r="V42" s="2"/>
    </row>
    <row r="43" spans="1:22" ht="20.100000000000001" customHeight="1" x14ac:dyDescent="0.25">
      <c r="D43" s="55" t="str">
        <f>'Input - Dairy'!$D$66</f>
        <v>Milking shed</v>
      </c>
      <c r="E43" s="55" t="s">
        <v>405</v>
      </c>
      <c r="F43" s="55">
        <f>'4.3.1.3-4 Direct N20'!F246</f>
        <v>851.49211974792888</v>
      </c>
      <c r="G43" s="55">
        <f>'4.3.1.3-4 Direct N20'!G246</f>
        <v>319.12632968618635</v>
      </c>
      <c r="H43" s="55">
        <f>'4.3.1.3-4 Direct N20'!H246</f>
        <v>127.10464221672598</v>
      </c>
      <c r="I43" s="55">
        <f>'4.3.1.3-4 Direct N20'!I246</f>
        <v>401.15441754476973</v>
      </c>
      <c r="J43" s="55">
        <f>'4.3.1.3-4 Direct N20'!J246</f>
        <v>167.93499988834694</v>
      </c>
      <c r="K43" s="2"/>
      <c r="M43"/>
      <c r="O43" s="55" t="str">
        <f>'Input - Dairy'!$D$66</f>
        <v>Milking shed</v>
      </c>
      <c r="P43" s="55" t="s">
        <v>405</v>
      </c>
      <c r="Q43" s="55">
        <f>'4.3.1.3-4 Direct N20'!P246</f>
        <v>851.49211974792888</v>
      </c>
      <c r="R43" s="55">
        <f>'4.3.1.3-4 Direct N20'!Q246</f>
        <v>319.12632968618635</v>
      </c>
      <c r="S43" s="55">
        <f>'4.3.1.3-4 Direct N20'!R246</f>
        <v>127.10464221672598</v>
      </c>
      <c r="T43" s="55">
        <f>'4.3.1.3-4 Direct N20'!S246</f>
        <v>401.15441754476973</v>
      </c>
      <c r="U43" s="55">
        <f>'4.3.1.3-4 Direct N20'!T246</f>
        <v>167.93499988834694</v>
      </c>
      <c r="V43" s="2"/>
    </row>
    <row r="44" spans="1:22" ht="20.100000000000001" customHeight="1" x14ac:dyDescent="0.25">
      <c r="D44" s="55" t="str">
        <f>'Input - Dairy'!$D$67</f>
        <v>Feed pad</v>
      </c>
      <c r="E44" s="55" t="str">
        <f>'Input - Dairy'!$D$105</f>
        <v>Anaerobic lagoon</v>
      </c>
      <c r="F44" s="55">
        <f>'4.3.1.3-4 Direct N20'!F247</f>
        <v>1574.7075045727931</v>
      </c>
      <c r="G44" s="55">
        <f>'4.3.1.3-4 Direct N20'!G247</f>
        <v>590.17648503003818</v>
      </c>
      <c r="H44" s="55">
        <f>'4.3.1.3-4 Direct N20'!H247</f>
        <v>235.06105261898415</v>
      </c>
      <c r="I44" s="55">
        <f>'4.3.1.3-4 Direct N20'!I247</f>
        <v>741.87518257630143</v>
      </c>
      <c r="J44" s="55">
        <f>'4.3.1.3-4 Direct N20'!J247</f>
        <v>310.57070109221564</v>
      </c>
      <c r="K44" s="2"/>
      <c r="M44"/>
      <c r="O44" s="55" t="str">
        <f>'Input - Dairy'!$D$67</f>
        <v>Feed pad</v>
      </c>
      <c r="P44" s="55" t="str">
        <f>'Input - Dairy'!$D$105</f>
        <v>Anaerobic lagoon</v>
      </c>
      <c r="Q44" s="55">
        <f>'4.3.1.3-4 Direct N20'!P247</f>
        <v>1574.7075045727931</v>
      </c>
      <c r="R44" s="55">
        <f>'4.3.1.3-4 Direct N20'!Q247</f>
        <v>590.17648503003818</v>
      </c>
      <c r="S44" s="55">
        <f>'4.3.1.3-4 Direct N20'!R247</f>
        <v>235.06105261898415</v>
      </c>
      <c r="T44" s="55">
        <f>'4.3.1.3-4 Direct N20'!S247</f>
        <v>741.87518257630143</v>
      </c>
      <c r="U44" s="55">
        <f>'4.3.1.3-4 Direct N20'!T247</f>
        <v>310.57070109221564</v>
      </c>
      <c r="V44" s="2"/>
    </row>
    <row r="45" spans="1:22" ht="20.100000000000001" customHeight="1" x14ac:dyDescent="0.25">
      <c r="D45" s="55" t="str">
        <f>'Input - Dairy'!$D$67</f>
        <v>Feed pad</v>
      </c>
      <c r="E45" s="55" t="str">
        <f>'Input - Dairy'!$D$110</f>
        <v>Sump and dispersal system</v>
      </c>
      <c r="F45" s="55">
        <f>'4.3.1.3-4 Direct N20'!F248</f>
        <v>1574.7075045727931</v>
      </c>
      <c r="G45" s="55">
        <f>'4.3.1.3-4 Direct N20'!G248</f>
        <v>590.17648503003818</v>
      </c>
      <c r="H45" s="55">
        <f>'4.3.1.3-4 Direct N20'!H248</f>
        <v>235.06105261898415</v>
      </c>
      <c r="I45" s="55">
        <f>'4.3.1.3-4 Direct N20'!I248</f>
        <v>741.87518257630143</v>
      </c>
      <c r="J45" s="55">
        <f>'4.3.1.3-4 Direct N20'!J248</f>
        <v>310.57070109221564</v>
      </c>
      <c r="K45" s="2"/>
      <c r="M45"/>
      <c r="O45" s="55" t="str">
        <f>'Input - Dairy'!$D$67</f>
        <v>Feed pad</v>
      </c>
      <c r="P45" s="55" t="str">
        <f>'Input - Dairy'!$D$110</f>
        <v>Sump and dispersal system</v>
      </c>
      <c r="Q45" s="55">
        <f>'4.3.1.3-4 Direct N20'!P248</f>
        <v>1574.7075045727931</v>
      </c>
      <c r="R45" s="55">
        <f>'4.3.1.3-4 Direct N20'!Q248</f>
        <v>590.17648503003818</v>
      </c>
      <c r="S45" s="55">
        <f>'4.3.1.3-4 Direct N20'!R248</f>
        <v>235.06105261898415</v>
      </c>
      <c r="T45" s="55">
        <f>'4.3.1.3-4 Direct N20'!S248</f>
        <v>741.87518257630143</v>
      </c>
      <c r="U45" s="55">
        <f>'4.3.1.3-4 Direct N20'!T248</f>
        <v>310.57070109221564</v>
      </c>
      <c r="V45" s="2"/>
    </row>
    <row r="46" spans="1:22" ht="20.100000000000001" customHeight="1" x14ac:dyDescent="0.25">
      <c r="D46" s="55" t="str">
        <f>'Input - Dairy'!$D$67</f>
        <v>Feed pad</v>
      </c>
      <c r="E46" s="55" t="str">
        <f>'Input - Dairy'!$D$115</f>
        <v>Drains to paddock</v>
      </c>
      <c r="F46" s="55">
        <f>'4.3.1.3-4 Direct N20'!F249</f>
        <v>1574.7075045727931</v>
      </c>
      <c r="G46" s="55">
        <f>'4.3.1.3-4 Direct N20'!G249</f>
        <v>590.17648503003818</v>
      </c>
      <c r="H46" s="55">
        <f>'4.3.1.3-4 Direct N20'!H249</f>
        <v>235.06105261898415</v>
      </c>
      <c r="I46" s="55">
        <f>'4.3.1.3-4 Direct N20'!I249</f>
        <v>741.87518257630143</v>
      </c>
      <c r="J46" s="55">
        <f>'4.3.1.3-4 Direct N20'!J249</f>
        <v>310.57070109221564</v>
      </c>
      <c r="K46" s="2"/>
      <c r="M46"/>
      <c r="O46" s="55" t="str">
        <f>'Input - Dairy'!$D$67</f>
        <v>Feed pad</v>
      </c>
      <c r="P46" s="55" t="str">
        <f>'Input - Dairy'!$D$115</f>
        <v>Drains to paddock</v>
      </c>
      <c r="Q46" s="55">
        <f>'4.3.1.3-4 Direct N20'!P249</f>
        <v>1574.7075045727931</v>
      </c>
      <c r="R46" s="55">
        <f>'4.3.1.3-4 Direct N20'!Q249</f>
        <v>590.17648503003818</v>
      </c>
      <c r="S46" s="55">
        <f>'4.3.1.3-4 Direct N20'!R249</f>
        <v>235.06105261898415</v>
      </c>
      <c r="T46" s="55">
        <f>'4.3.1.3-4 Direct N20'!S249</f>
        <v>741.87518257630143</v>
      </c>
      <c r="U46" s="55">
        <f>'4.3.1.3-4 Direct N20'!T249</f>
        <v>310.57070109221564</v>
      </c>
      <c r="V46" s="2"/>
    </row>
    <row r="47" spans="1:22" ht="20.100000000000001" customHeight="1" x14ac:dyDescent="0.25">
      <c r="D47" s="55" t="str">
        <f>'Input - Dairy'!$D$67</f>
        <v>Feed pad</v>
      </c>
      <c r="E47" s="55" t="s">
        <v>405</v>
      </c>
      <c r="F47" s="55">
        <f>'4.3.1.3-4 Direct N20'!F250</f>
        <v>3149.4150091455858</v>
      </c>
      <c r="G47" s="55">
        <f>'4.3.1.3-4 Direct N20'!G250</f>
        <v>1180.3529700600759</v>
      </c>
      <c r="H47" s="55">
        <f>'4.3.1.3-4 Direct N20'!H250</f>
        <v>470.12210523796824</v>
      </c>
      <c r="I47" s="55">
        <f>'4.3.1.3-4 Direct N20'!I250</f>
        <v>1483.7503651526026</v>
      </c>
      <c r="J47" s="55">
        <f>'4.3.1.3-4 Direct N20'!J250</f>
        <v>621.14140218443117</v>
      </c>
      <c r="K47" s="2"/>
      <c r="M47"/>
      <c r="O47" s="55" t="str">
        <f>'Input - Dairy'!$D$67</f>
        <v>Feed pad</v>
      </c>
      <c r="P47" s="55" t="s">
        <v>405</v>
      </c>
      <c r="Q47" s="55">
        <f>'4.3.1.3-4 Direct N20'!P250</f>
        <v>3149.4150091455858</v>
      </c>
      <c r="R47" s="55">
        <f>'4.3.1.3-4 Direct N20'!Q250</f>
        <v>1180.3529700600759</v>
      </c>
      <c r="S47" s="55">
        <f>'4.3.1.3-4 Direct N20'!R250</f>
        <v>470.12210523796824</v>
      </c>
      <c r="T47" s="55">
        <f>'4.3.1.3-4 Direct N20'!S250</f>
        <v>1483.7503651526026</v>
      </c>
      <c r="U47" s="55">
        <f>'4.3.1.3-4 Direct N20'!T250</f>
        <v>621.14140218443117</v>
      </c>
      <c r="V47" s="2"/>
    </row>
    <row r="48" spans="1:22" ht="20.100000000000001" customHeight="1" x14ac:dyDescent="0.25"/>
    <row r="49" spans="4:22" ht="20.100000000000001" customHeight="1" x14ac:dyDescent="0.25">
      <c r="D49" s="104" t="s">
        <v>397</v>
      </c>
      <c r="O49" s="104" t="s">
        <v>395</v>
      </c>
    </row>
    <row r="50" spans="4:22" ht="20.100000000000001" customHeight="1" x14ac:dyDescent="0.25">
      <c r="D50" s="103" t="s">
        <v>398</v>
      </c>
      <c r="O50" s="103" t="s">
        <v>396</v>
      </c>
    </row>
    <row r="51" spans="4:22" ht="20.100000000000001" customHeight="1" x14ac:dyDescent="0.25">
      <c r="D51" s="54" t="s">
        <v>146</v>
      </c>
      <c r="E51" s="54" t="s">
        <v>68</v>
      </c>
      <c r="F51" s="54" t="s">
        <v>171</v>
      </c>
      <c r="G51" s="54" t="s">
        <v>188</v>
      </c>
      <c r="H51" s="54" t="s">
        <v>189</v>
      </c>
      <c r="I51" s="54" t="s">
        <v>190</v>
      </c>
      <c r="J51" s="54" t="s">
        <v>191</v>
      </c>
      <c r="O51" s="54" t="s">
        <v>146</v>
      </c>
      <c r="P51" s="54" t="s">
        <v>68</v>
      </c>
      <c r="Q51" s="54" t="s">
        <v>171</v>
      </c>
      <c r="R51" s="54" t="s">
        <v>188</v>
      </c>
      <c r="S51" s="54" t="s">
        <v>189</v>
      </c>
      <c r="T51" s="54" t="s">
        <v>190</v>
      </c>
      <c r="U51" s="54" t="s">
        <v>191</v>
      </c>
    </row>
    <row r="52" spans="4:22" ht="20.100000000000001" customHeight="1" x14ac:dyDescent="0.25">
      <c r="D52" s="55" t="str">
        <f>'Input - Dairy'!$D$66</f>
        <v>Milking shed</v>
      </c>
      <c r="E52" s="55" t="str">
        <f>'Input - Dairy'!$D$81</f>
        <v>Anaerobic lagoon</v>
      </c>
      <c r="F52" s="55">
        <v>0</v>
      </c>
      <c r="G52" s="55">
        <v>0</v>
      </c>
      <c r="H52" s="55">
        <v>0</v>
      </c>
      <c r="I52" s="55">
        <v>0</v>
      </c>
      <c r="J52" s="55">
        <v>0</v>
      </c>
      <c r="K52" s="2" t="str">
        <f>$G$16</f>
        <v>kg N</v>
      </c>
      <c r="O52" s="55" t="str">
        <f>'Input - Dairy'!$D$66</f>
        <v>Milking shed</v>
      </c>
      <c r="P52" s="55" t="str">
        <f>'Input - Dairy'!$D$81</f>
        <v>Anaerobic lagoon</v>
      </c>
      <c r="Q52" s="55">
        <v>0</v>
      </c>
      <c r="R52" s="55">
        <v>0</v>
      </c>
      <c r="S52" s="55">
        <v>0</v>
      </c>
      <c r="T52" s="55">
        <v>0</v>
      </c>
      <c r="U52" s="55">
        <v>0</v>
      </c>
      <c r="V52" s="2" t="str">
        <f>$G$16</f>
        <v>kg N</v>
      </c>
    </row>
    <row r="53" spans="4:22" ht="20.100000000000001" customHeight="1" x14ac:dyDescent="0.25">
      <c r="D53" s="55" t="str">
        <f>'Input - Dairy'!$D$66</f>
        <v>Milking shed</v>
      </c>
      <c r="E53" s="55" t="str">
        <f>'Input - Dairy'!$D$86</f>
        <v>Sump and dispersal system</v>
      </c>
      <c r="F53" s="55">
        <v>0</v>
      </c>
      <c r="G53" s="55">
        <v>0</v>
      </c>
      <c r="H53" s="55">
        <v>0</v>
      </c>
      <c r="I53" s="55">
        <v>0</v>
      </c>
      <c r="J53" s="55">
        <v>0</v>
      </c>
      <c r="K53" s="2"/>
      <c r="O53" s="55" t="str">
        <f>'Input - Dairy'!$D$66</f>
        <v>Milking shed</v>
      </c>
      <c r="P53" s="55" t="str">
        <f>'Input - Dairy'!$D$86</f>
        <v>Sump and dispersal system</v>
      </c>
      <c r="Q53" s="55">
        <v>0</v>
      </c>
      <c r="R53" s="55">
        <v>0</v>
      </c>
      <c r="S53" s="55">
        <v>0</v>
      </c>
      <c r="T53" s="55">
        <v>0</v>
      </c>
      <c r="U53" s="55">
        <v>0</v>
      </c>
      <c r="V53" s="2"/>
    </row>
    <row r="54" spans="4:22" ht="20.100000000000001" customHeight="1" x14ac:dyDescent="0.25">
      <c r="D54" s="55" t="str">
        <f>'Input - Dairy'!$D$66</f>
        <v>Milking shed</v>
      </c>
      <c r="E54" s="55" t="str">
        <f>'Input - Dairy'!$D$91</f>
        <v>Drains to paddock</v>
      </c>
      <c r="F54" s="55">
        <v>0</v>
      </c>
      <c r="G54" s="55">
        <v>0</v>
      </c>
      <c r="H54" s="55">
        <v>0</v>
      </c>
      <c r="I54" s="55">
        <v>0</v>
      </c>
      <c r="J54" s="55">
        <v>0</v>
      </c>
      <c r="K54" s="2"/>
      <c r="O54" s="55" t="str">
        <f>'Input - Dairy'!$D$66</f>
        <v>Milking shed</v>
      </c>
      <c r="P54" s="55" t="str">
        <f>'Input - Dairy'!$D$91</f>
        <v>Drains to paddock</v>
      </c>
      <c r="Q54" s="55">
        <v>0</v>
      </c>
      <c r="R54" s="55">
        <v>0</v>
      </c>
      <c r="S54" s="55">
        <v>0</v>
      </c>
      <c r="T54" s="55">
        <v>0</v>
      </c>
      <c r="U54" s="55">
        <v>0</v>
      </c>
      <c r="V54" s="2"/>
    </row>
    <row r="55" spans="4:22" ht="20.100000000000001" customHeight="1" x14ac:dyDescent="0.25">
      <c r="D55" s="55" t="str">
        <f>'Input - Dairy'!$D$66</f>
        <v>Milking shed</v>
      </c>
      <c r="E55" s="55" t="s">
        <v>405</v>
      </c>
      <c r="F55" s="55">
        <f>'4.3.1.6-7 Leaching and runoff'!F29</f>
        <v>17.029842394958578</v>
      </c>
      <c r="G55" s="55">
        <f>'4.3.1.6-7 Leaching and runoff'!G29</f>
        <v>6.3825265937237274</v>
      </c>
      <c r="H55" s="55">
        <f>'4.3.1.6-7 Leaching and runoff'!H29</f>
        <v>2.5420928443345194</v>
      </c>
      <c r="I55" s="55">
        <f>'4.3.1.6-7 Leaching and runoff'!I29</f>
        <v>8.0230883508953941</v>
      </c>
      <c r="J55" s="55">
        <f>'4.3.1.6-7 Leaching and runoff'!J29</f>
        <v>3.3586999977669389</v>
      </c>
      <c r="K55" s="2"/>
      <c r="O55" s="55" t="str">
        <f>'Input - Dairy'!$D$66</f>
        <v>Milking shed</v>
      </c>
      <c r="P55" s="55" t="s">
        <v>405</v>
      </c>
      <c r="Q55" s="55">
        <f>'4.3.1.6-7 Leaching and runoff'!Q29</f>
        <v>17.029842394958578</v>
      </c>
      <c r="R55" s="55">
        <f>'4.3.1.6-7 Leaching and runoff'!R29</f>
        <v>6.3825265937237274</v>
      </c>
      <c r="S55" s="55">
        <f>'4.3.1.6-7 Leaching and runoff'!S29</f>
        <v>2.5420928443345194</v>
      </c>
      <c r="T55" s="55">
        <f>'4.3.1.6-7 Leaching and runoff'!T29</f>
        <v>8.0230883508953941</v>
      </c>
      <c r="U55" s="55">
        <f>'4.3.1.6-7 Leaching and runoff'!U29</f>
        <v>3.3586999977669389</v>
      </c>
      <c r="V55" s="2"/>
    </row>
    <row r="56" spans="4:22" ht="20.100000000000001" customHeight="1" x14ac:dyDescent="0.25">
      <c r="D56" s="55" t="str">
        <f>'Input - Dairy'!$D$67</f>
        <v>Feed pad</v>
      </c>
      <c r="E56" s="55" t="str">
        <f>'Input - Dairy'!$D$105</f>
        <v>Anaerobic lagoon</v>
      </c>
      <c r="F56" s="55">
        <v>0</v>
      </c>
      <c r="G56" s="55">
        <v>0</v>
      </c>
      <c r="H56" s="55">
        <v>0</v>
      </c>
      <c r="I56" s="55">
        <v>0</v>
      </c>
      <c r="J56" s="55">
        <v>0</v>
      </c>
      <c r="K56" s="2"/>
      <c r="O56" s="55" t="str">
        <f>'Input - Dairy'!$D$67</f>
        <v>Feed pad</v>
      </c>
      <c r="P56" s="55" t="str">
        <f>'Input - Dairy'!$D$105</f>
        <v>Anaerobic lagoon</v>
      </c>
      <c r="Q56" s="55">
        <v>0</v>
      </c>
      <c r="R56" s="55">
        <v>0</v>
      </c>
      <c r="S56" s="55">
        <v>0</v>
      </c>
      <c r="T56" s="55">
        <v>0</v>
      </c>
      <c r="U56" s="55">
        <v>0</v>
      </c>
      <c r="V56" s="2"/>
    </row>
    <row r="57" spans="4:22" ht="20.100000000000001" customHeight="1" x14ac:dyDescent="0.25">
      <c r="D57" s="55" t="str">
        <f>'Input - Dairy'!$D$67</f>
        <v>Feed pad</v>
      </c>
      <c r="E57" s="55" t="str">
        <f>'Input - Dairy'!$D$110</f>
        <v>Sump and dispersal system</v>
      </c>
      <c r="F57" s="55">
        <v>0</v>
      </c>
      <c r="G57" s="55">
        <v>0</v>
      </c>
      <c r="H57" s="55">
        <v>0</v>
      </c>
      <c r="I57" s="55">
        <v>0</v>
      </c>
      <c r="J57" s="55">
        <v>0</v>
      </c>
      <c r="K57" s="2"/>
      <c r="O57" s="55" t="str">
        <f>'Input - Dairy'!$D$67</f>
        <v>Feed pad</v>
      </c>
      <c r="P57" s="55" t="str">
        <f>'Input - Dairy'!$D$110</f>
        <v>Sump and dispersal system</v>
      </c>
      <c r="Q57" s="55">
        <v>0</v>
      </c>
      <c r="R57" s="55">
        <v>0</v>
      </c>
      <c r="S57" s="55">
        <v>0</v>
      </c>
      <c r="T57" s="55">
        <v>0</v>
      </c>
      <c r="U57" s="55">
        <v>0</v>
      </c>
      <c r="V57" s="2"/>
    </row>
    <row r="58" spans="4:22" ht="20.100000000000001" customHeight="1" x14ac:dyDescent="0.25">
      <c r="D58" s="55" t="str">
        <f>'Input - Dairy'!$D$67</f>
        <v>Feed pad</v>
      </c>
      <c r="E58" s="55" t="str">
        <f>'Input - Dairy'!$D$115</f>
        <v>Drains to paddock</v>
      </c>
      <c r="F58" s="55">
        <v>0</v>
      </c>
      <c r="G58" s="55">
        <v>0</v>
      </c>
      <c r="H58" s="55">
        <v>0</v>
      </c>
      <c r="I58" s="55">
        <v>0</v>
      </c>
      <c r="J58" s="55">
        <v>0</v>
      </c>
      <c r="K58" s="2"/>
      <c r="O58" s="55" t="str">
        <f>'Input - Dairy'!$D$67</f>
        <v>Feed pad</v>
      </c>
      <c r="P58" s="55" t="str">
        <f>'Input - Dairy'!$D$115</f>
        <v>Drains to paddock</v>
      </c>
      <c r="Q58" s="55">
        <v>0</v>
      </c>
      <c r="R58" s="55">
        <v>0</v>
      </c>
      <c r="S58" s="55">
        <v>0</v>
      </c>
      <c r="T58" s="55">
        <v>0</v>
      </c>
      <c r="U58" s="55">
        <v>0</v>
      </c>
      <c r="V58" s="2"/>
    </row>
    <row r="59" spans="4:22" ht="20.100000000000001" customHeight="1" x14ac:dyDescent="0.25">
      <c r="D59" s="55" t="str">
        <f>'Input - Dairy'!$D$67</f>
        <v>Feed pad</v>
      </c>
      <c r="E59" s="55" t="s">
        <v>405</v>
      </c>
      <c r="F59" s="55">
        <f>'4.3.1.6-7 Leaching and runoff'!F30</f>
        <v>62.988300182911715</v>
      </c>
      <c r="G59" s="55">
        <f>'4.3.1.6-7 Leaching and runoff'!G30</f>
        <v>23.607059401201518</v>
      </c>
      <c r="H59" s="55">
        <f>'4.3.1.6-7 Leaching and runoff'!H30</f>
        <v>9.4024421047593645</v>
      </c>
      <c r="I59" s="55">
        <f>'4.3.1.6-7 Leaching and runoff'!I30</f>
        <v>29.675007303052052</v>
      </c>
      <c r="J59" s="55">
        <f>'4.3.1.6-7 Leaching and runoff'!J30</f>
        <v>12.422828043688623</v>
      </c>
      <c r="K59" s="2"/>
      <c r="O59" s="55" t="str">
        <f>'Input - Dairy'!$D$67</f>
        <v>Feed pad</v>
      </c>
      <c r="P59" s="55" t="s">
        <v>405</v>
      </c>
      <c r="Q59" s="55">
        <f>'4.3.1.6-7 Leaching and runoff'!Q30</f>
        <v>62.988300182911715</v>
      </c>
      <c r="R59" s="55">
        <f>'4.3.1.6-7 Leaching and runoff'!R30</f>
        <v>23.607059401201518</v>
      </c>
      <c r="S59" s="55">
        <f>'4.3.1.6-7 Leaching and runoff'!S30</f>
        <v>9.4024421047593645</v>
      </c>
      <c r="T59" s="55">
        <f>'4.3.1.6-7 Leaching and runoff'!T30</f>
        <v>29.675007303052052</v>
      </c>
      <c r="U59" s="55">
        <f>'4.3.1.6-7 Leaching and runoff'!U30</f>
        <v>12.422828043688623</v>
      </c>
      <c r="V59" s="2"/>
    </row>
    <row r="60" spans="4:22" ht="20.100000000000001" customHeight="1" x14ac:dyDescent="0.25"/>
    <row r="61" spans="4:22" ht="20.100000000000001" customHeight="1" x14ac:dyDescent="0.25">
      <c r="D61" s="104" t="s">
        <v>339</v>
      </c>
    </row>
    <row r="62" spans="4:22" ht="20.100000000000001" customHeight="1" x14ac:dyDescent="0.25">
      <c r="D62" s="103" t="s">
        <v>340</v>
      </c>
    </row>
    <row r="63" spans="4:22" ht="20.100000000000001" customHeight="1" x14ac:dyDescent="0.25">
      <c r="D63" s="41" t="s">
        <v>146</v>
      </c>
      <c r="E63" s="41" t="s">
        <v>68</v>
      </c>
      <c r="F63" s="41" t="s">
        <v>431</v>
      </c>
    </row>
    <row r="64" spans="4:22" ht="20.100000000000001" customHeight="1" x14ac:dyDescent="0.25">
      <c r="D64" s="55" t="str">
        <f>'Input - Dairy'!$D$66</f>
        <v>Milking shed</v>
      </c>
      <c r="E64" s="55" t="str">
        <f>'Input - Dairy'!$D$81</f>
        <v>Anaerobic lagoon</v>
      </c>
      <c r="F64" s="55">
        <f>'Input - Dairy'!L81+'Input - Dairy'!M81</f>
        <v>0.75</v>
      </c>
      <c r="G64" s="2" t="str">
        <f>$G$17</f>
        <v>fraction</v>
      </c>
    </row>
    <row r="65" spans="4:22" ht="20.100000000000001" customHeight="1" x14ac:dyDescent="0.25">
      <c r="D65" s="55" t="str">
        <f>'Input - Dairy'!$D$66</f>
        <v>Milking shed</v>
      </c>
      <c r="E65" s="55" t="str">
        <f>'Input - Dairy'!$D$86</f>
        <v>Sump and dispersal system</v>
      </c>
      <c r="F65" s="55">
        <f>'Input - Dairy'!L86+'Input - Dairy'!M86</f>
        <v>0.75</v>
      </c>
      <c r="G65" s="2"/>
    </row>
    <row r="66" spans="4:22" ht="20.100000000000001" customHeight="1" x14ac:dyDescent="0.25">
      <c r="D66" s="55" t="str">
        <f>'Input - Dairy'!$D$66</f>
        <v>Milking shed</v>
      </c>
      <c r="E66" s="55" t="str">
        <f>'Input - Dairy'!$D$91</f>
        <v>Drains to paddock</v>
      </c>
      <c r="F66" s="55">
        <f>'Input - Dairy'!L91+'Input - Dairy'!M91</f>
        <v>0.75</v>
      </c>
      <c r="G66" s="2"/>
    </row>
    <row r="67" spans="4:22" ht="20.100000000000001" customHeight="1" x14ac:dyDescent="0.25">
      <c r="D67" s="55" t="str">
        <f>'Input - Dairy'!$D$66</f>
        <v>Milking shed</v>
      </c>
      <c r="E67" s="55" t="str">
        <f>'Input - Dairy'!$D$96</f>
        <v>Solid storage (before solid separation)</v>
      </c>
      <c r="F67" s="55">
        <f>'Input - Dairy'!L96+'Input - Dairy'!M96</f>
        <v>0.75</v>
      </c>
      <c r="G67" s="2"/>
    </row>
    <row r="68" spans="4:22" ht="20.100000000000001" customHeight="1" x14ac:dyDescent="0.25">
      <c r="D68" s="55" t="str">
        <f>'Input - Dairy'!$D$67</f>
        <v>Feed pad</v>
      </c>
      <c r="E68" s="55" t="str">
        <f>'Input - Dairy'!$D$105</f>
        <v>Anaerobic lagoon</v>
      </c>
      <c r="F68" s="55">
        <f>'Input - Dairy'!L105+'Input - Dairy'!M105</f>
        <v>0.75</v>
      </c>
      <c r="G68" s="2"/>
    </row>
    <row r="69" spans="4:22" ht="20.100000000000001" customHeight="1" x14ac:dyDescent="0.25">
      <c r="D69" s="55" t="str">
        <f>'Input - Dairy'!$D$67</f>
        <v>Feed pad</v>
      </c>
      <c r="E69" s="55" t="str">
        <f>'Input - Dairy'!$D$110</f>
        <v>Sump and dispersal system</v>
      </c>
      <c r="F69" s="55">
        <f>'Input - Dairy'!L110+'Input - Dairy'!M110</f>
        <v>0.75</v>
      </c>
      <c r="G69" s="2"/>
    </row>
    <row r="70" spans="4:22" ht="20.100000000000001" customHeight="1" x14ac:dyDescent="0.25">
      <c r="D70" s="55" t="str">
        <f>'Input - Dairy'!$D$67</f>
        <v>Feed pad</v>
      </c>
      <c r="E70" s="55" t="str">
        <f>'Input - Dairy'!$D$115</f>
        <v>Drains to paddock</v>
      </c>
      <c r="F70" s="55">
        <f>'Input - Dairy'!L115+'Input - Dairy'!M115</f>
        <v>0.75</v>
      </c>
      <c r="G70" s="2"/>
    </row>
    <row r="71" spans="4:22" ht="20.100000000000001" customHeight="1" x14ac:dyDescent="0.25">
      <c r="D71" s="55" t="str">
        <f>'Input - Dairy'!$D$67</f>
        <v>Feed pad</v>
      </c>
      <c r="E71" s="55" t="str">
        <f>'Input - Dairy'!$D$120</f>
        <v>Solid storage (before solid separation)</v>
      </c>
      <c r="F71" s="55">
        <f>'Input - Dairy'!L120+'Input - Dairy'!M120</f>
        <v>0.75</v>
      </c>
      <c r="G71" s="2"/>
    </row>
    <row r="72" spans="4:22" ht="20.100000000000001" customHeight="1" x14ac:dyDescent="0.25"/>
    <row r="73" spans="4:22" ht="20.100000000000001" customHeight="1" x14ac:dyDescent="0.25">
      <c r="D73" s="104" t="s">
        <v>341</v>
      </c>
      <c r="O73" s="104" t="s">
        <v>345</v>
      </c>
    </row>
    <row r="74" spans="4:22" ht="20.100000000000001" customHeight="1" x14ac:dyDescent="0.25">
      <c r="D74" s="103" t="s">
        <v>344</v>
      </c>
      <c r="O74" s="103" t="s">
        <v>346</v>
      </c>
    </row>
    <row r="75" spans="4:22" ht="20.100000000000001" customHeight="1" x14ac:dyDescent="0.25">
      <c r="D75" s="54" t="s">
        <v>146</v>
      </c>
      <c r="E75" s="54" t="s">
        <v>68</v>
      </c>
      <c r="F75" s="54" t="s">
        <v>171</v>
      </c>
      <c r="G75" s="54" t="s">
        <v>188</v>
      </c>
      <c r="H75" s="54" t="s">
        <v>189</v>
      </c>
      <c r="I75" s="54" t="s">
        <v>190</v>
      </c>
      <c r="J75" s="54" t="s">
        <v>191</v>
      </c>
      <c r="O75" s="54" t="s">
        <v>146</v>
      </c>
      <c r="P75" s="54" t="s">
        <v>68</v>
      </c>
      <c r="Q75" s="54" t="s">
        <v>171</v>
      </c>
      <c r="R75" s="54" t="s">
        <v>188</v>
      </c>
      <c r="S75" s="54" t="s">
        <v>189</v>
      </c>
      <c r="T75" s="54" t="s">
        <v>190</v>
      </c>
      <c r="U75" s="54" t="s">
        <v>191</v>
      </c>
    </row>
    <row r="76" spans="4:22" ht="20.100000000000001" customHeight="1" x14ac:dyDescent="0.25">
      <c r="D76" s="55" t="str">
        <f>'Input - Dairy'!$D$66</f>
        <v>Milking shed</v>
      </c>
      <c r="E76" s="55" t="str">
        <f>'Input - Dairy'!$D$81</f>
        <v>Anaerobic lagoon</v>
      </c>
      <c r="F76" s="55" cm="1">
        <f t="array" ref="F76">MMS_Dairy_ManureAppliedToSoils_Equations.VEERG_4_3_1_8__1_MassOfNitrogenAppliedToSoilsScope1(F40,_xlfn.XLOOKUP($E76,$D$22:$D$26,$E$22:$E$26),_xlfn.XLOOKUP($E76, $D$31:$D$35,$E$31:$E$35),F52,$F64)</f>
        <v>296.50172026936809</v>
      </c>
      <c r="G76" s="55" cm="1">
        <f t="array" ref="G76">MMS_Dairy_ManureAppliedToSoils_Equations.VEERG_4_3_1_8__1_MassOfNitrogenAppliedToSoilsScope1(G40,_xlfn.XLOOKUP($E76,$D$22:$D$26,$E$22:$E$26),_xlfn.XLOOKUP($E76, $D$31:$D$35,$E$31:$E$35),G52,$F64)</f>
        <v>111.12434694429703</v>
      </c>
      <c r="H76" s="55" cm="1">
        <f t="array" ref="H76">MMS_Dairy_ManureAppliedToSoils_Equations.VEERG_4_3_1_8__1_MassOfNitrogenAppliedToSoilsScope1(H40,_xlfn.XLOOKUP($E76,$D$22:$D$26,$E$22:$E$26),_xlfn.XLOOKUP($E76, $D$31:$D$35,$E$31:$E$35),H52,$F64)</f>
        <v>44.259652200467087</v>
      </c>
      <c r="I76" s="55" cm="1">
        <f t="array" ref="I76">MMS_Dairy_ManureAppliedToSoils_Equations.VEERG_4_3_1_8__1_MassOfNitrogenAppliedToSoilsScope1(I40,_xlfn.XLOOKUP($E76,$D$22:$D$26,$E$22:$E$26),_xlfn.XLOOKUP($E76, $D$31:$D$35,$E$31:$E$35),I52,$F64)</f>
        <v>139.68769896648234</v>
      </c>
      <c r="J76" s="55" cm="1">
        <f t="array" ref="J76">MMS_Dairy_ManureAppliedToSoils_Equations.VEERG_4_3_1_8__1_MassOfNitrogenAppliedToSoilsScope1(J40,_xlfn.XLOOKUP($E76,$D$22:$D$26,$E$22:$E$26),_xlfn.XLOOKUP($E76, $D$31:$D$35,$E$31:$E$35),J52,$F64)</f>
        <v>58.477366032549384</v>
      </c>
      <c r="K76" s="2" t="str">
        <f t="shared" ref="K76" si="0">$E$11</f>
        <v>kg N</v>
      </c>
      <c r="O76" s="55" t="str">
        <f>'Input - Dairy'!$D$66</f>
        <v>Milking shed</v>
      </c>
      <c r="P76" s="55" t="str">
        <f>'Input - Dairy'!$D$81</f>
        <v>Anaerobic lagoon</v>
      </c>
      <c r="Q76" s="55" cm="1">
        <f t="array" ref="Q76">MMS_Dairy_ManureAppliedToSoils_Equations.VEERG_4_3_1_8__1_MassOfNitrogenAppliedToSoilsScope1(Q40,_xlfn.XLOOKUP($P76,$D$22:$D$26,$E$22:$E$26),_xlfn.XLOOKUP($P76, $D$31:$D$35,$E$31:$E$35),Q52,$F64)</f>
        <v>296.50172026936809</v>
      </c>
      <c r="R76" s="55" cm="1">
        <f t="array" ref="R76">MMS_Dairy_ManureAppliedToSoils_Equations.VEERG_4_3_1_8__1_MassOfNitrogenAppliedToSoilsScope1(R40,_xlfn.XLOOKUP($P76,$D$22:$D$26,$E$22:$E$26),_xlfn.XLOOKUP($P76, $D$31:$D$35,$E$31:$E$35),R52,$F64)</f>
        <v>111.12434694429703</v>
      </c>
      <c r="S76" s="55" cm="1">
        <f t="array" ref="S76">MMS_Dairy_ManureAppliedToSoils_Equations.VEERG_4_3_1_8__1_MassOfNitrogenAppliedToSoilsScope1(S40,_xlfn.XLOOKUP($P76,$D$22:$D$26,$E$22:$E$26),_xlfn.XLOOKUP($P76, $D$31:$D$35,$E$31:$E$35),S52,$F64)</f>
        <v>44.259652200467087</v>
      </c>
      <c r="T76" s="55" cm="1">
        <f t="array" ref="T76">MMS_Dairy_ManureAppliedToSoils_Equations.VEERG_4_3_1_8__1_MassOfNitrogenAppliedToSoilsScope1(T40,_xlfn.XLOOKUP($P76,$D$22:$D$26,$E$22:$E$26),_xlfn.XLOOKUP($P76, $D$31:$D$35,$E$31:$E$35),T52,$F64)</f>
        <v>139.68769896648234</v>
      </c>
      <c r="U76" s="55" cm="1">
        <f t="array" ref="U76">MMS_Dairy_ManureAppliedToSoils_Equations.VEERG_4_3_1_8__1_MassOfNitrogenAppliedToSoilsScope1(U40,_xlfn.XLOOKUP($P76,$D$22:$D$26,$E$22:$E$26),_xlfn.XLOOKUP($P76, $D$31:$D$35,$E$31:$E$35),U52,$F64)</f>
        <v>58.477366032549384</v>
      </c>
      <c r="V76" s="2" t="str">
        <f t="shared" ref="V76" si="1">$E$11</f>
        <v>kg N</v>
      </c>
    </row>
    <row r="77" spans="4:22" ht="20.100000000000001" customHeight="1" x14ac:dyDescent="0.25">
      <c r="D77" s="55" t="str">
        <f>'Input - Dairy'!$D$66</f>
        <v>Milking shed</v>
      </c>
      <c r="E77" s="55" t="str">
        <f>'Input - Dairy'!$D$86</f>
        <v>Sump and dispersal system</v>
      </c>
      <c r="F77" s="55" cm="1">
        <f t="array" ref="F77">MMS_Dairy_ManureAppliedToSoils_Equations.VEERG_4_3_1_8__1_MassOfNitrogenAppliedToSoilsScope1(F41,_xlfn.XLOOKUP($E77,$D$22:$D$26,$E$22:$E$26),_xlfn.XLOOKUP($E77, $D$31:$D$35,$E$31:$E$35),F53,$F65)</f>
        <v>339.38043058524596</v>
      </c>
      <c r="G77" s="55" cm="1">
        <f t="array" ref="G77">MMS_Dairy_ManureAppliedToSoils_Equations.VEERG_4_3_1_8__1_MassOfNitrogenAppliedToSoilsScope1(G41,_xlfn.XLOOKUP($E77,$D$22:$D$26,$E$22:$E$26),_xlfn.XLOOKUP($E77, $D$31:$D$35,$E$31:$E$35),G53,$F65)</f>
        <v>127.19463711777999</v>
      </c>
      <c r="H77" s="55" cm="1">
        <f t="array" ref="H77">MMS_Dairy_ManureAppliedToSoils_Equations.VEERG_4_3_1_8__1_MassOfNitrogenAppliedToSoilsScope1(H41,_xlfn.XLOOKUP($E77,$D$22:$D$26,$E$22:$E$26),_xlfn.XLOOKUP($E77, $D$31:$D$35,$E$31:$E$35),H53,$F65)</f>
        <v>50.660278826380789</v>
      </c>
      <c r="I77" s="55" cm="1">
        <f t="array" ref="I77">MMS_Dairy_ManureAppliedToSoils_Equations.VEERG_4_3_1_8__1_MassOfNitrogenAppliedToSoilsScope1(I41,_xlfn.XLOOKUP($E77,$D$22:$D$26,$E$22:$E$26),_xlfn.XLOOKUP($E77, $D$31:$D$35,$E$31:$E$35),I53,$F65)</f>
        <v>159.88868927855822</v>
      </c>
      <c r="J77" s="55" cm="1">
        <f t="array" ref="J77">MMS_Dairy_ManureAppliedToSoils_Equations.VEERG_4_3_1_8__1_MassOfNitrogenAppliedToSoilsScope1(J41,_xlfn.XLOOKUP($E77,$D$22:$D$26,$E$22:$E$26),_xlfn.XLOOKUP($E77, $D$31:$D$35,$E$31:$E$35),J53,$F65)</f>
        <v>66.934092812641154</v>
      </c>
      <c r="K77" s="2"/>
      <c r="O77" s="55" t="str">
        <f>'Input - Dairy'!$D$66</f>
        <v>Milking shed</v>
      </c>
      <c r="P77" s="55" t="str">
        <f>'Input - Dairy'!$D$86</f>
        <v>Sump and dispersal system</v>
      </c>
      <c r="Q77" s="55" cm="1">
        <f t="array" ref="Q77">MMS_Dairy_ManureAppliedToSoils_Equations.VEERG_4_3_1_8__1_MassOfNitrogenAppliedToSoilsScope1(Q41,_xlfn.XLOOKUP($P77,$D$22:$D$26,$E$22:$E$26),_xlfn.XLOOKUP($P77, $D$31:$D$35,$E$31:$E$35),Q53,$F65)</f>
        <v>339.38043058524596</v>
      </c>
      <c r="R77" s="55" cm="1">
        <f t="array" ref="R77">MMS_Dairy_ManureAppliedToSoils_Equations.VEERG_4_3_1_8__1_MassOfNitrogenAppliedToSoilsScope1(R41,_xlfn.XLOOKUP($P77,$D$22:$D$26,$E$22:$E$26),_xlfn.XLOOKUP($P77, $D$31:$D$35,$E$31:$E$35),R53,$F65)</f>
        <v>127.19463711777999</v>
      </c>
      <c r="S77" s="55" cm="1">
        <f t="array" ref="S77">MMS_Dairy_ManureAppliedToSoils_Equations.VEERG_4_3_1_8__1_MassOfNitrogenAppliedToSoilsScope1(S41,_xlfn.XLOOKUP($P77,$D$22:$D$26,$E$22:$E$26),_xlfn.XLOOKUP($P77, $D$31:$D$35,$E$31:$E$35),S53,$F65)</f>
        <v>50.660278826380789</v>
      </c>
      <c r="T77" s="55" cm="1">
        <f t="array" ref="T77">MMS_Dairy_ManureAppliedToSoils_Equations.VEERG_4_3_1_8__1_MassOfNitrogenAppliedToSoilsScope1(T41,_xlfn.XLOOKUP($P77,$D$22:$D$26,$E$22:$E$26),_xlfn.XLOOKUP($P77, $D$31:$D$35,$E$31:$E$35),T53,$F65)</f>
        <v>159.88868927855822</v>
      </c>
      <c r="U77" s="55" cm="1">
        <f t="array" ref="U77">MMS_Dairy_ManureAppliedToSoils_Equations.VEERG_4_3_1_8__1_MassOfNitrogenAppliedToSoilsScope1(U41,_xlfn.XLOOKUP($P77,$D$22:$D$26,$E$22:$E$26),_xlfn.XLOOKUP($P77, $D$31:$D$35,$E$31:$E$35),U53,$F65)</f>
        <v>66.934092812641154</v>
      </c>
      <c r="V77" s="2"/>
    </row>
    <row r="78" spans="4:22" ht="20.100000000000001" customHeight="1" x14ac:dyDescent="0.25">
      <c r="D78" s="55" t="str">
        <f>'Input - Dairy'!$D$66</f>
        <v>Milking shed</v>
      </c>
      <c r="E78" s="55" t="str">
        <f>'Input - Dairy'!$D$91</f>
        <v>Drains to paddock</v>
      </c>
      <c r="F78" s="55" cm="1">
        <f t="array" ref="F78">MMS_Dairy_ManureAppliedToSoils_Equations.VEERG_4_3_1_8__1_MassOfNitrogenAppliedToSoilsScope1(F42,_xlfn.XLOOKUP($E78,$D$22:$D$26,$E$22:$E$26),_xlfn.XLOOKUP($E78, $D$31:$D$35,$E$31:$E$35),F54,$F66)</f>
        <v>291.94015534214708</v>
      </c>
      <c r="G78" s="55" cm="1">
        <f t="array" ref="G78">MMS_Dairy_ManureAppliedToSoils_Equations.VEERG_4_3_1_8__1_MassOfNitrogenAppliedToSoilsScope1(G42,_xlfn.XLOOKUP($E78,$D$22:$D$26,$E$22:$E$26),_xlfn.XLOOKUP($E78, $D$31:$D$35,$E$31:$E$35),G54,$F66)</f>
        <v>109.41474160669247</v>
      </c>
      <c r="H78" s="55" cm="1">
        <f t="array" ref="H78">MMS_Dairy_ManureAppliedToSoils_Equations.VEERG_4_3_1_8__1_MassOfNitrogenAppliedToSoilsScope1(H42,_xlfn.XLOOKUP($E78,$D$22:$D$26,$E$22:$E$26),_xlfn.XLOOKUP($E78, $D$31:$D$35,$E$31:$E$35),H54,$F66)</f>
        <v>43.57873447430606</v>
      </c>
      <c r="I78" s="55" cm="1">
        <f t="array" ref="I78">MMS_Dairy_ManureAppliedToSoils_Equations.VEERG_4_3_1_8__1_MassOfNitrogenAppliedToSoilsScope1(I42,_xlfn.XLOOKUP($E78,$D$22:$D$26,$E$22:$E$26),_xlfn.XLOOKUP($E78, $D$31:$D$35,$E$31:$E$35),I54,$F66)</f>
        <v>137.53865744392107</v>
      </c>
      <c r="J78" s="55" cm="1">
        <f t="array" ref="J78">MMS_Dairy_ManureAppliedToSoils_Equations.VEERG_4_3_1_8__1_MassOfNitrogenAppliedToSoilsScope1(J42,_xlfn.XLOOKUP($E78,$D$22:$D$26,$E$22:$E$26),_xlfn.XLOOKUP($E78, $D$31:$D$35,$E$31:$E$35),J54,$F66)</f>
        <v>57.577714247433249</v>
      </c>
      <c r="K78" s="2"/>
      <c r="O78" s="55" t="str">
        <f>'Input - Dairy'!$D$66</f>
        <v>Milking shed</v>
      </c>
      <c r="P78" s="55" t="str">
        <f>'Input - Dairy'!$D$91</f>
        <v>Drains to paddock</v>
      </c>
      <c r="Q78" s="55" cm="1">
        <f t="array" ref="Q78">MMS_Dairy_ManureAppliedToSoils_Equations.VEERG_4_3_1_8__1_MassOfNitrogenAppliedToSoilsScope1(Q42,_xlfn.XLOOKUP($P78,$D$22:$D$26,$E$22:$E$26),_xlfn.XLOOKUP($P78, $D$31:$D$35,$E$31:$E$35),Q54,$F66)</f>
        <v>291.94015534214708</v>
      </c>
      <c r="R78" s="55" cm="1">
        <f t="array" ref="R78">MMS_Dairy_ManureAppliedToSoils_Equations.VEERG_4_3_1_8__1_MassOfNitrogenAppliedToSoilsScope1(R42,_xlfn.XLOOKUP($P78,$D$22:$D$26,$E$22:$E$26),_xlfn.XLOOKUP($P78, $D$31:$D$35,$E$31:$E$35),R54,$F66)</f>
        <v>109.41474160669247</v>
      </c>
      <c r="S78" s="55" cm="1">
        <f t="array" ref="S78">MMS_Dairy_ManureAppliedToSoils_Equations.VEERG_4_3_1_8__1_MassOfNitrogenAppliedToSoilsScope1(S42,_xlfn.XLOOKUP($P78,$D$22:$D$26,$E$22:$E$26),_xlfn.XLOOKUP($P78, $D$31:$D$35,$E$31:$E$35),S54,$F66)</f>
        <v>43.57873447430606</v>
      </c>
      <c r="T78" s="55" cm="1">
        <f t="array" ref="T78">MMS_Dairy_ManureAppliedToSoils_Equations.VEERG_4_3_1_8__1_MassOfNitrogenAppliedToSoilsScope1(T42,_xlfn.XLOOKUP($P78,$D$22:$D$26,$E$22:$E$26),_xlfn.XLOOKUP($P78, $D$31:$D$35,$E$31:$E$35),T54,$F66)</f>
        <v>137.53865744392107</v>
      </c>
      <c r="U78" s="55" cm="1">
        <f t="array" ref="U78">MMS_Dairy_ManureAppliedToSoils_Equations.VEERG_4_3_1_8__1_MassOfNitrogenAppliedToSoilsScope1(U42,_xlfn.XLOOKUP($P78,$D$22:$D$26,$E$22:$E$26),_xlfn.XLOOKUP($P78, $D$31:$D$35,$E$31:$E$35),U54,$F66)</f>
        <v>57.577714247433249</v>
      </c>
      <c r="V78" s="2"/>
    </row>
    <row r="79" spans="4:22" ht="20.100000000000001" customHeight="1" x14ac:dyDescent="0.25">
      <c r="D79" s="55" t="str">
        <f>'Input - Dairy'!$D$66</f>
        <v>Milking shed</v>
      </c>
      <c r="E79" s="55" t="s">
        <v>405</v>
      </c>
      <c r="F79" s="55" cm="1">
        <f t="array" ref="F79">MMS_Dairy_ManureAppliedToSoils_Equations.VEERG_4_3_1_8__1_MassOfNitrogenAppliedToSoilsScope1(F43,_xlfn.XLOOKUP($E79,$D$22:$D$26,$E$22:$E$26),_xlfn.XLOOKUP($E79, $D$31:$D$35,$E$31:$E$35),F55,$F67)</f>
        <v>431.06788562238899</v>
      </c>
      <c r="G79" s="55" cm="1">
        <f t="array" ref="G79">MMS_Dairy_ManureAppliedToSoils_Equations.VEERG_4_3_1_8__1_MassOfNitrogenAppliedToSoilsScope1(G43,_xlfn.XLOOKUP($E79,$D$22:$D$26,$E$22:$E$26),_xlfn.XLOOKUP($E79, $D$31:$D$35,$E$31:$E$35),G55,$F67)</f>
        <v>161.55770440363185</v>
      </c>
      <c r="H79" s="55" cm="1">
        <f t="array" ref="H79">MMS_Dairy_ManureAppliedToSoils_Equations.VEERG_4_3_1_8__1_MassOfNitrogenAppliedToSoilsScope1(H43,_xlfn.XLOOKUP($E79,$D$22:$D$26,$E$22:$E$26),_xlfn.XLOOKUP($E79, $D$31:$D$35,$E$31:$E$35),H55,$F67)</f>
        <v>64.346725122217521</v>
      </c>
      <c r="I79" s="55" cm="1">
        <f t="array" ref="I79">MMS_Dairy_ManureAppliedToSoils_Equations.VEERG_4_3_1_8__1_MassOfNitrogenAppliedToSoilsScope1(I43,_xlfn.XLOOKUP($E79,$D$22:$D$26,$E$22:$E$26),_xlfn.XLOOKUP($E79, $D$31:$D$35,$E$31:$E$35),I55,$F67)</f>
        <v>203.08442388203969</v>
      </c>
      <c r="J79" s="55" cm="1">
        <f t="array" ref="J79">MMS_Dairy_ManureAppliedToSoils_Equations.VEERG_4_3_1_8__1_MassOfNitrogenAppliedToSoilsScope1(J43,_xlfn.XLOOKUP($E79,$D$22:$D$26,$E$22:$E$26),_xlfn.XLOOKUP($E79, $D$31:$D$35,$E$31:$E$35),J55,$F67)</f>
        <v>85.017093693475658</v>
      </c>
      <c r="K79" s="2"/>
      <c r="O79" s="55" t="str">
        <f>'Input - Dairy'!$D$66</f>
        <v>Milking shed</v>
      </c>
      <c r="P79" s="55" t="s">
        <v>405</v>
      </c>
      <c r="Q79" s="55" cm="1">
        <f t="array" ref="Q79">MMS_Dairy_ManureAppliedToSoils_Equations.VEERG_4_3_1_8__1_MassOfNitrogenAppliedToSoilsScope1(Q43,_xlfn.XLOOKUP($P79,$D$22:$D$26,$E$22:$E$26),_xlfn.XLOOKUP($P79, $D$31:$D$35,$E$31:$E$35),Q55,$F67)</f>
        <v>431.06788562238899</v>
      </c>
      <c r="R79" s="55" cm="1">
        <f t="array" ref="R79">MMS_Dairy_ManureAppliedToSoils_Equations.VEERG_4_3_1_8__1_MassOfNitrogenAppliedToSoilsScope1(R43,_xlfn.XLOOKUP($P79,$D$22:$D$26,$E$22:$E$26),_xlfn.XLOOKUP($P79, $D$31:$D$35,$E$31:$E$35),R55,$F67)</f>
        <v>161.55770440363185</v>
      </c>
      <c r="S79" s="55" cm="1">
        <f t="array" ref="S79">MMS_Dairy_ManureAppliedToSoils_Equations.VEERG_4_3_1_8__1_MassOfNitrogenAppliedToSoilsScope1(S43,_xlfn.XLOOKUP($P79,$D$22:$D$26,$E$22:$E$26),_xlfn.XLOOKUP($P79, $D$31:$D$35,$E$31:$E$35),S55,$F67)</f>
        <v>64.346725122217521</v>
      </c>
      <c r="T79" s="55" cm="1">
        <f t="array" ref="T79">MMS_Dairy_ManureAppliedToSoils_Equations.VEERG_4_3_1_8__1_MassOfNitrogenAppliedToSoilsScope1(T43,_xlfn.XLOOKUP($P79,$D$22:$D$26,$E$22:$E$26),_xlfn.XLOOKUP($P79, $D$31:$D$35,$E$31:$E$35),T55,$F67)</f>
        <v>203.08442388203969</v>
      </c>
      <c r="U79" s="55" cm="1">
        <f t="array" ref="U79">MMS_Dairy_ManureAppliedToSoils_Equations.VEERG_4_3_1_8__1_MassOfNitrogenAppliedToSoilsScope1(U43,_xlfn.XLOOKUP($P79,$D$22:$D$26,$E$22:$E$26),_xlfn.XLOOKUP($P79, $D$31:$D$35,$E$31:$E$35),U55,$F67)</f>
        <v>85.017093693475658</v>
      </c>
      <c r="V79" s="2"/>
    </row>
    <row r="80" spans="4:22" ht="20.100000000000001" customHeight="1" x14ac:dyDescent="0.25">
      <c r="D80" s="55" t="str">
        <f>'Input - Dairy'!$D$67</f>
        <v>Feed pad</v>
      </c>
      <c r="E80" s="55" t="str">
        <f>'Input - Dairy'!$D$105</f>
        <v>Anaerobic lagoon</v>
      </c>
      <c r="F80" s="55" cm="1">
        <f t="array" ref="F80">MMS_Dairy_ManureAppliedToSoils_Equations.VEERG_4_3_1_8__1_MassOfNitrogenAppliedToSoilsScope1(F44,_xlfn.XLOOKUP($E80,$D$22:$D$26,$E$22:$E$26),_xlfn.XLOOKUP($E80, $D$31:$D$35,$E$31:$E$35),F56,$F68)</f>
        <v>767.66990847923671</v>
      </c>
      <c r="G80" s="55" cm="1">
        <f t="array" ref="G80">MMS_Dairy_ManureAppliedToSoils_Equations.VEERG_4_3_1_8__1_MassOfNitrogenAppliedToSoilsScope1(G44,_xlfn.XLOOKUP($E80,$D$22:$D$26,$E$22:$E$26),_xlfn.XLOOKUP($E80, $D$31:$D$35,$E$31:$E$35),G56,$F68)</f>
        <v>287.71103645214362</v>
      </c>
      <c r="H80" s="55" cm="1">
        <f t="array" ref="H80">MMS_Dairy_ManureAppliedToSoils_Equations.VEERG_4_3_1_8__1_MassOfNitrogenAppliedToSoilsScope1(H44,_xlfn.XLOOKUP($E80,$D$22:$D$26,$E$22:$E$26),_xlfn.XLOOKUP($E80, $D$31:$D$35,$E$31:$E$35),H56,$F68)</f>
        <v>114.59226315175479</v>
      </c>
      <c r="I80" s="55" cm="1">
        <f t="array" ref="I80">MMS_Dairy_ManureAppliedToSoils_Equations.VEERG_4_3_1_8__1_MassOfNitrogenAppliedToSoilsScope1(I44,_xlfn.XLOOKUP($E80,$D$22:$D$26,$E$22:$E$26),_xlfn.XLOOKUP($E80, $D$31:$D$35,$E$31:$E$35),I56,$F68)</f>
        <v>361.66415150594696</v>
      </c>
      <c r="J80" s="55" cm="1">
        <f t="array" ref="J80">MMS_Dairy_ManureAppliedToSoils_Equations.VEERG_4_3_1_8__1_MassOfNitrogenAppliedToSoilsScope1(J44,_xlfn.XLOOKUP($E80,$D$22:$D$26,$E$22:$E$26),_xlfn.XLOOKUP($E80, $D$31:$D$35,$E$31:$E$35),J56,$F68)</f>
        <v>151.40321678245513</v>
      </c>
      <c r="K80" s="2"/>
      <c r="O80" s="55" t="str">
        <f>'Input - Dairy'!$D$67</f>
        <v>Feed pad</v>
      </c>
      <c r="P80" s="55" t="str">
        <f>'Input - Dairy'!$D$105</f>
        <v>Anaerobic lagoon</v>
      </c>
      <c r="Q80" s="55" cm="1">
        <f t="array" ref="Q80">MMS_Dairy_ManureAppliedToSoils_Equations.VEERG_4_3_1_8__1_MassOfNitrogenAppliedToSoilsScope1(Q44,_xlfn.XLOOKUP($P80,$D$22:$D$26,$E$22:$E$26),_xlfn.XLOOKUP($P80, $D$31:$D$35,$E$31:$E$35),Q56,$F68)</f>
        <v>767.66990847923671</v>
      </c>
      <c r="R80" s="55" cm="1">
        <f t="array" ref="R80">MMS_Dairy_ManureAppliedToSoils_Equations.VEERG_4_3_1_8__1_MassOfNitrogenAppliedToSoilsScope1(R44,_xlfn.XLOOKUP($P80,$D$22:$D$26,$E$22:$E$26),_xlfn.XLOOKUP($P80, $D$31:$D$35,$E$31:$E$35),R56,$F68)</f>
        <v>287.71103645214362</v>
      </c>
      <c r="S80" s="55" cm="1">
        <f t="array" ref="S80">MMS_Dairy_ManureAppliedToSoils_Equations.VEERG_4_3_1_8__1_MassOfNitrogenAppliedToSoilsScope1(S44,_xlfn.XLOOKUP($P80,$D$22:$D$26,$E$22:$E$26),_xlfn.XLOOKUP($P80, $D$31:$D$35,$E$31:$E$35),S56,$F68)</f>
        <v>114.59226315175479</v>
      </c>
      <c r="T80" s="55" cm="1">
        <f t="array" ref="T80">MMS_Dairy_ManureAppliedToSoils_Equations.VEERG_4_3_1_8__1_MassOfNitrogenAppliedToSoilsScope1(T44,_xlfn.XLOOKUP($P80,$D$22:$D$26,$E$22:$E$26),_xlfn.XLOOKUP($P80, $D$31:$D$35,$E$31:$E$35),T56,$F68)</f>
        <v>361.66415150594696</v>
      </c>
      <c r="U80" s="55" cm="1">
        <f t="array" ref="U80">MMS_Dairy_ManureAppliedToSoils_Equations.VEERG_4_3_1_8__1_MassOfNitrogenAppliedToSoilsScope1(U44,_xlfn.XLOOKUP($P80,$D$22:$D$26,$E$22:$E$26),_xlfn.XLOOKUP($P80, $D$31:$D$35,$E$31:$E$35),U56,$F68)</f>
        <v>151.40321678245513</v>
      </c>
      <c r="V80" s="2"/>
    </row>
    <row r="81" spans="1:23" ht="20.100000000000001" customHeight="1" x14ac:dyDescent="0.25">
      <c r="D81" s="55" t="str">
        <f>'Input - Dairy'!$D$67</f>
        <v>Feed pad</v>
      </c>
      <c r="E81" s="55" t="str">
        <f>'Input - Dairy'!$D$110</f>
        <v>Sump and dispersal system</v>
      </c>
      <c r="F81" s="55" cm="1">
        <f t="array" ref="F81">MMS_Dairy_ManureAppliedToSoils_Equations.VEERG_4_3_1_8__1_MassOfNitrogenAppliedToSoilsScope1(F45,_xlfn.XLOOKUP($E81,$D$22:$D$26,$E$22:$E$26),_xlfn.XLOOKUP($E81, $D$31:$D$35,$E$31:$E$35),F57,$F69)</f>
        <v>1098.3584844395232</v>
      </c>
      <c r="G81" s="55" cm="1">
        <f t="array" ref="G81">MMS_Dairy_ManureAppliedToSoils_Equations.VEERG_4_3_1_8__1_MassOfNitrogenAppliedToSoilsScope1(G45,_xlfn.XLOOKUP($E81,$D$22:$D$26,$E$22:$E$26),_xlfn.XLOOKUP($E81, $D$31:$D$35,$E$31:$E$35),G57,$F69)</f>
        <v>411.64809830845161</v>
      </c>
      <c r="H81" s="55" cm="1">
        <f t="array" ref="H81">MMS_Dairy_ManureAppliedToSoils_Equations.VEERG_4_3_1_8__1_MassOfNitrogenAppliedToSoilsScope1(H45,_xlfn.XLOOKUP($E81,$D$22:$D$26,$E$22:$E$26),_xlfn.XLOOKUP($E81, $D$31:$D$35,$E$31:$E$35),H57,$F69)</f>
        <v>163.95508420174144</v>
      </c>
      <c r="I81" s="55" cm="1">
        <f t="array" ref="I81">MMS_Dairy_ManureAppliedToSoils_Equations.VEERG_4_3_1_8__1_MassOfNitrogenAppliedToSoilsScope1(I45,_xlfn.XLOOKUP($E81,$D$22:$D$26,$E$22:$E$26),_xlfn.XLOOKUP($E81, $D$31:$D$35,$E$31:$E$35),I57,$F69)</f>
        <v>517.45793984697025</v>
      </c>
      <c r="J81" s="55" cm="1">
        <f t="array" ref="J81">MMS_Dairy_ManureAppliedToSoils_Equations.VEERG_4_3_1_8__1_MassOfNitrogenAppliedToSoilsScope1(J45,_xlfn.XLOOKUP($E81,$D$22:$D$26,$E$22:$E$26),_xlfn.XLOOKUP($E81, $D$31:$D$35,$E$31:$E$35),J57,$F69)</f>
        <v>216.62306401182042</v>
      </c>
      <c r="K81" s="2"/>
      <c r="O81" s="55" t="str">
        <f>'Input - Dairy'!$D$67</f>
        <v>Feed pad</v>
      </c>
      <c r="P81" s="55" t="str">
        <f>'Input - Dairy'!$D$110</f>
        <v>Sump and dispersal system</v>
      </c>
      <c r="Q81" s="55" cm="1">
        <f t="array" ref="Q81">MMS_Dairy_ManureAppliedToSoils_Equations.VEERG_4_3_1_8__1_MassOfNitrogenAppliedToSoilsScope1(Q45,_xlfn.XLOOKUP($P81,$D$22:$D$26,$E$22:$E$26),_xlfn.XLOOKUP($P81, $D$31:$D$35,$E$31:$E$35),Q57,$F69)</f>
        <v>1098.3584844395232</v>
      </c>
      <c r="R81" s="55" cm="1">
        <f t="array" ref="R81">MMS_Dairy_ManureAppliedToSoils_Equations.VEERG_4_3_1_8__1_MassOfNitrogenAppliedToSoilsScope1(R45,_xlfn.XLOOKUP($P81,$D$22:$D$26,$E$22:$E$26),_xlfn.XLOOKUP($P81, $D$31:$D$35,$E$31:$E$35),R57,$F69)</f>
        <v>411.64809830845161</v>
      </c>
      <c r="S81" s="55" cm="1">
        <f t="array" ref="S81">MMS_Dairy_ManureAppliedToSoils_Equations.VEERG_4_3_1_8__1_MassOfNitrogenAppliedToSoilsScope1(S45,_xlfn.XLOOKUP($P81,$D$22:$D$26,$E$22:$E$26),_xlfn.XLOOKUP($P81, $D$31:$D$35,$E$31:$E$35),S57,$F69)</f>
        <v>163.95508420174144</v>
      </c>
      <c r="T81" s="55" cm="1">
        <f t="array" ref="T81">MMS_Dairy_ManureAppliedToSoils_Equations.VEERG_4_3_1_8__1_MassOfNitrogenAppliedToSoilsScope1(T45,_xlfn.XLOOKUP($P81,$D$22:$D$26,$E$22:$E$26),_xlfn.XLOOKUP($P81, $D$31:$D$35,$E$31:$E$35),T57,$F69)</f>
        <v>517.45793984697025</v>
      </c>
      <c r="U81" s="55" cm="1">
        <f t="array" ref="U81">MMS_Dairy_ManureAppliedToSoils_Equations.VEERG_4_3_1_8__1_MassOfNitrogenAppliedToSoilsScope1(U45,_xlfn.XLOOKUP($P81,$D$22:$D$26,$E$22:$E$26),_xlfn.XLOOKUP($P81, $D$31:$D$35,$E$31:$E$35),U57,$F69)</f>
        <v>216.62306401182042</v>
      </c>
      <c r="V81" s="2"/>
    </row>
    <row r="82" spans="1:23" ht="20.100000000000001" customHeight="1" x14ac:dyDescent="0.25">
      <c r="D82" s="55" t="str">
        <f>'Input - Dairy'!$D$67</f>
        <v>Feed pad</v>
      </c>
      <c r="E82" s="55" t="str">
        <f>'Input - Dairy'!$D$115</f>
        <v>Drains to paddock</v>
      </c>
      <c r="F82" s="55" cm="1">
        <f t="array" ref="F82">MMS_Dairy_ManureAppliedToSoils_Equations.VEERG_4_3_1_8__1_MassOfNitrogenAppliedToSoilsScope1(F46,_xlfn.XLOOKUP($E82,$D$22:$D$26,$E$22:$E$26),_xlfn.XLOOKUP($E82, $D$31:$D$35,$E$31:$E$35),F58,$F70)</f>
        <v>944.82450274367602</v>
      </c>
      <c r="G82" s="55" cm="1">
        <f t="array" ref="G82">MMS_Dairy_ManureAppliedToSoils_Equations.VEERG_4_3_1_8__1_MassOfNitrogenAppliedToSoilsScope1(G46,_xlfn.XLOOKUP($E82,$D$22:$D$26,$E$22:$E$26),_xlfn.XLOOKUP($E82, $D$31:$D$35,$E$31:$E$35),G58,$F70)</f>
        <v>354.10589101802293</v>
      </c>
      <c r="H82" s="55" cm="1">
        <f t="array" ref="H82">MMS_Dairy_ManureAppliedToSoils_Equations.VEERG_4_3_1_8__1_MassOfNitrogenAppliedToSoilsScope1(H46,_xlfn.XLOOKUP($E82,$D$22:$D$26,$E$22:$E$26),_xlfn.XLOOKUP($E82, $D$31:$D$35,$E$31:$E$35),H58,$F70)</f>
        <v>141.0366315713905</v>
      </c>
      <c r="I82" s="55" cm="1">
        <f t="array" ref="I82">MMS_Dairy_ManureAppliedToSoils_Equations.VEERG_4_3_1_8__1_MassOfNitrogenAppliedToSoilsScope1(I46,_xlfn.XLOOKUP($E82,$D$22:$D$26,$E$22:$E$26),_xlfn.XLOOKUP($E82, $D$31:$D$35,$E$31:$E$35),I58,$F70)</f>
        <v>445.1251095457809</v>
      </c>
      <c r="J82" s="55" cm="1">
        <f t="array" ref="J82">MMS_Dairy_ManureAppliedToSoils_Equations.VEERG_4_3_1_8__1_MassOfNitrogenAppliedToSoilsScope1(J46,_xlfn.XLOOKUP($E82,$D$22:$D$26,$E$22:$E$26),_xlfn.XLOOKUP($E82, $D$31:$D$35,$E$31:$E$35),J58,$F70)</f>
        <v>186.34242065532939</v>
      </c>
      <c r="K82" s="2"/>
      <c r="O82" s="55" t="str">
        <f>'Input - Dairy'!$D$67</f>
        <v>Feed pad</v>
      </c>
      <c r="P82" s="55" t="str">
        <f>'Input - Dairy'!$D$115</f>
        <v>Drains to paddock</v>
      </c>
      <c r="Q82" s="55" cm="1">
        <f t="array" ref="Q82">MMS_Dairy_ManureAppliedToSoils_Equations.VEERG_4_3_1_8__1_MassOfNitrogenAppliedToSoilsScope1(Q46,_xlfn.XLOOKUP($P82,$D$22:$D$26,$E$22:$E$26),_xlfn.XLOOKUP($P82, $D$31:$D$35,$E$31:$E$35),Q58,$F70)</f>
        <v>944.82450274367602</v>
      </c>
      <c r="R82" s="55" cm="1">
        <f t="array" ref="R82">MMS_Dairy_ManureAppliedToSoils_Equations.VEERG_4_3_1_8__1_MassOfNitrogenAppliedToSoilsScope1(R46,_xlfn.XLOOKUP($P82,$D$22:$D$26,$E$22:$E$26),_xlfn.XLOOKUP($P82, $D$31:$D$35,$E$31:$E$35),R58,$F70)</f>
        <v>354.10589101802293</v>
      </c>
      <c r="S82" s="55" cm="1">
        <f t="array" ref="S82">MMS_Dairy_ManureAppliedToSoils_Equations.VEERG_4_3_1_8__1_MassOfNitrogenAppliedToSoilsScope1(S46,_xlfn.XLOOKUP($P82,$D$22:$D$26,$E$22:$E$26),_xlfn.XLOOKUP($P82, $D$31:$D$35,$E$31:$E$35),S58,$F70)</f>
        <v>141.0366315713905</v>
      </c>
      <c r="T82" s="55" cm="1">
        <f t="array" ref="T82">MMS_Dairy_ManureAppliedToSoils_Equations.VEERG_4_3_1_8__1_MassOfNitrogenAppliedToSoilsScope1(T46,_xlfn.XLOOKUP($P82,$D$22:$D$26,$E$22:$E$26),_xlfn.XLOOKUP($P82, $D$31:$D$35,$E$31:$E$35),T58,$F70)</f>
        <v>445.1251095457809</v>
      </c>
      <c r="U82" s="55" cm="1">
        <f t="array" ref="U82">MMS_Dairy_ManureAppliedToSoils_Equations.VEERG_4_3_1_8__1_MassOfNitrogenAppliedToSoilsScope1(U46,_xlfn.XLOOKUP($P82,$D$22:$D$26,$E$22:$E$26),_xlfn.XLOOKUP($P82, $D$31:$D$35,$E$31:$E$35),U58,$F70)</f>
        <v>186.34242065532939</v>
      </c>
      <c r="V82" s="2"/>
    </row>
    <row r="83" spans="1:23" ht="20.100000000000001" customHeight="1" x14ac:dyDescent="0.25">
      <c r="D83" s="55" t="str">
        <f>'Input - Dairy'!$D$67</f>
        <v>Feed pad</v>
      </c>
      <c r="E83" s="55" t="s">
        <v>405</v>
      </c>
      <c r="F83" s="55" cm="1">
        <f t="array" ref="F83">MMS_Dairy_ManureAppliedToSoils_Equations.VEERG_4_3_1_8__1_MassOfNitrogenAppliedToSoilsScope1(F47,_xlfn.XLOOKUP($E83,$D$22:$D$26,$E$22:$E$26),_xlfn.XLOOKUP($E83, $D$31:$D$35,$E$31:$E$35),F59,$F71)</f>
        <v>1594.3913483799531</v>
      </c>
      <c r="G83" s="55" cm="1">
        <f t="array" ref="G83">MMS_Dairy_ManureAppliedToSoils_Equations.VEERG_4_3_1_8__1_MassOfNitrogenAppliedToSoilsScope1(G47,_xlfn.XLOOKUP($E83,$D$22:$D$26,$E$22:$E$26),_xlfn.XLOOKUP($E83, $D$31:$D$35,$E$31:$E$35),G59,$F71)</f>
        <v>597.55369109291348</v>
      </c>
      <c r="H83" s="55" cm="1">
        <f t="array" ref="H83">MMS_Dairy_ManureAppliedToSoils_Equations.VEERG_4_3_1_8__1_MassOfNitrogenAppliedToSoilsScope1(H47,_xlfn.XLOOKUP($E83,$D$22:$D$26,$E$22:$E$26),_xlfn.XLOOKUP($E83, $D$31:$D$35,$E$31:$E$35),H59,$F71)</f>
        <v>237.99931577672146</v>
      </c>
      <c r="I83" s="55" cm="1">
        <f t="array" ref="I83">MMS_Dairy_ManureAppliedToSoils_Equations.VEERG_4_3_1_8__1_MassOfNitrogenAppliedToSoilsScope1(I47,_xlfn.XLOOKUP($E83,$D$22:$D$26,$E$22:$E$26),_xlfn.XLOOKUP($E83, $D$31:$D$35,$E$31:$E$35),I59,$F71)</f>
        <v>751.14862235850512</v>
      </c>
      <c r="J83" s="55" cm="1">
        <f t="array" ref="J83">MMS_Dairy_ManureAppliedToSoils_Equations.VEERG_4_3_1_8__1_MassOfNitrogenAppliedToSoilsScope1(J47,_xlfn.XLOOKUP($E83,$D$22:$D$26,$E$22:$E$26),_xlfn.XLOOKUP($E83, $D$31:$D$35,$E$31:$E$35),J59,$F71)</f>
        <v>314.45283485586828</v>
      </c>
      <c r="K83" s="2"/>
      <c r="O83" s="55" t="str">
        <f>'Input - Dairy'!$D$67</f>
        <v>Feed pad</v>
      </c>
      <c r="P83" s="55" t="s">
        <v>405</v>
      </c>
      <c r="Q83" s="55" cm="1">
        <f t="array" ref="Q83">MMS_Dairy_ManureAppliedToSoils_Equations.VEERG_4_3_1_8__1_MassOfNitrogenAppliedToSoilsScope1(Q47,_xlfn.XLOOKUP($P83,$D$22:$D$26,$E$22:$E$26),_xlfn.XLOOKUP($P83, $D$31:$D$35,$E$31:$E$35),Q59,$F71)</f>
        <v>1594.3913483799531</v>
      </c>
      <c r="R83" s="55" cm="1">
        <f t="array" ref="R83">MMS_Dairy_ManureAppliedToSoils_Equations.VEERG_4_3_1_8__1_MassOfNitrogenAppliedToSoilsScope1(R47,_xlfn.XLOOKUP($P83,$D$22:$D$26,$E$22:$E$26),_xlfn.XLOOKUP($P83, $D$31:$D$35,$E$31:$E$35),R59,$F71)</f>
        <v>597.55369109291348</v>
      </c>
      <c r="S83" s="55" cm="1">
        <f t="array" ref="S83">MMS_Dairy_ManureAppliedToSoils_Equations.VEERG_4_3_1_8__1_MassOfNitrogenAppliedToSoilsScope1(S47,_xlfn.XLOOKUP($P83,$D$22:$D$26,$E$22:$E$26),_xlfn.XLOOKUP($P83, $D$31:$D$35,$E$31:$E$35),S59,$F71)</f>
        <v>237.99931577672146</v>
      </c>
      <c r="T83" s="55" cm="1">
        <f t="array" ref="T83">MMS_Dairy_ManureAppliedToSoils_Equations.VEERG_4_3_1_8__1_MassOfNitrogenAppliedToSoilsScope1(T47,_xlfn.XLOOKUP($P83,$D$22:$D$26,$E$22:$E$26),_xlfn.XLOOKUP($P83, $D$31:$D$35,$E$31:$E$35),T59,$F71)</f>
        <v>751.14862235850512</v>
      </c>
      <c r="U83" s="55" cm="1">
        <f t="array" ref="U83">MMS_Dairy_ManureAppliedToSoils_Equations.VEERG_4_3_1_8__1_MassOfNitrogenAppliedToSoilsScope1(U47,_xlfn.XLOOKUP($P83,$D$22:$D$26,$E$22:$E$26),_xlfn.XLOOKUP($P83, $D$31:$D$35,$E$31:$E$35),U59,$F71)</f>
        <v>314.45283485586828</v>
      </c>
      <c r="V83" s="2"/>
    </row>
    <row r="84" spans="1:23" ht="20.100000000000001" customHeight="1" x14ac:dyDescent="0.25"/>
    <row r="85" spans="1:23" ht="20.100000000000001" customHeight="1" x14ac:dyDescent="0.25">
      <c r="D85" s="108" t="s">
        <v>131</v>
      </c>
      <c r="E85" s="109">
        <f>SUM(F76:J83)</f>
        <v>12637.296364050231</v>
      </c>
      <c r="F85" s="110" t="str">
        <f>$E$11</f>
        <v>kg N</v>
      </c>
      <c r="O85" s="108" t="s">
        <v>131</v>
      </c>
      <c r="P85" s="109">
        <f>SUM(Q76:U83)</f>
        <v>12637.296364050231</v>
      </c>
      <c r="Q85" s="110" t="str">
        <f>$E$11</f>
        <v>kg N</v>
      </c>
    </row>
    <row r="86" spans="1:23" ht="20.100000000000001" customHeight="1" x14ac:dyDescent="0.25"/>
    <row r="87" spans="1:23" ht="20.100000000000001" customHeight="1" x14ac:dyDescent="0.25">
      <c r="A87" s="141" t="str">
        <f>HYPERLINK("#A1", "▲ Back to top")</f>
        <v>▲ Back to top</v>
      </c>
    </row>
    <row r="88" spans="1:23" ht="20.100000000000001" customHeight="1" x14ac:dyDescent="0.25">
      <c r="C88" s="48"/>
      <c r="D88" s="48"/>
      <c r="E88" s="48"/>
      <c r="F88" s="48"/>
      <c r="G88" s="48"/>
      <c r="H88" s="48"/>
      <c r="I88" s="48"/>
      <c r="J88" s="48"/>
      <c r="K88" s="48"/>
      <c r="L88" s="48"/>
      <c r="N88" s="48"/>
      <c r="O88" s="48"/>
      <c r="P88" s="48"/>
      <c r="Q88" s="48"/>
      <c r="R88" s="48"/>
      <c r="S88" s="48"/>
      <c r="T88" s="48"/>
      <c r="U88" s="48"/>
      <c r="V88" s="48"/>
      <c r="W88" s="48"/>
    </row>
    <row r="89" spans="1:23" ht="20.100000000000001" customHeight="1" x14ac:dyDescent="0.25">
      <c r="D89" s="6" t="str" cm="1">
        <f t="array" ref="D89">MMS_Dairy_ManureAppliedToSoils_Equations.VEERG_4_3_1_8__2_MassOfNitrogenAppliedToSoilsScope3_Title()</f>
        <v>Mass of nitrogen from manure applied to soils for scope 3 emissions</v>
      </c>
    </row>
    <row r="90" spans="1:23" ht="20.100000000000001" customHeight="1" x14ac:dyDescent="0.25">
      <c r="D90" s="5" t="str" cm="1">
        <f t="array" ref="D90">MMS_Dairy_ManureAppliedToSoils_Equations.VEERG_4_3_1_8__2_MassOfNitrogenAppliedToSoilsScope3_Source()</f>
        <v>VEERG 2026: 4.3.1.8, Equation (2)</v>
      </c>
    </row>
    <row r="91" spans="1:23" ht="20.100000000000001" customHeight="1" x14ac:dyDescent="0.25">
      <c r="D91" s="13" t="s">
        <v>27</v>
      </c>
      <c r="E91" s="13" t="str" cm="1">
        <f t="array" aca="1" ref="E91" ca="1">Common_InputFunctions.Utility_DisplayFunctionName($F$106)</f>
        <v>=MMS_Dairy_ManureAppliedToSoils_Equations.VEERG_4_3_1_8__2_MassOfNitrogenAppliedToSoilsScope3</v>
      </c>
    </row>
    <row r="92" spans="1:23" ht="20.100000000000001" customHeight="1" x14ac:dyDescent="0.25"/>
    <row r="93" spans="1:23" ht="20.100000000000001" customHeight="1" x14ac:dyDescent="0.25"/>
    <row r="94" spans="1:23" ht="20.100000000000001" customHeight="1" x14ac:dyDescent="0.25">
      <c r="D94" s="56" t="s">
        <v>30</v>
      </c>
      <c r="E94" s="1" t="str" cm="1">
        <f t="array" ref="E94">MMS_Dairy_ManureAppliedToSoils_Equations.VEERG_4_3_1_8__2_MassOfNitrogenAppliedToSoilsScope3_Variable()</f>
        <v>MNSoil_scope3</v>
      </c>
    </row>
    <row r="95" spans="1:23" ht="20.100000000000001" customHeight="1" x14ac:dyDescent="0.25">
      <c r="D95" s="56" t="s">
        <v>20</v>
      </c>
      <c r="E95" s="57" t="str" cm="1">
        <f t="array" ref="E95">MMS_Dairy_ManureAppliedToSoils_Equations.VEERG_4_3_1_8__2_MassOfNitrogenAppliedToSoilsScope3_Unit()</f>
        <v>kg N</v>
      </c>
    </row>
    <row r="96" spans="1:23" ht="20.100000000000001" customHeight="1" x14ac:dyDescent="0.25"/>
    <row r="97" spans="4:22" ht="20.100000000000001" customHeight="1" x14ac:dyDescent="0.25">
      <c r="D97" s="137" t="str" cm="1">
        <f t="array" ref="D97:E101">_xlfn.CHOOSECOLS(MMS_Dairy_ManureAppliedToSoils_Equations.VEERG_4_3_1_8__2_MassOfNitrogenAppliedToSoilsScope3_Arguments(),1,2)</f>
        <v>MN_jm</v>
      </c>
      <c r="E97" s="136" t="str">
        <v>total nitrogen in each MMS for dairy cattle classes</v>
      </c>
      <c r="F97" s="138"/>
      <c r="G97" s="137" t="str" cm="1">
        <f t="array" ref="G97:H101">_xlfn.CHOOSECOLS(MMS_Dairy_ManureAppliedToSoils_Equations.VEERG_4_3_1_8__2_MassOfNitrogenAppliedToSoilsScope3_Arguments(),3,4)</f>
        <v>kg N</v>
      </c>
      <c r="H97" s="133" t="str">
        <v>Calculated from 4.3.1.3 (2)</v>
      </c>
      <c r="I97" s="134" t="str" cm="1">
        <f t="array" aca="1" ref="I97" ca="1">HYPERLINK(Common_InputFunctions.Utility_SourceHyperlink($D$37),$D$37)</f>
        <v>M1_Table_MN_j_m</v>
      </c>
    </row>
    <row r="98" spans="4:22" ht="20.100000000000001" customHeight="1" x14ac:dyDescent="0.25">
      <c r="D98" s="137" t="str">
        <v>EF_m</v>
      </c>
      <c r="E98" s="136" t="str">
        <v>emission factor for nitrous oxide emissions per MMS</v>
      </c>
      <c r="F98" s="138"/>
      <c r="G98" s="137" t="str">
        <v>kg N2O-N/kg N</v>
      </c>
      <c r="H98" s="133" t="str">
        <v>Constant</v>
      </c>
      <c r="I98" s="134" t="str" cm="1">
        <f t="array" aca="1" ref="I98" ca="1">HYPERLINK(Common_InputFunctions.Utility_SourceHyperlink($D$19),$D$19)</f>
        <v>Table_EF_m</v>
      </c>
    </row>
    <row r="99" spans="4:22" ht="20.100000000000001" customHeight="1" x14ac:dyDescent="0.25">
      <c r="D99" s="137" t="str">
        <v>FracGASM_m</v>
      </c>
      <c r="E99" s="136" t="str">
        <v>fraction of N volatilised from MMS</v>
      </c>
      <c r="F99" s="138"/>
      <c r="G99" s="137" t="str">
        <v>fraction</v>
      </c>
      <c r="H99" s="133" t="str">
        <v>Constant</v>
      </c>
      <c r="I99" s="134" t="str" cm="1">
        <f t="array" aca="1" ref="I99" ca="1">HYPERLINK(Common_InputFunctions.Utility_SourceHyperlink($D$28),$D$28)</f>
        <v>Table_FracGASM_m</v>
      </c>
    </row>
    <row r="100" spans="4:22" ht="20.100000000000001" customHeight="1" x14ac:dyDescent="0.25">
      <c r="D100" s="137" t="str">
        <v>MNLeach_jm</v>
      </c>
      <c r="E100" s="136" t="str">
        <v>mass of N lost through leaching and runoff from each MMS</v>
      </c>
      <c r="F100" s="138"/>
      <c r="G100" s="137" t="str">
        <v>kg N</v>
      </c>
      <c r="H100" s="133" t="str">
        <v>Calculated from 4.3.1.6 (2)</v>
      </c>
      <c r="I100" s="134" t="str" cm="1">
        <f t="array" aca="1" ref="I100" ca="1">HYPERLINK(Common_InputFunctions.Utility_SourceHyperlink($D$49),$D$49)</f>
        <v>M1_Table_MN_leach_j_m</v>
      </c>
    </row>
    <row r="101" spans="4:22" ht="20.100000000000001" customHeight="1" x14ac:dyDescent="0.25">
      <c r="D101" s="137" t="str">
        <v>PF</v>
      </c>
      <c r="E101" s="136" t="str">
        <v>fraction of manure applied to soil within farm boundary</v>
      </c>
      <c r="F101" s="138"/>
      <c r="G101" s="137" t="str">
        <v>fraction</v>
      </c>
      <c r="H101" s="135" t="str">
        <v>Input</v>
      </c>
      <c r="I101" s="134" t="str" cm="1">
        <f t="array" aca="1" ref="I101" ca="1">HYPERLINK(Common_InputFunctions.Utility_SourceHyperlink($D$61),$D$61)</f>
        <v>Table_PF_scope</v>
      </c>
    </row>
    <row r="102" spans="4:22" ht="20.100000000000001" customHeight="1" x14ac:dyDescent="0.25"/>
    <row r="103" spans="4:22" ht="20.100000000000001" customHeight="1" x14ac:dyDescent="0.25">
      <c r="D103" s="104" t="s">
        <v>342</v>
      </c>
      <c r="O103" s="104" t="s">
        <v>348</v>
      </c>
    </row>
    <row r="104" spans="4:22" ht="20.100000000000001" customHeight="1" x14ac:dyDescent="0.25">
      <c r="D104" s="103" t="s">
        <v>343</v>
      </c>
      <c r="O104" s="103" t="s">
        <v>349</v>
      </c>
    </row>
    <row r="105" spans="4:22" ht="20.100000000000001" customHeight="1" x14ac:dyDescent="0.25">
      <c r="D105" s="54" t="s">
        <v>146</v>
      </c>
      <c r="E105" s="54" t="s">
        <v>68</v>
      </c>
      <c r="F105" s="54" t="s">
        <v>171</v>
      </c>
      <c r="G105" s="54" t="s">
        <v>188</v>
      </c>
      <c r="H105" s="54" t="s">
        <v>189</v>
      </c>
      <c r="I105" s="54" t="s">
        <v>190</v>
      </c>
      <c r="J105" s="54" t="s">
        <v>191</v>
      </c>
      <c r="O105" s="54" t="s">
        <v>146</v>
      </c>
      <c r="P105" s="54" t="s">
        <v>68</v>
      </c>
      <c r="Q105" s="54" t="s">
        <v>171</v>
      </c>
      <c r="R105" s="54" t="s">
        <v>188</v>
      </c>
      <c r="S105" s="54" t="s">
        <v>189</v>
      </c>
      <c r="T105" s="54" t="s">
        <v>190</v>
      </c>
      <c r="U105" s="54" t="s">
        <v>191</v>
      </c>
    </row>
    <row r="106" spans="4:22" ht="20.100000000000001" customHeight="1" x14ac:dyDescent="0.25">
      <c r="D106" s="55" t="str">
        <f>'Input - Dairy'!$D$66</f>
        <v>Milking shed</v>
      </c>
      <c r="E106" s="55" t="str">
        <f>'Input - Dairy'!$D$81</f>
        <v>Anaerobic lagoon</v>
      </c>
      <c r="F106" s="55" cm="1">
        <f t="array" ref="F106">MMS_Dairy_ManureAppliedToSoils_Equations.VEERG_4_3_1_8__2_MassOfNitrogenAppliedToSoilsScope3(F40, _xlfn.XLOOKUP($E106, $D$22:$D$26,$E$22:$E$26), _xlfn.XLOOKUP($E106,$D$31:$D$35,$E$31:$E$35),F52, $F64)</f>
        <v>98.833906756456031</v>
      </c>
      <c r="G106" s="55" cm="1">
        <f t="array" ref="G106">MMS_Dairy_ManureAppliedToSoils_Equations.VEERG_4_3_1_8__2_MassOfNitrogenAppliedToSoilsScope3(G40, _xlfn.XLOOKUP($E106, $D$22:$D$26,$E$22:$E$26), _xlfn.XLOOKUP($E106,$D$31:$D$35,$E$31:$E$35),G52, $F64)</f>
        <v>37.041448981432346</v>
      </c>
      <c r="H106" s="55" cm="1">
        <f t="array" ref="H106">MMS_Dairy_ManureAppliedToSoils_Equations.VEERG_4_3_1_8__2_MassOfNitrogenAppliedToSoilsScope3(H40, _xlfn.XLOOKUP($E106, $D$22:$D$26,$E$22:$E$26), _xlfn.XLOOKUP($E106,$D$31:$D$35,$E$31:$E$35),H52, $F64)</f>
        <v>14.753217400155696</v>
      </c>
      <c r="I106" s="55" cm="1">
        <f t="array" ref="I106">MMS_Dairy_ManureAppliedToSoils_Equations.VEERG_4_3_1_8__2_MassOfNitrogenAppliedToSoilsScope3(I40, _xlfn.XLOOKUP($E106, $D$22:$D$26,$E$22:$E$26), _xlfn.XLOOKUP($E106,$D$31:$D$35,$E$31:$E$35),I52, $F64)</f>
        <v>46.562566322160777</v>
      </c>
      <c r="J106" s="55" cm="1">
        <f t="array" ref="J106">MMS_Dairy_ManureAppliedToSoils_Equations.VEERG_4_3_1_8__2_MassOfNitrogenAppliedToSoilsScope3(J40, _xlfn.XLOOKUP($E106, $D$22:$D$26,$E$22:$E$26), _xlfn.XLOOKUP($E106,$D$31:$D$35,$E$31:$E$35),J52, $F64)</f>
        <v>19.492455344183128</v>
      </c>
      <c r="K106" s="2" t="str">
        <f t="shared" ref="K106" si="2">$E$95</f>
        <v>kg N</v>
      </c>
      <c r="O106" s="55" t="str">
        <f>'Input - Dairy'!$D$66</f>
        <v>Milking shed</v>
      </c>
      <c r="P106" s="55" t="str">
        <f>'Input - Dairy'!$D$81</f>
        <v>Anaerobic lagoon</v>
      </c>
      <c r="Q106" s="55" cm="1">
        <f t="array" ref="Q106">MMS_Dairy_ManureAppliedToSoils_Equations.VEERG_4_3_1_8__2_MassOfNitrogenAppliedToSoilsScope3(Q40, _xlfn.XLOOKUP($P106, $D$22:$D$26,$E$22:$E$26), _xlfn.XLOOKUP($P106,$D$31:$D$35,$E$31:$E$35),Q52, $F64)</f>
        <v>98.833906756456031</v>
      </c>
      <c r="R106" s="55" cm="1">
        <f t="array" ref="R106">MMS_Dairy_ManureAppliedToSoils_Equations.VEERG_4_3_1_8__2_MassOfNitrogenAppliedToSoilsScope3(R40, _xlfn.XLOOKUP($P106, $D$22:$D$26,$E$22:$E$26), _xlfn.XLOOKUP($P106,$D$31:$D$35,$E$31:$E$35),R52, $F64)</f>
        <v>37.041448981432346</v>
      </c>
      <c r="S106" s="55" cm="1">
        <f t="array" ref="S106">MMS_Dairy_ManureAppliedToSoils_Equations.VEERG_4_3_1_8__2_MassOfNitrogenAppliedToSoilsScope3(S40, _xlfn.XLOOKUP($P106, $D$22:$D$26,$E$22:$E$26), _xlfn.XLOOKUP($P106,$D$31:$D$35,$E$31:$E$35),S52, $F64)</f>
        <v>14.753217400155696</v>
      </c>
      <c r="T106" s="55" cm="1">
        <f t="array" ref="T106">MMS_Dairy_ManureAppliedToSoils_Equations.VEERG_4_3_1_8__2_MassOfNitrogenAppliedToSoilsScope3(T40, _xlfn.XLOOKUP($P106, $D$22:$D$26,$E$22:$E$26), _xlfn.XLOOKUP($P106,$D$31:$D$35,$E$31:$E$35),T52, $F64)</f>
        <v>46.562566322160777</v>
      </c>
      <c r="U106" s="55" cm="1">
        <f t="array" ref="U106">MMS_Dairy_ManureAppliedToSoils_Equations.VEERG_4_3_1_8__2_MassOfNitrogenAppliedToSoilsScope3(U40, _xlfn.XLOOKUP($P106, $D$22:$D$26,$E$22:$E$26), _xlfn.XLOOKUP($P106,$D$31:$D$35,$E$31:$E$35),U52, $F64)</f>
        <v>19.492455344183128</v>
      </c>
      <c r="V106" s="2" t="str">
        <f t="shared" ref="V106" si="3">$E$95</f>
        <v>kg N</v>
      </c>
    </row>
    <row r="107" spans="4:22" ht="20.100000000000001" customHeight="1" x14ac:dyDescent="0.25">
      <c r="D107" s="55" t="str">
        <f>'Input - Dairy'!$D$66</f>
        <v>Milking shed</v>
      </c>
      <c r="E107" s="55" t="str">
        <f>'Input - Dairy'!$D$86</f>
        <v>Sump and dispersal system</v>
      </c>
      <c r="F107" s="55" cm="1">
        <f t="array" ref="F107">MMS_Dairy_ManureAppliedToSoils_Equations.VEERG_4_3_1_8__2_MassOfNitrogenAppliedToSoilsScope3(F41, _xlfn.XLOOKUP($E107, $D$22:$D$26,$E$22:$E$26), _xlfn.XLOOKUP($E107,$D$31:$D$35,$E$31:$E$35),F53, $F65)</f>
        <v>113.12681019508199</v>
      </c>
      <c r="G107" s="55" cm="1">
        <f t="array" ref="G107">MMS_Dairy_ManureAppliedToSoils_Equations.VEERG_4_3_1_8__2_MassOfNitrogenAppliedToSoilsScope3(G41, _xlfn.XLOOKUP($E107, $D$22:$D$26,$E$22:$E$26), _xlfn.XLOOKUP($E107,$D$31:$D$35,$E$31:$E$35),G53, $F65)</f>
        <v>42.398212372593328</v>
      </c>
      <c r="H107" s="55" cm="1">
        <f t="array" ref="H107">MMS_Dairy_ManureAppliedToSoils_Equations.VEERG_4_3_1_8__2_MassOfNitrogenAppliedToSoilsScope3(H41, _xlfn.XLOOKUP($E107, $D$22:$D$26,$E$22:$E$26), _xlfn.XLOOKUP($E107,$D$31:$D$35,$E$31:$E$35),H53, $F65)</f>
        <v>16.886759608793596</v>
      </c>
      <c r="I107" s="55" cm="1">
        <f t="array" ref="I107">MMS_Dairy_ManureAppliedToSoils_Equations.VEERG_4_3_1_8__2_MassOfNitrogenAppliedToSoilsScope3(I41, _xlfn.XLOOKUP($E107, $D$22:$D$26,$E$22:$E$26), _xlfn.XLOOKUP($E107,$D$31:$D$35,$E$31:$E$35),I53, $F65)</f>
        <v>53.296229759519406</v>
      </c>
      <c r="J107" s="55" cm="1">
        <f t="array" ref="J107">MMS_Dairy_ManureAppliedToSoils_Equations.VEERG_4_3_1_8__2_MassOfNitrogenAppliedToSoilsScope3(J41, _xlfn.XLOOKUP($E107, $D$22:$D$26,$E$22:$E$26), _xlfn.XLOOKUP($E107,$D$31:$D$35,$E$31:$E$35),J53, $F65)</f>
        <v>22.311364270880382</v>
      </c>
      <c r="K107" s="2"/>
      <c r="O107" s="55" t="str">
        <f>'Input - Dairy'!$D$66</f>
        <v>Milking shed</v>
      </c>
      <c r="P107" s="55" t="str">
        <f>'Input - Dairy'!$D$86</f>
        <v>Sump and dispersal system</v>
      </c>
      <c r="Q107" s="55" cm="1">
        <f t="array" ref="Q107">MMS_Dairy_ManureAppliedToSoils_Equations.VEERG_4_3_1_8__2_MassOfNitrogenAppliedToSoilsScope3(Q41, _xlfn.XLOOKUP($P107, $D$22:$D$26,$E$22:$E$26), _xlfn.XLOOKUP($P107,$D$31:$D$35,$E$31:$E$35),Q53, $F65)</f>
        <v>113.12681019508199</v>
      </c>
      <c r="R107" s="55" cm="1">
        <f t="array" ref="R107">MMS_Dairy_ManureAppliedToSoils_Equations.VEERG_4_3_1_8__2_MassOfNitrogenAppliedToSoilsScope3(R41, _xlfn.XLOOKUP($P107, $D$22:$D$26,$E$22:$E$26), _xlfn.XLOOKUP($P107,$D$31:$D$35,$E$31:$E$35),R53, $F65)</f>
        <v>42.398212372593328</v>
      </c>
      <c r="S107" s="55" cm="1">
        <f t="array" ref="S107">MMS_Dairy_ManureAppliedToSoils_Equations.VEERG_4_3_1_8__2_MassOfNitrogenAppliedToSoilsScope3(S41, _xlfn.XLOOKUP($P107, $D$22:$D$26,$E$22:$E$26), _xlfn.XLOOKUP($P107,$D$31:$D$35,$E$31:$E$35),S53, $F65)</f>
        <v>16.886759608793596</v>
      </c>
      <c r="T107" s="55" cm="1">
        <f t="array" ref="T107">MMS_Dairy_ManureAppliedToSoils_Equations.VEERG_4_3_1_8__2_MassOfNitrogenAppliedToSoilsScope3(T41, _xlfn.XLOOKUP($P107, $D$22:$D$26,$E$22:$E$26), _xlfn.XLOOKUP($P107,$D$31:$D$35,$E$31:$E$35),T53, $F65)</f>
        <v>53.296229759519406</v>
      </c>
      <c r="U107" s="55" cm="1">
        <f t="array" ref="U107">MMS_Dairy_ManureAppliedToSoils_Equations.VEERG_4_3_1_8__2_MassOfNitrogenAppliedToSoilsScope3(U41, _xlfn.XLOOKUP($P107, $D$22:$D$26,$E$22:$E$26), _xlfn.XLOOKUP($P107,$D$31:$D$35,$E$31:$E$35),U53, $F65)</f>
        <v>22.311364270880382</v>
      </c>
      <c r="V107" s="2"/>
    </row>
    <row r="108" spans="4:22" ht="20.100000000000001" customHeight="1" x14ac:dyDescent="0.25">
      <c r="D108" s="55" t="str">
        <f>'Input - Dairy'!$D$66</f>
        <v>Milking shed</v>
      </c>
      <c r="E108" s="55" t="str">
        <f>'Input - Dairy'!$D$91</f>
        <v>Drains to paddock</v>
      </c>
      <c r="F108" s="55" cm="1">
        <f t="array" ref="F108">MMS_Dairy_ManureAppliedToSoils_Equations.VEERG_4_3_1_8__2_MassOfNitrogenAppliedToSoilsScope3(F42, _xlfn.XLOOKUP($E108, $D$22:$D$26,$E$22:$E$26), _xlfn.XLOOKUP($E108,$D$31:$D$35,$E$31:$E$35),F54, $F66)</f>
        <v>97.313385114049026</v>
      </c>
      <c r="G108" s="55" cm="1">
        <f t="array" ref="G108">MMS_Dairy_ManureAppliedToSoils_Equations.VEERG_4_3_1_8__2_MassOfNitrogenAppliedToSoilsScope3(G42, _xlfn.XLOOKUP($E108, $D$22:$D$26,$E$22:$E$26), _xlfn.XLOOKUP($E108,$D$31:$D$35,$E$31:$E$35),G54, $F66)</f>
        <v>36.471580535564158</v>
      </c>
      <c r="H108" s="55" cm="1">
        <f t="array" ref="H108">MMS_Dairy_ManureAppliedToSoils_Equations.VEERG_4_3_1_8__2_MassOfNitrogenAppliedToSoilsScope3(H42, _xlfn.XLOOKUP($E108, $D$22:$D$26,$E$22:$E$26), _xlfn.XLOOKUP($E108,$D$31:$D$35,$E$31:$E$35),H54, $F66)</f>
        <v>14.526244824768686</v>
      </c>
      <c r="I108" s="55" cm="1">
        <f t="array" ref="I108">MMS_Dairy_ManureAppliedToSoils_Equations.VEERG_4_3_1_8__2_MassOfNitrogenAppliedToSoilsScope3(I42, _xlfn.XLOOKUP($E108, $D$22:$D$26,$E$22:$E$26), _xlfn.XLOOKUP($E108,$D$31:$D$35,$E$31:$E$35),I54, $F66)</f>
        <v>45.846219147973692</v>
      </c>
      <c r="J108" s="55" cm="1">
        <f t="array" ref="J108">MMS_Dairy_ManureAppliedToSoils_Equations.VEERG_4_3_1_8__2_MassOfNitrogenAppliedToSoilsScope3(J42, _xlfn.XLOOKUP($E108, $D$22:$D$26,$E$22:$E$26), _xlfn.XLOOKUP($E108,$D$31:$D$35,$E$31:$E$35),J54, $F66)</f>
        <v>19.192571415811084</v>
      </c>
      <c r="K108" s="2"/>
      <c r="O108" s="55" t="str">
        <f>'Input - Dairy'!$D$66</f>
        <v>Milking shed</v>
      </c>
      <c r="P108" s="55" t="str">
        <f>'Input - Dairy'!$D$91</f>
        <v>Drains to paddock</v>
      </c>
      <c r="Q108" s="55" cm="1">
        <f t="array" ref="Q108">MMS_Dairy_ManureAppliedToSoils_Equations.VEERG_4_3_1_8__2_MassOfNitrogenAppliedToSoilsScope3(Q42, _xlfn.XLOOKUP($P108, $D$22:$D$26,$E$22:$E$26), _xlfn.XLOOKUP($P108,$D$31:$D$35,$E$31:$E$35),Q54, $F66)</f>
        <v>97.313385114049026</v>
      </c>
      <c r="R108" s="55" cm="1">
        <f t="array" ref="R108">MMS_Dairy_ManureAppliedToSoils_Equations.VEERG_4_3_1_8__2_MassOfNitrogenAppliedToSoilsScope3(R42, _xlfn.XLOOKUP($P108, $D$22:$D$26,$E$22:$E$26), _xlfn.XLOOKUP($P108,$D$31:$D$35,$E$31:$E$35),R54, $F66)</f>
        <v>36.471580535564158</v>
      </c>
      <c r="S108" s="55" cm="1">
        <f t="array" ref="S108">MMS_Dairy_ManureAppliedToSoils_Equations.VEERG_4_3_1_8__2_MassOfNitrogenAppliedToSoilsScope3(S42, _xlfn.XLOOKUP($P108, $D$22:$D$26,$E$22:$E$26), _xlfn.XLOOKUP($P108,$D$31:$D$35,$E$31:$E$35),S54, $F66)</f>
        <v>14.526244824768686</v>
      </c>
      <c r="T108" s="55" cm="1">
        <f t="array" ref="T108">MMS_Dairy_ManureAppliedToSoils_Equations.VEERG_4_3_1_8__2_MassOfNitrogenAppliedToSoilsScope3(T42, _xlfn.XLOOKUP($P108, $D$22:$D$26,$E$22:$E$26), _xlfn.XLOOKUP($P108,$D$31:$D$35,$E$31:$E$35),T54, $F66)</f>
        <v>45.846219147973692</v>
      </c>
      <c r="U108" s="55" cm="1">
        <f t="array" ref="U108">MMS_Dairy_ManureAppliedToSoils_Equations.VEERG_4_3_1_8__2_MassOfNitrogenAppliedToSoilsScope3(U42, _xlfn.XLOOKUP($P108, $D$22:$D$26,$E$22:$E$26), _xlfn.XLOOKUP($P108,$D$31:$D$35,$E$31:$E$35),U54, $F66)</f>
        <v>19.192571415811084</v>
      </c>
      <c r="V108" s="2"/>
    </row>
    <row r="109" spans="4:22" ht="20.100000000000001" customHeight="1" x14ac:dyDescent="0.25">
      <c r="D109" s="55" t="str">
        <f>'Input - Dairy'!$D$66</f>
        <v>Milking shed</v>
      </c>
      <c r="E109" s="55" t="s">
        <v>405</v>
      </c>
      <c r="F109" s="55" cm="1">
        <f t="array" ref="F109">MMS_Dairy_ManureAppliedToSoils_Equations.VEERG_4_3_1_8__2_MassOfNitrogenAppliedToSoilsScope3(F43, _xlfn.XLOOKUP($E109, $D$22:$D$26,$E$22:$E$26), _xlfn.XLOOKUP($E109,$D$31:$D$35,$E$31:$E$35),F55, $F67)</f>
        <v>143.689295207463</v>
      </c>
      <c r="G109" s="55" cm="1">
        <f t="array" ref="G109">MMS_Dairy_ManureAppliedToSoils_Equations.VEERG_4_3_1_8__2_MassOfNitrogenAppliedToSoilsScope3(G43, _xlfn.XLOOKUP($E109, $D$22:$D$26,$E$22:$E$26), _xlfn.XLOOKUP($E109,$D$31:$D$35,$E$31:$E$35),G55, $F67)</f>
        <v>53.852568134543951</v>
      </c>
      <c r="H109" s="55" cm="1">
        <f t="array" ref="H109">MMS_Dairy_ManureAppliedToSoils_Equations.VEERG_4_3_1_8__2_MassOfNitrogenAppliedToSoilsScope3(H43, _xlfn.XLOOKUP($E109, $D$22:$D$26,$E$22:$E$26), _xlfn.XLOOKUP($E109,$D$31:$D$35,$E$31:$E$35),H55, $F67)</f>
        <v>21.448908374072509</v>
      </c>
      <c r="I109" s="55" cm="1">
        <f t="array" ref="I109">MMS_Dairy_ManureAppliedToSoils_Equations.VEERG_4_3_1_8__2_MassOfNitrogenAppliedToSoilsScope3(I43, _xlfn.XLOOKUP($E109, $D$22:$D$26,$E$22:$E$26), _xlfn.XLOOKUP($E109,$D$31:$D$35,$E$31:$E$35),I55, $F67)</f>
        <v>67.694807960679896</v>
      </c>
      <c r="J109" s="55" cm="1">
        <f t="array" ref="J109">MMS_Dairy_ManureAppliedToSoils_Equations.VEERG_4_3_1_8__2_MassOfNitrogenAppliedToSoilsScope3(J43, _xlfn.XLOOKUP($E109, $D$22:$D$26,$E$22:$E$26), _xlfn.XLOOKUP($E109,$D$31:$D$35,$E$31:$E$35),J55, $F67)</f>
        <v>28.33903123115855</v>
      </c>
      <c r="K109" s="2"/>
      <c r="O109" s="55" t="str">
        <f>'Input - Dairy'!$D$66</f>
        <v>Milking shed</v>
      </c>
      <c r="P109" s="55" t="s">
        <v>405</v>
      </c>
      <c r="Q109" s="55" cm="1">
        <f t="array" ref="Q109">MMS_Dairy_ManureAppliedToSoils_Equations.VEERG_4_3_1_8__2_MassOfNitrogenAppliedToSoilsScope3(Q43, _xlfn.XLOOKUP($P109, $D$22:$D$26,$E$22:$E$26), _xlfn.XLOOKUP($P109,$D$31:$D$35,$E$31:$E$35),Q55, $F67)</f>
        <v>143.689295207463</v>
      </c>
      <c r="R109" s="55" cm="1">
        <f t="array" ref="R109">MMS_Dairy_ManureAppliedToSoils_Equations.VEERG_4_3_1_8__2_MassOfNitrogenAppliedToSoilsScope3(R43, _xlfn.XLOOKUP($P109, $D$22:$D$26,$E$22:$E$26), _xlfn.XLOOKUP($P109,$D$31:$D$35,$E$31:$E$35),R55, $F67)</f>
        <v>53.852568134543951</v>
      </c>
      <c r="S109" s="55" cm="1">
        <f t="array" ref="S109">MMS_Dairy_ManureAppliedToSoils_Equations.VEERG_4_3_1_8__2_MassOfNitrogenAppliedToSoilsScope3(S43, _xlfn.XLOOKUP($P109, $D$22:$D$26,$E$22:$E$26), _xlfn.XLOOKUP($P109,$D$31:$D$35,$E$31:$E$35),S55, $F67)</f>
        <v>21.448908374072509</v>
      </c>
      <c r="T109" s="55" cm="1">
        <f t="array" ref="T109">MMS_Dairy_ManureAppliedToSoils_Equations.VEERG_4_3_1_8__2_MassOfNitrogenAppliedToSoilsScope3(T43, _xlfn.XLOOKUP($P109, $D$22:$D$26,$E$22:$E$26), _xlfn.XLOOKUP($P109,$D$31:$D$35,$E$31:$E$35),T55, $F67)</f>
        <v>67.694807960679896</v>
      </c>
      <c r="U109" s="55" cm="1">
        <f t="array" ref="U109">MMS_Dairy_ManureAppliedToSoils_Equations.VEERG_4_3_1_8__2_MassOfNitrogenAppliedToSoilsScope3(U43, _xlfn.XLOOKUP($P109, $D$22:$D$26,$E$22:$E$26), _xlfn.XLOOKUP($P109,$D$31:$D$35,$E$31:$E$35),U55, $F67)</f>
        <v>28.33903123115855</v>
      </c>
      <c r="V109" s="2"/>
    </row>
    <row r="110" spans="4:22" ht="20.100000000000001" customHeight="1" x14ac:dyDescent="0.25">
      <c r="D110" s="55" t="str">
        <f>'Input - Dairy'!$D$67</f>
        <v>Feed pad</v>
      </c>
      <c r="E110" s="55" t="str">
        <f>'Input - Dairy'!$D$105</f>
        <v>Anaerobic lagoon</v>
      </c>
      <c r="F110" s="55" cm="1">
        <f t="array" ref="F110">MMS_Dairy_ManureAppliedToSoils_Equations.VEERG_4_3_1_8__2_MassOfNitrogenAppliedToSoilsScope3(F44, _xlfn.XLOOKUP($E110, $D$22:$D$26,$E$22:$E$26), _xlfn.XLOOKUP($E110,$D$31:$D$35,$E$31:$E$35),F56, $F68)</f>
        <v>255.88996949307889</v>
      </c>
      <c r="G110" s="55" cm="1">
        <f t="array" ref="G110">MMS_Dairy_ManureAppliedToSoils_Equations.VEERG_4_3_1_8__2_MassOfNitrogenAppliedToSoilsScope3(G44, _xlfn.XLOOKUP($E110, $D$22:$D$26,$E$22:$E$26), _xlfn.XLOOKUP($E110,$D$31:$D$35,$E$31:$E$35),G56, $F68)</f>
        <v>95.903678817381206</v>
      </c>
      <c r="H110" s="55" cm="1">
        <f t="array" ref="H110">MMS_Dairy_ManureAppliedToSoils_Equations.VEERG_4_3_1_8__2_MassOfNitrogenAppliedToSoilsScope3(H44, _xlfn.XLOOKUP($E110, $D$22:$D$26,$E$22:$E$26), _xlfn.XLOOKUP($E110,$D$31:$D$35,$E$31:$E$35),H56, $F68)</f>
        <v>38.197421050584929</v>
      </c>
      <c r="I110" s="55" cm="1">
        <f t="array" ref="I110">MMS_Dairy_ManureAppliedToSoils_Equations.VEERG_4_3_1_8__2_MassOfNitrogenAppliedToSoilsScope3(I44, _xlfn.XLOOKUP($E110, $D$22:$D$26,$E$22:$E$26), _xlfn.XLOOKUP($E110,$D$31:$D$35,$E$31:$E$35),I56, $F68)</f>
        <v>120.55471716864899</v>
      </c>
      <c r="J110" s="55" cm="1">
        <f t="array" ref="J110">MMS_Dairy_ManureAppliedToSoils_Equations.VEERG_4_3_1_8__2_MassOfNitrogenAppliedToSoilsScope3(J44, _xlfn.XLOOKUP($E110, $D$22:$D$26,$E$22:$E$26), _xlfn.XLOOKUP($E110,$D$31:$D$35,$E$31:$E$35),J56, $F68)</f>
        <v>50.467738927485044</v>
      </c>
      <c r="K110" s="2"/>
      <c r="O110" s="55" t="str">
        <f>'Input - Dairy'!$D$67</f>
        <v>Feed pad</v>
      </c>
      <c r="P110" s="55" t="str">
        <f>'Input - Dairy'!$D$105</f>
        <v>Anaerobic lagoon</v>
      </c>
      <c r="Q110" s="55" cm="1">
        <f t="array" ref="Q110">MMS_Dairy_ManureAppliedToSoils_Equations.VEERG_4_3_1_8__2_MassOfNitrogenAppliedToSoilsScope3(Q44, _xlfn.XLOOKUP($P110, $D$22:$D$26,$E$22:$E$26), _xlfn.XLOOKUP($P110,$D$31:$D$35,$E$31:$E$35),Q56, $F68)</f>
        <v>255.88996949307889</v>
      </c>
      <c r="R110" s="55" cm="1">
        <f t="array" ref="R110">MMS_Dairy_ManureAppliedToSoils_Equations.VEERG_4_3_1_8__2_MassOfNitrogenAppliedToSoilsScope3(R44, _xlfn.XLOOKUP($P110, $D$22:$D$26,$E$22:$E$26), _xlfn.XLOOKUP($P110,$D$31:$D$35,$E$31:$E$35),R56, $F68)</f>
        <v>95.903678817381206</v>
      </c>
      <c r="S110" s="55" cm="1">
        <f t="array" ref="S110">MMS_Dairy_ManureAppliedToSoils_Equations.VEERG_4_3_1_8__2_MassOfNitrogenAppliedToSoilsScope3(S44, _xlfn.XLOOKUP($P110, $D$22:$D$26,$E$22:$E$26), _xlfn.XLOOKUP($P110,$D$31:$D$35,$E$31:$E$35),S56, $F68)</f>
        <v>38.197421050584929</v>
      </c>
      <c r="T110" s="55" cm="1">
        <f t="array" ref="T110">MMS_Dairy_ManureAppliedToSoils_Equations.VEERG_4_3_1_8__2_MassOfNitrogenAppliedToSoilsScope3(T44, _xlfn.XLOOKUP($P110, $D$22:$D$26,$E$22:$E$26), _xlfn.XLOOKUP($P110,$D$31:$D$35,$E$31:$E$35),T56, $F68)</f>
        <v>120.55471716864899</v>
      </c>
      <c r="U110" s="55" cm="1">
        <f t="array" ref="U110">MMS_Dairy_ManureAppliedToSoils_Equations.VEERG_4_3_1_8__2_MassOfNitrogenAppliedToSoilsScope3(U44, _xlfn.XLOOKUP($P110, $D$22:$D$26,$E$22:$E$26), _xlfn.XLOOKUP($P110,$D$31:$D$35,$E$31:$E$35),U56, $F68)</f>
        <v>50.467738927485044</v>
      </c>
      <c r="V110" s="2"/>
    </row>
    <row r="111" spans="4:22" ht="20.100000000000001" customHeight="1" x14ac:dyDescent="0.25">
      <c r="D111" s="55" t="str">
        <f>'Input - Dairy'!$D$67</f>
        <v>Feed pad</v>
      </c>
      <c r="E111" s="55" t="str">
        <f>'Input - Dairy'!$D$110</f>
        <v>Sump and dispersal system</v>
      </c>
      <c r="F111" s="55" cm="1">
        <f t="array" ref="F111">MMS_Dairy_ManureAppliedToSoils_Equations.VEERG_4_3_1_8__2_MassOfNitrogenAppliedToSoilsScope3(F45, _xlfn.XLOOKUP($E111, $D$22:$D$26,$E$22:$E$26), _xlfn.XLOOKUP($E111,$D$31:$D$35,$E$31:$E$35),F57, $F69)</f>
        <v>366.11949481317436</v>
      </c>
      <c r="G111" s="55" cm="1">
        <f t="array" ref="G111">MMS_Dairy_ManureAppliedToSoils_Equations.VEERG_4_3_1_8__2_MassOfNitrogenAppliedToSoilsScope3(G45, _xlfn.XLOOKUP($E111, $D$22:$D$26,$E$22:$E$26), _xlfn.XLOOKUP($E111,$D$31:$D$35,$E$31:$E$35),G57, $F69)</f>
        <v>137.21603276948386</v>
      </c>
      <c r="H111" s="55" cm="1">
        <f t="array" ref="H111">MMS_Dairy_ManureAppliedToSoils_Equations.VEERG_4_3_1_8__2_MassOfNitrogenAppliedToSoilsScope3(H45, _xlfn.XLOOKUP($E111, $D$22:$D$26,$E$22:$E$26), _xlfn.XLOOKUP($E111,$D$31:$D$35,$E$31:$E$35),H57, $F69)</f>
        <v>54.651694733913814</v>
      </c>
      <c r="I111" s="55" cm="1">
        <f t="array" ref="I111">MMS_Dairy_ManureAppliedToSoils_Equations.VEERG_4_3_1_8__2_MassOfNitrogenAppliedToSoilsScope3(I45, _xlfn.XLOOKUP($E111, $D$22:$D$26,$E$22:$E$26), _xlfn.XLOOKUP($E111,$D$31:$D$35,$E$31:$E$35),I57, $F69)</f>
        <v>172.48597994899006</v>
      </c>
      <c r="J111" s="55" cm="1">
        <f t="array" ref="J111">MMS_Dairy_ManureAppliedToSoils_Equations.VEERG_4_3_1_8__2_MassOfNitrogenAppliedToSoilsScope3(J45, _xlfn.XLOOKUP($E111, $D$22:$D$26,$E$22:$E$26), _xlfn.XLOOKUP($E111,$D$31:$D$35,$E$31:$E$35),J57, $F69)</f>
        <v>72.207688003940135</v>
      </c>
      <c r="K111" s="2"/>
      <c r="O111" s="55" t="str">
        <f>'Input - Dairy'!$D$67</f>
        <v>Feed pad</v>
      </c>
      <c r="P111" s="55" t="str">
        <f>'Input - Dairy'!$D$110</f>
        <v>Sump and dispersal system</v>
      </c>
      <c r="Q111" s="55" cm="1">
        <f t="array" ref="Q111">MMS_Dairy_ManureAppliedToSoils_Equations.VEERG_4_3_1_8__2_MassOfNitrogenAppliedToSoilsScope3(Q45, _xlfn.XLOOKUP($P111, $D$22:$D$26,$E$22:$E$26), _xlfn.XLOOKUP($P111,$D$31:$D$35,$E$31:$E$35),Q57, $F69)</f>
        <v>366.11949481317436</v>
      </c>
      <c r="R111" s="55" cm="1">
        <f t="array" ref="R111">MMS_Dairy_ManureAppliedToSoils_Equations.VEERG_4_3_1_8__2_MassOfNitrogenAppliedToSoilsScope3(R45, _xlfn.XLOOKUP($P111, $D$22:$D$26,$E$22:$E$26), _xlfn.XLOOKUP($P111,$D$31:$D$35,$E$31:$E$35),R57, $F69)</f>
        <v>137.21603276948386</v>
      </c>
      <c r="S111" s="55" cm="1">
        <f t="array" ref="S111">MMS_Dairy_ManureAppliedToSoils_Equations.VEERG_4_3_1_8__2_MassOfNitrogenAppliedToSoilsScope3(S45, _xlfn.XLOOKUP($P111, $D$22:$D$26,$E$22:$E$26), _xlfn.XLOOKUP($P111,$D$31:$D$35,$E$31:$E$35),S57, $F69)</f>
        <v>54.651694733913814</v>
      </c>
      <c r="T111" s="55" cm="1">
        <f t="array" ref="T111">MMS_Dairy_ManureAppliedToSoils_Equations.VEERG_4_3_1_8__2_MassOfNitrogenAppliedToSoilsScope3(T45, _xlfn.XLOOKUP($P111, $D$22:$D$26,$E$22:$E$26), _xlfn.XLOOKUP($P111,$D$31:$D$35,$E$31:$E$35),T57, $F69)</f>
        <v>172.48597994899006</v>
      </c>
      <c r="U111" s="55" cm="1">
        <f t="array" ref="U111">MMS_Dairy_ManureAppliedToSoils_Equations.VEERG_4_3_1_8__2_MassOfNitrogenAppliedToSoilsScope3(U45, _xlfn.XLOOKUP($P111, $D$22:$D$26,$E$22:$E$26), _xlfn.XLOOKUP($P111,$D$31:$D$35,$E$31:$E$35),U57, $F69)</f>
        <v>72.207688003940135</v>
      </c>
      <c r="V111" s="2"/>
    </row>
    <row r="112" spans="4:22" ht="20.100000000000001" customHeight="1" x14ac:dyDescent="0.25">
      <c r="D112" s="55" t="str">
        <f>'Input - Dairy'!$D$67</f>
        <v>Feed pad</v>
      </c>
      <c r="E112" s="55" t="str">
        <f>'Input - Dairy'!$D$115</f>
        <v>Drains to paddock</v>
      </c>
      <c r="F112" s="55" cm="1">
        <f t="array" ref="F112">MMS_Dairy_ManureAppliedToSoils_Equations.VEERG_4_3_1_8__2_MassOfNitrogenAppliedToSoilsScope3(F46, _xlfn.XLOOKUP($E112, $D$22:$D$26,$E$22:$E$26), _xlfn.XLOOKUP($E112,$D$31:$D$35,$E$31:$E$35),F58, $F70)</f>
        <v>314.94150091455867</v>
      </c>
      <c r="G112" s="55" cm="1">
        <f t="array" ref="G112">MMS_Dairy_ManureAppliedToSoils_Equations.VEERG_4_3_1_8__2_MassOfNitrogenAppliedToSoilsScope3(G46, _xlfn.XLOOKUP($E112, $D$22:$D$26,$E$22:$E$26), _xlfn.XLOOKUP($E112,$D$31:$D$35,$E$31:$E$35),G58, $F70)</f>
        <v>118.03529700600764</v>
      </c>
      <c r="H112" s="55" cm="1">
        <f t="array" ref="H112">MMS_Dairy_ManureAppliedToSoils_Equations.VEERG_4_3_1_8__2_MassOfNitrogenAppliedToSoilsScope3(H46, _xlfn.XLOOKUP($E112, $D$22:$D$26,$E$22:$E$26), _xlfn.XLOOKUP($E112,$D$31:$D$35,$E$31:$E$35),H58, $F70)</f>
        <v>47.012210523796831</v>
      </c>
      <c r="I112" s="55" cm="1">
        <f t="array" ref="I112">MMS_Dairy_ManureAppliedToSoils_Equations.VEERG_4_3_1_8__2_MassOfNitrogenAppliedToSoilsScope3(I46, _xlfn.XLOOKUP($E112, $D$22:$D$26,$E$22:$E$26), _xlfn.XLOOKUP($E112,$D$31:$D$35,$E$31:$E$35),I58, $F70)</f>
        <v>148.37503651526029</v>
      </c>
      <c r="J112" s="55" cm="1">
        <f t="array" ref="J112">MMS_Dairy_ManureAppliedToSoils_Equations.VEERG_4_3_1_8__2_MassOfNitrogenAppliedToSoilsScope3(J46, _xlfn.XLOOKUP($E112, $D$22:$D$26,$E$22:$E$26), _xlfn.XLOOKUP($E112,$D$31:$D$35,$E$31:$E$35),J58, $F70)</f>
        <v>62.114140218443133</v>
      </c>
      <c r="K112" s="2"/>
      <c r="O112" s="55" t="str">
        <f>'Input - Dairy'!$D$67</f>
        <v>Feed pad</v>
      </c>
      <c r="P112" s="55" t="str">
        <f>'Input - Dairy'!$D$115</f>
        <v>Drains to paddock</v>
      </c>
      <c r="Q112" s="55" cm="1">
        <f t="array" ref="Q112">MMS_Dairy_ManureAppliedToSoils_Equations.VEERG_4_3_1_8__2_MassOfNitrogenAppliedToSoilsScope3(Q46, _xlfn.XLOOKUP($P112, $D$22:$D$26,$E$22:$E$26), _xlfn.XLOOKUP($P112,$D$31:$D$35,$E$31:$E$35),Q58, $F70)</f>
        <v>314.94150091455867</v>
      </c>
      <c r="R112" s="55" cm="1">
        <f t="array" ref="R112">MMS_Dairy_ManureAppliedToSoils_Equations.VEERG_4_3_1_8__2_MassOfNitrogenAppliedToSoilsScope3(R46, _xlfn.XLOOKUP($P112, $D$22:$D$26,$E$22:$E$26), _xlfn.XLOOKUP($P112,$D$31:$D$35,$E$31:$E$35),R58, $F70)</f>
        <v>118.03529700600764</v>
      </c>
      <c r="S112" s="55" cm="1">
        <f t="array" ref="S112">MMS_Dairy_ManureAppliedToSoils_Equations.VEERG_4_3_1_8__2_MassOfNitrogenAppliedToSoilsScope3(S46, _xlfn.XLOOKUP($P112, $D$22:$D$26,$E$22:$E$26), _xlfn.XLOOKUP($P112,$D$31:$D$35,$E$31:$E$35),S58, $F70)</f>
        <v>47.012210523796831</v>
      </c>
      <c r="T112" s="55" cm="1">
        <f t="array" ref="T112">MMS_Dairy_ManureAppliedToSoils_Equations.VEERG_4_3_1_8__2_MassOfNitrogenAppliedToSoilsScope3(T46, _xlfn.XLOOKUP($P112, $D$22:$D$26,$E$22:$E$26), _xlfn.XLOOKUP($P112,$D$31:$D$35,$E$31:$E$35),T58, $F70)</f>
        <v>148.37503651526029</v>
      </c>
      <c r="U112" s="55" cm="1">
        <f t="array" ref="U112">MMS_Dairy_ManureAppliedToSoils_Equations.VEERG_4_3_1_8__2_MassOfNitrogenAppliedToSoilsScope3(U46, _xlfn.XLOOKUP($P112, $D$22:$D$26,$E$22:$E$26), _xlfn.XLOOKUP($P112,$D$31:$D$35,$E$31:$E$35),U58, $F70)</f>
        <v>62.114140218443133</v>
      </c>
      <c r="V112" s="2"/>
    </row>
    <row r="113" spans="1:23" ht="20.100000000000001" customHeight="1" x14ac:dyDescent="0.25">
      <c r="D113" s="55" t="str">
        <f>'Input - Dairy'!$D$67</f>
        <v>Feed pad</v>
      </c>
      <c r="E113" s="55" t="s">
        <v>405</v>
      </c>
      <c r="F113" s="55" cm="1">
        <f t="array" ref="F113">MMS_Dairy_ManureAppliedToSoils_Equations.VEERG_4_3_1_8__2_MassOfNitrogenAppliedToSoilsScope3(F47, _xlfn.XLOOKUP($E113, $D$22:$D$26,$E$22:$E$26), _xlfn.XLOOKUP($E113,$D$31:$D$35,$E$31:$E$35),F59, $F71)</f>
        <v>531.4637827933177</v>
      </c>
      <c r="G113" s="55" cm="1">
        <f t="array" ref="G113">MMS_Dairy_ManureAppliedToSoils_Equations.VEERG_4_3_1_8__2_MassOfNitrogenAppliedToSoilsScope3(G47, _xlfn.XLOOKUP($E113, $D$22:$D$26,$E$22:$E$26), _xlfn.XLOOKUP($E113,$D$31:$D$35,$E$31:$E$35),G59, $F71)</f>
        <v>199.18456369763783</v>
      </c>
      <c r="H113" s="55" cm="1">
        <f t="array" ref="H113">MMS_Dairy_ManureAppliedToSoils_Equations.VEERG_4_3_1_8__2_MassOfNitrogenAppliedToSoilsScope3(H47, _xlfn.XLOOKUP($E113, $D$22:$D$26,$E$22:$E$26), _xlfn.XLOOKUP($E113,$D$31:$D$35,$E$31:$E$35),H59, $F71)</f>
        <v>79.333105258907153</v>
      </c>
      <c r="I113" s="55" cm="1">
        <f t="array" ref="I113">MMS_Dairy_ManureAppliedToSoils_Equations.VEERG_4_3_1_8__2_MassOfNitrogenAppliedToSoilsScope3(I47, _xlfn.XLOOKUP($E113, $D$22:$D$26,$E$22:$E$26), _xlfn.XLOOKUP($E113,$D$31:$D$35,$E$31:$E$35),I59, $F71)</f>
        <v>250.38287411950171</v>
      </c>
      <c r="J113" s="55" cm="1">
        <f t="array" ref="J113">MMS_Dairy_ManureAppliedToSoils_Equations.VEERG_4_3_1_8__2_MassOfNitrogenAppliedToSoilsScope3(J47, _xlfn.XLOOKUP($E113, $D$22:$D$26,$E$22:$E$26), _xlfn.XLOOKUP($E113,$D$31:$D$35,$E$31:$E$35),J59, $F71)</f>
        <v>104.81761161862276</v>
      </c>
      <c r="K113" s="2"/>
      <c r="O113" s="55" t="str">
        <f>'Input - Dairy'!$D$67</f>
        <v>Feed pad</v>
      </c>
      <c r="P113" s="55" t="s">
        <v>405</v>
      </c>
      <c r="Q113" s="55" cm="1">
        <f t="array" ref="Q113">MMS_Dairy_ManureAppliedToSoils_Equations.VEERG_4_3_1_8__2_MassOfNitrogenAppliedToSoilsScope3(Q47, _xlfn.XLOOKUP($P113, $D$22:$D$26,$E$22:$E$26), _xlfn.XLOOKUP($P113,$D$31:$D$35,$E$31:$E$35),Q59, $F71)</f>
        <v>531.4637827933177</v>
      </c>
      <c r="R113" s="55" cm="1">
        <f t="array" ref="R113">MMS_Dairy_ManureAppliedToSoils_Equations.VEERG_4_3_1_8__2_MassOfNitrogenAppliedToSoilsScope3(R47, _xlfn.XLOOKUP($P113, $D$22:$D$26,$E$22:$E$26), _xlfn.XLOOKUP($P113,$D$31:$D$35,$E$31:$E$35),R59, $F71)</f>
        <v>199.18456369763783</v>
      </c>
      <c r="S113" s="55" cm="1">
        <f t="array" ref="S113">MMS_Dairy_ManureAppliedToSoils_Equations.VEERG_4_3_1_8__2_MassOfNitrogenAppliedToSoilsScope3(S47, _xlfn.XLOOKUP($P113, $D$22:$D$26,$E$22:$E$26), _xlfn.XLOOKUP($P113,$D$31:$D$35,$E$31:$E$35),S59, $F71)</f>
        <v>79.333105258907153</v>
      </c>
      <c r="T113" s="55" cm="1">
        <f t="array" ref="T113">MMS_Dairy_ManureAppliedToSoils_Equations.VEERG_4_3_1_8__2_MassOfNitrogenAppliedToSoilsScope3(T47, _xlfn.XLOOKUP($P113, $D$22:$D$26,$E$22:$E$26), _xlfn.XLOOKUP($P113,$D$31:$D$35,$E$31:$E$35),T59, $F71)</f>
        <v>250.38287411950171</v>
      </c>
      <c r="U113" s="55" cm="1">
        <f t="array" ref="U113">MMS_Dairy_ManureAppliedToSoils_Equations.VEERG_4_3_1_8__2_MassOfNitrogenAppliedToSoilsScope3(U47, _xlfn.XLOOKUP($P113, $D$22:$D$26,$E$22:$E$26), _xlfn.XLOOKUP($P113,$D$31:$D$35,$E$31:$E$35),U59, $F71)</f>
        <v>104.81761161862276</v>
      </c>
      <c r="V113" s="2"/>
    </row>
    <row r="114" spans="1:23" ht="20.100000000000001" customHeight="1" x14ac:dyDescent="0.25"/>
    <row r="115" spans="1:23" ht="20.100000000000001" customHeight="1" x14ac:dyDescent="0.25">
      <c r="D115" s="108" t="s">
        <v>347</v>
      </c>
      <c r="E115" s="109">
        <f>SUM(F106:J113)</f>
        <v>4212.4321213500762</v>
      </c>
      <c r="F115" s="110" t="str">
        <f>$E$11</f>
        <v>kg N</v>
      </c>
      <c r="O115" s="108" t="s">
        <v>347</v>
      </c>
      <c r="P115" s="109">
        <f>SUM(Q106:U113)</f>
        <v>4212.4321213500762</v>
      </c>
      <c r="Q115" s="110" t="str">
        <f>$E$11</f>
        <v>kg N</v>
      </c>
    </row>
    <row r="116" spans="1:23" ht="20.100000000000001" customHeight="1" x14ac:dyDescent="0.25"/>
    <row r="117" spans="1:23" ht="20.100000000000001" customHeight="1" x14ac:dyDescent="0.25">
      <c r="A117" s="141" t="str">
        <f>HYPERLINK("#A1", "▲ Back to top")</f>
        <v>▲ Back to top</v>
      </c>
    </row>
    <row r="118" spans="1:23" ht="20.100000000000001" customHeight="1" x14ac:dyDescent="0.25">
      <c r="C118" s="48"/>
      <c r="D118" s="48"/>
      <c r="E118" s="48"/>
      <c r="F118" s="48"/>
      <c r="G118" s="48"/>
      <c r="H118" s="48"/>
      <c r="I118" s="48"/>
      <c r="J118" s="48"/>
      <c r="K118" s="48"/>
      <c r="L118" s="48"/>
      <c r="N118" s="48"/>
      <c r="O118" s="48"/>
      <c r="P118" s="48"/>
      <c r="Q118" s="48"/>
      <c r="R118" s="48"/>
      <c r="S118" s="48"/>
      <c r="T118" s="48"/>
      <c r="U118" s="48"/>
      <c r="V118" s="48"/>
      <c r="W118" s="48"/>
    </row>
    <row r="119" spans="1:23" ht="20.100000000000001" customHeight="1" x14ac:dyDescent="0.25">
      <c r="D119" s="115" t="str">
        <f>"Below are applications of " &amp; D6 &amp; " that are applied to the following contexts:"</f>
        <v>Below are applications of VEERG 2026: 4.3.1.8, Equation (1) that are applied to the following contexts:</v>
      </c>
      <c r="E119" s="95"/>
      <c r="F119" s="95"/>
      <c r="G119" s="95"/>
      <c r="H119" s="91"/>
    </row>
    <row r="120" spans="1:23" ht="20.100000000000001" customHeight="1" x14ac:dyDescent="0.25">
      <c r="D120" s="97" t="s">
        <v>393</v>
      </c>
      <c r="E120" s="94"/>
      <c r="F120" s="94"/>
      <c r="G120" s="94"/>
      <c r="H120" s="92"/>
    </row>
    <row r="121" spans="1:23" ht="20.100000000000001" customHeight="1" x14ac:dyDescent="0.25"/>
    <row r="122" spans="1:23" ht="20.100000000000001" customHeight="1" x14ac:dyDescent="0.25">
      <c r="D122" s="6" t="s">
        <v>392</v>
      </c>
    </row>
    <row r="123" spans="1:23" ht="20.100000000000001" customHeight="1" x14ac:dyDescent="0.25"/>
    <row r="124" spans="1:23" ht="20.100000000000001" customHeight="1" x14ac:dyDescent="0.25">
      <c r="D124" s="104" t="s">
        <v>132</v>
      </c>
    </row>
    <row r="125" spans="1:23" ht="20.100000000000001" customHeight="1" x14ac:dyDescent="0.25">
      <c r="D125" s="103" t="s">
        <v>133</v>
      </c>
    </row>
    <row r="126" spans="1:23" ht="20.100000000000001" customHeight="1" x14ac:dyDescent="0.25">
      <c r="D126" s="54" t="s">
        <v>146</v>
      </c>
      <c r="E126" s="54" t="s">
        <v>68</v>
      </c>
      <c r="F126" s="54" t="s">
        <v>432</v>
      </c>
    </row>
    <row r="127" spans="1:23" ht="20.100000000000001" customHeight="1" x14ac:dyDescent="0.25">
      <c r="D127" s="55" t="str">
        <f>'Input - Dairy'!$D$66</f>
        <v>Milking shed</v>
      </c>
      <c r="E127" s="55" t="str">
        <f>'Input - Dairy'!$D$81</f>
        <v>Anaerobic lagoon</v>
      </c>
      <c r="F127" s="55">
        <f>'Input - Dairy'!L81</f>
        <v>0.25</v>
      </c>
      <c r="G127" s="2" t="str">
        <f>G101</f>
        <v>fraction</v>
      </c>
    </row>
    <row r="128" spans="1:23" ht="20.100000000000001" customHeight="1" x14ac:dyDescent="0.25">
      <c r="D128" s="55" t="str">
        <f>'Input - Dairy'!$D$66</f>
        <v>Milking shed</v>
      </c>
      <c r="E128" s="55" t="str">
        <f>'Input - Dairy'!$D$86</f>
        <v>Sump and dispersal system</v>
      </c>
      <c r="F128" s="55">
        <f>'Input - Dairy'!L86</f>
        <v>0.25</v>
      </c>
      <c r="G128" s="2"/>
    </row>
    <row r="129" spans="4:22" ht="20.100000000000001" customHeight="1" x14ac:dyDescent="0.25">
      <c r="D129" s="55" t="str">
        <f>'Input - Dairy'!$D$66</f>
        <v>Milking shed</v>
      </c>
      <c r="E129" s="55" t="str">
        <f>'Input - Dairy'!$D$91</f>
        <v>Drains to paddock</v>
      </c>
      <c r="F129" s="55">
        <f>'Input - Dairy'!L91</f>
        <v>0.25</v>
      </c>
      <c r="G129" s="2"/>
    </row>
    <row r="130" spans="4:22" ht="20.100000000000001" customHeight="1" x14ac:dyDescent="0.25">
      <c r="D130" s="55" t="str">
        <f>'Input - Dairy'!$D$66</f>
        <v>Milking shed</v>
      </c>
      <c r="E130" s="55" t="s">
        <v>405</v>
      </c>
      <c r="F130" s="55">
        <f>'Input - Dairy'!L96</f>
        <v>0.25</v>
      </c>
      <c r="G130" s="2"/>
    </row>
    <row r="131" spans="4:22" ht="20.100000000000001" customHeight="1" x14ac:dyDescent="0.25">
      <c r="D131" s="55" t="str">
        <f>'Input - Dairy'!$D$67</f>
        <v>Feed pad</v>
      </c>
      <c r="E131" s="55" t="str">
        <f>'Input - Dairy'!$D$105</f>
        <v>Anaerobic lagoon</v>
      </c>
      <c r="F131" s="55">
        <f>'Input - Dairy'!L105</f>
        <v>0.25</v>
      </c>
      <c r="G131" s="2"/>
    </row>
    <row r="132" spans="4:22" ht="20.100000000000001" customHeight="1" x14ac:dyDescent="0.25">
      <c r="D132" s="55" t="str">
        <f>'Input - Dairy'!$D$67</f>
        <v>Feed pad</v>
      </c>
      <c r="E132" s="55" t="str">
        <f>'Input - Dairy'!$D$110</f>
        <v>Sump and dispersal system</v>
      </c>
      <c r="F132" s="55">
        <f>'Input - Dairy'!L110</f>
        <v>0.25</v>
      </c>
      <c r="G132" s="2"/>
    </row>
    <row r="133" spans="4:22" ht="20.100000000000001" customHeight="1" x14ac:dyDescent="0.25">
      <c r="D133" s="55" t="str">
        <f>'Input - Dairy'!$D$67</f>
        <v>Feed pad</v>
      </c>
      <c r="E133" s="55" t="str">
        <f>'Input - Dairy'!$D$115</f>
        <v>Drains to paddock</v>
      </c>
      <c r="F133" s="55">
        <f>'Input - Dairy'!L115</f>
        <v>0.25</v>
      </c>
      <c r="G133" s="2"/>
    </row>
    <row r="134" spans="4:22" ht="20.100000000000001" customHeight="1" x14ac:dyDescent="0.25">
      <c r="D134" s="55" t="str">
        <f>'Input - Dairy'!$D$67</f>
        <v>Feed pad</v>
      </c>
      <c r="E134" s="55" t="s">
        <v>405</v>
      </c>
      <c r="F134" s="55">
        <f>'Input - Dairy'!L120</f>
        <v>0.25</v>
      </c>
      <c r="G134" s="2"/>
    </row>
    <row r="135" spans="4:22" ht="20.100000000000001" customHeight="1" x14ac:dyDescent="0.25"/>
    <row r="136" spans="4:22" ht="20.100000000000001" customHeight="1" x14ac:dyDescent="0.25">
      <c r="D136" s="104" t="s">
        <v>134</v>
      </c>
      <c r="O136" s="104" t="s">
        <v>135</v>
      </c>
    </row>
    <row r="137" spans="4:22" ht="20.100000000000001" customHeight="1" x14ac:dyDescent="0.25">
      <c r="D137" s="103" t="s">
        <v>137</v>
      </c>
      <c r="O137" s="103" t="s">
        <v>136</v>
      </c>
    </row>
    <row r="138" spans="4:22" ht="20.100000000000001" customHeight="1" x14ac:dyDescent="0.25">
      <c r="D138" s="54" t="s">
        <v>146</v>
      </c>
      <c r="E138" s="54" t="s">
        <v>68</v>
      </c>
      <c r="F138" s="54" t="s">
        <v>171</v>
      </c>
      <c r="G138" s="54" t="s">
        <v>188</v>
      </c>
      <c r="H138" s="54" t="s">
        <v>189</v>
      </c>
      <c r="I138" s="54" t="s">
        <v>190</v>
      </c>
      <c r="J138" s="54" t="s">
        <v>191</v>
      </c>
      <c r="O138" s="54" t="s">
        <v>146</v>
      </c>
      <c r="P138" s="54" t="s">
        <v>68</v>
      </c>
      <c r="Q138" s="54" t="s">
        <v>171</v>
      </c>
      <c r="R138" s="54" t="s">
        <v>188</v>
      </c>
      <c r="S138" s="54" t="s">
        <v>189</v>
      </c>
      <c r="T138" s="54" t="s">
        <v>190</v>
      </c>
      <c r="U138" s="54" t="s">
        <v>191</v>
      </c>
    </row>
    <row r="139" spans="4:22" ht="20.100000000000001" customHeight="1" x14ac:dyDescent="0.25">
      <c r="D139" s="55" t="str">
        <f>'Input - Dairy'!$D$66</f>
        <v>Milking shed</v>
      </c>
      <c r="E139" s="55" t="str">
        <f>'Input - Dairy'!$D$81</f>
        <v>Anaerobic lagoon</v>
      </c>
      <c r="F139" s="55" cm="1">
        <f t="array" ref="F139">MMS_Dairy_ManureAppliedToSoils_Equations.VEERG_4_3_1_8__1_MassOfNitrogenAppliedToSoilsScope1(F40,_xlfn.XLOOKUP($E139,$D$22:$D$26,$E$22:$E$26),_xlfn.XLOOKUP($E139,$D$31:$D$35,$E$31:$E$35),F52,$F127)</f>
        <v>98.833906756456031</v>
      </c>
      <c r="G139" s="55" cm="1">
        <f t="array" ref="G139">MMS_Dairy_ManureAppliedToSoils_Equations.VEERG_4_3_1_8__1_MassOfNitrogenAppliedToSoilsScope1(G40,_xlfn.XLOOKUP($E139,$D$22:$D$26,$E$22:$E$26),_xlfn.XLOOKUP($E139,$D$31:$D$35,$E$31:$E$35),G52,$F127)</f>
        <v>37.041448981432346</v>
      </c>
      <c r="H139" s="55" cm="1">
        <f t="array" ref="H139">MMS_Dairy_ManureAppliedToSoils_Equations.VEERG_4_3_1_8__1_MassOfNitrogenAppliedToSoilsScope1(H40,_xlfn.XLOOKUP($E139,$D$22:$D$26,$E$22:$E$26),_xlfn.XLOOKUP($E139,$D$31:$D$35,$E$31:$E$35),H52,$F127)</f>
        <v>14.753217400155696</v>
      </c>
      <c r="I139" s="55" cm="1">
        <f t="array" ref="I139">MMS_Dairy_ManureAppliedToSoils_Equations.VEERG_4_3_1_8__1_MassOfNitrogenAppliedToSoilsScope1(I40,_xlfn.XLOOKUP($E139,$D$22:$D$26,$E$22:$E$26),_xlfn.XLOOKUP($E139,$D$31:$D$35,$E$31:$E$35),I52,$F127)</f>
        <v>46.562566322160777</v>
      </c>
      <c r="J139" s="55" cm="1">
        <f t="array" ref="J139">MMS_Dairy_ManureAppliedToSoils_Equations.VEERG_4_3_1_8__1_MassOfNitrogenAppliedToSoilsScope1(J40,_xlfn.XLOOKUP($E139,$D$22:$D$26,$E$22:$E$26),_xlfn.XLOOKUP($E139,$D$31:$D$35,$E$31:$E$35),J52,$F127)</f>
        <v>19.492455344183128</v>
      </c>
      <c r="K139" s="2" t="str">
        <f t="shared" ref="K139:K146" si="4">$E$95</f>
        <v>kg N</v>
      </c>
      <c r="O139" s="55" t="str">
        <f>'Input - Dairy'!$D$66</f>
        <v>Milking shed</v>
      </c>
      <c r="P139" s="55" t="str">
        <f>'Input - Dairy'!$D$81</f>
        <v>Anaerobic lagoon</v>
      </c>
      <c r="Q139" s="55" cm="1">
        <f t="array" ref="Q139">MMS_Dairy_ManureAppliedToSoils_Equations.VEERG_4_3_1_8__1_MassOfNitrogenAppliedToSoilsScope1(Q40,_xlfn.XLOOKUP($P139,$D$22:$D$26,$E$22:$E$26),_xlfn.XLOOKUP($P139,$D$31:$D$35,$E$31:$E$35),Q52,$F127)</f>
        <v>98.833906756456031</v>
      </c>
      <c r="R139" s="55" cm="1">
        <f t="array" ref="R139">MMS_Dairy_ManureAppliedToSoils_Equations.VEERG_4_3_1_8__1_MassOfNitrogenAppliedToSoilsScope1(R40,_xlfn.XLOOKUP($P139,$D$22:$D$26,$E$22:$E$26),_xlfn.XLOOKUP($P139,$D$31:$D$35,$E$31:$E$35),R52,$F127)</f>
        <v>37.041448981432346</v>
      </c>
      <c r="S139" s="55" cm="1">
        <f t="array" ref="S139">MMS_Dairy_ManureAppliedToSoils_Equations.VEERG_4_3_1_8__1_MassOfNitrogenAppliedToSoilsScope1(S40,_xlfn.XLOOKUP($P139,$D$22:$D$26,$E$22:$E$26),_xlfn.XLOOKUP($P139,$D$31:$D$35,$E$31:$E$35),S52,$F127)</f>
        <v>14.753217400155696</v>
      </c>
      <c r="T139" s="55" cm="1">
        <f t="array" ref="T139">MMS_Dairy_ManureAppliedToSoils_Equations.VEERG_4_3_1_8__1_MassOfNitrogenAppliedToSoilsScope1(T40,_xlfn.XLOOKUP($P139,$D$22:$D$26,$E$22:$E$26),_xlfn.XLOOKUP($P139,$D$31:$D$35,$E$31:$E$35),T52,$F127)</f>
        <v>46.562566322160777</v>
      </c>
      <c r="U139" s="55" cm="1">
        <f t="array" ref="U139">MMS_Dairy_ManureAppliedToSoils_Equations.VEERG_4_3_1_8__1_MassOfNitrogenAppliedToSoilsScope1(U40,_xlfn.XLOOKUP($P139,$D$22:$D$26,$E$22:$E$26),_xlfn.XLOOKUP($P139,$D$31:$D$35,$E$31:$E$35),U52,$F127)</f>
        <v>19.492455344183128</v>
      </c>
      <c r="V139" s="2" t="str">
        <f t="shared" ref="V139" si="5">$E$95</f>
        <v>kg N</v>
      </c>
    </row>
    <row r="140" spans="4:22" ht="20.100000000000001" customHeight="1" x14ac:dyDescent="0.25">
      <c r="D140" s="55" t="str">
        <f>'Input - Dairy'!$D$66</f>
        <v>Milking shed</v>
      </c>
      <c r="E140" s="55" t="str">
        <f>'Input - Dairy'!$D$86</f>
        <v>Sump and dispersal system</v>
      </c>
      <c r="F140" s="55" cm="1">
        <f t="array" ref="F140">MMS_Dairy_ManureAppliedToSoils_Equations.VEERG_4_3_1_8__1_MassOfNitrogenAppliedToSoilsScope1(F41,_xlfn.XLOOKUP($E140,$D$22:$D$26,$E$22:$E$26),_xlfn.XLOOKUP($E140,$D$31:$D$35,$E$31:$E$35),F53,$F128)</f>
        <v>113.12681019508199</v>
      </c>
      <c r="G140" s="55" cm="1">
        <f t="array" ref="G140">MMS_Dairy_ManureAppliedToSoils_Equations.VEERG_4_3_1_8__1_MassOfNitrogenAppliedToSoilsScope1(G41,_xlfn.XLOOKUP($E140,$D$22:$D$26,$E$22:$E$26),_xlfn.XLOOKUP($E140,$D$31:$D$35,$E$31:$E$35),G53,$F128)</f>
        <v>42.398212372593328</v>
      </c>
      <c r="H140" s="55" cm="1">
        <f t="array" ref="H140">MMS_Dairy_ManureAppliedToSoils_Equations.VEERG_4_3_1_8__1_MassOfNitrogenAppliedToSoilsScope1(H41,_xlfn.XLOOKUP($E140,$D$22:$D$26,$E$22:$E$26),_xlfn.XLOOKUP($E140,$D$31:$D$35,$E$31:$E$35),H53,$F128)</f>
        <v>16.886759608793596</v>
      </c>
      <c r="I140" s="55" cm="1">
        <f t="array" ref="I140">MMS_Dairy_ManureAppliedToSoils_Equations.VEERG_4_3_1_8__1_MassOfNitrogenAppliedToSoilsScope1(I41,_xlfn.XLOOKUP($E140,$D$22:$D$26,$E$22:$E$26),_xlfn.XLOOKUP($E140,$D$31:$D$35,$E$31:$E$35),I53,$F128)</f>
        <v>53.296229759519406</v>
      </c>
      <c r="J140" s="55" cm="1">
        <f t="array" ref="J140">MMS_Dairy_ManureAppliedToSoils_Equations.VEERG_4_3_1_8__1_MassOfNitrogenAppliedToSoilsScope1(J41,_xlfn.XLOOKUP($E140,$D$22:$D$26,$E$22:$E$26),_xlfn.XLOOKUP($E140,$D$31:$D$35,$E$31:$E$35),J53,$F128)</f>
        <v>22.311364270880382</v>
      </c>
      <c r="K140" s="2" t="str">
        <f t="shared" si="4"/>
        <v>kg N</v>
      </c>
      <c r="O140" s="55" t="str">
        <f>'Input - Dairy'!$D$66</f>
        <v>Milking shed</v>
      </c>
      <c r="P140" s="55" t="str">
        <f>'Input - Dairy'!$D$86</f>
        <v>Sump and dispersal system</v>
      </c>
      <c r="Q140" s="55" cm="1">
        <f t="array" ref="Q140">MMS_Dairy_ManureAppliedToSoils_Equations.VEERG_4_3_1_8__1_MassOfNitrogenAppliedToSoilsScope1(Q41,_xlfn.XLOOKUP($P140,$D$22:$D$26,$E$22:$E$26),_xlfn.XLOOKUP($P140,$D$31:$D$35,$E$31:$E$35),Q53,$F128)</f>
        <v>113.12681019508199</v>
      </c>
      <c r="R140" s="55" cm="1">
        <f t="array" ref="R140">MMS_Dairy_ManureAppliedToSoils_Equations.VEERG_4_3_1_8__1_MassOfNitrogenAppliedToSoilsScope1(R41,_xlfn.XLOOKUP($P140,$D$22:$D$26,$E$22:$E$26),_xlfn.XLOOKUP($P140,$D$31:$D$35,$E$31:$E$35),R53,$F128)</f>
        <v>42.398212372593328</v>
      </c>
      <c r="S140" s="55" cm="1">
        <f t="array" ref="S140">MMS_Dairy_ManureAppliedToSoils_Equations.VEERG_4_3_1_8__1_MassOfNitrogenAppliedToSoilsScope1(S41,_xlfn.XLOOKUP($P140,$D$22:$D$26,$E$22:$E$26),_xlfn.XLOOKUP($P140,$D$31:$D$35,$E$31:$E$35),S53,$F128)</f>
        <v>16.886759608793596</v>
      </c>
      <c r="T140" s="55" cm="1">
        <f t="array" ref="T140">MMS_Dairy_ManureAppliedToSoils_Equations.VEERG_4_3_1_8__1_MassOfNitrogenAppliedToSoilsScope1(T41,_xlfn.XLOOKUP($P140,$D$22:$D$26,$E$22:$E$26),_xlfn.XLOOKUP($P140,$D$31:$D$35,$E$31:$E$35),T53,$F128)</f>
        <v>53.296229759519406</v>
      </c>
      <c r="U140" s="55" cm="1">
        <f t="array" ref="U140">MMS_Dairy_ManureAppliedToSoils_Equations.VEERG_4_3_1_8__1_MassOfNitrogenAppliedToSoilsScope1(U41,_xlfn.XLOOKUP($P140,$D$22:$D$26,$E$22:$E$26),_xlfn.XLOOKUP($P140,$D$31:$D$35,$E$31:$E$35),U53,$F128)</f>
        <v>22.311364270880382</v>
      </c>
      <c r="V140" s="2"/>
    </row>
    <row r="141" spans="4:22" ht="20.100000000000001" customHeight="1" x14ac:dyDescent="0.25">
      <c r="D141" s="55" t="str">
        <f>'Input - Dairy'!$D$66</f>
        <v>Milking shed</v>
      </c>
      <c r="E141" s="55" t="str">
        <f>'Input - Dairy'!$D$91</f>
        <v>Drains to paddock</v>
      </c>
      <c r="F141" s="55" cm="1">
        <f t="array" ref="F141">MMS_Dairy_ManureAppliedToSoils_Equations.VEERG_4_3_1_8__1_MassOfNitrogenAppliedToSoilsScope1(F42,_xlfn.XLOOKUP($E141,$D$22:$D$26,$E$22:$E$26),_xlfn.XLOOKUP($E141,$D$31:$D$35,$E$31:$E$35),F54,$F129)</f>
        <v>97.313385114049026</v>
      </c>
      <c r="G141" s="55" cm="1">
        <f t="array" ref="G141">MMS_Dairy_ManureAppliedToSoils_Equations.VEERG_4_3_1_8__1_MassOfNitrogenAppliedToSoilsScope1(G42,_xlfn.XLOOKUP($E141,$D$22:$D$26,$E$22:$E$26),_xlfn.XLOOKUP($E141,$D$31:$D$35,$E$31:$E$35),G54,$F129)</f>
        <v>36.471580535564158</v>
      </c>
      <c r="H141" s="55" cm="1">
        <f t="array" ref="H141">MMS_Dairy_ManureAppliedToSoils_Equations.VEERG_4_3_1_8__1_MassOfNitrogenAppliedToSoilsScope1(H42,_xlfn.XLOOKUP($E141,$D$22:$D$26,$E$22:$E$26),_xlfn.XLOOKUP($E141,$D$31:$D$35,$E$31:$E$35),H54,$F129)</f>
        <v>14.526244824768686</v>
      </c>
      <c r="I141" s="55" cm="1">
        <f t="array" ref="I141">MMS_Dairy_ManureAppliedToSoils_Equations.VEERG_4_3_1_8__1_MassOfNitrogenAppliedToSoilsScope1(I42,_xlfn.XLOOKUP($E141,$D$22:$D$26,$E$22:$E$26),_xlfn.XLOOKUP($E141,$D$31:$D$35,$E$31:$E$35),I54,$F129)</f>
        <v>45.846219147973692</v>
      </c>
      <c r="J141" s="55" cm="1">
        <f t="array" ref="J141">MMS_Dairy_ManureAppliedToSoils_Equations.VEERG_4_3_1_8__1_MassOfNitrogenAppliedToSoilsScope1(J42,_xlfn.XLOOKUP($E141,$D$22:$D$26,$E$22:$E$26),_xlfn.XLOOKUP($E141,$D$31:$D$35,$E$31:$E$35),J54,$F129)</f>
        <v>19.192571415811084</v>
      </c>
      <c r="K141" s="2" t="str">
        <f t="shared" si="4"/>
        <v>kg N</v>
      </c>
      <c r="O141" s="55" t="str">
        <f>'Input - Dairy'!$D$66</f>
        <v>Milking shed</v>
      </c>
      <c r="P141" s="55" t="str">
        <f>'Input - Dairy'!$D$91</f>
        <v>Drains to paddock</v>
      </c>
      <c r="Q141" s="55" cm="1">
        <f t="array" ref="Q141">MMS_Dairy_ManureAppliedToSoils_Equations.VEERG_4_3_1_8__1_MassOfNitrogenAppliedToSoilsScope1(Q42,_xlfn.XLOOKUP($P141,$D$22:$D$26,$E$22:$E$26),_xlfn.XLOOKUP($P141,$D$31:$D$35,$E$31:$E$35),Q54,$F129)</f>
        <v>97.313385114049026</v>
      </c>
      <c r="R141" s="55" cm="1">
        <f t="array" ref="R141">MMS_Dairy_ManureAppliedToSoils_Equations.VEERG_4_3_1_8__1_MassOfNitrogenAppliedToSoilsScope1(R42,_xlfn.XLOOKUP($P141,$D$22:$D$26,$E$22:$E$26),_xlfn.XLOOKUP($P141,$D$31:$D$35,$E$31:$E$35),R54,$F129)</f>
        <v>36.471580535564158</v>
      </c>
      <c r="S141" s="55" cm="1">
        <f t="array" ref="S141">MMS_Dairy_ManureAppliedToSoils_Equations.VEERG_4_3_1_8__1_MassOfNitrogenAppliedToSoilsScope1(S42,_xlfn.XLOOKUP($P141,$D$22:$D$26,$E$22:$E$26),_xlfn.XLOOKUP($P141,$D$31:$D$35,$E$31:$E$35),S54,$F129)</f>
        <v>14.526244824768686</v>
      </c>
      <c r="T141" s="55" cm="1">
        <f t="array" ref="T141">MMS_Dairy_ManureAppliedToSoils_Equations.VEERG_4_3_1_8__1_MassOfNitrogenAppliedToSoilsScope1(T42,_xlfn.XLOOKUP($P141,$D$22:$D$26,$E$22:$E$26),_xlfn.XLOOKUP($P141,$D$31:$D$35,$E$31:$E$35),T54,$F129)</f>
        <v>45.846219147973692</v>
      </c>
      <c r="U141" s="55" cm="1">
        <f t="array" ref="U141">MMS_Dairy_ManureAppliedToSoils_Equations.VEERG_4_3_1_8__1_MassOfNitrogenAppliedToSoilsScope1(U42,_xlfn.XLOOKUP($P141,$D$22:$D$26,$E$22:$E$26),_xlfn.XLOOKUP($P141,$D$31:$D$35,$E$31:$E$35),U54,$F129)</f>
        <v>19.192571415811084</v>
      </c>
      <c r="V141" s="2"/>
    </row>
    <row r="142" spans="4:22" ht="20.100000000000001" customHeight="1" x14ac:dyDescent="0.25">
      <c r="D142" s="55" t="str">
        <f>'Input - Dairy'!$D$66</f>
        <v>Milking shed</v>
      </c>
      <c r="E142" s="55" t="s">
        <v>405</v>
      </c>
      <c r="F142" s="55" cm="1">
        <f t="array" ref="F142">MMS_Dairy_ManureAppliedToSoils_Equations.VEERG_4_3_1_8__1_MassOfNitrogenAppliedToSoilsScope1(F43,_xlfn.XLOOKUP($E142,$D$22:$D$26,$E$22:$E$26),_xlfn.XLOOKUP($E142,$D$31:$D$35,$E$31:$E$35),F55,$F130)</f>
        <v>143.689295207463</v>
      </c>
      <c r="G142" s="55" cm="1">
        <f t="array" ref="G142">MMS_Dairy_ManureAppliedToSoils_Equations.VEERG_4_3_1_8__1_MassOfNitrogenAppliedToSoilsScope1(G43,_xlfn.XLOOKUP($E142,$D$22:$D$26,$E$22:$E$26),_xlfn.XLOOKUP($E142,$D$31:$D$35,$E$31:$E$35),G55,$F130)</f>
        <v>53.852568134543951</v>
      </c>
      <c r="H142" s="55" cm="1">
        <f t="array" ref="H142">MMS_Dairy_ManureAppliedToSoils_Equations.VEERG_4_3_1_8__1_MassOfNitrogenAppliedToSoilsScope1(H43,_xlfn.XLOOKUP($E142,$D$22:$D$26,$E$22:$E$26),_xlfn.XLOOKUP($E142,$D$31:$D$35,$E$31:$E$35),H55,$F130)</f>
        <v>21.448908374072509</v>
      </c>
      <c r="I142" s="55" cm="1">
        <f t="array" ref="I142">MMS_Dairy_ManureAppliedToSoils_Equations.VEERG_4_3_1_8__1_MassOfNitrogenAppliedToSoilsScope1(I43,_xlfn.XLOOKUP($E142,$D$22:$D$26,$E$22:$E$26),_xlfn.XLOOKUP($E142,$D$31:$D$35,$E$31:$E$35),I55,$F130)</f>
        <v>67.694807960679896</v>
      </c>
      <c r="J142" s="55" cm="1">
        <f t="array" ref="J142">MMS_Dairy_ManureAppliedToSoils_Equations.VEERG_4_3_1_8__1_MassOfNitrogenAppliedToSoilsScope1(J43,_xlfn.XLOOKUP($E142,$D$22:$D$26,$E$22:$E$26),_xlfn.XLOOKUP($E142,$D$31:$D$35,$E$31:$E$35),J55,$F130)</f>
        <v>28.33903123115855</v>
      </c>
      <c r="K142" s="2" t="str">
        <f t="shared" si="4"/>
        <v>kg N</v>
      </c>
      <c r="O142" s="55" t="str">
        <f>'Input - Dairy'!$D$66</f>
        <v>Milking shed</v>
      </c>
      <c r="P142" s="55" t="s">
        <v>405</v>
      </c>
      <c r="Q142" s="55" cm="1">
        <f t="array" ref="Q142">MMS_Dairy_ManureAppliedToSoils_Equations.VEERG_4_3_1_8__1_MassOfNitrogenAppliedToSoilsScope1(Q43,_xlfn.XLOOKUP($P142,$D$22:$D$26,$E$22:$E$26),_xlfn.XLOOKUP($P142,$D$31:$D$35,$E$31:$E$35),Q55,$F130)</f>
        <v>143.689295207463</v>
      </c>
      <c r="R142" s="55" cm="1">
        <f t="array" ref="R142">MMS_Dairy_ManureAppliedToSoils_Equations.VEERG_4_3_1_8__1_MassOfNitrogenAppliedToSoilsScope1(R43,_xlfn.XLOOKUP($P142,$D$22:$D$26,$E$22:$E$26),_xlfn.XLOOKUP($P142,$D$31:$D$35,$E$31:$E$35),R55,$F130)</f>
        <v>53.852568134543951</v>
      </c>
      <c r="S142" s="55" cm="1">
        <f t="array" ref="S142">MMS_Dairy_ManureAppliedToSoils_Equations.VEERG_4_3_1_8__1_MassOfNitrogenAppliedToSoilsScope1(S43,_xlfn.XLOOKUP($P142,$D$22:$D$26,$E$22:$E$26),_xlfn.XLOOKUP($P142,$D$31:$D$35,$E$31:$E$35),S55,$F130)</f>
        <v>21.448908374072509</v>
      </c>
      <c r="T142" s="55" cm="1">
        <f t="array" ref="T142">MMS_Dairy_ManureAppliedToSoils_Equations.VEERG_4_3_1_8__1_MassOfNitrogenAppliedToSoilsScope1(T43,_xlfn.XLOOKUP($P142,$D$22:$D$26,$E$22:$E$26),_xlfn.XLOOKUP($P142,$D$31:$D$35,$E$31:$E$35),T55,$F130)</f>
        <v>67.694807960679896</v>
      </c>
      <c r="U142" s="55" cm="1">
        <f t="array" ref="U142">MMS_Dairy_ManureAppliedToSoils_Equations.VEERG_4_3_1_8__1_MassOfNitrogenAppliedToSoilsScope1(U43,_xlfn.XLOOKUP($P142,$D$22:$D$26,$E$22:$E$26),_xlfn.XLOOKUP($P142,$D$31:$D$35,$E$31:$E$35),U55,$F130)</f>
        <v>28.33903123115855</v>
      </c>
      <c r="V142" s="2"/>
    </row>
    <row r="143" spans="4:22" ht="20.100000000000001" customHeight="1" x14ac:dyDescent="0.25">
      <c r="D143" s="55" t="str">
        <f>'Input - Dairy'!$D$67</f>
        <v>Feed pad</v>
      </c>
      <c r="E143" s="55" t="str">
        <f>'Input - Dairy'!$D$105</f>
        <v>Anaerobic lagoon</v>
      </c>
      <c r="F143" s="55" cm="1">
        <f t="array" ref="F143">MMS_Dairy_ManureAppliedToSoils_Equations.VEERG_4_3_1_8__1_MassOfNitrogenAppliedToSoilsScope1(F44,_xlfn.XLOOKUP($E143,$D$22:$D$26,$E$22:$E$26),_xlfn.XLOOKUP($E143,$D$31:$D$35,$E$31:$E$35),F56,$F131)</f>
        <v>255.88996949307889</v>
      </c>
      <c r="G143" s="55" cm="1">
        <f t="array" ref="G143">MMS_Dairy_ManureAppliedToSoils_Equations.VEERG_4_3_1_8__1_MassOfNitrogenAppliedToSoilsScope1(G44,_xlfn.XLOOKUP($E143,$D$22:$D$26,$E$22:$E$26),_xlfn.XLOOKUP($E143,$D$31:$D$35,$E$31:$E$35),G56,$F131)</f>
        <v>95.903678817381206</v>
      </c>
      <c r="H143" s="55" cm="1">
        <f t="array" ref="H143">MMS_Dairy_ManureAppliedToSoils_Equations.VEERG_4_3_1_8__1_MassOfNitrogenAppliedToSoilsScope1(H44,_xlfn.XLOOKUP($E143,$D$22:$D$26,$E$22:$E$26),_xlfn.XLOOKUP($E143,$D$31:$D$35,$E$31:$E$35),H56,$F131)</f>
        <v>38.197421050584929</v>
      </c>
      <c r="I143" s="55" cm="1">
        <f t="array" ref="I143">MMS_Dairy_ManureAppliedToSoils_Equations.VEERG_4_3_1_8__1_MassOfNitrogenAppliedToSoilsScope1(I44,_xlfn.XLOOKUP($E143,$D$22:$D$26,$E$22:$E$26),_xlfn.XLOOKUP($E143,$D$31:$D$35,$E$31:$E$35),I56,$F131)</f>
        <v>120.55471716864899</v>
      </c>
      <c r="J143" s="55" cm="1">
        <f t="array" ref="J143">MMS_Dairy_ManureAppliedToSoils_Equations.VEERG_4_3_1_8__1_MassOfNitrogenAppliedToSoilsScope1(J44,_xlfn.XLOOKUP($E143,$D$22:$D$26,$E$22:$E$26),_xlfn.XLOOKUP($E143,$D$31:$D$35,$E$31:$E$35),J56,$F131)</f>
        <v>50.467738927485044</v>
      </c>
      <c r="K143" s="2" t="str">
        <f t="shared" si="4"/>
        <v>kg N</v>
      </c>
      <c r="O143" s="55" t="str">
        <f>'Input - Dairy'!$D$67</f>
        <v>Feed pad</v>
      </c>
      <c r="P143" s="55" t="str">
        <f>'Input - Dairy'!$D$105</f>
        <v>Anaerobic lagoon</v>
      </c>
      <c r="Q143" s="55" cm="1">
        <f t="array" ref="Q143">MMS_Dairy_ManureAppliedToSoils_Equations.VEERG_4_3_1_8__1_MassOfNitrogenAppliedToSoilsScope1(Q44,_xlfn.XLOOKUP($P143,$D$22:$D$26,$E$22:$E$26),_xlfn.XLOOKUP($P143,$D$31:$D$35,$E$31:$E$35),Q56,$F131)</f>
        <v>255.88996949307889</v>
      </c>
      <c r="R143" s="55" cm="1">
        <f t="array" ref="R143">MMS_Dairy_ManureAppliedToSoils_Equations.VEERG_4_3_1_8__1_MassOfNitrogenAppliedToSoilsScope1(R44,_xlfn.XLOOKUP($P143,$D$22:$D$26,$E$22:$E$26),_xlfn.XLOOKUP($P143,$D$31:$D$35,$E$31:$E$35),R56,$F131)</f>
        <v>95.903678817381206</v>
      </c>
      <c r="S143" s="55" cm="1">
        <f t="array" ref="S143">MMS_Dairy_ManureAppliedToSoils_Equations.VEERG_4_3_1_8__1_MassOfNitrogenAppliedToSoilsScope1(S44,_xlfn.XLOOKUP($P143,$D$22:$D$26,$E$22:$E$26),_xlfn.XLOOKUP($P143,$D$31:$D$35,$E$31:$E$35),S56,$F131)</f>
        <v>38.197421050584929</v>
      </c>
      <c r="T143" s="55" cm="1">
        <f t="array" ref="T143">MMS_Dairy_ManureAppliedToSoils_Equations.VEERG_4_3_1_8__1_MassOfNitrogenAppliedToSoilsScope1(T44,_xlfn.XLOOKUP($P143,$D$22:$D$26,$E$22:$E$26),_xlfn.XLOOKUP($P143,$D$31:$D$35,$E$31:$E$35),T56,$F131)</f>
        <v>120.55471716864899</v>
      </c>
      <c r="U143" s="55" cm="1">
        <f t="array" ref="U143">MMS_Dairy_ManureAppliedToSoils_Equations.VEERG_4_3_1_8__1_MassOfNitrogenAppliedToSoilsScope1(U44,_xlfn.XLOOKUP($P143,$D$22:$D$26,$E$22:$E$26),_xlfn.XLOOKUP($P143,$D$31:$D$35,$E$31:$E$35),U56,$F131)</f>
        <v>50.467738927485044</v>
      </c>
      <c r="V143" s="2"/>
    </row>
    <row r="144" spans="4:22" ht="20.100000000000001" customHeight="1" x14ac:dyDescent="0.25">
      <c r="D144" s="55" t="str">
        <f>'Input - Dairy'!$D$67</f>
        <v>Feed pad</v>
      </c>
      <c r="E144" s="55" t="str">
        <f>'Input - Dairy'!$D$110</f>
        <v>Sump and dispersal system</v>
      </c>
      <c r="F144" s="55" cm="1">
        <f t="array" ref="F144">MMS_Dairy_ManureAppliedToSoils_Equations.VEERG_4_3_1_8__1_MassOfNitrogenAppliedToSoilsScope1(F45,_xlfn.XLOOKUP($E144,$D$22:$D$26,$E$22:$E$26),_xlfn.XLOOKUP($E144,$D$31:$D$35,$E$31:$E$35),F57,$F132)</f>
        <v>366.11949481317436</v>
      </c>
      <c r="G144" s="55" cm="1">
        <f t="array" ref="G144">MMS_Dairy_ManureAppliedToSoils_Equations.VEERG_4_3_1_8__1_MassOfNitrogenAppliedToSoilsScope1(G45,_xlfn.XLOOKUP($E144,$D$22:$D$26,$E$22:$E$26),_xlfn.XLOOKUP($E144,$D$31:$D$35,$E$31:$E$35),G57,$F132)</f>
        <v>137.21603276948386</v>
      </c>
      <c r="H144" s="55" cm="1">
        <f t="array" ref="H144">MMS_Dairy_ManureAppliedToSoils_Equations.VEERG_4_3_1_8__1_MassOfNitrogenAppliedToSoilsScope1(H45,_xlfn.XLOOKUP($E144,$D$22:$D$26,$E$22:$E$26),_xlfn.XLOOKUP($E144,$D$31:$D$35,$E$31:$E$35),H57,$F132)</f>
        <v>54.651694733913814</v>
      </c>
      <c r="I144" s="55" cm="1">
        <f t="array" ref="I144">MMS_Dairy_ManureAppliedToSoils_Equations.VEERG_4_3_1_8__1_MassOfNitrogenAppliedToSoilsScope1(I45,_xlfn.XLOOKUP($E144,$D$22:$D$26,$E$22:$E$26),_xlfn.XLOOKUP($E144,$D$31:$D$35,$E$31:$E$35),I57,$F132)</f>
        <v>172.48597994899006</v>
      </c>
      <c r="J144" s="55" cm="1">
        <f t="array" ref="J144">MMS_Dairy_ManureAppliedToSoils_Equations.VEERG_4_3_1_8__1_MassOfNitrogenAppliedToSoilsScope1(J45,_xlfn.XLOOKUP($E144,$D$22:$D$26,$E$22:$E$26),_xlfn.XLOOKUP($E144,$D$31:$D$35,$E$31:$E$35),J57,$F132)</f>
        <v>72.207688003940135</v>
      </c>
      <c r="K144" s="2" t="str">
        <f t="shared" si="4"/>
        <v>kg N</v>
      </c>
      <c r="O144" s="55" t="str">
        <f>'Input - Dairy'!$D$67</f>
        <v>Feed pad</v>
      </c>
      <c r="P144" s="55" t="str">
        <f>'Input - Dairy'!$D$110</f>
        <v>Sump and dispersal system</v>
      </c>
      <c r="Q144" s="55" cm="1">
        <f t="array" ref="Q144">MMS_Dairy_ManureAppliedToSoils_Equations.VEERG_4_3_1_8__1_MassOfNitrogenAppliedToSoilsScope1(Q45,_xlfn.XLOOKUP($P144,$D$22:$D$26,$E$22:$E$26),_xlfn.XLOOKUP($P144,$D$31:$D$35,$E$31:$E$35),Q57,$F132)</f>
        <v>366.11949481317436</v>
      </c>
      <c r="R144" s="55" cm="1">
        <f t="array" ref="R144">MMS_Dairy_ManureAppliedToSoils_Equations.VEERG_4_3_1_8__1_MassOfNitrogenAppliedToSoilsScope1(R45,_xlfn.XLOOKUP($P144,$D$22:$D$26,$E$22:$E$26),_xlfn.XLOOKUP($P144,$D$31:$D$35,$E$31:$E$35),R57,$F132)</f>
        <v>137.21603276948386</v>
      </c>
      <c r="S144" s="55" cm="1">
        <f t="array" ref="S144">MMS_Dairy_ManureAppliedToSoils_Equations.VEERG_4_3_1_8__1_MassOfNitrogenAppliedToSoilsScope1(S45,_xlfn.XLOOKUP($P144,$D$22:$D$26,$E$22:$E$26),_xlfn.XLOOKUP($P144,$D$31:$D$35,$E$31:$E$35),S57,$F132)</f>
        <v>54.651694733913814</v>
      </c>
      <c r="T144" s="55" cm="1">
        <f t="array" ref="T144">MMS_Dairy_ManureAppliedToSoils_Equations.VEERG_4_3_1_8__1_MassOfNitrogenAppliedToSoilsScope1(T45,_xlfn.XLOOKUP($P144,$D$22:$D$26,$E$22:$E$26),_xlfn.XLOOKUP($P144,$D$31:$D$35,$E$31:$E$35),T57,$F132)</f>
        <v>172.48597994899006</v>
      </c>
      <c r="U144" s="55" cm="1">
        <f t="array" ref="U144">MMS_Dairy_ManureAppliedToSoils_Equations.VEERG_4_3_1_8__1_MassOfNitrogenAppliedToSoilsScope1(U45,_xlfn.XLOOKUP($P144,$D$22:$D$26,$E$22:$E$26),_xlfn.XLOOKUP($P144,$D$31:$D$35,$E$31:$E$35),U57,$F132)</f>
        <v>72.207688003940135</v>
      </c>
      <c r="V144" s="2"/>
    </row>
    <row r="145" spans="1:22" ht="20.100000000000001" customHeight="1" x14ac:dyDescent="0.25">
      <c r="D145" s="55" t="str">
        <f>'Input - Dairy'!$D$67</f>
        <v>Feed pad</v>
      </c>
      <c r="E145" s="55" t="str">
        <f>'Input - Dairy'!$D$115</f>
        <v>Drains to paddock</v>
      </c>
      <c r="F145" s="55" cm="1">
        <f t="array" ref="F145">MMS_Dairy_ManureAppliedToSoils_Equations.VEERG_4_3_1_8__1_MassOfNitrogenAppliedToSoilsScope1(F46,_xlfn.XLOOKUP($E145,$D$22:$D$26,$E$22:$E$26),_xlfn.XLOOKUP($E145,$D$31:$D$35,$E$31:$E$35),F58,$F133)</f>
        <v>314.94150091455867</v>
      </c>
      <c r="G145" s="55" cm="1">
        <f t="array" ref="G145">MMS_Dairy_ManureAppliedToSoils_Equations.VEERG_4_3_1_8__1_MassOfNitrogenAppliedToSoilsScope1(G46,_xlfn.XLOOKUP($E145,$D$22:$D$26,$E$22:$E$26),_xlfn.XLOOKUP($E145,$D$31:$D$35,$E$31:$E$35),G58,$F133)</f>
        <v>118.03529700600764</v>
      </c>
      <c r="H145" s="55" cm="1">
        <f t="array" ref="H145">MMS_Dairy_ManureAppliedToSoils_Equations.VEERG_4_3_1_8__1_MassOfNitrogenAppliedToSoilsScope1(H46,_xlfn.XLOOKUP($E145,$D$22:$D$26,$E$22:$E$26),_xlfn.XLOOKUP($E145,$D$31:$D$35,$E$31:$E$35),H58,$F133)</f>
        <v>47.012210523796831</v>
      </c>
      <c r="I145" s="55" cm="1">
        <f t="array" ref="I145">MMS_Dairy_ManureAppliedToSoils_Equations.VEERG_4_3_1_8__1_MassOfNitrogenAppliedToSoilsScope1(I46,_xlfn.XLOOKUP($E145,$D$22:$D$26,$E$22:$E$26),_xlfn.XLOOKUP($E145,$D$31:$D$35,$E$31:$E$35),I58,$F133)</f>
        <v>148.37503651526029</v>
      </c>
      <c r="J145" s="55" cm="1">
        <f t="array" ref="J145">MMS_Dairy_ManureAppliedToSoils_Equations.VEERG_4_3_1_8__1_MassOfNitrogenAppliedToSoilsScope1(J46,_xlfn.XLOOKUP($E145,$D$22:$D$26,$E$22:$E$26),_xlfn.XLOOKUP($E145,$D$31:$D$35,$E$31:$E$35),J58,$F133)</f>
        <v>62.114140218443133</v>
      </c>
      <c r="K145" s="2" t="str">
        <f t="shared" si="4"/>
        <v>kg N</v>
      </c>
      <c r="O145" s="55" t="str">
        <f>'Input - Dairy'!$D$67</f>
        <v>Feed pad</v>
      </c>
      <c r="P145" s="55" t="str">
        <f>'Input - Dairy'!$D$115</f>
        <v>Drains to paddock</v>
      </c>
      <c r="Q145" s="55" cm="1">
        <f t="array" ref="Q145">MMS_Dairy_ManureAppliedToSoils_Equations.VEERG_4_3_1_8__1_MassOfNitrogenAppliedToSoilsScope1(Q46,_xlfn.XLOOKUP($P145,$D$22:$D$26,$E$22:$E$26),_xlfn.XLOOKUP($P145,$D$31:$D$35,$E$31:$E$35),Q58,$F133)</f>
        <v>314.94150091455867</v>
      </c>
      <c r="R145" s="55" cm="1">
        <f t="array" ref="R145">MMS_Dairy_ManureAppliedToSoils_Equations.VEERG_4_3_1_8__1_MassOfNitrogenAppliedToSoilsScope1(R46,_xlfn.XLOOKUP($P145,$D$22:$D$26,$E$22:$E$26),_xlfn.XLOOKUP($P145,$D$31:$D$35,$E$31:$E$35),R58,$F133)</f>
        <v>118.03529700600764</v>
      </c>
      <c r="S145" s="55" cm="1">
        <f t="array" ref="S145">MMS_Dairy_ManureAppliedToSoils_Equations.VEERG_4_3_1_8__1_MassOfNitrogenAppliedToSoilsScope1(S46,_xlfn.XLOOKUP($P145,$D$22:$D$26,$E$22:$E$26),_xlfn.XLOOKUP($P145,$D$31:$D$35,$E$31:$E$35),S58,$F133)</f>
        <v>47.012210523796831</v>
      </c>
      <c r="T145" s="55" cm="1">
        <f t="array" ref="T145">MMS_Dairy_ManureAppliedToSoils_Equations.VEERG_4_3_1_8__1_MassOfNitrogenAppliedToSoilsScope1(T46,_xlfn.XLOOKUP($P145,$D$22:$D$26,$E$22:$E$26),_xlfn.XLOOKUP($P145,$D$31:$D$35,$E$31:$E$35),T58,$F133)</f>
        <v>148.37503651526029</v>
      </c>
      <c r="U145" s="55" cm="1">
        <f t="array" ref="U145">MMS_Dairy_ManureAppliedToSoils_Equations.VEERG_4_3_1_8__1_MassOfNitrogenAppliedToSoilsScope1(U46,_xlfn.XLOOKUP($P145,$D$22:$D$26,$E$22:$E$26),_xlfn.XLOOKUP($P145,$D$31:$D$35,$E$31:$E$35),U58,$F133)</f>
        <v>62.114140218443133</v>
      </c>
      <c r="V145" s="2"/>
    </row>
    <row r="146" spans="1:22" ht="20.100000000000001" customHeight="1" x14ac:dyDescent="0.25">
      <c r="D146" s="55" t="str">
        <f>'Input - Dairy'!$D$67</f>
        <v>Feed pad</v>
      </c>
      <c r="E146" s="55" t="s">
        <v>405</v>
      </c>
      <c r="F146" s="55" cm="1">
        <f t="array" ref="F146">MMS_Dairy_ManureAppliedToSoils_Equations.VEERG_4_3_1_8__1_MassOfNitrogenAppliedToSoilsScope1(F47,_xlfn.XLOOKUP($E146,$D$22:$D$26,$E$22:$E$26),_xlfn.XLOOKUP($E146,$D$31:$D$35,$E$31:$E$35),F59,$F134)</f>
        <v>531.4637827933177</v>
      </c>
      <c r="G146" s="55" cm="1">
        <f t="array" ref="G146">MMS_Dairy_ManureAppliedToSoils_Equations.VEERG_4_3_1_8__1_MassOfNitrogenAppliedToSoilsScope1(G47,_xlfn.XLOOKUP($E146,$D$22:$D$26,$E$22:$E$26),_xlfn.XLOOKUP($E146,$D$31:$D$35,$E$31:$E$35),G59,$F134)</f>
        <v>199.18456369763783</v>
      </c>
      <c r="H146" s="55" cm="1">
        <f t="array" ref="H146">MMS_Dairy_ManureAppliedToSoils_Equations.VEERG_4_3_1_8__1_MassOfNitrogenAppliedToSoilsScope1(H47,_xlfn.XLOOKUP($E146,$D$22:$D$26,$E$22:$E$26),_xlfn.XLOOKUP($E146,$D$31:$D$35,$E$31:$E$35),H59,$F134)</f>
        <v>79.333105258907153</v>
      </c>
      <c r="I146" s="55" cm="1">
        <f t="array" ref="I146">MMS_Dairy_ManureAppliedToSoils_Equations.VEERG_4_3_1_8__1_MassOfNitrogenAppliedToSoilsScope1(I47,_xlfn.XLOOKUP($E146,$D$22:$D$26,$E$22:$E$26),_xlfn.XLOOKUP($E146,$D$31:$D$35,$E$31:$E$35),I59,$F134)</f>
        <v>250.38287411950171</v>
      </c>
      <c r="J146" s="55" cm="1">
        <f t="array" ref="J146">MMS_Dairy_ManureAppliedToSoils_Equations.VEERG_4_3_1_8__1_MassOfNitrogenAppliedToSoilsScope1(J47,_xlfn.XLOOKUP($E146,$D$22:$D$26,$E$22:$E$26),_xlfn.XLOOKUP($E146,$D$31:$D$35,$E$31:$E$35),J59,$F134)</f>
        <v>104.81761161862276</v>
      </c>
      <c r="K146" s="2" t="str">
        <f t="shared" si="4"/>
        <v>kg N</v>
      </c>
      <c r="O146" s="55" t="str">
        <f>'Input - Dairy'!$D$67</f>
        <v>Feed pad</v>
      </c>
      <c r="P146" s="55" t="s">
        <v>405</v>
      </c>
      <c r="Q146" s="55" cm="1">
        <f t="array" ref="Q146">MMS_Dairy_ManureAppliedToSoils_Equations.VEERG_4_3_1_8__1_MassOfNitrogenAppliedToSoilsScope1(Q47,_xlfn.XLOOKUP($P146,$D$22:$D$26,$E$22:$E$26),_xlfn.XLOOKUP($P146,$D$31:$D$35,$E$31:$E$35),Q59,$F134)</f>
        <v>531.4637827933177</v>
      </c>
      <c r="R146" s="55" cm="1">
        <f t="array" ref="R146">MMS_Dairy_ManureAppliedToSoils_Equations.VEERG_4_3_1_8__1_MassOfNitrogenAppliedToSoilsScope1(R47,_xlfn.XLOOKUP($P146,$D$22:$D$26,$E$22:$E$26),_xlfn.XLOOKUP($P146,$D$31:$D$35,$E$31:$E$35),R59,$F134)</f>
        <v>199.18456369763783</v>
      </c>
      <c r="S146" s="55" cm="1">
        <f t="array" ref="S146">MMS_Dairy_ManureAppliedToSoils_Equations.VEERG_4_3_1_8__1_MassOfNitrogenAppliedToSoilsScope1(S47,_xlfn.XLOOKUP($P146,$D$22:$D$26,$E$22:$E$26),_xlfn.XLOOKUP($P146,$D$31:$D$35,$E$31:$E$35),S59,$F134)</f>
        <v>79.333105258907153</v>
      </c>
      <c r="T146" s="55" cm="1">
        <f t="array" ref="T146">MMS_Dairy_ManureAppliedToSoils_Equations.VEERG_4_3_1_8__1_MassOfNitrogenAppliedToSoilsScope1(T47,_xlfn.XLOOKUP($P146,$D$22:$D$26,$E$22:$E$26),_xlfn.XLOOKUP($P146,$D$31:$D$35,$E$31:$E$35),T59,$F134)</f>
        <v>250.38287411950171</v>
      </c>
      <c r="U146" s="55" cm="1">
        <f t="array" ref="U146">MMS_Dairy_ManureAppliedToSoils_Equations.VEERG_4_3_1_8__1_MassOfNitrogenAppliedToSoilsScope1(U47,_xlfn.XLOOKUP($P146,$D$22:$D$26,$E$22:$E$26),_xlfn.XLOOKUP($P146,$D$31:$D$35,$E$31:$E$35),U59,$F134)</f>
        <v>104.81761161862276</v>
      </c>
      <c r="V146" s="2"/>
    </row>
    <row r="147" spans="1:22" ht="20.100000000000001" customHeight="1" x14ac:dyDescent="0.25"/>
    <row r="148" spans="1:22" ht="20.100000000000001" customHeight="1" x14ac:dyDescent="0.25">
      <c r="A148" s="141" t="str">
        <f>HYPERLINK("#A1", "▲ Back to top")</f>
        <v>▲ Back to top</v>
      </c>
      <c r="D148" s="108" t="s">
        <v>138</v>
      </c>
      <c r="E148" s="109">
        <f>SUM(F139:J146)</f>
        <v>4212.4321213500762</v>
      </c>
      <c r="F148" s="110" t="str">
        <f>$E$95</f>
        <v>kg N</v>
      </c>
      <c r="O148" s="108" t="s">
        <v>138</v>
      </c>
      <c r="P148" s="109">
        <f>SUM(Q139:U146)</f>
        <v>4212.4321213500762</v>
      </c>
      <c r="Q148" s="110" t="str">
        <f>$E$95</f>
        <v>kg N</v>
      </c>
    </row>
    <row r="149" spans="1:22" ht="20.100000000000001" customHeight="1" x14ac:dyDescent="0.25"/>
    <row r="150" spans="1:22" ht="20.100000000000001" customHeight="1" x14ac:dyDescent="0.25"/>
    <row r="151" spans="1:22" ht="20.100000000000001" customHeight="1" x14ac:dyDescent="0.25"/>
    <row r="152" spans="1:22" ht="20.100000000000001" customHeight="1" x14ac:dyDescent="0.25"/>
    <row r="153" spans="1:22" ht="20.100000000000001" customHeight="1" x14ac:dyDescent="0.25"/>
    <row r="154" spans="1:22" ht="20.100000000000001" customHeight="1" x14ac:dyDescent="0.25"/>
    <row r="155" spans="1:22" ht="20.100000000000001" customHeight="1" x14ac:dyDescent="0.25"/>
    <row r="156" spans="1:22" ht="20.100000000000001" customHeight="1" x14ac:dyDescent="0.25"/>
    <row r="157" spans="1:22" ht="20.100000000000001" customHeight="1" x14ac:dyDescent="0.25"/>
    <row r="158" spans="1:22" ht="20.100000000000001" customHeight="1" x14ac:dyDescent="0.25"/>
    <row r="159" spans="1:22" ht="20.100000000000001" customHeight="1" x14ac:dyDescent="0.25"/>
    <row r="160" spans="1:22"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sheetData>
  <dataValidations count="1">
    <dataValidation operator="equal" allowBlank="1" showInputMessage="1" showErrorMessage="1" sqref="E25 E22 E34 E31 P76 P59 E64 E67 E76 P83 E106 E83 P106 E113 E175 E178 E187 E190 P187 P190 E127 P113 E139 E134 P139 E146 P47 E52 P52 E59 P40 E40 E47 E43 P43 E55 P55 P79 E79 E109 P109 E130 E142 P142 P146" xr:uid="{3CE1B7AD-39BD-4423-96DF-3D6853CFDB0B}"/>
  </dataValidation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3D4E5F-2570-481F-B379-68CEB1558D7A}">
  <dimension ref="A1:W165"/>
  <sheetViews>
    <sheetView showGridLines="0" topLeftCell="A22" workbookViewId="0">
      <selection activeCell="O17" sqref="O17"/>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style="59" customWidth="1"/>
    <col min="14" max="14" width="4.7109375" style="1" customWidth="1"/>
    <col min="15" max="22" width="30.7109375" style="1" customWidth="1"/>
    <col min="23" max="23" width="4.7109375" style="1" customWidth="1"/>
  </cols>
  <sheetData>
    <row r="1" spans="1:23" s="8" customFormat="1" ht="30" customHeight="1" x14ac:dyDescent="0.35">
      <c r="A1" s="8" t="e" vm="1">
        <v>#VALUE!</v>
      </c>
      <c r="C1" s="8" t="s">
        <v>352</v>
      </c>
      <c r="M1" s="59"/>
    </row>
    <row r="2" spans="1:23" s="9" customFormat="1" ht="20.100000000000001" customHeight="1" x14ac:dyDescent="0.25">
      <c r="M2" s="59"/>
    </row>
    <row r="3" spans="1:23" ht="20.100000000000001" customHeight="1" x14ac:dyDescent="0.25">
      <c r="A3" s="17" t="str">
        <f>HYPERLINK("#'Home'!A1", "Home")</f>
        <v>Home</v>
      </c>
      <c r="C3" s="4"/>
      <c r="D3" s="4"/>
      <c r="E3" s="4"/>
      <c r="F3" s="4"/>
      <c r="G3" s="4"/>
      <c r="H3" s="4"/>
      <c r="I3" s="4"/>
      <c r="J3" s="4"/>
      <c r="K3" s="4"/>
      <c r="L3" s="4"/>
      <c r="N3" s="4"/>
      <c r="O3" s="4"/>
      <c r="P3" s="4"/>
      <c r="Q3" s="4"/>
      <c r="R3" s="4"/>
      <c r="S3" s="4"/>
      <c r="T3" s="4"/>
      <c r="U3" s="4"/>
      <c r="V3" s="4"/>
      <c r="W3" s="4"/>
    </row>
    <row r="4" spans="1:23" ht="20.100000000000001" customHeight="1" x14ac:dyDescent="0.25">
      <c r="A4" s="17" t="str">
        <f>HYPERLINK("#'Overview'!A1", "Overview")</f>
        <v>Overview</v>
      </c>
    </row>
    <row r="5" spans="1:23" ht="20.100000000000001" customHeight="1" x14ac:dyDescent="0.25">
      <c r="A5" s="17" t="str">
        <f>HYPERLINK("#'Results'!A1", "Results")</f>
        <v>Results</v>
      </c>
      <c r="D5" s="6" t="str" cm="1">
        <f t="array" ref="D5">MMS_Dairy_N2ODirect_Equations.VEERG_4_3_1_3__2_TotalNitrogenInEachMMS_Title()</f>
        <v>Total nitrogen in each MMS</v>
      </c>
    </row>
    <row r="6" spans="1:23" ht="20.100000000000001" customHeight="1" x14ac:dyDescent="0.25">
      <c r="A6" s="16"/>
      <c r="D6" s="5" t="str" cm="1">
        <f t="array" ref="D6">MMS_Dairy_N2ODirect_Equations.VEERG_4_3_1_3__2_TotalNitrogenInEachMMS_Source()</f>
        <v>VEERG 2026: 4.3.1.3, Equation (2)</v>
      </c>
    </row>
    <row r="7" spans="1:23" ht="20.100000000000001" customHeight="1" x14ac:dyDescent="0.25">
      <c r="A7" s="20" t="s">
        <v>3</v>
      </c>
      <c r="D7" s="13" t="s">
        <v>27</v>
      </c>
      <c r="E7" s="13" t="str" cm="1">
        <f t="array" aca="1" ref="E7" ca="1">Common_InputFunctions.Utility_DisplayFunctionName(F31)</f>
        <v>=MMS_Dairy_N2ODirect_Equations.VEERG_4_3_1_3__2_TotalNitrogenInEachMMS</v>
      </c>
    </row>
    <row r="8" spans="1:23" ht="20.100000000000001" customHeight="1" x14ac:dyDescent="0.25">
      <c r="A8" s="17" t="str">
        <f>HYPERLINK("#'Input - Site'!A1", "Site")</f>
        <v>Site</v>
      </c>
    </row>
    <row r="9" spans="1:23" ht="20.100000000000001" customHeight="1" x14ac:dyDescent="0.25">
      <c r="A9" s="17" t="str">
        <f>HYPERLINK("#'Input - Dairy'!A1", "Dairy")</f>
        <v>Dairy</v>
      </c>
      <c r="D9" s="6"/>
    </row>
    <row r="10" spans="1:23" ht="20.100000000000001" customHeight="1" x14ac:dyDescent="0.25">
      <c r="A10" s="17"/>
      <c r="D10" s="56" t="s">
        <v>30</v>
      </c>
      <c r="E10" s="1" t="str" cm="1">
        <f t="array" ref="E10">MMS_Dairy_N2ODirect_Equations.VEERG_4_3_1_3__2_TotalNitrogenInEachMMS_Variable()</f>
        <v>MN_jm</v>
      </c>
    </row>
    <row r="11" spans="1:23" ht="20.100000000000001" customHeight="1" x14ac:dyDescent="0.25">
      <c r="A11" s="19" t="s">
        <v>76</v>
      </c>
      <c r="D11" s="56" t="s">
        <v>20</v>
      </c>
      <c r="E11" s="57" t="str" cm="1">
        <f t="array" ref="E11">MMS_Dairy_N2ODirect_Equations.VEERG_4_3_1_3__2_TotalNitrogenInEachMMS_Unit()</f>
        <v>kg N</v>
      </c>
    </row>
    <row r="12" spans="1:23" ht="20.100000000000001" customHeight="1" x14ac:dyDescent="0.25">
      <c r="A12" s="17" t="str">
        <f>HYPERLINK("#'4.3.1.1-2 Methane'!A1", "4.3.1.1-2 Methane")</f>
        <v>4.3.1.1-2 Methane</v>
      </c>
    </row>
    <row r="13" spans="1:23" ht="20.100000000000001" customHeight="1" x14ac:dyDescent="0.25">
      <c r="A13" s="17" t="str">
        <f>HYPERLINK("#'4.3.1.3-4 Direct N20'!A1", "4.3.1.3-4 Direct N2O")</f>
        <v>4.3.1.3-4 Direct N2O</v>
      </c>
      <c r="D13" s="137" t="str" cm="1">
        <f t="array" ref="D13:E14">_xlfn.CHOOSECOLS(MMS_Dairy_N2ODirect_Equations.VEERG_4_3_1_3__2_TotalNitrogenInEachMMS_Arguments(),1,2)</f>
        <v>AE_j</v>
      </c>
      <c r="E13" s="136" t="str">
        <v>total nitrogen excreted by each dairy class</v>
      </c>
      <c r="F13" s="138"/>
      <c r="G13" s="137" t="str" cm="1">
        <f t="array" ref="G13:H14">_xlfn.CHOOSECOLS(MMS_Dairy_N2ODirect_Equations.VEERG_4_3_1_3__2_TotalNitrogenInEachMMS_Arguments(),3,4)</f>
        <v>kg N</v>
      </c>
      <c r="H13" s="133" t="str">
        <v>Calculated from 4.3.1.3 (3a) and (3b)</v>
      </c>
      <c r="I13" s="134" t="str" cm="1">
        <f t="array" aca="1" ref="I13" ca="1">HYPERLINK(Common_InputFunctions.Utility_SourceHyperlink($D$16),$D$16)</f>
        <v>M1_Table_AE_j</v>
      </c>
    </row>
    <row r="14" spans="1:23" ht="20.100000000000001" customHeight="1" x14ac:dyDescent="0.25">
      <c r="A14" s="17" t="str">
        <f>HYPERLINK("#'4.3.1.5 Atmos Deposition'!A1", "4.3.1.5 Atmospheric deposition")</f>
        <v>4.3.1.5 Atmospheric deposition</v>
      </c>
      <c r="D14" s="137" t="str">
        <v>MMS_jm</v>
      </c>
      <c r="E14" s="136" t="str">
        <v>manure management system fraction for class j and system m</v>
      </c>
      <c r="F14" s="138"/>
      <c r="G14" s="137" t="str">
        <v>fraction</v>
      </c>
      <c r="H14" s="135" t="str">
        <v>Input</v>
      </c>
      <c r="I14" s="134" t="str" cm="1">
        <f t="array" aca="1" ref="I14" ca="1">HYPERLINK(Common_InputFunctions.Utility_SourceHyperlink($D$22),$D$22)</f>
        <v>M1_Table_MMS_j_m-14</v>
      </c>
    </row>
    <row r="15" spans="1:23" ht="20.100000000000001" customHeight="1" x14ac:dyDescent="0.25">
      <c r="A15" s="17" t="str">
        <f>HYPERLINK("#'4.3.1.6-7 Leaching and runoff'!A1", "4.3.1.6-7 Leaching and runoff")</f>
        <v>4.3.1.6-7 Leaching and runoff</v>
      </c>
    </row>
    <row r="16" spans="1:23" ht="20.100000000000001" customHeight="1" x14ac:dyDescent="0.25">
      <c r="A16" s="17" t="str">
        <f>HYPERLINK("#'4.3.1.8 Manure applied to soils'!A1", "4.3.1.8 Manure applied to soils")</f>
        <v>4.3.1.8 Manure applied to soils</v>
      </c>
      <c r="D16" s="104" t="s">
        <v>120</v>
      </c>
      <c r="O16" s="104" t="s">
        <v>467</v>
      </c>
    </row>
    <row r="17" spans="1:22" ht="20.100000000000001" customHeight="1" x14ac:dyDescent="0.25">
      <c r="A17" s="22" t="str">
        <f>HYPERLINK("#'4.3.1.9 Soil direct N2O'!A1", "4.3.1.9 Soil direct N2O")</f>
        <v>4.3.1.9 Soil direct N2O</v>
      </c>
      <c r="D17" s="103" t="s">
        <v>355</v>
      </c>
      <c r="O17" s="103" t="s">
        <v>466</v>
      </c>
    </row>
    <row r="18" spans="1:22" ht="20.100000000000001" customHeight="1" x14ac:dyDescent="0.25">
      <c r="A18" s="17" t="str">
        <f>HYPERLINK("#'4.3.1.10-11 Soil Atmos Dep'!A1", "4.3.1.10-11 Soil atm. deposition")</f>
        <v>4.3.1.10-11 Soil atm. deposition</v>
      </c>
      <c r="D18" s="54" t="s">
        <v>171</v>
      </c>
      <c r="E18" s="54" t="s">
        <v>188</v>
      </c>
      <c r="F18" s="54" t="s">
        <v>189</v>
      </c>
      <c r="G18" s="54" t="s">
        <v>190</v>
      </c>
      <c r="H18" s="54" t="s">
        <v>191</v>
      </c>
      <c r="O18" s="54" t="s">
        <v>171</v>
      </c>
      <c r="P18" s="54" t="s">
        <v>188</v>
      </c>
      <c r="Q18" s="54" t="s">
        <v>189</v>
      </c>
      <c r="R18" s="54" t="s">
        <v>190</v>
      </c>
      <c r="S18" s="54" t="s">
        <v>191</v>
      </c>
    </row>
    <row r="19" spans="1:22" ht="20.100000000000001" customHeight="1" x14ac:dyDescent="0.25">
      <c r="A19" s="17" t="str">
        <f>HYPERLINK("#'4.3.1.12-13 Soil leach runoff'!A1", "4.3.1.12-13 Soil leach &amp; runoff")</f>
        <v>4.3.1.12-13 Soil leach &amp; runoff</v>
      </c>
      <c r="D19" s="55">
        <f>'4.3.1.3-4 Direct N20'!D176</f>
        <v>22116.678435011141</v>
      </c>
      <c r="E19" s="55">
        <f>'4.3.1.3-4 Direct N20'!E176</f>
        <v>8288.9955762645804</v>
      </c>
      <c r="F19" s="55">
        <f>'4.3.1.3-4 Direct N20'!F213</f>
        <v>3301.419278356519</v>
      </c>
      <c r="G19" s="55">
        <f>'4.3.1.3-4 Direct N20'!G176</f>
        <v>10419.59526090311</v>
      </c>
      <c r="H19" s="55">
        <f>'4.3.1.3-4 Direct N20'!H213</f>
        <v>4361.9480490479727</v>
      </c>
      <c r="I19" s="2" t="str">
        <f>$G$13</f>
        <v>kg N</v>
      </c>
      <c r="O19" s="55">
        <f>'4.3.1.3-4 Direct N20'!N176</f>
        <v>22116.678435011141</v>
      </c>
      <c r="P19" s="55">
        <f>'4.3.1.3-4 Direct N20'!O176</f>
        <v>8288.9955762645804</v>
      </c>
      <c r="Q19" s="55">
        <f>'4.3.1.3-4 Direct N20'!P213</f>
        <v>3301.419278356519</v>
      </c>
      <c r="R19" s="55">
        <f>'4.3.1.3-4 Direct N20'!Q176</f>
        <v>10419.59526090311</v>
      </c>
      <c r="S19" s="55">
        <f>'4.3.1.3-4 Direct N20'!R213</f>
        <v>4361.9480490479727</v>
      </c>
      <c r="T19" s="2" t="str">
        <f>$G$13</f>
        <v>kg N</v>
      </c>
    </row>
    <row r="20" spans="1:22" ht="20.100000000000001" customHeight="1" x14ac:dyDescent="0.25">
      <c r="A20" s="17"/>
    </row>
    <row r="21" spans="1:22" ht="20.100000000000001" customHeight="1" x14ac:dyDescent="0.25">
      <c r="A21" s="18" t="s">
        <v>4</v>
      </c>
    </row>
    <row r="22" spans="1:22" ht="20.100000000000001" customHeight="1" x14ac:dyDescent="0.25">
      <c r="A22" s="17" t="str">
        <f>HYPERLINK("#'Constants - Dairy'!A1", "Constants - Dairy")</f>
        <v>Constants - Dairy</v>
      </c>
      <c r="D22" s="104" t="s">
        <v>353</v>
      </c>
      <c r="O22" s="104" t="s">
        <v>422</v>
      </c>
    </row>
    <row r="23" spans="1:22" ht="20.100000000000001" customHeight="1" x14ac:dyDescent="0.25">
      <c r="A23" s="17" t="str">
        <f>HYPERLINK("#'Constants - Livestock'!A1", "Constants - Livestock")</f>
        <v>Constants - Livestock</v>
      </c>
      <c r="D23" s="103" t="s">
        <v>354</v>
      </c>
      <c r="O23" s="103" t="s">
        <v>423</v>
      </c>
    </row>
    <row r="24" spans="1:22" ht="20.100000000000001" customHeight="1" x14ac:dyDescent="0.25">
      <c r="A24" s="17" t="str">
        <f>HYPERLINK("#'Constants - Common'!A1", "Constants - Common")</f>
        <v>Constants - Common</v>
      </c>
      <c r="D24" s="41" t="s">
        <v>146</v>
      </c>
      <c r="E24" s="41" t="s">
        <v>68</v>
      </c>
      <c r="F24" s="41" t="s">
        <v>171</v>
      </c>
      <c r="G24" s="41" t="s">
        <v>188</v>
      </c>
      <c r="H24" s="41" t="s">
        <v>189</v>
      </c>
      <c r="I24" s="41" t="s">
        <v>190</v>
      </c>
      <c r="J24" s="41" t="s">
        <v>191</v>
      </c>
      <c r="O24" s="41" t="s">
        <v>146</v>
      </c>
      <c r="P24" s="41" t="s">
        <v>68</v>
      </c>
      <c r="Q24" s="41" t="s">
        <v>171</v>
      </c>
      <c r="R24" s="41" t="s">
        <v>188</v>
      </c>
      <c r="S24" s="41" t="s">
        <v>189</v>
      </c>
      <c r="T24" s="41" t="s">
        <v>190</v>
      </c>
      <c r="U24" s="41" t="s">
        <v>191</v>
      </c>
    </row>
    <row r="25" spans="1:22" ht="20.100000000000001" customHeight="1" x14ac:dyDescent="0.25">
      <c r="A25" s="17" t="str">
        <f>HYPERLINK("#'Acknowledgements'!A1", "Acknowledgements")</f>
        <v>Acknowledgements</v>
      </c>
      <c r="D25" s="55" t="str">
        <f>'Input - Dairy'!$D$65</f>
        <v>Pasture</v>
      </c>
      <c r="E25" s="55" t="str">
        <f>'Constants - Livestock'!$E$27</f>
        <v>Pasture range and paddock</v>
      </c>
      <c r="F25" s="55">
        <f>'Input - Dairy'!E65</f>
        <v>0.53400000000000003</v>
      </c>
      <c r="G25" s="55">
        <f>'Input - Dairy'!F65</f>
        <v>0.53400000000000003</v>
      </c>
      <c r="H25" s="55">
        <f>'Input - Dairy'!G65</f>
        <v>0.53400000000000003</v>
      </c>
      <c r="I25" s="55">
        <f>'Input - Dairy'!H65</f>
        <v>0.53400000000000003</v>
      </c>
      <c r="J25" s="55">
        <f>'Input - Dairy'!I65</f>
        <v>0.53400000000000003</v>
      </c>
      <c r="K25" s="2" t="str">
        <f>$G$14</f>
        <v>fraction</v>
      </c>
      <c r="O25" s="55" t="str">
        <f>'Input - Dairy'!$D$65</f>
        <v>Pasture</v>
      </c>
      <c r="P25" s="55" t="str">
        <f>'Constants - Livestock'!$E$27</f>
        <v>Pasture range and paddock</v>
      </c>
      <c r="Q25" s="55">
        <f>'Input - Dairy'!E70</f>
        <v>0.53400000000000003</v>
      </c>
      <c r="R25" s="55">
        <f>'Input - Dairy'!F70</f>
        <v>0.53400000000000003</v>
      </c>
      <c r="S25" s="55">
        <f>'Input - Dairy'!G70</f>
        <v>0.53400000000000003</v>
      </c>
      <c r="T25" s="55">
        <f>'Input - Dairy'!H70</f>
        <v>0.53400000000000003</v>
      </c>
      <c r="U25" s="55">
        <f>'Input - Dairy'!I70</f>
        <v>0.53400000000000003</v>
      </c>
      <c r="V25" s="2" t="str">
        <f>$G$14</f>
        <v>fraction</v>
      </c>
    </row>
    <row r="26" spans="1:22" ht="20.100000000000001" customHeight="1" x14ac:dyDescent="0.25"/>
    <row r="27" spans="1:22" ht="20.100000000000001" customHeight="1" x14ac:dyDescent="0.25">
      <c r="Q27" s="131"/>
    </row>
    <row r="28" spans="1:22" ht="20.100000000000001" customHeight="1" x14ac:dyDescent="0.25">
      <c r="D28" s="104" t="s">
        <v>356</v>
      </c>
      <c r="O28" s="104" t="s">
        <v>358</v>
      </c>
    </row>
    <row r="29" spans="1:22" ht="20.100000000000001" customHeight="1" x14ac:dyDescent="0.25">
      <c r="D29" s="103" t="s">
        <v>357</v>
      </c>
      <c r="O29" s="103" t="s">
        <v>359</v>
      </c>
    </row>
    <row r="30" spans="1:22" ht="20.100000000000001" customHeight="1" x14ac:dyDescent="0.25">
      <c r="D30" s="54" t="s">
        <v>146</v>
      </c>
      <c r="E30" s="54" t="s">
        <v>68</v>
      </c>
      <c r="F30" s="54" t="s">
        <v>171</v>
      </c>
      <c r="G30" s="54" t="s">
        <v>188</v>
      </c>
      <c r="H30" s="54" t="s">
        <v>189</v>
      </c>
      <c r="I30" s="54" t="s">
        <v>190</v>
      </c>
      <c r="J30" s="54" t="s">
        <v>191</v>
      </c>
      <c r="O30" s="54" t="s">
        <v>146</v>
      </c>
      <c r="P30" s="54" t="s">
        <v>68</v>
      </c>
      <c r="Q30" s="54" t="s">
        <v>171</v>
      </c>
      <c r="R30" s="54" t="s">
        <v>188</v>
      </c>
      <c r="S30" s="54" t="s">
        <v>189</v>
      </c>
      <c r="T30" s="54" t="s">
        <v>190</v>
      </c>
      <c r="U30" s="54" t="s">
        <v>191</v>
      </c>
    </row>
    <row r="31" spans="1:22" ht="20.100000000000001" customHeight="1" x14ac:dyDescent="0.25">
      <c r="D31" s="55" t="str">
        <f>'Input - Dairy'!$D$65</f>
        <v>Pasture</v>
      </c>
      <c r="E31" s="55" t="str">
        <f>'Constants - Livestock'!$E$27</f>
        <v>Pasture range and paddock</v>
      </c>
      <c r="F31" s="55" cm="1">
        <f t="array" ref="F31">MMS_Dairy_N2ODirect_Equations.VEERG_4_3_1_3__2_TotalNitrogenInEachMMS(D19,F25)</f>
        <v>11810.30628429595</v>
      </c>
      <c r="G31" s="55" cm="1">
        <f t="array" ref="G31">MMS_Dairy_N2ODirect_Equations.VEERG_4_3_1_3__2_TotalNitrogenInEachMMS(E19,G25)</f>
        <v>4426.3236377252861</v>
      </c>
      <c r="H31" s="55" cm="1">
        <f t="array" ref="H31">MMS_Dairy_N2ODirect_Equations.VEERG_4_3_1_3__2_TotalNitrogenInEachMMS(F19,H25)</f>
        <v>1762.9578946423812</v>
      </c>
      <c r="I31" s="55" cm="1">
        <f t="array" ref="I31">MMS_Dairy_N2ODirect_Equations.VEERG_4_3_1_3__2_TotalNitrogenInEachMMS(G19,I25)</f>
        <v>5564.0638693222609</v>
      </c>
      <c r="J31" s="55" cm="1">
        <f t="array" ref="J31">MMS_Dairy_N2ODirect_Equations.VEERG_4_3_1_3__2_TotalNitrogenInEachMMS(H19,J25)</f>
        <v>2329.2802581916176</v>
      </c>
      <c r="K31" s="2" t="str">
        <f>$E$11</f>
        <v>kg N</v>
      </c>
      <c r="O31" s="55" t="str">
        <f>'Input - Dairy'!$D$65</f>
        <v>Pasture</v>
      </c>
      <c r="P31" s="55" t="str">
        <f>'Constants - Livestock'!$E$27</f>
        <v>Pasture range and paddock</v>
      </c>
      <c r="Q31" s="55" cm="1">
        <f t="array" ref="Q31">MMS_Dairy_N2ODirect_Equations.VEERG_4_3_1_3__2_TotalNitrogenInEachMMS(O19,Q25)</f>
        <v>11810.30628429595</v>
      </c>
      <c r="R31" s="55" cm="1">
        <f t="array" ref="R31">MMS_Dairy_N2ODirect_Equations.VEERG_4_3_1_3__2_TotalNitrogenInEachMMS(P19,R25)</f>
        <v>4426.3236377252861</v>
      </c>
      <c r="S31" s="55" cm="1">
        <f t="array" ref="S31">MMS_Dairy_N2ODirect_Equations.VEERG_4_3_1_3__2_TotalNitrogenInEachMMS(Q19,S25)</f>
        <v>1762.9578946423812</v>
      </c>
      <c r="T31" s="55" cm="1">
        <f t="array" ref="T31">MMS_Dairy_N2ODirect_Equations.VEERG_4_3_1_3__2_TotalNitrogenInEachMMS(R19,T25)</f>
        <v>5564.0638693222609</v>
      </c>
      <c r="U31" s="55" cm="1">
        <f t="array" ref="U31">MMS_Dairy_N2ODirect_Equations.VEERG_4_3_1_3__2_TotalNitrogenInEachMMS(S19,U25)</f>
        <v>2329.2802581916176</v>
      </c>
      <c r="V31" s="2" t="str">
        <f>$E$11</f>
        <v>kg N</v>
      </c>
    </row>
    <row r="32" spans="1:22" ht="20.100000000000001" customHeight="1" x14ac:dyDescent="0.25"/>
    <row r="33" spans="3:23" ht="20.100000000000001" customHeight="1" x14ac:dyDescent="0.25"/>
    <row r="34" spans="3:23" ht="20.100000000000001" customHeight="1" x14ac:dyDescent="0.25">
      <c r="C34" s="48"/>
      <c r="D34" s="48"/>
      <c r="E34" s="48"/>
      <c r="F34" s="48"/>
      <c r="G34" s="48"/>
      <c r="H34" s="48"/>
      <c r="I34" s="48"/>
      <c r="J34" s="48"/>
      <c r="K34" s="48"/>
      <c r="L34" s="48"/>
      <c r="N34" s="48"/>
      <c r="O34" s="48"/>
      <c r="P34" s="48"/>
      <c r="Q34" s="48"/>
      <c r="R34" s="48"/>
      <c r="S34" s="48"/>
      <c r="T34" s="48"/>
      <c r="U34" s="48"/>
      <c r="V34" s="48"/>
      <c r="W34" s="48"/>
    </row>
    <row r="35" spans="3:23" ht="20.100000000000001" customHeight="1" x14ac:dyDescent="0.25">
      <c r="D35" s="6" t="str" cm="1">
        <f t="array" ref="D35">MMS_Dairy_Soil_N2ODirect_Equations.VEERG_4_3_1_9__1_DirectNitrousOxideEmissionsOnPasture_Title()</f>
        <v>Direct nitrous oxide emissions on pasture</v>
      </c>
    </row>
    <row r="36" spans="3:23" ht="20.100000000000001" customHeight="1" x14ac:dyDescent="0.25">
      <c r="D36" s="5" t="str" cm="1">
        <f t="array" ref="D36">MMS_Dairy_Soil_N2ODirect_Equations.VEERG_4_3_1_9__1_DirectNitrousOxideEmissionsOnPasture_Source()</f>
        <v>VEERG 2026: 4.3.1.9, Equation (1)</v>
      </c>
    </row>
    <row r="37" spans="3:23" ht="20.100000000000001" customHeight="1" x14ac:dyDescent="0.25">
      <c r="D37" s="13" t="s">
        <v>109</v>
      </c>
      <c r="E37" s="13" t="str" cm="1">
        <f t="array" aca="1" ref="E37" ca="1">Common_InputFunctions.Utility_DisplayFunctionName($F$51)</f>
        <v>=MMS_Dairy_Soil_N2ODirect_Equations.VEERG_4_3_1_9__1_DirectNitrousOxideEmissionsOnPasture</v>
      </c>
    </row>
    <row r="38" spans="3:23" ht="20.100000000000001" customHeight="1" x14ac:dyDescent="0.25"/>
    <row r="39" spans="3:23" ht="20.100000000000001" customHeight="1" x14ac:dyDescent="0.25"/>
    <row r="40" spans="3:23" ht="20.100000000000001" customHeight="1" x14ac:dyDescent="0.25">
      <c r="D40" s="56" t="s">
        <v>30</v>
      </c>
      <c r="E40" s="1" t="str" cm="1">
        <f t="array" ref="E40">MMS_Dairy_Soil_N2ODirect_Equations.VEERG_4_3_1_9__1_DirectNitrousOxideEmissionsOnPasture_Variable()</f>
        <v>E_N2Odir</v>
      </c>
    </row>
    <row r="41" spans="3:23" ht="20.100000000000001" customHeight="1" x14ac:dyDescent="0.25">
      <c r="D41" s="56" t="s">
        <v>20</v>
      </c>
      <c r="E41" s="57" t="str" cm="1">
        <f t="array" ref="E41">MMS_Dairy_Soil_N2ODirect_Equations.VEERG_4_3_1_9__1_DirectNitrousOxideEmissionsOnPasture_Unit()</f>
        <v>t N2O</v>
      </c>
    </row>
    <row r="42" spans="3:23" ht="20.100000000000001" customHeight="1" x14ac:dyDescent="0.25"/>
    <row r="43" spans="3:23" ht="20.100000000000001" customHeight="1" x14ac:dyDescent="0.25">
      <c r="D43" s="137" t="str" cm="1">
        <f t="array" ref="D43:E46">_xlfn.CHOOSECOLS(MMS_Dairy_Soil_N2ODirect_Equations.VEERG_4_3_1_9__1_DirectNitrousOxideEmissionsOnPasture_Arguments(),1,2)</f>
        <v>MN_jm14</v>
      </c>
      <c r="E43" s="136" t="str">
        <v>mass of nitrogen excreted on pasture, range, and paddock for each dairy cattle class</v>
      </c>
      <c r="F43" s="142"/>
      <c r="G43" s="138"/>
      <c r="H43" s="137" t="str" cm="1">
        <f t="array" ref="H43:I46">_xlfn.CHOOSECOLS(MMS_Dairy_Soil_N2ODirect_Equations.VEERG_4_3_1_9__1_DirectNitrousOxideEmissionsOnPasture_Arguments(),3,4)</f>
        <v>kg N</v>
      </c>
      <c r="I43" s="133" t="str">
        <v>Calculated from 4.3.1.3 (2)</v>
      </c>
      <c r="J43" s="134" t="str" cm="1">
        <f t="array" aca="1" ref="J43" ca="1">HYPERLINK(Common_InputFunctions.Utility_SourceHyperlink($D$28),$D$28)</f>
        <v>M1_Table_MN_j_m-14</v>
      </c>
    </row>
    <row r="44" spans="3:23" ht="20.100000000000001" customHeight="1" x14ac:dyDescent="0.25">
      <c r="D44" s="137" t="str">
        <v>EF_PRP</v>
      </c>
      <c r="E44" s="136" t="str">
        <v>emission factor for nitrous oxide emissions for urine and dung deposited on PRP</v>
      </c>
      <c r="F44" s="142"/>
      <c r="G44" s="138"/>
      <c r="H44" s="137" t="str">
        <v>kg N2O-N/kg N deposited</v>
      </c>
      <c r="I44" s="133" t="str">
        <v>Constant</v>
      </c>
      <c r="J44" s="137">
        <f>Common_InputFunctions.Utility_LookupValueInTable(J46, Table_SourceData_EFPastureRangeAndPaddock[Climate zone],Table_SourceData_EFPastureRangeAndPaddock[EFPRP])</f>
        <v>2E-3</v>
      </c>
    </row>
    <row r="45" spans="3:23" ht="20.100000000000001" customHeight="1" x14ac:dyDescent="0.25">
      <c r="D45" s="137" t="str">
        <v>C_N2O</v>
      </c>
      <c r="E45" s="136" t="str">
        <v>factor to convert elemental mass of N2O to molecular mass</v>
      </c>
      <c r="F45" s="142"/>
      <c r="G45" s="138"/>
      <c r="H45" s="137" t="str">
        <v/>
      </c>
      <c r="I45" s="133" t="str">
        <v>Constant</v>
      </c>
      <c r="J45" s="137">
        <f>Common_InputFunctions.Utility_LookupValueInTableNumber("N2O",Table_GasToMolecularConversionFactor[Gas],Table_GasToMolecularConversionFactor[Conversion factor combined])</f>
        <v>1.5714285714285714</v>
      </c>
    </row>
    <row r="46" spans="3:23" ht="20.100000000000001" customHeight="1" x14ac:dyDescent="0.25">
      <c r="D46" s="137" t="str">
        <v>z</v>
      </c>
      <c r="E46" s="136" t="str">
        <v>Wet or dry climate zone</v>
      </c>
      <c r="F46" s="142"/>
      <c r="G46" s="138"/>
      <c r="H46" s="137" t="str">
        <v/>
      </c>
      <c r="I46" s="135" t="str">
        <v>Input</v>
      </c>
      <c r="J46" s="137" t="str">
        <f>'Input - Site'!$E$32</f>
        <v>Dry climate zone</v>
      </c>
    </row>
    <row r="47" spans="3:23" ht="20.100000000000001" customHeight="1" x14ac:dyDescent="0.25"/>
    <row r="48" spans="3:23" ht="20.100000000000001" customHeight="1" x14ac:dyDescent="0.25">
      <c r="D48" s="104" t="s">
        <v>122</v>
      </c>
      <c r="O48" s="104" t="s">
        <v>362</v>
      </c>
    </row>
    <row r="49" spans="1:22" ht="20.100000000000001" customHeight="1" x14ac:dyDescent="0.25">
      <c r="D49" s="103" t="s">
        <v>361</v>
      </c>
      <c r="O49" s="103" t="s">
        <v>363</v>
      </c>
    </row>
    <row r="50" spans="1:22" ht="20.100000000000001" customHeight="1" x14ac:dyDescent="0.25">
      <c r="D50" s="54" t="s">
        <v>146</v>
      </c>
      <c r="E50" s="54" t="s">
        <v>68</v>
      </c>
      <c r="F50" s="54" t="s">
        <v>171</v>
      </c>
      <c r="G50" s="54" t="s">
        <v>188</v>
      </c>
      <c r="H50" s="54" t="s">
        <v>189</v>
      </c>
      <c r="I50" s="54" t="s">
        <v>190</v>
      </c>
      <c r="J50" s="54" t="s">
        <v>191</v>
      </c>
      <c r="O50" s="54" t="s">
        <v>146</v>
      </c>
      <c r="P50" s="54" t="s">
        <v>68</v>
      </c>
      <c r="Q50" s="54" t="s">
        <v>171</v>
      </c>
      <c r="R50" s="54" t="s">
        <v>188</v>
      </c>
      <c r="S50" s="54" t="s">
        <v>189</v>
      </c>
      <c r="T50" s="54" t="s">
        <v>190</v>
      </c>
      <c r="U50" s="54" t="s">
        <v>191</v>
      </c>
    </row>
    <row r="51" spans="1:22" ht="20.100000000000001" customHeight="1" x14ac:dyDescent="0.25">
      <c r="D51" s="55" t="str">
        <f>'Input - Dairy'!$D$65</f>
        <v>Pasture</v>
      </c>
      <c r="E51" s="55" t="str">
        <f>'Constants - Livestock'!$E$27</f>
        <v>Pasture range and paddock</v>
      </c>
      <c r="F51" s="55" cm="1">
        <f t="array" ref="F51">MMS_Dairy_Soil_N2ODirect_Equations.VEERG_4_3_1_9__1_DirectNitrousOxideEmissionsOnPasture(F31,$J$44,$J$45)</f>
        <v>3.7118105464930128E-2</v>
      </c>
      <c r="G51" s="55" cm="1">
        <f t="array" ref="G51">MMS_Dairy_Soil_N2ODirect_Equations.VEERG_4_3_1_9__1_DirectNitrousOxideEmissionsOnPasture(G31,$J$44,$J$45)</f>
        <v>1.3911302861422326E-2</v>
      </c>
      <c r="H51" s="55" cm="1">
        <f t="array" ref="H51">MMS_Dairy_Soil_N2ODirect_Equations.VEERG_4_3_1_9__1_DirectNitrousOxideEmissionsOnPasture(H31,$J$44,$J$45)</f>
        <v>5.5407248117331984E-3</v>
      </c>
      <c r="I51" s="55" cm="1">
        <f t="array" ref="I51">MMS_Dairy_Soil_N2ODirect_Equations.VEERG_4_3_1_9__1_DirectNitrousOxideEmissionsOnPasture(I31,$J$44,$J$45)</f>
        <v>1.7487057875012819E-2</v>
      </c>
      <c r="J51" s="55" cm="1">
        <f t="array" ref="J51">MMS_Dairy_Soil_N2ODirect_Equations.VEERG_4_3_1_9__1_DirectNitrousOxideEmissionsOnPasture(J31,$J$44,$J$45)</f>
        <v>7.3205950971736563E-3</v>
      </c>
      <c r="K51" s="2" t="str">
        <f>$E$41</f>
        <v>t N2O</v>
      </c>
      <c r="O51" s="55" t="str">
        <f>'Input - Dairy'!$D$65</f>
        <v>Pasture</v>
      </c>
      <c r="P51" s="55" t="str">
        <f>'Constants - Livestock'!$E$27</f>
        <v>Pasture range and paddock</v>
      </c>
      <c r="Q51" s="55" cm="1">
        <f t="array" ref="Q51">MMS_Dairy_Soil_N2ODirect_Equations.VEERG_4_3_1_9__1_DirectNitrousOxideEmissionsOnPasture(Q31,$J$44,$J$45)</f>
        <v>3.7118105464930128E-2</v>
      </c>
      <c r="R51" s="55" cm="1">
        <f t="array" ref="R51">MMS_Dairy_Soil_N2ODirect_Equations.VEERG_4_3_1_9__1_DirectNitrousOxideEmissionsOnPasture(R31,$J$44,$J$45)</f>
        <v>1.3911302861422326E-2</v>
      </c>
      <c r="S51" s="55" cm="1">
        <f t="array" ref="S51">MMS_Dairy_Soil_N2ODirect_Equations.VEERG_4_3_1_9__1_DirectNitrousOxideEmissionsOnPasture(S31,$J$44,$J$45)</f>
        <v>5.5407248117331984E-3</v>
      </c>
      <c r="T51" s="55" cm="1">
        <f t="array" ref="T51">MMS_Dairy_Soil_N2ODirect_Equations.VEERG_4_3_1_9__1_DirectNitrousOxideEmissionsOnPasture(T31,$J$44,$J$45)</f>
        <v>1.7487057875012819E-2</v>
      </c>
      <c r="U51" s="55" cm="1">
        <f t="array" ref="U51">MMS_Dairy_Soil_N2ODirect_Equations.VEERG_4_3_1_9__1_DirectNitrousOxideEmissionsOnPasture(U31,$J$44,$J$45)</f>
        <v>7.3205950971736563E-3</v>
      </c>
      <c r="V51" s="2" t="str">
        <f>$E$41</f>
        <v>t N2O</v>
      </c>
    </row>
    <row r="52" spans="1:22" ht="20.100000000000001" customHeight="1" x14ac:dyDescent="0.25"/>
    <row r="53" spans="1:22" ht="20.100000000000001" customHeight="1" x14ac:dyDescent="0.25">
      <c r="D53" s="108" t="s">
        <v>121</v>
      </c>
      <c r="E53" s="109">
        <f>SUM(F51:J51)</f>
        <v>8.1377786110272132E-2</v>
      </c>
      <c r="F53" s="110" t="str">
        <f>$E$41</f>
        <v>t N2O</v>
      </c>
      <c r="O53" s="108" t="s">
        <v>121</v>
      </c>
      <c r="P53" s="109">
        <f>SUM(Q51:U51)</f>
        <v>8.1377786110272132E-2</v>
      </c>
      <c r="Q53" s="110" t="str">
        <f>$E$41</f>
        <v>t N2O</v>
      </c>
    </row>
    <row r="54" spans="1:22" ht="20.100000000000001" customHeight="1" x14ac:dyDescent="0.25"/>
    <row r="55" spans="1:22" ht="20.100000000000001" customHeight="1" x14ac:dyDescent="0.25">
      <c r="D55" s="60" t="str" cm="1">
        <f t="array" ref="D55:E56">Common_Equations.Common_ConvertN2OToCO2e_Arguments()</f>
        <v>EN2O</v>
      </c>
      <c r="E55" s="61" t="str">
        <v>Nitrous oxide emissions (t N2O)</v>
      </c>
      <c r="F55" s="111"/>
      <c r="G55" s="55">
        <f>E53</f>
        <v>8.1377786110272132E-2</v>
      </c>
      <c r="O55" s="60" t="str" cm="1">
        <f t="array" ref="O55:P56">Common_Equations.Common_ConvertN2OToCO2e_Arguments()</f>
        <v>EN2O</v>
      </c>
      <c r="P55" s="61" t="str">
        <v>Nitrous oxide emissions (t N2O)</v>
      </c>
      <c r="Q55" s="111"/>
      <c r="R55" s="55">
        <f>P53</f>
        <v>8.1377786110272132E-2</v>
      </c>
    </row>
    <row r="56" spans="1:22" ht="20.100000000000001" customHeight="1" x14ac:dyDescent="0.25">
      <c r="D56" s="60" t="str">
        <v>GWPN2O</v>
      </c>
      <c r="E56" s="61" t="str">
        <v>Global warming potential for nitrous oxide (t CO2-e / t N2O)</v>
      </c>
      <c r="F56" s="111"/>
      <c r="G56" s="55">
        <f>Common_InputFunctions.Utility_LookupValueInTableNumber("N2O",Table_GWPData[Gas],Table_GWPData[CO2-e factor])</f>
        <v>265</v>
      </c>
      <c r="O56" s="60" t="str">
        <v>GWPN2O</v>
      </c>
      <c r="P56" s="61" t="str">
        <v>Global warming potential for nitrous oxide (t CO2-e / t N2O)</v>
      </c>
      <c r="Q56" s="111"/>
      <c r="R56" s="55">
        <f>Common_InputFunctions.Utility_LookupValueInTableNumber("N2O",Table_GWPData[Gas],Table_GWPData[CO2-e factor])</f>
        <v>265</v>
      </c>
    </row>
    <row r="57" spans="1:22" ht="20.100000000000001" customHeight="1" x14ac:dyDescent="0.25"/>
    <row r="58" spans="1:22" ht="20.100000000000001" customHeight="1" x14ac:dyDescent="0.25">
      <c r="A58" s="141" t="str">
        <f>HYPERLINK("#A1", "▲ Back to top")</f>
        <v>▲ Back to top</v>
      </c>
      <c r="D58" s="48" t="s">
        <v>108</v>
      </c>
      <c r="E58" s="48" cm="1">
        <f t="array" ref="E58">Common_Equations.Common_ConvertN2OToCO2e(G55,G56)</f>
        <v>21.565113319222114</v>
      </c>
      <c r="F58" s="112" t="str" cm="1">
        <f t="array" ref="F58">Common_Equations.Common_ConvertN2OToCO2e_Unit()</f>
        <v>t CO2e</v>
      </c>
      <c r="O58" s="48" t="s">
        <v>108</v>
      </c>
      <c r="P58" s="48" cm="1">
        <f t="array" ref="P58">Common_Equations.Common_ConvertN2OToCO2e(R55,R56)</f>
        <v>21.565113319222114</v>
      </c>
      <c r="Q58" s="112" t="str" cm="1">
        <f t="array" ref="Q58">Common_Equations.Common_ConvertN2OToCO2e_Unit()</f>
        <v>t CO2e</v>
      </c>
    </row>
    <row r="59" spans="1:22" ht="20.100000000000001" customHeight="1" x14ac:dyDescent="0.25"/>
    <row r="60" spans="1:22" ht="20.100000000000001" customHeight="1" x14ac:dyDescent="0.25"/>
    <row r="61" spans="1:22" ht="20.100000000000001" customHeight="1" x14ac:dyDescent="0.25"/>
    <row r="62" spans="1:22" ht="20.100000000000001" customHeight="1" x14ac:dyDescent="0.25"/>
    <row r="63" spans="1:22" ht="20.100000000000001" customHeight="1" x14ac:dyDescent="0.25"/>
    <row r="64" spans="1:22"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disablePrompts="1" count="1">
    <dataValidation operator="equal" allowBlank="1" showInputMessage="1" showErrorMessage="1" sqref="E25 E31 E34 P25 O34 P31 E51 P51" xr:uid="{C586A3D4-D021-4BB9-B9FF-F435DD98EA39}"/>
  </dataValidation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B5B34D-36DA-422C-84BA-A4E3FCAF2C16}">
  <dimension ref="A1:W165"/>
  <sheetViews>
    <sheetView showGridLines="0" workbookViewId="0">
      <selection activeCell="A12" sqref="A12"/>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2" width="30.7109375" style="1" customWidth="1"/>
    <col min="23" max="23" width="4.7109375" style="1" customWidth="1"/>
  </cols>
  <sheetData>
    <row r="1" spans="1:23" s="8" customFormat="1" ht="30" customHeight="1" x14ac:dyDescent="0.35">
      <c r="A1" s="8" t="e" vm="1">
        <v>#VALUE!</v>
      </c>
      <c r="C1" s="8" t="s">
        <v>371</v>
      </c>
    </row>
    <row r="2" spans="1:23" s="9" customFormat="1" ht="20.100000000000001" customHeight="1" x14ac:dyDescent="0.25"/>
    <row r="3" spans="1:23" ht="20.100000000000001" customHeight="1" x14ac:dyDescent="0.25">
      <c r="A3" s="17" t="str">
        <f>HYPERLINK("#'Home'!A1", "Home")</f>
        <v>Home</v>
      </c>
      <c r="C3" s="4"/>
      <c r="D3" s="4"/>
      <c r="E3" s="4"/>
      <c r="F3" s="4"/>
      <c r="G3" s="4"/>
      <c r="H3" s="4"/>
      <c r="I3" s="4"/>
      <c r="J3" s="4"/>
      <c r="K3" s="4"/>
      <c r="L3" s="4"/>
      <c r="N3" s="4"/>
      <c r="O3" s="4"/>
      <c r="P3" s="4"/>
      <c r="Q3" s="4"/>
      <c r="R3" s="4"/>
      <c r="S3" s="4"/>
      <c r="T3" s="4"/>
      <c r="U3" s="4"/>
      <c r="V3" s="4"/>
      <c r="W3" s="4"/>
    </row>
    <row r="4" spans="1:23" ht="20.100000000000001" customHeight="1" x14ac:dyDescent="0.25">
      <c r="A4" s="17" t="str">
        <f>HYPERLINK("#'Overview'!A1", "Overview")</f>
        <v>Overview</v>
      </c>
    </row>
    <row r="5" spans="1:23" ht="20.100000000000001" customHeight="1" x14ac:dyDescent="0.25">
      <c r="A5" s="17" t="str">
        <f>HYPERLINK("#'Results'!A1", "Results")</f>
        <v>Results</v>
      </c>
      <c r="D5" s="6" t="str" cm="1">
        <f t="array" ref="D5">MMS_Dairy_Soil_AtmosphericDeposition_Equations.VEERG_4_3_1_10__2_MassOfNitrogenVolatilisedOnPasture_Title()</f>
        <v>Mass of nitrogen volatilised from urine and faeces deposited on pasture</v>
      </c>
    </row>
    <row r="6" spans="1:23" ht="20.100000000000001" customHeight="1" x14ac:dyDescent="0.25">
      <c r="A6" s="16"/>
      <c r="D6" s="5" t="str" cm="1">
        <f t="array" ref="D6">MMS_Dairy_Soil_AtmosphericDeposition_Equations.VEERG_4_3_1_10__2_MassOfNitrogenVolatilisedOnPasture_Source()</f>
        <v>VEERG 2026: 4.3.1.10, Equation (2)</v>
      </c>
    </row>
    <row r="7" spans="1:23" ht="20.100000000000001" customHeight="1" x14ac:dyDescent="0.25">
      <c r="A7" s="20" t="s">
        <v>3</v>
      </c>
      <c r="D7" s="13" t="s">
        <v>27</v>
      </c>
      <c r="E7" s="13" t="str" cm="1">
        <f t="array" aca="1" ref="E7" ca="1">Common_InputFunctions.Utility_DisplayFunctionName(F24)</f>
        <v>=MMS_Dairy_Soil_AtmosphericDeposition_Equations.VEERG_4_3_1_10__2_MassOfNitrogenVolatilisedOnPasture</v>
      </c>
    </row>
    <row r="8" spans="1:23" ht="20.100000000000001" customHeight="1" x14ac:dyDescent="0.25">
      <c r="A8" s="17" t="str">
        <f>HYPERLINK("#'Input - Site'!A1", "Site")</f>
        <v>Site</v>
      </c>
    </row>
    <row r="9" spans="1:23" ht="20.100000000000001" customHeight="1" x14ac:dyDescent="0.25">
      <c r="A9" s="17" t="str">
        <f>HYPERLINK("#'Input - Dairy'!A1", "Dairy")</f>
        <v>Dairy</v>
      </c>
    </row>
    <row r="10" spans="1:23" ht="20.100000000000001" customHeight="1" x14ac:dyDescent="0.25">
      <c r="A10" s="17"/>
      <c r="D10" s="56" t="s">
        <v>30</v>
      </c>
      <c r="E10" s="1" t="str" cm="1">
        <f t="array" ref="E10">MMS_Dairy_Soil_AtmosphericDeposition_Equations.VEERG_4_3_1_10__2_MassOfNitrogenVolatilisedOnPasture_Variable()</f>
        <v>M_vol_m14</v>
      </c>
    </row>
    <row r="11" spans="1:23" ht="20.100000000000001" customHeight="1" x14ac:dyDescent="0.25">
      <c r="A11" s="19" t="s">
        <v>76</v>
      </c>
      <c r="D11" s="56" t="s">
        <v>20</v>
      </c>
      <c r="E11" s="57" t="str" cm="1">
        <f t="array" ref="E11">MMS_Dairy_Soil_AtmosphericDeposition_Equations.VEERG_4_3_1_10__2_MassOfNitrogenVolatilisedOnPasture_Unit()</f>
        <v>kg N</v>
      </c>
    </row>
    <row r="12" spans="1:23" ht="20.100000000000001" customHeight="1" x14ac:dyDescent="0.25">
      <c r="A12" s="17" t="str">
        <f>HYPERLINK("#'4.3.1.1-2 Methane'!A1", "4.3.1.1-2 Methane")</f>
        <v>4.3.1.1-2 Methane</v>
      </c>
    </row>
    <row r="13" spans="1:23" ht="20.100000000000001" customHeight="1" x14ac:dyDescent="0.25">
      <c r="A13" s="17" t="str">
        <f>HYPERLINK("#'4.3.1.3-4 Direct N20'!A1", "4.3.1.3-4 Direct N2O")</f>
        <v>4.3.1.3-4 Direct N2O</v>
      </c>
      <c r="D13" s="137" t="str" cm="1">
        <f t="array" ref="D13:E14">_xlfn.CHOOSECOLS(MMS_Dairy_Soil_AtmosphericDeposition_Equations.VEERG_4_3_1_10__2_MassOfNitrogenVolatilisedOnPasture_Arguments(),1,2)</f>
        <v>MN_jm14</v>
      </c>
      <c r="E13" s="137" t="str">
        <v>mass of nitrogen excreted on pasture, range and paddock for each dairy class</v>
      </c>
      <c r="F13" s="137"/>
      <c r="G13" s="137" t="str" cm="1">
        <f t="array" ref="G13:H14">_xlfn.CHOOSECOLS(MMS_Dairy_Soil_AtmosphericDeposition_Equations.VEERG_4_3_1_10__2_MassOfNitrogenVolatilisedOnPasture_Arguments(),3,4)</f>
        <v>kg N</v>
      </c>
      <c r="H13" s="133" t="str">
        <v>Calculated from 4.3.1.3 (2)</v>
      </c>
      <c r="I13" s="134" t="str" cm="1">
        <f t="array" aca="1" ref="I13" ca="1">HYPERLINK(Common_InputFunctions.Utility_SourceHyperlink($D$16),$D$16)</f>
        <v>M1_Table_MN_j_m-14</v>
      </c>
    </row>
    <row r="14" spans="1:23" ht="20.100000000000001" customHeight="1" x14ac:dyDescent="0.25">
      <c r="A14" s="17" t="str">
        <f>HYPERLINK("#'4.3.1.5 Atmos Deposition'!A1", "4.3.1.5 Atmospheric deposition")</f>
        <v>4.3.1.5 Atmospheric deposition</v>
      </c>
      <c r="D14" s="137" t="str">
        <v>FracGASMsoil</v>
      </c>
      <c r="E14" s="137" t="str">
        <v>fraction of nitrogen volatilised from urine and faeces deposited on pasture</v>
      </c>
      <c r="F14" s="137"/>
      <c r="G14" s="137" t="str">
        <v>(kg NH3-N + NOx-N)/kg N)</v>
      </c>
      <c r="H14" s="133" t="str">
        <v>Constant</v>
      </c>
      <c r="I14" s="137">
        <f>'Constants - Dairy'!$D$221</f>
        <v>0.21</v>
      </c>
    </row>
    <row r="15" spans="1:23" ht="20.100000000000001" customHeight="1" x14ac:dyDescent="0.25">
      <c r="A15" s="17" t="str">
        <f>HYPERLINK("#'4.3.1.6-7 Leaching and runoff'!A1", "4.3.1.6-7 Leaching and runoff")</f>
        <v>4.3.1.6-7 Leaching and runoff</v>
      </c>
    </row>
    <row r="16" spans="1:23" ht="20.100000000000001" customHeight="1" x14ac:dyDescent="0.25">
      <c r="A16" s="17" t="str">
        <f>HYPERLINK("#'4.3.1.8 Manure applied to soils'!A1", "4.3.1.8 Manure applied to soils")</f>
        <v>4.3.1.8 Manure applied to soils</v>
      </c>
      <c r="D16" s="104" t="s">
        <v>356</v>
      </c>
      <c r="M16" s="59"/>
      <c r="O16" s="104" t="s">
        <v>358</v>
      </c>
    </row>
    <row r="17" spans="1:23" ht="20.100000000000001" customHeight="1" x14ac:dyDescent="0.25">
      <c r="A17" s="17" t="str">
        <f>HYPERLINK("#'4.3.1.9 Soil direct N2O'!A1", "4.3.1.9 Soil direct N2O")</f>
        <v>4.3.1.9 Soil direct N2O</v>
      </c>
      <c r="D17" s="103" t="s">
        <v>357</v>
      </c>
      <c r="M17" s="59"/>
      <c r="O17" s="103" t="s">
        <v>359</v>
      </c>
    </row>
    <row r="18" spans="1:23" ht="20.100000000000001" customHeight="1" x14ac:dyDescent="0.25">
      <c r="A18" s="22" t="str">
        <f>HYPERLINK("#'4.3.1.10-11 Soil Atmos Dep'!A1", "4.3.1.10-11 Soil atm. deposition")</f>
        <v>4.3.1.10-11 Soil atm. deposition</v>
      </c>
      <c r="D18" s="54" t="s">
        <v>146</v>
      </c>
      <c r="E18" s="54" t="s">
        <v>68</v>
      </c>
      <c r="F18" s="54" t="s">
        <v>171</v>
      </c>
      <c r="G18" s="54" t="s">
        <v>188</v>
      </c>
      <c r="H18" s="54" t="s">
        <v>189</v>
      </c>
      <c r="I18" s="54" t="s">
        <v>190</v>
      </c>
      <c r="J18" s="54" t="s">
        <v>191</v>
      </c>
      <c r="M18" s="59"/>
      <c r="O18" s="54" t="s">
        <v>146</v>
      </c>
      <c r="P18" s="54" t="s">
        <v>68</v>
      </c>
      <c r="Q18" s="54" t="s">
        <v>171</v>
      </c>
      <c r="R18" s="54" t="s">
        <v>188</v>
      </c>
      <c r="S18" s="54" t="s">
        <v>189</v>
      </c>
      <c r="T18" s="54" t="s">
        <v>190</v>
      </c>
      <c r="U18" s="54" t="s">
        <v>191</v>
      </c>
    </row>
    <row r="19" spans="1:23" ht="20.100000000000001" customHeight="1" x14ac:dyDescent="0.25">
      <c r="A19" s="17" t="str">
        <f>HYPERLINK("#'4.3.1.12-13 Soil leach runoff'!A1", "4.3.1.12-13 Soil leach &amp; runoff")</f>
        <v>4.3.1.12-13 Soil leach &amp; runoff</v>
      </c>
      <c r="D19" s="55" t="str">
        <f>'Input - Dairy'!$D$65</f>
        <v>Pasture</v>
      </c>
      <c r="E19" s="55" t="str">
        <f>'Constants - Livestock'!$E$27</f>
        <v>Pasture range and paddock</v>
      </c>
      <c r="F19" s="55">
        <f>'4.3.1.9 Soil direct N2O'!$F$31</f>
        <v>11810.30628429595</v>
      </c>
      <c r="G19" s="55">
        <f>'4.3.1.9 Soil direct N2O'!$G$31</f>
        <v>4426.3236377252861</v>
      </c>
      <c r="H19" s="55">
        <f>'4.3.1.9 Soil direct N2O'!$H$31</f>
        <v>1762.9578946423812</v>
      </c>
      <c r="I19" s="55">
        <f>'4.3.1.9 Soil direct N2O'!$I$31</f>
        <v>5564.0638693222609</v>
      </c>
      <c r="J19" s="55">
        <f>'4.3.1.9 Soil direct N2O'!$J$31</f>
        <v>2329.2802581916176</v>
      </c>
      <c r="K19" s="2" t="str">
        <f>$E$11</f>
        <v>kg N</v>
      </c>
      <c r="M19" s="59"/>
      <c r="O19" s="55" t="str">
        <f>'Input - Dairy'!$D$65</f>
        <v>Pasture</v>
      </c>
      <c r="P19" s="55" t="str">
        <f>'Constants - Livestock'!$E$27</f>
        <v>Pasture range and paddock</v>
      </c>
      <c r="Q19" s="55">
        <f>'4.3.1.9 Soil direct N2O'!$Q$31</f>
        <v>11810.30628429595</v>
      </c>
      <c r="R19" s="55">
        <f>'4.3.1.9 Soil direct N2O'!$R$31</f>
        <v>4426.3236377252861</v>
      </c>
      <c r="S19" s="55">
        <f>'4.3.1.9 Soil direct N2O'!$S$31</f>
        <v>1762.9578946423812</v>
      </c>
      <c r="T19" s="55">
        <f>'4.3.1.9 Soil direct N2O'!$T$31</f>
        <v>5564.0638693222609</v>
      </c>
      <c r="U19" s="55">
        <f>'4.3.1.9 Soil direct N2O'!$U$31</f>
        <v>2329.2802581916176</v>
      </c>
      <c r="V19" s="2" t="str">
        <f>$E$11</f>
        <v>kg N</v>
      </c>
    </row>
    <row r="20" spans="1:23" ht="20.100000000000001" customHeight="1" x14ac:dyDescent="0.25">
      <c r="A20" s="17"/>
    </row>
    <row r="21" spans="1:23" ht="20.100000000000001" customHeight="1" x14ac:dyDescent="0.25">
      <c r="A21" s="18" t="s">
        <v>4</v>
      </c>
      <c r="D21" s="104" t="s">
        <v>364</v>
      </c>
      <c r="O21" s="104" t="s">
        <v>366</v>
      </c>
    </row>
    <row r="22" spans="1:23" ht="20.100000000000001" customHeight="1" x14ac:dyDescent="0.25">
      <c r="A22" s="17" t="str">
        <f>HYPERLINK("#'Constants - Dairy'!A1", "Constants - Dairy")</f>
        <v>Constants - Dairy</v>
      </c>
      <c r="D22" s="103" t="s">
        <v>365</v>
      </c>
      <c r="O22" s="103" t="s">
        <v>367</v>
      </c>
    </row>
    <row r="23" spans="1:23" ht="20.100000000000001" customHeight="1" x14ac:dyDescent="0.25">
      <c r="A23" s="17" t="str">
        <f>HYPERLINK("#'Constants - Livestock'!A1", "Constants - Livestock")</f>
        <v>Constants - Livestock</v>
      </c>
      <c r="D23" s="54" t="s">
        <v>146</v>
      </c>
      <c r="E23" s="54" t="s">
        <v>68</v>
      </c>
      <c r="F23" s="54" t="s">
        <v>171</v>
      </c>
      <c r="G23" s="54" t="s">
        <v>188</v>
      </c>
      <c r="H23" s="54" t="s">
        <v>189</v>
      </c>
      <c r="I23" s="54" t="s">
        <v>190</v>
      </c>
      <c r="J23" s="54" t="s">
        <v>191</v>
      </c>
      <c r="O23" s="54" t="s">
        <v>146</v>
      </c>
      <c r="P23" s="54" t="s">
        <v>68</v>
      </c>
      <c r="Q23" s="54" t="s">
        <v>171</v>
      </c>
      <c r="R23" s="54" t="s">
        <v>188</v>
      </c>
      <c r="S23" s="54" t="s">
        <v>189</v>
      </c>
      <c r="T23" s="54" t="s">
        <v>190</v>
      </c>
      <c r="U23" s="54" t="s">
        <v>191</v>
      </c>
    </row>
    <row r="24" spans="1:23" ht="20.100000000000001" customHeight="1" x14ac:dyDescent="0.25">
      <c r="A24" s="17" t="str">
        <f>HYPERLINK("#'Constants - Common'!A1", "Constants - Common")</f>
        <v>Constants - Common</v>
      </c>
      <c r="D24" s="55" t="str">
        <f>'Input - Dairy'!$D$65</f>
        <v>Pasture</v>
      </c>
      <c r="E24" s="55" t="str">
        <f>'Constants - Livestock'!$E$27</f>
        <v>Pasture range and paddock</v>
      </c>
      <c r="F24" s="55" cm="1">
        <f t="array" ref="F24">MMS_Dairy_Soil_AtmosphericDeposition_Equations.VEERG_4_3_1_10__2_MassOfNitrogenVolatilisedOnPasture(F19,$I$14)</f>
        <v>2480.1643197021494</v>
      </c>
      <c r="G24" s="55" cm="1">
        <f t="array" ref="G24">MMS_Dairy_Soil_AtmosphericDeposition_Equations.VEERG_4_3_1_10__2_MassOfNitrogenVolatilisedOnPasture(G19,$I$14)</f>
        <v>929.52796392231005</v>
      </c>
      <c r="H24" s="55" cm="1">
        <f t="array" ref="H24">MMS_Dairy_Soil_AtmosphericDeposition_Equations.VEERG_4_3_1_10__2_MassOfNitrogenVolatilisedOnPasture(H19,$I$14)</f>
        <v>370.22115787490003</v>
      </c>
      <c r="I24" s="55" cm="1">
        <f t="array" ref="I24">MMS_Dairy_Soil_AtmosphericDeposition_Equations.VEERG_4_3_1_10__2_MassOfNitrogenVolatilisedOnPasture(I19,$I$14)</f>
        <v>1168.4534125576747</v>
      </c>
      <c r="J24" s="55" cm="1">
        <f t="array" ref="J24">MMS_Dairy_Soil_AtmosphericDeposition_Equations.VEERG_4_3_1_10__2_MassOfNitrogenVolatilisedOnPasture(J19,$I$14)</f>
        <v>489.14885422023968</v>
      </c>
      <c r="K24" s="2" t="str">
        <f>$E$11</f>
        <v>kg N</v>
      </c>
      <c r="O24" s="55" t="str">
        <f>'Input - Dairy'!$D$65</f>
        <v>Pasture</v>
      </c>
      <c r="P24" s="55" t="str">
        <f>'Constants - Livestock'!$E$27</f>
        <v>Pasture range and paddock</v>
      </c>
      <c r="Q24" s="55" cm="1">
        <f t="array" ref="Q24">MMS_Dairy_Soil_AtmosphericDeposition_Equations.VEERG_4_3_1_10__2_MassOfNitrogenVolatilisedOnPasture(Q19,$I$14)</f>
        <v>2480.1643197021494</v>
      </c>
      <c r="R24" s="55" cm="1">
        <f t="array" ref="R24">MMS_Dairy_Soil_AtmosphericDeposition_Equations.VEERG_4_3_1_10__2_MassOfNitrogenVolatilisedOnPasture(R19,$I$14)</f>
        <v>929.52796392231005</v>
      </c>
      <c r="S24" s="55" cm="1">
        <f t="array" ref="S24">MMS_Dairy_Soil_AtmosphericDeposition_Equations.VEERG_4_3_1_10__2_MassOfNitrogenVolatilisedOnPasture(S19,$I$14)</f>
        <v>370.22115787490003</v>
      </c>
      <c r="T24" s="55" cm="1">
        <f t="array" ref="T24">MMS_Dairy_Soil_AtmosphericDeposition_Equations.VEERG_4_3_1_10__2_MassOfNitrogenVolatilisedOnPasture(T19,$I$14)</f>
        <v>1168.4534125576747</v>
      </c>
      <c r="U24" s="55" cm="1">
        <f t="array" ref="U24">MMS_Dairy_Soil_AtmosphericDeposition_Equations.VEERG_4_3_1_10__2_MassOfNitrogenVolatilisedOnPasture(U19,$I$14)</f>
        <v>489.14885422023968</v>
      </c>
      <c r="V24" s="2" t="str">
        <f>$E$11</f>
        <v>kg N</v>
      </c>
    </row>
    <row r="25" spans="1:23" ht="20.100000000000001" customHeight="1" x14ac:dyDescent="0.25">
      <c r="A25" s="17" t="str">
        <f>HYPERLINK("#'Acknowledgements'!A1", "Acknowledgements")</f>
        <v>Acknowledgements</v>
      </c>
    </row>
    <row r="26" spans="1:23" ht="20.100000000000001" customHeight="1" x14ac:dyDescent="0.25">
      <c r="D26" s="118" t="s">
        <v>378</v>
      </c>
      <c r="E26" s="48">
        <f>SUM(F24:J24)</f>
        <v>5437.5157082772739</v>
      </c>
      <c r="F26" s="112" t="str">
        <f>$E$11</f>
        <v>kg N</v>
      </c>
      <c r="O26" s="118" t="s">
        <v>378</v>
      </c>
      <c r="P26" s="48">
        <f>SUM(Q24:U24)</f>
        <v>5437.5157082772739</v>
      </c>
      <c r="Q26" s="112" t="str">
        <f>$E$11</f>
        <v>kg N</v>
      </c>
    </row>
    <row r="27" spans="1:23" ht="20.100000000000001" customHeight="1" x14ac:dyDescent="0.25"/>
    <row r="28" spans="1:23" ht="20.100000000000001" customHeight="1" x14ac:dyDescent="0.25"/>
    <row r="29" spans="1:23" ht="20.100000000000001" customHeight="1" x14ac:dyDescent="0.25">
      <c r="C29" s="48"/>
      <c r="D29" s="48"/>
      <c r="E29" s="48"/>
      <c r="F29" s="48"/>
      <c r="G29" s="48"/>
      <c r="H29" s="48"/>
      <c r="I29" s="48"/>
      <c r="J29" s="48"/>
      <c r="K29" s="48"/>
      <c r="L29" s="48"/>
      <c r="N29" s="48"/>
      <c r="O29" s="48"/>
      <c r="P29" s="48"/>
      <c r="Q29" s="48"/>
      <c r="R29" s="48"/>
      <c r="S29" s="48"/>
      <c r="T29" s="48"/>
      <c r="U29" s="48"/>
      <c r="V29" s="48"/>
      <c r="W29" s="48"/>
    </row>
    <row r="30" spans="1:23" ht="20.100000000000001" customHeight="1" x14ac:dyDescent="0.25">
      <c r="D30" s="6" t="str" cm="1">
        <f t="array" ref="D30">MMS_Dairy_Soil_AtmosphericDeposition_Equations.VEERG_4_3_1_10__1_AtmosphericDepositionEmissionsFromUrineAndDungOnPasture_Title()</f>
        <v>Atmospheric deposition emissions from urine and dung deposited on pasture</v>
      </c>
    </row>
    <row r="31" spans="1:23" ht="20.100000000000001" customHeight="1" x14ac:dyDescent="0.25">
      <c r="D31" s="5" t="str" cm="1">
        <f t="array" ref="D31">MMS_Dairy_Soil_AtmosphericDeposition_Equations.VEERG_4_3_1_10__1_AtmosphericDepositionEmissionsFromUrineAndDungOnPasture_Source()</f>
        <v>VEERG 2026: 4.3.1.10, Equation (1)</v>
      </c>
    </row>
    <row r="32" spans="1:23" ht="20.100000000000001" customHeight="1" x14ac:dyDescent="0.25">
      <c r="D32" s="13" t="s">
        <v>27</v>
      </c>
      <c r="E32" s="13" t="str" cm="1">
        <f t="array" aca="1" ref="E32" ca="1">Common_InputFunctions.Utility_DisplayFunctionName(E45)</f>
        <v>=MMS_Dairy_Soil_AtmosphericDeposition_Equations.VEERG_4_3_1_10__1_AtmosphericDepositionEmissionsFromUrineAndDungOnPasture</v>
      </c>
    </row>
    <row r="33" spans="4:19" ht="20.100000000000001" customHeight="1" x14ac:dyDescent="0.25"/>
    <row r="34" spans="4:19" ht="20.100000000000001" customHeight="1" x14ac:dyDescent="0.25"/>
    <row r="35" spans="4:19" ht="20.100000000000001" customHeight="1" x14ac:dyDescent="0.25">
      <c r="D35" s="56" t="s">
        <v>30</v>
      </c>
      <c r="E35" s="1" t="str" cm="1">
        <f t="array" ref="E35">MMS_Dairy_Soil_AtmosphericDeposition_Equations.VEERG_4_3_1_10__1_AtmosphericDepositionEmissionsFromUrineAndDungOnPasture_Variable()</f>
        <v>E_N2Oad</v>
      </c>
    </row>
    <row r="36" spans="4:19" ht="20.100000000000001" customHeight="1" x14ac:dyDescent="0.25">
      <c r="D36" s="56" t="s">
        <v>20</v>
      </c>
      <c r="E36" s="57" t="str" cm="1">
        <f t="array" ref="E36">MMS_Dairy_Soil_AtmosphericDeposition_Equations.VEERG_4_3_1_10__1_AtmosphericDepositionEmissionsFromUrineAndDungOnPasture_Unit()</f>
        <v>t N2O</v>
      </c>
    </row>
    <row r="37" spans="4:19" ht="20.100000000000001" customHeight="1" x14ac:dyDescent="0.25"/>
    <row r="38" spans="4:19" ht="20.100000000000001" customHeight="1" x14ac:dyDescent="0.25">
      <c r="D38" s="137" t="str" cm="1">
        <f t="array" ref="D38:E43">_xlfn.CHOOSECOLS(MMS_Dairy_Soil_AtmosphericDeposition_Equations.VEERG_4_3_1_10__1_AtmosphericDepositionEmissionsFromUrineAndDungOnPasture_Arguments(),1,2)</f>
        <v>M_vol_m14</v>
      </c>
      <c r="E38" s="136" t="str">
        <v>mass of nitrogen volatilised from urine and faeces deposited on pasture</v>
      </c>
      <c r="F38" s="138"/>
      <c r="G38" s="137" t="str" cm="1">
        <f t="array" ref="G38:H43">_xlfn.CHOOSECOLS(MMS_Dairy_Soil_AtmosphericDeposition_Equations.VEERG_4_3_1_10__1_AtmosphericDepositionEmissionsFromUrineAndDungOnPasture_Arguments(),3,4)</f>
        <v>kg N</v>
      </c>
      <c r="H38" s="133" t="str">
        <v>Calculated from 4.3.1.10 (2)</v>
      </c>
      <c r="I38" s="137">
        <f>$E$26</f>
        <v>5437.5157082772739</v>
      </c>
      <c r="O38" s="60" t="str">
        <f>D38</f>
        <v>M_vol_m14</v>
      </c>
      <c r="P38" s="60" t="str">
        <f>E38</f>
        <v>mass of nitrogen volatilised from urine and faeces deposited on pasture</v>
      </c>
      <c r="Q38" s="61"/>
      <c r="R38" s="62"/>
      <c r="S38" s="60">
        <f>$P$26</f>
        <v>5437.5157082772739</v>
      </c>
    </row>
    <row r="39" spans="4:19" ht="20.100000000000001" customHeight="1" x14ac:dyDescent="0.25">
      <c r="D39" s="137" t="str">
        <v>EF_N2O</v>
      </c>
      <c r="E39" s="136" t="str">
        <v>nitrous oxide emission factor for atmospheric deposition</v>
      </c>
      <c r="F39" s="138"/>
      <c r="G39" s="137" t="str">
        <v>kg N2O-N/kg N</v>
      </c>
      <c r="H39" s="133" t="str">
        <v>Constant</v>
      </c>
      <c r="I39" s="137">
        <f>Common_InputFunctions.Utility_LookupN2OEFFromProdIrrigationRainfall(I41,I42,I43,Table_SourceData_Common_EFN2O[Production system only],Table_SourceData_Common_EFN2O[Irrigation method],Table_SourceData_Common_EFN2O[Rainfall zone],Table_SourceData_Common_EFN2O[EFN2O])</f>
        <v>5.8999999999999999E-3</v>
      </c>
      <c r="O39" s="60"/>
      <c r="P39" s="61"/>
      <c r="Q39" s="105"/>
      <c r="R39" s="62"/>
      <c r="S39" s="60"/>
    </row>
    <row r="40" spans="4:19" ht="20.100000000000001" customHeight="1" x14ac:dyDescent="0.25">
      <c r="D40" s="137" t="str">
        <v>C_N2O</v>
      </c>
      <c r="E40" s="136" t="str">
        <v>factor to convert elemental mass of N2O to molecular mass</v>
      </c>
      <c r="F40" s="138"/>
      <c r="G40" s="137" t="str">
        <v/>
      </c>
      <c r="H40" s="133" t="str">
        <v>Constant</v>
      </c>
      <c r="I40" s="137">
        <f>Common_InputFunctions.Utility_LookupValueInTableNumber("N2O",Table_GasToMolecularConversionFactor[Gas],Table_GasToMolecularConversionFactor[Conversion factor combined])</f>
        <v>1.5714285714285714</v>
      </c>
      <c r="O40" s="60"/>
      <c r="P40" s="61"/>
      <c r="Q40" s="105"/>
      <c r="R40" s="62"/>
      <c r="S40" s="60"/>
    </row>
    <row r="41" spans="4:19" ht="20.100000000000001" customHeight="1" x14ac:dyDescent="0.25">
      <c r="D41" s="137" t="str">
        <v>j</v>
      </c>
      <c r="E41" s="136" t="str">
        <v>production system</v>
      </c>
      <c r="F41" s="138"/>
      <c r="G41" s="137" t="str">
        <v/>
      </c>
      <c r="H41" s="135" t="str">
        <v>Input</v>
      </c>
      <c r="I41" s="137" t="str">
        <f>'Input - Dairy'!$E$125</f>
        <v>Pasture</v>
      </c>
      <c r="O41" s="60"/>
      <c r="P41" s="61"/>
      <c r="Q41" s="105"/>
      <c r="R41" s="62"/>
      <c r="S41" s="60"/>
    </row>
    <row r="42" spans="4:19" ht="20.100000000000001" customHeight="1" x14ac:dyDescent="0.25">
      <c r="D42" s="137" t="str">
        <v>ir</v>
      </c>
      <c r="E42" s="136" t="str">
        <v>irrigation method</v>
      </c>
      <c r="F42" s="138"/>
      <c r="G42" s="137" t="str">
        <v/>
      </c>
      <c r="H42" s="135" t="str">
        <v>Input</v>
      </c>
      <c r="I42" s="137" t="str">
        <f>'Input - Dairy'!$E$126</f>
        <v>Sprinkler Irrigation</v>
      </c>
      <c r="O42" s="60"/>
      <c r="P42" s="61"/>
      <c r="Q42" s="105"/>
      <c r="R42" s="62"/>
      <c r="S42" s="60"/>
    </row>
    <row r="43" spans="4:19" ht="20.100000000000001" customHeight="1" x14ac:dyDescent="0.25">
      <c r="D43" s="137" t="str">
        <v>r</v>
      </c>
      <c r="E43" s="136" t="str">
        <v>rainfall region</v>
      </c>
      <c r="F43" s="138"/>
      <c r="G43" s="137" t="str">
        <v/>
      </c>
      <c r="H43" s="135" t="str">
        <v>Input</v>
      </c>
      <c r="I43" s="137" t="str">
        <f>'Input - Site'!$E$30</f>
        <v>High rainfall</v>
      </c>
      <c r="O43" s="60"/>
      <c r="P43" s="61"/>
      <c r="Q43" s="105"/>
      <c r="R43" s="62"/>
      <c r="S43" s="60"/>
    </row>
    <row r="44" spans="4:19" ht="20.100000000000001" customHeight="1" x14ac:dyDescent="0.25"/>
    <row r="45" spans="4:19" ht="20.100000000000001" customHeight="1" x14ac:dyDescent="0.25">
      <c r="D45" s="108" t="s">
        <v>153</v>
      </c>
      <c r="E45" s="109" cm="1">
        <f t="array" ref="E45">MMS_Dairy_Soil_AtmosphericDeposition_Equations.VEERG_4_3_1_10__1_AtmosphericDepositionEmissionsFromUrineAndDungOnPasture($I$38,$I$39,$I$40)</f>
        <v>5.0413538495313583E-2</v>
      </c>
      <c r="F45" s="110" t="str">
        <f>$E$36</f>
        <v>t N2O</v>
      </c>
      <c r="O45" s="108" t="s">
        <v>153</v>
      </c>
      <c r="P45" s="109" cm="1">
        <f t="array" ref="P45">MMS_Dairy_Soil_AtmosphericDeposition_Equations.VEERG_4_3_1_10__1_AtmosphericDepositionEmissionsFromUrineAndDungOnPasture($S$38,$I$39,$I$40)</f>
        <v>5.0413538495313583E-2</v>
      </c>
      <c r="Q45" s="110" t="str">
        <f>$E$36</f>
        <v>t N2O</v>
      </c>
    </row>
    <row r="46" spans="4:19" ht="20.100000000000001" customHeight="1" x14ac:dyDescent="0.25"/>
    <row r="47" spans="4:19" ht="20.100000000000001" customHeight="1" x14ac:dyDescent="0.25">
      <c r="D47" s="60" t="str" cm="1">
        <f t="array" ref="D47:E48">Common_Equations.Common_ConvertN2OToCO2e_Arguments()</f>
        <v>EN2O</v>
      </c>
      <c r="E47" s="61" t="str">
        <v>Nitrous oxide emissions (t N2O)</v>
      </c>
      <c r="F47" s="111"/>
      <c r="G47" s="55">
        <f>E45</f>
        <v>5.0413538495313583E-2</v>
      </c>
      <c r="O47" s="60" t="str" cm="1">
        <f t="array" ref="O47:P48">Common_Equations.Common_ConvertN2OToCO2e_Arguments()</f>
        <v>EN2O</v>
      </c>
      <c r="P47" s="61" t="str">
        <v>Nitrous oxide emissions (t N2O)</v>
      </c>
      <c r="Q47" s="111"/>
      <c r="R47" s="55">
        <f>P45</f>
        <v>5.0413538495313583E-2</v>
      </c>
    </row>
    <row r="48" spans="4:19" ht="20.100000000000001" customHeight="1" x14ac:dyDescent="0.25">
      <c r="D48" s="60" t="str">
        <v>GWPN2O</v>
      </c>
      <c r="E48" s="61" t="str">
        <v>Global warming potential for nitrous oxide (t CO2-e / t N2O)</v>
      </c>
      <c r="F48" s="111"/>
      <c r="G48" s="55">
        <f>Common_InputFunctions.Utility_LookupValueInTableNumber("N2O",Table_GWPData[Gas],Table_GWPData[CO2-e factor])</f>
        <v>265</v>
      </c>
      <c r="O48" s="60" t="str">
        <v>GWPN2O</v>
      </c>
      <c r="P48" s="61" t="str">
        <v>Global warming potential for nitrous oxide (t CO2-e / t N2O)</v>
      </c>
      <c r="Q48" s="111"/>
      <c r="R48" s="55">
        <f>Common_InputFunctions.Utility_LookupValueInTableNumber("N2O",Table_GWPData[Gas],Table_GWPData[CO2-e factor])</f>
        <v>265</v>
      </c>
    </row>
    <row r="49" spans="1:17" ht="20.100000000000001" customHeight="1" x14ac:dyDescent="0.25"/>
    <row r="50" spans="1:17" ht="20.100000000000001" customHeight="1" x14ac:dyDescent="0.25">
      <c r="A50" s="141" t="str">
        <f>HYPERLINK("#A1", "▲ Back to top")</f>
        <v>▲ Back to top</v>
      </c>
      <c r="D50" s="48" t="s">
        <v>108</v>
      </c>
      <c r="E50" s="48" cm="1">
        <f t="array" ref="E50">Common_Equations.Common_ConvertN2OToCO2e(G47,G48)</f>
        <v>13.3595877012581</v>
      </c>
      <c r="F50" s="112" t="str" cm="1">
        <f t="array" ref="F50">Common_Equations.Common_ConvertN2OToCO2e_Unit()</f>
        <v>t CO2e</v>
      </c>
      <c r="O50" s="48" t="s">
        <v>108</v>
      </c>
      <c r="P50" s="48" cm="1">
        <f t="array" ref="P50">Common_Equations.Common_ConvertN2OToCO2e(R47,R48)</f>
        <v>13.3595877012581</v>
      </c>
      <c r="Q50" s="112" t="str" cm="1">
        <f t="array" ref="Q50">Common_Equations.Common_ConvertN2OToCO2e_Unit()</f>
        <v>t CO2e</v>
      </c>
    </row>
    <row r="51" spans="1:17" ht="20.100000000000001" customHeight="1" x14ac:dyDescent="0.25"/>
    <row r="52" spans="1:17" ht="20.100000000000001" customHeight="1" x14ac:dyDescent="0.25"/>
    <row r="53" spans="1:17" ht="20.100000000000001" customHeight="1" x14ac:dyDescent="0.25"/>
    <row r="54" spans="1:17" ht="20.100000000000001" customHeight="1" x14ac:dyDescent="0.25"/>
    <row r="55" spans="1:17" ht="20.100000000000001" customHeight="1" x14ac:dyDescent="0.25"/>
    <row r="56" spans="1:17" ht="20.100000000000001" customHeight="1" x14ac:dyDescent="0.25"/>
    <row r="57" spans="1:17" ht="20.100000000000001" customHeight="1" x14ac:dyDescent="0.25"/>
    <row r="58" spans="1:17" ht="20.100000000000001" customHeight="1" x14ac:dyDescent="0.25"/>
    <row r="59" spans="1:17" ht="20.100000000000001" customHeight="1" x14ac:dyDescent="0.25"/>
    <row r="60" spans="1:17" ht="20.100000000000001" customHeight="1" x14ac:dyDescent="0.25"/>
    <row r="61" spans="1:17" ht="20.100000000000001" customHeight="1" x14ac:dyDescent="0.25"/>
    <row r="62" spans="1:17" ht="20.100000000000001" customHeight="1" x14ac:dyDescent="0.25"/>
    <row r="63" spans="1:17" ht="20.100000000000001" customHeight="1" x14ac:dyDescent="0.25"/>
    <row r="64" spans="1:17"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disablePrompts="1" count="1">
    <dataValidation operator="equal" allowBlank="1" showInputMessage="1" showErrorMessage="1" sqref="E19 P19 E24 P24" xr:uid="{27894986-D8F7-4ECC-BDC3-495A6C274A89}"/>
  </dataValidation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368BED-F848-481C-B828-A6A4B3B45E3C}">
  <dimension ref="A1:W165"/>
  <sheetViews>
    <sheetView showGridLines="0" workbookViewId="0">
      <selection activeCell="H19" sqref="H19"/>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2" width="30.7109375" style="1" customWidth="1"/>
    <col min="23" max="23" width="4.7109375" style="1" customWidth="1"/>
  </cols>
  <sheetData>
    <row r="1" spans="1:23" s="8" customFormat="1" ht="30" customHeight="1" x14ac:dyDescent="0.35">
      <c r="A1" s="8" t="e" vm="1">
        <v>#VALUE!</v>
      </c>
      <c r="C1" s="8" t="s">
        <v>370</v>
      </c>
    </row>
    <row r="2" spans="1:23" s="9" customFormat="1" ht="20.100000000000001" customHeight="1" x14ac:dyDescent="0.25"/>
    <row r="3" spans="1:23" ht="20.100000000000001" customHeight="1" x14ac:dyDescent="0.25">
      <c r="A3" s="17" t="str">
        <f>HYPERLINK("#'Home'!A1", "Home")</f>
        <v>Home</v>
      </c>
      <c r="C3" s="4"/>
      <c r="D3" s="4"/>
      <c r="E3" s="4"/>
      <c r="F3" s="4"/>
      <c r="G3" s="4"/>
      <c r="H3" s="4"/>
      <c r="I3" s="4"/>
      <c r="J3" s="4"/>
      <c r="K3" s="4"/>
      <c r="L3" s="4"/>
      <c r="N3" s="4"/>
      <c r="O3" s="4"/>
      <c r="P3" s="4"/>
      <c r="Q3" s="4"/>
      <c r="R3" s="4"/>
      <c r="S3" s="4"/>
      <c r="T3" s="4"/>
      <c r="U3" s="4"/>
      <c r="V3" s="4"/>
      <c r="W3" s="4"/>
    </row>
    <row r="4" spans="1:23" ht="20.100000000000001" customHeight="1" x14ac:dyDescent="0.25">
      <c r="A4" s="17" t="str">
        <f>HYPERLINK("#'Overview'!A1", "Overview")</f>
        <v>Overview</v>
      </c>
    </row>
    <row r="5" spans="1:23" ht="20.100000000000001" customHeight="1" x14ac:dyDescent="0.25">
      <c r="A5" s="17" t="str">
        <f>HYPERLINK("#'Results'!A1", "Results")</f>
        <v>Results</v>
      </c>
      <c r="D5" s="6" t="str" cm="1">
        <f t="array" ref="D5">MMS_Dairy_Soil_LeachingAndRunoff.VEERG_4_3_1_12__2_MassOfNitrogenLostToLeachingAndRunoffOnPasture_Title()</f>
        <v>Mass of nitrogen lost to leaching and runoff from urine and faeces on pasture</v>
      </c>
    </row>
    <row r="6" spans="1:23" ht="20.100000000000001" customHeight="1" x14ac:dyDescent="0.25">
      <c r="A6" s="16"/>
      <c r="D6" s="5" t="str" cm="1">
        <f t="array" ref="D6">MMS_Dairy_Soil_LeachingAndRunoff.VEERG_4_3_1_12__2_MassOfNitrogenLostToLeachingAndRunoffOnPasture_Source()</f>
        <v>VEERG 2026: 4.3.1.12, Equation (2)</v>
      </c>
    </row>
    <row r="7" spans="1:23" ht="20.100000000000001" customHeight="1" x14ac:dyDescent="0.25">
      <c r="A7" s="20" t="s">
        <v>3</v>
      </c>
      <c r="D7" s="13" t="s">
        <v>27</v>
      </c>
      <c r="E7" s="13" t="str" cm="1">
        <f t="array" aca="1" ref="E7" ca="1">Common_InputFunctions.Utility_DisplayFunctionName($F$28)</f>
        <v>=MMS_Dairy_Soil_LeachingAndRunoff.VEERG_4_3_1_12__2_MassOfNitrogenLostToLeachingAndRunoffOnPasture</v>
      </c>
    </row>
    <row r="8" spans="1:23" ht="20.100000000000001" customHeight="1" x14ac:dyDescent="0.25">
      <c r="A8" s="17" t="str">
        <f>HYPERLINK("#'Input - Site'!A1", "Site")</f>
        <v>Site</v>
      </c>
      <c r="E8" s="1" t="s">
        <v>17</v>
      </c>
    </row>
    <row r="9" spans="1:23" ht="20.100000000000001" customHeight="1" x14ac:dyDescent="0.25">
      <c r="A9" s="17" t="str">
        <f>HYPERLINK("#'Input - Dairy'!A1", "Dairy")</f>
        <v>Dairy</v>
      </c>
    </row>
    <row r="10" spans="1:23" ht="20.100000000000001" customHeight="1" x14ac:dyDescent="0.25">
      <c r="A10" s="17"/>
      <c r="D10" s="56" t="s">
        <v>30</v>
      </c>
      <c r="E10" s="1" t="str" cm="1">
        <f t="array" ref="E10">MMS_Dairy_Soil_LeachingAndRunoff.VEERG_4_3_1_12__2_MassOfNitrogenLostToLeachingAndRunoffOnPasture_Variable()</f>
        <v>M_leach_m14</v>
      </c>
    </row>
    <row r="11" spans="1:23" ht="20.100000000000001" customHeight="1" x14ac:dyDescent="0.25">
      <c r="A11" s="19" t="s">
        <v>76</v>
      </c>
      <c r="D11" s="56" t="s">
        <v>20</v>
      </c>
      <c r="E11" s="57" t="str" cm="1">
        <f t="array" ref="E11">MMS_Dairy_Soil_LeachingAndRunoff.VEERG_4_3_1_12__2_MassOfNitrogenLostToLeachingAndRunoffOnPasture_Unit()</f>
        <v>kg N</v>
      </c>
    </row>
    <row r="12" spans="1:23" ht="20.100000000000001" customHeight="1" x14ac:dyDescent="0.25">
      <c r="A12" s="17" t="str">
        <f>HYPERLINK("#'4.3.1.1-2 Methane'!A1", "4.3.1.1-2 Methane")</f>
        <v>4.3.1.1-2 Methane</v>
      </c>
    </row>
    <row r="13" spans="1:23" ht="20.100000000000001" customHeight="1" x14ac:dyDescent="0.25">
      <c r="A13" s="17" t="str">
        <f>HYPERLINK("#'4.3.1.3-4 Direct N20'!A1", "4.3.1.3-4 Direct N2O")</f>
        <v>4.3.1.3-4 Direct N2O</v>
      </c>
      <c r="D13" s="137" t="str" cm="1">
        <f t="array" ref="D13:E18">_xlfn.CHOOSECOLS(MMS_Dairy_Soil_LeachingAndRunoff.VEERG_4_3_1_12__2_MassOfNitrogenLostToLeachingAndRunoffOnPasture_Arguments(),1,2)</f>
        <v>MN_jm14</v>
      </c>
      <c r="E13" s="136" t="str">
        <v>mass of nitrogen excreted on pasture, range and paddock for each dairy class</v>
      </c>
      <c r="F13" s="138"/>
      <c r="G13" s="137" t="str" cm="1">
        <f t="array" ref="G13:H18">_xlfn.CHOOSECOLS(MMS_Dairy_Soil_LeachingAndRunoff.VEERG_4_3_1_12__2_MassOfNitrogenLostToLeachingAndRunoffOnPasture_Arguments(),3,4)</f>
        <v>kg N</v>
      </c>
      <c r="H13" s="133" t="str">
        <v>Calculated from 4.3.1.3 (2)</v>
      </c>
      <c r="I13" s="134" t="str" cm="1">
        <f t="array" aca="1" ref="I13" ca="1">HYPERLINK(Common_InputFunctions.Utility_SourceHyperlink($D$20),$D$20)</f>
        <v>M1_Table_MN_j_m-14</v>
      </c>
    </row>
    <row r="14" spans="1:23" ht="20.100000000000001" customHeight="1" x14ac:dyDescent="0.25">
      <c r="A14" s="17" t="str">
        <f>HYPERLINK("#'4.3.1.5 Atmos Deposition'!A1", "4.3.1.5 Atmospheric deposition")</f>
        <v>4.3.1.5 Atmospheric deposition</v>
      </c>
      <c r="D14" s="137" t="str">
        <v>FracWet</v>
      </c>
      <c r="E14" s="136" t="str">
        <v>fraction of N available for leaching and runoff</v>
      </c>
      <c r="F14" s="138"/>
      <c r="G14" s="137" t="str">
        <v/>
      </c>
      <c r="H14" s="133" t="str">
        <v>Constant</v>
      </c>
      <c r="I14" s="137">
        <f>Common_InputFunctions.CommonCropping_GetFracWET(I16,I18,#REF!,#REF!,Table_SourceData_FracWETIrrigation[Irrigation type i],Table_SourceData_FracWETIrrigation[FracWET])</f>
        <v>1</v>
      </c>
    </row>
    <row r="15" spans="1:23" ht="20.100000000000001" customHeight="1" x14ac:dyDescent="0.25">
      <c r="A15" s="17" t="str">
        <f>HYPERLINK("#'4.3.1.6-7 Leaching and runoff'!A1", "4.3.1.6-7 Leaching and runoff")</f>
        <v>4.3.1.6-7 Leaching and runoff</v>
      </c>
      <c r="D15" s="137" t="str">
        <v>FracLEACH</v>
      </c>
      <c r="E15" s="136" t="str">
        <v>fraction of N lost through leaching and runoff</v>
      </c>
      <c r="F15" s="138"/>
      <c r="G15" s="137" t="str">
        <v/>
      </c>
      <c r="H15" s="133" t="str">
        <v>Constant</v>
      </c>
      <c r="I15" s="137">
        <f>'Constants - Dairy'!$D$209</f>
        <v>0.24</v>
      </c>
    </row>
    <row r="16" spans="1:23" ht="20.100000000000001" customHeight="1" x14ac:dyDescent="0.25">
      <c r="A16" s="17" t="str">
        <f>HYPERLINK("#'4.3.1.8 Manure applied to soils'!A1", "4.3.1.8 Manure applied to soils")</f>
        <v>4.3.1.8 Manure applied to soils</v>
      </c>
      <c r="D16" s="137" t="str">
        <v>z</v>
      </c>
      <c r="E16" s="136" t="str">
        <v>location in leaching zone</v>
      </c>
      <c r="F16" s="138"/>
      <c r="G16" s="137" t="str">
        <v/>
      </c>
      <c r="H16" s="135" t="str">
        <v>Input</v>
      </c>
      <c r="I16" s="137" t="str">
        <f>'Input - Site'!$E$23</f>
        <v>NO - Not in leaching zone</v>
      </c>
    </row>
    <row r="17" spans="1:22" ht="20.100000000000001" customHeight="1" x14ac:dyDescent="0.25">
      <c r="A17" s="17" t="str">
        <f>HYPERLINK("#'4.3.1.9 Soil direct N2O'!A1", "4.3.1.9 Soil direct N2O")</f>
        <v>4.3.1.9 Soil direct N2O</v>
      </c>
      <c r="D17" s="137" t="str">
        <v>j</v>
      </c>
      <c r="E17" s="136" t="str">
        <v>production system</v>
      </c>
      <c r="F17" s="138"/>
      <c r="G17" s="137" t="str">
        <v/>
      </c>
      <c r="H17" s="135" t="str">
        <v>Input</v>
      </c>
      <c r="I17" s="137" t="str">
        <f>'Input - Dairy'!$E$125</f>
        <v>Pasture</v>
      </c>
    </row>
    <row r="18" spans="1:22" ht="20.100000000000001" customHeight="1" x14ac:dyDescent="0.25">
      <c r="A18" s="17" t="str">
        <f>HYPERLINK("#'4.3.1.10-11 Soil Atmos Dep'!A1", "4.3.1.10-11 Soil atm. deposition")</f>
        <v>4.3.1.10-11 Soil atm. deposition</v>
      </c>
      <c r="D18" s="137" t="str">
        <v>ir</v>
      </c>
      <c r="E18" s="136" t="str">
        <v>irrigation method</v>
      </c>
      <c r="F18" s="138"/>
      <c r="G18" s="137" t="str">
        <v/>
      </c>
      <c r="H18" s="135" t="str">
        <v>Input</v>
      </c>
      <c r="I18" s="137" t="str">
        <f>'Input - Dairy'!$E$126</f>
        <v>Sprinkler Irrigation</v>
      </c>
    </row>
    <row r="19" spans="1:22" ht="20.100000000000001" customHeight="1" x14ac:dyDescent="0.25">
      <c r="A19" s="22" t="str">
        <f>HYPERLINK("#'4.3.1.12-13 Soil leach runoff'!A1", "4.3.1.12-13 Soil leach &amp; runoff")</f>
        <v>4.3.1.12-13 Soil leach &amp; runoff</v>
      </c>
    </row>
    <row r="20" spans="1:22" ht="20.100000000000001" customHeight="1" x14ac:dyDescent="0.25">
      <c r="A20" s="17"/>
      <c r="D20" s="104" t="s">
        <v>356</v>
      </c>
      <c r="M20" s="59"/>
      <c r="O20" s="104" t="s">
        <v>358</v>
      </c>
    </row>
    <row r="21" spans="1:22" ht="20.100000000000001" customHeight="1" x14ac:dyDescent="0.25">
      <c r="A21" s="18" t="s">
        <v>4</v>
      </c>
      <c r="D21" s="103" t="s">
        <v>357</v>
      </c>
      <c r="M21" s="59"/>
      <c r="O21" s="103" t="s">
        <v>359</v>
      </c>
    </row>
    <row r="22" spans="1:22" ht="20.100000000000001" customHeight="1" x14ac:dyDescent="0.25">
      <c r="A22" s="17" t="str">
        <f>HYPERLINK("#'Constants - Dairy'!A1", "Constants - Dairy")</f>
        <v>Constants - Dairy</v>
      </c>
      <c r="D22" s="54" t="s">
        <v>146</v>
      </c>
      <c r="E22" s="54" t="s">
        <v>68</v>
      </c>
      <c r="F22" s="54" t="s">
        <v>171</v>
      </c>
      <c r="G22" s="54" t="s">
        <v>188</v>
      </c>
      <c r="H22" s="54" t="s">
        <v>189</v>
      </c>
      <c r="I22" s="54" t="s">
        <v>190</v>
      </c>
      <c r="J22" s="54" t="s">
        <v>191</v>
      </c>
      <c r="M22" s="59"/>
      <c r="O22" s="54" t="s">
        <v>146</v>
      </c>
      <c r="P22" s="54" t="s">
        <v>68</v>
      </c>
      <c r="Q22" s="54" t="s">
        <v>171</v>
      </c>
      <c r="R22" s="54" t="s">
        <v>188</v>
      </c>
      <c r="S22" s="54" t="s">
        <v>189</v>
      </c>
      <c r="T22" s="54" t="s">
        <v>190</v>
      </c>
      <c r="U22" s="54" t="s">
        <v>191</v>
      </c>
    </row>
    <row r="23" spans="1:22" ht="20.100000000000001" customHeight="1" x14ac:dyDescent="0.25">
      <c r="A23" s="17" t="str">
        <f>HYPERLINK("#'Constants - Livestock'!A1", "Constants - Livestock")</f>
        <v>Constants - Livestock</v>
      </c>
      <c r="D23" s="55" t="str">
        <f>'Input - Dairy'!$D$65</f>
        <v>Pasture</v>
      </c>
      <c r="E23" s="55" t="str">
        <f>'Constants - Livestock'!$E$27</f>
        <v>Pasture range and paddock</v>
      </c>
      <c r="F23" s="55">
        <f>'4.3.1.9 Soil direct N2O'!$F$31</f>
        <v>11810.30628429595</v>
      </c>
      <c r="G23" s="55">
        <f>'4.3.1.9 Soil direct N2O'!$G$31</f>
        <v>4426.3236377252861</v>
      </c>
      <c r="H23" s="55">
        <f>'4.3.1.9 Soil direct N2O'!$H$31</f>
        <v>1762.9578946423812</v>
      </c>
      <c r="I23" s="55">
        <f>'4.3.1.9 Soil direct N2O'!$I$31</f>
        <v>5564.0638693222609</v>
      </c>
      <c r="J23" s="55">
        <f>'4.3.1.9 Soil direct N2O'!$J$31</f>
        <v>2329.2802581916176</v>
      </c>
      <c r="K23" s="2" t="str">
        <f>$E$11</f>
        <v>kg N</v>
      </c>
      <c r="M23" s="59"/>
      <c r="O23" s="55" t="str">
        <f>'Input - Dairy'!$D$65</f>
        <v>Pasture</v>
      </c>
      <c r="P23" s="55" t="str">
        <f>'Constants - Livestock'!$E$27</f>
        <v>Pasture range and paddock</v>
      </c>
      <c r="Q23" s="55">
        <f>'4.3.1.9 Soil direct N2O'!$Q$31</f>
        <v>11810.30628429595</v>
      </c>
      <c r="R23" s="55">
        <f>'4.3.1.9 Soil direct N2O'!$R$31</f>
        <v>4426.3236377252861</v>
      </c>
      <c r="S23" s="55">
        <f>'4.3.1.9 Soil direct N2O'!$S$31</f>
        <v>1762.9578946423812</v>
      </c>
      <c r="T23" s="55">
        <f>'4.3.1.9 Soil direct N2O'!$T$31</f>
        <v>5564.0638693222609</v>
      </c>
      <c r="U23" s="55">
        <f>'4.3.1.9 Soil direct N2O'!$U$31</f>
        <v>2329.2802581916176</v>
      </c>
      <c r="V23" s="2" t="str">
        <f>$E$11</f>
        <v>kg N</v>
      </c>
    </row>
    <row r="24" spans="1:22" ht="20.100000000000001" customHeight="1" x14ac:dyDescent="0.25">
      <c r="A24" s="17" t="str">
        <f>HYPERLINK("#'Constants - Common'!A1", "Constants - Common")</f>
        <v>Constants - Common</v>
      </c>
    </row>
    <row r="25" spans="1:22" ht="20.100000000000001" customHeight="1" x14ac:dyDescent="0.25">
      <c r="A25" s="17" t="str">
        <f>HYPERLINK("#'Acknowledgements'!A1", "Acknowledgements")</f>
        <v>Acknowledgements</v>
      </c>
      <c r="D25" s="104" t="s">
        <v>372</v>
      </c>
      <c r="O25" s="104" t="s">
        <v>374</v>
      </c>
    </row>
    <row r="26" spans="1:22" ht="20.100000000000001" customHeight="1" x14ac:dyDescent="0.25">
      <c r="D26" s="103" t="s">
        <v>373</v>
      </c>
      <c r="O26" s="103" t="s">
        <v>375</v>
      </c>
    </row>
    <row r="27" spans="1:22" ht="20.100000000000001" customHeight="1" x14ac:dyDescent="0.25">
      <c r="D27" s="54" t="s">
        <v>146</v>
      </c>
      <c r="E27" s="54" t="s">
        <v>68</v>
      </c>
      <c r="F27" s="54" t="s">
        <v>171</v>
      </c>
      <c r="G27" s="54" t="s">
        <v>188</v>
      </c>
      <c r="H27" s="54" t="s">
        <v>189</v>
      </c>
      <c r="I27" s="54" t="s">
        <v>190</v>
      </c>
      <c r="J27" s="54" t="s">
        <v>191</v>
      </c>
      <c r="O27" s="54" t="s">
        <v>146</v>
      </c>
      <c r="P27" s="54" t="s">
        <v>68</v>
      </c>
      <c r="Q27" s="54" t="s">
        <v>171</v>
      </c>
      <c r="R27" s="54" t="s">
        <v>188</v>
      </c>
      <c r="S27" s="54" t="s">
        <v>189</v>
      </c>
      <c r="T27" s="54" t="s">
        <v>190</v>
      </c>
      <c r="U27" s="54" t="s">
        <v>191</v>
      </c>
    </row>
    <row r="28" spans="1:22" ht="20.100000000000001" customHeight="1" x14ac:dyDescent="0.25">
      <c r="D28" s="55" t="str">
        <f>'Input - Dairy'!$D$65</f>
        <v>Pasture</v>
      </c>
      <c r="E28" s="55" t="str">
        <f>'Constants - Livestock'!$E$27</f>
        <v>Pasture range and paddock</v>
      </c>
      <c r="F28" s="55" cm="1">
        <f t="array" ref="F28">MMS_Dairy_Soil_LeachingAndRunoff.VEERG_4_3_1_12__2_MassOfNitrogenLostToLeachingAndRunoffOnPasture(F23,$I$14,$I$15)</f>
        <v>2834.4735082310281</v>
      </c>
      <c r="G28" s="55" cm="1">
        <f t="array" ref="G28">MMS_Dairy_Soil_LeachingAndRunoff.VEERG_4_3_1_12__2_MassOfNitrogenLostToLeachingAndRunoffOnPasture(G23,$I$14,$I$15)</f>
        <v>1062.3176730540686</v>
      </c>
      <c r="H28" s="55" cm="1">
        <f t="array" ref="H28">MMS_Dairy_Soil_LeachingAndRunoff.VEERG_4_3_1_12__2_MassOfNitrogenLostToLeachingAndRunoffOnPasture(H23,$I$14,$I$15)</f>
        <v>423.1098947141715</v>
      </c>
      <c r="I28" s="55" cm="1">
        <f t="array" ref="I28">MMS_Dairy_Soil_LeachingAndRunoff.VEERG_4_3_1_12__2_MassOfNitrogenLostToLeachingAndRunoffOnPasture(I23,$I$14,$I$15)</f>
        <v>1335.3753286373426</v>
      </c>
      <c r="J28" s="55" cm="1">
        <f t="array" ref="J28">MMS_Dairy_Soil_LeachingAndRunoff.VEERG_4_3_1_12__2_MassOfNitrogenLostToLeachingAndRunoffOnPasture(J23,$I$14,$I$15)</f>
        <v>559.02726196598815</v>
      </c>
      <c r="K28" s="2" t="str">
        <f>$E$11</f>
        <v>kg N</v>
      </c>
      <c r="O28" s="55" t="str">
        <f>'Input - Dairy'!$D$65</f>
        <v>Pasture</v>
      </c>
      <c r="P28" s="55" t="str">
        <f>'Constants - Livestock'!$E$27</f>
        <v>Pasture range and paddock</v>
      </c>
      <c r="Q28" s="55" cm="1">
        <f t="array" ref="Q28">MMS_Dairy_Soil_LeachingAndRunoff.VEERG_4_3_1_12__2_MassOfNitrogenLostToLeachingAndRunoffOnPasture(Q23,$I$14,$I$15)</f>
        <v>2834.4735082310281</v>
      </c>
      <c r="R28" s="55" cm="1">
        <f t="array" ref="R28">MMS_Dairy_Soil_LeachingAndRunoff.VEERG_4_3_1_12__2_MassOfNitrogenLostToLeachingAndRunoffOnPasture(R23,$I$14,$I$15)</f>
        <v>1062.3176730540686</v>
      </c>
      <c r="S28" s="55" cm="1">
        <f t="array" ref="S28">MMS_Dairy_Soil_LeachingAndRunoff.VEERG_4_3_1_12__2_MassOfNitrogenLostToLeachingAndRunoffOnPasture(S23,$I$14,$I$15)</f>
        <v>423.1098947141715</v>
      </c>
      <c r="T28" s="55" cm="1">
        <f t="array" ref="T28">MMS_Dairy_Soil_LeachingAndRunoff.VEERG_4_3_1_12__2_MassOfNitrogenLostToLeachingAndRunoffOnPasture(T23,$I$14,$I$15)</f>
        <v>1335.3753286373426</v>
      </c>
      <c r="U28" s="55" cm="1">
        <f t="array" ref="U28">MMS_Dairy_Soil_LeachingAndRunoff.VEERG_4_3_1_12__2_MassOfNitrogenLostToLeachingAndRunoffOnPasture(U23,$I$14,$I$15)</f>
        <v>559.02726196598815</v>
      </c>
      <c r="V28" s="2" t="str">
        <f>$E$11</f>
        <v>kg N</v>
      </c>
    </row>
    <row r="29" spans="1:22" ht="20.100000000000001" customHeight="1" x14ac:dyDescent="0.25"/>
    <row r="30" spans="1:22" ht="20.100000000000001" customHeight="1" x14ac:dyDescent="0.25">
      <c r="D30" s="118" t="s">
        <v>377</v>
      </c>
      <c r="E30" s="48">
        <f>SUM(F28:J28)</f>
        <v>6214.3036666025982</v>
      </c>
      <c r="F30" s="112" t="str">
        <f>$E$11</f>
        <v>kg N</v>
      </c>
      <c r="O30" s="118" t="s">
        <v>377</v>
      </c>
      <c r="P30" s="48">
        <f>SUM(Q28:U28)</f>
        <v>6214.3036666025982</v>
      </c>
      <c r="Q30" s="112" t="str">
        <f>$E$11</f>
        <v>kg N</v>
      </c>
    </row>
    <row r="31" spans="1:22" ht="20.100000000000001" customHeight="1" x14ac:dyDescent="0.25"/>
    <row r="32" spans="1:22" ht="20.100000000000001" customHeight="1" x14ac:dyDescent="0.25"/>
    <row r="33" spans="3:23" ht="20.100000000000001" customHeight="1" x14ac:dyDescent="0.25"/>
    <row r="34" spans="3:23" ht="20.100000000000001" customHeight="1" x14ac:dyDescent="0.25">
      <c r="C34" s="48"/>
      <c r="D34" s="48"/>
      <c r="E34" s="48"/>
      <c r="F34" s="48"/>
      <c r="G34" s="48"/>
      <c r="H34" s="48"/>
      <c r="I34" s="48"/>
      <c r="J34" s="48"/>
      <c r="K34" s="48"/>
      <c r="L34" s="48"/>
      <c r="N34" s="48"/>
      <c r="O34" s="48"/>
      <c r="P34" s="48"/>
      <c r="Q34" s="48"/>
      <c r="R34" s="48"/>
      <c r="S34" s="48"/>
      <c r="T34" s="48"/>
      <c r="U34" s="48"/>
      <c r="V34" s="48"/>
      <c r="W34" s="48"/>
    </row>
    <row r="35" spans="3:23" ht="20.100000000000001" customHeight="1" x14ac:dyDescent="0.25">
      <c r="D35" s="6" t="str" cm="1">
        <f t="array" ref="D35">MMS_Dairy_Soil_LeachingAndRunoff.VEERG_4_3_1_12__1_LeachingAndRunoffEmissionsFromUrineAndDungOnPasture_Title()</f>
        <v>Leaching and runoff emissions from urine and dung deposited on pasture</v>
      </c>
    </row>
    <row r="36" spans="3:23" ht="20.100000000000001" customHeight="1" x14ac:dyDescent="0.25">
      <c r="D36" s="5" t="str" cm="1">
        <f t="array" ref="D36">MMS_Dairy_Soil_LeachingAndRunoff.VEERG_4_3_1_12__1_LeachingAndRunoffEmissionsFromUrineAndDungOnPasture_Source()</f>
        <v>VEERG 2026: 4.3.1.12, Equation (1)</v>
      </c>
    </row>
    <row r="37" spans="3:23" ht="20.100000000000001" customHeight="1" x14ac:dyDescent="0.25">
      <c r="D37" s="13" t="s">
        <v>27</v>
      </c>
      <c r="E37" s="13" t="str" cm="1">
        <f t="array" aca="1" ref="E37" ca="1">Common_InputFunctions.Utility_DisplayFunctionName(E47)</f>
        <v>=MMS_Dairy_Soil_LeachingAndRunoff.VEERG_4_3_1_12__1_LeachingAndRunoffEmissionsFromUrineAndDungOnPasture</v>
      </c>
    </row>
    <row r="38" spans="3:23" ht="20.100000000000001" customHeight="1" x14ac:dyDescent="0.25"/>
    <row r="39" spans="3:23" ht="20.100000000000001" customHeight="1" x14ac:dyDescent="0.25"/>
    <row r="40" spans="3:23" ht="20.100000000000001" customHeight="1" x14ac:dyDescent="0.25">
      <c r="D40" s="56" t="s">
        <v>30</v>
      </c>
      <c r="E40" s="1" t="str" cm="1">
        <f t="array" ref="E40">MMS_Dairy_Soil_LeachingAndRunoff.VEERG_4_3_1_12__1_LeachingAndRunoffEmissionsFromUrineAndDungOnPasture_Variable()</f>
        <v>E_N2Oleach</v>
      </c>
    </row>
    <row r="41" spans="3:23" ht="20.100000000000001" customHeight="1" x14ac:dyDescent="0.25">
      <c r="D41" s="56" t="s">
        <v>20</v>
      </c>
      <c r="E41" s="57" t="str" cm="1">
        <f t="array" ref="E41">MMS_Dairy_Soil_LeachingAndRunoff.VEERG_4_3_1_12__1_LeachingAndRunoffEmissionsFromUrineAndDungOnPasture_Unit()</f>
        <v>t N2O</v>
      </c>
    </row>
    <row r="42" spans="3:23" ht="20.100000000000001" customHeight="1" x14ac:dyDescent="0.25"/>
    <row r="43" spans="3:23" ht="20.100000000000001" customHeight="1" x14ac:dyDescent="0.25">
      <c r="D43" s="137" t="str" cm="1">
        <f t="array" ref="D43:E45">_xlfn.CHOOSECOLS(MMS_Dairy_Soil_LeachingAndRunoff.VEERG_4_3_1_12__1_LeachingAndRunoffEmissionsFromUrineAndDungOnPasture_Arguments(),1,2)</f>
        <v>M_leach_m14</v>
      </c>
      <c r="E43" s="137" t="str">
        <v>mass of nitrogen lost to leaching and runoff from urine and faeces deposited on pasture</v>
      </c>
      <c r="F43" s="136"/>
      <c r="G43" s="138"/>
      <c r="H43" s="137" t="str" cm="1">
        <f t="array" ref="H43:I45">_xlfn.CHOOSECOLS(MMS_Dairy_Soil_LeachingAndRunoff.VEERG_4_3_1_12__1_LeachingAndRunoffEmissionsFromUrineAndDungOnPasture_Arguments(),3,4)</f>
        <v>kg N</v>
      </c>
      <c r="I43" s="133" t="str">
        <v>Calculated from 4.3.1.12 (2)</v>
      </c>
      <c r="J43" s="137">
        <f>$E$30</f>
        <v>6214.3036666025982</v>
      </c>
      <c r="O43" s="137" t="str" cm="1">
        <f t="array" ref="O43:P45">_xlfn.CHOOSECOLS(MMS_Dairy_Soil_LeachingAndRunoff.VEERG_4_3_1_12__1_LeachingAndRunoffEmissionsFromUrineAndDungOnPasture_Arguments(),1,2)</f>
        <v>M_leach_m14</v>
      </c>
      <c r="P43" s="137" t="str">
        <v>mass of nitrogen lost to leaching and runoff from urine and faeces deposited on pasture</v>
      </c>
      <c r="Q43" s="136"/>
      <c r="R43" s="138"/>
      <c r="S43" s="137" t="str" cm="1">
        <f t="array" ref="S43:T45">_xlfn.CHOOSECOLS(MMS_Dairy_Soil_LeachingAndRunoff.VEERG_4_3_1_12__1_LeachingAndRunoffEmissionsFromUrineAndDungOnPasture_Arguments(),3,4)</f>
        <v>kg N</v>
      </c>
      <c r="T43" s="133" t="str">
        <v>Calculated from 4.3.1.12 (2)</v>
      </c>
      <c r="U43" s="60">
        <f>$P$30</f>
        <v>6214.3036666025982</v>
      </c>
    </row>
    <row r="44" spans="3:23" ht="20.100000000000001" customHeight="1" x14ac:dyDescent="0.25">
      <c r="D44" s="137" t="str">
        <v>EF_leach</v>
      </c>
      <c r="E44" s="137" t="str">
        <v>nitrous oxide emission factor for leaching and runoff</v>
      </c>
      <c r="F44" s="136"/>
      <c r="G44" s="138"/>
      <c r="H44" s="137" t="str">
        <v>kg N2O-N/kg N</v>
      </c>
      <c r="I44" s="133" t="str">
        <v>Constant</v>
      </c>
      <c r="J44" s="137">
        <f>'Constants - Dairy'!$D$202</f>
        <v>1.0999999999999999E-2</v>
      </c>
      <c r="O44" s="137" t="str">
        <v>EF_leach</v>
      </c>
      <c r="P44" s="137" t="str">
        <v>nitrous oxide emission factor for leaching and runoff</v>
      </c>
      <c r="Q44" s="136"/>
      <c r="R44" s="138"/>
      <c r="S44" s="137" t="str">
        <v>kg N2O-N/kg N</v>
      </c>
      <c r="T44" s="133" t="str">
        <v>Constant</v>
      </c>
      <c r="U44" s="60"/>
    </row>
    <row r="45" spans="3:23" ht="20.100000000000001" customHeight="1" x14ac:dyDescent="0.25">
      <c r="D45" s="137" t="str">
        <v>C_N2O</v>
      </c>
      <c r="E45" s="137" t="str">
        <v>factor to convert elemental mass of N2O to molecular mass</v>
      </c>
      <c r="F45" s="136"/>
      <c r="G45" s="138"/>
      <c r="H45" s="137" t="str">
        <v/>
      </c>
      <c r="I45" s="133" t="str">
        <v>Constant</v>
      </c>
      <c r="J45" s="137">
        <f>Common_InputFunctions.Utility_LookupValueInTableNumber("N2O",Table_GasToMolecularConversionFactor[Gas],Table_GasToMolecularConversionFactor[Conversion factor combined])</f>
        <v>1.5714285714285714</v>
      </c>
      <c r="O45" s="137" t="str">
        <v>C_N2O</v>
      </c>
      <c r="P45" s="137" t="str">
        <v>factor to convert elemental mass of N2O to molecular mass</v>
      </c>
      <c r="Q45" s="136"/>
      <c r="R45" s="138"/>
      <c r="S45" s="137" t="str">
        <v/>
      </c>
      <c r="T45" s="133" t="str">
        <v>Constant</v>
      </c>
      <c r="U45" s="60"/>
    </row>
    <row r="46" spans="3:23" ht="20.100000000000001" customHeight="1" x14ac:dyDescent="0.25"/>
    <row r="47" spans="3:23" ht="20.100000000000001" customHeight="1" x14ac:dyDescent="0.25">
      <c r="D47" s="108" t="s">
        <v>376</v>
      </c>
      <c r="E47" s="109" cm="1">
        <f t="array" ref="E47">MMS_Dairy_Soil_LeachingAndRunoff.VEERG_4_3_1_12__1_LeachingAndRunoffEmissionsFromUrineAndDungOnPasture($J$43,$J$44,$J$45)</f>
        <v>0.10741867766555921</v>
      </c>
      <c r="F47" s="110" t="str">
        <f>$E$41</f>
        <v>t N2O</v>
      </c>
      <c r="O47" s="108" t="s">
        <v>376</v>
      </c>
      <c r="P47" s="109" cm="1">
        <f t="array" ref="P47">MMS_Dairy_Soil_LeachingAndRunoff.VEERG_4_3_1_12__1_LeachingAndRunoffEmissionsFromUrineAndDungOnPasture($U$43,$J$44,$J$45)</f>
        <v>0.10741867766555921</v>
      </c>
      <c r="Q47" s="110" t="str">
        <f>$E$41</f>
        <v>t N2O</v>
      </c>
    </row>
    <row r="48" spans="3:23" ht="20.100000000000001" customHeight="1" x14ac:dyDescent="0.25"/>
    <row r="49" spans="1:18" ht="20.100000000000001" customHeight="1" x14ac:dyDescent="0.25">
      <c r="D49" s="60" t="str" cm="1">
        <f t="array" ref="D49:E50">Common_Equations.Common_ConvertN2OToCO2e_Arguments()</f>
        <v>EN2O</v>
      </c>
      <c r="E49" s="61" t="str">
        <v>Nitrous oxide emissions (t N2O)</v>
      </c>
      <c r="F49" s="111"/>
      <c r="G49" s="55">
        <f>E47</f>
        <v>0.10741867766555921</v>
      </c>
      <c r="O49" s="60" t="str" cm="1">
        <f t="array" ref="O49:P50">Common_Equations.Common_ConvertN2OToCO2e_Arguments()</f>
        <v>EN2O</v>
      </c>
      <c r="P49" s="61" t="str">
        <v>Nitrous oxide emissions (t N2O)</v>
      </c>
      <c r="Q49" s="111"/>
      <c r="R49" s="55">
        <f>P47</f>
        <v>0.10741867766555921</v>
      </c>
    </row>
    <row r="50" spans="1:18" ht="20.100000000000001" customHeight="1" x14ac:dyDescent="0.25">
      <c r="D50" s="60" t="str">
        <v>GWPN2O</v>
      </c>
      <c r="E50" s="61" t="str">
        <v>Global warming potential for nitrous oxide (t CO2-e / t N2O)</v>
      </c>
      <c r="F50" s="111"/>
      <c r="G50" s="55">
        <f>Common_InputFunctions.Utility_LookupValueInTableNumber("N2O",Table_GWPData[Gas],Table_GWPData[CO2-e factor])</f>
        <v>265</v>
      </c>
      <c r="O50" s="60" t="str">
        <v>GWPN2O</v>
      </c>
      <c r="P50" s="61" t="str">
        <v>Global warming potential for nitrous oxide (t CO2-e / t N2O)</v>
      </c>
      <c r="Q50" s="111"/>
      <c r="R50" s="55">
        <f>Common_InputFunctions.Utility_LookupValueInTableNumber("N2O",Table_GWPData[Gas],Table_GWPData[CO2-e factor])</f>
        <v>265</v>
      </c>
    </row>
    <row r="51" spans="1:18" ht="20.100000000000001" customHeight="1" x14ac:dyDescent="0.25"/>
    <row r="52" spans="1:18" ht="20.100000000000001" customHeight="1" x14ac:dyDescent="0.25">
      <c r="A52" s="141" t="str">
        <f>HYPERLINK("#A1", "▲ Back to top")</f>
        <v>▲ Back to top</v>
      </c>
      <c r="D52" s="48" t="s">
        <v>108</v>
      </c>
      <c r="E52" s="48" cm="1">
        <f t="array" ref="E52">Common_Equations.Common_ConvertN2OToCO2e(G49,G50)</f>
        <v>28.465949581373192</v>
      </c>
      <c r="F52" s="112" t="str" cm="1">
        <f t="array" ref="F52">Common_Equations.Common_ConvertN2OToCO2e_Unit()</f>
        <v>t CO2e</v>
      </c>
      <c r="O52" s="48" t="s">
        <v>108</v>
      </c>
      <c r="P52" s="48" cm="1">
        <f t="array" ref="P52">Common_Equations.Common_ConvertN2OToCO2e(R49,R50)</f>
        <v>28.465949581373192</v>
      </c>
      <c r="Q52" s="112" t="str" cm="1">
        <f t="array" ref="Q52">Common_Equations.Common_ConvertN2OToCO2e_Unit()</f>
        <v>t CO2e</v>
      </c>
    </row>
    <row r="53" spans="1:18" ht="20.100000000000001" customHeight="1" x14ac:dyDescent="0.25"/>
    <row r="54" spans="1:18" ht="20.100000000000001" customHeight="1" x14ac:dyDescent="0.25"/>
    <row r="55" spans="1:18" ht="20.100000000000001" customHeight="1" x14ac:dyDescent="0.25"/>
    <row r="56" spans="1:18" ht="20.100000000000001" customHeight="1" x14ac:dyDescent="0.25"/>
    <row r="57" spans="1:18" ht="20.100000000000001" customHeight="1" x14ac:dyDescent="0.25"/>
    <row r="58" spans="1:18" ht="20.100000000000001" customHeight="1" x14ac:dyDescent="0.25"/>
    <row r="59" spans="1:18" ht="20.100000000000001" customHeight="1" x14ac:dyDescent="0.25"/>
    <row r="60" spans="1:18" ht="20.100000000000001" customHeight="1" x14ac:dyDescent="0.25"/>
    <row r="61" spans="1:18" ht="20.100000000000001" customHeight="1" x14ac:dyDescent="0.25"/>
    <row r="62" spans="1:18" ht="20.100000000000001" customHeight="1" x14ac:dyDescent="0.25"/>
    <row r="63" spans="1:18" ht="20.100000000000001" customHeight="1" x14ac:dyDescent="0.25"/>
    <row r="64" spans="1:18"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disablePrompts="1" count="1">
    <dataValidation operator="equal" allowBlank="1" showInputMessage="1" showErrorMessage="1" sqref="E23 P23 E28 P28" xr:uid="{FFC3CBA3-2876-48FD-90FB-22BFDC268162}"/>
  </dataValidations>
  <pageMargins left="0.7" right="0.7" top="0.75" bottom="0.75" header="0.3" footer="0.3"/>
  <pageSetup paperSize="9"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35FD-AE8E-4433-ACD5-994E77C39A89}">
  <dimension ref="A1:V288"/>
  <sheetViews>
    <sheetView showGridLines="0" topLeftCell="A192" zoomScale="85" zoomScaleNormal="85" workbookViewId="0">
      <selection activeCell="D215" sqref="D215"/>
    </sheetView>
  </sheetViews>
  <sheetFormatPr defaultRowHeight="15.75" x14ac:dyDescent="0.25"/>
  <cols>
    <col min="1" max="1" width="30.7109375" customWidth="1"/>
    <col min="2" max="2" width="4.7109375" customWidth="1"/>
    <col min="3" max="3" width="4.7109375" style="1" customWidth="1"/>
    <col min="4" max="6" width="30.7109375" style="1" customWidth="1"/>
    <col min="7" max="7" width="32.5703125" style="1" customWidth="1"/>
    <col min="8" max="12" width="30.7109375" style="1" customWidth="1"/>
    <col min="13" max="13" width="30.7109375" customWidth="1"/>
    <col min="14" max="20" width="30.7109375" style="1" customWidth="1"/>
    <col min="21" max="21" width="4.7109375" style="1" customWidth="1"/>
  </cols>
  <sheetData>
    <row r="1" spans="1:21" s="8" customFormat="1" ht="30" customHeight="1" x14ac:dyDescent="0.35">
      <c r="A1" s="8" t="e" vm="1">
        <v>#VALUE!</v>
      </c>
      <c r="C1" s="8" t="s">
        <v>436</v>
      </c>
    </row>
    <row r="2" spans="1:21" s="9" customFormat="1" ht="20.100000000000001" customHeight="1" x14ac:dyDescent="0.25">
      <c r="A2"/>
    </row>
    <row r="3" spans="1:21" ht="20.100000000000001" customHeight="1" x14ac:dyDescent="0.25">
      <c r="A3" s="17" t="str">
        <f>HYPERLINK("#'Home'!A1", "Home")</f>
        <v>Home</v>
      </c>
      <c r="C3" s="4"/>
      <c r="D3" s="4"/>
      <c r="E3" s="4"/>
      <c r="F3" s="4"/>
      <c r="G3" s="4"/>
      <c r="H3" s="4"/>
      <c r="I3" s="4"/>
      <c r="J3" s="4"/>
      <c r="K3" s="4"/>
      <c r="L3" s="4"/>
      <c r="M3" s="4"/>
      <c r="N3" s="4"/>
      <c r="O3" s="4"/>
      <c r="P3" s="4"/>
      <c r="Q3" s="4"/>
      <c r="R3" s="4"/>
      <c r="S3" s="4"/>
      <c r="T3" s="4"/>
      <c r="U3" s="4"/>
    </row>
    <row r="4" spans="1:21" ht="20.100000000000001" customHeight="1" x14ac:dyDescent="0.25">
      <c r="A4" s="17" t="str">
        <f>HYPERLINK("#'Overview'!A1", "Overview")</f>
        <v>Overview</v>
      </c>
      <c r="M4" s="24"/>
    </row>
    <row r="5" spans="1:21" ht="20.100000000000001" customHeight="1" x14ac:dyDescent="0.25">
      <c r="A5" s="17" t="str">
        <f>HYPERLINK("#'Results'!A1", "Results")</f>
        <v>Results</v>
      </c>
      <c r="D5" s="6" t="s">
        <v>168</v>
      </c>
      <c r="G5" s="6" t="s">
        <v>169</v>
      </c>
      <c r="J5" s="6" t="s">
        <v>147</v>
      </c>
      <c r="M5" s="1"/>
    </row>
    <row r="6" spans="1:21" ht="20.100000000000001" customHeight="1" x14ac:dyDescent="0.25">
      <c r="A6" s="16"/>
      <c r="M6" s="1"/>
    </row>
    <row r="7" spans="1:21" ht="20.100000000000001" customHeight="1" x14ac:dyDescent="0.25">
      <c r="A7" s="20" t="s">
        <v>3</v>
      </c>
      <c r="D7" s="102" t="s">
        <v>68</v>
      </c>
      <c r="E7" s="39" t="s">
        <v>81</v>
      </c>
      <c r="G7" s="39" t="s">
        <v>146</v>
      </c>
      <c r="J7" s="39" t="s">
        <v>144</v>
      </c>
      <c r="M7" s="1"/>
    </row>
    <row r="8" spans="1:21" ht="20.100000000000001" customHeight="1" x14ac:dyDescent="0.25">
      <c r="A8" s="17" t="str">
        <f>HYPERLINK("#'Input - Site'!A1", "Site")</f>
        <v>Site</v>
      </c>
      <c r="D8" s="39" t="str">
        <f>'Constants - Livestock'!$E$10</f>
        <v>Anaerobic lagoon</v>
      </c>
      <c r="E8" s="39" t="str">
        <f>'Constants - Livestock'!$F$10</f>
        <v>Anaerobic lagoon (m=1)</v>
      </c>
      <c r="G8" s="39" t="str">
        <f>'Constants - Common'!$F$187</f>
        <v>Pasture</v>
      </c>
      <c r="J8" s="39" t="s">
        <v>148</v>
      </c>
      <c r="M8" s="1"/>
    </row>
    <row r="9" spans="1:21" ht="20.100000000000001" customHeight="1" x14ac:dyDescent="0.25">
      <c r="A9" s="17" t="str">
        <f>HYPERLINK("#'Input - Dairy'!A1", "Dairy")</f>
        <v>Dairy</v>
      </c>
      <c r="D9" s="39" t="str">
        <f>'Constants - Livestock'!$E$13</f>
        <v>Sump and dispersal system</v>
      </c>
      <c r="E9" s="39" t="str">
        <f>'Constants - Livestock'!$F$13</f>
        <v>Sump and dispersal system (m=3a)</v>
      </c>
      <c r="G9" s="1" t="str">
        <f>'Constants - Common'!$F$188</f>
        <v>Crop</v>
      </c>
      <c r="J9" s="39" t="s">
        <v>149</v>
      </c>
      <c r="M9" s="1"/>
    </row>
    <row r="10" spans="1:21" ht="20.100000000000001" customHeight="1" x14ac:dyDescent="0.25">
      <c r="A10" s="17"/>
      <c r="D10" s="39" t="str">
        <f>'Constants - Livestock'!$E$14</f>
        <v>Drains to paddock</v>
      </c>
      <c r="E10" s="39" t="str">
        <f>'Constants - Livestock'!$F$14</f>
        <v>Drains to paddock (m=3b)</v>
      </c>
      <c r="J10" s="1" t="s">
        <v>150</v>
      </c>
      <c r="M10" s="1"/>
    </row>
    <row r="11" spans="1:21" ht="20.100000000000001" customHeight="1" x14ac:dyDescent="0.25">
      <c r="A11" s="19" t="s">
        <v>76</v>
      </c>
      <c r="D11" s="39" t="str">
        <f>'Constants - Livestock'!$E$15</f>
        <v>Solid storage</v>
      </c>
      <c r="E11" s="39" t="str">
        <f>'Constants - Livestock'!$F$15</f>
        <v>Solid storage (m=4)</v>
      </c>
      <c r="J11" s="1" t="s">
        <v>151</v>
      </c>
      <c r="M11" s="1"/>
    </row>
    <row r="12" spans="1:21" ht="20.100000000000001" customHeight="1" x14ac:dyDescent="0.25">
      <c r="A12" s="17" t="str">
        <f>HYPERLINK("#'4.3.1.1-2 Methane'!A1", "4.3.1.1-2 Methane")</f>
        <v>4.3.1.1-2 Methane</v>
      </c>
      <c r="J12" s="1" t="s">
        <v>152</v>
      </c>
      <c r="M12" s="1"/>
    </row>
    <row r="13" spans="1:21" ht="20.100000000000001" customHeight="1" x14ac:dyDescent="0.25">
      <c r="A13" s="17" t="str">
        <f>HYPERLINK("#'4.3.1.3-4 Direct N20'!A1", "4.3.1.3-4 Direct N2O")</f>
        <v>4.3.1.3-4 Direct N2O</v>
      </c>
      <c r="M13" s="1"/>
    </row>
    <row r="14" spans="1:21" ht="20.100000000000001" customHeight="1" x14ac:dyDescent="0.25">
      <c r="A14" s="17" t="str">
        <f>HYPERLINK("#'4.3.1.5 Atmos Deposition'!A1", "4.3.1.5 Atmospheric deposition")</f>
        <v>4.3.1.5 Atmospheric deposition</v>
      </c>
      <c r="M14" s="1"/>
    </row>
    <row r="15" spans="1:21" ht="20.100000000000001" customHeight="1" x14ac:dyDescent="0.25">
      <c r="A15" s="17" t="str">
        <f>HYPERLINK("#'4.3.1.6-7 Leaching and runoff'!A1", "4.3.1.6-7 Leaching and runoff")</f>
        <v>4.3.1.6-7 Leaching and runoff</v>
      </c>
      <c r="M15" s="1"/>
    </row>
    <row r="16" spans="1:21" ht="20.100000000000001" customHeight="1" x14ac:dyDescent="0.25">
      <c r="A16" s="17" t="str">
        <f>HYPERLINK("#'4.3.1.8 Manure applied to soils'!A1", "4.3.1.8 Manure applied to soils")</f>
        <v>4.3.1.8 Manure applied to soils</v>
      </c>
      <c r="D16" s="6" t="str" cm="1">
        <f t="array" ref="D16">SourceData_Dairy.SourceData_Dairy_LiveweightCowsAndHeifers_Title()</f>
        <v>Table A.1.3.1: Dairy cattle - Liveweight (kg) - Cows and Heifers (Wj)</v>
      </c>
      <c r="M16" s="1"/>
    </row>
    <row r="17" spans="1:13" ht="20.100000000000001" customHeight="1" x14ac:dyDescent="0.25">
      <c r="A17" s="17" t="str">
        <f>HYPERLINK("#'4.3.1.9 Soil direct N2O'!A1", "4.3.1.9 Soil direct N2O")</f>
        <v>4.3.1.9 Soil direct N2O</v>
      </c>
      <c r="D17" s="5" t="str" cm="1">
        <f t="array" ref="D17">SourceData_Dairy.SourceData_Dairy_LiveweightCowsAndHeifers_Source()</f>
        <v>VEERG 2026: Table A.1.3.1</v>
      </c>
      <c r="M17" s="1"/>
    </row>
    <row r="18" spans="1:13" ht="20.100000000000001" customHeight="1" x14ac:dyDescent="0.25">
      <c r="A18" s="17" t="str">
        <f>HYPERLINK("#'4.3.1.10-11 Soil Atmos Dep'!A1", "4.3.1.10-11 Soil atm. deposition")</f>
        <v>4.3.1.10-11 Soil atm. deposition</v>
      </c>
      <c r="D18" s="1" t="str" cm="1">
        <f t="array" ref="D18">SourceData_Dairy.SourceData_Dairy_LiveweightCowsAndHeifers_Variable()</f>
        <v>Wj</v>
      </c>
      <c r="M18" s="1"/>
    </row>
    <row r="19" spans="1:13" ht="20.100000000000001" customHeight="1" x14ac:dyDescent="0.25">
      <c r="A19" s="17" t="str">
        <f>HYPERLINK("#'4.3.1.12-13 Soil leach runoff'!A1", "4.3.1.12-13 Soil leach &amp; runoff")</f>
        <v>4.3.1.12-13 Soil leach &amp; runoff</v>
      </c>
      <c r="D19" s="57" t="str" cm="1">
        <f t="array" ref="D19">SourceData_Dairy.SourceData_Dairy_LiveweightCowsAndHeifers_Unit()</f>
        <v>kg</v>
      </c>
      <c r="M19" s="1"/>
    </row>
    <row r="20" spans="1:13" ht="20.100000000000001" customHeight="1" x14ac:dyDescent="0.25">
      <c r="A20" s="17"/>
      <c r="D20" s="58" t="str" cm="1">
        <f t="array" ref="D20">SourceData_Dairy.SourceData_Dairy_LiveweightCowsAndHeifers_Variation()</f>
        <v>VARIATION OF SOURCE: Excluded 'Reference', as the value is consistently 'Dairy Australia [1]' and is not used in calculation.</v>
      </c>
      <c r="M20" s="1"/>
    </row>
    <row r="21" spans="1:13" ht="20.100000000000001" customHeight="1" x14ac:dyDescent="0.25">
      <c r="A21" s="18" t="s">
        <v>4</v>
      </c>
      <c r="D21" s="39" t="s">
        <v>170</v>
      </c>
      <c r="E21" s="39" t="s">
        <v>171</v>
      </c>
      <c r="F21" s="39" t="s">
        <v>172</v>
      </c>
      <c r="G21" s="39" t="s">
        <v>173</v>
      </c>
      <c r="M21" s="1"/>
    </row>
    <row r="22" spans="1:13" ht="20.100000000000001" customHeight="1" x14ac:dyDescent="0.25">
      <c r="A22" s="72" t="str">
        <f>HYPERLINK("#'Constants - Dairy'!A1", "Constants - Dairy")</f>
        <v>Constants - Dairy</v>
      </c>
      <c r="D22" s="39" t="str" cm="1">
        <f t="array" ref="D22">Common_InputFunctions.Utility_DisplayArrayInTable(SourceData_Dairy.SourceData_Dairy_LiveweightCowsAndHeifers_Data(), Table_SourceData_Dairy_WjCowsHeifers[[#Headers],[Breed]], 0)</f>
        <v>Medium Friesian</v>
      </c>
      <c r="E22" s="39" cm="1">
        <f t="array" ref="E22">Common_InputFunctions.Utility_DisplayArrayInTable(SourceData_Dairy.SourceData_Dairy_LiveweightCowsAndHeifers_Data(), Table_SourceData_Dairy_WjCowsHeifers[[#Headers],[Breed]], 0)</f>
        <v>550</v>
      </c>
      <c r="F22" s="39" cm="1">
        <f t="array" ref="F22">Common_InputFunctions.Utility_DisplayArrayInTable(SourceData_Dairy.SourceData_Dairy_LiveweightCowsAndHeifers_Data(), Table_SourceData_Dairy_WjCowsHeifers[[#Headers],[Breed]], 0)</f>
        <v>380</v>
      </c>
      <c r="G22" s="39" cm="1">
        <f t="array" ref="G22">Common_InputFunctions.Utility_DisplayArrayInTable(SourceData_Dairy.SourceData_Dairy_LiveweightCowsAndHeifers_Data(), Table_SourceData_Dairy_WjCowsHeifers[[#Headers],[Breed]], 0)</f>
        <v>155</v>
      </c>
      <c r="M22" s="1"/>
    </row>
    <row r="23" spans="1:13" ht="20.100000000000001" customHeight="1" x14ac:dyDescent="0.25">
      <c r="A23" s="17" t="str">
        <f>HYPERLINK("#'Constants - Livestock'!A1", "Constants - Livestock")</f>
        <v>Constants - Livestock</v>
      </c>
      <c r="D23" s="39" t="str" cm="1">
        <f t="array" ref="D23">Common_InputFunctions.Utility_DisplayArrayInTable(SourceData_Dairy.SourceData_Dairy_LiveweightCowsAndHeifers_Data(), Table_SourceData_Dairy_WjCowsHeifers[[#Headers],[Breed]], 0)</f>
        <v>Large Friesian</v>
      </c>
      <c r="E23" s="39" cm="1">
        <f t="array" ref="E23">Common_InputFunctions.Utility_DisplayArrayInTable(SourceData_Dairy.SourceData_Dairy_LiveweightCowsAndHeifers_Data(), Table_SourceData_Dairy_WjCowsHeifers[[#Headers],[Breed]], 0)</f>
        <v>600</v>
      </c>
      <c r="F23" s="39" cm="1">
        <f t="array" ref="F23">Common_InputFunctions.Utility_DisplayArrayInTable(SourceData_Dairy.SourceData_Dairy_LiveweightCowsAndHeifers_Data(), Table_SourceData_Dairy_WjCowsHeifers[[#Headers],[Breed]], 0)</f>
        <v>415</v>
      </c>
      <c r="G23" s="39" cm="1">
        <f t="array" ref="G23">Common_InputFunctions.Utility_DisplayArrayInTable(SourceData_Dairy.SourceData_Dairy_LiveweightCowsAndHeifers_Data(), Table_SourceData_Dairy_WjCowsHeifers[[#Headers],[Breed]], 0)</f>
        <v>170</v>
      </c>
      <c r="M23" s="1"/>
    </row>
    <row r="24" spans="1:13" ht="20.100000000000001" customHeight="1" x14ac:dyDescent="0.25">
      <c r="A24" s="17" t="str">
        <f>HYPERLINK("#'Constants - Common'!A1", "Constants - Common")</f>
        <v>Constants - Common</v>
      </c>
      <c r="D24" s="39" t="str" cm="1">
        <f t="array" ref="D24">Common_InputFunctions.Utility_DisplayArrayInTable(SourceData_Dairy.SourceData_Dairy_LiveweightCowsAndHeifers_Data(), Table_SourceData_Dairy_WjCowsHeifers[[#Headers],[Breed]], 0)</f>
        <v>Holstein-Friesian</v>
      </c>
      <c r="E24" s="39" cm="1">
        <f t="array" ref="E24">Common_InputFunctions.Utility_DisplayArrayInTable(SourceData_Dairy.SourceData_Dairy_LiveweightCowsAndHeifers_Data(), Table_SourceData_Dairy_WjCowsHeifers[[#Headers],[Breed]], 0)</f>
        <v>650</v>
      </c>
      <c r="F24" s="39" cm="1">
        <f t="array" ref="F24">Common_InputFunctions.Utility_DisplayArrayInTable(SourceData_Dairy.SourceData_Dairy_LiveweightCowsAndHeifers_Data(), Table_SourceData_Dairy_WjCowsHeifers[[#Headers],[Breed]], 0)</f>
        <v>450</v>
      </c>
      <c r="G24" s="39" cm="1">
        <f t="array" ref="G24">Common_InputFunctions.Utility_DisplayArrayInTable(SourceData_Dairy.SourceData_Dairy_LiveweightCowsAndHeifers_Data(), Table_SourceData_Dairy_WjCowsHeifers[[#Headers],[Breed]], 0)</f>
        <v>185</v>
      </c>
      <c r="M24" s="1"/>
    </row>
    <row r="25" spans="1:13" ht="20.100000000000001" customHeight="1" x14ac:dyDescent="0.25">
      <c r="A25" s="17" t="str">
        <f>HYPERLINK("#'Acknowledgements'!A1", "Acknowledgements")</f>
        <v>Acknowledgements</v>
      </c>
      <c r="D25" s="39" t="str" cm="1">
        <f t="array" ref="D25">Common_InputFunctions.Utility_DisplayArrayInTable(SourceData_Dairy.SourceData_Dairy_LiveweightCowsAndHeifers_Data(), Table_SourceData_Dairy_WjCowsHeifers[[#Headers],[Breed]], 0)</f>
        <v>Friesian crossbred</v>
      </c>
      <c r="E25" s="39" cm="1">
        <f t="array" ref="E25">Common_InputFunctions.Utility_DisplayArrayInTable(SourceData_Dairy.SourceData_Dairy_LiveweightCowsAndHeifers_Data(), Table_SourceData_Dairy_WjCowsHeifers[[#Headers],[Breed]], 0)</f>
        <v>500</v>
      </c>
      <c r="F25" s="39" cm="1">
        <f t="array" ref="F25">Common_InputFunctions.Utility_DisplayArrayInTable(SourceData_Dairy.SourceData_Dairy_LiveweightCowsAndHeifers_Data(), Table_SourceData_Dairy_WjCowsHeifers[[#Headers],[Breed]], 0)</f>
        <v>350</v>
      </c>
      <c r="G25" s="39" cm="1">
        <f t="array" ref="G25">Common_InputFunctions.Utility_DisplayArrayInTable(SourceData_Dairy.SourceData_Dairy_LiveweightCowsAndHeifers_Data(), Table_SourceData_Dairy_WjCowsHeifers[[#Headers],[Breed]], 0)</f>
        <v>145</v>
      </c>
      <c r="M25" s="1"/>
    </row>
    <row r="26" spans="1:13" ht="20.100000000000001" customHeight="1" x14ac:dyDescent="0.25">
      <c r="D26" s="39" t="str" cm="1">
        <f t="array" ref="D26">Common_InputFunctions.Utility_DisplayArrayInTable(SourceData_Dairy.SourceData_Dairy_LiveweightCowsAndHeifers_Data(), Table_SourceData_Dairy_WjCowsHeifers[[#Headers],[Breed]], 0)</f>
        <v>Jersey</v>
      </c>
      <c r="E26" s="39" cm="1">
        <f t="array" ref="E26">Common_InputFunctions.Utility_DisplayArrayInTable(SourceData_Dairy.SourceData_Dairy_LiveweightCowsAndHeifers_Data(), Table_SourceData_Dairy_WjCowsHeifers[[#Headers],[Breed]], 0)</f>
        <v>400</v>
      </c>
      <c r="F26" s="39" cm="1">
        <f t="array" ref="F26">Common_InputFunctions.Utility_DisplayArrayInTable(SourceData_Dairy.SourceData_Dairy_LiveweightCowsAndHeifers_Data(), Table_SourceData_Dairy_WjCowsHeifers[[#Headers],[Breed]], 0)</f>
        <v>275</v>
      </c>
      <c r="G26" s="39" cm="1">
        <f t="array" ref="G26">Common_InputFunctions.Utility_DisplayArrayInTable(SourceData_Dairy.SourceData_Dairy_LiveweightCowsAndHeifers_Data(), Table_SourceData_Dairy_WjCowsHeifers[[#Headers],[Breed]], 0)</f>
        <v>115</v>
      </c>
      <c r="M26" s="1"/>
    </row>
    <row r="27" spans="1:13" ht="20.100000000000001" customHeight="1" x14ac:dyDescent="0.25">
      <c r="D27" s="39" t="str" cm="1">
        <f t="array" ref="D27">Common_InputFunctions.Utility_DisplayArrayInTable(SourceData_Dairy.SourceData_Dairy_LiveweightCowsAndHeifers_Data(), Table_SourceData_Dairy_WjCowsHeifers[[#Headers],[Breed]], 0)</f>
        <v>Jersey crossbred</v>
      </c>
      <c r="E27" s="39" cm="1">
        <f t="array" ref="E27">Common_InputFunctions.Utility_DisplayArrayInTable(SourceData_Dairy.SourceData_Dairy_LiveweightCowsAndHeifers_Data(), Table_SourceData_Dairy_WjCowsHeifers[[#Headers],[Breed]], 0)</f>
        <v>450</v>
      </c>
      <c r="F27" s="39" cm="1">
        <f t="array" ref="F27">Common_InputFunctions.Utility_DisplayArrayInTable(SourceData_Dairy.SourceData_Dairy_LiveweightCowsAndHeifers_Data(), Table_SourceData_Dairy_WjCowsHeifers[[#Headers],[Breed]], 0)</f>
        <v>315</v>
      </c>
      <c r="G27" s="39" cm="1">
        <f t="array" ref="G27">Common_InputFunctions.Utility_DisplayArrayInTable(SourceData_Dairy.SourceData_Dairy_LiveweightCowsAndHeifers_Data(), Table_SourceData_Dairy_WjCowsHeifers[[#Headers],[Breed]], 0)</f>
        <v>130</v>
      </c>
      <c r="M27" s="1"/>
    </row>
    <row r="28" spans="1:13" ht="20.100000000000001" customHeight="1" x14ac:dyDescent="0.25">
      <c r="D28" s="39" t="str" cm="1">
        <f t="array" ref="D28">Common_InputFunctions.Utility_DisplayArrayInTable(SourceData_Dairy.SourceData_Dairy_LiveweightCowsAndHeifers_Data(), Table_SourceData_Dairy_WjCowsHeifers[[#Headers],[Breed]], 0)</f>
        <v>Ayrshire</v>
      </c>
      <c r="E28" s="39" cm="1">
        <f t="array" ref="E28">Common_InputFunctions.Utility_DisplayArrayInTable(SourceData_Dairy.SourceData_Dairy_LiveweightCowsAndHeifers_Data(), Table_SourceData_Dairy_WjCowsHeifers[[#Headers],[Breed]], 0)</f>
        <v>540</v>
      </c>
      <c r="F28" s="39" cm="1">
        <f t="array" ref="F28">Common_InputFunctions.Utility_DisplayArrayInTable(SourceData_Dairy.SourceData_Dairy_LiveweightCowsAndHeifers_Data(), Table_SourceData_Dairy_WjCowsHeifers[[#Headers],[Breed]], 0)</f>
        <v>375</v>
      </c>
      <c r="G28" s="39" cm="1">
        <f t="array" ref="G28">Common_InputFunctions.Utility_DisplayArrayInTable(SourceData_Dairy.SourceData_Dairy_LiveweightCowsAndHeifers_Data(), Table_SourceData_Dairy_WjCowsHeifers[[#Headers],[Breed]], 0)</f>
        <v>150</v>
      </c>
      <c r="M28" s="1"/>
    </row>
    <row r="29" spans="1:13" ht="20.100000000000001" customHeight="1" x14ac:dyDescent="0.25">
      <c r="D29" s="39" t="str" cm="1">
        <f t="array" ref="D29">Common_InputFunctions.Utility_DisplayArrayInTable(SourceData_Dairy.SourceData_Dairy_LiveweightCowsAndHeifers_Data(), Table_SourceData_Dairy_WjCowsHeifers[[#Headers],[Breed]], 0)</f>
        <v>Guernsey</v>
      </c>
      <c r="E29" s="39" cm="1">
        <f t="array" ref="E29">Common_InputFunctions.Utility_DisplayArrayInTable(SourceData_Dairy.SourceData_Dairy_LiveweightCowsAndHeifers_Data(), Table_SourceData_Dairy_WjCowsHeifers[[#Headers],[Breed]], 0)</f>
        <v>480</v>
      </c>
      <c r="F29" s="39" cm="1">
        <f t="array" ref="F29">Common_InputFunctions.Utility_DisplayArrayInTable(SourceData_Dairy.SourceData_Dairy_LiveweightCowsAndHeifers_Data(), Table_SourceData_Dairy_WjCowsHeifers[[#Headers],[Breed]], 0)</f>
        <v>335</v>
      </c>
      <c r="G29" s="39" cm="1">
        <f t="array" ref="G29">Common_InputFunctions.Utility_DisplayArrayInTable(SourceData_Dairy.SourceData_Dairy_LiveweightCowsAndHeifers_Data(), Table_SourceData_Dairy_WjCowsHeifers[[#Headers],[Breed]], 0)</f>
        <v>140</v>
      </c>
      <c r="M29" s="1"/>
    </row>
    <row r="30" spans="1:13" ht="20.100000000000001" customHeight="1" x14ac:dyDescent="0.25">
      <c r="D30" s="39" t="str" cm="1">
        <f t="array" ref="D30">Common_InputFunctions.Utility_DisplayArrayInTable(SourceData_Dairy.SourceData_Dairy_LiveweightCowsAndHeifers_Data(), Table_SourceData_Dairy_WjCowsHeifers[[#Headers],[Breed]], 0)</f>
        <v>Brown Swiss</v>
      </c>
      <c r="E30" s="39" cm="1">
        <f t="array" ref="E30">Common_InputFunctions.Utility_DisplayArrayInTable(SourceData_Dairy.SourceData_Dairy_LiveweightCowsAndHeifers_Data(), Table_SourceData_Dairy_WjCowsHeifers[[#Headers],[Breed]], 0)</f>
        <v>600</v>
      </c>
      <c r="F30" s="39" cm="1">
        <f t="array" ref="F30">Common_InputFunctions.Utility_DisplayArrayInTable(SourceData_Dairy.SourceData_Dairy_LiveweightCowsAndHeifers_Data(), Table_SourceData_Dairy_WjCowsHeifers[[#Headers],[Breed]], 0)</f>
        <v>415</v>
      </c>
      <c r="G30" s="39" cm="1">
        <f t="array" ref="G30">Common_InputFunctions.Utility_DisplayArrayInTable(SourceData_Dairy.SourceData_Dairy_LiveweightCowsAndHeifers_Data(), Table_SourceData_Dairy_WjCowsHeifers[[#Headers],[Breed]], 0)</f>
        <v>170</v>
      </c>
      <c r="M30" s="1"/>
    </row>
    <row r="31" spans="1:13" ht="20.100000000000001" customHeight="1" x14ac:dyDescent="0.25">
      <c r="D31" s="39" t="str" cm="1">
        <f t="array" ref="D31">Common_InputFunctions.Utility_DisplayArrayInTable(SourceData_Dairy.SourceData_Dairy_LiveweightCowsAndHeifers_Data(), Table_SourceData_Dairy_WjCowsHeifers[[#Headers],[Breed]], 0)</f>
        <v>Illawarra/Aussie Red</v>
      </c>
      <c r="E31" s="39" cm="1">
        <f t="array" ref="E31">Common_InputFunctions.Utility_DisplayArrayInTable(SourceData_Dairy.SourceData_Dairy_LiveweightCowsAndHeifers_Data(), Table_SourceData_Dairy_WjCowsHeifers[[#Headers],[Breed]], 0)</f>
        <v>550</v>
      </c>
      <c r="F31" s="39" cm="1">
        <f t="array" ref="F31">Common_InputFunctions.Utility_DisplayArrayInTable(SourceData_Dairy.SourceData_Dairy_LiveweightCowsAndHeifers_Data(), Table_SourceData_Dairy_WjCowsHeifers[[#Headers],[Breed]], 0)</f>
        <v>375</v>
      </c>
      <c r="G31" s="39" cm="1">
        <f t="array" ref="G31">Common_InputFunctions.Utility_DisplayArrayInTable(SourceData_Dairy.SourceData_Dairy_LiveweightCowsAndHeifers_Data(), Table_SourceData_Dairy_WjCowsHeifers[[#Headers],[Breed]], 0)</f>
        <v>150</v>
      </c>
      <c r="M31" s="1"/>
    </row>
    <row r="32" spans="1:13" ht="20.100000000000001" customHeight="1" x14ac:dyDescent="0.25">
      <c r="M32" s="1"/>
    </row>
    <row r="33" spans="4:13" ht="20.100000000000001" customHeight="1" x14ac:dyDescent="0.25">
      <c r="M33" s="1"/>
    </row>
    <row r="34" spans="4:13" ht="20.100000000000001" customHeight="1" x14ac:dyDescent="0.25">
      <c r="D34" s="6" t="str" cm="1">
        <f t="array" ref="D34">SourceData_Dairy.SourceData_Dairy_LiveweightBulls_Title()</f>
        <v>Table A.1.3.2: Dairy cattle - Liveweight (kg) - Bulls (Wj)</v>
      </c>
      <c r="M34" s="1"/>
    </row>
    <row r="35" spans="4:13" ht="20.100000000000001" customHeight="1" x14ac:dyDescent="0.25">
      <c r="D35" s="5" t="str" cm="1">
        <f t="array" ref="D35">SourceData_Dairy.SourceData_Dairy_LiveweightBulls_Source()</f>
        <v>VEERG 2026: Table A.1.3.2</v>
      </c>
      <c r="M35" s="1"/>
    </row>
    <row r="36" spans="4:13" ht="20.100000000000001" customHeight="1" x14ac:dyDescent="0.25">
      <c r="D36" s="1" t="str" cm="1">
        <f t="array" ref="D36">SourceData_Dairy.SourceData_Dairy_LiveweightBulls_Variable()</f>
        <v>Wj</v>
      </c>
      <c r="M36" s="1"/>
    </row>
    <row r="37" spans="4:13" ht="20.100000000000001" customHeight="1" x14ac:dyDescent="0.25">
      <c r="D37" s="57" t="str" cm="1">
        <f t="array" ref="D37">SourceData_Dairy.SourceData_Dairy_LiveweightBulls_Unit()</f>
        <v>kg</v>
      </c>
      <c r="M37" s="1"/>
    </row>
    <row r="38" spans="4:13" ht="20.100000000000001" customHeight="1" x14ac:dyDescent="0.25">
      <c r="D38" s="39" t="s">
        <v>170</v>
      </c>
      <c r="E38" s="39" t="s">
        <v>175</v>
      </c>
      <c r="F38" s="39" t="s">
        <v>174</v>
      </c>
      <c r="M38" s="1"/>
    </row>
    <row r="39" spans="4:13" ht="20.100000000000001" customHeight="1" x14ac:dyDescent="0.25">
      <c r="D39" s="39" t="str" cm="1">
        <f t="array" ref="D39">Common_InputFunctions.Utility_DisplayArrayInTable(SourceData_Dairy.SourceData_Dairy_LiveweightBulls_Data(), Table_SourceData_Dairy_WjBulls[[#Headers],[Breed]], 0)</f>
        <v>All breeds</v>
      </c>
      <c r="E39" s="39" cm="1">
        <f t="array" ref="E39">Common_InputFunctions.Utility_DisplayArrayInTable(SourceData_Dairy.SourceData_Dairy_LiveweightBulls_Data(), Table_SourceData_Dairy_WjBulls[[#Headers],[Breed]], 0)</f>
        <v>600</v>
      </c>
      <c r="F39" s="39" cm="1">
        <f t="array" ref="F39">Common_InputFunctions.Utility_DisplayArrayInTable(SourceData_Dairy.SourceData_Dairy_LiveweightBulls_Data(), Table_SourceData_Dairy_WjBulls[[#Headers],[Breed]], 0)</f>
        <v>225</v>
      </c>
      <c r="M39" s="1"/>
    </row>
    <row r="40" spans="4:13" ht="20.100000000000001" customHeight="1" x14ac:dyDescent="0.25">
      <c r="M40" s="1"/>
    </row>
    <row r="41" spans="4:13" ht="20.100000000000001" customHeight="1" x14ac:dyDescent="0.25">
      <c r="M41" s="1"/>
    </row>
    <row r="42" spans="4:13" ht="20.100000000000001" customHeight="1" x14ac:dyDescent="0.25">
      <c r="D42" s="6" t="str" cm="1">
        <f t="array" ref="D42">SourceData_Dairy.SourceData_Dairy_LiveweightGain_Title()</f>
        <v>Table A.1.3.3: Dairy cattle - Liveweight gain (kg) (LWGj)</v>
      </c>
      <c r="M42" s="1"/>
    </row>
    <row r="43" spans="4:13" ht="20.100000000000001" customHeight="1" x14ac:dyDescent="0.25">
      <c r="D43" s="5" t="str" cm="1">
        <f t="array" ref="D43">SourceData_Dairy.SourceData_Dairy_LiveweightGain_Source()</f>
        <v>VEERG 2026: Table A.1.3.3</v>
      </c>
      <c r="M43" s="1"/>
    </row>
    <row r="44" spans="4:13" ht="20.100000000000001" customHeight="1" x14ac:dyDescent="0.25">
      <c r="D44" s="1" t="str" cm="1">
        <f t="array" ref="D44">SourceData_Dairy.SourceData_Dairy_LiveweightGain_Variable()</f>
        <v>LWGj</v>
      </c>
      <c r="M44" s="1"/>
    </row>
    <row r="45" spans="4:13" ht="20.100000000000001" customHeight="1" x14ac:dyDescent="0.25">
      <c r="D45" s="57" t="str" cm="1">
        <f t="array" ref="D45">SourceData_Dairy.SourceData_Dairy_LiveweightGain_Unit()</f>
        <v>kg</v>
      </c>
      <c r="M45" s="1"/>
    </row>
    <row r="46" spans="4:13" ht="20.100000000000001" customHeight="1" x14ac:dyDescent="0.25">
      <c r="D46" s="39" t="s">
        <v>171</v>
      </c>
      <c r="E46" s="39" t="s">
        <v>172</v>
      </c>
      <c r="F46" s="39" t="s">
        <v>173</v>
      </c>
      <c r="G46" s="39" t="s">
        <v>175</v>
      </c>
      <c r="H46" s="39" t="s">
        <v>174</v>
      </c>
      <c r="M46" s="1"/>
    </row>
    <row r="47" spans="4:13" ht="20.100000000000001" customHeight="1" x14ac:dyDescent="0.25">
      <c r="D47" s="39" cm="1">
        <f t="array" ref="D47">Common_InputFunctions.Utility_DisplayArrayInTable(SourceData_Dairy.SourceData_Dairy_LiveweightGain_Data(), Table_SourceData_Dairy_LWGj[[#Headers],[Milking cows]], 0)</f>
        <v>1.6E-2</v>
      </c>
      <c r="E47" s="39" cm="1">
        <f t="array" ref="E47">Common_InputFunctions.Utility_DisplayArrayInTable(SourceData_Dairy.SourceData_Dairy_LiveweightGain_Data(), Table_SourceData_Dairy_LWGj[[#Headers],[Milking cows]], 0)</f>
        <v>0.6</v>
      </c>
      <c r="F47" s="39" cm="1">
        <f t="array" ref="F47">Common_InputFunctions.Utility_DisplayArrayInTable(SourceData_Dairy.SourceData_Dairy_LiveweightGain_Data(), Table_SourceData_Dairy_LWGj[[#Headers],[Milking cows]], 0)</f>
        <v>0.56999999999999995</v>
      </c>
      <c r="G47" s="39" cm="1">
        <f t="array" ref="G47">Common_InputFunctions.Utility_DisplayArrayInTable(SourceData_Dairy.SourceData_Dairy_LiveweightGain_Data(), Table_SourceData_Dairy_LWGj[[#Headers],[Milking cows]], 0)</f>
        <v>0.1</v>
      </c>
      <c r="H47" s="39" cm="1">
        <f t="array" ref="H47">Common_InputFunctions.Utility_DisplayArrayInTable(SourceData_Dairy.SourceData_Dairy_LiveweightGain_Data(), Table_SourceData_Dairy_LWGj[[#Headers],[Milking cows]], 0)</f>
        <v>0.8</v>
      </c>
      <c r="M47" s="1"/>
    </row>
    <row r="48" spans="4:13" ht="20.100000000000001" customHeight="1" x14ac:dyDescent="0.25">
      <c r="M48" s="1"/>
    </row>
    <row r="49" spans="1:13" ht="20.100000000000001" customHeight="1" x14ac:dyDescent="0.25">
      <c r="M49" s="1"/>
    </row>
    <row r="50" spans="1:13" ht="20.100000000000001" customHeight="1" x14ac:dyDescent="0.25">
      <c r="D50" s="6" t="str" cm="1">
        <f t="array" ref="D50">SourceData_Dairy.SourceData_Dairy_ReferenceWeights_Title()</f>
        <v>Table A.1.3.4: Dairy cattle - Reference weights (kg) (WRj)</v>
      </c>
      <c r="M50" s="1"/>
    </row>
    <row r="51" spans="1:13" ht="20.100000000000001" customHeight="1" x14ac:dyDescent="0.25">
      <c r="D51" s="5" t="str" cm="1">
        <f t="array" ref="D51">SourceData_Dairy.SourceData_Dairy_ReferenceWeights_Source()</f>
        <v>VEERG 2026: Table A.1.3.4</v>
      </c>
      <c r="M51" s="1"/>
    </row>
    <row r="52" spans="1:13" ht="20.100000000000001" customHeight="1" x14ac:dyDescent="0.25">
      <c r="D52" s="1" t="str" cm="1">
        <f t="array" ref="D52">SourceData_Dairy.SourceData_Dairy_ReferenceWeights_Variable()</f>
        <v>WRj</v>
      </c>
      <c r="M52" s="1"/>
    </row>
    <row r="53" spans="1:13" ht="20.100000000000001" customHeight="1" x14ac:dyDescent="0.25">
      <c r="D53" s="57" t="str" cm="1">
        <f t="array" ref="D53">SourceData_Dairy.SourceData_Dairy_ReferenceWeights_Unit()</f>
        <v>kg</v>
      </c>
      <c r="M53" s="1"/>
    </row>
    <row r="54" spans="1:13" ht="20.100000000000001" customHeight="1" x14ac:dyDescent="0.25">
      <c r="D54" s="125" t="s">
        <v>171</v>
      </c>
      <c r="E54" s="125" t="s">
        <v>172</v>
      </c>
      <c r="F54" s="125" t="s">
        <v>173</v>
      </c>
      <c r="G54" s="125" t="s">
        <v>175</v>
      </c>
      <c r="H54" s="125" t="s">
        <v>174</v>
      </c>
      <c r="M54" s="1"/>
    </row>
    <row r="55" spans="1:13" ht="20.100000000000001" customHeight="1" x14ac:dyDescent="0.25">
      <c r="A55" s="141" t="str">
        <f>HYPERLINK("#A1", "▲ Back to top")</f>
        <v>▲ Back to top</v>
      </c>
      <c r="D55" s="1" cm="1">
        <f t="array" ref="D55">Common_InputFunctions.Utility_DisplayArrayInTable(SourceData_Dairy.SourceData_Dairy_ReferenceWeights_Data(), Table_SourceData_Dairy_WRj[[#Headers],[Milking cows]], 0)</f>
        <v>590</v>
      </c>
      <c r="E55" s="1" cm="1">
        <f t="array" ref="E55">Common_InputFunctions.Utility_DisplayArrayInTable(SourceData_Dairy.SourceData_Dairy_ReferenceWeights_Data(), Table_SourceData_Dairy_WRj[[#Headers],[Milking cows]], 0)</f>
        <v>590</v>
      </c>
      <c r="F55" s="1" cm="1">
        <f t="array" ref="F55">Common_InputFunctions.Utility_DisplayArrayInTable(SourceData_Dairy.SourceData_Dairy_ReferenceWeights_Data(), Table_SourceData_Dairy_WRj[[#Headers],[Milking cows]], 0)</f>
        <v>590</v>
      </c>
      <c r="G55" s="1" cm="1">
        <f t="array" ref="G55">Common_InputFunctions.Utility_DisplayArrayInTable(SourceData_Dairy.SourceData_Dairy_ReferenceWeights_Data(), Table_SourceData_Dairy_WRj[[#Headers],[Milking cows]], 0)</f>
        <v>770</v>
      </c>
      <c r="H55" s="1" cm="1">
        <f t="array" ref="H55">Common_InputFunctions.Utility_DisplayArrayInTable(SourceData_Dairy.SourceData_Dairy_ReferenceWeights_Data(), Table_SourceData_Dairy_WRj[[#Headers],[Milking cows]], 0)</f>
        <v>770</v>
      </c>
      <c r="M55" s="1"/>
    </row>
    <row r="56" spans="1:13" ht="20.100000000000001" customHeight="1" x14ac:dyDescent="0.25">
      <c r="M56" s="1"/>
    </row>
    <row r="57" spans="1:13" ht="20.100000000000001" customHeight="1" x14ac:dyDescent="0.25">
      <c r="M57" s="1"/>
    </row>
    <row r="58" spans="1:13" ht="20.100000000000001" customHeight="1" x14ac:dyDescent="0.25">
      <c r="D58" s="6" t="str" cm="1">
        <f t="array" ref="D58">SourceData_Dairy.SourceData_Dairy_PreWeanedCalves_Title()</f>
        <v>Table A.1.3.5: Dairy cattle - Data for pre - weaned calves</v>
      </c>
      <c r="M58" s="1"/>
    </row>
    <row r="59" spans="1:13" ht="20.100000000000001" customHeight="1" x14ac:dyDescent="0.25">
      <c r="D59" s="5" t="str" cm="1">
        <f t="array" ref="D59">SourceData_Dairy.SourceData_Dairy_PreWeanedCalves_Source()</f>
        <v>VEERG 2026: Table A.1.3.5</v>
      </c>
      <c r="M59" s="1"/>
    </row>
    <row r="60" spans="1:13" ht="20.100000000000001" customHeight="1" x14ac:dyDescent="0.25">
      <c r="D60" s="1" t="str" cm="1">
        <f t="array" ref="D60">SourceData_Dairy.SourceData_Dairy_PreWeanedCalves_Variable()</f>
        <v>VSj=3,5; NPWj=3,5</v>
      </c>
      <c r="M60" s="1"/>
    </row>
    <row r="61" spans="1:13" ht="20.100000000000001" customHeight="1" x14ac:dyDescent="0.25">
      <c r="D61" s="57" t="str" cm="1">
        <f t="array" ref="D61">SourceData_Dairy.SourceData_Dairy_PreWeanedCalves_Unit()</f>
        <v>kg/day</v>
      </c>
      <c r="M61" s="1"/>
    </row>
    <row r="62" spans="1:13" ht="20.100000000000001" customHeight="1" x14ac:dyDescent="0.25">
      <c r="D62" s="39" t="s">
        <v>176</v>
      </c>
      <c r="E62" s="39" t="s">
        <v>177</v>
      </c>
      <c r="F62" s="39" t="s">
        <v>178</v>
      </c>
      <c r="G62" s="39" t="s">
        <v>179</v>
      </c>
      <c r="M62" s="1"/>
    </row>
    <row r="63" spans="1:13" ht="20.100000000000001" customHeight="1" x14ac:dyDescent="0.25">
      <c r="D63" s="39" t="str" cm="1">
        <f t="array" ref="D63">Common_InputFunctions.Utility_DisplayArrayInTable(SourceData_Dairy.SourceData_Dairy_PreWeanedCalves_Data(), Table_SourceData_Dairy_DataPreWeaned[[#Headers],[Animal class j]], -1)</f>
        <v>Heifers&lt;1</v>
      </c>
      <c r="E63" s="39" cm="1">
        <f t="array" ref="E63">Common_InputFunctions.Utility_DisplayArrayInTable(SourceData_Dairy.SourceData_Dairy_PreWeanedCalves_Data(), Table_SourceData_Dairy_DataPreWeaned[[#Headers],[Animal class j]], -1)</f>
        <v>1.7600000000000001E-2</v>
      </c>
      <c r="F63" s="39" cm="1">
        <f t="array" ref="F63">Common_InputFunctions.Utility_DisplayArrayInTable(SourceData_Dairy.SourceData_Dairy_PreWeanedCalves_Data(), Table_SourceData_Dairy_DataPreWeaned[[#Headers],[Animal class j]], -1)</f>
        <v>0.26850000000000002</v>
      </c>
      <c r="G63" s="39" cm="1">
        <f t="array" ref="G63">Common_InputFunctions.Utility_DisplayArrayInTable(SourceData_Dairy.SourceData_Dairy_PreWeanedCalves_Data(), Table_SourceData_Dairy_DataPreWeaned[[#Headers],[Animal class j]], -1)</f>
        <v>1.37E-2</v>
      </c>
      <c r="M63" s="1"/>
    </row>
    <row r="64" spans="1:13" ht="20.100000000000001" customHeight="1" x14ac:dyDescent="0.25">
      <c r="D64" s="39" t="str" cm="1">
        <f t="array" ref="D64">Common_InputFunctions.Utility_DisplayArrayInTable(SourceData_Dairy.SourceData_Dairy_PreWeanedCalves_Data(), Table_SourceData_Dairy_DataPreWeaned[[#Headers],[Animal class j]], -1)</f>
        <v>Bulls&lt;1</v>
      </c>
      <c r="E64" s="39" cm="1">
        <f t="array" ref="E64">Common_InputFunctions.Utility_DisplayArrayInTable(SourceData_Dairy.SourceData_Dairy_PreWeanedCalves_Data(), Table_SourceData_Dairy_DataPreWeaned[[#Headers],[Animal class j]], -1)</f>
        <v>2.0400000000000001E-2</v>
      </c>
      <c r="F64" s="39" cm="1">
        <f t="array" ref="F64">Common_InputFunctions.Utility_DisplayArrayInTable(SourceData_Dairy.SourceData_Dairy_PreWeanedCalves_Data(), Table_SourceData_Dairy_DataPreWeaned[[#Headers],[Animal class j]], -1)</f>
        <v>0.30030000000000001</v>
      </c>
      <c r="G64" s="39" cm="1">
        <f t="array" ref="G64">Common_InputFunctions.Utility_DisplayArrayInTable(SourceData_Dairy.SourceData_Dairy_PreWeanedCalves_Data(), Table_SourceData_Dairy_DataPreWeaned[[#Headers],[Animal class j]], -1)</f>
        <v>9.1999999999999998E-3</v>
      </c>
      <c r="M64" s="1"/>
    </row>
    <row r="65" spans="1:22" ht="20.100000000000001" customHeight="1" x14ac:dyDescent="0.25">
      <c r="M65" s="1"/>
    </row>
    <row r="66" spans="1:22" ht="20.100000000000001" customHeight="1" x14ac:dyDescent="0.25">
      <c r="M66" s="1"/>
    </row>
    <row r="67" spans="1:22" ht="20.100000000000001" customHeight="1" x14ac:dyDescent="0.25">
      <c r="D67" s="6" t="str" cm="1">
        <f t="array" ref="D67">SourceData_Dairy.SourceData_Dairy_MCF_Title()</f>
        <v>Table A.1.3.6: Dairy cattle - Dairy cattle - MCFs (fraction) (MCFjm)</v>
      </c>
      <c r="M67" s="1"/>
    </row>
    <row r="68" spans="1:22" ht="20.100000000000001" customHeight="1" x14ac:dyDescent="0.25">
      <c r="D68" s="5" t="str" cm="1">
        <f t="array" ref="D68">SourceData_Dairy.SourceData_Dairy_MCF_Source()</f>
        <v>VEERG 2026: Table A.1.3.6</v>
      </c>
      <c r="M68" s="1"/>
    </row>
    <row r="69" spans="1:22" ht="20.100000000000001" customHeight="1" x14ac:dyDescent="0.25">
      <c r="D69" s="1" t="str" cm="1">
        <f t="array" ref="D69">SourceData_Dairy.SourceData_Dairy_MCF_Variable()</f>
        <v>MCFjm</v>
      </c>
      <c r="M69" s="1"/>
    </row>
    <row r="70" spans="1:22" ht="20.100000000000001" customHeight="1" x14ac:dyDescent="0.25">
      <c r="D70" s="57" t="str" cm="1">
        <f t="array" ref="D70">SourceData_Dairy.SourceData_Dairy_MCF_Unit()</f>
        <v>fraction</v>
      </c>
      <c r="M70" s="1"/>
    </row>
    <row r="71" spans="1:22" ht="20.100000000000001" customHeight="1" x14ac:dyDescent="0.25">
      <c r="D71" s="58" t="str" cm="1">
        <f t="array" ref="D71">SourceData_Dairy.SourceData_Dairy_MCF_Variation()</f>
        <v>VARIATION OF SOURCE: Added 'NIR reference' column to aid lookup</v>
      </c>
      <c r="M71" s="1"/>
      <c r="V71" s="1"/>
    </row>
    <row r="72" spans="1:22" ht="20.100000000000001" customHeight="1" x14ac:dyDescent="0.25">
      <c r="D72" s="39" t="s">
        <v>100</v>
      </c>
      <c r="E72" s="39" t="s">
        <v>82</v>
      </c>
      <c r="F72" s="39" t="s">
        <v>83</v>
      </c>
      <c r="G72" s="39" t="s">
        <v>84</v>
      </c>
      <c r="H72" s="39" t="s">
        <v>85</v>
      </c>
      <c r="I72" s="39" t="s">
        <v>86</v>
      </c>
      <c r="J72" s="39" t="s">
        <v>87</v>
      </c>
      <c r="K72" s="39" t="s">
        <v>88</v>
      </c>
      <c r="L72" s="39" t="s">
        <v>89</v>
      </c>
      <c r="M72" s="39" t="s">
        <v>187</v>
      </c>
      <c r="V72" s="1"/>
    </row>
    <row r="73" spans="1:22" ht="20.100000000000001" customHeight="1" x14ac:dyDescent="0.25">
      <c r="D73" s="39" t="str" cm="1">
        <f t="array" ref="D73">Common_InputFunctions.Utility_DisplayArrayInTable(SourceData_Dairy.SourceData_Dairy_MCF_Data(), Table_SourceData_Dairy_MCFjm[[#Headers],[MMS m]], 0)</f>
        <v>Pasture</v>
      </c>
      <c r="E73" s="39" cm="1">
        <f t="array" ref="E73">Common_InputFunctions.Utility_DisplayArrayInTable(SourceData_Dairy.SourceData_Dairy_MCF_Data(), Table_SourceData_Dairy_MCFjm[[#Headers],[MMS m]], 0)</f>
        <v>0.01</v>
      </c>
      <c r="F73" s="39" cm="1">
        <f t="array" ref="F73">Common_InputFunctions.Utility_DisplayArrayInTable(SourceData_Dairy.SourceData_Dairy_MCF_Data(), Table_SourceData_Dairy_MCFjm[[#Headers],[MMS m]], 0)</f>
        <v>0.01</v>
      </c>
      <c r="G73" s="39" cm="1">
        <f t="array" ref="G73">Common_InputFunctions.Utility_DisplayArrayInTable(SourceData_Dairy.SourceData_Dairy_MCF_Data(), Table_SourceData_Dairy_MCFjm[[#Headers],[MMS m]], 0)</f>
        <v>0.02</v>
      </c>
      <c r="H73" s="39" cm="1">
        <f t="array" ref="H73">Common_InputFunctions.Utility_DisplayArrayInTable(SourceData_Dairy.SourceData_Dairy_MCF_Data(), Table_SourceData_Dairy_MCFjm[[#Headers],[MMS m]], 0)</f>
        <v>0.01</v>
      </c>
      <c r="I73" s="39" cm="1">
        <f t="array" ref="I73">Common_InputFunctions.Utility_DisplayArrayInTable(SourceData_Dairy.SourceData_Dairy_MCF_Data(), Table_SourceData_Dairy_MCFjm[[#Headers],[MMS m]], 0)</f>
        <v>0.01</v>
      </c>
      <c r="J73" s="39" cm="1">
        <f t="array" ref="J73">Common_InputFunctions.Utility_DisplayArrayInTable(SourceData_Dairy.SourceData_Dairy_MCF_Data(), Table_SourceData_Dairy_MCFjm[[#Headers],[MMS m]], 0)</f>
        <v>0.01</v>
      </c>
      <c r="K73" s="39" cm="1">
        <f t="array" ref="K73">Common_InputFunctions.Utility_DisplayArrayInTable(SourceData_Dairy.SourceData_Dairy_MCF_Data(), Table_SourceData_Dairy_MCFjm[[#Headers],[MMS m]], 0)</f>
        <v>0.01</v>
      </c>
      <c r="L73" s="39" cm="1">
        <f t="array" ref="L73">Common_InputFunctions.Utility_DisplayArrayInTable(SourceData_Dairy.SourceData_Dairy_MCF_Data(), Table_SourceData_Dairy_MCFjm[[#Headers],[MMS m]], 0)</f>
        <v>0.01</v>
      </c>
      <c r="M73" s="39" t="str" cm="1">
        <f t="array" ref="M73">Common_InputFunctions.Utility_DisplayArrayInTable(SourceData_Dairy.SourceData_Dairy_MCF_Data(), Table_SourceData_Dairy_MCFjm[[#Headers],[MMS m]], 0)</f>
        <v>Pasture range and paddock</v>
      </c>
      <c r="V73" s="1"/>
    </row>
    <row r="74" spans="1:22" ht="20.100000000000001" customHeight="1" x14ac:dyDescent="0.25">
      <c r="D74" s="1" t="str" cm="1">
        <f t="array" ref="D74">Common_InputFunctions.Utility_DisplayArrayInTable(SourceData_Dairy.SourceData_Dairy_MCF_Data(), Table_SourceData_Dairy_MCFjm[[#Headers],[MMS m]], 0)</f>
        <v>Anaerobic lagoon</v>
      </c>
      <c r="E74" s="39" cm="1">
        <f t="array" ref="E74">Common_InputFunctions.Utility_DisplayArrayInTable(SourceData_Dairy.SourceData_Dairy_MCF_Data(), Table_SourceData_Dairy_MCFjm[[#Headers],[MMS m]], 0)</f>
        <v>0.72</v>
      </c>
      <c r="F74" s="39" cm="1">
        <f t="array" ref="F74">Common_InputFunctions.Utility_DisplayArrayInTable(SourceData_Dairy.SourceData_Dairy_MCF_Data(), Table_SourceData_Dairy_MCFjm[[#Headers],[MMS m]], 0)</f>
        <v>0.76</v>
      </c>
      <c r="G74" s="39" cm="1">
        <f t="array" ref="G74">Common_InputFunctions.Utility_DisplayArrayInTable(SourceData_Dairy.SourceData_Dairy_MCF_Data(), Table_SourceData_Dairy_MCFjm[[#Headers],[MMS m]], 0)</f>
        <v>0.8</v>
      </c>
      <c r="H74" s="39" cm="1">
        <f t="array" ref="H74">Common_InputFunctions.Utility_DisplayArrayInTable(SourceData_Dairy.SourceData_Dairy_MCF_Data(), Table_SourceData_Dairy_MCFjm[[#Headers],[MMS m]], 0)</f>
        <v>0.78</v>
      </c>
      <c r="I74" s="39" cm="1">
        <f t="array" ref="I74">Common_InputFunctions.Utility_DisplayArrayInTable(SourceData_Dairy.SourceData_Dairy_MCF_Data(), Table_SourceData_Dairy_MCFjm[[#Headers],[MMS m]], 0)</f>
        <v>0.74</v>
      </c>
      <c r="J74" s="39" cm="1">
        <f t="array" ref="J74">Common_InputFunctions.Utility_DisplayArrayInTable(SourceData_Dairy.SourceData_Dairy_MCF_Data(), Table_SourceData_Dairy_MCFjm[[#Headers],[MMS m]], 0)</f>
        <v>0.69</v>
      </c>
      <c r="K74" s="39" cm="1">
        <f t="array" ref="K74">Common_InputFunctions.Utility_DisplayArrayInTable(SourceData_Dairy.SourceData_Dairy_MCF_Data(), Table_SourceData_Dairy_MCFjm[[#Headers],[MMS m]], 0)</f>
        <v>0.73</v>
      </c>
      <c r="L74" s="39" cm="1">
        <f t="array" ref="L74">Common_InputFunctions.Utility_DisplayArrayInTable(SourceData_Dairy.SourceData_Dairy_MCF_Data(), Table_SourceData_Dairy_MCFjm[[#Headers],[MMS m]], 0)</f>
        <v>0.76</v>
      </c>
      <c r="M74" s="39" t="str" cm="1">
        <f t="array" ref="M74">Common_InputFunctions.Utility_DisplayArrayInTable(SourceData_Dairy.SourceData_Dairy_MCF_Data(), Table_SourceData_Dairy_MCFjm[[#Headers],[MMS m]], 0)</f>
        <v>Anaerobic lagoon</v>
      </c>
      <c r="V74" s="1"/>
    </row>
    <row r="75" spans="1:22" ht="20.100000000000001" customHeight="1" x14ac:dyDescent="0.25">
      <c r="D75" s="1" t="str" cm="1">
        <f t="array" ref="D75">Common_InputFunctions.Utility_DisplayArrayInTable(SourceData_Dairy.SourceData_Dairy_MCF_Data(), Table_SourceData_Dairy_MCFjm[[#Headers],[MMS m]], 0)</f>
        <v>Daily spread - Sump and dispersal systems</v>
      </c>
      <c r="E75" s="39" cm="1">
        <f t="array" ref="E75">Common_InputFunctions.Utility_DisplayArrayInTable(SourceData_Dairy.SourceData_Dairy_MCF_Data(), Table_SourceData_Dairy_MCFjm[[#Headers],[MMS m]], 0)</f>
        <v>5.0000000000000001E-3</v>
      </c>
      <c r="F75" s="39" cm="1">
        <f t="array" ref="F75">Common_InputFunctions.Utility_DisplayArrayInTable(SourceData_Dairy.SourceData_Dairy_MCF_Data(), Table_SourceData_Dairy_MCFjm[[#Headers],[MMS m]], 0)</f>
        <v>5.0000000000000001E-3</v>
      </c>
      <c r="G75" s="39" cm="1">
        <f t="array" ref="G75">Common_InputFunctions.Utility_DisplayArrayInTable(SourceData_Dairy.SourceData_Dairy_MCF_Data(), Table_SourceData_Dairy_MCFjm[[#Headers],[MMS m]], 0)</f>
        <v>0.01</v>
      </c>
      <c r="H75" s="39" cm="1">
        <f t="array" ref="H75">Common_InputFunctions.Utility_DisplayArrayInTable(SourceData_Dairy.SourceData_Dairy_MCF_Data(), Table_SourceData_Dairy_MCFjm[[#Headers],[MMS m]], 0)</f>
        <v>5.0000000000000001E-3</v>
      </c>
      <c r="I75" s="39" cm="1">
        <f t="array" ref="I75">Common_InputFunctions.Utility_DisplayArrayInTable(SourceData_Dairy.SourceData_Dairy_MCF_Data(), Table_SourceData_Dairy_MCFjm[[#Headers],[MMS m]], 0)</f>
        <v>5.0000000000000001E-3</v>
      </c>
      <c r="J75" s="39" cm="1">
        <f t="array" ref="J75">Common_InputFunctions.Utility_DisplayArrayInTable(SourceData_Dairy.SourceData_Dairy_MCF_Data(), Table_SourceData_Dairy_MCFjm[[#Headers],[MMS m]], 0)</f>
        <v>1E-3</v>
      </c>
      <c r="K75" s="39" cm="1">
        <f t="array" ref="K75">Common_InputFunctions.Utility_DisplayArrayInTable(SourceData_Dairy.SourceData_Dairy_MCF_Data(), Table_SourceData_Dairy_MCFjm[[#Headers],[MMS m]], 0)</f>
        <v>5.0000000000000001E-3</v>
      </c>
      <c r="L75" s="39" cm="1">
        <f t="array" ref="L75">Common_InputFunctions.Utility_DisplayArrayInTable(SourceData_Dairy.SourceData_Dairy_MCF_Data(), Table_SourceData_Dairy_MCFjm[[#Headers],[MMS m]], 0)</f>
        <v>5.0000000000000001E-3</v>
      </c>
      <c r="M75" s="39" t="str" cm="1">
        <f t="array" ref="M75">Common_InputFunctions.Utility_DisplayArrayInTable(SourceData_Dairy.SourceData_Dairy_MCF_Data(), Table_SourceData_Dairy_MCFjm[[#Headers],[MMS m]], 0)</f>
        <v>Sump and dispersal system</v>
      </c>
      <c r="V75" s="1"/>
    </row>
    <row r="76" spans="1:22" ht="20.100000000000001" customHeight="1" x14ac:dyDescent="0.25">
      <c r="D76" s="1" t="str" cm="1">
        <f t="array" ref="D76">Common_InputFunctions.Utility_DisplayArrayInTable(SourceData_Dairy.SourceData_Dairy_MCF_Data(), Table_SourceData_Dairy_MCFjm[[#Headers],[MMS m]], 0)</f>
        <v>Daily spread - Drains to paddocks (a)</v>
      </c>
      <c r="E76" s="39" cm="1">
        <f t="array" ref="E76">Common_InputFunctions.Utility_DisplayArrayInTable(SourceData_Dairy.SourceData_Dairy_MCF_Data(), Table_SourceData_Dairy_MCFjm[[#Headers],[MMS m]], 0)</f>
        <v>0.15</v>
      </c>
      <c r="F76" s="39" cm="1">
        <f t="array" ref="F76">Common_InputFunctions.Utility_DisplayArrayInTable(SourceData_Dairy.SourceData_Dairy_MCF_Data(), Table_SourceData_Dairy_MCFjm[[#Headers],[MMS m]], 0)</f>
        <v>0.18</v>
      </c>
      <c r="G76" s="39" cm="1">
        <f t="array" ref="G76">Common_InputFunctions.Utility_DisplayArrayInTable(SourceData_Dairy.SourceData_Dairy_MCF_Data(), Table_SourceData_Dairy_MCFjm[[#Headers],[MMS m]], 0)</f>
        <v>0.5</v>
      </c>
      <c r="H76" s="39" cm="1">
        <f t="array" ref="H76">Common_InputFunctions.Utility_DisplayArrayInTable(SourceData_Dairy.SourceData_Dairy_MCF_Data(), Table_SourceData_Dairy_MCFjm[[#Headers],[MMS m]], 0)</f>
        <v>0.24</v>
      </c>
      <c r="I76" s="39" cm="1">
        <f t="array" ref="I76">Common_InputFunctions.Utility_DisplayArrayInTable(SourceData_Dairy.SourceData_Dairy_MCF_Data(), Table_SourceData_Dairy_MCFjm[[#Headers],[MMS m]], 0)</f>
        <v>0.17</v>
      </c>
      <c r="J76" s="39" cm="1">
        <f t="array" ref="J76">Common_InputFunctions.Utility_DisplayArrayInTable(SourceData_Dairy.SourceData_Dairy_MCF_Data(), Table_SourceData_Dairy_MCFjm[[#Headers],[MMS m]], 0)</f>
        <v>0.13</v>
      </c>
      <c r="K76" s="39" cm="1">
        <f t="array" ref="K76">Common_InputFunctions.Utility_DisplayArrayInTable(SourceData_Dairy.SourceData_Dairy_MCF_Data(), Table_SourceData_Dairy_MCFjm[[#Headers],[MMS m]], 0)</f>
        <v>0.17</v>
      </c>
      <c r="L76" s="39" cm="1">
        <f t="array" ref="L76">Common_InputFunctions.Utility_DisplayArrayInTable(SourceData_Dairy.SourceData_Dairy_MCF_Data(), Table_SourceData_Dairy_MCFjm[[#Headers],[MMS m]], 0)</f>
        <v>0.18</v>
      </c>
      <c r="M76" s="39" t="str" cm="1">
        <f t="array" ref="M76">Common_InputFunctions.Utility_DisplayArrayInTable(SourceData_Dairy.SourceData_Dairy_MCF_Data(), Table_SourceData_Dairy_MCFjm[[#Headers],[MMS m]], 0)</f>
        <v>Drains to paddock</v>
      </c>
      <c r="V76" s="1"/>
    </row>
    <row r="77" spans="1:22" ht="20.100000000000001" customHeight="1" x14ac:dyDescent="0.25">
      <c r="D77" s="1" t="str" cm="1">
        <f t="array" ref="D77">Common_InputFunctions.Utility_DisplayArrayInTable(SourceData_Dairy.SourceData_Dairy_MCF_Data(), Table_SourceData_Dairy_MCFjm[[#Headers],[MMS m]], 0)</f>
        <v>Solid Storage</v>
      </c>
      <c r="E77" s="39" cm="1">
        <f t="array" ref="E77">Common_InputFunctions.Utility_DisplayArrayInTable(SourceData_Dairy.SourceData_Dairy_MCF_Data(), Table_SourceData_Dairy_MCFjm[[#Headers],[MMS m]], 0)</f>
        <v>0.02</v>
      </c>
      <c r="F77" s="39" cm="1">
        <f t="array" ref="F77">Common_InputFunctions.Utility_DisplayArrayInTable(SourceData_Dairy.SourceData_Dairy_MCF_Data(), Table_SourceData_Dairy_MCFjm[[#Headers],[MMS m]], 0)</f>
        <v>0.02</v>
      </c>
      <c r="G77" s="39" cm="1">
        <f t="array" ref="G77">Common_InputFunctions.Utility_DisplayArrayInTable(SourceData_Dairy.SourceData_Dairy_MCF_Data(), Table_SourceData_Dairy_MCFjm[[#Headers],[MMS m]], 0)</f>
        <v>0.02</v>
      </c>
      <c r="H77" s="39" cm="1">
        <f t="array" ref="H77">Common_InputFunctions.Utility_DisplayArrayInTable(SourceData_Dairy.SourceData_Dairy_MCF_Data(), Table_SourceData_Dairy_MCFjm[[#Headers],[MMS m]], 0)</f>
        <v>0.02</v>
      </c>
      <c r="I77" s="39" cm="1">
        <f t="array" ref="I77">Common_InputFunctions.Utility_DisplayArrayInTable(SourceData_Dairy.SourceData_Dairy_MCF_Data(), Table_SourceData_Dairy_MCFjm[[#Headers],[MMS m]], 0)</f>
        <v>0.02</v>
      </c>
      <c r="J77" s="39" cm="1">
        <f t="array" ref="J77">Common_InputFunctions.Utility_DisplayArrayInTable(SourceData_Dairy.SourceData_Dairy_MCF_Data(), Table_SourceData_Dairy_MCFjm[[#Headers],[MMS m]], 0)</f>
        <v>0.02</v>
      </c>
      <c r="K77" s="39" cm="1">
        <f t="array" ref="K77">Common_InputFunctions.Utility_DisplayArrayInTable(SourceData_Dairy.SourceData_Dairy_MCF_Data(), Table_SourceData_Dairy_MCFjm[[#Headers],[MMS m]], 0)</f>
        <v>0.02</v>
      </c>
      <c r="L77" s="39" cm="1">
        <f t="array" ref="L77">Common_InputFunctions.Utility_DisplayArrayInTable(SourceData_Dairy.SourceData_Dairy_MCF_Data(), Table_SourceData_Dairy_MCFjm[[#Headers],[MMS m]], 0)</f>
        <v>0.02</v>
      </c>
      <c r="M77" s="39" t="str" cm="1">
        <f t="array" ref="M77">Common_InputFunctions.Utility_DisplayArrayInTable(SourceData_Dairy.SourceData_Dairy_MCF_Data(), Table_SourceData_Dairy_MCFjm[[#Headers],[MMS m]], 0)</f>
        <v>Solid storage</v>
      </c>
      <c r="V77" s="1"/>
    </row>
    <row r="78" spans="1:22" ht="20.100000000000001" customHeight="1" x14ac:dyDescent="0.25">
      <c r="D78" s="1" t="str" cm="1">
        <f t="array" ref="D78">Common_InputFunctions.Utility_DisplayArrayInTable(SourceData_Dairy.SourceData_Dairy_MCF_Data(), Table_SourceData_Dairy_MCFjm[[#Headers],[MMS m]], 0)</f>
        <v>Direct Application to soil</v>
      </c>
      <c r="E78" s="39" cm="1">
        <f t="array" ref="E78">Common_InputFunctions.Utility_DisplayArrayInTable(SourceData_Dairy.SourceData_Dairy_MCF_Data(), Table_SourceData_Dairy_MCFjm[[#Headers],[MMS m]], 0)</f>
        <v>0</v>
      </c>
      <c r="F78" s="39" cm="1">
        <f t="array" ref="F78">Common_InputFunctions.Utility_DisplayArrayInTable(SourceData_Dairy.SourceData_Dairy_MCF_Data(), Table_SourceData_Dairy_MCFjm[[#Headers],[MMS m]], 0)</f>
        <v>0</v>
      </c>
      <c r="G78" s="39" cm="1">
        <f t="array" ref="G78">Common_InputFunctions.Utility_DisplayArrayInTable(SourceData_Dairy.SourceData_Dairy_MCF_Data(), Table_SourceData_Dairy_MCFjm[[#Headers],[MMS m]], 0)</f>
        <v>0</v>
      </c>
      <c r="H78" s="39" cm="1">
        <f t="array" ref="H78">Common_InputFunctions.Utility_DisplayArrayInTable(SourceData_Dairy.SourceData_Dairy_MCF_Data(), Table_SourceData_Dairy_MCFjm[[#Headers],[MMS m]], 0)</f>
        <v>0</v>
      </c>
      <c r="I78" s="39" cm="1">
        <f t="array" ref="I78">Common_InputFunctions.Utility_DisplayArrayInTable(SourceData_Dairy.SourceData_Dairy_MCF_Data(), Table_SourceData_Dairy_MCFjm[[#Headers],[MMS m]], 0)</f>
        <v>0</v>
      </c>
      <c r="J78" s="39" cm="1">
        <f t="array" ref="J78">Common_InputFunctions.Utility_DisplayArrayInTable(SourceData_Dairy.SourceData_Dairy_MCF_Data(), Table_SourceData_Dairy_MCFjm[[#Headers],[MMS m]], 0)</f>
        <v>0</v>
      </c>
      <c r="K78" s="39" cm="1">
        <f t="array" ref="K78">Common_InputFunctions.Utility_DisplayArrayInTable(SourceData_Dairy.SourceData_Dairy_MCF_Data(), Table_SourceData_Dairy_MCFjm[[#Headers],[MMS m]], 0)</f>
        <v>0</v>
      </c>
      <c r="L78" s="39" cm="1">
        <f t="array" ref="L78">Common_InputFunctions.Utility_DisplayArrayInTable(SourceData_Dairy.SourceData_Dairy_MCF_Data(), Table_SourceData_Dairy_MCFjm[[#Headers],[MMS m]], 0)</f>
        <v>0</v>
      </c>
      <c r="M78" s="39" t="str" cm="1">
        <f t="array" ref="M78">Common_InputFunctions.Utility_DisplayArrayInTable(SourceData_Dairy.SourceData_Dairy_MCF_Data(), Table_SourceData_Dairy_MCFjm[[#Headers],[MMS m]], 0)</f>
        <v>Direct application</v>
      </c>
    </row>
    <row r="79" spans="1:22" ht="20.100000000000001" customHeight="1" x14ac:dyDescent="0.25">
      <c r="A79" s="141" t="str">
        <f>HYPERLINK("#A1", "▲ Back to top")</f>
        <v>▲ Back to top</v>
      </c>
      <c r="M79" s="1"/>
    </row>
    <row r="80" spans="1:22" ht="20.100000000000001" customHeight="1" x14ac:dyDescent="0.25">
      <c r="M80" s="1"/>
    </row>
    <row r="81" spans="4:22" ht="20.100000000000001" customHeight="1" x14ac:dyDescent="0.25">
      <c r="D81" s="6" t="str" cm="1">
        <f t="array" ref="D81">SourceData_Dairy.SourceData_Dairy_NitrousOxideEFsAndFracGASM_Title()</f>
        <v>Table A.1.3.7: Dairy cattle - Nitrous oxide EFs and fraction of N volatilised by MMS</v>
      </c>
      <c r="M81" s="1"/>
    </row>
    <row r="82" spans="4:22" ht="20.100000000000001" customHeight="1" x14ac:dyDescent="0.25">
      <c r="D82" s="5" t="str" cm="1">
        <f t="array" ref="D82">SourceData_Dairy.SourceData_Dairy_NitrousOxideEFsAndFracGASM_Source()</f>
        <v>VEERG 2026: Table A.1.3.7</v>
      </c>
      <c r="M82" s="1"/>
    </row>
    <row r="83" spans="4:22" ht="20.100000000000001" customHeight="1" x14ac:dyDescent="0.25">
      <c r="D83" s="1" t="str" cm="1">
        <f t="array" ref="D83">SourceData_Dairy.SourceData_Dairy_NitrousOxideEFsAndFracGASM_Variable()</f>
        <v>EFm; FracGASMm</v>
      </c>
      <c r="M83" s="1"/>
    </row>
    <row r="84" spans="4:22" ht="20.100000000000001" customHeight="1" x14ac:dyDescent="0.25">
      <c r="D84" s="57" t="str" cm="1">
        <f t="array" ref="D84">SourceData_Dairy.SourceData_Dairy_NitrousOxideEFsAndFracGASM_Unit()</f>
        <v>kg N2O-N/kg N excreted</v>
      </c>
      <c r="M84" s="1"/>
    </row>
    <row r="85" spans="4:22" ht="20.100000000000001" customHeight="1" x14ac:dyDescent="0.25">
      <c r="D85" s="58" t="str" cm="1">
        <f t="array" ref="D85">SourceData_Dairy.SourceData_Dairy_NitrousOxideEFsAndFracGASM_Variation()</f>
        <v>VARIATION OF SOURCE: Added 'NIR reference' column to aid lookup</v>
      </c>
      <c r="M85" s="1"/>
      <c r="V85" s="1"/>
    </row>
    <row r="86" spans="4:22" ht="20.100000000000001" customHeight="1" x14ac:dyDescent="0.25">
      <c r="D86" s="39" t="s">
        <v>100</v>
      </c>
      <c r="E86" s="39" t="s">
        <v>180</v>
      </c>
      <c r="F86" s="39" t="s">
        <v>181</v>
      </c>
      <c r="G86" s="39" t="s">
        <v>187</v>
      </c>
      <c r="M86" s="1"/>
      <c r="V86" s="1"/>
    </row>
    <row r="87" spans="4:22" ht="20.100000000000001" customHeight="1" x14ac:dyDescent="0.25">
      <c r="D87" s="39" t="str" cm="1">
        <f t="array" ref="D87">Common_InputFunctions.Utility_DisplayArrayInTable(SourceData_Dairy.SourceData_Dairy_NitrousOxideEFsAndFracGASM_Data(), Table_SourceData_Dairy_EFmFracGASM[[#Headers],[MMS m]], 0)</f>
        <v>M=14 Pasture</v>
      </c>
      <c r="E87" s="39" cm="1">
        <f t="array" ref="E87">Common_InputFunctions.Utility_DisplayArrayInTable(SourceData_Dairy.SourceData_Dairy_NitrousOxideEFsAndFracGASM_Data(), Table_SourceData_Dairy_EFmFracGASM[[#Headers],[MMS m]], 0)</f>
        <v>0</v>
      </c>
      <c r="F87" s="39" cm="1">
        <f t="array" ref="F87">Common_InputFunctions.Utility_DisplayArrayInTable(SourceData_Dairy.SourceData_Dairy_NitrousOxideEFsAndFracGASM_Data(), Table_SourceData_Dairy_EFmFracGASM[[#Headers],[MMS m]], 0)</f>
        <v>0</v>
      </c>
      <c r="G87" s="39" t="str" cm="1">
        <f t="array" ref="G87">Common_InputFunctions.Utility_DisplayArrayInTable(SourceData_Dairy.SourceData_Dairy_NitrousOxideEFsAndFracGASM_Data(), Table_SourceData_Dairy_EFmFracGASM[[#Headers],[MMS m]], 0)</f>
        <v>Pasture range and paddock</v>
      </c>
      <c r="M87" s="1"/>
      <c r="V87" s="1"/>
    </row>
    <row r="88" spans="4:22" ht="20.100000000000001" customHeight="1" x14ac:dyDescent="0.25">
      <c r="D88" s="1" t="str" cm="1">
        <f t="array" ref="D88">Common_InputFunctions.Utility_DisplayArrayInTable(SourceData_Dairy.SourceData_Dairy_NitrousOxideEFsAndFracGASM_Data(), Table_SourceData_Dairy_EFmFracGASM[[#Headers],[MMS m]], 0)</f>
        <v>M=1 Anaerobic lagoon</v>
      </c>
      <c r="E88" s="39" cm="1">
        <f t="array" ref="E88">Common_InputFunctions.Utility_DisplayArrayInTable(SourceData_Dairy.SourceData_Dairy_NitrousOxideEFsAndFracGASM_Data(), Table_SourceData_Dairy_EFmFracGASM[[#Headers],[MMS m]], 0)</f>
        <v>0</v>
      </c>
      <c r="F88" s="39" cm="1">
        <f t="array" ref="F88">Common_InputFunctions.Utility_DisplayArrayInTable(SourceData_Dairy.SourceData_Dairy_NitrousOxideEFsAndFracGASM_Data(), Table_SourceData_Dairy_EFmFracGASM[[#Headers],[MMS m]], 0)</f>
        <v>0.35</v>
      </c>
      <c r="G88" s="39" t="str" cm="1">
        <f t="array" ref="G88">Common_InputFunctions.Utility_DisplayArrayInTable(SourceData_Dairy.SourceData_Dairy_NitrousOxideEFsAndFracGASM_Data(), Table_SourceData_Dairy_EFmFracGASM[[#Headers],[MMS m]], 0)</f>
        <v>Anaerobic lagoon</v>
      </c>
      <c r="M88" s="1"/>
      <c r="V88" s="1"/>
    </row>
    <row r="89" spans="4:22" ht="20.100000000000001" customHeight="1" x14ac:dyDescent="0.25">
      <c r="D89" s="1" t="str" cm="1">
        <f t="array" ref="D89">Common_InputFunctions.Utility_DisplayArrayInTable(SourceData_Dairy.SourceData_Dairy_NitrousOxideEFsAndFracGASM_Data(), Table_SourceData_Dairy_EFmFracGASM[[#Headers],[MMS m]], 0)</f>
        <v>M=2 Daily Spread - Sump and Dispersal</v>
      </c>
      <c r="E89" s="39" cm="1">
        <f t="array" ref="E89">Common_InputFunctions.Utility_DisplayArrayInTable(SourceData_Dairy.SourceData_Dairy_NitrousOxideEFsAndFracGASM_Data(), Table_SourceData_Dairy_EFmFracGASM[[#Headers],[MMS m]], 0)</f>
        <v>0</v>
      </c>
      <c r="F89" s="39" cm="1">
        <f t="array" ref="F89">Common_InputFunctions.Utility_DisplayArrayInTable(SourceData_Dairy.SourceData_Dairy_NitrousOxideEFsAndFracGASM_Data(), Table_SourceData_Dairy_EFmFracGASM[[#Headers],[MMS m]], 0)</f>
        <v>7.0000000000000007E-2</v>
      </c>
      <c r="G89" s="39" t="str" cm="1">
        <f t="array" ref="G89">Common_InputFunctions.Utility_DisplayArrayInTable(SourceData_Dairy.SourceData_Dairy_NitrousOxideEFsAndFracGASM_Data(), Table_SourceData_Dairy_EFmFracGASM[[#Headers],[MMS m]], 0)</f>
        <v>Sump and dispersal system</v>
      </c>
      <c r="M89" s="1"/>
      <c r="V89" s="1"/>
    </row>
    <row r="90" spans="4:22" ht="20.100000000000001" customHeight="1" x14ac:dyDescent="0.25">
      <c r="D90" s="1" t="str" cm="1">
        <f t="array" ref="D90">Common_InputFunctions.Utility_DisplayArrayInTable(SourceData_Dairy.SourceData_Dairy_NitrousOxideEFsAndFracGASM_Data(), Table_SourceData_Dairy_EFmFracGASM[[#Headers],[MMS m]], 0)</f>
        <v>M=3 Daily Spread - Drains to Paddock</v>
      </c>
      <c r="E90" s="39" cm="1">
        <f t="array" ref="E90">Common_InputFunctions.Utility_DisplayArrayInTable(SourceData_Dairy.SourceData_Dairy_NitrousOxideEFsAndFracGASM_Data(), Table_SourceData_Dairy_EFmFracGASM[[#Headers],[MMS m]], 0)</f>
        <v>0</v>
      </c>
      <c r="F90" s="39" cm="1">
        <f t="array" ref="F90">Common_InputFunctions.Utility_DisplayArrayInTable(SourceData_Dairy.SourceData_Dairy_NitrousOxideEFsAndFracGASM_Data(), Table_SourceData_Dairy_EFmFracGASM[[#Headers],[MMS m]], 0)</f>
        <v>0.2</v>
      </c>
      <c r="G90" s="39" t="str" cm="1">
        <f t="array" ref="G90">Common_InputFunctions.Utility_DisplayArrayInTable(SourceData_Dairy.SourceData_Dairy_NitrousOxideEFsAndFracGASM_Data(), Table_SourceData_Dairy_EFmFracGASM[[#Headers],[MMS m]], 0)</f>
        <v>Drains to paddock</v>
      </c>
      <c r="M90" s="1"/>
      <c r="V90" s="1"/>
    </row>
    <row r="91" spans="4:22" ht="20.100000000000001" customHeight="1" x14ac:dyDescent="0.25">
      <c r="D91" s="1" t="str" cm="1">
        <f t="array" ref="D91">Common_InputFunctions.Utility_DisplayArrayInTable(SourceData_Dairy.SourceData_Dairy_NitrousOxideEFsAndFracGASM_Data(), Table_SourceData_Dairy_EFmFracGASM[[#Headers],[MMS m]], 0)</f>
        <v>M=3 Solid Storage</v>
      </c>
      <c r="E91" s="39" cm="1">
        <f t="array" ref="E91">Common_InputFunctions.Utility_DisplayArrayInTable(SourceData_Dairy.SourceData_Dairy_NitrousOxideEFsAndFracGASM_Data(), Table_SourceData_Dairy_EFmFracGASM[[#Headers],[MMS m]], 0)</f>
        <v>5.0000000000000001E-3</v>
      </c>
      <c r="F91" s="39" cm="1">
        <f t="array" ref="F91">Common_InputFunctions.Utility_DisplayArrayInTable(SourceData_Dairy.SourceData_Dairy_NitrousOxideEFsAndFracGASM_Data(), Table_SourceData_Dairy_EFmFracGASM[[#Headers],[MMS m]], 0)</f>
        <v>0.3</v>
      </c>
      <c r="G91" s="39" t="str" cm="1">
        <f t="array" ref="G91">Common_InputFunctions.Utility_DisplayArrayInTable(SourceData_Dairy.SourceData_Dairy_NitrousOxideEFsAndFracGASM_Data(), Table_SourceData_Dairy_EFmFracGASM[[#Headers],[MMS m]], 0)</f>
        <v>Solid storage</v>
      </c>
      <c r="M91" s="1"/>
    </row>
    <row r="92" spans="4:22" ht="20.100000000000001" customHeight="1" x14ac:dyDescent="0.25">
      <c r="M92" s="1"/>
    </row>
    <row r="93" spans="4:22" ht="20.100000000000001" customHeight="1" x14ac:dyDescent="0.25">
      <c r="M93" s="1"/>
    </row>
    <row r="94" spans="4:22" ht="20.100000000000001" customHeight="1" x14ac:dyDescent="0.25">
      <c r="D94" s="6" t="str" cm="1">
        <f t="array" ref="D94">SourceData_Dairy.SourceData_Dairy_MethaneProductionPreWeanedCalves_Title()</f>
        <v>Table A.1.3.8: Dairy cattle - Methane production for pre-weaned heifer and bull calves (kg CH4/head/day) (MPWENTERIC,j=3,5)</v>
      </c>
      <c r="M94" s="1"/>
    </row>
    <row r="95" spans="4:22" ht="20.100000000000001" customHeight="1" x14ac:dyDescent="0.25">
      <c r="D95" s="5" t="str" cm="1">
        <f t="array" ref="D95">SourceData_Dairy.SourceData_Dairy_MethaneProductionPreWeanedCalves_Source()</f>
        <v>VEERG 2026: Table A.1.3.8</v>
      </c>
      <c r="M95" s="1"/>
    </row>
    <row r="96" spans="4:22" ht="20.100000000000001" customHeight="1" x14ac:dyDescent="0.25">
      <c r="D96" s="1" t="str" cm="1">
        <f t="array" ref="D96">SourceData_Dairy.SourceData_Dairy_MethaneProductionPreWeanedCalves_Variable()</f>
        <v>MPWENTERIC,j=3,5</v>
      </c>
      <c r="M96" s="1"/>
    </row>
    <row r="97" spans="1:13" ht="20.100000000000001" customHeight="1" x14ac:dyDescent="0.25">
      <c r="D97" s="57" t="str" cm="1">
        <f t="array" ref="D97">SourceData_Dairy.SourceData_Dairy_MethaneProductionPreWeanedCalves_Unit()</f>
        <v>kg CH4/head/day</v>
      </c>
      <c r="M97" s="1"/>
    </row>
    <row r="98" spans="1:13" ht="20.100000000000001" customHeight="1" x14ac:dyDescent="0.25">
      <c r="D98" s="39" t="s">
        <v>176</v>
      </c>
      <c r="E98" s="39" t="s">
        <v>182</v>
      </c>
      <c r="M98" s="1"/>
    </row>
    <row r="99" spans="1:13" ht="20.100000000000001" customHeight="1" x14ac:dyDescent="0.25">
      <c r="D99" s="39" t="str" cm="1">
        <f t="array" ref="D99">Common_InputFunctions.Utility_DisplayArrayInTable(SourceData_Dairy.SourceData_Dairy_MethaneProductionPreWeanedCalves_Data(), Table_SourceData_Dairy_MPWENTERIC[[#Headers],[Animal class j]], 0)</f>
        <v>Heifers &lt; 1 year</v>
      </c>
      <c r="E99" s="39" cm="1">
        <f t="array" ref="E99">Common_InputFunctions.Utility_DisplayArrayInTable(SourceData_Dairy.SourceData_Dairy_MethaneProductionPreWeanedCalves_Data(), Table_SourceData_Dairy_MPWENTERIC[[#Headers],[Animal class j]], 0)</f>
        <v>1.7600000000000001E-2</v>
      </c>
      <c r="M99" s="1"/>
    </row>
    <row r="100" spans="1:13" ht="20.100000000000001" customHeight="1" x14ac:dyDescent="0.25">
      <c r="D100" s="1" t="str" cm="1">
        <f t="array" ref="D100">Common_InputFunctions.Utility_DisplayArrayInTable(SourceData_Dairy.SourceData_Dairy_MethaneProductionPreWeanedCalves_Data(), Table_SourceData_Dairy_MPWENTERIC[[#Headers],[Animal class j]], 0)</f>
        <v>Bulls &lt; 1 year</v>
      </c>
      <c r="E100" s="39" cm="1">
        <f t="array" ref="E100">Common_InputFunctions.Utility_DisplayArrayInTable(SourceData_Dairy.SourceData_Dairy_MethaneProductionPreWeanedCalves_Data(), Table_SourceData_Dairy_MPWENTERIC[[#Headers],[Animal class j]], 0)</f>
        <v>2.0400000000000001E-2</v>
      </c>
      <c r="M100" s="1"/>
    </row>
    <row r="101" spans="1:13" ht="20.100000000000001" customHeight="1" x14ac:dyDescent="0.25">
      <c r="M101" s="1"/>
    </row>
    <row r="102" spans="1:13" ht="20.100000000000001" customHeight="1" x14ac:dyDescent="0.25">
      <c r="M102" s="1"/>
    </row>
    <row r="103" spans="1:13" ht="20.100000000000001" customHeight="1" x14ac:dyDescent="0.25">
      <c r="D103" s="6" t="str" cm="1">
        <f t="array" ref="D103">SourceData_Dairy.SourceData_Dairy_IncreasedMetabolicRateMilk_Title()</f>
        <v>Table A.1.3.9: Dairy cattle - Increased metabolic rate when producing milk (MRj)</v>
      </c>
      <c r="M103" s="1"/>
    </row>
    <row r="104" spans="1:13" ht="20.100000000000001" customHeight="1" x14ac:dyDescent="0.25">
      <c r="A104" s="141" t="str">
        <f>HYPERLINK("#A1", "▲ Back to top")</f>
        <v>▲ Back to top</v>
      </c>
      <c r="D104" s="5" t="str" cm="1">
        <f t="array" ref="D104">SourceData_Dairy.SourceData_Dairy_IncreasedMetabolicRateMilk_Source()</f>
        <v>VEERG 2026: Table A.1.3.9</v>
      </c>
      <c r="M104" s="1"/>
    </row>
    <row r="105" spans="1:13" ht="20.100000000000001" customHeight="1" x14ac:dyDescent="0.25">
      <c r="D105" s="1" t="str" cm="1">
        <f t="array" ref="D105">SourceData_Dairy.SourceData_Dairy_IncreasedMetabolicRateMilk_Variable()</f>
        <v>MRj</v>
      </c>
      <c r="M105" s="1"/>
    </row>
    <row r="106" spans="1:13" ht="20.100000000000001" customHeight="1" x14ac:dyDescent="0.25">
      <c r="D106" s="57" t="str" cm="1">
        <f t="array" ref="D106">SourceData_Dairy.SourceData_Dairy_IncreasedMetabolicRateMilk_Unit()</f>
        <v/>
      </c>
      <c r="M106" s="1"/>
    </row>
    <row r="107" spans="1:13" ht="20.100000000000001" customHeight="1" x14ac:dyDescent="0.25">
      <c r="D107" s="39" t="s">
        <v>176</v>
      </c>
      <c r="E107" s="39" t="s">
        <v>183</v>
      </c>
      <c r="M107" s="1"/>
    </row>
    <row r="108" spans="1:13" ht="20.100000000000001" customHeight="1" x14ac:dyDescent="0.25">
      <c r="D108" s="39" t="str" cm="1">
        <f t="array" ref="D108">Common_InputFunctions.Utility_DisplayArrayInTable(SourceData_Dairy.SourceData_Dairy_IncreasedMetabolicRateMilk_Data(), Table_SourceData_Dairy_MRj[[#Headers],[Animal class j]], 0)</f>
        <v>Milking cows, and house cows</v>
      </c>
      <c r="E108" s="39" cm="1">
        <f t="array" ref="E108">Common_InputFunctions.Utility_DisplayArrayInTable(SourceData_Dairy.SourceData_Dairy_IncreasedMetabolicRateMilk_Data(), Table_SourceData_Dairy_MRj[[#Headers],[Animal class j]], 0)</f>
        <v>1.1000000000000001</v>
      </c>
      <c r="M108" s="1"/>
    </row>
    <row r="109" spans="1:13" ht="20.100000000000001" customHeight="1" x14ac:dyDescent="0.25">
      <c r="D109" s="1" t="str" cm="1">
        <f t="array" ref="D109">Common_InputFunctions.Utility_DisplayArrayInTable(SourceData_Dairy.SourceData_Dairy_IncreasedMetabolicRateMilk_Data(), Table_SourceData_Dairy_MRj[[#Headers],[Animal class j]], 0)</f>
        <v>All other cattle classes</v>
      </c>
      <c r="E109" s="39" cm="1">
        <f t="array" ref="E109">Common_InputFunctions.Utility_DisplayArrayInTable(SourceData_Dairy.SourceData_Dairy_IncreasedMetabolicRateMilk_Data(), Table_SourceData_Dairy_MRj[[#Headers],[Animal class j]], 0)</f>
        <v>1</v>
      </c>
      <c r="M109" s="1"/>
    </row>
    <row r="110" spans="1:13" ht="20.100000000000001" customHeight="1" x14ac:dyDescent="0.25">
      <c r="M110" s="1"/>
    </row>
    <row r="111" spans="1:13" ht="20.100000000000001" customHeight="1" x14ac:dyDescent="0.25">
      <c r="M111" s="1"/>
    </row>
    <row r="112" spans="1:13" ht="20.100000000000001" customHeight="1" x14ac:dyDescent="0.25">
      <c r="D112" s="6" t="str" cm="1">
        <f t="array" ref="D112">SourceData_Dairy.SourceData_Dairy_FractionVolatileSolidsVoidedMMS_Title()</f>
        <v>Table A.1.3.10: Dairy cattle - Fraction of volatile solids voided to each manure management system (fraction) (MMSjm)</v>
      </c>
      <c r="M112" s="1"/>
    </row>
    <row r="113" spans="4:22" ht="20.100000000000001" customHeight="1" x14ac:dyDescent="0.25">
      <c r="D113" s="5" t="str" cm="1">
        <f t="array" ref="D113">SourceData_Dairy.SourceData_Dairy_FractionVolatileSolidsVoidedMMS_Source()</f>
        <v>VEERG 2026: Table A.1.3.10</v>
      </c>
      <c r="M113" s="1"/>
    </row>
    <row r="114" spans="4:22" ht="20.100000000000001" customHeight="1" x14ac:dyDescent="0.25">
      <c r="D114" s="1" t="str" cm="1">
        <f t="array" ref="D114">SourceData_Dairy.SourceData_Dairy_FractionVolatileSolidsVoidedMMS_Variable()</f>
        <v>MMSjm</v>
      </c>
      <c r="M114" s="1"/>
    </row>
    <row r="115" spans="4:22" ht="20.100000000000001" customHeight="1" x14ac:dyDescent="0.25">
      <c r="D115" s="57" t="str" cm="1">
        <f t="array" ref="D115">SourceData_Dairy.SourceData_Dairy_FractionVolatileSolidsVoidedMMS_Unit()</f>
        <v>fraction</v>
      </c>
      <c r="M115" s="1"/>
      <c r="V115" s="1"/>
    </row>
    <row r="116" spans="4:22" ht="20.100000000000001" customHeight="1" x14ac:dyDescent="0.25">
      <c r="D116" s="39" t="s">
        <v>184</v>
      </c>
      <c r="E116" s="39" t="s">
        <v>145</v>
      </c>
      <c r="F116" s="39" t="s">
        <v>185</v>
      </c>
      <c r="G116" s="39" t="s">
        <v>186</v>
      </c>
      <c r="M116" s="1"/>
      <c r="V116" s="1"/>
    </row>
    <row r="117" spans="4:22" ht="20.100000000000001" customHeight="1" x14ac:dyDescent="0.25">
      <c r="D117" s="39" t="str" cm="1">
        <f t="array" ref="D117">Common_InputFunctions.Utility_DisplayArrayInTable(SourceData_Dairy.SourceData_Dairy_FractionVolatileSolidsVoidedMMS_Data(), Table_SourceData_Dairy_ProductionSystemTemplates[[#Headers],[Area]], 0)</f>
        <v>System 1: Grazed Only</v>
      </c>
      <c r="E117" s="39" cm="1">
        <f t="array" ref="E117">Common_InputFunctions.Utility_DisplayArrayInTable(SourceData_Dairy.SourceData_Dairy_FractionVolatileSolidsVoidedMMS_Data(), Table_SourceData_Dairy_ProductionSystemTemplates[[#Headers],[Area]], 0)</f>
        <v>0.89</v>
      </c>
      <c r="F117" s="39" cm="1">
        <f t="array" ref="F117">Common_InputFunctions.Utility_DisplayArrayInTable(SourceData_Dairy.SourceData_Dairy_FractionVolatileSolidsVoidedMMS_Data(), Table_SourceData_Dairy_ProductionSystemTemplates[[#Headers],[Area]], 0)</f>
        <v>0.11</v>
      </c>
      <c r="G117" s="39" cm="1">
        <f t="array" ref="G117">Common_InputFunctions.Utility_DisplayArrayInTable(SourceData_Dairy.SourceData_Dairy_FractionVolatileSolidsVoidedMMS_Data(), Table_SourceData_Dairy_ProductionSystemTemplates[[#Headers],[Area]], 0)</f>
        <v>0</v>
      </c>
      <c r="M117" s="1"/>
      <c r="V117" s="1"/>
    </row>
    <row r="118" spans="4:22" ht="20.100000000000001" customHeight="1" x14ac:dyDescent="0.25">
      <c r="D118" s="1" t="str" cm="1">
        <f t="array" ref="D118">Common_InputFunctions.Utility_DisplayArrayInTable(SourceData_Dairy.SourceData_Dairy_FractionVolatileSolidsVoidedMMS_Data(), Table_SourceData_Dairy_ProductionSystemTemplates[[#Headers],[Area]], 0)</f>
        <v>System 2: On feedpad for &lt;10 hr/day for &lt;3 months/year</v>
      </c>
      <c r="E118" s="39" cm="1">
        <f t="array" ref="E118">Common_InputFunctions.Utility_DisplayArrayInTable(SourceData_Dairy.SourceData_Dairy_FractionVolatileSolidsVoidedMMS_Data(), Table_SourceData_Dairy_ProductionSystemTemplates[[#Headers],[Area]], 0)</f>
        <v>0.79</v>
      </c>
      <c r="F118" s="39" cm="1">
        <f t="array" ref="F118">Common_InputFunctions.Utility_DisplayArrayInTable(SourceData_Dairy.SourceData_Dairy_FractionVolatileSolidsVoidedMMS_Data(), Table_SourceData_Dairy_ProductionSystemTemplates[[#Headers],[Area]], 0)</f>
        <v>0.11</v>
      </c>
      <c r="G118" s="39" cm="1">
        <f t="array" ref="G118">Common_InputFunctions.Utility_DisplayArrayInTable(SourceData_Dairy.SourceData_Dairy_FractionVolatileSolidsVoidedMMS_Data(), Table_SourceData_Dairy_ProductionSystemTemplates[[#Headers],[Area]], 0)</f>
        <v>0.1</v>
      </c>
      <c r="M118" s="1"/>
    </row>
    <row r="119" spans="4:22" ht="20.100000000000001" customHeight="1" x14ac:dyDescent="0.25">
      <c r="D119" s="1" t="str" cm="1">
        <f t="array" ref="D119">Common_InputFunctions.Utility_DisplayArrayInTable(SourceData_Dairy.SourceData_Dairy_FractionVolatileSolidsVoidedMMS_Data(), Table_SourceData_Dairy_ProductionSystemTemplates[[#Headers],[Area]], 0)</f>
        <v>System 3: Pasture-grazed 3-9 months/year</v>
      </c>
      <c r="E119" s="39" cm="1">
        <f t="array" ref="E119">Common_InputFunctions.Utility_DisplayArrayInTable(SourceData_Dairy.SourceData_Dairy_FractionVolatileSolidsVoidedMMS_Data(), Table_SourceData_Dairy_ProductionSystemTemplates[[#Headers],[Area]], 0)</f>
        <v>0.53400000000000003</v>
      </c>
      <c r="F119" s="39" cm="1">
        <f t="array" ref="F119">Common_InputFunctions.Utility_DisplayArrayInTable(SourceData_Dairy.SourceData_Dairy_FractionVolatileSolidsVoidedMMS_Data(), Table_SourceData_Dairy_ProductionSystemTemplates[[#Headers],[Area]], 0)</f>
        <v>0.11</v>
      </c>
      <c r="G119" s="39" cm="1">
        <f t="array" ref="G119">Common_InputFunctions.Utility_DisplayArrayInTable(SourceData_Dairy.SourceData_Dairy_FractionVolatileSolidsVoidedMMS_Data(), Table_SourceData_Dairy_ProductionSystemTemplates[[#Headers],[Area]], 0)</f>
        <v>0.35599999999999998</v>
      </c>
      <c r="M119" s="1"/>
    </row>
    <row r="120" spans="4:22" ht="20.100000000000001" customHeight="1" x14ac:dyDescent="0.25">
      <c r="D120" s="1" t="str" cm="1">
        <f t="array" ref="D120">Common_InputFunctions.Utility_DisplayArrayInTable(SourceData_Dairy.SourceData_Dairy_FractionVolatileSolidsVoidedMMS_Data(), Table_SourceData_Dairy_ProductionSystemTemplates[[#Headers],[Area]], 0)</f>
        <v>System 4: Zero grazing</v>
      </c>
      <c r="E120" s="39" cm="1">
        <f t="array" ref="E120">Common_InputFunctions.Utility_DisplayArrayInTable(SourceData_Dairy.SourceData_Dairy_FractionVolatileSolidsVoidedMMS_Data(), Table_SourceData_Dairy_ProductionSystemTemplates[[#Headers],[Area]], 0)</f>
        <v>0</v>
      </c>
      <c r="F120" s="39" cm="1">
        <f t="array" ref="F120">Common_InputFunctions.Utility_DisplayArrayInTable(SourceData_Dairy.SourceData_Dairy_FractionVolatileSolidsVoidedMMS_Data(), Table_SourceData_Dairy_ProductionSystemTemplates[[#Headers],[Area]], 0)</f>
        <v>0.11</v>
      </c>
      <c r="G120" s="39" cm="1">
        <f t="array" ref="G120">Common_InputFunctions.Utility_DisplayArrayInTable(SourceData_Dairy.SourceData_Dairy_FractionVolatileSolidsVoidedMMS_Data(), Table_SourceData_Dairy_ProductionSystemTemplates[[#Headers],[Area]], 0)</f>
        <v>0.89</v>
      </c>
      <c r="M120" s="1"/>
    </row>
    <row r="121" spans="4:22" ht="20.100000000000001" customHeight="1" x14ac:dyDescent="0.25">
      <c r="M121" s="1"/>
    </row>
    <row r="122" spans="4:22" ht="20.100000000000001" customHeight="1" x14ac:dyDescent="0.25">
      <c r="M122" s="1"/>
    </row>
    <row r="123" spans="4:22" ht="20.100000000000001" customHeight="1" x14ac:dyDescent="0.25">
      <c r="D123" s="6" t="str" cm="1">
        <f t="array" ref="D123">SourceData_Dairy.SourceData_Dairy_EFNitrousOxidePerMMS_Title()</f>
        <v>Table A.1.3.11: Dairy cattle - EF for nitrous oxide per MMS (kg N2O-N/kg N) (EFm)</v>
      </c>
      <c r="M123" s="1"/>
    </row>
    <row r="124" spans="4:22" ht="20.100000000000001" customHeight="1" x14ac:dyDescent="0.25">
      <c r="D124" s="5" t="str" cm="1">
        <f t="array" ref="D124">SourceData_Dairy.SourceData_Dairy_EFNitrousOxidePerMMS_Source()</f>
        <v>VEERG 2026: Table A.1.3.11</v>
      </c>
      <c r="M124" s="1"/>
    </row>
    <row r="125" spans="4:22" ht="20.100000000000001" customHeight="1" x14ac:dyDescent="0.25">
      <c r="D125" s="1" t="str" cm="1">
        <f t="array" ref="D125">SourceData_Dairy.SourceData_Dairy_EFNitrousOxidePerMMS_Variable()</f>
        <v>EFm</v>
      </c>
      <c r="M125" s="1"/>
      <c r="V125" s="1"/>
    </row>
    <row r="126" spans="4:22" ht="20.100000000000001" customHeight="1" x14ac:dyDescent="0.25">
      <c r="D126" s="57" t="str" cm="1">
        <f t="array" ref="D126">SourceData_Dairy.SourceData_Dairy_EFNitrousOxidePerMMS_Unit()</f>
        <v>kg N2O-N/kg N</v>
      </c>
      <c r="M126" s="1"/>
      <c r="V126" s="1"/>
    </row>
    <row r="127" spans="4:22" ht="20.100000000000001" customHeight="1" x14ac:dyDescent="0.25">
      <c r="D127" s="58" t="str" cm="1">
        <f t="array" ref="D127">SourceData_Dairy.SourceData_Dairy_EFNitrousOxidePerMMS_Variation()</f>
        <v>VARIATION OF SOURCE: Added 'NIR reference' column to aid lookup</v>
      </c>
      <c r="M127" s="1"/>
      <c r="V127" s="1"/>
    </row>
    <row r="128" spans="4:22" ht="20.100000000000001" customHeight="1" x14ac:dyDescent="0.25">
      <c r="D128" s="39" t="s">
        <v>100</v>
      </c>
      <c r="E128" s="39" t="s">
        <v>180</v>
      </c>
      <c r="F128" s="39" t="s">
        <v>187</v>
      </c>
      <c r="G128" s="114" t="s">
        <v>202</v>
      </c>
      <c r="M128" s="1"/>
      <c r="N128" s="24"/>
      <c r="V128" s="1"/>
    </row>
    <row r="129" spans="1:22" ht="20.100000000000001" customHeight="1" x14ac:dyDescent="0.25">
      <c r="D129" s="39" t="str" cm="1">
        <f t="array" ref="D129">Common_InputFunctions.Utility_DisplayArrayInTable(SourceData_Dairy.SourceData_Dairy_EFNitrousOxidePerMMS_Data(), Table_SourceData_Dairy_EFm[[#Headers],[MMS m]], 0)</f>
        <v>m=14 Pasture</v>
      </c>
      <c r="E129" s="39" cm="1">
        <f t="array" ref="E129">Common_InputFunctions.Utility_DisplayArrayInTable(SourceData_Dairy.SourceData_Dairy_EFNitrousOxidePerMMS_Data(), Table_SourceData_Dairy_EFm[[#Headers],[MMS m]], 0)</f>
        <v>0</v>
      </c>
      <c r="F129" s="39" t="str" cm="1">
        <f t="array" ref="F129">Common_InputFunctions.Utility_DisplayArrayInTable(SourceData_Dairy.SourceData_Dairy_EFNitrousOxidePerMMS_Data(), Table_SourceData_Dairy_EFm[[#Headers],[MMS m]], 0)</f>
        <v>Pasture range and paddock</v>
      </c>
      <c r="M129" s="1"/>
      <c r="N129" s="24"/>
      <c r="V129" s="1"/>
    </row>
    <row r="130" spans="1:22" ht="20.100000000000001" customHeight="1" x14ac:dyDescent="0.25">
      <c r="D130" s="1" t="str" cm="1">
        <f t="array" ref="D130">Common_InputFunctions.Utility_DisplayArrayInTable(SourceData_Dairy.SourceData_Dairy_EFNitrousOxidePerMMS_Data(), Table_SourceData_Dairy_EFm[[#Headers],[MMS m]], 0)</f>
        <v>m=1 Anerobic Lagoon</v>
      </c>
      <c r="E130" s="39" cm="1">
        <f t="array" ref="E130">Common_InputFunctions.Utility_DisplayArrayInTable(SourceData_Dairy.SourceData_Dairy_EFNitrousOxidePerMMS_Data(), Table_SourceData_Dairy_EFm[[#Headers],[MMS m]], 0)</f>
        <v>0</v>
      </c>
      <c r="F130" s="39" t="str" cm="1">
        <f t="array" ref="F130">Common_InputFunctions.Utility_DisplayArrayInTable(SourceData_Dairy.SourceData_Dairy_EFNitrousOxidePerMMS_Data(), Table_SourceData_Dairy_EFm[[#Headers],[MMS m]], 0)</f>
        <v>Anaerobic lagoon</v>
      </c>
      <c r="M130" s="1"/>
      <c r="N130" s="24"/>
      <c r="V130" s="1"/>
    </row>
    <row r="131" spans="1:22" ht="20.100000000000001" customHeight="1" x14ac:dyDescent="0.25">
      <c r="D131" s="1" t="str" cm="1">
        <f t="array" ref="D131">Common_InputFunctions.Utility_DisplayArrayInTable(SourceData_Dairy.SourceData_Dairy_EFNitrousOxidePerMMS_Data(), Table_SourceData_Dairy_EFm[[#Headers],[MMS m]], 0)</f>
        <v>m=2 Daily Spread: Sump and dispersal</v>
      </c>
      <c r="E131" s="39" cm="1">
        <f t="array" ref="E131">Common_InputFunctions.Utility_DisplayArrayInTable(SourceData_Dairy.SourceData_Dairy_EFNitrousOxidePerMMS_Data(), Table_SourceData_Dairy_EFm[[#Headers],[MMS m]], 0)</f>
        <v>0</v>
      </c>
      <c r="F131" s="39" t="str" cm="1">
        <f t="array" ref="F131">Common_InputFunctions.Utility_DisplayArrayInTable(SourceData_Dairy.SourceData_Dairy_EFNitrousOxidePerMMS_Data(), Table_SourceData_Dairy_EFm[[#Headers],[MMS m]], 0)</f>
        <v>Sump and dispersal system</v>
      </c>
      <c r="M131" s="1"/>
      <c r="N131" s="24"/>
    </row>
    <row r="132" spans="1:22" ht="20.100000000000001" customHeight="1" x14ac:dyDescent="0.25">
      <c r="D132" s="1" t="str" cm="1">
        <f t="array" ref="D132">Common_InputFunctions.Utility_DisplayArrayInTable(SourceData_Dairy.SourceData_Dairy_EFNitrousOxidePerMMS_Data(), Table_SourceData_Dairy_EFm[[#Headers],[MMS m]], 0)</f>
        <v>m=3 Daily Spread: Drains to paddocks</v>
      </c>
      <c r="E132" s="39" cm="1">
        <f t="array" ref="E132">Common_InputFunctions.Utility_DisplayArrayInTable(SourceData_Dairy.SourceData_Dairy_EFNitrousOxidePerMMS_Data(), Table_SourceData_Dairy_EFm[[#Headers],[MMS m]], 0)</f>
        <v>0</v>
      </c>
      <c r="F132" s="39" t="str" cm="1">
        <f t="array" ref="F132">Common_InputFunctions.Utility_DisplayArrayInTable(SourceData_Dairy.SourceData_Dairy_EFNitrousOxidePerMMS_Data(), Table_SourceData_Dairy_EFm[[#Headers],[MMS m]], 0)</f>
        <v>Drains to paddock</v>
      </c>
      <c r="M132" s="24"/>
    </row>
    <row r="133" spans="1:22" ht="20.100000000000001" customHeight="1" x14ac:dyDescent="0.25">
      <c r="D133" s="1" t="str" cm="1">
        <f t="array" ref="D133">Common_InputFunctions.Utility_DisplayArrayInTable(SourceData_Dairy.SourceData_Dairy_EFNitrousOxidePerMMS_Data(), Table_SourceData_Dairy_EFm[[#Headers],[MMS m]], 0)</f>
        <v>m=4 Solid Storage</v>
      </c>
      <c r="E133" s="39" cm="1">
        <f t="array" ref="E133">Common_InputFunctions.Utility_DisplayArrayInTable(SourceData_Dairy.SourceData_Dairy_EFNitrousOxidePerMMS_Data(), Table_SourceData_Dairy_EFm[[#Headers],[MMS m]], 0)</f>
        <v>5.0000000000000001E-3</v>
      </c>
      <c r="F133" s="39" t="str" cm="1">
        <f t="array" ref="F133">Common_InputFunctions.Utility_DisplayArrayInTable(SourceData_Dairy.SourceData_Dairy_EFNitrousOxidePerMMS_Data(), Table_SourceData_Dairy_EFm[[#Headers],[MMS m]], 0)</f>
        <v>Solid storage</v>
      </c>
      <c r="M133" s="24"/>
    </row>
    <row r="134" spans="1:22" ht="20.100000000000001" customHeight="1" x14ac:dyDescent="0.25">
      <c r="M134" s="24"/>
    </row>
    <row r="135" spans="1:22" ht="20.100000000000001" customHeight="1" x14ac:dyDescent="0.25">
      <c r="M135" s="24"/>
    </row>
    <row r="136" spans="1:22" ht="20.100000000000001" customHeight="1" x14ac:dyDescent="0.25">
      <c r="D136" s="6" t="str" cm="1">
        <f t="array" ref="D136">SourceData_Dairy.SourceData_Dairy_DurationOfStay_Title()</f>
        <v>Duration of stay for each dairy cattle input class</v>
      </c>
      <c r="M136" s="24"/>
    </row>
    <row r="137" spans="1:22" ht="20.100000000000001" customHeight="1" x14ac:dyDescent="0.25">
      <c r="A137" s="141" t="str">
        <f>HYPERLINK("#A1", "▲ Back to top")</f>
        <v>▲ Back to top</v>
      </c>
      <c r="D137" s="5" t="str" cm="1">
        <f t="array" ref="D137">SourceData_Dairy.SourceData_Dairy_DurationOfStay_Source()</f>
        <v>VEERG 2026: 4.3.2.2	DATA (METHOD 1 AND 2 OPTIONS)</v>
      </c>
      <c r="M137" s="24"/>
    </row>
    <row r="138" spans="1:22" ht="20.100000000000001" customHeight="1" x14ac:dyDescent="0.25">
      <c r="D138" s="1" t="str" cm="1">
        <f t="array" ref="D138">SourceData_Dairy.SourceData_Dairy_DurationOfStay_Variable()</f>
        <v>D</v>
      </c>
      <c r="M138" s="24"/>
    </row>
    <row r="139" spans="1:22" ht="20.100000000000001" customHeight="1" x14ac:dyDescent="0.25">
      <c r="D139" s="57" t="str" cm="1">
        <f t="array" ref="D139">SourceData_Dairy.SourceData_Dairy_DurationOfStay_Unit()</f>
        <v>days</v>
      </c>
      <c r="M139" s="24"/>
    </row>
    <row r="140" spans="1:22" ht="20.100000000000001" customHeight="1" x14ac:dyDescent="0.25">
      <c r="D140" s="58" t="str" cm="1">
        <f t="array" ref="D140">SourceData_Dairy.SourceData_Dairy_DurationOfStay_Variation()</f>
        <v>VARIATION OF SOURCE: Converted free text in document to table, matching livestock class names.</v>
      </c>
      <c r="M140" s="24"/>
    </row>
    <row r="141" spans="1:22" ht="20.100000000000001" customHeight="1" x14ac:dyDescent="0.25">
      <c r="D141" s="39" t="s">
        <v>176</v>
      </c>
      <c r="E141" s="39" t="s">
        <v>197</v>
      </c>
      <c r="F141" s="39" t="s">
        <v>198</v>
      </c>
      <c r="M141" s="24"/>
    </row>
    <row r="142" spans="1:22" ht="20.100000000000001" customHeight="1" x14ac:dyDescent="0.25">
      <c r="D142" s="39" t="str" cm="1">
        <f t="array" ref="D142">Common_InputFunctions.Utility_DisplayArrayInTable(SourceData_Dairy.SourceData_Dairy_DurationOfStay_Data(), Table_SourceData_Dairy_Duration[[#Headers],[Animal class j]], 0)</f>
        <v>Milking cows</v>
      </c>
      <c r="E142" s="39" cm="1">
        <f t="array" ref="E142">Common_InputFunctions.Utility_DisplayArrayInTable(SourceData_Dairy.SourceData_Dairy_DurationOfStay_Data(), Table_SourceData_Dairy_Duration[[#Headers],[Animal class j]], 0)</f>
        <v>365</v>
      </c>
      <c r="F142" s="39" cm="1">
        <f t="array" ref="F142">Common_InputFunctions.Utility_DisplayArrayInTable(SourceData_Dairy.SourceData_Dairy_DurationOfStay_Data(), Table_SourceData_Dairy_Duration[[#Headers],[Animal class j]], 0)</f>
        <v>0</v>
      </c>
      <c r="M142" s="24"/>
    </row>
    <row r="143" spans="1:22" ht="20.100000000000001" customHeight="1" x14ac:dyDescent="0.25">
      <c r="D143" s="1" t="str" cm="1">
        <f t="array" ref="D143">Common_InputFunctions.Utility_DisplayArrayInTable(SourceData_Dairy.SourceData_Dairy_DurationOfStay_Data(), Table_SourceData_Dairy_Duration[[#Headers],[Animal class j]], 0)</f>
        <v>Heifers &gt; 1 year</v>
      </c>
      <c r="E143" s="39" cm="1">
        <f t="array" ref="E143">Common_InputFunctions.Utility_DisplayArrayInTable(SourceData_Dairy.SourceData_Dairy_DurationOfStay_Data(), Table_SourceData_Dairy_Duration[[#Headers],[Animal class j]], 0)</f>
        <v>365</v>
      </c>
      <c r="F143" s="39" cm="1">
        <f t="array" ref="F143">Common_InputFunctions.Utility_DisplayArrayInTable(SourceData_Dairy.SourceData_Dairy_DurationOfStay_Data(), Table_SourceData_Dairy_Duration[[#Headers],[Animal class j]], 0)</f>
        <v>0</v>
      </c>
      <c r="M143" s="24"/>
    </row>
    <row r="144" spans="1:22" ht="20.100000000000001" customHeight="1" x14ac:dyDescent="0.25">
      <c r="D144" s="1" t="str" cm="1">
        <f t="array" ref="D144">Common_InputFunctions.Utility_DisplayArrayInTable(SourceData_Dairy.SourceData_Dairy_DurationOfStay_Data(), Table_SourceData_Dairy_Duration[[#Headers],[Animal class j]], 0)</f>
        <v>Heifers &lt; 1 year</v>
      </c>
      <c r="E144" s="39" cm="1">
        <f t="array" ref="E144">Common_InputFunctions.Utility_DisplayArrayInTable(SourceData_Dairy.SourceData_Dairy_DurationOfStay_Data(), Table_SourceData_Dairy_Duration[[#Headers],[Animal class j]], 0)</f>
        <v>281</v>
      </c>
      <c r="F144" s="39" cm="1">
        <f t="array" ref="F144">Common_InputFunctions.Utility_DisplayArrayInTable(SourceData_Dairy.SourceData_Dairy_DurationOfStay_Data(), Table_SourceData_Dairy_Duration[[#Headers],[Animal class j]], 0)</f>
        <v>84</v>
      </c>
      <c r="M144" s="24"/>
    </row>
    <row r="145" spans="4:13" ht="20.100000000000001" customHeight="1" x14ac:dyDescent="0.25">
      <c r="D145" s="1" t="str" cm="1">
        <f t="array" ref="D145">Common_InputFunctions.Utility_DisplayArrayInTable(SourceData_Dairy.SourceData_Dairy_DurationOfStay_Data(), Table_SourceData_Dairy_Duration[[#Headers],[Animal class j]], 0)</f>
        <v>Bulls &gt; 1 year</v>
      </c>
      <c r="E145" s="39" cm="1">
        <f t="array" ref="E145">Common_InputFunctions.Utility_DisplayArrayInTable(SourceData_Dairy.SourceData_Dairy_DurationOfStay_Data(), Table_SourceData_Dairy_Duration[[#Headers],[Animal class j]], 0)</f>
        <v>365</v>
      </c>
      <c r="F145" s="39" cm="1">
        <f t="array" ref="F145">Common_InputFunctions.Utility_DisplayArrayInTable(SourceData_Dairy.SourceData_Dairy_DurationOfStay_Data(), Table_SourceData_Dairy_Duration[[#Headers],[Animal class j]], 0)</f>
        <v>0</v>
      </c>
      <c r="M145" s="24"/>
    </row>
    <row r="146" spans="4:13" ht="20.100000000000001" customHeight="1" x14ac:dyDescent="0.25">
      <c r="D146" s="1" t="str" cm="1">
        <f t="array" ref="D146">Common_InputFunctions.Utility_DisplayArrayInTable(SourceData_Dairy.SourceData_Dairy_DurationOfStay_Data(), Table_SourceData_Dairy_Duration[[#Headers],[Animal class j]], 0)</f>
        <v>Bulls &lt; 1 year</v>
      </c>
      <c r="E146" s="39" cm="1">
        <f t="array" ref="E146">Common_InputFunctions.Utility_DisplayArrayInTable(SourceData_Dairy.SourceData_Dairy_DurationOfStay_Data(), Table_SourceData_Dairy_Duration[[#Headers],[Animal class j]], 0)</f>
        <v>281</v>
      </c>
      <c r="F146" s="39" cm="1">
        <f t="array" ref="F146">Common_InputFunctions.Utility_DisplayArrayInTable(SourceData_Dairy.SourceData_Dairy_DurationOfStay_Data(), Table_SourceData_Dairy_Duration[[#Headers],[Animal class j]], 0)</f>
        <v>84</v>
      </c>
      <c r="M146" s="24"/>
    </row>
    <row r="147" spans="4:13" ht="20.100000000000001" customHeight="1" x14ac:dyDescent="0.25">
      <c r="M147" s="24"/>
    </row>
    <row r="148" spans="4:13" ht="20.100000000000001" customHeight="1" x14ac:dyDescent="0.25">
      <c r="M148" s="24"/>
    </row>
    <row r="149" spans="4:13" ht="20.100000000000001" customHeight="1" x14ac:dyDescent="0.25">
      <c r="D149" s="6" t="str" cm="1">
        <f t="array" ref="D149">SourceData_Dairy.SourceData_Dairy_CrudeProtein_Title()</f>
        <v>Crude protein content of feed intake</v>
      </c>
      <c r="M149" s="24"/>
    </row>
    <row r="150" spans="4:13" ht="20.100000000000001" customHeight="1" x14ac:dyDescent="0.25">
      <c r="D150" s="5" t="str" cm="1">
        <f t="array" ref="D150">SourceData_Dairy.SourceData_Dairy_CrudeProtein_Source()</f>
        <v>VEERG 2026: 4.3.2.2	DATA (METHOD 1 AND 2 OPTIONS)</v>
      </c>
      <c r="M150" s="24"/>
    </row>
    <row r="151" spans="4:13" ht="20.100000000000001" customHeight="1" x14ac:dyDescent="0.25">
      <c r="D151" s="1" t="str" cm="1">
        <f t="array" ref="D151">SourceData_Dairy.SourceData_Dairy_CrudeProtein_Variable()</f>
        <v>CP</v>
      </c>
      <c r="M151" s="24"/>
    </row>
    <row r="152" spans="4:13" ht="20.100000000000001" customHeight="1" x14ac:dyDescent="0.25">
      <c r="D152" s="57" t="str" cm="1">
        <f t="array" ref="D152">SourceData_Dairy.SourceData_Dairy_CrudeProtein_Unit()</f>
        <v>fraction</v>
      </c>
      <c r="M152" s="24"/>
    </row>
    <row r="153" spans="4:13" ht="20.100000000000001" customHeight="1" x14ac:dyDescent="0.25">
      <c r="D153" s="56" cm="1">
        <f t="array" ref="D153">SourceData_Dairy.SourceData_Dairy_CrudeProtein_Data()</f>
        <v>0.2</v>
      </c>
      <c r="M153" s="24"/>
    </row>
    <row r="154" spans="4:13" ht="20.100000000000001" customHeight="1" x14ac:dyDescent="0.25">
      <c r="M154" s="24"/>
    </row>
    <row r="155" spans="4:13" ht="20.100000000000001" customHeight="1" x14ac:dyDescent="0.25">
      <c r="M155" s="24"/>
    </row>
    <row r="156" spans="4:13" ht="20.100000000000001" customHeight="1" x14ac:dyDescent="0.25">
      <c r="D156" s="6" t="str" cm="1">
        <f t="array" ref="D156">SourceData_Dairy.SourceData_Dairy_DryMatterDigestibility_Title()</f>
        <v>Dry matter digestibility</v>
      </c>
      <c r="M156" s="24"/>
    </row>
    <row r="157" spans="4:13" ht="20.100000000000001" customHeight="1" x14ac:dyDescent="0.25">
      <c r="D157" s="5" t="str" cm="1">
        <f t="array" ref="D157">SourceData_Dairy.SourceData_Dairy_DryMatterDigestibility_Source()</f>
        <v>VEERG 2026: 3.3.2.2	DATA (METHOD 1 AND 2 OPTIONS)</v>
      </c>
      <c r="M157" s="24"/>
    </row>
    <row r="158" spans="4:13" ht="20.100000000000001" customHeight="1" x14ac:dyDescent="0.25">
      <c r="D158" s="1" t="str" cm="1">
        <f t="array" ref="D158">SourceData_Dairy.SourceData_Dairy_DryMatterDigestibility_Variable()</f>
        <v>DMD</v>
      </c>
      <c r="M158" s="24"/>
    </row>
    <row r="159" spans="4:13" ht="20.100000000000001" customHeight="1" x14ac:dyDescent="0.25">
      <c r="D159" s="57" t="str" cm="1">
        <f t="array" ref="D159">SourceData_Dairy.SourceData_Dairy_DryMatterDigestibility_Unit()</f>
        <v>fraction</v>
      </c>
      <c r="M159" s="24"/>
    </row>
    <row r="160" spans="4:13" ht="20.100000000000001" customHeight="1" x14ac:dyDescent="0.25">
      <c r="D160" s="56" cm="1">
        <f t="array" ref="D160">SourceData_Dairy.SourceData_Dairy_DryMatterDigestibility_Data()</f>
        <v>0.75</v>
      </c>
      <c r="M160" s="24"/>
    </row>
    <row r="161" spans="1:13" ht="20.100000000000001" customHeight="1" x14ac:dyDescent="0.25">
      <c r="M161" s="24"/>
    </row>
    <row r="162" spans="1:13" ht="20.100000000000001" customHeight="1" x14ac:dyDescent="0.25">
      <c r="M162" s="24"/>
    </row>
    <row r="163" spans="1:13" ht="20.100000000000001" customHeight="1" x14ac:dyDescent="0.25">
      <c r="D163" s="6" t="str" cm="1">
        <f t="array" ref="D163">SourceData_Dairy.SourceData_Dairy_NetEnergy_Title()</f>
        <v>Net energy required for milk production</v>
      </c>
      <c r="M163" s="24"/>
    </row>
    <row r="164" spans="1:13" ht="20.100000000000001" customHeight="1" x14ac:dyDescent="0.25">
      <c r="D164" s="5" t="str" cm="1">
        <f t="array" ref="D164">SourceData_Dairy.SourceData_Dairy_NetEnergy_Source()</f>
        <v>VEERG 2026: 3.3.2.3 CONSTANTS</v>
      </c>
      <c r="M164" s="24"/>
    </row>
    <row r="165" spans="1:13" ht="20.100000000000001" customHeight="1" x14ac:dyDescent="0.25">
      <c r="D165" s="1" t="str" cm="1">
        <f t="array" ref="D165">SourceData_Dairy.SourceData_Dairy_NetEnergy_Variable()</f>
        <v>NE</v>
      </c>
      <c r="M165" s="24"/>
    </row>
    <row r="166" spans="1:13" x14ac:dyDescent="0.25">
      <c r="D166" s="57" t="str" cm="1">
        <f t="array" ref="D166">SourceData_Dairy.SourceData_Dairy_NetEnergy_Unit()</f>
        <v>MJ net energy / kg milk</v>
      </c>
      <c r="M166" s="24"/>
    </row>
    <row r="167" spans="1:13" x14ac:dyDescent="0.25">
      <c r="D167" s="56" cm="1">
        <f t="array" ref="D167">SourceData_Dairy.SourceData_Dairy_NetEnergy_Data()</f>
        <v>3.0539999999999998</v>
      </c>
      <c r="M167" s="24"/>
    </row>
    <row r="168" spans="1:13" x14ac:dyDescent="0.25">
      <c r="M168" s="24"/>
    </row>
    <row r="169" spans="1:13" x14ac:dyDescent="0.25">
      <c r="M169" s="24"/>
    </row>
    <row r="170" spans="1:13" ht="23.25" x14ac:dyDescent="0.25">
      <c r="D170" s="6" t="str" cm="1">
        <f t="array" ref="D170">SourceData_Dairy.SourceData_Dairy_GrossEnergyContent_Title()</f>
        <v>Gross energy content of feed dry matter</v>
      </c>
      <c r="M170" s="24"/>
    </row>
    <row r="171" spans="1:13" x14ac:dyDescent="0.25">
      <c r="D171" s="5" t="str" cm="1">
        <f t="array" ref="D171">SourceData_Dairy.SourceData_Dairy_GrossEnergyContent_Source()</f>
        <v>VEERG 2026: 3.3.2.3 CONSTANTS</v>
      </c>
      <c r="M171" s="24"/>
    </row>
    <row r="172" spans="1:13" x14ac:dyDescent="0.25">
      <c r="D172" s="1" t="str" cm="1">
        <f t="array" ref="D172">SourceData_Dairy.SourceData_Dairy_GrossEnergyContent_Variable()</f>
        <v>GEC</v>
      </c>
      <c r="M172" s="24"/>
    </row>
    <row r="173" spans="1:13" x14ac:dyDescent="0.25">
      <c r="D173" s="57" t="str" cm="1">
        <f t="array" ref="D173">SourceData_Dairy.SourceData_Dairy_GrossEnergyContent_Unit()</f>
        <v>MJ / kgDM</v>
      </c>
      <c r="M173" s="24"/>
    </row>
    <row r="174" spans="1:13" x14ac:dyDescent="0.25">
      <c r="A174" s="141" t="str">
        <f>HYPERLINK("#A1", "▲ Back to top")</f>
        <v>▲ Back to top</v>
      </c>
      <c r="D174" s="56" cm="1">
        <f t="array" ref="D174">SourceData_Dairy.SourceData_Dairy_GrossEnergyContent_Data()</f>
        <v>18.399999999999999</v>
      </c>
      <c r="M174" s="24"/>
    </row>
    <row r="175" spans="1:13" x14ac:dyDescent="0.25">
      <c r="M175" s="24"/>
    </row>
    <row r="176" spans="1:13" x14ac:dyDescent="0.25">
      <c r="M176" s="24"/>
    </row>
    <row r="177" spans="4:13" ht="23.25" x14ac:dyDescent="0.25">
      <c r="D177" s="6" t="str" cm="1">
        <f t="array" ref="D177">SourceData_Dairy.SourceData_Dairy_EfficiencyOfUseOfMetabolizableEnergy_Title()</f>
        <v>Efficiency of use of metabolizable energy for milk production</v>
      </c>
      <c r="M177" s="24"/>
    </row>
    <row r="178" spans="4:13" x14ac:dyDescent="0.25">
      <c r="D178" s="5" t="str" cm="1">
        <f t="array" ref="D178">SourceData_Dairy.SourceData_Dairy_EfficiencyOfUseOfMetabolizableEnergy_Source()</f>
        <v>VEERG 2026: 3.3.2.3 CONSTANTS</v>
      </c>
      <c r="M178" s="24"/>
    </row>
    <row r="179" spans="4:13" x14ac:dyDescent="0.25">
      <c r="D179" s="1" t="str" cm="1">
        <f t="array" ref="D179">SourceData_Dairy.SourceData_Dairy_EfficiencyOfUseOfMetabolizableEnergy_Variable()</f>
        <v>k</v>
      </c>
      <c r="M179" s="24"/>
    </row>
    <row r="180" spans="4:13" x14ac:dyDescent="0.25">
      <c r="D180" s="57" t="str" cm="1">
        <f t="array" ref="D180">SourceData_Dairy.SourceData_Dairy_EfficiencyOfUseOfMetabolizableEnergy_Unit()</f>
        <v>fraction</v>
      </c>
      <c r="M180" s="24"/>
    </row>
    <row r="181" spans="4:13" x14ac:dyDescent="0.25">
      <c r="D181" s="56" cm="1">
        <f t="array" ref="D181">SourceData_Dairy.SourceData_Dairy_EfficiencyOfUseOfMetabolizableEnergy_Data()</f>
        <v>0.6</v>
      </c>
      <c r="M181" s="24"/>
    </row>
    <row r="182" spans="4:13" x14ac:dyDescent="0.25">
      <c r="M182" s="24"/>
    </row>
    <row r="183" spans="4:13" x14ac:dyDescent="0.25">
      <c r="M183" s="24"/>
    </row>
    <row r="184" spans="4:13" ht="23.25" x14ac:dyDescent="0.25">
      <c r="D184" s="6" t="str" cm="1">
        <f t="array" ref="D184">SourceData_Dairy.SourceData_Dairy_AshContent_Title()</f>
        <v>Ash content of manure</v>
      </c>
      <c r="M184" s="24"/>
    </row>
    <row r="185" spans="4:13" x14ac:dyDescent="0.25">
      <c r="D185" s="5" t="str" cm="1">
        <f t="array" ref="D185">SourceData_Dairy.SourceData_Dairy_AshContent_Source()</f>
        <v>VEERG 2026: 4.3.2.3 CONSTANTS</v>
      </c>
      <c r="M185" s="24"/>
    </row>
    <row r="186" spans="4:13" x14ac:dyDescent="0.25">
      <c r="D186" s="1" t="str" cm="1">
        <f t="array" ref="D186">SourceData_Dairy.SourceData_Dairy_AshContent_Variable()</f>
        <v>A</v>
      </c>
      <c r="M186" s="24"/>
    </row>
    <row r="187" spans="4:13" x14ac:dyDescent="0.25">
      <c r="D187" s="57" t="str" cm="1">
        <f t="array" ref="D187">SourceData_Dairy.SourceData_Dairy_AshContent_Unit()</f>
        <v>fraction</v>
      </c>
      <c r="M187" s="24"/>
    </row>
    <row r="188" spans="4:13" x14ac:dyDescent="0.25">
      <c r="D188" s="56" cm="1">
        <f t="array" ref="D188">SourceData_Dairy.SourceData_Dairy_AshContent_Data()</f>
        <v>0.08</v>
      </c>
      <c r="M188" s="24"/>
    </row>
    <row r="189" spans="4:13" x14ac:dyDescent="0.25">
      <c r="M189" s="24"/>
    </row>
    <row r="190" spans="4:13" x14ac:dyDescent="0.25">
      <c r="M190" s="24"/>
    </row>
    <row r="191" spans="4:13" ht="23.25" x14ac:dyDescent="0.25">
      <c r="D191" s="6" t="str" cm="1">
        <f t="array" ref="D191">SourceData_Dairy.SourceData_Dairy_MethaneEmissionsPotential_Title()</f>
        <v>Methane emissions potential</v>
      </c>
      <c r="M191" s="24"/>
    </row>
    <row r="192" spans="4:13" x14ac:dyDescent="0.25">
      <c r="D192" s="5" t="str" cm="1">
        <f t="array" ref="D192">SourceData_Dairy.SourceData_Dairy_MethaneEmissionsPotential_Source()</f>
        <v>VEERG 2026: 4.3.2.3 CONSTANTS</v>
      </c>
      <c r="M192" s="24"/>
    </row>
    <row r="193" spans="4:13" x14ac:dyDescent="0.25">
      <c r="D193" s="1" t="str" cm="1">
        <f t="array" ref="D193">SourceData_Dairy.SourceData_Dairy_MethaneEmissionsPotential_Variable()</f>
        <v>B_o</v>
      </c>
      <c r="M193" s="24"/>
    </row>
    <row r="194" spans="4:13" x14ac:dyDescent="0.25">
      <c r="D194" s="57" t="str" cm="1">
        <f t="array" ref="D194">SourceData_Dairy.SourceData_Dairy_MethaneEmissionsPotential_Unit()</f>
        <v>m3 CH4/kgVS</v>
      </c>
      <c r="M194" s="24"/>
    </row>
    <row r="195" spans="4:13" x14ac:dyDescent="0.25">
      <c r="D195" s="56" cm="1">
        <f t="array" ref="D195">SourceData_Dairy.SourceData_Dairy_MethaneEmissionsPotential_Data()</f>
        <v>0.24</v>
      </c>
      <c r="M195" s="24"/>
    </row>
    <row r="196" spans="4:13" x14ac:dyDescent="0.25">
      <c r="M196" s="24"/>
    </row>
    <row r="197" spans="4:13" x14ac:dyDescent="0.25">
      <c r="M197" s="24"/>
    </row>
    <row r="198" spans="4:13" ht="23.25" x14ac:dyDescent="0.25">
      <c r="D198" s="6" t="str" cm="1">
        <f t="array" ref="D198">SourceData_Dairy.SourceData_Dairy_EmissionFactorForLeachingAndRunoff_Title()</f>
        <v>Emission factor for leaching and runoff</v>
      </c>
      <c r="M198" s="24"/>
    </row>
    <row r="199" spans="4:13" x14ac:dyDescent="0.25">
      <c r="D199" s="5" t="str" cm="1">
        <f t="array" ref="D199">SourceData_Dairy.SourceData_Dairy_EmissionFactorForLeachingAndRunoff_Source()</f>
        <v>VEERG 2026: 4.3.2.3 CONSTANTS</v>
      </c>
      <c r="M199" s="24"/>
    </row>
    <row r="200" spans="4:13" x14ac:dyDescent="0.25">
      <c r="D200" s="1" t="str" cm="1">
        <f t="array" ref="D200">SourceData_Dairy.SourceData_Dairy_EmissionFactorForLeachingAndRunoff_Variable()</f>
        <v>EF_leach</v>
      </c>
      <c r="M200" s="24"/>
    </row>
    <row r="201" spans="4:13" x14ac:dyDescent="0.25">
      <c r="D201" s="57" t="str" cm="1">
        <f t="array" ref="D201">SourceData_Dairy.SourceData_Dairy_EmissionFactorForLeachingAndRunoff_Unit()</f>
        <v>kg N2O-N/kg N</v>
      </c>
      <c r="M201" s="24"/>
    </row>
    <row r="202" spans="4:13" x14ac:dyDescent="0.25">
      <c r="D202" s="56" cm="1">
        <f t="array" ref="D202">SourceData_Dairy.SourceData_Dairy_EmissionFactorForLeachingAndRunoff_Data()</f>
        <v>1.0999999999999999E-2</v>
      </c>
      <c r="M202" s="24"/>
    </row>
    <row r="203" spans="4:13" x14ac:dyDescent="0.25">
      <c r="M203" s="24"/>
    </row>
    <row r="204" spans="4:13" x14ac:dyDescent="0.25">
      <c r="M204" s="24"/>
    </row>
    <row r="205" spans="4:13" ht="23.25" x14ac:dyDescent="0.25">
      <c r="D205" s="6" t="str" cm="1">
        <f t="array" ref="D205">SourceData_Dairy.SourceData_Dairy_FractionOfNitrogenLostThroughLeachingAndRunoff_Title()</f>
        <v>Default fraction of N that is lost through leaching and runoff when manure is excreted to pasture, range and paddock (m=14).</v>
      </c>
      <c r="M205" s="24"/>
    </row>
    <row r="206" spans="4:13" x14ac:dyDescent="0.25">
      <c r="D206" s="5" t="str" cm="1">
        <f t="array" ref="D206">SourceData_Dairy.SourceData_Dairy_FractionOfNitrogenLostThroughLeachingAndRunoff_Source()</f>
        <v>VEERG 2026: 4.3.2.3 CONSTANTS</v>
      </c>
      <c r="M206" s="24"/>
    </row>
    <row r="207" spans="4:13" x14ac:dyDescent="0.25">
      <c r="D207" s="1" t="str" cm="1">
        <f t="array" ref="D207">SourceData_Dairy.SourceData_Dairy_FractionOfNitrogenLostThroughLeachingAndRunoff_Variable()</f>
        <v>Frac_LEACH_MS</v>
      </c>
      <c r="M207" s="24"/>
    </row>
    <row r="208" spans="4:13" x14ac:dyDescent="0.25">
      <c r="D208" s="57" t="str" cm="1">
        <f t="array" ref="D208">SourceData_Dairy.SourceData_Dairy_FractionOfNitrogenLostThroughLeachingAndRunoff_Unit()</f>
        <v>Fraction</v>
      </c>
      <c r="M208" s="24"/>
    </row>
    <row r="209" spans="1:13" x14ac:dyDescent="0.25">
      <c r="D209" s="56" cm="1">
        <f t="array" ref="D209">SourceData_Dairy.SourceData_Dairy_FractionOfNitrogenLostThroughLeachingAndRunoff_Data()</f>
        <v>0.24</v>
      </c>
      <c r="M209" s="24"/>
    </row>
    <row r="210" spans="1:13" x14ac:dyDescent="0.25">
      <c r="M210" s="24"/>
    </row>
    <row r="211" spans="1:13" ht="23.25" x14ac:dyDescent="0.25">
      <c r="D211" s="6" t="str" cm="1">
        <f t="array" ref="D211">SourceData_Dairy.SourceData_Dairy_FractionOfNitrogenLostThroughLeachingAndRunoffSolidStorage_Title()</f>
        <v>Fraction of nitrogen lost through leaching and runoff for solid storage MMS only</v>
      </c>
      <c r="M211" s="24"/>
    </row>
    <row r="212" spans="1:13" x14ac:dyDescent="0.25">
      <c r="D212" s="5" t="str" cm="1">
        <f t="array" ref="D212">SourceData_Dairy.SourceData_Dairy_FractionOfNitrogenLostThroughLeachingAndRunoffSolidStorage_Source()</f>
        <v>VEERG 2026: 4.3.2.3 CONSTANTS</v>
      </c>
      <c r="M212" s="24"/>
    </row>
    <row r="213" spans="1:13" x14ac:dyDescent="0.25">
      <c r="D213" s="1" t="str" cm="1">
        <f t="array" ref="D213">SourceData_Dairy.SourceData_Dairy_FractionOfNitrogenLostThroughLeachingAndRunoffSolidStorage_Variable()</f>
        <v>Frac_LEACH_MS</v>
      </c>
      <c r="M213" s="24"/>
    </row>
    <row r="214" spans="1:13" x14ac:dyDescent="0.25">
      <c r="D214" s="57" t="str" cm="1">
        <f t="array" ref="D214">SourceData_Dairy.SourceData_Dairy_FractionOfNitrogenLostThroughLeachingAndRunoffSolidStorage_Unit()</f>
        <v>Fraction</v>
      </c>
      <c r="M214" s="24"/>
    </row>
    <row r="215" spans="1:13" x14ac:dyDescent="0.25">
      <c r="A215" s="141" t="str">
        <f>HYPERLINK("#A1", "▲ Back to top")</f>
        <v>▲ Back to top</v>
      </c>
      <c r="D215" s="56" cm="1">
        <f t="array" ref="D215">SourceData_Dairy.SourceData_Dairy_FractionOfNitrogenLostThroughLeachingAndRunoffSolidStorage_Data()</f>
        <v>0.02</v>
      </c>
      <c r="M215" s="24"/>
    </row>
    <row r="216" spans="1:13" x14ac:dyDescent="0.25">
      <c r="M216" s="24"/>
    </row>
    <row r="217" spans="1:13" ht="23.25" x14ac:dyDescent="0.25">
      <c r="D217" s="6" t="str" cm="1">
        <f t="array" ref="D217">SourceData_Dairy.SourceData_Dairy_FracGASMSoil_Title()</f>
        <v>Fraction of nitrogen volatilized from urine and faeces deposited on pasture</v>
      </c>
      <c r="M217" s="24"/>
    </row>
    <row r="218" spans="1:13" x14ac:dyDescent="0.25">
      <c r="D218" s="5" t="str" cm="1">
        <f t="array" ref="D218">SourceData_Dairy.SourceData_Dairy_FracGASMSoil_Source()</f>
        <v>VEERG 2026: 4.3.2.3 CONSTANTS</v>
      </c>
      <c r="M218" s="24"/>
    </row>
    <row r="219" spans="1:13" x14ac:dyDescent="0.25">
      <c r="D219" s="1" t="str" cm="1">
        <f t="array" ref="D219">SourceData_Dairy.SourceData_Dairy_FracGASMSoil_Variable()</f>
        <v>FracGASMsoil</v>
      </c>
      <c r="M219" s="24"/>
    </row>
    <row r="220" spans="1:13" x14ac:dyDescent="0.25">
      <c r="D220" s="57" t="str" cm="1">
        <f t="array" ref="D220">SourceData_Dairy.SourceData_Dairy_FracGASMSoil_Unit()</f>
        <v>(kg NH3-N + NOx-N)/kg N</v>
      </c>
      <c r="M220" s="24"/>
    </row>
    <row r="221" spans="1:13" x14ac:dyDescent="0.25">
      <c r="D221" s="56" cm="1">
        <f t="array" ref="D221">SourceData_Dairy.SourceData_Dairy_FracGASMSoil_Data()</f>
        <v>0.21</v>
      </c>
      <c r="M221" s="24"/>
    </row>
    <row r="222" spans="1:13" x14ac:dyDescent="0.25">
      <c r="M222" s="24"/>
    </row>
    <row r="223" spans="1:13" ht="23.25" x14ac:dyDescent="0.25">
      <c r="D223" s="6" t="str" cm="1">
        <f t="array" ref="D223">SourceData_Dairy.SourceData_Dairy_FatContentInMilk_Title()</f>
        <v>Fat content in fat and protein corrected milk</v>
      </c>
      <c r="M223" s="24"/>
    </row>
    <row r="224" spans="1:13" x14ac:dyDescent="0.25">
      <c r="D224" s="5" t="str" cm="1">
        <f t="array" ref="D224">SourceData_Dairy.SourceData_Dairy_FatContentInMilk_Source()</f>
        <v>VEERG 2026: 3.3.2.2 DATA (METHOD 1 AND 2 OPTIONS)</v>
      </c>
      <c r="M224" s="24"/>
    </row>
    <row r="225" spans="4:13" x14ac:dyDescent="0.25">
      <c r="D225" s="1" t="str" cm="1">
        <f t="array" ref="D225">SourceData_Dairy.SourceData_Dairy_FatContentInMilk_Variable()</f>
        <v>FC_j</v>
      </c>
      <c r="M225" s="24"/>
    </row>
    <row r="226" spans="4:13" x14ac:dyDescent="0.25">
      <c r="D226" s="57" t="str" cm="1">
        <f t="array" ref="D226">SourceData_Dairy.SourceData_Dairy_FatContentInMilk_Unit()</f>
        <v>percent</v>
      </c>
      <c r="M226" s="24"/>
    </row>
    <row r="227" spans="4:13" x14ac:dyDescent="0.25">
      <c r="D227" s="56" cm="1">
        <f t="array" ref="D227">SourceData_Dairy.SourceData_Dairy_FatContentInMilk_Data()</f>
        <v>4</v>
      </c>
      <c r="M227" s="24"/>
    </row>
    <row r="228" spans="4:13" x14ac:dyDescent="0.25">
      <c r="M228" s="24"/>
    </row>
    <row r="229" spans="4:13" ht="23.25" x14ac:dyDescent="0.25">
      <c r="D229" s="6" t="str" cm="1">
        <f t="array" ref="D229">SourceData_Dairy.SourceData_Dairy_ProteinContentInMilk_Title()</f>
        <v>Protein content in fat and protein corrected milk</v>
      </c>
      <c r="M229" s="24"/>
    </row>
    <row r="230" spans="4:13" x14ac:dyDescent="0.25">
      <c r="D230" s="5" t="str" cm="1">
        <f t="array" ref="D230">SourceData_Dairy.SourceData_Dairy_ProteinContentInMilk_Source()</f>
        <v>VEERG 2026: 3.3.2.2 DATA (METHOD 1 AND 2 OPTIONS)</v>
      </c>
      <c r="M230" s="24"/>
    </row>
    <row r="231" spans="4:13" x14ac:dyDescent="0.25">
      <c r="D231" s="1" t="str" cm="1">
        <f t="array" ref="D231">SourceData_Dairy.SourceData_Dairy_ProteinContentInMilk_Variable()</f>
        <v>PC_j</v>
      </c>
      <c r="M231" s="24"/>
    </row>
    <row r="232" spans="4:13" x14ac:dyDescent="0.25">
      <c r="D232" s="57" t="str" cm="1">
        <f t="array" ref="D232">SourceData_Dairy.SourceData_Dairy_ProteinContentInMilk_Unit()</f>
        <v>percent</v>
      </c>
      <c r="M232" s="24"/>
    </row>
    <row r="233" spans="4:13" x14ac:dyDescent="0.25">
      <c r="D233" s="56" cm="1">
        <f t="array" ref="D233">SourceData_Dairy.SourceData_Dairy_ProteinContentInMilk_Data()</f>
        <v>3.3</v>
      </c>
      <c r="M233" s="24"/>
    </row>
    <row r="234" spans="4:13" x14ac:dyDescent="0.25">
      <c r="M234" s="24"/>
    </row>
    <row r="235" spans="4:13" x14ac:dyDescent="0.25">
      <c r="M235" s="24"/>
    </row>
    <row r="236" spans="4:13" x14ac:dyDescent="0.25">
      <c r="M236" s="24"/>
    </row>
    <row r="237" spans="4:13" x14ac:dyDescent="0.25">
      <c r="M237" s="24"/>
    </row>
    <row r="238" spans="4:13" x14ac:dyDescent="0.25">
      <c r="M238" s="24"/>
    </row>
    <row r="239" spans="4:13" x14ac:dyDescent="0.25">
      <c r="M239" s="24"/>
    </row>
    <row r="240" spans="4:13" x14ac:dyDescent="0.25">
      <c r="M240" s="24"/>
    </row>
    <row r="241" spans="13:13" x14ac:dyDescent="0.25">
      <c r="M241" s="24"/>
    </row>
    <row r="242" spans="13:13" x14ac:dyDescent="0.25">
      <c r="M242" s="24"/>
    </row>
    <row r="243" spans="13:13" x14ac:dyDescent="0.25">
      <c r="M243" s="24"/>
    </row>
    <row r="244" spans="13:13" x14ac:dyDescent="0.25">
      <c r="M244" s="24"/>
    </row>
    <row r="245" spans="13:13" x14ac:dyDescent="0.25">
      <c r="M245" s="24"/>
    </row>
    <row r="246" spans="13:13" x14ac:dyDescent="0.25">
      <c r="M246" s="24"/>
    </row>
    <row r="247" spans="13:13" x14ac:dyDescent="0.25">
      <c r="M247" s="24"/>
    </row>
    <row r="248" spans="13:13" x14ac:dyDescent="0.25">
      <c r="M248" s="24"/>
    </row>
    <row r="249" spans="13:13" x14ac:dyDescent="0.25">
      <c r="M249" s="24"/>
    </row>
    <row r="250" spans="13:13" x14ac:dyDescent="0.25">
      <c r="M250" s="24"/>
    </row>
    <row r="251" spans="13:13" x14ac:dyDescent="0.25">
      <c r="M251" s="24"/>
    </row>
    <row r="252" spans="13:13" x14ac:dyDescent="0.25">
      <c r="M252" s="24"/>
    </row>
    <row r="253" spans="13:13" x14ac:dyDescent="0.25">
      <c r="M253" s="24"/>
    </row>
    <row r="254" spans="13:13" x14ac:dyDescent="0.25">
      <c r="M254" s="24"/>
    </row>
    <row r="255" spans="13:13" x14ac:dyDescent="0.25">
      <c r="M255" s="24"/>
    </row>
    <row r="256" spans="13:13" x14ac:dyDescent="0.25">
      <c r="M256" s="24"/>
    </row>
    <row r="257" spans="13:13" x14ac:dyDescent="0.25">
      <c r="M257" s="24"/>
    </row>
    <row r="258" spans="13:13" x14ac:dyDescent="0.25">
      <c r="M258" s="24"/>
    </row>
    <row r="259" spans="13:13" x14ac:dyDescent="0.25">
      <c r="M259" s="24"/>
    </row>
    <row r="260" spans="13:13" x14ac:dyDescent="0.25">
      <c r="M260" s="24"/>
    </row>
    <row r="261" spans="13:13" x14ac:dyDescent="0.25">
      <c r="M261" s="24"/>
    </row>
    <row r="262" spans="13:13" x14ac:dyDescent="0.25">
      <c r="M262" s="24"/>
    </row>
    <row r="263" spans="13:13" x14ac:dyDescent="0.25">
      <c r="M263" s="24"/>
    </row>
    <row r="264" spans="13:13" x14ac:dyDescent="0.25">
      <c r="M264" s="24"/>
    </row>
    <row r="265" spans="13:13" x14ac:dyDescent="0.25">
      <c r="M265" s="24"/>
    </row>
    <row r="266" spans="13:13" x14ac:dyDescent="0.25">
      <c r="M266" s="24"/>
    </row>
    <row r="267" spans="13:13" x14ac:dyDescent="0.25">
      <c r="M267" s="24"/>
    </row>
    <row r="268" spans="13:13" x14ac:dyDescent="0.25">
      <c r="M268" s="24"/>
    </row>
    <row r="269" spans="13:13" x14ac:dyDescent="0.25">
      <c r="M269" s="24"/>
    </row>
    <row r="270" spans="13:13" x14ac:dyDescent="0.25">
      <c r="M270" s="24"/>
    </row>
    <row r="271" spans="13:13" x14ac:dyDescent="0.25">
      <c r="M271" s="24"/>
    </row>
    <row r="272" spans="13:13" x14ac:dyDescent="0.25">
      <c r="M272" s="24"/>
    </row>
    <row r="273" spans="13:13" x14ac:dyDescent="0.25">
      <c r="M273" s="24"/>
    </row>
    <row r="274" spans="13:13" x14ac:dyDescent="0.25">
      <c r="M274" s="24"/>
    </row>
    <row r="275" spans="13:13" x14ac:dyDescent="0.25">
      <c r="M275" s="24"/>
    </row>
    <row r="276" spans="13:13" x14ac:dyDescent="0.25">
      <c r="M276" s="24"/>
    </row>
    <row r="277" spans="13:13" x14ac:dyDescent="0.25">
      <c r="M277" s="24"/>
    </row>
    <row r="278" spans="13:13" x14ac:dyDescent="0.25">
      <c r="M278" s="24"/>
    </row>
    <row r="279" spans="13:13" x14ac:dyDescent="0.25">
      <c r="M279" s="24"/>
    </row>
    <row r="280" spans="13:13" x14ac:dyDescent="0.25">
      <c r="M280" s="24"/>
    </row>
    <row r="281" spans="13:13" x14ac:dyDescent="0.25">
      <c r="M281" s="24"/>
    </row>
    <row r="282" spans="13:13" x14ac:dyDescent="0.25">
      <c r="M282" s="24"/>
    </row>
    <row r="283" spans="13:13" x14ac:dyDescent="0.25">
      <c r="M283" s="24"/>
    </row>
    <row r="284" spans="13:13" x14ac:dyDescent="0.25">
      <c r="M284" s="24"/>
    </row>
    <row r="285" spans="13:13" x14ac:dyDescent="0.25">
      <c r="M285" s="24"/>
    </row>
    <row r="286" spans="13:13" x14ac:dyDescent="0.25">
      <c r="M286" s="24"/>
    </row>
    <row r="287" spans="13:13" x14ac:dyDescent="0.25">
      <c r="M287" s="24"/>
    </row>
    <row r="288" spans="13:13" x14ac:dyDescent="0.25">
      <c r="M288" s="24"/>
    </row>
  </sheetData>
  <pageMargins left="0.7" right="0.7" top="0.75" bottom="0.75" header="0.3" footer="0.3"/>
  <tableParts count="15">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553DBF-364F-44B9-B869-1CD29E4FE287}">
  <dimension ref="A1:BY259"/>
  <sheetViews>
    <sheetView showGridLines="0" topLeftCell="A86" zoomScale="85" zoomScaleNormal="85" workbookViewId="0">
      <selection activeCell="H102" sqref="H102"/>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77</v>
      </c>
    </row>
    <row r="2" spans="1:65" s="9" customFormat="1" ht="20.100000000000001" customHeight="1" x14ac:dyDescent="0.25"/>
    <row r="3" spans="1:65" ht="20.100000000000001" customHeight="1" x14ac:dyDescent="0.25">
      <c r="A3"/>
      <c r="C3" s="4"/>
      <c r="D3" s="4"/>
      <c r="E3" s="4"/>
      <c r="F3" s="4"/>
      <c r="G3" s="4"/>
      <c r="H3" s="4"/>
      <c r="I3" s="4"/>
      <c r="J3" s="4"/>
      <c r="K3" s="4"/>
      <c r="L3" s="4"/>
      <c r="M3" s="4"/>
      <c r="N3" s="4"/>
      <c r="O3" s="4"/>
      <c r="P3" s="4"/>
      <c r="Q3" s="4"/>
      <c r="R3" s="4"/>
      <c r="S3" s="4"/>
      <c r="T3" s="4"/>
      <c r="U3" s="4"/>
      <c r="V3" s="11"/>
      <c r="W3" s="11"/>
    </row>
    <row r="4" spans="1:65" ht="20.100000000000001" customHeight="1" x14ac:dyDescent="0.25">
      <c r="A4"/>
      <c r="BM4" s="3"/>
    </row>
    <row r="5" spans="1:65" ht="20.100000000000001" customHeight="1" x14ac:dyDescent="0.25">
      <c r="A5"/>
      <c r="D5" s="6" t="str" cm="1">
        <f t="array" ref="D5">Common_SourceData.Common_SourceData_AustralianStatesTerritories_Title()</f>
        <v>Australian states and territories</v>
      </c>
      <c r="BM5" s="3"/>
    </row>
    <row r="6" spans="1:65" ht="20.100000000000001" customHeight="1" x14ac:dyDescent="0.25">
      <c r="A6"/>
      <c r="D6" s="39" t="s">
        <v>22</v>
      </c>
      <c r="E6" s="39" t="s">
        <v>23</v>
      </c>
      <c r="F6" s="39" t="s">
        <v>24</v>
      </c>
    </row>
    <row r="7" spans="1:65" ht="20.100000000000001" customHeight="1" x14ac:dyDescent="0.25">
      <c r="A7"/>
      <c r="D7" s="39" t="str" cm="1">
        <f t="array" ref="D7">Common_InputFunctions.Utility_DisplayArrayInTable(Common_SourceData.Common_SourceData_AustralianStatesTerritories_Data(),Table_AustralianStates[[#Headers],[State/Territory]],0)</f>
        <v>New South Wales</v>
      </c>
      <c r="E7" s="39" t="str" cm="1">
        <f t="array" ref="E7">Common_InputFunctions.Utility_DisplayArrayInTable(Common_SourceData.Common_SourceData_AustralianStatesTerritories_Data(),Table_AustralianStates[[#Headers],[State/Territory]],0)</f>
        <v>New South Wales</v>
      </c>
      <c r="F7" s="39" t="str" cm="1">
        <f t="array" ref="F7">Common_InputFunctions.Utility_DisplayArrayInTable(Common_SourceData.Common_SourceData_AustralianStatesTerritories_Data(),Table_AustralianStates[[#Headers],[State/Territory]],0)</f>
        <v>NSW</v>
      </c>
    </row>
    <row r="8" spans="1:65" ht="20.100000000000001" customHeight="1" x14ac:dyDescent="0.25">
      <c r="A8"/>
      <c r="D8" s="39" t="str" cm="1">
        <f t="array" ref="D8">Common_InputFunctions.Utility_DisplayArrayInTable(Common_SourceData.Common_SourceData_AustralianStatesTerritories_Data(),Table_AustralianStates[[#Headers],[State/Territory]],0)</f>
        <v>Australian Capital Territory</v>
      </c>
      <c r="E8" s="39" t="str" cm="1">
        <f t="array" ref="E8">Common_InputFunctions.Utility_DisplayArrayInTable(Common_SourceData.Common_SourceData_AustralianStatesTerritories_Data(),Table_AustralianStates[[#Headers],[State/Territory]],0)</f>
        <v>ACT</v>
      </c>
      <c r="F8" s="39" t="str" cm="1">
        <f t="array" ref="F8">Common_InputFunctions.Utility_DisplayArrayInTable(Common_SourceData.Common_SourceData_AustralianStatesTerritories_Data(),Table_AustralianStates[[#Headers],[State/Territory]],0)</f>
        <v>ACT</v>
      </c>
    </row>
    <row r="9" spans="1:65" ht="20.100000000000001" customHeight="1" x14ac:dyDescent="0.25">
      <c r="A9"/>
      <c r="D9" s="39" t="str" cm="1">
        <f t="array" ref="D9">Common_InputFunctions.Utility_DisplayArrayInTable(Common_SourceData.Common_SourceData_AustralianStatesTerritories_Data(),Table_AustralianStates[[#Headers],[State/Territory]],0)</f>
        <v>Victoria</v>
      </c>
      <c r="E9" s="39" t="str" cm="1">
        <f t="array" ref="E9">Common_InputFunctions.Utility_DisplayArrayInTable(Common_SourceData.Common_SourceData_AustralianStatesTerritories_Data(),Table_AustralianStates[[#Headers],[State/Territory]],0)</f>
        <v>Victoria</v>
      </c>
      <c r="F9" s="39"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39" t="str" cm="1">
        <f t="array" ref="D10">Common_InputFunctions.Utility_DisplayArrayInTable(Common_SourceData.Common_SourceData_AustralianStatesTerritories_Data(),Table_AustralianStates[[#Headers],[State/Territory]],0)</f>
        <v>Queensland</v>
      </c>
      <c r="E10" s="39" t="str" cm="1">
        <f t="array" ref="E10">Common_InputFunctions.Utility_DisplayArrayInTable(Common_SourceData.Common_SourceData_AustralianStatesTerritories_Data(),Table_AustralianStates[[#Headers],[State/Territory]],0)</f>
        <v>Queensland</v>
      </c>
      <c r="F10" s="39"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9" t="str" cm="1">
        <f t="array" ref="D11">Common_InputFunctions.Utility_DisplayArrayInTable(Common_SourceData.Common_SourceData_AustralianStatesTerritories_Data(),Table_AustralianStates[[#Headers],[State/Territory]],0)</f>
        <v>South Australia</v>
      </c>
      <c r="E11" s="39" t="str" cm="1">
        <f t="array" ref="E11">Common_InputFunctions.Utility_DisplayArrayInTable(Common_SourceData.Common_SourceData_AustralianStatesTerritories_Data(),Table_AustralianStates[[#Headers],[State/Territory]],0)</f>
        <v>South Australia</v>
      </c>
      <c r="F11" s="39"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9" t="str" cm="1">
        <f t="array" ref="D12">Common_InputFunctions.Utility_DisplayArrayInTable(Common_SourceData.Common_SourceData_AustralianStatesTerritories_Data(),Table_AustralianStates[[#Headers],[State/Territory]],0)</f>
        <v>Western Australia</v>
      </c>
      <c r="E12" s="39" t="str" cm="1">
        <f t="array" ref="E12">Common_InputFunctions.Utility_DisplayArrayInTable(Common_SourceData.Common_SourceData_AustralianStatesTerritories_Data(),Table_AustralianStates[[#Headers],[State/Territory]],0)</f>
        <v>Western Australia</v>
      </c>
      <c r="F12" s="39"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c r="D13" s="39" t="str" cm="1">
        <f t="array" ref="D13">Common_InputFunctions.Utility_DisplayArrayInTable(Common_SourceData.Common_SourceData_AustralianStatesTerritories_Data(),Table_AustralianStates[[#Headers],[State/Territory]],0)</f>
        <v>Tasmania</v>
      </c>
      <c r="E13" s="39" t="str" cm="1">
        <f t="array" ref="E13">Common_InputFunctions.Utility_DisplayArrayInTable(Common_SourceData.Common_SourceData_AustralianStatesTerritories_Data(),Table_AustralianStates[[#Headers],[State/Territory]],0)</f>
        <v>Tasmania</v>
      </c>
      <c r="F13" s="39"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39" t="str" cm="1">
        <f t="array" ref="D14">Common_InputFunctions.Utility_DisplayArrayInTable(Common_SourceData.Common_SourceData_AustralianStatesTerritories_Data(),Table_AustralianStates[[#Headers],[State/Territory]],0)</f>
        <v>Northern Territory</v>
      </c>
      <c r="E14" s="39" t="str" cm="1">
        <f t="array" ref="E14">Common_InputFunctions.Utility_DisplayArrayInTable(Common_SourceData.Common_SourceData_AustralianStatesTerritories_Data(),Table_AustralianStates[[#Headers],[State/Territory]],0)</f>
        <v>Northern Territory</v>
      </c>
      <c r="F14" s="39"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tr" cm="1">
        <f t="array" ref="D18">Common_SourceData.Common_SourceData_WASA4Areas_Title()</f>
        <v>ABS Statistcal Areas Level 4 - Western Australia</v>
      </c>
    </row>
    <row r="19" spans="1:4" ht="20.100000000000001" customHeight="1" x14ac:dyDescent="0.25">
      <c r="A19"/>
      <c r="D19" s="5" t="str" cm="1">
        <f t="array" ref="D19">Common_SourceData.Common_SourceData_WASA4Areas_Source()</f>
        <v>Australian Bureau of Statistics (ABS) - Statistical Areas Level 2 - 2021 - Shapefile</v>
      </c>
    </row>
    <row r="20" spans="1:4" ht="20.100000000000001" customHeight="1" x14ac:dyDescent="0.25">
      <c r="A20"/>
      <c r="D20" s="39" t="s">
        <v>25</v>
      </c>
    </row>
    <row r="21" spans="1:4" ht="20.100000000000001" customHeight="1" x14ac:dyDescent="0.25">
      <c r="A21"/>
      <c r="D21" s="39" t="str" cm="1">
        <f t="array" ref="D21">Common_InputFunctions.Utility_DisplayArrayInTable(Common_SourceData.Common_SourceData_WASA4Areas_Data(), Table_WASA4Areas[[#Headers],[SA 4 Name]], 0)</f>
        <v>Bunbury</v>
      </c>
    </row>
    <row r="22" spans="1:4" ht="20.100000000000001" customHeight="1" x14ac:dyDescent="0.25">
      <c r="A22"/>
      <c r="D22" s="39" t="str" cm="1">
        <f t="array" ref="D22">Common_InputFunctions.Utility_DisplayArrayInTable(Common_SourceData.Common_SourceData_WASA4Areas_Data(), Table_WASA4Areas[[#Headers],[SA 4 Name]], 0)</f>
        <v>Mandurah</v>
      </c>
    </row>
    <row r="23" spans="1:4" ht="20.100000000000001" customHeight="1" x14ac:dyDescent="0.25">
      <c r="A23"/>
      <c r="D23" s="39" t="str" cm="1">
        <f t="array" ref="D23">Common_InputFunctions.Utility_DisplayArrayInTable(Common_SourceData.Common_SourceData_WASA4Areas_Data(), Table_WASA4Areas[[#Headers],[SA 4 Name]], 0)</f>
        <v>Perth - Inner</v>
      </c>
    </row>
    <row r="24" spans="1:4" ht="20.100000000000001" customHeight="1" x14ac:dyDescent="0.25">
      <c r="A24"/>
      <c r="D24" s="39" t="str" cm="1">
        <f t="array" ref="D24">Common_InputFunctions.Utility_DisplayArrayInTable(Common_SourceData.Common_SourceData_WASA4Areas_Data(), Table_WASA4Areas[[#Headers],[SA 4 Name]], 0)</f>
        <v>Perth - North East</v>
      </c>
    </row>
    <row r="25" spans="1:4" ht="20.100000000000001" customHeight="1" x14ac:dyDescent="0.25">
      <c r="A25"/>
      <c r="D25" s="39" t="str" cm="1">
        <f t="array" ref="D25">Common_InputFunctions.Utility_DisplayArrayInTable(Common_SourceData.Common_SourceData_WASA4Areas_Data(), Table_WASA4Areas[[#Headers],[SA 4 Name]], 0)</f>
        <v>Perth - North West</v>
      </c>
    </row>
    <row r="26" spans="1:4" ht="20.100000000000001" customHeight="1" x14ac:dyDescent="0.25">
      <c r="A26"/>
      <c r="D26" s="39" t="str" cm="1">
        <f t="array" ref="D26">Common_InputFunctions.Utility_DisplayArrayInTable(Common_SourceData.Common_SourceData_WASA4Areas_Data(), Table_WASA4Areas[[#Headers],[SA 4 Name]], 0)</f>
        <v>Perth - South East</v>
      </c>
    </row>
    <row r="27" spans="1:4" ht="20.100000000000001" customHeight="1" x14ac:dyDescent="0.25">
      <c r="A27"/>
      <c r="D27" s="39" t="str" cm="1">
        <f t="array" ref="D27">Common_InputFunctions.Utility_DisplayArrayInTable(Common_SourceData.Common_SourceData_WASA4Areas_Data(), Table_WASA4Areas[[#Headers],[SA 4 Name]], 0)</f>
        <v>Perth - South West</v>
      </c>
    </row>
    <row r="28" spans="1:4" ht="20.100000000000001" customHeight="1" x14ac:dyDescent="0.25">
      <c r="A28"/>
      <c r="D28" s="39"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9"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9"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9" t="s">
        <v>28</v>
      </c>
      <c r="E36" s="39" t="s">
        <v>29</v>
      </c>
    </row>
    <row r="37" spans="1:8" ht="20.100000000000001" customHeight="1" x14ac:dyDescent="0.25">
      <c r="A37"/>
      <c r="D37" s="39" t="str" cm="1">
        <f t="array" ref="D37">Common_InputFunctions.Utility_DisplayArrayInTable(Common_SourceData.Common_SourceData_GWP_Data(), Table_GWPData[[#Headers],[Gas]], 0)</f>
        <v>CO2</v>
      </c>
      <c r="E37" s="39" cm="1">
        <f t="array" ref="E37">Common_InputFunctions.Utility_DisplayArrayInTable(Common_SourceData.Common_SourceData_GWP_Data(), Table_GWPData[[#Headers],[Gas]], 0)</f>
        <v>1</v>
      </c>
    </row>
    <row r="38" spans="1:8" ht="20.100000000000001" customHeight="1" x14ac:dyDescent="0.25">
      <c r="A38"/>
      <c r="D38" s="39" t="str" cm="1">
        <f t="array" ref="D38">Common_InputFunctions.Utility_DisplayArrayInTable(Common_SourceData.Common_SourceData_GWP_Data(), Table_GWPData[[#Headers],[Gas]], 0)</f>
        <v>CH4</v>
      </c>
      <c r="E38" s="39" cm="1">
        <f t="array" ref="E38">Common_InputFunctions.Utility_DisplayArrayInTable(Common_SourceData.Common_SourceData_GWP_Data(), Table_GWPData[[#Headers],[Gas]], 0)</f>
        <v>28</v>
      </c>
    </row>
    <row r="39" spans="1:8" ht="20.100000000000001" customHeight="1" x14ac:dyDescent="0.25">
      <c r="A39"/>
      <c r="D39" s="39" t="str" cm="1">
        <f t="array" ref="D39">Common_InputFunctions.Utility_DisplayArrayInTable(Common_SourceData.Common_SourceData_GWP_Data(), Table_GWPData[[#Headers],[Gas]], 0)</f>
        <v>N2O</v>
      </c>
      <c r="E39" s="39" cm="1">
        <f t="array" ref="E39">Common_InputFunctions.Utility_DisplayArrayInTable(Common_SourceData.Common_SourceData_GWP_Data(), Table_GWPData[[#Headers],[Gas]], 0)</f>
        <v>265</v>
      </c>
    </row>
    <row r="40" spans="1:8" ht="20.100000000000001" customHeight="1" x14ac:dyDescent="0.25">
      <c r="A40"/>
      <c r="D40" s="39" t="str" cm="1">
        <f t="array" ref="D40">Common_InputFunctions.Utility_DisplayArrayInTable(Common_SourceData.Common_SourceData_GWP_Data(), Table_GWPData[[#Headers],[Gas]], 0)</f>
        <v>CF4</v>
      </c>
      <c r="E40" s="39" cm="1">
        <f t="array" ref="E40">Common_InputFunctions.Utility_DisplayArrayInTable(Common_SourceData.Common_SourceData_GWP_Data(), Table_GWPData[[#Headers],[Gas]], 0)</f>
        <v>6630</v>
      </c>
    </row>
    <row r="41" spans="1:8" ht="20.100000000000001" customHeight="1" x14ac:dyDescent="0.25">
      <c r="A41"/>
      <c r="D41" s="39" t="str" cm="1">
        <f t="array" ref="D41">Common_InputFunctions.Utility_DisplayArrayInTable(Common_SourceData.Common_SourceData_GWP_Data(), Table_GWPData[[#Headers],[Gas]], 0)</f>
        <v>C2F6</v>
      </c>
      <c r="E41" s="39" cm="1">
        <f t="array" ref="E41">Common_InputFunctions.Utility_DisplayArrayInTable(Common_SourceData.Common_SourceData_GWP_Data(), Table_GWPData[[#Headers],[Gas]], 0)</f>
        <v>12200</v>
      </c>
    </row>
    <row r="42" spans="1:8" ht="20.100000000000001" customHeight="1" x14ac:dyDescent="0.25">
      <c r="D42" s="39" t="str" cm="1">
        <f t="array" ref="D42">Common_InputFunctions.Utility_DisplayArrayInTable(Common_SourceData.Common_SourceData_GWP_Data(), Table_GWPData[[#Headers],[Gas]], 0)</f>
        <v>SF6</v>
      </c>
      <c r="E42" s="39" cm="1">
        <f t="array" ref="E42">Common_InputFunctions.Utility_DisplayArrayInTable(Common_SourceData.Common_SourceData_GWP_Data(), Table_GWPData[[#Headers],[Gas]], 0)</f>
        <v>22800</v>
      </c>
    </row>
    <row r="43" spans="1:8" ht="20.100000000000001" customHeight="1" x14ac:dyDescent="0.25">
      <c r="D43" s="39" t="str" cm="1">
        <f t="array" ref="D43">Common_InputFunctions.Utility_DisplayArrayInTable(Common_SourceData.Common_SourceData_GWP_Data(), Table_GWPData[[#Headers],[Gas]], 0)</f>
        <v>NF3</v>
      </c>
      <c r="E43" s="39"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6" t="str" cm="1">
        <f t="array" ref="D45">Common_SourceData.Common_SourceData_ConvertGasElementalToMolecular_Title()</f>
        <v>Factor to convert elemental mass of gas to molecular mass</v>
      </c>
    </row>
    <row r="46" spans="1:8" ht="20.100000000000001" customHeight="1" x14ac:dyDescent="0.25">
      <c r="D46" s="5" t="str" cm="1">
        <f t="array" ref="D46">Common_SourceData.Common_SourceData_ConvertGasElementalToMolecular_Source()</f>
        <v>XXXXXXX</v>
      </c>
    </row>
    <row r="47" spans="1:8" ht="20.100000000000001" customHeight="1" x14ac:dyDescent="0.25">
      <c r="D47" s="39" t="s">
        <v>28</v>
      </c>
      <c r="E47" s="39" t="s">
        <v>31</v>
      </c>
      <c r="F47" s="39" t="s">
        <v>32</v>
      </c>
      <c r="G47" s="39" t="s">
        <v>33</v>
      </c>
      <c r="H47" s="39" t="s">
        <v>34</v>
      </c>
    </row>
    <row r="48" spans="1:8" ht="20.100000000000001" customHeight="1" x14ac:dyDescent="0.25">
      <c r="D48" s="39" t="str" cm="1">
        <f t="array" ref="D48">Common_InputFunctions.Utility_DisplayArrayInTable(Common_SourceData.Common_SourceData_ConvertGasElementalToMolecular_Data(),Table_GasToMolecularConversionFactor[[#Headers],[Gas]], 0)</f>
        <v>CO2</v>
      </c>
      <c r="E48" s="39" t="str" cm="1">
        <f t="array" ref="E48">Common_InputFunctions.Utility_DisplayArrayInTable(Common_SourceData.Common_SourceData_ConvertGasElementalToMolecular_Data(),Table_GasToMolecularConversionFactor[[#Headers],[Gas]], 0)</f>
        <v>44/12</v>
      </c>
      <c r="F48" s="39" cm="1">
        <f t="array" ref="F48">Common_InputFunctions.Utility_DisplayArrayInTable(Common_SourceData.Common_SourceData_ConvertGasElementalToMolecular_Data(),Table_GasToMolecularConversionFactor[[#Headers],[Gas]], 0)</f>
        <v>44</v>
      </c>
      <c r="G48" s="39" cm="1">
        <f t="array" ref="G48">Common_InputFunctions.Utility_DisplayArrayInTable(Common_SourceData.Common_SourceData_ConvertGasElementalToMolecular_Data(),Table_GasToMolecularConversionFactor[[#Headers],[Gas]], 0)</f>
        <v>12</v>
      </c>
      <c r="H48" s="39">
        <f>Table_GasToMolecularConversionFactor[[#This Row],[Conversion factor 1]]/Table_GasToMolecularConversionFactor[[#This Row],[Conversion factor 2]]</f>
        <v>3.6666666666666665</v>
      </c>
    </row>
    <row r="49" spans="4:8" ht="20.100000000000001" customHeight="1" x14ac:dyDescent="0.25">
      <c r="D49" s="39" t="str" cm="1">
        <f t="array" ref="D49">Common_InputFunctions.Utility_DisplayArrayInTable(Common_SourceData.Common_SourceData_ConvertGasElementalToMolecular_Data(),Table_GasToMolecularConversionFactor[[#Headers],[Gas]], 0)</f>
        <v>CH4</v>
      </c>
      <c r="E49" s="39" t="str" cm="1">
        <f t="array" ref="E49">Common_InputFunctions.Utility_DisplayArrayInTable(Common_SourceData.Common_SourceData_ConvertGasElementalToMolecular_Data(),Table_GasToMolecularConversionFactor[[#Headers],[Gas]], 0)</f>
        <v>16/12</v>
      </c>
      <c r="F49" s="39" cm="1">
        <f t="array" ref="F49">Common_InputFunctions.Utility_DisplayArrayInTable(Common_SourceData.Common_SourceData_ConvertGasElementalToMolecular_Data(),Table_GasToMolecularConversionFactor[[#Headers],[Gas]], 0)</f>
        <v>16</v>
      </c>
      <c r="G49" s="39" cm="1">
        <f t="array" ref="G49">Common_InputFunctions.Utility_DisplayArrayInTable(Common_SourceData.Common_SourceData_ConvertGasElementalToMolecular_Data(),Table_GasToMolecularConversionFactor[[#Headers],[Gas]], 0)</f>
        <v>12</v>
      </c>
      <c r="H49" s="39">
        <f>Table_GasToMolecularConversionFactor[[#This Row],[Conversion factor 1]]/Table_GasToMolecularConversionFactor[[#This Row],[Conversion factor 2]]</f>
        <v>1.3333333333333333</v>
      </c>
    </row>
    <row r="50" spans="4:8" ht="20.100000000000001" customHeight="1" x14ac:dyDescent="0.25">
      <c r="D50" s="39" t="str" cm="1">
        <f t="array" ref="D50">Common_InputFunctions.Utility_DisplayArrayInTable(Common_SourceData.Common_SourceData_ConvertGasElementalToMolecular_Data(),Table_GasToMolecularConversionFactor[[#Headers],[Gas]], 0)</f>
        <v>N2O</v>
      </c>
      <c r="E50" s="39" t="str" cm="1">
        <f t="array" ref="E50">Common_InputFunctions.Utility_DisplayArrayInTable(Common_SourceData.Common_SourceData_ConvertGasElementalToMolecular_Data(),Table_GasToMolecularConversionFactor[[#Headers],[Gas]], 0)</f>
        <v>44/28</v>
      </c>
      <c r="F50" s="39" cm="1">
        <f t="array" ref="F50">Common_InputFunctions.Utility_DisplayArrayInTable(Common_SourceData.Common_SourceData_ConvertGasElementalToMolecular_Data(),Table_GasToMolecularConversionFactor[[#Headers],[Gas]], 0)</f>
        <v>44</v>
      </c>
      <c r="G50" s="39" cm="1">
        <f t="array" ref="G50">Common_InputFunctions.Utility_DisplayArrayInTable(Common_SourceData.Common_SourceData_ConvertGasElementalToMolecular_Data(),Table_GasToMolecularConversionFactor[[#Headers],[Gas]], 0)</f>
        <v>28</v>
      </c>
      <c r="H50" s="39">
        <f>Table_GasToMolecularConversionFactor[[#This Row],[Conversion factor 1]]/Table_GasToMolecularConversionFactor[[#This Row],[Conversion factor 2]]</f>
        <v>1.5714285714285714</v>
      </c>
    </row>
    <row r="51" spans="4:8" ht="20.100000000000001" customHeight="1" x14ac:dyDescent="0.25">
      <c r="D51" s="39" t="str" cm="1">
        <f t="array" ref="D51">Common_InputFunctions.Utility_DisplayArrayInTable(Common_SourceData.Common_SourceData_ConvertGasElementalToMolecular_Data(),Table_GasToMolecularConversionFactor[[#Headers],[Gas]], 0)</f>
        <v>Nox</v>
      </c>
      <c r="E51" s="39" t="str" cm="1">
        <f t="array" ref="E51">Common_InputFunctions.Utility_DisplayArrayInTable(Common_SourceData.Common_SourceData_ConvertGasElementalToMolecular_Data(),Table_GasToMolecularConversionFactor[[#Headers],[Gas]], 0)</f>
        <v>46/14</v>
      </c>
      <c r="F51" s="39" cm="1">
        <f t="array" ref="F51">Common_InputFunctions.Utility_DisplayArrayInTable(Common_SourceData.Common_SourceData_ConvertGasElementalToMolecular_Data(),Table_GasToMolecularConversionFactor[[#Headers],[Gas]], 0)</f>
        <v>46</v>
      </c>
      <c r="G51" s="39" cm="1">
        <f t="array" ref="G51">Common_InputFunctions.Utility_DisplayArrayInTable(Common_SourceData.Common_SourceData_ConvertGasElementalToMolecular_Data(),Table_GasToMolecularConversionFactor[[#Headers],[Gas]], 0)</f>
        <v>14</v>
      </c>
      <c r="H51" s="39">
        <f>Table_GasToMolecularConversionFactor[[#This Row],[Conversion factor 1]]/Table_GasToMolecularConversionFactor[[#This Row],[Conversion factor 2]]</f>
        <v>3.2857142857142856</v>
      </c>
    </row>
    <row r="52" spans="4:8" ht="20.100000000000001" customHeight="1" x14ac:dyDescent="0.25">
      <c r="D52" s="39" t="str" cm="1">
        <f t="array" ref="D52">Common_InputFunctions.Utility_DisplayArrayInTable(Common_SourceData.Common_SourceData_ConvertGasElementalToMolecular_Data(),Table_GasToMolecularConversionFactor[[#Headers],[Gas]], 0)</f>
        <v>CO</v>
      </c>
      <c r="E52" s="39" t="str" cm="1">
        <f t="array" ref="E52">Common_InputFunctions.Utility_DisplayArrayInTable(Common_SourceData.Common_SourceData_ConvertGasElementalToMolecular_Data(),Table_GasToMolecularConversionFactor[[#Headers],[Gas]], 0)</f>
        <v>28/12</v>
      </c>
      <c r="F52" s="39" cm="1">
        <f t="array" ref="F52">Common_InputFunctions.Utility_DisplayArrayInTable(Common_SourceData.Common_SourceData_ConvertGasElementalToMolecular_Data(),Table_GasToMolecularConversionFactor[[#Headers],[Gas]], 0)</f>
        <v>28</v>
      </c>
      <c r="G52" s="39" cm="1">
        <f t="array" ref="G52">Common_InputFunctions.Utility_DisplayArrayInTable(Common_SourceData.Common_SourceData_ConvertGasElementalToMolecular_Data(),Table_GasToMolecularConversionFactor[[#Headers],[Gas]], 0)</f>
        <v>12</v>
      </c>
      <c r="H52" s="39">
        <f>Table_GasToMolecularConversionFactor[[#This Row],[Conversion factor 1]]/Table_GasToMolecularConversionFactor[[#This Row],[Conversion factor 2]]</f>
        <v>2.3333333333333335</v>
      </c>
    </row>
    <row r="53" spans="4:8" ht="20.100000000000001" customHeight="1" x14ac:dyDescent="0.25">
      <c r="D53" s="39" t="str" cm="1">
        <f t="array" ref="D53">Common_InputFunctions.Utility_DisplayArrayInTable(Common_SourceData.Common_SourceData_ConvertGasElementalToMolecular_Data(),Table_GasToMolecularConversionFactor[[#Headers],[Gas]], 0)</f>
        <v>CO2 Lime</v>
      </c>
      <c r="E53" s="39" t="str" cm="1">
        <f t="array" ref="E53">Common_InputFunctions.Utility_DisplayArrayInTable(Common_SourceData.Common_SourceData_ConvertGasElementalToMolecular_Data(),Table_GasToMolecularConversionFactor[[#Headers],[Gas]], 0)</f>
        <v>44/12</v>
      </c>
      <c r="F53" s="39" cm="1">
        <f t="array" ref="F53">Common_InputFunctions.Utility_DisplayArrayInTable(Common_SourceData.Common_SourceData_ConvertGasElementalToMolecular_Data(),Table_GasToMolecularConversionFactor[[#Headers],[Gas]], 0)</f>
        <v>44</v>
      </c>
      <c r="G53" s="39" cm="1">
        <f t="array" ref="G53">Common_InputFunctions.Utility_DisplayArrayInTable(Common_SourceData.Common_SourceData_ConvertGasElementalToMolecular_Data(),Table_GasToMolecularConversionFactor[[#Headers],[Gas]], 0)</f>
        <v>12</v>
      </c>
      <c r="H53" s="39">
        <f>Table_GasToMolecularConversionFactor[[#This Row],[Conversion factor 1]]/Table_GasToMolecularConversionFactor[[#This Row],[Conversion factor 2]]</f>
        <v>3.6666666666666665</v>
      </c>
    </row>
    <row r="54" spans="4:8" ht="20.100000000000001" customHeight="1" x14ac:dyDescent="0.25">
      <c r="D54" s="39" t="str" cm="1">
        <f t="array" ref="D54">Common_InputFunctions.Utility_DisplayArrayInTable(Common_SourceData.Common_SourceData_ConvertGasElementalToMolecular_Data(),Table_GasToMolecularConversionFactor[[#Headers],[Gas]], 0)</f>
        <v>NMVOC</v>
      </c>
      <c r="E54" s="39" t="str" cm="1">
        <f t="array" ref="E54">Common_InputFunctions.Utility_DisplayArrayInTable(Common_SourceData.Common_SourceData_ConvertGasElementalToMolecular_Data(),Table_GasToMolecularConversionFactor[[#Headers],[Gas]], 0)</f>
        <v>14/12</v>
      </c>
      <c r="F54" s="39" cm="1">
        <f t="array" ref="F54">Common_InputFunctions.Utility_DisplayArrayInTable(Common_SourceData.Common_SourceData_ConvertGasElementalToMolecular_Data(),Table_GasToMolecularConversionFactor[[#Headers],[Gas]], 0)</f>
        <v>14</v>
      </c>
      <c r="G54" s="39" cm="1">
        <f t="array" ref="G54">Common_InputFunctions.Utility_DisplayArrayInTable(Common_SourceData.Common_SourceData_ConvertGasElementalToMolecular_Data(),Table_GasToMolecularConversionFactor[[#Headers],[Gas]], 0)</f>
        <v>12</v>
      </c>
      <c r="H54" s="39">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6" t="str" cm="1">
        <f t="array" ref="D57">Common_SourceData.Common_SourceData_WetAndDryZones_Title()</f>
        <v>VEERG Australian wet and dry zones</v>
      </c>
    </row>
    <row r="58" spans="4:8" ht="20.100000000000001" customHeight="1" x14ac:dyDescent="0.25">
      <c r="D58" s="5" t="str" cm="1">
        <f t="array" ref="D58">Common_SourceData.Common_SourceData_WetAndDryZones_Source()</f>
        <v>VEERG 2026: Table 1.2: Translating climate zones to wet and dry zones</v>
      </c>
    </row>
    <row r="59" spans="4:8" ht="20.100000000000001" customHeight="1" x14ac:dyDescent="0.25">
      <c r="D59" s="58" t="str" cm="1">
        <f t="array" ref="D59:D61">"⚠️" &amp; Common_SourceData.Common_SourceData_WetAndDryZones_Variation()</f>
        <v>⚠️VARIATION OF SOURCE DATA:</v>
      </c>
    </row>
    <row r="60" spans="4:8" ht="20.100000000000001" customHeight="1" x14ac:dyDescent="0.25">
      <c r="D60" s="58" t="str">
        <v>⚠️Added warm / cool temperate moist / dry - low frost and high temp classes to accommodate climate scenarios excluded by VEERG criteria.</v>
      </c>
    </row>
    <row r="61" spans="4:8" ht="20.100000000000001" customHeight="1" x14ac:dyDescent="0.25">
      <c r="D61" s="58" t="str">
        <v>⚠️Fixed typo - Changed 'Fry' to 'Dry'.</v>
      </c>
    </row>
    <row r="62" spans="4:8" ht="20.100000000000001" customHeight="1" x14ac:dyDescent="0.25"/>
    <row r="63" spans="4:8" ht="20.100000000000001" customHeight="1" x14ac:dyDescent="0.25">
      <c r="D63" s="39" t="s">
        <v>9</v>
      </c>
      <c r="E63" s="39" t="s">
        <v>49</v>
      </c>
    </row>
    <row r="64" spans="4:8" ht="20.100000000000001" customHeight="1" x14ac:dyDescent="0.25">
      <c r="D64" s="39" t="str" cm="1">
        <f t="array" ref="D64">Common_InputFunctions.Utility_DisplayArrayInTable(Common_SourceData.Common_SourceData_WetAndDryZones_Data(), Table_SourceData_WetDryZones[[#Headers],[Climate zone]], 0)</f>
        <v>Tropical montane</v>
      </c>
      <c r="E64" s="39"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39" t="str" cm="1">
        <f t="array" ref="D65">Common_InputFunctions.Utility_DisplayArrayInTable(Common_SourceData.Common_SourceData_WetAndDryZones_Data(), Table_SourceData_WetDryZones[[#Headers],[Climate zone]], 0)</f>
        <v>Tropical wet</v>
      </c>
      <c r="E65" s="39"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39" t="str" cm="1">
        <f t="array" ref="D66">Common_InputFunctions.Utility_DisplayArrayInTable(Common_SourceData.Common_SourceData_WetAndDryZones_Data(), Table_SourceData_WetDryZones[[#Headers],[Climate zone]], 0)</f>
        <v>Tropical moist</v>
      </c>
      <c r="E66" s="39"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39" t="str" cm="1">
        <f t="array" ref="D67">Common_InputFunctions.Utility_DisplayArrayInTable(Common_SourceData.Common_SourceData_WetAndDryZones_Data(), Table_SourceData_WetDryZones[[#Headers],[Climate zone]], 0)</f>
        <v>Tropical dry</v>
      </c>
      <c r="E67" s="39"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39" t="str" cm="1">
        <f t="array" ref="D68">Common_InputFunctions.Utility_DisplayArrayInTable(Common_SourceData.Common_SourceData_WetAndDryZones_Data(), Table_SourceData_WetDryZones[[#Headers],[Climate zone]], 0)</f>
        <v>Warm temperate moist</v>
      </c>
      <c r="E68" s="39"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39" t="str" cm="1">
        <f t="array" ref="D69">Common_InputFunctions.Utility_DisplayArrayInTable(Common_SourceData.Common_SourceData_WetAndDryZones_Data(), Table_SourceData_WetDryZones[[#Headers],[Climate zone]], 0)</f>
        <v>Warm temperate dry</v>
      </c>
      <c r="E69" s="39"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39" t="str" cm="1">
        <f t="array" ref="D70">Common_InputFunctions.Utility_DisplayArrayInTable(Common_SourceData.Common_SourceData_WetAndDryZones_Data(), Table_SourceData_WetDryZones[[#Headers],[Climate zone]], 0)</f>
        <v>Cool temperate moist</v>
      </c>
      <c r="E70" s="39"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39" t="str" cm="1">
        <f t="array" ref="D71">Common_InputFunctions.Utility_DisplayArrayInTable(Common_SourceData.Common_SourceData_WetAndDryZones_Data(), Table_SourceData_WetDryZones[[#Headers],[Climate zone]], 0)</f>
        <v>Cool temperate dry</v>
      </c>
      <c r="E71" s="39"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39" t="str" cm="1">
        <f t="array" ref="D72">Common_InputFunctions.Utility_DisplayArrayInTable(Common_SourceData.Common_SourceData_WetAndDryZones_Data(), Table_SourceData_WetDryZones[[#Headers],[Climate zone]], 0)</f>
        <v>Warm temperate moist - low frost</v>
      </c>
      <c r="E72" s="39"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39" t="str" cm="1">
        <f t="array" ref="D73">Common_InputFunctions.Utility_DisplayArrayInTable(Common_SourceData.Common_SourceData_WetAndDryZones_Data(), Table_SourceData_WetDryZones[[#Headers],[Climate zone]], 0)</f>
        <v>Warm temperate dry - low frost</v>
      </c>
      <c r="E73" s="39"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39" t="str" cm="1">
        <f t="array" ref="D74">Common_InputFunctions.Utility_DisplayArrayInTable(Common_SourceData.Common_SourceData_WetAndDryZones_Data(), Table_SourceData_WetDryZones[[#Headers],[Climate zone]], 0)</f>
        <v>Warm temperate moist - high temp</v>
      </c>
      <c r="E74" s="39"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39" t="str" cm="1">
        <f t="array" ref="D75">Common_InputFunctions.Utility_DisplayArrayInTable(Common_SourceData.Common_SourceData_WetAndDryZones_Data(), Table_SourceData_WetDryZones[[#Headers],[Climate zone]], 0)</f>
        <v>Warm temperate dry - high temp</v>
      </c>
      <c r="E75" s="39"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39" t="str" cm="1">
        <f t="array" ref="D76">Common_InputFunctions.Utility_DisplayArrayInTable(Common_SourceData.Common_SourceData_WetAndDryZones_Data(), Table_SourceData_WetDryZones[[#Headers],[Climate zone]], 0)</f>
        <v>Cool temperate moist - low frost</v>
      </c>
      <c r="E76" s="39"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39" t="str" cm="1">
        <f t="array" ref="D77">Common_InputFunctions.Utility_DisplayArrayInTable(Common_SourceData.Common_SourceData_WetAndDryZones_Data(), Table_SourceData_WetDryZones[[#Headers],[Climate zone]], 0)</f>
        <v>Cool temperate dry - low frost</v>
      </c>
      <c r="E77" s="39"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6" t="str" cm="1">
        <f t="array" ref="D81">Common_SourceData.Common_SourceData_ClimateZones_Title()</f>
        <v>VEERG Australian climate zones</v>
      </c>
    </row>
    <row r="82" spans="4:20" ht="20.100000000000001" customHeight="1" x14ac:dyDescent="0.25">
      <c r="D82" s="5" t="str" cm="1">
        <f t="array" ref="D82">Common_SourceData.Common_SourceData_ClimateZones_Source()</f>
        <v>VEERG 2026: Table 1.3: Climate and Rainfall zone classifications and definitions</v>
      </c>
    </row>
    <row r="83" spans="4:20" ht="20.100000000000001" customHeight="1" x14ac:dyDescent="0.25">
      <c r="D83" s="58" t="str" cm="1">
        <f t="array" ref="D83:D87">"⚠️" &amp; Common_SourceData.Common_SourceData_ClimateZones_Variation()</f>
        <v>⚠️VARIATION OF SOURCE DATA:</v>
      </c>
    </row>
    <row r="84" spans="4:20" ht="20.100000000000001" customHeight="1" x14ac:dyDescent="0.25">
      <c r="D84" s="58" t="str">
        <v>⚠️Added warm / cool temperate moist / dry - low frost and high temp classes to accommodate climate scenarios excluded by VEERG criteria.</v>
      </c>
    </row>
    <row r="85" spans="4:20" ht="20.100000000000001" customHeight="1" x14ac:dyDescent="0.25">
      <c r="D85" s="58" t="str">
        <v>⚠️Fixed typo in MAT value for warm temperate dry - changed 10 to 11.</v>
      </c>
    </row>
    <row r="86" spans="4:20" ht="20.100000000000001" customHeight="1" x14ac:dyDescent="0.25">
      <c r="D86" s="58" t="str">
        <v>⚠️Added min and max columns for MAT, MAP, frost days per year, elevation, MAP:PET to calculate zones from real climate data.</v>
      </c>
    </row>
    <row r="87" spans="4:20" ht="20.100000000000001" customHeight="1" x14ac:dyDescent="0.25">
      <c r="D87" s="58" t="str">
        <v>⚠️GAF accepts rainfall as a proxy for precipitation.</v>
      </c>
    </row>
    <row r="88" spans="4:20" ht="20.100000000000001" customHeight="1" x14ac:dyDescent="0.25"/>
    <row r="89" spans="4:20" ht="20.100000000000001" customHeight="1" x14ac:dyDescent="0.25">
      <c r="D89" s="39" t="s">
        <v>9</v>
      </c>
      <c r="E89" s="39" t="s">
        <v>37</v>
      </c>
      <c r="F89" s="39" t="s">
        <v>38</v>
      </c>
      <c r="G89" s="39" t="s">
        <v>39</v>
      </c>
      <c r="H89" s="39" t="s">
        <v>40</v>
      </c>
      <c r="I89" s="39" t="s">
        <v>41</v>
      </c>
      <c r="J89" s="39" t="s">
        <v>42</v>
      </c>
      <c r="K89" s="39" t="s">
        <v>43</v>
      </c>
      <c r="L89" s="39" t="s">
        <v>44</v>
      </c>
      <c r="M89" s="39" t="s">
        <v>45</v>
      </c>
      <c r="N89" s="39" t="s">
        <v>46</v>
      </c>
      <c r="O89" s="39" t="s">
        <v>50</v>
      </c>
      <c r="P89" s="39" t="s">
        <v>47</v>
      </c>
      <c r="Q89" s="39" t="s">
        <v>51</v>
      </c>
      <c r="R89" s="39" t="s">
        <v>48</v>
      </c>
      <c r="S89" s="39" t="s">
        <v>52</v>
      </c>
      <c r="T89" s="39"/>
    </row>
    <row r="90" spans="4:20" ht="20.100000000000001" customHeight="1" x14ac:dyDescent="0.25">
      <c r="D90" s="39" t="str" cm="1">
        <f t="array" ref="D90">Common_InputFunctions.Utility_DisplayArrayInTable(Common_SourceData.Common_SourceData_ClimateZones_Data(), Table_SourceData_ClimateZones[[#Headers],[Climate zone]], 0)</f>
        <v>Tropical montane</v>
      </c>
      <c r="E90" s="39" t="str" cm="1">
        <f t="array" ref="E90">Common_InputFunctions.Utility_DisplayArrayInTable(Common_SourceData.Common_SourceData_ClimateZones_Data(), Table_SourceData_ClimateZones[[#Headers],[Climate zone]], 0)</f>
        <v>&gt; 18 C</v>
      </c>
      <c r="F90" s="39" t="str" cm="1">
        <f t="array" ref="F90">Common_InputFunctions.Utility_DisplayArrayInTable(Common_SourceData.Common_SourceData_ClimateZones_Data(), Table_SourceData_ClimateZones[[#Headers],[Climate zone]], 0)</f>
        <v>Any</v>
      </c>
      <c r="G90" s="39" t="str" cm="1">
        <f t="array" ref="G90">Common_InputFunctions.Utility_DisplayArrayInTable(Common_SourceData.Common_SourceData_ClimateZones_Data(), Table_SourceData_ClimateZones[[#Headers],[Climate zone]], 0)</f>
        <v>≤ 7</v>
      </c>
      <c r="H90" s="39" t="str" cm="1">
        <f t="array" ref="H90">Common_InputFunctions.Utility_DisplayArrayInTable(Common_SourceData.Common_SourceData_ClimateZones_Data(), Table_SourceData_ClimateZones[[#Headers],[Climate zone]], 0)</f>
        <v>&gt; 1000 m</v>
      </c>
      <c r="I90" s="39" t="str" cm="1">
        <f t="array" ref="I90">Common_InputFunctions.Utility_DisplayArrayInTable(Common_SourceData.Common_SourceData_ClimateZones_Data(), Table_SourceData_ClimateZones[[#Headers],[Climate zone]], 0)</f>
        <v>Any</v>
      </c>
      <c r="J90" s="39" cm="1">
        <f t="array" ref="J90">Common_InputFunctions.Utility_DisplayArrayInTable(Common_SourceData.Common_SourceData_ClimateZones_Data(), Table_SourceData_ClimateZones[[#Headers],[Climate zone]], 0)</f>
        <v>18.001000000000001</v>
      </c>
      <c r="K90" s="39" cm="1">
        <f t="array" ref="K90">Common_InputFunctions.Utility_DisplayArrayInTable(Common_SourceData.Common_SourceData_ClimateZones_Data(), Table_SourceData_ClimateZones[[#Headers],[Climate zone]], 0)</f>
        <v>999999</v>
      </c>
      <c r="L90" s="39" cm="1">
        <f t="array" ref="L90">Common_InputFunctions.Utility_DisplayArrayInTable(Common_SourceData.Common_SourceData_ClimateZones_Data(), Table_SourceData_ClimateZones[[#Headers],[Climate zone]], 0)</f>
        <v>-999999</v>
      </c>
      <c r="M90" s="39" cm="1">
        <f t="array" ref="M90">Common_InputFunctions.Utility_DisplayArrayInTable(Common_SourceData.Common_SourceData_ClimateZones_Data(), Table_SourceData_ClimateZones[[#Headers],[Climate zone]], 0)</f>
        <v>999999</v>
      </c>
      <c r="N90" s="39" cm="1">
        <f t="array" ref="N90">Common_InputFunctions.Utility_DisplayArrayInTable(Common_SourceData.Common_SourceData_ClimateZones_Data(), Table_SourceData_ClimateZones[[#Headers],[Climate zone]], 0)</f>
        <v>-999999</v>
      </c>
      <c r="O90" s="39" cm="1">
        <f t="array" ref="O90">Common_InputFunctions.Utility_DisplayArrayInTable(Common_SourceData.Common_SourceData_ClimateZones_Data(), Table_SourceData_ClimateZones[[#Headers],[Climate zone]], 0)</f>
        <v>7</v>
      </c>
      <c r="P90" s="39" cm="1">
        <f t="array" ref="P90">Common_InputFunctions.Utility_DisplayArrayInTable(Common_SourceData.Common_SourceData_ClimateZones_Data(), Table_SourceData_ClimateZones[[#Headers],[Climate zone]], 0)</f>
        <v>1000</v>
      </c>
      <c r="Q90" s="39" cm="1">
        <f t="array" ref="Q90">Common_InputFunctions.Utility_DisplayArrayInTable(Common_SourceData.Common_SourceData_ClimateZones_Data(), Table_SourceData_ClimateZones[[#Headers],[Climate zone]], 0)</f>
        <v>999999</v>
      </c>
      <c r="R90" s="39" cm="1">
        <f t="array" ref="R90">Common_InputFunctions.Utility_DisplayArrayInTable(Common_SourceData.Common_SourceData_ClimateZones_Data(), Table_SourceData_ClimateZones[[#Headers],[Climate zone]], 0)</f>
        <v>-999999</v>
      </c>
      <c r="S90" s="39" cm="1">
        <f t="array" ref="S90">Common_InputFunctions.Utility_DisplayArrayInTable(Common_SourceData.Common_SourceData_ClimateZones_Data(), Table_SourceData_ClimateZones[[#Headers],[Climate zone]], 0)</f>
        <v>999999</v>
      </c>
      <c r="T90" s="39"/>
    </row>
    <row r="91" spans="4:20" ht="20.100000000000001" customHeight="1" x14ac:dyDescent="0.25">
      <c r="D91" s="39" t="str" cm="1">
        <f t="array" ref="D91">Common_InputFunctions.Utility_DisplayArrayInTable(Common_SourceData.Common_SourceData_ClimateZones_Data(), Table_SourceData_ClimateZones[[#Headers],[Climate zone]], 0)</f>
        <v>Tropical wet</v>
      </c>
      <c r="E91" s="39" t="str" cm="1">
        <f t="array" ref="E91">Common_InputFunctions.Utility_DisplayArrayInTable(Common_SourceData.Common_SourceData_ClimateZones_Data(), Table_SourceData_ClimateZones[[#Headers],[Climate zone]], 0)</f>
        <v>&gt; 18 C</v>
      </c>
      <c r="F91" s="39" t="str" cm="1">
        <f t="array" ref="F91">Common_InputFunctions.Utility_DisplayArrayInTable(Common_SourceData.Common_SourceData_ClimateZones_Data(), Table_SourceData_ClimateZones[[#Headers],[Climate zone]], 0)</f>
        <v>&gt; 2000 mm</v>
      </c>
      <c r="G91" s="39" t="str" cm="1">
        <f t="array" ref="G91">Common_InputFunctions.Utility_DisplayArrayInTable(Common_SourceData.Common_SourceData_ClimateZones_Data(), Table_SourceData_ClimateZones[[#Headers],[Climate zone]], 0)</f>
        <v>≤ 7</v>
      </c>
      <c r="H91" s="39" t="str" cm="1">
        <f t="array" ref="H91">Common_InputFunctions.Utility_DisplayArrayInTable(Common_SourceData.Common_SourceData_ClimateZones_Data(), Table_SourceData_ClimateZones[[#Headers],[Climate zone]], 0)</f>
        <v>≤ 1000 m</v>
      </c>
      <c r="I91" s="39" t="str" cm="1">
        <f t="array" ref="I91">Common_InputFunctions.Utility_DisplayArrayInTable(Common_SourceData.Common_SourceData_ClimateZones_Data(), Table_SourceData_ClimateZones[[#Headers],[Climate zone]], 0)</f>
        <v>Any</v>
      </c>
      <c r="J91" s="39" cm="1">
        <f t="array" ref="J91">Common_InputFunctions.Utility_DisplayArrayInTable(Common_SourceData.Common_SourceData_ClimateZones_Data(), Table_SourceData_ClimateZones[[#Headers],[Climate zone]], 0)</f>
        <v>18.001000000000001</v>
      </c>
      <c r="K91" s="39" cm="1">
        <f t="array" ref="K91">Common_InputFunctions.Utility_DisplayArrayInTable(Common_SourceData.Common_SourceData_ClimateZones_Data(), Table_SourceData_ClimateZones[[#Headers],[Climate zone]], 0)</f>
        <v>999999</v>
      </c>
      <c r="L91" s="39" cm="1">
        <f t="array" ref="L91">Common_InputFunctions.Utility_DisplayArrayInTable(Common_SourceData.Common_SourceData_ClimateZones_Data(), Table_SourceData_ClimateZones[[#Headers],[Climate zone]], 0)</f>
        <v>2000.001</v>
      </c>
      <c r="M91" s="39" cm="1">
        <f t="array" ref="M91">Common_InputFunctions.Utility_DisplayArrayInTable(Common_SourceData.Common_SourceData_ClimateZones_Data(), Table_SourceData_ClimateZones[[#Headers],[Climate zone]], 0)</f>
        <v>999999</v>
      </c>
      <c r="N91" s="39" cm="1">
        <f t="array" ref="N91">Common_InputFunctions.Utility_DisplayArrayInTable(Common_SourceData.Common_SourceData_ClimateZones_Data(), Table_SourceData_ClimateZones[[#Headers],[Climate zone]], 0)</f>
        <v>-999999</v>
      </c>
      <c r="O91" s="39" cm="1">
        <f t="array" ref="O91">Common_InputFunctions.Utility_DisplayArrayInTable(Common_SourceData.Common_SourceData_ClimateZones_Data(), Table_SourceData_ClimateZones[[#Headers],[Climate zone]], 0)</f>
        <v>7</v>
      </c>
      <c r="P91" s="39" cm="1">
        <f t="array" ref="P91">Common_InputFunctions.Utility_DisplayArrayInTable(Common_SourceData.Common_SourceData_ClimateZones_Data(), Table_SourceData_ClimateZones[[#Headers],[Climate zone]], 0)</f>
        <v>-999999</v>
      </c>
      <c r="Q91" s="39" cm="1">
        <f t="array" ref="Q91">Common_InputFunctions.Utility_DisplayArrayInTable(Common_SourceData.Common_SourceData_ClimateZones_Data(), Table_SourceData_ClimateZones[[#Headers],[Climate zone]], 0)</f>
        <v>999.99900000000002</v>
      </c>
      <c r="R91" s="39" cm="1">
        <f t="array" ref="R91">Common_InputFunctions.Utility_DisplayArrayInTable(Common_SourceData.Common_SourceData_ClimateZones_Data(), Table_SourceData_ClimateZones[[#Headers],[Climate zone]], 0)</f>
        <v>-999999</v>
      </c>
      <c r="S91" s="39" cm="1">
        <f t="array" ref="S91">Common_InputFunctions.Utility_DisplayArrayInTable(Common_SourceData.Common_SourceData_ClimateZones_Data(), Table_SourceData_ClimateZones[[#Headers],[Climate zone]], 0)</f>
        <v>999999</v>
      </c>
      <c r="T91" s="39"/>
    </row>
    <row r="92" spans="4:20" ht="20.100000000000001" customHeight="1" x14ac:dyDescent="0.25">
      <c r="D92" s="39" t="str" cm="1">
        <f t="array" ref="D92">Common_InputFunctions.Utility_DisplayArrayInTable(Common_SourceData.Common_SourceData_ClimateZones_Data(), Table_SourceData_ClimateZones[[#Headers],[Climate zone]], 0)</f>
        <v>Tropical moist</v>
      </c>
      <c r="E92" s="39" t="str" cm="1">
        <f t="array" ref="E92">Common_InputFunctions.Utility_DisplayArrayInTable(Common_SourceData.Common_SourceData_ClimateZones_Data(), Table_SourceData_ClimateZones[[#Headers],[Climate zone]], 0)</f>
        <v>&gt; 18 C</v>
      </c>
      <c r="F92" s="39" t="str" cm="1">
        <f t="array" ref="F92">Common_InputFunctions.Utility_DisplayArrayInTable(Common_SourceData.Common_SourceData_ClimateZones_Data(), Table_SourceData_ClimateZones[[#Headers],[Climate zone]], 0)</f>
        <v>&gt; 1000 mm - ≤ 2000 mm</v>
      </c>
      <c r="G92" s="39" t="str" cm="1">
        <f t="array" ref="G92">Common_InputFunctions.Utility_DisplayArrayInTable(Common_SourceData.Common_SourceData_ClimateZones_Data(), Table_SourceData_ClimateZones[[#Headers],[Climate zone]], 0)</f>
        <v>≤ 7</v>
      </c>
      <c r="H92" s="39" t="str" cm="1">
        <f t="array" ref="H92">Common_InputFunctions.Utility_DisplayArrayInTable(Common_SourceData.Common_SourceData_ClimateZones_Data(), Table_SourceData_ClimateZones[[#Headers],[Climate zone]], 0)</f>
        <v>≤ 1000 m</v>
      </c>
      <c r="I92" s="39" t="str" cm="1">
        <f t="array" ref="I92">Common_InputFunctions.Utility_DisplayArrayInTable(Common_SourceData.Common_SourceData_ClimateZones_Data(), Table_SourceData_ClimateZones[[#Headers],[Climate zone]], 0)</f>
        <v>Any</v>
      </c>
      <c r="J92" s="39" cm="1">
        <f t="array" ref="J92">Common_InputFunctions.Utility_DisplayArrayInTable(Common_SourceData.Common_SourceData_ClimateZones_Data(), Table_SourceData_ClimateZones[[#Headers],[Climate zone]], 0)</f>
        <v>18.001000000000001</v>
      </c>
      <c r="K92" s="39" cm="1">
        <f t="array" ref="K92">Common_InputFunctions.Utility_DisplayArrayInTable(Common_SourceData.Common_SourceData_ClimateZones_Data(), Table_SourceData_ClimateZones[[#Headers],[Climate zone]], 0)</f>
        <v>999999</v>
      </c>
      <c r="L92" s="39" cm="1">
        <f t="array" ref="L92">Common_InputFunctions.Utility_DisplayArrayInTable(Common_SourceData.Common_SourceData_ClimateZones_Data(), Table_SourceData_ClimateZones[[#Headers],[Climate zone]], 0)</f>
        <v>1000.001</v>
      </c>
      <c r="M92" s="39" cm="1">
        <f t="array" ref="M92">Common_InputFunctions.Utility_DisplayArrayInTable(Common_SourceData.Common_SourceData_ClimateZones_Data(), Table_SourceData_ClimateZones[[#Headers],[Climate zone]], 0)</f>
        <v>2000</v>
      </c>
      <c r="N92" s="39" cm="1">
        <f t="array" ref="N92">Common_InputFunctions.Utility_DisplayArrayInTable(Common_SourceData.Common_SourceData_ClimateZones_Data(), Table_SourceData_ClimateZones[[#Headers],[Climate zone]], 0)</f>
        <v>-999999</v>
      </c>
      <c r="O92" s="39" cm="1">
        <f t="array" ref="O92">Common_InputFunctions.Utility_DisplayArrayInTable(Common_SourceData.Common_SourceData_ClimateZones_Data(), Table_SourceData_ClimateZones[[#Headers],[Climate zone]], 0)</f>
        <v>7</v>
      </c>
      <c r="P92" s="39" cm="1">
        <f t="array" ref="P92">Common_InputFunctions.Utility_DisplayArrayInTable(Common_SourceData.Common_SourceData_ClimateZones_Data(), Table_SourceData_ClimateZones[[#Headers],[Climate zone]], 0)</f>
        <v>-999999</v>
      </c>
      <c r="Q92" s="39" cm="1">
        <f t="array" ref="Q92">Common_InputFunctions.Utility_DisplayArrayInTable(Common_SourceData.Common_SourceData_ClimateZones_Data(), Table_SourceData_ClimateZones[[#Headers],[Climate zone]], 0)</f>
        <v>999.99900000000002</v>
      </c>
      <c r="R92" s="39" cm="1">
        <f t="array" ref="R92">Common_InputFunctions.Utility_DisplayArrayInTable(Common_SourceData.Common_SourceData_ClimateZones_Data(), Table_SourceData_ClimateZones[[#Headers],[Climate zone]], 0)</f>
        <v>-999999</v>
      </c>
      <c r="S92" s="39" cm="1">
        <f t="array" ref="S92">Common_InputFunctions.Utility_DisplayArrayInTable(Common_SourceData.Common_SourceData_ClimateZones_Data(), Table_SourceData_ClimateZones[[#Headers],[Climate zone]], 0)</f>
        <v>999999</v>
      </c>
      <c r="T92" s="39"/>
    </row>
    <row r="93" spans="4:20" ht="20.100000000000001" customHeight="1" x14ac:dyDescent="0.25">
      <c r="D93" s="39" t="str" cm="1">
        <f t="array" ref="D93">Common_InputFunctions.Utility_DisplayArrayInTable(Common_SourceData.Common_SourceData_ClimateZones_Data(), Table_SourceData_ClimateZones[[#Headers],[Climate zone]], 0)</f>
        <v>Tropical dry</v>
      </c>
      <c r="E93" s="39" t="str" cm="1">
        <f t="array" ref="E93">Common_InputFunctions.Utility_DisplayArrayInTable(Common_SourceData.Common_SourceData_ClimateZones_Data(), Table_SourceData_ClimateZones[[#Headers],[Climate zone]], 0)</f>
        <v>&gt; 18 C</v>
      </c>
      <c r="F93" s="39" t="str" cm="1">
        <f t="array" ref="F93">Common_InputFunctions.Utility_DisplayArrayInTable(Common_SourceData.Common_SourceData_ClimateZones_Data(), Table_SourceData_ClimateZones[[#Headers],[Climate zone]], 0)</f>
        <v>≤ 1000 mm</v>
      </c>
      <c r="G93" s="39" t="str" cm="1">
        <f t="array" ref="G93">Common_InputFunctions.Utility_DisplayArrayInTable(Common_SourceData.Common_SourceData_ClimateZones_Data(), Table_SourceData_ClimateZones[[#Headers],[Climate zone]], 0)</f>
        <v>≤ 7</v>
      </c>
      <c r="H93" s="39" t="str" cm="1">
        <f t="array" ref="H93">Common_InputFunctions.Utility_DisplayArrayInTable(Common_SourceData.Common_SourceData_ClimateZones_Data(), Table_SourceData_ClimateZones[[#Headers],[Climate zone]], 0)</f>
        <v>≤ 1000 m</v>
      </c>
      <c r="I93" s="39" t="str" cm="1">
        <f t="array" ref="I93">Common_InputFunctions.Utility_DisplayArrayInTable(Common_SourceData.Common_SourceData_ClimateZones_Data(), Table_SourceData_ClimateZones[[#Headers],[Climate zone]], 0)</f>
        <v>Any</v>
      </c>
      <c r="J93" s="39" cm="1">
        <f t="array" ref="J93">Common_InputFunctions.Utility_DisplayArrayInTable(Common_SourceData.Common_SourceData_ClimateZones_Data(), Table_SourceData_ClimateZones[[#Headers],[Climate zone]], 0)</f>
        <v>18.001000000000001</v>
      </c>
      <c r="K93" s="39" cm="1">
        <f t="array" ref="K93">Common_InputFunctions.Utility_DisplayArrayInTable(Common_SourceData.Common_SourceData_ClimateZones_Data(), Table_SourceData_ClimateZones[[#Headers],[Climate zone]], 0)</f>
        <v>999999</v>
      </c>
      <c r="L93" s="39" cm="1">
        <f t="array" ref="L93">Common_InputFunctions.Utility_DisplayArrayInTable(Common_SourceData.Common_SourceData_ClimateZones_Data(), Table_SourceData_ClimateZones[[#Headers],[Climate zone]], 0)</f>
        <v>-999999</v>
      </c>
      <c r="M93" s="39" cm="1">
        <f t="array" ref="M93">Common_InputFunctions.Utility_DisplayArrayInTable(Common_SourceData.Common_SourceData_ClimateZones_Data(), Table_SourceData_ClimateZones[[#Headers],[Climate zone]], 0)</f>
        <v>1000</v>
      </c>
      <c r="N93" s="39" cm="1">
        <f t="array" ref="N93">Common_InputFunctions.Utility_DisplayArrayInTable(Common_SourceData.Common_SourceData_ClimateZones_Data(), Table_SourceData_ClimateZones[[#Headers],[Climate zone]], 0)</f>
        <v>-999999</v>
      </c>
      <c r="O93" s="39" cm="1">
        <f t="array" ref="O93">Common_InputFunctions.Utility_DisplayArrayInTable(Common_SourceData.Common_SourceData_ClimateZones_Data(), Table_SourceData_ClimateZones[[#Headers],[Climate zone]], 0)</f>
        <v>7</v>
      </c>
      <c r="P93" s="39" cm="1">
        <f t="array" ref="P93">Common_InputFunctions.Utility_DisplayArrayInTable(Common_SourceData.Common_SourceData_ClimateZones_Data(), Table_SourceData_ClimateZones[[#Headers],[Climate zone]], 0)</f>
        <v>-999999</v>
      </c>
      <c r="Q93" s="39" cm="1">
        <f t="array" ref="Q93">Common_InputFunctions.Utility_DisplayArrayInTable(Common_SourceData.Common_SourceData_ClimateZones_Data(), Table_SourceData_ClimateZones[[#Headers],[Climate zone]], 0)</f>
        <v>999.99900000000002</v>
      </c>
      <c r="R93" s="39" cm="1">
        <f t="array" ref="R93">Common_InputFunctions.Utility_DisplayArrayInTable(Common_SourceData.Common_SourceData_ClimateZones_Data(), Table_SourceData_ClimateZones[[#Headers],[Climate zone]], 0)</f>
        <v>-999999</v>
      </c>
      <c r="S93" s="39" cm="1">
        <f t="array" ref="S93">Common_InputFunctions.Utility_DisplayArrayInTable(Common_SourceData.Common_SourceData_ClimateZones_Data(), Table_SourceData_ClimateZones[[#Headers],[Climate zone]], 0)</f>
        <v>999999</v>
      </c>
      <c r="T93" s="39"/>
    </row>
    <row r="94" spans="4:20" ht="20.100000000000001" customHeight="1" x14ac:dyDescent="0.25">
      <c r="D94" s="39" t="str" cm="1">
        <f t="array" ref="D94">Common_InputFunctions.Utility_DisplayArrayInTable(Common_SourceData.Common_SourceData_ClimateZones_Data(), Table_SourceData_ClimateZones[[#Headers],[Climate zone]], 0)</f>
        <v>Warm temperate moist</v>
      </c>
      <c r="E94" s="39" t="str" cm="1">
        <f t="array" ref="E94">Common_InputFunctions.Utility_DisplayArrayInTable(Common_SourceData.Common_SourceData_ClimateZones_Data(), Table_SourceData_ClimateZones[[#Headers],[Climate zone]], 0)</f>
        <v>&gt; 10 C</v>
      </c>
      <c r="F94" s="39" t="str" cm="1">
        <f t="array" ref="F94">Common_InputFunctions.Utility_DisplayArrayInTable(Common_SourceData.Common_SourceData_ClimateZones_Data(), Table_SourceData_ClimateZones[[#Headers],[Climate zone]], 0)</f>
        <v>Any</v>
      </c>
      <c r="G94" s="39" t="str" cm="1">
        <f t="array" ref="G94">Common_InputFunctions.Utility_DisplayArrayInTable(Common_SourceData.Common_SourceData_ClimateZones_Data(), Table_SourceData_ClimateZones[[#Headers],[Climate zone]], 0)</f>
        <v>Any</v>
      </c>
      <c r="H94" s="39" t="str" cm="1">
        <f t="array" ref="H94">Common_InputFunctions.Utility_DisplayArrayInTable(Common_SourceData.Common_SourceData_ClimateZones_Data(), Table_SourceData_ClimateZones[[#Headers],[Climate zone]], 0)</f>
        <v>Any</v>
      </c>
      <c r="I94" s="39" t="str" cm="1">
        <f t="array" ref="I94">Common_InputFunctions.Utility_DisplayArrayInTable(Common_SourceData.Common_SourceData_ClimateZones_Data(), Table_SourceData_ClimateZones[[#Headers],[Climate zone]], 0)</f>
        <v>&gt; 1</v>
      </c>
      <c r="J94" s="39" cm="1">
        <f t="array" ref="J94">Common_InputFunctions.Utility_DisplayArrayInTable(Common_SourceData.Common_SourceData_ClimateZones_Data(), Table_SourceData_ClimateZones[[#Headers],[Climate zone]], 0)</f>
        <v>10.000999999999999</v>
      </c>
      <c r="K94" s="39" cm="1">
        <f t="array" ref="K94">Common_InputFunctions.Utility_DisplayArrayInTable(Common_SourceData.Common_SourceData_ClimateZones_Data(), Table_SourceData_ClimateZones[[#Headers],[Climate zone]], 0)</f>
        <v>999999</v>
      </c>
      <c r="L94" s="39" cm="1">
        <f t="array" ref="L94">Common_InputFunctions.Utility_DisplayArrayInTable(Common_SourceData.Common_SourceData_ClimateZones_Data(), Table_SourceData_ClimateZones[[#Headers],[Climate zone]], 0)</f>
        <v>-999999</v>
      </c>
      <c r="M94" s="39" cm="1">
        <f t="array" ref="M94">Common_InputFunctions.Utility_DisplayArrayInTable(Common_SourceData.Common_SourceData_ClimateZones_Data(), Table_SourceData_ClimateZones[[#Headers],[Climate zone]], 0)</f>
        <v>999999</v>
      </c>
      <c r="N94" s="39" cm="1">
        <f t="array" ref="N94">Common_InputFunctions.Utility_DisplayArrayInTable(Common_SourceData.Common_SourceData_ClimateZones_Data(), Table_SourceData_ClimateZones[[#Headers],[Climate zone]], 0)</f>
        <v>-999999</v>
      </c>
      <c r="O94" s="39" cm="1">
        <f t="array" ref="O94">Common_InputFunctions.Utility_DisplayArrayInTable(Common_SourceData.Common_SourceData_ClimateZones_Data(), Table_SourceData_ClimateZones[[#Headers],[Climate zone]], 0)</f>
        <v>999999</v>
      </c>
      <c r="P94" s="39" cm="1">
        <f t="array" ref="P94">Common_InputFunctions.Utility_DisplayArrayInTable(Common_SourceData.Common_SourceData_ClimateZones_Data(), Table_SourceData_ClimateZones[[#Headers],[Climate zone]], 0)</f>
        <v>-999999</v>
      </c>
      <c r="Q94" s="39" cm="1">
        <f t="array" ref="Q94">Common_InputFunctions.Utility_DisplayArrayInTable(Common_SourceData.Common_SourceData_ClimateZones_Data(), Table_SourceData_ClimateZones[[#Headers],[Climate zone]], 0)</f>
        <v>999999</v>
      </c>
      <c r="R94" s="39" cm="1">
        <f t="array" ref="R94">Common_InputFunctions.Utility_DisplayArrayInTable(Common_SourceData.Common_SourceData_ClimateZones_Data(), Table_SourceData_ClimateZones[[#Headers],[Climate zone]], 0)</f>
        <v>1.0009999999999999</v>
      </c>
      <c r="S94" s="39" cm="1">
        <f t="array" ref="S94">Common_InputFunctions.Utility_DisplayArrayInTable(Common_SourceData.Common_SourceData_ClimateZones_Data(), Table_SourceData_ClimateZones[[#Headers],[Climate zone]], 0)</f>
        <v>999999</v>
      </c>
      <c r="T94" s="39"/>
    </row>
    <row r="95" spans="4:20" ht="20.100000000000001" customHeight="1" x14ac:dyDescent="0.25">
      <c r="D95" s="39" t="str" cm="1">
        <f t="array" ref="D95">Common_InputFunctions.Utility_DisplayArrayInTable(Common_SourceData.Common_SourceData_ClimateZones_Data(), Table_SourceData_ClimateZones[[#Headers],[Climate zone]], 0)</f>
        <v>Warm temperate dry</v>
      </c>
      <c r="E95" s="39" t="str" cm="1">
        <f t="array" ref="E95">Common_InputFunctions.Utility_DisplayArrayInTable(Common_SourceData.Common_SourceData_ClimateZones_Data(), Table_SourceData_ClimateZones[[#Headers],[Climate zone]], 0)</f>
        <v>&gt; 10 C</v>
      </c>
      <c r="F95" s="39" t="str" cm="1">
        <f t="array" ref="F95">Common_InputFunctions.Utility_DisplayArrayInTable(Common_SourceData.Common_SourceData_ClimateZones_Data(), Table_SourceData_ClimateZones[[#Headers],[Climate zone]], 0)</f>
        <v>Any</v>
      </c>
      <c r="G95" s="39" t="str" cm="1">
        <f t="array" ref="G95">Common_InputFunctions.Utility_DisplayArrayInTable(Common_SourceData.Common_SourceData_ClimateZones_Data(), Table_SourceData_ClimateZones[[#Headers],[Climate zone]], 0)</f>
        <v>Any</v>
      </c>
      <c r="H95" s="39" t="str" cm="1">
        <f t="array" ref="H95">Common_InputFunctions.Utility_DisplayArrayInTable(Common_SourceData.Common_SourceData_ClimateZones_Data(), Table_SourceData_ClimateZones[[#Headers],[Climate zone]], 0)</f>
        <v>Any</v>
      </c>
      <c r="I95" s="39" t="str" cm="1">
        <f t="array" ref="I95">Common_InputFunctions.Utility_DisplayArrayInTable(Common_SourceData.Common_SourceData_ClimateZones_Data(), Table_SourceData_ClimateZones[[#Headers],[Climate zone]], 0)</f>
        <v>≤ 1</v>
      </c>
      <c r="J95" s="39" cm="1">
        <f t="array" ref="J95">Common_InputFunctions.Utility_DisplayArrayInTable(Common_SourceData.Common_SourceData_ClimateZones_Data(), Table_SourceData_ClimateZones[[#Headers],[Climate zone]], 0)</f>
        <v>10.000999999999999</v>
      </c>
      <c r="K95" s="39" cm="1">
        <f t="array" ref="K95">Common_InputFunctions.Utility_DisplayArrayInTable(Common_SourceData.Common_SourceData_ClimateZones_Data(), Table_SourceData_ClimateZones[[#Headers],[Climate zone]], 0)</f>
        <v>999999</v>
      </c>
      <c r="L95" s="39" cm="1">
        <f t="array" ref="L95">Common_InputFunctions.Utility_DisplayArrayInTable(Common_SourceData.Common_SourceData_ClimateZones_Data(), Table_SourceData_ClimateZones[[#Headers],[Climate zone]], 0)</f>
        <v>-999999</v>
      </c>
      <c r="M95" s="39" cm="1">
        <f t="array" ref="M95">Common_InputFunctions.Utility_DisplayArrayInTable(Common_SourceData.Common_SourceData_ClimateZones_Data(), Table_SourceData_ClimateZones[[#Headers],[Climate zone]], 0)</f>
        <v>999999</v>
      </c>
      <c r="N95" s="39" cm="1">
        <f t="array" ref="N95">Common_InputFunctions.Utility_DisplayArrayInTable(Common_SourceData.Common_SourceData_ClimateZones_Data(), Table_SourceData_ClimateZones[[#Headers],[Climate zone]], 0)</f>
        <v>-999999</v>
      </c>
      <c r="O95" s="39" cm="1">
        <f t="array" ref="O95">Common_InputFunctions.Utility_DisplayArrayInTable(Common_SourceData.Common_SourceData_ClimateZones_Data(), Table_SourceData_ClimateZones[[#Headers],[Climate zone]], 0)</f>
        <v>999999</v>
      </c>
      <c r="P95" s="39" cm="1">
        <f t="array" ref="P95">Common_InputFunctions.Utility_DisplayArrayInTable(Common_SourceData.Common_SourceData_ClimateZones_Data(), Table_SourceData_ClimateZones[[#Headers],[Climate zone]], 0)</f>
        <v>-999999</v>
      </c>
      <c r="Q95" s="39" cm="1">
        <f t="array" ref="Q95">Common_InputFunctions.Utility_DisplayArrayInTable(Common_SourceData.Common_SourceData_ClimateZones_Data(), Table_SourceData_ClimateZones[[#Headers],[Climate zone]], 0)</f>
        <v>999999</v>
      </c>
      <c r="R95" s="39" cm="1">
        <f t="array" ref="R95">Common_InputFunctions.Utility_DisplayArrayInTable(Common_SourceData.Common_SourceData_ClimateZones_Data(), Table_SourceData_ClimateZones[[#Headers],[Climate zone]], 0)</f>
        <v>-999999</v>
      </c>
      <c r="S95" s="39" cm="1">
        <f t="array" ref="S95">Common_InputFunctions.Utility_DisplayArrayInTable(Common_SourceData.Common_SourceData_ClimateZones_Data(), Table_SourceData_ClimateZones[[#Headers],[Climate zone]], 0)</f>
        <v>1</v>
      </c>
      <c r="T95" s="39"/>
    </row>
    <row r="96" spans="4:20" ht="20.100000000000001" customHeight="1" x14ac:dyDescent="0.25">
      <c r="D96" s="39" t="str" cm="1">
        <f t="array" ref="D96">Common_InputFunctions.Utility_DisplayArrayInTable(Common_SourceData.Common_SourceData_ClimateZones_Data(), Table_SourceData_ClimateZones[[#Headers],[Climate zone]], 0)</f>
        <v>Cool temperate moist</v>
      </c>
      <c r="E96" s="39" t="str" cm="1">
        <f t="array" ref="E96">Common_InputFunctions.Utility_DisplayArrayInTable(Common_SourceData.Common_SourceData_ClimateZones_Data(), Table_SourceData_ClimateZones[[#Headers],[Climate zone]], 0)</f>
        <v>&gt; 0 C - ≤ 10 C</v>
      </c>
      <c r="F96" s="39" t="str" cm="1">
        <f t="array" ref="F96">Common_InputFunctions.Utility_DisplayArrayInTable(Common_SourceData.Common_SourceData_ClimateZones_Data(), Table_SourceData_ClimateZones[[#Headers],[Climate zone]], 0)</f>
        <v>Any</v>
      </c>
      <c r="G96" s="39" t="str" cm="1">
        <f t="array" ref="G96">Common_InputFunctions.Utility_DisplayArrayInTable(Common_SourceData.Common_SourceData_ClimateZones_Data(), Table_SourceData_ClimateZones[[#Headers],[Climate zone]], 0)</f>
        <v>Any</v>
      </c>
      <c r="H96" s="39" t="str" cm="1">
        <f t="array" ref="H96">Common_InputFunctions.Utility_DisplayArrayInTable(Common_SourceData.Common_SourceData_ClimateZones_Data(), Table_SourceData_ClimateZones[[#Headers],[Climate zone]], 0)</f>
        <v>Any</v>
      </c>
      <c r="I96" s="39" t="str" cm="1">
        <f t="array" ref="I96">Common_InputFunctions.Utility_DisplayArrayInTable(Common_SourceData.Common_SourceData_ClimateZones_Data(), Table_SourceData_ClimateZones[[#Headers],[Climate zone]], 0)</f>
        <v>&gt; 1</v>
      </c>
      <c r="J96" s="39" cm="1">
        <f t="array" ref="J96">Common_InputFunctions.Utility_DisplayArrayInTable(Common_SourceData.Common_SourceData_ClimateZones_Data(), Table_SourceData_ClimateZones[[#Headers],[Climate zone]], 0)</f>
        <v>-999999</v>
      </c>
      <c r="K96" s="39" cm="1">
        <f t="array" ref="K96">Common_InputFunctions.Utility_DisplayArrayInTable(Common_SourceData.Common_SourceData_ClimateZones_Data(), Table_SourceData_ClimateZones[[#Headers],[Climate zone]], 0)</f>
        <v>10</v>
      </c>
      <c r="L96" s="39" cm="1">
        <f t="array" ref="L96">Common_InputFunctions.Utility_DisplayArrayInTable(Common_SourceData.Common_SourceData_ClimateZones_Data(), Table_SourceData_ClimateZones[[#Headers],[Climate zone]], 0)</f>
        <v>-999999</v>
      </c>
      <c r="M96" s="39" cm="1">
        <f t="array" ref="M96">Common_InputFunctions.Utility_DisplayArrayInTable(Common_SourceData.Common_SourceData_ClimateZones_Data(), Table_SourceData_ClimateZones[[#Headers],[Climate zone]], 0)</f>
        <v>999999</v>
      </c>
      <c r="N96" s="39" cm="1">
        <f t="array" ref="N96">Common_InputFunctions.Utility_DisplayArrayInTable(Common_SourceData.Common_SourceData_ClimateZones_Data(), Table_SourceData_ClimateZones[[#Headers],[Climate zone]], 0)</f>
        <v>-999999</v>
      </c>
      <c r="O96" s="39" cm="1">
        <f t="array" ref="O96">Common_InputFunctions.Utility_DisplayArrayInTable(Common_SourceData.Common_SourceData_ClimateZones_Data(), Table_SourceData_ClimateZones[[#Headers],[Climate zone]], 0)</f>
        <v>999999</v>
      </c>
      <c r="P96" s="39" cm="1">
        <f t="array" ref="P96">Common_InputFunctions.Utility_DisplayArrayInTable(Common_SourceData.Common_SourceData_ClimateZones_Data(), Table_SourceData_ClimateZones[[#Headers],[Climate zone]], 0)</f>
        <v>-999999</v>
      </c>
      <c r="Q96" s="39" cm="1">
        <f t="array" ref="Q96">Common_InputFunctions.Utility_DisplayArrayInTable(Common_SourceData.Common_SourceData_ClimateZones_Data(), Table_SourceData_ClimateZones[[#Headers],[Climate zone]], 0)</f>
        <v>999999</v>
      </c>
      <c r="R96" s="39" cm="1">
        <f t="array" ref="R96">Common_InputFunctions.Utility_DisplayArrayInTable(Common_SourceData.Common_SourceData_ClimateZones_Data(), Table_SourceData_ClimateZones[[#Headers],[Climate zone]], 0)</f>
        <v>1.0009999999999999</v>
      </c>
      <c r="S96" s="39" cm="1">
        <f t="array" ref="S96">Common_InputFunctions.Utility_DisplayArrayInTable(Common_SourceData.Common_SourceData_ClimateZones_Data(), Table_SourceData_ClimateZones[[#Headers],[Climate zone]], 0)</f>
        <v>999999</v>
      </c>
      <c r="T96" s="39"/>
    </row>
    <row r="97" spans="4:20" ht="20.100000000000001" customHeight="1" x14ac:dyDescent="0.25">
      <c r="D97" s="39" t="str" cm="1">
        <f t="array" ref="D97">Common_InputFunctions.Utility_DisplayArrayInTable(Common_SourceData.Common_SourceData_ClimateZones_Data(), Table_SourceData_ClimateZones[[#Headers],[Climate zone]], 0)</f>
        <v>Cool temperate dry</v>
      </c>
      <c r="E97" s="39" t="str" cm="1">
        <f t="array" ref="E97">Common_InputFunctions.Utility_DisplayArrayInTable(Common_SourceData.Common_SourceData_ClimateZones_Data(), Table_SourceData_ClimateZones[[#Headers],[Climate zone]], 0)</f>
        <v>&gt; 0 C - ≤ 10 C</v>
      </c>
      <c r="F97" s="39" t="str" cm="1">
        <f t="array" ref="F97">Common_InputFunctions.Utility_DisplayArrayInTable(Common_SourceData.Common_SourceData_ClimateZones_Data(), Table_SourceData_ClimateZones[[#Headers],[Climate zone]], 0)</f>
        <v>Any</v>
      </c>
      <c r="G97" s="39" t="str" cm="1">
        <f t="array" ref="G97">Common_InputFunctions.Utility_DisplayArrayInTable(Common_SourceData.Common_SourceData_ClimateZones_Data(), Table_SourceData_ClimateZones[[#Headers],[Climate zone]], 0)</f>
        <v>Any</v>
      </c>
      <c r="H97" s="39" t="str" cm="1">
        <f t="array" ref="H97">Common_InputFunctions.Utility_DisplayArrayInTable(Common_SourceData.Common_SourceData_ClimateZones_Data(), Table_SourceData_ClimateZones[[#Headers],[Climate zone]], 0)</f>
        <v>Any</v>
      </c>
      <c r="I97" s="39" t="str" cm="1">
        <f t="array" ref="I97">Common_InputFunctions.Utility_DisplayArrayInTable(Common_SourceData.Common_SourceData_ClimateZones_Data(), Table_SourceData_ClimateZones[[#Headers],[Climate zone]], 0)</f>
        <v>≤ 1</v>
      </c>
      <c r="J97" s="39" cm="1">
        <f t="array" ref="J97">Common_InputFunctions.Utility_DisplayArrayInTable(Common_SourceData.Common_SourceData_ClimateZones_Data(), Table_SourceData_ClimateZones[[#Headers],[Climate zone]], 0)</f>
        <v>-999999</v>
      </c>
      <c r="K97" s="39" cm="1">
        <f t="array" ref="K97">Common_InputFunctions.Utility_DisplayArrayInTable(Common_SourceData.Common_SourceData_ClimateZones_Data(), Table_SourceData_ClimateZones[[#Headers],[Climate zone]], 0)</f>
        <v>10</v>
      </c>
      <c r="L97" s="39" cm="1">
        <f t="array" ref="L97">Common_InputFunctions.Utility_DisplayArrayInTable(Common_SourceData.Common_SourceData_ClimateZones_Data(), Table_SourceData_ClimateZones[[#Headers],[Climate zone]], 0)</f>
        <v>-999999</v>
      </c>
      <c r="M97" s="39" cm="1">
        <f t="array" ref="M97">Common_InputFunctions.Utility_DisplayArrayInTable(Common_SourceData.Common_SourceData_ClimateZones_Data(), Table_SourceData_ClimateZones[[#Headers],[Climate zone]], 0)</f>
        <v>999999</v>
      </c>
      <c r="N97" s="39" cm="1">
        <f t="array" ref="N97">Common_InputFunctions.Utility_DisplayArrayInTable(Common_SourceData.Common_SourceData_ClimateZones_Data(), Table_SourceData_ClimateZones[[#Headers],[Climate zone]], 0)</f>
        <v>-999999</v>
      </c>
      <c r="O97" s="39" cm="1">
        <f t="array" ref="O97">Common_InputFunctions.Utility_DisplayArrayInTable(Common_SourceData.Common_SourceData_ClimateZones_Data(), Table_SourceData_ClimateZones[[#Headers],[Climate zone]], 0)</f>
        <v>999999</v>
      </c>
      <c r="P97" s="39" cm="1">
        <f t="array" ref="P97">Common_InputFunctions.Utility_DisplayArrayInTable(Common_SourceData.Common_SourceData_ClimateZones_Data(), Table_SourceData_ClimateZones[[#Headers],[Climate zone]], 0)</f>
        <v>-999999</v>
      </c>
      <c r="Q97" s="39" cm="1">
        <f t="array" ref="Q97">Common_InputFunctions.Utility_DisplayArrayInTable(Common_SourceData.Common_SourceData_ClimateZones_Data(), Table_SourceData_ClimateZones[[#Headers],[Climate zone]], 0)</f>
        <v>999999</v>
      </c>
      <c r="R97" s="39" cm="1">
        <f t="array" ref="R97">Common_InputFunctions.Utility_DisplayArrayInTable(Common_SourceData.Common_SourceData_ClimateZones_Data(), Table_SourceData_ClimateZones[[#Headers],[Climate zone]], 0)</f>
        <v>-999999</v>
      </c>
      <c r="S97" s="39" cm="1">
        <f t="array" ref="S97">Common_InputFunctions.Utility_DisplayArrayInTable(Common_SourceData.Common_SourceData_ClimateZones_Data(), Table_SourceData_ClimateZones[[#Headers],[Climate zone]], 0)</f>
        <v>1</v>
      </c>
      <c r="T97" s="39"/>
    </row>
    <row r="98" spans="4:20" ht="20.100000000000001" customHeight="1" x14ac:dyDescent="0.25"/>
    <row r="99" spans="4:20" ht="20.100000000000001" customHeight="1" x14ac:dyDescent="0.25">
      <c r="D99" s="57" t="str" cm="1">
        <f t="array" ref="D99:D102">Common_SourceData.Common_SourceData_ClimateZones_Appendices()</f>
        <v>Note:</v>
      </c>
    </row>
    <row r="100" spans="4:20" ht="20.100000000000001" customHeight="1" x14ac:dyDescent="0.25">
      <c r="D100" s="57" t="str">
        <v>MAT = mean annual temperature</v>
      </c>
    </row>
    <row r="101" spans="4:20" ht="20.100000000000001" customHeight="1" x14ac:dyDescent="0.25">
      <c r="D101" s="57" t="str">
        <v>MAP = mean annual precipitation</v>
      </c>
    </row>
    <row r="102" spans="4:20" ht="20.100000000000001" customHeight="1" x14ac:dyDescent="0.25">
      <c r="D102" s="57" t="str">
        <v>PET = potential evapotranspiration</v>
      </c>
    </row>
    <row r="103" spans="4:20" ht="20.100000000000001" customHeight="1" x14ac:dyDescent="0.25">
      <c r="D103" s="57"/>
    </row>
    <row r="104" spans="4:20" ht="20.100000000000001" customHeight="1" x14ac:dyDescent="0.25"/>
    <row r="105" spans="4:20" ht="20.100000000000001" customHeight="1" x14ac:dyDescent="0.25">
      <c r="D105" s="6" t="str" cm="1">
        <f t="array" ref="D105">Common_SourceData.Common_SourceData_TemperatureZones_Title()</f>
        <v>VEERG Australian temperature zones</v>
      </c>
    </row>
    <row r="106" spans="4:20" ht="20.100000000000001" customHeight="1" x14ac:dyDescent="0.25">
      <c r="D106" s="5" t="str" cm="1">
        <f t="array" ref="D106">Common_SourceData.Common_SourceData_TemperatureZones_Source()</f>
        <v>VEERG 2026: Table 1.3: Climate and Rainfall zone classifications and definitions</v>
      </c>
    </row>
    <row r="107" spans="4:20" ht="20.100000000000001" customHeight="1" x14ac:dyDescent="0.25">
      <c r="D107" s="58"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39" t="s">
        <v>56</v>
      </c>
      <c r="E109" s="39" t="s">
        <v>37</v>
      </c>
      <c r="F109" s="39" t="s">
        <v>57</v>
      </c>
      <c r="G109" s="39" t="s">
        <v>58</v>
      </c>
    </row>
    <row r="110" spans="4:20" ht="20.100000000000001" customHeight="1" x14ac:dyDescent="0.25">
      <c r="D110" s="39" t="str" cm="1">
        <f t="array" ref="D110">Common_InputFunctions.Utility_DisplayArrayInTable(Common_SourceData.Common_SourceData_TemperatureZones_Data(),Table_SourceData_TemperatureZones[[#Headers],[Temperature Zone]],0)</f>
        <v>Warm</v>
      </c>
      <c r="E110" s="39" t="str" cm="1">
        <f t="array" ref="E110">Common_InputFunctions.Utility_DisplayArrayInTable(Common_SourceData.Common_SourceData_TemperatureZones_Data(),Table_SourceData_TemperatureZones[[#Headers],[Temperature Zone]],0)</f>
        <v>≥ 26 C</v>
      </c>
      <c r="F110" s="39" cm="1">
        <f t="array" ref="F110">Common_InputFunctions.Utility_DisplayArrayInTable(Common_SourceData.Common_SourceData_TemperatureZones_Data(),Table_SourceData_TemperatureZones[[#Headers],[Temperature Zone]],0)</f>
        <v>26</v>
      </c>
      <c r="G110" s="39" cm="1">
        <f t="array" ref="G110">Common_InputFunctions.Utility_DisplayArrayInTable(Common_SourceData.Common_SourceData_TemperatureZones_Data(),Table_SourceData_TemperatureZones[[#Headers],[Temperature Zone]],0)</f>
        <v>999999</v>
      </c>
    </row>
    <row r="111" spans="4:20" ht="20.100000000000001" customHeight="1" x14ac:dyDescent="0.25">
      <c r="D111" s="39" t="str" cm="1">
        <f t="array" ref="D111">Common_InputFunctions.Utility_DisplayArrayInTable(Common_SourceData.Common_SourceData_TemperatureZones_Data(),Table_SourceData_TemperatureZones[[#Headers],[Temperature Zone]],0)</f>
        <v>Temperate</v>
      </c>
      <c r="E111" s="39" t="str" cm="1">
        <f t="array" ref="E111">Common_InputFunctions.Utility_DisplayArrayInTable(Common_SourceData.Common_SourceData_TemperatureZones_Data(),Table_SourceData_TemperatureZones[[#Headers],[Temperature Zone]],0)</f>
        <v>15 - 25 C</v>
      </c>
      <c r="F111" s="39" cm="1">
        <f t="array" ref="F111">Common_InputFunctions.Utility_DisplayArrayInTable(Common_SourceData.Common_SourceData_TemperatureZones_Data(),Table_SourceData_TemperatureZones[[#Headers],[Temperature Zone]],0)</f>
        <v>15</v>
      </c>
      <c r="G111" s="39"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39" t="str" cm="1">
        <f t="array" ref="D112">Common_InputFunctions.Utility_DisplayArrayInTable(Common_SourceData.Common_SourceData_TemperatureZones_Data(),Table_SourceData_TemperatureZones[[#Headers],[Temperature Zone]],0)</f>
        <v>Cool</v>
      </c>
      <c r="E112" s="39" t="str" cm="1">
        <f t="array" ref="E112">Common_InputFunctions.Utility_DisplayArrayInTable(Common_SourceData.Common_SourceData_TemperatureZones_Data(),Table_SourceData_TemperatureZones[[#Headers],[Temperature Zone]],0)</f>
        <v>≤ 14 C</v>
      </c>
      <c r="F112" s="39" cm="1">
        <f t="array" ref="F112">Common_InputFunctions.Utility_DisplayArrayInTable(Common_SourceData.Common_SourceData_TemperatureZones_Data(),Table_SourceData_TemperatureZones[[#Headers],[Temperature Zone]],0)</f>
        <v>-999999</v>
      </c>
      <c r="G112" s="39"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6" t="str" cm="1">
        <f t="array" ref="D115">Common_SourceData.Common_SourceData_RainfallZones_Title()</f>
        <v>VEERG Australian rainfall zones</v>
      </c>
      <c r="BN115" s="7"/>
    </row>
    <row r="116" spans="4:66" ht="20.100000000000001" customHeight="1" x14ac:dyDescent="0.25">
      <c r="D116" s="5" t="str" cm="1">
        <f t="array" ref="D116">Common_SourceData.Common_SourceData_RainfallZones_Source()</f>
        <v>VEERG 2026: Table 1.3: Climate and Rainfall zone classifications and definitions</v>
      </c>
      <c r="BN116" s="7"/>
    </row>
    <row r="117" spans="4:66" ht="20.100000000000001" customHeight="1" x14ac:dyDescent="0.25">
      <c r="D117" s="58" t="str" cm="1">
        <f t="array" ref="D117">"⚠️" &amp; Common_SourceData.Common_SourceData_RainfallZones_Variation()</f>
        <v>⚠️VARIATION OF SOURCE DATA: Added extra Rainfall min and Rainfall max columns to calculate zone from real rainfall data.</v>
      </c>
      <c r="BN117" s="7"/>
    </row>
    <row r="118" spans="4:66" ht="20.100000000000001" customHeight="1" x14ac:dyDescent="0.25">
      <c r="BN118" s="7"/>
    </row>
    <row r="119" spans="4:66" ht="20.100000000000001" customHeight="1" x14ac:dyDescent="0.25">
      <c r="D119" s="39" t="s">
        <v>59</v>
      </c>
      <c r="E119" s="39" t="s">
        <v>60</v>
      </c>
      <c r="F119" s="39" t="s">
        <v>44</v>
      </c>
      <c r="G119" s="39" t="s">
        <v>45</v>
      </c>
      <c r="BN119" s="7"/>
    </row>
    <row r="120" spans="4:66" ht="20.100000000000001" customHeight="1" x14ac:dyDescent="0.25">
      <c r="D120" s="39" t="str" cm="1">
        <f t="array" ref="D120">Common_InputFunctions.Utility_DisplayArrayInTable(Common_SourceData.Common_SourceData_RainfallZones_Data(),Table_SourceData_RainfallZones[[#Headers],[Rainfall Zone]],0)</f>
        <v>High rainfall</v>
      </c>
      <c r="E120" s="39" t="str" cm="1">
        <f t="array" ref="E120">Common_InputFunctions.Utility_DisplayArrayInTable(Common_SourceData.Common_SourceData_RainfallZones_Data(),Table_SourceData_RainfallZones[[#Headers],[Rainfall Zone]],0)</f>
        <v>Annual rainfall &gt; 600mm</v>
      </c>
      <c r="F120" s="39" cm="1">
        <f t="array" ref="F120">Common_InputFunctions.Utility_DisplayArrayInTable(Common_SourceData.Common_SourceData_RainfallZones_Data(),Table_SourceData_RainfallZones[[#Headers],[Rainfall Zone]],0)</f>
        <v>600.00099999999998</v>
      </c>
      <c r="G120" s="39" cm="1">
        <f t="array" ref="G120">Common_InputFunctions.Utility_DisplayArrayInTable(Common_SourceData.Common_SourceData_RainfallZones_Data(),Table_SourceData_RainfallZones[[#Headers],[Rainfall Zone]],0)</f>
        <v>999999</v>
      </c>
      <c r="BN120" s="7"/>
    </row>
    <row r="121" spans="4:66" ht="20.100000000000001" customHeight="1" x14ac:dyDescent="0.25">
      <c r="D121" s="39" t="str" cm="1">
        <f t="array" ref="D121">Common_InputFunctions.Utility_DisplayArrayInTable(Common_SourceData.Common_SourceData_RainfallZones_Data(),Table_SourceData_RainfallZones[[#Headers],[Rainfall Zone]],0)</f>
        <v>Low rainfall</v>
      </c>
      <c r="E121" s="39" t="str" cm="1">
        <f t="array" ref="E121">Common_InputFunctions.Utility_DisplayArrayInTable(Common_SourceData.Common_SourceData_RainfallZones_Data(),Table_SourceData_RainfallZones[[#Headers],[Rainfall Zone]],0)</f>
        <v>Annual rainfall ≤ 600mm</v>
      </c>
      <c r="F121" s="39" cm="1">
        <f t="array" ref="F121">Common_InputFunctions.Utility_DisplayArrayInTable(Common_SourceData.Common_SourceData_RainfallZones_Data(),Table_SourceData_RainfallZones[[#Headers],[Rainfall Zone]],0)</f>
        <v>-999999</v>
      </c>
      <c r="G121" s="39" cm="1">
        <f t="array" ref="G121">Common_InputFunctions.Utility_DisplayArrayInTable(Common_SourceData.Common_SourceData_RainfallZones_Data(),Table_SourceData_RainfallZones[[#Headers],[Rainfall Zone]],0)</f>
        <v>600</v>
      </c>
      <c r="BN121" s="7"/>
    </row>
    <row r="122" spans="4:66" ht="20.100000000000001" customHeight="1" x14ac:dyDescent="0.25">
      <c r="BN122" s="7"/>
    </row>
    <row r="123" spans="4:66" ht="20.100000000000001" customHeight="1" x14ac:dyDescent="0.25"/>
    <row r="124" spans="4:66" ht="20.100000000000001" customHeight="1" x14ac:dyDescent="0.25">
      <c r="D124" s="6" t="str" cm="1">
        <f t="array" ref="D124">Common_SourceData.Common_SourceData_LeachingZones_Title()</f>
        <v>VEERG Australian leaching zones</v>
      </c>
    </row>
    <row r="125" spans="4:66" ht="20.100000000000001" customHeight="1" x14ac:dyDescent="0.25">
      <c r="D125" s="5"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39" t="s">
        <v>66</v>
      </c>
      <c r="E127" s="39" t="s">
        <v>67</v>
      </c>
    </row>
    <row r="128" spans="4:66" ht="20.100000000000001" customHeight="1" x14ac:dyDescent="0.25">
      <c r="D128" s="39" t="str" cm="1">
        <f t="array" ref="D128">Common_InputFunctions.Utility_DisplayArrayInTable(Common_SourceData.Common_SourceData_LeachingZones_Data(), Table_SourceData_LeachingZones[[#Headers],[Leaching Zone]], 0)</f>
        <v>Leaching occurs</v>
      </c>
      <c r="E128" s="39"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39" t="str" cm="1">
        <f t="array" ref="D129">Common_InputFunctions.Utility_DisplayArrayInTable(Common_SourceData.Common_SourceData_LeachingZones_Data(), Table_SourceData_LeachingZones[[#Headers],[Leaching Zone]], 0)</f>
        <v>Leaching does not occur</v>
      </c>
      <c r="E129" s="39"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6" t="str" cm="1">
        <f t="array" ref="D132">Common_SourceData.Common_SourceData_FracWET_Title()</f>
        <v>Fraction of N that is available for leaching and runoff</v>
      </c>
      <c r="E132" s="24"/>
    </row>
    <row r="133" spans="4:77" ht="20.100000000000001" customHeight="1" x14ac:dyDescent="0.25">
      <c r="D133" s="5" t="str" cm="1">
        <f t="array" ref="D133">Common_SourceData.Common_SourceData_FracWET_Source()</f>
        <v>VEERG 2026:5.5.2.3 Constant Parameters</v>
      </c>
      <c r="E133" s="24"/>
    </row>
    <row r="134" spans="4:77" ht="20.100000000000001" customHeight="1" x14ac:dyDescent="0.25">
      <c r="D134" t="s">
        <v>93</v>
      </c>
      <c r="E134" t="s">
        <v>94</v>
      </c>
    </row>
    <row r="135" spans="4:77"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7" ht="20.100000000000001" customHeight="1" x14ac:dyDescent="0.25">
      <c r="D136" s="1" t="str" cm="1">
        <f t="array" ref="D136">Common_InputFunctions.Utility_DisplayArrayInTable(Common_SourceData.Common_SourceData_FracWET_Data(),Table_SourceData_FracWET[[#Headers],[Is in leaching zone]],0)</f>
        <v>No - not in leaching zone</v>
      </c>
      <c r="E136" s="39"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7"/>
      <c r="BO138" s="7"/>
      <c r="BP138" s="7"/>
      <c r="BQ138" s="7"/>
      <c r="BR138" s="7"/>
      <c r="BS138" s="7"/>
      <c r="BT138" s="7"/>
      <c r="BU138" s="7"/>
      <c r="BV138" s="7"/>
      <c r="BW138" s="7"/>
      <c r="BX138" s="7"/>
      <c r="BY138" s="7"/>
    </row>
    <row r="139" spans="4:77" ht="20.100000000000001" customHeight="1" x14ac:dyDescent="0.25">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4:77" ht="20.100000000000001" customHeight="1" x14ac:dyDescent="0.25">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4:77" ht="20.100000000000001" customHeight="1" x14ac:dyDescent="0.25">
      <c r="D141" s="58"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4:77" ht="20.100000000000001" customHeight="1" x14ac:dyDescent="0.25">
      <c r="D142" s="39" t="s">
        <v>325</v>
      </c>
      <c r="E142" s="39" t="s">
        <v>94</v>
      </c>
      <c r="BN142" s="7"/>
    </row>
    <row r="143" spans="4:77" ht="20.100000000000001" customHeight="1" x14ac:dyDescent="0.25">
      <c r="D143" s="39" t="str" cm="1">
        <f t="array" ref="D143">Common_InputFunctions.Utility_DisplayArrayInTable(Common_SourceData.Common_SourceData_FracWETIrrigation_Data(), Table_SourceData_FracWETIrrigation[[#Headers],[Irrigation type i]], 0)</f>
        <v>Not irrigated</v>
      </c>
      <c r="E143" s="39" cm="1">
        <f t="array" ref="E143">Common_InputFunctions.Utility_DisplayArrayInTable(Common_SourceData.Common_SourceData_FracWETIrrigation_Data(), Table_SourceData_FracWETIrrigation[[#Headers],[Irrigation type i]], 0)</f>
        <v>0</v>
      </c>
      <c r="BN143" s="7"/>
    </row>
    <row r="144" spans="4:77" ht="20.100000000000001" customHeight="1" x14ac:dyDescent="0.25">
      <c r="D144" s="1" t="str" cm="1">
        <f t="array" ref="D144">Common_InputFunctions.Utility_DisplayArrayInTable(Common_SourceData.Common_SourceData_FracWETIrrigation_Data(), Table_SourceData_FracWETIrrigation[[#Headers],[Irrigation type i]], 0)</f>
        <v>Drip irrigation</v>
      </c>
      <c r="E144" s="39" cm="1">
        <f t="array" ref="E144">Common_InputFunctions.Utility_DisplayArrayInTable(Common_SourceData.Common_SourceData_FracWETIrrigation_Data(), Table_SourceData_FracWETIrrigation[[#Headers],[Irrigation type i]], 0)</f>
        <v>0</v>
      </c>
      <c r="BN144" s="7"/>
    </row>
    <row r="145" spans="4:66" ht="20.100000000000001" customHeight="1" x14ac:dyDescent="0.25">
      <c r="D145" s="1" t="str" cm="1">
        <f t="array" ref="D145">Common_InputFunctions.Utility_DisplayArrayInTable(Common_SourceData.Common_SourceData_FracWETIrrigation_Data(), Table_SourceData_FracWETIrrigation[[#Headers],[Irrigation type i]], 0)</f>
        <v>Sprinkler irrigation</v>
      </c>
      <c r="E145" s="39" cm="1">
        <f t="array" ref="E145">Common_InputFunctions.Utility_DisplayArrayInTable(Common_SourceData.Common_SourceData_FracWETIrrigation_Data(), Table_SourceData_FracWETIrrigation[[#Headers],[Irrigation type i]], 0)</f>
        <v>1</v>
      </c>
      <c r="BN145" s="7"/>
    </row>
    <row r="146" spans="4:66" ht="20.100000000000001" customHeight="1" x14ac:dyDescent="0.25">
      <c r="D146" s="1" t="str" cm="1">
        <f t="array" ref="D146">Common_InputFunctions.Utility_DisplayArrayInTable(Common_SourceData.Common_SourceData_FracWETIrrigation_Data(), Table_SourceData_FracWETIrrigation[[#Headers],[Irrigation type i]], 0)</f>
        <v>Surface irrigation</v>
      </c>
      <c r="E146" s="39" cm="1">
        <f t="array" ref="E146">Common_InputFunctions.Utility_DisplayArrayInTable(Common_SourceData.Common_SourceData_FracWETIrrigation_Data(), Table_SourceData_FracWETIrrigation[[#Headers],[Irrigation type i]], 0)</f>
        <v>1</v>
      </c>
      <c r="BN146" s="7"/>
    </row>
    <row r="147" spans="4:66" ht="20.100000000000001" customHeight="1" x14ac:dyDescent="0.25">
      <c r="D147" s="1" t="str" cm="1">
        <f t="array" ref="D147">Common_InputFunctions.Utility_DisplayArrayInTable(Common_SourceData.Common_SourceData_FracWETIrrigation_Data(), Table_SourceData_FracWETIrrigation[[#Headers],[Irrigation type i]], 0)</f>
        <v>Other irrigation</v>
      </c>
      <c r="E147" s="39" cm="1">
        <f t="array" ref="E147">Common_InputFunctions.Utility_DisplayArrayInTable(Common_SourceData.Common_SourceData_FracWETIrrigation_Data(), Table_SourceData_FracWETIrrigation[[#Headers],[Irrigation type i]], 0)</f>
        <v>1</v>
      </c>
      <c r="BN147" s="7"/>
    </row>
    <row r="148" spans="4:66" ht="20.100000000000001" customHeight="1" x14ac:dyDescent="0.25">
      <c r="BN148" s="7"/>
    </row>
    <row r="149" spans="4:66" ht="20.100000000000001" customHeight="1" x14ac:dyDescent="0.25">
      <c r="BN149" s="7"/>
    </row>
    <row r="150" spans="4:66" ht="20.100000000000001" customHeight="1" x14ac:dyDescent="0.25">
      <c r="D150" s="6" t="str" cm="1">
        <f t="array" ref="D150">Common_SourceData.Common_SourceData_DataScores_Scope3_Title()</f>
        <v>Australian data scores for scope 3</v>
      </c>
      <c r="BN150" s="7"/>
    </row>
    <row r="151" spans="4:66" ht="20.100000000000001" customHeight="1" x14ac:dyDescent="0.25">
      <c r="D151" s="5" t="str" cm="1">
        <f t="array" ref="D151">Common_SourceData.Common_SourceData_DataScores_Scope3_Source()</f>
        <v>VEERG 2026: XXXXXXXX</v>
      </c>
      <c r="BN151" s="7"/>
    </row>
    <row r="152" spans="4:66" ht="20.100000000000001" customHeight="1" x14ac:dyDescent="0.25">
      <c r="BN152" s="7"/>
    </row>
    <row r="153" spans="4:66" ht="20.100000000000001" customHeight="1" x14ac:dyDescent="0.25">
      <c r="D153" s="39" t="s">
        <v>69</v>
      </c>
      <c r="E153" s="39" t="s">
        <v>70</v>
      </c>
      <c r="BC153" s="3"/>
      <c r="BD153" s="3"/>
      <c r="BE153" s="3"/>
      <c r="BF153" s="3"/>
      <c r="BG153" s="3"/>
      <c r="BH153" s="3"/>
      <c r="BI153" s="3"/>
      <c r="BJ153" s="3"/>
      <c r="BK153" s="3"/>
      <c r="BL153" s="3"/>
      <c r="BM153" s="3"/>
    </row>
    <row r="154" spans="4:66" ht="20.100000000000001" customHeight="1" x14ac:dyDescent="0.25">
      <c r="D154" s="39" t="str" cm="1">
        <f t="array" ref="D154">Common_InputFunctions.Utility_DisplayArrayInTable(Common_SourceData.Common_SourceData_DataScores_Scope3_Data(), Table_SourceData_DataScores_Scope3[[#Headers],[Data source]], 0)</f>
        <v>International scope 3 database</v>
      </c>
      <c r="E154" s="39"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4:66" ht="20.100000000000001" customHeight="1" x14ac:dyDescent="0.25">
      <c r="D155" s="39" t="str" cm="1">
        <f t="array" ref="D155">Common_InputFunctions.Utility_DisplayArrayInTable(Common_SourceData.Common_SourceData_DataScores_Scope3_Data(), Table_SourceData_DataScores_Scope3[[#Headers],[Data source]], 0)</f>
        <v>Australian scope 3 database</v>
      </c>
      <c r="E155" s="39"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4:66" ht="20.100000000000001" customHeight="1" x14ac:dyDescent="0.25">
      <c r="D156" s="39" t="str" cm="1">
        <f t="array" ref="D156">Common_InputFunctions.Utility_DisplayArrayInTable(Common_SourceData.Common_SourceData_DataScores_Scope3_Data(), Table_SourceData_DataScores_Scope3[[#Headers],[Data source]], 0)</f>
        <v>State or regional scope 3 database</v>
      </c>
      <c r="E156" s="39" cm="1">
        <f t="array" ref="E156">Common_InputFunctions.Utility_DisplayArrayInTable(Common_SourceData.Common_SourceData_DataScores_Scope3_Data(), Table_SourceData_DataScores_Scope3[[#Headers],[Data source]], 0)</f>
        <v>3</v>
      </c>
    </row>
    <row r="157" spans="4:66" ht="20.100000000000001" customHeight="1" x14ac:dyDescent="0.25">
      <c r="D157" s="39" t="str" cm="1">
        <f t="array" ref="D157">Common_InputFunctions.Utility_DisplayArrayInTable(Common_SourceData.Common_SourceData_DataScores_Scope3_Data(), Table_SourceData_DataScores_Scope3[[#Headers],[Data source]], 0)</f>
        <v>Emissions intensity calculated from approved method</v>
      </c>
      <c r="E157" s="39" cm="1">
        <f t="array" ref="E157">Common_InputFunctions.Utility_DisplayArrayInTable(Common_SourceData.Common_SourceData_DataScores_Scope3_Data(), Table_SourceData_DataScores_Scope3[[#Headers],[Data source]], 0)</f>
        <v>4</v>
      </c>
    </row>
    <row r="158" spans="4:66" ht="20.100000000000001" customHeight="1" x14ac:dyDescent="0.25">
      <c r="D158" s="39" t="str" cm="1">
        <f t="array" ref="D158">Common_InputFunctions.Utility_DisplayArrayInTable(Common_SourceData.Common_SourceData_DataScores_Scope3_Data(), Table_SourceData_DataScores_Scope3[[#Headers],[Data source]], 0)</f>
        <v>Verified credential matching ISO14067</v>
      </c>
      <c r="E158" s="39"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6" t="str" cm="1">
        <f t="array" ref="D161">Common_SourceData.Common_SourceData_FracLEACH_Title()</f>
        <v>Fraction of N that is available for leaching and runoff</v>
      </c>
      <c r="E161" s="24"/>
    </row>
    <row r="162" spans="4:68" ht="20.100000000000001" customHeight="1" x14ac:dyDescent="0.25">
      <c r="D162" s="5" t="str" cm="1">
        <f t="array" ref="D162">Common_SourceData.Common_SourceData_FracLEACH_Source()</f>
        <v>VEERG 2026:5.5.2.3 Constant Parameters</v>
      </c>
      <c r="E162" s="24"/>
    </row>
    <row r="163" spans="4:68" ht="20.100000000000001" customHeight="1" x14ac:dyDescent="0.25">
      <c r="D163" s="5" t="str" cm="1">
        <f t="array" ref="D163">Common_SourceData.Common_SourceData_FracLEACH_NIRReference()</f>
        <v>National Inventory Report Volume 1: Leaching and runoff (3.D.b.2)</v>
      </c>
      <c r="E163" s="24"/>
    </row>
    <row r="164" spans="4:68" ht="20.100000000000001" customHeight="1" x14ac:dyDescent="0.25">
      <c r="D164" s="24" t="str" cm="1">
        <f t="array" ref="D164:E164">Common_SourceData.Common_SourceData_FracLEACH_Data()</f>
        <v>FracLEACH</v>
      </c>
      <c r="E164" s="24">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7"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7" t="str" cm="1">
        <f t="array" ref="D180">Common_SourceData.Common_SourceData_EFN2O_Unit()</f>
        <v>(kg N2O-N / kg N</v>
      </c>
    </row>
    <row r="181" spans="4:68" ht="20.100000000000001" customHeight="1" x14ac:dyDescent="0.25">
      <c r="D181" s="58" t="str" cm="1">
        <f t="array" ref="D181:D185">Common_SourceData.Common_SourceData_EFN2O_Variation()</f>
        <v>VARIATION OF SOURCE DATA:</v>
      </c>
    </row>
    <row r="182" spans="4:68" ht="20.100000000000001" customHeight="1" x14ac:dyDescent="0.25">
      <c r="D182" s="58" t="str">
        <v>Removed duplicate 'Aquaculture' row.</v>
      </c>
    </row>
    <row r="183" spans="4:68" ht="20.100000000000001" customHeight="1" x14ac:dyDescent="0.25">
      <c r="D183" s="58" t="str">
        <v>Removed asterisks to aid lookup.</v>
      </c>
    </row>
    <row r="184" spans="4:68" ht="20.100000000000001" customHeight="1" x14ac:dyDescent="0.25">
      <c r="D184" s="58" t="str">
        <v>Added 'production system only', 'rainfall zone' and 'irrigation method' columns to aid lookup.</v>
      </c>
    </row>
    <row r="185" spans="4:68" ht="20.100000000000001" customHeight="1" x14ac:dyDescent="0.25">
      <c r="D185" s="58" t="str">
        <v>Duplicated 'non-irrigated pasture' row with same EF for low and high rainfall zones to aid lookup.</v>
      </c>
    </row>
    <row r="186" spans="4:68" ht="20.100000000000001" customHeight="1" x14ac:dyDescent="0.25">
      <c r="D186" s="39" t="s">
        <v>141</v>
      </c>
      <c r="E186" s="39" t="s">
        <v>142</v>
      </c>
      <c r="F186" s="39" t="s">
        <v>143</v>
      </c>
      <c r="G186" s="39" t="s">
        <v>144</v>
      </c>
      <c r="H186" s="39" t="s">
        <v>36</v>
      </c>
    </row>
    <row r="187" spans="4:68" ht="20.100000000000001" customHeight="1" x14ac:dyDescent="0.25">
      <c r="D187" s="39" t="str" cm="1">
        <f t="array" ref="D187">Common_InputFunctions.Utility_DisplayArrayInTable(Common_SourceData.Common_SourceData_EFN2O_Data(), Table_SourceData_Common_EFN2O[[#Headers],[Production system j]], 0)</f>
        <v>Irrigated pasture</v>
      </c>
      <c r="E187" s="39" cm="1">
        <f t="array" ref="E187">Common_InputFunctions.Utility_DisplayArrayInTable(Common_SourceData.Common_SourceData_EFN2O_Data(), Table_SourceData_Common_EFN2O[[#Headers],[Production system j]], 0)</f>
        <v>5.8999999999999999E-3</v>
      </c>
      <c r="F187" s="39" t="str" cm="1">
        <f t="array" ref="F187">Common_InputFunctions.Utility_DisplayArrayInTable(Common_SourceData.Common_SourceData_EFN2O_Data(), Table_SourceData_Common_EFN2O[[#Headers],[Production system j]], 0)</f>
        <v>Pasture</v>
      </c>
      <c r="G187" s="39" t="str" cm="1">
        <f t="array" ref="G187">Common_InputFunctions.Utility_DisplayArrayInTable(Common_SourceData.Common_SourceData_EFN2O_Data(), Table_SourceData_Common_EFN2O[[#Headers],[Production system j]], 0)</f>
        <v>Any</v>
      </c>
      <c r="H187" s="39" t="str" cm="1">
        <f t="array" ref="H187">Common_InputFunctions.Utility_DisplayArrayInTable(Common_SourceData.Common_SourceData_EFN2O_Data(), Table_SourceData_Common_EFN2O[[#Headers],[Production system j]], 0)</f>
        <v>Any</v>
      </c>
    </row>
    <row r="188" spans="4:68" ht="20.100000000000001" customHeight="1" x14ac:dyDescent="0.25">
      <c r="D188" s="39" t="str" cm="1">
        <f t="array" ref="D188">Common_InputFunctions.Utility_DisplayArrayInTable(Common_SourceData.Common_SourceData_EFN2O_Data(), Table_SourceData_Common_EFN2O[[#Headers],[Production system j]], 0)</f>
        <v>Irrigated crop</v>
      </c>
      <c r="E188" s="39" cm="1">
        <f t="array" ref="E188">Common_InputFunctions.Utility_DisplayArrayInTable(Common_SourceData.Common_SourceData_EFN2O_Data(), Table_SourceData_Common_EFN2O[[#Headers],[Production system j]], 0)</f>
        <v>7.0000000000000001E-3</v>
      </c>
      <c r="F188" s="39" t="str" cm="1">
        <f t="array" ref="F188">Common_InputFunctions.Utility_DisplayArrayInTable(Common_SourceData.Common_SourceData_EFN2O_Data(), Table_SourceData_Common_EFN2O[[#Headers],[Production system j]], 0)</f>
        <v>Crop</v>
      </c>
      <c r="G188" s="39" t="str" cm="1">
        <f t="array" ref="G188">Common_InputFunctions.Utility_DisplayArrayInTable(Common_SourceData.Common_SourceData_EFN2O_Data(), Table_SourceData_Common_EFN2O[[#Headers],[Production system j]], 0)</f>
        <v>Any</v>
      </c>
      <c r="H188" s="39" t="str" cm="1">
        <f t="array" ref="H188">Common_InputFunctions.Utility_DisplayArrayInTable(Common_SourceData.Common_SourceData_EFN2O_Data(), Table_SourceData_Common_EFN2O[[#Headers],[Production system j]], 0)</f>
        <v>Any</v>
      </c>
    </row>
    <row r="189" spans="4:68" ht="20.100000000000001" customHeight="1" x14ac:dyDescent="0.25">
      <c r="D189" s="39" t="str" cm="1">
        <f t="array" ref="D189">Common_InputFunctions.Utility_DisplayArrayInTable(Common_SourceData.Common_SourceData_EFN2O_Data(), Table_SourceData_Common_EFN2O[[#Headers],[Production system j]], 0)</f>
        <v>Non-irrigated pasture</v>
      </c>
      <c r="E189" s="39" cm="1">
        <f t="array" ref="E189">Common_InputFunctions.Utility_DisplayArrayInTable(Common_SourceData.Common_SourceData_EFN2O_Data(), Table_SourceData_Common_EFN2O[[#Headers],[Production system j]], 0)</f>
        <v>1.8E-3</v>
      </c>
      <c r="F189" s="39" t="str" cm="1">
        <f t="array" ref="F189">Common_InputFunctions.Utility_DisplayArrayInTable(Common_SourceData.Common_SourceData_EFN2O_Data(), Table_SourceData_Common_EFN2O[[#Headers],[Production system j]], 0)</f>
        <v>Pasture</v>
      </c>
      <c r="G189" s="39" t="str" cm="1">
        <f t="array" ref="G189">Common_InputFunctions.Utility_DisplayArrayInTable(Common_SourceData.Common_SourceData_EFN2O_Data(), Table_SourceData_Common_EFN2O[[#Headers],[Production system j]], 0)</f>
        <v>Not irrigated</v>
      </c>
      <c r="H189" s="39"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9" t="str" cm="1">
        <f t="array" ref="D190">Common_InputFunctions.Utility_DisplayArrayInTable(Common_SourceData.Common_SourceData_EFN2O_Data(), Table_SourceData_Common_EFN2O[[#Headers],[Production system j]], 0)</f>
        <v>Non-irrigated pasture</v>
      </c>
      <c r="E190" s="39" cm="1">
        <f t="array" ref="E190">Common_InputFunctions.Utility_DisplayArrayInTable(Common_SourceData.Common_SourceData_EFN2O_Data(), Table_SourceData_Common_EFN2O[[#Headers],[Production system j]], 0)</f>
        <v>1.8E-3</v>
      </c>
      <c r="F190" s="39" t="str" cm="1">
        <f t="array" ref="F190">Common_InputFunctions.Utility_DisplayArrayInTable(Common_SourceData.Common_SourceData_EFN2O_Data(), Table_SourceData_Common_EFN2O[[#Headers],[Production system j]], 0)</f>
        <v>Pasture</v>
      </c>
      <c r="G190" s="39" t="str" cm="1">
        <f t="array" ref="G190">Common_InputFunctions.Utility_DisplayArrayInTable(Common_SourceData.Common_SourceData_EFN2O_Data(), Table_SourceData_Common_EFN2O[[#Headers],[Production system j]], 0)</f>
        <v>Not irrigated</v>
      </c>
      <c r="H190" s="39"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9" t="str" cm="1">
        <f t="array" ref="D191">Common_InputFunctions.Utility_DisplayArrayInTable(Common_SourceData.Common_SourceData_EFN2O_Data(), Table_SourceData_Common_EFN2O[[#Headers],[Production system j]], 0)</f>
        <v>Non-irrigated crop (low rainfall)</v>
      </c>
      <c r="E191" s="39" cm="1">
        <f t="array" ref="E191">Common_InputFunctions.Utility_DisplayArrayInTable(Common_SourceData.Common_SourceData_EFN2O_Data(), Table_SourceData_Common_EFN2O[[#Headers],[Production system j]], 0)</f>
        <v>2.8999999999999998E-3</v>
      </c>
      <c r="F191" s="39" t="str" cm="1">
        <f t="array" ref="F191">Common_InputFunctions.Utility_DisplayArrayInTable(Common_SourceData.Common_SourceData_EFN2O_Data(), Table_SourceData_Common_EFN2O[[#Headers],[Production system j]], 0)</f>
        <v>Crop</v>
      </c>
      <c r="G191" s="39" t="str" cm="1">
        <f t="array" ref="G191">Common_InputFunctions.Utility_DisplayArrayInTable(Common_SourceData.Common_SourceData_EFN2O_Data(), Table_SourceData_Common_EFN2O[[#Headers],[Production system j]], 0)</f>
        <v>Not irrigated</v>
      </c>
      <c r="H191" s="39"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9" t="str" cm="1">
        <f t="array" ref="D192">Common_InputFunctions.Utility_DisplayArrayInTable(Common_SourceData.Common_SourceData_EFN2O_Data(), Table_SourceData_Common_EFN2O[[#Headers],[Production system j]], 0)</f>
        <v>Non-irrigated crop (high rainfall)</v>
      </c>
      <c r="E192" s="39" cm="1">
        <f t="array" ref="E192">Common_InputFunctions.Utility_DisplayArrayInTable(Common_SourceData.Common_SourceData_EFN2O_Data(), Table_SourceData_Common_EFN2O[[#Headers],[Production system j]], 0)</f>
        <v>8.0000000000000002E-3</v>
      </c>
      <c r="F192" s="39" t="str" cm="1">
        <f t="array" ref="F192">Common_InputFunctions.Utility_DisplayArrayInTable(Common_SourceData.Common_SourceData_EFN2O_Data(), Table_SourceData_Common_EFN2O[[#Headers],[Production system j]], 0)</f>
        <v>Crop</v>
      </c>
      <c r="G192" s="39" t="str" cm="1">
        <f t="array" ref="G192">Common_InputFunctions.Utility_DisplayArrayInTable(Common_SourceData.Common_SourceData_EFN2O_Data(), Table_SourceData_Common_EFN2O[[#Headers],[Production system j]], 0)</f>
        <v>Not irrigated</v>
      </c>
      <c r="H192" s="39"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9" t="str" cm="1">
        <f t="array" ref="D193">Common_InputFunctions.Utility_DisplayArrayInTable(Common_SourceData.Common_SourceData_EFN2O_Data(), Table_SourceData_Common_EFN2O[[#Headers],[Production system j]], 0)</f>
        <v>Sugar</v>
      </c>
      <c r="E193" s="39" cm="1">
        <f t="array" ref="E193">Common_InputFunctions.Utility_DisplayArrayInTable(Common_SourceData.Common_SourceData_EFN2O_Data(), Table_SourceData_Common_EFN2O[[#Headers],[Production system j]], 0)</f>
        <v>1.9900000000000001E-2</v>
      </c>
      <c r="F193" s="39" t="str" cm="1">
        <f t="array" ref="F193">Common_InputFunctions.Utility_DisplayArrayInTable(Common_SourceData.Common_SourceData_EFN2O_Data(), Table_SourceData_Common_EFN2O[[#Headers],[Production system j]], 0)</f>
        <v>Sugar</v>
      </c>
      <c r="G193" s="39" t="str" cm="1">
        <f t="array" ref="G193">Common_InputFunctions.Utility_DisplayArrayInTable(Common_SourceData.Common_SourceData_EFN2O_Data(), Table_SourceData_Common_EFN2O[[#Headers],[Production system j]], 0)</f>
        <v>Any</v>
      </c>
      <c r="H193" s="39" t="str" cm="1">
        <f t="array" ref="H193">Common_InputFunctions.Utility_DisplayArrayInTable(Common_SourceData.Common_SourceData_EFN2O_Data(), Table_SourceData_Common_EFN2O[[#Headers],[Production system j]], 0)</f>
        <v>Any</v>
      </c>
    </row>
    <row r="194" spans="4:8" ht="20.100000000000001" customHeight="1" x14ac:dyDescent="0.25">
      <c r="D194" s="39" t="str" cm="1">
        <f t="array" ref="D194">Common_InputFunctions.Utility_DisplayArrayInTable(Common_SourceData.Common_SourceData_EFN2O_Data(), Table_SourceData_Common_EFN2O[[#Headers],[Production system j]], 0)</f>
        <v>Cotton</v>
      </c>
      <c r="E194" s="39" cm="1">
        <f t="array" ref="E194">Common_InputFunctions.Utility_DisplayArrayInTable(Common_SourceData.Common_SourceData_EFN2O_Data(), Table_SourceData_Common_EFN2O[[#Headers],[Production system j]], 0)</f>
        <v>5.3E-3</v>
      </c>
      <c r="F194" s="39" t="str" cm="1">
        <f t="array" ref="F194">Common_InputFunctions.Utility_DisplayArrayInTable(Common_SourceData.Common_SourceData_EFN2O_Data(), Table_SourceData_Common_EFN2O[[#Headers],[Production system j]], 0)</f>
        <v>Cotton</v>
      </c>
      <c r="G194" s="39" t="str" cm="1">
        <f t="array" ref="G194">Common_InputFunctions.Utility_DisplayArrayInTable(Common_SourceData.Common_SourceData_EFN2O_Data(), Table_SourceData_Common_EFN2O[[#Headers],[Production system j]], 0)</f>
        <v>Any</v>
      </c>
      <c r="H194" s="39" t="str" cm="1">
        <f t="array" ref="H194">Common_InputFunctions.Utility_DisplayArrayInTable(Common_SourceData.Common_SourceData_EFN2O_Data(), Table_SourceData_Common_EFN2O[[#Headers],[Production system j]], 0)</f>
        <v>Any</v>
      </c>
    </row>
    <row r="195" spans="4:8" ht="20.100000000000001" customHeight="1" x14ac:dyDescent="0.25">
      <c r="D195" s="39" t="str" cm="1">
        <f t="array" ref="D195">Common_InputFunctions.Utility_DisplayArrayInTable(Common_SourceData.Common_SourceData_EFN2O_Data(), Table_SourceData_Common_EFN2O[[#Headers],[Production system j]], 0)</f>
        <v>Horticultural crops</v>
      </c>
      <c r="E195" s="39" cm="1">
        <f t="array" ref="E195">Common_InputFunctions.Utility_DisplayArrayInTable(Common_SourceData.Common_SourceData_EFN2O_Data(), Table_SourceData_Common_EFN2O[[#Headers],[Production system j]], 0)</f>
        <v>6.4000000000000003E-3</v>
      </c>
      <c r="F195" s="39" t="str" cm="1">
        <f t="array" ref="F195">Common_InputFunctions.Utility_DisplayArrayInTable(Common_SourceData.Common_SourceData_EFN2O_Data(), Table_SourceData_Common_EFN2O[[#Headers],[Production system j]], 0)</f>
        <v>Horticultural crops</v>
      </c>
      <c r="G195" s="39" t="str" cm="1">
        <f t="array" ref="G195">Common_InputFunctions.Utility_DisplayArrayInTable(Common_SourceData.Common_SourceData_EFN2O_Data(), Table_SourceData_Common_EFN2O[[#Headers],[Production system j]], 0)</f>
        <v>Any</v>
      </c>
      <c r="H195" s="39" t="str" cm="1">
        <f t="array" ref="H195">Common_InputFunctions.Utility_DisplayArrayInTable(Common_SourceData.Common_SourceData_EFN2O_Data(), Table_SourceData_Common_EFN2O[[#Headers],[Production system j]], 0)</f>
        <v>Any</v>
      </c>
    </row>
    <row r="196" spans="4:8" ht="20.100000000000001" customHeight="1" x14ac:dyDescent="0.25">
      <c r="D196" s="39" t="str" cm="1">
        <f t="array" ref="D196">Common_InputFunctions.Utility_DisplayArrayInTable(Common_SourceData.Common_SourceData_EFN2O_Data(), Table_SourceData_Common_EFN2O[[#Headers],[Production system j]], 0)</f>
        <v>Rice (continuous flooding)</v>
      </c>
      <c r="E196" s="39" cm="1">
        <f t="array" ref="E196">Common_InputFunctions.Utility_DisplayArrayInTable(Common_SourceData.Common_SourceData_EFN2O_Data(), Table_SourceData_Common_EFN2O[[#Headers],[Production system j]], 0)</f>
        <v>3.0000000000000001E-3</v>
      </c>
      <c r="F196" s="39" t="str" cm="1">
        <f t="array" ref="F196">Common_InputFunctions.Utility_DisplayArrayInTable(Common_SourceData.Common_SourceData_EFN2O_Data(), Table_SourceData_Common_EFN2O[[#Headers],[Production system j]], 0)</f>
        <v>Rice</v>
      </c>
      <c r="G196" s="39" t="str" cm="1">
        <f t="array" ref="G196">Common_InputFunctions.Utility_DisplayArrayInTable(Common_SourceData.Common_SourceData_EFN2O_Data(), Table_SourceData_Common_EFN2O[[#Headers],[Production system j]], 0)</f>
        <v>Continuous flooding</v>
      </c>
      <c r="H196" s="39" t="str" cm="1">
        <f t="array" ref="H196">Common_InputFunctions.Utility_DisplayArrayInTable(Common_SourceData.Common_SourceData_EFN2O_Data(), Table_SourceData_Common_EFN2O[[#Headers],[Production system j]], 0)</f>
        <v>Any</v>
      </c>
    </row>
    <row r="197" spans="4:8" x14ac:dyDescent="0.25">
      <c r="D197" s="39" t="str" cm="1">
        <f t="array" ref="D197">Common_InputFunctions.Utility_DisplayArrayInTable(Common_SourceData.Common_SourceData_EFN2O_Data(), Table_SourceData_Common_EFN2O[[#Headers],[Production system j]], 0)</f>
        <v>Rice (single and multiple drainage, or alternate wetting and drying)</v>
      </c>
      <c r="E197" s="39" cm="1">
        <f t="array" ref="E197">Common_InputFunctions.Utility_DisplayArrayInTable(Common_SourceData.Common_SourceData_EFN2O_Data(), Table_SourceData_Common_EFN2O[[#Headers],[Production system j]], 0)</f>
        <v>5.0000000000000001E-3</v>
      </c>
      <c r="F197" s="39" t="str" cm="1">
        <f t="array" ref="F197">Common_InputFunctions.Utility_DisplayArrayInTable(Common_SourceData.Common_SourceData_EFN2O_Data(), Table_SourceData_Common_EFN2O[[#Headers],[Production system j]], 0)</f>
        <v>Rice</v>
      </c>
      <c r="G197" s="39" t="str" cm="1">
        <f t="array" ref="G197">Common_InputFunctions.Utility_DisplayArrayInTable(Common_SourceData.Common_SourceData_EFN2O_Data(), Table_SourceData_Common_EFN2O[[#Headers],[Production system j]], 0)</f>
        <v>Single and multiple drainage, or alternate wetting and drying</v>
      </c>
      <c r="H197" s="39" t="str" cm="1">
        <f t="array" ref="H197">Common_InputFunctions.Utility_DisplayArrayInTable(Common_SourceData.Common_SourceData_EFN2O_Data(), Table_SourceData_Common_EFN2O[[#Headers],[Production system j]], 0)</f>
        <v>Any</v>
      </c>
    </row>
    <row r="198" spans="4:8" x14ac:dyDescent="0.25">
      <c r="D198" s="39" t="str" cm="1">
        <f t="array" ref="D198">Common_InputFunctions.Utility_DisplayArrayInTable(Common_SourceData.Common_SourceData_EFN2O_Data(), Table_SourceData_Common_EFN2O[[#Headers],[Production system j]], 0)</f>
        <v>Aquaculture</v>
      </c>
      <c r="E198" s="39" cm="1">
        <f t="array" ref="E198">Common_InputFunctions.Utility_DisplayArrayInTable(Common_SourceData.Common_SourceData_EFN2O_Data(), Table_SourceData_Common_EFN2O[[#Headers],[Production system j]], 0)</f>
        <v>2.5999999999999999E-3</v>
      </c>
      <c r="F198" s="39" t="str" cm="1">
        <f t="array" ref="F198">Common_InputFunctions.Utility_DisplayArrayInTable(Common_SourceData.Common_SourceData_EFN2O_Data(), Table_SourceData_Common_EFN2O[[#Headers],[Production system j]], 0)</f>
        <v>Aquaculture</v>
      </c>
      <c r="G198" s="39" t="str" cm="1">
        <f t="array" ref="G198">Common_InputFunctions.Utility_DisplayArrayInTable(Common_SourceData.Common_SourceData_EFN2O_Data(), Table_SourceData_Common_EFN2O[[#Headers],[Production system j]], 0)</f>
        <v>Any</v>
      </c>
      <c r="H198" s="39" t="str" cm="1">
        <f t="array" ref="H198">Common_InputFunctions.Utility_DisplayArrayInTable(Common_SourceData.Common_SourceData_EFN2O_Data(), Table_SourceData_Common_EFN2O[[#Headers],[Production system j]], 0)</f>
        <v>Any</v>
      </c>
    </row>
    <row r="199" spans="4:8" x14ac:dyDescent="0.25">
      <c r="D199" s="39" t="str" cm="1">
        <f t="array" ref="D199">Common_InputFunctions.Utility_DisplayArrayInTable(Common_SourceData.Common_SourceData_EFN2O_Data(), Table_SourceData_Common_EFN2O[[#Headers],[Production system j]], 0)</f>
        <v>Forestry</v>
      </c>
      <c r="E199" s="39" cm="1">
        <f t="array" ref="E199">Common_InputFunctions.Utility_DisplayArrayInTable(Common_SourceData.Common_SourceData_EFN2O_Data(), Table_SourceData_Common_EFN2O[[#Headers],[Production system j]], 0)</f>
        <v>1.8E-3</v>
      </c>
      <c r="F199" s="39" t="str" cm="1">
        <f t="array" ref="F199">Common_InputFunctions.Utility_DisplayArrayInTable(Common_SourceData.Common_SourceData_EFN2O_Data(), Table_SourceData_Common_EFN2O[[#Headers],[Production system j]], 0)</f>
        <v>Forestry</v>
      </c>
      <c r="G199" s="39" t="str" cm="1">
        <f t="array" ref="G199">Common_InputFunctions.Utility_DisplayArrayInTable(Common_SourceData.Common_SourceData_EFN2O_Data(), Table_SourceData_Common_EFN2O[[#Headers],[Production system j]], 0)</f>
        <v>Any</v>
      </c>
      <c r="H199" s="39"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8" t="str" cm="1">
        <f t="array" ref="D204">Common_SourceData.Common_SourceData_EFPastureRangeAndPaddock_Variation()</f>
        <v>VARIATION FROM SOURCE DATA: Changed 'Dry climate zones' to singular 'Dry climate zone' to aid lookup.</v>
      </c>
    </row>
    <row r="205" spans="4:8" x14ac:dyDescent="0.25">
      <c r="D205" s="57" t="str" cm="1">
        <f t="array" ref="D205">Common_SourceData.Common_SourceData_EFPastureRangeAndPaddock_Unit()</f>
        <v>kg N2O - N / kg N</v>
      </c>
    </row>
    <row r="206" spans="4:8" x14ac:dyDescent="0.25">
      <c r="D206" s="39" t="s">
        <v>9</v>
      </c>
      <c r="E206" s="39" t="s">
        <v>360</v>
      </c>
    </row>
    <row r="207" spans="4:8" x14ac:dyDescent="0.25">
      <c r="D207" s="39" t="str" cm="1">
        <f t="array" ref="D207">Common_InputFunctions.Utility_DisplayArrayInTable(Common_SourceData.Common_SourceData_EFPastureRangeAndPaddock_Data(), Table_SourceData_EFPastureRangeAndPaddock[[#Headers],[Climate zone]], 0)</f>
        <v>Wet climate zone</v>
      </c>
      <c r="E207" s="39"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9"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9" t="s">
        <v>389</v>
      </c>
      <c r="E212" s="39" t="s">
        <v>390</v>
      </c>
    </row>
    <row r="213" spans="4:5" x14ac:dyDescent="0.25">
      <c r="D213" s="39" t="str" cm="1">
        <f t="array" ref="D213">Common_InputFunctions.Utility_DisplayArrayInTable(Common_SourceData.Common_SourceData_MonthsToSeasons_Data(), Table_SourceData_Common_MonthToSeason[[#Headers],[Month]], 0)</f>
        <v>January</v>
      </c>
      <c r="E213" s="39"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9"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9"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9"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9"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9"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9"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9"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9"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9"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9"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9"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8"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9" t="s">
        <v>53</v>
      </c>
      <c r="E231" s="39" t="s">
        <v>399</v>
      </c>
      <c r="F231" s="38" t="s">
        <v>400</v>
      </c>
      <c r="G231" s="39" t="s">
        <v>401</v>
      </c>
      <c r="H231" s="39" t="s">
        <v>402</v>
      </c>
      <c r="I231" s="39" t="s">
        <v>403</v>
      </c>
      <c r="J231" s="39" t="s">
        <v>404</v>
      </c>
      <c r="K231" s="39" t="s">
        <v>405</v>
      </c>
      <c r="L231" s="39" t="s">
        <v>406</v>
      </c>
      <c r="M231" s="39" t="s">
        <v>407</v>
      </c>
      <c r="N231" s="39" t="s">
        <v>408</v>
      </c>
      <c r="O231" s="39" t="s">
        <v>409</v>
      </c>
      <c r="P231" s="39" t="s">
        <v>410</v>
      </c>
      <c r="Q231" s="39" t="s">
        <v>411</v>
      </c>
      <c r="R231" s="39" t="s">
        <v>412</v>
      </c>
      <c r="S231" s="39" t="s">
        <v>413</v>
      </c>
    </row>
    <row r="232" spans="4:19" x14ac:dyDescent="0.25">
      <c r="D232" s="39" t="str" cm="1">
        <f t="array" ref="D232">Common_InputFunctions.Utility_DisplayArrayInTable(Common_SourceData.Common_SourceData_MCFTemperatureZone_Data(),Table_SourceData_Common_MCFTemperatureZone[[#Headers],[Temperature zone]],0)</f>
        <v>Cool</v>
      </c>
      <c r="E232" s="39" t="str" cm="1">
        <f t="array" ref="E232">Common_InputFunctions.Utility_DisplayArrayInTable(Common_SourceData.Common_SourceData_MCFTemperatureZone_Data(),Table_SourceData_Common_MCFTemperatureZone[[#Headers],[Temperature zone]],0)</f>
        <v>≤10</v>
      </c>
      <c r="F232" s="39" cm="1">
        <f t="array" ref="F232">Common_InputFunctions.Utility_DisplayArrayInTable(Common_SourceData.Common_SourceData_MCFTemperatureZone_Data(),Table_SourceData_Common_MCFTemperatureZone[[#Headers],[Temperature zone]],0)</f>
        <v>0.66</v>
      </c>
      <c r="G232" s="39" cm="1">
        <f t="array" ref="G232">Common_InputFunctions.Utility_DisplayArrayInTable(Common_SourceData.Common_SourceData_MCFTemperatureZone_Data(),Table_SourceData_Common_MCFTemperatureZone[[#Headers],[Temperature zone]],0)</f>
        <v>0.1</v>
      </c>
      <c r="H232" s="39" cm="1">
        <f t="array" ref="H232">Common_InputFunctions.Utility_DisplayArrayInTable(Common_SourceData.Common_SourceData_MCFTemperatureZone_Data(),Table_SourceData_Common_MCFTemperatureZone[[#Headers],[Temperature zone]],0)</f>
        <v>0.1</v>
      </c>
      <c r="I232" s="39" cm="1">
        <f t="array" ref="I232">Common_InputFunctions.Utility_DisplayArrayInTable(Common_SourceData.Common_SourceData_MCFTemperatureZone_Data(),Table_SourceData_Common_MCFTemperatureZone[[#Headers],[Temperature zone]],0)</f>
        <v>1E-3</v>
      </c>
      <c r="J232" s="39" cm="1">
        <f t="array" ref="J232">Common_InputFunctions.Utility_DisplayArrayInTable(Common_SourceData.Common_SourceData_MCFTemperatureZone_Data(),Table_SourceData_Common_MCFTemperatureZone[[#Headers],[Temperature zone]],0)</f>
        <v>5.0000000000000001E-3</v>
      </c>
      <c r="K232" s="39" cm="1">
        <f t="array" ref="K232">Common_InputFunctions.Utility_DisplayArrayInTable(Common_SourceData.Common_SourceData_MCFTemperatureZone_Data(),Table_SourceData_Common_MCFTemperatureZone[[#Headers],[Temperature zone]],0)</f>
        <v>0.02</v>
      </c>
      <c r="L232" s="39" cm="1">
        <f t="array" ref="L232">Common_InputFunctions.Utility_DisplayArrayInTable(Common_SourceData.Common_SourceData_MCFTemperatureZone_Data(),Table_SourceData_Common_MCFTemperatureZone[[#Headers],[Temperature zone]],0)</f>
        <v>0.03</v>
      </c>
      <c r="M232" s="39" cm="1">
        <f t="array" ref="M232">Common_InputFunctions.Utility_DisplayArrayInTable(Common_SourceData.Common_SourceData_MCFTemperatureZone_Data(),Table_SourceData_Common_MCFTemperatureZone[[#Headers],[Temperature zone]],0)</f>
        <v>0.04</v>
      </c>
      <c r="N232" s="39" cm="1">
        <f t="array" ref="N232">Common_InputFunctions.Utility_DisplayArrayInTable(Common_SourceData.Common_SourceData_MCFTemperatureZone_Data(),Table_SourceData_Common_MCFTemperatureZone[[#Headers],[Temperature zone]],0)</f>
        <v>1.4999999999999999E-2</v>
      </c>
      <c r="O232" s="39" cm="1">
        <f t="array" ref="O232">Common_InputFunctions.Utility_DisplayArrayInTable(Common_SourceData.Common_SourceData_MCFTemperatureZone_Data(),Table_SourceData_Common_MCFTemperatureZone[[#Headers],[Temperature zone]],0)</f>
        <v>1.4999999999999999E-2</v>
      </c>
      <c r="P232" s="39" cm="1">
        <f t="array" ref="P232">Common_InputFunctions.Utility_DisplayArrayInTable(Common_SourceData.Common_SourceData_MCFTemperatureZone_Data(),Table_SourceData_Common_MCFTemperatureZone[[#Headers],[Temperature zone]],0)</f>
        <v>0</v>
      </c>
      <c r="Q232" s="39" cm="1">
        <f t="array" ref="Q232">Common_InputFunctions.Utility_DisplayArrayInTable(Common_SourceData.Common_SourceData_MCFTemperatureZone_Data(),Table_SourceData_Common_MCFTemperatureZone[[#Headers],[Temperature zone]],0)</f>
        <v>0</v>
      </c>
      <c r="R232" s="39" cm="1">
        <f t="array" ref="R232">Common_InputFunctions.Utility_DisplayArrayInTable(Common_SourceData.Common_SourceData_MCFTemperatureZone_Data(),Table_SourceData_Common_MCFTemperatureZone[[#Headers],[Temperature zone]],0)</f>
        <v>4.7000000000000002E-3</v>
      </c>
      <c r="S232" s="39"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9" cm="1">
        <f t="array" ref="E233">Common_InputFunctions.Utility_DisplayArrayInTable(Common_SourceData.Common_SourceData_MCFTemperatureZone_Data(),Table_SourceData_Common_MCFTemperatureZone[[#Headers],[Temperature zone]],0)</f>
        <v>11</v>
      </c>
      <c r="F233" s="39" cm="1">
        <f t="array" ref="F233">Common_InputFunctions.Utility_DisplayArrayInTable(Common_SourceData.Common_SourceData_MCFTemperatureZone_Data(),Table_SourceData_Common_MCFTemperatureZone[[#Headers],[Temperature zone]],0)</f>
        <v>0.68</v>
      </c>
      <c r="G233" s="39" cm="1">
        <f t="array" ref="G233">Common_InputFunctions.Utility_DisplayArrayInTable(Common_SourceData.Common_SourceData_MCFTemperatureZone_Data(),Table_SourceData_Common_MCFTemperatureZone[[#Headers],[Temperature zone]],0)</f>
        <v>0.1</v>
      </c>
      <c r="H233" s="39" cm="1">
        <f t="array" ref="H233">Common_InputFunctions.Utility_DisplayArrayInTable(Common_SourceData.Common_SourceData_MCFTemperatureZone_Data(),Table_SourceData_Common_MCFTemperatureZone[[#Headers],[Temperature zone]],0)</f>
        <v>0.11</v>
      </c>
      <c r="I233" s="39" cm="1">
        <f t="array" ref="I233">Common_InputFunctions.Utility_DisplayArrayInTable(Common_SourceData.Common_SourceData_MCFTemperatureZone_Data(),Table_SourceData_Common_MCFTemperatureZone[[#Headers],[Temperature zone]],0)</f>
        <v>1E-3</v>
      </c>
      <c r="J233" s="39" cm="1">
        <f t="array" ref="J233">Common_InputFunctions.Utility_DisplayArrayInTable(Common_SourceData.Common_SourceData_MCFTemperatureZone_Data(),Table_SourceData_Common_MCFTemperatureZone[[#Headers],[Temperature zone]],0)</f>
        <v>5.0000000000000001E-3</v>
      </c>
      <c r="K233" s="39" cm="1">
        <f t="array" ref="K233">Common_InputFunctions.Utility_DisplayArrayInTable(Common_SourceData.Common_SourceData_MCFTemperatureZone_Data(),Table_SourceData_Common_MCFTemperatureZone[[#Headers],[Temperature zone]],0)</f>
        <v>0.02</v>
      </c>
      <c r="L233" s="39" cm="1">
        <f t="array" ref="L233">Common_InputFunctions.Utility_DisplayArrayInTable(Common_SourceData.Common_SourceData_MCFTemperatureZone_Data(),Table_SourceData_Common_MCFTemperatureZone[[#Headers],[Temperature zone]],0)</f>
        <v>0.03</v>
      </c>
      <c r="M233" s="39" cm="1">
        <f t="array" ref="M233">Common_InputFunctions.Utility_DisplayArrayInTable(Common_SourceData.Common_SourceData_MCFTemperatureZone_Data(),Table_SourceData_Common_MCFTemperatureZone[[#Headers],[Temperature zone]],0)</f>
        <v>0.04</v>
      </c>
      <c r="N233" s="39" cm="1">
        <f t="array" ref="N233">Common_InputFunctions.Utility_DisplayArrayInTable(Common_SourceData.Common_SourceData_MCFTemperatureZone_Data(),Table_SourceData_Common_MCFTemperatureZone[[#Headers],[Temperature zone]],0)</f>
        <v>1.4999999999999999E-2</v>
      </c>
      <c r="O233" s="39" cm="1">
        <f t="array" ref="O233">Common_InputFunctions.Utility_DisplayArrayInTable(Common_SourceData.Common_SourceData_MCFTemperatureZone_Data(),Table_SourceData_Common_MCFTemperatureZone[[#Headers],[Temperature zone]],0)</f>
        <v>1.4999999999999999E-2</v>
      </c>
      <c r="P233" s="39" cm="1">
        <f t="array" ref="P233">Common_InputFunctions.Utility_DisplayArrayInTable(Common_SourceData.Common_SourceData_MCFTemperatureZone_Data(),Table_SourceData_Common_MCFTemperatureZone[[#Headers],[Temperature zone]],0)</f>
        <v>0</v>
      </c>
      <c r="Q233" s="39" cm="1">
        <f t="array" ref="Q233">Common_InputFunctions.Utility_DisplayArrayInTable(Common_SourceData.Common_SourceData_MCFTemperatureZone_Data(),Table_SourceData_Common_MCFTemperatureZone[[#Headers],[Temperature zone]],0)</f>
        <v>0</v>
      </c>
      <c r="R233" s="39" cm="1">
        <f t="array" ref="R233">Common_InputFunctions.Utility_DisplayArrayInTable(Common_SourceData.Common_SourceData_MCFTemperatureZone_Data(),Table_SourceData_Common_MCFTemperatureZone[[#Headers],[Temperature zone]],0)</f>
        <v>4.7000000000000002E-3</v>
      </c>
      <c r="S233" s="39"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9" cm="1">
        <f t="array" ref="E234">Common_InputFunctions.Utility_DisplayArrayInTable(Common_SourceData.Common_SourceData_MCFTemperatureZone_Data(),Table_SourceData_Common_MCFTemperatureZone[[#Headers],[Temperature zone]],0)</f>
        <v>12</v>
      </c>
      <c r="F234" s="39" cm="1">
        <f t="array" ref="F234">Common_InputFunctions.Utility_DisplayArrayInTable(Common_SourceData.Common_SourceData_MCFTemperatureZone_Data(),Table_SourceData_Common_MCFTemperatureZone[[#Headers],[Temperature zone]],0)</f>
        <v>0.7</v>
      </c>
      <c r="G234" s="39" cm="1">
        <f t="array" ref="G234">Common_InputFunctions.Utility_DisplayArrayInTable(Common_SourceData.Common_SourceData_MCFTemperatureZone_Data(),Table_SourceData_Common_MCFTemperatureZone[[#Headers],[Temperature zone]],0)</f>
        <v>0.1</v>
      </c>
      <c r="H234" s="39" cm="1">
        <f t="array" ref="H234">Common_InputFunctions.Utility_DisplayArrayInTable(Common_SourceData.Common_SourceData_MCFTemperatureZone_Data(),Table_SourceData_Common_MCFTemperatureZone[[#Headers],[Temperature zone]],0)</f>
        <v>0.13</v>
      </c>
      <c r="I234" s="39" cm="1">
        <f t="array" ref="I234">Common_InputFunctions.Utility_DisplayArrayInTable(Common_SourceData.Common_SourceData_MCFTemperatureZone_Data(),Table_SourceData_Common_MCFTemperatureZone[[#Headers],[Temperature zone]],0)</f>
        <v>1E-3</v>
      </c>
      <c r="J234" s="39" cm="1">
        <f t="array" ref="J234">Common_InputFunctions.Utility_DisplayArrayInTable(Common_SourceData.Common_SourceData_MCFTemperatureZone_Data(),Table_SourceData_Common_MCFTemperatureZone[[#Headers],[Temperature zone]],0)</f>
        <v>5.0000000000000001E-3</v>
      </c>
      <c r="K234" s="39" cm="1">
        <f t="array" ref="K234">Common_InputFunctions.Utility_DisplayArrayInTable(Common_SourceData.Common_SourceData_MCFTemperatureZone_Data(),Table_SourceData_Common_MCFTemperatureZone[[#Headers],[Temperature zone]],0)</f>
        <v>0.02</v>
      </c>
      <c r="L234" s="39" cm="1">
        <f t="array" ref="L234">Common_InputFunctions.Utility_DisplayArrayInTable(Common_SourceData.Common_SourceData_MCFTemperatureZone_Data(),Table_SourceData_Common_MCFTemperatureZone[[#Headers],[Temperature zone]],0)</f>
        <v>0.03</v>
      </c>
      <c r="M234" s="39" cm="1">
        <f t="array" ref="M234">Common_InputFunctions.Utility_DisplayArrayInTable(Common_SourceData.Common_SourceData_MCFTemperatureZone_Data(),Table_SourceData_Common_MCFTemperatureZone[[#Headers],[Temperature zone]],0)</f>
        <v>0.04</v>
      </c>
      <c r="N234" s="39" cm="1">
        <f t="array" ref="N234">Common_InputFunctions.Utility_DisplayArrayInTable(Common_SourceData.Common_SourceData_MCFTemperatureZone_Data(),Table_SourceData_Common_MCFTemperatureZone[[#Headers],[Temperature zone]],0)</f>
        <v>1.4999999999999999E-2</v>
      </c>
      <c r="O234" s="39" cm="1">
        <f t="array" ref="O234">Common_InputFunctions.Utility_DisplayArrayInTable(Common_SourceData.Common_SourceData_MCFTemperatureZone_Data(),Table_SourceData_Common_MCFTemperatureZone[[#Headers],[Temperature zone]],0)</f>
        <v>1.4999999999999999E-2</v>
      </c>
      <c r="P234" s="39" cm="1">
        <f t="array" ref="P234">Common_InputFunctions.Utility_DisplayArrayInTable(Common_SourceData.Common_SourceData_MCFTemperatureZone_Data(),Table_SourceData_Common_MCFTemperatureZone[[#Headers],[Temperature zone]],0)</f>
        <v>0</v>
      </c>
      <c r="Q234" s="39" cm="1">
        <f t="array" ref="Q234">Common_InputFunctions.Utility_DisplayArrayInTable(Common_SourceData.Common_SourceData_MCFTemperatureZone_Data(),Table_SourceData_Common_MCFTemperatureZone[[#Headers],[Temperature zone]],0)</f>
        <v>0</v>
      </c>
      <c r="R234" s="39" cm="1">
        <f t="array" ref="R234">Common_InputFunctions.Utility_DisplayArrayInTable(Common_SourceData.Common_SourceData_MCFTemperatureZone_Data(),Table_SourceData_Common_MCFTemperatureZone[[#Headers],[Temperature zone]],0)</f>
        <v>4.7000000000000002E-3</v>
      </c>
      <c r="S234" s="39"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9" cm="1">
        <f t="array" ref="E235">Common_InputFunctions.Utility_DisplayArrayInTable(Common_SourceData.Common_SourceData_MCFTemperatureZone_Data(),Table_SourceData_Common_MCFTemperatureZone[[#Headers],[Temperature zone]],0)</f>
        <v>13</v>
      </c>
      <c r="F235" s="39" cm="1">
        <f t="array" ref="F235">Common_InputFunctions.Utility_DisplayArrayInTable(Common_SourceData.Common_SourceData_MCFTemperatureZone_Data(),Table_SourceData_Common_MCFTemperatureZone[[#Headers],[Temperature zone]],0)</f>
        <v>0.71</v>
      </c>
      <c r="G235" s="39" cm="1">
        <f t="array" ref="G235">Common_InputFunctions.Utility_DisplayArrayInTable(Common_SourceData.Common_SourceData_MCFTemperatureZone_Data(),Table_SourceData_Common_MCFTemperatureZone[[#Headers],[Temperature zone]],0)</f>
        <v>0.1</v>
      </c>
      <c r="H235" s="39" cm="1">
        <f t="array" ref="H235">Common_InputFunctions.Utility_DisplayArrayInTable(Common_SourceData.Common_SourceData_MCFTemperatureZone_Data(),Table_SourceData_Common_MCFTemperatureZone[[#Headers],[Temperature zone]],0)</f>
        <v>0.14000000000000001</v>
      </c>
      <c r="I235" s="39" cm="1">
        <f t="array" ref="I235">Common_InputFunctions.Utility_DisplayArrayInTable(Common_SourceData.Common_SourceData_MCFTemperatureZone_Data(),Table_SourceData_Common_MCFTemperatureZone[[#Headers],[Temperature zone]],0)</f>
        <v>1E-3</v>
      </c>
      <c r="J235" s="39" cm="1">
        <f t="array" ref="J235">Common_InputFunctions.Utility_DisplayArrayInTable(Common_SourceData.Common_SourceData_MCFTemperatureZone_Data(),Table_SourceData_Common_MCFTemperatureZone[[#Headers],[Temperature zone]],0)</f>
        <v>5.0000000000000001E-3</v>
      </c>
      <c r="K235" s="39" cm="1">
        <f t="array" ref="K235">Common_InputFunctions.Utility_DisplayArrayInTable(Common_SourceData.Common_SourceData_MCFTemperatureZone_Data(),Table_SourceData_Common_MCFTemperatureZone[[#Headers],[Temperature zone]],0)</f>
        <v>0.02</v>
      </c>
      <c r="L235" s="39" cm="1">
        <f t="array" ref="L235">Common_InputFunctions.Utility_DisplayArrayInTable(Common_SourceData.Common_SourceData_MCFTemperatureZone_Data(),Table_SourceData_Common_MCFTemperatureZone[[#Headers],[Temperature zone]],0)</f>
        <v>0.03</v>
      </c>
      <c r="M235" s="39" cm="1">
        <f t="array" ref="M235">Common_InputFunctions.Utility_DisplayArrayInTable(Common_SourceData.Common_SourceData_MCFTemperatureZone_Data(),Table_SourceData_Common_MCFTemperatureZone[[#Headers],[Temperature zone]],0)</f>
        <v>0.04</v>
      </c>
      <c r="N235" s="39" cm="1">
        <f t="array" ref="N235">Common_InputFunctions.Utility_DisplayArrayInTable(Common_SourceData.Common_SourceData_MCFTemperatureZone_Data(),Table_SourceData_Common_MCFTemperatureZone[[#Headers],[Temperature zone]],0)</f>
        <v>1.4999999999999999E-2</v>
      </c>
      <c r="O235" s="39" cm="1">
        <f t="array" ref="O235">Common_InputFunctions.Utility_DisplayArrayInTable(Common_SourceData.Common_SourceData_MCFTemperatureZone_Data(),Table_SourceData_Common_MCFTemperatureZone[[#Headers],[Temperature zone]],0)</f>
        <v>1.4999999999999999E-2</v>
      </c>
      <c r="P235" s="39" cm="1">
        <f t="array" ref="P235">Common_InputFunctions.Utility_DisplayArrayInTable(Common_SourceData.Common_SourceData_MCFTemperatureZone_Data(),Table_SourceData_Common_MCFTemperatureZone[[#Headers],[Temperature zone]],0)</f>
        <v>0</v>
      </c>
      <c r="Q235" s="39" cm="1">
        <f t="array" ref="Q235">Common_InputFunctions.Utility_DisplayArrayInTable(Common_SourceData.Common_SourceData_MCFTemperatureZone_Data(),Table_SourceData_Common_MCFTemperatureZone[[#Headers],[Temperature zone]],0)</f>
        <v>0</v>
      </c>
      <c r="R235" s="39" cm="1">
        <f t="array" ref="R235">Common_InputFunctions.Utility_DisplayArrayInTable(Common_SourceData.Common_SourceData_MCFTemperatureZone_Data(),Table_SourceData_Common_MCFTemperatureZone[[#Headers],[Temperature zone]],0)</f>
        <v>4.7000000000000002E-3</v>
      </c>
      <c r="S235" s="39"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9" cm="1">
        <f t="array" ref="E236">Common_InputFunctions.Utility_DisplayArrayInTable(Common_SourceData.Common_SourceData_MCFTemperatureZone_Data(),Table_SourceData_Common_MCFTemperatureZone[[#Headers],[Temperature zone]],0)</f>
        <v>14</v>
      </c>
      <c r="F236" s="39" cm="1">
        <f t="array" ref="F236">Common_InputFunctions.Utility_DisplayArrayInTable(Common_SourceData.Common_SourceData_MCFTemperatureZone_Data(),Table_SourceData_Common_MCFTemperatureZone[[#Headers],[Temperature zone]],0)</f>
        <v>0.73</v>
      </c>
      <c r="G236" s="39" cm="1">
        <f t="array" ref="G236">Common_InputFunctions.Utility_DisplayArrayInTable(Common_SourceData.Common_SourceData_MCFTemperatureZone_Data(),Table_SourceData_Common_MCFTemperatureZone[[#Headers],[Temperature zone]],0)</f>
        <v>0.1</v>
      </c>
      <c r="H236" s="39" cm="1">
        <f t="array" ref="H236">Common_InputFunctions.Utility_DisplayArrayInTable(Common_SourceData.Common_SourceData_MCFTemperatureZone_Data(),Table_SourceData_Common_MCFTemperatureZone[[#Headers],[Temperature zone]],0)</f>
        <v>0.15</v>
      </c>
      <c r="I236" s="39" cm="1">
        <f t="array" ref="I236">Common_InputFunctions.Utility_DisplayArrayInTable(Common_SourceData.Common_SourceData_MCFTemperatureZone_Data(),Table_SourceData_Common_MCFTemperatureZone[[#Headers],[Temperature zone]],0)</f>
        <v>1E-3</v>
      </c>
      <c r="J236" s="39" cm="1">
        <f t="array" ref="J236">Common_InputFunctions.Utility_DisplayArrayInTable(Common_SourceData.Common_SourceData_MCFTemperatureZone_Data(),Table_SourceData_Common_MCFTemperatureZone[[#Headers],[Temperature zone]],0)</f>
        <v>5.0000000000000001E-3</v>
      </c>
      <c r="K236" s="39" cm="1">
        <f t="array" ref="K236">Common_InputFunctions.Utility_DisplayArrayInTable(Common_SourceData.Common_SourceData_MCFTemperatureZone_Data(),Table_SourceData_Common_MCFTemperatureZone[[#Headers],[Temperature zone]],0)</f>
        <v>0.02</v>
      </c>
      <c r="L236" s="39" cm="1">
        <f t="array" ref="L236">Common_InputFunctions.Utility_DisplayArrayInTable(Common_SourceData.Common_SourceData_MCFTemperatureZone_Data(),Table_SourceData_Common_MCFTemperatureZone[[#Headers],[Temperature zone]],0)</f>
        <v>0.03</v>
      </c>
      <c r="M236" s="39" cm="1">
        <f t="array" ref="M236">Common_InputFunctions.Utility_DisplayArrayInTable(Common_SourceData.Common_SourceData_MCFTemperatureZone_Data(),Table_SourceData_Common_MCFTemperatureZone[[#Headers],[Temperature zone]],0)</f>
        <v>0.04</v>
      </c>
      <c r="N236" s="39" cm="1">
        <f t="array" ref="N236">Common_InputFunctions.Utility_DisplayArrayInTable(Common_SourceData.Common_SourceData_MCFTemperatureZone_Data(),Table_SourceData_Common_MCFTemperatureZone[[#Headers],[Temperature zone]],0)</f>
        <v>1.4999999999999999E-2</v>
      </c>
      <c r="O236" s="39" cm="1">
        <f t="array" ref="O236">Common_InputFunctions.Utility_DisplayArrayInTable(Common_SourceData.Common_SourceData_MCFTemperatureZone_Data(),Table_SourceData_Common_MCFTemperatureZone[[#Headers],[Temperature zone]],0)</f>
        <v>1.4999999999999999E-2</v>
      </c>
      <c r="P236" s="39" cm="1">
        <f t="array" ref="P236">Common_InputFunctions.Utility_DisplayArrayInTable(Common_SourceData.Common_SourceData_MCFTemperatureZone_Data(),Table_SourceData_Common_MCFTemperatureZone[[#Headers],[Temperature zone]],0)</f>
        <v>0</v>
      </c>
      <c r="Q236" s="39" cm="1">
        <f t="array" ref="Q236">Common_InputFunctions.Utility_DisplayArrayInTable(Common_SourceData.Common_SourceData_MCFTemperatureZone_Data(),Table_SourceData_Common_MCFTemperatureZone[[#Headers],[Temperature zone]],0)</f>
        <v>0</v>
      </c>
      <c r="R236" s="39" cm="1">
        <f t="array" ref="R236">Common_InputFunctions.Utility_DisplayArrayInTable(Common_SourceData.Common_SourceData_MCFTemperatureZone_Data(),Table_SourceData_Common_MCFTemperatureZone[[#Headers],[Temperature zone]],0)</f>
        <v>4.7000000000000002E-3</v>
      </c>
      <c r="S236" s="39"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9" cm="1">
        <f t="array" ref="E237">Common_InputFunctions.Utility_DisplayArrayInTable(Common_SourceData.Common_SourceData_MCFTemperatureZone_Data(),Table_SourceData_Common_MCFTemperatureZone[[#Headers],[Temperature zone]],0)</f>
        <v>15</v>
      </c>
      <c r="F237" s="39" cm="1">
        <f t="array" ref="F237">Common_InputFunctions.Utility_DisplayArrayInTable(Common_SourceData.Common_SourceData_MCFTemperatureZone_Data(),Table_SourceData_Common_MCFTemperatureZone[[#Headers],[Temperature zone]],0)</f>
        <v>0.74</v>
      </c>
      <c r="G237" s="39" cm="1">
        <f t="array" ref="G237">Common_InputFunctions.Utility_DisplayArrayInTable(Common_SourceData.Common_SourceData_MCFTemperatureZone_Data(),Table_SourceData_Common_MCFTemperatureZone[[#Headers],[Temperature zone]],0)</f>
        <v>0.1</v>
      </c>
      <c r="H237" s="39" cm="1">
        <f t="array" ref="H237">Common_InputFunctions.Utility_DisplayArrayInTable(Common_SourceData.Common_SourceData_MCFTemperatureZone_Data(),Table_SourceData_Common_MCFTemperatureZone[[#Headers],[Temperature zone]],0)</f>
        <v>0.17</v>
      </c>
      <c r="I237" s="39" cm="1">
        <f t="array" ref="I237">Common_InputFunctions.Utility_DisplayArrayInTable(Common_SourceData.Common_SourceData_MCFTemperatureZone_Data(),Table_SourceData_Common_MCFTemperatureZone[[#Headers],[Temperature zone]],0)</f>
        <v>5.0000000000000001E-3</v>
      </c>
      <c r="J237" s="39" cm="1">
        <f t="array" ref="J237">Common_InputFunctions.Utility_DisplayArrayInTable(Common_SourceData.Common_SourceData_MCFTemperatureZone_Data(),Table_SourceData_Common_MCFTemperatureZone[[#Headers],[Temperature zone]],0)</f>
        <v>0.01</v>
      </c>
      <c r="K237" s="39" cm="1">
        <f t="array" ref="K237">Common_InputFunctions.Utility_DisplayArrayInTable(Common_SourceData.Common_SourceData_MCFTemperatureZone_Data(),Table_SourceData_Common_MCFTemperatureZone[[#Headers],[Temperature zone]],0)</f>
        <v>0.02</v>
      </c>
      <c r="L237" s="39" cm="1">
        <f t="array" ref="L237">Common_InputFunctions.Utility_DisplayArrayInTable(Common_SourceData.Common_SourceData_MCFTemperatureZone_Data(),Table_SourceData_Common_MCFTemperatureZone[[#Headers],[Temperature zone]],0)</f>
        <v>0.03</v>
      </c>
      <c r="M237" s="39" cm="1">
        <f t="array" ref="M237">Common_InputFunctions.Utility_DisplayArrayInTable(Common_SourceData.Common_SourceData_MCFTemperatureZone_Data(),Table_SourceData_Common_MCFTemperatureZone[[#Headers],[Temperature zone]],0)</f>
        <v>0.04</v>
      </c>
      <c r="N237" s="39" cm="1">
        <f t="array" ref="N237">Common_InputFunctions.Utility_DisplayArrayInTable(Common_SourceData.Common_SourceData_MCFTemperatureZone_Data(),Table_SourceData_Common_MCFTemperatureZone[[#Headers],[Temperature zone]],0)</f>
        <v>1.4999999999999999E-2</v>
      </c>
      <c r="O237" s="39" cm="1">
        <f t="array" ref="O237">Common_InputFunctions.Utility_DisplayArrayInTable(Common_SourceData.Common_SourceData_MCFTemperatureZone_Data(),Table_SourceData_Common_MCFTemperatureZone[[#Headers],[Temperature zone]],0)</f>
        <v>1.4999999999999999E-2</v>
      </c>
      <c r="P237" s="39" cm="1">
        <f t="array" ref="P237">Common_InputFunctions.Utility_DisplayArrayInTable(Common_SourceData.Common_SourceData_MCFTemperatureZone_Data(),Table_SourceData_Common_MCFTemperatureZone[[#Headers],[Temperature zone]],0)</f>
        <v>0</v>
      </c>
      <c r="Q237" s="39" cm="1">
        <f t="array" ref="Q237">Common_InputFunctions.Utility_DisplayArrayInTable(Common_SourceData.Common_SourceData_MCFTemperatureZone_Data(),Table_SourceData_Common_MCFTemperatureZone[[#Headers],[Temperature zone]],0)</f>
        <v>0</v>
      </c>
      <c r="R237" s="39" cm="1">
        <f t="array" ref="R237">Common_InputFunctions.Utility_DisplayArrayInTable(Common_SourceData.Common_SourceData_MCFTemperatureZone_Data(),Table_SourceData_Common_MCFTemperatureZone[[#Headers],[Temperature zone]],0)</f>
        <v>4.7000000000000002E-3</v>
      </c>
      <c r="S237" s="39"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9" cm="1">
        <f t="array" ref="E238">Common_InputFunctions.Utility_DisplayArrayInTable(Common_SourceData.Common_SourceData_MCFTemperatureZone_Data(),Table_SourceData_Common_MCFTemperatureZone[[#Headers],[Temperature zone]],0)</f>
        <v>16</v>
      </c>
      <c r="F238" s="39" cm="1">
        <f t="array" ref="F238">Common_InputFunctions.Utility_DisplayArrayInTable(Common_SourceData.Common_SourceData_MCFTemperatureZone_Data(),Table_SourceData_Common_MCFTemperatureZone[[#Headers],[Temperature zone]],0)</f>
        <v>0.75</v>
      </c>
      <c r="G238" s="39" cm="1">
        <f t="array" ref="G238">Common_InputFunctions.Utility_DisplayArrayInTable(Common_SourceData.Common_SourceData_MCFTemperatureZone_Data(),Table_SourceData_Common_MCFTemperatureZone[[#Headers],[Temperature zone]],0)</f>
        <v>0.1</v>
      </c>
      <c r="H238" s="39" cm="1">
        <f t="array" ref="H238">Common_InputFunctions.Utility_DisplayArrayInTable(Common_SourceData.Common_SourceData_MCFTemperatureZone_Data(),Table_SourceData_Common_MCFTemperatureZone[[#Headers],[Temperature zone]],0)</f>
        <v>0.18</v>
      </c>
      <c r="I238" s="39" cm="1">
        <f t="array" ref="I238">Common_InputFunctions.Utility_DisplayArrayInTable(Common_SourceData.Common_SourceData_MCFTemperatureZone_Data(),Table_SourceData_Common_MCFTemperatureZone[[#Headers],[Temperature zone]],0)</f>
        <v>5.0000000000000001E-3</v>
      </c>
      <c r="J238" s="39" cm="1">
        <f t="array" ref="J238">Common_InputFunctions.Utility_DisplayArrayInTable(Common_SourceData.Common_SourceData_MCFTemperatureZone_Data(),Table_SourceData_Common_MCFTemperatureZone[[#Headers],[Temperature zone]],0)</f>
        <v>0.01</v>
      </c>
      <c r="K238" s="39" cm="1">
        <f t="array" ref="K238">Common_InputFunctions.Utility_DisplayArrayInTable(Common_SourceData.Common_SourceData_MCFTemperatureZone_Data(),Table_SourceData_Common_MCFTemperatureZone[[#Headers],[Temperature zone]],0)</f>
        <v>0.02</v>
      </c>
      <c r="L238" s="39" cm="1">
        <f t="array" ref="L238">Common_InputFunctions.Utility_DisplayArrayInTable(Common_SourceData.Common_SourceData_MCFTemperatureZone_Data(),Table_SourceData_Common_MCFTemperatureZone[[#Headers],[Temperature zone]],0)</f>
        <v>0.03</v>
      </c>
      <c r="M238" s="39" cm="1">
        <f t="array" ref="M238">Common_InputFunctions.Utility_DisplayArrayInTable(Common_SourceData.Common_SourceData_MCFTemperatureZone_Data(),Table_SourceData_Common_MCFTemperatureZone[[#Headers],[Temperature zone]],0)</f>
        <v>0.04</v>
      </c>
      <c r="N238" s="39" cm="1">
        <f t="array" ref="N238">Common_InputFunctions.Utility_DisplayArrayInTable(Common_SourceData.Common_SourceData_MCFTemperatureZone_Data(),Table_SourceData_Common_MCFTemperatureZone[[#Headers],[Temperature zone]],0)</f>
        <v>1.4999999999999999E-2</v>
      </c>
      <c r="O238" s="39" cm="1">
        <f t="array" ref="O238">Common_InputFunctions.Utility_DisplayArrayInTable(Common_SourceData.Common_SourceData_MCFTemperatureZone_Data(),Table_SourceData_Common_MCFTemperatureZone[[#Headers],[Temperature zone]],0)</f>
        <v>1.4999999999999999E-2</v>
      </c>
      <c r="P238" s="39" cm="1">
        <f t="array" ref="P238">Common_InputFunctions.Utility_DisplayArrayInTable(Common_SourceData.Common_SourceData_MCFTemperatureZone_Data(),Table_SourceData_Common_MCFTemperatureZone[[#Headers],[Temperature zone]],0)</f>
        <v>0</v>
      </c>
      <c r="Q238" s="39" cm="1">
        <f t="array" ref="Q238">Common_InputFunctions.Utility_DisplayArrayInTable(Common_SourceData.Common_SourceData_MCFTemperatureZone_Data(),Table_SourceData_Common_MCFTemperatureZone[[#Headers],[Temperature zone]],0)</f>
        <v>0</v>
      </c>
      <c r="R238" s="39" cm="1">
        <f t="array" ref="R238">Common_InputFunctions.Utility_DisplayArrayInTable(Common_SourceData.Common_SourceData_MCFTemperatureZone_Data(),Table_SourceData_Common_MCFTemperatureZone[[#Headers],[Temperature zone]],0)</f>
        <v>4.7000000000000002E-3</v>
      </c>
      <c r="S238" s="39"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9" cm="1">
        <f t="array" ref="E239">Common_InputFunctions.Utility_DisplayArrayInTable(Common_SourceData.Common_SourceData_MCFTemperatureZone_Data(),Table_SourceData_Common_MCFTemperatureZone[[#Headers],[Temperature zone]],0)</f>
        <v>17</v>
      </c>
      <c r="F239" s="39" cm="1">
        <f t="array" ref="F239">Common_InputFunctions.Utility_DisplayArrayInTable(Common_SourceData.Common_SourceData_MCFTemperatureZone_Data(),Table_SourceData_Common_MCFTemperatureZone[[#Headers],[Temperature zone]],0)</f>
        <v>0.76</v>
      </c>
      <c r="G239" s="39" cm="1">
        <f t="array" ref="G239">Common_InputFunctions.Utility_DisplayArrayInTable(Common_SourceData.Common_SourceData_MCFTemperatureZone_Data(),Table_SourceData_Common_MCFTemperatureZone[[#Headers],[Temperature zone]],0)</f>
        <v>0.1</v>
      </c>
      <c r="H239" s="39" cm="1">
        <f t="array" ref="H239">Common_InputFunctions.Utility_DisplayArrayInTable(Common_SourceData.Common_SourceData_MCFTemperatureZone_Data(),Table_SourceData_Common_MCFTemperatureZone[[#Headers],[Temperature zone]],0)</f>
        <v>0.2</v>
      </c>
      <c r="I239" s="39" cm="1">
        <f t="array" ref="I239">Common_InputFunctions.Utility_DisplayArrayInTable(Common_SourceData.Common_SourceData_MCFTemperatureZone_Data(),Table_SourceData_Common_MCFTemperatureZone[[#Headers],[Temperature zone]],0)</f>
        <v>5.0000000000000001E-3</v>
      </c>
      <c r="J239" s="39" cm="1">
        <f t="array" ref="J239">Common_InputFunctions.Utility_DisplayArrayInTable(Common_SourceData.Common_SourceData_MCFTemperatureZone_Data(),Table_SourceData_Common_MCFTemperatureZone[[#Headers],[Temperature zone]],0)</f>
        <v>0.01</v>
      </c>
      <c r="K239" s="39" cm="1">
        <f t="array" ref="K239">Common_InputFunctions.Utility_DisplayArrayInTable(Common_SourceData.Common_SourceData_MCFTemperatureZone_Data(),Table_SourceData_Common_MCFTemperatureZone[[#Headers],[Temperature zone]],0)</f>
        <v>0.02</v>
      </c>
      <c r="L239" s="39" cm="1">
        <f t="array" ref="L239">Common_InputFunctions.Utility_DisplayArrayInTable(Common_SourceData.Common_SourceData_MCFTemperatureZone_Data(),Table_SourceData_Common_MCFTemperatureZone[[#Headers],[Temperature zone]],0)</f>
        <v>0.03</v>
      </c>
      <c r="M239" s="39" cm="1">
        <f t="array" ref="M239">Common_InputFunctions.Utility_DisplayArrayInTable(Common_SourceData.Common_SourceData_MCFTemperatureZone_Data(),Table_SourceData_Common_MCFTemperatureZone[[#Headers],[Temperature zone]],0)</f>
        <v>0.04</v>
      </c>
      <c r="N239" s="39" cm="1">
        <f t="array" ref="N239">Common_InputFunctions.Utility_DisplayArrayInTable(Common_SourceData.Common_SourceData_MCFTemperatureZone_Data(),Table_SourceData_Common_MCFTemperatureZone[[#Headers],[Temperature zone]],0)</f>
        <v>1.4999999999999999E-2</v>
      </c>
      <c r="O239" s="39" cm="1">
        <f t="array" ref="O239">Common_InputFunctions.Utility_DisplayArrayInTable(Common_SourceData.Common_SourceData_MCFTemperatureZone_Data(),Table_SourceData_Common_MCFTemperatureZone[[#Headers],[Temperature zone]],0)</f>
        <v>1.4999999999999999E-2</v>
      </c>
      <c r="P239" s="39" cm="1">
        <f t="array" ref="P239">Common_InputFunctions.Utility_DisplayArrayInTable(Common_SourceData.Common_SourceData_MCFTemperatureZone_Data(),Table_SourceData_Common_MCFTemperatureZone[[#Headers],[Temperature zone]],0)</f>
        <v>0</v>
      </c>
      <c r="Q239" s="39" cm="1">
        <f t="array" ref="Q239">Common_InputFunctions.Utility_DisplayArrayInTable(Common_SourceData.Common_SourceData_MCFTemperatureZone_Data(),Table_SourceData_Common_MCFTemperatureZone[[#Headers],[Temperature zone]],0)</f>
        <v>0</v>
      </c>
      <c r="R239" s="39" cm="1">
        <f t="array" ref="R239">Common_InputFunctions.Utility_DisplayArrayInTable(Common_SourceData.Common_SourceData_MCFTemperatureZone_Data(),Table_SourceData_Common_MCFTemperatureZone[[#Headers],[Temperature zone]],0)</f>
        <v>4.7000000000000002E-3</v>
      </c>
      <c r="S239" s="39"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9" cm="1">
        <f t="array" ref="E240">Common_InputFunctions.Utility_DisplayArrayInTable(Common_SourceData.Common_SourceData_MCFTemperatureZone_Data(),Table_SourceData_Common_MCFTemperatureZone[[#Headers],[Temperature zone]],0)</f>
        <v>18</v>
      </c>
      <c r="F240" s="39" cm="1">
        <f t="array" ref="F240">Common_InputFunctions.Utility_DisplayArrayInTable(Common_SourceData.Common_SourceData_MCFTemperatureZone_Data(),Table_SourceData_Common_MCFTemperatureZone[[#Headers],[Temperature zone]],0)</f>
        <v>0.77</v>
      </c>
      <c r="G240" s="39" cm="1">
        <f t="array" ref="G240">Common_InputFunctions.Utility_DisplayArrayInTable(Common_SourceData.Common_SourceData_MCFTemperatureZone_Data(),Table_SourceData_Common_MCFTemperatureZone[[#Headers],[Temperature zone]],0)</f>
        <v>0.1</v>
      </c>
      <c r="H240" s="39" cm="1">
        <f t="array" ref="H240">Common_InputFunctions.Utility_DisplayArrayInTable(Common_SourceData.Common_SourceData_MCFTemperatureZone_Data(),Table_SourceData_Common_MCFTemperatureZone[[#Headers],[Temperature zone]],0)</f>
        <v>0.22</v>
      </c>
      <c r="I240" s="39" cm="1">
        <f t="array" ref="I240">Common_InputFunctions.Utility_DisplayArrayInTable(Common_SourceData.Common_SourceData_MCFTemperatureZone_Data(),Table_SourceData_Common_MCFTemperatureZone[[#Headers],[Temperature zone]],0)</f>
        <v>5.0000000000000001E-3</v>
      </c>
      <c r="J240" s="39" cm="1">
        <f t="array" ref="J240">Common_InputFunctions.Utility_DisplayArrayInTable(Common_SourceData.Common_SourceData_MCFTemperatureZone_Data(),Table_SourceData_Common_MCFTemperatureZone[[#Headers],[Temperature zone]],0)</f>
        <v>0.01</v>
      </c>
      <c r="K240" s="39" cm="1">
        <f t="array" ref="K240">Common_InputFunctions.Utility_DisplayArrayInTable(Common_SourceData.Common_SourceData_MCFTemperatureZone_Data(),Table_SourceData_Common_MCFTemperatureZone[[#Headers],[Temperature zone]],0)</f>
        <v>0.02</v>
      </c>
      <c r="L240" s="39" cm="1">
        <f t="array" ref="L240">Common_InputFunctions.Utility_DisplayArrayInTable(Common_SourceData.Common_SourceData_MCFTemperatureZone_Data(),Table_SourceData_Common_MCFTemperatureZone[[#Headers],[Temperature zone]],0)</f>
        <v>0.03</v>
      </c>
      <c r="M240" s="39" cm="1">
        <f t="array" ref="M240">Common_InputFunctions.Utility_DisplayArrayInTable(Common_SourceData.Common_SourceData_MCFTemperatureZone_Data(),Table_SourceData_Common_MCFTemperatureZone[[#Headers],[Temperature zone]],0)</f>
        <v>0.04</v>
      </c>
      <c r="N240" s="39" cm="1">
        <f t="array" ref="N240">Common_InputFunctions.Utility_DisplayArrayInTable(Common_SourceData.Common_SourceData_MCFTemperatureZone_Data(),Table_SourceData_Common_MCFTemperatureZone[[#Headers],[Temperature zone]],0)</f>
        <v>1.4999999999999999E-2</v>
      </c>
      <c r="O240" s="39" cm="1">
        <f t="array" ref="O240">Common_InputFunctions.Utility_DisplayArrayInTable(Common_SourceData.Common_SourceData_MCFTemperatureZone_Data(),Table_SourceData_Common_MCFTemperatureZone[[#Headers],[Temperature zone]],0)</f>
        <v>1.4999999999999999E-2</v>
      </c>
      <c r="P240" s="39" cm="1">
        <f t="array" ref="P240">Common_InputFunctions.Utility_DisplayArrayInTable(Common_SourceData.Common_SourceData_MCFTemperatureZone_Data(),Table_SourceData_Common_MCFTemperatureZone[[#Headers],[Temperature zone]],0)</f>
        <v>0</v>
      </c>
      <c r="Q240" s="39" cm="1">
        <f t="array" ref="Q240">Common_InputFunctions.Utility_DisplayArrayInTable(Common_SourceData.Common_SourceData_MCFTemperatureZone_Data(),Table_SourceData_Common_MCFTemperatureZone[[#Headers],[Temperature zone]],0)</f>
        <v>0</v>
      </c>
      <c r="R240" s="39" cm="1">
        <f t="array" ref="R240">Common_InputFunctions.Utility_DisplayArrayInTable(Common_SourceData.Common_SourceData_MCFTemperatureZone_Data(),Table_SourceData_Common_MCFTemperatureZone[[#Headers],[Temperature zone]],0)</f>
        <v>4.7000000000000002E-3</v>
      </c>
      <c r="S240" s="39"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9" cm="1">
        <f t="array" ref="E241">Common_InputFunctions.Utility_DisplayArrayInTable(Common_SourceData.Common_SourceData_MCFTemperatureZone_Data(),Table_SourceData_Common_MCFTemperatureZone[[#Headers],[Temperature zone]],0)</f>
        <v>19</v>
      </c>
      <c r="F241" s="39" cm="1">
        <f t="array" ref="F241">Common_InputFunctions.Utility_DisplayArrayInTable(Common_SourceData.Common_SourceData_MCFTemperatureZone_Data(),Table_SourceData_Common_MCFTemperatureZone[[#Headers],[Temperature zone]],0)</f>
        <v>0.77</v>
      </c>
      <c r="G241" s="39" cm="1">
        <f t="array" ref="G241">Common_InputFunctions.Utility_DisplayArrayInTable(Common_SourceData.Common_SourceData_MCFTemperatureZone_Data(),Table_SourceData_Common_MCFTemperatureZone[[#Headers],[Temperature zone]],0)</f>
        <v>0.1</v>
      </c>
      <c r="H241" s="39" cm="1">
        <f t="array" ref="H241">Common_InputFunctions.Utility_DisplayArrayInTable(Common_SourceData.Common_SourceData_MCFTemperatureZone_Data(),Table_SourceData_Common_MCFTemperatureZone[[#Headers],[Temperature zone]],0)</f>
        <v>0.24</v>
      </c>
      <c r="I241" s="39" cm="1">
        <f t="array" ref="I241">Common_InputFunctions.Utility_DisplayArrayInTable(Common_SourceData.Common_SourceData_MCFTemperatureZone_Data(),Table_SourceData_Common_MCFTemperatureZone[[#Headers],[Temperature zone]],0)</f>
        <v>5.0000000000000001E-3</v>
      </c>
      <c r="J241" s="39" cm="1">
        <f t="array" ref="J241">Common_InputFunctions.Utility_DisplayArrayInTable(Common_SourceData.Common_SourceData_MCFTemperatureZone_Data(),Table_SourceData_Common_MCFTemperatureZone[[#Headers],[Temperature zone]],0)</f>
        <v>0.01</v>
      </c>
      <c r="K241" s="39" cm="1">
        <f t="array" ref="K241">Common_InputFunctions.Utility_DisplayArrayInTable(Common_SourceData.Common_SourceData_MCFTemperatureZone_Data(),Table_SourceData_Common_MCFTemperatureZone[[#Headers],[Temperature zone]],0)</f>
        <v>0.02</v>
      </c>
      <c r="L241" s="39" cm="1">
        <f t="array" ref="L241">Common_InputFunctions.Utility_DisplayArrayInTable(Common_SourceData.Common_SourceData_MCFTemperatureZone_Data(),Table_SourceData_Common_MCFTemperatureZone[[#Headers],[Temperature zone]],0)</f>
        <v>0.03</v>
      </c>
      <c r="M241" s="39" cm="1">
        <f t="array" ref="M241">Common_InputFunctions.Utility_DisplayArrayInTable(Common_SourceData.Common_SourceData_MCFTemperatureZone_Data(),Table_SourceData_Common_MCFTemperatureZone[[#Headers],[Temperature zone]],0)</f>
        <v>0.04</v>
      </c>
      <c r="N241" s="39" cm="1">
        <f t="array" ref="N241">Common_InputFunctions.Utility_DisplayArrayInTable(Common_SourceData.Common_SourceData_MCFTemperatureZone_Data(),Table_SourceData_Common_MCFTemperatureZone[[#Headers],[Temperature zone]],0)</f>
        <v>1.4999999999999999E-2</v>
      </c>
      <c r="O241" s="39" cm="1">
        <f t="array" ref="O241">Common_InputFunctions.Utility_DisplayArrayInTable(Common_SourceData.Common_SourceData_MCFTemperatureZone_Data(),Table_SourceData_Common_MCFTemperatureZone[[#Headers],[Temperature zone]],0)</f>
        <v>1.4999999999999999E-2</v>
      </c>
      <c r="P241" s="39" cm="1">
        <f t="array" ref="P241">Common_InputFunctions.Utility_DisplayArrayInTable(Common_SourceData.Common_SourceData_MCFTemperatureZone_Data(),Table_SourceData_Common_MCFTemperatureZone[[#Headers],[Temperature zone]],0)</f>
        <v>0</v>
      </c>
      <c r="Q241" s="39" cm="1">
        <f t="array" ref="Q241">Common_InputFunctions.Utility_DisplayArrayInTable(Common_SourceData.Common_SourceData_MCFTemperatureZone_Data(),Table_SourceData_Common_MCFTemperatureZone[[#Headers],[Temperature zone]],0)</f>
        <v>0</v>
      </c>
      <c r="R241" s="39" cm="1">
        <f t="array" ref="R241">Common_InputFunctions.Utility_DisplayArrayInTable(Common_SourceData.Common_SourceData_MCFTemperatureZone_Data(),Table_SourceData_Common_MCFTemperatureZone[[#Headers],[Temperature zone]],0)</f>
        <v>4.7000000000000002E-3</v>
      </c>
      <c r="S241" s="39"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9" cm="1">
        <f t="array" ref="E242">Common_InputFunctions.Utility_DisplayArrayInTable(Common_SourceData.Common_SourceData_MCFTemperatureZone_Data(),Table_SourceData_Common_MCFTemperatureZone[[#Headers],[Temperature zone]],0)</f>
        <v>20</v>
      </c>
      <c r="F242" s="39" cm="1">
        <f t="array" ref="F242">Common_InputFunctions.Utility_DisplayArrayInTable(Common_SourceData.Common_SourceData_MCFTemperatureZone_Data(),Table_SourceData_Common_MCFTemperatureZone[[#Headers],[Temperature zone]],0)</f>
        <v>0.78</v>
      </c>
      <c r="G242" s="39" cm="1">
        <f t="array" ref="G242">Common_InputFunctions.Utility_DisplayArrayInTable(Common_SourceData.Common_SourceData_MCFTemperatureZone_Data(),Table_SourceData_Common_MCFTemperatureZone[[#Headers],[Temperature zone]],0)</f>
        <v>0.1</v>
      </c>
      <c r="H242" s="39" cm="1">
        <f t="array" ref="H242">Common_InputFunctions.Utility_DisplayArrayInTable(Common_SourceData.Common_SourceData_MCFTemperatureZone_Data(),Table_SourceData_Common_MCFTemperatureZone[[#Headers],[Temperature zone]],0)</f>
        <v>0.26</v>
      </c>
      <c r="I242" s="39" cm="1">
        <f t="array" ref="I242">Common_InputFunctions.Utility_DisplayArrayInTable(Common_SourceData.Common_SourceData_MCFTemperatureZone_Data(),Table_SourceData_Common_MCFTemperatureZone[[#Headers],[Temperature zone]],0)</f>
        <v>5.0000000000000001E-3</v>
      </c>
      <c r="J242" s="39" cm="1">
        <f t="array" ref="J242">Common_InputFunctions.Utility_DisplayArrayInTable(Common_SourceData.Common_SourceData_MCFTemperatureZone_Data(),Table_SourceData_Common_MCFTemperatureZone[[#Headers],[Temperature zone]],0)</f>
        <v>0.01</v>
      </c>
      <c r="K242" s="39" cm="1">
        <f t="array" ref="K242">Common_InputFunctions.Utility_DisplayArrayInTable(Common_SourceData.Common_SourceData_MCFTemperatureZone_Data(),Table_SourceData_Common_MCFTemperatureZone[[#Headers],[Temperature zone]],0)</f>
        <v>0.02</v>
      </c>
      <c r="L242" s="39" cm="1">
        <f t="array" ref="L242">Common_InputFunctions.Utility_DisplayArrayInTable(Common_SourceData.Common_SourceData_MCFTemperatureZone_Data(),Table_SourceData_Common_MCFTemperatureZone[[#Headers],[Temperature zone]],0)</f>
        <v>0.03</v>
      </c>
      <c r="M242" s="39" cm="1">
        <f t="array" ref="M242">Common_InputFunctions.Utility_DisplayArrayInTable(Common_SourceData.Common_SourceData_MCFTemperatureZone_Data(),Table_SourceData_Common_MCFTemperatureZone[[#Headers],[Temperature zone]],0)</f>
        <v>0.04</v>
      </c>
      <c r="N242" s="39" cm="1">
        <f t="array" ref="N242">Common_InputFunctions.Utility_DisplayArrayInTable(Common_SourceData.Common_SourceData_MCFTemperatureZone_Data(),Table_SourceData_Common_MCFTemperatureZone[[#Headers],[Temperature zone]],0)</f>
        <v>1.4999999999999999E-2</v>
      </c>
      <c r="O242" s="39" cm="1">
        <f t="array" ref="O242">Common_InputFunctions.Utility_DisplayArrayInTable(Common_SourceData.Common_SourceData_MCFTemperatureZone_Data(),Table_SourceData_Common_MCFTemperatureZone[[#Headers],[Temperature zone]],0)</f>
        <v>1.4999999999999999E-2</v>
      </c>
      <c r="P242" s="39" cm="1">
        <f t="array" ref="P242">Common_InputFunctions.Utility_DisplayArrayInTable(Common_SourceData.Common_SourceData_MCFTemperatureZone_Data(),Table_SourceData_Common_MCFTemperatureZone[[#Headers],[Temperature zone]],0)</f>
        <v>0</v>
      </c>
      <c r="Q242" s="39" cm="1">
        <f t="array" ref="Q242">Common_InputFunctions.Utility_DisplayArrayInTable(Common_SourceData.Common_SourceData_MCFTemperatureZone_Data(),Table_SourceData_Common_MCFTemperatureZone[[#Headers],[Temperature zone]],0)</f>
        <v>0</v>
      </c>
      <c r="R242" s="39" cm="1">
        <f t="array" ref="R242">Common_InputFunctions.Utility_DisplayArrayInTable(Common_SourceData.Common_SourceData_MCFTemperatureZone_Data(),Table_SourceData_Common_MCFTemperatureZone[[#Headers],[Temperature zone]],0)</f>
        <v>4.7000000000000002E-3</v>
      </c>
      <c r="S242" s="39"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9" cm="1">
        <f t="array" ref="E243">Common_InputFunctions.Utility_DisplayArrayInTable(Common_SourceData.Common_SourceData_MCFTemperatureZone_Data(),Table_SourceData_Common_MCFTemperatureZone[[#Headers],[Temperature zone]],0)</f>
        <v>21</v>
      </c>
      <c r="F243" s="39" cm="1">
        <f t="array" ref="F243">Common_InputFunctions.Utility_DisplayArrayInTable(Common_SourceData.Common_SourceData_MCFTemperatureZone_Data(),Table_SourceData_Common_MCFTemperatureZone[[#Headers],[Temperature zone]],0)</f>
        <v>0.78</v>
      </c>
      <c r="G243" s="39" cm="1">
        <f t="array" ref="G243">Common_InputFunctions.Utility_DisplayArrayInTable(Common_SourceData.Common_SourceData_MCFTemperatureZone_Data(),Table_SourceData_Common_MCFTemperatureZone[[#Headers],[Temperature zone]],0)</f>
        <v>0.1</v>
      </c>
      <c r="H243" s="39" cm="1">
        <f t="array" ref="H243">Common_InputFunctions.Utility_DisplayArrayInTable(Common_SourceData.Common_SourceData_MCFTemperatureZone_Data(),Table_SourceData_Common_MCFTemperatureZone[[#Headers],[Temperature zone]],0)</f>
        <v>0.28999999999999998</v>
      </c>
      <c r="I243" s="39" cm="1">
        <f t="array" ref="I243">Common_InputFunctions.Utility_DisplayArrayInTable(Common_SourceData.Common_SourceData_MCFTemperatureZone_Data(),Table_SourceData_Common_MCFTemperatureZone[[#Headers],[Temperature zone]],0)</f>
        <v>5.0000000000000001E-3</v>
      </c>
      <c r="J243" s="39" cm="1">
        <f t="array" ref="J243">Common_InputFunctions.Utility_DisplayArrayInTable(Common_SourceData.Common_SourceData_MCFTemperatureZone_Data(),Table_SourceData_Common_MCFTemperatureZone[[#Headers],[Temperature zone]],0)</f>
        <v>0.01</v>
      </c>
      <c r="K243" s="39" cm="1">
        <f t="array" ref="K243">Common_InputFunctions.Utility_DisplayArrayInTable(Common_SourceData.Common_SourceData_MCFTemperatureZone_Data(),Table_SourceData_Common_MCFTemperatureZone[[#Headers],[Temperature zone]],0)</f>
        <v>0.02</v>
      </c>
      <c r="L243" s="39" cm="1">
        <f t="array" ref="L243">Common_InputFunctions.Utility_DisplayArrayInTable(Common_SourceData.Common_SourceData_MCFTemperatureZone_Data(),Table_SourceData_Common_MCFTemperatureZone[[#Headers],[Temperature zone]],0)</f>
        <v>0.03</v>
      </c>
      <c r="M243" s="39" cm="1">
        <f t="array" ref="M243">Common_InputFunctions.Utility_DisplayArrayInTable(Common_SourceData.Common_SourceData_MCFTemperatureZone_Data(),Table_SourceData_Common_MCFTemperatureZone[[#Headers],[Temperature zone]],0)</f>
        <v>0.04</v>
      </c>
      <c r="N243" s="39" cm="1">
        <f t="array" ref="N243">Common_InputFunctions.Utility_DisplayArrayInTable(Common_SourceData.Common_SourceData_MCFTemperatureZone_Data(),Table_SourceData_Common_MCFTemperatureZone[[#Headers],[Temperature zone]],0)</f>
        <v>1.4999999999999999E-2</v>
      </c>
      <c r="O243" s="39" cm="1">
        <f t="array" ref="O243">Common_InputFunctions.Utility_DisplayArrayInTable(Common_SourceData.Common_SourceData_MCFTemperatureZone_Data(),Table_SourceData_Common_MCFTemperatureZone[[#Headers],[Temperature zone]],0)</f>
        <v>1.4999999999999999E-2</v>
      </c>
      <c r="P243" s="39" cm="1">
        <f t="array" ref="P243">Common_InputFunctions.Utility_DisplayArrayInTable(Common_SourceData.Common_SourceData_MCFTemperatureZone_Data(),Table_SourceData_Common_MCFTemperatureZone[[#Headers],[Temperature zone]],0)</f>
        <v>0</v>
      </c>
      <c r="Q243" s="39" cm="1">
        <f t="array" ref="Q243">Common_InputFunctions.Utility_DisplayArrayInTable(Common_SourceData.Common_SourceData_MCFTemperatureZone_Data(),Table_SourceData_Common_MCFTemperatureZone[[#Headers],[Temperature zone]],0)</f>
        <v>0</v>
      </c>
      <c r="R243" s="39" cm="1">
        <f t="array" ref="R243">Common_InputFunctions.Utility_DisplayArrayInTable(Common_SourceData.Common_SourceData_MCFTemperatureZone_Data(),Table_SourceData_Common_MCFTemperatureZone[[#Headers],[Temperature zone]],0)</f>
        <v>4.7000000000000002E-3</v>
      </c>
      <c r="S243" s="39"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9" cm="1">
        <f t="array" ref="E244">Common_InputFunctions.Utility_DisplayArrayInTable(Common_SourceData.Common_SourceData_MCFTemperatureZone_Data(),Table_SourceData_Common_MCFTemperatureZone[[#Headers],[Temperature zone]],0)</f>
        <v>22</v>
      </c>
      <c r="F244" s="39" cm="1">
        <f t="array" ref="F244">Common_InputFunctions.Utility_DisplayArrayInTable(Common_SourceData.Common_SourceData_MCFTemperatureZone_Data(),Table_SourceData_Common_MCFTemperatureZone[[#Headers],[Temperature zone]],0)</f>
        <v>0.78</v>
      </c>
      <c r="G244" s="39" cm="1">
        <f t="array" ref="G244">Common_InputFunctions.Utility_DisplayArrayInTable(Common_SourceData.Common_SourceData_MCFTemperatureZone_Data(),Table_SourceData_Common_MCFTemperatureZone[[#Headers],[Temperature zone]],0)</f>
        <v>0.1</v>
      </c>
      <c r="H244" s="39" cm="1">
        <f t="array" ref="H244">Common_InputFunctions.Utility_DisplayArrayInTable(Common_SourceData.Common_SourceData_MCFTemperatureZone_Data(),Table_SourceData_Common_MCFTemperatureZone[[#Headers],[Temperature zone]],0)</f>
        <v>0.31</v>
      </c>
      <c r="I244" s="39" cm="1">
        <f t="array" ref="I244">Common_InputFunctions.Utility_DisplayArrayInTable(Common_SourceData.Common_SourceData_MCFTemperatureZone_Data(),Table_SourceData_Common_MCFTemperatureZone[[#Headers],[Temperature zone]],0)</f>
        <v>5.0000000000000001E-3</v>
      </c>
      <c r="J244" s="39" cm="1">
        <f t="array" ref="J244">Common_InputFunctions.Utility_DisplayArrayInTable(Common_SourceData.Common_SourceData_MCFTemperatureZone_Data(),Table_SourceData_Common_MCFTemperatureZone[[#Headers],[Temperature zone]],0)</f>
        <v>0.01</v>
      </c>
      <c r="K244" s="39" cm="1">
        <f t="array" ref="K244">Common_InputFunctions.Utility_DisplayArrayInTable(Common_SourceData.Common_SourceData_MCFTemperatureZone_Data(),Table_SourceData_Common_MCFTemperatureZone[[#Headers],[Temperature zone]],0)</f>
        <v>0.02</v>
      </c>
      <c r="L244" s="39" cm="1">
        <f t="array" ref="L244">Common_InputFunctions.Utility_DisplayArrayInTable(Common_SourceData.Common_SourceData_MCFTemperatureZone_Data(),Table_SourceData_Common_MCFTemperatureZone[[#Headers],[Temperature zone]],0)</f>
        <v>0.03</v>
      </c>
      <c r="M244" s="39" cm="1">
        <f t="array" ref="M244">Common_InputFunctions.Utility_DisplayArrayInTable(Common_SourceData.Common_SourceData_MCFTemperatureZone_Data(),Table_SourceData_Common_MCFTemperatureZone[[#Headers],[Temperature zone]],0)</f>
        <v>0.04</v>
      </c>
      <c r="N244" s="39" cm="1">
        <f t="array" ref="N244">Common_InputFunctions.Utility_DisplayArrayInTable(Common_SourceData.Common_SourceData_MCFTemperatureZone_Data(),Table_SourceData_Common_MCFTemperatureZone[[#Headers],[Temperature zone]],0)</f>
        <v>1.4999999999999999E-2</v>
      </c>
      <c r="O244" s="39" cm="1">
        <f t="array" ref="O244">Common_InputFunctions.Utility_DisplayArrayInTable(Common_SourceData.Common_SourceData_MCFTemperatureZone_Data(),Table_SourceData_Common_MCFTemperatureZone[[#Headers],[Temperature zone]],0)</f>
        <v>1.4999999999999999E-2</v>
      </c>
      <c r="P244" s="39" cm="1">
        <f t="array" ref="P244">Common_InputFunctions.Utility_DisplayArrayInTable(Common_SourceData.Common_SourceData_MCFTemperatureZone_Data(),Table_SourceData_Common_MCFTemperatureZone[[#Headers],[Temperature zone]],0)</f>
        <v>0</v>
      </c>
      <c r="Q244" s="39" cm="1">
        <f t="array" ref="Q244">Common_InputFunctions.Utility_DisplayArrayInTable(Common_SourceData.Common_SourceData_MCFTemperatureZone_Data(),Table_SourceData_Common_MCFTemperatureZone[[#Headers],[Temperature zone]],0)</f>
        <v>0</v>
      </c>
      <c r="R244" s="39" cm="1">
        <f t="array" ref="R244">Common_InputFunctions.Utility_DisplayArrayInTable(Common_SourceData.Common_SourceData_MCFTemperatureZone_Data(),Table_SourceData_Common_MCFTemperatureZone[[#Headers],[Temperature zone]],0)</f>
        <v>4.7000000000000002E-3</v>
      </c>
      <c r="S244" s="39"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9" cm="1">
        <f t="array" ref="E245">Common_InputFunctions.Utility_DisplayArrayInTable(Common_SourceData.Common_SourceData_MCFTemperatureZone_Data(),Table_SourceData_Common_MCFTemperatureZone[[#Headers],[Temperature zone]],0)</f>
        <v>23</v>
      </c>
      <c r="F245" s="39" cm="1">
        <f t="array" ref="F245">Common_InputFunctions.Utility_DisplayArrayInTable(Common_SourceData.Common_SourceData_MCFTemperatureZone_Data(),Table_SourceData_Common_MCFTemperatureZone[[#Headers],[Temperature zone]],0)</f>
        <v>0.79</v>
      </c>
      <c r="G245" s="39" cm="1">
        <f t="array" ref="G245">Common_InputFunctions.Utility_DisplayArrayInTable(Common_SourceData.Common_SourceData_MCFTemperatureZone_Data(),Table_SourceData_Common_MCFTemperatureZone[[#Headers],[Temperature zone]],0)</f>
        <v>0.1</v>
      </c>
      <c r="H245" s="39" cm="1">
        <f t="array" ref="H245">Common_InputFunctions.Utility_DisplayArrayInTable(Common_SourceData.Common_SourceData_MCFTemperatureZone_Data(),Table_SourceData_Common_MCFTemperatureZone[[#Headers],[Temperature zone]],0)</f>
        <v>0.34</v>
      </c>
      <c r="I245" s="39" cm="1">
        <f t="array" ref="I245">Common_InputFunctions.Utility_DisplayArrayInTable(Common_SourceData.Common_SourceData_MCFTemperatureZone_Data(),Table_SourceData_Common_MCFTemperatureZone[[#Headers],[Temperature zone]],0)</f>
        <v>5.0000000000000001E-3</v>
      </c>
      <c r="J245" s="39" cm="1">
        <f t="array" ref="J245">Common_InputFunctions.Utility_DisplayArrayInTable(Common_SourceData.Common_SourceData_MCFTemperatureZone_Data(),Table_SourceData_Common_MCFTemperatureZone[[#Headers],[Temperature zone]],0)</f>
        <v>0.01</v>
      </c>
      <c r="K245" s="39" cm="1">
        <f t="array" ref="K245">Common_InputFunctions.Utility_DisplayArrayInTable(Common_SourceData.Common_SourceData_MCFTemperatureZone_Data(),Table_SourceData_Common_MCFTemperatureZone[[#Headers],[Temperature zone]],0)</f>
        <v>0.02</v>
      </c>
      <c r="L245" s="39" cm="1">
        <f t="array" ref="L245">Common_InputFunctions.Utility_DisplayArrayInTable(Common_SourceData.Common_SourceData_MCFTemperatureZone_Data(),Table_SourceData_Common_MCFTemperatureZone[[#Headers],[Temperature zone]],0)</f>
        <v>0.03</v>
      </c>
      <c r="M245" s="39" cm="1">
        <f t="array" ref="M245">Common_InputFunctions.Utility_DisplayArrayInTable(Common_SourceData.Common_SourceData_MCFTemperatureZone_Data(),Table_SourceData_Common_MCFTemperatureZone[[#Headers],[Temperature zone]],0)</f>
        <v>0.04</v>
      </c>
      <c r="N245" s="39" cm="1">
        <f t="array" ref="N245">Common_InputFunctions.Utility_DisplayArrayInTable(Common_SourceData.Common_SourceData_MCFTemperatureZone_Data(),Table_SourceData_Common_MCFTemperatureZone[[#Headers],[Temperature zone]],0)</f>
        <v>1.4999999999999999E-2</v>
      </c>
      <c r="O245" s="39" cm="1">
        <f t="array" ref="O245">Common_InputFunctions.Utility_DisplayArrayInTable(Common_SourceData.Common_SourceData_MCFTemperatureZone_Data(),Table_SourceData_Common_MCFTemperatureZone[[#Headers],[Temperature zone]],0)</f>
        <v>1.4999999999999999E-2</v>
      </c>
      <c r="P245" s="39" cm="1">
        <f t="array" ref="P245">Common_InputFunctions.Utility_DisplayArrayInTable(Common_SourceData.Common_SourceData_MCFTemperatureZone_Data(),Table_SourceData_Common_MCFTemperatureZone[[#Headers],[Temperature zone]],0)</f>
        <v>0</v>
      </c>
      <c r="Q245" s="39" cm="1">
        <f t="array" ref="Q245">Common_InputFunctions.Utility_DisplayArrayInTable(Common_SourceData.Common_SourceData_MCFTemperatureZone_Data(),Table_SourceData_Common_MCFTemperatureZone[[#Headers],[Temperature zone]],0)</f>
        <v>0</v>
      </c>
      <c r="R245" s="39" cm="1">
        <f t="array" ref="R245">Common_InputFunctions.Utility_DisplayArrayInTable(Common_SourceData.Common_SourceData_MCFTemperatureZone_Data(),Table_SourceData_Common_MCFTemperatureZone[[#Headers],[Temperature zone]],0)</f>
        <v>4.7000000000000002E-3</v>
      </c>
      <c r="S245" s="39"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9" cm="1">
        <f t="array" ref="E246">Common_InputFunctions.Utility_DisplayArrayInTable(Common_SourceData.Common_SourceData_MCFTemperatureZone_Data(),Table_SourceData_Common_MCFTemperatureZone[[#Headers],[Temperature zone]],0)</f>
        <v>24</v>
      </c>
      <c r="F246" s="39" cm="1">
        <f t="array" ref="F246">Common_InputFunctions.Utility_DisplayArrayInTable(Common_SourceData.Common_SourceData_MCFTemperatureZone_Data(),Table_SourceData_Common_MCFTemperatureZone[[#Headers],[Temperature zone]],0)</f>
        <v>0.79</v>
      </c>
      <c r="G246" s="39" cm="1">
        <f t="array" ref="G246">Common_InputFunctions.Utility_DisplayArrayInTable(Common_SourceData.Common_SourceData_MCFTemperatureZone_Data(),Table_SourceData_Common_MCFTemperatureZone[[#Headers],[Temperature zone]],0)</f>
        <v>0.1</v>
      </c>
      <c r="H246" s="39" cm="1">
        <f t="array" ref="H246">Common_InputFunctions.Utility_DisplayArrayInTable(Common_SourceData.Common_SourceData_MCFTemperatureZone_Data(),Table_SourceData_Common_MCFTemperatureZone[[#Headers],[Temperature zone]],0)</f>
        <v>0.37</v>
      </c>
      <c r="I246" s="39" cm="1">
        <f t="array" ref="I246">Common_InputFunctions.Utility_DisplayArrayInTable(Common_SourceData.Common_SourceData_MCFTemperatureZone_Data(),Table_SourceData_Common_MCFTemperatureZone[[#Headers],[Temperature zone]],0)</f>
        <v>5.0000000000000001E-3</v>
      </c>
      <c r="J246" s="39" cm="1">
        <f t="array" ref="J246">Common_InputFunctions.Utility_DisplayArrayInTable(Common_SourceData.Common_SourceData_MCFTemperatureZone_Data(),Table_SourceData_Common_MCFTemperatureZone[[#Headers],[Temperature zone]],0)</f>
        <v>0.01</v>
      </c>
      <c r="K246" s="39" cm="1">
        <f t="array" ref="K246">Common_InputFunctions.Utility_DisplayArrayInTable(Common_SourceData.Common_SourceData_MCFTemperatureZone_Data(),Table_SourceData_Common_MCFTemperatureZone[[#Headers],[Temperature zone]],0)</f>
        <v>0.02</v>
      </c>
      <c r="L246" s="39" cm="1">
        <f t="array" ref="L246">Common_InputFunctions.Utility_DisplayArrayInTable(Common_SourceData.Common_SourceData_MCFTemperatureZone_Data(),Table_SourceData_Common_MCFTemperatureZone[[#Headers],[Temperature zone]],0)</f>
        <v>0.03</v>
      </c>
      <c r="M246" s="39" cm="1">
        <f t="array" ref="M246">Common_InputFunctions.Utility_DisplayArrayInTable(Common_SourceData.Common_SourceData_MCFTemperatureZone_Data(),Table_SourceData_Common_MCFTemperatureZone[[#Headers],[Temperature zone]],0)</f>
        <v>0.04</v>
      </c>
      <c r="N246" s="39" cm="1">
        <f t="array" ref="N246">Common_InputFunctions.Utility_DisplayArrayInTable(Common_SourceData.Common_SourceData_MCFTemperatureZone_Data(),Table_SourceData_Common_MCFTemperatureZone[[#Headers],[Temperature zone]],0)</f>
        <v>1.4999999999999999E-2</v>
      </c>
      <c r="O246" s="39" cm="1">
        <f t="array" ref="O246">Common_InputFunctions.Utility_DisplayArrayInTable(Common_SourceData.Common_SourceData_MCFTemperatureZone_Data(),Table_SourceData_Common_MCFTemperatureZone[[#Headers],[Temperature zone]],0)</f>
        <v>1.4999999999999999E-2</v>
      </c>
      <c r="P246" s="39" cm="1">
        <f t="array" ref="P246">Common_InputFunctions.Utility_DisplayArrayInTable(Common_SourceData.Common_SourceData_MCFTemperatureZone_Data(),Table_SourceData_Common_MCFTemperatureZone[[#Headers],[Temperature zone]],0)</f>
        <v>0</v>
      </c>
      <c r="Q246" s="39" cm="1">
        <f t="array" ref="Q246">Common_InputFunctions.Utility_DisplayArrayInTable(Common_SourceData.Common_SourceData_MCFTemperatureZone_Data(),Table_SourceData_Common_MCFTemperatureZone[[#Headers],[Temperature zone]],0)</f>
        <v>0</v>
      </c>
      <c r="R246" s="39" cm="1">
        <f t="array" ref="R246">Common_InputFunctions.Utility_DisplayArrayInTable(Common_SourceData.Common_SourceData_MCFTemperatureZone_Data(),Table_SourceData_Common_MCFTemperatureZone[[#Headers],[Temperature zone]],0)</f>
        <v>4.7000000000000002E-3</v>
      </c>
      <c r="S246" s="39"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9" cm="1">
        <f t="array" ref="E247">Common_InputFunctions.Utility_DisplayArrayInTable(Common_SourceData.Common_SourceData_MCFTemperatureZone_Data(),Table_SourceData_Common_MCFTemperatureZone[[#Headers],[Temperature zone]],0)</f>
        <v>25</v>
      </c>
      <c r="F247" s="39" cm="1">
        <f t="array" ref="F247">Common_InputFunctions.Utility_DisplayArrayInTable(Common_SourceData.Common_SourceData_MCFTemperatureZone_Data(),Table_SourceData_Common_MCFTemperatureZone[[#Headers],[Temperature zone]],0)</f>
        <v>0.79</v>
      </c>
      <c r="G247" s="39" cm="1">
        <f t="array" ref="G247">Common_InputFunctions.Utility_DisplayArrayInTable(Common_SourceData.Common_SourceData_MCFTemperatureZone_Data(),Table_SourceData_Common_MCFTemperatureZone[[#Headers],[Temperature zone]],0)</f>
        <v>0.1</v>
      </c>
      <c r="H247" s="39" cm="1">
        <f t="array" ref="H247">Common_InputFunctions.Utility_DisplayArrayInTable(Common_SourceData.Common_SourceData_MCFTemperatureZone_Data(),Table_SourceData_Common_MCFTemperatureZone[[#Headers],[Temperature zone]],0)</f>
        <v>0.41</v>
      </c>
      <c r="I247" s="39" cm="1">
        <f t="array" ref="I247">Common_InputFunctions.Utility_DisplayArrayInTable(Common_SourceData.Common_SourceData_MCFTemperatureZone_Data(),Table_SourceData_Common_MCFTemperatureZone[[#Headers],[Temperature zone]],0)</f>
        <v>5.0000000000000001E-3</v>
      </c>
      <c r="J247" s="39" cm="1">
        <f t="array" ref="J247">Common_InputFunctions.Utility_DisplayArrayInTable(Common_SourceData.Common_SourceData_MCFTemperatureZone_Data(),Table_SourceData_Common_MCFTemperatureZone[[#Headers],[Temperature zone]],0)</f>
        <v>0.01</v>
      </c>
      <c r="K247" s="39" cm="1">
        <f t="array" ref="K247">Common_InputFunctions.Utility_DisplayArrayInTable(Common_SourceData.Common_SourceData_MCFTemperatureZone_Data(),Table_SourceData_Common_MCFTemperatureZone[[#Headers],[Temperature zone]],0)</f>
        <v>0.02</v>
      </c>
      <c r="L247" s="39" cm="1">
        <f t="array" ref="L247">Common_InputFunctions.Utility_DisplayArrayInTable(Common_SourceData.Common_SourceData_MCFTemperatureZone_Data(),Table_SourceData_Common_MCFTemperatureZone[[#Headers],[Temperature zone]],0)</f>
        <v>0.03</v>
      </c>
      <c r="M247" s="39" cm="1">
        <f t="array" ref="M247">Common_InputFunctions.Utility_DisplayArrayInTable(Common_SourceData.Common_SourceData_MCFTemperatureZone_Data(),Table_SourceData_Common_MCFTemperatureZone[[#Headers],[Temperature zone]],0)</f>
        <v>0.04</v>
      </c>
      <c r="N247" s="39" cm="1">
        <f t="array" ref="N247">Common_InputFunctions.Utility_DisplayArrayInTable(Common_SourceData.Common_SourceData_MCFTemperatureZone_Data(),Table_SourceData_Common_MCFTemperatureZone[[#Headers],[Temperature zone]],0)</f>
        <v>1.4999999999999999E-2</v>
      </c>
      <c r="O247" s="39" cm="1">
        <f t="array" ref="O247">Common_InputFunctions.Utility_DisplayArrayInTable(Common_SourceData.Common_SourceData_MCFTemperatureZone_Data(),Table_SourceData_Common_MCFTemperatureZone[[#Headers],[Temperature zone]],0)</f>
        <v>1.4999999999999999E-2</v>
      </c>
      <c r="P247" s="39" cm="1">
        <f t="array" ref="P247">Common_InputFunctions.Utility_DisplayArrayInTable(Common_SourceData.Common_SourceData_MCFTemperatureZone_Data(),Table_SourceData_Common_MCFTemperatureZone[[#Headers],[Temperature zone]],0)</f>
        <v>0</v>
      </c>
      <c r="Q247" s="39" cm="1">
        <f t="array" ref="Q247">Common_InputFunctions.Utility_DisplayArrayInTable(Common_SourceData.Common_SourceData_MCFTemperatureZone_Data(),Table_SourceData_Common_MCFTemperatureZone[[#Headers],[Temperature zone]],0)</f>
        <v>0</v>
      </c>
      <c r="R247" s="39" cm="1">
        <f t="array" ref="R247">Common_InputFunctions.Utility_DisplayArrayInTable(Common_SourceData.Common_SourceData_MCFTemperatureZone_Data(),Table_SourceData_Common_MCFTemperatureZone[[#Headers],[Temperature zone]],0)</f>
        <v>4.7000000000000002E-3</v>
      </c>
      <c r="S247" s="39"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9" cm="1">
        <f t="array" ref="E248">Common_InputFunctions.Utility_DisplayArrayInTable(Common_SourceData.Common_SourceData_MCFTemperatureZone_Data(),Table_SourceData_Common_MCFTemperatureZone[[#Headers],[Temperature zone]],0)</f>
        <v>26</v>
      </c>
      <c r="F248" s="39" cm="1">
        <f t="array" ref="F248">Common_InputFunctions.Utility_DisplayArrayInTable(Common_SourceData.Common_SourceData_MCFTemperatureZone_Data(),Table_SourceData_Common_MCFTemperatureZone[[#Headers],[Temperature zone]],0)</f>
        <v>0.79</v>
      </c>
      <c r="G248" s="39" cm="1">
        <f t="array" ref="G248">Common_InputFunctions.Utility_DisplayArrayInTable(Common_SourceData.Common_SourceData_MCFTemperatureZone_Data(),Table_SourceData_Common_MCFTemperatureZone[[#Headers],[Temperature zone]],0)</f>
        <v>0.1</v>
      </c>
      <c r="H248" s="39" cm="1">
        <f t="array" ref="H248">Common_InputFunctions.Utility_DisplayArrayInTable(Common_SourceData.Common_SourceData_MCFTemperatureZone_Data(),Table_SourceData_Common_MCFTemperatureZone[[#Headers],[Temperature zone]],0)</f>
        <v>0.44</v>
      </c>
      <c r="I248" s="39" cm="1">
        <f t="array" ref="I248">Common_InputFunctions.Utility_DisplayArrayInTable(Common_SourceData.Common_SourceData_MCFTemperatureZone_Data(),Table_SourceData_Common_MCFTemperatureZone[[#Headers],[Temperature zone]],0)</f>
        <v>0.01</v>
      </c>
      <c r="J248" s="39" cm="1">
        <f t="array" ref="J248">Common_InputFunctions.Utility_DisplayArrayInTable(Common_SourceData.Common_SourceData_MCFTemperatureZone_Data(),Table_SourceData_Common_MCFTemperatureZone[[#Headers],[Temperature zone]],0)</f>
        <v>1.4999999999999999E-2</v>
      </c>
      <c r="K248" s="39" cm="1">
        <f t="array" ref="K248">Common_InputFunctions.Utility_DisplayArrayInTable(Common_SourceData.Common_SourceData_MCFTemperatureZone_Data(),Table_SourceData_Common_MCFTemperatureZone[[#Headers],[Temperature zone]],0)</f>
        <v>0.02</v>
      </c>
      <c r="L248" s="39" cm="1">
        <f t="array" ref="L248">Common_InputFunctions.Utility_DisplayArrayInTable(Common_SourceData.Common_SourceData_MCFTemperatureZone_Data(),Table_SourceData_Common_MCFTemperatureZone[[#Headers],[Temperature zone]],0)</f>
        <v>0.03</v>
      </c>
      <c r="M248" s="39" cm="1">
        <f t="array" ref="M248">Common_InputFunctions.Utility_DisplayArrayInTable(Common_SourceData.Common_SourceData_MCFTemperatureZone_Data(),Table_SourceData_Common_MCFTemperatureZone[[#Headers],[Temperature zone]],0)</f>
        <v>0.04</v>
      </c>
      <c r="N248" s="39" cm="1">
        <f t="array" ref="N248">Common_InputFunctions.Utility_DisplayArrayInTable(Common_SourceData.Common_SourceData_MCFTemperatureZone_Data(),Table_SourceData_Common_MCFTemperatureZone[[#Headers],[Temperature zone]],0)</f>
        <v>1.4999999999999999E-2</v>
      </c>
      <c r="O248" s="39" cm="1">
        <f t="array" ref="O248">Common_InputFunctions.Utility_DisplayArrayInTable(Common_SourceData.Common_SourceData_MCFTemperatureZone_Data(),Table_SourceData_Common_MCFTemperatureZone[[#Headers],[Temperature zone]],0)</f>
        <v>1.4999999999999999E-2</v>
      </c>
      <c r="P248" s="39" cm="1">
        <f t="array" ref="P248">Common_InputFunctions.Utility_DisplayArrayInTable(Common_SourceData.Common_SourceData_MCFTemperatureZone_Data(),Table_SourceData_Common_MCFTemperatureZone[[#Headers],[Temperature zone]],0)</f>
        <v>0</v>
      </c>
      <c r="Q248" s="39" cm="1">
        <f t="array" ref="Q248">Common_InputFunctions.Utility_DisplayArrayInTable(Common_SourceData.Common_SourceData_MCFTemperatureZone_Data(),Table_SourceData_Common_MCFTemperatureZone[[#Headers],[Temperature zone]],0)</f>
        <v>0</v>
      </c>
      <c r="R248" s="39" cm="1">
        <f t="array" ref="R248">Common_InputFunctions.Utility_DisplayArrayInTable(Common_SourceData.Common_SourceData_MCFTemperatureZone_Data(),Table_SourceData_Common_MCFTemperatureZone[[#Headers],[Temperature zone]],0)</f>
        <v>4.7000000000000002E-3</v>
      </c>
      <c r="S248" s="39"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9" cm="1">
        <f t="array" ref="E249">Common_InputFunctions.Utility_DisplayArrayInTable(Common_SourceData.Common_SourceData_MCFTemperatureZone_Data(),Table_SourceData_Common_MCFTemperatureZone[[#Headers],[Temperature zone]],0)</f>
        <v>27</v>
      </c>
      <c r="F249" s="39" cm="1">
        <f t="array" ref="F249">Common_InputFunctions.Utility_DisplayArrayInTable(Common_SourceData.Common_SourceData_MCFTemperatureZone_Data(),Table_SourceData_Common_MCFTemperatureZone[[#Headers],[Temperature zone]],0)</f>
        <v>0.8</v>
      </c>
      <c r="G249" s="39" cm="1">
        <f t="array" ref="G249">Common_InputFunctions.Utility_DisplayArrayInTable(Common_SourceData.Common_SourceData_MCFTemperatureZone_Data(),Table_SourceData_Common_MCFTemperatureZone[[#Headers],[Temperature zone]],0)</f>
        <v>0.1</v>
      </c>
      <c r="H249" s="39" cm="1">
        <f t="array" ref="H249">Common_InputFunctions.Utility_DisplayArrayInTable(Common_SourceData.Common_SourceData_MCFTemperatureZone_Data(),Table_SourceData_Common_MCFTemperatureZone[[#Headers],[Temperature zone]],0)</f>
        <v>0.48</v>
      </c>
      <c r="I249" s="39" cm="1">
        <f t="array" ref="I249">Common_InputFunctions.Utility_DisplayArrayInTable(Common_SourceData.Common_SourceData_MCFTemperatureZone_Data(),Table_SourceData_Common_MCFTemperatureZone[[#Headers],[Temperature zone]],0)</f>
        <v>0.01</v>
      </c>
      <c r="J249" s="39" cm="1">
        <f t="array" ref="J249">Common_InputFunctions.Utility_DisplayArrayInTable(Common_SourceData.Common_SourceData_MCFTemperatureZone_Data(),Table_SourceData_Common_MCFTemperatureZone[[#Headers],[Temperature zone]],0)</f>
        <v>1.4999999999999999E-2</v>
      </c>
      <c r="K249" s="39" cm="1">
        <f t="array" ref="K249">Common_InputFunctions.Utility_DisplayArrayInTable(Common_SourceData.Common_SourceData_MCFTemperatureZone_Data(),Table_SourceData_Common_MCFTemperatureZone[[#Headers],[Temperature zone]],0)</f>
        <v>0.02</v>
      </c>
      <c r="L249" s="39" cm="1">
        <f t="array" ref="L249">Common_InputFunctions.Utility_DisplayArrayInTable(Common_SourceData.Common_SourceData_MCFTemperatureZone_Data(),Table_SourceData_Common_MCFTemperatureZone[[#Headers],[Temperature zone]],0)</f>
        <v>0.03</v>
      </c>
      <c r="M249" s="39" cm="1">
        <f t="array" ref="M249">Common_InputFunctions.Utility_DisplayArrayInTable(Common_SourceData.Common_SourceData_MCFTemperatureZone_Data(),Table_SourceData_Common_MCFTemperatureZone[[#Headers],[Temperature zone]],0)</f>
        <v>0.04</v>
      </c>
      <c r="N249" s="39" cm="1">
        <f t="array" ref="N249">Common_InputFunctions.Utility_DisplayArrayInTable(Common_SourceData.Common_SourceData_MCFTemperatureZone_Data(),Table_SourceData_Common_MCFTemperatureZone[[#Headers],[Temperature zone]],0)</f>
        <v>1.4999999999999999E-2</v>
      </c>
      <c r="O249" s="39" cm="1">
        <f t="array" ref="O249">Common_InputFunctions.Utility_DisplayArrayInTable(Common_SourceData.Common_SourceData_MCFTemperatureZone_Data(),Table_SourceData_Common_MCFTemperatureZone[[#Headers],[Temperature zone]],0)</f>
        <v>1.4999999999999999E-2</v>
      </c>
      <c r="P249" s="39" cm="1">
        <f t="array" ref="P249">Common_InputFunctions.Utility_DisplayArrayInTable(Common_SourceData.Common_SourceData_MCFTemperatureZone_Data(),Table_SourceData_Common_MCFTemperatureZone[[#Headers],[Temperature zone]],0)</f>
        <v>0</v>
      </c>
      <c r="Q249" s="39" cm="1">
        <f t="array" ref="Q249">Common_InputFunctions.Utility_DisplayArrayInTable(Common_SourceData.Common_SourceData_MCFTemperatureZone_Data(),Table_SourceData_Common_MCFTemperatureZone[[#Headers],[Temperature zone]],0)</f>
        <v>0</v>
      </c>
      <c r="R249" s="39" cm="1">
        <f t="array" ref="R249">Common_InputFunctions.Utility_DisplayArrayInTable(Common_SourceData.Common_SourceData_MCFTemperatureZone_Data(),Table_SourceData_Common_MCFTemperatureZone[[#Headers],[Temperature zone]],0)</f>
        <v>4.7000000000000002E-3</v>
      </c>
      <c r="S249" s="39"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9" t="str" cm="1">
        <f t="array" ref="E250">Common_InputFunctions.Utility_DisplayArrayInTable(Common_SourceData.Common_SourceData_MCFTemperatureZone_Data(),Table_SourceData_Common_MCFTemperatureZone[[#Headers],[Temperature zone]],0)</f>
        <v>≥28</v>
      </c>
      <c r="F250" s="39" cm="1">
        <f t="array" ref="F250">Common_InputFunctions.Utility_DisplayArrayInTable(Common_SourceData.Common_SourceData_MCFTemperatureZone_Data(),Table_SourceData_Common_MCFTemperatureZone[[#Headers],[Temperature zone]],0)</f>
        <v>0.8</v>
      </c>
      <c r="G250" s="39" cm="1">
        <f t="array" ref="G250">Common_InputFunctions.Utility_DisplayArrayInTable(Common_SourceData.Common_SourceData_MCFTemperatureZone_Data(),Table_SourceData_Common_MCFTemperatureZone[[#Headers],[Temperature zone]],0)</f>
        <v>0.1</v>
      </c>
      <c r="H250" s="39" cm="1">
        <f t="array" ref="H250">Common_InputFunctions.Utility_DisplayArrayInTable(Common_SourceData.Common_SourceData_MCFTemperatureZone_Data(),Table_SourceData_Common_MCFTemperatureZone[[#Headers],[Temperature zone]],0)</f>
        <v>0.5</v>
      </c>
      <c r="I250" s="39" cm="1">
        <f t="array" ref="I250">Common_InputFunctions.Utility_DisplayArrayInTable(Common_SourceData.Common_SourceData_MCFTemperatureZone_Data(),Table_SourceData_Common_MCFTemperatureZone[[#Headers],[Temperature zone]],0)</f>
        <v>0.01</v>
      </c>
      <c r="J250" s="39" cm="1">
        <f t="array" ref="J250">Common_InputFunctions.Utility_DisplayArrayInTable(Common_SourceData.Common_SourceData_MCFTemperatureZone_Data(),Table_SourceData_Common_MCFTemperatureZone[[#Headers],[Temperature zone]],0)</f>
        <v>1.4999999999999999E-2</v>
      </c>
      <c r="K250" s="39" cm="1">
        <f t="array" ref="K250">Common_InputFunctions.Utility_DisplayArrayInTable(Common_SourceData.Common_SourceData_MCFTemperatureZone_Data(),Table_SourceData_Common_MCFTemperatureZone[[#Headers],[Temperature zone]],0)</f>
        <v>0.02</v>
      </c>
      <c r="L250" s="39" cm="1">
        <f t="array" ref="L250">Common_InputFunctions.Utility_DisplayArrayInTable(Common_SourceData.Common_SourceData_MCFTemperatureZone_Data(),Table_SourceData_Common_MCFTemperatureZone[[#Headers],[Temperature zone]],0)</f>
        <v>0.03</v>
      </c>
      <c r="M250" s="39" cm="1">
        <f t="array" ref="M250">Common_InputFunctions.Utility_DisplayArrayInTable(Common_SourceData.Common_SourceData_MCFTemperatureZone_Data(),Table_SourceData_Common_MCFTemperatureZone[[#Headers],[Temperature zone]],0)</f>
        <v>0.04</v>
      </c>
      <c r="N250" s="39" cm="1">
        <f t="array" ref="N250">Common_InputFunctions.Utility_DisplayArrayInTable(Common_SourceData.Common_SourceData_MCFTemperatureZone_Data(),Table_SourceData_Common_MCFTemperatureZone[[#Headers],[Temperature zone]],0)</f>
        <v>1.4999999999999999E-2</v>
      </c>
      <c r="O250" s="39" cm="1">
        <f t="array" ref="O250">Common_InputFunctions.Utility_DisplayArrayInTable(Common_SourceData.Common_SourceData_MCFTemperatureZone_Data(),Table_SourceData_Common_MCFTemperatureZone[[#Headers],[Temperature zone]],0)</f>
        <v>1.4999999999999999E-2</v>
      </c>
      <c r="P250" s="39" cm="1">
        <f t="array" ref="P250">Common_InputFunctions.Utility_DisplayArrayInTable(Common_SourceData.Common_SourceData_MCFTemperatureZone_Data(),Table_SourceData_Common_MCFTemperatureZone[[#Headers],[Temperature zone]],0)</f>
        <v>0</v>
      </c>
      <c r="Q250" s="39" cm="1">
        <f t="array" ref="Q250">Common_InputFunctions.Utility_DisplayArrayInTable(Common_SourceData.Common_SourceData_MCFTemperatureZone_Data(),Table_SourceData_Common_MCFTemperatureZone[[#Headers],[Temperature zone]],0)</f>
        <v>0</v>
      </c>
      <c r="R250" s="39" cm="1">
        <f t="array" ref="R250">Common_InputFunctions.Utility_DisplayArrayInTable(Common_SourceData.Common_SourceData_MCFTemperatureZone_Data(),Table_SourceData_Common_MCFTemperatureZone[[#Headers],[Temperature zone]],0)</f>
        <v>4.7000000000000002E-3</v>
      </c>
      <c r="S250" s="39"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57" t="str" cm="1">
        <f t="array" ref="D256">Common_SourceData.Common_SourceData_EFOrganicFertiliserAndCropResidues_Unit()</f>
        <v>kg N2O - N / kg N</v>
      </c>
    </row>
    <row r="257" spans="4:5" x14ac:dyDescent="0.25">
      <c r="D257" s="39" t="s">
        <v>468</v>
      </c>
      <c r="E257" s="39" t="s">
        <v>469</v>
      </c>
    </row>
    <row r="258" spans="4:5" x14ac:dyDescent="0.25">
      <c r="D258" s="39" t="str" cm="1">
        <f t="array" ref="D258">Common_InputFunctions.Utility_DisplayArrayInTable(Common_SourceData.Common_SourceData_EFOrganicFertiliserAndCropResidues_Data(), Table_SourceData_Common_EFOrganicFertCropResidues[[#Headers],[Climate Zone]], 0)</f>
        <v>Wet climate zone</v>
      </c>
      <c r="E258" s="39"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9"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3D89-F657-45A6-A770-73699ABB25CC}">
  <dimension ref="A1:M63"/>
  <sheetViews>
    <sheetView showGridLines="0" workbookViewId="0">
      <selection activeCell="A23" sqref="A23"/>
    </sheetView>
  </sheetViews>
  <sheetFormatPr defaultRowHeight="15.75" x14ac:dyDescent="0.25"/>
  <cols>
    <col min="1" max="1" width="30.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68" t="e" vm="1">
        <v>#VALUE!</v>
      </c>
      <c r="C1" s="8" t="s">
        <v>79</v>
      </c>
      <c r="D1" s="8"/>
      <c r="E1" s="8"/>
      <c r="F1" s="8"/>
      <c r="G1" s="8"/>
      <c r="H1" s="8"/>
      <c r="I1" s="8"/>
      <c r="J1" s="8"/>
      <c r="K1" s="8"/>
      <c r="L1" s="8"/>
      <c r="M1" s="8"/>
    </row>
    <row r="2" spans="1:13" ht="20.100000000000001" customHeight="1" x14ac:dyDescent="0.25">
      <c r="A2" s="7"/>
      <c r="C2" s="9"/>
      <c r="D2" s="9"/>
      <c r="E2" s="9"/>
      <c r="F2" s="9"/>
      <c r="G2" s="9"/>
      <c r="H2" s="9"/>
      <c r="I2" s="9"/>
      <c r="J2" s="9"/>
      <c r="K2" s="9"/>
      <c r="L2" s="9"/>
      <c r="M2" s="9"/>
    </row>
    <row r="3" spans="1:13" ht="20.100000000000001" customHeight="1" x14ac:dyDescent="0.25">
      <c r="A3" s="17" t="str">
        <f>HYPERLINK("#'Home'!A1", "Home")</f>
        <v>Home</v>
      </c>
      <c r="C3" s="4"/>
      <c r="D3" s="4"/>
      <c r="E3" s="4"/>
      <c r="F3" s="4"/>
      <c r="G3" s="4"/>
      <c r="H3" s="4"/>
      <c r="I3" s="4"/>
      <c r="J3" s="4"/>
      <c r="K3" s="4"/>
      <c r="L3" s="4"/>
      <c r="M3" s="4"/>
    </row>
    <row r="4" spans="1:13" ht="20.100000000000001" customHeight="1" x14ac:dyDescent="0.25">
      <c r="A4" s="17" t="str">
        <f>HYPERLINK("#'Overview'!A1", "Overview")</f>
        <v>Overview</v>
      </c>
    </row>
    <row r="5" spans="1:13" ht="20.100000000000001" customHeight="1" x14ac:dyDescent="0.25">
      <c r="A5" s="17" t="str">
        <f>HYPERLINK("#'Results'!A1", "Results")</f>
        <v>Results</v>
      </c>
    </row>
    <row r="6" spans="1:13" ht="20.100000000000001" customHeight="1" x14ac:dyDescent="0.25">
      <c r="A6" s="16"/>
      <c r="D6" s="6" t="str" cm="1">
        <f t="array" ref="D6">CommonLivestock_SourceData.SourceData_Livestock_Common_SymbolsMMS_Title()</f>
        <v>Table 5.12 Additional symbols used in algorithms for manure related emissions</v>
      </c>
      <c r="E6" s="3"/>
      <c r="F6" s="3"/>
      <c r="G6" s="3"/>
      <c r="H6" s="3"/>
    </row>
    <row r="7" spans="1:13" ht="20.100000000000001" customHeight="1" x14ac:dyDescent="0.25">
      <c r="A7" s="20" t="s">
        <v>3</v>
      </c>
      <c r="D7" s="3" t="str" cm="1">
        <f t="array" ref="D7">CommonLivestock_SourceData.SourceData_Livestock_Common_SymbolsMMS_Vairable()</f>
        <v>MMS</v>
      </c>
      <c r="E7" s="3"/>
      <c r="F7" s="3"/>
      <c r="G7" s="3"/>
      <c r="H7" s="3"/>
    </row>
    <row r="8" spans="1:13" ht="20.100000000000001" customHeight="1" x14ac:dyDescent="0.25">
      <c r="A8" s="17" t="str">
        <f>HYPERLINK("#'Input - Site'!A1", "Site")</f>
        <v>Site</v>
      </c>
      <c r="D8" s="5" t="str" cm="1">
        <f t="array" ref="D8">CommonLivestock_SourceData.SourceData_Livestock_Common_SymbolsMMS_Source()</f>
        <v>National Inventory Report 2023 Volume 1: Table 5.12</v>
      </c>
      <c r="E8" s="3"/>
      <c r="F8" s="3"/>
      <c r="G8" s="3"/>
      <c r="H8" s="3"/>
    </row>
    <row r="9" spans="1:13" ht="20.100000000000001" customHeight="1" x14ac:dyDescent="0.25">
      <c r="A9" s="17" t="str">
        <f>HYPERLINK("#'Input - Dairy'!A1", "Dairy")</f>
        <v>Dairy</v>
      </c>
      <c r="D9" s="38" t="s">
        <v>80</v>
      </c>
      <c r="E9" s="39" t="s">
        <v>21</v>
      </c>
      <c r="F9" s="39" t="s">
        <v>81</v>
      </c>
      <c r="G9" s="3"/>
    </row>
    <row r="10" spans="1:13" ht="20.100000000000001" customHeight="1" x14ac:dyDescent="0.25">
      <c r="A10" s="17"/>
      <c r="D10" s="38" t="str" cm="1">
        <f t="array" ref="D10">Common_InputFunctions.Utility_DisplayArrayInTable(CommonLivestock_SourceData.SourceData_Livestock_Common_SymbolsMMS_Data(), Table_Data_MMSSymbols[[#Headers],[Symbol]], 0)</f>
        <v>1</v>
      </c>
      <c r="E10" s="38" t="str" cm="1">
        <f t="array" ref="E10">Common_InputFunctions.Utility_DisplayArrayInTable(CommonLivestock_SourceData.SourceData_Livestock_Common_SymbolsMMS_Data(), Table_Data_MMSSymbols[[#Headers],[Symbol]], 0)</f>
        <v>Anaerobic lagoon</v>
      </c>
      <c r="F10" s="38" t="str" cm="1">
        <f t="array" ref="F10">Common_InputFunctions.Utility_DisplayArrayInTable(CommonLivestock_SourceData.SourceData_Livestock_Common_SymbolsMMS_Data(), Table_Data_MMSSymbols[[#Headers],[Symbol]], 0)</f>
        <v>Anaerobic lagoon (m=1)</v>
      </c>
      <c r="G10" s="3"/>
    </row>
    <row r="11" spans="1:13" ht="20.100000000000001" customHeight="1" x14ac:dyDescent="0.25">
      <c r="A11" s="19" t="s">
        <v>76</v>
      </c>
      <c r="D11" s="38" t="str" cm="1">
        <f t="array" ref="D11">Common_InputFunctions.Utility_DisplayArrayInTable(CommonLivestock_SourceData.SourceData_Livestock_Common_SymbolsMMS_Data(), Table_Data_MMSSymbols[[#Headers],[Symbol]], 0)</f>
        <v>2</v>
      </c>
      <c r="E11" s="38" t="str" cm="1">
        <f t="array" ref="E11">Common_InputFunctions.Utility_DisplayArrayInTable(CommonLivestock_SourceData.SourceData_Livestock_Common_SymbolsMMS_Data(), Table_Data_MMSSymbols[[#Headers],[Symbol]], 0)</f>
        <v>Liquid systems</v>
      </c>
      <c r="F11" s="38" t="str" cm="1">
        <f t="array" ref="F11">Common_InputFunctions.Utility_DisplayArrayInTable(CommonLivestock_SourceData.SourceData_Livestock_Common_SymbolsMMS_Data(), Table_Data_MMSSymbols[[#Headers],[Symbol]], 0)</f>
        <v>Liquid systems (m=2)</v>
      </c>
      <c r="G11" s="3"/>
    </row>
    <row r="12" spans="1:13" ht="20.100000000000001" customHeight="1" x14ac:dyDescent="0.25">
      <c r="A12" s="17" t="str">
        <f>HYPERLINK("#'4.3.1.1-2 Methane'!A1", "4.3.1.1-2 Methane")</f>
        <v>4.3.1.1-2 Methane</v>
      </c>
      <c r="D12" s="39" t="str" cm="1">
        <f t="array" ref="D12">Common_InputFunctions.Utility_DisplayArrayInTable(CommonLivestock_SourceData.SourceData_Livestock_Common_SymbolsMMS_Data(), Table_Data_MMSSymbols[[#Headers],[Symbol]], 0)</f>
        <v>3</v>
      </c>
      <c r="E12" s="39" t="str" cm="1">
        <f t="array" ref="E12">Common_InputFunctions.Utility_DisplayArrayInTable(CommonLivestock_SourceData.SourceData_Livestock_Common_SymbolsMMS_Data(), Table_Data_MMSSymbols[[#Headers],[Symbol]], 0)</f>
        <v>Daily spread</v>
      </c>
      <c r="F12" s="39" t="str" cm="1">
        <f t="array" ref="F12">Common_InputFunctions.Utility_DisplayArrayInTable(CommonLivestock_SourceData.SourceData_Livestock_Common_SymbolsMMS_Data(), Table_Data_MMSSymbols[[#Headers],[Symbol]], 0)</f>
        <v>Daily spread (m=3)</v>
      </c>
      <c r="G12" s="3"/>
    </row>
    <row r="13" spans="1:13" ht="20.100000000000001" customHeight="1" x14ac:dyDescent="0.25">
      <c r="A13" s="17" t="str">
        <f>HYPERLINK("#'4.3.1.3-4 Direct N20'!A1", "4.3.1.3-4 Direct N2O")</f>
        <v>4.3.1.3-4 Direct N2O</v>
      </c>
      <c r="D13" s="39" t="str" cm="1">
        <f t="array" ref="D13">Common_InputFunctions.Utility_DisplayArrayInTable(CommonLivestock_SourceData.SourceData_Livestock_Common_SymbolsMMS_Data(), Table_Data_MMSSymbols[[#Headers],[Symbol]], 0)</f>
        <v>3a</v>
      </c>
      <c r="E13" s="39" t="str" cm="1">
        <f t="array" ref="E13">Common_InputFunctions.Utility_DisplayArrayInTable(CommonLivestock_SourceData.SourceData_Livestock_Common_SymbolsMMS_Data(), Table_Data_MMSSymbols[[#Headers],[Symbol]], 0)</f>
        <v>Sump and dispersal system</v>
      </c>
      <c r="F13" s="39" t="str" cm="1">
        <f t="array" ref="F13">Common_InputFunctions.Utility_DisplayArrayInTable(CommonLivestock_SourceData.SourceData_Livestock_Common_SymbolsMMS_Data(), Table_Data_MMSSymbols[[#Headers],[Symbol]], 0)</f>
        <v>Sump and dispersal system (m=3a)</v>
      </c>
      <c r="G13" s="3"/>
    </row>
    <row r="14" spans="1:13" ht="20.100000000000001" customHeight="1" x14ac:dyDescent="0.25">
      <c r="A14" s="17" t="str">
        <f>HYPERLINK("#'4.3.1.5 Atmos Deposition'!A1", "4.3.1.5 Atmospheric deposition")</f>
        <v>4.3.1.5 Atmospheric deposition</v>
      </c>
      <c r="D14" s="39" t="str" cm="1">
        <f t="array" ref="D14">Common_InputFunctions.Utility_DisplayArrayInTable(CommonLivestock_SourceData.SourceData_Livestock_Common_SymbolsMMS_Data(), Table_Data_MMSSymbols[[#Headers],[Symbol]], 0)</f>
        <v>3b</v>
      </c>
      <c r="E14" s="39" t="str" cm="1">
        <f t="array" ref="E14">Common_InputFunctions.Utility_DisplayArrayInTable(CommonLivestock_SourceData.SourceData_Livestock_Common_SymbolsMMS_Data(), Table_Data_MMSSymbols[[#Headers],[Symbol]], 0)</f>
        <v>Drains to paddock</v>
      </c>
      <c r="F14" s="39" t="str" cm="1">
        <f t="array" ref="F14">Common_InputFunctions.Utility_DisplayArrayInTable(CommonLivestock_SourceData.SourceData_Livestock_Common_SymbolsMMS_Data(), Table_Data_MMSSymbols[[#Headers],[Symbol]], 0)</f>
        <v>Drains to paddock (m=3b)</v>
      </c>
      <c r="G14" s="3"/>
    </row>
    <row r="15" spans="1:13" ht="20.100000000000001" customHeight="1" x14ac:dyDescent="0.25">
      <c r="A15" s="17" t="str">
        <f>HYPERLINK("#'4.3.1.6-7 Leaching and runoff'!A1", "4.3.1.6-7 Leaching and runoff")</f>
        <v>4.3.1.6-7 Leaching and runoff</v>
      </c>
      <c r="D15" s="39" t="str" cm="1">
        <f t="array" ref="D15">Common_InputFunctions.Utility_DisplayArrayInTable(CommonLivestock_SourceData.SourceData_Livestock_Common_SymbolsMMS_Data(), Table_Data_MMSSymbols[[#Headers],[Symbol]], 0)</f>
        <v>4</v>
      </c>
      <c r="E15" s="39" t="str" cm="1">
        <f t="array" ref="E15">Common_InputFunctions.Utility_DisplayArrayInTable(CommonLivestock_SourceData.SourceData_Livestock_Common_SymbolsMMS_Data(), Table_Data_MMSSymbols[[#Headers],[Symbol]], 0)</f>
        <v>Solid storage</v>
      </c>
      <c r="F15" s="39" t="str" cm="1">
        <f t="array" ref="F15">Common_InputFunctions.Utility_DisplayArrayInTable(CommonLivestock_SourceData.SourceData_Livestock_Common_SymbolsMMS_Data(), Table_Data_MMSSymbols[[#Headers],[Symbol]], 0)</f>
        <v>Solid storage (m=4)</v>
      </c>
      <c r="G15" s="3"/>
    </row>
    <row r="16" spans="1:13" ht="20.100000000000001" customHeight="1" x14ac:dyDescent="0.25">
      <c r="A16" s="17" t="str">
        <f>HYPERLINK("#'4.3.1.8 Manure applied to soils'!A1", "4.3.1.8 Manure applied to soils")</f>
        <v>4.3.1.8 Manure applied to soils</v>
      </c>
      <c r="D16" s="39" t="str" cm="1">
        <f t="array" ref="D16">Common_InputFunctions.Utility_DisplayArrayInTable(CommonLivestock_SourceData.SourceData_Livestock_Common_SymbolsMMS_Data(), Table_Data_MMSSymbols[[#Headers],[Symbol]], 0)</f>
        <v>5</v>
      </c>
      <c r="E16" s="39" t="str" cm="1">
        <f t="array" ref="E16">Common_InputFunctions.Utility_DisplayArrayInTable(CommonLivestock_SourceData.SourceData_Livestock_Common_SymbolsMMS_Data(), Table_Data_MMSSymbols[[#Headers],[Symbol]], 0)</f>
        <v>Drylot (feed pad)</v>
      </c>
      <c r="F16" s="39" t="str" cm="1">
        <f t="array" ref="F16">Common_InputFunctions.Utility_DisplayArrayInTable(CommonLivestock_SourceData.SourceData_Livestock_Common_SymbolsMMS_Data(), Table_Data_MMSSymbols[[#Headers],[Symbol]], 0)</f>
        <v>Drylot (feed pad) (m=5)</v>
      </c>
      <c r="G16" s="3"/>
    </row>
    <row r="17" spans="1:8" ht="20.100000000000001" customHeight="1" x14ac:dyDescent="0.25">
      <c r="A17" s="17" t="str">
        <f>HYPERLINK("#'4.3.1.9 Soil direct N2O'!A1", "4.3.1.9 Soil direct N2O")</f>
        <v>4.3.1.9 Soil direct N2O</v>
      </c>
      <c r="D17" s="39" t="str" cm="1">
        <f t="array" ref="D17">Common_InputFunctions.Utility_DisplayArrayInTable(CommonLivestock_SourceData.SourceData_Livestock_Common_SymbolsMMS_Data(), Table_Data_MMSSymbols[[#Headers],[Symbol]], 0)</f>
        <v>6</v>
      </c>
      <c r="E17" s="39" t="str" cm="1">
        <f t="array" ref="E17">Common_InputFunctions.Utility_DisplayArrayInTable(CommonLivestock_SourceData.SourceData_Livestock_Common_SymbolsMMS_Data(), Table_Data_MMSSymbols[[#Headers],[Symbol]], 0)</f>
        <v>Composting (passive windrow)</v>
      </c>
      <c r="F17" s="39" t="str" cm="1">
        <f t="array" ref="F17">Common_InputFunctions.Utility_DisplayArrayInTable(CommonLivestock_SourceData.SourceData_Livestock_Common_SymbolsMMS_Data(), Table_Data_MMSSymbols[[#Headers],[Symbol]], 0)</f>
        <v>Composting (passive windrow) (m=6)</v>
      </c>
      <c r="G17" s="3"/>
    </row>
    <row r="18" spans="1:8" ht="20.100000000000001" customHeight="1" x14ac:dyDescent="0.25">
      <c r="A18" s="17" t="str">
        <f>HYPERLINK("#'4.3.1.10-11 Soil Atmos Dep'!A1", "4.3.1.10-11 Soil atm. deposition")</f>
        <v>4.3.1.10-11 Soil atm. deposition</v>
      </c>
      <c r="D18" s="39" t="str" cm="1">
        <f t="array" ref="D18">Common_InputFunctions.Utility_DisplayArrayInTable(CommonLivestock_SourceData.SourceData_Livestock_Common_SymbolsMMS_Data(), Table_Data_MMSSymbols[[#Headers],[Symbol]], 0)</f>
        <v>7</v>
      </c>
      <c r="E18" s="39" t="str" cm="1">
        <f t="array" ref="E18">Common_InputFunctions.Utility_DisplayArrayInTable(CommonLivestock_SourceData.SourceData_Livestock_Common_SymbolsMMS_Data(), Table_Data_MMSSymbols[[#Headers],[Symbol]], 0)</f>
        <v>Digester / covered lagoons</v>
      </c>
      <c r="F18" s="39" t="str" cm="1">
        <f t="array" ref="F18">Common_InputFunctions.Utility_DisplayArrayInTable(CommonLivestock_SourceData.SourceData_Livestock_Common_SymbolsMMS_Data(), Table_Data_MMSSymbols[[#Headers],[Symbol]], 0)</f>
        <v>Digester / covered lagoons (m=7)</v>
      </c>
      <c r="G18" s="3"/>
    </row>
    <row r="19" spans="1:8" ht="20.100000000000001" customHeight="1" x14ac:dyDescent="0.25">
      <c r="A19" s="17" t="str">
        <f>HYPERLINK("#'4.3.1.12-13 Soil leach runoff'!A1", "4.3.1.12-13 Soil leach &amp; runoff")</f>
        <v>4.3.1.12-13 Soil leach &amp; runoff</v>
      </c>
      <c r="D19" s="39" t="str" cm="1">
        <f t="array" ref="D19">Common_InputFunctions.Utility_DisplayArrayInTable(CommonLivestock_SourceData.SourceData_Livestock_Common_SymbolsMMS_Data(), Table_Data_MMSSymbols[[#Headers],[Symbol]], 0)</f>
        <v>8</v>
      </c>
      <c r="E19" s="39" t="str" cm="1">
        <f t="array" ref="E19">Common_InputFunctions.Utility_DisplayArrayInTable(CommonLivestock_SourceData.SourceData_Livestock_Common_SymbolsMMS_Data(), Table_Data_MMSSymbols[[#Headers],[Symbol]], 0)</f>
        <v>Deep litter</v>
      </c>
      <c r="F19" s="39" t="str" cm="1">
        <f t="array" ref="F19">Common_InputFunctions.Utility_DisplayArrayInTable(CommonLivestock_SourceData.SourceData_Livestock_Common_SymbolsMMS_Data(), Table_Data_MMSSymbols[[#Headers],[Symbol]], 0)</f>
        <v>Deep litter (m=8)</v>
      </c>
      <c r="G19" s="3"/>
    </row>
    <row r="20" spans="1:8" ht="20.100000000000001" customHeight="1" x14ac:dyDescent="0.25">
      <c r="A20" s="17"/>
      <c r="D20" s="39" t="str" cm="1">
        <f t="array" ref="D20">Common_InputFunctions.Utility_DisplayArrayInTable(CommonLivestock_SourceData.SourceData_Livestock_Common_SymbolsMMS_Data(), Table_Data_MMSSymbols[[#Headers],[Symbol]], 0)</f>
        <v>9</v>
      </c>
      <c r="E20" s="39" t="str" cm="1">
        <f t="array" ref="E20">Common_InputFunctions.Utility_DisplayArrayInTable(CommonLivestock_SourceData.SourceData_Livestock_Common_SymbolsMMS_Data(), Table_Data_MMSSymbols[[#Headers],[Symbol]], 0)</f>
        <v>Pit storage</v>
      </c>
      <c r="F20" s="39" t="str" cm="1">
        <f t="array" ref="F20">Common_InputFunctions.Utility_DisplayArrayInTable(CommonLivestock_SourceData.SourceData_Livestock_Common_SymbolsMMS_Data(), Table_Data_MMSSymbols[[#Headers],[Symbol]], 0)</f>
        <v>Pit storage (m=9)</v>
      </c>
      <c r="G20" s="3"/>
    </row>
    <row r="21" spans="1:8" ht="20.100000000000001" customHeight="1" x14ac:dyDescent="0.25">
      <c r="A21" s="18" t="s">
        <v>4</v>
      </c>
      <c r="D21" s="39" t="str" cm="1">
        <f t="array" ref="D21">Common_InputFunctions.Utility_DisplayArrayInTable(CommonLivestock_SourceData.SourceData_Livestock_Common_SymbolsMMS_Data(), Table_Data_MMSSymbols[[#Headers],[Symbol]], 0)</f>
        <v>10</v>
      </c>
      <c r="E21" s="39" t="str" cm="1">
        <f t="array" ref="E21">Common_InputFunctions.Utility_DisplayArrayInTable(CommonLivestock_SourceData.SourceData_Livestock_Common_SymbolsMMS_Data(), Table_Data_MMSSymbols[[#Headers],[Symbol]], 0)</f>
        <v>Poultry manure with bedding</v>
      </c>
      <c r="F21" s="39" t="str" cm="1">
        <f t="array" ref="F21">Common_InputFunctions.Utility_DisplayArrayInTable(CommonLivestock_SourceData.SourceData_Livestock_Common_SymbolsMMS_Data(), Table_Data_MMSSymbols[[#Headers],[Symbol]], 0)</f>
        <v>Poultry manure with bedding (m=10)</v>
      </c>
      <c r="G21" s="3"/>
    </row>
    <row r="22" spans="1:8" ht="20.100000000000001" customHeight="1" x14ac:dyDescent="0.25">
      <c r="A22" s="17" t="str">
        <f>HYPERLINK("#'Constants - Dairy'!A1", "Constants - Dairy")</f>
        <v>Constants - Dairy</v>
      </c>
      <c r="D22" s="39" t="str" cm="1">
        <f t="array" ref="D22">Common_InputFunctions.Utility_DisplayArrayInTable(CommonLivestock_SourceData.SourceData_Livestock_Common_SymbolsMMS_Data(), Table_Data_MMSSymbols[[#Headers],[Symbol]], 0)</f>
        <v>11</v>
      </c>
      <c r="E22" s="39" t="str" cm="1">
        <f t="array" ref="E22">Common_InputFunctions.Utility_DisplayArrayInTable(CommonLivestock_SourceData.SourceData_Livestock_Common_SymbolsMMS_Data(), Table_Data_MMSSymbols[[#Headers],[Symbol]], 0)</f>
        <v>Poultry manure without bedding</v>
      </c>
      <c r="F22" s="39" t="str" cm="1">
        <f t="array" ref="F22">Common_InputFunctions.Utility_DisplayArrayInTable(CommonLivestock_SourceData.SourceData_Livestock_Common_SymbolsMMS_Data(), Table_Data_MMSSymbols[[#Headers],[Symbol]], 0)</f>
        <v>Poultry manure without bedding (m=11)</v>
      </c>
      <c r="G22" s="3"/>
    </row>
    <row r="23" spans="1:8" ht="20.100000000000001" customHeight="1" x14ac:dyDescent="0.25">
      <c r="A23" s="72" t="str">
        <f>HYPERLINK("#'Constants - Livestock'!A1", "Constants - Livestock")</f>
        <v>Constants - Livestock</v>
      </c>
      <c r="D23" s="39" t="str" cm="1">
        <f t="array" ref="D23">Common_InputFunctions.Utility_DisplayArrayInTable(CommonLivestock_SourceData.SourceData_Livestock_Common_SymbolsMMS_Data(), Table_Data_MMSSymbols[[#Headers],[Symbol]], 0)</f>
        <v>11a</v>
      </c>
      <c r="E23" s="39" t="str" cm="1">
        <f t="array" ref="E23">Common_InputFunctions.Utility_DisplayArrayInTable(CommonLivestock_SourceData.SourceData_Livestock_Common_SymbolsMMS_Data(), Table_Data_MMSSymbols[[#Headers],[Symbol]], 0)</f>
        <v>Belt manure removal</v>
      </c>
      <c r="F23" s="39" t="str" cm="1">
        <f t="array" ref="F23">Common_InputFunctions.Utility_DisplayArrayInTable(CommonLivestock_SourceData.SourceData_Livestock_Common_SymbolsMMS_Data(), Table_Data_MMSSymbols[[#Headers],[Symbol]], 0)</f>
        <v>Belt manure removal (m=11a)</v>
      </c>
      <c r="G23" s="3"/>
    </row>
    <row r="24" spans="1:8" ht="20.100000000000001" customHeight="1" x14ac:dyDescent="0.25">
      <c r="A24" s="17" t="str">
        <f>HYPERLINK("#'Constants - Common'!A1", "Constants - Common")</f>
        <v>Constants - Common</v>
      </c>
      <c r="D24" s="39" t="str" cm="1">
        <f t="array" ref="D24">Common_InputFunctions.Utility_DisplayArrayInTable(CommonLivestock_SourceData.SourceData_Livestock_Common_SymbolsMMS_Data(), Table_Data_MMSSymbols[[#Headers],[Symbol]], 0)</f>
        <v>11b</v>
      </c>
      <c r="E24" s="39" t="str" cm="1">
        <f t="array" ref="E24">Common_InputFunctions.Utility_DisplayArrayInTable(CommonLivestock_SourceData.SourceData_Livestock_Common_SymbolsMMS_Data(), Table_Data_MMSSymbols[[#Headers],[Symbol]], 0)</f>
        <v>Manure stored in house</v>
      </c>
      <c r="F24" s="39" t="str" cm="1">
        <f t="array" ref="F24">Common_InputFunctions.Utility_DisplayArrayInTable(CommonLivestock_SourceData.SourceData_Livestock_Common_SymbolsMMS_Data(), Table_Data_MMSSymbols[[#Headers],[Symbol]], 0)</f>
        <v>Manure stored in house (m=11b)</v>
      </c>
      <c r="G24" s="3"/>
    </row>
    <row r="25" spans="1:8" ht="20.100000000000001" customHeight="1" x14ac:dyDescent="0.25">
      <c r="A25" s="17" t="str">
        <f>HYPERLINK("#'Acknowledgements'!A1", "Acknowledgements")</f>
        <v>Acknowledgements</v>
      </c>
      <c r="D25" s="39" t="str" cm="1">
        <f t="array" ref="D25">Common_InputFunctions.Utility_DisplayArrayInTable(CommonLivestock_SourceData.SourceData_Livestock_Common_SymbolsMMS_Data(), Table_Data_MMSSymbols[[#Headers],[Symbol]], 0)</f>
        <v>12</v>
      </c>
      <c r="E25" s="39" t="str" cm="1">
        <f t="array" ref="E25">Common_InputFunctions.Utility_DisplayArrayInTable(CommonLivestock_SourceData.SourceData_Livestock_Common_SymbolsMMS_Data(), Table_Data_MMSSymbols[[#Headers],[Symbol]], 0)</f>
        <v>Direct processing</v>
      </c>
      <c r="F25" s="39" t="str" cm="1">
        <f t="array" ref="F25">Common_InputFunctions.Utility_DisplayArrayInTable(CommonLivestock_SourceData.SourceData_Livestock_Common_SymbolsMMS_Data(), Table_Data_MMSSymbols[[#Headers],[Symbol]], 0)</f>
        <v>Direct processing (m=12)</v>
      </c>
      <c r="G25" s="3"/>
    </row>
    <row r="26" spans="1:8" ht="20.100000000000001" customHeight="1" x14ac:dyDescent="0.25">
      <c r="D26" s="39" t="str" cm="1">
        <f t="array" ref="D26">Common_InputFunctions.Utility_DisplayArrayInTable(CommonLivestock_SourceData.SourceData_Livestock_Common_SymbolsMMS_Data(), Table_Data_MMSSymbols[[#Headers],[Symbol]], 0)</f>
        <v>13</v>
      </c>
      <c r="E26" s="39" t="str" cm="1">
        <f t="array" ref="E26">Common_InputFunctions.Utility_DisplayArrayInTable(CommonLivestock_SourceData.SourceData_Livestock_Common_SymbolsMMS_Data(), Table_Data_MMSSymbols[[#Headers],[Symbol]], 0)</f>
        <v>Direct application</v>
      </c>
      <c r="F26" s="39" t="str" cm="1">
        <f t="array" ref="F26">Common_InputFunctions.Utility_DisplayArrayInTable(CommonLivestock_SourceData.SourceData_Livestock_Common_SymbolsMMS_Data(), Table_Data_MMSSymbols[[#Headers],[Symbol]], 0)</f>
        <v>Direct application (m=13)</v>
      </c>
      <c r="G26" s="3"/>
    </row>
    <row r="27" spans="1:8" ht="20.100000000000001" customHeight="1" x14ac:dyDescent="0.25">
      <c r="D27" s="39" t="str" cm="1">
        <f t="array" ref="D27">Common_InputFunctions.Utility_DisplayArrayInTable(CommonLivestock_SourceData.SourceData_Livestock_Common_SymbolsMMS_Data(), Table_Data_MMSSymbols[[#Headers],[Symbol]], 0)</f>
        <v>14</v>
      </c>
      <c r="E27" s="39" t="str" cm="1">
        <f t="array" ref="E27">Common_InputFunctions.Utility_DisplayArrayInTable(CommonLivestock_SourceData.SourceData_Livestock_Common_SymbolsMMS_Data(), Table_Data_MMSSymbols[[#Headers],[Symbol]], 0)</f>
        <v>Pasture range and paddock</v>
      </c>
      <c r="F27" s="39" t="str" cm="1">
        <f t="array" ref="F27">Common_InputFunctions.Utility_DisplayArrayInTable(CommonLivestock_SourceData.SourceData_Livestock_Common_SymbolsMMS_Data(), Table_Data_MMSSymbols[[#Headers],[Symbol]], 0)</f>
        <v>Pasture range and paddock (m=14)</v>
      </c>
      <c r="G27" s="3"/>
    </row>
    <row r="28" spans="1:8" ht="20.100000000000001" customHeight="1" x14ac:dyDescent="0.25">
      <c r="G28" s="3"/>
      <c r="H28" s="3"/>
    </row>
    <row r="29" spans="1:8" ht="20.100000000000001" customHeight="1" x14ac:dyDescent="0.25"/>
    <row r="30" spans="1:8" ht="20.100000000000001" customHeight="1" x14ac:dyDescent="0.25"/>
    <row r="31" spans="1:8" ht="20.100000000000001" customHeight="1" x14ac:dyDescent="0.25"/>
    <row r="32" spans="1:8"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sheetData>
  <pageMargins left="0.7" right="0.7" top="0.75" bottom="0.75" header="0.3" footer="0.3"/>
  <pageSetup paperSize="9" orientation="portrait" r:id="rId1"/>
  <tableParts count="1">
    <tablePart r:id="rId2"/>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7A9DA-7B49-4536-9AC1-4BDE2DD493BF}">
  <dimension ref="A1"/>
  <sheetViews>
    <sheetView workbookViewId="0"/>
  </sheetViews>
  <sheetFormatPr defaultRowHeight="15" x14ac:dyDescent="0.25"/>
  <sheetData>
    <row r="1" spans="1:1" x14ac:dyDescent="0.25">
      <c r="A1" t="s">
        <v>391</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83A6B-B8DF-40B8-B36B-2098F8DD980B}">
  <dimension ref="A1:U165"/>
  <sheetViews>
    <sheetView showGridLines="0" topLeftCell="A2" workbookViewId="0">
      <selection activeCell="F35" sqref="F35"/>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8" t="e" vm="1">
        <v>#VALUE!</v>
      </c>
    </row>
    <row r="2" spans="1:21" s="9" customFormat="1" ht="20.100000000000001" customHeight="1" x14ac:dyDescent="0.25"/>
    <row r="3" spans="1:21" ht="20.100000000000001" customHeight="1" x14ac:dyDescent="0.25">
      <c r="A3" s="17" t="s">
        <v>0</v>
      </c>
      <c r="C3" s="4"/>
      <c r="D3" s="4"/>
      <c r="E3" s="4"/>
      <c r="F3" s="4"/>
      <c r="G3" s="4"/>
      <c r="H3" s="4"/>
      <c r="I3" s="4"/>
      <c r="J3" s="4"/>
      <c r="K3" s="4"/>
      <c r="L3" s="4"/>
      <c r="N3" s="4"/>
      <c r="O3" s="4"/>
      <c r="P3" s="4"/>
      <c r="Q3" s="4"/>
      <c r="R3" s="4"/>
      <c r="S3" s="4"/>
      <c r="T3" s="4"/>
      <c r="U3" s="4"/>
    </row>
    <row r="4" spans="1:21" ht="20.100000000000001" customHeight="1" x14ac:dyDescent="0.25">
      <c r="A4" s="17" t="str">
        <f>HYPERLINK("#'Results'!A1", "Results")</f>
        <v>Results</v>
      </c>
    </row>
    <row r="5" spans="1:21" ht="20.100000000000001" customHeight="1" x14ac:dyDescent="0.25">
      <c r="A5" s="16"/>
    </row>
    <row r="6" spans="1:21" ht="20.100000000000001" customHeight="1" x14ac:dyDescent="0.25">
      <c r="A6" s="20" t="s">
        <v>3</v>
      </c>
    </row>
    <row r="7" spans="1:21" ht="20.100000000000001" customHeight="1" x14ac:dyDescent="0.25">
      <c r="A7" s="17" t="str">
        <f>HYPERLINK("#'Input - Site'!A1", "Site")</f>
        <v>Site</v>
      </c>
    </row>
    <row r="8" spans="1:21" ht="20.100000000000001" customHeight="1" x14ac:dyDescent="0.25">
      <c r="A8" s="17" t="str">
        <f>HYPERLINK("#'Input - Production'!A1", "Production and outputs")</f>
        <v>Production and outputs</v>
      </c>
    </row>
    <row r="9" spans="1:21" ht="20.100000000000001" customHeight="1" x14ac:dyDescent="0.25">
      <c r="A9" s="17" t="str">
        <f>HYPERLINK("#'Input - Herd - Dairy'!A1", "Herd - Dairy")</f>
        <v>Herd - Dairy</v>
      </c>
    </row>
    <row r="10" spans="1:21" ht="20.100000000000001" customHeight="1" x14ac:dyDescent="0.25">
      <c r="A10" s="17" t="str">
        <f>HYPERLINK("#'Input - Feed - Dairy'!A1", "Purchased feed - Livestock")</f>
        <v>Purchased feed - Livestock</v>
      </c>
    </row>
    <row r="11" spans="1:21" ht="20.100000000000001" customHeight="1" x14ac:dyDescent="0.25">
      <c r="A11" s="17" t="str">
        <f>HYPERLINK("#'Input - Herd - Feedlot'!A1", "Herd - Feedlot")</f>
        <v>Herd - Feedlot</v>
      </c>
    </row>
    <row r="12" spans="1:21" ht="20.100000000000001" customHeight="1" x14ac:dyDescent="0.25">
      <c r="A12" s="17" t="str">
        <f>HYPERLINK("#'Input - Pasture'!A1", "Pasture")</f>
        <v>Pasture</v>
      </c>
    </row>
    <row r="13" spans="1:21" ht="20.100000000000001" customHeight="1" x14ac:dyDescent="0.25">
      <c r="A13" s="17" t="str">
        <f>HYPERLINK("#'Input - Grains'!A1", "Crop - Grains")</f>
        <v>Crop - Grains</v>
      </c>
    </row>
    <row r="14" spans="1:21" ht="20.100000000000001" customHeight="1" x14ac:dyDescent="0.25">
      <c r="A14" s="17" t="str">
        <f>HYPERLINK("#'Input - Fert Lime Chem'!A1", "Fertiliser, Lime &amp; Chemicals")</f>
        <v>Fertiliser, Lime &amp; Chemicals</v>
      </c>
    </row>
    <row r="15" spans="1:21" ht="20.100000000000001" customHeight="1" x14ac:dyDescent="0.25">
      <c r="A15" s="17" t="str">
        <f>HYPERLINK("#'Input - Fuel &amp; Energy'!A1", "Electricity and fuel")</f>
        <v>Electricity and fuel</v>
      </c>
    </row>
    <row r="16" spans="1:21" ht="20.100000000000001" customHeight="1" x14ac:dyDescent="0.25">
      <c r="A16" s="70" t="s">
        <v>78</v>
      </c>
    </row>
    <row r="17" spans="1:1" ht="20.100000000000001" customHeight="1" x14ac:dyDescent="0.25">
      <c r="A17" s="70" t="s">
        <v>74</v>
      </c>
    </row>
    <row r="18" spans="1:1" ht="20.100000000000001" customHeight="1" x14ac:dyDescent="0.25">
      <c r="A18" s="17" t="str">
        <f>HYPERLINK("#'Input - Other Farm Inputs'!A1", "Other farm inputs")</f>
        <v>Other farm inputs</v>
      </c>
    </row>
    <row r="19" spans="1:1" ht="20.100000000000001" customHeight="1" x14ac:dyDescent="0.25">
      <c r="A19" s="17" t="str">
        <f>HYPERLINK("#'Input - Data quality'!A1", "Data quality")</f>
        <v>Data quality</v>
      </c>
    </row>
    <row r="20" spans="1:1" ht="20.100000000000001" customHeight="1" x14ac:dyDescent="0.25"/>
    <row r="21" spans="1:1" ht="20.100000000000001" customHeight="1" x14ac:dyDescent="0.25">
      <c r="A21" s="19" t="s">
        <v>76</v>
      </c>
    </row>
    <row r="22" spans="1:1" ht="20.100000000000001" customHeight="1" x14ac:dyDescent="0.25">
      <c r="A22" s="70" t="s">
        <v>1</v>
      </c>
    </row>
    <row r="23" spans="1:1" ht="20.100000000000001" customHeight="1" x14ac:dyDescent="0.25">
      <c r="A23" s="70" t="s">
        <v>75</v>
      </c>
    </row>
    <row r="24" spans="1:1" ht="20.100000000000001" customHeight="1" x14ac:dyDescent="0.25">
      <c r="A24" s="17" t="str">
        <f>HYPERLINK("#'Calcs - Fert Lime'!A1", "Fertiliser &amp; soil amendments")</f>
        <v>Fertiliser &amp; soil amendments</v>
      </c>
    </row>
    <row r="25" spans="1:1" ht="20.100000000000001" customHeight="1" x14ac:dyDescent="0.25">
      <c r="A25" s="17" t="str">
        <f>HYPERLINK("#'Calcs - Residue mgmt - Crop'!A1", "Residue management - Crop")</f>
        <v>Residue management - Crop</v>
      </c>
    </row>
    <row r="26" spans="1:1" ht="20.100000000000001" customHeight="1" x14ac:dyDescent="0.25">
      <c r="A26" s="17" t="str">
        <f>HYPERLINK("#'Calcs - Residue mgmt - Pasture'!A1", "Residue management - Pasture")</f>
        <v>Residue management - Pasture</v>
      </c>
    </row>
    <row r="27" spans="1:1" ht="20.100000000000001" customHeight="1" x14ac:dyDescent="0.25">
      <c r="A27" s="17" t="str">
        <f>HYPERLINK("#'Calcs - Field burning'!A1", "Field burning - Crop")</f>
        <v>Field burning - Crop</v>
      </c>
    </row>
    <row r="28" spans="1:1" ht="20.100000000000001" customHeight="1" x14ac:dyDescent="0.25">
      <c r="A28" s="17" t="str">
        <f>HYPERLINK("#'Calcs - Fuel'!A1", "Fuel")</f>
        <v>Fuel</v>
      </c>
    </row>
    <row r="29" spans="1:1" ht="20.100000000000001" customHeight="1" x14ac:dyDescent="0.25">
      <c r="A29" s="17" t="str">
        <f>HYPERLINK("#'Calcs - Electricity'!A1", "Electricity")</f>
        <v>Electricity</v>
      </c>
    </row>
    <row r="30" spans="1:1" ht="20.100000000000001" customHeight="1" x14ac:dyDescent="0.25">
      <c r="A30" s="17" t="str">
        <f>HYPERLINK("#'Calcs - Refrigerants'!A1", "Refrigerants")</f>
        <v>Refrigerants</v>
      </c>
    </row>
    <row r="31" spans="1:1" ht="20.100000000000001" customHeight="1" x14ac:dyDescent="0.25">
      <c r="A31" s="70" t="s">
        <v>78</v>
      </c>
    </row>
    <row r="32" spans="1:1" ht="20.100000000000001" customHeight="1" x14ac:dyDescent="0.25">
      <c r="A32" s="70" t="s">
        <v>74</v>
      </c>
    </row>
    <row r="33" spans="1:1" ht="20.100000000000001" customHeight="1" x14ac:dyDescent="0.25">
      <c r="A33" s="17" t="str">
        <f>HYPERLINK("#'Calcs - Scope 3'!A1", "Purchased goods scope 3")</f>
        <v>Purchased goods scope 3</v>
      </c>
    </row>
    <row r="34" spans="1:1" ht="20.100000000000001" customHeight="1" x14ac:dyDescent="0.25"/>
    <row r="35" spans="1:1" ht="20.100000000000001" customHeight="1" x14ac:dyDescent="0.25">
      <c r="A35" s="18" t="s">
        <v>4</v>
      </c>
    </row>
    <row r="36" spans="1:1" ht="20.100000000000001" customHeight="1" x14ac:dyDescent="0.25">
      <c r="A36" s="17" t="str">
        <f>HYPERLINK("#'Constants - Common'!A1", "Constants - Common")</f>
        <v>Constants - Common</v>
      </c>
    </row>
    <row r="37" spans="1:1" ht="20.100000000000001" customHeight="1" x14ac:dyDescent="0.25">
      <c r="A37" s="17" t="str">
        <f>HYPERLINK("#'Constants - Cropping'!A1", "Constants - Cropping")</f>
        <v>Constants - Cropping</v>
      </c>
    </row>
    <row r="38" spans="1:1" ht="20.100000000000001" customHeight="1" x14ac:dyDescent="0.25">
      <c r="A38" s="17" t="str">
        <f>HYPERLINK("#'Constants - Livestock'!A1", "Constants - Livestock")</f>
        <v>Constants - Livestock</v>
      </c>
    </row>
    <row r="39" spans="1:1" ht="20.100000000000001" customHeight="1" x14ac:dyDescent="0.25">
      <c r="A39" s="17" t="str">
        <f>HYPERLINK("#'Constants - Dairy'!A1", "Constants - Dairy")</f>
        <v>Constants - Dairy</v>
      </c>
    </row>
    <row r="40" spans="1:1" ht="20.100000000000001" customHeight="1" x14ac:dyDescent="0.25">
      <c r="A40" s="70" t="s">
        <v>2</v>
      </c>
    </row>
    <row r="41" spans="1:1" ht="20.100000000000001" customHeight="1" x14ac:dyDescent="0.25">
      <c r="A41" s="47"/>
    </row>
    <row r="42" spans="1:1" ht="20.100000000000001" customHeight="1" x14ac:dyDescent="0.25"/>
    <row r="43" spans="1:1" ht="20.100000000000001" customHeight="1" x14ac:dyDescent="0.25"/>
    <row r="44" spans="1:1" ht="20.100000000000001" customHeight="1" x14ac:dyDescent="0.25"/>
    <row r="45" spans="1:1" ht="20.100000000000001" customHeight="1" x14ac:dyDescent="0.25"/>
    <row r="46" spans="1:1" ht="20.100000000000001" customHeight="1" x14ac:dyDescent="0.25"/>
    <row r="47" spans="1:1" ht="20.100000000000001" customHeight="1" x14ac:dyDescent="0.25"/>
    <row r="48" spans="1:1"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XAB1ADAAMAAzAGMAdABcAHUAMAAwADMAZQBcAHUAMAAwADMAYwBzAFwAdQAwADAAMwBlAFwAIgAgAFwAdQAwADAAMgA2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FwAdQAwADAAMwBjAC8AcwBcAHUAMAAwADMAZQBcAHUAMAAwADMAYwBzAFwAdQAwADAAMwBlAFwAIgBcAG4AIAAgACAAIAAgACAAIAAgACkAIABcAHUAMAAwADIANgBcAG4AIAAgACAAIAAgACAAIAAgAFwAIgBcAHUAMAAwADMAYwAvAHMAXAB1ADAAMAAzAGUAXAB1ADAAMAAzAGMALwB0AFwAdQAwADAAMwBl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BcAHUAMAAwADMAYwA9AGEAdgBnAFQAZQBtAHAAKQAqAFwAbgAgACAAIAAgACAAIAAgACAAKABWAEEATABVAEUAKABtAGEAeABUAGUAbQBwAEEAcgByAGEAeQApAFwAdQAwADAAMwBlAD0AYQB2AGcAVABlAG0AcAApACoAXABuACAAIAAgACAAIAAgACAAIAAoAFYAQQBMAFUARQAoAG0AaQBuAFIAYQBpAG4AZgBhAGwAbABBAHIAcgBhAHkAKQBcAHUAMAAwADMAYwA9AGEAdgBnAFIAYQBpAG4AKQAqAFwAbgAgACAAIAAgACAAIAAgACAAKABWAEEATABVAEUAKABtAGEAeABSAGEAaQBuAGYAYQBsAGwAQQByAHIAYQB5ACkAXAB1ADAAMAAzAGUAPQBhAHYAZwBSAGEAaQBuACkAKgBcAG4AIAAgACAAIAAgACAAIAAgACgAVgBBAEwAVQBFACgAbQBpAG4ARgByAG8AcwB0AEEAcgByAGEAeQApAFwAdQAwADAAMwBjAD0AZgByAG8AcwB0AEQAYQB5AHMAKQAqAFwAbgAgACAAIAAgACAAIAAgACAAKABWAEEATABVAEUAKABtAGEAeABGAHIAbwBzAHQAQQByAHIAYQB5ACkAXAB1ADAAMAAzAGUAPQBmAHIAbwBzAHQARABhAHkAcwApACoAXABuACAAIAAgACAAIAAgACAAIAAoAFYAQQBMAFUARQAoAG0AaQBuAEUAbABlAHYAYQB0AGkAbwBuAEEAcgByAGEAeQApAFwAdQAwADAAMwBjAD0AZQBsAGUAdgApACoAXABuACAAIAAgACAAIAAgACAAIAAoAFYAQQBMAFUARQAoAG0AYQB4AEUAbABlAHYAYQB0AGkAbwBuAEEAcgByAGEAeQApAFwAdQAwADAAMwBlAD0AZQBsAGUAdgApACoAXABuACAAIAAgACAAIAAgACAAIAAoAFYAQQBMAFUARQAoAG0AaQBuAFAARQBUAEEAcgByAGEAeQApAFwAdQAwADAAMwBjAD0AbQBhAHAAXwBwAGUAdAApACoAXABuACAAIAAgACAAIAAgACAAIAAoAFYAQQBMAFUARQAoAG0AYQB4AFAARQBUAEEAcgByAGEAeQApAFwAdQAwADAAMwBl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XAB1ADAAMAAzAGMAPQBMAG8AbwBrAHUAcABWAGEAbAB1AGUAKQAqAFwAbgAgACAAIAAgACAAIAAgACAAKABWAEEATABVAEUAKABNAGEAeABBAHIAcgBhAHkAKQBcAHUAMAAwADMAZQ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XAB1ADAAMAAzAGMAIABTACkALABcAG4AIAAgACAAIAAgACAAIAAgAGwAYQBzAHQAWQBlAGEAcgAsAHkAYgAtACgARABBAFQARQAoAHkAYgAsAG0ALABkACkAXAB1ADAAMAAzAGU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FwAdQAwADAAMgA3AHQAIABvAHYAZQByAGwAYQBwADsAIABtAG8AdgBlACAAdABvACAAbgBlAHgAdAAgAHkAZQBhAHIAKgAvAFwAbgAgACAAIAAgACAAIAAgACAAZgBpAHIAcwB0AFkAZQBhAHIALAB5AGEAKwAoAFAAZQByAGkAbwBkAEUAbgBkACgARABBAFQARQAoAHkAYQAsAG0ALABkACkAKQBcAHUAMAAwADMAYwBTACkALAAgAC8AKgBpAGYAIAB0AGgAZQAgAGEAbgBjAGgAbwByACAAZgBvAHIAIAB5AGIAIABzAHQAYQByAHQAcwAgAGEAZgB0AGUAcgAgAEUALABpAHQAIABjAGEAbgBcAHUAMAAwADIANwB0ACAAbwB2AGUAcgBsAGEAcAA7ACAAbQBvAHYAZQAgAHQAbwAgAHAAcgBlAHYAaQBvAHUAcwAgAHkAZQBhAHIAKgAvAFwAbgAgACAAIAAgACAAIAAgACAAbABhAHMAdABZAGUAYQByACwAeQBiAC0AKABEAEEAVABFACgAeQBiACwAbQAsAGQAKQBcAHUAMAAwADMAZQ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XAB1ADAAMAAyADYAIABcACIAIAB0AG8AIABcACIAIABcAHUAMAAwADIANgAgAGUAbgBkAHMAVABlAHgAdAAgAFwAdQAwADAAMgA2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B1ADAAMAAyADcAXAAiACAAXAB1ADAAMAAyADYAIABzAGgAIABcAHUAMAAwADIANgAgAFwAIgBcAHUAMAAwADIANwAhAFwAIgAgAFwAdQAwADAAMgA2ACAAYQBkAGQAcgBcAG4AIAAgACkAXABuACkAOwBcAG4AXABuAFUAdABpAGwAaQB0AHkAXwBTAG8AdQByAGMAZQBIAHkAcABlAHIAbABpAG4AawBEAGkAZgBmAGUAcgBlAG4AdABTAGgAZQBlAHQ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CIAIABcAHUAMAAwADIAN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UAGUAbQBwAGUAcgBhAHQAdQByAGUALAAgAFwAbgAgACAAIAAgACAAIAAgACAAIAAgACAAIABNAEkATgAoAFQAZQBtAHAAZQByAGEAdAB1AHIAZQBBAHIAcgBhAHkAKQAsACAAXABuACAAIAAgACAAIAAgACAAIAAgACAAIAAgAE0AQQBYACgAVABlAG0AcABlAHIAYQB0AHUAcgBlAEEAcgByAGEAeQApAFwAbgAgACAAIAAgACAAIAAgACAAKQAsAFwAbgAgACAAIAAgACAAIAAgACAAVABlAG0AcABlAHIAYQB0AHUAcgBlAEEAcgByAGEAeQAsAFwAbgAgACAAIAAgACAAIAAgACAAWABMAE8ATwBLAFUAUAAoAE0ATQBTACwAIABNAE0AUwBBAHIAcgBhAHkALAAgAFIAZQB0AHUAcgBuAEEAcgByAGEAeQApAFwAbgAgACAAIAAgACkAXABuACkAOwBcAG4AXABuAFwAbgBVAHQAaQBsAGkAdAB5AF8AUgBlAHMAdQBsAHQAcwBJAHQAZQBtAEYAcgBvAG0ARQBxAHUAYQB0AGkAbwBuAFQAaQB0AGwAZQBBAG4AZABTAG8AdQByAGMAZQBcAG4APQBMAEEATQBCAEQAQQAoAFwAbgAgACAAIAAgAFQAaQB0AGwAZQBDAGUAbABsACwAIABTAG8AdQByAGMAZQBDAGUAbABsACwAXABuACAAIAAgACAAUwBVAEIAUwBUAEkAVABVAFQARQAoAEwARQBGAFQAKABTAG8AdQByAGMAZQBDAGUAbABsACwAIABGAEkATgBEACgAXAAiACwAXAAiACwAIABTAG8AdQByAGMAZQBDAGUAbABsACkAIAAtADEAKQAsACAAXAAiAFYARQBFAFIARwAgADIAMAAyADYAOgAgAFwAIgAsACAAXAAiAFwAIgApACAAXAB1ADAAMAAyADYAIABcACIAIABcACIAIABcAHUAMAAwADIANgAgAFQAaQB0AGwAZQBDAGUAbABsAFwAbgApADsAIgB9ACwAewAiAHAAYQB0AGgAIgA6ACIALwBwAHIAbwBqAGUAYwB0AHMALwBDAG8AbQBtAG8AbgBDAHIAbwBwAHAAaQBuAGcAXwBJAG4AcAB1AHQARgB1AG4AYwB0AGkAbwBuAHMAIgAsACIAdABlAHgAdAAiADoAI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FwAdQAwADAAMwBlADAALAAgADEALAAgADAAKQBcAG4AIAAgACAAIAApACkAOwBcAG4AXABuAFwAbgBDAG8AbQBtAG8AbgBDAHIAbwBwAHAAaQBuAGcAXwBDAGEAbABjAHUAbABhAHQAZQBIAGEAcgB2AGUAcwB0AEkAbgBkAGUAeABcAG4APQBMAEEATQBCAEQAQQAoAFwAbgAgACAAIAAgAEMAcgBvAHAAVAB5AHAAZQAsACAAQwByAG8AcABUAHkAcABlAEEAcgByAGEAeQAsACAAUgBlAHMAaQBkAHUAZQBDAHIAbwBwAFIAYQB0AGkAbwBBAHIAcgBhAHkALABcAG4AIAAgACAAIAAxAC8AKAAxACsAQwBvAG0AbQBvAG4AXwBJAG4AcAB1AHQARgB1AG4AYwB0AGkAbwBuAHMALgBVAHQAaQBsAGkAdAB5AF8ATABvAG8AawB1AHAAVgBhAGwAdQBlAEkAbgBUAGEAYgBsAGUATgB1AG0AYgBlAHIAKABDAHIAbwBwAFQAeQBwAGUALAAgAEMAcgBvAHAAVAB5AHAAZQBBAHIAcgBhAHkALAAgAFIAZQBzAGkAZAB1AGUAQwByAG8AcABSAGEAdABpAG8AQQByAHIAYQB5ACkAKQBcAG4AKQA7AFwAbgBcAG4AQwBvAG0AbQBvAG4AQwByAG8AcABwAGkAbgBnAF8AQwBhAGwAYwB1AGwAYQB0AGUAUgBlAHMAaQBkAHUAZQBDAHIAbwBwAFIAYQB0AGkAbwBcAG4APQBMAEEATQBCAEQAQQAoAFwAbgAgACAAIAAgAEgAYQByAHYAZQBzAHQASQBuAGQAZQB4ACwAXABuACAAIAAgACAAKAAxAC0ASABhAHIAdgBlAHMAdABJAG4AZABlAHgAKQAvAEgAYQByAHYAZQBzAHQASQBuAGQAZQB4AFwAbgApADsAXABuAFwAbgBcAG4AQwBvAG0AbQBvAG4AQwByAG8AcABwAGkAbgBnAF8AQwBhAGwAYwB1AGwAYQB0AGUARgByAGEAYwB0AGkAbwBuAFIAZQBzAGkAZAB1AGUAUgBlAG0AbwB2AGUAZABcAG4APQBMAEEATQBCAEQAQQAoAFwAbgAgACAAIAAgAFQAbwB0AGEAbABSAGUAcwBpAGQAdQBlACwAIABBAG0AbwB1AG4AdABSAGUAbQBvAHYAZQBkACwAXABuACAAIAAgACAAKABBAG0AbwB1AG4AdABSAGUAbQBvAHYAZQBkACoAMQAwAF4AMwApAC8AKABUAG8AdABhAGwAUgBlAHMAaQBkAHUAZQAqADEAMABeADMAKQBcAG4AKQAiAH0ALAB7ACIAcABhAHQAaAAiADoAIgAvAHAAcgBvAGoAZQBjAHQAcwAvAFMAbwB1AHIAYwBlAEQAYQB0AGEAXwBEAGEAaQByAHkAIgAsACIAdABlAHgAdAAiADoAIgBcAG4ALwAqACAAXABuAC0ALQAtAC0ALQAtAC0ALQAtAC0ALQAtAC0ALQAtAC0ALQAtAC0ALQAtAC0ALQAtAC0ALQAtAC0ALQAtAC0ALQAtAC0ALQAtAC0ALQBcAG4AUwBvAHUAcgBjAGUARABhAHQAYQBfAEQAYQBpAHIAeQBfAEwAaQB2AGUAdwBlAGkAZwBoAHQAQwBvAHcAcwBBAG4AZABIAGUAaQBmAGUAcgBzAFwAbgBUAGEAYgBsAGUAIABBAC4AMQAuADMALgAxADoAIABEAGEAaQByAHkAIABjAGEAdAB0AGwAZQAgAC0AIABMAGkAdgBlAHcAZQBpAGcAaAB0ACAAKABrAGcAKQAgAC0AIABDAG8AdwBzACAAYQBuAGQAIABIAGUAaQBmAGUAcgBzACAAKABXAGoAKQBcAG4ALQAtAC0ALQAtAC0ALQAtAC0ALQAtAC0ALQAtAC0ALQAtAC0ALQAtAC0ALQAtAC0ALQAtAC0ALQAtAC0ALQAtAC0ALQAtAC0ALQAtAFwAbgAqAC8AXABuAFwAbgBTAG8AdQByAGMAZQBEAGEAdABhAF8ARABhAGkAcgB5AF8ATABpAHYAZQB3AGUAaQBnAGgAdABDAG8AdwBzAEEAbgBkAEgAZQBpAGYAZQByAHMAXwBUAGkAdABsAGUAXABuACAAIAA9AEwAQQBNAEIARABBACgAXAAiAFQAYQBiAGwAZQAgAEEALgAxAC4AMwAuADEAOgAgAEQAYQBpAHIAeQAgAGMAYQB0AHQAbABlACAALQAgAEwAaQB2AGUAdwBlAGkAZwBoAHQAIAAoAGsAZwApACAALQAgAEMAbwB3AHMAIABhAG4AZAAgAEgAZQBpAGYAZQByAHMAIAAoAFcAagApAFwAIgApADsAXABuAFwAbgBTAG8AdQByAGMAZQBEAGEAdABhAF8ARABhAGkAcgB5AF8ATABpAHYAZQB3AGUAaQBnAGgAdABDAG8AdwBzAEEAbgBkAEgAZQBpAGYAZQByAHMAXwBWAGEAcgBpAGEAYgBsAGUAXABuACAAIAA9AEwAQQBNAEIARABBACgAXAAiAFcAagBcACIAKQA7AFwAbgBcAG4AUwBvAHUAcgBjAGUARABhAHQAYQBfAEQAYQBpAHIAeQBfAEwAaQB2AGUAdwBlAGkAZwBoAHQAQwBvAHcAcwBBAG4AZABIAGUAaQBmAGUAcgBzAF8AVQBuAGkAdABcAG4AIAAgAD0ATABBAE0AQgBEAEEAKABcACIAawBnAFwAIgApADsAXABuAFwAbgBTAG8AdQByAGMAZQBEAGEAdABhAF8ARABhAGkAcgB5AF8ATABpAHYAZQB3AGUAaQBnAGgAdABDAG8AdwBzAEEAbgBkAEgAZQBpAGYAZQByAHMAXwBTAG8AdQByAGMAZQBcAG4AIAAgAD0ATABBAE0AQgBEAEEAKABcACIAVgBFAEUAUgBHACAAMgAwADIANgA6ACAAVABhAGIAbABlACAAQQAuADEALgAzAC4AMQBcACIAKQA7AFwAbgBcAG4AUwBvAHUAcgBjAGUARABhAHQAYQBfAEQAYQBpAHIAeQBfAEwAaQB2AGUAdwBlAGkAZwBoAHQAQwBvAHcAcwBBAG4AZABIAGUAaQBmAGUAcgBzAF8AVgBhAHIAaQBhAHQAaQBvAG4AXABuACAAIAA9AEwAQQBNAEIARABBACgAXAAiAFYAQQBSAEkAQQBUAEkATwBOACAATwBGACAAUwBPAFUAUgBDAEUAOgAgAEUAeABjAGwAdQBkAGUAZAAgAFwAdQAwADAAMgA3AFIAZQBmAGUAcgBlAG4AYwBlAFwAdQAwADAAMgA3ACwAIABhAHMAIAB0AGgAZQAgAHYAYQBsAHUAZQAgAGkAcwAgAGMAbwBuAHMAaQBzAHQAZQBuAHQAbAB5ACAAXAB1ADAAMAAyADcARABhAGkAcgB5ACAAQQB1AHMAdAByAGEAbABpAGEAIABbADEAXQBcAHUAMAAwADIANwAgAGEAbgBkACAAaQBzACAAbgBvAHQAIAB1AHMAZQBkACAAaQBuACAAYwBhAGwAYwB1AGwAYQB0AGkAbwBuAC4AXAAiACkAOwBcAG4AXABuAFMAbwB1AHIAYwBlAEQAYQB0AGEAXwBEAGEAaQByAHkAXwBMAGkAdgBlAHcAZQBpAGcAaAB0AEMAbwB3AHMAQQBuAGQASABlAGkAZgBlAHIAcwBfAEQAYQB0AGEAXABuACAAIAA9AEwAQQBNAEIARABBACgAXABuACAAIAAgACAATQBBAEsARQBBAFIAUgBBAFkAKAAxADEALAAgADQALABcAG4AIAAgACAAIAAgACAATABBAE0AQgBEAEEAKAByACwAYwAsAFwAbgAgACAAIAAgACAAIAAgACAASQBOAEQARQBYACgAewBcAG4AIAAgACAAIAAgACAAIAAgACAAIABcACIAQgByAGUAZQBkAFwAIgAsACAAXAAiAE0AaQBsAGsAaQBuAGcAIABDAG8AdwBzAFwAIgAsACAAXAAiAEgAZQBpAGYAZQByAHMAIABcAHUAMAAwADMAZQAxAFwAIgAsACAAXAAiAEgAZQBpAGYAZQByAHMAIABcAHUAMAAwADMAYwAxACAAKAB3AGUAYQBuAGUAZAApAFwAIgA7AFwAbgAgACAAIAAgACAAIAAgACAAIAAgAFwAIgBNAGUAZABpAHUAbQAgAEYAcgBpAGUAcwBpAGEAbgBcACIALAAgADUANQAwACwAIAAzADgAMAAsACAAMQA1ADUAOwBcAG4AIAAgACAAIAAgACAAIAAgACAAIABcACIATABhAHIAZwBlACAARgByAGkAZQBzAGkAYQBuAFwAIgAsACAANgAwADAALAAgADQAMQA1ACwAIAAxADcAMAA7AFwAbgAgACAAIAAgACAAIAAgACAAIAAgAFwAIgBIAG8AbABzAHQAZQBpAG4ALQBGAHIAaQBlAHMAaQBhAG4AXAAiACwAIAA2ADUAMAAsACAANAA1ADAALAAgADEAOAA1ADsAXABuACAAIAAgACAAIAAgACAAIAAgACAAXAAiAEYAcgBpAGUAcwBpAGEAbgAgAGMAcgBvAHMAcwBiAHIAZQBkAFwAIgAsACAANQAwADAALAAgADMANQAwACwAIAAxADQANQA7AFwAbgAgACAAIAAgACAAIAAgACAAIAAgAFwAIgBKAGUAcgBzAGUAeQBcACIALAAgADQAMAAwACwAIAAyADcANQAsACAAMQAxADUAOwBcAG4AIAAgACAAIAAgACAAIAAgACAAIABcACIASgBlAHIAcwBlAHkAIABjAHIAbwBzAHMAYgByAGUAZABcACIALAAgADQANQAwACwAIAAzADEANQAsACAAMQAzADAAOwBcAG4AIAAgACAAIAAgACAAIAAgACAAIABcACIAQQB5AHIAcwBoAGkAcgBlAFwAIgAsACAANQA0ADAALAAgADMANwA1ACwAIAAxADUAMAA7AFwAbgAgACAAIAAgACAAIAAgACAAIAAgAFwAIgBHAHUAZQByAG4AcwBlAHkAXAAiACwAIAA0ADgAMAAsACAAMwAzADUALAAgADEANAAwADsAXABuACAAIAAgACAAIAAgACAAIAAgACAAXAAiAEIAcgBvAHcAbgAgAFMAdwBpAHMAcwBcACIALAAgADYAMAAwACwAIAA0ADEANQAsACAAMQA3ADAAOwBcAG4AIAAgACAAIAAgACAAIAAgACAAIABcACIASQBsAGwAYQB3AGEAcgByAGEALwBBAHUAcwBzAGkAZQAgAFIAZQBkAFwAIgAsACAANQA1ADAALAAgADMANwA1ACwAIAAxADUAMABcAG4AIAAgACAAIAAgACAAIAAgAH0ALAAgAHIALAAgAGMAKQBcAG4AIAAgACAAIAAgACAAKQBcAG4AIAAgACAAIAApAFwAbgAgACAAKQA7AFwAbgBcAG4AXABuAC8AKgAgAFwAbgAtAC0ALQAtAC0ALQAtAC0ALQAtAC0ALQAtAC0ALQAtAC0ALQAtAC0ALQAtAC0ALQAtAC0ALQAtAC0ALQAtAC0ALQAtAC0ALQAtAC0AXABuAFMAbwB1AHIAYwBlAEQAYQB0AGEAXwBEAGEAaQByAHkAXwBMAGkAdgBlAHcAZQBpAGcAaAB0AEIAdQBsAGwAcwBcAG4AVABhAGIAbABlACAAQQAuADEALgAzAC4AMgA6ACAARABhAGkAcgB5ACAAYwBhAHQAdABsAGUAIAAtACAATABpAHYAZQB3AGUAaQBnAGgAdAAgACgAawBnACkAIAAtACAAQgB1AGwAbABzACAAKABXAGoAKQBcAG4ALQAtAC0ALQAtAC0ALQAtAC0ALQAtAC0ALQAtAC0ALQAtAC0ALQAtAC0ALQAtAC0ALQAtAC0ALQAtAC0ALQAtAC0ALQAtAC0ALQAtAFwAbgAqAC8AXABuAFwAbgBTAG8AdQByAGMAZQBEAGEAdABhAF8ARABhAGkAcgB5AF8ATABpAHYAZQB3AGUAaQBnAGgAdABCAHUAbABsAHMAXwBUAGkAdABsAGUAXABuACAAIAA9AEwAQQBNAEIARABBACgAXAAiAFQAYQBiAGwAZQAgAEEALgAxAC4AMwAuADIAOgAgAEQAYQBpAHIAeQAgAGMAYQB0AHQAbABlACAALQAgAEwAaQB2AGUAdwBlAGkAZwBoAHQAIAAoAGsAZwApACAALQAgAEIAdQBsAGwAcwAgACgAVwBqACkAXAAiACkAOwBcAG4AXABuAFMAbwB1AHIAYwBlAEQAYQB0AGEAXwBEAGEAaQByAHkAXwBMAGkAdgBlAHcAZQBpAGcAaAB0AEIAdQBsAGwAcwBfAFYAYQByAGkAYQBiAGwAZQBcAG4AIAAgAD0ATABBAE0AQgBEAEEAKABcACIAVwBqAFwAIgApADsAXABuAFwAbgBTAG8AdQByAGMAZQBEAGEAdABhAF8ARABhAGkAcgB5AF8ATABpAHYAZQB3AGUAaQBnAGgAdABCAHUAbABsAHMAXwBVAG4AaQB0AFwAbgAgACAAPQBMAEEATQBCAEQAQQAoAFwAIgBrAGcAXAAiACkAOwBcAG4AXABuAFMAbwB1AHIAYwBlAEQAYQB0AGEAXwBEAGEAaQByAHkAXwBMAGkAdgBlAHcAZQBpAGcAaAB0AEIAdQBsAGwAcwBfAFMAbwB1AHIAYwBlAFwAbgAgACAAPQBMAEEATQBCAEQAQQAoAFwAIgBWAEUARQBSAEcAIAAyADAAMgA2ADoAIABUAGEAYgBsAGUAIABBAC4AMQAuADMALgAyAFwAIgApADsAXABuAFwAbgBTAG8AdQByAGMAZQBEAGEAdABhAF8ARABhAGkAcgB5AF8ATABpAHYAZQB3AGUAaQBnAGgAdABCAHUAbABsAHMAXwBWAGEAcgBpAGEAdABpAG8AbgBcAG4AIAAgAD0ATABBAE0AQgBEAEEAKABcACIAXAAiACkAOwBcAG4AXABuAFMAbwB1AHIAYwBlAEQAYQB0AGEAXwBEAGEAaQByAHkAXwBMAGkAdgBlAHcAZQBpAGcAaAB0AEIAdQBsAGwAcwBfAEQAYQB0AGEAXABuACAAIAA9AEwAQQBNAEIARABBACgAXABuACAAIAAgACAATQBBAEsARQBBAFIAUgBBAFkAKAAyACwAIAAzACwAXABuACAAIAAgACAAIAAgAEwAQQBNAEIARABBACgAcgAsAGMALABcAG4AIAAgACAAIAAgACAAIAAgAEkATgBEAEUAWAAoAHsAXABuACAAIAAgACAAIAAgACAAIAAgACAAXAAiAEIAcgBlAGUAZABcACIALAAgAFwAIgBCAHUAbABsAHMAIABcAHUAMAAwADMAZQAxAFwAIgAsACAAXAAiAEIAdQBsAGwAcwAgAFwAdQAwADAAMwBjADEAIAAoAHcAZQBhAG4AZQBkACkAXAAiADsAXABuACAAIAAgACAAIAAgACAAIAAgACAAXAAiAEEAbABsACAAYgByAGUAZQBkAHMAXAAiACwAIAA2ADAAMAAsACAAMgAyADU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MAGkAdgBlAHcAZQBpAGcAaAB0AEcAYQBpAG4AXABuAFQAYQBiAGwAZQAgAEEALgAxAC4AMwAuADMAOgAgAEQAYQBpAHIAeQAgAGMAYQB0AHQAbABlACAALQAgAEwAaQB2AGUAdwBlAGkAZwBoAHQAIABnAGEAaQBuACAAKABrAGcAKQAgACgATABXAEcAagApAFwAbgAtAC0ALQAtAC0ALQAtAC0ALQAtAC0ALQAtAC0ALQAtAC0ALQAtAC0ALQAtAC0ALQAtAC0ALQAtAC0ALQAtAC0ALQAtAC0ALQAtAC0AXABuACoALwBcAG4AXABuAFMAbwB1AHIAYwBlAEQAYQB0AGEAXwBEAGEAaQByAHkAXwBMAGkAdgBlAHcAZQBpAGcAaAB0AEcAYQBpAG4AXwBUAGkAdABsAGUAXABuACAAIAA9AEwAQQBNAEIARABBACgAXAAiAFQAYQBiAGwAZQAgAEEALgAxAC4AMwAuADMAOgAgAEQAYQBpAHIAeQAgAGMAYQB0AHQAbABlACAALQAgAEwAaQB2AGUAdwBlAGkAZwBoAHQAIABnAGEAaQBuACAAKABrAGcAKQAgACgATABXAEcAagApAFwAIgApADsAXABuAFwAbgBTAG8AdQByAGMAZQBEAGEAdABhAF8ARABhAGkAcgB5AF8ATABpAHYAZQB3AGUAaQBnAGgAdABHAGEAaQBuAF8AVgBhAHIAaQBhAGIAbABlAFwAbgAgACAAPQBMAEEATQBCAEQAQQAoAFwAIgBMAFcARwBqAFwAIgApADsAXABuAFwAbgBTAG8AdQByAGMAZQBEAGEAdABhAF8ARABhAGkAcgB5AF8ATABpAHYAZQB3AGUAaQBnAGgAdABHAGEAaQBuAF8AVQBuAGkAdABcAG4AIAAgAD0ATABBAE0AQgBEAEEAKABcACIAawBnAFwAIgApADsAXABuAFwAbgBTAG8AdQByAGMAZQBEAGEAdABhAF8ARABhAGkAcgB5AF8ATABpAHYAZQB3AGUAaQBnAGgAdABHAGEAaQBuAF8AUwBvAHUAcgBjAGUAXABuACAAIAA9AEwAQQBNAEIARABBACgAXAAiAFYARQBFAFIARwAgADIAMAAyADYAOgAgAFQAYQBiAGwAZQAgAEEALgAxAC4AMwAuADMAXAAiACkAOwBcAG4AXABuAFMAbwB1AHIAYwBlAEQAYQB0AGEAXwBEAGEAaQByAHkAXwBMAGkAdgBlAHcAZQBpAGcAaAB0AEcAYQBpAG4AXwBWAGEAcgBpAGEAdABpAG8AbgBcAG4AIAAgAD0ATABBAE0AQgBEAEEAKABcACIAXAAiACkAOwBcAG4AXABuAFMAbwB1AHIAYwBlAEQAYQB0AGEAXwBEAGEAaQByAHkAXwBMAGkAdgBlAHcAZQBpAGcAaAB0AEcAYQBpAG4AXwBEAGEAdABhAFwAbgAgACAAPQBMAEEATQBCAEQAQQAoAFwAbgAgACAAIAAgAE0AQQBLAEUAQQBSAFIAQQBZACgAMgAsACAANQAsAFwAbgAgACAAIAAgACAAIABMAEEATQBCAEQAQQAoAHIALABjACwAXABuACAAIAAgACAAIAAgACAAIABJAE4ARABFAFgAKAB7AFwAbgAgACAAIAAgACAAIAAgACAAIAAgAFwAIgBNAGkAbABrAGkAbgBnACAAQwBvAHcAcwBcACIALAAgAFwAIgBIAGUAaQBmAGUAcgBzACAAXAB1ADAAMAAzAGUAMQBcACIALAAgAFwAIgBIAGUAaQBmAGUAcgBzACAAXAB1ADAAMAAzAGMAMQAgACgAdwBlAGEAbgBlAGQAKQBcACIALAAgAFwAIgBCAHUAbABsAHMAIABcAHUAMAAwADMAZQAxAFwAIgAsACAAXAAiAEIAdQBsAGwAcwAgAFwAdQAwADAAMwBjADEAIAAoAHcAZQBhAG4AZQBkACkAXAAiADsAXABuACAAIAAgACAAIAAgACAAIAAgACAAMAAuADAAMQA2ACwAIAAwAC4ANgAsACAAMAAuADUANwAsACAAMAAuADEALAAgADAALgA4AFwAbgAgACAAIAAgACAAIAAgACAAfQAsACAAcgAsACAAYwApAFwAbgAgACAAIAAgACAAIAApAFwAbgAgACAAIAAgACkAXABuACAAIAApADsAXABuAFwAbgAvACoAIABcAG4ALQAtAC0ALQAtAC0ALQAtAC0ALQAtAC0ALQAtAC0ALQAtAC0ALQAtAC0ALQAtAC0ALQAtAC0ALQAtAC0ALQAtAC0ALQAtAC0ALQAtAFwAbgBTAG8AdQByAGMAZQBEAGEAdABhAF8ARABhAGkAcgB5AF8AUgBlAGYAZQByAGUAbgBjAGUAVwBlAGkAZwBoAHQAcwBcAG4AVABhAGIAbABlACAAQQAuADEALgAzAC4ANAA6ACAARABhAGkAcgB5ACAAYwBhAHQAdABsAGUAIAAtACAAUgBlAGYAZQByAGUAbgBjAGUAIAB3AGUAaQBnAGgAdABzACAAKABrAGcAKQAgACgAVwBSAGoAKQBcAG4ALQAtAC0ALQAtAC0ALQAtAC0ALQAtAC0ALQAtAC0ALQAtAC0ALQAtAC0ALQAtAC0ALQAtAC0ALQAtAC0ALQAtAC0ALQAtAC0ALQAtAFwAbgAqAC8AXABuAFwAbgBTAG8AdQByAGMAZQBEAGEAdABhAF8ARABhAGkAcgB5AF8AUgBlAGYAZQByAGUAbgBjAGUAVwBlAGkAZwBoAHQAcwBfAFQAaQB0AGwAZQBcAG4AIAAgAD0ATABBAE0AQgBEAEEAKABcACIAVABhAGIAbABlACAAQQAuADEALgAzAC4ANAA6ACAARABhAGkAcgB5ACAAYwBhAHQAdABsAGUAIAAtACAAUgBlAGYAZQByAGUAbgBjAGUAIAB3AGUAaQBnAGgAdABzACAAKABrAGcAKQAgACgAVwBSAGoAKQBcACIAKQA7AFwAbgBcAG4AUwBvAHUAcgBjAGUARABhAHQAYQBfAEQAYQBpAHIAeQBfAFIAZQBmAGUAcgBlAG4AYwBlAFcAZQBpAGcAaAB0AHMAXwBWAGEAcgBpAGEAYgBsAGUAXABuACAAIAA9AEwAQQBNAEIARABBACgAXAAiAFcAUgBqAFwAIgApADsAXABuAFwAbgBTAG8AdQByAGMAZQBEAGEAdABhAF8ARABhAGkAcgB5AF8AUgBlAGYAZQByAGUAbgBjAGUAVwBlAGkAZwBoAHQAcwBfAFUAbgBpAHQAXABuACAAIAA9AEwAQQBNAEIARABBACgAXAAiAGsAZwBcACIAKQA7AFwAbgBcAG4AUwBvAHUAcgBjAGUARABhAHQAYQBfAEQAYQBpAHIAeQBfAFIAZQBmAGUAcgBlAG4AYwBlAFcAZQBpAGcAaAB0AHMAXwBTAG8AdQByAGMAZQBcAG4AIAAgAD0ATABBAE0AQgBEAEEAKABcACIAVgBFAEUAUgBHACAAMgAwADIANgA6ACAAVABhAGIAbABlACAAQQAuADEALgAzAC4ANABcACIAKQA7AFwAbgBcAG4AUwBvAHUAcgBjAGUARABhAHQAYQBfAEQAYQBpAHIAeQBfAFIAZQBmAGUAcgBlAG4AYwBlAFcAZQBpAGcAaAB0AHMAXwBWAGEAcgBpAGEAdABpAG8AbgBcAG4AIAAgAD0ATABBAE0AQgBEAEEAKABcACIAXAAiACkAOwBcAG4AXABuAFMAbwB1AHIAYwBlAEQAYQB0AGEAXwBEAGEAaQByAHkAXwBSAGUAZgBlAHIAZQBuAGMAZQBXAGUAaQBnAGgAdABzAF8ARABhAHQAYQBcAG4AIAAgAD0ATABBAE0AQgBEAEEAKABcAG4AIAAgACAAIABNAEEASwBFAEEAUgBSAEEAWQAoADIALAAgADUALABcAG4AIAAgACAAIAAgACAATABBAE0AQgBEAEEAKAByACwAYwAsAFwAbgAgACAAIAAgACAAIAAgACAASQBOAEQARQBYACgAewBcAG4AIAAgACAAIAAgACAAIAAgACAAIABcACIATQBpAGwAawBpAG4AZwAgAEMAbwB3AHMAXAAiACwAIABcACIASABlAGkAZgBlAHIAcwAgAFwAdQAwADAAMwBlADEAXAAiACwAIABcACIASABlAGkAZgBlAHIAcwAgAFwAdQAwADAAMwBjADEAIAAoAHcAZQBhAG4AZQBkACkAXAAiACwAIABcACIAQgB1AGwAbABzACAAXAB1ADAAMAAzAGUAMQBcACIALAAgAFwAIgBCAHUAbABsAHMAIABcAHUAMAAwADMAYwAxACAAKAB3AGUAYQBuAGUAZAApAFwAIgA7AFwAbgAgACAAIAAgACAAIAAgACAAIAAgADUAOQAwACwAIAA1ADkAMAAsACAANQA5ADAALAAgADcANwAwACwAIAA3ADcAMABcAG4AIAAgACAAIAAgACAAIAAgAH0ALAAgAHIALAAgAGMAKQBcAG4AIAAgACAAIAAgACAAKQBcAG4AIAAgACAAIAApAFwAbgAgACAAKQA7AFwAbgBcAG4ALwAqACAAXABuAC0ALQAtAC0ALQAtAC0ALQAtAC0ALQAtAC0ALQAtAC0ALQAtAC0ALQAtAC0ALQAtAC0ALQAtAC0ALQAtAC0ALQAtAC0ALQAtAC0ALQBcAG4AUwBvAHUAcgBjAGUARABhAHQAYQBfAEQAYQBpAHIAeQBfAFAAcgBlAFcAZQBhAG4AZQBkAEMAYQBsAHYAZQBzAFwAbgBUAGEAYgBsAGUAIABBAC4AMQAuADMALgA1ADoAIABEAGEAaQByAHkAIABjAGEAdAB0AGwAZQAgAC0AIABEAGEAdABhACAAZgBvAHIAIABwAHIAZQAgAC0AIAB3AGUAYQBuAGUAZAAgAGMAYQBsAHYAZQBzAFwAbgAtAC0ALQAtAC0ALQAtAC0ALQAtAC0ALQAtAC0ALQAtAC0ALQAtAC0ALQAtAC0ALQAtAC0ALQAtAC0ALQAtAC0ALQAtAC0ALQAtAC0AXABuACoALwBcAG4AXABuAFMAbwB1AHIAYwBlAEQAYQB0AGEAXwBEAGEAaQByAHkAXwBQAHIAZQBXAGUAYQBuAGUAZABDAGEAbAB2AGUAcwBfAFQAaQB0AGwAZQBcAG4AIAAgAD0ATABBAE0AQgBEAEEAKABcACIAVABhAGIAbABlACAAQQAuADEALgAzAC4ANQA6ACAARABhAGkAcgB5ACAAYwBhAHQAdABsAGUAIAAtACAARABhAHQAYQAgAGYAbwByACAAcAByAGUAIAAtACAAdwBlAGEAbgBlAGQAIABjAGEAbAB2AGUAcwBcACIAKQA7AFwAbgBcAG4AUwBvAHUAcgBjAGUARABhAHQAYQBfAEQAYQBpAHIAeQBfAFAAcgBlAFcAZQBhAG4AZQBkAEMAYQBsAHYAZQBzAF8AVgBhAHIAaQBhAGIAbABlAFwAbgAgACAAPQBMAEEATQBCAEQAQQAoAFwAIgBWAFMAagA9ADMALAA1ADsAIABOAFAAVwBqAD0AMwAsADUAXAAiACkAOwBcAG4AXABuAFMAbwB1AHIAYwBlAEQAYQB0AGEAXwBEAGEAaQByAHkAXwBQAHIAZQBXAGUAYQBuAGUAZABDAGEAbAB2AGUAcwBfAFUAbgBpAHQAXABuACAAIAA9AEwAQQBNAEIARABBACgAXAAiAGsAZwAvAGQAYQB5AFwAIgApADsAXABuAFwAbgBTAG8AdQByAGMAZQBEAGEAdABhAF8ARABhAGkAcgB5AF8AUAByAGUAVwBlAGEAbgBlAGQAQwBhAGwAdgBlAHMAXwBTAG8AdQByAGMAZQBcAG4AIAAgAD0ATABBAE0AQgBEAEEAKABcACIAVgBFAEUAUgBHACAAMgAwADIANgA6ACAAVABhAGIAbABlACAAQQAuADEALgAzAC4ANQBcACIAKQA7AFwAbgBcAG4AUwBvAHUAcgBjAGUARABhAHQAYQBfAEQAYQBpAHIAeQBfAFAAcgBlAFcAZQBhAG4AZQBkAEMAYQBsAHYAZQBzAF8AVgBhAHIAaQBhAHQAaQBvAG4AXABuACAAIAA9AEwAQQBNAEIARABBACgAXAAiAFYAQQBSAEkAQQBUAEkATwBOACAATwBGACAAUwBPAFUAUgBDAEUAOgAgAEEAZABkAGUAZAAgAFwAdQAwADAAMgA3AEEAbgBpAG0AYQBsACAAYwBsAGEAcwBzACAAagBcAHUAMAAwADIANwAgAGMAbwBsAHUAbQBuACAAaABlAGEAZABlAHIAXAAiACkAOwBcAG4AXABuAFMAbwB1AHIAYwBlAEQAYQB0AGEAXwBEAGEAaQByAHkAXwBQAHIAZQBXAGUAYQBuAGUAZABDAGEAbAB2AGUAcwBfAEQAYQB0AGEAXABuACAAIAA9AEwAQQBNAEIARABBACgAXABuACAAIAAgACAATQBBAEsARQBBAFIAUgBBAFkAKAA0ACwAIAA0ACwAXABuACAAIAAgACAAIAAgAEwAQQBNAEIARABBACgAcgAsAGMALABcAG4AIAAgACAAIAAgACAAIAAgAEkATgBEAEUAWAAoAHsAXABuACAAIAAgACAAIAAgACAAIAAgACAAXAAiAEEAbgBpAG0AYQBsACAAYwBsAGEAcwBzACAAagBcACIALAAgAFwAIgBDAEgANAAgAHAAcgBvAGQAdQBjAHQAaQBvAG4AXAAiACwAIABcACIAVgBvAGwAYQB0AGkAbABlACAAcwBvAGwAaQBkAHMAIAAoAFYAUwBqAD0AMwAsADUAKQBcACIALAAgAFwAIgBOAGkAdAByAG8AZwBlAG4AIABFAHgAYwByAGUAdABlAGQAIAAoAE4AUABXAGoAPQAzACwANQApAFwAIgA7AFwAbgAgACAAIAAgACAAIAAgACAAIAAgAFwAIgBcACIALAAgAFwAIgAoAGsAZwAvAGQAYQB5ACkAXAAiACwAIABcACIAKABrAGcALwBkAGEAeQApAFwAIgAsACAAXAAiACgAawBnAC8AZABhAHkAKQBcACIAOwBcAG4AIAAgACAAIAAgACAAIAAgACAAIABcACIASABlAGkAZgBlAHIAcwBcAHUAMAAwADMAYwAxAFwAIgAsACAAMAAuADAAMQA3ADYALAAgADAALgAyADYAOAA1ACwAIAAwAC4AMAAxADMANwA7AFwAbgAgACAAIAAgACAAIAAgACAAIAAgAFwAIgBCAHUAbABsAHMAXAB1ADAAMAAzAGMAMQBcACIALAAgADAALgAwADIAMAA0ACwAIAAwAC4AMwAwADAAMwAsACAAMAAuADAAMAA5ADI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NAEMARgBcAG4AVABhAGIAbABlACAAQQAuADEALgAzAC4ANgA6ACAARABhAGkAcgB5ACAAYwBhAHQAdABsAGUAIAAtACAARABhAGkAcgB5ACAAYwBhAHQAdABsAGUAIAAtACAATQBDAEYAcwAgACgAZgByAGEAYwB0AGkAbwBuACkAIAAoAE0AQwBGAGoAbQApAFwAbgAtAC0ALQAtAC0ALQAtAC0ALQAtAC0ALQAtAC0ALQAtAC0ALQAtAC0ALQAtAC0ALQAtAC0ALQAtAC0ALQAtAC0ALQAtAC0ALQAtAC0AXABuACoALwBcAG4AXABuAFMAbwB1AHIAYwBlAEQAYQB0AGEAXwBEAGEAaQByAHkAXwBNAEMARgBfAFQAaQB0AGwAZQBcAG4AIAAgAD0ATABBAE0AQgBEAEEAKABcACIAVABhAGIAbABlACAAQQAuADEALgAzAC4ANgA6ACAARABhAGkAcgB5ACAAYwBhAHQAdABsAGUAIAAtACAARABhAGkAcgB5ACAAYwBhAHQAdABsAGUAIAAtACAATQBDAEYAcwAgACgAZgByAGEAYwB0AGkAbwBuACkAIAAoAE0AQwBGAGoAbQApAFwAIgApADsAXABuAFwAbgBTAG8AdQByAGMAZQBEAGEAdABhAF8ARABhAGkAcgB5AF8ATQBDAEYAXwBWAGEAcgBpAGEAYgBsAGUAXABuACAAIAA9AEwAQQBNAEIARABBACgAXAAiAE0AQwBGAGoAbQBcACIAKQA7AFwAbgBcAG4AUwBvAHUAcgBjAGUARABhAHQAYQBfAEQAYQBpAHIAeQBfAE0AQwBGAF8AVQBuAGkAdABcAG4AIAAgAD0ATABBAE0AQgBEAEEAKABcACIAZgByAGEAYwB0AGkAbwBuAFwAIgApADsAXABuAFwAbgBTAG8AdQByAGMAZQBEAGEAdABhAF8ARABhAGkAcgB5AF8ATQBDAEYAXwBTAG8AdQByAGMAZQBcAG4AIAAgAD0ATABBAE0AQgBEAEEAKABcACIAVgBFAEUAUgBHACAAMgAwADIANgA6ACAAVABhAGIAbABlACAAQQAuADEALgAzAC4ANgBcACIAKQA7AFwAbgBcAG4AUwBvAHUAcgBjAGUARABhAHQAYQBfAEQAYQBpAHIAeQBfAE0AQwBGAF8AVgBhAHIAaQBhAHQAaQBvAG4AXABuACAAIAA9AEwAQQBNAEIARABBACgAXAAiAFYAQQBSAEkAQQBUAEkATwBOACAATwBGACAAUwBPAFUAUgBDAEUAOgAgAEEAZABkAGUAZAAgAFwAdQAwADAAMgA3AE4ASQBSACAAcgBlAGYAZQByAGUAbgBjAGUAXAB1ADAAMAAyADcAIABjAG8AbAB1AG0AbgAgAHQAbwAgAGEAaQBkACAAbABvAG8AawB1AHAAXAAiACkAOwBcAG4AXABuAFMAbwB1AHIAYwBlAEQAYQB0AGEAXwBEAGEAaQByAHkAXwBNAEMARgBfAEQAYQB0AGEAXABuACAAIAA9AEwAQQBNAEIARABBACgAXABuACAAIAAgACAATQBBAEsARQBBAFIAUgBBAFkAKAA3ACwAIAAxADAALABcAG4AIAAgACAAIAAgACAATABBAE0AQgBEAEEAKAByACwAYwAsAFwAbgAgACAAIAAgACAAIAAgACAASQBOAEQARQBYACgAewBcAG4AIAAgACAAIAAgACAAIAAgACAAIABcACIATQBNAFMAIABtAFwAIgAsACAAXAAiAEEAQwBUAFwAIgAsACAAXAAiAE4AUwBXAFwAIgAsACAAXAAiAE4AVABcACIALAAgAFwAIgBRAEwARABcACIALAAgAFwAIgBTAEEAXAAiACwAIABcACIAVABBAFMAXAAiACwAIABcACIAVgBJAEMAXAAiACwAIABcACIAVwBBAFwAIgAsACAAXAAiAE4ASQBSACAAcgBlAGYAZQByAGUAbgBjAGUAXAAiADsAXABuACAAIAAgACAAIAAgACAAIAAgACAAXAAiAFAAYQBzAHQAdQByAGUAXAAiACwAIAAwAC4AMAAxACwAIAAwAC4AMAAxACwAIAAwAC4AMAAyACwAIAAwAC4AMAAxACwAIAAwAC4AMAAxACwAIAAwAC4AMAAxACwAIAAwAC4AMAAxACwAIAAwAC4AMAAxACwAIABcACIAUABhAHMAdAB1AHIAZQAgAHIAYQBuAGcAZQAgAGEAbgBkACAAcABhAGQAZABvAGMAawBcACIAOwBcAG4AIAAgACAAIAAgACAAIAAgACAAIABcACIAQQBuAGEAZQByAG8AYgBpAGMAIABsAGEAZwBvAG8AbgBcACIALAAgADAALgA3ADIALAAgADAALgA3ADYALAAgADAALgA4ACwAIAAwAC4ANwA4ACwAIAAwAC4ANwA0ACwAIAAwAC4ANgA5ACwAIAAwAC4ANwAzACwAIAAwAC4ANwA2ACwAIABcACIAQQBuAGEAZQByAG8AYgBpAGMAIABsAGEAZwBvAG8AbgBcACIAOwBcAG4AIAAgACAAIAAgACAAIAAgACAAIABcACIARABhAGkAbAB5ACAAcwBwAHIAZQBhAGQAIAAtACAAUwB1AG0AcAAgAGEAbgBkACAAZABpAHMAcABlAHIAcwBhAGwAIABzAHkAcwB0AGUAbQBzAFwAIgAsACAAMAAuADAAMAA1ACwAIAAwAC4AMAAwADUALAAgADAALgAwADEALAAgADAALgAwADAANQAsACAAMAAuADAAMAA1ACwAIAAwAC4AMAAwADEALAAgADAALgAwADAANQAsACAAMAAuADAAMAA1ACwAIABcACIAUwB1AG0AcAAgAGEAbgBkACAAZABpAHMAcABlAHIAcwBhAGwAIABzAHkAcwB0AGUAbQBcACIAOwBcAG4AIAAgACAAIAAgACAAIAAgACAAIABcACIARABhAGkAbAB5ACAAcwBwAHIAZQBhAGQAIAAtACAARAByAGEAaQBuAHMAIAB0AG8AIABwAGEAZABkAG8AYwBrAHMAIAAoAGEAKQBcACIALAAgADAALgAxADUALAAgADAALgAxADgALAAgADAALgA1ADAALAAgADAALgAyADQALAAgADAALgAxADcALAAgADAALgAxADMALAAgADAALgAxADcALAAgADAALgAxADgALAAgAFwAIgBEAHIAYQBpAG4AcwAgAHQAbwAgAHAAYQBkAGQAbwBjAGsAXAAiADsAXABuACAAIAAgACAAIAAgACAAIAAgACAAXAAiAFMAbwBsAGkAZAAgAFMAdABvAHIAYQBnAGUAXAAiACwAIAAwAC4AMAAyACwAIAAwAC4AMAAyACwAIAAwAC4AMAAyACwAIAAwAC4AMAAyACwAIAAwAC4AMAAyACwAIAAwAC4AMAAyACwAIAAwAC4AMAAyACwAIAAwAC4AMAAyACwAIABcACIAUwBvAGwAaQBkACAAcwB0AG8AcgBhAGcAZQBcACIAOwBcAG4AIAAgACAAIAAgACAAIAAgACAAIABcACIARABpAHIAZQBjAHQAIABBAHAAcABsAGkAYwBhAHQAaQBvAG4AIAB0AG8AIABzAG8AaQBsAFwAIgAsACAAMAAsACAAMAAsACAAMAAsACAAMAAsACAAMAAsACAAMAAsACAAMAAsACAAMAAsACAAXAAiAEQAaQByAGUAYwB0ACAAYQBwAHAAbABpAGMAYQB0AGkAbwBuAFwAIgBcAG4AIAAgACAAIAAgACAAIAAgAH0ALAAgAHIALAAgAGMAKQBcAG4AIAAgACAAIAAgACAAKQBcAG4AIAAgACAAIAApAFwAbgAgACAAKQA7AFwAbgBcAG4ALwAqACAAXABuAC0ALQAtAC0ALQAtAC0ALQAtAC0ALQAtAC0ALQAtAC0ALQAtAC0ALQAtAC0ALQAtAC0ALQAtAC0ALQAtAC0ALQAtAC0ALQAtAC0ALQBcAG4AUwBvAHUAcgBjAGUARABhAHQAYQBfAEQAYQBpAHIAeQBfAE4AaQB0AHIAbwB1AHMATwB4AGkAZABlAEUARgBzAEEAbgBkAEYAcgBhAGMARwBBAFMATQBcAG4AVABhAGIAbABlACAAQQAuADEALgAzAC4ANwA6ACAARABhAGkAcgB5ACAAYwBhAHQAdABsAGUAIAAtACAATgBpAHQAcgBvAHUAcwAgAG8AeABpAGQAZQAgAEUARgBzACAAYQBuAGQAIABmAHIAYQBjAHQAaQBvAG4AIABvAGYAIABOACAAdgBvAGwAYQB0AGkAbABpAHMAZQBkACAAYgB5ACAATQBNAFMAXABuAC0ALQAtAC0ALQAtAC0ALQAtAC0ALQAtAC0ALQAtAC0ALQAtAC0ALQAtAC0ALQAtAC0ALQAtAC0ALQAtAC0ALQAtAC0ALQAtAC0ALQBcAG4AKgAvAFwAbgBcAG4AUwBvAHUAcgBjAGUARABhAHQAYQBfAEQAYQBpAHIAeQBfAE4AaQB0AHIAbwB1AHMATwB4AGkAZABlAEUARgBzAEEAbgBkAEYAcgBhAGMARwBBAFMATQBfAFQAaQB0AGwAZQBcAG4AIAAgAD0ATABBAE0AQgBEAEEAKABcACIAVABhAGIAbABlACAAQQAuADEALgAzAC4ANwA6ACAARABhAGkAcgB5ACAAYwBhAHQAdABsAGUAIAAtACAATgBpAHQAcgBvAHUAcwAgAG8AeABpAGQAZQAgAEUARgBzACAAYQBuAGQAIABmAHIAYQBjAHQAaQBvAG4AIABvAGYAIABOACAAdgBvAGwAYQB0AGkAbABpAHMAZQBkACAAYgB5ACAATQBNAFMAXAAiACkAOwBcAG4AXABuAFMAbwB1AHIAYwBlAEQAYQB0AGEAXwBEAGEAaQByAHkAXwBOAGkAdAByAG8AdQBzAE8AeABpAGQAZQBFAEYAcwBBAG4AZABGAHIAYQBjAEcAQQBTAE0AXwBWAGEAcgBpAGEAYgBsAGUAXABuACAAIAA9AEwAQQBNAEIARABBACgAXAAiAEUARgBtADsAIABGAHIAYQBjAEcAQQBTAE0AbQBcACIAKQA7AFwAbgBcAG4AUwBvAHUAcgBjAGUARABhAHQAYQBfAEQAYQBpAHIAeQBfAE4AaQB0AHIAbwB1AHMATwB4AGkAZABlAEUARgBzAEEAbgBkAEYAcgBhAGMARwBBAFMATQBfAFUAbgBpAHQAXABuACAAIAA9AEwAQQBNAEIARABBACgAXAAiAGsAZwAgAE4AMgBPAC0ATgAvAGsAZwAgAE4AIABlAHgAYwByAGUAdABlAGQAXAAiACkAOwBcAG4AXABuAFMAbwB1AHIAYwBlAEQAYQB0AGEAXwBEAGEAaQByAHkAXwBOAGkAdAByAG8AdQBzAE8AeABpAGQAZQBFAEYAcwBBAG4AZABGAHIAYQBjAEcAQQBTAE0AXwBTAG8AdQByAGMAZQBcAG4AIAAgAD0ATABBAE0AQgBEAEEAKABcACIAVgBFAEUAUgBHACAAMgAwADIANgA6ACAAVABhAGIAbABlACAAQQAuADEALgAzAC4ANwBcACIAKQA7AFwAbgBcAG4AUwBvAHUAcgBjAGUARABhAHQAYQBfAEQAYQBpAHIAeQBfAE4AaQB0AHIAbwB1AHMATwB4AGkAZABlAEUARgBzAEEAbgBkAEYAcgBhAGMARwBBAFMATQBfAFYAYQByAGkAYQB0AGkAbwBuAFwAbgAgACAAPQBMAEEATQBCAEQAQQAoAFwAIgBWAEEAUgBJAEEAVABJAE8ATgAgAE8ARgAgAFMATwBVAFIAQwBFADoAIABBAGQAZABlAGQAIABcAHUAMAAwADIANwBOAEkAUgAgAHIAZQBmAGUAcgBlAG4AYwBlAFwAdQAwADAAMgA3ACAAYwBvAGwAdQBtAG4AIAB0AG8AIABhAGkAZAAgAGwAbwBvAGsAdQBwAFwAIgApADsAXABuAFwAbgBTAG8AdQByAGMAZQBEAGEAdABhAF8ARABhAGkAcgB5AF8ATgBpAHQAcgBvAHUAcwBPAHgAaQBkAGUARQBGAHMAQQBuAGQARgByAGEAYwBHAEEAUwBNAF8ARABhAHQAYQBcAG4AIAAgAD0ATABBAE0AQgBEAEEAKABcAG4AIAAgACAAIABNAEEASwBFAEEAUgBSAEEAWQAoADYALAAgADQALABcAG4AIAAgACAAIAAgACAATABBAE0AQgBEAEEAKAByACwAYwAsAFwAbgAgACAAIAAgACAAIAAgACAASQBOAEQARQBYACgAewBcAG4AIAAgACAAIAAgACAAIAAgACAAIABcACIATQBNAFMAIABtAFwAIgAsACAAXAAiAEUARgBtACAAKABrAGcAIABOADIATwAtAE4ALwBrAGcAIABOACAAZQB4AGMAcgBlAHQAZQBkACkAXAAiACwAIABcACIARgByAGEAYwBHAEEAUwBNAG0AIAAoAGsAZwAgAE4AMgBPAC0ATgAvAGsAZwAgAE4AIABlAHgAYwByAGUAdABlAGQAKQBcACIALAAgAFwAIgBOAEkAUgAgAHIAZQBmAGUAcgBlAG4AYwBlAFwAIgA7AFwAbgAgACAAIAAgACAAIAAgACAAIAAgAFwAIgBNAD0AMQA0ACAAUABhAHMAdAB1AHIAZQBcACIALAAgADAALAAgADAALAAgAFwAIgBQAGEAcwB0AHUAcgBlACAAcgBhAG4AZwBlACAAYQBuAGQAIABwAGEAZABkAG8AYwBrAFwAIgA7AFwAbgAgACAAIAAgACAAIAAgACAAIAAgAFwAIgBNAD0AMQAgAEEAbgBhAGUAcgBvAGIAaQBjACAAbABhAGcAbwBvAG4AXAAiACwAIAAwACwAIAAwAC4AMwA1ACwAIABcACIAQQBuAGEAZQByAG8AYgBpAGMAIABsAGEAZwBvAG8AbgBcACIAOwBcAG4AIAAgACAAIAAgACAAIAAgACAAIABcACIATQA9ADIAIABEAGEAaQBsAHkAIABTAHAAcgBlAGEAZAAgAC0AIABTAHUAbQBwACAAYQBuAGQAIABEAGkAcwBwAGUAcgBzAGEAbABcACIALAAgADAALAAgADAALgAwADcALAAgAFwAIgBTAHUAbQBwACAAYQBuAGQAIABkAGkAcwBwAGUAcgBzAGEAbAAgAHMAeQBzAHQAZQBtAFwAIgA7AFwAbgAgACAAIAAgACAAIAAgACAAIAAgAFwAIgBNAD0AMwAgAEQAYQBpAGwAeQAgAFMAcAByAGUAYQBkACAALQAgAEQAcgBhAGkAbgBzACAAdABvACAAUABhAGQAZABvAGMAawBcACIALAAgADAALAAgADAALgAyACwAIABcACIARAByAGEAaQBuAHMAIAB0AG8AIABwAGEAZABkAG8AYwBrAFwAIgA7AFwAbgAgACAAIAAgACAAIAAgACAAIAAgAFwAIgBNAD0AMwAgAFMAbwBsAGkAZAAgAFMAdABvAHIAYQBnAGUAXAAiACwAIAAwAC4AMAAwADUALAAgADAALgAzACwAIABcACIAUwBvAGwAaQBkACAAcwB0AG8AcgBhAGcAZQBcACIAXABuACAAIAAgACAAIAAgACAAIAB9ACwAIAByACwAIABjACkAXABuACAAIAAgACAAIAAgACkAXABuACAAIAAgACAAKQBcAG4AIAAgACkAOwBcAG4AXABuAFwAbgAvACoAIABcAG4ALQAtAC0ALQAtAC0ALQAtAC0ALQAtAC0ALQAtAC0ALQAtAC0ALQAtAC0ALQAtAC0ALQAtAC0ALQAtAC0ALQAtAC0ALQAtAC0ALQAtAFwAbgBTAG8AdQByAGMAZQBEAGEAdABhAF8ARABhAGkAcgB5AF8ATQBlAHQAaABhAG4AZQBQAHIAbwBkAHUAYwB0AGkAbwBuAFAAcgBlAFcAZQBhAG4AZQBkAEMAYQBsAHYAZQBzAFwAbgBUAGEAYgBsAGUAIABBAC4AMQAuADMALgA4ADoAIABEAGEAaQByAHkAIABjAGEAdAB0AGwAZQAgAC0AIABNAGUAdABoAGEAbgBlACAAcAByAG8AZAB1AGMAdABpAG8AbgAgAGYAbwByACAAcAByAGUALQB3AGUAYQBuAGUAZAAgAGgAZQBpAGYAZQByACAAYQBuAGQAIABiAHUAbABsACAAYwBhAGwAdgBlAHMAIAAoAGsAZwAgAEMASAA0AC8AaABlAGEAZAAvAGQAYQB5ACkAIAAoAE0AUABXAEUATgBUAEUAUgBJAEMALABqAD0AMwAsADUAKQBcAG4ALQAtAC0ALQAtAC0ALQAtAC0ALQAtAC0ALQAtAC0ALQAtAC0ALQAtAC0ALQAtAC0ALQAtAC0ALQAtAC0ALQAtAC0ALQAtAC0ALQAtAFwAbgAqAC8AXABuAFwAbgBTAG8AdQByAGMAZQBEAGEAdABhAF8ARABhAGkAcgB5AF8ATQBlAHQAaABhAG4AZQBQAHIAbwBkAHUAYwB0AGkAbwBuAFAAcgBlAFcAZQBhAG4AZQBkAEMAYQBsAHYAZQBzAF8AVABpAHQAbABlAFwAbgAgACAAPQBMAEEATQBCAEQAQQAoAFwAIgBUAGEAYgBsAGUAIABBAC4AMQAuADMALgA4ADoAIABEAGEAaQByAHkAIABjAGEAdAB0AGwAZQAgAC0AIABNAGUAdABoAGEAbgBlACAAcAByAG8AZAB1AGMAdABpAG8AbgAgAGYAbwByACAAcAByAGUALQB3AGUAYQBuAGUAZAAgAGgAZQBpAGYAZQByACAAYQBuAGQAIABiAHUAbABsACAAYwBhAGwAdgBlAHMAIAAoAGsAZwAgAEMASAA0AC8AaABlAGEAZAAvAGQAYQB5ACkAIAAoAE0AUABXAEUATgBUAEUAUgBJAEMALABqAD0AMwAsADUAKQBcACIAKQA7AFwAbgBcAG4AUwBvAHUAcgBjAGUARABhAHQAYQBfAEQAYQBpAHIAeQBfAE0AZQB0AGgAYQBuAGUAUAByAG8AZAB1AGMAdABpAG8AbgBQAHIAZQBXAGUAYQBuAGUAZABDAGEAbAB2AGUAcwBfAFYAYQByAGkAYQBiAGwAZQBcAG4AIAAgAD0ATABBAE0AQgBEAEEAKABcACIATQBQAFcARQBOAFQARQBSAEkAQwAsAGoAPQAzACwANQBcACIAKQA7AFwAbgBcAG4AUwBvAHUAcgBjAGUARABhAHQAYQBfAEQAYQBpAHIAeQBfAE0AZQB0AGgAYQBuAGUAUAByAG8AZAB1AGMAdABpAG8AbgBQAHIAZQBXAGUAYQBuAGUAZABDAGEAbAB2AGUAcwBfAFUAbgBpAHQAXABuACAAIAA9AEwAQQBNAEIARABBACgAXAAiAGsAZwAgAEMASAA0AC8AaABlAGEAZAAvAGQAYQB5AFwAIgApADsAXABuAFwAbgBTAG8AdQByAGMAZQBEAGEAdABhAF8ARABhAGkAcgB5AF8ATQBlAHQAaABhAG4AZQBQAHIAbwBkAHUAYwB0AGkAbwBuAFAAcgBlAFcAZQBhAG4AZQBkAEMAYQBsAHYAZQBzAF8AUwBvAHUAcgBjAGUAXABuACAAIAA9AEwAQQBNAEIARABBACgAXAAiAFYARQBFAFIARwAgADIAMAAyADYAOgAgAFQAYQBiAGwAZQAgAEEALgAxAC4AMwAuADgAXAAiACkAOwBcAG4AXABuAFMAbwB1AHIAYwBlAEQAYQB0AGEAXwBEAGEAaQByAHkAXwBNAGUAdABoAGEAbgBlAFAAcgBvAGQAdQBjAHQAaQBvAG4AUAByAGUAVwBlAGEAbgBlAGQAQwBhAGwAdgBlAHMAXwBWAGEAcgBpAGEAdABpAG8AbgBcAG4AIAAgAD0ATABBAE0AQgBEAEEAKABcACIAXAAiACkAOwBcAG4AXABuAFMAbwB1AHIAYwBlAEQAYQB0AGEAXwBEAGEAaQByAHkAXwBNAGUAdABoAGEAbgBlAFAAcgBvAGQAdQBjAHQAaQBvAG4AUAByAGUAVwBlAGEAbgBlAGQAQwBhAGwAdgBlAHMAXwBEAGEAdABhAFwAbgAgACAAPQBMAEEATQBCAEQAQQAoAFwAbgAgACAAIAAgAE0AQQBLAEUAQQBSAFIAQQBZACgAMwAsACAAMgAsAFwAbgAgACAAIAAgACAAIABMAEEATQBCAEQAQQAoAHIALABjACwAXABuACAAIAAgACAAIAAgACAAIABJAE4ARABFAFgAKAB7AFwAbgAgACAAIAAgACAAIAAgACAAIAAgAFwAIgBBAG4AaQBtAGEAbAAgAEMAbABhAHMAcwAgAGoAXAAiACwAIABcACIATQBQAFcARQBOAFQARQBSAEkAQwBcACIAOwBcAG4AIAAgACAAIAAgACAAIAAgACAAIABcACIASABlAGkAZgBlAHIAcwAgAFwAdQAwADAAMwBjACAAMQAgAHkAZQBhAHIAXAAiACwAIAAwAC4AMAAxADcANgA7AFwAbgAgACAAIAAgACAAIAAgACAAIAAgAFwAIgBCAHUAbABsAHMAIABcAHUAMAAwADMAYwAgADEAIAB5AGUAYQByAFwAIgAsACAAMAAuADAAMgAwADQ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JAG4AYwByAGUAYQBzAGUAZABNAGUAdABhAGIAbwBsAGkAYwBSAGEAdABlAE0AaQBsAGsAXABuAFQAYQBiAGwAZQAgAEEALgAxAC4AMwAuADkAOgAgAEQAYQBpAHIAeQAgAGMAYQB0AHQAbABlACAALQAgAEkAbgBjAHIAZQBhAHMAZQBkACAAbQBlAHQAYQBiAG8AbABpAGMAIAByAGEAdABlACAAdwBoAGUAbgAgAHAAcgBvAGQAdQBjAGkAbgBnACAAbQBpAGwAawAgACgAawBnACAARABNAC8AaABlAGEAZAAvAGQAYQB5ACkAIAAoAE0AUgBqACkAXABuAC0ALQAtAC0ALQAtAC0ALQAtAC0ALQAtAC0ALQAtAC0ALQAtAC0ALQAtAC0ALQAtAC0ALQAtAC0ALQAtAC0ALQAtAC0ALQAtAC0ALQBcAG4AKgAvAFwAbgBcAG4AUwBvAHUAcgBjAGUARABhAHQAYQBfAEQAYQBpAHIAeQBfAEkAbgBjAHIAZQBhAHMAZQBkAE0AZQB0AGEAYgBvAGwAaQBjAFIAYQB0AGUATQBpAGwAawBfAFQAaQB0AGwAZQBcAG4AIAAgAD0ATABBAE0AQgBEAEEAKABcACIAVABhAGIAbABlACAAQQAuADEALgAzAC4AOQA6ACAARABhAGkAcgB5ACAAYwBhAHQAdABsAGUAIAAtACAASQBuAGMAcgBlAGEAcwBlAGQAIABtAGUAdABhAGIAbwBsAGkAYwAgAHIAYQB0AGUAIAB3AGgAZQBuACAAcAByAG8AZAB1AGMAaQBuAGcAIABtAGkAbABrACAAKABNAFIAagApAFwAIgApADsAXABuAFwAbgBTAG8AdQByAGMAZQBEAGEAdABhAF8ARABhAGkAcgB5AF8ASQBuAGMAcgBlAGEAcwBlAGQATQBlAHQAYQBiAG8AbABpAGMAUgBhAHQAZQBNAGkAbABrAF8AVgBhAHIAaQBhAGIAbABlAFwAbgAgACAAPQBMAEEATQBCAEQAQQAoAFwAIgBNAFIAagBcACIAKQA7AFwAbgBcAG4AUwBvAHUAcgBjAGUARABhAHQAYQBfAEQAYQBpAHIAeQBfAEkAbgBjAHIAZQBhAHMAZQBkAE0AZQB0AGEAYgBvAGwAaQBjAFIAYQB0AGUATQBpAGwAawBfAFUAbgBpAHQAXABuACAAIAA9AEwAQQBNAEIARABBACgAXAAiAFwAIgApADsAXABuAFwAbgBTAG8AdQByAGMAZQBEAGEAdABhAF8ARABhAGkAcgB5AF8ASQBuAGMAcgBlAGEAcwBlAGQATQBlAHQAYQBiAG8AbABpAGMAUgBhAHQAZQBNAGkAbABrAF8AUwBvAHUAcgBjAGUAXABuACAAIAA9AEwAQQBNAEIARABBACgAXAAiAFYARQBFAFIARwAgADIAMAAyADYAOgAgAFQAYQBiAGwAZQAgAEEALgAxAC4AMwAuADkAXAAiACkAOwBcAG4AXABuAFMAbwB1AHIAYwBlAEQAYQB0AGEAXwBEAGEAaQByAHkAXwBJAG4AYwByAGUAYQBzAGUAZABNAGUAdABhAGIAbwBsAGkAYwBSAGEAdABlAE0AaQBsAGsAXwBWAGEAcgBpAGEAdABpAG8AbgBcAG4AIAAgAD0ATABBAE0AQgBEAEEAKABcACIAXAAiACkAOwBcAG4AXABuAFMAbwB1AHIAYwBlAEQAYQB0AGEAXwBEAGEAaQByAHkAXwBJAG4AYwByAGUAYQBzAGUAZABNAGUAdABhAGIAbwBsAGkAYwBSAGEAdABlAE0AaQBsAGsAXwBEAGEAdABhAFwAbgAgACAAPQBMAEEATQBCAEQAQQAoAFwAbgAgACAAIAAgAE0AQQBLAEUAQQBSAFIAQQBZACgAMwAsACAAMgAsAFwAbgAgACAAIAAgACAAIABMAEEATQBCAEQAQQAoAHIALABjACwAXABuACAAIAAgACAAIAAgACAAIABJAE4ARABFAFgAKAB7AFwAbgAgACAAIAAgACAAIAAgACAAIAAgAFwAIgBBAG4AaQBtAGEAbAAgAEMAbABhAHMAcwAgAGoAXAAiACwAIABcACIATQBSAGoAXAAiADsAXABuACAAIAAgACAAIAAgACAAIAAgACAAXAAiAE0AaQBsAGsAaQBuAGcAIABjAG8AdwBzACwAIABhAG4AZAAgAGgAbwB1AHMAZQAgAGMAbwB3AHMAXAAiACwAIAAxAC4AMQA7AFwAbgAgACAAIAAgACAAIAAgACAAIAAgAFwAIgBBAGwAbAAgAG8AdABoAGUAcgAgAGMAYQB0AHQAbABlACAAYwBsAGEAcwBzAGUAcwBcACIALAAgADEALgAwAFwAbgAgACAAIAAgACAAIAAgACAAfQAsACAAcgAsACAAYwApAFwAbgAgACAAIAAgACAAIAApAFwAbgAgACAAIAAgACkAXABuACAAIAApADsAXABuAFwAbgAvACoAIABcAG4ALQAtAC0ALQAtAC0ALQAtAC0ALQAtAC0ALQAtAC0ALQAtAC0ALQAtAC0ALQAtAC0ALQAtAC0ALQAtAC0ALQAtAC0ALQAtAC0ALQAtAFwAbgBTAG8AdQByAGMAZQBEAGEAdABhAF8ARABhAGkAcgB5AF8ARgByAGEAYwB0AGkAbwBuAFYAbwBsAGEAdABpAGwAZQBTAG8AbABpAGQAcwBWAG8AaQBkAGUAZABNAE0AUwBcAG4AVABhAGIAbABlACAAQQAuADEALgAzAC4AMQAwADoAIABEAGEAaQByAHkAIABjAGEAdAB0AGwAZQAgAC0AIABGAHIAYQBjAHQAaQBvAG4AIABvAGYAIAB2AG8AbABhAHQAaQBsAGUAIABzAG8AbABpAGQAcwAgAHYAbwBpAGQAZQBkACAAdABvACAAZQBhAGMAaAAgAG0AYQBuAHUAcgBlACAAbQBhAG4AYQBnAGUAbQBlAG4AdAAgAHMAeQBzAHQAZQBtACAAKABmAHIAYQBjAHQAaQBvAG4AKQAgACgATQBNAFMAagBtACkAXABuAC0ALQAtAC0ALQAtAC0ALQAtAC0ALQAtAC0ALQAtAC0ALQAtAC0ALQAtAC0ALQAtAC0ALQAtAC0ALQAtAC0ALQAtAC0ALQAtAC0ALQBcAG4AKgAvAFwAbgBcAG4AUwBvAHUAcgBjAGUARABhAHQAYQBfAEQAYQBpAHIAeQBfAEYAcgBhAGMAdABpAG8AbgBWAG8AbABhAHQAaQBsAGUAUwBvAGwAaQBkAHMAVgBvAGkAZABlAGQATQBNAFMAXwBUAGkAdABsAGUAXABuACAAIAA9AEwAQQBNAEIARABBACgAXAAiAFQAYQBiAGwAZQAgAEEALgAxAC4AMwAuADEAMAA6ACAARABhAGkAcgB5ACAAYwBhAHQAdABsAGUAIAAtACAARgByAGEAYwB0AGkAbwBuACAAbwBmACAAdgBvAGwAYQB0AGkAbABlACAAcwBvAGwAaQBkAHMAIAB2AG8AaQBkAGUAZAAgAHQAbwAgAGUAYQBjAGgAIABtAGEAbgB1AHIAZQAgAG0AYQBuAGEAZwBlAG0AZQBuAHQAIABzAHkAcwB0AGUAbQAgACgAZgByAGEAYwB0AGkAbwBuACkAIAAoAE0ATQBTAGoAbQApAFwAIgApADsAXABuAFwAbgBTAG8AdQByAGMAZQBEAGEAdABhAF8ARABhAGkAcgB5AF8ARgByAGEAYwB0AGkAbwBuAFYAbwBsAGEAdABpAGwAZQBTAG8AbABpAGQAcwBWAG8AaQBkAGUAZABNAE0AUwBfAFYAYQByAGkAYQBiAGwAZQBcAG4AIAAgAD0ATABBAE0AQgBEAEEAKABcACIATQBNAFMAagBtAFwAIgApADsAXABuAFwAbgBTAG8AdQByAGMAZQBEAGEAdABhAF8ARABhAGkAcgB5AF8ARgByAGEAYwB0AGkAbwBuAFYAbwBsAGEAdABpAGwAZQBTAG8AbABpAGQAcwBWAG8AaQBkAGUAZABNAE0AUwBfAFUAbgBpAHQAXABuACAAIAA9AEwAQQBNAEIARABBACgAXAAiAGYAcgBhAGMAdABpAG8AbgBcACIAKQA7AFwAbgBcAG4AUwBvAHUAcgBjAGUARABhAHQAYQBfAEQAYQBpAHIAeQBfAEYAcgBhAGMAdABpAG8AbgBWAG8AbABhAHQAaQBsAGUAUwBvAGwAaQBkAHMAVgBvAGkAZABlAGQATQBNAFMAXwBTAG8AdQByAGMAZQBcAG4AIAAgAD0ATABBAE0AQgBEAEEAKABcACIAVgBFAEUAUgBHACAAMgAwADIANgA6ACAAVABhAGIAbABlACAAQQAuADEALgAzAC4AMQAwAFwAIgApADsAXABuAFwAbgBTAG8AdQByAGMAZQBEAGEAdABhAF8ARABhAGkAcgB5AF8ARgByAGEAYwB0AGkAbwBuAFYAbwBsAGEAdABpAGwAZQBTAG8AbABpAGQAcwBWAG8AaQBkAGUAZABNAE0AUwBfAFYAYQByAGkAYQB0AGkAbwBuAFwAbgAgACAAPQBMAEEATQBCAEQAQQAoAFwAIgBWAEEAUgBJAEEAVABJAE8ATgAgAE8ARgAgAFMATwBVAFIAQwBFADoAIABFAHgAYwBsAHUAZABlAGQAIABcAHUAMAAwADIANwBBAG4AbgB1AGEAbAAgAGYAcgBhAGMAdABpAG8AbgAgAG8AZgAgAHQAaQBtAGUAIABzAHAAZQBuAHQAIABwAGUAcgAgAGEAcgBlAGEAXAB1ADAAMAAyADcAIAByAG8AdwAgAGEAcwAgAHQAaABpAHMAIABpAG4AZgBvAHIAbQBhAHQAaQBvAG4AIABpAHMAIABpAG4AIAB0AGgAZQAgAHQAYQBiAGwAZQAgAHQAaQB0AGwAZQAuAFwAIgApADsAXABuAFwAbgBTAG8AdQByAGMAZQBEAGEAdABhAF8ARABhAGkAcgB5AF8ARgByAGEAYwB0AGkAbwBuAFYAbwBsAGEAdABpAGwAZQBTAG8AbABpAGQAcwBWAG8AaQBkAGUAZABNAE0AUwBfAEQAYQB0AGEAXABuACAAIAA9AEwAQQBNAEIARABBACgAXABuACAAIAAgACAATQBBAEsARQBBAFIAUgBBAFkAKAA1ACwAIAA0ACwAXABuACAAIAAgACAAIAAgAEwAQQBNAEIARABBACgAcgAsAGMALABcAG4AIAAgACAAIAAgACAAIAAgAEkATgBEAEUAWAAoAHsAXABuACAAIAAgACAAIAAgACAAIAAgACAAXAAiAEEAcgBlAGEAXAAiACwAIABcACIAUABhAHMAdAB1AHIAZQBcACIALAAgAFwAIgBNAGkAbABrAGkAbgBnACAAUwBoAGUAZABcACIALAAgAFwAIgBGAGUAZQBkAHAAYQBkAFwAIgA7AFwAbgAgACAAIAAgACAAIAAgACAAIAAgAFwAIgBTAHkAcwB0AGUAbQAgADEAOgAgAEcAcgBhAHoAZQBkACAATwBuAGwAeQBcACIALAAgADAALgA4ADkALAAgADAALgAxADEALAAgADAAOwBcAG4AIAAgACAAIAAgACAAIAAgACAAIABcACIAUwB5AHMAdABlAG0AIAAyADoAIABPAG4AIABmAGUAZQBkAHAAYQBkACAAZgBvAHIAIABcAHUAMAAwADMAYwAxADAAIABoAHIALwBkAGEAeQAgAGYAbwByACAAXAB1ADAAMAAzAGMAMwAgAG0AbwBuAHQAaABzAC8AeQBlAGEAcgBcACIALAAgADAALgA3ADkALAAgADAALgAxADEALAAgADAALgAxADAAOwBcAG4AIAAgACAAIAAgACAAIAAgACAAIABcACIAUwB5AHMAdABlAG0AIAAzADoAIABQAGEAcwB0AHUAcgBlAC0AZwByAGEAegBlAGQAIAAzAC0AOQAgAG0AbwBuAHQAaABzAC8AeQBlAGEAcgBcACIALAAgADAALgA1ADMANAAsACAAMAAuADEAMQAsACAAMAAuADMANQA2ADsAXABuACAAIAAgACAAIAAgACAAIAAgACAAXAAiAFMAeQBzAHQAZQBtACAANAA6ACAAWgBlAHIAbwAgAGcAcgBhAHoAaQBuAGcAXAAiACwAIAAwACwAIAAwAC4AMQAxACwAIAAwAC4AOAA5AFwAbgAgACAAIAAgACAAIAAgACAAfQAsACAAcgAsACAAYwApAFwAbgAgACAAIAAgACAAIAApAFwAbgAgACAAIAAgACkAXABuACAAIAApADsAXABuAFwAbgAvACoAIABcAG4ALQAtAC0ALQAtAC0ALQAtAC0ALQAtAC0ALQAtAC0ALQAtAC0ALQAtAC0ALQAtAC0ALQAtAC0ALQAtAC0ALQAtAC0ALQAtAC0ALQAtAFwAbgBTAG8AdQByAGMAZQBEAGEAdABhAF8ARABhAGkAcgB5AF8ARQBGAE4AaQB0AHIAbwB1AHMATwB4AGkAZABlAFAAZQByAE0ATQBTAFwAbgBUAGEAYgBsAGUAIABBAC4AMQAuADMALgAxADEAOgAgAEQAYQBpAHIAeQAgAGMAYQB0AHQAbABlACAALQAgAEUARgAgAGYAbwByACAAbgBpAHQAcgBvAHUAcwAgAG8AeABpAGQAZQAgAHAAZQByACAATQBNAFMAIAAoAGsAZwAgAE4AMgBPAC0ATgAvAGsAZwAgAE4AKQAgACgARQBGAG0AKQBcAG4ALQAtAC0ALQAtAC0ALQAtAC0ALQAtAC0ALQAtAC0ALQAtAC0ALQAtAC0ALQAtAC0ALQAtAC0ALQAtAC0ALQAtAC0ALQAtAC0ALQAtAFwAbgAqAC8AXABuAFwAbgBTAG8AdQByAGMAZQBEAGEAdABhAF8ARABhAGkAcgB5AF8ARQBGAE4AaQB0AHIAbwB1AHMATwB4AGkAZABlAFAAZQByAE0ATQBTAF8AVABpAHQAbABlAFwAbgAgACAAPQBMAEEATQBCAEQAQQAoAFwAIgBUAGEAYgBsAGUAIABBAC4AMQAuADMALgAxADEAOgAgAEQAYQBpAHIAeQAgAGMAYQB0AHQAbABlACAALQAgAEUARgAgAGYAbwByACAAbgBpAHQAcgBvAHUAcwAgAG8AeABpAGQAZQAgAHAAZQByACAATQBNAFMAIAAoAGsAZwAgAE4AMgBPAC0ATgAvAGsAZwAgAE4AKQAgACgARQBGAG0AKQBcACIAKQA7AFwAbgBcAG4AUwBvAHUAcgBjAGUARABhAHQAYQBfAEQAYQBpAHIAeQBfAEUARgBOAGkAdAByAG8AdQBzAE8AeABpAGQAZQBQAGUAcgBNAE0AUwBfAFYAYQByAGkAYQBiAGwAZQBcAG4AIAAgAD0ATABBAE0AQgBEAEEAKABcACIARQBGAG0AXAAiACkAOwBcAG4AXABuAFMAbwB1AHIAYwBlAEQAYQB0AGEAXwBEAGEAaQByAHkAXwBFAEYATgBpAHQAcgBvAHUAcwBPAHgAaQBkAGUAUABlAHIATQBNAFMAXwBVAG4AaQB0AFwAbgAgACAAPQBMAEEATQBCAEQAQQAoAFwAIgBrAGcAIABOADIATwAtAE4ALwBrAGcAIABOAFwAIgApADsAXABuAFwAbgBTAG8AdQByAGMAZQBEAGEAdABhAF8ARABhAGkAcgB5AF8ARQBGAE4AaQB0AHIAbwB1AHMATwB4AGkAZABlAFAAZQByAE0ATQBTAF8AUwBvAHUAcgBjAGUAXABuACAAIAA9AEwAQQBNAEIARABBACgAXAAiAFYARQBFAFIARwAgADIAMAAyADYAOgAgAFQAYQBiAGwAZQAgAEEALgAxAC4AMwAuADEAMQBcACIAKQA7AFwAbgBcAG4AUwBvAHUAcgBjAGUARABhAHQAYQBfAEQAYQBpAHIAeQBfAEUARgBOAGkAdAByAG8AdQBzAE8AeABpAGQAZQBQAGUAcgBNAE0AUwBfAFYAYQByAGkAYQB0AGkAbwBuAFwAbgAgACAAPQBMAEEATQBCAEQAQQAoAFwAIgBWAEEAUgBJAEEAVABJAE8ATgAgAE8ARgAgAFMATwBVAFIAQwBFADoAIABBAGQAZABlAGQAIABcAHUAMAAwADIANwBOAEkAUgAgAHIAZQBmAGUAcgBlAG4AYwBlAFwAdQAwADAAMgA3ACAAYwBvAGwAdQBtAG4AIAB0AG8AIABhAGkAZAAgAGwAbwBvAGsAdQBwAFwAIgApADsAXABuAFwAbgBTAG8AdQByAGMAZQBEAGEAdABhAF8ARABhAGkAcgB5AF8ARQBGAE4AaQB0AHIAbwB1AHMATwB4AGkAZABlAFAAZQByAE0ATQBTAF8ARABhAHQAYQBcAG4AIAAgAD0ATABBAE0AQgBEAEEAKABcAG4AIAAgACAAIABNAEEASwBFAEEAUgBSAEEAWQAoADYALAAgADMALABcAG4AIAAgACAAIAAgACAATABBAE0AQgBEAEEAKAByACwAYwAsAFwAbgAgACAAIAAgACAAIAAgACAASQBOAEQARQBYACgAewBcAG4AIAAgACAAIAAgACAAIAAgACAAIABcACIATQBNAFMAIABtAFwAIgAsACAAXAAiAEUARgBtAFwAIgAsACAAXAAiAE4ASQBSACAAcgBlAGYAZQByAGUAbgBjAGUAXAAiADsAXABuACAAIAAgACAAIAAgACAAIAAgACAAXAAiAG0APQAxADQAIABQAGEAcwB0AHUAcgBlAFwAIgAsACAAMAAsACAAXAAiAFAAYQBzAHQAdQByAGUAIAByAGEAbgBnAGUAIABhAG4AZAAgAHAAYQBkAGQAbwBjAGsAXAAiADsAXABuACAAIAAgACAAIAAgACAAIAAgACAAXAAiAG0APQAxACAAQQBuAGUAcgBvAGIAaQBjACAATABhAGcAbwBvAG4AXAAiACwAIAAwACwAIABcACIAQQBuAGEAZQByAG8AYgBpAGMAIABsAGEAZwBvAG8AbgBcACIAOwBcAG4AIAAgACAAIAAgACAAIAAgACAAIABcACIAbQA9ADIAIABEAGEAaQBsAHkAIABTAHAAcgBlAGEAZAA6ACAAUwB1AG0AcAAgAGEAbgBkACAAZABpAHMAcABlAHIAcwBhAGwAXAAiACwAIAAwACwAIABcACIAUwB1AG0AcAAgAGEAbgBkACAAZABpAHMAcABlAHIAcwBhAGwAIABzAHkAcwB0AGUAbQBcACIAOwBcAG4AIAAgACAAIAAgACAAIAAgACAAIABcACIAbQA9ADMAIABEAGEAaQBsAHkAIABTAHAAcgBlAGEAZAA6ACAARAByAGEAaQBuAHMAIAB0AG8AIABwAGEAZABkAG8AYwBrAHMAXAAiACwAIAAwACwAIABcACIARAByAGEAaQBuAHMAIAB0AG8AIABwAGEAZABkAG8AYwBrAFwAIgA7AFwAbgAgACAAIAAgACAAIAAgACAAIAAgAFwAIgBtAD0ANAAgAFMAbwBsAGkAZAAgAFMAdABvAHIAYQBnAGUAXAAiACwAIAAwAC4AMAAwADUALAAgAFwAIgBTAG8AbABpAGQAIABzAHQAbwByAGEAZwBlAFwAIgBcAG4AIAAgACAAIAAgACAAIAAgAH0ALAAgAHIALAAgAGMAKQBcAG4AIAAgACAAIAAgACAAKQBcAG4AIAAgACAAIAApAFwAbgAgACAAKQA7AFwAbgBcAG4AXABuAFwAbgAvACoAIABcAG4ALQAtAC0ALQAtAC0ALQAtAC0ALQAtAC0ALQAtAC0ALQAtAC0ALQAtAC0ALQAtAC0ALQAtAC0ALQAtAC0ALQAtAC0ALQAtAC0ALQAtAFwAbgBTAG8AdQByAGMAZQBEAGEAdABhAF8ARABhAGkAcgB5AF8ARAB1AHIAYQB0AGkAbwBuAE8AZgBTAHQAYQB5AFwAbgBEAHUAcgBhAHQAaQBvAG4AIABvAGYAIABzAHQAYQB5ACAAZgBvAHIAIABlAGEAYwBoACAAZABhAGkAcgB5ACAAYwBhAHQAdABsAGUAIABpAG4AcAB1AHQAIABjAGwAYQBzAHMAXABuAC0ALQAtAC0ALQAtAC0ALQAtAC0ALQAtAC0ALQAtAC0ALQAtAC0ALQAtAC0ALQAtAC0ALQAtAC0ALQAtAC0ALQAtAC0ALQAtAC0ALQBcAG4AKgAvAFwAbgBcAG4AUwBvAHUAcgBjAGUARABhAHQAYQBfAEQAYQBpAHIAeQBfAEQAdQByAGEAdABpAG8AbgBPAGYAUwB0AGEAeQBfAFQAaQB0AGwAZQBcAG4AIAAgAD0ATABBAE0AQgBEAEEAKABcACIARAB1AHIAYQB0AGkAbwBuACAAbwBmACAAcwB0AGEAeQAgAGYAbwByACAAZQBhAGMAaAAgAGQAYQBpAHIAeQAgAGMAYQB0AHQAbABlACAAaQBuAHAAdQB0ACAAYwBsAGEAcwBzAFwAIgApADsAXABuAFwAbgBTAG8AdQByAGMAZQBEAGEAdABhAF8ARABhAGkAcgB5AF8ARAB1AHIAYQB0AGkAbwBuAE8AZgBTAHQAYQB5AF8AVgBhAHIAaQBhAGIAbABlAFwAbgAgACAAPQBMAEEATQBCAEQAQQAoAFwAIgBEAFwAIgApADsAXABuAFwAbgBTAG8AdQByAGMAZQBEAGEAdABhAF8ARABhAGkAcgB5AF8ARAB1AHIAYQB0AGkAbwBuAE8AZgBTAHQAYQB5AF8AVQBuAGkAdABcAG4AIAAgAD0ATABBAE0AQgBEAEEAKABcACIAZABhAHkAcwBcACIAKQA7AFwAbgBcAG4AUwBvAHUAcgBjAGUARABhAHQAYQBfAEQAYQBpAHIAeQBfAEQAdQByAGEAdABpAG8AbgBPAGYAUwB0AGEAeQBfAFMAbwB1AHIAYwBlAFwAbgAgACAAPQBMAEEATQBCAEQAQQAoAFwAIgBWAEUARQBSAEcAIAAyADAAMgA2ADoAIAA0AC4AMwAuADIALgAyAFwAdABEAEEAVABBACAAKABNAEUAVABIAE8ARAAgADEAIABBAE4ARAAgADIAIABPAFAAVABJAE8ATgBTACkAXAAiACkAOwBcAG4AXABuAFMAbwB1AHIAYwBlAEQAYQB0AGEAXwBEAGEAaQByAHkAXwBEAHUAcgBhAHQAaQBvAG4ATwBmAFMAdABhAHkAXwBWAGEAcgBpAGEAdABpAG8AbgBcAG4AIAAgAD0ATABBAE0AQgBEAEEAKABcACIAVgBBAFIASQBBAFQASQBPAE4AIABPAEYAIABTAE8AVQBSAEMARQA6ACAAQwBvAG4AdgBlAHIAdABlAGQAIABmAHIAZQBlACAAdABlAHgAdAAgAGkAbgAgAGQAbwBjAHUAbQBlAG4AdAAgAHQAbwAgAHQAYQBiAGwAZQAsACAAbQBhAHQAYwBoAGkAbgBnACAAbABpAHYAZQBzAHQAbwBjAGsAIABjAGwAYQBzAHMAIABuAGEAbQBlAHMALgBcACIAKQA7AFwAbgBcAG4AUwBvAHUAcgBjAGUARABhAHQAYQBfAEQAYQBpAHIAeQBfAEQAdQByAGEAdABpAG8AbgBPAGYAUwB0AGEAeQBfAEQAYQB0AGEAXABuACAAIAA9AEwAQQBNAEIARABBACgAXABuACAAIAAgACAATQBBAEsARQBBAFIAUgBBAFkAKAA2ACwAIAAzACwAXABuACAAIAAgACAAIAAgAEwAQQBNAEIARABBACgAcgAsAGMALABcAG4AIAAgACAAIAAgACAAIAAgAEkATgBEAEUAWAAoAHsAXABuACAAIAAgACAAIAAgACAAIAAgACAAXAAiAEEAbgBpAG0AYQBsACAAYwBsAGEAcwBzACAAagBcACIALAAgAFwAIgBEAHUAcgBhAHQAaQBvAG4AIAAoAHcAZQBhAG4AZQBkACkAXAAiACwAIABcACIARAB1AHIAYQB0AGkAbwBuACAAKABwAHIAZQAtAHcAZQBhAG4AZQBkACkAXAAiADsAXABuACAAIAAgACAAIAAgACAAIAAgACAAXAAiAE0AaQBsAGsAaQBuAGcAIABjAG8AdwBzAFwAIgAsACAAMwA2ADUALAAgADAAOwBcAG4AIAAgACAAIAAgACAAIAAgACAAIABcACIASABlAGkAZgBlAHIAcwAgAFwAdQAwADAAMwBlACAAMQAgAHkAZQBhAHIAXAAiACwAIAAzADYANQAsACAAMAA7AFwAbgAgACAAIAAgACAAIAAgACAAIAAgAFwAIgBIAGUAaQBmAGUAcgBzACAAXAB1ADAAMAAzAGMAIAAxACAAeQBlAGEAcgBcACIALAAgADIAOAAxACwAIAA4ADQAOwBcAG4AIAAgACAAIAAgACAAIAAgACAAIABcACIAQgB1AGwAbABzACAAXAB1ADAAMAAzAGUAIAAxACAAeQBlAGEAcgBcACIALAAgADMANgA1ACwAIAAwADsAXABuACAAIAAgACAAIAAgACAAIAAgACAAXAAiAEIAdQBsAGwAcwAgAFwAdQAwADAAMwBjACAAMQAgAHkAZQBhAHIAXAAiACwAIAAyADgAMQAsACAAOAA0AFwAbgAgACAAIAAgACAAIAAgACAAfQAsACAAcgAsACAAYwApAFwAbgAgACAAIAAgACAAIAApAFwAbgAgACAAIAAgACkAXABuACAAIAApADsAXABuAFwAbgBcAG4ALwAqACAAXABuAC0ALQAtAC0ALQAtAC0ALQAtAC0ALQAtAC0ALQAtAC0ALQAtAC0ALQAtAC0ALQAtAC0ALQAtAC0ALQAtAC0ALQAtAC0ALQAtAC0ALQBcAG4AUwBvAHUAcgBjAGUARABhAHQAYQBfAEQAYQBpAHIAeQBfAEMAcgB1AGQAZQBQAHIAbwB0AGUAaQBuAFwAbgBDAHIAdQBkAGUAIABwAHIAbwB0AGUAaQBuACAAYwBvAG4AdABlAG4AdAAgAG8AZgAgAGYAZQBlAGQAIABpAG4AdABhAGsAZQBcAG4ALQAtAC0ALQAtAC0ALQAtAC0ALQAtAC0ALQAtAC0ALQAtAC0ALQAtAC0ALQAtAC0ALQAtAC0ALQAtAC0ALQAtAC0ALQAtAC0ALQAtAFwAbgAqAC8AXABuAFwAbgBTAG8AdQByAGMAZQBEAGEAdABhAF8ARABhAGkAcgB5AF8AQwByAHUAZABlAFAAcgBvAHQAZQBpAG4AXwBUAGkAdABsAGUAXABuACAAIAA9AEwAQQBNAEIARABBACgAXAAiAEMAcgB1AGQAZQAgAHAAcgBvAHQAZQBpAG4AIABjAG8AbgB0AGUAbgB0ACAAbwBmACAAZgBlAGUAZAAgAGkAbgB0AGEAawBlAFwAIgApADsAXABuAFwAbgBTAG8AdQByAGMAZQBEAGEAdABhAF8ARABhAGkAcgB5AF8AQwByAHUAZABlAFAAcgBvAHQAZQBpAG4AXwBWAGEAcgBpAGEAYgBsAGUAXABuACAAIAA9AEwAQQBNAEIARABBACgAXAAiAEMAUABcACIAKQA7AFwAbgBcAG4AUwBvAHUAcgBjAGUARABhAHQAYQBfAEQAYQBpAHIAeQBfAEMAcgB1AGQAZQBQAHIAbwB0AGUAaQBuAF8AVQBuAGkAdABcAG4AIAAgAD0ATABBAE0AQgBEAEEAKABcACIAZgByAGEAYwB0AGkAbwBuAFwAIgApADsAXABuAFwAbgBTAG8AdQByAGMAZQBEAGEAdABhAF8ARABhAGkAcgB5AF8AQwByAHUAZABlAFAAcgBvAHQAZQBpAG4AXwBTAG8AdQByAGMAZQBcAG4AIAAgAD0ATABBAE0AQgBEAEEAKABcACIAVgBFAEUAUgBHACAAMgAwADIANgA6ACAANAAuADMALgAyAC4AMgBcAHQARABBAFQAQQAgACgATQBFAFQASABPAEQAIAAxACAAQQBOAEQAIAAyACAATwBQAFQASQBPAE4AUwApAFwAIgApADsAXABuAFwAbgBTAG8AdQByAGMAZQBEAGEAdABhAF8ARABhAGkAcgB5AF8AQwByAHUAZABlAFAAcgBvAHQAZQBpAG4AXwBWAGEAcgBpAGEAdABpAG8AbgBcAG4AIAAgAD0ATABBAE0AQgBEAEEAKABcACIAXAAiACkAOwBcAG4AXABuAFMAbwB1AHIAYwBlAEQAYQB0AGEAXwBEAGEAaQByAHkAXwBDAHIAdQBkAGUAUAByAG8AdABlAGkAbgBfAEQAYQB0AGEAXABuACAAIAA9AEwAQQBNAEIARABBACgAMAAuADIAMAApADsAXABuAFwAbgBcAG4ALwAqACAAXABuAC0ALQAtAC0ALQAtAC0ALQAtAC0ALQAtAC0ALQAtAC0ALQAtAC0ALQAtAC0ALQAtAC0ALQAtAC0ALQAtAC0ALQAtAC0ALQAtAC0ALQBcAG4AUwBvAHUAcgBjAGUARABhAHQAYQBfAEQAYQBpAHIAeQBfAEQAcgB5AE0AYQB0AHQAZQByAEQAaQBnAGUAcwB0AGkAYgBpAGwAaQB0AHkAXABuAEQAcgB5ACAAbQBhAHQAdABlAHIAIABkAGkAZwBlAHMAdABpAGIAaQBsAGkAdAB5AFwAbgAtAC0ALQAtAC0ALQAtAC0ALQAtAC0ALQAtAC0ALQAtAC0ALQAtAC0ALQAtAC0ALQAtAC0ALQAtAC0ALQAtAC0ALQAtAC0ALQAtAC0AXABuACoALwBcAG4AXABuAFMAbwB1AHIAYwBlAEQAYQB0AGEAXwBEAGEAaQByAHkAXwBEAHIAeQBNAGEAdAB0AGUAcgBEAGkAZwBlAHMAdABpAGIAaQBsAGkAdAB5AF8AVABpAHQAbABlAFwAbgAgACAAPQBMAEEATQBCAEQAQQAoAFwAIgBEAHIAeQAgAG0AYQB0AHQAZQByACAAZABpAGcAZQBzAHQAaQBiAGkAbABpAHQAeQBcACIAKQA7AFwAbgBcAG4AUwBvAHUAcgBjAGUARABhAHQAYQBfAEQAYQBpAHIAeQBfAEQAcgB5AE0AYQB0AHQAZQByAEQAaQBnAGUAcwB0AGkAYgBpAGwAaQB0AHkAXwBWAGEAcgBpAGEAYgBsAGUAXABuACAAIAA9AEwAQQBNAEIARABBACgAXAAiAEQATQBEAFwAIgApADsAXABuAFwAbgBTAG8AdQByAGMAZQBEAGEAdABhAF8ARABhAGkAcgB5AF8ARAByAHkATQBhAHQAdABlAHIARABpAGcAZQBzAHQAaQBiAGkAbABpAHQAeQBfAFUAbgBpAHQAXABuACAAIAA9AEwAQQBNAEIARABBACgAXAAiAGYAcgBhAGMAdABpAG8AbgBcACIAKQA7AFwAbgBcAG4AUwBvAHUAcgBjAGUARABhAHQAYQBfAEQAYQBpAHIAeQBfAEQAcgB5AE0AYQB0AHQAZQByAEQAaQBnAGUAcwB0AGkAYgBpAGwAaQB0AHkAXwBTAG8AdQByAGMAZQBcAG4AIAAgAD0ATABBAE0AQgBEAEEAKABcACIAVgBFAEUAUgBHACAAMgAwADIANgA6ACAAMwAuADMALgAyAC4AMgBcAHQARABBAFQAQQAgACgATQBFAFQASABPAEQAIAAxACAAQQBOAEQAIAAyACAATwBQAFQASQBPAE4AUwApAFwAIgApADsAXABuAFwAbgBTAG8AdQByAGMAZQBEAGEAdABhAF8ARABhAGkAcgB5AF8ARAByAHkATQBhAHQAdABlAHIARABpAGcAZQBzAHQAaQBiAGkAbABpAHQAeQBfAFYAYQByAGkAYQB0AGkAbwBuAFwAbgAgACAAPQBMAEEATQBCAEQAQQAoAFwAIgBcACIAKQA7AFwAbgBcAG4AUwBvAHUAcgBjAGUARABhAHQAYQBfAEQAYQBpAHIAeQBfAEQAcgB5AE0AYQB0AHQAZQByAEQAaQBnAGUAcwB0AGkAYgBpAGwAaQB0AHkAXwBEAGEAdABhAFwAbgAgACAAPQBMAEEATQBCAEQAQQAoADAALgA3ADUAKQA7AFwAbgBcAG4AXABuAC8AKgAgAFwAbgAtAC0ALQAtAC0ALQAtAC0ALQAtAC0ALQAtAC0ALQAtAC0ALQAtAC0ALQAtAC0ALQAtAC0ALQAtAC0ALQAtAC0ALQAtAC0ALQAtAC0AXABuAFMAbwB1AHIAYwBlAEQAYQB0AGEAXwBEAGEAaQByAHkAXwBOAGUAdABFAG4AZQByAGcAeQBcAG4ATgBlAHQAIABlAG4AZQByAGcAeQAgAHIAZQBxAHUAaQByAGUAZAAgAGYAbwByACAAbQBpAGwAawAgAHAAcgBvAGQAdQBjAHQAaQBvAG4AXABuAC0ALQAtAC0ALQAtAC0ALQAtAC0ALQAtAC0ALQAtAC0ALQAtAC0ALQAtAC0ALQAtAC0ALQAtAC0ALQAtAC0ALQAtAC0ALQAtAC0ALQBcAG4AKgAvAFwAbgBcAG4AUwBvAHUAcgBjAGUARABhAHQAYQBfAEQAYQBpAHIAeQBfAE4AZQB0AEUAbgBlAHIAZwB5AF8AVABpAHQAbABlAFwAbgAgACAAPQBMAEEATQBCAEQAQQAoAFwAIgBOAGUAdAAgAGUAbgBlAHIAZwB5ACAAcgBlAHEAdQBpAHIAZQBkACAAZgBvAHIAIABtAGkAbABrACAAcAByAG8AZAB1AGMAdABpAG8AbgBcACIAKQA7AFwAbgBcAG4AUwBvAHUAcgBjAGUARABhAHQAYQBfAEQAYQBpAHIAeQBfAE4AZQB0AEUAbgBlAHIAZwB5AF8AVgBhAHIAaQBhAGIAbABlAFwAbgAgACAAPQBMAEEATQBCAEQAQQAoAFwAIgBOAEUAXAAiACkAOwBcAG4AXABuAFMAbwB1AHIAYwBlAEQAYQB0AGEAXwBEAGEAaQByAHkAXwBOAGUAdABFAG4AZQByAGcAeQBfAFUAbgBpAHQAXABuACAAIAA9AEwAQQBNAEIARABBACgAXAAiAE0ASgAgAG4AZQB0ACAAZQBuAGUAcgBnAHkAIAAvACAAawBnACAAbQBpAGwAawBcACIAKQA7AFwAbgBcAG4AUwBvAHUAcgBjAGUARABhAHQAYQBfAEQAYQBpAHIAeQBfAE4AZQB0AEUAbgBlAHIAZwB5AF8AUwBvAHUAcgBjAGUAXABuACAAIAA9AEwAQQBNAEIARABBACgAXAAiAFYARQBFAFIARwAgADIAMAAyADYAOgAgADMALgAzAC4AMgAuADMAIABDAE8ATgBTAFQAQQBOAFQAUwBcACIAKQA7AFwAbgBcAG4AUwBvAHUAcgBjAGUARABhAHQAYQBfAEQAYQBpAHIAeQBfAE4AZQB0AEUAbgBlAHIAZwB5AF8AVgBhAHIAaQBhAHQAaQBvAG4AXABuACAAIAA9AEwAQQBNAEIARABBACgAXAAiAFwAIgApADsAXABuAFwAbgBTAG8AdQByAGMAZQBEAGEAdABhAF8ARABhAGkAcgB5AF8ATgBlAHQARQBuAGUAcgBnAHkAXwBEAGEAdABhAFwAbgAgACAAPQBMAEEATQBCAEQAQQAoADMALgAwADUANAApADsAXABuAFwAbgBcAG4ALwAqACAAXABuAC0ALQAtAC0ALQAtAC0ALQAtAC0ALQAtAC0ALQAtAC0ALQAtAC0ALQAtAC0ALQAtAC0ALQAtAC0ALQAtAC0ALQAtAC0ALQAtAC0ALQBcAG4AUwBvAHUAcgBjAGUARABhAHQAYQBfAEQAYQBpAHIAeQBfAEcAcgBvAHMAcwBFAG4AZQByAGcAeQBDAG8AbgB0AGUAbgB0AFwAbgBHAHIAbwBzAHMAIABlAG4AZQByAGcAeQAgAGMAbwBuAHQAZQBuAHQAIABvAGYAIABmAGUAZQBkACAAZAByAHkAIABtAGEAdAB0AGUAcgBcAG4ALQAtAC0ALQAtAC0ALQAtAC0ALQAtAC0ALQAtAC0ALQAtAC0ALQAtAC0ALQAtAC0ALQAtAC0ALQAtAC0ALQAtAC0ALQAtAC0ALQAtAFwAbgAqAC8AXABuAFwAbgBTAG8AdQByAGMAZQBEAGEAdABhAF8ARABhAGkAcgB5AF8ARwByAG8AcwBzAEUAbgBlAHIAZwB5AEMAbwBuAHQAZQBuAHQAXwBUAGkAdABsAGUAXABuACAAIAA9AEwAQQBNAEIARABBACgAXAAiAEcAcgBvAHMAcwAgAGUAbgBlAHIAZwB5ACAAYwBvAG4AdABlAG4AdAAgAG8AZgAgAGYAZQBlAGQAIABkAHIAeQAgAG0AYQB0AHQAZQByAFwAIgApADsAXABuAFwAbgBTAG8AdQByAGMAZQBEAGEAdABhAF8ARABhAGkAcgB5AF8ARwByAG8AcwBzAEUAbgBlAHIAZwB5AEMAbwBuAHQAZQBuAHQAXwBWAGEAcgBpAGEAYgBsAGUAXABuACAAIAA9AEwAQQBNAEIARABBACgAXAAiAEcARQBDAFwAIgApADsAXABuAFwAbgBTAG8AdQByAGMAZQBEAGEAdABhAF8ARABhAGkAcgB5AF8ARwByAG8AcwBzAEUAbgBlAHIAZwB5AEMAbwBuAHQAZQBuAHQAXwBVAG4AaQB0AFwAbgAgACAAPQBMAEEATQBCAEQAQQAoAFwAIgBNAEoAIAAvACAAawBnAEQATQBcACIAKQA7AFwAbgBcAG4AUwBvAHUAcgBjAGUARABhAHQAYQBfAEQAYQBpAHIAeQBfAEcAcgBvAHMAcwBFAG4AZQByAGcAeQBDAG8AbgB0AGUAbgB0AF8AUwBvAHUAcgBjAGUAXABuACAAIAA9AEwAQQBNAEIARABBACgAXAAiAFYARQBFAFIARwAgADIAMAAyADYAOgAgADMALgAzAC4AMgAuADMAIABDAE8ATgBTAFQAQQBOAFQAUwBcACIAKQA7AFwAbgBcAG4AUwBvAHUAcgBjAGUARABhAHQAYQBfAEQAYQBpAHIAeQBfAEcAcgBvAHMAcwBFAG4AZQByAGcAeQBDAG8AbgB0AGUAbgB0AF8AVgBhAHIAaQBhAHQAaQBvAG4AXABuACAAIAA9AEwAQQBNAEIARABBACgAXAAiAFwAIgApADsAXABuAFwAbgBTAG8AdQByAGMAZQBEAGEAdABhAF8ARABhAGkAcgB5AF8ARwByAG8AcwBzAEUAbgBlAHIAZwB5AEMAbwBuAHQAZQBuAHQAXwBEAGEAdABhAFwAbgAgACAAPQBMAEEATQBCAEQAQQAoADEAOAAuADQAKQA7AFwAbgBcAG4AXABuAC8AKgAgAFwAbgAtAC0ALQAtAC0ALQAtAC0ALQAtAC0ALQAtAC0ALQAtAC0ALQAtAC0ALQAtAC0ALQAtAC0ALQAtAC0ALQAtAC0ALQAtAC0ALQAtAC0AXABuAFMAbwB1AHIAYwBlAEQAYQB0AGEAXwBEAGEAaQByAHkAXwBFAGYAZgBpAGMAaQBlAG4AYwB5AE8AZgBVAHMAZQBPAGYATQBlAHQAYQBiAG8AbABpAHoAYQBiAGwAZQBFAG4AZQByAGcAeQBcAG4ARQBmAGYAaQBjAGkAZQBuAGMAeQAgAG8AZgAgAHUAcwBlACAAbwBmACAAbQBlAHQAYQBiAG8AbABpAHoAYQBiAGwAZQAgAGUAbgBlAHIAZwB5ACAAZgBvAHIAIABtAGkAbABrACAAcAByAG8AZAB1AGMAdABpAG8AbgBcAG4ALQAtAC0ALQAtAC0ALQAtAC0ALQAtAC0ALQAtAC0ALQAtAC0ALQAtAC0ALQAtAC0ALQAtAC0ALQAtAC0ALQAtAC0ALQAtAC0ALQAtAFwAbgAqAC8AXABuAFwAbgBTAG8AdQByAGMAZQBEAGEAdABhAF8ARABhAGkAcgB5AF8ARQBmAGYAaQBjAGkAZQBuAGMAeQBPAGYAVQBzAGUATwBmAE0AZQB0AGEAYgBvAGwAaQB6AGEAYgBsAGUARQBuAGUAcgBnAHkAXwBUAGkAdABsAGUAXABuACAAIAA9AEwAQQBNAEIARABBACgAXAAiAEUAZgBmAGkAYwBpAGUAbgBjAHkAIABvAGYAIAB1AHMAZQAgAG8AZgAgAG0AZQB0AGEAYgBvAGwAaQB6AGEAYgBsAGUAIABlAG4AZQByAGcAeQAgAGYAbwByACAAbQBpAGwAawAgAHAAcgBvAGQAdQBjAHQAaQBvAG4AXAAiACkAOwBcAG4AXABuAFMAbwB1AHIAYwBlAEQAYQB0AGEAXwBEAGEAaQByAHkAXwBFAGYAZgBpAGMAaQBlAG4AYwB5AE8AZgBVAHMAZQBPAGYATQBlAHQAYQBiAG8AbABpAHoAYQBiAGwAZQBFAG4AZQByAGcAeQBfAFYAYQByAGkAYQBiAGwAZQBcAG4AIAAgAD0ATABBAE0AQgBEAEEAKABcACIAawBcACIAKQA7AFwAbgBcAG4AUwBvAHUAcgBjAGUARABhAHQAYQBfAEQAYQBpAHIAeQBfAEUAZgBmAGkAYwBpAGUAbgBjAHkATwBmAFUAcwBlAE8AZgBNAGUAdABhAGIAbwBsAGkAegBhAGIAbABlAEUAbgBlAHIAZwB5AF8AVQBuAGkAdABcAG4AIAAgAD0ATABBAE0AQgBEAEEAKABcACIAZgByAGEAYwB0AGkAbwBuAFwAIgApADsAXABuAFwAbgBTAG8AdQByAGMAZQBEAGEAdABhAF8ARABhAGkAcgB5AF8ARQBmAGYAaQBjAGkAZQBuAGMAeQBPAGYAVQBzAGUATwBmAE0AZQB0AGEAYgBvAGwAaQB6AGEAYgBsAGUARQBuAGUAcgBnAHkAXwBTAG8AdQByAGMAZQBcAG4AIAAgAD0ATABBAE0AQgBEAEEAKABcACIAVgBFAEUAUgBHACAAMgAwADIANgA6ACAAMwAuADMALgAyAC4AMwAgAEMATwBOAFMAVABBAE4AVABTAFwAIgApADsAXABuAFwAbgBTAG8AdQByAGMAZQBEAGEAdABhAF8ARABhAGkAcgB5AF8ARQBmAGYAaQBjAGkAZQBuAGMAeQBPAGYAVQBzAGUATwBmAE0AZQB0AGEAYgBvAGwAaQB6AGEAYgBsAGUARQBuAGUAcgBnAHkAXwBWAGEAcgBpAGEAdABpAG8AbgBcAG4AIAAgAD0ATABBAE0AQgBEAEEAKABcACIAXAAiACkAOwBcAG4AXABuAFMAbwB1AHIAYwBlAEQAYQB0AGEAXwBEAGEAaQByAHkAXwBFAGYAZgBpAGMAaQBlAG4AYwB5AE8AZgBVAHMAZQBPAGYATQBlAHQAYQBiAG8AbABpAHoAYQBiAGwAZQBFAG4AZQByAGcAeQBfAEQAYQB0AGEAXABuACAAIAA9AEwAQQBNAEIARABBACgAMAAuADYAMAApADsAXABuAFwAbgBcAG4ALwAqACAAXABuAC0ALQAtAC0ALQAtAC0ALQAtAC0ALQAtAC0ALQAtAC0ALQAtAC0ALQAtAC0ALQAtAC0ALQAtAC0ALQAtAC0ALQAtAC0ALQAtAC0ALQBcAG4AUwBvAHUAcgBjAGUARABhAHQAYQBfAEQAYQBpAHIAeQBfAEEAcwBoAEMAbwBuAHQAZQBuAHQAXABuAEEAcwBoACAAYwBvAG4AdABlAG4AdAAgAG8AZgAgAG0AYQBuAHUAcgBlAFwAbgAtAC0ALQAtAC0ALQAtAC0ALQAtAC0ALQAtAC0ALQAtAC0ALQAtAC0ALQAtAC0ALQAtAC0ALQAtAC0ALQAtAC0ALQAtAC0ALQAtAC0AXABuACoALwBcAG4AXABuAFMAbwB1AHIAYwBlAEQAYQB0AGEAXwBEAGEAaQByAHkAXwBBAHMAaABDAG8AbgB0AGUAbgB0AF8AVABpAHQAbABlAFwAbgAgACAAPQBMAEEATQBCAEQAQQAoAFwAIgBBAHMAaAAgAGMAbwBuAHQAZQBuAHQAIABvAGYAIABtAGEAbgB1AHIAZQBcACIAKQA7AFwAbgBcAG4AUwBvAHUAcgBjAGUARABhAHQAYQBfAEQAYQBpAHIAeQBfAEEAcwBoAEMAbwBuAHQAZQBuAHQAXwBWAGEAcgBpAGEAYgBsAGUAXABuACAAIAA9AEwAQQBNAEIARABBACgAXAAiAEEAXAAiACkAOwBcAG4AXABuAFMAbwB1AHIAYwBlAEQAYQB0AGEAXwBEAGEAaQByAHkAXwBBAHMAaABDAG8AbgB0AGUAbgB0AF8AVQBuAGkAdABcAG4AIAAgAD0ATABBAE0AQgBEAEEAKABcACIAZgByAGEAYwB0AGkAbwBuAFwAIgApADsAXABuAFwAbgBTAG8AdQByAGMAZQBEAGEAdABhAF8ARABhAGkAcgB5AF8AQQBzAGgAQwBvAG4AdABlAG4AdABfAFMAbwB1AHIAYwBlAFwAbgAgACAAPQBMAEEATQBCAEQAQQAoAFwAIgBWAEUARQBSAEcAIAAyADAAMgA2ADoAIAA0AC4AMwAuADIALgAzACAAQwBPAE4AUwBUAEEATgBUAFMAXAAiACkAOwBcAG4AXABuAFMAbwB1AHIAYwBlAEQAYQB0AGEAXwBEAGEAaQByAHkAXwBBAHMAaABDAG8AbgB0AGUAbgB0AF8AVgBhAHIAaQBhAHQAaQBvAG4AXABuACAAIAA9AEwAQQBNAEIARABBACgAXAAiAFwAIgApADsAXABuAFwAbgBTAG8AdQByAGMAZQBEAGEAdABhAF8ARABhAGkAcgB5AF8AQQBzAGgAQwBvAG4AdABlAG4AdABfAEQAYQB0AGEAXABuACAAIAA9AEwAQQBNAEIARABBACgAMAAuADAAOAApADsAXABuAFwAbgBcAG4ALwAqACAAXABuAC0ALQAtAC0ALQAtAC0ALQAtAC0ALQAtAC0ALQAtAC0ALQAtAC0ALQAtAC0ALQAtAC0ALQAtAC0ALQAtAC0ALQAtAC0ALQAtAC0ALQBcAG4AUwBvAHUAcgBjAGUARABhAHQAYQBfAEQAYQBpAHIAeQBfAE0AZQB0AGgAYQBuAGUARQBtAGkAcwBzAGkAbwBuAHMAUABvAHQAZQBuAHQAaQBhAGwAXABuAEEAcwBoACAAYwBvAG4AdABlAG4AdAAgAG8AZgAgAG0AYQBuAHUAcgBlAFwAbgAtAC0ALQAtAC0ALQAtAC0ALQAtAC0ALQAtAC0ALQAtAC0ALQAtAC0ALQAtAC0ALQAtAC0ALQAtAC0ALQAtAC0ALQAtAC0ALQAtAC0AXABuACoALwBcAG4AXABuAFMAbwB1AHIAYwBlAEQAYQB0AGEAXwBEAGEAaQByAHkAXwBNAGUAdABoAGEAbgBlAEUAbQBpAHMAcwBpAG8AbgBzAFAAbwB0AGUAbgB0AGkAYQBsAF8AVABpAHQAbABlAFwAbgAgACAAPQBMAEEATQBCAEQAQQAoAFwAIgBNAGUAdABoAGEAbgBlACAAZQBtAGkAcwBzAGkAbwBuAHMAIABwAG8AdABlAG4AdABpAGEAbABcACIAKQA7AFwAbgBcAG4AUwBvAHUAcgBjAGUARABhAHQAYQBfAEQAYQBpAHIAeQBfAE0AZQB0AGgAYQBuAGUARQBtAGkAcwBzAGkAbwBuAHMAUABvAHQAZQBuAHQAaQBhAGwAXwBWAGEAcgBpAGEAYgBsAGUAXABuACAAIAA9AEwAQQBNAEIARABBACgAXAAiAEIAXwBvAFwAIgApADsAXABuAFwAbgBTAG8AdQByAGMAZQBEAGEAdABhAF8ARABhAGkAcgB5AF8ATQBlAHQAaABhAG4AZQBFAG0AaQBzAHMAaQBvAG4AcwBQAG8AdABlAG4AdABpAGEAbABfAFUAbgBpAHQAXABuACAAIAA9AEwAQQBNAEIARABBACgAXAAiAG0AMwAgAEMASAA0AC8AawBnAFYAUwBcACIAKQA7AFwAbgBcAG4AUwBvAHUAcgBjAGUARABhAHQAYQBfAEQAYQBpAHIAeQBfAE0AZQB0AGgAYQBuAGUARQBtAGkAcwBzAGkAbwBuAHMAUABvAHQAZQBuAHQAaQBhAGwAXwBTAG8AdQByAGMAZQBcAG4AIAAgAD0ATABBAE0AQgBEAEEAKABcACIAVgBFAEUAUgBHACAAMgAwADIANgA6ACAANAAuADMALgAyAC4AMwAgAEMATwBOAFMAVABBAE4AVABTAFwAIgApADsAXABuAFwAbgBTAG8AdQByAGMAZQBEAGEAdABhAF8ARABhAGkAcgB5AF8ATQBlAHQAaABhAG4AZQBFAG0AaQBzAHMAaQBvAG4AcwBQAG8AdABlAG4AdABpAGEAbABfAFYAYQByAGkAYQB0AGkAbwBuAFwAbgAgACAAPQBMAEEATQBCAEQAQQAoAFwAIgBcACIAKQA7AFwAbgBcAG4AUwBvAHUAcgBjAGUARABhAHQAYQBfAEQAYQBpAHIAeQBfAE0AZQB0AGgAYQBuAGUARQBtAGkAcwBzAGkAbwBuAHMAUABvAHQAZQBuAHQAaQBhAGwAXwBEAGEAdABhAFwAbgAgACAAPQBMAEEATQBCAEQAQQAoADAALgAyADQAKQA7AFwAbgBcAG4ALwAqACAAXABuAC0ALQAtAC0ALQAtAC0ALQAtAC0ALQAtAC0ALQAtAC0ALQAtAC0ALQAtAC0ALQAtAC0ALQAtAC0ALQAtAC0ALQAtAC0ALQAtAC0ALQBcAG4AUwBvAHUAcgBjAGUARABhAHQAYQBfAEQAYQBpAHIAeQBfAEUAbQBpAHMAcwBpAG8AbgBGAGEAYwB0AG8AcgBGAG8AcgBMAGUAYQBjAGgAaQBuAGcAQQBuAGQAUgB1AG4AbwBmAGYAXABuAEUAbQBpAHMAcwBpAG8AbgAgAGYAYQBjAHQAbwByACAAZgBvAHIAIABsAGUAYQBjAGgAaQBuAGcAIABhAG4AZAAgAHIAdQBuAG8AZgBmAFwAbgAtAC0ALQAtAC0ALQAtAC0ALQAtAC0ALQAtAC0ALQAtAC0ALQAtAC0ALQAtAC0ALQAtAC0ALQAtAC0ALQAtAC0ALQAtAC0ALQAtAC0AXABuACoALwBcAG4AXABuAFMAbwB1AHIAYwBlAEQAYQB0AGEAXwBEAGEAaQByAHkAXwBFAG0AaQBzAHMAaQBvAG4ARgBhAGMAdABvAHIARgBvAHIATABlAGEAYwBoAGkAbgBnAEEAbgBkAFIAdQBuAG8AZgBmAF8AVABpAHQAbABlAFwAbgAgACAAPQBMAEEATQBCAEQAQQAoAFwAIgBFAG0AaQBzAHMAaQBvAG4AIABmAGEAYwB0AG8AcgAgAGYAbwByACAAbABlAGEAYwBoAGkAbgBnACAAYQBuAGQAIAByAHUAbgBvAGYAZgBcACIAKQA7AFwAbgBcAG4AUwBvAHUAcgBjAGUARABhAHQAYQBfAEQAYQBpAHIAeQBfAEUAbQBpAHMAcwBpAG8AbgBGAGEAYwB0AG8AcgBGAG8AcgBMAGUAYQBjAGgAaQBuAGcAQQBuAGQAUgB1AG4AbwBmAGYAXwBWAGEAcgBpAGEAYgBsAGUAXABuACAAIAA9AEwAQQBNAEIARABBACgAXAAiAEUARgBfAGwAZQBhAGMAaABcACIAKQA7AFwAbgBcAG4AUwBvAHUAcgBjAGUARABhAHQAYQBfAEQAYQBpAHIAeQBfAEUAbQBpAHMAcwBpAG8AbgBGAGEAYwB0AG8AcgBGAG8AcgBMAGUAYQBjAGgAaQBuAGcAQQBuAGQAUgB1AG4AbwBmAGYAXwBVAG4AaQB0AFwAbgAgACAAPQBMAEEATQBCAEQAQQAoAFwAIgBrAGcAIABOADIATwAtAE4ALwBrAGcAIABOAFwAIgApADsAXABuAFwAbgBTAG8AdQByAGMAZQBEAGEAdABhAF8ARABhAGkAcgB5AF8ARQBtAGkAcwBzAGkAbwBuAEYAYQBjAHQAbwByAEYAbwByAEwAZQBhAGMAaABpAG4AZwBBAG4AZABSAHUAbgBvAGYAZgBfAFMAbwB1AHIAYwBlAFwAbgAgACAAPQBMAEEATQBCAEQAQQAoAFwAIgBWAEUARQBSAEcAIAAyADAAMgA2ADoAIAA0AC4AMwAuADIALgAzACAAQwBPAE4AUwBUAEEATgBUAFMAXAAiACkAOwBcAG4AXABuAFMAbwB1AHIAYwBlAEQAYQB0AGEAXwBEAGEAaQByAHkAXwBFAG0AaQBzAHMAaQBvAG4ARgBhAGMAdABvAHIARgBvAHIATABlAGEAYwBoAGkAbgBnAEEAbgBkAFIAdQBuAG8AZgBmAF8AVgBhAHIAaQBhAHQAaQBvAG4AXABuACAAIAA9AEwAQQBNAEIARABBACgAXAAiAFwAIgApADsAXABuAFwAbgBTAG8AdQByAGMAZQBEAGEAdABhAF8ARABhAGkAcgB5AF8ARQBtAGkAcwBzAGkAbwBuAEYAYQBjAHQAbwByAEYAbwByAEwAZQBhAGMAaABpAG4AZwBBAG4AZABSAHUAbgBvAGYAZgBfAEQAYQB0AGEAXABuACAAIAA9AEwAQQBNAEIARABBACgAMAAuADAAMQAxACkAOwBcAG4AXABuAFwAbgAvACoAIABcAG4ALQAtAC0ALQAtAC0ALQAtAC0ALQAtAC0ALQAtAC0ALQAtAC0ALQAtAC0ALQAtAC0ALQAtAC0ALQAtAC0ALQAtAC0ALQAtAC0ALQAtAFwAbgBTAG8AdQByAGMAZQBEAGEAdABhAF8ARABhAGkAcgB5AF8ARgByAGEAYwB0AGkAbwBuAE8AZgBOAGkAdAByAG8AZwBlAG4ATABvAHMAdABUAGgAcgBvAHUAZwBoAEwAZQBhAGMAaABpAG4AZwBBAG4AZABSAHUAbgBvAGYAZgBTAG8AbABpAGQAUwB0AG8AcgBhAGcAZQBcAG4ARgByAGEAYwB0AGkAbwBuACAAbwBmACAAbgBpAHQAcgBvAGcAZQBuACAAbABvAHMAdAAgAHQAaAByAG8AdQBnAGgAIABsAGUAYQBjAGgAaQBuAGcAIABhAG4AZAAgAHIAdQBuAG8AZgBmACAAZgBvAHIAIABzAG8AbABpAGQAIABzAHQAbwByAGEAZwBlACAATQBNAFMAIABvAG4AbAB5ACAAKABmAHIAYQBjAHQAaQBvAG4AKQBcAG4ALQAtAC0ALQAtAC0ALQAtAC0ALQAtAC0ALQAtAC0ALQAtAC0ALQAtAC0ALQAtAC0ALQAtAC0ALQAtAC0ALQAtAC0ALQAtAC0ALQAtAFwAbgAqAC8AXABuAFwAbgBTAG8AdQByAGMAZQBEAGEAdABhAF8ARABhAGkAcgB5AF8ARgByAGEAYwB0AGkAbwBuAE8AZgBOAGkAdAByAG8AZwBlAG4ATABvAHMAdABUAGgAcgBvAHUAZwBoAEwAZQBhAGMAaABpAG4AZwBBAG4AZABSAHUAbgBvAGYAZgBTAG8AbABpAGQAUwB0AG8AcgBhAGcAZQBfAFQAaQB0AGwAZQBcAG4AIAAgAD0ATABBAE0AQgBEAEEAKABcACIARgByAGEAYwB0AGkAbwBuACAAbwBmACAAbgBpAHQAcgBvAGcAZQBuACAAbABvAHMAdAAgAHQAaAByAG8AdQBnAGgAIABsAGUAYQBjAGgAaQBuAGcAIABhAG4AZAAgAHIAdQBuAG8AZgBmACAAZgBvAHIAIABzAG8AbABpAGQAIABzAHQAbwByAGEAZwBlACAATQBNAFMAIABvAG4AbAB5AFwAIgApADsAXABuAFwAbgBTAG8AdQByAGMAZQBEAGEAdABhAF8ARABhAGkAcgB5AF8ARgByAGEAYwB0AGkAbwBuAE8AZgBOAGkAdAByAG8AZwBlAG4ATABvAHMAdABUAGgAcgBvAHUAZwBoAEwAZQBhAGMAaABpAG4AZwBBAG4AZABSAHUAbgBvAGYAZgBTAG8AbABpAGQAUwB0AG8AcgBhAGcAZQBfAFYAYQByAGkAYQBiAGwAZQBcAG4AIAAgAD0ATABBAE0AQgBEAEEAKABcACIARgByAGEAYwBfAEwARQBBAEMASABfAE0AUwBcACIAKQA7AFwAbgBcAG4AUwBvAHUAcgBjAGUARABhAHQAYQBfAEQAYQBpAHIAeQBfAEYAcgBhAGMAdABpAG8AbgBPAGYATgBpAHQAcgBvAGcAZQBuAEwAbwBzAHQAVABoAHIAbwB1AGcAaABMAGUAYQBjAGgAaQBuAGcAQQBuAGQAUgB1AG4AbwBmAGYAUwBvAGwAaQBkAFMAdABvAHIAYQBnAGUAXwBVAG4AaQB0AFwAbgAgACAAPQBMAEEATQBCAEQAQQAoAFwAIgBGAHIAYQBjAHQAaQBvAG4AXAAiACkAOwBcAG4AXABuAFMAbwB1AHIAYwBlAEQAYQB0AGEAXwBEAGEAaQByAHkAXwBGAHIAYQBjAHQAaQBvAG4ATwBmAE4AaQB0AHIAbwBnAGUAbgBMAG8AcwB0AFQAaAByAG8AdQBnAGgATABlAGEAYwBoAGkAbgBnAEEAbgBkAFIAdQBuAG8AZgBmAFMAbwBsAGkAZABTAHQAbwByAGEAZwBlAF8AUwBvAHUAcgBjAGUAXABuACAAIAA9AEwAQQBNAEIARABBACgAXAAiAFYARQBFAFIARwAgADIAMAAyADYAOgAgADQALgAzAC4AMgAuADMAIABDAE8ATgBTAFQAQQBOAFQAUwBcACIAKQA7AFwAbgBcAG4AUwBvAHUAcgBjAGUARABhAHQAYQBfAEQAYQBpAHIAeQBfAEYAcgBhAGMAdABpAG8AbgBPAGYATgBpAHQAcgBvAGcAZQBuAEwAbwBzAHQAVABoAHIAbwB1AGcAaABMAGUAYQBjAGgAaQBuAGcAQQBuAGQAUgB1AG4AbwBmAGYAUwBvAGwAaQBkAFMAdABvAHIAYQBnAGUAXwBWAGEAcgBpAGEAdABpAG8AbgBcAG4AIAAgAD0ATABBAE0AQgBEAEEAKABcACIAXAAiACkAOwBcAG4AXABuAFMAbwB1AHIAYwBlAEQAYQB0AGEAXwBEAGEAaQByAHkAXwBGAHIAYQBjAHQAaQBvAG4ATwBmAE4AaQB0AHIAbwBnAGUAbgBMAG8AcwB0AFQAaAByAG8AdQBnAGgATABlAGEAYwBoAGkAbgBnAEEAbgBkAFIAdQBuAG8AZgBmAFMAbwBsAGkAZABTAHQAbwByAGEAZwBlAF8ARABhAHQAYQBcAG4AIAAgAD0ATABBAE0AQgBEAEEAKAAwAC4AMAAyACkAOwBcAG4AXABuAFwAbgAvACoAIABcAG4ALQAtAC0ALQAtAC0ALQAtAC0ALQAtAC0ALQAtAC0ALQAtAC0ALQAtAC0ALQAtAC0ALQAtAC0ALQAtAC0ALQAtAC0ALQAtAC0ALQAtAFwAbgBTAG8AdQByAGMAZQBEAGEAdABhAF8ARABhAGkAcgB5AF8ARgByAGEAYwB0AGkAbwBuAE8AZgBOAGkAdAByAG8AZwBlAG4ATABvAHMAdABUAGgAcgBvAHUAZwBoAEwAZQBhAGMAaABpAG4AZwBBAG4AZABSAHUAbgBvAGYAZgBcAG4ARABlAGYAYQB1AGwAdAAgAGYAcgBhAGMAdABpAG8AbgAgAG8AZgAgAE4AIAB0AGgAYQB0ACAAaQBzACAAbABvAHMAdAAgAHQAaAByAG8AdQBnAGgAIABsAGUAYQBjAGgAaQBuAGcAIABhAG4AZAAgAHIAdQBuAG8AZgBmACAAdwBoAGUAbgAgAG0AYQBuAHUAcgBlACAAaQBzACAAZQB4AGMAcgBlAHQAZQBkACAAdABvACAAcABhAHMAdAB1AHIAZQAsACAAcgBhAG4AZwBlACAAYQBuAGQAIABwAGEAZABkAG8AYwBrACAAKABtAD0AMQA0ACkALgAgAFwAbgAtAC0ALQAtAC0ALQAtAC0ALQAtAC0ALQAtAC0ALQAtAC0ALQAtAC0ALQAtAC0ALQAtAC0ALQAtAC0ALQAtAC0ALQAtAC0ALQAtAC0AXABuACoALwBcAG4AXABuAFMAbwB1AHIAYwBlAEQAYQB0AGEAXwBEAGEAaQByAHkAXwBGAHIAYQBjAHQAaQBvAG4ATwBmAE4AaQB0AHIAbwBnAGUAbgBMAG8AcwB0AFQAaAByAG8AdQBnAGgATABlAGEAYwBoAGkAbgBnAEEAbgBkAFIAdQBuAG8AZgBmAF8AVABpAHQAbABlAFwAbgAgACAAPQBMAEEATQBCAEQAQQAoAFwAIgBEAGUAZgBhAHUAbAB0ACAAZgByAGEAYwB0AGkAbwBuACAAbwBmACAATgAgAHQAaABhAHQAIABpAHMAIABsAG8AcwB0ACAAdABoAHIAbwB1AGcAaAAgAGwAZQBhAGMAaABpAG4AZwAgAGEAbgBkACAAcgB1AG4AbwBmAGYAIAB3AGgAZQBuACAAbQBhAG4AdQByAGUAIABpAHMAIABlAHgAYwByAGUAdABlAGQAIAB0AG8AIABwAGEAcwB0AHUAcgBlACwAIAByAGEAbgBnAGUAIABhAG4AZAAgAHAAYQBkAGQAbwBjAGsAIAAoAG0APQAxADQAKQAuAFwAIgApADsAXABuAFwAbgBTAG8AdQByAGMAZQBEAGEAdABhAF8ARABhAGkAcgB5AF8ARgByAGEAYwB0AGkAbwBuAE8AZgBOAGkAdAByAG8AZwBlAG4ATABvAHMAdABUAGgAcgBvAHUAZwBoAEwAZQBhAGMAaABpAG4AZwBBAG4AZABSAHUAbgBvAGYAZgBfAFYAYQByAGkAYQBiAGwAZQBcAG4AIAAgAD0ATABBAE0AQgBEAEEAKABcACIARgByAGEAYwBfAEwARQBBAEMASABfAE0AUwBcACIAKQA7AFwAbgBcAG4AUwBvAHUAcgBjAGUARABhAHQAYQBfAEQAYQBpAHIAeQBfAEYAcgBhAGMAdABpAG8AbgBPAGYATgBpAHQAcgBvAGcAZQBuAEwAbwBzAHQAVABoAHIAbwB1AGcAaABMAGUAYQBjAGgAaQBuAGcAQQBuAGQAUgB1AG4AbwBmAGYAXwBVAG4AaQB0AFwAbgAgACAAPQBMAEEATQBCAEQAQQAoAFwAIgBGAHIAYQBjAHQAaQBvAG4AXAAiACkAOwBcAG4AXABuAFMAbwB1AHIAYwBlAEQAYQB0AGEAXwBEAGEAaQByAHkAXwBGAHIAYQBjAHQAaQBvAG4ATwBmAE4AaQB0AHIAbwBnAGUAbgBMAG8AcwB0AFQAaAByAG8AdQBnAGgATABlAGEAYwBoAGkAbgBnAEEAbgBkAFIAdQBuAG8AZgBmAF8AUwBvAHUAcgBjAGUAXABuACAAIAA9AEwAQQBNAEIARABBACgAXAAiAFYARQBFAFIARwAgADIAMAAyADYAOgAgADQALgAzAC4AMgAuADMAIABDAE8ATgBTAFQAQQBOAFQAUwBcACIAKQA7AFwAbgBcAG4AUwBvAHUAcgBjAGUARABhAHQAYQBfAEQAYQBpAHIAeQBfAEYAcgBhAGMAdABpAG8AbgBPAGYATgBpAHQAcgBvAGcAZQBuAEwAbwBzAHQAVABoAHIAbwB1AGcAaABMAGUAYQBjAGgAaQBuAGcAQQBuAGQAUgB1AG4AbwBmAGYAXwBWAGEAcgBpAGEAdABpAG8AbgBcAG4AIAAgAD0ATABBAE0AQgBEAEEAKABcACIAXAAiACkAOwBcAG4AXABuAFMAbwB1AHIAYwBlAEQAYQB0AGEAXwBEAGEAaQByAHkAXwBGAHIAYQBjAHQAaQBvAG4ATwBmAE4AaQB0AHIAbwBnAGUAbgBMAG8AcwB0AFQAaAByAG8AdQBnAGgATABlAGEAYwBoAGkAbgBnAEEAbgBkAFIAdQBuAG8AZgBmAF8ARABhAHQAYQBcAG4AIAAgAD0ATABBAE0AQgBEAEEAKAAwAC4AMgA0ACkAOwBcAG4AXABuAFwAbgAvACoAIABcAG4ALQAtAC0ALQAtAC0ALQAtAC0ALQAtAC0ALQAtAC0ALQAtAC0ALQAtAC0ALQAtAC0ALQAtAC0ALQAtAC0ALQAtAC0ALQAtAC0ALQAtAFwAbgBTAG8AdQByAGMAZQBEAGEAdABhAF8ARABhAGkAcgB5AF8ARgByAGEAYwBHAEEAUwBNAFMAbwBpAGwAXABuAEYAcgBhAGMAdABpAG8AbgAgAG8AZgAgAG4AaQB0AHIAbwBnAGUAbgAgAHYAbwBsAGEAdABpAGwAaQB6AGUAZAAgAGYAcgBvAG0AIAB1AHIAaQBuAGUAIABhAG4AZAAgAGYAYQBlAGMAZQBzACAAZABlAHAAbwBzAGkAdABlAGQAIABvAG4AIABwAGEAcwB0AHUAcgBlAC4AXABuAC0ALQAtAC0ALQAtAC0ALQAtAC0ALQAtAC0ALQAtAC0ALQAtAC0ALQAtAC0ALQAtAC0ALQAtAC0ALQAtAC0ALQAtAC0ALQAtAC0ALQBcAG4AKgAvAFwAbgBcAG4AUwBvAHUAcgBjAGUARABhAHQAYQBfAEQAYQBpAHIAeQBfAEYAcgBhAGMARwBBAFMATQBTAG8AaQBsAF8AVABpAHQAbABlAFwAbgAgACAAPQBMAEEATQBCAEQAQQAoAFwAIgBGAHIAYQBjAHQAaQBvAG4AIABvAGYAIABuAGkAdAByAG8AZwBlAG4AIAB2AG8AbABhAHQAaQBsAGkAegBlAGQAIABmAHIAbwBtACAAdQByAGkAbgBlACAAYQBuAGQAIABmAGEAZQBjAGUAcwAgAGQAZQBwAG8AcwBpAHQAZQBkACAAbwBuACAAcABhAHMAdAB1AHIAZQBcACIAKQA7AFwAbgBcAG4AUwBvAHUAcgBjAGUARABhAHQAYQBfAEQAYQBpAHIAeQBfAEYAcgBhAGMARwBBAFMATQBTAG8AaQBsAF8AVgBhAHIAaQBhAGIAbABlAFwAbgAgACAAPQBMAEEATQBCAEQAQQAoAFwAIgBGAHIAYQBjAEcAQQBTAE0AcwBvAGkAbABcACIAKQA7AFwAbgBcAG4AUwBvAHUAcgBjAGUARABhAHQAYQBfAEQAYQBpAHIAeQBfAEYAcgBhAGMARwBBAFMATQBTAG8AaQBsAF8AVQBuAGkAdABcAG4AIAAgAD0ATABBAE0AQgBEAEEAKABcACIAKABrAGcAIABOAEgAMwAtAE4AIAArACAATgBPAHgALQBOACkALwBrAGcAIABOAFwAIgApADsAXABuAFwAbgBTAG8AdQByAGMAZQBEAGEAdABhAF8ARABhAGkAcgB5AF8ARgByAGEAYwBHAEEAUwBNAFMAbwBpAGwAXwBTAG8AdQByAGMAZQBcAG4AIAAgAD0ATABBAE0AQgBEAEEAKABcACIAVgBFAEUAUgBHACAAMgAwADIANgA6ACAANAAuADMALgAyAC4AMwAgAEMATwBOAFMAVABBAE4AVABTAFwAIgApADsAXABuAFwAbgBTAG8AdQByAGMAZQBEAGEAdABhAF8ARABhAGkAcgB5AF8ARgByAGEAYwBHAEEAUwBNAFMAbwBpAGwAXwBWAGEAcgBpAGEAdABpAG8AbgBcAG4AIAAgAD0ATABBAE0AQgBEAEEAKABcACIAXAAiACkAOwBcAG4AXABuAFMAbwB1AHIAYwBlAEQAYQB0AGEAXwBEAGEAaQByAHkAXwBGAHIAYQBjAEcAQQBTAE0AUwBvAGkAbABfAEQAYQB0AGEAXABuACAAIAA9AEwAQQBNAEIARABBACgAMAAuADIAMQApADsAXABuAFwAbgBcAG4ALwAqACAAXABuAC0ALQAtAC0ALQAtAC0ALQAtAC0ALQAtAC0ALQAtAC0ALQAtAC0ALQAtAC0ALQAtAC0ALQAtAC0ALQAtAC0ALQAtAC0ALQAtAC0ALQBcAG4AUwBvAHUAcgBjAGUARABhAHQAYQBfAEQAYQBpAHIAeQBfAEYAYQB0AEMAbwBuAHQAZQBuAHQASQBuAE0AaQBsAGsAXABuAEYAYQB0ACAAYwBvAG4AdABlAG4AdAAgAGkAbgAgAGYAYQB0ACAAYQBuAGQAIABwAHIAbwB0AGUAaQBuACAAYwBvAHIAcgBlAGMAdABlAGQAIABtAGkAbABrAFwAbgAtAC0ALQAtAC0ALQAtAC0ALQAtAC0ALQAtAC0ALQAtAC0ALQAtAC0ALQAtAC0ALQAtAC0ALQAtAC0ALQAtAC0ALQAtAC0ALQAtAC0AXABuACoALwBcAG4AXABuAFMAbwB1AHIAYwBlAEQAYQB0AGEAXwBEAGEAaQByAHkAXwBGAGEAdABDAG8AbgB0AGUAbgB0AEkAbgBNAGkAbABrAF8AVABpAHQAbABlAFwAbgAgACAAPQBMAEEATQBCAEQAQQAoAFwAIgBGAGEAdAAgAGMAbwBuAHQAZQBuAHQAIABpAG4AIABmAGEAdAAgAGEAbgBkACAAcAByAG8AdABlAGkAbgAgAGMAbwByAHIAZQBjAHQAZQBkACAAbQBpAGwAawBcACIAKQA7AFwAbgBcAG4AUwBvAHUAcgBjAGUARABhAHQAYQBfAEQAYQBpAHIAeQBfAEYAYQB0AEMAbwBuAHQAZQBuAHQASQBuAE0AaQBsAGsAXwBWAGEAcgBpAGEAYgBsAGUAXABuACAAIAA9AEwAQQBNAEIARABBACgAXAAiAEYAQwBfAGoAXAAiACkAOwBcAG4AXABuAFMAbwB1AHIAYwBlAEQAYQB0AGEAXwBEAGEAaQByAHkAXwBGAGEAdABDAG8AbgB0AGUAbgB0AEkAbgBNAGkAbABrAF8AVQBuAGkAdABcAG4AIAAgAD0ATABBAE0AQgBEAEEAKABcACIAcABlAHIAYwBlAG4AdABcACIAKQA7AFwAbgBcAG4AUwBvAHUAcgBjAGUARABhAHQAYQBfAEQAYQBpAHIAeQBfAEYAYQB0AEMAbwBuAHQAZQBuAHQASQBuAE0AaQBsAGsAXwBTAG8AdQByAGMAZQBcAG4AIAAgAD0ATABBAE0AQgBEAEEAKABcACIAVgBFAEUAUgBHACAAMgAwADIANgA6ACAAMwAuADMALgAyAC4AMgAgAEQAQQBUAEEAIAAoAE0ARQBUAEgATwBEACAAMQAgAEEATgBEACAAMgAgAE8AUABUAEkATwBOAFMAKQBcACIAKQA7AFwAbgBcAG4AUwBvAHUAcgBjAGUARABhAHQAYQBfAEQAYQBpAHIAeQBfAEYAYQB0AEMAbwBuAHQAZQBuAHQASQBuAE0AaQBsAGsAXwBWAGEAcgBpAGEAdABpAG8AbgBcAG4AIAAgAD0ATABBAE0AQgBEAEEAKABcACIAXAAiACkAOwBcAG4AXABuAFMAbwB1AHIAYwBlAEQAYQB0AGEAXwBEAGEAaQByAHkAXwBGAGEAdABDAG8AbgB0AGUAbgB0AEkAbgBNAGkAbABrAF8ARABhAHQAYQBcAG4AIAAgAD0ATABBAE0AQgBEAEEAKAA0AC4AMAApADsAXABuAFwAbgBcAG4ALwAqACAAXABuAC0ALQAtAC0ALQAtAC0ALQAtAC0ALQAtAC0ALQAtAC0ALQAtAC0ALQAtAC0ALQAtAC0ALQAtAC0ALQAtAC0ALQAtAC0ALQAtAC0ALQBcAG4AUwBvAHUAcgBjAGUARABhAHQAYQBfAEQAYQBpAHIAeQBfAFAAcgBvAHQAZQBpAG4AQwBvAG4AdABlAG4AdABJAG4ATQBpAGwAawBcAG4AUAByAG8AdABlAGkAbgAgAGMAbwBuAHQAZQBuAHQAIABpAG4AIABmAGEAdAAgAGEAbgBkACAAcAByAG8AdABlAGkAbgAgAGMAbwByAHIAZQBjAHQAZQBkACAAbQBpAGwAawBcAG4ALQAtAC0ALQAtAC0ALQAtAC0ALQAtAC0ALQAtAC0ALQAtAC0ALQAtAC0ALQAtAC0ALQAtAC0ALQAtAC0ALQAtAC0ALQAtAC0ALQAtAFwAbgAqAC8AXABuAFwAbgBTAG8AdQByAGMAZQBEAGEAdABhAF8ARABhAGkAcgB5AF8AUAByAG8AdABlAGkAbgBDAG8AbgB0AGUAbgB0AEkAbgBNAGkAbABrAF8AVABpAHQAbABlAFwAbgAgACAAPQBMAEEATQBCAEQAQQAoAFwAIgBQAHIAbwB0AGUAaQBuACAAYwBvAG4AdABlAG4AdAAgAGkAbgAgAGYAYQB0ACAAYQBuAGQAIABwAHIAbwB0AGUAaQBuACAAYwBvAHIAcgBlAGMAdABlAGQAIABtAGkAbABrAFwAIgApADsAXABuAFwAbgBTAG8AdQByAGMAZQBEAGEAdABhAF8ARABhAGkAcgB5AF8AUAByAG8AdABlAGkAbgBDAG8AbgB0AGUAbgB0AEkAbgBNAGkAbABrAF8AVgBhAHIAaQBhAGIAbABlAFwAbgAgACAAPQBMAEEATQBCAEQAQQAoAFwAIgBQAEMAXwBqAFwAIgApADsAXABuAFwAbgBTAG8AdQByAGMAZQBEAGEAdABhAF8ARABhAGkAcgB5AF8AUAByAG8AdABlAGkAbgBDAG8AbgB0AGUAbgB0AEkAbgBNAGkAbABrAF8AVQBuAGkAdABcAG4AIAAgAD0ATABBAE0AQgBEAEEAKABcACIAcABlAHIAYwBlAG4AdABcACIAKQA7AFwAbgBcAG4AUwBvAHUAcgBjAGUARABhAHQAYQBfAEQAYQBpAHIAeQBfAFAAcgBvAHQAZQBpAG4AQwBvAG4AdABlAG4AdABJAG4ATQBpAGwAawBfAFMAbwB1AHIAYwBlAFwAbgAgACAAPQBMAEEATQBCAEQAQQAoAFwAIgBWAEUARQBSAEcAIAAyADAAMgA2ADoAIAAzAC4AMwAuADIALgAyACAARABBAFQAQQAgACgATQBFAFQASABPAEQAIAAxACAAQQBOAEQAIAAyACAATwBQAFQASQBPAE4AUwApAFwAIgApADsAXABuAFwAbgBTAG8AdQByAGMAZQBEAGEAdABhAF8ARABhAGkAcgB5AF8AUAByAG8AdABlAGkAbgBDAG8AbgB0AGUAbgB0AEkAbgBNAGkAbABrAF8AVgBhAHIAaQBhAHQAaQBvAG4AXABuACAAIAA9AEwAQQBNAEIARABBACgAXAAiAFwAIgApADsAXABuAFwAbgBTAG8AdQByAGMAZQBEAGEAdABhAF8ARABhAGkAcgB5AF8AUAByAG8AdABlAGkAbgBDAG8AbgB0AGUAbgB0AEkAbgBNAGkAbABrAF8ARABhAHQAYQBcAG4AIAAgAD0ATABBAE0AQgBEAEEAKAAzAC4AMwApADsAIgB9ACwAewAiAHAAYQB0AGgAIgA6ACIALwBwAHIAbwBqAGUAYwB0AHMALwBNAE0AUwBfAEQAYQBpAHIAeQBfAEEAdABtAG8AcwBwAGgAZQByAGkAYwBEAGUAcABvAHMAaQB0AGkAbwBuAF8ARQBxAHUAYQB0AGkAbwBuAHMAIgAsACIAdABlAHgAdAAiADoAIgAvACoAXABuAD0APQA9AD0APQA9AD0APQA9AD0APQA9AD0APQA9AD0APQA9AD0APQA9AD0APQA9AD0APQA9AD0APQA9AD0APQA9AD0APQA9AD0APQA9AD0APQA9AD0APQA9AD0APQA9AD0APQA9AD0APQA9AD0APQA9AD0APQA9AD0APQA9AD0APQA9AD0APQA9AD0APQA9AD0APQA9AD0AXABuADQALgAzADoAIABEAGEAaQByAHkAXABuAD0APQA9AD0APQA9AD0APQA9AD0APQA9AD0APQA9AD0APQA9AD0APQA9AD0APQA9AD0APQA9AD0APQA9AD0APQA9AD0APQA9AD0APQA9AD0APQA9AD0APQA9AD0APQA9AD0APQA9AD0APQA9AD0APQA9AD0APQA9AD0APQA9AD0APQA9AD0APQA9AD0APQA9AD0APQA9AD0AXABuADQALgAzAC4AMQAuADUAIABNAGUAdABoAG8AZAAgADEAIAAtACAATQBhAG4AdQByAGUAIABBAHQAbQBvAHMAcABoAGUAcgBpAGMAIABEAGUAcABvAHMAaQB0AGkAbwBuACAARABhAGkAcgB5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MAXwAxAF8ANQBfAF8AMQBfAEEAbgBuAHUAYQBsAEEAdABtAG8AcwBwAGgAZQByAGkAYwBEAGUAcABvAHMAaQB0AGkAbwBuAEUAbQBpAHMAcwBpAG8AbgBzAEYAcgBvAG0ATQBNAFMAXABuAEEAbgBuAHUAYQBsACAAYQB0AG0AbwBzAHAAaABlAHIAaQBjACAAZABlAHAAbwBzAGkAdABpAG8AbgAgAGUAbQBpAHMAcwBpAG8AbgBzACAAZgByAG8AbQAgAE0ATQBTAFwAbgBFAF8ATgAyAE8ATQBNAFMAYQBkAFwAbgB0ACAATgAyAE8AXABuAEUAXwB7AE4AMgBPACwATQBNAFMALABhAGQAfQA9AE0ATgBfAHsAQQBUAE0ATwBTAH0AXABcAHQAaQBtAGUAcwAgAEUARgBfAHsATgAyAE8AfQBcAFwAdABpAG0AZQBzACAAQwBfAHsATgAyAE8AfQBcAFwAdABpAG0AZQBzACAAMQAwAF4AewAtADMAfQBcAG4ATQBOAF8AQQBUAE0ATwBTACAAPQAgAG0AYQBzAHMAIABvAGYAIABOACAAdgBvAGwAYQB0AGkAbABpAHMAZQBkACAAZgByAG8AbQAgAE0ATQBTACAAKABrAGcAIABOACkAXABuAEUARgBfAE4AMgBPACAAPQAgAG4AaQB0AHIAbwB1AHMAIABvAHgAaQBkAGUAIABlAG0AaQBzAHMAaQBvAG4AIABmAGEAYwB0AG8AcgAgAGYAbwByACAAYQB0AG0AbwBzAHAAaABlAHIAaQBjACAAZABlAHAAbwBzAGkAdABpAG8AbgAgACgAawBnACAATgAyAE8ALQBOAC8AawBnACAATgApAFwAbgBDAF8ATgAyAE8AIAA9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VgBFAEUAUgBHAF8ANABfADMAXwAxAF8ANQBfAF8AMQBfAEEAbgBuAHUAYQBsAEEAdABtAG8AcwBwAGgAZQByAGkAYwBEAGUAcABvAHMAaQB0AGkAbwBuAEUAbQBpAHMAcwBpAG8AbgBzAEYAcgBvAG0ATQBNAFMAXABuACAAIAA9AEwAQQBNAEIARABBACgAXABuACAAIAAgACAATQBOAF8AQQBUAE0ATwBTACwAIABFAEYAXwBOADIATwAsACAAQwBfAE4AMgBPACwAXABuACAAIAAgACAATQBOAF8AQQBUAE0ATwBTACAAKgAgAEUARgBfAE4AMgBPACAAKgAgAEMAXwBOADIATwAgACoAIAAxADAAIABeACAALQAzAFwAbgAgACAAKQA7AFwAbgBcAG4AVgBFAEUAUgBHAF8ANABfADMAXwAxAF8ANQBfAF8AMQBfAEEAbgBuAHUAYQBsAEEAdABtAG8AcwBwAGgAZQByAGkAYwBEAGUAcABvAHMAaQB0AGkAbwBuAEUAbQBpAHMAcwBpAG8AbgBzAEYAcgBvAG0ATQBNAFMAXwBUAGkAdABsAGUAXABuACAAIAA9AEwAQQBNAEIARABBACgAXAAiAEEAbgBuAHUAYQBsACAAYQB0AG0AbwBzAHAAaABlAHIAaQBjACAAZABlAHAAbwBzAGkAdABpAG8AbgAgAGUAbQBpAHMAcwBpAG8AbgBzACAAZgByAG8AbQAgAE0ATQBTAFwAIgApADsAXABuAFwAbgBWAEUARQBSAEcAXwA0AF8AMwBfADEAXwA1AF8AXwAxAF8AQQBuAG4AdQBhAGwAQQB0AG0AbwBzAHAAaABlAHIAaQBjAEQAZQBwAG8AcwBpAHQAaQBvAG4ARQBtAGkAcwBzAGkAbwBuAHMARgByAG8AbQBNAE0AUwBfAFYAYQByAGkAYQBiAGwAZQBcAG4AIAAgAD0ATABBAE0AQgBEAEEAKABcACIARQBfAE4AMgBPAE0ATQBTAGEAZABcACIAKQA7AFwAbgBcAG4AVgBFAEUAUgBHAF8ANABfADMAXwAxAF8ANQBfAF8AMQBfAEEAbgBuAHUAYQBsAEEAdABtAG8AcwBwAGgAZQByAGkAYwBEAGUAcABvAHMAaQB0AGkAbwBuAEUAbQBpAHMAcwBpAG8AbgBzAEYAcgBvAG0ATQBNAFMAXwBVAG4AaQB0AFwAbgAgACAAPQBMAEEATQBCAEQAQQAoAFwAIgB0ACAATgAyAE8AXAAiACkAOwBcAG4AXABuAFYARQBFAFIARwBfADQAXwAzAF8AMQBfADUAXwBfADEAXwBBAG4AbgB1AGEAbABBAHQAbQBvAHMAcABoAGUAcgBpAGMARABlAHAAbwBzAGkAdABpAG8AbgBFAG0AaQBzAHMAaQBvAG4AcwBGAHIAbwBtAE0ATQBTAF8AUwBvAHUAcgBjAGUAXABuACAAIAA9AEwAQQBNAEIARABBACgAXAAiAFYARQBFAFIARwAgADIAMAAyADYAOgAgADQALgAzAC4AMQAuADUALAAgAEUAcQB1AGEAdABpAG8AbgAgACgAMQApAFwAIgApADsAXABuAFwAbgBWAEUARQBSAEcAXwA0AF8AMwBfADEAXwA1AF8AXwAxAF8AQQBuAG4AdQBhAGwAQQB0AG0AbwBzAHAAaABlAHIAaQBjAEQAZQBwAG8AcwBpAHQAaQBvAG4ARQBtAGkAcwBzAGkAbwBuAHMARgByAG8AbQBNAE0AUwBfAE4ASQBSAFIAZQBmAGUAcgBlAG4AYwBlAFwAbgAgACAAPQBMAEEATQBCAEQAQQAoAFwAIgBcACIAKQA7AFwAbgBcAG4AVgBFAEUAUgBHAF8ANABfADMAXwAxAF8ANQBfAF8AMQBfAEEAbgBuAHUAYQBsAEEAdABtAG8AcwBwAGgAZQByAGkAYwBEAGUAcABvAHMAaQB0AGkAbwBuAEUAbQBpAHMAcwBpAG8AbgBzAEYAcgBvAG0ATQBNAFMAXwBMAGEAdABlAHgARQBxAHUAYQB0AGkAbwBuAFwAbgAgACAAPQBMAEEATQBCAEQAQQAoAFwAIgBFAF8AewBOADIATwAsAE0ATQBTACwAYQBkAH0APQBNAE4AXwB7AEEAVABNAE8AUwB9AFwAXAB0AGkAbQBlAHMAIABFAEYAXwB7AE4AMgBPAH0AXABcAHQAaQBtAGUAcwAgAEMAXwB7AE4AMgBPAH0AXABcAHQAaQBtAGUAcwAgADEAMABeAHsALQAzAH0AXAAiACkAOwBcAG4AXABuAFYARQBFAFIARwBfADQAXwAzAF8AMQBfADUAXwBfADEAXwBBAG4AbgB1AGEAbABBAHQAbQBvAHMAcABoAGUAcgBpAGMARABlAHAAbwBzAGkAdABpAG8AbgBFAG0AaQBzAHMAaQBvAG4AcwBGAHIAbwBtAE0ATQBTAF8AQQByAGcAdQBtAGUAbgB0AHMAXABuACAAIAA9AEwAQQBNAEIARABBACgAXABuACAAIAAgACAATQBBAEsARQBBAFIAUgBBAFkAKAA2ACwAIAA0ACwAXABuACAAIAAgACAAIAAgAEwAQQBNAEIARABBACgAcgAsAGMALABcAG4AIAAgACAAIAAgACAAIAAgAEkATgBEAEUAWAAoAHsAXABuACAAIAAgACAAIAAgACAAIAAgACAAXAAiAE0ATgBfAEEAVABNAE8AUwBcACIALAAgAFwAIgBtAGEAcwBzACAAbwBmACAATgAgAHYAbwBsAGEAdABpAGwAaQBzAGUAZAAgAGYAcgBvAG0AIABNAE0AUwBcACIALAAgAFwAIgBrAGcAIABOAFwAIgAsACAAXAAiAEMAYQBsAGMAdQBsAGEAdABlAGQAIABmAHIAbwBtACAANAAuADMALgAxAC4ANQAgACgAMgApAFwAIgA7AFwAbgAgACAAIAAgACAAIAAgACAAIAAgAFwAIgBFAEYAXwBOADIATwBcACIALAAgAFwAIgBuAGkAdAByAG8AdQBzACAAbwB4AGkAZABlACAAZQBtAGkAcwBzAGkAbwBuACAAZgBhAGMAdABvAHIAIABmAG8AcgAgAGEAdABtAG8AcwBwAGgAZQByAGkAYwAgAGQAZQBwAG8AcwBpAHQAaQBvAG4AXAAiACwAIABcACIAawBnACAATgAyAE8ALQBOAC8AawBnACAATgBcACIALAAgAFwAIgBDAG8AbgBzAHQAYQBuAHQAXAAiADsAXABuACAAIAAgACAAIAAgACAAIAAgACAAXAAiAEMAXwBOADIATwBcACIALAAgAFwAIgBmAGEAYwB0AG8AcgAgAHQAbwAgAGMAbwBuAHYAZQByAHQAIABlAGwAZQBtAGUAbgB0AGEAbAAgAG0AYQBzAHMAIABvAGYAIABOADIATwAgAHQAbwAgAG0AbwBsAGUAYwB1AGwAYQByACAAbQBhAHMAcwBcACIALAAgAFwAIgBcACIALAAgAFwAIgBDAG8AbgBzAHQAYQBuAHQAXAAiADsAXABuACAAIAAgACAAIAAgACAAIAAgACAAXAAiAGoAXAAiACwAIABcACIAcAByAG8AZAB1AGMAdABpAG8AbgAgAHMAeQBzAHQAZQBtAFwAIgAsACAAXAAiAFwAIgAsACAAXAAiAEkAbgBwAHUAdABcACIAOwBcAG4AIAAgACAAIAAgACAAIAAgACAAIABcACIAaQByAFwAIgAsACAAXAAiAGkAcgByAGkAZwBhAHQAaQBvAG4AIABtAGUAdABoAG8AZABcACIALAAgAFwAIgBcACIALAAgAFwAIgBJAG4AcAB1AHQAXAAiADsAXABuACAAIAAgACAAIAAgACAAIAAgACAAXAAiAHIAXAAiACwAIABcACIAcgBhAGkAbgBmAGEAbABsACAAcgBlAGcAaQBvAG4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zAF8AMQBfADUAXwBfADIAXwBUAG8AdABhAGwATgBpAHQAcgBvAGcAZQBuAFYAbwBsAGEAdABpAGwAaQBzAGUAZABGAHIAbwBtAE0ATQBTAFwAbgBUAG8AdABhAGwAIABuAGkAdAByAG8AZwBlAG4AIAB2AG8AbABhAHQAaQBsAGkAcwBlAGQAIABmAHIAbwBtACAATQBNAFMAXABuAE0ATgBfAEEAVABNAE8AUwBcAG4AawBnACAATgBcAG4ATQBOAF8AewBBAFQATQBPAFMAfQA9AE0ATgBfAHsAagBtAH0AXABcAHQAaQBtAGUAcwAgAEYAcgBhAGMARwBBAFMATQBfAG0AXABuAE0ATgBfAGoAbQAgAD0AIAB0AG8AdABhAGwAIABuAGkAdAByAG8AZwBlAG4AIABpAG4AIABlAGEAYwBoACAATQBNAFMAIABmAG8AcgAgAGQAYQBpAHIAeQAgAGMAYQB0AHQAbABlACAAYwBsAGEAcwBzAGUAcwAgACgAawBnACAATgApAFwAbgBGAHIAYQBjAEcAQQBTAE0AXwBtACAAPQAgAGYAcgBhAGMAdABpAG8AbgAgAG8AZgAgAE4AIAB2AG8AbABhAHQAaQBsAGkAcwBlAGQAIABmAHIAbwBtACAATQBNAFMAIAAoAGYAcgBhAGMAdABpAG8AbgApAFwAbgAtAC0ALQAtAC0ALQAtAC0ALQAtAC0ALQAtAC0ALQAtAC0ALQAtAC0ALQAtAC0ALQAtAC0ALQAtAC0ALQAtAC0ALQAtAC0ALQAtAC0AXABuACoALwBcAG4AXABuAFYARQBFAFIARwBfADQAXwAzAF8AMQBfADUAXwBfADIAXwBUAG8AdABhAGwATgBpAHQAcgBvAGcAZQBuAFYAbwBsAGEAdABpAGwAaQBzAGUAZABGAHIAbwBtAE0ATQBTAFwAbgAgACAAPQBMAEEATQBCAEQAQQAoAFwAbgAgACAAIAAgAE0ATgBfAGoAbQAsACAARgByAGEAYwBHAEEAUwBNAF8AbQAsAFwAbgAgACAAIAAgAE0ATgBfAGoAbQAgACoAIABGAHIAYQBjAEcAQQBTAE0AXwBtAFwAbgAgACAAKQA7AFwAbgBcAG4AVgBFAEUAUgBHAF8ANABfADMAXwAxAF8ANQBfAF8AMgBfAFQAbwB0AGEAbABOAGkAdAByAG8AZwBlAG4AVgBvAGwAYQB0AGkAbABpAHMAZQBkAEYAcgBvAG0ATQBNAFMAXwBUAGkAdABsAGUAXABuACAAIAA9AEwAQQBNAEIARABBACgAXAAiAFQAbwB0AGEAbAAgAG4AaQB0AHIAbwBnAGUAbgAgAHYAbwBsAGEAdABpAGwAaQBzAGUAZAAgAGYAcgBvAG0AIABNAE0AUwBcACIAKQA7AFwAbgBcAG4AVgBFAEUAUgBHAF8ANABfADMAXwAxAF8ANQBfAF8AMgBfAFQAbwB0AGEAbABOAGkAdAByAG8AZwBlAG4AVgBvAGwAYQB0AGkAbABpAHMAZQBkAEYAcgBvAG0ATQBNAFMAXwBWAGEAcgBpAGEAYgBsAGUAXABuACAAIAA9AEwAQQBNAEIARABBACgAXAAiAE0ATgBfAEEAVABNAE8AUwBcACIAKQA7AFwAbgBcAG4AVgBFAEUAUgBHAF8ANABfADMAXwAxAF8ANQBfAF8AMgBfAFQAbwB0AGEAbABOAGkAdAByAG8AZwBlAG4AVgBvAGwAYQB0AGkAbABpAHMAZQBkAEYAcgBvAG0ATQBNAFMAXwBVAG4AaQB0AFwAbgAgACAAPQBMAEEATQBCAEQAQQAoAFwAIgBrAGcAIABOAFwAIgApADsAXABuAFwAbgBWAEUARQBSAEcAXwA0AF8AMwBfADEAXwA1AF8AXwAyAF8AVABvAHQAYQBsAE4AaQB0AHIAbwBnAGUAbgBWAG8AbABhAHQAaQBsAGkAcwBlAGQARgByAG8AbQBNAE0AUwBfAFMAbwB1AHIAYwBlAFwAbgAgACAAPQBMAEEATQBCAEQAQQAoAFwAIgBWAEUARQBSAEcAIAAyADAAMgA2ADoAIAA0AC4AMwAuADEALgA1ACwAIABFAHEAdQBhAHQAaQBvAG4AIAAoADIAKQBcACIAKQA7AFwAbgBcAG4AVgBFAEUAUgBHAF8ANABfADMAXwAxAF8ANQBfAF8AMgBfAFQAbwB0AGEAbABOAGkAdAByAG8AZwBlAG4AVgBvAGwAYQB0AGkAbABpAHMAZQBkAEYAcgBvAG0ATQBNAFMAXwBOAEkAUgBSAGUAZgBlAHIAZQBuAGMAZQBcAG4AIAAgAD0ATABBAE0AQgBEAEEAKABcACIAXAAiACkAOwBcAG4AXABuAFYARQBFAFIARwBfADQAXwAzAF8AMQBfADUAXwBfADIAXwBUAG8AdABhAGwATgBpAHQAcgBvAGcAZQBuAFYAbwBsAGEAdABpAGwAaQBzAGUAZABGAHIAbwBtAE0ATQBTAF8ATABhAHQAZQB4AEUAcQB1AGEAdABpAG8AbgBcAG4AIAAgAD0ATABBAE0AQgBEAEEAKABcACIATQBOAF8AewBBAFQATQBPAFMAfQA9AFwAXABzAHUAbQBcAFwAbgBvAGwAaQBtAGkAdABzAF8AewBqAH0AXABcAHMAdQBtAFwAXABuAG8AbABpAG0AaQB0AHMAXwB7AG0AfQAoAE0ATgBfAHsAagBtAH0AXABcAHQAaQBtAGUAcwAgAEYAcgBhAGMARwBBAFMATQBfAG0AKQBcACIAKQA7AFwAbgBcAG4AVgBFAEUAUgBHAF8ANABfADMAXwAxAF8ANQBfAF8AMgBfAFQAbwB0AGEAbABOAGkAdAByAG8AZwBlAG4AVgBvAGwAYQB0AGkAbABpAHMAZQBkAEYAcgBvAG0ATQBNAFMAXwBBAHIAZwB1AG0AZQBuAHQAcwBcAG4AIAAgAD0ATABBAE0AQgBEAEEAKABcAG4AIAAgACAAIABNAEEASwBFAEEAUgBSAEEAWQAoADIALAAgADQALABcAG4AIAAgACAAIAAgACAATABBAE0AQgBEAEEAKAByACwAYwAsAFwAbgAgACAAIAAgACAAIAAgACAASQBOAEQARQBYACgAewBcAG4AIAAgACAAIAAgACAAIAAgACAAIABcACIATQBOAF8AagBtAFwAIgAsACAAXAAiAHQAbwB0AGEAbAAgAG4AaQB0AHIAbwBnAGUAbgAgAGkAbgAgAGUAYQBjAGgAIABNAE0AUwAgAGYAbwByACAAZABhAGkAcgB5ACAAYwBhAHQAdABsAGUAIABjAGwAYQBzAHMAZQBzAFwAIgAsACAAXAAiAGsAZwAgAE4AXAAiACwAIABcACIAQwBhAGwAYwB1AGwAYQB0AGUAZAAgAGYAcgBvAG0AIAA0AC4AMwAuADEALgAzACAAKAAyACkAXAAiADsAXABuACAAIAAgACAAIAAgACAAIAAgACAAXAAiAEYAcgBhAGMARwBBAFMATQBfAG0AXAAiACwAIABcACIAZgByAGEAYwB0AGkAbwBuACAAbwBmACAATgAgAHYAbwBsAGEAdABpAGwAaQBzAGUAZAAgAGYAcgBvAG0AIABNAE0AUwBcACIALAAgAFwAIgBmAHIAYQBjAHQAaQBvAG4AXAAiACwAIABcACIAQwBvAG4AcwB0AGEAbgB0AFwAIgBcAG4AIAAgACAAIAAgACAAIAAgAH0ALAAgAHIALAAgAGMAKQBcAG4AIAAgACAAIAAgACAAKQBcAG4AIAAgACAAIAApAFwAbgAgACAAKQA7AFwAbgAiAH0ALAB7ACIAcABhAHQAaAAiADoAIgAvAHAAcgBvAGoAZQBjAHQAcwAvAE0ATQBTAF8ARABhAGkAcgB5AF8ATQBhAG4AdQByAGUAQQBwAHAAbABpAGUAZABUAG8AUwBvAGkAbABzAF8ARQBxAHUAYQB0AGkAbwBuAHMAIgAsACIAdABlAHgAdAAiADoAIgAvACoAXABuAD0APQA9AD0APQA9AD0APQA9AD0APQA9AD0APQA9AD0APQA9AD0APQA9AD0APQA9AD0APQA9AD0APQA9AD0APQA9AD0APQA9AD0APQA9AD0APQA9AD0APQA9AD0APQA9AD0APQA9AD0APQA9AD0APQA9AD0APQA9AD0APQA9AD0APQA9AD0APQA9AD0APQA9AD0APQA9AD0AXABuADQALgAzADoAIABEAGEAaQByAHkAXABuAD0APQA9AD0APQA9AD0APQA9AD0APQA9AD0APQA9AD0APQA9AD0APQA9AD0APQA9AD0APQA9AD0APQA9AD0APQA9AD0APQA9AD0APQA9AD0APQA9AD0APQA9AD0APQA9AD0APQA9AD0APQA9AD0APQA9AD0APQA9AD0APQA9AD0APQA9AD0APQA9AD0APQA9AD0APQA9AD0AXABuADQALgAzAC4AMQAuADgAIABNAGUAdABoAG8AZAAgADEAIAAtACAATQBhAG4AdQByAGUAIABBAHAAcABsAGkAZQBkACAAVABvACAAUwBvAGkAbABzACAARABhAGkAcgB5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MAXwAxAF8AOABfAF8AMQBfAE0AYQBzAHMATwBmAE4AaQB0AHIAbwBnAGUAbgBBAHAAcABsAGkAZQBkAFQAbwBTAG8AaQBsAHMAUwBjAG8AcABlADEAXABuAE0AYQBzAHMAIABvAGYAIABuAGkAdAByAG8AZwBlAG4AIABmAHIAbwBtACAAbQBhAG4AdQByAGUAIABhAHAAcABsAGkAZQBkACAAdABvACAAcwBvAGkAbABzACAAZgBvAHIAIABzAGMAbwBwAGUAIAAxACAAZQBtAGkAcwBzAGkAbwBuAHMAXABuAE0ATgBTAG8AaQBsAF8AcwBjAG8AcABlADEAXABuAGsAZwAgAE4AXABuAE0ATgBTAG8AaQBsAF8AewBzAGMAbwBwAGUAMQB9AD0AKABNAE4AXwB7AGoAbQB9AFwAXAB0AGkAbQBlAHMAIAAoADEALQBFAEYAXwBtAC0ARgByAGEAYwBHAEEAUwBNAF8AbQApAC0ATQBOAEwAZQBhAGMAaABfAGoAbQApAFwAXAB0AGkAbQBlAHMAIABQAEYAXwBzAGMAbwBwAGUAXABuAE0ATgBfAGoAbQAgAD0AIAB0AG8AdABhAGwAIABuAGkAdAByAG8AZwBlAG4AIABpAG4AIABlAGEAYwBoACAATQBNAFMAIABmAG8AcgAgAGQAYQBpAHIAeQAgAGMAYQB0AHQAbABlACAAYwBsAGEAcwBzAGUAcwAgACgAawBnACAATgApAFwAbgBFAEYAXwBtACAAPQAgAGUAbQBpAHMAcwBpAG8AbgAgAGYAYQBjAHQAbwByACAAZgBvAHIAIABuAGkAdAByAG8AdQBzACAAbwB4AGkAZABlACAAZQBtAGkAcwBzAGkAbwBuAHMAIABwAGUAcgAgAE0ATQBTACAAKABrAGcAIABOADIATwAtAE4ALwBrAGcAIABOACkAXABuAEYAcgBhAGMARwBBAFMATQBfAG0AIAA9ACAAZgByAGEAYwB0AGkAbwBuACAAbwBmACAATgAgAHYAbwBsAGEAdABpAGwAaQBzAGUAZAAgAGYAcgBvAG0AIABNAE0AUwBcAG4ATQBOAEwAZQBhAGMAaABfAGoAbQAgAD0AIABtAGEAcwBzACAAbwBmACAATgAgAGwAbwBzAHQAIAB0AGgAcgBvAHUAZwBoACAAbABlAGEAYwBoAGkAbgBnACAAYQBuAGQAIAByAHUAbgBvAGYAZgAgAGYAcgBvAG0AIABlAGEAYwBoACAATQBNAFMAIAAoAGsAZwAgAE4AKQBcAG4AUABGAF8AcwBjAG8AcABlACAAPQAgAGYAcgBhAGMAdABpAG8AbgAgAG8AZgAgAG0AYQBuAHUAcgBlACAAYQBwAHAAbABpAGUAZAAgAHQAbwAgAHMAbwBpAGwAIAB3AGkAdABoAGkAbgAgAGYAYQByAG0AIABiAG8AdQBuAGQAYQByAHkAXABuAC0ALQAtAC0ALQAtAC0ALQAtAC0ALQAtAC0ALQAtAC0ALQAtAC0ALQAtAC0ALQAtAC0ALQAtAC0ALQAtAC0ALQAtAC0ALQAtAC0ALQBcAG4AKgAvAFwAbgBcAG4AVgBFAEUAUgBHAF8ANABfADMAXwAxAF8AOABfAF8AMQBfAE0AYQBzAHMATwBmAE4AaQB0AHIAbwBnAGUAbgBBAHAAcABsAGkAZQBkAFQAbwBTAG8AaQBsAHMAUwBjAG8AcABlADEAXABuACAAIAA9AEwAQQBNAEIARABBACgAXABuACAAIAAgACAATQBOAF8AagBtACwAIABFAEYAXwBtACwAIABGAHIAYQBjAEcAQQBTAE0AXwBtACwAIABNAE4ATABlAGEAYwBoAF8AagBtACwAIABQAEYAXwBzAGMAbwBwAGUALABcAG4AIAAgACAAIAAoAE0ATgBfAGoAbQAgACoAIAAoADEAIAAtACAARQBGAF8AbQAgAC0AIABGAHIAYQBjAEcAQQBTAE0AXwBtACkAIAAtACAATQBOAEwAZQBhAGMAaABfAGoAbQApACAAKgAgAFAARgBfAHMAYwBvAHAAZQBcAG4AIAAgACkAOwBcAG4AXABuAFYARQBFAFIARwBfADQAXwAzAF8AMQBfADgAXwBfADEAXwBNAGEAcwBzAE8AZgBOAGkAdAByAG8AZwBlAG4AQQBwAHAAbABpAGUAZABUAG8AUwBvAGkAbABzAFMAYwBvAHAAZQAxAF8AVABpAHQAbABlAFwAbgAgACAAPQBMAEEATQBCAEQAQQAoAFwAIgBNAGEAcwBzACAAbwBmACAAbgBpAHQAcgBvAGcAZQBuACAAZgByAG8AbQAgAG0AYQBuAHUAcgBlACAAYQBwAHAAbABpAGUAZAAgAHQAbwAgAHMAbwBpAGwAcwAgAGYAbwByACAAcwBjAG8AcABlACAAMQAgAGUAbQBpAHMAcwBpAG8AbgBzAFwAIgApADsAXABuAFwAbgBWAEUARQBSAEcAXwA0AF8AMwBfADEAXwA4AF8AXwAxAF8ATQBhAHMAcwBPAGYATgBpAHQAcgBvAGcAZQBuAEEAcABwAGwAaQBlAGQAVABvAFMAbwBpAGwAcwBTAGMAbwBwAGUAMQBfAFYAYQByAGkAYQBiAGwAZQBcAG4AIAAgAD0ATABBAE0AQgBEAEEAKABcACIATQBOAFMAbwBpAGwAXwBzAGMAbwBwAGUAMQBcACIAKQA7AFwAbgBcAG4AVgBFAEUAUgBHAF8ANABfADMAXwAxAF8AOABfAF8AMQBfAE0AYQBzAHMATwBmAE4AaQB0AHIAbwBnAGUAbgBBAHAAcABsAGkAZQBkAFQAbwBTAG8AaQBsAHMAUwBjAG8AcABlADEAXwBVAG4AaQB0AFwAbgAgACAAPQBMAEEATQBCAEQAQQAoAFwAIgBrAGcAIABOAFwAIgApADsAXABuAFwAbgBWAEUARQBSAEcAXwA0AF8AMwBfADEAXwA4AF8AXwAxAF8ATQBhAHMAcwBPAGYATgBpAHQAcgBvAGcAZQBuAEEAcABwAGwAaQBlAGQAVABvAFMAbwBpAGwAcwBTAGMAbwBwAGUAMQBfAFMAbwB1AHIAYwBlAFwAbgAgACAAPQBMAEEATQBCAEQAQQAoAFwAIgBWAEUARQBSAEcAIAAyADAAMgA2ADoAIAA0AC4AMwAuADEALgA4ACwAIABFAHEAdQBhAHQAaQBvAG4AIAAoADEAKQBcACIAKQA7AFwAbgBcAG4AVgBFAEUAUgBHAF8ANABfADMAXwAxAF8AOABfAF8AMQBfAE0AYQBzAHMATwBmAE4AaQB0AHIAbwBnAGUAbgBBAHAAcABsAGkAZQBkAFQAbwBTAG8AaQBsAHMAUwBjAG8AcABlADEAXwBOAEkAUgBSAGUAZgBlAHIAZQBuAGMAZQBcAG4AIAAgAD0ATABBAE0AQgBEAEEAKABcACIAXAAiACkAOwBcAG4AXABuAFYARQBFAFIARwBfADQAXwAzAF8AMQBfADgAXwBfADEAXwBNAGEAcwBzAE8AZgBOAGkAdAByAG8AZwBlAG4AQQBwAHAAbABpAGUAZABUAG8AUwBvAGkAbABzAFMAYwBvAHAAZQAxAF8ATABhAHQAZQB4AEUAcQB1AGEAdABpAG8AbgBcAG4AIAAgAD0ATABBAE0AQgBEAEEAKABcACIATQBOAFMAbwBpAGwAXwB7AHMAYwBvAHAAZQAxAH0APQBcAFwAcwB1AG0AXABcAG4AbwBsAGkAbQBpAHQAcwBfAHsAagB9AFwAXABzAHUAbQBcAFwAbgBvAGwAaQBtAGkAdABzAF8AewBtAH0AKABNAE4AXwB7AGoAbQA9ADEALQAxADMAfQBcAFwAdABpAG0AZQBzACAAKAAxAC0ARQBGAF8AewBtAD0AMQAtADEAMwB9AC0ARgByAGEAYwBHAEEAUwBNAF8AewBtAD0AMQAtADEAMwB9ACkALQBNAE4ATABlAGEAYwBoAF8AewBqAG0AfQApAFwAXAB0AGkAbQBlAHMAIABQAEYAXAAiACkAOwBcAG4AXABuAFYARQBFAFIARwBfADQAXwAzAF8AMQBfADgAXwBfADEAXwBNAGEAcwBzAE8AZgBOAGkAdAByAG8AZwBlAG4AQQBwAHAAbABpAGUAZABUAG8AUwBvAGkAbABzAFMAYwBvAHAAZQAxAF8AQQByAGcAdQBtAGUAbgB0AHMAXABuACAAIAA9AEwAQQBNAEIARABBACgAXABuACAAIAAgACAATQBBAEsARQBBAFIAUgBBAFkAKAA1ACwAIAA0ACwAXABuACAAIAAgACAAIAAgAEwAQQBNAEIARABBACgAcgAsAGMALABcAG4AIAAgACAAIAAgACAAIAAgAEkATgBEAEUAWAAoAHsAXABuACAAIAAgACAAIAAgACAAIAAgACAAXAAiAE0ATgBfAGoAbQBcACIALAAgAFwAIgB0AG8AdABhAGwAIABuAGkAdAByAG8AZwBlAG4AIABpAG4AIABlAGEAYwBoACAATQBNAFMAIABmAG8AcgAgAGQAYQBpAHIAeQAgAGMAYQB0AHQAbABlACAAYwBsAGEAcwBzAGUAcwBcACIALAAgAFwAIgBrAGcAIABOAFwAIgAsACAAXAAiAEMAYQBsAGMAdQBsAGEAdABlAGQAIABmAHIAbwBtACAANAAuADMALgAxAC4AMwAgACgAMgApAFwAIgA7AFwAbgAgACAAIAAgACAAIAAgACAAIAAgAFwAIgBFAEYAXwBtAFwAIgAsACAAXAAiAGUAbQBpAHMAcwBpAG8AbgAgAGYAYQBjAHQAbwByACAAZgBvAHIAIABuAGkAdAByAG8AdQBzACAAbwB4AGkAZABlACAAZQBtAGkAcwBzAGkAbwBuAHMAIABwAGUAcgAgAE0ATQBTAFwAIgAsACAAXAAiAGsAZwAgAE4AMgBPAC0ATgAvAGsAZwAgAE4AXAAiACwAIABcACIAQwBvAG4AcwB0AGEAbgB0AFwAIgA7AFwAbgAgACAAIAAgACAAIAAgACAAIAAgAFwAIgBGAHIAYQBjAEcAQQBTAE0AXwBtAFwAIgAsACAAXAAiAGYAcgBhAGMAdABpAG8AbgAgAG8AZgAgAE4AIAB2AG8AbABhAHQAaQBsAGkAcwBlAGQAIABmAHIAbwBtACAATQBNAFMAXAAiACwAIABcACIAZgByAGEAYwB0AGkAbwBuAFwAIgAsACAAXAAiAEMAbwBuAHMAdABhAG4AdABcACIAOwBcAG4AIAAgACAAIAAgACAAIAAgACAAIABcACIATQBOAEwAZQBhAGMAaABfAGoAbQBcACIALAAgAFwAIgBtAGEAcwBzACAAbwBmACAATgAgAGwAbwBzAHQAIAB0AGgAcgBvAHUAZwBoACAAbABlAGEAYwBoAGkAbgBnACAAYQBuAGQAIAByAHUAbgBvAGYAZgAgAGYAcgBvAG0AIABlAGEAYwBoACAATQBNAFMAXAAiACwAIABcACIAawBnACAATgBcACIALAAgAFwAIgBDAGEAbABjAHUAbABhAHQAZQBkACAAZgByAG8AbQAgADQALgAzAC4AMQAuADYAIAAoADIAKQBcACIAOwBcAG4AIAAgACAAIAAgACAAIAAgACAAIABcACIAUABGAF8AcwBjAG8AcABlAFwAIgAsACAAXAAiAGYAcgBhAGMAdABpAG8AbgAgAG8AZgAgAG0AYQBuAHUAcgBlACAAYQBwAHAAbABpAGUAZAAgAHQAbwAgAHMAbwBpAGwAIAB3AGkAdABoAGkAbgAgAGYAYQByAG0AIABiAG8AdQBuAGQAYQByAHkAXAAiACwAIABcACIAZgByAGEAYwB0AGkAbwBu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wBfADEAXwA4AF8AXwAyAF8ATQBhAHMAcwBPAGYATgBpAHQAcgBvAGcAZQBuAEEAcABwAGwAaQBlAGQAVABvAFMAbwBpAGwAcwBTAGMAbwBwAGUAMwBcAG4ATQBhAHMAcwAgAG8AZgAgAG4AaQB0AHIAbwBnAGUAbgAgAGYAcgBvAG0AIABtAGEAbgB1AHIAZQAgAGEAcABwAGwAaQBlAGQAIAB0AG8AIABzAG8AaQBsAHMAIABmAG8AcgAgAHMAYwBvAHAAZQAgADMAIABlAG0AaQBzAHMAaQBvAG4AcwBcAG4ATQBOAFMAbwBpAGwAXwBzAGMAbwBwAGUAMwBcAG4AawBnACAATgBcAG4ATQBOAFMAbwBpAGwAXwB7AHMAYwBvAHAAZQAzAH0APQAoAE0ATgBfAHsAagBtAH0AXABcAHQAaQBtAGUAcwAgACgAMQAtAEUARgBfAG0ALQBGAHIAYQBjAEcAQQBTAE0AXwBtACkALQBNAE4ATABlAGEAYwBoAF8AagBtACkAXABcAHQAaQBtAGUAcwAgACgAMQAtAFAARgApAFwAbgBNAE4AXwBqAG0AIAA9ACAAdABvAHQAYQBsACAAbgBpAHQAcgBvAGcAZQBuACAAaQBuACAAZQBhAGMAaAAgAE0ATQBTACAAZgBvAHIAIABkAGEAaQByAHkAIABjAGEAdAB0AGwAZQAgAGMAbABhAHMAcwBlAHMAIAAoAGsAZwAgAE4AKQBcAG4ARQBGAF8AbQAgAD0AIABlAG0AaQBzAHMAaQBvAG4AIABmAGEAYwB0AG8AcgAgAGYAbwByACAAbgBpAHQAcgBvAHUAcwAgAG8AeABpAGQAZQAgAGUAbQBpAHMAcwBpAG8AbgBzACAAcABlAHIAIABNAE0AUwAgACgAawBnACAATgAyAE8ALQBOAC8AawBnACAATgApAFwAbgBGAHIAYQBjAEcAQQBTAE0AXwBtACAAPQAgAGYAcgBhAGMAdABpAG8AbgAgAG8AZgAgAE4AIAB2AG8AbABhAHQAaQBsAGkAcwBlAGQAIABmAHIAbwBtACAATQBNAFMAXABuAE0ATgBMAGUAYQBjAGgAXwBqAG0AIAA9ACAAbQBhAHMAcwAgAG8AZgAgAE4AIABsAG8AcwB0ACAAdABoAHIAbwB1AGcAaAAgAGwAZQBhAGMAaABpAG4AZwAgAGEAbgBkACAAcgB1AG4AbwBmAGYAIABmAHIAbwBtACAAZQBhAGMAaAAgAE0ATQBTACAAKABrAGcAIABOACkAXABuAFAARgAgAD0AIABmAHIAYQBjAHQAaQBvAG4AIABvAGYAIABtAGEAbgB1AHIAZQAgAGEAcABwAGwAaQBlAGQAIAB0AG8AIABzAG8AaQBsACAAdwBpAHQAaABpAG4AIABmAGEAcgBtACAAYgBvAHUAbgBkAGEAcgB5AFwAbgAtAC0ALQAtAC0ALQAtAC0ALQAtAC0ALQAtAC0ALQAtAC0ALQAtAC0ALQAtAC0ALQAtAC0ALQAtAC0ALQAtAC0ALQAtAC0ALQAtAC0AXABuACoALwBcAG4AXABuAFYARQBFAFIARwBfADQAXwAzAF8AMQBfADgAXwBfADIAXwBNAGEAcwBzAE8AZgBOAGkAdAByAG8AZwBlAG4AQQBwAHAAbABpAGUAZABUAG8AUwBvAGkAbABzAFMAYwBvAHAAZQAzAFwAbgAgACAAPQBMAEEATQBCAEQAQQAoAFwAbgAgACAAIAAgAE0ATgBfAGoAbQAsACAARQBGAF8AbQAsACAARgByAGEAYwBHAEEAUwBNAF8AbQAsACAATQBOAEwAZQBhAGMAaABfAGoAbQAsACAAUABGACwAXABuACAAIAAgACAAKABNAE4AXwBqAG0AIAAqACAAKAAxACAALQAgAEUARgBfAG0AIAAtACAARgByAGEAYwBHAEEAUwBNAF8AbQApACAALQAgAE0ATgBMAGUAYQBjAGgAXwBqAG0AKQAgACoAIAAoADEAIAAtACAAUABGACkAXABuACAAIAApADsAXABuAFwAbgBWAEUARQBSAEcAXwA0AF8AMwBfADEAXwA4AF8AXwAyAF8ATQBhAHMAcwBPAGYATgBpAHQAcgBvAGcAZQBuAEEAcABwAGwAaQBlAGQAVABvAFMAbwBpAGwAcwBTAGMAbwBwAGUAMwBfAFQAaQB0AGwAZQBcAG4AIAAgAD0ATABBAE0AQgBEAEEAKABcACIATQBhAHMAcwAgAG8AZgAgAG4AaQB0AHIAbwBnAGUAbgAgAGYAcgBvAG0AIABtAGEAbgB1AHIAZQAgAGEAcABwAGwAaQBlAGQAIAB0AG8AIABzAG8AaQBsAHMAIABmAG8AcgAgAHMAYwBvAHAAZQAgADMAIABlAG0AaQBzAHMAaQBvAG4AcwBcACIAKQA7AFwAbgBcAG4AVgBFAEUAUgBHAF8ANABfADMAXwAxAF8AOABfAF8AMgBfAE0AYQBzAHMATwBmAE4AaQB0AHIAbwBnAGUAbgBBAHAAcABsAGkAZQBkAFQAbwBTAG8AaQBsAHMAUwBjAG8AcABlADMAXwBWAGEAcgBpAGEAYgBsAGUAXABuACAAIAA9AEwAQQBNAEIARABBACgAXAAiAE0ATgBTAG8AaQBsAF8AcwBjAG8AcABlADMAXAAiACkAOwBcAG4AXABuAFYARQBFAFIARwBfADQAXwAzAF8AMQBfADgAXwBfADIAXwBNAGEAcwBzAE8AZgBOAGkAdAByAG8AZwBlAG4AQQBwAHAAbABpAGUAZABUAG8AUwBvAGkAbABzAFMAYwBvAHAAZQAzAF8AVQBuAGkAdABcAG4AIAAgAD0ATABBAE0AQgBEAEEAKABcACIAawBnACAATgBcACIAKQA7AFwAbgBcAG4AVgBFAEUAUgBHAF8ANABfADMAXwAxAF8AOABfAF8AMgBfAE0AYQBzAHMATwBmAE4AaQB0AHIAbwBnAGUAbgBBAHAAcABsAGkAZQBkAFQAbwBTAG8AaQBsAHMAUwBjAG8AcABlADMAXwBTAG8AdQByAGMAZQBcAG4AIAAgAD0ATABBAE0AQgBEAEEAKABcACIAVgBFAEUAUgBHACAAMgAwADIANgA6ACAANAAuADMALgAxAC4AOAAsACAARQBxAHUAYQB0AGkAbwBuACAAKAAyACkAXAAiACkAOwBcAG4AXABuAFYARQBFAFIARwBfADQAXwAzAF8AMQBfADgAXwBfADIAXwBNAGEAcwBzAE8AZgBOAGkAdAByAG8AZwBlAG4AQQBwAHAAbABpAGUAZABUAG8AUwBvAGkAbABzAFMAYwBvAHAAZQAzAF8ATgBJAFIAUgBlAGYAZQByAGUAbgBjAGUAXABuACAAIAA9AEwAQQBNAEIARABBACgAXAAiAFwAIgApADsAXABuAFwAbgBWAEUARQBSAEcAXwA0AF8AMwBfADEAXwA4AF8AXwAyAF8ATQBhAHMAcwBPAGYATgBpAHQAcgBvAGcAZQBuAEEAcABwAGwAaQBlAGQAVABvAFMAbwBpAGwAcwBTAGMAbwBwAGUAMwBfAEwAYQB0AGUAeABFAHEAdQBhAHQAaQBvAG4AXABuACAAIAA9AEwAQQBNAEIARABBACgAXAAiAE0ATgBTAG8AaQBsAF8AewBzAGMAbwBwAGUAMwB9AD0AXABcAHMAdQBtAFwAXABuAG8AbABpAG0AaQB0AHMAXwB7AGoAfQBcAFwAcwB1AG0AXABcAG4AbwBsAGkAbQBpAHQAcwBfAHsAbQB9ACgATQBOAF8AewBqAG0APQAxAC0AMQAzAH0AXABcAHQAaQBtAGUAcwAgACgAMQAtAEUARgBfAHsAbQA9ADEALQAxADMAfQAtAEYAcgBhAGMARwBBAFMATQBfAHsAbQA9ADEALQAxADMAfQApAC0ATQBOAEwAZQBhAGMAaABfAHsAagBtAH0AKQBcAFwAdABpAG0AZQBzACAAKAAxAC0AUABGACkAXAAiACkAOwBcAG4AXABuAFYARQBFAFIARwBfADQAXwAzAF8AMQBfADgAXwBfADIAXwBNAGEAcwBzAE8AZgBOAGkAdAByAG8AZwBlAG4AQQBwAHAAbABpAGUAZABUAG8AUwBvAGkAbABzAFMAYwBvAHAAZQAzAF8AQQByAGcAdQBtAGUAbgB0AHMAXABuACAAIAA9AEwAQQBNAEIARABBACgAXABuACAAIAAgACAATQBBAEsARQBBAFIAUgBBAFkAKAA1ACwAIAA0ACwAXABuACAAIAAgACAAIAAgAEwAQQBNAEIARABBACgAcgAsAGMALABcAG4AIAAgACAAIAAgACAAIAAgAEkATgBEAEUAWAAoAHsAXABuACAAIAAgACAAIAAgACAAIAAgACAAXAAiAE0ATgBfAGoAbQBcACIALAAgAFwAIgB0AG8AdABhAGwAIABuAGkAdAByAG8AZwBlAG4AIABpAG4AIABlAGEAYwBoACAATQBNAFMAIABmAG8AcgAgAGQAYQBpAHIAeQAgAGMAYQB0AHQAbABlACAAYwBsAGEAcwBzAGUAcwBcACIALAAgAFwAIgBrAGcAIABOAFwAIgAsACAAXAAiAEMAYQBsAGMAdQBsAGEAdABlAGQAIABmAHIAbwBtACAANAAuADMALgAxAC4AMwAgACgAMgApAFwAIgA7AFwAbgAgACAAIAAgACAAIAAgACAAIAAgAFwAIgBFAEYAXwBtAFwAIgAsACAAXAAiAGUAbQBpAHMAcwBpAG8AbgAgAGYAYQBjAHQAbwByACAAZgBvAHIAIABuAGkAdAByAG8AdQBzACAAbwB4AGkAZABlACAAZQBtAGkAcwBzAGkAbwBuAHMAIABwAGUAcgAgAE0ATQBTAFwAIgAsACAAXAAiAGsAZwAgAE4AMgBPAC0ATgAvAGsAZwAgAE4AXAAiACwAIABcACIAQwBvAG4AcwB0AGEAbgB0AFwAIgA7AFwAbgAgACAAIAAgACAAIAAgACAAIAAgAFwAIgBGAHIAYQBjAEcAQQBTAE0AXwBtAFwAIgAsACAAXAAiAGYAcgBhAGMAdABpAG8AbgAgAG8AZgAgAE4AIAB2AG8AbABhAHQAaQBsAGkAcwBlAGQAIABmAHIAbwBtACAATQBNAFMAXAAiACwAIABcACIAZgByAGEAYwB0AGkAbwBuAFwAIgAsACAAXAAiAEMAbwBuAHMAdABhAG4AdABcACIAOwBcAG4AIAAgACAAIAAgACAAIAAgACAAIABcACIATQBOAEwAZQBhAGMAaABfAGoAbQBcACIALAAgAFwAIgBtAGEAcwBzACAAbwBmACAATgAgAGwAbwBzAHQAIAB0AGgAcgBvAHUAZwBoACAAbABlAGEAYwBoAGkAbgBnACAAYQBuAGQAIAByAHUAbgBvAGYAZgAgAGYAcgBvAG0AIABlAGEAYwBoACAATQBNAFMAXAAiACwAIABcACIAawBnACAATgBcACIALAAgAFwAIgBDAGEAbABjAHUAbABhAHQAZQBkACAAZgByAG8AbQAgADQALgAzAC4AMQAuADYAIAAoADIAKQBcACIAOwBcAG4AIAAgACAAIAAgACAAIAAgACAAIABcACIAUABGAFwAIgAsACAAXAAiAGYAcgBhAGMAdABpAG8AbgAgAG8AZgAgAG0AYQBuAHUAcgBlACAAYQBwAHAAbABpAGUAZAAgAHQAbwAgAHMAbwBpAGwAIAB3AGkAdABoAGkAbgAgAGYAYQByAG0AIABiAG8AdQBuAGQAYQByAHkAXAAiACwAIABcACIAZgByAGEAYwB0AGkAbwBuAFwAIgAsACAAXAAiAEkAbgBwAHUAdABcACIAXABuACAAIAAgACAAIAAgACAAIAB9ACwAIAByACwAIABjACkAXABuACAAIAAgACAAIAAgACkAXABuACAAIAAgACAAKQBcAG4AIAAgACkAOwBcAG4AIgB9ACwAewAiAHAAYQB0AGgAIgA6ACIALwBwAHIAbwBqAGUAYwB0AHMALwBNAE0AUwBfAEQAYQBpAHIAeQBfAE0AZQB0AGgAYQBuAGUAXwBFAHEAdQBhAHQAaQBvAG4AcwAiACwAIgB0AGUAeAB0ACIAOgAiAC8AKgBcAG4APQA9AD0APQA9AD0APQA9AD0APQA9AD0APQA9AD0APQA9AD0APQA9AD0APQA9AD0APQA9AD0APQA9AD0APQA9AD0APQA9AD0APQA9AD0APQA9AD0APQA9AD0APQA9AD0APQA9AD0APQA9AD0APQA9AD0APQA9AD0APQA9AD0APQA9AD0APQA9AD0APQA9AD0APQA9AD0APQBcAG4ANAAuADMAOgAgAEQAYQBpAHIAeQBcAG4APQA9AD0APQA9AD0APQA9AD0APQA9AD0APQA9AD0APQA9AD0APQA9AD0APQA9AD0APQA9AD0APQA9AD0APQA9AD0APQA9AD0APQA9AD0APQA9AD0APQA9AD0APQA9AD0APQA9AD0APQA9AD0APQA9AD0APQA9AD0APQA9AD0APQA9AD0APQA9AD0APQA9AD0APQA9AD0APQBcAG4ANAAuADMALgAxAC4AMQAgAE0AZQB0AGgAbwBkACAAMQAgAC0AIABNAGEAbgB1AHIAZQAgAE0AZQB0AGgAYQBuAGUAIABEAGEAaQ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wBfADEAXwAxAF8AXwAxAF8AVABvAHQAYQBsAEEAbgBuAHUAYQBsAE0AZQB0AGgAYQBuAGUARgByAG8AbQBNAGEAbgB1AHIAZQBNAGEAbgBhAGcAZQBtAGUAbgB0AFwAbgBUAG8AdABhAGwAIABhAG4AbgB1AGEAbAAgAG0AZQB0AGgAYQBuAGUAIABwAHIAbwBkAHUAYwB0AGkAbwBuACAAZgByAG8AbQAgAG0AYQBuAHUAcgBlACAAbQBhAG4AYQBnAGUAbQBlAG4AdABcAG4ARQBfAEMASAA0AFwAbgB0ACAAQwBIADQAXABuAEUAXwB7AEMASAA0AH0APQAoACgATgBfAHsAagA9ADEALAAyACwANAB9AFwAXAB0AGkAbQBlAHMAIABNAF8AewBqAD0AMQAsADIALAA0ACwAbQB9AFwAXAB0AGkAbQBlAHMAIABEAF8AewBqAD0AMQAsADIALAA0AH0AKQArACgATgBfAHsAagA9ADMALAA1AH0AXABcAHQAaQBtAGUAcwAgAE0AXwB7AGoAPQAzACwANQAsAG0AfQBcAFwAdABpAG0AZQBzACAARABfAHsAagA9ADMALAA1AH0AKQArACgATgBfAHsAagA9ADMALAA1AH0AXABcAHQAaQBtAGUAcwAgAE0AUABXAF8AewBtAGEAbgB1AHIAZQAsAGoAPQAzACwANQB9AFwAXAB0AGkAbQBlAHMAIABEAF8AewBqAD0AMwAsADUAfQApACkAXABcAHQAaQBtAGUAcwAgADEAMABeAHsALQAzAH0AXABuAE4AXwBqADEAMgA0ACAAPQAgAG4AdQBtAGIAZQByACAAbwBmACAAZABhAGkAcgB5ACAAYwBhAHQAdABsAGUAIABpAG4AIABjAGwAYQBzAHMAZQBzACAAagA9ADEALAAyACwANABcAG4ATQBfAGoAMQAyADQAbQAgAD0AIABtAGUAdABoAGEAbgBlACAAcAByAG8AZAB1AGMAdABpAG8AbgAgAGYAcgBvAG0AIABtAGEAbgB1AHIAZQAgAG8AZgAgAHcAZQBhAG4AZQBkACAAZABhAGkAcgB5ACAAYwBhAHQAdABsAGUAIABpAG4AIABjAGwAYQBzAHMAZQBzACAAagA9ADEALAAyACwANAAgAGkAbgAgAE0ATQBTACAAbQAgACgAawBnACAAQwBIADQALwBoAGUAYQBkAC8AZABhAHkAKQBcAG4ARABfAGoAMQAyADQAIAA9ACAAZAB1AHIAYQB0AGkAbwBuACAAbwBmACAAcwB0AGEAeQAgAG8AbgAgAGYAYQByAG0AIABmAG8AcgAgAGMAbABhAHMAcwBlAHMAIABqAD0AMQAsADIALAA0ACAAKABkAGEAeQBzACkAXABuAE4AXwBqADMANQAgAD0AIABuAHUAbQBiAGUAcgAgAG8AZgAgAGQAYQBpAHIAeQAgAGMAYQB0AHQAbABlACAAaQBuACAAYwBsAGEAcwBzAGUAcwAgAGoAPQAzACwANQBcAG4ATQBfAGoAMwA1AG0AIAA9ACAAbQBlAHQAaABhAG4AZQAgAHAAcgBvAGQAdQBjAHQAaQBvAG4AIABmAHIAbwBtACAAbQBhAG4AdQByAGUAIABvAGYAIAB3AGUAYQBuAGUAZAAgAGQAYQBpAHIAeQAgAGMAYQB0AHQAbABlACAAaQBuACAAYwBsAGEAcwBzAGUAcwAgAGoAPQAzACwANQAgAGkAbgAgAE0ATQBTACAAbQAgACgAawBnACAAQwBIADQALwBoAGUAYQBkAC8AZABhAHkAKQBcAG4ARABfAGoAMwA1ACAAPQAgAGQAdQByAGEAdABpAG8AbgAgAG8AZgAgAHMAdABhAHkAIABvAG4AIABmAGEAcgBtACAAZgBvAHIAIABjAGwAYQBzAHMAZQBzACAAagA9ADMALAA1ACAAKABkAGEAeQBzACkAXABuAE0AUABXAF8AbQBhAG4AdQByAGUAXwBqADMANQAgAD0AIABtAGUAdABoAGEAbgBlACAAcAByAG8AZAB1AGMAdABpAG8AbgAgAGYAcgBvAG0AIABtAGEAbgB1AHIAZQAgAG8AZgAgAHAAcgBlAC0AdwBlAGEAbgBlAGQAIABoAGUAaQBmAGUAcgAgAGEAbgBkACAAYgB1AGwAbAAgAGMAYQBsAHYAZQBzACAAKABrAGcAIABDAEgANAAvAGgAZQBhAGQALwBkAGEAeQApAFwAbgAtAC0ALQAtAC0ALQAtAC0ALQAtAC0ALQAtAC0ALQAtAC0ALQAtAC0ALQAtAC0ALQAtAC0ALQAtAC0ALQAtAC0ALQAtAC0ALQAtAC0AXABuACoALwBcAG4AXABuAFYARQBFAFIARwBfADQAXwAzAF8AMQBfADEAXwBfADEAXwBUAG8AdABhAGwAQQBuAG4AdQBhAGwATQBlAHQAaABhAG4AZQBGAHIAbwBtAE0AYQBuAHUAcgBlAE0AYQBuAGEAZwBlAG0AZQBuAHQAXABuACAAIAA9AEwAQQBNAEIARABBACgAXABuACAAIAAgACAATgBfAGoAMQAyADQALAAgAE0AXwBqADEAMgA0AG0ALAAgAEQAXwBqADEAMgA0ACwAIABOAF8AagAzADUALAAgAE0AXwBqADMANQBtACwAIABEAF8AagAzADUALAAgAE0AUABXAF8AbQBhAG4AdQByAGUAXwBqADMANQAsAFwAbgAgACAAIAAgACgAKABOAF8AagAxADIANAAgACoAIABNAF8AagAxADIANABtACAAKgAgAEQAXwBqADEAMgA0ACkAIAArACAAKABOAF8AagAzADUAIAAqACAATQBfAGoAMwA1AG0AIAAqACAARABfAGoAMwA1ACkAIAArACAAKABOAF8AagAzADUAIAAqACAATQBQAFcAXwBtAGEAbgB1AHIAZQBfAGoAMwA1ACAAKgAgAEQAXwBqADMANQApACkAIAAqACAAMQAwACAAXgAgAC0AMwBcAG4AIAAgACkAOwBcAG4AXABuAFYARQBFAFIARwBfADQAXwAzAF8AMQBfADEAXwBfADEAXwBUAG8AdABhAGwAQQBuAG4AdQBhAGwATQBlAHQAaABhAG4AZQBGAHIAbwBtAE0AYQBuAHUAcgBlAE0AYQBuAGEAZwBlAG0AZQBuAHQAVgBhAHIAaQBhAHQAaQBvAG4AXABuACAAIAA9AEwAQQBNAEIARABBACgAXABuACAAIAAgACAATgBfAGoAMQAyADQALAAgAE0AXwBqADEAMgA0AG0ALAAgAEQAXwBqADEAMgA0ACwAIABOAF8AagAzADUALAAgAE0AXwBqADMANQBtACwAIABEAF8AagAzADUALAAgAE0AUABXAF8AbQBhAG4AdQByAGUAXwBqADMANQAsACAARABQAFcAXwBqADMANQAsAFwAbgAgACAAIAAgACgAKABOAF8AagAxADIANAAgACoAIABNAF8AagAxADIANABtACAAKgAgAEQAXwBqADEAMgA0ACkAIAArACAAKABOAF8AagAzADUAIAAqACAATQBfAGoAMwA1AG0AIAAqACAARABfAGoAMwA1ACkAIAArACAAKABOAF8AagAzADUAIAAqACAATQBQAFcAXwBtAGEAbgB1AHIAZQBfAGoAMwA1ACAAKgAgAEQAUABXAF8AagAzADUAKQApACAAKgAgADEAMAAgAF4AIAAtADMAXABuACAAIAApADsAXABuAFwAbgBcAG4AVgBFAEUAUgBHAF8ANABfADMAXwAxAF8AMQBfAF8AMQBfAFQAbwB0AGEAbABBAG4AbgB1AGEAbABNAGUAdABoAGEAbgBlAEYAcgBvAG0ATQBhAG4AdQByAGUATQBhAG4AYQBnAGUAbQBlAG4AdABfAFQAaQB0AGwAZQBcAG4AIAAgAD0ATABBAE0AQgBEAEEAKABcACIAVABvAHQAYQBsACAAYQBuAG4AdQBhAGwAIABtAGUAdABoAGEAbgBlACAAcAByAG8AZAB1AGMAdABpAG8AbgAgAGYAcgBvAG0AIABtAGEAbgB1AHIAZQAgAG0AYQBuAGEAZwBlAG0AZQBuAHQAXAAiACkAOwBcAG4AXABuAFYARQBFAFIARwBfADQAXwAzAF8AMQBfADEAXwBfADEAXwBUAG8AdABhAGwAQQBuAG4AdQBhAGwATQBlAHQAaABhAG4AZQBGAHIAbwBtAE0AYQBuAHUAcgBlAE0AYQBuAGEAZwBlAG0AZQBuAHQAXwBWAGEAcgBpAGEAYgBsAGUAXABuACAAIAA9AEwAQQBNAEIARABBACgAXAAiAEUAXwBDAEgANABcACIAKQA7AFwAbgBcAG4AVgBFAEUAUgBHAF8ANABfADMAXwAxAF8AMQBfAF8AMQBfAFQAbwB0AGEAbABBAG4AbgB1AGEAbABNAGUAdABoAGEAbgBlAEYAcgBvAG0ATQBhAG4AdQByAGUATQBhAG4AYQBnAGUAbQBlAG4AdABfAFUAbgBpAHQAXABuACAAIAA9AEwAQQBNAEIARABBACgAXAAiAHQAIABDAEgANABcACIAKQA7AFwAbgBcAG4AVgBFAEUAUgBHAF8ANABfADMAXwAxAF8AMQBfAF8AMQBfAFQAbwB0AGEAbABBAG4AbgB1AGEAbABNAGUAdABoAGEAbgBlAEYAcgBvAG0ATQBhAG4AdQByAGUATQBhAG4AYQBnAGUAbQBlAG4AdABfAFMAbwB1AHIAYwBlAFwAbgAgACAAPQBMAEEATQBCAEQAQQAoAFwAIgBWAEUARQBSAEcAIAAyADAAMgA2ADoAIAA0AC4AMwAuADEALgAxACwAIABFAHEAdQBhAHQAaQBvAG4AIAAoADEAKQBcACIAKQA7AFwAbgBcAG4AVgBFAEUAUgBHAF8ANABfADMAXwAxAF8AMQBfAF8AMQBfAFQAbwB0AGEAbABBAG4AbgB1AGEAbABNAGUAdABoAGEAbgBlAEYAcgBvAG0ATQBhAG4AdQByAGUATQBhAG4AYQBnAGUAbQBlAG4AdABfAE4ASQBSAFIAZQBmAGUAcgBlAG4AYwBlAFwAbgAgACAAPQBMAEEATQBCAEQAQQAoAFwAIgBcACIAKQA7AFwAbgBcAG4AVgBFAEUAUgBHAF8ANABfADMAXwAxAF8AMQBfAF8AMQBfAFQAbwB0AGEAbABBAG4AbgB1AGEAbABNAGUAdABoAGEAbgBlAEYAcgBvAG0ATQBhAG4AdQByAGUATQBhAG4AYQBnAGUAbQBlAG4AdABfAEwAYQB0AGUAeABFAHEAdQBhAHQAaQBvAG4AXABuACAAIAA9AEwAQQBNAEIARABBACgAXAAiAEUAXwB7AEMASAA0AH0APQBcAFwAcwB1AG0AXABcAG4AbwBsAGkAbQBpAHQAcwBfAHsAagB9AFwAXABzAHUAbQBcAFwAbgBvAGwAaQBtAGkAdABzAF8AewBtAH0AKAAoAE4AXwB7AGoAPQAxACwAMgAsADQAfQBcAFwAdABpAG0AZQBzACAATQBfAHsAagA9ADEALAAyACwANAAsAG0AfQBcAFwAdABpAG0AZQBzACAARABfAHsAagA9ADEALAAyACwANAB9ACkAKwAoAE4AXwB7AGoAPQAzACwANQB9AFwAXAB0AGkAbQBlAHMAIABNAF8AewBqAD0AMwAsADUALABtAH0AXABcAHQAaQBtAGUAcwAgAEQAXwB7AGoAPQAzACwANQB9ACkAKwAoAE4AXwB7AGoAPQAzACwANQB9AFwAXAB0AGkAbQBlAHMAIABNAFAAVwBfAHsAbQBhAG4AdQByAGUALABqAD0AMwAsADUAfQBcAFwAdABpAG0AZQBzACAARABfAHsAagA9ADMALAA1AH0AKQApAFwAXAB0AGkAbQBlAHMAIAAxADAAXgB7AC0AMwB9AFwAIgApADsAXABuAFwAbgBWAEUARQBSAEcAXwA0AF8AMwBfADEAXwAxAF8AXwAxAF8AVABvAHQAYQBsAEEAbgBuAHUAYQBsAE0AZQB0AGgAYQBuAGUARgByAG8AbQBNAGEAbgB1AHIAZQBNAGEAbgBhAGcAZQBtAGUAbgB0AF8ATABhAHQAZQB4AEUAcQB1AGEAdABpAG8AbgBWAGEAcgBpAGEAdABpAG8AbgBcAG4AIAAgAD0ATABBAE0AQgBEAEEAKABcACIARQBfAHsAQwBIADQAfQA9AFwAXABzAHUAbQBcAFwAbgBvAGwAaQBtAGkAdABzAF8AewBqAH0AXABcAHMAdQBtAFwAXABuAG8AbABpAG0AaQB0AHMAXwB7AG0AfQAoACgATgBfAHsAagA9ADEALAAyACwANAB9AFwAXAB0AGkAbQBlAHMAIABNAF8AewBqAD0AMQAsADIALAA0ACwAbQB9AFwAXAB0AGkAbQBlAHMAIABEAF8AewBqAD0AMQAsADIALAA0AH0AKQArACgATgBfAHsAagA9ADMALAA1AH0AXABcAHQAaQBtAGUAcwAgAE0AXwB7AGoAPQAzACwANQAsAG0AfQBcAFwAdABpAG0AZQBzACAARABfAHsAagA9ADMALAA1AH0AKQArACgATgBfAHsAagA9ADMALAA1AH0AXABcAHQAaQBtAGUAcwAgAE0AUABXAF8AewBtAGEAbgB1AHIAZQAsAGoAPQAzACwANQB9AFwAXAB0AGkAbQBlAHMAIABEAFAAVwBfAHsAagA9ADMALAA1AH0AKQApAFwAXAB0AGkAbQBlAHMAIAAxADAAXgB7AC0AMwB9AFwAIgApADsAXABuAFwAbgBWAEUARQBSAEcAXwA0AF8AMwBfADEAXwAxAF8AXwAxAF8AVABvAHQAYQBsAEEAbgBuAHUAYQBsAE0AZQB0AGgAYQBuAGUARgByAG8AbQBNAGEAbgB1AHIAZQBNAGEAbgBhAGcAZQBtAGUAbgB0AF8AQQByAGcAdQBtAGUAbgB0AHMAXABuACAAIAA9AEwAQQBNAEIARABBACgAXABuACAAIAAgACAATQBBAEsARQBBAFIAUgBBAFkAKAA4ACwAIAA0ACwAXABuACAAIAAgACAAIAAgAEwAQQBNAEIARABBACgAcgAsAGMALABcAG4AIAAgACAAIAAgACAAIAAgAEkATgBEAEUAWAAoAHsAXABuACAAIAAgACAAIAAgACAAIAAgACAAXAAiAE4AXwBqADEAMgA0AFwAIgAsACAAXAAiAG4AdQBtAGIAZQByACAAbwBmACAAZABhAGkAcgB5ACAAYwBhAHQAdABsAGUAIABpAG4AIABjAGwAYQBzAHMAZQBzACAAagA9ADEALAAyACwANABcACIALAAgAFwAIgBoAGUAYQBkAFwAIgAsACAAXAAiAEkAbgBwAHUAdABcACIAOwBcAG4AIAAgACAAIAAgACAAIAAgACAAIABcACIATQBfAGoAMQAyADQAbQBcACIALAAgAFwAIgBtAGUAdABoAGEAbgBlACAAcAByAG8AZAB1AGMAdABpAG8AbgAgAGYAcgBvAG0AIABtAGEAbgB1AHIAZQAgAG8AZgAgAHcAZQBhAG4AZQBkACAAZABhAGkAcgB5ACAAYwBhAHQAdABsAGUAIABpAG4AIABjAGwAYQBzAHMAZQBzACAAagA9ADEALAAyACwANAAgAGkAbgAgAE0ATQBTACAAbQBcACIALAAgAFwAIgBrAGcAIABDAEgANAAvAGgAZQBhAGQALwBkAGEAeQBcACIALAAgAFwAIgBDAGEAbABjAHUAbABhAHQAZQBkACAAZgByAG8AbQAgADQALgAzAC4AMQAuADEAIAAoADIAKQBcACIAOwBcAG4AIAAgACAAIAAgACAAIAAgACAAIABcACIARABfAGoAMQAyADQAXAAiACwAIABcACIAZAB1AHIAYQB0AGkAbwBuACAAbwBmACAAcwB0AGEAeQAgAG8AbgAgAGYAYQByAG0AIABmAG8AcgAgAGMAbABhAHMAcwBlAHMAIABqAD0AMQAsADIALAA0AFwAIgAsACAAXAAiAGQAYQB5AHMAXAAiACwAIABcACIASQBuAHAAdQB0AFwAIgA7AFwAbgAgACAAIAAgACAAIAAgACAAIAAgAFwAIgBOAF8AagAzADUAXAAiACwAIABcACIAbgB1AG0AYgBlAHIAIABvAGYAIABkAGEAaQByAHkAIABjAGEAdAB0AGwAZQAgAGkAbgAgAGMAbABhAHMAcwBlAHMAIABqAD0AMwAsADUAXAAiACwAIABcACIAaABlAGEAZABcACIALAAgAFwAIgBJAG4AcAB1AHQAXAAiADsAXABuACAAIAAgACAAIAAgACAAIAAgACAAXAAiAE0AXwBqADMANQBtAFwAIgAsACAAXAAiAG0AZQB0AGgAYQBuAGUAIABwAHIAbwBkAHUAYwB0AGkAbwBuACAAZgByAG8AbQAgAG0AYQBuAHUAcgBlACAAbwBmACAAdwBlAGEAbgBlAGQAIABkAGEAaQByAHkAIABjAGEAdAB0AGwAZQAgAGkAbgAgAGMAbABhAHMAcwBlAHMAIABqAD0AMwAsADUAIABpAG4AIABNAE0AUwAgAG0AXAAiACwAIABcACIAawBnACAAQwBIADQALwBoAGUAYQBkAC8AZABhAHkAXAAiACwAIABcACIAQwBhAGwAYwB1AGwAYQB0AGUAZAAgAGYAcgBvAG0AIAA0AC4AMwAuADEALgAxACAAKAAyACkAXAAiADsAXABuACAAIAAgACAAIAAgACAAIAAgACAAXAAiAEQAXwBqADMANQBcACIALAAgAFwAIgBkAHUAcgBhAHQAaQBvAG4AIABvAGYAIABzAHQAYQB5ACAAbwBuACAAZgBhAHIAbQAgAGYAbwByACAAYwBsAGEAcwBzAGUAcwAgAGoAPQAzACwANQBcACIALAAgAFwAIgBkAGEAeQBzAFwAIgAsACAAXAAiAEkAbgBwAHUAdABcACIAOwBcAG4AIAAgACAAIAAgACAAIAAgACAAIABcACIATQBQAFcAXwBtAGEAbgB1AHIAZQBfAGoAMwA1AFwAIgAsACAAXAAiAG0AZQB0AGgAYQBuAGUAIABwAHIAbwBkAHUAYwB0AGkAbwBuACAAZgByAG8AbQAgAG0AYQBuAHUAcgBlACAAbwBmACAAcAByAGUALQB3AGUAYQBuAGUAZAAgAGgAZQBpAGYAZQByACAAYQBuAGQAIABiAHUAbABsACAAYwBhAGwAdgBlAHMAXAAiACwAIABcACIAawBnACAAQwBIADQALwBoAGUAYQBkAC8AZABhAHkAXAAiACwAIABcACIAQwBvAG4AcwB0AGEAbgB0AFwAIgA7AFwAbgAgACAAIAAgACAAIAAgACAAIAAgAFwAIgBEAFAAVwBfAGoAMwA1AFwAIgAsACAAXAAiAGQAdQByAGEAdABpAG8AbgAgAG8AZgAgAHMAdABhAHkAIABvAG4AIABmAGEAcgBtACAAZgBvAHIAIABwAHIAZQAtAHcAZQBhAG4AZQBkACAAaABlAGkAZgBlAHIAIABhAG4AZAAgAGIAdQBsAGwAIABjAGEAbAB2AGUAcwBcACIALAAgAFwAIgBkAGEAeQBzAFwAIgAsACAAXAAiAEkAbgBwAHUAdABcACIAXABuACAAIAAgACAAIAAgACAAIAB9ACwAIAByACwAIABjACkAXABuACAAIAAgACAAIAAgACkAXABuACAAIAAgACAAKQBcAG4AIAAgACkAOwBcAG4AXABuAFYARQBFAFIARwBfADQAXwAzAF8AMQBfADEAXwBfADEAXwBUAG8AdABhAGwAQQBuAG4AdQBhAGwATQBlAHQAaABhAG4AZQBGAHIAbwBtAE0AYQBuAHUAcgBlAE0AYQBuAGEAZwBlAG0AZQBuAHQAXwBWAGEAcgBpAGEAdABpAG8AbgBcAG4AIAAgAD0ATABBAE0AQgBEAEEAKABcACIAVgBBAFIASQBBAFQASQBPAE4AOgAgAFUAcwBlAGQAIABzAGUAcABhAHIAYQB0AGUAIAB2AGEAcgBpAGEAYgBsAGUAIABmAG8AcgAgAGQAdQByAGEAdABpAG8AbgAgAG8AZgAgAHMAdABhAHkAIABvAG4AIABmAGEAcgBtACAAZgBvAHIAIABwAHIAZQAtAHcAZQBhAG4AZQBkACAAaABlAGkAZgBlAHIAIABhAG4AZAAgAGIAdQBsAGwAIABjAGEAbAB2AGUAcwAuAFwAIgApADsAXABuAFwAbgAvACoAXABuAC0ALQAtAC0ALQAtAC0ALQAtAC0ALQAtAC0ALQAtAC0ALQAtAC0ALQAtAC0ALQAtAC0ALQAtAC0ALQAtAC0ALQAtAC0ALQAtAC0ALQBcAG4AVgBFAEUAUgBHAF8ANABfADMAXwAxAF8AMQBfAF8AMgBfAE0AZQB0AGgAYQBuAGUARgByAG8AbQBNAGEAbgB1AHIAZQBQAHIAbwBkAHUAYwB0AGkAbwBuAFwAbgBNAGUAdABoAGEAbgBlACAAZgByAG8AbQAgAG0AYQBuAHUAcgBlACAAcAByAG8AZAB1AGMAdABpAG8AbgAgAGYAcgBvAG0AIAB3AGUAYQBuAGUAZAAgAGQAYQBpAHIAeQAgAGMAYQB0AHQAbABlAFwAbgBNAF8AagBtAFwAbgBrAGcAIABDAEgANAAvAGgAZQBhAGQALwBkAGEAeQBcAG4ATQBfAHsAagBtAH0APQBWAFMAXwBqAFwAXAB0AGkAbQBlAHMAIABGAFYAUwBfAHsAagBtACwAVAA9ADEAfQBcAFwAdABpAG0AZQBzACAATQBDAEYAXwB7AGkAbQB9AFwAXAB0AGkAbQBlAHMAIABCAF8AbwBcAFwAdABpAG0AZQBzACAAXABcAHIAaABvAFwAbgBWAFMAXwBqACAAPQAgAGQAYQBpAGwAeQAgAHYAbwBsAGEAdABpAGwAZQAgAHMAbwBsAGkAZABzACAAcAByAG8AZAB1AGMAdABpAG8AbgAgAHAAZQByACAAaABlAGEAZAAgAGYAbwByACAAZABhAGkAcgB5ACAAYwBhAHQAdABsAGUAIAAoAGsAZwAvAGgAZQBhAGQALwBkAGEAeQApAFwAbgBGAFYAUwBfAGoAbQBUADEAIAA9ACAAZgByAGEAYwB0AGkAbwBuACAAbwBmACAAdwBhAHMAdABlACAAZgByAG8AbQAgAGUAYQBjAGgAIABjAGwAYQBzAHMAIABpAG4AIABlAGEAYwBoACAAbQBhAG4AYQBnAGUAbQBlAG4AdAAgAHMAeQBzAHQAZQBtAFwAbgBNAEMARgBfAGkAbQAgAD0AIABtAGUAdABoAGEAbgBlACAAYwBvAG4AdgBlAHIAcwBpAG8AbgAgAGYAYQBjAHQAbwByACAAZgBvAHIAIAB0AGUAbQBwAGUAcgBhAHQAdQByAGUAIAB6AG8AbgBlACAAYQBuAGQAIABNAE0AUwBcAG4AQgBfAG8AIAA9ACAAZQBtAGkAcwBzAGkAbwBuAHMAIABwAG8AdABlAG4AdABpAGEAbAAgACgAbQAzACAAQwBIADQALwBrAGcAVgBTACkAXABuAHIAaABvACAAPQAgAGQAZQBuAHMAaQB0AHkAIABvAGYAIABtAGUAdABoAGEAbgBlACAAKABrAGcALwBtADMAKQBcAG4ALQAtAC0ALQAtAC0ALQAtAC0ALQAtAC0ALQAtAC0ALQAtAC0ALQAtAC0ALQAtAC0ALQAtAC0ALQAtAC0ALQAtAC0ALQAtAC0ALQAtAFwAbgAqAC8AXABuAFwAbgBWAEUARQBSAEcAXwA0AF8AMwBfADEAXwAxAF8AXwAyAF8ATQBlAHQAaABhAG4AZQBGAHIAbwBtAE0AYQBuAHUAcgBlAFAAcgBvAGQAdQBjAHQAaQBvAG4AXABuACAAIAA9AEwAQQBNAEIARABBACgAXABuACAAIAAgACAAVgBTAF8AagAsACAARgBWAFMAXwBqAG0AVAAxACwAIABNAEMARgBfAGkAbQAsACAAQgBfAG8ALAAgAHIAaABvACwAXABuACAAIAAgACAAVgBTAF8AagAgACoAIABGAFYAUwBfAGoAbQBUADEAIAAqACAATQBDAEYAXwBpAG0AIAAqACAAQgBfAG8AIAAqACAAcgBoAG8AXABuACAAIAApADsAXABuAFwAbgBWAEUARQBSAEcAXwA0AF8AMwBfADEAXwAxAF8AXwAyAF8ATQBlAHQAaABhAG4AZQBGAHIAbwBtAE0AYQBuAHUAcgBlAFAAcgBvAGQAdQBjAHQAaQBvAG4AXwBUAGkAdABsAGUAXABuACAAIAA9AEwAQQBNAEIARABBACgAXAAiAE0AZQB0AGgAYQBuAGUAIABmAHIAbwBtACAAbQBhAG4AdQByAGUAIABwAHIAbwBkAHUAYwB0AGkAbwBuACAAZgByAG8AbQAgAHcAZQBhAG4AZQBkACAAZABhAGkAcgB5ACAAYwBhAHQAdABsAGUAXAAiACkAOwBcAG4AXABuAFYARQBFAFIARwBfADQAXwAzAF8AMQBfADEAXwBfADIAXwBNAGUAdABoAGEAbgBlAEYAcgBvAG0ATQBhAG4AdQByAGUAUAByAG8AZAB1AGMAdABpAG8AbgBfAFYAYQByAGkAYQBiAGwAZQBcAG4AIAAgAD0ATABBAE0AQgBEAEEAKABcACIATQBfAGoAbQBcACIAKQA7AFwAbgBcAG4AVgBFAEUAUgBHAF8ANABfADMAXwAxAF8AMQBfAF8AMgBfAE0AZQB0AGgAYQBuAGUARgByAG8AbQBNAGEAbgB1AHIAZQBQAHIAbwBkAHUAYwB0AGkAbwBuAF8AVQBuAGkAdABcAG4AIAAgAD0ATABBAE0AQgBEAEEAKABcACIAawBnACAAQwBIADQALwBoAGUAYQBkAC8AZABhAHkAXAAiACkAOwBcAG4AXABuAFYARQBFAFIARwBfADQAXwAzAF8AMQBfADEAXwBfADIAXwBNAGUAdABoAGEAbgBlAEYAcgBvAG0ATQBhAG4AdQByAGUAUAByAG8AZAB1AGMAdABpAG8AbgBfAFMAbwB1AHIAYwBlAFwAbgAgACAAPQBMAEEATQBCAEQAQQAoAFwAIgBWAEUARQBSAEcAIAAyADAAMgA2ADoAIAA0AC4AMwAuADEALgAxACwAIABFAHEAdQBhAHQAaQBvAG4AIAAoADIAKQBcACIAKQA7AFwAbgBcAG4AVgBFAEUAUgBHAF8ANABfADMAXwAxAF8AMQBfAF8AMgBfAE0AZQB0AGgAYQBuAGUARgByAG8AbQBNAGEAbgB1AHIAZQBQAHIAbwBkAHUAYwB0AGkAbwBuAF8ATgBJAFIAUgBlAGYAZQByAGUAbgBjAGUAXABuACAAIAA9AEwAQQBNAEIARABBACgAXAAiAFwAIgApADsAXABuAFwAbgBWAEUARQBSAEcAXwA0AF8AMwBfADEAXwAxAF8AXwAyAF8ATQBlAHQAaABhAG4AZQBGAHIAbwBtAE0AYQBuAHUAcgBlAFAAcgBvAGQAdQBjAHQAaQBvAG4AXwBMAGEAdABlAHgARQBxAHUAYQB0AGkAbwBuAFwAbgAgACAAPQBMAEEATQBCAEQAQQAoAFwAIgBNAF8AewBqAG0AfQA9AFYAUwBfAGoAXABcAHQAaQBtAGUAcwAgAEYAVgBTAF8AewBqAG0ALABUAD0AMQB9AFwAXAB0AGkAbQBlAHMAIABNAEMARgBfAHsAaQBtAH0AXABcAHQAaQBtAGUAcwAgAEIAXwBvAFwAXAB0AGkAbQBlAHMAIABcAFwAcgBoAG8AXAAiACkAOwBcAG4AXABuAFYARQBFAFIARwBfADQAXwAzAF8AMQBfADEAXwBfADIAXwBNAGUAdABoAGEAbgBlAEYAcgBvAG0ATQBhAG4AdQByAGUAUAByAG8AZAB1AGMAdABpAG8AbgBfAEEAcgBnAHUAbQBlAG4AdABzAFwAbgAgACAAPQBMAEEATQBCAEQAQQAoAFwAbgAgACAAIAAgAE0AQQBLAEUAQQBSAFIAQQBZACgANgAsACAANAAsAFwAbgAgACAAIAAgACAAIABMAEEATQBCAEQAQQAoAHIALABjACwAXABuACAAIAAgACAAIAAgACAAIABJAE4ARABFAFgAKAB7AFwAbgAgACAAIAAgACAAIAAgACAAIAAgAFwAIgBWAFMAXwBqAFwAIgAsACAAXAAiAGQAYQBpAGwAeQAgAHYAbwBsAGEAdABpAGwAZQAgAHMAbwBsAGkAZABzACAAcAByAG8AZAB1AGMAdABpAG8AbgAgAHAAZQByACAAaABlAGEAZAAgAGYAbwByACAAZABhAGkAcgB5ACAAYwBhAHQAdABsAGUAIAAoAGsAZwAvAGgAZQBhAGQALwBkAGEAeQApAFwAIgAsACAAXAAiAGsAZwAvAGgAZQBhAGQALwBkAGEAeQBcACIALAAgAFwAIgBDAGEAbABjAHUAbABhAHQAZQBkACAAZgByAG8AbQAgADQALgAzAC4AMQAuADEAIAAoADMAKQBcACIAOwBcAG4AIAAgACAAIAAgACAAIAAgACAAIABcACIARgBWAFMAXwBqAG0AVAAxAFwAIgAsACAAXAAiAGYAcgBhAGMAdABpAG8AbgAgAG8AZgAgAHcAYQBzAHQAZQAgAGYAcgBvAG0AIABlAGEAYwBoACAAYwBsAGEAcwBzACAAaQBuACAAZQBhAGMAaAAgAG0AYQBuAGEAZwBlAG0AZQBuAHQAIABzAHkAcwB0AGUAbQBcACIALAAgAFwAIgBmAHIAYQBjAHQAaQBvAG4AXAAiACwAIABcACIAQwBhAGwAYwB1AGwAYQB0AGUAZAAgAGYAcgBvAG0AIAA0AC4AMwAuADEALgAxACAAKAA0ACkAKAA1ACkAXAAiADsAXABuACAAIAAgACAAIAAgACAAIAAgACAAXAAiAE0AQwBGAF8AaQBtAFwAIgAsACAAXAAiAG0AZQB0AGgAYQBuAGUAIABjAG8AbgB2AGUAcgBzAGkAbwBuACAAZgBhAGMAdABvAHIAIABmAG8AcgAgAHQAZQBtAHAAZQByAGEAdAB1AHIAZQAgAHoAbwBuAGUAIABhAG4AZAAgAE0ATQBTAFwAIgAsACAAXAAiAGYAcgBhAGMAdABpAG8AbgBcACIALAAgAFwAIgBDAG8AbgBzAHQAYQBuAHQAXAAiADsAXABuACAAIAAgACAAIAAgACAAIAAgACAAXAAiAEIAXwBvAFwAIgAsACAAXAAiAGUAbQBpAHMAcwBpAG8AbgBzACAAcABvAHQAZQBuAHQAaQBhAGwAIAAoAG0AMwAgAEMASAA0AC8AawBnAFYAUwApAFwAIgAsACAAXAAiAG0AMwAgAEMASAA0AC8AawBnAFYAUwBcACIALAAgAFwAIgBDAG8AbgBzAHQAYQBuAHQAXAAiADsAXABuACAAIAAgACAAIAAgACAAIAAgACAAXAAiAHIAaABvAFwAIgAsACAAXAAiAGQAZQBuAHMAaQB0AHkAIABvAGYAIABtAGUAdABoAGEAbgBlACAAKABrAGcALwBtADMAKQBcACIALAAgAFwAIgBrAGcALwBtADMAXAAiACwAIABcACIAQwBvAG4AcwB0AGEAbgB0AFwAIgA7AFwAbgAgACAAIAAgACAAIAAgACAAIAAgAFwAIgBpAFwAIgAsACAAXAAiAHMAdABhAHQAZQBcACIALAAgAFwAIgBzAHQAYQB0AGUAXAAiACwAIABcACIASQBuAHAAdQB0AFwAIgBcAG4AIAAgACAAIAAgACAAIAAgAH0ALAAgAHIALAAgAGMAKQBcAG4AIAAgACAAIAAgACAAKQBcAG4AIAAgACAAIAApAFwAbgAgACAAKQA7AFwAbgBcAG4AVgBFAEUAUgBHAF8ANABfADMAXwAxAF8AMQBfAF8AMgBfAE0AZQB0AGgAYQBuAGUARgByAG8AbQBNAGEAbgB1AHIAZQBQAHIAbwBkAHUAYwB0AGkAbwBuAF8AQQByAGcAdQBtAGUAbgB0AHMAXwBNAGUAdABoAG8AZAAyAFwAbgAgACAAPQBMAEEATQBCAEQAQQAoAFwAbgAgACAAIAAgAE0AQQBLAEUAQQBSAFIAQQBZACgANgAsACAANAAsAFwAbgAgACAAIAAgACAAIABMAEEATQBCAEQAQQAoAHIALABjACwAXABuACAAIAAgACAAIAAgACAAIABJAE4ARABFAFgAKAB7AFwAbgAgACAAIAAgACAAIAAgACAAIAAgAFwAIgBWAFMAXwBqAFwAIgAsACAAXAAiAGQAYQBpAGwAeQAgAHYAbwBsAGEAdABpAGwAZQAgAHMAbwBsAGkAZABzACAAcAByAG8AZAB1AGMAdABpAG8AbgAgAHAAZQByACAAaABlAGEAZAAgAGYAbwByACAAZABhAGkAcgB5ACAAYwBhAHQAdABsAGUAIAAoAGsAZwAvAGgAZQBhAGQALwBkAGEAeQApAFwAIgAsACAAXAAiAGsAZwAvAGgAZQBhAGQALwBkAGEAeQBcACIALAAgAFwAIgBDAGEAbABjAHUAbABhAHQAZQBkACAAZgByAG8AbQAgADQALgAzAC4AMQAuADEAIAAoADMAKQBcACIAOwBcAG4AIAAgACAAIAAgACAAIAAgACAAIABcACIARgBWAFMAXwBqAG0AVAAxAFwAIgAsACAAXAAiAGYAcgBhAGMAdABpAG8AbgAgAG8AZgAgAHcAYQBzAHQAZQAgAGYAcgBvAG0AIABlAGEAYwBoACAAYwBsAGEAcwBzACAAaQBuACAAZQBhAGMAaAAgAG0AYQBuAGEAZwBlAG0AZQBuAHQAIABzAHkAcwB0AGUAbQBcACIALAAgAFwAIgBmAHIAYQBjAHQAaQBvAG4AXAAiACwAIABcACIAQwBhAGwAYwB1AGwAYQB0AGUAZAAgAGYAcgBvAG0AIAA0AC4AMwAuADEALgAxACAAKAA0ACkAKAA1ACkAXAAiADsAXABuACAAIAAgACAAIAAgACAAIAAgACAAXAAiAE0AQwBGAF8AaQBtAFwAIgAsACAAXAAiAG0AZQB0AGgAYQBuAGUAIABjAG8AbgB2AGUAcgBzAGkAbwBuACAAZgBhAGMAdABvAHIAIABmAG8AcgAgAHQAZQBtAHAAZQByAGEAdAB1AHIAZQAgAHoAbwBuAGUAIABhAG4AZAAgAE0ATQBTAFwAIgAsACAAXAAiAGYAcgBhAGMAdABpAG8AbgBcACIALAAgAFwAIgBDAG8AbgBzAHQAYQBuAHQAXAAiADsAXABuACAAIAAgACAAIAAgACAAIAAgACAAXAAiAEIAXwBvAFwAIgAsACAAXAAiAGUAbQBpAHMAcwBpAG8AbgBzACAAcABvAHQAZQBuAHQAaQBhAGwAIAAoAG0AMwAgAEMASAA0AC8AawBnAFYAUwApAFwAIgAsACAAXAAiAG0AMwAgAEMASAA0AC8AawBnAFYAUwBcACIALAAgAFwAIgBDAG8AbgBzAHQAYQBuAHQAXAAiADsAXABuACAAIAAgACAAIAAgACAAIAAgACAAXAAiAHIAaABvAFwAIgAsACAAXAAiAGQAZQBuAHMAaQB0AHkAIABvAGYAIABtAGUAdABoAGEAbgBlACAAKABrAGcALwBtADMAKQBcACIALAAgAFwAIgBrAGcALwBtADMAXAAiACwAIABcACIAQwBvAG4AcwB0AGEAbgB0AFwAIgA7AFwAbgAgACAAIAAgACAAIAAgACAAIAAgAFwAIgBNAEEAVABcACIALAAgAFwAIgBNAGUAYQBuACAAYQBuAG4AdQBhAGwAIAB0AGUAbQBwAGUAcgBhAHQAdQByAGUAXAAiACwAIABcACIAsABD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wBfADEAXwAxAF8AXwAzAF8AVgBvAGwAYQB0AGkAbABlAFMAbwBsAGkAZABzAEYAbwByAFcAZQBhAG4AZQBkAEQAYQBpAHIAeQBDAGEAdAB0AGwAZQBcAG4AVgBvAGwAYQB0AGkAbABlACAAcwBvAGwAaQBkAHMAIABmAG8AcgAgAHcAZQBhAG4AZQBkACAAZABhAGkAcgB5ACAAYwBhAHQAdABsAGUAXABuAFYAUwBfAGoAXABuAGsAZwAvAGgAZQBhAGQALwBkAGEAeQBcAG4AVgBTAF8AagA9ACgASQBfAGoAXABcAHQAaQBtAGUAcwAgACgAMQAtAEQATQBEAF8AagApACsAKAAwAC4AMAA0AFwAXAB0AGkAbQBlAHMAIABJAF8AagApACkAXABcAHQAaQBtAGUAcwAgACgAMQAtAEEAKQBcAG4ASQBfAGoAIAA9ACAAZAByAHkAIABtAGEAdAB0AGUAcgAgAGYAZQBlAGQAIABpAG4AdABhAGsAZQAgACgAawBnAEQATQAvAGgAZQBhAGQALwBkAGEAeQApAFwAbgBEAE0ARABfAGoAIAA9ACAAZAByAHkAIABtAGEAdAB0AGUAcgAgAGQAaQBnAGUAcwB0AGkAYgBpAGwAaQB0AHkAXABuAEEAIAA9ACAAYQBzAGgAIABjAG8AbgB0AGUAbgB0ACAAbwBmACAAZgBlAGUAZAAgAGkAbgB0AGEAawBlAFwAbgAtAC0ALQAtAC0ALQAtAC0ALQAtAC0ALQAtAC0ALQAtAC0ALQAtAC0ALQAtAC0ALQAtAC0ALQAtAC0ALQAtAC0ALQAtAC0ALQAtAC0AXABuACoALwBcAG4AXABuAFYARQBFAFIARwBfADQAXwAzAF8AMQBfADEAXwBfADMAXwBWAG8AbABhAHQAaQBsAGUAUwBvAGwAaQBkAHMARgBvAHIAVwBlAGEAbgBlAGQARABhAGkAcgB5AEMAYQB0AHQAbABlAFwAbgAgACAAPQBMAEEATQBCAEQAQQAoAFwAbgAgACAAIAAgAEkAXwBqACwAIABEAE0ARABfAGoALAAgAEEALABcAG4AIAAgACAAIAAoAEkAXwBqACAAKgAgACgAMQAgAC0AIABEAE0ARABfAGoAKQAgACsAIAAoADAALgAwADQAIAAqACAASQBfAGoAKQApACAAKgAgACgAMQAgAC0AIABBACkAXABuACAAIAApADsAXABuAFwAbgBWAEUARQBSAEcAXwA0AF8AMwBfADEAXwAxAF8AXwAzAF8AVgBvAGwAYQB0AGkAbABlAFMAbwBsAGkAZABzAEYAbwByAFcAZQBhAG4AZQBkAEQAYQBpAHIAeQBDAGEAdAB0AGwAZQBfAFQAaQB0AGwAZQBcAG4AIAAgAD0ATABBAE0AQgBEAEEAKABcACIAVgBvAGwAYQB0AGkAbABlACAAcwBvAGwAaQBkAHMAIABmAG8AcgAgAHcAZQBhAG4AZQBkACAAZABhAGkAcgB5ACAAYwBhAHQAdABsAGUAXAAiACkAOwBcAG4AXABuAFYARQBFAFIARwBfADQAXwAzAF8AMQBfADEAXwBfADMAXwBWAG8AbABhAHQAaQBsAGUAUwBvAGwAaQBkAHMARgBvAHIAVwBlAGEAbgBlAGQARABhAGkAcgB5AEMAYQB0AHQAbABlAF8AVgBhAHIAaQBhAGIAbABlAFwAbgAgACAAPQBMAEEATQBCAEQAQQAoAFwAIgBWAFMAXwBqAFwAIgApADsAXABuAFwAbgBWAEUARQBSAEcAXwA0AF8AMwBfADEAXwAxAF8AXwAzAF8AVgBvAGwAYQB0AGkAbABlAFMAbwBsAGkAZABzAEYAbwByAFcAZQBhAG4AZQBkAEQAYQBpAHIAeQBDAGEAdAB0AGwAZQBfAFUAbgBpAHQAXABuACAAIAA9AEwAQQBNAEIARABBACgAXAAiAGsAZwAvAGgAZQBhAGQALwBkAGEAeQBcACIAKQA7AFwAbgBcAG4AVgBFAEUAUgBHAF8ANABfADMAXwAxAF8AMQBfAF8AMwBfAFYAbwBsAGEAdABpAGwAZQBTAG8AbABpAGQAcwBGAG8AcgBXAGUAYQBuAGUAZABEAGEAaQByAHkAQwBhAHQAdABsAGUAXwBTAG8AdQByAGMAZQBcAG4AIAAgAD0ATABBAE0AQgBEAEEAKABcACIAVgBFAEUAUgBHACAAMgAwADIANgA6ACAANAAuADMALgAxAC4AMQAsACAARQBxAHUAYQB0AGkAbwBuACAAKAAzACkAXAAiACkAOwBcAG4AXABuAFYARQBFAFIARwBfADQAXwAzAF8AMQBfADEAXwBfADMAXwBWAG8AbABhAHQAaQBsAGUAUwBvAGwAaQBkAHMARgBvAHIAVwBlAGEAbgBlAGQARABhAGkAcgB5AEMAYQB0AHQAbABlAF8ATgBJAFIAUgBlAGYAZQByAGUAbgBjAGUAXABuACAAIAA9AEwAQQBNAEIARABBACgAXAAiAFwAIgApADsAXABuAFwAbgBWAEUARQBSAEcAXwA0AF8AMwBfADEAXwAxAF8AXwAzAF8AVgBvAGwAYQB0AGkAbABlAFMAbwBsAGkAZABzAEYAbwByAFcAZQBhAG4AZQBkAEQAYQBpAHIAeQBDAGEAdAB0AGwAZQBfAEwAYQB0AGUAeABFAHEAdQBhAHQAaQBvAG4AXABuACAAIAA9AEwAQQBNAEIARABBACgAXAAiAFYAUwBfAGoAPQAoAEkAXwBqAFwAXAB0AGkAbQBlAHMAIAAoADEALQBEAE0ARABfAGoAKQArACgAMAAuADAANABcAFwAdABpAG0AZQBzACAASQBfAGoAKQApAFwAXAB0AGkAbQBlAHMAIAAoADEALQBBACkAXAAiACkAOwBcAG4AXABuAFYARQBFAFIARwBfADQAXwAzAF8AMQBfADEAXwBfADMAXwBWAG8AbABhAHQAaQBsAGUAUwBvAGwAaQBkAHMARgBvAHIAVwBlAGEAbgBlAGQARABhAGkAcgB5AEMAYQB0AHQAbABlAF8AQQByAGcAdQBtAGUAbgB0AHMAXABuACAAIAA9AEwAQQBNAEIARABBACgAXABuACAAIAAgACAATQBBAEsARQBBAFIAUgBBAFkAKAAzACwAIAA0ACwAXABuACAAIAAgACAAIAAgAEwAQQBNAEIARABBACgAcgAsAGMALABcAG4AIAAgACAAIAAgACAAIAAgAEkATgBEAEUAWAAoAHsAXABuACAAIAAgACAAIAAgACAAIAAgACAAXAAiAEkAXwBqAFwAIgAsACAAXAAiAGQAcgB5ACAAbQBhAHQAdABlAHIAIABmAGUAZQBkACAAaQBuAHQAYQBrAGUAIAAoAGsAZwBEAE0ALwBoAGUAYQBkAC8AZABhAHkAKQBcACIALAAgAFwAIgBrAGcARABNAC8AaABlAGEAZAAvAGQAYQB5AFwAIgAsACAAXAAiAEMAYQBsAGMAdQBsAGEAdABlAGQAIABmAHIAbwBtACAAMwAuADMALgAxAC4AMQAgACgAMwApAFwAIgA7AFwAbgAgACAAIAAgACAAIAAgACAAIAAgAFwAIgBEAE0ARABfAGoAXAAiACwAIABcACIAZAByAHkAIABtAGEAdAB0AGUAcgAgAGQAaQBnAGUAcwB0AGkAYgBpAGwAaQB0AHkAXAAiACwAIABcACIAZgByAGEAYwB0AGkAbwBuAFwAIgAsACAAXAAiAEkAbgBwAHUAdABcACIAOwBcAG4AIAAgACAAIAAgACAAIAAgACAAIABcACIAQQBcACIALAAgAFwAIgBhAHMAaAAgAGMAbwBuAHQAZQBuAHQAIABvAGYAIABmAGUAZQBkACAAaQBuAHQAYQBrAGUAXAAiACwAIABcACIAZgByAGEAYwB0AGkAbwBu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0AF8AMwBfADEAXwAxAF8AXwA0AF8ARgByAGEAYwB0AGkAbwBuAFYAbwBsAGEAdABpAGwAZQBTAG8AbABpAGQAcwBOAG8AdABTAG8AbABpAGQAUwB0AG8AcgBhAGcAZQBcAG4ARgByAGEAYwB0AGkAbwBuACAAbwBmACAAdgBvAGwAYQB0AGkAbABlACAAcwBvAGwAaQBkAHMAIABpAG4AIABlAGEAYwBoACAAcwB5AHMAdABlAG0AIABvAHQAaABlAHIAIAB0AGgAYQBuACAAcwBvAGwAaQBkACAAcwB0AG8AcgBhAGcAZQBcAG4ARgBWAFMAXwBqAG0AXABuAGYAcgBhAGMAdABpAG8AbgBcAG4ARgBWAFMAXwB7AGoAbQB9AD0ATQBNAFMAXwB7AGoAbQB9AFwAXAB0AGkAbQBlAHMAIAAoADEALQBTAFMAXwBtACkAXABuAFMAUwBfAG0AIAA9ACAAZgByAGEAYwB0AGkAbwBuACAAbwBmACAAdgBvAGwAYQB0AGkAbABlACAAcwBvAGwAaQBkAHMAIABzAGUAcABhAHIAYQB0AGUAZAAgAHQAbwAgAHMAbwBsAGkAZAAgAHMAdABvAHIAYQBnAGUAIABmAG8AcgAgAGUAYQBjAGgAIABNAE0AUwBcAG4ATQBNAFMAXwBqAG0AIAA9ACAAZgByAGEAYwB0AGkAbwBuACAAbwBmACAAbQBhAG4AdQByAGUAIAB0AG8AIABlAGEAYwBoACAAcAByAGkAbQBhAHIAeQAgAE0ATQBTACAAZgBvAHIAIABlAGEAYwBoACAAYwBsAGEAcwBzACAAcAByAGkAbwByACAAdABvACAAcwBvAGwAaQBkACAAcwBlAHAAYQByAGEAdABpAG8AbgBcAG4ALQAtAC0ALQAtAC0ALQAtAC0ALQAtAC0ALQAtAC0ALQAtAC0ALQAtAC0ALQAtAC0ALQAtAC0ALQAtAC0ALQAtAC0ALQAtAC0ALQAtAFwAbgAqAC8AXABuAFwAbgBWAEUARQBSAEcAXwA0AF8AMwBfADEAXwAxAF8AXwA0AF8ARgByAGEAYwB0AGkAbwBuAFYAbwBsAGEAdABpAGwAZQBTAG8AbABpAGQAcwBOAG8AdABTAG8AbABpAGQAUwB0AG8AcgBhAGcAZQBcAG4AIAAgAD0ATABBAE0AQgBEAEEAKABcAG4AIAAgACAAIABNAE0AUwBfAGoAbQAsACAAUwBTAF8AbQAsAFwAbgAgACAAIAAgAE0ATQBTAF8AagBtACAAKgAgACgAMQAgAC0AIABTAFMAXwBtACkAXABuACAAIAApADsAXABuAFwAbgBWAEUARQBSAEcAXwA0AF8AMwBfADEAXwAxAF8AXwA0AF8ARgByAGEAYwB0AGkAbwBuAFYAbwBsAGEAdABpAGwAZQBTAG8AbABpAGQAcwBOAG8AdABTAG8AbABpAGQAUwB0AG8AcgBhAGcAZQBfAFQAaQB0AGwAZQBcAG4AIAAgAD0ATABBAE0AQgBEAEEAKABcACIARgByAGEAYwB0AGkAbwBuACAAbwBmACAAdgBvAGwAYQB0AGkAbABlACAAcwBvAGwAaQBkAHMAIABpAG4AIABlAGEAYwBoACAAcwB5AHMAdABlAG0AIABvAHQAaABlAHIAIAB0AGgAYQBuACAAcwBvAGwAaQBkACAAcwB0AG8AcgBhAGcAZQBcACIAKQA7AFwAbgBcAG4AVgBFAEUAUgBHAF8ANABfADMAXwAxAF8AMQBfAF8ANABfAEYAcgBhAGMAdABpAG8AbgBWAG8AbABhAHQAaQBsAGUAUwBvAGwAaQBkAHMATgBvAHQAUwBvAGwAaQBkAFMAdABvAHIAYQBnAGUAXwBWAGEAcgBpAGEAYgBsAGUAXABuACAAIAA9AEwAQQBNAEIARABBACgAXAAiAEYAVgBTAF8AagBtAFwAIgApADsAXABuAFwAbgBWAEUARQBSAEcAXwA0AF8AMwBfADEAXwAxAF8AXwA0AF8ARgByAGEAYwB0AGkAbwBuAFYAbwBsAGEAdABpAGwAZQBTAG8AbABpAGQAcwBOAG8AdABTAG8AbABpAGQAUwB0AG8AcgBhAGcAZQBfAFUAbgBpAHQAXABuACAAIAA9AEwAQQBNAEIARABBACgAXAAiAGYAcgBhAGMAdABpAG8AbgBcACIAKQA7AFwAbgBcAG4AVgBFAEUAUgBHAF8ANABfADMAXwAxAF8AMQBfAF8ANABfAEYAcgBhAGMAdABpAG8AbgBWAG8AbABhAHQAaQBsAGUAUwBvAGwAaQBkAHMATgBvAHQAUwBvAGwAaQBkAFMAdABvAHIAYQBnAGUAXwBTAG8AdQByAGMAZQBcAG4AIAAgAD0ATABBAE0AQgBEAEEAKABcACIAVgBFAEUAUgBHACAAMgAwADIANgA6ACAANAAuADMALgAxAC4AMQAsACAARQBxAHUAYQB0AGkAbwBuACAAKAA0ACkAXAAiACkAOwBcAG4AXABuAFYARQBFAFIARwBfADQAXwAzAF8AMQBfADEAXwBfADQAXwBGAHIAYQBjAHQAaQBvAG4AVgBvAGwAYQB0AGkAbABlAFMAbwBsAGkAZABzAE4AbwB0AFMAbwBsAGkAZABTAHQAbwByAGEAZwBlAF8ATgBJAFIAUgBlAGYAZQByAGUAbgBjAGUAXABuACAAIAA9AEwAQQBNAEIARABBACgAXAAiAFwAIgApADsAXABuAFwAbgBWAEUARQBSAEcAXwA0AF8AMwBfADEAXwAxAF8AXwA0AF8ARgByAGEAYwB0AGkAbwBuAFYAbwBsAGEAdABpAGwAZQBTAG8AbABpAGQAcwBOAG8AdABTAG8AbABpAGQAUwB0AG8AcgBhAGcAZQBfAEwAYQB0AGUAeABFAHEAdQBhAHQAaQBvAG4AXABuACAAIAA9AEwAQQBNAEIARABBACgAXAAiAEYAVgBTAF8AewBqAG0AfQA9AE0ATQBTAF8AewBqAG0AfQBcAFwAdABpAG0AZQBzACAAKAAxAC0AUwBTAF8AbQApAFwAIgApADsAXABuAFwAbgBWAEUARQBSAEcAXwA0AF8AMwBfADEAXwAxAF8AXwA0AF8ARgByAGEAYwB0AGkAbwBuAFYAbwBsAGEAdABpAGwAZQBTAG8AbABpAGQAcwBOAG8AdABTAG8AbABpAGQAUwB0AG8AcgBhAGcAZQBfAEEAcgBnAHUAbQBlAG4AdABzAFwAbgAgACAAPQBMAEEATQBCAEQAQQAoAFwAbgAgACAAIAAgAE0AQQBLAEUAQQBSAFIAQQBZACgAMgAsACAANAAsAFwAbgAgACAAIAAgACAAIABMAEEATQBCAEQAQQAoAHIALABjACwAXABuACAAIAAgACAAIAAgACAAIABJAE4ARABFAFgAKAB7AFwAbgAgACAAIAAgACAAIAAgACAAIAAgAFwAIgBNAE0AUwBfAGoAbQBcACIALAAgAFwAIgBmAHIAYQBjAHQAaQBvAG4AIABvAGYAIABtAGEAbgB1AHIAZQAgAHQAbwAgAGUAYQBjAGgAIABwAHIAaQBtAGEAcgB5ACAATQBNAFMAIABmAG8AcgAgAGUAYQBjAGgAIABjAGwAYQBzAHMAIABwAHIAaQBvAHIAIAB0AG8AIABzAG8AbABpAGQAIABzAGUAcABhAHIAYQB0AGkAbwBuAFwAIgAsACAAXAAiAGYAcgBhAGMAdABpAG8AbgBcACIALAAgAFwAIgBJAG4AcAB1AHQAXAAiADsAXABuACAAIAAgACAAIAAgACAAIAAgACAAXAAiAFMAUwBfAG0AXAAiACwAIABcACIAZgByAGEAYwB0AGkAbwBuACAAbwBmACAAdgBvAGwAYQB0AGkAbABlACAAcwBvAGwAaQBkAHMAIABzAGUAcABhAHIAYQB0AGUAZAAgAHQAbwAgAHMAbwBsAGkAZAAgAHMAdABvAHIAYQBnAGUAIABmAG8AcgAgAGUAYQBjAGgAIABNAE0AUwBcACIALAAgAFwAIgBmAHIAYQBjAHQAaQBvAG4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zAF8AMQBfADEAXwBfADUAXwBGAHIAYQBjAHQAaQBvAG4AVgBvAGwAYQB0AGkAbABlAFMAbwBsAGkAZABzAFMAbwBsAGkAZABTAHQAbwByAGEAZwBlAFwAbgBGAHIAYQBjAHQAaQBvAG4AIABvAGYAIAB2AG8AbABhAHQAaQBsAGUAIABzAG8AbABpAGQAcwAgAGkAbgAgAHMAbwBsAGkAZAAgAHMAdABvAHIAYQBnAGUAXABuAEYAVgBTAF8AagBtADQAXABuAGYAcgBhAGMAdABpAG8AbgBcAG4ARgBWAFMAXwB7AGoAbQA9ADQAfQA9AE0ATQBTAF8AewBqAG0APQA0AH0AKwAoAE0ATQBTAF8AewBqAG0APQAxACwANwAsADkAfQBcAFwAdABpAG0AZQBzACAAUwBTAF8AbQApAFwAbgBNAE0AUwBfAGoAbQA0ACAAPQAgAGYAcgBhAGMAdABpAG8AbgAgAG8AZgAgAHYAbwBsAGEAdABpAGwAZQAgAHMAbwBsAGkAZABzACAAaQBuACAAcwBvAGwAaQBkACAAcwB0AG8AcgBhAGcAZQAgAGIAZQBmAG8AcgBlACAAdAByAGEAbgBzAGYAZQByAFwAbgBNAE0AUwBfAGoAbQAxADcAOQAgAD0AIABmAHIAYQBjAHQAaQBvAG4AIABvAGYAIAB2AG8AbABhAHQAaQBsAGUAIABzAG8AbABpAGQAcwAgAGkAbgAgAE0ATQBTACAAbQA9ADEALAA3ACwAOQAgAGIAZQBmAG8AcgBlACAAdAByAGEAbgBzAGYAZQByAFwAbgBTAFMAXwBtACAAPQAgAGYAcgBhAGMAdABpAG8AbgAgAG8AZgAgAHYAbwBsAGEAdABpAGwAZQAgAHMAbwBsAGkAZABzACAAcwBlAHAAYQByAGEAdABlAGQAIAB0AG8AIABzAG8AbABpAGQAIABzAHQAbwByAGEAZwBlACAAZgBvAHIAIABlAGEAYwBoACAATQBNAFMAXABuAC0ALQAtAC0ALQAtAC0ALQAtAC0ALQAtAC0ALQAtAC0ALQAtAC0ALQAtAC0ALQAtAC0ALQAtAC0ALQAtAC0ALQAtAC0ALQAtAC0ALQBcAG4AKgAvAFwAbgBcAG4AVgBFAEUAUgBHAF8ANABfADMAXwAxAF8AMQBfAF8ANQBfAEYAcgBhAGMAdABpAG8AbgBWAG8AbABhAHQAaQBsAGUAUwBvAGwAaQBkAHMAUwBvAGwAaQBkAFMAdABvAHIAYQBnAGUAXABuACAAIAA9AEwAQQBNAEIARABBACgAXABuACAAIAAgACAATQBNAFMAXwBqAG0ANAAsACAATQBNAFMAXwBqAG0AMQA3ADkALAAgAFMAUwBfAG0ALABcAG4AIAAgACAAIABNAE0AUwBfAGoAbQA0ACAAKwAgACgATQBNAFMAXwBqAG0AMQA3ADkAIAAqACAAUwBTAF8AbQApAFwAbgAgACAAKQA7AFwAbgBcAG4AVgBFAEUAUgBHAF8ANABfADMAXwAxAF8AMQBfAF8ANQBfAEYAcgBhAGMAdABpAG8AbgBWAG8AbABhAHQAaQBsAGUAUwBvAGwAaQBkAHMAUwBvAGwAaQBkAFMAdABvAHIAYQBnAGUAVgBhAHIAaQBhAHQAaQBvAG4AXABuACAAIAA9AEwAQQBNAEIARABBACgAXABuACAAIAAgACAATQBNAFMAXwBqAG0ANAAsACAATQBNAFMAXwBqAG0AMQAsACAATQBNAFMAXwBqAG0ANwAsACAATQBNAFMAXwBqAG0AOQAsACAAUwBTAF8AbQAxACwAIABTAFMAXwBtADcALAAgAFMAUwBfAG0AOQAsAFwAbgAgACAAIAAgAE0ATQBTAF8AagBtADQAIAArACAAKABNAE0AUwBfAGoAbQAxACAAKgAgAFMAUwBfAG0AMQApACAAKwAgACgATQBNAFMAXwBqAG0ANwAgACoAIABTAFMAXwBtADcAKQAgACsAIAAoAE0ATQBTAF8AagBtADkAIAAqACAAUwBTAF8AbQA5ACkAXABuACAAIAApADsAXABuAFwAbgBcAG4AVgBFAEUAUgBHAF8ANABfADMAXwAxAF8AMQBfAF8ANQBfAEYAcgBhAGMAdABpAG8AbgBWAG8AbABhAHQAaQBsAGUAUwBvAGwAaQBkAHMAUwBvAGwAaQBkAFMAdABvAHIAYQBnAGUAXwBUAGkAdABsAGUAXABuACAAIAA9AEwAQQBNAEIARABBACgAXAAiAEYAcgBhAGMAdABpAG8AbgAgAG8AZgAgAHYAbwBsAGEAdABpAGwAZQAgAHMAbwBsAGkAZABzACAAaQBuACAAcwBvAGwAaQBkACAAcwB0AG8AcgBhAGcAZQBcACIAKQA7AFwAbgBcAG4AVgBFAEUAUgBHAF8ANABfADMAXwAxAF8AMQBfAF8ANQBfAEYAcgBhAGMAdABpAG8AbgBWAG8AbABhAHQAaQBsAGUAUwBvAGwAaQBkAHMAUwBvAGwAaQBkAFMAdABvAHIAYQBnAGUAXwBWAGEAcgBpAGEAYgBsAGUAXABuACAAIAA9AEwAQQBNAEIARABBACgAXAAiAEYAVgBTAF8AagBtADQAXAAiACkAOwBcAG4AXABuAFYARQBFAFIARwBfADQAXwAzAF8AMQBfADEAXwBfADUAXwBGAHIAYQBjAHQAaQBvAG4AVgBvAGwAYQB0AGkAbABlAFMAbwBsAGkAZABzAFMAbwBsAGkAZABTAHQAbwByAGEAZwBlAF8AVQBuAGkAdABcAG4AIAAgAD0ATABBAE0AQgBEAEEAKABcACIAZgByAGEAYwB0AGkAbwBuAFwAIgApADsAXABuAFwAbgBWAEUARQBSAEcAXwA0AF8AMwBfADEAXwAxAF8AXwA1AF8ARgByAGEAYwB0AGkAbwBuAFYAbwBsAGEAdABpAGwAZQBTAG8AbABpAGQAcwBTAG8AbABpAGQAUwB0AG8AcgBhAGcAZQBfAFMAbwB1AHIAYwBlAFwAbgAgACAAPQBMAEEATQBCAEQAQQAoAFwAIgBWAEUARQBSAEcAIAAyADAAMgA2ADoAIAA0AC4AMwAuADEALgAxACwAIABFAHEAdQBhAHQAaQBvAG4AIAAoADUAKQBcACIAKQA7AFwAbgBcAG4AVgBFAEUAUgBHAF8ANABfADMAXwAxAF8AMQBfAF8ANQBfAEYAcgBhAGMAdABpAG8AbgBWAG8AbABhAHQAaQBsAGUAUwBvAGwAaQBkAHMAUwBvAGwAaQBkAFMAdABvAHIAYQBnAGUAXwBOAEkAUgBSAGUAZgBlAHIAZQBuAGMAZQBcAG4AIAAgAD0ATABBAE0AQgBEAEEAKABcACIAXAAiACkAOwBcAG4AXABuAFYARQBFAFIARwBfADQAXwAzAF8AMQBfADEAXwBfADUAXwBGAHIAYQBjAHQAaQBvAG4AVgBvAGwAYQB0AGkAbABlAFMAbwBsAGkAZABzAFMAbwBsAGkAZABTAHQAbwByAGEAZwBlAF8ATABhAHQAZQB4AEUAcQB1AGEAdABpAG8AbgBcAG4AIAAgAD0ATABBAE0AQgBEAEEAKABcACIARgBWAFMAXwB7AGoAbQA9ADQAfQA9AE0ATQBTAF8AewBqAG0APQA0AH0AKwAoAE0ATQBTAF8AewBqAG0APQAxACwANwAsADkAfQBcAFwAdABpAG0AZQBzACAAUwBTAF8AbQApAFwAIgApADsAXABuAFwAbgBWAEUARQBSAEcAXwA0AF8AMwBfADEAXwAxAF8AXwA1AF8ARgByAGEAYwB0AGkAbwBuAFYAbwBsAGEAdABpAGwAZQBTAG8AbABpAGQAcwBTAG8AbABpAGQAUwB0AG8AcgBhAGcAZQBfAEwAYQB0AGUAeABFAHEAdQBhAHQAaQBvAG4AVgBhAHIAaQBhAHQAaQBvAG4AXABuACAAIAA9AEwAQQBNAEIARABBACgAXAAiAEYAVgBTAF8AewBqAG0APQA0AH0APQBNAE0AUwBfAHsAagBtAD0ANAB9ACsAKABNAE0AUwBfAHsAagBtAD0AMQB9AFwAXAB0AGkAbQBlAHMAIABTAFMAXwB7AG0APQAxAH0AKQArACgATQBNAFMAXwB7AGoAbQA9ADcAfQBcAFwAdABpAG0AZQBzACAAUwBTAF8AewBtAD0ANwB9ACkAKwAoAE0ATQBTAF8AewBqAG0APQA5AH0AXABcAHQAaQBtAGUAcwAgAFMAUwBfAHsAbQA9ADkAfQApAFwAIgApADsAXABuAFwAbgBWAEUARQBSAEcAXwA0AF8AMwBfADEAXwAxAF8AXwA1AF8ARgByAGEAYwB0AGkAbwBuAFYAbwBsAGEAdABpAGwAZQBTAG8AbABpAGQAcwBTAG8AbABpAGQAUwB0AG8AcgBhAGcAZQBfAEEAcgBnAHUAbQBlAG4AdABzAFwAbgAgACAAPQBMAEEATQBCAEQAQQAoAFwAbgAgACAAIAAgAE0AQQBLAEUAQQBSAFIAQQBZACgAMwAsACAANAAsAFwAbgAgACAAIAAgACAAIABMAEEATQBCAEQAQQAoAHIALABjACwAXABuACAAIAAgACAAIAAgACAAIABJAE4ARABFAFgAKAB7AFwAbgAgACAAIAAgACAAIAAgACAAIAAgAFwAIgBNAE0AUwBfAGoAbQA0AFwAIgAsACAAXAAiAGYAcgBhAGMAdABpAG8AbgAgAG8AZgAgAHYAbwBsAGEAdABpAGwAZQAgAHMAbwBsAGkAZABzACAAaQBuACAAcwBvAGwAaQBkACAAcwB0AG8AcgBhAGcAZQAgAGIAZQBmAG8AcgBlACAAdAByAGEAbgBzAGYAZQByAFwAIgAsACAAXAAiAGYAcgBhAGMAdABpAG8AbgBcACIALAAgAFwAIgBJAG4AcAB1AHQAXAAiADsAXABuACAAIAAgACAAIAAgACAAIAAgACAAXAAiAE0ATQBTAF8AagBtADEANwA5AFwAIgAsACAAXAAiAGYAcgBhAGMAdABpAG8AbgAgAG8AZgAgAHYAbwBsAGEAdABpAGwAZQAgAHMAbwBsAGkAZABzACAAaQBuACAATQBNAFMAIABtAD0AMQAsADcALAA5ACAAYgBlAGYAbwByAGUAIAB0AHIAYQBuAHMAZgBlAHIAXAAiACwAIABcACIAZgByAGEAYwB0AGkAbwBuAFwAIgAsACAAXAAiAEkAbgBwAHUAdABcACIAOwBcAG4AIAAgACAAIAAgACAAIAAgACAAIABcACIAUwBTAF8AbQBcACIALAAgAFwAIgBmAHIAYQBjAHQAaQBvAG4AIABvAGYAIAB2AG8AbABhAHQAaQBsAGUAIABzAG8AbABpAGQAcwAgAHMAZQBwAGEAcgBhAHQAZQBkACAAdABvACAAcwBvAGwAaQBkACAAcwB0AG8AcgBhAGcAZQAgAGYAbwByACAAZQBhAGMAaAAgAE0ATQBTAFwAIgAsACAAXAAiAGYAcgBhAGMAdABpAG8AbgBcACIALAAgAFwAIgBJAG4AcAB1AHQAXAAiAFwAbgAgACAAIAAgACAAIAAgACAAfQAsACAAcgAsACAAYwApAFwAbgAgACAAIAAgACAAIAApAFwAbgAgACAAIAAgACkAXABuACAAIAApADsAXABuAFwAbgBWAEUARQBSAEcAXwA0AF8AMwBfADEAXwAxAF8AXwA1AF8ARgByAGEAYwB0AGkAbwBuAFYAbwBsAGEAdABpAGwAZQBTAG8AbABpAGQAcwBTAG8AbABpAGQAUwB0AG8AcgBhAGcAZQBfAFYAYQByAGkAYQB0AGkAbwBuAFwAbgAgACAAPQBMAEEATQBCAEQAQQAoAFwAIgBVAHMAZQBkACAAcwBlAHAAYQByAGEAdABlACAAdgBhAHIAaQBhAGIAbABlAHMAIABmAG8AcgAgAE0ATQBTACAAYQBuAGQAIABTAFMAIABtACAAMQAsACAANwAgAGEAbgBkACAAOQAuAFwAIgApADsAXABuAFwAbgAiAH0ALAB7ACIAcABhAHQAaAAiADoAIgAvAHAAcgBvAGoAZQBjAHQAcwAvAE0ATQBTAF8ARABhAGkAcgB5AF8ATgAyAE8ARABpAHIAZQBjAHQAXwBFAHEAdQBhAHQAaQBvAG4AcwAiACwAIgB0AGUAeAB0ACIAOgAiAC8AKgBcAG4APQA9AD0APQA9AD0APQA9AD0APQA9AD0APQA9AD0APQA9AD0APQA9AD0APQA9AD0APQA9AD0APQA9AD0APQA9AD0APQA9AD0APQA9AD0APQA9AD0APQA9AD0APQA9AD0APQA9AD0APQA9AD0APQA9AD0APQA9AD0APQA9AD0APQA9AD0APQA9AD0APQA9AD0APQA9AD0APQBcAG4ANAAuADMAOgAgAEQAYQBpAHIAeQBcAG4APQA9AD0APQA9AD0APQA9AD0APQA9AD0APQA9AD0APQA9AD0APQA9AD0APQA9AD0APQA9AD0APQA9AD0APQA9AD0APQA9AD0APQA9AD0APQA9AD0APQA9AD0APQA9AD0APQA9AD0APQA9AD0APQA9AD0APQA9AD0APQA9AD0APQA9AD0APQA9AD0APQA9AD0APQA9AD0APQBcAG4ANAAuADMALgAxAC4AMwAgAE0AZQB0AGgAbwBkACAAMQAgAC0AIABNAGEAbgB1AHIAZQAgAEQAaQByAGUAYwB0ACAATgAyAE8AIABEAGEAaQ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wBfADEAXwAzAF8AXwAxAF8AVABvAHQAYQBsAEEAbgBuAHUAYQBsAEQAaQByAGUAYwB0AE4AaQB0AHIAbwB1AHMATwB4AGkAZABlAEUAbQBpAHMAcwBpAG8AbgBzAEYAcgBvAG0ATQBNAFMAXABuAFQAbwB0AGEAbAAgAGEAbgBuAHUAYQBsACAAZABpAHIAZQBjAHQAIABuAGkAdAByAG8AdQBzACAAbwB4AGkAZABlACAAZQBtAGkAcwBzAGkAbwBuAHMAIABmAHIAbwBtACAAbQBhAG4AdQByAGUAIABtAGEAbgBhAGcAZQBtAGUAbgB0ACAAcwB5AHMAdABlAG0AcwBcAG4ARQBfAE4AMgBPAGQAaQByAFwAbgB0ACAATgAyAE8AXABuAEUAXwB7AE4AMgBPACwAZABpAHIAfQA9AE0ATgBfAHsAagBtAH0AXABcAHQAaQBtAGUAcwAgAEUARgBfAG0AXABcAHQAaQBtAGUAcwAgAEMAXwB7AE4AMgBPAH0AXABcAHQAaQBtAGUAcwAgADEAMABeAHsALQAzAH0AXABuAE0ATgBfAGoAbQAgAD0AIAB0AG8AdABhAGwAIABuAGkAdAByAG8AZwBlAG4AIABpAG4AIABlAGEAYwBoACAATQBNAFMAIABmAG8AcgAgAGQAYQBpAHIAeQAgAGMAYQB0AHQAbABlACAAYwBsAGEAcwBzAGUAcwAgACgAawBnACAATgApAFwAbgBFAEYAXwBtACAAPQAgAG4AaQB0AHIAbwB1AHMAIABvAHgAaQBkAGUAIABlAG0AaQBzAHMAaQBvAG4AIABmAGEAYwB0AG8AcgAgAGYAbwByACAAZQBhAGMAaAAgAE0ATQBTACAAKABrAGcAIABOADIATwAtAE4ALwBrAGcAIABOACAAZABlAHAAbwBzAGkAdABlAGQAKQBcAG4AQwBfAE4AMgBPACAAPQAgAGYAYQBjAHQAbwByACAAdABvACAAYwBvAG4AdgBlAHIAdAAgAGUAbABlAG0AZQBuAHQAYQBsACAAbQBhAHMAcwAgAG8AZgAgAE4AMgBPACAAdABvACAAbQBvAGwAZQBjAHUAbABhAHIAIABtAGEAcwBzAFwAbgAtAC0ALQAtAC0ALQAtAC0ALQAtAC0ALQAtAC0ALQAtAC0ALQAtAC0ALQAtAC0ALQAtAC0ALQAtAC0ALQAtAC0ALQAtAC0ALQAtAC0AXABuACoALwBcAG4AXABuAFYARQBFAFIARwBfADQAXwAzAF8AMQBfADMAXwBfADEAXwBUAG8AdABhAGwAQQBuAG4AdQBhAGwARABpAHIAZQBjAHQATgBpAHQAcgBvAHUAcwBPAHgAaQBkAGUARQBtAGkAcwBzAGkAbwBuAHMARgByAG8AbQBNAE0AUwBcAG4AIAAgAD0ATABBAE0AQgBEAEEAKABcAG4AIAAgACAAIABNAE4AXwBqAG0ALAAgAEUARgBfAG0ALAAgAEMAXwBOADIATwAsAFwAbgAgACAAIAAgAE0ATgBfAGoAbQAgACoAIABFAEYAXwBtACAAKgAgAEMAXwBOADIATwAgACoAIAAxADAAIABeACAALQAzAFwAbgAgACAAKQA7AFwAbgBcAG4AVgBFAEUAUgBHAF8ANABfADMAXwAxAF8AMwBfAF8AMQBfAFQAbwB0AGEAbABBAG4AbgB1AGEAbABEAGkAcgBlAGMAdABOAGkAdAByAG8AdQBzAE8AeABpAGQAZQBFAG0AaQBzAHMAaQBvAG4AcwBGAHIAbwBtAE0ATQBTAF8AVABpAHQAbABlAFwAbgAgACAAPQBMAEEATQBCAEQAQQAoAFwAIgBUAG8AdABhAGwAIABhAG4AbgB1AGEAbAAgAGQAaQByAGUAYwB0ACAAbgBpAHQAcgBvAHUAcwAgAG8AeABpAGQAZQAgAGUAbQBpAHMAcwBpAG8AbgBzACAAZgByAG8AbQAgAG0AYQBuAHUAcgBlACAAbQBhAG4AYQBnAGUAbQBlAG4AdAAgAHMAeQBzAHQAZQBtAHMAXAAiACkAOwBcAG4AXABuAFYARQBFAFIARwBfADQAXwAzAF8AMQBfADMAXwBfADEAXwBUAG8AdABhAGwAQQBuAG4AdQBhAGwARABpAHIAZQBjAHQATgBpAHQAcgBvAHUAcwBPAHgAaQBkAGUARQBtAGkAcwBzAGkAbwBuAHMARgByAG8AbQBNAE0AUwBfAFYAYQByAGkAYQBiAGwAZQBcAG4AIAAgAD0ATABBAE0AQgBEAEEAKABcACIARQBfAE4AMgBPAGQAaQByAFwAIgApADsAXABuAFwAbgBWAEUARQBSAEcAXwA0AF8AMwBfADEAXwAzAF8AXwAxAF8AVABvAHQAYQBsAEEAbgBuAHUAYQBsAEQAaQByAGUAYwB0AE4AaQB0AHIAbwB1AHMATwB4AGkAZABlAEUAbQBpAHMAcwBpAG8AbgBzAEYAcgBvAG0ATQBNAFMAXwBVAG4AaQB0AFwAbgAgACAAPQBMAEEATQBCAEQAQQAoAFwAIgB0ACAATgAyAE8AXAAiACkAOwBcAG4AXABuAFYARQBFAFIARwBfADQAXwAzAF8AMQBfADMAXwBfADEAXwBUAG8AdABhAGwAQQBuAG4AdQBhAGwARABpAHIAZQBjAHQATgBpAHQAcgBvAHUAcwBPAHgAaQBkAGUARQBtAGkAcwBzAGkAbwBuAHMARgByAG8AbQBNAE0AUwBfAFMAbwB1AHIAYwBlAFwAbgAgACAAPQBMAEEATQBCAEQAQQAoAFwAIgBWAEUARQBSAEcAIAAyADAAMgA2ADoAIAA0AC4AMwAuADEALgAzACwAIABFAHEAdQBhAHQAaQBvAG4AIAAoADEAKQBcACIAKQA7AFwAbgBcAG4AVgBFAEUAUgBHAF8ANABfADMAXwAxAF8AMwBfAF8AMQBfAFQAbwB0AGEAbABBAG4AbgB1AGEAbABEAGkAcgBlAGMAdABOAGkAdAByAG8AdQBzAE8AeABpAGQAZQBFAG0AaQBzAHMAaQBvAG4AcwBGAHIAbwBtAE0ATQBTAF8ATgBJAFIAUgBlAGYAZQByAGUAbgBjAGUAXABuACAAIAA9AEwAQQBNAEIARABBACgAXAAiAFwAIgApADsAXABuAFwAbgBWAEUARQBSAEcAXwA0AF8AMwBfADEAXwAzAF8AXwAxAF8AVABvAHQAYQBsAEEAbgBuAHUAYQBsAEQAaQByAGUAYwB0AE4AaQB0AHIAbwB1AHMATwB4AGkAZABlAEUAbQBpAHMAcwBpAG8AbgBzAEYAcgBvAG0ATQBNAFMAXwBMAGEAdABlAHgARQBxAHUAYQB0AGkAbwBuAFwAbgAgACAAPQBMAEEATQBCAEQAQQAoAFwAIgBFAF8AewBOADIATwAsAGQAaQByAH0APQBcAFwAcwB1AG0AXABcAG4AbwBsAGkAbQBpAHQAcwBfAHsAagB9AFwAXABzAHUAbQBcAFwAbgBvAGwAaQBtAGkAdABzAF8AewBtAH0AKABNAE4AXwB7AGoAbQB9AFwAXAB0AGkAbQBlAHMAIABFAEYAXwBtAFwAXAB0AGkAbQBlAHMAIABDAF8AewBOADIATwB9AFwAXAB0AGkAbQBlAHMAIAAxADAAXgB7AC0AMwB9ACkAXAAiACkAOwBcAG4AXABuAFYARQBFAFIARwBfADQAXwAzAF8AMQBfADMAXwBfADEAXwBUAG8AdABhAGwAQQBuAG4AdQBhAGwARABpAHIAZQBjAHQATgBpAHQAcgBvAHUAcwBPAHgAaQBkAGUARQBtAGkAcwBzAGkAbwBuAHMARgByAG8AbQBNAE0AUwBfAEEAcgBnAHUAbQBlAG4AdABzAFwAbgAgACAAPQBMAEEATQBCAEQAQQAoAFwAbgAgACAAIAAgAE0AQQBLAEUAQQBSAFIAQQBZACgAMwAsACAANAAsAFwAbgAgACAAIAAgACAAIABMAEEATQBCAEQAQQAoAHIALABjACwAXABuACAAIAAgACAAIAAgACAAIABJAE4ARABFAFgAKAB7AFwAbgAgACAAIAAgACAAIAAgACAAIAAgAFwAIgBNAE4AXwBqAG0AXAAiACwAIABcACIAdABvAHQAYQBsACAAbgBpAHQAcgBvAGcAZQBuACAAaQBuACAAZQBhAGMAaAAgAE0ATQBTACAAZgBvAHIAIABkAGEAaQByAHkAIABjAGEAdAB0AGwAZQAgAGMAbABhAHMAcwBlAHMAXAAiACwAIABcACIAawBnACAATgBcACIALAAgAFwAIgBDAGEAbABjAHUAbABhAHQAZQBkACAAZgByAG8AbQAgADQALgAzAC4AMQAuADMAIAAoADIAKQBcACIAOwBcAG4AIAAgACAAIAAgACAAIAAgACAAIABcACIARQBGAF8AbQBcACIALAAgAFwAIgBuAGkAdAByAG8AdQBzACAAbwB4AGkAZABlACAAZQBtAGkAcwBzAGkAbwBuACAAZgBhAGMAdABvAHIAIABmAG8AcgAgAGUAYQBjAGgAIABNAE0AUwAgACgAawBnACAATgAyAE8ALQBOAC8AawBnACAATgAgAGQAZQBwAG8AcwBpAHQAZQBkACkAXAAiACwAIABcACIAawBnACAATgAyAE8ALQBOAC8AawBnACAATgBcACIALAAgAFwAIgBDAG8AbgBzAHQAYQBuAHQAXAAiADsAXABuACAAIAAgACAAIAAgACAAIAAgACAAXAAiAEMAXwBOADIATwBcACIALAAgAFwAIgBmAGEAYwB0AG8AcgAgAHQAbwAgAGMAbwBuAHYAZQByAHQAIABlAGwAZQBtAGUAbgB0AGEAbAAgAG0AYQBzAHMAIABvAGYAIABOADIATwAgAHQAbwAgAG0AbwBsAGUAYwB1AGwAYQByACAAbQBhAHMAcwBcACIALAAgAFwAIgBmAHIAYQBjAHQAaQBvAG4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QAXwAzAF8AMQBfADMAXwBfADIAXwBUAG8AdABhAGwATgBpAHQAcgBvAGcAZQBuAEkAbgBFAGEAYwBoAE0ATQBTAFwAbgBUAG8AdABhAGwAIABuAGkAdAByAG8AZwBlAG4AIABpAG4AIABlAGEAYwBoACAATQBNAFMAXABuAE0ATgBfAGoAbQBcAG4AawBnACAATgBcAG4ATQBOAF8AewBqAG0AfQA9AEEARQBfAGoAXABcAHQAaQBtAGUAcwAgAE0ATQBTAF8AewBqAG0AfQBcAG4AQQBFAF8AagAgAD0AIAB0AG8AdABhAGwAIABuAGkAdAByAG8AZwBlAG4AIABlAHgAYwByAGUAdABlAGQAIABiAHkAIABlAGEAYwBoACAAZABhAGkAcgB5ACAAYwBsAGEAcwBzACAAKABrAGcAIABOACkAXABuAE0ATQBTAF8AagBtACAAPQAgAG0AYQBuAHUAcgBlACAAbQBhAG4AYQBnAGUAbQBlAG4AdAAgAHMAeQBzAHQAZQBtACAAZgByAGEAYwB0AGkAbwBuACAAZgBvAHIAIABjAGwAYQBzAHMAIABqACAAYQBuAGQAIABzAHkAcwB0AGUAbQAgAG0AXABuAC0ALQAtAC0ALQAtAC0ALQAtAC0ALQAtAC0ALQAtAC0ALQAtAC0ALQAtAC0ALQAtAC0ALQAtAC0ALQAtAC0ALQAtAC0ALQAtAC0ALQBcAG4AKgAvAFwAbgBcAG4AVgBFAEUAUgBHAF8ANABfADMAXwAxAF8AMwBfAF8AMgBfAFQAbwB0AGEAbABOAGkAdAByAG8AZwBlAG4ASQBuAEUAYQBjAGgATQBNAFMAXABuACAAIAA9AEwAQQBNAEIARABBACgAXABuACAAIAAgACAAQQBFAF8AagAsACAATQBNAFMAXwBqAG0ALABcAG4AIAAgACAAIABBAEUAXwBqACAAKgAgAE0ATQBTAF8AagBtAFwAbgAgACAAKQA7AFwAbgBcAG4AVgBFAEUAUgBHAF8ANABfADMAXwAxAF8AMwBfAF8AMgBfAFQAbwB0AGEAbABOAGkAdAByAG8AZwBlAG4ASQBuAEUAYQBjAGgATQBNAFMAXwBUAGkAdABsAGUAXABuACAAIAA9AEwAQQBNAEIARABBACgAXAAiAFQAbwB0AGEAbAAgAG4AaQB0AHIAbwBnAGUAbgAgAGkAbgAgAGUAYQBjAGgAIABNAE0AUwBcACIAKQA7AFwAbgBcAG4AVgBFAEUAUgBHAF8ANABfADMAXwAxAF8AMwBfAF8AMgBfAFQAbwB0AGEAbABOAGkAdAByAG8AZwBlAG4ASQBuAEUAYQBjAGgATQBNAFMAXwBWAGEAcgBpAGEAYgBsAGUAXABuACAAIAA9AEwAQQBNAEIARABBACgAXAAiAE0ATgBfAGoAbQBcACIAKQA7AFwAbgBcAG4AVgBFAEUAUgBHAF8ANABfADMAXwAxAF8AMwBfAF8AMgBfAFQAbwB0AGEAbABOAGkAdAByAG8AZwBlAG4ASQBuAEUAYQBjAGgATQBNAFMAXwBVAG4AaQB0AFwAbgAgACAAPQBMAEEATQBCAEQAQQAoAFwAIgBrAGcAIABOAFwAIgApADsAXABuAFwAbgBWAEUARQBSAEcAXwA0AF8AMwBfADEAXwAzAF8AXwAyAF8AVABvAHQAYQBsAE4AaQB0AHIAbwBnAGUAbgBJAG4ARQBhAGMAaABNAE0AUwBfAFMAbwB1AHIAYwBlAFwAbgAgACAAPQBMAEEATQBCAEQAQQAoAFwAIgBWAEUARQBSAEcAIAAyADAAMgA2ADoAIAA0AC4AMwAuADEALgAzACwAIABFAHEAdQBhAHQAaQBvAG4AIAAoADIAKQBcACIAKQA7AFwAbgBcAG4AVgBFAEUAUgBHAF8ANABfADMAXwAxAF8AMwBfAF8AMgBfAFQAbwB0AGEAbABOAGkAdAByAG8AZwBlAG4ASQBuAEUAYQBjAGgATQBNAFMAXwBOAEkAUgBSAGUAZgBlAHIAZQBuAGMAZQBcAG4AIAAgAD0ATABBAE0AQgBEAEEAKABcACIAXAAiACkAOwBcAG4AXABuAFYARQBFAFIARwBfADQAXwAzAF8AMQBfADMAXwBfADIAXwBUAG8AdABhAGwATgBpAHQAcgBvAGcAZQBuAEkAbgBFAGEAYwBoAE0ATQBTAF8ATABhAHQAZQB4AEUAcQB1AGEAdABpAG8AbgBcAG4AIAAgAD0ATABBAE0AQgBEAEEAKABcACIATQBOAF8AewBqAG0AfQA9AEEARQBfAGoAXABcAHQAaQBtAGUAcwAgAE0ATQBTAF8AewBqAG0AfQBcACIAKQA7AFwAbgBcAG4AVgBFAEUAUgBHAF8ANABfADMAXwAxAF8AMwBfAF8AMgBfAFQAbwB0AGEAbABOAGkAdAByAG8AZwBlAG4ASQBuAEUAYQBjAGgATQBNAFMAXwBBAHIAZwB1AG0AZQBuAHQAcwBcAG4AIAAgAD0ATABBAE0AQgBEAEEAKABcAG4AIAAgACAAIABNAEEASwBFAEEAUgBSAEEAWQAoADIALAAgADQALABcAG4AIAAgACAAIAAgACAATABBAE0AQgBEAEEAKAByACwAYwAsAFwAbgAgACAAIAAgACAAIAAgACAASQBOAEQARQBYACgAewBcAG4AIAAgACAAIAAgACAAIAAgACAAIABcACIAQQBFAF8AagBcACIALAAgAFwAIgB0AG8AdABhAGwAIABuAGkAdAByAG8AZwBlAG4AIABlAHgAYwByAGUAdABlAGQAIABiAHkAIABlAGEAYwBoACAAZABhAGkAcgB5ACAAYwBsAGEAcwBzAFwAIgAsACAAXAAiAGsAZwAgAE4AXAAiACwAIABcACIAQwBhAGwAYwB1AGwAYQB0AGUAZAAgAGYAcgBvAG0AIAA0AC4AMwAuADEALgAzACAAKAAzAGEAKQAgAGEAbgBkACAAKAAzAGIAKQBcACIAOwBcAG4AIAAgACAAIAAgACAAIAAgACAAIABcACIATQBNAFMAXwBqAG0AXAAiACwAIABcACIAbQBhAG4AdQByAGUAIABtAGEAbgBhAGcAZQBtAGUAbgB0ACAAcwB5AHMAdABlAG0AIABmAHIAYQBjAHQAaQBvAG4AIABmAG8AcgAgAGMAbABhAHMAcwAgAGoAIABhAG4AZAAgAHMAeQBzAHQAZQBtACAAbQBcACIALAAgAFwAIgBmAHIAYQBjAHQAaQBvAG4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zAF8AMQBfADMAXwBfADMAYQBfAFQAbwB0AGEAbABBAG4AbgB1AGEAbABOAGkAdAByAG8AZwBlAG4ARQB4AGMAcgBlAHQAZQBkAEcAcgBlAGEAdABlAHIAVABoAGEAbgBPAG4AZQBZAGUAYQByAFwAbgBUAG8AdABhAGwAIABhAG4AbgB1AGEAbAAgAG4AaQB0AHIAbwBnAGUAbgAgAGUAeABjAHIAZQB0AGUAZAAgAGIAeQAgAGQAYQBpAHIAeQAgAGMAYQB0AHQAbABlACAAXAB1ADAAMAAzAGUAMQAgAHkAZQBhAHIAIABvAGwAZABcAG4AQQBFAF8AagAxADIANABcAG4AawBnACAATgBcAG4AQQBFAF8AewBqAD0AMQAsADIALAA0AH0APQBOAF8AewBqAD0AMQAsADIALAA0AH0AXABcAHQAaQBtAGUAcwAgAE4ARQBfAHsAagA9ADEALAAyACwANAB9AFwAXAB0AGkAbQBlAHMAIAAzADYANQBcAG4ATgBfAGoAMQAyADQAIAA9ACAAbgB1AG0AYgBlAHIAIABvAGYAIABkAGEAaQByAHkAIABjAGEAdAB0AGwAZQAgAGkAbgAgAGMAbABhAHMAcwBlAHMAIABqAD0AMQAsADIALAA0AFwAbgBOAEUAXwBqADEAMgA0ACAAPQAgAG4AaQB0AHIAbwBnAGUAbgAgAGUAeABjAHIAZQB0AGUAZAAgAGIAeQAgAGQAYQBpAHIAeQAgAGMAYQB0AHQAbABlACAAXAB1ADAAMAAzAGUAMQAgAHkAZQBhAHIAIABvAGwAZAAgACgAawBnACAATgAvAGgAZQBhAGQALwBkAGEAeQApAFwAbgAtAC0ALQAtAC0ALQAtAC0ALQAtAC0ALQAtAC0ALQAtAC0ALQAtAC0ALQAtAC0ALQAtAC0ALQAtAC0ALQAtAC0ALQAtAC0ALQAtAC0AXABuACoALwBcAG4AXABuAFYARQBFAFIARwBfADQAXwAzAF8AMQBfADMAXwBfADMAYQBfAFQAbwB0AGEAbABBAG4AbgB1AGEAbABOAGkAdAByAG8AZwBlAG4ARQB4AGMAcgBlAHQAZQBkAEcAcgBlAGEAdABlAHIAVABoAGEAbgBPAG4AZQBZAGUAYQByAFwAbgAgACAAPQBMAEEATQBCAEQAQQAoAFwAbgAgACAAIAAgAE4AXwBqADEAMgA0ACwAIABOAEUAXwBqADEAMgA0ACwAXABuACAAIAAgACAATgBfAGoAMQAyADQAIAAqACAATgBFAF8AagAxADIANAAgACoAIAAzADYANQBcAG4AIAAgACkAOwBcAG4AXABuAFYARQBFAFIARwBfADQAXwAzAF8AMQBfADMAXwBfADMAYQBfAFQAbwB0AGEAbABBAG4AbgB1AGEAbABOAGkAdAByAG8AZwBlAG4ARQB4AGMAcgBlAHQAZQBkAEcAcgBlAGEAdABlAHIAVABoAGEAbgBPAG4AZQBZAGUAYQByAFYAYQByAGkAYQB0AGkAbwBuAFwAbgAgACAAPQBMAEEATQBCAEQAQQAoAFwAbgAgACAAIAAgAE4AXwBqADEAMgA0ACwAIABOAEUAXwBqADEAMgA0ACwAIABEAF8AagAxADIANAAsAFwAbgAgACAAIAAgAE4AXwBqADEAMgA0ACAAKgAgAE4ARQBfAGoAMQAyADQAIAAqACAARABfAGoAMQAyADQAXABuACAAIAApADsAXABuAFwAbgBWAEUARQBSAEcAXwA0AF8AMwBfADEAXwAzAF8AXwAzAGEAXwBUAG8AdABhAGwAQQBuAG4AdQBhAGwATgBpAHQAcgBvAGcAZQBuAEUAeABjAHIAZQB0AGUAZABHAHIAZQBhAHQAZQByAFQAaABhAG4ATwBuAGUAWQBlAGEAcgBfAFQAaQB0AGwAZQBcAG4AIAAgAD0ATABBAE0AQgBEAEEAKABcACIAVABvAHQAYQBsACAAYQBuAG4AdQBhAGwAIABuAGkAdAByAG8AZwBlAG4AIABlAHgAYwByAGUAdABlAGQAIABiAHkAIABkAGEAaQByAHkAIABjAGEAdAB0AGwAZQAgAGcAcgBlAGEAdABlAHIAIAB0AGgAYQBuACAAbwBuAGUAIAB5AGUAYQByACAAbwBsAGQAXAAiACkAOwBcAG4AXABuAFYARQBFAFIARwBfADQAXwAzAF8AMQBfADMAXwBfADMAYQBfAFQAbwB0AGEAbABBAG4AbgB1AGEAbABOAGkAdAByAG8AZwBlAG4ARQB4AGMAcgBlAHQAZQBkAEcAcgBlAGEAdABlAHIAVABoAGEAbgBPAG4AZQBZAGUAYQByAF8AVgBhAHIAaQBhAGIAbABlAFwAbgAgACAAPQBMAEEATQBCAEQAQQAoAFwAIgBBAEUAXwBqADEAMgA0AFwAIgApADsAXABuAFwAbgBWAEUARQBSAEcAXwA0AF8AMwBfADEAXwAzAF8AXwAzAGEAXwBUAG8AdABhAGwAQQBuAG4AdQBhAGwATgBpAHQAcgBvAGcAZQBuAEUAeABjAHIAZQB0AGUAZABHAHIAZQBhAHQAZQByAFQAaABhAG4ATwBuAGUAWQBlAGEAcgBfAFUAbgBpAHQAXABuACAAIAA9AEwAQQBNAEIARABBACgAXAAiAGsAZwAgAE4AXAAiACkAOwBcAG4AXABuAFYARQBFAFIARwBfADQAXwAzAF8AMQBfADMAXwBfADMAYQBfAFQAbwB0AGEAbABBAG4AbgB1AGEAbABOAGkAdAByAG8AZwBlAG4ARQB4AGMAcgBlAHQAZQBkAEcAcgBlAGEAdABlAHIAVABoAGEAbgBPAG4AZQBZAGUAYQByAF8AUwBvAHUAcgBjAGUAXABuACAAIAA9AEwAQQBNAEIARABBACgAXAAiAFYARQBFAFIARwAgADIAMAAyADYAOgAgADQALgAzAC4AMQAuADMALAAgAEUAcQB1AGEAdABpAG8AbgAgACgAMwBhACkAXAAiACkAOwBcAG4AXABuAFYARQBFAFIARwBfADQAXwAzAF8AMQBfADMAXwBfADMAYQBfAFQAbwB0AGEAbABBAG4AbgB1AGEAbABOAGkAdAByAG8AZwBlAG4ARQB4AGMAcgBlAHQAZQBkAEcAcgBlAGEAdABlAHIAVABoAGEAbgBPAG4AZQBZAGUAYQByAF8ATgBJAFIAUgBlAGYAZQByAGUAbgBjAGUAXABuACAAIAA9AEwAQQBNAEIARABBACgAXAAiAFwAIgApADsAXABuAFwAbgBWAEUARQBSAEcAXwA0AF8AMwBfADEAXwAzAF8AXwAzAGEAXwBUAG8AdABhAGwAQQBuAG4AdQBhAGwATgBpAHQAcgBvAGcAZQBuAEUAeABjAHIAZQB0AGUAZABHAHIAZQBhAHQAZQByAFQAaABhAG4ATwBuAGUAWQBlAGEAcgBfAEwAYQB0AGUAeABFAHEAdQBhAHQAaQBvAG4AXABuACAAIAA9AEwAQQBNAEIARABBACgAXAAiAEEARQBfAHsAagA9ADEALAAyACwANAB9AD0ATgBfAHsAagA9ADEALAAyACwANAB9AFwAXAB0AGkAbQBlAHMAIABOAEUAXwB7AGoAPQAxACwAMgAsADQAfQBcAFwAdABpAG0AZQBzACAAMwA2ADUAXAAiACkAOwBcAG4AXABuAFYARQBFAFIARwBfADQAXwAzAF8AMQBfADMAXwBfADMAYQBfAFQAbwB0AGEAbABBAG4AbgB1AGEAbABOAGkAdAByAG8AZwBlAG4ARQB4AGMAcgBlAHQAZQBkAEcAcgBlAGEAdABlAHIAVABoAGEAbgBPAG4AZQBZAGUAYQByAF8ATABhAHQAZQB4AEUAcQB1AGEAdABpAG8AbgBWAGEAcgBpAGEAdABpAG8AbgBcAG4AIAAgAD0ATABBAE0AQgBEAEEAKABcACIAQQBFAF8AewBqAD0AMQAsADIALAA0AH0APQBOAF8AewBqAD0AMQAsADIALAA0AH0AXABcAHQAaQBtAGUAcwAgAE4ARQBfAHsAagA9ADEALAAyACwANAB9AFwAXAB0AGkAbQBlAHMAIABEAF8AewBqAD0AMQAsADIALAA0AH0AXAAiACkAOwBcAG4AXABuAFYARQBFAFIARwBfADQAXwAzAF8AMQBfADMAXwBfADMAYQBfAFQAbwB0AGEAbABBAG4AbgB1AGEAbABOAGkAdAByAG8AZwBlAG4ARQB4AGMAcgBlAHQAZQBkAEcAcgBlAGEAdABlAHIAVABoAGEAbgBPAG4AZQBZAGUAYQByAF8AQQByAGcAdQBtAGUAbgB0AHMAXABuACAAIAA9AEwAQQBNAEIARABBACgAXABuACAAIAAgACAATQBBAEsARQBBAFIAUgBBAFkAKAAzACwAIAA0ACwAXABuACAAIAAgACAAIAAgAEwAQQBNAEIARABBACgAcgAsAGMALABcAG4AIAAgACAAIAAgACAAIAAgAEkATgBEAEUAWAAoAHsAXABuACAAIAAgACAAIAAgACAAIAAgACAAXAAiAE4AXwBqADEAMgA0AFwAIgAsACAAXAAiAG4AdQBtAGIAZQByACAAbwBmACAAZABhAGkAcgB5ACAAYwBhAHQAdABsAGUAIABpAG4AIABjAGwAYQBzAHMAZQBzACAAagA9ADEALAAyACwANABcACIALAAgAFwAIgBoAGUAYQBkAFwAIgAsACAAXAAiAEkAbgBwAHUAdABcACIAOwBcAG4AIAAgACAAIAAgACAAIAAgACAAIABcACIATgBFAF8AagAxADIANABcACIALAAgAFwAIgBuAGkAdAByAG8AZwBlAG4AIABlAHgAYwByAGUAdABlAGQAIABiAHkAIABkAGEAaQByAHkAIABjAGEAdAB0AGwAZQAgAGcAcgBlAGEAdABlAHIAIAB0AGgAYQBuACAAbwBuAGUAIAB5AGUAYQByACAAbwBsAGQAIAAoAGsAZwAgAE4ALwBoAGUAYQBkAC8AZABhAHkAKQBcACIALAAgAFwAIgBrAGcAIABOAC8AaABlAGEAZAAvAGQAYQB5AFwAIgAsACAAXAAiAEMAYQBsAGMAdQBsAGEAdABlAGQAIABmAHIAbwBtACAANAAuADMALgAxAC4AMwAgACgANAApAFwAIgA7AFwAbgAgACAAIAAgACAAIAAgACAAIAAgAFwAIgBEAF8AagAxADIANABcACIALAAgAFwAIgBkAHUAcgBhAHQAaQBvAG4AIABvAGYAIABzAHQAYQB5ACAAbwBuACAAZgBhAHIAbQAgAGYAbwByACAAYwBsAGEAcwBzAGUAcwAgAGoAPQAxACwAMgAsADQAIAAoAGQAYQB5AHMAKQBcACIALAAgAFwAIgBkAGEAeQBzAFwAIgAsACAAXAAiAEkAbgBwAHUAdABcACIAXABuACAAIAAgACAAIAAgACAAIAB9ACwAIAByACwAIABjACkAXABuACAAIAAgACAAIAAgACkAXABuACAAIAAgACAAKQBcAG4AIAAgACkAOwBcAG4AXABuAFYARQBFAFIARwBfADQAXwAzAF8AMQBfADMAXwBfADMAYQBfAFQAbwB0AGEAbABBAG4AbgB1AGEAbABOAGkAdAByAG8AZwBlAG4ARQB4AGMAcgBlAHQAZQBkAEcAcgBlAGEAdABlAHIAVABoAGEAbgBPAG4AZQBZAGUAYQByAF8AVgBhAHIAaQBhAHQAaQBvAG4AXABuACAAIAA9AEwAQQBNAEIARABBACgAXAAiAFYAQQBSAEkAQQBUAEkATwBOADoAIABVAHMAZQBkACAARAB1AHIAYQB0AGkAbwBuACAAdgBhAHIAaQBhAGIAbABlAHMAIABpAG4AcwB0AGUAYQBkACAAbwBmACAAaABhAHIAZAAtAGMAbwBkAGUAZAAgADMANgA1ACAAdgBhAGwAdQBlAC4AXAAiACkAOwBcAG4AXABuAC8AKgBcAG4ALQAtAC0ALQAtAC0ALQAtAC0ALQAtAC0ALQAtAC0ALQAtAC0ALQAtAC0ALQAtAC0ALQAtAC0ALQAtAC0ALQAtAC0ALQAtAC0ALQAtAFwAbgBWAEUARQBSAEcAXwA0AF8AMwBfADEAXwAzAF8AXwAzAGIAXwBUAG8AdABhAGwAQQBuAG4AdQBhAGwATgBpAHQAcgBvAGcAZQBuAEUAeABjAHIAZQB0AGUAZABMAGUAcwBzAFQAaABhAG4ATwBuAGUAWQBlAGEAcgBcAG4AVABvAHQAYQBsACAAYQBuAG4AdQBhAGwAIABuAGkAdAByAG8AZwBlAG4AIABlAHgAYwByAGUAdABlAGQAIABiAHkAIABkAGEAaQByAHkAIABjAGEAdAB0AGwAZQAgAFwAdQAwADAAMwBjADEAIAB5AGUAYQByACAAbwBsAGQAXABuAEEARQBfAGoAMwA1AFwAbgBrAGcAIABOAFwAbgBBAEUAXwB7AGoAPQAzACwANQB9AD0AKABOAF8AewBqAD0AMwAsADUAfQBcAFwAdABpAG0AZQBzACAATgBFAF8AewBqAD0AMwAsADUAfQBcAFwAdABpAG0AZQBzACAAMgA4ADEAKQArACgATgBfAHsAagA9ADMALAA1AH0AXABcAHQAaQBtAGUAcwAgAE4AUABXAF8AewBqAD0AMwAsADUAfQBcAFwAdABpAG0AZQBzACAAOAA0ACkAXABuAE4AXwBqADMANQAgAD0AIABuAHUAbQBiAGUAcgAgAG8AZgAgAGQAYQBpAHIAeQAgAGMAYQB0AHQAbABlACAAaQBuACAAYwBsAGEAcwBzAGUAcwAgAGoAPQAzACwANQBcAG4ATgBFAF8AagAzADUAIAA9ACAAbgBpAHQAcgBvAGcAZQBuACAAZQB4AGMAcgBlAHQAZQBkACAAYgB5ACAAdwBlAGEAbgBlAGQAIABkAGEAaQByAHkAIABjAGEAdAB0AGwAZQAgAFwAdQAwADAAMwBjADEAIAB5AGUAYQByACAAbwBsAGQAIAAoAGsAZwAgAE4ALwBoAGUAYQBkAC8AZABhAHkAKQBcAG4ATgBQAFcAXwBqADMANQAgAD0AIABuAGkAdAByAG8AZwBlAG4AIABlAHgAYwByAGUAdABlAGQAIABiAHkAIABwAHIAZQAtAHcAZQBhAG4AZQBkACAAYwBhAGwAdgBlAHMAIAAoAGsAZwAgAE4ALwBoAGUAYQBkAC8AZABhAHkAKQBcAG4ALQAtAC0ALQAtAC0ALQAtAC0ALQAtAC0ALQAtAC0ALQAtAC0ALQAtAC0ALQAtAC0ALQAtAC0ALQAtAC0ALQAtAC0ALQAtAC0ALQAtAFwAbgAqAC8AXABuAFwAbgBWAEUARQBSAEcAXwA0AF8AMwBfADEAXwAzAF8AXwAzAGIAXwBUAG8AdABhAGwAQQBuAG4AdQBhAGwATgBpAHQAcgBvAGcAZQBuAEUAeABjAHIAZQB0AGUAZABMAGUAcwBzAFQAaABhAG4ATwBuAGUAWQBlAGEAcgBcAG4AIAAgAD0ATABBAE0AQgBEAEEAKABcAG4AIAAgACAAIABOAF8AagAzADUALAAgAE4ARQBfAGoAMwA1ACwAIABOAFAAVwBfAGoAMwA1ACwAXABuACAAIAAgACAAKABOAF8AagAzADUAIAAqACAATgBFAF8AagAzADUAIAAqACAAMgA4ADEAKQAgACsAIAAoAE4AXwBqADMANQAgACoAIABOAFAAVwBfAGoAMwA1ACAAKgAgADgANAApAFwAbgAgACAAKQA7AFwAbgBcAG4AVgBFAEUAUgBHAF8ANABfADMAXwAxAF8AMwBfAF8AMwBiAF8AVABvAHQAYQBsAEEAbgBuAHUAYQBsAE4AaQB0AHIAbwBnAGUAbgBFAHgAYwByAGUAdABlAGQATABlAHMAcwBUAGgAYQBuAE8AbgBlAFkAZQBhAHIAVgBhAHIAaQBhAHQAaQBvAG4AXABuACAAIAA9AEwAQQBNAEIARABBACgAXABuACAAIAAgACAATgBfAGoAMwA1ACwAIABOAEUAXwBqADMANQAsACAATgBQAFcAXwBqADMANQAsACAARABfAGoAMwA1ACwAIABEAFAAVwBfAGoAMwA1ACwAXABuACAAIAAgACAAKABOAF8AagAzADUAIAAqACAATgBFAF8AagAzADUAIAAqACAARABfAGoAMwA1ACkAIAArACAAKABOAF8AagAzADUAIAAqACAATgBQAFcAXwBqADMANQAgACoAIABEAFAAVwBfAGoAMwA1ACkAXABuACAAIAApADsAXABuAFwAbgBWAEUARQBSAEcAXwA0AF8AMwBfADEAXwAzAF8AXwAzAGIAXwBUAG8AdABhAGwAQQBuAG4AdQBhAGwATgBpAHQAcgBvAGcAZQBuAEUAeABjAHIAZQB0AGUAZABMAGUAcwBzAFQAaABhAG4ATwBuAGUAWQBlAGEAcgBfAFQAaQB0AGwAZQBcAG4AIAAgAD0ATABBAE0AQgBEAEEAKABcACIAVABvAHQAYQBsACAAYQBuAG4AdQBhAGwAIABuAGkAdAByAG8AZwBlAG4AIABlAHgAYwByAGUAdABlAGQAIABiAHkAIABkAGEAaQByAHkAIABjAGEAdAB0AGwAZQAgAGwAZQBzAHMAIAB0AGgAYQBuACAAbwBuAGUAIAB5AGUAYQByACAAbwBsAGQAXAAiACkAOwBcAG4AXABuAFYARQBFAFIARwBfADQAXwAzAF8AMQBfADMAXwBfADMAYgBfAFQAbwB0AGEAbABBAG4AbgB1AGEAbABOAGkAdAByAG8AZwBlAG4ARQB4AGMAcgBlAHQAZQBkAEwAZQBzAHMAVABoAGEAbgBPAG4AZQBZAGUAYQByAF8AVgBhAHIAaQBhAGIAbABlAFwAbgAgACAAPQBMAEEATQBCAEQAQQAoAFwAIgBBAEUAXwBqADMANQBcACIAKQA7AFwAbgBcAG4AVgBFAEUAUgBHAF8ANABfADMAXwAxAF8AMwBfAF8AMwBiAF8AVABvAHQAYQBsAEEAbgBuAHUAYQBsAE4AaQB0AHIAbwBnAGUAbgBFAHgAYwByAGUAdABlAGQATABlAHMAcwBUAGgAYQBuAE8AbgBlAFkAZQBhAHIAXwBVAG4AaQB0AFwAbgAgACAAPQBMAEEATQBCAEQAQQAoAFwAIgBrAGcAIABOAFwAIgApADsAXABuAFwAbgBWAEUARQBSAEcAXwA0AF8AMwBfADEAXwAzAF8AXwAzAGIAXwBUAG8AdABhAGwAQQBuAG4AdQBhAGwATgBpAHQAcgBvAGcAZQBuAEUAeABjAHIAZQB0AGUAZABMAGUAcwBzAFQAaABhAG4ATwBuAGUAWQBlAGEAcgBfAFMAbwB1AHIAYwBlAFwAbgAgACAAPQBMAEEATQBCAEQAQQAoAFwAIgBWAEUARQBSAEcAIAAyADAAMgA2ADoAIAA0AC4AMwAuADEALgAzACwAIABFAHEAdQBhAHQAaQBvAG4AIAAoADMAYgApAFwAIgApADsAXABuAFwAbgBWAEUARQBSAEcAXwA0AF8AMwBfADEAXwAzAF8AXwAzAGIAXwBUAG8AdABhAGwAQQBuAG4AdQBhAGwATgBpAHQAcgBvAGcAZQBuAEUAeABjAHIAZQB0AGUAZABMAGUAcwBzAFQAaABhAG4ATwBuAGUAWQBlAGEAcgBfAE4ASQBSAFIAZQBmAGUAcgBlAG4AYwBlAFwAbgAgACAAPQBMAEEATQBCAEQAQQAoAFwAIgBcACIAKQA7AFwAbgBcAG4AVgBFAEUAUgBHAF8ANABfADMAXwAxAF8AMwBfAF8AMwBiAF8AVABvAHQAYQBsAEEAbgBuAHUAYQBsAE4AaQB0AHIAbwBnAGUAbgBFAHgAYwByAGUAdABlAGQATABlAHMAcwBUAGgAYQBuAE8AbgBlAFkAZQBhAHIAXwBMAGEAdABlAHgARQBxAHUAYQB0AGkAbwBuAFwAbgAgACAAPQBMAEEATQBCAEQAQQAoAFwAIgBBAEUAXwB7AGoAPQAzACwANQB9AD0AKABOAF8AewBqAD0AMwAsADUAfQBcAFwAdABpAG0AZQBzACAATgBFAF8AewBqAD0AMwAsADUAfQBcAFwAdABpAG0AZQBzACAAMgA4ADEAKQArACgATgBfAHsAagA9ADMALAA1AH0AXABcAHQAaQBtAGUAcwAgAE4AUABXAF8AewBqAD0AMwAsADUAfQBcAFwAdABpAG0AZQBzACAAOAA0ACkAXAAiACkAOwBcAG4AXABuAFYARQBFAFIARwBfADQAXwAzAF8AMQBfADMAXwBfADMAYgBfAFQAbwB0AGEAbABBAG4AbgB1AGEAbABOAGkAdAByAG8AZwBlAG4ARQB4AGMAcgBlAHQAZQBkAEwAZQBzAHMAVABoAGEAbgBPAG4AZQBZAGUAYQByAF8ATABhAHQAZQB4AEUAcQB1AGEAdABpAG8AbgBWAGEAcgBpAGEAdABpAG8AbgBcAG4AIAAgAD0ATABBAE0AQgBEAEEAKABcACIAQQBFAF8AewBqAD0AMwAsADUAfQA9ACgATgBfAHsAagA9ADMALAA1AH0AXABcAHQAaQBtAGUAcwAgAE4ARQBfAHsAagA9ADMALAA1AH0AXABcAHQAaQBtAGUAcwAgAEQAXwB7AGoAPQAzACwANQB9ACkAKwAoAE4AXwB7AGoAPQAzACwANQB9AFwAXAB0AGkAbQBlAHMAIABOAFAAVwBfAHsAagA9ADMALAA1AH0AXABcAHQAaQBtAGUAcwAgAEQAUABXAF8AewBqAD0AMwAsADUAfQApAFwAIgApADsAXABuAFwAbgBWAEUARQBSAEcAXwA0AF8AMwBfADEAXwAzAF8AXwAzAGIAXwBUAG8AdABhAGwAQQBuAG4AdQBhAGwATgBpAHQAcgBvAGcAZQBuAEUAeABjAHIAZQB0AGUAZABMAGUAcwBzAFQAaABhAG4ATwBuAGUAWQBlAGEAcgBfAEEAcgBnAHUAbQBlAG4AdABzAFwAbgAgACAAPQBMAEEATQBCAEQAQQAoAFwAbgAgACAAIAAgAE0AQQBLAEUAQQBSAFIAQQBZACgANQAsACAANAAsAFwAbgAgACAAIAAgACAAIABMAEEATQBCAEQAQQAoAHIALABjACwAXABuACAAIAAgACAAIAAgACAAIABJAE4ARABFAFgAKAB7AFwAbgAgACAAIAAgACAAIAAgACAAIAAgAFwAIgBOAF8AagAzADUAXAAiACwAIABcACIAbgB1AG0AYgBlAHIAIABvAGYAIABkAGEAaQByAHkAIABjAGEAdAB0AGwAZQAgAGkAbgAgAGMAbABhAHMAcwBlAHMAIABqAD0AMwAsADUAXAAiACwAIABcACIAaABlAGEAZABcACIALAAgAFwAIgBJAG4AcAB1AHQAXAAiADsAXABuACAAIAAgACAAIAAgACAAIAAgACAAXAAiAE4ARQBfAGoAMwA1AFwAIgAsACAAXAAiAG4AaQB0AHIAbwBnAGUAbgAgAGUAeABjAHIAZQB0AGUAZAAgAGIAeQAgAHcAZQBhAG4AZQBkACAAZABhAGkAcgB5ACAAYwBhAHQAdABsAGUAIABsAGUAcwBzACAAdABoAGEAbgAgAG8AbgBlACAAeQBlAGEAcgAgAG8AbABkACAAKABrAGcAIABOAC8AaABlAGEAZAAvAGQAYQB5ACkAXAAiACwAIABcACIAawBnACAATgAvAGgAZQBhAGQALwBkAGEAeQBcACIALAAgAFwAIgBDAGEAbABjAHUAbABhAHQAZQBkACAAZgByAG8AbQAgADQALgAzAC4AMQAuADMAIAAoADQAKQBcACIAOwBcAG4AIAAgACAAIAAgACAAIAAgACAAIABcACIATgBQAFcAXwBqADMANQBcACIALAAgAFwAIgBuAGkAdAByAG8AZwBlAG4AIABlAHgAYwByAGUAdABlAGQAIABiAHkAIABwAHIAZQAtAHcAZQBhAG4AZQBkACAAYwBhAGwAdgBlAHMAIAAoAGsAZwAgAE4ALwBoAGUAYQBkAC8AZABhAHkAKQBcACIALAAgAFwAIgBrAGcAIABOAC8AaABlAGEAZAAvAGQAYQB5AFwAIgAsACAAXAAiAEMAbwBuAHMAdABhAG4AdABcACIAOwBcAG4AIAAgACAAIAAgACAAIAAgACAAIABcACIARABfAGoAMwA1AFwAIgAsACAAXAAiAGQAdQByAGEAdABpAG8AbgAgAG8AZgAgAHMAdABhAHkAIABvAG4AIABmAGEAcgBtACAAZgBvAHIAIAB3AGUAYQBuAGUAZAAgAGQAYQBpAHIAeQAgAGMAYQB0AHQAbABlACAAbABlAHMAcwAgAHQAaABhAG4AIABvAG4AZQAgAHkAZQBhAHIAIABvAGwAZAAgACgAZABhAHkAcwApAFwAIgAsACAAXAAiAGQAYQB5AHMAXAAiACwAIABcACIASQBuAHAAdQB0AFwAIgA7AFwAbgAgACAAIAAgACAAIAAgACAAIAAgAFwAIgBEAFAAVwBfAGoAMwA1AFwAIgAsACAAXAAiAGQAdQByAGEAdABpAG8AbgAgAG8AZgAgAHMAdABhAHkAIABvAG4AIABmAGEAcgBtACAAZgBvAHIAIABwAHIAZQAtAHcAZQBhAG4AZQBkACAAYwBhAGwAdgBlAHMAIAAoAGQAYQB5AHMAKQBcACIALAAgAFwAIgBkAGEAeQBzAFwAIgAsACAAXAAiAEkAbgBwAHUAdABcACIAXABuACAAIAAgACAAIAAgACAAIAB9ACwAIAByACwAIABjACkAXABuACAAIAAgACAAIAAgACkAXABuACAAIAAgACAAKQBcAG4AIAAgACkAOwBcAG4AXABuAFYARQBFAFIARwBfADQAXwAzAF8AMQBfADMAXwBfADMAYgBfAFQAbwB0AGEAbABBAG4AbgB1AGEAbABOAGkAdAByAG8AZwBlAG4ARQB4AGMAcgBlAHQAZQBkAEwAZQBzAHMAVABoAGEAbgBPAG4AZQBZAGUAYQByAF8AVgBhAHIAaQBhAHQAaQBvAG4AXABuACAAIAA9AEwAQQBNAEIARABBACgAXAAiAFYAQQBSAEkAQQBUAEkATwBOADoAIABVAHMAZQBkACAARAB1AHIAYQB0AGkAbwBuACAAdgBhAHIAaQBhAGIAbABlAHMAIABpAG4AcwB0AGUAYQBkACAAbwBmACAAaABhAHIAZAAtAGMAbwBkAGUAZAAgADIAOAAxACAAYQBuAGQAIAA4ADQAIAB2AGEAbAB1AGUAcwAuAFwAIgApADsAXABuAFwAbgAvACoAXABuAC0ALQAtAC0ALQAtAC0ALQAtAC0ALQAtAC0ALQAtAC0ALQAtAC0ALQAtAC0ALQAtAC0ALQAtAC0ALQAtAC0ALQAtAC0ALQAtAC0ALQBcAG4AVgBFAEUAUgBHAF8ANABfADMAXwAxAF8AMwBfAF8ANABfAE4AaQB0AHIAbwBnAGUAbgBFAHgAYwByAGUAdABlAGQAQgB5AEQAYQBpAHIAeQBDAGEAdAB0AGwAZQBHAHIAZQBhAHQAZQByAFQAaABhAG4ATwBuAGUAWQBlAGEAcgBcAG4ATgBpAHQAcgBvAGcAZQBuACAAZQB4AGMAcgBlAHQAZQBkACAAYgB5ACAAZABhAGkAcgB5ACAAYwBhAHQAdABsAGUAIABcAHUAMAAwADMAZQAxACAAeQBlAGEAcgAgAG8AbABkAFwAbgBOAEUAXwBqAFwAbgBrAGcAIABOAC8AaABlAGEAZAAvAGQAYQB5AFwAbgBOAEUAXwBqAD0AKABDAFAASQBfAGoALwA2AC4AMgA1ACkALQBOAFIAXwBqAC0AKAAoADEALgAxAFwAXAB0AGkAbQBlAHMAIAAxADAAXgB7AC0ANAB9AFwAXAB0AGkAbQBlAHMAIABXAF8AagBeAHsAMAAuADcANQB9ACkALwA2AC4AMgA1ACkAXABuAEMAUABJAF8AagAgAD0AIABjAHIAdQBkAGUAIABwAHIAbwB0AGUAaQBuACAAaQBuAHQAYQBrAGUAIAAoAGsAZwAvAGgAZQBhAGQALwBkAGEAeQApAFwAbgBOAFIAXwBqACAAPQAgAGEAbQBvAHUAbgB0ACAAbwBmACAAbgBpAHQAcgBvAGcAZQBuACAAcgBlAHQAYQBpAG4AZQBkACAAYgB5ACAAdABoAGUAIABiAG8AZAB5ACAAKABrAGcAIABOAC8AaABlAGEAZAAvAGQAYQB5ACkAXABuAFcAXwBqACAAPQAgAGwAaQB2AGUAdwBlAGkAZwBoAHQAIAAoAGsAZwApAFwAbgAtAC0ALQAtAC0ALQAtAC0ALQAtAC0ALQAtAC0ALQAtAC0ALQAtAC0ALQAtAC0ALQAtAC0ALQAtAC0ALQAtAC0ALQAtAC0ALQAtAC0AXABuACoALwBcAG4AXABuAFYARQBFAFIARwBfADQAXwAzAF8AMQBfADMAXwBfADQAXwBOAGkAdAByAG8AZwBlAG4ARQB4AGMAcgBlAHQAZQBkAEIAeQBEAGEAaQByAHkAQwBhAHQAdABsAGUARwByAGUAYQB0AGUAcgBUAGgAYQBuAE8AbgBlAFkAZQBhAHIAXABuACAAIAA9AEwAQQBNAEIARABBACgAXABuACAAIAAgACAAQwBQAEkAXwBqACwAIABOAFIAXwBqACwAIABXAF8AagAsAFwAbgAgACAAIAAgACgAQwBQAEkAXwBqACAALwAgADYALgAyADUAKQAgAC0AIABOAFIAXwBqACAALQAgACgAKAAxAC4AMQAgACoAIAAxADAAIABeACAALQA0ACAAKgAgAFcAXwBqACAAXgAgADAALgA3ADUAKQAgAC8AIAA2AC4AMgA1ACkAXABuACAAIAApADsAXABuAFwAbgBWAEUARQBSAEcAXwA0AF8AMwBfADEAXwAzAF8AXwA0AF8ATgBpAHQAcgBvAGcAZQBuAEUAeABjAHIAZQB0AGUAZABCAHkARABhAGkAcgB5AEMAYQB0AHQAbABlAEcAcgBlAGEAdABlAHIAVABoAGEAbgBPAG4AZQBZAGUAYQByAF8AVABpAHQAbABlAFwAbgAgACAAPQBMAEEATQBCAEQAQQAoAFwAIgBOAGkAdAByAG8AZwBlAG4AIABlAHgAYwByAGUAdABlAGQAIABiAHkAIABkAGEAaQByAHkAIABjAGEAdAB0AGwAZQAgAGcAcgBlAGEAdABlAHIAIAB0AGgAYQBuACAAbwBuAGUAIAB5AGUAYQByACAAbwBsAGQAXAAiACkAOwBcAG4AXABuAFYARQBFAFIARwBfADQAXwAzAF8AMQBfADMAXwBfADQAXwBOAGkAdAByAG8AZwBlAG4ARQB4AGMAcgBlAHQAZQBkAEIAeQBEAGEAaQByAHkAQwBhAHQAdABsAGUARwByAGUAYQB0AGUAcgBUAGgAYQBuAE8AbgBlAFkAZQBhAHIAXwBWAGEAcgBpAGEAYgBsAGUAXABuACAAIAA9AEwAQQBNAEIARABBACgAXAAiAE4ARQBfAGoAXAAiACkAOwBcAG4AXABuAFYARQBFAFIARwBfADQAXwAzAF8AMQBfADMAXwBfADQAXwBOAGkAdAByAG8AZwBlAG4ARQB4AGMAcgBlAHQAZQBkAEIAeQBEAGEAaQByAHkAQwBhAHQAdABsAGUARwByAGUAYQB0AGUAcgBUAGgAYQBuAE8AbgBlAFkAZQBhAHIAXwBVAG4AaQB0AFwAbgAgACAAPQBMAEEATQBCAEQAQQAoAFwAIgBrAGcAIABOAC8AaABlAGEAZAAvAGQAYQB5AFwAIgApADsAXABuAFwAbgBWAEUARQBSAEcAXwA0AF8AMwBfADEAXwAzAF8AXwA0AF8ATgBpAHQAcgBvAGcAZQBuAEUAeABjAHIAZQB0AGUAZABCAHkARABhAGkAcgB5AEMAYQB0AHQAbABlAEcAcgBlAGEAdABlAHIAVABoAGEAbgBPAG4AZQBZAGUAYQByAF8AUwBvAHUAcgBjAGUAXABuACAAIAA9AEwAQQBNAEIARABBACgAXAAiAFYARQBFAFIARwAgADIAMAAyADYAOgAgADQALgAzAC4AMQAuADMALAAgAEUAcQB1AGEAdABpAG8AbgAgACgANAApAFwAIgApADsAXABuAFwAbgBWAEUARQBSAEcAXwA0AF8AMwBfADEAXwAzAF8AXwA0AF8ATgBpAHQAcgBvAGcAZQBuAEUAeABjAHIAZQB0AGUAZABCAHkARABhAGkAcgB5AEMAYQB0AHQAbABlAEcAcgBlAGEAdABlAHIAVABoAGEAbgBPAG4AZQBZAGUAYQByAF8ATgBJAFIAUgBlAGYAZQByAGUAbgBjAGUAXABuACAAIAA9AEwAQQBNAEIARABBACgAXAAiAFwAIgApADsAXABuAFwAbgBWAEUARQBSAEcAXwA0AF8AMwBfADEAXwAzAF8AXwA0AF8ATgBpAHQAcgBvAGcAZQBuAEUAeABjAHIAZQB0AGUAZABCAHkARABhAGkAcgB5AEMAYQB0AHQAbABlAEcAcgBlAGEAdABlAHIAVABoAGEAbgBPAG4AZQBZAGUAYQByAF8ATABhAHQAZQB4AEUAcQB1AGEAdABpAG8AbgBcAG4AIAAgAD0ATABBAE0AQgBEAEEAKABcACIATgBFAF8AagA9ACgAXABcAGYAcgBhAGMAewBDAFAASQBfAGoAfQB7ADYALgAyADUAfQApAC0ATgBSAF8AagAtAFwAXABsAGUAZgB0AFsAXABcAGYAcgBhAGMAewAxAC4AMQBcAFwAdABpAG0AZQBzADEAMABeAHsALQA0AH0AIABcAFwAdABpAG0AZQBzACAAVwBfAGoAXgB7ADAALgA3ADUAfQB9AHsANgAuADIANQB9AFwAXAByAGkAZwBoAHQAXQBcACIAKQA7AFwAbgBcAG4AVgBFAEUAUgBHAF8ANABfADMAXwAxAF8AMwBfAF8ANABfAE4AaQB0AHIAbwBnAGUAbgBFAHgAYwByAGUAdABlAGQAQgB5AEQAYQBpAHIAeQBDAGEAdAB0AGwAZQBHAHIAZQBhAHQAZQByAFQAaABhAG4ATwBuAGUAWQBlAGEAcgBfAEEAcgBnAHUAbQBlAG4AdABzAFwAbgAgACAAPQBMAEEATQBCAEQAQQAoAFwAbgAgACAAIAAgAE0AQQBLAEUAQQBSAFIAQQBZACgAMwAsACAANAAsAFwAbgAgACAAIAAgACAAIABMAEEATQBCAEQAQQAoAHIALABjACwAXABuACAAIAAgACAAIAAgACAAIABJAE4ARABFAFgAKAB7AFwAbgAgACAAIAAgACAAIAAgACAAIAAgAFwAIgBDAFAASQBfAGoAXAAiACwAIABcACIAYwByAHUAZABlACAAcAByAG8AdABlAGkAbgAgAGkAbgB0AGEAawBlACAAKABrAGcALwBoAGUAYQBkAC8AZABhAHkAKQBcACIALAAgAFwAIgBrAGcALwBoAGUAYQBkAC8AZABhAHkAXAAiACwAIABcACIAQwBhAGwAYwB1AGwAYQB0AGUAZAAgAGYAcgBvAG0AIAA0AC4AMwAuADEALgAzACAAKAA1ACkAXAAiADsAXABuACAAIAAgACAAIAAgACAAIAAgACAAXAAiAE4AUgBfAGoAXAAiACwAIABcACIAYQBtAG8AdQBuAHQAIABvAGYAIABuAGkAdAByAG8AZwBlAG4AIAByAGUAdABhAGkAbgBlAGQAIABiAHkAIAB0AGgAZQAgAGIAbwBkAHkAXAAiACwAIABcACIAawBnACAATgAvAGgAZQBhAGQALwBkAGEAeQBcACIALAAgAFwAIgBDAGEAbABjAHUAbABhAHQAZQBkACAAZgByAG8AbQAgADQALgAzAC4AMQAuADMAIAAoADYAKQBcACIAOwBcAG4AIAAgACAAIAAgACAAIAAgACAAIABcACIAVwBfAGoAXAAiACwAIABcACIAbABpAHYAZQB3AGUAaQBnAGgAdAAgACgAawBnACkAXAAiACwAIABcACIAawBn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wBfADEAXwAzAF8AXwA1AF8AQwByAHUAZABlAFAAcgBvAHQAZQBpAG4ASQBuAHQAYQBrAGUATwBmAEQAYQBpAHIAeQBDAGEAdAB0AGwAZQBcAG4AQwByAHUAZABlACAAcAByAG8AdABlAGkAbgAgAGkAbgB0AGEAawBlACAAbwBmACAAZABhAGkAcgB5ACAAYwBhAHQAdABsAGUAXABuAEMAUABJAF8AagBcAG4AawBnAC8AaABlAGEAZAAvAGQAYQB5AFwAbgBDAFAASQBfAGoAPQBJAF8AagBcAFwAdABpAG0AZQBzACAAQwBQAF8AagBcAG4ASQBfAGoAIAA9ACAAZAByAHkAIABtAGEAdAB0AGUAcgAgAGkAbgB0AGEAawBlACAAKABrAGcARABNAC8AaABlAGEAZAAvAGQAYQB5ACkAXABuAEMAUABfAGoAIAA9ACAAYwByAHUAZABlACAAcAByAG8AdABlAGkAbgAgAGMAbwBuAHQAZQBuAHQAIABvAGYAIABmAGUAZQBkACAAaQBuAHQAYQBrAGUAIAAoAGYAcgBhAGMAdABpAG8AbgApAFwAbgAtAC0ALQAtAC0ALQAtAC0ALQAtAC0ALQAtAC0ALQAtAC0ALQAtAC0ALQAtAC0ALQAtAC0ALQAtAC0ALQAtAC0ALQAtAC0ALQAtAC0AXABuACoALwBcAG4AXABuAFYARQBFAFIARwBfADQAXwAzAF8AMQBfADMAXwBfADUAXwBDAHIAdQBkAGUAUAByAG8AdABlAGkAbgBJAG4AdABhAGsAZQBPAGYARABhAGkAcgB5AEMAYQB0AHQAbABlAFwAbgAgACAAPQBMAEEATQBCAEQAQQAoAFwAbgAgACAAIAAgAEkAXwBqACwAIABDAFAAXwBqACwAXABuACAAIAAgACAASQBfAGoAIAAqACAAQwBQAF8AagBcAG4AIAAgACkAOwBcAG4AXABuAFYARQBFAFIARwBfADQAXwAzAF8AMQBfADMAXwBfADUAXwBDAHIAdQBkAGUAUAByAG8AdABlAGkAbgBJAG4AdABhAGsAZQBPAGYARABhAGkAcgB5AEMAYQB0AHQAbABlAF8AVABpAHQAbABlAFwAbgAgACAAPQBMAEEATQBCAEQAQQAoAFwAIgBDAHIAdQBkAGUAIABwAHIAbwB0AGUAaQBuACAAaQBuAHQAYQBrAGUAIABvAGYAIABkAGEAaQByAHkAIABjAGEAdAB0AGwAZQBcACIAKQA7AFwAbgBcAG4AVgBFAEUAUgBHAF8ANABfADMAXwAxAF8AMwBfAF8ANQBfAEMAcgB1AGQAZQBQAHIAbwB0AGUAaQBuAEkAbgB0AGEAawBlAE8AZgBEAGEAaQByAHkAQwBhAHQAdABsAGUAXwBWAGEAcgBpAGEAYgBsAGUAXABuACAAIAA9AEwAQQBNAEIARABBACgAXAAiAEMAUABJAF8AagBcACIAKQA7AFwAbgBcAG4AVgBFAEUAUgBHAF8ANABfADMAXwAxAF8AMwBfAF8ANQBfAEMAcgB1AGQAZQBQAHIAbwB0AGUAaQBuAEkAbgB0AGEAawBlAE8AZgBEAGEAaQByAHkAQwBhAHQAdABsAGUAXwBVAG4AaQB0AFwAbgAgACAAPQBMAEEATQBCAEQAQQAoAFwAIgBrAGcALwBoAGUAYQBkAC8AZABhAHkAXAAiACkAOwBcAG4AXABuAFYARQBFAFIARwBfADQAXwAzAF8AMQBfADMAXwBfADUAXwBDAHIAdQBkAGUAUAByAG8AdABlAGkAbgBJAG4AdABhAGsAZQBPAGYARABhAGkAcgB5AEMAYQB0AHQAbABlAF8AUwBvAHUAcgBjAGUAXABuACAAIAA9AEwAQQBNAEIARABBACgAXAAiAFYARQBFAFIARwAgADIAMAAyADYAOgAgADQALgAzAC4AMQAuADMALAAgAEUAcQB1AGEAdABpAG8AbgAgACgANQApAFwAIgApADsAXABuAFwAbgBWAEUARQBSAEcAXwA0AF8AMwBfADEAXwAzAF8AXwA1AF8AQwByAHUAZABlAFAAcgBvAHQAZQBpAG4ASQBuAHQAYQBrAGUATwBmAEQAYQBpAHIAeQBDAGEAdAB0AGwAZQBfAE4ASQBSAFIAZQBmAGUAcgBlAG4AYwBlAFwAbgAgACAAPQBMAEEATQBCAEQAQQAoAFwAIgBcACIAKQA7AFwAbgBcAG4AVgBFAEUAUgBHAF8ANABfADMAXwAxAF8AMwBfAF8ANQBfAEMAcgB1AGQAZQBQAHIAbwB0AGUAaQBuAEkAbgB0AGEAawBlAE8AZgBEAGEAaQByAHkAQwBhAHQAdABsAGUAXwBMAGEAdABlAHgARQBxAHUAYQB0AGkAbwBuAFwAbgAgACAAPQBMAEEATQBCAEQAQQAoAFwAIgBDAFAASQBfAGoAPQBJAF8AagBcAFwAdABpAG0AZQBzACAAQwBQAF8AagBcACIAKQA7AFwAbgBcAG4AVgBFAEUAUgBHAF8ANABfADMAXwAxAF8AMwBfAF8ANQBfAEMAcgB1AGQAZQBQAHIAbwB0AGUAaQBuAEkAbgB0AGEAawBlAE8AZgBEAGEAaQByAHkAQwBhAHQAdABsAGUAXwBBAHIAZwB1AG0AZQBuAHQAcwBcAG4AIAAgAD0ATABBAE0AQgBEAEEAKABcAG4AIAAgACAAIABNAEEASwBFAEEAUgBSAEEAWQAoADIALAAgADQALABcAG4AIAAgACAAIAAgACAATABBAE0AQgBEAEEAKAByACwAYwAsAFwAbgAgACAAIAAgACAAIAAgACAASQBOAEQARQBYACgAewBcAG4AIAAgACAAIAAgACAAIAAgACAAIABcACIASQBfAGoAXAAiACwAIABcACIAZAByAHkAIABtAGEAdAB0AGUAcgAgAGkAbgB0AGEAawBlAFwAIgAsACAAXAAiAGsAZwBEAE0ALwBoAGUAYQBkAC8AZABhAHkAXAAiACwAIABcACIAQwBhAGwAYwB1AGwAYQB0AGUAZAAgAGYAcgBvAG0AIAAzAC4AMwAuADEALgAxACAAKAAzACkAXAAiADsAXABuACAAIAAgACAAIAAgACAAIAAgACAAXAAiAEMAUABfAGoAXAAiACwAIABcACIAYwByAHUAZABlACAAcAByAG8AdABlAGkAbgAgAGMAbwBuAHQAZQBuAHQAIABvAGYAIABmAGUAZQBkACAAaQBuAHQAYQBrAGUAXAAiACwAIABcACIAZgByAGEAYwB0AGkAbwBu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wBfADEAXwAzAF8AXwA2AF8ATgBpAHQAcgBvAGcAZQBuAFIAZQB0AGEAaQBuAGUAZABCAHkAQgBvAGQAeQBcAG4AQQBtAG8AdQBuAHQAIABvAGYAIABuAGkAdAByAG8AZwBlAG4AIAByAGUAdABhAGkAbgBlAGQAIABiAHkAIAB0AGgAZQAgAGIAbwBkAHkAXABuAE4AUgBfAGoAXABuAGsAZwAgAE4ALwBoAGUAYQBkAC8AZABhAHkAXABuAE4AUgBfAGoAPQAoACgAKAAwAC4AMAAzADIAXABcAHQAaQBtAGUAcwAgAE0AUABfAGoAXABcAHQAaQBtAGUAcwAgADEALgAwADMAKQAvADYALgAzADgAKQArACgAKAAwAC4AMgAxADIALQAwAC4AMAAwADgAXABcAHQAaQBtAGUAcwAgACgATABfAGoALQAyACkALQAoACgAMAAuADEANAAwAC0AMAAuADAAMAA4AFwAXAB0AGkAbQBlAHMAIAAoAEwAXwBqAC0AMgApACkALwAoADEAKwBFAFgAUAAoAC0ANgBcAFwAdABpAG0AZQBzACAAKABaAF8AagAtADAALgA0ACkAKQApACkAKQBcAFwAdABpAG0AZQBzACAAKABMAFcARwBfAGoAXABcAHQAaQBtAGUAcwAgADAALgA5ADIAKQApACkAXABcAHQAaQBtAGUAcwAgACgAMQAvADYALgAyADUAKQBcAG4ATQBQAF8AagAgAD0AIABtAGkAbABrACAAcAByAG8AZAB1AGMAdABpAG8AbgAgACgATAAvAGgAZQBhAGQALwBkAGEAeQApAFwAbgBMAF8AagAgAD0AIABpAG4AdABhAGsAZQAgAHIAZQBsAGEAdABpAHYAZQAgAHQAbwAgAG0AYQBpAG4AdABlAG4AYQBuAGMAZQBcAG4AWgBfAGoAIAA9ACAAcgBlAGwAYQB0AGkAdgBlACAAcwBpAHoAZQBcAG4ATABXAEcAXwBqACAAPQAgAGwAaQB2AGUAdwBlAGkAZwBoAHQAIABnAGEAaQBuACAAKABrAGcALwBkAGEAeQApAFwAbgAtAC0ALQAtAC0ALQAtAC0ALQAtAC0ALQAtAC0ALQAtAC0ALQAtAC0ALQAtAC0ALQAtAC0ALQAtAC0ALQAtAC0ALQAtAC0ALQAtAC0AXABuACoALwBcAG4AXABuAFYARQBFAFIARwBfADQAXwAzAF8AMQBfADMAXwBfADYAXwBOAGkAdAByAG8AZwBlAG4AUgBlAHQAYQBpAG4AZQBkAEIAeQBCAG8AZAB5AFwAbgAgACAAPQBMAEEATQBCAEQAQQAoAFwAbgAgACAAIAAgAE0AUABfAGoALAAgAEwAXwBqACwAIABaAF8AagAsACAATABXAEcAXwBqACwAXABuACAAIAAgACAAKAAoACgAMAAuADAAMwAyACAAKgAgAE0AUABfAGoAIAAqACAAMQAuADAAMwApACAALwAgADYALgAzADgAKQAgACsAIAAoACgAMAAuADIAMQAyACAALQAgADAALgAwADAAOAAgACoAIAAoAEwAXwBqACAALQAgADIAKQAgAC0AIAAoACgAMAAuADEANAAwACAALQAgADAALgAwADAAOAAgACoAIAAoAEwAXwBqACAALQAgADIAKQApACAALwAgACgAMQAgACsAIABFAFgAUAAoAC0ANgAgACoAIAAoAFoAXwBqACAALQAgADAALgA0ACkAKQApACkAKQAgACoAIAAoAEwAVwBHAF8AagAgACoAIAAwAC4AOQAyACkAKQApACAAKgAgACgAMQAgAC8AIAA2AC4AMgA1ACkAXABuACAAIAApADsAXABuAFwAbgBWAEUARQBSAEcAXwA0AF8AMwBfADEAXwAzAF8AXwA2AF8ATgBpAHQAcgBvAGcAZQBuAFIAZQB0AGEAaQBuAGUAZABCAHkAQgBvAGQAeQBfAFQAaQB0AGwAZQBcAG4AIAAgAD0ATABBAE0AQgBEAEEAKABcACIAQQBtAG8AdQBuAHQAIABvAGYAIABuAGkAdAByAG8AZwBlAG4AIAByAGUAdABhAGkAbgBlAGQAIABiAHkAIAB0AGgAZQAgAGIAbwBkAHkAXAAiACkAOwBcAG4AXABuAFYARQBFAFIARwBfADQAXwAzAF8AMQBfADMAXwBfADYAXwBOAGkAdAByAG8AZwBlAG4AUgBlAHQAYQBpAG4AZQBkAEIAeQBCAG8AZAB5AF8AVgBhAHIAaQBhAGIAbABlAFwAbgAgACAAPQBMAEEATQBCAEQAQQAoAFwAIgBOAFIAXwBqAFwAIgApADsAXABuAFwAbgBWAEUARQBSAEcAXwA0AF8AMwBfADEAXwAzAF8AXwA2AF8ATgBpAHQAcgBvAGcAZQBuAFIAZQB0AGEAaQBuAGUAZABCAHkAQgBvAGQAeQBfAFUAbgBpAHQAXABuACAAIAA9AEwAQQBNAEIARABBACgAXAAiAGsAZwAgAE4ALwBoAGUAYQBkAC8AZABhAHkAXAAiACkAOwBcAG4AXABuAFYARQBFAFIARwBfADQAXwAzAF8AMQBfADMAXwBfADYAXwBOAGkAdAByAG8AZwBlAG4AUgBlAHQAYQBpAG4AZQBkAEIAeQBCAG8AZAB5AF8AUwBvAHUAcgBjAGUAXABuACAAIAA9AEwAQQBNAEIARABBACgAXAAiAFYARQBFAFIARwAgADIAMAAyADYAOgAgADQALgAzAC4AMQAuADMALAAgAEUAcQB1AGEAdABpAG8AbgAgACgANgApAFwAIgApADsAXABuAFwAbgBWAEUARQBSAEcAXwA0AF8AMwBfADEAXwAzAF8AXwA2AF8ATgBpAHQAcgBvAGcAZQBuAFIAZQB0AGEAaQBuAGUAZABCAHkAQgBvAGQAeQBfAE4ASQBSAFIAZQBmAGUAcgBlAG4AYwBlAFwAbgAgACAAPQBMAEEATQBCAEQAQQAoAFwAIgBcACIAKQA7AFwAbgBcAG4AVgBFAEUAUgBHAF8ANABfADMAXwAxAF8AMwBfAF8ANgBfAE4AaQB0AHIAbwBnAGUAbgBSAGUAdABhAGkAbgBlAGQAQgB5AEIAbwBkAHkAXwBMAGEAdABlAHgARQBxAHUAYQB0AGkAbwBuAFwAbgAgACAAPQBMAEEATQBCAEQAQQAoAFwAIgBOAFIAXwBqAD0AXABcAGwAZQBmAHQAKABcAFwAZgByAGEAYwB7ADAALgAwADMAMgAgAFwAXAB0AGkAbQBlAHMAIABNAFAAXwBqACAAXABcAHQAaQBtAGUAcwAgADEALgAwADMAfQB7ADYALgAzADgAfQBcAFwAcgBpAGcAaAB0ACkAIAArACAAXABcAGwAZQBmAHQAXABcAHsAXABcAGwAZQBmAHQAKAAwAC4AMgAxADIALQAwAC4AMAAwADgAIABcAFwAdABpAG0AZQBzACAAKABMAF8AagAgAC0AIAAyACkAIAAtACAAXABcAGwAZQBmAHQAWwBcAFwAZgByAGEAYwB7ADAALgAxADQAMAAtADAALgAwADAAOABcAFwAdABpAG0AZQBzACgATABfAGoALQAyACkAfQB7ADEAKwBlAF4AewAtADYAXABcAHQAaQBtAGUAcwAoAFoAXwBqAC0AMAAuADQAKQB9AH0AXABcAHIAaQBnAGgAdABdAFwAXAByAGkAZwBoAHQAKQAgAFwAXAB0AGkAbQBlAHMAIAAoAEwAVwBHAF8AagAgAFwAXAB0AGkAbQBlAHMAIAAwAC4AOQAyACkAXABcAHIAaQBnAGgAdABcAFwAfQAgAFwAXAB0AGkAbQBlAHMAIABcAFwAZgByAGEAYwB7ADEAfQB7ADYALgAyADUAfQBcACIAKQA7AFwAbgBcAG4AVgBFAEUAUgBHAF8ANABfADMAXwAxAF8AMwBfAF8ANgBfAE4AaQB0AHIAbwBnAGUAbgBSAGUAdABhAGkAbgBlAGQAQgB5AEIAbwBkAHkAXwBBAHIAZwB1AG0AZQBuAHQAcwBcAG4AIAAgAD0ATABBAE0AQgBEAEEAKABcAG4AIAAgACAAIABNAEEASwBFAEEAUgBSAEEAWQAoADYALAAgADQALABcAG4AIAAgACAAIAAgACAATABBAE0AQgBEAEEAKAByACwAYwAsAFwAbgAgACAAIAAgACAAIAAgACAASQBOAEQARQBYACgAewBcAG4AIAAgACAAIAAgACAAIAAgACAAIABcACIATQBQAFUAXAAiACwAIABcACIAaQBuAHAAdQB0ACAAbQBpAGwAawAgAHAAcgBvAGQAdQBjAHQAaQBvAG4AIAB1AG4AaQB0AFwAIgAsACAAXAAiAFwAIgAsACAAXAAiAEkAbgBwAHUAdABcACIAOwBcAG4AIAAgACAAIAAgACAAIAAgACAAIABcACIATQBQAF8AagBcACIALAAgAFwAIgBtAGkAbABrACAAcAByAG8AZAB1AGMAdABpAG8AbgAgACgAaQBmACAAaQBuAHAAdQB0ACAAYQBzACAAbABpAHQAcgBlAHMAIABvAGYAIABtAGkAbABrACkAXAAiACwAIABcACIATAAvAGgAZQBhAGQALwBkAGEAeQBcACIALAAgAFwAIgBJAG4AcAB1AHQAXAAiADsAXABuACAAIAAgACAAIAAgACAAIAAgACAAXAAiAE0AUABfAGoAXAAiACwAIABcACIAbQBpAGwAawAgAHAAcgBvAGQAdQBjAHQAaQBvAG4AIAAoAGkAZgAgAGkAbgBwAHUAdAAgAGEAcwAgAG0AaQBsAGsAIABzAG8AbABpAGQAcwApAFwAIgAsACAAXAAiAEwALwBoAGUAYQBkAC8AZABhAHkAXAAiACwAIABcACIAQwBhAGwAYwB1AGwAYQB0AGUAZAAgAGYAcgBvAG0AIAAzAC4AMwAuADEALgAxACAAKAA1ACkAXAAiADsAXABuACAAIAAgACAAIAAgACAAIAAgACAAXAAiAEwAXwBqAFwAIgAsACAAXAAiAGkAbgB0AGEAawBlACAAcgBlAGwAYQB0AGkAdgBlACAAdABvACAAbQBhAGkAbgB0AGUAbgBhAG4AYwBlAFwAIgAsACAAXAAiAFwAIgAsACAAXAAiAEMAYQBsAGMAdQBsAGEAdABlAGQAIABmAHIAbwBtACAANAAuADMALgAxAC4AMwAgACgANwApAFwAIgA7AFwAbgAgACAAIAAgACAAIAAgACAAIAAgAFwAIgBaAF8AagBcACIALAAgAFwAIgByAGUAbABhAHQAaQB2AGUAIABzAGkAegBlAFwAIgAsACAAXAAiAFwAIgAsACAAXAAiAEMAYQBsAGMAdQBsAGEAdABlAGQAIABmAHIAbwBtACAANAAuADMALgAxAC4AMwAgACgAOAApAFwAIgA7AFwAbgAgACAAIAAgACAAIAAgACAAIAAgAFwAIgBMAFcARwBfAGoAXAAiACwAIABcACIAbABpAHYAZQB3AGUAaQBnAGgAdAAgAGcAYQBpAG4AXAAiACwAIABcACIAawBnAC8AaABlAGEAZAAvAGQAYQB5AFwAIgAsACAAXAAiAEkAbgBwAHUAdABcACIAXABuACAAIAAgACAAIAAgACAAIAB9ACwAIAByACwAIABjACkAXABuACAAIAAgACAAIAAgACkAXABuACAAIAAgACAAKQBcAG4AIAAgACkAOwBcAG4AXABuAFYARQBFAFIARwBfADQAXwAzAF8AMQBfADMAXwBfADYAXwBOAGkAdAByAG8AZwBlAG4AUgBlAHQAYQBpAG4AZQBkAEIAeQBCAG8AZAB5AF8AVgBhAHIAaQBhAHQAaQBvAG4AXABuACAAIAA9AEwAQQBNAEIARABBACgAXAAiAFYAQQBSAEkAQQBUAEkATwBOACAATwBOACAAUwBPAFUAUgBDAEUAOgAgAEEAZABkAGUAZAAgAGMAaABlAGMAawAgAGYAbwByACAAbQBpAGwAawAgAHAAcgBvAGQAdQBjAHQAaQBvAG4AIABpAG4AcAB1AHQAIAB1AG4AaQB0ACAAYQBuAGQAIABjAGgAbwBvAHMAZQAgAGMAbwByAHIAZQBzAHAAbwBuAGQAaQBuAGcAIABNAFAAXwBqACAAdgBhAGwAdQBlACAAYQBjAGMAbwByAGQAaQBuAGcAbAB5AC4AXAAiACkAOwBcAG4AXABuAC8AKgBcAG4ALQAtAC0ALQAtAC0ALQAtAC0ALQAtAC0ALQAtAC0ALQAtAC0ALQAtAC0ALQAtAC0ALQAtAC0ALQAtAC0ALQAtAC0ALQAtAC0ALQAtAFwAbgBWAEUARQBSAEcAXwA0AF8AMwBfADEAXwAzAF8AXwA3AF8ASQBuAHQAYQBrAGUAUgBlAGwAYQB0AGkAdgBlAFQAbwBNAGEAaQBuAHQAZQBuAGEAbgBjAGUAXABuAEkAbgB0AGEAawBlACAAcgBlAGwAYQB0AGkAdgBlACAAdABvACAAbQBhAGkAbgB0AGUAbgBhAG4AYwBlAFwAbgBMAF8AagBcAG4AcgBhAHQAaQBvAFwAbgBMAF8AagA9AEkAXwBqAC8AKAAoADEALgAxADgANQArADAALgAwADAANAA1ADQAXABcAHQAaQBtAGUAcwAgAFcAXwBqAC0AMAAuADAAMAAwADAAMAAyADYAXABcAHQAaQBtAGUAcwAgAFcAXwBqAF4AMgApAF4AMgBcAFwAdABpAG0AZQBzACAATQBSAF8AagArAE0ASQBfAGoAKQBcAG4ASQBfAGoAIAA9ACAAZAByAHkAIABtAGEAdAB0AGUAcgAgAGkAbgB0AGEAawBlACAAKABrAGcARABNAC8AaABlAGEAZAAvAGQAYQB5ACkAXABuAFcAXwBqACAAPQAgAGwAaQB2AGUAdwBlAGkAZwBoAHQAIAAoAGsAZwApAFwAbgBNAFIAXwBqACAAPQAgAGkAbgBjAHIAZQBhAHMAZQAgAGkAbgAgAG0AZQB0AGEAYgBvAGwAaQBjACAAcgBhAHQAZQAgAHcAaABlAG4AIABwAHIAbwBkAHUAYwBpAG4AZwAgAG0AaQBsAGsAXABuAE0ASQBfAGoAIAA9ACAAYQBkAGQAaQB0AGkAbwBuAGEAbAAgAGkAbgB0AGEAawBlACAAcgBlAHEAdQBpAHIAZQBkACAAZgBvAHIAIABtAGkAbABrACAAcAByAG8AZAB1AGMAdABpAG8AbgAgACgAawBnAEQATQAvAGgAZQBhAGQALwBkAGEAeQApAFwAbgAtAC0ALQAtAC0ALQAtAC0ALQAtAC0ALQAtAC0ALQAtAC0ALQAtAC0ALQAtAC0ALQAtAC0ALQAtAC0ALQAtAC0ALQAtAC0ALQAtAC0AXABuACoALwBcAG4AXABuAFYARQBFAFIARwBfADQAXwAzAF8AMQBfADMAXwBfADcAXwBJAG4AdABhAGsAZQBSAGUAbABhAHQAaQB2AGUAVABvAE0AYQBpAG4AdABlAG4AYQBuAGMAZQBcAG4AIAAgAD0ATABBAE0AQgBEAEEAKABcAG4AIAAgACAAIABJAF8AagAsACAAVwBfAGoALAAgAE0AUgBfAGoALAAgAE0ASQBfAGoALABcAG4AIAAgACAAIABJAF8AagAgAC8AIAAoACgAKAAxAC4AMQA4ADUAIAArACAAMAAuADAAMAA0ADUANAAgACoAIABXAF8AagAgAC0AIAAwAC4AMAAwADAAMAAwADIANgAgACoAIABXAF8AagAgAF4AIAAyACkAIABeACAAMgAgACoAIABNAFIAXwBqACkAIAArACAATQBJAF8AagApAFwAbgAgACAAKQA7AFwAbgBcAG4AVgBFAEUAUgBHAF8ANABfADMAXwAxAF8AMwBfAF8ANwBfAEkAbgB0AGEAawBlAFIAZQBsAGEAdABpAHYAZQBUAG8ATQBhAGkAbgB0AGUAbgBhAG4AYwBlAF8AVABpAHQAbABlAFwAbgAgACAAPQBMAEEATQBCAEQAQQAoAFwAIgBJAG4AdABhAGsAZQAgAHIAZQBsAGEAdABpAHYAZQAgAHQAbwAgAG0AYQBpAG4AdABlAG4AYQBuAGMAZQBcACIAKQA7AFwAbgBcAG4AVgBFAEUAUgBHAF8ANABfADMAXwAxAF8AMwBfAF8ANwBfAEkAbgB0AGEAawBlAFIAZQBsAGEAdABpAHYAZQBUAG8ATQBhAGkAbgB0AGUAbgBhAG4AYwBlAF8AVgBhAHIAaQBhAGIAbABlAFwAbgAgACAAPQBMAEEATQBCAEQAQQAoAFwAIgBMAF8AagBcACIAKQA7AFwAbgBcAG4AVgBFAEUAUgBHAF8ANABfADMAXwAxAF8AMwBfAF8ANwBfAEkAbgB0AGEAawBlAFIAZQBsAGEAdABpAHYAZQBUAG8ATQBhAGkAbgB0AGUAbgBhAG4AYwBlAF8AVQBuAGkAdABcAG4AIAAgAD0ATABBAE0AQgBEAEEAKABcACIAcgBhAHQAaQBvAFwAIgApADsAXABuAFwAbgBWAEUARQBSAEcAXwA0AF8AMwBfADEAXwAzAF8AXwA3AF8ASQBuAHQAYQBrAGUAUgBlAGwAYQB0AGkAdgBlAFQAbwBNAGEAaQBuAHQAZQBuAGEAbgBjAGUAXwBTAG8AdQByAGMAZQBcAG4AIAAgAD0ATABBAE0AQgBEAEEAKABcACIAVgBFAEUAUgBHACAAMgAwADIANgA6ACAANAAuADMALgAxAC4AMwAsACAARQBxAHUAYQB0AGkAbwBuACAAKAA3ACkAXAAiACkAOwBcAG4AXABuAFYARQBFAFIARwBfADQAXwAzAF8AMQBfADMAXwBfADcAXwBJAG4AdABhAGsAZQBSAGUAbABhAHQAaQB2AGUAVABvAE0AYQBpAG4AdABlAG4AYQBuAGMAZQBfAE4ASQBSAFIAZQBmAGUAcgBlAG4AYwBlAFwAbgAgACAAPQBMAEEATQBCAEQAQQAoAFwAIgBcACIAKQA7AFwAbgBcAG4AVgBFAEUAUgBHAF8ANABfADMAXwAxAF8AMwBfAF8ANwBfAEkAbgB0AGEAawBlAFIAZQBsAGEAdABpAHYAZQBUAG8ATQBhAGkAbgB0AGUAbgBhAG4AYwBlAF8ATABhAHQAZQB4AEUAcQB1AGEAdABpAG8AbgBcAG4AIAAgAD0ATABBAE0AQgBEAEEAKABcACIATABfAGoAPQBcAFwAZgByAGEAYwB7AEkAXwBqAH0AewAoADEALgAxADgANQArADAALgAwADAANAA1ADQAXABcAHQAaQBtAGUAcwAgAFcAXwBqAC0AMAAuADAAMAAwADAAMAAyADYAXABcAHQAaQBtAGUAcwAgAFcAXwBqAF4AMgApAF4AMgBcAFwAdABpAG0AZQBzACAATQBSAF8AagArAE0ASQBfAGoAfQBcACIAKQA7AFwAbgBcAG4AVgBFAEUAUgBHAF8ANABfADMAXwAxAF8AMwBfAF8ANwBfAEkAbgB0AGEAawBlAFIAZQBsAGEAdABpAHYAZQBUAG8ATQBhAGkAbgB0AGUAbgBhAG4AYwBlAF8AQQByAGcAdQBtAGUAbgB0AHMAXABuACAAIAA9AEwAQQBNAEIARABBACgAXABuACAAIAAgACAATQBBAEsARQBBAFIAUgBBAFkAKAA0ACwAIAA0ACwAXABuACAAIAAgACAAIAAgAEwAQQBNAEIARABBACgAcgAsAGMALABcAG4AIAAgACAAIAAgACAAIAAgAEkATgBEAEUAWAAoAHsAXABuACAAIAAgACAAIAAgACAAIAAgACAAXAAiAEkAXwBqAFwAIgAsACAAXAAiAGQAcgB5ACAAbQBhAHQAdABlAHIAIABpAG4AdABhAGsAZQBcACIALAAgAFwAIgBrAGcARABNAC8AaABlAGEAZAAvAGQAYQB5AFwAIgAsACAAXAAiAEMAYQBsAGMAdQBsAGEAdABlAGQAIABmAHIAbwBtACAAMwAuADMALgAxAC4AMQAgACgAMwApAFwAIgA7AFwAbgAgACAAIAAgACAAIAAgACAAIAAgAFwAIgBXAF8AagBcACIALAAgAFwAIgBsAGkAdgBlAHcAZQBpAGcAaAB0AFwAIgAsACAAXAAiAGsAZwAvAGgAZQBhAGQAXAAiACwAIABcACIASQBuAHAAdQB0AFwAIgA7AFwAbgAgACAAIAAgACAAIAAgACAAIAAgAFwAIgBNAFIAXwBqAFwAIgAsACAAXAAiAGkAbgBjAHIAZQBhAHMAZQAgAGkAbgAgAG0AZQB0AGEAYgBvAGwAaQBjACAAcgBhAHQAZQAgAHcAaABlAG4AIABwAHIAbwBkAHUAYwBpAG4AZwAgAG0AaQBsAGsAXAAiACwAIABcACIAXAAiACwAIABcACIAQwBvAG4AcwB0AGEAbgB0AFwAIgA7AFwAbgAgACAAIAAgACAAIAAgACAAIAAgAFwAIgBNAEkAXwBqAFwAIgAsACAAXAAiAGEAZABkAGkAdABpAG8AbgBhAGwAIABpAG4AdABhAGsAZQAgAHIAZQBxAHUAaQByAGUAZAAgAGYAbwByACAAbQBpAGwAawAgAHAAcgBvAGQAdQBjAHQAaQBvAG4AXAAiACwAIABcACIAawBnAEQATQAvAGgAZQBhAGQALwBkAGEAeQBcACIALAAgAFwAIgBDAGEAbABjAHUAbABhAHQAZQBkACAAZgByAG8AbQAgADMALgAzAC4AMQAuADEAIAAoADQAKQBcACIAXABuACAAIAAgACAAIAAgACAAIAB9ACwAIAByACwAIABjACkAXABuACAAIAAgACAAIAAgACkAXABuACAAIAAgACAAKQBcAG4AIAAgACkAOwBcAG4AXABuAC8AKgBcAG4ALQAtAC0ALQAtAC0ALQAtAC0ALQAtAC0ALQAtAC0ALQAtAC0ALQAtAC0ALQAtAC0ALQAtAC0ALQAtAC0ALQAtAC0ALQAtAC0ALQAtAFwAbgBWAEUARQBSAEcAXwA0AF8AMwBfADEAXwAzAF8AXwA4AF8AUgBlAGwAYQB0AGkAdgBlAFMAaQB6AGUAXABuAFIAZQBsAGEAdABpAHYAZQAgAHMAaQB6AGUAXABuAFoAXwBqAFwAbgByAGEAdABpAG8AXABuAFoAXwBqAD0AVwBfAGoALwBXAFIAXwBqAFwAbgBXAF8AagAgAD0AIABsAGkAdgBlAHcAZQBpAGcAaAB0ACAAKABrAGcAKQBcAG4AVwBSAF8AagAgAD0AIAByAGUAZgBlAHIAZQBuAGMAZQAgAHcAZQBpAGcAaAB0ACAAKABrAGcAKQBcAG4ALQAtAC0ALQAtAC0ALQAtAC0ALQAtAC0ALQAtAC0ALQAtAC0ALQAtAC0ALQAtAC0ALQAtAC0ALQAtAC0ALQAtAC0ALQAtAC0ALQAtAFwAbgAqAC8AXABuAFwAbgBWAEUARQBSAEcAXwA0AF8AMwBfADEAXwAzAF8AXwA4AF8AUgBlAGwAYQB0AGkAdgBlAFMAaQB6AGUAXABuACAAIAA9AEwAQQBNAEIARABBACgAXABuACAAIAAgACAAVwBfAGoALAAgAFcAUgBfAGoALABcAG4AIAAgACAAIABXAF8AagAgAC8AIABXAFIAXwBqAFwAbgAgACAAKQA7AFwAbgBcAG4AVgBFAEUAUgBHAF8ANABfADMAXwAxAF8AMwBfAF8AOABfAFIAZQBsAGEAdABpAHYAZQBTAGkAegBlAF8AVABpAHQAbABlAFwAbgAgACAAPQBMAEEATQBCAEQAQQAoAFwAIgBSAGUAbABhAHQAaQB2AGUAIABzAGkAegBlAFwAIgApADsAXABuAFwAbgBWAEUARQBSAEcAXwA0AF8AMwBfADEAXwAzAF8AXwA4AF8AUgBlAGwAYQB0AGkAdgBlAFMAaQB6AGUAXwBWAGEAcgBpAGEAYgBsAGUAXABuACAAIAA9AEwAQQBNAEIARABBACgAXAAiAFoAXwBqAFwAIgApADsAXABuAFwAbgBWAEUARQBSAEcAXwA0AF8AMwBfADEAXwAzAF8AXwA4AF8AUgBlAGwAYQB0AGkAdgBlAFMAaQB6AGUAXwBVAG4AaQB0AFwAbgAgACAAPQBMAEEATQBCAEQAQQAoAFwAIgByAGEAdABpAG8AXAAiACkAOwBcAG4AXABuAFYARQBFAFIARwBfADQAXwAzAF8AMQBfADMAXwBfADgAXwBSAGUAbABhAHQAaQB2AGUAUwBpAHoAZQBfAFMAbwB1AHIAYwBlAFwAbgAgACAAPQBMAEEATQBCAEQAQQAoAFwAIgBWAEUARQBSAEcAIAAyADAAMgA2ADoAIAA0AC4AMwAuADEALgAzACwAIABFAHEAdQBhAHQAaQBvAG4AIAAoADgAKQBcACIAKQA7AFwAbgBcAG4AVgBFAEUAUgBHAF8ANABfADMAXwAxAF8AMwBfAF8AOABfAFIAZQBsAGEAdABpAHYAZQBTAGkAegBlAF8ATgBJAFIAUgBlAGYAZQByAGUAbgBjAGUAXABuACAAIAA9AEwAQQBNAEIARABBACgAXAAiAFwAIgApADsAXABuAFwAbgBWAEUARQBSAEcAXwA0AF8AMwBfADEAXwAzAF8AXwA4AF8AUgBlAGwAYQB0AGkAdgBlAFMAaQB6AGUAXwBMAGEAdABlAHgARQBxAHUAYQB0AGkAbwBuAFwAbgAgACAAPQBMAEEATQBCAEQAQQAoAFwAIgBaAF8AagA9AFwAXABmAHIAYQBjAHsAVwBfAGoAfQB7AFcAUgBfAGoAfQBcACIAKQA7AFwAbgBcAG4AVgBFAEUAUgBHAF8ANABfADMAXwAxAF8AMwBfAF8AOABfAFIAZQBsAGEAdABpAHYAZQBTAGkAegBlAF8AQQByAGcAdQBtAGUAbgB0AHMAXABuACAAIAA9AEwAQQBNAEIARABBACgAXABuACAAIAAgACAATQBBAEsARQBBAFIAUgBBAFkAKAAyACwAIAA0ACwAXABuACAAIAAgACAAIAAgAEwAQQBNAEIARABBACgAcgAsAGMALABcAG4AIAAgACAAIAAgACAAIAAgAEkATgBEAEUAWAAoAHsAXABuACAAIAAgACAAIAAgACAAIAAgACAAXAAiAFcAXwBqAFwAIgAsACAAXAAiAGwAaQB2AGUAdwBlAGkAZwBoAHQAXAAiACwAIABcACIAawBnAC8AaABlAGEAZABcACIALAAgAFwAIgBJAG4AcAB1AHQAXAAiADsAXABuACAAIAAgACAAIAAgACAAIAAgACAAXAAiAFcAUgBfAGoAXAAiACwAIABcACIAcgBlAGYAZQByAGUAbgBjAGUAIAB3AGUAaQBnAGgAdABcACIALAAgAFwAIgBrAGcALwBoAGUAYQBkAFwAIgAsACAAXAAiAEMAbwBuAHMAdABhAG4AdABcACIAXABuACAAIAAgACAAIAAgACAAIAB9ACwAIAByACwAIABjACkAXABuACAAIAAgACAAIAAgACkAXABuACAAIAAgACAAKQBcAG4AIAAgACkAOwBcAG4AIgB9ACwAewAiAHAAYQB0AGgAIgA6ACIALwBwAHIAbwBqAGUAYwB0AHMALwBFAG4AdABlAHIAaQBjAE0AZQB0AGgAYQBuAGUAXwBEAGEAaQByAHkAXwBFAHEAdQBhAHQAaQBvAG4AcwAiACwAIgB0AGUAeAB0ACIAOgAiAC8AKgBcAG4APQA9AD0APQA9AD0APQA9AD0APQA9AD0APQA9AD0APQA9AD0APQA9AD0APQA9AD0APQA9AD0APQA9AD0APQA9AD0APQA9AD0APQA9AD0APQA9AD0APQA9AD0APQA9AD0APQA9AD0APQA9AD0APQA9AD0APQA9AD0APQA9AD0APQA9AD0APQA9AD0APQA9AD0APQA9AD0APQBcAG4AMwAuADMAOgAgAEUAbgB0AGUAcgBpAGMAIABNAGUAdABoAGEAbgBlACAALQAgAEQAYQBpAHIAeQAgAEMAYQB0AHQAbABlAFwAbgA9AD0APQA9AD0APQA9AD0APQA9AD0APQA9AD0APQA9AD0APQA9AD0APQA9AD0APQA9AD0APQA9AD0APQA9AD0APQA9AD0APQA9AD0APQA9AD0APQA9AD0APQA9AD0APQA9AD0APQA9AD0APQA9AD0APQA9AD0APQA9AD0APQA9AD0APQA9AD0APQA9AD0APQA9AD0APQA9AFwAbgAzAC4AMwAuADEALgAxACAATQBlAHQAaABvAGQAIAAxACAALQAgAEUAbgB0AGUAcgBpAGMAIABEAGEAaQByAHkAIABDAGEAdAB0AGwAZQ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MAXwAzAF8AMQBfADEAXwBfADEAXwBUAG8AdABhAGwAQQBuAG4AdQBhAGwATQBlAHQAaABhAG4AZQBGAHIAbwBtAEUAbgB0AGUAcgBpAGMARgBlAHIAbQBlAG4AdABhAHQAaQBvAG4AXABuAFQAbwB0AGEAbAAgAGEAbgBuAHUAYQBsACAAbQBlAHQAaABhAG4AZQAgAHAAcgBvAGQAdQBjAHQAaQBvAG4AIABmAHIAbwBtACAAZQBuAHQAZQByAGkAYwAgAGYAZQByAG0AZQBuAHQAYQB0AGkAbwBuACAAaQBuACAAZABhAGkAcgB5ACAAYwBhAHQAdABsAGUAXABuAEUAXwBlAG4AdABlAHIAaQBjAFwAbgB0ACAAQwBIADQAXABuAEUAXwB7AGUAbgB0AGUAcgBpAGMAfQA9ACgAKABOAF8AewBqAD0AMQAsADIALAA0AH0AXABcAHQAaQBtAGUAcwAgAE0AXwB7AGoAPQAxACwAMgAsADQAfQBcAFwAdABpAG0AZQBzACAARABfAHsAagA9ADEALAAyACwANAB9ACkAKwAoAE4AXwB7AGoAPQAzACwANQB9AFwAXAB0AGkAbQBlAHMAIABNAF8AewBqAD0AMwAsADUAfQBcAFwAdABpAG0AZQBzACAARABfAHsAagA9ADMALAA1AH0AKQArACgATgBfAHsAagA9ADMALAA1AH0AXABcAHQAaQBtAGUAcwAgAE0AUABXAF8AewBFAE4AVABFAFIASQBDACwAagA9ADMALAA1AH0AXABcAHQAaQBtAGUAcwAgAEQAXwB7AGoAPQAzACwANQB9ACkAKQBcAFwAdABpAG0AZQBzACAAMQAwAF4AewAtADMAfQBcAG4ATgBfAGoAMQAyADQAIAA9ACAAbgB1AG0AYgBlAHIAIABvAGYAIABkAGEAaQByAHkAIABjAGEAdAB0AGwAZQAgAGkAbgAgAGMAbABhAHMAcwBlAHMAIABqAD0AMQAsADIALAA0ACAAKABoAGUAYQBkACkAXABuAE0AXwBqADEAMgA0ACAAPQAgAGQAYQBpAGwAeQAgAGUAbgB0AGUAcgBpAGMAIABtAGUAdABoAGEAbgBlACAAcAByAG8AZAB1AGMAdABpAG8AbgAgAGYAbwByACAAYwBsAGEAcwBzAGUAcwAgAGoAPQAxACwAMgAsADQAIAAoAGsAZwAgAEMASAA0AC8AaABlAGEAZAAvAGQAYQB5ACkAXABuAEQAXwBqADEAMgA0ACAAPQAgAGQAdQByAGEAdABpAG8AbgAgAG8AZgAgAHMAdABhAHkAIABvAG4AIAB0AGgAZQAgAGYAYQByAG0AIABmAG8AcgAgAGMAbABhAHMAcwBlAHMAIABqAD0AMQAsADIALAA0ACAAKABkAGEAeQBzACkAXABuAE4AXwBqADMANQAgAD0AIABuAHUAbQBiAGUAcgAgAG8AZgAgAGQAYQBpAHIAeQAgAGMAYQB0AHQAbABlACAAaQBuACAAYwBsAGEAcwBzAGUAcwAgAGoAPQAzACwANQAgACgAaABlAGEAZAApAFwAbgBNAF8AagAzADUAIAA9ACAAZABhAGkAbAB5ACAAZQBuAHQAZQByAGkAYwAgAG0AZQB0AGgAYQBuAGUAIABwAHIAbwBkAHUAYwB0AGkAbwBuACAAZgBvAHIAIABjAGwAYQBzAHMAZQBzACAAagA9ADMALAA1ACAAKABrAGcAIABDAEgANAAvAGgAZQBhAGQALwBkAGEAeQApAFwAbgBEAF8AagAzADUAIAA9ACAAZAB1AHIAYQB0AGkAbwBuACAAbwBmACAAcwB0AGEAeQAgAG8AbgAgAHQAaABlACAAZgBhAHIAbQAgAGYAbwByACAAYwBsAGEAcwBzAGUAcwAgAGoAPQAzACwANQAgACgAZABhAHkAcwApAFwAbgBNAFAAVwBfAEUATgBUAEUAUgBJAEMAXwBqADMANQAgAD0AIABkAGEAaQBsAHkAIABtAGUAdABoAGEAbgBlACAAcAByAG8AZAB1AGMAdABpAG8AbgAgAGYAbwByACAAcAByAGUALQB3AGUAYQBuAGUAZAAgAGgAZQBpAGYAZQByACAAYQBuAGQAIABiAHUAbABsACAAYwBhAGwAdgBlAHMAIAAoAGsAZwAgAEMASAA0AC8AaABlAGEAZAAvAGQAYQB5ACkAXABuAC0ALQAtAC0ALQAtAC0ALQAtAC0ALQAtAC0ALQAtAC0ALQAtAC0ALQAtAC0ALQAtAC0ALQAtAC0ALQAtAC0ALQAtAC0ALQAtAC0ALQBcAG4AKgAvAFwAbgBcAG4AVgBFAEUAUgBHAF8AMwBfADMAXwAxAF8AMQBfAF8AMQBfAFQAbwB0AGEAbABBAG4AbgB1AGEAbABNAGUAdABoAGEAbgBlAEYAcgBvAG0ARQBuAHQAZQByAGkAYwBGAGUAcgBtAGUAbgB0AGEAdABpAG8AbgBcAG4AIAAgAD0ATABBAE0AQgBEAEEAKABcAG4AIAAgACAAIABOAF8AagAxADIANAAsACAATQBfAGoAMQAyADQALAAgAEQAXwBqADEAMgA0ACwAIABOAF8AagAzADUALAAgAE0AXwBqADMANQAsACAARABfAGoAMwA1ACwAIABNAFAAVwBfAEUATgBUAEUAUgBJAEMAXwBqADMANQAsAFwAbgAgACAAIAAgACgAKABOAF8AagAxADIANAAgACoAIABNAF8AagAxADIANAAgACoAIABEAF8AagAxADIANAApACAAKwAgACgATgBfAGoAMwA1ACAAKgAgAE0AXwBqADMANQAgACoAIABEAF8AagAzADUAKQAgACsAIAAoAE4AXwBqADMANQAgACoAIABNAFAAVwBfAEUATgBUAEUAUgBJAEMAXwBqADMANQAgACoAIABEAF8AagAzADUAKQApACAAKgAgADEAMAAgAF4AIAAtADMAXABuACAAIAApADsAXABuAFwAbgBWAEUARQBSAEcAXwAzAF8AMwBfADEAXwAxAF8AXwAxAF8AVABvAHQAYQBsAEEAbgBuAHUAYQBsAE0AZQB0AGgAYQBuAGUARgByAG8AbQBFAG4AdABlAHIAaQBjAEYAZQByAG0AZQBuAHQAYQB0AGkAbwBuAFYAYQByAGkAYQB0AGkAbwBuAFwAbgAgACAAPQBMAEEATQBCAEQAQQAoAFwAbgAgACAAIAAgAE4AXwBqADEAMgA0ACwAIABNAF8AagAxADIANAAsACAARABfAGoAMQAyADQALAAgAE4AXwBqADMANQAsACAATQBfAGoAMwA1ACwAIABEAF8AagAzADUALAAgAEQAUABXAF8AagAzADUALAAgAE0AUABXAF8ARQBOAFQARQBSAEkAQwBfAGoAMwA1ACwAXABuACAAIAAgACAAKAAoAE4AXwBqADEAMgA0ACAAKgAgAE0AXwBqADEAMgA0ACAAKgAgAEQAXwBqADEAMgA0ACkAIAArACAAKABOAF8AagAzADUAIAAqACAATQBfAGoAMwA1ACAAKgAgAEQAXwBqADMANQApACAAKwAgACgATgBfAGoAMwA1ACAAKgAgAE0AUABXAF8ARQBOAFQARQBSAEkAQwBfAGoAMwA1ACAAKgAgAEQAUABXAF8AagAzADUAKQApACAAKgAgADEAMAAgAF4AIAAtADMAXABuACAAIAApADsAXABuAFwAbgBWAEUARQBSAEcAXwAzAF8AMwBfADEAXwAxAF8AXwAxAF8AVABvAHQAYQBsAEEAbgBuAHUAYQBsAE0AZQB0AGgAYQBuAGUARgByAG8AbQBFAG4AdABlAHIAaQBjAEYAZQByAG0AZQBuAHQAYQB0AGkAbwBuAF8AVABpAHQAbABlAFwAbgAgACAAPQBMAEEATQBCAEQAQQAoAFwAIgBUAG8AdABhAGwAIABhAG4AbgB1AGEAbAAgAG0AZQB0AGgAYQBuAGUAIABwAHIAbwBkAHUAYwB0AGkAbwBuACAAZgByAG8AbQAgAGUAbgB0AGUAcgBpAGMAIABmAGUAcgBtAGUAbgB0AGEAdABpAG8AbgAgAGkAbgAgAGQAYQBpAHIAeQAgAGMAYQB0AHQAbABlAFwAIgApADsAXABuAFwAbgBWAEUARQBSAEcAXwAzAF8AMwBfADEAXwAxAF8AXwAxAF8AVABvAHQAYQBsAEEAbgBuAHUAYQBsAE0AZQB0AGgAYQBuAGUARgByAG8AbQBFAG4AdABlAHIAaQBjAEYAZQByAG0AZQBuAHQAYQB0AGkAbwBuAF8AVgBhAHIAaQBhAGIAbABlAFwAbgAgACAAPQBMAEEATQBCAEQAQQAoAFwAIgBFAF8AZQBuAHQAZQByAGkAYwBcACIAKQA7AFwAbgBcAG4AVgBFAEUAUgBHAF8AMwBfADMAXwAxAF8AMQBfAF8AMQBfAFQAbwB0AGEAbABBAG4AbgB1AGEAbABNAGUAdABoAGEAbgBlAEYAcgBvAG0ARQBuAHQAZQByAGkAYwBGAGUAcgBtAGUAbgB0AGEAdABpAG8AbgBfAFUAbgBpAHQAXABuACAAIAA9AEwAQQBNAEIARABBACgAXAAiAHQAIABDAEgANABcACIAKQA7AFwAbgBcAG4AVgBFAEUAUgBHAF8AMwBfADMAXwAxAF8AMQBfAF8AMQBfAFQAbwB0AGEAbABBAG4AbgB1AGEAbABNAGUAdABoAGEAbgBlAEYAcgBvAG0ARQBuAHQAZQByAGkAYwBGAGUAcgBtAGUAbgB0AGEAdABpAG8AbgBfAFMAbwB1AHIAYwBlAFwAbgAgACAAPQBMAEEATQBCAEQAQQAoAFwAIgBWAEUARQBSAEcAIAAyADAAMgA2ADoAIAAzAC4AMwAuADEALgAxACwAIABFAHEAdQBhAHQAaQBvAG4AIAAoADEAKQBcACIAKQA7AFwAbgBcAG4AVgBFAEUAUgBHAF8AMwBfADMAXwAxAF8AMQBfAF8AMQBfAFQAbwB0AGEAbABBAG4AbgB1AGEAbABNAGUAdABoAGEAbgBlAEYAcgBvAG0ARQBuAHQAZQByAGkAYwBGAGUAcgBtAGUAbgB0AGEAdABpAG8AbgBfAE4ASQBSAFIAZQBmAGUAcgBlAG4AYwBlAFwAbgAgACAAPQBMAEEATQBCAEQAQQAoAFwAIgBcACIAKQA7AFwAbgBcAG4AVgBFAEUAUgBHAF8AMwBfADMAXwAxAF8AMQBfAF8AMQBfAFQAbwB0AGEAbABBAG4AbgB1AGEAbABNAGUAdABoAGEAbgBlAEYAcgBvAG0ARQBuAHQAZQByAGkAYwBGAGUAcgBtAGUAbgB0AGEAdABpAG8AbgBfAEwAYQB0AGUAeABFAHEAdQBhAHQAaQBvAG4AXABuACAAIAA9AEwAQQBNAEIARABBACgAXAAiAEUAXwB7AGUAbgB0AGUAcgBpAGMAfQA9AFwAXABzAHUAbQBcAFwAbgBvAGwAaQBtAGkAdABzAF8AagAoACgATgBfAHsAagA9ADEALAAyACwANAB9AFwAXAB0AGkAbQBlAHMAIABNAF8AewBqAD0AMQAsADIALAA0AH0AXABcAHQAaQBtAGUAcwAgAEQAXwB7AGoAPQAxACwAMgAsADQAfQApACsAKABOAF8AewBqAD0AMwAsADUAfQBcAFwAdABpAG0AZQBzACAATQBfAHsAagA9ADMALAA1AH0AXABcAHQAaQBtAGUAcwAgAEQAXwB7AGoAPQAzACwANQB9ACkAKwAoAE4AXwB7AGoAPQAzACwANQB9AFwAXAB0AGkAbQBlAHMAIABNAFAAVwBfAHsARQBOAFQARQBSAEkAQwAsAGoAPQAzACwANQB9AFwAXAB0AGkAbQBlAHMAIABEAF8AewBqAD0AMwAsADUAfQApACkAXABcAHQAaQBtAGUAcwAgADEAMABeAHsALQAzAH0AXAAiACkAOwBcAG4AXABuAFYARQBFAFIARwBfADMAXwAzAF8AMQBfADEAXwBfADEAXwBUAG8AdABhAGwAQQBuAG4AdQBhAGwATQBlAHQAaABhAG4AZQBGAHIAbwBtAEUAbgB0AGUAcgBpAGMARgBlAHIAbQBlAG4AdABhAHQAaQBvAG4AXwBMAGEAdABlAHgARQBxAHUAYQB0AGkAbwBuAFYAYQByAGkAYQB0AGkAbwBuAFwAbgAgACAAPQBMAEEATQBCAEQAQQAoAFwAIgBFAF8AewBlAG4AdABlAHIAaQBjAH0APQBcAFwAcwB1AG0AXABcAG4AbwBsAGkAbQBpAHQAcwBfAGoAKAAoAE4AXwB7AGoAPQAxACwAMgAsADQAfQBcAFwAdABpAG0AZQBzACAATQBfAHsAagA9ADEALAAyACwANAB9AFwAXAB0AGkAbQBlAHMAIABEAF8AewBqAD0AMQAsADIALAA0AH0AKQArACgATgBfAHsAagA9ADMALAA1AH0AXABcAHQAaQBtAGUAcwAgAE0AXwB7AGoAPQAzACwANQB9AFwAXAB0AGkAbQBlAHMAIABEAF8AewBqAD0AMwAsADUAfQApACsAKABOAF8AewBqAD0AMwAsADUAfQBcAFwAdABpAG0AZQBzACAATQBQAFcAXwB7AEUATgBUAEUAUgBJAEMALABqAD0AMwAsADUAfQBcAFwAdABpAG0AZQBzACAARABQAFcAXwB7AGoAPQAzACwANQB9ACkAKQBcAFwAdABpAG0AZQBzACAAMQAwAF4AewAtADMAfQBcACIAKQA7AFwAbgBcAG4AVgBFAEUAUgBHAF8AMwBfADMAXwAxAF8AMQBfAF8AMQBfAFQAbwB0AGEAbABBAG4AbgB1AGEAbABNAGUAdABoAGEAbgBlAEYAcgBvAG0ARQBuAHQAZQByAGkAYwBGAGUAcgBtAGUAbgB0AGEAdABpAG8AbgBfAEEAcgBnAHUAbQBlAG4AdABzAFwAbgAgACAAPQBMAEEATQBCAEQAQQAoAFwAbgAgACAAIAAgAE0AQQBLAEUAQQBSAFIAQQBZACgAOAAsACAANAAsAFwAbgAgACAAIAAgACAAIABMAEEATQBCAEQAQQAoAHIALABjACwAXABuACAAIAAgACAAIAAgACAAIABJAE4ARABFAFgAKAB7AFwAbgAgACAAIAAgACAAIAAgACAAIAAgAFwAIgBOAF8AagAxADIANABcACIALAAgAFwAIgBuAHUAbQBiAGUAcgAgAG8AZgAgAGQAYQBpAHIAeQAgAGMAYQB0AHQAbABlACAAaQBuACAAYwBsAGEAcwBzAGUAcwAgAGoAPQAxACwAMgAsADQAXAAiACwAIABcACIAaABlAGEAZABcACIALAAgAFwAIgBJAG4AcAB1AHQAXAAiADsAXABuACAAIAAgACAAIAAgACAAIAAgACAAXAAiAE0AXwBqADEAMgA0AFwAIgAsACAAXAAiAGQAYQBpAGwAeQAgAGUAbgB0AGUAcgBpAGMAIABtAGUAdABoAGEAbgBlACAAcAByAG8AZAB1AGMAdABpAG8AbgAgAGYAbwByACAAYwBsAGEAcwBzAGUAcwAgAGoAPQAxACwAMgAsADQAXAAiACwAIABcACIAawBnACAAQwBIADQALwBoAGUAYQBkAC8AZABhAHkAXAAiACwAIABcACIAQwBhAGwAYwB1AGwAYQB0AGUAZAAgAGYAcgBvAG0AIAAzAC4AMwAuADEALgAxACAAKAAyACkAXAAiADsAXABuACAAIAAgACAAIAAgACAAIAAgACAAXAAiAEQAXwBqADEAMgA0AFwAIgAsACAAXAAiAGQAdQByAGEAdABpAG8AbgAgAG8AZgAgAHMAdABhAHkAIABvAG4AIAB0AGgAZQAgAGYAYQByAG0AIABmAG8AcgAgAGMAbABhAHMAcwBlAHMAIABqAD0AMQAsADIALAA0AFwAIgAsACAAXAAiAGQAYQB5AHMAXAAiACwAIABcACIASQBuAHAAdQB0AFwAIgA7AFwAbgAgACAAIAAgACAAIAAgACAAIAAgAFwAIgBOAF8AagAzADUAXAAiACwAIABcACIAbgB1AG0AYgBlAHIAIABvAGYAIABkAGEAaQByAHkAIABjAGEAdAB0AGwAZQAgAGkAbgAgAGMAbABhAHMAcwBlAHMAIABqAD0AMwAsADUAXAAiACwAIABcACIAaABlAGEAZABcACIALAAgAFwAIgBJAG4AcAB1AHQAXAAiADsAXABuACAAIAAgACAAIAAgACAAIAAgACAAXAAiAE0AXwBqADMANQBcACIALAAgAFwAIgBkAGEAaQBsAHkAIABlAG4AdABlAHIAaQBjACAAbQBlAHQAaABhAG4AZQAgAHAAcgBvAGQAdQBjAHQAaQBvAG4AIABmAG8AcgAgAHcAZQBhAG4AZQBkACAAYwBsAGEAcwBzAGUAcwAgAGoAPQAzACwANQBcACIALAAgAFwAIgBrAGcAIABDAEgANAAvAGgAZQBhAGQALwBkAGEAeQBcACIALAAgAFwAIgBDAGEAbABjAHUAbABhAHQAZQBkACAAZgByAG8AbQAgADMALgAzAC4AMQAuADEAIAAoADIAKQBcACIAOwBcAG4AIAAgACAAIAAgACAAIAAgACAAIABcACIARABfAGoAMwA1AFwAIgAsACAAXAAiAGQAdQByAGEAdABpAG8AbgAgAG8AZgAgAHMAdABhAHkAIABvAG4AIAB0AGgAZQAgAGYAYQByAG0AIABmAG8AcgAgAHcAZQBhAG4AZQBkACAAYwBsAGEAcwBzAGUAcwAgAGoAPQAzACwANQBcACIALAAgAFwAIgBkAGEAeQBzAFwAIgAsACAAXAAiAEkAbgBwAHUAdABcACIAOwBcAG4AIAAgACAAIAAgACAAIAAgACAAIABcACIARABQAFcAXwBqADMANQBcACIALAAgAFwAIgBkAHUAcgBhAHQAaQBvAG4AIABvAGYAIABzAHQAYQB5ACAAbwBuACAAdABoAGUAIABmAGEAcgBtACAAZgBvAHIAIABwAHIAZQAtAHcAZQBhAG4AZQBkACAAaABlAGkAZgBlAHIAIABhAG4AZAAgAGIAdQBsAGwAIABjAGEAbAB2AGUAcwBcACIALAAgAFwAIgBkAGEAeQBzAFwAIgAsACAAXAAiAEkAbgBwAHUAdABcACIAOwBcAG4AIAAgACAAIAAgACAAIAAgACAAIABcACIATQBQAFcAXwBFAE4AVABFAFIASQBDAF8AagAzADUAXAAiACwAIABcACIAZABhAGkAbAB5ACAAbQBlAHQAaABhAG4AZQAgAHAAcgBvAGQAdQBjAHQAaQBvAG4AIABmAG8AcgAgAHAAcgBlAC0AdwBlAGEAbgBlAGQAIABoAGUAaQBmAGUAcgAgAGEAbgBkACAAYgB1AGwAbAAgAGMAYQBsAHYAZQBzAFwAIgAsACAAXAAiAGsAZwAgAEMASAA0AC8AaABlAGEAZAAvAGQAYQB5AFwAIgAsACAAXAAiAEMAbwBuAHMAdABhAG4AdABcACIAXABuAFwAbgAgACAAIAAgACAAIAAgACAAfQAsACAAcgAsACAAYwApAFwAbgAgACAAIAAgACAAIAApAFwAbgAgACAAIAAgACkAXABuACAAIAApADsAXABuAFwAbgBWAEUARQBSAEcAXwAzAF8AMwBfADEAXwAxAF8AXwAxAF8AVABvAHQAYQBsAEEAbgBuAHUAYQBsAE0AZQB0AGgAYQBuAGUARgByAG8AbQBFAG4AdABlAHIAaQBjAEYAZQByAG0AZQBuAHQAYQB0AGkAbwBuAF8AVgBhAHIAaQBhAHQAaQBvAG4AXABuACAAIAA9AEwAQQBNAEIARABBACgAXAAiAFYAQQBSAEkAQQBUAEkATwBOACAATwBOACAAUwBPAFUAUgBDAEUAOgAgAEEAZABkAGUAZAAgAFwAdQAwADAAMgA3AEQAUABXAFwAdQAwADAAMgA3ACAAdgBhAHIAaQBhAGIAbABlACAAdABvACAAYQBsAGwAbwB3ACAAZgBvAHIAIABhACAAcwBlAHAAYQByAGEAdABlACAAaABhAG4AZABsAGkAbgBnACAAbwBmACAAcAByAGUALQB3AGUAYQBuAGUAZAAgAGQAdQByAGEAdABpAG8AbgAuAFwAIgApADsAXABuAFwAbgAvACoAXABuAC0ALQAtAC0ALQAtAC0ALQAtAC0ALQAtAC0ALQAtAC0ALQAtAC0ALQAtAC0ALQAtAC0ALQAtAC0ALQAtAC0ALQAtAC0ALQAtAC0ALQBcAG4AVgBFAEUAUgBHAF8AMwBfADMAXwAxAF8AMQBfAF8AMgBfAEQAYQBpAGwAeQBFAG4AdABlAHIAaQBjAE0AZQB0AGgAYQBuAGUAUAByAG8AZAB1AGMAdABpAG8AbgBcAG4ARABhAGkAbAB5ACAAcAByAG8AZAB1AGMAdABpAG8AbgAgAG8AZgAgAGUAbgB0AGUAcgBpAGMAIABtAGUAdABoAGEAbgBlAFwAbgBNAF8AagBcAG4AawBnACAAQwBIADQALwBoAGUAYQBkAC8AZABhAHkAXABuAE0AXwBqAD0AMgAwAC4ANwBcAFwAdABpAG0AZQBzACAASQBfAGoAXABcAHQAaQBtAGUAcwAgADEAMABeAHsALQAzAH0AXABuAEkAXwBqACAAPQAgAGQAcgB5ACAAbQBhAHQAdABlAHIAIABmAGUAZQBkACAAaQBuAHQAYQBrAGUAIAAoAGsAZwAgAEQATQAvAGgAZQBhAGQALwBkAGEAeQApAFwAbgAtAC0ALQAtAC0ALQAtAC0ALQAtAC0ALQAtAC0ALQAtAC0ALQAtAC0ALQAtAC0ALQAtAC0ALQAtAC0ALQAtAC0ALQAtAC0ALQAtAC0AXABuACoALwBcAG4AXABuAFYARQBFAFIARwBfADMAXwAzAF8AMQBfADEAXwBfADIAXwBEAGEAaQBsAHkARQBuAHQAZQByAGkAYwBNAGUAdABoAGEAbgBlAFAAcgBvAGQAdQBjAHQAaQBvAG4AXABuACAAIAA9AEwAQQBNAEIARABBACgAXABuACAAIAAgACAASQBfAGoALABcAG4AIAAgACAAIAAyADAALgA3ACAAKgAgAEkAXwBqACAAKgAgADEAMAAgAF4AIAAtADMAXABuACAAIAApADsAXABuAFwAbgBWAEUARQBSAEcAXwAzAF8AMwBfADEAXwAxAF8AXwAyAF8ARABhAGkAbAB5AEUAbgB0AGUAcgBpAGMATQBlAHQAaABhAG4AZQBQAHIAbwBkAHUAYwB0AGkAbwBuAF8AVABpAHQAbABlAFwAbgAgACAAPQBMAEEATQBCAEQAQQAoAFwAIgBEAGEAaQBsAHkAIABwAHIAbwBkAHUAYwB0AGkAbwBuACAAbwBmACAAZQBuAHQAZQByAGkAYwAgAG0AZQB0AGgAYQBuAGUAXAAiACkAOwBcAG4AXABuAFYARQBFAFIARwBfADMAXwAzAF8AMQBfADEAXwBfADIAXwBEAGEAaQBsAHkARQBuAHQAZQByAGkAYwBNAGUAdABoAGEAbgBlAFAAcgBvAGQAdQBjAHQAaQBvAG4AXwBWAGEAcgBpAGEAYgBsAGUAXABuACAAIAA9AEwAQQBNAEIARABBACgAXAAiAE0AXwBqAFwAIgApADsAXABuAFwAbgBWAEUARQBSAEcAXwAzAF8AMwBfADEAXwAxAF8AXwAyAF8ARABhAGkAbAB5AEUAbgB0AGUAcgBpAGMATQBlAHQAaABhAG4AZQBQAHIAbwBkAHUAYwB0AGkAbwBuAF8AVQBuAGkAdABcAG4AIAAgAD0ATABBAE0AQgBEAEEAKABcACIAawBnACAAQwBIADQALwBoAGUAYQBkAC8AZABhAHkAXAAiACkAOwBcAG4AXABuAFYARQBFAFIARwBfADMAXwAzAF8AMQBfADEAXwBfADIAXwBEAGEAaQBsAHkARQBuAHQAZQByAGkAYwBNAGUAdABoAGEAbgBlAFAAcgBvAGQAdQBjAHQAaQBvAG4AXwBTAG8AdQByAGMAZQBcAG4AIAAgAD0ATABBAE0AQgBEAEEAKABcACIAVgBFAEUAUgBHACAAMgAwADIANgA6ACAAMwAuADMALgAxAC4AMQAsACAARQBxAHUAYQB0AGkAbwBuACAAKAAyACkAXAAiACkAOwBcAG4AXABuAFYARQBFAFIARwBfADMAXwAzAF8AMQBfADEAXwBfADIAXwBEAGEAaQBsAHkARQBuAHQAZQByAGkAYwBNAGUAdABoAGEAbgBlAFAAcgBvAGQAdQBjAHQAaQBvAG4AXwBOAEkAUgBSAGUAZgBlAHIAZQBuAGMAZQBcAG4AIAAgAD0ATABBAE0AQgBEAEEAKABcACIAQwBoAGEAcgBtAGwAZQB5ACAAZQB0ACAAYQBsAC4AIAAoADIAMAAxADUAKQBcACIAKQA7AFwAbgBcAG4AVgBFAEUAUgBHAF8AMwBfADMAXwAxAF8AMQBfAF8AMgBfAEQAYQBpAGwAeQBFAG4AdABlAHIAaQBjAE0AZQB0AGgAYQBuAGUAUAByAG8AZAB1AGMAdABpAG8AbgBfAEwAYQB0AGUAeABFAHEAdQBhAHQAaQBvAG4AXABuACAAIAA9AEwAQQBNAEIARABBACgAXAAiAE0AXwBqAD0AMgAwAC4ANwBcAFwAdABpAG0AZQBzACAASQBfAGoAXABcAHQAaQBtAGUAcwAgADEAMABeAHsALQAzAH0AXAAiACkAOwBcAG4AXABuAFYARQBFAFIARwBfADMAXwAzAF8AMQBfADEAXwBfADIAXwBEAGEAaQBsAHkARQBuAHQAZQByAGkAYwBNAGUAdABoAGEAbgBlAFAAcgBvAGQAdQBjAHQAaQBvAG4AXwBBAHIAZwB1AG0AZQBuAHQAcwBcAG4AIAAgAD0ATABBAE0AQgBEAEEAKABcAG4AIAAgACAAIABNAEEASwBFAEEAUgBSAEEAWQAoADEALAAgADQALABcAG4AIAAgACAAIAAgACAATABBAE0AQgBEAEEAKAByACwAYwAsAFwAbgAgACAAIAAgACAAIAAgACAASQBOAEQARQBYACgAewBcAG4AIAAgACAAIAAgACAAIAAgACAAIABcACIASQBfAGoAXAAiACwAIABcACIAZAByAHkAIABtAGEAdAB0AGUAcgAgAGYAZQBlAGQAIABpAG4AdABhAGsAZQBcACIALAAgAFwAIgBrAGcAIABEAE0ALwBoAGUAYQBkAC8AZABhAHkAXAAiACwAIABcACIAQwBhAGwAYwB1AGwAYQB0AGUAZAAgAGYAcgBvAG0AIAAzAC4AMwAuADEALgAxACAAKAAzACkAXAAiAFwAbgAgACAAIAAgACAAIAAgACAAfQAsACAAcgAsACAAYwApAFwAbgAgACAAIAAgACAAIAApAFwAbgAgACAAIAAgACkAXABuACAAIAApADsAXABuAFwAbgAvACoAXABuAC0ALQAtAC0ALQAtAC0ALQAtAC0ALQAtAC0ALQAtAC0ALQAtAC0ALQAtAC0ALQAtAC0ALQAtAC0ALQAtAC0ALQAtAC0ALQAtAC0ALQBcAG4AVgBFAEUAUgBHAF8AMwBfADMAXwAxAF8AMQBfAF8AMwBfAEQAcgB5AE0AYQB0AHQAZQByAEYAZQBlAGQASQBuAHQAYQBrAGUAXABuAEYAZQBlAGQAIABpAG4AdABhAGsAZQBcAG4ASQBfAGoAXABuAGsAZwAgAEQATQAvAGgAZQBhAGQALwBkAGEAeQBcAG4ASQBfAGoAPQAoADEALgAxADgANQArADAALgAwADAANAA1ADQAXABcAHQAaQBtAGUAcwAgAFcAXwBqAC0AMAAuADAAMAAwADAAMAAyADYAXABcAHQAaQBtAGUAcwAgAFcAXwBqAF4AMgArADAALgAzADEANQBcAFwAdABpAG0AZQBzACAATABXAEcAXwBqACkAXgAyAFwAXAB0AGkAbQBlAHMAIABNAFIAXwBqACsATQBJAF8AagBcAG4AVwBfAGoAIAA9ACAAbABpAHYAZQB3AGUAaQBnAGgAdAAgACgAawBnACkAXABuAEwAVwBHAF8AagAgAD0AIABsAGkAdgBlAHcAZQBpAGcAaAB0ACAAZwBhAGkAbgAgACgAawBnAC8AaABlAGEAZAAvAGQAYQB5ACkAXABuAE0AUgBfAGoAIAA9ACAAaQBuAGMAcgBlAGEAcwBlACAAaQBuACAAbQBlAHQAYQBiAG8AbABpAGMAIAByAGEAdABlACAAdwBoAGUAbgAgAHAAcgBvAGQAdQBjAGkAbgBnACAAbQBpAGwAawAgACgAZgByAGEAYwB0AGkAbwBuACkAXABuAE0ASQBfAGoAIAA9ACAAYQBkAGQAaQB0AGkAbwBuAGEAbAAgAGkAbgB0AGEAawBlACAAcgBlAHEAdQBpAHIAZQBkACAAZgBvAHIAIABtAGkAbABrACAAcAByAG8AZAB1AGMAdABpAG8AbgAgACgAawBnACAARABNAC8AaABlAGEAZAAvAGQAYQB5ACkAXABuAC0ALQAtAC0ALQAtAC0ALQAtAC0ALQAtAC0ALQAtAC0ALQAtAC0ALQAtAC0ALQAtAC0ALQAtAC0ALQAtAC0ALQAtAC0ALQAtAC0ALQBcAG4AKgAvAFwAbgBcAG4AVgBFAEUAUgBHAF8AMwBfADMAXwAxAF8AMQBfAF8AMwBfAEQAcgB5AE0AYQB0AHQAZQByAEYAZQBlAGQASQBuAHQAYQBrAGUAXABuACAAIAA9AEwAQQBNAEIARABBACgAXABuACAAIAAgACAAVwBfAGoALAAgAEwAVwBHAF8AagAsACAATQBSAF8AagAsACAATQBJAF8AagAsAFwAbgAgACAAIAAgACgAMQAuADEAOAA1ACAAKwAgADAALgAwADAANAA1ADQAIAAqACAAVwBfAGoAIAAtACAAMAAuADAAMAAwADAAMAAyADYAIAAqACAAVwBfAGoAIABeACAAMgAgACsAIAAwAC4AMwAxADUAIAAqACAATABXAEcAXwBqACkAIABeACAAMgAgACoAIABNAFIAXwBqACAAKwAgAE0ASQBfAGoAXABuACAAIAApADsAXABuAFwAbgBWAEUARQBSAEcAXwAzAF8AMwBfADEAXwAxAF8AXwAzAF8ARAByAHkATQBhAHQAdABlAHIARgBlAGUAZABJAG4AdABhAGsAZQBfAFQAaQB0AGwAZQBcAG4AIAAgAD0ATABBAE0AQgBEAEEAKABcACIARgBlAGUAZAAgAGkAbgB0AGEAawBlAFwAIgApADsAXABuAFwAbgBWAEUARQBSAEcAXwAzAF8AMwBfADEAXwAxAF8AXwAzAF8ARAByAHkATQBhAHQAdABlAHIARgBlAGUAZABJAG4AdABhAGsAZQBfAFYAYQByAGkAYQBiAGwAZQBcAG4AIAAgAD0ATABBAE0AQgBEAEEAKABcACIASQBfAGoAXAAiACkAOwBcAG4AXABuAFYARQBFAFIARwBfADMAXwAzAF8AMQBfADEAXwBfADMAXwBEAHIAeQBNAGEAdAB0AGUAcgBGAGUAZQBkAEkAbgB0AGEAawBlAF8AVQBuAGkAdABcAG4AIAAgAD0ATABBAE0AQgBEAEEAKABcACIAawBnACAARABNAC8AaABlAGEAZAAvAGQAYQB5AFwAIgApADsAXABuAFwAbgBWAEUARQBSAEcAXwAzAF8AMwBfADEAXwAxAF8AXwAzAF8ARAByAHkATQBhAHQAdABlAHIARgBlAGUAZABJAG4AdABhAGsAZQBfAFMAbwB1AHIAYwBlAFwAbgAgACAAPQBMAEEATQBCAEQAQQAoAFwAIgBWAEUARQBSAEcAIAAyADAAMgA2ADoAIAAzAC4AMwAuADEALgAxACwAIABFAHEAdQBhAHQAaQBvAG4AIAAoADMAKQBcACIAKQA7AFwAbgBcAG4AVgBFAEUAUgBHAF8AMwBfADMAXwAxAF8AMQBfAF8AMwBfAEQAcgB5AE0AYQB0AHQAZQByAEYAZQBlAGQASQBuAHQAYQBrAGUAXwBOAEkAUgBSAGUAZgBlAHIAZQBuAGMAZQBcAG4AIAAgAD0ATABBAE0AQgBEAEEAKABcACIAXAAiACkAOwBcAG4AXABuAFYARQBFAFIARwBfADMAXwAzAF8AMQBfADEAXwBfADMAXwBEAHIAeQBNAGEAdAB0AGUAcgBGAGUAZQBkAEkAbgB0AGEAawBlAF8ATABhAHQAZQB4AEUAcQB1AGEAdABpAG8AbgBcAG4AIAAgAD0ATABBAE0AQgBEAEEAKABcACIASQBfAGoAPQAoADEALgAxADgANQArADAALgAwADAANAA1ADQAXABcAHQAaQBtAGUAcwAgAFcAXwBqAC0AMAAuADAAMAAwADAAMAAyADYAXABcAHQAaQBtAGUAcwAgAFcAXwBqAF4AMgArADAALgAzADEANQBcAFwAdABpAG0AZQBzACAATABXAEcAXwBqACkAXgAyAFwAXAB0AGkAbQBlAHMAIABNAFIAXwBqACsATQBJAF8AagBcACIAKQA7AFwAbgBcAG4AVgBFAEUAUgBHAF8AMwBfADMAXwAxAF8AMQBfAF8AMwBfAEQAcgB5AE0AYQB0AHQAZQByAEYAZQBlAGQASQBuAHQAYQBrAGUAXwBBAHIAZwB1AG0AZQBuAHQAcwBcAG4AIAAgAD0ATABBAE0AQgBEAEEAKABcAG4AIAAgACAAIABNAEEASwBFAEEAUgBSAEEAWQAoADQALAAgADQALABcAG4AIAAgACAAIAAgACAATABBAE0AQgBEAEEAKAByACwAYwAsAFwAbgAgACAAIAAgACAAIAAgACAASQBOAEQARQBYACgAewBcAG4AIAAgACAAIAAgACAAIAAgACAAIABcACIAVwBfAGoAXAAiACwAIABcACIAbABpAHYAZQB3AGUAaQBnAGgAdABcACIALAAgAFwAIgBrAGcAXAAiACwAIABcACIASQBuAHAAdQB0AFwAIgA7AFwAbgAgACAAIAAgACAAIAAgACAAIAAgAFwAIgBMAFcARwBfAGoAXAAiACwAIABcACIAbABpAHYAZQB3AGUAaQBnAGgAdAAgAGcAYQBpAG4AXAAiACwAIABcACIAawBnAC8AaABlAGEAZAAvAGQAYQB5AFwAIgAsACAAXAAiAEkAbgBwAHUAdABcACIAOwBcAG4AIAAgACAAIAAgACAAIAAgACAAIABcACIATQBSAF8AagBcACIALAAgAFwAIgBpAG4AYwByAGUAYQBzAGUAIABpAG4AIABtAGUAdABhAGIAbwBsAGkAYwAgAHIAYQB0AGUAIAB3AGgAZQBuACAAcAByAG8AZAB1AGMAaQBuAGcAIABtAGkAbABrAFwAIgAsACAAXAAiAGYAcgBhAGMAdABpAG8AbgBcACIALAAgAFwAIgBDAG8AbgBzAHQAYQBuAHQAXAAiADsAXABuACAAIAAgACAAIAAgACAAIAAgACAAXAAiAE0ASQBfAGoAXAAiACwAIABcACIAYQBkAGQAaQB0AGkAbwBuAGEAbAAgAGkAbgB0AGEAawBlACAAcgBlAHEAdQBpAHIAZQBkACAAZgBvAHIAIABtAGkAbABrACAAcAByAG8AZAB1AGMAdABpAG8AbgBcACIALAAgAFwAIgBrAGcAIABEAE0ALwBoAGUAYQBkAC8AZABhAHkAXAAiACwAIABcACIAQwBhAGwAYwB1AGwAYQB0AGUAZAAgAGYAcgBvAG0AIAAzAC4AMwAuADEALgAxACAAKAA0ACkAXAAiAFwAbgAgACAAIAAgACAAIAAgACAAfQAsACAAcgAsACAAYwApAFwAbgAgACAAIAAgACAAIAApAFwAbgAgACAAIAAgACkAXABuACAAIAApADsAXABuAFwAbgAvACoAXABuAC0ALQAtAC0ALQAtAC0ALQAtAC0ALQAtAC0ALQAtAC0ALQAtAC0ALQAtAC0ALQAtAC0ALQAtAC0ALQAtAC0ALQAtAC0ALQAtAC0ALQBcAG4AVgBFAEUAUgBHAF8AMwBfADMAXwAxAF8AMQBfAF8ANABfAEEAZABkAGkAdABpAG8AbgBhAGwASQBuAHQAYQBrAGUARgBvAHIATQBpAGwAawBQAHIAbwBkAHUAYwB0AGkAbwBuAFwAbgBBAGQAZABpAHQAaQBvAG4AYQBsACAAaQBuAHQAYQBrAGUAIAByAGUAcQB1AGkAcgBlAGQAIABmAG8AcgAgAG0AaQBsAGsAIABwAHIAbwBkAHUAYwB0AGkAbwBuAFwAbgBNAEkAXwBqAFwAbgBrAGcAIABEAE0ALwBoAGUAYQBkAC8AZABhAHkAXABuAE0ASQBfAGoAPQAoAE0AUABfAGoAXABcAHQAaQBtAGUAcwAgADEALgAwADMAXABcAHQAaQBtAGUAcwAgAE4ARQApAC8AKABHAEUAQwBcAFwAdABpAG0AZQBzACAAawBcAFwAdABpAG0AZQBzACAAcQBtAF8AagApAFwAbgBNAFAAXwBqACAAPQAgAG0AaQBsAGsAIABwAHIAbwBkAHUAYwB0AGkAbwBuACAAKABMAC8AaABlAGEAZAAvAGQAYQB5ACkAXABuAE4ARQAgAD0AIABuAGUAdAAgAGUAbgBlAHIAZwB5ACAAKABNAEoAIABuAGUAdAAgAGUAbgBlAHIAZwB5AC8AawBnACAAbQBpAGwAawApAFwAbgBHAEUAQwAgAD0AIABnAHIAbwBzAHMAIABlAG4AZQByAGcAeQAgAGMAbwBuAHQAZQBuAHQAIAAoAE0ASgAvAGsAZwBEAE0AKQBcAG4AawAgAD0AIABlAGYAZgBpAGMAaQBlAG4AYwB5ACAAbwBmACAAbQBlAHQAYQBiAG8AbABpAHoAYQBiAGwAZQAgAGUAbgBlAHIAZwB5ACAAdQBzAGUAIABmAG8AcgAgAG0AaQBsAGsAIABwAHIAbwBkAHUAYwB0AGkAbwBuACAAKABmAHIAYQBjAHQAaQBvAG4AKQBcAG4AcQBtAF8AagAgAD0AIABtAGUAdABhAGIAbwBsAGkAcwBhAGIAaQBsAGkAdAB5ACAAbwBmACAAdABoAGUAIABkAGkAZQB0ACAAKABmAHIAYQBjAHQAaQBvAG4AKQBcAG4ALQAtAC0ALQAtAC0ALQAtAC0ALQAtAC0ALQAtAC0ALQAtAC0ALQAtAC0ALQAtAC0ALQAtAC0ALQAtAC0ALQAtAC0ALQAtAC0ALQAtAFwAbgAqAC8AXABuAFwAbgBWAEUARQBSAEcAXwAzAF8AMwBfADEAXwAxAF8AXwA0AF8AQQBkAGQAaQB0AGkAbwBuAGEAbABJAG4AdABhAGsAZQBGAG8AcgBNAGkAbABrAFAAcgBvAGQAdQBjAHQAaQBvAG4AXABuACAAIAA9AEwAQQBNAEIARABBACgAXABuACAAIAAgACAATQBQAF8AagAsACAATgBFACwAIABHAEUAQwAsACAAawAsACAAcQBtAF8AagAsAFwAbgAgACAAIAAgACgATQBQAF8AagAgACoAIAAxAC4AMAAzACAAKgAgAE4ARQApACAALwAgACgARwBFAEMAIAAqACAAawAgACoAIABxAG0AXwBqACkAXABuACAAIAApADsAXABuAFwAbgBWAEUARQBSAEcAXwAzAF8AMwBfADEAXwAxAF8AXwA0AF8AQQBkAGQAaQB0AGkAbwBuAGEAbABJAG4AdABhAGsAZQBGAG8AcgBNAGkAbABrAFAAcgBvAGQAdQBjAHQAaQBvAG4AXwBUAGkAdABsAGUAXABuACAAIAA9AEwAQQBNAEIARABBACgAXAAiAEEAZABkAGkAdABpAG8AbgBhAGwAIABpAG4AdABhAGsAZQAgAHIAZQBxAHUAaQByAGUAZAAgAGYAbwByACAAbQBpAGwAawAgAHAAcgBvAGQAdQBjAHQAaQBvAG4AXAAiACkAOwBcAG4AXABuAFYARQBFAFIARwBfADMAXwAzAF8AMQBfADEAXwBfADQAXwBBAGQAZABpAHQAaQBvAG4AYQBsAEkAbgB0AGEAawBlAEYAbwByAE0AaQBsAGsAUAByAG8AZAB1AGMAdABpAG8AbgBfAFYAYQByAGkAYQBiAGwAZQBcAG4AIAAgAD0ATABBAE0AQgBEAEEAKABcACIATQBJAF8AagBcACIAKQA7AFwAbgBcAG4AVgBFAEUAUgBHAF8AMwBfADMAXwAxAF8AMQBfAF8ANABfAEEAZABkAGkAdABpAG8AbgBhAGwASQBuAHQAYQBrAGUARgBvAHIATQBpAGwAawBQAHIAbwBkAHUAYwB0AGkAbwBuAF8AVQBuAGkAdABcAG4AIAAgAD0ATABBAE0AQgBEAEEAKABcACIAawBnACAARABNAC8AaABlAGEAZAAvAGQAYQB5AFwAIgApADsAXABuAFwAbgBWAEUARQBSAEcAXwAzAF8AMwBfADEAXwAxAF8AXwA0AF8AQQBkAGQAaQB0AGkAbwBuAGEAbABJAG4AdABhAGsAZQBGAG8AcgBNAGkAbABrAFAAcgBvAGQAdQBjAHQAaQBvAG4AXwBTAG8AdQByAGMAZQBcAG4AIAAgAD0ATABBAE0AQgBEAEEAKABcACIAVgBFAEUAUgBHACAAMgAwADIANgA6ACAAMwAuADMALgAxAC4AMQAsACAARQBxAHUAYQB0AGkAbwBuACAAKAA0ACkAXAAiACkAOwBcAG4AXABuAFYARQBFAFIARwBfADMAXwAzAF8AMQBfADEAXwBfADQAXwBBAGQAZABpAHQAaQBvAG4AYQBsAEkAbgB0AGEAawBlAEYAbwByAE0AaQBsAGsAUAByAG8AZAB1AGMAdABpAG8AbgBfAE4ASQBSAFIAZQBmAGUAcgBlAG4AYwBlAFwAbgAgACAAPQBMAEEATQBCAEQAQQAoAFwAIgBcACIAKQA7AFwAbgBcAG4AVgBFAEUAUgBHAF8AMwBfADMAXwAxAF8AMQBfAF8ANABfAEEAZABkAGkAdABpAG8AbgBhAGwASQBuAHQAYQBrAGUARgBvAHIATQBpAGwAawBQAHIAbwBkAHUAYwB0AGkAbwBuAF8ATABhAHQAZQB4AEUAcQB1AGEAdABpAG8AbgBcAG4AIAAgAD0ATABBAE0AQgBEAEEAKABcACIATQBJAF8AagA9AFwAXABmAHIAYQBjAHsATQBQAF8AagBcAFwAdABpAG0AZQBzACAAMQAuADAAMwBcAFwAdABpAG0AZQBzACAATgBFAH0AewBHAEUAQwBcAFwAdABpAG0AZQBzACAAawBcAFwAdABpAG0AZQBzACAAcQBtAF8AagB9AFwAIgApADsAXABuAFwAbgBWAEUARQBSAEcAXwAzAF8AMwBfADEAXwAxAF8AXwA0AF8AQQBkAGQAaQB0AGkAbwBuAGEAbABJAG4AdABhAGsAZQBGAG8AcgBNAGkAbABrAFAAcgBvAGQAdQBjAHQAaQBvAG4AXwBBAHIAZwB1AG0AZQBuAHQAcwBcAG4AIAAgAD0ATABBAE0AQgBEAEEAKABcAG4AIAAgACAAIABNAEEASwBFAEEAUgBSAEEAWQAoADcALAAgADQALABcAG4AIAAgACAAIAAgACAATABBAE0AQgBEAEEAKAByACwAYwAsAFwAbgAgACAAIAAgACAAIAAgACAASQBOAEQARQBYACgAewBcAG4AIAAgACAAIAAgACAAIAAgACAAIABcACIATQBQAFUAXAAiACwAIABcACIAaQBuAHAAdQB0ACAAbQBpAGwAawAgAHAAcgBvAGQAdQBjAHQAaQBvAG4AIAB1AG4AaQB0AFwAIgAsACAAXAAiAFwAIgAsACAAXAAiAEkAbgBwAHUAdABcACIAOwBcAG4AIAAgACAAIAAgACAAIAAgACAAIABcACIATQBQAF8AagBcACIALAAgAFwAIgBtAGkAbABrACAAcAByAG8AZAB1AGMAdABpAG8AbgAgACgAaQBmACAAaQBuAHAAdQB0ACAAYQBzACAAbABpAHQAcgBlAHMAIABvAGYAIABtAGkAbABrACkAXAAiACwAIABcACIATAAvAGgAZQBhAGQALwBkAGEAeQBcACIALAAgAFwAIgBJAG4AcAB1AHQAXAAiADsAXABuACAAIAAgACAAIAAgACAAIAAgACAAXAAiAE0AUABfAGoAXAAiACwAIABcACIAbQBpAGwAawAgAHAAcgBvAGQAdQBjAHQAaQBvAG4AIAAoAGkAZgAgAGkAbgBwAHUAdAAgAGEAcwAgAG0AaQBsAGsAIABzAG8AbABpAGQAcwApAFwAIgAsACAAXAAiAEwALwBoAGUAYQBkAC8AZABhAHkAXAAiACwAIABcACIAQwBhAGwAYwB1AGwAYQB0AGUAZAAgAGYAcgBvAG0AIAAzAC4AMwAuADEALgAxACAAKAA1ACkAXAAiADsAXABuACAAIAAgACAAIAAgACAAIAAgACAAXAAiAE4ARQBcACIALAAgAFwAIgBuAGUAdAAgAGUAbgBlAHIAZwB5AFwAIgAsACAAXAAiAE0ASgAgAG4AZQB0ACAAZQBuAGUAcgBnAHkALwBrAGcAIABtAGkAbABrAFwAIgAsACAAXAAiAEMAbwBuAHMAdABhAG4AdABcACIAOwBcAG4AIAAgACAAIAAgACAAIAAgACAAIABcACIARwBFAEMAXAAiACwAIABcACIAZwByAG8AcwBzACAAZQBuAGUAcgBnAHkAIABjAG8AbgB0AGUAbgB0AFwAIgAsACAAXAAiAE0ASgAvAGsAZwBEAE0AXAAiACwAIABcACIAQwBvAG4AcwB0AGEAbgB0AFwAIgA7AFwAbgAgACAAIAAgACAAIAAgACAAIAAgAFwAIgBrAFwAIgAsACAAXAAiAGUAZgBmAGkAYwBpAGUAbgBjAHkAIABvAGYAIABtAGUAdABhAGIAbwBsAGkAegBhAGIAbABlACAAZQBuAGUAcgBnAHkAIAB1AHMAZQAgAGYAbwByACAAbQBpAGwAawAgAHAAcgBvAGQAdQBjAHQAaQBvAG4AXAAiACwAIABcACIAZgByAGEAYwB0AGkAbwBuAFwAIgAsACAAXAAiAEMAbwBuAHMAdABhAG4AdABcACIAOwBcAG4AIAAgACAAIAAgACAAIAAgACAAIABcACIAcQBtAF8AagBcACIALAAgAFwAIgBtAGUAdABhAGIAbwBsAGkAcwBhAGIAaQBsAGkAdAB5ACAAbwBmACAAdABoAGUAIABkAGkAZQB0AFwAIgAsACAAXAAiAGYAcgBhAGMAdABpAG8AbgBcACIALAAgAFwAIgBDAGEAbABjAHUAbABhAHQAZQBkACAAZgByAG8AbQAgADMALgAzAC4AMQAuADEAIAAoADYAKQBcACIAXABuACAAIAAgACAAIAAgACAAIAB9ACwAIAByACwAIABjACkAXABuACAAIAAgACAAIAAgACkAXABuACAAIAAgACAAKQBcAG4AIAAgACkAOwBcAG4AXABuAFYARQBFAFIARwBfADMAXwAzAF8AMQBfADEAXwBfADQAXwBBAGQAZABpAHQAaQBvAG4AYQBsAEkAbgB0AGEAawBlAEYAbwByAE0AaQBsAGsAUAByAG8AZAB1AGMAdABpAG8AbgBfAFYAYQByAGkAYQB0AGkAbwBuAFwAbgAgACAAPQBMAEEATQBCAEQAQQAoAFwAIgBWAEEAUgBBAFQASQBPAE4AIABPAE4AIABTAE8AVQBSAEMARQA6ACAAQQBkAGQAZQBkACAAbQBpAGwAawAgAHAAcgBvAGQAdQBjAHQAaQBvAG4AIAB1AG4AaQB0ACAAdgBhAHIAaQBhAGIAbABlACAAdABvACAAYQBsAGwAbwB3ACAAZgBvAHIAIAB1AHMAZQAgAG8AZgAgAGUAaQB0AGgAZQByACAAbQBpAGwAawAgAHMAbwBsAGkAZABzACAAbwByACAAbABpAHQAcgBlAHMAIABvAGYAIABtAGkAbABrAC4AXAAiACkAOwBcAG4AXABuAC8AKgBcAG4ALQAtAC0ALQAtAC0ALQAtAC0ALQAtAC0ALQAtAC0ALQAtAC0ALQAtAC0ALQAtAC0ALQAtAC0ALQAtAC0ALQAtAC0ALQAtAC0ALQAtAFwAbgBWAEUARQBSAEcAXwAzAF8AMwBfADEAXwAxAF8AXwA1AF8ATQBpAGwAawBQAHIAbwBkAHUAYwB0AGkAbwBuAEYAcgBvAG0ATQBpAGwAawBTAG8AbABpAGQAcwBcAG4ATQBpAGwAawAgAHAAcgBvAGQAdQBjAHQAaQBvAG4AIABjAG8AbgB2AGUAcgB0AGUAZAAgAGYAcgBvAG0AIABtAGkAbABrACAAcwBvAGwAaQBkAHMAXABuAE0AUABfAGoAXABuAEwALwBoAGUAYQBkAC8AZABhAHkAXABuAE0AUABfAGoAPQBNAFMAXwBqAC8AKAAwAC4AMAAxAFwAXAB0AGkAbQBlAHMAIAAoAEYAQwBfAGoAKwBQAEMAXwBqACkAKQBcAG4ATQBTAF8AagAgAD0AIABkAGEAaQBsAHkAIABwAHIAbwBkAHUAYwB0AGkAbwBuACAAbwBmACAAbQBpAGwAawAgAHMAbwBsAGkAZABzACAAKABrAGcAIABNAFMALwBoAGUAYQBkAC8AZABhAHkAKQBcAG4ARgBDAF8AagAgAD0AIABmAGEAdAAgAGMAbwBuAHQAZQBuAHQAIABpAG4AIABmAGEAdAAgAGEAbgBkACAAcAByAG8AdABlAGkAbgAgAGMAbwByAHIAZQBjAHQAZQBkACAAbQBpAGwAawAgACgAcABlAHIAIABjAGUAbgB0ACkAXABuAFAAQwBfAGoAIAA9ACAAcAByAG8AdABlAGkAbgAgAGMAbwBuAHQAZQBuAHQAIABpAG4AIABmAGEAdAAgAGEAbgBkACAAcAByAG8AdABlAGkAbgAgAGMAbwByAHIAZQBjAHQAZQBkACAAbQBpAGwAawAgACgAcABlAHIAIABjAGUAbgB0ACkAXABuAC0ALQAtAC0ALQAtAC0ALQAtAC0ALQAtAC0ALQAtAC0ALQAtAC0ALQAtAC0ALQAtAC0ALQAtAC0ALQAtAC0ALQAtAC0ALQAtAC0ALQBcAG4AKgAvAFwAbgBcAG4AVgBFAEUAUgBHAF8AMwBfADMAXwAxAF8AMQBfAF8ANQBfAE0AaQBsAGsAUAByAG8AZAB1AGMAdABpAG8AbgBGAHIAbwBtAE0AaQBsAGsAUwBvAGwAaQBkAHMAXABuACAAIAA9AEwAQQBNAEIARABBACgAXABuACAAIAAgACAATQBTAF8AagAsACAARgBDAF8AagAsACAAUABDAF8AagAsAFwAbgAgACAAIAAgAE0AUwBfAGoAIAAvACAAKAAwAC4AMAAxACAAKgAgACgARgBDAF8AagAgACsAIABQAEMAXwBqACkAKQBcAG4AIAAgACkAOwBcAG4AXABuAFYARQBFAFIARwBfADMAXwAzAF8AMQBfADEAXwBfADUAXwBNAGkAbABrAFAAcgBvAGQAdQBjAHQAaQBvAG4ARgByAG8AbQBNAGkAbABrAFMAbwBsAGkAZABzAF8AVABpAHQAbABlAFwAbgAgACAAPQBMAEEATQBCAEQAQQAoAFwAIgBNAGkAbABrACAAcAByAG8AZAB1AGMAdABpAG8AbgAgAGMAbwBuAHYAZQByAHQAZQBkACAAZgByAG8AbQAgAG0AaQBsAGsAIABzAG8AbABpAGQAcwBcACIAKQA7AFwAbgBcAG4AVgBFAEUAUgBHAF8AMwBfADMAXwAxAF8AMQBfAF8ANQBfAE0AaQBsAGsAUAByAG8AZAB1AGMAdABpAG8AbgBGAHIAbwBtAE0AaQBsAGsAUwBvAGwAaQBkAHMAXwBWAGEAcgBpAGEAYgBsAGUAXABuACAAIAA9AEwAQQBNAEIARABBACgAXAAiAE0AUABfAGoAXAAiACkAOwBcAG4AXABuAFYARQBFAFIARwBfADMAXwAzAF8AMQBfADEAXwBfADUAXwBNAGkAbABrAFAAcgBvAGQAdQBjAHQAaQBvAG4ARgByAG8AbQBNAGkAbABrAFMAbwBsAGkAZABzAF8AVQBuAGkAdABcAG4AIAAgAD0ATABBAE0AQgBEAEEAKABcACIATAAvAGgAZQBhAGQALwBkAGEAeQBcACIAKQA7AFwAbgBcAG4AVgBFAEUAUgBHAF8AMwBfADMAXwAxAF8AMQBfAF8ANQBfAE0AaQBsAGsAUAByAG8AZAB1AGMAdABpAG8AbgBGAHIAbwBtAE0AaQBsAGsAUwBvAGwAaQBkAHMAXwBTAG8AdQByAGMAZQBcAG4AIAAgAD0ATABBAE0AQgBEAEEAKABcACIAVgBFAEUAUgBHACAAMgAwADIANgA6ACAAMwAuADMALgAxAC4AMQAsACAARQBxAHUAYQB0AGkAbwBuACAAKAA1ACkAXAAiACkAOwBcAG4AXABuAFYARQBFAFIARwBfADMAXwAzAF8AMQBfADEAXwBfADUAXwBNAGkAbABrAFAAcgBvAGQAdQBjAHQAaQBvAG4ARgByAG8AbQBNAGkAbABrAFMAbwBsAGkAZABzAF8ATgBJAFIAUgBlAGYAZQByAGUAbgBjAGUAXABuACAAIAA9AEwAQQBNAEIARABBACgAXAAiAFwAIgApADsAXABuAFwAbgBWAEUARQBSAEcAXwAzAF8AMwBfADEAXwAxAF8AXwA1AF8ATQBpAGwAawBQAHIAbwBkAHUAYwB0AGkAbwBuAEYAcgBvAG0ATQBpAGwAawBTAG8AbABpAGQAcwBfAEwAYQB0AGUAeABFAHEAdQBhAHQAaQBvAG4AXABuACAAIAA9AEwAQQBNAEIARABBACgAXAAiAE0AUABfAGoAPQBcAFwAZgByAGEAYwB7AE0AUwBfAGoAfQB7ADAALgAwADEAXABcAHQAaQBtAGUAcwAgACgARgBDAF8AagArAFAAQwBfAGoAKQB9AFwAIgApADsAXABuAFwAbgBWAEUARQBSAEcAXwAzAF8AMwBfADEAXwAxAF8AXwA1AF8ATQBpAGwAawBQAHIAbwBkAHUAYwB0AGkAbwBuAEYAcgBvAG0ATQBpAGwAawBTAG8AbABpAGQAcwBfAEEAcgBnAHUAbQBlAG4AdABzAFwAbgAgACAAPQBMAEEATQBCAEQAQQAoAFwAbgAgACAAIAAgAE0AQQBLAEUAQQBSAFIAQQBZACgANAAsACAANAAsAFwAbgAgACAAIAAgACAAIABMAEEATQBCAEQAQQAoAHIALABjACwAXABuACAAIAAgACAAIAAgACAAIABJAE4ARABFAFgAKAB7AFwAbgAgACAAIAAgACAAIAAgACAAIAAgAFwAIgBNAFAAVQBcACIALAAgAFwAIgBpAG4AcAB1AHQAIABtAGkAbABrACAAcAByAG8AZAB1AGMAdABpAG8AbgAgAHUAbgBpAHQAXAAiACwAIABcACIAXAAiACwAIABcACIASQBuAHAAdQB0AFwAIgA7AFwAbgAgACAAIAAgACAAIAAgACAAIAAgAFwAIgBNAFMAXwBqAFwAIgAsACAAXAAiAGQAYQBpAGwAeQAgAHAAcgBvAGQAdQBjAHQAaQBvAG4AIABvAGYAIABtAGkAbABrACAAcwBvAGwAaQBkAHMAXAAiACwAIABcACIAawBnACAATQBTAC8AaABlAGEAZAAvAGQAYQB5AFwAIgAsACAAXAAiAEkAbgBwAHUAdABcACIAOwBcAG4AIAAgACAAIAAgACAAIAAgACAAIABcACIARgBDAF8AagBcACIALAAgAFwAIgBmAGEAdAAgAGMAbwBuAHQAZQBuAHQAIABpAG4AIABmAGEAdAAgAGEAbgBkACAAcAByAG8AdABlAGkAbgAgAGMAbwByAHIAZQBjAHQAZQBkACAAbQBpAGwAawBcACIALAAgAFwAIgBwAGUAcgAgAGMAZQBuAHQAXAAiACwAIABcACIAQwBvAG4AcwB0AGEAbgB0AFwAIgA7AFwAbgAgACAAIAAgACAAIAAgACAAIAAgAFwAIgBQAEMAXwBqAFwAIgAsACAAXAAiAHAAcgBvAHQAZQBpAG4AIABjAG8AbgB0AGUAbgB0ACAAaQBuACAAZgBhAHQAIABhAG4AZAAgAHAAcgBvAHQAZQBpAG4AIABjAG8AcgByAGUAYwB0AGUAZAAgAG0AaQBsAGsAXAAiACwAIABcACIAcABlAHIAIABjAGUAbgB0AFwAIgAsACAAXAAiAEMAbwBuAHMAdABhAG4AdABcACIAXABuACAAIAAgACAAIAAgACAAIAB9ACwAIAByACwAIABjACkAXABuACAAIAAgACAAIAAgACkAXABuACAAIAAgACAAKQBcAG4AIAAgACkAOwBcAG4AXABuAFYARQBFAFIARwBfADMAXwAzAF8AMQBfADEAXwBfADUAXwBNAGkAbABrAFAAcgBvAGQAdQBjAHQAaQBvAG4ARgByAG8AbQBNAGkAbABrAFMAbwBsAGkAZABzAF8AQQByAGcAdQBtAGUAbgB0AHMAXwBNAGUAdABoAG8AZAAyAFwAbgAgACAAPQBMAEEATQBCAEQAQQAoAFwAbgAgACAAIAAgAE0AQQBLAEUAQQBSAFIAQQBZACgANAAsACAANAAsAFwAbgAgACAAIAAgACAAIABMAEEATQBCAEQAQQAoAHIALABjACwAXABuACAAIAAgACAAIAAgACAAIABJAE4ARABFAFgAKAB7AFwAbgAgACAAIAAgACAAIAAgACAAIAAgAFwAIgBNAFAAVQBcACIALAAgAFwAIgBtAGkAbABrACAAcAByAG8AZAB1AGMAdABpAG8AbgAgAHUAbgBpAHQAXAAiACwAIABcACIAXAAiACwAIABcACIASQBuAHAAdQB0AFwAIgA7AFwAbgAgACAAIAAgACAAIAAgACAAIAAgAFwAIgBNAFMAXwBqAFwAIgAsACAAXAAiAGQAYQBpAGwAeQAgAHAAcgBvAGQAdQBjAHQAaQBvAG4AIABvAGYAIABtAGkAbABrACAAcwBvAGwAaQBkAHMAXAAiACwAIABcACIAawBnACAATQBTAC8AaABlAGEAZAAvAGQAYQB5AFwAIgAsACAAXAAiAEkAbgBwAHUAdABcACIAOwBcAG4AIAAgACAAIAAgACAAIAAgACAAIABcACIARgBDAF8AagBcACIALAAgAFwAIgBmAGEAdAAgAGMAbwBuAHQAZQBuAHQAIABpAG4AIABmAGEAdAAgAGEAbgBkACAAcAByAG8AdABlAGkAbgAgAGMAbwByAHIAZQBjAHQAZQBkACAAbQBpAGwAawBcACIALAAgAFwAIgBwAGUAcgAgAGMAZQBuAHQAXAAiACwAIABcACIASQBuAHAAdQB0AFwAIgA7AFwAbgAgACAAIAAgACAAIAAgACAAIAAgAFwAIgBQAEMAXwBqAFwAIgAsACAAXAAiAHAAcgBvAHQAZQBpAG4AIABjAG8AbgB0AGUAbgB0ACAAaQBuACAAZgBhAHQAIABhAG4AZAAgAHAAcgBvAHQAZQBpAG4AIABjAG8AcgByAGUAYwB0AGUAZAAgAG0AaQBsAGsAXAAiACwAIABcACIAcABlAHIAIABjAGUAbgB0AFwAIgAsACAAXAAiAEkAbgBwAHUAdABcACIAXABuACAAIAAgACAAIAAgACAAIAB9ACwAIAByACwAIABjACkAXABuACAAIAAgACAAIAAgACkAXABuACAAIAAgACAAKQBcAG4AIAAgACkAOwBcAG4AXABuAFYARQBFAFIARwBfADMAXwAzAF8AMQBfADEAXwBfADUAXwBNAGkAbABrAFAAcgBvAGQAdQBjAHQAaQBvAG4ARgByAG8AbQBNAGkAbABrAFMAbwBsAGkAZABzAF8AVgBhAHIAaQBhAHQAaQBvAG4AXABuACAAIAA9AEwAQQBNAEIARABBACgAXAAiAFYAQQBSAEEAVABJAE8ATgAgAE8ATgAgAFMATwBVAFIAQwBFADoAIABBAGQAZABlAGQAIABtAGkAbABrACAAcAByAG8AZAB1AGMAdABpAG8AbgAgAHUAbgBpAHQAIAB2AGEAcgBpAGEAYgBsAGUAIAB0AG8AIABhAGwAbABvAHcAIABmAG8AcgAgAHUAcwBlACAAbwBmACAAZQBpAHQAaABlAHIAIABtAGkAbABrACAAcwBvAGwAaQBkAHMAIABvAHIAIABsAGkAdAByAGUAcwAgAG8AZgAgAG0AaQBsAGsALgAgAEMAbwBuAHYAZQByAHQAZQBkACAAaQBuAHAAdQB0ACAARgBDACAAYQBuAGQAIABQAEMAIABwAGUAcgBjAGUAbgB0ACAAdABvACAAaQBuAHQAZQBnAGUAcgAuAFwAIgApADsAXABuAFwAbgAvACoAXABuAC0ALQAtAC0ALQAtAC0ALQAtAC0ALQAtAC0ALQAtAC0ALQAtAC0ALQAtAC0ALQAtAC0ALQAtAC0ALQAtAC0ALQAtAC0ALQAtAC0ALQBcAG4AVgBFAEUAUgBHAF8AMwBfADMAXwAxAF8AMQBfAF8ANgBfAE0AZQB0AGEAYgBvAGwAaQBzAGEAYgBpAGwAaQB0AHkATwBmAEQAaQBlAHQAXABuAE0AZQB0AGEAYgBvAGwAaQBzAGEAYgBpAGwAaQB0AHkAIABvAGYAIABkAGkAZQB0AFwAbgBxAG0AXwBqAFwAbgBmAHIAYQBjAHQAaQBvAG4AXABuAHEAbQBfAGoAPQAwAC4ANwA5ADUAXABcAHQAaQBtAGUAcwAgACgARABNAEQAXwBqAFwAXAB0AGkAbQBlAHMAIAAxADAAMAApAC0AMAAuADAAMAAxADQAXABuAEQATQBEAF8AagAgAD0AIABkAHIAeQAgAG0AYQB0AHQAZQByACAAZABpAGcAZQBzAHQAaQBiAGkAbABpAHQAeQAgAGUAeABwAHIAZQBzAHMAZQBkACAAYQBzACAAYQAgAGYAcgBhAGMAdABpAG8AbgBcAG4ALQAtAC0ALQAtAC0ALQAtAC0ALQAtAC0ALQAtAC0ALQAtAC0ALQAtAC0ALQAtAC0ALQAtAC0ALQAtAC0ALQAtAC0ALQAtAC0ALQAtAFwAbgAqAC8AXABuAFwAbgBWAEUARQBSAEcAXwAzAF8AMwBfADEAXwAxAF8AXwA2AF8ATQBlAHQAYQBiAG8AbABpAHMAYQBiAGkAbABpAHQAeQBPAGYARABpAGUAdABcAG4AIAAgAD0ATABBAE0AQgBEAEEAKABcAG4AIAAgACAAIABEAE0ARABfAGoALABcAG4AIAAgACAAIAAwAC4ANwA5ADUAIAAqACAAKABEAE0ARABfAGoAIAAqACAAMQAwADAAKQAgAC0AIAAwAC4AMAAwADEANABcAG4AIAAgACkAOwBcAG4AXABuAFYARQBFAFIARwBfADMAXwAzAF8AMQBfADEAXwBfADYAXwBNAGUAdABhAGIAbwBsAGkAcwBhAGIAaQBsAGkAdAB5AE8AZgBEAGkAZQB0AFYAYQByAGkAYQB0AGkAbwBuAFwAbgAgACAAPQBMAEEATQBCAEQAQQAoAFwAbgAgACAAIAAgAEQATQBEAF8AagAsAFwAbgAgACAAIAAgADAALgAwADAANwA5ADUAIAAqACAAKABEAE0ARABfAGoAIAAqACAAMQAwADAAKQAgAC0AIAAwAC4AMAAwADEANABcAG4AIAAgACkAOwBcAG4AXABuAFwAbgBWAEUARQBSAEcAXwAzAF8AMwBfADEAXwAxAF8AXwA2AF8ATQBlAHQAYQBiAG8AbABpAHMAYQBiAGkAbABpAHQAeQBPAGYARABpAGUAdABfAFQAaQB0AGwAZQBcAG4AIAAgAD0ATABBAE0AQgBEAEEAKABcACIATQBlAHQAYQBiAG8AbABpAHMAYQBiAGkAbABpAHQAeQAgAG8AZgAgAGQAaQBlAHQAXAAiACkAOwBcAG4AXABuAFYARQBFAFIARwBfADMAXwAzAF8AMQBfADEAXwBfADYAXwBNAGUAdABhAGIAbwBsAGkAcwBhAGIAaQBsAGkAdAB5AE8AZgBEAGkAZQB0AF8AVgBhAHIAaQBhAGIAbABlAFwAbgAgACAAPQBMAEEATQBCAEQAQQAoAFwAIgBxAG0AXwBqAFwAIgApADsAXABuAFwAbgBWAEUARQBSAEcAXwAzAF8AMwBfADEAXwAxAF8AXwA2AF8ATQBlAHQAYQBiAG8AbABpAHMAYQBiAGkAbABpAHQAeQBPAGYARABpAGUAdABfAFUAbgBpAHQAXABuACAAIAA9AEwAQQBNAEIARABBACgAXAAiAGYAcgBhAGMAdABpAG8AbgBcACIAKQA7AFwAbgBcAG4AVgBFAEUAUgBHAF8AMwBfADMAXwAxAF8AMQBfAF8ANgBfAE0AZQB0AGEAYgBvAGwAaQBzAGEAYgBpAGwAaQB0AHkATwBmAEQAaQBlAHQAXwBTAG8AdQByAGMAZQBcAG4AIAAgAD0ATABBAE0AQgBEAEEAKABcACIAVgBFAEUAUgBHACAAMgAwADIANgA6ACAAMwAuADMALgAxAC4AMQAsACAARQBxAHUAYQB0AGkAbwBuACAAKAA2ACkAXAAiACkAOwBcAG4AXABuAFYARQBFAFIARwBfADMAXwAzAF8AMQBfADEAXwBfADYAXwBNAGUAdABhAGIAbwBsAGkAcwBhAGIAaQBsAGkAdAB5AE8AZgBEAGkAZQB0AF8ATgBJAFIAUgBlAGYAZQByAGUAbgBjAGUAXABuACAAIAA9AEwAQQBNAEIARABBACgAXAAiAFwAIgApADsAXABuAFwAbgBWAEUARQBSAEcAXwAzAF8AMwBfADEAXwAxAF8AXwA2AF8ATQBlAHQAYQBiAG8AbABpAHMAYQBiAGkAbABpAHQAeQBPAGYARABpAGUAdABfAEwAYQB0AGUAeABFAHEAdQBhAHQAaQBvAG4AXABuACAAIAA9AEwAQQBNAEIARABBACgAXAAiAHEAbQBfAGoAPQAwAC4ANwA5ADUAXABcAHQAaQBtAGUAcwAgACgARABNAEQAXwBqAFwAXAB0AGkAbQBlAHMAIAAxADAAMAApAC0AMAAuADAAMAAxADQAXAAiACkAOwBcAG4AXABuAFYARQBFAFIARwBfADMAXwAzAF8AMQBfADEAXwBfADYAXwBNAGUAdABhAGIAbwBsAGkAcwBhAGIAaQBsAGkAdAB5AE8AZgBEAGkAZQB0AF8ATABhAHQAZQB4AEUAcQB1AGEAdABpAG8AbgBWAGEAcgBpAGEAdABpAG8AbgBcAG4AIAAgAD0ATABBAE0AQgBEAEEAKABcACIAcQBtAF8AagA9ADAALgAwADAANwA5ADUAXABcAHQAaQBtAGUAcwAgACgARABNAEQAXwBqAFwAXAB0AGkAbQBlAHMAIAAxADAAMAApAC0AMAAuADAAMAAxADQAXAAiACkAOwBcAG4AXABuAFYARQBFAFIARwBfADMAXwAzAF8AMQBfADEAXwBfADYAXwBNAGUAdABhAGIAbwBsAGkAcwBhAGIAaQBsAGkAdAB5AE8AZgBEAGkAZQB0AF8AQQByAGcAdQBtAGUAbgB0AHMAXABuACAAIAA9AEwAQQBNAEIARABBACgAXABuACAAIAAgACAATQBBAEsARQBBAFIAUgBBAFkAKAAxACwAIAA0ACwAXABuACAAIAAgACAAIAAgAEwAQQBNAEIARABBACgAcgAsAGMALABcAG4AIAAgACAAIAAgACAAIAAgAEkATgBEAEUAWAAoAHsAXABuACAAIAAgACAAIAAgACAAIAAgACAAXAAiAEQATQBEAF8AagBcACIALAAgAFwAIgBkAHIAeQAgAG0AYQB0AHQAZQByACAAZABpAGcAZQBzAHQAaQBiAGkAbABpAHQAeQAgAGUAeABwAHIAZQBzAHMAZQBkACAAYQBzACAAYQAgAGYAcgBhAGMAdABpAG8AbgBcACIALAAgAFwAIgBmAHIAYQBjAHQAaQBvAG4AXAAiACwAIABcACIASQBuAHAAdQB0AFwAIgBcAG4AIAAgACAAIAAgACAAIAAgAH0ALAAgAHIALAAgAGMAKQBcAG4AIAAgACAAIAAgACAAKQBcAG4AIAAgACAAIAApAFwAbgAgACAAKQA7AFwAbgBcAG4AVgBFAEUAUgBHAF8AMwBfADMAXwAxAF8AMQBfAF8ANgBfAE0AZQB0AGEAYgBvAGwAaQBzAGEAYgBpAGwAaQB0AHkATwBmAEQAaQBlAHQAXwBWAGEAcgBpAGEAdABpAG8AbgBcAG4AIAAgAD0ATABBAE0AQgBEAEEAKABcACIAVgBBAFIASQBBAFQASQBPAE4AIABPAE4AIABTAE8AVQBSAEMARQA6ACAAYwBoAGEAbgBnAGUAZAAgADAALgA3ADkANQAgAHQAbwAgADAALgAwADAANwA5ADUAIAB3AGgAaQBjAGgAIABpAHMAIAB0AGgAZQAgAHYAYQBsAHUAZQAgAHUAcwBlAGQAIABpAG4AIAB0AGgAZQAgAE4AYQB0AGkAbwBuAGEAbAAgAEkAbgB2AGUAbgB0AG8AcgB5ACAAUgBlAHAAbwByAHQAXAAiACkAOwBcAG4AXABuACIAfQAsAHsAIgBwAGEAdABoACIAOgAiAC8AcAByAG8AagBlAGMAdABzAC8ASQBuAHAAdQB0AEYAdQBuAGMAdABpAG8AbgBzAF8ARABhAGkAcgB5ACIALAAiAHQAZQB4AHQAIgA6ACIAQwBhAGwAYwB1AGwAYQB0AGUARgByAGEAYwB0AGkAbwBuAEkAbgBNAE0AUwBBAGYAdABlAHIAUwBvAGwAaQBkAFMAZQBwAGEAcgBhAHQAaQBvAG4AXABuAD0ATABBAE0AQgBEAEEAKABcAG4AIAAgACAAIABQAHIAbwBkAHUAYwB0AGkAbwBuAFMAeQBzAHQAZQBtACwAIABNAE0AUwBGAHIAYQBjAHQAaQBvAG4ALAAgAEYAcgBhAGMAdABpAG8AbgBTAGUAcABhAHIAYQB0AGUAZAAsAFwAbgAgACAAIAAgAFAAcgBvAGQAdQBjAHQAaQBvAG4AUwB5AHMAdABlAG0AIAAqACAAKABNAE0AUwBGAHIAYQBjAHQAaQBvAG4ALQAoAE0ATQBTAEYAcgBhAGMAdABpAG8AbgAqAEYAcgBhAGMAdABpAG8AbgBTAGUAcABhAHIAYQB0AGUAZAApACkAXABuACkAOwBcAG4AXABuAEMAYQBsAGMAdQBsAGEAdABlAEYAcgBhAGMAdABpAG8AbgBJAG4AUwBvAGwAaQBkAFMAdABvAHIAYQBnAGUAXABuAD0ATABBAE0AQgBEAEEAKABcAG4AIAAgACAAIABQAHIAbwBkAHUAYwB0AGkAbwBuAFMAeQBzAHQAZQBtACwAIABJAG4AaQB0AGEAbABTAG8AbABpAGQAUwB0AG8AcgBhAGcAZQBGAHIAYQBjAHQAaQBvAG4ALABcAG4AIAAgACAAIABNAE0AUwAxAEYAcgBhAGMAdABpAG8AbgAsACAATQBNAFMAMQBTAGUAcABhAHIAYQB0AGUAZAAsACAAXABuACAAIAAgACAATQBNAFMAMgBGAHIAYQBjAHQAaQBvAG4ALAAgAE0ATQBTADIAUwBlAHAAYQByAGEAdABlAGQALAAgAFwAbgAgACAAIAAgAE0ATQBTADMARgByAGEAYwB0AGkAbwBuACwAIABNAE0AUwAzAFMAZQBwAGEAcgBhAHQAZQBkACwAXABuACAAIAAgACAAUAByAG8AZAB1AGMAdABpAG8AbgBTAHkAcwB0AGUAbQAgACoAIAAoAFwAbgAgACAAIAAgACAAIAAgACAASQBuAGkAdABhAGwAUwBvAGwAaQBkAFMAdABvAHIAYQBnAGUARgByAGEAYwB0AGkAbwBuACAAKwBcAG4AIAAgACAAIAAgACAAIAAgACgATQBNAFMAMQBGAHIAYQBjAHQAaQBvAG4AIAAqACAATQBNAFMAMQBTAGUAcABhAHIAYQB0AGUAZAApACAAKwBcAG4AIAAgACAAIAAgACAAIAAgACgATQBNAFMAMgBGAHIAYQBjAHQAaQBvAG4AIAAqACAATQBNAFMAMgBTAGUAcABhAHIAYQB0AGUAZAApACAAKwBcAG4AIAAgACAAIAAgACAAIAAgACgATQBNAFMAMwBGAHIAYQBjAHQAaQBvAG4AIAAqACAATQBNAFMAMwBTAGUAcABhAHIAYQB0AGUAZAApAFwAbgAgACAAIAAgACkAXABuACkAOwAiAH0ALAB7ACIAcABhAHQAaAAiADoAIgAvAHAAcgBvAGoAZQBjAHQAcwAvAE0ATQBTAF8ARABhAGkAcgB5AF8ATABlAGEAYwBoAGkAbgBnAEEAbgBkAFIAdQBuAG8AZgBmAF8ARQBxAHUAYQB0AGkAbwBuAHMAIgAsACIAdABlAHgAdAAiADoAIgAvACoAXABuAD0APQA9AD0APQA9AD0APQA9AD0APQA9AD0APQA9AD0APQA9AD0APQA9AD0APQA9AD0APQA9AD0APQA9AD0APQA9AD0APQA9AD0APQA9AD0APQA9AD0APQA9AD0APQA9AD0APQA9AD0APQA9AD0APQA9AD0APQA9AD0APQA9AD0APQA9AD0APQA9AD0APQA9AD0APQA9AD0AXABuADQALgAzADoAIABEAGEAaQByAHkAXABuAD0APQA9AD0APQA9AD0APQA9AD0APQA9AD0APQA9AD0APQA9AD0APQA9AD0APQA9AD0APQA9AD0APQA9AD0APQA9AD0APQA9AD0APQA9AD0APQA9AD0APQA9AD0APQA9AD0APQA9AD0APQA9AD0APQA9AD0APQA9AD0APQA9AD0APQA9AD0APQA9AD0APQA9AD0APQA9AD0AXABuADQALgAzAC4AMQAuADYAIABNAGUAdABoAG8AZAAgADEAIAAtACAATQBhAG4AdQByAGUAIABMAGUAYQBjAGgAaQBuAGcAIABBAG4AZAAgAFIAdQBuAG8AZgBmACAATgAyAE8AIABEAGEAaQ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wBfADEAXwA2AF8AXwAxAF8AQQBuAG4AdQBhAGwARQBtAGkAcwBzAGkAbwBuAHMARgByAG8AbQBMAGUAYQBjAGgAaQBuAGcAQQBuAGQAUgB1AG4AbwBmAGYARgByAG8AbQBNAE0AUwBcAG4AQQBuAG4AdQBhAGwAIABlAG0AaQBzAHMAaQBvAG4AcwAgAGYAcgBvAG0AIABsAGUAYQBjAGgAaQBuAGcAIABhAG4AZAAgAHIAdQBuAG8AZgBmACAAZgByAG8AbQAgAGUAYQBjAGgAIABNAE0AUwBcAG4ARQBfAE4AMgBPAGwAZQBhAGMAaABcAG4AdAAgAE4AMgBPAFwAbgBFAF8AewBOADIATwAsAGwAZQBhAGMAaAB9AD0ATQBOAEwAZQBhAGMAaABfAHsAagBtAH0AXABcAHQAaQBtAGUAcwAgAEUARgBfAHsAbABlAGEAYwBoAH0AXABcAHQAaQBtAGUAcwAgAEMAXwB7AE4AMgBPAH0AXABcAHQAaQBtAGUAcwAgADEAMABeAHsALQAzAH0AXABuAE0ATgBMAGUAYQBjAGgAXwBqAG0AIAA9ACAAbQBhAHMAcwAgAG8AZgAgAE4AIABsAG8AcwB0ACAAdABoAHIAbwB1AGcAaAAgAGwAZQBhAGMAaABpAG4AZwAgAGEAbgBkACAAcgB1AG4AbwBmAGYAIABmAHIAbwBtACAAZQBhAGMAaAAgAE0ATQBTACAAKABrAGcAIABOACkAXABuAEUARgBfAGwAZQBhAGMAaAAgAD0AIABuAGkAdAByAG8AdQBzACAAbwB4AGkAZABlACAAZQBtAGkAcwBzAGkAbwBuACAAZgBhAGMAdABvAHIAIABmAG8AcgAgAGwAZQBhAGMAaABpAG4AZwAgAGEAbgBkACAAcgB1AG4AbwBmAGYAIAAoAGsAZwAgAE4AMgBPAC0ATgAvAGsAZwAgAE4AKQBcAG4AQwBfAE4AMgBPACAAPQAgAGYAYQBjAHQAbwByACAAdABvACAAYwBvAG4AdgBlAHIAdAAgAGUAbABlAG0AZQBuAHQAYQBsACAAbQBhAHMAcwAgAG8AZgAgAE4AMgBPACAAdABvACAAbQBvAGwAZQBjAHUAbABhAHIAIABtAGEAcwBzAFwAbgBWAEEAUgBJAEEAVABJAE8ATgAgAE8ARgAgAFMATwBVAFIAQwBFADoAIABGAG8AcgAgAE0AZQB0AGgAbwBkACAAMQAsACAAZQBtAGkAcwBzAGkAbwBuAHMAIABhAHIAZQAgAGUAcwB0AGkAbQBhAHQAZQBkACAAbwBuAGwAeQAgAGYAbwByACAAcwBvAGwAaQBkACAAcwB0AG8AcgBhAGcAZQAgACgAbQA9ADQAKQAuAFwAbgAtAC0ALQAtAC0ALQAtAC0ALQAtAC0ALQAtAC0ALQAtAC0ALQAtAC0ALQAtAC0ALQAtAC0ALQAtAC0ALQAtAC0ALQAtAC0ALQAtAC0AXABuACoALwBcAG4AXABuAFYARQBFAFIARwBfADQAXwAzAF8AMQBfADYAXwBfADEAXwBBAG4AbgB1AGEAbABFAG0AaQBzAHMAaQBvAG4AcwBGAHIAbwBtAEwAZQBhAGMAaABpAG4AZwBBAG4AZABSAHUAbgBvAGYAZgBGAHIAbwBtAE0ATQBTAFwAbgAgACAAPQBMAEEATQBCAEQAQQAoAFwAbgAgACAAIAAgAE0ATgBMAGUAYQBjAGgAXwBqAG0ALAAgAEUARgBfAGwAZQBhAGMAaAAsACAAQwBfAE4AMgBPACwAXABuACAAIAAgACAAKABNAE4ATABlAGEAYwBoAF8AagBtACAAKgAgAEUARgBfAGwAZQBhAGMAaAAgACoAIABDAF8ATgAyAE8AKQAgACoAIAAxADAAIABeACAALQAzAFwAbgAgACAAKQA7AFwAbgBcAG4AVgBFAEUAUgBHAF8ANABfADMAXwAxAF8ANgBfAF8AMQBfAEEAbgBuAHUAYQBsAEUAbQBpAHMAcwBpAG8AbgBzAEYAcgBvAG0ATABlAGEAYwBoAGkAbgBnAEEAbgBkAFIAdQBuAG8AZgBmAEYAcgBvAG0ATQBNAFMAXwBUAGkAdABsAGUAXABuACAAIAA9AEwAQQBNAEIARABBACgAXAAiAEEAbgBuAHUAYQBsACAAZQBtAGkAcwBzAGkAbwBuAHMAIABmAHIAbwBtACAAbABlAGEAYwBoAGkAbgBnACAAYQBuAGQAIAByAHUAbgBvAGYAZgAgAGYAcgBvAG0AIABlAGEAYwBoACAATQBNAFMAXAAiACkAOwBcAG4AXABuAFYARQBFAFIARwBfADQAXwAzAF8AMQBfADYAXwBfADEAXwBBAG4AbgB1AGEAbABFAG0AaQBzAHMAaQBvAG4AcwBGAHIAbwBtAEwAZQBhAGMAaABpAG4AZwBBAG4AZABSAHUAbgBvAGYAZgBGAHIAbwBtAE0ATQBTAF8AVgBhAHIAaQBhAGIAbABlAFwAbgAgACAAPQBMAEEATQBCAEQAQQAoAFwAIgBFAF8ATgAyAE8AbABlAGEAYwBoAFwAIgApADsAXABuAFwAbgBWAEUARQBSAEcAXwA0AF8AMwBfADEAXwA2AF8AXwAxAF8AQQBuAG4AdQBhAGwARQBtAGkAcwBzAGkAbwBuAHMARgByAG8AbQBMAGUAYQBjAGgAaQBuAGcAQQBuAGQAUgB1AG4AbwBmAGYARgByAG8AbQBNAE0AUwBfAFUAbgBpAHQAXABuACAAIAA9AEwAQQBNAEIARABBACgAXAAiAHQAIABOADIATwBcACIAKQA7AFwAbgBcAG4AVgBFAEUAUgBHAF8ANABfADMAXwAxAF8ANgBfAF8AMQBfAEEAbgBuAHUAYQBsAEUAbQBpAHMAcwBpAG8AbgBzAEYAcgBvAG0ATABlAGEAYwBoAGkAbgBnAEEAbgBkAFIAdQBuAG8AZgBmAEYAcgBvAG0ATQBNAFMAXwBTAG8AdQByAGMAZQBcAG4AIAAgAD0ATABBAE0AQgBEAEEAKABcACIAVgBFAEUAUgBHACAAMgAwADIANgA6ACAANAAuADMALgAxAC4ANgAsACAARQBxAHUAYQB0AGkAbwBuACAAKAAxACkAXAAiACkAOwBcAG4AXABuAFYARQBFAFIARwBfADQAXwAzAF8AMQBfADYAXwBfADEAXwBBAG4AbgB1AGEAbABFAG0AaQBzAHMAaQBvAG4AcwBGAHIAbwBtAEwAZQBhAGMAaABpAG4AZwBBAG4AZABSAHUAbgBvAGYAZgBGAHIAbwBtAE0ATQBTAF8ATgBJAFIAUgBlAGYAZQByAGUAbgBjAGUAXABuACAAIAA9AEwAQQBNAEIARABBACgAXAAiAFwAIgApADsAXABuAFwAbgBWAEUARQBSAEcAXwA0AF8AMwBfADEAXwA2AF8AXwAxAF8AQQBuAG4AdQBhAGwARQBtAGkAcwBzAGkAbwBuAHMARgByAG8AbQBMAGUAYQBjAGgAaQBuAGcAQQBuAGQAUgB1AG4AbwBmAGYARgByAG8AbQBNAE0AUwBfAEwAYQB0AGUAeABFAHEAdQBhAHQAaQBvAG4AXABuACAAIAA9AEwAQQBNAEIARABBACgAXAAiAEUAXwB7AE4AMgBPACwAbABlAGEAYwBoAH0APQBcAFwAcwB1AG0AXABcAG4AbwBsAGkAbQBpAHQAcwBfAHsAagB9AFwAXABzAHUAbQBcAFwAbgBvAGwAaQBtAGkAdABzAF8AewBtAD0AMQAtADEAMwB9ACgATQBOAEwAZQBhAGMAaABfAHsAagBtAH0AXABcAHQAaQBtAGUAcwAgAEUARgBfAHsAbABlAGEAYwBoAH0AXABcAHQAaQBtAGUAcwAgAEMAXwB7AE4AMgBPAH0AKQBcAFwAdABpAG0AZQBzACAAMQAwAF4AewAtADMAfQBcACIAKQA7AFwAbgBcAG4AVgBFAEUAUgBHAF8ANABfADMAXwAxAF8ANgBfAF8AMQBfAEEAbgBuAHUAYQBsAEUAbQBpAHMAcwBpAG8AbgBzAEYAcgBvAG0ATABlAGEAYwBoAGkAbgBnAEEAbgBkAFIAdQBuAG8AZgBmAEYAcgBvAG0ATQBNAFMAXwBBAHIAZwB1AG0AZQBuAHQAcwBcAG4AIAAgAD0ATABBAE0AQgBEAEEAKABcAG4AIAAgACAAIABNAEEASwBFAEEAUgBSAEEAWQAoADMALAAgADQALABcAG4AIAAgACAAIAAgACAATABBAE0AQgBEAEEAKAByACwAYwAsAFwAbgAgACAAIAAgACAAIAAgACAASQBOAEQARQBYACgAewBcAG4AIAAgACAAIAAgACAAIAAgACAAIABcACIATQBOAEwAZQBhAGMAaABfAGoAbQBcACIALAAgAFwAIgBtAGEAcwBzACAAbwBmACAATgAgAGwAbwBzAHQAIAB0AGgAcgBvAHUAZwBoACAAbABlAGEAYwBoAGkAbgBnACAAYQBuAGQAIAByAHUAbgBvAGYAZgBcACIALAAgAFwAIgBrAGcAIABOAFwAIgAsACAAXAAiAEMAYQBsAGMAdQBsAGEAdABlAGQAIABmAHIAbwBtACAANAAuADMALgAxAC4ANgAgACgAMgApAFwAIgA7AFwAbgAgACAAIAAgACAAIAAgACAAIAAgAFwAIgBFAEYAXwBsAGUAYQBjAGgAXAAiACwAIABcACIAbgBpAHQAcgBvAHUAcwAgAG8AeABpAGQAZQAgAGUAbQBpAHMAcwBpAG8AbgAgAGYAYQBjAHQAbwByACAAZgBvAHIAIABsAGUAYQBjAGgAaQBuAGcAIABhAG4AZAAgAHIAdQBuAG8AZgBmAFwAIgAsACAAXAAiAGsAZwAgAE4AMgBPAC0ATgAvAGsAZwAgAE4AXAAiACwAIABcACIAQwBvAG4AcwB0AGEAbgB0AFwAIgA7AFwAbgAgACAAIAAgACAAIAAgACAAIAAgAFwAIgBDAF8ATgAyAE8AXAAiACwAIABcACIAZgBhAGMAdABvAHIAIAB0AG8AIABjAG8AbgB2AGUAcgB0ACAAZQBsAGUAbQBlAG4AdABhAGwAIABtAGEAcwBzACAAbwBmACAATgAyAE8AIAB0AG8AIABtAG8AbABlAGMAdQBsAGEAcgAgAG0AYQBzAHMAXAAiACwAIABcACI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QAXwAzAF8AMQBfADYAXwBfADIAXwBNAGEAcwBzAE8AZgBOAGkAdAByAG8AZwBlAG4ATABvAHMAdABUAG8ATABlAGEAYwBoAGkAbgBnAEEAbgBkAFIAdQBuAG8AZgBmAEYAcgBvAG0AUwBvAGwAaQBkAFMAdABvAHIAYQBnAGUAXABuAE0AYQBzAHMAIABvAGYAIABuAGkAdAByAG8AZwBlAG4AIABsAG8AcwB0ACAAdABvACAAbABlAGEAYwBoAGkAbgBnACAAYQBuAGQAIAByAHUAbgBvAGYAZgAgAGYAcgBvAG0AIABzAG8AbABpAGQAIABzAHQAbwByAGEAZwBlACAAcwB5AHMAdABlAG0AcwBcAG4ATQBOAEwAZQBhAGMAaABfAGoAbQA0AFwAbgBrAGcAIABOAFwAbgBNAE4ATABlAGEAYwBoAF8AewBqAG0APQA0AH0APQBNAE4AXwB7AGoAbQA9ADQAfQBcAFwAdABpAG0AZQBzACAARgByAGEAYwBXAEUAVABfAGkAXABcAHQAaQBtAGUAcwAgAEYAcgBhAGMATABFAEEAQwBIAF8ATQBTAFwAbgBNAE4AXwBqAG0ANAAgAD0AIAB0AG8AdABhAGwAIABuAGkAdAByAG8AZwBlAG4AIABpAG4AIABzAG8AbABpAGQAIABzAHQAbwByAGEAZwBlACAAcwB5AHMAdABlAG0AIABtAD0ANAAgACgAawBnACAATgApAFwAbgBGAHIAYQBjAFcARQBUAF8AaQAgAD0AIABmAHIAYQBjAHQAaQBvAG4AIABvAGYAIABOACAAYQB2AGEAaQBsAGEAYgBsAGUAIABmAG8AcgAgAGwAZQBhAGMAaABpAG4AZwAgAGEAbgBkACAAcgB1AG4AbwBmAGYAXABuAEYAcgBhAGMATABFAEEAQwBIAF8ATQBTACAAPQAgAGYAcgBhAGMAdABpAG8AbgAgAG8AZgAgAE4AIABsAG8AcwB0ACAAdABoAHIAbwB1AGcAaAAgAGwAZQBhAGMAaABpAG4AZwAgAGEAbgBkACAAcgB1AG4AbwBmAGYAXABuAC0ALQAtAC0ALQAtAC0ALQAtAC0ALQAtAC0ALQAtAC0ALQAtAC0ALQAtAC0ALQAtAC0ALQAtAC0ALQAtAC0ALQAtAC0ALQAtAC0ALQBcAG4AKgAvAFwAbgBcAG4AVgBFAEUAUgBHAF8ANABfADMAXwAxAF8ANgBfAF8AMgBfAE0AYQBzAHMATwBmAE4AaQB0AHIAbwBnAGUAbgBMAG8AcwB0AFQAbwBMAGUAYQBjAGgAaQBuAGcAQQBuAGQAUgB1AG4AbwBmAGYARgByAG8AbQBTAG8AbABpAGQAUwB0AG8AcgBhAGcAZQBcAG4AIAAgAD0ATABBAE0AQgBEAEEAKABcAG4AIAAgACAAIABNAE4AXwBqAG0ANAAsACAARgByAGEAYwBXAEUAVABfAGkALAAgAEYAcgBhAGMATABFAEEAQwBIAF8ATQBTACwAXABuACAAIAAgACAATQBOAF8AagBtADQAIAAqACAARgByAGEAYwBXAEUAVABfAGkAIAAqACAARgByAGEAYwBMAEUAQQBDAEgAXwBNAFMAXABuACAAIAApADsAXABuAFwAbgBWAEUARQBSAEcAXwA0AF8AMwBfADEAXwA2AF8AXwAyAF8ATQBhAHMAcwBPAGYATgBpAHQAcgBvAGcAZQBuAEwAbwBzAHQAVABvAEwAZQBhAGMAaABpAG4AZwBBAG4AZABSAHUAbgBvAGYAZgBGAHIAbwBtAFMAbwBsAGkAZABTAHQAbwByAGEAZwBlAF8AVABpAHQAbABlAFwAbgAgACAAPQBMAEEATQBCAEQAQQAoAFwAIgBNAGEAcwBzACAAbwBmACAAbgBpAHQAcgBvAGcAZQBuACAAbABvAHMAdAAgAHQAbwAgAGwAZQBhAGMAaABpAG4AZwAgAGEAbgBkACAAcgB1AG4AbwBmAGYAIABmAHIAbwBtACAAcwBvAGwAaQBkACAAcwB0AG8AcgBhAGcAZQAgAHMAeQBzAHQAZQBtAHMAXAAiACkAOwBcAG4AXABuAFYARQBFAFIARwBfADQAXwAzAF8AMQBfADYAXwBfADIAXwBNAGEAcwBzAE8AZgBOAGkAdAByAG8AZwBlAG4ATABvAHMAdABUAG8ATABlAGEAYwBoAGkAbgBnAEEAbgBkAFIAdQBuAG8AZgBmAEYAcgBvAG0AUwBvAGwAaQBkAFMAdABvAHIAYQBnAGUAXwBWAGEAcgBpAGEAYgBsAGUAXABuACAAIAA9AEwAQQBNAEIARABBACgAXAAiAE0ATgBMAGUAYQBjAGgAXwBqAG0ANABcACIAKQA7AFwAbgBcAG4AVgBFAEUAUgBHAF8ANABfADMAXwAxAF8ANgBfAF8AMgBfAE0AYQBzAHMATwBmAE4AaQB0AHIAbwBnAGUAbgBMAG8AcwB0AFQAbwBMAGUAYQBjAGgAaQBuAGcAQQBuAGQAUgB1AG4AbwBmAGYARgByAG8AbQBTAG8AbABpAGQAUwB0AG8AcgBhAGcAZQBfAFUAbgBpAHQAXABuACAAIAA9AEwAQQBNAEIARABBACgAXAAiAGsAZwAgAE4AXAAiACkAOwBcAG4AXABuAFYARQBFAFIARwBfADQAXwAzAF8AMQBfADYAXwBfADIAXwBNAGEAcwBzAE8AZgBOAGkAdAByAG8AZwBlAG4ATABvAHMAdABUAG8ATABlAGEAYwBoAGkAbgBnAEEAbgBkAFIAdQBuAG8AZgBmAEYAcgBvAG0AUwBvAGwAaQBkAFMAdABvAHIAYQBnAGUAXwBTAG8AdQByAGMAZQBcAG4AIAAgAD0ATABBAE0AQgBEAEEAKABcACIAVgBFAEUAUgBHACAAMgAwADIANgA6ACAANAAuADMALgAxAC4ANgAsACAARQBxAHUAYQB0AGkAbwBuACAAKAAyACkAXAAiACkAOwBcAG4AXABuAFYARQBFAFIARwBfADQAXwAzAF8AMQBfADYAXwBfADIAXwBNAGEAcwBzAE8AZgBOAGkAdAByAG8AZwBlAG4ATABvAHMAdABUAG8ATABlAGEAYwBoAGkAbgBnAEEAbgBkAFIAdQBuAG8AZgBmAEYAcgBvAG0AUwBvAGwAaQBkAFMAdABvAHIAYQBnAGUAXwBOAEkAUgBSAGUAZgBlAHIAZQBuAGMAZQBcAG4AIAAgAD0ATABBAE0AQgBEAEEAKABcACIAXAAiACkAOwBcAG4AXABuAFYARQBFAFIARwBfADQAXwAzAF8AMQBfADYAXwBfADIAXwBNAGEAcwBzAE8AZgBOAGkAdAByAG8AZwBlAG4ATABvAHMAdABUAG8ATABlAGEAYwBoAGkAbgBnAEEAbgBkAFIAdQBuAG8AZgBmAEYAcgBvAG0AUwBvAGwAaQBkAFMAdABvAHIAYQBnAGUAXwBMAGEAdABlAHgARQBxAHUAYQB0AGkAbwBuAFwAbgAgACAAPQBMAEEATQBCAEQAQQAoAFwAIgBNAE4ATABlAGEAYwBoAF8AewBqAG0APQA0AH0APQBNAE4AXwB7AGoAbQA9ADQAfQBcAFwAdABpAG0AZQBzACAARgByAGEAYwBXAEUAVABfAGkAXABcAHQAaQBtAGUAcwAgAEYAcgBhAGMATABFAEEAQwBIAF8AewBNAFMAfQBcACIAKQA7AFwAbgBcAG4AVgBFAEUAUgBHAF8ANABfADMAXwAxAF8ANgBfAF8AMgBfAE0AYQBzAHMATwBmAE4AaQB0AHIAbwBnAGUAbgBMAG8AcwB0AFQAbwBMAGUAYQBjAGgAaQBuAGcAQQBuAGQAUgB1AG4AbwBmAGYARgByAG8AbQBTAG8AbABpAGQAUwB0AG8AcgBhAGcAZQBfAEEAcgBnAHUAbQBlAG4AdABzAFwAbgAgACAAPQBMAEEATQBCAEQAQQAoAFwAbgAgACAAIAAgAE0AQQBLAEUAQQBSAFIAQQBZACgANgAsACAANAAsAFwAbgAgACAAIAAgACAAIABMAEEATQBCAEQAQQAoAHIALABjACwAXABuACAAIAAgACAAIAAgACAAIABJAE4ARABFAFgAKAB7AFwAbgAgACAAIAAgACAAIAAgACAAIAAgAFwAIgBNAE4AXwBqAG0ANABcACIALAAgAFwAIgB0AG8AdABhAGwAIABuAGkAdAByAG8AZwBlAG4AIABpAG4AIABzAG8AbABpAGQAIABzAHQAbwByAGEAZwBlACAAcwB5AHMAdABlAG0AIABtAD0ANAAgACgAawBnACAATgApAFwAIgAsACAAXAAiAGsAZwAgAE4AXAAiACwAIABcACIAQwBhAGwAYwB1AGwAYQB0AGUAZAAgAGYAcgBvAG0AIAA0AC4AMwAuADEALgAzACAAKAAyACkAXAAiADsAXABuACAAIAAgACAAIAAgACAAIAAgACAAXAAiAEYAcgBhAGMAVwBFAFQAXwBpAFwAIgAsACAAXAAiAGYAcgBhAGMAdABpAG8AbgAgAG8AZgAgAE4AIAB0AGgAYQB0ACAAaQBzACAAYQB2AGEAaQBsAGEAYgBsAGUAIABmAG8AcgAgAGwAZQBhAGMAaABpAG4AZwAgAGEAbgBkACAAcgB1AG4AbwBmAGYAIABmAHIAbwBtACAAdABoAGUAIABsAGUAYQBjAGgAaQBuAGcAIAB6AG8AbgBlACAAegAgAGEAbgBkACAAaQByAHIAaQBnAGEAdABpAG8AbgAgAHQAeQBwAGUAIABpAHIAXAAiACwAIABcACIAZgByAGEAYwB0AGkAbwBuAFwAIgAsACAAXAAiAEMAbwBuAHMAdABhAG4AdABcACIAOwBcAG4AIAAgACAAIAAgACAAIAAgACAAIABcACIARgByAGEAYwBMAEUAQQBDAEgAXwBNAFMAXAAiACwAIABcACIAZgByAGEAYwB0AGkAbwBuACAAbwBmACAATgAgAHQAaABhAHQAIABpAHMAIABsAG8AcwB0ACAAdABoAHIAbwB1AGcAaAAgAGwAZQBhAGMAaABpAG4AZwAgAGEAbgBkACAAcgB1AG4AbwBmAGYAXAAiACwAIABcACIAZgByAGEAYwB0AGkAbwBuAFwAIgAsACAAXAAiAEMAbwBuAHMAdABhAG4AdABcACIAOwBcAG4AIAAgACAAIAAgACAAIAAgACAAIABcACIAegBcACIALAAgAFwAIgBsAG8AYwBhAHQAaQBvAG4AIABpAG4AIABsAGUAYQBjAGgAaQBuAGcAIAB6AG8AbgBlAFwAIgAsACAAXAAiAFwAIgAsACAAXAAiAEkAbgBwAHUAdABcACIAOwBcAG4AIAAgACAAIAAgACAAIAAgACAAIABcACIAagBcACIALAAgAFwAIgBwAHIAbwBkAHUAYwB0AGkAbwBuACAAcwB5AHMAdABlAG0AXAAiACwAIABcACIAXAAiACwAIABcACIASQBuAHAAdQB0AFwAIgA7AFwAbgAgACAAIAAgACAAIAAgACAAIAAgAFwAIgBpAHIAXAAiACwAIABcACIAaQByAHIAaQBnAGEAdABpAG8AbgAgAG0AZQB0AGgAbwBkAFwAIgAsACAAXAAiAFwAIgAsACAAXAAiAEkAbgBwAHUAdABcACIAXABuACAAIAAgACAAIAAgACAAIAB9ACwAIAByACwAIABjACkAXABuACAAIAAgACAAIAAgACkAXABuACAAIAAgACAAKQBcAG4AIAAgACkAOwBcAG4AIgB9ACwAewAiAHAAYQB0AGgAIgA6ACIALwBwAHIAbwBqAGUAYwB0AHMALwBNAE0AUwBfAEQAYQBpAHIAeQBfAFMAbwBpAGwAXwBOADIATwBEAGkAcgBlAGMAdABfAEUAcQB1AGEAdABpAG8AbgBzACIALAAiAHQAZQB4AHQAIgA6ACIALwAqAFwAbgA9AD0APQA9AD0APQA9AD0APQA9AD0APQA9AD0APQA9AD0APQA9AD0APQA9AD0APQA9AD0APQA9AD0APQA9AD0APQA9AD0APQA9AD0APQA9AD0APQA9AD0APQA9AD0APQA9AD0APQA9AD0APQA9AD0APQA9AD0APQA9AD0APQA9AD0APQA9AD0APQA9AD0APQA9AD0APQA9AFwAbgA0AC4AMwA6ACAARABhAGkAcgB5AFwAbgA9AD0APQA9AD0APQA9AD0APQA9AD0APQA9AD0APQA9AD0APQA9AD0APQA9AD0APQA9AD0APQA9AD0APQA9AD0APQA9AD0APQA9AD0APQA9AD0APQA9AD0APQA9AD0APQA9AD0APQA9AD0APQA9AD0APQA9AD0APQA9AD0APQA9AD0APQA9AD0APQA9AD0APQA9AD0APQA9AFwAbgA0AC4AMwAuADEALgA5ACAATQBlAHQAaABvAGQAIAAxACAALQAgAFMAbwBpAGwAIABEAGkAcgBlAGMAdAAgAE4AMgBPACAARABhAGkAcgB5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MAXwAxAF8AOQBfAF8AMQBfAEQAaQByAGUAYwB0AE4AaQB0AHIAbwB1AHMATwB4AGkAZABlAEUAbQBpAHMAcwBpAG8AbgBzAE8AbgBQAGEAcwB0AHUAcgBlAFwAbgBEAGkAcgBlAGMAdAAgAG4AaQB0AHIAbwB1AHMAIABvAHgAaQBkAGUAIABlAG0AaQBzAHMAaQBvAG4AcwAgAG8AbgAgAHAAYQBzAHQAdQByAGUAXABuAEUAXwBOADIATwBkAGkAcgBcAG4AdAAgAE4AMgBPAFwAbgBFAF8AewBOADIATwAsAGQAaQByAH0APQBNAE4AXwB7AGoAbQA9ADEANAB9AFwAXAB0AGkAbQBlAHMAIABFAEYAXwB7AFAAUgBQAH0AXABcAHQAaQBtAGUAcwAgAEMAXwB7AE4AMgBPAH0AXABcAHQAaQBtAGUAcwAgADEAMABeAHsALQAzAH0AXABuAE0ATgBfAGoAbQAxADQAIAA9ACAAbQBhAHMAcwAgAG8AZgAgAG4AaQB0AHIAbwBnAGUAbgAgAGUAeABjAHIAZQB0AGUAZAAgAG8AbgAgAHAAYQBzAHQAdQByAGUALAAgAHIAYQBuAGcAZQAsACAAYQBuAGQAIABwAGEAZABkAG8AYwBrACAAZgBvAHIAIABlAGEAYwBoACAAZABhAGkAcgB5ACAAYwBhAHQAdABsAGUAIABjAGwAYQBzAHMAIAAoAGsAZwAgAE4AKQBcAG4ARQBGAF8AUABSAFAAIAA9ACAAZQBtAGkAcwBzAGkAbwBuACAAZgBhAGMAdABvAHIAIABmAG8AcgAgAG4AaQB0AHIAbwB1AHMAIABvAHgAaQBkAGUAIABlAG0AaQBzAHMAaQBvAG4AcwAgAGYAbwByACAAdQByAGkAbgBlACAAYQBuAGQAIABkAHUAbgBnACAAZABlAHAAbwBzAGkAdABlAGQAIABvAG4AIABQAFIAUAAgACgAawBnACAATgAyAE8ALQBOAC8AawBnACAATgAgAGQAZQBwAG8AcwBpAHQAZQBkACkAXABuAEMAXwBOADIATwAgAD0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WAEUARQBSAEcAXwA0AF8AMwBfADEAXwA5AF8AXwAxAF8ARABpAHIAZQBjAHQATgBpAHQAcgBvAHUAcwBPAHgAaQBkAGUARQBtAGkAcwBzAGkAbwBuAHMATwBuAFAAYQBzAHQAdQByAGUAXABuACAAIAA9AEwAQQBNAEIARABBACgAXABuACAAIAAgACAATQBOAF8AagBtADEANAAsACAARQBGAF8AUABSAFAALAAgAEMAXwBOADIATwAsAFwAbgAgACAAIAAgAE0ATgBfAGoAbQAxADQAIAAqACAARQBGAF8AUABSAFAAIAAqACAAQwBfAE4AMgBPACAAKgAgADEAMAAgAF4AIAAtADMAXABuACAAIAApADsAXABuAFwAbgBWAEUARQBSAEcAXwA0AF8AMwBfADEAXwA5AF8AXwAxAF8ARABpAHIAZQBjAHQATgBpAHQAcgBvAHUAcwBPAHgAaQBkAGUARQBtAGkAcwBzAGkAbwBuAHMATwBuAFAAYQBzAHQAdQByAGUAXwBUAGkAdABsAGUAXABuACAAIAA9AEwAQQBNAEIARABBACgAXAAiAEQAaQByAGUAYwB0ACAAbgBpAHQAcgBvAHUAcwAgAG8AeABpAGQAZQAgAGUAbQBpAHMAcwBpAG8AbgBzACAAbwBuACAAcABhAHMAdAB1AHIAZQBcACIAKQA7AFwAbgBcAG4AVgBFAEUAUgBHAF8ANABfADMAXwAxAF8AOQBfAF8AMQBfAEQAaQByAGUAYwB0AE4AaQB0AHIAbwB1AHMATwB4AGkAZABlAEUAbQBpAHMAcwBpAG8AbgBzAE8AbgBQAGEAcwB0AHUAcgBlAF8AVgBhAHIAaQBhAGIAbABlAFwAbgAgACAAPQBMAEEATQBCAEQAQQAoAFwAIgBFAF8ATgAyAE8AZABpAHIAXAAiACkAOwBcAG4AXABuAFYARQBFAFIARwBfADQAXwAzAF8AMQBfADkAXwBfADEAXwBEAGkAcgBlAGMAdABOAGkAdAByAG8AdQBzAE8AeABpAGQAZQBFAG0AaQBzAHMAaQBvAG4AcwBPAG4AUABhAHMAdAB1AHIAZQBfAFUAbgBpAHQAXABuACAAIAA9AEwAQQBNAEIARABBACgAXAAiAHQAIABOADIATwBcACIAKQA7AFwAbgBcAG4AVgBFAEUAUgBHAF8ANABfADMAXwAxAF8AOQBfAF8AMQBfAEQAaQByAGUAYwB0AE4AaQB0AHIAbwB1AHMATwB4AGkAZABlAEUAbQBpAHMAcwBpAG8AbgBzAE8AbgBQAGEAcwB0AHUAcgBlAF8AUwBvAHUAcgBjAGUAXABuACAAIAA9AEwAQQBNAEIARABBACgAXAAiAFYARQBFAFIARwAgADIAMAAyADYAOgAgADQALgAzAC4AMQAuADkALAAgAEUAcQB1AGEAdABpAG8AbgAgACgAMQApAFwAIgApADsAXABuAFwAbgBWAEUARQBSAEcAXwA0AF8AMwBfADEAXwA5AF8AXwAxAF8ARABpAHIAZQBjAHQATgBpAHQAcgBvAHUAcwBPAHgAaQBkAGUARQBtAGkAcwBzAGkAbwBuAHMATwBuAFAAYQBzAHQAdQByAGUAXwBOAEkAUgBSAGUAZgBlAHIAZQBuAGMAZQBcAG4AIAAgAD0ATABBAE0AQgBEAEEAKABcACIAXAAiACkAOwBcAG4AXABuAFYARQBFAFIARwBfADQAXwAzAF8AMQBfADkAXwBfADEAXwBEAGkAcgBlAGMAdABOAGkAdAByAG8AdQBzAE8AeABpAGQAZQBFAG0AaQBzAHMAaQBvAG4AcwBPAG4AUABhAHMAdAB1AHIAZQBfAEwAYQB0AGUAeABFAHEAdQBhAHQAaQBvAG4AXABuACAAIAA9AEwAQQBNAEIARABBACgAXAAiAEUAXwB7AE4AMgBPACwAZABpAHIAfQA9AFwAXABzAHUAbQBcAFwAbgBvAGwAaQBtAGkAdABzAF8AewBqAH0AKABNAE4AXwB7AGoAbQA9ADEANAB9AFwAXAB0AGkAbQBlAHMAIABFAEYAXwB7AFAAUgBQAH0AXABcAHQAaQBtAGUAcwAgAEMAXwB7AE4AMgBPAH0AXABcAHQAaQBtAGUAcwAgADEAMABeAHsALQAzAH0AKQBcACIAKQA7AFwAbgBcAG4AVgBFAEUAUgBHAF8ANABfADMAXwAxAF8AOQBfAF8AMQBfAEQAaQByAGUAYwB0AE4AaQB0AHIAbwB1AHMATwB4AGkAZABlAEUAbQBpAHMAcwBpAG8AbgBzAE8AbgBQAGEAcwB0AHUAcgBlAF8AQQByAGcAdQBtAGUAbgB0AHMAXABuACAAIAA9AEwAQQBNAEIARABBACgAXABuACAAIAAgACAATQBBAEsARQBBAFIAUgBBAFkAKAA0ACwAIAA0ACwAXABuACAAIAAgACAAIAAgAEwAQQBNAEIARABBACgAcgAsAGMALABcAG4AIAAgACAAIAAgACAAIAAgAEkATgBEAEUAWAAoAHsAXABuACAAIAAgACAAIAAgACAAIAAgACAAXAAiAE0ATgBfAGoAbQAxADQAXAAiACwAIABcACIAbQBhAHMAcwAgAG8AZgAgAG4AaQB0AHIAbwBnAGUAbgAgAGUAeABjAHIAZQB0AGUAZAAgAG8AbgAgAHAAYQBzAHQAdQByAGUALAAgAHIAYQBuAGcAZQAsACAAYQBuAGQAIABwAGEAZABkAG8AYwBrACAAZgBvAHIAIABlAGEAYwBoACAAZABhAGkAcgB5ACAAYwBhAHQAdABsAGUAIABjAGwAYQBzAHMAXAAiACwAIABcACIAawBnACAATgBcACIALAAgAFwAIgBDAGEAbABjAHUAbABhAHQAZQBkACAAZgByAG8AbQAgADQALgAzAC4AMQAuADMAIAAoADIAKQBcACIAOwBcAG4AIAAgACAAIAAgACAAIAAgACAAIABcACIARQBGAF8AUABSAFAAXAAiACwAIABcACIAZQBtAGkAcwBzAGkAbwBuACAAZgBhAGMAdABvAHIAIABmAG8AcgAgAG4AaQB0AHIAbwB1AHMAIABvAHgAaQBkAGUAIABlAG0AaQBzAHMAaQBvAG4AcwAgAGYAbwByACAAdQByAGkAbgBlACAAYQBuAGQAIABkAHUAbgBnACAAZABlAHAAbwBzAGkAdABlAGQAIABvAG4AIABQAFIAUABcACIALAAgAFwAIgBrAGcAIABOADIATwAtAE4ALwBrAGcAIABOACAAZABlAHAAbwBzAGkAdABlAGQAXAAiACwAIABcACIAQwBvAG4AcwB0AGEAbgB0AFwAIgA7AFwAbgAgACAAIAAgACAAIAAgACAAIAAgAFwAIgBDAF8ATgAyAE8AXAAiACwAIABcACIAZgBhAGMAdABvAHIAIAB0AG8AIABjAG8AbgB2AGUAcgB0ACAAZQBsAGUAbQBlAG4AdABhAGwAIABtAGEAcwBzACAAbwBmACAATgAyAE8AIAB0AG8AIABtAG8AbABlAGMAdQBsAGEAcgAgAG0AYQBzAHMAXAAiACwAIABcACIAXAAiACwAIABcACIAQwBvAG4AcwB0AGEAbgB0AFwAIgA7AFwAbgAgACAAIAAgACAAIAAgACAAIAAgAFwAIgB6AFwAIgAsAFwAIgBXAGUAdAAgAG8AcgAgAGQAcgB5ACAAYwBsAGkAbQBhAHQAZQAgAHoAbwBuAGUAXAAiACwAIABcACIAXAAiACwAIABcACIASQBuAHAAdQB0AFwAIgBcAG4AIAAgACAAIAAgACAAIAAgAH0ALAAgAHIALAAgAGMAKQBcAG4AIAAgACAAIAAgACAAKQBcAG4AIAAgACAAIAApAFwAbgAgACAAKQA7AFwAbgAiAH0ALAB7ACIAcABhAHQAaAAiADoAIgAvAHAAcgBvAGoAZQBjAHQAcwAvAE0ATQBTAF8ARABhAGkAcgB5AF8AUwBvAGkAbABfAEEAdABtAG8AcwBwAGgAZQByAGkAYwBEAGUAcABvAHMAaQB0AGkAbwBuAF8ARQBxAHUAYQB0AGkAbwBuAHMAIgAsACIAdABlAHgAdAAiADoAIgAvACoAXABuAD0APQA9AD0APQA9AD0APQA9AD0APQA9AD0APQA9AD0APQA9AD0APQA9AD0APQA9AD0APQA9AD0APQA9AD0APQA9AD0APQA9AD0APQA9AD0APQA9AD0APQA9AD0APQA9AD0APQA9AD0APQA9AD0APQA9AD0APQA9AD0APQA9AD0APQA9AD0APQA9AD0APQA9AD0APQA9AD0AXABuADQALgAzADoAIABEAGEAaQByAHkAXABuAD0APQA9AD0APQA9AD0APQA9AD0APQA9AD0APQA9AD0APQA9AD0APQA9AD0APQA9AD0APQA9AD0APQA9AD0APQA9AD0APQA9AD0APQA9AD0APQA9AD0APQA9AD0APQA9AD0APQA9AD0APQA9AD0APQA9AD0APQA9AD0APQA9AD0APQA9AD0APQA9AD0APQA9AD0APQA9AD0AXABuADQALgAzAC4AMQAuADEAMAAgAE0AZQB0AGgAbwBkACAAMQAgAC0AIABTAG8AaQBsACAAQQB0AG0AbwBzAHAAaABlAHIAaQBjACAARABlAHAAbwBzAGkAdABpAG8AbgAgAE4AMgBPACAARABhAGkAcgB5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MAXwAxAF8AMQAwAF8AXwAxAF8AQQB0AG0AbwBzAHAAaABlAHIAaQBjAEQAZQBwAG8AcwBpAHQAaQBvAG4ARQBtAGkAcwBzAGkAbwBuAHMARgByAG8AbQBVAHIAaQBuAGUAQQBuAGQARAB1AG4AZwBPAG4AUABhAHMAdAB1AHIAZQBcAG4AQQB0AG0AbwBzAHAAaABlAHIAaQBjACAAZABlAHAAbwBzAGkAdABpAG8AbgAgAGUAbQBpAHMAcwBpAG8AbgBzACAAZgByAG8AbQAgAHUAcgBpAG4AZQAgAGEAbgBkACAAZAB1AG4AZwAgAGQAZQBwAG8AcwBpAHQAZQBkACAAbwBuACAAcABhAHMAdAB1AHIAZQBcAG4ARQBfAE4AMgBPAGEAZABcAG4AdAAgAE4AMgBPAFwAbgBFAF8AewBOADIATwAsAGEAZAB9AD0ATQBfAHsAdgBvAGwALABtAD0AMQA0AH0AXABcAHQAaQBtAGUAcwAgAEUARgBfAHsATgAyAE8AfQBcAFwAdABpAG0AZQBzACAAQwBfAHsATgAyAE8AfQBcAFwAdABpAG0AZQBzACAAMQAwAF4AewAtADMAfQBcAG4ATQBfAHYAbwBsAF8AbQAxADQAIAA9ACAAbQBhAHMAcwAgAG8AZgAgAG4AaQB0AHIAbwBnAGUAbgAgAHYAbwBsAGEAdABpAGwAaQBzAGUAZAAgAGYAcgBvAG0AIAB1AHIAaQBuAGUAIABhAG4AZAAgAGYAYQBlAGMAZQBzACAAZABlAHAAbwBzAGkAdABlAGQAIABvAG4AIABwAGEAcwB0AHUAcgBlACAAKABrAGcAIABOACkAXABuAEUARgBfAE4AMgBPACAAPQAgAG4AaQB0AHIAbwB1AHMAIABvAHgAaQBkAGUAIABlAG0AaQBzAHMAaQBvAG4AIABmAGEAYwB0AG8AcgAgAGYAbwByACAAYQB0AG0AbwBzAHAAaABlAHIAaQBjACAAZABlAHAAbwBzAGkAdABpAG8AbgAgACgAawBnACAATgAyAE8ALQBOAC8AawBnACAATgApAFwAbgBDAF8ATgAyAE8AIAA9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VgBFAEUAUgBHAF8ANABfADMAXwAxAF8AMQAwAF8AXwAxAF8AQQB0AG0AbwBzAHAAaABlAHIAaQBjAEQAZQBwAG8AcwBpAHQAaQBvAG4ARQBtAGkAcwBzAGkAbwBuAHMARgByAG8AbQBVAHIAaQBuAGUAQQBuAGQARAB1AG4AZwBPAG4AUABhAHMAdAB1AHIAZQBcAG4AIAAgAD0ATABBAE0AQgBEAEEAKABcAG4AIAAgACAAIABNAF8AdgBvAGwAXwBtADEANAAsACAARQBGAF8ATgAyAE8ALAAgAEMAXwBOADIATwAsAFwAbgAgACAAIAAgAE0AXwB2AG8AbABfAG0AMQA0ACAAKgAgAEUARgBfAE4AMgBPACAAKgAgAEMAXwBOADIATwAgACoAIAAxADAAIABeACAALQAzAFwAbgAgACAAKQA7AFwAbgBcAG4AVgBFAEUAUgBHAF8ANABfADMAXwAxAF8AMQAwAF8AXwAxAF8AQQB0AG0AbwBzAHAAaABlAHIAaQBjAEQAZQBwAG8AcwBpAHQAaQBvAG4ARQBtAGkAcwBzAGkAbwBuAHMARgByAG8AbQBVAHIAaQBuAGUAQQBuAGQARAB1AG4AZwBPAG4AUABhAHMAdAB1AHIAZQBfAFQAaQB0AGwAZQBcAG4AIAAgAD0ATABBAE0AQgBEAEEAKABcACIAQQB0AG0AbwBzAHAAaABlAHIAaQBjACAAZABlAHAAbwBzAGkAdABpAG8AbgAgAGUAbQBpAHMAcwBpAG8AbgBzACAAZgByAG8AbQAgAHUAcgBpAG4AZQAgAGEAbgBkACAAZAB1AG4AZwAgAGQAZQBwAG8AcwBpAHQAZQBkACAAbwBuACAAcABhAHMAdAB1AHIAZQBcACIAKQA7AFwAbgBcAG4AVgBFAEUAUgBHAF8ANABfADMAXwAxAF8AMQAwAF8AXwAxAF8AQQB0AG0AbwBzAHAAaABlAHIAaQBjAEQAZQBwAG8AcwBpAHQAaQBvAG4ARQBtAGkAcwBzAGkAbwBuAHMARgByAG8AbQBVAHIAaQBuAGUAQQBuAGQARAB1AG4AZwBPAG4AUABhAHMAdAB1AHIAZQBfAFYAYQByAGkAYQBiAGwAZQBcAG4AIAAgAD0ATABBAE0AQgBEAEEAKABcACIARQBfAE4AMgBPAGEAZABcACIAKQA7AFwAbgBcAG4AVgBFAEUAUgBHAF8ANABfADMAXwAxAF8AMQAwAF8AXwAxAF8AQQB0AG0AbwBzAHAAaABlAHIAaQBjAEQAZQBwAG8AcwBpAHQAaQBvAG4ARQBtAGkAcwBzAGkAbwBuAHMARgByAG8AbQBVAHIAaQBuAGUAQQBuAGQARAB1AG4AZwBPAG4AUABhAHMAdAB1AHIAZQBfAFUAbgBpAHQAXABuACAAIAA9AEwAQQBNAEIARABBACgAXAAiAHQAIABOADIATwBcACIAKQA7AFwAbgBcAG4AVgBFAEUAUgBHAF8ANABfADMAXwAxAF8AMQAwAF8AXwAxAF8AQQB0AG0AbwBzAHAAaABlAHIAaQBjAEQAZQBwAG8AcwBpAHQAaQBvAG4ARQBtAGkAcwBzAGkAbwBuAHMARgByAG8AbQBVAHIAaQBuAGUAQQBuAGQARAB1AG4AZwBPAG4AUABhAHMAdAB1AHIAZQBfAFMAbwB1AHIAYwBlAFwAbgAgACAAPQBMAEEATQBCAEQAQQAoAFwAIgBWAEUARQBSAEcAIAAyADAAMgA2ADoAIAA0AC4AMwAuADEALgAxADAALAAgAEUAcQB1AGEAdABpAG8AbgAgACgAMQApAFwAIgApADsAXABuAFwAbgBWAEUARQBSAEcAXwA0AF8AMwBfADEAXwAxADAAXwBfADEAXwBBAHQAbQBvAHMAcABoAGUAcgBpAGMARABlAHAAbwBzAGkAdABpAG8AbgBFAG0AaQBzAHMAaQBvAG4AcwBGAHIAbwBtAFUAcgBpAG4AZQBBAG4AZABEAHUAbgBnAE8AbgBQAGEAcwB0AHUAcgBlAF8ATgBJAFIAUgBlAGYAZQByAGUAbgBjAGUAXABuACAAIAA9AEwAQQBNAEIARABBACgAXAAiAFwAIgApADsAXABuAFwAbgBWAEUARQBSAEcAXwA0AF8AMwBfADEAXwAxADAAXwBfADEAXwBBAHQAbQBvAHMAcABoAGUAcgBpAGMARABlAHAAbwBzAGkAdABpAG8AbgBFAG0AaQBzAHMAaQBvAG4AcwBGAHIAbwBtAFUAcgBpAG4AZQBBAG4AZABEAHUAbgBnAE8AbgBQAGEAcwB0AHUAcgBlAF8ATABhAHQAZQB4AEUAcQB1AGEAdABpAG8AbgBcAG4AIAAgAD0ATABBAE0AQgBEAEEAKABcACIARQBfAHsATgAyAE8ALABhAGQAfQA9AE0AXwB7AHYAbwBsACwAbQA9ADEANAB9AFwAXAB0AGkAbQBlAHMAIABFAEYAXwB7AE4AMgBPAH0AXABcAHQAaQBtAGUAcwAgAEMAXwB7AE4AMgBPAH0AXABcAHQAaQBtAGUAcwAgADEAMABeAHsALQAzAH0AXAAiACkAOwBcAG4AXABuAFYARQBFAFIARwBfADQAXwAzAF8AMQBfADEAMABfAF8AMQBfAEEAdABtAG8AcwBwAGgAZQByAGkAYwBEAGUAcABvAHMAaQB0AGkAbwBuAEUAbQBpAHMAcwBpAG8AbgBzAEYAcgBvAG0AVQByAGkAbgBlAEEAbgBkAEQAdQBuAGcATwBuAFAAYQBzAHQAdQByAGUAXwBBAHIAZwB1AG0AZQBuAHQAcwBcAG4AIAAgAD0ATABBAE0AQgBEAEEAKABcAG4AIAAgACAAIABNAEEASwBFAEEAUgBSAEEAWQAoADYALAAgADQALABcAG4AIAAgACAAIAAgACAATABBAE0AQgBEAEEAKAByACwAYwAsAFwAbgAgACAAIAAgACAAIAAgACAASQBOAEQARQBYACgAewBcAG4AIAAgACAAIAAgACAAIAAgACAAIABcACIATQBfAHYAbwBsAF8AbQAxADQAXAAiACwAIABcACIAbQBhAHMAcwAgAG8AZgAgAG4AaQB0AHIAbwBnAGUAbgAgAHYAbwBsAGEAdABpAGwAaQBzAGUAZAAgAGYAcgBvAG0AIAB1AHIAaQBuAGUAIABhAG4AZAAgAGYAYQBlAGMAZQBzACAAZABlAHAAbwBzAGkAdABlAGQAIABvAG4AIABwAGEAcwB0AHUAcgBlAFwAIgAsACAAXAAiAGsAZwAgAE4AXAAiACwAIABcACIAQwBhAGwAYwB1AGwAYQB0AGUAZAAgAGYAcgBvAG0AIAA0AC4AMwAuADEALgAxADAAIAAoADIAKQBcACIAOwBcAG4AIAAgACAAIAAgACAAIAAgACAAIABcACIARQBGAF8ATgAyAE8AXAAiACwAIABcACIAbgBpAHQAcgBvAHUAcwAgAG8AeABpAGQAZQAgAGUAbQBpAHMAcwBpAG8AbgAgAGYAYQBjAHQAbwByACAAZgBvAHIAIABhAHQAbQBvAHMAcABoAGUAcgBpAGMAIABkAGUAcABvAHMAaQB0AGkAbwBuAFwAIgAsACAAXAAiAGsAZwAgAE4AMgBPAC0ATgAvAGsAZwAgAE4AXAAiACwAIABcACIAQwBvAG4AcwB0AGEAbgB0AFwAIgA7AFwAbgAgACAAIAAgACAAIAAgACAAIAAgAFwAIgBDAF8ATgAyAE8AXAAiACwAIABcACIAZgBhAGMAdABvAHIAIAB0AG8AIABjAG8AbgB2AGUAcgB0ACAAZQBsAGUAbQBlAG4AdABhAGwAIABtAGEAcwBzACAAbwBmACAATgAyAE8AIAB0AG8AIABtAG8AbABlAGMAdQBsAGEAcgAgAG0AYQBzAHMAXAAiACwAIABcACIAXAAiACwAIABcACIAQwBvAG4AcwB0AGEAbgB0AFwAIgA7AFwAbgAgACAAIAAgACAAIAAgACAAIAAgAFwAIgBqAFwAIgAsACAAXAAiAHAAcgBvAGQAdQBjAHQAaQBvAG4AIABzAHkAcwB0AGUAbQBcACIALAAgAFwAIgBcACIALAAgAFwAIgBJAG4AcAB1AHQAXAAiADsAXABuACAAIAAgACAAIAAgACAAIAAgACAAXAAiAGkAcgBcACIALAAgAFwAIgBpAHIAcgBpAGcAYQB0AGkAbwBuACAAbQBlAHQAaABvAGQAXAAiACwAIABcACIAXAAiACwAIABcACIASQBuAHAAdQB0AFwAIgA7AFwAbgAgACAAIAAgACAAIAAgACAAIAAgAFwAIgByAFwAIgAsACAAXAAiAHIAYQBpAG4AZgBhAGwAbAAgAHIAZQBnAGkAbwBu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wBfADEAXwAxADAAXwBfADIAXwBNAGEAcwBzAE8AZgBOAGkAdAByAG8AZwBlAG4AVgBvAGwAYQB0AGkAbABpAHMAZQBkAE8AbgBQAGEAcwB0AHUAcgBlAFwAbgBNAGEAcwBzACAAbwBmACAAbgBpAHQAcgBvAGcAZQBuACAAdgBvAGwAYQB0AGkAbABpAHMAZQBkACAAZgByAG8AbQAgAHUAcgBpAG4AZQAgAGEAbgBkACAAZgBhAGUAYwBlAHMAIABkAGUAcABvAHMAaQB0AGUAZAAgAG8AbgAgAHAAYQBzAHQAdQByAGUAXABuAE0AXwB2AG8AbABfAG0AMQA0AFwAbgBrAGcAIABOAFwAbgBNAF8AewB2AG8AbAAsAG0APQAxADQAfQA9AE0ATgBfAHsAagBtAD0AMQA0AH0AXABcAHQAaQBtAGUAcwAgAEYAcgBhAGMARwBBAFMATQBzAG8AaQBsAFwAbgBNAE4AXwBqAG0AMQA0ACAAPQAgAG0AYQBzAHMAIABvAGYAIABuAGkAdAByAG8AZwBlAG4AIABlAHgAYwByAGUAdABlAGQAIABvAG4AIABwAGEAcwB0AHUAcgBlACwAIAByAGEAbgBnAGUAIABhAG4AZAAgAHAAYQBkAGQAbwBjAGsAIABmAG8AcgAgAGUAYQBjAGgAIABkAGEAaQByAHkAIABjAGwAYQBzAHMAIAAoAGsAZwAgAE4AKQBcAG4ARgByAGEAYwBHAEEAUwBNAHMAbwBpAGwAIAA9ACAAZgByAGEAYwB0AGkAbwBuACAAbwBmACAAbgBpAHQAcgBvAGcAZQBuACAAdgBvAGwAYQB0AGkAbABpAHMAZQBkACAAZgByAG8AbQAgAHUAcgBpAG4AZQAgAGEAbgBkACAAZgBhAGUAYwBlAHMAIABkAGUAcABvAHMAaQB0AGUAZAAgAG8AbgAgAHAAYQBzAHQAdQByAGUAIAAoACgAawBnACAATgBIADMALQBOACAAKwAgAE4ATwB4AC0ATgApAC8AawBnACAATgApAFwAbgAtAC0ALQAtAC0ALQAtAC0ALQAtAC0ALQAtAC0ALQAtAC0ALQAtAC0ALQAtAC0ALQAtAC0ALQAtAC0ALQAtAC0ALQAtAC0ALQAtAC0AXABuACoALwBcAG4AXABuAFYARQBFAFIARwBfADQAXwAzAF8AMQBfADEAMABfAF8AMgBfAE0AYQBzAHMATwBmAE4AaQB0AHIAbwBnAGUAbgBWAG8AbABhAHQAaQBsAGkAcwBlAGQATwBuAFAAYQBzAHQAdQByAGUAXABuACAAIAA9AEwAQQBNAEIARABBACgAXABuACAAIAAgACAATQBOAF8AagBtADEANAAsACAARgByAGEAYwBHAEEAUwBNAHMAbwBpAGwALABcAG4AIAAgACAAIABNAE4AXwBqAG0AMQA0ACAAKgAgAEYAcgBhAGMARwBBAFMATQBzAG8AaQBsAFwAbgAgACAAKQA7AFwAbgBcAG4AVgBFAEUAUgBHAF8ANABfADMAXwAxAF8AMQAwAF8AXwAyAF8ATQBhAHMAcwBPAGYATgBpAHQAcgBvAGcAZQBuAFYAbwBsAGEAdABpAGwAaQBzAGUAZABPAG4AUABhAHMAdAB1AHIAZQBfAFQAaQB0AGwAZQBcAG4AIAAgAD0ATABBAE0AQgBEAEEAKABcACIATQBhAHMAcwAgAG8AZgAgAG4AaQB0AHIAbwBnAGUAbgAgAHYAbwBsAGEAdABpAGwAaQBzAGUAZAAgAGYAcgBvAG0AIAB1AHIAaQBuAGUAIABhAG4AZAAgAGYAYQBlAGMAZQBzACAAZABlAHAAbwBzAGkAdABlAGQAIABvAG4AIABwAGEAcwB0AHUAcgBlAFwAIgApADsAXABuAFwAbgBWAEUARQBSAEcAXwA0AF8AMwBfADEAXwAxADAAXwBfADIAXwBNAGEAcwBzAE8AZgBOAGkAdAByAG8AZwBlAG4AVgBvAGwAYQB0AGkAbABpAHMAZQBkAE8AbgBQAGEAcwB0AHUAcgBlAF8AVgBhAHIAaQBhAGIAbABlAFwAbgAgACAAPQBMAEEATQBCAEQAQQAoAFwAIgBNAF8AdgBvAGwAXwBtADEANABcACIAKQA7AFwAbgBcAG4AVgBFAEUAUgBHAF8ANABfADMAXwAxAF8AMQAwAF8AXwAyAF8ATQBhAHMAcwBPAGYATgBpAHQAcgBvAGcAZQBuAFYAbwBsAGEAdABpAGwAaQBzAGUAZABPAG4AUABhAHMAdAB1AHIAZQBfAFUAbgBpAHQAXABuACAAIAA9AEwAQQBNAEIARABBACgAXAAiAGsAZwAgAE4AXAAiACkAOwBcAG4AXABuAFYARQBFAFIARwBfADQAXwAzAF8AMQBfADEAMABfAF8AMgBfAE0AYQBzAHMATwBmAE4AaQB0AHIAbwBnAGUAbgBWAG8AbABhAHQAaQBsAGkAcwBlAGQATwBuAFAAYQBzAHQAdQByAGUAXwBTAG8AdQByAGMAZQBcAG4AIAAgAD0ATABBAE0AQgBEAEEAKABcACIAVgBFAEUAUgBHACAAMgAwADIANgA6ACAANAAuADMALgAxAC4AMQAwACwAIABFAHEAdQBhAHQAaQBvAG4AIAAoADIAKQBcACIAKQA7AFwAbgBcAG4AVgBFAEUAUgBHAF8ANABfADMAXwAxAF8AMQAwAF8AXwAyAF8ATQBhAHMAcwBPAGYATgBpAHQAcgBvAGcAZQBuAFYAbwBsAGEAdABpAGwAaQBzAGUAZABPAG4AUABhAHMAdAB1AHIAZQBfAE4ASQBSAFIAZQBmAGUAcgBlAG4AYwBlAFwAbgAgACAAPQBMAEEATQBCAEQAQQAoAFwAIgBcACIAKQA7AFwAbgBcAG4AVgBFAEUAUgBHAF8ANABfADMAXwAxAF8AMQAwAF8AXwAyAF8ATQBhAHMAcwBPAGYATgBpAHQAcgBvAGcAZQBuAFYAbwBsAGEAdABpAGwAaQBzAGUAZABPAG4AUABhAHMAdAB1AHIAZQBfAEwAYQB0AGUAeABFAHEAdQBhAHQAaQBvAG4AXABuACAAIAA9AEwAQQBNAEIARABBACgAXAAiAE0AXwB7AHYAbwBsACwAbQA9ADEANAB9AD0AXABcAHMAdQBtAFwAXABuAG8AbABpAG0AaQB0AHMAXwB7AGoAfQAoAE0ATgBfAHsAagBtAD0AMQA0AH0AXABcAHQAaQBtAGUAcwAgAEYAcgBhAGMARwBBAFMATQBzAG8AaQBsACkAXAAiACkAOwBcAG4AXABuAFYARQBFAFIARwBfADQAXwAzAF8AMQBfADEAMABfAF8AMgBfAE0AYQBzAHMATwBmAE4AaQB0AHIAbwBnAGUAbgBWAG8AbABhAHQAaQBsAGkAcwBlAGQATwBuAFAAYQBzAHQAdQByAGUAXwBBAHIAZwB1AG0AZQBuAHQAcwBcAG4AIAAgAD0ATABBAE0AQgBEAEEAKABcAG4AIAAgACAAIABNAEEASwBFAEEAUgBSAEEAWQAoADIALAAgADQALABcAG4AIAAgACAAIAAgACAATABBAE0AQgBEAEEAKAByACwAYwAsAFwAbgAgACAAIAAgACAAIAAgACAASQBOAEQARQBYACgAewBcAG4AIAAgACAAIAAgACAAIAAgACAAIABcACIATQBOAF8AagBtADEANABcACIALAAgAFwAIgBtAGEAcwBzACAAbwBmACAAbgBpAHQAcgBvAGcAZQBuACAAZQB4AGMAcgBlAHQAZQBkACAAbwBuACAAcABhAHMAdAB1AHIAZQAsACAAcgBhAG4AZwBlACAAYQBuAGQAIABwAGEAZABkAG8AYwBrACAAZgBvAHIAIABlAGEAYwBoACAAZABhAGkAcgB5ACAAYwBsAGEAcwBzAFwAIgAsACAAXAAiAGsAZwAgAE4AXAAiACwAIABcACIAQwBhAGwAYwB1AGwAYQB0AGUAZAAgAGYAcgBvAG0AIAA0AC4AMwAuADEALgAzACAAKAAyACkAXAAiADsAXABuACAAIAAgACAAIAAgACAAIAAgACAAXAAiAEYAcgBhAGMARwBBAFMATQBzAG8AaQBsAFwAIgAsACAAXAAiAGYAcgBhAGMAdABpAG8AbgAgAG8AZgAgAG4AaQB0AHIAbwBnAGUAbgAgAHYAbwBsAGEAdABpAGwAaQBzAGUAZAAgAGYAcgBvAG0AIAB1AHIAaQBuAGUAIABhAG4AZAAgAGYAYQBlAGMAZQBzACAAZABlAHAAbwBzAGkAdABlAGQAIABvAG4AIABwAGEAcwB0AHUAcgBlAFwAIgAsACAAXAAiACgAawBnACAATgBIADMALQBOACAAKwAgAE4ATwB4AC0ATgApAC8AawBnACAATgApAFwAIgAsACAAXAAiAEMAbwBuAHMAdABhAG4AdABcACIAXABuACAAIAAgACAAIAAgACAAIAB9ACwAIAByACwAIABjACkAXABuACAAIAAgACAAIAAgACkAXABuACAAIAAgACAAKQBcAG4AIAAgACkAOwBcAG4AIgB9ACwAewAiAHAAYQB0AGgAIgA6ACIALwBwAHIAbwBqAGUAYwB0AHMALwBNAE0AUwBfAEQAYQBpAHIAeQBfAFMAbwBpAGwAXwBMAGUAYQBjAGgAaQBuAGcAQQBuAGQAUgB1AG4AbwBmAGYAIgAsACIAdABlAHgAdAAiADoAIgAvACoAXABuAD0APQA9AD0APQA9AD0APQA9AD0APQA9AD0APQA9AD0APQA9AD0APQA9AD0APQA9AD0APQA9AD0APQA9AD0APQA9AD0APQA9AD0APQA9AD0APQA9AD0APQA9AD0APQA9AD0APQA9AD0APQA9AD0APQA9AD0APQA9AD0APQA9AD0APQA9AD0APQA9AD0APQA9AD0APQA9AD0AXABuADQALgAzADoAIABEAGEAaQByAHkAXABuAD0APQA9AD0APQA9AD0APQA9AD0APQA9AD0APQA9AD0APQA9AD0APQA9AD0APQA9AD0APQA9AD0APQA9AD0APQA9AD0APQA9AD0APQA9AD0APQA9AD0APQA9AD0APQA9AD0APQA9AD0APQA9AD0APQA9AD0APQA9AD0APQA9AD0APQA9AD0APQA9AD0APQA9AD0APQA9AD0AXABuADQALgAzAC4AMQAuADEAMgAgAE0AZQB0AGgAbwBkACAAMQAgAC0AIABTAG8AaQBsACAATABlAGEAYwBoAGkAbgBnACAAQQBuAGQAIABSAHUAbgBvAGYAZgAgAE4AMgBPACAARABhAGkAcgB5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MAXwAxAF8AMQAyAF8AXwAxAF8ATABlAGEAYwBoAGkAbgBnAEEAbgBkAFIAdQBuAG8AZgBmAEUAbQBpAHMAcwBpAG8AbgBzAEYAcgBvAG0AVQByAGkAbgBlAEEAbgBkAEQAdQBuAGcATwBuAFAAYQBzAHQAdQByAGUAXABuAEwAZQBhAGMAaABpAG4AZwAgAGEAbgBkACAAcgB1AG4AbwBmAGYAIABlAG0AaQBzAHMAaQBvAG4AcwAgAGYAcgBvAG0AIAB1AHIAaQBuAGUAIABhAG4AZAAgAGQAdQBuAGcAIABkAGUAcABvAHMAaQB0AGUAZAAgAG8AbgAgAHAAYQBzAHQAdQByAGUAXABuAEUAXwBOADIATwBsAGUAYQBjAGgAXABuAHQAIABOADIATwBcAG4ARQBfAHsATgAyAE8ALABsAGUAYQBjAGgAfQA9AE0AXwB7AGwAZQBhAGMAaAAsAG0APQAxADQAfQBcAFwAdABpAG0AZQBzACAARQBGAF8AewBsAGUAYQBjAGgAfQBcAFwAdABpAG0AZQBzACAAQwBfAHsATgAyAE8AfQBcAFwAdABpAG0AZQBzACAAMQAwAF4AewAtADMAfQBcAG4ATQBfAGwAZQBhAGMAaABfAG0AMQA0ACAAPQAgAG0AYQBzAHMAIABvAGYAIABuAGkAdAByAG8AZwBlAG4AIABsAG8AcwB0ACAAdABvACAAbABlAGEAYwBoAGkAbgBnACAAYQBuAGQAIAByAHUAbgBvAGYAZgAgAGYAcgBvAG0AIAB1AHIAaQBuAGUAIABhAG4AZAAgAGYAYQBlAGMAZQBzACAAZABlAHAAbwBzAGkAdABlAGQAIABvAG4AIABwAGEAcwB0AHUAcgBlACAAKABrAGcAIABOACkAXABuAEUARgBfAGwAZQBhAGMAaAAgAD0AIABuAGkAdAByAG8AdQBzACAAbwB4AGkAZABlACAAZQBtAGkAcwBzAGkAbwBuACAAZgBhAGMAdABvAHIAIABmAG8AcgAgAGwAZQBhAGMAaABpAG4AZwAgAGEAbgBkACAAcgB1AG4AbwBmAGYAIAAoAGsAZwAgAE4AMgBPAC0ATgAvAGsAZwAgAE4AKQBcAG4AQwBfAE4AMgBPACAAPQAgAGYAYQBjAHQAbwByACAAdABvACAAYwBvAG4AdgBlAHIAdAAgAGUAbABlAG0AZQBuAHQAYQBsACAAbQBhAHMAcwAgAG8AZgAgAE4AMgBPACAAdABvACAAbQBvAGwAZQBjAHUAbABhAHIAIABtAGEAcwBzAFwAbgAtAC0ALQAtAC0ALQAtAC0ALQAtAC0ALQAtAC0ALQAtAC0ALQAtAC0ALQAtAC0ALQAtAC0ALQAtAC0ALQAtAC0ALQAtAC0ALQAtAC0AXABuACoALwBcAG4AXABuAFYARQBFAFIARwBfADQAXwAzAF8AMQBfADEAMgBfAF8AMQBfAEwAZQBhAGMAaABpAG4AZwBBAG4AZABSAHUAbgBvAGYAZgBFAG0AaQBzAHMAaQBvAG4AcwBGAHIAbwBtAFUAcgBpAG4AZQBBAG4AZABEAHUAbgBnAE8AbgBQAGEAcwB0AHUAcgBlAFwAbgAgACAAPQBMAEEATQBCAEQAQQAoAFwAbgAgACAAIAAgAE0AXwBsAGUAYQBjAGgAXwBtADEANAAsACAARQBGAF8AbABlAGEAYwBoACwAIABDAF8ATgAyAE8ALABcAG4AIAAgACAAIABNAF8AbABlAGEAYwBoAF8AbQAxADQAIAAqACAARQBGAF8AbABlAGEAYwBoACAAKgAgAEMAXwBOADIATwAgACoAIAAxADAAIABeACAALQAzAFwAbgAgACAAKQA7AFwAbgBcAG4AVgBFAEUAUgBHAF8ANABfADMAXwAxAF8AMQAyAF8AXwAxAF8ATABlAGEAYwBoAGkAbgBnAEEAbgBkAFIAdQBuAG8AZgBmAEUAbQBpAHMAcwBpAG8AbgBzAEYAcgBvAG0AVQByAGkAbgBlAEEAbgBkAEQAdQBuAGcATwBuAFAAYQBzAHQAdQByAGUAXwBUAGkAdABsAGUAXABuACAAIAA9AEwAQQBNAEIARABBACgAXAAiAEwAZQBhAGMAaABpAG4AZwAgAGEAbgBkACAAcgB1AG4AbwBmAGYAIABlAG0AaQBzAHMAaQBvAG4AcwAgAGYAcgBvAG0AIAB1AHIAaQBuAGUAIABhAG4AZAAgAGQAdQBuAGcAIABkAGUAcABvAHMAaQB0AGUAZAAgAG8AbgAgAHAAYQBzAHQAdQByAGUAXAAiACkAOwBcAG4AXABuAFYARQBFAFIARwBfADQAXwAzAF8AMQBfADEAMgBfAF8AMQBfAEwAZQBhAGMAaABpAG4AZwBBAG4AZABSAHUAbgBvAGYAZgBFAG0AaQBzAHMAaQBvAG4AcwBGAHIAbwBtAFUAcgBpAG4AZQBBAG4AZABEAHUAbgBnAE8AbgBQAGEAcwB0AHUAcgBlAF8AVgBhAHIAaQBhAGIAbABlAFwAbgAgACAAPQBMAEEATQBCAEQAQQAoAFwAIgBFAF8ATgAyAE8AbABlAGEAYwBoAFwAIgApADsAXABuAFwAbgBWAEUARQBSAEcAXwA0AF8AMwBfADEAXwAxADIAXwBfADEAXwBMAGUAYQBjAGgAaQBuAGcAQQBuAGQAUgB1AG4AbwBmAGYARQBtAGkAcwBzAGkAbwBuAHMARgByAG8AbQBVAHIAaQBuAGUAQQBuAGQARAB1AG4AZwBPAG4AUABhAHMAdAB1AHIAZQBfAFUAbgBpAHQAXABuACAAIAA9AEwAQQBNAEIARABBACgAXAAiAHQAIABOADIATwBcACIAKQA7AFwAbgBcAG4AVgBFAEUAUgBHAF8ANABfADMAXwAxAF8AMQAyAF8AXwAxAF8ATABlAGEAYwBoAGkAbgBnAEEAbgBkAFIAdQBuAG8AZgBmAEUAbQBpAHMAcwBpAG8AbgBzAEYAcgBvAG0AVQByAGkAbgBlAEEAbgBkAEQAdQBuAGcATwBuAFAAYQBzAHQAdQByAGUAXwBTAG8AdQByAGMAZQBcAG4AIAAgAD0ATABBAE0AQgBEAEEAKABcACIAVgBFAEUAUgBHACAAMgAwADIANgA6ACAANAAuADMALgAxAC4AMQAyACwAIABFAHEAdQBhAHQAaQBvAG4AIAAoADEAKQBcACIAKQA7AFwAbgBcAG4AVgBFAEUAUgBHAF8ANABfADMAXwAxAF8AMQAyAF8AXwAxAF8ATABlAGEAYwBoAGkAbgBnAEEAbgBkAFIAdQBuAG8AZgBmAEUAbQBpAHMAcwBpAG8AbgBzAEYAcgBvAG0AVQByAGkAbgBlAEEAbgBkAEQAdQBuAGcATwBuAFAAYQBzAHQAdQByAGUAXwBOAEkAUgBSAGUAZgBlAHIAZQBuAGMAZQBcAG4AIAAgAD0ATABBAE0AQgBEAEEAKABcACIAXAAiACkAOwBcAG4AXABuAFYARQBFAFIARwBfADQAXwAzAF8AMQBfADEAMgBfAF8AMQBfAEwAZQBhAGMAaABpAG4AZwBBAG4AZABSAHUAbgBvAGYAZgBFAG0AaQBzAHMAaQBvAG4AcwBGAHIAbwBtAFUAcgBpAG4AZQBBAG4AZABEAHUAbgBnAE8AbgBQAGEAcwB0AHUAcgBlAF8ATABhAHQAZQB4AEUAcQB1AGEAdABpAG8AbgBcAG4AIAAgAD0ATABBAE0AQgBEAEEAKABcACIARQBfAHsATgAyAE8ALABsAGUAYQBjAGgAfQA9AE0AXwB7AGwAZQBhAGMAaAAsAG0APQAxADQAfQBcAFwAdABpAG0AZQBzACAARQBGAF8AewBsAGUAYQBjAGgAfQBcAFwAdABpAG0AZQBzACAAQwBfAHsATgAyAE8AfQBcAFwAdABpAG0AZQBzACAAMQAwAF4AewAtADMAfQBcACIAKQA7AFwAbgBcAG4AVgBFAEUAUgBHAF8ANABfADMAXwAxAF8AMQAyAF8AXwAxAF8ATABlAGEAYwBoAGkAbgBnAEEAbgBkAFIAdQBuAG8AZgBmAEUAbQBpAHMAcwBpAG8AbgBzAEYAcgBvAG0AVQByAGkAbgBlAEEAbgBkAEQAdQBuAGcATwBuAFAAYQBzAHQAdQByAGUAXwBBAHIAZwB1AG0AZQBuAHQAcwBcAG4AIAAgAD0ATABBAE0AQgBEAEEAKABcAG4AIAAgACAAIABNAEEASwBFAEEAUgBSAEEAWQAoADMALAAgADQALABcAG4AIAAgACAAIAAgACAATABBAE0AQgBEAEEAKAByACwAYwAsAFwAbgAgACAAIAAgACAAIAAgACAASQBOAEQARQBYACgAewBcAG4AIAAgACAAIAAgACAAIAAgACAAIABcACIATQBfAGwAZQBhAGMAaABfAG0AMQA0AFwAIgAsACAAXAAiAG0AYQBzAHMAIABvAGYAIABuAGkAdAByAG8AZwBlAG4AIABsAG8AcwB0ACAAdABvACAAbABlAGEAYwBoAGkAbgBnACAAYQBuAGQAIAByAHUAbgBvAGYAZgAgAGYAcgBvAG0AIAB1AHIAaQBuAGUAIABhAG4AZAAgAGYAYQBlAGMAZQBzACAAZABlAHAAbwBzAGkAdABlAGQAIABvAG4AIABwAGEAcwB0AHUAcgBlAFwAIgAsACAAXAAiAGsAZwAgAE4AXAAiACwAIABcACIAQwBhAGwAYwB1AGwAYQB0AGUAZAAgAGYAcgBvAG0AIAA0AC4AMwAuADEALgAxADIAIAAoADIAKQBcACIAOwBcAG4AIAAgACAAIAAgACAAIAAgACAAIABcACIARQBGAF8AbABlAGEAYwBoAFwAIgAsACAAXAAiAG4AaQB0AHIAbwB1AHMAIABvAHgAaQBkAGUAIABlAG0AaQBzAHMAaQBvAG4AIABmAGEAYwB0AG8AcgAgAGYAbwByACAAbABlAGEAYwBoAGkAbgBnACAAYQBuAGQAIAByAHUAbgBvAGYAZgBcACIALAAgAFwAIgBrAGcAIABOADIATwAtAE4ALwBrAGcAIABOAFwAIgAsACAAXAAiAEMAbwBuAHMAdABhAG4AdABcACIAOwBcAG4AIAAgACAAIAAgACAAIAAgACAAIABcACIAQwBfAE4AMgBPAFwAIgAsACAAXAAiAGYAYQBjAHQAbwByACAAdABvACAAYwBvAG4AdgBlAHIAdAAgAGUAbABlAG0AZQBuAHQAYQBsACAAbQBhAHMAcwAgAG8AZgAgAE4AMgBPACAAdABvACAAbQBvAGwAZQBjAHUAbABhAHIAIABtAGEAcwBzAFwAIgAsACAAXAAi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0AF8AMwBfADEAXwAxADIAXwBfADIAXwBNAGEAcwBzAE8AZgBOAGkAdAByAG8AZwBlAG4ATABvAHMAdABUAG8ATABlAGEAYwBoAGkAbgBnAEEAbgBkAFIAdQBuAG8AZgBmAE8AbgBQAGEAcwB0AHUAcgBlAFwAbgBNAGEAcwBzACAAbwBmACAAbgBpAHQAcgBvAGcAZQBuACAAbABvAHMAdAAgAHQAbwAgAGwAZQBhAGMAaABpAG4AZwAgAGEAbgBkACAAcgB1AG4AbwBmAGYAIABmAHIAbwBtACAAdQByAGkAbgBlACAAYQBuAGQAIABmAGEAZQBjAGUAcwAgAG8AbgAgAHAAYQBzAHQAdQByAGUAXABuAE0AXwBsAGUAYQBjAGgAXwBtADEANABcAG4AawBnACAATgBcAG4ATQBfAHsAbABlAGEAYwBoACwAbQA9ADEANAB9AD0ATQBOAF8AewBqAG0APQAxADQAfQBcAFwAdABpAG0AZQBzACAARgByAGEAYwBXAGUAdABcAFwAdABpAG0AZQBzACAARgByAGEAYwBMAEUAQQBDAEgAXABuAE0ATgBfAGoAbQAxADQAIAA9ACAAbQBhAHMAcwAgAG8AZgAgAG4AaQB0AHIAbwBnAGUAbgAgAGUAeABjAHIAZQB0AGUAZAAgAG8AbgAgAHAAYQBzAHQAdQByAGUALAAgAHIAYQBuAGcAZQAgAGEAbgBkACAAcABhAGQAZABvAGMAawAgAGYAbwByACAAZQBhAGMAaAAgAGQAYQBpAHIAeQAgAGMAbABhAHMAcwAgACgAawBnACAATgApAFwAbgBGAHIAYQBjAFcAZQB0ACAAPQAgAGYAcgBhAGMAdABpAG8AbgAgAG8AZgAgAE4AIABhAHYAYQBpAGwAYQBiAGwAZQAgAGYAbwByACAAbABlAGEAYwBoAGkAbgBnACAAYQBuAGQAIAByAHUAbgBvAGYAZgBcAG4ARgByAGEAYwBMAEUAQQBDAEgAIAA9ACAAZgByAGEAYwB0AGkAbwBuACAAbwBmACAATgAgAGwAbwBzAHQAIAB0AGgAcgBvAHUAZwBoACAAbABlAGEAYwBoAGkAbgBnACAAYQBuAGQAIAByAHUAbgBvAGYAZgBcAG4ALQAtAC0ALQAtAC0ALQAtAC0ALQAtAC0ALQAtAC0ALQAtAC0ALQAtAC0ALQAtAC0ALQAtAC0ALQAtAC0ALQAtAC0ALQAtAC0ALQAtAFwAbgAqAC8AXABuAFwAbgBWAEUARQBSAEcAXwA0AF8AMwBfADEAXwAxADIAXwBfADIAXwBNAGEAcwBzAE8AZgBOAGkAdAByAG8AZwBlAG4ATABvAHMAdABUAG8ATABlAGEAYwBoAGkAbgBnAEEAbgBkAFIAdQBuAG8AZgBmAE8AbgBQAGEAcwB0AHUAcgBlAFwAbgAgACAAPQBMAEEATQBCAEQAQQAoAFwAbgAgACAAIAAgAE0ATgBfAGoAbQAxADQALAAgAEYAcgBhAGMAVwBlAHQALAAgAEYAcgBhAGMATABFAEEAQwBIACwAXABuACAAIAAgACAATQBOAF8AagBtADEANAAgACoAIABGAHIAYQBjAFcAZQB0ACAAKgAgAEYAcgBhAGMATABFAEEAQwBIAFwAbgAgACAAKQA7AFwAbgBcAG4AVgBFAEUAUgBHAF8ANABfADMAXwAxAF8AMQAyAF8AXwAyAF8ATQBhAHMAcwBPAGYATgBpAHQAcgBvAGcAZQBuAEwAbwBzAHQAVABvAEwAZQBhAGMAaABpAG4AZwBBAG4AZABSAHUAbgBvAGYAZgBPAG4AUABhAHMAdAB1AHIAZQBfAFQAaQB0AGwAZQBcAG4AIAAgAD0ATABBAE0AQgBEAEEAKABcACIATQBhAHMAcwAgAG8AZgAgAG4AaQB0AHIAbwBnAGUAbgAgAGwAbwBzAHQAIAB0AG8AIABsAGUAYQBjAGgAaQBuAGcAIABhAG4AZAAgAHIAdQBuAG8AZgBmACAAZgByAG8AbQAgAHUAcgBpAG4AZQAgAGEAbgBkACAAZgBhAGUAYwBlAHMAIABvAG4AIABwAGEAcwB0AHUAcgBlAFwAIgApADsAXABuAFwAbgBWAEUARQBSAEcAXwA0AF8AMwBfADEAXwAxADIAXwBfADIAXwBNAGEAcwBzAE8AZgBOAGkAdAByAG8AZwBlAG4ATABvAHMAdABUAG8ATABlAGEAYwBoAGkAbgBnAEEAbgBkAFIAdQBuAG8AZgBmAE8AbgBQAGEAcwB0AHUAcgBlAF8AVgBhAHIAaQBhAGIAbABlAFwAbgAgACAAPQBMAEEATQBCAEQAQQAoAFwAIgBNAF8AbABlAGEAYwBoAF8AbQAxADQAXAAiACkAOwBcAG4AXABuAFYARQBFAFIARwBfADQAXwAzAF8AMQBfADEAMgBfAF8AMgBfAE0AYQBzAHMATwBmAE4AaQB0AHIAbwBnAGUAbgBMAG8AcwB0AFQAbwBMAGUAYQBjAGgAaQBuAGcAQQBuAGQAUgB1AG4AbwBmAGYATwBuAFAAYQBzAHQAdQByAGUAXwBVAG4AaQB0AFwAbgAgACAAPQBMAEEATQBCAEQAQQAoAFwAIgBrAGcAIABOAFwAIgApADsAXABuAFwAbgBWAEUARQBSAEcAXwA0AF8AMwBfADEAXwAxADIAXwBfADIAXwBNAGEAcwBzAE8AZgBOAGkAdAByAG8AZwBlAG4ATABvAHMAdABUAG8ATABlAGEAYwBoAGkAbgBnAEEAbgBkAFIAdQBuAG8AZgBmAE8AbgBQAGEAcwB0AHUAcgBlAF8AUwBvAHUAcgBjAGUAXABuACAAIAA9AEwAQQBNAEIARABBACgAXAAiAFYARQBFAFIARwAgADIAMAAyADYAOgAgADQALgAzAC4AMQAuADEAMgAsACAARQBxAHUAYQB0AGkAbwBuACAAKAAyACkAXAAiACkAOwBcAG4AXABuAFYARQBFAFIARwBfADQAXwAzAF8AMQBfADEAMgBfAF8AMgBfAE0AYQBzAHMATwBmAE4AaQB0AHIAbwBnAGUAbgBMAG8AcwB0AFQAbwBMAGUAYQBjAGgAaQBuAGcAQQBuAGQAUgB1AG4AbwBmAGYATwBuAFAAYQBzAHQAdQByAGUAXwBOAEkAUgBSAGUAZgBlAHIAZQBuAGMAZQBcAG4AIAAgAD0ATABBAE0AQgBEAEEAKABcACIAXAAiACkAOwBcAG4AXABuAFYARQBFAFIARwBfADQAXwAzAF8AMQBfADEAMgBfAF8AMgBfAE0AYQBzAHMATwBmAE4AaQB0AHIAbwBnAGUAbgBMAG8AcwB0AFQAbwBMAGUAYQBjAGgAaQBuAGcAQQBuAGQAUgB1AG4AbwBmAGYATwBuAFAAYQBzAHQAdQByAGUAXwBMAGEAdABlAHgARQBxAHUAYQB0AGkAbwBuAFwAbgAgACAAPQBMAEEATQBCAEQAQQAoAFwAIgBNAF8AewBsAGUAYQBjAGgALABtAD0AMQA0AH0APQBcAFwAcwB1AG0AXABcAG4AbwBsAGkAbQBpAHQAcwBfAHsAagB9ACgATQBOAF8AewBqAG0APQAxADQAfQBcAFwAdABpAG0AZQBzACAARgByAGEAYwBXAGUAdABcAFwAdABpAG0AZQBzACAARgByAGEAYwBMAEUAQQBDAEgAKQBcACIAKQA7AFwAbgBcAG4AVgBFAEUAUgBHAF8ANABfADMAXwAxAF8AMQAyAF8AXwAyAF8ATQBhAHMAcwBPAGYATgBpAHQAcgBvAGcAZQBuAEwAbwBzAHQAVABvAEwAZQBhAGMAaABpAG4AZwBBAG4AZABSAHUAbgBvAGYAZgBPAG4AUABhAHMAdAB1AHIAZQBfAEEAcgBnAHUAbQBlAG4AdABzAFwAbgAgACAAPQBMAEEATQBCAEQAQQAoAFwAbgAgACAAIAAgAE0AQQBLAEUAQQBSAFIAQQBZACgANgAsACAANAAsAFwAbgAgACAAIAAgACAAIABMAEEATQBCAEQAQQAoAHIALABjACwAXABuACAAIAAgACAAIAAgACAAIABJAE4ARABFAFgAKAB7AFwAbgAgACAAIAAgACAAIAAgACAAIAAgAFwAIgBNAE4AXwBqAG0AMQA0AFwAIgAsACAAXAAiAG0AYQBzAHMAIABvAGYAIABuAGkAdAByAG8AZwBlAG4AIABlAHgAYwByAGUAdABlAGQAIABvAG4AIABwAGEAcwB0AHUAcgBlACwAIAByAGEAbgBnAGUAIABhAG4AZAAgAHAAYQBkAGQAbwBjAGsAIABmAG8AcgAgAGUAYQBjAGgAIABkAGEAaQByAHkAIABjAGwAYQBzAHMAXAAiACwAIABcACIAawBnACAATgBcACIALAAgAFwAIgBDAGEAbABjAHUAbABhAHQAZQBkACAAZgByAG8AbQAgADQALgAzAC4AMQAuADMAIAAoADIAKQBcACIAOwBcAG4AIAAgACAAIAAgACAAIAAgACAAIABcACIARgByAGEAYwBXAGUAdABcACIALAAgAFwAIgBmAHIAYQBjAHQAaQBvAG4AIABvAGYAIABOACAAYQB2AGEAaQBsAGEAYgBsAGUAIABmAG8AcgAgAGwAZQBhAGMAaABpAG4AZwAgAGEAbgBkACAAcgB1AG4AbwBmAGYAXAAiACwAIABcACIAXAAiACwAIABcACIAQwBvAG4AcwB0AGEAbgB0AFwAIgA7AFwAbgAgACAAIAAgACAAIAAgACAAIAAgAFwAIgBGAHIAYQBjAEwARQBBAEMASABcACIALAAgAFwAIgBmAHIAYQBjAHQAaQBvAG4AIABvAGYAIABOACAAbABvAHMAdAAgAHQAaAByAG8AdQBnAGgAIABsAGUAYQBjAGgAaQBuAGcAIABhAG4AZAAgAHIAdQBuAG8AZgBmAFwAIgAsACAAXAAiAFwAIgAsACAAXAAiAEMAbwBuAHMAdABhAG4AdABcACIAOwBcAG4AIAAgACAAIAAgACAAIAAgACAAIABcACIAegBcACIALAAgAFwAIgBsAG8AYwBhAHQAaQBvAG4AIABpAG4AIABsAGUAYQBjAGgAaQBuAGcAIAB6AG8AbgBlAFwAIgAsACAAXAAiAFwAIgAsACAAXAAiAEkAbgBwAHUAdABcACIAOwBcAG4AIAAgACAAIAAgACAAIAAgACAAIABcACIAagBcACIALAAgAFwAIgBwAHIAbwBkAHUAYwB0AGkAbwBuACAAcwB5AHMAdABlAG0AXAAiACwAIABcACIAXAAiACwAIABcACIASQBuAHAAdQB0AFwAIgA7AFwAbgAgACAAIAAgACAAIAAgACAAIAAgAFwAIgBpAHIAXAAiACwAIABcACIAaQByAHIAaQBnAGEAdABpAG8AbgAgAG0AZQB0AGgAbwBkAFwAIgAsACAAXAAiAFwAIgAsACAAXAAiAEkAbgBwAHUAdABcACIAXABuACAAIAAgACAAIAAgACAAIAB9ACwAIAByACwAIABjACkAXABuACAAIAAgACAAIAAgACkAXABuACAAIAAgACAAKQBcAG4AIAAgACkAOwBcAG4AIgB9AF0ALAAiAHAAcgBvAGoAZQBjAHQATgBhAG0AZQBzACIAOgBbACIAQwBvAG0AbQBvAG4AXwBTAG8AdQByAGMAZQBEAGEAdABhAC4AQwBvAG0AbQBvAG4AXwBTAG8AdQByAGMAZQBEAGEAdABhAF8ARABlAG4AcwBpAHQAeQBPAGYATQBlAHQAaABhAG4AZQBfAFQAaQB0AGwAZQAiACwAIgBDAG8AbQBtAG8AbgBfAFMAbwB1AHIAYwBlAEQAYQB0AGEALgBDAG8AbQBtAG8AbgBfAFMAbwB1AHIAYwBlAEQAYQB0AGEAXwBEAGUAbgBzAGkAdAB5AE8AZgBNAGUAdABoAGEAbgBlAF8AVQBuAGkAdAAiACwAIgBDAG8AbQBtAG8AbgBfAFMAbwB1AHIAYwBlAEQAYQB0AGEALgBDAG8AbQBtAG8AbgBfAFMAbwB1AHIAYwBlAEQAYQB0AGEAXwBEAGUAbgBzAGkAdAB5AE8AZgBNAGUAdABoAGEAbgBlAF8AUwBvAHUAcgBjAGUAIgAsACIAQwBvAG0AbQBvAG4AXwBTAG8AdQByAGMAZQBEAGEAdABhAC4AQwBvAG0AbQBvAG4AXwBTAG8AdQByAGMAZQBEAGEAdABhAF8ARABlAG4AcwBpAHQAeQBPAGYATQBlAHQAaABhAG4AZQBfAEQAYQB0AGEAIgAsACIAQwBvAG0AbQBvAG4AXwBTAG8AdQByAGMAZQBEAGEAdABhAC4AQwBvAG0AbQBvAG4AXwBTAG8AdQByAGMAZQBEAGEAdABhAF8AQwBvAG4AdgBlAHIAdABOADIAbwBFAGwAZQBtAGUAbgB0AGEAbABUAG8ATQBvAGwAZQBjAHUAbABhAHIAQwBnAF8AVABpAHQAbABlACIALAAiAEMAbwBtAG0AbwBuAF8AUwBvAHUAcgBjAGUARABhAHQAYQAuAEMAbwBtAG0AbwBuAF8AUwBvAHUAcgBjAGUARABhAHQAYQBfAEMAbwBuAHYAZQByAHQATgAyAG8ARQBsAGUAbQBlAG4AdABhAGwAVABvAE0AbwBsAGUAYwB1AGwAYQByAEMAZwBfAFYAYQByAGkAYQBiAGwAZQAiACwAIgBDAG8AbQBtAG8AbgBfAFMAbwB1AHIAYwBlAEQAYQB0AGEALgBDAG8AbQBtAG8AbgBfAFMAbwB1AHIAYwBlAEQAYQB0AGEAXwBDAG8AbgB2AGUAcgB0AE4AMgBvAEUAbABlAG0AZQBuAHQAYQBsAFQAbwBNAG8AbABlAGMAdQBsAGEAcgBDAGcAXwBVAG4AaQB0ACIALAAiAEMAbwBtAG0AbwBuAF8AUwBvAHUAcgBjAGUARABhAHQAYQAuAEMAbwBtAG0AbwBuAF8AUwBvAHUAcgBjAGUARABhAHQAYQBfAEMAbwBuAHYAZQByAHQATgAyAG8ARQBsAGUAbQBlAG4AdABhAGwAVABvAE0AbwBsAGUAYwB1AGwAYQByAEMAZwBfAFMAbwB1AHIAYwBlACIALAAiAEMAbwBtAG0AbwBuAF8AUwBvAHUAcgBjAGUARABhAHQAYQAuAEMAbwBtAG0AbwBuAF8AUwBvAHUAcgBjAGUARABhAHQAYQBfAEMAbwBuAHYAZQByAHQATgAyAG8ARQBsAGUAbQBlAG4AdABhAGwAVABvAE0AbwBsAGUAYwB1AGwAYQByAEMAZwBfAEQAYQB0AGEAIgAsACIAQwBvAG0AbQBvAG4AXwBTAG8AdQByAGMAZQBEAGEAdABhAC4AQwBvAG0AbQBvAG4AXwBTAG8AdQByAGMAZQBEAGEAdABhAF8AQwBvAG4AdgBlAHIAdABHAGEAcwBFAGwAZQBtAGUAbgB0AGEAbABUAG8ATQBvAGwAZQBjAHUAbABhAHIAXwBUAGkAdABsAGUAIgAsACIAQwBvAG0AbQBvAG4AXwBTAG8AdQByAGMAZQBEAGEAdABhAC4AQwBvAG0AbQBvAG4AXwBTAG8AdQByAGMAZQBEAGEAdABhAF8AQwBvAG4AdgBlAHIAdABHAGEAcwBFAGwAZQBtAGUAbgB0AGEAbABUAG8ATQBvAGwAZQBjAHUAbABhAHIAXwBWAGEAcgBpAGEAYgBsAGUAIgAsACIAQwBvAG0AbQBvAG4AXwBTAG8AdQByAGMAZQBEAGEAdABhAC4AQwBvAG0AbQBvAG4AXwBTAG8AdQByAGMAZQBEAGEAdABhAF8AQwBvAG4AdgBlAHIAdABHAGEAcwBFAGwAZQBtAGUAbgB0AGEAbABUAG8ATQBvAGwAZQBjAHUAbABhAHIAXwBVAG4AaQB0ACIALAAiAEMAbwBtAG0AbwBuAF8AUwBvAHUAcgBjAGUARABhAHQAYQAuAEMAbwBtAG0AbwBuAF8AUwBvAHUAcgBjAGUARABhAHQAYQBfAEMAbwBuAHYAZQByAHQARwBhAHMARQBsAGUAbQBlAG4AdABhAGwAVABvAE0AbwBsAGUAYwB1AGwAYQByAF8AUwBvAHUAcgBjAGUAIgAsACIAQwBvAG0AbQBvAG4AXwBTAG8AdQByAGMAZQBEAGEAdABhAC4AQwBvAG0AbQBvAG4AXwBTAG8AdQByAGMAZQBEAGEAdABhAF8AQwBvAG4AdgBlAHIAdABHAGEAcwBFAGwAZQBtAGUAbgB0AGEAbABUAG8ATQBvAGwAZQBjAHUAbABhAHIAXwBEAGEAdABhACIALAAiAEMAbwBtAG0AbwBuAF8AUwBvAHUAcgBjAGUARABhAHQAYQAuAEMAbwBtAG0AbwBuAF8AUwBvAHUAcgBjAGUARABhAHQAYQBfAEcAVwBQAF8AVABpAHQAbABlACIALAAiAEMAbwBtAG0AbwBuAF8AUwBvAHUAcgBjAGUARABhAHQAYQAuAEMAbwBtAG0AbwBuAF8AUwBvAHUAcgBjAGUARABhAHQAYQBfAEcAVwBQAF8AVgBhAHIAaQBhAGIAbABlACIALAAiAEMAbwBtAG0AbwBuAF8AUwBvAHUAcgBjAGUARABhAHQAYQAuAEMAbwBtAG0AbwBuAF8AUwBvAHUAcgBjAGUARABhAHQAYQBfAEcAVwBQAF8AVQBuAGkAdAAiACwAIgBDAG8AbQBtAG8AbgBfAFMAbwB1AHIAYwBlAEQAYQB0AGEALgBDAG8AbQBtAG8AbgBfAFMAbwB1AHIAYwBlAEQAYQB0AGEAXwBHAFcAUABfAFMAbwB1AHIAYwBlACIALAAiAEMAbwBtAG0AbwBuAF8AUwBvAHUAcgBjAGUARABhAHQAYQAuAEMAbwBtAG0AbwBuAF8AUwBvAHUAcgBjAGUARABhAHQAYQBfAEcAVwBQAF8ARABhAHQAYQAiACwAIgBDAG8AbQBtAG8AbgBfAFMAbwB1AHIAYwBlAEQAYQB0AGEALgBDAG8AbQBtAG8AbgBfAFMAbwB1AHIAYwBlAEQAYQB0AGEAXwBBAHUAcwB0AHIAYQBsAGkAYQBuAFMAdABhAHQAZQBzAFQAZQByAHIAaQB0AG8AcgBpAGUAcwBfAFQAaQB0AGwAZQAiACwAIgBDAG8AbQBtAG8AbgBfAFMAbwB1AHIAYwBlAEQAYQB0AGEALgBDAG8AbQBtAG8AbgBfAFMAbwB1AHIAYwBlAEQAYQB0AGEAXwBBAHUAcwB0AHIAYQBsAGkAYQBuAFMAdABhAHQAZQBzAFQAZQByAHIAaQB0AG8AcgBpAGUAcwBfAFYAYQByAGkAYQBiAGwAZQAiACwAIgBDAG8AbQBtAG8AbgBfAFMAbwB1AHIAYwBlAEQAYQB0AGEALgBDAG8AbQBtAG8AbgBfAFMAbwB1AHIAYwBlAEQAYQB0AGEAXwBBAHUAcwB0AHIAYQBsAGkAYQBuAFMAdABhAHQAZQBzAFQAZQByAHIAaQB0AG8AcgBpAGUAcwBfAFUAbgBpAHQAIgAsACIAQwBvAG0AbQBvAG4AXwBTAG8AdQByAGMAZQBEAGEAdABhAC4AQwBvAG0AbQBvAG4AXwBTAG8AdQByAGMAZQBEAGEAdABhAF8AQQB1AHMAdAByAGEAbABpAGEAbgBTAHQAYQB0AGUAcwBUAGUAcgByAGkAdABvAHIAaQBlAHMAXwBTAG8AdQByAGMAZQAiACwAIgBDAG8AbQBtAG8AbgBfAFMAbwB1AHIAYwBlAEQAYQB0AGEALgBDAG8AbQBtAG8AbgBfAFMAbwB1AHIAYwBlAEQAYQB0AGEAXwBBAHUAcwB0AHIAYQBsAGkAYQBuAFMAdABhAHQAZQBzAFQAZQByAHIAaQB0AG8AcgBpAGUAcwBfAEQAYQB0AGEAIgAsACIAQwBvAG0AbQBvAG4AXwBTAG8AdQByAGMAZQBEAGEAdABhAC4AQwBvAG0AbQBvAG4AXwBTAG8AdQByAGMAZQBEAGEAdABhAF8AVwBBAFMAQQA0AEEAcgBlAGEAcwBfAFQAaQB0AGwAZQAiACwAIgBDAG8AbQBtAG8AbgBfAFMAbwB1AHIAYwBlAEQAYQB0AGEALgBDAG8AbQBtAG8AbgBfAFMAbwB1AHIAYwBlAEQAYQB0AGEAXwBXAEEAUwBBADQAQQByAGUAYQBzAF8AVgBhAHIAaQBhAGIAbABlACIALAAiAEMAbwBtAG0AbwBuAF8AUwBvAHUAcgBjAGUARABhAHQAYQAuAEMAbwBtAG0AbwBuAF8AUwBvAHUAcgBjAGUARABhAHQAYQBfAFcAQQBTAEEANABBAHIAZQBhAHMAXwBVAG4AaQB0ACIALAAiAEMAbwBtAG0AbwBuAF8AUwBvAHUAcgBjAGUARABhAHQAYQAuAEMAbwBtAG0AbwBuAF8AUwBvAHUAcgBjAGUARABhAHQAYQBfAFcAQQBTAEEANABBAHIAZQBhAHMAXwBTAG8AdQByAGMAZQAiACwAIgBDAG8AbQBtAG8AbgBfAFMAbwB1AHIAYwBlAEQAYQB0AGEALgBDAG8AbQBtAG8AbgBfAFMAbwB1AHIAYwBlAEQAYQB0AGEAXwBXAEEAUwBBADQAQQByAGUAYQBzAF8ARABhAHQAYQAiACwAIgBDAG8AbQBtAG8AbgBfAFMAbwB1AHIAYwBlAEQAYQB0AGEALgBDAG8AbQBtAG8AbgBfAFMAbwB1AHIAYwBlAEQAYQB0AGEAXwBXAGUAdABBAG4AZABEAHIAeQBaAG8AbgBlAHMAXwBUAGkAdABsAGUAIgAsACIAQwBvAG0AbQBvAG4AXwBTAG8AdQByAGMAZQBEAGEAdABhAC4AQwBvAG0AbQBvAG4AXwBTAG8AdQByAGMAZQBEAGEAdABhAF8AVwBlAHQAQQBuAGQARAByAHkAWgBvAG4AZQBzAF8AVgBhAHIAaQBhAGIAbABlACIALAAiAEMAbwBtAG0AbwBuAF8AUwBvAHUAcgBjAGUARABhAHQAYQAuAEMAbwBtAG0AbwBuAF8AUwBvAHUAcgBjAGUARABhAHQAYQBfAFcAZQB0AEEAbgBkAEQAcgB5AFoAbwBuAGUAcwBfAFUAbgBpAHQAIgAsACIAQwBvAG0AbQBvAG4AXwBTAG8AdQByAGMAZQBEAGEAdABhAC4AQwBvAG0AbQBvAG4AXwBTAG8AdQByAGMAZQBEAGEAdABhAF8AVwBlAHQAQQBuAGQARAByAHkAWgBvAG4AZQBzAF8AUwBvAHUAcgBjAGUAIgAsACIAQwBvAG0AbQBvAG4AXwBTAG8AdQByAGMAZQBEAGEAdABhAC4AQwBvAG0AbQBvAG4AXwBTAG8AdQByAGMAZQBEAGEAdABhAF8AVwBlAHQAQQBuAGQARAByAHkAWgBvAG4AZQBzAF8AVgBhAHIAaQBhAHQAaQBvAG4AIgAsACIAQwBvAG0AbQBvAG4AXwBTAG8AdQByAGMAZQBEAGEAdABhAC4AQwBvAG0AbQBvAG4AXwBTAG8AdQByAGMAZQBEAGEAdABhAF8AVwBlAHQAQQBuAGQARAByAHkAWgBvAG4AZQBzAF8ARABhAHQAYQAiACwAIgBDAG8AbQBtAG8AbgBfAFMAbwB1AHIAYwBlAEQAYQB0AGEALgBDAG8AbQBtAG8AbgBfAFMAbwB1AHIAYwBlAEQAYQB0AGEAXwBDAGwAaQBtAGEAdABlAFoAbwBuAGUAcwBfAFQAaQB0AGwAZQAiACwAIgBDAG8AbQBtAG8AbgBfAFMAbwB1AHIAYwBlAEQAYQB0AGEALgBDAG8AbQBtAG8AbgBfAFMAbwB1AHIAYwBlAEQAYQB0AGEAXwBDAGwAaQBtAGEAdABlAFoAbwBuAGUAcwBfAFYAYQByAGkAYQBiAGwAZQAiACwAIgBDAG8AbQBtAG8AbgBfAFMAbwB1AHIAYwBlAEQAYQB0AGEALgBDAG8AbQBtAG8AbgBfAFMAbwB1AHIAYwBlAEQAYQB0AGEAXwBDAGwAaQBtAGEAdABlAFoAbwBuAGUAcwBfAFUAbgBpAHQAIgAsACIAQwBvAG0AbQBvAG4AXwBTAG8AdQByAGMAZQBEAGEAdABhAC4AQwBvAG0AbQBvAG4AXwBTAG8AdQByAGMAZQBEAGEAdABhAF8AQwBsAGkAbQBhAHQAZQBaAG8AbgBlAHMAXwBTAG8AdQByAGMAZQAiACwAIgBDAG8AbQBtAG8AbgBfAFMAbwB1AHIAYwBlAEQAYQB0AGEALgBDAG8AbQBtAG8AbgBfAFMAbwB1AHIAYwBlAEQAYQB0AGEAXwBDAGwAaQBtAGEAdABlAFoAbwBuAGUAcwBfAFYAYQByAGkAYQB0AGkAbwBuACIALAAiAEMAbwBtAG0AbwBuAF8AUwBvAHUAcgBjAGUARABhAHQAYQAuAEMAbwBtAG0AbwBuAF8AUwBvAHUAcgBjAGUARABhAHQAYQBfAEMAbABpAG0AYQB0AGUAWgBvAG4AZQBzAF8ARABhAHQAYQAiACwAIgBDAG8AbQBtAG8AbgBfAFMAbwB1AHIAYwBlAEQAYQB0AGEALgBDAG8AbQBtAG8AbgBfAFMAbwB1AHIAYwBlAEQAYQB0AGEAXwBDAGwAaQBtAGEAdABlAFoAbwBuAGUAcwBfAEEAcABwAGUAbgBkAGkAYwBlAHMAIgAsACIAQwBvAG0AbQBvAG4AXwBTAG8AdQByAGMAZQBEAGEAdABhAC4AQwBvAG0AbQBvAG4AXwBTAG8AdQByAGMAZQBEAGEAdABhAF8AVABlAG0AcABlAHIAYQB0AHUAcgBlAFoAbwBuAGUAcwBfAFQAaQB0AGwAZQAiACwAIgBDAG8AbQBtAG8AbgBfAFMAbwB1AHIAYwBlAEQAYQB0AGEALgBDAG8AbQBtAG8AbgBfAFMAbwB1AHIAYwBlAEQAYQB0AGEAXwBUAGUAbQBwAGUAcgBhAHQAdQByAGUAWgBvAG4AZQBzAF8AVgBhAHIAaQBhAGIAbABlACIALAAiAEMAbwBtAG0AbwBuAF8AUwBvAHUAcgBjAGUARABhAHQAYQAuAEMAbwBtAG0AbwBuAF8AUwBvAHUAcgBjAGUARABhAHQAYQBfAFQAZQBtAHAAZQByAGEAdAB1AHIAZQBaAG8AbgBlAHMAXwBVAG4AaQB0ACIALAAiAEMAbwBtAG0AbwBuAF8AUwBvAHUAcgBjAGUARABhAHQAYQAuAEMAbwBtAG0AbwBuAF8AUwBvAHUAcgBjAGUARABhAHQAYQBfAFQAZQBtAHAAZQByAGEAdAB1AHIAZQBaAG8AbgBlAHMAXwBTAG8AdQByAGMAZQAiACwAIgBDAG8AbQBtAG8AbgBfAFMAbwB1AHIAYwBlAEQAYQB0AGEALgBDAG8AbQBtAG8AbgBfAFMAbwB1AHIAYwBlAEQAYQB0AGEAXwBUAGUAbQBwAGUAcgBhAHQAdQByAGUAWgBvAG4AZQBzAF8AVgBhAHIAaQBhAHQAaQBvAG4AIgAsACIAQwBvAG0AbQBvAG4AXwBTAG8AdQByAGMAZQBEAGEAdABhAC4AQwBvAG0AbQBvAG4AXwBTAG8AdQByAGMAZQBEAGEAdABhAF8AVABlAG0AcABlAHIAYQB0AHUAcgBlAFoAbwBuAGUAcwBfAEQAYQB0AGEAIgAsACIAQwBvAG0AbQBvAG4AXwBTAG8AdQByAGMAZQBEAGEAdABhAC4AQwBvAG0AbQBvAG4AXwBTAG8AdQByAGMAZQBEAGEAdABhAF8AUgBhAGkAbgBmAGEAbABsAFoAbwBuAGUAcwBfAFQAaQB0AGwAZQAiACwAIgBDAG8AbQBtAG8AbgBfAFMAbwB1AHIAYwBlAEQAYQB0AGEALgBDAG8AbQBtAG8AbgBfAFMAbwB1AHIAYwBlAEQAYQB0AGEAXwBSAGEAaQBuAGYAYQBsAGwAWgBvAG4AZQBzAF8AVgBhAHIAaQBhAGIAbABlACIALAAiAEMAbwBtAG0AbwBuAF8AUwBvAHUAcgBjAGUARABhAHQAYQAuAEMAbwBtAG0AbwBuAF8AUwBvAHUAcgBjAGUARABhAHQAYQBfAFIAYQBpAG4AZgBhAGwAbABaAG8AbgBlAHMAXwBVAG4AaQB0ACIALAAiAEMAbwBtAG0AbwBuAF8AUwBvAHUAcgBjAGUARABhAHQAYQAuAEMAbwBtAG0AbwBuAF8AUwBvAHUAcgBjAGUARABhAHQAYQBfAFIAYQBpAG4AZgBhAGwAbABaAG8AbgBlAHMAXwBTAG8AdQByAGMAZQAiACwAIgBDAG8AbQBtAG8AbgBfAFMAbwB1AHIAYwBlAEQAYQB0AGEALgBDAG8AbQBtAG8AbgBfAFMAbwB1AHIAYwBlAEQAYQB0AGEAXwBSAGEAaQBuAGYAYQBsAGwAWgBvAG4AZQBzAF8AVgBhAHIAaQBhAHQAaQBvAG4AIgAsACIAQwBvAG0AbQBvAG4AXwBTAG8AdQByAGMAZQBEAGEAdABhAC4AQwBvAG0AbQBvAG4AXwBTAG8AdQByAGMAZQBEAGEAdABhAF8AUgBhAGkAbgBmAGEAbABsAFoAbwBuAGUAcwBfAEQAYQB0AGEAIgAsACIAQwBvAG0AbQBvAG4AXwBTAG8AdQByAGMAZQBEAGEAdABhAC4AQwBvAG0AbQBvAG4AXwBTAG8AdQByAGMAZQBEAGEAdABhAF8ATABlAGEAYwBoAGkAbgBnAFoAbwBuAGUAcwBfAFQAaQB0AGwAZQAiACwAIgBDAG8AbQBtAG8AbgBfAFMAbwB1AHIAYwBlAEQAYQB0AGEALgBDAG8AbQBtAG8AbgBfAFMAbwB1AHIAYwBlAEQAYQB0AGEAXwBMAGUAYQBjAGgAaQBuAGcAWgBvAG4AZQBzAF8AVgBhAHIAaQBhAGIAbABlACIALAAiAEMAbwBtAG0AbwBuAF8AUwBvAHUAcgBjAGUARABhAHQAYQAuAEMAbwBtAG0AbwBuAF8AUwBvAHUAcgBjAGUARABhAHQAYQBfAEwAZQBhAGMAaABpAG4AZwBaAG8AbgBlAHMAXwBVAG4AaQB0ACIALAAiAEMAbwBtAG0AbwBuAF8AUwBvAHUAcgBjAGUARABhAHQAYQAuAEMAbwBtAG0AbwBuAF8AUwBvAHUAcgBjAGUARABhAHQAYQBfAEwAZQBhAGMAaABpAG4AZwBaAG8AbgBlAHMAXwBTAG8AdQByAGMAZQAiACwAIgBDAG8AbQBtAG8AbgBfAFMAbwB1AHIAYwBlAEQAYQB0AGEALgBDAG8AbQBtAG8AbgBfAFMAbwB1AHIAYwBlAEQAYQB0AGEAXwBMAGUAYQBjAGgAaQBuAGcAWgBvAG4AZQBzAF8AVgBhAHIAaQBhAHQAaQBvAG4AIgAsACIAQwBvAG0AbQBvAG4AXwBTAG8AdQByAGMAZQBEAGEAdABhAC4AQwBvAG0AbQBvAG4AXwBTAG8AdQByAGMAZQBEAGEAdABhAF8ATABlAGEAYwBoAGkAbgBnAFoAbwBuAGUAcwBfAEQAYQB0AGEAIgAsACIAQwBvAG0AbQBvAG4AXwBTAG8AdQByAGMAZQBEAGEAdABhAC4AQwBvAG0AbQBvAG4AXwBTAG8AdQByAGMAZQBEAGEAdABhAF8ARgByAGEAYwBXAEUAVABfAFQAaQB0AGwAZQAiACwAIgBDAG8AbQBtAG8AbgBfAFMAbwB1AHIAYwBlAEQAYQB0AGEALgBDAG8AbQBtAG8AbgBfAFMAbwB1AHIAYwBlAEQAYQB0AGEAXwBGAHIAYQBjAFcARQBUAF8AVQBuAGkAdAAiACwAIgBDAG8AbQBtAG8AbgBfAFMAbwB1AHIAYwBlAEQAYQB0AGEALgBDAG8AbQBtAG8AbgBfAFMAbwB1AHIAYwBlAEQAYQB0AGEAXwBGAHIAYQBjAFcARQBUAF8AUwBvAHUAcgBjAGUAIgAsACIAQwBvAG0AbQBvAG4AXwBTAG8AdQByAGMAZQBEAGEAdABhAC4AQwBvAG0AbQBvAG4AXwBTAG8AdQByAGMAZQBEAGEAdABhAF8ARgByAGEAYwBXAEUAVABfAE4ASQBSAFIAZQBmAGUAcgBlAG4AYwBlACIALAAiAEMAbwBtAG0AbwBuAF8AUwBvAHUAcgBjAGUARABhAHQAYQAuAEMAbwBtAG0AbwBuAF8AUwBvAHUAcgBjAGUARABhAHQAYQBfAEYAcgBhAGMAVwBFAFQAXwBEAGEAdABhACIALAAiAEMAbwBtAG0AbwBuAF8AUwBvAHUAcgBjAGUARABhAHQAYQAuAEMAbwBtAG0AbwBuAF8AUwBvAHUAcgBjAGUARABhAHQAYQBfAEYAcgBhAGMAVwBFAFQAXwBWAGEAcgBpAGEAdABpAG8AbgAiACwAIgBDAG8AbQBtAG8AbgBfAFMAbwB1AHIAYwBlAEQAYQB0AGEALgBDAG8AbQBtAG8AbgBfAFMAbwB1AHIAYwBlAEQAYQB0AGEAXwBEAGEAdABhAFMAYwBvAHIAZQBzAF8AUwBjAG8AcABlADMAXwBUAGkAdABsAGUAIgAsACIAQwBvAG0AbQBvAG4AXwBTAG8AdQByAGMAZQBEAGEAdABhAC4AQwBvAG0AbQBvAG4AXwBTAG8AdQByAGMAZQBEAGEAdABhAF8ARABhAHQAYQBTAGMAbwByAGUAcwBfAFMAYwBvAHAAZQAzAF8AVgBhAHIAaQBhAGIAbABlACIALAAiAEMAbwBtAG0AbwBuAF8AUwBvAHUAcgBjAGUARABhAHQAYQAuAEMAbwBtAG0AbwBuAF8AUwBvAHUAcgBjAGUARABhAHQAYQBfAEQAYQB0AGEAUwBjAG8AcgBlAHMAXwBTAGMAbwBwAGUAMwBfAFUAbgBpAHQAIgAsACIAQwBvAG0AbQBvAG4AXwBTAG8AdQByAGMAZQBEAGEAdABhAC4AQwBvAG0AbQBvAG4AXwBTAG8AdQByAGMAZQBEAGEAdABhAF8ARABhAHQAYQBTAGMAbwByAGUAcwBfAFMAYwBvAHAAZQAzAF8AUwBvAHUAcgBjAGUAIgAsACIAQwBvAG0AbQBvAG4AXwBTAG8AdQByAGMAZQBEAGEAdABhAC4AQwBvAG0AbQBvAG4AXwBTAG8AdQByAGMAZQBEAGEAdABhAF8ARABhAHQAYQBTAGMAbwByAGUAcwBfAFMAYwBvAHAAZQAzAF8AVgBhAHIAaQBhAHQAaQBvAG4AIgAsACIAQwBvAG0AbQBvAG4AXwBTAG8AdQByAGMAZQBEAGEAdABhAC4AQwBvAG0AbQBvAG4AXwBTAG8AdQByAGMAZQBEAGEAdABhAF8ARABhAHQAYQBTAGMAbwByAGUAcwBfAFMAYwBvAHAAZQAzAF8ARABhAHQAYQAiACwAIgBDAG8AbQBtAG8AbgBfAFMAbwB1AHIAYwBlAEQAYQB0AGEALgBDAG8AbQBtAG8AbgBfAFMAbwB1AHIAYwBlAEQAYQB0AGEAXwBGAHIAYQBjAEwARQBBAEMASABfAFQAaQB0AGwAZQAiACwAIgBDAG8AbQBtAG8AbgBfAFMAbwB1AHIAYwBlAEQAYQB0AGEALgBDAG8AbQBtAG8AbgBfAFMAbwB1AHIAYwBlAEQAYQB0AGEAXwBGAHIAYQBjAEwARQBBAEMASABfAFUAbgBpAHQAIgAsACIAQwBvAG0AbQBvAG4AXwBTAG8AdQByAGMAZQBEAGEAdABhAC4AQwBvAG0AbQBvAG4AXwBTAG8AdQByAGMAZQBEAGEAdABhAF8ARgByAGEAYwBMAEUAQQBDAEgAXwBTAG8AdQByAGMAZQAiACwAIgBDAG8AbQBtAG8AbgBfAFMAbwB1AHIAYwBlAEQAYQB0AGEALgBDAG8AbQBtAG8AbgBfAFMAbwB1AHIAYwBlAEQAYQB0AGEAXwBGAHIAYQBjAEwARQBBAEMASABfAE4ASQBSAFIAZQBmAGUAcgBlAG4AYwBlACIALAAiAEMAbwBtAG0AbwBuAF8AUwBvAHUAcgBjAGUARABhAHQAYQAuAEMAbwBtAG0AbwBuAF8AUwBvAHUAcgBjAGUARABhAHQAYQBfAEYAcgBhAGMATABFAEEAQwBIAF8ARABhAHQAYQAiACwAIgBDAG8AbQBtAG8AbgBfAFMAbwB1AHIAYwBlAEQAYQB0AGEALgBDAG8AbQBtAG8AbgBfAFMAbwB1AHIAYwBlAEQAYQB0AGEAXwBGAHIAYQBjAEwARQBBAEMASABfAFYAYQByAGkAYQB0AGkAbwBuACIALAAiAEMAbwBtAG0AbwBuAF8AUwBvAHUAcgBjAGUARABhAHQAYQAuAEMAbwBtAG0AbwBuAF8AUwBvAHUAcgBjAGUARABhAHQAYQBfAEUARgBsAGUAYQBjAGgAXwBUAGkAdABsAGUAIgAsACIAQwBvAG0AbQBvAG4AXwBTAG8AdQByAGMAZQBEAGEAdABhAC4AQwBvAG0AbQBvAG4AXwBTAG8AdQByAGMAZQBEAGEAdABhAF8ARQBGAGwAZQBhAGMAaABfAFUAbgBpAHQAIgAsACIAQwBvAG0AbQBvAG4AXwBTAG8AdQByAGMAZQBEAGEAdABhAC4AQwBvAG0AbQBvAG4AXwBTAG8AdQByAGMAZQBEAGEAdABhAF8ARQBGAGwAZQBhAGMAaABfAFMAbwB1AHIAYwBlACIALAAiAEMAbwBtAG0AbwBuAF8AUwBvAHUAcgBjAGUARABhAHQAYQAuAEMAbwBtAG0AbwBuAF8AUwBvAHUAcgBjAGUARABhAHQAYQBfAEUARgBsAGUAYQBjAGgAXwBOAEkAUgBSAGUAZgBlAHIAZQBuAGMAZQAiACwAIgBDAG8AbQBtAG8AbgBfAFMAbwB1AHIAYwBlAEQAYQB0AGEALgBDAG8AbQBtAG8AbgBfAFMAbwB1AHIAYwBlAEQAYQB0AGEAXwBFAEYAbABlAGEAYwBoAF8ARABhAHQAYQAiACwAIgBDAG8AbQBtAG8AbgBfAFMAbwB1AHIAYwBlAEQAYQB0AGEALgBDAG8AbQBtAG8AbgBfAFMAbwB1AHIAYwBlAEQAYQB0AGEAXwBFAEYAbABlAGEAYwBoAF8AVgBhAHIAaQBhAHQAaQBvAG4AIgAsACIAQwBvAG0AbQBvAG4AXwBTAG8AdQByAGMAZQBEAGEAdABhAC4AQwBvAG0AbQBvAG4AXwBTAG8AdQByAGMAZQBEAGEAdABhAF8ARQBGAE4AMgBPAF8AVABpAHQAbABlACIALAAiAEMAbwBtAG0AbwBuAF8AUwBvAHUAcgBjAGUARABhAHQAYQAuAEMAbwBtAG0AbwBuAF8AUwBvAHUAcgBjAGUARABhAHQAYQBfAEUARgBOADIATwBfAFUAbgBpAHQAIgAsACIAQwBvAG0AbQBvAG4AXwBTAG8AdQByAGMAZQBEAGEAdABhAC4AQwBvAG0AbQBvAG4AXwBTAG8AdQByAGMAZQBEAGEAdABhAF8ARQBGAE4AMgBPAF8AUwBvAHUAcgBjAGUAIgAsACIAQwBvAG0AbQBvAG4AXwBTAG8AdQByAGMAZQBEAGEAdABhAC4AQwBvAG0AbQBvAG4AXwBTAG8AdQByAGMAZQBEAGEAdABhAF8ARQBGAE4AMgBPAF8ATgBJAFIAUgBlAGYAZQByAGUAbgBjAGUAIgAsACIAQwBvAG0AbQBvAG4AXwBTAG8AdQByAGMAZQBEAGEAdABhAC4AQwBvAG0AbQBvAG4AXwBTAG8AdQByAGMAZQBEAGEAdABhAF8ARQBGAE4AMgBPAF8ARABhAHQAYQAiACwAIgBDAG8AbQBtAG8AbgBfAFMAbwB1AHIAYwBlAEQAYQB0AGEALgBDAG8AbQBtAG8AbgBfAFMAbwB1AHIAYwBlAEQAYQB0AGEAXwBFAEYATgAyAE8AXwBWAGEAcgBpAGEAdABpAG8AbgAiACwAIgBDAG8AbQBtAG8AbgBfAFMAbwB1AHIAYwBlAEQAYQB0AGEALgBDAG8AbQBtAG8AbgBfAFMAbwB1AHIAYwBlAEQAYQB0AGEAXwBGAHIAYQBjAFcARQBUAEkAcgByAGkAZwBhAHQAaQBvAG4AXwBUAGkAdABsAGUAIgAsACIAQwBvAG0AbQBvAG4AXwBTAG8AdQByAGMAZQBEAGEAdABhAC4AQwBvAG0AbQBvAG4AXwBTAG8AdQByAGMAZQBEAGEAdABhAF8ARgByAGEAYwBXAEUAVABJAHIAcgBpAGcAYQB0AGkAbwBuAF8AVQBuAGkAdAAiACwAIgBDAG8AbQBtAG8AbgBfAFMAbwB1AHIAYwBlAEQAYQB0AGEALgBDAG8AbQBtAG8AbgBfAFMAbwB1AHIAYwBlAEQAYQB0AGEAXwBGAHIAYQBjAFcARQBUAEkAcgByAGkAZwBhAHQAaQBvAG4AXwBTAG8AdQByAGMAZQAiACwAIgBDAG8AbQBtAG8AbgBfAFMAbwB1AHIAYwBlAEQAYQB0AGEALgBDAG8AbQBtAG8AbgBfAFMAbwB1AHIAYwBlAEQAYQB0AGEAXwBGAHIAYQBjAFcARQBUAEkAcgByAGkAZwBhAHQAaQBvAG4AXwBOAEkAUgBSAGUAZgBlAHIAZQBuAGMAZQAiACwAIgBDAG8AbQBtAG8AbgBfAFMAbwB1AHIAYwBlAEQAYQB0AGEALgBDAG8AbQBtAG8AbgBfAFMAbwB1AHIAYwBlAEQAYQB0AGEAXwBGAHIAYQBjAFcARQBUAEkAcgByAGkAZwBhAHQAaQBvAG4AXwBEAGEAdABhACIALAAiAEMAbwBtAG0AbwBuAF8AUwBvAHUAcgBjAGUARABhAHQAYQAuAEMAbwBtAG0AbwBuAF8AUwBvAHUAcgBjAGUARABhAHQAYQBfAEYAcgBhAGMAVwBFAFQASQByAHIAaQBnAGEAdABpAG8AbgBfAFYAYQByAGkAYQB0AGkAbwBuACIALAAiAEMAbwBtAG0AbwBuAF8AUwBvAHUAcgBjAGUARABhAHQAYQAuAEMAbwBtAG0AbwBuAF8AUwBvAHUAcgBjAGUARABhAHQAYQBfAEUARgBQAGEAcwB0AHUAcgBlAFIAYQBuAGcAZQBBAG4AZABQAGEAZABkAG8AYwBrAF8AVABpAHQAbABlACIALAAiAEMAbwBtAG0AbwBuAF8AUwBvAHUAcgBjAGUARABhAHQAYQAuAEMAbwBtAG0AbwBuAF8AUwBvAHUAcgBjAGUARABhAHQAYQBfAEUARgBQAGEAcwB0AHUAcgBlAFIAYQBuAGcAZQBBAG4AZABQAGEAZABkAG8AYwBrAF8AVQBuAGkAdAAiACwAIgBDAG8AbQBtAG8AbgBfAFMAbwB1AHIAYwBlAEQAYQB0AGEALgBDAG8AbQBtAG8AbgBfAFMAbwB1AHIAYwBlAEQAYQB0AGEAXwBFAEYAUABhAHMAdAB1AHIAZQBSAGEAbgBnAGUAQQBuAGQAUABhAGQAZABvAGMAawBfAFMAbwB1AHIAYwBlACIALAAiAEMAbwBtAG0AbwBuAF8AUwBvAHUAcgBjAGUARABhAHQAYQAuAEMAbwBtAG0AbwBuAF8AUwBvAHUAcgBjAGUARABhAHQAYQBfAEUARgBQAGEAcwB0AHUAcgBlAFIAYQBuAGcAZQBBAG4AZABQAGEAZABkAG8AYwBrAF8ATgBJAFIAUgBlAGYAZQByAGUAbgBjAGUAIgAsACIAQwBvAG0AbQBvAG4AXwBTAG8AdQByAGMAZQBEAGEAdABhAC4AQwBvAG0AbQBvAG4AXwBTAG8AdQByAGMAZQBEAGEAdABhAF8ARQBGAFAAYQBzAHQAdQByAGUAUgBhAG4AZwBlAEEAbgBkAFAAYQBkAGQAbwBjAGsAXwBEAGEAdABhACIALAAiAEMAbwBtAG0AbwBuAF8AUwBvAHUAcgBjAGUARABhAHQAYQAuAEMAbwBtAG0AbwBuAF8AUwBvAHUAcgBjAGUARABhAHQAYQBfAEUARgBQAGEAcwB0AHUAcgBlAFIAYQBuAGcAZQBBAG4AZABQAGEAZABkAG8AYwBrAF8AVgBhAHIAaQBhAHQAaQBvAG4AIgAsACIAQwBvAG0AbQBvAG4AXwBFAHEAdQBhAHQAaQBvAG4AcwAuAEMAbwBtAG0AbwBuAF8AQwBvAG4AdgBlAHIAdABOADIATwBUAG8AQwBPADIAZQAiACwAIgBDAG8AbQBtAG8AbgBfAEUAcQB1AGEAdABpAG8AbgBzAC4AQwBvAG0AbQBvAG4AXwBDAG8AbgB2AGUAcgB0AE4AMgBPAFQAbwBDAE8AMgBlAF8AVABpAHQAbABlACIALAAiAEMAbwBtAG0AbwBuAF8ARQBxAHUAYQB0AGkAbwBuAHMALgBDAG8AbQBtAG8AbgBfAEMAbwBuAHYAZQByAHQATgAyAE8AVABvAEMATwAyAGUAXwBWAGEAcgBpAGEAYgBsAGUAIgAsACIAQwBvAG0AbQBvAG4AXwBFAHEAdQBhAHQAaQBvAG4AcwAuAEMAbwBtAG0AbwBuAF8AQwBvAG4AdgBlAHIAdABOADIATwBUAG8AQwBPADIAZQBfAFUAbgBpAHQAIgAsACIAQwBvAG0AbQBvAG4AXwBFAHEAdQBhAHQAaQBvAG4AcwAuAEMAbwBtAG0AbwBuAF8AQwBvAG4AdgBlAHIAdABOADIATwBUAG8AQwBPADIAZQBfAE4ASQBSAFIAZQBmAGUAcgBlAG4AYwBlACIALAAiAEMAbwBtAG0AbwBuAF8ARQBxAHUAYQB0AGkAbwBuAHMALgBDAG8AbQBtAG8AbgBfAEMAbwBuAHYAZQByAHQATgAyAE8AVABvAEMATwAyAGUAXwBMAGEAdABlAHgARQBxAHUAYQB0AGkAbwBuACIALAAiAEMAbwBtAG0AbwBuAF8ARQBxAHUAYQB0AGkAbwBuAHMALgBDAG8AbQBtAG8AbgBfAEMAbwBuAHYAZQByAHQATgAyAE8AVABvAEMATwAyAGUAXwBBAHIAZwB1AG0AZQBuAHQAcwAiACwAIgBDAG8AbQBtAG8AbgBfAEUAcQB1AGEAdABpAG8AbgBzAC4AQwBvAG0AbQBvAG4AXwBDAG8AbgB2AGUAcgB0AEMASAA0AFQAbwBDAE8AMgBlACIALAAiAEMAbwBtAG0AbwBuAF8ARQBxAHUAYQB0AGkAbwBuAHMALgBDAG8AbQBtAG8AbgBfAEMAbwBuAHYAZQByAHQAQwBIADQAVABvAEMATwAyAGUAXwBUAGkAdABsAGUAIgAsACIAQwBvAG0AbQBvAG4AXwBFAHEAdQBhAHQAaQBvAG4AcwAuAEMAbwBtAG0AbwBuAF8AQwBvAG4AdgBlAHIAdABDAEgANABUAG8AQwBPADIAZQBfAFYAYQByAGkAYQBiAGwAZQAiACwAIgBDAG8AbQBtAG8AbgBfAEUAcQB1AGEAdABpAG8AbgBzAC4AQwBvAG0AbQBvAG4AXwBDAG8AbgB2AGUAcgB0AEMASAA0AFQAbwBDAE8AMgBlAF8AVQBuAGkAdAAiACwAIgBDAG8AbQBtAG8AbgBfAEUAcQB1AGEAdABpAG8AbgBzAC4AQwBvAG0AbQBvAG4AXwBDAG8AbgB2AGUAcgB0AEMASAA0AFQAbwBDAE8AMgBlAF8ATgBJAFIAUgBlAGYAZQByAGUAbgBjAGUAIgAsACIAQwBvAG0AbQBvAG4AXwBFAHEAdQBhAHQAaQBvAG4AcwAuAEMAbwBtAG0AbwBuAF8AQwBvAG4AdgBlAHIAdABDAEgANABUAG8AQwBPADIAZQBfAEwAYQB0AGUAeABFAHEAdQBhAHQAaQBvAG4AIgAsACIAQwBvAG0AbQBvAG4AXwBFAHEAdQBhAHQAaQBvAG4AcwAuAEMAbwBtAG0AbwBuAF8AQwBvAG4AdgBlAHIAdABDAEgANABUAG8AQwBPADIAZQBfAEEAcgBnAHUAbQBlAG4AdABzACIALAAiAEMAbwBtAG0AbwBuAEwAaQB2AGUAcwB0AG8AYwBrAF8AUwBvAHUAcgBjAGUARABhAHQAYQAuAFMAbwB1AHIAYwBlAEQAYQB0AGEAXwBMAGkAdgBlAHMAdABvAGMAawBfAEMAbwBtAG0AbwBuAF8ARgByAGEAYwBXAEUAVABNAE0AUwBfAFQAaQB0AGwAZQAiACwAIgBDAG8AbQBtAG8AbgBMAGkAdgBlAHMAdABvAGMAawBfAFMAbwB1AHIAYwBlAEQAYQB0AGEALgBTAG8AdQByAGMAZQBEAGEAdABhAF8ATABpAHYAZQBzAHQAbwBjAGsAXwBDAG8AbQBtAG8AbgBfAEYAcgBhAGMAVwBFAFQATQBNAFMAXwBVAG4AaQB0ACIALAAiAEMAbwBtAG0AbwBuAEwAaQB2AGUAcwB0AG8AYwBrAF8AUwBvAHUAcgBjAGUARABhAHQAYQAuAFMAbwB1AHIAYwBlAEQAYQB0AGEAXwBMAGkAdgBlAHMAdABvAGMAawBfAEMAbwBtAG0AbwBuAF8ARgByAGEAYwBXAEUAVABNAE0AUwBfAFMAbwB1AHIAYwBlACIALAAiAEMAbwBtAG0AbwBuAEwAaQB2AGUAcwB0AG8AYwBrAF8AUwBvAHUAcgBjAGUARABhAHQAYQAuAFMAbwB1AHIAYwBlAEQAYQB0AGEAXwBMAGkAdgBlAHMAdABvAGMAawBfAEMAbwBtAG0AbwBuAF8ARgByAGEAYwBXAEUAVABNAE0AUwBfAEQAYQB0AGEAIgAsACIAQwBvAG0AbQBvAG4ATABpAHYAZQBzAHQAbwBjAGsAXwBTAG8AdQByAGMAZQBEAGEAdABhAC4AUwBvAHUAcgBjAGUARABhAHQAYQBfAEwAaQB2AGUAcwB0AG8AYwBrAF8AQwBvAG0AbQBvAG4AXwBGAHIAYQBjAEwARQBBAEMASABfAE0AUwBfAFQAaQB0AGwAZQAiACwAIgBDAG8AbQBtAG8AbgBMAGkAdgBlAHMAdABvAGMAawBfAFMAbwB1AHIAYwBlAEQAYQB0AGEALgBTAG8AdQByAGMAZQBEAGEAdABhAF8ATABpAHYAZQBzAHQAbwBjAGsAXwBDAG8AbQBtAG8AbgBfAEYAcgBhAGMATABFAEEAQwBIAF8ATQBTAF8AVQBuAGkAdAAiACwAIgBDAG8AbQBtAG8AbgBMAGkAdgBlAHMAdABvAGMAawBfAFMAbwB1AHIAYwBlAEQAYQB0AGEALgBTAG8AdQByAGMAZQBEAGEAdABhAF8ATABpAHYAZQBzAHQAbwBjAGsAXwBDAG8AbQBtAG8AbgBfAEYAcgBhAGMATABFAEEAQwBIAF8ATQBTAF8AUwBvAHUAcgBjAGUAIgAsACIAQwBvAG0AbQBvAG4ATABpAHYAZQBzAHQAbwBjAGsAXwBTAG8AdQByAGMAZQBEAGEAdABhAC4AUwBvAHUAcgBjAGUARABhAHQAYQBfAEwAaQB2AGUAcwB0AG8AYwBrAF8AQwBvAG0AbQBvAG4AXwBGAHIAYQBjAEwARQBBAEMASABfAE0AUwBfAEQAYQB0AGEAIgAsACIAQwBvAG0AbQBvAG4ATABpAHYAZQBzAHQAbwBjAGsAXwBTAG8AdQByAGMAZQBEAGEAdABhAC4AUwBvAHUAcgBjAGUARABhAHQAYQBfAEwAaQB2AGUAcwB0AG8AYwBrAF8AQwBvAG0AbQBvAG4AXwBTAHkAbQBiAG8AbABzAE0ATQBTAF8AVABpAHQAbABlACIALAAiAEMAbwBtAG0AbwBuAEwAaQB2AGUAcwB0AG8AYwBrAF8AUwBvAHUAcgBjAGUARABhAHQAYQAuAFMAbwB1AHIAYwBlAEQAYQB0AGEAXwBMAGkAdgBlAHMAdABvAGMAawBfAEMAbwBtAG0AbwBuAF8AUwB5AG0AYgBvAGwAcwBNAE0AUwBfAFYAYQBpAHIAYQBiAGwAZQAiACwAIgBDAG8AbQBtAG8AbgBMAGkAdgBlAHMAdABvAGMAawBfAFMAbwB1AHIAYwBlAEQAYQB0AGEALgBTAG8AdQByAGMAZQBEAGEAdABhAF8ATABpAHYAZQBzAHQAbwBjAGsAXwBDAG8AbQBtAG8AbgBfAFMAeQBtAGIAbwBsAHMATQBNAFMAXwBVAG4AaQB0ACIALAAiAEMAbwBtAG0AbwBuAEwAaQB2AGUAcwB0AG8AYwBrAF8AUwBvAHUAcgBjAGUARABhAHQAYQAuAFMAbwB1AHIAYwBlAEQAYQB0AGEAXwBMAGkAdgBlAHMAdABvAGMAawBfAEMAbwBtAG0AbwBuAF8AUwB5AG0AYgBvAGwAcwBNAE0AUwBfAFMAbwB1AHIAYwBlACIALAAiAEMAbwBtAG0AbwBuAEwAaQB2AGUAcwB0AG8AYwBrAF8AUwBvAHUAcgBjAGUARABhAHQAYQAuAFMAbwB1AHIAYwBlAEQAYQB0AGEAXwBMAGkAdgBlAHMAdABvAGMAawBfAEMAbwBtAG0AbwBuAF8AUwB5AG0AYgBvAGwAcwBNAE0AUwBfAEQAYQB0AGEAIgAsACIAQwBvAG0AbQBvAG4AXwBJAG4AcAB1AHQARgB1AG4AYwB0AGkAbwBuAHMALgBVAHQAaQBsAGkAdAB5AF8ARwBlAHQAQQByAHIAYQB5AFQAYQBiAGwAZQBSAG8AdwBTAHQAYQByAHQATgB1AG0AYgBlAHIAIgAsACIAQwBvAG0AbQBvAG4AXwBJAG4AcAB1AHQARgB1AG4AYwB0AGkAbwBuAHMALgBVAHQAaQBsAGkAdAB5AF8ARwBlAHQAQQByAHIAYQB5AFQAYQBiAGwAZQBDAG8AbAB1AG0AbgBTAHQAYQByAHQATgB1AG0AYgBlAHIAIgAsACIAQwBvAG0AbQBvAG4AXwBJAG4AcAB1AHQARgB1AG4AYwB0AGkAbwBuAHMALgBVAHQAaQBsAGkAdAB5AF8ARABpAHMAcABsAGEAeQBBAHIAcgBhAHkASQBuAFQAYQBiAGwAZQAiACwAIgBDAG8AbQBtAG8AbgBfAEkAbgBwAHUAdABGAHUAbgBjAHQAaQBvAG4AcwAuAFUAdABpAGwAaQB0AHkAXwBMAG8AbwBrAHUAcABWAGEAbAB1AGUASQBuAFQAYQBiAGwAZQAiACwAIgBDAG8AbQBtAG8AbgBfAEkAbgBwAHUAdABGAHUAbgBjAHQAaQBvAG4AcwAuAFUAdABpAGwAaQB0AHkAXwBMAG8AbwBrAHUAcABWAGEAbAB1AGUASQBuAFQAYQBiAGwAZQBOAHUAbQBiAGUAcgAiACwAIgBDAG8AbQBtAG8AbgBfAEkAbgBwAHUAdABGAHUAbgBjAHQAaQBvAG4AcwAuAFUAdABpAGwAaQB0AHkAXwBTAHAAbABpAHQAUwB0AHIAaQBuAGcASQBuAHQAbwBBAHIAcgBhAHkAIgAsACIAQwBvAG0AbQBvAG4AXwBJAG4AcAB1AHQARgB1AG4AYwB0AGkAbwBuAHMALgBVAHQAaQBsAGkAdAB5AF8ARwBlAHQAQwBsAGkAbQBhAHQAZQBaAG8AbgBlACIALAAiAEMAbwBtAG0AbwBuAF8ASQBuAHAAdQB0AEYAdQBuAGMAdABpAG8AbgBzAC4AVQB0AGkAbABpAHQAeQBfAEwAbwBvAGsAdQBwAEkAdABlAG0ARgByAG8AbQBNAGkAbgBNAGEAeAAiACwAIgBDAG8AbQBtAG8AbgBfAEkAbgBwAHUAdABGAHUAbgBjAHQAaQBvAG4AcwAuAFUAdABpAGwAaQB0AHkAXwBTAHUAbQBRAHUAYQBuAHQAaQB0AHkARgByAG8AbQBDAHIAaQB0AGUAcgBpAGEAIgAsACIAQwBvAG0AbQBvAG4AXwBJAG4AcAB1AHQARgB1AG4AYwB0AGkAbwBuAHMALgBnAGUAdABPAHYAZQByAGwAYQBwAHAAaQBuAGcAUgBlAHAAbwByAHQAaQBuAGcAQwB5AGMAbABlAHMAIgAsACIAQwBvAG0AbQBvAG4AXwBJAG4AcAB1AHQARgB1AG4AYwB0AGkAbwBuAHMALgBnAGUAdABPAHYAZQByAGwAYQBwAHAAaQBuAGcAUgBlAHAAbwByAHQAaQBuAGcAUABlAHIAaQBvAGQAcwAiACwAIgBDAG8AbQBtAG8AbgBfAEkAbgBwAHUAdABGAHUAbgBjAHQAaQBvAG4AcwAuAFUAdABpAGwAaQB0AHkAXwBEAGkAcwBwAGwAYQB5AEYAdQBuAGMAdABpAG8AbgBOAGEAbQBlACIALAAiAEMAbwBtAG0AbwBuAF8ASQBuAHAAdQB0AEYAdQBuAGMAdABpAG8AbgBzAC4AVQB0AGkAbABpAHQAeQBfAEwAbwBvAGsAdQBwAE4AMgBPAEUARgBGAHIAbwBtAFAAcgBvAGQASQByAHIAaQBnAGEAdABpAG8AbgBSAGEAaQBuAGYAYQBsAGwAIgAsACIAQwBvAG0AbQBvAG4AXwBJAG4AcAB1AHQARgB1AG4AYwB0AGkAbwBuAHMALgBDAG8AbQBtAG8AbgBDAHIAbwBwAHAAaQBuAGcAXwBHAGUAdABGAHIAYQBjAFcARQBUACIALAAiAEMAbwBtAG0AbwBuAEMAcgBvAHAAcABpAG4AZwBfAEkAbgBwAHUAdABGAHUAbgBjAHQAaQBvAG4AcwAuAEMAbwBtAG0AbwBuAEMAcgBvAHAAcABpAG4AZwBfAEcAZQB0AEYAcgBhAGMAVwBFAFQAIgAsACIAQwBvAG0AbQBvAG4AQwByAG8AcABwAGkAbgBnAF8ASQBuAHAAdQB0AEYAdQBuAGMAdABpAG8AbgBzAC4AQwBvAG0AbQBvAG4AQwByAG8AcABwAGkAbgBnAF8AQwBhAGwAYwB1AGwAYQB0AGUASABhAHIAdgBlAHMAdABJAG4AZABlAHgAIgAsACIAQwBvAG0AbQBvAG4AQwByAG8AcABwAGkAbgBnAF8ASQBuAHAAdQB0AEYAdQBuAGMAdABpAG8AbgBzAC4AQwBvAG0AbQBvAG4AQwByAG8AcABwAGkAbgBnAF8AQwBhAGwAYwB1AGwAYQB0AGUAUgBlAHMAaQBkAHUAZQBDAHIAbwBwAFIAYQB0AGkAbwAiACwAIgBDAG8AbQBtAG8AbgBDAHIAbwBwAHAAaQBuAGcAXwBJAG4AcAB1AHQARgB1AG4AYwB0AGkAbwBuAHMALgBDAG8AbQBtAG8AbgBDAHIAbwBwAHAAaQBuAGcAXwBDAGEAbABjAHUAbABhAHQAZQBGAHIAYQBjAHQAaQBvAG4AUgBlAHMAaQBkAHUAZQBSAGUAbQBvAHYAZQBkACIALAAiAFMAbwB1AHIAYwBlAEQAYQB0AGEAXwBEAGEAaQByAHkALgBTAG8AdQByAGMAZQBEAGEAdABhAF8ARABhAGkAcgB5AF8ATABpAHYAZQB3AGUAaQBnAGgAdABDAG8AdwBzAEEAbgBkAEgAZQBpAGYAZQByAHMAXwBUAGkAdABsAGUAIgAsACIAUwBvAHUAcgBjAGUARABhAHQAYQBfAEQAYQBpAHIAeQAuAFMAbwB1AHIAYwBlAEQAYQB0AGEAXwBEAGEAaQByAHkAXwBMAGkAdgBlAHcAZQBpAGcAaAB0AEMAbwB3AHMAQQBuAGQASABlAGkAZgBlAHIAcwBfAFYAYQByAGkAYQBiAGwAZQAiACwAIgBTAG8AdQByAGMAZQBEAGEAdABhAF8ARABhAGkAcgB5AC4AUwBvAHUAcgBjAGUARABhAHQAYQBfAEQAYQBpAHIAeQBfAEwAaQB2AGUAdwBlAGkAZwBoAHQAQwBvAHcAcwBBAG4AZABIAGUAaQBmAGUAcgBzAF8AVQBuAGkAdAAiACwAIgBTAG8AdQByAGMAZQBEAGEAdABhAF8ARABhAGkAcgB5AC4AUwBvAHUAcgBjAGUARABhAHQAYQBfAEQAYQBpAHIAeQBfAEwAaQB2AGUAdwBlAGkAZwBoAHQAQwBvAHcAcwBBAG4AZABIAGUAaQBmAGUAcgBzAF8AUwBvAHUAcgBjAGUAIgAsACIAUwBvAHUAcgBjAGUARABhAHQAYQBfAEQAYQBpAHIAeQAuAFMAbwB1AHIAYwBlAEQAYQB0AGEAXwBEAGEAaQByAHkAXwBMAGkAdgBlAHcAZQBpAGcAaAB0AEMAbwB3AHMAQQBuAGQASABlAGkAZgBlAHIAcwBfAFYAYQByAGkAYQB0AGkAbwBuACIALAAiAFMAbwB1AHIAYwBlAEQAYQB0AGEAXwBEAGEAaQByAHkALgBTAG8AdQByAGMAZQBEAGEAdABhAF8ARABhAGkAcgB5AF8ATABpAHYAZQB3AGUAaQBnAGgAdABDAG8AdwBzAEEAbgBkAEgAZQBpAGYAZQByAHMAXwBEAGEAdABhACIALAAiAFMAbwB1AHIAYwBlAEQAYQB0AGEAXwBEAGEAaQByAHkALgBTAG8AdQByAGMAZQBEAGEAdABhAF8ARABhAGkAcgB5AF8ATABpAHYAZQB3AGUAaQBnAGgAdABCAHUAbABsAHMAXwBUAGkAdABsAGUAIgAsACIAUwBvAHUAcgBjAGUARABhAHQAYQBfAEQAYQBpAHIAeQAuAFMAbwB1AHIAYwBlAEQAYQB0AGEAXwBEAGEAaQByAHkAXwBMAGkAdgBlAHcAZQBpAGcAaAB0AEIAdQBsAGwAcwBfAFYAYQByAGkAYQBiAGwAZQAiACwAIgBTAG8AdQByAGMAZQBEAGEAdABhAF8ARABhAGkAcgB5AC4AUwBvAHUAcgBjAGUARABhAHQAYQBfAEQAYQBpAHIAeQBfAEwAaQB2AGUAdwBlAGkAZwBoAHQAQgB1AGwAbABzAF8AVQBuAGkAdAAiACwAIgBTAG8AdQByAGMAZQBEAGEAdABhAF8ARABhAGkAcgB5AC4AUwBvAHUAcgBjAGUARABhAHQAYQBfAEQAYQBpAHIAeQBfAEwAaQB2AGUAdwBlAGkAZwBoAHQAQgB1AGwAbABzAF8AUwBvAHUAcgBjAGUAIgAsACIAUwBvAHUAcgBjAGUARABhAHQAYQBfAEQAYQBpAHIAeQAuAFMAbwB1AHIAYwBlAEQAYQB0AGEAXwBEAGEAaQByAHkAXwBMAGkAdgBlAHcAZQBpAGcAaAB0AEIAdQBsAGwAcwBfAFYAYQByAGkAYQB0AGkAbwBuACIALAAiAFMAbwB1AHIAYwBlAEQAYQB0AGEAXwBEAGEAaQByAHkALgBTAG8AdQByAGMAZQBEAGEAdABhAF8ARABhAGkAcgB5AF8ATABpAHYAZQB3AGUAaQBnAGgAdABCAHUAbABsAHMAXwBEAGEAdABhACIALAAiAFMAbwB1AHIAYwBlAEQAYQB0AGEAXwBEAGEAaQByAHkALgBTAG8AdQByAGMAZQBEAGEAdABhAF8ARABhAGkAcgB5AF8ATABpAHYAZQB3AGUAaQBnAGgAdABHAGEAaQBuAF8AVABpAHQAbABlACIALAAiAFMAbwB1AHIAYwBlAEQAYQB0AGEAXwBEAGEAaQByAHkALgBTAG8AdQByAGMAZQBEAGEAdABhAF8ARABhAGkAcgB5AF8ATABpAHYAZQB3AGUAaQBnAGgAdABHAGEAaQBuAF8AVgBhAHIAaQBhAGIAbABlACIALAAiAFMAbwB1AHIAYwBlAEQAYQB0AGEAXwBEAGEAaQByAHkALgBTAG8AdQByAGMAZQBEAGEAdABhAF8ARABhAGkAcgB5AF8ATABpAHYAZQB3AGUAaQBnAGgAdABHAGEAaQBuAF8AVQBuAGkAdAAiACwAIgBTAG8AdQByAGMAZQBEAGEAdABhAF8ARABhAGkAcgB5AC4AUwBvAHUAcgBjAGUARABhAHQAYQBfAEQAYQBpAHIAeQBfAEwAaQB2AGUAdwBlAGkAZwBoAHQARwBhAGkAbgBfAFMAbwB1AHIAYwBlACIALAAiAFMAbwB1AHIAYwBlAEQAYQB0AGEAXwBEAGEAaQByAHkALgBTAG8AdQByAGMAZQBEAGEAdABhAF8ARABhAGkAcgB5AF8ATABpAHYAZQB3AGUAaQBnAGgAdABHAGEAaQBuAF8AVgBhAHIAaQBhAHQAaQBvAG4AIgAsACIAUwBvAHUAcgBjAGUARABhAHQAYQBfAEQAYQBpAHIAeQAuAFMAbwB1AHIAYwBlAEQAYQB0AGEAXwBEAGEAaQByAHkAXwBMAGkAdgBlAHcAZQBpAGcAaAB0AEcAYQBpAG4AXwBEAGEAdABhACIALAAiAFMAbwB1AHIAYwBlAEQAYQB0AGEAXwBEAGEAaQByAHkALgBTAG8AdQByAGMAZQBEAGEAdABhAF8ARABhAGkAcgB5AF8AUgBlAGYAZQByAGUAbgBjAGUAVwBlAGkAZwBoAHQAcwBfAFQAaQB0AGwAZQAiACwAIgBTAG8AdQByAGMAZQBEAGEAdABhAF8ARABhAGkAcgB5AC4AUwBvAHUAcgBjAGUARABhAHQAYQBfAEQAYQBpAHIAeQBfAFIAZQBmAGUAcgBlAG4AYwBlAFcAZQBpAGcAaAB0AHMAXwBWAGEAcgBpAGEAYgBsAGUAIgAsACIAUwBvAHUAcgBjAGUARABhAHQAYQBfAEQAYQBpAHIAeQAuAFMAbwB1AHIAYwBlAEQAYQB0AGEAXwBEAGEAaQByAHkAXwBSAGUAZgBlAHIAZQBuAGMAZQBXAGUAaQBnAGgAdABzAF8AVQBuAGkAdAAiACwAIgBTAG8AdQByAGMAZQBEAGEAdABhAF8ARABhAGkAcgB5AC4AUwBvAHUAcgBjAGUARABhAHQAYQBfAEQAYQBpAHIAeQBfAFIAZQBmAGUAcgBlAG4AYwBlAFcAZQBpAGcAaAB0AHMAXwBTAG8AdQByAGMAZQAiACwAIgBTAG8AdQByAGMAZQBEAGEAdABhAF8ARABhAGkAcgB5AC4AUwBvAHUAcgBjAGUARABhAHQAYQBfAEQAYQBpAHIAeQBfAFIAZQBmAGUAcgBlAG4AYwBlAFcAZQBpAGcAaAB0AHMAXwBWAGEAcgBpAGEAdABpAG8AbgAiACwAIgBTAG8AdQByAGMAZQBEAGEAdABhAF8ARABhAGkAcgB5AC4AUwBvAHUAcgBjAGUARABhAHQAYQBfAEQAYQBpAHIAeQBfAFIAZQBmAGUAcgBlAG4AYwBlAFcAZQBpAGcAaAB0AHMAXwBEAGEAdABhACIALAAiAFMAbwB1AHIAYwBlAEQAYQB0AGEAXwBEAGEAaQByAHkALgBTAG8AdQByAGMAZQBEAGEAdABhAF8ARABhAGkAcgB5AF8AUAByAGUAVwBlAGEAbgBlAGQAQwBhAGwAdgBlAHMAXwBUAGkAdABsAGUAIgAsACIAUwBvAHUAcgBjAGUARABhAHQAYQBfAEQAYQBpAHIAeQAuAFMAbwB1AHIAYwBlAEQAYQB0AGEAXwBEAGEAaQByAHkAXwBQAHIAZQBXAGUAYQBuAGUAZABDAGEAbAB2AGUAcwBfAFYAYQByAGkAYQBiAGwAZQAiACwAIgBTAG8AdQByAGMAZQBEAGEAdABhAF8ARABhAGkAcgB5AC4AUwBvAHUAcgBjAGUARABhAHQAYQBfAEQAYQBpAHIAeQBfAFAAcgBlAFcAZQBhAG4AZQBkAEMAYQBsAHYAZQBzAF8AVQBuAGkAdAAiACwAIgBTAG8AdQByAGMAZQBEAGEAdABhAF8ARABhAGkAcgB5AC4AUwBvAHUAcgBjAGUARABhAHQAYQBfAEQAYQBpAHIAeQBfAFAAcgBlAFcAZQBhAG4AZQBkAEMAYQBsAHYAZQBzAF8AUwBvAHUAcgBjAGUAIgAsACIAUwBvAHUAcgBjAGUARABhAHQAYQBfAEQAYQBpAHIAeQAuAFMAbwB1AHIAYwBlAEQAYQB0AGEAXwBEAGEAaQByAHkAXwBQAHIAZQBXAGUAYQBuAGUAZABDAGEAbAB2AGUAcwBfAFYAYQByAGkAYQB0AGkAbwBuACIALAAiAFMAbwB1AHIAYwBlAEQAYQB0AGEAXwBEAGEAaQByAHkALgBTAG8AdQByAGMAZQBEAGEAdABhAF8ARABhAGkAcgB5AF8AUAByAGUAVwBlAGEAbgBlAGQAQwBhAGwAdgBlAHMAXwBEAGEAdABhACIALAAiAFMAbwB1AHIAYwBlAEQAYQB0AGEAXwBEAGEAaQByAHkALgBTAG8AdQByAGMAZQBEAGEAdABhAF8ARABhAGkAcgB5AF8ATQBDAEYAXwBUAGkAdABsAGUAIgAsACIAUwBvAHUAcgBjAGUARABhAHQAYQBfAEQAYQBpAHIAeQAuAFMAbwB1AHIAYwBlAEQAYQB0AGEAXwBEAGEAaQByAHkAXwBNAEMARgBfAFYAYQByAGkAYQBiAGwAZQAiACwAIgBTAG8AdQByAGMAZQBEAGEAdABhAF8ARABhAGkAcgB5AC4AUwBvAHUAcgBjAGUARABhAHQAYQBfAEQAYQBpAHIAeQBfAE0AQwBGAF8AVQBuAGkAdAAiACwAIgBTAG8AdQByAGMAZQBEAGEAdABhAF8ARABhAGkAcgB5AC4AUwBvAHUAcgBjAGUARABhAHQAYQBfAEQAYQBpAHIAeQBfAE0AQwBGAF8AUwBvAHUAcgBjAGUAIgAsACIAUwBvAHUAcgBjAGUARABhAHQAYQBfAEQAYQBpAHIAeQAuAFMAbwB1AHIAYwBlAEQAYQB0AGEAXwBEAGEAaQByAHkAXwBNAEMARgBfAFYAYQByAGkAYQB0AGkAbwBuACIALAAiAFMAbwB1AHIAYwBlAEQAYQB0AGEAXwBEAGEAaQByAHkALgBTAG8AdQByAGMAZQBEAGEAdABhAF8ARABhAGkAcgB5AF8ATQBDAEYAXwBEAGEAdABhACIALAAiAFMAbwB1AHIAYwBlAEQAYQB0AGEAXwBEAGEAaQByAHkALgBTAG8AdQByAGMAZQBEAGEAdABhAF8ARABhAGkAcgB5AF8ATgBpAHQAcgBvAHUAcwBPAHgAaQBkAGUARQBGAHMAQQBuAGQARgByAGEAYwBHAEEAUwBNAF8AVABpAHQAbABlACIALAAiAFMAbwB1AHIAYwBlAEQAYQB0AGEAXwBEAGEAaQByAHkALgBTAG8AdQByAGMAZQBEAGEAdABhAF8ARABhAGkAcgB5AF8ATgBpAHQAcgBvAHUAcwBPAHgAaQBkAGUARQBGAHMAQQBuAGQARgByAGEAYwBHAEEAUwBNAF8AVgBhAHIAaQBhAGIAbABlACIALAAiAFMAbwB1AHIAYwBlAEQAYQB0AGEAXwBEAGEAaQByAHkALgBTAG8AdQByAGMAZQBEAGEAdABhAF8ARABhAGkAcgB5AF8ATgBpAHQAcgBvAHUAcwBPAHgAaQBkAGUARQBGAHMAQQBuAGQARgByAGEAYwBHAEEAUwBNAF8AVQBuAGkAdAAiACwAIgBTAG8AdQByAGMAZQBEAGEAdABhAF8ARABhAGkAcgB5AC4AUwBvAHUAcgBjAGUARABhAHQAYQBfAEQAYQBpAHIAeQBfAE4AaQB0AHIAbwB1AHMATwB4AGkAZABlAEUARgBzAEEAbgBkAEYAcgBhAGMARwBBAFMATQBfAFMAbwB1AHIAYwBlACIALAAiAFMAbwB1AHIAYwBlAEQAYQB0AGEAXwBEAGEAaQByAHkALgBTAG8AdQByAGMAZQBEAGEAdABhAF8ARABhAGkAcgB5AF8ATgBpAHQAcgBvAHUAcwBPAHgAaQBkAGUARQBGAHMAQQBuAGQARgByAGEAYwBHAEEAUwBNAF8AVgBhAHIAaQBhAHQAaQBvAG4AIgAsACIAUwBvAHUAcgBjAGUARABhAHQAYQBfAEQAYQBpAHIAeQAuAFMAbwB1AHIAYwBlAEQAYQB0AGEAXwBEAGEAaQByAHkAXwBOAGkAdAByAG8AdQBzAE8AeABpAGQAZQBFAEYAcwBBAG4AZABGAHIAYQBjAEcAQQBTAE0AXwBEAGEAdABhACIALAAiAFMAbwB1AHIAYwBlAEQAYQB0AGEAXwBEAGEAaQByAHkALgBTAG8AdQByAGMAZQBEAGEAdABhAF8ARABhAGkAcgB5AF8ATQBlAHQAaABhAG4AZQBQAHIAbwBkAHUAYwB0AGkAbwBuAFAAcgBlAFcAZQBhAG4AZQBkAEMAYQBsAHYAZQBzAF8AVABpAHQAbABlACIALAAiAFMAbwB1AHIAYwBlAEQAYQB0AGEAXwBEAGEAaQByAHkALgBTAG8AdQByAGMAZQBEAGEAdABhAF8ARABhAGkAcgB5AF8ATQBlAHQAaABhAG4AZQBQAHIAbwBkAHUAYwB0AGkAbwBuAFAAcgBlAFcAZQBhAG4AZQBkAEMAYQBsAHYAZQBzAF8AVgBhAHIAaQBhAGIAbABlACIALAAiAFMAbwB1AHIAYwBlAEQAYQB0AGEAXwBEAGEAaQByAHkALgBTAG8AdQByAGMAZQBEAGEAdABhAF8ARABhAGkAcgB5AF8ATQBlAHQAaABhAG4AZQBQAHIAbwBkAHUAYwB0AGkAbwBuAFAAcgBlAFcAZQBhAG4AZQBkAEMAYQBsAHYAZQBzAF8AVQBuAGkAdAAiACwAIgBTAG8AdQByAGMAZQBEAGEAdABhAF8ARABhAGkAcgB5AC4AUwBvAHUAcgBjAGUARABhAHQAYQBfAEQAYQBpAHIAeQBfAE0AZQB0AGgAYQBuAGUAUAByAG8AZAB1AGMAdABpAG8AbgBQAHIAZQBXAGUAYQBuAGUAZABDAGEAbAB2AGUAcwBfAFMAbwB1AHIAYwBlACIALAAiAFMAbwB1AHIAYwBlAEQAYQB0AGEAXwBEAGEAaQByAHkALgBTAG8AdQByAGMAZQBEAGEAdABhAF8ARABhAGkAcgB5AF8ATQBlAHQAaABhAG4AZQBQAHIAbwBkAHUAYwB0AGkAbwBuAFAAcgBlAFcAZQBhAG4AZQBkAEMAYQBsAHYAZQBzAF8AVgBhAHIAaQBhAHQAaQBvAG4AIgAsACIAUwBvAHUAcgBjAGUARABhAHQAYQBfAEQAYQBpAHIAeQAuAFMAbwB1AHIAYwBlAEQAYQB0AGEAXwBEAGEAaQByAHkAXwBNAGUAdABoAGEAbgBlAFAAcgBvAGQAdQBjAHQAaQBvAG4AUAByAGUAVwBlAGEAbgBlAGQAQwBhAGwAdgBlAHMAXwBEAGEAdABhACIALAAiAFMAbwB1AHIAYwBlAEQAYQB0AGEAXwBEAGEAaQByAHkALgBTAG8AdQByAGMAZQBEAGEAdABhAF8ARABhAGkAcgB5AF8ASQBuAGMAcgBlAGEAcwBlAGQATQBlAHQAYQBiAG8AbABpAGMAUgBhAHQAZQBNAGkAbABrAF8AVABpAHQAbABlACIALAAiAFMAbwB1AHIAYwBlAEQAYQB0AGEAXwBEAGEAaQByAHkALgBTAG8AdQByAGMAZQBEAGEAdABhAF8ARABhAGkAcgB5AF8ASQBuAGMAcgBlAGEAcwBlAGQATQBlAHQAYQBiAG8AbABpAGMAUgBhAHQAZQBNAGkAbABrAF8AVgBhAHIAaQBhAGIAbABlACIALAAiAFMAbwB1AHIAYwBlAEQAYQB0AGEAXwBEAGEAaQByAHkALgBTAG8AdQByAGMAZQBEAGEAdABhAF8ARABhAGkAcgB5AF8ASQBuAGMAcgBlAGEAcwBlAGQATQBlAHQAYQBiAG8AbABpAGMAUgBhAHQAZQBNAGkAbABrAF8AVQBuAGkAdAAiACwAIgBTAG8AdQByAGMAZQBEAGEAdABhAF8ARABhAGkAcgB5AC4AUwBvAHUAcgBjAGUARABhAHQAYQBfAEQAYQBpAHIAeQBfAEkAbgBjAHIAZQBhAHMAZQBkAE0AZQB0AGEAYgBvAGwAaQBjAFIAYQB0AGUATQBpAGwAawBfAFMAbwB1AHIAYwBlACIALAAiAFMAbwB1AHIAYwBlAEQAYQB0AGEAXwBEAGEAaQByAHkALgBTAG8AdQByAGMAZQBEAGEAdABhAF8ARABhAGkAcgB5AF8ASQBuAGMAcgBlAGEAcwBlAGQATQBlAHQAYQBiAG8AbABpAGMAUgBhAHQAZQBNAGkAbABrAF8AVgBhAHIAaQBhAHQAaQBvAG4AIgAsACIAUwBvAHUAcgBjAGUARABhAHQAYQBfAEQAYQBpAHIAeQAuAFMAbwB1AHIAYwBlAEQAYQB0AGEAXwBEAGEAaQByAHkAXwBJAG4AYwByAGUAYQBzAGUAZABNAGUAdABhAGIAbwBsAGkAYwBSAGEAdABlAE0AaQBsAGsAXwBEAGEAdABhACIALAAiAFMAbwB1AHIAYwBlAEQAYQB0AGEAXwBEAGEAaQByAHkALgBTAG8AdQByAGMAZQBEAGEAdABhAF8ARABhAGkAcgB5AF8ARgByAGEAYwB0AGkAbwBuAFYAbwBsAGEAdABpAGwAZQBTAG8AbABpAGQAcwBWAG8AaQBkAGUAZABNAE0AUwBfAFQAaQB0AGwAZQAiACwAIgBTAG8AdQByAGMAZQBEAGEAdABhAF8ARABhAGkAcgB5AC4AUwBvAHUAcgBjAGUARABhAHQAYQBfAEQAYQBpAHIAeQBfAEYAcgBhAGMAdABpAG8AbgBWAG8AbABhAHQAaQBsAGUAUwBvAGwAaQBkAHMAVgBvAGkAZABlAGQATQBNAFMAXwBWAGEAcgBpAGEAYgBsAGUAIgAsACIAUwBvAHUAcgBjAGUARABhAHQAYQBfAEQAYQBpAHIAeQAuAFMAbwB1AHIAYwBlAEQAYQB0AGEAXwBEAGEAaQByAHkAXwBGAHIAYQBjAHQAaQBvAG4AVgBvAGwAYQB0AGkAbABlAFMAbwBsAGkAZABzAFYAbwBpAGQAZQBkAE0ATQBTAF8AVQBuAGkAdAAiACwAIgBTAG8AdQByAGMAZQBEAGEAdABhAF8ARABhAGkAcgB5AC4AUwBvAHUAcgBjAGUARABhAHQAYQBfAEQAYQBpAHIAeQBfAEYAcgBhAGMAdABpAG8AbgBWAG8AbABhAHQAaQBsAGUAUwBvAGwAaQBkAHMAVgBvAGkAZABlAGQATQBNAFMAXwBTAG8AdQByAGMAZQAiACwAIgBTAG8AdQByAGMAZQBEAGEAdABhAF8ARABhAGkAcgB5AC4AUwBvAHUAcgBjAGUARABhAHQAYQBfAEQAYQBpAHIAeQBfAEYAcgBhAGMAdABpAG8AbgBWAG8AbABhAHQAaQBsAGUAUwBvAGwAaQBkAHMAVgBvAGkAZABlAGQATQBNAFMAXwBWAGEAcgBpAGEAdABpAG8AbgAiACwAIgBTAG8AdQByAGMAZQBEAGEAdABhAF8ARABhAGkAcgB5AC4AUwBvAHUAcgBjAGUARABhAHQAYQBfAEQAYQBpAHIAeQBfAEYAcgBhAGMAdABpAG8AbgBWAG8AbABhAHQAaQBsAGUAUwBvAGwAaQBkAHMAVgBvAGkAZABlAGQATQBNAFMAXwBEAGEAdABhACIALAAiAFMAbwB1AHIAYwBlAEQAYQB0AGEAXwBEAGEAaQByAHkALgBTAG8AdQByAGMAZQBEAGEAdABhAF8ARABhAGkAcgB5AF8ARQBGAE4AaQB0AHIAbwB1AHMATwB4AGkAZABlAFAAZQByAE0ATQBTAF8AVABpAHQAbABlACIALAAiAFMAbwB1AHIAYwBlAEQAYQB0AGEAXwBEAGEAaQByAHkALgBTAG8AdQByAGMAZQBEAGEAdABhAF8ARABhAGkAcgB5AF8ARQBGAE4AaQB0AHIAbwB1AHMATwB4AGkAZABlAFAAZQByAE0ATQBTAF8AVgBhAHIAaQBhAGIAbABlACIALAAiAFMAbwB1AHIAYwBlAEQAYQB0AGEAXwBEAGEAaQByAHkALgBTAG8AdQByAGMAZQBEAGEAdABhAF8ARABhAGkAcgB5AF8ARQBGAE4AaQB0AHIAbwB1AHMATwB4AGkAZABlAFAAZQByAE0ATQBTAF8AVQBuAGkAdAAiACwAIgBTAG8AdQByAGMAZQBEAGEAdABhAF8ARABhAGkAcgB5AC4AUwBvAHUAcgBjAGUARABhAHQAYQBfAEQAYQBpAHIAeQBfAEUARgBOAGkAdAByAG8AdQBzAE8AeABpAGQAZQBQAGUAcgBNAE0AUwBfAFMAbwB1AHIAYwBlACIALAAiAFMAbwB1AHIAYwBlAEQAYQB0AGEAXwBEAGEAaQByAHkALgBTAG8AdQByAGMAZQBEAGEAdABhAF8ARABhAGkAcgB5AF8ARQBGAE4AaQB0AHIAbwB1AHMATwB4AGkAZABlAFAAZQByAE0ATQBTAF8AVgBhAHIAaQBhAHQAaQBvAG4AIgAsACIAUwBvAHUAcgBjAGUARABhAHQAYQBfAEQAYQBpAHIAeQAuAFMAbwB1AHIAYwBlAEQAYQB0AGEAXwBEAGEAaQByAHkAXwBFAEYATgBpAHQAcgBvAHUAcwBPAHgAaQBkAGUAUABlAHIATQBNAFMAXwBEAGEAdABhACIALAAiAFMAbwB1AHIAYwBlAEQAYQB0AGEAXwBEAGEAaQByAHkALgBTAG8AdQByAGMAZQBEAGEAdABhAF8ARABhAGkAcgB5AF8ARAB1AHIAYQB0AGkAbwBuAE8AZgBTAHQAYQB5AF8AVABpAHQAbABlACIALAAiAFMAbwB1AHIAYwBlAEQAYQB0AGEAXwBEAGEAaQByAHkALgBTAG8AdQByAGMAZQBEAGEAdABhAF8ARABhAGkAcgB5AF8ARAB1AHIAYQB0AGkAbwBuAE8AZgBTAHQAYQB5AF8AVgBhAHIAaQBhAGIAbABlACIALAAiAFMAbwB1AHIAYwBlAEQAYQB0AGEAXwBEAGEAaQByAHkALgBTAG8AdQByAGMAZQBEAGEAdABhAF8ARABhAGkAcgB5AF8ARAB1AHIAYQB0AGkAbwBuAE8AZgBTAHQAYQB5AF8AVQBuAGkAdAAiACwAIgBTAG8AdQByAGMAZQBEAGEAdABhAF8ARABhAGkAcgB5AC4AUwBvAHUAcgBjAGUARABhAHQAYQBfAEQAYQBpAHIAeQBfAEQAdQByAGEAdABpAG8AbgBPAGYAUwB0AGEAeQBfAFMAbwB1AHIAYwBlACIALAAiAFMAbwB1AHIAYwBlAEQAYQB0AGEAXwBEAGEAaQByAHkALgBTAG8AdQByAGMAZQBEAGEAdABhAF8ARABhAGkAcgB5AF8ARAB1AHIAYQB0AGkAbwBuAE8AZgBTAHQAYQB5AF8AVgBhAHIAaQBhAHQAaQBvAG4AIgAsACIAUwBvAHUAcgBjAGUARABhAHQAYQBfAEQAYQBpAHIAeQAuAFMAbwB1AHIAYwBlAEQAYQB0AGEAXwBEAGEAaQByAHkAXwBEAHUAcgBhAHQAaQBvAG4ATwBmAFMAdABhAHkAXwBEAGEAdABhACIALAAiAFMAbwB1AHIAYwBlAEQAYQB0AGEAXwBEAGEAaQByAHkALgBTAG8AdQByAGMAZQBEAGEAdABhAF8ARABhAGkAcgB5AF8AQwByAHUAZABlAFAAcgBvAHQAZQBpAG4AXwBUAGkAdABsAGUAIgAsACIAUwBvAHUAcgBjAGUARABhAHQAYQBfAEQAYQBpAHIAeQAuAFMAbwB1AHIAYwBlAEQAYQB0AGEAXwBEAGEAaQByAHkAXwBDAHIAdQBkAGUAUAByAG8AdABlAGkAbgBfAFYAYQByAGkAYQBiAGwAZQAiACwAIgBTAG8AdQByAGMAZQBEAGEAdABhAF8ARABhAGkAcgB5AC4AUwBvAHUAcgBjAGUARABhAHQAYQBfAEQAYQBpAHIAeQBfAEMAcgB1AGQAZQBQAHIAbwB0AGUAaQBuAF8AVQBuAGkAdAAiACwAIgBTAG8AdQByAGMAZQBEAGEAdABhAF8ARABhAGkAcgB5AC4AUwBvAHUAcgBjAGUARABhAHQAYQBfAEQAYQBpAHIAeQBfAEMAcgB1AGQAZQBQAHIAbwB0AGUAaQBuAF8AUwBvAHUAcgBjAGUAIgAsACIAUwBvAHUAcgBjAGUARABhAHQAYQBfAEQAYQBpAHIAeQAuAFMAbwB1AHIAYwBlAEQAYQB0AGEAXwBEAGEAaQByAHkAXwBDAHIAdQBkAGUAUAByAG8AdABlAGkAbgBfAFYAYQByAGkAYQB0AGkAbwBuACIALAAiAFMAbwB1AHIAYwBlAEQAYQB0AGEAXwBEAGEAaQByAHkALgBTAG8AdQByAGMAZQBEAGEAdABhAF8ARABhAGkAcgB5AF8AQwByAHUAZABlAFAAcgBvAHQAZQBpAG4AXwBEAGEAdABhACIALAAiAFMAbwB1AHIAYwBlAEQAYQB0AGEAXwBEAGEAaQByAHkALgBTAG8AdQByAGMAZQBEAGEAdABhAF8ARABhAGkAcgB5AF8ARAByAHkATQBhAHQAdABlAHIARABpAGcAZQBzAHQAaQBiAGkAbABpAHQAeQBfAFQAaQB0AGwAZQAiACwAIgBTAG8AdQByAGMAZQBEAGEAdABhAF8ARABhAGkAcgB5AC4AUwBvAHUAcgBjAGUARABhAHQAYQBfAEQAYQBpAHIAeQBfAEQAcgB5AE0AYQB0AHQAZQByAEQAaQBnAGUAcwB0AGkAYgBpAGwAaQB0AHkAXwBWAGEAcgBpAGEAYgBsAGUAIgAsACIAUwBvAHUAcgBjAGUARABhAHQAYQBfAEQAYQBpAHIAeQAuAFMAbwB1AHIAYwBlAEQAYQB0AGEAXwBEAGEAaQByAHkAXwBEAHIAeQBNAGEAdAB0AGUAcgBEAGkAZwBlAHMAdABpAGIAaQBsAGkAdAB5AF8AVQBuAGkAdAAiACwAIgBTAG8AdQByAGMAZQBEAGEAdABhAF8ARABhAGkAcgB5AC4AUwBvAHUAcgBjAGUARABhAHQAYQBfAEQAYQBpAHIAeQBfAEQAcgB5AE0AYQB0AHQAZQByAEQAaQBnAGUAcwB0AGkAYgBpAGwAaQB0AHkAXwBTAG8AdQByAGMAZQAiACwAIgBTAG8AdQByAGMAZQBEAGEAdABhAF8ARABhAGkAcgB5AC4AUwBvAHUAcgBjAGUARABhAHQAYQBfAEQAYQBpAHIAeQBfAEQAcgB5AE0AYQB0AHQAZQByAEQAaQBnAGUAcwB0AGkAYgBpAGwAaQB0AHkAXwBWAGEAcgBpAGEAdABpAG8AbgAiACwAIgBTAG8AdQByAGMAZQBEAGEAdABhAF8ARABhAGkAcgB5AC4AUwBvAHUAcgBjAGUARABhAHQAYQBfAEQAYQBpAHIAeQBfAEQAcgB5AE0AYQB0AHQAZQByAEQAaQBnAGUAcwB0AGkAYgBpAGwAaQB0AHkAXwBEAGEAdABhACIALAAiAFMAbwB1AHIAYwBlAEQAYQB0AGEAXwBEAGEAaQByAHkALgBTAG8AdQByAGMAZQBEAGEAdABhAF8ARABhAGkAcgB5AF8ATgBlAHQARQBuAGUAcgBnAHkAXwBUAGkAdABsAGUAIgAsACIAUwBvAHUAcgBjAGUARABhAHQAYQBfAEQAYQBpAHIAeQAuAFMAbwB1AHIAYwBlAEQAYQB0AGEAXwBEAGEAaQByAHkAXwBOAGUAdABFAG4AZQByAGcAeQBfAFYAYQByAGkAYQBiAGwAZQAiACwAIgBTAG8AdQByAGMAZQBEAGEAdABhAF8ARABhAGkAcgB5AC4AUwBvAHUAcgBjAGUARABhAHQAYQBfAEQAYQBpAHIAeQBfAE4AZQB0AEUAbgBlAHIAZwB5AF8AVQBuAGkAdAAiACwAIgBTAG8AdQByAGMAZQBEAGEAdABhAF8ARABhAGkAcgB5AC4AUwBvAHUAcgBjAGUARABhAHQAYQBfAEQAYQBpAHIAeQBfAE4AZQB0AEUAbgBlAHIAZwB5AF8AUwBvAHUAcgBjAGUAIgAsACIAUwBvAHUAcgBjAGUARABhAHQAYQBfAEQAYQBpAHIAeQAuAFMAbwB1AHIAYwBlAEQAYQB0AGEAXwBEAGEAaQByAHkAXwBOAGUAdABFAG4AZQByAGcAeQBfAFYAYQByAGkAYQB0AGkAbwBuACIALAAiAFMAbwB1AHIAYwBlAEQAYQB0AGEAXwBEAGEAaQByAHkALgBTAG8AdQByAGMAZQBEAGEAdABhAF8ARABhAGkAcgB5AF8ATgBlAHQARQBuAGUAcgBnAHkAXwBEAGEAdABhACIALAAiAFMAbwB1AHIAYwBlAEQAYQB0AGEAXwBEAGEAaQByAHkALgBTAG8AdQByAGMAZQBEAGEAdABhAF8ARABhAGkAcgB5AF8ARwByAG8AcwBzAEUAbgBlAHIAZwB5AEMAbwBuAHQAZQBuAHQAXwBUAGkAdABsAGUAIgAsACIAUwBvAHUAcgBjAGUARABhAHQAYQBfAEQAYQBpAHIAeQAuAFMAbwB1AHIAYwBlAEQAYQB0AGEAXwBEAGEAaQByAHkAXwBHAHIAbwBzAHMARQBuAGUAcgBnAHkAQwBvAG4AdABlAG4AdABfAFYAYQByAGkAYQBiAGwAZQAiACwAIgBTAG8AdQByAGMAZQBEAGEAdABhAF8ARABhAGkAcgB5AC4AUwBvAHUAcgBjAGUARABhAHQAYQBfAEQAYQBpAHIAeQBfAEcAcgBvAHMAcwBFAG4AZQByAGcAeQBDAG8AbgB0AGUAbgB0AF8AVQBuAGkAdAAiACwAIgBTAG8AdQByAGMAZQBEAGEAdABhAF8ARABhAGkAcgB5AC4AUwBvAHUAcgBjAGUARABhAHQAYQBfAEQAYQBpAHIAeQBfAEcAcgBvAHMAcwBFAG4AZQByAGcAeQBDAG8AbgB0AGUAbgB0AF8AUwBvAHUAcgBjAGUAIgAsACIAUwBvAHUAcgBjAGUARABhAHQAYQBfAEQAYQBpAHIAeQAuAFMAbwB1AHIAYwBlAEQAYQB0AGEAXwBEAGEAaQByAHkAXwBHAHIAbwBzAHMARQBuAGUAcgBnAHkAQwBvAG4AdABlAG4AdABfAFYAYQByAGkAYQB0AGkAbwBuACIALAAiAFMAbwB1AHIAYwBlAEQAYQB0AGEAXwBEAGEAaQByAHkALgBTAG8AdQByAGMAZQBEAGEAdABhAF8ARABhAGkAcgB5AF8ARwByAG8AcwBzAEUAbgBlAHIAZwB5AEMAbwBuAHQAZQBuAHQAXwBEAGEAdABhACIALAAiAFMAbwB1AHIAYwBlAEQAYQB0AGEAXwBEAGEAaQByAHkALgBTAG8AdQByAGMAZQBEAGEAdABhAF8ARABhAGkAcgB5AF8ARQBmAGYAaQBjAGkAZQBuAGMAeQBPAGYAVQBzAGUATwBmAE0AZQB0AGEAYgBvAGwAaQB6AGEAYgBsAGUARQBuAGUAcgBnAHkAXwBUAGkAdABsAGUAIgAsACIAUwBvAHUAcgBjAGUARABhAHQAYQBfAEQAYQBpAHIAeQAuAFMAbwB1AHIAYwBlAEQAYQB0AGEAXwBEAGEAaQByAHkAXwBFAGYAZgBpAGMAaQBlAG4AYwB5AE8AZgBVAHMAZQBPAGYATQBlAHQAYQBiAG8AbABpAHoAYQBiAGwAZQBFAG4AZQByAGcAeQBfAFYAYQByAGkAYQBiAGwAZQAiACwAIgBTAG8AdQByAGMAZQBEAGEAdABhAF8ARABhAGkAcgB5AC4AUwBvAHUAcgBjAGUARABhAHQAYQBfAEQAYQBpAHIAeQBfAEUAZgBmAGkAYwBpAGUAbgBjAHkATwBmAFUAcwBlAE8AZgBNAGUAdABhAGIAbwBsAGkAegBhAGIAbABlAEUAbgBlAHIAZwB5AF8AVQBuAGkAdAAiACwAIgBTAG8AdQByAGMAZQBEAGEAdABhAF8ARABhAGkAcgB5AC4AUwBvAHUAcgBjAGUARABhAHQAYQBfAEQAYQBpAHIAeQBfAEUAZgBmAGkAYwBpAGUAbgBjAHkATwBmAFUAcwBlAE8AZgBNAGUAdABhAGIAbwBsAGkAegBhAGIAbABlAEUAbgBlAHIAZwB5AF8AUwBvAHUAcgBjAGUAIgAsACIAUwBvAHUAcgBjAGUARABhAHQAYQBfAEQAYQBpAHIAeQAuAFMAbwB1AHIAYwBlAEQAYQB0AGEAXwBEAGEAaQByAHkAXwBFAGYAZgBpAGMAaQBlAG4AYwB5AE8AZgBVAHMAZQBPAGYATQBlAHQAYQBiAG8AbABpAHoAYQBiAGwAZQBFAG4AZQByAGcAeQBfAFYAYQByAGkAYQB0AGkAbwBuACIALAAiAFMAbwB1AHIAYwBlAEQAYQB0AGEAXwBEAGEAaQByAHkALgBTAG8AdQByAGMAZQBEAGEAdABhAF8ARABhAGkAcgB5AF8ARQBmAGYAaQBjAGkAZQBuAGMAeQBPAGYAVQBzAGUATwBmAE0AZQB0AGEAYgBvAGwAaQB6AGEAYgBsAGUARQBuAGUAcgBnAHkAXwBEAGEAdABhACIALAAiAFMAbwB1AHIAYwBlAEQAYQB0AGEAXwBEAGEAaQByAHkALgBTAG8AdQByAGMAZQBEAGEAdABhAF8ARABhAGkAcgB5AF8AQQBzAGgAQwBvAG4AdABlAG4AdABfAFQAaQB0AGwAZQAiACwAIgBTAG8AdQByAGMAZQBEAGEAdABhAF8ARABhAGkAcgB5AC4AUwBvAHUAcgBjAGUARABhAHQAYQBfAEQAYQBpAHIAeQBfAEEAcwBoAEMAbwBuAHQAZQBuAHQAXwBWAGEAcgBpAGEAYgBsAGUAIgAsACIAUwBvAHUAcgBjAGUARABhAHQAYQBfAEQAYQBpAHIAeQAuAFMAbwB1AHIAYwBlAEQAYQB0AGEAXwBEAGEAaQByAHkAXwBBAHMAaABDAG8AbgB0AGUAbgB0AF8AVQBuAGkAdAAiACwAIgBTAG8AdQByAGMAZQBEAGEAdABhAF8ARABhAGkAcgB5AC4AUwBvAHUAcgBjAGUARABhAHQAYQBfAEQAYQBpAHIAeQBfAEEAcwBoAEMAbwBuAHQAZQBuAHQAXwBTAG8AdQByAGMAZQAiACwAIgBTAG8AdQByAGMAZQBEAGEAdABhAF8ARABhAGkAcgB5AC4AUwBvAHUAcgBjAGUARABhAHQAYQBfAEQAYQBpAHIAeQBfAEEAcwBoAEMAbwBuAHQAZQBuAHQAXwBWAGEAcgBpAGEAdABpAG8AbgAiACwAIgBTAG8AdQByAGMAZQBEAGEAdABhAF8ARABhAGkAcgB5AC4AUwBvAHUAcgBjAGUARABhAHQAYQBfAEQAYQBpAHIAeQBfAEEAcwBoAEMAbwBuAHQAZQBuAHQAXwBEAGEAdABhACIALAAiAFMAbwB1AHIAYwBlAEQAYQB0AGEAXwBEAGEAaQByAHkALgBTAG8AdQByAGMAZQBEAGEAdABhAF8ARABhAGkAcgB5AF8ATQBlAHQAaABhAG4AZQBFAG0AaQBzAHMAaQBvAG4AcwBQAG8AdABlAG4AdABpAGEAbABfAFQAaQB0AGwAZQAiACwAIgBTAG8AdQByAGMAZQBEAGEAdABhAF8ARABhAGkAcgB5AC4AUwBvAHUAcgBjAGUARABhAHQAYQBfAEQAYQBpAHIAeQBfAE0AZQB0AGgAYQBuAGUARQBtAGkAcwBzAGkAbwBuAHMAUABvAHQAZQBuAHQAaQBhAGwAXwBWAGEAcgBpAGEAYgBsAGUAIgAsACIAUwBvAHUAcgBjAGUARABhAHQAYQBfAEQAYQBpAHIAeQAuAFMAbwB1AHIAYwBlAEQAYQB0AGEAXwBEAGEAaQByAHkAXwBNAGUAdABoAGEAbgBlAEUAbQBpAHMAcwBpAG8AbgBzAFAAbwB0AGUAbgB0AGkAYQBsAF8AVQBuAGkAdAAiACwAIgBTAG8AdQByAGMAZQBEAGEAdABhAF8ARABhAGkAcgB5AC4AUwBvAHUAcgBjAGUARABhAHQAYQBfAEQAYQBpAHIAeQBfAE0AZQB0AGgAYQBuAGUARQBtAGkAcwBzAGkAbwBuAHMAUABvAHQAZQBuAHQAaQBhAGwAXwBTAG8AdQByAGMAZQAiACwAIgBTAG8AdQByAGMAZQBEAGEAdABhAF8ARABhAGkAcgB5AC4AUwBvAHUAcgBjAGUARABhAHQAYQBfAEQAYQBpAHIAeQBfAE0AZQB0AGgAYQBuAGUARQBtAGkAcwBzAGkAbwBuAHMAUABvAHQAZQBuAHQAaQBhAGwAXwBWAGEAcgBpAGEAdABpAG8AbgAiACwAIgBTAG8AdQByAGMAZQBEAGEAdABhAF8ARABhAGkAcgB5AC4AUwBvAHUAcgBjAGUARABhAHQAYQBfAEQAYQBpAHIAeQBfAE0AZQB0AGgAYQBuAGUARQBtAGkAcwBzAGkAbwBuAHMAUABvAHQAZQBuAHQAaQBhAGwAXwBEAGEAdABhACIALAAiAFMAbwB1AHIAYwBlAEQAYQB0AGEAXwBEAGEAaQByAHkALgBTAG8AdQByAGMAZQBEAGEAdABhAF8ARABhAGkAcgB5AF8ARQBtAGkAcwBzAGkAbwBuAEYAYQBjAHQAbwByAEYAbwByAEwAZQBhAGMAaABpAG4AZwBBAG4AZABSAHUAbgBvAGYAZgBfAFQAaQB0AGwAZQAiACwAIgBTAG8AdQByAGMAZQBEAGEAdABhAF8ARABhAGkAcgB5AC4AUwBvAHUAcgBjAGUARABhAHQAYQBfAEQAYQBpAHIAeQBfAEUAbQBpAHMAcwBpAG8AbgBGAGEAYwB0AG8AcgBGAG8AcgBMAGUAYQBjAGgAaQBuAGcAQQBuAGQAUgB1AG4AbwBmAGYAXwBWAGEAcgBpAGEAYgBsAGUAIgAsACIAUwBvAHUAcgBjAGUARABhAHQAYQBfAEQAYQBpAHIAeQAuAFMAbwB1AHIAYwBlAEQAYQB0AGEAXwBEAGEAaQByAHkAXwBFAG0AaQBzAHMAaQBvAG4ARgBhAGMAdABvAHIARgBvAHIATABlAGEAYwBoAGkAbgBnAEEAbgBkAFIAdQBuAG8AZgBmAF8AVQBuAGkAdAAiACwAIgBTAG8AdQByAGMAZQBEAGEAdABhAF8ARABhAGkAcgB5AC4AUwBvAHUAcgBjAGUARABhAHQAYQBfAEQAYQBpAHIAeQBfAEUAbQBpAHMAcwBpAG8AbgBGAGEAYwB0AG8AcgBGAG8AcgBMAGUAYQBjAGgAaQBuAGcAQQBuAGQAUgB1AG4AbwBmAGYAXwBTAG8AdQByAGMAZQAiACwAIgBTAG8AdQByAGMAZQBEAGEAdABhAF8ARABhAGkAcgB5AC4AUwBvAHUAcgBjAGUARABhAHQAYQBfAEQAYQBpAHIAeQBfAEUAbQBpAHMAcwBpAG8AbgBGAGEAYwB0AG8AcgBGAG8AcgBMAGUAYQBjAGgAaQBuAGcAQQBuAGQAUgB1AG4AbwBmAGYAXwBWAGEAcgBpAGEAdABpAG8AbgAiACwAIgBTAG8AdQByAGMAZQBEAGEAdABhAF8ARABhAGkAcgB5AC4AUwBvAHUAcgBjAGUARABhAHQAYQBfAEQAYQBpAHIAeQBfAEUAbQBpAHMAcwBpAG8AbgBGAGEAYwB0AG8AcgBGAG8AcgBMAGUAYQBjAGgAaQBuAGcAQQBuAGQAUgB1AG4AbwBmAGYAXwBEAGEAdABhACIALAAiAFMAbwB1AHIAYwBlAEQAYQB0AGEAXwBEAGEAaQByAHkALgBTAG8AdQByAGMAZQBEAGEAdABhAF8ARABhAGkAcgB5AF8ARgByAGEAYwB0AGkAbwBuAE8AZgBOAGkAdAByAG8AZwBlAG4ATABvAHMAdABUAGgAcgBvAHUAZwBoAEwAZQBhAGMAaABpAG4AZwBBAG4AZABSAHUAbgBvAGYAZgBTAG8AbABpAGQAUwB0AG8AcgBhAGcAZQBfAFQAaQB0AGwAZQAiACwAIgBTAG8AdQByAGMAZQBEAGEAdABhAF8ARABhAGkAcgB5AC4AUwBvAHUAcgBjAGUARABhAHQAYQBfAEQAYQBpAHIAeQBfAEYAcgBhAGMAdABpAG8AbgBPAGYATgBpAHQAcgBvAGcAZQBuAEwAbwBzAHQAVABoAHIAbwB1AGcAaABMAGUAYQBjAGgAaQBuAGcAQQBuAGQAUgB1AG4AbwBmAGYAUwBvAGwAaQBkAFMAdABvAHIAYQBnAGUAXwBWAGEAcgBpAGEAYgBsAGUAIgAsACIAUwBvAHUAcgBjAGUARABhAHQAYQBfAEQAYQBpAHIAeQAuAFMAbwB1AHIAYwBlAEQAYQB0AGEAXwBEAGEAaQByAHkAXwBGAHIAYQBjAHQAaQBvAG4ATwBmAE4AaQB0AHIAbwBnAGUAbgBMAG8AcwB0AFQAaAByAG8AdQBnAGgATABlAGEAYwBoAGkAbgBnAEEAbgBkAFIAdQBuAG8AZgBmAFMAbwBsAGkAZABTAHQAbwByAGEAZwBlAF8AVQBuAGkAdAAiACwAIgBTAG8AdQByAGMAZQBEAGEAdABhAF8ARABhAGkAcgB5AC4AUwBvAHUAcgBjAGUARABhAHQAYQBfAEQAYQBpAHIAeQBfAEYAcgBhAGMAdABpAG8AbgBPAGYATgBpAHQAcgBvAGcAZQBuAEwAbwBzAHQAVABoAHIAbwB1AGcAaABMAGUAYQBjAGgAaQBuAGcAQQBuAGQAUgB1AG4AbwBmAGYAUwBvAGwAaQBkAFMAdABvAHIAYQBnAGUAXwBTAG8AdQByAGMAZQAiACwAIgBTAG8AdQByAGMAZQBEAGEAdABhAF8ARABhAGkAcgB5AC4AUwBvAHUAcgBjAGUARABhAHQAYQBfAEQAYQBpAHIAeQBfAEYAcgBhAGMAdABpAG8AbgBPAGYATgBpAHQAcgBvAGcAZQBuAEwAbwBzAHQAVABoAHIAbwB1AGcAaABMAGUAYQBjAGgAaQBuAGcAQQBuAGQAUgB1AG4AbwBmAGYAUwBvAGwAaQBkAFMAdABvAHIAYQBnAGUAXwBWAGEAcgBpAGEAdABpAG8AbgAiACwAIgBTAG8AdQByAGMAZQBEAGEAdABhAF8ARABhAGkAcgB5AC4AUwBvAHUAcgBjAGUARABhAHQAYQBfAEQAYQBpAHIAeQBfAEYAcgBhAGMAdABpAG8AbgBPAGYATgBpAHQAcgBvAGcAZQBuAEwAbwBzAHQAVABoAHIAbwB1AGcAaABMAGUAYQBjAGgAaQBuAGcAQQBuAGQAUgB1AG4AbwBmAGYAUwBvAGwAaQBkAFMAdABvAHIAYQBnAGUAXwBEAGEAdABhACIALAAiAFMAbwB1AHIAYwBlAEQAYQB0AGEAXwBEAGEAaQByAHkALgBTAG8AdQByAGMAZQBEAGEAdABhAF8ARABhAGkAcgB5AF8ARgByAGEAYwB0AGkAbwBuAE8AZgBOAGkAdAByAG8AZwBlAG4ATABvAHMAdABUAGgAcgBvAHUAZwBoAEwAZQBhAGMAaABpAG4AZwBBAG4AZABSAHUAbgBvAGYAZgBfAFQAaQB0AGwAZQAiACwAIgBTAG8AdQByAGMAZQBEAGEAdABhAF8ARABhAGkAcgB5AC4AUwBvAHUAcgBjAGUARABhAHQAYQBfAEQAYQBpAHIAeQBfAEYAcgBhAGMAdABpAG8AbgBPAGYATgBpAHQAcgBvAGcAZQBuAEwAbwBzAHQAVABoAHIAbwB1AGcAaABMAGUAYQBjAGgAaQBuAGcAQQBuAGQAUgB1AG4AbwBmAGYAXwBWAGEAcgBpAGEAYgBsAGUAIgAsACIAUwBvAHUAcgBjAGUARABhAHQAYQBfAEQAYQBpAHIAeQAuAFMAbwB1AHIAYwBlAEQAYQB0AGEAXwBEAGEAaQByAHkAXwBGAHIAYQBjAHQAaQBvAG4ATwBmAE4AaQB0AHIAbwBnAGUAbgBMAG8AcwB0AFQAaAByAG8AdQBnAGgATABlAGEAYwBoAGkAbgBnAEEAbgBkAFIAdQBuAG8AZgBmAF8AVQBuAGkAdAAiACwAIgBTAG8AdQByAGMAZQBEAGEAdABhAF8ARABhAGkAcgB5AC4AUwBvAHUAcgBjAGUARABhAHQAYQBfAEQAYQBpAHIAeQBfAEYAcgBhAGMAdABpAG8AbgBPAGYATgBpAHQAcgBvAGcAZQBuAEwAbwBzAHQAVABoAHIAbwB1AGcAaABMAGUAYQBjAGgAaQBuAGcAQQBuAGQAUgB1AG4AbwBmAGYAXwBTAG8AdQByAGMAZQAiACwAIgBTAG8AdQByAGMAZQBEAGEAdABhAF8ARABhAGkAcgB5AC4AUwBvAHUAcgBjAGUARABhAHQAYQBfAEQAYQBpAHIAeQBfAEYAcgBhAGMAdABpAG8AbgBPAGYATgBpAHQAcgBvAGcAZQBuAEwAbwBzAHQAVABoAHIAbwB1AGcAaABMAGUAYQBjAGgAaQBuAGcAQQBuAGQAUgB1AG4AbwBmAGYAXwBWAGEAcgBpAGEAdABpAG8AbgAiACwAIgBTAG8AdQByAGMAZQBEAGEAdABhAF8ARABhAGkAcgB5AC4AUwBvAHUAcgBjAGUARABhAHQAYQBfAEQAYQBpAHIAeQBfAEYAcgBhAGMAdABpAG8AbgBPAGYATgBpAHQAcgBvAGcAZQBuAEwAbwBzAHQAVABoAHIAbwB1AGcAaABMAGUAYQBjAGgAaQBuAGcAQQBuAGQAUgB1AG4AbwBmAGYAXwBEAGEAdABhACIALAAiAFMAbwB1AHIAYwBlAEQAYQB0AGEAXwBEAGEAaQByAHkALgBTAG8AdQByAGMAZQBEAGEAdABhAF8ARABhAGkAcgB5AF8ARgByAGEAYwBHAEEAUwBNAFMAbwBpAGwAXwBUAGkAdABsAGUAIgAsACIAUwBvAHUAcgBjAGUARABhAHQAYQBfAEQAYQBpAHIAeQAuAFMAbwB1AHIAYwBlAEQAYQB0AGEAXwBEAGEAaQByAHkAXwBGAHIAYQBjAEcAQQBTAE0AUwBvAGkAbABfAFYAYQByAGkAYQBiAGwAZQAiACwAIgBTAG8AdQByAGMAZQBEAGEAdABhAF8ARABhAGkAcgB5AC4AUwBvAHUAcgBjAGUARABhAHQAYQBfAEQAYQBpAHIAeQBfAEYAcgBhAGMARwBBAFMATQBTAG8AaQBsAF8AVQBuAGkAdAAiACwAIgBTAG8AdQByAGMAZQBEAGEAdABhAF8ARABhAGkAcgB5AC4AUwBvAHUAcgBjAGUARABhAHQAYQBfAEQAYQBpAHIAeQBfAEYAcgBhAGMARwBBAFMATQBTAG8AaQBsAF8AUwBvAHUAcgBjAGUAIgAsACIAUwBvAHUAcgBjAGUARABhAHQAYQBfAEQAYQBpAHIAeQAuAFMAbwB1AHIAYwBlAEQAYQB0AGEAXwBEAGEAaQByAHkAXwBGAHIAYQBjAEcAQQBTAE0AUwBvAGkAbABfAFYAYQByAGkAYQB0AGkAbwBuACIALAAiAFMAbwB1AHIAYwBlAEQAYQB0AGEAXwBEAGEAaQByAHkALgBTAG8AdQByAGMAZQBEAGEAdABhAF8ARABhAGkAcgB5AF8ARgByAGEAYwBHAEEAUwBNAFMAbwBpAGwAXwBEAGEAdABhACIALAAiAFMAbwB1AHIAYwBlAEQAYQB0AGEAXwBEAGEAaQByAHkALgBTAG8AdQByAGMAZQBEAGEAdABhAF8ARABhAGkAcgB5AF8ARgBhAHQAQwBvAG4AdABlAG4AdABJAG4ATQBpAGwAawBfAFQAaQB0AGwAZQAiACwAIgBTAG8AdQByAGMAZQBEAGEAdABhAF8ARABhAGkAcgB5AC4AUwBvAHUAcgBjAGUARABhAHQAYQBfAEQAYQBpAHIAeQBfAEYAYQB0AEMAbwBuAHQAZQBuAHQASQBuAE0AaQBsAGsAXwBWAGEAcgBpAGEAYgBsAGUAIgAsACIAUwBvAHUAcgBjAGUARABhAHQAYQBfAEQAYQBpAHIAeQAuAFMAbwB1AHIAYwBlAEQAYQB0AGEAXwBEAGEAaQByAHkAXwBGAGEAdABDAG8AbgB0AGUAbgB0AEkAbgBNAGkAbABrAF8AVQBuAGkAdAAiACwAIgBTAG8AdQByAGMAZQBEAGEAdABhAF8ARABhAGkAcgB5AC4AUwBvAHUAcgBjAGUARABhAHQAYQBfAEQAYQBpAHIAeQBfAEYAYQB0AEMAbwBuAHQAZQBuAHQASQBuAE0AaQBsAGsAXwBTAG8AdQByAGMAZQAiACwAIgBTAG8AdQByAGMAZQBEAGEAdABhAF8ARABhAGkAcgB5AC4AUwBvAHUAcgBjAGUARABhAHQAYQBfAEQAYQBpAHIAeQBfAEYAYQB0AEMAbwBuAHQAZQBuAHQASQBuAE0AaQBsAGsAXwBWAGEAcgBpAGEAdABpAG8AbgAiACwAIgBTAG8AdQByAGMAZQBEAGEAdABhAF8ARABhAGkAcgB5AC4AUwBvAHUAcgBjAGUARABhAHQAYQBfAEQAYQBpAHIAeQBfAEYAYQB0AEMAbwBuAHQAZQBuAHQASQBuAE0AaQBsAGsAXwBEAGEAdABhACIALAAiAFMAbwB1AHIAYwBlAEQAYQB0AGEAXwBEAGEAaQByAHkALgBTAG8AdQByAGMAZQBEAGEAdABhAF8ARABhAGkAcgB5AF8AUAByAG8AdABlAGkAbgBDAG8AbgB0AGUAbgB0AEkAbgBNAGkAbABrAF8AVABpAHQAbABlACIALAAiAFMAbwB1AHIAYwBlAEQAYQB0AGEAXwBEAGEAaQByAHkALgBTAG8AdQByAGMAZQBEAGEAdABhAF8ARABhAGkAcgB5AF8AUAByAG8AdABlAGkAbgBDAG8AbgB0AGUAbgB0AEkAbgBNAGkAbABrAF8AVgBhAHIAaQBhAGIAbABlACIALAAiAFMAbwB1AHIAYwBlAEQAYQB0AGEAXwBEAGEAaQByAHkALgBTAG8AdQByAGMAZQBEAGEAdABhAF8ARABhAGkAcgB5AF8AUAByAG8AdABlAGkAbgBDAG8AbgB0AGUAbgB0AEkAbgBNAGkAbABrAF8AVQBuAGkAdAAiACwAIgBTAG8AdQByAGMAZQBEAGEAdABhAF8ARABhAGkAcgB5AC4AUwBvAHUAcgBjAGUARABhAHQAYQBfAEQAYQBpAHIAeQBfAFAAcgBvAHQAZQBpAG4AQwBvAG4AdABlAG4AdABJAG4ATQBpAGwAawBfAFMAbwB1AHIAYwBlACIALAAiAFMAbwB1AHIAYwBlAEQAYQB0AGEAXwBEAGEAaQByAHkALgBTAG8AdQByAGMAZQBEAGEAdABhAF8ARABhAGkAcgB5AF8AUAByAG8AdABlAGkAbgBDAG8AbgB0AGUAbgB0AEkAbgBNAGkAbABrAF8AVgBhAHIAaQBhAHQAaQBvAG4AIgAsACIAUwBvAHUAcgBjAGUARABhAHQAYQBfAEQAYQBpAHIAeQAuAFMAbwB1AHIAYwBlAEQAYQB0AGEAXwBEAGEAaQByAHkAXwBQAHIAbwB0AGUAaQBuAEMAbwBuAHQAZQBuAHQASQBuAE0AaQBsAGsAXwBEAGEAdABhACIALAAiAE0ATQBTAF8ARABhAGkAcgB5AF8AQQB0AG0AbwBzAHAAaABlAHIAaQBjAEQAZQBwAG8AcwBpAHQAaQBvAG4AXwBFAHEAdQBhAHQAaQBvAG4AcwAuAFYARQBFAFIARwBfADQAXwAzAF8AMQBfADUAXwBfADEAXwBBAG4AbgB1AGEAbABBAHQAbQBvAHMAcABoAGUAcgBpAGMARABlAHAAbwBzAGkAdABpAG8AbgBFAG0AaQBzAHMAaQBvAG4AcwBGAHIAbwBtAE0ATQBTACIALAAiAE0ATQBTAF8ARABhAGkAcgB5AF8AQQB0AG0AbwBzAHAAaABlAHIAaQBjAEQAZQBwAG8AcwBpAHQAaQBvAG4AXwBFAHEAdQBhAHQAaQBvAG4AcwAuAFYARQBFAFIARwBfADQAXwAzAF8AMQBfADUAXwBfADEAXwBBAG4AbgB1AGEAbABBAHQAbQBvAHMAcABoAGUAcgBpAGMARABlAHAAbwBzAGkAdABpAG8AbgBFAG0AaQBzAHMAaQBvAG4AcwBGAHIAbwBtAE0ATQBTAF8AVABpAHQAbABlACIALAAiAE0ATQBTAF8ARABhAGkAcgB5AF8AQQB0AG0AbwBzAHAAaABlAHIAaQBjAEQAZQBwAG8AcwBpAHQAaQBvAG4AXwBFAHEAdQBhAHQAaQBvAG4AcwAuAFYARQBFAFIARwBfADQAXwAzAF8AMQBfADUAXwBfADEAXwBBAG4AbgB1AGEAbABBAHQAbQBvAHMAcABoAGUAcgBpAGMARABlAHAAbwBzAGkAdABpAG8AbgBFAG0AaQBzAHMAaQBvAG4AcwBGAHIAbwBtAE0ATQBTAF8AVgBhAHIAaQBhAGIAbABlACIALAAiAE0ATQBTAF8ARABhAGkAcgB5AF8AQQB0AG0AbwBzAHAAaABlAHIAaQBjAEQAZQBwAG8AcwBpAHQAaQBvAG4AXwBFAHEAdQBhAHQAaQBvAG4AcwAuAFYARQBFAFIARwBfADQAXwAzAF8AMQBfADUAXwBfADEAXwBBAG4AbgB1AGEAbABBAHQAbQBvAHMAcABoAGUAcgBpAGMARABlAHAAbwBzAGkAdABpAG8AbgBFAG0AaQBzAHMAaQBvAG4AcwBGAHIAbwBtAE0ATQBTAF8AVQBuAGkAdAAiACwAIgBNAE0AUwBfAEQAYQBpAHIAeQBfAEEAdABtAG8AcwBwAGgAZQByAGkAYwBEAGUAcABvAHMAaQB0AGkAbwBuAF8ARQBxAHUAYQB0AGkAbwBuAHMALgBWAEUARQBSAEcAXwA0AF8AMwBfADEAXwA1AF8AXwAxAF8AQQBuAG4AdQBhAGwAQQB0AG0AbwBzAHAAaABlAHIAaQBjAEQAZQBwAG8AcwBpAHQAaQBvAG4ARQBtAGkAcwBzAGkAbwBuAHMARgByAG8AbQBNAE0AUwBfAFMAbwB1AHIAYwBlACIALAAiAE0ATQBTAF8ARABhAGkAcgB5AF8AQQB0AG0AbwBzAHAAaABlAHIAaQBjAEQAZQBwAG8AcwBpAHQAaQBvAG4AXwBFAHEAdQBhAHQAaQBvAG4AcwAuAFYARQBFAFIARwBfADQAXwAzAF8AMQBfADUAXwBfADEAXwBBAG4AbgB1AGEAbABBAHQAbQBvAHMAcABoAGUAcgBpAGMARABlAHAAbwBzAGkAdABpAG8AbgBFAG0AaQBzAHMAaQBvAG4AcwBGAHIAbwBtAE0ATQBTAF8ATgBJAFIAUgBlAGYAZQByAGUAbgBjAGUAIgAsACIATQBNAFMAXwBEAGEAaQByAHkAXwBBAHQAbQBvAHMAcABoAGUAcgBpAGMARABlAHAAbwBzAGkAdABpAG8AbgBfAEUAcQB1AGEAdABpAG8AbgBzAC4AVgBFAEUAUgBHAF8ANABfADMAXwAxAF8ANQBfAF8AMQBfAEEAbgBuAHUAYQBsAEEAdABtAG8AcwBwAGgAZQByAGkAYwBEAGUAcABvAHMAaQB0AGkAbwBuAEUAbQBpAHMAcwBpAG8AbgBzAEYAcgBvAG0ATQBNAFMAXwBMAGEAdABlAHgARQBxAHUAYQB0AGkAbwBuACIALAAiAE0ATQBTAF8ARABhAGkAcgB5AF8AQQB0AG0AbwBzAHAAaABlAHIAaQBjAEQAZQBwAG8AcwBpAHQAaQBvAG4AXwBFAHEAdQBhAHQAaQBvAG4AcwAuAFYARQBFAFIARwBfADQAXwAzAF8AMQBfADUAXwBfADEAXwBBAG4AbgB1AGEAbABBAHQAbQBvAHMAcABoAGUAcgBpAGMARABlAHAAbwBzAGkAdABpAG8AbgBFAG0AaQBzAHMAaQBvAG4AcwBGAHIAbwBtAE0ATQBTAF8AQQByAGcAdQBtAGUAbgB0AHMAIgAsACIATQBNAFMAXwBEAGEAaQByAHkAXwBBAHQAbQBvAHMAcABoAGUAcgBpAGMARABlAHAAbwBzAGkAdABpAG8AbgBfAEUAcQB1AGEAdABpAG8AbgBzAC4AVgBFAEUAUgBHAF8ANABfADMAXwAxAF8ANQBfAF8AMgBfAFQAbwB0AGEAbABOAGkAdAByAG8AZwBlAG4AVgBvAGwAYQB0AGkAbABpAHMAZQBkAEYAcgBvAG0ATQBNAFMAIgAsACIATQBNAFMAXwBEAGEAaQByAHkAXwBBAHQAbQBvAHMAcABoAGUAcgBpAGMARABlAHAAbwBzAGkAdABpAG8AbgBfAEUAcQB1AGEAdABpAG8AbgBzAC4AVgBFAEUAUgBHAF8ANABfADMAXwAxAF8ANQBfAF8AMgBfAFQAbwB0AGEAbABOAGkAdAByAG8AZwBlAG4AVgBvAGwAYQB0AGkAbABpAHMAZQBkAEYAcgBvAG0ATQBNAFMAXwBUAGkAdABsAGUAIgAsACIATQBNAFMAXwBEAGEAaQByAHkAXwBBAHQAbQBvAHMAcABoAGUAcgBpAGMARABlAHAAbwBzAGkAdABpAG8AbgBfAEUAcQB1AGEAdABpAG8AbgBzAC4AVgBFAEUAUgBHAF8ANABfADMAXwAxAF8ANQBfAF8AMgBfAFQAbwB0AGEAbABOAGkAdAByAG8AZwBlAG4AVgBvAGwAYQB0AGkAbABpAHMAZQBkAEYAcgBvAG0ATQBNAFMAXwBWAGEAcgBpAGEAYgBsAGUAIgAsACIATQBNAFMAXwBEAGEAaQByAHkAXwBBAHQAbQBvAHMAcABoAGUAcgBpAGMARABlAHAAbwBzAGkAdABpAG8AbgBfAEUAcQB1AGEAdABpAG8AbgBzAC4AVgBFAEUAUgBHAF8ANABfADMAXwAxAF8ANQBfAF8AMgBfAFQAbwB0AGEAbABOAGkAdAByAG8AZwBlAG4AVgBvAGwAYQB0AGkAbABpAHMAZQBkAEYAcgBvAG0ATQBNAFMAXwBVAG4AaQB0ACIALAAiAE0ATQBTAF8ARABhAGkAcgB5AF8AQQB0AG0AbwBzAHAAaABlAHIAaQBjAEQAZQBwAG8AcwBpAHQAaQBvAG4AXwBFAHEAdQBhAHQAaQBvAG4AcwAuAFYARQBFAFIARwBfADQAXwAzAF8AMQBfADUAXwBfADIAXwBUAG8AdABhAGwATgBpAHQAcgBvAGcAZQBuAFYAbwBsAGEAdABpAGwAaQBzAGUAZABGAHIAbwBtAE0ATQBTAF8AUwBvAHUAcgBjAGUAIgAsACIATQBNAFMAXwBEAGEAaQByAHkAXwBBAHQAbQBvAHMAcABoAGUAcgBpAGMARABlAHAAbwBzAGkAdABpAG8AbgBfAEUAcQB1AGEAdABpAG8AbgBzAC4AVgBFAEUAUgBHAF8ANABfADMAXwAxAF8ANQBfAF8AMgBfAFQAbwB0AGEAbABOAGkAdAByAG8AZwBlAG4AVgBvAGwAYQB0AGkAbABpAHMAZQBkAEYAcgBvAG0ATQBNAFMAXwBOAEkAUgBSAGUAZgBlAHIAZQBuAGMAZQAiACwAIgBNAE0AUwBfAEQAYQBpAHIAeQBfAEEAdABtAG8AcwBwAGgAZQByAGkAYwBEAGUAcABvAHMAaQB0AGkAbwBuAF8ARQBxAHUAYQB0AGkAbwBuAHMALgBWAEUARQBSAEcAXwA0AF8AMwBfADEAXwA1AF8AXwAyAF8AVABvAHQAYQBsAE4AaQB0AHIAbwBnAGUAbgBWAG8AbABhAHQAaQBsAGkAcwBlAGQARgByAG8AbQBNAE0AUwBfAEwAYQB0AGUAeABFAHEAdQBhAHQAaQBvAG4AIgAsACIATQBNAFMAXwBEAGEAaQByAHkAXwBBAHQAbQBvAHMAcABoAGUAcgBpAGMARABlAHAAbwBzAGkAdABpAG8AbgBfAEUAcQB1AGEAdABpAG8AbgBzAC4AVgBFAEUAUgBHAF8ANABfADMAXwAxAF8ANQBfAF8AMgBfAFQAbwB0AGEAbABOAGkAdAByAG8AZwBlAG4AVgBvAGwAYQB0AGkAbABpAHMAZQBkAEYAcgBvAG0ATQBNAFMAXwBBAHIAZwB1AG0AZQBuAHQAcwAiACwAIgBNAE0AUwBfAEQAYQBpAHIAeQBfAE0AYQBuAHUAcgBlAEEAcABwAGwAaQBlAGQAVABvAFMAbwBpAGwAcwBfAEUAcQB1AGEAdABpAG8AbgBzAC4AVgBFAEUAUgBHAF8ANABfADMAXwAxAF8AOABfAF8AMQBfAE0AYQBzAHMATwBmAE4AaQB0AHIAbwBnAGUAbgBBAHAAcABsAGkAZQBkAFQAbwBTAG8AaQBsAHMAUwBjAG8AcABlADEAIgAsACIATQBNAFMAXwBEAGEAaQByAHkAXwBNAGEAbgB1AHIAZQBBAHAAcABsAGkAZQBkAFQAbwBTAG8AaQBsAHMAXwBFAHEAdQBhAHQAaQBvAG4AcwAuAFYARQBFAFIARwBfADQAXwAzAF8AMQBfADgAXwBfADEAXwBNAGEAcwBzAE8AZgBOAGkAdAByAG8AZwBlAG4AQQBwAHAAbABpAGUAZABUAG8AUwBvAGkAbABzAFMAYwBvAHAAZQAxAF8AVABpAHQAbABlACIALAAiAE0ATQBTAF8ARABhAGkAcgB5AF8ATQBhAG4AdQByAGUAQQBwAHAAbABpAGUAZABUAG8AUwBvAGkAbABzAF8ARQBxAHUAYQB0AGkAbwBuAHMALgBWAEUARQBSAEcAXwA0AF8AMwBfADEAXwA4AF8AXwAxAF8ATQBhAHMAcwBPAGYATgBpAHQAcgBvAGcAZQBuAEEAcABwAGwAaQBlAGQAVABvAFMAbwBpAGwAcwBTAGMAbwBwAGUAMQBfAFYAYQByAGkAYQBiAGwAZQAiACwAIgBNAE0AUwBfAEQAYQBpAHIAeQBfAE0AYQBuAHUAcgBlAEEAcABwAGwAaQBlAGQAVABvAFMAbwBpAGwAcwBfAEUAcQB1AGEAdABpAG8AbgBzAC4AVgBFAEUAUgBHAF8ANABfADMAXwAxAF8AOABfAF8AMQBfAE0AYQBzAHMATwBmAE4AaQB0AHIAbwBnAGUAbgBBAHAAcABsAGkAZQBkAFQAbwBTAG8AaQBsAHMAUwBjAG8AcABlADEAXwBVAG4AaQB0ACIALAAiAE0ATQBTAF8ARABhAGkAcgB5AF8ATQBhAG4AdQByAGUAQQBwAHAAbABpAGUAZABUAG8AUwBvAGkAbABzAF8ARQBxAHUAYQB0AGkAbwBuAHMALgBWAEUARQBSAEcAXwA0AF8AMwBfADEAXwA4AF8AXwAxAF8ATQBhAHMAcwBPAGYATgBpAHQAcgBvAGcAZQBuAEEAcABwAGwAaQBlAGQAVABvAFMAbwBpAGwAcwBTAGMAbwBwAGUAMQBfAFMAbwB1AHIAYwBlACIALAAiAE0ATQBTAF8ARABhAGkAcgB5AF8ATQBhAG4AdQByAGUAQQBwAHAAbABpAGUAZABUAG8AUwBvAGkAbABzAF8ARQBxAHUAYQB0AGkAbwBuAHMALgBWAEUARQBSAEcAXwA0AF8AMwBfADEAXwA4AF8AXwAxAF8ATQBhAHMAcwBPAGYATgBpAHQAcgBvAGcAZQBuAEEAcABwAGwAaQBlAGQAVABvAFMAbwBpAGwAcwBTAGMAbwBwAGUAMQBfAE4ASQBSAFIAZQBmAGUAcgBlAG4AYwBlACIALAAiAE0ATQBTAF8ARABhAGkAcgB5AF8ATQBhAG4AdQByAGUAQQBwAHAAbABpAGUAZABUAG8AUwBvAGkAbABzAF8ARQBxAHUAYQB0AGkAbwBuAHMALgBWAEUARQBSAEcAXwA0AF8AMwBfADEAXwA4AF8AXwAxAF8ATQBhAHMAcwBPAGYATgBpAHQAcgBvAGcAZQBuAEEAcABwAGwAaQBlAGQAVABvAFMAbwBpAGwAcwBTAGMAbwBwAGUAMQBfAEwAYQB0AGUAeABFAHEAdQBhAHQAaQBvAG4AIgAsACIATQBNAFMAXwBEAGEAaQByAHkAXwBNAGEAbgB1AHIAZQBBAHAAcABsAGkAZQBkAFQAbwBTAG8AaQBsAHMAXwBFAHEAdQBhAHQAaQBvAG4AcwAuAFYARQBFAFIARwBfADQAXwAzAF8AMQBfADgAXwBfADEAXwBNAGEAcwBzAE8AZgBOAGkAdAByAG8AZwBlAG4AQQBwAHAAbABpAGUAZABUAG8AUwBvAGkAbABzAFMAYwBvAHAAZQAxAF8AQQByAGcAdQBtAGUAbgB0AHMAIgAsACIATQBNAFMAXwBEAGEAaQByAHkAXwBNAGEAbgB1AHIAZQBBAHAAcABsAGkAZQBkAFQAbwBTAG8AaQBsAHMAXwBFAHEAdQBhAHQAaQBvAG4AcwAuAFYARQBFAFIARwBfADQAXwAzAF8AMQBfADgAXwBfADIAXwBNAGEAcwBzAE8AZgBOAGkAdAByAG8AZwBlAG4AQQBwAHAAbABpAGUAZABUAG8AUwBvAGkAbABzAFMAYwBvAHAAZQAzACIALAAiAE0ATQBTAF8ARABhAGkAcgB5AF8ATQBhAG4AdQByAGUAQQBwAHAAbABpAGUAZABUAG8AUwBvAGkAbABzAF8ARQBxAHUAYQB0AGkAbwBuAHMALgBWAEUARQBSAEcAXwA0AF8AMwBfADEAXwA4AF8AXwAyAF8ATQBhAHMAcwBPAGYATgBpAHQAcgBvAGcAZQBuAEEAcABwAGwAaQBlAGQAVABvAFMAbwBpAGwAcwBTAGMAbwBwAGUAMwBfAFQAaQB0AGwAZQAiACwAIgBNAE0AUwBfAEQAYQBpAHIAeQBfAE0AYQBuAHUAcgBlAEEAcABwAGwAaQBlAGQAVABvAFMAbwBpAGwAcwBfAEUAcQB1AGEAdABpAG8AbgBzAC4AVgBFAEUAUgBHAF8ANABfADMAXwAxAF8AOABfAF8AMgBfAE0AYQBzAHMATwBmAE4AaQB0AHIAbwBnAGUAbgBBAHAAcABsAGkAZQBkAFQAbwBTAG8AaQBsAHMAUwBjAG8AcABlADMAXwBWAGEAcgBpAGEAYgBsAGUAIgAsACIATQBNAFMAXwBEAGEAaQByAHkAXwBNAGEAbgB1AHIAZQBBAHAAcABsAGkAZQBkAFQAbwBTAG8AaQBsAHMAXwBFAHEAdQBhAHQAaQBvAG4AcwAuAFYARQBFAFIARwBfADQAXwAzAF8AMQBfADgAXwBfADIAXwBNAGEAcwBzAE8AZgBOAGkAdAByAG8AZwBlAG4AQQBwAHAAbABpAGUAZABUAG8AUwBvAGkAbABzAFMAYwBvAHAAZQAzAF8AVQBuAGkAdAAiACwAIgBNAE0AUwBfAEQAYQBpAHIAeQBfAE0AYQBuAHUAcgBlAEEAcABwAGwAaQBlAGQAVABvAFMAbwBpAGwAcwBfAEUAcQB1AGEAdABpAG8AbgBzAC4AVgBFAEUAUgBHAF8ANABfADMAXwAxAF8AOABfAF8AMgBfAE0AYQBzAHMATwBmAE4AaQB0AHIAbwBnAGUAbgBBAHAAcABsAGkAZQBkAFQAbwBTAG8AaQBsAHMAUwBjAG8AcABlADMAXwBTAG8AdQByAGMAZQAiACwAIgBNAE0AUwBfAEQAYQBpAHIAeQBfAE0AYQBuAHUAcgBlAEEAcABwAGwAaQBlAGQAVABvAFMAbwBpAGwAcwBfAEUAcQB1AGEAdABpAG8AbgBzAC4AVgBFAEUAUgBHAF8ANABfADMAXwAxAF8AOABfAF8AMgBfAE0AYQBzAHMATwBmAE4AaQB0AHIAbwBnAGUAbgBBAHAAcABsAGkAZQBkAFQAbwBTAG8AaQBsAHMAUwBjAG8AcABlADMAXwBOAEkAUgBSAGUAZgBlAHIAZQBuAGMAZQAiACwAIgBNAE0AUwBfAEQAYQBpAHIAeQBfAE0AYQBuAHUAcgBlAEEAcABwAGwAaQBlAGQAVABvAFMAbwBpAGwAcwBfAEUAcQB1AGEAdABpAG8AbgBzAC4AVgBFAEUAUgBHAF8ANABfADMAXwAxAF8AOABfAF8AMgBfAE0AYQBzAHMATwBmAE4AaQB0AHIAbwBnAGUAbgBBAHAAcABsAGkAZQBkAFQAbwBTAG8AaQBsAHMAUwBjAG8AcABlADMAXwBMAGEAdABlAHgARQBxAHUAYQB0AGkAbwBuACIALAAiAE0ATQBTAF8ARABhAGkAcgB5AF8ATQBhAG4AdQByAGUAQQBwAHAAbABpAGUAZABUAG8AUwBvAGkAbABzAF8ARQBxAHUAYQB0AGkAbwBuAHMALgBWAEUARQBSAEcAXwA0AF8AMwBfADEAXwA4AF8AXwAyAF8ATQBhAHMAcwBPAGYATgBpAHQAcgBvAGcAZQBuAEEAcABwAGwAaQBlAGQAVABvAFMAbwBpAGwAcwBTAGMAbwBwAGUAMwBfAEEAcgBnAHUAbQBlAG4AdABzACIALAAiAE0ATQBTAF8ARABhAGkAcgB5AF8ATQBlAHQAaABhAG4AZQBfAEUAcQB1AGEAdABpAG8AbgBzAC4AVgBFAEUAUgBHAF8ANABfADMAXwAxAF8AMQBfAF8AMQBfAFQAbwB0AGEAbABBAG4AbgB1AGEAbABNAGUAdABoAGEAbgBlAEYAcgBvAG0ATQBhAG4AdQByAGUATQBhAG4AYQBnAGUAbQBlAG4AdAAiACwAIgBNAE0AUwBfAEQAYQBpAHIAeQBfAE0AZQB0AGgAYQBuAGUAXwBFAHEAdQBhAHQAaQBvAG4AcwAuAFYARQBFAFIARwBfADQAXwAzAF8AMQBfADEAXwBfADEAXwBUAG8AdABhAGwAQQBuAG4AdQBhAGwATQBlAHQAaABhAG4AZQBGAHIAbwBtAE0AYQBuAHUAcgBlAE0AYQBuAGEAZwBlAG0AZQBuAHQAVgBhAHIAaQBhAHQAaQBvAG4AIgAsACIATQBNAFMAXwBEAGEAaQByAHkAXwBNAGUAdABoAGEAbgBlAF8ARQBxAHUAYQB0AGkAbwBuAHMALgBWAEUARQBSAEcAXwA0AF8AMwBfADEAXwAxAF8AXwAxAF8AVABvAHQAYQBsAEEAbgBuAHUAYQBsAE0AZQB0AGgAYQBuAGUARgByAG8AbQBNAGEAbgB1AHIAZQBNAGEAbgBhAGcAZQBtAGUAbgB0AF8AVABpAHQAbABlACIALAAiAE0ATQBTAF8ARABhAGkAcgB5AF8ATQBlAHQAaABhAG4AZQBfAEUAcQB1AGEAdABpAG8AbgBzAC4AVgBFAEUAUgBHAF8ANABfADMAXwAxAF8AMQBfAF8AMQBfAFQAbwB0AGEAbABBAG4AbgB1AGEAbABNAGUAdABoAGEAbgBlAEYAcgBvAG0ATQBhAG4AdQByAGUATQBhAG4AYQBnAGUAbQBlAG4AdABfAFYAYQByAGkAYQBiAGwAZQAiACwAIgBNAE0AUwBfAEQAYQBpAHIAeQBfAE0AZQB0AGgAYQBuAGUAXwBFAHEAdQBhAHQAaQBvAG4AcwAuAFYARQBFAFIARwBfADQAXwAzAF8AMQBfADEAXwBfADEAXwBUAG8AdABhAGwAQQBuAG4AdQBhAGwATQBlAHQAaABhAG4AZQBGAHIAbwBtAE0AYQBuAHUAcgBlAE0AYQBuAGEAZwBlAG0AZQBuAHQAXwBVAG4AaQB0ACIALAAiAE0ATQBTAF8ARABhAGkAcgB5AF8ATQBlAHQAaABhAG4AZQBfAEUAcQB1AGEAdABpAG8AbgBzAC4AVgBFAEUAUgBHAF8ANABfADMAXwAxAF8AMQBfAF8AMQBfAFQAbwB0AGEAbABBAG4AbgB1AGEAbABNAGUAdABoAGEAbgBlAEYAcgBvAG0ATQBhAG4AdQByAGUATQBhAG4AYQBnAGUAbQBlAG4AdABfAFMAbwB1AHIAYwBlACIALAAiAE0ATQBTAF8ARABhAGkAcgB5AF8ATQBlAHQAaABhAG4AZQBfAEUAcQB1AGEAdABpAG8AbgBzAC4AVgBFAEUAUgBHAF8ANABfADMAXwAxAF8AMQBfAF8AMQBfAFQAbwB0AGEAbABBAG4AbgB1AGEAbABNAGUAdABoAGEAbgBlAEYAcgBvAG0ATQBhAG4AdQByAGUATQBhAG4AYQBnAGUAbQBlAG4AdABfAE4ASQBSAFIAZQBmAGUAcgBlAG4AYwBlACIALAAiAE0ATQBTAF8ARABhAGkAcgB5AF8ATQBlAHQAaABhAG4AZQBfAEUAcQB1AGEAdABpAG8AbgBzAC4AVgBFAEUAUgBHAF8ANABfADMAXwAxAF8AMQBfAF8AMQBfAFQAbwB0AGEAbABBAG4AbgB1AGEAbABNAGUAdABoAGEAbgBlAEYAcgBvAG0ATQBhAG4AdQByAGUATQBhAG4AYQBnAGUAbQBlAG4AdABfAEwAYQB0AGUAeABFAHEAdQBhAHQAaQBvAG4AIgAsACIATQBNAFMAXwBEAGEAaQByAHkAXwBNAGUAdABoAGEAbgBlAF8ARQBxAHUAYQB0AGkAbwBuAHMALgBWAEUARQBSAEcAXwA0AF8AMwBfADEAXwAxAF8AXwAxAF8AVABvAHQAYQBsAEEAbgBuAHUAYQBsAE0AZQB0AGgAYQBuAGUARgByAG8AbQBNAGEAbgB1AHIAZQBNAGEAbgBhAGcAZQBtAGUAbgB0AF8ATABhAHQAZQB4AEUAcQB1AGEAdABpAG8AbgBWAGEAcgBpAGEAdABpAG8AbgAiACwAIgBNAE0AUwBfAEQAYQBpAHIAeQBfAE0AZQB0AGgAYQBuAGUAXwBFAHEAdQBhAHQAaQBvAG4AcwAuAFYARQBFAFIARwBfADQAXwAzAF8AMQBfADEAXwBfADEAXwBUAG8AdABhAGwAQQBuAG4AdQBhAGwATQBlAHQAaABhAG4AZQBGAHIAbwBtAE0AYQBuAHUAcgBlAE0AYQBuAGEAZwBlAG0AZQBuAHQAXwBBAHIAZwB1AG0AZQBuAHQAcwAiACwAIgBNAE0AUwBfAEQAYQBpAHIAeQBfAE0AZQB0AGgAYQBuAGUAXwBFAHEAdQBhAHQAaQBvAG4AcwAuAFYARQBFAFIARwBfADQAXwAzAF8AMQBfADEAXwBfADEAXwBUAG8AdABhAGwAQQBuAG4AdQBhAGwATQBlAHQAaABhAG4AZQBGAHIAbwBtAE0AYQBuAHUAcgBlAE0AYQBuAGEAZwBlAG0AZQBuAHQAXwBWAGEAcgBpAGEAdABpAG8AbgAiACwAIgBNAE0AUwBfAEQAYQBpAHIAeQBfAE0AZQB0AGgAYQBuAGUAXwBFAHEAdQBhAHQAaQBvAG4AcwAuAFYARQBFAFIARwBfADQAXwAzAF8AMQBfADEAXwBfADIAXwBNAGUAdABoAGEAbgBlAEYAcgBvAG0ATQBhAG4AdQByAGUAUAByAG8AZAB1AGMAdABpAG8AbgAiACwAIgBNAE0AUwBfAEQAYQBpAHIAeQBfAE0AZQB0AGgAYQBuAGUAXwBFAHEAdQBhAHQAaQBvAG4AcwAuAFYARQBFAFIARwBfADQAXwAzAF8AMQBfADEAXwBfADIAXwBNAGUAdABoAGEAbgBlAEYAcgBvAG0ATQBhAG4AdQByAGUAUAByAG8AZAB1AGMAdABpAG8AbgBfAFQAaQB0AGwAZQAiACwAIgBNAE0AUwBfAEQAYQBpAHIAeQBfAE0AZQB0AGgAYQBuAGUAXwBFAHEAdQBhAHQAaQBvAG4AcwAuAFYARQBFAFIARwBfADQAXwAzAF8AMQBfADEAXwBfADIAXwBNAGUAdABoAGEAbgBlAEYAcgBvAG0ATQBhAG4AdQByAGUAUAByAG8AZAB1AGMAdABpAG8AbgBfAFYAYQByAGkAYQBiAGwAZQAiACwAIgBNAE0AUwBfAEQAYQBpAHIAeQBfAE0AZQB0AGgAYQBuAGUAXwBFAHEAdQBhAHQAaQBvAG4AcwAuAFYARQBFAFIARwBfADQAXwAzAF8AMQBfADEAXwBfADIAXwBNAGUAdABoAGEAbgBlAEYAcgBvAG0ATQBhAG4AdQByAGUAUAByAG8AZAB1AGMAdABpAG8AbgBfAFUAbgBpAHQAIgAsACIATQBNAFMAXwBEAGEAaQByAHkAXwBNAGUAdABoAGEAbgBlAF8ARQBxAHUAYQB0AGkAbwBuAHMALgBWAEUARQBSAEcAXwA0AF8AMwBfADEAXwAxAF8AXwAyAF8ATQBlAHQAaABhAG4AZQBGAHIAbwBtAE0AYQBuAHUAcgBlAFAAcgBvAGQAdQBjAHQAaQBvAG4AXwBTAG8AdQByAGMAZQAiACwAIgBNAE0AUwBfAEQAYQBpAHIAeQBfAE0AZQB0AGgAYQBuAGUAXwBFAHEAdQBhAHQAaQBvAG4AcwAuAFYARQBFAFIARwBfADQAXwAzAF8AMQBfADEAXwBfADIAXwBNAGUAdABoAGEAbgBlAEYAcgBvAG0ATQBhAG4AdQByAGUAUAByAG8AZAB1AGMAdABpAG8AbgBfAE4ASQBSAFIAZQBmAGUAcgBlAG4AYwBlACIALAAiAE0ATQBTAF8ARABhAGkAcgB5AF8ATQBlAHQAaABhAG4AZQBfAEUAcQB1AGEAdABpAG8AbgBzAC4AVgBFAEUAUgBHAF8ANABfADMAXwAxAF8AMQBfAF8AMgBfAE0AZQB0AGgAYQBuAGUARgByAG8AbQBNAGEAbgB1AHIAZQBQAHIAbwBkAHUAYwB0AGkAbwBuAF8ATABhAHQAZQB4AEUAcQB1AGEAdABpAG8AbgAiACwAIgBNAE0AUwBfAEQAYQBpAHIAeQBfAE0AZQB0AGgAYQBuAGUAXwBFAHEAdQBhAHQAaQBvAG4AcwAuAFYARQBFAFIARwBfADQAXwAzAF8AMQBfADEAXwBfADIAXwBNAGUAdABoAGEAbgBlAEYAcgBvAG0ATQBhAG4AdQByAGUAUAByAG8AZAB1AGMAdABpAG8AbgBfAEEAcgBnAHUAbQBlAG4AdABzACIALAAiAE0ATQBTAF8ARABhAGkAcgB5AF8ATQBlAHQAaABhAG4AZQBfAEUAcQB1AGEAdABpAG8AbgBzAC4AVgBFAEUAUgBHAF8ANABfADMAXwAxAF8AMQBfAF8AMgBfAE0AZQB0AGgAYQBuAGUARgByAG8AbQBNAGEAbgB1AHIAZQBQAHIAbwBkAHUAYwB0AGkAbwBuAF8AQQByAGcAdQBtAGUAbgB0AHMAXwBNAGUAdABoAG8AZAAyACIALAAiAE0ATQBTAF8ARABhAGkAcgB5AF8ATQBlAHQAaABhAG4AZQBfAEUAcQB1AGEAdABpAG8AbgBzAC4AVgBFAEUAUgBHAF8ANABfADMAXwAxAF8AMQBfAF8AMwBfAFYAbwBsAGEAdABpAGwAZQBTAG8AbABpAGQAcwBGAG8AcgBXAGUAYQBuAGUAZABEAGEAaQByAHkAQwBhAHQAdABsAGUAIgAsACIATQBNAFMAXwBEAGEAaQByAHkAXwBNAGUAdABoAGEAbgBlAF8ARQBxAHUAYQB0AGkAbwBuAHMALgBWAEUARQBSAEcAXwA0AF8AMwBfADEAXwAxAF8AXwAzAF8AVgBvAGwAYQB0AGkAbABlAFMAbwBsAGkAZABzAEYAbwByAFcAZQBhAG4AZQBkAEQAYQBpAHIAeQBDAGEAdAB0AGwAZQBfAFQAaQB0AGwAZQAiACwAIgBNAE0AUwBfAEQAYQBpAHIAeQBfAE0AZQB0AGgAYQBuAGUAXwBFAHEAdQBhAHQAaQBvAG4AcwAuAFYARQBFAFIARwBfADQAXwAzAF8AMQBfADEAXwBfADMAXwBWAG8AbABhAHQAaQBsAGUAUwBvAGwAaQBkAHMARgBvAHIAVwBlAGEAbgBlAGQARABhAGkAcgB5AEMAYQB0AHQAbABlAF8AVgBhAHIAaQBhAGIAbABlACIALAAiAE0ATQBTAF8ARABhAGkAcgB5AF8ATQBlAHQAaABhAG4AZQBfAEUAcQB1AGEAdABpAG8AbgBzAC4AVgBFAEUAUgBHAF8ANABfADMAXwAxAF8AMQBfAF8AMwBfAFYAbwBsAGEAdABpAGwAZQBTAG8AbABpAGQAcwBGAG8AcgBXAGUAYQBuAGUAZABEAGEAaQByAHkAQwBhAHQAdABsAGUAXwBVAG4AaQB0ACIALAAiAE0ATQBTAF8ARABhAGkAcgB5AF8ATQBlAHQAaABhAG4AZQBfAEUAcQB1AGEAdABpAG8AbgBzAC4AVgBFAEUAUgBHAF8ANABfADMAXwAxAF8AMQBfAF8AMwBfAFYAbwBsAGEAdABpAGwAZQBTAG8AbABpAGQAcwBGAG8AcgBXAGUAYQBuAGUAZABEAGEAaQByAHkAQwBhAHQAdABsAGUAXwBTAG8AdQByAGMAZQAiACwAIgBNAE0AUwBfAEQAYQBpAHIAeQBfAE0AZQB0AGgAYQBuAGUAXwBFAHEAdQBhAHQAaQBvAG4AcwAuAFYARQBFAFIARwBfADQAXwAzAF8AMQBfADEAXwBfADMAXwBWAG8AbABhAHQAaQBsAGUAUwBvAGwAaQBkAHMARgBvAHIAVwBlAGEAbgBlAGQARABhAGkAcgB5AEMAYQB0AHQAbABlAF8ATgBJAFIAUgBlAGYAZQByAGUAbgBjAGUAIgAsACIATQBNAFMAXwBEAGEAaQByAHkAXwBNAGUAdABoAGEAbgBlAF8ARQBxAHUAYQB0AGkAbwBuAHMALgBWAEUARQBSAEcAXwA0AF8AMwBfADEAXwAxAF8AXwAzAF8AVgBvAGwAYQB0AGkAbABlAFMAbwBsAGkAZABzAEYAbwByAFcAZQBhAG4AZQBkAEQAYQBpAHIAeQBDAGEAdAB0AGwAZQBfAEwAYQB0AGUAeABFAHEAdQBhAHQAaQBvAG4AIgAsACIATQBNAFMAXwBEAGEAaQByAHkAXwBNAGUAdABoAGEAbgBlAF8ARQBxAHUAYQB0AGkAbwBuAHMALgBWAEUARQBSAEcAXwA0AF8AMwBfADEAXwAxAF8AXwAzAF8AVgBvAGwAYQB0AGkAbABlAFMAbwBsAGkAZABzAEYAbwByAFcAZQBhAG4AZQBkAEQAYQBpAHIAeQBDAGEAdAB0AGwAZQBfAEEAcgBnAHUAbQBlAG4AdABzACIALAAiAE0ATQBTAF8ARABhAGkAcgB5AF8ATQBlAHQAaABhAG4AZQBfAEUAcQB1AGEAdABpAG8AbgBzAC4AVgBFAEUAUgBHAF8ANABfADMAXwAxAF8AMQBfAF8ANABfAEYAcgBhAGMAdABpAG8AbgBWAG8AbABhAHQAaQBsAGUAUwBvAGwAaQBkAHMATgBvAHQAUwBvAGwAaQBkAFMAdABvAHIAYQBnAGUAIgAsACIATQBNAFMAXwBEAGEAaQByAHkAXwBNAGUAdABoAGEAbgBlAF8ARQBxAHUAYQB0AGkAbwBuAHMALgBWAEUARQBSAEcAXwA0AF8AMwBfADEAXwAxAF8AXwA0AF8ARgByAGEAYwB0AGkAbwBuAFYAbwBsAGEAdABpAGwAZQBTAG8AbABpAGQAcwBOAG8AdABTAG8AbABpAGQAUwB0AG8AcgBhAGcAZQBfAFQAaQB0AGwAZQAiACwAIgBNAE0AUwBfAEQAYQBpAHIAeQBfAE0AZQB0AGgAYQBuAGUAXwBFAHEAdQBhAHQAaQBvAG4AcwAuAFYARQBFAFIARwBfADQAXwAzAF8AMQBfADEAXwBfADQAXwBGAHIAYQBjAHQAaQBvAG4AVgBvAGwAYQB0AGkAbABlAFMAbwBsAGkAZABzAE4AbwB0AFMAbwBsAGkAZABTAHQAbwByAGEAZwBlAF8AVgBhAHIAaQBhAGIAbABlACIALAAiAE0ATQBTAF8ARABhAGkAcgB5AF8ATQBlAHQAaABhAG4AZQBfAEUAcQB1AGEAdABpAG8AbgBzAC4AVgBFAEUAUgBHAF8ANABfADMAXwAxAF8AMQBfAF8ANABfAEYAcgBhAGMAdABpAG8AbgBWAG8AbABhAHQAaQBsAGUAUwBvAGwAaQBkAHMATgBvAHQAUwBvAGwAaQBkAFMAdABvAHIAYQBnAGUAXwBVAG4AaQB0ACIALAAiAE0ATQBTAF8ARABhAGkAcgB5AF8ATQBlAHQAaABhAG4AZQBfAEUAcQB1AGEAdABpAG8AbgBzAC4AVgBFAEUAUgBHAF8ANABfADMAXwAxAF8AMQBfAF8ANABfAEYAcgBhAGMAdABpAG8AbgBWAG8AbABhAHQAaQBsAGUAUwBvAGwAaQBkAHMATgBvAHQAUwBvAGwAaQBkAFMAdABvAHIAYQBnAGUAXwBTAG8AdQByAGMAZQAiACwAIgBNAE0AUwBfAEQAYQBpAHIAeQBfAE0AZQB0AGgAYQBuAGUAXwBFAHEAdQBhAHQAaQBvAG4AcwAuAFYARQBFAFIARwBfADQAXwAzAF8AMQBfADEAXwBfADQAXwBGAHIAYQBjAHQAaQBvAG4AVgBvAGwAYQB0AGkAbABlAFMAbwBsAGkAZABzAE4AbwB0AFMAbwBsAGkAZABTAHQAbwByAGEAZwBlAF8ATgBJAFIAUgBlAGYAZQByAGUAbgBjAGUAIgAsACIATQBNAFMAXwBEAGEAaQByAHkAXwBNAGUAdABoAGEAbgBlAF8ARQBxAHUAYQB0AGkAbwBuAHMALgBWAEUARQBSAEcAXwA0AF8AMwBfADEAXwAxAF8AXwA0AF8ARgByAGEAYwB0AGkAbwBuAFYAbwBsAGEAdABpAGwAZQBTAG8AbABpAGQAcwBOAG8AdABTAG8AbABpAGQAUwB0AG8AcgBhAGcAZQBfAEwAYQB0AGUAeABFAHEAdQBhAHQAaQBvAG4AIgAsACIATQBNAFMAXwBEAGEAaQByAHkAXwBNAGUAdABoAGEAbgBlAF8ARQBxAHUAYQB0AGkAbwBuAHMALgBWAEUARQBSAEcAXwA0AF8AMwBfADEAXwAxAF8AXwA0AF8ARgByAGEAYwB0AGkAbwBuAFYAbwBsAGEAdABpAGwAZQBTAG8AbABpAGQAcwBOAG8AdABTAG8AbABpAGQAUwB0AG8AcgBhAGcAZQBfAEEAcgBnAHUAbQBlAG4AdABzACIALAAiAE0ATQBTAF8ARABhAGkAcgB5AF8ATQBlAHQAaABhAG4AZQBfAEUAcQB1AGEAdABpAG8AbgBzAC4AVgBFAEUAUgBHAF8ANABfADMAXwAxAF8AMQBfAF8ANQBfAEYAcgBhAGMAdABpAG8AbgBWAG8AbABhAHQAaQBsAGUAUwBvAGwAaQBkAHMAUwBvAGwAaQBkAFMAdABvAHIAYQBnAGUAIgAsACIATQBNAFMAXwBEAGEAaQByAHkAXwBNAGUAdABoAGEAbgBlAF8ARQBxAHUAYQB0AGkAbwBuAHMALgBWAEUARQBSAEcAXwA0AF8AMwBfADEAXwAxAF8AXwA1AF8ARgByAGEAYwB0AGkAbwBuAFYAbwBsAGEAdABpAGwAZQBTAG8AbABpAGQAcwBTAG8AbABpAGQAUwB0AG8AcgBhAGcAZQBWAGEAcgBpAGEAdABpAG8AbgAiACwAIgBNAE0AUwBfAEQAYQBpAHIAeQBfAE0AZQB0AGgAYQBuAGUAXwBFAHEAdQBhAHQAaQBvAG4AcwAuAFYARQBFAFIARwBfADQAXwAzAF8AMQBfADEAXwBfADUAXwBGAHIAYQBjAHQAaQBvAG4AVgBvAGwAYQB0AGkAbABlAFMAbwBsAGkAZABzAFMAbwBsAGkAZABTAHQAbwByAGEAZwBlAF8AVABpAHQAbABlACIALAAiAE0ATQBTAF8ARABhAGkAcgB5AF8ATQBlAHQAaABhAG4AZQBfAEUAcQB1AGEAdABpAG8AbgBzAC4AVgBFAEUAUgBHAF8ANABfADMAXwAxAF8AMQBfAF8ANQBfAEYAcgBhAGMAdABpAG8AbgBWAG8AbABhAHQAaQBsAGUAUwBvAGwAaQBkAHMAUwBvAGwAaQBkAFMAdABvAHIAYQBnAGUAXwBWAGEAcgBpAGEAYgBsAGUAIgAsACIATQBNAFMAXwBEAGEAaQByAHkAXwBNAGUAdABoAGEAbgBlAF8ARQBxAHUAYQB0AGkAbwBuAHMALgBWAEUARQBSAEcAXwA0AF8AMwBfADEAXwAxAF8AXwA1AF8ARgByAGEAYwB0AGkAbwBuAFYAbwBsAGEAdABpAGwAZQBTAG8AbABpAGQAcwBTAG8AbABpAGQAUwB0AG8AcgBhAGcAZQBfAFUAbgBpAHQAIgAsACIATQBNAFMAXwBEAGEAaQByAHkAXwBNAGUAdABoAGEAbgBlAF8ARQBxAHUAYQB0AGkAbwBuAHMALgBWAEUARQBSAEcAXwA0AF8AMwBfADEAXwAxAF8AXwA1AF8ARgByAGEAYwB0AGkAbwBuAFYAbwBsAGEAdABpAGwAZQBTAG8AbABpAGQAcwBTAG8AbABpAGQAUwB0AG8AcgBhAGcAZQBfAFMAbwB1AHIAYwBlACIALAAiAE0ATQBTAF8ARABhAGkAcgB5AF8ATQBlAHQAaABhAG4AZQBfAEUAcQB1AGEAdABpAG8AbgBzAC4AVgBFAEUAUgBHAF8ANABfADMAXwAxAF8AMQBfAF8ANQBfAEYAcgBhAGMAdABpAG8AbgBWAG8AbABhAHQAaQBsAGUAUwBvAGwAaQBkAHMAUwBvAGwAaQBkAFMAdABvAHIAYQBnAGUAXwBOAEkAUgBSAGUAZgBlAHIAZQBuAGMAZQAiACwAIgBNAE0AUwBfAEQAYQBpAHIAeQBfAE0AZQB0AGgAYQBuAGUAXwBFAHEAdQBhAHQAaQBvAG4AcwAuAFYARQBFAFIARwBfADQAXwAzAF8AMQBfADEAXwBfADUAXwBGAHIAYQBjAHQAaQBvAG4AVgBvAGwAYQB0AGkAbABlAFMAbwBsAGkAZABzAFMAbwBsAGkAZABTAHQAbwByAGEAZwBlAF8ATABhAHQAZQB4AEUAcQB1AGEAdABpAG8AbgAiACwAIgBNAE0AUwBfAEQAYQBpAHIAeQBfAE0AZQB0AGgAYQBuAGUAXwBFAHEAdQBhAHQAaQBvAG4AcwAuAFYARQBFAFIARwBfADQAXwAzAF8AMQBfADEAXwBfADUAXwBGAHIAYQBjAHQAaQBvAG4AVgBvAGwAYQB0AGkAbABlAFMAbwBsAGkAZABzAFMAbwBsAGkAZABTAHQAbwByAGEAZwBlAF8ATABhAHQAZQB4AEUAcQB1AGEAdABpAG8AbgBWAGEAcgBpAGEAdABpAG8AbgAiACwAIgBNAE0AUwBfAEQAYQBpAHIAeQBfAE0AZQB0AGgAYQBuAGUAXwBFAHEAdQBhAHQAaQBvAG4AcwAuAFYARQBFAFIARwBfADQAXwAzAF8AMQBfADEAXwBfADUAXwBGAHIAYQBjAHQAaQBvAG4AVgBvAGwAYQB0AGkAbABlAFMAbwBsAGkAZABzAFMAbwBsAGkAZABTAHQAbwByAGEAZwBlAF8AQQByAGcAdQBtAGUAbgB0AHMAIgAsACIATQBNAFMAXwBEAGEAaQByAHkAXwBNAGUAdABoAGEAbgBlAF8ARQBxAHUAYQB0AGkAbwBuAHMALgBWAEUARQBSAEcAXwA0AF8AMwBfADEAXwAxAF8AXwA1AF8ARgByAGEAYwB0AGkAbwBuAFYAbwBsAGEAdABpAGwAZQBTAG8AbABpAGQAcwBTAG8AbABpAGQAUwB0AG8AcgBhAGcAZQBfAFYAYQByAGkAYQB0AGkAbwBuACIALAAiAE0ATQBTAF8ARABhAGkAcgB5AF8ATgAyAE8ARABpAHIAZQBjAHQAXwBFAHEAdQBhAHQAaQBvAG4AcwAuAFYARQBFAFIARwBfADQAXwAzAF8AMQBfADMAXwBfADEAXwBUAG8AdABhAGwAQQBuAG4AdQBhAGwARABpAHIAZQBjAHQATgBpAHQAcgBvAHUAcwBPAHgAaQBkAGUARQBtAGkAcwBzAGkAbwBuAHMARgByAG8AbQBNAE0AUwAiACwAIgBNAE0AUwBfAEQAYQBpAHIAeQBfAE4AMgBPAEQAaQByAGUAYwB0AF8ARQBxAHUAYQB0AGkAbwBuAHMALgBWAEUARQBSAEcAXwA0AF8AMwBfADEAXwAzAF8AXwAxAF8AVABvAHQAYQBsAEEAbgBuAHUAYQBsAEQAaQByAGUAYwB0AE4AaQB0AHIAbwB1AHMATwB4AGkAZABlAEUAbQBpAHMAcwBpAG8AbgBzAEYAcgBvAG0ATQBNAFMAXwBUAGkAdABsAGUAIgAsACIATQBNAFMAXwBEAGEAaQByAHkAXwBOADIATwBEAGkAcgBlAGMAdABfAEUAcQB1AGEAdABpAG8AbgBzAC4AVgBFAEUAUgBHAF8ANABfADMAXwAxAF8AMwBfAF8AMQBfAFQAbwB0AGEAbABBAG4AbgB1AGEAbABEAGkAcgBlAGMAdABOAGkAdAByAG8AdQBzAE8AeABpAGQAZQBFAG0AaQBzAHMAaQBvAG4AcwBGAHIAbwBtAE0ATQBTAF8AVgBhAHIAaQBhAGIAbABlACIALAAiAE0ATQBTAF8ARABhAGkAcgB5AF8ATgAyAE8ARABpAHIAZQBjAHQAXwBFAHEAdQBhAHQAaQBvAG4AcwAuAFYARQBFAFIARwBfADQAXwAzAF8AMQBfADMAXwBfADEAXwBUAG8AdABhAGwAQQBuAG4AdQBhAGwARABpAHIAZQBjAHQATgBpAHQAcgBvAHUAcwBPAHgAaQBkAGUARQBtAGkAcwBzAGkAbwBuAHMARgByAG8AbQBNAE0AUwBfAFUAbgBpAHQAIgAsACIATQBNAFMAXwBEAGEAaQByAHkAXwBOADIATwBEAGkAcgBlAGMAdABfAEUAcQB1AGEAdABpAG8AbgBzAC4AVgBFAEUAUgBHAF8ANABfADMAXwAxAF8AMwBfAF8AMQBfAFQAbwB0AGEAbABBAG4AbgB1AGEAbABEAGkAcgBlAGMAdABOAGkAdAByAG8AdQBzAE8AeABpAGQAZQBFAG0AaQBzAHMAaQBvAG4AcwBGAHIAbwBtAE0ATQBTAF8AUwBvAHUAcgBjAGUAIgAsACIATQBNAFMAXwBEAGEAaQByAHkAXwBOADIATwBEAGkAcgBlAGMAdABfAEUAcQB1AGEAdABpAG8AbgBzAC4AVgBFAEUAUgBHAF8ANABfADMAXwAxAF8AMwBfAF8AMQBfAFQAbwB0AGEAbABBAG4AbgB1AGEAbABEAGkAcgBlAGMAdABOAGkAdAByAG8AdQBzAE8AeABpAGQAZQBFAG0AaQBzAHMAaQBvAG4AcwBGAHIAbwBtAE0ATQBTAF8ATgBJAFIAUgBlAGYAZQByAGUAbgBjAGUAIgAsACIATQBNAFMAXwBEAGEAaQByAHkAXwBOADIATwBEAGkAcgBlAGMAdABfAEUAcQB1AGEAdABpAG8AbgBzAC4AVgBFAEUAUgBHAF8ANABfADMAXwAxAF8AMwBfAF8AMQBfAFQAbwB0AGEAbABBAG4AbgB1AGEAbABEAGkAcgBlAGMAdABOAGkAdAByAG8AdQBzAE8AeABpAGQAZQBFAG0AaQBzAHMAaQBvAG4AcwBGAHIAbwBtAE0ATQBTAF8ATABhAHQAZQB4AEUAcQB1AGEAdABpAG8AbgAiACwAIgBNAE0AUwBfAEQAYQBpAHIAeQBfAE4AMgBPAEQAaQByAGUAYwB0AF8ARQBxAHUAYQB0AGkAbwBuAHMALgBWAEUARQBSAEcAXwA0AF8AMwBfADEAXwAzAF8AXwAxAF8AVABvAHQAYQBsAEEAbgBuAHUAYQBsAEQAaQByAGUAYwB0AE4AaQB0AHIAbwB1AHMATwB4AGkAZABlAEUAbQBpAHMAcwBpAG8AbgBzAEYAcgBvAG0ATQBNAFMAXwBBAHIAZwB1AG0AZQBuAHQAcwAiACwAIgBNAE0AUwBfAEQAYQBpAHIAeQBfAE4AMgBPAEQAaQByAGUAYwB0AF8ARQBxAHUAYQB0AGkAbwBuAHMALgBWAEUARQBSAEcAXwA0AF8AMwBfADEAXwAzAF8AXwAyAF8AVABvAHQAYQBsAE4AaQB0AHIAbwBnAGUAbgBJAG4ARQBhAGMAaABNAE0AUwAiACwAIgBNAE0AUwBfAEQAYQBpAHIAeQBfAE4AMgBPAEQAaQByAGUAYwB0AF8ARQBxAHUAYQB0AGkAbwBuAHMALgBWAEUARQBSAEcAXwA0AF8AMwBfADEAXwAzAF8AXwAyAF8AVABvAHQAYQBsAE4AaQB0AHIAbwBnAGUAbgBJAG4ARQBhAGMAaABNAE0AUwBfAFQAaQB0AGwAZQAiACwAIgBNAE0AUwBfAEQAYQBpAHIAeQBfAE4AMgBPAEQAaQByAGUAYwB0AF8ARQBxAHUAYQB0AGkAbwBuAHMALgBWAEUARQBSAEcAXwA0AF8AMwBfADEAXwAzAF8AXwAyAF8AVABvAHQAYQBsAE4AaQB0AHIAbwBnAGUAbgBJAG4ARQBhAGMAaABNAE0AUwBfAFYAYQByAGkAYQBiAGwAZQAiACwAIgBNAE0AUwBfAEQAYQBpAHIAeQBfAE4AMgBPAEQAaQByAGUAYwB0AF8ARQBxAHUAYQB0AGkAbwBuAHMALgBWAEUARQBSAEcAXwA0AF8AMwBfADEAXwAzAF8AXwAyAF8AVABvAHQAYQBsAE4AaQB0AHIAbwBnAGUAbgBJAG4ARQBhAGMAaABNAE0AUwBfAFUAbgBpAHQAIgAsACIATQBNAFMAXwBEAGEAaQByAHkAXwBOADIATwBEAGkAcgBlAGMAdABfAEUAcQB1AGEAdABpAG8AbgBzAC4AVgBFAEUAUgBHAF8ANABfADMAXwAxAF8AMwBfAF8AMgBfAFQAbwB0AGEAbABOAGkAdAByAG8AZwBlAG4ASQBuAEUAYQBjAGgATQBNAFMAXwBTAG8AdQByAGMAZQAiACwAIgBNAE0AUwBfAEQAYQBpAHIAeQBfAE4AMgBPAEQAaQByAGUAYwB0AF8ARQBxAHUAYQB0AGkAbwBuAHMALgBWAEUARQBSAEcAXwA0AF8AMwBfADEAXwAzAF8AXwAyAF8AVABvAHQAYQBsAE4AaQB0AHIAbwBnAGUAbgBJAG4ARQBhAGMAaABNAE0AUwBfAE4ASQBSAFIAZQBmAGUAcgBlAG4AYwBlACIALAAiAE0ATQBTAF8ARABhAGkAcgB5AF8ATgAyAE8ARABpAHIAZQBjAHQAXwBFAHEAdQBhAHQAaQBvAG4AcwAuAFYARQBFAFIARwBfADQAXwAzAF8AMQBfADMAXwBfADIAXwBUAG8AdABhAGwATgBpAHQAcgBvAGcAZQBuAEkAbgBFAGEAYwBoAE0ATQBTAF8ATABhAHQAZQB4AEUAcQB1AGEAdABpAG8AbgAiACwAIgBNAE0AUwBfAEQAYQBpAHIAeQBfAE4AMgBPAEQAaQByAGUAYwB0AF8ARQBxAHUAYQB0AGkAbwBuAHMALgBWAEUARQBSAEcAXwA0AF8AMwBfADEAXwAzAF8AXwAyAF8AVABvAHQAYQBsAE4AaQB0AHIAbwBnAGUAbgBJAG4ARQBhAGMAaABNAE0AUwBfAEEAcgBnAHUAbQBlAG4AdABzACIALAAiAE0ATQBTAF8ARABhAGkAcgB5AF8ATgAyAE8ARABpAHIAZQBjAHQAXwBFAHEAdQBhAHQAaQBvAG4AcwAuAFYARQBFAFIARwBfADQAXwAzAF8AMQBfADMAXwBfADMAYQBfAFQAbwB0AGEAbABBAG4AbgB1AGEAbABOAGkAdAByAG8AZwBlAG4ARQB4AGMAcgBlAHQAZQBkAEcAcgBlAGEAdABlAHIAVABoAGEAbgBPAG4AZQBZAGUAYQByACIALAAiAE0ATQBTAF8ARABhAGkAcgB5AF8ATgAyAE8ARABpAHIAZQBjAHQAXwBFAHEAdQBhAHQAaQBvAG4AcwAuAFYARQBFAFIARwBfADQAXwAzAF8AMQBfADMAXwBfADMAYQBfAFQAbwB0AGEAbABBAG4AbgB1AGEAbABOAGkAdAByAG8AZwBlAG4ARQB4AGMAcgBlAHQAZQBkAEcAcgBlAGEAdABlAHIAVABoAGEAbgBPAG4AZQBZAGUAYQByAFYAYQByAGkAYQB0AGkAbwBuACIALAAiAE0ATQBTAF8ARABhAGkAcgB5AF8ATgAyAE8ARABpAHIAZQBjAHQAXwBFAHEAdQBhAHQAaQBvAG4AcwAuAFYARQBFAFIARwBfADQAXwAzAF8AMQBfADMAXwBfADMAYQBfAFQAbwB0AGEAbABBAG4AbgB1AGEAbABOAGkAdAByAG8AZwBlAG4ARQB4AGMAcgBlAHQAZQBkAEcAcgBlAGEAdABlAHIAVABoAGEAbgBPAG4AZQBZAGUAYQByAF8AVABpAHQAbABlACIALAAiAE0ATQBTAF8ARABhAGkAcgB5AF8ATgAyAE8ARABpAHIAZQBjAHQAXwBFAHEAdQBhAHQAaQBvAG4AcwAuAFYARQBFAFIARwBfADQAXwAzAF8AMQBfADMAXwBfADMAYQBfAFQAbwB0AGEAbABBAG4AbgB1AGEAbABOAGkAdAByAG8AZwBlAG4ARQB4AGMAcgBlAHQAZQBkAEcAcgBlAGEAdABlAHIAVABoAGEAbgBPAG4AZQBZAGUAYQByAF8AVgBhAHIAaQBhAGIAbABlACIALAAiAE0ATQBTAF8ARABhAGkAcgB5AF8ATgAyAE8ARABpAHIAZQBjAHQAXwBFAHEAdQBhAHQAaQBvAG4AcwAuAFYARQBFAFIARwBfADQAXwAzAF8AMQBfADMAXwBfADMAYQBfAFQAbwB0AGEAbABBAG4AbgB1AGEAbABOAGkAdAByAG8AZwBlAG4ARQB4AGMAcgBlAHQAZQBkAEcAcgBlAGEAdABlAHIAVABoAGEAbgBPAG4AZQBZAGUAYQByAF8AVQBuAGkAdAAiACwAIgBNAE0AUwBfAEQAYQBpAHIAeQBfAE4AMgBPAEQAaQByAGUAYwB0AF8ARQBxAHUAYQB0AGkAbwBuAHMALgBWAEUARQBSAEcAXwA0AF8AMwBfADEAXwAzAF8AXwAzAGEAXwBUAG8AdABhAGwAQQBuAG4AdQBhAGwATgBpAHQAcgBvAGcAZQBuAEUAeABjAHIAZQB0AGUAZABHAHIAZQBhAHQAZQByAFQAaABhAG4ATwBuAGUAWQBlAGEAcgBfAFMAbwB1AHIAYwBlACIALAAiAE0ATQBTAF8ARABhAGkAcgB5AF8ATgAyAE8ARABpAHIAZQBjAHQAXwBFAHEAdQBhAHQAaQBvAG4AcwAuAFYARQBFAFIARwBfADQAXwAzAF8AMQBfADMAXwBfADMAYQBfAFQAbwB0AGEAbABBAG4AbgB1AGEAbABOAGkAdAByAG8AZwBlAG4ARQB4AGMAcgBlAHQAZQBkAEcAcgBlAGEAdABlAHIAVABoAGEAbgBPAG4AZQBZAGUAYQByAF8ATgBJAFIAUgBlAGYAZQByAGUAbgBjAGUAIgAsACIATQBNAFMAXwBEAGEAaQByAHkAXwBOADIATwBEAGkAcgBlAGMAdABfAEUAcQB1AGEAdABpAG8AbgBzAC4AVgBFAEUAUgBHAF8ANABfADMAXwAxAF8AMwBfAF8AMwBhAF8AVABvAHQAYQBsAEEAbgBuAHUAYQBsAE4AaQB0AHIAbwBnAGUAbgBFAHgAYwByAGUAdABlAGQARwByAGUAYQB0AGUAcgBUAGgAYQBuAE8AbgBlAFkAZQBhAHIAXwBMAGEAdABlAHgARQBxAHUAYQB0AGkAbwBuACIALAAiAE0ATQBTAF8ARABhAGkAcgB5AF8ATgAyAE8ARABpAHIAZQBjAHQAXwBFAHEAdQBhAHQAaQBvAG4AcwAuAFYARQBFAFIARwBfADQAXwAzAF8AMQBfADMAXwBfADMAYQBfAFQAbwB0AGEAbABBAG4AbgB1AGEAbABOAGkAdAByAG8AZwBlAG4ARQB4AGMAcgBlAHQAZQBkAEcAcgBlAGEAdABlAHIAVABoAGEAbgBPAG4AZQBZAGUAYQByAF8ATABhAHQAZQB4AEUAcQB1AGEAdABpAG8AbgBWAGEAcgBpAGEAdABpAG8AbgAiACwAIgBNAE0AUwBfAEQAYQBpAHIAeQBfAE4AMgBPAEQAaQByAGUAYwB0AF8ARQBxAHUAYQB0AGkAbwBuAHMALgBWAEUARQBSAEcAXwA0AF8AMwBfADEAXwAzAF8AXwAzAGEAXwBUAG8AdABhAGwAQQBuAG4AdQBhAGwATgBpAHQAcgBvAGcAZQBuAEUAeABjAHIAZQB0AGUAZABHAHIAZQBhAHQAZQByAFQAaABhAG4ATwBuAGUAWQBlAGEAcgBfAEEAcgBnAHUAbQBlAG4AdABzACIALAAiAE0ATQBTAF8ARABhAGkAcgB5AF8ATgAyAE8ARABpAHIAZQBjAHQAXwBFAHEAdQBhAHQAaQBvAG4AcwAuAFYARQBFAFIARwBfADQAXwAzAF8AMQBfADMAXwBfADMAYQBfAFQAbwB0AGEAbABBAG4AbgB1AGEAbABOAGkAdAByAG8AZwBlAG4ARQB4AGMAcgBlAHQAZQBkAEcAcgBlAGEAdABlAHIAVABoAGEAbgBPAG4AZQBZAGUAYQByAF8AVgBhAHIAaQBhAHQAaQBvAG4AIgAsACIATQBNAFMAXwBEAGEAaQByAHkAXwBOADIATwBEAGkAcgBlAGMAdABfAEUAcQB1AGEAdABpAG8AbgBzAC4AVgBFAEUAUgBHAF8ANABfADMAXwAxAF8AMwBfAF8AMwBiAF8AVABvAHQAYQBsAEEAbgBuAHUAYQBsAE4AaQB0AHIAbwBnAGUAbgBFAHgAYwByAGUAdABlAGQATABlAHMAcwBUAGgAYQBuAE8AbgBlAFkAZQBhAHIAIgAsACIATQBNAFMAXwBEAGEAaQByAHkAXwBOADIATwBEAGkAcgBlAGMAdABfAEUAcQB1AGEAdABpAG8AbgBzAC4AVgBFAEUAUgBHAF8ANABfADMAXwAxAF8AMwBfAF8AMwBiAF8AVABvAHQAYQBsAEEAbgBuAHUAYQBsAE4AaQB0AHIAbwBnAGUAbgBFAHgAYwByAGUAdABlAGQATABlAHMAcwBUAGgAYQBuAE8AbgBlAFkAZQBhAHIAVgBhAHIAaQBhAHQAaQBvAG4AIgAsACIATQBNAFMAXwBEAGEAaQByAHkAXwBOADIATwBEAGkAcgBlAGMAdABfAEUAcQB1AGEAdABpAG8AbgBzAC4AVgBFAEUAUgBHAF8ANABfADMAXwAxAF8AMwBfAF8AMwBiAF8AVABvAHQAYQBsAEEAbgBuAHUAYQBsAE4AaQB0AHIAbwBnAGUAbgBFAHgAYwByAGUAdABlAGQATABlAHMAcwBUAGgAYQBuAE8AbgBlAFkAZQBhAHIAXwBUAGkAdABsAGUAIgAsACIATQBNAFMAXwBEAGEAaQByAHkAXwBOADIATwBEAGkAcgBlAGMAdABfAEUAcQB1AGEAdABpAG8AbgBzAC4AVgBFAEUAUgBHAF8ANABfADMAXwAxAF8AMwBfAF8AMwBiAF8AVABvAHQAYQBsAEEAbgBuAHUAYQBsAE4AaQB0AHIAbwBnAGUAbgBFAHgAYwByAGUAdABlAGQATABlAHMAcwBUAGgAYQBuAE8AbgBlAFkAZQBhAHIAXwBWAGEAcgBpAGEAYgBsAGUAIgAsACIATQBNAFMAXwBEAGEAaQByAHkAXwBOADIATwBEAGkAcgBlAGMAdABfAEUAcQB1AGEAdABpAG8AbgBzAC4AVgBFAEUAUgBHAF8ANABfADMAXwAxAF8AMwBfAF8AMwBiAF8AVABvAHQAYQBsAEEAbgBuAHUAYQBsAE4AaQB0AHIAbwBnAGUAbgBFAHgAYwByAGUAdABlAGQATABlAHMAcwBUAGgAYQBuAE8AbgBlAFkAZQBhAHIAXwBVAG4AaQB0ACIALAAiAE0ATQBTAF8ARABhAGkAcgB5AF8ATgAyAE8ARABpAHIAZQBjAHQAXwBFAHEAdQBhAHQAaQBvAG4AcwAuAFYARQBFAFIARwBfADQAXwAzAF8AMQBfADMAXwBfADMAYgBfAFQAbwB0AGEAbABBAG4AbgB1AGEAbABOAGkAdAByAG8AZwBlAG4ARQB4AGMAcgBlAHQAZQBkAEwAZQBzAHMAVABoAGEAbgBPAG4AZQBZAGUAYQByAF8AUwBvAHUAcgBjAGUAIgAsACIATQBNAFMAXwBEAGEAaQByAHkAXwBOADIATwBEAGkAcgBlAGMAdABfAEUAcQB1AGEAdABpAG8AbgBzAC4AVgBFAEUAUgBHAF8ANABfADMAXwAxAF8AMwBfAF8AMwBiAF8AVABvAHQAYQBsAEEAbgBuAHUAYQBsAE4AaQB0AHIAbwBnAGUAbgBFAHgAYwByAGUAdABlAGQATABlAHMAcwBUAGgAYQBuAE8AbgBlAFkAZQBhAHIAXwBOAEkAUgBSAGUAZgBlAHIAZQBuAGMAZQAiACwAIgBNAE0AUwBfAEQAYQBpAHIAeQBfAE4AMgBPAEQAaQByAGUAYwB0AF8ARQBxAHUAYQB0AGkAbwBuAHMALgBWAEUARQBSAEcAXwA0AF8AMwBfADEAXwAzAF8AXwAzAGIAXwBUAG8AdABhAGwAQQBuAG4AdQBhAGwATgBpAHQAcgBvAGcAZQBuAEUAeABjAHIAZQB0AGUAZABMAGUAcwBzAFQAaABhAG4ATwBuAGUAWQBlAGEAcgBfAEwAYQB0AGUAeABFAHEAdQBhAHQAaQBvAG4AIgAsACIATQBNAFMAXwBEAGEAaQByAHkAXwBOADIATwBEAGkAcgBlAGMAdABfAEUAcQB1AGEAdABpAG8AbgBzAC4AVgBFAEUAUgBHAF8ANABfADMAXwAxAF8AMwBfAF8AMwBiAF8AVABvAHQAYQBsAEEAbgBuAHUAYQBsAE4AaQB0AHIAbwBnAGUAbgBFAHgAYwByAGUAdABlAGQATABlAHMAcwBUAGgAYQBuAE8AbgBlAFkAZQBhAHIAXwBMAGEAdABlAHgARQBxAHUAYQB0AGkAbwBuAFYAYQByAGkAYQB0AGkAbwBuACIALAAiAE0ATQBTAF8ARABhAGkAcgB5AF8ATgAyAE8ARABpAHIAZQBjAHQAXwBFAHEAdQBhAHQAaQBvAG4AcwAuAFYARQBFAFIARwBfADQAXwAzAF8AMQBfADMAXwBfADMAYgBfAFQAbwB0AGEAbABBAG4AbgB1AGEAbABOAGkAdAByAG8AZwBlAG4ARQB4AGMAcgBlAHQAZQBkAEwAZQBzAHMAVABoAGEAbgBPAG4AZQBZAGUAYQByAF8AQQByAGcAdQBtAGUAbgB0AHMAIgAsACIATQBNAFMAXwBEAGEAaQByAHkAXwBOADIATwBEAGkAcgBlAGMAdABfAEUAcQB1AGEAdABpAG8AbgBzAC4AVgBFAEUAUgBHAF8ANABfADMAXwAxAF8AMwBfAF8AMwBiAF8AVABvAHQAYQBsAEEAbgBuAHUAYQBsAE4AaQB0AHIAbwBnAGUAbgBFAHgAYwByAGUAdABlAGQATABlAHMAcwBUAGgAYQBuAE8AbgBlAFkAZQBhAHIAXwBWAGEAcgBpAGEAdABpAG8AbgAiACwAIgBNAE0AUwBfAEQAYQBpAHIAeQBfAE4AMgBPAEQAaQByAGUAYwB0AF8ARQBxAHUAYQB0AGkAbwBuAHMALgBWAEUARQBSAEcAXwA0AF8AMwBfADEAXwAzAF8AXwA0AF8ATgBpAHQAcgBvAGcAZQBuAEUAeABjAHIAZQB0AGUAZABCAHkARABhAGkAcgB5AEMAYQB0AHQAbABlAEcAcgBlAGEAdABlAHIAVABoAGEAbgBPAG4AZQBZAGUAYQByACIALAAiAE0ATQBTAF8ARABhAGkAcgB5AF8ATgAyAE8ARABpAHIAZQBjAHQAXwBFAHEAdQBhAHQAaQBvAG4AcwAuAFYARQBFAFIARwBfADQAXwAzAF8AMQBfADMAXwBfADQAXwBOAGkAdAByAG8AZwBlAG4ARQB4AGMAcgBlAHQAZQBkAEIAeQBEAGEAaQByAHkAQwBhAHQAdABsAGUARwByAGUAYQB0AGUAcgBUAGgAYQBuAE8AbgBlAFkAZQBhAHIAXwBUAGkAdABsAGUAIgAsACIATQBNAFMAXwBEAGEAaQByAHkAXwBOADIATwBEAGkAcgBlAGMAdABfAEUAcQB1AGEAdABpAG8AbgBzAC4AVgBFAEUAUgBHAF8ANABfADMAXwAxAF8AMwBfAF8ANABfAE4AaQB0AHIAbwBnAGUAbgBFAHgAYwByAGUAdABlAGQAQgB5AEQAYQBpAHIAeQBDAGEAdAB0AGwAZQBHAHIAZQBhAHQAZQByAFQAaABhAG4ATwBuAGUAWQBlAGEAcgBfAFYAYQByAGkAYQBiAGwAZQAiACwAIgBNAE0AUwBfAEQAYQBpAHIAeQBfAE4AMgBPAEQAaQByAGUAYwB0AF8ARQBxAHUAYQB0AGkAbwBuAHMALgBWAEUARQBSAEcAXwA0AF8AMwBfADEAXwAzAF8AXwA0AF8ATgBpAHQAcgBvAGcAZQBuAEUAeABjAHIAZQB0AGUAZABCAHkARABhAGkAcgB5AEMAYQB0AHQAbABlAEcAcgBlAGEAdABlAHIAVABoAGEAbgBPAG4AZQBZAGUAYQByAF8AVQBuAGkAdAAiACwAIgBNAE0AUwBfAEQAYQBpAHIAeQBfAE4AMgBPAEQAaQByAGUAYwB0AF8ARQBxAHUAYQB0AGkAbwBuAHMALgBWAEUARQBSAEcAXwA0AF8AMwBfADEAXwAzAF8AXwA0AF8ATgBpAHQAcgBvAGcAZQBuAEUAeABjAHIAZQB0AGUAZABCAHkARABhAGkAcgB5AEMAYQB0AHQAbABlAEcAcgBlAGEAdABlAHIAVABoAGEAbgBPAG4AZQBZAGUAYQByAF8AUwBvAHUAcgBjAGUAIgAsACIATQBNAFMAXwBEAGEAaQByAHkAXwBOADIATwBEAGkAcgBlAGMAdABfAEUAcQB1AGEAdABpAG8AbgBzAC4AVgBFAEUAUgBHAF8ANABfADMAXwAxAF8AMwBfAF8ANABfAE4AaQB0AHIAbwBnAGUAbgBFAHgAYwByAGUAdABlAGQAQgB5AEQAYQBpAHIAeQBDAGEAdAB0AGwAZQBHAHIAZQBhAHQAZQByAFQAaABhAG4ATwBuAGUAWQBlAGEAcgBfAE4ASQBSAFIAZQBmAGUAcgBlAG4AYwBlACIALAAiAE0ATQBTAF8ARABhAGkAcgB5AF8ATgAyAE8ARABpAHIAZQBjAHQAXwBFAHEAdQBhAHQAaQBvAG4AcwAuAFYARQBFAFIARwBfADQAXwAzAF8AMQBfADMAXwBfADQAXwBOAGkAdAByAG8AZwBlAG4ARQB4AGMAcgBlAHQAZQBkAEIAeQBEAGEAaQByAHkAQwBhAHQAdABsAGUARwByAGUAYQB0AGUAcgBUAGgAYQBuAE8AbgBlAFkAZQBhAHIAXwBMAGEAdABlAHgARQBxAHUAYQB0AGkAbwBuACIALAAiAE0ATQBTAF8ARABhAGkAcgB5AF8ATgAyAE8ARABpAHIAZQBjAHQAXwBFAHEAdQBhAHQAaQBvAG4AcwAuAFYARQBFAFIARwBfADQAXwAzAF8AMQBfADMAXwBfADQAXwBOAGkAdAByAG8AZwBlAG4ARQB4AGMAcgBlAHQAZQBkAEIAeQBEAGEAaQByAHkAQwBhAHQAdABsAGUARwByAGUAYQB0AGUAcgBUAGgAYQBuAE8AbgBlAFkAZQBhAHIAXwBBAHIAZwB1AG0AZQBuAHQAcwAiACwAIgBNAE0AUwBfAEQAYQBpAHIAeQBfAE4AMgBPAEQAaQByAGUAYwB0AF8ARQBxAHUAYQB0AGkAbwBuAHMALgBWAEUARQBSAEcAXwA0AF8AMwBfADEAXwAzAF8AXwA1AF8AQwByAHUAZABlAFAAcgBvAHQAZQBpAG4ASQBuAHQAYQBrAGUATwBmAEQAYQBpAHIAeQBDAGEAdAB0AGwAZQAiACwAIgBNAE0AUwBfAEQAYQBpAHIAeQBfAE4AMgBPAEQAaQByAGUAYwB0AF8ARQBxAHUAYQB0AGkAbwBuAHMALgBWAEUARQBSAEcAXwA0AF8AMwBfADEAXwAzAF8AXwA1AF8AQwByAHUAZABlAFAAcgBvAHQAZQBpAG4ASQBuAHQAYQBrAGUATwBmAEQAYQBpAHIAeQBDAGEAdAB0AGwAZQBfAFQAaQB0AGwAZQAiACwAIgBNAE0AUwBfAEQAYQBpAHIAeQBfAE4AMgBPAEQAaQByAGUAYwB0AF8ARQBxAHUAYQB0AGkAbwBuAHMALgBWAEUARQBSAEcAXwA0AF8AMwBfADEAXwAzAF8AXwA1AF8AQwByAHUAZABlAFAAcgBvAHQAZQBpAG4ASQBuAHQAYQBrAGUATwBmAEQAYQBpAHIAeQBDAGEAdAB0AGwAZQBfAFYAYQByAGkAYQBiAGwAZQAiACwAIgBNAE0AUwBfAEQAYQBpAHIAeQBfAE4AMgBPAEQAaQByAGUAYwB0AF8ARQBxAHUAYQB0AGkAbwBuAHMALgBWAEUARQBSAEcAXwA0AF8AMwBfADEAXwAzAF8AXwA1AF8AQwByAHUAZABlAFAAcgBvAHQAZQBpAG4ASQBuAHQAYQBrAGUATwBmAEQAYQBpAHIAeQBDAGEAdAB0AGwAZQBfAFUAbgBpAHQAIgAsACIATQBNAFMAXwBEAGEAaQByAHkAXwBOADIATwBEAGkAcgBlAGMAdABfAEUAcQB1AGEAdABpAG8AbgBzAC4AVgBFAEUAUgBHAF8ANABfADMAXwAxAF8AMwBfAF8ANQBfAEMAcgB1AGQAZQBQAHIAbwB0AGUAaQBuAEkAbgB0AGEAawBlAE8AZgBEAGEAaQByAHkAQwBhAHQAdABsAGUAXwBTAG8AdQByAGMAZQAiACwAIgBNAE0AUwBfAEQAYQBpAHIAeQBfAE4AMgBPAEQAaQByAGUAYwB0AF8ARQBxAHUAYQB0AGkAbwBuAHMALgBWAEUARQBSAEcAXwA0AF8AMwBfADEAXwAzAF8AXwA1AF8AQwByAHUAZABlAFAAcgBvAHQAZQBpAG4ASQBuAHQAYQBrAGUATwBmAEQAYQBpAHIAeQBDAGEAdAB0AGwAZQBfAE4ASQBSAFIAZQBmAGUAcgBlAG4AYwBlACIALAAiAE0ATQBTAF8ARABhAGkAcgB5AF8ATgAyAE8ARABpAHIAZQBjAHQAXwBFAHEAdQBhAHQAaQBvAG4AcwAuAFYARQBFAFIARwBfADQAXwAzAF8AMQBfADMAXwBfADUAXwBDAHIAdQBkAGUAUAByAG8AdABlAGkAbgBJAG4AdABhAGsAZQBPAGYARABhAGkAcgB5AEMAYQB0AHQAbABlAF8ATABhAHQAZQB4AEUAcQB1AGEAdABpAG8AbgAiACwAIgBNAE0AUwBfAEQAYQBpAHIAeQBfAE4AMgBPAEQAaQByAGUAYwB0AF8ARQBxAHUAYQB0AGkAbwBuAHMALgBWAEUARQBSAEcAXwA0AF8AMwBfADEAXwAzAF8AXwA1AF8AQwByAHUAZABlAFAAcgBvAHQAZQBpAG4ASQBuAHQAYQBrAGUATwBmAEQAYQBpAHIAeQBDAGEAdAB0AGwAZQBfAEEAcgBnAHUAbQBlAG4AdABzACIALAAiAE0ATQBTAF8ARABhAGkAcgB5AF8ATgAyAE8ARABpAHIAZQBjAHQAXwBFAHEAdQBhAHQAaQBvAG4AcwAuAFYARQBFAFIARwBfADQAXwAzAF8AMQBfADMAXwBfADYAXwBOAGkAdAByAG8AZwBlAG4AUgBlAHQAYQBpAG4AZQBkAEIAeQBCAG8AZAB5ACIALAAiAE0ATQBTAF8ARABhAGkAcgB5AF8ATgAyAE8ARABpAHIAZQBjAHQAXwBFAHEAdQBhAHQAaQBvAG4AcwAuAFYARQBFAFIARwBfADQAXwAzAF8AMQBfADMAXwBfADYAXwBOAGkAdAByAG8AZwBlAG4AUgBlAHQAYQBpAG4AZQBkAEIAeQBCAG8AZAB5AF8AVABpAHQAbABlACIALAAiAE0ATQBTAF8ARABhAGkAcgB5AF8ATgAyAE8ARABpAHIAZQBjAHQAXwBFAHEAdQBhAHQAaQBvAG4AcwAuAFYARQBFAFIARwBfADQAXwAzAF8AMQBfADMAXwBfADYAXwBOAGkAdAByAG8AZwBlAG4AUgBlAHQAYQBpAG4AZQBkAEIAeQBCAG8AZAB5AF8AVgBhAHIAaQBhAGIAbABlACIALAAiAE0ATQBTAF8ARABhAGkAcgB5AF8ATgAyAE8ARABpAHIAZQBjAHQAXwBFAHEAdQBhAHQAaQBvAG4AcwAuAFYARQBFAFIARwBfADQAXwAzAF8AMQBfADMAXwBfADYAXwBOAGkAdAByAG8AZwBlAG4AUgBlAHQAYQBpAG4AZQBkAEIAeQBCAG8AZAB5AF8AVQBuAGkAdAAiACwAIgBNAE0AUwBfAEQAYQBpAHIAeQBfAE4AMgBPAEQAaQByAGUAYwB0AF8ARQBxAHUAYQB0AGkAbwBuAHMALgBWAEUARQBSAEcAXwA0AF8AMwBfADEAXwAzAF8AXwA2AF8ATgBpAHQAcgBvAGcAZQBuAFIAZQB0AGEAaQBuAGUAZABCAHkAQgBvAGQAeQBfAFMAbwB1AHIAYwBlACIALAAiAE0ATQBTAF8ARABhAGkAcgB5AF8ATgAyAE8ARABpAHIAZQBjAHQAXwBFAHEAdQBhAHQAaQBvAG4AcwAuAFYARQBFAFIARwBfADQAXwAzAF8AMQBfADMAXwBfADYAXwBOAGkAdAByAG8AZwBlAG4AUgBlAHQAYQBpAG4AZQBkAEIAeQBCAG8AZAB5AF8ATgBJAFIAUgBlAGYAZQByAGUAbgBjAGUAIgAsACIATQBNAFMAXwBEAGEAaQByAHkAXwBOADIATwBEAGkAcgBlAGMAdABfAEUAcQB1AGEAdABpAG8AbgBzAC4AVgBFAEUAUgBHAF8ANABfADMAXwAxAF8AMwBfAF8ANgBfAE4AaQB0AHIAbwBnAGUAbgBSAGUAdABhAGkAbgBlAGQAQgB5AEIAbwBkAHkAXwBMAGEAdABlAHgARQBxAHUAYQB0AGkAbwBuACIALAAiAE0ATQBTAF8ARABhAGkAcgB5AF8ATgAyAE8ARABpAHIAZQBjAHQAXwBFAHEAdQBhAHQAaQBvAG4AcwAuAFYARQBFAFIARwBfADQAXwAzAF8AMQBfADMAXwBfADYAXwBOAGkAdAByAG8AZwBlAG4AUgBlAHQAYQBpAG4AZQBkAEIAeQBCAG8AZAB5AF8AQQByAGcAdQBtAGUAbgB0AHMAIgAsACIATQBNAFMAXwBEAGEAaQByAHkAXwBOADIATwBEAGkAcgBlAGMAdABfAEUAcQB1AGEAdABpAG8AbgBzAC4AVgBFAEUAUgBHAF8ANABfADMAXwAxAF8AMwBfAF8ANgBfAE4AaQB0AHIAbwBnAGUAbgBSAGUAdABhAGkAbgBlAGQAQgB5AEIAbwBkAHkAXwBWAGEAcgBpAGEAdABpAG8AbgAiACwAIgBNAE0AUwBfAEQAYQBpAHIAeQBfAE4AMgBPAEQAaQByAGUAYwB0AF8ARQBxAHUAYQB0AGkAbwBuAHMALgBWAEUARQBSAEcAXwA0AF8AMwBfADEAXwAzAF8AXwA3AF8ASQBuAHQAYQBrAGUAUgBlAGwAYQB0AGkAdgBlAFQAbwBNAGEAaQBuAHQAZQBuAGEAbgBjAGUAIgAsACIATQBNAFMAXwBEAGEAaQByAHkAXwBOADIATwBEAGkAcgBlAGMAdABfAEUAcQB1AGEAdABpAG8AbgBzAC4AVgBFAEUAUgBHAF8ANABfADMAXwAxAF8AMwBfAF8ANwBfAEkAbgB0AGEAawBlAFIAZQBsAGEAdABpAHYAZQBUAG8ATQBhAGkAbgB0AGUAbgBhAG4AYwBlAF8AVABpAHQAbABlACIALAAiAE0ATQBTAF8ARABhAGkAcgB5AF8ATgAyAE8ARABpAHIAZQBjAHQAXwBFAHEAdQBhAHQAaQBvAG4AcwAuAFYARQBFAFIARwBfADQAXwAzAF8AMQBfADMAXwBfADcAXwBJAG4AdABhAGsAZQBSAGUAbABhAHQAaQB2AGUAVABvAE0AYQBpAG4AdABlAG4AYQBuAGMAZQBfAFYAYQByAGkAYQBiAGwAZQAiACwAIgBNAE0AUwBfAEQAYQBpAHIAeQBfAE4AMgBPAEQAaQByAGUAYwB0AF8ARQBxAHUAYQB0AGkAbwBuAHMALgBWAEUARQBSAEcAXwA0AF8AMwBfADEAXwAzAF8AXwA3AF8ASQBuAHQAYQBrAGUAUgBlAGwAYQB0AGkAdgBlAFQAbwBNAGEAaQBuAHQAZQBuAGEAbgBjAGUAXwBVAG4AaQB0ACIALAAiAE0ATQBTAF8ARABhAGkAcgB5AF8ATgAyAE8ARABpAHIAZQBjAHQAXwBFAHEAdQBhAHQAaQBvAG4AcwAuAFYARQBFAFIARwBfADQAXwAzAF8AMQBfADMAXwBfADcAXwBJAG4AdABhAGsAZQBSAGUAbABhAHQAaQB2AGUAVABvAE0AYQBpAG4AdABlAG4AYQBuAGMAZQBfAFMAbwB1AHIAYwBlACIALAAiAE0ATQBTAF8ARABhAGkAcgB5AF8ATgAyAE8ARABpAHIAZQBjAHQAXwBFAHEAdQBhAHQAaQBvAG4AcwAuAFYARQBFAFIARwBfADQAXwAzAF8AMQBfADMAXwBfADcAXwBJAG4AdABhAGsAZQBSAGUAbABhAHQAaQB2AGUAVABvAE0AYQBpAG4AdABlAG4AYQBuAGMAZQBfAE4ASQBSAFIAZQBmAGUAcgBlAG4AYwBlACIALAAiAE0ATQBTAF8ARABhAGkAcgB5AF8ATgAyAE8ARABpAHIAZQBjAHQAXwBFAHEAdQBhAHQAaQBvAG4AcwAuAFYARQBFAFIARwBfADQAXwAzAF8AMQBfADMAXwBfADcAXwBJAG4AdABhAGsAZQBSAGUAbABhAHQAaQB2AGUAVABvAE0AYQBpAG4AdABlAG4AYQBuAGMAZQBfAEwAYQB0AGUAeABFAHEAdQBhAHQAaQBvAG4AIgAsACIATQBNAFMAXwBEAGEAaQByAHkAXwBOADIATwBEAGkAcgBlAGMAdABfAEUAcQB1AGEAdABpAG8AbgBzAC4AVgBFAEUAUgBHAF8ANABfADMAXwAxAF8AMwBfAF8ANwBfAEkAbgB0AGEAawBlAFIAZQBsAGEAdABpAHYAZQBUAG8ATQBhAGkAbgB0AGUAbgBhAG4AYwBlAF8AQQByAGcAdQBtAGUAbgB0AHMAIgAsACIATQBNAFMAXwBEAGEAaQByAHkAXwBOADIATwBEAGkAcgBlAGMAdABfAEUAcQB1AGEAdABpAG8AbgBzAC4AVgBFAEUAUgBHAF8ANABfADMAXwAxAF8AMwBfAF8AOABfAFIAZQBsAGEAdABpAHYAZQBTAGkAegBlACIALAAiAE0ATQBTAF8ARABhAGkAcgB5AF8ATgAyAE8ARABpAHIAZQBjAHQAXwBFAHEAdQBhAHQAaQBvAG4AcwAuAFYARQBFAFIARwBfADQAXwAzAF8AMQBfADMAXwBfADgAXwBSAGUAbABhAHQAaQB2AGUAUwBpAHoAZQBfAFQAaQB0AGwAZQAiACwAIgBNAE0AUwBfAEQAYQBpAHIAeQBfAE4AMgBPAEQAaQByAGUAYwB0AF8ARQBxAHUAYQB0AGkAbwBuAHMALgBWAEUARQBSAEcAXwA0AF8AMwBfADEAXwAzAF8AXwA4AF8AUgBlAGwAYQB0AGkAdgBlAFMAaQB6AGUAXwBWAGEAcgBpAGEAYgBsAGUAIgAsACIATQBNAFMAXwBEAGEAaQByAHkAXwBOADIATwBEAGkAcgBlAGMAdABfAEUAcQB1AGEAdABpAG8AbgBzAC4AVgBFAEUAUgBHAF8ANABfADMAXwAxAF8AMwBfAF8AOABfAFIAZQBsAGEAdABpAHYAZQBTAGkAegBlAF8AVQBuAGkAdAAiACwAIgBNAE0AUwBfAEQAYQBpAHIAeQBfAE4AMgBPAEQAaQByAGUAYwB0AF8ARQBxAHUAYQB0AGkAbwBuAHMALgBWAEUARQBSAEcAXwA0AF8AMwBfADEAXwAzAF8AXwA4AF8AUgBlAGwAYQB0AGkAdgBlAFMAaQB6AGUAXwBTAG8AdQByAGMAZQAiACwAIgBNAE0AUwBfAEQAYQBpAHIAeQBfAE4AMgBPAEQAaQByAGUAYwB0AF8ARQBxAHUAYQB0AGkAbwBuAHMALgBWAEUARQBSAEcAXwA0AF8AMwBfADEAXwAzAF8AXwA4AF8AUgBlAGwAYQB0AGkAdgBlAFMAaQB6AGUAXwBOAEkAUgBSAGUAZgBlAHIAZQBuAGMAZQAiACwAIgBNAE0AUwBfAEQAYQBpAHIAeQBfAE4AMgBPAEQAaQByAGUAYwB0AF8ARQBxAHUAYQB0AGkAbwBuAHMALgBWAEUARQBSAEcAXwA0AF8AMwBfADEAXwAzAF8AXwA4AF8AUgBlAGwAYQB0AGkAdgBlAFMAaQB6AGUAXwBMAGEAdABlAHgARQBxAHUAYQB0AGkAbwBuACIALAAiAE0ATQBTAF8ARABhAGkAcgB5AF8ATgAyAE8ARABpAHIAZQBjAHQAXwBFAHEAdQBhAHQAaQBvAG4AcwAuAFYARQBFAFIARwBfADQAXwAzAF8AMQBfADMAXwBfADgAXwBSAGUAbABhAHQAaQB2AGUAUwBpAHoAZQBfAEEAcgBnAHUAbQBlAG4AdABzACIALAAiAEUAbgB0AGUAcgBpAGMATQBlAHQAaABhAG4AZQBfAEQAYQBpAHIAeQBfAEUAcQB1AGEAdABpAG8AbgBzAC4AVgBFAEUAUgBHAF8AMwBfADMAXwAxAF8AMQBfAF8AMQBfAFQAbwB0AGEAbABBAG4AbgB1AGEAbABNAGUAdABoAGEAbgBlAEYAcgBvAG0ARQBuAHQAZQByAGkAYwBGAGUAcgBtAGUAbgB0AGEAdABpAG8AbgAiACwAIgBFAG4AdABlAHIAaQBjAE0AZQB0AGgAYQBuAGUAXwBEAGEAaQByAHkAXwBFAHEAdQBhAHQAaQBvAG4AcwAuAFYARQBFAFIARwBfADMAXwAzAF8AMQBfADEAXwBfADEAXwBUAG8AdABhAGwAQQBuAG4AdQBhAGwATQBlAHQAaABhAG4AZQBGAHIAbwBtAEUAbgB0AGUAcgBpAGMARgBlAHIAbQBlAG4AdABhAHQAaQBvAG4AVgBhAHIAaQBhAHQAaQBvAG4AIgAsACIARQBuAHQAZQByAGkAYwBNAGUAdABoAGEAbgBlAF8ARABhAGkAcgB5AF8ARQBxAHUAYQB0AGkAbwBuAHMALgBWAEUARQBSAEcAXwAzAF8AMwBfADEAXwAxAF8AXwAxAF8AVABvAHQAYQBsAEEAbgBuAHUAYQBsAE0AZQB0AGgAYQBuAGUARgByAG8AbQBFAG4AdABlAHIAaQBjAEYAZQByAG0AZQBuAHQAYQB0AGkAbwBuAF8AVABpAHQAbABlACIALAAiAEUAbgB0AGUAcgBpAGMATQBlAHQAaABhAG4AZQBfAEQAYQBpAHIAeQBfAEUAcQB1AGEAdABpAG8AbgBzAC4AVgBFAEUAUgBHAF8AMwBfADMAXwAxAF8AMQBfAF8AMQBfAFQAbwB0AGEAbABBAG4AbgB1AGEAbABNAGUAdABoAGEAbgBlAEYAcgBvAG0ARQBuAHQAZQByAGkAYwBGAGUAcgBtAGUAbgB0AGEAdABpAG8AbgBfAFYAYQByAGkAYQBiAGwAZQAiACwAIgBFAG4AdABlAHIAaQBjAE0AZQB0AGgAYQBuAGUAXwBEAGEAaQByAHkAXwBFAHEAdQBhAHQAaQBvAG4AcwAuAFYARQBFAFIARwBfADMAXwAzAF8AMQBfADEAXwBfADEAXwBUAG8AdABhAGwAQQBuAG4AdQBhAGwATQBlAHQAaABhAG4AZQBGAHIAbwBtAEUAbgB0AGUAcgBpAGMARgBlAHIAbQBlAG4AdABhAHQAaQBvAG4AXwBVAG4AaQB0ACIALAAiAEUAbgB0AGUAcgBpAGMATQBlAHQAaABhAG4AZQBfAEQAYQBpAHIAeQBfAEUAcQB1AGEAdABpAG8AbgBzAC4AVgBFAEUAUgBHAF8AMwBfADMAXwAxAF8AMQBfAF8AMQBfAFQAbwB0AGEAbABBAG4AbgB1AGEAbABNAGUAdABoAGEAbgBlAEYAcgBvAG0ARQBuAHQAZQByAGkAYwBGAGUAcgBtAGUAbgB0AGEAdABpAG8AbgBfAFMAbwB1AHIAYwBlACIALAAiAEUAbgB0AGUAcgBpAGMATQBlAHQAaABhAG4AZQBfAEQAYQBpAHIAeQBfAEUAcQB1AGEAdABpAG8AbgBzAC4AVgBFAEUAUgBHAF8AMwBfADMAXwAxAF8AMQBfAF8AMQBfAFQAbwB0AGEAbABBAG4AbgB1AGEAbABNAGUAdABoAGEAbgBlAEYAcgBvAG0ARQBuAHQAZQByAGkAYwBGAGUAcgBtAGUAbgB0AGEAdABpAG8AbgBfAE4ASQBSAFIAZQBmAGUAcgBlAG4AYwBlACIALAAiAEUAbgB0AGUAcgBpAGMATQBlAHQAaABhAG4AZQBfAEQAYQBpAHIAeQBfAEUAcQB1AGEAdABpAG8AbgBzAC4AVgBFAEUAUgBHAF8AMwBfADMAXwAxAF8AMQBfAF8AMQBfAFQAbwB0AGEAbABBAG4AbgB1AGEAbABNAGUAdABoAGEAbgBlAEYAcgBvAG0ARQBuAHQAZQByAGkAYwBGAGUAcgBtAGUAbgB0AGEAdABpAG8AbgBfAEwAYQB0AGUAeABFAHEAdQBhAHQAaQBvAG4AIgAsACIARQBuAHQAZQByAGkAYwBNAGUAdABoAGEAbgBlAF8ARABhAGkAcgB5AF8ARQBxAHUAYQB0AGkAbwBuAHMALgBWAEUARQBSAEcAXwAzAF8AMwBfADEAXwAxAF8AXwAxAF8AVABvAHQAYQBsAEEAbgBuAHUAYQBsAE0AZQB0AGgAYQBuAGUARgByAG8AbQBFAG4AdABlAHIAaQBjAEYAZQByAG0AZQBuAHQAYQB0AGkAbwBuAF8ATABhAHQAZQB4AEUAcQB1AGEAdABpAG8AbgBWAGEAcgBpAGEAdABpAG8AbgAiACwAIgBFAG4AdABlAHIAaQBjAE0AZQB0AGgAYQBuAGUAXwBEAGEAaQByAHkAXwBFAHEAdQBhAHQAaQBvAG4AcwAuAFYARQBFAFIARwBfADMAXwAzAF8AMQBfADEAXwBfADEAXwBUAG8AdABhAGwAQQBuAG4AdQBhAGwATQBlAHQAaABhAG4AZQBGAHIAbwBtAEUAbgB0AGUAcgBpAGMARgBlAHIAbQBlAG4AdABhAHQAaQBvAG4AXwBBAHIAZwB1AG0AZQBuAHQAcwAiACwAIgBFAG4AdABlAHIAaQBjAE0AZQB0AGgAYQBuAGUAXwBEAGEAaQByAHkAXwBFAHEAdQBhAHQAaQBvAG4AcwAuAFYARQBFAFIARwBfADMAXwAzAF8AMQBfADEAXwBfADEAXwBUAG8AdABhAGwAQQBuAG4AdQBhAGwATQBlAHQAaABhAG4AZQBGAHIAbwBtAEUAbgB0AGUAcgBpAGMARgBlAHIAbQBlAG4AdABhAHQAaQBvAG4AXwBWAGEAcgBpAGEAdABpAG8AbgAiACwAIgBFAG4AdABlAHIAaQBjAE0AZQB0AGgAYQBuAGUAXwBEAGEAaQByAHkAXwBFAHEAdQBhAHQAaQBvAG4AcwAuAFYARQBFAFIARwBfADMAXwAzAF8AMQBfADEAXwBfADIAXwBEAGEAaQBsAHkARQBuAHQAZQByAGkAYwBNAGUAdABoAGEAbgBlAFAAcgBvAGQAdQBjAHQAaQBvAG4AIgAsACIARQBuAHQAZQByAGkAYwBNAGUAdABoAGEAbgBlAF8ARABhAGkAcgB5AF8ARQBxAHUAYQB0AGkAbwBuAHMALgBWAEUARQBSAEcAXwAzAF8AMwBfADEAXwAxAF8AXwAyAF8ARABhAGkAbAB5AEUAbgB0AGUAcgBpAGMATQBlAHQAaABhAG4AZQBQAHIAbwBkAHUAYwB0AGkAbwBuAF8AVABpAHQAbABlACIALAAiAEUAbgB0AGUAcgBpAGMATQBlAHQAaABhAG4AZQBfAEQAYQBpAHIAeQBfAEUAcQB1AGEAdABpAG8AbgBzAC4AVgBFAEUAUgBHAF8AMwBfADMAXwAxAF8AMQBfAF8AMgBfAEQAYQBpAGwAeQBFAG4AdABlAHIAaQBjAE0AZQB0AGgAYQBuAGUAUAByAG8AZAB1AGMAdABpAG8AbgBfAFYAYQByAGkAYQBiAGwAZQAiACwAIgBFAG4AdABlAHIAaQBjAE0AZQB0AGgAYQBuAGUAXwBEAGEAaQByAHkAXwBFAHEAdQBhAHQAaQBvAG4AcwAuAFYARQBFAFIARwBfADMAXwAzAF8AMQBfADEAXwBfADIAXwBEAGEAaQBsAHkARQBuAHQAZQByAGkAYwBNAGUAdABoAGEAbgBlAFAAcgBvAGQAdQBjAHQAaQBvAG4AXwBVAG4AaQB0ACIALAAiAEUAbgB0AGUAcgBpAGMATQBlAHQAaABhAG4AZQBfAEQAYQBpAHIAeQBfAEUAcQB1AGEAdABpAG8AbgBzAC4AVgBFAEUAUgBHAF8AMwBfADMAXwAxAF8AMQBfAF8AMgBfAEQAYQBpAGwAeQBFAG4AdABlAHIAaQBjAE0AZQB0AGgAYQBuAGUAUAByAG8AZAB1AGMAdABpAG8AbgBfAFMAbwB1AHIAYwBlACIALAAiAEUAbgB0AGUAcgBpAGMATQBlAHQAaABhAG4AZQBfAEQAYQBpAHIAeQBfAEUAcQB1AGEAdABpAG8AbgBzAC4AVgBFAEUAUgBHAF8AMwBfADMAXwAxAF8AMQBfAF8AMgBfAEQAYQBpAGwAeQBFAG4AdABlAHIAaQBjAE0AZQB0AGgAYQBuAGUAUAByAG8AZAB1AGMAdABpAG8AbgBfAE4ASQBSAFIAZQBmAGUAcgBlAG4AYwBlACIALAAiAEUAbgB0AGUAcgBpAGMATQBlAHQAaABhAG4AZQBfAEQAYQBpAHIAeQBfAEUAcQB1AGEAdABpAG8AbgBzAC4AVgBFAEUAUgBHAF8AMwBfADMAXwAxAF8AMQBfAF8AMgBfAEQAYQBpAGwAeQBFAG4AdABlAHIAaQBjAE0AZQB0AGgAYQBuAGUAUAByAG8AZAB1AGMAdABpAG8AbgBfAEwAYQB0AGUAeABFAHEAdQBhAHQAaQBvAG4AIgAsACIARQBuAHQAZQByAGkAYwBNAGUAdABoAGEAbgBlAF8ARABhAGkAcgB5AF8ARQBxAHUAYQB0AGkAbwBuAHMALgBWAEUARQBSAEcAXwAzAF8AMwBfADEAXwAxAF8AXwAyAF8ARABhAGkAbAB5AEUAbgB0AGUAcgBpAGMATQBlAHQAaABhAG4AZQBQAHIAbwBkAHUAYwB0AGkAbwBuAF8AQQByAGcAdQBtAGUAbgB0AHMAIgAsACIARQBuAHQAZQByAGkAYwBNAGUAdABoAGEAbgBlAF8ARABhAGkAcgB5AF8ARQBxAHUAYQB0AGkAbwBuAHMALgBWAEUARQBSAEcAXwAzAF8AMwBfADEAXwAxAF8AXwAzAF8ARAByAHkATQBhAHQAdABlAHIARgBlAGUAZABJAG4AdABhAGsAZQAiACwAIgBFAG4AdABlAHIAaQBjAE0AZQB0AGgAYQBuAGUAXwBEAGEAaQByAHkAXwBFAHEAdQBhAHQAaQBvAG4AcwAuAFYARQBFAFIARwBfADMAXwAzAF8AMQBfADEAXwBfADMAXwBEAHIAeQBNAGEAdAB0AGUAcgBGAGUAZQBkAEkAbgB0AGEAawBlAF8AVABpAHQAbABlACIALAAiAEUAbgB0AGUAcgBpAGMATQBlAHQAaABhAG4AZQBfAEQAYQBpAHIAeQBfAEUAcQB1AGEAdABpAG8AbgBzAC4AVgBFAEUAUgBHAF8AMwBfADMAXwAxAF8AMQBfAF8AMwBfAEQAcgB5AE0AYQB0AHQAZQByAEYAZQBlAGQASQBuAHQAYQBrAGUAXwBWAGEAcgBpAGEAYgBsAGUAIgAsACIARQBuAHQAZQByAGkAYwBNAGUAdABoAGEAbgBlAF8ARABhAGkAcgB5AF8ARQBxAHUAYQB0AGkAbwBuAHMALgBWAEUARQBSAEcAXwAzAF8AMwBfADEAXwAxAF8AXwAzAF8ARAByAHkATQBhAHQAdABlAHIARgBlAGUAZABJAG4AdABhAGsAZQBfAFUAbgBpAHQAIgAsACIARQBuAHQAZQByAGkAYwBNAGUAdABoAGEAbgBlAF8ARABhAGkAcgB5AF8ARQBxAHUAYQB0AGkAbwBuAHMALgBWAEUARQBSAEcAXwAzAF8AMwBfADEAXwAxAF8AXwAzAF8ARAByAHkATQBhAHQAdABlAHIARgBlAGUAZABJAG4AdABhAGsAZQBfAFMAbwB1AHIAYwBlACIALAAiAEUAbgB0AGUAcgBpAGMATQBlAHQAaABhAG4AZQBfAEQAYQBpAHIAeQBfAEUAcQB1AGEAdABpAG8AbgBzAC4AVgBFAEUAUgBHAF8AMwBfADMAXwAxAF8AMQBfAF8AMwBfAEQAcgB5AE0AYQB0AHQAZQByAEYAZQBlAGQASQBuAHQAYQBrAGUAXwBOAEkAUgBSAGUAZgBlAHIAZQBuAGMAZQAiACwAIgBFAG4AdABlAHIAaQBjAE0AZQB0AGgAYQBuAGUAXwBEAGEAaQByAHkAXwBFAHEAdQBhAHQAaQBvAG4AcwAuAFYARQBFAFIARwBfADMAXwAzAF8AMQBfADEAXwBfADMAXwBEAHIAeQBNAGEAdAB0AGUAcgBGAGUAZQBkAEkAbgB0AGEAawBlAF8ATABhAHQAZQB4AEUAcQB1AGEAdABpAG8AbgAiACwAIgBFAG4AdABlAHIAaQBjAE0AZQB0AGgAYQBuAGUAXwBEAGEAaQByAHkAXwBFAHEAdQBhAHQAaQBvAG4AcwAuAFYARQBFAFIARwBfADMAXwAzAF8AMQBfADEAXwBfADMAXwBEAHIAeQBNAGEAdAB0AGUAcgBGAGUAZQBkAEkAbgB0AGEAawBlAF8AQQByAGcAdQBtAGUAbgB0AHMAIgAsACIARQBuAHQAZQByAGkAYwBNAGUAdABoAGEAbgBlAF8ARABhAGkAcgB5AF8ARQBxAHUAYQB0AGkAbwBuAHMALgBWAEUARQBSAEcAXwAzAF8AMwBfADEAXwAxAF8AXwA0AF8AQQBkAGQAaQB0AGkAbwBuAGEAbABJAG4AdABhAGsAZQBGAG8AcgBNAGkAbABrAFAAcgBvAGQAdQBjAHQAaQBvAG4AIgAsACIARQBuAHQAZQByAGkAYwBNAGUAdABoAGEAbgBlAF8ARABhAGkAcgB5AF8ARQBxAHUAYQB0AGkAbwBuAHMALgBWAEUARQBSAEcAXwAzAF8AMwBfADEAXwAxAF8AXwA0AF8AQQBkAGQAaQB0AGkAbwBuAGEAbABJAG4AdABhAGsAZQBGAG8AcgBNAGkAbABrAFAAcgBvAGQAdQBjAHQAaQBvAG4AXwBUAGkAdABsAGUAIgAsACIARQBuAHQAZQByAGkAYwBNAGUAdABoAGEAbgBlAF8ARABhAGkAcgB5AF8ARQBxAHUAYQB0AGkAbwBuAHMALgBWAEUARQBSAEcAXwAzAF8AMwBfADEAXwAxAF8AXwA0AF8AQQBkAGQAaQB0AGkAbwBuAGEAbABJAG4AdABhAGsAZQBGAG8AcgBNAGkAbABrAFAAcgBvAGQAdQBjAHQAaQBvAG4AXwBWAGEAcgBpAGEAYgBsAGUAIgAsACIARQBuAHQAZQByAGkAYwBNAGUAdABoAGEAbgBlAF8ARABhAGkAcgB5AF8ARQBxAHUAYQB0AGkAbwBuAHMALgBWAEUARQBSAEcAXwAzAF8AMwBfADEAXwAxAF8AXwA0AF8AQQBkAGQAaQB0AGkAbwBuAGEAbABJAG4AdABhAGsAZQBGAG8AcgBNAGkAbABrAFAAcgBvAGQAdQBjAHQAaQBvAG4AXwBVAG4AaQB0ACIALAAiAEUAbgB0AGUAcgBpAGMATQBlAHQAaABhAG4AZQBfAEQAYQBpAHIAeQBfAEUAcQB1AGEAdABpAG8AbgBzAC4AVgBFAEUAUgBHAF8AMwBfADMAXwAxAF8AMQBfAF8ANABfAEEAZABkAGkAdABpAG8AbgBhAGwASQBuAHQAYQBrAGUARgBvAHIATQBpAGwAawBQAHIAbwBkAHUAYwB0AGkAbwBuAF8AUwBvAHUAcgBjAGUAIgAsACIARQBuAHQAZQByAGkAYwBNAGUAdABoAGEAbgBlAF8ARABhAGkAcgB5AF8ARQBxAHUAYQB0AGkAbwBuAHMALgBWAEUARQBSAEcAXwAzAF8AMwBfADEAXwAxAF8AXwA0AF8AQQBkAGQAaQB0AGkAbwBuAGEAbABJAG4AdABhAGsAZQBGAG8AcgBNAGkAbABrAFAAcgBvAGQAdQBjAHQAaQBvAG4AXwBOAEkAUgBSAGUAZgBlAHIAZQBuAGMAZQAiACwAIgBFAG4AdABlAHIAaQBjAE0AZQB0AGgAYQBuAGUAXwBEAGEAaQByAHkAXwBFAHEAdQBhAHQAaQBvAG4AcwAuAFYARQBFAFIARwBfADMAXwAzAF8AMQBfADEAXwBfADQAXwBBAGQAZABpAHQAaQBvAG4AYQBsAEkAbgB0AGEAawBlAEYAbwByAE0AaQBsAGsAUAByAG8AZAB1AGMAdABpAG8AbgBfAEwAYQB0AGUAeABFAHEAdQBhAHQAaQBvAG4AIgAsACIARQBuAHQAZQByAGkAYwBNAGUAdABoAGEAbgBlAF8ARABhAGkAcgB5AF8ARQBxAHUAYQB0AGkAbwBuAHMALgBWAEUARQBSAEcAXwAzAF8AMwBfADEAXwAxAF8AXwA0AF8AQQBkAGQAaQB0AGkAbwBuAGEAbABJAG4AdABhAGsAZQBGAG8AcgBNAGkAbABrAFAAcgBvAGQAdQBjAHQAaQBvAG4AXwBBAHIAZwB1AG0AZQBuAHQAcwAiACwAIgBFAG4AdABlAHIAaQBjAE0AZQB0AGgAYQBuAGUAXwBEAGEAaQByAHkAXwBFAHEAdQBhAHQAaQBvAG4AcwAuAFYARQBFAFIARwBfADMAXwAzAF8AMQBfADEAXwBfADQAXwBBAGQAZABpAHQAaQBvAG4AYQBsAEkAbgB0AGEAawBlAEYAbwByAE0AaQBsAGsAUAByAG8AZAB1AGMAdABpAG8AbgBfAFYAYQByAGkAYQB0AGkAbwBuACIALAAiAEUAbgB0AGUAcgBpAGMATQBlAHQAaABhAG4AZQBfAEQAYQBpAHIAeQBfAEUAcQB1AGEAdABpAG8AbgBzAC4AVgBFAEUAUgBHAF8AMwBfADMAXwAxAF8AMQBfAF8ANQBfAE0AaQBsAGsAUAByAG8AZAB1AGMAdABpAG8AbgBGAHIAbwBtAE0AaQBsAGsAUwBvAGwAaQBkAHMAIgAsACIARQBuAHQAZQByAGkAYwBNAGUAdABoAGEAbgBlAF8ARABhAGkAcgB5AF8ARQBxAHUAYQB0AGkAbwBuAHMALgBWAEUARQBSAEcAXwAzAF8AMwBfADEAXwAxAF8AXwA1AF8ATQBpAGwAawBQAHIAbwBkAHUAYwB0AGkAbwBuAEYAcgBvAG0ATQBpAGwAawBTAG8AbABpAGQAcwBfAFQAaQB0AGwAZQAiACwAIgBFAG4AdABlAHIAaQBjAE0AZQB0AGgAYQBuAGUAXwBEAGEAaQByAHkAXwBFAHEAdQBhAHQAaQBvAG4AcwAuAFYARQBFAFIARwBfADMAXwAzAF8AMQBfADEAXwBfADUAXwBNAGkAbABrAFAAcgBvAGQAdQBjAHQAaQBvAG4ARgByAG8AbQBNAGkAbABrAFMAbwBsAGkAZABzAF8AVgBhAHIAaQBhAGIAbABlACIALAAiAEUAbgB0AGUAcgBpAGMATQBlAHQAaABhAG4AZQBfAEQAYQBpAHIAeQBfAEUAcQB1AGEAdABpAG8AbgBzAC4AVgBFAEUAUgBHAF8AMwBfADMAXwAxAF8AMQBfAF8ANQBfAE0AaQBsAGsAUAByAG8AZAB1AGMAdABpAG8AbgBGAHIAbwBtAE0AaQBsAGsAUwBvAGwAaQBkAHMAXwBVAG4AaQB0ACIALAAiAEUAbgB0AGUAcgBpAGMATQBlAHQAaABhAG4AZQBfAEQAYQBpAHIAeQBfAEUAcQB1AGEAdABpAG8AbgBzAC4AVgBFAEUAUgBHAF8AMwBfADMAXwAxAF8AMQBfAF8ANQBfAE0AaQBsAGsAUAByAG8AZAB1AGMAdABpAG8AbgBGAHIAbwBtAE0AaQBsAGsAUwBvAGwAaQBkAHMAXwBTAG8AdQByAGMAZQAiACwAIgBFAG4AdABlAHIAaQBjAE0AZQB0AGgAYQBuAGUAXwBEAGEAaQByAHkAXwBFAHEAdQBhAHQAaQBvAG4AcwAuAFYARQBFAFIARwBfADMAXwAzAF8AMQBfADEAXwBfADUAXwBNAGkAbABrAFAAcgBvAGQAdQBjAHQAaQBvAG4ARgByAG8AbQBNAGkAbABrAFMAbwBsAGkAZABzAF8ATgBJAFIAUgBlAGYAZQByAGUAbgBjAGUAIgAsACIARQBuAHQAZQByAGkAYwBNAGUAdABoAGEAbgBlAF8ARABhAGkAcgB5AF8ARQBxAHUAYQB0AGkAbwBuAHMALgBWAEUARQBSAEcAXwAzAF8AMwBfADEAXwAxAF8AXwA1AF8ATQBpAGwAawBQAHIAbwBkAHUAYwB0AGkAbwBuAEYAcgBvAG0ATQBpAGwAawBTAG8AbABpAGQAcwBfAEwAYQB0AGUAeABFAHEAdQBhAHQAaQBvAG4AIgAsACIARQBuAHQAZQByAGkAYwBNAGUAdABoAGEAbgBlAF8ARABhAGkAcgB5AF8ARQBxAHUAYQB0AGkAbwBuAHMALgBWAEUARQBSAEcAXwAzAF8AMwBfADEAXwAxAF8AXwA1AF8ATQBpAGwAawBQAHIAbwBkAHUAYwB0AGkAbwBuAEYAcgBvAG0ATQBpAGwAawBTAG8AbABpAGQAcwBfAEEAcgBnAHUAbQBlAG4AdABzACIALAAiAEUAbgB0AGUAcgBpAGMATQBlAHQAaABhAG4AZQBfAEQAYQBpAHIAeQBfAEUAcQB1AGEAdABpAG8AbgBzAC4AVgBFAEUAUgBHAF8AMwBfADMAXwAxAF8AMQBfAF8ANQBfAE0AaQBsAGsAUAByAG8AZAB1AGMAdABpAG8AbgBGAHIAbwBtAE0AaQBsAGsAUwBvAGwAaQBkAHMAXwBBAHIAZwB1AG0AZQBuAHQAcwBfAE0AZQB0AGgAbwBkADIAIgAsACIARQBuAHQAZQByAGkAYwBNAGUAdABoAGEAbgBlAF8ARABhAGkAcgB5AF8ARQBxAHUAYQB0AGkAbwBuAHMALgBWAEUARQBSAEcAXwAzAF8AMwBfADEAXwAxAF8AXwA1AF8ATQBpAGwAawBQAHIAbwBkAHUAYwB0AGkAbwBuAEYAcgBvAG0ATQBpAGwAawBTAG8AbABpAGQAcwBfAFYAYQByAGkAYQB0AGkAbwBuACIALAAiAEUAbgB0AGUAcgBpAGMATQBlAHQAaABhAG4AZQBfAEQAYQBpAHIAeQBfAEUAcQB1AGEAdABpAG8AbgBzAC4AVgBFAEUAUgBHAF8AMwBfADMAXwAxAF8AMQBfAF8ANgBfAE0AZQB0AGEAYgBvAGwAaQBzAGEAYgBpAGwAaQB0AHkATwBmAEQAaQBlAHQAIgAsACIARQBuAHQAZQByAGkAYwBNAGUAdABoAGEAbgBlAF8ARABhAGkAcgB5AF8ARQBxAHUAYQB0AGkAbwBuAHMALgBWAEUARQBSAEcAXwAzAF8AMwBfADEAXwAxAF8AXwA2AF8ATQBlAHQAYQBiAG8AbABpAHMAYQBiAGkAbABpAHQAeQBPAGYARABpAGUAdABWAGEAcgBpAGEAdABpAG8AbgAiACwAIgBFAG4AdABlAHIAaQBjAE0AZQB0AGgAYQBuAGUAXwBEAGEAaQByAHkAXwBFAHEAdQBhAHQAaQBvAG4AcwAuAFYARQBFAFIARwBfADMAXwAzAF8AMQBfADEAXwBfADYAXwBNAGUAdABhAGIAbwBsAGkAcwBhAGIAaQBsAGkAdAB5AE8AZgBEAGkAZQB0AF8AVABpAHQAbABlACIALAAiAEUAbgB0AGUAcgBpAGMATQBlAHQAaABhAG4AZQBfAEQAYQBpAHIAeQBfAEUAcQB1AGEAdABpAG8AbgBzAC4AVgBFAEUAUgBHAF8AMwBfADMAXwAxAF8AMQBfAF8ANgBfAE0AZQB0AGEAYgBvAGwAaQBzAGEAYgBpAGwAaQB0AHkATwBmAEQAaQBlAHQAXwBWAGEAcgBpAGEAYgBsAGUAIgAsACIARQBuAHQAZQByAGkAYwBNAGUAdABoAGEAbgBlAF8ARABhAGkAcgB5AF8ARQBxAHUAYQB0AGkAbwBuAHMALgBWAEUARQBSAEcAXwAzAF8AMwBfADEAXwAxAF8AXwA2AF8ATQBlAHQAYQBiAG8AbABpAHMAYQBiAGkAbABpAHQAeQBPAGYARABpAGUAdABfAFUAbgBpAHQAIgAsACIARQBuAHQAZQByAGkAYwBNAGUAdABoAGEAbgBlAF8ARABhAGkAcgB5AF8ARQBxAHUAYQB0AGkAbwBuAHMALgBWAEUARQBSAEcAXwAzAF8AMwBfADEAXwAxAF8AXwA2AF8ATQBlAHQAYQBiAG8AbABpAHMAYQBiAGkAbABpAHQAeQBPAGYARABpAGUAdABfAFMAbwB1AHIAYwBlACIALAAiAEUAbgB0AGUAcgBpAGMATQBlAHQAaABhAG4AZQBfAEQAYQBpAHIAeQBfAEUAcQB1AGEAdABpAG8AbgBzAC4AVgBFAEUAUgBHAF8AMwBfADMAXwAxAF8AMQBfAF8ANgBfAE0AZQB0AGEAYgBvAGwAaQBzAGEAYgBpAGwAaQB0AHkATwBmAEQAaQBlAHQAXwBOAEkAUgBSAGUAZgBlAHIAZQBuAGMAZQAiACwAIgBFAG4AdABlAHIAaQBjAE0AZQB0AGgAYQBuAGUAXwBEAGEAaQByAHkAXwBFAHEAdQBhAHQAaQBvAG4AcwAuAFYARQBFAFIARwBfADMAXwAzAF8AMQBfADEAXwBfADYAXwBNAGUAdABhAGIAbwBsAGkAcwBhAGIAaQBsAGkAdAB5AE8AZgBEAGkAZQB0AF8ATABhAHQAZQB4AEUAcQB1AGEAdABpAG8AbgAiACwAIgBFAG4AdABlAHIAaQBjAE0AZQB0AGgAYQBuAGUAXwBEAGEAaQByAHkAXwBFAHEAdQBhAHQAaQBvAG4AcwAuAFYARQBFAFIARwBfADMAXwAzAF8AMQBfADEAXwBfADYAXwBNAGUAdABhAGIAbwBsAGkAcwBhAGIAaQBsAGkAdAB5AE8AZgBEAGkAZQB0AF8ATABhAHQAZQB4AEUAcQB1AGEAdABpAG8AbgBWAGEAcgBpAGEAdABpAG8AbgAiACwAIgBFAG4AdABlAHIAaQBjAE0AZQB0AGgAYQBuAGUAXwBEAGEAaQByAHkAXwBFAHEAdQBhAHQAaQBvAG4AcwAuAFYARQBFAFIARwBfADMAXwAzAF8AMQBfADEAXwBfADYAXwBNAGUAdABhAGIAbwBsAGkAcwBhAGIAaQBsAGkAdAB5AE8AZgBEAGkAZQB0AF8AQQByAGcAdQBtAGUAbgB0AHMAIgAsACIARQBuAHQAZQByAGkAYwBNAGUAdABoAGEAbgBlAF8ARABhAGkAcgB5AF8ARQBxAHUAYQB0AGkAbwBuAHMALgBWAEUARQBSAEcAXwAzAF8AMwBfADEAXwAxAF8AXwA2AF8ATQBlAHQAYQBiAG8AbABpAHMAYQBiAGkAbABpAHQAeQBPAGYARABpAGUAdABfAFYAYQByAGkAYQB0AGkAbwBuACIALAAiAEkAbgBwAHUAdABGAHUAbgBjAHQAaQBvAG4AcwBfAEQAYQBpAHIAeQAuAEMAYQBsAGMAdQBsAGEAdABlAEYAcgBhAGMAdABpAG8AbgBJAG4ATQBNAFMAQQBmAHQAZQByAFMAbwBsAGkAZABTAGUAcABhAHIAYQB0AGkAbwBuACIALAAiAEkAbgBwAHUAdABGAHUAbgBjAHQAaQBvAG4AcwBfAEQAYQBpAHIAeQAuAEMAYQBsAGMAdQBsAGEAdABlAEYAcgBhAGMAdABpAG8AbgBJAG4AUwBvAGwAaQBkAFMAdABvAHIAYQBnAGUAIgAsACIATQBNAFMAXwBEAGEAaQByAHkAXwBMAGUAYQBjAGgAaQBuAGcAQQBuAGQAUgB1AG4AbwBmAGYAXwBFAHEAdQBhAHQAaQBvAG4AcwAuAFYARQBFAFIARwBfADQAXwAzAF8AMQBfADYAXwBfADEAXwBBAG4AbgB1AGEAbABFAG0AaQBzAHMAaQBvAG4AcwBGAHIAbwBtAEwAZQBhAGMAaABpAG4AZwBBAG4AZABSAHUAbgBvAGYAZgBGAHIAbwBtAE0ATQBTACIALAAiAE0ATQBTAF8ARABhAGkAcgB5AF8ATABlAGEAYwBoAGkAbgBnAEEAbgBkAFIAdQBuAG8AZgBmAF8ARQBxAHUAYQB0AGkAbwBuAHMALgBWAEUARQBSAEcAXwA0AF8AMwBfADEAXwA2AF8AXwAxAF8AQQBuAG4AdQBhAGwARQBtAGkAcwBzAGkAbwBuAHMARgByAG8AbQBMAGUAYQBjAGgAaQBuAGcAQQBuAGQAUgB1AG4AbwBmAGYARgByAG8AbQBNAE0AUwBfAFQAaQB0AGwAZQAiACwAIgBNAE0AUwBfAEQAYQBpAHIAeQBfAEwAZQBhAGMAaABpAG4AZwBBAG4AZABSAHUAbgBvAGYAZgBfAEUAcQB1AGEAdABpAG8AbgBzAC4AVgBFAEUAUgBHAF8ANABfADMAXwAxAF8ANgBfAF8AMQBfAEEAbgBuAHUAYQBsAEUAbQBpAHMAcwBpAG8AbgBzAEYAcgBvAG0ATABlAGEAYwBoAGkAbgBnAEEAbgBkAFIAdQBuAG8AZgBmAEYAcgBvAG0ATQBNAFMAXwBWAGEAcgBpAGEAYgBsAGUAIgAsACIATQBNAFMAXwBEAGEAaQByAHkAXwBMAGUAYQBjAGgAaQBuAGcAQQBuAGQAUgB1AG4AbwBmAGYAXwBFAHEAdQBhAHQAaQBvAG4AcwAuAFYARQBFAFIARwBfADQAXwAzAF8AMQBfADYAXwBfADEAXwBBAG4AbgB1AGEAbABFAG0AaQBzAHMAaQBvAG4AcwBGAHIAbwBtAEwAZQBhAGMAaABpAG4AZwBBAG4AZABSAHUAbgBvAGYAZgBGAHIAbwBtAE0ATQBTAF8AVQBuAGkAdAAiACwAIgBNAE0AUwBfAEQAYQBpAHIAeQBfAEwAZQBhAGMAaABpAG4AZwBBAG4AZABSAHUAbgBvAGYAZgBfAEUAcQB1AGEAdABpAG8AbgBzAC4AVgBFAEUAUgBHAF8ANABfADMAXwAxAF8ANgBfAF8AMQBfAEEAbgBuAHUAYQBsAEUAbQBpAHMAcwBpAG8AbgBzAEYAcgBvAG0ATABlAGEAYwBoAGkAbgBnAEEAbgBkAFIAdQBuAG8AZgBmAEYAcgBvAG0ATQBNAFMAXwBTAG8AdQByAGMAZQAiACwAIgBNAE0AUwBfAEQAYQBpAHIAeQBfAEwAZQBhAGMAaABpAG4AZwBBAG4AZABSAHUAbgBvAGYAZgBfAEUAcQB1AGEAdABpAG8AbgBzAC4AVgBFAEUAUgBHAF8ANABfADMAXwAxAF8ANgBfAF8AMQBfAEEAbgBuAHUAYQBsAEUAbQBpAHMAcwBpAG8AbgBzAEYAcgBvAG0ATABlAGEAYwBoAGkAbgBnAEEAbgBkAFIAdQBuAG8AZgBmAEYAcgBvAG0ATQBNAFMAXwBOAEkAUgBSAGUAZgBlAHIAZQBuAGMAZQAiACwAIgBNAE0AUwBfAEQAYQBpAHIAeQBfAEwAZQBhAGMAaABpAG4AZwBBAG4AZABSAHUAbgBvAGYAZgBfAEUAcQB1AGEAdABpAG8AbgBzAC4AVgBFAEUAUgBHAF8ANABfADMAXwAxAF8ANgBfAF8AMQBfAEEAbgBuAHUAYQBsAEUAbQBpAHMAcwBpAG8AbgBzAEYAcgBvAG0ATABlAGEAYwBoAGkAbgBnAEEAbgBkAFIAdQBuAG8AZgBmAEYAcgBvAG0ATQBNAFMAXwBMAGEAdABlAHgARQBxAHUAYQB0AGkAbwBuACIALAAiAE0ATQBTAF8ARABhAGkAcgB5AF8ATABlAGEAYwBoAGkAbgBnAEEAbgBkAFIAdQBuAG8AZgBmAF8ARQBxAHUAYQB0AGkAbwBuAHMALgBWAEUARQBSAEcAXwA0AF8AMwBfADEAXwA2AF8AXwAxAF8AQQBuAG4AdQBhAGwARQBtAGkAcwBzAGkAbwBuAHMARgByAG8AbQBMAGUAYQBjAGgAaQBuAGcAQQBuAGQAUgB1AG4AbwBmAGYARgByAG8AbQBNAE0AUwBfAEEAcgBnAHUAbQBlAG4AdABzACIALAAiAE0ATQBTAF8ARABhAGkAcgB5AF8ATABlAGEAYwBoAGkAbgBnAEEAbgBkAFIAdQBuAG8AZgBmAF8ARQBxAHUAYQB0AGkAbwBuAHMALgBWAEUARQBSAEcAXwA0AF8AMwBfADEAXwA2AF8AXwAyAF8ATQBhAHMAcwBPAGYATgBpAHQAcgBvAGcAZQBuAEwAbwBzAHQAVABvAEwAZQBhAGMAaABpAG4AZwBBAG4AZABSAHUAbgBvAGYAZgBGAHIAbwBtAFMAbwBsAGkAZABTAHQAbwByAGEAZwBlACIALAAiAE0ATQBTAF8ARABhAGkAcgB5AF8ATABlAGEAYwBoAGkAbgBnAEEAbgBkAFIAdQBuAG8AZgBmAF8ARQBxAHUAYQB0AGkAbwBuAHMALgBWAEUARQBSAEcAXwA0AF8AMwBfADEAXwA2AF8AXwAyAF8ATQBhAHMAcwBPAGYATgBpAHQAcgBvAGcAZQBuAEwAbwBzAHQAVABvAEwAZQBhAGMAaABpAG4AZwBBAG4AZABSAHUAbgBvAGYAZgBGAHIAbwBtAFMAbwBsAGkAZABTAHQAbwByAGEAZwBlAF8AVABpAHQAbABlACIALAAiAE0ATQBTAF8ARABhAGkAcgB5AF8ATABlAGEAYwBoAGkAbgBnAEEAbgBkAFIAdQBuAG8AZgBmAF8ARQBxAHUAYQB0AGkAbwBuAHMALgBWAEUARQBSAEcAXwA0AF8AMwBfADEAXwA2AF8AXwAyAF8ATQBhAHMAcwBPAGYATgBpAHQAcgBvAGcAZQBuAEwAbwBzAHQAVABvAEwAZQBhAGMAaABpAG4AZwBBAG4AZABSAHUAbgBvAGYAZgBGAHIAbwBtAFMAbwBsAGkAZABTAHQAbwByAGEAZwBlAF8AVgBhAHIAaQBhAGIAbABlACIALAAiAE0ATQBTAF8ARABhAGkAcgB5AF8ATABlAGEAYwBoAGkAbgBnAEEAbgBkAFIAdQBuAG8AZgBmAF8ARQBxAHUAYQB0AGkAbwBuAHMALgBWAEUARQBSAEcAXwA0AF8AMwBfADEAXwA2AF8AXwAyAF8ATQBhAHMAcwBPAGYATgBpAHQAcgBvAGcAZQBuAEwAbwBzAHQAVABvAEwAZQBhAGMAaABpAG4AZwBBAG4AZABSAHUAbgBvAGYAZgBGAHIAbwBtAFMAbwBsAGkAZABTAHQAbwByAGEAZwBlAF8AVQBuAGkAdAAiACwAIgBNAE0AUwBfAEQAYQBpAHIAeQBfAEwAZQBhAGMAaABpAG4AZwBBAG4AZABSAHUAbgBvAGYAZgBfAEUAcQB1AGEAdABpAG8AbgBzAC4AVgBFAEUAUgBHAF8ANABfADMAXwAxAF8ANgBfAF8AMgBfAE0AYQBzAHMATwBmAE4AaQB0AHIAbwBnAGUAbgBMAG8AcwB0AFQAbwBMAGUAYQBjAGgAaQBuAGcAQQBuAGQAUgB1AG4AbwBmAGYARgByAG8AbQBTAG8AbABpAGQAUwB0AG8AcgBhAGcAZQBfAFMAbwB1AHIAYwBlACIALAAiAE0ATQBTAF8ARABhAGkAcgB5AF8ATABlAGEAYwBoAGkAbgBnAEEAbgBkAFIAdQBuAG8AZgBmAF8ARQBxAHUAYQB0AGkAbwBuAHMALgBWAEUARQBSAEcAXwA0AF8AMwBfADEAXwA2AF8AXwAyAF8ATQBhAHMAcwBPAGYATgBpAHQAcgBvAGcAZQBuAEwAbwBzAHQAVABvAEwAZQBhAGMAaABpAG4AZwBBAG4AZABSAHUAbgBvAGYAZgBGAHIAbwBtAFMAbwBsAGkAZABTAHQAbwByAGEAZwBlAF8ATgBJAFIAUgBlAGYAZQByAGUAbgBjAGUAIgAsACIATQBNAFMAXwBEAGEAaQByAHkAXwBMAGUAYQBjAGgAaQBuAGcAQQBuAGQAUgB1AG4AbwBmAGYAXwBFAHEAdQBhAHQAaQBvAG4AcwAuAFYARQBFAFIARwBfADQAXwAzAF8AMQBfADYAXwBfADIAXwBNAGEAcwBzAE8AZgBOAGkAdAByAG8AZwBlAG4ATABvAHMAdABUAG8ATABlAGEAYwBoAGkAbgBnAEEAbgBkAFIAdQBuAG8AZgBmAEYAcgBvAG0AUwBvAGwAaQBkAFMAdABvAHIAYQBnAGUAXwBMAGEAdABlAHgARQBxAHUAYQB0AGkAbwBuACIALAAiAE0ATQBTAF8ARABhAGkAcgB5AF8ATABlAGEAYwBoAGkAbgBnAEEAbgBkAFIAdQBuAG8AZgBmAF8ARQBxAHUAYQB0AGkAbwBuAHMALgBWAEUARQBSAEcAXwA0AF8AMwBfADEAXwA2AF8AXwAyAF8ATQBhAHMAcwBPAGYATgBpAHQAcgBvAGcAZQBuAEwAbwBzAHQAVABvAEwAZQBhAGMAaABpAG4AZwBBAG4AZABSAHUAbgBvAGYAZgBGAHIAbwBtAFMAbwBsAGkAZABTAHQAbwByAGEAZwBlAF8AQQByAGcAdQBtAGUAbgB0AHMAIgAsACIATQBNAFMAXwBEAGEAaQByAHkAXwBTAG8AaQBsAF8ATgAyAE8ARABpAHIAZQBjAHQAXwBFAHEAdQBhAHQAaQBvAG4AcwAuAFYARQBFAFIARwBfADQAXwAzAF8AMQBfADkAXwBfADEAXwBEAGkAcgBlAGMAdABOAGkAdAByAG8AdQBzAE8AeABpAGQAZQBFAG0AaQBzAHMAaQBvAG4AcwBPAG4AUABhAHMAdAB1AHIAZQAiACwAIgBNAE0AUwBfAEQAYQBpAHIAeQBfAFMAbwBpAGwAXwBOADIATwBEAGkAcgBlAGMAdABfAEUAcQB1AGEAdABpAG8AbgBzAC4AVgBFAEUAUgBHAF8ANABfADMAXwAxAF8AOQBfAF8AMQBfAEQAaQByAGUAYwB0AE4AaQB0AHIAbwB1AHMATwB4AGkAZABlAEUAbQBpAHMAcwBpAG8AbgBzAE8AbgBQAGEAcwB0AHUAcgBlAF8AVABpAHQAbABlACIALAAiAE0ATQBTAF8ARABhAGkAcgB5AF8AUwBvAGkAbABfAE4AMgBPAEQAaQByAGUAYwB0AF8ARQBxAHUAYQB0AGkAbwBuAHMALgBWAEUARQBSAEcAXwA0AF8AMwBfADEAXwA5AF8AXwAxAF8ARABpAHIAZQBjAHQATgBpAHQAcgBvAHUAcwBPAHgAaQBkAGUARQBtAGkAcwBzAGkAbwBuAHMATwBuAFAAYQBzAHQAdQByAGUAXwBWAGEAcgBpAGEAYgBsAGUAIgAsACIATQBNAFMAXwBEAGEAaQByAHkAXwBTAG8AaQBsAF8ATgAyAE8ARABpAHIAZQBjAHQAXwBFAHEAdQBhAHQAaQBvAG4AcwAuAFYARQBFAFIARwBfADQAXwAzAF8AMQBfADkAXwBfADEAXwBEAGkAcgBlAGMAdABOAGkAdAByAG8AdQBzAE8AeABpAGQAZQBFAG0AaQBzAHMAaQBvAG4AcwBPAG4AUABhAHMAdAB1AHIAZQBfAFUAbgBpAHQAIgAsACIATQBNAFMAXwBEAGEAaQByAHkAXwBTAG8AaQBsAF8ATgAyAE8ARABpAHIAZQBjAHQAXwBFAHEAdQBhAHQAaQBvAG4AcwAuAFYARQBFAFIARwBfADQAXwAzAF8AMQBfADkAXwBfADEAXwBEAGkAcgBlAGMAdABOAGkAdAByAG8AdQBzAE8AeABpAGQAZQBFAG0AaQBzAHMAaQBvAG4AcwBPAG4AUABhAHMAdAB1AHIAZQBfAFMAbwB1AHIAYwBlACIALAAiAE0ATQBTAF8ARABhAGkAcgB5AF8AUwBvAGkAbABfAE4AMgBPAEQAaQByAGUAYwB0AF8ARQBxAHUAYQB0AGkAbwBuAHMALgBWAEUARQBSAEcAXwA0AF8AMwBfADEAXwA5AF8AXwAxAF8ARABpAHIAZQBjAHQATgBpAHQAcgBvAHUAcwBPAHgAaQBkAGUARQBtAGkAcwBzAGkAbwBuAHMATwBuAFAAYQBzAHQAdQByAGUAXwBOAEkAUgBSAGUAZgBlAHIAZQBuAGMAZQAiACwAIgBNAE0AUwBfAEQAYQBpAHIAeQBfAFMAbwBpAGwAXwBOADIATwBEAGkAcgBlAGMAdABfAEUAcQB1AGEAdABpAG8AbgBzAC4AVgBFAEUAUgBHAF8ANABfADMAXwAxAF8AOQBfAF8AMQBfAEQAaQByAGUAYwB0AE4AaQB0AHIAbwB1AHMATwB4AGkAZABlAEUAbQBpAHMAcwBpAG8AbgBzAE8AbgBQAGEAcwB0AHUAcgBlAF8ATABhAHQAZQB4AEUAcQB1AGEAdABpAG8AbgAiACwAIgBNAE0AUwBfAEQAYQBpAHIAeQBfAFMAbwBpAGwAXwBOADIATwBEAGkAcgBlAGMAdABfAEUAcQB1AGEAdABpAG8AbgBzAC4AVgBFAEUAUgBHAF8ANABfADMAXwAxAF8AOQBfAF8AMQBfAEQAaQByAGUAYwB0AE4AaQB0AHIAbwB1AHMATwB4AGkAZABlAEUAbQBpAHMAcwBpAG8AbgBzAE8AbgBQAGEAcwB0AHUAcgBlAF8AQQByAGcAdQBtAGUAbgB0AHMAIgAsACIATQBNAFMAXwBEAGEAaQByAHkAXwBTAG8AaQBsAF8AQQB0AG0AbwBzAHAAaABlAHIAaQBjAEQAZQBwAG8AcwBpAHQAaQBvAG4AXwBFAHEAdQBhAHQAaQBvAG4AcwAuAFYARQBFAFIARwBfADQAXwAzAF8AMQBfADEAMABfAF8AMQBfAEEAdABtAG8AcwBwAGgAZQByAGkAYwBEAGUAcABvAHMAaQB0AGkAbwBuAEUAbQBpAHMAcwBpAG8AbgBzAEYAcgBvAG0AVQByAGkAbgBlAEEAbgBkAEQAdQBuAGcATwBuAFAAYQBzAHQAdQByAGUAIgAsACIATQBNAFMAXwBEAGEAaQByAHkAXwBTAG8AaQBsAF8AQQB0AG0AbwBzAHAAaABlAHIAaQBjAEQAZQBwAG8AcwBpAHQAaQBvAG4AXwBFAHEAdQBhAHQAaQBvAG4AcwAuAFYARQBFAFIARwBfADQAXwAzAF8AMQBfADEAMABfAF8AMQBfAEEAdABtAG8AcwBwAGgAZQByAGkAYwBEAGUAcABvAHMAaQB0AGkAbwBuAEUAbQBpAHMAcwBpAG8AbgBzAEYAcgBvAG0AVQByAGkAbgBlAEEAbgBkAEQAdQBuAGcATwBuAFAAYQBzAHQAdQByAGUAXwBUAGkAdABsAGUAIgAsACIATQBNAFMAXwBEAGEAaQByAHkAXwBTAG8AaQBsAF8AQQB0AG0AbwBzAHAAaABlAHIAaQBjAEQAZQBwAG8AcwBpAHQAaQBvAG4AXwBFAHEAdQBhAHQAaQBvAG4AcwAuAFYARQBFAFIARwBfADQAXwAzAF8AMQBfADEAMABfAF8AMQBfAEEAdABtAG8AcwBwAGgAZQByAGkAYwBEAGUAcABvAHMAaQB0AGkAbwBuAEUAbQBpAHMAcwBpAG8AbgBzAEYAcgBvAG0AVQByAGkAbgBlAEEAbgBkAEQAdQBuAGcATwBuAFAAYQBzAHQAdQByAGUAXwBWAGEAcgBpAGEAYgBsAGUAIgAsACIATQBNAFMAXwBEAGEAaQByAHkAXwBTAG8AaQBsAF8AQQB0AG0AbwBzAHAAaABlAHIAaQBjAEQAZQBwAG8AcwBpAHQAaQBvAG4AXwBFAHEAdQBhAHQAaQBvAG4AcwAuAFYARQBFAFIARwBfADQAXwAzAF8AMQBfADEAMABfAF8AMQBfAEEAdABtAG8AcwBwAGgAZQByAGkAYwBEAGUAcABvAHMAaQB0AGkAbwBuAEUAbQBpAHMAcwBpAG8AbgBzAEYAcgBvAG0AVQByAGkAbgBlAEEAbgBkAEQAdQBuAGcATwBuAFAAYQBzAHQAdQByAGUAXwBVAG4AaQB0ACIALAAiAE0ATQBTAF8ARABhAGkAcgB5AF8AUwBvAGkAbABfAEEAdABtAG8AcwBwAGgAZQByAGkAYwBEAGUAcABvAHMAaQB0AGkAbwBuAF8ARQBxAHUAYQB0AGkAbwBuAHMALgBWAEUARQBSAEcAXwA0AF8AMwBfADEAXwAxADAAXwBfADEAXwBBAHQAbQBvAHMAcABoAGUAcgBpAGMARABlAHAAbwBzAGkAdABpAG8AbgBFAG0AaQBzAHMAaQBvAG4AcwBGAHIAbwBtAFUAcgBpAG4AZQBBAG4AZABEAHUAbgBnAE8AbgBQAGEAcwB0AHUAcgBlAF8AUwBvAHUAcgBjAGUAIgAsACIATQBNAFMAXwBEAGEAaQByAHkAXwBTAG8AaQBsAF8AQQB0AG0AbwBzAHAAaABlAHIAaQBjAEQAZQBwAG8AcwBpAHQAaQBvAG4AXwBFAHEAdQBhAHQAaQBvAG4AcwAuAFYARQBFAFIARwBfADQAXwAzAF8AMQBfADEAMABfAF8AMQBfAEEAdABtAG8AcwBwAGgAZQByAGkAYwBEAGUAcABvAHMAaQB0AGkAbwBuAEUAbQBpAHMAcwBpAG8AbgBzAEYAcgBvAG0AVQByAGkAbgBlAEEAbgBkAEQAdQBuAGcATwBuAFAAYQBzAHQAdQByAGUAXwBOAEkAUgBSAGUAZgBlAHIAZQBuAGMAZQAiACwAIgBNAE0AUwBfAEQAYQBpAHIAeQBfAFMAbwBpAGwAXwBBAHQAbQBvAHMAcABoAGUAcgBpAGMARABlAHAAbwBzAGkAdABpAG8AbgBfAEUAcQB1AGEAdABpAG8AbgBzAC4AVgBFAEUAUgBHAF8ANABfADMAXwAxAF8AMQAwAF8AXwAxAF8AQQB0AG0AbwBzAHAAaABlAHIAaQBjAEQAZQBwAG8AcwBpAHQAaQBvAG4ARQBtAGkAcwBzAGkAbwBuAHMARgByAG8AbQBVAHIAaQBuAGUAQQBuAGQARAB1AG4AZwBPAG4AUABhAHMAdAB1AHIAZQBfAEwAYQB0AGUAeABFAHEAdQBhAHQAaQBvAG4AIgAsACIATQBNAFMAXwBEAGEAaQByAHkAXwBTAG8AaQBsAF8AQQB0AG0AbwBzAHAAaABlAHIAaQBjAEQAZQBwAG8AcwBpAHQAaQBvAG4AXwBFAHEAdQBhAHQAaQBvAG4AcwAuAFYARQBFAFIARwBfADQAXwAzAF8AMQBfADEAMABfAF8AMQBfAEEAdABtAG8AcwBwAGgAZQByAGkAYwBEAGUAcABvAHMAaQB0AGkAbwBuAEUAbQBpAHMAcwBpAG8AbgBzAEYAcgBvAG0AVQByAGkAbgBlAEEAbgBkAEQAdQBuAGcATwBuAFAAYQBzAHQAdQByAGUAXwBBAHIAZwB1AG0AZQBuAHQAcwAiACwAIgBNAE0AUwBfAEQAYQBpAHIAeQBfAFMAbwBpAGwAXwBBAHQAbQBvAHMAcABoAGUAcgBpAGMARABlAHAAbwBzAGkAdABpAG8AbgBfAEUAcQB1AGEAdABpAG8AbgBzAC4AVgBFAEUAUgBHAF8ANABfADMAXwAxAF8AMQAwAF8AXwAyAF8ATQBhAHMAcwBPAGYATgBpAHQAcgBvAGcAZQBuAFYAbwBsAGEAdABpAGwAaQBzAGUAZABPAG4AUABhAHMAdAB1AHIAZQAiACwAIgBNAE0AUwBfAEQAYQBpAHIAeQBfAFMAbwBpAGwAXwBBAHQAbQBvAHMAcABoAGUAcgBpAGMARABlAHAAbwBzAGkAdABpAG8AbgBfAEUAcQB1AGEAdABpAG8AbgBzAC4AVgBFAEUAUgBHAF8ANABfADMAXwAxAF8AMQAwAF8AXwAyAF8ATQBhAHMAcwBPAGYATgBpAHQAcgBvAGcAZQBuAFYAbwBsAGEAdABpAGwAaQBzAGUAZABPAG4AUABhAHMAdAB1AHIAZQBfAFQAaQB0AGwAZQAiACwAIgBNAE0AUwBfAEQAYQBpAHIAeQBfAFMAbwBpAGwAXwBBAHQAbQBvAHMAcABoAGUAcgBpAGMARABlAHAAbwBzAGkAdABpAG8AbgBfAEUAcQB1AGEAdABpAG8AbgBzAC4AVgBFAEUAUgBHAF8ANABfADMAXwAxAF8AMQAwAF8AXwAyAF8ATQBhAHMAcwBPAGYATgBpAHQAcgBvAGcAZQBuAFYAbwBsAGEAdABpAGwAaQBzAGUAZABPAG4AUABhAHMAdAB1AHIAZQBfAFYAYQByAGkAYQBiAGwAZQAiACwAIgBNAE0AUwBfAEQAYQBpAHIAeQBfAFMAbwBpAGwAXwBBAHQAbQBvAHMAcABoAGUAcgBpAGMARABlAHAAbwBzAGkAdABpAG8AbgBfAEUAcQB1AGEAdABpAG8AbgBzAC4AVgBFAEUAUgBHAF8ANABfADMAXwAxAF8AMQAwAF8AXwAyAF8ATQBhAHMAcwBPAGYATgBpAHQAcgBvAGcAZQBuAFYAbwBsAGEAdABpAGwAaQBzAGUAZABPAG4AUABhAHMAdAB1AHIAZQBfAFUAbgBpAHQAIgAsACIATQBNAFMAXwBEAGEAaQByAHkAXwBTAG8AaQBsAF8AQQB0AG0AbwBzAHAAaABlAHIAaQBjAEQAZQBwAG8AcwBpAHQAaQBvAG4AXwBFAHEAdQBhAHQAaQBvAG4AcwAuAFYARQBFAFIARwBfADQAXwAzAF8AMQBfADEAMABfAF8AMgBfAE0AYQBzAHMATwBmAE4AaQB0AHIAbwBnAGUAbgBWAG8AbABhAHQAaQBsAGkAcwBlAGQATwBuAFAAYQBzAHQAdQByAGUAXwBTAG8AdQByAGMAZQAiACwAIgBNAE0AUwBfAEQAYQBpAHIAeQBfAFMAbwBpAGwAXwBBAHQAbQBvAHMAcABoAGUAcgBpAGMARABlAHAAbwBzAGkAdABpAG8AbgBfAEUAcQB1AGEAdABpAG8AbgBzAC4AVgBFAEUAUgBHAF8ANABfADMAXwAxAF8AMQAwAF8AXwAyAF8ATQBhAHMAcwBPAGYATgBpAHQAcgBvAGcAZQBuAFYAbwBsAGEAdABpAGwAaQBzAGUAZABPAG4AUABhAHMAdAB1AHIAZQBfAE4ASQBSAFIAZQBmAGUAcgBlAG4AYwBlACIALAAiAE0ATQBTAF8ARABhAGkAcgB5AF8AUwBvAGkAbABfAEEAdABtAG8AcwBwAGgAZQByAGkAYwBEAGUAcABvAHMAaQB0AGkAbwBuAF8ARQBxAHUAYQB0AGkAbwBuAHMALgBWAEUARQBSAEcAXwA0AF8AMwBfADEAXwAxADAAXwBfADIAXwBNAGEAcwBzAE8AZgBOAGkAdAByAG8AZwBlAG4AVgBvAGwAYQB0AGkAbABpAHMAZQBkAE8AbgBQAGEAcwB0AHUAcgBlAF8ATABhAHQAZQB4AEUAcQB1AGEAdABpAG8AbgAiACwAIgBNAE0AUwBfAEQAYQBpAHIAeQBfAFMAbwBpAGwAXwBBAHQAbQBvAHMAcABoAGUAcgBpAGMARABlAHAAbwBzAGkAdABpAG8AbgBfAEUAcQB1AGEAdABpAG8AbgBzAC4AVgBFAEUAUgBHAF8ANABfADMAXwAxAF8AMQAwAF8AXwAyAF8ATQBhAHMAcwBPAGYATgBpAHQAcgBvAGcAZQBuAFYAbwBsAGEAdABpAGwAaQBzAGUAZABPAG4AUABhAHMAdAB1AHIAZQBfAEEAcgBnAHUAbQBlAG4AdABzACIALAAiAE0ATQBTAF8ARABhAGkAcgB5AF8AUwBvAGkAbABfAEwAZQBhAGMAaABpAG4AZwBBAG4AZABSAHUAbgBvAGYAZgAuAFYARQBFAFIARwBfADQAXwAzAF8AMQBfADEAMgBfAF8AMQBfAEwAZQBhAGMAaABpAG4AZwBBAG4AZABSAHUAbgBvAGYAZgBFAG0AaQBzAHMAaQBvAG4AcwBGAHIAbwBtAFUAcgBpAG4AZQBBAG4AZABEAHUAbgBnAE8AbgBQAGEAcwB0AHUAcgBlACIALAAiAE0ATQBTAF8ARABhAGkAcgB5AF8AUwBvAGkAbABfAEwAZQBhAGMAaABpAG4AZwBBAG4AZABSAHUAbgBvAGYAZgAuAFYARQBFAFIARwBfADQAXwAzAF8AMQBfADEAMgBfAF8AMQBfAEwAZQBhAGMAaABpAG4AZwBBAG4AZABSAHUAbgBvAGYAZgBFAG0AaQBzAHMAaQBvAG4AcwBGAHIAbwBtAFUAcgBpAG4AZQBBAG4AZABEAHUAbgBnAE8AbgBQAGEAcwB0AHUAcgBlAF8AVABpAHQAbABlACIALAAiAE0ATQBTAF8ARABhAGkAcgB5AF8AUwBvAGkAbABfAEwAZQBhAGMAaABpAG4AZwBBAG4AZABSAHUAbgBvAGYAZgAuAFYARQBFAFIARwBfADQAXwAzAF8AMQBfADEAMgBfAF8AMQBfAEwAZQBhAGMAaABpAG4AZwBBAG4AZABSAHUAbgBvAGYAZgBFAG0AaQBzAHMAaQBvAG4AcwBGAHIAbwBtAFUAcgBpAG4AZQBBAG4AZABEAHUAbgBnAE8AbgBQAGEAcwB0AHUAcgBlAF8AVgBhAHIAaQBhAGIAbABlACIALAAiAE0ATQBTAF8ARABhAGkAcgB5AF8AUwBvAGkAbABfAEwAZQBhAGMAaABpAG4AZwBBAG4AZABSAHUAbgBvAGYAZgAuAFYARQBFAFIARwBfADQAXwAzAF8AMQBfADEAMgBfAF8AMQBfAEwAZQBhAGMAaABpAG4AZwBBAG4AZABSAHUAbgBvAGYAZgBFAG0AaQBzAHMAaQBvAG4AcwBGAHIAbwBtAFUAcgBpAG4AZQBBAG4AZABEAHUAbgBnAE8AbgBQAGEAcwB0AHUAcgBlAF8AVQBuAGkAdAAiACwAIgBNAE0AUwBfAEQAYQBpAHIAeQBfAFMAbwBpAGwAXwBMAGUAYQBjAGgAaQBuAGcAQQBuAGQAUgB1AG4AbwBmAGYALgBWAEUARQBSAEcAXwA0AF8AMwBfADEAXwAxADIAXwBfADEAXwBMAGUAYQBjAGgAaQBuAGcAQQBuAGQAUgB1AG4AbwBmAGYARQBtAGkAcwBzAGkAbwBuAHMARgByAG8AbQBVAHIAaQBuAGUAQQBuAGQARAB1AG4AZwBPAG4AUABhAHMAdAB1AHIAZQBfAFMAbwB1AHIAYwBlACIALAAiAE0ATQBTAF8ARABhAGkAcgB5AF8AUwBvAGkAbABfAEwAZQBhAGMAaABpAG4AZwBBAG4AZABSAHUAbgBvAGYAZgAuAFYARQBFAFIARwBfADQAXwAzAF8AMQBfADEAMgBfAF8AMQBfAEwAZQBhAGMAaABpAG4AZwBBAG4AZABSAHUAbgBvAGYAZgBFAG0AaQBzAHMAaQBvAG4AcwBGAHIAbwBtAFUAcgBpAG4AZQBBAG4AZABEAHUAbgBnAE8AbgBQAGEAcwB0AHUAcgBlAF8ATgBJAFIAUgBlAGYAZQByAGUAbgBjAGUAIgAsACIATQBNAFMAXwBEAGEAaQByAHkAXwBTAG8AaQBsAF8ATABlAGEAYwBoAGkAbgBnAEEAbgBkAFIAdQBuAG8AZgBmAC4AVgBFAEUAUgBHAF8ANABfADMAXwAxAF8AMQAyAF8AXwAxAF8ATABlAGEAYwBoAGkAbgBnAEEAbgBkAFIAdQBuAG8AZgBmAEUAbQBpAHMAcwBpAG8AbgBzAEYAcgBvAG0AVQByAGkAbgBlAEEAbgBkAEQAdQBuAGcATwBuAFAAYQBzAHQAdQByAGUAXwBMAGEAdABlAHgARQBxAHUAYQB0AGkAbwBuACIALAAiAE0ATQBTAF8ARABhAGkAcgB5AF8AUwBvAGkAbABfAEwAZQBhAGMAaABpAG4AZwBBAG4AZABSAHUAbgBvAGYAZgAuAFYARQBFAFIARwBfADQAXwAzAF8AMQBfADEAMgBfAF8AMQBfAEwAZQBhAGMAaABpAG4AZwBBAG4AZABSAHUAbgBvAGYAZgBFAG0AaQBzAHMAaQBvAG4AcwBGAHIAbwBtAFUAcgBpAG4AZQBBAG4AZABEAHUAbgBnAE8AbgBQAGEAcwB0AHUAcgBlAF8AQQByAGcAdQBtAGUAbgB0AHMAIgAsACIATQBNAFMAXwBEAGEAaQByAHkAXwBTAG8AaQBsAF8ATABlAGEAYwBoAGkAbgBnAEEAbgBkAFIAdQBuAG8AZgBmAC4AVgBFAEUAUgBHAF8ANABfADMAXwAxAF8AMQAyAF8AXwAyAF8ATQBhAHMAcwBPAGYATgBpAHQAcgBvAGcAZQBuAEwAbwBzAHQAVABvAEwAZQBhAGMAaABpAG4AZwBBAG4AZABSAHUAbgBvAGYAZgBPAG4AUABhAHMAdAB1AHIAZQAiACwAIgBNAE0AUwBfAEQAYQBpAHIAeQBfAFMAbwBpAGwAXwBMAGUAYQBjAGgAaQBuAGcAQQBuAGQAUgB1AG4AbwBmAGYALgBWAEUARQBSAEcAXwA0AF8AMwBfADEAXwAxADIAXwBfADIAXwBNAGEAcwBzAE8AZgBOAGkAdAByAG8AZwBlAG4ATABvAHMAdABUAG8ATABlAGEAYwBoAGkAbgBnAEEAbgBkAFIAdQBuAG8AZgBmAE8AbgBQAGEAcwB0AHUAcgBlAF8AVABpAHQAbABlACIALAAiAE0ATQBTAF8ARABhAGkAcgB5AF8AUwBvAGkAbABfAEwAZQBhAGMAaABpAG4AZwBBAG4AZABSAHUAbgBvAGYAZgAuAFYARQBFAFIARwBfADQAXwAzAF8AMQBfADEAMgBfAF8AMgBfAE0AYQBzAHMATwBmAE4AaQB0AHIAbwBnAGUAbgBMAG8AcwB0AFQAbwBMAGUAYQBjAGgAaQBuAGcAQQBuAGQAUgB1AG4AbwBmAGYATwBuAFAAYQBzAHQAdQByAGUAXwBWAGEAcgBpAGEAYgBsAGUAIgAsACIATQBNAFMAXwBEAGEAaQByAHkAXwBTAG8AaQBsAF8ATABlAGEAYwBoAGkAbgBnAEEAbgBkAFIAdQBuAG8AZgBmAC4AVgBFAEUAUgBHAF8ANABfADMAXwAxAF8AMQAyAF8AXwAyAF8ATQBhAHMAcwBPAGYATgBpAHQAcgBvAGcAZQBuAEwAbwBzAHQAVABvAEwAZQBhAGMAaABpAG4AZwBBAG4AZABSAHUAbgBvAGYAZgBPAG4AUABhAHMAdAB1AHIAZQBfAFUAbgBpAHQAIgAsACIATQBNAFMAXwBEAGEAaQByAHkAXwBTAG8AaQBsAF8ATABlAGEAYwBoAGkAbgBnAEEAbgBkAFIAdQBuAG8AZgBmAC4AVgBFAEUAUgBHAF8ANABfADMAXwAxAF8AMQAyAF8AXwAyAF8ATQBhAHMAcwBPAGYATgBpAHQAcgBvAGcAZQBuAEwAbwBzAHQAVABvAEwAZQBhAGMAaABpAG4AZwBBAG4AZABSAHUAbgBvAGYAZgBPAG4AUABhAHMAdAB1AHIAZQBfAFMAbwB1AHIAYwBlACIALAAiAE0ATQBTAF8ARABhAGkAcgB5AF8AUwBvAGkAbABfAEwAZQBhAGMAaABpAG4AZwBBAG4AZABSAHUAbgBvAGYAZgAuAFYARQBFAFIARwBfADQAXwAzAF8AMQBfADEAMgBfAF8AMgBfAE0AYQBzAHMATwBmAE4AaQB0AHIAbwBnAGUAbgBMAG8AcwB0AFQAbwBMAGUAYQBjAGgAaQBuAGcAQQBuAGQAUgB1AG4AbwBmAGYATwBuAFAAYQBzAHQAdQByAGUAXwBOAEkAUgBSAGUAZgBlAHIAZQBuAGMAZQAiACwAIgBNAE0AUwBfAEQAYQBpAHIAeQBfAFMAbwBpAGwAXwBMAGUAYQBjAGgAaQBuAGcAQQBuAGQAUgB1AG4AbwBmAGYALgBWAEUARQBSAEcAXwA0AF8AMwBfADEAXwAxADIAXwBfADIAXwBNAGEAcwBzAE8AZgBOAGkAdAByAG8AZwBlAG4ATABvAHMAdABUAG8ATABlAGEAYwBoAGkAbgBnAEEAbgBkAFIAdQBuAG8AZgBmAE8AbgBQAGEAcwB0AHUAcgBlAF8ATABhAHQAZQB4AEUAcQB1AGEAdABpAG8AbgAiACwAIgBNAE0AUwBfAEQAYQBpAHIAeQBfAFMAbwBpAGwAXwBMAGUAYQBjAGgAaQBuAGcAQQBuAGQAUgB1AG4AbwBmAGYALgBWAEUARQBSAEcAXwA0AF8AMwBfADEAXwAxADIAXwBfADIAXwBNAGEAcwBzAE8AZgBOAGkAdAByAG8AZwBlAG4ATABvAHMAdABUAG8ATABlAGEAYwBoAGkAbgBnAEEAbgBkAFIAdQBuAG8AZgBmAE8AbgBQAGEAcwB0AHUAcgBlAF8AQQByAGcAdQBtAGUAbgB0AHMAIgBdACwAIgBsAG8AYwBhAGwAZQAiADoAewAiAGwAaQBzAHQAUwBlAHAAYQByAGEAdABvAHIAIgA6ACIALAAiACwAIgByAG8AdwBTAGUAcABhAHIAYQB0AG8AcgAiADoAIgA7ACIALAAiAGMAbwBsAHUAbQBuAFMAZQBwAGEAcgBhAHQAbwByACIAOgAiACwAIgAsACIAdABoAG8AdQBzAGEAbgBkAHMAUwBlAHAAYQByAGEAdABvAHIAIgA6ACIALAAiACwAIgB0AGgAbwB1AHMAYQBuAGQAcwBQAG8AcwBpAHQAaQBvAG4AcwAiADoAWwAzAF0ALAAiAGQAZQBjAGkAbQBhAGwAUwBlAHAAYQByAGEAdABvAHIAIgA6ACIALgAiACwAIgBkAGEAdABlAE8AcgBkAGUAcgAiADoAIgBEAE0AWQAiACwAIgBjAHUAcgByAGUAbgBjAHkAUwB5AG0AYgBvAGwAIgA6ACIAJAAiACwAIgBpAHMAQwB1AHIAcgBlAG4AYwB5AFMAeQBtAGIAbwBsAEwAZQBhAGQAIgA6AHQAcgB1AGUALAAiAGkAcwBDAHUAcgByAGUAbgBjAHkAUwBlAHAAQgB5AFMAcABhAGMAZQAiADoAZgBhAGwAcwBlACwAIgByAG8AdwBMAGUAdAB0AGUAcgAiADoAIgBSACIALAAiAGMAbwBsAHUAbQBuAEwAZQB0AHQAZQByACIAOgAiAEMAIgAsACIAcgBjAEwAZQBmAHQAQgByAGEAYwBrAGUAdAAiADoAIgBbACIALAAiAHIAYwBSAGkAZwBoAHQAQgByAGEAYwBrAGUAdAAiADoAIgBdACIALAAiAHMAdABhAHQAZQBtAGUAbgB0AFMAZQBwAGEAcgBhAHQAbwByACIAOgAiADsAIgAsACIAbABvAGMAYQBsAGUATgBhAG0AZQAiADoAIgBlAG4ALQB1AHMAIgB9AH0A</AFEJSONBlob>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2.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4.xml><?xml version="1.0" encoding="utf-8"?>
<ds:datastoreItem xmlns:ds="http://schemas.openxmlformats.org/officeDocument/2006/customXml" ds:itemID="{9A9CF321-0D35-4044-BC72-33748FE2B86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63</vt:i4>
      </vt:variant>
    </vt:vector>
  </HeadingPairs>
  <TitlesOfParts>
    <vt:vector size="81" baseType="lpstr">
      <vt:lpstr>Home</vt:lpstr>
      <vt:lpstr>Overview</vt:lpstr>
      <vt:lpstr>Results</vt:lpstr>
      <vt:lpstr>Input - Site</vt:lpstr>
      <vt:lpstr>Input - Dairy</vt:lpstr>
      <vt:lpstr>4.3.1.1-2 Methane</vt:lpstr>
      <vt:lpstr>4.3.1.3-4 Direct N20</vt:lpstr>
      <vt:lpstr>4.3.1.5 Atmos deposition</vt:lpstr>
      <vt:lpstr>4.3.1.6-7 Leaching and runoff</vt:lpstr>
      <vt:lpstr>4.3.1.8 Manure applied to soils</vt:lpstr>
      <vt:lpstr>4.3.1.9 Soil direct N2O</vt:lpstr>
      <vt:lpstr>4.3.1.10-11 Soil Atmos Dep</vt:lpstr>
      <vt:lpstr>4.3.1.12-13 Soil leach runoff</vt:lpstr>
      <vt:lpstr>Constants - Dairy</vt:lpstr>
      <vt:lpstr>Constants - Common</vt:lpstr>
      <vt:lpstr>Constants - Livestock</vt:lpstr>
      <vt:lpstr>Acknowledgements</vt:lpstr>
      <vt:lpstr>Tab template</vt:lpstr>
      <vt:lpstr>VEERG_4_3_1_1__1_TotalAnnualMethaneFromManureManagement_Result_Method1</vt:lpstr>
      <vt:lpstr>VEERG_4_3_1_1__1_TotalAnnualMethaneFromManureManagement_Result_Method2</vt:lpstr>
      <vt:lpstr>X_Cell_Dairy_Breed</vt:lpstr>
      <vt:lpstr>X_Cell_Dairy_ManureAppliedIrrigationMethod</vt:lpstr>
      <vt:lpstr>X_Cell_Dairy_ManureAppliedProductionSystem</vt:lpstr>
      <vt:lpstr>X_Cell_Dairy_MilkProductionAmount</vt:lpstr>
      <vt:lpstr>X_Cell_Dairy_MilkProductionUnit</vt:lpstr>
      <vt:lpstr>X_Cell_Dairy_ProductionSystemTemplate</vt:lpstr>
      <vt:lpstr>X_Cell_Dairy_Stage1MMS_1_AnaerobicLagoon_AmountSeparated_Method1</vt:lpstr>
      <vt:lpstr>X_Cell_Dairy_Stage1MMS_1_AnaerobicLagoon_AmountSeparated_Method2</vt:lpstr>
      <vt:lpstr>X_Cell_Dairy_Stage1MMS_1_AnaerobicLagoon_SolidsSeparated</vt:lpstr>
      <vt:lpstr>X_Cell_Dairy_Stage1MMS_1_DrainsToPaddock_AmountSeparated_Method1</vt:lpstr>
      <vt:lpstr>X_Cell_Dairy_Stage1MMS_1_DrainsToPaddock_AmountSeparated_Method2</vt:lpstr>
      <vt:lpstr>X_Cell_Dairy_Stage1MMS_1_DrainsToPaddock_SolidsSeparated</vt:lpstr>
      <vt:lpstr>X_Cell_Dairy_Stage1MMS_1_SumpAndDispersal_AmountSeparated_Method1</vt:lpstr>
      <vt:lpstr>X_Cell_Dairy_Stage1MMS_1_SumpAndDispersal_AmountSeparated_Method2</vt:lpstr>
      <vt:lpstr>X_Cell_Dairy_Stage1MMS_1_SumpAndDispersal_SolidsSeparated</vt:lpstr>
      <vt:lpstr>X_Cell_Dairy_Stage1MMS_2_AnaerobicLagoon_AmountSeparated_Method1</vt:lpstr>
      <vt:lpstr>X_Cell_Dairy_Stage1MMS_2_AnaerobicLagoon_AmountSeparated_Method2</vt:lpstr>
      <vt:lpstr>X_Cell_Dairy_Stage1MMS_2_AnaerobicLagoon_SolidsSeparated</vt:lpstr>
      <vt:lpstr>X_Cell_Dairy_Stage1MMS_2_DrainsToPaddock_AmountSeparated_Method1</vt:lpstr>
      <vt:lpstr>X_Cell_Dairy_Stage1MMS_2_DrainsToPaddock_AmountSeparated_Method2</vt:lpstr>
      <vt:lpstr>X_Cell_Dairy_Stage1MMS_2_DrainsToPaddock_SolidsSeparated</vt:lpstr>
      <vt:lpstr>X_Cell_Dairy_Stage1MMS_2_SumpAndDispersal_AmountSeparated_Method1</vt:lpstr>
      <vt:lpstr>X_Cell_Dairy_Stage1MMS_2_SumpAndDispersal_AmountSeparated_Method2</vt:lpstr>
      <vt:lpstr>X_Cell_Dairy_Stage1MMS_2_SumpAndDispersal_SolidsSeparated</vt:lpstr>
      <vt:lpstr>X_Cell_Site_AverageTemperature</vt:lpstr>
      <vt:lpstr>X_Cell_Site_Elevation</vt:lpstr>
      <vt:lpstr>X_Cell_Site_FarmName</vt:lpstr>
      <vt:lpstr>X_Cell_Site_FrostDays</vt:lpstr>
      <vt:lpstr>X_Cell_Site_LeachingZone</vt:lpstr>
      <vt:lpstr>X_Cell_Site_PotentialEvapotranspiration</vt:lpstr>
      <vt:lpstr>X_Cell_Site_Region</vt:lpstr>
      <vt:lpstr>X_Cell_Site_ReportingEntityName</vt:lpstr>
      <vt:lpstr>X_Cell_Site_StartDate</vt:lpstr>
      <vt:lpstr>X_Cell_Site_State</vt:lpstr>
      <vt:lpstr>X_Cell_Site_TotalRainfall</vt:lpstr>
      <vt:lpstr>X_Table_Dairy_Diet_Method1</vt:lpstr>
      <vt:lpstr>X_Table_Dairy_Diet_Method2</vt:lpstr>
      <vt:lpstr>X_Table_Dairy_DurationOfStay_Method1</vt:lpstr>
      <vt:lpstr>X_Table_Dairy_DurationOfStay_Method2</vt:lpstr>
      <vt:lpstr>X_Table_Dairy_HerdMovement</vt:lpstr>
      <vt:lpstr>X_Table_Dairy_Liveweight_Method1</vt:lpstr>
      <vt:lpstr>X_Table_Dairy_Liveweight_Method2</vt:lpstr>
      <vt:lpstr>X_Table_Dairy_MilkSolidAttributes</vt:lpstr>
      <vt:lpstr>X_Table_Dairy_ProductionSystems_Method1</vt:lpstr>
      <vt:lpstr>X_Table_Dairy_ProductionSystems_Method2</vt:lpstr>
      <vt:lpstr>X_Table_Dairy_Stage1MMS_1_AnaerobicLagoon</vt:lpstr>
      <vt:lpstr>X_Table_Dairy_Stage1MMS_1_AnaerobicLagoon_Destinations</vt:lpstr>
      <vt:lpstr>X_Table_Dairy_Stage1MMS_1_DrainsToPaddock</vt:lpstr>
      <vt:lpstr>X_Table_Dairy_Stage1MMS_1_DrainsToPaddock_Destinations</vt:lpstr>
      <vt:lpstr>X_Table_Dairy_Stage1MMS_1_SolidStorage</vt:lpstr>
      <vt:lpstr>X_Table_Dairy_Stage1MMS_1_SolidStorage_Destinations</vt:lpstr>
      <vt:lpstr>X_Table_Dairy_Stage1MMS_1_SumpAndDispersal</vt:lpstr>
      <vt:lpstr>X_Table_Dairy_Stage1MMS_1_SumpAndDispersal_Destinations</vt:lpstr>
      <vt:lpstr>X_Table_Dairy_Stage1MMS_2_AnaerobicLagoon</vt:lpstr>
      <vt:lpstr>X_Table_Dairy_Stage1MMS_2_AnaerobicLagoon_Destinations</vt:lpstr>
      <vt:lpstr>X_Table_Dairy_Stage1MMS_2_DrainsToPaddock</vt:lpstr>
      <vt:lpstr>X_Table_Dairy_Stage1MMS_2_DrainsToPaddock_Destinations</vt:lpstr>
      <vt:lpstr>X_Table_Dairy_Stage1MMS_2_SolidStorage</vt:lpstr>
      <vt:lpstr>X_Table_Dairy_Stage1MMS_2_SolidStorage_Destinations</vt:lpstr>
      <vt:lpstr>X_Table_Dairy_Stage1MMS_2_SumpAndDispersal</vt:lpstr>
      <vt:lpstr>X_Table_Dairy_Stage1MMS_2_SumpAndDispersal_Destinations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2026-06-15T07:52:30Z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