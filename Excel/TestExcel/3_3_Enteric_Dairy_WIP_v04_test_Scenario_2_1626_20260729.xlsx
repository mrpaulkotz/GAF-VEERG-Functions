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DCF84ADF-6720-4AA1-8C05-57004EB66497}" xr6:coauthVersionLast="47" xr6:coauthVersionMax="47" xr10:uidLastSave="{00000000-0000-0000-0000-000000000000}"/>
  <bookViews>
    <workbookView xWindow="4680" yWindow="4680" windowWidth="28800" windowHeight="15345" firstSheet="7" activeTab="7" xr2:uid="{992023F3-CAB7-4E5B-A348-08D563A0EF40}"/>
  </bookViews>
  <sheets>
    <sheet name="Home" sheetId="71" r:id="rId1"/>
    <sheet name="Overview" sheetId="106" r:id="rId2"/>
    <sheet name="Results" sheetId="13" r:id="rId3"/>
    <sheet name="Input - Site" sheetId="15" r:id="rId4"/>
    <sheet name="Input - Dairy" sheetId="70" r:id="rId5"/>
    <sheet name="3.3.1.1-2 Enteric Methane" sheetId="69" r:id="rId6"/>
    <sheet name="Constants - Dairy" sheetId="79" r:id="rId7"/>
    <sheet name="Constants - Common" sheetId="110" r:id="rId8"/>
    <sheet name="Constants - Livestock" sheetId="43" r:id="rId9"/>
    <sheet name="Acknowledgements" sheetId="72" r:id="rId10"/>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1_Table_D_j">'3.3.1.1-2 Enteric Methane'!$D$164:$H$165</definedName>
    <definedName name="M1_Table_DMD_j">'3.3.1.1-2 Enteric Methane'!$D$18:$H$19</definedName>
    <definedName name="M1_Table_DPW_j35">'3.3.1.1-2 Enteric Methane'!$D$169:$H$170</definedName>
    <definedName name="M1_Table_E_enteric">'3.3.1.1-2 Enteric Methane'!$M$179:$Q$180</definedName>
    <definedName name="M1_Table_E_enteric_Consumer_1">'3.3.1.1-2 Enteric Methane'!$D$179:$H$180</definedName>
    <definedName name="M1_Table_I_j">'3.3.1.1-2 Enteric Methane'!$D$114:$H$115</definedName>
    <definedName name="M1_Table_LWG_j">'3.3.1.1-2 Enteric Methane'!$D$104:$H$105</definedName>
    <definedName name="M1_Table_M_j">'3.3.1.1-2 Enteric Methane'!$D$131:$H$132</definedName>
    <definedName name="M1_Table_MI_j">'3.3.1.1-2 Enteric Methane'!$D$79:$H$80</definedName>
    <definedName name="M1_Table_MP_j_from_solids">'3.3.1.1-2 Enteric Methane'!$D$49:$H$50</definedName>
    <definedName name="M1_Table_MPW_j35">'3.3.1.1-2 Enteric Methane'!$D$174:$E$175</definedName>
    <definedName name="M1_Table_MS_j">'3.3.1.1-2 Enteric Methane'!$D$44:$H$45</definedName>
    <definedName name="M1_Table_qm_j">'3.3.1.1-2 Enteric Methane'!$D$23:$H$24</definedName>
    <definedName name="M1_Table_W_j">'3.3.1.1-2 Enteric Methane'!$D$99:$H$100</definedName>
    <definedName name="M2_Table_D_j">'3.3.1.1-2 Enteric Methane'!$M$164:$Q$165</definedName>
    <definedName name="M2_Table_DMD_j">'3.3.1.1-2 Enteric Methane'!$M$18:$Q$19</definedName>
    <definedName name="M2_Table_DPW_j">'3.3.1.1-2 Enteric Methane'!$M$169:$Q$170</definedName>
    <definedName name="M2_Table_I_j">'3.3.1.1-2 Enteric Methane'!$M$114:$Q$115</definedName>
    <definedName name="M2_Table_LWG_j">'3.3.1.1-2 Enteric Methane'!$M$104:$Q$105</definedName>
    <definedName name="M2_Table_M_j">'3.3.1.1-2 Enteric Methane'!$M$131:$Q$132</definedName>
    <definedName name="M2_Table_MI_j">'3.3.1.1-2 Enteric Methane'!$M$79:$Q$80</definedName>
    <definedName name="M2_Table_MP_j_from_solids">'3.3.1.1-2 Enteric Methane'!$M$49:$Q$50</definedName>
    <definedName name="M2_Table_qm_j">'3.3.1.1-2 Enteric Methane'!$M$23:$Q$24</definedName>
    <definedName name="M2_Table_W_j">'3.3.1.1-2 Enteric Methane'!$M$99:$Q$100</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Dairy'!$D$221</definedName>
    <definedName name="SourceData_Dairy_FracGASMSoil_Data">'Constants - Dairy'!$D$215</definedName>
    <definedName name="SourceData_Dairy_FractionOfNitrogenLostThroughLeachingAndRunoff_Data">'Constants - Dairy'!$D$209</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Dairy'!$D$227</definedName>
    <definedName name="Step1">#REF!</definedName>
    <definedName name="Step2">#REF!</definedName>
    <definedName name="Step3">#REF!</definedName>
    <definedName name="Table_MP_j">'3.3.1.1-2 Enteric Methane'!$D$74:$H$75</definedName>
    <definedName name="Table_MR_j">'3.3.1.1-2 Enteric Methane'!$D$109:$H$110</definedName>
    <definedName name="Table_N_j">'3.3.1.1-2 Enteric Methane'!$D$159:$H$160</definedName>
    <definedName name="VEERG_3_3_1_1__1_TotalAnnualMethaneFromEntericFermentationVariation_Result_Method1">'3.3.1.1-2 Enteric Methane'!$E$182</definedName>
    <definedName name="VEERG_3_3_1_1__1_TotalAnnualMethaneFromEntericFermentationVariation_Result_Method2">'3.3.1.1-2 Enteric Methane'!$N$182</definedName>
    <definedName name="X_Cell_Dairy_Breed">'Input - Dairy'!$E$7</definedName>
    <definedName name="X_Cell_Dairy_MilkProductionAmount">'Input - Dairy'!$E$52</definedName>
    <definedName name="X_Cell_Dairy_MilkProductionUnit">'Input - Dairy'!$E$49</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Dairy'!$D$54:$F$56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 i="72" l="1"/>
  <c r="A20" i="72"/>
  <c r="A19" i="72"/>
  <c r="A18" i="72"/>
  <c r="A14" i="72"/>
  <c r="A10" i="72"/>
  <c r="A9" i="72"/>
  <c r="A5" i="72"/>
  <c r="A4" i="72"/>
  <c r="A3" i="72"/>
  <c r="A21" i="43"/>
  <c r="A20" i="43"/>
  <c r="A19" i="43"/>
  <c r="A18" i="43"/>
  <c r="A14" i="43"/>
  <c r="A10" i="43"/>
  <c r="A9" i="43"/>
  <c r="A5" i="43"/>
  <c r="A4" i="43"/>
  <c r="A3" i="43"/>
  <c r="A21" i="110"/>
  <c r="A20" i="110"/>
  <c r="A19" i="110"/>
  <c r="A18" i="110"/>
  <c r="A14" i="110"/>
  <c r="A10" i="110"/>
  <c r="A9" i="110"/>
  <c r="A5" i="110"/>
  <c r="A4" i="110"/>
  <c r="A3" i="110"/>
  <c r="A21" i="79"/>
  <c r="A20" i="79"/>
  <c r="A19" i="79"/>
  <c r="A18" i="79"/>
  <c r="A14" i="79"/>
  <c r="A10" i="79"/>
  <c r="A9" i="79"/>
  <c r="A5" i="79"/>
  <c r="A4" i="79"/>
  <c r="A3" i="79"/>
  <c r="A21" i="69"/>
  <c r="A20" i="69"/>
  <c r="A19" i="69"/>
  <c r="A18" i="69"/>
  <c r="A14" i="69"/>
  <c r="A10" i="69"/>
  <c r="A9" i="69"/>
  <c r="A5" i="69"/>
  <c r="A4" i="69"/>
  <c r="A3" i="69"/>
  <c r="A21" i="70"/>
  <c r="A20" i="70"/>
  <c r="A19" i="70"/>
  <c r="A18" i="70"/>
  <c r="A14" i="70"/>
  <c r="A10" i="70"/>
  <c r="A9" i="70"/>
  <c r="A5" i="70"/>
  <c r="A4" i="70"/>
  <c r="A3" i="70"/>
  <c r="A21" i="15"/>
  <c r="A20" i="15"/>
  <c r="A19" i="15"/>
  <c r="A18" i="15"/>
  <c r="A14" i="15"/>
  <c r="A10" i="15"/>
  <c r="A9" i="15"/>
  <c r="A5" i="15"/>
  <c r="A4" i="15"/>
  <c r="A3" i="15"/>
  <c r="A21" i="13"/>
  <c r="A20" i="13"/>
  <c r="A19" i="13"/>
  <c r="A18" i="13"/>
  <c r="A14" i="13"/>
  <c r="A10" i="13"/>
  <c r="A9" i="13"/>
  <c r="A5" i="13"/>
  <c r="A4" i="13"/>
  <c r="A3" i="13"/>
  <c r="A21" i="106"/>
  <c r="A20" i="106"/>
  <c r="A19" i="106"/>
  <c r="A18" i="106"/>
  <c r="A14" i="106"/>
  <c r="A10" i="106"/>
  <c r="A9" i="106"/>
  <c r="A5" i="106"/>
  <c r="A4" i="106"/>
  <c r="A3" i="106"/>
  <c r="A21" i="71"/>
  <c r="A20" i="71"/>
  <c r="A19" i="71"/>
  <c r="A18" i="71"/>
  <c r="A14" i="71"/>
  <c r="A10" i="71"/>
  <c r="A9" i="71"/>
  <c r="A5" i="71"/>
  <c r="A4" i="71"/>
  <c r="A3" i="71"/>
  <c r="G9" i="79"/>
  <c r="G8" i="79"/>
  <c r="E30" i="15"/>
  <c r="E33" i="15"/>
  <c r="P185" i="69"/>
  <c r="G185" i="69"/>
  <c r="E259" i="110" a="1"/>
  <c r="E259" i="110" s="1"/>
  <c r="D259" i="110" a="1"/>
  <c r="D259" i="110" s="1"/>
  <c r="E258" i="110" a="1"/>
  <c r="E258" i="110" s="1"/>
  <c r="D258" i="110" a="1"/>
  <c r="D258" i="110" s="1"/>
  <c r="D256" i="110" a="1"/>
  <c r="D256" i="110" s="1"/>
  <c r="D255" i="110" a="1"/>
  <c r="D255" i="110" s="1"/>
  <c r="D254" i="110" a="1"/>
  <c r="D254" i="110" s="1"/>
  <c r="D253" i="110" a="1"/>
  <c r="D253" i="110" s="1"/>
  <c r="S250" i="110" a="1"/>
  <c r="S250" i="110" s="1"/>
  <c r="R250" i="110" a="1"/>
  <c r="R250" i="110" s="1"/>
  <c r="Q250" i="110" a="1"/>
  <c r="Q250" i="110" s="1"/>
  <c r="P250" i="110" a="1"/>
  <c r="P250" i="110" s="1"/>
  <c r="O250" i="110" a="1"/>
  <c r="O250" i="110" s="1"/>
  <c r="N250" i="110" a="1"/>
  <c r="N250" i="110" s="1"/>
  <c r="M250" i="110" a="1"/>
  <c r="M250" i="110" s="1"/>
  <c r="L250" i="110" a="1"/>
  <c r="L250" i="110" s="1"/>
  <c r="K250" i="110" a="1"/>
  <c r="K250" i="110" s="1"/>
  <c r="J250" i="110" a="1"/>
  <c r="J250" i="110" s="1"/>
  <c r="I250" i="110" a="1"/>
  <c r="I250" i="110" s="1"/>
  <c r="H250" i="110" a="1"/>
  <c r="H250" i="110" s="1"/>
  <c r="G250" i="110" a="1"/>
  <c r="G250" i="110" s="1"/>
  <c r="F250" i="110" a="1"/>
  <c r="F250" i="110" s="1"/>
  <c r="E250" i="110" a="1"/>
  <c r="E250" i="110" s="1"/>
  <c r="D250" i="110" a="1"/>
  <c r="D250" i="110" s="1"/>
  <c r="S249" i="110" a="1"/>
  <c r="S249" i="110" s="1"/>
  <c r="R249" i="110" a="1"/>
  <c r="R249" i="110" s="1"/>
  <c r="Q249" i="110" a="1"/>
  <c r="Q249" i="110" s="1"/>
  <c r="P249" i="110" a="1"/>
  <c r="P249" i="110" s="1"/>
  <c r="O249" i="110" a="1"/>
  <c r="O249" i="110" s="1"/>
  <c r="N249" i="110" a="1"/>
  <c r="N249" i="110" s="1"/>
  <c r="M249" i="110" a="1"/>
  <c r="M249" i="110" s="1"/>
  <c r="L249" i="110" a="1"/>
  <c r="L249" i="110" s="1"/>
  <c r="K249" i="110" a="1"/>
  <c r="K249" i="110" s="1"/>
  <c r="J249" i="110" a="1"/>
  <c r="J249" i="110" s="1"/>
  <c r="I249" i="110" a="1"/>
  <c r="I249" i="110" s="1"/>
  <c r="H249" i="110" a="1"/>
  <c r="H249" i="110" s="1"/>
  <c r="G249" i="110" a="1"/>
  <c r="G249" i="110" s="1"/>
  <c r="F249" i="110" a="1"/>
  <c r="F249" i="110" s="1"/>
  <c r="E249" i="110" a="1"/>
  <c r="E249" i="110" s="1"/>
  <c r="D249" i="110" a="1"/>
  <c r="D249" i="110" s="1"/>
  <c r="S248" i="110" a="1"/>
  <c r="S248" i="110" s="1"/>
  <c r="R248" i="110" a="1"/>
  <c r="R248" i="110" s="1"/>
  <c r="Q248" i="110" a="1"/>
  <c r="Q248" i="110" s="1"/>
  <c r="P248" i="110" a="1"/>
  <c r="P248" i="110" s="1"/>
  <c r="O248" i="110" a="1"/>
  <c r="O248" i="110" s="1"/>
  <c r="N248" i="110" a="1"/>
  <c r="N248" i="110" s="1"/>
  <c r="M248" i="110" a="1"/>
  <c r="M248" i="110" s="1"/>
  <c r="L248" i="110" a="1"/>
  <c r="L248" i="110" s="1"/>
  <c r="K248" i="110" a="1"/>
  <c r="K248" i="110" s="1"/>
  <c r="J248" i="110" a="1"/>
  <c r="J248" i="110" s="1"/>
  <c r="I248" i="110" a="1"/>
  <c r="I248" i="110" s="1"/>
  <c r="H248" i="110" a="1"/>
  <c r="H248" i="110" s="1"/>
  <c r="G248" i="110" a="1"/>
  <c r="G248" i="110" s="1"/>
  <c r="F248" i="110" a="1"/>
  <c r="F248" i="110" s="1"/>
  <c r="E248" i="110" a="1"/>
  <c r="E248" i="110" s="1"/>
  <c r="D248" i="110" a="1"/>
  <c r="D248" i="110" s="1"/>
  <c r="S247" i="110" a="1"/>
  <c r="S247" i="110" s="1"/>
  <c r="R247" i="110" a="1"/>
  <c r="R247" i="110" s="1"/>
  <c r="Q247" i="110" a="1"/>
  <c r="Q247" i="110" s="1"/>
  <c r="P247" i="110" a="1"/>
  <c r="P247" i="110" s="1"/>
  <c r="O247" i="110" a="1"/>
  <c r="O247" i="110" s="1"/>
  <c r="N247" i="110" a="1"/>
  <c r="N247" i="110" s="1"/>
  <c r="M247" i="110" a="1"/>
  <c r="M247" i="110" s="1"/>
  <c r="L247" i="110" a="1"/>
  <c r="L247" i="110" s="1"/>
  <c r="K247" i="110" a="1"/>
  <c r="K247" i="110" s="1"/>
  <c r="J247" i="110" a="1"/>
  <c r="J247" i="110" s="1"/>
  <c r="I247" i="110" a="1"/>
  <c r="I247" i="110" s="1"/>
  <c r="H247" i="110" a="1"/>
  <c r="H247" i="110" s="1"/>
  <c r="G247" i="110" a="1"/>
  <c r="G247" i="110" s="1"/>
  <c r="F247" i="110" a="1"/>
  <c r="F247" i="110" s="1"/>
  <c r="E247" i="110" a="1"/>
  <c r="E247" i="110" s="1"/>
  <c r="D247" i="110" a="1"/>
  <c r="D247" i="110" s="1"/>
  <c r="S246" i="110" a="1"/>
  <c r="S246" i="110" s="1"/>
  <c r="R246" i="110" a="1"/>
  <c r="R246" i="110" s="1"/>
  <c r="Q246" i="110" a="1"/>
  <c r="Q246" i="110" s="1"/>
  <c r="P246" i="110" a="1"/>
  <c r="P246" i="110" s="1"/>
  <c r="O246" i="110" a="1"/>
  <c r="O246" i="110" s="1"/>
  <c r="N246" i="110" a="1"/>
  <c r="N246" i="110" s="1"/>
  <c r="M246" i="110" a="1"/>
  <c r="M246" i="110" s="1"/>
  <c r="L246" i="110" a="1"/>
  <c r="L246" i="110" s="1"/>
  <c r="K246" i="110" a="1"/>
  <c r="K246" i="110" s="1"/>
  <c r="J246" i="110" a="1"/>
  <c r="J246" i="110" s="1"/>
  <c r="I246" i="110" a="1"/>
  <c r="I246" i="110" s="1"/>
  <c r="H246" i="110" a="1"/>
  <c r="H246" i="110" s="1"/>
  <c r="G246" i="110" a="1"/>
  <c r="G246" i="110" s="1"/>
  <c r="F246" i="110" a="1"/>
  <c r="F246" i="110" s="1"/>
  <c r="E246" i="110" a="1"/>
  <c r="E246" i="110" s="1"/>
  <c r="D246" i="110" a="1"/>
  <c r="D246" i="110" s="1"/>
  <c r="S245" i="110" a="1"/>
  <c r="S245" i="110" s="1"/>
  <c r="R245" i="110" a="1"/>
  <c r="R245" i="110" s="1"/>
  <c r="Q245" i="110" a="1"/>
  <c r="Q245" i="110" s="1"/>
  <c r="P245" i="110" a="1"/>
  <c r="P245" i="110" s="1"/>
  <c r="O245" i="110" a="1"/>
  <c r="O245" i="110" s="1"/>
  <c r="N245" i="110" a="1"/>
  <c r="N245" i="110" s="1"/>
  <c r="M245" i="110" a="1"/>
  <c r="M245" i="110" s="1"/>
  <c r="L245" i="110" a="1"/>
  <c r="L245" i="110" s="1"/>
  <c r="K245" i="110" a="1"/>
  <c r="K245" i="110" s="1"/>
  <c r="J245" i="110" a="1"/>
  <c r="J245" i="110" s="1"/>
  <c r="I245" i="110" a="1"/>
  <c r="I245" i="110" s="1"/>
  <c r="H245" i="110" a="1"/>
  <c r="H245" i="110" s="1"/>
  <c r="G245" i="110" a="1"/>
  <c r="G245" i="110" s="1"/>
  <c r="F245" i="110" a="1"/>
  <c r="F245" i="110" s="1"/>
  <c r="E245" i="110" a="1"/>
  <c r="E245" i="110" s="1"/>
  <c r="D245" i="110" a="1"/>
  <c r="D245" i="110" s="1"/>
  <c r="S244" i="110" a="1"/>
  <c r="S244" i="110" s="1"/>
  <c r="R244" i="110" a="1"/>
  <c r="R244" i="110" s="1"/>
  <c r="Q244" i="110" a="1"/>
  <c r="Q244" i="110" s="1"/>
  <c r="P244" i="110" a="1"/>
  <c r="P244" i="110" s="1"/>
  <c r="O244" i="110" a="1"/>
  <c r="O244" i="110" s="1"/>
  <c r="N244" i="110" a="1"/>
  <c r="N244" i="110" s="1"/>
  <c r="M244" i="110" a="1"/>
  <c r="M244" i="110" s="1"/>
  <c r="L244" i="110" a="1"/>
  <c r="L244" i="110" s="1"/>
  <c r="K244" i="110" a="1"/>
  <c r="K244" i="110" s="1"/>
  <c r="J244" i="110" a="1"/>
  <c r="J244" i="110" s="1"/>
  <c r="I244" i="110" a="1"/>
  <c r="I244" i="110" s="1"/>
  <c r="H244" i="110" a="1"/>
  <c r="H244" i="110" s="1"/>
  <c r="G244" i="110" a="1"/>
  <c r="G244" i="110" s="1"/>
  <c r="F244" i="110" a="1"/>
  <c r="F244" i="110" s="1"/>
  <c r="E244" i="110" a="1"/>
  <c r="E244" i="110" s="1"/>
  <c r="D244" i="110" a="1"/>
  <c r="D244" i="110" s="1"/>
  <c r="S243" i="110" a="1"/>
  <c r="S243" i="110" s="1"/>
  <c r="R243" i="110" a="1"/>
  <c r="R243" i="110" s="1"/>
  <c r="Q243" i="110" a="1"/>
  <c r="Q243" i="110" s="1"/>
  <c r="P243" i="110" a="1"/>
  <c r="P243" i="110" s="1"/>
  <c r="O243" i="110" a="1"/>
  <c r="O243" i="110" s="1"/>
  <c r="N243" i="110" a="1"/>
  <c r="N243" i="110" s="1"/>
  <c r="M243" i="110" a="1"/>
  <c r="M243" i="110" s="1"/>
  <c r="L243" i="110" a="1"/>
  <c r="L243" i="110" s="1"/>
  <c r="K243" i="110" a="1"/>
  <c r="K243" i="110" s="1"/>
  <c r="J243" i="110" a="1"/>
  <c r="J243" i="110" s="1"/>
  <c r="I243" i="110" a="1"/>
  <c r="I243" i="110" s="1"/>
  <c r="H243" i="110" a="1"/>
  <c r="H243" i="110" s="1"/>
  <c r="G243" i="110" a="1"/>
  <c r="G243" i="110" s="1"/>
  <c r="F243" i="110" a="1"/>
  <c r="F243" i="110" s="1"/>
  <c r="E243" i="110" a="1"/>
  <c r="E243" i="110" s="1"/>
  <c r="D243" i="110" a="1"/>
  <c r="D243" i="110" s="1"/>
  <c r="S242" i="110" a="1"/>
  <c r="S242" i="110" s="1"/>
  <c r="R242" i="110" a="1"/>
  <c r="R242" i="110" s="1"/>
  <c r="Q242" i="110" a="1"/>
  <c r="Q242" i="110" s="1"/>
  <c r="P242" i="110" a="1"/>
  <c r="P242" i="110" s="1"/>
  <c r="O242" i="110" a="1"/>
  <c r="O242" i="110" s="1"/>
  <c r="N242" i="110" a="1"/>
  <c r="N242" i="110" s="1"/>
  <c r="M242" i="110" a="1"/>
  <c r="M242" i="110" s="1"/>
  <c r="L242" i="110" a="1"/>
  <c r="L242" i="110" s="1"/>
  <c r="K242" i="110" a="1"/>
  <c r="K242" i="110" s="1"/>
  <c r="J242" i="110" a="1"/>
  <c r="J242" i="110" s="1"/>
  <c r="I242" i="110" a="1"/>
  <c r="I242" i="110" s="1"/>
  <c r="H242" i="110" a="1"/>
  <c r="H242" i="110" s="1"/>
  <c r="G242" i="110" a="1"/>
  <c r="G242" i="110" s="1"/>
  <c r="F242" i="110" a="1"/>
  <c r="F242" i="110" s="1"/>
  <c r="E242" i="110" a="1"/>
  <c r="E242" i="110" s="1"/>
  <c r="D242" i="110" a="1"/>
  <c r="D242" i="110" s="1"/>
  <c r="S241" i="110" a="1"/>
  <c r="S241" i="110" s="1"/>
  <c r="R241" i="110" a="1"/>
  <c r="R241" i="110" s="1"/>
  <c r="Q241" i="110" a="1"/>
  <c r="Q241" i="110" s="1"/>
  <c r="P241" i="110" a="1"/>
  <c r="P241" i="110" s="1"/>
  <c r="O241" i="110" a="1"/>
  <c r="O241" i="110" s="1"/>
  <c r="N241" i="110" a="1"/>
  <c r="N241" i="110" s="1"/>
  <c r="M241" i="110" a="1"/>
  <c r="M241" i="110" s="1"/>
  <c r="L241" i="110" a="1"/>
  <c r="L241" i="110" s="1"/>
  <c r="K241" i="110" a="1"/>
  <c r="K241" i="110" s="1"/>
  <c r="J241" i="110" a="1"/>
  <c r="J241" i="110" s="1"/>
  <c r="I241" i="110" a="1"/>
  <c r="I241" i="110" s="1"/>
  <c r="H241" i="110" a="1"/>
  <c r="H241" i="110" s="1"/>
  <c r="G241" i="110" a="1"/>
  <c r="G241" i="110" s="1"/>
  <c r="F241" i="110" a="1"/>
  <c r="F241" i="110" s="1"/>
  <c r="E241" i="110" a="1"/>
  <c r="E241" i="110" s="1"/>
  <c r="D241" i="110" a="1"/>
  <c r="D241" i="110" s="1"/>
  <c r="S240" i="110" a="1"/>
  <c r="S240" i="110" s="1"/>
  <c r="R240" i="110" a="1"/>
  <c r="R240" i="110" s="1"/>
  <c r="Q240" i="110" a="1"/>
  <c r="Q240" i="110" s="1"/>
  <c r="P240" i="110" a="1"/>
  <c r="P240" i="110" s="1"/>
  <c r="O240" i="110" a="1"/>
  <c r="O240" i="110" s="1"/>
  <c r="N240" i="110" a="1"/>
  <c r="N240" i="110" s="1"/>
  <c r="M240" i="110" a="1"/>
  <c r="M240" i="110" s="1"/>
  <c r="L240" i="110" a="1"/>
  <c r="L240" i="110" s="1"/>
  <c r="K240" i="110" a="1"/>
  <c r="K240" i="110" s="1"/>
  <c r="J240" i="110" a="1"/>
  <c r="J240" i="110" s="1"/>
  <c r="I240" i="110" a="1"/>
  <c r="I240" i="110" s="1"/>
  <c r="H240" i="110" a="1"/>
  <c r="H240" i="110" s="1"/>
  <c r="G240" i="110" a="1"/>
  <c r="G240" i="110" s="1"/>
  <c r="F240" i="110" a="1"/>
  <c r="F240" i="110" s="1"/>
  <c r="E240" i="110" a="1"/>
  <c r="E240" i="110" s="1"/>
  <c r="D240" i="110" a="1"/>
  <c r="D240" i="110" s="1"/>
  <c r="S239" i="110" a="1"/>
  <c r="S239" i="110" s="1"/>
  <c r="R239" i="110" a="1"/>
  <c r="R239" i="110" s="1"/>
  <c r="Q239" i="110" a="1"/>
  <c r="Q239" i="110" s="1"/>
  <c r="P239" i="110" a="1"/>
  <c r="P239" i="110" s="1"/>
  <c r="O239" i="110" a="1"/>
  <c r="O239" i="110" s="1"/>
  <c r="N239" i="110" a="1"/>
  <c r="N239" i="110" s="1"/>
  <c r="M239" i="110" a="1"/>
  <c r="M239" i="110" s="1"/>
  <c r="L239" i="110" a="1"/>
  <c r="L239" i="110" s="1"/>
  <c r="K239" i="110" a="1"/>
  <c r="K239" i="110" s="1"/>
  <c r="J239" i="110" a="1"/>
  <c r="J239" i="110" s="1"/>
  <c r="I239" i="110" a="1"/>
  <c r="I239" i="110" s="1"/>
  <c r="H239" i="110" a="1"/>
  <c r="H239" i="110" s="1"/>
  <c r="G239" i="110" a="1"/>
  <c r="G239" i="110" s="1"/>
  <c r="F239" i="110" a="1"/>
  <c r="F239" i="110" s="1"/>
  <c r="E239" i="110" a="1"/>
  <c r="E239" i="110" s="1"/>
  <c r="D239" i="110" a="1"/>
  <c r="D239" i="110" s="1"/>
  <c r="S238" i="110" a="1"/>
  <c r="S238" i="110" s="1"/>
  <c r="R238" i="110" a="1"/>
  <c r="R238" i="110" s="1"/>
  <c r="Q238" i="110" a="1"/>
  <c r="Q238" i="110" s="1"/>
  <c r="P238" i="110" a="1"/>
  <c r="P238" i="110" s="1"/>
  <c r="O238" i="110" a="1"/>
  <c r="O238" i="110" s="1"/>
  <c r="N238" i="110" a="1"/>
  <c r="N238" i="110" s="1"/>
  <c r="M238" i="110" a="1"/>
  <c r="M238" i="110" s="1"/>
  <c r="L238" i="110" a="1"/>
  <c r="L238" i="110" s="1"/>
  <c r="K238" i="110" a="1"/>
  <c r="K238" i="110" s="1"/>
  <c r="J238" i="110" a="1"/>
  <c r="J238" i="110" s="1"/>
  <c r="I238" i="110" a="1"/>
  <c r="I238" i="110" s="1"/>
  <c r="H238" i="110" a="1"/>
  <c r="H238" i="110" s="1"/>
  <c r="G238" i="110" a="1"/>
  <c r="G238" i="110" s="1"/>
  <c r="F238" i="110" a="1"/>
  <c r="F238" i="110" s="1"/>
  <c r="E238" i="110" a="1"/>
  <c r="E238" i="110" s="1"/>
  <c r="D238" i="110" a="1"/>
  <c r="D238" i="110" s="1"/>
  <c r="S237" i="110" a="1"/>
  <c r="S237" i="110" s="1"/>
  <c r="R237" i="110" a="1"/>
  <c r="R237" i="110" s="1"/>
  <c r="Q237" i="110" a="1"/>
  <c r="Q237" i="110" s="1"/>
  <c r="P237" i="110" a="1"/>
  <c r="P237" i="110" s="1"/>
  <c r="O237" i="110" a="1"/>
  <c r="O237" i="110" s="1"/>
  <c r="N237" i="110" a="1"/>
  <c r="N237" i="110" s="1"/>
  <c r="M237" i="110" a="1"/>
  <c r="M237" i="110" s="1"/>
  <c r="L237" i="110" a="1"/>
  <c r="L237" i="110" s="1"/>
  <c r="K237" i="110" a="1"/>
  <c r="K237" i="110" s="1"/>
  <c r="J237" i="110" a="1"/>
  <c r="J237" i="110" s="1"/>
  <c r="I237" i="110" a="1"/>
  <c r="I237" i="110" s="1"/>
  <c r="H237" i="110" a="1"/>
  <c r="H237" i="110" s="1"/>
  <c r="G237" i="110" a="1"/>
  <c r="G237" i="110" s="1"/>
  <c r="F237" i="110" a="1"/>
  <c r="F237" i="110" s="1"/>
  <c r="E237" i="110" a="1"/>
  <c r="E237" i="110" s="1"/>
  <c r="D237" i="110" a="1"/>
  <c r="D237" i="110" s="1"/>
  <c r="S236" i="110" a="1"/>
  <c r="S236" i="110" s="1"/>
  <c r="R236" i="110" a="1"/>
  <c r="R236" i="110" s="1"/>
  <c r="Q236" i="110" a="1"/>
  <c r="Q236" i="110" s="1"/>
  <c r="P236" i="110" a="1"/>
  <c r="P236" i="110" s="1"/>
  <c r="O236" i="110" a="1"/>
  <c r="O236" i="110" s="1"/>
  <c r="N236" i="110" a="1"/>
  <c r="N236" i="110" s="1"/>
  <c r="M236" i="110" a="1"/>
  <c r="M236" i="110" s="1"/>
  <c r="L236" i="110" a="1"/>
  <c r="L236" i="110" s="1"/>
  <c r="K236" i="110" a="1"/>
  <c r="K236" i="110" s="1"/>
  <c r="J236" i="110" a="1"/>
  <c r="J236" i="110" s="1"/>
  <c r="I236" i="110" a="1"/>
  <c r="I236" i="110" s="1"/>
  <c r="H236" i="110" a="1"/>
  <c r="H236" i="110" s="1"/>
  <c r="G236" i="110" a="1"/>
  <c r="G236" i="110" s="1"/>
  <c r="F236" i="110" a="1"/>
  <c r="F236" i="110" s="1"/>
  <c r="E236" i="110" a="1"/>
  <c r="E236" i="110" s="1"/>
  <c r="D236" i="110" a="1"/>
  <c r="D236" i="110" s="1"/>
  <c r="S235" i="110" a="1"/>
  <c r="S235" i="110" s="1"/>
  <c r="R235" i="110" a="1"/>
  <c r="R235" i="110" s="1"/>
  <c r="Q235" i="110" a="1"/>
  <c r="Q235" i="110" s="1"/>
  <c r="P235" i="110" a="1"/>
  <c r="P235" i="110" s="1"/>
  <c r="O235" i="110" a="1"/>
  <c r="O235" i="110" s="1"/>
  <c r="N235" i="110" a="1"/>
  <c r="N235" i="110" s="1"/>
  <c r="M235" i="110" a="1"/>
  <c r="M235" i="110" s="1"/>
  <c r="L235" i="110" a="1"/>
  <c r="L235" i="110" s="1"/>
  <c r="K235" i="110" a="1"/>
  <c r="K235" i="110" s="1"/>
  <c r="J235" i="110" a="1"/>
  <c r="J235" i="110" s="1"/>
  <c r="I235" i="110" a="1"/>
  <c r="I235" i="110" s="1"/>
  <c r="H235" i="110" a="1"/>
  <c r="H235" i="110" s="1"/>
  <c r="G235" i="110" a="1"/>
  <c r="G235" i="110" s="1"/>
  <c r="F235" i="110" a="1"/>
  <c r="F235" i="110" s="1"/>
  <c r="E235" i="110" a="1"/>
  <c r="E235" i="110" s="1"/>
  <c r="D235" i="110" a="1"/>
  <c r="D235" i="110" s="1"/>
  <c r="S234" i="110" a="1"/>
  <c r="S234" i="110" s="1"/>
  <c r="R234" i="110" a="1"/>
  <c r="R234" i="110" s="1"/>
  <c r="Q234" i="110" a="1"/>
  <c r="Q234" i="110" s="1"/>
  <c r="P234" i="110" a="1"/>
  <c r="P234" i="110" s="1"/>
  <c r="O234" i="110" a="1"/>
  <c r="O234" i="110" s="1"/>
  <c r="N234" i="110" a="1"/>
  <c r="N234" i="110" s="1"/>
  <c r="M234" i="110" a="1"/>
  <c r="M234" i="110" s="1"/>
  <c r="L234" i="110" a="1"/>
  <c r="L234" i="110" s="1"/>
  <c r="K234" i="110" a="1"/>
  <c r="K234" i="110" s="1"/>
  <c r="J234" i="110" a="1"/>
  <c r="J234" i="110" s="1"/>
  <c r="I234" i="110" a="1"/>
  <c r="I234" i="110" s="1"/>
  <c r="H234" i="110" a="1"/>
  <c r="H234" i="110" s="1"/>
  <c r="G234" i="110" a="1"/>
  <c r="G234" i="110" s="1"/>
  <c r="F234" i="110" a="1"/>
  <c r="F234" i="110" s="1"/>
  <c r="E234" i="110" a="1"/>
  <c r="E234" i="110" s="1"/>
  <c r="D234" i="110" a="1"/>
  <c r="D234" i="110" s="1"/>
  <c r="S233" i="110" a="1"/>
  <c r="S233" i="110" s="1"/>
  <c r="R233" i="110" a="1"/>
  <c r="R233" i="110" s="1"/>
  <c r="Q233" i="110" a="1"/>
  <c r="Q233" i="110" s="1"/>
  <c r="P233" i="110" a="1"/>
  <c r="P233" i="110" s="1"/>
  <c r="O233" i="110" a="1"/>
  <c r="O233" i="110" s="1"/>
  <c r="N233" i="110" a="1"/>
  <c r="N233" i="110" s="1"/>
  <c r="M233" i="110" a="1"/>
  <c r="M233" i="110" s="1"/>
  <c r="L233" i="110" a="1"/>
  <c r="L233" i="110" s="1"/>
  <c r="K233" i="110" a="1"/>
  <c r="K233" i="110" s="1"/>
  <c r="J233" i="110" a="1"/>
  <c r="J233" i="110" s="1"/>
  <c r="I233" i="110" a="1"/>
  <c r="I233" i="110" s="1"/>
  <c r="H233" i="110" a="1"/>
  <c r="H233" i="110" s="1"/>
  <c r="G233" i="110" a="1"/>
  <c r="G233" i="110" s="1"/>
  <c r="F233" i="110" a="1"/>
  <c r="F233" i="110" s="1"/>
  <c r="E233" i="110" a="1"/>
  <c r="E233" i="110" s="1"/>
  <c r="D233" i="110" a="1"/>
  <c r="D233" i="110" s="1"/>
  <c r="S232" i="110" a="1"/>
  <c r="S232" i="110" s="1"/>
  <c r="R232" i="110" a="1"/>
  <c r="R232" i="110" s="1"/>
  <c r="Q232" i="110" a="1"/>
  <c r="Q232" i="110" s="1"/>
  <c r="P232" i="110" a="1"/>
  <c r="P232" i="110" s="1"/>
  <c r="O232" i="110" a="1"/>
  <c r="O232" i="110" s="1"/>
  <c r="N232" i="110" a="1"/>
  <c r="N232" i="110" s="1"/>
  <c r="M232" i="110" a="1"/>
  <c r="M232" i="110" s="1"/>
  <c r="L232" i="110" a="1"/>
  <c r="L232" i="110" s="1"/>
  <c r="K232" i="110" a="1"/>
  <c r="K232" i="110" s="1"/>
  <c r="J232" i="110" a="1"/>
  <c r="J232" i="110" s="1"/>
  <c r="I232" i="110" a="1"/>
  <c r="I232" i="110" s="1"/>
  <c r="H232" i="110" a="1"/>
  <c r="H232" i="110" s="1"/>
  <c r="G232" i="110" a="1"/>
  <c r="G232" i="110" s="1"/>
  <c r="F232" i="110" a="1"/>
  <c r="F232" i="110" s="1"/>
  <c r="E232" i="110" a="1"/>
  <c r="E232" i="110" s="1"/>
  <c r="D232" i="110" a="1"/>
  <c r="D232" i="110" s="1"/>
  <c r="D229" i="110" a="1"/>
  <c r="D229" i="110" s="1"/>
  <c r="D228" i="110"/>
  <c r="D228" i="110" a="1"/>
  <c r="D227" i="110" a="1"/>
  <c r="D227" i="110" s="1"/>
  <c r="E224" i="110" a="1"/>
  <c r="E224" i="110" s="1"/>
  <c r="D224" i="110" a="1"/>
  <c r="D224" i="110" s="1"/>
  <c r="E223" i="110" a="1"/>
  <c r="E223" i="110" s="1"/>
  <c r="D223" i="110" a="1"/>
  <c r="D223" i="110" s="1"/>
  <c r="E222" i="110" a="1"/>
  <c r="E222" i="110" s="1"/>
  <c r="D222" i="110" a="1"/>
  <c r="D222" i="110" s="1"/>
  <c r="E221" i="110" a="1"/>
  <c r="E221" i="110" s="1"/>
  <c r="D221" i="110" a="1"/>
  <c r="D221" i="110" s="1"/>
  <c r="E220" i="110" a="1"/>
  <c r="E220" i="110" s="1"/>
  <c r="D220" i="110" a="1"/>
  <c r="D220" i="110" s="1"/>
  <c r="E219" i="110" a="1"/>
  <c r="E219" i="110" s="1"/>
  <c r="D219" i="110" a="1"/>
  <c r="D219" i="110" s="1"/>
  <c r="E218" i="110" a="1"/>
  <c r="E218" i="110" s="1"/>
  <c r="D218" i="110" a="1"/>
  <c r="D218" i="110" s="1"/>
  <c r="E217" i="110" a="1"/>
  <c r="E217" i="110" s="1"/>
  <c r="D217" i="110" a="1"/>
  <c r="D217" i="110" s="1"/>
  <c r="E216" i="110" a="1"/>
  <c r="E216" i="110" s="1"/>
  <c r="D216" i="110" a="1"/>
  <c r="D216" i="110" s="1"/>
  <c r="E215" i="110" a="1"/>
  <c r="E215" i="110" s="1"/>
  <c r="D215" i="110" a="1"/>
  <c r="D215" i="110" s="1"/>
  <c r="E214" i="110" a="1"/>
  <c r="E214" i="110" s="1"/>
  <c r="D214" i="110" a="1"/>
  <c r="D214" i="110" s="1"/>
  <c r="E213" i="110" a="1"/>
  <c r="E213" i="110" s="1"/>
  <c r="D213" i="110" a="1"/>
  <c r="D213" i="110" s="1"/>
  <c r="D211" i="110" a="1"/>
  <c r="D211" i="110" s="1"/>
  <c r="E208" i="110" a="1"/>
  <c r="E208" i="110" s="1"/>
  <c r="D208" i="110" a="1"/>
  <c r="D208" i="110" s="1"/>
  <c r="E207" i="110" a="1"/>
  <c r="E207" i="110" s="1"/>
  <c r="D207" i="110" a="1"/>
  <c r="D207" i="110" s="1"/>
  <c r="D205" i="110" a="1"/>
  <c r="D205" i="110" s="1"/>
  <c r="D204" i="110" a="1"/>
  <c r="D204" i="110" s="1"/>
  <c r="D203" i="110" a="1"/>
  <c r="D203" i="110" s="1"/>
  <c r="D202" i="110" a="1"/>
  <c r="D202" i="110" s="1"/>
  <c r="H199" i="110" a="1"/>
  <c r="H199" i="110" s="1"/>
  <c r="G199" i="110" a="1"/>
  <c r="G199" i="110" s="1"/>
  <c r="F199" i="110" a="1"/>
  <c r="F199" i="110" s="1"/>
  <c r="E199" i="110" a="1"/>
  <c r="E199" i="110" s="1"/>
  <c r="D199" i="110" a="1"/>
  <c r="D199" i="110" s="1"/>
  <c r="H198" i="110" a="1"/>
  <c r="H198" i="110" s="1"/>
  <c r="G198" i="110" a="1"/>
  <c r="G198" i="110" s="1"/>
  <c r="F198" i="110" a="1"/>
  <c r="F198" i="110" s="1"/>
  <c r="E198" i="110" a="1"/>
  <c r="E198" i="110" s="1"/>
  <c r="D198" i="110" a="1"/>
  <c r="D198" i="110" s="1"/>
  <c r="H197" i="110" a="1"/>
  <c r="H197" i="110" s="1"/>
  <c r="G197" i="110" a="1"/>
  <c r="G197" i="110" s="1"/>
  <c r="F197" i="110" a="1"/>
  <c r="F197" i="110" s="1"/>
  <c r="E197" i="110" a="1"/>
  <c r="E197" i="110" s="1"/>
  <c r="D197" i="110" a="1"/>
  <c r="D197" i="110" s="1"/>
  <c r="H196" i="110" a="1"/>
  <c r="H196" i="110" s="1"/>
  <c r="G196" i="110" a="1"/>
  <c r="G196" i="110" s="1"/>
  <c r="F196" i="110" a="1"/>
  <c r="F196" i="110" s="1"/>
  <c r="E196" i="110" a="1"/>
  <c r="E196" i="110" s="1"/>
  <c r="D196" i="110" a="1"/>
  <c r="D196" i="110" s="1"/>
  <c r="H195" i="110" a="1"/>
  <c r="H195" i="110" s="1"/>
  <c r="G195" i="110" a="1"/>
  <c r="G195" i="110" s="1"/>
  <c r="F195" i="110" a="1"/>
  <c r="F195" i="110" s="1"/>
  <c r="E195" i="110" a="1"/>
  <c r="E195" i="110" s="1"/>
  <c r="D195" i="110" a="1"/>
  <c r="D195" i="110" s="1"/>
  <c r="H194" i="110" a="1"/>
  <c r="H194" i="110" s="1"/>
  <c r="G194" i="110" a="1"/>
  <c r="G194" i="110" s="1"/>
  <c r="F194" i="110" a="1"/>
  <c r="F194" i="110" s="1"/>
  <c r="E194" i="110" a="1"/>
  <c r="E194" i="110" s="1"/>
  <c r="D194" i="110" a="1"/>
  <c r="D194" i="110" s="1"/>
  <c r="H193" i="110" a="1"/>
  <c r="H193" i="110" s="1"/>
  <c r="G193" i="110" a="1"/>
  <c r="G193" i="110" s="1"/>
  <c r="F193" i="110" a="1"/>
  <c r="F193" i="110" s="1"/>
  <c r="E193" i="110" a="1"/>
  <c r="E193" i="110" s="1"/>
  <c r="D193" i="110" a="1"/>
  <c r="D193" i="110" s="1"/>
  <c r="H192" i="110" a="1"/>
  <c r="H192" i="110" s="1"/>
  <c r="G192" i="110" a="1"/>
  <c r="G192" i="110" s="1"/>
  <c r="F192" i="110" a="1"/>
  <c r="F192" i="110" s="1"/>
  <c r="E192" i="110" a="1"/>
  <c r="E192" i="110" s="1"/>
  <c r="D192" i="110" a="1"/>
  <c r="D192" i="110" s="1"/>
  <c r="H191" i="110" a="1"/>
  <c r="H191" i="110" s="1"/>
  <c r="G191" i="110" a="1"/>
  <c r="G191" i="110" s="1"/>
  <c r="F191" i="110" a="1"/>
  <c r="F191" i="110" s="1"/>
  <c r="E191" i="110" a="1"/>
  <c r="E191" i="110" s="1"/>
  <c r="D191" i="110" a="1"/>
  <c r="D191" i="110" s="1"/>
  <c r="H190" i="110" a="1"/>
  <c r="H190" i="110" s="1"/>
  <c r="G190" i="110" a="1"/>
  <c r="G190" i="110" s="1"/>
  <c r="F190" i="110" a="1"/>
  <c r="F190" i="110" s="1"/>
  <c r="E190" i="110" a="1"/>
  <c r="E190" i="110" s="1"/>
  <c r="D190" i="110" a="1"/>
  <c r="D190" i="110" s="1"/>
  <c r="H189" i="110" a="1"/>
  <c r="H189" i="110" s="1"/>
  <c r="G189" i="110" a="1"/>
  <c r="G189" i="110" s="1"/>
  <c r="F189" i="110" a="1"/>
  <c r="F189" i="110" s="1"/>
  <c r="E189" i="110" a="1"/>
  <c r="E189" i="110" s="1"/>
  <c r="D189" i="110" a="1"/>
  <c r="D189" i="110" s="1"/>
  <c r="H188" i="110" a="1"/>
  <c r="H188" i="110" s="1"/>
  <c r="G188" i="110" a="1"/>
  <c r="G188" i="110" s="1"/>
  <c r="F188" i="110" a="1"/>
  <c r="F188" i="110" s="1"/>
  <c r="E188" i="110" a="1"/>
  <c r="E188" i="110" s="1"/>
  <c r="D188" i="110" a="1"/>
  <c r="D188" i="110" s="1"/>
  <c r="H187" i="110" a="1"/>
  <c r="H187" i="110" s="1"/>
  <c r="G187" i="110" a="1"/>
  <c r="G187" i="110" s="1"/>
  <c r="F187" i="110" a="1"/>
  <c r="F187" i="110" s="1"/>
  <c r="E187" i="110" a="1"/>
  <c r="E187" i="110" s="1"/>
  <c r="D187" i="110" a="1"/>
  <c r="D187" i="110" s="1"/>
  <c r="D181" i="110" a="1"/>
  <c r="D181" i="110" s="1"/>
  <c r="D180" i="110" a="1"/>
  <c r="D180" i="110" s="1"/>
  <c r="D179" i="110" a="1"/>
  <c r="D179" i="110" s="1"/>
  <c r="D178" i="110" a="1"/>
  <c r="D178" i="110" s="1"/>
  <c r="E175" i="110"/>
  <c r="E175" i="110" a="1"/>
  <c r="D175" i="110"/>
  <c r="D175" i="110" a="1"/>
  <c r="D174" i="110" a="1"/>
  <c r="D174" i="110" s="1"/>
  <c r="D173" i="110" a="1"/>
  <c r="D173" i="110" s="1"/>
  <c r="D170" i="110" a="1"/>
  <c r="D170" i="110" s="1"/>
  <c r="D169" i="110" a="1"/>
  <c r="D169" i="110" s="1"/>
  <c r="D168" i="110" a="1"/>
  <c r="D168" i="110" s="1"/>
  <c r="D167" i="110" a="1"/>
  <c r="D167" i="110" s="1"/>
  <c r="D164" i="110" a="1"/>
  <c r="D164" i="110" s="1"/>
  <c r="D163" i="110" a="1"/>
  <c r="D163" i="110" s="1"/>
  <c r="D162" i="110" a="1"/>
  <c r="D162" i="110" s="1"/>
  <c r="D161" i="110" a="1"/>
  <c r="D161" i="110" s="1"/>
  <c r="E158" i="110" a="1"/>
  <c r="E158" i="110" s="1"/>
  <c r="D158" i="110" a="1"/>
  <c r="D158" i="110" s="1"/>
  <c r="E157" i="110" a="1"/>
  <c r="E157" i="110" s="1"/>
  <c r="D157" i="110" a="1"/>
  <c r="D157" i="110" s="1"/>
  <c r="E156" i="110" a="1"/>
  <c r="E156" i="110" s="1"/>
  <c r="D156" i="110" a="1"/>
  <c r="D156" i="110" s="1"/>
  <c r="E155" i="110" a="1"/>
  <c r="E155" i="110" s="1"/>
  <c r="D155" i="110" a="1"/>
  <c r="D155" i="110" s="1"/>
  <c r="E154" i="110" a="1"/>
  <c r="E154" i="110" s="1"/>
  <c r="D154" i="110" a="1"/>
  <c r="D154" i="110" s="1"/>
  <c r="D151" i="110" a="1"/>
  <c r="D151" i="110" s="1"/>
  <c r="D150" i="110" a="1"/>
  <c r="D150" i="110" s="1"/>
  <c r="E147" i="110" a="1"/>
  <c r="E147" i="110" s="1"/>
  <c r="D147" i="110" a="1"/>
  <c r="D147" i="110" s="1"/>
  <c r="E146" i="110" a="1"/>
  <c r="E146" i="110" s="1"/>
  <c r="D146" i="110" a="1"/>
  <c r="D146" i="110" s="1"/>
  <c r="E145" i="110" a="1"/>
  <c r="E145" i="110" s="1"/>
  <c r="D145" i="110" a="1"/>
  <c r="D145" i="110" s="1"/>
  <c r="E144" i="110" a="1"/>
  <c r="E144" i="110" s="1"/>
  <c r="D144" i="110" a="1"/>
  <c r="D144" i="110" s="1"/>
  <c r="E143" i="110" a="1"/>
  <c r="E143" i="110" s="1"/>
  <c r="D143" i="110" a="1"/>
  <c r="D143" i="110" s="1"/>
  <c r="D141" i="110" a="1"/>
  <c r="D141" i="110" s="1"/>
  <c r="D140" i="110" a="1"/>
  <c r="D140" i="110" s="1"/>
  <c r="D139" i="110" a="1"/>
  <c r="D139" i="110" s="1"/>
  <c r="E136" i="110" a="1"/>
  <c r="E136" i="110" s="1"/>
  <c r="D136" i="110" a="1"/>
  <c r="D136" i="110" s="1"/>
  <c r="E135" i="110" a="1"/>
  <c r="E135" i="110" s="1"/>
  <c r="D135" i="110" a="1"/>
  <c r="D135" i="110" s="1"/>
  <c r="D133" i="110" a="1"/>
  <c r="D133" i="110" s="1"/>
  <c r="D132" i="110" a="1"/>
  <c r="D132" i="110" s="1"/>
  <c r="E129" i="110" a="1"/>
  <c r="E129" i="110" s="1"/>
  <c r="D129" i="110" a="1"/>
  <c r="D129" i="110" s="1"/>
  <c r="E128" i="110" a="1"/>
  <c r="E128" i="110" s="1"/>
  <c r="D128" i="110" a="1"/>
  <c r="D128" i="110" s="1"/>
  <c r="D125" i="110" a="1"/>
  <c r="D125" i="110" s="1"/>
  <c r="D124" i="110" a="1"/>
  <c r="D124" i="110" s="1"/>
  <c r="G121" i="110" a="1"/>
  <c r="G121" i="110" s="1"/>
  <c r="F121" i="110" a="1"/>
  <c r="F121" i="110" s="1"/>
  <c r="E121" i="110" a="1"/>
  <c r="E121" i="110" s="1"/>
  <c r="D121" i="110" a="1"/>
  <c r="D121" i="110" s="1"/>
  <c r="G120" i="110" a="1"/>
  <c r="G120" i="110" s="1"/>
  <c r="F120" i="110" a="1"/>
  <c r="F120" i="110" s="1"/>
  <c r="E120" i="110" a="1"/>
  <c r="E120" i="110" s="1"/>
  <c r="D120" i="110" a="1"/>
  <c r="D120" i="110" s="1"/>
  <c r="D117" i="110" a="1"/>
  <c r="D117" i="110" s="1"/>
  <c r="D116" i="110" a="1"/>
  <c r="D116" i="110" s="1"/>
  <c r="D115" i="110" a="1"/>
  <c r="D115" i="110" s="1"/>
  <c r="G112" i="110" a="1"/>
  <c r="G112" i="110" s="1"/>
  <c r="F112" i="110" a="1"/>
  <c r="F112" i="110" s="1"/>
  <c r="E112" i="110" a="1"/>
  <c r="E112" i="110" s="1"/>
  <c r="D112" i="110" a="1"/>
  <c r="D112" i="110" s="1"/>
  <c r="G111" i="110" a="1"/>
  <c r="G111" i="110" s="1"/>
  <c r="F111" i="110" a="1"/>
  <c r="F111" i="110" s="1"/>
  <c r="E111" i="110" a="1"/>
  <c r="E111" i="110" s="1"/>
  <c r="D111" i="110" a="1"/>
  <c r="D111" i="110" s="1"/>
  <c r="G110" i="110" a="1"/>
  <c r="G110" i="110" s="1"/>
  <c r="F110" i="110" a="1"/>
  <c r="F110" i="110" s="1"/>
  <c r="E110" i="110" a="1"/>
  <c r="E110" i="110" s="1"/>
  <c r="D110" i="110" a="1"/>
  <c r="D110" i="110" s="1"/>
  <c r="D107" i="110" a="1"/>
  <c r="D107" i="110" s="1"/>
  <c r="D106" i="110" a="1"/>
  <c r="D106" i="110" s="1"/>
  <c r="D105" i="110" a="1"/>
  <c r="D105" i="110" s="1"/>
  <c r="D99" i="110" a="1"/>
  <c r="D99"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J97" i="110" a="1"/>
  <c r="J97" i="110" s="1"/>
  <c r="I97" i="110" a="1"/>
  <c r="I97" i="110" s="1"/>
  <c r="H97" i="110" a="1"/>
  <c r="H97" i="110" s="1"/>
  <c r="G97" i="110" a="1"/>
  <c r="G97" i="110" s="1"/>
  <c r="F97" i="110" a="1"/>
  <c r="F97" i="110" s="1"/>
  <c r="E97" i="110" a="1"/>
  <c r="E97" i="110" s="1"/>
  <c r="D97" i="110" a="1"/>
  <c r="D97"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J96" i="110" a="1"/>
  <c r="J96" i="110" s="1"/>
  <c r="I96" i="110" a="1"/>
  <c r="I96" i="110" s="1"/>
  <c r="H96" i="110" a="1"/>
  <c r="H96" i="110" s="1"/>
  <c r="G96" i="110" a="1"/>
  <c r="G96" i="110" s="1"/>
  <c r="F96" i="110" a="1"/>
  <c r="F96" i="110" s="1"/>
  <c r="E96" i="110" a="1"/>
  <c r="E96" i="110" s="1"/>
  <c r="D96" i="110" a="1"/>
  <c r="D96"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J95" i="110" a="1"/>
  <c r="J95" i="110" s="1"/>
  <c r="I95" i="110" a="1"/>
  <c r="I95" i="110" s="1"/>
  <c r="H95" i="110" a="1"/>
  <c r="H95" i="110" s="1"/>
  <c r="G95" i="110" a="1"/>
  <c r="G95" i="110" s="1"/>
  <c r="F95" i="110" a="1"/>
  <c r="F95" i="110" s="1"/>
  <c r="E95" i="110" a="1"/>
  <c r="E95" i="110" s="1"/>
  <c r="D95" i="110" a="1"/>
  <c r="D95"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J94" i="110" a="1"/>
  <c r="J94" i="110" s="1"/>
  <c r="I94" i="110" a="1"/>
  <c r="I94" i="110" s="1"/>
  <c r="H94" i="110" a="1"/>
  <c r="H94" i="110" s="1"/>
  <c r="G94" i="110" a="1"/>
  <c r="G94" i="110" s="1"/>
  <c r="F94" i="110" a="1"/>
  <c r="F94" i="110" s="1"/>
  <c r="E94" i="110" a="1"/>
  <c r="E94" i="110" s="1"/>
  <c r="D94" i="110" a="1"/>
  <c r="D94"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J93" i="110" a="1"/>
  <c r="J93" i="110" s="1"/>
  <c r="I93" i="110" a="1"/>
  <c r="I93" i="110" s="1"/>
  <c r="H93" i="110" a="1"/>
  <c r="H93" i="110" s="1"/>
  <c r="G93" i="110" a="1"/>
  <c r="G93" i="110" s="1"/>
  <c r="F93" i="110" a="1"/>
  <c r="F93" i="110" s="1"/>
  <c r="E93" i="110" a="1"/>
  <c r="E93" i="110" s="1"/>
  <c r="D93" i="110" a="1"/>
  <c r="D93"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J92" i="110" a="1"/>
  <c r="J92" i="110" s="1"/>
  <c r="I92" i="110" a="1"/>
  <c r="I92" i="110" s="1"/>
  <c r="H92" i="110" a="1"/>
  <c r="H92" i="110" s="1"/>
  <c r="G92" i="110" a="1"/>
  <c r="G92" i="110" s="1"/>
  <c r="F92" i="110" a="1"/>
  <c r="F92" i="110" s="1"/>
  <c r="E92" i="110" a="1"/>
  <c r="E92" i="110" s="1"/>
  <c r="D92" i="110" a="1"/>
  <c r="D92"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J91" i="110" a="1"/>
  <c r="J91" i="110" s="1"/>
  <c r="I91" i="110" a="1"/>
  <c r="I91" i="110" s="1"/>
  <c r="H91" i="110" a="1"/>
  <c r="H91" i="110" s="1"/>
  <c r="G91" i="110" a="1"/>
  <c r="G91" i="110" s="1"/>
  <c r="F91" i="110" a="1"/>
  <c r="F91" i="110" s="1"/>
  <c r="E91" i="110" a="1"/>
  <c r="E91" i="110" s="1"/>
  <c r="D91" i="110" a="1"/>
  <c r="D91"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90" i="110" a="1"/>
  <c r="J90" i="110" s="1"/>
  <c r="I90" i="110" a="1"/>
  <c r="I90" i="110" s="1"/>
  <c r="H90" i="110" a="1"/>
  <c r="H90" i="110" s="1"/>
  <c r="G90" i="110" a="1"/>
  <c r="G90" i="110" s="1"/>
  <c r="F90" i="110" a="1"/>
  <c r="F90" i="110" s="1"/>
  <c r="E90" i="110" a="1"/>
  <c r="E90" i="110" s="1"/>
  <c r="D90" i="110" a="1"/>
  <c r="D90" i="110" s="1"/>
  <c r="D83" i="110" a="1"/>
  <c r="D83" i="110" s="1"/>
  <c r="D82" i="110" a="1"/>
  <c r="D82" i="110" s="1"/>
  <c r="D81" i="110" a="1"/>
  <c r="D81" i="110" s="1"/>
  <c r="E77" i="110" a="1"/>
  <c r="E77" i="110" s="1"/>
  <c r="D77" i="110" a="1"/>
  <c r="D77" i="110" s="1"/>
  <c r="E76" i="110" a="1"/>
  <c r="E76" i="110" s="1"/>
  <c r="D76" i="110" a="1"/>
  <c r="D76" i="110" s="1"/>
  <c r="E75" i="110" a="1"/>
  <c r="E75" i="110" s="1"/>
  <c r="D75" i="110" a="1"/>
  <c r="D75" i="110" s="1"/>
  <c r="E74" i="110" a="1"/>
  <c r="E74" i="110" s="1"/>
  <c r="D74" i="110" a="1"/>
  <c r="D74" i="110" s="1"/>
  <c r="E73" i="110" a="1"/>
  <c r="E73" i="110" s="1"/>
  <c r="D73" i="110" a="1"/>
  <c r="D73" i="110" s="1"/>
  <c r="E72" i="110" a="1"/>
  <c r="E72" i="110" s="1"/>
  <c r="D72" i="110" a="1"/>
  <c r="D72" i="110" s="1"/>
  <c r="E71" i="110" a="1"/>
  <c r="E71" i="110" s="1"/>
  <c r="D71" i="110" a="1"/>
  <c r="D71" i="110" s="1"/>
  <c r="E70" i="110" a="1"/>
  <c r="E70" i="110" s="1"/>
  <c r="D70" i="110" a="1"/>
  <c r="D70" i="110" s="1"/>
  <c r="E69" i="110" a="1"/>
  <c r="E69" i="110" s="1"/>
  <c r="D69" i="110" a="1"/>
  <c r="D69" i="110" s="1"/>
  <c r="E68" i="110" a="1"/>
  <c r="E68" i="110" s="1"/>
  <c r="D68" i="110" a="1"/>
  <c r="D68" i="110" s="1"/>
  <c r="E67" i="110" a="1"/>
  <c r="E67" i="110" s="1"/>
  <c r="D67" i="110" a="1"/>
  <c r="D67" i="110" s="1"/>
  <c r="E66" i="110" a="1"/>
  <c r="E66" i="110" s="1"/>
  <c r="D66" i="110" a="1"/>
  <c r="D66" i="110" s="1"/>
  <c r="E65" i="110" a="1"/>
  <c r="E65" i="110" s="1"/>
  <c r="D65" i="110" a="1"/>
  <c r="D65" i="110" s="1"/>
  <c r="E64" i="110" a="1"/>
  <c r="E64" i="110" s="1"/>
  <c r="D64" i="110" a="1"/>
  <c r="D64" i="110" s="1"/>
  <c r="D59" i="110" a="1"/>
  <c r="D59" i="110" s="1"/>
  <c r="D58" i="110" a="1"/>
  <c r="D58" i="110" s="1"/>
  <c r="D57" i="110" a="1"/>
  <c r="D57" i="110" s="1"/>
  <c r="G54" i="110" a="1"/>
  <c r="G54" i="110" s="1"/>
  <c r="F54" i="110" a="1"/>
  <c r="F54" i="110" s="1"/>
  <c r="E54" i="110" a="1"/>
  <c r="E54" i="110" s="1"/>
  <c r="D54" i="110" a="1"/>
  <c r="D54" i="110" s="1"/>
  <c r="G53" i="110" a="1"/>
  <c r="G53" i="110" s="1"/>
  <c r="F53" i="110" a="1"/>
  <c r="F53" i="110" s="1"/>
  <c r="E53" i="110" a="1"/>
  <c r="E53" i="110" s="1"/>
  <c r="D53" i="110" a="1"/>
  <c r="D53" i="110" s="1"/>
  <c r="G52" i="110" a="1"/>
  <c r="G52" i="110" s="1"/>
  <c r="F52" i="110" a="1"/>
  <c r="F52" i="110" s="1"/>
  <c r="E52" i="110" a="1"/>
  <c r="E52" i="110" s="1"/>
  <c r="D52" i="110" a="1"/>
  <c r="D52" i="110" s="1"/>
  <c r="G51" i="110" a="1"/>
  <c r="G51" i="110" s="1"/>
  <c r="F51" i="110" a="1"/>
  <c r="F51" i="110" s="1"/>
  <c r="E51" i="110" a="1"/>
  <c r="E51" i="110" s="1"/>
  <c r="D51" i="110" a="1"/>
  <c r="D51" i="110" s="1"/>
  <c r="G50" i="110" a="1"/>
  <c r="G50" i="110" s="1"/>
  <c r="F50" i="110" a="1"/>
  <c r="F50" i="110" s="1"/>
  <c r="E50" i="110" a="1"/>
  <c r="E50" i="110" s="1"/>
  <c r="D50" i="110" a="1"/>
  <c r="D50" i="110" s="1"/>
  <c r="G49" i="110" a="1"/>
  <c r="G49" i="110" s="1"/>
  <c r="F49" i="110" a="1"/>
  <c r="F49" i="110" s="1"/>
  <c r="E49" i="110" a="1"/>
  <c r="E49" i="110" s="1"/>
  <c r="D49" i="110" a="1"/>
  <c r="D49" i="110" s="1"/>
  <c r="G48" i="110" a="1"/>
  <c r="G48" i="110" s="1"/>
  <c r="F48" i="110" a="1"/>
  <c r="F48" i="110" s="1"/>
  <c r="E48" i="110" a="1"/>
  <c r="E48" i="110" s="1"/>
  <c r="D48" i="110" a="1"/>
  <c r="D48" i="110" s="1"/>
  <c r="D46" i="110" a="1"/>
  <c r="D46" i="110" s="1"/>
  <c r="D45" i="110" a="1"/>
  <c r="D45" i="110" s="1"/>
  <c r="E43" i="110" a="1"/>
  <c r="E43" i="110" s="1"/>
  <c r="D43" i="110" a="1"/>
  <c r="D43" i="110" s="1"/>
  <c r="E42" i="110" a="1"/>
  <c r="E42" i="110" s="1"/>
  <c r="D42" i="110" a="1"/>
  <c r="D42" i="110" s="1"/>
  <c r="E41" i="110" a="1"/>
  <c r="E41" i="110" s="1"/>
  <c r="D41" i="110" a="1"/>
  <c r="D41" i="110" s="1"/>
  <c r="E40" i="110" a="1"/>
  <c r="E40" i="110" s="1"/>
  <c r="D40" i="110" a="1"/>
  <c r="D40" i="110" s="1"/>
  <c r="E39" i="110" a="1"/>
  <c r="E39" i="110" s="1"/>
  <c r="D39" i="110" a="1"/>
  <c r="D39" i="110" s="1"/>
  <c r="E38" i="110" a="1"/>
  <c r="E38" i="110" s="1"/>
  <c r="D38" i="110" a="1"/>
  <c r="D38" i="110" s="1"/>
  <c r="E37" i="110" a="1"/>
  <c r="E37" i="110" s="1"/>
  <c r="D37" i="110" a="1"/>
  <c r="D37" i="110" s="1"/>
  <c r="D35" i="110" a="1"/>
  <c r="D35" i="110" s="1"/>
  <c r="D34" i="110" a="1"/>
  <c r="D34" i="110" s="1"/>
  <c r="D30" i="110" a="1"/>
  <c r="D30" i="110" s="1"/>
  <c r="D29" i="110" a="1"/>
  <c r="D29" i="110" s="1"/>
  <c r="D28" i="110" a="1"/>
  <c r="D28" i="110" s="1"/>
  <c r="D27" i="110" a="1"/>
  <c r="D27" i="110" s="1"/>
  <c r="D26" i="110" a="1"/>
  <c r="D26" i="110" s="1"/>
  <c r="D25" i="110" a="1"/>
  <c r="D25" i="110" s="1"/>
  <c r="D24" i="110" a="1"/>
  <c r="D24" i="110" s="1"/>
  <c r="D23" i="110" a="1"/>
  <c r="D23" i="110" s="1"/>
  <c r="D22" i="110" a="1"/>
  <c r="D22" i="110" s="1"/>
  <c r="D21" i="110" a="1"/>
  <c r="D21" i="110" s="1"/>
  <c r="D19" i="110" a="1"/>
  <c r="D19" i="110" s="1"/>
  <c r="D18" i="110" a="1"/>
  <c r="D18" i="110" s="1"/>
  <c r="F14" i="110" a="1"/>
  <c r="F14" i="110" s="1"/>
  <c r="E14" i="110" a="1"/>
  <c r="E14" i="110" s="1"/>
  <c r="D14" i="110" a="1"/>
  <c r="D14" i="110" s="1"/>
  <c r="F13" i="110" a="1"/>
  <c r="F13" i="110" s="1"/>
  <c r="E13" i="110" a="1"/>
  <c r="E13" i="110" s="1"/>
  <c r="D13" i="110" a="1"/>
  <c r="D13" i="110" s="1"/>
  <c r="F12" i="110" a="1"/>
  <c r="F12" i="110" s="1"/>
  <c r="E12" i="110" a="1"/>
  <c r="E12" i="110" s="1"/>
  <c r="D12" i="110" a="1"/>
  <c r="D12" i="110" s="1"/>
  <c r="F11" i="110" a="1"/>
  <c r="F11" i="110" s="1"/>
  <c r="E11" i="110" a="1"/>
  <c r="E11" i="110" s="1"/>
  <c r="D11" i="110" a="1"/>
  <c r="D11" i="110" s="1"/>
  <c r="F10" i="110" a="1"/>
  <c r="F10" i="110" s="1"/>
  <c r="E10" i="110" a="1"/>
  <c r="E10" i="110" s="1"/>
  <c r="D10" i="110" a="1"/>
  <c r="D10" i="110" s="1"/>
  <c r="F9" i="110" a="1"/>
  <c r="F9" i="110" s="1"/>
  <c r="E9" i="110" a="1"/>
  <c r="E9" i="110" s="1"/>
  <c r="D9" i="110" a="1"/>
  <c r="D9" i="110" s="1"/>
  <c r="F8" i="110" a="1"/>
  <c r="F8" i="110" s="1"/>
  <c r="E8" i="110" a="1"/>
  <c r="E8" i="110" s="1"/>
  <c r="D8" i="110" a="1"/>
  <c r="D8" i="110" s="1"/>
  <c r="F7" i="110" a="1"/>
  <c r="F7" i="110" s="1"/>
  <c r="E7" i="110" a="1"/>
  <c r="E7" i="110" s="1"/>
  <c r="D7" i="110" a="1"/>
  <c r="D7" i="110" s="1"/>
  <c r="D5" i="110" a="1"/>
  <c r="D5" i="110" s="1"/>
  <c r="P37" i="69" a="1"/>
  <c r="P37" i="69" s="1"/>
  <c r="M37" i="69" a="1"/>
  <c r="M37" i="69" s="1"/>
  <c r="I64" i="69"/>
  <c r="I37" i="69"/>
  <c r="H53" i="110" l="1"/>
  <c r="H51" i="110"/>
  <c r="H52" i="110"/>
  <c r="H54" i="110"/>
  <c r="H48" i="110"/>
  <c r="H49" i="110"/>
  <c r="H50" i="110"/>
  <c r="D6" i="69" a="1"/>
  <c r="D6" i="69" s="1"/>
  <c r="D227" i="79" a="1"/>
  <c r="D227" i="79" s="1"/>
  <c r="D226" i="79" a="1"/>
  <c r="D226" i="79" s="1"/>
  <c r="D225" i="79" a="1"/>
  <c r="D225" i="79" s="1"/>
  <c r="D224" i="79" a="1"/>
  <c r="D224" i="79" s="1"/>
  <c r="D223" i="79" a="1"/>
  <c r="D223" i="79" s="1"/>
  <c r="D221" i="79" a="1"/>
  <c r="D221" i="79" s="1"/>
  <c r="D220" i="79" a="1"/>
  <c r="D220" i="79" s="1"/>
  <c r="D219" i="79" a="1"/>
  <c r="D219" i="79" s="1"/>
  <c r="D218" i="79" a="1"/>
  <c r="D218" i="79" s="1"/>
  <c r="D217" i="79" a="1"/>
  <c r="D217" i="79" s="1"/>
  <c r="R39" i="69" l="1"/>
  <c r="I39" i="69"/>
  <c r="I40" i="69"/>
  <c r="R40" i="69"/>
  <c r="D56" i="69" a="1"/>
  <c r="D56" i="69" s="1"/>
  <c r="D75" i="69"/>
  <c r="I66" i="69" a="1"/>
  <c r="I66" i="69" s="1"/>
  <c r="I38" i="69" a="1"/>
  <c r="I38" i="69" s="1"/>
  <c r="D30" i="69" a="1"/>
  <c r="D30" i="69" s="1"/>
  <c r="D45" i="69"/>
  <c r="F52" i="70"/>
  <c r="G37" i="69" a="1"/>
  <c r="G37" i="69" s="1"/>
  <c r="D37" i="69" a="1"/>
  <c r="D37" i="69" s="1"/>
  <c r="E35" i="69" a="1"/>
  <c r="E35" i="69" s="1"/>
  <c r="E34" i="69" a="1"/>
  <c r="E34" i="69" s="1"/>
  <c r="D29" i="69" a="1"/>
  <c r="D29" i="69" s="1"/>
  <c r="D28" i="69" a="1"/>
  <c r="D28" i="69" s="1"/>
  <c r="E139" i="69" a="1"/>
  <c r="E31" i="69" a="1"/>
  <c r="D50" i="69" l="1" a="1"/>
  <c r="D50" i="69" s="1"/>
  <c r="M50" i="69" a="1"/>
  <c r="M50" i="69" s="1"/>
  <c r="E31" i="69"/>
  <c r="E139" i="69"/>
  <c r="O187" i="69" a="1"/>
  <c r="O187" i="69" s="1"/>
  <c r="M184" i="69" a="1"/>
  <c r="M184" i="69" s="1"/>
  <c r="F187" i="69" a="1"/>
  <c r="F187" i="69" s="1"/>
  <c r="D184" i="69" a="1"/>
  <c r="D184" i="69" s="1"/>
  <c r="I155" i="69" l="1" a="1"/>
  <c r="I155" i="69" s="1"/>
  <c r="D138" i="69" a="1"/>
  <c r="D138" i="69" s="1"/>
  <c r="I152" i="69" a="1"/>
  <c r="I152" i="69" s="1"/>
  <c r="I150" i="69" a="1"/>
  <c r="I150" i="69" s="1"/>
  <c r="I153" i="69" a="1"/>
  <c r="I153" i="69" s="1"/>
  <c r="I154" i="69" a="1"/>
  <c r="I154" i="69" s="1"/>
  <c r="I151" i="69" a="1"/>
  <c r="I151" i="69" s="1"/>
  <c r="I149" i="69" a="1"/>
  <c r="I149" i="69" s="1"/>
  <c r="I148" i="69" a="1"/>
  <c r="I148" i="69" s="1"/>
  <c r="H160" i="69"/>
  <c r="G160" i="69"/>
  <c r="F160" i="69"/>
  <c r="E160" i="69"/>
  <c r="D160" i="69"/>
  <c r="G148" i="69" a="1"/>
  <c r="G148" i="69" s="1"/>
  <c r="I160" i="69" s="1"/>
  <c r="D148" i="69" a="1"/>
  <c r="D148" i="69" s="1"/>
  <c r="E146" i="69" a="1"/>
  <c r="E146" i="69" s="1"/>
  <c r="E145" i="69" a="1"/>
  <c r="E145" i="69" s="1"/>
  <c r="D137" i="69" a="1"/>
  <c r="D137" i="69" s="1"/>
  <c r="D136" i="69" a="1"/>
  <c r="D136" i="69" s="1"/>
  <c r="H127" i="69" a="1"/>
  <c r="H127" i="69" s="1"/>
  <c r="D127" i="69" a="1"/>
  <c r="D127" i="69" s="1"/>
  <c r="E125" i="69" a="1"/>
  <c r="E125" i="69" s="1"/>
  <c r="R132" i="69" s="1"/>
  <c r="E124" i="69" a="1"/>
  <c r="E124" i="69" s="1"/>
  <c r="D120" i="69" a="1"/>
  <c r="D120" i="69" s="1"/>
  <c r="D119" i="69" a="1"/>
  <c r="D119" i="69" s="1"/>
  <c r="A215" i="79"/>
  <c r="A174" i="79"/>
  <c r="E121" i="69" a="1"/>
  <c r="O182" i="69" l="1"/>
  <c r="F182" i="69"/>
  <c r="G7" i="13" s="1"/>
  <c r="I180" i="69"/>
  <c r="R180" i="69"/>
  <c r="F175" i="69"/>
  <c r="R165" i="69"/>
  <c r="R170" i="69"/>
  <c r="I165" i="69"/>
  <c r="I170" i="69"/>
  <c r="E121" i="69"/>
  <c r="I132" i="69"/>
  <c r="A178" i="69" l="1"/>
  <c r="A217" i="69"/>
  <c r="A275" i="69"/>
  <c r="I92" i="69" l="1" a="1"/>
  <c r="I92" i="69" s="1"/>
  <c r="I93" i="69" a="1"/>
  <c r="I93" i="69" s="1"/>
  <c r="I94" i="69" a="1"/>
  <c r="I94" i="69" s="1"/>
  <c r="I95" i="69" a="1"/>
  <c r="I95" i="69" s="1"/>
  <c r="G92" i="69" a="1"/>
  <c r="G92" i="69" s="1"/>
  <c r="D92" i="69" a="1"/>
  <c r="D92" i="69" s="1"/>
  <c r="I65" i="69" a="1"/>
  <c r="I65" i="69" s="1"/>
  <c r="I70" i="69" a="1"/>
  <c r="I70" i="69" s="1"/>
  <c r="G64" i="69" a="1"/>
  <c r="G64" i="69" s="1"/>
  <c r="D64" i="69" a="1"/>
  <c r="D64" i="69" s="1"/>
  <c r="G14" i="69" l="1" a="1"/>
  <c r="G14" i="69" s="1"/>
  <c r="D14" i="69" a="1"/>
  <c r="D14" i="69" s="1"/>
  <c r="D215" i="79" l="1" a="1"/>
  <c r="D215" i="79" s="1"/>
  <c r="D214" i="79" a="1"/>
  <c r="D214" i="79" s="1"/>
  <c r="D213" i="79" a="1"/>
  <c r="D213" i="79" s="1"/>
  <c r="D212" i="79" a="1"/>
  <c r="D212" i="79" s="1"/>
  <c r="D211" i="79" a="1"/>
  <c r="D211" i="79" s="1"/>
  <c r="D209" i="79" a="1"/>
  <c r="D209" i="79" s="1"/>
  <c r="D208" i="79" a="1"/>
  <c r="D208" i="79" s="1"/>
  <c r="D207" i="79" a="1"/>
  <c r="D207" i="79" s="1"/>
  <c r="D206" i="79" a="1"/>
  <c r="D206" i="79" s="1"/>
  <c r="D205" i="79" a="1"/>
  <c r="D205" i="79" s="1"/>
  <c r="D202" i="79" a="1"/>
  <c r="D202" i="79" s="1"/>
  <c r="D201" i="79" a="1"/>
  <c r="D201" i="79" s="1"/>
  <c r="D200" i="79" a="1"/>
  <c r="D200" i="79" s="1"/>
  <c r="D199" i="79" a="1"/>
  <c r="D199" i="79" s="1"/>
  <c r="D198" i="79" a="1"/>
  <c r="D198" i="79" s="1"/>
  <c r="D195" i="79" l="1" a="1"/>
  <c r="D195" i="79" s="1"/>
  <c r="D194" i="79" a="1"/>
  <c r="D194" i="79" s="1"/>
  <c r="D193" i="79" a="1"/>
  <c r="D193" i="79" s="1"/>
  <c r="D192" i="79" a="1"/>
  <c r="D192" i="79" s="1"/>
  <c r="D191" i="79" a="1"/>
  <c r="D191" i="79" s="1"/>
  <c r="D188" i="79" a="1"/>
  <c r="D188" i="79" s="1"/>
  <c r="D187" i="79" a="1"/>
  <c r="D187" i="79" s="1"/>
  <c r="D186" i="79" a="1"/>
  <c r="D186" i="79" s="1"/>
  <c r="D185" i="79" a="1"/>
  <c r="D185" i="79" s="1"/>
  <c r="D184" i="79" a="1"/>
  <c r="D184" i="79" s="1"/>
  <c r="D54" i="69" a="1"/>
  <c r="D54" i="69" s="1"/>
  <c r="I14" i="69"/>
  <c r="D7" i="69" a="1"/>
  <c r="D7" i="69" s="1"/>
  <c r="E11" i="69" a="1"/>
  <c r="E11" i="69" s="1"/>
  <c r="E12" i="69" a="1"/>
  <c r="E12" i="69" s="1"/>
  <c r="D5" i="69" a="1"/>
  <c r="D5" i="69" s="1"/>
  <c r="D55" i="69" a="1"/>
  <c r="D55" i="69" s="1"/>
  <c r="D181" i="79" a="1"/>
  <c r="D181" i="79" s="1"/>
  <c r="I69" i="69" s="1"/>
  <c r="D180" i="79" a="1"/>
  <c r="D180" i="79" s="1"/>
  <c r="D179" i="79" a="1"/>
  <c r="D179" i="79" s="1"/>
  <c r="D178" i="79" a="1"/>
  <c r="D178" i="79" s="1"/>
  <c r="D177" i="79" a="1"/>
  <c r="D177" i="79" s="1"/>
  <c r="D174" i="79" a="1"/>
  <c r="D174" i="79" s="1"/>
  <c r="I68" i="69" s="1"/>
  <c r="D173" i="79" a="1"/>
  <c r="D173" i="79" s="1"/>
  <c r="D172" i="79" a="1"/>
  <c r="D172" i="79" s="1"/>
  <c r="D171" i="79" a="1"/>
  <c r="D171" i="79" s="1"/>
  <c r="D170" i="79" a="1"/>
  <c r="D170" i="79" s="1"/>
  <c r="D167" i="79" a="1"/>
  <c r="D167" i="79" s="1"/>
  <c r="I67" i="69" s="1"/>
  <c r="D166" i="79" a="1"/>
  <c r="D166" i="79" s="1"/>
  <c r="D165" i="79" a="1"/>
  <c r="D165" i="79" s="1"/>
  <c r="D164" i="79" a="1"/>
  <c r="D164" i="79" s="1"/>
  <c r="D163" i="79" a="1"/>
  <c r="D163" i="79" s="1"/>
  <c r="E61" i="69" a="1"/>
  <c r="E61" i="69" s="1"/>
  <c r="E62" i="69" a="1"/>
  <c r="E62" i="69" s="1"/>
  <c r="R80" i="69" s="1"/>
  <c r="D85" i="69" a="1"/>
  <c r="D85" i="69" s="1"/>
  <c r="E89" i="69" a="1"/>
  <c r="E89" i="69" s="1"/>
  <c r="E90" i="69" a="1"/>
  <c r="E90" i="69" s="1"/>
  <c r="I115" i="69" s="1"/>
  <c r="D84" i="69" a="1"/>
  <c r="D84" i="69" s="1"/>
  <c r="D160" i="79" a="1"/>
  <c r="D160" i="79" s="1"/>
  <c r="D159" i="79" a="1"/>
  <c r="D159" i="79" s="1"/>
  <c r="D158" i="79" a="1"/>
  <c r="D158" i="79" s="1"/>
  <c r="D157" i="79" a="1"/>
  <c r="D157" i="79" s="1"/>
  <c r="D156" i="79" a="1"/>
  <c r="D156" i="79" s="1"/>
  <c r="D150" i="79" a="1"/>
  <c r="D150" i="79" s="1"/>
  <c r="D151" i="79" a="1"/>
  <c r="D151" i="79" s="1"/>
  <c r="D152" i="79" a="1"/>
  <c r="D152" i="79" s="1"/>
  <c r="D153" i="79" a="1"/>
  <c r="D153" i="79" s="1"/>
  <c r="D149" i="79" a="1"/>
  <c r="D149" i="79" s="1"/>
  <c r="E86" i="69" a="1"/>
  <c r="E8" i="69" a="1"/>
  <c r="E57" i="69" a="1"/>
  <c r="N19" i="69" l="1"/>
  <c r="N24" i="69" s="1" a="1"/>
  <c r="N24" i="69" s="1"/>
  <c r="N80" i="69" s="1" a="1"/>
  <c r="N80" i="69" s="1"/>
  <c r="Q19" i="69"/>
  <c r="Q24" i="69" s="1" a="1"/>
  <c r="Q24" i="69" s="1"/>
  <c r="Q80" i="69" s="1" a="1"/>
  <c r="Q80" i="69" s="1"/>
  <c r="D19" i="69"/>
  <c r="D24" i="69" s="1" a="1"/>
  <c r="D24" i="69" s="1"/>
  <c r="M19" i="69"/>
  <c r="M24" i="69" s="1" a="1"/>
  <c r="M24" i="69" s="1"/>
  <c r="H19" i="69"/>
  <c r="O19" i="69"/>
  <c r="O24" i="69" s="1" a="1"/>
  <c r="O24" i="69" s="1"/>
  <c r="O80" i="69" s="1" a="1"/>
  <c r="O80" i="69" s="1"/>
  <c r="G19" i="69"/>
  <c r="F19" i="69"/>
  <c r="E19" i="69"/>
  <c r="P19" i="69"/>
  <c r="P24" i="69" s="1" a="1"/>
  <c r="P24" i="69" s="1"/>
  <c r="P80" i="69" s="1" a="1"/>
  <c r="P80" i="69" s="1"/>
  <c r="R115" i="69"/>
  <c r="I24" i="69"/>
  <c r="R24" i="69"/>
  <c r="E86" i="69"/>
  <c r="I80" i="69"/>
  <c r="E57" i="69"/>
  <c r="E8" i="69"/>
  <c r="D80" i="69" l="1" a="1"/>
  <c r="D80" i="69" s="1"/>
  <c r="M80" i="69" a="1"/>
  <c r="M80" i="69" s="1"/>
  <c r="H24" i="69" a="1"/>
  <c r="H24" i="69" s="1"/>
  <c r="H80" i="69" s="1" a="1"/>
  <c r="H80" i="69" s="1"/>
  <c r="G24" i="69" a="1"/>
  <c r="G24" i="69" s="1"/>
  <c r="G80" i="69" s="1" a="1"/>
  <c r="G80" i="69" s="1"/>
  <c r="F24" i="69" a="1"/>
  <c r="F24" i="69" s="1"/>
  <c r="F80" i="69" s="1" a="1"/>
  <c r="F80" i="69" s="1"/>
  <c r="E24" i="69" a="1"/>
  <c r="E24" i="69" s="1"/>
  <c r="E80" i="69" s="1" a="1"/>
  <c r="E80" i="69"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M165" i="69" l="1"/>
  <c r="O165" i="69"/>
  <c r="P165" i="69"/>
  <c r="N165" i="69"/>
  <c r="D165" i="69"/>
  <c r="Q165" i="69"/>
  <c r="E165" i="69"/>
  <c r="F165" i="69"/>
  <c r="G165" i="69"/>
  <c r="H165" i="69"/>
  <c r="D170" i="69"/>
  <c r="M170" i="69" l="1"/>
  <c r="P170" i="69" l="1"/>
  <c r="G170" i="69"/>
  <c r="N170" i="69"/>
  <c r="E170" i="69"/>
  <c r="H170" i="69"/>
  <c r="Q170" i="69"/>
  <c r="O170" i="69"/>
  <c r="F170" i="69"/>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108" i="79" a="1"/>
  <c r="D108" i="79" s="1"/>
  <c r="D103" i="79" a="1"/>
  <c r="D103" i="79" s="1"/>
  <c r="D95" i="79" a="1"/>
  <c r="D95" i="79" s="1"/>
  <c r="D96" i="79" a="1"/>
  <c r="D96" i="79" s="1"/>
  <c r="D97" i="79" a="1"/>
  <c r="D97" i="79" s="1"/>
  <c r="D100" i="79" a="1"/>
  <c r="D100" i="79" s="1"/>
  <c r="E100" i="79" a="1"/>
  <c r="E100" i="79" s="1"/>
  <c r="E175" i="69" s="1"/>
  <c r="E99" i="79" a="1"/>
  <c r="E99" i="79" s="1"/>
  <c r="D175" i="6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F64" i="79" a="1"/>
  <c r="F64" i="79" s="1"/>
  <c r="E64" i="79" a="1"/>
  <c r="E64" i="79" s="1"/>
  <c r="D64" i="79" a="1"/>
  <c r="D64" i="79" s="1"/>
  <c r="G63" i="79" a="1"/>
  <c r="G63" i="79" s="1"/>
  <c r="F63" i="79" a="1"/>
  <c r="F63" i="79" s="1"/>
  <c r="E63" i="79" a="1"/>
  <c r="E63" i="79" s="1"/>
  <c r="D63" i="79" a="1"/>
  <c r="D63" i="79" s="1"/>
  <c r="D59" i="79" a="1"/>
  <c r="D59" i="79" s="1"/>
  <c r="D60" i="79" a="1"/>
  <c r="D60" i="79" s="1"/>
  <c r="D61" i="79" a="1"/>
  <c r="D61" i="79" s="1"/>
  <c r="D58" i="79" a="1"/>
  <c r="D58" i="79" s="1"/>
  <c r="H55" i="79" a="1"/>
  <c r="H55" i="79" s="1"/>
  <c r="G55" i="79" a="1"/>
  <c r="G55" i="79" s="1"/>
  <c r="F55" i="79" a="1"/>
  <c r="F55" i="79" s="1"/>
  <c r="E55" i="79" a="1"/>
  <c r="E55" i="79" s="1"/>
  <c r="D55" i="79" a="1"/>
  <c r="D55" i="79"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110" i="69" l="1"/>
  <c r="E110" i="69"/>
  <c r="G110" i="69"/>
  <c r="H110" i="69"/>
  <c r="D110" i="69"/>
  <c r="P105" i="69" l="1"/>
  <c r="G105" i="69"/>
  <c r="F105" i="69"/>
  <c r="O105" i="69"/>
  <c r="E105" i="69"/>
  <c r="N100" i="69"/>
  <c r="N105" i="69"/>
  <c r="E100" i="69"/>
  <c r="M105" i="69"/>
  <c r="O100" i="69"/>
  <c r="D105" i="69"/>
  <c r="F100" i="69"/>
  <c r="H100" i="69"/>
  <c r="M100" i="69"/>
  <c r="Q100" i="69"/>
  <c r="D100" i="69"/>
  <c r="G100" i="69"/>
  <c r="P100" i="69"/>
  <c r="P115" i="69" s="1" a="1"/>
  <c r="P115" i="69" s="1"/>
  <c r="P132" i="69" s="1" a="1"/>
  <c r="P132" i="69" s="1"/>
  <c r="P180" i="69" s="1" a="1"/>
  <c r="P180" i="69" s="1"/>
  <c r="H105" i="69"/>
  <c r="Q105" i="69"/>
  <c r="D115" i="69" l="1" a="1"/>
  <c r="D115" i="69" s="1"/>
  <c r="D132" i="69" s="1" a="1"/>
  <c r="D132" i="69" s="1"/>
  <c r="D180" i="69" s="1" a="1"/>
  <c r="D180" i="69" s="1"/>
  <c r="G115" i="69" a="1"/>
  <c r="G115" i="69" s="1"/>
  <c r="G132" i="69" s="1" a="1"/>
  <c r="G132" i="69" s="1"/>
  <c r="G180" i="69" s="1" a="1"/>
  <c r="G180" i="69" s="1"/>
  <c r="F115" i="69" a="1"/>
  <c r="F115" i="69" s="1"/>
  <c r="F132" i="69" s="1" a="1"/>
  <c r="F132" i="69" s="1"/>
  <c r="F180" i="69" s="1" a="1"/>
  <c r="F180" i="69" s="1"/>
  <c r="E115" i="69" a="1"/>
  <c r="E115" i="69" s="1"/>
  <c r="E132" i="69" s="1" a="1"/>
  <c r="E132" i="69" s="1"/>
  <c r="E180" i="69" s="1" a="1"/>
  <c r="E180" i="69" s="1"/>
  <c r="H115" i="69" a="1"/>
  <c r="H115" i="69" s="1"/>
  <c r="H132" i="69" s="1" a="1"/>
  <c r="H132" i="69" s="1"/>
  <c r="H180" i="69" s="1" a="1"/>
  <c r="H180" i="69" s="1"/>
  <c r="O115" i="69" a="1"/>
  <c r="O115" i="69" s="1"/>
  <c r="O132" i="69" s="1" a="1"/>
  <c r="O132" i="69" s="1"/>
  <c r="O180" i="69" s="1" a="1"/>
  <c r="O180" i="69" s="1"/>
  <c r="N115" i="69" a="1"/>
  <c r="N115" i="69" s="1"/>
  <c r="N132" i="69" s="1" a="1"/>
  <c r="N132" i="69" s="1"/>
  <c r="N180" i="69" s="1" a="1"/>
  <c r="N180" i="69" s="1"/>
  <c r="Q115" i="69" a="1"/>
  <c r="Q115" i="69" s="1"/>
  <c r="Q132" i="69" s="1" a="1"/>
  <c r="Q132" i="69" s="1"/>
  <c r="Q180" i="69" s="1" a="1"/>
  <c r="Q180" i="69" s="1"/>
  <c r="M115" i="69" a="1"/>
  <c r="M115" i="69" s="1"/>
  <c r="M132" i="69" s="1" a="1"/>
  <c r="M132" i="69" s="1"/>
  <c r="M180" i="69" s="1" a="1"/>
  <c r="M180" i="69" s="1"/>
  <c r="N182" i="69" l="1"/>
  <c r="F7" i="13" s="1"/>
  <c r="E182" i="69"/>
  <c r="P184" i="69" l="1"/>
  <c r="N187" i="69" s="1" a="1"/>
  <c r="N187" i="69" s="1"/>
  <c r="I7" i="13" s="1"/>
  <c r="I8" i="13" s="1"/>
  <c r="G184" i="69"/>
  <c r="E187" i="69" s="1" a="1"/>
  <c r="E187" i="69" s="1"/>
  <c r="H7" i="13" s="1"/>
  <c r="H8" i="13" s="1"/>
  <c r="E7" i="13"/>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F9" i="43" a="1"/>
  <c r="F9" i="43" s="1"/>
  <c r="E9" i="43" a="1"/>
  <c r="E9" i="43" s="1"/>
  <c r="D8" i="79" s="1"/>
  <c r="D9" i="43" a="1"/>
  <c r="D9" i="43" s="1"/>
  <c r="D7" i="43" a="1"/>
  <c r="D7" i="43" s="1"/>
  <c r="D6" i="43" a="1"/>
  <c r="D6" i="43" s="1"/>
  <c r="D5" i="43" a="1"/>
  <c r="D5" i="43" s="1"/>
  <c r="E8" i="79" l="1"/>
  <c r="D11" i="79"/>
  <c r="D9" i="79"/>
  <c r="E11" i="79"/>
  <c r="E9" i="79"/>
  <c r="D10" i="79"/>
  <c r="E10" i="79"/>
  <c r="E29" i="15"/>
  <c r="E31" i="15" s="1"/>
  <c r="E32" i="15" s="1"/>
  <c r="E13" i="15" l="1"/>
  <c r="D24" i="70" l="1"/>
  <c r="D25" i="70"/>
  <c r="D10" i="70"/>
  <c r="D29" i="70"/>
  <c r="D28"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<sst xmlns="http://schemas.openxmlformats.org/spreadsheetml/2006/main" count="529" uniqueCount="251">
  <si>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</si>
  <si>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</si>
  <si>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</si>
  <si>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</si>
  <si>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</si>
  <si>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</si>
  <si>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</si>
  <si>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</si>
  <si>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</si>
  <si>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</si>
  <si>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</si>
  <si>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</si>
  <si>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</si>
  <si>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</si>
  <si>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</si>
  <si>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</si>
  <si>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</si>
  <si>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</si>
  <si>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</si>
  <si>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</si>
  <si>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</si>
  <si>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</si>
  <si>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</si>
  <si>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</si>
  <si>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</si>
  <si>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</si>
  <si>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</si>
  <si>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</si>
  <si>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</si>
  <si>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</si>
  <si>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</si>
  <si>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</si>
  <si>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</si>
  <si>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</si>
  <si>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</si>
  <si>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</si>
  <si>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</si>
  <si>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</si>
  <si>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</si>
  <si>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</si>
  <si>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</si>
  <si>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</si>
  <si>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</si>
  <si>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</si>
  <si>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</si>
  <si>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</si>
  <si>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</si>
  <si>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</si>
  <si>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</si>
  <si>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</si>
  <si>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</si>
  <si>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</si>
  <si>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</si>
  <si>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</si>
  <si>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</si>
  <si>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</si>
  <si>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</si>
  <si>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</si>
  <si>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</si>
  <si>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</si>
  <si>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</si>
  <si>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</si>
  <si>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</si>
  <si>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</si>
  <si>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</si>
  <si>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</si>
  <si>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</si>
  <si>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</si>
  <si>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</si>
  <si>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</si>
  <si>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</si>
  <si>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</si>
  <si>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</si>
  <si>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</si>
  <si>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</si>
  <si>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</si>
  <si>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</si>
  <si>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</si>
  <si>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</si>
  <si>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</si>
  <si>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</si>
  <si>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</si>
  <si>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</si>
  <si>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</si>
  <si>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</si>
  <si>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</si>
  <si>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</si>
  <si>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</si>
  <si>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</si>
  <si>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</si>
  <si>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t>Fraction</t>
  </si>
  <si>
    <t>MMS m</t>
  </si>
  <si>
    <t>Herd movement</t>
  </si>
  <si>
    <t>Duration of stay</t>
  </si>
  <si>
    <t>head</t>
  </si>
  <si>
    <t>Table_N_j</t>
  </si>
  <si>
    <r>
      <t>E</t>
    </r>
    <r>
      <rPr>
        <vertAlign val="subscript"/>
        <sz val="12"/>
        <color theme="1" tint="0.24994659260841701"/>
        <rFont val="Times New Roman"/>
        <family val="1"/>
      </rPr>
      <t>CO2e</t>
    </r>
  </si>
  <si>
    <t>Crude protein</t>
  </si>
  <si>
    <t>M1_Table_I_j</t>
  </si>
  <si>
    <t>M2_Table_I_j</t>
  </si>
  <si>
    <t>Method 1</t>
  </si>
  <si>
    <t>Method 2</t>
  </si>
  <si>
    <t>M1_Table_DMD_j</t>
  </si>
  <si>
    <t>Dry matter digestibility (Method 1)</t>
  </si>
  <si>
    <t>M2_Table_DMD_j</t>
  </si>
  <si>
    <t>Scope 1 source</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</si>
  <si>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</si>
  <si>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</si>
  <si>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</si>
  <si>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</si>
  <si>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</si>
  <si>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</si>
  <si>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</si>
  <si>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</si>
  <si>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</si>
  <si>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</si>
  <si>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</si>
  <si>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</si>
  <si>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t>Total</t>
  </si>
  <si>
    <t>GHG Unit</t>
  </si>
  <si>
    <t>CO2-e unit</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</si>
  <si>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</si>
  <si>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</si>
  <si>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</si>
  <si>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</si>
  <si>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</si>
  <si>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</si>
  <si>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</si>
  <si>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</si>
  <si>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</si>
  <si>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</si>
  <si>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</si>
  <si>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</si>
  <si>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</si>
  <si>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</si>
  <si>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</si>
  <si>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</si>
  <si>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</si>
  <si>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</si>
  <si>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</si>
  <si>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</si>
  <si>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</si>
  <si>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</si>
  <si>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</si>
  <si>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</si>
  <si>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</si>
  <si>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</si>
  <si>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</si>
  <si>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</si>
  <si>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</si>
  <si>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</si>
  <si>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</si>
  <si>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Duplicate of data in table 1.3.7</t>
  </si>
  <si>
    <t>Method 2 custom values (Edit if known)</t>
  </si>
  <si>
    <t>Method 1 default values (Do not edit)</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</si>
  <si>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</si>
  <si>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</si>
  <si>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</si>
  <si>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</si>
  <si>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</si>
  <si>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</si>
  <si>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</si>
  <si>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</si>
  <si>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</si>
  <si>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</si>
  <si>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</si>
  <si>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</si>
  <si>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</si>
  <si>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</si>
  <si>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</si>
  <si>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</si>
  <si>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</si>
  <si>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</si>
  <si>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</si>
  <si>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</si>
  <si>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</si>
  <si>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</si>
  <si>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</si>
  <si>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</si>
  <si>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</si>
  <si>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</si>
  <si>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</si>
  <si>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</si>
  <si>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</si>
  <si>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M1_Table_D_j</t>
  </si>
  <si>
    <t>M2_Table_D_j</t>
  </si>
  <si>
    <t>Irrigation type i</t>
  </si>
  <si>
    <t>t CO2e</t>
  </si>
  <si>
    <t>EFPRP</t>
  </si>
  <si>
    <t>GHG emissions method 1</t>
  </si>
  <si>
    <t>GHG emissions method 2</t>
  </si>
  <si>
    <t>CO2-e emissions method 1</t>
  </si>
  <si>
    <t>CO2-e emissions method 2</t>
  </si>
  <si>
    <t>Month</t>
  </si>
  <si>
    <t>Season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</si>
  <si>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</si>
  <si>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</si>
  <si>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</si>
  <si>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</si>
  <si>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</si>
  <si>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</si>
  <si>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</si>
  <si>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</si>
  <si>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</si>
  <si>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</si>
  <si>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</si>
  <si>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</si>
  <si>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</si>
  <si>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</si>
  <si>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</si>
  <si>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 xml:space="preserve">    Click on a box to go to the corresponding calculation.</t>
  </si>
  <si>
    <t>3.3: Enteric Methane: Dairy: Overview</t>
  </si>
  <si>
    <t>3.3 Enteric Methane: Dairy: Results</t>
  </si>
  <si>
    <t>3.3.1.1-2 Enteric Methane</t>
  </si>
  <si>
    <t>M1_Table_M_j</t>
  </si>
  <si>
    <t>Daily production of neteric methane (Method 1)</t>
  </si>
  <si>
    <t>M2_Table_M_j</t>
  </si>
  <si>
    <t>Daily production of neteric methane (Method 2)</t>
  </si>
  <si>
    <t>Number of dairy cattle</t>
  </si>
  <si>
    <t>Duration of stay of weaned cattle (Method 1)</t>
  </si>
  <si>
    <t>Duration of stay of pre-weaned cattle (Method 1)</t>
  </si>
  <si>
    <t>Duration of stay of weaned cattle (Method 2)</t>
  </si>
  <si>
    <t>M2_Table_DPW_j</t>
  </si>
  <si>
    <t>Duration of stay of pre-weaned cattle (Method 2)</t>
  </si>
  <si>
    <t>M1_Table_DPW_j-3-5</t>
  </si>
  <si>
    <t>M1_Table_MPW_j-3-5</t>
  </si>
  <si>
    <t>M1_Table_E_enteric</t>
  </si>
  <si>
    <t>Total annual enteric methane production</t>
  </si>
  <si>
    <r>
      <t>E</t>
    </r>
    <r>
      <rPr>
        <b/>
        <vertAlign val="subscript"/>
        <sz val="16"/>
        <color theme="1" tint="0.24994659260841701"/>
        <rFont val="Times New Roman"/>
        <family val="1"/>
      </rPr>
      <t>CH4</t>
    </r>
  </si>
  <si>
    <t>3.3.1.1-2 Enteric methane</t>
  </si>
  <si>
    <t>💡 Below is a diagram that maps the equations used to calculate emissions and how they interact with each other.</t>
  </si>
  <si>
    <t>Source Data - Dairy</t>
  </si>
  <si>
    <t>Milk production unit</t>
  </si>
  <si>
    <t>M1_Table_MS_j</t>
  </si>
  <si>
    <t>Milk solids production (Method 1)</t>
  </si>
  <si>
    <t>M1_Table_MP_j_from_solids</t>
  </si>
  <si>
    <t>Milk production from milk solids (Method 1)</t>
  </si>
  <si>
    <t>Fat content in fat and protein corrected milk</t>
  </si>
  <si>
    <t>Protein content in fat and protein corrected milk</t>
  </si>
  <si>
    <t>Method 1 (don't edit)</t>
  </si>
  <si>
    <t>Method 2 (edit if known)</t>
  </si>
  <si>
    <t>percent</t>
  </si>
  <si>
    <t>For milk solids only:</t>
  </si>
  <si>
    <t>M2_Table_MP_j_from_solids</t>
  </si>
  <si>
    <t>Milk production from milk solids (Method 2)</t>
  </si>
  <si>
    <t>Litres of milk</t>
  </si>
  <si>
    <t>Climate Zone</t>
  </si>
  <si>
    <t>EFNi &amp; EFN2Oi</t>
  </si>
  <si>
    <t>My test farm</t>
  </si>
  <si>
    <t>My test Farms Pty Ltd</t>
  </si>
  <si>
    <t>Western 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</si>
</sst>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
  </numFmts>
  <fonts count="63"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sz val="9"/>
      <color rgb="FF404040"/>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2"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2"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1"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5" borderId="2">
      <alignment horizontal="center" vertical="center"/>
    </xf>
    <xf numFmtId="0" fontId="58" fillId="4" borderId="2">
      <alignment horizontal="left" vertical="center"/>
    </xf>
    <xf numFmtId="0" fontId="59" fillId="16" borderId="2">
      <alignment horizontal="center" vertical="center"/>
    </xf>
    <xf numFmtId="0" fontId="35" fillId="4" borderId="2">
      <alignment horizontal="left" vertical="center"/>
    </xf>
    <xf numFmtId="0" fontId="60" fillId="0" borderId="0"/>
  </cellStyleXfs>
  <cellXfs count="130">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2"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3"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7" fillId="0" borderId="0" xfId="5" applyFill="1">
      <alignment horizontal="left" vertical="center"/>
    </xf>
    <xf numFmtId="0" fontId="42"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4" fontId="26" fillId="0" borderId="0" xfId="18" applyFont="1" applyBorder="1">
      <alignment horizontal="center" vertical="center"/>
    </xf>
    <xf numFmtId="0" fontId="52"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0" fillId="4" borderId="0" xfId="8" applyFont="1">
      <alignment horizontal="left" vertical="center"/>
    </xf>
    <xf numFmtId="0" fontId="6" fillId="4" borderId="0" xfId="56">
      <alignment horizontal="left" vertical="center"/>
    </xf>
    <xf numFmtId="0" fontId="41"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2" xfId="59">
      <alignment horizontal="center" vertical="center"/>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3" fillId="13" borderId="10" xfId="41" applyBorder="1">
      <alignment horizontal="left" vertical="center"/>
    </xf>
    <xf numFmtId="0" fontId="43" fillId="13" borderId="12" xfId="41" applyBorder="1">
      <alignment horizontal="left" vertical="center"/>
    </xf>
    <xf numFmtId="0" fontId="43" fillId="13" borderId="14" xfId="41" applyBorder="1">
      <alignment horizontal="left" vertical="center"/>
    </xf>
    <xf numFmtId="0" fontId="43" fillId="13" borderId="13" xfId="41" applyBorder="1">
      <alignment horizontal="left" vertical="center"/>
    </xf>
    <xf numFmtId="0" fontId="43" fillId="13" borderId="15" xfId="41" applyBorder="1">
      <alignment horizontal="left" vertical="center"/>
    </xf>
    <xf numFmtId="0" fontId="43" fillId="13" borderId="17" xfId="41" applyBorder="1">
      <alignment horizontal="left" vertical="center"/>
    </xf>
    <xf numFmtId="0" fontId="43" fillId="13" borderId="11" xfId="41" applyBorder="1">
      <alignment horizontal="left" vertical="center"/>
    </xf>
    <xf numFmtId="0" fontId="43" fillId="13" borderId="16" xfId="41" applyBorder="1">
      <alignment horizontal="left" vertical="center"/>
    </xf>
    <xf numFmtId="0" fontId="43" fillId="13" borderId="18" xfId="41" applyBorder="1">
      <alignment horizontal="left" vertical="center"/>
    </xf>
    <xf numFmtId="0" fontId="44" fillId="13" borderId="9" xfId="41" applyFont="1" applyBorder="1">
      <alignment horizontal="left" vertical="center"/>
    </xf>
    <xf numFmtId="0" fontId="0" fillId="0" borderId="0" xfId="1" applyFont="1" applyFill="1">
      <alignment horizontal="left" vertical="center" indent="1"/>
      <protection locked="0"/>
    </xf>
    <xf numFmtId="0" fontId="47" fillId="4" borderId="0" xfId="61">
      <alignment horizontal="left" vertical="center"/>
    </xf>
    <xf numFmtId="0" fontId="46" fillId="4" borderId="0" xfId="60">
      <alignment horizontal="left" vertical="center"/>
    </xf>
    <xf numFmtId="3" fontId="2" fillId="0" borderId="2" xfId="19">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39" fillId="14" borderId="0" xfId="8" applyFill="1">
      <alignment horizontal="left" vertical="center"/>
    </xf>
    <xf numFmtId="0" fontId="43" fillId="13" borderId="9" xfId="41" applyBorder="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5" fillId="11" borderId="0" xfId="63">
      <alignment horizontal="center" vertical="center"/>
    </xf>
    <xf numFmtId="0" fontId="22" fillId="11" borderId="0" xfId="64">
      <alignment horizontal="left" vertical="center" indent="1"/>
    </xf>
    <xf numFmtId="0" fontId="56" fillId="0" borderId="0" xfId="2" applyFont="1"/>
    <xf numFmtId="0" fontId="54" fillId="2" borderId="0" xfId="8" applyFont="1" applyFill="1">
      <alignment horizontal="left" vertical="center"/>
    </xf>
    <xf numFmtId="0" fontId="17" fillId="4" borderId="0" xfId="32" applyFill="1">
      <alignment vertical="center"/>
    </xf>
    <xf numFmtId="0" fontId="57" fillId="15" borderId="2" xfId="65">
      <alignment horizontal="center" vertical="center"/>
    </xf>
    <xf numFmtId="0" fontId="58" fillId="4" borderId="2" xfId="66">
      <alignment horizontal="left" vertical="center"/>
    </xf>
    <xf numFmtId="0" fontId="59"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0" fontId="35" fillId="4" borderId="2" xfId="14" applyNumberFormat="1" applyFont="1" applyFill="1" applyBorder="1" applyAlignment="1">
      <alignment horizontal="center" vertical="center"/>
    </xf>
    <xf numFmtId="0" fontId="60" fillId="0" borderId="0" xfId="69"/>
    <xf numFmtId="0" fontId="61" fillId="9" borderId="0" xfId="33" applyFont="1" applyFill="1"/>
    <xf numFmtId="0" fontId="39" fillId="9" borderId="0" xfId="8" applyFill="1">
      <alignment horizontal="left" vertical="center"/>
    </xf>
    <xf numFmtId="0" fontId="17" fillId="11" borderId="0" xfId="32" applyFill="1">
      <alignment vertical="center"/>
    </xf>
    <xf numFmtId="0" fontId="43" fillId="13" borderId="21" xfId="41" applyBorder="1">
      <alignment horizontal="left" vertical="center"/>
    </xf>
    <xf numFmtId="0" fontId="43" fillId="13" borderId="20" xfId="41" applyBorder="1">
      <alignment horizontal="left" vertical="center"/>
    </xf>
    <xf numFmtId="0" fontId="44" fillId="13" borderId="21" xfId="41" applyFont="1" applyBorder="1">
      <alignment horizontal="left" vertical="center"/>
    </xf>
    <xf numFmtId="170" fontId="2" fillId="0" borderId="2" xfId="17" applyNumberFormat="1">
      <alignment horizontal="center" vertical="center"/>
    </xf>
    <xf numFmtId="0" fontId="62" fillId="9" borderId="5" xfId="36" applyFont="1">
      <alignment horizontal="left" vertical="center" indent="1"/>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1"/>
      <tableStyleElement type="headerRow" dxfId="90"/>
      <tableStyleElement type="totalRow" dxfId="89"/>
      <tableStyleElement type="firstColumn" dxfId="88"/>
      <tableStyleElement type="firstRowStripe" dxfId="87"/>
      <tableStyleElement type="secondRowStripe" dxfId="86"/>
    </tableStyle>
    <tableStyle name="Equation table" pivot="0" count="6" xr9:uid="{B247698E-E41D-4CCD-AA0A-C14817E9DE65}">
      <tableStyleElement type="wholeTable" dxfId="85"/>
      <tableStyleElement type="headerRow" dxfId="84"/>
      <tableStyleElement type="totalRow" dxfId="83"/>
      <tableStyleElement type="firstColumn" dxfId="82"/>
      <tableStyleElement type="firstRowStripe" dxfId="81"/>
      <tableStyleElement type="secondRowStripe" dxfId="80"/>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3.3.1.1-2 Enteric Methane'!D53"/><Relationship Id="rId2" Type="http://schemas.openxmlformats.org/officeDocument/2006/relationships/hyperlink" Target="#'3.3.1.1-2 Enteric Methane'!D27"/><Relationship Id="rId1" Type="http://schemas.openxmlformats.org/officeDocument/2006/relationships/hyperlink" Target="#'3.3.1.1-2 Enteric Methane'!D5"/><Relationship Id="rId5" Type="http://schemas.openxmlformats.org/officeDocument/2006/relationships/hyperlink" Target="#'3.3.1.1-2 Enteric Methane'!D105"/><Relationship Id="rId4" Type="http://schemas.openxmlformats.org/officeDocument/2006/relationships/hyperlink" Target="#'3.3.1.1-2 Enteric Methane'!D88"/></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102831</xdr:colOff>
      <xdr:row>9</xdr:row>
      <xdr:rowOff>150801</xdr:rowOff>
    </xdr:from>
    <xdr:to>
      <xdr:col>5</xdr:col>
      <xdr:colOff>395631</xdr:colOff>
      <xdr:row>12</xdr:row>
      <xdr:rowOff>127851</xdr:rowOff>
    </xdr:to>
    <xdr:sp macro="" textlink="'3.3.1.1-2 Enteric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4485" y="2524724"/>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twoCellAnchor>
    <xdr:from>
      <xdr:col>3</xdr:col>
      <xdr:colOff>102831</xdr:colOff>
      <xdr:row>17</xdr:row>
      <xdr:rowOff>109770</xdr:rowOff>
    </xdr:from>
    <xdr:to>
      <xdr:col>5</xdr:col>
      <xdr:colOff>395631</xdr:colOff>
      <xdr:row>20</xdr:row>
      <xdr:rowOff>86820</xdr:rowOff>
    </xdr:to>
    <xdr:sp macro="" textlink="'3.3.1.1-2 Enteric Methane'!D54">
      <xdr:nvSpPr>
        <xdr:cNvPr id="41" name="TextBox 40">
          <a:hlinkClick xmlns:r="http://schemas.openxmlformats.org/officeDocument/2006/relationships" r:id="rId2"/>
          <a:extLst>
            <a:ext uri="{FF2B5EF4-FFF2-40B4-BE49-F238E27FC236}">
              <a16:creationId xmlns:a16="http://schemas.microsoft.com/office/drawing/2014/main" id="{82BBB490-20A6-44A4-855D-5BFCA5839BC1}"/>
            </a:ext>
          </a:extLst>
        </xdr:cNvPr>
        <xdr:cNvSpPr txBox="1"/>
      </xdr:nvSpPr>
      <xdr:spPr>
        <a:xfrm>
          <a:off x="2784485" y="4476616"/>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102831</xdr:colOff>
      <xdr:row>21</xdr:row>
      <xdr:rowOff>109769</xdr:rowOff>
    </xdr:from>
    <xdr:to>
      <xdr:col>5</xdr:col>
      <xdr:colOff>395631</xdr:colOff>
      <xdr:row>24</xdr:row>
      <xdr:rowOff>86819</xdr:rowOff>
    </xdr:to>
    <xdr:sp macro="" textlink="'3.3.1.1-2 Enteric Methane'!D84">
      <xdr:nvSpPr>
        <xdr:cNvPr id="42" name="TextBox 41">
          <a:hlinkClick xmlns:r="http://schemas.openxmlformats.org/officeDocument/2006/relationships" r:id="rId3"/>
          <a:extLst>
            <a:ext uri="{FF2B5EF4-FFF2-40B4-BE49-F238E27FC236}">
              <a16:creationId xmlns:a16="http://schemas.microsoft.com/office/drawing/2014/main" id="{5890F85A-690F-4E76-AFA6-9552C00B26D5}"/>
            </a:ext>
          </a:extLst>
        </xdr:cNvPr>
        <xdr:cNvSpPr txBox="1"/>
      </xdr:nvSpPr>
      <xdr:spPr>
        <a:xfrm>
          <a:off x="2784485" y="5473077"/>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3</xdr:col>
      <xdr:colOff>102830</xdr:colOff>
      <xdr:row>25</xdr:row>
      <xdr:rowOff>134499</xdr:rowOff>
    </xdr:from>
    <xdr:to>
      <xdr:col>5</xdr:col>
      <xdr:colOff>395631</xdr:colOff>
      <xdr:row>28</xdr:row>
      <xdr:rowOff>109946</xdr:rowOff>
    </xdr:to>
    <xdr:sp macro="" textlink="'3.3.1.1-2 Enteric Methane'!D119">
      <xdr:nvSpPr>
        <xdr:cNvPr id="47" name="TextBox 46">
          <a:hlinkClick xmlns:r="http://schemas.openxmlformats.org/officeDocument/2006/relationships" r:id="rId4"/>
          <a:extLst>
            <a:ext uri="{FF2B5EF4-FFF2-40B4-BE49-F238E27FC236}">
              <a16:creationId xmlns:a16="http://schemas.microsoft.com/office/drawing/2014/main" id="{5BB39083-14D5-4E03-B2EF-96E2D8D78D27}"/>
            </a:ext>
          </a:extLst>
        </xdr:cNvPr>
        <xdr:cNvSpPr txBox="1"/>
      </xdr:nvSpPr>
      <xdr:spPr>
        <a:xfrm>
          <a:off x="2784484" y="6494268"/>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1D84FB-17FB-4527-B186-AF6C685B4B05}" type="TxLink">
            <a:rPr lang="en-US" sz="1000" b="0" i="0" u="none" strike="noStrike">
              <a:solidFill>
                <a:srgbClr val="0D9D96"/>
              </a:solidFill>
              <a:latin typeface="Times New Roman"/>
              <a:cs typeface="Times New Roman"/>
            </a:rPr>
            <a:pPr algn="ctr"/>
            <a:t>Daily production of enteric methane</a:t>
          </a:fld>
          <a:endParaRPr lang="en-AU" sz="1000" b="1">
            <a:solidFill>
              <a:srgbClr val="0D9D96"/>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242882</xdr:colOff>
      <xdr:row>20</xdr:row>
      <xdr:rowOff>93169</xdr:rowOff>
    </xdr:from>
    <xdr:to>
      <xdr:col>4</xdr:col>
      <xdr:colOff>255582</xdr:colOff>
      <xdr:row>21</xdr:row>
      <xdr:rowOff>116118</xdr:rowOff>
    </xdr:to>
    <xdr:cxnSp macro="">
      <xdr:nvCxnSpPr>
        <xdr:cNvPr id="54" name="Connector: Curved 53">
          <a:extLst>
            <a:ext uri="{FF2B5EF4-FFF2-40B4-BE49-F238E27FC236}">
              <a16:creationId xmlns:a16="http://schemas.microsoft.com/office/drawing/2014/main" id="{900B639B-115C-1DCF-B500-684BF27906A8}"/>
            </a:ext>
          </a:extLst>
        </xdr:cNvPr>
        <xdr:cNvCxnSpPr/>
      </xdr:nvCxnSpPr>
      <xdr:spPr>
        <a:xfrm rot="5400000">
          <a:off x="3402987" y="5337044"/>
          <a:ext cx="272065" cy="12700"/>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102830</xdr:colOff>
      <xdr:row>29</xdr:row>
      <xdr:rowOff>174839</xdr:rowOff>
    </xdr:from>
    <xdr:to>
      <xdr:col>5</xdr:col>
      <xdr:colOff>395631</xdr:colOff>
      <xdr:row>32</xdr:row>
      <xdr:rowOff>150286</xdr:rowOff>
    </xdr:to>
    <xdr:sp macro="" textlink="'3.3.1.1-2 Enteric Methane'!D136">
      <xdr:nvSpPr>
        <xdr:cNvPr id="4" name="TextBox 3">
          <a:hlinkClick xmlns:r="http://schemas.openxmlformats.org/officeDocument/2006/relationships" r:id="rId5"/>
          <a:extLst>
            <a:ext uri="{FF2B5EF4-FFF2-40B4-BE49-F238E27FC236}">
              <a16:creationId xmlns:a16="http://schemas.microsoft.com/office/drawing/2014/main" id="{E70C9FE0-7E98-407A-AA20-D67D70851C36}"/>
            </a:ext>
          </a:extLst>
        </xdr:cNvPr>
        <xdr:cNvSpPr txBox="1"/>
      </xdr:nvSpPr>
      <xdr:spPr>
        <a:xfrm>
          <a:off x="2784484" y="7531070"/>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7E83EE-6EC7-436E-A0A1-90A939E8D0FC}" type="TxLink">
            <a:rPr lang="en-US" sz="1000" b="1" i="0" u="none" strike="noStrike">
              <a:solidFill>
                <a:srgbClr val="0D9D96"/>
              </a:solidFill>
              <a:latin typeface="Times New Roman"/>
              <a:cs typeface="Times New Roman"/>
            </a:rPr>
            <a:pPr algn="ctr"/>
            <a:t>Total annual methane production from enteric fermentation in dairy cattle</a:t>
          </a:fld>
          <a:endParaRPr lang="en-AU" sz="1000" b="1">
            <a:solidFill>
              <a:srgbClr val="0D9D96"/>
            </a:solidFill>
          </a:endParaRPr>
        </a:p>
      </xdr:txBody>
    </xdr:sp>
    <xdr:clientData/>
  </xdr:twoCellAnchor>
  <xdr:twoCellAnchor>
    <xdr:from>
      <xdr:col>4</xdr:col>
      <xdr:colOff>249231</xdr:colOff>
      <xdr:row>24</xdr:row>
      <xdr:rowOff>86819</xdr:rowOff>
    </xdr:from>
    <xdr:to>
      <xdr:col>4</xdr:col>
      <xdr:colOff>249232</xdr:colOff>
      <xdr:row>25</xdr:row>
      <xdr:rowOff>134499</xdr:rowOff>
    </xdr:to>
    <xdr:cxnSp macro="">
      <xdr:nvCxnSpPr>
        <xdr:cNvPr id="6" name="Connector: Curved 5">
          <a:extLst>
            <a:ext uri="{FF2B5EF4-FFF2-40B4-BE49-F238E27FC236}">
              <a16:creationId xmlns:a16="http://schemas.microsoft.com/office/drawing/2014/main" id="{5FA89513-81F3-8D5E-FAD7-00F18E6C3779}"/>
            </a:ext>
          </a:extLst>
        </xdr:cNvPr>
        <xdr:cNvCxnSpPr/>
      </xdr:nvCxnSpPr>
      <xdr:spPr>
        <a:xfrm rot="5400000">
          <a:off x="3390622" y="6345870"/>
          <a:ext cx="296795" cy="1"/>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242882</xdr:colOff>
      <xdr:row>28</xdr:row>
      <xdr:rowOff>116295</xdr:rowOff>
    </xdr:from>
    <xdr:to>
      <xdr:col>4</xdr:col>
      <xdr:colOff>255582</xdr:colOff>
      <xdr:row>29</xdr:row>
      <xdr:rowOff>181188</xdr:rowOff>
    </xdr:to>
    <xdr:cxnSp macro="">
      <xdr:nvCxnSpPr>
        <xdr:cNvPr id="9" name="Connector: Curved 8">
          <a:extLst>
            <a:ext uri="{FF2B5EF4-FFF2-40B4-BE49-F238E27FC236}">
              <a16:creationId xmlns:a16="http://schemas.microsoft.com/office/drawing/2014/main" id="{8B806E6B-797F-4DBC-AB79-05E420C9BFDC}"/>
            </a:ext>
          </a:extLst>
        </xdr:cNvPr>
        <xdr:cNvCxnSpPr/>
      </xdr:nvCxnSpPr>
      <xdr:spPr>
        <a:xfrm rot="5400000">
          <a:off x="3382015" y="7374065"/>
          <a:ext cx="314009" cy="12700"/>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95250</xdr:colOff>
      <xdr:row>13</xdr:row>
      <xdr:rowOff>124557</xdr:rowOff>
    </xdr:from>
    <xdr:to>
      <xdr:col>5</xdr:col>
      <xdr:colOff>396424</xdr:colOff>
      <xdr:row>16</xdr:row>
      <xdr:rowOff>89047</xdr:rowOff>
    </xdr:to>
    <xdr:sp macro="" textlink="'3.3.1.1-2 Enteric Methane'!D28">
      <xdr:nvSpPr>
        <xdr:cNvPr id="14" name="TextBox 13">
          <a:hlinkClick xmlns:r="http://schemas.openxmlformats.org/officeDocument/2006/relationships" r:id="rId2"/>
          <a:extLst>
            <a:ext uri="{FF2B5EF4-FFF2-40B4-BE49-F238E27FC236}">
              <a16:creationId xmlns:a16="http://schemas.microsoft.com/office/drawing/2014/main" id="{D5DBF754-E65E-458F-A933-75ADD3406279}"/>
            </a:ext>
          </a:extLst>
        </xdr:cNvPr>
        <xdr:cNvSpPr txBox="1"/>
      </xdr:nvSpPr>
      <xdr:spPr>
        <a:xfrm>
          <a:off x="2776904" y="3494942"/>
          <a:ext cx="1517443" cy="71183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2D05B6-766E-4879-832C-4C68C5D13F73}"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245838</xdr:colOff>
      <xdr:row>16</xdr:row>
      <xdr:rowOff>89047</xdr:rowOff>
    </xdr:from>
    <xdr:to>
      <xdr:col>4</xdr:col>
      <xdr:colOff>249232</xdr:colOff>
      <xdr:row>17</xdr:row>
      <xdr:rowOff>109770</xdr:rowOff>
    </xdr:to>
    <xdr:cxnSp macro="">
      <xdr:nvCxnSpPr>
        <xdr:cNvPr id="18" name="Connector: Curved 17">
          <a:extLst>
            <a:ext uri="{FF2B5EF4-FFF2-40B4-BE49-F238E27FC236}">
              <a16:creationId xmlns:a16="http://schemas.microsoft.com/office/drawing/2014/main" id="{25EB26F9-A787-913A-69F0-503B9F883F93}"/>
            </a:ext>
          </a:extLst>
        </xdr:cNvPr>
        <xdr:cNvCxnSpPr>
          <a:stCxn id="14" idx="2"/>
          <a:endCxn id="41" idx="0"/>
        </xdr:cNvCxnSpPr>
      </xdr:nvCxnSpPr>
      <xdr:spPr>
        <a:xfrm rot="16200000" flipH="1">
          <a:off x="3402404" y="4340000"/>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244373</xdr:colOff>
      <xdr:row>12</xdr:row>
      <xdr:rowOff>131543</xdr:rowOff>
    </xdr:from>
    <xdr:to>
      <xdr:col>4</xdr:col>
      <xdr:colOff>247767</xdr:colOff>
      <xdr:row>13</xdr:row>
      <xdr:rowOff>152265</xdr:rowOff>
    </xdr:to>
    <xdr:cxnSp macro="">
      <xdr:nvCxnSpPr>
        <xdr:cNvPr id="19" name="Connector: Curved 18">
          <a:extLst>
            <a:ext uri="{FF2B5EF4-FFF2-40B4-BE49-F238E27FC236}">
              <a16:creationId xmlns:a16="http://schemas.microsoft.com/office/drawing/2014/main" id="{DDBB5D16-9082-41B0-8096-4B419C331CE1}"/>
            </a:ext>
          </a:extLst>
        </xdr:cNvPr>
        <xdr:cNvCxnSpPr/>
      </xdr:nvCxnSpPr>
      <xdr:spPr>
        <a:xfrm rot="16200000" flipH="1">
          <a:off x="3400939" y="3386034"/>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2</xdr:col>
      <xdr:colOff>309562</xdr:colOff>
      <xdr:row>86</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33337</xdr:colOff>
      <xdr:row>57</xdr:row>
      <xdr:rowOff>214312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41462</xdr:colOff>
      <xdr:row>121</xdr:row>
      <xdr:rowOff>125505</xdr:rowOff>
    </xdr:from>
    <xdr:ext cx="1353126" cy="1863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𝑀_𝑗=20.7×𝐼_𝑗×10^(−3)</a:t>
              </a:r>
              <a:endParaRPr lang="en-AU" sz="1100"/>
            </a:p>
          </xdr:txBody>
        </xdr:sp>
      </mc:Fallback>
    </mc:AlternateContent>
    <xdr:clientData/>
  </xdr:oneCellAnchor>
  <xdr:oneCellAnchor>
    <xdr:from>
      <xdr:col>3</xdr:col>
      <xdr:colOff>1022</xdr:colOff>
      <xdr:row>139</xdr:row>
      <xdr:rowOff>162728</xdr:rowOff>
    </xdr:from>
    <xdr:ext cx="760637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)+(𝑁_(𝑗=3,5)×𝑀𝑃𝑊_(𝐸𝑁𝑇𝐸𝑅𝐼𝐶,𝑗=3,5)×𝐷𝑃𝑊_(𝑗=3,5) )) ×10^(−3)</a:t>
              </a:r>
              <a:endParaRPr lang="en-AU" sz="1100"/>
            </a:p>
          </xdr:txBody>
        </xdr:sp>
      </mc:Fallback>
    </mc:AlternateContent>
    <xdr:clientData/>
  </xdr:oneCellAnchor>
  <xdr:oneCellAnchor>
    <xdr:from>
      <xdr:col>2</xdr:col>
      <xdr:colOff>309776</xdr:colOff>
      <xdr:row>141</xdr:row>
      <xdr:rowOff>211708</xdr:rowOff>
    </xdr:from>
    <xdr:ext cx="8183202"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b="1" i="1">
                            <a:solidFill>
                              <a:srgbClr val="C00000"/>
                            </a:solidFill>
                            <a:latin typeface="Cambria Math" panose="02040503050406030204" pitchFamily="18" charset="0"/>
                          </a:rPr>
                          <m:t>𝑶𝑹𝑰𝑮𝑰𝑵𝑨𝑳</m:t>
                        </m:r>
                        <m:r>
                          <a:rPr lang="en-AU" sz="1100" b="1" i="1">
                            <a:solidFill>
                              <a:srgbClr val="C00000"/>
                            </a:solidFill>
                            <a:latin typeface="Cambria Math" panose="02040503050406030204" pitchFamily="18" charset="0"/>
                          </a:rPr>
                          <m:t>:</m:t>
                        </m:r>
                        <m:r>
                          <a:rPr lang="en-AU" sz="1100" b="0" i="1">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1" i="0">
                  <a:solidFill>
                    <a:srgbClr val="C00000"/>
                  </a:solidFill>
                  <a:latin typeface="Cambria Math" panose="02040503050406030204" pitchFamily="18" charset="0"/>
                </a:rPr>
                <a:t>𝑶𝑹𝑰𝑮𝑰𝑵𝑨𝑳:</a:t>
              </a:r>
              <a:r>
                <a:rPr lang="en-AU" sz="1100" b="0" i="0">
                  <a:latin typeface="Cambria Math" panose="02040503050406030204" pitchFamily="18" charset="0"/>
                </a:rPr>
                <a:t> </a:t>
              </a: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43"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42"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41"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40"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39"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38"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37"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36"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35"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34"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33"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32"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31"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30"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29"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28"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27"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26"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25"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24"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23"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22"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21"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20"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19"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18"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17"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16"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15"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14"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13"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12"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11"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10"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9"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8"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7"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967E236-752F-4A25-975B-400E88D49496}"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48A5079-5817-4812-9A90-A26F9FB16CF6}" name="State/Territory">
      <calculatedColumnFormula array="1">Common_InputFunctions.Utility_DisplayArrayInTable(Common_SourceData.Common_SourceData_AustralianStatesTerritories_Data(),Table_AustralianStates[[#Headers],[State/Territory]],0)</calculatedColumnFormula>
    </tableColumn>
    <tableColumn id="2" xr3:uid="{B680D223-0D29-4816-97F5-16CF749FC2EA}" name="Common Name">
      <calculatedColumnFormula array="1">Common_InputFunctions.Utility_DisplayArrayInTable(Common_SourceData.Common_SourceData_AustralianStatesTerritories_Data(),Table_AustralianStates[[#Headers],[State/Territory]],0)</calculatedColumnFormula>
    </tableColumn>
    <tableColumn id="3" xr3:uid="{DD6715F7-9A8C-482D-8750-08A3963E5A07}"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C1AFC1E-172F-4583-853A-ED2A66CBA5A6}" name="Table_WASA4Areas" displayName="Table_WASA4Areas" ref="D20:D30" totalsRowShown="0">
  <autoFilter ref="D20:D30" xr:uid="{5FA81339-C6C8-4D36-BEEA-6C4AEDD9E676}">
    <filterColumn colId="0" hiddenButton="1"/>
  </autoFilter>
  <tableColumns count="1">
    <tableColumn id="1" xr3:uid="{1936C612-762F-4BEE-A4D4-038FAA7CEC13}"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CA9E2FE-855B-409F-9561-D2BB52D66C11}" name="Table_GWPData" displayName="Table_GWPData" ref="D36:E43" totalsRowShown="0">
  <autoFilter ref="D36:E43" xr:uid="{B8E87A66-3E41-4AD3-925D-01EE21B43D7A}">
    <filterColumn colId="0" hiddenButton="1"/>
    <filterColumn colId="1" hiddenButton="1"/>
  </autoFilter>
  <tableColumns count="2">
    <tableColumn id="1" xr3:uid="{1A1F60D4-C599-4D88-8C3C-040F3F1D826D}" name="Gas">
      <calculatedColumnFormula array="1">Common_InputFunctions.Utility_DisplayArrayInTable(Common_SourceData.Common_SourceData_GWP_Data(), Table_GWPData[[#Headers],[Gas]], 0)</calculatedColumnFormula>
    </tableColumn>
    <tableColumn id="2" xr3:uid="{56D891F3-0C5C-4E10-B11B-217F46B162F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7BE32D2-DBFC-4EB1-B877-3886BDB57DB6}"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CDD55BD-4611-45F4-91F7-DA9F3784144D}" name="Gas">
      <calculatedColumnFormula array="1">Common_InputFunctions.Utility_DisplayArrayInTable(Common_SourceData.Common_SourceData_ConvertGasElementalToMolecular_Data(),Table_GasToMolecularConversionFactor[[#Headers],[Gas]], 0)</calculatedColumnFormula>
    </tableColumn>
    <tableColumn id="5" xr3:uid="{171FD4B7-9971-4E86-92A3-89A902CEB984}" name="Conversion factor">
      <calculatedColumnFormula array="1">Common_InputFunctions.Utility_DisplayArrayInTable(Common_SourceData.Common_SourceData_ConvertGasElementalToMolecular_Data(),Table_GasToMolecularConversionFactor[[#Headers],[Gas]], 0)</calculatedColumnFormula>
    </tableColumn>
    <tableColumn id="2" xr3:uid="{B5F4050A-1057-44EE-97E0-4FB27829D8D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D2922E67-689F-49D1-9AC7-E2ABACB2499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1DB00E8-1500-4984-93AA-6D2812B507B9}"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4F8E62AC-6664-4F53-A138-BFDA993BA9C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C8B046E-693F-416E-B23F-18FC27E32B50}"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A3EAA01-F25D-462D-BA96-B7B4CB99562B}" name="MAT" totalsRowDxfId="79" totalsRowCellStyle="Content bold">
      <calculatedColumnFormula array="1">Common_InputFunctions.Utility_DisplayArrayInTable(Common_SourceData.Common_SourceData_ClimateZones_Data(), Table_SourceData_ClimateZones[[#Headers],[Climate zone]], 0)</calculatedColumnFormula>
    </tableColumn>
    <tableColumn id="3" xr3:uid="{B6FC491B-0FE8-4BBC-BF8E-08B7115A1785}" name="MAP" totalsRowDxfId="78" totalsRowCellStyle="Content bold">
      <calculatedColumnFormula array="1">Common_InputFunctions.Utility_DisplayArrayInTable(Common_SourceData.Common_SourceData_ClimateZones_Data(), Table_SourceData_ClimateZones[[#Headers],[Climate zone]], 0)</calculatedColumnFormula>
    </tableColumn>
    <tableColumn id="4" xr3:uid="{55883A40-C0BD-4C57-895A-A14078783B88}" name="Frost days per year" totalsRowDxfId="77" totalsRowCellStyle="Content bold">
      <calculatedColumnFormula array="1">Common_InputFunctions.Utility_DisplayArrayInTable(Common_SourceData.Common_SourceData_ClimateZones_Data(), Table_SourceData_ClimateZones[[#Headers],[Climate zone]], 0)</calculatedColumnFormula>
    </tableColumn>
    <tableColumn id="5" xr3:uid="{011EA866-D209-4A30-A492-5E6921CAAA8F}" name="Elevation" totalsRowDxfId="76" totalsRowCellStyle="Content bold">
      <calculatedColumnFormula array="1">Common_InputFunctions.Utility_DisplayArrayInTable(Common_SourceData.Common_SourceData_ClimateZones_Data(), Table_SourceData_ClimateZones[[#Headers],[Climate zone]], 0)</calculatedColumnFormula>
    </tableColumn>
    <tableColumn id="6" xr3:uid="{DC54C7D6-0D3C-4697-80C3-BEEA9B95C2A8}" name="MAP:PET" totalsRowDxfId="75" totalsRowCellStyle="Content bold">
      <calculatedColumnFormula array="1">Common_InputFunctions.Utility_DisplayArrayInTable(Common_SourceData.Common_SourceData_ClimateZones_Data(), Table_SourceData_ClimateZones[[#Headers],[Climate zone]], 0)</calculatedColumnFormula>
    </tableColumn>
    <tableColumn id="7" xr3:uid="{33B35725-0031-4EF7-9C0B-55FF30B8EAD5}" name="Min temp" totalsRowDxfId="74" totalsRowCellStyle="Content bold">
      <calculatedColumnFormula array="1">Common_InputFunctions.Utility_DisplayArrayInTable(Common_SourceData.Common_SourceData_ClimateZones_Data(), Table_SourceData_ClimateZones[[#Headers],[Climate zone]], 0)</calculatedColumnFormula>
    </tableColumn>
    <tableColumn id="8" xr3:uid="{43940297-5590-44FC-A72E-FD441D3FC47D}" name="Max temp" totalsRowDxfId="73" totalsRowCellStyle="Content bold">
      <calculatedColumnFormula array="1">Common_InputFunctions.Utility_DisplayArrayInTable(Common_SourceData.Common_SourceData_ClimateZones_Data(), Table_SourceData_ClimateZones[[#Headers],[Climate zone]], 0)</calculatedColumnFormula>
    </tableColumn>
    <tableColumn id="9" xr3:uid="{40E68101-FE4C-49DE-83C0-C158E308997A}" name="Min rainfall" totalsRowDxfId="72" totalsRowCellStyle="Content bold">
      <calculatedColumnFormula array="1">Common_InputFunctions.Utility_DisplayArrayInTable(Common_SourceData.Common_SourceData_ClimateZones_Data(), Table_SourceData_ClimateZones[[#Headers],[Climate zone]], 0)</calculatedColumnFormula>
    </tableColumn>
    <tableColumn id="10" xr3:uid="{A1785251-973E-4CC5-85DE-101A7D3F49E8}" name="Max rainfall" totalsRowDxfId="71" totalsRowCellStyle="Content bold">
      <calculatedColumnFormula array="1">Common_InputFunctions.Utility_DisplayArrayInTable(Common_SourceData.Common_SourceData_ClimateZones_Data(), Table_SourceData_ClimateZones[[#Headers],[Climate zone]], 0)</calculatedColumnFormula>
    </tableColumn>
    <tableColumn id="11" xr3:uid="{C66FB744-44E4-4ADC-A9DC-7233E32E9FD3}" name="Min frost days" totalsRowDxfId="70" totalsRowCellStyle="Content bold">
      <calculatedColumnFormula array="1">Common_InputFunctions.Utility_DisplayArrayInTable(Common_SourceData.Common_SourceData_ClimateZones_Data(), Table_SourceData_ClimateZones[[#Headers],[Climate zone]], 0)</calculatedColumnFormula>
    </tableColumn>
    <tableColumn id="15" xr3:uid="{84608646-367C-44FD-8B52-10DBADA161B3}" name="Max frost days" totalsRowDxfId="69" totalsRowCellStyle="Content bold">
      <calculatedColumnFormula array="1">Common_InputFunctions.Utility_DisplayArrayInTable(Common_SourceData.Common_SourceData_ClimateZones_Data(), Table_SourceData_ClimateZones[[#Headers],[Climate zone]], 0)</calculatedColumnFormula>
    </tableColumn>
    <tableColumn id="12" xr3:uid="{6E9B45E6-618E-4B75-8D6C-8F6E6380947A}" name="Min elevation" totalsRowDxfId="68" totalsRowCellStyle="Content bold">
      <calculatedColumnFormula array="1">Common_InputFunctions.Utility_DisplayArrayInTable(Common_SourceData.Common_SourceData_ClimateZones_Data(), Table_SourceData_ClimateZones[[#Headers],[Climate zone]], 0)</calculatedColumnFormula>
    </tableColumn>
    <tableColumn id="16" xr3:uid="{EFF744E0-E24F-48DA-8B4D-3B2F3129E476}" name="Max elevation" totalsRowDxfId="67" totalsRowCellStyle="Content bold">
      <calculatedColumnFormula array="1">Common_InputFunctions.Utility_DisplayArrayInTable(Common_SourceData.Common_SourceData_ClimateZones_Data(), Table_SourceData_ClimateZones[[#Headers],[Climate zone]], 0)</calculatedColumnFormula>
    </tableColumn>
    <tableColumn id="13" xr3:uid="{0EAA36C3-CD55-4BE8-8379-3B3977C75B6E}" name="Min MAP:PET" totalsRowDxfId="66" totalsRowCellStyle="Content bold">
      <calculatedColumnFormula array="1">Common_InputFunctions.Utility_DisplayArrayInTable(Common_SourceData.Common_SourceData_ClimateZones_Data(), Table_SourceData_ClimateZones[[#Headers],[Climate zone]], 0)</calculatedColumnFormula>
    </tableColumn>
    <tableColumn id="17" xr3:uid="{FC138699-C5B8-43F7-907F-E1D3308E2973}" name="Max MAP:PET" totalsRowDxfId="6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F2393AD-CFB6-4066-B4A7-363349742A80}"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06CF662C-A5E5-4DEC-9239-4CB002C0E0A2}"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CD6943B3-B254-4069-8F97-5CBFC91888FF}" name="Wet or Dry Zone" totalsRowDxfId="6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22C37E1-85CC-4916-880E-08FDCFFFE2F2}"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8B390CF-5E10-443A-9F09-0C221FF01EAA}" name="Temperature Zone">
      <calculatedColumnFormula array="1">Common_InputFunctions.Utility_DisplayArrayInTable(Common_SourceData.Common_SourceData_TemperatureZones_Data(),Table_SourceData_TemperatureZones[[#Headers],[Temperature Zone]],0)</calculatedColumnFormula>
    </tableColumn>
    <tableColumn id="2" xr3:uid="{81187E32-8D15-4426-8DF7-42FC1598E209}" name="MAT">
      <calculatedColumnFormula array="1">Common_InputFunctions.Utility_DisplayArrayInTable(Common_SourceData.Common_SourceData_TemperatureZones_Data(),Table_SourceData_TemperatureZones[[#Headers],[Temperature Zone]],0)</calculatedColumnFormula>
    </tableColumn>
    <tableColumn id="3" xr3:uid="{AB829FD2-6359-4DC6-A07B-17108EE0C679}" name="Min MAT">
      <calculatedColumnFormula array="1">Common_InputFunctions.Utility_DisplayArrayInTable(Common_SourceData.Common_SourceData_TemperatureZones_Data(),Table_SourceData_TemperatureZones[[#Headers],[Temperature Zone]],0)</calculatedColumnFormula>
    </tableColumn>
    <tableColumn id="4" xr3:uid="{4A1EAABC-ED68-4679-BD8A-FAA18A02E854}"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660D54FD-2935-4ECD-811D-1B2640E5CE5E}"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178316A-5D20-477F-BACB-52B63732A7B6}" name="Rainfall Zone">
      <calculatedColumnFormula array="1">Common_InputFunctions.Utility_DisplayArrayInTable(Common_SourceData.Common_SourceData_RainfallZones_Data(),Table_SourceData_RainfallZones[[#Headers],[Rainfall Zone]],0)</calculatedColumnFormula>
    </tableColumn>
    <tableColumn id="2" xr3:uid="{ABCE42F0-6F6B-4A1E-9DB0-8F0A97B5A86E}" name="Annual rainfall">
      <calculatedColumnFormula array="1">Common_InputFunctions.Utility_DisplayArrayInTable(Common_SourceData.Common_SourceData_RainfallZones_Data(),Table_SourceData_RainfallZones[[#Headers],[Rainfall Zone]],0)</calculatedColumnFormula>
    </tableColumn>
    <tableColumn id="3" xr3:uid="{9C219E67-6DBF-41BA-BE97-04ADE8052B84}" name="Min rainfall">
      <calculatedColumnFormula array="1">Common_InputFunctions.Utility_DisplayArrayInTable(Common_SourceData.Common_SourceData_RainfallZones_Data(),Table_SourceData_RainfallZones[[#Headers],[Rainfall Zone]],0)</calculatedColumnFormula>
    </tableColumn>
    <tableColumn id="4" xr3:uid="{D586FBE2-1BAE-469E-AFCC-DBCBE80BCC80}"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6D91556-6041-4D39-859B-496ABDBC50F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E7A7614F-B67B-40CE-BC16-EE9FDFB7C033}" name="Leaching Zone">
      <calculatedColumnFormula array="1">Common_InputFunctions.Utility_DisplayArrayInTable(Common_SourceData.Common_SourceData_LeachingZones_Data(), Table_SourceData_LeachingZones[[#Headers],[Leaching Zone]], 0)</calculatedColumnFormula>
    </tableColumn>
    <tableColumn id="2" xr3:uid="{B0024B57-DA9F-455C-807D-2CE7317B04B0}"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7DBD304-C923-4767-94AA-F5392A218685}"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F6825E3-926C-4E33-BF0F-6EA0CBE142DB}" name="Data source">
      <calculatedColumnFormula array="1">Common_InputFunctions.Utility_DisplayArrayInTable(Common_SourceData.Common_SourceData_DataScores_Scope3_Data(), Table_SourceData_DataScores_Scope3[[#Headers],[Data source]], 0)</calculatedColumnFormula>
    </tableColumn>
    <tableColumn id="2" xr3:uid="{03C4E97A-E053-4591-92C7-3E1BC9185764}"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346920B-7594-41BD-B864-BC0787F80039}" name="Table_SourceData_FracWET" displayName="Table_SourceData_FracWET" ref="D134:E136" totalsRowShown="0">
  <autoFilter ref="D134:E136" xr:uid="{308E99BE-FE1F-47A4-B2CA-97217277C4E9}">
    <filterColumn colId="0" hiddenButton="1"/>
    <filterColumn colId="1" hiddenButton="1"/>
  </autoFilter>
  <tableColumns count="2">
    <tableColumn id="1" xr3:uid="{A509C156-2300-4F59-ACB2-A4595093A2EA}" name="Is in leaching zone">
      <calculatedColumnFormula array="1">Common_InputFunctions.Utility_DisplayArrayInTable(Common_SourceData.Common_SourceData_FracWET_Data(),Table_SourceData_FracWET[[#Headers],[Is in leaching zone]],0)</calculatedColumnFormula>
    </tableColumn>
    <tableColumn id="2" xr3:uid="{9336E485-6CCE-4ED5-BB4F-2A0B4FB17FAC}" name="FracWET" dataDxfId="6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E5BB734-49E5-4C93-8FCB-7FBE3A2C3E36}"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BD66C431-63FE-4C8B-AA11-C8E26CD568EE}" name="Production system j">
      <calculatedColumnFormula array="1">Common_InputFunctions.Utility_DisplayArrayInTable(Common_SourceData.Common_SourceData_EFN2O_Data(), Table_SourceData_Common_EFN2O[[#Headers],[Production system j]], 0)</calculatedColumnFormula>
    </tableColumn>
    <tableColumn id="2" xr3:uid="{450828CF-04A2-42F4-BFAF-F76E5D201F25}" name="EFN2O">
      <calculatedColumnFormula array="1">Common_InputFunctions.Utility_DisplayArrayInTable(Common_SourceData.Common_SourceData_EFN2O_Data(), Table_SourceData_Common_EFN2O[[#Headers],[Production system j]], 0)</calculatedColumnFormula>
    </tableColumn>
    <tableColumn id="3" xr3:uid="{EF1E7475-B1E9-4124-B9E6-9CF9872C6284}" name="Production system only">
      <calculatedColumnFormula array="1">Common_InputFunctions.Utility_DisplayArrayInTable(Common_SourceData.Common_SourceData_EFN2O_Data(), Table_SourceData_Common_EFN2O[[#Headers],[Production system j]], 0)</calculatedColumnFormula>
    </tableColumn>
    <tableColumn id="4" xr3:uid="{6B182603-13D0-427E-BA71-DC23BCAB9802}" name="Irrigation method">
      <calculatedColumnFormula array="1">Common_InputFunctions.Utility_DisplayArrayInTable(Common_SourceData.Common_SourceData_EFN2O_Data(), Table_SourceData_Common_EFN2O[[#Headers],[Production system j]], 0)</calculatedColumnFormula>
    </tableColumn>
    <tableColumn id="5" xr3:uid="{D2AE8663-B860-4F78-9912-BC5F2D7DD62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87CFC8F-DBEC-4AC7-AF47-6CB213F53AE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9164AA51-A5A1-4E5D-92FE-56AFDF2289A9}" name="Irrigation type i">
      <calculatedColumnFormula array="1">Common_InputFunctions.Utility_DisplayArrayInTable(Common_SourceData.Common_SourceData_FracWETIrrigation_Data(), Table_SourceData_FracWETIrrigation[[#Headers],[Irrigation type i]], 0)</calculatedColumnFormula>
    </tableColumn>
    <tableColumn id="2" xr3:uid="{AEC42C36-F3E4-47D0-8120-D6616131AD6D}" name="FracWET" dataDxfId="6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710DBAA8-85CF-4B2D-9C24-908BF4E6AD2B}"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22BE605-15DD-4029-9C40-CCFCF783720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343D9844-A9CD-45FD-8FC0-537592119D97}" name="EFPRP" dataDxfId="6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58365E56-91AB-44EA-9051-27318E00FC3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62E97CC9-F1D6-46EA-B114-90C0CA45EFBE}" name="Month">
      <calculatedColumnFormula array="1">Common_InputFunctions.Utility_DisplayArrayInTable(Common_SourceData.Common_SourceData_MonthsToSeasons_Data(), Table_SourceData_Common_MonthToSeason[[#Headers],[Month]], 0)</calculatedColumnFormula>
    </tableColumn>
    <tableColumn id="2" xr3:uid="{DAA011C6-D7B3-4F13-B4E8-E15F8912E722}" name="Season" dataDxfId="6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0584D3C-48A0-4398-9842-C522CDAA02E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A3DC107-6C47-44FF-87B5-2A6CE13D280F}"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5DB6E98-694B-45AA-8937-DB55FA0D8C26}" name="MAT (ºC)" dataDxfId="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423B4300-11F0-471F-A585-18582E7C075A}" name="Anaerobic lagoon" dataDxfId="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4D37A7AE-8B67-4DF0-8763-6CDE3799ABDF}" name="Digester / covered lagoons" dataDxfId="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DA13DDCF-E05B-49C3-96FA-E3F92DEE0475}" name="Liquid systems" dataDxfId="5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53893EA-BFAF-490D-B54B-41BF3A793E7B}" name="Daily spread" dataDxfId="5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38720A28-3C54-4788-BB84-5E69FBC36345}" name="Composting (passive windrow)" dataDxfId="5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DE6E27AC-E1C2-4E80-A548-CD093BDA9B78}" name="Solid storage" dataDxfId="5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A8F41DBC-E4D2-4E3F-89DB-C52552BE0EC6}" name="Pit storage" dataDxfId="5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25CAC5CA-114C-41BD-8823-6E3FAC002C2E}" name="Deep litter" dataDxfId="5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268B7D2-9F2D-4085-8E81-2A4FD1305075}" name="Poultry manure with bedding" dataDxfId="5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D7FBD043-3166-4056-B6F3-33E8243C87CD}" name="Poultry manure without bedding" dataDxfId="4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490DB9D-9A0D-4BB2-9724-A41FEF1E07A7}" name="Direct processing" dataDxfId="4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9B743123-9DAA-41E6-8BA4-D1A05B9012F4}" name="Direct application" dataDxfId="4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A7DEBA54-0143-49E3-9737-BD54213DC226}" name="Pasture range and paddock" dataDxfId="4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797B7FB5-A4ED-4A69-9F08-E1144CB16E77}" name="MAT raw" dataDxfId="4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53E91874-AD42-4480-BA75-1A2818937C72}"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159A749F-9D6F-43F5-8F32-7928E25410FD}"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5B26F9A9-A25D-42FE-801E-E28EAB2A428B}" name="EFNi &amp; EFN2Oi" dataDxfId="4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8:F26" totalsRowShown="0">
  <autoFilter ref="D8:F26" xr:uid="{757CC28B-CF78-4195-86CA-5AEBBA7FA04E}">
    <filterColumn colId="0" hiddenButton="1"/>
    <filterColumn colId="1" hiddenButton="1"/>
    <filterColumn colId="2" hiddenButton="1"/>
  </autoFilter>
  <tableColumns count="3">
    <tableColumn id="1" xr3:uid="{FA4B4DF7-A993-40F2-870A-87A35A1D1CD3}" name="Symbol">
      <calculatedColumnFormula array="1">Common_InputFunctions.Utility_DisplayArrayInTable(CommonLivestock_SourceData.SourceData_Livestock_Common_SymbolsMMS_Data(),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Common_InputFunctions.Utility_DisplayArrayInTable(CommonLivestock_SourceData.SourceData_Livestock_Common_SymbolsMMS_Data(), Table_Data_MMSSymbols[[#Headers],[Symbol]], 0)</calculatedColumnFormula>
    </tableColumn>
    <tableColumn id="3" xr3:uid="{58D0574C-2490-473B-A8E1-317E3A493B21}"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3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3.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1"/>
  <sheetViews>
    <sheetView zoomScaleNormal="100" workbookViewId="0">
      <selection activeCell="A21" sqref="A21"/>
    </sheetView>
  </sheetViews>
  <sheetFormatPr defaultRowHeight="15" x14ac:dyDescent="0.25"/>
  <sheetData>
    <row r="1" spans="1:1" ht="25.5" x14ac:dyDescent="0.35">
      <c r="A1" s="65" t="e" vm="1">
        <v>#VALUE!</v>
      </c>
    </row>
    <row r="3" spans="1:1" ht="15.75" x14ac:dyDescent="0.25">
      <c r="A3" s="110"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Dairy'!A1", "Dairy")</f>
        <v>Dairy</v>
      </c>
    </row>
    <row r="13" spans="1:1" x14ac:dyDescent="0.25">
      <c r="A13" s="18" t="s">
        <v>69</v>
      </c>
    </row>
    <row r="14" spans="1:1" ht="15.75" x14ac:dyDescent="0.25">
      <c r="A14" s="17" t="str">
        <f>HYPERLINK("#'3.3.1.1-2 Enteric Methane'!A1", "3.3.1.1-2 Enteric Methane")</f>
        <v>3.3.1.1-2 Enteric Methane</v>
      </c>
    </row>
    <row r="17" spans="1:1" x14ac:dyDescent="0.25">
      <c r="A17" s="129" t="s">
        <v>1</v>
      </c>
    </row>
    <row r="18" spans="1:1" ht="15.75" x14ac:dyDescent="0.25">
      <c r="A18" s="17" t="str">
        <f>HYPERLINK("#'Constants - Dairy'!A1", "Constants - Dairy")</f>
        <v>Constants - Dairy</v>
      </c>
    </row>
    <row r="19" spans="1:1" ht="15.75" x14ac:dyDescent="0.25">
      <c r="A19" s="17" t="str">
        <f>HYPERLINK("#'Constants - Common'!A1", "Constants - Common")</f>
        <v>Constants - Common</v>
      </c>
    </row>
    <row r="20" spans="1:1" ht="15.75" x14ac:dyDescent="0.25">
      <c r="A20" s="17" t="str">
        <f>HYPERLINK("#'Constants - Livestock'!A1", "Constants - Livestock")</f>
        <v>Constants - Livestock</v>
      </c>
    </row>
    <row r="21" spans="1:1" ht="15.75" x14ac:dyDescent="0.25">
      <c r="A21"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AG73"/>
  <sheetViews>
    <sheetView showGridLines="0" zoomScaleNormal="100" workbookViewId="0">
      <selection activeCell="A21" sqref="A21"/>
    </sheetView>
  </sheetViews>
  <sheetFormatPr defaultRowHeight="15" x14ac:dyDescent="0.25"/>
  <cols>
    <col min="1" max="1" width="30.7109375" customWidth="1"/>
    <col min="2" max="3" width="4.7109375" customWidth="1"/>
  </cols>
  <sheetData>
    <row r="1" spans="1:33" ht="30" customHeight="1" x14ac:dyDescent="0.35">
      <c r="A1" s="65" t="e" vm="1">
        <v>#VALUE!</v>
      </c>
      <c r="C1" s="122" t="s">
        <v>211</v>
      </c>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row>
    <row r="2" spans="1:33" ht="20.100000000000001" customHeight="1" x14ac:dyDescent="0.25">
      <c r="C2" s="123"/>
      <c r="D2" s="123"/>
      <c r="E2" s="123"/>
      <c r="F2" s="123"/>
      <c r="G2" s="123"/>
      <c r="H2" s="123"/>
      <c r="I2" s="123"/>
      <c r="J2" s="123"/>
      <c r="K2" s="123"/>
      <c r="L2" s="123"/>
      <c r="M2" s="123"/>
      <c r="N2" s="123"/>
      <c r="O2" s="123"/>
      <c r="P2" s="123"/>
      <c r="Q2" s="123"/>
      <c r="R2" s="123"/>
      <c r="S2" s="123"/>
      <c r="T2" s="123"/>
      <c r="U2" s="123"/>
      <c r="V2" s="123"/>
      <c r="W2" s="123"/>
    </row>
    <row r="3" spans="1:33" ht="20.100000000000001" customHeight="1" x14ac:dyDescent="0.25">
      <c r="A3" s="17" t="str">
        <f>HYPERLINK("#'Home'!A1", "Home")</f>
        <v>Home</v>
      </c>
      <c r="C3" s="124"/>
      <c r="D3" s="124"/>
      <c r="E3" s="124"/>
      <c r="F3" s="124"/>
      <c r="G3" s="124"/>
      <c r="H3" s="124"/>
      <c r="I3" s="124"/>
      <c r="J3" s="124"/>
      <c r="K3" s="124"/>
      <c r="L3" s="124"/>
      <c r="M3" s="124"/>
      <c r="N3" s="124"/>
      <c r="O3" s="124"/>
      <c r="P3" s="124"/>
      <c r="Q3" s="124"/>
      <c r="R3" s="124"/>
      <c r="S3" s="124"/>
      <c r="T3" s="124"/>
      <c r="U3" s="124"/>
      <c r="V3" s="124"/>
      <c r="W3" s="124"/>
    </row>
    <row r="4" spans="1:33" ht="20.100000000000001" customHeight="1" x14ac:dyDescent="0.25">
      <c r="A4" s="110" t="str">
        <f>HYPERLINK("#'Overview'!A1", "Overview")</f>
        <v>Overview</v>
      </c>
      <c r="C4" s="1"/>
      <c r="D4" s="1"/>
      <c r="E4" s="1"/>
      <c r="F4" s="1"/>
      <c r="G4" s="1"/>
      <c r="H4" s="1"/>
      <c r="I4" s="1"/>
      <c r="J4" s="1"/>
      <c r="K4" s="1"/>
      <c r="L4" s="1"/>
      <c r="M4" s="1"/>
      <c r="N4" s="1"/>
      <c r="O4" s="1"/>
      <c r="P4" s="1"/>
      <c r="Q4" s="1"/>
      <c r="R4" s="1"/>
      <c r="S4" s="1"/>
      <c r="T4" s="1"/>
      <c r="U4" s="1"/>
      <c r="V4" s="1"/>
      <c r="W4" s="1"/>
    </row>
    <row r="5" spans="1:33" ht="20.100000000000001" customHeight="1" x14ac:dyDescent="0.25">
      <c r="A5" s="17" t="str">
        <f>HYPERLINK("#'Results'!A1", "Results")</f>
        <v>Results</v>
      </c>
      <c r="C5" s="1"/>
      <c r="D5" s="126" t="s">
        <v>230</v>
      </c>
      <c r="E5" s="126"/>
      <c r="F5" s="126"/>
      <c r="G5" s="126"/>
      <c r="H5" s="126"/>
      <c r="I5" s="105"/>
      <c r="J5" s="89"/>
      <c r="K5" s="89"/>
      <c r="L5" s="89"/>
      <c r="M5" s="89"/>
      <c r="N5" s="89"/>
      <c r="O5" s="89"/>
      <c r="P5" s="85"/>
      <c r="Q5" s="1"/>
      <c r="R5" s="1"/>
      <c r="S5" s="1"/>
      <c r="T5" s="1"/>
      <c r="U5" s="1"/>
      <c r="V5" s="1"/>
      <c r="W5" s="1"/>
    </row>
    <row r="6" spans="1:33" ht="20.100000000000001" customHeight="1" x14ac:dyDescent="0.25">
      <c r="C6" s="1"/>
      <c r="D6" s="127" t="s">
        <v>210</v>
      </c>
      <c r="E6" s="125"/>
      <c r="F6" s="125"/>
      <c r="G6" s="125"/>
      <c r="H6" s="125"/>
      <c r="I6" s="91"/>
      <c r="J6" s="88"/>
      <c r="K6" s="88"/>
      <c r="L6" s="88"/>
      <c r="M6" s="88"/>
      <c r="N6" s="88"/>
      <c r="O6" s="88"/>
      <c r="P6" s="86"/>
      <c r="Q6" s="1"/>
      <c r="R6" s="1"/>
      <c r="S6" s="1"/>
      <c r="T6" s="1"/>
      <c r="U6" s="1"/>
      <c r="V6" s="1"/>
      <c r="W6" s="1"/>
    </row>
    <row r="7" spans="1:33" ht="20.100000000000001" customHeight="1" x14ac:dyDescent="0.25">
      <c r="C7" s="1"/>
      <c r="D7" s="1"/>
      <c r="E7" s="1"/>
      <c r="F7" s="1"/>
      <c r="G7" s="1"/>
      <c r="H7" s="1"/>
      <c r="I7" s="1"/>
      <c r="J7" s="1"/>
      <c r="K7" s="1"/>
      <c r="L7" s="1"/>
      <c r="M7" s="1"/>
      <c r="N7" s="1"/>
      <c r="O7" s="1"/>
      <c r="P7" s="1"/>
      <c r="Q7" s="1"/>
      <c r="R7" s="1"/>
      <c r="S7" s="1"/>
      <c r="T7" s="1"/>
      <c r="U7" s="1"/>
      <c r="V7" s="1"/>
      <c r="W7" s="1"/>
    </row>
    <row r="8" spans="1:33" ht="20.100000000000001" customHeight="1" x14ac:dyDescent="0.25">
      <c r="A8" s="19" t="s">
        <v>0</v>
      </c>
      <c r="C8" s="1"/>
      <c r="D8" s="1"/>
      <c r="E8" s="1"/>
      <c r="F8" s="1"/>
      <c r="G8" s="1"/>
      <c r="H8" s="1"/>
      <c r="I8" s="1"/>
      <c r="J8" s="1"/>
      <c r="K8" s="1"/>
      <c r="L8" s="1"/>
      <c r="M8" s="1"/>
      <c r="N8" s="1"/>
      <c r="O8" s="1"/>
      <c r="P8" s="1"/>
      <c r="Q8" s="1"/>
      <c r="R8" s="1"/>
      <c r="S8" s="1"/>
      <c r="T8" s="1"/>
      <c r="U8" s="1"/>
      <c r="V8" s="1"/>
      <c r="W8" s="1"/>
    </row>
    <row r="9" spans="1:33" ht="20.100000000000001" customHeight="1" x14ac:dyDescent="0.25">
      <c r="A9" s="17" t="str">
        <f>HYPERLINK("#'Input - Site'!A1", "Site")</f>
        <v>Site</v>
      </c>
      <c r="C9" s="1"/>
      <c r="D9" s="1"/>
      <c r="E9" s="1"/>
      <c r="F9" s="1"/>
      <c r="G9" s="1"/>
      <c r="H9" s="1"/>
      <c r="I9" s="1"/>
      <c r="J9" s="1"/>
      <c r="K9" s="1"/>
      <c r="L9" s="1"/>
      <c r="M9" s="1"/>
      <c r="N9" s="1"/>
      <c r="O9" s="1"/>
      <c r="P9" s="1"/>
      <c r="Q9" s="1"/>
      <c r="R9" s="1"/>
      <c r="S9" s="1"/>
      <c r="T9" s="1"/>
      <c r="U9" s="1"/>
      <c r="V9" s="1"/>
      <c r="W9" s="1"/>
    </row>
    <row r="10" spans="1:33" ht="20.100000000000001" customHeight="1" x14ac:dyDescent="0.25">
      <c r="A10" s="17" t="str">
        <f>HYPERLINK("#'Input - Dairy'!A1", "Dairy")</f>
        <v>Dairy</v>
      </c>
      <c r="C10" s="1"/>
      <c r="D10" s="1"/>
      <c r="E10" s="1"/>
      <c r="F10" s="1"/>
      <c r="G10" s="1"/>
      <c r="H10" s="1"/>
      <c r="I10" s="1"/>
      <c r="J10" s="1"/>
      <c r="K10" s="1"/>
      <c r="L10" s="1"/>
      <c r="M10" s="1"/>
      <c r="N10" s="1"/>
      <c r="O10" s="1"/>
      <c r="P10" s="1"/>
      <c r="Q10" s="1"/>
      <c r="R10" s="1"/>
      <c r="S10" s="1"/>
      <c r="T10" s="1"/>
      <c r="U10" s="1"/>
      <c r="V10" s="1"/>
      <c r="W10" s="1"/>
    </row>
    <row r="11" spans="1:33" ht="20.100000000000001" customHeight="1" x14ac:dyDescent="0.25">
      <c r="C11" s="1"/>
      <c r="D11" s="1"/>
      <c r="E11" s="1"/>
      <c r="F11" s="1"/>
      <c r="G11" s="1"/>
      <c r="H11" s="1"/>
      <c r="I11" s="1"/>
      <c r="J11" s="1"/>
      <c r="K11" s="1"/>
      <c r="L11" s="1"/>
      <c r="M11" s="1"/>
      <c r="N11" s="1"/>
      <c r="O11" s="1"/>
      <c r="P11" s="1"/>
      <c r="Q11" s="1"/>
      <c r="R11" s="1"/>
      <c r="S11" s="1"/>
      <c r="T11" s="1"/>
      <c r="U11" s="1"/>
      <c r="V11" s="1"/>
      <c r="W11" s="1"/>
    </row>
    <row r="12" spans="1:33" ht="20.100000000000001" customHeight="1" x14ac:dyDescent="0.25">
      <c r="C12" s="1"/>
      <c r="D12" s="1"/>
      <c r="E12" s="1"/>
      <c r="F12" s="1"/>
      <c r="G12" s="1"/>
      <c r="H12" s="1"/>
      <c r="I12" s="1"/>
      <c r="J12" s="1"/>
      <c r="K12" s="1"/>
      <c r="L12" s="1"/>
      <c r="M12" s="1"/>
      <c r="N12" s="1"/>
      <c r="O12" s="1"/>
      <c r="P12" s="1"/>
      <c r="Q12" s="1"/>
      <c r="R12" s="1"/>
      <c r="S12" s="1"/>
      <c r="T12" s="1"/>
      <c r="U12" s="1"/>
      <c r="V12" s="1"/>
      <c r="W12" s="1"/>
    </row>
    <row r="13" spans="1:33" ht="20.100000000000001" customHeight="1" x14ac:dyDescent="0.25">
      <c r="A13" s="18" t="s">
        <v>69</v>
      </c>
      <c r="C13" s="1"/>
      <c r="D13" s="1"/>
      <c r="E13" s="1"/>
      <c r="F13" s="1"/>
      <c r="G13" s="1"/>
      <c r="H13" s="1"/>
      <c r="I13" s="1"/>
      <c r="J13" s="1"/>
      <c r="K13" s="1"/>
      <c r="L13" s="1"/>
      <c r="M13" s="1"/>
      <c r="N13" s="1"/>
      <c r="O13" s="1"/>
      <c r="P13" s="1"/>
      <c r="Q13" s="1"/>
      <c r="R13" s="1"/>
      <c r="S13" s="1"/>
      <c r="T13" s="1"/>
      <c r="U13" s="1"/>
      <c r="V13" s="1"/>
      <c r="W13" s="1"/>
    </row>
    <row r="14" spans="1:33" ht="20.100000000000001" customHeight="1" x14ac:dyDescent="0.25">
      <c r="A14" s="17" t="str">
        <f>HYPERLINK("#'3.3.1.1-2 Enteric Methane'!A1", "3.3.1.1-2 Enteric Methane")</f>
        <v>3.3.1.1-2 Enteric Methane</v>
      </c>
      <c r="C14" s="1"/>
      <c r="D14" s="1"/>
      <c r="E14" s="1"/>
      <c r="F14" s="1"/>
      <c r="G14" s="1"/>
      <c r="H14" s="1"/>
      <c r="I14" s="1"/>
      <c r="J14" s="1"/>
      <c r="K14" s="1"/>
      <c r="L14" s="1"/>
      <c r="M14" s="1"/>
      <c r="N14" s="1"/>
      <c r="O14" s="1"/>
      <c r="P14" s="1"/>
      <c r="Q14" s="1"/>
      <c r="R14" s="1"/>
      <c r="S14" s="1"/>
      <c r="T14" s="1"/>
      <c r="U14" s="1"/>
      <c r="V14" s="1"/>
      <c r="W14" s="1"/>
    </row>
    <row r="15" spans="1:33" ht="20.100000000000001" customHeight="1" x14ac:dyDescent="0.25">
      <c r="C15" s="1"/>
      <c r="D15" s="1"/>
      <c r="E15" s="1"/>
      <c r="F15" s="1"/>
      <c r="G15" s="1"/>
      <c r="H15" s="1"/>
      <c r="I15" s="1"/>
      <c r="J15" s="1"/>
      <c r="K15" s="1"/>
      <c r="L15" s="1"/>
      <c r="M15" s="1"/>
      <c r="N15" s="1"/>
      <c r="O15" s="1"/>
      <c r="P15" s="1"/>
      <c r="Q15" s="1"/>
      <c r="R15" s="1"/>
      <c r="S15" s="1"/>
      <c r="T15" s="1"/>
      <c r="U15" s="1"/>
      <c r="V15" s="1"/>
      <c r="W15" s="1"/>
    </row>
    <row r="16" spans="1:33" ht="20.100000000000001" customHeight="1" x14ac:dyDescent="0.25">
      <c r="C16" s="1"/>
      <c r="D16" s="1"/>
      <c r="E16" s="1"/>
      <c r="F16" s="1"/>
      <c r="G16" s="1"/>
      <c r="H16" s="1"/>
      <c r="I16" s="1"/>
      <c r="J16" s="1"/>
      <c r="K16" s="1"/>
      <c r="L16" s="1"/>
      <c r="M16" s="1"/>
      <c r="N16" s="1"/>
      <c r="O16" s="1"/>
      <c r="P16" s="1"/>
      <c r="Q16" s="1"/>
      <c r="R16" s="1"/>
      <c r="S16" s="1"/>
      <c r="T16" s="1"/>
      <c r="U16" s="1"/>
      <c r="V16" s="1"/>
      <c r="W16" s="1"/>
    </row>
    <row r="17" spans="1:23" ht="20.100000000000001" customHeight="1" x14ac:dyDescent="0.25">
      <c r="A17" s="129" t="s">
        <v>1</v>
      </c>
      <c r="C17" s="1"/>
      <c r="D17" s="1"/>
      <c r="E17" s="1"/>
      <c r="F17" s="1"/>
      <c r="G17" s="1"/>
      <c r="H17" s="1"/>
      <c r="I17" s="1"/>
      <c r="J17" s="1"/>
      <c r="K17" s="1"/>
      <c r="L17" s="1"/>
      <c r="M17" s="1"/>
      <c r="N17" s="1"/>
      <c r="O17" s="1"/>
      <c r="P17" s="1"/>
      <c r="Q17" s="1"/>
      <c r="R17" s="1"/>
      <c r="S17" s="1"/>
      <c r="T17" s="1"/>
      <c r="U17" s="1"/>
      <c r="V17" s="1"/>
      <c r="W17" s="1"/>
    </row>
    <row r="18" spans="1:23" ht="20.100000000000001" customHeight="1" x14ac:dyDescent="0.25">
      <c r="A18" s="17" t="str">
        <f>HYPERLINK("#'Constants - Dairy'!A1", "Constants - Dairy")</f>
        <v>Constants - Dairy</v>
      </c>
      <c r="C18" s="1"/>
      <c r="D18" s="1"/>
      <c r="E18" s="1"/>
      <c r="F18" s="1"/>
      <c r="G18" s="1"/>
      <c r="H18" s="1"/>
      <c r="I18" s="1"/>
      <c r="J18" s="1"/>
      <c r="K18" s="1"/>
      <c r="L18" s="1"/>
      <c r="M18" s="1"/>
      <c r="N18" s="1"/>
      <c r="O18" s="1"/>
      <c r="P18" s="1"/>
      <c r="Q18" s="1"/>
      <c r="R18" s="1"/>
      <c r="S18" s="1"/>
      <c r="T18" s="1"/>
      <c r="U18" s="1"/>
      <c r="V18" s="1"/>
      <c r="W18" s="1"/>
    </row>
    <row r="19" spans="1:23" ht="20.100000000000001" customHeight="1" x14ac:dyDescent="0.25">
      <c r="A19" s="17" t="str">
        <f>HYPERLINK("#'Constants - Common'!A1", "Constants - Common")</f>
        <v>Constants - Common</v>
      </c>
      <c r="C19" s="1"/>
      <c r="D19" s="1"/>
      <c r="E19" s="1"/>
      <c r="F19" s="1"/>
      <c r="G19" s="1"/>
      <c r="H19" s="1"/>
      <c r="I19" s="1"/>
      <c r="J19" s="1"/>
      <c r="K19" s="1"/>
      <c r="L19" s="1"/>
      <c r="M19" s="1"/>
      <c r="N19" s="1"/>
      <c r="O19" s="1"/>
      <c r="P19" s="1"/>
      <c r="Q19" s="1"/>
      <c r="R19" s="1"/>
      <c r="S19" s="1"/>
      <c r="T19" s="1"/>
      <c r="U19" s="1"/>
      <c r="V19" s="1"/>
      <c r="W19" s="1"/>
    </row>
    <row r="20" spans="1:23" ht="20.100000000000001" customHeight="1" x14ac:dyDescent="0.25">
      <c r="A20" s="17" t="str">
        <f>HYPERLINK("#'Constants - Livestock'!A1", "Constants - Livestock")</f>
        <v>Constants - Livestock</v>
      </c>
      <c r="C20" s="1"/>
      <c r="D20" s="1"/>
      <c r="E20" s="1"/>
      <c r="F20" s="1"/>
      <c r="G20" s="1"/>
      <c r="H20" s="1"/>
      <c r="I20" s="1"/>
      <c r="J20" s="1"/>
      <c r="K20" s="1"/>
      <c r="L20" s="1"/>
      <c r="M20" s="1"/>
      <c r="N20" s="1"/>
      <c r="O20" s="1"/>
      <c r="P20" s="1"/>
      <c r="Q20" s="1"/>
      <c r="R20" s="1"/>
      <c r="S20" s="1"/>
      <c r="T20" s="1"/>
      <c r="U20" s="1"/>
      <c r="V20" s="1"/>
      <c r="W20" s="1"/>
    </row>
    <row r="21" spans="1:23" ht="20.100000000000001" customHeight="1" x14ac:dyDescent="0.25">
      <c r="A21" s="17" t="str">
        <f>HYPERLINK("#'Acknowledgements'!A1", "Acknowledgements")</f>
        <v>Acknowledgements</v>
      </c>
      <c r="C21" s="1"/>
      <c r="D21" s="1"/>
      <c r="E21" s="1"/>
      <c r="F21" s="1"/>
      <c r="G21" s="1"/>
      <c r="H21" s="1"/>
      <c r="I21" s="1"/>
      <c r="J21" s="1"/>
      <c r="K21" s="1"/>
      <c r="L21" s="1"/>
      <c r="M21" s="1"/>
      <c r="N21" s="1"/>
      <c r="O21" s="1"/>
      <c r="P21" s="1"/>
      <c r="Q21" s="1"/>
      <c r="R21" s="1"/>
      <c r="S21" s="1"/>
      <c r="T21" s="1"/>
      <c r="U21" s="1"/>
      <c r="V21" s="1"/>
      <c r="W21" s="1"/>
    </row>
    <row r="22" spans="1:23" ht="20.100000000000001" customHeight="1" x14ac:dyDescent="0.25">
      <c r="C22" s="1"/>
      <c r="D22" s="1"/>
      <c r="E22" s="1"/>
      <c r="F22" s="1"/>
      <c r="G22" s="1"/>
      <c r="H22" s="1"/>
      <c r="I22" s="1"/>
      <c r="J22" s="1"/>
      <c r="K22" s="1"/>
      <c r="L22" s="1"/>
      <c r="M22" s="1"/>
      <c r="N22" s="1"/>
      <c r="O22" s="1"/>
      <c r="P22" s="1"/>
      <c r="Q22" s="1"/>
      <c r="R22" s="1"/>
      <c r="S22" s="1"/>
      <c r="T22" s="1"/>
      <c r="U22" s="1"/>
      <c r="V22" s="1"/>
      <c r="W22" s="1"/>
    </row>
    <row r="23" spans="1:23" ht="20.100000000000001" customHeight="1" x14ac:dyDescent="0.25">
      <c r="C23" s="1"/>
      <c r="D23" s="1"/>
      <c r="E23" s="1"/>
      <c r="F23" s="1"/>
      <c r="G23" s="1"/>
      <c r="H23" s="1"/>
      <c r="I23" s="1"/>
      <c r="J23" s="1"/>
      <c r="K23" s="1"/>
      <c r="L23" s="1"/>
      <c r="M23" s="1"/>
      <c r="N23" s="1"/>
      <c r="O23" s="1"/>
      <c r="P23" s="1"/>
      <c r="Q23" s="1"/>
      <c r="R23" s="1"/>
      <c r="S23" s="1"/>
      <c r="T23" s="1"/>
      <c r="U23" s="1"/>
      <c r="V23" s="1"/>
      <c r="W23" s="1"/>
    </row>
    <row r="24" spans="1:23" ht="20.100000000000001" customHeight="1" x14ac:dyDescent="0.25">
      <c r="C24" s="1"/>
      <c r="D24" s="1"/>
      <c r="E24" s="1"/>
      <c r="F24" s="1"/>
      <c r="G24" s="1"/>
      <c r="H24" s="1"/>
      <c r="I24" s="1"/>
      <c r="J24" s="1"/>
      <c r="K24" s="1"/>
      <c r="L24" s="1"/>
      <c r="M24" s="1"/>
      <c r="N24" s="1"/>
      <c r="O24" s="1"/>
      <c r="P24" s="1"/>
      <c r="Q24" s="1"/>
      <c r="R24" s="1"/>
      <c r="S24" s="1"/>
      <c r="T24" s="1"/>
      <c r="U24" s="1"/>
      <c r="V24" s="1"/>
      <c r="W24" s="1"/>
    </row>
    <row r="25" spans="1:23" ht="20.100000000000001" customHeight="1" x14ac:dyDescent="0.25">
      <c r="C25" s="1"/>
      <c r="D25" s="1"/>
      <c r="E25" s="1"/>
      <c r="F25" s="1"/>
      <c r="G25" s="1"/>
      <c r="H25" s="1"/>
      <c r="I25" s="1"/>
      <c r="J25" s="1"/>
      <c r="K25" s="1"/>
      <c r="L25" s="1"/>
      <c r="M25" s="1"/>
      <c r="N25" s="1"/>
      <c r="O25" s="1"/>
      <c r="P25" s="1"/>
      <c r="Q25" s="1"/>
      <c r="R25" s="1"/>
      <c r="S25" s="1"/>
      <c r="T25" s="1"/>
      <c r="U25" s="1"/>
      <c r="V25" s="1"/>
      <c r="W25" s="1"/>
    </row>
    <row r="26" spans="1:23" ht="20.100000000000001" customHeight="1" x14ac:dyDescent="0.25">
      <c r="C26" s="1"/>
      <c r="D26" s="1"/>
      <c r="E26" s="1"/>
      <c r="F26" s="1"/>
      <c r="G26" s="1"/>
      <c r="H26" s="1"/>
      <c r="I26" s="1"/>
      <c r="J26" s="1"/>
      <c r="K26" s="1"/>
      <c r="L26" s="1"/>
      <c r="M26" s="1"/>
      <c r="N26" s="1"/>
      <c r="O26" s="1"/>
      <c r="P26" s="1"/>
      <c r="Q26" s="1"/>
      <c r="R26" s="1"/>
      <c r="S26" s="1"/>
      <c r="T26" s="1"/>
      <c r="U26" s="1"/>
      <c r="V26" s="1"/>
      <c r="W26" s="1"/>
    </row>
    <row r="27" spans="1:23" ht="20.100000000000001" customHeight="1" x14ac:dyDescent="0.25">
      <c r="C27" s="1"/>
      <c r="D27" s="1"/>
      <c r="E27" s="1"/>
      <c r="F27" s="1"/>
      <c r="G27" s="1"/>
      <c r="H27" s="1"/>
      <c r="I27" s="1"/>
      <c r="J27" s="1"/>
      <c r="K27" s="1"/>
      <c r="L27" s="1"/>
      <c r="M27" s="1"/>
      <c r="N27" s="1"/>
      <c r="O27" s="1"/>
      <c r="P27" s="1"/>
      <c r="Q27" s="1"/>
      <c r="R27" s="1"/>
      <c r="S27" s="1"/>
      <c r="T27" s="1"/>
      <c r="U27" s="1"/>
      <c r="V27" s="1"/>
      <c r="W27" s="1"/>
    </row>
    <row r="28" spans="1:23" ht="20.100000000000001" customHeight="1" x14ac:dyDescent="0.25">
      <c r="C28" s="1"/>
      <c r="D28" s="1"/>
      <c r="E28" s="1"/>
      <c r="F28" s="1"/>
      <c r="G28" s="1"/>
      <c r="H28" s="1"/>
      <c r="I28" s="1"/>
      <c r="J28" s="1"/>
      <c r="K28" s="1"/>
      <c r="L28" s="1"/>
      <c r="M28" s="1"/>
      <c r="N28" s="1"/>
      <c r="O28" s="1"/>
      <c r="P28" s="1"/>
      <c r="Q28" s="1"/>
      <c r="R28" s="1"/>
      <c r="S28" s="1"/>
      <c r="T28" s="1"/>
      <c r="U28" s="1"/>
      <c r="V28" s="1"/>
      <c r="W28" s="1"/>
    </row>
    <row r="29" spans="1:23" ht="20.100000000000001" customHeight="1" x14ac:dyDescent="0.25">
      <c r="C29" s="1"/>
      <c r="D29" s="1"/>
      <c r="E29" s="1"/>
      <c r="F29" s="1"/>
      <c r="G29" s="1"/>
      <c r="H29" s="1"/>
      <c r="I29" s="1"/>
      <c r="J29" s="1"/>
      <c r="K29" s="1"/>
      <c r="L29" s="1"/>
      <c r="M29" s="1"/>
      <c r="N29" s="1"/>
      <c r="O29" s="1"/>
      <c r="P29" s="1"/>
      <c r="Q29" s="1"/>
      <c r="R29" s="1"/>
      <c r="S29" s="1"/>
      <c r="T29" s="1"/>
      <c r="U29" s="1"/>
      <c r="V29" s="1"/>
      <c r="W29" s="1"/>
    </row>
    <row r="30" spans="1:23" ht="20.100000000000001" customHeight="1" x14ac:dyDescent="0.25">
      <c r="C30" s="1"/>
      <c r="D30" s="1"/>
      <c r="E30" s="1"/>
      <c r="F30" s="1"/>
      <c r="G30" s="1"/>
      <c r="H30" s="1"/>
      <c r="I30" s="1"/>
      <c r="J30" s="1"/>
      <c r="K30" s="1"/>
      <c r="L30" s="1"/>
      <c r="M30" s="1"/>
      <c r="N30" s="1"/>
      <c r="O30" s="1"/>
      <c r="P30" s="1"/>
      <c r="Q30" s="1"/>
      <c r="R30" s="1"/>
      <c r="S30" s="1"/>
      <c r="T30" s="1"/>
      <c r="U30" s="1"/>
      <c r="V30" s="1"/>
      <c r="W30" s="1"/>
    </row>
    <row r="31" spans="1:23" ht="20.100000000000001" customHeight="1" x14ac:dyDescent="0.25">
      <c r="C31" s="1"/>
      <c r="D31" s="1"/>
      <c r="E31" s="1"/>
      <c r="F31" s="1"/>
      <c r="G31" s="1"/>
      <c r="H31" s="1"/>
      <c r="I31" s="1"/>
      <c r="J31" s="1"/>
      <c r="K31" s="1"/>
      <c r="L31" s="1"/>
      <c r="M31" s="1"/>
      <c r="N31" s="1"/>
      <c r="O31" s="1"/>
      <c r="P31" s="1"/>
      <c r="Q31" s="1"/>
      <c r="R31" s="1"/>
      <c r="S31" s="1"/>
      <c r="T31" s="1"/>
      <c r="U31" s="1"/>
      <c r="V31" s="1"/>
      <c r="W31" s="1"/>
    </row>
    <row r="32" spans="1:23" ht="20.100000000000001" customHeight="1" x14ac:dyDescent="0.25">
      <c r="C32" s="1"/>
      <c r="D32" s="1"/>
      <c r="E32" s="1"/>
      <c r="F32" s="1"/>
      <c r="G32" s="1"/>
      <c r="H32" s="1"/>
      <c r="I32" s="1"/>
      <c r="J32" s="1"/>
      <c r="K32" s="1"/>
      <c r="L32" s="1"/>
      <c r="M32" s="1"/>
      <c r="N32" s="1"/>
      <c r="O32" s="1"/>
      <c r="P32" s="1"/>
      <c r="Q32" s="1"/>
      <c r="R32" s="1"/>
      <c r="S32" s="1"/>
      <c r="T32" s="1"/>
      <c r="U32" s="1"/>
      <c r="V32" s="1"/>
      <c r="W32" s="1"/>
    </row>
    <row r="33" spans="3:23" ht="20.100000000000001" customHeight="1" x14ac:dyDescent="0.25">
      <c r="C33" s="1"/>
      <c r="D33" s="1"/>
      <c r="E33" s="1"/>
      <c r="F33" s="1"/>
      <c r="G33" s="1"/>
      <c r="H33" s="1"/>
      <c r="I33" s="1"/>
      <c r="J33" s="1"/>
      <c r="K33" s="1"/>
      <c r="L33" s="1"/>
      <c r="M33" s="1"/>
      <c r="N33" s="1"/>
      <c r="O33" s="1"/>
      <c r="P33" s="1"/>
      <c r="Q33" s="1"/>
      <c r="R33" s="1"/>
      <c r="S33" s="1"/>
      <c r="T33" s="1"/>
      <c r="U33" s="1"/>
      <c r="V33" s="1"/>
      <c r="W33" s="1"/>
    </row>
    <row r="34" spans="3:23" ht="20.100000000000001" customHeight="1" x14ac:dyDescent="0.25">
      <c r="C34" s="1"/>
      <c r="D34" s="1"/>
      <c r="E34" s="1"/>
      <c r="F34" s="1"/>
      <c r="G34" s="1"/>
      <c r="H34" s="1"/>
      <c r="I34" s="1"/>
      <c r="J34" s="1"/>
      <c r="K34" s="1"/>
      <c r="L34" s="1"/>
      <c r="M34" s="1"/>
      <c r="N34" s="1"/>
      <c r="O34" s="1"/>
      <c r="P34" s="1"/>
      <c r="Q34" s="1"/>
      <c r="R34" s="1"/>
      <c r="S34" s="1"/>
      <c r="T34" s="1"/>
      <c r="U34" s="1"/>
      <c r="V34" s="1"/>
      <c r="W34" s="1"/>
    </row>
    <row r="35" spans="3:23" ht="20.100000000000001" customHeight="1" x14ac:dyDescent="0.25">
      <c r="C35" s="1"/>
      <c r="D35" s="1"/>
      <c r="E35" s="1"/>
      <c r="F35" s="1"/>
      <c r="G35" s="1"/>
      <c r="H35" s="1"/>
      <c r="I35" s="1"/>
      <c r="J35" s="1"/>
      <c r="K35" s="1"/>
      <c r="L35" s="1"/>
      <c r="M35" s="1"/>
      <c r="N35" s="1"/>
      <c r="O35" s="1"/>
      <c r="P35" s="1"/>
      <c r="Q35" s="1"/>
      <c r="R35" s="1"/>
      <c r="S35" s="1"/>
      <c r="T35" s="1"/>
      <c r="U35" s="1"/>
      <c r="V35" s="1"/>
      <c r="W35" s="1"/>
    </row>
    <row r="36" spans="3:23" ht="20.100000000000001" customHeight="1" x14ac:dyDescent="0.25">
      <c r="C36" s="1"/>
      <c r="D36" s="1"/>
      <c r="E36" s="1"/>
      <c r="F36" s="1"/>
      <c r="G36" s="1"/>
      <c r="H36" s="1"/>
      <c r="I36" s="1"/>
      <c r="J36" s="1"/>
      <c r="K36" s="1"/>
      <c r="L36" s="1"/>
      <c r="M36" s="1"/>
      <c r="N36" s="1"/>
      <c r="O36" s="1"/>
      <c r="P36" s="1"/>
      <c r="Q36" s="1"/>
      <c r="R36" s="1"/>
      <c r="S36" s="1"/>
      <c r="T36" s="1"/>
      <c r="U36" s="1"/>
      <c r="V36" s="1"/>
      <c r="W36" s="1"/>
    </row>
    <row r="37" spans="3:23" ht="20.100000000000001" customHeight="1" x14ac:dyDescent="0.25">
      <c r="C37" s="23"/>
      <c r="D37" s="23"/>
      <c r="E37" s="23"/>
      <c r="F37" s="23"/>
      <c r="G37" s="23"/>
      <c r="H37" s="23"/>
      <c r="I37" s="23"/>
      <c r="J37" s="23"/>
      <c r="K37" s="23"/>
      <c r="L37" s="23"/>
      <c r="M37" s="23"/>
      <c r="N37" s="23"/>
      <c r="O37" s="23"/>
      <c r="P37" s="23"/>
      <c r="Q37" s="23"/>
      <c r="R37" s="23"/>
      <c r="S37" s="23"/>
      <c r="T37" s="23"/>
      <c r="U37" s="23"/>
      <c r="V37" s="23"/>
      <c r="W37" s="23"/>
    </row>
    <row r="38" spans="3:23" ht="20.100000000000001" customHeight="1" x14ac:dyDescent="0.25">
      <c r="C38" s="1"/>
      <c r="D38" s="1"/>
      <c r="E38" s="1"/>
      <c r="F38" s="1"/>
      <c r="G38" s="1"/>
      <c r="H38" s="1"/>
      <c r="I38" s="1"/>
      <c r="J38" s="1"/>
      <c r="K38" s="1"/>
      <c r="L38" s="1"/>
      <c r="M38" s="1"/>
      <c r="N38" s="1"/>
      <c r="O38" s="1"/>
      <c r="P38" s="1"/>
      <c r="Q38" s="1"/>
      <c r="R38" s="1"/>
      <c r="S38" s="1"/>
      <c r="T38" s="1"/>
      <c r="U38" s="1"/>
      <c r="V38" s="1"/>
      <c r="W38" s="1"/>
    </row>
    <row r="39" spans="3:23" ht="20.100000000000001" customHeight="1" x14ac:dyDescent="0.25">
      <c r="C39" s="1"/>
      <c r="D39" s="1"/>
      <c r="E39" s="1"/>
      <c r="F39" s="1"/>
      <c r="G39" s="1"/>
      <c r="H39" s="1"/>
      <c r="I39" s="1"/>
      <c r="J39" s="1"/>
      <c r="K39" s="1"/>
      <c r="L39" s="1"/>
      <c r="M39" s="1"/>
      <c r="N39" s="1"/>
      <c r="O39" s="1"/>
      <c r="P39" s="1"/>
      <c r="Q39" s="1"/>
      <c r="R39" s="1"/>
      <c r="S39" s="1"/>
      <c r="T39" s="1"/>
      <c r="U39" s="1"/>
      <c r="V39" s="1"/>
      <c r="W39" s="1"/>
    </row>
    <row r="40" spans="3:23" ht="20.100000000000001" customHeight="1" x14ac:dyDescent="0.25">
      <c r="C40" s="1"/>
      <c r="D40" s="1"/>
      <c r="E40" s="1"/>
      <c r="F40" s="1"/>
      <c r="G40" s="1"/>
      <c r="H40" s="1"/>
      <c r="I40" s="1"/>
      <c r="J40" s="1"/>
      <c r="K40" s="1"/>
      <c r="L40" s="1"/>
      <c r="M40" s="1"/>
      <c r="N40" s="1"/>
      <c r="O40" s="1"/>
      <c r="P40" s="1"/>
      <c r="Q40" s="1"/>
      <c r="R40" s="1"/>
      <c r="S40" s="1"/>
      <c r="T40" s="1"/>
      <c r="U40" s="1"/>
      <c r="V40" s="1"/>
      <c r="W40" s="1"/>
    </row>
    <row r="41" spans="3:23" ht="20.100000000000001" customHeight="1" x14ac:dyDescent="0.25">
      <c r="C41" s="1"/>
      <c r="D41" s="1"/>
      <c r="E41" s="1"/>
      <c r="F41" s="1"/>
      <c r="G41" s="1"/>
      <c r="H41" s="1"/>
      <c r="I41" s="1"/>
      <c r="J41" s="1"/>
      <c r="K41" s="1"/>
      <c r="L41" s="1"/>
      <c r="M41" s="1"/>
      <c r="N41" s="1"/>
      <c r="O41" s="1"/>
      <c r="P41" s="1"/>
      <c r="Q41" s="1"/>
      <c r="R41" s="1"/>
      <c r="S41" s="1"/>
      <c r="T41" s="1"/>
      <c r="U41" s="1"/>
      <c r="V41" s="1"/>
      <c r="W41" s="1"/>
    </row>
    <row r="42" spans="3:23" ht="20.100000000000001" customHeight="1" x14ac:dyDescent="0.25">
      <c r="C42" s="1"/>
      <c r="D42" s="1"/>
      <c r="E42" s="1"/>
      <c r="F42" s="1"/>
      <c r="G42" s="1"/>
      <c r="H42" s="1"/>
      <c r="I42" s="1"/>
      <c r="J42" s="1"/>
      <c r="K42" s="1"/>
      <c r="L42" s="1"/>
      <c r="M42" s="1"/>
      <c r="N42" s="1"/>
      <c r="O42" s="1"/>
      <c r="P42" s="1"/>
      <c r="Q42" s="1"/>
      <c r="R42" s="1"/>
      <c r="S42" s="1"/>
      <c r="T42" s="1"/>
      <c r="U42" s="1"/>
      <c r="V42" s="1"/>
      <c r="W42" s="1"/>
    </row>
    <row r="43" spans="3:23" ht="20.100000000000001" customHeight="1" x14ac:dyDescent="0.25">
      <c r="C43" s="1"/>
      <c r="D43" s="1"/>
      <c r="E43" s="1"/>
      <c r="F43" s="1"/>
      <c r="G43" s="1"/>
      <c r="H43" s="1"/>
      <c r="I43" s="1"/>
      <c r="J43" s="1"/>
      <c r="K43" s="1"/>
      <c r="L43" s="1"/>
      <c r="M43" s="1"/>
      <c r="N43" s="1"/>
      <c r="O43" s="1"/>
      <c r="P43" s="1"/>
      <c r="Q43" s="1"/>
      <c r="R43" s="1"/>
      <c r="S43" s="1"/>
      <c r="T43" s="1"/>
      <c r="U43" s="1"/>
      <c r="V43" s="1"/>
      <c r="W43" s="1"/>
    </row>
    <row r="44" spans="3:23" ht="20.100000000000001" customHeight="1" x14ac:dyDescent="0.25">
      <c r="C44" s="1"/>
      <c r="D44" s="1"/>
      <c r="E44" s="1"/>
      <c r="F44" s="1"/>
      <c r="G44" s="1"/>
      <c r="H44" s="1"/>
      <c r="I44" s="1"/>
      <c r="J44" s="1"/>
      <c r="K44" s="1"/>
      <c r="L44" s="1"/>
      <c r="M44" s="1"/>
      <c r="N44" s="1"/>
      <c r="O44" s="1"/>
      <c r="P44" s="1"/>
      <c r="Q44" s="1"/>
      <c r="R44" s="1"/>
      <c r="S44" s="1"/>
      <c r="T44" s="1"/>
      <c r="U44" s="1"/>
      <c r="V44" s="1"/>
      <c r="W44" s="1"/>
    </row>
    <row r="45" spans="3:23" ht="20.100000000000001" customHeight="1" x14ac:dyDescent="0.25">
      <c r="C45" s="1"/>
      <c r="D45" s="1"/>
      <c r="E45" s="1"/>
      <c r="F45" s="1"/>
      <c r="G45" s="1"/>
      <c r="H45" s="1"/>
      <c r="I45" s="1"/>
      <c r="J45" s="1"/>
      <c r="K45" s="1"/>
      <c r="L45" s="1"/>
      <c r="M45" s="1"/>
      <c r="N45" s="1"/>
      <c r="O45" s="1"/>
      <c r="P45" s="1"/>
      <c r="Q45" s="1"/>
      <c r="R45" s="1"/>
      <c r="S45" s="1"/>
      <c r="T45" s="1"/>
      <c r="U45" s="1"/>
      <c r="V45" s="1"/>
      <c r="W45" s="1"/>
    </row>
    <row r="46" spans="3:23" ht="20.100000000000001" customHeight="1" x14ac:dyDescent="0.25">
      <c r="C46" s="1"/>
      <c r="D46" s="1"/>
      <c r="E46" s="1"/>
      <c r="F46" s="1"/>
      <c r="G46" s="1"/>
      <c r="H46" s="1"/>
      <c r="I46" s="1"/>
      <c r="J46" s="1"/>
      <c r="K46" s="1"/>
      <c r="L46" s="1"/>
      <c r="M46" s="1"/>
      <c r="N46" s="1"/>
      <c r="O46" s="1"/>
      <c r="P46" s="1"/>
      <c r="Q46" s="1"/>
      <c r="R46" s="1"/>
      <c r="S46" s="1"/>
      <c r="T46" s="1"/>
      <c r="U46" s="1"/>
      <c r="V46" s="1"/>
      <c r="W46" s="1"/>
    </row>
    <row r="47" spans="3:23" ht="20.100000000000001" customHeight="1" x14ac:dyDescent="0.25">
      <c r="C47" s="1"/>
      <c r="D47" s="1"/>
      <c r="E47" s="1"/>
      <c r="F47" s="1"/>
      <c r="G47" s="1"/>
      <c r="H47" s="1"/>
      <c r="I47" s="1"/>
      <c r="J47" s="1"/>
      <c r="K47" s="1"/>
      <c r="L47" s="1"/>
      <c r="M47" s="1"/>
      <c r="N47" s="1"/>
      <c r="O47" s="1"/>
      <c r="P47" s="1"/>
      <c r="Q47" s="1"/>
      <c r="R47" s="1"/>
      <c r="S47" s="1"/>
      <c r="T47" s="1"/>
      <c r="U47" s="1"/>
      <c r="V47" s="1"/>
      <c r="W47" s="1"/>
    </row>
    <row r="48" spans="3:23" ht="20.100000000000001" customHeight="1" x14ac:dyDescent="0.25">
      <c r="C48" s="1"/>
      <c r="D48" s="1"/>
      <c r="E48" s="1"/>
      <c r="F48" s="1"/>
      <c r="G48" s="1"/>
      <c r="H48" s="1"/>
      <c r="I48" s="1"/>
      <c r="J48" s="1"/>
      <c r="K48" s="1"/>
      <c r="L48" s="1"/>
      <c r="M48" s="1"/>
      <c r="N48" s="1"/>
      <c r="O48" s="1"/>
      <c r="P48" s="1"/>
      <c r="Q48" s="1"/>
      <c r="R48" s="1"/>
      <c r="S48" s="1"/>
      <c r="T48" s="1"/>
      <c r="U48" s="1"/>
      <c r="V48" s="1"/>
      <c r="W48" s="1"/>
    </row>
    <row r="49" spans="3:23" ht="20.100000000000001" customHeight="1" x14ac:dyDescent="0.25">
      <c r="C49" s="1"/>
      <c r="D49" s="1"/>
      <c r="E49" s="1"/>
      <c r="F49" s="1"/>
      <c r="G49" s="1"/>
      <c r="H49" s="1"/>
      <c r="I49" s="1"/>
      <c r="J49" s="1"/>
      <c r="K49" s="1"/>
      <c r="L49" s="1"/>
      <c r="M49" s="1"/>
      <c r="N49" s="1"/>
      <c r="O49" s="1"/>
      <c r="P49" s="1"/>
      <c r="Q49" s="1"/>
      <c r="R49" s="1"/>
      <c r="S49" s="1"/>
      <c r="T49" s="1"/>
      <c r="U49" s="1"/>
      <c r="V49" s="1"/>
      <c r="W49" s="1"/>
    </row>
    <row r="50" spans="3:23" ht="20.100000000000001" customHeight="1" x14ac:dyDescent="0.25">
      <c r="C50" s="1"/>
      <c r="D50" s="1"/>
      <c r="E50" s="1"/>
      <c r="F50" s="1"/>
      <c r="G50" s="1"/>
      <c r="H50" s="1"/>
      <c r="I50" s="1"/>
      <c r="J50" s="1"/>
      <c r="K50" s="1"/>
      <c r="L50" s="1"/>
      <c r="M50" s="1"/>
      <c r="N50" s="1"/>
      <c r="O50" s="1"/>
      <c r="P50" s="1"/>
      <c r="Q50" s="1"/>
      <c r="R50" s="1"/>
      <c r="S50" s="1"/>
      <c r="T50" s="1"/>
      <c r="U50" s="1"/>
      <c r="V50" s="1"/>
      <c r="W50" s="1"/>
    </row>
    <row r="51" spans="3:23" ht="20.100000000000001" customHeight="1" x14ac:dyDescent="0.25">
      <c r="C51" s="1"/>
      <c r="D51" s="1"/>
      <c r="E51" s="1"/>
      <c r="F51" s="1"/>
      <c r="G51" s="1"/>
      <c r="H51" s="1"/>
      <c r="I51" s="1"/>
      <c r="J51" s="1"/>
      <c r="K51" s="1"/>
      <c r="L51" s="1"/>
      <c r="M51" s="1"/>
      <c r="N51" s="1"/>
      <c r="O51" s="1"/>
      <c r="P51" s="1"/>
      <c r="Q51" s="1"/>
      <c r="R51" s="1"/>
      <c r="S51" s="1"/>
      <c r="T51" s="1"/>
      <c r="U51" s="1"/>
      <c r="V51" s="1"/>
      <c r="W51" s="1"/>
    </row>
    <row r="52" spans="3:23" ht="20.100000000000001" customHeight="1" x14ac:dyDescent="0.25">
      <c r="C52" s="1"/>
      <c r="D52" s="1"/>
      <c r="E52" s="1"/>
      <c r="F52" s="1"/>
      <c r="G52" s="1"/>
      <c r="H52" s="1"/>
      <c r="I52" s="1"/>
      <c r="J52" s="1"/>
      <c r="K52" s="1"/>
      <c r="L52" s="1"/>
      <c r="M52" s="1"/>
      <c r="N52" s="1"/>
      <c r="O52" s="1"/>
      <c r="P52" s="1"/>
      <c r="Q52" s="1"/>
      <c r="R52" s="1"/>
      <c r="S52" s="1"/>
      <c r="T52" s="1"/>
      <c r="U52" s="1"/>
      <c r="V52" s="1"/>
      <c r="W52" s="1"/>
    </row>
    <row r="53" spans="3:23" ht="20.100000000000001" customHeight="1" x14ac:dyDescent="0.25">
      <c r="C53" s="1"/>
      <c r="D53" s="1"/>
      <c r="E53" s="1"/>
      <c r="F53" s="1"/>
      <c r="G53" s="1"/>
      <c r="H53" s="1"/>
      <c r="I53" s="1"/>
      <c r="J53" s="1"/>
      <c r="K53" s="1"/>
      <c r="L53" s="1"/>
      <c r="M53" s="1"/>
      <c r="N53" s="1"/>
      <c r="O53" s="1"/>
      <c r="P53" s="1"/>
      <c r="Q53" s="1"/>
      <c r="R53" s="1"/>
      <c r="S53" s="1"/>
      <c r="T53" s="1"/>
      <c r="U53" s="1"/>
      <c r="V53" s="1"/>
      <c r="W53" s="1"/>
    </row>
    <row r="54" spans="3:23" ht="20.100000000000001" customHeight="1" x14ac:dyDescent="0.25">
      <c r="C54" s="1"/>
      <c r="D54" s="1"/>
      <c r="E54" s="1"/>
      <c r="F54" s="1"/>
      <c r="G54" s="1"/>
      <c r="H54" s="1"/>
      <c r="I54" s="1"/>
      <c r="J54" s="1"/>
      <c r="K54" s="1"/>
      <c r="L54" s="1"/>
      <c r="M54" s="1"/>
      <c r="N54" s="1"/>
      <c r="O54" s="1"/>
      <c r="P54" s="1"/>
      <c r="Q54" s="1"/>
      <c r="R54" s="1"/>
      <c r="S54" s="1"/>
      <c r="T54" s="1"/>
      <c r="U54" s="1"/>
      <c r="V54" s="1"/>
      <c r="W54" s="1"/>
    </row>
    <row r="55" spans="3:23" ht="20.100000000000001" customHeight="1" x14ac:dyDescent="0.25">
      <c r="C55" s="1"/>
      <c r="D55" s="1"/>
      <c r="E55" s="1"/>
      <c r="F55" s="1"/>
      <c r="G55" s="1"/>
      <c r="H55" s="1"/>
      <c r="I55" s="1"/>
      <c r="J55" s="1"/>
      <c r="K55" s="1"/>
      <c r="L55" s="1"/>
      <c r="M55" s="1"/>
      <c r="N55" s="1"/>
      <c r="O55" s="1"/>
      <c r="P55" s="1"/>
      <c r="Q55" s="1"/>
      <c r="R55" s="1"/>
      <c r="S55" s="1"/>
      <c r="T55" s="1"/>
      <c r="U55" s="1"/>
      <c r="V55" s="1"/>
      <c r="W55" s="1"/>
    </row>
    <row r="56" spans="3:23" ht="20.100000000000001" customHeight="1" x14ac:dyDescent="0.25">
      <c r="C56" s="1"/>
      <c r="D56" s="1"/>
      <c r="E56" s="1"/>
      <c r="F56" s="1"/>
      <c r="G56" s="1"/>
      <c r="H56" s="1"/>
      <c r="I56" s="1"/>
      <c r="J56" s="1"/>
      <c r="K56" s="1"/>
      <c r="L56" s="1"/>
      <c r="M56" s="1"/>
      <c r="N56" s="1"/>
      <c r="O56" s="1"/>
      <c r="P56" s="1"/>
      <c r="Q56" s="1"/>
      <c r="R56" s="1"/>
      <c r="S56" s="1"/>
      <c r="T56" s="1"/>
      <c r="U56" s="1"/>
      <c r="V56" s="1"/>
      <c r="W56" s="1"/>
    </row>
    <row r="57" spans="3:23" ht="20.100000000000001" customHeight="1" x14ac:dyDescent="0.25">
      <c r="C57" s="1"/>
      <c r="D57" s="1"/>
      <c r="E57" s="1"/>
      <c r="F57" s="1"/>
      <c r="G57" s="1"/>
      <c r="H57" s="1"/>
      <c r="I57" s="1"/>
      <c r="J57" s="1"/>
      <c r="K57" s="1"/>
      <c r="L57" s="1"/>
      <c r="M57" s="1"/>
      <c r="N57" s="1"/>
      <c r="O57" s="1"/>
      <c r="P57" s="1"/>
      <c r="Q57" s="1"/>
      <c r="R57" s="1"/>
      <c r="S57" s="1"/>
      <c r="T57" s="1"/>
      <c r="U57" s="1"/>
      <c r="V57" s="1"/>
      <c r="W57" s="1"/>
    </row>
    <row r="58" spans="3:23" ht="20.100000000000001" customHeight="1" x14ac:dyDescent="0.25">
      <c r="C58" s="1"/>
      <c r="D58" s="1"/>
      <c r="E58" s="1"/>
      <c r="F58" s="1"/>
      <c r="G58" s="1"/>
      <c r="H58" s="1"/>
      <c r="I58" s="1"/>
      <c r="J58" s="1"/>
      <c r="K58" s="1"/>
      <c r="L58" s="1"/>
      <c r="M58" s="1"/>
      <c r="N58" s="1"/>
      <c r="O58" s="1"/>
      <c r="P58" s="1"/>
      <c r="Q58" s="1"/>
      <c r="R58" s="1"/>
      <c r="S58" s="1"/>
      <c r="T58" s="1"/>
      <c r="U58" s="1"/>
      <c r="V58" s="1"/>
      <c r="W58" s="1"/>
    </row>
    <row r="59" spans="3:23" ht="15.75" x14ac:dyDescent="0.25">
      <c r="C59" s="1"/>
      <c r="D59" s="1"/>
      <c r="E59" s="1"/>
      <c r="F59" s="1"/>
      <c r="G59" s="1"/>
      <c r="H59" s="1"/>
      <c r="I59" s="1"/>
      <c r="J59" s="1"/>
      <c r="K59" s="1"/>
      <c r="L59" s="1"/>
      <c r="M59" s="1"/>
      <c r="N59" s="1"/>
      <c r="O59" s="1"/>
      <c r="P59" s="1"/>
      <c r="Q59" s="1"/>
      <c r="R59" s="1"/>
      <c r="S59" s="1"/>
      <c r="T59" s="1"/>
      <c r="U59" s="1"/>
      <c r="V59" s="1"/>
      <c r="W59" s="1"/>
    </row>
    <row r="60" spans="3:23" ht="15.75" x14ac:dyDescent="0.25">
      <c r="C60" s="1"/>
      <c r="D60" s="1"/>
      <c r="E60" s="1"/>
      <c r="F60" s="1"/>
      <c r="G60" s="1"/>
      <c r="H60" s="1"/>
      <c r="I60" s="1"/>
      <c r="J60" s="1"/>
      <c r="K60" s="1"/>
      <c r="L60" s="1"/>
      <c r="M60" s="1"/>
      <c r="N60" s="1"/>
      <c r="O60" s="1"/>
      <c r="P60" s="1"/>
      <c r="Q60" s="1"/>
      <c r="R60" s="1"/>
      <c r="S60" s="1"/>
      <c r="T60" s="1"/>
      <c r="U60" s="1"/>
      <c r="V60" s="1"/>
      <c r="W60" s="1"/>
    </row>
    <row r="61" spans="3:23" ht="15.75" x14ac:dyDescent="0.25">
      <c r="C61" s="1"/>
      <c r="D61" s="1"/>
      <c r="E61" s="1"/>
      <c r="F61" s="1"/>
      <c r="G61" s="1"/>
      <c r="H61" s="1"/>
      <c r="I61" s="1"/>
      <c r="J61" s="1"/>
      <c r="K61" s="1"/>
      <c r="L61" s="1"/>
      <c r="M61" s="1"/>
      <c r="N61" s="1"/>
      <c r="O61" s="1"/>
      <c r="P61" s="1"/>
      <c r="Q61" s="1"/>
      <c r="R61" s="1"/>
      <c r="S61" s="1"/>
      <c r="T61" s="1"/>
      <c r="U61" s="1"/>
      <c r="V61" s="1"/>
      <c r="W61" s="1"/>
    </row>
    <row r="62" spans="3:23" ht="15.75" x14ac:dyDescent="0.25">
      <c r="C62" s="1"/>
      <c r="D62" s="1"/>
      <c r="E62" s="1"/>
      <c r="F62" s="1"/>
      <c r="G62" s="1"/>
      <c r="H62" s="1"/>
      <c r="I62" s="1"/>
      <c r="J62" s="1"/>
      <c r="K62" s="1"/>
      <c r="L62" s="1"/>
      <c r="M62" s="1"/>
      <c r="N62" s="1"/>
      <c r="O62" s="1"/>
      <c r="P62" s="1"/>
      <c r="Q62" s="1"/>
      <c r="R62" s="1"/>
      <c r="S62" s="1"/>
      <c r="T62" s="1"/>
      <c r="U62" s="1"/>
      <c r="V62" s="1"/>
      <c r="W62" s="1"/>
    </row>
    <row r="63" spans="3:23" ht="15.75" x14ac:dyDescent="0.25">
      <c r="C63" s="1"/>
      <c r="D63" s="1"/>
      <c r="E63" s="1"/>
      <c r="F63" s="1"/>
      <c r="G63" s="1"/>
      <c r="H63" s="1"/>
      <c r="I63" s="1"/>
      <c r="J63" s="1"/>
      <c r="K63" s="1"/>
      <c r="L63" s="1"/>
      <c r="M63" s="1"/>
      <c r="N63" s="1"/>
      <c r="O63" s="1"/>
      <c r="P63" s="1"/>
      <c r="Q63" s="1"/>
      <c r="R63" s="1"/>
      <c r="S63" s="1"/>
      <c r="T63" s="1"/>
      <c r="U63" s="1"/>
      <c r="V63" s="1"/>
      <c r="W63" s="1"/>
    </row>
    <row r="64" spans="3:23" ht="15.75" x14ac:dyDescent="0.25">
      <c r="C64" s="1"/>
      <c r="D64" s="1"/>
      <c r="E64" s="1"/>
      <c r="F64" s="1"/>
      <c r="G64" s="1"/>
      <c r="H64" s="1"/>
      <c r="I64" s="1"/>
      <c r="J64" s="1"/>
      <c r="K64" s="1"/>
      <c r="L64" s="1"/>
      <c r="M64" s="1"/>
      <c r="N64" s="1"/>
      <c r="O64" s="1"/>
      <c r="P64" s="1"/>
      <c r="Q64" s="1"/>
      <c r="R64" s="1"/>
      <c r="S64" s="1"/>
      <c r="T64" s="1"/>
      <c r="U64" s="1"/>
      <c r="V64" s="1"/>
      <c r="W64" s="1"/>
    </row>
    <row r="65" spans="3:23" x14ac:dyDescent="0.25">
      <c r="C65" s="23"/>
      <c r="D65" s="23"/>
      <c r="E65" s="23"/>
      <c r="F65" s="23"/>
      <c r="G65" s="23"/>
      <c r="H65" s="23"/>
      <c r="I65" s="23"/>
      <c r="J65" s="23"/>
      <c r="K65" s="23"/>
      <c r="L65" s="23"/>
      <c r="M65" s="23"/>
      <c r="N65" s="23"/>
      <c r="O65" s="23"/>
      <c r="P65" s="23"/>
      <c r="Q65" s="23"/>
      <c r="R65" s="23"/>
      <c r="S65" s="23"/>
      <c r="T65" s="23"/>
      <c r="U65" s="23"/>
      <c r="V65" s="23"/>
      <c r="W65" s="23"/>
    </row>
    <row r="66" spans="3:23" x14ac:dyDescent="0.25">
      <c r="C66" s="23"/>
      <c r="D66" s="23"/>
      <c r="E66" s="23"/>
      <c r="F66" s="23"/>
      <c r="G66" s="23"/>
      <c r="H66" s="23"/>
      <c r="I66" s="23"/>
      <c r="J66" s="23"/>
      <c r="K66" s="23"/>
      <c r="L66" s="23"/>
      <c r="M66" s="23"/>
      <c r="N66" s="23"/>
      <c r="O66" s="23"/>
      <c r="P66" s="23"/>
      <c r="Q66" s="23"/>
      <c r="R66" s="23"/>
      <c r="S66" s="23"/>
      <c r="T66" s="23"/>
      <c r="U66" s="23"/>
      <c r="V66" s="23"/>
      <c r="W66" s="23"/>
    </row>
    <row r="67" spans="3:23" x14ac:dyDescent="0.25">
      <c r="C67" s="23"/>
      <c r="D67" s="23"/>
      <c r="E67" s="23"/>
      <c r="F67" s="23"/>
      <c r="G67" s="23"/>
      <c r="H67" s="23"/>
      <c r="I67" s="23"/>
      <c r="J67" s="23"/>
      <c r="K67" s="23"/>
      <c r="L67" s="23"/>
      <c r="M67" s="23"/>
      <c r="N67" s="23"/>
      <c r="O67" s="23"/>
      <c r="P67" s="23"/>
      <c r="Q67" s="23"/>
      <c r="R67" s="23"/>
      <c r="S67" s="23"/>
      <c r="T67" s="23"/>
      <c r="U67" s="23"/>
      <c r="V67" s="23"/>
      <c r="W67" s="23"/>
    </row>
    <row r="68" spans="3:23" x14ac:dyDescent="0.25">
      <c r="C68" s="23"/>
      <c r="D68" s="23"/>
      <c r="E68" s="23"/>
      <c r="F68" s="23"/>
      <c r="G68" s="23"/>
      <c r="H68" s="23"/>
      <c r="I68" s="23"/>
      <c r="J68" s="23"/>
      <c r="K68" s="23"/>
      <c r="L68" s="23"/>
      <c r="M68" s="23"/>
      <c r="N68" s="23"/>
      <c r="O68" s="23"/>
      <c r="P68" s="23"/>
      <c r="Q68" s="23"/>
      <c r="R68" s="23"/>
      <c r="S68" s="23"/>
      <c r="T68" s="23"/>
      <c r="U68" s="23"/>
      <c r="V68" s="23"/>
      <c r="W68" s="23"/>
    </row>
    <row r="69" spans="3:23" x14ac:dyDescent="0.25">
      <c r="C69" s="23"/>
      <c r="D69" s="23"/>
      <c r="E69" s="23"/>
      <c r="F69" s="23"/>
      <c r="G69" s="23"/>
      <c r="H69" s="23"/>
      <c r="I69" s="23"/>
      <c r="J69" s="23"/>
      <c r="K69" s="23"/>
      <c r="L69" s="23"/>
      <c r="M69" s="23"/>
      <c r="N69" s="23"/>
      <c r="O69" s="23"/>
      <c r="P69" s="23"/>
      <c r="Q69" s="23"/>
      <c r="R69" s="23"/>
      <c r="S69" s="23"/>
      <c r="T69" s="23"/>
      <c r="U69" s="23"/>
      <c r="V69" s="23"/>
      <c r="W69" s="23"/>
    </row>
    <row r="70" spans="3:23" x14ac:dyDescent="0.25">
      <c r="C70" s="23"/>
      <c r="D70" s="23"/>
      <c r="E70" s="23"/>
      <c r="F70" s="23"/>
      <c r="G70" s="23"/>
      <c r="H70" s="23"/>
      <c r="I70" s="23"/>
      <c r="J70" s="23"/>
      <c r="K70" s="23"/>
      <c r="L70" s="23"/>
      <c r="M70" s="23"/>
      <c r="N70" s="23"/>
      <c r="O70" s="23"/>
      <c r="P70" s="23"/>
      <c r="Q70" s="23"/>
      <c r="R70" s="23"/>
      <c r="S70" s="23"/>
      <c r="T70" s="23"/>
      <c r="U70" s="23"/>
      <c r="V70" s="23"/>
      <c r="W70" s="23"/>
    </row>
    <row r="71" spans="3:23" x14ac:dyDescent="0.25">
      <c r="C71" s="23"/>
      <c r="D71" s="23"/>
      <c r="E71" s="23"/>
      <c r="F71" s="23"/>
      <c r="G71" s="23"/>
      <c r="H71" s="23"/>
      <c r="I71" s="23"/>
      <c r="J71" s="23"/>
      <c r="K71" s="23"/>
      <c r="L71" s="23"/>
      <c r="M71" s="23"/>
      <c r="N71" s="23"/>
      <c r="O71" s="23"/>
      <c r="P71" s="23"/>
      <c r="Q71" s="23"/>
      <c r="R71" s="23"/>
      <c r="S71" s="23"/>
      <c r="T71" s="23"/>
      <c r="U71" s="23"/>
      <c r="V71" s="23"/>
      <c r="W71" s="23"/>
    </row>
    <row r="72" spans="3:23" x14ac:dyDescent="0.25">
      <c r="C72" s="23"/>
      <c r="D72" s="23"/>
      <c r="E72" s="23"/>
      <c r="F72" s="23"/>
      <c r="G72" s="23"/>
      <c r="H72" s="23"/>
      <c r="I72" s="23"/>
      <c r="J72" s="23"/>
      <c r="K72" s="23"/>
      <c r="L72" s="23"/>
      <c r="M72" s="23"/>
      <c r="N72" s="23"/>
      <c r="O72" s="23"/>
      <c r="P72" s="23"/>
      <c r="Q72" s="23"/>
      <c r="R72" s="23"/>
      <c r="S72" s="23"/>
      <c r="T72" s="23"/>
      <c r="U72" s="23"/>
      <c r="V72" s="23"/>
      <c r="W72" s="23"/>
    </row>
    <row r="73" spans="3:23" x14ac:dyDescent="0.25">
      <c r="C73" s="23"/>
      <c r="D73" s="23"/>
      <c r="E73" s="23"/>
      <c r="F73" s="23"/>
      <c r="G73" s="23"/>
      <c r="H73" s="23"/>
      <c r="I73" s="23"/>
      <c r="J73" s="23"/>
      <c r="K73" s="23"/>
      <c r="L73" s="23"/>
      <c r="M73" s="23"/>
      <c r="N73" s="23"/>
      <c r="O73" s="23"/>
      <c r="P73" s="23"/>
      <c r="Q73" s="23"/>
      <c r="R73" s="23"/>
      <c r="S73" s="23"/>
      <c r="T73" s="23"/>
      <c r="U73" s="23"/>
      <c r="V73" s="23"/>
      <c r="W73" s="2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21" sqref="A21"/>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5" t="e" vm="1">
        <v>#VALUE!</v>
      </c>
      <c r="C1" s="111" t="s">
        <v>212</v>
      </c>
    </row>
    <row r="2" spans="1:11" ht="20.100000000000001" customHeight="1" x14ac:dyDescent="0.25">
      <c r="C2" s="9"/>
    </row>
    <row r="3" spans="1:11" ht="20.100000000000001" customHeight="1" x14ac:dyDescent="0.25">
      <c r="A3" s="17" t="str">
        <f>HYPERLINK("#'Home'!A1", "Home")</f>
        <v>Home</v>
      </c>
      <c r="C3" s="23"/>
      <c r="D3" s="23"/>
      <c r="E3" s="23"/>
      <c r="F3" s="23"/>
      <c r="G3" s="23"/>
      <c r="H3" s="23"/>
      <c r="I3" s="23"/>
      <c r="J3" s="23"/>
      <c r="K3" s="23"/>
    </row>
    <row r="4" spans="1:11" ht="20.100000000000001" customHeight="1" x14ac:dyDescent="0.25">
      <c r="A4" s="17" t="str">
        <f>HYPERLINK("#'Overview'!A1", "Overview")</f>
        <v>Overview</v>
      </c>
      <c r="C4" s="23"/>
      <c r="D4" s="6" t="s">
        <v>2</v>
      </c>
      <c r="E4" s="25"/>
      <c r="F4" s="25"/>
      <c r="G4" s="25"/>
      <c r="H4" s="6"/>
      <c r="I4" s="6"/>
      <c r="J4" s="6"/>
      <c r="K4" s="26"/>
    </row>
    <row r="5" spans="1:11" ht="20.100000000000001" customHeight="1" x14ac:dyDescent="0.3">
      <c r="A5" s="110" t="str">
        <f>HYPERLINK("#'Results'!A1", "Results")</f>
        <v>Results</v>
      </c>
      <c r="C5" s="23"/>
      <c r="D5" s="27"/>
      <c r="E5" s="28"/>
      <c r="F5" s="28"/>
      <c r="G5" s="28"/>
      <c r="H5" s="25"/>
      <c r="I5" s="23"/>
      <c r="J5" s="23"/>
      <c r="K5" s="23"/>
    </row>
    <row r="6" spans="1:11" ht="20.100000000000001" customHeight="1" x14ac:dyDescent="0.25">
      <c r="C6" s="23"/>
      <c r="D6" s="109" t="s">
        <v>105</v>
      </c>
      <c r="E6" s="109" t="s">
        <v>189</v>
      </c>
      <c r="F6" s="109" t="s">
        <v>190</v>
      </c>
      <c r="G6" s="109" t="s">
        <v>119</v>
      </c>
      <c r="H6" s="109" t="s">
        <v>191</v>
      </c>
      <c r="I6" s="109" t="s">
        <v>192</v>
      </c>
      <c r="J6" s="109" t="s">
        <v>120</v>
      </c>
      <c r="K6" s="23"/>
    </row>
    <row r="7" spans="1:11" ht="20.100000000000001" customHeight="1" x14ac:dyDescent="0.25">
      <c r="C7" s="23"/>
      <c r="D7" s="1" t="s">
        <v>229</v>
      </c>
      <c r="E7" s="107">
        <f>'3.3.1.1-2 Enteric Methane'!E182</f>
        <v>32.464682683989999</v>
      </c>
      <c r="F7" s="107">
        <f>'3.3.1.1-2 Enteric Methane'!N182</f>
        <v>32.464682683989999</v>
      </c>
      <c r="G7" s="54" t="str">
        <f>'3.3.1.1-2 Enteric Methane'!$F$182</f>
        <v>t CH4</v>
      </c>
      <c r="H7" s="107">
        <f>'3.3.1.1-2 Enteric Methane'!E187</f>
        <v>909.01111515171999</v>
      </c>
      <c r="I7" s="107">
        <f>'3.3.1.1-2 Enteric Methane'!N187</f>
        <v>909.01111515171999</v>
      </c>
      <c r="J7" s="54" t="s">
        <v>187</v>
      </c>
      <c r="K7" s="23"/>
    </row>
    <row r="8" spans="1:11" ht="20.100000000000001" customHeight="1" x14ac:dyDescent="0.3">
      <c r="A8" s="19" t="s">
        <v>0</v>
      </c>
      <c r="C8" s="23"/>
      <c r="D8" s="30" t="s">
        <v>118</v>
      </c>
      <c r="E8" s="24"/>
      <c r="F8" s="24"/>
      <c r="G8" s="30"/>
      <c r="H8" s="108">
        <f>SUM(H7)</f>
        <v>909.01111515171999</v>
      </c>
      <c r="I8" s="108">
        <f>SUM(I7:I7)</f>
        <v>909.01111515171999</v>
      </c>
      <c r="J8" s="103" t="s">
        <v>187</v>
      </c>
      <c r="K8" s="23"/>
    </row>
    <row r="9" spans="1:11" ht="20.100000000000001" customHeight="1" x14ac:dyDescent="0.25">
      <c r="A9" s="17" t="str">
        <f>HYPERLINK("#'Input - Site'!A1", "Site")</f>
        <v>Site</v>
      </c>
      <c r="C9" s="23"/>
      <c r="D9" s="1"/>
      <c r="E9" s="107"/>
      <c r="F9" s="107"/>
      <c r="G9" s="54"/>
      <c r="H9" s="107"/>
      <c r="I9" s="107"/>
      <c r="J9" s="54"/>
      <c r="K9" s="23"/>
    </row>
    <row r="10" spans="1:11" ht="20.100000000000001" customHeight="1" x14ac:dyDescent="0.25">
      <c r="A10" s="17" t="str">
        <f>HYPERLINK("#'Input - Dairy'!A1", "Dairy")</f>
        <v>Dairy</v>
      </c>
      <c r="C10" s="23"/>
      <c r="D10" s="1"/>
      <c r="E10" s="107"/>
      <c r="F10" s="107"/>
      <c r="G10" s="54"/>
      <c r="H10" s="107"/>
      <c r="I10" s="107"/>
      <c r="J10" s="54"/>
      <c r="K10" s="23"/>
    </row>
    <row r="11" spans="1:11" ht="20.100000000000001" customHeight="1" x14ac:dyDescent="0.25">
      <c r="C11" s="23"/>
      <c r="D11" s="107"/>
      <c r="E11" s="107"/>
      <c r="F11" s="107"/>
      <c r="G11" s="107"/>
      <c r="H11" s="107"/>
      <c r="I11" s="107"/>
      <c r="J11" s="107"/>
      <c r="K11" s="23"/>
    </row>
    <row r="12" spans="1:11" ht="20.100000000000001" customHeight="1" x14ac:dyDescent="0.25">
      <c r="C12" s="23"/>
      <c r="D12" s="107"/>
      <c r="E12" s="107"/>
      <c r="F12" s="107"/>
      <c r="G12" s="107"/>
      <c r="H12" s="107"/>
      <c r="I12" s="107"/>
      <c r="J12" s="107"/>
      <c r="K12" s="23"/>
    </row>
    <row r="13" spans="1:11" ht="20.100000000000001" customHeight="1" x14ac:dyDescent="0.25">
      <c r="A13" s="18" t="s">
        <v>69</v>
      </c>
      <c r="C13" s="23"/>
      <c r="D13" s="107"/>
      <c r="E13" s="107"/>
      <c r="F13" s="107"/>
      <c r="G13" s="107"/>
      <c r="H13" s="107"/>
      <c r="I13" s="107"/>
      <c r="J13" s="107"/>
      <c r="K13" s="23"/>
    </row>
    <row r="14" spans="1:11" ht="20.100000000000001" customHeight="1" x14ac:dyDescent="0.25">
      <c r="A14" s="17" t="str">
        <f>HYPERLINK("#'3.3.1.1-2 Enteric Methane'!A1", "3.3.1.1-2 Enteric Methane")</f>
        <v>3.3.1.1-2 Enteric Methane</v>
      </c>
      <c r="C14" s="23"/>
      <c r="D14" s="107"/>
      <c r="E14" s="107"/>
      <c r="F14" s="107"/>
      <c r="G14" s="107"/>
      <c r="H14" s="107"/>
      <c r="I14" s="107"/>
      <c r="J14" s="107"/>
      <c r="K14" s="23"/>
    </row>
    <row r="15" spans="1:11" ht="20.100000000000001" customHeight="1" x14ac:dyDescent="0.25">
      <c r="C15" s="23"/>
      <c r="D15" s="107"/>
      <c r="E15" s="107"/>
      <c r="F15" s="107"/>
      <c r="G15" s="107"/>
      <c r="H15" s="107"/>
      <c r="I15" s="107"/>
      <c r="J15" s="107"/>
      <c r="K15" s="23"/>
    </row>
    <row r="16" spans="1:11" ht="20.100000000000001" customHeight="1" x14ac:dyDescent="0.25">
      <c r="C16" s="23"/>
      <c r="D16" s="1"/>
      <c r="E16" s="1"/>
      <c r="F16" s="1"/>
      <c r="G16" s="1"/>
      <c r="H16" s="1"/>
      <c r="I16" s="1"/>
      <c r="J16" s="1"/>
      <c r="K16" s="23"/>
    </row>
    <row r="17" spans="1:11" ht="20.100000000000001" customHeight="1" x14ac:dyDescent="0.25">
      <c r="A17" s="129" t="s">
        <v>1</v>
      </c>
      <c r="C17" s="23"/>
      <c r="D17" s="1"/>
      <c r="E17" s="1"/>
      <c r="F17" s="1"/>
      <c r="G17" s="1"/>
      <c r="H17" s="1"/>
      <c r="I17" s="1"/>
      <c r="J17" s="1"/>
      <c r="K17" s="23"/>
    </row>
    <row r="18" spans="1:11" ht="20.100000000000001" customHeight="1" x14ac:dyDescent="0.25">
      <c r="A18" s="17" t="str">
        <f>HYPERLINK("#'Constants - Dairy'!A1", "Constants - Dairy")</f>
        <v>Constants - Dairy</v>
      </c>
      <c r="C18" s="23"/>
      <c r="D18" s="1"/>
      <c r="E18" s="1"/>
      <c r="F18" s="1"/>
      <c r="G18" s="1"/>
      <c r="H18" s="1"/>
      <c r="I18" s="1"/>
      <c r="J18" s="1"/>
      <c r="K18" s="23"/>
    </row>
    <row r="19" spans="1:11" ht="20.100000000000001" customHeight="1" x14ac:dyDescent="0.25">
      <c r="A19" s="17" t="str">
        <f>HYPERLINK("#'Constants - Common'!A1", "Constants - Common")</f>
        <v>Constants - Common</v>
      </c>
      <c r="C19" s="23"/>
      <c r="D19" s="1"/>
      <c r="E19" s="1"/>
      <c r="F19" s="1"/>
      <c r="G19" s="1"/>
      <c r="H19" s="1"/>
      <c r="I19" s="1"/>
      <c r="J19" s="1"/>
      <c r="K19" s="23"/>
    </row>
    <row r="20" spans="1:11" ht="20.100000000000001" customHeight="1" x14ac:dyDescent="0.25">
      <c r="A20" s="17" t="str">
        <f>HYPERLINK("#'Constants - Livestock'!A1", "Constants - Livestock")</f>
        <v>Constants - Livestock</v>
      </c>
      <c r="C20" s="23"/>
      <c r="D20" s="1"/>
      <c r="E20" s="1"/>
      <c r="F20" s="1"/>
      <c r="G20" s="1"/>
      <c r="H20" s="1"/>
      <c r="I20" s="1"/>
      <c r="J20" s="1"/>
      <c r="K20" s="23"/>
    </row>
    <row r="21" spans="1:11" ht="20.100000000000001" customHeight="1" x14ac:dyDescent="0.25">
      <c r="A21" s="17" t="str">
        <f>HYPERLINK("#'Acknowledgements'!A1", "Acknowledgements")</f>
        <v>Acknowledgements</v>
      </c>
      <c r="C21" s="23"/>
      <c r="D21" s="1"/>
      <c r="E21" s="1"/>
      <c r="F21" s="1"/>
      <c r="G21" s="1"/>
      <c r="H21" s="1"/>
      <c r="I21" s="1"/>
      <c r="J21" s="1"/>
      <c r="K21" s="23"/>
    </row>
    <row r="22" spans="1:11" ht="20.100000000000001" customHeight="1" x14ac:dyDescent="0.25">
      <c r="C22" s="23"/>
      <c r="D22" s="1"/>
      <c r="E22" s="1"/>
      <c r="F22" s="1"/>
      <c r="G22" s="1"/>
      <c r="H22" s="1"/>
      <c r="I22" s="1"/>
      <c r="J22" s="1"/>
      <c r="K22" s="23"/>
    </row>
    <row r="23" spans="1:11" ht="20.100000000000001" customHeight="1" x14ac:dyDescent="0.25">
      <c r="C23" s="23"/>
      <c r="D23" s="1"/>
      <c r="E23" s="1"/>
      <c r="F23" s="1"/>
      <c r="G23" s="1"/>
      <c r="H23" s="1"/>
      <c r="I23" s="1"/>
      <c r="J23" s="1"/>
      <c r="K23" s="23"/>
    </row>
    <row r="24" spans="1:11" ht="20.100000000000001" customHeight="1" x14ac:dyDescent="0.25">
      <c r="C24" s="23"/>
      <c r="D24" s="1"/>
      <c r="E24" s="1"/>
      <c r="F24" s="1"/>
      <c r="G24" s="1"/>
      <c r="H24" s="25"/>
      <c r="I24" s="23"/>
      <c r="J24" s="23"/>
      <c r="K24" s="23"/>
    </row>
    <row r="25" spans="1:11" ht="20.100000000000001" customHeight="1" x14ac:dyDescent="0.3">
      <c r="C25" s="23"/>
      <c r="D25" s="1"/>
      <c r="E25" s="1"/>
      <c r="F25" s="1"/>
      <c r="G25" s="1"/>
      <c r="H25" s="28"/>
      <c r="I25" s="23"/>
      <c r="J25" s="23"/>
      <c r="K25" s="23"/>
    </row>
    <row r="26" spans="1:11" ht="20.100000000000001" customHeight="1" x14ac:dyDescent="0.25">
      <c r="C26" s="23"/>
      <c r="D26" s="1"/>
      <c r="E26" s="1"/>
      <c r="F26" s="1"/>
      <c r="G26" s="1"/>
      <c r="H26" s="1"/>
      <c r="I26" s="1"/>
      <c r="J26" s="1"/>
      <c r="K26" s="23"/>
    </row>
    <row r="27" spans="1:11" ht="20.100000000000001" customHeight="1" x14ac:dyDescent="0.25">
      <c r="C27" s="23"/>
      <c r="D27" s="1"/>
      <c r="E27" s="1"/>
      <c r="F27" s="1"/>
      <c r="G27" s="1"/>
      <c r="H27" s="1"/>
      <c r="I27" s="1"/>
      <c r="J27" s="23"/>
      <c r="K27" s="23"/>
    </row>
    <row r="28" spans="1:11" ht="20.100000000000001" customHeight="1" x14ac:dyDescent="0.25">
      <c r="C28" s="23"/>
      <c r="D28" s="1"/>
      <c r="E28" s="1"/>
      <c r="F28" s="1"/>
      <c r="G28" s="1"/>
      <c r="H28" s="1"/>
      <c r="I28" s="1"/>
      <c r="J28" s="23"/>
      <c r="K28" s="23"/>
    </row>
    <row r="29" spans="1:11" ht="20.100000000000001" customHeight="1" x14ac:dyDescent="0.25">
      <c r="C29" s="23"/>
      <c r="D29" s="1"/>
      <c r="E29" s="1"/>
      <c r="F29" s="1"/>
      <c r="G29" s="1"/>
      <c r="H29" s="1"/>
      <c r="I29" s="1"/>
      <c r="J29" s="23"/>
      <c r="K29" s="23"/>
    </row>
    <row r="30" spans="1:11" ht="20.100000000000001" customHeight="1" x14ac:dyDescent="0.25">
      <c r="C30" s="23"/>
      <c r="D30" s="1"/>
      <c r="E30" s="1"/>
      <c r="F30" s="1"/>
      <c r="G30" s="1"/>
      <c r="H30" s="1"/>
      <c r="I30" s="1"/>
      <c r="J30" s="23"/>
      <c r="K30" s="23"/>
    </row>
    <row r="31" spans="1:11" ht="20.100000000000001" customHeight="1" x14ac:dyDescent="0.25">
      <c r="C31" s="23"/>
      <c r="D31" s="1"/>
      <c r="E31" s="1"/>
      <c r="F31" s="1"/>
      <c r="G31" s="1"/>
      <c r="H31" s="1"/>
      <c r="I31" s="1"/>
      <c r="J31" s="23"/>
      <c r="K31" s="23"/>
    </row>
    <row r="32" spans="1:11" ht="20.100000000000001" customHeight="1" x14ac:dyDescent="0.25">
      <c r="C32" s="23"/>
      <c r="D32" s="1"/>
      <c r="E32" s="1"/>
      <c r="F32" s="1"/>
      <c r="G32" s="1"/>
      <c r="H32" s="1"/>
      <c r="I32" s="1"/>
      <c r="J32" s="23"/>
      <c r="K32" s="23"/>
    </row>
    <row r="33" spans="3:11" ht="20.100000000000001" customHeight="1" x14ac:dyDescent="0.25">
      <c r="C33" s="23"/>
      <c r="D33" s="1"/>
      <c r="E33" s="1"/>
      <c r="F33" s="1"/>
      <c r="G33" s="1"/>
      <c r="H33" s="1"/>
      <c r="I33" s="1"/>
      <c r="J33" s="23"/>
      <c r="K33" s="23"/>
    </row>
    <row r="34" spans="3:11" ht="20.100000000000001" customHeight="1" x14ac:dyDescent="0.25">
      <c r="C34" s="23"/>
      <c r="D34" s="1"/>
      <c r="E34" s="1"/>
      <c r="F34" s="1"/>
      <c r="G34" s="1"/>
      <c r="H34" s="1"/>
      <c r="I34" s="23"/>
      <c r="J34" s="23"/>
      <c r="K34" s="23"/>
    </row>
    <row r="35" spans="3:11" ht="20.100000000000001" customHeight="1" x14ac:dyDescent="0.25">
      <c r="C35" s="23"/>
      <c r="D35" s="1"/>
      <c r="E35" s="1"/>
      <c r="F35" s="1"/>
      <c r="G35" s="1"/>
      <c r="H35" s="1"/>
      <c r="I35" s="23"/>
      <c r="J35" s="23"/>
      <c r="K35" s="23"/>
    </row>
    <row r="36" spans="3:11" ht="20.100000000000001" customHeight="1" x14ac:dyDescent="0.25">
      <c r="C36" s="23"/>
      <c r="D36" s="1"/>
      <c r="E36" s="1"/>
      <c r="F36" s="1"/>
      <c r="G36" s="1"/>
      <c r="H36" s="1"/>
      <c r="I36" s="23"/>
      <c r="J36" s="23"/>
      <c r="K36" s="23"/>
    </row>
    <row r="37" spans="3:11" ht="20.100000000000001" customHeight="1" x14ac:dyDescent="0.25">
      <c r="C37" s="23"/>
      <c r="D37" s="1"/>
      <c r="E37" s="1"/>
      <c r="F37" s="1"/>
      <c r="G37" s="1"/>
      <c r="H37" s="1"/>
      <c r="I37" s="23"/>
      <c r="J37" s="23"/>
      <c r="K37" s="23"/>
    </row>
    <row r="38" spans="3:11" ht="20.100000000000001" customHeight="1" x14ac:dyDescent="0.25">
      <c r="C38" s="23"/>
      <c r="D38" s="1"/>
      <c r="E38" s="1"/>
      <c r="F38" s="1"/>
      <c r="G38" s="1"/>
      <c r="H38" s="1"/>
      <c r="I38" s="106"/>
      <c r="J38" s="106"/>
      <c r="K38" s="23"/>
    </row>
    <row r="39" spans="3:11" ht="20.100000000000001" customHeight="1" x14ac:dyDescent="0.25">
      <c r="C39" s="23"/>
      <c r="D39" s="1"/>
      <c r="E39" s="1"/>
      <c r="F39" s="1"/>
      <c r="G39" s="1"/>
      <c r="H39" s="1"/>
      <c r="I39" s="106"/>
      <c r="J39" s="106"/>
      <c r="K39" s="23"/>
    </row>
    <row r="40" spans="3:11" ht="20.100000000000001" customHeight="1" x14ac:dyDescent="0.25">
      <c r="C40" s="23"/>
      <c r="D40" s="1"/>
      <c r="E40" s="1"/>
      <c r="F40" s="1"/>
      <c r="G40" s="1"/>
      <c r="H40" s="1"/>
      <c r="I40" s="106"/>
      <c r="J40" s="106"/>
      <c r="K40" s="23"/>
    </row>
    <row r="41" spans="3:11" ht="20.100000000000001" customHeight="1" x14ac:dyDescent="0.25">
      <c r="C41" s="23"/>
      <c r="D41" s="1"/>
      <c r="E41" s="1"/>
      <c r="F41" s="1"/>
      <c r="G41" s="1"/>
      <c r="H41" s="1"/>
      <c r="I41" s="106"/>
      <c r="J41" s="106"/>
      <c r="K41" s="23"/>
    </row>
    <row r="42" spans="3:11" ht="20.100000000000001" customHeight="1" x14ac:dyDescent="0.25">
      <c r="C42" s="23"/>
      <c r="D42" s="1"/>
      <c r="E42" s="1"/>
      <c r="F42" s="1"/>
      <c r="G42" s="1"/>
      <c r="H42" s="1"/>
      <c r="I42" s="106"/>
      <c r="J42" s="106"/>
      <c r="K42" s="23"/>
    </row>
    <row r="43" spans="3:11" ht="20.100000000000001" customHeight="1" x14ac:dyDescent="0.25">
      <c r="C43" s="23"/>
      <c r="D43" s="1"/>
      <c r="E43" s="1"/>
      <c r="F43" s="1"/>
      <c r="G43" s="1"/>
      <c r="H43" s="1"/>
      <c r="I43" s="106"/>
      <c r="J43" s="106"/>
      <c r="K43" s="23"/>
    </row>
    <row r="44" spans="3:11" ht="20.100000000000001" customHeight="1" x14ac:dyDescent="0.25">
      <c r="C44" s="23"/>
      <c r="D44" s="1"/>
      <c r="E44" s="1"/>
      <c r="F44" s="1"/>
      <c r="G44" s="1"/>
      <c r="H44" s="1"/>
      <c r="I44" s="106"/>
      <c r="J44" s="106"/>
      <c r="K44" s="23"/>
    </row>
    <row r="45" spans="3:11" ht="20.100000000000001" customHeight="1" x14ac:dyDescent="0.25">
      <c r="C45" s="23"/>
      <c r="D45" s="1"/>
      <c r="E45" s="1"/>
      <c r="F45" s="1"/>
      <c r="G45" s="1"/>
      <c r="H45" s="1"/>
      <c r="I45" s="106"/>
      <c r="J45" s="106"/>
      <c r="K45" s="23"/>
    </row>
    <row r="46" spans="3:11" ht="20.100000000000001" customHeight="1" x14ac:dyDescent="0.25">
      <c r="C46" s="23"/>
      <c r="D46" s="1"/>
      <c r="E46" s="1"/>
      <c r="F46" s="1"/>
      <c r="G46" s="1"/>
      <c r="H46" s="1"/>
      <c r="I46" s="106"/>
      <c r="J46" s="106"/>
      <c r="K46" s="23"/>
    </row>
    <row r="47" spans="3:11" ht="20.100000000000001" customHeight="1" x14ac:dyDescent="0.25">
      <c r="C47" s="23"/>
      <c r="D47" s="1"/>
      <c r="E47" s="1"/>
      <c r="F47" s="1"/>
      <c r="G47" s="1"/>
      <c r="H47" s="1"/>
      <c r="I47" s="106"/>
      <c r="J47" s="106"/>
      <c r="K47" s="23"/>
    </row>
    <row r="48" spans="3:11" ht="20.100000000000001" customHeight="1" x14ac:dyDescent="0.25">
      <c r="C48" s="23"/>
      <c r="D48" s="1"/>
      <c r="E48" s="1"/>
      <c r="F48" s="1"/>
      <c r="G48" s="1"/>
      <c r="H48" s="1"/>
      <c r="I48" s="106"/>
      <c r="J48" s="106"/>
      <c r="K48" s="23"/>
    </row>
    <row r="49" spans="3:11" ht="20.100000000000001" customHeight="1" x14ac:dyDescent="0.25">
      <c r="C49" s="23"/>
      <c r="D49" s="1"/>
      <c r="E49" s="1"/>
      <c r="F49" s="1"/>
      <c r="G49" s="1"/>
      <c r="H49" s="106"/>
      <c r="I49" s="106"/>
      <c r="J49" s="106"/>
      <c r="K49" s="23"/>
    </row>
    <row r="50" spans="3:11" ht="20.100000000000001" customHeight="1" x14ac:dyDescent="0.25">
      <c r="C50" s="23"/>
      <c r="D50" s="1"/>
      <c r="E50" s="1"/>
      <c r="F50" s="1"/>
      <c r="G50" s="1"/>
      <c r="H50" s="106"/>
      <c r="I50" s="106"/>
      <c r="J50" s="106"/>
      <c r="K50" s="23"/>
    </row>
    <row r="51" spans="3:11" ht="20.100000000000001" customHeight="1" x14ac:dyDescent="0.25">
      <c r="C51" s="23"/>
      <c r="D51" s="1"/>
      <c r="E51" s="1"/>
      <c r="F51" s="1"/>
      <c r="G51" s="1"/>
      <c r="H51" s="106"/>
      <c r="I51" s="106"/>
      <c r="J51" s="106"/>
      <c r="K51" s="23"/>
    </row>
    <row r="52" spans="3:11" ht="20.100000000000001" customHeight="1" x14ac:dyDescent="0.25">
      <c r="C52" s="23"/>
      <c r="D52" s="1"/>
      <c r="E52" s="1"/>
      <c r="F52" s="1"/>
      <c r="G52" s="1"/>
      <c r="H52" s="106"/>
      <c r="I52" s="106"/>
      <c r="J52" s="106"/>
      <c r="K52" s="23"/>
    </row>
    <row r="53" spans="3:11" ht="20.100000000000001" customHeight="1" x14ac:dyDescent="0.25">
      <c r="C53" s="23"/>
      <c r="D53" s="1"/>
      <c r="E53" s="1"/>
      <c r="F53" s="1"/>
      <c r="G53" s="1"/>
      <c r="H53" s="106"/>
      <c r="I53" s="106"/>
      <c r="J53" s="106"/>
      <c r="K53" s="23"/>
    </row>
    <row r="54" spans="3:11" ht="20.100000000000001" customHeight="1" x14ac:dyDescent="0.25">
      <c r="C54" s="23"/>
      <c r="D54" s="1"/>
      <c r="E54" s="1"/>
      <c r="F54" s="1"/>
      <c r="G54" s="1"/>
      <c r="H54" s="23"/>
      <c r="I54" s="23"/>
      <c r="J54" s="23"/>
      <c r="K54" s="23"/>
    </row>
    <row r="55" spans="3:11" ht="20.100000000000001" customHeight="1" x14ac:dyDescent="0.25">
      <c r="C55" s="23"/>
      <c r="D55" s="1"/>
      <c r="E55" s="1"/>
      <c r="F55" s="1"/>
      <c r="G55" s="1"/>
      <c r="H55" s="23"/>
      <c r="I55" s="23"/>
      <c r="J55" s="23"/>
      <c r="K55" s="23"/>
    </row>
    <row r="56" spans="3:11" ht="20.100000000000001" customHeight="1" x14ac:dyDescent="0.25">
      <c r="C56" s="23"/>
      <c r="D56" s="1"/>
      <c r="E56" s="1"/>
      <c r="F56" s="1"/>
      <c r="G56" s="1"/>
      <c r="H56" s="23"/>
      <c r="I56" s="23"/>
      <c r="J56" s="23"/>
      <c r="K56" s="23"/>
    </row>
    <row r="57" spans="3:11" ht="20.100000000000001" customHeight="1" x14ac:dyDescent="0.25">
      <c r="C57" s="23"/>
      <c r="D57" s="1"/>
      <c r="E57" s="1"/>
      <c r="F57" s="1"/>
      <c r="G57" s="1"/>
      <c r="H57" s="23"/>
      <c r="I57" s="23"/>
      <c r="J57" s="23"/>
      <c r="K57" s="23"/>
    </row>
    <row r="58" spans="3:11" ht="20.100000000000001" customHeight="1" x14ac:dyDescent="0.25">
      <c r="C58" s="23"/>
      <c r="D58" s="1"/>
      <c r="E58" s="31"/>
      <c r="F58" s="29"/>
      <c r="G58" s="23"/>
      <c r="H58" s="23"/>
      <c r="I58" s="23"/>
      <c r="J58" s="23"/>
      <c r="K58" s="23"/>
    </row>
    <row r="59" spans="3:11" ht="20.100000000000001" customHeight="1" x14ac:dyDescent="0.25">
      <c r="C59" s="23"/>
      <c r="D59" s="1"/>
      <c r="E59" s="1"/>
      <c r="F59" s="1"/>
      <c r="G59" s="1"/>
      <c r="H59" s="1"/>
      <c r="I59" s="1"/>
      <c r="J59" s="1"/>
      <c r="K59" s="23"/>
    </row>
    <row r="60" spans="3:11" ht="20.100000000000001" customHeight="1" x14ac:dyDescent="0.25">
      <c r="C60" s="23"/>
      <c r="D60" s="1"/>
      <c r="E60" s="1"/>
      <c r="F60" s="1"/>
      <c r="G60" s="1"/>
      <c r="H60" s="1"/>
      <c r="I60" s="1"/>
      <c r="J60" s="1"/>
      <c r="K60" s="23"/>
    </row>
    <row r="61" spans="3:11" ht="20.100000000000001" customHeight="1" x14ac:dyDescent="0.25">
      <c r="C61" s="23"/>
      <c r="D61" s="1"/>
      <c r="E61" s="1"/>
      <c r="F61" s="1"/>
      <c r="G61" s="1"/>
      <c r="H61" s="1"/>
      <c r="I61" s="1"/>
      <c r="J61" s="1"/>
      <c r="K61" s="23"/>
    </row>
    <row r="62" spans="3:11" ht="20.100000000000001" customHeight="1" x14ac:dyDescent="0.25">
      <c r="C62" s="23"/>
      <c r="D62" s="1"/>
      <c r="E62" s="1"/>
      <c r="F62" s="1"/>
      <c r="G62" s="1"/>
      <c r="H62" s="1"/>
      <c r="I62" s="1"/>
      <c r="J62" s="1"/>
      <c r="K62" s="23"/>
    </row>
    <row r="63" spans="3:11" ht="20.100000000000001" customHeight="1" x14ac:dyDescent="0.25">
      <c r="C63" s="23"/>
      <c r="D63" s="1"/>
      <c r="E63" s="1"/>
      <c r="F63" s="1"/>
      <c r="G63" s="1"/>
      <c r="H63" s="1"/>
      <c r="I63" s="1"/>
      <c r="J63" s="1"/>
      <c r="K63" s="23"/>
    </row>
    <row r="64" spans="3:11" ht="20.100000000000001" customHeight="1" x14ac:dyDescent="0.25">
      <c r="C64" s="23"/>
      <c r="D64" s="1"/>
      <c r="E64" s="1"/>
      <c r="F64" s="1"/>
      <c r="G64" s="1"/>
      <c r="H64" s="1"/>
      <c r="I64" s="1"/>
      <c r="J64" s="1"/>
      <c r="K64" s="23"/>
    </row>
    <row r="65" spans="3:11" ht="20.100000000000001" customHeight="1" x14ac:dyDescent="0.25">
      <c r="C65" s="23"/>
      <c r="D65" s="1"/>
      <c r="E65" s="1"/>
      <c r="F65" s="1"/>
      <c r="G65" s="1"/>
      <c r="H65" s="1"/>
      <c r="I65" s="1"/>
      <c r="J65" s="1"/>
      <c r="K65" s="23"/>
    </row>
    <row r="66" spans="3:11" ht="20.100000000000001" customHeight="1" x14ac:dyDescent="0.25">
      <c r="C66" s="23"/>
      <c r="D66" s="1"/>
      <c r="E66" s="1"/>
      <c r="F66" s="1"/>
      <c r="G66" s="1"/>
      <c r="H66" s="1"/>
      <c r="I66" s="1"/>
      <c r="J66" s="1"/>
      <c r="K66" s="23"/>
    </row>
    <row r="67" spans="3:11" ht="20.100000000000001" customHeight="1" x14ac:dyDescent="0.25">
      <c r="C67" s="23"/>
      <c r="D67" s="1"/>
      <c r="E67" s="1"/>
      <c r="F67" s="1"/>
      <c r="G67" s="1"/>
      <c r="H67" s="1"/>
      <c r="I67" s="1"/>
      <c r="J67" s="1"/>
      <c r="K67" s="23"/>
    </row>
    <row r="68" spans="3:11" ht="20.100000000000001" customHeight="1" x14ac:dyDescent="0.25">
      <c r="C68" s="23"/>
      <c r="D68" s="1"/>
      <c r="E68" s="1"/>
      <c r="F68" s="1"/>
      <c r="G68" s="1"/>
      <c r="H68" s="1"/>
      <c r="I68" s="1"/>
      <c r="J68" s="1"/>
      <c r="K68" s="23"/>
    </row>
    <row r="69" spans="3:11" ht="20.100000000000001" customHeight="1" x14ac:dyDescent="0.25">
      <c r="C69" s="23"/>
      <c r="D69" s="1"/>
      <c r="E69" s="1"/>
      <c r="F69" s="1"/>
      <c r="G69" s="1"/>
      <c r="H69" s="1"/>
      <c r="I69" s="1"/>
      <c r="J69" s="1"/>
      <c r="K69" s="23"/>
    </row>
    <row r="70" spans="3:11" ht="20.100000000000001" customHeight="1" x14ac:dyDescent="0.25">
      <c r="C70" s="23"/>
      <c r="D70" s="1"/>
      <c r="E70" s="1"/>
      <c r="F70" s="1"/>
      <c r="G70" s="1"/>
      <c r="H70" s="1"/>
      <c r="I70" s="1"/>
      <c r="J70" s="1"/>
      <c r="K70" s="23"/>
    </row>
    <row r="71" spans="3:11" ht="20.100000000000001" customHeight="1" x14ac:dyDescent="0.25">
      <c r="C71" s="23"/>
      <c r="D71" s="1"/>
      <c r="E71" s="1"/>
      <c r="F71" s="1"/>
      <c r="G71" s="1"/>
      <c r="H71" s="1"/>
      <c r="I71" s="1"/>
      <c r="J71" s="1"/>
      <c r="K71" s="23"/>
    </row>
    <row r="72" spans="3:11" ht="20.100000000000001" customHeight="1" x14ac:dyDescent="0.25">
      <c r="C72" s="23"/>
      <c r="D72" s="1"/>
      <c r="E72" s="1"/>
      <c r="F72" s="1"/>
      <c r="G72" s="1"/>
      <c r="H72" s="1"/>
      <c r="I72" s="1"/>
      <c r="J72" s="1"/>
      <c r="K72" s="23"/>
    </row>
    <row r="73" spans="3:11" ht="20.100000000000001" customHeight="1" x14ac:dyDescent="0.25">
      <c r="C73" s="23"/>
      <c r="D73" s="1"/>
      <c r="E73" s="1"/>
      <c r="F73" s="1"/>
      <c r="G73" s="1"/>
      <c r="H73" s="1"/>
      <c r="I73" s="1"/>
      <c r="J73" s="1"/>
      <c r="K73" s="23"/>
    </row>
    <row r="74" spans="3:11" ht="20.100000000000001" customHeight="1" x14ac:dyDescent="0.25">
      <c r="C74" s="23"/>
      <c r="D74" s="1"/>
      <c r="E74" s="1"/>
      <c r="F74" s="1"/>
      <c r="G74" s="1"/>
      <c r="H74" s="1"/>
      <c r="I74" s="1"/>
      <c r="J74" s="1"/>
      <c r="K74" s="23"/>
    </row>
    <row r="75" spans="3:11" ht="20.100000000000001" customHeight="1" x14ac:dyDescent="0.25">
      <c r="C75" s="23"/>
      <c r="D75" s="1"/>
      <c r="E75" s="1"/>
      <c r="F75" s="1"/>
      <c r="G75" s="1"/>
      <c r="H75" s="1"/>
      <c r="I75" s="1"/>
      <c r="J75" s="1"/>
      <c r="K75" s="23"/>
    </row>
    <row r="76" spans="3:11" ht="15.75" x14ac:dyDescent="0.25">
      <c r="C76" s="23"/>
      <c r="D76" s="1"/>
      <c r="E76" s="1"/>
      <c r="F76" s="1"/>
      <c r="G76" s="1"/>
      <c r="H76" s="1"/>
      <c r="I76" s="1"/>
      <c r="J76" s="1"/>
      <c r="K76" s="23"/>
    </row>
    <row r="77" spans="3:11" ht="15.75" x14ac:dyDescent="0.25">
      <c r="C77" s="23"/>
      <c r="D77" s="1"/>
      <c r="E77" s="1"/>
      <c r="F77" s="1"/>
      <c r="G77" s="1"/>
      <c r="H77" s="1"/>
      <c r="I77" s="1"/>
      <c r="J77" s="1"/>
      <c r="K77" s="23"/>
    </row>
    <row r="78" spans="3:11" ht="15.75" x14ac:dyDescent="0.25">
      <c r="C78" s="23"/>
      <c r="D78" s="1"/>
      <c r="E78" s="1"/>
      <c r="F78" s="1"/>
      <c r="G78" s="1"/>
      <c r="H78" s="1"/>
      <c r="I78" s="1"/>
      <c r="J78" s="1"/>
      <c r="K78" s="23"/>
    </row>
    <row r="79" spans="3:11" ht="15.75" x14ac:dyDescent="0.25">
      <c r="C79" s="23"/>
      <c r="D79" s="1"/>
      <c r="E79" s="1"/>
      <c r="F79" s="1"/>
      <c r="G79" s="1"/>
      <c r="H79" s="1"/>
      <c r="I79" s="1"/>
      <c r="J79" s="1"/>
      <c r="K79" s="23"/>
    </row>
    <row r="80" spans="3:11" ht="15.75" x14ac:dyDescent="0.25">
      <c r="C80" s="23"/>
      <c r="D80" s="1"/>
      <c r="E80" s="1"/>
      <c r="F80" s="1"/>
      <c r="G80" s="1"/>
      <c r="H80" s="1"/>
      <c r="I80" s="1"/>
      <c r="J80" s="1"/>
      <c r="K80" s="23"/>
    </row>
    <row r="81" spans="3:11" ht="15.75" x14ac:dyDescent="0.25">
      <c r="C81" s="23"/>
      <c r="D81" s="1"/>
      <c r="E81" s="1"/>
      <c r="F81" s="1"/>
      <c r="G81" s="1"/>
      <c r="H81" s="1"/>
      <c r="I81" s="1"/>
      <c r="J81" s="1"/>
      <c r="K81" s="23"/>
    </row>
    <row r="82" spans="3:11" ht="15.75" x14ac:dyDescent="0.25">
      <c r="C82" s="23"/>
      <c r="D82" s="1"/>
      <c r="E82" s="1"/>
      <c r="F82" s="1"/>
      <c r="G82" s="1"/>
      <c r="H82" s="1"/>
      <c r="I82" s="1"/>
      <c r="J82" s="1"/>
      <c r="K82" s="23"/>
    </row>
    <row r="83" spans="3:11" ht="15.75" x14ac:dyDescent="0.25">
      <c r="C83" s="23"/>
      <c r="D83" s="1"/>
      <c r="E83" s="1"/>
      <c r="F83" s="1"/>
      <c r="G83" s="1"/>
      <c r="H83" s="1"/>
      <c r="I83" s="1"/>
      <c r="J83" s="1"/>
      <c r="K83" s="23"/>
    </row>
    <row r="84" spans="3:11" ht="15.75" x14ac:dyDescent="0.25">
      <c r="C84" s="23"/>
      <c r="D84" s="1"/>
      <c r="E84" s="1"/>
      <c r="F84" s="1"/>
      <c r="G84" s="1"/>
      <c r="H84" s="1"/>
      <c r="I84" s="1"/>
      <c r="J84" s="1"/>
      <c r="K84" s="23"/>
    </row>
    <row r="85" spans="3:11" ht="15.75" x14ac:dyDescent="0.25">
      <c r="C85" s="23"/>
      <c r="D85" s="1"/>
      <c r="E85" s="1"/>
      <c r="F85" s="1"/>
      <c r="G85" s="1"/>
      <c r="H85" s="1"/>
      <c r="I85" s="1"/>
      <c r="J85" s="1"/>
      <c r="K85" s="23"/>
    </row>
    <row r="86" spans="3:11" x14ac:dyDescent="0.25">
      <c r="C86" s="23"/>
      <c r="D86" s="23"/>
      <c r="E86" s="23"/>
      <c r="F86" s="23"/>
      <c r="G86" s="23"/>
      <c r="H86" s="23"/>
      <c r="I86" s="23"/>
      <c r="J86" s="23"/>
      <c r="K86" s="23"/>
    </row>
    <row r="87" spans="3:11" x14ac:dyDescent="0.25">
      <c r="C87" s="23"/>
      <c r="D87" s="23"/>
      <c r="E87" s="23"/>
      <c r="F87" s="23"/>
      <c r="G87" s="23"/>
      <c r="H87" s="23"/>
      <c r="I87" s="23"/>
      <c r="J87" s="23"/>
      <c r="K87" s="2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zoomScaleNormal="100" workbookViewId="0">
      <selection activeCell="A21" sqref="A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5" t="e" vm="1">
        <v>#VALUE!</v>
      </c>
      <c r="C1" s="12" t="s">
        <v>83</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7"/>
      <c r="D4" s="67"/>
      <c r="E4" s="67"/>
      <c r="F4" s="67"/>
      <c r="G4" s="67"/>
      <c r="H4" s="67"/>
      <c r="I4" s="67"/>
      <c r="J4" s="67"/>
      <c r="K4" s="67"/>
    </row>
    <row r="5" spans="1:24" ht="20.100000000000001" customHeight="1" x14ac:dyDescent="0.25">
      <c r="A5" s="17" t="str">
        <f>HYPERLINK("#'Results'!A1", "Results")</f>
        <v>Results</v>
      </c>
      <c r="D5" s="6" t="s">
        <v>11</v>
      </c>
      <c r="N5" s="42"/>
    </row>
    <row r="6" spans="1:24" ht="20.100000000000001" customHeight="1" x14ac:dyDescent="0.25">
      <c r="A6"/>
      <c r="D6" s="14"/>
      <c r="N6" s="43"/>
    </row>
    <row r="7" spans="1:24" ht="20.100000000000001" customHeight="1" x14ac:dyDescent="0.25">
      <c r="A7"/>
      <c r="D7" s="1" t="s">
        <v>3</v>
      </c>
      <c r="E7" s="34" t="s">
        <v>248</v>
      </c>
      <c r="F7" s="2"/>
    </row>
    <row r="8" spans="1:24" ht="20.100000000000001" customHeight="1" x14ac:dyDescent="0.25">
      <c r="A8" s="19" t="s">
        <v>0</v>
      </c>
      <c r="D8" s="10" t="s">
        <v>68</v>
      </c>
      <c r="E8" s="34" t="s">
        <v>249</v>
      </c>
    </row>
    <row r="9" spans="1:24" ht="20.100000000000001" customHeight="1" x14ac:dyDescent="0.25">
      <c r="A9" s="20" t="str">
        <f>HYPERLINK("#'Input - Site'!A1", "Site")</f>
        <v>Site</v>
      </c>
      <c r="N9" s="44"/>
    </row>
    <row r="10" spans="1:24" ht="20.100000000000001" customHeight="1" x14ac:dyDescent="0.25">
      <c r="A10" s="17" t="str">
        <f>HYPERLINK("#'Input - Dairy'!A1", "Dairy")</f>
        <v>Dairy</v>
      </c>
      <c r="D10" s="92" t="s">
        <v>82</v>
      </c>
      <c r="E10" s="90"/>
      <c r="F10" s="93"/>
      <c r="G10" s="87"/>
      <c r="N10" s="44"/>
    </row>
    <row r="11" spans="1:24" ht="20.100000000000001" customHeight="1" x14ac:dyDescent="0.25">
      <c r="A11"/>
      <c r="N11" s="45"/>
    </row>
    <row r="12" spans="1:24" ht="20.100000000000001" customHeight="1" x14ac:dyDescent="0.25">
      <c r="A12"/>
      <c r="D12" s="10" t="s">
        <v>88</v>
      </c>
      <c r="E12" s="63">
        <v>45658</v>
      </c>
      <c r="F12" s="2" t="s">
        <v>66</v>
      </c>
    </row>
    <row r="13" spans="1:24" ht="20.100000000000001" customHeight="1" x14ac:dyDescent="0.25">
      <c r="A13" s="18" t="s">
        <v>69</v>
      </c>
      <c r="D13" s="10" t="s">
        <v>89</v>
      </c>
      <c r="E13" s="68">
        <f>DATE(YEAR(E12)+1,MONTH(E12),DAY(E12))-1</f>
        <v>46022</v>
      </c>
      <c r="F13" s="2" t="s">
        <v>13</v>
      </c>
      <c r="N13" s="39"/>
      <c r="O13" s="39"/>
    </row>
    <row r="14" spans="1:24" ht="20.100000000000001" customHeight="1" x14ac:dyDescent="0.25">
      <c r="A14" s="17" t="str">
        <f>HYPERLINK("#'3.3.1.1-2 Enteric Methane'!A1", "3.3.1.1-2 Enteric Methane")</f>
        <v>3.3.1.1-2 Enteric Methane</v>
      </c>
      <c r="N14" s="39"/>
      <c r="O14" s="39"/>
    </row>
    <row r="15" spans="1:24" ht="20.100000000000001" customHeight="1" x14ac:dyDescent="0.25">
      <c r="A15"/>
      <c r="N15" s="39"/>
      <c r="O15" s="39"/>
    </row>
    <row r="16" spans="1:24" ht="20.100000000000001" customHeight="1" x14ac:dyDescent="0.25">
      <c r="A16"/>
      <c r="D16" s="6" t="s">
        <v>10</v>
      </c>
      <c r="N16" s="39"/>
      <c r="O16" s="39"/>
    </row>
    <row r="17" spans="1:25" ht="20.100000000000001" customHeight="1" x14ac:dyDescent="0.25">
      <c r="A17" s="129" t="s">
        <v>1</v>
      </c>
    </row>
    <row r="18" spans="1:25" ht="20.100000000000001" customHeight="1" x14ac:dyDescent="0.25">
      <c r="A18" s="17" t="str">
        <f>HYPERLINK("#'Constants - Dairy'!A1", "Constants - Dairy")</f>
        <v>Constants - Dairy</v>
      </c>
      <c r="D18" s="94" t="s">
        <v>12</v>
      </c>
      <c r="E18" s="89"/>
      <c r="F18" s="89"/>
      <c r="G18" s="85"/>
    </row>
    <row r="19" spans="1:25" ht="20.100000000000001" customHeight="1" x14ac:dyDescent="0.25">
      <c r="A19" s="17" t="str">
        <f>HYPERLINK("#'Constants - Common'!A1", "Constants - Common")</f>
        <v>Constants - Common</v>
      </c>
      <c r="D19" s="91" t="s">
        <v>67</v>
      </c>
      <c r="E19" s="88"/>
      <c r="F19" s="88"/>
      <c r="G19" s="86"/>
      <c r="N19" s="42"/>
    </row>
    <row r="20" spans="1:25" ht="20.100000000000001" customHeight="1" x14ac:dyDescent="0.25">
      <c r="A20" s="17" t="str">
        <f>HYPERLINK("#'Constants - Livestock'!A1", "Constants - Livestock")</f>
        <v>Constants - Livestock</v>
      </c>
      <c r="D20" s="1"/>
      <c r="E20" s="32"/>
      <c r="F20" s="2"/>
      <c r="N20" s="43"/>
    </row>
    <row r="21" spans="1:25" ht="20.100000000000001" customHeight="1" x14ac:dyDescent="0.25">
      <c r="A21" s="17" t="str">
        <f>HYPERLINK("#'Acknowledgements'!A1", "Acknowledgements")</f>
        <v>Acknowledgements</v>
      </c>
      <c r="D21" s="1" t="s">
        <v>4</v>
      </c>
      <c r="E21" s="41" t="s">
        <v>250</v>
      </c>
      <c r="F21" s="2" t="s">
        <v>7</v>
      </c>
    </row>
    <row r="22" spans="1:25" ht="20.100000000000001" customHeight="1" x14ac:dyDescent="0.25">
      <c r="A22"/>
      <c r="D22" s="1" t="s">
        <v>21</v>
      </c>
      <c r="E22" s="41" t="s">
        <v>30</v>
      </c>
      <c r="F22" s="2" t="s">
        <v>7</v>
      </c>
      <c r="G22" s="1"/>
    </row>
    <row r="23" spans="1:25" ht="20.100000000000001" customHeight="1" x14ac:dyDescent="0.25">
      <c r="A23"/>
      <c r="D23" s="1" t="s">
        <v>5</v>
      </c>
      <c r="E23" s="41" t="s">
        <v>87</v>
      </c>
      <c r="F23" s="2" t="s">
        <v>7</v>
      </c>
    </row>
    <row r="24" spans="1:25" ht="20.100000000000001" customHeight="1" x14ac:dyDescent="0.25">
      <c r="A24"/>
      <c r="D24" s="1" t="s">
        <v>35</v>
      </c>
      <c r="E24" s="34">
        <v>307.7</v>
      </c>
      <c r="F24" s="2" t="s">
        <v>49</v>
      </c>
    </row>
    <row r="25" spans="1:25" ht="20.100000000000001" customHeight="1" x14ac:dyDescent="0.25">
      <c r="A25"/>
      <c r="D25" s="1" t="s">
        <v>57</v>
      </c>
      <c r="E25" s="34">
        <v>18</v>
      </c>
      <c r="F25" s="2" t="s">
        <v>8</v>
      </c>
      <c r="N25" s="43"/>
    </row>
    <row r="26" spans="1:25" ht="20.100000000000001" customHeight="1" x14ac:dyDescent="0.25">
      <c r="A26"/>
      <c r="D26" s="1" t="s">
        <v>58</v>
      </c>
      <c r="E26" s="34">
        <v>601</v>
      </c>
      <c r="F26" s="2" t="s">
        <v>9</v>
      </c>
    </row>
    <row r="27" spans="1:25" ht="20.100000000000001" customHeight="1" x14ac:dyDescent="0.25">
      <c r="A27"/>
      <c r="D27" s="10" t="s">
        <v>59</v>
      </c>
      <c r="E27" s="34">
        <v>1326</v>
      </c>
      <c r="F27" s="2" t="s">
        <v>9</v>
      </c>
    </row>
    <row r="28" spans="1:25" ht="20.100000000000001" customHeight="1" x14ac:dyDescent="0.25">
      <c r="A28"/>
      <c r="D28" s="1" t="s">
        <v>60</v>
      </c>
      <c r="E28" s="34">
        <v>7</v>
      </c>
      <c r="F28" s="2" t="s">
        <v>50</v>
      </c>
    </row>
    <row r="29" spans="1:25" ht="20.100000000000001" customHeight="1" x14ac:dyDescent="0.25">
      <c r="A29"/>
      <c r="D29" s="10" t="s">
        <v>56</v>
      </c>
      <c r="E29" s="52">
        <f>E26/E27</f>
        <v>0.45324283559577677</v>
      </c>
      <c r="F29" s="2"/>
    </row>
    <row r="30" spans="1:25" ht="20.100000000000001" customHeight="1" x14ac:dyDescent="0.25">
      <c r="A30"/>
      <c r="D30" s="10" t="s">
        <v>31</v>
      </c>
      <c r="E30" s="52" t="str">
        <f>Common_InputFunctions.Utility_LookupItemFromMinMax(E26,Table_SourceData_RainfallZones[Min rainfall],Table_SourceData_RainfallZones[Max rainfall],Table_SourceData_RainfallZones[Rainfall Zone])</f>
        <v>High rainfall</v>
      </c>
      <c r="G30" s="33"/>
      <c r="L30" s="49"/>
      <c r="M30" s="49"/>
      <c r="N30" s="49"/>
      <c r="O30" s="49"/>
      <c r="P30" s="49"/>
      <c r="Q30" s="49"/>
      <c r="R30" s="49"/>
      <c r="S30" s="49"/>
      <c r="T30" s="49"/>
      <c r="U30" s="49"/>
      <c r="V30" s="49"/>
      <c r="W30" s="49"/>
      <c r="X30" s="49"/>
      <c r="Y30" s="49"/>
    </row>
    <row r="31" spans="1:25" ht="20.100000000000001" customHeight="1" x14ac:dyDescent="0.25">
      <c r="A31"/>
      <c r="D31" s="1" t="s">
        <v>6</v>
      </c>
      <c r="E31" s="52"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2"/>
      <c r="L31" s="47"/>
      <c r="M31" s="47"/>
      <c r="N31" s="47"/>
      <c r="O31" s="47"/>
      <c r="P31" s="47"/>
      <c r="Q31" s="47"/>
      <c r="R31" s="47"/>
      <c r="S31" s="47"/>
      <c r="T31" s="47"/>
      <c r="U31" s="47"/>
      <c r="V31" s="47"/>
      <c r="W31" s="47"/>
      <c r="X31" s="47"/>
      <c r="Y31" s="47"/>
    </row>
    <row r="32" spans="1:25" ht="20.100000000000001" customHeight="1" x14ac:dyDescent="0.25">
      <c r="A32"/>
      <c r="D32" s="1" t="s">
        <v>84</v>
      </c>
      <c r="E32" s="52" t="str">
        <f>Common_InputFunctions.Utility_LookupValueInTable($E$31,Table_SourceData_WetDryZones[Climate zone],Table_SourceData_WetDryZones[Wet or Dry Zone])</f>
        <v>Dry climate zone</v>
      </c>
      <c r="F32" s="1"/>
      <c r="G32" s="32"/>
      <c r="L32" s="47"/>
      <c r="M32" s="47"/>
      <c r="N32" s="47"/>
      <c r="O32" s="47"/>
      <c r="P32" s="47"/>
      <c r="Q32" s="47"/>
      <c r="R32" s="47"/>
      <c r="S32" s="47"/>
      <c r="T32" s="47"/>
      <c r="U32" s="47"/>
      <c r="V32" s="47"/>
      <c r="W32" s="47"/>
      <c r="X32" s="47"/>
      <c r="Y32" s="47"/>
    </row>
    <row r="33" spans="1:25" ht="20.100000000000001" customHeight="1" x14ac:dyDescent="0.25">
      <c r="A33"/>
      <c r="D33" s="1" t="s">
        <v>48</v>
      </c>
      <c r="E33" s="52" t="str">
        <f>Common_InputFunctions.Utility_LookupItemFromMinMax(E25,Table_SourceData_TemperatureZones[Min MAT],Table_SourceData_TemperatureZones[Max MAT],Table_SourceData_TemperatureZones[Temperature Zone])</f>
        <v>Temperate</v>
      </c>
      <c r="G33" s="69"/>
      <c r="L33" s="47"/>
      <c r="M33" s="47"/>
      <c r="N33" s="47"/>
      <c r="O33" s="47"/>
      <c r="P33" s="47"/>
      <c r="Q33" s="47"/>
      <c r="R33" s="47"/>
      <c r="S33" s="47"/>
      <c r="T33" s="47"/>
      <c r="U33" s="47"/>
      <c r="V33" s="47"/>
      <c r="W33" s="47"/>
      <c r="X33" s="47"/>
      <c r="Y33" s="47"/>
    </row>
    <row r="34" spans="1:25" ht="20.100000000000001" customHeight="1" x14ac:dyDescent="0.25">
      <c r="A34"/>
      <c r="J34" s="60"/>
      <c r="K34" s="72"/>
      <c r="L34" s="47"/>
      <c r="M34" s="47"/>
      <c r="N34" s="47"/>
      <c r="O34" s="47"/>
      <c r="P34" s="47"/>
      <c r="Q34" s="47"/>
      <c r="R34" s="47"/>
      <c r="S34" s="47"/>
      <c r="T34" s="47"/>
      <c r="U34" s="47"/>
      <c r="V34" s="47"/>
      <c r="W34" s="47"/>
      <c r="X34" s="47"/>
      <c r="Y34" s="47"/>
    </row>
    <row r="35" spans="1:25" ht="20.100000000000001" customHeight="1" x14ac:dyDescent="0.25">
      <c r="A35"/>
      <c r="J35" s="60"/>
      <c r="K35" s="72"/>
      <c r="L35" s="47"/>
      <c r="M35" s="47"/>
      <c r="N35" s="47"/>
      <c r="O35" s="47"/>
      <c r="P35" s="47"/>
      <c r="Q35" s="47"/>
      <c r="R35" s="47"/>
      <c r="S35" s="47"/>
      <c r="T35" s="47"/>
      <c r="U35" s="47"/>
      <c r="V35" s="47"/>
      <c r="W35" s="47"/>
      <c r="X35" s="47"/>
      <c r="Y35" s="47"/>
    </row>
    <row r="36" spans="1:25" ht="20.100000000000001" customHeight="1" x14ac:dyDescent="0.25">
      <c r="A36"/>
      <c r="D36" s="70"/>
      <c r="E36" s="70"/>
      <c r="F36" s="71"/>
      <c r="G36" s="60"/>
      <c r="H36" s="60"/>
      <c r="I36" s="61"/>
      <c r="J36" s="60"/>
      <c r="K36" s="72"/>
      <c r="L36" s="47"/>
      <c r="M36" s="47"/>
      <c r="N36" s="47"/>
      <c r="O36" s="47"/>
      <c r="P36" s="47"/>
      <c r="Q36" s="47"/>
      <c r="R36" s="47"/>
      <c r="S36" s="47"/>
      <c r="T36" s="47"/>
      <c r="U36" s="47"/>
      <c r="V36" s="47"/>
      <c r="W36" s="47"/>
      <c r="X36" s="47"/>
      <c r="Y36" s="47"/>
    </row>
    <row r="37" spans="1:25" ht="20.100000000000001" customHeight="1" x14ac:dyDescent="0.25">
      <c r="A37"/>
      <c r="D37" s="70"/>
      <c r="E37" s="70"/>
      <c r="F37" s="71"/>
      <c r="G37" s="60"/>
      <c r="H37" s="60"/>
      <c r="I37" s="61"/>
      <c r="J37" s="60"/>
      <c r="K37" s="72"/>
      <c r="L37" s="47"/>
      <c r="M37" s="47"/>
      <c r="N37" s="47"/>
      <c r="O37" s="47"/>
      <c r="P37" s="47"/>
      <c r="Q37" s="47"/>
      <c r="R37" s="47"/>
      <c r="S37" s="47"/>
      <c r="T37" s="47"/>
      <c r="U37" s="47"/>
      <c r="V37" s="47"/>
      <c r="W37" s="47"/>
      <c r="X37" s="47"/>
      <c r="Y37" s="47"/>
    </row>
    <row r="38" spans="1:25" ht="20.100000000000001" customHeight="1" x14ac:dyDescent="0.25">
      <c r="A38"/>
      <c r="D38" s="70"/>
      <c r="E38" s="70"/>
      <c r="F38" s="71"/>
      <c r="G38" s="60"/>
      <c r="H38" s="60"/>
      <c r="I38" s="61"/>
      <c r="J38" s="60"/>
      <c r="K38" s="72"/>
      <c r="L38" s="47"/>
      <c r="M38" s="47"/>
      <c r="N38" s="47"/>
      <c r="O38" s="47"/>
      <c r="P38" s="47"/>
      <c r="Q38" s="47"/>
      <c r="R38" s="47"/>
      <c r="S38" s="47"/>
      <c r="T38" s="47"/>
      <c r="U38" s="47"/>
      <c r="V38" s="47"/>
      <c r="W38" s="47"/>
      <c r="X38" s="47"/>
      <c r="Y38" s="47"/>
    </row>
    <row r="39" spans="1:25" ht="20.100000000000001" customHeight="1" x14ac:dyDescent="0.25">
      <c r="A39"/>
      <c r="D39" s="70"/>
      <c r="E39" s="70"/>
      <c r="F39" s="71"/>
      <c r="G39" s="60"/>
      <c r="H39" s="60"/>
      <c r="I39" s="61"/>
      <c r="J39" s="60"/>
      <c r="K39" s="72"/>
      <c r="L39" s="47"/>
      <c r="M39" s="47"/>
      <c r="N39" s="47"/>
      <c r="O39" s="47"/>
      <c r="P39" s="47"/>
      <c r="Q39" s="47"/>
      <c r="R39" s="47"/>
      <c r="S39" s="47"/>
      <c r="T39" s="47"/>
      <c r="U39" s="47"/>
      <c r="V39" s="47"/>
      <c r="W39" s="47"/>
      <c r="X39" s="47"/>
      <c r="Y39" s="47"/>
    </row>
    <row r="40" spans="1:25" ht="20.100000000000001" customHeight="1" x14ac:dyDescent="0.25">
      <c r="A40"/>
      <c r="D40" s="73"/>
      <c r="E40" s="73"/>
      <c r="F40" s="73"/>
      <c r="G40" s="74"/>
      <c r="H40" s="75"/>
      <c r="I40" s="75"/>
      <c r="J40" s="75"/>
      <c r="K40" s="75"/>
      <c r="L40" s="50"/>
      <c r="M40" s="50"/>
      <c r="N40" s="50"/>
      <c r="O40" s="50"/>
      <c r="P40" s="50"/>
      <c r="Q40" s="50"/>
      <c r="R40" s="50"/>
      <c r="S40" s="50"/>
      <c r="T40" s="50"/>
      <c r="U40" s="50"/>
      <c r="V40" s="50"/>
      <c r="W40" s="50"/>
      <c r="X40" s="50"/>
      <c r="Y40" s="5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22"/>
    </row>
    <row r="47" spans="1:25" ht="20.100000000000001" customHeight="1" x14ac:dyDescent="0.25">
      <c r="A47"/>
      <c r="D47" s="76"/>
      <c r="E47" s="76"/>
      <c r="F47" s="76"/>
      <c r="G47" s="76"/>
      <c r="H47" s="76"/>
    </row>
    <row r="48" spans="1:25" ht="20.100000000000001" customHeight="1" x14ac:dyDescent="0.25">
      <c r="A48"/>
      <c r="D48" s="35"/>
      <c r="E48" s="35"/>
      <c r="F48" s="36"/>
      <c r="G48" s="36"/>
      <c r="H48" s="35"/>
    </row>
    <row r="49" spans="1:8" ht="20.100000000000001" customHeight="1" x14ac:dyDescent="0.25">
      <c r="A49"/>
      <c r="D49" s="35"/>
      <c r="E49" s="35"/>
      <c r="F49" s="36"/>
      <c r="G49" s="36"/>
      <c r="H49" s="35"/>
    </row>
    <row r="50" spans="1:8" ht="20.100000000000001" customHeight="1" x14ac:dyDescent="0.25">
      <c r="A50"/>
      <c r="D50" s="35"/>
      <c r="E50" s="35"/>
      <c r="F50" s="36"/>
      <c r="G50" s="36"/>
      <c r="H50" s="35"/>
    </row>
    <row r="51" spans="1:8" ht="20.100000000000001" customHeight="1" x14ac:dyDescent="0.25">
      <c r="A51"/>
      <c r="D51" s="77"/>
      <c r="E51" s="78"/>
      <c r="F51" s="78"/>
      <c r="G51" s="78"/>
      <c r="H51" s="79"/>
    </row>
    <row r="52" spans="1:8" ht="20.100000000000001" customHeight="1" x14ac:dyDescent="0.25">
      <c r="A52"/>
    </row>
    <row r="53" spans="1:8" ht="20.100000000000001" customHeight="1" x14ac:dyDescent="0.25">
      <c r="A53"/>
    </row>
    <row r="54" spans="1:8" ht="20.100000000000001" customHeight="1" x14ac:dyDescent="0.25">
      <c r="A54"/>
      <c r="G54" s="80"/>
    </row>
    <row r="55" spans="1:8" ht="20.100000000000001" customHeight="1" x14ac:dyDescent="0.25">
      <c r="A55"/>
      <c r="D55" s="6"/>
    </row>
    <row r="56" spans="1:8" ht="20.100000000000001" customHeight="1" x14ac:dyDescent="0.25">
      <c r="A56"/>
    </row>
    <row r="57" spans="1:8" ht="20.100000000000001" customHeight="1" x14ac:dyDescent="0.25">
      <c r="A57"/>
      <c r="D57" s="22"/>
      <c r="F57" s="81"/>
    </row>
    <row r="58" spans="1:8" ht="20.100000000000001" customHeight="1" x14ac:dyDescent="0.25">
      <c r="A58"/>
      <c r="D58" s="1"/>
      <c r="E58" s="82"/>
    </row>
    <row r="59" spans="1:8" ht="20.100000000000001" customHeight="1" x14ac:dyDescent="0.25">
      <c r="A59"/>
      <c r="D59" s="1"/>
      <c r="E59" s="82"/>
    </row>
    <row r="60" spans="1:8" ht="20.100000000000001" customHeight="1" x14ac:dyDescent="0.25">
      <c r="A60"/>
      <c r="D60" s="1"/>
      <c r="E60" s="83"/>
    </row>
    <row r="61" spans="1:8" ht="20.100000000000001" customHeight="1" x14ac:dyDescent="0.25">
      <c r="A61"/>
      <c r="D61" s="1"/>
    </row>
    <row r="62" spans="1:8" ht="20.100000000000001" customHeight="1" x14ac:dyDescent="0.25">
      <c r="A62"/>
    </row>
    <row r="63" spans="1:8" ht="20.100000000000001" customHeight="1" x14ac:dyDescent="0.25">
      <c r="A63"/>
      <c r="D63" s="22"/>
    </row>
    <row r="64" spans="1:8" ht="20.100000000000001" customHeight="1" x14ac:dyDescent="0.25">
      <c r="A64"/>
      <c r="D64" s="1"/>
      <c r="E64" s="82"/>
    </row>
    <row r="65" spans="1:9" ht="20.100000000000001" customHeight="1" x14ac:dyDescent="0.25">
      <c r="A65"/>
      <c r="D65" s="1"/>
      <c r="E65" s="82"/>
    </row>
    <row r="66" spans="1:9" ht="20.100000000000001" customHeight="1" x14ac:dyDescent="0.25">
      <c r="A66"/>
      <c r="D66" s="1"/>
      <c r="E66" s="83"/>
    </row>
    <row r="67" spans="1:9" ht="20.100000000000001" customHeight="1" x14ac:dyDescent="0.25">
      <c r="A67"/>
    </row>
    <row r="68" spans="1:9" ht="20.100000000000001" customHeight="1" x14ac:dyDescent="0.25">
      <c r="A68"/>
    </row>
    <row r="69" spans="1:9" ht="20.100000000000001" customHeight="1" x14ac:dyDescent="0.25">
      <c r="A69"/>
      <c r="D69" s="59"/>
      <c r="E69" s="59"/>
      <c r="F69" s="59"/>
      <c r="G69" s="59"/>
      <c r="H69" s="59"/>
      <c r="I69" s="59"/>
    </row>
    <row r="70" spans="1:9" ht="20.100000000000001" customHeight="1" x14ac:dyDescent="0.25">
      <c r="A70"/>
      <c r="D70" s="59"/>
      <c r="E70" s="59"/>
      <c r="F70" s="59"/>
      <c r="G70" s="59"/>
      <c r="H70" s="59"/>
      <c r="I70" s="59"/>
    </row>
    <row r="71" spans="1:9" ht="20.100000000000001" customHeight="1" x14ac:dyDescent="0.25">
      <c r="A71"/>
      <c r="D71" s="59"/>
      <c r="E71" s="59"/>
      <c r="F71" s="59"/>
      <c r="G71" s="59"/>
      <c r="H71" s="59"/>
      <c r="I71" s="59"/>
    </row>
    <row r="72" spans="1:9" ht="20.100000000000001" customHeight="1" x14ac:dyDescent="0.25">
      <c r="A72"/>
      <c r="D72" s="59"/>
      <c r="E72" s="59"/>
      <c r="F72" s="59"/>
      <c r="G72" s="59"/>
      <c r="H72" s="59"/>
      <c r="I72" s="59"/>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4"/>
    </row>
    <row r="79" spans="1:9" ht="20.100000000000001" customHeight="1" x14ac:dyDescent="0.25">
      <c r="A79"/>
      <c r="D79" s="84"/>
    </row>
    <row r="80" spans="1:9" ht="20.100000000000001" customHeight="1" x14ac:dyDescent="0.25">
      <c r="A80"/>
      <c r="D80" s="84"/>
    </row>
    <row r="81" spans="1:4" ht="20.100000000000001" customHeight="1" x14ac:dyDescent="0.25">
      <c r="A81"/>
      <c r="D81" s="84"/>
    </row>
    <row r="82" spans="1:4" ht="20.100000000000001" customHeight="1" x14ac:dyDescent="0.25">
      <c r="A82"/>
      <c r="D82" s="84"/>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78"/>
  <sheetViews>
    <sheetView showGridLines="0" topLeftCell="A39"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4" width="79" style="1" customWidth="1"/>
    <col min="5" max="9" width="30.7109375" style="1" customWidth="1"/>
    <col min="10" max="10" width="16.42578125" style="1" customWidth="1"/>
    <col min="11" max="13" width="30.7109375" style="1" customWidth="1"/>
    <col min="14" max="14" width="4.7109375" style="1" customWidth="1"/>
    <col min="15" max="16" width="4.7109375" style="56" customWidth="1"/>
    <col min="17" max="22" width="30.7109375" style="56" customWidth="1"/>
    <col min="23" max="23" width="4.7109375" style="56" customWidth="1"/>
  </cols>
  <sheetData>
    <row r="1" spans="1:23" s="65" customFormat="1" ht="30" customHeight="1" x14ac:dyDescent="0.35">
      <c r="A1" s="65" t="e" vm="1">
        <v>#VALUE!</v>
      </c>
      <c r="C1" s="65" t="s">
        <v>145</v>
      </c>
      <c r="O1" s="56"/>
      <c r="P1" s="56"/>
      <c r="Q1" s="56"/>
      <c r="R1" s="56"/>
      <c r="S1" s="56"/>
      <c r="T1" s="56"/>
      <c r="U1" s="56"/>
      <c r="V1" s="56"/>
      <c r="W1" s="56"/>
    </row>
    <row r="2" spans="1:23" s="9" customFormat="1" ht="20.100000000000001" customHeight="1" x14ac:dyDescent="0.25">
      <c r="A2"/>
      <c r="O2" s="56"/>
      <c r="P2" s="56"/>
      <c r="Q2" s="56"/>
      <c r="R2" s="56"/>
      <c r="S2" s="56"/>
      <c r="T2" s="56"/>
      <c r="U2" s="56"/>
      <c r="V2" s="56"/>
      <c r="W2" s="56"/>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92</v>
      </c>
      <c r="N5" s="3"/>
      <c r="R5" s="7"/>
    </row>
    <row r="6" spans="1:23" ht="20.100000000000001" customHeight="1" x14ac:dyDescent="0.25">
      <c r="N6" s="3"/>
      <c r="R6" s="7"/>
    </row>
    <row r="7" spans="1:23" ht="20.100000000000001" customHeight="1" x14ac:dyDescent="0.25">
      <c r="D7" s="1" t="s">
        <v>123</v>
      </c>
      <c r="E7" s="41" t="s">
        <v>159</v>
      </c>
      <c r="F7" s="2" t="s">
        <v>7</v>
      </c>
      <c r="N7" s="3"/>
      <c r="R7" s="7"/>
    </row>
    <row r="8" spans="1:23" ht="20.100000000000001" customHeight="1" x14ac:dyDescent="0.25">
      <c r="A8" s="19" t="s">
        <v>0</v>
      </c>
      <c r="N8" s="3"/>
      <c r="R8" s="7"/>
    </row>
    <row r="9" spans="1:23" ht="20.100000000000001" customHeight="1" x14ac:dyDescent="0.25">
      <c r="A9" s="17" t="str">
        <f>HYPERLINK("#'Input - Site'!A1", "Site")</f>
        <v>Site</v>
      </c>
      <c r="D9" s="62"/>
      <c r="E9" s="40" t="s">
        <v>124</v>
      </c>
      <c r="F9" s="40" t="s">
        <v>141</v>
      </c>
      <c r="G9" s="40" t="s">
        <v>142</v>
      </c>
      <c r="H9" s="40" t="s">
        <v>143</v>
      </c>
      <c r="I9" s="40" t="s">
        <v>144</v>
      </c>
      <c r="R9" s="7"/>
    </row>
    <row r="10" spans="1:23" ht="20.100000000000001" customHeight="1" x14ac:dyDescent="0.25">
      <c r="A10" s="20" t="str">
        <f>HYPERLINK("#'Input - Dairy'!A1", "Dairy")</f>
        <v>Dairy</v>
      </c>
      <c r="D10" s="1" t="str">
        <f>"Average number of head between " &amp; TEXT('Input - Site'!$E$12, "dd mmm yy") &amp; " and " &amp; TEXT('Input - Site'!$E$13, "dd mmm yy")</f>
        <v>Average number of head between 01 Jan 25 and 31 Dec 25</v>
      </c>
      <c r="E10" s="98">
        <v>100</v>
      </c>
      <c r="F10" s="98">
        <v>100</v>
      </c>
      <c r="G10" s="98">
        <v>100</v>
      </c>
      <c r="H10" s="98">
        <v>100</v>
      </c>
      <c r="I10" s="98">
        <v>100</v>
      </c>
      <c r="J10" s="2" t="s">
        <v>94</v>
      </c>
      <c r="K10" s="2"/>
      <c r="L10" s="2"/>
      <c r="M10" s="2"/>
      <c r="R10" s="7"/>
    </row>
    <row r="11" spans="1:23" ht="20.100000000000001" customHeight="1" x14ac:dyDescent="0.25">
      <c r="R11" s="7"/>
    </row>
    <row r="12" spans="1:23" ht="20.100000000000001" customHeight="1" x14ac:dyDescent="0.25">
      <c r="D12" s="48" t="s">
        <v>156</v>
      </c>
      <c r="R12" s="7"/>
    </row>
    <row r="13" spans="1:23" ht="20.100000000000001" customHeight="1" x14ac:dyDescent="0.25">
      <c r="A13" s="18" t="s">
        <v>69</v>
      </c>
      <c r="D13" s="62" t="s">
        <v>154</v>
      </c>
      <c r="E13" s="40" t="s">
        <v>124</v>
      </c>
      <c r="F13" s="40" t="s">
        <v>141</v>
      </c>
      <c r="G13" s="40" t="s">
        <v>142</v>
      </c>
      <c r="H13" s="40" t="s">
        <v>143</v>
      </c>
      <c r="I13" s="40" t="s">
        <v>144</v>
      </c>
      <c r="R13" s="39"/>
    </row>
    <row r="14" spans="1:23" ht="20.100000000000001" customHeight="1" x14ac:dyDescent="0.25">
      <c r="A14" s="17" t="str">
        <f>HYPERLINK("#'3.3.1.1-2 Enteric Methane'!A1", "3.3.1.1-2 Enteric Methane")</f>
        <v>3.3.1.1-2 Enteric Methane</v>
      </c>
      <c r="D14" s="1" t="s">
        <v>157</v>
      </c>
      <c r="E14" s="52">
        <v>550</v>
      </c>
      <c r="F14" s="52">
        <v>380</v>
      </c>
      <c r="G14" s="52">
        <v>155</v>
      </c>
      <c r="H14" s="52">
        <v>600</v>
      </c>
      <c r="I14" s="52">
        <v>225</v>
      </c>
      <c r="J14" s="2" t="s">
        <v>146</v>
      </c>
      <c r="K14" s="2"/>
      <c r="L14" s="2"/>
      <c r="M14" s="2"/>
      <c r="R14" s="39"/>
    </row>
    <row r="15" spans="1:23" ht="20.100000000000001" customHeight="1" x14ac:dyDescent="0.25">
      <c r="D15" s="1" t="s">
        <v>158</v>
      </c>
      <c r="E15" s="52">
        <v>1.6E-2</v>
      </c>
      <c r="F15" s="52">
        <v>0.6</v>
      </c>
      <c r="G15" s="52">
        <v>0.56999999999999995</v>
      </c>
      <c r="H15" s="52">
        <v>0.1</v>
      </c>
      <c r="I15" s="52">
        <v>0.8</v>
      </c>
      <c r="J15" s="2" t="s">
        <v>147</v>
      </c>
      <c r="K15" s="2"/>
      <c r="L15" s="2"/>
      <c r="M15" s="2"/>
      <c r="R15" s="39"/>
    </row>
    <row r="16" spans="1:23" ht="20.100000000000001" customHeight="1" x14ac:dyDescent="0.25">
      <c r="R16" s="39"/>
    </row>
    <row r="17" spans="1:18" ht="20.100000000000001" customHeight="1" x14ac:dyDescent="0.25">
      <c r="A17" s="129" t="s">
        <v>1</v>
      </c>
      <c r="D17" s="62" t="s">
        <v>153</v>
      </c>
      <c r="E17" s="40" t="s">
        <v>124</v>
      </c>
      <c r="F17" s="40" t="s">
        <v>141</v>
      </c>
      <c r="G17" s="40" t="s">
        <v>142</v>
      </c>
      <c r="H17" s="40" t="s">
        <v>143</v>
      </c>
      <c r="I17" s="40" t="s">
        <v>144</v>
      </c>
      <c r="R17" s="7"/>
    </row>
    <row r="18" spans="1:18" ht="20.100000000000001" customHeight="1" x14ac:dyDescent="0.25">
      <c r="A18" s="17" t="str">
        <f>HYPERLINK("#'Constants - Dairy'!A1", "Constants - Dairy")</f>
        <v>Constants - Dairy</v>
      </c>
      <c r="D18" s="1" t="s">
        <v>157</v>
      </c>
      <c r="E18" s="64">
        <v>550</v>
      </c>
      <c r="F18" s="64">
        <v>380</v>
      </c>
      <c r="G18" s="64">
        <v>155</v>
      </c>
      <c r="H18" s="64">
        <v>600</v>
      </c>
      <c r="I18" s="64">
        <v>225</v>
      </c>
      <c r="J18" s="2" t="s">
        <v>146</v>
      </c>
      <c r="K18" s="2"/>
      <c r="L18" s="2"/>
      <c r="M18" s="2"/>
      <c r="R18" s="7"/>
    </row>
    <row r="19" spans="1:18" ht="20.100000000000001" customHeight="1" x14ac:dyDescent="0.25">
      <c r="A19" s="17" t="str">
        <f>HYPERLINK("#'Constants - Common'!A1", "Constants - Common")</f>
        <v>Constants - Common</v>
      </c>
      <c r="D19" s="1" t="s">
        <v>158</v>
      </c>
      <c r="E19" s="64">
        <v>1.6E-2</v>
      </c>
      <c r="F19" s="64">
        <v>0.6</v>
      </c>
      <c r="G19" s="64">
        <v>0.56999999999999995</v>
      </c>
      <c r="H19" s="64">
        <v>0.1</v>
      </c>
      <c r="I19" s="64">
        <v>0.8</v>
      </c>
      <c r="J19" s="2" t="s">
        <v>147</v>
      </c>
      <c r="K19" s="2"/>
      <c r="L19" s="2"/>
      <c r="M19" s="2"/>
      <c r="R19" s="7"/>
    </row>
    <row r="20" spans="1:18" ht="20.100000000000001" customHeight="1" x14ac:dyDescent="0.25">
      <c r="A20" s="17" t="str">
        <f>HYPERLINK("#'Constants - Livestock'!A1", "Constants - Livestock")</f>
        <v>Constants - Livestock</v>
      </c>
      <c r="R20" s="7"/>
    </row>
    <row r="21" spans="1:18" ht="20.100000000000001" customHeight="1" x14ac:dyDescent="0.25">
      <c r="A21" s="17" t="str">
        <f>HYPERLINK("#'Acknowledgements'!A1", "Acknowledgements")</f>
        <v>Acknowledgements</v>
      </c>
      <c r="D21" s="48" t="s">
        <v>93</v>
      </c>
      <c r="R21" s="7"/>
    </row>
    <row r="22" spans="1:18" ht="20.100000000000001" customHeight="1" x14ac:dyDescent="0.25">
      <c r="R22" s="7"/>
    </row>
    <row r="23" spans="1:18" ht="20.100000000000001" customHeight="1" x14ac:dyDescent="0.25">
      <c r="D23" s="62" t="s">
        <v>154</v>
      </c>
      <c r="E23" s="40" t="s">
        <v>124</v>
      </c>
      <c r="F23" s="40" t="s">
        <v>141</v>
      </c>
      <c r="G23" s="40" t="s">
        <v>142</v>
      </c>
      <c r="H23" s="40" t="s">
        <v>143</v>
      </c>
      <c r="I23" s="40" t="s">
        <v>144</v>
      </c>
      <c r="R23" s="7"/>
    </row>
    <row r="24" spans="1:18" ht="20.100000000000001" customHeight="1" x14ac:dyDescent="0.25">
      <c r="D24" s="1" t="str">
        <f>"Average duration of stay between " &amp; TEXT('Input - Site'!$E$12, "dd mmm yy") &amp; " and " &amp; TEXT('Input - Site'!$E$13, "dd mmm yy") &amp; " weaned livestock"</f>
        <v>Average duration of stay between 01 Jan 25 and 31 Dec 25 weaned livestock</v>
      </c>
      <c r="E24" s="52">
        <v>365</v>
      </c>
      <c r="F24" s="52">
        <v>365</v>
      </c>
      <c r="G24" s="52">
        <v>281</v>
      </c>
      <c r="H24" s="52">
        <v>365</v>
      </c>
      <c r="I24" s="52">
        <v>281</v>
      </c>
      <c r="J24" s="2" t="s">
        <v>50</v>
      </c>
      <c r="K24" s="2"/>
      <c r="L24" s="2"/>
      <c r="M24" s="2"/>
      <c r="R24" s="7"/>
    </row>
    <row r="25" spans="1:18" ht="20.100000000000001" customHeight="1" x14ac:dyDescent="0.25">
      <c r="D25" s="1" t="str">
        <f>"Average duration of stay between " &amp; TEXT('Input - Site'!$E$12, "dd mmm yy") &amp; " and " &amp; TEXT('Input - Site'!$E$13, "dd mmm yy") &amp; " pre-weaned livestock"</f>
        <v>Average duration of stay between 01 Jan 25 and 31 Dec 25 pre-weaned livestock</v>
      </c>
      <c r="E25" s="52">
        <v>0</v>
      </c>
      <c r="F25" s="52">
        <v>0</v>
      </c>
      <c r="G25" s="52">
        <v>84</v>
      </c>
      <c r="H25" s="52">
        <v>0</v>
      </c>
      <c r="I25" s="52">
        <v>84</v>
      </c>
      <c r="J25" s="2" t="s">
        <v>50</v>
      </c>
      <c r="K25" s="2"/>
      <c r="L25" s="2"/>
      <c r="M25" s="2"/>
      <c r="R25" s="7"/>
    </row>
    <row r="26" spans="1:18" ht="20.100000000000001" customHeight="1" x14ac:dyDescent="0.25">
      <c r="R26" s="7"/>
    </row>
    <row r="27" spans="1:18" ht="20.100000000000001" customHeight="1" x14ac:dyDescent="0.25">
      <c r="D27" s="62" t="s">
        <v>153</v>
      </c>
      <c r="E27" s="40" t="s">
        <v>124</v>
      </c>
      <c r="F27" s="40" t="s">
        <v>141</v>
      </c>
      <c r="G27" s="40" t="s">
        <v>142</v>
      </c>
      <c r="H27" s="40" t="s">
        <v>143</v>
      </c>
      <c r="I27" s="40" t="s">
        <v>144</v>
      </c>
      <c r="R27" s="7"/>
    </row>
    <row r="28" spans="1:18" ht="20.100000000000001" customHeight="1" x14ac:dyDescent="0.25">
      <c r="D28" s="1" t="str">
        <f>"Average duration of stay between " &amp; TEXT('Input - Site'!$E$12, "dd mmm yy") &amp; " and " &amp; TEXT('Input - Site'!$E$13, "dd mmm yy") &amp; " weaned livestock"</f>
        <v>Average duration of stay between 01 Jan 25 and 31 Dec 25 weaned livestock</v>
      </c>
      <c r="E28" s="64">
        <v>365</v>
      </c>
      <c r="F28" s="64">
        <v>365</v>
      </c>
      <c r="G28" s="64">
        <v>281</v>
      </c>
      <c r="H28" s="64">
        <v>365</v>
      </c>
      <c r="I28" s="64">
        <v>281</v>
      </c>
      <c r="J28" s="2" t="s">
        <v>50</v>
      </c>
      <c r="K28" s="2"/>
      <c r="L28" s="2"/>
      <c r="M28" s="2"/>
      <c r="R28" s="7"/>
    </row>
    <row r="29" spans="1:18" ht="20.100000000000001" customHeight="1" x14ac:dyDescent="0.25">
      <c r="D29" s="1" t="str">
        <f>"Average duration of stay between " &amp; TEXT('Input - Site'!$E$12, "dd mmm yy") &amp; " and " &amp; TEXT('Input - Site'!$E$13, "dd mmm yy") &amp; " pre-weaned livestock"</f>
        <v>Average duration of stay between 01 Jan 25 and 31 Dec 25 pre-weaned livestock</v>
      </c>
      <c r="E29" s="52">
        <v>0</v>
      </c>
      <c r="F29" s="52">
        <v>0</v>
      </c>
      <c r="G29" s="52">
        <v>84</v>
      </c>
      <c r="H29" s="52">
        <v>0</v>
      </c>
      <c r="I29" s="52">
        <v>84</v>
      </c>
      <c r="J29" s="2" t="s">
        <v>50</v>
      </c>
      <c r="K29" s="2"/>
      <c r="L29" s="2"/>
      <c r="M29" s="2"/>
      <c r="R29" s="7"/>
    </row>
    <row r="30" spans="1:18" ht="20.100000000000001" customHeight="1" x14ac:dyDescent="0.25">
      <c r="R30" s="7"/>
    </row>
    <row r="31" spans="1:18" ht="20.100000000000001" customHeight="1" x14ac:dyDescent="0.25">
      <c r="R31" s="7"/>
    </row>
    <row r="32" spans="1:18" ht="20.100000000000001" customHeight="1" x14ac:dyDescent="0.25">
      <c r="C32" s="46"/>
      <c r="D32" s="46"/>
      <c r="E32" s="46"/>
      <c r="F32" s="46"/>
      <c r="G32" s="46"/>
      <c r="H32" s="46"/>
      <c r="I32" s="46"/>
      <c r="J32" s="46"/>
      <c r="K32" s="46"/>
      <c r="L32" s="46"/>
      <c r="M32" s="46"/>
      <c r="N32" s="46"/>
      <c r="R32" s="7"/>
    </row>
    <row r="33" spans="3:18" ht="20.100000000000001" customHeight="1" x14ac:dyDescent="0.25">
      <c r="D33" s="6" t="s">
        <v>155</v>
      </c>
      <c r="R33" s="7"/>
    </row>
    <row r="34" spans="3:18" ht="20.100000000000001" customHeight="1" x14ac:dyDescent="0.25">
      <c r="D34" s="48"/>
      <c r="R34" s="7"/>
    </row>
    <row r="35" spans="3:18" ht="20.100000000000001" customHeight="1" x14ac:dyDescent="0.25">
      <c r="D35" s="62" t="s">
        <v>154</v>
      </c>
      <c r="E35" s="40" t="s">
        <v>124</v>
      </c>
      <c r="F35" s="40" t="s">
        <v>141</v>
      </c>
      <c r="G35" s="40" t="s">
        <v>142</v>
      </c>
      <c r="H35" s="40" t="s">
        <v>143</v>
      </c>
      <c r="I35" s="40" t="s">
        <v>144</v>
      </c>
      <c r="R35" s="7"/>
    </row>
    <row r="36" spans="3:18" ht="20.100000000000001" customHeight="1" x14ac:dyDescent="0.25">
      <c r="D36" s="1" t="s">
        <v>14</v>
      </c>
      <c r="E36" s="52">
        <v>0.75</v>
      </c>
      <c r="F36" s="52">
        <v>0.75</v>
      </c>
      <c r="G36" s="52">
        <v>0.75</v>
      </c>
      <c r="H36" s="52">
        <v>0.75</v>
      </c>
      <c r="I36" s="52">
        <v>0.75</v>
      </c>
      <c r="J36" s="2" t="s">
        <v>90</v>
      </c>
      <c r="K36" s="2"/>
      <c r="L36" s="2"/>
      <c r="M36" s="2"/>
      <c r="R36" s="7"/>
    </row>
    <row r="37" spans="3:18" ht="20.100000000000001" customHeight="1" x14ac:dyDescent="0.25">
      <c r="D37" s="1" t="s">
        <v>97</v>
      </c>
      <c r="E37" s="52">
        <v>0.2</v>
      </c>
      <c r="F37" s="52">
        <v>0.2</v>
      </c>
      <c r="G37" s="52">
        <v>0.2</v>
      </c>
      <c r="H37" s="52">
        <v>0.2</v>
      </c>
      <c r="I37" s="52">
        <v>0.2</v>
      </c>
      <c r="J37" s="2" t="s">
        <v>90</v>
      </c>
      <c r="K37" s="2"/>
      <c r="L37" s="2"/>
      <c r="M37" s="2"/>
      <c r="R37" s="7"/>
    </row>
    <row r="38" spans="3:18" ht="20.100000000000001" customHeight="1" x14ac:dyDescent="0.25">
      <c r="K38" s="2"/>
      <c r="L38" s="2"/>
      <c r="M38" s="2"/>
      <c r="R38" s="7"/>
    </row>
    <row r="39" spans="3:18" ht="20.100000000000001" customHeight="1" x14ac:dyDescent="0.25">
      <c r="D39" s="62" t="s">
        <v>153</v>
      </c>
      <c r="E39" s="40" t="s">
        <v>124</v>
      </c>
      <c r="F39" s="40" t="s">
        <v>141</v>
      </c>
      <c r="G39" s="40" t="s">
        <v>142</v>
      </c>
      <c r="H39" s="40" t="s">
        <v>143</v>
      </c>
      <c r="I39" s="40" t="s">
        <v>144</v>
      </c>
      <c r="R39" s="7"/>
    </row>
    <row r="40" spans="3:18" ht="20.100000000000001" customHeight="1" x14ac:dyDescent="0.25">
      <c r="D40" s="1" t="s">
        <v>14</v>
      </c>
      <c r="E40" s="64">
        <v>0.75</v>
      </c>
      <c r="F40" s="64">
        <v>0.75</v>
      </c>
      <c r="G40" s="64">
        <v>0.75</v>
      </c>
      <c r="H40" s="64">
        <v>0.75</v>
      </c>
      <c r="I40" s="64">
        <v>0.75</v>
      </c>
      <c r="J40" s="2" t="s">
        <v>90</v>
      </c>
      <c r="K40" s="2"/>
      <c r="R40" s="7"/>
    </row>
    <row r="41" spans="3:18" ht="20.100000000000001" customHeight="1" x14ac:dyDescent="0.25">
      <c r="D41" s="1" t="s">
        <v>97</v>
      </c>
      <c r="E41" s="64">
        <v>0.2</v>
      </c>
      <c r="F41" s="64">
        <v>0.2</v>
      </c>
      <c r="G41" s="64">
        <v>0.2</v>
      </c>
      <c r="H41" s="64">
        <v>0.2</v>
      </c>
      <c r="I41" s="64">
        <v>0.2</v>
      </c>
      <c r="J41" s="2" t="s">
        <v>90</v>
      </c>
      <c r="K41" s="2"/>
      <c r="L41" s="2"/>
      <c r="M41" s="2"/>
      <c r="R41" s="7"/>
    </row>
    <row r="42" spans="3:18" ht="20.100000000000001" customHeight="1" x14ac:dyDescent="0.25">
      <c r="K42" s="2"/>
      <c r="L42" s="2"/>
      <c r="M42" s="2"/>
      <c r="R42" s="7"/>
    </row>
    <row r="43" spans="3:18" ht="20.100000000000001" customHeight="1" x14ac:dyDescent="0.25">
      <c r="L43" s="2"/>
      <c r="M43" s="2"/>
      <c r="R43" s="7"/>
    </row>
    <row r="44" spans="3:18" ht="20.100000000000001" customHeight="1" x14ac:dyDescent="0.25">
      <c r="R44" s="7"/>
    </row>
    <row r="45" spans="3:18" ht="20.100000000000001" customHeight="1" x14ac:dyDescent="0.25">
      <c r="R45" s="7"/>
    </row>
    <row r="46" spans="3:18" ht="20.100000000000001" customHeight="1" x14ac:dyDescent="0.25">
      <c r="C46" s="46"/>
      <c r="D46" s="46"/>
      <c r="E46" s="46"/>
      <c r="F46" s="46"/>
      <c r="G46" s="46"/>
      <c r="H46" s="46"/>
      <c r="I46" s="46"/>
      <c r="J46" s="46"/>
      <c r="K46" s="46"/>
      <c r="L46" s="46"/>
      <c r="M46" s="46"/>
      <c r="N46" s="46"/>
      <c r="R46" s="7"/>
    </row>
    <row r="47" spans="3:18" ht="20.100000000000001" customHeight="1" x14ac:dyDescent="0.25">
      <c r="D47" s="6" t="s">
        <v>148</v>
      </c>
      <c r="E47" s="3"/>
      <c r="F47" s="3"/>
      <c r="G47" s="3"/>
      <c r="H47" s="3"/>
      <c r="I47" s="3"/>
      <c r="J47" s="3"/>
      <c r="K47" s="3"/>
      <c r="L47" s="3"/>
      <c r="M47" s="3"/>
      <c r="R47" s="7"/>
    </row>
    <row r="48" spans="3:18" ht="20.100000000000001" customHeight="1" x14ac:dyDescent="0.25">
      <c r="G48" s="6"/>
      <c r="H48" s="6"/>
      <c r="I48" s="6"/>
      <c r="J48" s="113"/>
      <c r="K48" s="113"/>
      <c r="L48" s="113"/>
      <c r="M48" s="113"/>
      <c r="R48" s="7"/>
    </row>
    <row r="49" spans="4:18" ht="20.100000000000001" customHeight="1" x14ac:dyDescent="0.25">
      <c r="D49" s="1" t="s">
        <v>232</v>
      </c>
      <c r="E49" s="41" t="s">
        <v>245</v>
      </c>
      <c r="F49" s="2" t="s">
        <v>7</v>
      </c>
      <c r="H49" s="3"/>
      <c r="I49" s="3"/>
      <c r="J49" s="3"/>
      <c r="K49" s="3"/>
      <c r="L49" s="3"/>
      <c r="M49" s="3"/>
      <c r="R49" s="7"/>
    </row>
    <row r="50" spans="4:18" ht="20.100000000000001" customHeight="1" x14ac:dyDescent="0.25">
      <c r="R50" s="7"/>
    </row>
    <row r="51" spans="4:18" ht="20.100000000000001" customHeight="1" x14ac:dyDescent="0.25">
      <c r="E51" s="40" t="s">
        <v>124</v>
      </c>
      <c r="R51" s="7"/>
    </row>
    <row r="52" spans="4:18" ht="20.100000000000001" customHeight="1" x14ac:dyDescent="0.25">
      <c r="D52" s="1" t="s">
        <v>149</v>
      </c>
      <c r="E52" s="64">
        <v>20</v>
      </c>
      <c r="F52" s="2" t="str">
        <f>IF(E49="Litres of milk", "litres/head/day", "kg milk solids/head/day")</f>
        <v>litres/head/day</v>
      </c>
      <c r="R52" s="7"/>
    </row>
    <row r="53" spans="4:18" ht="20.100000000000001" customHeight="1" x14ac:dyDescent="0.25">
      <c r="E53" s="6"/>
      <c r="F53" s="6"/>
      <c r="R53" s="7"/>
    </row>
    <row r="54" spans="4:18" ht="20.100000000000001" customHeight="1" x14ac:dyDescent="0.25">
      <c r="D54" s="53" t="s">
        <v>242</v>
      </c>
      <c r="E54" s="40" t="s">
        <v>239</v>
      </c>
      <c r="F54" s="40" t="s">
        <v>240</v>
      </c>
      <c r="R54" s="7"/>
    </row>
    <row r="55" spans="4:18" ht="20.100000000000001" customHeight="1" x14ac:dyDescent="0.25">
      <c r="D55" s="1" t="s">
        <v>237</v>
      </c>
      <c r="E55" s="120">
        <v>0.04</v>
      </c>
      <c r="F55" s="128">
        <v>0.04</v>
      </c>
      <c r="G55" s="2" t="s">
        <v>241</v>
      </c>
      <c r="R55" s="7"/>
    </row>
    <row r="56" spans="4:18" ht="20.100000000000001" customHeight="1" x14ac:dyDescent="0.25">
      <c r="D56" s="1" t="s">
        <v>238</v>
      </c>
      <c r="E56" s="120">
        <v>3.3000000000000002E-2</v>
      </c>
      <c r="F56" s="128">
        <v>3.3000000000000002E-2</v>
      </c>
      <c r="G56" s="2" t="s">
        <v>241</v>
      </c>
      <c r="R56" s="7"/>
    </row>
    <row r="57" spans="4:18" ht="20.100000000000001" customHeight="1" x14ac:dyDescent="0.25">
      <c r="R57" s="7"/>
    </row>
    <row r="58" spans="4:18" ht="20.100000000000001" customHeight="1" x14ac:dyDescent="0.25">
      <c r="R58" s="7"/>
    </row>
    <row r="59" spans="4:18" ht="20.100000000000001" customHeight="1" x14ac:dyDescent="0.25">
      <c r="R59" s="7"/>
    </row>
    <row r="60" spans="4:18" ht="20.100000000000001" customHeight="1" x14ac:dyDescent="0.25">
      <c r="R60" s="7"/>
    </row>
    <row r="61" spans="4:18" ht="20.100000000000001" customHeight="1" x14ac:dyDescent="0.25">
      <c r="R61" s="7"/>
    </row>
    <row r="62" spans="4:18" ht="20.100000000000001" customHeight="1" x14ac:dyDescent="0.25">
      <c r="R62" s="7"/>
    </row>
    <row r="63" spans="4:18" ht="20.100000000000001" customHeight="1" x14ac:dyDescent="0.25">
      <c r="R63" s="7"/>
    </row>
    <row r="64" spans="4:18" ht="20.100000000000001" customHeight="1" x14ac:dyDescent="0.25">
      <c r="R64" s="7"/>
    </row>
    <row r="65" spans="18:18" ht="20.100000000000001" customHeight="1" x14ac:dyDescent="0.25"/>
    <row r="66" spans="18:18" ht="20.100000000000001" customHeight="1" x14ac:dyDescent="0.25"/>
    <row r="67" spans="18:18" ht="20.100000000000001" customHeight="1" x14ac:dyDescent="0.25"/>
    <row r="68" spans="18:18" ht="20.100000000000001" customHeight="1" x14ac:dyDescent="0.25"/>
    <row r="69" spans="18:18" ht="20.100000000000001" customHeight="1" x14ac:dyDescent="0.25"/>
    <row r="70" spans="18:18" ht="20.100000000000001" customHeight="1" x14ac:dyDescent="0.25"/>
    <row r="71" spans="18:18" ht="20.100000000000001" customHeight="1" x14ac:dyDescent="0.25"/>
    <row r="72" spans="18:18" ht="20.100000000000001" customHeight="1" x14ac:dyDescent="0.25"/>
    <row r="73" spans="18:18" ht="20.100000000000001" customHeight="1" x14ac:dyDescent="0.25"/>
    <row r="74" spans="18:18" ht="20.100000000000001" customHeight="1" x14ac:dyDescent="0.25"/>
    <row r="75" spans="18:18" ht="20.100000000000001" customHeight="1" x14ac:dyDescent="0.25"/>
    <row r="76" spans="18:18" ht="20.100000000000001" customHeight="1" x14ac:dyDescent="0.25"/>
    <row r="77" spans="18:18" ht="20.100000000000001" customHeight="1" x14ac:dyDescent="0.25"/>
    <row r="78" spans="18:18" ht="20.100000000000001" customHeight="1" x14ac:dyDescent="0.25"/>
    <row r="79" spans="18:18" ht="20.100000000000001" customHeight="1" x14ac:dyDescent="0.25"/>
    <row r="80" spans="18:18" ht="20.100000000000001" customHeight="1" x14ac:dyDescent="0.25">
      <c r="R80" s="7"/>
    </row>
    <row r="81" spans="18:18" ht="20.100000000000001" customHeight="1" x14ac:dyDescent="0.25">
      <c r="R81" s="7"/>
    </row>
    <row r="82" spans="18:18" ht="20.100000000000001" customHeight="1" x14ac:dyDescent="0.25">
      <c r="R82" s="7"/>
    </row>
    <row r="83" spans="18:18" ht="20.100000000000001" customHeight="1" x14ac:dyDescent="0.25">
      <c r="R83" s="7"/>
    </row>
    <row r="84" spans="18:18" ht="20.100000000000001" customHeight="1" x14ac:dyDescent="0.25">
      <c r="R84" s="7"/>
    </row>
    <row r="85" spans="18:18" ht="20.100000000000001" customHeight="1" x14ac:dyDescent="0.25">
      <c r="R85" s="7"/>
    </row>
    <row r="86" spans="18:18" ht="20.100000000000001" customHeight="1" x14ac:dyDescent="0.25">
      <c r="R86" s="7"/>
    </row>
    <row r="87" spans="18:18" ht="20.100000000000001" customHeight="1" x14ac:dyDescent="0.25">
      <c r="R87" s="7"/>
    </row>
    <row r="88" spans="18:18" ht="20.100000000000001" customHeight="1" x14ac:dyDescent="0.25">
      <c r="R88" s="7"/>
    </row>
    <row r="89" spans="18:18" ht="20.100000000000001" customHeight="1" x14ac:dyDescent="0.25">
      <c r="R89" s="7"/>
    </row>
    <row r="90" spans="18:18" ht="20.100000000000001" customHeight="1" x14ac:dyDescent="0.25">
      <c r="R90" s="7"/>
    </row>
    <row r="91" spans="18:18" ht="20.100000000000001" customHeight="1" x14ac:dyDescent="0.25">
      <c r="R91" s="7"/>
    </row>
    <row r="92" spans="18:18" ht="20.100000000000001" customHeight="1" x14ac:dyDescent="0.25">
      <c r="R92" s="7"/>
    </row>
    <row r="93" spans="18:18" ht="20.100000000000001" customHeight="1" x14ac:dyDescent="0.25">
      <c r="R93" s="7"/>
    </row>
    <row r="94" spans="18:18" ht="20.100000000000001" customHeight="1" x14ac:dyDescent="0.25">
      <c r="R94" s="7"/>
    </row>
    <row r="95" spans="18:18" ht="20.100000000000001" customHeight="1" x14ac:dyDescent="0.25">
      <c r="R95" s="7"/>
    </row>
    <row r="96" spans="18:18" ht="20.100000000000001" customHeight="1" x14ac:dyDescent="0.25">
      <c r="R96" s="7"/>
    </row>
    <row r="97" spans="18:18" ht="20.100000000000001" customHeight="1" x14ac:dyDescent="0.25">
      <c r="R97" s="7"/>
    </row>
    <row r="98" spans="18:18" ht="20.100000000000001" customHeight="1" x14ac:dyDescent="0.25">
      <c r="R98" s="7"/>
    </row>
    <row r="99" spans="18:18" ht="20.100000000000001" customHeight="1" x14ac:dyDescent="0.25">
      <c r="R99" s="7"/>
    </row>
    <row r="100" spans="18:18" ht="20.100000000000001" customHeight="1" x14ac:dyDescent="0.25">
      <c r="R100" s="7"/>
    </row>
    <row r="101" spans="18:18" ht="20.100000000000001" customHeight="1" x14ac:dyDescent="0.25">
      <c r="R101" s="7"/>
    </row>
    <row r="102" spans="18:18" ht="20.100000000000001" customHeight="1" x14ac:dyDescent="0.25">
      <c r="R102" s="7"/>
    </row>
    <row r="103" spans="18:18" ht="20.100000000000001" customHeight="1" x14ac:dyDescent="0.25">
      <c r="R103" s="7"/>
    </row>
    <row r="104" spans="18:18" ht="20.100000000000001" customHeight="1" x14ac:dyDescent="0.25">
      <c r="R104" s="7"/>
    </row>
    <row r="105" spans="18:18" ht="20.100000000000001" customHeight="1" x14ac:dyDescent="0.25">
      <c r="R105" s="7"/>
    </row>
    <row r="106" spans="18:18" ht="20.100000000000001" customHeight="1" x14ac:dyDescent="0.25">
      <c r="R106" s="7"/>
    </row>
    <row r="107" spans="18:18" ht="20.100000000000001" customHeight="1" x14ac:dyDescent="0.25"/>
    <row r="108" spans="18:18" ht="20.100000000000001" customHeight="1" x14ac:dyDescent="0.25"/>
    <row r="109" spans="18:18" ht="20.100000000000001" customHeight="1" x14ac:dyDescent="0.25"/>
    <row r="110" spans="18:18" ht="20.100000000000001" customHeight="1" x14ac:dyDescent="0.25"/>
    <row r="111" spans="18:18" ht="20.100000000000001" customHeight="1" x14ac:dyDescent="0.25"/>
    <row r="112" spans="18:18" ht="20.100000000000001" customHeight="1" x14ac:dyDescent="0.25"/>
    <row r="113" spans="11:13" ht="20.100000000000001" customHeight="1" x14ac:dyDescent="0.25"/>
    <row r="114" spans="11:13" ht="20.100000000000001" customHeight="1" x14ac:dyDescent="0.25"/>
    <row r="115" spans="11:13" ht="20.100000000000001" customHeight="1" x14ac:dyDescent="0.25"/>
    <row r="116" spans="11:13" ht="20.100000000000001" customHeight="1" x14ac:dyDescent="0.25"/>
    <row r="117" spans="11:13" ht="20.100000000000001" customHeight="1" x14ac:dyDescent="0.25"/>
    <row r="118" spans="11:13" ht="20.100000000000001" customHeight="1" x14ac:dyDescent="0.25"/>
    <row r="119" spans="11:13" ht="20.100000000000001" customHeight="1" x14ac:dyDescent="0.25"/>
    <row r="120" spans="11:13" ht="20.100000000000001" customHeight="1" x14ac:dyDescent="0.25"/>
    <row r="121" spans="11:13" ht="20.100000000000001" customHeight="1" x14ac:dyDescent="0.25"/>
    <row r="122" spans="11:13" ht="20.100000000000001" customHeight="1" x14ac:dyDescent="0.25"/>
    <row r="123" spans="11:13" ht="20.100000000000001" customHeight="1" x14ac:dyDescent="0.25">
      <c r="K123" s="2"/>
      <c r="L123" s="2"/>
      <c r="M123" s="2"/>
    </row>
    <row r="124" spans="11:13" ht="20.100000000000001" customHeight="1" x14ac:dyDescent="0.25"/>
    <row r="125" spans="11:13" ht="20.100000000000001" customHeight="1" x14ac:dyDescent="0.25"/>
    <row r="126" spans="11:13" ht="20.100000000000001" customHeight="1" x14ac:dyDescent="0.25"/>
    <row r="127" spans="11:13" ht="20.100000000000001" customHeight="1" x14ac:dyDescent="0.25"/>
    <row r="128" spans="11: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c r="L137" s="2"/>
      <c r="M137" s="2"/>
    </row>
    <row r="138" spans="12:13" ht="20.100000000000001" customHeight="1" x14ac:dyDescent="0.25">
      <c r="L138" s="2"/>
      <c r="M138" s="2"/>
    </row>
    <row r="139" spans="12:13" ht="20.100000000000001" customHeight="1" x14ac:dyDescent="0.25">
      <c r="L139" s="2"/>
      <c r="M139" s="2"/>
    </row>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E36:J37 K36:M38 E40:K41 L41:M43 K42 O43:P43 N44 J85:J90 K89:M89 K95:M95 F98 J101:J106 K105:M105 K110:M110 K114:M114 K123:M123">
    <cfRule type="cellIs" dxfId="6" priority="30" operator="lessThan">
      <formula>0</formula>
    </cfRule>
  </conditionalFormatting>
  <conditionalFormatting sqref="E14:M15">
    <cfRule type="cellIs" dxfId="5" priority="2" operator="lessThan">
      <formula>0</formula>
    </cfRule>
  </conditionalFormatting>
  <conditionalFormatting sqref="E18:M19">
    <cfRule type="cellIs" dxfId="4" priority="1" operator="lessThan">
      <formula>0</formula>
    </cfRule>
  </conditionalFormatting>
  <conditionalFormatting sqref="F87:F88">
    <cfRule type="cellIs" dxfId="3" priority="21" operator="lessThan">
      <formula>0</formula>
    </cfRule>
  </conditionalFormatting>
  <conditionalFormatting sqref="F91">
    <cfRule type="cellIs" dxfId="2" priority="20" operator="lessThan">
      <formula>0</formula>
    </cfRule>
  </conditionalFormatting>
  <conditionalFormatting sqref="K65:M67">
    <cfRule type="cellIs" dxfId="1" priority="24" operator="lessThan">
      <formula>0</formula>
    </cfRule>
  </conditionalFormatting>
  <conditionalFormatting sqref="K70:M72">
    <cfRule type="cellIs" dxfId="0" priority="23" operator="lessThan">
      <formula>0</formula>
    </cfRule>
  </conditionalFormatting>
  <dataValidations disablePrompts="1" count="6">
    <dataValidation type="list" allowBlank="1" showInputMessage="1" showErrorMessage="1" sqref="E109" xr:uid="{AF94BFC8-A9BD-4286-932B-111409BF1EB6}">
      <formula1>INDIRECT("Table_SourceData_Dairy_CropProdSystems[Production system]")</formula1>
    </dataValidation>
    <dataValidation type="list" allowBlank="1" showInputMessage="1" showErrorMessage="1" sqref="E110" xr:uid="{20E9D9A1-CABD-46A5-B149-02F06B30AA0E}">
      <formula1>INDIRECT("Table_SourceData_Dairy_IrrigationMethods[Irrigation method]")</formula1>
    </dataValidation>
    <dataValidation type="list" allowBlank="1" showInputMessage="1" showErrorMessage="1" sqref="E62" xr:uid="{9FB53635-991F-44AA-A123-E8ABEF9EE0A6}">
      <formula1>INDIRECT("Table_SourceData_Dairy_ProductionSystemTemplates[Area]")</formula1>
    </dataValidation>
    <dataValidation type="list" allowBlank="1" showInputMessage="1" showErrorMessage="1" sqref="E79:E81 E95:E97"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9" xr:uid="{2CEBE667-943C-46F8-889E-3F0627762496}">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275"/>
  <sheetViews>
    <sheetView showGridLines="0" topLeftCell="A24"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5" t="e" vm="1">
        <v>#VALUE!</v>
      </c>
      <c r="C1" s="8" t="s">
        <v>213</v>
      </c>
      <c r="K1"/>
    </row>
    <row r="2" spans="1:19" s="9" customFormat="1" ht="20.100000000000001" customHeight="1" x14ac:dyDescent="0.25">
      <c r="A2"/>
      <c r="K2"/>
    </row>
    <row r="3" spans="1:19" ht="20.100000000000001" customHeight="1" x14ac:dyDescent="0.25">
      <c r="A3" s="17" t="str">
        <f>HYPERLINK("#'Home'!A1", "Home")</f>
        <v>Home</v>
      </c>
      <c r="C3" s="4"/>
      <c r="D3" s="4" t="s">
        <v>100</v>
      </c>
      <c r="E3" s="4"/>
      <c r="F3" s="4"/>
      <c r="G3" s="4"/>
      <c r="H3" s="4"/>
      <c r="I3" s="4"/>
      <c r="J3" s="4"/>
      <c r="L3" s="4"/>
      <c r="M3" s="4" t="s">
        <v>101</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EntericMethane_Dairy_Equations.VEERG_3_3_1_1__6_MetabolisabilityOfDiet_Title()</f>
        <v>Metabolisability of diet</v>
      </c>
    </row>
    <row r="6" spans="1:19" ht="20.100000000000001" customHeight="1" x14ac:dyDescent="0.25">
      <c r="D6" s="55" t="str" cm="1">
        <f t="array" ref="D6">EntericMethane_Dairy_Equations.VEERG_3_3_1_1__6_MetabolisabilityOfDiet_Variation()</f>
        <v>VARIATION ON SOURCE: changed 0.795 to 0.00795 which is the value used in the National Inventory Report</v>
      </c>
    </row>
    <row r="7" spans="1:19" ht="20.100000000000001" customHeight="1" x14ac:dyDescent="0.25">
      <c r="D7" s="5" t="str" cm="1">
        <f t="array" ref="D7">EntericMethane_Dairy_Equations.VEERG_3_3_1_1__6_MetabolisabilityOfDiet_Source()</f>
        <v>VEERG 2026: 3.3.1.1, Equation (6)</v>
      </c>
    </row>
    <row r="8" spans="1:19" ht="20.100000000000001" customHeight="1" x14ac:dyDescent="0.25">
      <c r="A8" s="19" t="s">
        <v>0</v>
      </c>
      <c r="D8" s="13" t="s">
        <v>22</v>
      </c>
      <c r="E8" s="13" t="str" cm="1">
        <f t="array" aca="1" ref="E8" ca="1">Common_InputFunctions.Utility_DisplayFunctionName(D24)</f>
        <v>=EntericMethane_Dairy_Equations.VEERG_3_3_1_1__6_MetabolisabilityOfDietVariation</v>
      </c>
    </row>
    <row r="9" spans="1:19" ht="20.100000000000001" customHeight="1" x14ac:dyDescent="0.25">
      <c r="A9" s="17" t="str">
        <f>HYPERLINK("#'Input - Site'!A1", "Site")</f>
        <v>Site</v>
      </c>
    </row>
    <row r="10" spans="1:19" ht="20.100000000000001" customHeight="1" x14ac:dyDescent="0.25">
      <c r="A10" s="17" t="str">
        <f>HYPERLINK("#'Input - Dairy'!A1", "Dairy")</f>
        <v>Dairy</v>
      </c>
    </row>
    <row r="11" spans="1:19" ht="20.100000000000001" customHeight="1" x14ac:dyDescent="0.25">
      <c r="D11" s="53" t="s">
        <v>25</v>
      </c>
      <c r="E11" s="1" t="str" cm="1">
        <f t="array" ref="E11">EntericMethane_Dairy_Equations.VEERG_3_3_1_1__6_MetabolisabilityOfDiet_Variable()</f>
        <v>qm_j</v>
      </c>
    </row>
    <row r="12" spans="1:19" ht="20.100000000000001" customHeight="1" x14ac:dyDescent="0.25">
      <c r="D12" s="53" t="s">
        <v>15</v>
      </c>
      <c r="E12" s="54" t="str" cm="1">
        <f t="array" ref="E12">EntericMethane_Dairy_Equations.VEERG_3_3_1_1__6_MetabolisabilityOfDiet_Unit()</f>
        <v>fraction</v>
      </c>
    </row>
    <row r="13" spans="1:19" ht="20.100000000000001" customHeight="1" x14ac:dyDescent="0.25">
      <c r="A13" s="18" t="s">
        <v>69</v>
      </c>
    </row>
    <row r="14" spans="1:19" ht="20.100000000000001" customHeight="1" x14ac:dyDescent="0.25">
      <c r="A14" s="21" t="str">
        <f>HYPERLINK("#'3.3.1.1-2 Enteric Methane'!A1", "3.3.1.1-2 Enteric Methane")</f>
        <v>3.3.1.1-2 Enteric Methane</v>
      </c>
      <c r="D14" s="118" t="str" cm="1">
        <f t="array" ref="D14:E14">_xlfn.CHOOSECOLS(EntericMethane_Dairy_Equations.VEERG_3_3_1_1__6_MetabolisabilityOfDiet_Arguments(), 1,2)</f>
        <v>DMD_j</v>
      </c>
      <c r="E14" s="118" t="str">
        <v>dry matter digestibility expressed as a fraction</v>
      </c>
      <c r="F14" s="118"/>
      <c r="G14" s="118" t="str" cm="1">
        <f t="array" ref="G14:H14">_xlfn.CHOOSECOLS(EntericMethane_Dairy_Equations.VEERG_3_3_1_1__6_MetabolisabilityOfDiet_Arguments(), 3,4)</f>
        <v>fraction</v>
      </c>
      <c r="H14" s="116" t="str">
        <v>Input</v>
      </c>
      <c r="I14" s="118" t="str">
        <f>"See " &amp; D16</f>
        <v>See M1_Table_DMD_j</v>
      </c>
    </row>
    <row r="15" spans="1:19" ht="20.100000000000001" customHeight="1" x14ac:dyDescent="0.25"/>
    <row r="16" spans="1:19" ht="20.100000000000001" customHeight="1" x14ac:dyDescent="0.25">
      <c r="D16" s="97" t="s">
        <v>102</v>
      </c>
      <c r="M16" s="97" t="s">
        <v>104</v>
      </c>
    </row>
    <row r="17" spans="1:19" ht="20.100000000000001" customHeight="1" x14ac:dyDescent="0.25">
      <c r="A17" s="129" t="s">
        <v>1</v>
      </c>
      <c r="D17" s="96" t="s">
        <v>103</v>
      </c>
      <c r="M17" s="96" t="s">
        <v>181</v>
      </c>
    </row>
    <row r="18" spans="1:19" ht="20.100000000000001" customHeight="1" x14ac:dyDescent="0.25">
      <c r="A18" s="17" t="str">
        <f>HYPERLINK("#'Constants - Dairy'!A1", "Constants - Dairy")</f>
        <v>Constants - Dairy</v>
      </c>
      <c r="D18" s="40" t="s">
        <v>124</v>
      </c>
      <c r="E18" s="40" t="s">
        <v>141</v>
      </c>
      <c r="F18" s="40" t="s">
        <v>142</v>
      </c>
      <c r="G18" s="40" t="s">
        <v>143</v>
      </c>
      <c r="H18" s="40" t="s">
        <v>144</v>
      </c>
      <c r="M18" s="40" t="s">
        <v>124</v>
      </c>
      <c r="N18" s="40" t="s">
        <v>141</v>
      </c>
      <c r="O18" s="40" t="s">
        <v>142</v>
      </c>
      <c r="P18" s="40" t="s">
        <v>143</v>
      </c>
      <c r="Q18" s="40" t="s">
        <v>144</v>
      </c>
    </row>
    <row r="19" spans="1:19" ht="20.100000000000001" customHeight="1" x14ac:dyDescent="0.25">
      <c r="A19" s="17" t="str">
        <f>HYPERLINK("#'Constants - Common'!A1", "Constants - Common")</f>
        <v>Constants - Common</v>
      </c>
      <c r="D19" s="52">
        <f>INDEX(X_Table_Dairy_Diet_Method1,2,2)</f>
        <v>0.75</v>
      </c>
      <c r="E19" s="52">
        <f>INDEX(X_Table_Dairy_Diet_Method1,2,3)</f>
        <v>0.75</v>
      </c>
      <c r="F19" s="52">
        <f>INDEX(X_Table_Dairy_Diet_Method1,2,4)</f>
        <v>0.75</v>
      </c>
      <c r="G19" s="52">
        <f>INDEX(X_Table_Dairy_Diet_Method1,2,5)</f>
        <v>0.75</v>
      </c>
      <c r="H19" s="52">
        <f>INDEX(X_Table_Dairy_Diet_Method1,2,6)</f>
        <v>0.75</v>
      </c>
      <c r="I19" s="2" t="s">
        <v>170</v>
      </c>
      <c r="M19" s="52">
        <f>INDEX(X_Table_Dairy_Diet_Method2,2,2)</f>
        <v>0.75</v>
      </c>
      <c r="N19" s="52">
        <f>INDEX(X_Table_Dairy_Diet_Method2,2,3)</f>
        <v>0.75</v>
      </c>
      <c r="O19" s="52">
        <f>INDEX(X_Table_Dairy_Diet_Method2,2,4)</f>
        <v>0.75</v>
      </c>
      <c r="P19" s="52">
        <f>INDEX(X_Table_Dairy_Diet_Method2,2,5)</f>
        <v>0.75</v>
      </c>
      <c r="Q19" s="52">
        <f>INDEX(X_Table_Dairy_Diet_Method2,2,6)</f>
        <v>0.75</v>
      </c>
      <c r="R19" s="2" t="s">
        <v>170</v>
      </c>
    </row>
    <row r="20" spans="1:19" ht="20.100000000000001" customHeight="1" x14ac:dyDescent="0.25">
      <c r="A20" s="17" t="str">
        <f>HYPERLINK("#'Constants - Livestock'!A1", "Constants - Livestock")</f>
        <v>Constants - Livestock</v>
      </c>
    </row>
    <row r="21" spans="1:19" ht="20.100000000000001" customHeight="1" x14ac:dyDescent="0.25">
      <c r="A21" s="17" t="str">
        <f>HYPERLINK("#'Acknowledgements'!A1", "Acknowledgements")</f>
        <v>Acknowledgements</v>
      </c>
      <c r="D21" s="97" t="s">
        <v>171</v>
      </c>
      <c r="M21" s="97" t="s">
        <v>173</v>
      </c>
    </row>
    <row r="22" spans="1:19" ht="20.100000000000001" customHeight="1" x14ac:dyDescent="0.25">
      <c r="D22" s="96" t="s">
        <v>172</v>
      </c>
      <c r="M22" s="96" t="s">
        <v>174</v>
      </c>
    </row>
    <row r="23" spans="1:19" ht="20.100000000000001" customHeight="1" x14ac:dyDescent="0.25">
      <c r="D23" s="51" t="s">
        <v>124</v>
      </c>
      <c r="E23" s="51" t="s">
        <v>141</v>
      </c>
      <c r="F23" s="51" t="s">
        <v>142</v>
      </c>
      <c r="G23" s="51" t="s">
        <v>143</v>
      </c>
      <c r="H23" s="51" t="s">
        <v>144</v>
      </c>
      <c r="M23" s="51" t="s">
        <v>124</v>
      </c>
      <c r="N23" s="51" t="s">
        <v>141</v>
      </c>
      <c r="O23" s="51" t="s">
        <v>142</v>
      </c>
      <c r="P23" s="51" t="s">
        <v>143</v>
      </c>
      <c r="Q23" s="51" t="s">
        <v>144</v>
      </c>
    </row>
    <row r="24" spans="1:19" ht="20.100000000000001" customHeight="1" x14ac:dyDescent="0.25">
      <c r="D24" s="52" cm="1">
        <f t="array" ref="D24">EntericMethane_Dairy_Equations.VEERG_3_3_1_1__6_MetabolisabilityOfDietVariation(D19)</f>
        <v>0.5948500000000001</v>
      </c>
      <c r="E24" s="52" cm="1">
        <f t="array" ref="E24">EntericMethane_Dairy_Equations.VEERG_3_3_1_1__6_MetabolisabilityOfDietVariation(E19)</f>
        <v>0.5948500000000001</v>
      </c>
      <c r="F24" s="52" cm="1">
        <f t="array" ref="F24">EntericMethane_Dairy_Equations.VEERG_3_3_1_1__6_MetabolisabilityOfDietVariation(F19)</f>
        <v>0.5948500000000001</v>
      </c>
      <c r="G24" s="52" cm="1">
        <f t="array" ref="G24">EntericMethane_Dairy_Equations.VEERG_3_3_1_1__6_MetabolisabilityOfDietVariation(G19)</f>
        <v>0.5948500000000001</v>
      </c>
      <c r="H24" s="52" cm="1">
        <f t="array" ref="H24">EntericMethane_Dairy_Equations.VEERG_3_3_1_1__6_MetabolisabilityOfDietVariation(H19)</f>
        <v>0.5948500000000001</v>
      </c>
      <c r="I24" s="2" t="str">
        <f>$E$12</f>
        <v>fraction</v>
      </c>
      <c r="M24" s="52" cm="1">
        <f t="array" ref="M24">EntericMethane_Dairy_Equations.VEERG_3_3_1_1__6_MetabolisabilityOfDietVariation(M19)</f>
        <v>0.5948500000000001</v>
      </c>
      <c r="N24" s="52" cm="1">
        <f t="array" ref="N24">EntericMethane_Dairy_Equations.VEERG_3_3_1_1__6_MetabolisabilityOfDietVariation(N19)</f>
        <v>0.5948500000000001</v>
      </c>
      <c r="O24" s="52" cm="1">
        <f t="array" ref="O24">EntericMethane_Dairy_Equations.VEERG_3_3_1_1__6_MetabolisabilityOfDietVariation(O19)</f>
        <v>0.5948500000000001</v>
      </c>
      <c r="P24" s="52" cm="1">
        <f t="array" ref="P24">EntericMethane_Dairy_Equations.VEERG_3_3_1_1__6_MetabolisabilityOfDietVariation(P19)</f>
        <v>0.5948500000000001</v>
      </c>
      <c r="Q24" s="52" cm="1">
        <f t="array" ref="Q24">EntericMethane_Dairy_Equations.VEERG_3_3_1_1__6_MetabolisabilityOfDietVariation(Q19)</f>
        <v>0.5948500000000001</v>
      </c>
      <c r="R24" s="2" t="str">
        <f>$E$12</f>
        <v>fraction</v>
      </c>
    </row>
    <row r="25" spans="1:19" ht="20.100000000000001" customHeight="1" x14ac:dyDescent="0.25"/>
    <row r="26" spans="1:19" ht="20.100000000000001" customHeight="1" x14ac:dyDescent="0.25"/>
    <row r="27" spans="1:19" ht="20.100000000000001" customHeight="1" x14ac:dyDescent="0.25">
      <c r="C27" s="46"/>
      <c r="D27" s="46"/>
      <c r="E27" s="46"/>
      <c r="F27" s="46"/>
      <c r="G27" s="46"/>
      <c r="H27" s="46"/>
      <c r="I27" s="46"/>
      <c r="J27" s="46"/>
      <c r="L27" s="46"/>
      <c r="M27" s="46"/>
      <c r="N27" s="46"/>
      <c r="O27" s="46"/>
      <c r="P27" s="46"/>
      <c r="Q27" s="46"/>
      <c r="R27" s="46"/>
      <c r="S27" s="46"/>
    </row>
    <row r="28" spans="1:19" ht="20.100000000000001" customHeight="1" x14ac:dyDescent="0.25">
      <c r="D28" s="6" t="str" cm="1">
        <f t="array" ref="D28">EntericMethane_Dairy_Equations.VEERG_3_3_1_1__5_MilkProductionFromMilkSolids_Title()</f>
        <v>Milk production converted from milk solids</v>
      </c>
    </row>
    <row r="29" spans="1:19" ht="20.100000000000001" customHeight="1" x14ac:dyDescent="0.25">
      <c r="D29" s="5" t="str" cm="1">
        <f t="array" ref="D29">EntericMethane_Dairy_Equations.VEERG_3_3_1_1__5_MilkProductionFromMilkSolids_Source()</f>
        <v>VEERG 2026: 3.3.1.1, Equation (5)</v>
      </c>
    </row>
    <row r="30" spans="1:19" ht="20.100000000000001" customHeight="1" x14ac:dyDescent="0.25">
      <c r="D30" s="55"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19" ht="20.100000000000001" customHeight="1" x14ac:dyDescent="0.25">
      <c r="D31" s="13" t="s">
        <v>22</v>
      </c>
      <c r="E31" s="13" t="str" cm="1">
        <f t="array" aca="1" ref="E31" ca="1">Common_InputFunctions.Utility_DisplayFunctionName(D50)</f>
        <v>=EntericMethane_Dairy_Equations.VEERG_3_3_1_1__5_MilkProductionFromMilkSolids</v>
      </c>
    </row>
    <row r="32" spans="1:19" ht="20.100000000000001" customHeight="1" x14ac:dyDescent="0.25"/>
    <row r="33" spans="4:18" ht="20.100000000000001" customHeight="1" x14ac:dyDescent="0.25"/>
    <row r="34" spans="4:18" ht="20.100000000000001" customHeight="1" x14ac:dyDescent="0.25">
      <c r="D34" s="53" t="s">
        <v>25</v>
      </c>
      <c r="E34" s="1" t="str" cm="1">
        <f t="array" ref="E34">EntericMethane_Dairy_Equations.VEERG_3_3_1_1__5_MilkProductionFromMilkSolids_Variable()</f>
        <v>MP_j</v>
      </c>
    </row>
    <row r="35" spans="4:18" ht="20.100000000000001" customHeight="1" x14ac:dyDescent="0.25">
      <c r="D35" s="53" t="s">
        <v>15</v>
      </c>
      <c r="E35" s="54" t="str" cm="1">
        <f t="array" ref="E35">EntericMethane_Dairy_Equations.VEERG_3_3_1_1__5_MilkProductionFromMilkSolids_Unit()</f>
        <v>L/head/day</v>
      </c>
    </row>
    <row r="36" spans="4:18" ht="20.100000000000001" customHeight="1" x14ac:dyDescent="0.25"/>
    <row r="37" spans="4:18" ht="20.100000000000001" customHeight="1" x14ac:dyDescent="0.25">
      <c r="D37" s="118" t="str" cm="1">
        <f t="array" ref="D37:E40">_xlfn.CHOOSECOLS(EntericMethane_Dairy_Equations.VEERG_3_3_1_1__5_MilkProductionFromMilkSolids_Arguments(),1,2)</f>
        <v>MPU</v>
      </c>
      <c r="E37" s="117" t="str">
        <v>input milk production unit</v>
      </c>
      <c r="F37" s="119"/>
      <c r="G37" s="118" t="str" cm="1">
        <f t="array" ref="G37:H40">_xlfn.CHOOSECOLS(EntericMethane_Dairy_Equations.VEERG_3_3_1_1__5_MilkProductionFromMilkSolids_Arguments(),3,4)</f>
        <v/>
      </c>
      <c r="H37" s="116" t="str">
        <v>Input</v>
      </c>
      <c r="I37" s="118" t="str">
        <f>X_Cell_Dairy_MilkProductionUnit</f>
        <v>Litres of milk</v>
      </c>
      <c r="M37" s="118" t="str" cm="1">
        <f t="array" ref="M37:N40">_xlfn.CHOOSECOLS(EntericMethane_Dairy_Equations.VEERG_3_3_1_1__5_MilkProductionFromMilkSolids_Arguments_Method2(),1,2)</f>
        <v>MPU</v>
      </c>
      <c r="N37" s="117" t="str">
        <v>milk production unit</v>
      </c>
      <c r="O37" s="119"/>
      <c r="P37" s="118" t="str" cm="1">
        <f t="array" ref="P37:Q40">_xlfn.CHOOSECOLS(EntericMethane_Dairy_Equations.VEERG_3_3_1_1__5_MilkProductionFromMilkSolids_Arguments_Method2(),3,4)</f>
        <v/>
      </c>
      <c r="Q37" s="116" t="str">
        <v>Input</v>
      </c>
      <c r="R37" s="118"/>
    </row>
    <row r="38" spans="4:18" ht="20.100000000000001" customHeight="1" x14ac:dyDescent="0.25">
      <c r="D38" s="118" t="str">
        <v>MS_j</v>
      </c>
      <c r="E38" s="117" t="str">
        <v>daily production of milk solids</v>
      </c>
      <c r="F38" s="119"/>
      <c r="G38" s="118" t="str">
        <v>kg MS/head/day</v>
      </c>
      <c r="H38" s="116" t="str">
        <v>Input</v>
      </c>
      <c r="I38" s="115" t="str" cm="1">
        <f t="array" aca="1" ref="I38" ca="1">HYPERLINK(Common_InputFunctions.Utility_SourceHyperlink($D$42),$D$42)</f>
        <v>M1_Table_MS_j</v>
      </c>
      <c r="M38" s="118" t="str">
        <v>MS_j</v>
      </c>
      <c r="N38" s="117" t="str">
        <v>daily production of milk solids</v>
      </c>
      <c r="O38" s="119"/>
      <c r="P38" s="118" t="str">
        <v>kg MS/head/day</v>
      </c>
      <c r="Q38" s="116" t="str">
        <v>Input</v>
      </c>
      <c r="R38" s="115"/>
    </row>
    <row r="39" spans="4:18" ht="20.100000000000001" customHeight="1" x14ac:dyDescent="0.25">
      <c r="D39" s="118" t="str">
        <v>FC_j</v>
      </c>
      <c r="E39" s="117" t="str">
        <v>fat content in fat and protein corrected milk</v>
      </c>
      <c r="F39" s="119"/>
      <c r="G39" s="118" t="str">
        <v>per cent</v>
      </c>
      <c r="H39" s="116" t="str">
        <v>Input</v>
      </c>
      <c r="I39" s="118">
        <f>INDEX(X_Table_Dairy_MilkSolidAttributes,2,2)*100</f>
        <v>4</v>
      </c>
      <c r="M39" s="118" t="str">
        <v>FC_j</v>
      </c>
      <c r="N39" s="117" t="str">
        <v>fat content in fat and protein corrected milk</v>
      </c>
      <c r="O39" s="119"/>
      <c r="P39" s="118" t="str">
        <v>per cent</v>
      </c>
      <c r="Q39" s="116" t="str">
        <v>Input</v>
      </c>
      <c r="R39" s="118">
        <f>INDEX(X_Table_Dairy_MilkSolidAttributes,2,3)*100</f>
        <v>4</v>
      </c>
    </row>
    <row r="40" spans="4:18" ht="20.100000000000001" customHeight="1" x14ac:dyDescent="0.25">
      <c r="D40" s="118" t="str">
        <v>PC_j</v>
      </c>
      <c r="E40" s="118" t="str">
        <v>protein content in fat and protein corrected milk</v>
      </c>
      <c r="F40" s="118"/>
      <c r="G40" s="118" t="str">
        <v>per cent</v>
      </c>
      <c r="H40" s="116" t="str">
        <v>Input</v>
      </c>
      <c r="I40" s="118">
        <f>INDEX(X_Table_Dairy_MilkSolidAttributes,3,2)*100</f>
        <v>3.3000000000000003</v>
      </c>
      <c r="M40" s="118" t="str">
        <v>PC_j</v>
      </c>
      <c r="N40" s="118" t="str">
        <v>protein content in fat and protein corrected milk</v>
      </c>
      <c r="O40" s="118"/>
      <c r="P40" s="118" t="str">
        <v>per cent</v>
      </c>
      <c r="Q40" s="116" t="str">
        <v>Input</v>
      </c>
      <c r="R40" s="118">
        <f>INDEX(X_Table_Dairy_MilkSolidAttributes,3,3)*100</f>
        <v>3.3000000000000003</v>
      </c>
    </row>
    <row r="41" spans="4:18" ht="20.100000000000001" customHeight="1" x14ac:dyDescent="0.25"/>
    <row r="42" spans="4:18" ht="20.100000000000001" customHeight="1" x14ac:dyDescent="0.25">
      <c r="D42" s="97" t="s">
        <v>233</v>
      </c>
    </row>
    <row r="43" spans="4:18" ht="20.100000000000001" customHeight="1" x14ac:dyDescent="0.25">
      <c r="D43" s="96" t="s">
        <v>234</v>
      </c>
    </row>
    <row r="44" spans="4:18" ht="20.100000000000001" customHeight="1" x14ac:dyDescent="0.25">
      <c r="D44" s="40" t="s">
        <v>124</v>
      </c>
      <c r="E44" s="40" t="s">
        <v>141</v>
      </c>
      <c r="F44" s="40" t="s">
        <v>142</v>
      </c>
      <c r="G44" s="40" t="s">
        <v>143</v>
      </c>
      <c r="H44" s="40" t="s">
        <v>144</v>
      </c>
    </row>
    <row r="45" spans="4:18" ht="20.100000000000001" customHeight="1" x14ac:dyDescent="0.25">
      <c r="D45" s="52">
        <f>IF($I$37="Milk solids", 'Input - Dairy'!$E$52, 0)</f>
        <v>0</v>
      </c>
      <c r="E45" s="52">
        <v>0</v>
      </c>
      <c r="F45" s="52">
        <v>0</v>
      </c>
      <c r="G45" s="52">
        <v>0</v>
      </c>
      <c r="H45" s="52">
        <v>0</v>
      </c>
      <c r="I45" s="2" t="s">
        <v>177</v>
      </c>
    </row>
    <row r="46" spans="4:18" ht="20.100000000000001" customHeight="1" x14ac:dyDescent="0.25"/>
    <row r="47" spans="4:18" ht="20.100000000000001" customHeight="1" x14ac:dyDescent="0.25">
      <c r="D47" s="97" t="s">
        <v>235</v>
      </c>
      <c r="M47" s="97" t="s">
        <v>243</v>
      </c>
    </row>
    <row r="48" spans="4:18" ht="20.100000000000001" customHeight="1" x14ac:dyDescent="0.25">
      <c r="D48" s="96" t="s">
        <v>236</v>
      </c>
      <c r="M48" s="96" t="s">
        <v>244</v>
      </c>
    </row>
    <row r="49" spans="3:19" ht="20.100000000000001" customHeight="1" x14ac:dyDescent="0.25">
      <c r="D49" s="51" t="s">
        <v>124</v>
      </c>
      <c r="E49" s="51" t="s">
        <v>141</v>
      </c>
      <c r="F49" s="51" t="s">
        <v>142</v>
      </c>
      <c r="G49" s="51" t="s">
        <v>143</v>
      </c>
      <c r="H49" s="51" t="s">
        <v>144</v>
      </c>
      <c r="M49" s="51" t="s">
        <v>124</v>
      </c>
      <c r="N49" s="51" t="s">
        <v>141</v>
      </c>
      <c r="O49" s="51" t="s">
        <v>142</v>
      </c>
      <c r="P49" s="51" t="s">
        <v>143</v>
      </c>
      <c r="Q49" s="51" t="s">
        <v>144</v>
      </c>
    </row>
    <row r="50" spans="3:19" ht="20.100000000000001" customHeight="1" x14ac:dyDescent="0.25">
      <c r="D50" s="52" cm="1">
        <f t="array" ref="D50">EntericMethane_Dairy_Equations.VEERG_3_3_1_1__5_MilkProductionFromMilkSolids(D45,I39,I40)</f>
        <v>0</v>
      </c>
      <c r="E50" s="52">
        <v>0</v>
      </c>
      <c r="F50" s="52">
        <v>0</v>
      </c>
      <c r="G50" s="52">
        <v>0</v>
      </c>
      <c r="H50" s="52">
        <v>0</v>
      </c>
      <c r="I50" s="2" t="s">
        <v>177</v>
      </c>
      <c r="M50" s="52" cm="1">
        <f t="array" ref="M50">EntericMethane_Dairy_Equations.VEERG_3_3_1_1__5_MilkProductionFromMilkSolids(D45,R39,R40)</f>
        <v>0</v>
      </c>
      <c r="N50" s="52">
        <v>0</v>
      </c>
      <c r="O50" s="52">
        <v>0</v>
      </c>
      <c r="P50" s="52">
        <v>0</v>
      </c>
      <c r="Q50" s="52">
        <v>0</v>
      </c>
      <c r="R50" s="2" t="s">
        <v>177</v>
      </c>
    </row>
    <row r="51" spans="3:19" ht="20.100000000000001" customHeight="1" x14ac:dyDescent="0.25"/>
    <row r="52" spans="3:19" ht="20.100000000000001" customHeight="1" x14ac:dyDescent="0.25"/>
    <row r="53" spans="3:19" ht="20.100000000000001" customHeight="1" x14ac:dyDescent="0.25">
      <c r="C53" s="46"/>
      <c r="D53" s="46"/>
      <c r="E53" s="46"/>
      <c r="F53" s="46"/>
      <c r="G53" s="46"/>
      <c r="H53" s="46"/>
      <c r="I53" s="46"/>
      <c r="J53" s="46"/>
      <c r="L53" s="46"/>
      <c r="M53" s="46"/>
      <c r="N53" s="46"/>
      <c r="O53" s="46"/>
      <c r="P53" s="46"/>
      <c r="Q53" s="46"/>
      <c r="R53" s="46"/>
      <c r="S53" s="46"/>
    </row>
    <row r="54" spans="3:19" ht="20.100000000000001" customHeight="1" x14ac:dyDescent="0.25">
      <c r="D54" s="6" t="str" cm="1">
        <f t="array" ref="D54">EntericMethane_Dairy_Equations.VEERG_3_3_1_1__4_AdditionalIntakeForMilkProduction_Title()</f>
        <v>Additional intake required for milk production</v>
      </c>
    </row>
    <row r="55" spans="3:19" ht="20.100000000000001" customHeight="1" x14ac:dyDescent="0.25">
      <c r="D55" s="5" t="str" cm="1">
        <f t="array" ref="D55">EntericMethane_Dairy_Equations.VEERG_3_3_1_1__4_AdditionalIntakeForMilkProduction_Source()</f>
        <v>VEERG 2026: 3.3.1.1, Equation (4)</v>
      </c>
    </row>
    <row r="56" spans="3:19" ht="20.100000000000001" customHeight="1" x14ac:dyDescent="0.25">
      <c r="D56" s="55" t="str" cm="1">
        <f t="array" ref="D56">EntericMethane_Dairy_Equations.VEERG_3_3_1_1__4_AdditionalIntakeForMilkProduction_Variation()</f>
        <v>VARATION ON SOURCE: Added milk production unit variable to allow for use of either milk solids or litres of milk.</v>
      </c>
    </row>
    <row r="57" spans="3:19" ht="20.100000000000001" customHeight="1" x14ac:dyDescent="0.25">
      <c r="D57" s="13" t="s">
        <v>22</v>
      </c>
      <c r="E57" s="13" t="str" cm="1">
        <f t="array" aca="1" ref="E57" ca="1">Common_InputFunctions.Utility_DisplayFunctionName(D80)</f>
        <v>=EntericMethane_Dairy_Equations.VEERG_3_3_1_1__4_AdditionalIntakeForMilkProduction</v>
      </c>
    </row>
    <row r="58" spans="3:19" ht="20.100000000000001" customHeight="1" x14ac:dyDescent="0.25">
      <c r="D58" s="6"/>
    </row>
    <row r="59" spans="3:19" ht="20.100000000000001" customHeight="1" x14ac:dyDescent="0.25"/>
    <row r="60" spans="3:19" ht="20.100000000000001" customHeight="1" x14ac:dyDescent="0.25"/>
    <row r="61" spans="3:19" ht="20.100000000000001" customHeight="1" x14ac:dyDescent="0.25">
      <c r="D61" s="53" t="s">
        <v>25</v>
      </c>
      <c r="E61" s="1" t="str" cm="1">
        <f t="array" ref="E61">EntericMethane_Dairy_Equations.VEERG_3_3_1_1__4_AdditionalIntakeForMilkProduction_Variable()</f>
        <v>MI_j</v>
      </c>
    </row>
    <row r="62" spans="3:19" ht="20.100000000000001" customHeight="1" x14ac:dyDescent="0.25">
      <c r="D62" s="53" t="s">
        <v>15</v>
      </c>
      <c r="E62" s="54" t="str" cm="1">
        <f t="array" ref="E62">EntericMethane_Dairy_Equations.VEERG_3_3_1_1__4_AdditionalIntakeForMilkProduction_Unit()</f>
        <v>kg DM/head/day</v>
      </c>
    </row>
    <row r="63" spans="3:19" ht="20.100000000000001" customHeight="1" x14ac:dyDescent="0.25"/>
    <row r="64" spans="3:19" ht="20.100000000000001" customHeight="1" x14ac:dyDescent="0.25">
      <c r="D64" s="118" t="str" cm="1">
        <f t="array" ref="D64:E70">_xlfn.CHOOSECOLS(EntericMethane_Dairy_Equations.VEERG_3_3_1_1__4_AdditionalIntakeForMilkProduction_Arguments(), 1,2)</f>
        <v>MPU</v>
      </c>
      <c r="E64" s="117" t="str">
        <v>input milk production unit</v>
      </c>
      <c r="F64" s="119"/>
      <c r="G64" s="118" t="str" cm="1">
        <f t="array" ref="G64:H70">_xlfn.CHOOSECOLS(EntericMethane_Dairy_Equations.VEERG_3_3_1_1__4_AdditionalIntakeForMilkProduction_Arguments(), 3,4)</f>
        <v/>
      </c>
      <c r="H64" s="116" t="str">
        <v>Input</v>
      </c>
      <c r="I64" s="118" t="str">
        <f>X_Cell_Dairy_MilkProductionUnit</f>
        <v>Litres of milk</v>
      </c>
    </row>
    <row r="65" spans="4:18" ht="20.100000000000001" customHeight="1" x14ac:dyDescent="0.25">
      <c r="D65" s="118" t="str">
        <v>MP_j</v>
      </c>
      <c r="E65" s="117" t="str">
        <v>milk production (if input as litres of milk)</v>
      </c>
      <c r="F65" s="119"/>
      <c r="G65" s="118" t="str">
        <v>L/head/day</v>
      </c>
      <c r="H65" s="116" t="str">
        <v>Input</v>
      </c>
      <c r="I65" s="115" t="str" cm="1">
        <f t="array" aca="1" ref="I65" ca="1">HYPERLINK(Common_InputFunctions.Utility_SourceHyperlink($D$72), $D$72)</f>
        <v>Table_MP_j</v>
      </c>
    </row>
    <row r="66" spans="4:18" ht="20.100000000000001" customHeight="1" x14ac:dyDescent="0.25">
      <c r="D66" s="118" t="str">
        <v>MP_j</v>
      </c>
      <c r="E66" s="117" t="str">
        <v>milk production (if input as milk solids)</v>
      </c>
      <c r="F66" s="119"/>
      <c r="G66" s="118" t="str">
        <v>L/head/day</v>
      </c>
      <c r="H66" s="114" t="str">
        <v>Calculated from 3.3.1.1 (5)</v>
      </c>
      <c r="I66" s="115" t="str" cm="1">
        <f t="array" aca="1" ref="I66" ca="1">HYPERLINK(Common_InputFunctions.Utility_SourceHyperlink($D$47),$D$47)</f>
        <v>M1_Table_MP_j_from_solids</v>
      </c>
    </row>
    <row r="67" spans="4:18" ht="20.100000000000001" customHeight="1" x14ac:dyDescent="0.25">
      <c r="D67" s="118" t="str">
        <v>NE</v>
      </c>
      <c r="E67" s="117" t="str">
        <v>net energy</v>
      </c>
      <c r="F67" s="119"/>
      <c r="G67" s="118" t="str">
        <v>MJ net energy/kg milk</v>
      </c>
      <c r="H67" s="114" t="str">
        <v>Constant</v>
      </c>
      <c r="I67" s="118">
        <f>SourceData_Dairy_NetEnergy_Data</f>
        <v>3.0539999999999998</v>
      </c>
    </row>
    <row r="68" spans="4:18" ht="20.100000000000001" customHeight="1" x14ac:dyDescent="0.25">
      <c r="D68" s="118" t="str">
        <v>GEC</v>
      </c>
      <c r="E68" s="117" t="str">
        <v>gross energy content</v>
      </c>
      <c r="F68" s="119"/>
      <c r="G68" s="118" t="str">
        <v>MJ/kgDM</v>
      </c>
      <c r="H68" s="114" t="str">
        <v>Constant</v>
      </c>
      <c r="I68" s="118">
        <f>SourceData_Dairy_GrossEnergyContent_Data</f>
        <v>18.399999999999999</v>
      </c>
    </row>
    <row r="69" spans="4:18" ht="20.100000000000001" customHeight="1" x14ac:dyDescent="0.25">
      <c r="D69" s="118" t="str">
        <v>k</v>
      </c>
      <c r="E69" s="117" t="str">
        <v>efficiency of metabolizable energy use for milk production</v>
      </c>
      <c r="F69" s="119"/>
      <c r="G69" s="118" t="str">
        <v>fraction</v>
      </c>
      <c r="H69" s="114" t="str">
        <v>Constant</v>
      </c>
      <c r="I69" s="118">
        <f>SourceData_Dairy_EfficiencyOfUseOfMetabolizableEnergy_Data</f>
        <v>0.6</v>
      </c>
    </row>
    <row r="70" spans="4:18" ht="20.100000000000001" customHeight="1" x14ac:dyDescent="0.25">
      <c r="D70" s="118" t="str">
        <v>qm_j</v>
      </c>
      <c r="E70" s="117" t="str">
        <v>metabolisability of the diet</v>
      </c>
      <c r="F70" s="119"/>
      <c r="G70" s="118" t="str">
        <v>fraction</v>
      </c>
      <c r="H70" s="114" t="str">
        <v>Calculated from 3.3.1.1 (6)</v>
      </c>
      <c r="I70" s="115" t="str" cm="1">
        <f t="array" aca="1" ref="I70" ca="1">HYPERLINK(Common_InputFunctions.Utility_SourceHyperlink($D$21), $D$21)</f>
        <v>M1_Table_qm_j</v>
      </c>
    </row>
    <row r="71" spans="4:18" ht="20.100000000000001" customHeight="1" x14ac:dyDescent="0.25"/>
    <row r="72" spans="4:18" ht="20.100000000000001" customHeight="1" x14ac:dyDescent="0.25">
      <c r="D72" s="97" t="s">
        <v>180</v>
      </c>
    </row>
    <row r="73" spans="4:18" ht="20.100000000000001" customHeight="1" x14ac:dyDescent="0.25">
      <c r="D73" s="96" t="s">
        <v>148</v>
      </c>
    </row>
    <row r="74" spans="4:18" ht="20.100000000000001" customHeight="1" x14ac:dyDescent="0.25">
      <c r="D74" s="40" t="s">
        <v>124</v>
      </c>
      <c r="E74" s="40" t="s">
        <v>141</v>
      </c>
      <c r="F74" s="40" t="s">
        <v>142</v>
      </c>
      <c r="G74" s="40" t="s">
        <v>143</v>
      </c>
      <c r="H74" s="40" t="s">
        <v>144</v>
      </c>
    </row>
    <row r="75" spans="4:18" ht="20.100000000000001" customHeight="1" x14ac:dyDescent="0.25">
      <c r="D75" s="52">
        <f>IF(I64="Milk solids", 0, 'Input - Dairy'!$E$52)</f>
        <v>20</v>
      </c>
      <c r="E75" s="52">
        <v>0</v>
      </c>
      <c r="F75" s="52">
        <v>0</v>
      </c>
      <c r="G75" s="52">
        <v>0</v>
      </c>
      <c r="H75" s="52">
        <v>0</v>
      </c>
      <c r="I75" s="2" t="s">
        <v>177</v>
      </c>
    </row>
    <row r="76" spans="4:18" ht="20.100000000000001" customHeight="1" x14ac:dyDescent="0.25"/>
    <row r="77" spans="4:18" ht="20.100000000000001" customHeight="1" x14ac:dyDescent="0.25">
      <c r="D77" s="97" t="s">
        <v>175</v>
      </c>
      <c r="M77" s="97" t="s">
        <v>178</v>
      </c>
    </row>
    <row r="78" spans="4:18" ht="20.100000000000001" customHeight="1" x14ac:dyDescent="0.25">
      <c r="D78" s="96" t="s">
        <v>176</v>
      </c>
      <c r="M78" s="96" t="s">
        <v>179</v>
      </c>
    </row>
    <row r="79" spans="4:18" ht="20.100000000000001" customHeight="1" x14ac:dyDescent="0.25">
      <c r="D79" s="51" t="s">
        <v>124</v>
      </c>
      <c r="E79" s="51" t="s">
        <v>141</v>
      </c>
      <c r="F79" s="51" t="s">
        <v>142</v>
      </c>
      <c r="G79" s="51" t="s">
        <v>143</v>
      </c>
      <c r="H79" s="51" t="s">
        <v>144</v>
      </c>
      <c r="M79" s="51" t="s">
        <v>124</v>
      </c>
      <c r="N79" s="51" t="s">
        <v>141</v>
      </c>
      <c r="O79" s="51" t="s">
        <v>142</v>
      </c>
      <c r="P79" s="51" t="s">
        <v>143</v>
      </c>
      <c r="Q79" s="51" t="s">
        <v>144</v>
      </c>
    </row>
    <row r="80" spans="4:18" ht="20.100000000000001" customHeight="1" x14ac:dyDescent="0.25">
      <c r="D80" s="52" cm="1">
        <f t="array" ref="D80">EntericMethane_Dairy_Equations.VEERG_3_3_1_1__4_AdditionalIntakeForMilkProduction(IF(I64="Milk solids", D50, D75),$I$67,$I$68,$I$69,D24)</f>
        <v>9.5798721636071917</v>
      </c>
      <c r="E80" s="52" cm="1">
        <f t="array" ref="E80">EntericMethane_Dairy_Equations.VEERG_3_3_1_1__4_AdditionalIntakeForMilkProduction(E75, $I$67,$I$68,$I$69,E24)</f>
        <v>0</v>
      </c>
      <c r="F80" s="52" cm="1">
        <f t="array" ref="F80">EntericMethane_Dairy_Equations.VEERG_3_3_1_1__4_AdditionalIntakeForMilkProduction(F75, $I$67,$I$68,$I$69,F24)</f>
        <v>0</v>
      </c>
      <c r="G80" s="52" cm="1">
        <f t="array" ref="G80">EntericMethane_Dairy_Equations.VEERG_3_3_1_1__4_AdditionalIntakeForMilkProduction(G75, $I$67,$I$68,$I$69,G24)</f>
        <v>0</v>
      </c>
      <c r="H80" s="52" cm="1">
        <f t="array" ref="H80">EntericMethane_Dairy_Equations.VEERG_3_3_1_1__4_AdditionalIntakeForMilkProduction(H75, $I$67,$I$68,$I$69,H24)</f>
        <v>0</v>
      </c>
      <c r="I80" s="2" t="str">
        <f>$E$62</f>
        <v>kg DM/head/day</v>
      </c>
      <c r="M80" s="52" cm="1">
        <f t="array" ref="M80">EntericMethane_Dairy_Equations.VEERG_3_3_1_1__4_AdditionalIntakeForMilkProduction(IF(I64="Milk solids", M50, D75),$I$67,$I$68,$I$69,D24)</f>
        <v>9.5798721636071917</v>
      </c>
      <c r="N80" s="52" cm="1">
        <f t="array" ref="N80">EntericMethane_Dairy_Equations.VEERG_3_3_1_1__4_AdditionalIntakeForMilkProduction(E75, $I$67,$I$68,$I$69,N24)</f>
        <v>0</v>
      </c>
      <c r="O80" s="52" cm="1">
        <f t="array" ref="O80">EntericMethane_Dairy_Equations.VEERG_3_3_1_1__4_AdditionalIntakeForMilkProduction(F75, $I$67,$I$68,$I$69,O24)</f>
        <v>0</v>
      </c>
      <c r="P80" s="52" cm="1">
        <f t="array" ref="P80">EntericMethane_Dairy_Equations.VEERG_3_3_1_1__4_AdditionalIntakeForMilkProduction(G75, $I$67,$I$68,$I$69,P24)</f>
        <v>0</v>
      </c>
      <c r="Q80" s="52" cm="1">
        <f t="array" ref="Q80">EntericMethane_Dairy_Equations.VEERG_3_3_1_1__4_AdditionalIntakeForMilkProduction(H75, $I$67,$I$68,$I$69,Q24)</f>
        <v>0</v>
      </c>
      <c r="R80" s="2" t="str">
        <f>$E$62</f>
        <v>kg DM/head/day</v>
      </c>
    </row>
    <row r="81" spans="3:19" ht="20.100000000000001" customHeight="1" x14ac:dyDescent="0.25"/>
    <row r="82" spans="3:19" ht="20.100000000000001" customHeight="1" x14ac:dyDescent="0.25"/>
    <row r="83" spans="3:19" ht="20.100000000000001" customHeight="1" x14ac:dyDescent="0.25">
      <c r="C83" s="46"/>
      <c r="D83" s="46"/>
      <c r="E83" s="46"/>
      <c r="F83" s="46"/>
      <c r="G83" s="46"/>
      <c r="H83" s="46"/>
      <c r="I83" s="46"/>
      <c r="J83" s="46"/>
      <c r="L83" s="46"/>
      <c r="M83" s="46"/>
      <c r="N83" s="46"/>
      <c r="O83" s="46"/>
      <c r="P83" s="46"/>
      <c r="Q83" s="46"/>
      <c r="R83" s="46"/>
      <c r="S83" s="46"/>
    </row>
    <row r="84" spans="3:19" ht="20.100000000000001" customHeight="1" x14ac:dyDescent="0.25">
      <c r="D84" s="6" t="str" cm="1">
        <f t="array" ref="D84">EntericMethane_Dairy_Equations.VEERG_3_3_1_1__3_DryMatterFeedIntake_Title()</f>
        <v>Feed intake</v>
      </c>
    </row>
    <row r="85" spans="3:19" ht="20.100000000000001" customHeight="1" x14ac:dyDescent="0.25">
      <c r="D85" s="5" t="str" cm="1">
        <f t="array" ref="D85">EntericMethane_Dairy_Equations.VEERG_3_3_1_1__3_DryMatterFeedIntake_Source()</f>
        <v>VEERG 2026: 3.3.1.1, Equation (3)</v>
      </c>
    </row>
    <row r="86" spans="3:19" ht="20.100000000000001" customHeight="1" x14ac:dyDescent="0.25">
      <c r="D86" s="13" t="s">
        <v>22</v>
      </c>
      <c r="E86" s="13" t="str" cm="1">
        <f t="array" aca="1" ref="E86" ca="1">Common_InputFunctions.Utility_DisplayFunctionName(D115)</f>
        <v>=EntericMethane_Dairy_Equations.VEERG_3_3_1_1__3_DryMatterFeedIntake</v>
      </c>
    </row>
    <row r="87" spans="3:19" ht="20.100000000000001" customHeight="1" x14ac:dyDescent="0.25"/>
    <row r="88" spans="3:19" ht="20.100000000000001" customHeight="1" x14ac:dyDescent="0.25"/>
    <row r="89" spans="3:19" ht="20.100000000000001" customHeight="1" x14ac:dyDescent="0.25">
      <c r="D89" s="53" t="s">
        <v>25</v>
      </c>
      <c r="E89" s="1" t="str" cm="1">
        <f t="array" ref="E89">EntericMethane_Dairy_Equations.VEERG_3_3_1_1__3_DryMatterFeedIntake_Variable()</f>
        <v>I_j</v>
      </c>
    </row>
    <row r="90" spans="3:19" ht="20.100000000000001" customHeight="1" x14ac:dyDescent="0.25">
      <c r="D90" s="53" t="s">
        <v>15</v>
      </c>
      <c r="E90" s="54" t="str" cm="1">
        <f t="array" ref="E90">EntericMethane_Dairy_Equations.VEERG_3_3_1_1__3_DryMatterFeedIntake_Unit()</f>
        <v>kg DM/head/day</v>
      </c>
    </row>
    <row r="91" spans="3:19" ht="20.100000000000001" customHeight="1" x14ac:dyDescent="0.25"/>
    <row r="92" spans="3:19" ht="20.100000000000001" customHeight="1" x14ac:dyDescent="0.25">
      <c r="D92" s="118" t="str" cm="1">
        <f t="array" ref="D92:E95">_xlfn.CHOOSECOLS(EntericMethane_Dairy_Equations.VEERG_3_3_1_1__3_DryMatterFeedIntake_Arguments(),1,2)</f>
        <v>W_j</v>
      </c>
      <c r="E92" s="117" t="str">
        <v>liveweight</v>
      </c>
      <c r="F92" s="119"/>
      <c r="G92" s="118" t="str" cm="1">
        <f t="array" ref="G92:H95">_xlfn.CHOOSECOLS(EntericMethane_Dairy_Equations.VEERG_3_3_1_1__3_DryMatterFeedIntake_Arguments(),3,4)</f>
        <v>kg</v>
      </c>
      <c r="H92" s="116" t="str">
        <v>Input</v>
      </c>
      <c r="I92" s="115" t="str" cm="1">
        <f t="array" aca="1" ref="I92" ca="1">HYPERLINK(Common_InputFunctions.Utility_SourceHyperlink($D$97), $D$97)</f>
        <v>M1_Table_W_j</v>
      </c>
    </row>
    <row r="93" spans="3:19" ht="20.100000000000001" customHeight="1" x14ac:dyDescent="0.25">
      <c r="D93" s="118" t="str">
        <v>LWG_j</v>
      </c>
      <c r="E93" s="117" t="str">
        <v>liveweight gain</v>
      </c>
      <c r="F93" s="119"/>
      <c r="G93" s="118" t="str">
        <v>kg/head/day</v>
      </c>
      <c r="H93" s="116" t="str">
        <v>Input</v>
      </c>
      <c r="I93" s="115" t="str" cm="1">
        <f t="array" aca="1" ref="I93" ca="1">HYPERLINK(Common_InputFunctions.Utility_SourceHyperlink($D$102), $D$102)</f>
        <v>M1_Table_LWG_j</v>
      </c>
    </row>
    <row r="94" spans="3:19" ht="20.100000000000001" customHeight="1" x14ac:dyDescent="0.25">
      <c r="D94" s="118" t="str">
        <v>MR_j</v>
      </c>
      <c r="E94" s="117" t="str">
        <v>increase in metabolic rate when producing milk</v>
      </c>
      <c r="F94" s="119"/>
      <c r="G94" s="118" t="str">
        <v>fraction</v>
      </c>
      <c r="H94" s="114" t="str">
        <v>Constant</v>
      </c>
      <c r="I94" s="115" t="str" cm="1">
        <f t="array" aca="1" ref="I94" ca="1">HYPERLINK(Common_InputFunctions.Utility_SourceHyperlink($D$107), $D$107)</f>
        <v>Table_MR_j</v>
      </c>
    </row>
    <row r="95" spans="3:19" ht="20.100000000000001" customHeight="1" x14ac:dyDescent="0.25">
      <c r="D95" s="118" t="str">
        <v>MI_j</v>
      </c>
      <c r="E95" s="117" t="str">
        <v>additional intake required for milk production</v>
      </c>
      <c r="F95" s="119"/>
      <c r="G95" s="118" t="str">
        <v>kg DM/head/day</v>
      </c>
      <c r="H95" s="114" t="str">
        <v>Calculated from 3.3.1.1 (4)</v>
      </c>
      <c r="I95" s="115" t="str" cm="1">
        <f t="array" aca="1" ref="I95" ca="1">HYPERLINK(Common_InputFunctions.Utility_SourceHyperlink($D$77), $D$77)</f>
        <v>M1_Table_MI_j</v>
      </c>
    </row>
    <row r="96" spans="3:19" ht="20.100000000000001" customHeight="1" x14ac:dyDescent="0.25"/>
    <row r="97" spans="4:18" ht="20.100000000000001" customHeight="1" x14ac:dyDescent="0.25">
      <c r="D97" s="97" t="s">
        <v>160</v>
      </c>
      <c r="M97" s="97" t="s">
        <v>162</v>
      </c>
    </row>
    <row r="98" spans="4:18" ht="20.100000000000001" customHeight="1" x14ac:dyDescent="0.25">
      <c r="D98" s="96" t="s">
        <v>161</v>
      </c>
      <c r="M98" s="96" t="s">
        <v>163</v>
      </c>
    </row>
    <row r="99" spans="4:18" ht="20.100000000000001" customHeight="1" x14ac:dyDescent="0.25">
      <c r="D99" s="40" t="s">
        <v>124</v>
      </c>
      <c r="E99" s="40" t="s">
        <v>141</v>
      </c>
      <c r="F99" s="40" t="s">
        <v>142</v>
      </c>
      <c r="G99" s="40" t="s">
        <v>143</v>
      </c>
      <c r="H99" s="40" t="s">
        <v>144</v>
      </c>
      <c r="M99" s="40" t="s">
        <v>124</v>
      </c>
      <c r="N99" s="40" t="s">
        <v>141</v>
      </c>
      <c r="O99" s="40" t="s">
        <v>142</v>
      </c>
      <c r="P99" s="40" t="s">
        <v>143</v>
      </c>
      <c r="Q99" s="40" t="s">
        <v>144</v>
      </c>
    </row>
    <row r="100" spans="4:18" ht="20.100000000000001" customHeight="1" x14ac:dyDescent="0.25">
      <c r="D100" s="52">
        <f>'Input - Dairy'!$E$14</f>
        <v>550</v>
      </c>
      <c r="E100" s="52">
        <f>'Input - Dairy'!$F$14</f>
        <v>380</v>
      </c>
      <c r="F100" s="52">
        <f>'Input - Dairy'!$G$14</f>
        <v>155</v>
      </c>
      <c r="G100" s="52">
        <f>'Input - Dairy'!$H$14</f>
        <v>600</v>
      </c>
      <c r="H100" s="52">
        <f>'Input - Dairy'!$I$14</f>
        <v>225</v>
      </c>
      <c r="I100" s="2" t="s">
        <v>146</v>
      </c>
      <c r="M100" s="52">
        <f>'Input - Dairy'!$E$18</f>
        <v>550</v>
      </c>
      <c r="N100" s="52">
        <f>'Input - Dairy'!$F$18</f>
        <v>380</v>
      </c>
      <c r="O100" s="52">
        <f>'Input - Dairy'!$G$18</f>
        <v>155</v>
      </c>
      <c r="P100" s="52">
        <f>'Input - Dairy'!$H$18</f>
        <v>600</v>
      </c>
      <c r="Q100" s="52">
        <f>'Input - Dairy'!$I$18</f>
        <v>225</v>
      </c>
      <c r="R100" s="2" t="s">
        <v>146</v>
      </c>
    </row>
    <row r="101" spans="4:18" ht="20.100000000000001" customHeight="1" x14ac:dyDescent="0.25"/>
    <row r="102" spans="4:18" ht="20.100000000000001" customHeight="1" x14ac:dyDescent="0.25">
      <c r="D102" s="97" t="s">
        <v>164</v>
      </c>
      <c r="M102" s="97" t="s">
        <v>166</v>
      </c>
    </row>
    <row r="103" spans="4:18" ht="20.100000000000001" customHeight="1" x14ac:dyDescent="0.25">
      <c r="D103" s="96" t="s">
        <v>165</v>
      </c>
      <c r="M103" s="96" t="s">
        <v>167</v>
      </c>
    </row>
    <row r="104" spans="4:18" ht="20.100000000000001" customHeight="1" x14ac:dyDescent="0.25">
      <c r="D104" s="40" t="s">
        <v>124</v>
      </c>
      <c r="E104" s="40" t="s">
        <v>141</v>
      </c>
      <c r="F104" s="40" t="s">
        <v>142</v>
      </c>
      <c r="G104" s="40" t="s">
        <v>143</v>
      </c>
      <c r="H104" s="40" t="s">
        <v>144</v>
      </c>
      <c r="M104" s="40" t="s">
        <v>124</v>
      </c>
      <c r="N104" s="40" t="s">
        <v>141</v>
      </c>
      <c r="O104" s="40" t="s">
        <v>142</v>
      </c>
      <c r="P104" s="40" t="s">
        <v>143</v>
      </c>
      <c r="Q104" s="40" t="s">
        <v>144</v>
      </c>
    </row>
    <row r="105" spans="4:18" ht="20.100000000000001" customHeight="1" x14ac:dyDescent="0.25">
      <c r="D105" s="52">
        <f>'Input - Dairy'!$E$15</f>
        <v>1.6E-2</v>
      </c>
      <c r="E105" s="52">
        <f>'Input - Dairy'!$F$15</f>
        <v>0.6</v>
      </c>
      <c r="F105" s="52">
        <f>'Input - Dairy'!$G$15</f>
        <v>0.56999999999999995</v>
      </c>
      <c r="G105" s="52">
        <f>'Input - Dairy'!$H$15</f>
        <v>0.1</v>
      </c>
      <c r="H105" s="52">
        <f>'Input - Dairy'!$I$15</f>
        <v>0.8</v>
      </c>
      <c r="I105" s="2" t="s">
        <v>147</v>
      </c>
      <c r="M105" s="52">
        <f>'Input - Dairy'!$E$19</f>
        <v>1.6E-2</v>
      </c>
      <c r="N105" s="52">
        <f>'Input - Dairy'!$F$19</f>
        <v>0.6</v>
      </c>
      <c r="O105" s="52">
        <f>'Input - Dairy'!$G$19</f>
        <v>0.56999999999999995</v>
      </c>
      <c r="P105" s="52">
        <f>'Input - Dairy'!$H$19</f>
        <v>0.1</v>
      </c>
      <c r="Q105" s="52">
        <f>'Input - Dairy'!$I$19</f>
        <v>0.8</v>
      </c>
      <c r="R105" s="2" t="s">
        <v>147</v>
      </c>
    </row>
    <row r="106" spans="4:18" ht="20.100000000000001" customHeight="1" x14ac:dyDescent="0.25"/>
    <row r="107" spans="4:18" ht="20.100000000000001" customHeight="1" x14ac:dyDescent="0.25">
      <c r="D107" s="97" t="s">
        <v>168</v>
      </c>
    </row>
    <row r="108" spans="4:18" ht="20.100000000000001" customHeight="1" x14ac:dyDescent="0.25">
      <c r="D108" s="96" t="s">
        <v>169</v>
      </c>
    </row>
    <row r="109" spans="4:18" ht="20.100000000000001" customHeight="1" x14ac:dyDescent="0.25">
      <c r="D109" s="51" t="s">
        <v>124</v>
      </c>
      <c r="E109" s="51" t="s">
        <v>141</v>
      </c>
      <c r="F109" s="51" t="s">
        <v>142</v>
      </c>
      <c r="G109" s="51" t="s">
        <v>143</v>
      </c>
      <c r="H109" s="51" t="s">
        <v>144</v>
      </c>
    </row>
    <row r="110" spans="4:18" ht="20.100000000000001" customHeight="1" x14ac:dyDescent="0.25">
      <c r="D110" s="52">
        <f>'Constants - Dairy'!$E$108</f>
        <v>1.1000000000000001</v>
      </c>
      <c r="E110" s="52">
        <f>'Constants - Dairy'!$E$109</f>
        <v>1</v>
      </c>
      <c r="F110" s="52">
        <f>'Constants - Dairy'!$E$109</f>
        <v>1</v>
      </c>
      <c r="G110" s="52">
        <f>'Constants - Dairy'!$E$109</f>
        <v>1</v>
      </c>
      <c r="H110" s="52">
        <f>'Constants - Dairy'!$E$109</f>
        <v>1</v>
      </c>
      <c r="I110" s="2" t="s">
        <v>90</v>
      </c>
    </row>
    <row r="111" spans="4:18" ht="20.100000000000001" customHeight="1" x14ac:dyDescent="0.25"/>
    <row r="112" spans="4:18" ht="20.100000000000001" customHeight="1" x14ac:dyDescent="0.25">
      <c r="D112" s="97" t="s">
        <v>98</v>
      </c>
      <c r="M112" s="97" t="s">
        <v>99</v>
      </c>
    </row>
    <row r="113" spans="3:19" ht="20.100000000000001" customHeight="1" x14ac:dyDescent="0.25">
      <c r="D113" s="96" t="s">
        <v>183</v>
      </c>
      <c r="M113" s="96" t="s">
        <v>182</v>
      </c>
    </row>
    <row r="114" spans="3:19" ht="20.100000000000001" customHeight="1" x14ac:dyDescent="0.25">
      <c r="D114" s="51" t="s">
        <v>124</v>
      </c>
      <c r="E114" s="51" t="s">
        <v>141</v>
      </c>
      <c r="F114" s="51" t="s">
        <v>142</v>
      </c>
      <c r="G114" s="51" t="s">
        <v>143</v>
      </c>
      <c r="H114" s="51" t="s">
        <v>144</v>
      </c>
      <c r="M114" s="51" t="s">
        <v>124</v>
      </c>
      <c r="N114" s="51" t="s">
        <v>141</v>
      </c>
      <c r="O114" s="51" t="s">
        <v>142</v>
      </c>
      <c r="P114" s="51" t="s">
        <v>143</v>
      </c>
      <c r="Q114" s="51" t="s">
        <v>144</v>
      </c>
    </row>
    <row r="115" spans="3:19" ht="20.100000000000001" customHeight="1" x14ac:dyDescent="0.25">
      <c r="D115" s="52" cm="1">
        <f t="array" ref="D115">EntericMethane_Dairy_Equations.VEERG_3_3_1_1__3_DryMatterFeedIntake(D100,D105,D110,D80)</f>
        <v>18.834317684367193</v>
      </c>
      <c r="E115" s="52" cm="1">
        <f t="array" ref="E115">EntericMethane_Dairy_Equations.VEERG_3_3_1_1__3_DryMatterFeedIntake(E100,E105,E110,E80)</f>
        <v>7.4188685375999972</v>
      </c>
      <c r="F115" s="52" cm="1">
        <f t="array" ref="F115">EntericMethane_Dairy_Equations.VEERG_3_3_1_1__3_DryMatterFeedIntake(F100,F105,F110,F80)</f>
        <v>4.0231734662249998</v>
      </c>
      <c r="G115" s="52" cm="1">
        <f t="array" ref="G115">EntericMethane_Dairy_Equations.VEERG_3_3_1_1__3_DryMatterFeedIntake(G100,G105,G110,G80)</f>
        <v>9.0270202499999979</v>
      </c>
      <c r="H115" s="52" cm="1">
        <f t="array" ref="H115">EntericMethane_Dairy_Equations.VEERG_3_3_1_1__3_DryMatterFeedIntake(H100,H105,H110,H80)</f>
        <v>5.4143472656250013</v>
      </c>
      <c r="I115" s="2" t="str">
        <f>$E$90</f>
        <v>kg DM/head/day</v>
      </c>
      <c r="M115" s="52" cm="1">
        <f t="array" ref="M115">EntericMethane_Dairy_Equations.VEERG_3_3_1_1__3_DryMatterFeedIntake(M100,M105,D110,M80)</f>
        <v>18.834317684367193</v>
      </c>
      <c r="N115" s="52" cm="1">
        <f t="array" ref="N115">EntericMethane_Dairy_Equations.VEERG_3_3_1_1__3_DryMatterFeedIntake(N100,N105,E110,N80)</f>
        <v>7.4188685375999972</v>
      </c>
      <c r="O115" s="52" cm="1">
        <f t="array" ref="O115">EntericMethane_Dairy_Equations.VEERG_3_3_1_1__3_DryMatterFeedIntake(O100,O105,F110,O80)</f>
        <v>4.0231734662249998</v>
      </c>
      <c r="P115" s="52" cm="1">
        <f t="array" ref="P115">EntericMethane_Dairy_Equations.VEERG_3_3_1_1__3_DryMatterFeedIntake(P100,P105,G110,P80)</f>
        <v>9.0270202499999979</v>
      </c>
      <c r="Q115" s="52" cm="1">
        <f t="array" ref="Q115">EntericMethane_Dairy_Equations.VEERG_3_3_1_1__3_DryMatterFeedIntake(Q100,Q105,H110,Q80)</f>
        <v>5.4143472656250013</v>
      </c>
      <c r="R115" s="2" t="str">
        <f>$E$90</f>
        <v>kg DM/head/day</v>
      </c>
    </row>
    <row r="116" spans="3:19" ht="20.100000000000001" customHeight="1" x14ac:dyDescent="0.25"/>
    <row r="117" spans="3:19" ht="20.100000000000001" customHeight="1" x14ac:dyDescent="0.25"/>
    <row r="118" spans="3:19" ht="20.100000000000001" customHeight="1" x14ac:dyDescent="0.25">
      <c r="C118" s="46"/>
      <c r="D118" s="46"/>
      <c r="E118" s="46"/>
      <c r="F118" s="46"/>
      <c r="G118" s="46"/>
      <c r="H118" s="46"/>
      <c r="I118" s="46"/>
      <c r="J118" s="46"/>
      <c r="L118" s="46"/>
      <c r="M118" s="46"/>
      <c r="N118" s="46"/>
      <c r="O118" s="46"/>
      <c r="P118" s="46"/>
      <c r="Q118" s="46"/>
      <c r="R118" s="46"/>
      <c r="S118" s="46"/>
    </row>
    <row r="119" spans="3:19" ht="20.100000000000001" customHeight="1" x14ac:dyDescent="0.25">
      <c r="D119" s="48" t="str" cm="1">
        <f t="array" ref="D119">EntericMethane_Dairy_Equations.VEERG_3_3_1_1__2_DailyEntericMethaneProduction_Title()</f>
        <v>Daily production of enteric methane</v>
      </c>
    </row>
    <row r="120" spans="3:19" ht="20.100000000000001" customHeight="1" x14ac:dyDescent="0.25">
      <c r="D120" s="5" t="str" cm="1">
        <f t="array" ref="D120">EntericMethane_Dairy_Equations.VEERG_3_3_1_1__2_DailyEntericMethaneProduction_Source()</f>
        <v>VEERG 2026: 3.3.1.1, Equation (2)</v>
      </c>
    </row>
    <row r="121" spans="3:19" ht="20.100000000000001" customHeight="1" x14ac:dyDescent="0.25">
      <c r="D121" s="13" t="s">
        <v>22</v>
      </c>
      <c r="E121" s="13" t="str" cm="1">
        <f t="array" aca="1" ref="E121" ca="1">Common_InputFunctions.Utility_DisplayFunctionName(D132)</f>
        <v>=EntericMethane_Dairy_Equations.VEERG_3_3_1_1__2_DailyEntericMethaneProduction</v>
      </c>
    </row>
    <row r="122" spans="3:19" ht="20.100000000000001" customHeight="1" x14ac:dyDescent="0.25"/>
    <row r="123" spans="3:19" ht="20.100000000000001" customHeight="1" x14ac:dyDescent="0.25"/>
    <row r="124" spans="3:19" ht="20.100000000000001" customHeight="1" x14ac:dyDescent="0.25">
      <c r="D124" s="53" t="s">
        <v>25</v>
      </c>
      <c r="E124" s="1" t="str" cm="1">
        <f t="array" ref="E124">EntericMethane_Dairy_Equations.VEERG_3_3_1_1__2_DailyEntericMethaneProduction_Variable()</f>
        <v>M_j</v>
      </c>
    </row>
    <row r="125" spans="3:19" ht="20.100000000000001" customHeight="1" x14ac:dyDescent="0.25">
      <c r="D125" s="53" t="s">
        <v>15</v>
      </c>
      <c r="E125" s="54" t="str" cm="1">
        <f t="array" ref="E125">EntericMethane_Dairy_Equations.VEERG_3_3_1_1__2_DailyEntericMethaneProduction_Unit()</f>
        <v>kg CH4/head/day</v>
      </c>
    </row>
    <row r="126" spans="3:19" ht="20.100000000000001" customHeight="1" x14ac:dyDescent="0.25"/>
    <row r="127" spans="3:19" ht="20.100000000000001" customHeight="1" x14ac:dyDescent="0.25">
      <c r="D127" s="118" t="str" cm="1">
        <f t="array" ref="D127:G127">EntericMethane_Dairy_Equations.VEERG_3_3_1_1__2_DailyEntericMethaneProduction_Arguments()</f>
        <v>I_j</v>
      </c>
      <c r="E127" s="118" t="str">
        <v>dry matter feed intake</v>
      </c>
      <c r="F127" s="118" t="str">
        <v>kg DM/head/day</v>
      </c>
      <c r="G127" s="114" t="str">
        <v>Calculated from 3.3.1.1 (3)</v>
      </c>
      <c r="H127" s="115" t="str" cm="1">
        <f t="array" aca="1" ref="H127" ca="1">HYPERLINK(Common_InputFunctions.Utility_SourceHyperlink($D$112),$D$112)</f>
        <v>M1_Table_I_j</v>
      </c>
    </row>
    <row r="128" spans="3:19" ht="20.100000000000001" customHeight="1" x14ac:dyDescent="0.25"/>
    <row r="129" spans="3:19" ht="20.100000000000001" customHeight="1" x14ac:dyDescent="0.25">
      <c r="D129" s="97" t="s">
        <v>214</v>
      </c>
      <c r="M129" s="97" t="s">
        <v>216</v>
      </c>
    </row>
    <row r="130" spans="3:19" ht="20.100000000000001" customHeight="1" x14ac:dyDescent="0.25">
      <c r="D130" s="96" t="s">
        <v>215</v>
      </c>
      <c r="M130" s="96" t="s">
        <v>217</v>
      </c>
    </row>
    <row r="131" spans="3:19" ht="20.100000000000001" customHeight="1" x14ac:dyDescent="0.25">
      <c r="D131" s="51" t="s">
        <v>124</v>
      </c>
      <c r="E131" s="51" t="s">
        <v>141</v>
      </c>
      <c r="F131" s="51" t="s">
        <v>142</v>
      </c>
      <c r="G131" s="51" t="s">
        <v>143</v>
      </c>
      <c r="H131" s="51" t="s">
        <v>144</v>
      </c>
      <c r="M131" s="51" t="s">
        <v>124</v>
      </c>
      <c r="N131" s="51" t="s">
        <v>141</v>
      </c>
      <c r="O131" s="51" t="s">
        <v>142</v>
      </c>
      <c r="P131" s="51" t="s">
        <v>143</v>
      </c>
      <c r="Q131" s="51" t="s">
        <v>144</v>
      </c>
    </row>
    <row r="132" spans="3:19" ht="20.100000000000001" customHeight="1" x14ac:dyDescent="0.25">
      <c r="D132" s="52" cm="1">
        <f t="array" ref="D132">EntericMethane_Dairy_Equations.VEERG_3_3_1_1__2_DailyEntericMethaneProduction(D115)</f>
        <v>0.38987037606640085</v>
      </c>
      <c r="E132" s="52" cm="1">
        <f t="array" ref="E132">EntericMethane_Dairy_Equations.VEERG_3_3_1_1__2_DailyEntericMethaneProduction(E115)</f>
        <v>0.15357057872831995</v>
      </c>
      <c r="F132" s="52" cm="1">
        <f t="array" ref="F132">EntericMethane_Dairy_Equations.VEERG_3_3_1_1__2_DailyEntericMethaneProduction(F115)</f>
        <v>8.3279690750857505E-2</v>
      </c>
      <c r="G132" s="52" cm="1">
        <f t="array" ref="G132">EntericMethane_Dairy_Equations.VEERG_3_3_1_1__2_DailyEntericMethaneProduction(G115)</f>
        <v>0.18685931917499995</v>
      </c>
      <c r="H132" s="52" cm="1">
        <f t="array" ref="H132">EntericMethane_Dairy_Equations.VEERG_3_3_1_1__2_DailyEntericMethaneProduction(H115)</f>
        <v>0.11207698839843752</v>
      </c>
      <c r="I132" s="2" t="str">
        <f>$E$125</f>
        <v>kg CH4/head/day</v>
      </c>
      <c r="M132" s="52" cm="1">
        <f t="array" ref="M132">EntericMethane_Dairy_Equations.VEERG_3_3_1_1__2_DailyEntericMethaneProduction(M115)</f>
        <v>0.38987037606640085</v>
      </c>
      <c r="N132" s="52" cm="1">
        <f t="array" ref="N132">EntericMethane_Dairy_Equations.VEERG_3_3_1_1__2_DailyEntericMethaneProduction(N115)</f>
        <v>0.15357057872831995</v>
      </c>
      <c r="O132" s="52" cm="1">
        <f t="array" ref="O132">EntericMethane_Dairy_Equations.VEERG_3_3_1_1__2_DailyEntericMethaneProduction(O115)</f>
        <v>8.3279690750857505E-2</v>
      </c>
      <c r="P132" s="52" cm="1">
        <f t="array" ref="P132">EntericMethane_Dairy_Equations.VEERG_3_3_1_1__2_DailyEntericMethaneProduction(P115)</f>
        <v>0.18685931917499995</v>
      </c>
      <c r="Q132" s="52" cm="1">
        <f t="array" ref="Q132">EntericMethane_Dairy_Equations.VEERG_3_3_1_1__2_DailyEntericMethaneProduction(Q115)</f>
        <v>0.11207698839843752</v>
      </c>
      <c r="R132" s="2" t="str">
        <f>$E$125</f>
        <v>kg CH4/head/day</v>
      </c>
    </row>
    <row r="133" spans="3:19" ht="20.100000000000001" customHeight="1" x14ac:dyDescent="0.25"/>
    <row r="134" spans="3:19" ht="20.100000000000001" customHeight="1" x14ac:dyDescent="0.25"/>
    <row r="135" spans="3:19" ht="20.100000000000001" customHeight="1" x14ac:dyDescent="0.25">
      <c r="C135" s="46"/>
      <c r="D135" s="46"/>
      <c r="E135" s="46"/>
      <c r="F135" s="46"/>
      <c r="G135" s="46"/>
      <c r="H135" s="46"/>
      <c r="I135" s="46"/>
      <c r="J135" s="46"/>
      <c r="L135" s="46"/>
      <c r="M135" s="46"/>
      <c r="N135" s="46"/>
      <c r="O135" s="46"/>
      <c r="P135" s="46"/>
      <c r="Q135" s="46"/>
      <c r="R135" s="46"/>
      <c r="S135" s="46"/>
    </row>
    <row r="136" spans="3:19" ht="20.100000000000001" customHeight="1" x14ac:dyDescent="0.25">
      <c r="D136" s="48" t="str" cm="1">
        <f t="array" ref="D136">EntericMethane_Dairy_Equations.VEERG_3_3_1_1__1_TotalAnnualMethaneFromEntericFermentation_Title()</f>
        <v>Total annual methane production from enteric fermentation in dairy cattle</v>
      </c>
    </row>
    <row r="137" spans="3:19" ht="20.100000000000001" customHeight="1" x14ac:dyDescent="0.25">
      <c r="D137" s="5" t="str" cm="1">
        <f t="array" ref="D137">EntericMethane_Dairy_Equations.VEERG_3_3_1_1__1_TotalAnnualMethaneFromEntericFermentation_Source()</f>
        <v>VEERG 2026: 3.3.1.1, Equation (1)</v>
      </c>
    </row>
    <row r="138" spans="3:19" ht="20.100000000000001" customHeight="1" x14ac:dyDescent="0.25">
      <c r="D138" s="55" t="str" cm="1">
        <f t="array" ref="D138">EntericMethane_Dairy_Equations.VEERG_3_3_1_1__1_TotalAnnualMethaneFromEntericFermentation_Variation()</f>
        <v>VARIATION ON SOURCE: Added 'DPW' variable to allow for a separate handling of pre-weaned duration.</v>
      </c>
    </row>
    <row r="139" spans="3:19" ht="20.100000000000001" customHeight="1" x14ac:dyDescent="0.25">
      <c r="D139" s="13" t="s">
        <v>22</v>
      </c>
      <c r="E139" s="13" t="str" cm="1">
        <f t="array" aca="1" ref="E139" ca="1">Common_InputFunctions.Utility_DisplayFunctionName(D180)</f>
        <v>=EntericMethane_Dairy_Equations.VEERG_3_3_1_1__1_TotalAnnualMethaneFromEntericFermentationVariation</v>
      </c>
    </row>
    <row r="140" spans="3:19" ht="20.100000000000001" customHeight="1" x14ac:dyDescent="0.25"/>
    <row r="141" spans="3:19" ht="20.100000000000001" customHeight="1" x14ac:dyDescent="0.25"/>
    <row r="142" spans="3:19" ht="20.100000000000001" customHeight="1" x14ac:dyDescent="0.25"/>
    <row r="143" spans="3:19" ht="20.100000000000001" customHeight="1" x14ac:dyDescent="0.25"/>
    <row r="144" spans="3:19" ht="20.100000000000001" customHeight="1" x14ac:dyDescent="0.25"/>
    <row r="145" spans="4:9" ht="20.100000000000001" customHeight="1" x14ac:dyDescent="0.25">
      <c r="D145" s="53" t="s">
        <v>25</v>
      </c>
      <c r="E145" s="1" t="str" cm="1">
        <f t="array" ref="E145">EntericMethane_Dairy_Equations.VEERG_3_3_1_1__1_TotalAnnualMethaneFromEntericFermentation_Variable()</f>
        <v>E_enteric</v>
      </c>
    </row>
    <row r="146" spans="4:9" ht="20.100000000000001" customHeight="1" x14ac:dyDescent="0.25">
      <c r="D146" s="53" t="s">
        <v>15</v>
      </c>
      <c r="E146" s="54" t="str" cm="1">
        <f t="array" ref="E146">EntericMethane_Dairy_Equations.VEERG_3_3_1_1__1_TotalAnnualMethaneFromEntericFermentation_Unit()</f>
        <v>t CH4</v>
      </c>
    </row>
    <row r="147" spans="4:9" ht="20.100000000000001" customHeight="1" x14ac:dyDescent="0.25"/>
    <row r="148" spans="4:9" ht="20.100000000000001" customHeight="1" x14ac:dyDescent="0.25">
      <c r="D148" s="118" t="str" cm="1">
        <f t="array" ref="D148:E155">_xlfn.CHOOSECOLS(EntericMethane_Dairy_Equations.VEERG_3_3_1_1__1_TotalAnnualMethaneFromEntericFermentation_Arguments(),1,2)</f>
        <v>N_j124</v>
      </c>
      <c r="E148" s="117" t="str">
        <v>number of dairy cattle in classes j=1,2,4</v>
      </c>
      <c r="F148" s="119"/>
      <c r="G148" s="118" t="str" cm="1">
        <f t="array" ref="G148:H155">_xlfn.CHOOSECOLS(EntericMethane_Dairy_Equations.VEERG_3_3_1_1__1_TotalAnnualMethaneFromEntericFermentation_Arguments(),3,4)</f>
        <v>head</v>
      </c>
      <c r="H148" s="116" t="str">
        <v>Input</v>
      </c>
      <c r="I148" s="115" t="str" cm="1">
        <f t="array" aca="1" ref="I148" ca="1">HYPERLINK(Common_InputFunctions.Utility_SourceHyperlink($D$157),$D$157)</f>
        <v>Table_N_j</v>
      </c>
    </row>
    <row r="149" spans="4:9" ht="20.100000000000001" customHeight="1" x14ac:dyDescent="0.25">
      <c r="D149" s="118" t="str">
        <v>M_j124</v>
      </c>
      <c r="E149" s="117" t="str">
        <v>daily enteric methane production for classes j=1,2,4</v>
      </c>
      <c r="F149" s="119"/>
      <c r="G149" s="118" t="str">
        <v>kg CH4/head/day</v>
      </c>
      <c r="H149" s="114" t="str">
        <v>Calculated from 3.3.1.1 (2)</v>
      </c>
      <c r="I149" s="115" t="str" cm="1">
        <f t="array" aca="1" ref="I149" ca="1">HYPERLINK(Common_InputFunctions.Utility_SourceHyperlink($D$129),$D$129)</f>
        <v>M1_Table_M_j</v>
      </c>
    </row>
    <row r="150" spans="4:9" ht="20.100000000000001" customHeight="1" x14ac:dyDescent="0.25">
      <c r="D150" s="118" t="str">
        <v>D_j124</v>
      </c>
      <c r="E150" s="117" t="str">
        <v>duration of stay on the farm for classes j=1,2,4</v>
      </c>
      <c r="F150" s="119"/>
      <c r="G150" s="118" t="str">
        <v>days</v>
      </c>
      <c r="H150" s="116" t="str">
        <v>Input</v>
      </c>
      <c r="I150" s="115" t="str" cm="1">
        <f t="array" aca="1" ref="I150" ca="1">HYPERLINK(Common_InputFunctions.Utility_SourceHyperlink($D$162),$D$162)</f>
        <v>M1_Table_D_j</v>
      </c>
    </row>
    <row r="151" spans="4:9" ht="20.100000000000001" customHeight="1" x14ac:dyDescent="0.25">
      <c r="D151" s="118" t="str">
        <v>N_j35</v>
      </c>
      <c r="E151" s="117" t="str">
        <v>number of dairy cattle in classes j=3,5</v>
      </c>
      <c r="F151" s="119"/>
      <c r="G151" s="118" t="str">
        <v>head</v>
      </c>
      <c r="H151" s="116" t="str">
        <v>Input</v>
      </c>
      <c r="I151" s="115" t="str" cm="1">
        <f t="array" aca="1" ref="I151" ca="1">HYPERLINK(Common_InputFunctions.Utility_SourceHyperlink($D$157),$D$157)</f>
        <v>Table_N_j</v>
      </c>
    </row>
    <row r="152" spans="4:9" ht="20.100000000000001" customHeight="1" x14ac:dyDescent="0.25">
      <c r="D152" s="118" t="str">
        <v>M_j35</v>
      </c>
      <c r="E152" s="117" t="str">
        <v>daily enteric methane production for weaned classes j=3,5</v>
      </c>
      <c r="F152" s="119"/>
      <c r="G152" s="118" t="str">
        <v>kg CH4/head/day</v>
      </c>
      <c r="H152" s="114" t="str">
        <v>Calculated from 3.3.1.1 (2)</v>
      </c>
      <c r="I152" s="115" t="str" cm="1">
        <f t="array" aca="1" ref="I152" ca="1">HYPERLINK(Common_InputFunctions.Utility_SourceHyperlink($D$129),$D$129)</f>
        <v>M1_Table_M_j</v>
      </c>
    </row>
    <row r="153" spans="4:9" ht="20.100000000000001" customHeight="1" x14ac:dyDescent="0.25">
      <c r="D153" s="118" t="str">
        <v>D_j35</v>
      </c>
      <c r="E153" s="117" t="str">
        <v>duration of stay on the farm for weaned classes j=3,5</v>
      </c>
      <c r="F153" s="119"/>
      <c r="G153" s="118" t="str">
        <v>days</v>
      </c>
      <c r="H153" s="116" t="str">
        <v>Input</v>
      </c>
      <c r="I153" s="115" t="str" cm="1">
        <f t="array" aca="1" ref="I153" ca="1">HYPERLINK(Common_InputFunctions.Utility_SourceHyperlink($D$162),$D$162)</f>
        <v>M1_Table_D_j</v>
      </c>
    </row>
    <row r="154" spans="4:9" ht="20.100000000000001" customHeight="1" x14ac:dyDescent="0.25">
      <c r="D154" s="118" t="str">
        <v>DPW_j35</v>
      </c>
      <c r="E154" s="117" t="str">
        <v>duration of stay on the farm for pre-weaned heifer and bull calves</v>
      </c>
      <c r="F154" s="119"/>
      <c r="G154" s="118" t="str">
        <v>days</v>
      </c>
      <c r="H154" s="116" t="str">
        <v>Input</v>
      </c>
      <c r="I154" s="115" t="str" cm="1">
        <f t="array" aca="1" ref="I154" ca="1">HYPERLINK(Common_InputFunctions.Utility_SourceHyperlink($D$167),$D$167)</f>
        <v>M1_Table_DPW_j-3-5</v>
      </c>
    </row>
    <row r="155" spans="4:9" ht="20.100000000000001" customHeight="1" x14ac:dyDescent="0.25">
      <c r="D155" s="118" t="str">
        <v>MPW_ENTERIC_j35</v>
      </c>
      <c r="E155" s="118" t="str">
        <v>daily methane production for pre-weaned heifer and bull calves</v>
      </c>
      <c r="F155" s="118"/>
      <c r="G155" s="118" t="str">
        <v>kg CH4/head/day</v>
      </c>
      <c r="H155" s="114" t="str">
        <v>Constant</v>
      </c>
      <c r="I155" s="115" t="str" cm="1">
        <f t="array" aca="1" ref="I155" ca="1">HYPERLINK(Common_InputFunctions.Utility_SourceHyperlink($D$172),$D$172)</f>
        <v>M1_Table_MPW_j-3-5</v>
      </c>
    </row>
    <row r="156" spans="4:9" ht="20.100000000000001" customHeight="1" x14ac:dyDescent="0.25"/>
    <row r="157" spans="4:9" ht="20.100000000000001" customHeight="1" x14ac:dyDescent="0.25">
      <c r="D157" s="97" t="s">
        <v>95</v>
      </c>
    </row>
    <row r="158" spans="4:9" ht="20.100000000000001" customHeight="1" x14ac:dyDescent="0.25">
      <c r="D158" s="96" t="s">
        <v>218</v>
      </c>
    </row>
    <row r="159" spans="4:9" ht="20.100000000000001" customHeight="1" x14ac:dyDescent="0.25">
      <c r="D159" s="40" t="s">
        <v>124</v>
      </c>
      <c r="E159" s="40" t="s">
        <v>141</v>
      </c>
      <c r="F159" s="40" t="s">
        <v>142</v>
      </c>
      <c r="G159" s="40" t="s">
        <v>143</v>
      </c>
      <c r="H159" s="40" t="s">
        <v>144</v>
      </c>
    </row>
    <row r="160" spans="4:9" ht="20.100000000000001" customHeight="1" x14ac:dyDescent="0.25">
      <c r="D160" s="52">
        <f>'Input - Dairy'!E10</f>
        <v>100</v>
      </c>
      <c r="E160" s="52">
        <f>'Input - Dairy'!F10</f>
        <v>100</v>
      </c>
      <c r="F160" s="52">
        <f>'Input - Dairy'!G10</f>
        <v>100</v>
      </c>
      <c r="G160" s="52">
        <f>'Input - Dairy'!H10</f>
        <v>100</v>
      </c>
      <c r="H160" s="52">
        <f>'Input - Dairy'!I10</f>
        <v>100</v>
      </c>
      <c r="I160" s="54" t="str">
        <f>$G$148</f>
        <v>head</v>
      </c>
    </row>
    <row r="161" spans="4:18" ht="20.100000000000001" customHeight="1" x14ac:dyDescent="0.25"/>
    <row r="162" spans="4:18" ht="20.100000000000001" customHeight="1" x14ac:dyDescent="0.25">
      <c r="D162" s="97" t="s">
        <v>184</v>
      </c>
      <c r="M162" s="97" t="s">
        <v>185</v>
      </c>
    </row>
    <row r="163" spans="4:18" ht="20.100000000000001" customHeight="1" x14ac:dyDescent="0.25">
      <c r="D163" s="96" t="s">
        <v>219</v>
      </c>
      <c r="M163" s="96" t="s">
        <v>221</v>
      </c>
    </row>
    <row r="164" spans="4:18" ht="20.100000000000001" customHeight="1" x14ac:dyDescent="0.25">
      <c r="D164" s="40" t="s">
        <v>124</v>
      </c>
      <c r="E164" s="40" t="s">
        <v>141</v>
      </c>
      <c r="F164" s="40" t="s">
        <v>142</v>
      </c>
      <c r="G164" s="40" t="s">
        <v>143</v>
      </c>
      <c r="H164" s="40" t="s">
        <v>144</v>
      </c>
      <c r="M164" s="40" t="s">
        <v>124</v>
      </c>
      <c r="N164" s="40" t="s">
        <v>141</v>
      </c>
      <c r="O164" s="40" t="s">
        <v>142</v>
      </c>
      <c r="P164" s="40" t="s">
        <v>143</v>
      </c>
      <c r="Q164" s="40" t="s">
        <v>144</v>
      </c>
    </row>
    <row r="165" spans="4:18" ht="20.100000000000001" customHeight="1" x14ac:dyDescent="0.25">
      <c r="D165" s="52">
        <f>'Input - Dairy'!E24</f>
        <v>365</v>
      </c>
      <c r="E165" s="52">
        <f>'Input - Dairy'!F24</f>
        <v>365</v>
      </c>
      <c r="F165" s="52">
        <f>'Input - Dairy'!G24</f>
        <v>281</v>
      </c>
      <c r="G165" s="52">
        <f>'Input - Dairy'!H24</f>
        <v>365</v>
      </c>
      <c r="H165" s="52">
        <f>'Input - Dairy'!I24</f>
        <v>281</v>
      </c>
      <c r="I165" s="54" t="str">
        <f>$G$150</f>
        <v>days</v>
      </c>
      <c r="M165" s="52">
        <f>'Input - Dairy'!E28</f>
        <v>365</v>
      </c>
      <c r="N165" s="52">
        <f>'Input - Dairy'!F28</f>
        <v>365</v>
      </c>
      <c r="O165" s="52">
        <f>'Input - Dairy'!G28</f>
        <v>281</v>
      </c>
      <c r="P165" s="52">
        <f>'Input - Dairy'!H28</f>
        <v>365</v>
      </c>
      <c r="Q165" s="52">
        <f>'Input - Dairy'!I28</f>
        <v>281</v>
      </c>
      <c r="R165" s="54" t="str">
        <f>$G$150</f>
        <v>days</v>
      </c>
    </row>
    <row r="166" spans="4:18" ht="20.100000000000001" customHeight="1" x14ac:dyDescent="0.25"/>
    <row r="167" spans="4:18" ht="20.100000000000001" customHeight="1" x14ac:dyDescent="0.25">
      <c r="D167" s="97" t="s">
        <v>224</v>
      </c>
      <c r="M167" s="97" t="s">
        <v>222</v>
      </c>
    </row>
    <row r="168" spans="4:18" ht="20.100000000000001" customHeight="1" x14ac:dyDescent="0.25">
      <c r="D168" s="96" t="s">
        <v>220</v>
      </c>
      <c r="M168" s="96" t="s">
        <v>223</v>
      </c>
    </row>
    <row r="169" spans="4:18" ht="20.100000000000001" customHeight="1" x14ac:dyDescent="0.25">
      <c r="D169" s="40" t="s">
        <v>124</v>
      </c>
      <c r="E169" s="40" t="s">
        <v>141</v>
      </c>
      <c r="F169" s="40" t="s">
        <v>142</v>
      </c>
      <c r="G169" s="40" t="s">
        <v>143</v>
      </c>
      <c r="H169" s="40" t="s">
        <v>144</v>
      </c>
      <c r="M169" s="40" t="s">
        <v>124</v>
      </c>
      <c r="N169" s="40" t="s">
        <v>141</v>
      </c>
      <c r="O169" s="40" t="s">
        <v>142</v>
      </c>
      <c r="P169" s="40" t="s">
        <v>143</v>
      </c>
      <c r="Q169" s="40" t="s">
        <v>144</v>
      </c>
    </row>
    <row r="170" spans="4:18" ht="20.100000000000001" customHeight="1" x14ac:dyDescent="0.25">
      <c r="D170" s="52">
        <f>'Input - Dairy'!E25</f>
        <v>0</v>
      </c>
      <c r="E170" s="52">
        <f>'Input - Dairy'!F29</f>
        <v>0</v>
      </c>
      <c r="F170" s="52">
        <f>'Input - Dairy'!G29</f>
        <v>84</v>
      </c>
      <c r="G170" s="52">
        <f>'Input - Dairy'!H29</f>
        <v>0</v>
      </c>
      <c r="H170" s="52">
        <f>'Input - Dairy'!I29</f>
        <v>84</v>
      </c>
      <c r="I170" s="54" t="str">
        <f>$G$150</f>
        <v>days</v>
      </c>
      <c r="M170" s="52">
        <f>'Input - Dairy'!E29</f>
        <v>0</v>
      </c>
      <c r="N170" s="52">
        <f>'Input - Dairy'!F29</f>
        <v>0</v>
      </c>
      <c r="O170" s="52">
        <f>'Input - Dairy'!G29</f>
        <v>84</v>
      </c>
      <c r="P170" s="52">
        <f>'Input - Dairy'!H29</f>
        <v>0</v>
      </c>
      <c r="Q170" s="52">
        <f>'Input - Dairy'!I29</f>
        <v>84</v>
      </c>
      <c r="R170" s="54" t="str">
        <f>$G$150</f>
        <v>days</v>
      </c>
    </row>
    <row r="171" spans="4:18" ht="20.100000000000001" customHeight="1" x14ac:dyDescent="0.25"/>
    <row r="172" spans="4:18" ht="20.100000000000001" customHeight="1" x14ac:dyDescent="0.25">
      <c r="D172" s="97" t="s">
        <v>225</v>
      </c>
    </row>
    <row r="173" spans="4:18" ht="20.100000000000001" customHeight="1" x14ac:dyDescent="0.25">
      <c r="D173" s="96" t="s">
        <v>220</v>
      </c>
    </row>
    <row r="174" spans="4:18" ht="20.100000000000001" customHeight="1" x14ac:dyDescent="0.25">
      <c r="D174" s="51" t="s">
        <v>142</v>
      </c>
      <c r="E174" s="51" t="s">
        <v>144</v>
      </c>
    </row>
    <row r="175" spans="4:18" ht="20.100000000000001" customHeight="1" x14ac:dyDescent="0.25">
      <c r="D175" s="52">
        <f>'Constants - Dairy'!$E$99</f>
        <v>1.7600000000000001E-2</v>
      </c>
      <c r="E175" s="52">
        <f>'Constants - Dairy'!$E$100</f>
        <v>2.0400000000000001E-2</v>
      </c>
      <c r="F175" s="54" t="str">
        <f>G155</f>
        <v>kg CH4/head/day</v>
      </c>
    </row>
    <row r="176" spans="4:18" ht="20.100000000000001" customHeight="1" x14ac:dyDescent="0.25"/>
    <row r="177" spans="1:18" ht="20.100000000000001" customHeight="1" x14ac:dyDescent="0.25">
      <c r="D177" s="97" t="s">
        <v>226</v>
      </c>
      <c r="M177" s="97" t="s">
        <v>226</v>
      </c>
    </row>
    <row r="178" spans="1:18" ht="20.100000000000001" customHeight="1" x14ac:dyDescent="0.25">
      <c r="A178" s="121" t="str">
        <f>HYPERLINK("#A1", "▲ Back to top")</f>
        <v>▲ Back to top</v>
      </c>
      <c r="D178" s="96" t="s">
        <v>227</v>
      </c>
      <c r="M178" s="96" t="s">
        <v>227</v>
      </c>
    </row>
    <row r="179" spans="1:18" ht="20.100000000000001" customHeight="1" x14ac:dyDescent="0.25">
      <c r="D179" s="51" t="s">
        <v>124</v>
      </c>
      <c r="E179" s="51" t="s">
        <v>141</v>
      </c>
      <c r="F179" s="51" t="s">
        <v>142</v>
      </c>
      <c r="G179" s="51" t="s">
        <v>143</v>
      </c>
      <c r="H179" s="51" t="s">
        <v>144</v>
      </c>
      <c r="M179" s="51" t="s">
        <v>124</v>
      </c>
      <c r="N179" s="51" t="s">
        <v>141</v>
      </c>
      <c r="O179" s="51" t="s">
        <v>142</v>
      </c>
      <c r="P179" s="51" t="s">
        <v>143</v>
      </c>
      <c r="Q179" s="51" t="s">
        <v>144</v>
      </c>
    </row>
    <row r="180" spans="1:18" ht="20.100000000000001" customHeight="1" x14ac:dyDescent="0.25">
      <c r="D180" s="52" cm="1">
        <f t="array" ref="D180">EntericMethane_Dairy_Equations.VEERG_3_3_1_1__1_TotalAnnualMethaneFromEntericFermentationVariation(D160,D132,D165,0,0,0,0,0)</f>
        <v>14.230268726423633</v>
      </c>
      <c r="E180" s="52" cm="1">
        <f t="array" ref="E180">EntericMethane_Dairy_Equations.VEERG_3_3_1_1__1_TotalAnnualMethaneFromEntericFermentationVariation(E160,E132,E165,0,0,0,0,0)</f>
        <v>5.6053261235836782</v>
      </c>
      <c r="F180" s="52" cm="1">
        <f t="array" ref="F180">EntericMethane_Dairy_Equations.VEERG_3_3_1_1__1_TotalAnnualMethaneFromEntericFermentationVariation(0,0,0,F160,F132,F165,F170,$D$175)</f>
        <v>2.487999310099096</v>
      </c>
      <c r="G180" s="52" cm="1">
        <f t="array" ref="G180">EntericMethane_Dairy_Equations.VEERG_3_3_1_1__1_TotalAnnualMethaneFromEntericFermentationVariation(G160,G132,G165,0,0,0,0,0)</f>
        <v>6.8203651498874986</v>
      </c>
      <c r="H180" s="52" cm="1">
        <f t="array" ref="H180">EntericMethane_Dairy_Equations.VEERG_3_3_1_1__1_TotalAnnualMethaneFromEntericFermentationVariation(0,0,0,H160,H132,H165,H170,$E$175)</f>
        <v>3.3207233739960946</v>
      </c>
      <c r="I180" s="54" t="str">
        <f>$E$146</f>
        <v>t CH4</v>
      </c>
      <c r="M180" s="52" cm="1">
        <f t="array" ref="M180">EntericMethane_Dairy_Equations.VEERG_3_3_1_1__1_TotalAnnualMethaneFromEntericFermentationVariation(D160,M132,M165,0,0,0,0,0)</f>
        <v>14.230268726423633</v>
      </c>
      <c r="N180" s="52" cm="1">
        <f t="array" ref="N180">EntericMethane_Dairy_Equations.VEERG_3_3_1_1__1_TotalAnnualMethaneFromEntericFermentationVariation(E160,N132,N165,0,0,0,0,0)</f>
        <v>5.6053261235836782</v>
      </c>
      <c r="O180" s="52" cm="1">
        <f t="array" ref="O180">EntericMethane_Dairy_Equations.VEERG_3_3_1_1__1_TotalAnnualMethaneFromEntericFermentationVariation(0,0,0,F160,O132,O165,O170,$D$175)</f>
        <v>2.487999310099096</v>
      </c>
      <c r="P180" s="52" cm="1">
        <f t="array" ref="P180">EntericMethane_Dairy_Equations.VEERG_3_3_1_1__1_TotalAnnualMethaneFromEntericFermentationVariation(G160,P132,P165,0,0,0,0,0)</f>
        <v>6.8203651498874986</v>
      </c>
      <c r="Q180" s="52" cm="1">
        <f t="array" ref="Q180">EntericMethane_Dairy_Equations.VEERG_3_3_1_1__1_TotalAnnualMethaneFromEntericFermentationVariation(0,0,0,H160,Q132,Q165,Q170,$E$175)</f>
        <v>3.3207233739960946</v>
      </c>
      <c r="R180" s="54" t="str">
        <f>$E$146</f>
        <v>t CH4</v>
      </c>
    </row>
    <row r="181" spans="1:18" ht="20.100000000000001" customHeight="1" x14ac:dyDescent="0.25"/>
    <row r="182" spans="1:18" ht="20.100000000000001" customHeight="1" x14ac:dyDescent="0.25">
      <c r="D182" s="99" t="s">
        <v>228</v>
      </c>
      <c r="E182" s="100">
        <f>SUM(D180:H180)</f>
        <v>32.464682683989999</v>
      </c>
      <c r="F182" s="101" t="str">
        <f>$E$146</f>
        <v>t CH4</v>
      </c>
      <c r="M182" s="99" t="s">
        <v>228</v>
      </c>
      <c r="N182" s="100">
        <f>SUM(M180:Q180)</f>
        <v>32.464682683989999</v>
      </c>
      <c r="O182" s="101" t="str">
        <f>$E$146</f>
        <v>t CH4</v>
      </c>
    </row>
    <row r="183" spans="1:18" ht="20.100000000000001" customHeight="1" x14ac:dyDescent="0.25"/>
    <row r="184" spans="1:18" ht="20.100000000000001" customHeight="1" x14ac:dyDescent="0.25">
      <c r="D184" s="57" t="str" cm="1">
        <f t="array" ref="D184:E185">Common_Equations.Common_ConvertCH4ToCO2e_Arguments()</f>
        <v>ECH4</v>
      </c>
      <c r="E184" s="58" t="str">
        <v>Methane emissions (t CH4)</v>
      </c>
      <c r="F184" s="102"/>
      <c r="G184" s="52">
        <f>E182</f>
        <v>32.464682683989999</v>
      </c>
      <c r="M184" s="57" t="str" cm="1">
        <f t="array" ref="M184:N185">Common_Equations.Common_ConvertCH4ToCO2e_Arguments()</f>
        <v>ECH4</v>
      </c>
      <c r="N184" s="58" t="str">
        <v>Methane emissions (t CH4)</v>
      </c>
      <c r="O184" s="102"/>
      <c r="P184" s="52">
        <f>N182</f>
        <v>32.464682683989999</v>
      </c>
    </row>
    <row r="185" spans="1:18" ht="20.100000000000001" customHeight="1" x14ac:dyDescent="0.25">
      <c r="D185" s="57" t="str">
        <v>GWPCH4</v>
      </c>
      <c r="E185" s="58" t="str">
        <v>Global warming potential for methane (t CO2-e / t CH4)</v>
      </c>
      <c r="F185" s="102"/>
      <c r="G185" s="52">
        <f>Common_InputFunctions.Utility_LookupValueInTableNumber("CH4",Table_GWPData[Gas],Table_GWPData[CO2-e factor])</f>
        <v>28</v>
      </c>
      <c r="M185" s="57" t="str">
        <v>GWPCH4</v>
      </c>
      <c r="N185" s="58" t="str">
        <v>Global warming potential for methane (t CO2-e / t CH4)</v>
      </c>
      <c r="O185" s="102"/>
      <c r="P185" s="52">
        <f>Common_InputFunctions.Utility_LookupValueInTableNumber("CH4",Table_GWPData[Gas],Table_GWPData[CO2-e factor])</f>
        <v>28</v>
      </c>
    </row>
    <row r="186" spans="1:18" ht="20.100000000000001" customHeight="1" x14ac:dyDescent="0.25"/>
    <row r="187" spans="1:18" ht="20.100000000000001" customHeight="1" x14ac:dyDescent="0.25">
      <c r="D187" s="46" t="s">
        <v>96</v>
      </c>
      <c r="E187" s="46" cm="1">
        <f t="array" ref="E187">Common_Equations.Common_ConvertN2OToCO2e(G184,G185)</f>
        <v>909.01111515171999</v>
      </c>
      <c r="F187" s="103" t="str" cm="1">
        <f t="array" ref="F187">Common_Equations.Common_ConvertN2OToCO2e_Unit()</f>
        <v>t CO2e</v>
      </c>
      <c r="M187" s="46" t="s">
        <v>96</v>
      </c>
      <c r="N187" s="46" cm="1">
        <f t="array" ref="N187">Common_Equations.Common_ConvertN2OToCO2e(P184,P185)</f>
        <v>909.01111515171999</v>
      </c>
      <c r="O187" s="103" t="str" cm="1">
        <f t="array" ref="O187">Common_Equations.Common_ConvertN2OToCO2e_Unit()</f>
        <v>t CO2e</v>
      </c>
    </row>
    <row r="188" spans="1:18" ht="20.100000000000001" customHeight="1" x14ac:dyDescent="0.25"/>
    <row r="189" spans="1:18" ht="20.100000000000001" customHeight="1" x14ac:dyDescent="0.25"/>
    <row r="190" spans="1:18" ht="20.100000000000001" customHeight="1" x14ac:dyDescent="0.25"/>
    <row r="191" spans="1:18" ht="20.100000000000001" customHeight="1" x14ac:dyDescent="0.25"/>
    <row r="192" spans="1:18"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spans="1:1" ht="20.100000000000001" customHeight="1" x14ac:dyDescent="0.25"/>
    <row r="210" spans="1:1" ht="20.100000000000001" customHeight="1" x14ac:dyDescent="0.25"/>
    <row r="211" spans="1:1" ht="20.100000000000001" customHeight="1" x14ac:dyDescent="0.25"/>
    <row r="212" spans="1:1" ht="20.100000000000001" customHeight="1" x14ac:dyDescent="0.25"/>
    <row r="213" spans="1:1" ht="20.100000000000001" customHeight="1" x14ac:dyDescent="0.25"/>
    <row r="214" spans="1:1" ht="20.100000000000001" customHeight="1" x14ac:dyDescent="0.25"/>
    <row r="215" spans="1:1" ht="20.100000000000001" customHeight="1" x14ac:dyDescent="0.25"/>
    <row r="216" spans="1:1" ht="20.100000000000001" customHeight="1" x14ac:dyDescent="0.25"/>
    <row r="217" spans="1:1" ht="20.100000000000001" customHeight="1" x14ac:dyDescent="0.25">
      <c r="A217" s="121" t="str">
        <f>HYPERLINK("#A1", "▲ Back to top")</f>
        <v>▲ Back to top</v>
      </c>
    </row>
    <row r="218" spans="1:1" ht="20.100000000000001" customHeight="1" x14ac:dyDescent="0.25"/>
    <row r="219" spans="1:1" ht="20.100000000000001" customHeight="1" x14ac:dyDescent="0.25"/>
    <row r="220" spans="1:1" ht="20.100000000000001" customHeight="1" x14ac:dyDescent="0.25"/>
    <row r="221" spans="1:1" ht="20.100000000000001" customHeight="1" x14ac:dyDescent="0.25"/>
    <row r="222" spans="1:1" ht="20.100000000000001" customHeight="1" x14ac:dyDescent="0.25"/>
    <row r="223" spans="1:1" ht="20.100000000000001" customHeight="1" x14ac:dyDescent="0.25"/>
    <row r="224" spans="1:1"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5" spans="1:1" x14ac:dyDescent="0.25">
      <c r="A275" s="121" t="str">
        <f>HYPERLINK("#A1", "▲ Back to top")</f>
        <v>▲ Back to top</v>
      </c>
    </row>
  </sheetData>
  <dataValidations disablePrompts="1" count="1">
    <dataValidation operator="equal" allowBlank="1" showInputMessage="1" showErrorMessage="1" sqref="O157:R161 D188:F188 N91:P91 E163:H163 F161:I161 N168:Q168 N156:R156 E173:I173 E178:H178 N268 E211 E208 E264 E261 E215 N208 E268 N261 E151:F151 E168:H168 O155:R155 N211 N215 N264 E158:H158 I157:I160 O171:O172 N163:Q163 F171 G174:I176 F176 O176:R176 N178:Q17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12"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5" t="e" vm="1">
        <v>#VALUE!</v>
      </c>
      <c r="C1" s="8" t="s">
        <v>231</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3"/>
    </row>
    <row r="5" spans="1:21" ht="20.100000000000001" customHeight="1" x14ac:dyDescent="0.25">
      <c r="A5" s="17" t="str">
        <f>HYPERLINK("#'Results'!A1", "Results")</f>
        <v>Results</v>
      </c>
      <c r="D5" s="6" t="s">
        <v>121</v>
      </c>
      <c r="G5" s="6" t="s">
        <v>122</v>
      </c>
      <c r="J5" s="6" t="s">
        <v>112</v>
      </c>
      <c r="M5" s="1"/>
    </row>
    <row r="6" spans="1:21" ht="20.100000000000001" customHeight="1" x14ac:dyDescent="0.25">
      <c r="M6" s="1"/>
    </row>
    <row r="7" spans="1:21" ht="20.100000000000001" customHeight="1" x14ac:dyDescent="0.25">
      <c r="D7" s="95" t="s">
        <v>63</v>
      </c>
      <c r="E7" s="38" t="s">
        <v>73</v>
      </c>
      <c r="G7" s="38" t="s">
        <v>111</v>
      </c>
      <c r="J7" s="38" t="s">
        <v>109</v>
      </c>
      <c r="M7" s="1"/>
    </row>
    <row r="8" spans="1:21" ht="20.100000000000001" customHeight="1" x14ac:dyDescent="0.25">
      <c r="A8" s="19" t="s">
        <v>0</v>
      </c>
      <c r="D8" s="38" t="str">
        <f>'Constants - Livestock'!$E$9</f>
        <v>Anaerobic lagoon</v>
      </c>
      <c r="E8" s="38" t="str">
        <f>'Constants - Livestock'!$F$9</f>
        <v>Anaerobic lagoon (m=1)</v>
      </c>
      <c r="G8" s="38" t="str">
        <f>'Constants - Common'!$F$187</f>
        <v>Pasture</v>
      </c>
      <c r="J8" s="38" t="s">
        <v>113</v>
      </c>
      <c r="M8" s="1"/>
    </row>
    <row r="9" spans="1:21" ht="20.100000000000001" customHeight="1" x14ac:dyDescent="0.25">
      <c r="A9" s="17" t="str">
        <f>HYPERLINK("#'Input - Site'!A1", "Site")</f>
        <v>Site</v>
      </c>
      <c r="D9" s="38" t="str">
        <f>'Constants - Livestock'!$E$12</f>
        <v>Sump and dispersal system</v>
      </c>
      <c r="E9" s="38" t="str">
        <f>'Constants - Livestock'!$F$12</f>
        <v>Sump and dispersal system (m=3a)</v>
      </c>
      <c r="G9" s="1" t="str">
        <f>'Constants - Common'!$F$188</f>
        <v>Crop</v>
      </c>
      <c r="J9" s="38" t="s">
        <v>114</v>
      </c>
      <c r="M9" s="1"/>
    </row>
    <row r="10" spans="1:21" ht="20.100000000000001" customHeight="1" x14ac:dyDescent="0.25">
      <c r="A10" s="17" t="str">
        <f>HYPERLINK("#'Input - Dairy'!A1", "Dairy")</f>
        <v>Dairy</v>
      </c>
      <c r="D10" s="38" t="str">
        <f>'Constants - Livestock'!$E$13</f>
        <v>Drains to paddock</v>
      </c>
      <c r="E10" s="38" t="str">
        <f>'Constants - Livestock'!$F$13</f>
        <v>Drains to paddock (m=3b)</v>
      </c>
      <c r="J10" s="1" t="s">
        <v>115</v>
      </c>
      <c r="M10" s="1"/>
    </row>
    <row r="11" spans="1:21" ht="20.100000000000001" customHeight="1" x14ac:dyDescent="0.25">
      <c r="D11" s="38" t="str">
        <f>'Constants - Livestock'!$E$14</f>
        <v>Solid storage</v>
      </c>
      <c r="E11" s="38" t="str">
        <f>'Constants - Livestock'!$F$14</f>
        <v>Solid storage (m=4)</v>
      </c>
      <c r="J11" s="1" t="s">
        <v>116</v>
      </c>
      <c r="M11" s="1"/>
    </row>
    <row r="12" spans="1:21" ht="20.100000000000001" customHeight="1" x14ac:dyDescent="0.25">
      <c r="J12" s="1" t="s">
        <v>117</v>
      </c>
      <c r="M12" s="1"/>
    </row>
    <row r="13" spans="1:21" ht="20.100000000000001" customHeight="1" x14ac:dyDescent="0.25">
      <c r="A13" s="18" t="s">
        <v>69</v>
      </c>
      <c r="M13" s="1"/>
    </row>
    <row r="14" spans="1:21" ht="20.100000000000001" customHeight="1" x14ac:dyDescent="0.25">
      <c r="A14" s="17" t="str">
        <f>HYPERLINK("#'3.3.1.1-2 Enteric Methane'!A1", "3.3.1.1-2 Enteric Methane")</f>
        <v>3.3.1.1-2 Enteric Methane</v>
      </c>
      <c r="M14" s="1"/>
    </row>
    <row r="15" spans="1:21" ht="20.100000000000001" customHeight="1" x14ac:dyDescent="0.25">
      <c r="M15" s="1"/>
    </row>
    <row r="16" spans="1:21" ht="20.100000000000001" customHeight="1" x14ac:dyDescent="0.25">
      <c r="D16" s="6" t="str" cm="1">
        <f t="array" ref="D16">SourceData_Dairy.SourceData_Dairy_LiveweightCowsAndHeifers_Title()</f>
        <v>Table A.1.3.1: Dairy cattle - Liveweight (kg) - Cows and Heifers (Wj)</v>
      </c>
      <c r="M16" s="1"/>
    </row>
    <row r="17" spans="1:13" ht="20.100000000000001" customHeight="1" x14ac:dyDescent="0.25">
      <c r="A17" s="129" t="s">
        <v>1</v>
      </c>
      <c r="D17" s="5" t="str" cm="1">
        <f t="array" ref="D17">SourceData_Dairy.SourceData_Dairy_LiveweightCowsAndHeifers_Source()</f>
        <v>VEERG 2026: Table A.1.3.1</v>
      </c>
      <c r="M17" s="1"/>
    </row>
    <row r="18" spans="1:13" ht="20.100000000000001" customHeight="1" x14ac:dyDescent="0.25">
      <c r="A18" s="66" t="str">
        <f>HYPERLINK("#'Constants - Dairy'!A1", "Constants - Dairy")</f>
        <v>Constants - Dairy</v>
      </c>
      <c r="D18" s="1" t="str" cm="1">
        <f t="array" ref="D18">SourceData_Dairy.SourceData_Dairy_LiveweightCowsAndHeifers_Variable()</f>
        <v>Wj</v>
      </c>
      <c r="M18" s="1"/>
    </row>
    <row r="19" spans="1:13" ht="20.100000000000001" customHeight="1" x14ac:dyDescent="0.25">
      <c r="A19" s="17" t="str">
        <f>HYPERLINK("#'Constants - Common'!A1", "Constants - Common")</f>
        <v>Constants - Common</v>
      </c>
      <c r="D19" s="54" t="str" cm="1">
        <f t="array" ref="D19">SourceData_Dairy.SourceData_Dairy_LiveweightCowsAndHeifers_Unit()</f>
        <v>kg</v>
      </c>
      <c r="M19" s="1"/>
    </row>
    <row r="20" spans="1:13" ht="20.100000000000001" customHeight="1" x14ac:dyDescent="0.25">
      <c r="A20" s="17" t="str">
        <f>HYPERLINK("#'Constants - Livestock'!A1", "Constants - Livestock")</f>
        <v>Constants - Livestock</v>
      </c>
      <c r="D20" s="55"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7" t="str">
        <f>HYPERLINK("#'Acknowledgements'!A1", "Acknowledgements")</f>
        <v>Acknowledgements</v>
      </c>
      <c r="D21" s="38" t="s">
        <v>123</v>
      </c>
      <c r="E21" s="38" t="s">
        <v>124</v>
      </c>
      <c r="F21" s="38" t="s">
        <v>125</v>
      </c>
      <c r="G21" s="38" t="s">
        <v>126</v>
      </c>
      <c r="M21" s="1"/>
    </row>
    <row r="22" spans="1:13" ht="20.100000000000001" customHeight="1" x14ac:dyDescent="0.25">
      <c r="D22" s="38" t="str" cm="1">
        <f t="array" ref="D22">Common_InputFunctions.Utility_DisplayArrayInTable(SourceData_Dairy.SourceData_Dairy_LiveweightCowsAndHeifers_Data(), Table_SourceData_Dairy_WjCowsHeifers[[#Headers],[Breed]], 0)</f>
        <v>Medium Friesian</v>
      </c>
      <c r="E22" s="38" cm="1">
        <f t="array" ref="E22">Common_InputFunctions.Utility_DisplayArrayInTable(SourceData_Dairy.SourceData_Dairy_LiveweightCowsAndHeifers_Data(), Table_SourceData_Dairy_WjCowsHeifers[[#Headers],[Breed]], 0)</f>
        <v>550</v>
      </c>
      <c r="F22" s="38" cm="1">
        <f t="array" ref="F22">Common_InputFunctions.Utility_DisplayArrayInTable(SourceData_Dairy.SourceData_Dairy_LiveweightCowsAndHeifers_Data(), Table_SourceData_Dairy_WjCowsHeifers[[#Headers],[Breed]], 0)</f>
        <v>380</v>
      </c>
      <c r="G22" s="38" cm="1">
        <f t="array" ref="G22">Common_InputFunctions.Utility_DisplayArrayInTable(SourceData_Dairy.SourceData_Dairy_LiveweightCowsAndHeifers_Data(), Table_SourceData_Dairy_WjCowsHeifers[[#Headers],[Breed]], 0)</f>
        <v>155</v>
      </c>
      <c r="M22" s="1"/>
    </row>
    <row r="23" spans="1:13" ht="20.100000000000001" customHeight="1" x14ac:dyDescent="0.25">
      <c r="D23" s="38" t="str" cm="1">
        <f t="array" ref="D23">Common_InputFunctions.Utility_DisplayArrayInTable(SourceData_Dairy.SourceData_Dairy_LiveweightCowsAndHeifers_Data(), Table_SourceData_Dairy_WjCowsHeifers[[#Headers],[Breed]], 0)</f>
        <v>Large Friesian</v>
      </c>
      <c r="E23" s="38" cm="1">
        <f t="array" ref="E23">Common_InputFunctions.Utility_DisplayArrayInTable(SourceData_Dairy.SourceData_Dairy_LiveweightCowsAndHeifers_Data(), Table_SourceData_Dairy_WjCowsHeifers[[#Headers],[Breed]], 0)</f>
        <v>600</v>
      </c>
      <c r="F23" s="38" cm="1">
        <f t="array" ref="F23">Common_InputFunctions.Utility_DisplayArrayInTable(SourceData_Dairy.SourceData_Dairy_LiveweightCowsAndHeifers_Data(), Table_SourceData_Dairy_WjCowsHeifers[[#Headers],[Breed]], 0)</f>
        <v>415</v>
      </c>
      <c r="G23" s="38" cm="1">
        <f t="array" ref="G23">Common_InputFunctions.Utility_DisplayArrayInTable(SourceData_Dairy.SourceData_Dairy_LiveweightCowsAndHeifers_Data(), Table_SourceData_Dairy_WjCowsHeifers[[#Headers],[Breed]], 0)</f>
        <v>170</v>
      </c>
      <c r="M23" s="1"/>
    </row>
    <row r="24" spans="1:13" ht="20.100000000000001" customHeight="1" x14ac:dyDescent="0.25">
      <c r="D24" s="38" t="str" cm="1">
        <f t="array" ref="D24">Common_InputFunctions.Utility_DisplayArrayInTable(SourceData_Dairy.SourceData_Dairy_LiveweightCowsAndHeifers_Data(), Table_SourceData_Dairy_WjCowsHeifers[[#Headers],[Breed]], 0)</f>
        <v>Holstein-Friesian</v>
      </c>
      <c r="E24" s="38" cm="1">
        <f t="array" ref="E24">Common_InputFunctions.Utility_DisplayArrayInTable(SourceData_Dairy.SourceData_Dairy_LiveweightCowsAndHeifers_Data(), Table_SourceData_Dairy_WjCowsHeifers[[#Headers],[Breed]], 0)</f>
        <v>650</v>
      </c>
      <c r="F24" s="38" cm="1">
        <f t="array" ref="F24">Common_InputFunctions.Utility_DisplayArrayInTable(SourceData_Dairy.SourceData_Dairy_LiveweightCowsAndHeifers_Data(), Table_SourceData_Dairy_WjCowsHeifers[[#Headers],[Breed]], 0)</f>
        <v>450</v>
      </c>
      <c r="G24" s="38" cm="1">
        <f t="array" ref="G24">Common_InputFunctions.Utility_DisplayArrayInTable(SourceData_Dairy.SourceData_Dairy_LiveweightCowsAndHeifers_Data(), Table_SourceData_Dairy_WjCowsHeifers[[#Headers],[Breed]], 0)</f>
        <v>185</v>
      </c>
      <c r="M24" s="1"/>
    </row>
    <row r="25" spans="1:13" ht="20.100000000000001" customHeight="1" x14ac:dyDescent="0.25">
      <c r="D25" s="38" t="str" cm="1">
        <f t="array" ref="D25">Common_InputFunctions.Utility_DisplayArrayInTable(SourceData_Dairy.SourceData_Dairy_LiveweightCowsAndHeifers_Data(), Table_SourceData_Dairy_WjCowsHeifers[[#Headers],[Breed]], 0)</f>
        <v>Friesian crossbred</v>
      </c>
      <c r="E25" s="38" cm="1">
        <f t="array" ref="E25">Common_InputFunctions.Utility_DisplayArrayInTable(SourceData_Dairy.SourceData_Dairy_LiveweightCowsAndHeifers_Data(), Table_SourceData_Dairy_WjCowsHeifers[[#Headers],[Breed]], 0)</f>
        <v>500</v>
      </c>
      <c r="F25" s="38" cm="1">
        <f t="array" ref="F25">Common_InputFunctions.Utility_DisplayArrayInTable(SourceData_Dairy.SourceData_Dairy_LiveweightCowsAndHeifers_Data(), Table_SourceData_Dairy_WjCowsHeifers[[#Headers],[Breed]], 0)</f>
        <v>350</v>
      </c>
      <c r="G25" s="38"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8" t="str" cm="1">
        <f t="array" ref="D26">Common_InputFunctions.Utility_DisplayArrayInTable(SourceData_Dairy.SourceData_Dairy_LiveweightCowsAndHeifers_Data(), Table_SourceData_Dairy_WjCowsHeifers[[#Headers],[Breed]], 0)</f>
        <v>Jersey</v>
      </c>
      <c r="E26" s="38" cm="1">
        <f t="array" ref="E26">Common_InputFunctions.Utility_DisplayArrayInTable(SourceData_Dairy.SourceData_Dairy_LiveweightCowsAndHeifers_Data(), Table_SourceData_Dairy_WjCowsHeifers[[#Headers],[Breed]], 0)</f>
        <v>400</v>
      </c>
      <c r="F26" s="38" cm="1">
        <f t="array" ref="F26">Common_InputFunctions.Utility_DisplayArrayInTable(SourceData_Dairy.SourceData_Dairy_LiveweightCowsAndHeifers_Data(), Table_SourceData_Dairy_WjCowsHeifers[[#Headers],[Breed]], 0)</f>
        <v>275</v>
      </c>
      <c r="G26" s="38"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8" t="str" cm="1">
        <f t="array" ref="D27">Common_InputFunctions.Utility_DisplayArrayInTable(SourceData_Dairy.SourceData_Dairy_LiveweightCowsAndHeifers_Data(), Table_SourceData_Dairy_WjCowsHeifers[[#Headers],[Breed]], 0)</f>
        <v>Jersey crossbred</v>
      </c>
      <c r="E27" s="38" cm="1">
        <f t="array" ref="E27">Common_InputFunctions.Utility_DisplayArrayInTable(SourceData_Dairy.SourceData_Dairy_LiveweightCowsAndHeifers_Data(), Table_SourceData_Dairy_WjCowsHeifers[[#Headers],[Breed]], 0)</f>
        <v>450</v>
      </c>
      <c r="F27" s="38" cm="1">
        <f t="array" ref="F27">Common_InputFunctions.Utility_DisplayArrayInTable(SourceData_Dairy.SourceData_Dairy_LiveweightCowsAndHeifers_Data(), Table_SourceData_Dairy_WjCowsHeifers[[#Headers],[Breed]], 0)</f>
        <v>315</v>
      </c>
      <c r="G27" s="38"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8" t="str" cm="1">
        <f t="array" ref="D28">Common_InputFunctions.Utility_DisplayArrayInTable(SourceData_Dairy.SourceData_Dairy_LiveweightCowsAndHeifers_Data(), Table_SourceData_Dairy_WjCowsHeifers[[#Headers],[Breed]], 0)</f>
        <v>Ayrshire</v>
      </c>
      <c r="E28" s="38" cm="1">
        <f t="array" ref="E28">Common_InputFunctions.Utility_DisplayArrayInTable(SourceData_Dairy.SourceData_Dairy_LiveweightCowsAndHeifers_Data(), Table_SourceData_Dairy_WjCowsHeifers[[#Headers],[Breed]], 0)</f>
        <v>540</v>
      </c>
      <c r="F28" s="38" cm="1">
        <f t="array" ref="F28">Common_InputFunctions.Utility_DisplayArrayInTable(SourceData_Dairy.SourceData_Dairy_LiveweightCowsAndHeifers_Data(), Table_SourceData_Dairy_WjCowsHeifers[[#Headers],[Breed]], 0)</f>
        <v>375</v>
      </c>
      <c r="G28" s="38"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8" t="str" cm="1">
        <f t="array" ref="D29">Common_InputFunctions.Utility_DisplayArrayInTable(SourceData_Dairy.SourceData_Dairy_LiveweightCowsAndHeifers_Data(), Table_SourceData_Dairy_WjCowsHeifers[[#Headers],[Breed]], 0)</f>
        <v>Guernsey</v>
      </c>
      <c r="E29" s="38" cm="1">
        <f t="array" ref="E29">Common_InputFunctions.Utility_DisplayArrayInTable(SourceData_Dairy.SourceData_Dairy_LiveweightCowsAndHeifers_Data(), Table_SourceData_Dairy_WjCowsHeifers[[#Headers],[Breed]], 0)</f>
        <v>480</v>
      </c>
      <c r="F29" s="38" cm="1">
        <f t="array" ref="F29">Common_InputFunctions.Utility_DisplayArrayInTable(SourceData_Dairy.SourceData_Dairy_LiveweightCowsAndHeifers_Data(), Table_SourceData_Dairy_WjCowsHeifers[[#Headers],[Breed]], 0)</f>
        <v>335</v>
      </c>
      <c r="G29" s="38"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8" t="str" cm="1">
        <f t="array" ref="D30">Common_InputFunctions.Utility_DisplayArrayInTable(SourceData_Dairy.SourceData_Dairy_LiveweightCowsAndHeifers_Data(), Table_SourceData_Dairy_WjCowsHeifers[[#Headers],[Breed]], 0)</f>
        <v>Brown Swiss</v>
      </c>
      <c r="E30" s="38" cm="1">
        <f t="array" ref="E30">Common_InputFunctions.Utility_DisplayArrayInTable(SourceData_Dairy.SourceData_Dairy_LiveweightCowsAndHeifers_Data(), Table_SourceData_Dairy_WjCowsHeifers[[#Headers],[Breed]], 0)</f>
        <v>600</v>
      </c>
      <c r="F30" s="38" cm="1">
        <f t="array" ref="F30">Common_InputFunctions.Utility_DisplayArrayInTable(SourceData_Dairy.SourceData_Dairy_LiveweightCowsAndHeifers_Data(), Table_SourceData_Dairy_WjCowsHeifers[[#Headers],[Breed]], 0)</f>
        <v>415</v>
      </c>
      <c r="G30" s="38"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8" t="str" cm="1">
        <f t="array" ref="D31">Common_InputFunctions.Utility_DisplayArrayInTable(SourceData_Dairy.SourceData_Dairy_LiveweightCowsAndHeifers_Data(), Table_SourceData_Dairy_WjCowsHeifers[[#Headers],[Breed]], 0)</f>
        <v>Illawarra/Aussie Red</v>
      </c>
      <c r="E31" s="38" cm="1">
        <f t="array" ref="E31">Common_InputFunctions.Utility_DisplayArrayInTable(SourceData_Dairy.SourceData_Dairy_LiveweightCowsAndHeifers_Data(), Table_SourceData_Dairy_WjCowsHeifers[[#Headers],[Breed]], 0)</f>
        <v>550</v>
      </c>
      <c r="F31" s="38" cm="1">
        <f t="array" ref="F31">Common_InputFunctions.Utility_DisplayArrayInTable(SourceData_Dairy.SourceData_Dairy_LiveweightCowsAndHeifers_Data(), Table_SourceData_Dairy_WjCowsHeifers[[#Headers],[Breed]], 0)</f>
        <v>375</v>
      </c>
      <c r="G31" s="38"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4" t="str" cm="1">
        <f t="array" ref="D37">SourceData_Dairy.SourceData_Dairy_LiveweightBulls_Unit()</f>
        <v>kg</v>
      </c>
      <c r="M37" s="1"/>
    </row>
    <row r="38" spans="4:13" ht="20.100000000000001" customHeight="1" x14ac:dyDescent="0.25">
      <c r="D38" s="38" t="s">
        <v>123</v>
      </c>
      <c r="E38" s="38" t="s">
        <v>128</v>
      </c>
      <c r="F38" s="38" t="s">
        <v>127</v>
      </c>
      <c r="M38" s="1"/>
    </row>
    <row r="39" spans="4:13" ht="20.100000000000001" customHeight="1" x14ac:dyDescent="0.25">
      <c r="D39" s="38" t="str" cm="1">
        <f t="array" ref="D39">Common_InputFunctions.Utility_DisplayArrayInTable(SourceData_Dairy.SourceData_Dairy_LiveweightBulls_Data(), Table_SourceData_Dairy_WjBulls[[#Headers],[Breed]], 0)</f>
        <v>All breeds</v>
      </c>
      <c r="E39" s="38" cm="1">
        <f t="array" ref="E39">Common_InputFunctions.Utility_DisplayArrayInTable(SourceData_Dairy.SourceData_Dairy_LiveweightBulls_Data(), Table_SourceData_Dairy_WjBulls[[#Headers],[Breed]], 0)</f>
        <v>600</v>
      </c>
      <c r="F39" s="38"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4" t="str" cm="1">
        <f t="array" ref="D45">SourceData_Dairy.SourceData_Dairy_LiveweightGain_Unit()</f>
        <v>kg</v>
      </c>
      <c r="M45" s="1"/>
    </row>
    <row r="46" spans="4:13" ht="20.100000000000001" customHeight="1" x14ac:dyDescent="0.25">
      <c r="D46" s="38" t="s">
        <v>124</v>
      </c>
      <c r="E46" s="38" t="s">
        <v>125</v>
      </c>
      <c r="F46" s="38" t="s">
        <v>126</v>
      </c>
      <c r="G46" s="38" t="s">
        <v>128</v>
      </c>
      <c r="H46" s="38" t="s">
        <v>127</v>
      </c>
      <c r="M46" s="1"/>
    </row>
    <row r="47" spans="4:13" ht="20.100000000000001" customHeight="1" x14ac:dyDescent="0.25">
      <c r="D47" s="38" cm="1">
        <f t="array" ref="D47">Common_InputFunctions.Utility_DisplayArrayInTable(SourceData_Dairy.SourceData_Dairy_LiveweightGain_Data(), Table_SourceData_Dairy_LWGj[[#Headers],[Milking cows]], 0)</f>
        <v>1.6E-2</v>
      </c>
      <c r="E47" s="38" cm="1">
        <f t="array" ref="E47">Common_InputFunctions.Utility_DisplayArrayInTable(SourceData_Dairy.SourceData_Dairy_LiveweightGain_Data(), Table_SourceData_Dairy_LWGj[[#Headers],[Milking cows]], 0)</f>
        <v>0.6</v>
      </c>
      <c r="F47" s="38" cm="1">
        <f t="array" ref="F47">Common_InputFunctions.Utility_DisplayArrayInTable(SourceData_Dairy.SourceData_Dairy_LiveweightGain_Data(), Table_SourceData_Dairy_LWGj[[#Headers],[Milking cows]], 0)</f>
        <v>0.56999999999999995</v>
      </c>
      <c r="G47" s="38" cm="1">
        <f t="array" ref="G47">Common_InputFunctions.Utility_DisplayArrayInTable(SourceData_Dairy.SourceData_Dairy_LiveweightGain_Data(), Table_SourceData_Dairy_LWGj[[#Headers],[Milking cows]], 0)</f>
        <v>0.1</v>
      </c>
      <c r="H47" s="38"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4:13" ht="20.100000000000001" customHeight="1" x14ac:dyDescent="0.25">
      <c r="M49" s="1"/>
    </row>
    <row r="50" spans="4:13" ht="20.100000000000001" customHeight="1" x14ac:dyDescent="0.25">
      <c r="D50" s="6" t="str" cm="1">
        <f t="array" ref="D50">SourceData_Dairy.SourceData_Dairy_ReferenceWeights_Title()</f>
        <v>Table A.1.3.4: Dairy cattle - Reference weights (kg) (WRj)</v>
      </c>
      <c r="M50" s="1"/>
    </row>
    <row r="51" spans="4:13" ht="20.100000000000001" customHeight="1" x14ac:dyDescent="0.25">
      <c r="D51" s="5" t="str" cm="1">
        <f t="array" ref="D51">SourceData_Dairy.SourceData_Dairy_ReferenceWeights_Source()</f>
        <v>VEERG 2026: Table A.1.3.4</v>
      </c>
      <c r="M51" s="1"/>
    </row>
    <row r="52" spans="4:13" ht="20.100000000000001" customHeight="1" x14ac:dyDescent="0.25">
      <c r="D52" s="1" t="str" cm="1">
        <f t="array" ref="D52">SourceData_Dairy.SourceData_Dairy_ReferenceWeights_Variable()</f>
        <v>WRj</v>
      </c>
      <c r="M52" s="1"/>
    </row>
    <row r="53" spans="4:13" ht="20.100000000000001" customHeight="1" x14ac:dyDescent="0.25">
      <c r="D53" s="54" t="str" cm="1">
        <f t="array" ref="D53">SourceData_Dairy.SourceData_Dairy_ReferenceWeights_Unit()</f>
        <v>kg</v>
      </c>
      <c r="M53" s="1"/>
    </row>
    <row r="54" spans="4:13" ht="20.100000000000001" customHeight="1" x14ac:dyDescent="0.25">
      <c r="D54" s="112" t="s">
        <v>124</v>
      </c>
      <c r="E54" s="112" t="s">
        <v>125</v>
      </c>
      <c r="F54" s="112" t="s">
        <v>126</v>
      </c>
      <c r="G54" s="112" t="s">
        <v>128</v>
      </c>
      <c r="H54" s="112" t="s">
        <v>127</v>
      </c>
      <c r="M54" s="1"/>
    </row>
    <row r="55" spans="4:13" ht="20.100000000000001" customHeight="1" x14ac:dyDescent="0.25">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4:13" ht="20.100000000000001" customHeight="1" x14ac:dyDescent="0.25">
      <c r="M56" s="1"/>
    </row>
    <row r="57" spans="4:13" ht="20.100000000000001" customHeight="1" x14ac:dyDescent="0.25">
      <c r="M57" s="1"/>
    </row>
    <row r="58" spans="4:13" ht="20.100000000000001" customHeight="1" x14ac:dyDescent="0.25">
      <c r="D58" s="6" t="str" cm="1">
        <f t="array" ref="D58">SourceData_Dairy.SourceData_Dairy_PreWeanedCalves_Title()</f>
        <v>Table A.1.3.5: Dairy cattle - Data for pre - weaned calves</v>
      </c>
      <c r="M58" s="1"/>
    </row>
    <row r="59" spans="4:13" ht="20.100000000000001" customHeight="1" x14ac:dyDescent="0.25">
      <c r="D59" s="5" t="str" cm="1">
        <f t="array" ref="D59">SourceData_Dairy.SourceData_Dairy_PreWeanedCalves_Source()</f>
        <v>VEERG 2026: Table A.1.3.5</v>
      </c>
      <c r="M59" s="1"/>
    </row>
    <row r="60" spans="4:13" ht="20.100000000000001" customHeight="1" x14ac:dyDescent="0.25">
      <c r="D60" s="1" t="str" cm="1">
        <f t="array" ref="D60">SourceData_Dairy.SourceData_Dairy_PreWeanedCalves_Variable()</f>
        <v>VSj=3,5; NPWj=3,5</v>
      </c>
      <c r="M60" s="1"/>
    </row>
    <row r="61" spans="4:13" ht="20.100000000000001" customHeight="1" x14ac:dyDescent="0.25">
      <c r="D61" s="54" t="str" cm="1">
        <f t="array" ref="D61">SourceData_Dairy.SourceData_Dairy_PreWeanedCalves_Unit()</f>
        <v>kg/day</v>
      </c>
      <c r="M61" s="1"/>
    </row>
    <row r="62" spans="4:13" ht="20.100000000000001" customHeight="1" x14ac:dyDescent="0.25">
      <c r="D62" s="38" t="s">
        <v>129</v>
      </c>
      <c r="E62" s="38" t="s">
        <v>130</v>
      </c>
      <c r="F62" s="38" t="s">
        <v>131</v>
      </c>
      <c r="G62" s="38" t="s">
        <v>132</v>
      </c>
      <c r="M62" s="1"/>
    </row>
    <row r="63" spans="4:13" ht="20.100000000000001" customHeight="1" x14ac:dyDescent="0.25">
      <c r="D63" s="38" t="str" cm="1">
        <f t="array" ref="D63">Common_InputFunctions.Utility_DisplayArrayInTable(SourceData_Dairy.SourceData_Dairy_PreWeanedCalves_Data(), Table_SourceData_Dairy_DataPreWeaned[[#Headers],[Animal class j]], -1)</f>
        <v>Heifers&lt;1</v>
      </c>
      <c r="E63" s="38" cm="1">
        <f t="array" ref="E63">Common_InputFunctions.Utility_DisplayArrayInTable(SourceData_Dairy.SourceData_Dairy_PreWeanedCalves_Data(), Table_SourceData_Dairy_DataPreWeaned[[#Headers],[Animal class j]], -1)</f>
        <v>1.7600000000000001E-2</v>
      </c>
      <c r="F63" s="38" cm="1">
        <f t="array" ref="F63">Common_InputFunctions.Utility_DisplayArrayInTable(SourceData_Dairy.SourceData_Dairy_PreWeanedCalves_Data(), Table_SourceData_Dairy_DataPreWeaned[[#Headers],[Animal class j]], -1)</f>
        <v>0.26850000000000002</v>
      </c>
      <c r="G63" s="38" cm="1">
        <f t="array" ref="G63">Common_InputFunctions.Utility_DisplayArrayInTable(SourceData_Dairy.SourceData_Dairy_PreWeanedCalves_Data(), Table_SourceData_Dairy_DataPreWeaned[[#Headers],[Animal class j]], -1)</f>
        <v>1.37E-2</v>
      </c>
      <c r="M63" s="1"/>
    </row>
    <row r="64" spans="4:13" ht="20.100000000000001" customHeight="1" x14ac:dyDescent="0.25">
      <c r="D64" s="38" t="str" cm="1">
        <f t="array" ref="D64">Common_InputFunctions.Utility_DisplayArrayInTable(SourceData_Dairy.SourceData_Dairy_PreWeanedCalves_Data(), Table_SourceData_Dairy_DataPreWeaned[[#Headers],[Animal class j]], -1)</f>
        <v>Bulls&lt;1</v>
      </c>
      <c r="E64" s="38" cm="1">
        <f t="array" ref="E64">Common_InputFunctions.Utility_DisplayArrayInTable(SourceData_Dairy.SourceData_Dairy_PreWeanedCalves_Data(), Table_SourceData_Dairy_DataPreWeaned[[#Headers],[Animal class j]], -1)</f>
        <v>2.0400000000000001E-2</v>
      </c>
      <c r="F64" s="38" cm="1">
        <f t="array" ref="F64">Common_InputFunctions.Utility_DisplayArrayInTable(SourceData_Dairy.SourceData_Dairy_PreWeanedCalves_Data(), Table_SourceData_Dairy_DataPreWeaned[[#Headers],[Animal class j]], -1)</f>
        <v>0.30030000000000001</v>
      </c>
      <c r="G64" s="38" cm="1">
        <f t="array" ref="G64">Common_InputFunctions.Utility_DisplayArrayInTable(SourceData_Dairy.SourceData_Dairy_PreWeanedCalves_Data(), Table_SourceData_Dairy_DataPreWeaned[[#Headers],[Animal class j]], -1)</f>
        <v>9.1999999999999998E-3</v>
      </c>
      <c r="M64" s="1"/>
    </row>
    <row r="65" spans="4:22" ht="20.100000000000001" customHeight="1" x14ac:dyDescent="0.25">
      <c r="M65" s="1"/>
    </row>
    <row r="66" spans="4:22" ht="20.100000000000001" customHeight="1" x14ac:dyDescent="0.25">
      <c r="M66" s="1"/>
    </row>
    <row r="67" spans="4:22" ht="20.100000000000001" customHeight="1" x14ac:dyDescent="0.25">
      <c r="D67" s="6" t="str" cm="1">
        <f t="array" ref="D67">SourceData_Dairy.SourceData_Dairy_MCF_Title()</f>
        <v>Table A.1.3.6: Dairy cattle - Dairy cattle - MCFs (fraction) (MCFjm)</v>
      </c>
      <c r="M67" s="1"/>
    </row>
    <row r="68" spans="4:22" ht="20.100000000000001" customHeight="1" x14ac:dyDescent="0.25">
      <c r="D68" s="5" t="str" cm="1">
        <f t="array" ref="D68">SourceData_Dairy.SourceData_Dairy_MCF_Source()</f>
        <v>VEERG 2026: Table A.1.3.6</v>
      </c>
      <c r="M68" s="1"/>
    </row>
    <row r="69" spans="4:22" ht="20.100000000000001" customHeight="1" x14ac:dyDescent="0.25">
      <c r="D69" s="1" t="str" cm="1">
        <f t="array" ref="D69">SourceData_Dairy.SourceData_Dairy_MCF_Variable()</f>
        <v>MCFjm</v>
      </c>
      <c r="M69" s="1"/>
    </row>
    <row r="70" spans="4:22" ht="20.100000000000001" customHeight="1" x14ac:dyDescent="0.25">
      <c r="D70" s="54" t="str" cm="1">
        <f t="array" ref="D70">SourceData_Dairy.SourceData_Dairy_MCF_Unit()</f>
        <v>fraction</v>
      </c>
      <c r="M70" s="1"/>
    </row>
    <row r="71" spans="4:22" ht="20.100000000000001" customHeight="1" x14ac:dyDescent="0.25">
      <c r="D71" s="55" t="str" cm="1">
        <f t="array" ref="D71">SourceData_Dairy.SourceData_Dairy_MCF_Variation()</f>
        <v>VARIATION OF SOURCE: Added 'NIR reference' column to aid lookup</v>
      </c>
      <c r="M71" s="1"/>
      <c r="V71" s="1"/>
    </row>
    <row r="72" spans="4:22" ht="20.100000000000001" customHeight="1" x14ac:dyDescent="0.25">
      <c r="D72" s="38" t="s">
        <v>91</v>
      </c>
      <c r="E72" s="38" t="s">
        <v>74</v>
      </c>
      <c r="F72" s="38" t="s">
        <v>75</v>
      </c>
      <c r="G72" s="38" t="s">
        <v>76</v>
      </c>
      <c r="H72" s="38" t="s">
        <v>77</v>
      </c>
      <c r="I72" s="38" t="s">
        <v>78</v>
      </c>
      <c r="J72" s="38" t="s">
        <v>79</v>
      </c>
      <c r="K72" s="38" t="s">
        <v>80</v>
      </c>
      <c r="L72" s="38" t="s">
        <v>81</v>
      </c>
      <c r="M72" s="38" t="s">
        <v>140</v>
      </c>
      <c r="V72" s="1"/>
    </row>
    <row r="73" spans="4:22" ht="20.100000000000001" customHeight="1" x14ac:dyDescent="0.25">
      <c r="D73" s="38" t="str" cm="1">
        <f t="array" ref="D73">Common_InputFunctions.Utility_DisplayArrayInTable(SourceData_Dairy.SourceData_Dairy_MCF_Data(), Table_SourceData_Dairy_MCFjm[[#Headers],[MMS m]], 0)</f>
        <v>Pasture</v>
      </c>
      <c r="E73" s="38" cm="1">
        <f t="array" ref="E73">Common_InputFunctions.Utility_DisplayArrayInTable(SourceData_Dairy.SourceData_Dairy_MCF_Data(), Table_SourceData_Dairy_MCFjm[[#Headers],[MMS m]], 0)</f>
        <v>0.01</v>
      </c>
      <c r="F73" s="38" cm="1">
        <f t="array" ref="F73">Common_InputFunctions.Utility_DisplayArrayInTable(SourceData_Dairy.SourceData_Dairy_MCF_Data(), Table_SourceData_Dairy_MCFjm[[#Headers],[MMS m]], 0)</f>
        <v>0.01</v>
      </c>
      <c r="G73" s="38" cm="1">
        <f t="array" ref="G73">Common_InputFunctions.Utility_DisplayArrayInTable(SourceData_Dairy.SourceData_Dairy_MCF_Data(), Table_SourceData_Dairy_MCFjm[[#Headers],[MMS m]], 0)</f>
        <v>0.02</v>
      </c>
      <c r="H73" s="38" cm="1">
        <f t="array" ref="H73">Common_InputFunctions.Utility_DisplayArrayInTable(SourceData_Dairy.SourceData_Dairy_MCF_Data(), Table_SourceData_Dairy_MCFjm[[#Headers],[MMS m]], 0)</f>
        <v>0.01</v>
      </c>
      <c r="I73" s="38" cm="1">
        <f t="array" ref="I73">Common_InputFunctions.Utility_DisplayArrayInTable(SourceData_Dairy.SourceData_Dairy_MCF_Data(), Table_SourceData_Dairy_MCFjm[[#Headers],[MMS m]], 0)</f>
        <v>0.01</v>
      </c>
      <c r="J73" s="38" cm="1">
        <f t="array" ref="J73">Common_InputFunctions.Utility_DisplayArrayInTable(SourceData_Dairy.SourceData_Dairy_MCF_Data(), Table_SourceData_Dairy_MCFjm[[#Headers],[MMS m]], 0)</f>
        <v>0.01</v>
      </c>
      <c r="K73" s="38" cm="1">
        <f t="array" ref="K73">Common_InputFunctions.Utility_DisplayArrayInTable(SourceData_Dairy.SourceData_Dairy_MCF_Data(), Table_SourceData_Dairy_MCFjm[[#Headers],[MMS m]], 0)</f>
        <v>0.01</v>
      </c>
      <c r="L73" s="38" cm="1">
        <f t="array" ref="L73">Common_InputFunctions.Utility_DisplayArrayInTable(SourceData_Dairy.SourceData_Dairy_MCF_Data(), Table_SourceData_Dairy_MCFjm[[#Headers],[MMS m]], 0)</f>
        <v>0.01</v>
      </c>
      <c r="M73" s="38" t="str" cm="1">
        <f t="array" ref="M73">Common_InputFunctions.Utility_DisplayArrayInTable(SourceData_Dairy.SourceData_Dairy_MCF_Data(), Table_SourceData_Dairy_MCFjm[[#Headers],[MMS m]], 0)</f>
        <v>Pasture range and paddock</v>
      </c>
      <c r="V73" s="1"/>
    </row>
    <row r="74" spans="4:22" ht="20.100000000000001" customHeight="1" x14ac:dyDescent="0.25">
      <c r="D74" s="1" t="str" cm="1">
        <f t="array" ref="D74">Common_InputFunctions.Utility_DisplayArrayInTable(SourceData_Dairy.SourceData_Dairy_MCF_Data(), Table_SourceData_Dairy_MCFjm[[#Headers],[MMS m]], 0)</f>
        <v>Anaerobic lagoon</v>
      </c>
      <c r="E74" s="38" cm="1">
        <f t="array" ref="E74">Common_InputFunctions.Utility_DisplayArrayInTable(SourceData_Dairy.SourceData_Dairy_MCF_Data(), Table_SourceData_Dairy_MCFjm[[#Headers],[MMS m]], 0)</f>
        <v>0.72</v>
      </c>
      <c r="F74" s="38" cm="1">
        <f t="array" ref="F74">Common_InputFunctions.Utility_DisplayArrayInTable(SourceData_Dairy.SourceData_Dairy_MCF_Data(), Table_SourceData_Dairy_MCFjm[[#Headers],[MMS m]], 0)</f>
        <v>0.76</v>
      </c>
      <c r="G74" s="38" cm="1">
        <f t="array" ref="G74">Common_InputFunctions.Utility_DisplayArrayInTable(SourceData_Dairy.SourceData_Dairy_MCF_Data(), Table_SourceData_Dairy_MCFjm[[#Headers],[MMS m]], 0)</f>
        <v>0.8</v>
      </c>
      <c r="H74" s="38" cm="1">
        <f t="array" ref="H74">Common_InputFunctions.Utility_DisplayArrayInTable(SourceData_Dairy.SourceData_Dairy_MCF_Data(), Table_SourceData_Dairy_MCFjm[[#Headers],[MMS m]], 0)</f>
        <v>0.78</v>
      </c>
      <c r="I74" s="38" cm="1">
        <f t="array" ref="I74">Common_InputFunctions.Utility_DisplayArrayInTable(SourceData_Dairy.SourceData_Dairy_MCF_Data(), Table_SourceData_Dairy_MCFjm[[#Headers],[MMS m]], 0)</f>
        <v>0.74</v>
      </c>
      <c r="J74" s="38" cm="1">
        <f t="array" ref="J74">Common_InputFunctions.Utility_DisplayArrayInTable(SourceData_Dairy.SourceData_Dairy_MCF_Data(), Table_SourceData_Dairy_MCFjm[[#Headers],[MMS m]], 0)</f>
        <v>0.69</v>
      </c>
      <c r="K74" s="38" cm="1">
        <f t="array" ref="K74">Common_InputFunctions.Utility_DisplayArrayInTable(SourceData_Dairy.SourceData_Dairy_MCF_Data(), Table_SourceData_Dairy_MCFjm[[#Headers],[MMS m]], 0)</f>
        <v>0.73</v>
      </c>
      <c r="L74" s="38" cm="1">
        <f t="array" ref="L74">Common_InputFunctions.Utility_DisplayArrayInTable(SourceData_Dairy.SourceData_Dairy_MCF_Data(), Table_SourceData_Dairy_MCFjm[[#Headers],[MMS m]], 0)</f>
        <v>0.76</v>
      </c>
      <c r="M74" s="38" t="str" cm="1">
        <f t="array" ref="M74">Common_InputFunctions.Utility_DisplayArrayInTable(SourceData_Dairy.SourceData_Dairy_MCF_Data(), Table_SourceData_Dairy_MCFjm[[#Headers],[MMS m]], 0)</f>
        <v>Anaerobic lagoon</v>
      </c>
      <c r="V74" s="1"/>
    </row>
    <row r="75" spans="4:22" ht="20.100000000000001" customHeight="1" x14ac:dyDescent="0.25">
      <c r="D75" s="1" t="str" cm="1">
        <f t="array" ref="D75">Common_InputFunctions.Utility_DisplayArrayInTable(SourceData_Dairy.SourceData_Dairy_MCF_Data(), Table_SourceData_Dairy_MCFjm[[#Headers],[MMS m]], 0)</f>
        <v>Daily spread - Sump and dispersal systems</v>
      </c>
      <c r="E75" s="38" cm="1">
        <f t="array" ref="E75">Common_InputFunctions.Utility_DisplayArrayInTable(SourceData_Dairy.SourceData_Dairy_MCF_Data(), Table_SourceData_Dairy_MCFjm[[#Headers],[MMS m]], 0)</f>
        <v>5.0000000000000001E-3</v>
      </c>
      <c r="F75" s="38" cm="1">
        <f t="array" ref="F75">Common_InputFunctions.Utility_DisplayArrayInTable(SourceData_Dairy.SourceData_Dairy_MCF_Data(), Table_SourceData_Dairy_MCFjm[[#Headers],[MMS m]], 0)</f>
        <v>5.0000000000000001E-3</v>
      </c>
      <c r="G75" s="38" cm="1">
        <f t="array" ref="G75">Common_InputFunctions.Utility_DisplayArrayInTable(SourceData_Dairy.SourceData_Dairy_MCF_Data(), Table_SourceData_Dairy_MCFjm[[#Headers],[MMS m]], 0)</f>
        <v>0.01</v>
      </c>
      <c r="H75" s="38" cm="1">
        <f t="array" ref="H75">Common_InputFunctions.Utility_DisplayArrayInTable(SourceData_Dairy.SourceData_Dairy_MCF_Data(), Table_SourceData_Dairy_MCFjm[[#Headers],[MMS m]], 0)</f>
        <v>5.0000000000000001E-3</v>
      </c>
      <c r="I75" s="38" cm="1">
        <f t="array" ref="I75">Common_InputFunctions.Utility_DisplayArrayInTable(SourceData_Dairy.SourceData_Dairy_MCF_Data(), Table_SourceData_Dairy_MCFjm[[#Headers],[MMS m]], 0)</f>
        <v>5.0000000000000001E-3</v>
      </c>
      <c r="J75" s="38" cm="1">
        <f t="array" ref="J75">Common_InputFunctions.Utility_DisplayArrayInTable(SourceData_Dairy.SourceData_Dairy_MCF_Data(), Table_SourceData_Dairy_MCFjm[[#Headers],[MMS m]], 0)</f>
        <v>1E-3</v>
      </c>
      <c r="K75" s="38" cm="1">
        <f t="array" ref="K75">Common_InputFunctions.Utility_DisplayArrayInTable(SourceData_Dairy.SourceData_Dairy_MCF_Data(), Table_SourceData_Dairy_MCFjm[[#Headers],[MMS m]], 0)</f>
        <v>5.0000000000000001E-3</v>
      </c>
      <c r="L75" s="38" cm="1">
        <f t="array" ref="L75">Common_InputFunctions.Utility_DisplayArrayInTable(SourceData_Dairy.SourceData_Dairy_MCF_Data(), Table_SourceData_Dairy_MCFjm[[#Headers],[MMS m]], 0)</f>
        <v>5.0000000000000001E-3</v>
      </c>
      <c r="M75" s="38" t="str" cm="1">
        <f t="array" ref="M75">Common_InputFunctions.Utility_DisplayArrayInTable(SourceData_Dairy.SourceData_Dairy_MCF_Data(), Table_SourceData_Dairy_MCFjm[[#Headers],[MMS m]], 0)</f>
        <v>Sump and dispersal system</v>
      </c>
      <c r="V75" s="1"/>
    </row>
    <row r="76" spans="4:22" ht="20.100000000000001" customHeight="1" x14ac:dyDescent="0.25">
      <c r="D76" s="1" t="str" cm="1">
        <f t="array" ref="D76">Common_InputFunctions.Utility_DisplayArrayInTable(SourceData_Dairy.SourceData_Dairy_MCF_Data(), Table_SourceData_Dairy_MCFjm[[#Headers],[MMS m]], 0)</f>
        <v>Daily spread - Drains to paddocks (a)</v>
      </c>
      <c r="E76" s="38" cm="1">
        <f t="array" ref="E76">Common_InputFunctions.Utility_DisplayArrayInTable(SourceData_Dairy.SourceData_Dairy_MCF_Data(), Table_SourceData_Dairy_MCFjm[[#Headers],[MMS m]], 0)</f>
        <v>0.15</v>
      </c>
      <c r="F76" s="38" cm="1">
        <f t="array" ref="F76">Common_InputFunctions.Utility_DisplayArrayInTable(SourceData_Dairy.SourceData_Dairy_MCF_Data(), Table_SourceData_Dairy_MCFjm[[#Headers],[MMS m]], 0)</f>
        <v>0.18</v>
      </c>
      <c r="G76" s="38" cm="1">
        <f t="array" ref="G76">Common_InputFunctions.Utility_DisplayArrayInTable(SourceData_Dairy.SourceData_Dairy_MCF_Data(), Table_SourceData_Dairy_MCFjm[[#Headers],[MMS m]], 0)</f>
        <v>0.5</v>
      </c>
      <c r="H76" s="38" cm="1">
        <f t="array" ref="H76">Common_InputFunctions.Utility_DisplayArrayInTable(SourceData_Dairy.SourceData_Dairy_MCF_Data(), Table_SourceData_Dairy_MCFjm[[#Headers],[MMS m]], 0)</f>
        <v>0.24</v>
      </c>
      <c r="I76" s="38" cm="1">
        <f t="array" ref="I76">Common_InputFunctions.Utility_DisplayArrayInTable(SourceData_Dairy.SourceData_Dairy_MCF_Data(), Table_SourceData_Dairy_MCFjm[[#Headers],[MMS m]], 0)</f>
        <v>0.17</v>
      </c>
      <c r="J76" s="38" cm="1">
        <f t="array" ref="J76">Common_InputFunctions.Utility_DisplayArrayInTable(SourceData_Dairy.SourceData_Dairy_MCF_Data(), Table_SourceData_Dairy_MCFjm[[#Headers],[MMS m]], 0)</f>
        <v>0.13</v>
      </c>
      <c r="K76" s="38" cm="1">
        <f t="array" ref="K76">Common_InputFunctions.Utility_DisplayArrayInTable(SourceData_Dairy.SourceData_Dairy_MCF_Data(), Table_SourceData_Dairy_MCFjm[[#Headers],[MMS m]], 0)</f>
        <v>0.17</v>
      </c>
      <c r="L76" s="38" cm="1">
        <f t="array" ref="L76">Common_InputFunctions.Utility_DisplayArrayInTable(SourceData_Dairy.SourceData_Dairy_MCF_Data(), Table_SourceData_Dairy_MCFjm[[#Headers],[MMS m]], 0)</f>
        <v>0.18</v>
      </c>
      <c r="M76" s="38" t="str" cm="1">
        <f t="array" ref="M76">Common_InputFunctions.Utility_DisplayArrayInTable(SourceData_Dairy.SourceData_Dairy_MCF_Data(), Table_SourceData_Dairy_MCFjm[[#Headers],[MMS m]], 0)</f>
        <v>Drains to paddock</v>
      </c>
      <c r="V76" s="1"/>
    </row>
    <row r="77" spans="4:22" ht="20.100000000000001" customHeight="1" x14ac:dyDescent="0.25">
      <c r="D77" s="1" t="str" cm="1">
        <f t="array" ref="D77">Common_InputFunctions.Utility_DisplayArrayInTable(SourceData_Dairy.SourceData_Dairy_MCF_Data(), Table_SourceData_Dairy_MCFjm[[#Headers],[MMS m]], 0)</f>
        <v>Solid Storage</v>
      </c>
      <c r="E77" s="38" cm="1">
        <f t="array" ref="E77">Common_InputFunctions.Utility_DisplayArrayInTable(SourceData_Dairy.SourceData_Dairy_MCF_Data(), Table_SourceData_Dairy_MCFjm[[#Headers],[MMS m]], 0)</f>
        <v>0.02</v>
      </c>
      <c r="F77" s="38" cm="1">
        <f t="array" ref="F77">Common_InputFunctions.Utility_DisplayArrayInTable(SourceData_Dairy.SourceData_Dairy_MCF_Data(), Table_SourceData_Dairy_MCFjm[[#Headers],[MMS m]], 0)</f>
        <v>0.02</v>
      </c>
      <c r="G77" s="38" cm="1">
        <f t="array" ref="G77">Common_InputFunctions.Utility_DisplayArrayInTable(SourceData_Dairy.SourceData_Dairy_MCF_Data(), Table_SourceData_Dairy_MCFjm[[#Headers],[MMS m]], 0)</f>
        <v>0.02</v>
      </c>
      <c r="H77" s="38" cm="1">
        <f t="array" ref="H77">Common_InputFunctions.Utility_DisplayArrayInTable(SourceData_Dairy.SourceData_Dairy_MCF_Data(), Table_SourceData_Dairy_MCFjm[[#Headers],[MMS m]], 0)</f>
        <v>0.02</v>
      </c>
      <c r="I77" s="38" cm="1">
        <f t="array" ref="I77">Common_InputFunctions.Utility_DisplayArrayInTable(SourceData_Dairy.SourceData_Dairy_MCF_Data(), Table_SourceData_Dairy_MCFjm[[#Headers],[MMS m]], 0)</f>
        <v>0.02</v>
      </c>
      <c r="J77" s="38" cm="1">
        <f t="array" ref="J77">Common_InputFunctions.Utility_DisplayArrayInTable(SourceData_Dairy.SourceData_Dairy_MCF_Data(), Table_SourceData_Dairy_MCFjm[[#Headers],[MMS m]], 0)</f>
        <v>0.02</v>
      </c>
      <c r="K77" s="38" cm="1">
        <f t="array" ref="K77">Common_InputFunctions.Utility_DisplayArrayInTable(SourceData_Dairy.SourceData_Dairy_MCF_Data(), Table_SourceData_Dairy_MCFjm[[#Headers],[MMS m]], 0)</f>
        <v>0.02</v>
      </c>
      <c r="L77" s="38" cm="1">
        <f t="array" ref="L77">Common_InputFunctions.Utility_DisplayArrayInTable(SourceData_Dairy.SourceData_Dairy_MCF_Data(), Table_SourceData_Dairy_MCFjm[[#Headers],[MMS m]], 0)</f>
        <v>0.02</v>
      </c>
      <c r="M77" s="38" t="str" cm="1">
        <f t="array" ref="M77">Common_InputFunctions.Utility_DisplayArrayInTable(SourceData_Dairy.SourceData_Dairy_MCF_Data(), Table_SourceData_Dairy_MCFjm[[#Headers],[MMS m]], 0)</f>
        <v>Solid storage</v>
      </c>
      <c r="V77" s="1"/>
    </row>
    <row r="78" spans="4:22" ht="20.100000000000001" customHeight="1" x14ac:dyDescent="0.25">
      <c r="D78" s="1" t="str" cm="1">
        <f t="array" ref="D78">Common_InputFunctions.Utility_DisplayArrayInTable(SourceData_Dairy.SourceData_Dairy_MCF_Data(), Table_SourceData_Dairy_MCFjm[[#Headers],[MMS m]], 0)</f>
        <v>Direct Application to soil</v>
      </c>
      <c r="E78" s="38" cm="1">
        <f t="array" ref="E78">Common_InputFunctions.Utility_DisplayArrayInTable(SourceData_Dairy.SourceData_Dairy_MCF_Data(), Table_SourceData_Dairy_MCFjm[[#Headers],[MMS m]], 0)</f>
        <v>0</v>
      </c>
      <c r="F78" s="38" cm="1">
        <f t="array" ref="F78">Common_InputFunctions.Utility_DisplayArrayInTable(SourceData_Dairy.SourceData_Dairy_MCF_Data(), Table_SourceData_Dairy_MCFjm[[#Headers],[MMS m]], 0)</f>
        <v>0</v>
      </c>
      <c r="G78" s="38" cm="1">
        <f t="array" ref="G78">Common_InputFunctions.Utility_DisplayArrayInTable(SourceData_Dairy.SourceData_Dairy_MCF_Data(), Table_SourceData_Dairy_MCFjm[[#Headers],[MMS m]], 0)</f>
        <v>0</v>
      </c>
      <c r="H78" s="38" cm="1">
        <f t="array" ref="H78">Common_InputFunctions.Utility_DisplayArrayInTable(SourceData_Dairy.SourceData_Dairy_MCF_Data(), Table_SourceData_Dairy_MCFjm[[#Headers],[MMS m]], 0)</f>
        <v>0</v>
      </c>
      <c r="I78" s="38" cm="1">
        <f t="array" ref="I78">Common_InputFunctions.Utility_DisplayArrayInTable(SourceData_Dairy.SourceData_Dairy_MCF_Data(), Table_SourceData_Dairy_MCFjm[[#Headers],[MMS m]], 0)</f>
        <v>0</v>
      </c>
      <c r="J78" s="38" cm="1">
        <f t="array" ref="J78">Common_InputFunctions.Utility_DisplayArrayInTable(SourceData_Dairy.SourceData_Dairy_MCF_Data(), Table_SourceData_Dairy_MCFjm[[#Headers],[MMS m]], 0)</f>
        <v>0</v>
      </c>
      <c r="K78" s="38" cm="1">
        <f t="array" ref="K78">Common_InputFunctions.Utility_DisplayArrayInTable(SourceData_Dairy.SourceData_Dairy_MCF_Data(), Table_SourceData_Dairy_MCFjm[[#Headers],[MMS m]], 0)</f>
        <v>0</v>
      </c>
      <c r="L78" s="38" cm="1">
        <f t="array" ref="L78">Common_InputFunctions.Utility_DisplayArrayInTable(SourceData_Dairy.SourceData_Dairy_MCF_Data(), Table_SourceData_Dairy_MCFjm[[#Headers],[MMS m]], 0)</f>
        <v>0</v>
      </c>
      <c r="M78" s="38" t="str" cm="1">
        <f t="array" ref="M78">Common_InputFunctions.Utility_DisplayArrayInTable(SourceData_Dairy.SourceData_Dairy_MCF_Data(), Table_SourceData_Dairy_MCFjm[[#Headers],[MMS m]], 0)</f>
        <v>Direct application</v>
      </c>
    </row>
    <row r="79" spans="4:22" ht="20.100000000000001" customHeight="1" x14ac:dyDescent="0.25">
      <c r="M79" s="1"/>
    </row>
    <row r="80" spans="4: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4" t="str" cm="1">
        <f t="array" ref="D84">SourceData_Dairy.SourceData_Dairy_NitrousOxideEFsAndFracGASM_Unit()</f>
        <v>kg N2O-N/kg N excreted</v>
      </c>
      <c r="M84" s="1"/>
    </row>
    <row r="85" spans="4:22" ht="20.100000000000001" customHeight="1" x14ac:dyDescent="0.25">
      <c r="D85" s="55" t="str" cm="1">
        <f t="array" ref="D85">SourceData_Dairy.SourceData_Dairy_NitrousOxideEFsAndFracGASM_Variation()</f>
        <v>VARIATION OF SOURCE: Added 'NIR reference' column to aid lookup</v>
      </c>
      <c r="M85" s="1"/>
      <c r="V85" s="1"/>
    </row>
    <row r="86" spans="4:22" ht="20.100000000000001" customHeight="1" x14ac:dyDescent="0.25">
      <c r="D86" s="38" t="s">
        <v>91</v>
      </c>
      <c r="E86" s="38" t="s">
        <v>133</v>
      </c>
      <c r="F86" s="38" t="s">
        <v>134</v>
      </c>
      <c r="G86" s="38" t="s">
        <v>140</v>
      </c>
      <c r="M86" s="1"/>
      <c r="V86" s="1"/>
    </row>
    <row r="87" spans="4:22" ht="20.100000000000001" customHeight="1" x14ac:dyDescent="0.25">
      <c r="D87" s="38" t="str" cm="1">
        <f t="array" ref="D87">Common_InputFunctions.Utility_DisplayArrayInTable(SourceData_Dairy.SourceData_Dairy_NitrousOxideEFsAndFracGASM_Data(), Table_SourceData_Dairy_EFmFracGASM[[#Headers],[MMS m]], 0)</f>
        <v>M=14 Pasture</v>
      </c>
      <c r="E87" s="38" cm="1">
        <f t="array" ref="E87">Common_InputFunctions.Utility_DisplayArrayInTable(SourceData_Dairy.SourceData_Dairy_NitrousOxideEFsAndFracGASM_Data(), Table_SourceData_Dairy_EFmFracGASM[[#Headers],[MMS m]], 0)</f>
        <v>0</v>
      </c>
      <c r="F87" s="38" cm="1">
        <f t="array" ref="F87">Common_InputFunctions.Utility_DisplayArrayInTable(SourceData_Dairy.SourceData_Dairy_NitrousOxideEFsAndFracGASM_Data(), Table_SourceData_Dairy_EFmFracGASM[[#Headers],[MMS m]], 0)</f>
        <v>0</v>
      </c>
      <c r="G87" s="38"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8" cm="1">
        <f t="array" ref="E88">Common_InputFunctions.Utility_DisplayArrayInTable(SourceData_Dairy.SourceData_Dairy_NitrousOxideEFsAndFracGASM_Data(), Table_SourceData_Dairy_EFmFracGASM[[#Headers],[MMS m]], 0)</f>
        <v>0</v>
      </c>
      <c r="F88" s="38" cm="1">
        <f t="array" ref="F88">Common_InputFunctions.Utility_DisplayArrayInTable(SourceData_Dairy.SourceData_Dairy_NitrousOxideEFsAndFracGASM_Data(), Table_SourceData_Dairy_EFmFracGASM[[#Headers],[MMS m]], 0)</f>
        <v>0.35</v>
      </c>
      <c r="G88" s="38"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8" cm="1">
        <f t="array" ref="E89">Common_InputFunctions.Utility_DisplayArrayInTable(SourceData_Dairy.SourceData_Dairy_NitrousOxideEFsAndFracGASM_Data(), Table_SourceData_Dairy_EFmFracGASM[[#Headers],[MMS m]], 0)</f>
        <v>0</v>
      </c>
      <c r="F89" s="38" cm="1">
        <f t="array" ref="F89">Common_InputFunctions.Utility_DisplayArrayInTable(SourceData_Dairy.SourceData_Dairy_NitrousOxideEFsAndFracGASM_Data(), Table_SourceData_Dairy_EFmFracGASM[[#Headers],[MMS m]], 0)</f>
        <v>7.0000000000000007E-2</v>
      </c>
      <c r="G89" s="38"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8" cm="1">
        <f t="array" ref="E90">Common_InputFunctions.Utility_DisplayArrayInTable(SourceData_Dairy.SourceData_Dairy_NitrousOxideEFsAndFracGASM_Data(), Table_SourceData_Dairy_EFmFracGASM[[#Headers],[MMS m]], 0)</f>
        <v>0</v>
      </c>
      <c r="F90" s="38" cm="1">
        <f t="array" ref="F90">Common_InputFunctions.Utility_DisplayArrayInTable(SourceData_Dairy.SourceData_Dairy_NitrousOxideEFsAndFracGASM_Data(), Table_SourceData_Dairy_EFmFracGASM[[#Headers],[MMS m]], 0)</f>
        <v>0.2</v>
      </c>
      <c r="G90" s="38"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8" cm="1">
        <f t="array" ref="E91">Common_InputFunctions.Utility_DisplayArrayInTable(SourceData_Dairy.SourceData_Dairy_NitrousOxideEFsAndFracGASM_Data(), Table_SourceData_Dairy_EFmFracGASM[[#Headers],[MMS m]], 0)</f>
        <v>5.0000000000000001E-3</v>
      </c>
      <c r="F91" s="38" cm="1">
        <f t="array" ref="F91">Common_InputFunctions.Utility_DisplayArrayInTable(SourceData_Dairy.SourceData_Dairy_NitrousOxideEFsAndFracGASM_Data(), Table_SourceData_Dairy_EFmFracGASM[[#Headers],[MMS m]], 0)</f>
        <v>0.3</v>
      </c>
      <c r="G91" s="38"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4:13" ht="20.100000000000001" customHeight="1" x14ac:dyDescent="0.25">
      <c r="D97" s="54" t="str" cm="1">
        <f t="array" ref="D97">SourceData_Dairy.SourceData_Dairy_MethaneProductionPreWeanedCalves_Unit()</f>
        <v>kg CH4/head/day</v>
      </c>
      <c r="M97" s="1"/>
    </row>
    <row r="98" spans="4:13" ht="20.100000000000001" customHeight="1" x14ac:dyDescent="0.25">
      <c r="D98" s="38" t="s">
        <v>129</v>
      </c>
      <c r="E98" s="38" t="s">
        <v>135</v>
      </c>
      <c r="M98" s="1"/>
    </row>
    <row r="99" spans="4:13" ht="20.100000000000001" customHeight="1" x14ac:dyDescent="0.25">
      <c r="D99" s="38" t="str" cm="1">
        <f t="array" ref="D99">Common_InputFunctions.Utility_DisplayArrayInTable(SourceData_Dairy.SourceData_Dairy_MethaneProductionPreWeanedCalves_Data(), Table_SourceData_Dairy_MPWENTERIC[[#Headers],[Animal class j]], 0)</f>
        <v>Heifers &lt; 1 year</v>
      </c>
      <c r="E99" s="38" cm="1">
        <f t="array" ref="E99">Common_InputFunctions.Utility_DisplayArrayInTable(SourceData_Dairy.SourceData_Dairy_MethaneProductionPreWeanedCalves_Data(), Table_SourceData_Dairy_MPWENTERIC[[#Headers],[Animal class j]], 0)</f>
        <v>1.7600000000000001E-2</v>
      </c>
      <c r="M99" s="1"/>
    </row>
    <row r="100" spans="4: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8" cm="1">
        <f t="array" ref="E100">Common_InputFunctions.Utility_DisplayArrayInTable(SourceData_Dairy.SourceData_Dairy_MethaneProductionPreWeanedCalves_Data(), Table_SourceData_Dairy_MPWENTERIC[[#Headers],[Animal class j]], 0)</f>
        <v>2.0400000000000001E-2</v>
      </c>
      <c r="M100" s="1"/>
    </row>
    <row r="101" spans="4:13" ht="20.100000000000001" customHeight="1" x14ac:dyDescent="0.25">
      <c r="M101" s="1"/>
    </row>
    <row r="102" spans="4:13" ht="20.100000000000001" customHeight="1" x14ac:dyDescent="0.25">
      <c r="M102" s="1"/>
    </row>
    <row r="103" spans="4:13" ht="20.100000000000001" customHeight="1" x14ac:dyDescent="0.25">
      <c r="D103" s="6" t="str" cm="1">
        <f t="array" ref="D103">SourceData_Dairy.SourceData_Dairy_IncreasedMetabolicRateMilk_Title()</f>
        <v>Table A.1.3.9: Dairy cattle - Increased metabolic rate when producing milk (MRj)</v>
      </c>
      <c r="M103" s="1"/>
    </row>
    <row r="104" spans="4:13" ht="20.100000000000001" customHeight="1" x14ac:dyDescent="0.25">
      <c r="D104" s="5" t="str" cm="1">
        <f t="array" ref="D104">SourceData_Dairy.SourceData_Dairy_IncreasedMetabolicRateMilk_Source()</f>
        <v>VEERG 2026: Table A.1.3.9</v>
      </c>
      <c r="M104" s="1"/>
    </row>
    <row r="105" spans="4:13" ht="20.100000000000001" customHeight="1" x14ac:dyDescent="0.25">
      <c r="D105" s="1" t="str" cm="1">
        <f t="array" ref="D105">SourceData_Dairy.SourceData_Dairy_IncreasedMetabolicRateMilk_Variable()</f>
        <v>MRj</v>
      </c>
      <c r="M105" s="1"/>
    </row>
    <row r="106" spans="4:13" ht="20.100000000000001" customHeight="1" x14ac:dyDescent="0.25">
      <c r="D106" s="54" t="str" cm="1">
        <f t="array" ref="D106">SourceData_Dairy.SourceData_Dairy_IncreasedMetabolicRateMilk_Unit()</f>
        <v/>
      </c>
      <c r="M106" s="1"/>
    </row>
    <row r="107" spans="4:13" ht="20.100000000000001" customHeight="1" x14ac:dyDescent="0.25">
      <c r="D107" s="38" t="s">
        <v>129</v>
      </c>
      <c r="E107" s="38" t="s">
        <v>136</v>
      </c>
      <c r="M107" s="1"/>
    </row>
    <row r="108" spans="4:13" ht="20.100000000000001" customHeight="1" x14ac:dyDescent="0.25">
      <c r="D108" s="38" t="str" cm="1">
        <f t="array" ref="D108">Common_InputFunctions.Utility_DisplayArrayInTable(SourceData_Dairy.SourceData_Dairy_IncreasedMetabolicRateMilk_Data(), Table_SourceData_Dairy_MRj[[#Headers],[Animal class j]], 0)</f>
        <v>Milking cows, and house cows</v>
      </c>
      <c r="E108" s="38" cm="1">
        <f t="array" ref="E108">Common_InputFunctions.Utility_DisplayArrayInTable(SourceData_Dairy.SourceData_Dairy_IncreasedMetabolicRateMilk_Data(), Table_SourceData_Dairy_MRj[[#Headers],[Animal class j]], 0)</f>
        <v>1.1000000000000001</v>
      </c>
      <c r="M108" s="1"/>
    </row>
    <row r="109" spans="4: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8" cm="1">
        <f t="array" ref="E109">Common_InputFunctions.Utility_DisplayArrayInTable(SourceData_Dairy.SourceData_Dairy_IncreasedMetabolicRateMilk_Data(), Table_SourceData_Dairy_MRj[[#Headers],[Animal class j]], 0)</f>
        <v>1</v>
      </c>
      <c r="M109" s="1"/>
    </row>
    <row r="110" spans="4:13" ht="20.100000000000001" customHeight="1" x14ac:dyDescent="0.25">
      <c r="M110" s="1"/>
    </row>
    <row r="111" spans="4:13" ht="20.100000000000001" customHeight="1" x14ac:dyDescent="0.25">
      <c r="M111" s="1"/>
    </row>
    <row r="112" spans="4: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4" t="str" cm="1">
        <f t="array" ref="D115">SourceData_Dairy.SourceData_Dairy_FractionVolatileSolidsVoidedMMS_Unit()</f>
        <v>fraction</v>
      </c>
      <c r="M115" s="1"/>
      <c r="V115" s="1"/>
    </row>
    <row r="116" spans="4:22" ht="20.100000000000001" customHeight="1" x14ac:dyDescent="0.25">
      <c r="D116" s="38" t="s">
        <v>137</v>
      </c>
      <c r="E116" s="38" t="s">
        <v>110</v>
      </c>
      <c r="F116" s="38" t="s">
        <v>138</v>
      </c>
      <c r="G116" s="38" t="s">
        <v>139</v>
      </c>
      <c r="M116" s="1"/>
      <c r="V116" s="1"/>
    </row>
    <row r="117" spans="4:22" ht="20.100000000000001" customHeight="1" x14ac:dyDescent="0.25">
      <c r="D117" s="38" t="str" cm="1">
        <f t="array" ref="D117">Common_InputFunctions.Utility_DisplayArrayInTable(SourceData_Dairy.SourceData_Dairy_FractionVolatileSolidsVoidedMMS_Data(), Table_SourceData_Dairy_ProductionSystemTemplates[[#Headers],[Area]], 0)</f>
        <v>System 1: Grazed Only</v>
      </c>
      <c r="E117" s="38" cm="1">
        <f t="array" ref="E117">Common_InputFunctions.Utility_DisplayArrayInTable(SourceData_Dairy.SourceData_Dairy_FractionVolatileSolidsVoidedMMS_Data(), Table_SourceData_Dairy_ProductionSystemTemplates[[#Headers],[Area]], 0)</f>
        <v>0.89</v>
      </c>
      <c r="F117" s="38" cm="1">
        <f t="array" ref="F117">Common_InputFunctions.Utility_DisplayArrayInTable(SourceData_Dairy.SourceData_Dairy_FractionVolatileSolidsVoidedMMS_Data(), Table_SourceData_Dairy_ProductionSystemTemplates[[#Headers],[Area]], 0)</f>
        <v>0.11</v>
      </c>
      <c r="G117" s="38"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8" cm="1">
        <f t="array" ref="E118">Common_InputFunctions.Utility_DisplayArrayInTable(SourceData_Dairy.SourceData_Dairy_FractionVolatileSolidsVoidedMMS_Data(), Table_SourceData_Dairy_ProductionSystemTemplates[[#Headers],[Area]], 0)</f>
        <v>0.79</v>
      </c>
      <c r="F118" s="38" cm="1">
        <f t="array" ref="F118">Common_InputFunctions.Utility_DisplayArrayInTable(SourceData_Dairy.SourceData_Dairy_FractionVolatileSolidsVoidedMMS_Data(), Table_SourceData_Dairy_ProductionSystemTemplates[[#Headers],[Area]], 0)</f>
        <v>0.11</v>
      </c>
      <c r="G118" s="38"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8" cm="1">
        <f t="array" ref="E119">Common_InputFunctions.Utility_DisplayArrayInTable(SourceData_Dairy.SourceData_Dairy_FractionVolatileSolidsVoidedMMS_Data(), Table_SourceData_Dairy_ProductionSystemTemplates[[#Headers],[Area]], 0)</f>
        <v>0.53400000000000003</v>
      </c>
      <c r="F119" s="38" cm="1">
        <f t="array" ref="F119">Common_InputFunctions.Utility_DisplayArrayInTable(SourceData_Dairy.SourceData_Dairy_FractionVolatileSolidsVoidedMMS_Data(), Table_SourceData_Dairy_ProductionSystemTemplates[[#Headers],[Area]], 0)</f>
        <v>0.11</v>
      </c>
      <c r="G119" s="38"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8" cm="1">
        <f t="array" ref="E120">Common_InputFunctions.Utility_DisplayArrayInTable(SourceData_Dairy.SourceData_Dairy_FractionVolatileSolidsVoidedMMS_Data(), Table_SourceData_Dairy_ProductionSystemTemplates[[#Headers],[Area]], 0)</f>
        <v>0</v>
      </c>
      <c r="F120" s="38" cm="1">
        <f t="array" ref="F120">Common_InputFunctions.Utility_DisplayArrayInTable(SourceData_Dairy.SourceData_Dairy_FractionVolatileSolidsVoidedMMS_Data(), Table_SourceData_Dairy_ProductionSystemTemplates[[#Headers],[Area]], 0)</f>
        <v>0.11</v>
      </c>
      <c r="G120" s="38"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4" t="str" cm="1">
        <f t="array" ref="D126">SourceData_Dairy.SourceData_Dairy_EFNitrousOxidePerMMS_Unit()</f>
        <v>kg N2O-N/kg N</v>
      </c>
      <c r="M126" s="1"/>
      <c r="V126" s="1"/>
    </row>
    <row r="127" spans="4:22" ht="20.100000000000001" customHeight="1" x14ac:dyDescent="0.25">
      <c r="D127" s="55" t="str" cm="1">
        <f t="array" ref="D127">SourceData_Dairy.SourceData_Dairy_EFNitrousOxidePerMMS_Variation()</f>
        <v>VARIATION OF SOURCE: Added 'NIR reference' column to aid lookup</v>
      </c>
      <c r="M127" s="1"/>
      <c r="V127" s="1"/>
    </row>
    <row r="128" spans="4:22" ht="20.100000000000001" customHeight="1" x14ac:dyDescent="0.25">
      <c r="D128" s="38" t="s">
        <v>91</v>
      </c>
      <c r="E128" s="38" t="s">
        <v>133</v>
      </c>
      <c r="F128" s="38" t="s">
        <v>140</v>
      </c>
      <c r="G128" s="104" t="s">
        <v>152</v>
      </c>
      <c r="M128" s="1"/>
      <c r="N128" s="23"/>
      <c r="V128" s="1"/>
    </row>
    <row r="129" spans="4:22" ht="20.100000000000001" customHeight="1" x14ac:dyDescent="0.25">
      <c r="D129" s="38" t="str" cm="1">
        <f t="array" ref="D129">Common_InputFunctions.Utility_DisplayArrayInTable(SourceData_Dairy.SourceData_Dairy_EFNitrousOxidePerMMS_Data(), Table_SourceData_Dairy_EFm[[#Headers],[MMS m]], 0)</f>
        <v>m=14 Pasture</v>
      </c>
      <c r="E129" s="38" cm="1">
        <f t="array" ref="E129">Common_InputFunctions.Utility_DisplayArrayInTable(SourceData_Dairy.SourceData_Dairy_EFNitrousOxidePerMMS_Data(), Table_SourceData_Dairy_EFm[[#Headers],[MMS m]], 0)</f>
        <v>0</v>
      </c>
      <c r="F129" s="38" t="str" cm="1">
        <f t="array" ref="F129">Common_InputFunctions.Utility_DisplayArrayInTable(SourceData_Dairy.SourceData_Dairy_EFNitrousOxidePerMMS_Data(), Table_SourceData_Dairy_EFm[[#Headers],[MMS m]], 0)</f>
        <v>Pasture range and paddock</v>
      </c>
      <c r="M129" s="1"/>
      <c r="N129" s="23"/>
      <c r="V129" s="1"/>
    </row>
    <row r="130" spans="4:22" ht="20.100000000000001" customHeight="1" x14ac:dyDescent="0.25">
      <c r="D130" s="1" t="str" cm="1">
        <f t="array" ref="D130">Common_InputFunctions.Utility_DisplayArrayInTable(SourceData_Dairy.SourceData_Dairy_EFNitrousOxidePerMMS_Data(), Table_SourceData_Dairy_EFm[[#Headers],[MMS m]], 0)</f>
        <v>m=1 Anerobic Lagoon</v>
      </c>
      <c r="E130" s="38" cm="1">
        <f t="array" ref="E130">Common_InputFunctions.Utility_DisplayArrayInTable(SourceData_Dairy.SourceData_Dairy_EFNitrousOxidePerMMS_Data(), Table_SourceData_Dairy_EFm[[#Headers],[MMS m]], 0)</f>
        <v>0</v>
      </c>
      <c r="F130" s="38" t="str" cm="1">
        <f t="array" ref="F130">Common_InputFunctions.Utility_DisplayArrayInTable(SourceData_Dairy.SourceData_Dairy_EFNitrousOxidePerMMS_Data(), Table_SourceData_Dairy_EFm[[#Headers],[MMS m]], 0)</f>
        <v>Anaerobic lagoon</v>
      </c>
      <c r="M130" s="1"/>
      <c r="N130" s="23"/>
      <c r="V130" s="1"/>
    </row>
    <row r="131" spans="4: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8" cm="1">
        <f t="array" ref="E131">Common_InputFunctions.Utility_DisplayArrayInTable(SourceData_Dairy.SourceData_Dairy_EFNitrousOxidePerMMS_Data(), Table_SourceData_Dairy_EFm[[#Headers],[MMS m]], 0)</f>
        <v>0</v>
      </c>
      <c r="F131" s="38" t="str" cm="1">
        <f t="array" ref="F131">Common_InputFunctions.Utility_DisplayArrayInTable(SourceData_Dairy.SourceData_Dairy_EFNitrousOxidePerMMS_Data(), Table_SourceData_Dairy_EFm[[#Headers],[MMS m]], 0)</f>
        <v>Sump and dispersal system</v>
      </c>
      <c r="M131" s="1"/>
      <c r="N131" s="23"/>
    </row>
    <row r="132" spans="4: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8" cm="1">
        <f t="array" ref="E132">Common_InputFunctions.Utility_DisplayArrayInTable(SourceData_Dairy.SourceData_Dairy_EFNitrousOxidePerMMS_Data(), Table_SourceData_Dairy_EFm[[#Headers],[MMS m]], 0)</f>
        <v>0</v>
      </c>
      <c r="F132" s="38" t="str" cm="1">
        <f t="array" ref="F132">Common_InputFunctions.Utility_DisplayArrayInTable(SourceData_Dairy.SourceData_Dairy_EFNitrousOxidePerMMS_Data(), Table_SourceData_Dairy_EFm[[#Headers],[MMS m]], 0)</f>
        <v>Drains to paddock</v>
      </c>
      <c r="M132" s="23"/>
    </row>
    <row r="133" spans="4:22" ht="20.100000000000001" customHeight="1" x14ac:dyDescent="0.25">
      <c r="D133" s="1" t="str" cm="1">
        <f t="array" ref="D133">Common_InputFunctions.Utility_DisplayArrayInTable(SourceData_Dairy.SourceData_Dairy_EFNitrousOxidePerMMS_Data(), Table_SourceData_Dairy_EFm[[#Headers],[MMS m]], 0)</f>
        <v>m=4 Solid Storage</v>
      </c>
      <c r="E133" s="38" cm="1">
        <f t="array" ref="E133">Common_InputFunctions.Utility_DisplayArrayInTable(SourceData_Dairy.SourceData_Dairy_EFNitrousOxidePerMMS_Data(), Table_SourceData_Dairy_EFm[[#Headers],[MMS m]], 0)</f>
        <v>5.0000000000000001E-3</v>
      </c>
      <c r="F133" s="38" t="str" cm="1">
        <f t="array" ref="F133">Common_InputFunctions.Utility_DisplayArrayInTable(SourceData_Dairy.SourceData_Dairy_EFNitrousOxidePerMMS_Data(), Table_SourceData_Dairy_EFm[[#Headers],[MMS m]], 0)</f>
        <v>Solid storage</v>
      </c>
      <c r="M133" s="23"/>
    </row>
    <row r="134" spans="4:22" ht="20.100000000000001" customHeight="1" x14ac:dyDescent="0.25">
      <c r="M134" s="23"/>
    </row>
    <row r="135" spans="4:22" ht="20.100000000000001" customHeight="1" x14ac:dyDescent="0.25">
      <c r="M135" s="23"/>
    </row>
    <row r="136" spans="4:22" ht="20.100000000000001" customHeight="1" x14ac:dyDescent="0.25">
      <c r="D136" s="6" t="str" cm="1">
        <f t="array" ref="D136">SourceData_Dairy.SourceData_Dairy_DurationOfStay_Title()</f>
        <v>Duration of stay for each dairy cattle input class</v>
      </c>
      <c r="M136" s="23"/>
    </row>
    <row r="137" spans="4:22" ht="20.100000000000001" customHeight="1" x14ac:dyDescent="0.25">
      <c r="D137" s="5" t="str" cm="1">
        <f t="array" ref="D137">SourceData_Dairy.SourceData_Dairy_DurationOfStay_Source()</f>
        <v>VEERG 2026: 4.3.2.2	DATA (METHOD 1 AND 2 OPTIONS)</v>
      </c>
      <c r="M137" s="23"/>
    </row>
    <row r="138" spans="4:22" ht="20.100000000000001" customHeight="1" x14ac:dyDescent="0.25">
      <c r="D138" s="1" t="str" cm="1">
        <f t="array" ref="D138">SourceData_Dairy.SourceData_Dairy_DurationOfStay_Variable()</f>
        <v>D</v>
      </c>
      <c r="M138" s="23"/>
    </row>
    <row r="139" spans="4:22" ht="20.100000000000001" customHeight="1" x14ac:dyDescent="0.25">
      <c r="D139" s="54" t="str" cm="1">
        <f t="array" ref="D139">SourceData_Dairy.SourceData_Dairy_DurationOfStay_Unit()</f>
        <v>days</v>
      </c>
      <c r="M139" s="23"/>
    </row>
    <row r="140" spans="4:22" ht="20.100000000000001" customHeight="1" x14ac:dyDescent="0.25">
      <c r="D140" s="55" t="str" cm="1">
        <f t="array" ref="D140">SourceData_Dairy.SourceData_Dairy_DurationOfStay_Variation()</f>
        <v>VARIATION OF SOURCE: Converted free text in document to table, matching livestock class names.</v>
      </c>
      <c r="M140" s="23"/>
    </row>
    <row r="141" spans="4:22" ht="20.100000000000001" customHeight="1" x14ac:dyDescent="0.25">
      <c r="D141" s="38" t="s">
        <v>129</v>
      </c>
      <c r="E141" s="38" t="s">
        <v>150</v>
      </c>
      <c r="F141" s="38" t="s">
        <v>151</v>
      </c>
      <c r="M141" s="23"/>
    </row>
    <row r="142" spans="4:22" ht="20.100000000000001" customHeight="1" x14ac:dyDescent="0.25">
      <c r="D142" s="38" t="str" cm="1">
        <f t="array" ref="D142">Common_InputFunctions.Utility_DisplayArrayInTable(SourceData_Dairy.SourceData_Dairy_DurationOfStay_Data(), Table_SourceData_Dairy_Duration[[#Headers],[Animal class j]], 0)</f>
        <v>Milking cows</v>
      </c>
      <c r="E142" s="38" cm="1">
        <f t="array" ref="E142">Common_InputFunctions.Utility_DisplayArrayInTable(SourceData_Dairy.SourceData_Dairy_DurationOfStay_Data(), Table_SourceData_Dairy_Duration[[#Headers],[Animal class j]], 0)</f>
        <v>365</v>
      </c>
      <c r="F142" s="38" cm="1">
        <f t="array" ref="F142">Common_InputFunctions.Utility_DisplayArrayInTable(SourceData_Dairy.SourceData_Dairy_DurationOfStay_Data(), Table_SourceData_Dairy_Duration[[#Headers],[Animal class j]], 0)</f>
        <v>0</v>
      </c>
      <c r="M142" s="23"/>
    </row>
    <row r="143" spans="4: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8" cm="1">
        <f t="array" ref="E143">Common_InputFunctions.Utility_DisplayArrayInTable(SourceData_Dairy.SourceData_Dairy_DurationOfStay_Data(), Table_SourceData_Dairy_Duration[[#Headers],[Animal class j]], 0)</f>
        <v>365</v>
      </c>
      <c r="F143" s="38" cm="1">
        <f t="array" ref="F143">Common_InputFunctions.Utility_DisplayArrayInTable(SourceData_Dairy.SourceData_Dairy_DurationOfStay_Data(), Table_SourceData_Dairy_Duration[[#Headers],[Animal class j]], 0)</f>
        <v>0</v>
      </c>
      <c r="M143" s="23"/>
    </row>
    <row r="144" spans="4: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8" cm="1">
        <f t="array" ref="E144">Common_InputFunctions.Utility_DisplayArrayInTable(SourceData_Dairy.SourceData_Dairy_DurationOfStay_Data(), Table_SourceData_Dairy_Duration[[#Headers],[Animal class j]], 0)</f>
        <v>281</v>
      </c>
      <c r="F144" s="38" cm="1">
        <f t="array" ref="F144">Common_InputFunctions.Utility_DisplayArrayInTable(SourceData_Dairy.SourceData_Dairy_DurationOfStay_Data(), Table_SourceData_Dairy_Duration[[#Headers],[Animal class j]], 0)</f>
        <v>84</v>
      </c>
      <c r="M144" s="23"/>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8" cm="1">
        <f t="array" ref="E145">Common_InputFunctions.Utility_DisplayArrayInTable(SourceData_Dairy.SourceData_Dairy_DurationOfStay_Data(), Table_SourceData_Dairy_Duration[[#Headers],[Animal class j]], 0)</f>
        <v>365</v>
      </c>
      <c r="F145" s="38" cm="1">
        <f t="array" ref="F145">Common_InputFunctions.Utility_DisplayArrayInTable(SourceData_Dairy.SourceData_Dairy_DurationOfStay_Data(), Table_SourceData_Dairy_Duration[[#Headers],[Animal class j]], 0)</f>
        <v>0</v>
      </c>
      <c r="M145" s="23"/>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8" cm="1">
        <f t="array" ref="E146">Common_InputFunctions.Utility_DisplayArrayInTable(SourceData_Dairy.SourceData_Dairy_DurationOfStay_Data(), Table_SourceData_Dairy_Duration[[#Headers],[Animal class j]], 0)</f>
        <v>281</v>
      </c>
      <c r="F146" s="38" cm="1">
        <f t="array" ref="F146">Common_InputFunctions.Utility_DisplayArrayInTable(SourceData_Dairy.SourceData_Dairy_DurationOfStay_Data(), Table_SourceData_Dairy_Duration[[#Headers],[Animal class j]], 0)</f>
        <v>84</v>
      </c>
      <c r="M146" s="23"/>
    </row>
    <row r="147" spans="4:13" ht="20.100000000000001" customHeight="1" x14ac:dyDescent="0.25">
      <c r="M147" s="23"/>
    </row>
    <row r="148" spans="4:13" ht="20.100000000000001" customHeight="1" x14ac:dyDescent="0.25">
      <c r="M148" s="23"/>
    </row>
    <row r="149" spans="4:13" ht="20.100000000000001" customHeight="1" x14ac:dyDescent="0.25">
      <c r="D149" s="6" t="str" cm="1">
        <f t="array" ref="D149">SourceData_Dairy.SourceData_Dairy_CrudeProtein_Title()</f>
        <v>Crude protein content of feed intake</v>
      </c>
      <c r="M149" s="23"/>
    </row>
    <row r="150" spans="4:13" ht="20.100000000000001" customHeight="1" x14ac:dyDescent="0.25">
      <c r="D150" s="5" t="str" cm="1">
        <f t="array" ref="D150">SourceData_Dairy.SourceData_Dairy_CrudeProtein_Source()</f>
        <v>VEERG 2026: 4.3.2.2	DATA (METHOD 1 AND 2 OPTIONS)</v>
      </c>
      <c r="M150" s="23"/>
    </row>
    <row r="151" spans="4:13" ht="20.100000000000001" customHeight="1" x14ac:dyDescent="0.25">
      <c r="D151" s="1" t="str" cm="1">
        <f t="array" ref="D151">SourceData_Dairy.SourceData_Dairy_CrudeProtein_Variable()</f>
        <v>CP</v>
      </c>
      <c r="M151" s="23"/>
    </row>
    <row r="152" spans="4:13" ht="20.100000000000001" customHeight="1" x14ac:dyDescent="0.25">
      <c r="D152" s="54" t="str" cm="1">
        <f t="array" ref="D152">SourceData_Dairy.SourceData_Dairy_CrudeProtein_Unit()</f>
        <v>fraction</v>
      </c>
      <c r="M152" s="23"/>
    </row>
    <row r="153" spans="4:13" ht="20.100000000000001" customHeight="1" x14ac:dyDescent="0.25">
      <c r="D153" s="53" cm="1">
        <f t="array" ref="D153">SourceData_Dairy.SourceData_Dairy_CrudeProtein_Data()</f>
        <v>0.2</v>
      </c>
      <c r="M153" s="23"/>
    </row>
    <row r="154" spans="4:13" ht="20.100000000000001" customHeight="1" x14ac:dyDescent="0.25">
      <c r="M154" s="23"/>
    </row>
    <row r="155" spans="4:13" ht="20.100000000000001" customHeight="1" x14ac:dyDescent="0.25">
      <c r="M155" s="23"/>
    </row>
    <row r="156" spans="4:13" ht="20.100000000000001" customHeight="1" x14ac:dyDescent="0.25">
      <c r="D156" s="6" t="str" cm="1">
        <f t="array" ref="D156">SourceData_Dairy.SourceData_Dairy_DryMatterDigestibility_Title()</f>
        <v>Dry matter digestibility</v>
      </c>
      <c r="M156" s="23"/>
    </row>
    <row r="157" spans="4:13" ht="20.100000000000001" customHeight="1" x14ac:dyDescent="0.25">
      <c r="D157" s="5" t="str" cm="1">
        <f t="array" ref="D157">SourceData_Dairy.SourceData_Dairy_DryMatterDigestibility_Source()</f>
        <v>VEERG 2026: 3.3.2.2	DATA (METHOD 1 AND 2 OPTIONS)</v>
      </c>
      <c r="M157" s="23"/>
    </row>
    <row r="158" spans="4:13" ht="20.100000000000001" customHeight="1" x14ac:dyDescent="0.25">
      <c r="D158" s="1" t="str" cm="1">
        <f t="array" ref="D158">SourceData_Dairy.SourceData_Dairy_DryMatterDigestibility_Variable()</f>
        <v>DMD</v>
      </c>
      <c r="M158" s="23"/>
    </row>
    <row r="159" spans="4:13" ht="20.100000000000001" customHeight="1" x14ac:dyDescent="0.25">
      <c r="D159" s="54" t="str" cm="1">
        <f t="array" ref="D159">SourceData_Dairy.SourceData_Dairy_DryMatterDigestibility_Unit()</f>
        <v>fraction</v>
      </c>
      <c r="M159" s="23"/>
    </row>
    <row r="160" spans="4:13" ht="20.100000000000001" customHeight="1" x14ac:dyDescent="0.25">
      <c r="D160" s="53" cm="1">
        <f t="array" ref="D160">SourceData_Dairy.SourceData_Dairy_DryMatterDigestibility_Data()</f>
        <v>0.75</v>
      </c>
      <c r="M160" s="23"/>
    </row>
    <row r="161" spans="1:13" ht="20.100000000000001" customHeight="1" x14ac:dyDescent="0.25">
      <c r="M161" s="23"/>
    </row>
    <row r="162" spans="1:13" ht="20.100000000000001" customHeight="1" x14ac:dyDescent="0.25">
      <c r="M162" s="23"/>
    </row>
    <row r="163" spans="1:13" ht="20.100000000000001" customHeight="1" x14ac:dyDescent="0.25">
      <c r="D163" s="6" t="str" cm="1">
        <f t="array" ref="D163">SourceData_Dairy.SourceData_Dairy_NetEnergy_Title()</f>
        <v>Net energy required for milk production</v>
      </c>
      <c r="M163" s="23"/>
    </row>
    <row r="164" spans="1:13" ht="20.100000000000001" customHeight="1" x14ac:dyDescent="0.25">
      <c r="D164" s="5" t="str" cm="1">
        <f t="array" ref="D164">SourceData_Dairy.SourceData_Dairy_NetEnergy_Source()</f>
        <v>VEERG 2026: 3.3.2.3 CONSTANTS</v>
      </c>
      <c r="M164" s="23"/>
    </row>
    <row r="165" spans="1:13" ht="20.100000000000001" customHeight="1" x14ac:dyDescent="0.25">
      <c r="D165" s="1" t="str" cm="1">
        <f t="array" ref="D165">SourceData_Dairy.SourceData_Dairy_NetEnergy_Variable()</f>
        <v>NE</v>
      </c>
      <c r="M165" s="23"/>
    </row>
    <row r="166" spans="1:13" x14ac:dyDescent="0.25">
      <c r="D166" s="54" t="str" cm="1">
        <f t="array" ref="D166">SourceData_Dairy.SourceData_Dairy_NetEnergy_Unit()</f>
        <v>MJ net energy / kg milk</v>
      </c>
      <c r="M166" s="23"/>
    </row>
    <row r="167" spans="1:13" x14ac:dyDescent="0.25">
      <c r="D167" s="53" cm="1">
        <f t="array" ref="D167">SourceData_Dairy.SourceData_Dairy_NetEnergy_Data()</f>
        <v>3.0539999999999998</v>
      </c>
      <c r="M167" s="23"/>
    </row>
    <row r="168" spans="1:13" x14ac:dyDescent="0.25">
      <c r="M168" s="23"/>
    </row>
    <row r="169" spans="1:13" x14ac:dyDescent="0.25">
      <c r="M169" s="23"/>
    </row>
    <row r="170" spans="1:13" ht="23.25" x14ac:dyDescent="0.25">
      <c r="D170" s="6" t="str" cm="1">
        <f t="array" ref="D170">SourceData_Dairy.SourceData_Dairy_GrossEnergyContent_Title()</f>
        <v>Gross energy content of feed dry matter</v>
      </c>
      <c r="M170" s="23"/>
    </row>
    <row r="171" spans="1:13" x14ac:dyDescent="0.25">
      <c r="D171" s="5" t="str" cm="1">
        <f t="array" ref="D171">SourceData_Dairy.SourceData_Dairy_GrossEnergyContent_Source()</f>
        <v>VEERG 2026: 3.3.2.3 CONSTANTS</v>
      </c>
      <c r="M171" s="23"/>
    </row>
    <row r="172" spans="1:13" x14ac:dyDescent="0.25">
      <c r="D172" s="1" t="str" cm="1">
        <f t="array" ref="D172">SourceData_Dairy.SourceData_Dairy_GrossEnergyContent_Variable()</f>
        <v>GEC</v>
      </c>
      <c r="M172" s="23"/>
    </row>
    <row r="173" spans="1:13" x14ac:dyDescent="0.25">
      <c r="D173" s="54" t="str" cm="1">
        <f t="array" ref="D173">SourceData_Dairy.SourceData_Dairy_GrossEnergyContent_Unit()</f>
        <v>MJ / kgDM</v>
      </c>
      <c r="M173" s="23"/>
    </row>
    <row r="174" spans="1:13" x14ac:dyDescent="0.25">
      <c r="A174" s="121" t="str">
        <f>HYPERLINK("#A1", "▲ Back to top")</f>
        <v>▲ Back to top</v>
      </c>
      <c r="D174" s="53" cm="1">
        <f t="array" ref="D174">SourceData_Dairy.SourceData_Dairy_GrossEnergyContent_Data()</f>
        <v>18.399999999999999</v>
      </c>
      <c r="M174" s="23"/>
    </row>
    <row r="175" spans="1:13" x14ac:dyDescent="0.25">
      <c r="M175" s="23"/>
    </row>
    <row r="176" spans="1:13" x14ac:dyDescent="0.25">
      <c r="M176" s="23"/>
    </row>
    <row r="177" spans="4:13" ht="23.25" x14ac:dyDescent="0.25">
      <c r="D177" s="6" t="str" cm="1">
        <f t="array" ref="D177">SourceData_Dairy.SourceData_Dairy_EfficiencyOfUseOfMetabolizableEnergy_Title()</f>
        <v>Efficiency of use of metabolizable energy for milk production</v>
      </c>
      <c r="M177" s="23"/>
    </row>
    <row r="178" spans="4:13" x14ac:dyDescent="0.25">
      <c r="D178" s="5" t="str" cm="1">
        <f t="array" ref="D178">SourceData_Dairy.SourceData_Dairy_EfficiencyOfUseOfMetabolizableEnergy_Source()</f>
        <v>VEERG 2026: 3.3.2.3 CONSTANTS</v>
      </c>
      <c r="M178" s="23"/>
    </row>
    <row r="179" spans="4:13" x14ac:dyDescent="0.25">
      <c r="D179" s="1" t="str" cm="1">
        <f t="array" ref="D179">SourceData_Dairy.SourceData_Dairy_EfficiencyOfUseOfMetabolizableEnergy_Variable()</f>
        <v>k</v>
      </c>
      <c r="M179" s="23"/>
    </row>
    <row r="180" spans="4:13" x14ac:dyDescent="0.25">
      <c r="D180" s="54" t="str" cm="1">
        <f t="array" ref="D180">SourceData_Dairy.SourceData_Dairy_EfficiencyOfUseOfMetabolizableEnergy_Unit()</f>
        <v>fraction</v>
      </c>
      <c r="M180" s="23"/>
    </row>
    <row r="181" spans="4:13" x14ac:dyDescent="0.25">
      <c r="D181" s="53" cm="1">
        <f t="array" ref="D181">SourceData_Dairy.SourceData_Dairy_EfficiencyOfUseOfMetabolizableEnergy_Data()</f>
        <v>0.6</v>
      </c>
      <c r="M181" s="23"/>
    </row>
    <row r="182" spans="4:13" x14ac:dyDescent="0.25">
      <c r="M182" s="23"/>
    </row>
    <row r="183" spans="4:13" x14ac:dyDescent="0.25">
      <c r="M183" s="23"/>
    </row>
    <row r="184" spans="4:13" ht="23.25" x14ac:dyDescent="0.25">
      <c r="D184" s="6" t="str" cm="1">
        <f t="array" ref="D184">SourceData_Dairy.SourceData_Dairy_AshContent_Title()</f>
        <v>Ash content of manure</v>
      </c>
      <c r="M184" s="23"/>
    </row>
    <row r="185" spans="4:13" x14ac:dyDescent="0.25">
      <c r="D185" s="5" t="str" cm="1">
        <f t="array" ref="D185">SourceData_Dairy.SourceData_Dairy_AshContent_Source()</f>
        <v>VEERG 2026: 4.3.2.3 CONSTANTS</v>
      </c>
      <c r="M185" s="23"/>
    </row>
    <row r="186" spans="4:13" x14ac:dyDescent="0.25">
      <c r="D186" s="1" t="str" cm="1">
        <f t="array" ref="D186">SourceData_Dairy.SourceData_Dairy_AshContent_Variable()</f>
        <v>A</v>
      </c>
      <c r="M186" s="23"/>
    </row>
    <row r="187" spans="4:13" x14ac:dyDescent="0.25">
      <c r="D187" s="54" t="str" cm="1">
        <f t="array" ref="D187">SourceData_Dairy.SourceData_Dairy_AshContent_Unit()</f>
        <v>fraction</v>
      </c>
      <c r="M187" s="23"/>
    </row>
    <row r="188" spans="4:13" x14ac:dyDescent="0.25">
      <c r="D188" s="53" cm="1">
        <f t="array" ref="D188">SourceData_Dairy.SourceData_Dairy_AshContent_Data()</f>
        <v>0.08</v>
      </c>
      <c r="M188" s="23"/>
    </row>
    <row r="189" spans="4:13" x14ac:dyDescent="0.25">
      <c r="M189" s="23"/>
    </row>
    <row r="190" spans="4:13" x14ac:dyDescent="0.25">
      <c r="M190" s="23"/>
    </row>
    <row r="191" spans="4:13" ht="23.25" x14ac:dyDescent="0.25">
      <c r="D191" s="6" t="str" cm="1">
        <f t="array" ref="D191">SourceData_Dairy.SourceData_Dairy_MethaneEmissionsPotential_Title()</f>
        <v>Methane emissions potential</v>
      </c>
      <c r="M191" s="23"/>
    </row>
    <row r="192" spans="4:13" x14ac:dyDescent="0.25">
      <c r="D192" s="5" t="str" cm="1">
        <f t="array" ref="D192">SourceData_Dairy.SourceData_Dairy_MethaneEmissionsPotential_Source()</f>
        <v>VEERG 2026: 4.3.2.3 CONSTANTS</v>
      </c>
      <c r="M192" s="23"/>
    </row>
    <row r="193" spans="4:13" x14ac:dyDescent="0.25">
      <c r="D193" s="1" t="str" cm="1">
        <f t="array" ref="D193">SourceData_Dairy.SourceData_Dairy_MethaneEmissionsPotential_Variable()</f>
        <v>B_o</v>
      </c>
      <c r="M193" s="23"/>
    </row>
    <row r="194" spans="4:13" x14ac:dyDescent="0.25">
      <c r="D194" s="54" t="str" cm="1">
        <f t="array" ref="D194">SourceData_Dairy.SourceData_Dairy_MethaneEmissionsPotential_Unit()</f>
        <v>m3 CH4/kgVS</v>
      </c>
      <c r="M194" s="23"/>
    </row>
    <row r="195" spans="4:13" x14ac:dyDescent="0.25">
      <c r="D195" s="53" cm="1">
        <f t="array" ref="D195">SourceData_Dairy.SourceData_Dairy_MethaneEmissionsPotential_Data()</f>
        <v>0.24</v>
      </c>
      <c r="M195" s="23"/>
    </row>
    <row r="196" spans="4:13" x14ac:dyDescent="0.25">
      <c r="M196" s="23"/>
    </row>
    <row r="197" spans="4:13" x14ac:dyDescent="0.25">
      <c r="M197" s="23"/>
    </row>
    <row r="198" spans="4:13" ht="23.25" x14ac:dyDescent="0.25">
      <c r="D198" s="6" t="str" cm="1">
        <f t="array" ref="D198">SourceData_Dairy.SourceData_Dairy_EmissionFactorForLeachingAndRunoff_Title()</f>
        <v>Emission factor for leaching and runoff</v>
      </c>
      <c r="M198" s="23"/>
    </row>
    <row r="199" spans="4:13" x14ac:dyDescent="0.25">
      <c r="D199" s="5" t="str" cm="1">
        <f t="array" ref="D199">SourceData_Dairy.SourceData_Dairy_EmissionFactorForLeachingAndRunoff_Source()</f>
        <v>VEERG 2026: 4.3.2.3 CONSTANTS</v>
      </c>
      <c r="M199" s="23"/>
    </row>
    <row r="200" spans="4:13" x14ac:dyDescent="0.25">
      <c r="D200" s="1" t="str" cm="1">
        <f t="array" ref="D200">SourceData_Dairy.SourceData_Dairy_EmissionFactorForLeachingAndRunoff_Variable()</f>
        <v>EF_leach</v>
      </c>
      <c r="M200" s="23"/>
    </row>
    <row r="201" spans="4:13" x14ac:dyDescent="0.25">
      <c r="D201" s="54" t="str" cm="1">
        <f t="array" ref="D201">SourceData_Dairy.SourceData_Dairy_EmissionFactorForLeachingAndRunoff_Unit()</f>
        <v>kg N2O-N/kg N</v>
      </c>
      <c r="M201" s="23"/>
    </row>
    <row r="202" spans="4:13" x14ac:dyDescent="0.25">
      <c r="D202" s="53" cm="1">
        <f t="array" ref="D202">SourceData_Dairy.SourceData_Dairy_EmissionFactorForLeachingAndRunoff_Data()</f>
        <v>1.0999999999999999E-2</v>
      </c>
      <c r="M202" s="23"/>
    </row>
    <row r="203" spans="4:13" x14ac:dyDescent="0.25">
      <c r="M203" s="23"/>
    </row>
    <row r="204" spans="4:13" x14ac:dyDescent="0.25">
      <c r="M204" s="23"/>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3"/>
    </row>
    <row r="206" spans="4:13" x14ac:dyDescent="0.25">
      <c r="D206" s="5" t="str" cm="1">
        <f t="array" ref="D206">SourceData_Dairy.SourceData_Dairy_FractionOfNitrogenLostThroughLeachingAndRunoff_Source()</f>
        <v>VEERG 2026: 4.3.2.3 CONSTANTS</v>
      </c>
      <c r="M206" s="23"/>
    </row>
    <row r="207" spans="4:13" x14ac:dyDescent="0.25">
      <c r="D207" s="1" t="str" cm="1">
        <f t="array" ref="D207">SourceData_Dairy.SourceData_Dairy_FractionOfNitrogenLostThroughLeachingAndRunoff_Variable()</f>
        <v>Frac_LEACH_MS</v>
      </c>
      <c r="M207" s="23"/>
    </row>
    <row r="208" spans="4:13" x14ac:dyDescent="0.25">
      <c r="D208" s="54" t="str" cm="1">
        <f t="array" ref="D208">SourceData_Dairy.SourceData_Dairy_FractionOfNitrogenLostThroughLeachingAndRunoff_Unit()</f>
        <v>Fraction</v>
      </c>
      <c r="M208" s="23"/>
    </row>
    <row r="209" spans="1:13" x14ac:dyDescent="0.25">
      <c r="D209" s="53" cm="1">
        <f t="array" ref="D209">SourceData_Dairy.SourceData_Dairy_FractionOfNitrogenLostThroughLeachingAndRunoff_Data()</f>
        <v>0.24</v>
      </c>
      <c r="M209" s="23"/>
    </row>
    <row r="210" spans="1:13" x14ac:dyDescent="0.25">
      <c r="M210" s="23"/>
    </row>
    <row r="211" spans="1:13" ht="23.25" x14ac:dyDescent="0.25">
      <c r="D211" s="6" t="str" cm="1">
        <f t="array" ref="D211">SourceData_Dairy.SourceData_Dairy_FracGASMSoil_Title()</f>
        <v>Fraction of nitrogen volatilized from urine and faeces deposited on pasture</v>
      </c>
      <c r="M211" s="23"/>
    </row>
    <row r="212" spans="1:13" x14ac:dyDescent="0.25">
      <c r="D212" s="5" t="str" cm="1">
        <f t="array" ref="D212">SourceData_Dairy.SourceData_Dairy_FracGASMSoil_Source()</f>
        <v>VEERG 2026: 4.3.2.3 CONSTANTS</v>
      </c>
      <c r="M212" s="23"/>
    </row>
    <row r="213" spans="1:13" x14ac:dyDescent="0.25">
      <c r="D213" s="1" t="str" cm="1">
        <f t="array" ref="D213">SourceData_Dairy.SourceData_Dairy_FracGASMSoil_Variable()</f>
        <v>FracGASMsoil</v>
      </c>
      <c r="M213" s="23"/>
    </row>
    <row r="214" spans="1:13" x14ac:dyDescent="0.25">
      <c r="D214" s="54" t="str" cm="1">
        <f t="array" ref="D214">SourceData_Dairy.SourceData_Dairy_FracGASMSoil_Unit()</f>
        <v>(kg NH3-N + NOx-N)/kg N</v>
      </c>
      <c r="M214" s="23"/>
    </row>
    <row r="215" spans="1:13" x14ac:dyDescent="0.25">
      <c r="A215" s="121" t="str">
        <f>HYPERLINK("#A1", "▲ Back to top")</f>
        <v>▲ Back to top</v>
      </c>
      <c r="D215" s="53" cm="1">
        <f t="array" ref="D215">SourceData_Dairy.SourceData_Dairy_FracGASMSoil_Data()</f>
        <v>0.21</v>
      </c>
      <c r="M215" s="23"/>
    </row>
    <row r="216" spans="1:13" x14ac:dyDescent="0.25">
      <c r="M216" s="23"/>
    </row>
    <row r="217" spans="1:13" ht="23.25" x14ac:dyDescent="0.25">
      <c r="D217" s="6" t="str" cm="1">
        <f t="array" ref="D217">SourceData_Dairy.SourceData_Dairy_FatContentInMilk_Title()</f>
        <v>Fat content in fat and protein corrected milk</v>
      </c>
      <c r="M217" s="23"/>
    </row>
    <row r="218" spans="1:13" x14ac:dyDescent="0.25">
      <c r="D218" s="5" t="str" cm="1">
        <f t="array" ref="D218">SourceData_Dairy.SourceData_Dairy_FatContentInMilk_Source()</f>
        <v>VEERG 2026: 3.3.2.2 DATA (METHOD 1 AND 2 OPTIONS)</v>
      </c>
      <c r="M218" s="23"/>
    </row>
    <row r="219" spans="1:13" x14ac:dyDescent="0.25">
      <c r="D219" s="1" t="str" cm="1">
        <f t="array" ref="D219">SourceData_Dairy.SourceData_Dairy_FatContentInMilk_Variable()</f>
        <v>FC_j</v>
      </c>
      <c r="M219" s="23"/>
    </row>
    <row r="220" spans="1:13" x14ac:dyDescent="0.25">
      <c r="D220" s="54" t="str" cm="1">
        <f t="array" ref="D220">SourceData_Dairy.SourceData_Dairy_FatContentInMilk_Unit()</f>
        <v>percent</v>
      </c>
      <c r="M220" s="23"/>
    </row>
    <row r="221" spans="1:13" x14ac:dyDescent="0.25">
      <c r="D221" s="53" cm="1">
        <f t="array" ref="D221">SourceData_Dairy.SourceData_Dairy_FatContentInMilk_Data()</f>
        <v>4</v>
      </c>
      <c r="M221" s="23"/>
    </row>
    <row r="222" spans="1:13" x14ac:dyDescent="0.25">
      <c r="M222" s="23"/>
    </row>
    <row r="223" spans="1:13" ht="23.25" x14ac:dyDescent="0.25">
      <c r="D223" s="6" t="str" cm="1">
        <f t="array" ref="D223">SourceData_Dairy.SourceData_Dairy_ProteinContentInMilk_Title()</f>
        <v>Protein content in fat and protein corrected milk</v>
      </c>
      <c r="M223" s="23"/>
    </row>
    <row r="224" spans="1:13" x14ac:dyDescent="0.25">
      <c r="D224" s="5" t="str" cm="1">
        <f t="array" ref="D224">SourceData_Dairy.SourceData_Dairy_ProteinContentInMilk_Source()</f>
        <v>VEERG 2026: 3.3.2.2 DATA (METHOD 1 AND 2 OPTIONS)</v>
      </c>
      <c r="M224" s="23"/>
    </row>
    <row r="225" spans="4:13" x14ac:dyDescent="0.25">
      <c r="D225" s="1" t="str" cm="1">
        <f t="array" ref="D225">SourceData_Dairy.SourceData_Dairy_ProteinContentInMilk_Variable()</f>
        <v>PC_j</v>
      </c>
      <c r="M225" s="23"/>
    </row>
    <row r="226" spans="4:13" x14ac:dyDescent="0.25">
      <c r="D226" s="54" t="str" cm="1">
        <f t="array" ref="D226">SourceData_Dairy.SourceData_Dairy_ProteinContentInMilk_Unit()</f>
        <v>percent</v>
      </c>
      <c r="M226" s="23"/>
    </row>
    <row r="227" spans="4:13" x14ac:dyDescent="0.25">
      <c r="D227" s="53" cm="1">
        <f t="array" ref="D227">SourceData_Dairy.SourceData_Dairy_ProteinContentInMilk_Data()</f>
        <v>3.3</v>
      </c>
      <c r="M227" s="23"/>
    </row>
    <row r="228" spans="4:13" x14ac:dyDescent="0.25">
      <c r="M228" s="23"/>
    </row>
    <row r="229" spans="4:13" x14ac:dyDescent="0.25">
      <c r="M229" s="23"/>
    </row>
    <row r="230" spans="4:13" x14ac:dyDescent="0.25">
      <c r="M230" s="23"/>
    </row>
    <row r="231" spans="4:13" x14ac:dyDescent="0.25">
      <c r="M231" s="23"/>
    </row>
    <row r="232" spans="4:13" x14ac:dyDescent="0.25">
      <c r="M232" s="23"/>
    </row>
    <row r="233" spans="4:13" x14ac:dyDescent="0.25">
      <c r="M233" s="23"/>
    </row>
    <row r="234" spans="4:13" x14ac:dyDescent="0.25">
      <c r="M234" s="23"/>
    </row>
    <row r="235" spans="4:13" x14ac:dyDescent="0.25">
      <c r="M235" s="23"/>
    </row>
    <row r="236" spans="4:13" x14ac:dyDescent="0.25">
      <c r="M236" s="23"/>
    </row>
    <row r="237" spans="4:13" x14ac:dyDescent="0.25">
      <c r="M237" s="23"/>
    </row>
    <row r="238" spans="4:13" x14ac:dyDescent="0.25">
      <c r="M238" s="23"/>
    </row>
    <row r="239" spans="4:13" x14ac:dyDescent="0.25">
      <c r="M239" s="23"/>
    </row>
    <row r="240" spans="4:13" x14ac:dyDescent="0.25">
      <c r="M240" s="23"/>
    </row>
    <row r="241" spans="13:13" x14ac:dyDescent="0.25">
      <c r="M241" s="23"/>
    </row>
    <row r="242" spans="13:13" x14ac:dyDescent="0.25">
      <c r="M242" s="23"/>
    </row>
    <row r="243" spans="13:13" x14ac:dyDescent="0.25">
      <c r="M243" s="23"/>
    </row>
    <row r="244" spans="13:13" x14ac:dyDescent="0.25">
      <c r="M244" s="23"/>
    </row>
    <row r="245" spans="13:13" x14ac:dyDescent="0.25">
      <c r="M245" s="23"/>
    </row>
    <row r="246" spans="13:13" x14ac:dyDescent="0.25">
      <c r="M246" s="23"/>
    </row>
    <row r="247" spans="13:13" x14ac:dyDescent="0.25">
      <c r="M247" s="23"/>
    </row>
    <row r="248" spans="13:13" x14ac:dyDescent="0.25">
      <c r="M248" s="23"/>
    </row>
    <row r="249" spans="13:13" x14ac:dyDescent="0.25">
      <c r="M249" s="23"/>
    </row>
    <row r="250" spans="13:13" x14ac:dyDescent="0.25">
      <c r="M250" s="23"/>
    </row>
    <row r="251" spans="13:13" x14ac:dyDescent="0.25">
      <c r="M251" s="23"/>
    </row>
    <row r="252" spans="13:13" x14ac:dyDescent="0.25">
      <c r="M252" s="23"/>
    </row>
    <row r="253" spans="13:13" x14ac:dyDescent="0.25">
      <c r="M253" s="23"/>
    </row>
    <row r="254" spans="13:13" x14ac:dyDescent="0.25">
      <c r="M254" s="23"/>
    </row>
    <row r="255" spans="13:13" x14ac:dyDescent="0.25">
      <c r="M255" s="23"/>
    </row>
    <row r="256" spans="13:13" x14ac:dyDescent="0.25">
      <c r="M256" s="23"/>
    </row>
    <row r="257" spans="13:13" x14ac:dyDescent="0.25">
      <c r="M257" s="23"/>
    </row>
    <row r="258" spans="13:13" x14ac:dyDescent="0.25">
      <c r="M258" s="23"/>
    </row>
    <row r="259" spans="13:13" x14ac:dyDescent="0.25">
      <c r="M259" s="23"/>
    </row>
    <row r="260" spans="13:13" x14ac:dyDescent="0.25">
      <c r="M260" s="23"/>
    </row>
    <row r="261" spans="13:13" x14ac:dyDescent="0.25">
      <c r="M261" s="23"/>
    </row>
    <row r="262" spans="13:13" x14ac:dyDescent="0.25">
      <c r="M262" s="23"/>
    </row>
    <row r="263" spans="13:13" x14ac:dyDescent="0.25">
      <c r="M263" s="23"/>
    </row>
    <row r="264" spans="13:13" x14ac:dyDescent="0.25">
      <c r="M264" s="23"/>
    </row>
    <row r="265" spans="13:13" x14ac:dyDescent="0.25">
      <c r="M265" s="23"/>
    </row>
    <row r="266" spans="13:13" x14ac:dyDescent="0.25">
      <c r="M266" s="23"/>
    </row>
    <row r="267" spans="13:13" x14ac:dyDescent="0.25">
      <c r="M267" s="23"/>
    </row>
    <row r="268" spans="13:13" x14ac:dyDescent="0.25">
      <c r="M268" s="23"/>
    </row>
    <row r="269" spans="13:13" x14ac:dyDescent="0.25">
      <c r="M269" s="23"/>
    </row>
    <row r="270" spans="13:13" x14ac:dyDescent="0.25">
      <c r="M270" s="23"/>
    </row>
    <row r="271" spans="13:13" x14ac:dyDescent="0.25">
      <c r="M271" s="23"/>
    </row>
    <row r="272" spans="13:13" x14ac:dyDescent="0.25">
      <c r="M272" s="23"/>
    </row>
    <row r="273" spans="13:13" x14ac:dyDescent="0.25">
      <c r="M273" s="23"/>
    </row>
    <row r="274" spans="13:13" x14ac:dyDescent="0.25">
      <c r="M274" s="23"/>
    </row>
    <row r="275" spans="13:13" x14ac:dyDescent="0.25">
      <c r="M275" s="23"/>
    </row>
    <row r="276" spans="13:13" x14ac:dyDescent="0.25">
      <c r="M276" s="23"/>
    </row>
    <row r="277" spans="13:13" x14ac:dyDescent="0.25">
      <c r="M277" s="23"/>
    </row>
    <row r="278" spans="13:13" x14ac:dyDescent="0.25">
      <c r="M278" s="23"/>
    </row>
    <row r="279" spans="13:13" x14ac:dyDescent="0.25">
      <c r="M279" s="23"/>
    </row>
    <row r="280" spans="13:13" x14ac:dyDescent="0.25">
      <c r="M280" s="23"/>
    </row>
    <row r="281" spans="13:13" x14ac:dyDescent="0.25">
      <c r="M281" s="23"/>
    </row>
    <row r="282" spans="13:13" x14ac:dyDescent="0.25">
      <c r="M282" s="23"/>
    </row>
    <row r="283" spans="13:13" x14ac:dyDescent="0.25">
      <c r="M283" s="23"/>
    </row>
    <row r="284" spans="13:13" x14ac:dyDescent="0.25">
      <c r="M284" s="23"/>
    </row>
    <row r="285" spans="13:13" x14ac:dyDescent="0.25">
      <c r="M285" s="23"/>
    </row>
    <row r="286" spans="13:13" x14ac:dyDescent="0.25">
      <c r="M286" s="23"/>
    </row>
    <row r="287" spans="13:13" x14ac:dyDescent="0.25">
      <c r="M287" s="23"/>
    </row>
    <row r="288" spans="13:13" x14ac:dyDescent="0.25">
      <c r="M288" s="23"/>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3D428-406B-4CCC-8C42-FF05F2282F56}">
  <dimension ref="A1:BY259"/>
  <sheetViews>
    <sheetView showGridLines="0" tabSelected="1" topLeftCell="A86" zoomScaleNormal="100" workbookViewId="0">
      <selection activeCell="A20" sqref="A20"/>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65" t="e" vm="1">
        <v>#VALUE!</v>
      </c>
      <c r="C1" s="8" t="s">
        <v>70</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8" t="s">
        <v>17</v>
      </c>
      <c r="E6" s="38" t="s">
        <v>18</v>
      </c>
      <c r="F6" s="38" t="s">
        <v>19</v>
      </c>
    </row>
    <row r="7" spans="1:65" ht="20.100000000000001" customHeight="1" x14ac:dyDescent="0.25">
      <c r="A7"/>
      <c r="D7" s="38" t="str" cm="1">
        <f t="array" ref="D7">Common_InputFunctions.Utility_DisplayArrayInTable(Common_SourceData.Common_SourceData_AustralianStatesTerritories_Data(),Table_AustralianStates[[#Headers],[State/Territory]],0)</f>
        <v>New South Wales</v>
      </c>
      <c r="E7" s="38" t="str" cm="1">
        <f t="array" ref="E7">Common_InputFunctions.Utility_DisplayArrayInTable(Common_SourceData.Common_SourceData_AustralianStatesTerritories_Data(),Table_AustralianStates[[#Headers],[State/Territory]],0)</f>
        <v>New South Wales</v>
      </c>
      <c r="F7" s="38"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8" t="str" cm="1">
        <f t="array" ref="D8">Common_InputFunctions.Utility_DisplayArrayInTable(Common_SourceData.Common_SourceData_AustralianStatesTerritories_Data(),Table_AustralianStates[[#Headers],[State/Territory]],0)</f>
        <v>Australian Capital Territory</v>
      </c>
      <c r="E8" s="38" t="str" cm="1">
        <f t="array" ref="E8">Common_InputFunctions.Utility_DisplayArrayInTable(Common_SourceData.Common_SourceData_AustralianStatesTerritories_Data(),Table_AustralianStates[[#Headers],[State/Territory]],0)</f>
        <v>ACT</v>
      </c>
      <c r="F8" s="38"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8" t="str" cm="1">
        <f t="array" ref="D9">Common_InputFunctions.Utility_DisplayArrayInTable(Common_SourceData.Common_SourceData_AustralianStatesTerritories_Data(),Table_AustralianStates[[#Headers],[State/Territory]],0)</f>
        <v>Victoria</v>
      </c>
      <c r="E9" s="38" t="str" cm="1">
        <f t="array" ref="E9">Common_InputFunctions.Utility_DisplayArrayInTable(Common_SourceData.Common_SourceData_AustralianStatesTerritories_Data(),Table_AustralianStates[[#Headers],[State/Territory]],0)</f>
        <v>Victoria</v>
      </c>
      <c r="F9" s="38"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Dairy'!A1", "Dairy")</f>
        <v>Dairy</v>
      </c>
      <c r="D10" s="38" t="str" cm="1">
        <f t="array" ref="D10">Common_InputFunctions.Utility_DisplayArrayInTable(Common_SourceData.Common_SourceData_AustralianStatesTerritories_Data(),Table_AustralianStates[[#Headers],[State/Territory]],0)</f>
        <v>Queensland</v>
      </c>
      <c r="E10" s="38" t="str" cm="1">
        <f t="array" ref="E10">Common_InputFunctions.Utility_DisplayArrayInTable(Common_SourceData.Common_SourceData_AustralianStatesTerritories_Data(),Table_AustralianStates[[#Headers],[State/Territory]],0)</f>
        <v>Queensland</v>
      </c>
      <c r="F10" s="38"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8" t="str" cm="1">
        <f t="array" ref="D11">Common_InputFunctions.Utility_DisplayArrayInTable(Common_SourceData.Common_SourceData_AustralianStatesTerritories_Data(),Table_AustralianStates[[#Headers],[State/Territory]],0)</f>
        <v>South Australia</v>
      </c>
      <c r="E11" s="38" t="str" cm="1">
        <f t="array" ref="E11">Common_InputFunctions.Utility_DisplayArrayInTable(Common_SourceData.Common_SourceData_AustralianStatesTerritories_Data(),Table_AustralianStates[[#Headers],[State/Territory]],0)</f>
        <v>South Australia</v>
      </c>
      <c r="F11" s="38"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8" t="str" cm="1">
        <f t="array" ref="D12">Common_InputFunctions.Utility_DisplayArrayInTable(Common_SourceData.Common_SourceData_AustralianStatesTerritories_Data(),Table_AustralianStates[[#Headers],[State/Territory]],0)</f>
        <v>Western Australia</v>
      </c>
      <c r="E12" s="38" t="str" cm="1">
        <f t="array" ref="E12">Common_InputFunctions.Utility_DisplayArrayInTable(Common_SourceData.Common_SourceData_AustralianStatesTerritories_Data(),Table_AustralianStates[[#Headers],[State/Territory]],0)</f>
        <v>Western Australia</v>
      </c>
      <c r="F12" s="38"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8" t="s">
        <v>69</v>
      </c>
      <c r="D13" s="38" t="str" cm="1">
        <f t="array" ref="D13">Common_InputFunctions.Utility_DisplayArrayInTable(Common_SourceData.Common_SourceData_AustralianStatesTerritories_Data(),Table_AustralianStates[[#Headers],[State/Territory]],0)</f>
        <v>Tasmania</v>
      </c>
      <c r="E13" s="38" t="str" cm="1">
        <f t="array" ref="E13">Common_InputFunctions.Utility_DisplayArrayInTable(Common_SourceData.Common_SourceData_AustralianStatesTerritories_Data(),Table_AustralianStates[[#Headers],[State/Territory]],0)</f>
        <v>Tasmania</v>
      </c>
      <c r="F13" s="38"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HYPERLINK("#'3.3.1.1-2 Enteric Methane'!A1", "3.3.1.1-2 Enteric Methane")</f>
        <v>3.3.1.1-2 Enteric Methane</v>
      </c>
      <c r="D14" s="38" t="str" cm="1">
        <f t="array" ref="D14">Common_InputFunctions.Utility_DisplayArrayInTable(Common_SourceData.Common_SourceData_AustralianStatesTerritories_Data(),Table_AustralianStates[[#Headers],[State/Territory]],0)</f>
        <v>Northern Territory</v>
      </c>
      <c r="E14" s="38" t="str" cm="1">
        <f t="array" ref="E14">Common_InputFunctions.Utility_DisplayArrayInTable(Common_SourceData.Common_SourceData_AustralianStatesTerritories_Data(),Table_AustralianStates[[#Headers],[State/Territory]],0)</f>
        <v>Northern Territory</v>
      </c>
      <c r="F14" s="38"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s="129" t="s">
        <v>1</v>
      </c>
    </row>
    <row r="18" spans="1:4" ht="20.100000000000001" customHeight="1" x14ac:dyDescent="0.25">
      <c r="A18" s="17" t="str">
        <f>HYPERLINK("#'Constants - Dairy'!A1", "Constants - Dairy")</f>
        <v>Constants - Dairy</v>
      </c>
      <c r="D18" s="6" t="str" cm="1">
        <f t="array" ref="D18">Common_SourceData.Common_SourceData_WASA4Areas_Title()</f>
        <v>ABS Statistcal Areas Level 4 - Western Australia</v>
      </c>
    </row>
    <row r="19" spans="1:4" ht="20.100000000000001" customHeight="1" x14ac:dyDescent="0.25">
      <c r="A19" s="66" t="str">
        <f>HYPERLINK("#'Constants - Common'!A1", "Constants - Common")</f>
        <v>Constants - Common</v>
      </c>
      <c r="D19" s="5" t="str" cm="1">
        <f t="array" ref="D19">Common_SourceData.Common_SourceData_WASA4Areas_Source()</f>
        <v>Australian Bureau of Statistics (ABS) - Statistical Areas Level 2 - 2021 - Shapefile</v>
      </c>
    </row>
    <row r="20" spans="1:4" ht="20.100000000000001" customHeight="1" x14ac:dyDescent="0.25">
      <c r="A20" s="17" t="str">
        <f>HYPERLINK("#'Constants - Livestock'!A1", "Constants - Livestock")</f>
        <v>Constants - Livestock</v>
      </c>
      <c r="D20" s="38" t="s">
        <v>20</v>
      </c>
    </row>
    <row r="21" spans="1:4" ht="20.100000000000001" customHeight="1" x14ac:dyDescent="0.25">
      <c r="A21" s="17" t="str">
        <f>HYPERLINK("#'Acknowledgements'!A1", "Acknowledgements")</f>
        <v>Acknowledgements</v>
      </c>
      <c r="D21" s="38" t="str" cm="1">
        <f t="array" ref="D21">Common_InputFunctions.Utility_DisplayArrayInTable(Common_SourceData.Common_SourceData_WASA4Areas_Data(), Table_WASA4Areas[[#Headers],[SA 4 Name]], 0)</f>
        <v>Bunbury</v>
      </c>
    </row>
    <row r="22" spans="1:4" ht="20.100000000000001" customHeight="1" x14ac:dyDescent="0.25">
      <c r="A22"/>
      <c r="D22" s="38" t="str" cm="1">
        <f t="array" ref="D22">Common_InputFunctions.Utility_DisplayArrayInTable(Common_SourceData.Common_SourceData_WASA4Areas_Data(), Table_WASA4Areas[[#Headers],[SA 4 Name]], 0)</f>
        <v>Mandurah</v>
      </c>
    </row>
    <row r="23" spans="1:4" ht="20.100000000000001" customHeight="1" x14ac:dyDescent="0.25">
      <c r="A23"/>
      <c r="D23" s="38" t="str" cm="1">
        <f t="array" ref="D23">Common_InputFunctions.Utility_DisplayArrayInTable(Common_SourceData.Common_SourceData_WASA4Areas_Data(), Table_WASA4Areas[[#Headers],[SA 4 Name]], 0)</f>
        <v>Perth - Inner</v>
      </c>
    </row>
    <row r="24" spans="1:4" ht="20.100000000000001" customHeight="1" x14ac:dyDescent="0.25">
      <c r="A24"/>
      <c r="D24" s="38" t="str" cm="1">
        <f t="array" ref="D24">Common_InputFunctions.Utility_DisplayArrayInTable(Common_SourceData.Common_SourceData_WASA4Areas_Data(), Table_WASA4Areas[[#Headers],[SA 4 Name]], 0)</f>
        <v>Perth - North East</v>
      </c>
    </row>
    <row r="25" spans="1:4" ht="20.100000000000001" customHeight="1" x14ac:dyDescent="0.25">
      <c r="A25"/>
      <c r="D25" s="38" t="str" cm="1">
        <f t="array" ref="D25">Common_InputFunctions.Utility_DisplayArrayInTable(Common_SourceData.Common_SourceData_WASA4Areas_Data(), Table_WASA4Areas[[#Headers],[SA 4 Name]], 0)</f>
        <v>Perth - North West</v>
      </c>
    </row>
    <row r="26" spans="1:4" ht="20.100000000000001" customHeight="1" x14ac:dyDescent="0.25">
      <c r="A26"/>
      <c r="D26" s="38" t="str" cm="1">
        <f t="array" ref="D26">Common_InputFunctions.Utility_DisplayArrayInTable(Common_SourceData.Common_SourceData_WASA4Areas_Data(), Table_WASA4Areas[[#Headers],[SA 4 Name]], 0)</f>
        <v>Perth - South East</v>
      </c>
    </row>
    <row r="27" spans="1:4" ht="20.100000000000001" customHeight="1" x14ac:dyDescent="0.25">
      <c r="A27"/>
      <c r="D27" s="38" t="str" cm="1">
        <f t="array" ref="D27">Common_InputFunctions.Utility_DisplayArrayInTable(Common_SourceData.Common_SourceData_WASA4Areas_Data(), Table_WASA4Areas[[#Headers],[SA 4 Name]], 0)</f>
        <v>Perth - South West</v>
      </c>
    </row>
    <row r="28" spans="1:4" ht="20.100000000000001" customHeight="1" x14ac:dyDescent="0.25">
      <c r="A28"/>
      <c r="D28" s="38"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8"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8"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8" t="s">
        <v>23</v>
      </c>
      <c r="E36" s="38" t="s">
        <v>24</v>
      </c>
    </row>
    <row r="37" spans="1:8" ht="20.100000000000001" customHeight="1" x14ac:dyDescent="0.25">
      <c r="A37"/>
      <c r="D37" s="38" t="str" cm="1">
        <f t="array" ref="D37">Common_InputFunctions.Utility_DisplayArrayInTable(Common_SourceData.Common_SourceData_GWP_Data(), Table_GWPData[[#Headers],[Gas]], 0)</f>
        <v>CO2</v>
      </c>
      <c r="E37" s="38" cm="1">
        <f t="array" ref="E37">Common_InputFunctions.Utility_DisplayArrayInTable(Common_SourceData.Common_SourceData_GWP_Data(), Table_GWPData[[#Headers],[Gas]], 0)</f>
        <v>1</v>
      </c>
    </row>
    <row r="38" spans="1:8" ht="20.100000000000001" customHeight="1" x14ac:dyDescent="0.25">
      <c r="A38"/>
      <c r="D38" s="38" t="str" cm="1">
        <f t="array" ref="D38">Common_InputFunctions.Utility_DisplayArrayInTable(Common_SourceData.Common_SourceData_GWP_Data(), Table_GWPData[[#Headers],[Gas]], 0)</f>
        <v>CH4</v>
      </c>
      <c r="E38" s="38" cm="1">
        <f t="array" ref="E38">Common_InputFunctions.Utility_DisplayArrayInTable(Common_SourceData.Common_SourceData_GWP_Data(), Table_GWPData[[#Headers],[Gas]], 0)</f>
        <v>28</v>
      </c>
    </row>
    <row r="39" spans="1:8" ht="20.100000000000001" customHeight="1" x14ac:dyDescent="0.25">
      <c r="A39"/>
      <c r="D39" s="38" t="str" cm="1">
        <f t="array" ref="D39">Common_InputFunctions.Utility_DisplayArrayInTable(Common_SourceData.Common_SourceData_GWP_Data(), Table_GWPData[[#Headers],[Gas]], 0)</f>
        <v>N2O</v>
      </c>
      <c r="E39" s="38" cm="1">
        <f t="array" ref="E39">Common_InputFunctions.Utility_DisplayArrayInTable(Common_SourceData.Common_SourceData_GWP_Data(), Table_GWPData[[#Headers],[Gas]], 0)</f>
        <v>265</v>
      </c>
    </row>
    <row r="40" spans="1:8" ht="20.100000000000001" customHeight="1" x14ac:dyDescent="0.25">
      <c r="A40"/>
      <c r="D40" s="38" t="str" cm="1">
        <f t="array" ref="D40">Common_InputFunctions.Utility_DisplayArrayInTable(Common_SourceData.Common_SourceData_GWP_Data(), Table_GWPData[[#Headers],[Gas]], 0)</f>
        <v>CF4</v>
      </c>
      <c r="E40" s="38" cm="1">
        <f t="array" ref="E40">Common_InputFunctions.Utility_DisplayArrayInTable(Common_SourceData.Common_SourceData_GWP_Data(), Table_GWPData[[#Headers],[Gas]], 0)</f>
        <v>6630</v>
      </c>
    </row>
    <row r="41" spans="1:8" ht="20.100000000000001" customHeight="1" x14ac:dyDescent="0.25">
      <c r="A41"/>
      <c r="D41" s="38" t="str" cm="1">
        <f t="array" ref="D41">Common_InputFunctions.Utility_DisplayArrayInTable(Common_SourceData.Common_SourceData_GWP_Data(), Table_GWPData[[#Headers],[Gas]], 0)</f>
        <v>C2F6</v>
      </c>
      <c r="E41" s="38" cm="1">
        <f t="array" ref="E41">Common_InputFunctions.Utility_DisplayArrayInTable(Common_SourceData.Common_SourceData_GWP_Data(), Table_GWPData[[#Headers],[Gas]], 0)</f>
        <v>12200</v>
      </c>
    </row>
    <row r="42" spans="1:8" ht="20.100000000000001" customHeight="1" x14ac:dyDescent="0.25">
      <c r="A42"/>
      <c r="D42" s="38" t="str" cm="1">
        <f t="array" ref="D42">Common_InputFunctions.Utility_DisplayArrayInTable(Common_SourceData.Common_SourceData_GWP_Data(), Table_GWPData[[#Headers],[Gas]], 0)</f>
        <v>SF6</v>
      </c>
      <c r="E42" s="38" cm="1">
        <f t="array" ref="E42">Common_InputFunctions.Utility_DisplayArrayInTable(Common_SourceData.Common_SourceData_GWP_Data(), Table_GWPData[[#Headers],[Gas]], 0)</f>
        <v>22800</v>
      </c>
    </row>
    <row r="43" spans="1:8" ht="20.100000000000001" customHeight="1" x14ac:dyDescent="0.25">
      <c r="A43"/>
      <c r="D43" s="38" t="str" cm="1">
        <f t="array" ref="D43">Common_InputFunctions.Utility_DisplayArrayInTable(Common_SourceData.Common_SourceData_GWP_Data(), Table_GWPData[[#Headers],[Gas]], 0)</f>
        <v>NF3</v>
      </c>
      <c r="E43" s="38"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8" t="s">
        <v>23</v>
      </c>
      <c r="E47" s="38" t="s">
        <v>26</v>
      </c>
      <c r="F47" s="38" t="s">
        <v>27</v>
      </c>
      <c r="G47" s="38" t="s">
        <v>28</v>
      </c>
      <c r="H47" s="38" t="s">
        <v>29</v>
      </c>
    </row>
    <row r="48" spans="1:8" ht="20.100000000000001" customHeight="1" x14ac:dyDescent="0.25">
      <c r="A48"/>
      <c r="D48" s="38" t="str" cm="1">
        <f t="array" ref="D48">Common_InputFunctions.Utility_DisplayArrayInTable(Common_SourceData.Common_SourceData_ConvertGasElementalToMolecular_Data(),Table_GasToMolecularConversionFactor[[#Headers],[Gas]], 0)</f>
        <v>CO2</v>
      </c>
      <c r="E48" s="38" t="str" cm="1">
        <f t="array" ref="E48">Common_InputFunctions.Utility_DisplayArrayInTable(Common_SourceData.Common_SourceData_ConvertGasElementalToMolecular_Data(),Table_GasToMolecularConversionFactor[[#Headers],[Gas]], 0)</f>
        <v>44/12</v>
      </c>
      <c r="F48" s="38" cm="1">
        <f t="array" ref="F48">Common_InputFunctions.Utility_DisplayArrayInTable(Common_SourceData.Common_SourceData_ConvertGasElementalToMolecular_Data(),Table_GasToMolecularConversionFactor[[#Headers],[Gas]], 0)</f>
        <v>44</v>
      </c>
      <c r="G48" s="38" cm="1">
        <f t="array" ref="G48">Common_InputFunctions.Utility_DisplayArrayInTable(Common_SourceData.Common_SourceData_ConvertGasElementalToMolecular_Data(),Table_GasToMolecularConversionFactor[[#Headers],[Gas]], 0)</f>
        <v>12</v>
      </c>
      <c r="H48" s="38">
        <f>Table_GasToMolecularConversionFactor[[#This Row],[Conversion factor 1]]/Table_GasToMolecularConversionFactor[[#This Row],[Conversion factor 2]]</f>
        <v>3.6666666666666665</v>
      </c>
    </row>
    <row r="49" spans="1:8" ht="20.100000000000001" customHeight="1" x14ac:dyDescent="0.25">
      <c r="A49"/>
      <c r="D49" s="38" t="str" cm="1">
        <f t="array" ref="D49">Common_InputFunctions.Utility_DisplayArrayInTable(Common_SourceData.Common_SourceData_ConvertGasElementalToMolecular_Data(),Table_GasToMolecularConversionFactor[[#Headers],[Gas]], 0)</f>
        <v>CH4</v>
      </c>
      <c r="E49" s="38" t="str" cm="1">
        <f t="array" ref="E49">Common_InputFunctions.Utility_DisplayArrayInTable(Common_SourceData.Common_SourceData_ConvertGasElementalToMolecular_Data(),Table_GasToMolecularConversionFactor[[#Headers],[Gas]], 0)</f>
        <v>16/12</v>
      </c>
      <c r="F49" s="38" cm="1">
        <f t="array" ref="F49">Common_InputFunctions.Utility_DisplayArrayInTable(Common_SourceData.Common_SourceData_ConvertGasElementalToMolecular_Data(),Table_GasToMolecularConversionFactor[[#Headers],[Gas]], 0)</f>
        <v>16</v>
      </c>
      <c r="G49" s="38" cm="1">
        <f t="array" ref="G49">Common_InputFunctions.Utility_DisplayArrayInTable(Common_SourceData.Common_SourceData_ConvertGasElementalToMolecular_Data(),Table_GasToMolecularConversionFactor[[#Headers],[Gas]], 0)</f>
        <v>12</v>
      </c>
      <c r="H49" s="38">
        <f>Table_GasToMolecularConversionFactor[[#This Row],[Conversion factor 1]]/Table_GasToMolecularConversionFactor[[#This Row],[Conversion factor 2]]</f>
        <v>1.3333333333333333</v>
      </c>
    </row>
    <row r="50" spans="1:8" ht="20.100000000000001" customHeight="1" x14ac:dyDescent="0.25">
      <c r="A50"/>
      <c r="D50" s="38" t="str" cm="1">
        <f t="array" ref="D50">Common_InputFunctions.Utility_DisplayArrayInTable(Common_SourceData.Common_SourceData_ConvertGasElementalToMolecular_Data(),Table_GasToMolecularConversionFactor[[#Headers],[Gas]], 0)</f>
        <v>N2O</v>
      </c>
      <c r="E50" s="38" t="str" cm="1">
        <f t="array" ref="E50">Common_InputFunctions.Utility_DisplayArrayInTable(Common_SourceData.Common_SourceData_ConvertGasElementalToMolecular_Data(),Table_GasToMolecularConversionFactor[[#Headers],[Gas]], 0)</f>
        <v>44/28</v>
      </c>
      <c r="F50" s="38" cm="1">
        <f t="array" ref="F50">Common_InputFunctions.Utility_DisplayArrayInTable(Common_SourceData.Common_SourceData_ConvertGasElementalToMolecular_Data(),Table_GasToMolecularConversionFactor[[#Headers],[Gas]], 0)</f>
        <v>44</v>
      </c>
      <c r="G50" s="38" cm="1">
        <f t="array" ref="G50">Common_InputFunctions.Utility_DisplayArrayInTable(Common_SourceData.Common_SourceData_ConvertGasElementalToMolecular_Data(),Table_GasToMolecularConversionFactor[[#Headers],[Gas]], 0)</f>
        <v>28</v>
      </c>
      <c r="H50" s="38">
        <f>Table_GasToMolecularConversionFactor[[#This Row],[Conversion factor 1]]/Table_GasToMolecularConversionFactor[[#This Row],[Conversion factor 2]]</f>
        <v>1.5714285714285714</v>
      </c>
    </row>
    <row r="51" spans="1:8" ht="20.100000000000001" customHeight="1" x14ac:dyDescent="0.25">
      <c r="A51"/>
      <c r="D51" s="38" t="str" cm="1">
        <f t="array" ref="D51">Common_InputFunctions.Utility_DisplayArrayInTable(Common_SourceData.Common_SourceData_ConvertGasElementalToMolecular_Data(),Table_GasToMolecularConversionFactor[[#Headers],[Gas]], 0)</f>
        <v>Nox</v>
      </c>
      <c r="E51" s="38" t="str" cm="1">
        <f t="array" ref="E51">Common_InputFunctions.Utility_DisplayArrayInTable(Common_SourceData.Common_SourceData_ConvertGasElementalToMolecular_Data(),Table_GasToMolecularConversionFactor[[#Headers],[Gas]], 0)</f>
        <v>46/14</v>
      </c>
      <c r="F51" s="38" cm="1">
        <f t="array" ref="F51">Common_InputFunctions.Utility_DisplayArrayInTable(Common_SourceData.Common_SourceData_ConvertGasElementalToMolecular_Data(),Table_GasToMolecularConversionFactor[[#Headers],[Gas]], 0)</f>
        <v>46</v>
      </c>
      <c r="G51" s="38" cm="1">
        <f t="array" ref="G51">Common_InputFunctions.Utility_DisplayArrayInTable(Common_SourceData.Common_SourceData_ConvertGasElementalToMolecular_Data(),Table_GasToMolecularConversionFactor[[#Headers],[Gas]], 0)</f>
        <v>14</v>
      </c>
      <c r="H51" s="38">
        <f>Table_GasToMolecularConversionFactor[[#This Row],[Conversion factor 1]]/Table_GasToMolecularConversionFactor[[#This Row],[Conversion factor 2]]</f>
        <v>3.2857142857142856</v>
      </c>
    </row>
    <row r="52" spans="1:8" ht="20.100000000000001" customHeight="1" x14ac:dyDescent="0.25">
      <c r="A52"/>
      <c r="D52" s="38" t="str" cm="1">
        <f t="array" ref="D52">Common_InputFunctions.Utility_DisplayArrayInTable(Common_SourceData.Common_SourceData_ConvertGasElementalToMolecular_Data(),Table_GasToMolecularConversionFactor[[#Headers],[Gas]], 0)</f>
        <v>CO</v>
      </c>
      <c r="E52" s="38" t="str" cm="1">
        <f t="array" ref="E52">Common_InputFunctions.Utility_DisplayArrayInTable(Common_SourceData.Common_SourceData_ConvertGasElementalToMolecular_Data(),Table_GasToMolecularConversionFactor[[#Headers],[Gas]], 0)</f>
        <v>28/12</v>
      </c>
      <c r="F52" s="38" cm="1">
        <f t="array" ref="F52">Common_InputFunctions.Utility_DisplayArrayInTable(Common_SourceData.Common_SourceData_ConvertGasElementalToMolecular_Data(),Table_GasToMolecularConversionFactor[[#Headers],[Gas]], 0)</f>
        <v>28</v>
      </c>
      <c r="G52" s="38" cm="1">
        <f t="array" ref="G52">Common_InputFunctions.Utility_DisplayArrayInTable(Common_SourceData.Common_SourceData_ConvertGasElementalToMolecular_Data(),Table_GasToMolecularConversionFactor[[#Headers],[Gas]], 0)</f>
        <v>12</v>
      </c>
      <c r="H52" s="38">
        <f>Table_GasToMolecularConversionFactor[[#This Row],[Conversion factor 1]]/Table_GasToMolecularConversionFactor[[#This Row],[Conversion factor 2]]</f>
        <v>2.3333333333333335</v>
      </c>
    </row>
    <row r="53" spans="1:8" ht="20.100000000000001" customHeight="1" x14ac:dyDescent="0.25">
      <c r="A53"/>
      <c r="D53" s="38" t="str" cm="1">
        <f t="array" ref="D53">Common_InputFunctions.Utility_DisplayArrayInTable(Common_SourceData.Common_SourceData_ConvertGasElementalToMolecular_Data(),Table_GasToMolecularConversionFactor[[#Headers],[Gas]], 0)</f>
        <v>CO2 Lime</v>
      </c>
      <c r="E53" s="38" t="str" cm="1">
        <f t="array" ref="E53">Common_InputFunctions.Utility_DisplayArrayInTable(Common_SourceData.Common_SourceData_ConvertGasElementalToMolecular_Data(),Table_GasToMolecularConversionFactor[[#Headers],[Gas]], 0)</f>
        <v>44/12</v>
      </c>
      <c r="F53" s="38" cm="1">
        <f t="array" ref="F53">Common_InputFunctions.Utility_DisplayArrayInTable(Common_SourceData.Common_SourceData_ConvertGasElementalToMolecular_Data(),Table_GasToMolecularConversionFactor[[#Headers],[Gas]], 0)</f>
        <v>44</v>
      </c>
      <c r="G53" s="38" cm="1">
        <f t="array" ref="G53">Common_InputFunctions.Utility_DisplayArrayInTable(Common_SourceData.Common_SourceData_ConvertGasElementalToMolecular_Data(),Table_GasToMolecularConversionFactor[[#Headers],[Gas]], 0)</f>
        <v>12</v>
      </c>
      <c r="H53" s="38">
        <f>Table_GasToMolecularConversionFactor[[#This Row],[Conversion factor 1]]/Table_GasToMolecularConversionFactor[[#This Row],[Conversion factor 2]]</f>
        <v>3.6666666666666665</v>
      </c>
    </row>
    <row r="54" spans="1:8" ht="20.100000000000001" customHeight="1" x14ac:dyDescent="0.25">
      <c r="A54"/>
      <c r="D54" s="38" t="str" cm="1">
        <f t="array" ref="D54">Common_InputFunctions.Utility_DisplayArrayInTable(Common_SourceData.Common_SourceData_ConvertGasElementalToMolecular_Data(),Table_GasToMolecularConversionFactor[[#Headers],[Gas]], 0)</f>
        <v>NMVOC</v>
      </c>
      <c r="E54" s="38" t="str" cm="1">
        <f t="array" ref="E54">Common_InputFunctions.Utility_DisplayArrayInTable(Common_SourceData.Common_SourceData_ConvertGasElementalToMolecular_Data(),Table_GasToMolecularConversionFactor[[#Headers],[Gas]], 0)</f>
        <v>14/12</v>
      </c>
      <c r="F54" s="38" cm="1">
        <f t="array" ref="F54">Common_InputFunctions.Utility_DisplayArrayInTable(Common_SourceData.Common_SourceData_ConvertGasElementalToMolecular_Data(),Table_GasToMolecularConversionFactor[[#Headers],[Gas]], 0)</f>
        <v>14</v>
      </c>
      <c r="G54" s="38" cm="1">
        <f t="array" ref="G54">Common_InputFunctions.Utility_DisplayArrayInTable(Common_SourceData.Common_SourceData_ConvertGasElementalToMolecular_Data(),Table_GasToMolecularConversionFactor[[#Headers],[Gas]], 0)</f>
        <v>12</v>
      </c>
      <c r="H54" s="38">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5" t="str" cm="1">
        <f t="array" ref="D59:D61">"⚠️" &amp; Common_SourceData.Common_SourceData_WetAndDryZones_Variation()</f>
        <v>⚠️VARIATION OF SOURCE DATA:</v>
      </c>
    </row>
    <row r="60" spans="1:8" ht="20.100000000000001" customHeight="1" x14ac:dyDescent="0.25">
      <c r="A60"/>
      <c r="D60" s="55" t="str">
        <v>⚠️Added warm / cool temperate moist / dry - low frost and high temp classes to accommodate climate scenarios excluded by VEERG criteria.</v>
      </c>
    </row>
    <row r="61" spans="1:8" ht="20.100000000000001" customHeight="1" x14ac:dyDescent="0.25">
      <c r="A61"/>
      <c r="D61" s="55" t="str">
        <v>⚠️Fixed typo - Changed 'Fry' to 'Dry'.</v>
      </c>
    </row>
    <row r="62" spans="1:8" ht="20.100000000000001" customHeight="1" x14ac:dyDescent="0.25">
      <c r="A62"/>
    </row>
    <row r="63" spans="1:8" ht="20.100000000000001" customHeight="1" x14ac:dyDescent="0.25">
      <c r="A63"/>
      <c r="D63" s="38" t="s">
        <v>6</v>
      </c>
      <c r="E63" s="38" t="s">
        <v>44</v>
      </c>
    </row>
    <row r="64" spans="1:8" ht="20.100000000000001" customHeight="1" x14ac:dyDescent="0.25">
      <c r="A64"/>
      <c r="D64" s="38" t="str" cm="1">
        <f t="array" ref="D64">Common_InputFunctions.Utility_DisplayArrayInTable(Common_SourceData.Common_SourceData_WetAndDryZones_Data(), Table_SourceData_WetDryZones[[#Headers],[Climate zone]], 0)</f>
        <v>Tropical montane</v>
      </c>
      <c r="E64" s="38"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8" t="str" cm="1">
        <f t="array" ref="D65">Common_InputFunctions.Utility_DisplayArrayInTable(Common_SourceData.Common_SourceData_WetAndDryZones_Data(), Table_SourceData_WetDryZones[[#Headers],[Climate zone]], 0)</f>
        <v>Tropical wet</v>
      </c>
      <c r="E65" s="38"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8" t="str" cm="1">
        <f t="array" ref="D66">Common_InputFunctions.Utility_DisplayArrayInTable(Common_SourceData.Common_SourceData_WetAndDryZones_Data(), Table_SourceData_WetDryZones[[#Headers],[Climate zone]], 0)</f>
        <v>Tropical moist</v>
      </c>
      <c r="E66" s="38"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8" t="str" cm="1">
        <f t="array" ref="D67">Common_InputFunctions.Utility_DisplayArrayInTable(Common_SourceData.Common_SourceData_WetAndDryZones_Data(), Table_SourceData_WetDryZones[[#Headers],[Climate zone]], 0)</f>
        <v>Tropical dry</v>
      </c>
      <c r="E67" s="38"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8" t="str" cm="1">
        <f t="array" ref="D68">Common_InputFunctions.Utility_DisplayArrayInTable(Common_SourceData.Common_SourceData_WetAndDryZones_Data(), Table_SourceData_WetDryZones[[#Headers],[Climate zone]], 0)</f>
        <v>Warm temperate moist</v>
      </c>
      <c r="E68" s="38"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8" t="str" cm="1">
        <f t="array" ref="D69">Common_InputFunctions.Utility_DisplayArrayInTable(Common_SourceData.Common_SourceData_WetAndDryZones_Data(), Table_SourceData_WetDryZones[[#Headers],[Climate zone]], 0)</f>
        <v>Warm temperate dry</v>
      </c>
      <c r="E69" s="38"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8" t="str" cm="1">
        <f t="array" ref="D70">Common_InputFunctions.Utility_DisplayArrayInTable(Common_SourceData.Common_SourceData_WetAndDryZones_Data(), Table_SourceData_WetDryZones[[#Headers],[Climate zone]], 0)</f>
        <v>Cool temperate moist</v>
      </c>
      <c r="E70" s="38"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8" t="str" cm="1">
        <f t="array" ref="D71">Common_InputFunctions.Utility_DisplayArrayInTable(Common_SourceData.Common_SourceData_WetAndDryZones_Data(), Table_SourceData_WetDryZones[[#Headers],[Climate zone]], 0)</f>
        <v>Cool temperate dry</v>
      </c>
      <c r="E71" s="38"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8" t="str" cm="1">
        <f t="array" ref="D72">Common_InputFunctions.Utility_DisplayArrayInTable(Common_SourceData.Common_SourceData_WetAndDryZones_Data(), Table_SourceData_WetDryZones[[#Headers],[Climate zone]], 0)</f>
        <v>Warm temperate moist - low frost</v>
      </c>
      <c r="E72" s="38"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8" t="str" cm="1">
        <f t="array" ref="D73">Common_InputFunctions.Utility_DisplayArrayInTable(Common_SourceData.Common_SourceData_WetAndDryZones_Data(), Table_SourceData_WetDryZones[[#Headers],[Climate zone]], 0)</f>
        <v>Warm temperate dry - low frost</v>
      </c>
      <c r="E73" s="38"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8" t="str" cm="1">
        <f t="array" ref="D74">Common_InputFunctions.Utility_DisplayArrayInTable(Common_SourceData.Common_SourceData_WetAndDryZones_Data(), Table_SourceData_WetDryZones[[#Headers],[Climate zone]], 0)</f>
        <v>Warm temperate moist - high temp</v>
      </c>
      <c r="E74" s="38"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8" t="str" cm="1">
        <f t="array" ref="D75">Common_InputFunctions.Utility_DisplayArrayInTable(Common_SourceData.Common_SourceData_WetAndDryZones_Data(), Table_SourceData_WetDryZones[[#Headers],[Climate zone]], 0)</f>
        <v>Warm temperate dry - high temp</v>
      </c>
      <c r="E75" s="38"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8" t="str" cm="1">
        <f t="array" ref="D76">Common_InputFunctions.Utility_DisplayArrayInTable(Common_SourceData.Common_SourceData_WetAndDryZones_Data(), Table_SourceData_WetDryZones[[#Headers],[Climate zone]], 0)</f>
        <v>Cool temperate moist - low frost</v>
      </c>
      <c r="E76" s="38"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8" t="str" cm="1">
        <f t="array" ref="D77">Common_InputFunctions.Utility_DisplayArrayInTable(Common_SourceData.Common_SourceData_WetAndDryZones_Data(), Table_SourceData_WetDryZones[[#Headers],[Climate zone]], 0)</f>
        <v>Cool temperate dry - low frost</v>
      </c>
      <c r="E77" s="38"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5" t="str" cm="1">
        <f t="array" ref="D83:D87">"⚠️" &amp; Common_SourceData.Common_SourceData_ClimateZones_Variation()</f>
        <v>⚠️VARIATION OF SOURCE DATA:</v>
      </c>
    </row>
    <row r="84" spans="1:20" ht="20.100000000000001" customHeight="1" x14ac:dyDescent="0.25">
      <c r="A84"/>
      <c r="D84" s="55" t="str">
        <v>⚠️Added warm / cool temperate moist / dry - low frost and high temp classes to accommodate climate scenarios excluded by VEERG criteria.</v>
      </c>
    </row>
    <row r="85" spans="1:20" ht="20.100000000000001" customHeight="1" x14ac:dyDescent="0.25">
      <c r="A85"/>
      <c r="D85" s="55" t="str">
        <v>⚠️Fixed typo in MAT value for warm temperate dry - changed 10 to 11.</v>
      </c>
    </row>
    <row r="86" spans="1:20" ht="20.100000000000001" customHeight="1" x14ac:dyDescent="0.25">
      <c r="A86"/>
      <c r="D86" s="55" t="str">
        <v>⚠️Added min and max columns for MAT, MAP, frost days per year, elevation, MAP:PET to calculate zones from real climate data.</v>
      </c>
    </row>
    <row r="87" spans="1:20" ht="20.100000000000001" customHeight="1" x14ac:dyDescent="0.25">
      <c r="A87"/>
      <c r="D87" s="55" t="str">
        <v>⚠️GAF accepts rainfall as a proxy for precipitation.</v>
      </c>
    </row>
    <row r="88" spans="1:20" ht="20.100000000000001" customHeight="1" x14ac:dyDescent="0.25">
      <c r="A88"/>
    </row>
    <row r="89" spans="1:20" ht="20.100000000000001" customHeight="1" x14ac:dyDescent="0.25">
      <c r="A89"/>
      <c r="D89" s="38" t="s">
        <v>6</v>
      </c>
      <c r="E89" s="38" t="s">
        <v>32</v>
      </c>
      <c r="F89" s="38" t="s">
        <v>33</v>
      </c>
      <c r="G89" s="38" t="s">
        <v>34</v>
      </c>
      <c r="H89" s="38" t="s">
        <v>35</v>
      </c>
      <c r="I89" s="38" t="s">
        <v>36</v>
      </c>
      <c r="J89" s="38" t="s">
        <v>37</v>
      </c>
      <c r="K89" s="38" t="s">
        <v>38</v>
      </c>
      <c r="L89" s="38" t="s">
        <v>39</v>
      </c>
      <c r="M89" s="38" t="s">
        <v>40</v>
      </c>
      <c r="N89" s="38" t="s">
        <v>41</v>
      </c>
      <c r="O89" s="38" t="s">
        <v>45</v>
      </c>
      <c r="P89" s="38" t="s">
        <v>42</v>
      </c>
      <c r="Q89" s="38" t="s">
        <v>46</v>
      </c>
      <c r="R89" s="38" t="s">
        <v>43</v>
      </c>
      <c r="S89" s="38" t="s">
        <v>47</v>
      </c>
      <c r="T89" s="38"/>
    </row>
    <row r="90" spans="1:20" ht="20.100000000000001" customHeight="1" x14ac:dyDescent="0.25">
      <c r="A90"/>
      <c r="D90" s="38" t="str" cm="1">
        <f t="array" ref="D90">Common_InputFunctions.Utility_DisplayArrayInTable(Common_SourceData.Common_SourceData_ClimateZones_Data(), Table_SourceData_ClimateZones[[#Headers],[Climate zone]], 0)</f>
        <v>Tropical montane</v>
      </c>
      <c r="E90" s="38" t="str" cm="1">
        <f t="array" ref="E90">Common_InputFunctions.Utility_DisplayArrayInTable(Common_SourceData.Common_SourceData_ClimateZones_Data(), Table_SourceData_ClimateZones[[#Headers],[Climate zone]], 0)</f>
        <v>&gt; 18 C</v>
      </c>
      <c r="F90" s="38" t="str" cm="1">
        <f t="array" ref="F90">Common_InputFunctions.Utility_DisplayArrayInTable(Common_SourceData.Common_SourceData_ClimateZones_Data(), Table_SourceData_ClimateZones[[#Headers],[Climate zone]], 0)</f>
        <v>Any</v>
      </c>
      <c r="G90" s="38" t="str" cm="1">
        <f t="array" ref="G90">Common_InputFunctions.Utility_DisplayArrayInTable(Common_SourceData.Common_SourceData_ClimateZones_Data(), Table_SourceData_ClimateZones[[#Headers],[Climate zone]], 0)</f>
        <v>≤ 7</v>
      </c>
      <c r="H90" s="38" t="str" cm="1">
        <f t="array" ref="H90">Common_InputFunctions.Utility_DisplayArrayInTable(Common_SourceData.Common_SourceData_ClimateZones_Data(), Table_SourceData_ClimateZones[[#Headers],[Climate zone]], 0)</f>
        <v>&gt; 1000 m</v>
      </c>
      <c r="I90" s="38" t="str" cm="1">
        <f t="array" ref="I90">Common_InputFunctions.Utility_DisplayArrayInTable(Common_SourceData.Common_SourceData_ClimateZones_Data(), Table_SourceData_ClimateZones[[#Headers],[Climate zone]], 0)</f>
        <v>Any</v>
      </c>
      <c r="J90" s="38" cm="1">
        <f t="array" ref="J90">Common_InputFunctions.Utility_DisplayArrayInTable(Common_SourceData.Common_SourceData_ClimateZones_Data(), Table_SourceData_ClimateZones[[#Headers],[Climate zone]], 0)</f>
        <v>18.001000000000001</v>
      </c>
      <c r="K90" s="38" cm="1">
        <f t="array" ref="K90">Common_InputFunctions.Utility_DisplayArrayInTable(Common_SourceData.Common_SourceData_ClimateZones_Data(), Table_SourceData_ClimateZones[[#Headers],[Climate zone]], 0)</f>
        <v>999999</v>
      </c>
      <c r="L90" s="38" cm="1">
        <f t="array" ref="L90">Common_InputFunctions.Utility_DisplayArrayInTable(Common_SourceData.Common_SourceData_ClimateZones_Data(), Table_SourceData_ClimateZones[[#Headers],[Climate zone]], 0)</f>
        <v>-999999</v>
      </c>
      <c r="M90" s="38" cm="1">
        <f t="array" ref="M90">Common_InputFunctions.Utility_DisplayArrayInTable(Common_SourceData.Common_SourceData_ClimateZones_Data(), Table_SourceData_ClimateZones[[#Headers],[Climate zone]], 0)</f>
        <v>999999</v>
      </c>
      <c r="N90" s="38" cm="1">
        <f t="array" ref="N90">Common_InputFunctions.Utility_DisplayArrayInTable(Common_SourceData.Common_SourceData_ClimateZones_Data(), Table_SourceData_ClimateZones[[#Headers],[Climate zone]], 0)</f>
        <v>-999999</v>
      </c>
      <c r="O90" s="38" cm="1">
        <f t="array" ref="O90">Common_InputFunctions.Utility_DisplayArrayInTable(Common_SourceData.Common_SourceData_ClimateZones_Data(), Table_SourceData_ClimateZones[[#Headers],[Climate zone]], 0)</f>
        <v>7</v>
      </c>
      <c r="P90" s="38" cm="1">
        <f t="array" ref="P90">Common_InputFunctions.Utility_DisplayArrayInTable(Common_SourceData.Common_SourceData_ClimateZones_Data(), Table_SourceData_ClimateZones[[#Headers],[Climate zone]], 0)</f>
        <v>1000</v>
      </c>
      <c r="Q90" s="38" cm="1">
        <f t="array" ref="Q90">Common_InputFunctions.Utility_DisplayArrayInTable(Common_SourceData.Common_SourceData_ClimateZones_Data(), Table_SourceData_ClimateZones[[#Headers],[Climate zone]], 0)</f>
        <v>999999</v>
      </c>
      <c r="R90" s="38" cm="1">
        <f t="array" ref="R90">Common_InputFunctions.Utility_DisplayArrayInTable(Common_SourceData.Common_SourceData_ClimateZones_Data(), Table_SourceData_ClimateZones[[#Headers],[Climate zone]], 0)</f>
        <v>-999999</v>
      </c>
      <c r="S90" s="38" cm="1">
        <f t="array" ref="S90">Common_InputFunctions.Utility_DisplayArrayInTable(Common_SourceData.Common_SourceData_ClimateZones_Data(), Table_SourceData_ClimateZones[[#Headers],[Climate zone]], 0)</f>
        <v>999999</v>
      </c>
      <c r="T90" s="38"/>
    </row>
    <row r="91" spans="1:20" ht="20.100000000000001" customHeight="1" x14ac:dyDescent="0.25">
      <c r="A91"/>
      <c r="D91" s="38" t="str" cm="1">
        <f t="array" ref="D91">Common_InputFunctions.Utility_DisplayArrayInTable(Common_SourceData.Common_SourceData_ClimateZones_Data(), Table_SourceData_ClimateZones[[#Headers],[Climate zone]], 0)</f>
        <v>Tropical wet</v>
      </c>
      <c r="E91" s="38" t="str" cm="1">
        <f t="array" ref="E91">Common_InputFunctions.Utility_DisplayArrayInTable(Common_SourceData.Common_SourceData_ClimateZones_Data(), Table_SourceData_ClimateZones[[#Headers],[Climate zone]], 0)</f>
        <v>&gt; 18 C</v>
      </c>
      <c r="F91" s="38" t="str" cm="1">
        <f t="array" ref="F91">Common_InputFunctions.Utility_DisplayArrayInTable(Common_SourceData.Common_SourceData_ClimateZones_Data(), Table_SourceData_ClimateZones[[#Headers],[Climate zone]], 0)</f>
        <v>&gt; 2000 mm</v>
      </c>
      <c r="G91" s="38" t="str" cm="1">
        <f t="array" ref="G91">Common_InputFunctions.Utility_DisplayArrayInTable(Common_SourceData.Common_SourceData_ClimateZones_Data(), Table_SourceData_ClimateZones[[#Headers],[Climate zone]], 0)</f>
        <v>≤ 7</v>
      </c>
      <c r="H91" s="38" t="str" cm="1">
        <f t="array" ref="H91">Common_InputFunctions.Utility_DisplayArrayInTable(Common_SourceData.Common_SourceData_ClimateZones_Data(), Table_SourceData_ClimateZones[[#Headers],[Climate zone]], 0)</f>
        <v>≤ 1000 m</v>
      </c>
      <c r="I91" s="38" t="str" cm="1">
        <f t="array" ref="I91">Common_InputFunctions.Utility_DisplayArrayInTable(Common_SourceData.Common_SourceData_ClimateZones_Data(), Table_SourceData_ClimateZones[[#Headers],[Climate zone]], 0)</f>
        <v>Any</v>
      </c>
      <c r="J91" s="38" cm="1">
        <f t="array" ref="J91">Common_InputFunctions.Utility_DisplayArrayInTable(Common_SourceData.Common_SourceData_ClimateZones_Data(), Table_SourceData_ClimateZones[[#Headers],[Climate zone]], 0)</f>
        <v>18.001000000000001</v>
      </c>
      <c r="K91" s="38" cm="1">
        <f t="array" ref="K91">Common_InputFunctions.Utility_DisplayArrayInTable(Common_SourceData.Common_SourceData_ClimateZones_Data(), Table_SourceData_ClimateZones[[#Headers],[Climate zone]], 0)</f>
        <v>999999</v>
      </c>
      <c r="L91" s="38" cm="1">
        <f t="array" ref="L91">Common_InputFunctions.Utility_DisplayArrayInTable(Common_SourceData.Common_SourceData_ClimateZones_Data(), Table_SourceData_ClimateZones[[#Headers],[Climate zone]], 0)</f>
        <v>2000.001</v>
      </c>
      <c r="M91" s="38" cm="1">
        <f t="array" ref="M91">Common_InputFunctions.Utility_DisplayArrayInTable(Common_SourceData.Common_SourceData_ClimateZones_Data(), Table_SourceData_ClimateZones[[#Headers],[Climate zone]], 0)</f>
        <v>999999</v>
      </c>
      <c r="N91" s="38" cm="1">
        <f t="array" ref="N91">Common_InputFunctions.Utility_DisplayArrayInTable(Common_SourceData.Common_SourceData_ClimateZones_Data(), Table_SourceData_ClimateZones[[#Headers],[Climate zone]], 0)</f>
        <v>-999999</v>
      </c>
      <c r="O91" s="38" cm="1">
        <f t="array" ref="O91">Common_InputFunctions.Utility_DisplayArrayInTable(Common_SourceData.Common_SourceData_ClimateZones_Data(), Table_SourceData_ClimateZones[[#Headers],[Climate zone]], 0)</f>
        <v>7</v>
      </c>
      <c r="P91" s="38" cm="1">
        <f t="array" ref="P91">Common_InputFunctions.Utility_DisplayArrayInTable(Common_SourceData.Common_SourceData_ClimateZones_Data(), Table_SourceData_ClimateZones[[#Headers],[Climate zone]], 0)</f>
        <v>-999999</v>
      </c>
      <c r="Q91" s="38" cm="1">
        <f t="array" ref="Q91">Common_InputFunctions.Utility_DisplayArrayInTable(Common_SourceData.Common_SourceData_ClimateZones_Data(), Table_SourceData_ClimateZones[[#Headers],[Climate zone]], 0)</f>
        <v>999.99900000000002</v>
      </c>
      <c r="R91" s="38" cm="1">
        <f t="array" ref="R91">Common_InputFunctions.Utility_DisplayArrayInTable(Common_SourceData.Common_SourceData_ClimateZones_Data(), Table_SourceData_ClimateZones[[#Headers],[Climate zone]], 0)</f>
        <v>-999999</v>
      </c>
      <c r="S91" s="38" cm="1">
        <f t="array" ref="S91">Common_InputFunctions.Utility_DisplayArrayInTable(Common_SourceData.Common_SourceData_ClimateZones_Data(), Table_SourceData_ClimateZones[[#Headers],[Climate zone]], 0)</f>
        <v>999999</v>
      </c>
      <c r="T91" s="38"/>
    </row>
    <row r="92" spans="1:20" ht="20.100000000000001" customHeight="1" x14ac:dyDescent="0.25">
      <c r="A92"/>
      <c r="D92" s="38" t="str" cm="1">
        <f t="array" ref="D92">Common_InputFunctions.Utility_DisplayArrayInTable(Common_SourceData.Common_SourceData_ClimateZones_Data(), Table_SourceData_ClimateZones[[#Headers],[Climate zone]], 0)</f>
        <v>Tropical moist</v>
      </c>
      <c r="E92" s="38" t="str" cm="1">
        <f t="array" ref="E92">Common_InputFunctions.Utility_DisplayArrayInTable(Common_SourceData.Common_SourceData_ClimateZones_Data(), Table_SourceData_ClimateZones[[#Headers],[Climate zone]], 0)</f>
        <v>&gt; 18 C</v>
      </c>
      <c r="F92" s="38" t="str" cm="1">
        <f t="array" ref="F92">Common_InputFunctions.Utility_DisplayArrayInTable(Common_SourceData.Common_SourceData_ClimateZones_Data(), Table_SourceData_ClimateZones[[#Headers],[Climate zone]], 0)</f>
        <v>&gt; 1000 mm - ≤ 2000 mm</v>
      </c>
      <c r="G92" s="38" t="str" cm="1">
        <f t="array" ref="G92">Common_InputFunctions.Utility_DisplayArrayInTable(Common_SourceData.Common_SourceData_ClimateZones_Data(), Table_SourceData_ClimateZones[[#Headers],[Climate zone]], 0)</f>
        <v>≤ 7</v>
      </c>
      <c r="H92" s="38" t="str" cm="1">
        <f t="array" ref="H92">Common_InputFunctions.Utility_DisplayArrayInTable(Common_SourceData.Common_SourceData_ClimateZones_Data(), Table_SourceData_ClimateZones[[#Headers],[Climate zone]], 0)</f>
        <v>≤ 1000 m</v>
      </c>
      <c r="I92" s="38" t="str" cm="1">
        <f t="array" ref="I92">Common_InputFunctions.Utility_DisplayArrayInTable(Common_SourceData.Common_SourceData_ClimateZones_Data(), Table_SourceData_ClimateZones[[#Headers],[Climate zone]], 0)</f>
        <v>Any</v>
      </c>
      <c r="J92" s="38" cm="1">
        <f t="array" ref="J92">Common_InputFunctions.Utility_DisplayArrayInTable(Common_SourceData.Common_SourceData_ClimateZones_Data(), Table_SourceData_ClimateZones[[#Headers],[Climate zone]], 0)</f>
        <v>18.001000000000001</v>
      </c>
      <c r="K92" s="38" cm="1">
        <f t="array" ref="K92">Common_InputFunctions.Utility_DisplayArrayInTable(Common_SourceData.Common_SourceData_ClimateZones_Data(), Table_SourceData_ClimateZones[[#Headers],[Climate zone]], 0)</f>
        <v>999999</v>
      </c>
      <c r="L92" s="38" cm="1">
        <f t="array" ref="L92">Common_InputFunctions.Utility_DisplayArrayInTable(Common_SourceData.Common_SourceData_ClimateZones_Data(), Table_SourceData_ClimateZones[[#Headers],[Climate zone]], 0)</f>
        <v>1000.001</v>
      </c>
      <c r="M92" s="38" cm="1">
        <f t="array" ref="M92">Common_InputFunctions.Utility_DisplayArrayInTable(Common_SourceData.Common_SourceData_ClimateZones_Data(), Table_SourceData_ClimateZones[[#Headers],[Climate zone]], 0)</f>
        <v>2000</v>
      </c>
      <c r="N92" s="38" cm="1">
        <f t="array" ref="N92">Common_InputFunctions.Utility_DisplayArrayInTable(Common_SourceData.Common_SourceData_ClimateZones_Data(), Table_SourceData_ClimateZones[[#Headers],[Climate zone]], 0)</f>
        <v>-999999</v>
      </c>
      <c r="O92" s="38" cm="1">
        <f t="array" ref="O92">Common_InputFunctions.Utility_DisplayArrayInTable(Common_SourceData.Common_SourceData_ClimateZones_Data(), Table_SourceData_ClimateZones[[#Headers],[Climate zone]], 0)</f>
        <v>7</v>
      </c>
      <c r="P92" s="38" cm="1">
        <f t="array" ref="P92">Common_InputFunctions.Utility_DisplayArrayInTable(Common_SourceData.Common_SourceData_ClimateZones_Data(), Table_SourceData_ClimateZones[[#Headers],[Climate zone]], 0)</f>
        <v>-999999</v>
      </c>
      <c r="Q92" s="38" cm="1">
        <f t="array" ref="Q92">Common_InputFunctions.Utility_DisplayArrayInTable(Common_SourceData.Common_SourceData_ClimateZones_Data(), Table_SourceData_ClimateZones[[#Headers],[Climate zone]], 0)</f>
        <v>999.99900000000002</v>
      </c>
      <c r="R92" s="38" cm="1">
        <f t="array" ref="R92">Common_InputFunctions.Utility_DisplayArrayInTable(Common_SourceData.Common_SourceData_ClimateZones_Data(), Table_SourceData_ClimateZones[[#Headers],[Climate zone]], 0)</f>
        <v>-999999</v>
      </c>
      <c r="S92" s="38" cm="1">
        <f t="array" ref="S92">Common_InputFunctions.Utility_DisplayArrayInTable(Common_SourceData.Common_SourceData_ClimateZones_Data(), Table_SourceData_ClimateZones[[#Headers],[Climate zone]], 0)</f>
        <v>999999</v>
      </c>
      <c r="T92" s="38"/>
    </row>
    <row r="93" spans="1:20" ht="20.100000000000001" customHeight="1" x14ac:dyDescent="0.25">
      <c r="A93"/>
      <c r="D93" s="38" t="str" cm="1">
        <f t="array" ref="D93">Common_InputFunctions.Utility_DisplayArrayInTable(Common_SourceData.Common_SourceData_ClimateZones_Data(), Table_SourceData_ClimateZones[[#Headers],[Climate zone]], 0)</f>
        <v>Tropical dry</v>
      </c>
      <c r="E93" s="38" t="str" cm="1">
        <f t="array" ref="E93">Common_InputFunctions.Utility_DisplayArrayInTable(Common_SourceData.Common_SourceData_ClimateZones_Data(), Table_SourceData_ClimateZones[[#Headers],[Climate zone]], 0)</f>
        <v>&gt; 18 C</v>
      </c>
      <c r="F93" s="38" t="str" cm="1">
        <f t="array" ref="F93">Common_InputFunctions.Utility_DisplayArrayInTable(Common_SourceData.Common_SourceData_ClimateZones_Data(), Table_SourceData_ClimateZones[[#Headers],[Climate zone]], 0)</f>
        <v>≤ 1000 mm</v>
      </c>
      <c r="G93" s="38" t="str" cm="1">
        <f t="array" ref="G93">Common_InputFunctions.Utility_DisplayArrayInTable(Common_SourceData.Common_SourceData_ClimateZones_Data(), Table_SourceData_ClimateZones[[#Headers],[Climate zone]], 0)</f>
        <v>≤ 7</v>
      </c>
      <c r="H93" s="38" t="str" cm="1">
        <f t="array" ref="H93">Common_InputFunctions.Utility_DisplayArrayInTable(Common_SourceData.Common_SourceData_ClimateZones_Data(), Table_SourceData_ClimateZones[[#Headers],[Climate zone]], 0)</f>
        <v>≤ 1000 m</v>
      </c>
      <c r="I93" s="38" t="str" cm="1">
        <f t="array" ref="I93">Common_InputFunctions.Utility_DisplayArrayInTable(Common_SourceData.Common_SourceData_ClimateZones_Data(), Table_SourceData_ClimateZones[[#Headers],[Climate zone]], 0)</f>
        <v>Any</v>
      </c>
      <c r="J93" s="38" cm="1">
        <f t="array" ref="J93">Common_InputFunctions.Utility_DisplayArrayInTable(Common_SourceData.Common_SourceData_ClimateZones_Data(), Table_SourceData_ClimateZones[[#Headers],[Climate zone]], 0)</f>
        <v>18.001000000000001</v>
      </c>
      <c r="K93" s="38" cm="1">
        <f t="array" ref="K93">Common_InputFunctions.Utility_DisplayArrayInTable(Common_SourceData.Common_SourceData_ClimateZones_Data(), Table_SourceData_ClimateZones[[#Headers],[Climate zone]], 0)</f>
        <v>999999</v>
      </c>
      <c r="L93" s="38" cm="1">
        <f t="array" ref="L93">Common_InputFunctions.Utility_DisplayArrayInTable(Common_SourceData.Common_SourceData_ClimateZones_Data(), Table_SourceData_ClimateZones[[#Headers],[Climate zone]], 0)</f>
        <v>-999999</v>
      </c>
      <c r="M93" s="38" cm="1">
        <f t="array" ref="M93">Common_InputFunctions.Utility_DisplayArrayInTable(Common_SourceData.Common_SourceData_ClimateZones_Data(), Table_SourceData_ClimateZones[[#Headers],[Climate zone]], 0)</f>
        <v>1000</v>
      </c>
      <c r="N93" s="38" cm="1">
        <f t="array" ref="N93">Common_InputFunctions.Utility_DisplayArrayInTable(Common_SourceData.Common_SourceData_ClimateZones_Data(), Table_SourceData_ClimateZones[[#Headers],[Climate zone]], 0)</f>
        <v>-999999</v>
      </c>
      <c r="O93" s="38" cm="1">
        <f t="array" ref="O93">Common_InputFunctions.Utility_DisplayArrayInTable(Common_SourceData.Common_SourceData_ClimateZones_Data(), Table_SourceData_ClimateZones[[#Headers],[Climate zone]], 0)</f>
        <v>7</v>
      </c>
      <c r="P93" s="38" cm="1">
        <f t="array" ref="P93">Common_InputFunctions.Utility_DisplayArrayInTable(Common_SourceData.Common_SourceData_ClimateZones_Data(), Table_SourceData_ClimateZones[[#Headers],[Climate zone]], 0)</f>
        <v>-999999</v>
      </c>
      <c r="Q93" s="38" cm="1">
        <f t="array" ref="Q93">Common_InputFunctions.Utility_DisplayArrayInTable(Common_SourceData.Common_SourceData_ClimateZones_Data(), Table_SourceData_ClimateZones[[#Headers],[Climate zone]], 0)</f>
        <v>999.99900000000002</v>
      </c>
      <c r="R93" s="38" cm="1">
        <f t="array" ref="R93">Common_InputFunctions.Utility_DisplayArrayInTable(Common_SourceData.Common_SourceData_ClimateZones_Data(), Table_SourceData_ClimateZones[[#Headers],[Climate zone]], 0)</f>
        <v>-999999</v>
      </c>
      <c r="S93" s="38" cm="1">
        <f t="array" ref="S93">Common_InputFunctions.Utility_DisplayArrayInTable(Common_SourceData.Common_SourceData_ClimateZones_Data(), Table_SourceData_ClimateZones[[#Headers],[Climate zone]], 0)</f>
        <v>999999</v>
      </c>
      <c r="T93" s="38"/>
    </row>
    <row r="94" spans="1:20" ht="20.100000000000001" customHeight="1" x14ac:dyDescent="0.25">
      <c r="A94"/>
      <c r="D94" s="38" t="str" cm="1">
        <f t="array" ref="D94">Common_InputFunctions.Utility_DisplayArrayInTable(Common_SourceData.Common_SourceData_ClimateZones_Data(), Table_SourceData_ClimateZones[[#Headers],[Climate zone]], 0)</f>
        <v>Warm temperate moist</v>
      </c>
      <c r="E94" s="38" t="str" cm="1">
        <f t="array" ref="E94">Common_InputFunctions.Utility_DisplayArrayInTable(Common_SourceData.Common_SourceData_ClimateZones_Data(), Table_SourceData_ClimateZones[[#Headers],[Climate zone]], 0)</f>
        <v>&gt; 10 C</v>
      </c>
      <c r="F94" s="38" t="str" cm="1">
        <f t="array" ref="F94">Common_InputFunctions.Utility_DisplayArrayInTable(Common_SourceData.Common_SourceData_ClimateZones_Data(), Table_SourceData_ClimateZones[[#Headers],[Climate zone]], 0)</f>
        <v>Any</v>
      </c>
      <c r="G94" s="38" t="str" cm="1">
        <f t="array" ref="G94">Common_InputFunctions.Utility_DisplayArrayInTable(Common_SourceData.Common_SourceData_ClimateZones_Data(), Table_SourceData_ClimateZones[[#Headers],[Climate zone]], 0)</f>
        <v>Any</v>
      </c>
      <c r="H94" s="38" t="str" cm="1">
        <f t="array" ref="H94">Common_InputFunctions.Utility_DisplayArrayInTable(Common_SourceData.Common_SourceData_ClimateZones_Data(), Table_SourceData_ClimateZones[[#Headers],[Climate zone]], 0)</f>
        <v>Any</v>
      </c>
      <c r="I94" s="38" t="str" cm="1">
        <f t="array" ref="I94">Common_InputFunctions.Utility_DisplayArrayInTable(Common_SourceData.Common_SourceData_ClimateZones_Data(), Table_SourceData_ClimateZones[[#Headers],[Climate zone]], 0)</f>
        <v>&gt; 1</v>
      </c>
      <c r="J94" s="38" cm="1">
        <f t="array" ref="J94">Common_InputFunctions.Utility_DisplayArrayInTable(Common_SourceData.Common_SourceData_ClimateZones_Data(), Table_SourceData_ClimateZones[[#Headers],[Climate zone]], 0)</f>
        <v>10.000999999999999</v>
      </c>
      <c r="K94" s="38" cm="1">
        <f t="array" ref="K94">Common_InputFunctions.Utility_DisplayArrayInTable(Common_SourceData.Common_SourceData_ClimateZones_Data(), Table_SourceData_ClimateZones[[#Headers],[Climate zone]], 0)</f>
        <v>999999</v>
      </c>
      <c r="L94" s="38" cm="1">
        <f t="array" ref="L94">Common_InputFunctions.Utility_DisplayArrayInTable(Common_SourceData.Common_SourceData_ClimateZones_Data(), Table_SourceData_ClimateZones[[#Headers],[Climate zone]], 0)</f>
        <v>-999999</v>
      </c>
      <c r="M94" s="38" cm="1">
        <f t="array" ref="M94">Common_InputFunctions.Utility_DisplayArrayInTable(Common_SourceData.Common_SourceData_ClimateZones_Data(), Table_SourceData_ClimateZones[[#Headers],[Climate zone]], 0)</f>
        <v>999999</v>
      </c>
      <c r="N94" s="38" cm="1">
        <f t="array" ref="N94">Common_InputFunctions.Utility_DisplayArrayInTable(Common_SourceData.Common_SourceData_ClimateZones_Data(), Table_SourceData_ClimateZones[[#Headers],[Climate zone]], 0)</f>
        <v>-999999</v>
      </c>
      <c r="O94" s="38" cm="1">
        <f t="array" ref="O94">Common_InputFunctions.Utility_DisplayArrayInTable(Common_SourceData.Common_SourceData_ClimateZones_Data(), Table_SourceData_ClimateZones[[#Headers],[Climate zone]], 0)</f>
        <v>999999</v>
      </c>
      <c r="P94" s="38" cm="1">
        <f t="array" ref="P94">Common_InputFunctions.Utility_DisplayArrayInTable(Common_SourceData.Common_SourceData_ClimateZones_Data(), Table_SourceData_ClimateZones[[#Headers],[Climate zone]], 0)</f>
        <v>-999999</v>
      </c>
      <c r="Q94" s="38" cm="1">
        <f t="array" ref="Q94">Common_InputFunctions.Utility_DisplayArrayInTable(Common_SourceData.Common_SourceData_ClimateZones_Data(), Table_SourceData_ClimateZones[[#Headers],[Climate zone]], 0)</f>
        <v>999999</v>
      </c>
      <c r="R94" s="38" cm="1">
        <f t="array" ref="R94">Common_InputFunctions.Utility_DisplayArrayInTable(Common_SourceData.Common_SourceData_ClimateZones_Data(), Table_SourceData_ClimateZones[[#Headers],[Climate zone]], 0)</f>
        <v>1.0009999999999999</v>
      </c>
      <c r="S94" s="38" cm="1">
        <f t="array" ref="S94">Common_InputFunctions.Utility_DisplayArrayInTable(Common_SourceData.Common_SourceData_ClimateZones_Data(), Table_SourceData_ClimateZones[[#Headers],[Climate zone]], 0)</f>
        <v>999999</v>
      </c>
      <c r="T94" s="38"/>
    </row>
    <row r="95" spans="1:20" ht="20.100000000000001" customHeight="1" x14ac:dyDescent="0.25">
      <c r="A95"/>
      <c r="D95" s="38" t="str" cm="1">
        <f t="array" ref="D95">Common_InputFunctions.Utility_DisplayArrayInTable(Common_SourceData.Common_SourceData_ClimateZones_Data(), Table_SourceData_ClimateZones[[#Headers],[Climate zone]], 0)</f>
        <v>Warm temperate dry</v>
      </c>
      <c r="E95" s="38" t="str" cm="1">
        <f t="array" ref="E95">Common_InputFunctions.Utility_DisplayArrayInTable(Common_SourceData.Common_SourceData_ClimateZones_Data(), Table_SourceData_ClimateZones[[#Headers],[Climate zone]], 0)</f>
        <v>&gt; 10 C</v>
      </c>
      <c r="F95" s="38" t="str" cm="1">
        <f t="array" ref="F95">Common_InputFunctions.Utility_DisplayArrayInTable(Common_SourceData.Common_SourceData_ClimateZones_Data(), Table_SourceData_ClimateZones[[#Headers],[Climate zone]], 0)</f>
        <v>Any</v>
      </c>
      <c r="G95" s="38" t="str" cm="1">
        <f t="array" ref="G95">Common_InputFunctions.Utility_DisplayArrayInTable(Common_SourceData.Common_SourceData_ClimateZones_Data(), Table_SourceData_ClimateZones[[#Headers],[Climate zone]], 0)</f>
        <v>Any</v>
      </c>
      <c r="H95" s="38" t="str" cm="1">
        <f t="array" ref="H95">Common_InputFunctions.Utility_DisplayArrayInTable(Common_SourceData.Common_SourceData_ClimateZones_Data(), Table_SourceData_ClimateZones[[#Headers],[Climate zone]], 0)</f>
        <v>Any</v>
      </c>
      <c r="I95" s="38" t="str" cm="1">
        <f t="array" ref="I95">Common_InputFunctions.Utility_DisplayArrayInTable(Common_SourceData.Common_SourceData_ClimateZones_Data(), Table_SourceData_ClimateZones[[#Headers],[Climate zone]], 0)</f>
        <v>≤ 1</v>
      </c>
      <c r="J95" s="38" cm="1">
        <f t="array" ref="J95">Common_InputFunctions.Utility_DisplayArrayInTable(Common_SourceData.Common_SourceData_ClimateZones_Data(), Table_SourceData_ClimateZones[[#Headers],[Climate zone]], 0)</f>
        <v>10.000999999999999</v>
      </c>
      <c r="K95" s="38" cm="1">
        <f t="array" ref="K95">Common_InputFunctions.Utility_DisplayArrayInTable(Common_SourceData.Common_SourceData_ClimateZones_Data(), Table_SourceData_ClimateZones[[#Headers],[Climate zone]], 0)</f>
        <v>999999</v>
      </c>
      <c r="L95" s="38" cm="1">
        <f t="array" ref="L95">Common_InputFunctions.Utility_DisplayArrayInTable(Common_SourceData.Common_SourceData_ClimateZones_Data(), Table_SourceData_ClimateZones[[#Headers],[Climate zone]], 0)</f>
        <v>-999999</v>
      </c>
      <c r="M95" s="38" cm="1">
        <f t="array" ref="M95">Common_InputFunctions.Utility_DisplayArrayInTable(Common_SourceData.Common_SourceData_ClimateZones_Data(), Table_SourceData_ClimateZones[[#Headers],[Climate zone]], 0)</f>
        <v>999999</v>
      </c>
      <c r="N95" s="38" cm="1">
        <f t="array" ref="N95">Common_InputFunctions.Utility_DisplayArrayInTable(Common_SourceData.Common_SourceData_ClimateZones_Data(), Table_SourceData_ClimateZones[[#Headers],[Climate zone]], 0)</f>
        <v>-999999</v>
      </c>
      <c r="O95" s="38" cm="1">
        <f t="array" ref="O95">Common_InputFunctions.Utility_DisplayArrayInTable(Common_SourceData.Common_SourceData_ClimateZones_Data(), Table_SourceData_ClimateZones[[#Headers],[Climate zone]], 0)</f>
        <v>999999</v>
      </c>
      <c r="P95" s="38" cm="1">
        <f t="array" ref="P95">Common_InputFunctions.Utility_DisplayArrayInTable(Common_SourceData.Common_SourceData_ClimateZones_Data(), Table_SourceData_ClimateZones[[#Headers],[Climate zone]], 0)</f>
        <v>-999999</v>
      </c>
      <c r="Q95" s="38" cm="1">
        <f t="array" ref="Q95">Common_InputFunctions.Utility_DisplayArrayInTable(Common_SourceData.Common_SourceData_ClimateZones_Data(), Table_SourceData_ClimateZones[[#Headers],[Climate zone]], 0)</f>
        <v>999999</v>
      </c>
      <c r="R95" s="38" cm="1">
        <f t="array" ref="R95">Common_InputFunctions.Utility_DisplayArrayInTable(Common_SourceData.Common_SourceData_ClimateZones_Data(), Table_SourceData_ClimateZones[[#Headers],[Climate zone]], 0)</f>
        <v>-999999</v>
      </c>
      <c r="S95" s="38" cm="1">
        <f t="array" ref="S95">Common_InputFunctions.Utility_DisplayArrayInTable(Common_SourceData.Common_SourceData_ClimateZones_Data(), Table_SourceData_ClimateZones[[#Headers],[Climate zone]], 0)</f>
        <v>1</v>
      </c>
      <c r="T95" s="38"/>
    </row>
    <row r="96" spans="1:20" ht="20.100000000000001" customHeight="1" x14ac:dyDescent="0.25">
      <c r="A96"/>
      <c r="D96" s="38" t="str" cm="1">
        <f t="array" ref="D96">Common_InputFunctions.Utility_DisplayArrayInTable(Common_SourceData.Common_SourceData_ClimateZones_Data(), Table_SourceData_ClimateZones[[#Headers],[Climate zone]], 0)</f>
        <v>Cool temperate moist</v>
      </c>
      <c r="E96" s="38" t="str" cm="1">
        <f t="array" ref="E96">Common_InputFunctions.Utility_DisplayArrayInTable(Common_SourceData.Common_SourceData_ClimateZones_Data(), Table_SourceData_ClimateZones[[#Headers],[Climate zone]], 0)</f>
        <v>&gt; 0 C - ≤ 10 C</v>
      </c>
      <c r="F96" s="38" t="str" cm="1">
        <f t="array" ref="F96">Common_InputFunctions.Utility_DisplayArrayInTable(Common_SourceData.Common_SourceData_ClimateZones_Data(), Table_SourceData_ClimateZones[[#Headers],[Climate zone]], 0)</f>
        <v>Any</v>
      </c>
      <c r="G96" s="38" t="str" cm="1">
        <f t="array" ref="G96">Common_InputFunctions.Utility_DisplayArrayInTable(Common_SourceData.Common_SourceData_ClimateZones_Data(), Table_SourceData_ClimateZones[[#Headers],[Climate zone]], 0)</f>
        <v>Any</v>
      </c>
      <c r="H96" s="38" t="str" cm="1">
        <f t="array" ref="H96">Common_InputFunctions.Utility_DisplayArrayInTable(Common_SourceData.Common_SourceData_ClimateZones_Data(), Table_SourceData_ClimateZones[[#Headers],[Climate zone]], 0)</f>
        <v>Any</v>
      </c>
      <c r="I96" s="38" t="str" cm="1">
        <f t="array" ref="I96">Common_InputFunctions.Utility_DisplayArrayInTable(Common_SourceData.Common_SourceData_ClimateZones_Data(), Table_SourceData_ClimateZones[[#Headers],[Climate zone]], 0)</f>
        <v>&gt; 1</v>
      </c>
      <c r="J96" s="38" cm="1">
        <f t="array" ref="J96">Common_InputFunctions.Utility_DisplayArrayInTable(Common_SourceData.Common_SourceData_ClimateZones_Data(), Table_SourceData_ClimateZones[[#Headers],[Climate zone]], 0)</f>
        <v>-999999</v>
      </c>
      <c r="K96" s="38" cm="1">
        <f t="array" ref="K96">Common_InputFunctions.Utility_DisplayArrayInTable(Common_SourceData.Common_SourceData_ClimateZones_Data(), Table_SourceData_ClimateZones[[#Headers],[Climate zone]], 0)</f>
        <v>10</v>
      </c>
      <c r="L96" s="38" cm="1">
        <f t="array" ref="L96">Common_InputFunctions.Utility_DisplayArrayInTable(Common_SourceData.Common_SourceData_ClimateZones_Data(), Table_SourceData_ClimateZones[[#Headers],[Climate zone]], 0)</f>
        <v>-999999</v>
      </c>
      <c r="M96" s="38" cm="1">
        <f t="array" ref="M96">Common_InputFunctions.Utility_DisplayArrayInTable(Common_SourceData.Common_SourceData_ClimateZones_Data(), Table_SourceData_ClimateZones[[#Headers],[Climate zone]], 0)</f>
        <v>999999</v>
      </c>
      <c r="N96" s="38" cm="1">
        <f t="array" ref="N96">Common_InputFunctions.Utility_DisplayArrayInTable(Common_SourceData.Common_SourceData_ClimateZones_Data(), Table_SourceData_ClimateZones[[#Headers],[Climate zone]], 0)</f>
        <v>-999999</v>
      </c>
      <c r="O96" s="38" cm="1">
        <f t="array" ref="O96">Common_InputFunctions.Utility_DisplayArrayInTable(Common_SourceData.Common_SourceData_ClimateZones_Data(), Table_SourceData_ClimateZones[[#Headers],[Climate zone]], 0)</f>
        <v>999999</v>
      </c>
      <c r="P96" s="38" cm="1">
        <f t="array" ref="P96">Common_InputFunctions.Utility_DisplayArrayInTable(Common_SourceData.Common_SourceData_ClimateZones_Data(), Table_SourceData_ClimateZones[[#Headers],[Climate zone]], 0)</f>
        <v>-999999</v>
      </c>
      <c r="Q96" s="38" cm="1">
        <f t="array" ref="Q96">Common_InputFunctions.Utility_DisplayArrayInTable(Common_SourceData.Common_SourceData_ClimateZones_Data(), Table_SourceData_ClimateZones[[#Headers],[Climate zone]], 0)</f>
        <v>999999</v>
      </c>
      <c r="R96" s="38" cm="1">
        <f t="array" ref="R96">Common_InputFunctions.Utility_DisplayArrayInTable(Common_SourceData.Common_SourceData_ClimateZones_Data(), Table_SourceData_ClimateZones[[#Headers],[Climate zone]], 0)</f>
        <v>1.0009999999999999</v>
      </c>
      <c r="S96" s="38" cm="1">
        <f t="array" ref="S96">Common_InputFunctions.Utility_DisplayArrayInTable(Common_SourceData.Common_SourceData_ClimateZones_Data(), Table_SourceData_ClimateZones[[#Headers],[Climate zone]], 0)</f>
        <v>999999</v>
      </c>
      <c r="T96" s="38"/>
    </row>
    <row r="97" spans="1:20" ht="20.100000000000001" customHeight="1" x14ac:dyDescent="0.25">
      <c r="A97"/>
      <c r="D97" s="38" t="str" cm="1">
        <f t="array" ref="D97">Common_InputFunctions.Utility_DisplayArrayInTable(Common_SourceData.Common_SourceData_ClimateZones_Data(), Table_SourceData_ClimateZones[[#Headers],[Climate zone]], 0)</f>
        <v>Cool temperate dry</v>
      </c>
      <c r="E97" s="38" t="str" cm="1">
        <f t="array" ref="E97">Common_InputFunctions.Utility_DisplayArrayInTable(Common_SourceData.Common_SourceData_ClimateZones_Data(), Table_SourceData_ClimateZones[[#Headers],[Climate zone]], 0)</f>
        <v>&gt; 0 C - ≤ 10 C</v>
      </c>
      <c r="F97" s="38" t="str" cm="1">
        <f t="array" ref="F97">Common_InputFunctions.Utility_DisplayArrayInTable(Common_SourceData.Common_SourceData_ClimateZones_Data(), Table_SourceData_ClimateZones[[#Headers],[Climate zone]], 0)</f>
        <v>Any</v>
      </c>
      <c r="G97" s="38" t="str" cm="1">
        <f t="array" ref="G97">Common_InputFunctions.Utility_DisplayArrayInTable(Common_SourceData.Common_SourceData_ClimateZones_Data(), Table_SourceData_ClimateZones[[#Headers],[Climate zone]], 0)</f>
        <v>Any</v>
      </c>
      <c r="H97" s="38" t="str" cm="1">
        <f t="array" ref="H97">Common_InputFunctions.Utility_DisplayArrayInTable(Common_SourceData.Common_SourceData_ClimateZones_Data(), Table_SourceData_ClimateZones[[#Headers],[Climate zone]], 0)</f>
        <v>Any</v>
      </c>
      <c r="I97" s="38" t="str" cm="1">
        <f t="array" ref="I97">Common_InputFunctions.Utility_DisplayArrayInTable(Common_SourceData.Common_SourceData_ClimateZones_Data(), Table_SourceData_ClimateZones[[#Headers],[Climate zone]], 0)</f>
        <v>≤ 1</v>
      </c>
      <c r="J97" s="38" cm="1">
        <f t="array" ref="J97">Common_InputFunctions.Utility_DisplayArrayInTable(Common_SourceData.Common_SourceData_ClimateZones_Data(), Table_SourceData_ClimateZones[[#Headers],[Climate zone]], 0)</f>
        <v>-999999</v>
      </c>
      <c r="K97" s="38" cm="1">
        <f t="array" ref="K97">Common_InputFunctions.Utility_DisplayArrayInTable(Common_SourceData.Common_SourceData_ClimateZones_Data(), Table_SourceData_ClimateZones[[#Headers],[Climate zone]], 0)</f>
        <v>10</v>
      </c>
      <c r="L97" s="38" cm="1">
        <f t="array" ref="L97">Common_InputFunctions.Utility_DisplayArrayInTable(Common_SourceData.Common_SourceData_ClimateZones_Data(), Table_SourceData_ClimateZones[[#Headers],[Climate zone]], 0)</f>
        <v>-999999</v>
      </c>
      <c r="M97" s="38" cm="1">
        <f t="array" ref="M97">Common_InputFunctions.Utility_DisplayArrayInTable(Common_SourceData.Common_SourceData_ClimateZones_Data(), Table_SourceData_ClimateZones[[#Headers],[Climate zone]], 0)</f>
        <v>999999</v>
      </c>
      <c r="N97" s="38" cm="1">
        <f t="array" ref="N97">Common_InputFunctions.Utility_DisplayArrayInTable(Common_SourceData.Common_SourceData_ClimateZones_Data(), Table_SourceData_ClimateZones[[#Headers],[Climate zone]], 0)</f>
        <v>-999999</v>
      </c>
      <c r="O97" s="38" cm="1">
        <f t="array" ref="O97">Common_InputFunctions.Utility_DisplayArrayInTable(Common_SourceData.Common_SourceData_ClimateZones_Data(), Table_SourceData_ClimateZones[[#Headers],[Climate zone]], 0)</f>
        <v>999999</v>
      </c>
      <c r="P97" s="38" cm="1">
        <f t="array" ref="P97">Common_InputFunctions.Utility_DisplayArrayInTable(Common_SourceData.Common_SourceData_ClimateZones_Data(), Table_SourceData_ClimateZones[[#Headers],[Climate zone]], 0)</f>
        <v>-999999</v>
      </c>
      <c r="Q97" s="38" cm="1">
        <f t="array" ref="Q97">Common_InputFunctions.Utility_DisplayArrayInTable(Common_SourceData.Common_SourceData_ClimateZones_Data(), Table_SourceData_ClimateZones[[#Headers],[Climate zone]], 0)</f>
        <v>999999</v>
      </c>
      <c r="R97" s="38" cm="1">
        <f t="array" ref="R97">Common_InputFunctions.Utility_DisplayArrayInTable(Common_SourceData.Common_SourceData_ClimateZones_Data(), Table_SourceData_ClimateZones[[#Headers],[Climate zone]], 0)</f>
        <v>-999999</v>
      </c>
      <c r="S97" s="38" cm="1">
        <f t="array" ref="S97">Common_InputFunctions.Utility_DisplayArrayInTable(Common_SourceData.Common_SourceData_ClimateZones_Data(), Table_SourceData_ClimateZones[[#Headers],[Climate zone]], 0)</f>
        <v>1</v>
      </c>
      <c r="T97" s="38"/>
    </row>
    <row r="98" spans="1:20" ht="20.100000000000001" customHeight="1" x14ac:dyDescent="0.25">
      <c r="A98"/>
    </row>
    <row r="99" spans="1:20" ht="20.100000000000001" customHeight="1" x14ac:dyDescent="0.25">
      <c r="A99"/>
      <c r="D99" s="54" t="str" cm="1">
        <f t="array" ref="D99:D102">Common_SourceData.Common_SourceData_ClimateZones_Appendices()</f>
        <v>Note:</v>
      </c>
    </row>
    <row r="100" spans="1:20" ht="20.100000000000001" customHeight="1" x14ac:dyDescent="0.25">
      <c r="A100"/>
      <c r="D100" s="54" t="str">
        <v>MAT = mean annual temperature</v>
      </c>
    </row>
    <row r="101" spans="1:20" ht="20.100000000000001" customHeight="1" x14ac:dyDescent="0.25">
      <c r="A101"/>
      <c r="D101" s="54" t="str">
        <v>MAP = mean annual precipitation</v>
      </c>
    </row>
    <row r="102" spans="1:20" ht="20.100000000000001" customHeight="1" x14ac:dyDescent="0.25">
      <c r="A102"/>
      <c r="D102" s="54" t="str">
        <v>PET = potential evapotranspiration</v>
      </c>
    </row>
    <row r="103" spans="1:20" ht="20.100000000000001" customHeight="1" x14ac:dyDescent="0.25">
      <c r="A103"/>
      <c r="D103" s="54"/>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5"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8" t="s">
        <v>51</v>
      </c>
      <c r="E109" s="38" t="s">
        <v>32</v>
      </c>
      <c r="F109" s="38" t="s">
        <v>52</v>
      </c>
      <c r="G109" s="38" t="s">
        <v>53</v>
      </c>
    </row>
    <row r="110" spans="1:20" ht="20.100000000000001" customHeight="1" x14ac:dyDescent="0.25">
      <c r="A110"/>
      <c r="D110" s="38" t="str" cm="1">
        <f t="array" ref="D110">Common_InputFunctions.Utility_DisplayArrayInTable(Common_SourceData.Common_SourceData_TemperatureZones_Data(),Table_SourceData_TemperatureZones[[#Headers],[Temperature Zone]],0)</f>
        <v>Warm</v>
      </c>
      <c r="E110" s="38" t="str" cm="1">
        <f t="array" ref="E110">Common_InputFunctions.Utility_DisplayArrayInTable(Common_SourceData.Common_SourceData_TemperatureZones_Data(),Table_SourceData_TemperatureZones[[#Headers],[Temperature Zone]],0)</f>
        <v>≥ 26 C</v>
      </c>
      <c r="F110" s="38" cm="1">
        <f t="array" ref="F110">Common_InputFunctions.Utility_DisplayArrayInTable(Common_SourceData.Common_SourceData_TemperatureZones_Data(),Table_SourceData_TemperatureZones[[#Headers],[Temperature Zone]],0)</f>
        <v>26</v>
      </c>
      <c r="G110" s="38"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8" t="str" cm="1">
        <f t="array" ref="D111">Common_InputFunctions.Utility_DisplayArrayInTable(Common_SourceData.Common_SourceData_TemperatureZones_Data(),Table_SourceData_TemperatureZones[[#Headers],[Temperature Zone]],0)</f>
        <v>Temperate</v>
      </c>
      <c r="E111" s="38" t="str" cm="1">
        <f t="array" ref="E111">Common_InputFunctions.Utility_DisplayArrayInTable(Common_SourceData.Common_SourceData_TemperatureZones_Data(),Table_SourceData_TemperatureZones[[#Headers],[Temperature Zone]],0)</f>
        <v>15 - 25 C</v>
      </c>
      <c r="F111" s="38" cm="1">
        <f t="array" ref="F111">Common_InputFunctions.Utility_DisplayArrayInTable(Common_SourceData.Common_SourceData_TemperatureZones_Data(),Table_SourceData_TemperatureZones[[#Headers],[Temperature Zone]],0)</f>
        <v>15</v>
      </c>
      <c r="G111" s="38"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8" t="str" cm="1">
        <f t="array" ref="D112">Common_InputFunctions.Utility_DisplayArrayInTable(Common_SourceData.Common_SourceData_TemperatureZones_Data(),Table_SourceData_TemperatureZones[[#Headers],[Temperature Zone]],0)</f>
        <v>Cool</v>
      </c>
      <c r="E112" s="38" t="str" cm="1">
        <f t="array" ref="E112">Common_InputFunctions.Utility_DisplayArrayInTable(Common_SourceData.Common_SourceData_TemperatureZones_Data(),Table_SourceData_TemperatureZones[[#Headers],[Temperature Zone]],0)</f>
        <v>≤ 14 C</v>
      </c>
      <c r="F112" s="38" cm="1">
        <f t="array" ref="F112">Common_InputFunctions.Utility_DisplayArrayInTable(Common_SourceData.Common_SourceData_TemperatureZones_Data(),Table_SourceData_TemperatureZones[[#Headers],[Temperature Zone]],0)</f>
        <v>-999999</v>
      </c>
      <c r="G112" s="38"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5"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8" t="s">
        <v>54</v>
      </c>
      <c r="E119" s="38" t="s">
        <v>55</v>
      </c>
      <c r="F119" s="38" t="s">
        <v>39</v>
      </c>
      <c r="G119" s="38" t="s">
        <v>40</v>
      </c>
      <c r="BN119" s="7"/>
    </row>
    <row r="120" spans="1:66" ht="20.100000000000001" customHeight="1" x14ac:dyDescent="0.25">
      <c r="A120"/>
      <c r="D120" s="38" t="str" cm="1">
        <f t="array" ref="D120">Common_InputFunctions.Utility_DisplayArrayInTable(Common_SourceData.Common_SourceData_RainfallZones_Data(),Table_SourceData_RainfallZones[[#Headers],[Rainfall Zone]],0)</f>
        <v>High rainfall</v>
      </c>
      <c r="E120" s="38" t="str" cm="1">
        <f t="array" ref="E120">Common_InputFunctions.Utility_DisplayArrayInTable(Common_SourceData.Common_SourceData_RainfallZones_Data(),Table_SourceData_RainfallZones[[#Headers],[Rainfall Zone]],0)</f>
        <v>Annual rainfall &gt; 600mm</v>
      </c>
      <c r="F120" s="38" cm="1">
        <f t="array" ref="F120">Common_InputFunctions.Utility_DisplayArrayInTable(Common_SourceData.Common_SourceData_RainfallZones_Data(),Table_SourceData_RainfallZones[[#Headers],[Rainfall Zone]],0)</f>
        <v>600.00099999999998</v>
      </c>
      <c r="G120" s="38"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8" t="str" cm="1">
        <f t="array" ref="D121">Common_InputFunctions.Utility_DisplayArrayInTable(Common_SourceData.Common_SourceData_RainfallZones_Data(),Table_SourceData_RainfallZones[[#Headers],[Rainfall Zone]],0)</f>
        <v>Low rainfall</v>
      </c>
      <c r="E121" s="38" t="str" cm="1">
        <f t="array" ref="E121">Common_InputFunctions.Utility_DisplayArrayInTable(Common_SourceData.Common_SourceData_RainfallZones_Data(),Table_SourceData_RainfallZones[[#Headers],[Rainfall Zone]],0)</f>
        <v>Annual rainfall ≤ 600mm</v>
      </c>
      <c r="F121" s="38" cm="1">
        <f t="array" ref="F121">Common_InputFunctions.Utility_DisplayArrayInTable(Common_SourceData.Common_SourceData_RainfallZones_Data(),Table_SourceData_RainfallZones[[#Headers],[Rainfall Zone]],0)</f>
        <v>-999999</v>
      </c>
      <c r="G121" s="38"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8" t="s">
        <v>61</v>
      </c>
      <c r="E127" s="38" t="s">
        <v>62</v>
      </c>
    </row>
    <row r="128" spans="1:66" ht="20.100000000000001" customHeight="1" x14ac:dyDescent="0.25">
      <c r="A128"/>
      <c r="D128" s="38" t="str" cm="1">
        <f t="array" ref="D128">Common_InputFunctions.Utility_DisplayArrayInTable(Common_SourceData.Common_SourceData_LeachingZones_Data(), Table_SourceData_LeachingZones[[#Headers],[Leaching Zone]], 0)</f>
        <v>Leaching occurs</v>
      </c>
      <c r="E128" s="38"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8" t="str" cm="1">
        <f t="array" ref="D129">Common_InputFunctions.Utility_DisplayArrayInTable(Common_SourceData.Common_SourceData_LeachingZones_Data(), Table_SourceData_LeachingZones[[#Headers],[Leaching Zone]], 0)</f>
        <v>Leaching does not occur</v>
      </c>
      <c r="E129" s="38"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3"/>
    </row>
    <row r="133" spans="1:77" ht="20.100000000000001" customHeight="1" x14ac:dyDescent="0.25">
      <c r="A133"/>
      <c r="D133" s="5" t="str" cm="1">
        <f t="array" ref="D133">Common_SourceData.Common_SourceData_FracWET_Source()</f>
        <v>VEERG 2026:5.5.2.3 Constant Parameters</v>
      </c>
      <c r="E133" s="23"/>
    </row>
    <row r="134" spans="1:77" ht="20.100000000000001" customHeight="1" x14ac:dyDescent="0.25">
      <c r="A134"/>
      <c r="D134" t="s">
        <v>85</v>
      </c>
      <c r="E134" t="s">
        <v>86</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8"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5"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8" t="s">
        <v>186</v>
      </c>
      <c r="E142" s="38" t="s">
        <v>86</v>
      </c>
      <c r="BN142" s="7"/>
    </row>
    <row r="143" spans="1:77" ht="20.100000000000001" customHeight="1" x14ac:dyDescent="0.25">
      <c r="A143"/>
      <c r="D143" s="38" t="str" cm="1">
        <f t="array" ref="D143">Common_InputFunctions.Utility_DisplayArrayInTable(Common_SourceData.Common_SourceData_FracWETIrrigation_Data(), Table_SourceData_FracWETIrrigation[[#Headers],[Irrigation type i]], 0)</f>
        <v>Not irrigated</v>
      </c>
      <c r="E143" s="38"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8"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8"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8"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8"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8" t="s">
        <v>64</v>
      </c>
      <c r="E153" s="38" t="s">
        <v>65</v>
      </c>
      <c r="BC153" s="3"/>
      <c r="BD153" s="3"/>
      <c r="BE153" s="3"/>
      <c r="BF153" s="3"/>
      <c r="BG153" s="3"/>
      <c r="BH153" s="3"/>
      <c r="BI153" s="3"/>
      <c r="BJ153" s="3"/>
      <c r="BK153" s="3"/>
      <c r="BL153" s="3"/>
      <c r="BM153" s="3"/>
    </row>
    <row r="154" spans="1:66" ht="20.100000000000001" customHeight="1" x14ac:dyDescent="0.25">
      <c r="A154"/>
      <c r="D154" s="38" t="str" cm="1">
        <f t="array" ref="D154">Common_InputFunctions.Utility_DisplayArrayInTable(Common_SourceData.Common_SourceData_DataScores_Scope3_Data(), Table_SourceData_DataScores_Scope3[[#Headers],[Data source]], 0)</f>
        <v>International scope 3 database</v>
      </c>
      <c r="E154" s="38"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8" t="str" cm="1">
        <f t="array" ref="D155">Common_InputFunctions.Utility_DisplayArrayInTable(Common_SourceData.Common_SourceData_DataScores_Scope3_Data(), Table_SourceData_DataScores_Scope3[[#Headers],[Data source]], 0)</f>
        <v>Australian scope 3 database</v>
      </c>
      <c r="E155" s="38"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8" t="str" cm="1">
        <f t="array" ref="D156">Common_InputFunctions.Utility_DisplayArrayInTable(Common_SourceData.Common_SourceData_DataScores_Scope3_Data(), Table_SourceData_DataScores_Scope3[[#Headers],[Data source]], 0)</f>
        <v>State or regional scope 3 database</v>
      </c>
      <c r="E156" s="38"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8" t="str" cm="1">
        <f t="array" ref="D157">Common_InputFunctions.Utility_DisplayArrayInTable(Common_SourceData.Common_SourceData_DataScores_Scope3_Data(), Table_SourceData_DataScores_Scope3[[#Headers],[Data source]], 0)</f>
        <v>Emissions intensity calculated from approved method</v>
      </c>
      <c r="E157" s="38"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8" t="str" cm="1">
        <f t="array" ref="D158">Common_InputFunctions.Utility_DisplayArrayInTable(Common_SourceData.Common_SourceData_DataScores_Scope3_Data(), Table_SourceData_DataScores_Scope3[[#Headers],[Data source]], 0)</f>
        <v>Verified credential matching ISO14067</v>
      </c>
      <c r="E158" s="38"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3"/>
    </row>
    <row r="162" spans="4:68" ht="20.100000000000001" customHeight="1" x14ac:dyDescent="0.25">
      <c r="D162" s="5" t="str" cm="1">
        <f t="array" ref="D162">Common_SourceData.Common_SourceData_FracLEACH_Source()</f>
        <v>VEERG 2026:5.5.2.3 Constant Parameters</v>
      </c>
      <c r="E162" s="23"/>
    </row>
    <row r="163" spans="4:68" ht="20.100000000000001" customHeight="1" x14ac:dyDescent="0.25">
      <c r="D163" s="5" t="str" cm="1">
        <f t="array" ref="D163">Common_SourceData.Common_SourceData_FracLEACH_NIRReference()</f>
        <v>National Inventory Report Volume 1: Leaching and runoff (3.D.b.2)</v>
      </c>
      <c r="E163" s="23"/>
    </row>
    <row r="164" spans="4:68" ht="20.100000000000001" customHeight="1" x14ac:dyDescent="0.25">
      <c r="D164" s="23" t="str" cm="1">
        <f t="array" ref="D164:E164">Common_SourceData.Common_SourceData_FracLEACH_Data()</f>
        <v>FracLEACH</v>
      </c>
      <c r="E164" s="23">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4"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4" t="str" cm="1">
        <f t="array" ref="D180">Common_SourceData.Common_SourceData_EFN2O_Unit()</f>
        <v>(kg N2O-N / kg N</v>
      </c>
    </row>
    <row r="181" spans="4:68" ht="20.100000000000001" customHeight="1" x14ac:dyDescent="0.25">
      <c r="D181" s="55" t="str" cm="1">
        <f t="array" ref="D181:D185">Common_SourceData.Common_SourceData_EFN2O_Variation()</f>
        <v>VARIATION OF SOURCE DATA:</v>
      </c>
    </row>
    <row r="182" spans="4:68" ht="20.100000000000001" customHeight="1" x14ac:dyDescent="0.25">
      <c r="D182" s="55" t="str">
        <v>Removed duplicate 'Aquaculture' row.</v>
      </c>
    </row>
    <row r="183" spans="4:68" ht="20.100000000000001" customHeight="1" x14ac:dyDescent="0.25">
      <c r="D183" s="55" t="str">
        <v>Removed asterisks to aid lookup.</v>
      </c>
    </row>
    <row r="184" spans="4:68" ht="20.100000000000001" customHeight="1" x14ac:dyDescent="0.25">
      <c r="D184" s="55" t="str">
        <v>Added 'production system only', 'rainfall zone' and 'irrigation method' columns to aid lookup.</v>
      </c>
    </row>
    <row r="185" spans="4:68" ht="20.100000000000001" customHeight="1" x14ac:dyDescent="0.25">
      <c r="D185" s="55" t="str">
        <v>Duplicated 'non-irrigated pasture' row with same EF for low and high rainfall zones to aid lookup.</v>
      </c>
    </row>
    <row r="186" spans="4:68" ht="20.100000000000001" customHeight="1" x14ac:dyDescent="0.25">
      <c r="D186" s="38" t="s">
        <v>106</v>
      </c>
      <c r="E186" s="38" t="s">
        <v>107</v>
      </c>
      <c r="F186" s="38" t="s">
        <v>108</v>
      </c>
      <c r="G186" s="38" t="s">
        <v>109</v>
      </c>
      <c r="H186" s="38" t="s">
        <v>31</v>
      </c>
    </row>
    <row r="187" spans="4:68" ht="20.100000000000001" customHeight="1" x14ac:dyDescent="0.25">
      <c r="D187" s="38" t="str" cm="1">
        <f t="array" ref="D187">Common_InputFunctions.Utility_DisplayArrayInTable(Common_SourceData.Common_SourceData_EFN2O_Data(), Table_SourceData_Common_EFN2O[[#Headers],[Production system j]], 0)</f>
        <v>Irrigated pasture</v>
      </c>
      <c r="E187" s="38" cm="1">
        <f t="array" ref="E187">Common_InputFunctions.Utility_DisplayArrayInTable(Common_SourceData.Common_SourceData_EFN2O_Data(), Table_SourceData_Common_EFN2O[[#Headers],[Production system j]], 0)</f>
        <v>5.8999999999999999E-3</v>
      </c>
      <c r="F187" s="38" t="str" cm="1">
        <f t="array" ref="F187">Common_InputFunctions.Utility_DisplayArrayInTable(Common_SourceData.Common_SourceData_EFN2O_Data(), Table_SourceData_Common_EFN2O[[#Headers],[Production system j]], 0)</f>
        <v>Pasture</v>
      </c>
      <c r="G187" s="38" t="str" cm="1">
        <f t="array" ref="G187">Common_InputFunctions.Utility_DisplayArrayInTable(Common_SourceData.Common_SourceData_EFN2O_Data(), Table_SourceData_Common_EFN2O[[#Headers],[Production system j]], 0)</f>
        <v>Any</v>
      </c>
      <c r="H187" s="38" t="str" cm="1">
        <f t="array" ref="H187">Common_InputFunctions.Utility_DisplayArrayInTable(Common_SourceData.Common_SourceData_EFN2O_Data(), Table_SourceData_Common_EFN2O[[#Headers],[Production system j]], 0)</f>
        <v>Any</v>
      </c>
    </row>
    <row r="188" spans="4:68" ht="20.100000000000001" customHeight="1" x14ac:dyDescent="0.25">
      <c r="D188" s="38" t="str" cm="1">
        <f t="array" ref="D188">Common_InputFunctions.Utility_DisplayArrayInTable(Common_SourceData.Common_SourceData_EFN2O_Data(), Table_SourceData_Common_EFN2O[[#Headers],[Production system j]], 0)</f>
        <v>Irrigated crop</v>
      </c>
      <c r="E188" s="38" cm="1">
        <f t="array" ref="E188">Common_InputFunctions.Utility_DisplayArrayInTable(Common_SourceData.Common_SourceData_EFN2O_Data(), Table_SourceData_Common_EFN2O[[#Headers],[Production system j]], 0)</f>
        <v>7.0000000000000001E-3</v>
      </c>
      <c r="F188" s="38" t="str" cm="1">
        <f t="array" ref="F188">Common_InputFunctions.Utility_DisplayArrayInTable(Common_SourceData.Common_SourceData_EFN2O_Data(), Table_SourceData_Common_EFN2O[[#Headers],[Production system j]], 0)</f>
        <v>Crop</v>
      </c>
      <c r="G188" s="38" t="str" cm="1">
        <f t="array" ref="G188">Common_InputFunctions.Utility_DisplayArrayInTable(Common_SourceData.Common_SourceData_EFN2O_Data(), Table_SourceData_Common_EFN2O[[#Headers],[Production system j]], 0)</f>
        <v>Any</v>
      </c>
      <c r="H188" s="38" t="str" cm="1">
        <f t="array" ref="H188">Common_InputFunctions.Utility_DisplayArrayInTable(Common_SourceData.Common_SourceData_EFN2O_Data(), Table_SourceData_Common_EFN2O[[#Headers],[Production system j]], 0)</f>
        <v>Any</v>
      </c>
    </row>
    <row r="189" spans="4:68" ht="20.100000000000001" customHeight="1" x14ac:dyDescent="0.25">
      <c r="D189" s="38" t="str" cm="1">
        <f t="array" ref="D189">Common_InputFunctions.Utility_DisplayArrayInTable(Common_SourceData.Common_SourceData_EFN2O_Data(), Table_SourceData_Common_EFN2O[[#Headers],[Production system j]], 0)</f>
        <v>Non-irrigated pasture</v>
      </c>
      <c r="E189" s="38" cm="1">
        <f t="array" ref="E189">Common_InputFunctions.Utility_DisplayArrayInTable(Common_SourceData.Common_SourceData_EFN2O_Data(), Table_SourceData_Common_EFN2O[[#Headers],[Production system j]], 0)</f>
        <v>1.8E-3</v>
      </c>
      <c r="F189" s="38" t="str" cm="1">
        <f t="array" ref="F189">Common_InputFunctions.Utility_DisplayArrayInTable(Common_SourceData.Common_SourceData_EFN2O_Data(), Table_SourceData_Common_EFN2O[[#Headers],[Production system j]], 0)</f>
        <v>Pasture</v>
      </c>
      <c r="G189" s="38" t="str" cm="1">
        <f t="array" ref="G189">Common_InputFunctions.Utility_DisplayArrayInTable(Common_SourceData.Common_SourceData_EFN2O_Data(), Table_SourceData_Common_EFN2O[[#Headers],[Production system j]], 0)</f>
        <v>Not irrigated</v>
      </c>
      <c r="H189" s="38"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8" t="str" cm="1">
        <f t="array" ref="D190">Common_InputFunctions.Utility_DisplayArrayInTable(Common_SourceData.Common_SourceData_EFN2O_Data(), Table_SourceData_Common_EFN2O[[#Headers],[Production system j]], 0)</f>
        <v>Non-irrigated pasture</v>
      </c>
      <c r="E190" s="38" cm="1">
        <f t="array" ref="E190">Common_InputFunctions.Utility_DisplayArrayInTable(Common_SourceData.Common_SourceData_EFN2O_Data(), Table_SourceData_Common_EFN2O[[#Headers],[Production system j]], 0)</f>
        <v>1.8E-3</v>
      </c>
      <c r="F190" s="38" t="str" cm="1">
        <f t="array" ref="F190">Common_InputFunctions.Utility_DisplayArrayInTable(Common_SourceData.Common_SourceData_EFN2O_Data(), Table_SourceData_Common_EFN2O[[#Headers],[Production system j]], 0)</f>
        <v>Pasture</v>
      </c>
      <c r="G190" s="38" t="str" cm="1">
        <f t="array" ref="G190">Common_InputFunctions.Utility_DisplayArrayInTable(Common_SourceData.Common_SourceData_EFN2O_Data(), Table_SourceData_Common_EFN2O[[#Headers],[Production system j]], 0)</f>
        <v>Not irrigated</v>
      </c>
      <c r="H190" s="38"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8" t="str" cm="1">
        <f t="array" ref="D191">Common_InputFunctions.Utility_DisplayArrayInTable(Common_SourceData.Common_SourceData_EFN2O_Data(), Table_SourceData_Common_EFN2O[[#Headers],[Production system j]], 0)</f>
        <v>Non-irrigated crop (low rainfall)</v>
      </c>
      <c r="E191" s="38" cm="1">
        <f t="array" ref="E191">Common_InputFunctions.Utility_DisplayArrayInTable(Common_SourceData.Common_SourceData_EFN2O_Data(), Table_SourceData_Common_EFN2O[[#Headers],[Production system j]], 0)</f>
        <v>2.8999999999999998E-3</v>
      </c>
      <c r="F191" s="38" t="str" cm="1">
        <f t="array" ref="F191">Common_InputFunctions.Utility_DisplayArrayInTable(Common_SourceData.Common_SourceData_EFN2O_Data(), Table_SourceData_Common_EFN2O[[#Headers],[Production system j]], 0)</f>
        <v>Crop</v>
      </c>
      <c r="G191" s="38" t="str" cm="1">
        <f t="array" ref="G191">Common_InputFunctions.Utility_DisplayArrayInTable(Common_SourceData.Common_SourceData_EFN2O_Data(), Table_SourceData_Common_EFN2O[[#Headers],[Production system j]], 0)</f>
        <v>Not irrigated</v>
      </c>
      <c r="H191" s="38"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8" t="str" cm="1">
        <f t="array" ref="D192">Common_InputFunctions.Utility_DisplayArrayInTable(Common_SourceData.Common_SourceData_EFN2O_Data(), Table_SourceData_Common_EFN2O[[#Headers],[Production system j]], 0)</f>
        <v>Non-irrigated crop (high rainfall)</v>
      </c>
      <c r="E192" s="38" cm="1">
        <f t="array" ref="E192">Common_InputFunctions.Utility_DisplayArrayInTable(Common_SourceData.Common_SourceData_EFN2O_Data(), Table_SourceData_Common_EFN2O[[#Headers],[Production system j]], 0)</f>
        <v>8.0000000000000002E-3</v>
      </c>
      <c r="F192" s="38" t="str" cm="1">
        <f t="array" ref="F192">Common_InputFunctions.Utility_DisplayArrayInTable(Common_SourceData.Common_SourceData_EFN2O_Data(), Table_SourceData_Common_EFN2O[[#Headers],[Production system j]], 0)</f>
        <v>Crop</v>
      </c>
      <c r="G192" s="38" t="str" cm="1">
        <f t="array" ref="G192">Common_InputFunctions.Utility_DisplayArrayInTable(Common_SourceData.Common_SourceData_EFN2O_Data(), Table_SourceData_Common_EFN2O[[#Headers],[Production system j]], 0)</f>
        <v>Not irrigated</v>
      </c>
      <c r="H192" s="38"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8" t="str" cm="1">
        <f t="array" ref="D193">Common_InputFunctions.Utility_DisplayArrayInTable(Common_SourceData.Common_SourceData_EFN2O_Data(), Table_SourceData_Common_EFN2O[[#Headers],[Production system j]], 0)</f>
        <v>Sugar</v>
      </c>
      <c r="E193" s="38" cm="1">
        <f t="array" ref="E193">Common_InputFunctions.Utility_DisplayArrayInTable(Common_SourceData.Common_SourceData_EFN2O_Data(), Table_SourceData_Common_EFN2O[[#Headers],[Production system j]], 0)</f>
        <v>1.9900000000000001E-2</v>
      </c>
      <c r="F193" s="38" t="str" cm="1">
        <f t="array" ref="F193">Common_InputFunctions.Utility_DisplayArrayInTable(Common_SourceData.Common_SourceData_EFN2O_Data(), Table_SourceData_Common_EFN2O[[#Headers],[Production system j]], 0)</f>
        <v>Sugar</v>
      </c>
      <c r="G193" s="38" t="str" cm="1">
        <f t="array" ref="G193">Common_InputFunctions.Utility_DisplayArrayInTable(Common_SourceData.Common_SourceData_EFN2O_Data(), Table_SourceData_Common_EFN2O[[#Headers],[Production system j]], 0)</f>
        <v>Any</v>
      </c>
      <c r="H193" s="38" t="str" cm="1">
        <f t="array" ref="H193">Common_InputFunctions.Utility_DisplayArrayInTable(Common_SourceData.Common_SourceData_EFN2O_Data(), Table_SourceData_Common_EFN2O[[#Headers],[Production system j]], 0)</f>
        <v>Any</v>
      </c>
    </row>
    <row r="194" spans="4:8" ht="20.100000000000001" customHeight="1" x14ac:dyDescent="0.25">
      <c r="D194" s="38" t="str" cm="1">
        <f t="array" ref="D194">Common_InputFunctions.Utility_DisplayArrayInTable(Common_SourceData.Common_SourceData_EFN2O_Data(), Table_SourceData_Common_EFN2O[[#Headers],[Production system j]], 0)</f>
        <v>Cotton</v>
      </c>
      <c r="E194" s="38" cm="1">
        <f t="array" ref="E194">Common_InputFunctions.Utility_DisplayArrayInTable(Common_SourceData.Common_SourceData_EFN2O_Data(), Table_SourceData_Common_EFN2O[[#Headers],[Production system j]], 0)</f>
        <v>5.3E-3</v>
      </c>
      <c r="F194" s="38" t="str" cm="1">
        <f t="array" ref="F194">Common_InputFunctions.Utility_DisplayArrayInTable(Common_SourceData.Common_SourceData_EFN2O_Data(), Table_SourceData_Common_EFN2O[[#Headers],[Production system j]], 0)</f>
        <v>Cotton</v>
      </c>
      <c r="G194" s="38" t="str" cm="1">
        <f t="array" ref="G194">Common_InputFunctions.Utility_DisplayArrayInTable(Common_SourceData.Common_SourceData_EFN2O_Data(), Table_SourceData_Common_EFN2O[[#Headers],[Production system j]], 0)</f>
        <v>Any</v>
      </c>
      <c r="H194" s="38" t="str" cm="1">
        <f t="array" ref="H194">Common_InputFunctions.Utility_DisplayArrayInTable(Common_SourceData.Common_SourceData_EFN2O_Data(), Table_SourceData_Common_EFN2O[[#Headers],[Production system j]], 0)</f>
        <v>Any</v>
      </c>
    </row>
    <row r="195" spans="4:8" ht="20.100000000000001" customHeight="1" x14ac:dyDescent="0.25">
      <c r="D195" s="38" t="str" cm="1">
        <f t="array" ref="D195">Common_InputFunctions.Utility_DisplayArrayInTable(Common_SourceData.Common_SourceData_EFN2O_Data(), Table_SourceData_Common_EFN2O[[#Headers],[Production system j]], 0)</f>
        <v>Horticultural crops</v>
      </c>
      <c r="E195" s="38" cm="1">
        <f t="array" ref="E195">Common_InputFunctions.Utility_DisplayArrayInTable(Common_SourceData.Common_SourceData_EFN2O_Data(), Table_SourceData_Common_EFN2O[[#Headers],[Production system j]], 0)</f>
        <v>6.4000000000000003E-3</v>
      </c>
      <c r="F195" s="38" t="str" cm="1">
        <f t="array" ref="F195">Common_InputFunctions.Utility_DisplayArrayInTable(Common_SourceData.Common_SourceData_EFN2O_Data(), Table_SourceData_Common_EFN2O[[#Headers],[Production system j]], 0)</f>
        <v>Horticultural crops</v>
      </c>
      <c r="G195" s="38" t="str" cm="1">
        <f t="array" ref="G195">Common_InputFunctions.Utility_DisplayArrayInTable(Common_SourceData.Common_SourceData_EFN2O_Data(), Table_SourceData_Common_EFN2O[[#Headers],[Production system j]], 0)</f>
        <v>Any</v>
      </c>
      <c r="H195" s="38" t="str" cm="1">
        <f t="array" ref="H195">Common_InputFunctions.Utility_DisplayArrayInTable(Common_SourceData.Common_SourceData_EFN2O_Data(), Table_SourceData_Common_EFN2O[[#Headers],[Production system j]], 0)</f>
        <v>Any</v>
      </c>
    </row>
    <row r="196" spans="4:8" ht="20.100000000000001" customHeight="1" x14ac:dyDescent="0.25">
      <c r="D196" s="38" t="str" cm="1">
        <f t="array" ref="D196">Common_InputFunctions.Utility_DisplayArrayInTable(Common_SourceData.Common_SourceData_EFN2O_Data(), Table_SourceData_Common_EFN2O[[#Headers],[Production system j]], 0)</f>
        <v>Rice (continuous flooding)</v>
      </c>
      <c r="E196" s="38" cm="1">
        <f t="array" ref="E196">Common_InputFunctions.Utility_DisplayArrayInTable(Common_SourceData.Common_SourceData_EFN2O_Data(), Table_SourceData_Common_EFN2O[[#Headers],[Production system j]], 0)</f>
        <v>3.0000000000000001E-3</v>
      </c>
      <c r="F196" s="38" t="str" cm="1">
        <f t="array" ref="F196">Common_InputFunctions.Utility_DisplayArrayInTable(Common_SourceData.Common_SourceData_EFN2O_Data(), Table_SourceData_Common_EFN2O[[#Headers],[Production system j]], 0)</f>
        <v>Rice</v>
      </c>
      <c r="G196" s="38" t="str" cm="1">
        <f t="array" ref="G196">Common_InputFunctions.Utility_DisplayArrayInTable(Common_SourceData.Common_SourceData_EFN2O_Data(), Table_SourceData_Common_EFN2O[[#Headers],[Production system j]], 0)</f>
        <v>Continuous flooding</v>
      </c>
      <c r="H196" s="38" t="str" cm="1">
        <f t="array" ref="H196">Common_InputFunctions.Utility_DisplayArrayInTable(Common_SourceData.Common_SourceData_EFN2O_Data(), Table_SourceData_Common_EFN2O[[#Headers],[Production system j]], 0)</f>
        <v>Any</v>
      </c>
    </row>
    <row r="197" spans="4:8" x14ac:dyDescent="0.25">
      <c r="D197" s="38" t="str" cm="1">
        <f t="array" ref="D197">Common_InputFunctions.Utility_DisplayArrayInTable(Common_SourceData.Common_SourceData_EFN2O_Data(), Table_SourceData_Common_EFN2O[[#Headers],[Production system j]], 0)</f>
        <v>Rice (single and multiple drainage, or alternate wetting and drying)</v>
      </c>
      <c r="E197" s="38" cm="1">
        <f t="array" ref="E197">Common_InputFunctions.Utility_DisplayArrayInTable(Common_SourceData.Common_SourceData_EFN2O_Data(), Table_SourceData_Common_EFN2O[[#Headers],[Production system j]], 0)</f>
        <v>5.0000000000000001E-3</v>
      </c>
      <c r="F197" s="38" t="str" cm="1">
        <f t="array" ref="F197">Common_InputFunctions.Utility_DisplayArrayInTable(Common_SourceData.Common_SourceData_EFN2O_Data(), Table_SourceData_Common_EFN2O[[#Headers],[Production system j]], 0)</f>
        <v>Rice</v>
      </c>
      <c r="G197" s="38" t="str" cm="1">
        <f t="array" ref="G197">Common_InputFunctions.Utility_DisplayArrayInTable(Common_SourceData.Common_SourceData_EFN2O_Data(), Table_SourceData_Common_EFN2O[[#Headers],[Production system j]], 0)</f>
        <v>Single and multiple drainage, or alternate wetting and drying</v>
      </c>
      <c r="H197" s="38" t="str" cm="1">
        <f t="array" ref="H197">Common_InputFunctions.Utility_DisplayArrayInTable(Common_SourceData.Common_SourceData_EFN2O_Data(), Table_SourceData_Common_EFN2O[[#Headers],[Production system j]], 0)</f>
        <v>Any</v>
      </c>
    </row>
    <row r="198" spans="4:8" x14ac:dyDescent="0.25">
      <c r="D198" s="38" t="str" cm="1">
        <f t="array" ref="D198">Common_InputFunctions.Utility_DisplayArrayInTable(Common_SourceData.Common_SourceData_EFN2O_Data(), Table_SourceData_Common_EFN2O[[#Headers],[Production system j]], 0)</f>
        <v>Aquaculture</v>
      </c>
      <c r="E198" s="38" cm="1">
        <f t="array" ref="E198">Common_InputFunctions.Utility_DisplayArrayInTable(Common_SourceData.Common_SourceData_EFN2O_Data(), Table_SourceData_Common_EFN2O[[#Headers],[Production system j]], 0)</f>
        <v>2.5999999999999999E-3</v>
      </c>
      <c r="F198" s="38" t="str" cm="1">
        <f t="array" ref="F198">Common_InputFunctions.Utility_DisplayArrayInTable(Common_SourceData.Common_SourceData_EFN2O_Data(), Table_SourceData_Common_EFN2O[[#Headers],[Production system j]], 0)</f>
        <v>Aquaculture</v>
      </c>
      <c r="G198" s="38" t="str" cm="1">
        <f t="array" ref="G198">Common_InputFunctions.Utility_DisplayArrayInTable(Common_SourceData.Common_SourceData_EFN2O_Data(), Table_SourceData_Common_EFN2O[[#Headers],[Production system j]], 0)</f>
        <v>Any</v>
      </c>
      <c r="H198" s="38" t="str" cm="1">
        <f t="array" ref="H198">Common_InputFunctions.Utility_DisplayArrayInTable(Common_SourceData.Common_SourceData_EFN2O_Data(), Table_SourceData_Common_EFN2O[[#Headers],[Production system j]], 0)</f>
        <v>Any</v>
      </c>
    </row>
    <row r="199" spans="4:8" x14ac:dyDescent="0.25">
      <c r="D199" s="38" t="str" cm="1">
        <f t="array" ref="D199">Common_InputFunctions.Utility_DisplayArrayInTable(Common_SourceData.Common_SourceData_EFN2O_Data(), Table_SourceData_Common_EFN2O[[#Headers],[Production system j]], 0)</f>
        <v>Forestry</v>
      </c>
      <c r="E199" s="38" cm="1">
        <f t="array" ref="E199">Common_InputFunctions.Utility_DisplayArrayInTable(Common_SourceData.Common_SourceData_EFN2O_Data(), Table_SourceData_Common_EFN2O[[#Headers],[Production system j]], 0)</f>
        <v>1.8E-3</v>
      </c>
      <c r="F199" s="38" t="str" cm="1">
        <f t="array" ref="F199">Common_InputFunctions.Utility_DisplayArrayInTable(Common_SourceData.Common_SourceData_EFN2O_Data(), Table_SourceData_Common_EFN2O[[#Headers],[Production system j]], 0)</f>
        <v>Forestry</v>
      </c>
      <c r="G199" s="38" t="str" cm="1">
        <f t="array" ref="G199">Common_InputFunctions.Utility_DisplayArrayInTable(Common_SourceData.Common_SourceData_EFN2O_Data(), Table_SourceData_Common_EFN2O[[#Headers],[Production system j]], 0)</f>
        <v>Any</v>
      </c>
      <c r="H199" s="38"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5" t="str" cm="1">
        <f t="array" ref="D204">Common_SourceData.Common_SourceData_EFPastureRangeAndPaddock_Variation()</f>
        <v>VARIATION FROM SOURCE DATA: Changed 'Dry climate zones' to singular 'Dry climate zone' to aid lookup.</v>
      </c>
    </row>
    <row r="205" spans="4:8" x14ac:dyDescent="0.25">
      <c r="D205" s="54" t="str" cm="1">
        <f t="array" ref="D205">Common_SourceData.Common_SourceData_EFPastureRangeAndPaddock_Unit()</f>
        <v>kg N2O - N / kg N</v>
      </c>
    </row>
    <row r="206" spans="4:8" x14ac:dyDescent="0.25">
      <c r="D206" s="38" t="s">
        <v>6</v>
      </c>
      <c r="E206" s="38" t="s">
        <v>188</v>
      </c>
    </row>
    <row r="207" spans="4:8" x14ac:dyDescent="0.25">
      <c r="D207" s="38" t="str" cm="1">
        <f t="array" ref="D207">Common_InputFunctions.Utility_DisplayArrayInTable(Common_SourceData.Common_SourceData_EFPastureRangeAndPaddock_Data(), Table_SourceData_EFPastureRangeAndPaddock[[#Headers],[Climate zone]], 0)</f>
        <v>Wet climate zone</v>
      </c>
      <c r="E207" s="38"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8"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8" t="s">
        <v>193</v>
      </c>
      <c r="E212" s="38" t="s">
        <v>194</v>
      </c>
    </row>
    <row r="213" spans="4:5" x14ac:dyDescent="0.25">
      <c r="D213" s="38" t="str" cm="1">
        <f t="array" ref="D213">Common_InputFunctions.Utility_DisplayArrayInTable(Common_SourceData.Common_SourceData_MonthsToSeasons_Data(), Table_SourceData_Common_MonthToSeason[[#Headers],[Month]], 0)</f>
        <v>January</v>
      </c>
      <c r="E213" s="38"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8"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8"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8"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8"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8"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8"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8"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8"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8"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8"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8"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8" t="s">
        <v>48</v>
      </c>
      <c r="E231" s="38" t="s">
        <v>195</v>
      </c>
      <c r="F231" s="37" t="s">
        <v>196</v>
      </c>
      <c r="G231" s="38" t="s">
        <v>197</v>
      </c>
      <c r="H231" s="38" t="s">
        <v>198</v>
      </c>
      <c r="I231" s="38" t="s">
        <v>199</v>
      </c>
      <c r="J231" s="38" t="s">
        <v>200</v>
      </c>
      <c r="K231" s="38" t="s">
        <v>201</v>
      </c>
      <c r="L231" s="38" t="s">
        <v>202</v>
      </c>
      <c r="M231" s="38" t="s">
        <v>203</v>
      </c>
      <c r="N231" s="38" t="s">
        <v>204</v>
      </c>
      <c r="O231" s="38" t="s">
        <v>205</v>
      </c>
      <c r="P231" s="38" t="s">
        <v>206</v>
      </c>
      <c r="Q231" s="38" t="s">
        <v>207</v>
      </c>
      <c r="R231" s="38" t="s">
        <v>208</v>
      </c>
      <c r="S231" s="38" t="s">
        <v>209</v>
      </c>
    </row>
    <row r="232" spans="4:19" x14ac:dyDescent="0.25">
      <c r="D232" s="38" t="str" cm="1">
        <f t="array" ref="D232">Common_InputFunctions.Utility_DisplayArrayInTable(Common_SourceData.Common_SourceData_MCFTemperatureZone_Data(),Table_SourceData_Common_MCFTemperatureZone[[#Headers],[Temperature zone]],0)</f>
        <v>Cool</v>
      </c>
      <c r="E232" s="38" t="str" cm="1">
        <f t="array" ref="E232">Common_InputFunctions.Utility_DisplayArrayInTable(Common_SourceData.Common_SourceData_MCFTemperatureZone_Data(),Table_SourceData_Common_MCFTemperatureZone[[#Headers],[Temperature zone]],0)</f>
        <v>≤10</v>
      </c>
      <c r="F232" s="38" cm="1">
        <f t="array" ref="F232">Common_InputFunctions.Utility_DisplayArrayInTable(Common_SourceData.Common_SourceData_MCFTemperatureZone_Data(),Table_SourceData_Common_MCFTemperatureZone[[#Headers],[Temperature zone]],0)</f>
        <v>0.66</v>
      </c>
      <c r="G232" s="38" cm="1">
        <f t="array" ref="G232">Common_InputFunctions.Utility_DisplayArrayInTable(Common_SourceData.Common_SourceData_MCFTemperatureZone_Data(),Table_SourceData_Common_MCFTemperatureZone[[#Headers],[Temperature zone]],0)</f>
        <v>0.1</v>
      </c>
      <c r="H232" s="38" cm="1">
        <f t="array" ref="H232">Common_InputFunctions.Utility_DisplayArrayInTable(Common_SourceData.Common_SourceData_MCFTemperatureZone_Data(),Table_SourceData_Common_MCFTemperatureZone[[#Headers],[Temperature zone]],0)</f>
        <v>0.1</v>
      </c>
      <c r="I232" s="38" cm="1">
        <f t="array" ref="I232">Common_InputFunctions.Utility_DisplayArrayInTable(Common_SourceData.Common_SourceData_MCFTemperatureZone_Data(),Table_SourceData_Common_MCFTemperatureZone[[#Headers],[Temperature zone]],0)</f>
        <v>1E-3</v>
      </c>
      <c r="J232" s="38" cm="1">
        <f t="array" ref="J232">Common_InputFunctions.Utility_DisplayArrayInTable(Common_SourceData.Common_SourceData_MCFTemperatureZone_Data(),Table_SourceData_Common_MCFTemperatureZone[[#Headers],[Temperature zone]],0)</f>
        <v>5.0000000000000001E-3</v>
      </c>
      <c r="K232" s="38" cm="1">
        <f t="array" ref="K232">Common_InputFunctions.Utility_DisplayArrayInTable(Common_SourceData.Common_SourceData_MCFTemperatureZone_Data(),Table_SourceData_Common_MCFTemperatureZone[[#Headers],[Temperature zone]],0)</f>
        <v>0.02</v>
      </c>
      <c r="L232" s="38" cm="1">
        <f t="array" ref="L232">Common_InputFunctions.Utility_DisplayArrayInTable(Common_SourceData.Common_SourceData_MCFTemperatureZone_Data(),Table_SourceData_Common_MCFTemperatureZone[[#Headers],[Temperature zone]],0)</f>
        <v>0.03</v>
      </c>
      <c r="M232" s="38" cm="1">
        <f t="array" ref="M232">Common_InputFunctions.Utility_DisplayArrayInTable(Common_SourceData.Common_SourceData_MCFTemperatureZone_Data(),Table_SourceData_Common_MCFTemperatureZone[[#Headers],[Temperature zone]],0)</f>
        <v>0.04</v>
      </c>
      <c r="N232" s="38" cm="1">
        <f t="array" ref="N232">Common_InputFunctions.Utility_DisplayArrayInTable(Common_SourceData.Common_SourceData_MCFTemperatureZone_Data(),Table_SourceData_Common_MCFTemperatureZone[[#Headers],[Temperature zone]],0)</f>
        <v>1.4999999999999999E-2</v>
      </c>
      <c r="O232" s="38" cm="1">
        <f t="array" ref="O232">Common_InputFunctions.Utility_DisplayArrayInTable(Common_SourceData.Common_SourceData_MCFTemperatureZone_Data(),Table_SourceData_Common_MCFTemperatureZone[[#Headers],[Temperature zone]],0)</f>
        <v>1.4999999999999999E-2</v>
      </c>
      <c r="P232" s="38" cm="1">
        <f t="array" ref="P232">Common_InputFunctions.Utility_DisplayArrayInTable(Common_SourceData.Common_SourceData_MCFTemperatureZone_Data(),Table_SourceData_Common_MCFTemperatureZone[[#Headers],[Temperature zone]],0)</f>
        <v>0</v>
      </c>
      <c r="Q232" s="38" cm="1">
        <f t="array" ref="Q232">Common_InputFunctions.Utility_DisplayArrayInTable(Common_SourceData.Common_SourceData_MCFTemperatureZone_Data(),Table_SourceData_Common_MCFTemperatureZone[[#Headers],[Temperature zone]],0)</f>
        <v>0</v>
      </c>
      <c r="R232" s="38" cm="1">
        <f t="array" ref="R232">Common_InputFunctions.Utility_DisplayArrayInTable(Common_SourceData.Common_SourceData_MCFTemperatureZone_Data(),Table_SourceData_Common_MCFTemperatureZone[[#Headers],[Temperature zone]],0)</f>
        <v>4.7000000000000002E-3</v>
      </c>
      <c r="S232" s="38"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8" cm="1">
        <f t="array" ref="E233">Common_InputFunctions.Utility_DisplayArrayInTable(Common_SourceData.Common_SourceData_MCFTemperatureZone_Data(),Table_SourceData_Common_MCFTemperatureZone[[#Headers],[Temperature zone]],0)</f>
        <v>11</v>
      </c>
      <c r="F233" s="38" cm="1">
        <f t="array" ref="F233">Common_InputFunctions.Utility_DisplayArrayInTable(Common_SourceData.Common_SourceData_MCFTemperatureZone_Data(),Table_SourceData_Common_MCFTemperatureZone[[#Headers],[Temperature zone]],0)</f>
        <v>0.68</v>
      </c>
      <c r="G233" s="38" cm="1">
        <f t="array" ref="G233">Common_InputFunctions.Utility_DisplayArrayInTable(Common_SourceData.Common_SourceData_MCFTemperatureZone_Data(),Table_SourceData_Common_MCFTemperatureZone[[#Headers],[Temperature zone]],0)</f>
        <v>0.1</v>
      </c>
      <c r="H233" s="38" cm="1">
        <f t="array" ref="H233">Common_InputFunctions.Utility_DisplayArrayInTable(Common_SourceData.Common_SourceData_MCFTemperatureZone_Data(),Table_SourceData_Common_MCFTemperatureZone[[#Headers],[Temperature zone]],0)</f>
        <v>0.11</v>
      </c>
      <c r="I233" s="38" cm="1">
        <f t="array" ref="I233">Common_InputFunctions.Utility_DisplayArrayInTable(Common_SourceData.Common_SourceData_MCFTemperatureZone_Data(),Table_SourceData_Common_MCFTemperatureZone[[#Headers],[Temperature zone]],0)</f>
        <v>1E-3</v>
      </c>
      <c r="J233" s="38" cm="1">
        <f t="array" ref="J233">Common_InputFunctions.Utility_DisplayArrayInTable(Common_SourceData.Common_SourceData_MCFTemperatureZone_Data(),Table_SourceData_Common_MCFTemperatureZone[[#Headers],[Temperature zone]],0)</f>
        <v>5.0000000000000001E-3</v>
      </c>
      <c r="K233" s="38" cm="1">
        <f t="array" ref="K233">Common_InputFunctions.Utility_DisplayArrayInTable(Common_SourceData.Common_SourceData_MCFTemperatureZone_Data(),Table_SourceData_Common_MCFTemperatureZone[[#Headers],[Temperature zone]],0)</f>
        <v>0.02</v>
      </c>
      <c r="L233" s="38" cm="1">
        <f t="array" ref="L233">Common_InputFunctions.Utility_DisplayArrayInTable(Common_SourceData.Common_SourceData_MCFTemperatureZone_Data(),Table_SourceData_Common_MCFTemperatureZone[[#Headers],[Temperature zone]],0)</f>
        <v>0.03</v>
      </c>
      <c r="M233" s="38" cm="1">
        <f t="array" ref="M233">Common_InputFunctions.Utility_DisplayArrayInTable(Common_SourceData.Common_SourceData_MCFTemperatureZone_Data(),Table_SourceData_Common_MCFTemperatureZone[[#Headers],[Temperature zone]],0)</f>
        <v>0.04</v>
      </c>
      <c r="N233" s="38" cm="1">
        <f t="array" ref="N233">Common_InputFunctions.Utility_DisplayArrayInTable(Common_SourceData.Common_SourceData_MCFTemperatureZone_Data(),Table_SourceData_Common_MCFTemperatureZone[[#Headers],[Temperature zone]],0)</f>
        <v>1.4999999999999999E-2</v>
      </c>
      <c r="O233" s="38" cm="1">
        <f t="array" ref="O233">Common_InputFunctions.Utility_DisplayArrayInTable(Common_SourceData.Common_SourceData_MCFTemperatureZone_Data(),Table_SourceData_Common_MCFTemperatureZone[[#Headers],[Temperature zone]],0)</f>
        <v>1.4999999999999999E-2</v>
      </c>
      <c r="P233" s="38" cm="1">
        <f t="array" ref="P233">Common_InputFunctions.Utility_DisplayArrayInTable(Common_SourceData.Common_SourceData_MCFTemperatureZone_Data(),Table_SourceData_Common_MCFTemperatureZone[[#Headers],[Temperature zone]],0)</f>
        <v>0</v>
      </c>
      <c r="Q233" s="38" cm="1">
        <f t="array" ref="Q233">Common_InputFunctions.Utility_DisplayArrayInTable(Common_SourceData.Common_SourceData_MCFTemperatureZone_Data(),Table_SourceData_Common_MCFTemperatureZone[[#Headers],[Temperature zone]],0)</f>
        <v>0</v>
      </c>
      <c r="R233" s="38" cm="1">
        <f t="array" ref="R233">Common_InputFunctions.Utility_DisplayArrayInTable(Common_SourceData.Common_SourceData_MCFTemperatureZone_Data(),Table_SourceData_Common_MCFTemperatureZone[[#Headers],[Temperature zone]],0)</f>
        <v>4.7000000000000002E-3</v>
      </c>
      <c r="S233" s="38"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8" cm="1">
        <f t="array" ref="E234">Common_InputFunctions.Utility_DisplayArrayInTable(Common_SourceData.Common_SourceData_MCFTemperatureZone_Data(),Table_SourceData_Common_MCFTemperatureZone[[#Headers],[Temperature zone]],0)</f>
        <v>12</v>
      </c>
      <c r="F234" s="38" cm="1">
        <f t="array" ref="F234">Common_InputFunctions.Utility_DisplayArrayInTable(Common_SourceData.Common_SourceData_MCFTemperatureZone_Data(),Table_SourceData_Common_MCFTemperatureZone[[#Headers],[Temperature zone]],0)</f>
        <v>0.7</v>
      </c>
      <c r="G234" s="38" cm="1">
        <f t="array" ref="G234">Common_InputFunctions.Utility_DisplayArrayInTable(Common_SourceData.Common_SourceData_MCFTemperatureZone_Data(),Table_SourceData_Common_MCFTemperatureZone[[#Headers],[Temperature zone]],0)</f>
        <v>0.1</v>
      </c>
      <c r="H234" s="38" cm="1">
        <f t="array" ref="H234">Common_InputFunctions.Utility_DisplayArrayInTable(Common_SourceData.Common_SourceData_MCFTemperatureZone_Data(),Table_SourceData_Common_MCFTemperatureZone[[#Headers],[Temperature zone]],0)</f>
        <v>0.13</v>
      </c>
      <c r="I234" s="38" cm="1">
        <f t="array" ref="I234">Common_InputFunctions.Utility_DisplayArrayInTable(Common_SourceData.Common_SourceData_MCFTemperatureZone_Data(),Table_SourceData_Common_MCFTemperatureZone[[#Headers],[Temperature zone]],0)</f>
        <v>1E-3</v>
      </c>
      <c r="J234" s="38" cm="1">
        <f t="array" ref="J234">Common_InputFunctions.Utility_DisplayArrayInTable(Common_SourceData.Common_SourceData_MCFTemperatureZone_Data(),Table_SourceData_Common_MCFTemperatureZone[[#Headers],[Temperature zone]],0)</f>
        <v>5.0000000000000001E-3</v>
      </c>
      <c r="K234" s="38" cm="1">
        <f t="array" ref="K234">Common_InputFunctions.Utility_DisplayArrayInTable(Common_SourceData.Common_SourceData_MCFTemperatureZone_Data(),Table_SourceData_Common_MCFTemperatureZone[[#Headers],[Temperature zone]],0)</f>
        <v>0.02</v>
      </c>
      <c r="L234" s="38" cm="1">
        <f t="array" ref="L234">Common_InputFunctions.Utility_DisplayArrayInTable(Common_SourceData.Common_SourceData_MCFTemperatureZone_Data(),Table_SourceData_Common_MCFTemperatureZone[[#Headers],[Temperature zone]],0)</f>
        <v>0.03</v>
      </c>
      <c r="M234" s="38" cm="1">
        <f t="array" ref="M234">Common_InputFunctions.Utility_DisplayArrayInTable(Common_SourceData.Common_SourceData_MCFTemperatureZone_Data(),Table_SourceData_Common_MCFTemperatureZone[[#Headers],[Temperature zone]],0)</f>
        <v>0.04</v>
      </c>
      <c r="N234" s="38" cm="1">
        <f t="array" ref="N234">Common_InputFunctions.Utility_DisplayArrayInTable(Common_SourceData.Common_SourceData_MCFTemperatureZone_Data(),Table_SourceData_Common_MCFTemperatureZone[[#Headers],[Temperature zone]],0)</f>
        <v>1.4999999999999999E-2</v>
      </c>
      <c r="O234" s="38" cm="1">
        <f t="array" ref="O234">Common_InputFunctions.Utility_DisplayArrayInTable(Common_SourceData.Common_SourceData_MCFTemperatureZone_Data(),Table_SourceData_Common_MCFTemperatureZone[[#Headers],[Temperature zone]],0)</f>
        <v>1.4999999999999999E-2</v>
      </c>
      <c r="P234" s="38" cm="1">
        <f t="array" ref="P234">Common_InputFunctions.Utility_DisplayArrayInTable(Common_SourceData.Common_SourceData_MCFTemperatureZone_Data(),Table_SourceData_Common_MCFTemperatureZone[[#Headers],[Temperature zone]],0)</f>
        <v>0</v>
      </c>
      <c r="Q234" s="38" cm="1">
        <f t="array" ref="Q234">Common_InputFunctions.Utility_DisplayArrayInTable(Common_SourceData.Common_SourceData_MCFTemperatureZone_Data(),Table_SourceData_Common_MCFTemperatureZone[[#Headers],[Temperature zone]],0)</f>
        <v>0</v>
      </c>
      <c r="R234" s="38" cm="1">
        <f t="array" ref="R234">Common_InputFunctions.Utility_DisplayArrayInTable(Common_SourceData.Common_SourceData_MCFTemperatureZone_Data(),Table_SourceData_Common_MCFTemperatureZone[[#Headers],[Temperature zone]],0)</f>
        <v>4.7000000000000002E-3</v>
      </c>
      <c r="S234" s="38"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8" cm="1">
        <f t="array" ref="E235">Common_InputFunctions.Utility_DisplayArrayInTable(Common_SourceData.Common_SourceData_MCFTemperatureZone_Data(),Table_SourceData_Common_MCFTemperatureZone[[#Headers],[Temperature zone]],0)</f>
        <v>13</v>
      </c>
      <c r="F235" s="38" cm="1">
        <f t="array" ref="F235">Common_InputFunctions.Utility_DisplayArrayInTable(Common_SourceData.Common_SourceData_MCFTemperatureZone_Data(),Table_SourceData_Common_MCFTemperatureZone[[#Headers],[Temperature zone]],0)</f>
        <v>0.71</v>
      </c>
      <c r="G235" s="38" cm="1">
        <f t="array" ref="G235">Common_InputFunctions.Utility_DisplayArrayInTable(Common_SourceData.Common_SourceData_MCFTemperatureZone_Data(),Table_SourceData_Common_MCFTemperatureZone[[#Headers],[Temperature zone]],0)</f>
        <v>0.1</v>
      </c>
      <c r="H235" s="38" cm="1">
        <f t="array" ref="H235">Common_InputFunctions.Utility_DisplayArrayInTable(Common_SourceData.Common_SourceData_MCFTemperatureZone_Data(),Table_SourceData_Common_MCFTemperatureZone[[#Headers],[Temperature zone]],0)</f>
        <v>0.14000000000000001</v>
      </c>
      <c r="I235" s="38" cm="1">
        <f t="array" ref="I235">Common_InputFunctions.Utility_DisplayArrayInTable(Common_SourceData.Common_SourceData_MCFTemperatureZone_Data(),Table_SourceData_Common_MCFTemperatureZone[[#Headers],[Temperature zone]],0)</f>
        <v>1E-3</v>
      </c>
      <c r="J235" s="38" cm="1">
        <f t="array" ref="J235">Common_InputFunctions.Utility_DisplayArrayInTable(Common_SourceData.Common_SourceData_MCFTemperatureZone_Data(),Table_SourceData_Common_MCFTemperatureZone[[#Headers],[Temperature zone]],0)</f>
        <v>5.0000000000000001E-3</v>
      </c>
      <c r="K235" s="38" cm="1">
        <f t="array" ref="K235">Common_InputFunctions.Utility_DisplayArrayInTable(Common_SourceData.Common_SourceData_MCFTemperatureZone_Data(),Table_SourceData_Common_MCFTemperatureZone[[#Headers],[Temperature zone]],0)</f>
        <v>0.02</v>
      </c>
      <c r="L235" s="38" cm="1">
        <f t="array" ref="L235">Common_InputFunctions.Utility_DisplayArrayInTable(Common_SourceData.Common_SourceData_MCFTemperatureZone_Data(),Table_SourceData_Common_MCFTemperatureZone[[#Headers],[Temperature zone]],0)</f>
        <v>0.03</v>
      </c>
      <c r="M235" s="38" cm="1">
        <f t="array" ref="M235">Common_InputFunctions.Utility_DisplayArrayInTable(Common_SourceData.Common_SourceData_MCFTemperatureZone_Data(),Table_SourceData_Common_MCFTemperatureZone[[#Headers],[Temperature zone]],0)</f>
        <v>0.04</v>
      </c>
      <c r="N235" s="38" cm="1">
        <f t="array" ref="N235">Common_InputFunctions.Utility_DisplayArrayInTable(Common_SourceData.Common_SourceData_MCFTemperatureZone_Data(),Table_SourceData_Common_MCFTemperatureZone[[#Headers],[Temperature zone]],0)</f>
        <v>1.4999999999999999E-2</v>
      </c>
      <c r="O235" s="38" cm="1">
        <f t="array" ref="O235">Common_InputFunctions.Utility_DisplayArrayInTable(Common_SourceData.Common_SourceData_MCFTemperatureZone_Data(),Table_SourceData_Common_MCFTemperatureZone[[#Headers],[Temperature zone]],0)</f>
        <v>1.4999999999999999E-2</v>
      </c>
      <c r="P235" s="38" cm="1">
        <f t="array" ref="P235">Common_InputFunctions.Utility_DisplayArrayInTable(Common_SourceData.Common_SourceData_MCFTemperatureZone_Data(),Table_SourceData_Common_MCFTemperatureZone[[#Headers],[Temperature zone]],0)</f>
        <v>0</v>
      </c>
      <c r="Q235" s="38" cm="1">
        <f t="array" ref="Q235">Common_InputFunctions.Utility_DisplayArrayInTable(Common_SourceData.Common_SourceData_MCFTemperatureZone_Data(),Table_SourceData_Common_MCFTemperatureZone[[#Headers],[Temperature zone]],0)</f>
        <v>0</v>
      </c>
      <c r="R235" s="38" cm="1">
        <f t="array" ref="R235">Common_InputFunctions.Utility_DisplayArrayInTable(Common_SourceData.Common_SourceData_MCFTemperatureZone_Data(),Table_SourceData_Common_MCFTemperatureZone[[#Headers],[Temperature zone]],0)</f>
        <v>4.7000000000000002E-3</v>
      </c>
      <c r="S235" s="38"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8" cm="1">
        <f t="array" ref="E236">Common_InputFunctions.Utility_DisplayArrayInTable(Common_SourceData.Common_SourceData_MCFTemperatureZone_Data(),Table_SourceData_Common_MCFTemperatureZone[[#Headers],[Temperature zone]],0)</f>
        <v>14</v>
      </c>
      <c r="F236" s="38" cm="1">
        <f t="array" ref="F236">Common_InputFunctions.Utility_DisplayArrayInTable(Common_SourceData.Common_SourceData_MCFTemperatureZone_Data(),Table_SourceData_Common_MCFTemperatureZone[[#Headers],[Temperature zone]],0)</f>
        <v>0.73</v>
      </c>
      <c r="G236" s="38" cm="1">
        <f t="array" ref="G236">Common_InputFunctions.Utility_DisplayArrayInTable(Common_SourceData.Common_SourceData_MCFTemperatureZone_Data(),Table_SourceData_Common_MCFTemperatureZone[[#Headers],[Temperature zone]],0)</f>
        <v>0.1</v>
      </c>
      <c r="H236" s="38" cm="1">
        <f t="array" ref="H236">Common_InputFunctions.Utility_DisplayArrayInTable(Common_SourceData.Common_SourceData_MCFTemperatureZone_Data(),Table_SourceData_Common_MCFTemperatureZone[[#Headers],[Temperature zone]],0)</f>
        <v>0.15</v>
      </c>
      <c r="I236" s="38" cm="1">
        <f t="array" ref="I236">Common_InputFunctions.Utility_DisplayArrayInTable(Common_SourceData.Common_SourceData_MCFTemperatureZone_Data(),Table_SourceData_Common_MCFTemperatureZone[[#Headers],[Temperature zone]],0)</f>
        <v>1E-3</v>
      </c>
      <c r="J236" s="38" cm="1">
        <f t="array" ref="J236">Common_InputFunctions.Utility_DisplayArrayInTable(Common_SourceData.Common_SourceData_MCFTemperatureZone_Data(),Table_SourceData_Common_MCFTemperatureZone[[#Headers],[Temperature zone]],0)</f>
        <v>5.0000000000000001E-3</v>
      </c>
      <c r="K236" s="38" cm="1">
        <f t="array" ref="K236">Common_InputFunctions.Utility_DisplayArrayInTable(Common_SourceData.Common_SourceData_MCFTemperatureZone_Data(),Table_SourceData_Common_MCFTemperatureZone[[#Headers],[Temperature zone]],0)</f>
        <v>0.02</v>
      </c>
      <c r="L236" s="38" cm="1">
        <f t="array" ref="L236">Common_InputFunctions.Utility_DisplayArrayInTable(Common_SourceData.Common_SourceData_MCFTemperatureZone_Data(),Table_SourceData_Common_MCFTemperatureZone[[#Headers],[Temperature zone]],0)</f>
        <v>0.03</v>
      </c>
      <c r="M236" s="38" cm="1">
        <f t="array" ref="M236">Common_InputFunctions.Utility_DisplayArrayInTable(Common_SourceData.Common_SourceData_MCFTemperatureZone_Data(),Table_SourceData_Common_MCFTemperatureZone[[#Headers],[Temperature zone]],0)</f>
        <v>0.04</v>
      </c>
      <c r="N236" s="38" cm="1">
        <f t="array" ref="N236">Common_InputFunctions.Utility_DisplayArrayInTable(Common_SourceData.Common_SourceData_MCFTemperatureZone_Data(),Table_SourceData_Common_MCFTemperatureZone[[#Headers],[Temperature zone]],0)</f>
        <v>1.4999999999999999E-2</v>
      </c>
      <c r="O236" s="38" cm="1">
        <f t="array" ref="O236">Common_InputFunctions.Utility_DisplayArrayInTable(Common_SourceData.Common_SourceData_MCFTemperatureZone_Data(),Table_SourceData_Common_MCFTemperatureZone[[#Headers],[Temperature zone]],0)</f>
        <v>1.4999999999999999E-2</v>
      </c>
      <c r="P236" s="38" cm="1">
        <f t="array" ref="P236">Common_InputFunctions.Utility_DisplayArrayInTable(Common_SourceData.Common_SourceData_MCFTemperatureZone_Data(),Table_SourceData_Common_MCFTemperatureZone[[#Headers],[Temperature zone]],0)</f>
        <v>0</v>
      </c>
      <c r="Q236" s="38" cm="1">
        <f t="array" ref="Q236">Common_InputFunctions.Utility_DisplayArrayInTable(Common_SourceData.Common_SourceData_MCFTemperatureZone_Data(),Table_SourceData_Common_MCFTemperatureZone[[#Headers],[Temperature zone]],0)</f>
        <v>0</v>
      </c>
      <c r="R236" s="38" cm="1">
        <f t="array" ref="R236">Common_InputFunctions.Utility_DisplayArrayInTable(Common_SourceData.Common_SourceData_MCFTemperatureZone_Data(),Table_SourceData_Common_MCFTemperatureZone[[#Headers],[Temperature zone]],0)</f>
        <v>4.7000000000000002E-3</v>
      </c>
      <c r="S236" s="38"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8" cm="1">
        <f t="array" ref="E237">Common_InputFunctions.Utility_DisplayArrayInTable(Common_SourceData.Common_SourceData_MCFTemperatureZone_Data(),Table_SourceData_Common_MCFTemperatureZone[[#Headers],[Temperature zone]],0)</f>
        <v>15</v>
      </c>
      <c r="F237" s="38" cm="1">
        <f t="array" ref="F237">Common_InputFunctions.Utility_DisplayArrayInTable(Common_SourceData.Common_SourceData_MCFTemperatureZone_Data(),Table_SourceData_Common_MCFTemperatureZone[[#Headers],[Temperature zone]],0)</f>
        <v>0.74</v>
      </c>
      <c r="G237" s="38" cm="1">
        <f t="array" ref="G237">Common_InputFunctions.Utility_DisplayArrayInTable(Common_SourceData.Common_SourceData_MCFTemperatureZone_Data(),Table_SourceData_Common_MCFTemperatureZone[[#Headers],[Temperature zone]],0)</f>
        <v>0.1</v>
      </c>
      <c r="H237" s="38" cm="1">
        <f t="array" ref="H237">Common_InputFunctions.Utility_DisplayArrayInTable(Common_SourceData.Common_SourceData_MCFTemperatureZone_Data(),Table_SourceData_Common_MCFTemperatureZone[[#Headers],[Temperature zone]],0)</f>
        <v>0.17</v>
      </c>
      <c r="I237" s="38" cm="1">
        <f t="array" ref="I237">Common_InputFunctions.Utility_DisplayArrayInTable(Common_SourceData.Common_SourceData_MCFTemperatureZone_Data(),Table_SourceData_Common_MCFTemperatureZone[[#Headers],[Temperature zone]],0)</f>
        <v>5.0000000000000001E-3</v>
      </c>
      <c r="J237" s="38" cm="1">
        <f t="array" ref="J237">Common_InputFunctions.Utility_DisplayArrayInTable(Common_SourceData.Common_SourceData_MCFTemperatureZone_Data(),Table_SourceData_Common_MCFTemperatureZone[[#Headers],[Temperature zone]],0)</f>
        <v>0.01</v>
      </c>
      <c r="K237" s="38" cm="1">
        <f t="array" ref="K237">Common_InputFunctions.Utility_DisplayArrayInTable(Common_SourceData.Common_SourceData_MCFTemperatureZone_Data(),Table_SourceData_Common_MCFTemperatureZone[[#Headers],[Temperature zone]],0)</f>
        <v>0.02</v>
      </c>
      <c r="L237" s="38" cm="1">
        <f t="array" ref="L237">Common_InputFunctions.Utility_DisplayArrayInTable(Common_SourceData.Common_SourceData_MCFTemperatureZone_Data(),Table_SourceData_Common_MCFTemperatureZone[[#Headers],[Temperature zone]],0)</f>
        <v>0.03</v>
      </c>
      <c r="M237" s="38" cm="1">
        <f t="array" ref="M237">Common_InputFunctions.Utility_DisplayArrayInTable(Common_SourceData.Common_SourceData_MCFTemperatureZone_Data(),Table_SourceData_Common_MCFTemperatureZone[[#Headers],[Temperature zone]],0)</f>
        <v>0.04</v>
      </c>
      <c r="N237" s="38" cm="1">
        <f t="array" ref="N237">Common_InputFunctions.Utility_DisplayArrayInTable(Common_SourceData.Common_SourceData_MCFTemperatureZone_Data(),Table_SourceData_Common_MCFTemperatureZone[[#Headers],[Temperature zone]],0)</f>
        <v>1.4999999999999999E-2</v>
      </c>
      <c r="O237" s="38" cm="1">
        <f t="array" ref="O237">Common_InputFunctions.Utility_DisplayArrayInTable(Common_SourceData.Common_SourceData_MCFTemperatureZone_Data(),Table_SourceData_Common_MCFTemperatureZone[[#Headers],[Temperature zone]],0)</f>
        <v>1.4999999999999999E-2</v>
      </c>
      <c r="P237" s="38" cm="1">
        <f t="array" ref="P237">Common_InputFunctions.Utility_DisplayArrayInTable(Common_SourceData.Common_SourceData_MCFTemperatureZone_Data(),Table_SourceData_Common_MCFTemperatureZone[[#Headers],[Temperature zone]],0)</f>
        <v>0</v>
      </c>
      <c r="Q237" s="38" cm="1">
        <f t="array" ref="Q237">Common_InputFunctions.Utility_DisplayArrayInTable(Common_SourceData.Common_SourceData_MCFTemperatureZone_Data(),Table_SourceData_Common_MCFTemperatureZone[[#Headers],[Temperature zone]],0)</f>
        <v>0</v>
      </c>
      <c r="R237" s="38" cm="1">
        <f t="array" ref="R237">Common_InputFunctions.Utility_DisplayArrayInTable(Common_SourceData.Common_SourceData_MCFTemperatureZone_Data(),Table_SourceData_Common_MCFTemperatureZone[[#Headers],[Temperature zone]],0)</f>
        <v>4.7000000000000002E-3</v>
      </c>
      <c r="S237" s="38"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8" cm="1">
        <f t="array" ref="E238">Common_InputFunctions.Utility_DisplayArrayInTable(Common_SourceData.Common_SourceData_MCFTemperatureZone_Data(),Table_SourceData_Common_MCFTemperatureZone[[#Headers],[Temperature zone]],0)</f>
        <v>16</v>
      </c>
      <c r="F238" s="38" cm="1">
        <f t="array" ref="F238">Common_InputFunctions.Utility_DisplayArrayInTable(Common_SourceData.Common_SourceData_MCFTemperatureZone_Data(),Table_SourceData_Common_MCFTemperatureZone[[#Headers],[Temperature zone]],0)</f>
        <v>0.75</v>
      </c>
      <c r="G238" s="38" cm="1">
        <f t="array" ref="G238">Common_InputFunctions.Utility_DisplayArrayInTable(Common_SourceData.Common_SourceData_MCFTemperatureZone_Data(),Table_SourceData_Common_MCFTemperatureZone[[#Headers],[Temperature zone]],0)</f>
        <v>0.1</v>
      </c>
      <c r="H238" s="38" cm="1">
        <f t="array" ref="H238">Common_InputFunctions.Utility_DisplayArrayInTable(Common_SourceData.Common_SourceData_MCFTemperatureZone_Data(),Table_SourceData_Common_MCFTemperatureZone[[#Headers],[Temperature zone]],0)</f>
        <v>0.18</v>
      </c>
      <c r="I238" s="38" cm="1">
        <f t="array" ref="I238">Common_InputFunctions.Utility_DisplayArrayInTable(Common_SourceData.Common_SourceData_MCFTemperatureZone_Data(),Table_SourceData_Common_MCFTemperatureZone[[#Headers],[Temperature zone]],0)</f>
        <v>5.0000000000000001E-3</v>
      </c>
      <c r="J238" s="38" cm="1">
        <f t="array" ref="J238">Common_InputFunctions.Utility_DisplayArrayInTable(Common_SourceData.Common_SourceData_MCFTemperatureZone_Data(),Table_SourceData_Common_MCFTemperatureZone[[#Headers],[Temperature zone]],0)</f>
        <v>0.01</v>
      </c>
      <c r="K238" s="38" cm="1">
        <f t="array" ref="K238">Common_InputFunctions.Utility_DisplayArrayInTable(Common_SourceData.Common_SourceData_MCFTemperatureZone_Data(),Table_SourceData_Common_MCFTemperatureZone[[#Headers],[Temperature zone]],0)</f>
        <v>0.02</v>
      </c>
      <c r="L238" s="38" cm="1">
        <f t="array" ref="L238">Common_InputFunctions.Utility_DisplayArrayInTable(Common_SourceData.Common_SourceData_MCFTemperatureZone_Data(),Table_SourceData_Common_MCFTemperatureZone[[#Headers],[Temperature zone]],0)</f>
        <v>0.03</v>
      </c>
      <c r="M238" s="38" cm="1">
        <f t="array" ref="M238">Common_InputFunctions.Utility_DisplayArrayInTable(Common_SourceData.Common_SourceData_MCFTemperatureZone_Data(),Table_SourceData_Common_MCFTemperatureZone[[#Headers],[Temperature zone]],0)</f>
        <v>0.04</v>
      </c>
      <c r="N238" s="38" cm="1">
        <f t="array" ref="N238">Common_InputFunctions.Utility_DisplayArrayInTable(Common_SourceData.Common_SourceData_MCFTemperatureZone_Data(),Table_SourceData_Common_MCFTemperatureZone[[#Headers],[Temperature zone]],0)</f>
        <v>1.4999999999999999E-2</v>
      </c>
      <c r="O238" s="38" cm="1">
        <f t="array" ref="O238">Common_InputFunctions.Utility_DisplayArrayInTable(Common_SourceData.Common_SourceData_MCFTemperatureZone_Data(),Table_SourceData_Common_MCFTemperatureZone[[#Headers],[Temperature zone]],0)</f>
        <v>1.4999999999999999E-2</v>
      </c>
      <c r="P238" s="38" cm="1">
        <f t="array" ref="P238">Common_InputFunctions.Utility_DisplayArrayInTable(Common_SourceData.Common_SourceData_MCFTemperatureZone_Data(),Table_SourceData_Common_MCFTemperatureZone[[#Headers],[Temperature zone]],0)</f>
        <v>0</v>
      </c>
      <c r="Q238" s="38" cm="1">
        <f t="array" ref="Q238">Common_InputFunctions.Utility_DisplayArrayInTable(Common_SourceData.Common_SourceData_MCFTemperatureZone_Data(),Table_SourceData_Common_MCFTemperatureZone[[#Headers],[Temperature zone]],0)</f>
        <v>0</v>
      </c>
      <c r="R238" s="38" cm="1">
        <f t="array" ref="R238">Common_InputFunctions.Utility_DisplayArrayInTable(Common_SourceData.Common_SourceData_MCFTemperatureZone_Data(),Table_SourceData_Common_MCFTemperatureZone[[#Headers],[Temperature zone]],0)</f>
        <v>4.7000000000000002E-3</v>
      </c>
      <c r="S238" s="38"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8" cm="1">
        <f t="array" ref="E239">Common_InputFunctions.Utility_DisplayArrayInTable(Common_SourceData.Common_SourceData_MCFTemperatureZone_Data(),Table_SourceData_Common_MCFTemperatureZone[[#Headers],[Temperature zone]],0)</f>
        <v>17</v>
      </c>
      <c r="F239" s="38" cm="1">
        <f t="array" ref="F239">Common_InputFunctions.Utility_DisplayArrayInTable(Common_SourceData.Common_SourceData_MCFTemperatureZone_Data(),Table_SourceData_Common_MCFTemperatureZone[[#Headers],[Temperature zone]],0)</f>
        <v>0.76</v>
      </c>
      <c r="G239" s="38" cm="1">
        <f t="array" ref="G239">Common_InputFunctions.Utility_DisplayArrayInTable(Common_SourceData.Common_SourceData_MCFTemperatureZone_Data(),Table_SourceData_Common_MCFTemperatureZone[[#Headers],[Temperature zone]],0)</f>
        <v>0.1</v>
      </c>
      <c r="H239" s="38" cm="1">
        <f t="array" ref="H239">Common_InputFunctions.Utility_DisplayArrayInTable(Common_SourceData.Common_SourceData_MCFTemperatureZone_Data(),Table_SourceData_Common_MCFTemperatureZone[[#Headers],[Temperature zone]],0)</f>
        <v>0.2</v>
      </c>
      <c r="I239" s="38" cm="1">
        <f t="array" ref="I239">Common_InputFunctions.Utility_DisplayArrayInTable(Common_SourceData.Common_SourceData_MCFTemperatureZone_Data(),Table_SourceData_Common_MCFTemperatureZone[[#Headers],[Temperature zone]],0)</f>
        <v>5.0000000000000001E-3</v>
      </c>
      <c r="J239" s="38" cm="1">
        <f t="array" ref="J239">Common_InputFunctions.Utility_DisplayArrayInTable(Common_SourceData.Common_SourceData_MCFTemperatureZone_Data(),Table_SourceData_Common_MCFTemperatureZone[[#Headers],[Temperature zone]],0)</f>
        <v>0.01</v>
      </c>
      <c r="K239" s="38" cm="1">
        <f t="array" ref="K239">Common_InputFunctions.Utility_DisplayArrayInTable(Common_SourceData.Common_SourceData_MCFTemperatureZone_Data(),Table_SourceData_Common_MCFTemperatureZone[[#Headers],[Temperature zone]],0)</f>
        <v>0.02</v>
      </c>
      <c r="L239" s="38" cm="1">
        <f t="array" ref="L239">Common_InputFunctions.Utility_DisplayArrayInTable(Common_SourceData.Common_SourceData_MCFTemperatureZone_Data(),Table_SourceData_Common_MCFTemperatureZone[[#Headers],[Temperature zone]],0)</f>
        <v>0.03</v>
      </c>
      <c r="M239" s="38" cm="1">
        <f t="array" ref="M239">Common_InputFunctions.Utility_DisplayArrayInTable(Common_SourceData.Common_SourceData_MCFTemperatureZone_Data(),Table_SourceData_Common_MCFTemperatureZone[[#Headers],[Temperature zone]],0)</f>
        <v>0.04</v>
      </c>
      <c r="N239" s="38" cm="1">
        <f t="array" ref="N239">Common_InputFunctions.Utility_DisplayArrayInTable(Common_SourceData.Common_SourceData_MCFTemperatureZone_Data(),Table_SourceData_Common_MCFTemperatureZone[[#Headers],[Temperature zone]],0)</f>
        <v>1.4999999999999999E-2</v>
      </c>
      <c r="O239" s="38" cm="1">
        <f t="array" ref="O239">Common_InputFunctions.Utility_DisplayArrayInTable(Common_SourceData.Common_SourceData_MCFTemperatureZone_Data(),Table_SourceData_Common_MCFTemperatureZone[[#Headers],[Temperature zone]],0)</f>
        <v>1.4999999999999999E-2</v>
      </c>
      <c r="P239" s="38" cm="1">
        <f t="array" ref="P239">Common_InputFunctions.Utility_DisplayArrayInTable(Common_SourceData.Common_SourceData_MCFTemperatureZone_Data(),Table_SourceData_Common_MCFTemperatureZone[[#Headers],[Temperature zone]],0)</f>
        <v>0</v>
      </c>
      <c r="Q239" s="38" cm="1">
        <f t="array" ref="Q239">Common_InputFunctions.Utility_DisplayArrayInTable(Common_SourceData.Common_SourceData_MCFTemperatureZone_Data(),Table_SourceData_Common_MCFTemperatureZone[[#Headers],[Temperature zone]],0)</f>
        <v>0</v>
      </c>
      <c r="R239" s="38" cm="1">
        <f t="array" ref="R239">Common_InputFunctions.Utility_DisplayArrayInTable(Common_SourceData.Common_SourceData_MCFTemperatureZone_Data(),Table_SourceData_Common_MCFTemperatureZone[[#Headers],[Temperature zone]],0)</f>
        <v>4.7000000000000002E-3</v>
      </c>
      <c r="S239" s="38"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8" cm="1">
        <f t="array" ref="E240">Common_InputFunctions.Utility_DisplayArrayInTable(Common_SourceData.Common_SourceData_MCFTemperatureZone_Data(),Table_SourceData_Common_MCFTemperatureZone[[#Headers],[Temperature zone]],0)</f>
        <v>18</v>
      </c>
      <c r="F240" s="38" cm="1">
        <f t="array" ref="F240">Common_InputFunctions.Utility_DisplayArrayInTable(Common_SourceData.Common_SourceData_MCFTemperatureZone_Data(),Table_SourceData_Common_MCFTemperatureZone[[#Headers],[Temperature zone]],0)</f>
        <v>0.77</v>
      </c>
      <c r="G240" s="38" cm="1">
        <f t="array" ref="G240">Common_InputFunctions.Utility_DisplayArrayInTable(Common_SourceData.Common_SourceData_MCFTemperatureZone_Data(),Table_SourceData_Common_MCFTemperatureZone[[#Headers],[Temperature zone]],0)</f>
        <v>0.1</v>
      </c>
      <c r="H240" s="38" cm="1">
        <f t="array" ref="H240">Common_InputFunctions.Utility_DisplayArrayInTable(Common_SourceData.Common_SourceData_MCFTemperatureZone_Data(),Table_SourceData_Common_MCFTemperatureZone[[#Headers],[Temperature zone]],0)</f>
        <v>0.22</v>
      </c>
      <c r="I240" s="38" cm="1">
        <f t="array" ref="I240">Common_InputFunctions.Utility_DisplayArrayInTable(Common_SourceData.Common_SourceData_MCFTemperatureZone_Data(),Table_SourceData_Common_MCFTemperatureZone[[#Headers],[Temperature zone]],0)</f>
        <v>5.0000000000000001E-3</v>
      </c>
      <c r="J240" s="38" cm="1">
        <f t="array" ref="J240">Common_InputFunctions.Utility_DisplayArrayInTable(Common_SourceData.Common_SourceData_MCFTemperatureZone_Data(),Table_SourceData_Common_MCFTemperatureZone[[#Headers],[Temperature zone]],0)</f>
        <v>0.01</v>
      </c>
      <c r="K240" s="38" cm="1">
        <f t="array" ref="K240">Common_InputFunctions.Utility_DisplayArrayInTable(Common_SourceData.Common_SourceData_MCFTemperatureZone_Data(),Table_SourceData_Common_MCFTemperatureZone[[#Headers],[Temperature zone]],0)</f>
        <v>0.02</v>
      </c>
      <c r="L240" s="38" cm="1">
        <f t="array" ref="L240">Common_InputFunctions.Utility_DisplayArrayInTable(Common_SourceData.Common_SourceData_MCFTemperatureZone_Data(),Table_SourceData_Common_MCFTemperatureZone[[#Headers],[Temperature zone]],0)</f>
        <v>0.03</v>
      </c>
      <c r="M240" s="38" cm="1">
        <f t="array" ref="M240">Common_InputFunctions.Utility_DisplayArrayInTable(Common_SourceData.Common_SourceData_MCFTemperatureZone_Data(),Table_SourceData_Common_MCFTemperatureZone[[#Headers],[Temperature zone]],0)</f>
        <v>0.04</v>
      </c>
      <c r="N240" s="38" cm="1">
        <f t="array" ref="N240">Common_InputFunctions.Utility_DisplayArrayInTable(Common_SourceData.Common_SourceData_MCFTemperatureZone_Data(),Table_SourceData_Common_MCFTemperatureZone[[#Headers],[Temperature zone]],0)</f>
        <v>1.4999999999999999E-2</v>
      </c>
      <c r="O240" s="38" cm="1">
        <f t="array" ref="O240">Common_InputFunctions.Utility_DisplayArrayInTable(Common_SourceData.Common_SourceData_MCFTemperatureZone_Data(),Table_SourceData_Common_MCFTemperatureZone[[#Headers],[Temperature zone]],0)</f>
        <v>1.4999999999999999E-2</v>
      </c>
      <c r="P240" s="38" cm="1">
        <f t="array" ref="P240">Common_InputFunctions.Utility_DisplayArrayInTable(Common_SourceData.Common_SourceData_MCFTemperatureZone_Data(),Table_SourceData_Common_MCFTemperatureZone[[#Headers],[Temperature zone]],0)</f>
        <v>0</v>
      </c>
      <c r="Q240" s="38" cm="1">
        <f t="array" ref="Q240">Common_InputFunctions.Utility_DisplayArrayInTable(Common_SourceData.Common_SourceData_MCFTemperatureZone_Data(),Table_SourceData_Common_MCFTemperatureZone[[#Headers],[Temperature zone]],0)</f>
        <v>0</v>
      </c>
      <c r="R240" s="38" cm="1">
        <f t="array" ref="R240">Common_InputFunctions.Utility_DisplayArrayInTable(Common_SourceData.Common_SourceData_MCFTemperatureZone_Data(),Table_SourceData_Common_MCFTemperatureZone[[#Headers],[Temperature zone]],0)</f>
        <v>4.7000000000000002E-3</v>
      </c>
      <c r="S240" s="38"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8" cm="1">
        <f t="array" ref="E241">Common_InputFunctions.Utility_DisplayArrayInTable(Common_SourceData.Common_SourceData_MCFTemperatureZone_Data(),Table_SourceData_Common_MCFTemperatureZone[[#Headers],[Temperature zone]],0)</f>
        <v>19</v>
      </c>
      <c r="F241" s="38" cm="1">
        <f t="array" ref="F241">Common_InputFunctions.Utility_DisplayArrayInTable(Common_SourceData.Common_SourceData_MCFTemperatureZone_Data(),Table_SourceData_Common_MCFTemperatureZone[[#Headers],[Temperature zone]],0)</f>
        <v>0.77</v>
      </c>
      <c r="G241" s="38" cm="1">
        <f t="array" ref="G241">Common_InputFunctions.Utility_DisplayArrayInTable(Common_SourceData.Common_SourceData_MCFTemperatureZone_Data(),Table_SourceData_Common_MCFTemperatureZone[[#Headers],[Temperature zone]],0)</f>
        <v>0.1</v>
      </c>
      <c r="H241" s="38" cm="1">
        <f t="array" ref="H241">Common_InputFunctions.Utility_DisplayArrayInTable(Common_SourceData.Common_SourceData_MCFTemperatureZone_Data(),Table_SourceData_Common_MCFTemperatureZone[[#Headers],[Temperature zone]],0)</f>
        <v>0.24</v>
      </c>
      <c r="I241" s="38" cm="1">
        <f t="array" ref="I241">Common_InputFunctions.Utility_DisplayArrayInTable(Common_SourceData.Common_SourceData_MCFTemperatureZone_Data(),Table_SourceData_Common_MCFTemperatureZone[[#Headers],[Temperature zone]],0)</f>
        <v>5.0000000000000001E-3</v>
      </c>
      <c r="J241" s="38" cm="1">
        <f t="array" ref="J241">Common_InputFunctions.Utility_DisplayArrayInTable(Common_SourceData.Common_SourceData_MCFTemperatureZone_Data(),Table_SourceData_Common_MCFTemperatureZone[[#Headers],[Temperature zone]],0)</f>
        <v>0.01</v>
      </c>
      <c r="K241" s="38" cm="1">
        <f t="array" ref="K241">Common_InputFunctions.Utility_DisplayArrayInTable(Common_SourceData.Common_SourceData_MCFTemperatureZone_Data(),Table_SourceData_Common_MCFTemperatureZone[[#Headers],[Temperature zone]],0)</f>
        <v>0.02</v>
      </c>
      <c r="L241" s="38" cm="1">
        <f t="array" ref="L241">Common_InputFunctions.Utility_DisplayArrayInTable(Common_SourceData.Common_SourceData_MCFTemperatureZone_Data(),Table_SourceData_Common_MCFTemperatureZone[[#Headers],[Temperature zone]],0)</f>
        <v>0.03</v>
      </c>
      <c r="M241" s="38" cm="1">
        <f t="array" ref="M241">Common_InputFunctions.Utility_DisplayArrayInTable(Common_SourceData.Common_SourceData_MCFTemperatureZone_Data(),Table_SourceData_Common_MCFTemperatureZone[[#Headers],[Temperature zone]],0)</f>
        <v>0.04</v>
      </c>
      <c r="N241" s="38" cm="1">
        <f t="array" ref="N241">Common_InputFunctions.Utility_DisplayArrayInTable(Common_SourceData.Common_SourceData_MCFTemperatureZone_Data(),Table_SourceData_Common_MCFTemperatureZone[[#Headers],[Temperature zone]],0)</f>
        <v>1.4999999999999999E-2</v>
      </c>
      <c r="O241" s="38" cm="1">
        <f t="array" ref="O241">Common_InputFunctions.Utility_DisplayArrayInTable(Common_SourceData.Common_SourceData_MCFTemperatureZone_Data(),Table_SourceData_Common_MCFTemperatureZone[[#Headers],[Temperature zone]],0)</f>
        <v>1.4999999999999999E-2</v>
      </c>
      <c r="P241" s="38" cm="1">
        <f t="array" ref="P241">Common_InputFunctions.Utility_DisplayArrayInTable(Common_SourceData.Common_SourceData_MCFTemperatureZone_Data(),Table_SourceData_Common_MCFTemperatureZone[[#Headers],[Temperature zone]],0)</f>
        <v>0</v>
      </c>
      <c r="Q241" s="38" cm="1">
        <f t="array" ref="Q241">Common_InputFunctions.Utility_DisplayArrayInTable(Common_SourceData.Common_SourceData_MCFTemperatureZone_Data(),Table_SourceData_Common_MCFTemperatureZone[[#Headers],[Temperature zone]],0)</f>
        <v>0</v>
      </c>
      <c r="R241" s="38" cm="1">
        <f t="array" ref="R241">Common_InputFunctions.Utility_DisplayArrayInTable(Common_SourceData.Common_SourceData_MCFTemperatureZone_Data(),Table_SourceData_Common_MCFTemperatureZone[[#Headers],[Temperature zone]],0)</f>
        <v>4.7000000000000002E-3</v>
      </c>
      <c r="S241" s="38"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8" cm="1">
        <f t="array" ref="E242">Common_InputFunctions.Utility_DisplayArrayInTable(Common_SourceData.Common_SourceData_MCFTemperatureZone_Data(),Table_SourceData_Common_MCFTemperatureZone[[#Headers],[Temperature zone]],0)</f>
        <v>20</v>
      </c>
      <c r="F242" s="38" cm="1">
        <f t="array" ref="F242">Common_InputFunctions.Utility_DisplayArrayInTable(Common_SourceData.Common_SourceData_MCFTemperatureZone_Data(),Table_SourceData_Common_MCFTemperatureZone[[#Headers],[Temperature zone]],0)</f>
        <v>0.78</v>
      </c>
      <c r="G242" s="38" cm="1">
        <f t="array" ref="G242">Common_InputFunctions.Utility_DisplayArrayInTable(Common_SourceData.Common_SourceData_MCFTemperatureZone_Data(),Table_SourceData_Common_MCFTemperatureZone[[#Headers],[Temperature zone]],0)</f>
        <v>0.1</v>
      </c>
      <c r="H242" s="38" cm="1">
        <f t="array" ref="H242">Common_InputFunctions.Utility_DisplayArrayInTable(Common_SourceData.Common_SourceData_MCFTemperatureZone_Data(),Table_SourceData_Common_MCFTemperatureZone[[#Headers],[Temperature zone]],0)</f>
        <v>0.26</v>
      </c>
      <c r="I242" s="38" cm="1">
        <f t="array" ref="I242">Common_InputFunctions.Utility_DisplayArrayInTable(Common_SourceData.Common_SourceData_MCFTemperatureZone_Data(),Table_SourceData_Common_MCFTemperatureZone[[#Headers],[Temperature zone]],0)</f>
        <v>5.0000000000000001E-3</v>
      </c>
      <c r="J242" s="38" cm="1">
        <f t="array" ref="J242">Common_InputFunctions.Utility_DisplayArrayInTable(Common_SourceData.Common_SourceData_MCFTemperatureZone_Data(),Table_SourceData_Common_MCFTemperatureZone[[#Headers],[Temperature zone]],0)</f>
        <v>0.01</v>
      </c>
      <c r="K242" s="38" cm="1">
        <f t="array" ref="K242">Common_InputFunctions.Utility_DisplayArrayInTable(Common_SourceData.Common_SourceData_MCFTemperatureZone_Data(),Table_SourceData_Common_MCFTemperatureZone[[#Headers],[Temperature zone]],0)</f>
        <v>0.02</v>
      </c>
      <c r="L242" s="38" cm="1">
        <f t="array" ref="L242">Common_InputFunctions.Utility_DisplayArrayInTable(Common_SourceData.Common_SourceData_MCFTemperatureZone_Data(),Table_SourceData_Common_MCFTemperatureZone[[#Headers],[Temperature zone]],0)</f>
        <v>0.03</v>
      </c>
      <c r="M242" s="38" cm="1">
        <f t="array" ref="M242">Common_InputFunctions.Utility_DisplayArrayInTable(Common_SourceData.Common_SourceData_MCFTemperatureZone_Data(),Table_SourceData_Common_MCFTemperatureZone[[#Headers],[Temperature zone]],0)</f>
        <v>0.04</v>
      </c>
      <c r="N242" s="38" cm="1">
        <f t="array" ref="N242">Common_InputFunctions.Utility_DisplayArrayInTable(Common_SourceData.Common_SourceData_MCFTemperatureZone_Data(),Table_SourceData_Common_MCFTemperatureZone[[#Headers],[Temperature zone]],0)</f>
        <v>1.4999999999999999E-2</v>
      </c>
      <c r="O242" s="38" cm="1">
        <f t="array" ref="O242">Common_InputFunctions.Utility_DisplayArrayInTable(Common_SourceData.Common_SourceData_MCFTemperatureZone_Data(),Table_SourceData_Common_MCFTemperatureZone[[#Headers],[Temperature zone]],0)</f>
        <v>1.4999999999999999E-2</v>
      </c>
      <c r="P242" s="38" cm="1">
        <f t="array" ref="P242">Common_InputFunctions.Utility_DisplayArrayInTable(Common_SourceData.Common_SourceData_MCFTemperatureZone_Data(),Table_SourceData_Common_MCFTemperatureZone[[#Headers],[Temperature zone]],0)</f>
        <v>0</v>
      </c>
      <c r="Q242" s="38" cm="1">
        <f t="array" ref="Q242">Common_InputFunctions.Utility_DisplayArrayInTable(Common_SourceData.Common_SourceData_MCFTemperatureZone_Data(),Table_SourceData_Common_MCFTemperatureZone[[#Headers],[Temperature zone]],0)</f>
        <v>0</v>
      </c>
      <c r="R242" s="38" cm="1">
        <f t="array" ref="R242">Common_InputFunctions.Utility_DisplayArrayInTable(Common_SourceData.Common_SourceData_MCFTemperatureZone_Data(),Table_SourceData_Common_MCFTemperatureZone[[#Headers],[Temperature zone]],0)</f>
        <v>4.7000000000000002E-3</v>
      </c>
      <c r="S242" s="38"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8" cm="1">
        <f t="array" ref="E243">Common_InputFunctions.Utility_DisplayArrayInTable(Common_SourceData.Common_SourceData_MCFTemperatureZone_Data(),Table_SourceData_Common_MCFTemperatureZone[[#Headers],[Temperature zone]],0)</f>
        <v>21</v>
      </c>
      <c r="F243" s="38" cm="1">
        <f t="array" ref="F243">Common_InputFunctions.Utility_DisplayArrayInTable(Common_SourceData.Common_SourceData_MCFTemperatureZone_Data(),Table_SourceData_Common_MCFTemperatureZone[[#Headers],[Temperature zone]],0)</f>
        <v>0.78</v>
      </c>
      <c r="G243" s="38" cm="1">
        <f t="array" ref="G243">Common_InputFunctions.Utility_DisplayArrayInTable(Common_SourceData.Common_SourceData_MCFTemperatureZone_Data(),Table_SourceData_Common_MCFTemperatureZone[[#Headers],[Temperature zone]],0)</f>
        <v>0.1</v>
      </c>
      <c r="H243" s="38" cm="1">
        <f t="array" ref="H243">Common_InputFunctions.Utility_DisplayArrayInTable(Common_SourceData.Common_SourceData_MCFTemperatureZone_Data(),Table_SourceData_Common_MCFTemperatureZone[[#Headers],[Temperature zone]],0)</f>
        <v>0.28999999999999998</v>
      </c>
      <c r="I243" s="38" cm="1">
        <f t="array" ref="I243">Common_InputFunctions.Utility_DisplayArrayInTable(Common_SourceData.Common_SourceData_MCFTemperatureZone_Data(),Table_SourceData_Common_MCFTemperatureZone[[#Headers],[Temperature zone]],0)</f>
        <v>5.0000000000000001E-3</v>
      </c>
      <c r="J243" s="38" cm="1">
        <f t="array" ref="J243">Common_InputFunctions.Utility_DisplayArrayInTable(Common_SourceData.Common_SourceData_MCFTemperatureZone_Data(),Table_SourceData_Common_MCFTemperatureZone[[#Headers],[Temperature zone]],0)</f>
        <v>0.01</v>
      </c>
      <c r="K243" s="38" cm="1">
        <f t="array" ref="K243">Common_InputFunctions.Utility_DisplayArrayInTable(Common_SourceData.Common_SourceData_MCFTemperatureZone_Data(),Table_SourceData_Common_MCFTemperatureZone[[#Headers],[Temperature zone]],0)</f>
        <v>0.02</v>
      </c>
      <c r="L243" s="38" cm="1">
        <f t="array" ref="L243">Common_InputFunctions.Utility_DisplayArrayInTable(Common_SourceData.Common_SourceData_MCFTemperatureZone_Data(),Table_SourceData_Common_MCFTemperatureZone[[#Headers],[Temperature zone]],0)</f>
        <v>0.03</v>
      </c>
      <c r="M243" s="38" cm="1">
        <f t="array" ref="M243">Common_InputFunctions.Utility_DisplayArrayInTable(Common_SourceData.Common_SourceData_MCFTemperatureZone_Data(),Table_SourceData_Common_MCFTemperatureZone[[#Headers],[Temperature zone]],0)</f>
        <v>0.04</v>
      </c>
      <c r="N243" s="38" cm="1">
        <f t="array" ref="N243">Common_InputFunctions.Utility_DisplayArrayInTable(Common_SourceData.Common_SourceData_MCFTemperatureZone_Data(),Table_SourceData_Common_MCFTemperatureZone[[#Headers],[Temperature zone]],0)</f>
        <v>1.4999999999999999E-2</v>
      </c>
      <c r="O243" s="38" cm="1">
        <f t="array" ref="O243">Common_InputFunctions.Utility_DisplayArrayInTable(Common_SourceData.Common_SourceData_MCFTemperatureZone_Data(),Table_SourceData_Common_MCFTemperatureZone[[#Headers],[Temperature zone]],0)</f>
        <v>1.4999999999999999E-2</v>
      </c>
      <c r="P243" s="38" cm="1">
        <f t="array" ref="P243">Common_InputFunctions.Utility_DisplayArrayInTable(Common_SourceData.Common_SourceData_MCFTemperatureZone_Data(),Table_SourceData_Common_MCFTemperatureZone[[#Headers],[Temperature zone]],0)</f>
        <v>0</v>
      </c>
      <c r="Q243" s="38" cm="1">
        <f t="array" ref="Q243">Common_InputFunctions.Utility_DisplayArrayInTable(Common_SourceData.Common_SourceData_MCFTemperatureZone_Data(),Table_SourceData_Common_MCFTemperatureZone[[#Headers],[Temperature zone]],0)</f>
        <v>0</v>
      </c>
      <c r="R243" s="38" cm="1">
        <f t="array" ref="R243">Common_InputFunctions.Utility_DisplayArrayInTable(Common_SourceData.Common_SourceData_MCFTemperatureZone_Data(),Table_SourceData_Common_MCFTemperatureZone[[#Headers],[Temperature zone]],0)</f>
        <v>4.7000000000000002E-3</v>
      </c>
      <c r="S243" s="38"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8" cm="1">
        <f t="array" ref="E244">Common_InputFunctions.Utility_DisplayArrayInTable(Common_SourceData.Common_SourceData_MCFTemperatureZone_Data(),Table_SourceData_Common_MCFTemperatureZone[[#Headers],[Temperature zone]],0)</f>
        <v>22</v>
      </c>
      <c r="F244" s="38" cm="1">
        <f t="array" ref="F244">Common_InputFunctions.Utility_DisplayArrayInTable(Common_SourceData.Common_SourceData_MCFTemperatureZone_Data(),Table_SourceData_Common_MCFTemperatureZone[[#Headers],[Temperature zone]],0)</f>
        <v>0.78</v>
      </c>
      <c r="G244" s="38" cm="1">
        <f t="array" ref="G244">Common_InputFunctions.Utility_DisplayArrayInTable(Common_SourceData.Common_SourceData_MCFTemperatureZone_Data(),Table_SourceData_Common_MCFTemperatureZone[[#Headers],[Temperature zone]],0)</f>
        <v>0.1</v>
      </c>
      <c r="H244" s="38" cm="1">
        <f t="array" ref="H244">Common_InputFunctions.Utility_DisplayArrayInTable(Common_SourceData.Common_SourceData_MCFTemperatureZone_Data(),Table_SourceData_Common_MCFTemperatureZone[[#Headers],[Temperature zone]],0)</f>
        <v>0.31</v>
      </c>
      <c r="I244" s="38" cm="1">
        <f t="array" ref="I244">Common_InputFunctions.Utility_DisplayArrayInTable(Common_SourceData.Common_SourceData_MCFTemperatureZone_Data(),Table_SourceData_Common_MCFTemperatureZone[[#Headers],[Temperature zone]],0)</f>
        <v>5.0000000000000001E-3</v>
      </c>
      <c r="J244" s="38" cm="1">
        <f t="array" ref="J244">Common_InputFunctions.Utility_DisplayArrayInTable(Common_SourceData.Common_SourceData_MCFTemperatureZone_Data(),Table_SourceData_Common_MCFTemperatureZone[[#Headers],[Temperature zone]],0)</f>
        <v>0.01</v>
      </c>
      <c r="K244" s="38" cm="1">
        <f t="array" ref="K244">Common_InputFunctions.Utility_DisplayArrayInTable(Common_SourceData.Common_SourceData_MCFTemperatureZone_Data(),Table_SourceData_Common_MCFTemperatureZone[[#Headers],[Temperature zone]],0)</f>
        <v>0.02</v>
      </c>
      <c r="L244" s="38" cm="1">
        <f t="array" ref="L244">Common_InputFunctions.Utility_DisplayArrayInTable(Common_SourceData.Common_SourceData_MCFTemperatureZone_Data(),Table_SourceData_Common_MCFTemperatureZone[[#Headers],[Temperature zone]],0)</f>
        <v>0.03</v>
      </c>
      <c r="M244" s="38" cm="1">
        <f t="array" ref="M244">Common_InputFunctions.Utility_DisplayArrayInTable(Common_SourceData.Common_SourceData_MCFTemperatureZone_Data(),Table_SourceData_Common_MCFTemperatureZone[[#Headers],[Temperature zone]],0)</f>
        <v>0.04</v>
      </c>
      <c r="N244" s="38" cm="1">
        <f t="array" ref="N244">Common_InputFunctions.Utility_DisplayArrayInTable(Common_SourceData.Common_SourceData_MCFTemperatureZone_Data(),Table_SourceData_Common_MCFTemperatureZone[[#Headers],[Temperature zone]],0)</f>
        <v>1.4999999999999999E-2</v>
      </c>
      <c r="O244" s="38" cm="1">
        <f t="array" ref="O244">Common_InputFunctions.Utility_DisplayArrayInTable(Common_SourceData.Common_SourceData_MCFTemperatureZone_Data(),Table_SourceData_Common_MCFTemperatureZone[[#Headers],[Temperature zone]],0)</f>
        <v>1.4999999999999999E-2</v>
      </c>
      <c r="P244" s="38" cm="1">
        <f t="array" ref="P244">Common_InputFunctions.Utility_DisplayArrayInTable(Common_SourceData.Common_SourceData_MCFTemperatureZone_Data(),Table_SourceData_Common_MCFTemperatureZone[[#Headers],[Temperature zone]],0)</f>
        <v>0</v>
      </c>
      <c r="Q244" s="38" cm="1">
        <f t="array" ref="Q244">Common_InputFunctions.Utility_DisplayArrayInTable(Common_SourceData.Common_SourceData_MCFTemperatureZone_Data(),Table_SourceData_Common_MCFTemperatureZone[[#Headers],[Temperature zone]],0)</f>
        <v>0</v>
      </c>
      <c r="R244" s="38" cm="1">
        <f t="array" ref="R244">Common_InputFunctions.Utility_DisplayArrayInTable(Common_SourceData.Common_SourceData_MCFTemperatureZone_Data(),Table_SourceData_Common_MCFTemperatureZone[[#Headers],[Temperature zone]],0)</f>
        <v>4.7000000000000002E-3</v>
      </c>
      <c r="S244" s="38"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8" cm="1">
        <f t="array" ref="E245">Common_InputFunctions.Utility_DisplayArrayInTable(Common_SourceData.Common_SourceData_MCFTemperatureZone_Data(),Table_SourceData_Common_MCFTemperatureZone[[#Headers],[Temperature zone]],0)</f>
        <v>23</v>
      </c>
      <c r="F245" s="38" cm="1">
        <f t="array" ref="F245">Common_InputFunctions.Utility_DisplayArrayInTable(Common_SourceData.Common_SourceData_MCFTemperatureZone_Data(),Table_SourceData_Common_MCFTemperatureZone[[#Headers],[Temperature zone]],0)</f>
        <v>0.79</v>
      </c>
      <c r="G245" s="38" cm="1">
        <f t="array" ref="G245">Common_InputFunctions.Utility_DisplayArrayInTable(Common_SourceData.Common_SourceData_MCFTemperatureZone_Data(),Table_SourceData_Common_MCFTemperatureZone[[#Headers],[Temperature zone]],0)</f>
        <v>0.1</v>
      </c>
      <c r="H245" s="38" cm="1">
        <f t="array" ref="H245">Common_InputFunctions.Utility_DisplayArrayInTable(Common_SourceData.Common_SourceData_MCFTemperatureZone_Data(),Table_SourceData_Common_MCFTemperatureZone[[#Headers],[Temperature zone]],0)</f>
        <v>0.34</v>
      </c>
      <c r="I245" s="38" cm="1">
        <f t="array" ref="I245">Common_InputFunctions.Utility_DisplayArrayInTable(Common_SourceData.Common_SourceData_MCFTemperatureZone_Data(),Table_SourceData_Common_MCFTemperatureZone[[#Headers],[Temperature zone]],0)</f>
        <v>5.0000000000000001E-3</v>
      </c>
      <c r="J245" s="38" cm="1">
        <f t="array" ref="J245">Common_InputFunctions.Utility_DisplayArrayInTable(Common_SourceData.Common_SourceData_MCFTemperatureZone_Data(),Table_SourceData_Common_MCFTemperatureZone[[#Headers],[Temperature zone]],0)</f>
        <v>0.01</v>
      </c>
      <c r="K245" s="38" cm="1">
        <f t="array" ref="K245">Common_InputFunctions.Utility_DisplayArrayInTable(Common_SourceData.Common_SourceData_MCFTemperatureZone_Data(),Table_SourceData_Common_MCFTemperatureZone[[#Headers],[Temperature zone]],0)</f>
        <v>0.02</v>
      </c>
      <c r="L245" s="38" cm="1">
        <f t="array" ref="L245">Common_InputFunctions.Utility_DisplayArrayInTable(Common_SourceData.Common_SourceData_MCFTemperatureZone_Data(),Table_SourceData_Common_MCFTemperatureZone[[#Headers],[Temperature zone]],0)</f>
        <v>0.03</v>
      </c>
      <c r="M245" s="38" cm="1">
        <f t="array" ref="M245">Common_InputFunctions.Utility_DisplayArrayInTable(Common_SourceData.Common_SourceData_MCFTemperatureZone_Data(),Table_SourceData_Common_MCFTemperatureZone[[#Headers],[Temperature zone]],0)</f>
        <v>0.04</v>
      </c>
      <c r="N245" s="38" cm="1">
        <f t="array" ref="N245">Common_InputFunctions.Utility_DisplayArrayInTable(Common_SourceData.Common_SourceData_MCFTemperatureZone_Data(),Table_SourceData_Common_MCFTemperatureZone[[#Headers],[Temperature zone]],0)</f>
        <v>1.4999999999999999E-2</v>
      </c>
      <c r="O245" s="38" cm="1">
        <f t="array" ref="O245">Common_InputFunctions.Utility_DisplayArrayInTable(Common_SourceData.Common_SourceData_MCFTemperatureZone_Data(),Table_SourceData_Common_MCFTemperatureZone[[#Headers],[Temperature zone]],0)</f>
        <v>1.4999999999999999E-2</v>
      </c>
      <c r="P245" s="38" cm="1">
        <f t="array" ref="P245">Common_InputFunctions.Utility_DisplayArrayInTable(Common_SourceData.Common_SourceData_MCFTemperatureZone_Data(),Table_SourceData_Common_MCFTemperatureZone[[#Headers],[Temperature zone]],0)</f>
        <v>0</v>
      </c>
      <c r="Q245" s="38" cm="1">
        <f t="array" ref="Q245">Common_InputFunctions.Utility_DisplayArrayInTable(Common_SourceData.Common_SourceData_MCFTemperatureZone_Data(),Table_SourceData_Common_MCFTemperatureZone[[#Headers],[Temperature zone]],0)</f>
        <v>0</v>
      </c>
      <c r="R245" s="38" cm="1">
        <f t="array" ref="R245">Common_InputFunctions.Utility_DisplayArrayInTable(Common_SourceData.Common_SourceData_MCFTemperatureZone_Data(),Table_SourceData_Common_MCFTemperatureZone[[#Headers],[Temperature zone]],0)</f>
        <v>4.7000000000000002E-3</v>
      </c>
      <c r="S245" s="38"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8" cm="1">
        <f t="array" ref="E246">Common_InputFunctions.Utility_DisplayArrayInTable(Common_SourceData.Common_SourceData_MCFTemperatureZone_Data(),Table_SourceData_Common_MCFTemperatureZone[[#Headers],[Temperature zone]],0)</f>
        <v>24</v>
      </c>
      <c r="F246" s="38" cm="1">
        <f t="array" ref="F246">Common_InputFunctions.Utility_DisplayArrayInTable(Common_SourceData.Common_SourceData_MCFTemperatureZone_Data(),Table_SourceData_Common_MCFTemperatureZone[[#Headers],[Temperature zone]],0)</f>
        <v>0.79</v>
      </c>
      <c r="G246" s="38" cm="1">
        <f t="array" ref="G246">Common_InputFunctions.Utility_DisplayArrayInTable(Common_SourceData.Common_SourceData_MCFTemperatureZone_Data(),Table_SourceData_Common_MCFTemperatureZone[[#Headers],[Temperature zone]],0)</f>
        <v>0.1</v>
      </c>
      <c r="H246" s="38" cm="1">
        <f t="array" ref="H246">Common_InputFunctions.Utility_DisplayArrayInTable(Common_SourceData.Common_SourceData_MCFTemperatureZone_Data(),Table_SourceData_Common_MCFTemperatureZone[[#Headers],[Temperature zone]],0)</f>
        <v>0.37</v>
      </c>
      <c r="I246" s="38" cm="1">
        <f t="array" ref="I246">Common_InputFunctions.Utility_DisplayArrayInTable(Common_SourceData.Common_SourceData_MCFTemperatureZone_Data(),Table_SourceData_Common_MCFTemperatureZone[[#Headers],[Temperature zone]],0)</f>
        <v>5.0000000000000001E-3</v>
      </c>
      <c r="J246" s="38" cm="1">
        <f t="array" ref="J246">Common_InputFunctions.Utility_DisplayArrayInTable(Common_SourceData.Common_SourceData_MCFTemperatureZone_Data(),Table_SourceData_Common_MCFTemperatureZone[[#Headers],[Temperature zone]],0)</f>
        <v>0.01</v>
      </c>
      <c r="K246" s="38" cm="1">
        <f t="array" ref="K246">Common_InputFunctions.Utility_DisplayArrayInTable(Common_SourceData.Common_SourceData_MCFTemperatureZone_Data(),Table_SourceData_Common_MCFTemperatureZone[[#Headers],[Temperature zone]],0)</f>
        <v>0.02</v>
      </c>
      <c r="L246" s="38" cm="1">
        <f t="array" ref="L246">Common_InputFunctions.Utility_DisplayArrayInTable(Common_SourceData.Common_SourceData_MCFTemperatureZone_Data(),Table_SourceData_Common_MCFTemperatureZone[[#Headers],[Temperature zone]],0)</f>
        <v>0.03</v>
      </c>
      <c r="M246" s="38" cm="1">
        <f t="array" ref="M246">Common_InputFunctions.Utility_DisplayArrayInTable(Common_SourceData.Common_SourceData_MCFTemperatureZone_Data(),Table_SourceData_Common_MCFTemperatureZone[[#Headers],[Temperature zone]],0)</f>
        <v>0.04</v>
      </c>
      <c r="N246" s="38" cm="1">
        <f t="array" ref="N246">Common_InputFunctions.Utility_DisplayArrayInTable(Common_SourceData.Common_SourceData_MCFTemperatureZone_Data(),Table_SourceData_Common_MCFTemperatureZone[[#Headers],[Temperature zone]],0)</f>
        <v>1.4999999999999999E-2</v>
      </c>
      <c r="O246" s="38" cm="1">
        <f t="array" ref="O246">Common_InputFunctions.Utility_DisplayArrayInTable(Common_SourceData.Common_SourceData_MCFTemperatureZone_Data(),Table_SourceData_Common_MCFTemperatureZone[[#Headers],[Temperature zone]],0)</f>
        <v>1.4999999999999999E-2</v>
      </c>
      <c r="P246" s="38" cm="1">
        <f t="array" ref="P246">Common_InputFunctions.Utility_DisplayArrayInTable(Common_SourceData.Common_SourceData_MCFTemperatureZone_Data(),Table_SourceData_Common_MCFTemperatureZone[[#Headers],[Temperature zone]],0)</f>
        <v>0</v>
      </c>
      <c r="Q246" s="38" cm="1">
        <f t="array" ref="Q246">Common_InputFunctions.Utility_DisplayArrayInTable(Common_SourceData.Common_SourceData_MCFTemperatureZone_Data(),Table_SourceData_Common_MCFTemperatureZone[[#Headers],[Temperature zone]],0)</f>
        <v>0</v>
      </c>
      <c r="R246" s="38" cm="1">
        <f t="array" ref="R246">Common_InputFunctions.Utility_DisplayArrayInTable(Common_SourceData.Common_SourceData_MCFTemperatureZone_Data(),Table_SourceData_Common_MCFTemperatureZone[[#Headers],[Temperature zone]],0)</f>
        <v>4.7000000000000002E-3</v>
      </c>
      <c r="S246" s="38"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8" cm="1">
        <f t="array" ref="E247">Common_InputFunctions.Utility_DisplayArrayInTable(Common_SourceData.Common_SourceData_MCFTemperatureZone_Data(),Table_SourceData_Common_MCFTemperatureZone[[#Headers],[Temperature zone]],0)</f>
        <v>25</v>
      </c>
      <c r="F247" s="38" cm="1">
        <f t="array" ref="F247">Common_InputFunctions.Utility_DisplayArrayInTable(Common_SourceData.Common_SourceData_MCFTemperatureZone_Data(),Table_SourceData_Common_MCFTemperatureZone[[#Headers],[Temperature zone]],0)</f>
        <v>0.79</v>
      </c>
      <c r="G247" s="38" cm="1">
        <f t="array" ref="G247">Common_InputFunctions.Utility_DisplayArrayInTable(Common_SourceData.Common_SourceData_MCFTemperatureZone_Data(),Table_SourceData_Common_MCFTemperatureZone[[#Headers],[Temperature zone]],0)</f>
        <v>0.1</v>
      </c>
      <c r="H247" s="38" cm="1">
        <f t="array" ref="H247">Common_InputFunctions.Utility_DisplayArrayInTable(Common_SourceData.Common_SourceData_MCFTemperatureZone_Data(),Table_SourceData_Common_MCFTemperatureZone[[#Headers],[Temperature zone]],0)</f>
        <v>0.41</v>
      </c>
      <c r="I247" s="38" cm="1">
        <f t="array" ref="I247">Common_InputFunctions.Utility_DisplayArrayInTable(Common_SourceData.Common_SourceData_MCFTemperatureZone_Data(),Table_SourceData_Common_MCFTemperatureZone[[#Headers],[Temperature zone]],0)</f>
        <v>5.0000000000000001E-3</v>
      </c>
      <c r="J247" s="38" cm="1">
        <f t="array" ref="J247">Common_InputFunctions.Utility_DisplayArrayInTable(Common_SourceData.Common_SourceData_MCFTemperatureZone_Data(),Table_SourceData_Common_MCFTemperatureZone[[#Headers],[Temperature zone]],0)</f>
        <v>0.01</v>
      </c>
      <c r="K247" s="38" cm="1">
        <f t="array" ref="K247">Common_InputFunctions.Utility_DisplayArrayInTable(Common_SourceData.Common_SourceData_MCFTemperatureZone_Data(),Table_SourceData_Common_MCFTemperatureZone[[#Headers],[Temperature zone]],0)</f>
        <v>0.02</v>
      </c>
      <c r="L247" s="38" cm="1">
        <f t="array" ref="L247">Common_InputFunctions.Utility_DisplayArrayInTable(Common_SourceData.Common_SourceData_MCFTemperatureZone_Data(),Table_SourceData_Common_MCFTemperatureZone[[#Headers],[Temperature zone]],0)</f>
        <v>0.03</v>
      </c>
      <c r="M247" s="38" cm="1">
        <f t="array" ref="M247">Common_InputFunctions.Utility_DisplayArrayInTable(Common_SourceData.Common_SourceData_MCFTemperatureZone_Data(),Table_SourceData_Common_MCFTemperatureZone[[#Headers],[Temperature zone]],0)</f>
        <v>0.04</v>
      </c>
      <c r="N247" s="38" cm="1">
        <f t="array" ref="N247">Common_InputFunctions.Utility_DisplayArrayInTable(Common_SourceData.Common_SourceData_MCFTemperatureZone_Data(),Table_SourceData_Common_MCFTemperatureZone[[#Headers],[Temperature zone]],0)</f>
        <v>1.4999999999999999E-2</v>
      </c>
      <c r="O247" s="38" cm="1">
        <f t="array" ref="O247">Common_InputFunctions.Utility_DisplayArrayInTable(Common_SourceData.Common_SourceData_MCFTemperatureZone_Data(),Table_SourceData_Common_MCFTemperatureZone[[#Headers],[Temperature zone]],0)</f>
        <v>1.4999999999999999E-2</v>
      </c>
      <c r="P247" s="38" cm="1">
        <f t="array" ref="P247">Common_InputFunctions.Utility_DisplayArrayInTable(Common_SourceData.Common_SourceData_MCFTemperatureZone_Data(),Table_SourceData_Common_MCFTemperatureZone[[#Headers],[Temperature zone]],0)</f>
        <v>0</v>
      </c>
      <c r="Q247" s="38" cm="1">
        <f t="array" ref="Q247">Common_InputFunctions.Utility_DisplayArrayInTable(Common_SourceData.Common_SourceData_MCFTemperatureZone_Data(),Table_SourceData_Common_MCFTemperatureZone[[#Headers],[Temperature zone]],0)</f>
        <v>0</v>
      </c>
      <c r="R247" s="38" cm="1">
        <f t="array" ref="R247">Common_InputFunctions.Utility_DisplayArrayInTable(Common_SourceData.Common_SourceData_MCFTemperatureZone_Data(),Table_SourceData_Common_MCFTemperatureZone[[#Headers],[Temperature zone]],0)</f>
        <v>4.7000000000000002E-3</v>
      </c>
      <c r="S247" s="38"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8" cm="1">
        <f t="array" ref="E248">Common_InputFunctions.Utility_DisplayArrayInTable(Common_SourceData.Common_SourceData_MCFTemperatureZone_Data(),Table_SourceData_Common_MCFTemperatureZone[[#Headers],[Temperature zone]],0)</f>
        <v>26</v>
      </c>
      <c r="F248" s="38" cm="1">
        <f t="array" ref="F248">Common_InputFunctions.Utility_DisplayArrayInTable(Common_SourceData.Common_SourceData_MCFTemperatureZone_Data(),Table_SourceData_Common_MCFTemperatureZone[[#Headers],[Temperature zone]],0)</f>
        <v>0.79</v>
      </c>
      <c r="G248" s="38" cm="1">
        <f t="array" ref="G248">Common_InputFunctions.Utility_DisplayArrayInTable(Common_SourceData.Common_SourceData_MCFTemperatureZone_Data(),Table_SourceData_Common_MCFTemperatureZone[[#Headers],[Temperature zone]],0)</f>
        <v>0.1</v>
      </c>
      <c r="H248" s="38" cm="1">
        <f t="array" ref="H248">Common_InputFunctions.Utility_DisplayArrayInTable(Common_SourceData.Common_SourceData_MCFTemperatureZone_Data(),Table_SourceData_Common_MCFTemperatureZone[[#Headers],[Temperature zone]],0)</f>
        <v>0.44</v>
      </c>
      <c r="I248" s="38" cm="1">
        <f t="array" ref="I248">Common_InputFunctions.Utility_DisplayArrayInTable(Common_SourceData.Common_SourceData_MCFTemperatureZone_Data(),Table_SourceData_Common_MCFTemperatureZone[[#Headers],[Temperature zone]],0)</f>
        <v>0.01</v>
      </c>
      <c r="J248" s="38" cm="1">
        <f t="array" ref="J248">Common_InputFunctions.Utility_DisplayArrayInTable(Common_SourceData.Common_SourceData_MCFTemperatureZone_Data(),Table_SourceData_Common_MCFTemperatureZone[[#Headers],[Temperature zone]],0)</f>
        <v>1.4999999999999999E-2</v>
      </c>
      <c r="K248" s="38" cm="1">
        <f t="array" ref="K248">Common_InputFunctions.Utility_DisplayArrayInTable(Common_SourceData.Common_SourceData_MCFTemperatureZone_Data(),Table_SourceData_Common_MCFTemperatureZone[[#Headers],[Temperature zone]],0)</f>
        <v>0.02</v>
      </c>
      <c r="L248" s="38" cm="1">
        <f t="array" ref="L248">Common_InputFunctions.Utility_DisplayArrayInTable(Common_SourceData.Common_SourceData_MCFTemperatureZone_Data(),Table_SourceData_Common_MCFTemperatureZone[[#Headers],[Temperature zone]],0)</f>
        <v>0.03</v>
      </c>
      <c r="M248" s="38" cm="1">
        <f t="array" ref="M248">Common_InputFunctions.Utility_DisplayArrayInTable(Common_SourceData.Common_SourceData_MCFTemperatureZone_Data(),Table_SourceData_Common_MCFTemperatureZone[[#Headers],[Temperature zone]],0)</f>
        <v>0.04</v>
      </c>
      <c r="N248" s="38" cm="1">
        <f t="array" ref="N248">Common_InputFunctions.Utility_DisplayArrayInTable(Common_SourceData.Common_SourceData_MCFTemperatureZone_Data(),Table_SourceData_Common_MCFTemperatureZone[[#Headers],[Temperature zone]],0)</f>
        <v>1.4999999999999999E-2</v>
      </c>
      <c r="O248" s="38" cm="1">
        <f t="array" ref="O248">Common_InputFunctions.Utility_DisplayArrayInTable(Common_SourceData.Common_SourceData_MCFTemperatureZone_Data(),Table_SourceData_Common_MCFTemperatureZone[[#Headers],[Temperature zone]],0)</f>
        <v>1.4999999999999999E-2</v>
      </c>
      <c r="P248" s="38" cm="1">
        <f t="array" ref="P248">Common_InputFunctions.Utility_DisplayArrayInTable(Common_SourceData.Common_SourceData_MCFTemperatureZone_Data(),Table_SourceData_Common_MCFTemperatureZone[[#Headers],[Temperature zone]],0)</f>
        <v>0</v>
      </c>
      <c r="Q248" s="38" cm="1">
        <f t="array" ref="Q248">Common_InputFunctions.Utility_DisplayArrayInTable(Common_SourceData.Common_SourceData_MCFTemperatureZone_Data(),Table_SourceData_Common_MCFTemperatureZone[[#Headers],[Temperature zone]],0)</f>
        <v>0</v>
      </c>
      <c r="R248" s="38" cm="1">
        <f t="array" ref="R248">Common_InputFunctions.Utility_DisplayArrayInTable(Common_SourceData.Common_SourceData_MCFTemperatureZone_Data(),Table_SourceData_Common_MCFTemperatureZone[[#Headers],[Temperature zone]],0)</f>
        <v>4.7000000000000002E-3</v>
      </c>
      <c r="S248" s="38"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8" cm="1">
        <f t="array" ref="E249">Common_InputFunctions.Utility_DisplayArrayInTable(Common_SourceData.Common_SourceData_MCFTemperatureZone_Data(),Table_SourceData_Common_MCFTemperatureZone[[#Headers],[Temperature zone]],0)</f>
        <v>27</v>
      </c>
      <c r="F249" s="38" cm="1">
        <f t="array" ref="F249">Common_InputFunctions.Utility_DisplayArrayInTable(Common_SourceData.Common_SourceData_MCFTemperatureZone_Data(),Table_SourceData_Common_MCFTemperatureZone[[#Headers],[Temperature zone]],0)</f>
        <v>0.8</v>
      </c>
      <c r="G249" s="38" cm="1">
        <f t="array" ref="G249">Common_InputFunctions.Utility_DisplayArrayInTable(Common_SourceData.Common_SourceData_MCFTemperatureZone_Data(),Table_SourceData_Common_MCFTemperatureZone[[#Headers],[Temperature zone]],0)</f>
        <v>0.1</v>
      </c>
      <c r="H249" s="38" cm="1">
        <f t="array" ref="H249">Common_InputFunctions.Utility_DisplayArrayInTable(Common_SourceData.Common_SourceData_MCFTemperatureZone_Data(),Table_SourceData_Common_MCFTemperatureZone[[#Headers],[Temperature zone]],0)</f>
        <v>0.48</v>
      </c>
      <c r="I249" s="38" cm="1">
        <f t="array" ref="I249">Common_InputFunctions.Utility_DisplayArrayInTable(Common_SourceData.Common_SourceData_MCFTemperatureZone_Data(),Table_SourceData_Common_MCFTemperatureZone[[#Headers],[Temperature zone]],0)</f>
        <v>0.01</v>
      </c>
      <c r="J249" s="38" cm="1">
        <f t="array" ref="J249">Common_InputFunctions.Utility_DisplayArrayInTable(Common_SourceData.Common_SourceData_MCFTemperatureZone_Data(),Table_SourceData_Common_MCFTemperatureZone[[#Headers],[Temperature zone]],0)</f>
        <v>1.4999999999999999E-2</v>
      </c>
      <c r="K249" s="38" cm="1">
        <f t="array" ref="K249">Common_InputFunctions.Utility_DisplayArrayInTable(Common_SourceData.Common_SourceData_MCFTemperatureZone_Data(),Table_SourceData_Common_MCFTemperatureZone[[#Headers],[Temperature zone]],0)</f>
        <v>0.02</v>
      </c>
      <c r="L249" s="38" cm="1">
        <f t="array" ref="L249">Common_InputFunctions.Utility_DisplayArrayInTable(Common_SourceData.Common_SourceData_MCFTemperatureZone_Data(),Table_SourceData_Common_MCFTemperatureZone[[#Headers],[Temperature zone]],0)</f>
        <v>0.03</v>
      </c>
      <c r="M249" s="38" cm="1">
        <f t="array" ref="M249">Common_InputFunctions.Utility_DisplayArrayInTable(Common_SourceData.Common_SourceData_MCFTemperatureZone_Data(),Table_SourceData_Common_MCFTemperatureZone[[#Headers],[Temperature zone]],0)</f>
        <v>0.04</v>
      </c>
      <c r="N249" s="38" cm="1">
        <f t="array" ref="N249">Common_InputFunctions.Utility_DisplayArrayInTable(Common_SourceData.Common_SourceData_MCFTemperatureZone_Data(),Table_SourceData_Common_MCFTemperatureZone[[#Headers],[Temperature zone]],0)</f>
        <v>1.4999999999999999E-2</v>
      </c>
      <c r="O249" s="38" cm="1">
        <f t="array" ref="O249">Common_InputFunctions.Utility_DisplayArrayInTable(Common_SourceData.Common_SourceData_MCFTemperatureZone_Data(),Table_SourceData_Common_MCFTemperatureZone[[#Headers],[Temperature zone]],0)</f>
        <v>1.4999999999999999E-2</v>
      </c>
      <c r="P249" s="38" cm="1">
        <f t="array" ref="P249">Common_InputFunctions.Utility_DisplayArrayInTable(Common_SourceData.Common_SourceData_MCFTemperatureZone_Data(),Table_SourceData_Common_MCFTemperatureZone[[#Headers],[Temperature zone]],0)</f>
        <v>0</v>
      </c>
      <c r="Q249" s="38" cm="1">
        <f t="array" ref="Q249">Common_InputFunctions.Utility_DisplayArrayInTable(Common_SourceData.Common_SourceData_MCFTemperatureZone_Data(),Table_SourceData_Common_MCFTemperatureZone[[#Headers],[Temperature zone]],0)</f>
        <v>0</v>
      </c>
      <c r="R249" s="38" cm="1">
        <f t="array" ref="R249">Common_InputFunctions.Utility_DisplayArrayInTable(Common_SourceData.Common_SourceData_MCFTemperatureZone_Data(),Table_SourceData_Common_MCFTemperatureZone[[#Headers],[Temperature zone]],0)</f>
        <v>4.7000000000000002E-3</v>
      </c>
      <c r="S249" s="38"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8" t="str" cm="1">
        <f t="array" ref="E250">Common_InputFunctions.Utility_DisplayArrayInTable(Common_SourceData.Common_SourceData_MCFTemperatureZone_Data(),Table_SourceData_Common_MCFTemperatureZone[[#Headers],[Temperature zone]],0)</f>
        <v>≥28</v>
      </c>
      <c r="F250" s="38" cm="1">
        <f t="array" ref="F250">Common_InputFunctions.Utility_DisplayArrayInTable(Common_SourceData.Common_SourceData_MCFTemperatureZone_Data(),Table_SourceData_Common_MCFTemperatureZone[[#Headers],[Temperature zone]],0)</f>
        <v>0.8</v>
      </c>
      <c r="G250" s="38" cm="1">
        <f t="array" ref="G250">Common_InputFunctions.Utility_DisplayArrayInTable(Common_SourceData.Common_SourceData_MCFTemperatureZone_Data(),Table_SourceData_Common_MCFTemperatureZone[[#Headers],[Temperature zone]],0)</f>
        <v>0.1</v>
      </c>
      <c r="H250" s="38" cm="1">
        <f t="array" ref="H250">Common_InputFunctions.Utility_DisplayArrayInTable(Common_SourceData.Common_SourceData_MCFTemperatureZone_Data(),Table_SourceData_Common_MCFTemperatureZone[[#Headers],[Temperature zone]],0)</f>
        <v>0.5</v>
      </c>
      <c r="I250" s="38" cm="1">
        <f t="array" ref="I250">Common_InputFunctions.Utility_DisplayArrayInTable(Common_SourceData.Common_SourceData_MCFTemperatureZone_Data(),Table_SourceData_Common_MCFTemperatureZone[[#Headers],[Temperature zone]],0)</f>
        <v>0.01</v>
      </c>
      <c r="J250" s="38" cm="1">
        <f t="array" ref="J250">Common_InputFunctions.Utility_DisplayArrayInTable(Common_SourceData.Common_SourceData_MCFTemperatureZone_Data(),Table_SourceData_Common_MCFTemperatureZone[[#Headers],[Temperature zone]],0)</f>
        <v>1.4999999999999999E-2</v>
      </c>
      <c r="K250" s="38" cm="1">
        <f t="array" ref="K250">Common_InputFunctions.Utility_DisplayArrayInTable(Common_SourceData.Common_SourceData_MCFTemperatureZone_Data(),Table_SourceData_Common_MCFTemperatureZone[[#Headers],[Temperature zone]],0)</f>
        <v>0.02</v>
      </c>
      <c r="L250" s="38" cm="1">
        <f t="array" ref="L250">Common_InputFunctions.Utility_DisplayArrayInTable(Common_SourceData.Common_SourceData_MCFTemperatureZone_Data(),Table_SourceData_Common_MCFTemperatureZone[[#Headers],[Temperature zone]],0)</f>
        <v>0.03</v>
      </c>
      <c r="M250" s="38" cm="1">
        <f t="array" ref="M250">Common_InputFunctions.Utility_DisplayArrayInTable(Common_SourceData.Common_SourceData_MCFTemperatureZone_Data(),Table_SourceData_Common_MCFTemperatureZone[[#Headers],[Temperature zone]],0)</f>
        <v>0.04</v>
      </c>
      <c r="N250" s="38" cm="1">
        <f t="array" ref="N250">Common_InputFunctions.Utility_DisplayArrayInTable(Common_SourceData.Common_SourceData_MCFTemperatureZone_Data(),Table_SourceData_Common_MCFTemperatureZone[[#Headers],[Temperature zone]],0)</f>
        <v>1.4999999999999999E-2</v>
      </c>
      <c r="O250" s="38" cm="1">
        <f t="array" ref="O250">Common_InputFunctions.Utility_DisplayArrayInTable(Common_SourceData.Common_SourceData_MCFTemperatureZone_Data(),Table_SourceData_Common_MCFTemperatureZone[[#Headers],[Temperature zone]],0)</f>
        <v>1.4999999999999999E-2</v>
      </c>
      <c r="P250" s="38" cm="1">
        <f t="array" ref="P250">Common_InputFunctions.Utility_DisplayArrayInTable(Common_SourceData.Common_SourceData_MCFTemperatureZone_Data(),Table_SourceData_Common_MCFTemperatureZone[[#Headers],[Temperature zone]],0)</f>
        <v>0</v>
      </c>
      <c r="Q250" s="38" cm="1">
        <f t="array" ref="Q250">Common_InputFunctions.Utility_DisplayArrayInTable(Common_SourceData.Common_SourceData_MCFTemperatureZone_Data(),Table_SourceData_Common_MCFTemperatureZone[[#Headers],[Temperature zone]],0)</f>
        <v>0</v>
      </c>
      <c r="R250" s="38" cm="1">
        <f t="array" ref="R250">Common_InputFunctions.Utility_DisplayArrayInTable(Common_SourceData.Common_SourceData_MCFTemperatureZone_Data(),Table_SourceData_Common_MCFTemperatureZone[[#Headers],[Temperature zone]],0)</f>
        <v>4.7000000000000002E-3</v>
      </c>
      <c r="S250" s="38"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4" t="str" cm="1">
        <f t="array" ref="D256">Common_SourceData.Common_SourceData_EFOrganicFertiliserAndCropResidues_Unit()</f>
        <v>kg N2O - N / kg N</v>
      </c>
    </row>
    <row r="257" spans="4:5" x14ac:dyDescent="0.25">
      <c r="D257" s="38" t="s">
        <v>246</v>
      </c>
      <c r="E257" s="38" t="s">
        <v>247</v>
      </c>
    </row>
    <row r="258" spans="4:5" x14ac:dyDescent="0.25">
      <c r="D258" s="38" t="str" cm="1">
        <f t="array" ref="D258">Common_InputFunctions.Utility_DisplayArrayInTable(Common_SourceData.Common_SourceData_EFOrganicFertiliserAndCropResidues_Data(), Table_SourceData_Common_EFOrganicFertCropResidues[[#Headers],[Climate Zone]], 0)</f>
        <v>Wet climate zone</v>
      </c>
      <c r="E258" s="38"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8"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5" t="e" vm="1">
        <v>#VALUE!</v>
      </c>
      <c r="C1" s="8" t="s">
        <v>71</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c r="D5" s="6" t="str" cm="1">
        <f t="array" ref="D5">CommonLivestock_SourceData.SourceData_Livestock_Common_SymbolsMMS_Title()</f>
        <v>Table 5.12 Additional symbols used in algorithms for manure related emissions</v>
      </c>
      <c r="E5" s="3"/>
      <c r="F5" s="3"/>
      <c r="G5" s="3"/>
    </row>
    <row r="6" spans="1:13" ht="20.100000000000001" customHeight="1" x14ac:dyDescent="0.25">
      <c r="D6" s="3" t="str" cm="1">
        <f t="array" ref="D6">CommonLivestock_SourceData.SourceData_Livestock_Common_SymbolsMMS_Vairable()</f>
        <v>MMS</v>
      </c>
      <c r="E6" s="3"/>
      <c r="F6" s="3"/>
      <c r="G6" s="3"/>
      <c r="H6" s="3"/>
    </row>
    <row r="7" spans="1:13" ht="20.100000000000001" customHeight="1" x14ac:dyDescent="0.25">
      <c r="D7" s="5" t="str" cm="1">
        <f t="array" ref="D7">CommonLivestock_SourceData.SourceData_Livestock_Common_SymbolsMMS_Source()</f>
        <v>National Inventory Report 2023 Volume 1: Table 5.12</v>
      </c>
      <c r="E7" s="3"/>
      <c r="F7" s="3"/>
      <c r="G7" s="3"/>
      <c r="H7" s="3"/>
    </row>
    <row r="8" spans="1:13" ht="20.100000000000001" customHeight="1" x14ac:dyDescent="0.25">
      <c r="A8" s="19" t="s">
        <v>0</v>
      </c>
      <c r="D8" s="37" t="s">
        <v>72</v>
      </c>
      <c r="E8" s="38" t="s">
        <v>16</v>
      </c>
      <c r="F8" s="38" t="s">
        <v>73</v>
      </c>
      <c r="G8" s="3"/>
      <c r="H8" s="3"/>
    </row>
    <row r="9" spans="1:13" ht="20.100000000000001" customHeight="1" x14ac:dyDescent="0.25">
      <c r="A9" s="17" t="str">
        <f>HYPERLINK("#'Input - Site'!A1", "Site")</f>
        <v>Site</v>
      </c>
      <c r="D9" s="37" t="str" cm="1">
        <f t="array" ref="D9">Common_InputFunctions.Utility_DisplayArrayInTable(CommonLivestock_SourceData.SourceData_Livestock_Common_SymbolsMMS_Data(), Table_Data_MMSSymbols[[#Headers],[Symbol]], 0)</f>
        <v>1</v>
      </c>
      <c r="E9" s="37" t="str" cm="1">
        <f t="array" ref="E9">Common_InputFunctions.Utility_DisplayArrayInTable(CommonLivestock_SourceData.SourceData_Livestock_Common_SymbolsMMS_Data(), Table_Data_MMSSymbols[[#Headers],[Symbol]], 0)</f>
        <v>Anaerobic lagoon</v>
      </c>
      <c r="F9" s="37" t="str" cm="1">
        <f t="array" ref="F9">Common_InputFunctions.Utility_DisplayArrayInTable(CommonLivestock_SourceData.SourceData_Livestock_Common_SymbolsMMS_Data(), Table_Data_MMSSymbols[[#Headers],[Symbol]], 0)</f>
        <v>Anaerobic lagoon (m=1)</v>
      </c>
      <c r="G9" s="3"/>
    </row>
    <row r="10" spans="1:13" ht="20.100000000000001" customHeight="1" x14ac:dyDescent="0.25">
      <c r="A10" s="17" t="str">
        <f>HYPERLINK("#'Input - Dairy'!A1", "Dairy")</f>
        <v>Dairy</v>
      </c>
      <c r="D10" s="37" t="str" cm="1">
        <f t="array" ref="D10">Common_InputFunctions.Utility_DisplayArrayInTable(CommonLivestock_SourceData.SourceData_Livestock_Common_SymbolsMMS_Data(), Table_Data_MMSSymbols[[#Headers],[Symbol]], 0)</f>
        <v>2</v>
      </c>
      <c r="E10" s="37" t="str" cm="1">
        <f t="array" ref="E10">Common_InputFunctions.Utility_DisplayArrayInTable(CommonLivestock_SourceData.SourceData_Livestock_Common_SymbolsMMS_Data(), Table_Data_MMSSymbols[[#Headers],[Symbol]], 0)</f>
        <v>Liquid systems</v>
      </c>
      <c r="F10" s="37" t="str" cm="1">
        <f t="array" ref="F10">Common_InputFunctions.Utility_DisplayArrayInTable(CommonLivestock_SourceData.SourceData_Livestock_Common_SymbolsMMS_Data(), Table_Data_MMSSymbols[[#Headers],[Symbol]], 0)</f>
        <v>Liquid systems (m=2)</v>
      </c>
      <c r="G10" s="3"/>
    </row>
    <row r="11" spans="1:13" ht="20.100000000000001" customHeight="1" x14ac:dyDescent="0.25">
      <c r="D11" s="38" t="str" cm="1">
        <f t="array" ref="D11">Common_InputFunctions.Utility_DisplayArrayInTable(CommonLivestock_SourceData.SourceData_Livestock_Common_SymbolsMMS_Data(), Table_Data_MMSSymbols[[#Headers],[Symbol]], 0)</f>
        <v>3</v>
      </c>
      <c r="E11" s="38" t="str" cm="1">
        <f t="array" ref="E11">Common_InputFunctions.Utility_DisplayArrayInTable(CommonLivestock_SourceData.SourceData_Livestock_Common_SymbolsMMS_Data(), Table_Data_MMSSymbols[[#Headers],[Symbol]], 0)</f>
        <v>Daily spread</v>
      </c>
      <c r="F11" s="38" t="str" cm="1">
        <f t="array" ref="F11">Common_InputFunctions.Utility_DisplayArrayInTable(CommonLivestock_SourceData.SourceData_Livestock_Common_SymbolsMMS_Data(), Table_Data_MMSSymbols[[#Headers],[Symbol]], 0)</f>
        <v>Daily spread (m=3)</v>
      </c>
      <c r="G11" s="3"/>
    </row>
    <row r="12" spans="1:13" ht="20.100000000000001" customHeight="1" x14ac:dyDescent="0.25">
      <c r="D12" s="38" t="str" cm="1">
        <f t="array" ref="D12">Common_InputFunctions.Utility_DisplayArrayInTable(CommonLivestock_SourceData.SourceData_Livestock_Common_SymbolsMMS_Data(), Table_Data_MMSSymbols[[#Headers],[Symbol]], 0)</f>
        <v>3a</v>
      </c>
      <c r="E12" s="38" t="str" cm="1">
        <f t="array" ref="E12">Common_InputFunctions.Utility_DisplayArrayInTable(CommonLivestock_SourceData.SourceData_Livestock_Common_SymbolsMMS_Data(), Table_Data_MMSSymbols[[#Headers],[Symbol]], 0)</f>
        <v>Sump and dispersal system</v>
      </c>
      <c r="F12" s="38" t="str" cm="1">
        <f t="array" ref="F12">Common_InputFunctions.Utility_DisplayArrayInTable(CommonLivestock_SourceData.SourceData_Livestock_Common_SymbolsMMS_Data(), Table_Data_MMSSymbols[[#Headers],[Symbol]], 0)</f>
        <v>Sump and dispersal system (m=3a)</v>
      </c>
      <c r="G12" s="3"/>
    </row>
    <row r="13" spans="1:13" ht="20.100000000000001" customHeight="1" x14ac:dyDescent="0.25">
      <c r="A13" s="18" t="s">
        <v>69</v>
      </c>
      <c r="D13" s="38" t="str" cm="1">
        <f t="array" ref="D13">Common_InputFunctions.Utility_DisplayArrayInTable(CommonLivestock_SourceData.SourceData_Livestock_Common_SymbolsMMS_Data(), Table_Data_MMSSymbols[[#Headers],[Symbol]], 0)</f>
        <v>3b</v>
      </c>
      <c r="E13" s="38" t="str" cm="1">
        <f t="array" ref="E13">Common_InputFunctions.Utility_DisplayArrayInTable(CommonLivestock_SourceData.SourceData_Livestock_Common_SymbolsMMS_Data(), Table_Data_MMSSymbols[[#Headers],[Symbol]], 0)</f>
        <v>Drains to paddock</v>
      </c>
      <c r="F13" s="38" t="str" cm="1">
        <f t="array" ref="F13">Common_InputFunctions.Utility_DisplayArrayInTable(CommonLivestock_SourceData.SourceData_Livestock_Common_SymbolsMMS_Data(), Table_Data_MMSSymbols[[#Headers],[Symbol]], 0)</f>
        <v>Drains to paddock (m=3b)</v>
      </c>
      <c r="G13" s="3"/>
    </row>
    <row r="14" spans="1:13" ht="20.100000000000001" customHeight="1" x14ac:dyDescent="0.25">
      <c r="A14" s="17" t="str">
        <f>HYPERLINK("#'3.3.1.1-2 Enteric Methane'!A1", "3.3.1.1-2 Enteric Methane")</f>
        <v>3.3.1.1-2 Enteric Methane</v>
      </c>
      <c r="D14" s="38" t="str" cm="1">
        <f t="array" ref="D14">Common_InputFunctions.Utility_DisplayArrayInTable(CommonLivestock_SourceData.SourceData_Livestock_Common_SymbolsMMS_Data(), Table_Data_MMSSymbols[[#Headers],[Symbol]], 0)</f>
        <v>4</v>
      </c>
      <c r="E14" s="38" t="str" cm="1">
        <f t="array" ref="E14">Common_InputFunctions.Utility_DisplayArrayInTable(CommonLivestock_SourceData.SourceData_Livestock_Common_SymbolsMMS_Data(), Table_Data_MMSSymbols[[#Headers],[Symbol]], 0)</f>
        <v>Solid storage</v>
      </c>
      <c r="F14" s="38" t="str" cm="1">
        <f t="array" ref="F14">Common_InputFunctions.Utility_DisplayArrayInTable(CommonLivestock_SourceData.SourceData_Livestock_Common_SymbolsMMS_Data(), Table_Data_MMSSymbols[[#Headers],[Symbol]], 0)</f>
        <v>Solid storage (m=4)</v>
      </c>
      <c r="G14" s="3"/>
    </row>
    <row r="15" spans="1:13" ht="20.100000000000001" customHeight="1" x14ac:dyDescent="0.25">
      <c r="D15" s="38" t="str" cm="1">
        <f t="array" ref="D15">Common_InputFunctions.Utility_DisplayArrayInTable(CommonLivestock_SourceData.SourceData_Livestock_Common_SymbolsMMS_Data(), Table_Data_MMSSymbols[[#Headers],[Symbol]], 0)</f>
        <v>5</v>
      </c>
      <c r="E15" s="38" t="str" cm="1">
        <f t="array" ref="E15">Common_InputFunctions.Utility_DisplayArrayInTable(CommonLivestock_SourceData.SourceData_Livestock_Common_SymbolsMMS_Data(), Table_Data_MMSSymbols[[#Headers],[Symbol]], 0)</f>
        <v>Drylot (feed pad)</v>
      </c>
      <c r="F15" s="38" t="str" cm="1">
        <f t="array" ref="F15">Common_InputFunctions.Utility_DisplayArrayInTable(CommonLivestock_SourceData.SourceData_Livestock_Common_SymbolsMMS_Data(), Table_Data_MMSSymbols[[#Headers],[Symbol]], 0)</f>
        <v>Drylot (feed pad) (m=5)</v>
      </c>
      <c r="G15" s="3"/>
    </row>
    <row r="16" spans="1:13" ht="20.100000000000001" customHeight="1" x14ac:dyDescent="0.25">
      <c r="D16" s="38" t="str" cm="1">
        <f t="array" ref="D16">Common_InputFunctions.Utility_DisplayArrayInTable(CommonLivestock_SourceData.SourceData_Livestock_Common_SymbolsMMS_Data(), Table_Data_MMSSymbols[[#Headers],[Symbol]], 0)</f>
        <v>6</v>
      </c>
      <c r="E16" s="38" t="str" cm="1">
        <f t="array" ref="E16">Common_InputFunctions.Utility_DisplayArrayInTable(CommonLivestock_SourceData.SourceData_Livestock_Common_SymbolsMMS_Data(), Table_Data_MMSSymbols[[#Headers],[Symbol]], 0)</f>
        <v>Composting (passive windrow)</v>
      </c>
      <c r="F16" s="38" t="str" cm="1">
        <f t="array" ref="F16">Common_InputFunctions.Utility_DisplayArrayInTable(CommonLivestock_SourceData.SourceData_Livestock_Common_SymbolsMMS_Data(), Table_Data_MMSSymbols[[#Headers],[Symbol]], 0)</f>
        <v>Composting (passive windrow) (m=6)</v>
      </c>
      <c r="G16" s="3"/>
    </row>
    <row r="17" spans="1:8" ht="20.100000000000001" customHeight="1" x14ac:dyDescent="0.25">
      <c r="A17" s="129" t="s">
        <v>1</v>
      </c>
      <c r="D17" s="38" t="str" cm="1">
        <f t="array" ref="D17">Common_InputFunctions.Utility_DisplayArrayInTable(CommonLivestock_SourceData.SourceData_Livestock_Common_SymbolsMMS_Data(), Table_Data_MMSSymbols[[#Headers],[Symbol]], 0)</f>
        <v>7</v>
      </c>
      <c r="E17" s="38" t="str" cm="1">
        <f t="array" ref="E17">Common_InputFunctions.Utility_DisplayArrayInTable(CommonLivestock_SourceData.SourceData_Livestock_Common_SymbolsMMS_Data(), Table_Data_MMSSymbols[[#Headers],[Symbol]], 0)</f>
        <v>Digester / covered lagoons</v>
      </c>
      <c r="F17" s="38" t="str" cm="1">
        <f t="array" ref="F17">Common_InputFunctions.Utility_DisplayArrayInTable(CommonLivestock_SourceData.SourceData_Livestock_Common_SymbolsMMS_Data(), Table_Data_MMSSymbols[[#Headers],[Symbol]], 0)</f>
        <v>Digester / covered lagoons (m=7)</v>
      </c>
      <c r="G17" s="3"/>
    </row>
    <row r="18" spans="1:8" ht="20.100000000000001" customHeight="1" x14ac:dyDescent="0.25">
      <c r="A18" s="17" t="str">
        <f>HYPERLINK("#'Constants - Dairy'!A1", "Constants - Dairy")</f>
        <v>Constants - Dairy</v>
      </c>
      <c r="D18" s="38" t="str" cm="1">
        <f t="array" ref="D18">Common_InputFunctions.Utility_DisplayArrayInTable(CommonLivestock_SourceData.SourceData_Livestock_Common_SymbolsMMS_Data(), Table_Data_MMSSymbols[[#Headers],[Symbol]], 0)</f>
        <v>8</v>
      </c>
      <c r="E18" s="38" t="str" cm="1">
        <f t="array" ref="E18">Common_InputFunctions.Utility_DisplayArrayInTable(CommonLivestock_SourceData.SourceData_Livestock_Common_SymbolsMMS_Data(), Table_Data_MMSSymbols[[#Headers],[Symbol]], 0)</f>
        <v>Deep litter</v>
      </c>
      <c r="F18" s="38" t="str" cm="1">
        <f t="array" ref="F18">Common_InputFunctions.Utility_DisplayArrayInTable(CommonLivestock_SourceData.SourceData_Livestock_Common_SymbolsMMS_Data(), Table_Data_MMSSymbols[[#Headers],[Symbol]], 0)</f>
        <v>Deep litter (m=8)</v>
      </c>
      <c r="G18" s="3"/>
    </row>
    <row r="19" spans="1:8" ht="20.100000000000001" customHeight="1" x14ac:dyDescent="0.25">
      <c r="A19" s="17" t="str">
        <f>HYPERLINK("#'Constants - Common'!A1", "Constants - Common")</f>
        <v>Constants - Common</v>
      </c>
      <c r="D19" s="38" t="str" cm="1">
        <f t="array" ref="D19">Common_InputFunctions.Utility_DisplayArrayInTable(CommonLivestock_SourceData.SourceData_Livestock_Common_SymbolsMMS_Data(), Table_Data_MMSSymbols[[#Headers],[Symbol]], 0)</f>
        <v>9</v>
      </c>
      <c r="E19" s="38" t="str" cm="1">
        <f t="array" ref="E19">Common_InputFunctions.Utility_DisplayArrayInTable(CommonLivestock_SourceData.SourceData_Livestock_Common_SymbolsMMS_Data(), Table_Data_MMSSymbols[[#Headers],[Symbol]], 0)</f>
        <v>Pit storage</v>
      </c>
      <c r="F19" s="38" t="str" cm="1">
        <f t="array" ref="F19">Common_InputFunctions.Utility_DisplayArrayInTable(CommonLivestock_SourceData.SourceData_Livestock_Common_SymbolsMMS_Data(), Table_Data_MMSSymbols[[#Headers],[Symbol]], 0)</f>
        <v>Pit storage (m=9)</v>
      </c>
      <c r="G19" s="3"/>
    </row>
    <row r="20" spans="1:8" ht="20.100000000000001" customHeight="1" x14ac:dyDescent="0.25">
      <c r="A20" s="66" t="str">
        <f>HYPERLINK("#'Constants - Livestock'!A1", "Constants - Livestock")</f>
        <v>Constants - Livestock</v>
      </c>
      <c r="D20" s="38" t="str" cm="1">
        <f t="array" ref="D20">Common_InputFunctions.Utility_DisplayArrayInTable(CommonLivestock_SourceData.SourceData_Livestock_Common_SymbolsMMS_Data(), Table_Data_MMSSymbols[[#Headers],[Symbol]], 0)</f>
        <v>10</v>
      </c>
      <c r="E20" s="38" t="str" cm="1">
        <f t="array" ref="E20">Common_InputFunctions.Utility_DisplayArrayInTable(CommonLivestock_SourceData.SourceData_Livestock_Common_SymbolsMMS_Data(), Table_Data_MMSSymbols[[#Headers],[Symbol]], 0)</f>
        <v>Poultry manure with bedding</v>
      </c>
      <c r="F20" s="38" t="str" cm="1">
        <f t="array" ref="F20">Common_InputFunctions.Utility_DisplayArrayInTable(CommonLivestock_SourceData.SourceData_Livestock_Common_SymbolsMMS_Data(), Table_Data_MMSSymbols[[#Headers],[Symbol]], 0)</f>
        <v>Poultry manure with bedding (m=10)</v>
      </c>
      <c r="G20" s="3"/>
    </row>
    <row r="21" spans="1:8" ht="20.100000000000001" customHeight="1" x14ac:dyDescent="0.25">
      <c r="A21" s="17" t="str">
        <f>HYPERLINK("#'Acknowledgements'!A1", "Acknowledgements")</f>
        <v>Acknowledgements</v>
      </c>
      <c r="D21" s="38" t="str" cm="1">
        <f t="array" ref="D21">Common_InputFunctions.Utility_DisplayArrayInTable(CommonLivestock_SourceData.SourceData_Livestock_Common_SymbolsMMS_Data(), Table_Data_MMSSymbols[[#Headers],[Symbol]], 0)</f>
        <v>11</v>
      </c>
      <c r="E21" s="38" t="str" cm="1">
        <f t="array" ref="E21">Common_InputFunctions.Utility_DisplayArrayInTable(CommonLivestock_SourceData.SourceData_Livestock_Common_SymbolsMMS_Data(), Table_Data_MMSSymbols[[#Headers],[Symbol]], 0)</f>
        <v>Poultry manure without bedding</v>
      </c>
      <c r="F21" s="38" t="str" cm="1">
        <f t="array" ref="F21">Common_InputFunctions.Utility_DisplayArrayInTable(CommonLivestock_SourceData.SourceData_Livestock_Common_SymbolsMMS_Data(), Table_Data_MMSSymbols[[#Headers],[Symbol]], 0)</f>
        <v>Poultry manure without bedding (m=11)</v>
      </c>
      <c r="G21" s="3"/>
    </row>
    <row r="22" spans="1:8" ht="20.100000000000001" customHeight="1" x14ac:dyDescent="0.25">
      <c r="D22" s="38" t="str" cm="1">
        <f t="array" ref="D22">Common_InputFunctions.Utility_DisplayArrayInTable(CommonLivestock_SourceData.SourceData_Livestock_Common_SymbolsMMS_Data(), Table_Data_MMSSymbols[[#Headers],[Symbol]], 0)</f>
        <v>11a</v>
      </c>
      <c r="E22" s="38" t="str" cm="1">
        <f t="array" ref="E22">Common_InputFunctions.Utility_DisplayArrayInTable(CommonLivestock_SourceData.SourceData_Livestock_Common_SymbolsMMS_Data(), Table_Data_MMSSymbols[[#Headers],[Symbol]], 0)</f>
        <v>Belt manure removal</v>
      </c>
      <c r="F22" s="38" t="str" cm="1">
        <f t="array" ref="F22">Common_InputFunctions.Utility_DisplayArrayInTable(CommonLivestock_SourceData.SourceData_Livestock_Common_SymbolsMMS_Data(), Table_Data_MMSSymbols[[#Headers],[Symbol]], 0)</f>
        <v>Belt manure removal (m=11a)</v>
      </c>
      <c r="G22" s="3"/>
    </row>
    <row r="23" spans="1:8" ht="20.100000000000001" customHeight="1" x14ac:dyDescent="0.25">
      <c r="D23" s="38" t="str" cm="1">
        <f t="array" ref="D23">Common_InputFunctions.Utility_DisplayArrayInTable(CommonLivestock_SourceData.SourceData_Livestock_Common_SymbolsMMS_Data(), Table_Data_MMSSymbols[[#Headers],[Symbol]], 0)</f>
        <v>11b</v>
      </c>
      <c r="E23" s="38" t="str" cm="1">
        <f t="array" ref="E23">Common_InputFunctions.Utility_DisplayArrayInTable(CommonLivestock_SourceData.SourceData_Livestock_Common_SymbolsMMS_Data(), Table_Data_MMSSymbols[[#Headers],[Symbol]], 0)</f>
        <v>Manure stored in house</v>
      </c>
      <c r="F23" s="38" t="str" cm="1">
        <f t="array" ref="F23">Common_InputFunctions.Utility_DisplayArrayInTable(CommonLivestock_SourceData.SourceData_Livestock_Common_SymbolsMMS_Data(), Table_Data_MMSSymbols[[#Headers],[Symbol]], 0)</f>
        <v>Manure stored in house (m=11b)</v>
      </c>
      <c r="G23" s="3"/>
    </row>
    <row r="24" spans="1:8" ht="20.100000000000001" customHeight="1" x14ac:dyDescent="0.25">
      <c r="D24" s="38" t="str" cm="1">
        <f t="array" ref="D24">Common_InputFunctions.Utility_DisplayArrayInTable(CommonLivestock_SourceData.SourceData_Livestock_Common_SymbolsMMS_Data(), Table_Data_MMSSymbols[[#Headers],[Symbol]], 0)</f>
        <v>12</v>
      </c>
      <c r="E24" s="38" t="str" cm="1">
        <f t="array" ref="E24">Common_InputFunctions.Utility_DisplayArrayInTable(CommonLivestock_SourceData.SourceData_Livestock_Common_SymbolsMMS_Data(), Table_Data_MMSSymbols[[#Headers],[Symbol]], 0)</f>
        <v>Direct processing</v>
      </c>
      <c r="F24" s="38" t="str" cm="1">
        <f t="array" ref="F24">Common_InputFunctions.Utility_DisplayArrayInTable(CommonLivestock_SourceData.SourceData_Livestock_Common_SymbolsMMS_Data(), Table_Data_MMSSymbols[[#Headers],[Symbol]], 0)</f>
        <v>Direct processing (m=12)</v>
      </c>
      <c r="G24" s="3"/>
    </row>
    <row r="25" spans="1:8" ht="20.100000000000001" customHeight="1" x14ac:dyDescent="0.25">
      <c r="D25" s="38" t="str" cm="1">
        <f t="array" ref="D25">Common_InputFunctions.Utility_DisplayArrayInTable(CommonLivestock_SourceData.SourceData_Livestock_Common_SymbolsMMS_Data(), Table_Data_MMSSymbols[[#Headers],[Symbol]], 0)</f>
        <v>13</v>
      </c>
      <c r="E25" s="38" t="str" cm="1">
        <f t="array" ref="E25">Common_InputFunctions.Utility_DisplayArrayInTable(CommonLivestock_SourceData.SourceData_Livestock_Common_SymbolsMMS_Data(), Table_Data_MMSSymbols[[#Headers],[Symbol]], 0)</f>
        <v>Direct application</v>
      </c>
      <c r="F25" s="38" t="str" cm="1">
        <f t="array" ref="F25">Common_InputFunctions.Utility_DisplayArrayInTable(CommonLivestock_SourceData.SourceData_Livestock_Common_SymbolsMMS_Data(), Table_Data_MMSSymbols[[#Headers],[Symbol]], 0)</f>
        <v>Direct application (m=13)</v>
      </c>
      <c r="G25" s="3"/>
    </row>
    <row r="26" spans="1:8" ht="20.100000000000001" customHeight="1" x14ac:dyDescent="0.25">
      <c r="D26" s="38" t="str" cm="1">
        <f t="array" ref="D26">Common_InputFunctions.Utility_DisplayArrayInTable(CommonLivestock_SourceData.SourceData_Livestock_Common_SymbolsMMS_Data(), Table_Data_MMSSymbols[[#Headers],[Symbol]], 0)</f>
        <v>14</v>
      </c>
      <c r="E26" s="38" t="str" cm="1">
        <f t="array" ref="E26">Common_InputFunctions.Utility_DisplayArrayInTable(CommonLivestock_SourceData.SourceData_Livestock_Common_SymbolsMMS_Data(), Table_Data_MMSSymbols[[#Headers],[Symbol]], 0)</f>
        <v>Pasture range and paddock</v>
      </c>
      <c r="F26" s="38" t="str" cm="1">
        <f t="array" ref="F26">Common_InputFunctions.Utility_DisplayArrayInTable(CommonLivestock_SourceData.SourceData_Livestock_Common_SymbolsMMS_Data(), Table_Data_MMSSymbols[[#Headers],[Symbol]], 0)</f>
        <v>Pasture range and paddock (m=14)</v>
      </c>
      <c r="G26" s="3"/>
    </row>
    <row r="27" spans="1:8" ht="20.100000000000001" customHeight="1" x14ac:dyDescent="0.25"/>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21"/>
  <sheetViews>
    <sheetView zoomScaleNormal="100" workbookViewId="0">
      <selection activeCell="A21" sqref="A21"/>
    </sheetView>
  </sheetViews>
  <sheetFormatPr defaultRowHeight="15" x14ac:dyDescent="0.25"/>
  <sheetData>
    <row r="1" spans="1:1" ht="25.5" x14ac:dyDescent="0.35">
      <c r="A1" s="65" t="e" vm="1">
        <v>#VALUE!</v>
      </c>
    </row>
    <row r="3" spans="1:1" ht="15.75" x14ac:dyDescent="0.25">
      <c r="A3" s="1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Dairy'!A1", "Dairy")</f>
        <v>Dairy</v>
      </c>
    </row>
    <row r="13" spans="1:1" x14ac:dyDescent="0.25">
      <c r="A13" s="18" t="s">
        <v>69</v>
      </c>
    </row>
    <row r="14" spans="1:1" ht="15.75" x14ac:dyDescent="0.25">
      <c r="A14" s="17" t="str">
        <f>HYPERLINK("#'3.3.1.1-2 Enteric Methane'!A1", "3.3.1.1-2 Enteric Methane")</f>
        <v>3.3.1.1-2 Enteric Methane</v>
      </c>
    </row>
    <row r="17" spans="1:1" x14ac:dyDescent="0.25">
      <c r="A17" s="129" t="s">
        <v>1</v>
      </c>
    </row>
    <row r="18" spans="1:1" ht="15.75" x14ac:dyDescent="0.25">
      <c r="A18" s="17" t="str">
        <f>HYPERLINK("#'Constants - Dairy'!A1", "Constants - Dairy")</f>
        <v>Constants - Dairy</v>
      </c>
    </row>
    <row r="19" spans="1:1" ht="15.75" x14ac:dyDescent="0.25">
      <c r="A19" s="17" t="str">
        <f>HYPERLINK("#'Constants - Common'!A1", "Constants - Common")</f>
        <v>Constants - Common</v>
      </c>
    </row>
    <row r="20" spans="1:1" ht="15.75" x14ac:dyDescent="0.25">
      <c r="A20" s="17" t="str">
        <f>HYPERLINK("#'Constants - Livestock'!A1", "Constants - Livestock")</f>
        <v>Constants - Livestock</v>
      </c>
    </row>
    <row r="21" spans="1:1" ht="15.75" x14ac:dyDescent="0.25">
      <c r="A21" s="66" t="str">
        <f>HYPERLINK("#'Acknowledgements'!A1", "Acknowledgements")</f>
        <v>Acknowledgements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XAB1ADAAMAAyADcAUgBlAGYAZQByAGUAbgBjAGUAXAB1ADAAMAAyADcALAAgAGEAcwAgAHQAaABlACAAdgBhAGwAdQBlACAAaQBzACAAYwBvAG4AcwBpAHMAdABlAG4AdABsAHkAIABcAHUAMAAwADIANwBEAGEAaQByAHkAIABBAHUAcwB0AHIAYQBsAGkAYQAgAFsAMQBdAFwAdQAwADAAMgA3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FwAdQAwADAAMwBlADEAXAAiACwAIABcACIASABlAGkAZgBlAHIAcwAgAFwAdQAwADAAMwBj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FwAdQAwADAAMwBlADEAXAAiACwAIABcACIAQgB1AGwAbABzACAAXAB1ADAAMAAzAGM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XAB1ADAAMAAyADcAQQBuAGkAbQBhAGwAIABjAGwAYQBzAHMAIABqAFwAdQAwADAAMgA3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FwAdQAwADAAMwBjADEAXAAiACwAIAAwAC4AMAAxADcANgAsACAAMAAuADIANgA4ADUALAAgADAALgAwADEAMwA3ADsAXABuACAAIAAgACAAIAAgACAAIAAgACAAXAAiAEIAdQBsAGwAcwBcAHUAMAAwADMAYw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XAB1ADAAMAAzAGMAIAAxACAAeQBlAGEAcgBcACIALAAgADAALgAwADEANwA2ADsAXABuACAAIAAgACAAIAAgACAAIAAgACAAXAAiAEIAdQBsAGwAcwAgAFwAdQAwADAAMwBj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E0AUgBqACkAXAAiACkAOwBcAG4AXABuAFMAbwB1AHIAYwBlAEQAYQB0AGEAXwBEAGEAaQByAHkAXwBJAG4AYwByAGUAYQBzAGUAZABNAGUAdABhAGIAbwBsAGkAYwBSAGEAdABlAE0AaQBsAGsAXwBWAGEAcgBpAGEAYgBsAGUAXABuACAAIAA9AEwAQQBNAEIARABBACgAXAAiAE0AUgBqAFwAIgApADsAXABuAFwAbgBTAG8AdQByAGMAZQBEAGEAdABhAF8ARABhAGkAcgB5AF8ASQBuAGMAcgBlAGEAcwBlAGQATQBlAHQAYQBiAG8AbABpAGMAUgBhAHQAZQBNAGkAbABrAF8AVQBuAGkAdABcAG4AIAAgAD0ATABBAE0AQgBEAEEAKABcACIAXAAiACkAOwBcAG4AXABuAFMAbwB1AHIAYwBlAEQAYQB0AGEAXwBEAGEAaQByAHkAXwBJAG4AYwByAGUAYQBzAGUAZABNAGUAdABhAGIAbwBsAGkAYwBSAGEAdABlAE0AaQBsAGsAXwBTAG8AdQByAGMAZQBcAG4AIAAgAD0ATABBAE0AQgBEAEEAKABcACIAVgBFAEUAUgBHACAAMgAwADIANgA6ACAAVABhAGIAbABlACAAQQAuADEALgAzAC4AOQBcACIAKQA7AFwAbgBcAG4AUwBvAHUAcgBjAGUARABhAHQAYQBfAEQAYQBpAHIAeQBfAEkAbgBjAHIAZQBhAHMAZQBkAE0AZQB0AGEAYgBvAGwAaQBjAFIAYQB0AGUATQBpAGwAawBfAFYAYQByAGkAYQB0AGkAbwBuAFwAbgAgACAAPQBMAEEATQBCAEQAQQAoAFwAIgBcACIAKQA7AFwAbgBcAG4AUwBvAHUAcgBjAGUARABhAHQAYQBfAEQAYQBpAHIAeQBfAEkAbgBjAHIAZQBhAHMAZQBkAE0AZQB0AGEAYgBvAGwAaQBjAFIAYQB0AGUATQBpAGwAa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IAagBcACIAOwBcAG4AIAAgACAAIAAgACAAIAAgACAAIABcACIATQBpAGwAawBpAG4AZwAgAGMAbwB3AHMALAAgAGEAbgBkACAAaABvAHUAcwBlACAAYwBvAHcAcwBcACIALAAgADEALgAxADsAXABuACAAIAAgACAAIAAgACAAIAAgACAAXAAiAEEAbABsACAAbwB0AGgAZQByACAAYwBhAHQAdABsAGUAIABjAGwAYQBzAHMAZQBzAFwAIgAsACAAMQAu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GAHIAYQBjAHQAaQBvAG4AVgBvAGwAYQB0AGkAbABlAFMAbwBsAGkAZABzAFYAbwBpAGQAZQBkAE0ATQBTAFwAb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G4ALQAtAC0ALQAtAC0ALQAtAC0ALQAtAC0ALQAtAC0ALQAtAC0ALQAtAC0ALQAtAC0ALQAtAC0ALQAtAC0ALQAtAC0ALQAtAC0ALQAtAFwAbgAqAC8AXABuAFwAbgBTAG8AdQByAGMAZQBEAGEAdABhAF8ARABhAGkAcgB5AF8ARgByAGEAYwB0AGkAbwBuAFYAbwBsAGEAdABpAGwAZQBTAG8AbABpAGQAcwBWAG8AaQBkAGUAZABNAE0AUwBfAFQAaQB0AGwAZQBcAG4AIAAgAD0ATABBAE0AQgBEAEEAKABcACI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AiACkAOwBcAG4AXABuAFMAbwB1AHIAYwBlAEQAYQB0AGEAXwBEAGEAaQByAHkAXwBGAHIAYQBjAHQAaQBvAG4AVgBvAGwAYQB0AGkAbABlAFMAbwBsAGkAZABzAFYAbwBpAGQAZQBkAE0ATQBTAF8AVgBhAHIAaQBhAGIAbABlAFwAbgAgACAAPQBMAEEATQBCAEQAQQAoAFwAIgBNAE0AUwBqAG0AXAAiACkAOwBcAG4AXABuAFMAbwB1AHIAYwBlAEQAYQB0AGEAXwBEAGEAaQByAHkAXwBGAHIAYQBjAHQAaQBvAG4AVgBvAGwAYQB0AGkAbABlAFMAbwBsAGkAZABzAFYAbwBpAGQAZQBkAE0ATQBTAF8AVQBuAGkAdABcAG4AIAAgAD0ATABBAE0AQgBEAEEAKABcACIAZgByAGEAYwB0AGkAbwBuAFwAIgApADsAXABuAFwAbgBTAG8AdQByAGMAZQBEAGEAdABhAF8ARABhAGkAcgB5AF8ARgByAGEAYwB0AGkAbwBuAFYAbwBsAGEAdABpAGwAZQBTAG8AbABpAGQAcwBWAG8AaQBkAGUAZABNAE0AUwBfAFMAbwB1AHIAYwBlAFwAbgAgACAAPQBMAEEATQBCAEQAQQAoAFwAIgBWAEUARQBSAEcAIAAyADAAMgA2ADoAIABUAGEAYgBsAGUAIABBAC4AMQAuADMALgAxADAAXAAiACkAOwBcAG4AXABuAFMAbwB1AHIAYwBlAEQAYQB0AGEAXwBEAGEAaQByAHkAXwBGAHIAYQBjAHQAaQBvAG4AVgBvAGwAYQB0AGkAbABlAFMAbwBsAGkAZABzAFYAbwBpAGQAZQBkAE0ATQBTAF8AVgBhAHIAaQBhAHQAaQBvAG4AXABuACAAIAA9AEwAQQBNAEIARABBACgAXAAiAFYAQQBSAEkAQQBUAEkATwBOACAATwBGACAAUwBPAFUAUgBDAEUAOgAgAEUAeABjAGwAdQBkAGUAZAAgAFwAdQAwADAAMgA3AEEAbgBuAHUAYQBsACAAZgByAGEAYwB0AGkAbwBuACAAbwBmACAAdABpAG0AZQAgAHMAcABlAG4AdAAgAHAAZQByACAAYQByAGUAYQBcAHUAMAAwADIAN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FwAdQAwADAAMwBjADEAMAAgAGgAcgAvAGQAYQB5ACAAZgBvAHIAIABcAHUAMAAwADMAYw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FAEYATgBpAHQAcgBvAHUAcwBPAHgAaQBkAGUAUABlAHIATQBNAFMAXwBEAGEAdABhAFwAbgAgACAAPQBMAEEATQBCAEQAQQAoAFwAbgAgACAAIAAgAE0AQQBLAEUAQQBSAFIAQQBZACgANgAsACAAMwAsAFwAbgAgACAAIAAgACAAIABMAEEATQBCAEQAQQAoAHIALABjACwAXABuACAAIAAgACAAIAAgACAAIABJAE4ARABFAFgAKAB7AFwAbgAgACAAIAAgACAAIAAgACAAIAAgAFwAIgBNAE0AUwAgAG0AXAAiACwAIABcACIARQBGAG0AXAAiACwAIABcACIATgBJAFIAIAByAGUAZgBlAHIAZQBuAGMAZQBcACIAOwBcAG4AIAAgACAAIAAgACAAIAAgACAAIABcACIAbQA9ADEANAAgAFAAYQBzAHQAdQByAGUAXAAiACwAIAAwACwAIABcACIAUABhAHMAdAB1AHIAZQAgAHIAYQBuAGcAZQAgAGEAbgBkACAAcABhAGQAZABvAGMAawBcACIAOwBcAG4AIAAgACAAIAAgACAAIAAgACAAIABcACIAbQA9ADEAIABBAG4AZQByAG8AYgBpAGMAIABMAGEAZwBvAG8AbgBcACIALAAgADAALAAgAFwAIgBBAG4AYQBlAHIAbwBiAGkAYwAgAGwAYQBnAG8AbwBuAFwAIgA7AFwAbgAgACAAIAAgACAAIAAgACAAIAAgAFwAIgBtAD0AMgAgAEQAYQBpAGwAeQAgAFMAcAByAGUAYQBkADoAIABTAHUAbQBwACAAYQBuAGQAIABkAGkAcwBwAGUAcgBzAGEAbABcACIALAAgADAALAAgAFwAIgBTAHUAbQBwACAAYQBuAGQAIABkAGkAcwBwAGUAcgBzAGEAbAAgAHMAeQBzAHQAZQBtAFwAIgA7AFwAbgAgACAAIAAgACAAIAAgACAAIAAgAFwAIgBtAD0AMwAgAEQAYQBpAGwAeQAgAFMAcAByAGUAYQBkADoAIABEAHIAYQBpAG4AcwAgAHQAbwAgAHAAYQBkAGQAbwBjAGsAcwBcACIALAAgADAALAAgAFwAIgBEAHIAYQBpAG4AcwAgAHQAbwAgAHAAYQBkAGQAbwBjAGsAXAAiADsAXABuACAAIAAgACAAIAAgACAAIAAgACAAXAAiAG0APQA0ACAAUwBvAGwAaQBkACAAUwB0AG8AcgBhAGcAZQBcACIALAAgADAALgAwADAANQAsACAAXAAiAFMAbwBsAGkAZAAgAHMAdABvAHIAYQBnAGU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EAGEAaQByAHkAXwBEAHUAcgBhAHQAaQBvAG4ATwBmAFMAdABhAHkAXABuAEQAdQByAGEAdABpAG8AbgAgAG8AZgAgAHMAdABhAHkAIABmAG8AcgAgAGUAYQBjAGgAIABkAGEAaQByAHkAIABjAGEAdAB0AGwAZQAgAGkAbgBwAHUAdAAgAGMAbABhAHMAcwBcAG4ALQAtAC0ALQAtAC0ALQAtAC0ALQAtAC0ALQAtAC0ALQAtAC0ALQAtAC0ALQAtAC0ALQAtAC0ALQAtAC0ALQAtAC0ALQAtAC0ALQAtAFwAbgAqAC8AXABuAFwAbgBTAG8AdQByAGMAZQBEAGEAdABhAF8ARABhAGkAcgB5AF8ARAB1AHIAYQB0AGkAbwBuAE8AZgBTAHQAYQB5AF8AVABpAHQAbABlAFwAbgAgACAAPQBMAEEATQBCAEQAQQAoAFwAIgBEAHUAcgBhAHQAaQBvAG4AIABvAGYAIABzAHQAYQB5ACAAZgBvAHIAIABlAGEAYwBoACAAZABhAGkAcgB5ACAAYwBhAHQAdABsAGUAIABpAG4AcAB1AHQAIABjAGwAYQBzAHMAXAAiACkAOwBcAG4AXABuAFMAbwB1AHIAYwBlAEQAYQB0AGEAXwBEAGEAaQByAHkAXwBEAHUAcgBhAHQAaQBvAG4ATwBmAFMAdABhAHkAXwBWAGEAcgBpAGEAYgBsAGUAXABuACAAIAA9AEwAQQBNAEIARABBACgAXAAiAEQAXAAiACkAOwBcAG4AXABuAFMAbwB1AHIAYwBlAEQAYQB0AGEAXwBEAGEAaQByAHkAXwBEAHUAcgBhAHQAaQBvAG4ATwBmAFMAdABhAHkAXwBVAG4AaQB0AFwAbgAgACAAPQBMAEEATQBCAEQAQQAoAFwAIgBkAGEAeQBzAFwAIgApADsAXABuAFwAbgBTAG8AdQByAGMAZQBEAGEAdABhAF8ARABhAGkAcgB5AF8ARAB1AHIAYQB0AGkAbwBuAE8AZgBTAHQAYQB5AF8AUwBvAHUAcgBjAGUAXABuACAAIAA9AEwAQQBNAEIARABBACgAXAAiAFYARQBFAFIARwAgADIAMAAyADYAOgAgADQALgAzAC4AMgAuADIAXAB0AEQAQQBUAEEAIAAoAE0ARQBUAEgATwBEACAAMQAgAEEATgBEACAAMgAgAE8AUABUAEkATwBOAFMAKQBcACIAKQA7AFwAbgBcAG4AUwBvAHUAcgBjAGUARABhAHQAYQBfAEQAYQBpAHIAeQBfAEQAdQByAGEAdABpAG8AbgBPAGYAUwB0AGEAeQBfAFYAYQByAGkAYQB0AGkAbwBuAFwAbgAgACAAPQBMAEEATQBCAEQAQQAoAFwAIgBWAEEAUgBJAEEAVABJAE8ATgAgAE8ARgAgAFMATwBVAFIAQwBFADoAIABDAG8AbgB2AGUAcgB0AGUAZAAgAGYAcgBlAGUAIAB0AGUAeAB0ACAAaQBuACAAZABvAGMAdQBtAGUAbgB0ACAAdABvACAAdABhAGIAbABlACwAIABtAGEAdABjAGgAaQBuAGcAIABsAGkAdgBlAHMAdABvAGMAawAgAGMAbABhAHMAcwAgAG4AYQBtAGUAcwAuAFwAIgApADsAXABuAFwAbgBTAG8AdQByAGMAZQBEAGEAdABhAF8ARABhAGkAcgB5AF8ARAB1AHIAYQB0AGkAbwBuAE8AZgBTAHQAYQB5AF8ARABhAHQAYQBcAG4AIAAgAD0ATABBAE0AQgBEAEEAKABcAG4AIAAgACAAIABNAEEASwBFAEEAUgBSAEEAWQAoADYALAAgADMALABcAG4AIAAgACAAIAAgACAATABBAE0AQgBEAEEAKAByACwAYwAsAFwAbgAgACAAIAAgACAAIAAgACAASQBOAEQARQBYACgAewBcAG4AIAAgACAAIAAgACAAIAAgACAAIABcACIAQQBuAGkAbQBhAGwAIABjAGwAYQBzAHMAIABqAFwAIgAsACAAXAAiAEQAdQByAGEAdABpAG8AbgAgACgAdwBlAGEAbgBlAGQAKQBcACIALAAgAFwAIgBEAHUAcgBhAHQAaQBvAG4AIAAoAHAAcgBlAC0AdwBlAGEAbgBlAGQAKQBcACIAOwBcAG4AIAAgACAAIAAgACAAIAAgACAAIABcACIATQBpAGwAawBpAG4AZwAgAGMAbwB3AHMAXAAiACwAIAAzADYANQAsACAAMAA7AFwAbgAgACAAIAAgACAAIAAgACAAIAAgAFwAIgBIAGUAaQBmAGUAcgBzACAAXAB1ADAAMAAzAGUAIAAxACAAeQBlAGEAcgBcACIALAAgADMANgA1ACwAIAAwADsAXABuACAAIAAgACAAIAAgACAAIAAgACAAXAAiAEgAZQBpAGYAZQByAHMAIABcAHUAMAAwADMAYwAgADEAIAB5AGUAYQByAFwAIgAsACAAMgA4ADEALAAgADgANAA7AFwAbgAgACAAIAAgACAAIAAgACAAIAAgAFwAIgBCAHUAbABsAHMAIABcAHUAMAAwADMAZQAgADEAIAB5AGUAYQByAFwAIgAsACAAMwA2ADUALAAgADAAOwBcAG4AIAAgACAAIAAgACAAIAAgACAAIABcACIAQgB1AGwAbABzACAAXAB1ADAAMAAzAGM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EUAbgB0AGUAcgBpAGMATQBlAHQAaABhAG4AZQBfAEQAYQBpAHIAeQBfAEUAcQB1AGEAdABpAG8AbgBzACIALAAiAHQAZQB4AHQAIgA6ACIALwAqAFwAbgA9AD0APQA9AD0APQA9AD0APQA9AD0APQA9AD0APQA9AD0APQA9AD0APQA9AD0APQA9AD0APQA9AD0APQA9AD0APQA9AD0APQA9AD0APQA9AD0APQA9AD0APQA9AD0APQA9AD0APQA9AD0APQA9AD0APQA9AD0APQA9AD0APQA9AD0APQA9AD0APQA9AD0APQA9AD0APQA9AFwAbgAzAC4AMwA6ACAARQBuAHQAZQByAGkAYwAgAE0AZQB0AGgAYQBuAGUAIAAtACAARABhAGkAcgB5ACAAQwBhAHQAdABsAGUAXABuAD0APQA9AD0APQA9AD0APQA9AD0APQA9AD0APQA9AD0APQA9AD0APQA9AD0APQA9AD0APQA9AD0APQA9AD0APQA9AD0APQA9AD0APQA9AD0APQA9AD0APQA9AD0APQA9AD0APQA9AD0APQA9AD0APQA9AD0APQA9AD0APQA9AD0APQA9AD0APQA9AD0APQA9AD0APQA9AD0AXABuADMALgAzAC4AMQAuADEAIABNAGUAdABoAG8AZAAgADEAIAAtACAARQBuAHQAZQByAGkAYwAgAEQAYQBpAHIAeQAgAEMAYQB0AHQAbA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M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kAGEAaQByAHkAIABjAGEAdAB0AGwAZQBcAG4ARQBfAGUAbgB0AGUAcgBpAGMAXABuAHQAIABDAEgANABcAG4ARQBfAHsAZQBuAHQAZQByAGkAYwB9AD0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bgBOAF8AagAxADIANAAgAD0AIABuAHUAbQBiAGUAcgAgAG8AZgAgAGQAYQBpAHIAeQAgAGMAYQB0AHQAbABlACAAaQBuACAAYwBsAGEAcwBzAGUAcwAgAGoAPQAxACwAMgAsADQAIAAoAGgAZQBhAGQAKQBcAG4ATQBfAGoAMQAyADQAIAA9ACAAZABhAGkAbAB5ACAAZQBuAHQAZQByAGkAYwAgAG0AZQB0AGgAYQBuAGUAIABwAHIAbwBkAHUAYwB0AGkAbwBuACAAZgBvAHIAIABjAGwAYQBzAHMAZQBzACAAagA9ADEALAAyACwANAAgACgAawBnACAAQwBIADQALwBoAGUAYQBkAC8AZABhAHkAKQBcAG4ARABfAGoAMQAyADQAIAA9ACAAZAB1AHIAYQB0AGkAbwBuACAAbwBmACAAcwB0AGEAeQAgAG8AbgAgAHQAaABlACAAZgBhAHIAbQAgAGYAbwByACAAYwBsAGEAcwBzAGUAcwAgAGoAPQAxACwAMgAsADQAIAAoAGQAYQB5AHMAKQBcAG4ATgBfAGoAMwA1ACAAPQAgAG4AdQBtAGIAZQByACAAbwBmACAAZABhAGkAcgB5ACAAYwBhAHQAdABsAGUAIABpAG4AIABjAGwAYQBzAHMAZQBzACAAagA9ADMALAA1ACAAKABoAGUAYQBkACkAXABuAE0AXwBqADMANQAgAD0AIABkAGEAaQBsAHkAIABlAG4AdABlAHIAaQBjACAAbQBlAHQAaABhAG4AZQAgAHAAcgBvAGQAdQBjAHQAaQBvAG4AIABmAG8AcgAgAGMAbABhAHMAcwBlAHMAIABqAD0AMwAsADUAIAAoAGsAZwAgAEMASAA0AC8AaABlAGEAZAAvAGQAYQB5ACkAXABuAEQAXwBqADMANQAgAD0AIABkAHUAcgBhAHQAaQBvAG4AIABvAGYAIABzAHQAYQB5ACAAbwBuACAAdABoAGUAIABmAGEAcgBtACAAZgBvAHIAIABjAGwAYQBzAHMAZQBzACAAagA9ADMALAA1ACAAKABkAGEAeQBzACkAXABuAE0AUABXAF8ARQBOAFQARQBSAEkAQwBfAGoAMwA1ACAAPQAgAGQAYQBpAGwAeQAgAG0AZQB0AGgAYQBuAGUAIABwAHIAbwBkAHUAYwB0AGkAbwBuACAAZgBvAHIAIABwAHIAZQAtAHcAZQBhAG4AZQBkACAAaABlAGkAZgBlAHIAIABhAG4AZAAgAGIAdQBsAGwAIABjAGEAbAB2AGUAcwAgACgAawBnACAAQwBIADQALwBoAGUAYQBkAC8AZABhAHkAKQBcAG4ALQAtAC0ALQAtAC0ALQAtAC0ALQAtAC0ALQAtAC0ALQAtAC0ALQAtAC0ALQAtAC0ALQAtAC0ALQAtAC0ALQAtAC0ALQAtAC0ALQAtAFwAbgAqAC8AXABuAFwAbgBWAEUARQBSAEcAXwAzAF8AMwBfADEAXwAxAF8AXwAxAF8AVABvAHQAYQBsAEEAbgBuAHUAYQBsAE0AZQB0AGgAYQBuAGUARgByAG8AbQBFAG4AdABlAHIAaQBjAEYAZQByAG0AZQBuAHQAYQB0AGkAbwBuAFwAbgAgACAAPQBMAEEATQBCAEQAQQAoAFwAbgAgACAAIAAgAE4AXwBqADEAMgA0ACwAIABNAF8AagAxADIANAAsACAARABfAGoAMQAyADQALAAgAE4AXwBqADMANQAsACAATQBfAGoAMwA1ACwAIABE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XwBqADMANQApACkAIAAqACAAMQAwACAAXgAgAC0AMwBcAG4AIAAgACkAOwBcAG4AXABuAFYARQBFAFIARwBfADMAXwAzAF8AMQBfADEAXwBfADEAXwBUAG8AdABhAGwAQQBuAG4AdQBhAGwATQBlAHQAaABhAG4AZQBGAHIAbwBtAEUAbgB0AGUAcgBpAGMARgBlAHIAbQBlAG4AdABhAHQAaQBvAG4AVgBhAHIAaQBhAHQAaQBvAG4AXABuACAAIAA9AEwAQQBNAEIARABBACgAXABuACAAIAAgACAATgBfAGoAMQAyADQALAAgAE0AXwBqADEAMgA0ACwAIABEAF8AagAxADIANAAsACAATgBfAGoAMwA1ACwAIABNAF8AagAzADUALAAgAEQAXwBqADMANQAsACAARABQAFc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QAFcAXwBqADMANQApACkAIAAqACAAMQAwACAAXgAgAC0AMwBcAG4AIAAgACkAOwBcAG4AXABuAFYARQBFAFIARwBfADMAXwAz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ABhAGkAcgB5ACAAYwBhAHQAdABsAGUAXAAiACkAOwBcAG4AXABuAFYARQBFAFIARwBfADMAXwAzAF8AMQBfADEAXwBfADEAXwBUAG8AdABhAGwAQQBuAG4AdQBhAGwATQBlAHQAaABhAG4AZQBGAHIAbwBtAEUAbgB0AGUAcgBpAGMARgBlAHIAbQBlAG4AdABhAHQAaQBvAG4AXwBWAGEAcgBpAGEAYgBsAGUAXABuACAAIAA9AEwAQQBNAEIARABBACgAXAAiAEUAXwBlAG4AdABlAHIAaQBjAFwAIgApADsAXABuAFwAbgBWAEUARQBSAEcAXwAzAF8AMwBfADEAXwAxAF8AXwAxAF8AVABvAHQAYQBsAEEAbgBuAHUAYQBsAE0AZQB0AGgAYQBuAGUARgByAG8AbQBFAG4AdABlAHIAaQBjAEYAZQByAG0AZQBuAHQAYQB0AGkAbwBuAF8AVQBuAGkAdABcAG4AIAAgAD0ATABBAE0AQgBEAEEAKABcACIAdAAgAEMASAA0AFwAIgApADsAXABuAFwAbgBWAEUARQBSAEcAXwAzAF8AMwBfADEAXwAxAF8AXwAxAF8AVABvAHQAYQBsAEEAbgBuAHUAYQBsAE0AZQB0AGgAYQBuAGUARgByAG8AbQBFAG4AdABlAHIAaQBjAEYAZQByAG0AZQBuAHQAYQB0AGkAbwBuAF8AUwBvAHUAcgBjAGUAXABuACAAIAA9AEwAQQBNAEIARABBACgAXAAiAFYARQBFAFIARwAgADIAMAAyADYAOgAgADMALgAzAC4AMQAuADEALAAgAEUAcQB1AGEAdABpAG8AbgAgACgAMQApAFwAIgApADsAXABuAFwAbgBWAEUARQBSAEcAXwAzAF8AMwBfADEAXwAxAF8AXwAxAF8AVABvAHQAYQBsAEEAbgBuAHUAYQBsAE0AZQB0AGgAYQBuAGUARgByAG8AbQBFAG4AdABlAHIAaQBjAEYAZQByAG0AZQBuAHQAYQB0AGkAbwBuAF8ATgBJAFIAUgBlAGYAZQByAGUAbgBjAGUAXABuACAAIAA9AEwAQQBNAEIARABBACgAXAAiAFwAIgApADsAXABuAFwAbgBWAEUARQBSAEcAXwAzAF8AMw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CIAKQA7AFwAbgBcAG4AVgBFAEUAUgBHAF8AMwBfADMAXwAxAF8AMQBfAF8AMQBfAFQAbwB0AGEAbABBAG4AbgB1AGEAbABNAGUAdABoAGEAbgBlAEYAcgBvAG0ARQBuAHQAZQByAGkAYwBGAGUAcgBtAGUAbgB0AGEAdABpAG8AbgBfAEwAYQB0AGUAeABFAHEAdQBhAHQAaQBvAG4AVgBhAHIAa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AAVwBfAHsAagA9ADMALAA1AH0AKQApAFwAXAB0AGkAbQBlAHMAIAAxADAAXgB7AC0AMwB9AFwAIgApADsAXABuAFwAbgBWAEUARQBSAEcAXwAzAF8AMwBfADEAXwAxAF8AXwAxAF8AVABvAHQAYQBsAEEAbgBuAHUAYQBsAE0AZQB0AGgAYQBuAGUARgByAG8AbQBFAG4AdABlAHIAaQBjAEYAZQByAG0AZQBuAHQAYQB0AGkAbwBu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XAAiACwAIABcACIAZABhAGkAbAB5ACAAZQBuAHQAZQByAGkAYwAgAG0AZQB0AGgAYQBuAGUAIABwAHIAbwBkAHUAYwB0AGkAbwBuACAAZgBvAHIAIABjAGwAYQBzAHMAZQBzACAAagA9ADEALAAyACwANABcACIALAAgAFwAIgBrAGcAIABDAEgANAAvAGgAZQBhAGQALwBkAGEAeQBcACIALAAgAFwAIgBDAGEAbABjAHUAbABhAHQAZQBkACAAZgByAG8AbQAgADMALgAzAC4AMQAuADEAIAAoADIAKQBcACIAOwBcAG4AIAAgACAAIAAgACAAIAAgACAAIABcACIARABfAGoAMQAyADQAXAAiACwAIABcACIAZAB1AHIAYQB0AGkAbwBuACAAbwBmACAAcwB0AGEAeQAgAG8AbgAgAHQAaABl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FwAIgAsACAAXAAiAGQAYQBpAGwAeQAgAGUAbgB0AGUAcgBpAGMAIABtAGUAdABoAGEAbgBlACAAcAByAG8AZAB1AGMAdABpAG8AbgAgAGYAbwByACAAdwBlAGEAbgBlAGQAIABjAGwAYQBzAHMAZQBzACAAagA9ADMALAA1AFwAIgAsACAAXAAiAGsAZwAgAEMASAA0AC8AaABlAGEAZAAvAGQAYQB5AFwAIgAsACAAXAAiAEMAYQBsAGMAdQBsAGEAdABlAGQAIABmAHIAbwBtACAAMwAuADMALgAxAC4AMQAgACgAMgApAFwAIgA7AFwAbgAgACAAIAAgACAAIAAgACAAIAAgAFwAIgBEAF8AagAzADUAXAAiACwAIABcACIAZAB1AHIAYQB0AGkAbwBuACAAbwBmACAAcwB0AGEAeQAgAG8AbgAgAHQAaABlACAAZgBhAHIAbQAgAGYAbwByACAAdwBlAGEAbgBlAGQAIABjAGwAYQBzAHMAZQBzACAAagA9ADMALAA1AFwAIgAsACAAXAAiAGQAYQB5AHMAXAAiACwAIABcACIASQBuAHAAdQB0AFwAIgA7AFwAbgAgACAAIAAgACAAIAAgACAAIAAgAFwAIgBEAFAAVwBfAGoAMwA1AFwAIgAsACAAXAAiAGQAdQByAGEAdABpAG8AbgAgAG8AZgAgAHMAdABhAHkAIABvAG4AIAB0AGgAZQAgAGYAYQByAG0AIABmAG8AcgAgAHAAcgBlAC0AdwBlAGEAbgBlAGQAIABoAGUAaQBmAGUAcgAgAGEAbgBkACAAYgB1AGwAbAAgAGMAYQBsAHYAZQBzAFwAIgAsACAAXAAiAGQAYQB5AHMAXAAiACwAIABcACIASQBuAHAAdQB0AFwAIgA7AFwAbgAgACAAIAAgACAAIAAgACAAIAAgAFwAIgBNAFAAVwBfAEUATgBUAEUAUgBJAEMAXwBqADMANQBcACIALAAgAFwAIgBkAGEAaQBsAHkAIABtAGUAdABoAGEAbgBlACAAcAByAG8AZAB1AGMAdABpAG8AbgAgAGYAbwByACAAcAByAGUALQB3AGUAYQBuAGUAZAAgAGgAZQBpAGYAZQByACAAYQBuAGQAIABiAHUAbABsACAAYwBhAGwAdgBlAHMAXAAiACwAIABcACIAawBnACAAQwBIADQALwBoAGUAYQBkAC8AZABhAHkAXAAiACwAIABcACIAQwBvAG4AcwB0AGEAbgB0AFwAIgBcAG4AXABuACAAIAAgACAAIAAgACAAIAB9ACwAIAByACwAIABjACkAXABuACAAIAAgACAAIAAgACkAXABuACAAIAAgACAAKQBcAG4AIAAgACkAOwBcAG4AXABuAFYARQBFAFIARwBfADMAXwAzAF8AMQBfADEAXwBfADEAXwBUAG8AdABhAGwAQQBuAG4AdQBhAGwATQBlAHQAaABhAG4AZQBGAHIAbwBtAEUAbgB0AGUAcgBpAGMARgBlAHIAbQBlAG4AdABhAHQAaQBvAG4AXwBWAGEAcgBpAGEAdABpAG8AbgBcAG4AIAAgAD0ATABBAE0AQgBEAEEAKABcACIAVgBBAFIASQBBAFQASQBPAE4AIABPAE4AIABTAE8AVQBSAEMARQA6ACAAQQBkAGQAZQBkACAAXAB1ADAAMAAyADcARABQAFcAXAB1ADAAMAAyADcAIAB2AGEAcgBpAGEAYgBsAGUAIAB0AG8AIABhAGwAbABvAHcAIABmAG8AcgAgAGEAIABzAGUAcABhAHIAYQB0AGUAIABoAGEAbgBkAGwAaQBuAGcAIABvAGYAIABwAHIAZQAtAHcAZQBhAG4AZQBkACAAZAB1AHIAYQB0AGkAbwBuAC4AXAAiACkAOwBcAG4AXABuAC8AKgBcAG4ALQAtAC0ALQAtAC0ALQAtAC0ALQAtAC0ALQAtAC0ALQAtAC0ALQAtAC0ALQAtAC0ALQAtAC0ALQAtAC0ALQAtAC0ALQAtAC0ALQAtAFwAbgBWAEUARQBSAEcAXwAzAF8AMwBfADEAXwAxAF8AXwAyAF8ARABhAGkAbAB5AEUAbgB0AGUAcgBpAGMATQBlAHQAaABhAG4AZQBQAHIAbwBkAHUAYwB0AGkAbwBuAFwAbgBEAGEAaQBsAHkAIABwAHIAbwBkAHUAYwB0AGkAbwBuACAAbwBmACAAZQBuAHQAZQByAGkAYwAgAG0AZQB0AGgAYQBuAGUAXABuAE0AXwBqAFwAbgBrAGcAIABDAEgANAAvAGgAZQBhAGQALwBkAGEAeQBcAG4ATQBfAGoAPQAyADAALgA3AFwAXAB0AGkAbQBlAHMAIABJAF8AagBcAFwAdABpAG0AZQBzACAAMQAwAF4AewAtADMAfQBcAG4ASQBfAGoAIAA9ACAAZAByAHkAIABtAGEAdAB0AGUAcgAgAGYAZQBlAGQAIABpAG4AdABhAGsAZQAgACgAawBnACAARABNAC8AaABlAGEAZAAvAGQAYQB5ACkAXABuAC0ALQAtAC0ALQAtAC0ALQAtAC0ALQAtAC0ALQAtAC0ALQAtAC0ALQAtAC0ALQAtAC0ALQAtAC0ALQAtAC0ALQAtAC0ALQAtAC0ALQBcAG4AKgAvAFwAbgBcAG4AVgBFAEUAUgBHAF8AMwBfADMAXwAxAF8AMQBfAF8AMgBfAEQAYQBpAGwAeQBFAG4AdABlAHIAaQBjAE0AZQB0AGgAYQBuAGUAUAByAG8AZAB1AGMAdABpAG8AbgBcAG4AIAAgAD0ATABBAE0AQgBEAEEAKABcAG4AIAAgACAAIABJAF8AagAsAFwAbgAgACAAIAAgADIAMAAuADcAIAAqACAASQBfAGoAIAAqACAAMQAwACAAXgAgAC0AMwBcAG4AIAAgACkAOwBcAG4AXABuAFYARQBFAFIARwBfADMAXwAz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MAXwAxAF8AMQBfAF8AMgBfAEQAYQBpAGwAeQBFAG4AdABlAHIAaQBjAE0AZQB0AGgAYQBuAGUAUAByAG8AZAB1AGMAdABpAG8AbgBfAFYAYQByAGkAYQBiAGwAZQBcAG4AIAAgAD0ATABBAE0AQgBEAEEAKABcACIATQBfAGoAXAAiACkAOwBcAG4AXABuAFYARQBFAFIARwBfADMAXwAzAF8AMQBfADEAXwBfADIAXwBEAGEAaQBsAHkARQBuAHQAZQByAGkAYwBNAGUAdABoAGEAbgBlAFAAcgBvAGQAdQBjAHQAaQBvAG4AXwBVAG4AaQB0AFwAbgAgACAAPQBMAEEATQBCAEQAQQAoAFwAIgBrAGcAIABDAEgANAAvAGgAZQBhAGQALwBkAGEAeQBcACIAKQA7AFwAbgBcAG4AVgBFAEUAUgBHAF8AMwBfADMAXwAxAF8AMQBfAF8AMgBfAEQAYQBpAGwAeQBFAG4AdABlAHIAaQBjAE0AZQB0AGgAYQBuAGUAUAByAG8AZAB1AGMAdABpAG8AbgBfAFMAbwB1AHIAYwBlAFwAbgAgACAAPQBMAEEATQBCAEQAQQAoAFwAIgBWAEUARQBSAEcAIAAyADAAMgA2ADoAIAAzAC4AMwAuADEALgAxACwAIABFAHEAdQBhAHQAaQBvAG4AIAAoADIAKQBcACIAKQA7AFwAbgBcAG4AVgBFAEUAUgBHAF8AMwBfADMAXwAxAF8AMQBfAF8AMgBfAEQAYQBpAGwAeQBFAG4AdABlAHIAaQBjAE0AZQB0AGgAYQBuAGUAUAByAG8AZAB1AGMAdABpAG8AbgBfAE4ASQBSAFIAZQBmAGUAcgBlAG4AYwBlAFwAbgAgACAAPQBMAEEATQBCAEQAQQAoAFwAIgBDAGgAYQByAG0AbABlAHkAIABlAHQAIABhAGwALgAgACgAMgAwADEANQApAFwAIgApADsAXABuAFwAbgBWAEUARQBSAEcAXwAzAF8AMwBfADEAXwAxAF8AXwAyAF8ARABhAGkAbAB5AEUAbgB0AGUAcgBpAGMATQBlAHQAaABhAG4AZQBQAHIAbwBkAHUAYwB0AGkAbwBuAF8ATABhAHQAZQB4AEUAcQB1AGEAdABpAG8AbgBcAG4AIAAgAD0ATABBAE0AQgBEAEEAKABcACIATQBfAGoAPQAyADAALgA3AFwAXAB0AGkAbQBlAHMAIABJAF8AagBcAFwAdABpAG0AZQBzACAAMQAwAF4AewAtADMAfQBcACIAKQA7AFwAbgBcAG4AVgBFAEUAUgBHAF8AMwBfADM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cACIALAAgAFwAIgBkAHIAeQAgAG0AYQB0AHQAZQByACAAZgBlAGUAZAAgAGkAbgB0AGEAawBlAFwAIgAsACAAXAAiAGsAZwAgAEQATQAvAGgAZQBhAGQALwBkAGEAeQBcACIALAAgAFwAIgBDAGEAbABjAHUAbABhAHQAZQBkACAAZgByAG8AbQAgADMALgAzAC4AMQAuADEAIAAoADM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zAF8ARAByAHkATQBhAHQAdABlAHIARgBlAGUAZABJAG4AdABhAGsAZQBcAG4ARgBlAGUAZAAgAGkAbgB0AGEAawBlAFwAbgBJAF8AagBcAG4AawBnACAARABNAC8AaABlAGEAZAAvAGQAYQB5AFwAbgBJAF8AagA9ACgAMQAuADEAOAA1ACsAMAAuADAAMAA0ADUANABcAFwAdABpAG0AZQBzACAAVwBfAGoALQAwAC4AMAAwADAAMAAwADIANgBcAFwAdABpAG0AZQBzACAAVwBfAGoAXgAyACsAMAAuADMAMQA1AFwAXAB0AGkAbQBlAHMAIABMAFcARwBfAGoAKQBeADIAXABcAHQAaQBtAGUAcwAgAE0AUgBfAGoAKwBNAEkAXwBqAFwAbgBXAF8AagAgAD0AIABsAGkAdgBlAHcAZQBpAGcAaAB0ACAAKABrAGcAKQBcAG4ATABXAEcAXwBqACAAPQAgAGwAaQB2AGUAdwBlAGkAZwBoAHQAIABnAGEAaQBuACAAKABrAGcALwBoAGUAYQBkAC8AZABhAHkAKQBcAG4ATQBSAF8AagAgAD0AIABpAG4AYwByAGUAYQBzAGUAIABpAG4AIABtAGUAdABhAGIAbwBsAGkAYwAgAHIAYQB0AGUAIAB3AGgAZQBuACAAcAByAG8AZAB1AGMAaQBuAGcAIABtAGkAbABrACAAKABmAHIAYQBjAHQAaQBvAG4AKQBcAG4ATQBJAF8AagAgAD0AIABhAGQAZABpAHQAaQBvAG4AYQBsACAAaQBuAHQAYQBrAGUAIAByAGUAcQB1AGkAcgBlAGQAIABmAG8AcgAgAG0AaQBsAGsAIABwAHIAbwBkAHUAYwB0AGkAbwBuACAAKABrAGcAIABEAE0ALwBoAGUAYQBkAC8AZABhAHkAKQBcAG4ALQAtAC0ALQAtAC0ALQAtAC0ALQAtAC0ALQAtAC0ALQAtAC0ALQAtAC0ALQAtAC0ALQAtAC0ALQAtAC0ALQAtAC0ALQAtAC0ALQAtAFwAbgAqAC8AXABuAFwAbgBWAEUARQBSAEcAXwAzAF8AMwBfADEAXwAxAF8AXwAzAF8ARAByAHkATQBhAHQAdABlAHIARgBlAGUAZABJAG4AdABhAGsAZQBcAG4AIAAgAD0ATABBAE0AQgBEAEEAKABcAG4AIAAgACAAIABXAF8AagAsACAATABXAEcAXwBqACwAIABNAFIAXwBqACwAIABNAEkAXwBqACwAXABuACAAIAAgACAAKAAxAC4AMQA4ADUAIAArACAAMAAuADAAMAA0ADUANAAgACoAIABXAF8AagAgAC0AIAAwAC4AMAAwADAAMAAwADIANgAgACoAIABXAF8AagAgAF4AIAAyACAAKwAgADAALgAzADEANQAgACoAIABMAFcARwBfAGoAKQAgAF4AIAAyACAAKgAgAE0AUgBfAGoAIAArACAATQBJAF8AagBcAG4AIAAgACkAOwBcAG4AXABuAFYARQBFAFIARwBfADMAXwAzAF8AMQBfADEAXwBfADMAXwBEAHIAeQBNAGEAdAB0AGUAcgBGAGUAZQBkAEkAbgB0AGEAawBlAF8AVABpAHQAbABlAFwAbgAgACAAPQBMAEEATQBCAEQAQQAoAFwAIgBGAGUAZQBkACAAaQBuAHQAYQBrAGUAXAAiACkAOwBcAG4AXABuAFYARQBFAFIARwBfADMAXwAzAF8AMQBfADEAXwBfADMAXwBEAHIAeQBNAGEAdAB0AGUAcgBGAGUAZQBkAEkAbgB0AGEAawBlAF8AVgBhAHIAaQBhAGIAbABlAFwAbgAgACAAPQBMAEEATQBCAEQAQQAoAFwAIgBJAF8AagBcACIAKQA7AFwAbgBcAG4AVgBFAEUAUgBHAF8AMwBfADMAXwAxAF8AMQBfAF8AMwBfAEQAcgB5AE0AYQB0AHQAZQByAEYAZQBlAGQASQBuAHQAYQBrAGUAXwBVAG4AaQB0AFwAbgAgACAAPQBMAEEATQBCAEQAQQAoAFwAIgBrAGcAIABEAE0ALwBoAGUAYQBkAC8AZABhAHkAXAAiACkAOwBcAG4AXABuAFYARQBFAFIARwBfADMAXwAzAF8AMQBfADEAXwBfADMAXwBEAHIAeQBNAGEAdAB0AGUAcgBGAGUAZQBkAEkAbgB0AGEAawBlAF8AUwBvAHUAcgBjAGUAXABuACAAIAA9AEwAQQBNAEIARABBACgAXAAiAFYARQBFAFIARwAgADIAMAAyADYAOgAgADMALgAzAC4AMQAuADEALAAgAEUAcQB1AGEAdABpAG8AbgAgACgAMwApAFwAIgApADsAXABuAFwAbgBWAEUARQBSAEcAXwAzAF8AMwBfADEAXwAxAF8AXwAzAF8ARAByAHkATQBhAHQAdABlAHIARgBlAGUAZABJAG4AdABhAGsAZQBfAE4ASQBSAFIAZQBmAGUAcgBlAG4AYwBlAFwAbgAgACAAPQBMAEEATQBCAEQAQQAoAFwAIgBcACIAKQA7AFwAbgBcAG4AVgBFAEUAUgBHAF8AMwBfADMAXwAxAF8AMQBfAF8AMwBfAEQAcgB5AE0AYQB0AHQAZQByAEYAZQBlAGQASQBuAHQAYQBrAGUAXwBMAGEAdABlAHgARQBxAHUAYQB0AGkAbwBuAFwAbgAgACAAPQBMAEEATQBCAEQAQQAoAFwAIgBJAF8AagA9ACgAMQAuADEAOAA1ACsAMAAuADAAMAA0ADUANABcAFwAdABpAG0AZQBzACAAVwBfAGoALQAwAC4AMAAwADAAMAAwADIANgBcAFwAdABpAG0AZQBzACAAVwBfAGoAXgAyACsAMAAuADMAMQA1AFwAXAB0AGkAbQBlAHMAIABMAFcARwBfAGoAKQBeADIAXABcAHQAaQBtAGUAcwAgAE0AUgBfAGoAKwBNAEkAXwBqAFwAIgApADsAXABuAFwAbgBWAEUARQBSAEcAXwAzAF8AMwBfADEAXwAxAF8AXwAzAF8ARAByAHkATQBhAHQAdABlAHIARgBlAGUAZABJAG4AdABhAGsAZQBfAEEAcgBnAHUAbQBlAG4AdABzAFwAbgAgACAAPQBMAEEATQBCAEQAQQAoAFwAbgAgACAAIAAgAE0AQQBLAEUAQQBSAFIAQQBZACgANAAsACAANAAsAFwAbgAgACAAIAAgACAAIABMAEEATQBCAEQAQQAoAHIALABjACwAXABuACAAIAAgACAAIAAgACAAIABJAE4ARABFAFgAKAB7AFwAbgAgACAAIAAgACAAIAAgACAAIAAgAFwAIgBXAF8AagBcACIALAAgAFwAIgBsAGkAdgBlAHcAZQBpAGcAaAB0AFwAIgAsACAAXAAiAGsAZwBcACIALAAgAFwAIgBJAG4AcAB1AHQAXAAiADsAXABuACAAIAAgACAAIAAgACAAIAAgACAAXAAiAEwAVwBHAF8AagBcACIALAAgAFwAIgBsAGkAdgBlAHcAZQBpAGcAaAB0ACAAZwBhAGkAbgBcACIALAAgAFwAIgBrAGcALwBoAGUAYQBkAC8AZABhAHkAXAAiACwAIABcACIASQBuAHAAdQB0AFwAIgA7AFwAbgAgACAAIAAgACAAIAAgACAAIAAgAFwAIgBNAFIAXwBqAFwAIgAsACAAXAAiAGkAbgBjAHIAZQBhAHMAZQAgAGkAbgAgAG0AZQB0AGEAYgBvAGwAaQBjACAAcgBhAHQAZQAgAHcAaABlAG4AIABwAHIAbwBkAHUAYwBpAG4AZwAgAG0AaQBsAGsAXAAiACwAIABcACIAZgByAGEAYwB0AGkAbwBuAFwAIgAsACAAXAAiAEMAbwBuAHMAdABhAG4AdABcACIAOwBcAG4AIAAgACAAIAAgACAAIAAgACAAIABcACIATQBJAF8AagBcACIALAAgAFwAIgBhAGQAZABpAHQAaQBvAG4AYQBsACAAaQBuAHQAYQBrAGUAIAByAGUAcQB1AGkAcgBlAGQAIABmAG8AcgAgAG0AaQBsAGsAIABwAHIAbwBkAHUAYwB0AGkAbwBuAFwAIgAsACAAXAAiAGsAZwAg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0AF8AQQBkAGQAaQB0AGkAbwBuAGEAbABJAG4AdABhAGsAZQBGAG8AcgBNAGkAbABrAFAAcgBvAGQAdQBjAHQAaQBvAG4AXABuAEEAZABkAGkAdABpAG8AbgBhAGwAIABpAG4AdABhAGsAZQAgAHIAZQBxAHUAaQByAGUAZAAgAGYAbwByACAAbQBpAGwAawAgAHAAcgBvAGQAdQBjAHQAaQBvAG4AXABuAE0ASQBfAGoAXABuAGsAZwAgAEQATQAvAGgAZQBhAGQALwBkAGEAeQBcAG4ATQBJAF8AagA9ACgATQBQAF8AagBcAFwAdABpAG0AZQBzACAAMQAuADAAMwBcAFwAdABpAG0AZQBzACAATgBFACkALwAoAEcARQBDAFwAXAB0AGkAbQBlAHMAIABrAFwAXAB0AGkAbQBlAHMAIABxAG0AXwBqACkAXABuAE0AUABfAGoAIAA9ACAAbQBpAGwAawAgAHAAcgBvAGQAdQBjAHQAaQBvAG4AIAAoAEwALwBoAGUAYQBkAC8AZABhAHkAKQBcAG4ATgBFACAAPQAgAG4AZQB0ACAAZQBuAGUAcgBnAHkAIAAoAE0ASgAgAG4AZQB0ACAAZQBuAGUAcgBnAHkALwBrAGcAIABtAGkAbABrACkAXABuAEcARQBDACAAPQAgAGcAcgBvAHMAcwAgAGUAbgBlAHIAZwB5ACAAYwBvAG4AdABlAG4AdAAgACgATQBKAC8AawBnAEQATQApAFwAbgBrACAAPQAgAGUAZgBmAGkAYwBpAGUAbgBjAHkAIABvAGYAIABtAGUAdABhAGIAbwBsAGkAegBhAGIAbABlACAAZQBuAGUAcgBnAHkAIAB1AHMAZQAgAGYAbwByACAAbQBpAGwAawAgAHAAcgBvAGQAdQBjAHQAaQBvAG4AIAAoAGYAcgBhAGMAdABpAG8AbgApAFwAbgBxAG0AXwBqACAAPQAgAG0AZQB0AGEAYgBvAGwAaQBzAGEAYgBpAGwAaQB0AHkAIABvAGYAIAB0AGgAZQAgAGQAaQBlAHQAIAAoAGYAcgBhAGMAdABpAG8AbgApAFwAbgAtAC0ALQAtAC0ALQAtAC0ALQAtAC0ALQAtAC0ALQAtAC0ALQAtAC0ALQAtAC0ALQAtAC0ALQAtAC0ALQAtAC0ALQAtAC0ALQAtAC0AXABuACoALwBcAG4AXABuAFYARQBFAFIARwBfADMAXwAzAF8AMQBfADEAXwBfADQAXwBBAGQAZABpAHQAaQBvAG4AYQBsAEkAbgB0AGEAawBlAEYAbwByAE0AaQBsAGsAUAByAG8AZAB1AGMAdABpAG8AbgBcAG4AIAAgAD0ATABBAE0AQgBEAEEAKABcAG4AIAAgACAAIABNAFAAXwBqACwAIABOAEUALAAgAEcARQBDACwAIABrACwAIABxAG0AXwBqACwAXABuACAAIAAgACAAKABNAFAAXwBqACAAKgAgADEALgAwADMAIAAqACAATgBFACkAIAAvACAAKABHAEUAQwAgACoAIABrACAAKgAgAHEAbQBfAGoAKQBcAG4AIAAgACkAOwBcAG4AXABuAFYARQBFAFIARwBfADMAXwAzAF8AMQBfADEAXwBfADQAXwBBAGQAZABpAHQAaQBvAG4AYQBsAEkAbgB0AGEAawBlAEYAbwByAE0AaQBsAGsAUAByAG8AZAB1AGMAdABpAG8AbgBfAFQAaQB0AGwAZQBcAG4AIAAgAD0ATABBAE0AQgBEAEEAKABcACIAQQBkAGQAaQB0AGkAbwBuAGEAbAAgAGkAbgB0AGEAawBlACAAcgBlAHEAdQBpAHIAZQBkACAAZgBvAHIAIABtAGkAbABrACAAcAByAG8AZAB1AGMAdABpAG8AbgBcACIAKQA7AFwAbgBcAG4AVgBFAEUAUgBHAF8AMwBfADMAXwAxAF8AMQBfAF8ANABfAEEAZABkAGkAdABpAG8AbgBhAGwASQBuAHQAYQBrAGUARgBvAHIATQBpAGwAawBQAHIAbwBkAHUAYwB0AGkAbwBuAF8AVgBhAHIAaQBhAGIAbABlAFwAbgAgACAAPQBMAEEATQBCAEQAQQAoAFwAIgBNAEkAXwBqAFwAIgApADsAXABuAFwAbgBWAEUARQBSAEcAXwAzAF8AMwBfADEAXwAxAF8AXwA0AF8AQQBkAGQAaQB0AGkAbwBuAGEAbABJAG4AdABhAGsAZQBGAG8AcgBNAGkAbABrAFAAcgBvAGQAdQBjAHQAaQBvAG4AXwBVAG4AaQB0AFwAbgAgACAAPQBMAEEATQBCAEQAQQAoAFwAIgBrAGcAIABEAE0ALwBoAGUAYQBkAC8AZABhAHkAXAAiACkAOwBcAG4AXABuAFYARQBFAFIARwBfADMAXwAzAF8AMQBfADEAXwBfADQAXwBBAGQAZABpAHQAaQBvAG4AYQBsAEkAbgB0AGEAawBlAEYAbwByAE0AaQBsAGsAUAByAG8AZAB1AGMAdABpAG8AbgBfAFMAbwB1AHIAYwBlAFwAbgAgACAAPQBMAEEATQBCAEQAQQAoAFwAIgBWAEUARQBSAEcAIAAyADAAMgA2ADoAIAAzAC4AMwAuADEALgAxACwAIABFAHEAdQBhAHQAaQBvAG4AIAAoADQAKQBcACIAKQA7AFwAbgBcAG4AVgBFAEUAUgBHAF8AMwBfADMAXwAxAF8AMQBfAF8ANABfAEEAZABkAGkAdABpAG8AbgBhAGwASQBuAHQAYQBrAGUARgBvAHIATQBpAGwAawBQAHIAbwBkAHUAYwB0AGkAbwBuAF8ATgBJAFIAUgBlAGYAZQByAGUAbgBjAGUAXABuACAAIAA9AEwAQQBNAEIARABBACgAXAAiAFwAIgApADsAXABuAFwAbgBWAEUARQBSAEcAXwAzAF8AMwBfADEAXwAxAF8AXwA0AF8AQQBkAGQAaQB0AGkAbwBuAGEAbABJAG4AdABhAGsAZQBGAG8AcgBNAGkAbABrAFAAcgBvAGQAdQBjAHQAaQBvAG4AXwBMAGEAdABlAHgARQBxAHUAYQB0AGkAbwBuAFwAbgAgACAAPQBMAEEATQBCAEQAQQAoAFwAIgBNAEkAXwBqAD0AXABcAGYAcgBhAGMAewBNAFAAXwBqAFwAXAB0AGkAbQBlAHMAIAAxAC4AMAAzAFwAXAB0AGkAbQBlAHMAIABOAEUAfQB7AEcARQBDAFwAXAB0AGkAbQBlAHMAIABrAFwAXAB0AGkAbQBlAHMAIABxAG0AXwBqAH0AXAAiACkAOwBcAG4AXABuAFYARQBFAFIARwBfADMAXwAzAF8AMQBfADEAXwBfADQAXwBBAGQAZABpAHQAaQBvAG4AYQBsAEkAbgB0AGEAawBlAEYAbwByAE0AaQBsAGsAUAByAG8AZAB1AGMAdABpAG8AbgBfAEEAcgBnAHUAbQBlAG4AdABzAFwAbgAgACAAPQBMAEEATQBCAEQAQQAoAFwAbgAgACAAIAAgAE0AQQBLAEUAQQBSAFIAQQBZACgANw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AAXwBqAFwAIgAsACAAXAAiAG0AaQBsAGsAIABwAHIAbwBkAHUAYwB0AGkAbwBuACAAKABpAGYAIABpAG4AcAB1AHQAIABhAHMAIABsAGkAdAByAGUAcwAgAG8AZgAgAG0AaQBsAGsAKQBcACIALAAgAFwAIgBMAC8AaABlAGEAZAAvAGQAYQB5AFwAIgAsACAAXAAiAEkAbgBwAHUAdABcACIAOwBcAG4AIAAgACAAIAAgACAAIAAgACAAIABcACIATQBQAF8AagBcACIALAAgAFwAIgBtAGkAbABrACAAcAByAG8AZAB1AGMAdABpAG8AbgAgACgAaQBmACAAaQBuAHAAdQB0ACAAYQBzACAAbQBpAGwAawAgAHMAbwBsAGkAZABzACkAXAAiACwAIABcACIATAAvAGgAZQBhAGQALwBkAGEAeQBcACIALAAgAFwAIgBDAGEAbABjAHUAbABhAHQAZQBkACAAZgByAG8AbQAgADMALgAzAC4AMQAuADEAIAAoADUAKQBcACIAOwBcAG4AIAAgACAAIAAgACAAIAAgACAAIABcACIATgBFAFwAIgAsACAAXAAiAG4AZQB0ACAAZQBuAGUAcgBnAHkAXAAiACwAIABcACIATQBKACAAbgBlAHQAIABlAG4AZQByAGcAeQAvAGsAZwAgAG0AaQBsAGsAXAAiACwAIABcACIAQwBvAG4AcwB0AGEAbgB0AFwAIgA7AFwAbgAgACAAIAAgACAAIAAgACAAIAAgAFwAIgBHAEUAQwBcACIALAAgAFwAIgBnAHIAbwBzAHMAIABlAG4AZQByAGcAeQAgAGMAbwBuAHQAZQBuAHQAXAAiACwAIABcACIATQBKAC8AawBnAEQATQBcACIALAAgAFwAIgBDAG8AbgBzAHQAYQBuAHQAXAAiADsAXABuACAAIAAgACAAIAAgACAAIAAgACAAXAAiAGsAXAAiACwAIABcACIAZQBmAGYAaQBjAGkAZQBuAGMAeQAgAG8AZgAgAG0AZQB0AGEAYgBvAGwAaQB6AGEAYgBsAGUAIABlAG4AZQByAGcAeQAgAHUAcwBlACAAZgBvAHIAIABtAGkAbABrACAAcAByAG8AZAB1AGMAdABpAG8AbgBcACIALAAgAFwAIgBmAHIAYQBjAHQAaQBvAG4AXAAiACwAIABcACIAQwBvAG4AcwB0AGEAbgB0AFwAIgA7AFwAbgAgACAAIAAgACAAIAAgACAAIAAgAFwAIgBxAG0AXwBqAFwAIgAsACAAXAAiAG0AZQB0AGEAYgBvAGwAaQBzAGEAYgBpAGwAaQB0AHkAIABvAGYAIAB0AGgAZQAgAGQAaQBlAHQAXAAiACwAIABcACIAZgByAGEAYwB0AGkAbwBuAFwAIgAsACAAXAAiAEMAYQBsAGMAdQBsAGEAdABlAGQAIABmAHIAbwBtACAAMwAuADMALgAxAC4AMQAgACgANgApAFwAIgBcAG4AIAAgACAAIAAgACAAIAAgAH0ALAAgAHIALAAgAGMAKQBcAG4AIAAgACAAIAAgACAAKQBcAG4AIAAgACAAIAApAFwAbgAgACAAKQA7AFwAbgBcAG4AVgBFAEUAUgBHAF8AMwBfADMAXwAxAF8AMQBfAF8ANABfAEEAZABkAGkAdABpAG8AbgBhAGwASQBuAHQAYQBrAGUARgBvAHIATQBpAGwAawBQAHIAbwBkAHUAYwB0AGkAbwBu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BcACIAKQA7AFwAbgBcAG4ALwAqAFwAbgAtAC0ALQAtAC0ALQAtAC0ALQAtAC0ALQAtAC0ALQAtAC0ALQAtAC0ALQAtAC0ALQAtAC0ALQAtAC0ALQAtAC0ALQAtAC0ALQAtAC0AXABuAFYARQBFAFIARwBfADMAXwAzAF8AMQBfADEAXwBfADUAXwBNAGkAbABrAFAAcgBvAGQAdQBjAHQAaQBvAG4ARgByAG8AbQBNAGkAbABrAFMAbwBsAGkAZABzAFwAbgBNAGkAbABrACAAcAByAG8AZAB1AGMAdABpAG8AbgAgAGMAbwBuAHYAZQByAHQAZQBkACAAZgByAG8AbQAgAG0AaQBsAGsAIABzAG8AbABpAGQAcwBcAG4ATQBQAF8AagBcAG4ATAAvAGgAZQBhAGQALwBkAGEAeQBcAG4ATQBQAF8AagA9AE0AUwBfAGoALwAoADAALgAwADEAXABcAHQAaQBtAGUAcwAgACgARgBDAF8AagArAFAAQwBfAGoAKQApAFwAbgBNAFMAXwBqACAAPQAgAGQAYQBpAGwAeQAgAHAAcgBvAGQAdQBjAHQAaQBvAG4AIABvAGYAIABtAGkAbABrACAAcwBvAGwAaQBkAHMAIAAoAGsAZwAgAE0AUwAvAGgAZQBhAGQALwBkAGEAeQApAFwAbgBGAEMAXwBqACAAPQAgAGYAYQB0ACAAYwBvAG4AdABlAG4AdAAgAGkAbgAgAGYAYQB0ACAAYQBuAGQAIABwAHIAbwB0AGUAaQBuACAAYwBvAHIAcgBlAGMAdABlAGQAIABtAGkAbABrACAAKABwAGUAcgAgAGMAZQBuAHQAKQBcAG4AUABDAF8AagAgAD0AIABwAHIAbwB0AGUAaQBuACAAYwBvAG4AdABlAG4AdAAgAGkAbgAgAGYAYQB0ACAAYQBuAGQAIABwAHIAbwB0AGUAaQBuACAAYwBvAHIAcgBlAGMAdABlAGQAIABtAGkAbABrACAAKABwAGUAcgAgAGMAZQBuAHQAKQBcAG4ALQAtAC0ALQAtAC0ALQAtAC0ALQAtAC0ALQAtAC0ALQAtAC0ALQAtAC0ALQAtAC0ALQAtAC0ALQAtAC0ALQAtAC0ALQAtAC0ALQAtAFwAbgAqAC8AXABuAFwAbgBWAEUARQBSAEcAXwAzAF8AMwBfADEAXwAxAF8AXwA1AF8ATQBpAGwAawBQAHIAbwBkAHUAYwB0AGkAbwBuAEYAcgBvAG0ATQBpAGwAawBTAG8AbABpAGQAcwBcAG4AIAAgAD0ATABBAE0AQgBEAEEAKABcAG4AIAAgACAAIABNAFMAXwBqACwAIABGAEMAXwBqACwAIABQAEMAXwBqACwAXABuACAAIAAgACAATQBTAF8AagAgAC8AIAAoADAALgAwADEAIAAqACAAKABGAEMAXwBqACAAKwAgAFAAQwBfAGoAKQApAFwAbgAgACAAKQA7AFwAbgBcAG4AVgBFAEUAUgBHAF8AMwBfADMAXwAxAF8AMQBfAF8ANQBfAE0AaQBsAGsAUAByAG8AZAB1AGMAdABpAG8AbgBGAHIAbwBtAE0AaQBsAGsAUwBvAGwAaQBkAHMAXwBUAGkAdABsAGUAXABuACAAIAA9AEwAQQBNAEIARABBACgAXAAiAE0AaQBsAGsAIABwAHIAbwBkAHUAYwB0AGkAbwBuACAAYwBvAG4AdgBlAHIAdABlAGQAIABmAHIAbwBtACAAbQBpAGwAawAgAHMAbwBsAGkAZABzAFwAIgApADsAXABuAFwAbgBWAEUARQBSAEcAXwAzAF8AMwBfADEAXwAxAF8AXwA1AF8ATQBpAGwAawBQAHIAbwBkAHUAYwB0AGkAbwBuAEYAcgBvAG0ATQBpAGwAawBTAG8AbABpAGQAcwBfAFYAYQByAGkAYQBiAGwAZQBcAG4AIAAgAD0ATABBAE0AQgBEAEEAKABcACIATQBQAF8AagBcACIAKQA7AFwAbgBcAG4AVgBFAEUAUgBHAF8AMwBfADMAXwAxAF8AMQBfAF8ANQBfAE0AaQBsAGsAUAByAG8AZAB1AGMAdABpAG8AbgBGAHIAbwBtAE0AaQBsAGsAUwBvAGwAaQBkAHMAXwBVAG4AaQB0AFwAbgAgACAAPQBMAEEATQBCAEQAQQAoAFwAIgBMAC8AaABlAGEAZAAvAGQAYQB5AFwAIgApADsAXABuAFwAbgBWAEUARQBSAEcAXwAzAF8AMwBfADEAXwAxAF8AXwA1AF8ATQBpAGwAawBQAHIAbwBkAHUAYwB0AGkAbwBuAEYAcgBvAG0ATQBpAGwAawBTAG8AbABpAGQAcwBfAFMAbwB1AHIAYwBlAFwAbgAgACAAPQBMAEEATQBCAEQAQQAoAFwAIgBWAEUARQBSAEcAIAAyADAAMgA2ADoAIAAzAC4AMwAuADEALgAxACwAIABFAHEAdQBhAHQAaQBvAG4AIAAoADUAKQBcACIAKQA7AFwAbgBcAG4AVgBFAEUAUgBHAF8AMwBfADMAXwAxAF8AMQBfAF8ANQBfAE0AaQBsAGsAUAByAG8AZAB1AGMAdABpAG8AbgBGAHIAbwBtAE0AaQBsAGsAUwBvAGwAaQBkAHMAXwBOAEkAUgBSAGUAZgBlAHIAZQBuAGMAZQBcAG4AIAAgAD0ATABBAE0AQgBEAEEAKABcACIAXAAiACkAOwBcAG4AXABuAFYARQBFAFIARwBfADMAXwAzAF8AMQBfADEAXwBfADUAXwBNAGkAbABrAFAAcgBvAGQAdQBjAHQAaQBvAG4ARgByAG8AbQBNAGkAbABrAFMAbwBsAGkAZABzAF8ATABhAHQAZQB4AEUAcQB1AGEAdABpAG8AbgBcAG4AIAAgAD0ATABBAE0AQgBEAEEAKABcACIATQBQAF8AagA9AFwAXABmAHIAYQBjAHsATQBTAF8AagB9AHsAMAAuADAAMQBcAFwAdABpAG0AZQBzACAAKABGAEMAXwBqACsAUABDAF8AagApAH0AXAAiACkAOwBcAG4AXABuAFYARQBFAFIARwBfADMAXwAzAF8AMQBfADEAXwBfADUAXwBNAGkAbABrAFAAcgBvAGQAdQBjAHQAaQBvAG4ARgByAG8AbQBNAGkAbABrAFMAbwBsAGkAZABzAF8AQQByAGcAdQBtAGUAbgB0AHMAXABuACAAIAA9AEwAQQBNAEIARABBACgAXABuACAAIAAgACAATQBBAEsARQBBAFIAUgBBAFkAKAA0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BAHIAZwB1AG0AZQBuAHQAcwBfAE0AZQB0AGgAbwBkADIAXABuACAAIAA9AEwAQQBNAEIARABBACgAXABuACAAIAAgACAATQBBAEsARQBBAFIAUgBBAFkAKAA0ACwAIAA0ACwAXABuACAAIAAgACAAIAAgAEwAQQBNAEIARABBACgAcgAsAGMALABcAG4AIAAgACAAIAAgACAAIAAgAEkATgBEAEUAWAAoAHsAXABuACAAIAAgACAAIAAgACAAIAAgACAAXAAiAE0AUABVAFwAIgAsACAAXAAi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WAGEAcgBpAGEAdABpAG8AbgBcAG4AIAAgAD0ATABBAE0AQgBEAEEAKABcACIAVgBBAFIAQQBUAEkATwBOACAATwBOACAAUwBPAFUAUgBDAEUAOgAgAEEAZABkAGUAZAAgAG0AaQBsAGsAIABwAHIAbwBkAHUAYwB0AGkAbwBuACAAdQBuAGkAdAAgAHYAYQByAGkAYQBiAGwAZQAgAHQAbwAgAGEAbABsAG8AdwAgAGYAbwByACAAdQBzAGUAIABvAGYAIABlAGkAdABoAGUAcgAgAG0AaQBsAGsAIABzAG8AbABpAGQAcwAgAG8AcgAgAGwAaQB0AHIAZQBzACAAbwBmACAAbQBpAGwAawAuACAAQwBvAG4AdgBlAHIAdABlAGQAIABpAG4AcAB1AHQAIABGAEMAIABhAG4AZAAgAFAAQwAgAHAAZQByAGMAZQBuAHQAIAB0AG8AIABpAG4AdABlAGcAZQByAC4AXAAiACkAOwBcAG4AXABuAC8AKgBcAG4ALQAtAC0ALQAtAC0ALQAtAC0ALQAtAC0ALQAtAC0ALQAtAC0ALQAtAC0ALQAtAC0ALQAtAC0ALQAtAC0ALQAtAC0ALQAtAC0ALQAtAFwAbgBWAEUARQBSAEcAXwAzAF8AMwBfADEAXwAxAF8AXwA2AF8ATQBlAHQAYQBiAG8AbABpAHMAYQBiAGkAbABpAHQAeQBPAGYARABpAGUAdABcAG4ATQBlAHQAYQBiAG8AbABpAHMAYQBiAGkAbABpAHQAeQAgAG8AZgAgAGQAaQBlAHQAXABuAHEAbQBfAGoAXABuAGYAcgBhAGMAdABpAG8AbgBcAG4AcQBtAF8AagA9ADAALgA3ADkANQBcAFwAdABpAG0AZQBzACAAKABEAE0ARABfAGoAXABcAHQAaQBtAGUAcwAgADEAMAAwACkALQAwAC4AMAAwADEANABcAG4ARABNAEQAXwBqACAAPQAgAGQAcgB5ACAAbQBhAHQAdABlAHIAIABkAGkAZwBlAHMAdABpAGIAaQBsAGkAdAB5ACAAZQB4AHAAcgBlAHMAcwBlAGQAIABhAHMAIABhACAAZgByAGEAYwB0AGkAbwBuAFwAbgAtAC0ALQAtAC0ALQAtAC0ALQAtAC0ALQAtAC0ALQAtAC0ALQAtAC0ALQAtAC0ALQAtAC0ALQAtAC0ALQAtAC0ALQAtAC0ALQAtAC0AXABuACoALwBcAG4AXABuAFYARQBFAFIARwBfADMAXwAzAF8AMQBfADEAXwBfADYAXwBNAGUAdABhAGIAbwBsAGkAcwBhAGIAaQBsAGkAdAB5AE8AZgBEAGkAZQB0AFwAbgAgACAAPQBMAEEATQBCAEQAQQAoAFwAbgAgACAAIAAgAEQATQBEAF8AagAsAFwAbgAgACAAIAAgADAALgA3ADkANQAgACoAIAAoAEQATQBEAF8AagAgACoAIAAxADAAMAApACAALQAgADAALgAwADAAMQA0AFwAbgAgACAAKQA7AFwAbgBcAG4AVgBFAEUAUgBHAF8AMwBfADMAXwAxAF8AMQBfAF8ANgBfAE0AZQB0AGEAYgBvAGwAaQBzAGEAYgBpAGwAaQB0AHkATwBmAEQAaQBlAHQAVgBhAHIAaQBhAHQAaQBvAG4AXABuACAAIAA9AEwAQQBNAEIARABBACgAXABuACAAIAAgACAARABNAEQAXwBqACwAXABuACAAIAAgACAAMAAuADAAMAA3ADkANQAgACoAIAAoAEQATQBEAF8AagAgACoAIAAxADAAMAApACAALQAgADAALgAwADAAMQA0AFwAbgAgACAAKQA7AFwAbgBcAG4AXABuAFYARQBFAFIARwBfADMAXwAzAF8AMQBfADEAXwBfADYAXwBNAGUAdABhAGIAbwBsAGkAcwBhAGIAaQBsAGkAdAB5AE8AZgBEAGkAZQB0AF8AVABpAHQAbABlAFwAbgAgACAAPQBMAEEATQBCAEQAQQAoAFwAIgBNAGUAdABhAGIAbwBsAGkAcwBhAGIAaQBsAGkAdAB5ACAAbwBmACAAZABpAGUAdABcACIAKQA7AFwAbgBcAG4AVgBFAEUAUgBHAF8AMwBfADMAXwAxAF8AMQBfAF8ANgBfAE0AZQB0AGEAYgBvAGwAaQBzAGEAYgBpAGwAaQB0AHkATwBmAEQAaQBlAHQAXwBWAGEAcgBpAGEAYgBsAGUAXABuACAAIAA9AEwAQQBNAEIARABBACgAXAAiAHEAbQBfAGoAXAAiACkAOwBcAG4AXABuAFYARQBFAFIARwBfADMAXwAzAF8AMQBfADEAXwBfADYAXwBNAGUAdABhAGIAbwBsAGkAcwBhAGIAaQBsAGkAdAB5AE8AZgBEAGkAZQB0AF8AVQBuAGkAdABcAG4AIAAgAD0ATABBAE0AQgBEAEEAKABcACIAZgByAGEAYwB0AGkAbwBuAFwAIgApADsAXABuAFwAbgBWAEUARQBSAEcAXwAzAF8AMwBfADEAXwAxAF8AXwA2AF8ATQBlAHQAYQBiAG8AbABpAHMAYQBiAGkAbABpAHQAeQBPAGYARABpAGUAdABfAFMAbwB1AHIAYwBlAFwAbgAgACAAPQBMAEEATQBCAEQAQQAoAFwAIgBWAEUARQBSAEcAIAAyADAAMgA2ADoAIAAzAC4AMwAuADEALgAxACwAIABFAHEAdQBhAHQAaQBvAG4AIAAoADYAKQBcACIAKQA7AFwAbgBcAG4AVgBFAEUAUgBHAF8AMwBfADMAXwAxAF8AMQBfAF8ANgBfAE0AZQB0AGEAYgBvAGwAaQBzAGEAYgBpAGwAaQB0AHkATwBmAEQAaQBlAHQAXwBOAEkAUgBSAGUAZgBlAHIAZQBuAGMAZQBcAG4AIAAgAD0ATABBAE0AQgBEAEEAKABcACIAXAAiACkAOwBcAG4AXABuAFYARQBFAFIARwBfADMAXwAzAF8AMQBfADEAXwBfADYAXwBNAGUAdABhAGIAbwBsAGkAcwBhAGIAaQBsAGkAdAB5AE8AZgBEAGkAZQB0AF8ATABhAHQAZQB4AEUAcQB1AGEAdABpAG8AbgBcAG4AIAAgAD0ATABBAE0AQgBEAEEAKABcACIAcQBtAF8AagA9ADAALgA3ADkANQBcAFwAdABpAG0AZQBzACAAKABEAE0ARABfAGoAXABcAHQAaQBtAGUAcwAgADEAMAAwACkALQAwAC4AMAAwADEANABcACIAKQA7AFwAbgBcAG4AVgBFAEUAUgBHAF8AMwBfADMAXwAxAF8AMQBfAF8ANgBfAE0AZQB0AGEAYgBvAGwAaQBzAGEAYgBpAGwAaQB0AHkATwBmAEQAaQBlAHQAXwBMAGEAdABlAHgARQBxAHUAYQB0AGkAbwBuAFYAYQByAGkAYQB0AGkAbwBuAFwAbgAgACAAPQBMAEEATQBCAEQAQQAoAFwAIgBxAG0AXwBqAD0AMAAuADAAMAA3ADkANQBcAFwAdABpAG0AZQBzACAAKABEAE0ARABfAGoAXABcAHQAaQBtAGUAcwAgADEAMAAwACkALQAwAC4AMAAwADEANABcACIAKQA7AFwAbgBcAG4AVgBFAEUAUgBHAF8AMwBfADMAXwAxAF8AMQBfAF8ANgBfAE0AZQB0AGEAYgBvAGwAaQBzAGEAYgBpAGwAaQB0AHkATwBmAEQAaQBlAHQAXwBBAHIAZwB1AG0AZQBuAHQAcwBcAG4AIAAgAD0ATABBAE0AQgBEAEEAKABcAG4AIAAgACAAIABNAEEASwBFAEEAUgBSAEEAWQAoADEALAAgADQALABcAG4AIAAgACAAIAAgACAATABBAE0AQgBEAEEAKAByACwAYwAsAFwAbgAgACAAIAAgACAAIAAgACAASQBOAEQARQBYACgAewBcAG4AIAAgACAAIAAgACAAIAAgACAAIABcACIARABNAEQAXwBqAFwAIgAsACAAXAAiAGQAcgB5ACAAbQBhAHQAdABlAHIAIABkAGkAZwBlAHMAdABpAGIAaQBsAGkAdAB5ACAAZQB4AHAAcgBlAHMAcwBlAGQAIABhAHMAIABhACAAZgByAGEAYwB0AGkAbwBuAFwAIgAsACAAXAAiAGYAcgBhAGMAdABpAG8AbgBcACIALAAgAFwAIgBJAG4AcAB1AHQAXAAiAFwAbgAgACAAIAAgACAAIAAgACAAfQAsACAAcgAsACAAYwApAFwAbgAgACAAIAAgACAAIAApAFwAbgAgACAAIAAgACkAXABuACAAIAApADsAXABuAFwAbgBWAEUARQBSAEcAXwAzAF8AMwBfADEAXwAxAF8AXwA2AF8ATQBlAHQAYQBiAG8AbABpAHMAYQBiAGkAbABpAHQAeQBPAGYARABpAGUAdABfAFYAYQByAGkAYQB0AGkAbwBuAFwAbgAgACAAPQBMAEEATQBCAEQAQQAoAFwAIgBWAEEAUgBJAEEAVABJAE8ATgAgAE8ATgAgAFMATwBVAFIAQwBFADoAIABjAGgAYQBuAGcAZQBkACAAMAAuADcAOQA1ACAAdABvACAAMAAuADAAMAA3ADkANQAgAHcAaABpAGMAaAAgAGkAcwAgAHQAaABlACAAdgBhAGwAdQBlACAAdQBzAGUAZAAgAGkAbgAgAHQAaABlACAATgBhAHQAaQBvAG4AYQBsACAASQBuAHYAZQBuAHQAbwByAHkAIABSAGUAcABvAHIAdABcACIAKQA7AFwAbgBcAG4AIgB9ACwAewAiAHAAYQB0AGgAIgA6ACIALwBwAHIAbwBqAGUAYwB0AHMALwBJAG4AcAB1AHQARgB1AG4AYwB0AGkAbwBuAHMAXwBEAGEAaQByAHkAIgAsACIAdABlAHgAdAAiADoAIgBDAGEAbABjAHUAbABhAHQAZQBGAHIAYQBjAHQAaQBvAG4ASQBuAE0ATQBTAEEAZgB0AGUAcgBTAG8AbABpAGQAUwBlAHAAYQByAGEAdABpAG8AbgBcAG4APQBMAEEATQBCAEQAQQAoAFwAbgAgACAAIAAgAFAAcgBvAGQAdQBjAHQAaQBvAG4AUwB5AHMAdABlAG0ALAAgAE0ATQBTAEYAcgBhAGMAdABpAG8AbgAsACAARgByAGEAYwB0AGkAbwBuAFMAZQBwAGEAcgBhAHQAZQBkACwAXABuACAAIAAgACAAUAByAG8AZAB1AGMAdABpAG8AbgBTAHkAcwB0AGUAbQAgACoAIAAoAE0ATQBTAEYAcgBhAGMAdABpAG8AbgAtACgATQBNAFMARgByAGEAYwB0AGkAbwBuACoARgByAGEAYwB0AGkAbwBuAFMAZQBwAGEAcgBhAHQAZQBkACkAKQBcAG4AKQA7AFwAbgBcAG4AQwBhAGwAYwB1AGwAYQB0AGUARgByAGEAYwB0AGkAbwBuAEkAbgBTAG8AbABpAGQAUwB0AG8AcgBhAGcAZQBcAG4APQBMAEEATQBCAEQAQQAoAFwAbgAgACAAIAAgAFAAcgBvAGQAdQBjAHQAaQBvAG4AUwB5AHMAdABlAG0ALAAgAEkAbgBpAHQAYQBsAFMAbwBsAGkAZABTAHQAbwByAGEAZwBlAEYAcgBhAGMAdABpAG8AbgAsAFwAbgAgACAAIAAgAE0ATQBTADEARgByAGEAYwB0AGkAbwBuACwAIABNAE0AUwAxAFMAZQBwAGEAcgBhAHQAZQBkACwAIABcAG4AIAAgACAAIABNAE0AUwAyAEYAcgBhAGMAdABpAG8AbgAsACAATQBNAFMAMgBTAGUAcABhAHIAYQB0AGUAZAAsACAAXABuACAAIAAgACAATQBNAFMAMwBGAHIAYQBjAHQAaQBvAG4ALAAgAE0ATQBTADMAUwBlAHAAYQByAGEAdABlAGQALABcAG4AIAAgACAAIABQAHIAbwBkAHUAYwB0AGkAbwBuAFMAeQBzAHQAZQBtACAAKgAgACgAXABuACAAIAAgACAAIAAgACAAIABJAG4AaQB0AGEAbABTAG8AbABpAGQAUwB0AG8AcgBhAGcAZQBGAHIAYQBjAHQAaQBvAG4AIAArAFwAbgAgACAAIAAgACAAIAAgACAAKABNAE0AUwAxAEYAcgBhAGMAdABpAG8AbgAgACoAIABNAE0AUwAxAFMAZQBwAGEAcgBhAHQAZQBkACkAIAArAFwAbgAgACAAIAAgACAAIAAgACAAKABNAE0AUwAyAEYAcgBhAGMAdABpAG8AbgAgACoAIABNAE0AUwAyAFMAZQBwAGEAcgBhAHQAZQBkACkAIAArAFwAbgAgACAAIAAgACAAIAAgACAAKABNAE0AUwAzAEYAcgBhAGMAdABpAG8AbgAgACoAIABNAE0AUwAzAFMAZQBwAGEAcgBhAHQAZQBkACkAXABuACAAIAAgACAAKQBcAG4AKQA7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EAGEAaQByAHkALgBTAG8AdQByAGMAZQBEAGEAdABhAF8ARABhAGkAcgB5AF8ATABpAHYAZQB3AGUAaQBnAGgAdABDAG8AdwBzAEEAbgBkAEgAZQBpAGYAZQByAHMAXwBUAGkAdABsAGUAIgAsACIAUwBvAHUAcgBjAGUARABhAHQAYQBfAEQAYQBpAHIAeQAuAFMAbwB1AHIAYwBlAEQAYQB0AGEAXwBEAGEAaQByAHkAXwBMAGkAdgBlAHcAZQBpAGcAaAB0AEMAbwB3AHMAQQBuAGQASABlAGkAZgBlAHIAcwBfAFYAYQByAGkAYQBiAGwAZQAiACwAIgBTAG8AdQByAGMAZQBEAGEAdABhAF8ARABhAGkAcgB5AC4AUwBvAHUAcgBjAGUARABhAHQAYQBfAEQAYQBpAHIAeQBfAEwAaQB2AGUAdwBlAGkAZwBoAHQAQwBvAHcAcwBBAG4AZABIAGUAaQBmAGUAcgBzAF8AVQBuAGkAdAAiACwAIgBTAG8AdQByAGMAZQBEAGEAdABhAF8ARABhAGkAcgB5AC4AUwBvAHUAcgBjAGUARABhAHQAYQBfAEQAYQBpAHIAeQBfAEwAaQB2AGUAdwBlAGkAZwBoAHQAQwBvAHcAcwBBAG4AZABIAGUAaQBmAGUAcgBzAF8AUwBvAHUAcgBjAGUAIgAsACIAUwBvAHUAcgBjAGUARABhAHQAYQBfAEQAYQBpAHIAeQAuAFMAbwB1AHIAYwBlAEQAYQB0AGEAXwBEAGEAaQByAHkAXwBMAGkAdgBlAHcAZQBpAGcAaAB0AEMAbwB3AHMAQQBuAGQASABlAGkAZgBlAHIAcwBfAFYAYQByAGkAYQB0AGkAbwBuACIALAAiAFMAbwB1AHIAYwBlAEQAYQB0AGEAXwBEAGEAaQByAHkALgBTAG8AdQByAGMAZQBEAGEAdABhAF8ARABhAGkAcgB5AF8ATABpAHYAZQB3AGUAaQBnAGgAdABDAG8AdwBzAEEAbgBkAEgAZQBpAGYAZQByAHMAXwBEAGEAdABhACIALAAiAFMAbwB1AHIAYwBlAEQAYQB0AGEAXwBEAGEAaQByAHkALgBTAG8AdQByAGMAZQBEAGEAdABhAF8ARABhAGkAcgB5AF8ATABpAHYAZQB3AGUAaQBnAGgAdABCAHUAbABsAHMAXwBUAGkAdABsAGUAIgAsACIAUwBvAHUAcgBjAGUARABhAHQAYQBfAEQAYQBpAHIAeQAuAFMAbwB1AHIAYwBlAEQAYQB0AGEAXwBEAGEAaQByAHkAXwBMAGkAdgBlAHcAZQBpAGcAaAB0AEIAdQBsAGwAcwBfAFYAYQByAGkAYQBiAGwAZQAiACwAIgBTAG8AdQByAGMAZQBEAGEAdABhAF8ARABhAGkAcgB5AC4AUwBvAHUAcgBjAGUARABhAHQAYQBfAEQAYQBpAHIAeQBfAEwAaQB2AGUAdwBlAGkAZwBoAHQAQgB1AGwAbABzAF8AVQBuAGkAdAAiACwAIgBTAG8AdQByAGMAZQBEAGEAdABhAF8ARABhAGkAcgB5AC4AUwBvAHUAcgBjAGUARABhAHQAYQBfAEQAYQBpAHIAeQBfAEwAaQB2AGUAdwBlAGkAZwBoAHQAQgB1AGwAbABzAF8AUwBvAHUAcgBjAGUAIgAsACIAUwBvAHUAcgBjAGUARABhAHQAYQBfAEQAYQBpAHIAeQAuAFMAbwB1AHIAYwBlAEQAYQB0AGEAXwBEAGEAaQByAHkAXwBMAGkAdgBlAHcAZQBpAGcAaAB0AEIAdQBsAGwAcwBfAFYAYQByAGkAYQB0AGkAbwBuACIALAAiAFMAbwB1AHIAYwBlAEQAYQB0AGEAXwBEAGEAaQByAHkALgBTAG8AdQByAGMAZQBEAGEAdABhAF8ARABhAGkAcgB5AF8ATABpAHYAZQB3AGUAaQBnAGgAdABCAHUAbABsAHMAXwBEAGEAdABhACIALAAiAFMAbwB1AHIAYwBlAEQAYQB0AGEAXwBEAGEAaQByAHkALgBTAG8AdQByAGMAZQBEAGEAdABhAF8ARABhAGkAcgB5AF8ATABpAHYAZQB3AGUAaQBnAGgAdABHAGEAaQBuAF8AVABpAHQAbABlACIALAAiAFMAbwB1AHIAYwBlAEQAYQB0AGEAXwBEAGEAaQByAHkALgBTAG8AdQByAGMAZQBEAGEAdABhAF8ARABhAGkAcgB5AF8ATABpAHYAZQB3AGUAaQBnAGgAdABHAGEAaQBuAF8AVgBhAHIAaQBhAGIAbABlACIALAAiAFMAbwB1AHIAYwBlAEQAYQB0AGEAXwBEAGEAaQByAHkALgBTAG8AdQByAGMAZQBEAGEAdABhAF8ARABhAGkAcgB5AF8ATABpAHYAZQB3AGUAaQBnAGgAdABHAGEAaQBuAF8AVQBuAGkAdAAiACwAIgBTAG8AdQByAGMAZQBEAGEAdABhAF8ARABhAGkAcgB5AC4AUwBvAHUAcgBjAGUARABhAHQAYQBfAEQAYQBpAHIAeQBfAEwAaQB2AGUAdwBlAGkAZwBoAHQARwBhAGkAbgBfAFMAbwB1AHIAYwBlACIALAAiAFMAbwB1AHIAYwBlAEQAYQB0AGEAXwBEAGEAaQByAHkALgBTAG8AdQByAGMAZQBEAGEAdABhAF8ARABhAGkAcgB5AF8ATABpAHYAZQB3AGUAaQBnAGgAdABHAGEAaQBuAF8AVgBhAHIAaQBhAHQAaQBvAG4AIgAsACIAUwBvAHUAcgBjAGUARABhAHQAYQBfAEQAYQBpAHIAeQAuAFMAbwB1AHIAYwBlAEQAYQB0AGEAXwBEAGEAaQByAHkAXwBMAGkAdgBlAHcAZQBpAGcAaAB0AEcAYQBpAG4AXwBEAGEAdABhACIALAAiAFMAbwB1AHIAYwBlAEQAYQB0AGEAXwBEAGEAaQByAHkALgBTAG8AdQByAGMAZQBEAGEAdABhAF8ARABhAGkAcgB5AF8AUgBlAGYAZQByAGUAbgBjAGUAVwBlAGkAZwBoAHQAcwBfAFQAaQB0AGwAZQAiACwAIgBTAG8AdQByAGMAZQBEAGEAdABhAF8ARABhAGkAcgB5AC4AUwBvAHUAcgBjAGUARABhAHQAYQBfAEQAYQBpAHIAeQBfAFIAZQBmAGUAcgBlAG4AYwBlAFcAZQBpAGcAaAB0AHMAXwBWAGEAcgBpAGEAYgBsAGUAIgAsACIAUwBvAHUAcgBjAGUARABhAHQAYQBfAEQAYQBpAHIAeQAuAFMAbwB1AHIAYwBlAEQAYQB0AGEAXwBEAGEAaQByAHkAXwBSAGUAZgBlAHIAZQBuAGMAZQBXAGUAaQBnAGgAdABzAF8AVQBuAGkAdAAiACwAIgBTAG8AdQByAGMAZQBEAGEAdABhAF8ARABhAGkAcgB5AC4AUwBvAHUAcgBjAGUARABhAHQAYQBfAEQAYQBpAHIAeQBfAFIAZQBmAGUAcgBlAG4AYwBlAFcAZQBpAGcAaAB0AHMAXwBTAG8AdQByAGMAZQAiACwAIgBTAG8AdQByAGMAZQBEAGEAdABhAF8ARABhAGkAcgB5AC4AUwBvAHUAcgBjAGUARABhAHQAYQBfAEQAYQBpAHIAeQBfAFIAZQBmAGUAcgBlAG4AYwBlAFcAZQBpAGcAaAB0AHMAXwBWAGEAcgBpAGEAdABpAG8AbgAiACwAIgBTAG8AdQByAGMAZQBEAGEAdABhAF8ARABhAGkAcgB5AC4AUwBvAHUAcgBjAGUARABhAHQAYQBfAEQAYQBpAHIAeQBfAFIAZQBmAGUAcgBlAG4AYwBlAFcAZQBpAGcAaAB0AHMAXwBEAGEAdABhACIALAAiAFMAbwB1AHIAYwBlAEQAYQB0AGEAXwBEAGEAaQByAHkALgBTAG8AdQByAGMAZQBEAGEAdABhAF8ARABhAGkAcgB5AF8AUAByAGUAVwBlAGEAbgBlAGQAQwBhAGwAdgBlAHMAXwBUAGkAdABsAGUAIgAsACIAUwBvAHUAcgBjAGUARABhAHQAYQBfAEQAYQBpAHIAeQAuAFMAbwB1AHIAYwBlAEQAYQB0AGEAXwBEAGEAaQByAHkAXwBQAHIAZQBXAGUAYQBuAGUAZABDAGEAbAB2AGUAcwBfAFYAYQByAGkAYQBiAGwAZQAiACwAIgBTAG8AdQByAGMAZQBEAGEAdABhAF8ARABhAGkAcgB5AC4AUwBvAHUAcgBjAGUARABhAHQAYQBfAEQAYQBpAHIAeQBfAFAAcgBlAFcAZQBhAG4AZQBkAEMAYQBsAHYAZQBzAF8AVQBuAGkAdAAiACwAIgBTAG8AdQByAGMAZQBEAGEAdABhAF8ARABhAGkAcgB5AC4AUwBvAHUAcgBjAGUARABhAHQAYQBfAEQAYQBpAHIAeQBfAFAAcgBlAFcAZQBhAG4AZQBkAEMAYQBsAHYAZQBzAF8AUwBvAHUAcgBjAGUAIgAsACIAUwBvAHUAcgBjAGUARABhAHQAYQBfAEQAYQBpAHIAeQAuAFMAbwB1AHIAYwBlAEQAYQB0AGEAXwBEAGEAaQByAHkAXwBQAHIAZQBXAGUAYQBuAGUAZABDAGEAbAB2AGUAcwBfAFYAYQByAGkAYQB0AGkAbwBuACIALAAiAFMAbwB1AHIAYwBlAEQAYQB0AGEAXwBEAGEAaQByAHkALgBTAG8AdQByAGMAZQBEAGEAdABhAF8ARABhAGkAcgB5AF8AUAByAGUAVwBlAGEAbgBlAGQAQwBhAGwAdgBlAHMAXwBEAGEAdABhACIALAAiAFMAbwB1AHIAYwBlAEQAYQB0AGEAXwBEAGEAaQByAHkALgBTAG8AdQByAGMAZQBEAGEAdABhAF8ARABhAGkAcgB5AF8ATQBDAEYAXwBUAGkAdABsAGUAIgAsACIAUwBvAHUAcgBjAGUARABhAHQAYQBfAEQAYQBpAHIAeQAuAFMAbwB1AHIAYwBlAEQAYQB0AGEAXwBEAGEAaQByAHkAXwBNAEMARgBfAFYAYQByAGkAYQBiAGwAZQAiACwAIgBTAG8AdQByAGMAZQBEAGEAdABhAF8ARABhAGkAcgB5AC4AUwBvAHUAcgBjAGUARABhAHQAYQBfAEQAYQBpAHIAeQBfAE0AQwBGAF8AVQBuAGkAdAAiACwAIgBTAG8AdQByAGMAZQBEAGEAdABhAF8ARABhAGkAcgB5AC4AUwBvAHUAcgBjAGUARABhAHQAYQBfAEQAYQBpAHIAeQBfAE0AQwBGAF8AUwBvAHUAcgBjAGUAIgAsACIAUwBvAHUAcgBjAGUARABhAHQAYQBfAEQAYQBpAHIAeQAuAFMAbwB1AHIAYwBlAEQAYQB0AGEAXwBEAGEAaQByAHkAXwBNAEMARgBfAFYAYQByAGkAYQB0AGkAbwBuACIALAAiAFMAbwB1AHIAYwBlAEQAYQB0AGEAXwBEAGEAaQByAHkALgBTAG8AdQByAGMAZQBEAGEAdABhAF8ARABhAGkAcgB5AF8ATQBDAEYAXwBEAGEAdABhACIALAAiAFMAbwB1AHIAYwBlAEQAYQB0AGEAXwBEAGEAaQByAHkALgBTAG8AdQByAGMAZQBEAGEAdABhAF8ARABhAGkAcgB5AF8ATgBpAHQAcgBvAHUAcwBPAHgAaQBkAGUARQBGAHMAQQBuAGQARgByAGEAYwBHAEEAUwBNAF8AVABpAHQAbABlACIALAAiAFMAbwB1AHIAYwBlAEQAYQB0AGEAXwBEAGEAaQByAHkALgBTAG8AdQByAGMAZQBEAGEAdABhAF8ARABhAGkAcgB5AF8ATgBpAHQAcgBvAHUAcwBPAHgAaQBkAGUARQBGAHMAQQBuAGQARgByAGEAYwBHAEEAUwBNAF8AVgBhAHIAaQBhAGIAbABlACIALAAiAFMAbwB1AHIAYwBlAEQAYQB0AGEAXwBEAGEAaQByAHkALgBTAG8AdQByAGMAZQBEAGEAdABhAF8ARABhAGkAcgB5AF8ATgBpAHQAcgBvAHUAcwBPAHgAaQBkAGUARQBGAHMAQQBuAGQARgByAGEAYwBHAEEAUwBNAF8AVQBuAGkAdAAiACwAIgBTAG8AdQByAGMAZQBEAGEAdABhAF8ARABhAGkAcgB5AC4AUwBvAHUAcgBjAGUARABhAHQAYQBfAEQAYQBpAHIAeQBfAE4AaQB0AHIAbwB1AHMATwB4AGkAZABlAEUARgBzAEEAbgBkAEYAcgBhAGMARwBBAFMATQBfAFMAbwB1AHIAYwBlACIALAAiAFMAbwB1AHIAYwBlAEQAYQB0AGEAXwBEAGEAaQByAHkALgBTAG8AdQByAGMAZQBEAGEAdABhAF8ARABhAGkAcgB5AF8ATgBpAHQAcgBvAHUAcwBPAHgAaQBkAGUARQBGAHMAQQBuAGQARgByAGEAYwBHAEEAUwBNAF8AVgBhAHIAaQBhAHQAaQBvAG4AIgAsACIAUwBvAHUAcgBjAGUARABhAHQAYQBfAEQAYQBpAHIAeQAuAFMAbwB1AHIAYwBlAEQAYQB0AGEAXwBEAGEAaQByAHkAXwBOAGkAdAByAG8AdQBzAE8AeABpAGQAZQBFAEYAcwBBAG4AZABGAHIAYQBjAEcAQQBTAE0AXwBEAGEAdABhACIALAAiAFMAbwB1AHIAYwBlAEQAYQB0AGEAXwBEAGEAaQByAHkALgBTAG8AdQByAGMAZQBEAGEAdABhAF8ARABhAGkAcgB5AF8ATQBlAHQAaABhAG4AZQBQAHIAbwBkAHUAYwB0AGkAbwBuAFAAcgBlAFcAZQBhAG4AZQBkAEMAYQBsAHYAZQBzAF8AVABpAHQAbABlACIALAAiAFMAbwB1AHIAYwBlAEQAYQB0AGEAXwBEAGEAaQByAHkALgBTAG8AdQByAGMAZQBEAGEAdABhAF8ARABhAGkAcgB5AF8ATQBlAHQAaABhAG4AZQBQAHIAbwBkAHUAYwB0AGkAbwBuAFAAcgBlAFcAZQBhAG4AZQBkAEMAYQBsAHYAZQBzAF8AVgBhAHIAaQBhAGIAbABlACIALAAiAFMAbwB1AHIAYwBlAEQAYQB0AGEAXwBEAGEAaQByAHkALgBTAG8AdQByAGMAZQBEAGEAdABhAF8ARABhAGkAcgB5AF8ATQBlAHQAaABhAG4AZQBQAHIAbwBkAHUAYwB0AGkAbwBuAFAAcgBlAFcAZQBhAG4AZQBkAEMAYQBsAHYAZQBzAF8AVQBuAGkAdAAiACwAIgBTAG8AdQByAGMAZQBEAGEAdABhAF8ARABhAGkAcgB5AC4AUwBvAHUAcgBjAGUARABhAHQAYQBfAEQAYQBpAHIAeQBfAE0AZQB0AGgAYQBuAGUAUAByAG8AZAB1AGMAdABpAG8AbgBQAHIAZQBXAGUAYQBuAGUAZABDAGEAbAB2AGUAcwBfAFMAbwB1AHIAYwBlACIALAAiAFMAbwB1AHIAYwBlAEQAYQB0AGEAXwBEAGEAaQByAHkALgBTAG8AdQByAGMAZQBEAGEAdABhAF8ARABhAGkAcgB5AF8ATQBlAHQAaABhAG4AZQBQAHIAbwBkAHUAYwB0AGkAbwBuAFAAcgBlAFcAZQBhAG4AZQBkAEMAYQBsAHYAZQBzAF8AVgBhAHIAaQBhAHQAaQBvAG4AIgAsACIAUwBvAHUAcgBjAGUARABhAHQAYQBfAEQAYQBpAHIAeQAuAFMAbwB1AHIAYwBlAEQAYQB0AGEAXwBEAGEAaQByAHkAXwBNAGUAdABoAGEAbgBlAFAAcgBvAGQAdQBjAHQAaQBvAG4AUAByAGUAVwBlAGEAbgBlAGQAQwBhAGwAdgBlAHMAXwBEAGEAdABhACIALAAiAFMAbwB1AHIAYwBlAEQAYQB0AGEAXwBEAGEAaQByAHkALgBTAG8AdQByAGMAZQBEAGEAdABhAF8ARABhAGkAcgB5AF8ASQBuAGMAcgBlAGEAcwBlAGQATQBlAHQAYQBiAG8AbABpAGMAUgBhAHQAZQBNAGkAbABrAF8AVABpAHQAbABlACIALAAiAFMAbwB1AHIAYwBlAEQAYQB0AGEAXwBEAGEAaQByAHkALgBTAG8AdQByAGMAZQBEAGEAdABhAF8ARABhAGkAcgB5AF8ASQBuAGMAcgBlAGEAcwBlAGQATQBlAHQAYQBiAG8AbABpAGMAUgBhAHQAZQBNAGkAbABrAF8AVgBhAHIAaQBhAGIAbABlACIALAAiAFMAbwB1AHIAYwBlAEQAYQB0AGEAXwBEAGEAaQByAHkALgBTAG8AdQByAGMAZQBEAGEAdABhAF8ARABhAGkAcgB5AF8ASQBuAGMAcgBlAGEAcwBlAGQATQBlAHQAYQBiAG8AbABpAGMAUgBhAHQAZQBNAGkAbABrAF8AVQBuAGkAdAAiACwAIgBTAG8AdQByAGMAZQBEAGEAdABhAF8ARABhAGkAcgB5AC4AUwBvAHUAcgBjAGUARABhAHQAYQBfAEQAYQBpAHIAeQBfAEkAbgBjAHIAZQBhAHMAZQBkAE0AZQB0AGEAYgBvAGwAaQBjAFIAYQB0AGUATQBpAGwAawBfAFMAbwB1AHIAYwBlACIALAAiAFMAbwB1AHIAYwBlAEQAYQB0AGEAXwBEAGEAaQByAHkALgBTAG8AdQByAGMAZQBEAGEAdABhAF8ARABhAGkAcgB5AF8ASQBuAGMAcgBlAGEAcwBlAGQATQBlAHQAYQBiAG8AbABpAGMAUgBhAHQAZQBNAGkAbABrAF8AVgBhAHIAaQBhAHQAaQBvAG4AIgAsACIAUwBvAHUAcgBjAGUARABhAHQAYQBfAEQAYQBpAHIAeQAuAFMAbwB1AHIAYwBlAEQAYQB0AGEAXwBEAGEAaQByAHkAXwBJAG4AYwByAGUAYQBzAGUAZABNAGUAdABhAGIAbwBsAGkAYwBSAGEAdABlAE0AaQBsAGsAXwBEAGEAdABhACIALAAiAFMAbwB1AHIAYwBlAEQAYQB0AGEAXwBEAGEAaQByAHkALgBTAG8AdQByAGMAZQBEAGEAdABhAF8ARABhAGkAcgB5AF8ARgByAGEAYwB0AGkAbwBuAFYAbwBsAGEAdABpAGwAZQBTAG8AbABpAGQAcwBWAG8AaQBkAGUAZABNAE0AUwBfAFQAaQB0AGwAZQAiACwAIgBTAG8AdQByAGMAZQBEAGEAdABhAF8ARABhAGkAcgB5AC4AUwBvAHUAcgBjAGUARABhAHQAYQBfAEQAYQBpAHIAeQBfAEYAcgBhAGMAdABpAG8AbgBWAG8AbABhAHQAaQBsAGUAUwBvAGwAaQBkAHMAVgBvAGkAZABlAGQATQBNAFMAXwBWAGEAcgBpAGEAYgBsAGUAIgAsACIAUwBvAHUAcgBjAGUARABhAHQAYQBfAEQAYQBpAHIAeQAuAFMAbwB1AHIAYwBlAEQAYQB0AGEAXwBEAGEAaQByAHkAXwBGAHIAYQBjAHQAaQBvAG4AVgBvAGwAYQB0AGkAbABlAFMAbwBsAGkAZABzAFYAbwBpAGQAZQBkAE0ATQBTAF8AVQBuAGkAdAAiACwAIgBTAG8AdQByAGMAZQBEAGEAdABhAF8ARABhAGkAcgB5AC4AUwBvAHUAcgBjAGUARABhAHQAYQBfAEQAYQBpAHIAeQBfAEYAcgBhAGMAdABpAG8AbgBWAG8AbABhAHQAaQBsAGUAUwBvAGwAaQBkAHMAVgBvAGkAZABlAGQATQBNAFMAXwBTAG8AdQByAGMAZQAiACwAIgBTAG8AdQByAGMAZQBEAGEAdABhAF8ARABhAGkAcgB5AC4AUwBvAHUAcgBjAGUARABhAHQAYQBfAEQAYQBpAHIAeQBfAEYAcgBhAGMAdABpAG8AbgBWAG8AbABhAHQAaQBsAGUAUwBvAGwAaQBkAHMAVgBvAGkAZABlAGQATQBNAFMAXwBWAGEAcgBpAGEAdABpAG8AbgAiACwAIgBTAG8AdQByAGMAZQBEAGEAdABhAF8ARABhAGkAcgB5AC4AUwBvAHUAcgBjAGUARABhAHQAYQBfAEQAYQBpAHIAeQBfAEYAcgBhAGMAdABpAG8AbgBWAG8AbABhAHQAaQBsAGUAUwBvAGwAaQBkAHMAVgBvAGkAZABlAGQATQBNAFMAXwBEAGEAdABhACIALAAiAFMAbwB1AHIAYwBlAEQAYQB0AGEAXwBEAGEAaQByAHkALgBTAG8AdQByAGMAZQBEAGEAdABhAF8ARABhAGkAcgB5AF8ARQBGAE4AaQB0AHIAbwB1AHMATwB4AGkAZABlAFAAZQByAE0ATQBTAF8AVABpAHQAbABlACIALAAiAFMAbwB1AHIAYwBlAEQAYQB0AGEAXwBEAGEAaQByAHkALgBTAG8AdQByAGMAZQBEAGEAdABhAF8ARABhAGkAcgB5AF8ARQBGAE4AaQB0AHIAbwB1AHMATwB4AGkAZABlAFAAZQByAE0ATQBTAF8AVgBhAHIAaQBhAGIAbABlACIALAAiAFMAbwB1AHIAYwBlAEQAYQB0AGEAXwBEAGEAaQByAHkALgBTAG8AdQByAGMAZQBEAGEAdABhAF8ARABhAGkAcgB5AF8ARQBGAE4AaQB0AHIAbwB1AHMATwB4AGkAZABlAFAAZQByAE0ATQBTAF8AVQBuAGkAdAAiACwAIgBTAG8AdQByAGMAZQBEAGEAdABhAF8ARABhAGkAcgB5AC4AUwBvAHUAcgBjAGUARABhAHQAYQBfAEQAYQBpAHIAeQBfAEUARgBOAGkAdAByAG8AdQBzAE8AeABpAGQAZQBQAGUAcgBNAE0AUwBfAFMAbwB1AHIAYwBlACIALAAiAFMAbwB1AHIAYwBlAEQAYQB0AGEAXwBEAGEAaQByAHkALgBTAG8AdQByAGMAZQBEAGEAdABhAF8ARABhAGkAcgB5AF8ARQBGAE4AaQB0AHIAbwB1AHMATwB4AGkAZABlAFAAZQByAE0ATQBTAF8AVgBhAHIAaQBhAHQAaQBvAG4AIgAsACIAUwBvAHUAcgBjAGUARABhAHQAYQBfAEQAYQBpAHIAeQAuAFMAbwB1AHIAYwBlAEQAYQB0AGEAXwBEAGEAaQByAHkAXwBFAEYATgBpAHQAcgBvAHUAcwBPAHgAaQBkAGUAUABlAHIATQBNAFMAXwBEAGEAdABhACIALAAiAFMAbwB1AHIAYwBlAEQAYQB0AGEAXwBEAGEAaQByAHkALgBTAG8AdQByAGMAZQBEAGEAdABhAF8ARABhAGkAcgB5AF8ARAB1AHIAYQB0AGkAbwBuAE8AZgBTAHQAYQB5AF8AVABpAHQAbABlACIALAAiAFMAbwB1AHIAYwBlAEQAYQB0AGEAXwBEAGEAaQByAHkALgBTAG8AdQByAGMAZQBEAGEAdABhAF8ARABhAGkAcgB5AF8ARAB1AHIAYQB0AGkAbwBuAE8AZgBTAHQAYQB5AF8AVgBhAHIAaQBhAGIAbABlACIALAAiAFMAbwB1AHIAYwBlAEQAYQB0AGEAXwBEAGEAaQByAHkALgBTAG8AdQByAGMAZQBEAGEAdABhAF8ARABhAGkAcgB5AF8ARAB1AHIAYQB0AGkAbwBuAE8AZgBTAHQAYQB5AF8AVQBuAGkAdAAiACwAIgBTAG8AdQByAGMAZQBEAGEAdABhAF8ARABhAGkAcgB5AC4AUwBvAHUAcgBjAGUARABhAHQAYQBfAEQAYQBpAHIAeQBfAEQAdQByAGEAdABpAG8AbgBPAGYAUwB0AGEAeQBfAFMAbwB1AHIAYwBlACIALAAiAFMAbwB1AHIAYwBlAEQAYQB0AGEAXwBEAGEAaQByAHkALgBTAG8AdQByAGMAZQBEAGEAdABhAF8ARABhAGkAcgB5AF8ARAB1AHIAYQB0AGkAbwBuAE8AZgBTAHQAYQB5AF8AVgBhAHIAaQBhAHQAaQBvAG4AIgAsACIAUwBvAHUAcgBjAGUARABhAHQAYQBfAEQAYQBpAHIAeQAuAFMAbwB1AHIAYwBlAEQAYQB0AGEAXwBEAGEAaQByAHkAXwBEAHUAcgBhAHQAaQBvAG4ATwBmAFMAdABhAHkAXwBEAGEAdABhACIALAAiAFMAbwB1AHIAYwBlAEQAYQB0AGEAXwBEAGEAaQByAHkALgBTAG8AdQByAGMAZQBEAGEAdABhAF8ARABhAGkAcgB5AF8AQwByAHUAZABlAFAAcgBvAHQAZQBpAG4AXwBUAGkAdABsAGUAIgAsACIAUwBvAHUAcgBjAGUARABhAHQAYQBfAEQAYQBpAHIAeQAuAFMAbwB1AHIAYwBlAEQAYQB0AGEAXwBEAGEAaQByAHkAXwBDAHIAdQBkAGUAUAByAG8AdABlAGkAbgBfAFYAYQByAGkAYQBiAGwAZQAiACwAIgBTAG8AdQByAGMAZQBEAGEAdABhAF8ARABhAGkAcgB5AC4AUwBvAHUAcgBjAGUARABhAHQAYQBfAEQAYQBpAHIAeQBfAEMAcgB1AGQAZQBQAHIAbwB0AGUAaQBuAF8AVQBuAGkAdAAiACwAIgBTAG8AdQByAGMAZQBEAGEAdABhAF8ARABhAGkAcgB5AC4AUwBvAHUAcgBjAGUARABhAHQAYQBfAEQAYQBpAHIAeQBfAEMAcgB1AGQAZQBQAHIAbwB0AGUAaQBuAF8AUwBvAHUAcgBjAGUAIgAsACIAUwBvAHUAcgBjAGUARABhAHQAYQBfAEQAYQBpAHIAeQAuAFMAbwB1AHIAYwBlAEQAYQB0AGEAXwBEAGEAaQByAHkAXwBDAHIAdQBkAGUAUAByAG8AdABlAGkAbgBfAFYAYQByAGkAYQB0AGkAbwBuACIALAAiAFMAbwB1AHIAYwBlAEQAYQB0AGEAXwBEAGEAaQByAHkALgBTAG8AdQByAGMAZQBEAGEAdABhAF8ARABhAGkAcgB5AF8AQwByAHUAZABlAFAAcgBvAHQAZQBpAG4AXwBEAGEAdABhACIALAAiAFMAbwB1AHIAYwBlAEQAYQB0AGEAXwBEAGEAaQByAHkALgBTAG8AdQByAGMAZQBEAGEAdABhAF8ARABhAGkAcgB5AF8ARAByAHkATQBhAHQAdABlAHIARABpAGcAZQBzAHQAaQBiAGkAbABpAHQAeQBfAFQAaQB0AGwAZQAiACwAIgBTAG8AdQByAGMAZQBEAGEAdABhAF8ARABhAGkAcgB5AC4AUwBvAHUAcgBjAGUARABhAHQAYQBfAEQAYQBpAHIAeQBfAEQAcgB5AE0AYQB0AHQAZQByAEQAaQBnAGUAcwB0AGkAYgBpAGwAaQB0AHkAXwBWAGEAcgBpAGEAYgBsAGUAIgAsACIAUwBvAHUAcgBjAGUARABhAHQAYQBfAEQAYQBpAHIAeQAuAFMAbwB1AHIAYwBlAEQAYQB0AGEAXwBEAGEAaQByAHkAXwBEAHIAeQBNAGEAdAB0AGUAcgBEAGkAZwBlAHMAdABpAGIAaQBsAGkAdAB5AF8AVQBuAGkAdAAiACwAIgBTAG8AdQByAGMAZQBEAGEAdABhAF8ARABhAGkAcgB5AC4AUwBvAHUAcgBjAGUARABhAHQAYQBfAEQAYQBpAHIAeQBfAEQAcgB5AE0AYQB0AHQAZQByAEQAaQBnAGUAcwB0AGkAYgBpAGwAaQB0AHkAXwBTAG8AdQByAGMAZQAiACwAIgBTAG8AdQByAGMAZQBEAGEAdABhAF8ARABhAGkAcgB5AC4AUwBvAHUAcgBjAGUARABhAHQAYQBfAEQAYQBpAHIAeQBfAEQAcgB5AE0AYQB0AHQAZQByAEQAaQBnAGUAcwB0AGkAYgBpAGwAaQB0AHkAXwBWAGEAcgBpAGEAdABpAG8AbgAiACwAIgBTAG8AdQByAGMAZQBEAGEAdABhAF8ARABhAGkAcgB5AC4AUwBvAHUAcgBjAGUARABhAHQAYQBfAEQAYQBpAHIAeQBfAEQAcgB5AE0AYQB0AHQAZQByAEQAaQBnAGUAcwB0AGkAYgBpAGwAaQB0AHkAXwBEAGEAdABhACIALAAiAFMAbwB1AHIAYwBlAEQAYQB0AGEAXwBEAGEAaQByAHkALgBTAG8AdQByAGMAZQBEAGEAdABhAF8ARABhAGkAcgB5AF8ATgBlAHQARQBuAGUAcgBnAHkAXwBUAGkAdABsAGUAIgAsACIAUwBvAHUAcgBjAGUARABhAHQAYQBfAEQAYQBpAHIAeQAuAFMAbwB1AHIAYwBlAEQAYQB0AGEAXwBEAGEAaQByAHkAXwBOAGUAdABFAG4AZQByAGcAeQBfAFYAYQByAGkAYQBiAGwAZQAiACwAIgBTAG8AdQByAGMAZQBEAGEAdABhAF8ARABhAGkAcgB5AC4AUwBvAHUAcgBjAGUARABhAHQAYQBfAEQAYQBpAHIAeQBfAE4AZQB0AEUAbgBlAHIAZwB5AF8AVQBuAGkAdAAiACwAIgBTAG8AdQByAGMAZQBEAGEAdABhAF8ARABhAGkAcgB5AC4AUwBvAHUAcgBjAGUARABhAHQAYQBfAEQAYQBpAHIAeQBfAE4AZQB0AEUAbgBlAHIAZwB5AF8AUwBvAHUAcgBjAGUAIgAsACIAUwBvAHUAcgBjAGUARABhAHQAYQBfAEQAYQBpAHIAeQAuAFMAbwB1AHIAYwBlAEQAYQB0AGEAXwBEAGEAaQByAHkAXwBOAGUAdABFAG4AZQByAGcAeQBfAFYAYQByAGkAYQB0AGkAbwBuACIALAAiAFMAbwB1AHIAYwBlAEQAYQB0AGEAXwBEAGEAaQByAHkALgBTAG8AdQByAGMAZQBEAGEAdABhAF8ARABhAGkAcgB5AF8ATgBlAHQARQBuAGUAcgBnAHkAXwBEAGEAdABhACIALAAiAFMAbwB1AHIAYwBlAEQAYQB0AGEAXwBEAGEAaQByAHkALgBTAG8AdQByAGMAZQBEAGEAdABhAF8ARABhAGkAcgB5AF8ARwByAG8AcwBzAEUAbgBlAHIAZwB5AEMAbwBuAHQAZQBuAHQAXwBUAGkAdABsAGUAIgAsACIAUwBvAHUAcgBjAGUARABhAHQAYQBfAEQAYQBpAHIAeQAuAFMAbwB1AHIAYwBlAEQAYQB0AGEAXwBEAGEAaQByAHkAXwBHAHIAbwBzAHMARQBuAGUAcgBnAHkAQwBvAG4AdABlAG4AdABfAFYAYQByAGkAYQBiAGwAZQAiACwAIgBTAG8AdQByAGMAZQBEAGEAdABhAF8ARABhAGkAcgB5AC4AUwBvAHUAcgBjAGUARABhAHQAYQBfAEQAYQBpAHIAeQBfAEcAcgBvAHMAcwBFAG4AZQByAGcAeQBDAG8AbgB0AGUAbgB0AF8AVQBuAGkAdAAiACwAIgBTAG8AdQByAGMAZQBEAGEAdABhAF8ARABhAGkAcgB5AC4AUwBvAHUAcgBjAGUARABhAHQAYQBfAEQAYQBpAHIAeQBfAEcAcgBvAHMAcwBFAG4AZQByAGcAeQBDAG8AbgB0AGUAbgB0AF8AUwBvAHUAcgBjAGUAIgAsACIAUwBvAHUAcgBjAGUARABhAHQAYQBfAEQAYQBpAHIAeQAuAFMAbwB1AHIAYwBlAEQAYQB0AGEAXwBEAGEAaQByAHkAXwBHAHIAbwBzAHMARQBuAGUAcgBnAHkAQwBvAG4AdABlAG4AdABfAFYAYQByAGkAYQB0AGkAbwBuACIALAAiAFMAbwB1AHIAYwBlAEQAYQB0AGEAXwBEAGEAaQByAHkALgBTAG8AdQByAGMAZQBEAGEAdABhAF8ARABhAGkAcgB5AF8ARwByAG8AcwBzAEUAbgBlAHIAZwB5AEMAbwBuAHQAZQBuAHQAXwBEAGEAdABhACIALAAiAFMAbwB1AHIAYwBlAEQAYQB0AGEAXwBEAGEAaQByAHkALgBTAG8AdQByAGMAZQBEAGEAdABhAF8ARABhAGkAcgB5AF8ARQBmAGYAaQBjAGkAZQBuAGMAeQBPAGYAVQBzAGUATwBmAE0AZQB0AGEAYgBvAGwAaQB6AGEAYgBsAGUARQBuAGUAcgBnAHkAXwBUAGkAdABsAGUAIgAsACIAUwBvAHUAcgBjAGUARABhAHQAYQBfAEQAYQBpAHIAeQAuAFMAbwB1AHIAYwBlAEQAYQB0AGEAXwBEAGEAaQByAHkAXwBFAGYAZgBpAGMAaQBlAG4AYwB5AE8AZgBVAHMAZQBPAGYATQBlAHQAYQBiAG8AbABpAHoAYQBiAGwAZQBFAG4AZQByAGcAeQBfAFYAYQByAGkAYQBiAGwAZQAiACwAIgBTAG8AdQByAGMAZQBEAGEAdABhAF8ARABhAGkAcgB5AC4AUwBvAHUAcgBjAGUARABhAHQAYQBfAEQAYQBpAHIAeQBfAEUAZgBmAGkAYwBpAGUAbgBjAHkATwBmAFUAcwBlAE8AZgBNAGUAdABhAGIAbwBsAGkAegBhAGIAbABlAEUAbgBlAHIAZwB5AF8AVQBuAGkAdAAiACwAIgBTAG8AdQByAGMAZQBEAGEAdABhAF8ARABhAGkAcgB5AC4AUwBvAHUAcgBjAGUARABhAHQAYQBfAEQAYQBpAHIAeQBfAEUAZgBmAGkAYwBpAGUAbgBjAHkATwBmAFUAcwBlAE8AZgBNAGUAdABhAGIAbwBsAGkAegBhAGIAbABlAEUAbgBlAHIAZwB5AF8AUwBvAHUAcgBjAGUAIgAsACIAUwBvAHUAcgBjAGUARABhAHQAYQBfAEQAYQBpAHIAeQAuAFMAbwB1AHIAYwBlAEQAYQB0AGEAXwBEAGEAaQByAHkAXwBFAGYAZgBpAGMAaQBlAG4AYwB5AE8AZgBVAHMAZQBPAGYATQBlAHQAYQBiAG8AbABpAHoAYQBiAGwAZQBFAG4AZQByAGcAeQBfAFYAYQByAGkAYQB0AGkAbwBuACIALAAiAFMAbwB1AHIAYwBlAEQAYQB0AGEAXwBEAGEAaQByAHkALgBTAG8AdQByAGMAZQBEAGEAdABhAF8ARABhAGkAcgB5AF8ARQBmAGYAaQBjAGkAZQBuAGMAeQBPAGYAVQBzAGUATwBmAE0AZQB0AGEAYgBvAGwAaQB6AGEAYgBsAGUARQBuAGUAcgBnAHkAXwBEAGEAdABhACIALAAiAFMAbwB1AHIAYwBlAEQAYQB0AGEAXwBEAGEAaQByAHkALgBTAG8AdQByAGMAZQBEAGEAdABhAF8ARABhAGkAcgB5AF8AQQBzAGgAQwBvAG4AdABlAG4AdABfAFQAaQB0AGwAZQAiACwAIgBTAG8AdQByAGMAZQBEAGEAdABhAF8ARABhAGkAcgB5AC4AUwBvAHUAcgBjAGUARABhAHQAYQBfAEQAYQBpAHIAeQBfAEEAcwBoAEMAbwBuAHQAZQBuAHQAXwBWAGEAcgBpAGEAYgBsAGUAIgAsACIAUwBvAHUAcgBjAGUARABhAHQAYQBfAEQAYQBpAHIAeQAuAFMAbwB1AHIAYwBlAEQAYQB0AGEAXwBEAGEAaQByAHkAXwBBAHMAaABDAG8AbgB0AGUAbgB0AF8AVQBuAGkAdAAiACwAIgBTAG8AdQByAGMAZQBEAGEAdABhAF8ARABhAGkAcgB5AC4AUwBvAHUAcgBjAGUARABhAHQAYQBfAEQAYQBpAHIAeQBfAEEAcwBoAEMAbwBuAHQAZQBuAHQAXwBTAG8AdQByAGMAZQAiACwAIgBTAG8AdQByAGMAZQBEAGEAdABhAF8ARABhAGkAcgB5AC4AUwBvAHUAcgBjAGUARABhAHQAYQBfAEQAYQBpAHIAeQBfAEEAcwBoAEMAbwBuAHQAZQBuAHQAXwBWAGEAcgBpAGEAdABpAG8AbgAiACwAIgBTAG8AdQByAGMAZQBEAGEAdABhAF8ARABhAGkAcgB5AC4AUwBvAHUAcgBjAGUARABhAHQAYQBfAEQAYQBpAHIAeQBfAEEAcwBoAEMAbwBuAHQAZQBuAHQAXwBEAGEAdABhACIALAAiAFMAbwB1AHIAYwBlAEQAYQB0AGEAXwBEAGEAaQByAHkALgBTAG8AdQByAGMAZQBEAGEAdABhAF8ARABhAGkAcgB5AF8ATQBlAHQAaABhAG4AZQBFAG0AaQBzAHMAaQBvAG4AcwBQAG8AdABlAG4AdABpAGEAbABfAFQAaQB0AGwAZQAiACwAIgBTAG8AdQByAGMAZQBEAGEAdABhAF8ARABhAGkAcgB5AC4AUwBvAHUAcgBjAGUARABhAHQAYQBfAEQAYQBpAHIAeQBfAE0AZQB0AGgAYQBuAGUARQBtAGkAcwBzAGkAbwBuAHMAUABvAHQAZQBuAHQAaQBhAGwAXwBWAGEAcgBpAGEAYgBsAGUAIgAsACIAUwBvAHUAcgBjAGUARABhAHQAYQBfAEQAYQBpAHIAeQAuAFMAbwB1AHIAYwBlAEQAYQB0AGEAXwBEAGEAaQByAHkAXwBNAGUAdABoAGEAbgBlAEUAbQBpAHMAcwBpAG8AbgBzAFAAbwB0AGUAbgB0AGkAYQBsAF8AVQBuAGkAdAAiACwAIgBTAG8AdQByAGMAZQBEAGEAdABhAF8ARABhAGkAcgB5AC4AUwBvAHUAcgBjAGUARABhAHQAYQBfAEQAYQBpAHIAeQBfAE0AZQB0AGgAYQBuAGUARQBtAGkAcwBzAGkAbwBuAHMAUABvAHQAZQBuAHQAaQBhAGwAXwBTAG8AdQByAGMAZQAiACwAIgBTAG8AdQByAGMAZQBEAGEAdABhAF8ARABhAGkAcgB5AC4AUwBvAHUAcgBjAGUARABhAHQAYQBfAEQAYQBpAHIAeQBfAE0AZQB0AGgAYQBuAGUARQBtAGkAcwBzAGkAbwBuAHMAUABvAHQAZQBuAHQAaQBhAGwAXwBWAGEAcgBpAGEAdABpAG8AbgAiACwAIgBTAG8AdQByAGMAZQBEAGEAdABhAF8ARABhAGkAcgB5AC4AUwBvAHUAcgBjAGUARABhAHQAYQBfAEQAYQBpAHIAeQBfAE0AZQB0AGgAYQBuAGUARQBtAGkAcwBzAGkAbwBuAHMAUABvAHQAZQBuAHQAaQBhAGwAXwBEAGEAdABhACIALAAiAFMAbwB1AHIAYwBlAEQAYQB0AGEAXwBEAGEAaQByAHkALgBTAG8AdQByAGMAZQBEAGEAdABhAF8ARABhAGkAcgB5AF8ARQBtAGkAcwBzAGkAbwBuAEYAYQBjAHQAbwByAEYAbwByAEwAZQBhAGMAaABpAG4AZwBBAG4AZABSAHUAbgBvAGYAZgBfAFQAaQB0AGwAZQAiACwAIgBTAG8AdQByAGMAZQBEAGEAdABhAF8ARABhAGkAcgB5AC4AUwBvAHUAcgBjAGUARABhAHQAYQBfAEQAYQBpAHIAeQBfAEUAbQBpAHMAcwBpAG8AbgBGAGEAYwB0AG8AcgBGAG8AcgBMAGUAYQBjAGgAaQBuAGcAQQBuAGQAUgB1AG4AbwBmAGYAXwBWAGEAcgBpAGEAYgBsAGUAIgAsACIAUwBvAHUAcgBjAGUARABhAHQAYQBfAEQAYQBpAHIAeQAuAFMAbwB1AHIAYwBlAEQAYQB0AGEAXwBEAGEAaQByAHkAXwBFAG0AaQBzAHMAaQBvAG4ARgBhAGMAdABvAHIARgBvAHIATABlAGEAYwBoAGkAbgBnAEEAbgBkAFIAdQBuAG8AZgBmAF8AVQBuAGkAdAAiACwAIgBTAG8AdQByAGMAZQBEAGEAdABhAF8ARABhAGkAcgB5AC4AUwBvAHUAcgBjAGUARABhAHQAYQBfAEQAYQBpAHIAeQBfAEUAbQBpAHMAcwBpAG8AbgBGAGEAYwB0AG8AcgBGAG8AcgBMAGUAYQBjAGgAaQBuAGcAQQBuAGQAUgB1AG4AbwBmAGYAXwBTAG8AdQByAGMAZQAiACwAIgBTAG8AdQByAGMAZQBEAGEAdABhAF8ARABhAGkAcgB5AC4AUwBvAHUAcgBjAGUARABhAHQAYQBfAEQAYQBpAHIAeQBfAEUAbQBpAHMAcwBpAG8AbgBGAGEAYwB0AG8AcgBGAG8AcgBMAGUAYQBjAGgAaQBuAGcAQQBuAGQAUgB1AG4AbwBmAGYAXwBWAGEAcgBpAGEAdABpAG8AbgAiACwAIgBTAG8AdQByAGMAZQBEAGEAdABhAF8ARABhAGkAcgB5AC4AUwBvAHUAcgBjAGUARABhAHQAYQBfAEQAYQBpAHIAeQBfAEUAbQBpAHMAcwBpAG8AbgBGAGEAYwB0AG8AcgBGAG8AcgBMAGUAYQBjAGgAaQBuAGcAQQBuAGQAUgB1AG4AbwBmAGYAXwBEAGEAdABhACIALAAiAFMAbwB1AHIAYwBlAEQAYQB0AGEAXwBEAGEAaQByAHkALgBTAG8AdQByAGMAZQBEAGEAdABhAF8ARABhAGkAcgB5AF8ARgByAGEAYwB0AGkAbwBuAE8AZgBOAGkAdAByAG8AZwBlAG4ATABvAHMAdABUAGgAcgBvAHUAZwBoAEwAZQBhAGMAaABpAG4AZwBBAG4AZABSAHUAbgBvAGYAZgBTAG8AbABpAGQAUwB0AG8AcgBhAGcAZQBfAFQAaQB0AGwAZQAiACwAIgBTAG8AdQByAGMAZQBEAGEAdABhAF8ARABhAGkAcgB5AC4AUwBvAHUAcgBjAGUARABhAHQAYQBfAEQAYQBpAHIAeQBfAEYAcgBhAGMAdABpAG8AbgBPAGYATgBpAHQAcgBvAGcAZQBuAEwAbwBzAHQAVABoAHIAbwB1AGcAaABMAGUAYQBjAGgAaQBuAGcAQQBuAGQAUgB1AG4AbwBmAGYAUwBvAGwAaQBkAFMAdABvAHIAYQBnAGUAXwBWAGEAcgBpAGEAYgBsAGUAIgAsACIAUwBvAHUAcgBjAGUARABhAHQAYQBfAEQAYQBpAHIAeQAuAFMAbwB1AHIAYwBlAEQAYQB0AGEAXwBEAGEAaQByAHkAXwBGAHIAYQBjAHQAaQBvAG4ATwBmAE4AaQB0AHIAbwBnAGUAbgBMAG8AcwB0AFQAaAByAG8AdQBnAGgATABlAGEAYwBoAGkAbgBnAEEAbgBkAFIAdQBuAG8AZgBmAFMAbwBsAGkAZABTAHQAbwByAGEAZwBlAF8AVQBuAGkAdAAiACwAIgBTAG8AdQByAGMAZQBEAGEAdABhAF8ARABhAGkAcgB5AC4AUwBvAHUAcgBjAGUARABhAHQAYQBfAEQAYQBpAHIAeQBfAEYAcgBhAGMAdABpAG8AbgBPAGYATgBpAHQAcgBvAGcAZQBuAEwAbwBzAHQAVABoAHIAbwB1AGcAaABMAGUAYQBjAGgAaQBuAGcAQQBuAGQAUgB1AG4AbwBmAGYAUwBvAGwAaQBkAFMAdABvAHIAYQBnAGUAXwBTAG8AdQByAGMAZQAiACwAIgBTAG8AdQByAGMAZQBEAGEAdABhAF8ARABhAGkAcgB5AC4AUwBvAHUAcgBjAGUARABhAHQAYQBfAEQAYQBpAHIAeQBfAEYAcgBhAGMAdABpAG8AbgBPAGYATgBpAHQAcgBvAGcAZQBuAEwAbwBzAHQAVABoAHIAbwB1AGcAaABMAGUAYQBjAGgAaQBuAGcAQQBuAGQAUgB1AG4AbwBmAGYAUwBvAGwAaQBkAFMAdABvAHIAYQBnAGUAXwBWAGEAcgBpAGEAdABpAG8AbgAiACwAIgBTAG8AdQByAGMAZQBEAGEAdABhAF8ARABhAGkAcgB5AC4AUwBvAHUAcgBjAGUARABhAHQAYQBfAEQAYQBpAHIAeQBfAEYAcgBhAGMAdABpAG8AbgBPAGYATgBpAHQAcgBvAGcAZQBuAEwAbwBzAHQAVABoAHIAbwB1AGcAaABMAGUAYQBjAGgAaQBuAGcAQQBuAGQAUgB1AG4AbwBmAGYAUwBvAGwAaQBkAFMAdABvAHIAYQBnAGUAXwBEAGEAdABhACIALAAiAFMAbwB1AHIAYwBlAEQAYQB0AGEAXwBEAGEAaQByAHkALgBTAG8AdQByAGMAZQBEAGEAdABhAF8ARABhAGkAcgB5AF8ARgByAGEAYwB0AGkAbwBuAE8AZgBOAGkAdAByAG8AZwBlAG4ATABvAHMAdABUAGgAcgBvAHUAZwBoAEwAZQBhAGMAaABpAG4AZwBBAG4AZABSAHUAbgBvAGYAZgBfAFQAaQB0AGwAZQAiACwAIgBTAG8AdQByAGMAZQBEAGEAdABhAF8ARABhAGkAcgB5AC4AUwBvAHUAcgBjAGUARABhAHQAYQBfAEQAYQBpAHIAeQBfAEYAcgBhAGMAdABpAG8AbgBPAGYATgBpAHQAcgBvAGcAZQBuAEwAbwBzAHQAVABoAHIAbwB1AGcAaABMAGUAYQBjAGgAaQBuAGcAQQBuAGQAUgB1AG4AbwBmAGYAXwBWAGEAcgBpAGEAYgBsAGUAIgAsACIAUwBvAHUAcgBjAGUARABhAHQAYQBfAEQAYQBpAHIAeQAuAFMAbwB1AHIAYwBlAEQAYQB0AGEAXwBEAGEAaQByAHkAXwBGAHIAYQBjAHQAaQBvAG4ATwBmAE4AaQB0AHIAbwBnAGUAbgBMAG8AcwB0AFQAaAByAG8AdQBnAGgATABlAGEAYwBoAGkAbgBnAEEAbgBkAFIAdQBuAG8AZgBmAF8AVQBuAGkAdAAiACwAIgBTAG8AdQByAGMAZQBEAGEAdABhAF8ARABhAGkAcgB5AC4AUwBvAHUAcgBjAGUARABhAHQAYQBfAEQAYQBpAHIAeQBfAEYAcgBhAGMAdABpAG8AbgBPAGYATgBpAHQAcgBvAGcAZQBuAEwAbwBzAHQAVABoAHIAbwB1AGcAaABMAGUAYQBjAGgAaQBuAGcAQQBuAGQAUgB1AG4AbwBmAGYAXwBTAG8AdQByAGMAZQAiACwAIgBTAG8AdQByAGMAZQBEAGEAdABhAF8ARABhAGkAcgB5AC4AUwBvAHUAcgBjAGUARABhAHQAYQBfAEQAYQBpAHIAeQBfAEYAcgBhAGMAdABpAG8AbgBPAGYATgBpAHQAcgBvAGcAZQBuAEwAbwBzAHQAVABoAHIAbwB1AGcAaABMAGUAYQBjAGgAaQBuAGcAQQBuAGQAUgB1AG4AbwBmAGYAXwBWAGEAcgBpAGEAdABpAG8AbgAiACwAIgBTAG8AdQByAGMAZQBEAGEAdABhAF8ARABhAGkAcgB5AC4AUwBvAHUAcgBjAGUARABhAHQAYQBfAEQAYQBpAHIAeQBfAEYAcgBhAGMAdABpAG8AbgBPAGYATgBpAHQAcgBvAGcAZQBuAEwAbwBzAHQAVABoAHIAbwB1AGcAaABMAGUAYQBjAGgAaQBuAGcAQQBuAGQAUgB1AG4AbwBmAGYAXwBEAGEAdABhACIALAAiAFMAbwB1AHIAYwBlAEQAYQB0AGEAXwBEAGEAaQByAHkALgBTAG8AdQByAGMAZQBEAGEAdABhAF8ARABhAGkAcgB5AF8ARgByAGEAYwBHAEEAUwBNAFMAbwBpAGwAXwBUAGkAdABsAGUAIgAsACIAUwBvAHUAcgBjAGUARABhAHQAYQBfAEQAYQBpAHIAeQAuAFMAbwB1AHIAYwBlAEQAYQB0AGEAXwBEAGEAaQByAHkAXwBGAHIAYQBjAEcAQQBTAE0AUwBvAGkAbABfAFYAYQByAGkAYQBiAGwAZQAiACwAIgBTAG8AdQByAGMAZQBEAGEAdABhAF8ARABhAGkAcgB5AC4AUwBvAHUAcgBjAGUARABhAHQAYQBfAEQAYQBpAHIAeQBfAEYAcgBhAGMARwBBAFMATQBTAG8AaQBsAF8AVQBuAGkAdAAiACwAIgBTAG8AdQByAGMAZQBEAGEAdABhAF8ARABhAGkAcgB5AC4AUwBvAHUAcgBjAGUARABhAHQAYQBfAEQAYQBpAHIAeQBfAEYAcgBhAGMARwBBAFMATQBTAG8AaQBsAF8AUwBvAHUAcgBjAGUAIgAsACIAUwBvAHUAcgBjAGUARABhAHQAYQBfAEQAYQBpAHIAeQAuAFMAbwB1AHIAYwBlAEQAYQB0AGEAXwBEAGEAaQByAHkAXwBGAHIAYQBjAEcAQQBTAE0AUwBvAGkAbABfAFYAYQByAGkAYQB0AGkAbwBuACIALAAiAFMAbwB1AHIAYwBlAEQAYQB0AGEAXwBEAGEAaQByAHkALgBTAG8AdQByAGMAZQBEAGEAdABhAF8ARABhAGkAcgB5AF8ARgByAGEAYwBHAEEAUwBNAFMAbwBpAGwAXwBEAGEAdABhACIALAAiAFMAbwB1AHIAYwBlAEQAYQB0AGEAXwBEAGEAaQByAHkALgBTAG8AdQByAGMAZQBEAGEAdABhAF8ARABhAGkAcgB5AF8ARgBhAHQAQwBvAG4AdABlAG4AdABJAG4ATQBpAGwAawBfAFQAaQB0AGwAZQAiACwAIgBTAG8AdQByAGMAZQBEAGEAdABhAF8ARABhAGkAcgB5AC4AUwBvAHUAcgBjAGUARABhAHQAYQBfAEQAYQBpAHIAeQBfAEYAYQB0AEMAbwBuAHQAZQBuAHQASQBuAE0AaQBsAGsAXwBWAGEAcgBpAGEAYgBsAGUAIgAsACIAUwBvAHUAcgBjAGUARABhAHQAYQBfAEQAYQBpAHIAeQAuAFMAbwB1AHIAYwBlAEQAYQB0AGEAXwBEAGEAaQByAHkAXwBGAGEAdABDAG8AbgB0AGUAbgB0AEkAbgBNAGkAbABrAF8AVQBuAGkAdAAiACwAIgBTAG8AdQByAGMAZQBEAGEAdABhAF8ARABhAGkAcgB5AC4AUwBvAHUAcgBjAGUARABhAHQAYQBfAEQAYQBpAHIAeQBfAEYAYQB0AEMAbwBuAHQAZQBuAHQASQBuAE0AaQBsAGsAXwBTAG8AdQByAGMAZQAiACwAIgBTAG8AdQByAGMAZQBEAGEAdABhAF8ARABhAGkAcgB5AC4AUwBvAHUAcgBjAGUARABhAHQAYQBfAEQAYQBpAHIAeQBfAEYAYQB0AEMAbwBuAHQAZQBuAHQASQBuAE0AaQBsAGsAXwBWAGEAcgBpAGEAdABpAG8AbgAiACwAIgBTAG8AdQByAGMAZQBEAGEAdABhAF8ARABhAGkAcgB5AC4AUwBvAHUAcgBjAGUARABhAHQAYQBfAEQAYQBpAHIAeQBfAEYAYQB0AEMAbwBuAHQAZQBuAHQASQBuAE0AaQBsAGsAXwBEAGEAdABhACIALAAiAFMAbwB1AHIAYwBlAEQAYQB0AGEAXwBEAGEAaQByAHkALgBTAG8AdQByAGMAZQBEAGEAdABhAF8ARABhAGkAcgB5AF8AUAByAG8AdABlAGkAbgBDAG8AbgB0AGUAbgB0AEkAbgBNAGkAbABrAF8AVABpAHQAbABlACIALAAiAFMAbwB1AHIAYwBlAEQAYQB0AGEAXwBEAGEAaQByAHkALgBTAG8AdQByAGMAZQBEAGEAdABhAF8ARABhAGkAcgB5AF8AUAByAG8AdABlAGkAbgBDAG8AbgB0AGUAbgB0AEkAbgBNAGkAbABrAF8AVgBhAHIAaQBhAGIAbABlACIALAAiAFMAbwB1AHIAYwBlAEQAYQB0AGEAXwBEAGEAaQByAHkALgBTAG8AdQByAGMAZQBEAGEAdABhAF8ARABhAGkAcgB5AF8AUAByAG8AdABlAGkAbgBDAG8AbgB0AGUAbgB0AEkAbgBNAGkAbABrAF8AVQBuAGkAdAAiACwAIgBTAG8AdQByAGMAZQBEAGEAdABhAF8ARABhAGkAcgB5AC4AUwBvAHUAcgBjAGUARABhAHQAYQBfAEQAYQBpAHIAeQBfAFAAcgBvAHQAZQBpAG4AQwBvAG4AdABlAG4AdABJAG4ATQBpAGwAawBfAFMAbwB1AHIAYwBlACIALAAiAFMAbwB1AHIAYwBlAEQAYQB0AGEAXwBEAGEAaQByAHkALgBTAG8AdQByAGMAZQBEAGEAdABhAF8ARABhAGkAcgB5AF8AUAByAG8AdABlAGkAbgBDAG8AbgB0AGUAbgB0AEkAbgBNAGkAbABrAF8AVgBhAHIAaQBhAHQAaQBvAG4AIgAsACIAUwBvAHUAcgBjAGUARABhAHQAYQBfAEQAYQBpAHIAeQAuAFMAbwB1AHIAYwBlAEQAYQB0AGEAXwBEAGEAaQByAHkAXwBQAHIAbwB0AGUAaQBuAEMAbwBuAHQAZQBuAHQASQBuAE0AaQBsAGsAXwBEAGEAdABhACIALAAiAEUAbgB0AGUAcgBpAGMATQBlAHQAaABhAG4AZQBfAEQAYQBpAHIAeQBfAEUAcQB1AGEAdABpAG8AbgBzAC4AVgBFAEUAUgBHAF8AMwBfADMAXwAxAF8AMQBfAF8AMQBfAFQAbwB0AGEAbABBAG4AbgB1AGEAbABNAGUAdABoAGEAbgBlAEYAcgBvAG0ARQBuAHQAZQByAGkAYwBGAGUAcgBtAGUAbgB0AGEAdABpAG8AbgAiACwAIgBFAG4AdABlAHIAaQBjAE0AZQB0AGgAYQBuAGUAXwBEAGEAaQByAHkAXwBFAHEAdQBhAHQAaQBvAG4AcwAuAFYARQBFAFIARwBfADMAXwAzAF8AMQBfADEAXwBfADEAXwBUAG8AdABhAGwAQQBuAG4AdQBhAGwATQBlAHQAaABhAG4AZQBGAHIAbwBtAEUAbgB0AGUAcgBpAGMARgBlAHIAbQBlAG4AdABhAHQAaQBvAG4AVgBhAHIAaQBhAHQAaQBvAG4AIgAsACIARQBuAHQAZQByAGkAYwBNAGUAdABoAGEAbgBlAF8ARABhAGkAcgB5AF8ARQBxAHUAYQB0AGkAbwBuAHMALgBWAEUARQBSAEcAXwAzAF8AMwBfADEAXwAxAF8AXwAxAF8AVABvAHQAYQBsAEEAbgBuAHUAYQBsAE0AZQB0AGgAYQBuAGUARgByAG8AbQBFAG4AdABlAHIAaQBjAEYAZQByAG0AZQBuAHQAYQB0AGkAbwBuAF8AVABpAHQAbABlACIALAAiAEUAbgB0AGUAcgBpAGMATQBlAHQAaABhAG4AZQBfAEQAYQBpAHIAeQBfAEUAcQB1AGEAdABpAG8AbgBzAC4AVgBFAEUAUgBHAF8AMwBfADMAXwAxAF8AMQBfAF8AMQBfAFQAbwB0AGEAbABBAG4AbgB1AGEAbABNAGUAdABoAGEAbgBlAEYAcgBvAG0ARQBuAHQAZQByAGkAYwBGAGUAcgBtAGUAbgB0AGEAdABpAG8AbgBfAFYAYQByAGkAYQBiAGwAZQAiACwAIgBFAG4AdABlAHIAaQBjAE0AZQB0AGgAYQBuAGUAXwBEAGEAaQByAHkAXwBFAHEAdQBhAHQAaQBvAG4AcwAuAFYARQBFAFIARwBfADMAXwAzAF8AMQBfADEAXwBfADEAXwBUAG8AdABhAGwAQQBuAG4AdQBhAGwATQBlAHQAaABhAG4AZQBGAHIAbwBtAEUAbgB0AGUAcgBpAGMARgBlAHIAbQBlAG4AdABhAHQAaQBvAG4AXwBVAG4AaQB0ACIALAAiAEUAbgB0AGUAcgBpAGMATQBlAHQAaABhAG4AZQBfAEQAYQBpAHIAeQBfAEUAcQB1AGEAdABpAG8AbgBzAC4AVgBFAEUAUgBHAF8AMwBfADMAXwAxAF8AMQBfAF8AMQBfAFQAbwB0AGEAbABBAG4AbgB1AGEAbABNAGUAdABoAGEAbgBlAEYAcgBvAG0ARQBuAHQAZQByAGkAYwBGAGUAcgBtAGUAbgB0AGEAdABpAG8AbgBfAFMAbwB1AHIAYwBlACIALAAiAEUAbgB0AGUAcgBpAGMATQBlAHQAaABhAG4AZQBfAEQAYQBpAHIAeQBfAEUAcQB1AGEAdABpAG8AbgBzAC4AVgBFAEUAUgBHAF8AMwBfADMAXwAxAF8AMQBfAF8AMQBfAFQAbwB0AGEAbABBAG4AbgB1AGEAbABNAGUAdABoAGEAbgBlAEYAcgBvAG0ARQBuAHQAZQByAGkAYwBGAGUAcgBtAGUAbgB0AGEAdABpAG8AbgBfAE4ASQBSAFIAZQBmAGUAcgBlAG4AYwBl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BAHIAZwB1AG0AZQBuAHQAcwAiACwAIgBFAG4AdABlAHIAaQBjAE0AZQB0AGgAYQBuAGUAXwBEAGEAaQByAHkAXwBFAHEAdQBhAHQAaQBvAG4AcwAuAFYARQBFAFIARwBfADMAXwAzAF8AMQBfADEAXwBfADEAXwBUAG8AdABhAGwAQQBuAG4AdQBhAGwATQBlAHQAaABhAG4AZQBGAHIAbwBtAEUAbgB0AGUAcgBpAGMARgBlAHIAbQBlAG4AdABhAHQAaQBvAG4AXwBWAGEAcgBpAGEAdABpAG8AbgAiACwAIgBFAG4AdABlAHIAaQBjAE0AZQB0AGgAYQBuAGUAXwBEAGEAaQByAHkAXwBFAHEAdQBhAHQAaQBvAG4AcwAuAFYARQBFAFIARwBfADMAXwAzAF8AMQBfADEAXwBfADIAXwBEAGEAaQBsAHkARQBuAHQAZQByAGkAYwBNAGUAdABoAGEAbgBlAFAAcgBvAGQAdQBjAHQAaQBvAG4AIgAsACIARQBuAHQAZQByAGkAYwBNAGUAdABoAGEAbgBlAF8ARABhAGkAcgB5AF8ARQBxAHUAYQB0AGkAbwBuAHMALgBWAEUARQBSAEcAXwAzAF8AMwBfADEAXwAxAF8AXwAyAF8ARABhAGkAbAB5AEUAbgB0AGUAcgBpAGMATQBlAHQAaABhAG4AZQBQAHIAbwBkAHUAYwB0AGkAbwBuAF8AVABpAHQAbABlACIALAAiAEUAbgB0AGUAcgBpAGMATQBlAHQAaABhAG4AZQBfAEQAYQBpAHIAeQBfAEUAcQB1AGEAdABpAG8AbgBzAC4AVgBFAEUAUgBHAF8AMwBfADMAXwAxAF8AMQBfAF8AMgBfAEQAYQBpAGwAeQBFAG4AdABlAHIAaQBjAE0AZQB0AGgAYQBuAGUAUAByAG8AZAB1AGMAdABpAG8AbgBfAFYAYQByAGkAYQBiAGwAZQAiACwAIgBFAG4AdABlAHIAaQBjAE0AZQB0AGgAYQBuAGUAXwBEAGEAaQByAHkAXwBFAHEAdQBhAHQAaQBvAG4AcwAuAFYARQBFAFIARwBfADMAXwAzAF8AMQBfADEAXwBfADIAXwBEAGEAaQBsAHkARQBuAHQAZQByAGkAYwBNAGUAdABoAGEAbgBlAFAAcgBvAGQAdQBjAHQAaQBvAG4AXwBVAG4AaQB0ACIALAAiAEUAbgB0AGUAcgBpAGMATQBlAHQAaABhAG4AZQBfAEQAYQBpAHIAeQBfAEUAcQB1AGEAdABpAG8AbgBzAC4AVgBFAEUAUgBHAF8AMwBfADMAXwAxAF8AMQBfAF8AMgBfAEQAYQBpAGwAeQBFAG4AdABlAHIAaQBjAE0AZQB0AGgAYQBuAGUAUAByAG8AZAB1AGMAdABpAG8AbgBfAFMAbwB1AHIAYwBlACIALAAiAEUAbgB0AGUAcgBpAGMATQBlAHQAaABhAG4AZQBfAEQAYQBpAHIAeQBfAEUAcQB1AGEAdABpAG8AbgBzAC4AVgBFAEUAUgBHAF8AMwBfADMAXwAxAF8AMQBfAF8AMgBfAEQAYQBpAGwAeQBFAG4AdABlAHIAaQBjAE0AZQB0AGgAYQBuAGUAUAByAG8AZAB1AGMAdABpAG8AbgBfAE4ASQBSAFIAZQBmAGUAcgBlAG4AYwBlACIALAAiAEUAbgB0AGUAcgBpAGMATQBlAHQAaABhAG4AZQBfAEQAYQBpAHIAeQBfAEUAcQB1AGEAdABpAG8AbgBzAC4AVgBFAEUAUgBHAF8AMwBfADMAXwAxAF8AMQBfAF8AMgBfAEQAYQBpAGwAeQBFAG4AdABlAHIAaQBjAE0AZQB0AGgAYQBuAGUAUAByAG8AZAB1AGMAdABpAG8AbgBfAEwAYQB0AGUAeABFAHEAdQBhAHQAaQBvAG4AIgAsACIARQBuAHQAZQByAGkAYwBNAGUAdABoAGEAbgBlAF8ARABhAGkAcgB5AF8ARQBxAHUAYQB0AGkAbwBuAHMALgBWAEUARQBSAEcAXwAzAF8AMwBfADEAXwAxAF8AXwAyAF8ARABhAGkAbAB5AEUAbgB0AGUAcgBpAGMATQBlAHQAaABhAG4AZQBQAHIAbwBkAHUAYwB0AGkAbwBuAF8AQQByAGcAdQBtAGUAbgB0AHMAIgAsACIARQBuAHQAZQByAGkAYwBNAGUAdABoAGEAbgBlAF8ARABhAGkAcgB5AF8ARQBxAHUAYQB0AGkAbwBuAHMALgBWAEUARQBSAEcAXwAzAF8AMwBfADEAXwAxAF8AXwAzAF8ARAByAHkATQBhAHQAdABlAHIARgBlAGUAZABJAG4AdABhAGsAZQAiACwAIgBFAG4AdABlAHIAaQBjAE0AZQB0AGgAYQBuAGUAXwBEAGEAaQByAHkAXwBFAHEAdQBhAHQAaQBvAG4AcwAuAFYARQBFAFIARwBfADMAXwAzAF8AMQBfADEAXwBfADMAXwBEAHIAeQBNAGEAdAB0AGUAcgBGAGUAZQBkAEkAbgB0AGEAawBlAF8AVABpAHQAbABlACIALAAiAEUAbgB0AGUAcgBpAGMATQBlAHQAaABhAG4AZQBfAEQAYQBpAHIAeQBfAEUAcQB1AGEAdABpAG8AbgBzAC4AVgBFAEUAUgBHAF8AMwBfADMAXwAxAF8AMQBfAF8AMwBfAEQAcgB5AE0AYQB0AHQAZQByAEYAZQBlAGQASQBuAHQAYQBrAGUAXwBWAGEAcgBpAGEAYgBsAGUAIgAsACIARQBuAHQAZQByAGkAYwBNAGUAdABoAGEAbgBlAF8ARABhAGkAcgB5AF8ARQBxAHUAYQB0AGkAbwBuAHMALgBWAEUARQBSAEcAXwAzAF8AMwBfADEAXwAxAF8AXwAzAF8ARAByAHkATQBhAHQAdABlAHIARgBlAGUAZABJAG4AdABhAGsAZQBfAFUAbgBpAHQAIgAsACIARQBuAHQAZQByAGkAYwBNAGUAdABoAGEAbgBlAF8ARABhAGkAcgB5AF8ARQBxAHUAYQB0AGkAbwBuAHMALgBWAEUARQBSAEcAXwAzAF8AMwBfADEAXwAxAF8AXwAzAF8ARAByAHkATQBhAHQAdABlAHIARgBlAGUAZABJAG4AdABhAGsAZQBfAFMAbwB1AHIAYwBlACIALAAiAEUAbgB0AGUAcgBpAGMATQBlAHQAaABhAG4AZQBfAEQAYQBpAHIAeQBfAEUAcQB1AGEAdABpAG8AbgBzAC4AVgBFAEUAUgBHAF8AMwBfADMAXwAxAF8AMQBfAF8AMwBfAEQAcgB5AE0AYQB0AHQAZQByAEYAZQBlAGQASQBuAHQAYQBrAGUAXwBOAEkAUgBSAGUAZgBlAHIAZQBuAGMAZQAiACwAIgBFAG4AdABlAHIAaQBjAE0AZQB0AGgAYQBuAGUAXwBEAGEAaQByAHkAXwBFAHEAdQBhAHQAaQBvAG4AcwAuAFYARQBFAFIARwBfADMAXwAzAF8AMQBfADEAXwBfADMAXwBEAHIAeQBNAGEAdAB0AGUAcgBGAGUAZQBkAEkAbgB0AGEAawBlAF8ATABhAHQAZQB4AEUAcQB1AGEAdABpAG8AbgAiACwAIgBFAG4AdABlAHIAaQBjAE0AZQB0AGgAYQBuAGUAXwBEAGEAaQByAHkAXwBFAHEAdQBhAHQAaQBvAG4AcwAuAFYARQBFAFIARwBfADMAXwAzAF8AMQBfADEAXwBfADMAXwBEAHIAeQBNAGEAdAB0AGUAcgBGAGUAZQBkAEkAbgB0AGEAawBlAF8AQQByAGcAdQBtAGUAbgB0AHMAIgAsACIARQBuAHQAZQByAGkAYwBNAGUAdABoAGEAbgBlAF8ARABhAGkAcgB5AF8ARQBxAHUAYQB0AGkAbwBuAHMALgBWAEUARQBSAEcAXwAzAF8AMwBfADEAXwAxAF8AXwA0AF8AQQBkAGQAaQB0AGkAbwBuAGEAbABJAG4AdABhAGsAZQBGAG8AcgBNAGkAbABrAFAAcgBvAGQAdQBjAHQAaQBvAG4AIgAsACIARQBuAHQAZQByAGkAYwBNAGUAdABoAGEAbgBlAF8ARABhAGkAcgB5AF8ARQBxAHUAYQB0AGkAbwBuAHMALgBWAEUARQBSAEcAXwAzAF8AMwBfADEAXwAxAF8AXwA0AF8AQQBkAGQAaQB0AGkAbwBuAGEAbABJAG4AdABhAGsAZQBGAG8AcgBNAGkAbABrAFAAcgBvAGQAdQBjAHQAaQBvAG4AXwBUAGkAdABsAGUAIgAsACIARQBuAHQAZQByAGkAYwBNAGUAdABoAGEAbgBlAF8ARABhAGkAcgB5AF8ARQBxAHUAYQB0AGkAbwBuAHMALgBWAEUARQBSAEcAXwAzAF8AMwBfADEAXwAxAF8AXwA0AF8AQQBkAGQAaQB0AGkAbwBuAGEAbABJAG4AdABhAGsAZQBGAG8AcgBNAGkAbABrAFAAcgBvAGQAdQBjAHQAaQBvAG4AXwBWAGEAcgBpAGEAYgBsAGUAIgAsACIARQBuAHQAZQByAGkAYwBNAGUAdABoAGEAbgBlAF8ARABhAGkAcgB5AF8ARQBxAHUAYQB0AGkAbwBuAHMALgBWAEUARQBSAEcAXwAzAF8AMwBfADEAXwAxAF8AXwA0AF8AQQBkAGQAaQB0AGkAbwBuAGEAbABJAG4AdABhAGsAZQBGAG8AcgBNAGkAbABrAFAAcgBvAGQAdQBjAHQAaQBvAG4AXwBVAG4AaQB0ACIALAAiAEUAbgB0AGUAcgBpAGMATQBlAHQAaABhAG4AZQBfAEQAYQBpAHIAeQBfAEUAcQB1AGEAdABpAG8AbgBzAC4AVgBFAEUAUgBHAF8AMwBfADMAXwAxAF8AMQBfAF8ANABfAEEAZABkAGkAdABpAG8AbgBhAGwASQBuAHQAYQBrAGUARgBvAHIATQBpAGwAawBQAHIAbwBkAHUAYwB0AGkAbwBuAF8AUwBvAHUAcgBjAGUAIgAsACIARQBuAHQAZQByAGkAYwBNAGUAdABoAGEAbgBlAF8ARABhAGkAcgB5AF8ARQBxAHUAYQB0AGkAbwBuAHMALgBWAEUARQBSAEcAXwAzAF8AMwBfADEAXwAxAF8AXwA0AF8AQQBkAGQAaQB0AGkAbwBuAGEAbABJAG4AdABhAGsAZQBGAG8AcgBNAGkAbABrAFAAcgBvAGQAdQBjAHQAaQBvAG4AXwBOAEkAUgBSAGUAZgBlAHIAZQBuAGMAZQAiACwAIgBFAG4AdABlAHIAaQBjAE0AZQB0AGgAYQBuAGUAXwBEAGEAaQByAHkAXwBFAHEAdQBhAHQAaQBvAG4AcwAuAFYARQBFAFIARwBfADMAXwAzAF8AMQBfADEAXwBfADQAXwBBAGQAZABpAHQAaQBvAG4AYQBsAEkAbgB0AGEAawBlAEYAbwByAE0AaQBsAGsAUAByAG8AZAB1AGMAdABpAG8AbgBfAEwAYQB0AGUAeABFAHEAdQBhAHQAaQBvAG4AIgAsACIARQBuAHQAZQByAGkAYwBNAGUAdABoAGEAbgBlAF8ARABhAGkAcgB5AF8ARQBxAHUAYQB0AGkAbwBuAHMALgBWAEUARQBSAEcAXwAzAF8AMwBfADEAXwAxAF8AXwA0AF8AQQBkAGQAaQB0AGkAbwBuAGEAbABJAG4AdABhAGsAZQBGAG8AcgBNAGkAbABrAFAAcgBvAGQAdQBjAHQAaQBvAG4AXwBBAHIAZwB1AG0AZQBuAHQAcwAiACwAIgBFAG4AdABlAHIAaQBjAE0AZQB0AGgAYQBuAGUAXwBEAGEAaQByAHkAXwBFAHEAdQBhAHQAaQBvAG4AcwAuAFYARQBFAFIARwBfADMAXwAzAF8AMQBfADEAXwBfADQAXwBBAGQAZABpAHQAaQBvAG4AYQBsAEkAbgB0AGEAawBlAEYAbwByAE0AaQBsAGsAUAByAG8AZAB1AGMAdABpAG8AbgBfAFYAYQByAGkAYQB0AGkAbwBuACIALAAiAEUAbgB0AGUAcgBpAGMATQBlAHQAaABhAG4AZQBfAEQAYQBpAHIAeQBfAEUAcQB1AGEAdABpAG8AbgBzAC4AVgBFAEUAUgBHAF8AMwBfADMAXwAxAF8AMQBfAF8ANQBfAE0AaQBsAGsAUAByAG8AZAB1AGMAdABpAG8AbgBGAHIAbwBtAE0AaQBsAGsAUwBvAGwAaQBkAHMAIgAsACIARQBuAHQAZQByAGkAYwBNAGUAdABoAGEAbgBlAF8ARABhAGkAcgB5AF8ARQBxAHUAYQB0AGkAbwBuAHMALgBWAEUARQBSAEcAXwAzAF8AMwBfADEAXwAxAF8AXwA1AF8ATQBpAGwAawBQAHIAbwBkAHUAYwB0AGkAbwBuAEYAcgBvAG0ATQBpAGwAawBTAG8AbABpAGQAcwBfAFQAaQB0AGwAZQAiACwAIgBFAG4AdABlAHIAaQBjAE0AZQB0AGgAYQBuAGUAXwBEAGEAaQByAHkAXwBFAHEAdQBhAHQAaQBvAG4AcwAuAFYARQBFAFIARwBfADMAXwAzAF8AMQBfADEAXwBfADUAXwBNAGkAbABrAFAAcgBvAGQAdQBjAHQAaQBvAG4ARgByAG8AbQBNAGkAbABrAFMAbwBsAGkAZABzAF8AVgBhAHIAaQBhAGIAbABlACIALAAiAEUAbgB0AGUAcgBpAGMATQBlAHQAaABhAG4AZQBfAEQAYQBpAHIAeQBfAEUAcQB1AGEAdABpAG8AbgBzAC4AVgBFAEUAUgBHAF8AMwBfADMAXwAxAF8AMQBfAF8ANQBfAE0AaQBsAGsAUAByAG8AZAB1AGMAdABpAG8AbgBGAHIAbwBtAE0AaQBsAGsAUwBvAGwAaQBkAHMAXwBVAG4AaQB0ACIALAAiAEUAbgB0AGUAcgBpAGMATQBlAHQAaABhAG4AZQBfAEQAYQBpAHIAeQBfAEUAcQB1AGEAdABpAG8AbgBzAC4AVgBFAEUAUgBHAF8AMwBfADMAXwAxAF8AMQBfAF8ANQBfAE0AaQBsAGsAUAByAG8AZAB1AGMAdABpAG8AbgBGAHIAbwBtAE0AaQBsAGsAUwBvAGwAaQBkAHMAXwBTAG8AdQByAGMAZQAiACwAIgBFAG4AdABlAHIAaQBjAE0AZQB0AGgAYQBuAGUAXwBEAGEAaQByAHkAXwBFAHEAdQBhAHQAaQBvAG4AcwAuAFYARQBFAFIARwBfADMAXwAzAF8AMQBfADEAXwBfADUAXwBNAGkAbABrAFAAcgBvAGQAdQBjAHQAaQBvAG4ARgByAG8AbQBNAGkAbABrAFMAbwBsAGkAZABzAF8ATgBJAFIAUgBlAGYAZQByAGUAbgBjAGUAIgAsACIARQBuAHQAZQByAGkAYwBNAGUAdABoAGEAbgBlAF8ARABhAGkAcgB5AF8ARQBxAHUAYQB0AGkAbwBuAHMALgBWAEUARQBSAEcAXwAzAF8AMwBfADEAXwAxAF8AXwA1AF8ATQBpAGwAawBQAHIAbwBkAHUAYwB0AGkAbwBuAEYAcgBvAG0ATQBpAGwAawBTAG8AbABpAGQAcwBfAEwAYQB0AGUAeABFAHEAdQBhAHQAaQBvAG4AIgAsACIARQBuAHQAZQByAGkAYwBNAGUAdABoAGEAbgBlAF8ARABhAGkAcgB5AF8ARQBxAHUAYQB0AGkAbwBuAHMALgBWAEUARQBSAEcAXwAzAF8AMwBfADEAXwAxAF8AXwA1AF8ATQBpAGwAawBQAHIAbwBkAHUAYwB0AGkAbwBuAEYAcgBvAG0ATQBpAGwAawBTAG8AbABpAGQAcwBfAEEAcgBnAHUAbQBlAG4AdABzACIALAAiAEUAbgB0AGUAcgBpAGMATQBlAHQAaABhAG4AZQBfAEQAYQBpAHIAeQBfAEUAcQB1AGEAdABpAG8AbgBzAC4AVgBFAEUAUgBHAF8AMwBfADMAXwAxAF8AMQBfAF8ANQBfAE0AaQBsAGsAUAByAG8AZAB1AGMAdABpAG8AbgBGAHIAbwBtAE0AaQBsAGsAUwBvAGwAaQBkAHMAXwBBAHIAZwB1AG0AZQBuAHQAcwBfAE0AZQB0AGgAbwBkADIAIgAsACIARQBuAHQAZQByAGkAYwBNAGUAdABoAGEAbgBlAF8ARABhAGkAcgB5AF8ARQBxAHUAYQB0AGkAbwBuAHMALgBWAEUARQBSAEcAXwAzAF8AMwBfADEAXwAxAF8AXwA1AF8ATQBpAGwAawBQAHIAbwBkAHUAYwB0AGkAbwBuAEYAcgBvAG0ATQBpAGwAawBTAG8AbABpAGQAcwBfAFYAYQByAGkAYQB0AGkAbwBuACIALAAiAEUAbgB0AGUAcgBpAGMATQBlAHQAaABhAG4AZQBfAEQAYQBpAHIAeQBfAEUAcQB1AGEAdABpAG8AbgBzAC4AVgBFAEUAUgBHAF8AMwBfADMAXwAxAF8AMQBfAF8ANgBfAE0AZQB0AGEAYgBvAGwAaQBzAGEAYgBpAGwAaQB0AHkATwBmAEQAaQBlAHQAIgAsACIARQBuAHQAZQByAGkAYwBNAGUAdABoAGEAbgBlAF8ARABhAGkAcgB5AF8ARQBxAHUAYQB0AGkAbwBuAHMALgBWAEUARQBSAEcAXwAzAF8AMwBfADEAXwAxAF8AXwA2AF8ATQBlAHQAYQBiAG8AbABpAHMAYQBiAGkAbABpAHQAeQBPAGYARABpAGUAdABWAGEAcgBpAGEAdABpAG8AbgAiACwAIgBFAG4AdABlAHIAaQBjAE0AZQB0AGgAYQBuAGUAXwBEAGEAaQByAHkAXwBFAHEAdQBhAHQAaQBvAG4AcwAuAFYARQBFAFIARwBfADMAXwAzAF8AMQBfADEAXwBfADYAXwBNAGUAdABhAGIAbwBsAGkAcwBhAGIAaQBsAGkAdAB5AE8AZgBEAGkAZQB0AF8AVABpAHQAbABlACIALAAiAEUAbgB0AGUAcgBpAGMATQBlAHQAaABhAG4AZQBfAEQAYQBpAHIAeQBfAEUAcQB1AGEAdABpAG8AbgBzAC4AVgBFAEUAUgBHAF8AMwBfADMAXwAxAF8AMQBfAF8ANgBfAE0AZQB0AGEAYgBvAGwAaQBzAGEAYgBpAGwAaQB0AHkATwBmAEQAaQBlAHQAXwBWAGEAcgBpAGEAYgBsAGUAIgAsACIARQBuAHQAZQByAGkAYwBNAGUAdABoAGEAbgBlAF8ARABhAGkAcgB5AF8ARQBxAHUAYQB0AGkAbwBuAHMALgBWAEUARQBSAEcAXwAzAF8AMwBfADEAXwAxAF8AXwA2AF8ATQBlAHQAYQBiAG8AbABpAHMAYQBiAGkAbABpAHQAeQBPAGYARABpAGUAdABfAFUAbgBpAHQAIgAsACIARQBuAHQAZQByAGkAYwBNAGUAdABoAGEAbgBlAF8ARABhAGkAcgB5AF8ARQBxAHUAYQB0AGkAbwBuAHMALgBWAEUARQBSAEcAXwAzAF8AMwBfADEAXwAxAF8AXwA2AF8ATQBlAHQAYQBiAG8AbABpAHMAYQBiAGkAbABpAHQAeQBPAGYARABpAGUAdABfAFMAbwB1AHIAYwBlACIALAAiAEUAbgB0AGUAcgBpAGMATQBlAHQAaABhAG4AZQBfAEQAYQBpAHIAeQBfAEUAcQB1AGEAdABpAG8AbgBzAC4AVgBFAEUAUgBHAF8AMwBfADMAXwAxAF8AMQBfAF8ANgBfAE0AZQB0AGEAYgBvAGwAaQBzAGEAYgBpAGwAaQB0AHkATwBmAEQAaQBlAHQAXwBOAEkAUgBSAGUAZgBlAHIAZQBuAGMAZQAiACwAIgBFAG4AdABlAHIAaQBjAE0AZQB0AGgAYQBuAGUAXwBEAGEAaQByAHkAXwBFAHEAdQBhAHQAaQBvAG4AcwAuAFYARQBFAFIARwBfADMAXwAzAF8AMQBfADEAXwBfADYAXwBNAGUAdABhAGIAbwBsAGkAcwBhAGIAaQBsAGkAdAB5AE8AZgBEAGkAZQB0AF8ATABhAHQAZQB4AEUAcQB1AGEAdABpAG8AbgAiACwAIgBFAG4AdABlAHIAaQBjAE0AZQB0AGgAYQBuAGUAXwBEAGEAaQByAHkAXwBFAHEAdQBhAHQAaQBvAG4AcwAuAFYARQBFAFIARwBfADMAXwAzAF8AMQBfADEAXwBfADYAXwBNAGUAdABhAGIAbwBsAGkAcwBhAGIAaQBsAGkAdAB5AE8AZgBEAGkAZQB0AF8ATABhAHQAZQB4AEUAcQB1AGEAdABpAG8AbgBWAGEAcgBpAGEAdABpAG8AbgAiACwAIgBFAG4AdABlAHIAaQBjAE0AZQB0AGgAYQBuAGUAXwBEAGEAaQByAHkAXwBFAHEAdQBhAHQAaQBvAG4AcwAuAFYARQBFAFIARwBfADMAXwAzAF8AMQBfADEAXwBfADYAXwBNAGUAdABhAGIAbwBsAGkAcwBhAGIAaQBsAGkAdAB5AE8AZgBEAGkAZQB0AF8AQQByAGcAdQBtAGUAbgB0AHMAIgAsACIARQBuAHQAZQByAGkAYwBNAGUAdABoAGEAbgBlAF8ARABhAGkAcgB5AF8ARQBxAHUAYQB0AGkAbwBuAHMALgBWAEUARQBSAEcAXwAzAF8AMwBfADEAXwAxAF8AXwA2AF8ATQBlAHQAYQBiAG8AbABpAHMAYQBiAGkAbABpAHQAeQBPAGYARABpAGUAdABfAFYAYQByAGkAYQB0AGkAbwBuACIALAAiAEkAbgBwAHUAdABGAHUAbgBjAHQAaQBvAG4AcwBfAEQAYQBpAHIAeQAuAEMAYQBsAGMAdQBsAGEAdABlAEYAcgBhAGMAdABpAG8AbgBJAG4ATQBNAFMAQQBmAHQAZQByAFMAbwBsAGkAZABTAGUAcABhAHIAYQB0AGkAbwBuACIALAAiAEkAbgBwAHUAdABGAHUAbgBjAHQAaQBvAG4AcwBfAEQAYQBpAHIAeQAuAEMAYQBsAGMAdQBsAGEAdABlAEYAcgBhAGMAdABpAG8AbgBJAG4AUwBvAGwAaQBkAFMAdABvAHIAYQBnAGU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70</vt:i4>
      </vt:variant>
    </vt:vector>
  </HeadingPairs>
  <TitlesOfParts>
    <vt:vector size="80" baseType="lpstr">
      <vt:lpstr>Home</vt:lpstr>
      <vt:lpstr>Overview</vt:lpstr>
      <vt:lpstr>Results</vt:lpstr>
      <vt:lpstr>Input - Site</vt:lpstr>
      <vt:lpstr>Input - Dairy</vt:lpstr>
      <vt:lpstr>3.3.1.1-2 Enteric Methane</vt:lpstr>
      <vt:lpstr>Constants - Dairy</vt:lpstr>
      <vt:lpstr>Constants - Common</vt:lpstr>
      <vt:lpstr>Constants - Livestock</vt:lpstr>
      <vt:lpstr>Acknowledgements</vt:lpstr>
      <vt:lpstr>Common_SourceData_DensityOfMethane_Data</vt:lpstr>
      <vt:lpstr>M1_Table_D_j</vt:lpstr>
      <vt:lpstr>M1_Table_DMD_j</vt:lpstr>
      <vt:lpstr>M1_Table_DPW_j35</vt:lpstr>
      <vt:lpstr>M1_Table_E_enteric</vt:lpstr>
      <vt:lpstr>M1_Table_E_enteric_Consumer_1</vt:lpstr>
      <vt:lpstr>M1_Table_I_j</vt:lpstr>
      <vt:lpstr>M1_Table_LWG_j</vt:lpstr>
      <vt:lpstr>M1_Table_M_j</vt:lpstr>
      <vt:lpstr>M1_Table_MI_j</vt:lpstr>
      <vt:lpstr>M1_Table_MP_j_from_solids</vt:lpstr>
      <vt:lpstr>M1_Table_MPW_j35</vt:lpstr>
      <vt:lpstr>M1_Table_MS_j</vt:lpstr>
      <vt:lpstr>M1_Table_qm_j</vt:lpstr>
      <vt:lpstr>M1_Table_W_j</vt:lpstr>
      <vt:lpstr>M2_Table_D_j</vt:lpstr>
      <vt:lpstr>M2_Table_DMD_j</vt:lpstr>
      <vt:lpstr>M2_Table_DPW_j</vt:lpstr>
      <vt:lpstr>M2_Table_I_j</vt:lpstr>
      <vt:lpstr>M2_Table_LWG_j</vt:lpstr>
      <vt:lpstr>M2_Table_M_j</vt:lpstr>
      <vt:lpstr>M2_Table_MI_j</vt:lpstr>
      <vt:lpstr>M2_Table_MP_j_from_solids</vt:lpstr>
      <vt:lpstr>M2_Table_qm_j</vt:lpstr>
      <vt:lpstr>M2_Table_W_j</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SourceData_Dairy_GrossEnergyContent_Data</vt:lpstr>
      <vt:lpstr>SourceData_Dairy_MethaneEmissionsPotential_Data</vt:lpstr>
      <vt:lpstr>SourceData_Dairy_NetEnergy_Data</vt:lpstr>
      <vt:lpstr>SourceData_Dairy_ProteinContentInMilk_Data</vt:lpstr>
      <vt:lpstr>Table_MP_j</vt:lpstr>
      <vt:lpstr>Table_MR_j</vt:lpstr>
      <vt:lpstr>Table_N_j</vt:lpstr>
      <vt:lpstr>VEERG_3_3_1_1__1_TotalAnnualMethaneFromEntericFermentationVariation_Result_Method1</vt:lpstr>
      <vt:lpstr>VEERG_3_3_1_1__1_TotalAnnualMethaneFromEntericFermentationVariation_Result_Method2</vt:lpstr>
      <vt:lpstr>X_Cell_Dairy_Breed</vt:lpstr>
      <vt:lpstr>X_Cell_Dairy_MilkProductionAmount</vt:lpstr>
      <vt:lpstr>X_Cell_Dairy_MilkProductionUnit</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2026-07-29T06:26:34Z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