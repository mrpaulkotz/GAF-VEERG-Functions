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00839487-C753-427D-AF83-D6312BB28BA9}"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69" l="1" a="1"/>
  <c r="D114" i="69" s="1"/>
  <c r="D106" i="69" a="1"/>
  <c r="D106" i="69" s="1"/>
  <c r="D9" i="79"/>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H150" i="70" l="1"/>
  <c r="N148" i="70"/>
  <c r="J147" i="70"/>
  <c r="F128" i="70"/>
  <c r="L126" i="70"/>
  <c r="H125" i="70"/>
  <c r="N84" i="70"/>
  <c r="J83" i="70"/>
  <c r="F82" i="70"/>
  <c r="L62" i="70"/>
  <c r="H61" i="70"/>
  <c r="M147" i="70"/>
  <c r="K61" i="70"/>
  <c r="N126" i="70"/>
  <c r="I150" i="70"/>
  <c r="G128" i="70"/>
  <c r="M126" i="70"/>
  <c r="E60" i="70"/>
  <c r="G150" i="70"/>
  <c r="M148" i="70"/>
  <c r="I147" i="70"/>
  <c r="E128" i="70"/>
  <c r="K126" i="70"/>
  <c r="G125" i="70"/>
  <c r="M84" i="70"/>
  <c r="I83" i="70"/>
  <c r="E82" i="70"/>
  <c r="K62" i="70"/>
  <c r="G61" i="70"/>
  <c r="L60" i="70"/>
  <c r="E127" i="70"/>
  <c r="L83" i="70"/>
  <c r="K83" i="70"/>
  <c r="F150" i="70"/>
  <c r="L148" i="70"/>
  <c r="H147" i="70"/>
  <c r="N127" i="70"/>
  <c r="J126" i="70"/>
  <c r="F125" i="70"/>
  <c r="L84" i="70"/>
  <c r="H83" i="70"/>
  <c r="N63" i="70"/>
  <c r="J62" i="70"/>
  <c r="F61" i="70"/>
  <c r="F62" i="70"/>
  <c r="G85" i="70"/>
  <c r="H128" i="70"/>
  <c r="K147" i="70"/>
  <c r="E150" i="70"/>
  <c r="K148" i="70"/>
  <c r="G147" i="70"/>
  <c r="M127" i="70"/>
  <c r="I126" i="70"/>
  <c r="E125" i="70"/>
  <c r="K84" i="70"/>
  <c r="G83" i="70"/>
  <c r="M63" i="70"/>
  <c r="I62" i="70"/>
  <c r="E61" i="70"/>
  <c r="G62" i="70"/>
  <c r="H84" i="70"/>
  <c r="F63" i="70"/>
  <c r="M83" i="70"/>
  <c r="F85" i="70"/>
  <c r="I61" i="70"/>
  <c r="N149" i="70"/>
  <c r="J148" i="70"/>
  <c r="F147" i="70"/>
  <c r="L127" i="70"/>
  <c r="H126" i="70"/>
  <c r="N85" i="70"/>
  <c r="J84" i="70"/>
  <c r="F83" i="70"/>
  <c r="L63" i="70"/>
  <c r="H62" i="70"/>
  <c r="N60" i="70"/>
  <c r="K63" i="70"/>
  <c r="H60" i="70"/>
  <c r="L147" i="70"/>
  <c r="E149" i="70"/>
  <c r="G82" i="70"/>
  <c r="M149" i="70"/>
  <c r="I148" i="70"/>
  <c r="E147" i="70"/>
  <c r="K127" i="70"/>
  <c r="G126" i="70"/>
  <c r="M85" i="70"/>
  <c r="I84" i="70"/>
  <c r="E83" i="70"/>
  <c r="M60" i="70"/>
  <c r="N82" i="70"/>
  <c r="J82" i="70"/>
  <c r="I82" i="70"/>
  <c r="F60" i="70"/>
  <c r="I125" i="70"/>
  <c r="E173" i="70"/>
  <c r="L149" i="70"/>
  <c r="H148" i="70"/>
  <c r="N128" i="70"/>
  <c r="J127" i="70"/>
  <c r="F126" i="70"/>
  <c r="L85" i="70"/>
  <c r="J63" i="70"/>
  <c r="K150" i="70"/>
  <c r="G60" i="70"/>
  <c r="J61" i="70"/>
  <c r="E172" i="70"/>
  <c r="K149" i="70"/>
  <c r="G148" i="70"/>
  <c r="M128" i="70"/>
  <c r="I127" i="70"/>
  <c r="E126" i="70"/>
  <c r="K85" i="70"/>
  <c r="G84" i="70"/>
  <c r="M82" i="70"/>
  <c r="I63" i="70"/>
  <c r="E62" i="70"/>
  <c r="K60" i="70"/>
  <c r="K82" i="70"/>
  <c r="M61" i="70"/>
  <c r="H149" i="70"/>
  <c r="J128" i="70"/>
  <c r="L125" i="70"/>
  <c r="H85" i="70"/>
  <c r="L61" i="70"/>
  <c r="K125" i="70"/>
  <c r="E63" i="70"/>
  <c r="J150" i="70"/>
  <c r="J125" i="70"/>
  <c r="N150" i="70"/>
  <c r="J149" i="70"/>
  <c r="F148" i="70"/>
  <c r="L128" i="70"/>
  <c r="H127" i="70"/>
  <c r="N125" i="70"/>
  <c r="J85" i="70"/>
  <c r="F84" i="70"/>
  <c r="L82" i="70"/>
  <c r="H63" i="70"/>
  <c r="N61" i="70"/>
  <c r="J60" i="70"/>
  <c r="F127" i="70"/>
  <c r="G149" i="70"/>
  <c r="F149" i="70"/>
  <c r="N62" i="70"/>
  <c r="M62" i="70"/>
  <c r="M150" i="70"/>
  <c r="I149" i="70"/>
  <c r="E148" i="70"/>
  <c r="K128" i="70"/>
  <c r="G127" i="70"/>
  <c r="M125" i="70"/>
  <c r="I85" i="70"/>
  <c r="E84" i="70"/>
  <c r="G63" i="70"/>
  <c r="I60" i="70"/>
  <c r="N147" i="70"/>
  <c r="N83" i="70"/>
  <c r="I128" i="70"/>
  <c r="H82" i="70"/>
  <c r="E85" i="70"/>
  <c r="L150" i="70"/>
  <c r="J158" i="70"/>
  <c r="J136" i="70"/>
  <c r="F160" i="70"/>
  <c r="F137" i="70"/>
  <c r="J140" i="70"/>
  <c r="J141" i="70"/>
  <c r="J142" i="70"/>
  <c r="F159" i="70"/>
  <c r="N164" i="70"/>
  <c r="H153" i="70"/>
  <c r="L131" i="70"/>
  <c r="F134" i="70"/>
  <c r="F156" i="70"/>
  <c r="J138" i="70"/>
  <c r="L154" i="70"/>
  <c r="N132" i="70"/>
  <c r="L133" i="70"/>
  <c r="H157" i="70"/>
  <c r="I141" i="70"/>
  <c r="E159" i="70"/>
  <c r="M164" i="70"/>
  <c r="E134" i="70"/>
  <c r="I138" i="70"/>
  <c r="M132" i="70"/>
  <c r="I158" i="70"/>
  <c r="I136" i="70"/>
  <c r="E160" i="70"/>
  <c r="E137" i="70"/>
  <c r="I140" i="70"/>
  <c r="I142" i="70"/>
  <c r="G153" i="70"/>
  <c r="K131" i="70"/>
  <c r="E156" i="70"/>
  <c r="K154" i="70"/>
  <c r="K133" i="70"/>
  <c r="G157" i="70"/>
  <c r="E161" i="70"/>
  <c r="I132" i="70"/>
  <c r="G133" i="70"/>
  <c r="F133" i="70"/>
  <c r="M133" i="70"/>
  <c r="H158" i="70"/>
  <c r="H136" i="70"/>
  <c r="L162" i="70"/>
  <c r="N137" i="70"/>
  <c r="H140" i="70"/>
  <c r="H141" i="70"/>
  <c r="H142" i="70"/>
  <c r="N163" i="70"/>
  <c r="L164" i="70"/>
  <c r="F153" i="70"/>
  <c r="J131" i="70"/>
  <c r="N134" i="70"/>
  <c r="H161" i="70"/>
  <c r="H138" i="70"/>
  <c r="J154" i="70"/>
  <c r="L132" i="70"/>
  <c r="J133" i="70"/>
  <c r="G131" i="70"/>
  <c r="E138" i="70"/>
  <c r="J161" i="70"/>
  <c r="E154" i="70"/>
  <c r="N133" i="70"/>
  <c r="G158" i="70"/>
  <c r="G136" i="70"/>
  <c r="K162" i="70"/>
  <c r="M137" i="70"/>
  <c r="G140" i="70"/>
  <c r="G141" i="70"/>
  <c r="G142" i="70"/>
  <c r="M163" i="70"/>
  <c r="K164" i="70"/>
  <c r="E153" i="70"/>
  <c r="I131" i="70"/>
  <c r="M134" i="70"/>
  <c r="G161" i="70"/>
  <c r="G138" i="70"/>
  <c r="I154" i="70"/>
  <c r="K132" i="70"/>
  <c r="I133" i="70"/>
  <c r="N135" i="70"/>
  <c r="H131" i="70"/>
  <c r="F161" i="70"/>
  <c r="H133" i="70"/>
  <c r="K134" i="70"/>
  <c r="K155" i="70"/>
  <c r="F154" i="70"/>
  <c r="K153" i="70"/>
  <c r="E155" i="70"/>
  <c r="N154" i="70"/>
  <c r="I157" i="70"/>
  <c r="F158" i="70"/>
  <c r="F136" i="70"/>
  <c r="J162" i="70"/>
  <c r="L137" i="70"/>
  <c r="N139" i="70"/>
  <c r="F141" i="70"/>
  <c r="F142" i="70"/>
  <c r="L163" i="70"/>
  <c r="J164" i="70"/>
  <c r="L134" i="70"/>
  <c r="F138" i="70"/>
  <c r="L155" i="70"/>
  <c r="J132" i="70"/>
  <c r="I164" i="70"/>
  <c r="M135" i="70"/>
  <c r="E158" i="70"/>
  <c r="E136" i="70"/>
  <c r="I162" i="70"/>
  <c r="K137" i="70"/>
  <c r="M139" i="70"/>
  <c r="E141" i="70"/>
  <c r="E142" i="70"/>
  <c r="K163" i="70"/>
  <c r="N158" i="70"/>
  <c r="N160" i="70"/>
  <c r="H162" i="70"/>
  <c r="J137" i="70"/>
  <c r="L139" i="70"/>
  <c r="N141" i="70"/>
  <c r="N159" i="70"/>
  <c r="J163" i="70"/>
  <c r="H164" i="70"/>
  <c r="L135" i="70"/>
  <c r="F131" i="70"/>
  <c r="N156" i="70"/>
  <c r="N161" i="70"/>
  <c r="N138" i="70"/>
  <c r="J155" i="70"/>
  <c r="H132" i="70"/>
  <c r="F157" i="70"/>
  <c r="N162" i="70"/>
  <c r="N142" i="70"/>
  <c r="H135" i="70"/>
  <c r="J156" i="70"/>
  <c r="L157" i="70"/>
  <c r="M158" i="70"/>
  <c r="M160" i="70"/>
  <c r="G162" i="70"/>
  <c r="I137" i="70"/>
  <c r="K139" i="70"/>
  <c r="M141" i="70"/>
  <c r="M159" i="70"/>
  <c r="I163" i="70"/>
  <c r="G164" i="70"/>
  <c r="K135" i="70"/>
  <c r="E131" i="70"/>
  <c r="M156" i="70"/>
  <c r="M161" i="70"/>
  <c r="M138" i="70"/>
  <c r="I155" i="70"/>
  <c r="G132" i="70"/>
  <c r="E157" i="70"/>
  <c r="H139" i="70"/>
  <c r="J159" i="70"/>
  <c r="L153" i="70"/>
  <c r="F155" i="70"/>
  <c r="I161" i="70"/>
  <c r="E133" i="70"/>
  <c r="L158" i="70"/>
  <c r="L160" i="70"/>
  <c r="F162" i="70"/>
  <c r="F140" i="70"/>
  <c r="J139" i="70"/>
  <c r="L141" i="70"/>
  <c r="L159" i="70"/>
  <c r="H163" i="70"/>
  <c r="N153" i="70"/>
  <c r="J135" i="70"/>
  <c r="N131" i="70"/>
  <c r="L156" i="70"/>
  <c r="L161" i="70"/>
  <c r="H154" i="70"/>
  <c r="H155" i="70"/>
  <c r="F132" i="70"/>
  <c r="N157" i="70"/>
  <c r="E132" i="70"/>
  <c r="N140" i="70"/>
  <c r="G135" i="70"/>
  <c r="I156" i="70"/>
  <c r="M154" i="70"/>
  <c r="M155" i="70"/>
  <c r="K158" i="70"/>
  <c r="K160" i="70"/>
  <c r="E162" i="70"/>
  <c r="E140" i="70"/>
  <c r="I139" i="70"/>
  <c r="K141" i="70"/>
  <c r="K159" i="70"/>
  <c r="G163" i="70"/>
  <c r="M153" i="70"/>
  <c r="I135" i="70"/>
  <c r="M131" i="70"/>
  <c r="K156" i="70"/>
  <c r="K161" i="70"/>
  <c r="G154" i="70"/>
  <c r="G155" i="70"/>
  <c r="M157" i="70"/>
  <c r="N136" i="70"/>
  <c r="J160" i="70"/>
  <c r="F163" i="70"/>
  <c r="J134" i="70"/>
  <c r="I134" i="70"/>
  <c r="K157" i="70"/>
  <c r="J157" i="70"/>
  <c r="M136" i="70"/>
  <c r="I160" i="70"/>
  <c r="M162" i="70"/>
  <c r="M140" i="70"/>
  <c r="G139" i="70"/>
  <c r="M142" i="70"/>
  <c r="I159" i="70"/>
  <c r="E163" i="70"/>
  <c r="N155" i="70"/>
  <c r="L136" i="70"/>
  <c r="H160" i="70"/>
  <c r="H137" i="70"/>
  <c r="L140" i="70"/>
  <c r="F139" i="70"/>
  <c r="L142" i="70"/>
  <c r="H159" i="70"/>
  <c r="F164" i="70"/>
  <c r="J153" i="70"/>
  <c r="F135" i="70"/>
  <c r="H134" i="70"/>
  <c r="H156" i="70"/>
  <c r="L138" i="70"/>
  <c r="K136" i="70"/>
  <c r="G160" i="70"/>
  <c r="G137" i="70"/>
  <c r="K140" i="70"/>
  <c r="E139" i="70"/>
  <c r="K142" i="70"/>
  <c r="G159" i="70"/>
  <c r="E164" i="70"/>
  <c r="I153" i="70"/>
  <c r="E135" i="70"/>
  <c r="G134" i="70"/>
  <c r="G156" i="70"/>
  <c r="K138" i="70"/>
  <c r="N90" i="70"/>
  <c r="M90" i="70"/>
  <c r="L90" i="70"/>
  <c r="K90" i="70"/>
  <c r="H90" i="70"/>
  <c r="J90" i="70"/>
  <c r="I90" i="70"/>
  <c r="G90" i="70"/>
  <c r="F90" i="70"/>
  <c r="E90" i="70"/>
  <c r="L76" i="70"/>
  <c r="K76" i="70"/>
  <c r="J76" i="70"/>
  <c r="I76" i="70"/>
  <c r="H76" i="70"/>
  <c r="G76" i="70"/>
  <c r="F76" i="70"/>
  <c r="E76" i="70"/>
  <c r="N76" i="70"/>
  <c r="M76" i="70"/>
  <c r="N77" i="70"/>
  <c r="M77" i="70"/>
  <c r="L77" i="70"/>
  <c r="K77" i="70"/>
  <c r="J77" i="70"/>
  <c r="I77" i="70"/>
  <c r="H77" i="70"/>
  <c r="G77" i="70"/>
  <c r="F77" i="70"/>
  <c r="E77" i="70"/>
  <c r="H92" i="70"/>
  <c r="G92" i="70"/>
  <c r="F92" i="70"/>
  <c r="E92" i="70"/>
  <c r="N92" i="70"/>
  <c r="M92" i="70"/>
  <c r="L92" i="70"/>
  <c r="K92" i="70"/>
  <c r="J92" i="70"/>
  <c r="I92" i="70"/>
  <c r="L93" i="70"/>
  <c r="K93" i="70"/>
  <c r="J93" i="70"/>
  <c r="I93" i="70"/>
  <c r="H93" i="70"/>
  <c r="G93" i="70"/>
  <c r="F93" i="70"/>
  <c r="E93" i="70"/>
  <c r="N93" i="70"/>
  <c r="M93" i="70"/>
  <c r="N94" i="70"/>
  <c r="M94" i="70"/>
  <c r="L94" i="70"/>
  <c r="K94" i="70"/>
  <c r="J94" i="70"/>
  <c r="I94" i="70"/>
  <c r="H94" i="70"/>
  <c r="G94" i="70"/>
  <c r="F94" i="70"/>
  <c r="E94" i="70"/>
  <c r="N66" i="70"/>
  <c r="M66" i="70"/>
  <c r="L66" i="70"/>
  <c r="K66" i="70"/>
  <c r="J66" i="70"/>
  <c r="I66" i="70"/>
  <c r="H66" i="70"/>
  <c r="F66" i="70"/>
  <c r="G66" i="70"/>
  <c r="E66" i="70"/>
  <c r="F95" i="70"/>
  <c r="E95" i="70"/>
  <c r="N95" i="70"/>
  <c r="M95" i="70"/>
  <c r="L95" i="70"/>
  <c r="K95" i="70"/>
  <c r="J95" i="70"/>
  <c r="I95" i="70"/>
  <c r="H95" i="70"/>
  <c r="G95" i="70"/>
  <c r="M67" i="70"/>
  <c r="N67" i="70"/>
  <c r="L67" i="70"/>
  <c r="J67" i="70"/>
  <c r="K67" i="70"/>
  <c r="I67" i="70"/>
  <c r="H67" i="70"/>
  <c r="G67" i="70"/>
  <c r="F67" i="70"/>
  <c r="E67" i="70"/>
  <c r="J96" i="70"/>
  <c r="I96" i="70"/>
  <c r="H96" i="70"/>
  <c r="G96" i="70"/>
  <c r="F96" i="70"/>
  <c r="E96" i="70"/>
  <c r="N96" i="70"/>
  <c r="M96" i="70"/>
  <c r="L96" i="70"/>
  <c r="K96" i="70"/>
  <c r="H68" i="70"/>
  <c r="G68" i="70"/>
  <c r="F68" i="70"/>
  <c r="E68" i="70"/>
  <c r="N68" i="70"/>
  <c r="M68" i="70"/>
  <c r="L68" i="70"/>
  <c r="K68" i="70"/>
  <c r="J68" i="70"/>
  <c r="I68" i="70"/>
  <c r="N97" i="70"/>
  <c r="M97" i="70"/>
  <c r="L97" i="70"/>
  <c r="K97" i="70"/>
  <c r="H97" i="70"/>
  <c r="J97" i="70"/>
  <c r="I97" i="70"/>
  <c r="G97" i="70"/>
  <c r="F97" i="70"/>
  <c r="E97" i="70"/>
  <c r="H75" i="70"/>
  <c r="G75" i="70"/>
  <c r="F75" i="70"/>
  <c r="E75" i="70"/>
  <c r="N75" i="70"/>
  <c r="M75" i="70"/>
  <c r="L75" i="70"/>
  <c r="K75" i="70"/>
  <c r="J75" i="70"/>
  <c r="I75" i="70"/>
  <c r="N91" i="70"/>
  <c r="M91" i="70"/>
  <c r="L91" i="70"/>
  <c r="K91" i="70"/>
  <c r="J91" i="70"/>
  <c r="I91" i="70"/>
  <c r="H91" i="70"/>
  <c r="G91" i="70"/>
  <c r="F91" i="70"/>
  <c r="E91" i="70"/>
  <c r="L69" i="70"/>
  <c r="K69" i="70"/>
  <c r="J69" i="70"/>
  <c r="I69" i="70"/>
  <c r="F69" i="70"/>
  <c r="H69" i="70"/>
  <c r="G69" i="70"/>
  <c r="E69" i="70"/>
  <c r="N69" i="70"/>
  <c r="M69" i="70"/>
  <c r="N98" i="70"/>
  <c r="M98" i="70"/>
  <c r="L98" i="70"/>
  <c r="K98" i="70"/>
  <c r="J98" i="70"/>
  <c r="I98" i="70"/>
  <c r="H98" i="70"/>
  <c r="G98" i="70"/>
  <c r="F98" i="70"/>
  <c r="E98" i="70"/>
  <c r="N70" i="70"/>
  <c r="M70" i="70"/>
  <c r="L70" i="70"/>
  <c r="K70" i="70"/>
  <c r="J70" i="70"/>
  <c r="I70" i="70"/>
  <c r="H70" i="70"/>
  <c r="G70" i="70"/>
  <c r="F70" i="70"/>
  <c r="E70" i="70"/>
  <c r="H99" i="70"/>
  <c r="G99" i="70"/>
  <c r="F99" i="70"/>
  <c r="E99" i="70"/>
  <c r="N99" i="70"/>
  <c r="M99" i="70"/>
  <c r="L99" i="70"/>
  <c r="K99" i="70"/>
  <c r="J99" i="70"/>
  <c r="I99" i="70"/>
  <c r="F71" i="70"/>
  <c r="E71" i="70"/>
  <c r="N71" i="70"/>
  <c r="M71" i="70"/>
  <c r="L71" i="70"/>
  <c r="K71" i="70"/>
  <c r="J71" i="70"/>
  <c r="I71" i="70"/>
  <c r="H71" i="70"/>
  <c r="G71" i="70"/>
  <c r="J72" i="70"/>
  <c r="I72" i="70"/>
  <c r="H72" i="70"/>
  <c r="G72" i="70"/>
  <c r="F72" i="70"/>
  <c r="E72" i="70"/>
  <c r="N72" i="70"/>
  <c r="M72" i="70"/>
  <c r="L72" i="70"/>
  <c r="K72" i="70"/>
  <c r="N73" i="70"/>
  <c r="M73" i="70"/>
  <c r="L73" i="70"/>
  <c r="K73" i="70"/>
  <c r="H73" i="70"/>
  <c r="J73" i="70"/>
  <c r="I73" i="70"/>
  <c r="G73" i="70"/>
  <c r="F73" i="70"/>
  <c r="E73" i="70"/>
  <c r="F88" i="70"/>
  <c r="E88" i="70"/>
  <c r="N88" i="70"/>
  <c r="M88" i="70"/>
  <c r="L88" i="70"/>
  <c r="K88" i="70"/>
  <c r="J88" i="70"/>
  <c r="I88" i="70"/>
  <c r="H88" i="70"/>
  <c r="G88" i="70"/>
  <c r="N74" i="70"/>
  <c r="M74" i="70"/>
  <c r="L74" i="70"/>
  <c r="K74" i="70"/>
  <c r="J74" i="70"/>
  <c r="I74" i="70"/>
  <c r="H74" i="70"/>
  <c r="G74" i="70"/>
  <c r="F74" i="70"/>
  <c r="E74" i="70"/>
  <c r="J89" i="70"/>
  <c r="I89" i="70"/>
  <c r="H89" i="70"/>
  <c r="G89" i="70"/>
  <c r="F89" i="70"/>
  <c r="E89" i="70"/>
  <c r="N89" i="70"/>
  <c r="M89" i="70"/>
  <c r="L89" i="70"/>
  <c r="K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U43" i="69" l="1" a="1"/>
  <c r="U43" i="69" s="1"/>
  <c r="U59" i="69" a="1"/>
  <c r="U59"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I56" i="69"/>
  <c r="M56" i="69"/>
  <c r="F58" i="69"/>
  <c r="H58" i="69"/>
  <c r="L58" i="69"/>
  <c r="H56" i="69"/>
  <c r="G59" i="69"/>
  <c r="I59" i="69"/>
  <c r="M59" i="69"/>
  <c r="N57" i="69"/>
  <c r="AE83" i="69" a="1"/>
  <c r="AE83" i="69" s="1"/>
  <c r="AE104" i="69" s="1" a="1"/>
  <c r="AE104" i="69" s="1"/>
  <c r="AE156" i="69" s="1" a="1"/>
  <c r="AE156" i="69" s="1"/>
  <c r="L57" i="69"/>
  <c r="K57" i="69"/>
  <c r="F56" i="69"/>
  <c r="H57" i="69"/>
  <c r="E59" i="69"/>
  <c r="I57" i="69"/>
  <c r="H59" i="69"/>
  <c r="G56" i="69"/>
  <c r="L56" i="69"/>
  <c r="K59" i="69"/>
  <c r="M57" i="69"/>
  <c r="G57" i="69"/>
  <c r="F59" i="69"/>
  <c r="E57" i="69"/>
  <c r="J57" i="69"/>
  <c r="J59" i="69"/>
  <c r="I58" i="69"/>
  <c r="K56" i="69"/>
  <c r="J56" i="69"/>
  <c r="G58" i="69"/>
  <c r="AC87" i="69" a="1"/>
  <c r="AC87" i="69" s="1"/>
  <c r="AC108" i="69" s="1" a="1"/>
  <c r="AC108" i="69" s="1"/>
  <c r="AC160" i="69" s="1" a="1"/>
  <c r="AC160" i="69" s="1"/>
  <c r="E56" i="69"/>
  <c r="AB86" i="69" a="1"/>
  <c r="AB86" i="69" s="1"/>
  <c r="AB107" i="69" s="1" a="1"/>
  <c r="AB107" i="69" s="1"/>
  <c r="AB159" i="69" s="1" a="1"/>
  <c r="AB159" i="69" s="1"/>
  <c r="V77" i="69" a="1"/>
  <c r="V77" i="69" s="1"/>
  <c r="V98" i="69" s="1" a="1"/>
  <c r="V98" i="69" s="1"/>
  <c r="V150" i="69" s="1" a="1"/>
  <c r="V150" i="69" s="1"/>
  <c r="J58" i="69"/>
  <c r="N59" i="69"/>
  <c r="N56" i="69"/>
  <c r="E58" i="69"/>
  <c r="L59" i="69"/>
  <c r="K58" i="69"/>
  <c r="N58" i="69"/>
  <c r="M58" i="69"/>
  <c r="L48" i="69"/>
  <c r="J51" i="69"/>
  <c r="AA78" i="69" a="1"/>
  <c r="AA78" i="69" s="1"/>
  <c r="AA99" i="69" s="1" a="1"/>
  <c r="AA99" i="69" s="1"/>
  <c r="AA151" i="69" s="1" a="1"/>
  <c r="AA151" i="69" s="1"/>
  <c r="K50" i="69"/>
  <c r="E51" i="69"/>
  <c r="I50" i="69"/>
  <c r="N50" i="69"/>
  <c r="I48" i="69"/>
  <c r="N48" i="69"/>
  <c r="K48" i="69"/>
  <c r="F51" i="69"/>
  <c r="I49" i="69"/>
  <c r="H48" i="69"/>
  <c r="N51" i="69"/>
  <c r="G51" i="69"/>
  <c r="K49" i="69"/>
  <c r="M51" i="69"/>
  <c r="E48" i="69"/>
  <c r="L51" i="69"/>
  <c r="F49" i="69"/>
  <c r="E50" i="69"/>
  <c r="J50" i="69"/>
  <c r="H50" i="69"/>
  <c r="I51" i="69"/>
  <c r="F48" i="69"/>
  <c r="L50" i="69"/>
  <c r="M48" i="69"/>
  <c r="G49" i="69"/>
  <c r="E49" i="69"/>
  <c r="J48" i="69"/>
  <c r="H51" i="69"/>
  <c r="M49" i="69"/>
  <c r="N49" i="69"/>
  <c r="G50" i="69"/>
  <c r="L49" i="69"/>
  <c r="M50" i="69"/>
  <c r="G48" i="69"/>
  <c r="F50"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<sst xmlns="http://schemas.openxmlformats.org/spreadsheetml/2006/main" count="1033" uniqueCount="270">
  <si>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</si>
  <si>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</si>
  <si>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</si>
  <si>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</si>
  <si>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</si>
  <si>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</si>
  <si>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</si>
  <si>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</si>
  <si>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</si>
  <si>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</si>
  <si>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</si>
  <si>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</si>
  <si>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</si>
  <si>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</si>
  <si>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</si>
  <si>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</si>
  <si>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</si>
  <si>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</si>
  <si>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</si>
  <si>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</si>
  <si>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</si>
  <si>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</si>
  <si>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</si>
  <si>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</si>
  <si>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</si>
  <si>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</si>
  <si>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</si>
  <si>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</si>
  <si>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</si>
  <si>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</si>
  <si>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</si>
  <si>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</si>
  <si>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</si>
  <si>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</si>
  <si>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</si>
  <si>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</si>
  <si>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</si>
  <si>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</si>
  <si>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</si>
  <si>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</si>
  <si>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</si>
  <si>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</si>
  <si>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</si>
  <si>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</si>
  <si>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</si>
  <si>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</si>
  <si>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</si>
  <si>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</si>
  <si>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</si>
  <si>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</si>
  <si>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</si>
  <si>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</si>
  <si>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</si>
  <si>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</si>
  <si>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</si>
  <si>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</si>
  <si>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</si>
  <si>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</si>
  <si>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</si>
  <si>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</si>
  <si>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</si>
  <si>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</si>
  <si>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</si>
  <si>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</si>
  <si>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</si>
  <si>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</si>
  <si>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</si>
  <si>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</si>
  <si>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</si>
  <si>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</si>
  <si>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</si>
  <si>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</si>
  <si>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</si>
  <si>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</si>
  <si>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</si>
  <si>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</si>
  <si>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</si>
  <si>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</si>
  <si>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</si>
  <si>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</si>
  <si>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</si>
  <si>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</si>
  <si>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</si>
  <si>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</si>
  <si>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</si>
  <si>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</si>
  <si>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</si>
  <si>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</si>
  <si>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</si>
  <si>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</si>
  <si>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</si>
  <si>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</si>
  <si>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</si>
  <si>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</si>
  <si>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</si>
  <si>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</si>
  <si>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</si>
  <si>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</si>
  <si>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</si>
  <si>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</si>
  <si>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</si>
  <si>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</si>
  <si>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</si>
  <si>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</si>
  <si>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</si>
  <si>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</si>
  <si>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</si>
  <si>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</si>
  <si>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</si>
  <si>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</si>
  <si>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</si>
  <si>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</si>
  <si>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</si>
  <si>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</si>
  <si>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</si>
  <si>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</si>
  <si>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</si>
  <si>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</si>
  <si>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</si>
  <si>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</si>
  <si>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</si>
  <si>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</si>
  <si>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</si>
  <si>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</si>
  <si>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</si>
  <si>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</si>
  <si>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</si>
  <si>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</si>
  <si>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</si>
  <si>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</si>
  <si>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</si>
  <si>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</si>
  <si>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</si>
  <si>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</si>
  <si>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</si>
  <si>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</si>
  <si>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</si>
  <si>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</si>
  <si>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</si>
  <si>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</si>
  <si>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</si>
  <si>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</si>
  <si>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</si>
  <si>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</si>
  <si>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</si>
  <si>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</si>
  <si>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</si>
  <si>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</si>
  <si>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</si>
  <si>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</si>
  <si>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</si>
  <si>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</si>
  <si>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</si>
  <si>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</si>
  <si>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</si>
  <si>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</si>
  <si>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</si>
  <si>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</si>
  <si>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</si>
  <si>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</si>
  <si>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</si>
  <si>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</si>
  <si>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</si>
  <si>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</si>
  <si>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</si>
  <si>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</si>
  <si>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</si>
  <si>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</si>
  <si>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</si>
  <si>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</si>
  <si>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</si>
  <si>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</si>
  <si>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</si>
  <si>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</si>
  <si>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</si>
  <si>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</si>
  <si>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</si>
  <si>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</si>
  <si>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</si>
  <si>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</si>
  <si>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</si>
  <si>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</si>
  <si>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</si>
  <si>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</si>
  <si>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</si>
  <si>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</si>
  <si>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</si>
  <si>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</si>
  <si>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</si>
  <si>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</si>
  <si>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</si>
  <si>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</si>
  <si>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</si>
  <si>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</si>
  <si>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</si>
  <si>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</si>
  <si>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</si>
  <si>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</si>
  <si>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</si>
  <si>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</si>
  <si>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</si>
  <si>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</si>
  <si>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</si>
  <si>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</si>
  <si>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</si>
  <si>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</si>
  <si>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</si>
  <si>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</si>
  <si>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</si>
  <si>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</si>
  <si>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</si>
  <si>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</si>
  <si>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</si>
  <si>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</si>
  <si>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</si>
  <si>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</si>
  <si>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</si>
  <si>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</si>
  <si>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</si>
  <si>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</si>
  <si>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</si>
  <si>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</si>
  <si>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</si>
  <si>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</si>
  <si>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</si>
  <si>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</si>
  <si>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</si>
  <si>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</si>
  <si>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</si>
  <si>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</si>
  <si>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</si>
  <si>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</si>
  <si>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</si>
  <si>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</si>
  <si>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</si>
  <si>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</si>
  <si>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</si>
  <si>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</si>
  <si>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</si>
  <si>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</si>
  <si>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</si>
  <si>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</si>
  <si>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</si>
  <si>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</si>
  <si>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</si>
  <si>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</si>
  <si>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</si>
  <si>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</si>
  <si>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</si>
  <si>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</si>
  <si>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</si>
  <si>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</si>
  <si>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</si>
  <si>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</si>
  <si>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</si>
  <si>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</si>
  <si>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</si>
  <si>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</si>
  <si>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</si>
  <si>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</si>
  <si>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</si>
  <si>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</si>
  <si>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</si>
  <si>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</si>
  <si>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</si>
  <si>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Farm X</t>
  </si>
  <si>
    <t>Farm Oty Ltd</t>
  </si>
  <si>
    <t>Victoria</t>
  </si>
  <si>
    <t>Northern Brahman cross breed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</si>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</sst>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261</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119</v>
      </c>
      <c r="F6" s="107" t="s">
        <v>120</v>
      </c>
      <c r="G6" s="107" t="s">
        <v>98</v>
      </c>
      <c r="H6" s="107" t="s">
        <v>121</v>
      </c>
      <c r="I6" s="107" t="s">
        <v>122</v>
      </c>
      <c r="J6" s="107" t="s">
        <v>99</v>
      </c>
      <c r="K6" s="22"/>
    </row>
    <row r="7" spans="1:11" ht="20.100000000000001" customHeight="1" x14ac:dyDescent="0.25">
      <c r="A7" s="17" t="str">
        <f>HYPERLINK("#'Input - Site'!A1", "Site")</f>
        <v>Site</v>
      </c>
      <c r="C7" s="22"/>
      <c r="D7" s="1" t="s">
        <v>260</v>
      </c>
      <c r="E7" s="105" t="e">
        <f>'3.2.1.1-2 Enteric Methane'!E128</f>
        <v>#N/A</v>
      </c>
      <c r="F7" s="105" t="e">
        <f>'3.2.1.1-2 Enteric Methane'!V161</f>
        <v>#N/A</v>
      </c>
      <c r="G7" s="53" t="s">
        <v>114</v>
      </c>
      <c r="H7" s="105" t="e">
        <f>'3.2.1.1-2 Enteric Methane'!E133</f>
        <v>#N/A</v>
      </c>
      <c r="I7" s="105" t="e">
        <f>'3.2.1.1-2 Enteric Methane'!V166</f>
        <v>#N/A</v>
      </c>
      <c r="J7" s="53" t="s">
        <v>117</v>
      </c>
      <c r="K7" s="22"/>
    </row>
    <row r="8" spans="1:11" ht="20.100000000000001" customHeight="1" x14ac:dyDescent="0.3">
      <c r="A8" s="17" t="str">
        <f>HYPERLINK("#'Input - Pasture Beef'!A1", "Pasture Beef")</f>
        <v>Pasture Beef</v>
      </c>
      <c r="C8" s="22"/>
      <c r="D8" s="29" t="s">
        <v>97</v>
      </c>
      <c r="E8" s="23"/>
      <c r="F8" s="23"/>
      <c r="G8" s="29"/>
      <c r="H8" s="106" t="e">
        <f>SUM(H7:H7)</f>
        <v>#N/A</v>
      </c>
      <c r="I8" s="106" t="e">
        <f>SUM(I7:I7)</f>
        <v>#N/A</v>
      </c>
      <c r="J8" s="101" t="s">
        <v>117</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265</v>
      </c>
      <c r="F7" s="2"/>
    </row>
    <row r="8" spans="1:24" ht="20.100000000000001" customHeight="1" x14ac:dyDescent="0.25">
      <c r="A8" s="17" t="str">
        <f>HYPERLINK("#'Input - Pasture Beef'!A1", "Pasture Beef")</f>
        <v>Pasture Beef</v>
      </c>
      <c r="D8" s="10" t="s">
        <v>58</v>
      </c>
      <c r="E8" s="32" t="s">
        <v>266</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45292</v>
      </c>
      <c r="F12" s="2" t="s">
        <v>56</v>
      </c>
    </row>
    <row r="13" spans="1:24" ht="20.100000000000001" customHeight="1" x14ac:dyDescent="0.25">
      <c r="A13" s="18" t="s">
        <v>2</v>
      </c>
      <c r="D13" s="10" t="s">
        <v>77</v>
      </c>
      <c r="E13" s="68">
        <f>DATE(YEAR(E12)+1,MONTH(E12),DAY(E12))-1</f>
        <v>45657</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267</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F15" zoomScale="85" zoomScaleNormal="85" workbookViewId="0">
      <selection activeCell="D37" sqref="D37:N4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123</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Victoria</v>
      </c>
      <c r="P7" s="3"/>
      <c r="T7" s="7"/>
    </row>
    <row r="8" spans="1:25" ht="20.100000000000001" customHeight="1" x14ac:dyDescent="0.25">
      <c r="A8" s="119" t="str">
        <f>HYPERLINK("#'Input - Pasture Beef'!A1", "Pasture Beef")</f>
        <v>Pasture Beef</v>
      </c>
      <c r="D8" s="1" t="s">
        <v>163</v>
      </c>
      <c r="E8" s="38"/>
      <c r="F8" s="2" t="s">
        <v>7</v>
      </c>
      <c r="P8" s="3"/>
      <c r="T8" s="7"/>
    </row>
    <row r="9" spans="1:25" ht="20.100000000000001" customHeight="1" x14ac:dyDescent="0.25">
      <c r="A9" s="17"/>
      <c r="D9" s="1" t="s">
        <v>189</v>
      </c>
      <c r="E9" s="38" t="s">
        <v>268</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140</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137</v>
      </c>
      <c r="T14" s="37"/>
    </row>
    <row r="15" spans="1:25" ht="20.100000000000001" customHeight="1" x14ac:dyDescent="0.25">
      <c r="A15" s="17" t="str">
        <f>HYPERLINK("#'Constants - Livestock'!A1", "Constants - Livestock")</f>
        <v>Constants - Livestock</v>
      </c>
      <c r="D15" s="61" t="s">
        <v>138</v>
      </c>
      <c r="E15" s="61" t="s">
        <v>102</v>
      </c>
      <c r="F15" s="61" t="s">
        <v>101</v>
      </c>
      <c r="G15" s="61" t="s">
        <v>124</v>
      </c>
      <c r="H15" s="61" t="s">
        <v>125</v>
      </c>
      <c r="I15" s="61" t="s">
        <v>126</v>
      </c>
      <c r="J15" s="61" t="s">
        <v>127</v>
      </c>
      <c r="K15" s="61" t="s">
        <v>128</v>
      </c>
      <c r="L15" s="61" t="s">
        <v>129</v>
      </c>
      <c r="M15" s="61" t="s">
        <v>130</v>
      </c>
      <c r="N15" s="61" t="s">
        <v>131</v>
      </c>
      <c r="T15" s="37"/>
    </row>
    <row r="16" spans="1:25" ht="20.100000000000001" customHeight="1" x14ac:dyDescent="0.25">
      <c r="A16" s="17" t="str">
        <f>HYPERLINK("#'Constants - Common'!A1", "Constants - Common")</f>
        <v>Constants - Common</v>
      </c>
      <c r="D16" s="1" t="s">
        <v>132</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133</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134</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135</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139</v>
      </c>
      <c r="E21" s="61" t="s">
        <v>102</v>
      </c>
      <c r="F21" s="61" t="s">
        <v>101</v>
      </c>
      <c r="G21" s="61" t="s">
        <v>124</v>
      </c>
      <c r="H21" s="61" t="s">
        <v>125</v>
      </c>
      <c r="I21" s="61" t="s">
        <v>126</v>
      </c>
      <c r="J21" s="61" t="s">
        <v>127</v>
      </c>
      <c r="K21" s="61" t="s">
        <v>128</v>
      </c>
      <c r="L21" s="61" t="s">
        <v>129</v>
      </c>
      <c r="M21" s="61" t="s">
        <v>130</v>
      </c>
      <c r="N21" s="61" t="s">
        <v>131</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46</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124</v>
      </c>
      <c r="H37" s="61" t="s">
        <v>125</v>
      </c>
      <c r="I37" s="61" t="s">
        <v>126</v>
      </c>
      <c r="J37" s="61" t="s">
        <v>127</v>
      </c>
      <c r="K37" s="61" t="s">
        <v>128</v>
      </c>
      <c r="L37" s="61" t="s">
        <v>129</v>
      </c>
      <c r="M37" s="61" t="s">
        <v>130</v>
      </c>
      <c r="N37" s="61" t="s">
        <v>131</v>
      </c>
      <c r="T37" s="7"/>
    </row>
    <row r="38" spans="1:20" ht="20.100000000000001" customHeight="1" x14ac:dyDescent="0.25">
      <c r="D38" s="1" t="s">
        <v>132</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133</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134</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135</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124</v>
      </c>
      <c r="H43" s="61" t="s">
        <v>125</v>
      </c>
      <c r="I43" s="61" t="s">
        <v>126</v>
      </c>
      <c r="J43" s="61" t="s">
        <v>127</v>
      </c>
      <c r="K43" s="61" t="s">
        <v>128</v>
      </c>
      <c r="L43" s="61" t="s">
        <v>129</v>
      </c>
      <c r="M43" s="61" t="s">
        <v>130</v>
      </c>
      <c r="N43" s="61" t="s">
        <v>131</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109</v>
      </c>
      <c r="P58" s="3"/>
      <c r="T58" s="7"/>
    </row>
    <row r="59" spans="4:20" ht="20.100000000000001" customHeight="1" x14ac:dyDescent="0.25">
      <c r="D59" s="61" t="s">
        <v>138</v>
      </c>
      <c r="E59" s="61" t="s">
        <v>102</v>
      </c>
      <c r="F59" s="61" t="s">
        <v>101</v>
      </c>
      <c r="G59" s="61" t="s">
        <v>124</v>
      </c>
      <c r="H59" s="61" t="s">
        <v>125</v>
      </c>
      <c r="I59" s="61" t="s">
        <v>126</v>
      </c>
      <c r="J59" s="61" t="s">
        <v>127</v>
      </c>
      <c r="K59" s="61" t="s">
        <v>128</v>
      </c>
      <c r="L59" s="61" t="s">
        <v>129</v>
      </c>
      <c r="M59" s="61" t="s">
        <v>130</v>
      </c>
      <c r="N59" s="61" t="s">
        <v>131</v>
      </c>
      <c r="P59" s="3"/>
      <c r="T59" s="7"/>
    </row>
    <row r="60" spans="4:20" ht="20.100000000000001" customHeight="1" x14ac:dyDescent="0.25">
      <c r="D60" s="1" t="s">
        <v>132</v>
      </c>
      <c r="E60" s="51" t="e">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F60" s="51" t="e">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G60" s="51" t="e">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H60" s="51" t="e">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I60" s="51" t="e">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J60" s="51" t="e">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K60" s="51" t="e">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L60" s="51" t="e">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M60" s="51" t="e">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N60" s="51" t="e">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O60" s="2" t="s">
        <v>104</v>
      </c>
      <c r="P60" s="3"/>
      <c r="T60" s="7"/>
    </row>
    <row r="61" spans="4:20" ht="20.100000000000001" customHeight="1" x14ac:dyDescent="0.25">
      <c r="D61" s="1" t="s">
        <v>133</v>
      </c>
      <c r="E61" s="51" t="e">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F61" s="51" t="e">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G61" s="51" t="e">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H61" s="51" t="e">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I61" s="51" t="e">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J61" s="51" t="e">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K61" s="51" t="e">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L61" s="51" t="e">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M61" s="51" t="e">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N61" s="51" t="e">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O61" s="2" t="s">
        <v>104</v>
      </c>
      <c r="P61" s="3"/>
      <c r="T61" s="7"/>
    </row>
    <row r="62" spans="4:20" ht="20.100000000000001" customHeight="1" x14ac:dyDescent="0.25">
      <c r="D62" s="1" t="s">
        <v>134</v>
      </c>
      <c r="E62" s="51" t="e">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F62" s="51" t="e">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G62" s="51" t="e">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H62" s="51" t="e">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I62" s="51" t="e">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J62" s="51" t="e">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K62" s="51" t="e">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L62" s="51" t="e">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M62" s="51" t="e">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N62" s="51" t="e">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O62" s="2" t="s">
        <v>104</v>
      </c>
      <c r="P62" s="3"/>
      <c r="T62" s="7"/>
    </row>
    <row r="63" spans="4:20" ht="20.100000000000001" customHeight="1" x14ac:dyDescent="0.25">
      <c r="D63" s="1" t="s">
        <v>135</v>
      </c>
      <c r="E63" s="51" t="e">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F63" s="51" t="e">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G63" s="51" t="e">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H63" s="51" t="e">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I63" s="51" t="e">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J63" s="51" t="e">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K63" s="51" t="e">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L63" s="51" t="e">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M63" s="51" t="e">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N63" s="51" t="e">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#N/A</v>
      </c>
      <c r="O63" s="2" t="s">
        <v>104</v>
      </c>
      <c r="P63" s="3"/>
      <c r="T63" s="7"/>
    </row>
    <row r="64" spans="4:20" ht="20.100000000000001" customHeight="1" x14ac:dyDescent="0.25">
      <c r="O64" s="2"/>
      <c r="P64" s="3"/>
      <c r="T64" s="7"/>
    </row>
    <row r="65" spans="4:20" ht="20.100000000000001" customHeight="1" x14ac:dyDescent="0.25">
      <c r="D65" s="61" t="s">
        <v>139</v>
      </c>
      <c r="E65" s="61" t="s">
        <v>102</v>
      </c>
      <c r="F65" s="61" t="s">
        <v>101</v>
      </c>
      <c r="G65" s="61" t="s">
        <v>124</v>
      </c>
      <c r="H65" s="61" t="s">
        <v>125</v>
      </c>
      <c r="I65" s="61" t="s">
        <v>126</v>
      </c>
      <c r="J65" s="61" t="s">
        <v>127</v>
      </c>
      <c r="K65" s="61" t="s">
        <v>128</v>
      </c>
      <c r="L65" s="61" t="s">
        <v>129</v>
      </c>
      <c r="M65" s="61" t="s">
        <v>130</v>
      </c>
      <c r="N65" s="61" t="s">
        <v>131</v>
      </c>
      <c r="O65" s="2"/>
      <c r="P65" s="3"/>
      <c r="T65" s="7"/>
    </row>
    <row r="66" spans="4:20" ht="20.100000000000001" customHeight="1" x14ac:dyDescent="0.25">
      <c r="D66" s="1" t="str">
        <f>TEXT('Input - Site'!$E$12, "mmmm yyyy")</f>
        <v>January 2024</v>
      </c>
      <c r="E66" s="64" t="e">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66" s="64" t="e">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66" s="64" t="e">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66" s="64" t="e">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66" s="64" t="e">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66" s="64" t="e">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66" s="64" t="e">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66" s="64" t="e">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66" s="64" t="e">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66" s="64" t="e">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66" s="2" t="s">
        <v>104</v>
      </c>
      <c r="P66" s="3"/>
      <c r="T66" s="7"/>
    </row>
    <row r="67" spans="4:20" ht="20.100000000000001" customHeight="1" x14ac:dyDescent="0.25">
      <c r="D67" s="1" t="str">
        <f>TEXT(EDATE('Input - Site'!$E$12,1), "mmmm yyyy")</f>
        <v>February 2024</v>
      </c>
      <c r="E67" s="64" t="e">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67" s="64" t="e">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67" s="64" t="e">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67" s="64" t="e">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67" s="64" t="e">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67" s="64" t="e">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67" s="64" t="e">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67" s="64" t="e">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67" s="64" t="e">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67" s="64" t="e">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67" s="2" t="s">
        <v>104</v>
      </c>
      <c r="P67" s="3"/>
      <c r="T67" s="7"/>
    </row>
    <row r="68" spans="4:20" ht="20.100000000000001" customHeight="1" x14ac:dyDescent="0.25">
      <c r="D68" s="1" t="str">
        <f>TEXT(EDATE('Input - Site'!$E$12,2), "mmmm yyyy")</f>
        <v>March 2024</v>
      </c>
      <c r="E68" s="64" t="e">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68" s="64" t="e">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68" s="64" t="e">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68" s="64" t="e">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68" s="64" t="e">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68" s="64" t="e">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68" s="64" t="e">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68" s="64" t="e">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68" s="64" t="e">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68" s="64" t="e">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68" s="2" t="s">
        <v>104</v>
      </c>
      <c r="P68" s="3"/>
      <c r="T68" s="7"/>
    </row>
    <row r="69" spans="4:20" ht="20.100000000000001" customHeight="1" x14ac:dyDescent="0.25">
      <c r="D69" s="1" t="str">
        <f>TEXT(EDATE('Input - Site'!$E$12,3), "mmmm yyyy")</f>
        <v>April 2024</v>
      </c>
      <c r="E69" s="64" t="e">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69" s="64" t="e">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69" s="64" t="e">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69" s="64" t="e">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69" s="64" t="e">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69" s="64" t="e">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69" s="64" t="e">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69" s="64" t="e">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69" s="64" t="e">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69" s="64" t="e">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69" s="2" t="s">
        <v>104</v>
      </c>
      <c r="P69" s="3"/>
      <c r="T69" s="7"/>
    </row>
    <row r="70" spans="4:20" ht="20.100000000000001" customHeight="1" x14ac:dyDescent="0.25">
      <c r="D70" s="1" t="str">
        <f>TEXT(EDATE('Input - Site'!$E$12,4), "mmmm yyyy")</f>
        <v>May 2024</v>
      </c>
      <c r="E70" s="64" t="e">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0" s="64" t="e">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0" s="64" t="e">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0" s="64" t="e">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0" s="64" t="e">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0" s="64" t="e">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0" s="64" t="e">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0" s="64" t="e">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0" s="64" t="e">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0" s="64" t="e">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0" s="2" t="s">
        <v>104</v>
      </c>
      <c r="P70" s="3"/>
      <c r="T70" s="7"/>
    </row>
    <row r="71" spans="4:20" ht="20.100000000000001" customHeight="1" x14ac:dyDescent="0.25">
      <c r="D71" s="1" t="str">
        <f>TEXT(EDATE('Input - Site'!$E$12,5), "mmmm yyyy")</f>
        <v>June 2024</v>
      </c>
      <c r="E71" s="64" t="e">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1" s="64" t="e">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1" s="64" t="e">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1" s="64" t="e">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1" s="64" t="e">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1" s="64" t="e">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1" s="64" t="e">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1" s="64" t="e">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1" s="64" t="e">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1" s="64" t="e">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1" s="2" t="s">
        <v>104</v>
      </c>
      <c r="P71" s="3"/>
      <c r="T71" s="7"/>
    </row>
    <row r="72" spans="4:20" ht="20.100000000000001" customHeight="1" x14ac:dyDescent="0.25">
      <c r="D72" s="1" t="str">
        <f>TEXT(EDATE('Input - Site'!$E$12,6), "mmmm yyyy")</f>
        <v>July 2024</v>
      </c>
      <c r="E72" s="64" t="e">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2" s="64" t="e">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2" s="64" t="e">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2" s="64" t="e">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2" s="64" t="e">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2" s="64" t="e">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2" s="64" t="e">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2" s="64" t="e">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2" s="64" t="e">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2" s="64" t="e">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2" s="2" t="s">
        <v>104</v>
      </c>
      <c r="T72" s="7"/>
    </row>
    <row r="73" spans="4:20" ht="20.100000000000001" customHeight="1" x14ac:dyDescent="0.25">
      <c r="D73" s="1" t="str">
        <f>TEXT(EDATE('Input - Site'!$E$12,7), "mmmm yyyy")</f>
        <v>August 2024</v>
      </c>
      <c r="E73" s="64" t="e">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3" s="64" t="e">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3" s="64" t="e">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3" s="64" t="e">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3" s="64" t="e">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3" s="64" t="e">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3" s="64" t="e">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3" s="64" t="e">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3" s="64" t="e">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3" s="64" t="e">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3" s="2" t="s">
        <v>104</v>
      </c>
      <c r="T73" s="7"/>
    </row>
    <row r="74" spans="4:20" ht="20.100000000000001" customHeight="1" x14ac:dyDescent="0.25">
      <c r="D74" s="1" t="str">
        <f>TEXT(EDATE('Input - Site'!$E$12,8), "mmmm yyyy")</f>
        <v>September 2024</v>
      </c>
      <c r="E74" s="64" t="e">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4" s="64" t="e">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4" s="64" t="e">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4" s="64" t="e">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4" s="64" t="e">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4" s="64" t="e">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4" s="64" t="e">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4" s="64" t="e">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4" s="64" t="e">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4" s="64" t="e">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4" s="2" t="s">
        <v>104</v>
      </c>
      <c r="T74" s="7"/>
    </row>
    <row r="75" spans="4:20" ht="20.100000000000001" customHeight="1" x14ac:dyDescent="0.25">
      <c r="D75" s="1" t="str">
        <f>TEXT(EDATE('Input - Site'!$E$12,9), "mmmm yyyy")</f>
        <v>October 2024</v>
      </c>
      <c r="E75" s="64" t="e">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5" s="64" t="e">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5" s="64" t="e">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5" s="64" t="e">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5" s="64" t="e">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5" s="64" t="e">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5" s="64" t="e">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5" s="64" t="e">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5" s="64" t="e">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5" s="64" t="e">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5" s="2" t="s">
        <v>104</v>
      </c>
      <c r="T75" s="7"/>
    </row>
    <row r="76" spans="4:20" ht="20.100000000000001" customHeight="1" x14ac:dyDescent="0.25">
      <c r="D76" s="1" t="str">
        <f>TEXT(EDATE('Input - Site'!$E$12,10), "mmmm yyyy")</f>
        <v>November 2024</v>
      </c>
      <c r="E76" s="64" t="e">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6" s="64" t="e">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6" s="64" t="e">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6" s="64" t="e">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6" s="64" t="e">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6" s="64" t="e">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6" s="64" t="e">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6" s="64" t="e">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6" s="64" t="e">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6" s="64" t="e">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6" s="2" t="s">
        <v>104</v>
      </c>
      <c r="T76" s="7"/>
    </row>
    <row r="77" spans="4:20" ht="20.100000000000001" customHeight="1" x14ac:dyDescent="0.25">
      <c r="D77" s="1" t="str">
        <f>TEXT(EDATE('Input - Site'!$E$12,11), "mmmm yyyy")</f>
        <v>December 2024</v>
      </c>
      <c r="E77" s="64" t="e">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F77" s="64" t="e">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G77" s="64" t="e">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H77" s="64" t="e">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I77" s="64" t="e">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J77" s="64" t="e">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K77" s="64" t="e">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L77" s="64" t="e">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M77" s="64" t="e">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N77" s="64" t="e">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#N/A</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136</v>
      </c>
      <c r="T80" s="7"/>
    </row>
    <row r="81" spans="4:20" ht="20.100000000000001" customHeight="1" x14ac:dyDescent="0.25">
      <c r="D81" s="61" t="s">
        <v>138</v>
      </c>
      <c r="E81" s="61" t="s">
        <v>102</v>
      </c>
      <c r="F81" s="61" t="s">
        <v>101</v>
      </c>
      <c r="G81" s="61" t="s">
        <v>124</v>
      </c>
      <c r="H81" s="61" t="s">
        <v>125</v>
      </c>
      <c r="I81" s="61" t="s">
        <v>126</v>
      </c>
      <c r="J81" s="61" t="s">
        <v>127</v>
      </c>
      <c r="K81" s="61" t="s">
        <v>128</v>
      </c>
      <c r="L81" s="61" t="s">
        <v>129</v>
      </c>
      <c r="M81" s="61" t="s">
        <v>130</v>
      </c>
      <c r="N81" s="61" t="s">
        <v>131</v>
      </c>
      <c r="T81" s="7"/>
    </row>
    <row r="82" spans="4:20" ht="20.100000000000001" customHeight="1" x14ac:dyDescent="0.25">
      <c r="D82" s="1" t="s">
        <v>132</v>
      </c>
      <c r="E82" s="51" t="e">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F82" s="51" t="e">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G82" s="51" t="e">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H82" s="51" t="e">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I82" s="51" t="e">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J82" s="51" t="e">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K82" s="51" t="e">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L82" s="51" t="e">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M82" s="51" t="e">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N82" s="51" t="e">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O82" s="2" t="s">
        <v>105</v>
      </c>
      <c r="T82" s="7"/>
    </row>
    <row r="83" spans="4:20" ht="20.100000000000001" customHeight="1" x14ac:dyDescent="0.25">
      <c r="D83" s="1" t="s">
        <v>133</v>
      </c>
      <c r="E83" s="51" t="e">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F83" s="51" t="e">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G83" s="51" t="e">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H83" s="51" t="e">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I83" s="51" t="e">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J83" s="51" t="e">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K83" s="51" t="e">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L83" s="51" t="e">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M83" s="51" t="e">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N83" s="51" t="e">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O83" s="2" t="s">
        <v>105</v>
      </c>
      <c r="T83" s="7"/>
    </row>
    <row r="84" spans="4:20" ht="20.100000000000001" customHeight="1" x14ac:dyDescent="0.25">
      <c r="D84" s="1" t="s">
        <v>134</v>
      </c>
      <c r="E84" s="51" t="e">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F84" s="51" t="e">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G84" s="51" t="e">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H84" s="51" t="e">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I84" s="51" t="e">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J84" s="51" t="e">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K84" s="51" t="e">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L84" s="51" t="e">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M84" s="51" t="e">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N84" s="51" t="e">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O84" s="2" t="s">
        <v>105</v>
      </c>
      <c r="T84" s="7"/>
    </row>
    <row r="85" spans="4:20" ht="20.100000000000001" customHeight="1" x14ac:dyDescent="0.25">
      <c r="D85" s="1" t="s">
        <v>135</v>
      </c>
      <c r="E85" s="51" t="e">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F85" s="51" t="e">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G85" s="51" t="e">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H85" s="51" t="e">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I85" s="51" t="e">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J85" s="51" t="e">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K85" s="51" t="e">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L85" s="51" t="e">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M85" s="51" t="e">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N85" s="51" t="e">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#N/A</v>
      </c>
      <c r="O85" s="2" t="s">
        <v>105</v>
      </c>
      <c r="T85" s="7"/>
    </row>
    <row r="86" spans="4:20" ht="20.100000000000001" customHeight="1" x14ac:dyDescent="0.25">
      <c r="O86" s="2"/>
      <c r="T86" s="7"/>
    </row>
    <row r="87" spans="4:20" ht="20.100000000000001" customHeight="1" x14ac:dyDescent="0.25">
      <c r="D87" s="61" t="s">
        <v>139</v>
      </c>
      <c r="E87" s="61" t="s">
        <v>102</v>
      </c>
      <c r="F87" s="61" t="s">
        <v>101</v>
      </c>
      <c r="G87" s="61" t="s">
        <v>124</v>
      </c>
      <c r="H87" s="61" t="s">
        <v>125</v>
      </c>
      <c r="I87" s="61" t="s">
        <v>126</v>
      </c>
      <c r="J87" s="61" t="s">
        <v>127</v>
      </c>
      <c r="K87" s="61" t="s">
        <v>128</v>
      </c>
      <c r="L87" s="61" t="s">
        <v>129</v>
      </c>
      <c r="M87" s="61" t="s">
        <v>130</v>
      </c>
      <c r="N87" s="61" t="s">
        <v>131</v>
      </c>
      <c r="O87" s="2"/>
      <c r="T87" s="7"/>
    </row>
    <row r="88" spans="4:20" ht="20.100000000000001" customHeight="1" x14ac:dyDescent="0.25">
      <c r="D88" s="1" t="str">
        <f>TEXT('Input - Site'!$E$12, "mmmm yyyy")</f>
        <v>January 2024</v>
      </c>
      <c r="E88" s="64" t="e">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88" s="64" t="e">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88" s="64" t="e">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88" s="64" t="e">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88" s="64" t="e">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88" s="64" t="e">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88" s="64" t="e">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88" s="64" t="e">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88" s="64" t="e">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88" s="64" t="e">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88" s="2" t="s">
        <v>105</v>
      </c>
      <c r="T88" s="7"/>
    </row>
    <row r="89" spans="4:20" ht="20.100000000000001" customHeight="1" x14ac:dyDescent="0.25">
      <c r="D89" s="1" t="str">
        <f>TEXT(EDATE('Input - Site'!$E$12,1), "mmmm yyyy")</f>
        <v>February 2024</v>
      </c>
      <c r="E89" s="64" t="e">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89" s="64" t="e">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89" s="64" t="e">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89" s="64" t="e">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89" s="64" t="e">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89" s="64" t="e">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89" s="64" t="e">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89" s="64" t="e">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89" s="64" t="e">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89" s="64" t="e">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89" s="2" t="s">
        <v>105</v>
      </c>
      <c r="T89" s="7"/>
    </row>
    <row r="90" spans="4:20" ht="20.100000000000001" customHeight="1" x14ac:dyDescent="0.25">
      <c r="D90" s="1" t="str">
        <f>TEXT(EDATE('Input - Site'!$E$12,2), "mmmm yyyy")</f>
        <v>March 2024</v>
      </c>
      <c r="E90" s="64" t="e">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0" s="64" t="e">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0" s="64" t="e">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0" s="64" t="e">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0" s="64" t="e">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0" s="64" t="e">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0" s="64" t="e">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0" s="64" t="e">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0" s="64" t="e">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0" s="64" t="e">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0" s="2" t="s">
        <v>105</v>
      </c>
      <c r="T90" s="7"/>
    </row>
    <row r="91" spans="4:20" ht="20.100000000000001" customHeight="1" x14ac:dyDescent="0.25">
      <c r="D91" s="1" t="str">
        <f>TEXT(EDATE('Input - Site'!$E$12,3), "mmmm yyyy")</f>
        <v>April 2024</v>
      </c>
      <c r="E91" s="64" t="e">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1" s="64" t="e">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1" s="64" t="e">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1" s="64" t="e">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1" s="64" t="e">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1" s="64" t="e">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1" s="64" t="e">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1" s="64" t="e">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1" s="64" t="e">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1" s="64" t="e">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1" s="2" t="s">
        <v>105</v>
      </c>
      <c r="T91" s="7"/>
    </row>
    <row r="92" spans="4:20" ht="20.100000000000001" customHeight="1" x14ac:dyDescent="0.25">
      <c r="D92" s="1" t="str">
        <f>TEXT(EDATE('Input - Site'!$E$12,4), "mmmm yyyy")</f>
        <v>May 2024</v>
      </c>
      <c r="E92" s="64" t="e">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2" s="64" t="e">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2" s="64" t="e">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2" s="64" t="e">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2" s="64" t="e">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2" s="64" t="e">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2" s="64" t="e">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2" s="64" t="e">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2" s="64" t="e">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2" s="64" t="e">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2" s="2" t="s">
        <v>105</v>
      </c>
      <c r="T92" s="7"/>
    </row>
    <row r="93" spans="4:20" ht="20.100000000000001" customHeight="1" x14ac:dyDescent="0.25">
      <c r="D93" s="1" t="str">
        <f>TEXT(EDATE('Input - Site'!$E$12,5), "mmmm yyyy")</f>
        <v>June 2024</v>
      </c>
      <c r="E93" s="64" t="e">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3" s="64" t="e">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3" s="64" t="e">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3" s="64" t="e">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3" s="64" t="e">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3" s="64" t="e">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3" s="64" t="e">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3" s="64" t="e">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3" s="64" t="e">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3" s="64" t="e">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3" s="2" t="s">
        <v>105</v>
      </c>
      <c r="T93" s="7"/>
    </row>
    <row r="94" spans="4:20" ht="20.100000000000001" customHeight="1" x14ac:dyDescent="0.25">
      <c r="D94" s="1" t="str">
        <f>TEXT(EDATE('Input - Site'!$E$12,6), "mmmm yyyy")</f>
        <v>July 2024</v>
      </c>
      <c r="E94" s="64" t="e">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4" s="64" t="e">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4" s="64" t="e">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4" s="64" t="e">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4" s="64" t="e">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4" s="64" t="e">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4" s="64" t="e">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4" s="64" t="e">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4" s="64" t="e">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4" s="64" t="e">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4" s="2" t="s">
        <v>105</v>
      </c>
      <c r="T94" s="7"/>
    </row>
    <row r="95" spans="4:20" ht="20.100000000000001" customHeight="1" x14ac:dyDescent="0.25">
      <c r="D95" s="1" t="str">
        <f>TEXT(EDATE('Input - Site'!$E$12,7), "mmmm yyyy")</f>
        <v>August 2024</v>
      </c>
      <c r="E95" s="64" t="e">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5" s="64" t="e">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5" s="64" t="e">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5" s="64" t="e">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5" s="64" t="e">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5" s="64" t="e">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5" s="64" t="e">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5" s="64" t="e">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5" s="64" t="e">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5" s="64" t="e">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5" s="2" t="s">
        <v>105</v>
      </c>
      <c r="T95" s="7"/>
    </row>
    <row r="96" spans="4:20" ht="20.100000000000001" customHeight="1" x14ac:dyDescent="0.25">
      <c r="D96" s="1" t="str">
        <f>TEXT(EDATE('Input - Site'!$E$12,8), "mmmm yyyy")</f>
        <v>September 2024</v>
      </c>
      <c r="E96" s="64" t="e">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6" s="64" t="e">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6" s="64" t="e">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6" s="64" t="e">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6" s="64" t="e">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6" s="64" t="e">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6" s="64" t="e">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6" s="64" t="e">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6" s="64" t="e">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6" s="64" t="e">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6" s="2" t="s">
        <v>105</v>
      </c>
      <c r="T96" s="7"/>
    </row>
    <row r="97" spans="4:20" ht="20.100000000000001" customHeight="1" x14ac:dyDescent="0.25">
      <c r="D97" s="1" t="str">
        <f>TEXT(EDATE('Input - Site'!$E$12,9), "mmmm yyyy")</f>
        <v>October 2024</v>
      </c>
      <c r="E97" s="64" t="e">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7" s="64" t="e">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7" s="64" t="e">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7" s="64" t="e">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7" s="64" t="e">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7" s="64" t="e">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7" s="64" t="e">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7" s="64" t="e">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7" s="64" t="e">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7" s="64" t="e">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7" s="2" t="s">
        <v>105</v>
      </c>
      <c r="T97" s="7"/>
    </row>
    <row r="98" spans="4:20" ht="20.100000000000001" customHeight="1" x14ac:dyDescent="0.25">
      <c r="D98" s="1" t="str">
        <f>TEXT(EDATE('Input - Site'!$E$12,10), "mmmm yyyy")</f>
        <v>November 2024</v>
      </c>
      <c r="E98" s="64" t="e">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8" s="64" t="e">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8" s="64" t="e">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8" s="64" t="e">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8" s="64" t="e">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8" s="64" t="e">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8" s="64" t="e">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8" s="64" t="e">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8" s="64" t="e">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8" s="64" t="e">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8" s="2" t="s">
        <v>105</v>
      </c>
      <c r="T98" s="7"/>
    </row>
    <row r="99" spans="4:20" ht="20.100000000000001" customHeight="1" x14ac:dyDescent="0.25">
      <c r="D99" s="1" t="str">
        <f>TEXT(EDATE('Input - Site'!$E$12,11), "mmmm yyyy")</f>
        <v>December 2024</v>
      </c>
      <c r="E99" s="64" t="e">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F99" s="64" t="e">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G99" s="64" t="e">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H99" s="64" t="e">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I99" s="64" t="e">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J99" s="64" t="e">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K99" s="64" t="e">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L99" s="64" t="e">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M99" s="64" t="e">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N99" s="64" t="e">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#N/A</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187</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203</v>
      </c>
      <c r="E104" s="38" t="s">
        <v>135</v>
      </c>
      <c r="F104" s="2" t="s">
        <v>7</v>
      </c>
      <c r="T104" s="7"/>
    </row>
    <row r="105" spans="4:20" ht="20.100000000000001" customHeight="1" x14ac:dyDescent="0.25">
      <c r="T105" s="7"/>
    </row>
    <row r="106" spans="4:20" ht="20.100000000000001" customHeight="1" x14ac:dyDescent="0.25">
      <c r="E106" s="61" t="s">
        <v>125</v>
      </c>
      <c r="F106" s="61" t="s">
        <v>126</v>
      </c>
      <c r="G106" s="61" t="s">
        <v>127</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249</v>
      </c>
      <c r="E111" s="38" t="s">
        <v>247</v>
      </c>
      <c r="F111" s="2" t="s">
        <v>7</v>
      </c>
    </row>
    <row r="112" spans="4:20" ht="20.100000000000001" customHeight="1" x14ac:dyDescent="0.25">
      <c r="D112" s="1" t="s">
        <v>245</v>
      </c>
      <c r="E112" s="51" t="str">
        <f>TEXT(EDATE(E111,1), "mmmm yyyy")</f>
        <v>September 2024</v>
      </c>
    </row>
    <row r="113" spans="4:15" ht="20.100000000000001" customHeight="1" x14ac:dyDescent="0.25">
      <c r="D113" s="1" t="s">
        <v>246</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125</v>
      </c>
      <c r="F116" s="61" t="s">
        <v>126</v>
      </c>
      <c r="G116" s="61" t="s">
        <v>127</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138</v>
      </c>
      <c r="E124" s="61" t="s">
        <v>102</v>
      </c>
      <c r="F124" s="61" t="s">
        <v>101</v>
      </c>
      <c r="G124" s="61" t="s">
        <v>124</v>
      </c>
      <c r="H124" s="61" t="s">
        <v>125</v>
      </c>
      <c r="I124" s="61" t="s">
        <v>126</v>
      </c>
      <c r="J124" s="61" t="s">
        <v>127</v>
      </c>
      <c r="K124" s="61" t="s">
        <v>128</v>
      </c>
      <c r="L124" s="61" t="s">
        <v>129</v>
      </c>
      <c r="M124" s="61" t="s">
        <v>130</v>
      </c>
      <c r="N124" s="61" t="s">
        <v>131</v>
      </c>
    </row>
    <row r="125" spans="4:15" ht="20.100000000000001" customHeight="1" x14ac:dyDescent="0.25">
      <c r="D125" s="1" t="s">
        <v>132</v>
      </c>
      <c r="E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F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G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H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I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J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K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L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M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N125" s="51" t="e">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O125" s="2" t="s">
        <v>110</v>
      </c>
    </row>
    <row r="126" spans="4:15" ht="20.100000000000001" customHeight="1" x14ac:dyDescent="0.25">
      <c r="D126" s="1" t="s">
        <v>133</v>
      </c>
      <c r="E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F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G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H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I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J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K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L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M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N126" s="51" t="e">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O126" s="2" t="s">
        <v>110</v>
      </c>
    </row>
    <row r="127" spans="4:15" ht="20.100000000000001" customHeight="1" x14ac:dyDescent="0.25">
      <c r="D127" s="1" t="s">
        <v>134</v>
      </c>
      <c r="E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F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G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H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I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J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K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L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M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N127" s="51" t="e">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O127" s="2" t="s">
        <v>110</v>
      </c>
    </row>
    <row r="128" spans="4:15" ht="20.100000000000001" customHeight="1" x14ac:dyDescent="0.25">
      <c r="D128" s="1" t="s">
        <v>135</v>
      </c>
      <c r="E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F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G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H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I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J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K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L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M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N128" s="51" t="e">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#N/A</v>
      </c>
      <c r="O128" s="2" t="s">
        <v>110</v>
      </c>
    </row>
    <row r="129" spans="4:15" ht="20.100000000000001" customHeight="1" x14ac:dyDescent="0.25"/>
    <row r="130" spans="4:15" ht="20.100000000000001" customHeight="1" x14ac:dyDescent="0.25">
      <c r="D130" s="61" t="s">
        <v>139</v>
      </c>
      <c r="E130" s="61" t="s">
        <v>102</v>
      </c>
      <c r="F130" s="61" t="s">
        <v>101</v>
      </c>
      <c r="G130" s="61" t="s">
        <v>124</v>
      </c>
      <c r="H130" s="61" t="s">
        <v>125</v>
      </c>
      <c r="I130" s="61" t="s">
        <v>126</v>
      </c>
      <c r="J130" s="61" t="s">
        <v>127</v>
      </c>
      <c r="K130" s="61" t="s">
        <v>128</v>
      </c>
      <c r="L130" s="61" t="s">
        <v>129</v>
      </c>
      <c r="M130" s="61" t="s">
        <v>130</v>
      </c>
      <c r="N130" s="61" t="s">
        <v>131</v>
      </c>
    </row>
    <row r="131" spans="4:15" ht="20.100000000000001" customHeight="1" x14ac:dyDescent="0.25">
      <c r="D131" s="1" t="str">
        <f>TEXT('Input - Site'!$E$12, "mmmm yyyy")</f>
        <v>January 2024</v>
      </c>
      <c r="E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1" s="64" t="e">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1" s="2" t="s">
        <v>110</v>
      </c>
    </row>
    <row r="132" spans="4:15" ht="20.100000000000001" customHeight="1" x14ac:dyDescent="0.25">
      <c r="D132" s="1" t="str">
        <f>TEXT(EDATE('Input - Site'!$E$12,1), "mmmm yyyy")</f>
        <v>February 2024</v>
      </c>
      <c r="E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2" s="64" t="e">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2" s="2" t="s">
        <v>110</v>
      </c>
    </row>
    <row r="133" spans="4:15" ht="20.100000000000001" customHeight="1" x14ac:dyDescent="0.25">
      <c r="D133" s="1" t="str">
        <f>TEXT(EDATE('Input - Site'!$E$12,2), "mmmm yyyy")</f>
        <v>March 2024</v>
      </c>
      <c r="E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3" s="64" t="e">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3" s="2" t="s">
        <v>110</v>
      </c>
    </row>
    <row r="134" spans="4:15" ht="20.100000000000001" customHeight="1" x14ac:dyDescent="0.25">
      <c r="D134" s="1" t="str">
        <f>TEXT(EDATE('Input - Site'!$E$12,3), "mmmm yyyy")</f>
        <v>April 2024</v>
      </c>
      <c r="E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4" s="64" t="e">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4" s="2" t="s">
        <v>110</v>
      </c>
    </row>
    <row r="135" spans="4:15" ht="20.100000000000001" customHeight="1" x14ac:dyDescent="0.25">
      <c r="D135" s="1" t="str">
        <f>TEXT(EDATE('Input - Site'!$E$12,4), "mmmm yyyy")</f>
        <v>May 2024</v>
      </c>
      <c r="E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5" s="64" t="e">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5" s="2" t="s">
        <v>110</v>
      </c>
    </row>
    <row r="136" spans="4:15" ht="20.100000000000001" customHeight="1" x14ac:dyDescent="0.25">
      <c r="D136" s="1" t="str">
        <f>TEXT(EDATE('Input - Site'!$E$12,5), "mmmm yyyy")</f>
        <v>June 2024</v>
      </c>
      <c r="E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6" s="64" t="e">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6" s="2" t="s">
        <v>110</v>
      </c>
    </row>
    <row r="137" spans="4:15" ht="20.100000000000001" customHeight="1" x14ac:dyDescent="0.25">
      <c r="D137" s="1" t="str">
        <f>TEXT(EDATE('Input - Site'!$E$12,6), "mmmm yyyy")</f>
        <v>July 2024</v>
      </c>
      <c r="E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7" s="64" t="e">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7" s="2" t="s">
        <v>110</v>
      </c>
    </row>
    <row r="138" spans="4:15" ht="20.100000000000001" customHeight="1" x14ac:dyDescent="0.25">
      <c r="D138" s="1" t="str">
        <f>TEXT(EDATE('Input - Site'!$E$12,7), "mmmm yyyy")</f>
        <v>August 2024</v>
      </c>
      <c r="E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8" s="64" t="e">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8" s="2" t="s">
        <v>110</v>
      </c>
    </row>
    <row r="139" spans="4:15" ht="20.100000000000001" customHeight="1" x14ac:dyDescent="0.25">
      <c r="D139" s="1" t="str">
        <f>TEXT(EDATE('Input - Site'!$E$12,8), "mmmm yyyy")</f>
        <v>September 2024</v>
      </c>
      <c r="E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39" s="64" t="e">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39" s="2" t="s">
        <v>110</v>
      </c>
    </row>
    <row r="140" spans="4:15" ht="20.100000000000001" customHeight="1" x14ac:dyDescent="0.25">
      <c r="D140" s="1" t="str">
        <f>TEXT(EDATE('Input - Site'!$E$12,9), "mmmm yyyy")</f>
        <v>October 2024</v>
      </c>
      <c r="E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40" s="64" t="e">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40" s="2" t="s">
        <v>110</v>
      </c>
    </row>
    <row r="141" spans="4:15" ht="20.100000000000001" customHeight="1" x14ac:dyDescent="0.25">
      <c r="D141" s="1" t="str">
        <f>TEXT(EDATE('Input - Site'!$E$12,10), "mmmm yyyy")</f>
        <v>November 2024</v>
      </c>
      <c r="E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41" s="64" t="e">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41" s="2" t="s">
        <v>110</v>
      </c>
    </row>
    <row r="142" spans="4:15" ht="20.100000000000001" customHeight="1" x14ac:dyDescent="0.25">
      <c r="D142" s="1" t="str">
        <f>TEXT(EDATE('Input - Site'!$E$12,11), "mmmm yyyy")</f>
        <v>December 2024</v>
      </c>
      <c r="E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F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G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H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I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J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K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L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M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N142" s="64" t="e">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#N/A</v>
      </c>
      <c r="O142" s="2" t="s">
        <v>110</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138</v>
      </c>
      <c r="E146" s="61" t="s">
        <v>102</v>
      </c>
      <c r="F146" s="61" t="s">
        <v>101</v>
      </c>
      <c r="G146" s="61" t="s">
        <v>124</v>
      </c>
      <c r="H146" s="61" t="s">
        <v>125</v>
      </c>
      <c r="I146" s="61" t="s">
        <v>126</v>
      </c>
      <c r="J146" s="61" t="s">
        <v>127</v>
      </c>
      <c r="K146" s="61" t="s">
        <v>128</v>
      </c>
      <c r="L146" s="61" t="s">
        <v>129</v>
      </c>
      <c r="M146" s="61" t="s">
        <v>130</v>
      </c>
      <c r="N146" s="61" t="s">
        <v>131</v>
      </c>
    </row>
    <row r="147" spans="4:15" ht="20.100000000000001" customHeight="1" x14ac:dyDescent="0.25">
      <c r="D147" s="1" t="s">
        <v>132</v>
      </c>
      <c r="E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F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G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H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I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J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K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L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M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N147" s="51" t="e">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#N/A</v>
      </c>
      <c r="O147" s="2" t="s">
        <v>110</v>
      </c>
    </row>
    <row r="148" spans="4:15" ht="20.100000000000001" customHeight="1" x14ac:dyDescent="0.25">
      <c r="D148" s="1" t="s">
        <v>133</v>
      </c>
      <c r="E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F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G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H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I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J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K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L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M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N148" s="51" t="e">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#N/A</v>
      </c>
      <c r="O148" s="2" t="s">
        <v>110</v>
      </c>
    </row>
    <row r="149" spans="4:15" ht="20.100000000000001" customHeight="1" x14ac:dyDescent="0.25">
      <c r="D149" s="1" t="s">
        <v>134</v>
      </c>
      <c r="E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F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G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H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I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J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K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L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M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N149" s="51" t="e">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#N/A</v>
      </c>
      <c r="O149" s="2" t="s">
        <v>110</v>
      </c>
    </row>
    <row r="150" spans="4:15" ht="20.100000000000001" customHeight="1" x14ac:dyDescent="0.25">
      <c r="D150" s="1" t="s">
        <v>135</v>
      </c>
      <c r="E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F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G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H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I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J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K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L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M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N150" s="51" t="e">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#N/A</v>
      </c>
      <c r="O150" s="2" t="s">
        <v>110</v>
      </c>
    </row>
    <row r="151" spans="4:15" ht="20.100000000000001" customHeight="1" x14ac:dyDescent="0.25"/>
    <row r="152" spans="4:15" ht="20.100000000000001" customHeight="1" x14ac:dyDescent="0.25">
      <c r="D152" s="61" t="s">
        <v>139</v>
      </c>
      <c r="E152" s="61" t="s">
        <v>102</v>
      </c>
      <c r="F152" s="61" t="s">
        <v>101</v>
      </c>
      <c r="G152" s="61" t="s">
        <v>124</v>
      </c>
      <c r="H152" s="61" t="s">
        <v>125</v>
      </c>
      <c r="I152" s="61" t="s">
        <v>126</v>
      </c>
      <c r="J152" s="61" t="s">
        <v>127</v>
      </c>
      <c r="K152" s="61" t="s">
        <v>128</v>
      </c>
      <c r="L152" s="61" t="s">
        <v>129</v>
      </c>
      <c r="M152" s="61" t="s">
        <v>130</v>
      </c>
      <c r="N152" s="61" t="s">
        <v>131</v>
      </c>
    </row>
    <row r="153" spans="4:15" ht="20.100000000000001" customHeight="1" x14ac:dyDescent="0.25">
      <c r="D153" s="1" t="str">
        <f>TEXT('Input - Site'!$E$12, "mmmm yyyy")</f>
        <v>January 2024</v>
      </c>
      <c r="E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3" s="64" t="e">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3" s="2" t="s">
        <v>110</v>
      </c>
    </row>
    <row r="154" spans="4:15" ht="20.100000000000001" customHeight="1" x14ac:dyDescent="0.25">
      <c r="D154" s="1" t="str">
        <f>TEXT(EDATE('Input - Site'!$E$12,1), "mmmm yyyy")</f>
        <v>February 2024</v>
      </c>
      <c r="E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4" s="64" t="e">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4" s="2" t="s">
        <v>110</v>
      </c>
    </row>
    <row r="155" spans="4:15" ht="20.100000000000001" customHeight="1" x14ac:dyDescent="0.25">
      <c r="D155" s="1" t="str">
        <f>TEXT(EDATE('Input - Site'!$E$12,2), "mmmm yyyy")</f>
        <v>March 2024</v>
      </c>
      <c r="E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5" s="64" t="e">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5" s="2" t="s">
        <v>110</v>
      </c>
    </row>
    <row r="156" spans="4:15" ht="20.100000000000001" customHeight="1" x14ac:dyDescent="0.25">
      <c r="D156" s="1" t="str">
        <f>TEXT(EDATE('Input - Site'!$E$12,3), "mmmm yyyy")</f>
        <v>April 2024</v>
      </c>
      <c r="E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6" s="64" t="e">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6" s="2" t="s">
        <v>110</v>
      </c>
    </row>
    <row r="157" spans="4:15" ht="20.100000000000001" customHeight="1" x14ac:dyDescent="0.25">
      <c r="D157" s="1" t="str">
        <f>TEXT(EDATE('Input - Site'!$E$12,4), "mmmm yyyy")</f>
        <v>May 2024</v>
      </c>
      <c r="E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7" s="64" t="e">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7" s="2" t="s">
        <v>110</v>
      </c>
    </row>
    <row r="158" spans="4:15" ht="20.100000000000001" customHeight="1" x14ac:dyDescent="0.25">
      <c r="D158" s="1" t="str">
        <f>TEXT(EDATE('Input - Site'!$E$12,5), "mmmm yyyy")</f>
        <v>June 2024</v>
      </c>
      <c r="E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8" s="64" t="e">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8" s="2" t="s">
        <v>110</v>
      </c>
    </row>
    <row r="159" spans="4:15" ht="20.100000000000001" customHeight="1" x14ac:dyDescent="0.25">
      <c r="D159" s="1" t="str">
        <f>TEXT(EDATE('Input - Site'!$E$12,6), "mmmm yyyy")</f>
        <v>July 2024</v>
      </c>
      <c r="E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59" s="64" t="e">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59" s="2" t="s">
        <v>110</v>
      </c>
    </row>
    <row r="160" spans="4:15" ht="20.100000000000001" customHeight="1" x14ac:dyDescent="0.25">
      <c r="D160" s="1" t="str">
        <f>TEXT(EDATE('Input - Site'!$E$12,7), "mmmm yyyy")</f>
        <v>August 2024</v>
      </c>
      <c r="E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60" s="64" t="e">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60" s="2" t="s">
        <v>110</v>
      </c>
    </row>
    <row r="161" spans="4:15" ht="20.100000000000001" customHeight="1" x14ac:dyDescent="0.25">
      <c r="D161" s="1" t="str">
        <f>TEXT(EDATE('Input - Site'!$E$12,8), "mmmm yyyy")</f>
        <v>September 2024</v>
      </c>
      <c r="E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61" s="64" t="e">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61" s="2" t="s">
        <v>110</v>
      </c>
    </row>
    <row r="162" spans="4:15" ht="20.100000000000001" customHeight="1" x14ac:dyDescent="0.25">
      <c r="D162" s="1" t="str">
        <f>TEXT(EDATE('Input - Site'!$E$12,9), "mmmm yyyy")</f>
        <v>October 2024</v>
      </c>
      <c r="E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62" s="64" t="e">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62" s="2" t="s">
        <v>110</v>
      </c>
    </row>
    <row r="163" spans="4:15" ht="20.100000000000001" customHeight="1" x14ac:dyDescent="0.25">
      <c r="D163" s="1" t="str">
        <f>TEXT(EDATE('Input - Site'!$E$12,10), "mmmm yyyy")</f>
        <v>November 2024</v>
      </c>
      <c r="E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63" s="64" t="e">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63" s="2" t="s">
        <v>110</v>
      </c>
    </row>
    <row r="164" spans="4:15" ht="20.100000000000001" customHeight="1" x14ac:dyDescent="0.25">
      <c r="D164" s="1" t="str">
        <f>TEXT(EDATE('Input - Site'!$E$12,11), "mmmm yyyy")</f>
        <v>December 2024</v>
      </c>
      <c r="E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F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G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H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I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J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K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L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M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N164" s="64" t="e">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#N/A</v>
      </c>
      <c r="O164" s="2" t="s">
        <v>110</v>
      </c>
    </row>
    <row r="165" spans="4:15" ht="20.100000000000001" customHeight="1" x14ac:dyDescent="0.25">
      <c r="L165" s="2"/>
      <c r="M165" s="2"/>
      <c r="N165" s="2"/>
      <c r="O165" s="2"/>
    </row>
    <row r="166" spans="4:15" x14ac:dyDescent="0.25">
      <c r="L166" s="2"/>
      <c r="M166" s="2"/>
      <c r="N166" s="2"/>
      <c r="O166" s="2"/>
    </row>
    <row r="167" spans="4:15" ht="18.75" x14ac:dyDescent="0.25">
      <c r="D167" s="47" t="s">
        <v>215</v>
      </c>
      <c r="L167" s="2"/>
      <c r="M167" s="2"/>
      <c r="N167" s="2"/>
      <c r="O167" s="2"/>
    </row>
    <row r="169" spans="4:15" x14ac:dyDescent="0.25">
      <c r="D169" s="1" t="s">
        <v>216</v>
      </c>
      <c r="E169" s="38" t="s">
        <v>269</v>
      </c>
      <c r="F169" s="2" t="s">
        <v>7</v>
      </c>
      <c r="L169" s="2"/>
      <c r="M169" s="2"/>
      <c r="N169" s="2"/>
      <c r="O169" s="2"/>
    </row>
    <row r="171" spans="4:15" x14ac:dyDescent="0.25">
      <c r="D171" s="61" t="s">
        <v>15</v>
      </c>
      <c r="E171" s="61" t="s">
        <v>217</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0.01</v>
      </c>
      <c r="F172" s="2" t="s">
        <v>13</v>
      </c>
      <c r="L172" s="2"/>
      <c r="M172" s="2"/>
      <c r="N172" s="2"/>
      <c r="O172" s="2"/>
    </row>
    <row r="173" spans="4:15" x14ac:dyDescent="0.25">
      <c r="D173" s="1" t="s">
        <v>218</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0</v>
      </c>
      <c r="F173" s="2" t="s">
        <v>13</v>
      </c>
      <c r="L173" s="2"/>
      <c r="M173" s="2"/>
      <c r="N173" s="2"/>
      <c r="O173" s="2"/>
    </row>
    <row r="174" spans="4:15" x14ac:dyDescent="0.25">
      <c r="L174" s="2"/>
      <c r="M174" s="2"/>
      <c r="N174" s="2"/>
      <c r="O174" s="2"/>
    </row>
    <row r="176" spans="4:15" x14ac:dyDescent="0.25">
      <c r="D176" s="1" t="s">
        <v>228</v>
      </c>
      <c r="E176" s="38"/>
      <c r="F176" s="2" t="s">
        <v>7</v>
      </c>
      <c r="L176" s="2"/>
      <c r="M176" s="2"/>
      <c r="N176" s="2"/>
      <c r="O176" s="2"/>
    </row>
    <row r="177" spans="5:6" x14ac:dyDescent="0.25">
      <c r="E177" s="38"/>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M37" zoomScale="85" zoomScaleNormal="85" workbookViewId="0">
      <selection activeCell="U60" sqref="U60"/>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251</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248</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Northern Brahman cross breed</v>
      </c>
    </row>
    <row r="17" spans="1:34" ht="20.100000000000001" customHeight="1" x14ac:dyDescent="0.25">
      <c r="A17" s="17" t="str">
        <f>HYPERLINK("#'Acknowledgements'!A1", "Acknowledgements")</f>
        <v>Acknowledgements</v>
      </c>
    </row>
    <row r="18" spans="1:34" ht="20.100000000000001" customHeight="1" x14ac:dyDescent="0.25">
      <c r="D18" s="96" t="s">
        <v>188</v>
      </c>
    </row>
    <row r="19" spans="1:34" ht="20.100000000000001" customHeight="1" x14ac:dyDescent="0.25">
      <c r="A19" s="17"/>
      <c r="D19" s="95" t="s">
        <v>210</v>
      </c>
      <c r="U19" s="96" t="s">
        <v>206</v>
      </c>
    </row>
    <row r="20" spans="1:34" ht="20.100000000000001" customHeight="1" x14ac:dyDescent="0.25">
      <c r="A20" s="17"/>
      <c r="D20" s="50" t="s">
        <v>143</v>
      </c>
      <c r="E20" s="115" t="s">
        <v>125</v>
      </c>
      <c r="F20" s="115" t="s">
        <v>126</v>
      </c>
      <c r="G20" s="115" t="s">
        <v>127</v>
      </c>
      <c r="U20" s="95" t="s">
        <v>207</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125</v>
      </c>
      <c r="W21" s="115" t="s">
        <v>126</v>
      </c>
      <c r="X21" s="115" t="s">
        <v>127</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197</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198</v>
      </c>
      <c r="Y24" s="2"/>
    </row>
    <row r="25" spans="1:34" ht="20.100000000000001" customHeight="1" x14ac:dyDescent="0.25">
      <c r="D25" s="50" t="s">
        <v>143</v>
      </c>
      <c r="E25" s="50" t="s">
        <v>203</v>
      </c>
      <c r="F25" s="50" t="s">
        <v>244</v>
      </c>
      <c r="G25" s="50" t="s">
        <v>102</v>
      </c>
      <c r="H25" s="50" t="s">
        <v>101</v>
      </c>
      <c r="I25" s="50" t="s">
        <v>124</v>
      </c>
      <c r="J25" s="50" t="s">
        <v>125</v>
      </c>
      <c r="K25" s="50" t="s">
        <v>126</v>
      </c>
      <c r="L25" s="50" t="s">
        <v>127</v>
      </c>
      <c r="M25" s="50" t="s">
        <v>128</v>
      </c>
      <c r="N25" s="50" t="s">
        <v>129</v>
      </c>
      <c r="O25" s="50" t="s">
        <v>130</v>
      </c>
      <c r="P25" s="50" t="s">
        <v>131</v>
      </c>
      <c r="U25" s="96" t="s">
        <v>208</v>
      </c>
    </row>
    <row r="26" spans="1:34" ht="20.100000000000001" customHeight="1" x14ac:dyDescent="0.25">
      <c r="D26" s="51" t="s">
        <v>132</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209</v>
      </c>
    </row>
    <row r="27" spans="1:34" ht="20.100000000000001" customHeight="1" x14ac:dyDescent="0.25">
      <c r="D27" s="51" t="s">
        <v>133</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203</v>
      </c>
      <c r="W27" s="50" t="s">
        <v>244</v>
      </c>
      <c r="X27" s="50" t="s">
        <v>102</v>
      </c>
      <c r="Y27" s="50" t="s">
        <v>101</v>
      </c>
      <c r="Z27" s="50" t="s">
        <v>124</v>
      </c>
      <c r="AA27" s="50" t="s">
        <v>125</v>
      </c>
      <c r="AB27" s="50" t="s">
        <v>126</v>
      </c>
      <c r="AC27" s="50" t="s">
        <v>127</v>
      </c>
      <c r="AD27" s="50" t="s">
        <v>128</v>
      </c>
      <c r="AE27" s="50" t="s">
        <v>129</v>
      </c>
      <c r="AF27" s="50" t="s">
        <v>130</v>
      </c>
      <c r="AG27" s="50" t="s">
        <v>131</v>
      </c>
    </row>
    <row r="28" spans="1:34" ht="20.100000000000001" customHeight="1" x14ac:dyDescent="0.25">
      <c r="D28" s="51" t="s">
        <v>134</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135</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250</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211</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tr" cm="1">
        <f t="array" ref="U43:AE55">X_Table_PastureBeef_Liveweight_Method2</f>
        <v>Method 2 custom values (edit if known)</v>
      </c>
      <c r="V43" s="115" t="str">
        <v>Bulls &lt; 1 year</v>
      </c>
      <c r="W43" s="115" t="str">
        <v>Bulls &gt; 1 year</v>
      </c>
      <c r="X43" s="115" t="str">
        <v>Cows &lt; 1 year</v>
      </c>
      <c r="Y43" s="115" t="str">
        <v>Cows 1-2 years</v>
      </c>
      <c r="Z43" s="115" t="str">
        <v>Cows 2-3 years</v>
      </c>
      <c r="AA43" s="115" t="str">
        <v>Cows &gt; 3 years</v>
      </c>
      <c r="AB43" s="115" t="str">
        <v>Steers &lt; 1 year</v>
      </c>
      <c r="AC43" s="115" t="str">
        <v>Steers 1-2 years</v>
      </c>
      <c r="AD43" s="115" t="str">
        <v>Steers 2-3 years</v>
      </c>
      <c r="AE43" s="115" t="str">
        <v>Steers &gt;3 years</v>
      </c>
      <c r="AF43" s="2"/>
    </row>
    <row r="44" spans="4:34" ht="20.100000000000001" customHeight="1" x14ac:dyDescent="0.25">
      <c r="U44" s="51" t="str">
        <v>January 2024</v>
      </c>
      <c r="V44" s="51" t="e">
        <v>#N/A</v>
      </c>
      <c r="W44" s="51" t="e">
        <v>#N/A</v>
      </c>
      <c r="X44" s="51" t="e">
        <v>#N/A</v>
      </c>
      <c r="Y44" s="51" t="e">
        <v>#N/A</v>
      </c>
      <c r="Z44" s="51" t="e">
        <v>#N/A</v>
      </c>
      <c r="AA44" s="51" t="e">
        <v>#N/A</v>
      </c>
      <c r="AB44" s="51" t="e">
        <v>#N/A</v>
      </c>
      <c r="AC44" s="51" t="e">
        <v>#N/A</v>
      </c>
      <c r="AD44" s="51" t="e">
        <v>#N/A</v>
      </c>
      <c r="AE44" s="51" t="e">
        <v>#N/A</v>
      </c>
      <c r="AF44" s="2" t="s">
        <v>104</v>
      </c>
    </row>
    <row r="45" spans="4:34" ht="20.100000000000001" customHeight="1" x14ac:dyDescent="0.25">
      <c r="D45" s="96" t="s">
        <v>226</v>
      </c>
      <c r="U45" s="51" t="str">
        <v>February 2024</v>
      </c>
      <c r="V45" s="51" t="e">
        <v>#N/A</v>
      </c>
      <c r="W45" s="51" t="e">
        <v>#N/A</v>
      </c>
      <c r="X45" s="51" t="e">
        <v>#N/A</v>
      </c>
      <c r="Y45" s="51" t="e">
        <v>#N/A</v>
      </c>
      <c r="Z45" s="51" t="e">
        <v>#N/A</v>
      </c>
      <c r="AA45" s="51" t="e">
        <v>#N/A</v>
      </c>
      <c r="AB45" s="51" t="e">
        <v>#N/A</v>
      </c>
      <c r="AC45" s="51" t="e">
        <v>#N/A</v>
      </c>
      <c r="AD45" s="51" t="e">
        <v>#N/A</v>
      </c>
      <c r="AE45" s="51" t="e">
        <v>#N/A</v>
      </c>
      <c r="AF45" s="2" t="s">
        <v>104</v>
      </c>
    </row>
    <row r="46" spans="4:34" ht="20.100000000000001" customHeight="1" x14ac:dyDescent="0.25">
      <c r="D46" s="95" t="s">
        <v>201</v>
      </c>
      <c r="U46" s="51" t="str">
        <v>March 2024</v>
      </c>
      <c r="V46" s="51" t="e">
        <v>#N/A</v>
      </c>
      <c r="W46" s="51" t="e">
        <v>#N/A</v>
      </c>
      <c r="X46" s="51" t="e">
        <v>#N/A</v>
      </c>
      <c r="Y46" s="51" t="e">
        <v>#N/A</v>
      </c>
      <c r="Z46" s="51" t="e">
        <v>#N/A</v>
      </c>
      <c r="AA46" s="51" t="e">
        <v>#N/A</v>
      </c>
      <c r="AB46" s="51" t="e">
        <v>#N/A</v>
      </c>
      <c r="AC46" s="51" t="e">
        <v>#N/A</v>
      </c>
      <c r="AD46" s="51" t="e">
        <v>#N/A</v>
      </c>
      <c r="AE46" s="51" t="e">
        <v>#N/A</v>
      </c>
      <c r="AF46" s="2" t="s">
        <v>104</v>
      </c>
    </row>
    <row r="47" spans="4:34" ht="20.100000000000001" customHeight="1" x14ac:dyDescent="0.25">
      <c r="D47" s="50" t="s">
        <v>143</v>
      </c>
      <c r="E47" s="115" t="s">
        <v>102</v>
      </c>
      <c r="F47" s="115" t="s">
        <v>101</v>
      </c>
      <c r="G47" s="115" t="s">
        <v>124</v>
      </c>
      <c r="H47" s="115" t="s">
        <v>125</v>
      </c>
      <c r="I47" s="115" t="s">
        <v>126</v>
      </c>
      <c r="J47" s="115" t="s">
        <v>127</v>
      </c>
      <c r="K47" s="115" t="s">
        <v>128</v>
      </c>
      <c r="L47" s="115" t="s">
        <v>129</v>
      </c>
      <c r="M47" s="115" t="s">
        <v>130</v>
      </c>
      <c r="N47" s="115" t="s">
        <v>131</v>
      </c>
      <c r="U47" s="51" t="str">
        <v>April 2024</v>
      </c>
      <c r="V47" s="51" t="e">
        <v>#N/A</v>
      </c>
      <c r="W47" s="51" t="e">
        <v>#N/A</v>
      </c>
      <c r="X47" s="51" t="e">
        <v>#N/A</v>
      </c>
      <c r="Y47" s="51" t="e">
        <v>#N/A</v>
      </c>
      <c r="Z47" s="51" t="e">
        <v>#N/A</v>
      </c>
      <c r="AA47" s="51" t="e">
        <v>#N/A</v>
      </c>
      <c r="AB47" s="51" t="e">
        <v>#N/A</v>
      </c>
      <c r="AC47" s="51" t="e">
        <v>#N/A</v>
      </c>
      <c r="AD47" s="51" t="e">
        <v>#N/A</v>
      </c>
      <c r="AE47" s="51" t="e">
        <v>#N/A</v>
      </c>
      <c r="AF47" s="2" t="s">
        <v>104</v>
      </c>
    </row>
    <row r="48" spans="4:34" ht="20.100000000000001" customHeight="1" x14ac:dyDescent="0.25">
      <c r="D48" s="51" t="str">
        <f>'Input - Pasture Beef'!D60</f>
        <v>Spring</v>
      </c>
      <c r="E48" s="51" t="e">
        <f>'Input - Pasture Beef'!E60</f>
        <v>#N/A</v>
      </c>
      <c r="F48" s="51" t="e">
        <f>'Input - Pasture Beef'!F60</f>
        <v>#N/A</v>
      </c>
      <c r="G48" s="51" t="e">
        <f>'Input - Pasture Beef'!G60</f>
        <v>#N/A</v>
      </c>
      <c r="H48" s="51" t="e">
        <f>'Input - Pasture Beef'!H60</f>
        <v>#N/A</v>
      </c>
      <c r="I48" s="51" t="e">
        <f>'Input - Pasture Beef'!I60</f>
        <v>#N/A</v>
      </c>
      <c r="J48" s="51" t="e">
        <f>'Input - Pasture Beef'!J60</f>
        <v>#N/A</v>
      </c>
      <c r="K48" s="51" t="e">
        <f>'Input - Pasture Beef'!K60</f>
        <v>#N/A</v>
      </c>
      <c r="L48" s="51" t="e">
        <f>'Input - Pasture Beef'!L60</f>
        <v>#N/A</v>
      </c>
      <c r="M48" s="51" t="e">
        <f>'Input - Pasture Beef'!M60</f>
        <v>#N/A</v>
      </c>
      <c r="N48" s="51" t="e">
        <f>'Input - Pasture Beef'!N60</f>
        <v>#N/A</v>
      </c>
      <c r="O48" s="2" t="s">
        <v>104</v>
      </c>
      <c r="P48" s="2"/>
      <c r="Q48" s="2"/>
      <c r="U48" s="51" t="str">
        <v>May 2024</v>
      </c>
      <c r="V48" s="51" t="e">
        <v>#N/A</v>
      </c>
      <c r="W48" s="51" t="e">
        <v>#N/A</v>
      </c>
      <c r="X48" s="51" t="e">
        <v>#N/A</v>
      </c>
      <c r="Y48" s="51" t="e">
        <v>#N/A</v>
      </c>
      <c r="Z48" s="51" t="e">
        <v>#N/A</v>
      </c>
      <c r="AA48" s="51" t="e">
        <v>#N/A</v>
      </c>
      <c r="AB48" s="51" t="e">
        <v>#N/A</v>
      </c>
      <c r="AC48" s="51" t="e">
        <v>#N/A</v>
      </c>
      <c r="AD48" s="51" t="e">
        <v>#N/A</v>
      </c>
      <c r="AE48" s="51" t="e">
        <v>#N/A</v>
      </c>
      <c r="AF48" s="2" t="s">
        <v>104</v>
      </c>
    </row>
    <row r="49" spans="4:34" ht="20.100000000000001" customHeight="1" x14ac:dyDescent="0.25">
      <c r="D49" s="51" t="str">
        <f>'Input - Pasture Beef'!D61</f>
        <v>Summer</v>
      </c>
      <c r="E49" s="51" t="e">
        <f>'Input - Pasture Beef'!E61</f>
        <v>#N/A</v>
      </c>
      <c r="F49" s="51" t="e">
        <f>'Input - Pasture Beef'!F61</f>
        <v>#N/A</v>
      </c>
      <c r="G49" s="51" t="e">
        <f>'Input - Pasture Beef'!G61</f>
        <v>#N/A</v>
      </c>
      <c r="H49" s="51" t="e">
        <f>'Input - Pasture Beef'!H61</f>
        <v>#N/A</v>
      </c>
      <c r="I49" s="51" t="e">
        <f>'Input - Pasture Beef'!I61</f>
        <v>#N/A</v>
      </c>
      <c r="J49" s="51" t="e">
        <f>'Input - Pasture Beef'!J61</f>
        <v>#N/A</v>
      </c>
      <c r="K49" s="51" t="e">
        <f>'Input - Pasture Beef'!K61</f>
        <v>#N/A</v>
      </c>
      <c r="L49" s="51" t="e">
        <f>'Input - Pasture Beef'!L61</f>
        <v>#N/A</v>
      </c>
      <c r="M49" s="51" t="e">
        <f>'Input - Pasture Beef'!M61</f>
        <v>#N/A</v>
      </c>
      <c r="N49" s="51" t="e">
        <f>'Input - Pasture Beef'!N61</f>
        <v>#N/A</v>
      </c>
      <c r="O49" s="2" t="s">
        <v>104</v>
      </c>
      <c r="P49" s="2"/>
      <c r="Q49" s="2"/>
      <c r="U49" s="51" t="str">
        <v>June 2024</v>
      </c>
      <c r="V49" s="51" t="e">
        <v>#N/A</v>
      </c>
      <c r="W49" s="51" t="e">
        <v>#N/A</v>
      </c>
      <c r="X49" s="51" t="e">
        <v>#N/A</v>
      </c>
      <c r="Y49" s="51" t="e">
        <v>#N/A</v>
      </c>
      <c r="Z49" s="51" t="e">
        <v>#N/A</v>
      </c>
      <c r="AA49" s="51" t="e">
        <v>#N/A</v>
      </c>
      <c r="AB49" s="51" t="e">
        <v>#N/A</v>
      </c>
      <c r="AC49" s="51" t="e">
        <v>#N/A</v>
      </c>
      <c r="AD49" s="51" t="e">
        <v>#N/A</v>
      </c>
      <c r="AE49" s="51" t="e">
        <v>#N/A</v>
      </c>
      <c r="AF49" s="2" t="s">
        <v>104</v>
      </c>
    </row>
    <row r="50" spans="4:34" ht="20.100000000000001" customHeight="1" x14ac:dyDescent="0.25">
      <c r="D50" s="51" t="str">
        <f>'Input - Pasture Beef'!D62</f>
        <v>Autumn</v>
      </c>
      <c r="E50" s="51" t="e">
        <f>'Input - Pasture Beef'!E62</f>
        <v>#N/A</v>
      </c>
      <c r="F50" s="51" t="e">
        <f>'Input - Pasture Beef'!F62</f>
        <v>#N/A</v>
      </c>
      <c r="G50" s="51" t="e">
        <f>'Input - Pasture Beef'!G62</f>
        <v>#N/A</v>
      </c>
      <c r="H50" s="51" t="e">
        <f>'Input - Pasture Beef'!H62</f>
        <v>#N/A</v>
      </c>
      <c r="I50" s="51" t="e">
        <f>'Input - Pasture Beef'!I62</f>
        <v>#N/A</v>
      </c>
      <c r="J50" s="51" t="e">
        <f>'Input - Pasture Beef'!J62</f>
        <v>#N/A</v>
      </c>
      <c r="K50" s="51" t="e">
        <f>'Input - Pasture Beef'!K62</f>
        <v>#N/A</v>
      </c>
      <c r="L50" s="51" t="e">
        <f>'Input - Pasture Beef'!L62</f>
        <v>#N/A</v>
      </c>
      <c r="M50" s="51" t="e">
        <f>'Input - Pasture Beef'!M62</f>
        <v>#N/A</v>
      </c>
      <c r="N50" s="51" t="e">
        <f>'Input - Pasture Beef'!N62</f>
        <v>#N/A</v>
      </c>
      <c r="O50" s="2" t="s">
        <v>104</v>
      </c>
      <c r="P50" s="2"/>
      <c r="Q50" s="2"/>
      <c r="U50" s="51" t="str">
        <v>July 2024</v>
      </c>
      <c r="V50" s="51" t="e">
        <v>#N/A</v>
      </c>
      <c r="W50" s="51" t="e">
        <v>#N/A</v>
      </c>
      <c r="X50" s="51" t="e">
        <v>#N/A</v>
      </c>
      <c r="Y50" s="51" t="e">
        <v>#N/A</v>
      </c>
      <c r="Z50" s="51" t="e">
        <v>#N/A</v>
      </c>
      <c r="AA50" s="51" t="e">
        <v>#N/A</v>
      </c>
      <c r="AB50" s="51" t="e">
        <v>#N/A</v>
      </c>
      <c r="AC50" s="51" t="e">
        <v>#N/A</v>
      </c>
      <c r="AD50" s="51" t="e">
        <v>#N/A</v>
      </c>
      <c r="AE50" s="51" t="e">
        <v>#N/A</v>
      </c>
      <c r="AF50" s="2" t="s">
        <v>104</v>
      </c>
    </row>
    <row r="51" spans="4:34" ht="20.100000000000001" customHeight="1" x14ac:dyDescent="0.25">
      <c r="D51" s="51" t="str">
        <f>'Input - Pasture Beef'!D63</f>
        <v>Winter</v>
      </c>
      <c r="E51" s="51" t="e">
        <f>'Input - Pasture Beef'!E63</f>
        <v>#N/A</v>
      </c>
      <c r="F51" s="51" t="e">
        <f>'Input - Pasture Beef'!F63</f>
        <v>#N/A</v>
      </c>
      <c r="G51" s="51" t="e">
        <f>'Input - Pasture Beef'!G63</f>
        <v>#N/A</v>
      </c>
      <c r="H51" s="51" t="e">
        <f>'Input - Pasture Beef'!H63</f>
        <v>#N/A</v>
      </c>
      <c r="I51" s="51" t="e">
        <f>'Input - Pasture Beef'!I63</f>
        <v>#N/A</v>
      </c>
      <c r="J51" s="51" t="e">
        <f>'Input - Pasture Beef'!J63</f>
        <v>#N/A</v>
      </c>
      <c r="K51" s="51" t="e">
        <f>'Input - Pasture Beef'!K63</f>
        <v>#N/A</v>
      </c>
      <c r="L51" s="51" t="e">
        <f>'Input - Pasture Beef'!L63</f>
        <v>#N/A</v>
      </c>
      <c r="M51" s="51" t="e">
        <f>'Input - Pasture Beef'!M63</f>
        <v>#N/A</v>
      </c>
      <c r="N51" s="51" t="e">
        <f>'Input - Pasture Beef'!N63</f>
        <v>#N/A</v>
      </c>
      <c r="O51" s="2" t="s">
        <v>104</v>
      </c>
      <c r="P51" s="2"/>
      <c r="Q51" s="2"/>
      <c r="U51" s="51" t="str">
        <v>August 2024</v>
      </c>
      <c r="V51" s="51" t="e">
        <v>#N/A</v>
      </c>
      <c r="W51" s="51" t="e">
        <v>#N/A</v>
      </c>
      <c r="X51" s="51" t="e">
        <v>#N/A</v>
      </c>
      <c r="Y51" s="51" t="e">
        <v>#N/A</v>
      </c>
      <c r="Z51" s="51" t="e">
        <v>#N/A</v>
      </c>
      <c r="AA51" s="51" t="e">
        <v>#N/A</v>
      </c>
      <c r="AB51" s="51" t="e">
        <v>#N/A</v>
      </c>
      <c r="AC51" s="51" t="e">
        <v>#N/A</v>
      </c>
      <c r="AD51" s="51" t="e">
        <v>#N/A</v>
      </c>
      <c r="AE51" s="51" t="e">
        <v>#N/A</v>
      </c>
      <c r="AF51" s="2" t="s">
        <v>104</v>
      </c>
      <c r="AG51" s="2"/>
      <c r="AH51" s="2"/>
    </row>
    <row r="52" spans="4:34" ht="20.100000000000001" customHeight="1" x14ac:dyDescent="0.25">
      <c r="U52" s="51" t="str">
        <v>September 2024</v>
      </c>
      <c r="V52" s="51" t="e">
        <v>#N/A</v>
      </c>
      <c r="W52" s="51" t="e">
        <v>#N/A</v>
      </c>
      <c r="X52" s="51" t="e">
        <v>#N/A</v>
      </c>
      <c r="Y52" s="51" t="e">
        <v>#N/A</v>
      </c>
      <c r="Z52" s="51" t="e">
        <v>#N/A</v>
      </c>
      <c r="AA52" s="51" t="e">
        <v>#N/A</v>
      </c>
      <c r="AB52" s="51" t="e">
        <v>#N/A</v>
      </c>
      <c r="AC52" s="51" t="e">
        <v>#N/A</v>
      </c>
      <c r="AD52" s="51" t="e">
        <v>#N/A</v>
      </c>
      <c r="AE52" s="51" t="e">
        <v>#N/A</v>
      </c>
      <c r="AF52" s="2" t="s">
        <v>104</v>
      </c>
      <c r="AG52" s="2"/>
      <c r="AH52" s="2"/>
    </row>
    <row r="53" spans="4:34" ht="20.100000000000001" customHeight="1" x14ac:dyDescent="0.25">
      <c r="D53" s="96" t="s">
        <v>199</v>
      </c>
      <c r="U53" s="51" t="str">
        <v>October 2024</v>
      </c>
      <c r="V53" s="51" t="e">
        <v>#N/A</v>
      </c>
      <c r="W53" s="51" t="e">
        <v>#N/A</v>
      </c>
      <c r="X53" s="51" t="e">
        <v>#N/A</v>
      </c>
      <c r="Y53" s="51" t="e">
        <v>#N/A</v>
      </c>
      <c r="Z53" s="51" t="e">
        <v>#N/A</v>
      </c>
      <c r="AA53" s="51" t="e">
        <v>#N/A</v>
      </c>
      <c r="AB53" s="51" t="e">
        <v>#N/A</v>
      </c>
      <c r="AC53" s="51" t="e">
        <v>#N/A</v>
      </c>
      <c r="AD53" s="51" t="e">
        <v>#N/A</v>
      </c>
      <c r="AE53" s="51" t="e">
        <v>#N/A</v>
      </c>
      <c r="AF53" s="2" t="s">
        <v>104</v>
      </c>
      <c r="AG53" s="2"/>
      <c r="AH53" s="2"/>
    </row>
    <row r="54" spans="4:34" ht="20.100000000000001" customHeight="1" x14ac:dyDescent="0.25">
      <c r="D54" s="95" t="s">
        <v>200</v>
      </c>
      <c r="U54" s="51" t="str">
        <v>November 2024</v>
      </c>
      <c r="V54" s="51" t="e">
        <v>#N/A</v>
      </c>
      <c r="W54" s="51" t="e">
        <v>#N/A</v>
      </c>
      <c r="X54" s="51" t="e">
        <v>#N/A</v>
      </c>
      <c r="Y54" s="51" t="e">
        <v>#N/A</v>
      </c>
      <c r="Z54" s="51" t="e">
        <v>#N/A</v>
      </c>
      <c r="AA54" s="51" t="e">
        <v>#N/A</v>
      </c>
      <c r="AB54" s="51" t="e">
        <v>#N/A</v>
      </c>
      <c r="AC54" s="51" t="e">
        <v>#N/A</v>
      </c>
      <c r="AD54" s="51" t="e">
        <v>#N/A</v>
      </c>
      <c r="AE54" s="51" t="e">
        <v>#N/A</v>
      </c>
      <c r="AF54" s="2" t="s">
        <v>104</v>
      </c>
      <c r="AG54" s="2"/>
      <c r="AH54" s="2"/>
    </row>
    <row r="55" spans="4:34" ht="20.100000000000001" customHeight="1" x14ac:dyDescent="0.25">
      <c r="D55" s="50" t="s">
        <v>143</v>
      </c>
      <c r="E55" s="115" t="s">
        <v>102</v>
      </c>
      <c r="F55" s="115" t="s">
        <v>101</v>
      </c>
      <c r="G55" s="115" t="s">
        <v>124</v>
      </c>
      <c r="H55" s="115" t="s">
        <v>125</v>
      </c>
      <c r="I55" s="115" t="s">
        <v>126</v>
      </c>
      <c r="J55" s="115" t="s">
        <v>127</v>
      </c>
      <c r="K55" s="115" t="s">
        <v>128</v>
      </c>
      <c r="L55" s="115" t="s">
        <v>129</v>
      </c>
      <c r="M55" s="115" t="s">
        <v>130</v>
      </c>
      <c r="N55" s="115" t="s">
        <v>131</v>
      </c>
      <c r="U55" s="51" t="str">
        <v>December 2024</v>
      </c>
      <c r="V55" s="51" t="e">
        <v>#N/A</v>
      </c>
      <c r="W55" s="51" t="e">
        <v>#N/A</v>
      </c>
      <c r="X55" s="51" t="e">
        <v>#N/A</v>
      </c>
      <c r="Y55" s="51" t="e">
        <v>#N/A</v>
      </c>
      <c r="Z55" s="51" t="e">
        <v>#N/A</v>
      </c>
      <c r="AA55" s="51" t="e">
        <v>#N/A</v>
      </c>
      <c r="AB55" s="51" t="e">
        <v>#N/A</v>
      </c>
      <c r="AC55" s="51" t="e">
        <v>#N/A</v>
      </c>
      <c r="AD55" s="51" t="e">
        <v>#N/A</v>
      </c>
      <c r="AE55" s="51" t="e">
        <v>#N/A</v>
      </c>
      <c r="AF55" s="2" t="s">
        <v>104</v>
      </c>
      <c r="AG55" s="2"/>
      <c r="AH55" s="2"/>
    </row>
    <row r="56" spans="4:34" ht="20.100000000000001" customHeight="1" x14ac:dyDescent="0.25">
      <c r="D56" s="51" t="str">
        <f>'Input - Pasture Beef'!D82</f>
        <v>Spring</v>
      </c>
      <c r="E56" s="51" t="e">
        <f>'Input - Pasture Beef'!E82</f>
        <v>#N/A</v>
      </c>
      <c r="F56" s="51" t="e">
        <f>'Input - Pasture Beef'!F82</f>
        <v>#N/A</v>
      </c>
      <c r="G56" s="51" t="e">
        <f>'Input - Pasture Beef'!G82</f>
        <v>#N/A</v>
      </c>
      <c r="H56" s="51" t="e">
        <f>'Input - Pasture Beef'!H82</f>
        <v>#N/A</v>
      </c>
      <c r="I56" s="51" t="e">
        <f>'Input - Pasture Beef'!I82</f>
        <v>#N/A</v>
      </c>
      <c r="J56" s="51" t="e">
        <f>'Input - Pasture Beef'!J82</f>
        <v>#N/A</v>
      </c>
      <c r="K56" s="51" t="e">
        <f>'Input - Pasture Beef'!K82</f>
        <v>#N/A</v>
      </c>
      <c r="L56" s="51" t="e">
        <f>'Input - Pasture Beef'!L82</f>
        <v>#N/A</v>
      </c>
      <c r="M56" s="51" t="e">
        <f>'Input - Pasture Beef'!M82</f>
        <v>#N/A</v>
      </c>
      <c r="N56" s="51" t="e">
        <f>'Input - Pasture Beef'!N82</f>
        <v>#N/A</v>
      </c>
      <c r="O56" s="2" t="s">
        <v>104</v>
      </c>
      <c r="P56" s="2"/>
      <c r="Q56" s="2"/>
      <c r="AG56" s="2"/>
      <c r="AH56" s="2"/>
    </row>
    <row r="57" spans="4:34" ht="20.100000000000001" customHeight="1" x14ac:dyDescent="0.25">
      <c r="D57" s="51" t="str">
        <f>'Input - Pasture Beef'!D83</f>
        <v>Summer</v>
      </c>
      <c r="E57" s="51" t="e">
        <f>'Input - Pasture Beef'!E83</f>
        <v>#N/A</v>
      </c>
      <c r="F57" s="51" t="e">
        <f>'Input - Pasture Beef'!F83</f>
        <v>#N/A</v>
      </c>
      <c r="G57" s="51" t="e">
        <f>'Input - Pasture Beef'!G83</f>
        <v>#N/A</v>
      </c>
      <c r="H57" s="51" t="e">
        <f>'Input - Pasture Beef'!H83</f>
        <v>#N/A</v>
      </c>
      <c r="I57" s="51" t="e">
        <f>'Input - Pasture Beef'!I83</f>
        <v>#N/A</v>
      </c>
      <c r="J57" s="51" t="e">
        <f>'Input - Pasture Beef'!J83</f>
        <v>#N/A</v>
      </c>
      <c r="K57" s="51" t="e">
        <f>'Input - Pasture Beef'!K83</f>
        <v>#N/A</v>
      </c>
      <c r="L57" s="51" t="e">
        <f>'Input - Pasture Beef'!L83</f>
        <v>#N/A</v>
      </c>
      <c r="M57" s="51" t="e">
        <f>'Input - Pasture Beef'!M83</f>
        <v>#N/A</v>
      </c>
      <c r="N57" s="51" t="e">
        <f>'Input - Pasture Beef'!N83</f>
        <v>#N/A</v>
      </c>
      <c r="O57" s="2" t="s">
        <v>104</v>
      </c>
      <c r="P57" s="2"/>
      <c r="Q57" s="2"/>
      <c r="U57" s="96" t="s">
        <v>212</v>
      </c>
      <c r="AG57" s="2"/>
      <c r="AH57" s="2"/>
    </row>
    <row r="58" spans="4:34" ht="20.100000000000001" customHeight="1" x14ac:dyDescent="0.25">
      <c r="D58" s="51" t="str">
        <f>'Input - Pasture Beef'!D84</f>
        <v>Autumn</v>
      </c>
      <c r="E58" s="51" t="e">
        <f>'Input - Pasture Beef'!E84</f>
        <v>#N/A</v>
      </c>
      <c r="F58" s="51" t="e">
        <f>'Input - Pasture Beef'!F84</f>
        <v>#N/A</v>
      </c>
      <c r="G58" s="51" t="e">
        <f>'Input - Pasture Beef'!G84</f>
        <v>#N/A</v>
      </c>
      <c r="H58" s="51" t="e">
        <f>'Input - Pasture Beef'!H84</f>
        <v>#N/A</v>
      </c>
      <c r="I58" s="51" t="e">
        <f>'Input - Pasture Beef'!I84</f>
        <v>#N/A</v>
      </c>
      <c r="J58" s="51" t="e">
        <f>'Input - Pasture Beef'!J84</f>
        <v>#N/A</v>
      </c>
      <c r="K58" s="51" t="e">
        <f>'Input - Pasture Beef'!K84</f>
        <v>#N/A</v>
      </c>
      <c r="L58" s="51" t="e">
        <f>'Input - Pasture Beef'!L84</f>
        <v>#N/A</v>
      </c>
      <c r="M58" s="51" t="e">
        <f>'Input - Pasture Beef'!M84</f>
        <v>#N/A</v>
      </c>
      <c r="N58" s="51" t="e">
        <f>'Input - Pasture Beef'!N84</f>
        <v>#N/A</v>
      </c>
      <c r="O58" s="2" t="s">
        <v>104</v>
      </c>
      <c r="P58" s="2"/>
      <c r="Q58" s="2"/>
      <c r="U58" s="95" t="s">
        <v>213</v>
      </c>
      <c r="AG58" s="2"/>
      <c r="AH58" s="2"/>
    </row>
    <row r="59" spans="4:34" ht="20.100000000000001" customHeight="1" x14ac:dyDescent="0.25">
      <c r="D59" s="51" t="str">
        <f>'Input - Pasture Beef'!D85</f>
        <v>Winter</v>
      </c>
      <c r="E59" s="51" t="e">
        <f>'Input - Pasture Beef'!E85</f>
        <v>#N/A</v>
      </c>
      <c r="F59" s="51" t="e">
        <f>'Input - Pasture Beef'!F85</f>
        <v>#N/A</v>
      </c>
      <c r="G59" s="51" t="e">
        <f>'Input - Pasture Beef'!G85</f>
        <v>#N/A</v>
      </c>
      <c r="H59" s="51" t="e">
        <f>'Input - Pasture Beef'!H85</f>
        <v>#N/A</v>
      </c>
      <c r="I59" s="51" t="e">
        <f>'Input - Pasture Beef'!I85</f>
        <v>#N/A</v>
      </c>
      <c r="J59" s="51" t="e">
        <f>'Input - Pasture Beef'!J85</f>
        <v>#N/A</v>
      </c>
      <c r="K59" s="51" t="e">
        <f>'Input - Pasture Beef'!K85</f>
        <v>#N/A</v>
      </c>
      <c r="L59" s="51" t="e">
        <f>'Input - Pasture Beef'!L85</f>
        <v>#N/A</v>
      </c>
      <c r="M59" s="51" t="e">
        <f>'Input - Pasture Beef'!M85</f>
        <v>#N/A</v>
      </c>
      <c r="N59" s="51" t="e">
        <f>'Input - Pasture Beef'!N85</f>
        <v>#N/A</v>
      </c>
      <c r="O59" s="2" t="s">
        <v>104</v>
      </c>
      <c r="P59" s="2"/>
      <c r="Q59" s="2"/>
      <c r="U59" s="50" t="str" cm="1">
        <f t="array" ref="U59:AE71">X_Table_PastureBeef_LiveweightGain_Method2</f>
        <v>Method 2 custom values (edit if known)</v>
      </c>
      <c r="V59" s="115" t="str">
        <v>Bulls &lt; 1 year</v>
      </c>
      <c r="W59" s="115" t="str">
        <v>Bulls &gt; 1 year</v>
      </c>
      <c r="X59" s="115" t="str">
        <v>Cows &lt; 1 year</v>
      </c>
      <c r="Y59" s="115" t="str">
        <v>Cows 1-2 years</v>
      </c>
      <c r="Z59" s="115" t="str">
        <v>Cows 2-3 years</v>
      </c>
      <c r="AA59" s="115" t="str">
        <v>Cows &gt; 3 years</v>
      </c>
      <c r="AB59" s="115" t="str">
        <v>Steers &lt; 1 year</v>
      </c>
      <c r="AC59" s="115" t="str">
        <v>Steers 1-2 years</v>
      </c>
      <c r="AD59" s="115" t="str">
        <v>Steers 2-3 years</v>
      </c>
      <c r="AE59" s="115" t="str">
        <v>Steers &gt;3 years</v>
      </c>
      <c r="AG59" s="2"/>
      <c r="AH59" s="2"/>
    </row>
    <row r="60" spans="4:34" ht="20.100000000000001" customHeight="1" x14ac:dyDescent="0.25">
      <c r="U60" s="51" t="str">
        <v>January 2024</v>
      </c>
      <c r="V60" s="51" t="e">
        <v>#N/A</v>
      </c>
      <c r="W60" s="51" t="e">
        <v>#N/A</v>
      </c>
      <c r="X60" s="51" t="e">
        <v>#N/A</v>
      </c>
      <c r="Y60" s="51" t="e">
        <v>#N/A</v>
      </c>
      <c r="Z60" s="51" t="e">
        <v>#N/A</v>
      </c>
      <c r="AA60" s="51" t="e">
        <v>#N/A</v>
      </c>
      <c r="AB60" s="51" t="e">
        <v>#N/A</v>
      </c>
      <c r="AC60" s="51" t="e">
        <v>#N/A</v>
      </c>
      <c r="AD60" s="51" t="e">
        <v>#N/A</v>
      </c>
      <c r="AE60" s="51" t="e">
        <v>#N/A</v>
      </c>
      <c r="AF60" s="2" t="s">
        <v>105</v>
      </c>
      <c r="AG60" s="2"/>
      <c r="AH60" s="2"/>
    </row>
    <row r="61" spans="4:34" ht="20.100000000000001" customHeight="1" x14ac:dyDescent="0.25">
      <c r="D61" s="96" t="s">
        <v>202</v>
      </c>
      <c r="U61" s="51" t="str">
        <v>February 2024</v>
      </c>
      <c r="V61" s="51" t="e">
        <v>#N/A</v>
      </c>
      <c r="W61" s="51" t="e">
        <v>#N/A</v>
      </c>
      <c r="X61" s="51" t="e">
        <v>#N/A</v>
      </c>
      <c r="Y61" s="51" t="e">
        <v>#N/A</v>
      </c>
      <c r="Z61" s="51" t="e">
        <v>#N/A</v>
      </c>
      <c r="AA61" s="51" t="e">
        <v>#N/A</v>
      </c>
      <c r="AB61" s="51" t="e">
        <v>#N/A</v>
      </c>
      <c r="AC61" s="51" t="e">
        <v>#N/A</v>
      </c>
      <c r="AD61" s="51" t="e">
        <v>#N/A</v>
      </c>
      <c r="AE61" s="51" t="e">
        <v>#N/A</v>
      </c>
      <c r="AF61" s="2" t="s">
        <v>105</v>
      </c>
      <c r="AG61" s="2"/>
      <c r="AH61" s="2"/>
    </row>
    <row r="62" spans="4:34" ht="20.100000000000001" customHeight="1" x14ac:dyDescent="0.25">
      <c r="D62" s="95" t="s">
        <v>112</v>
      </c>
      <c r="U62" s="51" t="str">
        <v>March 2024</v>
      </c>
      <c r="V62" s="51" t="e">
        <v>#N/A</v>
      </c>
      <c r="W62" s="51" t="e">
        <v>#N/A</v>
      </c>
      <c r="X62" s="51" t="e">
        <v>#N/A</v>
      </c>
      <c r="Y62" s="51" t="e">
        <v>#N/A</v>
      </c>
      <c r="Z62" s="51" t="e">
        <v>#N/A</v>
      </c>
      <c r="AA62" s="51" t="e">
        <v>#N/A</v>
      </c>
      <c r="AB62" s="51" t="e">
        <v>#N/A</v>
      </c>
      <c r="AC62" s="51" t="e">
        <v>#N/A</v>
      </c>
      <c r="AD62" s="51" t="e">
        <v>#N/A</v>
      </c>
      <c r="AE62" s="51" t="e">
        <v>#N/A</v>
      </c>
      <c r="AF62" s="2" t="s">
        <v>105</v>
      </c>
      <c r="AG62" s="2"/>
      <c r="AH62" s="2"/>
    </row>
    <row r="63" spans="4:34" ht="20.100000000000001" customHeight="1" x14ac:dyDescent="0.25">
      <c r="D63" s="50" t="s">
        <v>143</v>
      </c>
      <c r="E63" s="50" t="s">
        <v>102</v>
      </c>
      <c r="F63" s="50" t="s">
        <v>101</v>
      </c>
      <c r="G63" s="50" t="s">
        <v>124</v>
      </c>
      <c r="H63" s="50" t="s">
        <v>125</v>
      </c>
      <c r="I63" s="50" t="s">
        <v>126</v>
      </c>
      <c r="J63" s="50" t="s">
        <v>127</v>
      </c>
      <c r="K63" s="50" t="s">
        <v>128</v>
      </c>
      <c r="L63" s="50" t="s">
        <v>129</v>
      </c>
      <c r="M63" s="50" t="s">
        <v>130</v>
      </c>
      <c r="N63" s="50" t="s">
        <v>131</v>
      </c>
      <c r="U63" s="51" t="str">
        <v>April 2024</v>
      </c>
      <c r="V63" s="51" t="e">
        <v>#N/A</v>
      </c>
      <c r="W63" s="51" t="e">
        <v>#N/A</v>
      </c>
      <c r="X63" s="51" t="e">
        <v>#N/A</v>
      </c>
      <c r="Y63" s="51" t="e">
        <v>#N/A</v>
      </c>
      <c r="Z63" s="51" t="e">
        <v>#N/A</v>
      </c>
      <c r="AA63" s="51" t="e">
        <v>#N/A</v>
      </c>
      <c r="AB63" s="51" t="e">
        <v>#N/A</v>
      </c>
      <c r="AC63" s="51" t="e">
        <v>#N/A</v>
      </c>
      <c r="AD63" s="51" t="e">
        <v>#N/A</v>
      </c>
      <c r="AE63" s="51" t="e">
        <v>#N/A</v>
      </c>
      <c r="AF63" s="2" t="s">
        <v>105</v>
      </c>
      <c r="AG63" s="2"/>
      <c r="AH63" s="2"/>
    </row>
    <row r="64" spans="4:34" ht="20.100000000000001" customHeight="1" x14ac:dyDescent="0.25">
      <c r="D64" s="51" t="s">
        <v>132</v>
      </c>
      <c r="E64" s="51" t="e" cm="1">
        <f t="array" ref="E64">EntericMethane_PastureBeef_Equations.VEERG_3_2_1_1__3_FeedIntakeForGrazingBeef(E48,E56,G26)</f>
        <v>#N/A</v>
      </c>
      <c r="F64" s="51" t="e" cm="1">
        <f t="array" ref="F64">EntericMethane_PastureBeef_Equations.VEERG_3_2_1_1__3_FeedIntakeForGrazingBeef(F48,F56,H26)</f>
        <v>#N/A</v>
      </c>
      <c r="G64" s="51" t="e" cm="1">
        <f t="array" ref="G64">EntericMethane_PastureBeef_Equations.VEERG_3_2_1_1__3_FeedIntakeForGrazingBeef(G48,G56,I26)</f>
        <v>#N/A</v>
      </c>
      <c r="H64" s="51" t="e" cm="1">
        <f t="array" ref="H64">EntericMethane_PastureBeef_Equations.VEERG_3_2_1_1__3_FeedIntakeForGrazingBeef(H48,H56,J26)</f>
        <v>#N/A</v>
      </c>
      <c r="I64" s="51" t="e" cm="1">
        <f t="array" ref="I64">EntericMethane_PastureBeef_Equations.VEERG_3_2_1_1__3_FeedIntakeForGrazingBeef(I48,I56,K26)</f>
        <v>#N/A</v>
      </c>
      <c r="J64" s="51" t="e" cm="1">
        <f t="array" ref="J64">EntericMethane_PastureBeef_Equations.VEERG_3_2_1_1__3_FeedIntakeForGrazingBeef(J48,J56,L26)</f>
        <v>#N/A</v>
      </c>
      <c r="K64" s="51" t="e" cm="1">
        <f t="array" ref="K64">EntericMethane_PastureBeef_Equations.VEERG_3_2_1_1__3_FeedIntakeForGrazingBeef(K48,K56,M26)</f>
        <v>#N/A</v>
      </c>
      <c r="L64" s="51" t="e" cm="1">
        <f t="array" ref="L64">EntericMethane_PastureBeef_Equations.VEERG_3_2_1_1__3_FeedIntakeForGrazingBeef(L48,L56,N26)</f>
        <v>#N/A</v>
      </c>
      <c r="M64" s="51" t="e" cm="1">
        <f t="array" ref="M64">EntericMethane_PastureBeef_Equations.VEERG_3_2_1_1__3_FeedIntakeForGrazingBeef(M48,M56,O26)</f>
        <v>#N/A</v>
      </c>
      <c r="N64" s="51" t="e" cm="1">
        <f t="array" ref="N64">EntericMethane_PastureBeef_Equations.VEERG_3_2_1_1__3_FeedIntakeForGrazingBeef(N48,N56,P26)</f>
        <v>#N/A</v>
      </c>
      <c r="O64" s="2" t="str">
        <f>$E$39</f>
        <v>kg DM/head/day</v>
      </c>
      <c r="P64" s="2"/>
      <c r="Q64" s="2"/>
      <c r="U64" s="51" t="str">
        <v>May 2024</v>
      </c>
      <c r="V64" s="51" t="e">
        <v>#N/A</v>
      </c>
      <c r="W64" s="51" t="e">
        <v>#N/A</v>
      </c>
      <c r="X64" s="51" t="e">
        <v>#N/A</v>
      </c>
      <c r="Y64" s="51" t="e">
        <v>#N/A</v>
      </c>
      <c r="Z64" s="51" t="e">
        <v>#N/A</v>
      </c>
      <c r="AA64" s="51" t="e">
        <v>#N/A</v>
      </c>
      <c r="AB64" s="51" t="e">
        <v>#N/A</v>
      </c>
      <c r="AC64" s="51" t="e">
        <v>#N/A</v>
      </c>
      <c r="AD64" s="51" t="e">
        <v>#N/A</v>
      </c>
      <c r="AE64" s="51" t="e">
        <v>#N/A</v>
      </c>
      <c r="AF64" s="2" t="s">
        <v>105</v>
      </c>
    </row>
    <row r="65" spans="3:34" ht="20.100000000000001" customHeight="1" x14ac:dyDescent="0.25">
      <c r="D65" s="51" t="s">
        <v>133</v>
      </c>
      <c r="E65" s="51" t="e" cm="1">
        <f t="array" ref="E65">EntericMethane_PastureBeef_Equations.VEERG_3_2_1_1__3_FeedIntakeForGrazingBeef(E49,E57,G27)</f>
        <v>#N/A</v>
      </c>
      <c r="F65" s="51" t="e" cm="1">
        <f t="array" ref="F65">EntericMethane_PastureBeef_Equations.VEERG_3_2_1_1__3_FeedIntakeForGrazingBeef(F49,F57,H27)</f>
        <v>#N/A</v>
      </c>
      <c r="G65" s="51" t="e" cm="1">
        <f t="array" ref="G65">EntericMethane_PastureBeef_Equations.VEERG_3_2_1_1__3_FeedIntakeForGrazingBeef(G49,G57,I27)</f>
        <v>#N/A</v>
      </c>
      <c r="H65" s="51" t="e" cm="1">
        <f t="array" ref="H65">EntericMethane_PastureBeef_Equations.VEERG_3_2_1_1__3_FeedIntakeForGrazingBeef(H49,H57,J27)</f>
        <v>#N/A</v>
      </c>
      <c r="I65" s="51" t="e" cm="1">
        <f t="array" ref="I65">EntericMethane_PastureBeef_Equations.VEERG_3_2_1_1__3_FeedIntakeForGrazingBeef(I49,I57,K27)</f>
        <v>#N/A</v>
      </c>
      <c r="J65" s="51" t="e" cm="1">
        <f t="array" ref="J65">EntericMethane_PastureBeef_Equations.VEERG_3_2_1_1__3_FeedIntakeForGrazingBeef(J49,J57,L27)</f>
        <v>#N/A</v>
      </c>
      <c r="K65" s="51" t="e" cm="1">
        <f t="array" ref="K65">EntericMethane_PastureBeef_Equations.VEERG_3_2_1_1__3_FeedIntakeForGrazingBeef(K49,K57,M27)</f>
        <v>#N/A</v>
      </c>
      <c r="L65" s="51" t="e" cm="1">
        <f t="array" ref="L65">EntericMethane_PastureBeef_Equations.VEERG_3_2_1_1__3_FeedIntakeForGrazingBeef(L49,L57,N27)</f>
        <v>#N/A</v>
      </c>
      <c r="M65" s="51" t="e" cm="1">
        <f t="array" ref="M65">EntericMethane_PastureBeef_Equations.VEERG_3_2_1_1__3_FeedIntakeForGrazingBeef(M49,M57,O27)</f>
        <v>#N/A</v>
      </c>
      <c r="N65" s="51" t="e" cm="1">
        <f t="array" ref="N65">EntericMethane_PastureBeef_Equations.VEERG_3_2_1_1__3_FeedIntakeForGrazingBeef(N49,N57,P27)</f>
        <v>#N/A</v>
      </c>
      <c r="O65" s="2" t="str">
        <f>$E$39</f>
        <v>kg DM/head/day</v>
      </c>
      <c r="P65" s="2"/>
      <c r="Q65" s="2"/>
      <c r="U65" s="51" t="str">
        <v>June 2024</v>
      </c>
      <c r="V65" s="51" t="e">
        <v>#N/A</v>
      </c>
      <c r="W65" s="51" t="e">
        <v>#N/A</v>
      </c>
      <c r="X65" s="51" t="e">
        <v>#N/A</v>
      </c>
      <c r="Y65" s="51" t="e">
        <v>#N/A</v>
      </c>
      <c r="Z65" s="51" t="e">
        <v>#N/A</v>
      </c>
      <c r="AA65" s="51" t="e">
        <v>#N/A</v>
      </c>
      <c r="AB65" s="51" t="e">
        <v>#N/A</v>
      </c>
      <c r="AC65" s="51" t="e">
        <v>#N/A</v>
      </c>
      <c r="AD65" s="51" t="e">
        <v>#N/A</v>
      </c>
      <c r="AE65" s="51" t="e">
        <v>#N/A</v>
      </c>
      <c r="AF65" s="2" t="s">
        <v>105</v>
      </c>
    </row>
    <row r="66" spans="3:34" ht="20.100000000000001" customHeight="1" x14ac:dyDescent="0.25">
      <c r="D66" s="51" t="s">
        <v>134</v>
      </c>
      <c r="E66" s="51" t="e" cm="1">
        <f t="array" ref="E66">EntericMethane_PastureBeef_Equations.VEERG_3_2_1_1__3_FeedIntakeForGrazingBeef(E50,E58,G28)</f>
        <v>#N/A</v>
      </c>
      <c r="F66" s="51" t="e" cm="1">
        <f t="array" ref="F66">EntericMethane_PastureBeef_Equations.VEERG_3_2_1_1__3_FeedIntakeForGrazingBeef(F50,F58,H28)</f>
        <v>#N/A</v>
      </c>
      <c r="G66" s="51" t="e" cm="1">
        <f t="array" ref="G66">EntericMethane_PastureBeef_Equations.VEERG_3_2_1_1__3_FeedIntakeForGrazingBeef(G50,G58,I28)</f>
        <v>#N/A</v>
      </c>
      <c r="H66" s="51" t="e" cm="1">
        <f t="array" ref="H66">EntericMethane_PastureBeef_Equations.VEERG_3_2_1_1__3_FeedIntakeForGrazingBeef(H50,H58,J28)</f>
        <v>#N/A</v>
      </c>
      <c r="I66" s="51" t="e" cm="1">
        <f t="array" ref="I66">EntericMethane_PastureBeef_Equations.VEERG_3_2_1_1__3_FeedIntakeForGrazingBeef(I50,I58,K28)</f>
        <v>#N/A</v>
      </c>
      <c r="J66" s="51" t="e" cm="1">
        <f t="array" ref="J66">EntericMethane_PastureBeef_Equations.VEERG_3_2_1_1__3_FeedIntakeForGrazingBeef(J50,J58,L28)</f>
        <v>#N/A</v>
      </c>
      <c r="K66" s="51" t="e" cm="1">
        <f t="array" ref="K66">EntericMethane_PastureBeef_Equations.VEERG_3_2_1_1__3_FeedIntakeForGrazingBeef(K50,K58,M28)</f>
        <v>#N/A</v>
      </c>
      <c r="L66" s="51" t="e" cm="1">
        <f t="array" ref="L66">EntericMethane_PastureBeef_Equations.VEERG_3_2_1_1__3_FeedIntakeForGrazingBeef(L50,L58,N28)</f>
        <v>#N/A</v>
      </c>
      <c r="M66" s="51" t="e" cm="1">
        <f t="array" ref="M66">EntericMethane_PastureBeef_Equations.VEERG_3_2_1_1__3_FeedIntakeForGrazingBeef(M50,M58,O28)</f>
        <v>#N/A</v>
      </c>
      <c r="N66" s="51" t="e" cm="1">
        <f t="array" ref="N66">EntericMethane_PastureBeef_Equations.VEERG_3_2_1_1__3_FeedIntakeForGrazingBeef(N50,N58,P28)</f>
        <v>#N/A</v>
      </c>
      <c r="O66" s="2" t="str">
        <f>$E$39</f>
        <v>kg DM/head/day</v>
      </c>
      <c r="P66" s="2"/>
      <c r="Q66" s="2"/>
      <c r="U66" s="51" t="str">
        <v>July 2024</v>
      </c>
      <c r="V66" s="51" t="e">
        <v>#N/A</v>
      </c>
      <c r="W66" s="51" t="e">
        <v>#N/A</v>
      </c>
      <c r="X66" s="51" t="e">
        <v>#N/A</v>
      </c>
      <c r="Y66" s="51" t="e">
        <v>#N/A</v>
      </c>
      <c r="Z66" s="51" t="e">
        <v>#N/A</v>
      </c>
      <c r="AA66" s="51" t="e">
        <v>#N/A</v>
      </c>
      <c r="AB66" s="51" t="e">
        <v>#N/A</v>
      </c>
      <c r="AC66" s="51" t="e">
        <v>#N/A</v>
      </c>
      <c r="AD66" s="51" t="e">
        <v>#N/A</v>
      </c>
      <c r="AE66" s="51" t="e">
        <v>#N/A</v>
      </c>
      <c r="AF66" s="2" t="s">
        <v>105</v>
      </c>
    </row>
    <row r="67" spans="3:34" ht="20.100000000000001" customHeight="1" x14ac:dyDescent="0.25">
      <c r="D67" s="51" t="s">
        <v>135</v>
      </c>
      <c r="E67" s="51" t="e" cm="1">
        <f t="array" ref="E67">EntericMethane_PastureBeef_Equations.VEERG_3_2_1_1__3_FeedIntakeForGrazingBeef(E51,E59,G29)</f>
        <v>#N/A</v>
      </c>
      <c r="F67" s="51" t="e" cm="1">
        <f t="array" ref="F67">EntericMethane_PastureBeef_Equations.VEERG_3_2_1_1__3_FeedIntakeForGrazingBeef(F51,F59,H29)</f>
        <v>#N/A</v>
      </c>
      <c r="G67" s="51" t="e" cm="1">
        <f t="array" ref="G67">EntericMethane_PastureBeef_Equations.VEERG_3_2_1_1__3_FeedIntakeForGrazingBeef(G51,G59,I29)</f>
        <v>#N/A</v>
      </c>
      <c r="H67" s="51" t="e" cm="1">
        <f t="array" ref="H67">EntericMethane_PastureBeef_Equations.VEERG_3_2_1_1__3_FeedIntakeForGrazingBeef(H51,H59,J29)</f>
        <v>#N/A</v>
      </c>
      <c r="I67" s="51" t="e" cm="1">
        <f t="array" ref="I67">EntericMethane_PastureBeef_Equations.VEERG_3_2_1_1__3_FeedIntakeForGrazingBeef(I51,I59,K29)</f>
        <v>#N/A</v>
      </c>
      <c r="J67" s="51" t="e" cm="1">
        <f t="array" ref="J67">EntericMethane_PastureBeef_Equations.VEERG_3_2_1_1__3_FeedIntakeForGrazingBeef(J51,J59,L29)</f>
        <v>#N/A</v>
      </c>
      <c r="K67" s="51" t="e" cm="1">
        <f t="array" ref="K67">EntericMethane_PastureBeef_Equations.VEERG_3_2_1_1__3_FeedIntakeForGrazingBeef(K51,K59,M29)</f>
        <v>#N/A</v>
      </c>
      <c r="L67" s="51" t="e" cm="1">
        <f t="array" ref="L67">EntericMethane_PastureBeef_Equations.VEERG_3_2_1_1__3_FeedIntakeForGrazingBeef(L51,L59,N29)</f>
        <v>#N/A</v>
      </c>
      <c r="M67" s="51" t="e" cm="1">
        <f t="array" ref="M67">EntericMethane_PastureBeef_Equations.VEERG_3_2_1_1__3_FeedIntakeForGrazingBeef(M51,M59,O29)</f>
        <v>#N/A</v>
      </c>
      <c r="N67" s="51" t="e" cm="1">
        <f t="array" ref="N67">EntericMethane_PastureBeef_Equations.VEERG_3_2_1_1__3_FeedIntakeForGrazingBeef(N51,N59,P29)</f>
        <v>#N/A</v>
      </c>
      <c r="O67" s="2" t="str">
        <f>$E$39</f>
        <v>kg DM/head/day</v>
      </c>
      <c r="P67" s="2"/>
      <c r="Q67" s="2"/>
      <c r="U67" s="51" t="str">
        <v>August 2024</v>
      </c>
      <c r="V67" s="51" t="e">
        <v>#N/A</v>
      </c>
      <c r="W67" s="51" t="e">
        <v>#N/A</v>
      </c>
      <c r="X67" s="51" t="e">
        <v>#N/A</v>
      </c>
      <c r="Y67" s="51" t="e">
        <v>#N/A</v>
      </c>
      <c r="Z67" s="51" t="e">
        <v>#N/A</v>
      </c>
      <c r="AA67" s="51" t="e">
        <v>#N/A</v>
      </c>
      <c r="AB67" s="51" t="e">
        <v>#N/A</v>
      </c>
      <c r="AC67" s="51" t="e">
        <v>#N/A</v>
      </c>
      <c r="AD67" s="51" t="e">
        <v>#N/A</v>
      </c>
      <c r="AE67" s="51" t="e">
        <v>#N/A</v>
      </c>
      <c r="AF67" s="2" t="s">
        <v>105</v>
      </c>
    </row>
    <row r="68" spans="3:34" ht="20.100000000000001" customHeight="1" x14ac:dyDescent="0.25">
      <c r="U68" s="51" t="str">
        <v>September 2024</v>
      </c>
      <c r="V68" s="51" t="e">
        <v>#N/A</v>
      </c>
      <c r="W68" s="51" t="e">
        <v>#N/A</v>
      </c>
      <c r="X68" s="51" t="e">
        <v>#N/A</v>
      </c>
      <c r="Y68" s="51" t="e">
        <v>#N/A</v>
      </c>
      <c r="Z68" s="51" t="e">
        <v>#N/A</v>
      </c>
      <c r="AA68" s="51" t="e">
        <v>#N/A</v>
      </c>
      <c r="AB68" s="51" t="e">
        <v>#N/A</v>
      </c>
      <c r="AC68" s="51" t="e">
        <v>#N/A</v>
      </c>
      <c r="AD68" s="51" t="e">
        <v>#N/A</v>
      </c>
      <c r="AE68" s="51" t="e">
        <v>#N/A</v>
      </c>
      <c r="AF68" s="2" t="s">
        <v>105</v>
      </c>
      <c r="AG68" s="2"/>
      <c r="AH68" s="2"/>
    </row>
    <row r="69" spans="3:34" ht="20.100000000000001" customHeight="1" x14ac:dyDescent="0.25">
      <c r="U69" s="51" t="str">
        <v>October 2024</v>
      </c>
      <c r="V69" s="51" t="e">
        <v>#N/A</v>
      </c>
      <c r="W69" s="51" t="e">
        <v>#N/A</v>
      </c>
      <c r="X69" s="51" t="e">
        <v>#N/A</v>
      </c>
      <c r="Y69" s="51" t="e">
        <v>#N/A</v>
      </c>
      <c r="Z69" s="51" t="e">
        <v>#N/A</v>
      </c>
      <c r="AA69" s="51" t="e">
        <v>#N/A</v>
      </c>
      <c r="AB69" s="51" t="e">
        <v>#N/A</v>
      </c>
      <c r="AC69" s="51" t="e">
        <v>#N/A</v>
      </c>
      <c r="AD69" s="51" t="e">
        <v>#N/A</v>
      </c>
      <c r="AE69" s="51" t="e">
        <v>#N/A</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v>November 2024</v>
      </c>
      <c r="V70" s="51" t="e">
        <v>#N/A</v>
      </c>
      <c r="W70" s="51" t="e">
        <v>#N/A</v>
      </c>
      <c r="X70" s="51" t="e">
        <v>#N/A</v>
      </c>
      <c r="Y70" s="51" t="e">
        <v>#N/A</v>
      </c>
      <c r="Z70" s="51" t="e">
        <v>#N/A</v>
      </c>
      <c r="AA70" s="51" t="e">
        <v>#N/A</v>
      </c>
      <c r="AB70" s="51" t="e">
        <v>#N/A</v>
      </c>
      <c r="AC70" s="51" t="e">
        <v>#N/A</v>
      </c>
      <c r="AD70" s="51" t="e">
        <v>#N/A</v>
      </c>
      <c r="AE70" s="51" t="e">
        <v>#N/A</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v>December 2024</v>
      </c>
      <c r="V71" s="51" t="e">
        <v>#N/A</v>
      </c>
      <c r="W71" s="51" t="e">
        <v>#N/A</v>
      </c>
      <c r="X71" s="51" t="e">
        <v>#N/A</v>
      </c>
      <c r="Y71" s="51" t="e">
        <v>#N/A</v>
      </c>
      <c r="Z71" s="51" t="e">
        <v>#N/A</v>
      </c>
      <c r="AA71" s="51" t="e">
        <v>#N/A</v>
      </c>
      <c r="AB71" s="51" t="e">
        <v>#N/A</v>
      </c>
      <c r="AC71" s="51" t="e">
        <v>#N/A</v>
      </c>
      <c r="AD71" s="51" t="e">
        <v>#N/A</v>
      </c>
      <c r="AE71" s="51" t="e">
        <v>#N/A</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214</v>
      </c>
      <c r="AG73" s="2"/>
      <c r="AH73" s="2"/>
    </row>
    <row r="74" spans="3:34" ht="20.100000000000001" customHeight="1" x14ac:dyDescent="0.25">
      <c r="U74" s="95" t="s">
        <v>111</v>
      </c>
      <c r="AG74" s="2"/>
      <c r="AH74" s="2"/>
    </row>
    <row r="75" spans="3:34" ht="20.100000000000001" customHeight="1" x14ac:dyDescent="0.25">
      <c r="U75" s="50" t="s">
        <v>103</v>
      </c>
      <c r="V75" s="50" t="s">
        <v>102</v>
      </c>
      <c r="W75" s="50" t="s">
        <v>101</v>
      </c>
      <c r="X75" s="50" t="s">
        <v>124</v>
      </c>
      <c r="Y75" s="50" t="s">
        <v>125</v>
      </c>
      <c r="Z75" s="50" t="s">
        <v>126</v>
      </c>
      <c r="AA75" s="50" t="s">
        <v>127</v>
      </c>
      <c r="AB75" s="50" t="s">
        <v>128</v>
      </c>
      <c r="AC75" s="50" t="s">
        <v>129</v>
      </c>
      <c r="AD75" s="50" t="s">
        <v>130</v>
      </c>
      <c r="AE75" s="50" t="s">
        <v>131</v>
      </c>
      <c r="AG75" s="2"/>
      <c r="AH75" s="2"/>
    </row>
    <row r="76" spans="3:34" ht="20.100000000000001" customHeight="1" x14ac:dyDescent="0.25">
      <c r="U76" s="51" t="str">
        <f>TEXT('Input - Site'!$E$12, "mmmm yyyy")</f>
        <v>January 2024</v>
      </c>
      <c r="V76" s="51" t="e" cm="1">
        <f t="array" ref="V76">EntericMethane_PastureBeef_Equations.VEERG_3_2_1_1__3_FeedIntakeForGrazingBeef(V44,V60,X28)</f>
        <v>#N/A</v>
      </c>
      <c r="W76" s="51" t="e" cm="1">
        <f t="array" ref="W76">EntericMethane_PastureBeef_Equations.VEERG_3_2_1_1__3_FeedIntakeForGrazingBeef(W44,W60,Y28)</f>
        <v>#N/A</v>
      </c>
      <c r="X76" s="51" t="e" cm="1">
        <f t="array" ref="X76">EntericMethane_PastureBeef_Equations.VEERG_3_2_1_1__3_FeedIntakeForGrazingBeef(X44,X60,Z28)</f>
        <v>#N/A</v>
      </c>
      <c r="Y76" s="51" t="e" cm="1">
        <f t="array" ref="Y76">EntericMethane_PastureBeef_Equations.VEERG_3_2_1_1__3_FeedIntakeForGrazingBeef(Y44,Y60,AA28)</f>
        <v>#N/A</v>
      </c>
      <c r="Z76" s="51" t="e" cm="1">
        <f t="array" ref="Z76">EntericMethane_PastureBeef_Equations.VEERG_3_2_1_1__3_FeedIntakeForGrazingBeef(Z44,Z60,AB28)</f>
        <v>#N/A</v>
      </c>
      <c r="AA76" s="51" t="e" cm="1">
        <f t="array" ref="AA76">EntericMethane_PastureBeef_Equations.VEERG_3_2_1_1__3_FeedIntakeForGrazingBeef(AA44,AA60,AC28)</f>
        <v>#N/A</v>
      </c>
      <c r="AB76" s="51" t="e" cm="1">
        <f t="array" ref="AB76">EntericMethane_PastureBeef_Equations.VEERG_3_2_1_1__3_FeedIntakeForGrazingBeef(AB44,AB60,AD28)</f>
        <v>#N/A</v>
      </c>
      <c r="AC76" s="51" t="e" cm="1">
        <f t="array" ref="AC76">EntericMethane_PastureBeef_Equations.VEERG_3_2_1_1__3_FeedIntakeForGrazingBeef(AC44,AC60,AE28)</f>
        <v>#N/A</v>
      </c>
      <c r="AD76" s="51" t="e" cm="1">
        <f t="array" ref="AD76">EntericMethane_PastureBeef_Equations.VEERG_3_2_1_1__3_FeedIntakeForGrazingBeef(AD44,AD60,AF28)</f>
        <v>#N/A</v>
      </c>
      <c r="AE76" s="51" t="e" cm="1">
        <f t="array" ref="AE76">EntericMethane_PastureBeef_Equations.VEERG_3_2_1_1__3_FeedIntakeForGrazingBeef(AE44,AE60,AG28)</f>
        <v>#N/A</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2024</v>
      </c>
      <c r="V77" s="51" t="e" cm="1">
        <f t="array" ref="V77">EntericMethane_PastureBeef_Equations.VEERG_3_2_1_1__3_FeedIntakeForGrazingBeef(V45,V61,X29)</f>
        <v>#N/A</v>
      </c>
      <c r="W77" s="51" t="e" cm="1">
        <f t="array" ref="W77">EntericMethane_PastureBeef_Equations.VEERG_3_2_1_1__3_FeedIntakeForGrazingBeef(W45,W61,Y29)</f>
        <v>#N/A</v>
      </c>
      <c r="X77" s="51" t="e" cm="1">
        <f t="array" ref="X77">EntericMethane_PastureBeef_Equations.VEERG_3_2_1_1__3_FeedIntakeForGrazingBeef(X45,X61,Z29)</f>
        <v>#N/A</v>
      </c>
      <c r="Y77" s="51" t="e" cm="1">
        <f t="array" ref="Y77">EntericMethane_PastureBeef_Equations.VEERG_3_2_1_1__3_FeedIntakeForGrazingBeef(Y45,Y61,AA29)</f>
        <v>#N/A</v>
      </c>
      <c r="Z77" s="51" t="e" cm="1">
        <f t="array" ref="Z77">EntericMethane_PastureBeef_Equations.VEERG_3_2_1_1__3_FeedIntakeForGrazingBeef(Z45,Z61,AB29)</f>
        <v>#N/A</v>
      </c>
      <c r="AA77" s="51" t="e" cm="1">
        <f t="array" ref="AA77">EntericMethane_PastureBeef_Equations.VEERG_3_2_1_1__3_FeedIntakeForGrazingBeef(AA45,AA61,AC29)</f>
        <v>#N/A</v>
      </c>
      <c r="AB77" s="51" t="e" cm="1">
        <f t="array" ref="AB77">EntericMethane_PastureBeef_Equations.VEERG_3_2_1_1__3_FeedIntakeForGrazingBeef(AB45,AB61,AD29)</f>
        <v>#N/A</v>
      </c>
      <c r="AC77" s="51" t="e" cm="1">
        <f t="array" ref="AC77">EntericMethane_PastureBeef_Equations.VEERG_3_2_1_1__3_FeedIntakeForGrazingBeef(AC45,AC61,AE29)</f>
        <v>#N/A</v>
      </c>
      <c r="AD77" s="51" t="e" cm="1">
        <f t="array" ref="AD77">EntericMethane_PastureBeef_Equations.VEERG_3_2_1_1__3_FeedIntakeForGrazingBeef(AD45,AD61,AF29)</f>
        <v>#N/A</v>
      </c>
      <c r="AE77" s="51" t="e" cm="1">
        <f t="array" ref="AE77">EntericMethane_PastureBeef_Equations.VEERG_3_2_1_1__3_FeedIntakeForGrazingBeef(AE45,AE61,AG29)</f>
        <v>#N/A</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2024</v>
      </c>
      <c r="V78" s="51" t="e" cm="1">
        <f t="array" ref="V78">EntericMethane_PastureBeef_Equations.VEERG_3_2_1_1__3_FeedIntakeForGrazingBeef(V46,V62,X30)</f>
        <v>#N/A</v>
      </c>
      <c r="W78" s="51" t="e" cm="1">
        <f t="array" ref="W78">EntericMethane_PastureBeef_Equations.VEERG_3_2_1_1__3_FeedIntakeForGrazingBeef(W46,W62,Y30)</f>
        <v>#N/A</v>
      </c>
      <c r="X78" s="51" t="e" cm="1">
        <f t="array" ref="X78">EntericMethane_PastureBeef_Equations.VEERG_3_2_1_1__3_FeedIntakeForGrazingBeef(X46,X62,Z30)</f>
        <v>#N/A</v>
      </c>
      <c r="Y78" s="51" t="e" cm="1">
        <f t="array" ref="Y78">EntericMethane_PastureBeef_Equations.VEERG_3_2_1_1__3_FeedIntakeForGrazingBeef(Y46,Y62,AA30)</f>
        <v>#N/A</v>
      </c>
      <c r="Z78" s="51" t="e" cm="1">
        <f t="array" ref="Z78">EntericMethane_PastureBeef_Equations.VEERG_3_2_1_1__3_FeedIntakeForGrazingBeef(Z46,Z62,AB30)</f>
        <v>#N/A</v>
      </c>
      <c r="AA78" s="51" t="e" cm="1">
        <f t="array" ref="AA78">EntericMethane_PastureBeef_Equations.VEERG_3_2_1_1__3_FeedIntakeForGrazingBeef(AA46,AA62,AC30)</f>
        <v>#N/A</v>
      </c>
      <c r="AB78" s="51" t="e" cm="1">
        <f t="array" ref="AB78">EntericMethane_PastureBeef_Equations.VEERG_3_2_1_1__3_FeedIntakeForGrazingBeef(AB46,AB62,AD30)</f>
        <v>#N/A</v>
      </c>
      <c r="AC78" s="51" t="e" cm="1">
        <f t="array" ref="AC78">EntericMethane_PastureBeef_Equations.VEERG_3_2_1_1__3_FeedIntakeForGrazingBeef(AC46,AC62,AE30)</f>
        <v>#N/A</v>
      </c>
      <c r="AD78" s="51" t="e" cm="1">
        <f t="array" ref="AD78">EntericMethane_PastureBeef_Equations.VEERG_3_2_1_1__3_FeedIntakeForGrazingBeef(AD46,AD62,AF30)</f>
        <v>#N/A</v>
      </c>
      <c r="AE78" s="51" t="e" cm="1">
        <f t="array" ref="AE78">EntericMethane_PastureBeef_Equations.VEERG_3_2_1_1__3_FeedIntakeForGrazingBeef(AE46,AE62,AG30)</f>
        <v>#N/A</v>
      </c>
      <c r="AF78" s="2" t="str">
        <f t="shared" si="2"/>
        <v>kg DM/head/day</v>
      </c>
      <c r="AG78" s="2"/>
      <c r="AH78" s="2"/>
    </row>
    <row r="79" spans="3:34" ht="20.100000000000001" customHeight="1" x14ac:dyDescent="0.25">
      <c r="U79" s="51" t="str">
        <f>TEXT(EDATE('Input - Site'!$E$12,3), "mmmm yyyy")</f>
        <v>April 2024</v>
      </c>
      <c r="V79" s="51" t="e" cm="1">
        <f t="array" ref="V79">EntericMethane_PastureBeef_Equations.VEERG_3_2_1_1__3_FeedIntakeForGrazingBeef(V47,V63,X31)</f>
        <v>#N/A</v>
      </c>
      <c r="W79" s="51" t="e" cm="1">
        <f t="array" ref="W79">EntericMethane_PastureBeef_Equations.VEERG_3_2_1_1__3_FeedIntakeForGrazingBeef(W47,W63,Y31)</f>
        <v>#N/A</v>
      </c>
      <c r="X79" s="51" t="e" cm="1">
        <f t="array" ref="X79">EntericMethane_PastureBeef_Equations.VEERG_3_2_1_1__3_FeedIntakeForGrazingBeef(X47,X63,Z31)</f>
        <v>#N/A</v>
      </c>
      <c r="Y79" s="51" t="e" cm="1">
        <f t="array" ref="Y79">EntericMethane_PastureBeef_Equations.VEERG_3_2_1_1__3_FeedIntakeForGrazingBeef(Y47,Y63,AA31)</f>
        <v>#N/A</v>
      </c>
      <c r="Z79" s="51" t="e" cm="1">
        <f t="array" ref="Z79">EntericMethane_PastureBeef_Equations.VEERG_3_2_1_1__3_FeedIntakeForGrazingBeef(Z47,Z63,AB31)</f>
        <v>#N/A</v>
      </c>
      <c r="AA79" s="51" t="e" cm="1">
        <f t="array" ref="AA79">EntericMethane_PastureBeef_Equations.VEERG_3_2_1_1__3_FeedIntakeForGrazingBeef(AA47,AA63,AC31)</f>
        <v>#N/A</v>
      </c>
      <c r="AB79" s="51" t="e" cm="1">
        <f t="array" ref="AB79">EntericMethane_PastureBeef_Equations.VEERG_3_2_1_1__3_FeedIntakeForGrazingBeef(AB47,AB63,AD31)</f>
        <v>#N/A</v>
      </c>
      <c r="AC79" s="51" t="e" cm="1">
        <f t="array" ref="AC79">EntericMethane_PastureBeef_Equations.VEERG_3_2_1_1__3_FeedIntakeForGrazingBeef(AC47,AC63,AE31)</f>
        <v>#N/A</v>
      </c>
      <c r="AD79" s="51" t="e" cm="1">
        <f t="array" ref="AD79">EntericMethane_PastureBeef_Equations.VEERG_3_2_1_1__3_FeedIntakeForGrazingBeef(AD47,AD63,AF31)</f>
        <v>#N/A</v>
      </c>
      <c r="AE79" s="51" t="e" cm="1">
        <f t="array" ref="AE79">EntericMethane_PastureBeef_Equations.VEERG_3_2_1_1__3_FeedIntakeForGrazingBeef(AE47,AE63,AG31)</f>
        <v>#N/A</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t="e" cm="1">
        <f t="array" ref="V80">EntericMethane_PastureBeef_Equations.VEERG_3_2_1_1__3_FeedIntakeForGrazingBeef(V48,V64,X32)</f>
        <v>#N/A</v>
      </c>
      <c r="W80" s="51" t="e" cm="1">
        <f t="array" ref="W80">EntericMethane_PastureBeef_Equations.VEERG_3_2_1_1__3_FeedIntakeForGrazingBeef(W48,W64,Y32)</f>
        <v>#N/A</v>
      </c>
      <c r="X80" s="51" t="e" cm="1">
        <f t="array" ref="X80">EntericMethane_PastureBeef_Equations.VEERG_3_2_1_1__3_FeedIntakeForGrazingBeef(X48,X64,Z32)</f>
        <v>#N/A</v>
      </c>
      <c r="Y80" s="51" t="e" cm="1">
        <f t="array" ref="Y80">EntericMethane_PastureBeef_Equations.VEERG_3_2_1_1__3_FeedIntakeForGrazingBeef(Y48,Y64,AA32)</f>
        <v>#N/A</v>
      </c>
      <c r="Z80" s="51" t="e" cm="1">
        <f t="array" ref="Z80">EntericMethane_PastureBeef_Equations.VEERG_3_2_1_1__3_FeedIntakeForGrazingBeef(Z48,Z64,AB32)</f>
        <v>#N/A</v>
      </c>
      <c r="AA80" s="51" t="e" cm="1">
        <f t="array" ref="AA80">EntericMethane_PastureBeef_Equations.VEERG_3_2_1_1__3_FeedIntakeForGrazingBeef(AA48,AA64,AC32)</f>
        <v>#N/A</v>
      </c>
      <c r="AB80" s="51" t="e" cm="1">
        <f t="array" ref="AB80">EntericMethane_PastureBeef_Equations.VEERG_3_2_1_1__3_FeedIntakeForGrazingBeef(AB48,AB64,AD32)</f>
        <v>#N/A</v>
      </c>
      <c r="AC80" s="51" t="e" cm="1">
        <f t="array" ref="AC80">EntericMethane_PastureBeef_Equations.VEERG_3_2_1_1__3_FeedIntakeForGrazingBeef(AC48,AC64,AE32)</f>
        <v>#N/A</v>
      </c>
      <c r="AD80" s="51" t="e" cm="1">
        <f t="array" ref="AD80">EntericMethane_PastureBeef_Equations.VEERG_3_2_1_1__3_FeedIntakeForGrazingBeef(AD48,AD64,AF32)</f>
        <v>#N/A</v>
      </c>
      <c r="AE80" s="51" t="e" cm="1">
        <f t="array" ref="AE80">EntericMethane_PastureBeef_Equations.VEERG_3_2_1_1__3_FeedIntakeForGrazingBeef(AE48,AE64,AG32)</f>
        <v>#N/A</v>
      </c>
      <c r="AF80" s="2" t="str">
        <f t="shared" si="2"/>
        <v>kg DM/head/day</v>
      </c>
    </row>
    <row r="81" spans="3:35" ht="20.100000000000001" customHeight="1" x14ac:dyDescent="0.25">
      <c r="U81" s="51" t="str">
        <f>TEXT(EDATE('Input - Site'!$E$12,5), "mmmm yyyy")</f>
        <v>June 2024</v>
      </c>
      <c r="V81" s="51" t="e" cm="1">
        <f t="array" ref="V81">EntericMethane_PastureBeef_Equations.VEERG_3_2_1_1__3_FeedIntakeForGrazingBeef(V49,V65,X33)</f>
        <v>#N/A</v>
      </c>
      <c r="W81" s="51" t="e" cm="1">
        <f t="array" ref="W81">EntericMethane_PastureBeef_Equations.VEERG_3_2_1_1__3_FeedIntakeForGrazingBeef(W49,W65,Y33)</f>
        <v>#N/A</v>
      </c>
      <c r="X81" s="51" t="e" cm="1">
        <f t="array" ref="X81">EntericMethane_PastureBeef_Equations.VEERG_3_2_1_1__3_FeedIntakeForGrazingBeef(X49,X65,Z33)</f>
        <v>#N/A</v>
      </c>
      <c r="Y81" s="51" t="e" cm="1">
        <f t="array" ref="Y81">EntericMethane_PastureBeef_Equations.VEERG_3_2_1_1__3_FeedIntakeForGrazingBeef(Y49,Y65,AA33)</f>
        <v>#N/A</v>
      </c>
      <c r="Z81" s="51" t="e" cm="1">
        <f t="array" ref="Z81">EntericMethane_PastureBeef_Equations.VEERG_3_2_1_1__3_FeedIntakeForGrazingBeef(Z49,Z65,AB33)</f>
        <v>#N/A</v>
      </c>
      <c r="AA81" s="51" t="e" cm="1">
        <f t="array" ref="AA81">EntericMethane_PastureBeef_Equations.VEERG_3_2_1_1__3_FeedIntakeForGrazingBeef(AA49,AA65,AC33)</f>
        <v>#N/A</v>
      </c>
      <c r="AB81" s="51" t="e" cm="1">
        <f t="array" ref="AB81">EntericMethane_PastureBeef_Equations.VEERG_3_2_1_1__3_FeedIntakeForGrazingBeef(AB49,AB65,AD33)</f>
        <v>#N/A</v>
      </c>
      <c r="AC81" s="51" t="e" cm="1">
        <f t="array" ref="AC81">EntericMethane_PastureBeef_Equations.VEERG_3_2_1_1__3_FeedIntakeForGrazingBeef(AC49,AC65,AE33)</f>
        <v>#N/A</v>
      </c>
      <c r="AD81" s="51" t="e" cm="1">
        <f t="array" ref="AD81">EntericMethane_PastureBeef_Equations.VEERG_3_2_1_1__3_FeedIntakeForGrazingBeef(AD49,AD65,AF33)</f>
        <v>#N/A</v>
      </c>
      <c r="AE81" s="51" t="e" cm="1">
        <f t="array" ref="AE81">EntericMethane_PastureBeef_Equations.VEERG_3_2_1_1__3_FeedIntakeForGrazingBeef(AE49,AE65,AG33)</f>
        <v>#N/A</v>
      </c>
      <c r="AF81" s="2" t="str">
        <f t="shared" si="2"/>
        <v>kg DM/head/day</v>
      </c>
    </row>
    <row r="82" spans="3:35" ht="20.100000000000001" customHeight="1" x14ac:dyDescent="0.25">
      <c r="D82" s="96" t="s">
        <v>252</v>
      </c>
      <c r="U82" s="51" t="str">
        <f>TEXT(EDATE('Input - Site'!$E$12,6), "mmmm yyyy")</f>
        <v>July 2024</v>
      </c>
      <c r="V82" s="51" t="e" cm="1">
        <f t="array" ref="V82">EntericMethane_PastureBeef_Equations.VEERG_3_2_1_1__3_FeedIntakeForGrazingBeef(V50,V66,X34)</f>
        <v>#N/A</v>
      </c>
      <c r="W82" s="51" t="e" cm="1">
        <f t="array" ref="W82">EntericMethane_PastureBeef_Equations.VEERG_3_2_1_1__3_FeedIntakeForGrazingBeef(W50,W66,Y34)</f>
        <v>#N/A</v>
      </c>
      <c r="X82" s="51" t="e" cm="1">
        <f t="array" ref="X82">EntericMethane_PastureBeef_Equations.VEERG_3_2_1_1__3_FeedIntakeForGrazingBeef(X50,X66,Z34)</f>
        <v>#N/A</v>
      </c>
      <c r="Y82" s="51" t="e" cm="1">
        <f t="array" ref="Y82">EntericMethane_PastureBeef_Equations.VEERG_3_2_1_1__3_FeedIntakeForGrazingBeef(Y50,Y66,AA34)</f>
        <v>#N/A</v>
      </c>
      <c r="Z82" s="51" t="e" cm="1">
        <f t="array" ref="Z82">EntericMethane_PastureBeef_Equations.VEERG_3_2_1_1__3_FeedIntakeForGrazingBeef(Z50,Z66,AB34)</f>
        <v>#N/A</v>
      </c>
      <c r="AA82" s="51" t="e" cm="1">
        <f t="array" ref="AA82">EntericMethane_PastureBeef_Equations.VEERG_3_2_1_1__3_FeedIntakeForGrazingBeef(AA50,AA66,AC34)</f>
        <v>#N/A</v>
      </c>
      <c r="AB82" s="51" t="e" cm="1">
        <f t="array" ref="AB82">EntericMethane_PastureBeef_Equations.VEERG_3_2_1_1__3_FeedIntakeForGrazingBeef(AB50,AB66,AD34)</f>
        <v>#N/A</v>
      </c>
      <c r="AC82" s="51" t="e" cm="1">
        <f t="array" ref="AC82">EntericMethane_PastureBeef_Equations.VEERG_3_2_1_1__3_FeedIntakeForGrazingBeef(AC50,AC66,AE34)</f>
        <v>#N/A</v>
      </c>
      <c r="AD82" s="51" t="e" cm="1">
        <f t="array" ref="AD82">EntericMethane_PastureBeef_Equations.VEERG_3_2_1_1__3_FeedIntakeForGrazingBeef(AD50,AD66,AF34)</f>
        <v>#N/A</v>
      </c>
      <c r="AE82" s="51" t="e" cm="1">
        <f t="array" ref="AE82">EntericMethane_PastureBeef_Equations.VEERG_3_2_1_1__3_FeedIntakeForGrazingBeef(AE50,AE66,AG34)</f>
        <v>#N/A</v>
      </c>
      <c r="AF82" s="2" t="str">
        <f t="shared" si="2"/>
        <v>kg DM/head/day</v>
      </c>
    </row>
    <row r="83" spans="3:35" ht="20.100000000000001" customHeight="1" x14ac:dyDescent="0.25">
      <c r="D83" s="95" t="s">
        <v>253</v>
      </c>
      <c r="U83" s="51" t="str">
        <f>TEXT(EDATE('Input - Site'!$E$12,7), "mmmm yyyy")</f>
        <v>August 2024</v>
      </c>
      <c r="V83" s="51" t="e" cm="1">
        <f t="array" ref="V83">EntericMethane_PastureBeef_Equations.VEERG_3_2_1_1__3_FeedIntakeForGrazingBeef(V51,V67,X35)</f>
        <v>#N/A</v>
      </c>
      <c r="W83" s="51" t="e" cm="1">
        <f t="array" ref="W83">EntericMethane_PastureBeef_Equations.VEERG_3_2_1_1__3_FeedIntakeForGrazingBeef(W51,W67,Y35)</f>
        <v>#N/A</v>
      </c>
      <c r="X83" s="51" t="e" cm="1">
        <f t="array" ref="X83">EntericMethane_PastureBeef_Equations.VEERG_3_2_1_1__3_FeedIntakeForGrazingBeef(X51,X67,Z35)</f>
        <v>#N/A</v>
      </c>
      <c r="Y83" s="51" t="e" cm="1">
        <f t="array" ref="Y83">EntericMethane_PastureBeef_Equations.VEERG_3_2_1_1__3_FeedIntakeForGrazingBeef(Y51,Y67,AA35)</f>
        <v>#N/A</v>
      </c>
      <c r="Z83" s="51" t="e" cm="1">
        <f t="array" ref="Z83">EntericMethane_PastureBeef_Equations.VEERG_3_2_1_1__3_FeedIntakeForGrazingBeef(Z51,Z67,AB35)</f>
        <v>#N/A</v>
      </c>
      <c r="AA83" s="51" t="e" cm="1">
        <f t="array" ref="AA83">EntericMethane_PastureBeef_Equations.VEERG_3_2_1_1__3_FeedIntakeForGrazingBeef(AA51,AA67,AC35)</f>
        <v>#N/A</v>
      </c>
      <c r="AB83" s="51" t="e" cm="1">
        <f t="array" ref="AB83">EntericMethane_PastureBeef_Equations.VEERG_3_2_1_1__3_FeedIntakeForGrazingBeef(AB51,AB67,AD35)</f>
        <v>#N/A</v>
      </c>
      <c r="AC83" s="51" t="e" cm="1">
        <f t="array" ref="AC83">EntericMethane_PastureBeef_Equations.VEERG_3_2_1_1__3_FeedIntakeForGrazingBeef(AC51,AC67,AE35)</f>
        <v>#N/A</v>
      </c>
      <c r="AD83" s="51" t="e" cm="1">
        <f t="array" ref="AD83">EntericMethane_PastureBeef_Equations.VEERG_3_2_1_1__3_FeedIntakeForGrazingBeef(AD51,AD67,AF35)</f>
        <v>#N/A</v>
      </c>
      <c r="AE83" s="51" t="e" cm="1">
        <f t="array" ref="AE83">EntericMethane_PastureBeef_Equations.VEERG_3_2_1_1__3_FeedIntakeForGrazingBeef(AE51,AE67,AG35)</f>
        <v>#N/A</v>
      </c>
      <c r="AF83" s="2" t="str">
        <f t="shared" si="2"/>
        <v>kg DM/head/day</v>
      </c>
    </row>
    <row r="84" spans="3:35" ht="20.100000000000001" customHeight="1" x14ac:dyDescent="0.25">
      <c r="D84" s="50" t="s">
        <v>143</v>
      </c>
      <c r="E84" s="50" t="s">
        <v>102</v>
      </c>
      <c r="F84" s="50" t="s">
        <v>101</v>
      </c>
      <c r="G84" s="50" t="s">
        <v>124</v>
      </c>
      <c r="H84" s="50" t="s">
        <v>125</v>
      </c>
      <c r="I84" s="50" t="s">
        <v>126</v>
      </c>
      <c r="J84" s="50" t="s">
        <v>127</v>
      </c>
      <c r="K84" s="50" t="s">
        <v>128</v>
      </c>
      <c r="L84" s="50" t="s">
        <v>129</v>
      </c>
      <c r="M84" s="50" t="s">
        <v>130</v>
      </c>
      <c r="N84" s="50" t="s">
        <v>131</v>
      </c>
      <c r="U84" s="51" t="str">
        <f>TEXT(EDATE('Input - Site'!$E$12,8), "mmmm yyyy")</f>
        <v>September 2024</v>
      </c>
      <c r="V84" s="51" t="e" cm="1">
        <f t="array" ref="V84">EntericMethane_PastureBeef_Equations.VEERG_3_2_1_1__3_FeedIntakeForGrazingBeef(V52,V68,X36)</f>
        <v>#N/A</v>
      </c>
      <c r="W84" s="51" t="e" cm="1">
        <f t="array" ref="W84">EntericMethane_PastureBeef_Equations.VEERG_3_2_1_1__3_FeedIntakeForGrazingBeef(W52,W68,Y36)</f>
        <v>#N/A</v>
      </c>
      <c r="X84" s="51" t="e" cm="1">
        <f t="array" ref="X84">EntericMethane_PastureBeef_Equations.VEERG_3_2_1_1__3_FeedIntakeForGrazingBeef(X52,X68,Z36)</f>
        <v>#N/A</v>
      </c>
      <c r="Y84" s="51" t="e" cm="1">
        <f t="array" ref="Y84">EntericMethane_PastureBeef_Equations.VEERG_3_2_1_1__3_FeedIntakeForGrazingBeef(Y52,Y68,AA36)</f>
        <v>#N/A</v>
      </c>
      <c r="Z84" s="51" t="e" cm="1">
        <f t="array" ref="Z84">EntericMethane_PastureBeef_Equations.VEERG_3_2_1_1__3_FeedIntakeForGrazingBeef(Z52,Z68,AB36)</f>
        <v>#N/A</v>
      </c>
      <c r="AA84" s="51" t="e" cm="1">
        <f t="array" ref="AA84">EntericMethane_PastureBeef_Equations.VEERG_3_2_1_1__3_FeedIntakeForGrazingBeef(AA52,AA68,AC36)</f>
        <v>#N/A</v>
      </c>
      <c r="AB84" s="51" t="e" cm="1">
        <f t="array" ref="AB84">EntericMethane_PastureBeef_Equations.VEERG_3_2_1_1__3_FeedIntakeForGrazingBeef(AB52,AB68,AD36)</f>
        <v>#N/A</v>
      </c>
      <c r="AC84" s="51" t="e" cm="1">
        <f t="array" ref="AC84">EntericMethane_PastureBeef_Equations.VEERG_3_2_1_1__3_FeedIntakeForGrazingBeef(AC52,AC68,AE36)</f>
        <v>#N/A</v>
      </c>
      <c r="AD84" s="51" t="e" cm="1">
        <f t="array" ref="AD84">EntericMethane_PastureBeef_Equations.VEERG_3_2_1_1__3_FeedIntakeForGrazingBeef(AD52,AD68,AF36)</f>
        <v>#N/A</v>
      </c>
      <c r="AE84" s="51" t="e" cm="1">
        <f t="array" ref="AE84">EntericMethane_PastureBeef_Equations.VEERG_3_2_1_1__3_FeedIntakeForGrazingBeef(AE52,AE68,AG36)</f>
        <v>#N/A</v>
      </c>
      <c r="AF84" s="2" t="str">
        <f t="shared" si="2"/>
        <v>kg DM/head/day</v>
      </c>
      <c r="AG84" s="2"/>
      <c r="AH84" s="2"/>
    </row>
    <row r="85" spans="3:35" ht="20.100000000000001" customHeight="1" x14ac:dyDescent="0.25">
      <c r="D85" s="51" t="s">
        <v>132</v>
      </c>
      <c r="E85" s="51" t="e" cm="1">
        <f t="array" ref="E85">EntericMethane_PastureBeef_Equations.VEERG_3_2_1_1__2_DailyEntericMethaneProduction(E64)</f>
        <v>#N/A</v>
      </c>
      <c r="F85" s="51" t="e" cm="1">
        <f t="array" ref="F85">EntericMethane_PastureBeef_Equations.VEERG_3_2_1_1__2_DailyEntericMethaneProduction(F64)</f>
        <v>#N/A</v>
      </c>
      <c r="G85" s="51" t="e" cm="1">
        <f t="array" ref="G85">EntericMethane_PastureBeef_Equations.VEERG_3_2_1_1__2_DailyEntericMethaneProduction(G64)</f>
        <v>#N/A</v>
      </c>
      <c r="H85" s="51" t="e" cm="1">
        <f t="array" ref="H85">EntericMethane_PastureBeef_Equations.VEERG_3_2_1_1__2_DailyEntericMethaneProduction(H64)</f>
        <v>#N/A</v>
      </c>
      <c r="I85" s="51" t="e" cm="1">
        <f t="array" ref="I85">EntericMethane_PastureBeef_Equations.VEERG_3_2_1_1__2_DailyEntericMethaneProduction(I64)</f>
        <v>#N/A</v>
      </c>
      <c r="J85" s="51" t="e" cm="1">
        <f t="array" ref="J85">EntericMethane_PastureBeef_Equations.VEERG_3_2_1_1__2_DailyEntericMethaneProduction(J64)</f>
        <v>#N/A</v>
      </c>
      <c r="K85" s="51" t="e" cm="1">
        <f t="array" ref="K85">EntericMethane_PastureBeef_Equations.VEERG_3_2_1_1__2_DailyEntericMethaneProduction(K64)</f>
        <v>#N/A</v>
      </c>
      <c r="L85" s="51" t="e" cm="1">
        <f t="array" ref="L85">EntericMethane_PastureBeef_Equations.VEERG_3_2_1_1__2_DailyEntericMethaneProduction(L64)</f>
        <v>#N/A</v>
      </c>
      <c r="M85" s="51" t="e" cm="1">
        <f t="array" ref="M85">EntericMethane_PastureBeef_Equations.VEERG_3_2_1_1__2_DailyEntericMethaneProduction(M64)</f>
        <v>#N/A</v>
      </c>
      <c r="N85" s="51" t="e" cm="1">
        <f t="array" ref="N85">EntericMethane_PastureBeef_Equations.VEERG_3_2_1_1__2_DailyEntericMethaneProduction(N64)</f>
        <v>#N/A</v>
      </c>
      <c r="O85" s="2" t="str">
        <f>G80</f>
        <v>kg DM/head/day</v>
      </c>
      <c r="P85" s="2"/>
      <c r="Q85" s="2"/>
      <c r="U85" s="51" t="str">
        <f>TEXT(EDATE('Input - Site'!$E$12,9), "mmmm yyyy")</f>
        <v>October 2024</v>
      </c>
      <c r="V85" s="51" t="e" cm="1">
        <f t="array" ref="V85">EntericMethane_PastureBeef_Equations.VEERG_3_2_1_1__3_FeedIntakeForGrazingBeef(V53,V69,X37)</f>
        <v>#N/A</v>
      </c>
      <c r="W85" s="51" t="e" cm="1">
        <f t="array" ref="W85">EntericMethane_PastureBeef_Equations.VEERG_3_2_1_1__3_FeedIntakeForGrazingBeef(W53,W69,Y37)</f>
        <v>#N/A</v>
      </c>
      <c r="X85" s="51" t="e" cm="1">
        <f t="array" ref="X85">EntericMethane_PastureBeef_Equations.VEERG_3_2_1_1__3_FeedIntakeForGrazingBeef(X53,X69,Z37)</f>
        <v>#N/A</v>
      </c>
      <c r="Y85" s="51" t="e" cm="1">
        <f t="array" ref="Y85">EntericMethane_PastureBeef_Equations.VEERG_3_2_1_1__3_FeedIntakeForGrazingBeef(Y53,Y69,AA37)</f>
        <v>#N/A</v>
      </c>
      <c r="Z85" s="51" t="e" cm="1">
        <f t="array" ref="Z85">EntericMethane_PastureBeef_Equations.VEERG_3_2_1_1__3_FeedIntakeForGrazingBeef(Z53,Z69,AB37)</f>
        <v>#N/A</v>
      </c>
      <c r="AA85" s="51" t="e" cm="1">
        <f t="array" ref="AA85">EntericMethane_PastureBeef_Equations.VEERG_3_2_1_1__3_FeedIntakeForGrazingBeef(AA53,AA69,AC37)</f>
        <v>#N/A</v>
      </c>
      <c r="AB85" s="51" t="e" cm="1">
        <f t="array" ref="AB85">EntericMethane_PastureBeef_Equations.VEERG_3_2_1_1__3_FeedIntakeForGrazingBeef(AB53,AB69,AD37)</f>
        <v>#N/A</v>
      </c>
      <c r="AC85" s="51" t="e" cm="1">
        <f t="array" ref="AC85">EntericMethane_PastureBeef_Equations.VEERG_3_2_1_1__3_FeedIntakeForGrazingBeef(AC53,AC69,AE37)</f>
        <v>#N/A</v>
      </c>
      <c r="AD85" s="51" t="e" cm="1">
        <f t="array" ref="AD85">EntericMethane_PastureBeef_Equations.VEERG_3_2_1_1__3_FeedIntakeForGrazingBeef(AD53,AD69,AF37)</f>
        <v>#N/A</v>
      </c>
      <c r="AE85" s="51" t="e" cm="1">
        <f t="array" ref="AE85">EntericMethane_PastureBeef_Equations.VEERG_3_2_1_1__3_FeedIntakeForGrazingBeef(AE53,AE69,AG37)</f>
        <v>#N/A</v>
      </c>
      <c r="AF85" s="2" t="str">
        <f t="shared" si="2"/>
        <v>kg DM/head/day</v>
      </c>
      <c r="AG85" s="2"/>
      <c r="AH85" s="2"/>
    </row>
    <row r="86" spans="3:35" ht="20.100000000000001" customHeight="1" x14ac:dyDescent="0.25">
      <c r="D86" s="51" t="s">
        <v>133</v>
      </c>
      <c r="E86" s="51" t="e" cm="1">
        <f t="array" ref="E86">EntericMethane_PastureBeef_Equations.VEERG_3_2_1_1__2_DailyEntericMethaneProduction(E65)</f>
        <v>#N/A</v>
      </c>
      <c r="F86" s="51" t="e" cm="1">
        <f t="array" ref="F86">EntericMethane_PastureBeef_Equations.VEERG_3_2_1_1__2_DailyEntericMethaneProduction(F65)</f>
        <v>#N/A</v>
      </c>
      <c r="G86" s="51" t="e" cm="1">
        <f t="array" ref="G86">EntericMethane_PastureBeef_Equations.VEERG_3_2_1_1__2_DailyEntericMethaneProduction(G65)</f>
        <v>#N/A</v>
      </c>
      <c r="H86" s="51" t="e" cm="1">
        <f t="array" ref="H86">EntericMethane_PastureBeef_Equations.VEERG_3_2_1_1__2_DailyEntericMethaneProduction(H65)</f>
        <v>#N/A</v>
      </c>
      <c r="I86" s="51" t="e" cm="1">
        <f t="array" ref="I86">EntericMethane_PastureBeef_Equations.VEERG_3_2_1_1__2_DailyEntericMethaneProduction(I65)</f>
        <v>#N/A</v>
      </c>
      <c r="J86" s="51" t="e" cm="1">
        <f t="array" ref="J86">EntericMethane_PastureBeef_Equations.VEERG_3_2_1_1__2_DailyEntericMethaneProduction(J65)</f>
        <v>#N/A</v>
      </c>
      <c r="K86" s="51" t="e" cm="1">
        <f t="array" ref="K86">EntericMethane_PastureBeef_Equations.VEERG_3_2_1_1__2_DailyEntericMethaneProduction(K65)</f>
        <v>#N/A</v>
      </c>
      <c r="L86" s="51" t="e" cm="1">
        <f t="array" ref="L86">EntericMethane_PastureBeef_Equations.VEERG_3_2_1_1__2_DailyEntericMethaneProduction(L65)</f>
        <v>#N/A</v>
      </c>
      <c r="M86" s="51" t="e" cm="1">
        <f t="array" ref="M86">EntericMethane_PastureBeef_Equations.VEERG_3_2_1_1__2_DailyEntericMethaneProduction(M65)</f>
        <v>#N/A</v>
      </c>
      <c r="N86" s="51" t="e" cm="1">
        <f t="array" ref="N86">EntericMethane_PastureBeef_Equations.VEERG_3_2_1_1__2_DailyEntericMethaneProduction(N65)</f>
        <v>#N/A</v>
      </c>
      <c r="O86" s="2"/>
      <c r="P86" s="2"/>
      <c r="Q86" s="2"/>
      <c r="U86" s="51" t="str">
        <f>TEXT(EDATE('Input - Site'!$E$12,10), "mmmm yyyy")</f>
        <v>November 2024</v>
      </c>
      <c r="V86" s="51" t="e" cm="1">
        <f t="array" ref="V86">EntericMethane_PastureBeef_Equations.VEERG_3_2_1_1__3_FeedIntakeForGrazingBeef(V54,V70,X38)</f>
        <v>#N/A</v>
      </c>
      <c r="W86" s="51" t="e" cm="1">
        <f t="array" ref="W86">EntericMethane_PastureBeef_Equations.VEERG_3_2_1_1__3_FeedIntakeForGrazingBeef(W54,W70,Y38)</f>
        <v>#N/A</v>
      </c>
      <c r="X86" s="51" t="e" cm="1">
        <f t="array" ref="X86">EntericMethane_PastureBeef_Equations.VEERG_3_2_1_1__3_FeedIntakeForGrazingBeef(X54,X70,Z38)</f>
        <v>#N/A</v>
      </c>
      <c r="Y86" s="51" t="e" cm="1">
        <f t="array" ref="Y86">EntericMethane_PastureBeef_Equations.VEERG_3_2_1_1__3_FeedIntakeForGrazingBeef(Y54,Y70,AA38)</f>
        <v>#N/A</v>
      </c>
      <c r="Z86" s="51" t="e" cm="1">
        <f t="array" ref="Z86">EntericMethane_PastureBeef_Equations.VEERG_3_2_1_1__3_FeedIntakeForGrazingBeef(Z54,Z70,AB38)</f>
        <v>#N/A</v>
      </c>
      <c r="AA86" s="51" t="e" cm="1">
        <f t="array" ref="AA86">EntericMethane_PastureBeef_Equations.VEERG_3_2_1_1__3_FeedIntakeForGrazingBeef(AA54,AA70,AC38)</f>
        <v>#N/A</v>
      </c>
      <c r="AB86" s="51" t="e" cm="1">
        <f t="array" ref="AB86">EntericMethane_PastureBeef_Equations.VEERG_3_2_1_1__3_FeedIntakeForGrazingBeef(AB54,AB70,AD38)</f>
        <v>#N/A</v>
      </c>
      <c r="AC86" s="51" t="e" cm="1">
        <f t="array" ref="AC86">EntericMethane_PastureBeef_Equations.VEERG_3_2_1_1__3_FeedIntakeForGrazingBeef(AC54,AC70,AE38)</f>
        <v>#N/A</v>
      </c>
      <c r="AD86" s="51" t="e" cm="1">
        <f t="array" ref="AD86">EntericMethane_PastureBeef_Equations.VEERG_3_2_1_1__3_FeedIntakeForGrazingBeef(AD54,AD70,AF38)</f>
        <v>#N/A</v>
      </c>
      <c r="AE86" s="51" t="e" cm="1">
        <f t="array" ref="AE86">EntericMethane_PastureBeef_Equations.VEERG_3_2_1_1__3_FeedIntakeForGrazingBeef(AE54,AE70,AG38)</f>
        <v>#N/A</v>
      </c>
      <c r="AF86" s="2" t="str">
        <f t="shared" si="2"/>
        <v>kg DM/head/day</v>
      </c>
      <c r="AG86" s="2"/>
      <c r="AH86" s="2"/>
    </row>
    <row r="87" spans="3:35" ht="20.100000000000001" customHeight="1" x14ac:dyDescent="0.25">
      <c r="D87" s="51" t="s">
        <v>134</v>
      </c>
      <c r="E87" s="51" t="e" cm="1">
        <f t="array" ref="E87">EntericMethane_PastureBeef_Equations.VEERG_3_2_1_1__2_DailyEntericMethaneProduction(E66)</f>
        <v>#N/A</v>
      </c>
      <c r="F87" s="51" t="e" cm="1">
        <f t="array" ref="F87">EntericMethane_PastureBeef_Equations.VEERG_3_2_1_1__2_DailyEntericMethaneProduction(F66)</f>
        <v>#N/A</v>
      </c>
      <c r="G87" s="51" t="e" cm="1">
        <f t="array" ref="G87">EntericMethane_PastureBeef_Equations.VEERG_3_2_1_1__2_DailyEntericMethaneProduction(G66)</f>
        <v>#N/A</v>
      </c>
      <c r="H87" s="51" t="e" cm="1">
        <f t="array" ref="H87">EntericMethane_PastureBeef_Equations.VEERG_3_2_1_1__2_DailyEntericMethaneProduction(H66)</f>
        <v>#N/A</v>
      </c>
      <c r="I87" s="51" t="e" cm="1">
        <f t="array" ref="I87">EntericMethane_PastureBeef_Equations.VEERG_3_2_1_1__2_DailyEntericMethaneProduction(I66)</f>
        <v>#N/A</v>
      </c>
      <c r="J87" s="51" t="e" cm="1">
        <f t="array" ref="J87">EntericMethane_PastureBeef_Equations.VEERG_3_2_1_1__2_DailyEntericMethaneProduction(J66)</f>
        <v>#N/A</v>
      </c>
      <c r="K87" s="51" t="e" cm="1">
        <f t="array" ref="K87">EntericMethane_PastureBeef_Equations.VEERG_3_2_1_1__2_DailyEntericMethaneProduction(K66)</f>
        <v>#N/A</v>
      </c>
      <c r="L87" s="51" t="e" cm="1">
        <f t="array" ref="L87">EntericMethane_PastureBeef_Equations.VEERG_3_2_1_1__2_DailyEntericMethaneProduction(L66)</f>
        <v>#N/A</v>
      </c>
      <c r="M87" s="51" t="e" cm="1">
        <f t="array" ref="M87">EntericMethane_PastureBeef_Equations.VEERG_3_2_1_1__2_DailyEntericMethaneProduction(M66)</f>
        <v>#N/A</v>
      </c>
      <c r="N87" s="51" t="e" cm="1">
        <f t="array" ref="N87">EntericMethane_PastureBeef_Equations.VEERG_3_2_1_1__2_DailyEntericMethaneProduction(N66)</f>
        <v>#N/A</v>
      </c>
      <c r="O87" s="2"/>
      <c r="P87" s="2"/>
      <c r="Q87" s="2"/>
      <c r="U87" s="51" t="str">
        <f>TEXT(EDATE('Input - Site'!$E$12,11), "mmmm yyyy")</f>
        <v>December 2024</v>
      </c>
      <c r="V87" s="51" t="e" cm="1">
        <f t="array" ref="V87">EntericMethane_PastureBeef_Equations.VEERG_3_2_1_1__3_FeedIntakeForGrazingBeef(V55,V71,X39)</f>
        <v>#N/A</v>
      </c>
      <c r="W87" s="51" t="e" cm="1">
        <f t="array" ref="W87">EntericMethane_PastureBeef_Equations.VEERG_3_2_1_1__3_FeedIntakeForGrazingBeef(W55,W71,Y39)</f>
        <v>#N/A</v>
      </c>
      <c r="X87" s="51" t="e" cm="1">
        <f t="array" ref="X87">EntericMethane_PastureBeef_Equations.VEERG_3_2_1_1__3_FeedIntakeForGrazingBeef(X55,X71,Z39)</f>
        <v>#N/A</v>
      </c>
      <c r="Y87" s="51" t="e" cm="1">
        <f t="array" ref="Y87">EntericMethane_PastureBeef_Equations.VEERG_3_2_1_1__3_FeedIntakeForGrazingBeef(Y55,Y71,AA39)</f>
        <v>#N/A</v>
      </c>
      <c r="Z87" s="51" t="e" cm="1">
        <f t="array" ref="Z87">EntericMethane_PastureBeef_Equations.VEERG_3_2_1_1__3_FeedIntakeForGrazingBeef(Z55,Z71,AB39)</f>
        <v>#N/A</v>
      </c>
      <c r="AA87" s="51" t="e" cm="1">
        <f t="array" ref="AA87">EntericMethane_PastureBeef_Equations.VEERG_3_2_1_1__3_FeedIntakeForGrazingBeef(AA55,AA71,AC39)</f>
        <v>#N/A</v>
      </c>
      <c r="AB87" s="51" t="e" cm="1">
        <f t="array" ref="AB87">EntericMethane_PastureBeef_Equations.VEERG_3_2_1_1__3_FeedIntakeForGrazingBeef(AB55,AB71,AD39)</f>
        <v>#N/A</v>
      </c>
      <c r="AC87" s="51" t="e" cm="1">
        <f t="array" ref="AC87">EntericMethane_PastureBeef_Equations.VEERG_3_2_1_1__3_FeedIntakeForGrazingBeef(AC55,AC71,AE39)</f>
        <v>#N/A</v>
      </c>
      <c r="AD87" s="51" t="e" cm="1">
        <f t="array" ref="AD87">EntericMethane_PastureBeef_Equations.VEERG_3_2_1_1__3_FeedIntakeForGrazingBeef(AD55,AD71,AF39)</f>
        <v>#N/A</v>
      </c>
      <c r="AE87" s="51" t="e" cm="1">
        <f t="array" ref="AE87">EntericMethane_PastureBeef_Equations.VEERG_3_2_1_1__3_FeedIntakeForGrazingBeef(AE55,AE71,AG39)</f>
        <v>#N/A</v>
      </c>
      <c r="AF87" s="2" t="str">
        <f t="shared" si="2"/>
        <v>kg DM/head/day</v>
      </c>
      <c r="AG87" s="2"/>
      <c r="AH87" s="2"/>
    </row>
    <row r="88" spans="3:35" ht="20.100000000000001" customHeight="1" x14ac:dyDescent="0.25">
      <c r="D88" s="51" t="s">
        <v>135</v>
      </c>
      <c r="E88" s="51" t="e" cm="1">
        <f t="array" ref="E88">EntericMethane_PastureBeef_Equations.VEERG_3_2_1_1__2_DailyEntericMethaneProduction(E67)</f>
        <v>#N/A</v>
      </c>
      <c r="F88" s="51" t="e" cm="1">
        <f t="array" ref="F88">EntericMethane_PastureBeef_Equations.VEERG_3_2_1_1__2_DailyEntericMethaneProduction(F67)</f>
        <v>#N/A</v>
      </c>
      <c r="G88" s="51" t="e" cm="1">
        <f t="array" ref="G88">EntericMethane_PastureBeef_Equations.VEERG_3_2_1_1__2_DailyEntericMethaneProduction(G67)</f>
        <v>#N/A</v>
      </c>
      <c r="H88" s="51" t="e" cm="1">
        <f t="array" ref="H88">EntericMethane_PastureBeef_Equations.VEERG_3_2_1_1__2_DailyEntericMethaneProduction(H67)</f>
        <v>#N/A</v>
      </c>
      <c r="I88" s="51" t="e" cm="1">
        <f t="array" ref="I88">EntericMethane_PastureBeef_Equations.VEERG_3_2_1_1__2_DailyEntericMethaneProduction(I67)</f>
        <v>#N/A</v>
      </c>
      <c r="J88" s="51" t="e" cm="1">
        <f t="array" ref="J88">EntericMethane_PastureBeef_Equations.VEERG_3_2_1_1__2_DailyEntericMethaneProduction(J67)</f>
        <v>#N/A</v>
      </c>
      <c r="K88" s="51" t="e" cm="1">
        <f t="array" ref="K88">EntericMethane_PastureBeef_Equations.VEERG_3_2_1_1__2_DailyEntericMethaneProduction(K67)</f>
        <v>#N/A</v>
      </c>
      <c r="L88" s="51" t="e" cm="1">
        <f t="array" ref="L88">EntericMethane_PastureBeef_Equations.VEERG_3_2_1_1__2_DailyEntericMethaneProduction(L67)</f>
        <v>#N/A</v>
      </c>
      <c r="M88" s="51" t="e" cm="1">
        <f t="array" ref="M88">EntericMethane_PastureBeef_Equations.VEERG_3_2_1_1__2_DailyEntericMethaneProduction(M67)</f>
        <v>#N/A</v>
      </c>
      <c r="N88" s="51" t="e" cm="1">
        <f t="array" ref="N88">EntericMethane_PastureBeef_Equations.VEERG_3_2_1_1__2_DailyEntericMethaneProduction(N67)</f>
        <v>#N/A</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258</v>
      </c>
    </row>
    <row r="95" spans="3:35" ht="20.100000000000001" customHeight="1" x14ac:dyDescent="0.25">
      <c r="U95" s="95" t="s">
        <v>259</v>
      </c>
    </row>
    <row r="96" spans="3:35" ht="20.100000000000001" customHeight="1" x14ac:dyDescent="0.25">
      <c r="U96" s="50" t="s">
        <v>103</v>
      </c>
      <c r="V96" s="50" t="s">
        <v>102</v>
      </c>
      <c r="W96" s="50" t="s">
        <v>101</v>
      </c>
      <c r="X96" s="50" t="s">
        <v>124</v>
      </c>
      <c r="Y96" s="50" t="s">
        <v>125</v>
      </c>
      <c r="Z96" s="50" t="s">
        <v>126</v>
      </c>
      <c r="AA96" s="50" t="s">
        <v>127</v>
      </c>
      <c r="AB96" s="50" t="s">
        <v>128</v>
      </c>
      <c r="AC96" s="50" t="s">
        <v>129</v>
      </c>
      <c r="AD96" s="50" t="s">
        <v>130</v>
      </c>
      <c r="AE96" s="50" t="s">
        <v>131</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2024</v>
      </c>
      <c r="V97" s="51" t="e" cm="1">
        <f t="array" ref="V97">EntericMethane_PastureBeef_Equations.VEERG_3_2_1_1__2_DailyEntericMethaneProduction(V76)</f>
        <v>#N/A</v>
      </c>
      <c r="W97" s="51" t="e" cm="1">
        <f t="array" ref="W97">EntericMethane_PastureBeef_Equations.VEERG_3_2_1_1__2_DailyEntericMethaneProduction(W76)</f>
        <v>#N/A</v>
      </c>
      <c r="X97" s="51" t="e" cm="1">
        <f t="array" ref="X97">EntericMethane_PastureBeef_Equations.VEERG_3_2_1_1__2_DailyEntericMethaneProduction(X76)</f>
        <v>#N/A</v>
      </c>
      <c r="Y97" s="51" t="e" cm="1">
        <f t="array" ref="Y97">EntericMethane_PastureBeef_Equations.VEERG_3_2_1_1__2_DailyEntericMethaneProduction(Y76)</f>
        <v>#N/A</v>
      </c>
      <c r="Z97" s="51" t="e" cm="1">
        <f t="array" ref="Z97">EntericMethane_PastureBeef_Equations.VEERG_3_2_1_1__2_DailyEntericMethaneProduction(Z76)</f>
        <v>#N/A</v>
      </c>
      <c r="AA97" s="51" t="e" cm="1">
        <f t="array" ref="AA97">EntericMethane_PastureBeef_Equations.VEERG_3_2_1_1__2_DailyEntericMethaneProduction(AA76)</f>
        <v>#N/A</v>
      </c>
      <c r="AB97" s="51" t="e" cm="1">
        <f t="array" ref="AB97">EntericMethane_PastureBeef_Equations.VEERG_3_2_1_1__2_DailyEntericMethaneProduction(AB76)</f>
        <v>#N/A</v>
      </c>
      <c r="AC97" s="51" t="e" cm="1">
        <f t="array" ref="AC97">EntericMethane_PastureBeef_Equations.VEERG_3_2_1_1__2_DailyEntericMethaneProduction(AC76)</f>
        <v>#N/A</v>
      </c>
      <c r="AD97" s="51" t="e" cm="1">
        <f t="array" ref="AD97">EntericMethane_PastureBeef_Equations.VEERG_3_2_1_1__2_DailyEntericMethaneProduction(AD76)</f>
        <v>#N/A</v>
      </c>
      <c r="AE97" s="51" t="e" cm="1">
        <f t="array" ref="AE97">EntericMethane_PastureBeef_Equations.VEERG_3_2_1_1__2_DailyEntericMethaneProduction(AE76)</f>
        <v>#N/A</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2024</v>
      </c>
      <c r="V98" s="51" t="e" cm="1">
        <f t="array" ref="V98">EntericMethane_PastureBeef_Equations.VEERG_3_2_1_1__2_DailyEntericMethaneProduction(V77)</f>
        <v>#N/A</v>
      </c>
      <c r="W98" s="51" t="e" cm="1">
        <f t="array" ref="W98">EntericMethane_PastureBeef_Equations.VEERG_3_2_1_1__2_DailyEntericMethaneProduction(W77)</f>
        <v>#N/A</v>
      </c>
      <c r="X98" s="51" t="e" cm="1">
        <f t="array" ref="X98">EntericMethane_PastureBeef_Equations.VEERG_3_2_1_1__2_DailyEntericMethaneProduction(X77)</f>
        <v>#N/A</v>
      </c>
      <c r="Y98" s="51" t="e" cm="1">
        <f t="array" ref="Y98">EntericMethane_PastureBeef_Equations.VEERG_3_2_1_1__2_DailyEntericMethaneProduction(Y77)</f>
        <v>#N/A</v>
      </c>
      <c r="Z98" s="51" t="e" cm="1">
        <f t="array" ref="Z98">EntericMethane_PastureBeef_Equations.VEERG_3_2_1_1__2_DailyEntericMethaneProduction(Z77)</f>
        <v>#N/A</v>
      </c>
      <c r="AA98" s="51" t="e" cm="1">
        <f t="array" ref="AA98">EntericMethane_PastureBeef_Equations.VEERG_3_2_1_1__2_DailyEntericMethaneProduction(AA77)</f>
        <v>#N/A</v>
      </c>
      <c r="AB98" s="51" t="e" cm="1">
        <f t="array" ref="AB98">EntericMethane_PastureBeef_Equations.VEERG_3_2_1_1__2_DailyEntericMethaneProduction(AB77)</f>
        <v>#N/A</v>
      </c>
      <c r="AC98" s="51" t="e" cm="1">
        <f t="array" ref="AC98">EntericMethane_PastureBeef_Equations.VEERG_3_2_1_1__2_DailyEntericMethaneProduction(AC77)</f>
        <v>#N/A</v>
      </c>
      <c r="AD98" s="51" t="e" cm="1">
        <f t="array" ref="AD98">EntericMethane_PastureBeef_Equations.VEERG_3_2_1_1__2_DailyEntericMethaneProduction(AD77)</f>
        <v>#N/A</v>
      </c>
      <c r="AE98" s="51" t="e" cm="1">
        <f t="array" ref="AE98">EntericMethane_PastureBeef_Equations.VEERG_3_2_1_1__2_DailyEntericMethaneProduction(AE77)</f>
        <v>#N/A</v>
      </c>
      <c r="AF98" s="2"/>
    </row>
    <row r="99" spans="4:35" ht="20.100000000000001" customHeight="1" x14ac:dyDescent="0.25">
      <c r="U99" s="51" t="str">
        <f>TEXT('Input - Site'!$E$12, "mmmm yyyy")</f>
        <v>January 2024</v>
      </c>
      <c r="V99" s="51" t="e" cm="1">
        <f t="array" ref="V99">EntericMethane_PastureBeef_Equations.VEERG_3_2_1_1__2_DailyEntericMethaneProduction(V78)</f>
        <v>#N/A</v>
      </c>
      <c r="W99" s="51" t="e" cm="1">
        <f t="array" ref="W99">EntericMethane_PastureBeef_Equations.VEERG_3_2_1_1__2_DailyEntericMethaneProduction(W78)</f>
        <v>#N/A</v>
      </c>
      <c r="X99" s="51" t="e" cm="1">
        <f t="array" ref="X99">EntericMethane_PastureBeef_Equations.VEERG_3_2_1_1__2_DailyEntericMethaneProduction(X78)</f>
        <v>#N/A</v>
      </c>
      <c r="Y99" s="51" t="e" cm="1">
        <f t="array" ref="Y99">EntericMethane_PastureBeef_Equations.VEERG_3_2_1_1__2_DailyEntericMethaneProduction(Y78)</f>
        <v>#N/A</v>
      </c>
      <c r="Z99" s="51" t="e" cm="1">
        <f t="array" ref="Z99">EntericMethane_PastureBeef_Equations.VEERG_3_2_1_1__2_DailyEntericMethaneProduction(Z78)</f>
        <v>#N/A</v>
      </c>
      <c r="AA99" s="51" t="e" cm="1">
        <f t="array" ref="AA99">EntericMethane_PastureBeef_Equations.VEERG_3_2_1_1__2_DailyEntericMethaneProduction(AA78)</f>
        <v>#N/A</v>
      </c>
      <c r="AB99" s="51" t="e" cm="1">
        <f t="array" ref="AB99">EntericMethane_PastureBeef_Equations.VEERG_3_2_1_1__2_DailyEntericMethaneProduction(AB78)</f>
        <v>#N/A</v>
      </c>
      <c r="AC99" s="51" t="e" cm="1">
        <f t="array" ref="AC99">EntericMethane_PastureBeef_Equations.VEERG_3_2_1_1__2_DailyEntericMethaneProduction(AC78)</f>
        <v>#N/A</v>
      </c>
      <c r="AD99" s="51" t="e" cm="1">
        <f t="array" ref="AD99">EntericMethane_PastureBeef_Equations.VEERG_3_2_1_1__2_DailyEntericMethaneProduction(AD78)</f>
        <v>#N/A</v>
      </c>
      <c r="AE99" s="51" t="e" cm="1">
        <f t="array" ref="AE99">EntericMethane_PastureBeef_Equations.VEERG_3_2_1_1__2_DailyEntericMethaneProduction(AE78)</f>
        <v>#N/A</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t="e" cm="1">
        <f t="array" ref="V100">EntericMethane_PastureBeef_Equations.VEERG_3_2_1_1__2_DailyEntericMethaneProduction(V79)</f>
        <v>#N/A</v>
      </c>
      <c r="W100" s="51" t="e" cm="1">
        <f t="array" ref="W100">EntericMethane_PastureBeef_Equations.VEERG_3_2_1_1__2_DailyEntericMethaneProduction(W79)</f>
        <v>#N/A</v>
      </c>
      <c r="X100" s="51" t="e" cm="1">
        <f t="array" ref="X100">EntericMethane_PastureBeef_Equations.VEERG_3_2_1_1__2_DailyEntericMethaneProduction(X79)</f>
        <v>#N/A</v>
      </c>
      <c r="Y100" s="51" t="e" cm="1">
        <f t="array" ref="Y100">EntericMethane_PastureBeef_Equations.VEERG_3_2_1_1__2_DailyEntericMethaneProduction(Y79)</f>
        <v>#N/A</v>
      </c>
      <c r="Z100" s="51" t="e" cm="1">
        <f t="array" ref="Z100">EntericMethane_PastureBeef_Equations.VEERG_3_2_1_1__2_DailyEntericMethaneProduction(Z79)</f>
        <v>#N/A</v>
      </c>
      <c r="AA100" s="51" t="e" cm="1">
        <f t="array" ref="AA100">EntericMethane_PastureBeef_Equations.VEERG_3_2_1_1__2_DailyEntericMethaneProduction(AA79)</f>
        <v>#N/A</v>
      </c>
      <c r="AB100" s="51" t="e" cm="1">
        <f t="array" ref="AB100">EntericMethane_PastureBeef_Equations.VEERG_3_2_1_1__2_DailyEntericMethaneProduction(AB79)</f>
        <v>#N/A</v>
      </c>
      <c r="AC100" s="51" t="e" cm="1">
        <f t="array" ref="AC100">EntericMethane_PastureBeef_Equations.VEERG_3_2_1_1__2_DailyEntericMethaneProduction(AC79)</f>
        <v>#N/A</v>
      </c>
      <c r="AD100" s="51" t="e" cm="1">
        <f t="array" ref="AD100">EntericMethane_PastureBeef_Equations.VEERG_3_2_1_1__2_DailyEntericMethaneProduction(AD79)</f>
        <v>#N/A</v>
      </c>
      <c r="AE100" s="51" t="e" cm="1">
        <f t="array" ref="AE100">EntericMethane_PastureBeef_Equations.VEERG_3_2_1_1__2_DailyEntericMethaneProduction(AE79)</f>
        <v>#N/A</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t="e" cm="1">
        <f t="array" ref="V101">EntericMethane_PastureBeef_Equations.VEERG_3_2_1_1__2_DailyEntericMethaneProduction(V80)</f>
        <v>#N/A</v>
      </c>
      <c r="W101" s="51" t="e" cm="1">
        <f t="array" ref="W101">EntericMethane_PastureBeef_Equations.VEERG_3_2_1_1__2_DailyEntericMethaneProduction(W80)</f>
        <v>#N/A</v>
      </c>
      <c r="X101" s="51" t="e" cm="1">
        <f t="array" ref="X101">EntericMethane_PastureBeef_Equations.VEERG_3_2_1_1__2_DailyEntericMethaneProduction(X80)</f>
        <v>#N/A</v>
      </c>
      <c r="Y101" s="51" t="e" cm="1">
        <f t="array" ref="Y101">EntericMethane_PastureBeef_Equations.VEERG_3_2_1_1__2_DailyEntericMethaneProduction(Y80)</f>
        <v>#N/A</v>
      </c>
      <c r="Z101" s="51" t="e" cm="1">
        <f t="array" ref="Z101">EntericMethane_PastureBeef_Equations.VEERG_3_2_1_1__2_DailyEntericMethaneProduction(Z80)</f>
        <v>#N/A</v>
      </c>
      <c r="AA101" s="51" t="e" cm="1">
        <f t="array" ref="AA101">EntericMethane_PastureBeef_Equations.VEERG_3_2_1_1__2_DailyEntericMethaneProduction(AA80)</f>
        <v>#N/A</v>
      </c>
      <c r="AB101" s="51" t="e" cm="1">
        <f t="array" ref="AB101">EntericMethane_PastureBeef_Equations.VEERG_3_2_1_1__2_DailyEntericMethaneProduction(AB80)</f>
        <v>#N/A</v>
      </c>
      <c r="AC101" s="51" t="e" cm="1">
        <f t="array" ref="AC101">EntericMethane_PastureBeef_Equations.VEERG_3_2_1_1__2_DailyEntericMethaneProduction(AC80)</f>
        <v>#N/A</v>
      </c>
      <c r="AD101" s="51" t="e" cm="1">
        <f t="array" ref="AD101">EntericMethane_PastureBeef_Equations.VEERG_3_2_1_1__2_DailyEntericMethaneProduction(AD80)</f>
        <v>#N/A</v>
      </c>
      <c r="AE101" s="51" t="e" cm="1">
        <f t="array" ref="AE101">EntericMethane_PastureBeef_Equations.VEERG_3_2_1_1__2_DailyEntericMethaneProduction(AE80)</f>
        <v>#N/A</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t="e" cm="1">
        <f t="array" ref="V102">EntericMethane_PastureBeef_Equations.VEERG_3_2_1_1__2_DailyEntericMethaneProduction(V81)</f>
        <v>#N/A</v>
      </c>
      <c r="W102" s="51" t="e" cm="1">
        <f t="array" ref="W102">EntericMethane_PastureBeef_Equations.VEERG_3_2_1_1__2_DailyEntericMethaneProduction(W81)</f>
        <v>#N/A</v>
      </c>
      <c r="X102" s="51" t="e" cm="1">
        <f t="array" ref="X102">EntericMethane_PastureBeef_Equations.VEERG_3_2_1_1__2_DailyEntericMethaneProduction(X81)</f>
        <v>#N/A</v>
      </c>
      <c r="Y102" s="51" t="e" cm="1">
        <f t="array" ref="Y102">EntericMethane_PastureBeef_Equations.VEERG_3_2_1_1__2_DailyEntericMethaneProduction(Y81)</f>
        <v>#N/A</v>
      </c>
      <c r="Z102" s="51" t="e" cm="1">
        <f t="array" ref="Z102">EntericMethane_PastureBeef_Equations.VEERG_3_2_1_1__2_DailyEntericMethaneProduction(Z81)</f>
        <v>#N/A</v>
      </c>
      <c r="AA102" s="51" t="e" cm="1">
        <f t="array" ref="AA102">EntericMethane_PastureBeef_Equations.VEERG_3_2_1_1__2_DailyEntericMethaneProduction(AA81)</f>
        <v>#N/A</v>
      </c>
      <c r="AB102" s="51" t="e" cm="1">
        <f t="array" ref="AB102">EntericMethane_PastureBeef_Equations.VEERG_3_2_1_1__2_DailyEntericMethaneProduction(AB81)</f>
        <v>#N/A</v>
      </c>
      <c r="AC102" s="51" t="e" cm="1">
        <f t="array" ref="AC102">EntericMethane_PastureBeef_Equations.VEERG_3_2_1_1__2_DailyEntericMethaneProduction(AC81)</f>
        <v>#N/A</v>
      </c>
      <c r="AD102" s="51" t="e" cm="1">
        <f t="array" ref="AD102">EntericMethane_PastureBeef_Equations.VEERG_3_2_1_1__2_DailyEntericMethaneProduction(AD81)</f>
        <v>#N/A</v>
      </c>
      <c r="AE102" s="51" t="e" cm="1">
        <f t="array" ref="AE102">EntericMethane_PastureBeef_Equations.VEERG_3_2_1_1__2_DailyEntericMethaneProduction(AE81)</f>
        <v>#N/A</v>
      </c>
      <c r="AF102" s="2"/>
    </row>
    <row r="103" spans="4:35" ht="20.100000000000001" customHeight="1" x14ac:dyDescent="0.25">
      <c r="U103" s="51" t="str">
        <f>TEXT('Input - Site'!$E$12, "mmmm yyyy")</f>
        <v>January 2024</v>
      </c>
      <c r="V103" s="51" t="e" cm="1">
        <f t="array" ref="V103">EntericMethane_PastureBeef_Equations.VEERG_3_2_1_1__2_DailyEntericMethaneProduction(V82)</f>
        <v>#N/A</v>
      </c>
      <c r="W103" s="51" t="e" cm="1">
        <f t="array" ref="W103">EntericMethane_PastureBeef_Equations.VEERG_3_2_1_1__2_DailyEntericMethaneProduction(W82)</f>
        <v>#N/A</v>
      </c>
      <c r="X103" s="51" t="e" cm="1">
        <f t="array" ref="X103">EntericMethane_PastureBeef_Equations.VEERG_3_2_1_1__2_DailyEntericMethaneProduction(X82)</f>
        <v>#N/A</v>
      </c>
      <c r="Y103" s="51" t="e" cm="1">
        <f t="array" ref="Y103">EntericMethane_PastureBeef_Equations.VEERG_3_2_1_1__2_DailyEntericMethaneProduction(Y82)</f>
        <v>#N/A</v>
      </c>
      <c r="Z103" s="51" t="e" cm="1">
        <f t="array" ref="Z103">EntericMethane_PastureBeef_Equations.VEERG_3_2_1_1__2_DailyEntericMethaneProduction(Z82)</f>
        <v>#N/A</v>
      </c>
      <c r="AA103" s="51" t="e" cm="1">
        <f t="array" ref="AA103">EntericMethane_PastureBeef_Equations.VEERG_3_2_1_1__2_DailyEntericMethaneProduction(AA82)</f>
        <v>#N/A</v>
      </c>
      <c r="AB103" s="51" t="e" cm="1">
        <f t="array" ref="AB103">EntericMethane_PastureBeef_Equations.VEERG_3_2_1_1__2_DailyEntericMethaneProduction(AB82)</f>
        <v>#N/A</v>
      </c>
      <c r="AC103" s="51" t="e" cm="1">
        <f t="array" ref="AC103">EntericMethane_PastureBeef_Equations.VEERG_3_2_1_1__2_DailyEntericMethaneProduction(AC82)</f>
        <v>#N/A</v>
      </c>
      <c r="AD103" s="51" t="e" cm="1">
        <f t="array" ref="AD103">EntericMethane_PastureBeef_Equations.VEERG_3_2_1_1__2_DailyEntericMethaneProduction(AD82)</f>
        <v>#N/A</v>
      </c>
      <c r="AE103" s="51" t="e" cm="1">
        <f t="array" ref="AE103">EntericMethane_PastureBeef_Equations.VEERG_3_2_1_1__2_DailyEntericMethaneProduction(AE82)</f>
        <v>#N/A</v>
      </c>
      <c r="AF103" s="2"/>
    </row>
    <row r="104" spans="4:35" ht="20.100000000000001" customHeight="1" x14ac:dyDescent="0.25">
      <c r="D104" s="96" t="s">
        <v>220</v>
      </c>
      <c r="U104" s="51" t="str">
        <f>TEXT('Input - Site'!$E$12, "mmmm yyyy")</f>
        <v>January 2024</v>
      </c>
      <c r="V104" s="51" t="e" cm="1">
        <f t="array" ref="V104">EntericMethane_PastureBeef_Equations.VEERG_3_2_1_1__2_DailyEntericMethaneProduction(V83)</f>
        <v>#N/A</v>
      </c>
      <c r="W104" s="51" t="e" cm="1">
        <f t="array" ref="W104">EntericMethane_PastureBeef_Equations.VEERG_3_2_1_1__2_DailyEntericMethaneProduction(W83)</f>
        <v>#N/A</v>
      </c>
      <c r="X104" s="51" t="e" cm="1">
        <f t="array" ref="X104">EntericMethane_PastureBeef_Equations.VEERG_3_2_1_1__2_DailyEntericMethaneProduction(X83)</f>
        <v>#N/A</v>
      </c>
      <c r="Y104" s="51" t="e" cm="1">
        <f t="array" ref="Y104">EntericMethane_PastureBeef_Equations.VEERG_3_2_1_1__2_DailyEntericMethaneProduction(Y83)</f>
        <v>#N/A</v>
      </c>
      <c r="Z104" s="51" t="e" cm="1">
        <f t="array" ref="Z104">EntericMethane_PastureBeef_Equations.VEERG_3_2_1_1__2_DailyEntericMethaneProduction(Z83)</f>
        <v>#N/A</v>
      </c>
      <c r="AA104" s="51" t="e" cm="1">
        <f t="array" ref="AA104">EntericMethane_PastureBeef_Equations.VEERG_3_2_1_1__2_DailyEntericMethaneProduction(AA83)</f>
        <v>#N/A</v>
      </c>
      <c r="AB104" s="51" t="e" cm="1">
        <f t="array" ref="AB104">EntericMethane_PastureBeef_Equations.VEERG_3_2_1_1__2_DailyEntericMethaneProduction(AB83)</f>
        <v>#N/A</v>
      </c>
      <c r="AC104" s="51" t="e" cm="1">
        <f t="array" ref="AC104">EntericMethane_PastureBeef_Equations.VEERG_3_2_1_1__2_DailyEntericMethaneProduction(AC83)</f>
        <v>#N/A</v>
      </c>
      <c r="AD104" s="51" t="e" cm="1">
        <f t="array" ref="AD104">EntericMethane_PastureBeef_Equations.VEERG_3_2_1_1__2_DailyEntericMethaneProduction(AD83)</f>
        <v>#N/A</v>
      </c>
      <c r="AE104" s="51" t="e" cm="1">
        <f t="array" ref="AE104">EntericMethane_PastureBeef_Equations.VEERG_3_2_1_1__2_DailyEntericMethaneProduction(AE83)</f>
        <v>#N/A</v>
      </c>
      <c r="AF104" s="2"/>
    </row>
    <row r="105" spans="4:35" ht="20.100000000000001" customHeight="1" x14ac:dyDescent="0.25">
      <c r="D105" s="95" t="s">
        <v>221</v>
      </c>
      <c r="U105" s="51" t="str">
        <f>TEXT('Input - Site'!$E$12, "mmmm yyyy")</f>
        <v>January 2024</v>
      </c>
      <c r="V105" s="51" t="e" cm="1">
        <f t="array" ref="V105">EntericMethane_PastureBeef_Equations.VEERG_3_2_1_1__2_DailyEntericMethaneProduction(V84)</f>
        <v>#N/A</v>
      </c>
      <c r="W105" s="51" t="e" cm="1">
        <f t="array" ref="W105">EntericMethane_PastureBeef_Equations.VEERG_3_2_1_1__2_DailyEntericMethaneProduction(W84)</f>
        <v>#N/A</v>
      </c>
      <c r="X105" s="51" t="e" cm="1">
        <f t="array" ref="X105">EntericMethane_PastureBeef_Equations.VEERG_3_2_1_1__2_DailyEntericMethaneProduction(X84)</f>
        <v>#N/A</v>
      </c>
      <c r="Y105" s="51" t="e" cm="1">
        <f t="array" ref="Y105">EntericMethane_PastureBeef_Equations.VEERG_3_2_1_1__2_DailyEntericMethaneProduction(Y84)</f>
        <v>#N/A</v>
      </c>
      <c r="Z105" s="51" t="e" cm="1">
        <f t="array" ref="Z105">EntericMethane_PastureBeef_Equations.VEERG_3_2_1_1__2_DailyEntericMethaneProduction(Z84)</f>
        <v>#N/A</v>
      </c>
      <c r="AA105" s="51" t="e" cm="1">
        <f t="array" ref="AA105">EntericMethane_PastureBeef_Equations.VEERG_3_2_1_1__2_DailyEntericMethaneProduction(AA84)</f>
        <v>#N/A</v>
      </c>
      <c r="AB105" s="51" t="e" cm="1">
        <f t="array" ref="AB105">EntericMethane_PastureBeef_Equations.VEERG_3_2_1_1__2_DailyEntericMethaneProduction(AB84)</f>
        <v>#N/A</v>
      </c>
      <c r="AC105" s="51" t="e" cm="1">
        <f t="array" ref="AC105">EntericMethane_PastureBeef_Equations.VEERG_3_2_1_1__2_DailyEntericMethaneProduction(AC84)</f>
        <v>#N/A</v>
      </c>
      <c r="AD105" s="51" t="e" cm="1">
        <f t="array" ref="AD105">EntericMethane_PastureBeef_Equations.VEERG_3_2_1_1__2_DailyEntericMethaneProduction(AD84)</f>
        <v>#N/A</v>
      </c>
      <c r="AE105" s="51" t="e" cm="1">
        <f t="array" ref="AE105">EntericMethane_PastureBeef_Equations.VEERG_3_2_1_1__2_DailyEntericMethaneProduction(AE84)</f>
        <v>#N/A</v>
      </c>
      <c r="AF105" s="2"/>
    </row>
    <row r="106" spans="4:35" ht="20.100000000000001" customHeight="1" x14ac:dyDescent="0.25">
      <c r="D106" s="50" t="str" cm="1">
        <f t="array" ref="D106:N110">X_Table_PastureBeef_Head_Method1</f>
        <v>Method 1 values</v>
      </c>
      <c r="E106" s="115" t="str">
        <v>Bulls &lt; 1 year</v>
      </c>
      <c r="F106" s="115" t="str">
        <v>Bulls &gt; 1 year</v>
      </c>
      <c r="G106" s="115" t="str">
        <v>Cows &lt; 1 year</v>
      </c>
      <c r="H106" s="115" t="str">
        <v>Cows 1-2 years</v>
      </c>
      <c r="I106" s="115" t="str">
        <v>Cows 2-3 years</v>
      </c>
      <c r="J106" s="115" t="str">
        <v>Cows &gt; 3 years</v>
      </c>
      <c r="K106" s="115" t="str">
        <v>Steers &lt; 1 year</v>
      </c>
      <c r="L106" s="115" t="str">
        <v>Steers 1-2 years</v>
      </c>
      <c r="M106" s="115" t="str">
        <v>Steers 2-3 years</v>
      </c>
      <c r="N106" s="115" t="str">
        <v>Steers &gt;3 years</v>
      </c>
      <c r="U106" s="51" t="str">
        <f>TEXT('Input - Site'!$E$12, "mmmm yyyy")</f>
        <v>January 2024</v>
      </c>
      <c r="V106" s="51" t="e" cm="1">
        <f t="array" ref="V106">EntericMethane_PastureBeef_Equations.VEERG_3_2_1_1__2_DailyEntericMethaneProduction(V85)</f>
        <v>#N/A</v>
      </c>
      <c r="W106" s="51" t="e" cm="1">
        <f t="array" ref="W106">EntericMethane_PastureBeef_Equations.VEERG_3_2_1_1__2_DailyEntericMethaneProduction(W85)</f>
        <v>#N/A</v>
      </c>
      <c r="X106" s="51" t="e" cm="1">
        <f t="array" ref="X106">EntericMethane_PastureBeef_Equations.VEERG_3_2_1_1__2_DailyEntericMethaneProduction(X85)</f>
        <v>#N/A</v>
      </c>
      <c r="Y106" s="51" t="e" cm="1">
        <f t="array" ref="Y106">EntericMethane_PastureBeef_Equations.VEERG_3_2_1_1__2_DailyEntericMethaneProduction(Y85)</f>
        <v>#N/A</v>
      </c>
      <c r="Z106" s="51" t="e" cm="1">
        <f t="array" ref="Z106">EntericMethane_PastureBeef_Equations.VEERG_3_2_1_1__2_DailyEntericMethaneProduction(Z85)</f>
        <v>#N/A</v>
      </c>
      <c r="AA106" s="51" t="e" cm="1">
        <f t="array" ref="AA106">EntericMethane_PastureBeef_Equations.VEERG_3_2_1_1__2_DailyEntericMethaneProduction(AA85)</f>
        <v>#N/A</v>
      </c>
      <c r="AB106" s="51" t="e" cm="1">
        <f t="array" ref="AB106">EntericMethane_PastureBeef_Equations.VEERG_3_2_1_1__2_DailyEntericMethaneProduction(AB85)</f>
        <v>#N/A</v>
      </c>
      <c r="AC106" s="51" t="e" cm="1">
        <f t="array" ref="AC106">EntericMethane_PastureBeef_Equations.VEERG_3_2_1_1__2_DailyEntericMethaneProduction(AC85)</f>
        <v>#N/A</v>
      </c>
      <c r="AD106" s="51" t="e" cm="1">
        <f t="array" ref="AD106">EntericMethane_PastureBeef_Equations.VEERG_3_2_1_1__2_DailyEntericMethaneProduction(AD85)</f>
        <v>#N/A</v>
      </c>
      <c r="AE106" s="51" t="e" cm="1">
        <f t="array" ref="AE106">EntericMethane_PastureBeef_Equations.VEERG_3_2_1_1__2_DailyEntericMethaneProduction(AE85)</f>
        <v>#N/A</v>
      </c>
      <c r="AF106" s="2"/>
    </row>
    <row r="107" spans="4:35" ht="20.100000000000001" customHeight="1" x14ac:dyDescent="0.25">
      <c r="D107" s="51" t="str">
        <v>Spring</v>
      </c>
      <c r="E107" s="51">
        <v>100</v>
      </c>
      <c r="F107" s="51">
        <v>100</v>
      </c>
      <c r="G107" s="51">
        <v>100</v>
      </c>
      <c r="H107" s="51">
        <v>100</v>
      </c>
      <c r="I107" s="51">
        <v>100</v>
      </c>
      <c r="J107" s="51">
        <v>100</v>
      </c>
      <c r="K107" s="51">
        <v>100</v>
      </c>
      <c r="L107" s="51">
        <v>100</v>
      </c>
      <c r="M107" s="51">
        <v>100</v>
      </c>
      <c r="N107" s="51">
        <v>100</v>
      </c>
      <c r="O107" s="2" t="str">
        <f>G102</f>
        <v>head</v>
      </c>
      <c r="U107" s="51" t="str">
        <f>TEXT('Input - Site'!$E$12, "mmmm yyyy")</f>
        <v>January 2024</v>
      </c>
      <c r="V107" s="51" t="e" cm="1">
        <f t="array" ref="V107">EntericMethane_PastureBeef_Equations.VEERG_3_2_1_1__2_DailyEntericMethaneProduction(V86)</f>
        <v>#N/A</v>
      </c>
      <c r="W107" s="51" t="e" cm="1">
        <f t="array" ref="W107">EntericMethane_PastureBeef_Equations.VEERG_3_2_1_1__2_DailyEntericMethaneProduction(W86)</f>
        <v>#N/A</v>
      </c>
      <c r="X107" s="51" t="e" cm="1">
        <f t="array" ref="X107">EntericMethane_PastureBeef_Equations.VEERG_3_2_1_1__2_DailyEntericMethaneProduction(X86)</f>
        <v>#N/A</v>
      </c>
      <c r="Y107" s="51" t="e" cm="1">
        <f t="array" ref="Y107">EntericMethane_PastureBeef_Equations.VEERG_3_2_1_1__2_DailyEntericMethaneProduction(Y86)</f>
        <v>#N/A</v>
      </c>
      <c r="Z107" s="51" t="e" cm="1">
        <f t="array" ref="Z107">EntericMethane_PastureBeef_Equations.VEERG_3_2_1_1__2_DailyEntericMethaneProduction(Z86)</f>
        <v>#N/A</v>
      </c>
      <c r="AA107" s="51" t="e" cm="1">
        <f t="array" ref="AA107">EntericMethane_PastureBeef_Equations.VEERG_3_2_1_1__2_DailyEntericMethaneProduction(AA86)</f>
        <v>#N/A</v>
      </c>
      <c r="AB107" s="51" t="e" cm="1">
        <f t="array" ref="AB107">EntericMethane_PastureBeef_Equations.VEERG_3_2_1_1__2_DailyEntericMethaneProduction(AB86)</f>
        <v>#N/A</v>
      </c>
      <c r="AC107" s="51" t="e" cm="1">
        <f t="array" ref="AC107">EntericMethane_PastureBeef_Equations.VEERG_3_2_1_1__2_DailyEntericMethaneProduction(AC86)</f>
        <v>#N/A</v>
      </c>
      <c r="AD107" s="51" t="e" cm="1">
        <f t="array" ref="AD107">EntericMethane_PastureBeef_Equations.VEERG_3_2_1_1__2_DailyEntericMethaneProduction(AD86)</f>
        <v>#N/A</v>
      </c>
      <c r="AE107" s="51" t="e" cm="1">
        <f t="array" ref="AE107">EntericMethane_PastureBeef_Equations.VEERG_3_2_1_1__2_DailyEntericMethaneProduction(AE86)</f>
        <v>#N/A</v>
      </c>
      <c r="AF107" s="2"/>
    </row>
    <row r="108" spans="4:35" ht="20.100000000000001" customHeight="1" x14ac:dyDescent="0.25">
      <c r="D108" s="51" t="str">
        <v>Summer</v>
      </c>
      <c r="E108" s="51">
        <v>100</v>
      </c>
      <c r="F108" s="51">
        <v>100</v>
      </c>
      <c r="G108" s="51">
        <v>100</v>
      </c>
      <c r="H108" s="51">
        <v>100</v>
      </c>
      <c r="I108" s="51">
        <v>100</v>
      </c>
      <c r="J108" s="51">
        <v>100</v>
      </c>
      <c r="K108" s="51">
        <v>100</v>
      </c>
      <c r="L108" s="51">
        <v>100</v>
      </c>
      <c r="M108" s="51">
        <v>100</v>
      </c>
      <c r="N108" s="51">
        <v>100</v>
      </c>
      <c r="O108" s="2"/>
      <c r="U108" s="51" t="str">
        <f>TEXT('Input - Site'!$E$12, "mmmm yyyy")</f>
        <v>January 2024</v>
      </c>
      <c r="V108" s="51" t="e" cm="1">
        <f t="array" ref="V108">EntericMethane_PastureBeef_Equations.VEERG_3_2_1_1__2_DailyEntericMethaneProduction(V87)</f>
        <v>#N/A</v>
      </c>
      <c r="W108" s="51" t="e" cm="1">
        <f t="array" ref="W108">EntericMethane_PastureBeef_Equations.VEERG_3_2_1_1__2_DailyEntericMethaneProduction(W87)</f>
        <v>#N/A</v>
      </c>
      <c r="X108" s="51" t="e" cm="1">
        <f t="array" ref="X108">EntericMethane_PastureBeef_Equations.VEERG_3_2_1_1__2_DailyEntericMethaneProduction(X87)</f>
        <v>#N/A</v>
      </c>
      <c r="Y108" s="51" t="e" cm="1">
        <f t="array" ref="Y108">EntericMethane_PastureBeef_Equations.VEERG_3_2_1_1__2_DailyEntericMethaneProduction(Y87)</f>
        <v>#N/A</v>
      </c>
      <c r="Z108" s="51" t="e" cm="1">
        <f t="array" ref="Z108">EntericMethane_PastureBeef_Equations.VEERG_3_2_1_1__2_DailyEntericMethaneProduction(Z87)</f>
        <v>#N/A</v>
      </c>
      <c r="AA108" s="51" t="e" cm="1">
        <f t="array" ref="AA108">EntericMethane_PastureBeef_Equations.VEERG_3_2_1_1__2_DailyEntericMethaneProduction(AA87)</f>
        <v>#N/A</v>
      </c>
      <c r="AB108" s="51" t="e" cm="1">
        <f t="array" ref="AB108">EntericMethane_PastureBeef_Equations.VEERG_3_2_1_1__2_DailyEntericMethaneProduction(AB87)</f>
        <v>#N/A</v>
      </c>
      <c r="AC108" s="51" t="e" cm="1">
        <f t="array" ref="AC108">EntericMethane_PastureBeef_Equations.VEERG_3_2_1_1__2_DailyEntericMethaneProduction(AC87)</f>
        <v>#N/A</v>
      </c>
      <c r="AD108" s="51" t="e" cm="1">
        <f t="array" ref="AD108">EntericMethane_PastureBeef_Equations.VEERG_3_2_1_1__2_DailyEntericMethaneProduction(AD87)</f>
        <v>#N/A</v>
      </c>
      <c r="AE108" s="51" t="e" cm="1">
        <f t="array" ref="AE108">EntericMethane_PastureBeef_Equations.VEERG_3_2_1_1__2_DailyEntericMethaneProduction(AE87)</f>
        <v>#N/A</v>
      </c>
      <c r="AF108" s="2"/>
    </row>
    <row r="109" spans="4:35" ht="20.100000000000001" customHeight="1" x14ac:dyDescent="0.25">
      <c r="D109" s="51" t="str">
        <v>Autumn</v>
      </c>
      <c r="E109" s="51">
        <v>100</v>
      </c>
      <c r="F109" s="51">
        <v>100</v>
      </c>
      <c r="G109" s="51">
        <v>100</v>
      </c>
      <c r="H109" s="51">
        <v>100</v>
      </c>
      <c r="I109" s="51">
        <v>100</v>
      </c>
      <c r="J109" s="51">
        <v>100</v>
      </c>
      <c r="K109" s="51">
        <v>100</v>
      </c>
      <c r="L109" s="51">
        <v>100</v>
      </c>
      <c r="M109" s="51">
        <v>100</v>
      </c>
      <c r="N109" s="51">
        <v>100</v>
      </c>
      <c r="O109" s="2"/>
    </row>
    <row r="110" spans="4:35" ht="20.100000000000001" customHeight="1" x14ac:dyDescent="0.25">
      <c r="D110" s="51" t="str">
        <v>Winter</v>
      </c>
      <c r="E110" s="51">
        <v>100</v>
      </c>
      <c r="F110" s="51">
        <v>100</v>
      </c>
      <c r="G110" s="51">
        <v>100</v>
      </c>
      <c r="H110" s="51">
        <v>100</v>
      </c>
      <c r="I110" s="51">
        <v>100</v>
      </c>
      <c r="J110" s="51">
        <v>100</v>
      </c>
      <c r="K110" s="51">
        <v>100</v>
      </c>
      <c r="L110" s="51">
        <v>100</v>
      </c>
      <c r="M110" s="51">
        <v>100</v>
      </c>
      <c r="N110" s="5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113</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222</v>
      </c>
    </row>
    <row r="114" spans="4:34" ht="20.100000000000001" customHeight="1" x14ac:dyDescent="0.25">
      <c r="D114" s="50" t="str" cm="1">
        <f t="array" ref="D114:N118">X_Table_PastureBeef_Duration_Method1</f>
        <v>Method 1 default values (do not edit)</v>
      </c>
      <c r="E114" s="115" t="str">
        <v>Bulls &lt; 1 year</v>
      </c>
      <c r="F114" s="115" t="str">
        <v>Bulls &gt; 1 year</v>
      </c>
      <c r="G114" s="115" t="str">
        <v>Cows &lt; 1 year</v>
      </c>
      <c r="H114" s="115" t="str">
        <v>Cows 1-2 years</v>
      </c>
      <c r="I114" s="115" t="str">
        <v>Cows 2-3 years</v>
      </c>
      <c r="J114" s="115" t="str">
        <v>Cows &gt; 3 years</v>
      </c>
      <c r="K114" s="115" t="str">
        <v>Steers &lt; 1 year</v>
      </c>
      <c r="L114" s="115" t="str">
        <v>Steers 1-2 years</v>
      </c>
      <c r="M114" s="115" t="str">
        <v>Steers 2-3 years</v>
      </c>
      <c r="N114" s="115" t="str">
        <v>Steers &gt;3 years</v>
      </c>
      <c r="U114" s="96" t="s">
        <v>223</v>
      </c>
    </row>
    <row r="115" spans="4:34" ht="20.100000000000001" customHeight="1" x14ac:dyDescent="0.25">
      <c r="D115" s="51" t="str">
        <v>Spring</v>
      </c>
      <c r="E115" s="51">
        <v>91.25</v>
      </c>
      <c r="F115" s="51">
        <v>91.25</v>
      </c>
      <c r="G115" s="51">
        <v>91.25</v>
      </c>
      <c r="H115" s="51">
        <v>91.25</v>
      </c>
      <c r="I115" s="51">
        <v>91.25</v>
      </c>
      <c r="J115" s="51">
        <v>91.25</v>
      </c>
      <c r="K115" s="51">
        <v>91.25</v>
      </c>
      <c r="L115" s="51">
        <v>91.25</v>
      </c>
      <c r="M115" s="51">
        <v>91.25</v>
      </c>
      <c r="N115" s="51">
        <v>91.25</v>
      </c>
      <c r="O115" s="2" t="str">
        <f>G100</f>
        <v>days</v>
      </c>
      <c r="U115" s="95" t="s">
        <v>224</v>
      </c>
      <c r="AH115" s="2"/>
    </row>
    <row r="116" spans="4:34" ht="20.100000000000001" customHeight="1" x14ac:dyDescent="0.25">
      <c r="D116" s="51" t="str">
        <v>Summer</v>
      </c>
      <c r="E116" s="51">
        <v>91.25</v>
      </c>
      <c r="F116" s="51">
        <v>91.25</v>
      </c>
      <c r="G116" s="51">
        <v>91.25</v>
      </c>
      <c r="H116" s="51">
        <v>91.25</v>
      </c>
      <c r="I116" s="51">
        <v>91.25</v>
      </c>
      <c r="J116" s="51">
        <v>91.25</v>
      </c>
      <c r="K116" s="51">
        <v>91.25</v>
      </c>
      <c r="L116" s="51">
        <v>91.25</v>
      </c>
      <c r="M116" s="51">
        <v>91.25</v>
      </c>
      <c r="N116" s="51">
        <v>91.25</v>
      </c>
      <c r="O116" s="2"/>
      <c r="U116" s="50" t="s">
        <v>103</v>
      </c>
      <c r="V116" s="115" t="s">
        <v>102</v>
      </c>
      <c r="W116" s="115" t="s">
        <v>101</v>
      </c>
      <c r="X116" s="115" t="s">
        <v>124</v>
      </c>
      <c r="Y116" s="115" t="s">
        <v>125</v>
      </c>
      <c r="Z116" s="115" t="s">
        <v>126</v>
      </c>
      <c r="AA116" s="115" t="s">
        <v>127</v>
      </c>
      <c r="AB116" s="115" t="s">
        <v>128</v>
      </c>
      <c r="AC116" s="115" t="s">
        <v>129</v>
      </c>
      <c r="AD116" s="115" t="s">
        <v>130</v>
      </c>
      <c r="AE116" s="115" t="s">
        <v>131</v>
      </c>
      <c r="AF116" s="2"/>
      <c r="AH116" s="2"/>
    </row>
    <row r="117" spans="4:34" ht="20.100000000000001" customHeight="1" x14ac:dyDescent="0.25">
      <c r="D117" s="51" t="str">
        <v>Autumn</v>
      </c>
      <c r="E117" s="51">
        <v>91.25</v>
      </c>
      <c r="F117" s="51">
        <v>91.25</v>
      </c>
      <c r="G117" s="51">
        <v>91.25</v>
      </c>
      <c r="H117" s="51">
        <v>91.25</v>
      </c>
      <c r="I117" s="51">
        <v>91.25</v>
      </c>
      <c r="J117" s="51">
        <v>91.25</v>
      </c>
      <c r="K117" s="51">
        <v>91.25</v>
      </c>
      <c r="L117" s="51">
        <v>91.25</v>
      </c>
      <c r="M117" s="51">
        <v>91.25</v>
      </c>
      <c r="N117" s="51">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tr">
        <v>Winter</v>
      </c>
      <c r="E118" s="51">
        <v>91.25</v>
      </c>
      <c r="F118" s="51">
        <v>91.25</v>
      </c>
      <c r="G118" s="51">
        <v>91.25</v>
      </c>
      <c r="H118" s="51">
        <v>91.25</v>
      </c>
      <c r="I118" s="51">
        <v>91.25</v>
      </c>
      <c r="J118" s="51">
        <v>91.25</v>
      </c>
      <c r="K118" s="51">
        <v>91.25</v>
      </c>
      <c r="L118" s="51">
        <v>91.25</v>
      </c>
      <c r="M118" s="51">
        <v>91.25</v>
      </c>
      <c r="N118" s="51">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254</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255</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143</v>
      </c>
      <c r="E122" s="50" t="s">
        <v>102</v>
      </c>
      <c r="F122" s="50" t="s">
        <v>101</v>
      </c>
      <c r="G122" s="50" t="s">
        <v>124</v>
      </c>
      <c r="H122" s="50" t="s">
        <v>125</v>
      </c>
      <c r="I122" s="50" t="s">
        <v>126</v>
      </c>
      <c r="J122" s="50" t="s">
        <v>127</v>
      </c>
      <c r="K122" s="50" t="s">
        <v>128</v>
      </c>
      <c r="L122" s="50" t="s">
        <v>129</v>
      </c>
      <c r="M122" s="50" t="s">
        <v>130</v>
      </c>
      <c r="N122" s="50" t="s">
        <v>131</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132</v>
      </c>
      <c r="E123" s="51" t="e" cm="1">
        <f t="array" ref="E123">EntericMethane_PastureBeef_Equations.VEERG_3_2_1_1__1_TotalAnnualMethaneFromEntericFermentation(E115,E85,E107)</f>
        <v>#N/A</v>
      </c>
      <c r="F123" s="51" t="e" cm="1">
        <f t="array" ref="F123">EntericMethane_PastureBeef_Equations.VEERG_3_2_1_1__1_TotalAnnualMethaneFromEntericFermentation(F115,F85,F107)</f>
        <v>#N/A</v>
      </c>
      <c r="G123" s="51" t="e" cm="1">
        <f t="array" ref="G123">EntericMethane_PastureBeef_Equations.VEERG_3_2_1_1__1_TotalAnnualMethaneFromEntericFermentation(G115,G85,G107)</f>
        <v>#N/A</v>
      </c>
      <c r="H123" s="51" t="e" cm="1">
        <f t="array" ref="H123">EntericMethane_PastureBeef_Equations.VEERG_3_2_1_1__1_TotalAnnualMethaneFromEntericFermentation(H115,H85,H107)</f>
        <v>#N/A</v>
      </c>
      <c r="I123" s="51" t="e" cm="1">
        <f t="array" ref="I123">EntericMethane_PastureBeef_Equations.VEERG_3_2_1_1__1_TotalAnnualMethaneFromEntericFermentation(I115,I85,I107)</f>
        <v>#N/A</v>
      </c>
      <c r="J123" s="51" t="e" cm="1">
        <f t="array" ref="J123">EntericMethane_PastureBeef_Equations.VEERG_3_2_1_1__1_TotalAnnualMethaneFromEntericFermentation(J115,J85,J107)</f>
        <v>#N/A</v>
      </c>
      <c r="K123" s="51" t="e" cm="1">
        <f t="array" ref="K123">EntericMethane_PastureBeef_Equations.VEERG_3_2_1_1__1_TotalAnnualMethaneFromEntericFermentation(K115,K85,K107)</f>
        <v>#N/A</v>
      </c>
      <c r="L123" s="51" t="e" cm="1">
        <f t="array" ref="L123">EntericMethane_PastureBeef_Equations.VEERG_3_2_1_1__1_TotalAnnualMethaneFromEntericFermentation(L115,L85,L107)</f>
        <v>#N/A</v>
      </c>
      <c r="M123" s="51" t="e" cm="1">
        <f t="array" ref="M123">EntericMethane_PastureBeef_Equations.VEERG_3_2_1_1__1_TotalAnnualMethaneFromEntericFermentation(M115,M85,M107)</f>
        <v>#N/A</v>
      </c>
      <c r="N123" s="51" t="e" cm="1">
        <f t="array" ref="N123">EntericMethane_PastureBeef_Equations.VEERG_3_2_1_1__1_TotalAnnualMethaneFromEntericFermentation(N115,N85,N107)</f>
        <v>#N/A</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133</v>
      </c>
      <c r="E124" s="51" t="e" cm="1">
        <f t="array" ref="E124">EntericMethane_PastureBeef_Equations.VEERG_3_2_1_1__1_TotalAnnualMethaneFromEntericFermentation(E116,E86,E108)</f>
        <v>#N/A</v>
      </c>
      <c r="F124" s="51" t="e" cm="1">
        <f t="array" ref="F124">EntericMethane_PastureBeef_Equations.VEERG_3_2_1_1__1_TotalAnnualMethaneFromEntericFermentation(F116,F86,F108)</f>
        <v>#N/A</v>
      </c>
      <c r="G124" s="51" t="e" cm="1">
        <f t="array" ref="G124">EntericMethane_PastureBeef_Equations.VEERG_3_2_1_1__1_TotalAnnualMethaneFromEntericFermentation(G116,G86,G108)</f>
        <v>#N/A</v>
      </c>
      <c r="H124" s="51" t="e" cm="1">
        <f t="array" ref="H124">EntericMethane_PastureBeef_Equations.VEERG_3_2_1_1__1_TotalAnnualMethaneFromEntericFermentation(H116,H86,H108)</f>
        <v>#N/A</v>
      </c>
      <c r="I124" s="51" t="e" cm="1">
        <f t="array" ref="I124">EntericMethane_PastureBeef_Equations.VEERG_3_2_1_1__1_TotalAnnualMethaneFromEntericFermentation(I116,I86,I108)</f>
        <v>#N/A</v>
      </c>
      <c r="J124" s="51" t="e" cm="1">
        <f t="array" ref="J124">EntericMethane_PastureBeef_Equations.VEERG_3_2_1_1__1_TotalAnnualMethaneFromEntericFermentation(J116,J86,J108)</f>
        <v>#N/A</v>
      </c>
      <c r="K124" s="51" t="e" cm="1">
        <f t="array" ref="K124">EntericMethane_PastureBeef_Equations.VEERG_3_2_1_1__1_TotalAnnualMethaneFromEntericFermentation(K116,K86,K108)</f>
        <v>#N/A</v>
      </c>
      <c r="L124" s="51" t="e" cm="1">
        <f t="array" ref="L124">EntericMethane_PastureBeef_Equations.VEERG_3_2_1_1__1_TotalAnnualMethaneFromEntericFermentation(L116,L86,L108)</f>
        <v>#N/A</v>
      </c>
      <c r="M124" s="51" t="e" cm="1">
        <f t="array" ref="M124">EntericMethane_PastureBeef_Equations.VEERG_3_2_1_1__1_TotalAnnualMethaneFromEntericFermentation(M116,M86,M108)</f>
        <v>#N/A</v>
      </c>
      <c r="N124" s="51" t="e" cm="1">
        <f t="array" ref="N124">EntericMethane_PastureBeef_Equations.VEERG_3_2_1_1__1_TotalAnnualMethaneFromEntericFermentation(N116,N86,N108)</f>
        <v>#N/A</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134</v>
      </c>
      <c r="E125" s="51" t="e" cm="1">
        <f t="array" ref="E125">EntericMethane_PastureBeef_Equations.VEERG_3_2_1_1__1_TotalAnnualMethaneFromEntericFermentation(E117,E87,E109)</f>
        <v>#N/A</v>
      </c>
      <c r="F125" s="51" t="e" cm="1">
        <f t="array" ref="F125">EntericMethane_PastureBeef_Equations.VEERG_3_2_1_1__1_TotalAnnualMethaneFromEntericFermentation(F117,F87,F109)</f>
        <v>#N/A</v>
      </c>
      <c r="G125" s="51" t="e" cm="1">
        <f t="array" ref="G125">EntericMethane_PastureBeef_Equations.VEERG_3_2_1_1__1_TotalAnnualMethaneFromEntericFermentation(G117,G87,G109)</f>
        <v>#N/A</v>
      </c>
      <c r="H125" s="51" t="e" cm="1">
        <f t="array" ref="H125">EntericMethane_PastureBeef_Equations.VEERG_3_2_1_1__1_TotalAnnualMethaneFromEntericFermentation(H117,H87,H109)</f>
        <v>#N/A</v>
      </c>
      <c r="I125" s="51" t="e" cm="1">
        <f t="array" ref="I125">EntericMethane_PastureBeef_Equations.VEERG_3_2_1_1__1_TotalAnnualMethaneFromEntericFermentation(I117,I87,I109)</f>
        <v>#N/A</v>
      </c>
      <c r="J125" s="51" t="e" cm="1">
        <f t="array" ref="J125">EntericMethane_PastureBeef_Equations.VEERG_3_2_1_1__1_TotalAnnualMethaneFromEntericFermentation(J117,J87,J109)</f>
        <v>#N/A</v>
      </c>
      <c r="K125" s="51" t="e" cm="1">
        <f t="array" ref="K125">EntericMethane_PastureBeef_Equations.VEERG_3_2_1_1__1_TotalAnnualMethaneFromEntericFermentation(K117,K87,K109)</f>
        <v>#N/A</v>
      </c>
      <c r="L125" s="51" t="e" cm="1">
        <f t="array" ref="L125">EntericMethane_PastureBeef_Equations.VEERG_3_2_1_1__1_TotalAnnualMethaneFromEntericFermentation(L117,L87,L109)</f>
        <v>#N/A</v>
      </c>
      <c r="M125" s="51" t="e" cm="1">
        <f t="array" ref="M125">EntericMethane_PastureBeef_Equations.VEERG_3_2_1_1__1_TotalAnnualMethaneFromEntericFermentation(M117,M87,M109)</f>
        <v>#N/A</v>
      </c>
      <c r="N125" s="51" t="e" cm="1">
        <f t="array" ref="N125">EntericMethane_PastureBeef_Equations.VEERG_3_2_1_1__1_TotalAnnualMethaneFromEntericFermentation(N117,N87,N109)</f>
        <v>#N/A</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135</v>
      </c>
      <c r="E126" s="51" t="e" cm="1">
        <f t="array" ref="E126">EntericMethane_PastureBeef_Equations.VEERG_3_2_1_1__1_TotalAnnualMethaneFromEntericFermentation(E118,E88,E110)</f>
        <v>#N/A</v>
      </c>
      <c r="F126" s="51" t="e" cm="1">
        <f t="array" ref="F126">EntericMethane_PastureBeef_Equations.VEERG_3_2_1_1__1_TotalAnnualMethaneFromEntericFermentation(F118,F88,F110)</f>
        <v>#N/A</v>
      </c>
      <c r="G126" s="51" t="e" cm="1">
        <f t="array" ref="G126">EntericMethane_PastureBeef_Equations.VEERG_3_2_1_1__1_TotalAnnualMethaneFromEntericFermentation(G118,G88,G110)</f>
        <v>#N/A</v>
      </c>
      <c r="H126" s="51" t="e" cm="1">
        <f t="array" ref="H126">EntericMethane_PastureBeef_Equations.VEERG_3_2_1_1__1_TotalAnnualMethaneFromEntericFermentation(H118,H88,H110)</f>
        <v>#N/A</v>
      </c>
      <c r="I126" s="51" t="e" cm="1">
        <f t="array" ref="I126">EntericMethane_PastureBeef_Equations.VEERG_3_2_1_1__1_TotalAnnualMethaneFromEntericFermentation(I118,I88,I110)</f>
        <v>#N/A</v>
      </c>
      <c r="J126" s="51" t="e" cm="1">
        <f t="array" ref="J126">EntericMethane_PastureBeef_Equations.VEERG_3_2_1_1__1_TotalAnnualMethaneFromEntericFermentation(J118,J88,J110)</f>
        <v>#N/A</v>
      </c>
      <c r="K126" s="51" t="e" cm="1">
        <f t="array" ref="K126">EntericMethane_PastureBeef_Equations.VEERG_3_2_1_1__1_TotalAnnualMethaneFromEntericFermentation(K118,K88,K110)</f>
        <v>#N/A</v>
      </c>
      <c r="L126" s="51" t="e" cm="1">
        <f t="array" ref="L126">EntericMethane_PastureBeef_Equations.VEERG_3_2_1_1__1_TotalAnnualMethaneFromEntericFermentation(L118,L88,L110)</f>
        <v>#N/A</v>
      </c>
      <c r="M126" s="51" t="e" cm="1">
        <f t="array" ref="M126">EntericMethane_PastureBeef_Equations.VEERG_3_2_1_1__1_TotalAnnualMethaneFromEntericFermentation(M118,M88,M110)</f>
        <v>#N/A</v>
      </c>
      <c r="N126" s="51" t="e" cm="1">
        <f t="array" ref="N126">EntericMethane_PastureBeef_Equations.VEERG_3_2_1_1__1_TotalAnnualMethaneFromEntericFermentation(N118,N88,N110)</f>
        <v>#N/A</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227</v>
      </c>
      <c r="E128" s="98" t="e">
        <f>SUM(E123:N126)</f>
        <v>#N/A</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t="e">
        <f>E128</f>
        <v>#N/A</v>
      </c>
      <c r="Q130" s="2"/>
      <c r="U130" s="96" t="s">
        <v>115</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225</v>
      </c>
      <c r="AH131" s="2"/>
    </row>
    <row r="132" spans="4:34" ht="20.100000000000001" customHeight="1" x14ac:dyDescent="0.25">
      <c r="U132" s="50" t="s">
        <v>103</v>
      </c>
      <c r="V132" s="115" t="s">
        <v>102</v>
      </c>
      <c r="W132" s="115" t="s">
        <v>101</v>
      </c>
      <c r="X132" s="115" t="s">
        <v>124</v>
      </c>
      <c r="Y132" s="115" t="s">
        <v>125</v>
      </c>
      <c r="Z132" s="115" t="s">
        <v>126</v>
      </c>
      <c r="AA132" s="115" t="s">
        <v>127</v>
      </c>
      <c r="AB132" s="115" t="s">
        <v>128</v>
      </c>
      <c r="AC132" s="115" t="s">
        <v>129</v>
      </c>
      <c r="AD132" s="115" t="s">
        <v>130</v>
      </c>
      <c r="AE132" s="115" t="s">
        <v>131</v>
      </c>
      <c r="AF132" s="2"/>
      <c r="AH132" s="2"/>
    </row>
    <row r="133" spans="4:34" ht="20.100000000000001" customHeight="1" x14ac:dyDescent="0.25">
      <c r="D133" s="44" t="s">
        <v>81</v>
      </c>
      <c r="E133" s="44" t="e" cm="1">
        <f t="array" ref="E133">Common_Equations.Common_ConvertN2OToCO2e(G130,G131)</f>
        <v>#N/A</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256</v>
      </c>
    </row>
    <row r="147" spans="21:32" ht="20.100000000000001" customHeight="1" x14ac:dyDescent="0.25">
      <c r="U147" s="95" t="s">
        <v>257</v>
      </c>
    </row>
    <row r="148" spans="21:32" ht="20.100000000000001" customHeight="1" x14ac:dyDescent="0.25">
      <c r="U148" s="50" t="s">
        <v>103</v>
      </c>
      <c r="V148" s="50" t="s">
        <v>102</v>
      </c>
      <c r="W148" s="50" t="s">
        <v>101</v>
      </c>
      <c r="X148" s="50" t="s">
        <v>124</v>
      </c>
      <c r="Y148" s="50" t="s">
        <v>125</v>
      </c>
      <c r="Z148" s="50" t="s">
        <v>126</v>
      </c>
      <c r="AA148" s="50" t="s">
        <v>127</v>
      </c>
      <c r="AB148" s="50" t="s">
        <v>128</v>
      </c>
      <c r="AC148" s="50" t="s">
        <v>129</v>
      </c>
      <c r="AD148" s="50" t="s">
        <v>130</v>
      </c>
      <c r="AE148" s="50" t="s">
        <v>131</v>
      </c>
    </row>
    <row r="149" spans="21:32" ht="20.100000000000001" customHeight="1" x14ac:dyDescent="0.25">
      <c r="U149" s="51" t="str">
        <f t="shared" ref="U149:U160" si="3">U133</f>
        <v>January 2024</v>
      </c>
      <c r="V149" s="51" t="e" cm="1">
        <f t="array" ref="V149">EntericMethane_PastureBeef_Equations.VEERG_3_2_1_1__1_TotalAnnualMethaneFromEntericFermentation(V133,V97,V117)</f>
        <v>#N/A</v>
      </c>
      <c r="W149" s="51" t="e" cm="1">
        <f t="array" ref="W149">EntericMethane_PastureBeef_Equations.VEERG_3_2_1_1__1_TotalAnnualMethaneFromEntericFermentation(W133,W97,W117)</f>
        <v>#N/A</v>
      </c>
      <c r="X149" s="51" t="e" cm="1">
        <f t="array" ref="X149">EntericMethane_PastureBeef_Equations.VEERG_3_2_1_1__1_TotalAnnualMethaneFromEntericFermentation(X133,X97,X117)</f>
        <v>#N/A</v>
      </c>
      <c r="Y149" s="51" t="e" cm="1">
        <f t="array" ref="Y149">EntericMethane_PastureBeef_Equations.VEERG_3_2_1_1__1_TotalAnnualMethaneFromEntericFermentation(Y133,Y97,Y117)</f>
        <v>#N/A</v>
      </c>
      <c r="Z149" s="51" t="e" cm="1">
        <f t="array" ref="Z149">EntericMethane_PastureBeef_Equations.VEERG_3_2_1_1__1_TotalAnnualMethaneFromEntericFermentation(Z133,Z97,Z117)</f>
        <v>#N/A</v>
      </c>
      <c r="AA149" s="51" t="e" cm="1">
        <f t="array" ref="AA149">EntericMethane_PastureBeef_Equations.VEERG_3_2_1_1__1_TotalAnnualMethaneFromEntericFermentation(AA133,AA97,AA117)</f>
        <v>#N/A</v>
      </c>
      <c r="AB149" s="51" t="e" cm="1">
        <f t="array" ref="AB149">EntericMethane_PastureBeef_Equations.VEERG_3_2_1_1__1_TotalAnnualMethaneFromEntericFermentation(AB133,AB97,AB117)</f>
        <v>#N/A</v>
      </c>
      <c r="AC149" s="51" t="e" cm="1">
        <f t="array" ref="AC149">EntericMethane_PastureBeef_Equations.VEERG_3_2_1_1__1_TotalAnnualMethaneFromEntericFermentation(AC133,AC97,AC117)</f>
        <v>#N/A</v>
      </c>
      <c r="AD149" s="51" t="e" cm="1">
        <f t="array" ref="AD149">EntericMethane_PastureBeef_Equations.VEERG_3_2_1_1__1_TotalAnnualMethaneFromEntericFermentation(AD133,AD97,AD117)</f>
        <v>#N/A</v>
      </c>
      <c r="AE149" s="51" t="e" cm="1">
        <f t="array" ref="AE149">EntericMethane_PastureBeef_Equations.VEERG_3_2_1_1__1_TotalAnnualMethaneFromEntericFermentation(AE133,AE97,AE117)</f>
        <v>#N/A</v>
      </c>
      <c r="AF149" s="2" t="str">
        <f>$E$98</f>
        <v>t CH4</v>
      </c>
    </row>
    <row r="150" spans="21:32" ht="20.100000000000001" customHeight="1" x14ac:dyDescent="0.25">
      <c r="U150" s="51" t="str">
        <f t="shared" si="3"/>
        <v>February 2024</v>
      </c>
      <c r="V150" s="51" t="e" cm="1">
        <f t="array" ref="V150">EntericMethane_PastureBeef_Equations.VEERG_3_2_1_1__1_TotalAnnualMethaneFromEntericFermentation(V134,V98,V118)</f>
        <v>#N/A</v>
      </c>
      <c r="W150" s="51" t="e" cm="1">
        <f t="array" ref="W150">EntericMethane_PastureBeef_Equations.VEERG_3_2_1_1__1_TotalAnnualMethaneFromEntericFermentation(W134,W98,W118)</f>
        <v>#N/A</v>
      </c>
      <c r="X150" s="51" t="e" cm="1">
        <f t="array" ref="X150">EntericMethane_PastureBeef_Equations.VEERG_3_2_1_1__1_TotalAnnualMethaneFromEntericFermentation(X134,X98,X118)</f>
        <v>#N/A</v>
      </c>
      <c r="Y150" s="51" t="e" cm="1">
        <f t="array" ref="Y150">EntericMethane_PastureBeef_Equations.VEERG_3_2_1_1__1_TotalAnnualMethaneFromEntericFermentation(Y134,Y98,Y118)</f>
        <v>#N/A</v>
      </c>
      <c r="Z150" s="51" t="e" cm="1">
        <f t="array" ref="Z150">EntericMethane_PastureBeef_Equations.VEERG_3_2_1_1__1_TotalAnnualMethaneFromEntericFermentation(Z134,Z98,Z118)</f>
        <v>#N/A</v>
      </c>
      <c r="AA150" s="51" t="e" cm="1">
        <f t="array" ref="AA150">EntericMethane_PastureBeef_Equations.VEERG_3_2_1_1__1_TotalAnnualMethaneFromEntericFermentation(AA134,AA98,AA118)</f>
        <v>#N/A</v>
      </c>
      <c r="AB150" s="51" t="e" cm="1">
        <f t="array" ref="AB150">EntericMethane_PastureBeef_Equations.VEERG_3_2_1_1__1_TotalAnnualMethaneFromEntericFermentation(AB134,AB98,AB118)</f>
        <v>#N/A</v>
      </c>
      <c r="AC150" s="51" t="e" cm="1">
        <f t="array" ref="AC150">EntericMethane_PastureBeef_Equations.VEERG_3_2_1_1__1_TotalAnnualMethaneFromEntericFermentation(AC134,AC98,AC118)</f>
        <v>#N/A</v>
      </c>
      <c r="AD150" s="51" t="e" cm="1">
        <f t="array" ref="AD150">EntericMethane_PastureBeef_Equations.VEERG_3_2_1_1__1_TotalAnnualMethaneFromEntericFermentation(AD134,AD98,AD118)</f>
        <v>#N/A</v>
      </c>
      <c r="AE150" s="51" t="e" cm="1">
        <f t="array" ref="AE150">EntericMethane_PastureBeef_Equations.VEERG_3_2_1_1__1_TotalAnnualMethaneFromEntericFermentation(AE134,AE98,AE118)</f>
        <v>#N/A</v>
      </c>
      <c r="AF150" s="2"/>
    </row>
    <row r="151" spans="21:32" ht="20.100000000000001" customHeight="1" x14ac:dyDescent="0.25">
      <c r="U151" s="51" t="str">
        <f t="shared" si="3"/>
        <v>March 2024</v>
      </c>
      <c r="V151" s="51" t="e" cm="1">
        <f t="array" ref="V151">EntericMethane_PastureBeef_Equations.VEERG_3_2_1_1__1_TotalAnnualMethaneFromEntericFermentation(V135,V99,V119)</f>
        <v>#N/A</v>
      </c>
      <c r="W151" s="51" t="e" cm="1">
        <f t="array" ref="W151">EntericMethane_PastureBeef_Equations.VEERG_3_2_1_1__1_TotalAnnualMethaneFromEntericFermentation(W135,W99,W119)</f>
        <v>#N/A</v>
      </c>
      <c r="X151" s="51" t="e" cm="1">
        <f t="array" ref="X151">EntericMethane_PastureBeef_Equations.VEERG_3_2_1_1__1_TotalAnnualMethaneFromEntericFermentation(X135,X99,X119)</f>
        <v>#N/A</v>
      </c>
      <c r="Y151" s="51" t="e" cm="1">
        <f t="array" ref="Y151">EntericMethane_PastureBeef_Equations.VEERG_3_2_1_1__1_TotalAnnualMethaneFromEntericFermentation(Y135,Y99,Y119)</f>
        <v>#N/A</v>
      </c>
      <c r="Z151" s="51" t="e" cm="1">
        <f t="array" ref="Z151">EntericMethane_PastureBeef_Equations.VEERG_3_2_1_1__1_TotalAnnualMethaneFromEntericFermentation(Z135,Z99,Z119)</f>
        <v>#N/A</v>
      </c>
      <c r="AA151" s="51" t="e" cm="1">
        <f t="array" ref="AA151">EntericMethane_PastureBeef_Equations.VEERG_3_2_1_1__1_TotalAnnualMethaneFromEntericFermentation(AA135,AA99,AA119)</f>
        <v>#N/A</v>
      </c>
      <c r="AB151" s="51" t="e" cm="1">
        <f t="array" ref="AB151">EntericMethane_PastureBeef_Equations.VEERG_3_2_1_1__1_TotalAnnualMethaneFromEntericFermentation(AB135,AB99,AB119)</f>
        <v>#N/A</v>
      </c>
      <c r="AC151" s="51" t="e" cm="1">
        <f t="array" ref="AC151">EntericMethane_PastureBeef_Equations.VEERG_3_2_1_1__1_TotalAnnualMethaneFromEntericFermentation(AC135,AC99,AC119)</f>
        <v>#N/A</v>
      </c>
      <c r="AD151" s="51" t="e" cm="1">
        <f t="array" ref="AD151">EntericMethane_PastureBeef_Equations.VEERG_3_2_1_1__1_TotalAnnualMethaneFromEntericFermentation(AD135,AD99,AD119)</f>
        <v>#N/A</v>
      </c>
      <c r="AE151" s="51" t="e" cm="1">
        <f t="array" ref="AE151">EntericMethane_PastureBeef_Equations.VEERG_3_2_1_1__1_TotalAnnualMethaneFromEntericFermentation(AE135,AE99,AE119)</f>
        <v>#N/A</v>
      </c>
      <c r="AF151" s="2"/>
    </row>
    <row r="152" spans="21:32" ht="20.100000000000001" customHeight="1" x14ac:dyDescent="0.25">
      <c r="U152" s="51" t="str">
        <f t="shared" si="3"/>
        <v>April 2024</v>
      </c>
      <c r="V152" s="51" t="e" cm="1">
        <f t="array" ref="V152">EntericMethane_PastureBeef_Equations.VEERG_3_2_1_1__1_TotalAnnualMethaneFromEntericFermentation(V136,V100,V120)</f>
        <v>#N/A</v>
      </c>
      <c r="W152" s="51" t="e" cm="1">
        <f t="array" ref="W152">EntericMethane_PastureBeef_Equations.VEERG_3_2_1_1__1_TotalAnnualMethaneFromEntericFermentation(W136,W100,W120)</f>
        <v>#N/A</v>
      </c>
      <c r="X152" s="51" t="e" cm="1">
        <f t="array" ref="X152">EntericMethane_PastureBeef_Equations.VEERG_3_2_1_1__1_TotalAnnualMethaneFromEntericFermentation(X136,X100,X120)</f>
        <v>#N/A</v>
      </c>
      <c r="Y152" s="51" t="e" cm="1">
        <f t="array" ref="Y152">EntericMethane_PastureBeef_Equations.VEERG_3_2_1_1__1_TotalAnnualMethaneFromEntericFermentation(Y136,Y100,Y120)</f>
        <v>#N/A</v>
      </c>
      <c r="Z152" s="51" t="e" cm="1">
        <f t="array" ref="Z152">EntericMethane_PastureBeef_Equations.VEERG_3_2_1_1__1_TotalAnnualMethaneFromEntericFermentation(Z136,Z100,Z120)</f>
        <v>#N/A</v>
      </c>
      <c r="AA152" s="51" t="e" cm="1">
        <f t="array" ref="AA152">EntericMethane_PastureBeef_Equations.VEERG_3_2_1_1__1_TotalAnnualMethaneFromEntericFermentation(AA136,AA100,AA120)</f>
        <v>#N/A</v>
      </c>
      <c r="AB152" s="51" t="e" cm="1">
        <f t="array" ref="AB152">EntericMethane_PastureBeef_Equations.VEERG_3_2_1_1__1_TotalAnnualMethaneFromEntericFermentation(AB136,AB100,AB120)</f>
        <v>#N/A</v>
      </c>
      <c r="AC152" s="51" t="e" cm="1">
        <f t="array" ref="AC152">EntericMethane_PastureBeef_Equations.VEERG_3_2_1_1__1_TotalAnnualMethaneFromEntericFermentation(AC136,AC100,AC120)</f>
        <v>#N/A</v>
      </c>
      <c r="AD152" s="51" t="e" cm="1">
        <f t="array" ref="AD152">EntericMethane_PastureBeef_Equations.VEERG_3_2_1_1__1_TotalAnnualMethaneFromEntericFermentation(AD136,AD100,AD120)</f>
        <v>#N/A</v>
      </c>
      <c r="AE152" s="51" t="e" cm="1">
        <f t="array" ref="AE152">EntericMethane_PastureBeef_Equations.VEERG_3_2_1_1__1_TotalAnnualMethaneFromEntericFermentation(AE136,AE100,AE120)</f>
        <v>#N/A</v>
      </c>
      <c r="AF152" s="2"/>
    </row>
    <row r="153" spans="21:32" ht="20.100000000000001" customHeight="1" x14ac:dyDescent="0.25">
      <c r="U153" s="51" t="str">
        <f t="shared" si="3"/>
        <v>May 2024</v>
      </c>
      <c r="V153" s="51" t="e" cm="1">
        <f t="array" ref="V153">EntericMethane_PastureBeef_Equations.VEERG_3_2_1_1__1_TotalAnnualMethaneFromEntericFermentation(V137,V101,V121)</f>
        <v>#N/A</v>
      </c>
      <c r="W153" s="51" t="e" cm="1">
        <f t="array" ref="W153">EntericMethane_PastureBeef_Equations.VEERG_3_2_1_1__1_TotalAnnualMethaneFromEntericFermentation(W137,W101,W121)</f>
        <v>#N/A</v>
      </c>
      <c r="X153" s="51" t="e" cm="1">
        <f t="array" ref="X153">EntericMethane_PastureBeef_Equations.VEERG_3_2_1_1__1_TotalAnnualMethaneFromEntericFermentation(X137,X101,X121)</f>
        <v>#N/A</v>
      </c>
      <c r="Y153" s="51" t="e" cm="1">
        <f t="array" ref="Y153">EntericMethane_PastureBeef_Equations.VEERG_3_2_1_1__1_TotalAnnualMethaneFromEntericFermentation(Y137,Y101,Y121)</f>
        <v>#N/A</v>
      </c>
      <c r="Z153" s="51" t="e" cm="1">
        <f t="array" ref="Z153">EntericMethane_PastureBeef_Equations.VEERG_3_2_1_1__1_TotalAnnualMethaneFromEntericFermentation(Z137,Z101,Z121)</f>
        <v>#N/A</v>
      </c>
      <c r="AA153" s="51" t="e" cm="1">
        <f t="array" ref="AA153">EntericMethane_PastureBeef_Equations.VEERG_3_2_1_1__1_TotalAnnualMethaneFromEntericFermentation(AA137,AA101,AA121)</f>
        <v>#N/A</v>
      </c>
      <c r="AB153" s="51" t="e" cm="1">
        <f t="array" ref="AB153">EntericMethane_PastureBeef_Equations.VEERG_3_2_1_1__1_TotalAnnualMethaneFromEntericFermentation(AB137,AB101,AB121)</f>
        <v>#N/A</v>
      </c>
      <c r="AC153" s="51" t="e" cm="1">
        <f t="array" ref="AC153">EntericMethane_PastureBeef_Equations.VEERG_3_2_1_1__1_TotalAnnualMethaneFromEntericFermentation(AC137,AC101,AC121)</f>
        <v>#N/A</v>
      </c>
      <c r="AD153" s="51" t="e" cm="1">
        <f t="array" ref="AD153">EntericMethane_PastureBeef_Equations.VEERG_3_2_1_1__1_TotalAnnualMethaneFromEntericFermentation(AD137,AD101,AD121)</f>
        <v>#N/A</v>
      </c>
      <c r="AE153" s="51" t="e" cm="1">
        <f t="array" ref="AE153">EntericMethane_PastureBeef_Equations.VEERG_3_2_1_1__1_TotalAnnualMethaneFromEntericFermentation(AE137,AE101,AE121)</f>
        <v>#N/A</v>
      </c>
      <c r="AF153" s="2"/>
    </row>
    <row r="154" spans="21:32" ht="20.100000000000001" customHeight="1" x14ac:dyDescent="0.25">
      <c r="U154" s="51" t="str">
        <f t="shared" si="3"/>
        <v>June 2024</v>
      </c>
      <c r="V154" s="51" t="e" cm="1">
        <f t="array" ref="V154">EntericMethane_PastureBeef_Equations.VEERG_3_2_1_1__1_TotalAnnualMethaneFromEntericFermentation(V138,V102,V122)</f>
        <v>#N/A</v>
      </c>
      <c r="W154" s="51" t="e" cm="1">
        <f t="array" ref="W154">EntericMethane_PastureBeef_Equations.VEERG_3_2_1_1__1_TotalAnnualMethaneFromEntericFermentation(W138,W102,W122)</f>
        <v>#N/A</v>
      </c>
      <c r="X154" s="51" t="e" cm="1">
        <f t="array" ref="X154">EntericMethane_PastureBeef_Equations.VEERG_3_2_1_1__1_TotalAnnualMethaneFromEntericFermentation(X138,X102,X122)</f>
        <v>#N/A</v>
      </c>
      <c r="Y154" s="51" t="e" cm="1">
        <f t="array" ref="Y154">EntericMethane_PastureBeef_Equations.VEERG_3_2_1_1__1_TotalAnnualMethaneFromEntericFermentation(Y138,Y102,Y122)</f>
        <v>#N/A</v>
      </c>
      <c r="Z154" s="51" t="e" cm="1">
        <f t="array" ref="Z154">EntericMethane_PastureBeef_Equations.VEERG_3_2_1_1__1_TotalAnnualMethaneFromEntericFermentation(Z138,Z102,Z122)</f>
        <v>#N/A</v>
      </c>
      <c r="AA154" s="51" t="e" cm="1">
        <f t="array" ref="AA154">EntericMethane_PastureBeef_Equations.VEERG_3_2_1_1__1_TotalAnnualMethaneFromEntericFermentation(AA138,AA102,AA122)</f>
        <v>#N/A</v>
      </c>
      <c r="AB154" s="51" t="e" cm="1">
        <f t="array" ref="AB154">EntericMethane_PastureBeef_Equations.VEERG_3_2_1_1__1_TotalAnnualMethaneFromEntericFermentation(AB138,AB102,AB122)</f>
        <v>#N/A</v>
      </c>
      <c r="AC154" s="51" t="e" cm="1">
        <f t="array" ref="AC154">EntericMethane_PastureBeef_Equations.VEERG_3_2_1_1__1_TotalAnnualMethaneFromEntericFermentation(AC138,AC102,AC122)</f>
        <v>#N/A</v>
      </c>
      <c r="AD154" s="51" t="e" cm="1">
        <f t="array" ref="AD154">EntericMethane_PastureBeef_Equations.VEERG_3_2_1_1__1_TotalAnnualMethaneFromEntericFermentation(AD138,AD102,AD122)</f>
        <v>#N/A</v>
      </c>
      <c r="AE154" s="51" t="e" cm="1">
        <f t="array" ref="AE154">EntericMethane_PastureBeef_Equations.VEERG_3_2_1_1__1_TotalAnnualMethaneFromEntericFermentation(AE138,AE102,AE122)</f>
        <v>#N/A</v>
      </c>
      <c r="AF154" s="2"/>
    </row>
    <row r="155" spans="21:32" ht="20.100000000000001" customHeight="1" x14ac:dyDescent="0.25">
      <c r="U155" s="51" t="str">
        <f t="shared" si="3"/>
        <v>July 2024</v>
      </c>
      <c r="V155" s="51" t="e" cm="1">
        <f t="array" ref="V155">EntericMethane_PastureBeef_Equations.VEERG_3_2_1_1__1_TotalAnnualMethaneFromEntericFermentation(V139,V103,V123)</f>
        <v>#N/A</v>
      </c>
      <c r="W155" s="51" t="e" cm="1">
        <f t="array" ref="W155">EntericMethane_PastureBeef_Equations.VEERG_3_2_1_1__1_TotalAnnualMethaneFromEntericFermentation(W139,W103,W123)</f>
        <v>#N/A</v>
      </c>
      <c r="X155" s="51" t="e" cm="1">
        <f t="array" ref="X155">EntericMethane_PastureBeef_Equations.VEERG_3_2_1_1__1_TotalAnnualMethaneFromEntericFermentation(X139,X103,X123)</f>
        <v>#N/A</v>
      </c>
      <c r="Y155" s="51" t="e" cm="1">
        <f t="array" ref="Y155">EntericMethane_PastureBeef_Equations.VEERG_3_2_1_1__1_TotalAnnualMethaneFromEntericFermentation(Y139,Y103,Y123)</f>
        <v>#N/A</v>
      </c>
      <c r="Z155" s="51" t="e" cm="1">
        <f t="array" ref="Z155">EntericMethane_PastureBeef_Equations.VEERG_3_2_1_1__1_TotalAnnualMethaneFromEntericFermentation(Z139,Z103,Z123)</f>
        <v>#N/A</v>
      </c>
      <c r="AA155" s="51" t="e" cm="1">
        <f t="array" ref="AA155">EntericMethane_PastureBeef_Equations.VEERG_3_2_1_1__1_TotalAnnualMethaneFromEntericFermentation(AA139,AA103,AA123)</f>
        <v>#N/A</v>
      </c>
      <c r="AB155" s="51" t="e" cm="1">
        <f t="array" ref="AB155">EntericMethane_PastureBeef_Equations.VEERG_3_2_1_1__1_TotalAnnualMethaneFromEntericFermentation(AB139,AB103,AB123)</f>
        <v>#N/A</v>
      </c>
      <c r="AC155" s="51" t="e" cm="1">
        <f t="array" ref="AC155">EntericMethane_PastureBeef_Equations.VEERG_3_2_1_1__1_TotalAnnualMethaneFromEntericFermentation(AC139,AC103,AC123)</f>
        <v>#N/A</v>
      </c>
      <c r="AD155" s="51" t="e" cm="1">
        <f t="array" ref="AD155">EntericMethane_PastureBeef_Equations.VEERG_3_2_1_1__1_TotalAnnualMethaneFromEntericFermentation(AD139,AD103,AD123)</f>
        <v>#N/A</v>
      </c>
      <c r="AE155" s="51" t="e" cm="1">
        <f t="array" ref="AE155">EntericMethane_PastureBeef_Equations.VEERG_3_2_1_1__1_TotalAnnualMethaneFromEntericFermentation(AE139,AE103,AE123)</f>
        <v>#N/A</v>
      </c>
      <c r="AF155" s="2"/>
    </row>
    <row r="156" spans="21:32" ht="20.100000000000001" customHeight="1" x14ac:dyDescent="0.25">
      <c r="U156" s="51" t="str">
        <f t="shared" si="3"/>
        <v>August 2024</v>
      </c>
      <c r="V156" s="51" t="e" cm="1">
        <f t="array" ref="V156">EntericMethane_PastureBeef_Equations.VEERG_3_2_1_1__1_TotalAnnualMethaneFromEntericFermentation(V140,V104,V124)</f>
        <v>#N/A</v>
      </c>
      <c r="W156" s="51" t="e" cm="1">
        <f t="array" ref="W156">EntericMethane_PastureBeef_Equations.VEERG_3_2_1_1__1_TotalAnnualMethaneFromEntericFermentation(W140,W104,W124)</f>
        <v>#N/A</v>
      </c>
      <c r="X156" s="51" t="e" cm="1">
        <f t="array" ref="X156">EntericMethane_PastureBeef_Equations.VEERG_3_2_1_1__1_TotalAnnualMethaneFromEntericFermentation(X140,X104,X124)</f>
        <v>#N/A</v>
      </c>
      <c r="Y156" s="51" t="e" cm="1">
        <f t="array" ref="Y156">EntericMethane_PastureBeef_Equations.VEERG_3_2_1_1__1_TotalAnnualMethaneFromEntericFermentation(Y140,Y104,Y124)</f>
        <v>#N/A</v>
      </c>
      <c r="Z156" s="51" t="e" cm="1">
        <f t="array" ref="Z156">EntericMethane_PastureBeef_Equations.VEERG_3_2_1_1__1_TotalAnnualMethaneFromEntericFermentation(Z140,Z104,Z124)</f>
        <v>#N/A</v>
      </c>
      <c r="AA156" s="51" t="e" cm="1">
        <f t="array" ref="AA156">EntericMethane_PastureBeef_Equations.VEERG_3_2_1_1__1_TotalAnnualMethaneFromEntericFermentation(AA140,AA104,AA124)</f>
        <v>#N/A</v>
      </c>
      <c r="AB156" s="51" t="e" cm="1">
        <f t="array" ref="AB156">EntericMethane_PastureBeef_Equations.VEERG_3_2_1_1__1_TotalAnnualMethaneFromEntericFermentation(AB140,AB104,AB124)</f>
        <v>#N/A</v>
      </c>
      <c r="AC156" s="51" t="e" cm="1">
        <f t="array" ref="AC156">EntericMethane_PastureBeef_Equations.VEERG_3_2_1_1__1_TotalAnnualMethaneFromEntericFermentation(AC140,AC104,AC124)</f>
        <v>#N/A</v>
      </c>
      <c r="AD156" s="51" t="e" cm="1">
        <f t="array" ref="AD156">EntericMethane_PastureBeef_Equations.VEERG_3_2_1_1__1_TotalAnnualMethaneFromEntericFermentation(AD140,AD104,AD124)</f>
        <v>#N/A</v>
      </c>
      <c r="AE156" s="51" t="e" cm="1">
        <f t="array" ref="AE156">EntericMethane_PastureBeef_Equations.VEERG_3_2_1_1__1_TotalAnnualMethaneFromEntericFermentation(AE140,AE104,AE124)</f>
        <v>#N/A</v>
      </c>
      <c r="AF156" s="2"/>
    </row>
    <row r="157" spans="21:32" ht="20.100000000000001" customHeight="1" x14ac:dyDescent="0.25">
      <c r="U157" s="51" t="str">
        <f t="shared" si="3"/>
        <v>September 2024</v>
      </c>
      <c r="V157" s="51" t="e" cm="1">
        <f t="array" ref="V157">EntericMethane_PastureBeef_Equations.VEERG_3_2_1_1__1_TotalAnnualMethaneFromEntericFermentation(V141,V105,V125)</f>
        <v>#N/A</v>
      </c>
      <c r="W157" s="51" t="e" cm="1">
        <f t="array" ref="W157">EntericMethane_PastureBeef_Equations.VEERG_3_2_1_1__1_TotalAnnualMethaneFromEntericFermentation(W141,W105,W125)</f>
        <v>#N/A</v>
      </c>
      <c r="X157" s="51" t="e" cm="1">
        <f t="array" ref="X157">EntericMethane_PastureBeef_Equations.VEERG_3_2_1_1__1_TotalAnnualMethaneFromEntericFermentation(X141,X105,X125)</f>
        <v>#N/A</v>
      </c>
      <c r="Y157" s="51" t="e" cm="1">
        <f t="array" ref="Y157">EntericMethane_PastureBeef_Equations.VEERG_3_2_1_1__1_TotalAnnualMethaneFromEntericFermentation(Y141,Y105,Y125)</f>
        <v>#N/A</v>
      </c>
      <c r="Z157" s="51" t="e" cm="1">
        <f t="array" ref="Z157">EntericMethane_PastureBeef_Equations.VEERG_3_2_1_1__1_TotalAnnualMethaneFromEntericFermentation(Z141,Z105,Z125)</f>
        <v>#N/A</v>
      </c>
      <c r="AA157" s="51" t="e" cm="1">
        <f t="array" ref="AA157">EntericMethane_PastureBeef_Equations.VEERG_3_2_1_1__1_TotalAnnualMethaneFromEntericFermentation(AA141,AA105,AA125)</f>
        <v>#N/A</v>
      </c>
      <c r="AB157" s="51" t="e" cm="1">
        <f t="array" ref="AB157">EntericMethane_PastureBeef_Equations.VEERG_3_2_1_1__1_TotalAnnualMethaneFromEntericFermentation(AB141,AB105,AB125)</f>
        <v>#N/A</v>
      </c>
      <c r="AC157" s="51" t="e" cm="1">
        <f t="array" ref="AC157">EntericMethane_PastureBeef_Equations.VEERG_3_2_1_1__1_TotalAnnualMethaneFromEntericFermentation(AC141,AC105,AC125)</f>
        <v>#N/A</v>
      </c>
      <c r="AD157" s="51" t="e" cm="1">
        <f t="array" ref="AD157">EntericMethane_PastureBeef_Equations.VEERG_3_2_1_1__1_TotalAnnualMethaneFromEntericFermentation(AD141,AD105,AD125)</f>
        <v>#N/A</v>
      </c>
      <c r="AE157" s="51" t="e" cm="1">
        <f t="array" ref="AE157">EntericMethane_PastureBeef_Equations.VEERG_3_2_1_1__1_TotalAnnualMethaneFromEntericFermentation(AE141,AE105,AE125)</f>
        <v>#N/A</v>
      </c>
      <c r="AF157" s="2"/>
    </row>
    <row r="158" spans="21:32" ht="20.100000000000001" customHeight="1" x14ac:dyDescent="0.25">
      <c r="U158" s="51" t="str">
        <f t="shared" si="3"/>
        <v>October 2024</v>
      </c>
      <c r="V158" s="51" t="e" cm="1">
        <f t="array" ref="V158">EntericMethane_PastureBeef_Equations.VEERG_3_2_1_1__1_TotalAnnualMethaneFromEntericFermentation(V142,V106,V126)</f>
        <v>#N/A</v>
      </c>
      <c r="W158" s="51" t="e" cm="1">
        <f t="array" ref="W158">EntericMethane_PastureBeef_Equations.VEERG_3_2_1_1__1_TotalAnnualMethaneFromEntericFermentation(W142,W106,W126)</f>
        <v>#N/A</v>
      </c>
      <c r="X158" s="51" t="e" cm="1">
        <f t="array" ref="X158">EntericMethane_PastureBeef_Equations.VEERG_3_2_1_1__1_TotalAnnualMethaneFromEntericFermentation(X142,X106,X126)</f>
        <v>#N/A</v>
      </c>
      <c r="Y158" s="51" t="e" cm="1">
        <f t="array" ref="Y158">EntericMethane_PastureBeef_Equations.VEERG_3_2_1_1__1_TotalAnnualMethaneFromEntericFermentation(Y142,Y106,Y126)</f>
        <v>#N/A</v>
      </c>
      <c r="Z158" s="51" t="e" cm="1">
        <f t="array" ref="Z158">EntericMethane_PastureBeef_Equations.VEERG_3_2_1_1__1_TotalAnnualMethaneFromEntericFermentation(Z142,Z106,Z126)</f>
        <v>#N/A</v>
      </c>
      <c r="AA158" s="51" t="e" cm="1">
        <f t="array" ref="AA158">EntericMethane_PastureBeef_Equations.VEERG_3_2_1_1__1_TotalAnnualMethaneFromEntericFermentation(AA142,AA106,AA126)</f>
        <v>#N/A</v>
      </c>
      <c r="AB158" s="51" t="e" cm="1">
        <f t="array" ref="AB158">EntericMethane_PastureBeef_Equations.VEERG_3_2_1_1__1_TotalAnnualMethaneFromEntericFermentation(AB142,AB106,AB126)</f>
        <v>#N/A</v>
      </c>
      <c r="AC158" s="51" t="e" cm="1">
        <f t="array" ref="AC158">EntericMethane_PastureBeef_Equations.VEERG_3_2_1_1__1_TotalAnnualMethaneFromEntericFermentation(AC142,AC106,AC126)</f>
        <v>#N/A</v>
      </c>
      <c r="AD158" s="51" t="e" cm="1">
        <f t="array" ref="AD158">EntericMethane_PastureBeef_Equations.VEERG_3_2_1_1__1_TotalAnnualMethaneFromEntericFermentation(AD142,AD106,AD126)</f>
        <v>#N/A</v>
      </c>
      <c r="AE158" s="51" t="e" cm="1">
        <f t="array" ref="AE158">EntericMethane_PastureBeef_Equations.VEERG_3_2_1_1__1_TotalAnnualMethaneFromEntericFermentation(AE142,AE106,AE126)</f>
        <v>#N/A</v>
      </c>
      <c r="AF158" s="2"/>
    </row>
    <row r="159" spans="21:32" ht="20.100000000000001" customHeight="1" x14ac:dyDescent="0.25">
      <c r="U159" s="51" t="str">
        <f t="shared" si="3"/>
        <v>November 2024</v>
      </c>
      <c r="V159" s="51" t="e" cm="1">
        <f t="array" ref="V159">EntericMethane_PastureBeef_Equations.VEERG_3_2_1_1__1_TotalAnnualMethaneFromEntericFermentation(V143,V107,V127)</f>
        <v>#N/A</v>
      </c>
      <c r="W159" s="51" t="e" cm="1">
        <f t="array" ref="W159">EntericMethane_PastureBeef_Equations.VEERG_3_2_1_1__1_TotalAnnualMethaneFromEntericFermentation(W143,W107,W127)</f>
        <v>#N/A</v>
      </c>
      <c r="X159" s="51" t="e" cm="1">
        <f t="array" ref="X159">EntericMethane_PastureBeef_Equations.VEERG_3_2_1_1__1_TotalAnnualMethaneFromEntericFermentation(X143,X107,X127)</f>
        <v>#N/A</v>
      </c>
      <c r="Y159" s="51" t="e" cm="1">
        <f t="array" ref="Y159">EntericMethane_PastureBeef_Equations.VEERG_3_2_1_1__1_TotalAnnualMethaneFromEntericFermentation(Y143,Y107,Y127)</f>
        <v>#N/A</v>
      </c>
      <c r="Z159" s="51" t="e" cm="1">
        <f t="array" ref="Z159">EntericMethane_PastureBeef_Equations.VEERG_3_2_1_1__1_TotalAnnualMethaneFromEntericFermentation(Z143,Z107,Z127)</f>
        <v>#N/A</v>
      </c>
      <c r="AA159" s="51" t="e" cm="1">
        <f t="array" ref="AA159">EntericMethane_PastureBeef_Equations.VEERG_3_2_1_1__1_TotalAnnualMethaneFromEntericFermentation(AA143,AA107,AA127)</f>
        <v>#N/A</v>
      </c>
      <c r="AB159" s="51" t="e" cm="1">
        <f t="array" ref="AB159">EntericMethane_PastureBeef_Equations.VEERG_3_2_1_1__1_TotalAnnualMethaneFromEntericFermentation(AB143,AB107,AB127)</f>
        <v>#N/A</v>
      </c>
      <c r="AC159" s="51" t="e" cm="1">
        <f t="array" ref="AC159">EntericMethane_PastureBeef_Equations.VEERG_3_2_1_1__1_TotalAnnualMethaneFromEntericFermentation(AC143,AC107,AC127)</f>
        <v>#N/A</v>
      </c>
      <c r="AD159" s="51" t="e" cm="1">
        <f t="array" ref="AD159">EntericMethane_PastureBeef_Equations.VEERG_3_2_1_1__1_TotalAnnualMethaneFromEntericFermentation(AD143,AD107,AD127)</f>
        <v>#N/A</v>
      </c>
      <c r="AE159" s="51" t="e" cm="1">
        <f t="array" ref="AE159">EntericMethane_PastureBeef_Equations.VEERG_3_2_1_1__1_TotalAnnualMethaneFromEntericFermentation(AE143,AE107,AE127)</f>
        <v>#N/A</v>
      </c>
      <c r="AF159" s="2"/>
    </row>
    <row r="160" spans="21:32" ht="20.100000000000001" customHeight="1" x14ac:dyDescent="0.25">
      <c r="U160" s="51" t="str">
        <f t="shared" si="3"/>
        <v>December 2024</v>
      </c>
      <c r="V160" s="51" t="e" cm="1">
        <f t="array" ref="V160">EntericMethane_PastureBeef_Equations.VEERG_3_2_1_1__1_TotalAnnualMethaneFromEntericFermentation(V144,V108,V128)</f>
        <v>#N/A</v>
      </c>
      <c r="W160" s="51" t="e" cm="1">
        <f t="array" ref="W160">EntericMethane_PastureBeef_Equations.VEERG_3_2_1_1__1_TotalAnnualMethaneFromEntericFermentation(W144,W108,W128)</f>
        <v>#N/A</v>
      </c>
      <c r="X160" s="51" t="e" cm="1">
        <f t="array" ref="X160">EntericMethane_PastureBeef_Equations.VEERG_3_2_1_1__1_TotalAnnualMethaneFromEntericFermentation(X144,X108,X128)</f>
        <v>#N/A</v>
      </c>
      <c r="Y160" s="51" t="e" cm="1">
        <f t="array" ref="Y160">EntericMethane_PastureBeef_Equations.VEERG_3_2_1_1__1_TotalAnnualMethaneFromEntericFermentation(Y144,Y108,Y128)</f>
        <v>#N/A</v>
      </c>
      <c r="Z160" s="51" t="e" cm="1">
        <f t="array" ref="Z160">EntericMethane_PastureBeef_Equations.VEERG_3_2_1_1__1_TotalAnnualMethaneFromEntericFermentation(Z144,Z108,Z128)</f>
        <v>#N/A</v>
      </c>
      <c r="AA160" s="51" t="e" cm="1">
        <f t="array" ref="AA160">EntericMethane_PastureBeef_Equations.VEERG_3_2_1_1__1_TotalAnnualMethaneFromEntericFermentation(AA144,AA108,AA128)</f>
        <v>#N/A</v>
      </c>
      <c r="AB160" s="51" t="e" cm="1">
        <f t="array" ref="AB160">EntericMethane_PastureBeef_Equations.VEERG_3_2_1_1__1_TotalAnnualMethaneFromEntericFermentation(AB144,AB108,AB128)</f>
        <v>#N/A</v>
      </c>
      <c r="AC160" s="51" t="e" cm="1">
        <f t="array" ref="AC160">EntericMethane_PastureBeef_Equations.VEERG_3_2_1_1__1_TotalAnnualMethaneFromEntericFermentation(AC144,AC108,AC128)</f>
        <v>#N/A</v>
      </c>
      <c r="AD160" s="51" t="e" cm="1">
        <f t="array" ref="AD160">EntericMethane_PastureBeef_Equations.VEERG_3_2_1_1__1_TotalAnnualMethaneFromEntericFermentation(AD144,AD108,AD128)</f>
        <v>#N/A</v>
      </c>
      <c r="AE160" s="51" t="e" cm="1">
        <f t="array" ref="AE160">EntericMethane_PastureBeef_Equations.VEERG_3_2_1_1__1_TotalAnnualMethaneFromEntericFermentation(AE144,AE108,AE128)</f>
        <v>#N/A</v>
      </c>
      <c r="AF160" s="2"/>
    </row>
    <row r="161" spans="21:24" ht="20.100000000000001" customHeight="1" x14ac:dyDescent="0.25">
      <c r="U161" s="97" t="s">
        <v>227</v>
      </c>
      <c r="V161" s="98" t="e">
        <f>SUM(V149:AE160)</f>
        <v>#N/A</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t="e">
        <f>V161</f>
        <v>#N/A</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t="e" cm="1">
        <f t="array" ref="V166">Common_Equations.Common_ConvertN2OToCO2e(X163,X164)</f>
        <v>#N/A</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229</v>
      </c>
      <c r="G5" s="6" t="s">
        <v>91</v>
      </c>
      <c r="M5" s="1" t="s">
        <v>165</v>
      </c>
      <c r="O5" s="1" t="s">
        <v>166</v>
      </c>
      <c r="Q5" s="1" t="s">
        <v>167</v>
      </c>
      <c r="S5" s="1" t="s">
        <v>177</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142</v>
      </c>
      <c r="O7" s="36" t="s">
        <v>142</v>
      </c>
      <c r="Q7" s="36" t="s">
        <v>142</v>
      </c>
      <c r="S7" s="36" t="s">
        <v>142</v>
      </c>
    </row>
    <row r="8" spans="1:21" ht="20.100000000000001" customHeight="1" x14ac:dyDescent="0.25">
      <c r="A8" s="17" t="str">
        <f>HYPERLINK("#'Input - Pasture Beef'!A1", "Pasture Beef")</f>
        <v>Pasture Beef</v>
      </c>
      <c r="D8" s="36" t="str">
        <f>'Constants - Common'!$F$187</f>
        <v>Pasture</v>
      </c>
      <c r="G8" s="36" t="s">
        <v>92</v>
      </c>
      <c r="M8" s="36" t="s">
        <v>168</v>
      </c>
      <c r="O8" s="36" t="s">
        <v>170</v>
      </c>
      <c r="Q8" s="36" t="s">
        <v>173</v>
      </c>
      <c r="S8" s="36" t="s">
        <v>161</v>
      </c>
    </row>
    <row r="9" spans="1:21" ht="20.100000000000001" customHeight="1" x14ac:dyDescent="0.25">
      <c r="A9" s="17"/>
      <c r="D9" s="1" t="str">
        <f>'Constants - Common'!$F$188</f>
        <v>Crop</v>
      </c>
      <c r="G9" s="36" t="s">
        <v>93</v>
      </c>
      <c r="M9" s="36" t="s">
        <v>169</v>
      </c>
      <c r="O9" s="36" t="s">
        <v>171</v>
      </c>
      <c r="Q9" s="36" t="s">
        <v>174</v>
      </c>
    </row>
    <row r="10" spans="1:21" ht="20.100000000000001" customHeight="1" x14ac:dyDescent="0.25">
      <c r="A10" s="19" t="s">
        <v>59</v>
      </c>
      <c r="G10" s="1" t="s">
        <v>94</v>
      </c>
      <c r="M10" s="36" t="s">
        <v>164</v>
      </c>
      <c r="O10" s="36" t="s">
        <v>172</v>
      </c>
      <c r="Q10" s="36" t="s">
        <v>175</v>
      </c>
      <c r="S10" s="1" t="s">
        <v>178</v>
      </c>
    </row>
    <row r="11" spans="1:21" ht="20.100000000000001" customHeight="1" x14ac:dyDescent="0.25">
      <c r="A11" s="17" t="str">
        <f>HYPERLINK("#'3.2.1.1-2 Enteric Methane'!A1", "3.2.1.1-2 Enteric Methane")</f>
        <v>3.2.1.1-2 Enteric Methane</v>
      </c>
      <c r="G11" s="1" t="s">
        <v>95</v>
      </c>
      <c r="M11" s="1"/>
      <c r="Q11" s="36" t="s">
        <v>176</v>
      </c>
    </row>
    <row r="12" spans="1:21" ht="20.100000000000001" customHeight="1" x14ac:dyDescent="0.25">
      <c r="A12" s="17"/>
      <c r="G12" s="1" t="s">
        <v>96</v>
      </c>
      <c r="M12" s="1"/>
      <c r="S12" s="36" t="s">
        <v>142</v>
      </c>
    </row>
    <row r="13" spans="1:21" ht="20.100000000000001" customHeight="1" x14ac:dyDescent="0.25">
      <c r="A13" s="18" t="s">
        <v>2</v>
      </c>
      <c r="M13" s="1"/>
      <c r="S13" s="36" t="s">
        <v>161</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179</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142</v>
      </c>
    </row>
    <row r="18" spans="1:19" ht="20.100000000000001" customHeight="1" x14ac:dyDescent="0.25">
      <c r="D18" s="36" t="s">
        <v>5</v>
      </c>
      <c r="E18" s="36" t="s">
        <v>142</v>
      </c>
      <c r="F18" s="36" t="s">
        <v>143</v>
      </c>
      <c r="G18" s="36" t="s">
        <v>144</v>
      </c>
      <c r="H18" s="36" t="s">
        <v>145</v>
      </c>
      <c r="I18" s="36" t="s">
        <v>146</v>
      </c>
      <c r="J18" s="36" t="s">
        <v>147</v>
      </c>
      <c r="K18" s="36" t="s">
        <v>148</v>
      </c>
      <c r="L18" s="36" t="s">
        <v>149</v>
      </c>
      <c r="M18" s="36" t="s">
        <v>150</v>
      </c>
      <c r="S18" s="36" t="s">
        <v>161</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142</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161</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142</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161</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142</v>
      </c>
      <c r="F53" s="36" t="s">
        <v>143</v>
      </c>
      <c r="G53" s="36" t="s">
        <v>162</v>
      </c>
      <c r="H53" s="36" t="s">
        <v>151</v>
      </c>
      <c r="I53" s="36" t="s">
        <v>152</v>
      </c>
      <c r="J53" s="36" t="s">
        <v>153</v>
      </c>
      <c r="K53" s="36" t="s">
        <v>154</v>
      </c>
      <c r="L53" s="36" t="s">
        <v>155</v>
      </c>
      <c r="M53" s="36" t="s">
        <v>156</v>
      </c>
      <c r="N53" s="36" t="s">
        <v>157</v>
      </c>
      <c r="O53" s="36" t="s">
        <v>158</v>
      </c>
      <c r="P53" s="36" t="s">
        <v>159</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160</v>
      </c>
      <c r="M84" s="1"/>
    </row>
    <row r="85" spans="4:22" ht="20.100000000000001" customHeight="1" x14ac:dyDescent="0.25">
      <c r="D85" s="36" t="s">
        <v>5</v>
      </c>
      <c r="E85" s="36" t="s">
        <v>142</v>
      </c>
      <c r="F85" s="36" t="s">
        <v>143</v>
      </c>
      <c r="G85" s="109" t="s">
        <v>102</v>
      </c>
      <c r="H85" s="109" t="s">
        <v>101</v>
      </c>
      <c r="I85" s="109" t="s">
        <v>124</v>
      </c>
      <c r="J85" s="109" t="s">
        <v>125</v>
      </c>
      <c r="K85" s="109" t="s">
        <v>126</v>
      </c>
      <c r="L85" s="109" t="s">
        <v>127</v>
      </c>
      <c r="M85" s="109" t="s">
        <v>128</v>
      </c>
      <c r="N85" s="109" t="s">
        <v>129</v>
      </c>
      <c r="O85" s="109" t="s">
        <v>130</v>
      </c>
      <c r="P85" s="109" t="s">
        <v>131</v>
      </c>
      <c r="V85" s="1"/>
    </row>
    <row r="86" spans="4:22" ht="20.100000000000001" customHeight="1" x14ac:dyDescent="0.25">
      <c r="D86" s="36" t="s">
        <v>64</v>
      </c>
      <c r="E86" s="36" t="s">
        <v>161</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161</v>
      </c>
      <c r="F87" s="36" t="s">
        <v>133</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161</v>
      </c>
      <c r="F88" s="36" t="s">
        <v>134</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161</v>
      </c>
      <c r="F89" s="36" t="s">
        <v>135</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161</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161</v>
      </c>
      <c r="F91" s="36" t="s">
        <v>133</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161</v>
      </c>
      <c r="F92" s="36" t="s">
        <v>134</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161</v>
      </c>
      <c r="F93" s="36" t="s">
        <v>135</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161</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161</v>
      </c>
      <c r="F95" s="36" t="s">
        <v>133</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161</v>
      </c>
      <c r="F96" s="36" t="s">
        <v>134</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161</v>
      </c>
      <c r="F97" s="36" t="s">
        <v>135</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161</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161</v>
      </c>
      <c r="F99" s="36" t="s">
        <v>133</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161</v>
      </c>
      <c r="F100" s="36" t="s">
        <v>134</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161</v>
      </c>
      <c r="F101" s="36" t="s">
        <v>135</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161</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161</v>
      </c>
      <c r="F103" s="36" t="s">
        <v>133</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161</v>
      </c>
      <c r="F104" s="36" t="s">
        <v>134</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161</v>
      </c>
      <c r="F105" s="36" t="s">
        <v>135</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262</v>
      </c>
      <c r="E146" s="1" t="s">
        <v>161</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262</v>
      </c>
      <c r="E147" s="1" t="s">
        <v>161</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262</v>
      </c>
      <c r="E148" s="1" t="s">
        <v>161</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262</v>
      </c>
      <c r="E149" s="1" t="s">
        <v>161</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142</v>
      </c>
      <c r="F154" s="36" t="s">
        <v>143</v>
      </c>
      <c r="G154" s="36" t="s">
        <v>162</v>
      </c>
      <c r="H154" s="36" t="s">
        <v>151</v>
      </c>
      <c r="I154" s="36" t="s">
        <v>182</v>
      </c>
      <c r="J154" s="36" t="s">
        <v>147</v>
      </c>
      <c r="K154" s="36" t="s">
        <v>183</v>
      </c>
      <c r="L154" s="36" t="s">
        <v>156</v>
      </c>
      <c r="M154" s="36" t="s">
        <v>184</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142</v>
      </c>
      <c r="F189" s="36" t="s">
        <v>143</v>
      </c>
      <c r="G189" s="36" t="s">
        <v>162</v>
      </c>
      <c r="H189" s="36" t="s">
        <v>151</v>
      </c>
      <c r="I189" s="36" t="s">
        <v>182</v>
      </c>
      <c r="J189" s="36" t="s">
        <v>147</v>
      </c>
      <c r="K189" s="36" t="s">
        <v>185</v>
      </c>
      <c r="L189" s="36" t="s">
        <v>186</v>
      </c>
      <c r="M189" s="36" t="s">
        <v>156</v>
      </c>
      <c r="N189" s="36" t="s">
        <v>157</v>
      </c>
      <c r="O189" s="36" t="s">
        <v>158</v>
      </c>
      <c r="P189" s="36" t="s">
        <v>159</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160</v>
      </c>
      <c r="M220" s="1"/>
    </row>
    <row r="221" spans="4:16" x14ac:dyDescent="0.25">
      <c r="M221" s="1"/>
    </row>
    <row r="222" spans="4:16" x14ac:dyDescent="0.25">
      <c r="D222" s="36" t="s">
        <v>5</v>
      </c>
      <c r="E222" s="36" t="s">
        <v>142</v>
      </c>
      <c r="F222" s="36" t="s">
        <v>143</v>
      </c>
      <c r="G222" s="109" t="s">
        <v>102</v>
      </c>
      <c r="H222" s="109" t="s">
        <v>101</v>
      </c>
      <c r="I222" s="109" t="s">
        <v>124</v>
      </c>
      <c r="J222" s="109" t="s">
        <v>125</v>
      </c>
      <c r="K222" s="109" t="s">
        <v>126</v>
      </c>
      <c r="L222" s="109" t="s">
        <v>127</v>
      </c>
      <c r="M222" s="109" t="s">
        <v>128</v>
      </c>
      <c r="N222" s="109" t="s">
        <v>129</v>
      </c>
      <c r="O222" s="109" t="s">
        <v>130</v>
      </c>
      <c r="P222" s="109" t="s">
        <v>131</v>
      </c>
    </row>
    <row r="223" spans="4:16" x14ac:dyDescent="0.25">
      <c r="D223" s="36" t="s">
        <v>64</v>
      </c>
      <c r="E223" s="36" t="s">
        <v>161</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161</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161</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161</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161</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161</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161</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161</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161</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161</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161</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161</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161</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161</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161</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161</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161</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161</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161</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161</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142</v>
      </c>
      <c r="F290" s="36" t="s">
        <v>132</v>
      </c>
      <c r="G290" s="36" t="s">
        <v>133</v>
      </c>
      <c r="H290" s="36" t="s">
        <v>134</v>
      </c>
      <c r="I290" s="36" t="s">
        <v>135</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142</v>
      </c>
      <c r="F313" s="36" t="s">
        <v>132</v>
      </c>
      <c r="G313" s="36" t="s">
        <v>133</v>
      </c>
      <c r="H313" s="36" t="s">
        <v>134</v>
      </c>
      <c r="I313" s="36" t="s">
        <v>135</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205</v>
      </c>
      <c r="M333" s="1"/>
    </row>
    <row r="334" spans="4:13" x14ac:dyDescent="0.25">
      <c r="D334" s="36" t="s">
        <v>100</v>
      </c>
      <c r="E334" s="36" t="s">
        <v>143</v>
      </c>
      <c r="F334" s="36" t="s">
        <v>190</v>
      </c>
      <c r="G334" s="36" t="s">
        <v>191</v>
      </c>
      <c r="I334" s="36" t="s">
        <v>100</v>
      </c>
      <c r="J334" s="36" t="s">
        <v>143</v>
      </c>
      <c r="K334" s="36" t="s">
        <v>190</v>
      </c>
      <c r="L334" s="36" t="s">
        <v>191</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203</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204</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203</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204</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192</v>
      </c>
      <c r="F350" s="36" t="s">
        <v>193</v>
      </c>
      <c r="G350" s="36" t="s">
        <v>152</v>
      </c>
      <c r="H350" s="36" t="s">
        <v>153</v>
      </c>
      <c r="I350" s="36" t="s">
        <v>194</v>
      </c>
      <c r="J350" s="36" t="s">
        <v>156</v>
      </c>
      <c r="K350" s="36" t="s">
        <v>184</v>
      </c>
      <c r="L350" s="36" t="s">
        <v>195</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124</v>
      </c>
      <c r="H361" s="109" t="s">
        <v>125</v>
      </c>
      <c r="I361" s="109" t="s">
        <v>126</v>
      </c>
      <c r="J361" s="109" t="s">
        <v>127</v>
      </c>
      <c r="K361" s="109" t="s">
        <v>128</v>
      </c>
      <c r="L361" s="109" t="s">
        <v>129</v>
      </c>
      <c r="M361" s="109" t="s">
        <v>130</v>
      </c>
      <c r="N361" s="109" t="s">
        <v>131</v>
      </c>
      <c r="O361" s="36" t="s">
        <v>195</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219</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142</v>
      </c>
      <c r="F377" s="36" t="s">
        <v>108</v>
      </c>
      <c r="G377" s="36" t="s">
        <v>196</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142</v>
      </c>
      <c r="F400" s="36" t="s">
        <v>108</v>
      </c>
      <c r="G400" s="36" t="s">
        <v>196</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116</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143</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231</v>
      </c>
      <c r="F231" s="35" t="s">
        <v>218</v>
      </c>
      <c r="G231" s="36" t="s">
        <v>232</v>
      </c>
      <c r="H231" s="36" t="s">
        <v>233</v>
      </c>
      <c r="I231" s="36" t="s">
        <v>234</v>
      </c>
      <c r="J231" s="36" t="s">
        <v>235</v>
      </c>
      <c r="K231" s="36" t="s">
        <v>236</v>
      </c>
      <c r="L231" s="36" t="s">
        <v>237</v>
      </c>
      <c r="M231" s="36" t="s">
        <v>238</v>
      </c>
      <c r="N231" s="36" t="s">
        <v>239</v>
      </c>
      <c r="O231" s="36" t="s">
        <v>240</v>
      </c>
      <c r="P231" s="36" t="s">
        <v>241</v>
      </c>
      <c r="Q231" s="36" t="s">
        <v>242</v>
      </c>
      <c r="R231" s="36" t="s">
        <v>108</v>
      </c>
      <c r="S231" s="36" t="s">
        <v>243</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263</v>
      </c>
      <c r="E257" s="36" t="s">
        <v>264</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2026-06-23T21:24:18Z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