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024D0D55-C2CB-42E6-9755-1BCBAF59022A}" xr6:coauthVersionLast="47" xr6:coauthVersionMax="47" xr10:uidLastSave="{00000000-0000-0000-0000-000000000000}"/>
  <bookViews>
    <workbookView xWindow="1950" yWindow="1950" windowWidth="28800" windowHeight="15345" firstSheet="4" activeTab="6"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25"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VEERG_6_1_1_1__1__NitrousOxideEmissionsFromCropResidues_Result_Method1">'6.1.1.1-2 Crop residue N2O'!$E$42</definedName>
    <definedName name="VEERG_6_1_1_1__1__NitrousOxideEmissionsFromCropResidues_Result_Method2">'6.1.1.1-2 Crop residue N2O'!$N$62</definedName>
    <definedName name="VEERG_6_1_1_1__2__MassOfNitrogenInCropResidues_Result_Method1">'6.1.1.1-2 Crop residue N2O'!$E$24</definedName>
    <definedName name="VEERG_6_1_1_1__2__MassOfNitrogenInCropResidues_Result_Method2">'6.1.1.1-2 Crop residue N2O'!$N$44</definedName>
    <definedName name="VEERG_6_1_1_2__1__FractionOfCropResidueRemovedBaled_Result">'6.1.1.1-2 Crop residue N2O'!$N$21</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PercentResidueGrazed">'Input - Crop'!#REF!</definedName>
    <definedName name="X_Cell_Crop_TotalProductionOfCrop">'Input - Crop'!$E$22</definedName>
    <definedName name="X_Cell_Crop_TotalResidueBaled">'Input - Crop'!$E$36</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20" l="1"/>
  <c r="D30" i="70"/>
  <c r="D26" i="70"/>
  <c r="D25" i="70"/>
  <c r="D24" i="70"/>
  <c r="F22" i="70"/>
  <c r="E22" i="70"/>
  <c r="E18" i="70"/>
  <c r="E19" i="70" s="1"/>
  <c r="F17" i="70"/>
  <c r="D17" i="70"/>
  <c r="E33" i="15"/>
  <c r="E31" i="15"/>
  <c r="E32" i="15" s="1"/>
  <c r="E30" i="15"/>
  <c r="E29" i="15"/>
  <c r="E13" i="15"/>
  <c r="A25" i="125"/>
  <c r="A24" i="125"/>
  <c r="A20" i="125"/>
  <c r="A19" i="125"/>
  <c r="A18" i="125"/>
  <c r="A17" i="125"/>
  <c r="A16" i="125"/>
  <c r="A15" i="125"/>
  <c r="A11" i="125"/>
  <c r="A10" i="125"/>
  <c r="A9" i="125"/>
  <c r="A5" i="125"/>
  <c r="A4" i="125"/>
  <c r="A3" i="125"/>
  <c r="A25" i="110"/>
  <c r="A24" i="110"/>
  <c r="A20" i="110"/>
  <c r="A19" i="110"/>
  <c r="A18" i="110"/>
  <c r="A17" i="110"/>
  <c r="A16" i="110"/>
  <c r="A15" i="110"/>
  <c r="A11" i="110"/>
  <c r="A10" i="110"/>
  <c r="A9" i="110"/>
  <c r="A5" i="110"/>
  <c r="A4" i="110"/>
  <c r="A3" i="110"/>
  <c r="A25" i="114"/>
  <c r="A24" i="114"/>
  <c r="A20" i="114"/>
  <c r="A19" i="114"/>
  <c r="A18" i="114"/>
  <c r="A17" i="114"/>
  <c r="A16" i="114"/>
  <c r="A15" i="114"/>
  <c r="A11" i="114"/>
  <c r="A10" i="114"/>
  <c r="A9" i="114"/>
  <c r="A5" i="114"/>
  <c r="A4" i="114"/>
  <c r="A3" i="114"/>
  <c r="A25" i="122"/>
  <c r="A24" i="122"/>
  <c r="A20" i="122"/>
  <c r="A19" i="122"/>
  <c r="A18" i="122"/>
  <c r="A17" i="122"/>
  <c r="A16" i="122"/>
  <c r="A15" i="122"/>
  <c r="A11" i="122"/>
  <c r="A10" i="122"/>
  <c r="A9" i="122"/>
  <c r="A5" i="122"/>
  <c r="A4" i="122"/>
  <c r="A3" i="122"/>
  <c r="A25" i="123"/>
  <c r="A24" i="123"/>
  <c r="A20" i="123"/>
  <c r="A19" i="123"/>
  <c r="A18" i="123"/>
  <c r="A17" i="123"/>
  <c r="A16" i="123"/>
  <c r="A15" i="123"/>
  <c r="A11" i="123"/>
  <c r="A10" i="123"/>
  <c r="A9" i="123"/>
  <c r="A5" i="123"/>
  <c r="A4" i="123"/>
  <c r="A3" i="123"/>
  <c r="A25" i="113"/>
  <c r="A24" i="113"/>
  <c r="A20" i="113"/>
  <c r="A19" i="113"/>
  <c r="A18" i="113"/>
  <c r="A17" i="113"/>
  <c r="A16" i="113"/>
  <c r="A15" i="113"/>
  <c r="A11" i="113"/>
  <c r="A10" i="113"/>
  <c r="A9" i="113"/>
  <c r="A5" i="113"/>
  <c r="A4" i="113"/>
  <c r="A3" i="113"/>
  <c r="A25" i="74"/>
  <c r="A24" i="74"/>
  <c r="A20" i="74"/>
  <c r="A19" i="74"/>
  <c r="A18" i="74"/>
  <c r="A17" i="74"/>
  <c r="A16" i="74"/>
  <c r="A15" i="74"/>
  <c r="A11" i="74"/>
  <c r="A10" i="74"/>
  <c r="A9" i="74"/>
  <c r="A5" i="74"/>
  <c r="A4" i="74"/>
  <c r="A3" i="74"/>
  <c r="A25" i="69"/>
  <c r="A24" i="69"/>
  <c r="A20" i="69"/>
  <c r="A19" i="69"/>
  <c r="A18" i="69"/>
  <c r="A17" i="69"/>
  <c r="A16" i="69"/>
  <c r="A15" i="69"/>
  <c r="A11" i="69"/>
  <c r="A10" i="69"/>
  <c r="A9" i="69"/>
  <c r="A5" i="69"/>
  <c r="A4" i="69"/>
  <c r="A3" i="69"/>
  <c r="A25" i="120"/>
  <c r="A24" i="120"/>
  <c r="A20" i="120"/>
  <c r="A19" i="120"/>
  <c r="A18" i="120"/>
  <c r="A17" i="120"/>
  <c r="A16" i="120"/>
  <c r="A15" i="120"/>
  <c r="A11" i="120"/>
  <c r="A10" i="120"/>
  <c r="A9" i="120"/>
  <c r="A5" i="120"/>
  <c r="A4" i="120"/>
  <c r="A3" i="120"/>
  <c r="A25" i="70"/>
  <c r="A24" i="70"/>
  <c r="A20" i="70"/>
  <c r="A19" i="70"/>
  <c r="A18" i="70"/>
  <c r="A17" i="70"/>
  <c r="A16" i="70"/>
  <c r="A15" i="70"/>
  <c r="A11" i="70"/>
  <c r="A10" i="70"/>
  <c r="A9" i="70"/>
  <c r="A5" i="70"/>
  <c r="A4" i="70"/>
  <c r="A3" i="70"/>
  <c r="A25" i="15"/>
  <c r="A24" i="15"/>
  <c r="A20" i="15"/>
  <c r="A19" i="15"/>
  <c r="A18" i="15"/>
  <c r="A17" i="15"/>
  <c r="A16" i="15"/>
  <c r="A15" i="15"/>
  <c r="A11" i="15"/>
  <c r="A10" i="15"/>
  <c r="A9" i="15"/>
  <c r="A5" i="15"/>
  <c r="A4" i="15"/>
  <c r="A3" i="15"/>
  <c r="A25" i="13"/>
  <c r="A24" i="13"/>
  <c r="A20" i="13"/>
  <c r="A19" i="13"/>
  <c r="A18" i="13"/>
  <c r="A17" i="13"/>
  <c r="A16" i="13"/>
  <c r="A15" i="13"/>
  <c r="A11" i="13"/>
  <c r="A10" i="13"/>
  <c r="A9" i="13"/>
  <c r="A5" i="13"/>
  <c r="A4" i="13"/>
  <c r="A3" i="13"/>
  <c r="A25" i="118"/>
  <c r="A24" i="118"/>
  <c r="A20" i="118"/>
  <c r="A19" i="118"/>
  <c r="A18" i="118"/>
  <c r="A17" i="118"/>
  <c r="A16" i="118"/>
  <c r="A15" i="118"/>
  <c r="A11" i="118"/>
  <c r="A10" i="118"/>
  <c r="A9" i="118"/>
  <c r="A5" i="118"/>
  <c r="A4" i="118"/>
  <c r="A3" i="118"/>
  <c r="A25" i="71"/>
  <c r="A24" i="71"/>
  <c r="A20" i="71"/>
  <c r="A19" i="71"/>
  <c r="A18" i="71"/>
  <c r="A17" i="71"/>
  <c r="A16" i="71"/>
  <c r="A15" i="71"/>
  <c r="A11" i="71"/>
  <c r="A10" i="71"/>
  <c r="A9" i="71"/>
  <c r="A5" i="71"/>
  <c r="A4" i="71"/>
  <c r="A3" i="71"/>
  <c r="J37" i="122"/>
  <c r="J15" i="122"/>
  <c r="J37" i="123"/>
  <c r="J15" i="123"/>
  <c r="J37" i="113"/>
  <c r="J15" i="113"/>
  <c r="I59" i="114"/>
  <c r="I36" i="114"/>
  <c r="J38" i="122"/>
  <c r="J38" i="123"/>
  <c r="J38" i="113"/>
  <c r="J35" i="74"/>
  <c r="R58" i="69"/>
  <c r="I38" i="69"/>
  <c r="H65" i="114"/>
  <c r="H42" i="114"/>
  <c r="Q51" i="122"/>
  <c r="G51" i="122"/>
  <c r="Q51" i="123"/>
  <c r="G51" i="123"/>
  <c r="Q51" i="113"/>
  <c r="G51" i="113"/>
  <c r="Q43" i="74"/>
  <c r="G43" i="74"/>
  <c r="P65" i="69"/>
  <c r="G45" i="69"/>
  <c r="I22" i="69"/>
  <c r="E259" i="125" a="1"/>
  <c r="E259" i="125" s="1"/>
  <c r="D259" i="125" a="1"/>
  <c r="D259" i="125" s="1"/>
  <c r="E258" i="125" a="1"/>
  <c r="E258" i="125" s="1"/>
  <c r="D258" i="125" a="1"/>
  <c r="D258" i="125" s="1"/>
  <c r="D256" i="125" a="1"/>
  <c r="D256" i="125" s="1"/>
  <c r="D255" i="125" a="1"/>
  <c r="D255" i="125" s="1"/>
  <c r="D254" i="125"/>
  <c r="D254" i="125" a="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c r="D168" i="125" a="1"/>
  <c r="D167" i="125"/>
  <c r="D167" i="125" a="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c r="D151" i="125" a="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c r="D139" i="125" a="1"/>
  <c r="E136" i="125" a="1"/>
  <c r="E136" i="125" s="1"/>
  <c r="D136" i="125" a="1"/>
  <c r="D136" i="125" s="1"/>
  <c r="E135" i="125" a="1"/>
  <c r="E135" i="125" s="1"/>
  <c r="D135" i="125" a="1"/>
  <c r="D135" i="125" s="1"/>
  <c r="D133" i="125" a="1"/>
  <c r="D133" i="125" s="1"/>
  <c r="D132" i="125"/>
  <c r="D132" i="125" a="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c r="D81" i="125" a="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a="1"/>
  <c r="D46" i="125" s="1"/>
  <c r="D45" i="125"/>
  <c r="D45" i="125" a="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a="1"/>
  <c r="D35" i="125" s="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a="1"/>
  <c r="D19" i="125" s="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P53" i="123" a="1"/>
  <c r="P53" i="123" s="1"/>
  <c r="F53" i="123" a="1"/>
  <c r="F53" i="123" s="1"/>
  <c r="N50" i="123" a="1"/>
  <c r="N50" i="123" s="1"/>
  <c r="D50" i="123" a="1"/>
  <c r="D50" i="123" s="1"/>
  <c r="J39" i="123"/>
  <c r="J36" i="123" a="1"/>
  <c r="J36" i="123" s="1"/>
  <c r="H36" i="123" a="1"/>
  <c r="H36" i="123" s="1"/>
  <c r="D36" i="123" a="1"/>
  <c r="D36" i="123" s="1"/>
  <c r="E34" i="123" a="1"/>
  <c r="E34" i="123" s="1"/>
  <c r="E33" i="123" a="1"/>
  <c r="E33" i="123" s="1"/>
  <c r="D29" i="123" a="1"/>
  <c r="D29" i="123" s="1"/>
  <c r="D28" i="123" a="1"/>
  <c r="D28" i="123" s="1"/>
  <c r="G24" i="123"/>
  <c r="F24" i="123"/>
  <c r="H24" i="123" s="1"/>
  <c r="J19" i="123" a="1"/>
  <c r="J19" i="123" s="1"/>
  <c r="J17" i="123"/>
  <c r="J16" i="123" a="1"/>
  <c r="J16" i="123" s="1"/>
  <c r="J14" i="123" a="1"/>
  <c r="J14" i="123" s="1"/>
  <c r="J13" i="123" a="1"/>
  <c r="J13" i="123" s="1"/>
  <c r="H13" i="123" a="1"/>
  <c r="H13" i="123" s="1"/>
  <c r="D13" i="123" a="1"/>
  <c r="D13" i="123" s="1"/>
  <c r="E11" i="123" a="1"/>
  <c r="E11" i="123" s="1"/>
  <c r="E10" i="123" a="1"/>
  <c r="E10" i="123" s="1"/>
  <c r="D6" i="123" a="1"/>
  <c r="D6" i="123" s="1"/>
  <c r="D5" i="123" a="1"/>
  <c r="D5" i="123" s="1"/>
  <c r="P53" i="122" a="1"/>
  <c r="P53" i="122" s="1"/>
  <c r="F53" i="122" a="1"/>
  <c r="F53" i="122" s="1"/>
  <c r="N50" i="122" a="1"/>
  <c r="N50" i="122" s="1"/>
  <c r="D50" i="122" a="1"/>
  <c r="D50" i="122" s="1"/>
  <c r="J40" i="122"/>
  <c r="J36" i="122" a="1"/>
  <c r="J36" i="122" s="1"/>
  <c r="H36" i="122" a="1"/>
  <c r="H36" i="122" s="1"/>
  <c r="D36" i="122" a="1"/>
  <c r="D36" i="122" s="1"/>
  <c r="E34" i="122" a="1"/>
  <c r="E34" i="122" s="1"/>
  <c r="E33" i="122" a="1"/>
  <c r="E33" i="122" s="1"/>
  <c r="D29" i="122" a="1"/>
  <c r="D29" i="122" s="1"/>
  <c r="D28" i="122" a="1"/>
  <c r="D28" i="122" s="1"/>
  <c r="G25" i="122"/>
  <c r="H25" i="122" s="1"/>
  <c r="F25" i="122"/>
  <c r="J19" i="122" a="1"/>
  <c r="J19" i="122" s="1"/>
  <c r="J18" i="122"/>
  <c r="J16" i="122" a="1"/>
  <c r="J16" i="122" s="1"/>
  <c r="J14" i="122" a="1"/>
  <c r="J14" i="122" s="1"/>
  <c r="J13" i="122" a="1"/>
  <c r="J13" i="122" s="1"/>
  <c r="H13" i="122" a="1"/>
  <c r="H13" i="122" s="1"/>
  <c r="D13" i="122" a="1"/>
  <c r="D13" i="122" s="1"/>
  <c r="E11" i="122" a="1"/>
  <c r="E11" i="122" s="1"/>
  <c r="E10" i="122" a="1"/>
  <c r="E10" i="122" s="1"/>
  <c r="D6" i="122" a="1"/>
  <c r="D6" i="122" s="1"/>
  <c r="D5" i="122" a="1"/>
  <c r="D5" i="122" s="1"/>
  <c r="I18" i="114"/>
  <c r="G25" i="113"/>
  <c r="F25" i="113"/>
  <c r="H25" i="113" s="1"/>
  <c r="G24" i="113"/>
  <c r="H24" i="113" s="1"/>
  <c r="F24" i="113"/>
  <c r="I60" i="114"/>
  <c r="I37" i="114"/>
  <c r="I19" i="114"/>
  <c r="I13" i="114"/>
  <c r="J40" i="113"/>
  <c r="J39" i="113"/>
  <c r="J18" i="113"/>
  <c r="J17" i="113"/>
  <c r="J36" i="74"/>
  <c r="J19" i="74"/>
  <c r="J13" i="74"/>
  <c r="R59" i="69"/>
  <c r="E50" i="114"/>
  <c r="E27" i="74"/>
  <c r="E30" i="122" a="1"/>
  <c r="O27" i="74"/>
  <c r="N50" i="69"/>
  <c r="E30" i="69"/>
  <c r="E30" i="123" a="1"/>
  <c r="E7" i="123" a="1"/>
  <c r="E27" i="114"/>
  <c r="E7" i="122" a="1"/>
  <c r="E30" i="70" l="1"/>
  <c r="E20" i="70"/>
  <c r="H53" i="125"/>
  <c r="H50" i="125"/>
  <c r="H48" i="125"/>
  <c r="H49" i="125"/>
  <c r="H51" i="125"/>
  <c r="H54" i="125"/>
  <c r="H52" i="125"/>
  <c r="E7" i="122"/>
  <c r="E30" i="122"/>
  <c r="E30" i="123"/>
  <c r="E7" i="123"/>
  <c r="P48" i="123"/>
  <c r="F48" i="123"/>
  <c r="P48" i="122"/>
  <c r="F48" i="122"/>
  <c r="I39" i="69"/>
  <c r="Q19" i="69"/>
  <c r="Q17" i="69"/>
  <c r="Q16"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E40" i="70" l="1"/>
  <c r="E36" i="70"/>
  <c r="J37" i="74"/>
  <c r="E42" i="70" l="1"/>
  <c r="I40" i="69"/>
  <c r="R60"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7" i="114" a="1"/>
  <c r="E7" i="113" a="1"/>
  <c r="E30" i="113" a="1"/>
  <c r="P48" i="113" l="1"/>
  <c r="I57" i="114" a="1"/>
  <c r="I57" i="114" s="1"/>
  <c r="I35" i="114" a="1"/>
  <c r="I35" i="114" s="1"/>
  <c r="I15" i="114" a="1"/>
  <c r="I15" i="114" s="1"/>
  <c r="I34" i="114" a="1"/>
  <c r="I34" i="114" s="1"/>
  <c r="I17" i="114" a="1"/>
  <c r="I17" i="114" s="1"/>
  <c r="I16" i="114" a="1"/>
  <c r="I16" i="114" s="1"/>
  <c r="E7"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33" i="69" a="1"/>
  <c r="P33" i="69" s="1"/>
  <c r="M33" i="69" a="1"/>
  <c r="M33" i="69" s="1"/>
  <c r="O67" i="69" a="1"/>
  <c r="O67" i="69" s="1"/>
  <c r="M64" i="69" a="1"/>
  <c r="M64" i="69" s="1"/>
  <c r="P56" i="69" a="1"/>
  <c r="P56" i="69" s="1"/>
  <c r="M56" i="69" a="1"/>
  <c r="M56" i="69" s="1"/>
  <c r="N54" i="69" a="1"/>
  <c r="N54" i="69" s="1"/>
  <c r="N53" i="69" a="1"/>
  <c r="N53" i="69" s="1"/>
  <c r="M49" i="69" a="1"/>
  <c r="M49" i="69" s="1"/>
  <c r="M48" i="69" a="1"/>
  <c r="M48" i="69" s="1"/>
  <c r="N31" i="69" a="1"/>
  <c r="N31" i="69" s="1"/>
  <c r="N30" i="69" a="1"/>
  <c r="N30" i="69" s="1"/>
  <c r="M26" i="69" a="1"/>
  <c r="M26" i="69" s="1"/>
  <c r="M25" i="69" a="1"/>
  <c r="M25" i="69" s="1"/>
  <c r="E45" i="110" a="1"/>
  <c r="E45" i="110" s="1"/>
  <c r="D45" i="110" a="1"/>
  <c r="D45" i="110" s="1"/>
  <c r="E44" i="110" a="1"/>
  <c r="E44" i="110" s="1"/>
  <c r="D44" i="110" a="1"/>
  <c r="D44" i="110" s="1"/>
  <c r="D41" i="110" a="1"/>
  <c r="D41" i="110" s="1"/>
  <c r="D40" i="110" a="1"/>
  <c r="D40" i="110" s="1"/>
  <c r="G36" i="69" a="1"/>
  <c r="G36" i="69" s="1"/>
  <c r="G13" i="69" a="1"/>
  <c r="G13" i="69" s="1"/>
  <c r="O15" i="69" a="1"/>
  <c r="O15" i="69" s="1"/>
  <c r="M15" i="69" a="1"/>
  <c r="M15" i="69" s="1"/>
  <c r="D36" i="69" a="1"/>
  <c r="D36" i="69" s="1"/>
  <c r="D13" i="69" a="1"/>
  <c r="D13" i="69" s="1"/>
  <c r="E34" i="69" a="1"/>
  <c r="E34" i="69" s="1"/>
  <c r="F42" i="69" s="1"/>
  <c r="E33" i="69" a="1"/>
  <c r="E33" i="69" s="1"/>
  <c r="D29" i="69" a="1"/>
  <c r="D29" i="69" s="1"/>
  <c r="D28" i="69" a="1"/>
  <c r="D28"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N8" i="69" a="1"/>
  <c r="E7" i="69" a="1"/>
  <c r="E7" i="74" a="1"/>
  <c r="N27" i="69" a="1"/>
  <c r="J16" i="74" l="1" a="1"/>
  <c r="J16" i="74" s="1"/>
  <c r="T14" i="74"/>
  <c r="J17" i="74" a="1"/>
  <c r="J17" i="74" s="1"/>
  <c r="J18" i="74" a="1"/>
  <c r="J18" i="74" s="1"/>
  <c r="J14" i="74" a="1"/>
  <c r="J14" i="74" s="1"/>
  <c r="J15" i="74" a="1"/>
  <c r="J15" i="74" s="1"/>
  <c r="E7" i="74"/>
  <c r="O62" i="69"/>
  <c r="O44" i="69"/>
  <c r="N27" i="69"/>
  <c r="I19" i="69" a="1"/>
  <c r="I19" i="69" s="1"/>
  <c r="I18" i="69" a="1"/>
  <c r="I18" i="69" s="1"/>
  <c r="I20" i="69" a="1"/>
  <c r="I20" i="69" s="1"/>
  <c r="N8" i="69"/>
  <c r="E7" i="69"/>
  <c r="O21" i="74" l="1" a="1"/>
  <c r="O21" i="74" s="1"/>
  <c r="I14" i="114"/>
  <c r="E21" i="114" s="1" a="1"/>
  <c r="E21" i="114" s="1"/>
  <c r="E21" i="74" a="1"/>
  <c r="E21" i="74" s="1"/>
  <c r="D46" i="123" s="1"/>
  <c r="Q18" i="69"/>
  <c r="I14" i="69"/>
  <c r="O25" i="122" l="1"/>
  <c r="S25" i="122" s="1" a="1"/>
  <c r="S25" i="122" s="1"/>
  <c r="N46" i="122" s="1"/>
  <c r="O46" i="122" s="1" a="1"/>
  <c r="O46" i="122" s="1"/>
  <c r="N46" i="123"/>
  <c r="E25" i="113"/>
  <c r="E25" i="122"/>
  <c r="I25" i="122" s="1" a="1"/>
  <c r="I25" i="122" s="1"/>
  <c r="D46" i="122" s="1"/>
  <c r="E46" i="122" s="1" a="1"/>
  <c r="E46" i="122" s="1"/>
  <c r="T33" i="74"/>
  <c r="O25" i="113"/>
  <c r="I33" i="114"/>
  <c r="I56" i="114"/>
  <c r="J33" i="74"/>
  <c r="Q15" i="69" l="1"/>
  <c r="N21" i="69" s="1" a="1"/>
  <c r="N21" i="69" s="1"/>
  <c r="R37" i="69" l="1"/>
  <c r="N44" i="69" s="1" a="1"/>
  <c r="N44" i="69" s="1"/>
  <c r="R56" i="69" s="1"/>
  <c r="N45" i="122"/>
  <c r="O48" i="122" s="1"/>
  <c r="O24" i="123" l="1"/>
  <c r="S24" i="123" s="1" a="1"/>
  <c r="S24" i="123" s="1"/>
  <c r="N45" i="123" s="1"/>
  <c r="O45" i="123" s="1" a="1"/>
  <c r="O45" i="123" s="1"/>
  <c r="O48" i="123" s="1"/>
  <c r="Q50" i="123" s="1"/>
  <c r="O53" i="123" s="1" a="1"/>
  <c r="O53" i="123" s="1"/>
  <c r="O24" i="113"/>
  <c r="Q50" i="122"/>
  <c r="O53" i="122" s="1" a="1"/>
  <c r="O53" i="122" s="1"/>
  <c r="I17" i="69" a="1"/>
  <c r="I17" i="69" s="1"/>
  <c r="E24" i="69" s="1" a="1"/>
  <c r="E24" i="69" s="1"/>
  <c r="S24" i="113" a="1"/>
  <c r="S24" i="113" s="1"/>
  <c r="N45" i="113" s="1"/>
  <c r="E62" i="114" a="1"/>
  <c r="E62" i="114" s="1"/>
  <c r="E24" i="123" l="1"/>
  <c r="I24" i="123" s="1" a="1"/>
  <c r="I24" i="123" s="1"/>
  <c r="D45" i="123" s="1"/>
  <c r="E45" i="123" s="1" a="1"/>
  <c r="E45" i="123" s="1"/>
  <c r="E48" i="123" s="1"/>
  <c r="G50" i="123" s="1"/>
  <c r="E53" i="123" s="1" a="1"/>
  <c r="E53" i="123" s="1"/>
  <c r="I36" i="69"/>
  <c r="E13" i="13"/>
  <c r="F13" i="13" s="1"/>
  <c r="H64" i="114"/>
  <c r="E67" i="114" s="1" a="1"/>
  <c r="E67" i="114" s="1"/>
  <c r="H13" i="13" s="1"/>
  <c r="I13" i="13" s="1"/>
  <c r="E24" i="113"/>
  <c r="I24" i="113" s="1" a="1"/>
  <c r="I24" i="113" s="1"/>
  <c r="D45" i="113" s="1"/>
  <c r="D45" i="122"/>
  <c r="E48" i="122" s="1"/>
  <c r="E39" i="114" a="1"/>
  <c r="E39" i="114" s="1"/>
  <c r="I25" i="113" a="1"/>
  <c r="I25" i="113" s="1"/>
  <c r="D46" i="113" s="1"/>
  <c r="S25" i="113" a="1"/>
  <c r="S25" i="113" s="1"/>
  <c r="N46" i="113" s="1"/>
  <c r="E12" i="13" l="1"/>
  <c r="F12" i="13" s="1"/>
  <c r="H41" i="114"/>
  <c r="E53" i="122" a="1"/>
  <c r="E53" i="122" s="1"/>
  <c r="G50" i="122"/>
  <c r="E45" i="113" a="1"/>
  <c r="E45" i="113" s="1"/>
  <c r="O46" i="113" a="1"/>
  <c r="O46" i="113" s="1"/>
  <c r="O45" i="113" a="1"/>
  <c r="O45" i="113" s="1"/>
  <c r="E46" i="113" a="1"/>
  <c r="E46" i="113" s="1"/>
  <c r="E44" i="114" a="1"/>
  <c r="E44" i="114" s="1"/>
  <c r="H12" i="13" s="1"/>
  <c r="I12" i="13" s="1"/>
  <c r="J34" i="74" a="1"/>
  <c r="J34" i="74" s="1"/>
  <c r="O48" i="113" l="1"/>
  <c r="Q50" i="113" s="1"/>
  <c r="E48" i="113"/>
  <c r="O40" i="74" a="1"/>
  <c r="O40" i="74" s="1"/>
  <c r="E40" i="74" a="1"/>
  <c r="E40" i="74" s="1"/>
  <c r="I37" i="69" a="1"/>
  <c r="I37" i="69" s="1"/>
  <c r="E42" i="69" s="1" a="1"/>
  <c r="E42" i="69" s="1"/>
  <c r="R57" i="69" a="1"/>
  <c r="R57" i="69" s="1"/>
  <c r="N62" i="69" s="1" a="1"/>
  <c r="N62" i="69" s="1"/>
  <c r="F10" i="13" l="1"/>
  <c r="Q42" i="74"/>
  <c r="E10" i="13"/>
  <c r="G42" i="74"/>
  <c r="E9" i="13"/>
  <c r="G44" i="69"/>
  <c r="E47" i="69" s="1" a="1"/>
  <c r="E47" i="69" s="1"/>
  <c r="H9" i="13" s="1"/>
  <c r="F9" i="13"/>
  <c r="P64" i="69"/>
  <c r="N67" i="69" s="1" a="1"/>
  <c r="N67" i="69" s="1"/>
  <c r="I9" i="13" s="1"/>
  <c r="E11" i="13"/>
  <c r="G50" i="113"/>
  <c r="E53" i="113" s="1" a="1"/>
  <c r="E53" i="113" s="1"/>
  <c r="H11" i="13" s="1"/>
  <c r="O53" i="113" a="1"/>
  <c r="O53" i="113" s="1"/>
  <c r="I11" i="13" s="1"/>
  <c r="F11" i="13"/>
  <c r="E45" i="74" a="1"/>
  <c r="E45" i="74" s="1"/>
  <c r="H10" i="13" s="1"/>
  <c r="O45" i="74" a="1"/>
  <c r="O45" i="74" s="1"/>
  <c r="I10"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<sst xmlns="http://schemas.openxmlformats.org/spreadsheetml/2006/main" count="486" uniqueCount="234">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</sst>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60" fillId="0" borderId="0"/>
  </cellStyleXfs>
  <cellXfs count="142">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40"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9" fontId="2" fillId="0" borderId="2" xfId="17">
      <alignment horizontal="center" vertical="center"/>
    </xf>
    <xf numFmtId="170" fontId="8" fillId="4" borderId="0" xfId="10" applyNumberFormat="1">
      <alignment horizontal="center" vertical="center"/>
    </xf>
    <xf numFmtId="0" fontId="61"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3"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2" fillId="4" borderId="1" xfId="0" applyFont="1" applyFill="1" applyBorder="1"/>
    <xf numFmtId="0" fontId="64" fillId="4" borderId="1" xfId="0" applyFont="1" applyFill="1" applyBorder="1"/>
    <xf numFmtId="171" fontId="8" fillId="4" borderId="0" xfId="10" applyNumberFormat="1">
      <alignment horizontal="center" vertical="center"/>
    </xf>
    <xf numFmtId="0" fontId="65" fillId="9" borderId="5" xfId="36" applyFont="1">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11</xdr:col>
      <xdr:colOff>295275</xdr:colOff>
      <xdr:row>27</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50</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DF3297E-39AE-4170-8501-BDBB7A4BF4D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1DEB43-9E7B-4D1D-AE92-9540E9F24054}" name="State/Territory">
      <calculatedColumnFormula array="1">Common_InputFunctions.Utility_DisplayArrayInTable(Common_SourceData.Common_SourceData_AustralianStatesTerritories_Data(),Table_AustralianStates[[#Headers],[State/Territory]],0)</calculatedColumnFormula>
    </tableColumn>
    <tableColumn id="2" xr3:uid="{835881AD-8D80-4DB0-ABD7-35E8A16BEF60}" name="Common Name">
      <calculatedColumnFormula array="1">Common_InputFunctions.Utility_DisplayArrayInTable(Common_SourceData.Common_SourceData_AustralianStatesTerritories_Data(),Table_AustralianStates[[#Headers],[State/Territory]],0)</calculatedColumnFormula>
    </tableColumn>
    <tableColumn id="3" xr3:uid="{F5F6596E-E51F-433D-BA86-0BA9ED20A5C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9FD492-8E09-414A-B165-02CDBA3EFB91}" name="Table_WASA4Areas" displayName="Table_WASA4Areas" ref="D20:D30" totalsRowShown="0">
  <autoFilter ref="D20:D30" xr:uid="{5FA81339-C6C8-4D36-BEEA-6C4AEDD9E676}">
    <filterColumn colId="0" hiddenButton="1"/>
  </autoFilter>
  <tableColumns count="1">
    <tableColumn id="1" xr3:uid="{97396C8E-6175-48FA-B1A9-61F17FF933C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5E549D-B493-4017-B4C4-6C9252E17C6A}" name="Table_GWPData" displayName="Table_GWPData" ref="D36:E43" totalsRowShown="0">
  <autoFilter ref="D36:E43" xr:uid="{B8E87A66-3E41-4AD3-925D-01EE21B43D7A}">
    <filterColumn colId="0" hiddenButton="1"/>
    <filterColumn colId="1" hiddenButton="1"/>
  </autoFilter>
  <tableColumns count="2">
    <tableColumn id="1" xr3:uid="{BA051297-4995-4CDF-9F30-472CFD79C30E}" name="Gas">
      <calculatedColumnFormula array="1">Common_InputFunctions.Utility_DisplayArrayInTable(Common_SourceData.Common_SourceData_GWP_Data(), Table_GWPData[[#Headers],[Gas]], 0)</calculatedColumnFormula>
    </tableColumn>
    <tableColumn id="2" xr3:uid="{6AB5903D-E3A8-41FC-BE7A-B112AB4CD1B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F91BE1B-CA63-42E8-8400-64A82D6095B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BDF814-F158-4E66-8E5C-F2CE921B3612}" name="Gas">
      <calculatedColumnFormula array="1">Common_InputFunctions.Utility_DisplayArrayInTable(Common_SourceData.Common_SourceData_ConvertGasElementalToMolecular_Data(),Table_GasToMolecularConversionFactor[[#Headers],[Gas]], 0)</calculatedColumnFormula>
    </tableColumn>
    <tableColumn id="5" xr3:uid="{25C62F32-B1BD-4489-8F7B-84296661D745}" name="Conversion factor">
      <calculatedColumnFormula array="1">Common_InputFunctions.Utility_DisplayArrayInTable(Common_SourceData.Common_SourceData_ConvertGasElementalToMolecular_Data(),Table_GasToMolecularConversionFactor[[#Headers],[Gas]], 0)</calculatedColumnFormula>
    </tableColumn>
    <tableColumn id="2" xr3:uid="{30054792-FD75-44B9-8DAA-F66AC7578C3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3FF3A6-735C-462F-B10A-AFA05631A46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7936CBF-E2FB-4521-9D4B-92D392F4375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3DEDB13-4E89-42A8-B15A-15786E932E6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9D23BD-19B1-4872-8EF9-4FEE0857953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72B3DD-7E81-4DC4-9A7A-E173A6FB513C}"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0884A9D-90B2-4E06-BFFB-02F2992AD56A}"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F5FCD98B-734A-4AEA-9266-8A5CA37980E7}"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07E5C8C1-73BB-482B-83F6-913DBA923A79}"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2754D596-D705-4122-88EE-52E0464E9979}"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10007AE2-313D-4C3E-A5CB-60718E4DB11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C72535E9-DBEE-4B28-8079-3126259768E9}"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E211A98F-CC9C-41AF-A1FC-E9FECE8E5FD5}"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650B767F-A36A-4EDF-9F20-6EA566605FF6}"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65B0EC80-2847-4F6A-8812-68EF716E5A6C}"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AA4C3373-4B77-4D87-A360-7BED1BEC37E5}"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5608447B-20A2-4AE0-8677-DB963A1A666B}"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E718956A-8A2A-4620-A76B-4DDCB993E443}"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F3943668-FC10-405A-872E-B2034E141420}"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35758071-61D2-4EAB-A0E0-D894F1A85CA0}"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27C1E3-6586-4FFF-80DE-5C270B7A9CF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DAD6C72-8084-493B-B581-9ECD1832618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6F2D49D-05E6-429E-B96B-47DD9A7E7997}"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CBD5650-3FF1-4A08-8C0D-E513B9262FB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98E1E12-DC52-4962-A320-A7C95EF5C915}" name="Temperature Zone">
      <calculatedColumnFormula array="1">Common_InputFunctions.Utility_DisplayArrayInTable(Common_SourceData.Common_SourceData_TemperatureZones_Data(),Table_SourceData_TemperatureZones[[#Headers],[Temperature Zone]],0)</calculatedColumnFormula>
    </tableColumn>
    <tableColumn id="2" xr3:uid="{CDF66F5C-4B11-4569-A38D-8726F58D4885}" name="MAT">
      <calculatedColumnFormula array="1">Common_InputFunctions.Utility_DisplayArrayInTable(Common_SourceData.Common_SourceData_TemperatureZones_Data(),Table_SourceData_TemperatureZones[[#Headers],[Temperature Zone]],0)</calculatedColumnFormula>
    </tableColumn>
    <tableColumn id="3" xr3:uid="{1DF1A1DC-4497-44CB-A52E-A8B3D9DD832D}" name="Min MAT">
      <calculatedColumnFormula array="1">Common_InputFunctions.Utility_DisplayArrayInTable(Common_SourceData.Common_SourceData_TemperatureZones_Data(),Table_SourceData_TemperatureZones[[#Headers],[Temperature Zone]],0)</calculatedColumnFormula>
    </tableColumn>
    <tableColumn id="4" xr3:uid="{F0823CAF-CC15-4F07-B334-7F9E4B29FE1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F872A4-AC34-4B98-BB47-24B688478F2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0C8972A-6712-431C-8F45-2C7631CDD3D7}" name="Rainfall Zone">
      <calculatedColumnFormula array="1">Common_InputFunctions.Utility_DisplayArrayInTable(Common_SourceData.Common_SourceData_RainfallZones_Data(),Table_SourceData_RainfallZones[[#Headers],[Rainfall Zone]],0)</calculatedColumnFormula>
    </tableColumn>
    <tableColumn id="2" xr3:uid="{D524FDE7-DB47-42A1-A906-8F8AC75FF37C}" name="Annual rainfall">
      <calculatedColumnFormula array="1">Common_InputFunctions.Utility_DisplayArrayInTable(Common_SourceData.Common_SourceData_RainfallZones_Data(),Table_SourceData_RainfallZones[[#Headers],[Rainfall Zone]],0)</calculatedColumnFormula>
    </tableColumn>
    <tableColumn id="3" xr3:uid="{ACF464EE-7748-45BC-A3B0-8883C7118A63}" name="Min rainfall">
      <calculatedColumnFormula array="1">Common_InputFunctions.Utility_DisplayArrayInTable(Common_SourceData.Common_SourceData_RainfallZones_Data(),Table_SourceData_RainfallZones[[#Headers],[Rainfall Zone]],0)</calculatedColumnFormula>
    </tableColumn>
    <tableColumn id="4" xr3:uid="{9C079EC8-42B7-4BD5-A499-E7B49611F00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54178E3-A889-45F3-A979-C2B51FAF3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1165483-9FBB-440F-A1BC-F669FD2A72AC}" name="Leaching Zone">
      <calculatedColumnFormula array="1">Common_InputFunctions.Utility_DisplayArrayInTable(Common_SourceData.Common_SourceData_LeachingZones_Data(), Table_SourceData_LeachingZones[[#Headers],[Leaching Zone]], 0)</calculatedColumnFormula>
    </tableColumn>
    <tableColumn id="2" xr3:uid="{3969F1EB-CD7B-4988-AAA4-670EB3C8716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6CE53F-A5F9-4A51-96F3-9686477F567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583BCF6-B668-41EB-B925-BFCC853F7E77}" name="Data source">
      <calculatedColumnFormula array="1">Common_InputFunctions.Utility_DisplayArrayInTable(Common_SourceData.Common_SourceData_DataScores_Scope3_Data(), Table_SourceData_DataScores_Scope3[[#Headers],[Data source]], 0)</calculatedColumnFormula>
    </tableColumn>
    <tableColumn id="2" xr3:uid="{C2A18FD4-80E7-4710-A1A9-652B5E4E95E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93D4BE9-C62B-42AD-A543-DB9FA372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53543185-6A5D-40A7-AEB9-CA4F04A43F8A}" name="Is in leaching zone">
      <calculatedColumnFormula array="1">Common_InputFunctions.Utility_DisplayArrayInTable(Common_SourceData.Common_SourceData_FracWET_Data(),Table_SourceData_FracWET[[#Headers],[Is in leaching zone]],0)</calculatedColumnFormula>
    </tableColumn>
    <tableColumn id="2" xr3:uid="{23635C4F-9AAF-4F6A-8FE8-04B5B3A29E9B}"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2E9E17-2FF4-4E72-AF46-C97CB4BFC5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A9A1D63-2612-4DC7-83BD-894579F47297}" name="Production system j">
      <calculatedColumnFormula array="1">Common_InputFunctions.Utility_DisplayArrayInTable(Common_SourceData.Common_SourceData_EFN2O_Data(), Table_SourceData_Common_EFN2O[[#Headers],[Production system j]], 0)</calculatedColumnFormula>
    </tableColumn>
    <tableColumn id="2" xr3:uid="{D981C71B-17D1-4933-A354-4B2581022298}" name="EFN2O">
      <calculatedColumnFormula array="1">Common_InputFunctions.Utility_DisplayArrayInTable(Common_SourceData.Common_SourceData_EFN2O_Data(), Table_SourceData_Common_EFN2O[[#Headers],[Production system j]], 0)</calculatedColumnFormula>
    </tableColumn>
    <tableColumn id="3" xr3:uid="{A5DCC921-EBAF-4B7A-81D3-4E417851A038}" name="Production system only">
      <calculatedColumnFormula array="1">Common_InputFunctions.Utility_DisplayArrayInTable(Common_SourceData.Common_SourceData_EFN2O_Data(), Table_SourceData_Common_EFN2O[[#Headers],[Production system j]], 0)</calculatedColumnFormula>
    </tableColumn>
    <tableColumn id="4" xr3:uid="{B5AD14D7-65E0-4D07-A945-17F22DE18790}" name="Irrigation method">
      <calculatedColumnFormula array="1">Common_InputFunctions.Utility_DisplayArrayInTable(Common_SourceData.Common_SourceData_EFN2O_Data(), Table_SourceData_Common_EFN2O[[#Headers],[Production system j]], 0)</calculatedColumnFormula>
    </tableColumn>
    <tableColumn id="5" xr3:uid="{A884D557-1117-446A-9529-4F7BF5A7B0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B2864D-AB6B-444D-9AC5-28A36F5EA7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758B0CD-42F4-45D8-852A-2CCE2DC88853}" name="Irrigation type i">
      <calculatedColumnFormula array="1">Common_InputFunctions.Utility_DisplayArrayInTable(Common_SourceData.Common_SourceData_FracWETIrrigation_Data(), Table_SourceData_FracWETIrrigation[[#Headers],[Irrigation type i]], 0)</calculatedColumnFormula>
    </tableColumn>
    <tableColumn id="2" xr3:uid="{DE5BE296-B545-4EB4-98ED-D4483A3E59B7}"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60320EF-E283-484A-8205-4B0DCF1A2FF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E7E9462-8B01-49C1-AC03-C942D136571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67BCA50-B136-49DB-AF56-B66E99CA6E3C}"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7C04E70-4B57-4515-909A-6AFFC3E2572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B732629-F26F-4264-A46A-6E22B4E91C95}" name="Month">
      <calculatedColumnFormula array="1">Common_InputFunctions.Utility_DisplayArrayInTable(Common_SourceData.Common_SourceData_MonthsToSeasons_Data(), Table_SourceData_Common_MonthToSeason[[#Headers],[Month]], 0)</calculatedColumnFormula>
    </tableColumn>
    <tableColumn id="2" xr3:uid="{F1FC14D5-6DF2-40CA-A3BA-E84770250602}"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DC1D256-81F3-4AD8-B942-FA51416E0C0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47423DE-F5AA-4E30-B57A-9D8A04BD2E9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E7DC55A-A07C-4FEA-8ADA-F1121E75F870}"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46F132-A870-4A53-B511-D6758CEB1D64}"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29D82B8-DD4D-4882-85A7-3DCB0C271538}"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7E52908-B327-4FFF-85BA-ED1E88B3AE03}"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8ECCF51-610D-4F5C-9BBB-E38741570C5E}"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333BCE1-156A-44F3-85D9-678B0CABCAF4}"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9D1EEE8-82FA-4FA1-9C34-F8E8AB2A9309}"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384180F-C755-4F47-95D2-6493AE3AF230}"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D777881-0A11-4702-AD38-DED4720A1AB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A33B200-4624-418F-B16F-B73192CD36DB}"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BC87E90-A001-4DDE-923E-3D031CDDC1ED}"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A993CE5-7229-403B-8766-C627B9BD9E70}"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FB6244D-5B5C-4A30-98C2-1755B7B3585B}"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8681463-C339-45C9-B449-FA6BDEEEB20E}"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012AF28-080A-412F-8D2D-568688C47D4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2902D7-6DDC-496B-86D9-192E8F3BA78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07EAF1A-F29F-4E7A-A599-374F31F80EE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1ACE537-F56D-4FA2-AD9F-B09BF7F7CB4A}"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5"/>
  <sheetViews>
    <sheetView zoomScaleNormal="100" workbookViewId="0">
      <selection activeCell="A25" sqref="A25"/>
    </sheetView>
  </sheetViews>
  <sheetFormatPr defaultRowHeight="15" x14ac:dyDescent="0.25"/>
  <sheetData>
    <row r="1" spans="1:1" ht="25.5" x14ac:dyDescent="0.35">
      <c r="A1" s="60" t="e" vm="1">
        <v>#VALUE!</v>
      </c>
    </row>
    <row r="3" spans="1:1" ht="15.75" x14ac:dyDescent="0.25">
      <c r="A3" s="105"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Crop'!A1", "Crop")</f>
        <v>Crop</v>
      </c>
    </row>
    <row r="11" spans="1:1" ht="15.75" x14ac:dyDescent="0.25">
      <c r="A11" s="17" t="str">
        <f>HYPERLINK("#'Input - Pasture'!A1", "Pasture")</f>
        <v>Pasture</v>
      </c>
    </row>
    <row r="14" spans="1:1" x14ac:dyDescent="0.25">
      <c r="A14" s="18" t="s">
        <v>66</v>
      </c>
    </row>
    <row r="15" spans="1:1" ht="15.75" x14ac:dyDescent="0.25">
      <c r="A15" s="17" t="str">
        <f>HYPERLINK("#'6.1.1.1-2 Crop residue N2O'!A1", "6.1.1.1-2 Crop residue N2O")</f>
        <v>6.1.1.1-2 Crop residue N2O</v>
      </c>
    </row>
    <row r="16" spans="1:1" ht="15.75" x14ac:dyDescent="0.25">
      <c r="A16" s="17" t="str">
        <f>HYPERLINK("#'6.2.1.1-2 Pasture residue N2O'!A1", "6.2.1.1-2 Pasture residue N2O")</f>
        <v>6.2.1.1-2 Pasture residue N2O</v>
      </c>
    </row>
    <row r="17" spans="1:1" ht="15.75" x14ac:dyDescent="0.25">
      <c r="A17" s="17" t="str">
        <f>HYPERLINK("#'6.3.1.1-2 Leaching and runoff'!A1", "6.3.1.1-2 Leaching and runoff")</f>
        <v>6.3.1.1-2 Leaching and runoff</v>
      </c>
    </row>
    <row r="18" spans="1:1" ht="15.75" x14ac:dyDescent="0.25">
      <c r="A18" s="17" t="str">
        <f>HYPERLINK("#'6.3.1.1-2 Leach runoff crop'!A1", "6.3.1.1-2 Leach runoff crop")</f>
        <v>6.3.1.1-2 Leach runoff crop</v>
      </c>
    </row>
    <row r="19" spans="1:1" ht="15.75" x14ac:dyDescent="0.25">
      <c r="A19" s="17" t="str">
        <f>HYPERLINK("#'6.3.1.1-2 Leach runoff pasture'!A1", "6.3.1.1-2 Leach runoff pasture")</f>
        <v>6.3.1.1-2 Leach runoff pasture</v>
      </c>
    </row>
    <row r="20" spans="1:1" ht="15.75" x14ac:dyDescent="0.25">
      <c r="A20" s="17" t="str">
        <f>HYPERLINK("#'6.4.1.1-2 Residue burning'!A1", "6.4.1.1-2 Residue burning")</f>
        <v>6.4.1.1-2 Residue burning</v>
      </c>
    </row>
    <row r="23" spans="1:1" x14ac:dyDescent="0.25">
      <c r="A23" s="141" t="s">
        <v>1</v>
      </c>
    </row>
    <row r="24" spans="1:1" ht="15.75" x14ac:dyDescent="0.25">
      <c r="A24" s="17" t="str">
        <f>HYPERLINK("#'Constants - Ag Residue'!A1", "Constants - Ag Residue")</f>
        <v>Constants - Ag Residue</v>
      </c>
    </row>
    <row r="25" spans="1:1" ht="15.75" x14ac:dyDescent="0.25">
      <c r="A25"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22" t="s">
        <v>124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row>
    <row r="2" spans="1:42"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4"/>
    </row>
    <row r="3" spans="1:42" ht="20.100000000000001" customHeight="1" x14ac:dyDescent="0.25">
      <c r="A3" s="17" t="str">
        <f>HYPERLINK("#'Home'!A1", "Home")</f>
        <v>Home</v>
      </c>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row>
    <row r="4" spans="1:42" ht="20.100000000000001" customHeight="1" x14ac:dyDescent="0.25">
      <c r="A4" s="105" t="str">
        <f>HYPERLINK("#'Overview'!A1", "Overview")</f>
        <v>Overview</v>
      </c>
    </row>
    <row r="5" spans="1:42" ht="20.100000000000001" customHeight="1" x14ac:dyDescent="0.25">
      <c r="A5" s="17" t="str">
        <f>HYPERLINK("#'Results'!A1", "Results")</f>
        <v>Results</v>
      </c>
      <c r="D5" s="102" t="s">
        <v>122</v>
      </c>
      <c r="E5" s="83"/>
      <c r="F5" s="83"/>
      <c r="G5" s="83"/>
      <c r="H5" s="83"/>
      <c r="I5" s="83"/>
      <c r="J5" s="83"/>
      <c r="K5" s="83"/>
      <c r="L5" s="83"/>
      <c r="M5" s="83"/>
      <c r="N5" s="83"/>
      <c r="O5" s="79"/>
    </row>
    <row r="6" spans="1:42" ht="20.100000000000001" customHeight="1" x14ac:dyDescent="0.25">
      <c r="D6" s="126" t="s">
        <v>123</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Crop'!A1", "Crop")</f>
        <v>Crop</v>
      </c>
    </row>
    <row r="11" spans="1:42" ht="20.100000000000001" customHeight="1" x14ac:dyDescent="0.25">
      <c r="A11" s="17" t="str">
        <f>HYPERLINK("#'Input - Pasture'!A1", "Pasture")</f>
        <v>Pasture</v>
      </c>
    </row>
    <row r="12" spans="1:42" ht="20.100000000000001" customHeight="1" x14ac:dyDescent="0.25"/>
    <row r="13" spans="1:42" ht="20.100000000000001" customHeight="1" x14ac:dyDescent="0.25"/>
    <row r="14" spans="1:42" ht="20.100000000000001" customHeight="1" x14ac:dyDescent="0.25">
      <c r="A14" s="18" t="s">
        <v>66</v>
      </c>
    </row>
    <row r="15" spans="1:42" ht="20.100000000000001" customHeight="1" x14ac:dyDescent="0.25">
      <c r="A15" s="17" t="str">
        <f>HYPERLINK("#'6.1.1.1-2 Crop residue N2O'!A1", "6.1.1.1-2 Crop residue N2O")</f>
        <v>6.1.1.1-2 Crop residue N2O</v>
      </c>
    </row>
    <row r="16" spans="1:42" ht="20.100000000000001" customHeight="1" x14ac:dyDescent="0.25">
      <c r="A16" s="17" t="str">
        <f>HYPERLINK("#'6.2.1.1-2 Pasture residue N2O'!A1", "6.2.1.1-2 Pasture residue N2O")</f>
        <v>6.2.1.1-2 Pasture residue N2O</v>
      </c>
    </row>
    <row r="17" spans="1:1" ht="20.100000000000001" customHeight="1" x14ac:dyDescent="0.25">
      <c r="A17" s="17" t="str">
        <f>HYPERLINK("#'6.3.1.1-2 Leaching and runoff'!A1", "6.3.1.1-2 Leaching and runoff")</f>
        <v>6.3.1.1-2 Leaching and runoff</v>
      </c>
    </row>
    <row r="18" spans="1:1" ht="20.100000000000001" customHeight="1" x14ac:dyDescent="0.25">
      <c r="A18" s="17" t="str">
        <f>HYPERLINK("#'6.3.1.1-2 Leach runoff crop'!A1", "6.3.1.1-2 Leach runoff crop")</f>
        <v>6.3.1.1-2 Leach runoff crop</v>
      </c>
    </row>
    <row r="19" spans="1:1" ht="20.100000000000001" customHeight="1" x14ac:dyDescent="0.25">
      <c r="A19" s="17" t="str">
        <f>HYPERLINK("#'6.3.1.1-2 Leach runoff pasture'!A1", "6.3.1.1-2 Leach runoff pasture")</f>
        <v>6.3.1.1-2 Leach runoff pasture</v>
      </c>
    </row>
    <row r="20" spans="1:1" ht="20.100000000000001" customHeight="1" x14ac:dyDescent="0.25">
      <c r="A20" s="17" t="str">
        <f>HYPERLINK("#'6.4.1.1-2 Residue burning'!A1", "6.4.1.1-2 Residue burning")</f>
        <v>6.4.1.1-2 Residue burning</v>
      </c>
    </row>
    <row r="21" spans="1:1" ht="20.100000000000001" customHeight="1" x14ac:dyDescent="0.25"/>
    <row r="22" spans="1:1" ht="20.100000000000001" customHeight="1" x14ac:dyDescent="0.25"/>
    <row r="23" spans="1:1" ht="20.100000000000001" customHeight="1" x14ac:dyDescent="0.25">
      <c r="A23" s="141" t="s">
        <v>1</v>
      </c>
    </row>
    <row r="24" spans="1:1" ht="20.100000000000001" customHeight="1" x14ac:dyDescent="0.25">
      <c r="A24" s="17" t="str">
        <f>HYPERLINK("#'Constants - Ag Residue'!A1", "Constants - Ag Residue")</f>
        <v>Constants - Ag Residue</v>
      </c>
    </row>
    <row r="25" spans="1:1" ht="20.100000000000001" customHeight="1" x14ac:dyDescent="0.25">
      <c r="A25" s="17" t="str">
        <f>HYPERLINK("#'Constants - Common'!A1", "Constants - Common")</f>
        <v>Constants - Common</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0" t="e" vm="1">
        <v>#VALUE!</v>
      </c>
      <c r="C1" s="122" t="s">
        <v>125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5" t="str">
        <f>HYPERLINK("#'Results'!A1", "Results")</f>
        <v>Results</v>
      </c>
      <c r="C5" s="21"/>
      <c r="D5" s="25"/>
      <c r="E5" s="26"/>
      <c r="F5" s="26"/>
      <c r="G5" s="26"/>
      <c r="H5" s="23"/>
      <c r="I5" s="21"/>
      <c r="J5" s="21"/>
      <c r="K5" s="21"/>
    </row>
    <row r="6" spans="1:11" ht="20.100000000000001" customHeight="1" x14ac:dyDescent="0.25">
      <c r="C6" s="21"/>
      <c r="D6" s="86" t="s">
        <v>119</v>
      </c>
      <c r="E6" s="8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0" t="s">
        <v>79</v>
      </c>
      <c r="E8" s="100" t="s">
        <v>91</v>
      </c>
      <c r="F8" s="100" t="s">
        <v>92</v>
      </c>
      <c r="G8" s="100" t="s">
        <v>85</v>
      </c>
      <c r="H8" s="100" t="s">
        <v>93</v>
      </c>
      <c r="I8" s="100" t="s">
        <v>94</v>
      </c>
      <c r="J8" s="100" t="s">
        <v>86</v>
      </c>
      <c r="K8" s="21"/>
    </row>
    <row r="9" spans="1:11" ht="20.100000000000001" customHeight="1" x14ac:dyDescent="0.25">
      <c r="A9" s="17" t="str">
        <f>HYPERLINK("#'Input - Site'!A1", "Site")</f>
        <v>Site</v>
      </c>
      <c r="C9" s="21"/>
      <c r="D9" s="1" t="s">
        <v>210</v>
      </c>
      <c r="E9" s="121">
        <f>VEERG_6_1_1_1__1__NitrousOxideEmissionsFromCropResidues_Result_Method1</f>
        <v>0.66792000000000007</v>
      </c>
      <c r="F9" s="121">
        <f>VEERG_6_1_1_1__1__NitrousOxideEmissionsFromCropResidues_Result_Method2</f>
        <v>0.67414285714285715</v>
      </c>
      <c r="G9" s="51" t="s">
        <v>97</v>
      </c>
      <c r="H9" s="98">
        <f>'6.1.1.1-2 Crop residue N2O'!E47</f>
        <v>176.99880000000002</v>
      </c>
      <c r="I9" s="98">
        <f>'6.1.1.1-2 Crop residue N2O'!N67</f>
        <v>178.64785714285713</v>
      </c>
      <c r="J9" s="51" t="s">
        <v>89</v>
      </c>
      <c r="K9" s="21"/>
    </row>
    <row r="10" spans="1:11" ht="20.100000000000001" customHeight="1" x14ac:dyDescent="0.25">
      <c r="A10" s="17" t="str">
        <f>HYPERLINK("#'Input - Crop'!A1", "Crop")</f>
        <v>Crop</v>
      </c>
      <c r="C10" s="21"/>
      <c r="D10" s="1" t="s">
        <v>211</v>
      </c>
      <c r="E10" s="140">
        <f>VEERG_6_2_1_1__1__NitrousOxideEmissionsFromPastureResidues_Result_Method1</f>
        <v>5.8320428571428569E-7</v>
      </c>
      <c r="F10" s="140">
        <f>VEERG_6_2_1_1__1__NitrousOxideEmissionsFromPastureResidues_Result_Method2</f>
        <v>5.8320428571428569E-7</v>
      </c>
      <c r="G10" s="51" t="s">
        <v>97</v>
      </c>
      <c r="H10" s="98">
        <f>'6.2.1.1-2 Pasture residue N2O'!E45</f>
        <v>1.545491357142857E-4</v>
      </c>
      <c r="I10" s="98">
        <f>'6.2.1.1-2 Pasture residue N2O'!O45</f>
        <v>1.545491357142857E-4</v>
      </c>
      <c r="J10" s="51" t="s">
        <v>89</v>
      </c>
      <c r="K10" s="21"/>
    </row>
    <row r="11" spans="1:11" ht="20.100000000000001" customHeight="1" x14ac:dyDescent="0.25">
      <c r="A11" s="17" t="str">
        <f>HYPERLINK("#'Input - Pasture'!A1", "Pasture")</f>
        <v>Pasture</v>
      </c>
      <c r="C11" s="21"/>
      <c r="D11" s="1" t="s">
        <v>212</v>
      </c>
      <c r="E11" s="121">
        <f>VEERG_6_3_1_1__1__LeachingAndRunoffEmissionsCropAndPastureResidue_Result_Method1</f>
        <v>0.35266206793186283</v>
      </c>
      <c r="F11" s="121">
        <f>VEERG_6_3_1_1__1__LeachingAndRunoffEmissionsCropAndPastureResidue_Result_Method2</f>
        <v>0.35594773650329142</v>
      </c>
      <c r="G11" s="51" t="s">
        <v>97</v>
      </c>
      <c r="H11" s="98">
        <f>'6.3.1.1-2 Leaching and runoff'!E53</f>
        <v>93.455448001943651</v>
      </c>
      <c r="I11" s="98">
        <f>'6.3.1.1-2 Leaching and runoff'!O53</f>
        <v>94.326150173372227</v>
      </c>
      <c r="J11" s="51" t="s">
        <v>89</v>
      </c>
      <c r="K11" s="21"/>
    </row>
    <row r="12" spans="1:11" ht="20.100000000000001" customHeight="1" x14ac:dyDescent="0.25">
      <c r="C12" s="21"/>
      <c r="D12" s="1" t="s">
        <v>213</v>
      </c>
      <c r="E12" s="121">
        <f>VEERG_6_4_1_1__2__NitrousOxideEmissionsFromBurningOfCropResidues_Result_Method1</f>
        <v>0.12769302857142856</v>
      </c>
      <c r="F12" s="121">
        <f>E12</f>
        <v>0.12769302857142856</v>
      </c>
      <c r="G12" s="51" t="s">
        <v>97</v>
      </c>
      <c r="H12" s="98">
        <f>'6.4.1.1-2 Residue burning'!E44</f>
        <v>33.838652571428568</v>
      </c>
      <c r="I12" s="98">
        <f>H12</f>
        <v>33.838652571428568</v>
      </c>
      <c r="J12" s="51" t="s">
        <v>89</v>
      </c>
      <c r="K12" s="21"/>
    </row>
    <row r="13" spans="1:11" ht="20.100000000000001" customHeight="1" x14ac:dyDescent="0.25">
      <c r="C13" s="21"/>
      <c r="D13" s="1" t="s">
        <v>213</v>
      </c>
      <c r="E13" s="121">
        <f>VEERG_6_4_1_1__1__MethaneEmissionsFromBurningOfCropResidues_Result_Method1</f>
        <v>3.3264</v>
      </c>
      <c r="F13" s="121">
        <f>E13</f>
        <v>3.3264</v>
      </c>
      <c r="G13" s="51" t="s">
        <v>214</v>
      </c>
      <c r="H13" s="98">
        <f>'6.4.1.1-2 Residue burning'!E67</f>
        <v>93.139200000000002</v>
      </c>
      <c r="I13" s="98">
        <f>H13</f>
        <v>93.139200000000002</v>
      </c>
      <c r="J13" s="51" t="s">
        <v>89</v>
      </c>
      <c r="K13" s="21"/>
    </row>
    <row r="14" spans="1:11" ht="20.100000000000001" customHeight="1" x14ac:dyDescent="0.3">
      <c r="A14" s="18" t="s">
        <v>66</v>
      </c>
      <c r="C14" s="21"/>
      <c r="D14" s="28" t="s">
        <v>84</v>
      </c>
      <c r="E14" s="22"/>
      <c r="F14" s="22"/>
      <c r="G14" s="28"/>
      <c r="H14" s="99">
        <f>SUM(H9:H13)</f>
        <v>397.43225512250797</v>
      </c>
      <c r="I14" s="99">
        <f>SUM(I9:I13)</f>
        <v>399.95201443679366</v>
      </c>
      <c r="J14" s="95" t="s">
        <v>89</v>
      </c>
      <c r="K14" s="21"/>
    </row>
    <row r="15" spans="1:11" ht="20.100000000000001" customHeight="1" x14ac:dyDescent="0.25">
      <c r="A15" s="17" t="str">
        <f>HYPERLINK("#'6.1.1.1-2 Crop residue N2O'!A1", "6.1.1.1-2 Crop residue N2O")</f>
        <v>6.1.1.1-2 Crop residue N2O</v>
      </c>
      <c r="C15" s="21"/>
      <c r="D15" s="1"/>
      <c r="E15" s="1"/>
      <c r="F15" s="1"/>
      <c r="G15" s="1"/>
      <c r="H15" s="1"/>
      <c r="I15" s="1"/>
      <c r="J15" s="1"/>
      <c r="K15" s="21"/>
    </row>
    <row r="16" spans="1:11" ht="20.100000000000001" customHeight="1" x14ac:dyDescent="0.25">
      <c r="A16" s="17" t="str">
        <f>HYPERLINK("#'6.2.1.1-2 Pasture residue N2O'!A1", "6.2.1.1-2 Pasture residue N2O")</f>
        <v>6.2.1.1-2 Pasture residue N2O</v>
      </c>
      <c r="C16" s="21"/>
      <c r="D16" s="96"/>
      <c r="E16" s="96"/>
      <c r="F16" s="96"/>
      <c r="G16" s="96"/>
      <c r="H16" s="96"/>
      <c r="I16" s="96"/>
      <c r="J16" s="96"/>
      <c r="K16" s="21"/>
    </row>
    <row r="17" spans="1:11" ht="20.100000000000001" customHeight="1" x14ac:dyDescent="0.25">
      <c r="A17" s="17" t="str">
        <f>HYPERLINK("#'6.3.1.1-2 Leaching and runoff'!A1", "6.3.1.1-2 Leaching and runoff")</f>
        <v>6.3.1.1-2 Leaching and runoff</v>
      </c>
      <c r="C17" s="21"/>
      <c r="D17" s="96"/>
      <c r="E17" s="1"/>
      <c r="F17" s="1"/>
      <c r="G17" s="1"/>
      <c r="H17" s="1"/>
      <c r="I17" s="1"/>
      <c r="J17" s="21"/>
      <c r="K17" s="21"/>
    </row>
    <row r="18" spans="1:11" ht="20.100000000000001" customHeight="1" x14ac:dyDescent="0.25">
      <c r="A18" s="17" t="str">
        <f>HYPERLINK("#'6.3.1.1-2 Leach runoff crop'!A1", "6.3.1.1-2 Leach runoff crop")</f>
        <v>6.3.1.1-2 Leach runoff crop</v>
      </c>
      <c r="C18" s="21"/>
      <c r="D18" s="103"/>
      <c r="E18" s="1"/>
      <c r="F18" s="1"/>
      <c r="G18" s="1"/>
      <c r="H18" s="1"/>
      <c r="I18" s="1"/>
      <c r="J18" s="21"/>
      <c r="K18" s="21"/>
    </row>
    <row r="19" spans="1:11" ht="20.100000000000001" customHeight="1" x14ac:dyDescent="0.25">
      <c r="A19" s="17" t="str">
        <f>HYPERLINK("#'6.3.1.1-2 Leach runoff pasture'!A1", "6.3.1.1-2 Leach runoff pasture")</f>
        <v>6.3.1.1-2 Leach runoff pasture</v>
      </c>
      <c r="C19" s="21"/>
      <c r="D19" s="1"/>
      <c r="E19" s="1"/>
      <c r="F19" s="1"/>
      <c r="G19" s="1"/>
      <c r="H19" s="1"/>
      <c r="I19" s="1"/>
      <c r="J19" s="21"/>
      <c r="K19" s="21"/>
    </row>
    <row r="20" spans="1:11" ht="20.100000000000001" customHeight="1" x14ac:dyDescent="0.25">
      <c r="A20" s="17" t="str">
        <f>HYPERLINK("#'6.4.1.1-2 Residue burning'!A1", "6.4.1.1-2 Residue burning")</f>
        <v>6.4.1.1-2 Residue burning</v>
      </c>
      <c r="C20" s="21"/>
      <c r="D20" s="1"/>
      <c r="E20" s="1"/>
      <c r="F20" s="1"/>
      <c r="G20" s="1"/>
      <c r="H20" s="1"/>
      <c r="I20" s="1"/>
      <c r="J20" s="21"/>
      <c r="K20" s="21"/>
    </row>
    <row r="21" spans="1:11" ht="20.100000000000001" customHeight="1" x14ac:dyDescent="0.25">
      <c r="C21" s="21"/>
      <c r="D21" s="1"/>
      <c r="E21" s="101"/>
      <c r="F21" s="51"/>
      <c r="G21" s="1"/>
      <c r="H21" s="1"/>
      <c r="I21" s="21"/>
      <c r="J21" s="21"/>
      <c r="K21" s="21"/>
    </row>
    <row r="22" spans="1:11" ht="20.100000000000001" customHeight="1" x14ac:dyDescent="0.25">
      <c r="C22" s="21"/>
      <c r="D22" s="1"/>
      <c r="E22" s="101"/>
      <c r="F22" s="51"/>
      <c r="G22" s="1"/>
      <c r="H22" s="1"/>
      <c r="I22" s="21"/>
      <c r="J22" s="21"/>
      <c r="K22" s="21"/>
    </row>
    <row r="23" spans="1:11" ht="20.100000000000001" customHeight="1" x14ac:dyDescent="0.3">
      <c r="A23" s="141" t="s">
        <v>1</v>
      </c>
      <c r="C23" s="21"/>
      <c r="D23" s="1"/>
      <c r="E23" s="1"/>
      <c r="F23" s="1"/>
      <c r="G23" s="1"/>
      <c r="H23" s="26"/>
      <c r="I23" s="21"/>
      <c r="J23" s="21"/>
      <c r="K23" s="21"/>
    </row>
    <row r="24" spans="1:11" ht="20.100000000000001" customHeight="1" x14ac:dyDescent="0.3">
      <c r="A24" s="17" t="str">
        <f>HYPERLINK("#'Constants - Ag Residue'!A1", "Constants - Ag Residue")</f>
        <v>Constants - Ag Residue</v>
      </c>
      <c r="C24" s="21"/>
      <c r="D24" s="1"/>
      <c r="E24" s="1"/>
      <c r="F24" s="1"/>
      <c r="G24" s="1"/>
      <c r="H24" s="26"/>
      <c r="I24" s="21"/>
      <c r="J24" s="21"/>
      <c r="K24" s="21"/>
    </row>
    <row r="25" spans="1:11" ht="20.100000000000001" customHeight="1" x14ac:dyDescent="0.3">
      <c r="A25" s="17" t="str">
        <f>HYPERLINK("#'Constants - Common'!A1", "Constants - Common")</f>
        <v>Constants - Common</v>
      </c>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7"/>
      <c r="J38" s="97"/>
      <c r="K38" s="21"/>
    </row>
    <row r="39" spans="3:11" ht="20.100000000000001" customHeight="1" x14ac:dyDescent="0.25">
      <c r="C39" s="21"/>
      <c r="D39" s="1"/>
      <c r="E39" s="1"/>
      <c r="F39" s="1"/>
      <c r="G39" s="1"/>
      <c r="H39" s="1"/>
      <c r="I39" s="97"/>
      <c r="J39" s="97"/>
      <c r="K39" s="21"/>
    </row>
    <row r="40" spans="3:11" ht="20.100000000000001" customHeight="1" x14ac:dyDescent="0.25">
      <c r="C40" s="21"/>
      <c r="D40" s="1"/>
      <c r="E40" s="1"/>
      <c r="F40" s="1"/>
      <c r="G40" s="1"/>
      <c r="H40" s="1"/>
      <c r="I40" s="97"/>
      <c r="J40" s="97"/>
      <c r="K40" s="21"/>
    </row>
    <row r="41" spans="3:11" ht="20.100000000000001" customHeight="1" x14ac:dyDescent="0.25">
      <c r="C41" s="21"/>
      <c r="D41" s="1"/>
      <c r="E41" s="1"/>
      <c r="F41" s="1"/>
      <c r="G41" s="1"/>
      <c r="H41" s="1"/>
      <c r="I41" s="97"/>
      <c r="J41" s="97"/>
      <c r="K41" s="21"/>
    </row>
    <row r="42" spans="3:11" ht="20.100000000000001" customHeight="1" x14ac:dyDescent="0.25">
      <c r="C42" s="21"/>
      <c r="D42" s="1"/>
      <c r="E42" s="1"/>
      <c r="F42" s="1"/>
      <c r="G42" s="1"/>
      <c r="H42" s="1"/>
      <c r="I42" s="97"/>
      <c r="J42" s="97"/>
      <c r="K42" s="21"/>
    </row>
    <row r="43" spans="3:11" ht="20.100000000000001" customHeight="1" x14ac:dyDescent="0.25">
      <c r="C43" s="21"/>
      <c r="D43" s="1"/>
      <c r="E43" s="1"/>
      <c r="F43" s="1"/>
      <c r="G43" s="1"/>
      <c r="H43" s="1"/>
      <c r="I43" s="97"/>
      <c r="J43" s="97"/>
      <c r="K43" s="21"/>
    </row>
    <row r="44" spans="3:11" ht="20.100000000000001" customHeight="1" x14ac:dyDescent="0.25">
      <c r="C44" s="21"/>
      <c r="D44" s="1"/>
      <c r="E44" s="1"/>
      <c r="F44" s="1"/>
      <c r="G44" s="1"/>
      <c r="H44" s="1"/>
      <c r="I44" s="97"/>
      <c r="J44" s="97"/>
      <c r="K44" s="21"/>
    </row>
    <row r="45" spans="3:11" ht="20.100000000000001" customHeight="1" x14ac:dyDescent="0.25">
      <c r="C45" s="21"/>
      <c r="D45" s="1"/>
      <c r="E45" s="1"/>
      <c r="F45" s="1"/>
      <c r="G45" s="1"/>
      <c r="H45" s="1"/>
      <c r="I45" s="97"/>
      <c r="J45" s="97"/>
      <c r="K45" s="21"/>
    </row>
    <row r="46" spans="3:11" ht="20.100000000000001" customHeight="1" x14ac:dyDescent="0.25">
      <c r="C46" s="21"/>
      <c r="D46" s="1"/>
      <c r="E46" s="1"/>
      <c r="F46" s="1"/>
      <c r="G46" s="1"/>
      <c r="H46" s="1"/>
      <c r="I46" s="97"/>
      <c r="J46" s="97"/>
      <c r="K46" s="21"/>
    </row>
    <row r="47" spans="3:11" ht="20.100000000000001" customHeight="1" x14ac:dyDescent="0.25">
      <c r="C47" s="21"/>
      <c r="D47" s="1"/>
      <c r="E47" s="1"/>
      <c r="F47" s="1"/>
      <c r="G47" s="1"/>
      <c r="H47" s="1"/>
      <c r="I47" s="97"/>
      <c r="J47" s="97"/>
      <c r="K47" s="21"/>
    </row>
    <row r="48" spans="3:11" ht="20.100000000000001" customHeight="1" x14ac:dyDescent="0.25">
      <c r="C48" s="21"/>
      <c r="D48" s="1"/>
      <c r="E48" s="1"/>
      <c r="F48" s="1"/>
      <c r="G48" s="1"/>
      <c r="H48" s="1"/>
      <c r="I48" s="97"/>
      <c r="J48" s="97"/>
      <c r="K48" s="21"/>
    </row>
    <row r="49" spans="3:11" ht="20.100000000000001" customHeight="1" x14ac:dyDescent="0.25">
      <c r="C49" s="21"/>
      <c r="D49" s="1"/>
      <c r="E49" s="1"/>
      <c r="F49" s="1"/>
      <c r="G49" s="1"/>
      <c r="H49" s="97"/>
      <c r="I49" s="97"/>
      <c r="J49" s="97"/>
      <c r="K49" s="21"/>
    </row>
    <row r="50" spans="3:11" ht="20.100000000000001" customHeight="1" x14ac:dyDescent="0.25">
      <c r="C50" s="21"/>
      <c r="D50" s="1"/>
      <c r="E50" s="1"/>
      <c r="F50" s="1"/>
      <c r="G50" s="1"/>
      <c r="H50" s="97"/>
      <c r="I50" s="97"/>
      <c r="J50" s="97"/>
      <c r="K50" s="21"/>
    </row>
    <row r="51" spans="3:11" ht="20.100000000000001" customHeight="1" x14ac:dyDescent="0.25">
      <c r="C51" s="21"/>
      <c r="D51" s="1"/>
      <c r="E51" s="1"/>
      <c r="F51" s="1"/>
      <c r="G51" s="1"/>
      <c r="H51" s="97"/>
      <c r="I51" s="97"/>
      <c r="J51" s="97"/>
      <c r="K51" s="21"/>
    </row>
    <row r="52" spans="3:11" ht="20.100000000000001" customHeight="1" x14ac:dyDescent="0.25">
      <c r="C52" s="21"/>
      <c r="D52" s="1"/>
      <c r="E52" s="1"/>
      <c r="F52" s="1"/>
      <c r="G52" s="1"/>
      <c r="H52" s="97"/>
      <c r="I52" s="97"/>
      <c r="J52" s="97"/>
      <c r="K52" s="21"/>
    </row>
    <row r="53" spans="3:11" ht="20.100000000000001" customHeight="1" x14ac:dyDescent="0.25">
      <c r="C53" s="21"/>
      <c r="D53" s="1"/>
      <c r="E53" s="1"/>
      <c r="F53" s="1"/>
      <c r="G53" s="1"/>
      <c r="H53" s="97"/>
      <c r="I53" s="97"/>
      <c r="J53" s="9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5" zoomScaleNormal="100" workbookViewId="0">
      <selection activeCell="A25" sqref="A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69</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11</v>
      </c>
      <c r="N5" s="39"/>
    </row>
    <row r="6" spans="1:24" ht="20.100000000000001" customHeight="1" x14ac:dyDescent="0.25">
      <c r="A6"/>
      <c r="D6" s="14"/>
      <c r="N6" s="40"/>
    </row>
    <row r="7" spans="1:24" ht="20.100000000000001" customHeight="1" x14ac:dyDescent="0.25">
      <c r="A7"/>
      <c r="D7" s="1" t="s">
        <v>3</v>
      </c>
      <c r="E7" s="32" t="s">
        <v>231</v>
      </c>
      <c r="F7" s="2"/>
    </row>
    <row r="8" spans="1:24" ht="20.100000000000001" customHeight="1" x14ac:dyDescent="0.25">
      <c r="A8" s="19" t="s">
        <v>0</v>
      </c>
      <c r="D8" s="10" t="s">
        <v>65</v>
      </c>
      <c r="E8" s="32" t="s">
        <v>232</v>
      </c>
    </row>
    <row r="9" spans="1:24" ht="20.100000000000001" customHeight="1" x14ac:dyDescent="0.25">
      <c r="A9" s="104" t="str">
        <f>HYPERLINK("#'Input - Site'!A1", "Site")</f>
        <v>Site</v>
      </c>
      <c r="N9" s="41"/>
    </row>
    <row r="10" spans="1:24" ht="20.100000000000001" customHeight="1" x14ac:dyDescent="0.25">
      <c r="A10" s="17" t="str">
        <f>HYPERLINK("#'Input - Crop'!A1", "Crop")</f>
        <v>Crop</v>
      </c>
      <c r="D10" s="86" t="s">
        <v>68</v>
      </c>
      <c r="E10" s="84"/>
      <c r="F10" s="87"/>
      <c r="G10" s="81"/>
      <c r="N10" s="41"/>
    </row>
    <row r="11" spans="1:24" ht="20.100000000000001" customHeight="1" x14ac:dyDescent="0.25">
      <c r="A11" s="17" t="str">
        <f>HYPERLINK("#'Input - Pasture'!A1", "Pasture")</f>
        <v>Pasture</v>
      </c>
      <c r="N11" s="42"/>
    </row>
    <row r="12" spans="1:24" ht="20.100000000000001" customHeight="1" x14ac:dyDescent="0.25">
      <c r="A12"/>
      <c r="D12" s="10" t="s">
        <v>74</v>
      </c>
      <c r="E12" s="59">
        <v>45658</v>
      </c>
      <c r="F12" s="2" t="s">
        <v>63</v>
      </c>
    </row>
    <row r="13" spans="1:24" ht="20.100000000000001" customHeight="1" x14ac:dyDescent="0.25">
      <c r="A13"/>
      <c r="D13" s="10" t="s">
        <v>75</v>
      </c>
      <c r="E13" s="62">
        <f>DATE(YEAR(X_Cell_Site_StartDate)+1,MONTH(X_Cell_Site_StartDate),DAY(X_Cell_Site_StartDate))-1</f>
        <v>46022</v>
      </c>
      <c r="F13" s="2" t="s">
        <v>13</v>
      </c>
      <c r="N13" s="37"/>
      <c r="O13" s="37"/>
    </row>
    <row r="14" spans="1:24" ht="20.100000000000001" customHeight="1" x14ac:dyDescent="0.25">
      <c r="A14" s="18" t="s">
        <v>66</v>
      </c>
      <c r="N14" s="37"/>
      <c r="O14" s="37"/>
    </row>
    <row r="15" spans="1:24" ht="20.100000000000001" customHeight="1" x14ac:dyDescent="0.25">
      <c r="A15" s="17" t="str">
        <f>HYPERLINK("#'6.1.1.1-2 Crop residue N2O'!A1", "6.1.1.1-2 Crop residue N2O")</f>
        <v>6.1.1.1-2 Crop residue N2O</v>
      </c>
      <c r="N15" s="37"/>
      <c r="O15" s="37"/>
    </row>
    <row r="16" spans="1:24" ht="20.100000000000001" customHeight="1" x14ac:dyDescent="0.25">
      <c r="A16" s="17" t="str">
        <f>HYPERLINK("#'6.2.1.1-2 Pasture residue N2O'!A1", "6.2.1.1-2 Pasture residue N2O")</f>
        <v>6.2.1.1-2 Pasture residue N2O</v>
      </c>
      <c r="D16" s="6" t="s">
        <v>10</v>
      </c>
      <c r="N16" s="37"/>
      <c r="O16" s="37"/>
    </row>
    <row r="17" spans="1:25" ht="20.100000000000001" customHeight="1" x14ac:dyDescent="0.25">
      <c r="A17" s="17" t="str">
        <f>HYPERLINK("#'6.3.1.1-2 Leaching and runoff'!A1", "6.3.1.1-2 Leaching and runoff")</f>
        <v>6.3.1.1-2 Leaching and runoff</v>
      </c>
    </row>
    <row r="18" spans="1:25" ht="20.100000000000001" customHeight="1" x14ac:dyDescent="0.25">
      <c r="A18" s="17" t="str">
        <f>HYPERLINK("#'6.3.1.1-2 Leach runoff crop'!A1", "6.3.1.1-2 Leach runoff crop")</f>
        <v>6.3.1.1-2 Leach runoff crop</v>
      </c>
      <c r="D18" s="88" t="s">
        <v>12</v>
      </c>
      <c r="E18" s="83"/>
      <c r="F18" s="83"/>
      <c r="G18" s="79"/>
    </row>
    <row r="19" spans="1:25" ht="20.100000000000001" customHeight="1" x14ac:dyDescent="0.25">
      <c r="A19" s="17" t="str">
        <f>HYPERLINK("#'6.3.1.1-2 Leach runoff pasture'!A1", "6.3.1.1-2 Leach runoff pasture")</f>
        <v>6.3.1.1-2 Leach runoff pasture</v>
      </c>
      <c r="D19" s="85" t="s">
        <v>64</v>
      </c>
      <c r="E19" s="82"/>
      <c r="F19" s="82"/>
      <c r="G19" s="80"/>
      <c r="N19" s="39"/>
    </row>
    <row r="20" spans="1:25" ht="20.100000000000001" customHeight="1" x14ac:dyDescent="0.25">
      <c r="A20" s="17" t="str">
        <f>HYPERLINK("#'6.4.1.1-2 Residue burning'!A1", "6.4.1.1-2 Residue burning")</f>
        <v>6.4.1.1-2 Residue burning</v>
      </c>
      <c r="D20" s="1"/>
      <c r="E20" s="30"/>
      <c r="F20" s="2"/>
      <c r="N20" s="40"/>
    </row>
    <row r="21" spans="1:25" ht="20.100000000000001" customHeight="1" x14ac:dyDescent="0.25">
      <c r="A21"/>
      <c r="D21" s="1" t="s">
        <v>4</v>
      </c>
      <c r="E21" s="38" t="s">
        <v>96</v>
      </c>
      <c r="F21" s="2" t="s">
        <v>7</v>
      </c>
    </row>
    <row r="22" spans="1:25" ht="20.100000000000001" customHeight="1" x14ac:dyDescent="0.25">
      <c r="A22"/>
      <c r="D22" s="1" t="s">
        <v>19</v>
      </c>
      <c r="E22" s="38" t="s">
        <v>28</v>
      </c>
      <c r="F22" s="2" t="s">
        <v>7</v>
      </c>
      <c r="G22" s="1"/>
    </row>
    <row r="23" spans="1:25" ht="20.100000000000001" customHeight="1" x14ac:dyDescent="0.25">
      <c r="A23" s="141" t="s">
        <v>1</v>
      </c>
      <c r="D23" s="1" t="s">
        <v>5</v>
      </c>
      <c r="E23" s="38" t="s">
        <v>73</v>
      </c>
      <c r="F23" s="2" t="s">
        <v>7</v>
      </c>
    </row>
    <row r="24" spans="1:25" ht="20.100000000000001" customHeight="1" x14ac:dyDescent="0.25">
      <c r="A24" s="17" t="str">
        <f>HYPERLINK("#'Constants - Ag Residue'!A1", "Constants - Ag Residue")</f>
        <v>Constants - Ag Residue</v>
      </c>
      <c r="D24" s="1" t="s">
        <v>33</v>
      </c>
      <c r="E24" s="32">
        <v>307.7</v>
      </c>
      <c r="F24" s="2" t="s">
        <v>47</v>
      </c>
    </row>
    <row r="25" spans="1:25" ht="20.100000000000001" customHeight="1" x14ac:dyDescent="0.25">
      <c r="A25" s="17" t="str">
        <f>HYPERLINK("#'Constants - Common'!A1", "Constants - Common")</f>
        <v>Constants - Common</v>
      </c>
      <c r="D25" s="1" t="s">
        <v>55</v>
      </c>
      <c r="E25" s="32">
        <v>18</v>
      </c>
      <c r="F25" s="2" t="s">
        <v>8</v>
      </c>
      <c r="N25" s="40"/>
    </row>
    <row r="26" spans="1:25" ht="20.100000000000001" customHeight="1" x14ac:dyDescent="0.25">
      <c r="A26"/>
      <c r="D26" s="1" t="s">
        <v>56</v>
      </c>
      <c r="E26" s="32">
        <v>601</v>
      </c>
      <c r="F26" s="2" t="s">
        <v>9</v>
      </c>
    </row>
    <row r="27" spans="1:25" ht="20.100000000000001" customHeight="1" x14ac:dyDescent="0.25">
      <c r="A27"/>
      <c r="D27" s="10" t="s">
        <v>57</v>
      </c>
      <c r="E27" s="32">
        <v>1326</v>
      </c>
      <c r="F27" s="2" t="s">
        <v>9</v>
      </c>
    </row>
    <row r="28" spans="1:25" ht="20.100000000000001" customHeight="1" x14ac:dyDescent="0.25">
      <c r="A28"/>
      <c r="D28" s="1" t="s">
        <v>58</v>
      </c>
      <c r="E28" s="32">
        <v>7</v>
      </c>
      <c r="F28" s="2" t="s">
        <v>48</v>
      </c>
    </row>
    <row r="29" spans="1:25" ht="20.100000000000001" customHeight="1" x14ac:dyDescent="0.25">
      <c r="A29"/>
      <c r="D29" s="10" t="s">
        <v>54</v>
      </c>
      <c r="E29" s="49">
        <f>X_Cell_Site_TotalRainfall/X_Cell_Site_PotentialEvapotranspiration</f>
        <v>0.45324283559577677</v>
      </c>
      <c r="F29" s="2"/>
    </row>
    <row r="30" spans="1:25" ht="20.100000000000001" customHeight="1" x14ac:dyDescent="0.25">
      <c r="A30"/>
      <c r="D30" s="10" t="s">
        <v>29</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5">
      <c r="A31"/>
      <c r="D31" s="1" t="s">
        <v>6</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70</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46</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7" zoomScaleNormal="100" workbookViewId="0">
      <selection activeCell="E34" sqref="E34"/>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0" customFormat="1" ht="30" customHeight="1" x14ac:dyDescent="0.35">
      <c r="A1" s="60" t="e" vm="1">
        <v>#VALUE!</v>
      </c>
      <c r="C1" s="60" t="s">
        <v>127</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128</v>
      </c>
    </row>
    <row r="6" spans="1:8" ht="20.100000000000001" customHeight="1" x14ac:dyDescent="0.25"/>
    <row r="7" spans="1:8" ht="20.100000000000001" customHeight="1" x14ac:dyDescent="0.25">
      <c r="D7" s="86" t="s">
        <v>129</v>
      </c>
      <c r="E7" s="87"/>
      <c r="F7" s="87"/>
      <c r="G7" s="81"/>
    </row>
    <row r="8" spans="1:8" ht="20.100000000000001" customHeight="1" x14ac:dyDescent="0.25">
      <c r="A8" s="19" t="s">
        <v>0</v>
      </c>
    </row>
    <row r="9" spans="1:8" ht="20.100000000000001" customHeight="1" x14ac:dyDescent="0.25">
      <c r="A9" s="17" t="str">
        <f>HYPERLINK("#'Input - Site'!A1", "Site")</f>
        <v>Site</v>
      </c>
      <c r="D9" s="1" t="s">
        <v>107</v>
      </c>
      <c r="E9" s="38" t="s">
        <v>130</v>
      </c>
      <c r="F9" s="2" t="s">
        <v>131</v>
      </c>
    </row>
    <row r="10" spans="1:8" ht="20.100000000000001" customHeight="1" x14ac:dyDescent="0.25">
      <c r="A10" s="104" t="str">
        <f>HYPERLINK("#'Input - Crop'!A1", "Crop")</f>
        <v>Crop</v>
      </c>
      <c r="D10" s="1" t="s">
        <v>132</v>
      </c>
      <c r="E10" s="38" t="s">
        <v>168</v>
      </c>
      <c r="F10" s="2" t="s">
        <v>131</v>
      </c>
    </row>
    <row r="11" spans="1:8" ht="20.100000000000001" customHeight="1" x14ac:dyDescent="0.25">
      <c r="A11" s="17" t="str">
        <f>HYPERLINK("#'Input - Pasture'!A1", "Pasture")</f>
        <v>Pasture</v>
      </c>
      <c r="D11" s="10" t="s">
        <v>83</v>
      </c>
      <c r="E11" s="38" t="s">
        <v>233</v>
      </c>
      <c r="F11" s="2" t="s">
        <v>131</v>
      </c>
    </row>
    <row r="12" spans="1:8" ht="20.100000000000001" customHeight="1" x14ac:dyDescent="0.25"/>
    <row r="13" spans="1:8" ht="20.100000000000001" customHeight="1" x14ac:dyDescent="0.25">
      <c r="D13" s="1" t="s">
        <v>108</v>
      </c>
      <c r="E13" s="129">
        <v>1000</v>
      </c>
      <c r="F13" s="2" t="s">
        <v>133</v>
      </c>
    </row>
    <row r="14" spans="1:8" ht="20.100000000000001" customHeight="1" x14ac:dyDescent="0.25">
      <c r="A14" s="18" t="s">
        <v>66</v>
      </c>
    </row>
    <row r="15" spans="1:8" ht="20.100000000000001" customHeight="1" x14ac:dyDescent="0.25">
      <c r="A15" s="17" t="str">
        <f>HYPERLINK("#'6.1.1.1-2 Crop residue N2O'!A1", "6.1.1.1-2 Crop residue N2O")</f>
        <v>6.1.1.1-2 Crop residue N2O</v>
      </c>
      <c r="D15" s="6" t="s">
        <v>134</v>
      </c>
    </row>
    <row r="16" spans="1:8" ht="20.100000000000001" customHeight="1" x14ac:dyDescent="0.25">
      <c r="A16" s="17" t="str">
        <f>HYPERLINK("#'6.2.1.1-2 Pasture residue N2O'!A1", "6.2.1.1-2 Pasture residue N2O")</f>
        <v>6.2.1.1-2 Pasture residue N2O</v>
      </c>
    </row>
    <row r="17" spans="1:6" ht="20.100000000000001" customHeight="1" x14ac:dyDescent="0.25">
      <c r="A17" s="17" t="str">
        <f>HYPERLINK("#'6.3.1.1-2 Leaching and runoff'!A1", "6.3.1.1-2 Leaching and runoff")</f>
        <v>6.3.1.1-2 Leaching and runoff</v>
      </c>
      <c r="D17" s="1" t="str">
        <f>X_Cell_Crop_CropPurpose &amp; " " &amp; _xlfn.XLOOKUP(X_Cell_Crop_CropPurpose,Table_SourceData_CropPurposeAndYields[Purpose], Table_SourceData_CropPurposeAndYields[harvest term]) &amp; " per hectare¹"</f>
        <v>Cash grain crop yield per hectare¹</v>
      </c>
      <c r="E17" s="112">
        <v>10</v>
      </c>
      <c r="F17" s="2"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17" t="str">
        <f>HYPERLINK("#'6.3.1.1-2 Leach runoff crop'!A1", "6.3.1.1-2 Leach runoff crop")</f>
        <v>6.3.1.1-2 Leach runoff crop</v>
      </c>
      <c r="D18" s="1" t="s">
        <v>224</v>
      </c>
      <c r="E18" s="49">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17" t="str">
        <f>HYPERLINK("#'6.3.1.1-2 Leach runoff pasture'!A1", "6.3.1.1-2 Leach runoff pasture")</f>
        <v>6.3.1.1-2 Leach runoff pasture</v>
      </c>
      <c r="D19" s="1" t="s">
        <v>137</v>
      </c>
      <c r="E19" s="49">
        <f>X_Cell_Crop_YieldPerHectare*E18</f>
        <v>15</v>
      </c>
      <c r="F19" s="2" t="s">
        <v>136</v>
      </c>
    </row>
    <row r="20" spans="1:6" ht="20.100000000000001" customHeight="1" x14ac:dyDescent="0.25">
      <c r="A20" s="17" t="str">
        <f>HYPERLINK("#'6.4.1.1-2 Residue burning'!A1", "6.4.1.1-2 Residue burning")</f>
        <v>6.4.1.1-2 Residue burning</v>
      </c>
      <c r="D20" s="1" t="s">
        <v>135</v>
      </c>
      <c r="E20" s="49">
        <f>X_Cell_Crop_YieldPerHectare+E19</f>
        <v>25</v>
      </c>
      <c r="F20" s="2" t="s">
        <v>136</v>
      </c>
    </row>
    <row r="21" spans="1:6" ht="20.100000000000001" customHeight="1" x14ac:dyDescent="0.25"/>
    <row r="22" spans="1:6" ht="20.100000000000001" customHeight="1" x14ac:dyDescent="0.25">
      <c r="D22" s="50" t="s">
        <v>225</v>
      </c>
      <c r="E22" s="49">
        <f>X_Cell_Crop_YieldPerHectare*X_Cell_Crop_AreaUnderCropping</f>
        <v>10000</v>
      </c>
      <c r="F22" s="2" t="str">
        <f>"Tonnes " &amp; _xlfn.XLOOKUP(X_Cell_Crop_CropPurpose, Table_SourceData_CropPurposeAndYields[Purpose], Table_SourceData_CropPurposeAndYields[Harvest uit], FALSE)</f>
        <v>Tonnes grain</v>
      </c>
    </row>
    <row r="23" spans="1:6" ht="20.100000000000001" customHeight="1" x14ac:dyDescent="0.25">
      <c r="A23" s="141" t="s">
        <v>1</v>
      </c>
    </row>
    <row r="24" spans="1:6" ht="20.100000000000001" customHeight="1" x14ac:dyDescent="0.25">
      <c r="A24" s="17" t="str">
        <f>HYPERLINK("#'Constants - Ag Residue'!A1", "Constants - Ag Residue")</f>
        <v>Constants - Ag Residue</v>
      </c>
      <c r="D24" s="96" t="str">
        <f>"¹ " &amp; _xlfn.XLOOKUP(X_Cell_Crop_CropPurpose, Table_SourceData_CropPurposeAndYields[Purpose],Table_SourceData_CropPurposeAndYields[Yield note])</f>
        <v>¹ Yield is the grain harvested from the plant</v>
      </c>
    </row>
    <row r="25" spans="1:6" ht="20.100000000000001" customHeight="1" x14ac:dyDescent="0.25">
      <c r="A25" s="17" t="str">
        <f>HYPERLINK("#'Constants - Common'!A1", "Constants - Common")</f>
        <v>Constants - Common</v>
      </c>
      <c r="D25" s="96"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D26" s="96" t="str">
        <f>"³ " &amp; _xlfn.XLOOKUP(X_Cell_Crop_CropPurpose,Table_SourceData_CropPurposeAndYields[Purpose],Table_SourceData_CropPurposeAndYields[Total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138</v>
      </c>
    </row>
    <row r="29" spans="1:6" ht="20.100000000000001" customHeight="1" x14ac:dyDescent="0.25"/>
    <row r="30" spans="1:6" ht="20.100000000000001" customHeight="1" x14ac:dyDescent="0.25">
      <c r="D30" s="1" t="str">
        <f>"Residue after " &amp; VLOOKUP(X_Cell_Crop_CropPurpose,'Constants - Ag Residue'!D8:G10, 4, FALSE)</f>
        <v>Residue after harvest</v>
      </c>
      <c r="E30" s="49">
        <f>E19*X_Cell_Crop_AreaUnderCropping</f>
        <v>15000</v>
      </c>
      <c r="F30" s="2" t="s">
        <v>139</v>
      </c>
    </row>
    <row r="31" spans="1:6" ht="20.100000000000001" customHeight="1" x14ac:dyDescent="0.25"/>
    <row r="32" spans="1:6" ht="20.100000000000001" customHeight="1" x14ac:dyDescent="0.25">
      <c r="D32" s="45" t="s">
        <v>140</v>
      </c>
    </row>
    <row r="33" spans="1:8" ht="20.100000000000001" customHeight="1" x14ac:dyDescent="0.25">
      <c r="D33" s="1" t="s">
        <v>141</v>
      </c>
      <c r="E33" s="120">
        <v>0.11</v>
      </c>
      <c r="F33" s="2" t="s">
        <v>142</v>
      </c>
    </row>
    <row r="34" spans="1:8" ht="20.100000000000001" customHeight="1" x14ac:dyDescent="0.25">
      <c r="D34" s="1" t="s">
        <v>143</v>
      </c>
      <c r="E34" s="112">
        <v>60</v>
      </c>
      <c r="F34" s="2" t="s">
        <v>144</v>
      </c>
    </row>
    <row r="35" spans="1:8" ht="20.100000000000001" customHeight="1" x14ac:dyDescent="0.25">
      <c r="D35" s="50" t="s">
        <v>145</v>
      </c>
      <c r="E35" s="131">
        <v>25000</v>
      </c>
      <c r="F35" s="2" t="s">
        <v>146</v>
      </c>
    </row>
    <row r="36" spans="1:8" ht="20.100000000000001" customHeight="1" x14ac:dyDescent="0.25">
      <c r="D36" s="50" t="s">
        <v>147</v>
      </c>
      <c r="E36" s="49">
        <f>E30*X_Cell_Crop_PercentResidueBaled</f>
        <v>1650</v>
      </c>
      <c r="F36" s="2" t="s">
        <v>139</v>
      </c>
    </row>
    <row r="37" spans="1:8" ht="20.100000000000001" customHeight="1" x14ac:dyDescent="0.25">
      <c r="C37" s="110"/>
    </row>
    <row r="38" spans="1:8" ht="20.100000000000001" customHeight="1" x14ac:dyDescent="0.25">
      <c r="C38" s="110"/>
      <c r="D38" s="45" t="s">
        <v>148</v>
      </c>
    </row>
    <row r="39" spans="1:8" ht="20.100000000000001" customHeight="1" x14ac:dyDescent="0.25">
      <c r="D39" s="1" t="s">
        <v>149</v>
      </c>
      <c r="E39" s="120">
        <v>0.3</v>
      </c>
      <c r="F39" s="2" t="s">
        <v>142</v>
      </c>
    </row>
    <row r="40" spans="1:8" s="111" customFormat="1" ht="20.100000000000001" customHeight="1" x14ac:dyDescent="0.25">
      <c r="A40"/>
      <c r="C40" s="1"/>
      <c r="D40" s="1" t="s">
        <v>150</v>
      </c>
      <c r="E40" s="49">
        <f>E30*X_Cell_Crop_PercentResidueBurned</f>
        <v>4500</v>
      </c>
      <c r="F40" s="2" t="s">
        <v>139</v>
      </c>
      <c r="G40" s="1"/>
      <c r="H40" s="1"/>
    </row>
    <row r="41" spans="1:8" s="111" customFormat="1" ht="20.100000000000001" customHeight="1" x14ac:dyDescent="0.25">
      <c r="A41"/>
      <c r="C41" s="1"/>
      <c r="D41" s="1"/>
      <c r="E41" s="1"/>
      <c r="F41" s="1"/>
      <c r="G41" s="1"/>
      <c r="H41" s="1"/>
    </row>
    <row r="42" spans="1:8" ht="20.100000000000001" customHeight="1" x14ac:dyDescent="0.25">
      <c r="D42" s="1" t="s">
        <v>151</v>
      </c>
      <c r="E42" s="49">
        <f>E30-X_Cell_Crop_TotalResidueBaled-E40</f>
        <v>8850</v>
      </c>
      <c r="F42" s="2" t="s">
        <v>139</v>
      </c>
    </row>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6"/>
    </row>
  </sheetData>
  <conditionalFormatting sqref="E210:G210">
    <cfRule type="cellIs" dxfId="12" priority="79" operator="lessThan">
      <formula>0</formula>
    </cfRule>
  </conditionalFormatting>
  <conditionalFormatting sqref="F42">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0" t="e" vm="1">
        <v>#VALUE!</v>
      </c>
      <c r="C1" s="60" t="s">
        <v>190</v>
      </c>
      <c r="D1" s="60"/>
      <c r="E1" s="60"/>
      <c r="F1" s="60"/>
      <c r="G1" s="60"/>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128</v>
      </c>
    </row>
    <row r="6" spans="1:7" ht="20.100000000000001" customHeight="1" x14ac:dyDescent="0.25"/>
    <row r="7" spans="1:7" ht="20.100000000000001" customHeight="1" x14ac:dyDescent="0.25">
      <c r="D7" s="20" t="s">
        <v>129</v>
      </c>
      <c r="E7" s="20"/>
      <c r="F7" s="20"/>
    </row>
    <row r="8" spans="1:7" ht="20.100000000000001" customHeight="1" x14ac:dyDescent="0.25">
      <c r="A8" s="19" t="s">
        <v>0</v>
      </c>
    </row>
    <row r="9" spans="1:7" ht="20.100000000000001" customHeight="1" x14ac:dyDescent="0.25">
      <c r="A9" s="17" t="str">
        <f>HYPERLINK("#'Input - Site'!A1", "Site")</f>
        <v>Site</v>
      </c>
      <c r="D9" s="1" t="s">
        <v>174</v>
      </c>
      <c r="E9" s="38" t="s">
        <v>215</v>
      </c>
      <c r="F9" s="2" t="s">
        <v>189</v>
      </c>
    </row>
    <row r="10" spans="1:7" ht="20.100000000000001" customHeight="1" x14ac:dyDescent="0.25">
      <c r="A10" s="17" t="str">
        <f>HYPERLINK("#'Input - Crop'!A1", "Crop")</f>
        <v>Crop</v>
      </c>
      <c r="D10" s="1" t="s">
        <v>83</v>
      </c>
      <c r="E10" s="38" t="s">
        <v>219</v>
      </c>
      <c r="F10" s="2" t="s">
        <v>189</v>
      </c>
    </row>
    <row r="11" spans="1:7" ht="20.100000000000001" customHeight="1" x14ac:dyDescent="0.25">
      <c r="A11" s="104" t="str">
        <f>HYPERLINK("#'Input - Pasture'!A1", "Pasture")</f>
        <v>Pasture</v>
      </c>
    </row>
    <row r="12" spans="1:7" ht="20.100000000000001" customHeight="1" x14ac:dyDescent="0.25">
      <c r="D12" s="1" t="s">
        <v>182</v>
      </c>
      <c r="E12" s="112">
        <v>1000</v>
      </c>
      <c r="F12" s="2" t="s">
        <v>133</v>
      </c>
    </row>
    <row r="13" spans="1:7" ht="20.100000000000001" customHeight="1" x14ac:dyDescent="0.25"/>
    <row r="14" spans="1:7" ht="20.100000000000001" customHeight="1" x14ac:dyDescent="0.25">
      <c r="A14" s="18" t="s">
        <v>66</v>
      </c>
      <c r="D14" s="6" t="s">
        <v>134</v>
      </c>
    </row>
    <row r="15" spans="1:7" ht="20.100000000000001" customHeight="1" x14ac:dyDescent="0.25">
      <c r="A15" s="17" t="str">
        <f>HYPERLINK("#'6.1.1.1-2 Crop residue N2O'!A1", "6.1.1.1-2 Crop residue N2O")</f>
        <v>6.1.1.1-2 Crop residue N2O</v>
      </c>
    </row>
    <row r="16" spans="1:7" ht="20.100000000000001" customHeight="1" x14ac:dyDescent="0.25">
      <c r="A16" s="17" t="str">
        <f>HYPERLINK("#'6.2.1.1-2 Pasture residue N2O'!A1", "6.2.1.1-2 Pasture residue N2O")</f>
        <v>6.2.1.1-2 Pasture residue N2O</v>
      </c>
      <c r="D16" s="130" t="s">
        <v>183</v>
      </c>
      <c r="E16" s="83"/>
      <c r="F16" s="79"/>
    </row>
    <row r="17" spans="1:6" ht="20.100000000000001" customHeight="1" x14ac:dyDescent="0.25">
      <c r="A17" s="17" t="str">
        <f>HYPERLINK("#'6.3.1.1-2 Leaching and runoff'!A1", "6.3.1.1-2 Leaching and runoff")</f>
        <v>6.3.1.1-2 Leaching and runoff</v>
      </c>
      <c r="D17" s="85" t="s">
        <v>184</v>
      </c>
      <c r="E17" s="82"/>
      <c r="F17" s="80"/>
    </row>
    <row r="18" spans="1:6" ht="20.100000000000001" customHeight="1" x14ac:dyDescent="0.25">
      <c r="A18" s="17" t="str">
        <f>HYPERLINK("#'6.3.1.1-2 Leach runoff crop'!A1", "6.3.1.1-2 Leach runoff crop")</f>
        <v>6.3.1.1-2 Leach runoff crop</v>
      </c>
    </row>
    <row r="19" spans="1:6" ht="20.100000000000001" customHeight="1" x14ac:dyDescent="0.25">
      <c r="A19" s="17" t="str">
        <f>HYPERLINK("#'6.3.1.1-2 Leach runoff pasture'!A1", "6.3.1.1-2 Leach runoff pasture")</f>
        <v>6.3.1.1-2 Leach runoff pasture</v>
      </c>
      <c r="D19" s="1" t="s">
        <v>185</v>
      </c>
      <c r="E19" s="112">
        <v>8.34</v>
      </c>
      <c r="F19" s="2" t="s">
        <v>186</v>
      </c>
    </row>
    <row r="20" spans="1:6" ht="20.100000000000001" customHeight="1" x14ac:dyDescent="0.25">
      <c r="A20" s="17" t="str">
        <f>HYPERLINK("#'6.4.1.1-2 Residue burning'!A1", "6.4.1.1-2 Residue burning")</f>
        <v>6.4.1.1-2 Residue burning</v>
      </c>
      <c r="D20" s="1" t="s">
        <v>187</v>
      </c>
      <c r="E20" s="49">
        <f>X_Cell_Pasture_AreaUnderPasture*X_Cell_Pasture_YieldPerHectare</f>
        <v>8340</v>
      </c>
      <c r="F20" s="2" t="s">
        <v>139</v>
      </c>
    </row>
    <row r="21" spans="1:6" ht="20.100000000000001" customHeight="1" x14ac:dyDescent="0.25"/>
    <row r="22" spans="1:6" ht="20.100000000000001" customHeight="1" x14ac:dyDescent="0.25"/>
    <row r="23" spans="1:6" ht="20.100000000000001" customHeight="1" x14ac:dyDescent="0.25">
      <c r="A23" s="141" t="s">
        <v>1</v>
      </c>
      <c r="D23" s="6" t="s">
        <v>138</v>
      </c>
    </row>
    <row r="24" spans="1:6" ht="20.100000000000001" customHeight="1" x14ac:dyDescent="0.25">
      <c r="A24" s="17" t="str">
        <f>HYPERLINK("#'Constants - Ag Residue'!A1", "Constants - Ag Residue")</f>
        <v>Constants - Ag Residue</v>
      </c>
    </row>
    <row r="25" spans="1:6" ht="20.100000000000001" customHeight="1" x14ac:dyDescent="0.25">
      <c r="A25" s="17" t="str">
        <f>HYPERLINK("#'Constants - Common'!A1", "Constants - Common")</f>
        <v>Constants - Common</v>
      </c>
      <c r="D25" s="1" t="s">
        <v>188</v>
      </c>
      <c r="E25" s="112">
        <v>500</v>
      </c>
      <c r="F25" s="2" t="s">
        <v>133</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abSelected="1" topLeftCell="A20" zoomScaleNormal="100" workbookViewId="0">
      <selection activeCell="E42" sqref="E4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0" t="e" vm="1">
        <v>#VALUE!</v>
      </c>
      <c r="C1" s="8" t="s">
        <v>126</v>
      </c>
      <c r="K1"/>
    </row>
    <row r="2" spans="1:20" s="9" customFormat="1" ht="20.100000000000001" customHeight="1" x14ac:dyDescent="0.25">
      <c r="A2"/>
      <c r="K2"/>
    </row>
    <row r="3" spans="1:20" ht="20.100000000000001" customHeight="1" x14ac:dyDescent="0.25">
      <c r="A3" s="17" t="str">
        <f>HYPERLINK("#'Home'!A1", "Home")</f>
        <v>Home</v>
      </c>
      <c r="C3" s="4"/>
      <c r="D3" s="4" t="s">
        <v>77</v>
      </c>
      <c r="E3" s="4"/>
      <c r="F3" s="4"/>
      <c r="G3" s="4"/>
      <c r="H3" s="4"/>
      <c r="I3" s="4"/>
      <c r="J3" s="4"/>
      <c r="L3" s="4"/>
      <c r="M3" s="4" t="s">
        <v>78</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1"/>
      <c r="F5" s="21"/>
      <c r="G5" s="21"/>
      <c r="H5" s="21"/>
      <c r="L5" s="21"/>
      <c r="M5" s="6" t="str" cm="1">
        <f t="array" ref="M5">AgResidue_Equations_CropResidue.VEERG_6_1_1_2__1__FractionOfCropResidueRemovedBaled_Title()</f>
        <v>Fraction of crop residue that is removed for crop c, calculated where residues are baled</v>
      </c>
      <c r="N5" s="21"/>
      <c r="O5" s="21"/>
      <c r="P5" s="21"/>
      <c r="Q5" s="21"/>
    </row>
    <row r="6" spans="1:20" ht="20.100000000000001" customHeight="1" x14ac:dyDescent="0.25">
      <c r="D6" s="5" t="str" cm="1">
        <f t="array" ref="D6">AgResidue_Equations_CropResidue.VEERG_6_1_1_1__2__MassOfNitrogenInCropResidues_Source()</f>
        <v>VEERG 2026: 6.1.1.1, Equation (2)</v>
      </c>
      <c r="E6" s="21"/>
      <c r="F6" s="21"/>
      <c r="G6" s="21"/>
      <c r="H6" s="21"/>
      <c r="J6" s="21"/>
      <c r="L6" s="21"/>
      <c r="M6" s="5" t="str" cm="1">
        <f t="array" ref="M6">AgResidue_Equations_CropResidue.VEERG_6_1_1_2__1__FractionOfCropResidueRemovedBaled_Source()</f>
        <v>VEERG 2026: 6.1.1.2, Equation (1)</v>
      </c>
      <c r="N6" s="21"/>
      <c r="O6" s="21"/>
      <c r="P6" s="21"/>
      <c r="Q6" s="21"/>
    </row>
    <row r="7" spans="1:20" ht="20.100000000000001" customHeight="1" x14ac:dyDescent="0.25">
      <c r="D7" s="13" t="s">
        <v>20</v>
      </c>
      <c r="E7" s="13" t="str" cm="1">
        <f t="array" aca="1" ref="E7" ca="1">Common_InputFunctions.Utility_DisplayFunctionName(E24)</f>
        <v>=AgResidue_Equations_CropResidue.VEERG_6_1_1_1__2__MassOfNitrogenInCropResidues</v>
      </c>
      <c r="F7" s="21"/>
      <c r="G7" s="21"/>
      <c r="H7" s="21"/>
      <c r="J7" s="21"/>
      <c r="L7" s="21"/>
      <c r="M7" s="52" t="str" cm="1">
        <f t="array" ref="M7">"⚠️" &amp; AgResidue_Equations_CropResidue.VEERG_6_1_1_2__1__FractionOfCropResidueRemovedBaled_Variation()</f>
        <v>⚠️</v>
      </c>
      <c r="N7" s="21"/>
      <c r="O7" s="21"/>
      <c r="P7" s="21"/>
      <c r="Q7" s="21"/>
    </row>
    <row r="8" spans="1:20" ht="20.100000000000001" customHeight="1" x14ac:dyDescent="0.25">
      <c r="A8" s="19" t="s">
        <v>0</v>
      </c>
      <c r="F8" s="21"/>
      <c r="G8" s="21"/>
      <c r="H8" s="21"/>
      <c r="J8" s="21"/>
      <c r="L8" s="21"/>
      <c r="M8" s="13" t="s">
        <v>20</v>
      </c>
      <c r="N8" s="13" t="str" cm="1">
        <f t="array" aca="1" ref="N8" ca="1">Common_InputFunctions.Utility_DisplayFunctionName(N21)</f>
        <v>=AgResidue_Equations_CropResidue.VEERG_6_1_1_2__1__FractionOfCropResidueRemovedBaled</v>
      </c>
      <c r="O8" s="21"/>
      <c r="P8" s="21"/>
      <c r="Q8" s="21"/>
    </row>
    <row r="9" spans="1:20" ht="20.100000000000001" customHeight="1" x14ac:dyDescent="0.25">
      <c r="A9" s="17" t="str">
        <f>HYPERLINK("#'Input - Site'!A1", "Site")</f>
        <v>Site</v>
      </c>
      <c r="D9" s="21"/>
      <c r="E9" s="21"/>
      <c r="F9" s="21"/>
      <c r="G9" s="21"/>
      <c r="H9" s="21"/>
      <c r="J9" s="21"/>
      <c r="L9" s="21"/>
      <c r="M9" s="21"/>
      <c r="N9" s="21"/>
      <c r="O9" s="21"/>
      <c r="P9" s="21"/>
      <c r="Q9" s="21"/>
    </row>
    <row r="10" spans="1:20" ht="20.100000000000001" customHeight="1" x14ac:dyDescent="0.25">
      <c r="A10" s="17" t="str">
        <f>HYPERLINK("#'Input - Crop'!A1", "Crop")</f>
        <v>Crop</v>
      </c>
      <c r="D10" s="50" t="s">
        <v>23</v>
      </c>
      <c r="E10" s="1" t="str" cm="1">
        <f t="array" ref="E10">AgResidue_Equations_CropResidue.VEERG_6_1_1_1__2__MassOfNitrogenInCropResidues_Variable()</f>
        <v>M_c</v>
      </c>
      <c r="F10" s="21"/>
      <c r="G10" s="21"/>
      <c r="H10" s="21"/>
      <c r="J10" s="21"/>
      <c r="L10" s="21"/>
      <c r="M10" s="21"/>
      <c r="N10" s="21"/>
      <c r="O10" s="21"/>
      <c r="P10" s="21"/>
      <c r="Q10" s="21"/>
    </row>
    <row r="11" spans="1:20" ht="20.100000000000001" customHeight="1" x14ac:dyDescent="0.25">
      <c r="A11" s="17" t="str">
        <f>HYPERLINK("#'Input - Pasture'!A1", "Pasture")</f>
        <v>Pasture</v>
      </c>
      <c r="D11" s="50" t="s">
        <v>14</v>
      </c>
      <c r="E11" s="51" t="str" cm="1">
        <f t="array" ref="E11">AgResidue_Equations_CropResidue.VEERG_6_1_1_1__2__MassOfNitrogenInCropResidues_Unit()</f>
        <v>kg N</v>
      </c>
      <c r="F11" s="21"/>
      <c r="G11" s="21"/>
      <c r="H11" s="21"/>
      <c r="J11" s="21"/>
      <c r="L11" s="21"/>
      <c r="M11" s="21"/>
      <c r="N11" s="21"/>
      <c r="O11" s="21"/>
      <c r="P11" s="21"/>
      <c r="Q11" s="21"/>
    </row>
    <row r="12" spans="1:20" ht="20.100000000000001" customHeight="1" x14ac:dyDescent="0.25">
      <c r="D12" s="21"/>
      <c r="E12" s="21"/>
      <c r="F12" s="21"/>
      <c r="G12" s="21"/>
      <c r="J12" s="21"/>
      <c r="L12" s="21"/>
      <c r="M12" s="50" t="s">
        <v>23</v>
      </c>
      <c r="N12" s="1" t="str" cm="1">
        <f t="array" ref="N12">AgResidue_Equations_CropResidue.VEERG_6_1_1_2__1__FractionOfCropResidueRemovedBaled_Variable()</f>
        <v>FFOD_c</v>
      </c>
      <c r="O12" s="21"/>
      <c r="P12" s="21"/>
      <c r="Q12" s="21"/>
    </row>
    <row r="13" spans="1:20" ht="20.100000000000001" customHeight="1" x14ac:dyDescent="0.25">
      <c r="D13" s="114" t="str" cm="1">
        <f t="array" ref="D13:E22">_xlfn.CHOOSECOLS(AgResidue_Equations_CropResidue.VEERG_6_1_1_1__2__MassOfNitrogenInCropResidues_Arguments(), 1, 2)</f>
        <v>P_c</v>
      </c>
      <c r="E13" s="118" t="str">
        <v>annual production of crop c</v>
      </c>
      <c r="F13" s="117"/>
      <c r="G13" s="114" t="str" cm="1">
        <f t="array" ref="G13:H22">_xlfn.CHOOSECOLS(AgResidue_Equations_CropResidue.VEERG_6_1_1_1__2__MassOfNitrogenInCropResidues_Arguments(), 3,4)</f>
        <v>kg</v>
      </c>
      <c r="H13" s="109" t="str">
        <v>Input</v>
      </c>
      <c r="I13" s="114">
        <f>X_Cell_Crop_TotalProductionOfCrop*10^3</f>
        <v>10000000</v>
      </c>
      <c r="J13" s="21"/>
      <c r="L13" s="21"/>
      <c r="M13" s="50" t="s">
        <v>14</v>
      </c>
      <c r="N13" s="51" t="str" cm="1">
        <f t="array" ref="N13">AgResidue_Equations_CropResidue.VEERG_6_1_1_2__1__FractionOfCropResidueRemovedBaled_Unit()</f>
        <v>fraction</v>
      </c>
      <c r="O13" s="21"/>
      <c r="P13" s="21"/>
      <c r="Q13" s="21"/>
    </row>
    <row r="14" spans="1:20" ht="20.100000000000001" customHeight="1" x14ac:dyDescent="0.25">
      <c r="A14" s="18" t="s">
        <v>66</v>
      </c>
      <c r="D14" s="114" t="str">
        <v>R_AGc</v>
      </c>
      <c r="E14" s="118" t="str">
        <v>residue to crop ratio for crop c</v>
      </c>
      <c r="F14" s="117"/>
      <c r="G14" s="114" t="str">
        <v/>
      </c>
      <c r="H14" s="108" t="str">
        <v>Constant</v>
      </c>
      <c r="I14" s="114">
        <f>'Input - Crop'!$E$18</f>
        <v>1.5</v>
      </c>
      <c r="J14" s="21"/>
      <c r="L14" s="21"/>
      <c r="M14" s="21"/>
      <c r="N14" s="21"/>
      <c r="O14" s="21"/>
      <c r="P14" s="21"/>
    </row>
    <row r="15" spans="1:20" ht="20.100000000000001" customHeight="1" x14ac:dyDescent="0.25">
      <c r="A15" s="127" t="str">
        <f>HYPERLINK("#'6.1.1.1-2 Crop residue N2O'!A1", "6.1.1.1-2 Crop residue N2O")</f>
        <v>6.1.1.1-2 Crop residue N2O</v>
      </c>
      <c r="D15" s="114" t="str">
        <v>R_BGc</v>
      </c>
      <c r="E15" s="118" t="str">
        <v>below ground-residue to above ground residue ratio for crop c</v>
      </c>
      <c r="F15" s="117"/>
      <c r="G15" s="114" t="str">
        <v/>
      </c>
      <c r="H15" s="108" t="str">
        <v>Constant</v>
      </c>
      <c r="I15" s="114" cm="1">
        <f t="array" ref="I15">Common_InputFunctions.Utility_LookupValueInTableNumber($I$21,Table_SourceData_CropAttributes[Crop type],Table_SourceData_CropAttributes[Below-ground: above-ground residue ratio])</f>
        <v>0.28999999999999998</v>
      </c>
      <c r="L15" s="21"/>
      <c r="M15" s="114" t="str" cm="1">
        <f t="array" ref="M15:N19">_xlfn.CHOOSECOLS(AgResidue_Equations_CropResidue.VEERG_6_1_1_2__1__FractionOfCropResidueRemovedBaled_Arguments(), 1, 2)</f>
        <v>B</v>
      </c>
      <c r="N15" s="114" t="str">
        <v>number of bales generated</v>
      </c>
      <c r="O15" s="114" t="str" cm="1">
        <f t="array" ref="O15:P19">_xlfn.CHOOSECOLS(AgResidue_Equations_CropResidue.VEERG_6_1_1_2__1__FractionOfCropResidueRemovedBaled_Arguments(), 3,4)</f>
        <v/>
      </c>
      <c r="P15" s="109" t="str">
        <v>Input</v>
      </c>
      <c r="Q15" s="135">
        <f>X_Cell_Crop_NumberOfBales</f>
        <v>25000</v>
      </c>
    </row>
    <row r="16" spans="1:20" ht="20.100000000000001" customHeight="1" x14ac:dyDescent="0.25">
      <c r="A16" s="17" t="str">
        <f>HYPERLINK("#'6.2.1.1-2 Pasture residue N2O'!A1", "6.2.1.1-2 Pasture residue N2O")</f>
        <v>6.2.1.1-2 Pasture residue N2O</v>
      </c>
      <c r="D16" s="114" t="str">
        <v>F_c</v>
      </c>
      <c r="E16" s="118" t="str">
        <v>fraction of crop residue that is burnt for crop c</v>
      </c>
      <c r="F16" s="117"/>
      <c r="G16" s="114" t="str">
        <v>fraction</v>
      </c>
      <c r="H16" s="109" t="str">
        <v>Input</v>
      </c>
      <c r="I16" s="114">
        <f>X_Cell_Crop_PercentResidueBurned</f>
        <v>0.3</v>
      </c>
      <c r="L16" s="21"/>
      <c r="M16" s="114" t="str">
        <v>M_B</v>
      </c>
      <c r="N16" s="114" t="str">
        <v>mass of each bale</v>
      </c>
      <c r="O16" s="114" t="str">
        <v>kg</v>
      </c>
      <c r="P16" s="109" t="str">
        <v>Input</v>
      </c>
      <c r="Q16" s="114">
        <f>X_Cell_Crop_AverageWeightPerBale</f>
        <v>60</v>
      </c>
    </row>
    <row r="17" spans="1:20" ht="20.100000000000001" customHeight="1" x14ac:dyDescent="0.25">
      <c r="A17" s="17" t="str">
        <f>HYPERLINK("#'6.3.1.1-2 Leaching and runoff'!A1", "6.3.1.1-2 Leaching and runoff")</f>
        <v>6.3.1.1-2 Leaching and runoff</v>
      </c>
      <c r="D17" s="114" t="str">
        <v>FFOD_c</v>
      </c>
      <c r="E17" s="118" t="str">
        <v>fraction of the crop residue that is removed for crop c</v>
      </c>
      <c r="F17" s="117"/>
      <c r="G17" s="114" t="str">
        <v>fraction</v>
      </c>
      <c r="H17" s="108" t="str">
        <v>Constant</v>
      </c>
      <c r="I17" s="114" cm="1">
        <f t="array" ref="I17">IF(ISNUMBER(_xlfn.XLOOKUP(1, (Table77[Crop type c]=$I$21)*(Table77[State]=$I$22),Table77[Fraction removed])), _xlfn.XLOOKUP(1, (Table77[Crop type c]=$I$21)*(Table77[State]=$I$22),Table77[Fraction removed]), 0)</f>
        <v>0.11</v>
      </c>
      <c r="L17" s="21"/>
      <c r="M17" s="114" t="str">
        <v>P_c</v>
      </c>
      <c r="N17" s="114" t="str">
        <v>annual production of crop c</v>
      </c>
      <c r="O17" s="114" t="str">
        <v>kg</v>
      </c>
      <c r="P17" s="109" t="str">
        <v>Input</v>
      </c>
      <c r="Q17" s="114">
        <f>X_Cell_Crop_TotalProductionOfCrop*10^3</f>
        <v>10000000</v>
      </c>
    </row>
    <row r="18" spans="1:20" ht="20.100000000000001" customHeight="1" x14ac:dyDescent="0.25">
      <c r="A18" s="17" t="str">
        <f>HYPERLINK("#'6.3.1.1-2 Leach runoff crop'!A1", "6.3.1.1-2 Leach runoff crop")</f>
        <v>6.3.1.1-2 Leach runoff crop</v>
      </c>
      <c r="D18" s="114" t="str">
        <v>DM_c</v>
      </c>
      <c r="E18" s="118" t="str">
        <v>dry matter content of crop c</v>
      </c>
      <c r="F18" s="117"/>
      <c r="G18" s="114" t="str">
        <v>kg dry weight/kg crop residue</v>
      </c>
      <c r="H18" s="108" t="str">
        <v>Constant</v>
      </c>
      <c r="I18" s="114" cm="1">
        <f t="array" ref="I18">Common_InputFunctions.Utility_LookupValueInTableNumber($I$21,Table_SourceData_CropAttributes[Crop type],Table_SourceData_CropAttributes[Dry matter content])</f>
        <v>0.88</v>
      </c>
      <c r="L18" s="21"/>
      <c r="M18" s="114" t="str">
        <v>R_AGc</v>
      </c>
      <c r="N18" s="114" t="str">
        <v>residue to crop ratio for crop c</v>
      </c>
      <c r="O18" s="114" t="str">
        <v/>
      </c>
      <c r="P18" s="108" t="str">
        <v>Constant</v>
      </c>
      <c r="Q18" s="114">
        <f>'Input - Crop'!$E$18</f>
        <v>1.5</v>
      </c>
    </row>
    <row r="19" spans="1:20" ht="20.100000000000001" customHeight="1" x14ac:dyDescent="0.25">
      <c r="A19" s="17" t="str">
        <f>HYPERLINK("#'6.3.1.1-2 Leach runoff pasture'!A1", "6.3.1.1-2 Leach runoff pasture")</f>
        <v>6.3.1.1-2 Leach runoff pasture</v>
      </c>
      <c r="D19" s="114" t="str">
        <v>NC_AGc</v>
      </c>
      <c r="E19" s="118" t="str">
        <v>nitrogen content of above-ground crop residue of crop c</v>
      </c>
      <c r="F19" s="117"/>
      <c r="G19" s="114" t="str">
        <v>kg N/kg DM</v>
      </c>
      <c r="H19" s="108" t="str">
        <v>Constant</v>
      </c>
      <c r="I19" s="114" cm="1">
        <f t="array" ref="I19">Common_InputFunctions.Utility_LookupValueInTableNumber($I$21,Table_SourceData_CropAttributes[Crop type],Table_SourceData_CropAttributes[N content above-ground])</f>
        <v>6.0000000000000001E-3</v>
      </c>
      <c r="L19" s="21"/>
      <c r="M19" s="114" t="str">
        <v>c</v>
      </c>
      <c r="N19" s="114" t="str">
        <v>Crop type</v>
      </c>
      <c r="O19" s="114" t="str">
        <v/>
      </c>
      <c r="P19" s="109" t="str">
        <v>Input</v>
      </c>
      <c r="Q19" s="114" t="str">
        <f>X_Cell_Crop_CropType</f>
        <v>Wheat</v>
      </c>
    </row>
    <row r="20" spans="1:20" ht="20.100000000000001" customHeight="1" x14ac:dyDescent="0.25">
      <c r="A20" s="17" t="str">
        <f>HYPERLINK("#'6.4.1.1-2 Residue burning'!A1", "6.4.1.1-2 Residue burning")</f>
        <v>6.4.1.1-2 Residue burning</v>
      </c>
      <c r="D20" s="114" t="str">
        <v>NC_BGc</v>
      </c>
      <c r="E20" s="118" t="str">
        <v>nitrogen content of below-ground crop residue of crop c</v>
      </c>
      <c r="F20" s="117"/>
      <c r="G20" s="114" t="str">
        <v>kg N/kg DM</v>
      </c>
      <c r="H20" s="108" t="str">
        <v>Constant</v>
      </c>
      <c r="I20" s="114" cm="1">
        <f t="array" ref="I20">Common_InputFunctions.Utility_LookupValueInTableNumber($I$21,Table_SourceData_CropAttributes[Crop type],Table_SourceData_CropAttributes[N content below-ground])</f>
        <v>0.01</v>
      </c>
      <c r="L20" s="21"/>
      <c r="M20" s="21"/>
      <c r="N20" s="21"/>
      <c r="O20" s="21"/>
      <c r="P20" s="21"/>
      <c r="Q20" s="21"/>
    </row>
    <row r="21" spans="1:20" ht="20.100000000000001" customHeight="1" x14ac:dyDescent="0.25">
      <c r="D21" s="114" t="str">
        <v>c</v>
      </c>
      <c r="E21" s="118" t="str">
        <v>Crop type</v>
      </c>
      <c r="F21" s="117"/>
      <c r="G21" s="114" t="str">
        <v/>
      </c>
      <c r="H21" s="109" t="str">
        <v>Input</v>
      </c>
      <c r="I21" s="114" t="str">
        <f>X_Cell_Crop_CropType</f>
        <v>Wheat</v>
      </c>
      <c r="L21" s="21"/>
      <c r="M21" s="115" t="s">
        <v>169</v>
      </c>
      <c r="N21" s="43" cm="1">
        <f t="array" ref="N21">AgResidue_Equations_CropResidue.VEERG_6_1_1_2__1__FractionOfCropResidueRemovedBaled(Q15,Q16,Q17,Q18)</f>
        <v>0.1</v>
      </c>
    </row>
    <row r="22" spans="1:20" ht="20.100000000000001" customHeight="1" x14ac:dyDescent="0.25">
      <c r="D22" s="114" t="str">
        <v>State</v>
      </c>
      <c r="E22" s="118" t="str">
        <v>State or territory</v>
      </c>
      <c r="F22" s="117"/>
      <c r="G22" s="114" t="str">
        <v/>
      </c>
      <c r="H22" s="109" t="str">
        <v>Input</v>
      </c>
      <c r="I22" s="114" t="str">
        <f>Common_InputFunctions.Utility_ConvertStateCommonNameToAbbreviation(X_Cell_Site_State,Table_AustralianStates[Common Name],Table_AustralianStates[Abbreviation])</f>
        <v>WA</v>
      </c>
      <c r="L22" s="21"/>
      <c r="M22" s="21"/>
      <c r="N22" s="21"/>
      <c r="O22" s="21"/>
      <c r="P22" s="21"/>
      <c r="Q22" s="21"/>
    </row>
    <row r="23" spans="1:20" ht="20.100000000000001" customHeight="1" x14ac:dyDescent="0.25">
      <c r="A23" s="141" t="s">
        <v>1</v>
      </c>
      <c r="D23" s="21"/>
      <c r="E23" s="21"/>
      <c r="F23" s="21"/>
      <c r="G23" s="21"/>
      <c r="H23" s="21"/>
      <c r="L23" s="21"/>
      <c r="M23" s="21"/>
      <c r="N23" s="21"/>
      <c r="O23" s="21"/>
      <c r="P23" s="21"/>
      <c r="Q23" s="21"/>
    </row>
    <row r="24" spans="1:20" ht="20.100000000000001" customHeight="1" x14ac:dyDescent="0.25">
      <c r="A24" s="17" t="str">
        <f>HYPERLINK("#'Constants - Ag Residue'!A1", "Constants - Ag Residue")</f>
        <v>Constants - Ag Residue</v>
      </c>
      <c r="D24" s="115" t="s">
        <v>170</v>
      </c>
      <c r="E24" s="134" cm="1">
        <f t="array" ref="E24">AgResidue_Equations_CropResidue.VEERG_6_1_1_1__2__MassOfNitrogenInCropResidues(I13,I14,I16,I17,I18,I19,I15,I20)</f>
        <v>85008</v>
      </c>
      <c r="F24" s="116" t="str">
        <f>$E$11</f>
        <v>kg N</v>
      </c>
      <c r="L24" s="43"/>
      <c r="M24" s="43"/>
      <c r="N24" s="43"/>
      <c r="O24" s="43"/>
      <c r="P24" s="43"/>
      <c r="Q24" s="43"/>
      <c r="R24" s="43"/>
      <c r="S24" s="43"/>
      <c r="T24" s="43"/>
    </row>
    <row r="25" spans="1:20" ht="20.100000000000001" customHeight="1" x14ac:dyDescent="0.25">
      <c r="A25" s="17" t="str">
        <f>HYPERLINK("#'Constants - Common'!A1", "Constants - Common")</f>
        <v>Constants - Common</v>
      </c>
      <c r="D25" s="50"/>
      <c r="E25" s="21"/>
      <c r="F25" s="21"/>
      <c r="G25" s="21"/>
      <c r="H25" s="21"/>
      <c r="M25" s="6" t="str" cm="1">
        <f t="array" ref="M25">AgResidue_Equations_CropResidue.VEERG_6_1_1_1__2__MassOfNitrogenInCropResidues_Title()</f>
        <v>Mass of nitrogen in crop residues returned to the soil</v>
      </c>
      <c r="N25" s="21"/>
      <c r="O25" s="21"/>
      <c r="P25" s="21"/>
      <c r="Q25" s="21"/>
    </row>
    <row r="26" spans="1:20" ht="20.100000000000001" customHeight="1" x14ac:dyDescent="0.25">
      <c r="D26" s="21"/>
      <c r="E26" s="21"/>
      <c r="F26" s="21"/>
      <c r="G26" s="21"/>
      <c r="H26" s="21"/>
      <c r="L26" s="21"/>
      <c r="M26" s="5" t="str" cm="1">
        <f t="array" ref="M26">AgResidue_Equations_CropResidue.VEERG_6_1_1_1__2__MassOfNitrogenInCropResidues_Source()</f>
        <v>VEERG 2026: 6.1.1.1, Equation (2)</v>
      </c>
      <c r="N26" s="21"/>
      <c r="O26" s="21"/>
      <c r="P26" s="21"/>
      <c r="Q26" s="21"/>
    </row>
    <row r="27" spans="1:20" ht="20.100000000000001" customHeight="1" x14ac:dyDescent="0.25">
      <c r="D27" s="133"/>
      <c r="E27" s="133"/>
      <c r="F27" s="133"/>
      <c r="G27" s="133"/>
      <c r="H27" s="133"/>
      <c r="I27" s="133"/>
      <c r="L27" s="21"/>
      <c r="M27" s="13" t="s">
        <v>20</v>
      </c>
      <c r="N27" s="13" t="str" cm="1">
        <f t="array" aca="1" ref="N27" ca="1">Common_InputFunctions.Utility_DisplayFunctionName(N44)</f>
        <v>=AgResidue_Equations_CropResidue.VEERG_6_1_1_1__2__MassOfNitrogenInCropResidues</v>
      </c>
      <c r="O27" s="21"/>
      <c r="P27" s="21"/>
      <c r="Q27" s="21"/>
    </row>
    <row r="28" spans="1:20"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1"/>
      <c r="F28" s="21"/>
      <c r="G28" s="21"/>
      <c r="H28" s="21"/>
      <c r="J28" s="21"/>
      <c r="L28" s="21"/>
      <c r="O28" s="21"/>
      <c r="P28" s="21"/>
      <c r="Q28" s="21"/>
    </row>
    <row r="29" spans="1:20" ht="20.100000000000001" customHeight="1" x14ac:dyDescent="0.25">
      <c r="D29" s="5" t="str" cm="1">
        <f t="array" ref="D29">AgResidue_Equations_CropResidue.VEERG_6_1_1_1__1__NitrousOxideEmissionsFromCropResidues_Source()</f>
        <v>VEERG 2026: 6.1.1.1, Equation (1)</v>
      </c>
      <c r="E29" s="21"/>
      <c r="F29" s="21"/>
      <c r="G29" s="21"/>
      <c r="H29" s="21"/>
      <c r="J29" s="21"/>
      <c r="L29" s="21"/>
      <c r="M29" s="21"/>
      <c r="N29" s="21"/>
      <c r="O29" s="21"/>
      <c r="P29" s="21"/>
      <c r="Q29" s="21"/>
    </row>
    <row r="30" spans="1:20" ht="20.100000000000001" customHeight="1" x14ac:dyDescent="0.25">
      <c r="D30" s="13" t="s">
        <v>20</v>
      </c>
      <c r="E30" s="13" t="str">
        <f ca="1">Common_InputFunctions.Utility_DisplayFunctionName(VEERG_6_1_1_1__1__NitrousOxideEmissionsFromCropResidues_Result_Method1)</f>
        <v>=AgResidue_Equations_CropResidue.VEERG_6_1_1_1__1__NitrousOxideEmissionsFromCropResidues</v>
      </c>
      <c r="F30" s="21"/>
      <c r="G30" s="21"/>
      <c r="H30" s="21"/>
      <c r="L30" s="21"/>
      <c r="M30" s="50" t="s">
        <v>23</v>
      </c>
      <c r="N30" s="1" t="str" cm="1">
        <f t="array" ref="N30">AgResidue_Equations_CropResidue.VEERG_6_1_1_1__2__MassOfNitrogenInCropResidues_Variable()</f>
        <v>M_c</v>
      </c>
      <c r="O30" s="21"/>
      <c r="P30" s="21"/>
      <c r="Q30" s="21"/>
    </row>
    <row r="31" spans="1:20" ht="20.100000000000001" customHeight="1" x14ac:dyDescent="0.25">
      <c r="F31" s="21"/>
      <c r="G31" s="21"/>
      <c r="H31" s="21"/>
      <c r="J31" s="21"/>
      <c r="L31" s="21"/>
      <c r="M31" s="50" t="s">
        <v>14</v>
      </c>
      <c r="N31" s="51" t="str" cm="1">
        <f t="array" ref="N31">AgResidue_Equations_CropResidue.VEERG_6_1_1_1__2__MassOfNitrogenInCropResidues_Unit()</f>
        <v>kg N</v>
      </c>
      <c r="O31" s="21"/>
      <c r="P31" s="21"/>
      <c r="Q31" s="21"/>
    </row>
    <row r="32" spans="1:20" ht="20.100000000000001" customHeight="1" x14ac:dyDescent="0.25">
      <c r="D32" s="21"/>
      <c r="E32" s="21"/>
      <c r="F32" s="21"/>
      <c r="G32" s="21"/>
      <c r="H32" s="21"/>
      <c r="J32" s="21"/>
      <c r="L32" s="21"/>
      <c r="M32" s="21"/>
      <c r="N32" s="21"/>
      <c r="O32" s="21"/>
      <c r="P32" s="21"/>
    </row>
    <row r="33" spans="4:20" ht="20.100000000000001" customHeight="1" x14ac:dyDescent="0.25">
      <c r="D33" s="50" t="s">
        <v>23</v>
      </c>
      <c r="E33" s="1" t="str" cm="1">
        <f t="array" ref="E33">AgResidue_Equations_CropResidue.VEERG_6_1_1_1__1__NitrousOxideEmissionsFromCropResidues_Variable()</f>
        <v>E</v>
      </c>
      <c r="F33" s="21"/>
      <c r="G33" s="21"/>
      <c r="H33" s="21"/>
      <c r="J33" s="21"/>
      <c r="L33" s="21"/>
      <c r="M33" s="114" t="str" cm="1">
        <f t="array" ref="M33:N42">_xlfn.CHOOSECOLS(AgResidue_Equations_CropResidue.VEERG_6_1_1_1__2__MassOfNitrogenInCropResidues_Arguments_Method2(), 1, 2)</f>
        <v>P_c</v>
      </c>
      <c r="N33" s="118" t="str">
        <v>annual production of crop c</v>
      </c>
      <c r="O33" s="117"/>
      <c r="P33" s="114" t="str" cm="1">
        <f t="array" ref="P33:Q42">_xlfn.CHOOSECOLS(AgResidue_Equations_CropResidue.VEERG_6_1_1_1__2__MassOfNitrogenInCropResidues_Arguments_Method2(), 3,4)</f>
        <v>kg</v>
      </c>
      <c r="Q33" s="109" t="str">
        <v>Input</v>
      </c>
      <c r="R33" s="114"/>
    </row>
    <row r="34" spans="4:20" ht="20.100000000000001" customHeight="1" x14ac:dyDescent="0.25">
      <c r="D34" s="50" t="s">
        <v>14</v>
      </c>
      <c r="E34" s="51" t="str" cm="1">
        <f t="array" ref="E34">AgResidue_Equations_CropResidue.VEERG_6_1_1_1__1__NitrousOxideEmissionsFromCropResidues_Unit()</f>
        <v>t N2O</v>
      </c>
      <c r="F34" s="21"/>
      <c r="G34" s="21"/>
      <c r="H34" s="21"/>
      <c r="J34" s="21"/>
      <c r="M34" s="114" t="str">
        <v>R_AGc</v>
      </c>
      <c r="N34" s="118" t="str">
        <v>residue to crop ratio for crop c</v>
      </c>
      <c r="O34" s="117"/>
      <c r="P34" s="114" t="str">
        <v/>
      </c>
      <c r="Q34" s="108" t="str">
        <v>Constant</v>
      </c>
      <c r="R34" s="114"/>
    </row>
    <row r="35" spans="4:20" ht="20.100000000000001" customHeight="1" x14ac:dyDescent="0.25">
      <c r="D35" s="21"/>
      <c r="E35" s="21"/>
      <c r="F35" s="21"/>
      <c r="G35" s="21"/>
      <c r="H35" s="21"/>
      <c r="J35" s="21"/>
      <c r="M35" s="114" t="str">
        <v>R_BGc</v>
      </c>
      <c r="N35" s="118" t="str">
        <v>below ground-residue to above ground residue ratio for crop c</v>
      </c>
      <c r="O35" s="117"/>
      <c r="P35" s="114" t="str">
        <v/>
      </c>
      <c r="Q35" s="108" t="str">
        <v>Constant</v>
      </c>
      <c r="R35" s="114"/>
    </row>
    <row r="36" spans="4:20" ht="20.100000000000001" customHeight="1" x14ac:dyDescent="0.25">
      <c r="D36" s="114" t="str" cm="1">
        <f t="array" ref="D36:E40">_xlfn.CHOOSECOLS(AgResidue_Equations_CropResidue.VEERG_6_1_1_1__1__NitrousOxideEmissionsFromCropResidues_Arguments(), 1, 2)</f>
        <v>M_c</v>
      </c>
      <c r="E36" s="118" t="str">
        <v>mass of nitrogen in crop c residues returned to the soil</v>
      </c>
      <c r="F36" s="117"/>
      <c r="G36" s="114" t="str" cm="1">
        <f t="array" ref="G36:H40">_xlfn.CHOOSECOLS(AgResidue_Equations_CropResidue.VEERG_6_1_1_1__1__NitrousOxideEmissionsFromCropResidues_Arguments(), 3,4)</f>
        <v>kg N</v>
      </c>
      <c r="H36" s="108" t="str">
        <v>Calculated from 6.1.1.1 (2)</v>
      </c>
      <c r="I36" s="114">
        <f>VEERG_6_1_1_1__2__MassOfNitrogenInCropResidues_Result_Method1</f>
        <v>85008</v>
      </c>
      <c r="J36" s="21"/>
      <c r="M36" s="114" t="str">
        <v>F_c</v>
      </c>
      <c r="N36" s="118" t="str">
        <v>fraction of crop residue that is burnt for crop c</v>
      </c>
      <c r="O36" s="117"/>
      <c r="P36" s="114" t="str">
        <v>fraction</v>
      </c>
      <c r="Q36" s="109" t="str">
        <v>Input</v>
      </c>
      <c r="R36" s="114"/>
    </row>
    <row r="37" spans="4:20" ht="20.100000000000001" customHeight="1" x14ac:dyDescent="0.25">
      <c r="D37" s="114" t="str">
        <v>EF_Ni</v>
      </c>
      <c r="E37" s="118" t="str">
        <v>emission factor for crop residues returned to the soil</v>
      </c>
      <c r="F37" s="117"/>
      <c r="G37" s="114" t="str">
        <v>kg N2O-N/kg N</v>
      </c>
      <c r="H37" s="108" t="str">
        <v>Constant</v>
      </c>
      <c r="I37" s="114" cm="1">
        <f t="array" ref="I37">Common_InputFunctions.Utility_LookupValueInTableNumber(I40,Table_SourceData_N2OEFOrganicFert[Climate zone type i],Table_SourceData_N2OEFOrganicFert[EF i N2O])</f>
        <v>5.0000000000000001E-3</v>
      </c>
      <c r="J37" s="21"/>
      <c r="M37" s="114" t="str">
        <v>FFOD_c</v>
      </c>
      <c r="N37" s="118" t="str">
        <v>fraction of the crop residue that is removed for crop c</v>
      </c>
      <c r="O37" s="117"/>
      <c r="P37" s="114" t="str">
        <v>fraction</v>
      </c>
      <c r="Q37" s="108" t="str">
        <v>Calculated from 6.1.1.2 (1)</v>
      </c>
      <c r="R37" s="114">
        <f>VEERG_6_1_1_2__1__FractionOfCropResidueRemovedBaled_Result</f>
        <v>0.1</v>
      </c>
    </row>
    <row r="38" spans="4:20" ht="20.100000000000001" customHeight="1" x14ac:dyDescent="0.25">
      <c r="D38" s="114" t="str">
        <v>C_N2O</v>
      </c>
      <c r="E38" s="118" t="str">
        <v>factor to convert elemental mass of nitrous oxide to molecular mass</v>
      </c>
      <c r="F38" s="117"/>
      <c r="G38" s="114" t="str">
        <v>dimensionless</v>
      </c>
      <c r="H38" s="108" t="str">
        <v>Constant</v>
      </c>
      <c r="I38" s="114">
        <f>Common_InputFunctions.Utility_LookupValueInTableNumber("N2O",Table_GasToMolecularConversionFactor[Gas],Table_GasToMolecularConversionFactor[Conversion factor combined])</f>
        <v>1.5714285714285714</v>
      </c>
      <c r="J38" s="21"/>
      <c r="M38" s="114" t="str">
        <v>DM_c</v>
      </c>
      <c r="N38" s="118" t="str">
        <v>dry matter content of crop c</v>
      </c>
      <c r="O38" s="117"/>
      <c r="P38" s="114" t="str">
        <v>kg dry weight/kg crop residue</v>
      </c>
      <c r="Q38" s="108" t="str">
        <v>Constant</v>
      </c>
      <c r="R38" s="114"/>
    </row>
    <row r="39" spans="4:20" ht="20.100000000000001" customHeight="1" x14ac:dyDescent="0.25">
      <c r="D39" s="114" t="str">
        <v>c</v>
      </c>
      <c r="E39" s="118" t="str">
        <v>Crop type</v>
      </c>
      <c r="F39" s="117"/>
      <c r="G39" s="114" t="str">
        <v/>
      </c>
      <c r="H39" s="109" t="str">
        <v>Input</v>
      </c>
      <c r="I39" s="114" t="str">
        <f>X_Cell_Crop_CropType</f>
        <v>Wheat</v>
      </c>
      <c r="J39" s="21"/>
      <c r="M39" s="114" t="str">
        <v>NC_AGc</v>
      </c>
      <c r="N39" s="118" t="str">
        <v>nitrogen content of above-ground crop residue of crop c</v>
      </c>
      <c r="O39" s="117"/>
      <c r="P39" s="114" t="str">
        <v>kg N/kg DM</v>
      </c>
      <c r="Q39" s="108" t="str">
        <v>Constant</v>
      </c>
      <c r="R39" s="114"/>
    </row>
    <row r="40" spans="4:20" ht="20.100000000000001" customHeight="1" x14ac:dyDescent="0.25">
      <c r="D40" s="114" t="str">
        <v>i</v>
      </c>
      <c r="E40" s="118" t="str">
        <v>Wet or dry climate zone</v>
      </c>
      <c r="F40" s="117"/>
      <c r="G40" s="114" t="str">
        <v/>
      </c>
      <c r="H40" s="109" t="str">
        <v>Input</v>
      </c>
      <c r="I40" s="114" t="str">
        <f>X_Cell_Site_WetOrDryClimateZone</f>
        <v>Dry climate zone</v>
      </c>
      <c r="M40" s="114" t="str">
        <v>NC_BGc</v>
      </c>
      <c r="N40" s="118" t="str">
        <v>nitrogen content of below-ground crop residue of crop c</v>
      </c>
      <c r="O40" s="117"/>
      <c r="P40" s="114" t="str">
        <v>kg N/kg DM</v>
      </c>
      <c r="Q40" s="108" t="str">
        <v>Constant</v>
      </c>
      <c r="R40" s="114"/>
    </row>
    <row r="41" spans="4:20" ht="20.100000000000001" customHeight="1" x14ac:dyDescent="0.25">
      <c r="D41" s="21"/>
      <c r="E41" s="21"/>
      <c r="F41" s="21"/>
      <c r="G41" s="21"/>
      <c r="H41" s="21"/>
      <c r="M41" s="114" t="str">
        <v>c</v>
      </c>
      <c r="N41" s="118" t="str">
        <v>Crop type</v>
      </c>
      <c r="O41" s="117"/>
      <c r="P41" s="114" t="str">
        <v/>
      </c>
      <c r="Q41" s="109" t="str">
        <v>Input</v>
      </c>
      <c r="R41" s="114"/>
    </row>
    <row r="42" spans="4:20" ht="20.100000000000001" customHeight="1" x14ac:dyDescent="0.25">
      <c r="D42" s="91" t="s">
        <v>106</v>
      </c>
      <c r="E42" s="92" cm="1">
        <f t="array" ref="E42">AgResidue_Equations_CropResidue.VEERG_6_1_1_1__1__NitrousOxideEmissionsFromCropResidues(I36,I37,I38)</f>
        <v>0.66792000000000007</v>
      </c>
      <c r="F42" s="93" t="str">
        <f>$E$34</f>
        <v>t N2O</v>
      </c>
      <c r="H42" s="21"/>
      <c r="M42" s="114" t="str">
        <v>State</v>
      </c>
      <c r="N42" s="118" t="str">
        <v>State or territory</v>
      </c>
      <c r="O42" s="117"/>
      <c r="P42" s="114" t="str">
        <v/>
      </c>
      <c r="Q42" s="109" t="str">
        <v>Input</v>
      </c>
      <c r="R42" s="114"/>
    </row>
    <row r="43" spans="4:20" ht="20.100000000000001" customHeight="1" x14ac:dyDescent="0.25">
      <c r="H43" s="21"/>
      <c r="M43" s="21"/>
      <c r="N43" s="21"/>
      <c r="O43" s="21"/>
      <c r="P43" s="21"/>
      <c r="Q43" s="21"/>
    </row>
    <row r="44" spans="4:20" ht="20.100000000000001" customHeight="1" x14ac:dyDescent="0.25">
      <c r="D44" s="53" t="str" cm="1">
        <f t="array" ref="D44:E45">Common_Equations.Common_ConvertN2OToCO2e_Arguments()</f>
        <v>EN2O</v>
      </c>
      <c r="E44" s="54" t="str">
        <v>Nitrous oxide emissions (t N2O)</v>
      </c>
      <c r="F44" s="94"/>
      <c r="G44" s="49">
        <f>VEERG_6_1_1_1__1__NitrousOxideEmissionsFromCropResidues_Result_Method1</f>
        <v>0.66792000000000007</v>
      </c>
      <c r="M44" s="115" t="s">
        <v>170</v>
      </c>
      <c r="N44" s="134" cm="1">
        <f t="array" ref="N44">AgResidue_Equations_CropResidue.VEERG_6_1_1_1__2__MassOfNitrogenInCropResidues(I13,I14,I16,R37,I18,I19,I15,I20)</f>
        <v>85800</v>
      </c>
      <c r="O44" s="116" t="str">
        <f>$E$11</f>
        <v>kg N</v>
      </c>
    </row>
    <row r="45" spans="4:20" ht="20.100000000000001" customHeight="1" x14ac:dyDescent="0.25">
      <c r="D45" s="53" t="str">
        <v>GWPN2O</v>
      </c>
      <c r="E45" s="54" t="str">
        <v>Global warming potential for nitrous oxide (t CO2-e / t N2O)</v>
      </c>
      <c r="F45" s="94"/>
      <c r="G45" s="49">
        <f>Common_InputFunctions.Utility_LookupValueInTableNumber("N2O",Table_GWPData[Gas],Table_GWPData[CO2-e factor])</f>
        <v>265</v>
      </c>
      <c r="J45" s="21"/>
      <c r="M45" s="50"/>
      <c r="N45" s="21"/>
      <c r="O45" s="21"/>
      <c r="P45" s="21"/>
      <c r="Q45" s="21"/>
    </row>
    <row r="46" spans="4:20" ht="20.100000000000001" customHeight="1" x14ac:dyDescent="0.25">
      <c r="H46" s="21"/>
      <c r="J46" s="21"/>
      <c r="M46" s="21"/>
      <c r="N46" s="21"/>
      <c r="O46" s="21"/>
      <c r="P46" s="21"/>
      <c r="Q46" s="21"/>
    </row>
    <row r="47" spans="4:20" ht="20.100000000000001" customHeight="1" x14ac:dyDescent="0.25">
      <c r="D47" s="43" t="s">
        <v>76</v>
      </c>
      <c r="E47" s="43" cm="1">
        <f t="array" ref="E47">Common_Equations.Common_ConvertN2OToCO2e(G44,G45)</f>
        <v>176.99880000000002</v>
      </c>
      <c r="F47" s="95" t="str" cm="1">
        <f t="array" ref="F47">Common_Equations.Common_ConvertN2OToCO2e_Unit()</f>
        <v>t CO2e</v>
      </c>
      <c r="H47" s="21"/>
      <c r="J47" s="21"/>
      <c r="L47" s="133"/>
      <c r="M47" s="133"/>
      <c r="N47" s="133"/>
      <c r="O47" s="133"/>
      <c r="P47" s="133"/>
      <c r="Q47" s="133"/>
      <c r="R47" s="133"/>
      <c r="S47" s="133"/>
      <c r="T47" s="133"/>
    </row>
    <row r="48" spans="4:20" ht="20.100000000000001" customHeight="1" x14ac:dyDescent="0.25">
      <c r="D48" s="21"/>
      <c r="E48" s="21"/>
      <c r="F48" s="101"/>
      <c r="G48" s="21"/>
      <c r="H48" s="21"/>
      <c r="I48" s="21"/>
      <c r="J48" s="21"/>
      <c r="L48" s="21"/>
      <c r="M48" s="6" t="str" cm="1">
        <f t="array" ref="M48">AgResidue_Equations_CropResidue.VEERG_6_1_1_1__1__NitrousOxideEmissionsFromCropResidues_Title()</f>
        <v>Nitrous oxide emissions from the return of crop residues across all crops c to the soil</v>
      </c>
      <c r="N48" s="21"/>
      <c r="O48" s="21"/>
      <c r="P48" s="21"/>
      <c r="Q48" s="21"/>
    </row>
    <row r="49" spans="10:18" ht="20.100000000000001" customHeight="1" x14ac:dyDescent="0.25">
      <c r="J49" s="21"/>
      <c r="M49" s="5" t="str" cm="1">
        <f t="array" ref="M49">AgResidue_Equations_CropResidue.VEERG_6_1_1_1__1__NitrousOxideEmissionsFromCropResidues_Source()</f>
        <v>VEERG 2026: 6.1.1.1, Equation (1)</v>
      </c>
      <c r="N49" s="21"/>
      <c r="O49" s="21"/>
      <c r="P49" s="21"/>
      <c r="Q49" s="21"/>
    </row>
    <row r="50" spans="10:18" ht="20.100000000000001" customHeight="1" x14ac:dyDescent="0.25">
      <c r="J50" s="21"/>
      <c r="L50" s="21"/>
      <c r="M50" s="13" t="s">
        <v>20</v>
      </c>
      <c r="N50" s="13" t="str">
        <f ca="1">Common_InputFunctions.Utility_DisplayFunctionName(VEERG_6_1_1_1__1__NitrousOxideEmissionsFromCropResidues_Result_Method2)</f>
        <v>=AgResidue_Equations_CropResidue.VEERG_6_1_1_1__1__NitrousOxideEmissionsFromCropResidues</v>
      </c>
      <c r="O50" s="21"/>
      <c r="P50" s="21"/>
      <c r="Q50" s="21"/>
    </row>
    <row r="51" spans="10:18" ht="20.100000000000001" customHeight="1" x14ac:dyDescent="0.25">
      <c r="J51" s="21"/>
      <c r="L51" s="21"/>
      <c r="O51" s="21"/>
      <c r="P51" s="21"/>
      <c r="Q51" s="21"/>
    </row>
    <row r="52" spans="10:18" ht="20.100000000000001" customHeight="1" x14ac:dyDescent="0.25">
      <c r="J52" s="21"/>
      <c r="L52" s="21"/>
      <c r="M52" s="21"/>
      <c r="N52" s="21"/>
      <c r="O52" s="21"/>
      <c r="P52" s="21"/>
      <c r="Q52" s="21"/>
    </row>
    <row r="53" spans="10:18" ht="20.100000000000001" customHeight="1" x14ac:dyDescent="0.25">
      <c r="L53" s="21"/>
      <c r="M53" s="50" t="s">
        <v>23</v>
      </c>
      <c r="N53" s="1" t="str" cm="1">
        <f t="array" ref="N53">AgResidue_Equations_CropResidue.VEERG_6_1_1_1__1__NitrousOxideEmissionsFromCropResidues_Variable()</f>
        <v>E</v>
      </c>
      <c r="O53" s="21"/>
      <c r="P53" s="21"/>
      <c r="Q53" s="21"/>
    </row>
    <row r="54" spans="10:18" ht="20.100000000000001" customHeight="1" x14ac:dyDescent="0.25">
      <c r="L54" s="21"/>
      <c r="M54" s="50" t="s">
        <v>14</v>
      </c>
      <c r="N54" s="51" t="str" cm="1">
        <f t="array" ref="N54">AgResidue_Equations_CropResidue.VEERG_6_1_1_1__1__NitrousOxideEmissionsFromCropResidues_Unit()</f>
        <v>t N2O</v>
      </c>
      <c r="O54" s="21"/>
      <c r="P54" s="21"/>
      <c r="Q54" s="21"/>
    </row>
    <row r="55" spans="10:18" ht="20.100000000000001" customHeight="1" x14ac:dyDescent="0.25">
      <c r="L55" s="21"/>
      <c r="M55" s="21"/>
      <c r="N55" s="21"/>
      <c r="O55" s="21"/>
      <c r="P55" s="21"/>
      <c r="Q55" s="21"/>
    </row>
    <row r="56" spans="10:18" ht="20.100000000000001" customHeight="1" x14ac:dyDescent="0.25">
      <c r="L56" s="21"/>
      <c r="M56" s="114" t="str" cm="1">
        <f t="array" ref="M56:N60">_xlfn.CHOOSECOLS(AgResidue_Equations_CropResidue.VEERG_6_1_1_1__1__NitrousOxideEmissionsFromCropResidues_Arguments(), 1, 2)</f>
        <v>M_c</v>
      </c>
      <c r="N56" s="118" t="str">
        <v>mass of nitrogen in crop c residues returned to the soil</v>
      </c>
      <c r="O56" s="117"/>
      <c r="P56" s="114" t="str" cm="1">
        <f t="array" ref="P56:Q60">_xlfn.CHOOSECOLS(AgResidue_Equations_CropResidue.VEERG_6_1_1_1__1__NitrousOxideEmissionsFromCropResidues_Arguments(), 3,4)</f>
        <v>kg N</v>
      </c>
      <c r="Q56" s="108" t="str">
        <v>Calculated from 6.1.1.1 (2)</v>
      </c>
      <c r="R56" s="114">
        <f>VEERG_6_1_1_1__2__MassOfNitrogenInCropResidues_Result_Method2</f>
        <v>85800</v>
      </c>
    </row>
    <row r="57" spans="10:18" ht="20.100000000000001" customHeight="1" x14ac:dyDescent="0.25">
      <c r="L57" s="21"/>
      <c r="M57" s="114" t="str">
        <v>EF_Ni</v>
      </c>
      <c r="N57" s="118" t="str">
        <v>emission factor for crop residues returned to the soil</v>
      </c>
      <c r="O57" s="117"/>
      <c r="P57" s="114" t="str">
        <v>kg N2O-N/kg N</v>
      </c>
      <c r="Q57" s="108" t="str">
        <v>Constant</v>
      </c>
      <c r="R57" s="114" cm="1">
        <f t="array" ref="R57">Common_InputFunctions.Utility_LookupValueInTableNumber(R60,Table_SourceData_N2OEFOrganicFert[Climate zone type i],Table_SourceData_N2OEFOrganicFert[EF i N2O])</f>
        <v>5.0000000000000001E-3</v>
      </c>
    </row>
    <row r="58" spans="10:18" ht="20.100000000000001" customHeight="1" x14ac:dyDescent="0.25">
      <c r="L58" s="21"/>
      <c r="M58" s="114" t="str">
        <v>C_N2O</v>
      </c>
      <c r="N58" s="118" t="str">
        <v>factor to convert elemental mass of nitrous oxide to molecular mass</v>
      </c>
      <c r="O58" s="117"/>
      <c r="P58" s="114" t="str">
        <v>dimensionless</v>
      </c>
      <c r="Q58" s="108" t="str">
        <v>Constant</v>
      </c>
      <c r="R58" s="114">
        <f>Common_InputFunctions.Utility_LookupValueInTableNumber("N2O",Table_GasToMolecularConversionFactor[Gas],Table_GasToMolecularConversionFactor[Conversion factor combined])</f>
        <v>1.5714285714285714</v>
      </c>
    </row>
    <row r="59" spans="10:18" ht="20.100000000000001" customHeight="1" x14ac:dyDescent="0.25">
      <c r="L59" s="21"/>
      <c r="M59" s="114" t="str">
        <v>c</v>
      </c>
      <c r="N59" s="118" t="str">
        <v>Crop type</v>
      </c>
      <c r="O59" s="117"/>
      <c r="P59" s="114" t="str">
        <v/>
      </c>
      <c r="Q59" s="109" t="str">
        <v>Input</v>
      </c>
      <c r="R59" s="114" t="str">
        <f>X_Cell_Crop_CropType</f>
        <v>Wheat</v>
      </c>
    </row>
    <row r="60" spans="10:18" ht="20.100000000000001" customHeight="1" x14ac:dyDescent="0.25">
      <c r="L60" s="21"/>
      <c r="M60" s="114" t="str">
        <v>i</v>
      </c>
      <c r="N60" s="118" t="str">
        <v>Wet or dry climate zone</v>
      </c>
      <c r="O60" s="117"/>
      <c r="P60" s="114" t="str">
        <v/>
      </c>
      <c r="Q60" s="109" t="str">
        <v>Input</v>
      </c>
      <c r="R60" s="114" t="str">
        <f>X_Cell_Site_WetOrDryClimateZone</f>
        <v>Dry climate zone</v>
      </c>
    </row>
    <row r="61" spans="10:18" ht="20.100000000000001" customHeight="1" x14ac:dyDescent="0.25">
      <c r="L61" s="21"/>
      <c r="M61" s="21"/>
      <c r="N61" s="21"/>
      <c r="O61" s="21"/>
      <c r="P61" s="21"/>
      <c r="Q61" s="21"/>
    </row>
    <row r="62" spans="10:18" ht="20.100000000000001" customHeight="1" x14ac:dyDescent="0.25">
      <c r="L62" s="21"/>
      <c r="M62" s="91" t="s">
        <v>106</v>
      </c>
      <c r="N62" s="92" cm="1">
        <f t="array" ref="N62">AgResidue_Equations_CropResidue.VEERG_6_1_1_1__1__NitrousOxideEmissionsFromCropResidues(R56,R57,R58)</f>
        <v>0.67414285714285715</v>
      </c>
      <c r="O62" s="93" t="str">
        <f>$E$34</f>
        <v>t N2O</v>
      </c>
      <c r="Q62" s="21"/>
    </row>
    <row r="63" spans="10:18" ht="20.100000000000001" customHeight="1" x14ac:dyDescent="0.25">
      <c r="L63" s="21"/>
      <c r="Q63" s="21"/>
    </row>
    <row r="64" spans="10:18" ht="20.100000000000001" customHeight="1" x14ac:dyDescent="0.25">
      <c r="L64" s="21"/>
      <c r="M64" s="53" t="str" cm="1">
        <f t="array" ref="M64:N65">Common_Equations.Common_ConvertN2OToCO2e_Arguments()</f>
        <v>EN2O</v>
      </c>
      <c r="N64" s="54" t="str">
        <v>Nitrous oxide emissions (t N2O)</v>
      </c>
      <c r="O64" s="94"/>
      <c r="P64" s="49">
        <f>VEERG_6_1_1_1__1__NitrousOxideEmissionsFromCropResidues_Result_Method2</f>
        <v>0.67414285714285715</v>
      </c>
    </row>
    <row r="65" spans="12:18" ht="20.100000000000001" customHeight="1" x14ac:dyDescent="0.25">
      <c r="L65" s="21"/>
      <c r="M65" s="53" t="str">
        <v>GWPN2O</v>
      </c>
      <c r="N65" s="54" t="str">
        <v>Global warming potential for nitrous oxide (t CO2-e / t N2O)</v>
      </c>
      <c r="O65" s="94"/>
      <c r="P65" s="49">
        <f>Common_InputFunctions.Utility_LookupValueInTableNumber("N2O",Table_GWPData[Gas],Table_GWPData[CO2-e factor])</f>
        <v>265</v>
      </c>
    </row>
    <row r="66" spans="12:18" ht="20.100000000000001" customHeight="1" x14ac:dyDescent="0.25">
      <c r="L66" s="21"/>
      <c r="Q66" s="21"/>
    </row>
    <row r="67" spans="12:18" ht="20.100000000000001" customHeight="1" x14ac:dyDescent="0.25">
      <c r="L67" s="21"/>
      <c r="M67" s="43" t="s">
        <v>76</v>
      </c>
      <c r="N67" s="43" cm="1">
        <f t="array" ref="N67">Common_Equations.Common_ConvertN2OToCO2e(P64,P65)</f>
        <v>178.64785714285713</v>
      </c>
      <c r="O67" s="95" t="str" cm="1">
        <f t="array" ref="O67">Common_Equations.Common_ConvertN2OToCO2e_Unit()</f>
        <v>t CO2e</v>
      </c>
      <c r="Q67" s="21"/>
    </row>
    <row r="68" spans="12:18" ht="20.100000000000001" customHeight="1" x14ac:dyDescent="0.25">
      <c r="L68" s="21"/>
      <c r="M68" s="21"/>
      <c r="N68" s="21"/>
      <c r="O68" s="101"/>
      <c r="P68" s="21"/>
      <c r="Q68" s="21"/>
      <c r="R68" s="21"/>
    </row>
    <row r="69" spans="12:18" ht="20.100000000000001" customHeight="1" x14ac:dyDescent="0.25">
      <c r="L69" s="21"/>
    </row>
    <row r="70" spans="12:18" ht="20.100000000000001" customHeight="1" x14ac:dyDescent="0.25">
      <c r="L70" s="21"/>
    </row>
    <row r="71" spans="12:18" ht="20.100000000000001" customHeight="1" x14ac:dyDescent="0.25"/>
    <row r="72" spans="12:18" ht="20.100000000000001" customHeight="1" x14ac:dyDescent="0.25"/>
    <row r="73" spans="12:18" ht="20.100000000000001" customHeight="1" x14ac:dyDescent="0.25"/>
    <row r="74" spans="12:18" ht="20.100000000000001" customHeight="1" x14ac:dyDescent="0.25"/>
    <row r="75" spans="12:18" ht="20.100000000000001" customHeight="1" x14ac:dyDescent="0.25"/>
    <row r="76" spans="12:18" ht="20.100000000000001" customHeight="1" x14ac:dyDescent="0.25"/>
    <row r="77" spans="12:18" ht="20.100000000000001" customHeight="1" x14ac:dyDescent="0.25"/>
    <row r="78" spans="12:18" ht="20.100000000000001" customHeight="1" x14ac:dyDescent="0.25"/>
    <row r="79" spans="12:18" ht="20.100000000000001" customHeight="1" x14ac:dyDescent="0.25"/>
    <row r="80" spans="12:18" ht="20.100000000000001" customHeight="1" x14ac:dyDescent="0.25"/>
    <row r="81" spans="12:12" ht="20.100000000000001" customHeight="1" x14ac:dyDescent="0.25"/>
    <row r="82" spans="12:12" ht="20.100000000000001" customHeight="1" x14ac:dyDescent="0.25"/>
    <row r="83" spans="12:12" ht="20.100000000000001" customHeight="1" x14ac:dyDescent="0.25"/>
    <row r="84" spans="12:12" ht="20.100000000000001" customHeight="1" x14ac:dyDescent="0.25"/>
    <row r="85" spans="12:12" ht="20.100000000000001" customHeight="1" x14ac:dyDescent="0.25"/>
    <row r="86" spans="12:12" ht="20.100000000000001" customHeight="1" x14ac:dyDescent="0.25">
      <c r="L86" s="21"/>
    </row>
    <row r="87" spans="12:12" ht="20.100000000000001" customHeight="1" x14ac:dyDescent="0.25"/>
    <row r="88" spans="12:12" ht="20.100000000000001" customHeight="1" x14ac:dyDescent="0.25"/>
    <row r="89" spans="12:12" ht="20.100000000000001" customHeight="1" x14ac:dyDescent="0.25"/>
    <row r="90" spans="12:12" ht="20.100000000000001" customHeight="1" x14ac:dyDescent="0.25"/>
    <row r="91" spans="12:12" ht="20.100000000000001" customHeight="1" x14ac:dyDescent="0.25"/>
    <row r="92" spans="12:12" ht="20.100000000000001" customHeight="1" x14ac:dyDescent="0.25"/>
    <row r="93" spans="12:12" ht="20.100000000000001" customHeight="1" x14ac:dyDescent="0.25"/>
    <row r="94" spans="12:12" ht="20.100000000000001" customHeight="1" x14ac:dyDescent="0.25"/>
    <row r="95" spans="12:12" ht="20.100000000000001" customHeight="1" x14ac:dyDescent="0.25"/>
    <row r="96" spans="12:12"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0" t="e" vm="1">
        <v>#VALUE!</v>
      </c>
      <c r="C1" s="8" t="s">
        <v>173</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M3" s="4"/>
      <c r="N3" s="4" t="s">
        <v>78</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D6" s="5" t="str" cm="1">
        <f t="array" ref="D6">AgResidue_Equations_PastureResidue.VEERG_6_2_1_1__2__MassOfNitrogenInPastureResidues_Source()</f>
        <v>VEERG 2026: 6.2.1.1, Equation (2)</v>
      </c>
    </row>
    <row r="7" spans="1:21" ht="20.100000000000001" customHeight="1" x14ac:dyDescent="0.25">
      <c r="D7" s="13" t="s">
        <v>20</v>
      </c>
      <c r="E7" s="13" t="str" cm="1">
        <f t="array" aca="1" ref="E7" ca="1">Common_InputFunctions.Utility_DisplayFunctionName(E21)</f>
        <v>=AgResidue_Equations_PastureResidue.VEERG_6_2_1_1__2__MassOfNitrogenInPastureResidues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Crop'!A1", "Crop")</f>
        <v>Crop</v>
      </c>
      <c r="D10" s="3" t="s">
        <v>23</v>
      </c>
      <c r="E10" s="1" t="str" cm="1">
        <f t="array" ref="E10">AgResidue_Equations_PastureResidue.VEERG_6_2_1_1__2__MassOfNitrogenInPastureResidues_Variable()</f>
        <v>Mp</v>
      </c>
    </row>
    <row r="11" spans="1:21" ht="20.100000000000001" customHeight="1" x14ac:dyDescent="0.25">
      <c r="A11" s="17" t="str">
        <f>HYPERLINK("#'Input - Pasture'!A1", "Pasture")</f>
        <v>Pasture</v>
      </c>
      <c r="D11" s="3" t="s">
        <v>14</v>
      </c>
      <c r="E11" s="51" t="str" cm="1">
        <f t="array" ref="E11">AgResidue_Equations_PastureResidue.VEERG_6_2_1_1__2__MassOfNitrogenInPastureResidues_Unit()</f>
        <v>kg N</v>
      </c>
    </row>
    <row r="12" spans="1:21" ht="20.100000000000001" customHeight="1" x14ac:dyDescent="0.25"/>
    <row r="13" spans="1:21" ht="20.100000000000001" customHeight="1" x14ac:dyDescent="0.25">
      <c r="D13" s="114" t="str" cm="1">
        <f t="array" ref="D13:E19">_xlfn.CHOOSECOLS(AgResidue_Equations_PastureResidue.VEERG_6_2_1_1__2__MassOfNitrogenInPastureResidues_Arguments(), 1, 2)</f>
        <v>A_p</v>
      </c>
      <c r="E13" s="118" t="str">
        <v>area of pasture renewed or removed</v>
      </c>
      <c r="F13" s="119"/>
      <c r="G13" s="117"/>
      <c r="H13" s="114" t="str" cm="1">
        <f t="array" ref="H13:I19">_xlfn.CHOOSECOLS(AgResidue_Equations_PastureResidue.VEERG_6_2_1_1__2__MassOfNitrogenInPastureResidues_Arguments(), 3,4)</f>
        <v>ha</v>
      </c>
      <c r="I13" s="109" t="str">
        <v>Input</v>
      </c>
      <c r="J13" s="114">
        <f>X_Cell_Pasture_AreaRemovedOrRenewed</f>
        <v>500</v>
      </c>
      <c r="N13" s="114" t="str" cm="1">
        <f t="array" ref="N13:O19">_xlfn.CHOOSECOLS(AgResidue_Equations_PastureResidue.VEERG_6_2_1_1__2__MassOfNitrogenInPastureResidues_Arguments_Method2(), 1, 2)</f>
        <v>A_p</v>
      </c>
      <c r="O13" s="118" t="str">
        <v>area of pasture renewed or removed</v>
      </c>
      <c r="P13" s="119"/>
      <c r="Q13" s="117"/>
      <c r="R13" s="114" t="str" cm="1">
        <f t="array" ref="R13:S19">_xlfn.CHOOSECOLS(AgResidue_Equations_PastureResidue.VEERG_6_2_1_1__2__MassOfNitrogenInPastureResidues_Arguments_Method2(), 3,4)</f>
        <v>ha</v>
      </c>
      <c r="S13" s="109" t="str">
        <v>Input</v>
      </c>
      <c r="T13" s="114"/>
    </row>
    <row r="14" spans="1:21" ht="20.100000000000001" customHeight="1" x14ac:dyDescent="0.25">
      <c r="A14" s="18" t="s">
        <v>66</v>
      </c>
      <c r="D14" s="114" t="str">
        <v>Y_p</v>
      </c>
      <c r="E14" s="118" t="str">
        <v>average yield of pasture crop</v>
      </c>
      <c r="F14" s="119"/>
      <c r="G14" s="117"/>
      <c r="H14" s="114" t="str">
        <v>t DM/ha</v>
      </c>
      <c r="I14" s="108" t="str">
        <v>Constant</v>
      </c>
      <c r="J14" s="114" cm="1">
        <f t="array" ref="J14">Common_InputFunctions.Utility_LookupValueInTableNumber($J$19,Table_SourceData_PastureAttributes[Pasture type],Table_SourceData_PastureAttributes[Average Yield (t DM ha) Yp])</f>
        <v>8.34</v>
      </c>
      <c r="N14" s="114" t="str">
        <v>Y_p</v>
      </c>
      <c r="O14" s="118" t="str">
        <v>average yield of pasture crop</v>
      </c>
      <c r="P14" s="119"/>
      <c r="Q14" s="117"/>
      <c r="R14" s="114" t="str">
        <v>t DM/ha</v>
      </c>
      <c r="S14" s="109" t="str">
        <v>Input</v>
      </c>
      <c r="T14" s="114">
        <f>X_Cell_Pasture_YieldPerHectare</f>
        <v>8.34</v>
      </c>
    </row>
    <row r="15" spans="1:21" ht="20.100000000000001" customHeight="1" x14ac:dyDescent="0.25">
      <c r="A15" s="17" t="str">
        <f>HYPERLINK("#'6.1.1.1-2 Crop residue N2O'!A1", "6.1.1.1-2 Crop residue N2O")</f>
        <v>6.1.1.1-2 Crop residue N2O</v>
      </c>
      <c r="D15" s="114" t="str">
        <v>NC_AGp</v>
      </c>
      <c r="E15" s="118" t="str">
        <v>N content of above-ground pasture residue</v>
      </c>
      <c r="F15" s="119"/>
      <c r="G15" s="117"/>
      <c r="H15" s="114" t="str">
        <v>kg N/kg DM</v>
      </c>
      <c r="I15" s="108" t="str">
        <v>Constant</v>
      </c>
      <c r="J15" s="114" cm="1">
        <f t="array" ref="J15">Common_InputFunctions.Utility_LookupValueInTableNumber($J$19,Table_SourceData_PastureAttributes[Pasture type],Table_SourceData_PastureAttributes[N content Above-ground NCAGp])</f>
        <v>2.5000000000000001E-2</v>
      </c>
      <c r="N15" s="114" t="str">
        <v>NC_AGp</v>
      </c>
      <c r="O15" s="118" t="str">
        <v>N content of above-ground pasture residue</v>
      </c>
      <c r="P15" s="119"/>
      <c r="Q15" s="117"/>
      <c r="R15" s="114" t="str">
        <v>kg N/kg DM</v>
      </c>
      <c r="S15" s="108" t="str">
        <v>Constant</v>
      </c>
      <c r="T15" s="114"/>
    </row>
    <row r="16" spans="1:21" ht="20.100000000000001" customHeight="1" x14ac:dyDescent="0.25">
      <c r="A16" s="127" t="str">
        <f>HYPERLINK("#'6.2.1.1-2 Pasture residue N2O'!A1", "6.2.1.1-2 Pasture residue N2O")</f>
        <v>6.2.1.1-2 Pasture residue N2O</v>
      </c>
      <c r="D16" s="114" t="str">
        <v>R_BGp</v>
      </c>
      <c r="E16" s="118" t="str">
        <v>below-ground residue to above-ground residue ratio for pasture crop</v>
      </c>
      <c r="F16" s="119"/>
      <c r="G16" s="117"/>
      <c r="H16" s="114" t="str">
        <v/>
      </c>
      <c r="I16" s="108" t="str">
        <v>Constant</v>
      </c>
      <c r="J16" s="114" cm="1">
        <f t="array" ref="J16">Common_InputFunctions.Utility_LookupValueInTableNumber($J$19,Table_SourceData_PastureAttributes[Pasture type],Table_SourceData_PastureAttributes[Below-ground: above-ground residue ratio RBGp])</f>
        <v>0.8</v>
      </c>
      <c r="N16" s="114" t="str">
        <v>R_BGp</v>
      </c>
      <c r="O16" s="118" t="str">
        <v>below-ground residue to above-ground residue ratio for pasture crop</v>
      </c>
      <c r="P16" s="119"/>
      <c r="Q16" s="117"/>
      <c r="R16" s="114" t="str">
        <v/>
      </c>
      <c r="S16" s="108" t="str">
        <v>Constant</v>
      </c>
      <c r="T16" s="114"/>
    </row>
    <row r="17" spans="1:21" ht="20.100000000000001" customHeight="1" x14ac:dyDescent="0.25">
      <c r="A17" s="17" t="str">
        <f>HYPERLINK("#'6.3.1.1-2 Leaching and runoff'!A1", "6.3.1.1-2 Leaching and runoff")</f>
        <v>6.3.1.1-2 Leaching and runoff</v>
      </c>
      <c r="D17" s="114" t="str">
        <v>NC_BGp</v>
      </c>
      <c r="E17" s="118" t="str">
        <v>N content of below-ground pasture crop residue</v>
      </c>
      <c r="F17" s="119"/>
      <c r="G17" s="117"/>
      <c r="H17" s="114" t="str">
        <v>kg N/kg DM</v>
      </c>
      <c r="I17" s="108" t="str">
        <v>Constant</v>
      </c>
      <c r="J17" s="114" cm="1">
        <f t="array" ref="J17">Common_InputFunctions.Utility_LookupValueInTableNumber($J$19,Table_SourceData_PastureAttributes[Pasture type],Table_SourceData_PastureAttributes[N content Below-ground NCBGp])</f>
        <v>1.6E-2</v>
      </c>
      <c r="N17" s="114" t="str">
        <v>NC_BGp</v>
      </c>
      <c r="O17" s="118" t="str">
        <v>N content of below-ground pasture crop residue</v>
      </c>
      <c r="P17" s="119"/>
      <c r="Q17" s="117"/>
      <c r="R17" s="114" t="str">
        <v>kg N/kg DM</v>
      </c>
      <c r="S17" s="108" t="str">
        <v>Constant</v>
      </c>
      <c r="T17" s="114"/>
    </row>
    <row r="18" spans="1:21" ht="20.100000000000001" customHeight="1" x14ac:dyDescent="0.25">
      <c r="A18" s="17" t="str">
        <f>HYPERLINK("#'6.3.1.1-2 Leach runoff crop'!A1", "6.3.1.1-2 Leach runoff crop")</f>
        <v>6.3.1.1-2 Leach runoff crop</v>
      </c>
      <c r="D18" s="114" t="str">
        <v>FFOD_p</v>
      </c>
      <c r="E18" s="118" t="str">
        <v>fraction of pasture yield that is removed</v>
      </c>
      <c r="F18" s="119"/>
      <c r="G18" s="117"/>
      <c r="H18" s="114" t="str">
        <v>fraction</v>
      </c>
      <c r="I18" s="108" t="str">
        <v>Constant</v>
      </c>
      <c r="J18" s="114" cm="1">
        <f t="array" ref="J18">Common_InputFunctions.Utility_LookupValueInTableNumber($J$19,Table_SourceData_PastureAttributes[Pasture type],Table_SourceData_PastureAttributes[Fraction of pasture yield that is removed FFODp])</f>
        <v>0.8</v>
      </c>
      <c r="N18" s="114" t="str">
        <v>FFOD_p</v>
      </c>
      <c r="O18" s="118" t="str">
        <v>fraction of pasture yield that is removed</v>
      </c>
      <c r="P18" s="119"/>
      <c r="Q18" s="117"/>
      <c r="R18" s="114" t="str">
        <v>fraction</v>
      </c>
      <c r="S18" s="108" t="str">
        <v>Constant</v>
      </c>
      <c r="T18" s="114"/>
    </row>
    <row r="19" spans="1:21" ht="20.100000000000001" customHeight="1" x14ac:dyDescent="0.25">
      <c r="A19" s="17" t="str">
        <f>HYPERLINK("#'6.3.1.1-2 Leach runoff pasture'!A1", "6.3.1.1-2 Leach runoff pasture")</f>
        <v>6.3.1.1-2 Leach runoff pasture</v>
      </c>
      <c r="D19" s="114" t="str">
        <v>p</v>
      </c>
      <c r="E19" s="118" t="str">
        <v>Pasture type</v>
      </c>
      <c r="F19" s="119"/>
      <c r="G19" s="117"/>
      <c r="H19" s="114" t="str">
        <v/>
      </c>
      <c r="I19" s="109" t="str">
        <v>Input</v>
      </c>
      <c r="J19" s="114" t="str">
        <f>X_Cell_Pasture_PastureType</f>
        <v>Grass clover mixture</v>
      </c>
      <c r="N19" s="114" t="str">
        <v>p</v>
      </c>
      <c r="O19" s="118" t="str">
        <v>Pasture type</v>
      </c>
      <c r="P19" s="119"/>
      <c r="Q19" s="117"/>
      <c r="R19" s="114" t="str">
        <v/>
      </c>
      <c r="S19" s="109" t="str">
        <v>Input</v>
      </c>
      <c r="T19" s="114"/>
    </row>
    <row r="20" spans="1:21" ht="20.100000000000001" customHeight="1" x14ac:dyDescent="0.25">
      <c r="A20" s="17" t="str">
        <f>HYPERLINK("#'6.4.1.1-2 Residue burning'!A1", "6.4.1.1-2 Residue burning")</f>
        <v>6.4.1.1-2 Residue burning</v>
      </c>
    </row>
    <row r="21" spans="1:21" ht="20.100000000000001" customHeight="1" x14ac:dyDescent="0.25">
      <c r="D21" s="115" t="s">
        <v>180</v>
      </c>
      <c r="E21" s="43" cm="1">
        <f t="array" ref="E21">AgResidue_Equations_PastureResidue.VEERG_6_2_1_1__2__MassOfNitrogenInPastureResidues(J13,J14,J18,J15,J16,J17)</f>
        <v>7.4226E-2</v>
      </c>
      <c r="F21" s="95" t="str" cm="1">
        <f t="array" ref="F21">AgResidue_Equations_PastureResidue.VEERG_6_2_1_1__2__MassOfNitrogenInPastureResidues_Unit()</f>
        <v>kg N</v>
      </c>
      <c r="N21" s="115" t="s">
        <v>180</v>
      </c>
      <c r="O21" s="43" cm="1">
        <f t="array" ref="O21">AgResidue_Equations_PastureResidue.VEERG_6_2_1_1__2__MassOfNitrogenInPastureResidues(J13,T14,J18,J15,J16,J17)</f>
        <v>7.4226E-2</v>
      </c>
      <c r="P21" s="95" t="str" cm="1">
        <f t="array" ref="P21">AgResidue_Equations_PastureResidue.VEERG_6_2_1_1__2__MassOfNitrogenInPastureResidues_Unit()</f>
        <v>kg N</v>
      </c>
    </row>
    <row r="22" spans="1:21" ht="20.100000000000001" customHeight="1" x14ac:dyDescent="0.25"/>
    <row r="23" spans="1:21" ht="20.100000000000001" customHeight="1" x14ac:dyDescent="0.25">
      <c r="A23" s="141" t="s">
        <v>1</v>
      </c>
    </row>
    <row r="24" spans="1:21" ht="20.100000000000001" customHeight="1" x14ac:dyDescent="0.25">
      <c r="A24" s="17" t="str">
        <f>HYPERLINK("#'Constants - Ag Residue'!A1", "Constants - Ag Residue")</f>
        <v>Constants - Ag Residue</v>
      </c>
      <c r="C24" s="43"/>
      <c r="D24" s="43"/>
      <c r="E24" s="43"/>
      <c r="F24" s="43"/>
      <c r="G24" s="43"/>
      <c r="H24" s="43"/>
      <c r="I24" s="43"/>
      <c r="J24" s="43"/>
      <c r="K24" s="43"/>
      <c r="M24" s="43"/>
      <c r="N24" s="43"/>
      <c r="O24" s="43"/>
      <c r="P24" s="43"/>
      <c r="Q24" s="43"/>
      <c r="R24" s="43"/>
      <c r="S24" s="43"/>
      <c r="T24" s="43"/>
      <c r="U24" s="43"/>
    </row>
    <row r="25" spans="1:21" ht="20.100000000000001" customHeight="1" x14ac:dyDescent="0.25">
      <c r="A25" s="17" t="str">
        <f>HYPERLINK("#'Constants - Common'!A1", "Constants - Common")</f>
        <v>Constants - Common</v>
      </c>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20</v>
      </c>
      <c r="E27" s="13" t="str">
        <f ca="1">Common_InputFunctions.Utility_DisplayFunctionName(VEERG_6_2_1_1__1__NitrousOxideEmissionsFromPastureResidues_Result_Method1)</f>
        <v>=AgResidue_Equations_PastureResidue.VEERG_6_2_1_1__1__NitrousOxideEmissionsFromPastureResidues</v>
      </c>
      <c r="N27" s="13" t="s">
        <v>20</v>
      </c>
      <c r="O27" s="1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23</v>
      </c>
      <c r="E30" s="1" t="str" cm="1">
        <f t="array" ref="E30">AgResidue_Equations_PastureResidue.VEERG_6_2_1_1__1__NitrousOxideEmissionsFromPastureResidues_Variable()</f>
        <v>EN2O</v>
      </c>
      <c r="N30" s="3" t="s">
        <v>23</v>
      </c>
      <c r="O30" s="1" t="str" cm="1">
        <f t="array" ref="O30">AgResidue_Equations_PastureResidue.VEERG_6_2_1_1__1__NitrousOxideEmissionsFromPastureResidues_Variable()</f>
        <v>EN2O</v>
      </c>
    </row>
    <row r="31" spans="1:21" ht="20.100000000000001" customHeight="1" x14ac:dyDescent="0.25">
      <c r="D31" s="3" t="s">
        <v>14</v>
      </c>
      <c r="E31" s="51" t="str" cm="1">
        <f t="array" ref="E31">AgResidue_Equations_PastureResidue.VEERG_6_2_1_1__1__NitrousOxideEmissionsFromPastureResidues_Unit()</f>
        <v>t N2O</v>
      </c>
      <c r="N31" s="3" t="s">
        <v>14</v>
      </c>
      <c r="O31" s="51" t="str" cm="1">
        <f t="array" ref="O31">AgResidue_Equations_PastureResidue.VEERG_6_2_1_1__1__NitrousOxideEmissionsFromPastureResidues_Unit()</f>
        <v>t N2O</v>
      </c>
    </row>
    <row r="32" spans="1:21" ht="20.100000000000001" customHeight="1" x14ac:dyDescent="0.25"/>
    <row r="33" spans="4:20" ht="20.100000000000001" customHeight="1" x14ac:dyDescent="0.25">
      <c r="D33" s="114" t="str" cm="1">
        <f t="array" ref="D33:E37">_xlfn.CHOOSECOLS(AgResidue_Equations_PastureResidue.VEERG_6_2_1_1__1__NitrousOxideEmissionsFromPastureResidues_Arguments(), 1, 2)</f>
        <v>M_p</v>
      </c>
      <c r="E33" s="118" t="str">
        <v>mass of nitrogen in pasture p residues returned to the soil</v>
      </c>
      <c r="F33" s="119"/>
      <c r="G33" s="117"/>
      <c r="H33" s="114" t="str" cm="1">
        <f t="array" ref="H33:I37">_xlfn.CHOOSECOLS(AgResidue_Equations_PastureResidue.VEERG_6_2_1_1__1__NitrousOxideEmissionsFromPastureResidues_Arguments(), 3,4)</f>
        <v>kg N</v>
      </c>
      <c r="I33" s="108" t="str">
        <v>Calculated from 6.2.1.1 (2)</v>
      </c>
      <c r="J33" s="114">
        <f>$E$21</f>
        <v>7.4226E-2</v>
      </c>
      <c r="N33" s="114" t="str" cm="1">
        <f t="array" ref="N33:O37">_xlfn.CHOOSECOLS(AgResidue_Equations_PastureResidue.VEERG_6_2_1_1__1__NitrousOxideEmissionsFromPastureResidues_Arguments(), 1, 2)</f>
        <v>M_p</v>
      </c>
      <c r="O33" s="118" t="str">
        <v>mass of nitrogen in pasture p residues returned to the soil</v>
      </c>
      <c r="P33" s="119"/>
      <c r="Q33" s="117"/>
      <c r="R33" s="114" t="str" cm="1">
        <f t="array" ref="R33:S37">_xlfn.CHOOSECOLS(AgResidue_Equations_PastureResidue.VEERG_6_2_1_1__1__NitrousOxideEmissionsFromPastureResidues_Arguments(), 3,4)</f>
        <v>kg N</v>
      </c>
      <c r="S33" s="108" t="str">
        <v>Calculated from 6.2.1.1 (2)</v>
      </c>
      <c r="T33" s="114">
        <f>$O$21</f>
        <v>7.4226E-2</v>
      </c>
    </row>
    <row r="34" spans="4:20" ht="20.100000000000001" customHeight="1" x14ac:dyDescent="0.25">
      <c r="D34" s="114" t="str">
        <v>EF_Ni</v>
      </c>
      <c r="E34" s="118" t="str">
        <v>emission factor for crop residues returned to the soil in climate zone i</v>
      </c>
      <c r="F34" s="119"/>
      <c r="G34" s="117"/>
      <c r="H34" s="114" t="str">
        <v>kg N2O-N/kg N</v>
      </c>
      <c r="I34" s="108" t="str">
        <v>Constant</v>
      </c>
      <c r="J34" s="114" cm="1">
        <f t="array" ref="J34">Common_InputFunctions.Utility_LookupValueInTableNumber(J37,Table_SourceData_N2OEFOrganicFert[Climate zone type i],Table_SourceData_N2OEFOrganicFert[EF i N2O])</f>
        <v>5.0000000000000001E-3</v>
      </c>
      <c r="N34" s="114" t="str">
        <v>EF_Ni</v>
      </c>
      <c r="O34" s="118" t="str">
        <v>emission factor for crop residues returned to the soil in climate zone i</v>
      </c>
      <c r="P34" s="119"/>
      <c r="Q34" s="117"/>
      <c r="R34" s="114" t="str">
        <v>kg N2O-N/kg N</v>
      </c>
      <c r="S34" s="108" t="str">
        <v>Constant</v>
      </c>
      <c r="T34" s="114"/>
    </row>
    <row r="35" spans="4:20" ht="20.100000000000001" customHeight="1" x14ac:dyDescent="0.25">
      <c r="D35" s="114" t="str">
        <v>C_N2O</v>
      </c>
      <c r="E35" s="118" t="str">
        <v>factor to convert elemental mass of nitrous oxide to molecular mass</v>
      </c>
      <c r="F35" s="119"/>
      <c r="G35" s="117"/>
      <c r="H35" s="114" t="str">
        <v>dimensionless</v>
      </c>
      <c r="I35" s="108" t="str">
        <v>Constant</v>
      </c>
      <c r="J35" s="114">
        <f>Common_InputFunctions.Utility_LookupValueInTableNumber("N2O",Table_GasToMolecularConversionFactor[Gas],Table_GasToMolecularConversionFactor[Conversion factor combined])</f>
        <v>1.5714285714285714</v>
      </c>
      <c r="N35" s="114" t="str">
        <v>C_N2O</v>
      </c>
      <c r="O35" s="118" t="str">
        <v>factor to convert elemental mass of nitrous oxide to molecular mass</v>
      </c>
      <c r="P35" s="119"/>
      <c r="Q35" s="117"/>
      <c r="R35" s="114" t="str">
        <v>dimensionless</v>
      </c>
      <c r="S35" s="108" t="str">
        <v>Constant</v>
      </c>
      <c r="T35" s="114"/>
    </row>
    <row r="36" spans="4:20" ht="20.100000000000001" customHeight="1" x14ac:dyDescent="0.25">
      <c r="D36" s="114" t="str">
        <v>p</v>
      </c>
      <c r="E36" s="118" t="str">
        <v>Pasture type</v>
      </c>
      <c r="F36" s="119"/>
      <c r="G36" s="117"/>
      <c r="H36" s="114" t="str">
        <v/>
      </c>
      <c r="I36" s="109" t="str">
        <v>Input</v>
      </c>
      <c r="J36" s="114" t="str">
        <f>X_Cell_Pasture_PastureType</f>
        <v>Grass clover mixture</v>
      </c>
      <c r="N36" s="114" t="str">
        <v>p</v>
      </c>
      <c r="O36" s="118" t="str">
        <v>Pasture type</v>
      </c>
      <c r="P36" s="119"/>
      <c r="Q36" s="117"/>
      <c r="R36" s="114" t="str">
        <v/>
      </c>
      <c r="S36" s="109" t="str">
        <v>Input</v>
      </c>
      <c r="T36" s="114"/>
    </row>
    <row r="37" spans="4:20" ht="20.100000000000001" customHeight="1" x14ac:dyDescent="0.25">
      <c r="D37" s="114" t="str">
        <v>i</v>
      </c>
      <c r="E37" s="118" t="str">
        <v>Wet or dry climate zone</v>
      </c>
      <c r="F37" s="119"/>
      <c r="G37" s="117"/>
      <c r="H37" s="114" t="str">
        <v/>
      </c>
      <c r="I37" s="109" t="str">
        <v>Input</v>
      </c>
      <c r="J37" s="114" t="str">
        <f>X_Cell_Site_WetOrDryClimateZone</f>
        <v>Dry climate zone</v>
      </c>
      <c r="N37" s="114" t="str">
        <v>i</v>
      </c>
      <c r="O37" s="118" t="str">
        <v>Wet or dry climate zone</v>
      </c>
      <c r="P37" s="119"/>
      <c r="Q37" s="117"/>
      <c r="R37" s="114" t="str">
        <v/>
      </c>
      <c r="S37" s="109" t="str">
        <v>Input</v>
      </c>
      <c r="T37" s="114"/>
    </row>
    <row r="38" spans="4:20" ht="20.100000000000001" customHeight="1" x14ac:dyDescent="0.25"/>
    <row r="39" spans="4:20" ht="20.100000000000001" customHeight="1" x14ac:dyDescent="0.25"/>
    <row r="40" spans="4:20" ht="20.100000000000001" customHeight="1" x14ac:dyDescent="0.25">
      <c r="D40" s="91" t="s">
        <v>106</v>
      </c>
      <c r="E40" s="92" cm="1">
        <f t="array" ref="E40">AgResidue_Equations_PastureResidue.VEERG_6_2_1_1__1__NitrousOxideEmissionsFromPastureResidues(J33,J34,J35)</f>
        <v>5.8320428571428569E-7</v>
      </c>
      <c r="F40" s="93" t="str" cm="1">
        <f t="array" ref="F40">AgResidue_Equations_PastureResidue.VEERG_6_2_1_1__1__NitrousOxideEmissionsFromPastureResidues_Unit()</f>
        <v>t N2O</v>
      </c>
      <c r="N40" s="91" t="s">
        <v>106</v>
      </c>
      <c r="O40" s="92" cm="1">
        <f t="array" ref="O40">AgResidue_Equations_PastureResidue.VEERG_6_2_1_1__1__NitrousOxideEmissionsFromPastureResidues(T33,J34,J35)</f>
        <v>5.8320428571428569E-7</v>
      </c>
      <c r="P40" s="93" t="str" cm="1">
        <f t="array" ref="P40">AgResidue_Equations_PastureResidue.VEERG_6_2_1_1__1__NitrousOxideEmissionsFromPastureResidues_Unit()</f>
        <v>t N2O</v>
      </c>
    </row>
    <row r="41" spans="4:20" ht="20.100000000000001" customHeight="1" x14ac:dyDescent="0.25"/>
    <row r="42" spans="4:20" ht="20.100000000000001" customHeight="1" x14ac:dyDescent="0.25">
      <c r="D42" s="53" t="str" cm="1">
        <f t="array" ref="D42:E43">Common_Equations.Common_ConvertN2OToCO2e_Arguments()</f>
        <v>EN2O</v>
      </c>
      <c r="E42" s="54" t="str">
        <v>Nitrous oxide emissions (t N2O)</v>
      </c>
      <c r="F42" s="55"/>
      <c r="G42" s="53">
        <f>VEERG_6_2_1_1__1__NitrousOxideEmissionsFromPastureResidues_Result_Method1</f>
        <v>5.8320428571428569E-7</v>
      </c>
      <c r="N42" s="53" t="str" cm="1">
        <f t="array" ref="N42:O43">Common_Equations.Common_ConvertN2OToCO2e_Arguments()</f>
        <v>EN2O</v>
      </c>
      <c r="O42" s="54" t="str">
        <v>Nitrous oxide emissions (t N2O)</v>
      </c>
      <c r="P42" s="55"/>
      <c r="Q42" s="53">
        <f>VEERG_6_2_1_1__1__NitrousOxideEmissionsFromPastureResidues_Result_Method2</f>
        <v>5.8320428571428569E-7</v>
      </c>
    </row>
    <row r="43" spans="4:20" ht="20.100000000000001" customHeight="1" x14ac:dyDescent="0.25">
      <c r="D43" s="53" t="str">
        <v>GWPN2O</v>
      </c>
      <c r="E43" s="54" t="str">
        <v>Global warming potential for nitrous oxide (t CO2-e / t N2O)</v>
      </c>
      <c r="F43" s="55"/>
      <c r="G43" s="49">
        <f>Common_InputFunctions.Utility_LookupValueInTableNumber("N2O",Table_GWPData[Gas],Table_GWPData[CO2-e factor])</f>
        <v>265</v>
      </c>
      <c r="N43" s="53" t="str">
        <v>GWPN2O</v>
      </c>
      <c r="O43" s="54" t="str">
        <v>Global warming potential for nitrous oxide (t CO2-e / t N2O)</v>
      </c>
      <c r="P43" s="55"/>
      <c r="Q43" s="49">
        <f>Common_InputFunctions.Utility_LookupValueInTableNumber("N2O",Table_GWPData[Gas],Table_GWPData[CO2-e factor])</f>
        <v>265</v>
      </c>
    </row>
    <row r="44" spans="4:20" ht="20.100000000000001" customHeight="1" x14ac:dyDescent="0.25"/>
    <row r="45" spans="4:20" ht="20.100000000000001" customHeight="1" x14ac:dyDescent="0.25">
      <c r="D45" s="1" t="s">
        <v>181</v>
      </c>
      <c r="E45" s="1" cm="1">
        <f t="array" ref="E45">Common_Equations.Common_ConvertN2OToCO2e(G42,G43)</f>
        <v>1.545491357142857E-4</v>
      </c>
      <c r="F45" s="51" t="str" cm="1">
        <f t="array" ref="F45">Common_Equations.Common_ConvertN2OToCO2e_Unit()</f>
        <v>t CO2e</v>
      </c>
      <c r="N45" s="1" t="s">
        <v>181</v>
      </c>
      <c r="O45" s="1" cm="1">
        <f t="array" ref="O45">Common_Equations.Common_ConvertN2OToCO2e(Q42,Q43)</f>
        <v>1.545491357142857E-4</v>
      </c>
      <c r="P45" s="51" t="str" cm="1">
        <f t="array" ref="P45">Common_Equations.Common_ConvertN2OToCO2e_Unit()</f>
        <v>t CO2e</v>
      </c>
    </row>
    <row r="46" spans="4:20" ht="20.100000000000001" customHeight="1" x14ac:dyDescent="0.25"/>
    <row r="47" spans="4:20" ht="20.100000000000001" customHeight="1" x14ac:dyDescent="0.25"/>
    <row r="48" spans="4: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A2" zoomScaleNormal="100" workbookViewId="0">
      <selection activeCell="O24" sqref="O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191</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2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N2O'!$N$44</f>
        <v>85800</v>
      </c>
      <c r="P24" s="49"/>
      <c r="Q24" s="49"/>
      <c r="R24" s="49"/>
      <c r="S24" s="49" cm="1">
        <f t="array" ref="S24">AgResidue_Equations_Leaching.VEERG_6_3_1_1__2__MassOfNitrogenLostThroughLeachingAndRunoff(O24,H24,$J$15)</f>
        <v>20592</v>
      </c>
    </row>
    <row r="25" spans="1:20" ht="20.100000000000001" customHeight="1" x14ac:dyDescent="0.25">
      <c r="A25" s="17" t="str">
        <f>HYPERLINK("#'Constants - Common'!A1", "Constants - Common")</f>
        <v>Constants - Common</v>
      </c>
      <c r="D25" s="49" t="s">
        <v>194</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20592</v>
      </c>
      <c r="O45" s="49" cm="1">
        <f t="array" ref="O45">AgResidue_Equations_Leaching.VEERG_6_3_1_1__1__LeachingAndRunoffEmissionsCropAndPastureResidue(N45,$J$37,$J$38)</f>
        <v>0.35594742857142858</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0.35266206793186283</v>
      </c>
      <c r="F48" s="93" t="str">
        <f>$E$34</f>
        <v>t N2O</v>
      </c>
      <c r="G48" s="21"/>
      <c r="H48" s="21"/>
      <c r="I48" s="21"/>
      <c r="J48" s="21"/>
      <c r="K48" s="21"/>
      <c r="N48" s="138" t="s">
        <v>192</v>
      </c>
      <c r="O48" s="139">
        <f>SUM(O45:O46)</f>
        <v>0.35594773650329142</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VEERG_6_3_1_1__1__LeachingAndRunoffEmissionsCropAndPastureResidue_Result_Method1</f>
        <v>0.35266206793186283</v>
      </c>
      <c r="N50" s="53" t="str" cm="1">
        <f t="array" ref="N50:O51">Common_Equations.Common_ConvertN2OToCO2e_Arguments()</f>
        <v>EN2O</v>
      </c>
      <c r="O50" s="54" t="str">
        <v>Nitrous oxide emissions (t N2O)</v>
      </c>
      <c r="P50" s="94"/>
      <c r="Q50" s="49">
        <f>VEERG_6_3_1_1__1__LeachingAndRunoffEmissionsCropAndPastureResidue_Result_Method2</f>
        <v>0.35594773650329142</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93.455448001943651</v>
      </c>
      <c r="F53" s="95" t="str" cm="1">
        <f t="array" ref="F53">Common_Equations.Common_ConvertN2OToCO2e_Unit()</f>
        <v>t CO2e</v>
      </c>
      <c r="I53" s="21"/>
      <c r="N53" s="43" t="s">
        <v>76</v>
      </c>
      <c r="O53" s="43" cm="1">
        <f t="array" ref="O53">Common_Equations.Common_ConvertN2OToCO2e(Q50,Q51)</f>
        <v>94.326150173372227</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230</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27" t="str">
        <f>HYPERLINK("#'6.3.1.1-2 Leach runoff crop'!A1", "6.3.1.1-2 Leach runoff crop")</f>
        <v>6.3.1.1-2 Leach runoff crop</v>
      </c>
      <c r="C18" s="21"/>
      <c r="D18" s="114" t="str">
        <v>p</v>
      </c>
      <c r="E18" s="118" t="str">
        <v>Pasture residue type</v>
      </c>
      <c r="F18" s="119"/>
      <c r="G18" s="117"/>
      <c r="H18" s="114" t="str">
        <v/>
      </c>
      <c r="I18" s="109" t="str">
        <v>Input</v>
      </c>
      <c r="J18" s="114" t="s">
        <v>229</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N2O'!$N$44</f>
        <v>85800</v>
      </c>
      <c r="P24" s="49"/>
      <c r="Q24" s="49"/>
      <c r="R24" s="49"/>
      <c r="S24" s="49" cm="1">
        <f t="array" ref="S24">AgResidue_Equations_Leaching.VEERG_6_3_1_1__2__MassOfNitrogenLostThroughLeachingAndRunoff(O24,H24,$J$15)</f>
        <v>20592</v>
      </c>
    </row>
    <row r="25" spans="1:20" ht="20.100000000000001" customHeight="1" x14ac:dyDescent="0.25">
      <c r="A25" s="17" t="str">
        <f>HYPERLINK("#'Constants - Common'!A1", "Constants - Common")</f>
        <v>Constants - Common</v>
      </c>
      <c r="D25" s="49" t="s">
        <v>194</v>
      </c>
      <c r="E25" s="49" t="s">
        <v>229</v>
      </c>
      <c r="F25" s="49" t="s">
        <v>229</v>
      </c>
      <c r="G25" s="49" t="s">
        <v>229</v>
      </c>
      <c r="H25" s="49" t="s">
        <v>229</v>
      </c>
      <c r="I25" s="49" t="s">
        <v>229</v>
      </c>
      <c r="N25" s="49"/>
      <c r="O25" s="49" t="s">
        <v>229</v>
      </c>
      <c r="P25" s="49"/>
      <c r="Q25" s="49"/>
      <c r="R25" s="49"/>
      <c r="S25" s="49" t="s">
        <v>229</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
        <v>229</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20592</v>
      </c>
      <c r="O45" s="49" cm="1">
        <f t="array" ref="O45">AgResidue_Equations_Leaching.VEERG_6_3_1_1__1__LeachingAndRunoffEmissionsCropAndPastureResidue(N45,$J$37,$J$38)</f>
        <v>0.35594742857142858</v>
      </c>
      <c r="P45" s="21"/>
      <c r="Q45" s="21"/>
    </row>
    <row r="46" spans="3:17" ht="20.100000000000001" customHeight="1" x14ac:dyDescent="0.25">
      <c r="C46" s="21"/>
      <c r="D46" s="49" t="str">
        <f>I25</f>
        <v>N/A</v>
      </c>
      <c r="E46" s="49" t="s">
        <v>229</v>
      </c>
      <c r="F46" s="21"/>
      <c r="G46" s="21"/>
      <c r="H46" s="21"/>
      <c r="I46" s="21"/>
      <c r="J46" s="21"/>
      <c r="K46" s="21"/>
      <c r="N46" s="49" t="str">
        <f>S25</f>
        <v>N/A</v>
      </c>
      <c r="O46" s="49" t="s">
        <v>229</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0.35266175999999999</v>
      </c>
      <c r="F48" s="93" t="str">
        <f>$E$34</f>
        <v>t N2O</v>
      </c>
      <c r="G48" s="21"/>
      <c r="H48" s="21"/>
      <c r="I48" s="21"/>
      <c r="J48" s="21"/>
      <c r="K48" s="21"/>
      <c r="N48" s="138" t="s">
        <v>192</v>
      </c>
      <c r="O48" s="139">
        <f>SUM(O45:O46)</f>
        <v>0.35594742857142858</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VEERG_6_3_1_1__1__LeachingAndRunoffEmissionsCropAndPastureResidue_CropOnly_Result_Method1</f>
        <v>0.35266175999999999</v>
      </c>
      <c r="N50" s="53" t="str" cm="1">
        <f t="array" ref="N50:O51">Common_Equations.Common_ConvertN2OToCO2e_Arguments()</f>
        <v>EN2O</v>
      </c>
      <c r="O50" s="54" t="str">
        <v>Nitrous oxide emissions (t N2O)</v>
      </c>
      <c r="P50" s="94"/>
      <c r="Q50" s="49">
        <f>VEERG_6_3_1_1__1__LeachingAndRunoffEmissionsCropAndPastureResidue_CropOnly_Result_Method2</f>
        <v>0.35594742857142858</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93.455366400000003</v>
      </c>
      <c r="F53" s="95" t="str" cm="1">
        <f t="array" ref="F53">Common_Equations.Common_ConvertN2OToCO2e_Unit()</f>
        <v>t CO2e</v>
      </c>
      <c r="I53" s="21"/>
      <c r="N53" s="43" t="s">
        <v>76</v>
      </c>
      <c r="O53" s="43" cm="1">
        <f t="array" ref="O53">Common_Equations.Common_ConvertN2OToCO2e(Q50,Q51)</f>
        <v>94.326068571428578</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zoomScaleNormal="100" workbookViewId="0">
      <selection activeCell="A15" sqref="A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228</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Common_InputFunctions.Utility_DisplayFunctionName(I25)</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
        <v>229</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2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t="s">
        <v>229</v>
      </c>
      <c r="F24" s="49" t="s">
        <v>229</v>
      </c>
      <c r="G24" s="49" t="s">
        <v>229</v>
      </c>
      <c r="H24" s="49" t="s">
        <v>229</v>
      </c>
      <c r="I24" s="49" t="s">
        <v>229</v>
      </c>
      <c r="N24" s="49"/>
      <c r="O24" s="49" t="s">
        <v>229</v>
      </c>
      <c r="P24" s="49"/>
      <c r="Q24" s="49"/>
      <c r="R24" s="49"/>
      <c r="S24" s="49" t="s">
        <v>229</v>
      </c>
    </row>
    <row r="25" spans="1:20" ht="20.100000000000001" customHeight="1" x14ac:dyDescent="0.25">
      <c r="A25" s="17" t="str">
        <f>HYPERLINK("#'Constants - Common'!A1", "Constants - Common")</f>
        <v>Constants - Common</v>
      </c>
      <c r="D25" s="49" t="s">
        <v>194</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Common_InputFunctions.Utility_DisplayFunctionName(E46)</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
        <v>229</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t="str">
        <f>I24</f>
        <v>N/A</v>
      </c>
      <c r="E45" s="49" t="s">
        <v>229</v>
      </c>
      <c r="F45" s="21"/>
      <c r="G45" s="21"/>
      <c r="H45" s="21"/>
      <c r="I45" s="21"/>
      <c r="J45" s="21"/>
      <c r="K45" s="21"/>
      <c r="N45" s="49" t="str">
        <f>S24</f>
        <v>N/A</v>
      </c>
      <c r="O45" s="49" t="s">
        <v>229</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3.0793186285714277E-7</v>
      </c>
      <c r="F48" s="93" t="str">
        <f>$E$34</f>
        <v>t N2O</v>
      </c>
      <c r="G48" s="21"/>
      <c r="H48" s="21"/>
      <c r="I48" s="21"/>
      <c r="J48" s="21"/>
      <c r="K48" s="21"/>
      <c r="N48" s="138" t="s">
        <v>192</v>
      </c>
      <c r="O48" s="139">
        <f>SUM(O45:O46)</f>
        <v>3.0793186285714277E-7</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VEERG_6_3_1_1__1__LeachingAndRunoffEmissionsCropAndPastureResidue_PastureOnly_Result_Method1</f>
        <v>3.0793186285714277E-7</v>
      </c>
      <c r="N50" s="53" t="str" cm="1">
        <f t="array" ref="N50:O51">Common_Equations.Common_ConvertN2OToCO2e_Arguments()</f>
        <v>EN2O</v>
      </c>
      <c r="O50" s="54" t="str">
        <v>Nitrous oxide emissions (t N2O)</v>
      </c>
      <c r="P50" s="94"/>
      <c r="Q50" s="49">
        <f>VEERG_6_3_1_1__1__LeachingAndRunoffEmissionsCropAndPastureResidue_PastureOnly_Result_Method2</f>
        <v>3.0793186285714277E-7</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8.1601943657142831E-5</v>
      </c>
      <c r="F53" s="95" t="str" cm="1">
        <f t="array" ref="F53">Common_Equations.Common_ConvertN2OToCO2e_Unit()</f>
        <v>t CO2e</v>
      </c>
      <c r="I53" s="21"/>
      <c r="N53" s="43" t="s">
        <v>76</v>
      </c>
      <c r="O53" s="43" cm="1">
        <f t="array" ref="O53">Common_Equations.Common_ConvertN2OToCO2e(Q50,Q51)</f>
        <v>8.1601943657142831E-5</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0" t="e" vm="1">
        <v>#VALUE!</v>
      </c>
      <c r="C1" s="8" t="s">
        <v>205</v>
      </c>
    </row>
    <row r="2" spans="1:19" s="9" customFormat="1" ht="20.100000000000001" customHeight="1" x14ac:dyDescent="0.25">
      <c r="A2"/>
    </row>
    <row r="3" spans="1:19" ht="20.100000000000001" customHeight="1" x14ac:dyDescent="0.25">
      <c r="A3" s="17" t="str">
        <f>HYPERLINK("#'Home'!A1", "Home")</f>
        <v>Home</v>
      </c>
      <c r="C3" s="4"/>
      <c r="D3" s="4" t="s">
        <v>77</v>
      </c>
      <c r="E3" s="4"/>
      <c r="F3" s="4"/>
      <c r="G3" s="4"/>
      <c r="H3" s="4"/>
      <c r="I3" s="4"/>
      <c r="J3" s="4"/>
      <c r="L3" s="4"/>
      <c r="M3" s="4" t="s">
        <v>78</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D6" s="5" t="str" cm="1">
        <f t="array" ref="D6">AgResidue_Equations_FieldBurning.VEERG_6_4_1_1__3__MassOfCropResidueBurnt_Source()</f>
        <v>VEERG 2026: 6.4.1.1, Equation (3)</v>
      </c>
    </row>
    <row r="7" spans="1:19" ht="20.100000000000001" customHeight="1" x14ac:dyDescent="0.25">
      <c r="D7" s="13" t="s">
        <v>20</v>
      </c>
      <c r="E7" s="13" t="str" cm="1">
        <f t="array" aca="1" ref="E7" ca="1">Common_InputFunctions.Utility_DisplayFunctionName(E21)</f>
        <v>=AgResidue_Equations_FieldBurning.VEERG_6_4_1_1__3__MassOfCropResidueBurnt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Crop'!A1", "Crop")</f>
        <v>Crop</v>
      </c>
      <c r="D10" s="50" t="s">
        <v>23</v>
      </c>
      <c r="E10" s="1" t="str" cm="1">
        <f t="array" ref="E10">AgResidue_Equations_FieldBurning.VEERG_6_4_1_1__3__MassOfCropResidueBurnt_Variable()</f>
        <v>M_burnc</v>
      </c>
    </row>
    <row r="11" spans="1:19" ht="20.100000000000001" customHeight="1" x14ac:dyDescent="0.25">
      <c r="A11" s="17" t="str">
        <f>HYPERLINK("#'Input - Pasture'!A1", "Pasture")</f>
        <v>Pasture</v>
      </c>
      <c r="D11" s="50" t="s">
        <v>14</v>
      </c>
      <c r="E11" s="51" t="str" cm="1">
        <f t="array" ref="E11">AgResidue_Equations_FieldBurning.VEERG_6_4_1_1__3__MassOfCropResidueBurnt_Unit()</f>
        <v>kg</v>
      </c>
    </row>
    <row r="12" spans="1:19" ht="20.100000000000001" customHeight="1" x14ac:dyDescent="0.25"/>
    <row r="13" spans="1:19" ht="20.100000000000001" customHeight="1" x14ac:dyDescent="0.25">
      <c r="D13" s="114" t="str" cm="1">
        <f t="array" ref="D13:E19">_xlfn.CHOOSECOLS(AgResidue_Equations_FieldBurning.VEERG_6_4_1_1__3__MassOfCropResidueBurnt_Arguments(), 1, 2)</f>
        <v>P_c</v>
      </c>
      <c r="E13" s="118" t="str">
        <v>annual production of crop type c</v>
      </c>
      <c r="F13" s="117"/>
      <c r="G13" s="114" t="str" cm="1">
        <f t="array" ref="G13:H19">_xlfn.CHOOSECOLS(AgResidue_Equations_FieldBurning.VEERG_6_4_1_1__3__MassOfCropResidueBurnt_Arguments(), 3,4)</f>
        <v>kg</v>
      </c>
      <c r="H13" s="109" t="str">
        <v>Input</v>
      </c>
      <c r="I13" s="114">
        <f>X_Cell_Crop_TotalProductionOfCrop*10^3</f>
        <v>10000000</v>
      </c>
    </row>
    <row r="14" spans="1:19" ht="20.100000000000001" customHeight="1" x14ac:dyDescent="0.25">
      <c r="A14" s="18" t="s">
        <v>66</v>
      </c>
      <c r="D14" s="114" t="str">
        <v>R_AGc</v>
      </c>
      <c r="E14" s="118" t="str">
        <v>residue to crop ratio of crop type c</v>
      </c>
      <c r="F14" s="117"/>
      <c r="G14" s="114" t="str">
        <v>kg crop residue/kg crop</v>
      </c>
      <c r="H14" s="108" t="str">
        <v>Constant</v>
      </c>
      <c r="I14" s="114">
        <f>'Input - Crop'!$E$18</f>
        <v>1.5</v>
      </c>
    </row>
    <row r="15" spans="1:19" ht="20.100000000000001" customHeight="1" x14ac:dyDescent="0.25">
      <c r="A15" s="17" t="str">
        <f>HYPERLINK("#'6.1.1.1-2 Crop residue N2O'!A1", "6.1.1.1-2 Crop residue N2O")</f>
        <v>6.1.1.1-2 Crop residue N2O</v>
      </c>
      <c r="D15" s="114" t="str">
        <v>S_c</v>
      </c>
      <c r="E15" s="118" t="str">
        <v>fraction of residues of crop type c remaining at burning</v>
      </c>
      <c r="F15" s="117"/>
      <c r="G15" s="114" t="str">
        <v>fraction</v>
      </c>
      <c r="H15" s="108" t="str">
        <v>Constant</v>
      </c>
      <c r="I15" s="114"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7" t="str">
        <f>HYPERLINK("#'6.2.1.1-2 Pasture residue N2O'!A1", "6.2.1.1-2 Pasture residue N2O")</f>
        <v>6.2.1.1-2 Pasture residue N2O</v>
      </c>
      <c r="D16" s="114" t="str">
        <v>DM_c</v>
      </c>
      <c r="E16" s="118" t="str">
        <v>dry matter content of crop type c</v>
      </c>
      <c r="F16" s="117"/>
      <c r="G16" s="114" t="str">
        <v>kg dry weight/kg crop residue</v>
      </c>
      <c r="H16" s="108" t="str">
        <v>Constant</v>
      </c>
      <c r="I16" s="114" cm="1">
        <f t="array" ref="I16">Common_InputFunctions.Utility_LookupValueInTableNumber($I$19,Table_SourceData_CropAttributes[Crop type],Table_SourceData_CropAttributes[Dry matter content])</f>
        <v>0.88</v>
      </c>
    </row>
    <row r="17" spans="1:10" ht="20.100000000000001" customHeight="1" x14ac:dyDescent="0.25">
      <c r="A17" s="17" t="str">
        <f>HYPERLINK("#'6.3.1.1-2 Leaching and runoff'!A1", "6.3.1.1-2 Leaching and runoff")</f>
        <v>6.3.1.1-2 Leaching and runoff</v>
      </c>
      <c r="D17" s="114" t="str">
        <v>Z_c</v>
      </c>
      <c r="E17" s="118" t="str">
        <v>burning efficiency (ratio of fuel burnt to fuel load) of crop type c</v>
      </c>
      <c r="F17" s="117"/>
      <c r="G17" s="114" t="str">
        <v/>
      </c>
      <c r="H17" s="108" t="str">
        <v>Constant</v>
      </c>
      <c r="I17" s="114" cm="1">
        <f t="array" ref="I17">Common_InputFunctions.Utility_LookupValueInTableNumber($I$19,Table_SourceData_CropAttributes[Crop type],Table_SourceData_CropAttributes[Fraction burnt])</f>
        <v>0.9</v>
      </c>
    </row>
    <row r="18" spans="1:10" ht="20.100000000000001" customHeight="1" x14ac:dyDescent="0.25">
      <c r="A18" s="17" t="str">
        <f>HYPERLINK("#'6.3.1.1-2 Leach runoff crop'!A1", "6.3.1.1-2 Leach runoff crop")</f>
        <v>6.3.1.1-2 Leach runoff crop</v>
      </c>
      <c r="D18" s="114" t="str">
        <v>F_c</v>
      </c>
      <c r="E18" s="118" t="str">
        <v>fraction of the annual production of crop type c that is burnt</v>
      </c>
      <c r="F18" s="117"/>
      <c r="G18" s="114" t="str">
        <v>fraction</v>
      </c>
      <c r="H18" s="108" t="str">
        <v>Constant</v>
      </c>
      <c r="I18" s="114">
        <f>X_Cell_Crop_PercentResidueBurned</f>
        <v>0.3</v>
      </c>
    </row>
    <row r="19" spans="1:10" ht="20.100000000000001" customHeight="1" x14ac:dyDescent="0.25">
      <c r="A19" s="17" t="str">
        <f>HYPERLINK("#'6.3.1.1-2 Leach runoff pasture'!A1", "6.3.1.1-2 Leach runoff pasture")</f>
        <v>6.3.1.1-2 Leach runoff pasture</v>
      </c>
      <c r="D19" s="114" t="str">
        <v>c</v>
      </c>
      <c r="E19" s="118" t="str">
        <v>Crop type</v>
      </c>
      <c r="F19" s="117"/>
      <c r="G19" s="114" t="str">
        <v/>
      </c>
      <c r="H19" s="109" t="str">
        <v>Input</v>
      </c>
      <c r="I19" s="114" t="str">
        <f>X_Cell_Crop_CropType</f>
        <v>Wheat</v>
      </c>
    </row>
    <row r="20" spans="1:10" ht="20.100000000000001" customHeight="1" x14ac:dyDescent="0.25">
      <c r="A20" s="127" t="str">
        <f>HYPERLINK("#'6.4.1.1-2 Residue burning'!A1", "6.4.1.1-2 Residue burning")</f>
        <v>6.4.1.1-2 Residue burning</v>
      </c>
    </row>
    <row r="21" spans="1:10" ht="20.100000000000001" customHeight="1" x14ac:dyDescent="0.25">
      <c r="D21" s="115" t="s">
        <v>206</v>
      </c>
      <c r="E21" s="43" cm="1">
        <f t="array" ref="E21">AgResidue_Equations_FieldBurning.VEERG_6_4_1_1__3__MassOfCropResidueBurnt(I13,I14,I15,I16,I17,I18)</f>
        <v>1782000</v>
      </c>
      <c r="F21" s="95" t="str" cm="1">
        <f t="array" ref="F21">AgResidue_Equations_FieldBurning.VEERG_6_4_1_1__3__MassOfCropResidueBurnt_Unit()</f>
        <v>kg</v>
      </c>
    </row>
    <row r="22" spans="1:10" ht="20.100000000000001" customHeight="1" x14ac:dyDescent="0.25"/>
    <row r="23" spans="1:10" ht="20.100000000000001" customHeight="1" x14ac:dyDescent="0.25">
      <c r="A23" s="141" t="s">
        <v>1</v>
      </c>
    </row>
    <row r="24" spans="1:10" ht="20.100000000000001" customHeight="1" x14ac:dyDescent="0.25">
      <c r="A24" s="17" t="str">
        <f>HYPERLINK("#'Constants - Ag Residue'!A1", "Constants - Ag Residue")</f>
        <v>Constants - Ag Residue</v>
      </c>
      <c r="C24" s="43"/>
      <c r="D24" s="43"/>
      <c r="E24" s="43"/>
      <c r="F24" s="43"/>
      <c r="G24" s="43"/>
      <c r="H24" s="43"/>
      <c r="I24" s="43"/>
      <c r="J24" s="43"/>
    </row>
    <row r="25" spans="1:10" ht="20.100000000000001" customHeight="1" x14ac:dyDescent="0.25">
      <c r="A25" s="17" t="str">
        <f>HYPERLINK("#'Constants - Common'!A1", "Constants - Common")</f>
        <v>Constants - Common</v>
      </c>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20</v>
      </c>
      <c r="E27" s="13"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0" t="s">
        <v>23</v>
      </c>
      <c r="E30" s="1" t="str" cm="1">
        <f t="array" ref="E30">AgResidue_Equations_FieldBurning.VEERG_6_4_1_1__2__NitrousOxideEmissionsFromBurningOfCropResidues_Variable()</f>
        <v>EN2O</v>
      </c>
    </row>
    <row r="31" spans="1:10" ht="20.100000000000001" customHeight="1" x14ac:dyDescent="0.25">
      <c r="D31" s="50" t="s">
        <v>14</v>
      </c>
      <c r="E31" s="51" t="str" cm="1">
        <f t="array" ref="E31">AgResidue_Equations_FieldBurning.VEERG_6_4_1_1__2__NitrousOxideEmissionsFromBurningOfCropResidues_Unit()</f>
        <v>t N2O</v>
      </c>
    </row>
    <row r="32" spans="1:10" ht="20.100000000000001" customHeight="1" x14ac:dyDescent="0.25"/>
    <row r="33" spans="3:10" ht="20.100000000000001" customHeight="1" x14ac:dyDescent="0.25">
      <c r="D33" s="114" t="str" cm="1">
        <f t="array" ref="D33:E37">_xlfn.CHOOSECOLS(AgResidue_Equations_FieldBurning.VEERG_6_4_1_1__2__NitrousOxideEmissionsFromBurningOfCropResidues_Arguments(), 1, 2)</f>
        <v>M_burnc</v>
      </c>
      <c r="E33" s="118" t="str">
        <v>mass of residue burnt for crop type c</v>
      </c>
      <c r="F33" s="117"/>
      <c r="G33" s="114" t="str" cm="1">
        <f t="array" ref="G33:H37">_xlfn.CHOOSECOLS(AgResidue_Equations_FieldBurning.VEERG_6_4_1_1__2__NitrousOxideEmissionsFromBurningOfCropResidues_Arguments(), 3,4)</f>
        <v>kg</v>
      </c>
      <c r="H33" s="108" t="str">
        <v>Calculated from 6.4.1.1 (3)</v>
      </c>
      <c r="I33" s="114">
        <f>$E$21</f>
        <v>1782000</v>
      </c>
    </row>
    <row r="34" spans="3:10" ht="20.100000000000001" customHeight="1" x14ac:dyDescent="0.25">
      <c r="D34" s="114" t="str">
        <v>NC_AGc</v>
      </c>
      <c r="E34" s="118" t="str">
        <v>nitrogen content in the above-ground residue of crop type c</v>
      </c>
      <c r="F34" s="117"/>
      <c r="G34" s="114" t="str">
        <v>kg N/kg DM</v>
      </c>
      <c r="H34" s="108" t="str">
        <v>Constant</v>
      </c>
      <c r="I34" s="114" cm="1">
        <f t="array" ref="I34">Common_InputFunctions.Utility_LookupValueInTableNumber($I$37,Table_SourceData_CropAttributes[Crop type],Table_SourceData_CropAttributes[N content above-ground])</f>
        <v>6.0000000000000001E-3</v>
      </c>
    </row>
    <row r="35" spans="3:10" ht="20.100000000000001" customHeight="1" x14ac:dyDescent="0.25">
      <c r="D35" s="114" t="str">
        <v>EF_N2O</v>
      </c>
      <c r="E35" s="118" t="str">
        <v>emission factor for nitrous oxide from burning of crop residues</v>
      </c>
      <c r="F35" s="117"/>
      <c r="G35" s="114" t="str">
        <v>kg N2O/kg N2O burnt</v>
      </c>
      <c r="H35" s="108" t="str">
        <v>Constant</v>
      </c>
      <c r="I35" s="114" cm="1">
        <f t="array" ref="I35">Common_InputFunctions.Utility_LookupValueInTableNumber("N2O", Table_SourceData_BurningResidueEFs[Gas species],Table_SourceData_BurningResidueEFs[Emission factor EFg (Gg element in species/ Gg element in fuel burnt)])</f>
        <v>7.6E-3</v>
      </c>
    </row>
    <row r="36" spans="3:10" ht="20.100000000000001" customHeight="1" x14ac:dyDescent="0.25">
      <c r="D36" s="114" t="str">
        <v>C_N2O</v>
      </c>
      <c r="E36" s="118" t="str">
        <v>factor to convert elemental mass of nitrous oxide to molecular mass</v>
      </c>
      <c r="F36" s="117"/>
      <c r="G36" s="114" t="str">
        <v>dimensionless</v>
      </c>
      <c r="H36" s="108" t="str">
        <v>Constant</v>
      </c>
      <c r="I36" s="114">
        <f>Common_InputFunctions.Utility_LookupValueInTableNumber("N2O",Table_GasToMolecularConversionFactor[Gas],Table_GasToMolecularConversionFactor[Conversion factor combined])</f>
        <v>1.5714285714285714</v>
      </c>
    </row>
    <row r="37" spans="3:10" ht="20.100000000000001" customHeight="1" x14ac:dyDescent="0.25">
      <c r="D37" s="114" t="str">
        <v>c</v>
      </c>
      <c r="E37" s="118" t="str">
        <v>Crop type</v>
      </c>
      <c r="F37" s="117"/>
      <c r="G37" s="114" t="str">
        <v/>
      </c>
      <c r="H37" s="109" t="str">
        <v>Input</v>
      </c>
      <c r="I37" s="114" t="str">
        <f>X_Cell_Crop_CropType</f>
        <v>Wheat</v>
      </c>
    </row>
    <row r="38" spans="3:10" ht="20.100000000000001" customHeight="1" x14ac:dyDescent="0.25"/>
    <row r="39" spans="3:10" ht="20.100000000000001" customHeight="1" x14ac:dyDescent="0.25">
      <c r="D39" s="91" t="s">
        <v>106</v>
      </c>
      <c r="E39" s="92" cm="1">
        <f t="array" ref="E39">AgResidue_Equations_FieldBurning.VEERG_6_4_1_1__2__NitrousOxideEmissionsFromBurningOfCropResidues(I33,I34,I35,I36)</f>
        <v>0.12769302857142856</v>
      </c>
      <c r="F39" s="93" t="str" cm="1">
        <f t="array" ref="F39">AgResidue_Equations_FieldBurning.VEERG_6_4_1_1__2__NitrousOxideEmissionsFromBurningOfCropResidues_Unit()</f>
        <v>t N2O</v>
      </c>
    </row>
    <row r="40" spans="3:10" ht="20.100000000000001" customHeight="1" x14ac:dyDescent="0.25"/>
    <row r="41" spans="3:10" ht="20.100000000000001" customHeight="1" x14ac:dyDescent="0.25">
      <c r="D41" s="53" t="str" cm="1">
        <f t="array" ref="D41:E42">Common_Equations.Common_ConvertN2OToCO2e_Arguments()</f>
        <v>EN2O</v>
      </c>
      <c r="E41" s="54" t="str">
        <v>Nitrous oxide emissions (t N2O)</v>
      </c>
      <c r="F41" s="94"/>
      <c r="G41" s="136"/>
      <c r="H41" s="49">
        <f>VEERG_6_4_1_1__2__NitrousOxideEmissionsFromBurningOfCropResidues_Result_Method1</f>
        <v>0.12769302857142856</v>
      </c>
    </row>
    <row r="42" spans="3:10" ht="20.100000000000001" customHeight="1" x14ac:dyDescent="0.25">
      <c r="D42" s="53" t="str">
        <v>GWPN2O</v>
      </c>
      <c r="E42" s="54" t="str">
        <v>Global warming potential for nitrous oxide (t CO2-e / t N2O)</v>
      </c>
      <c r="F42" s="94"/>
      <c r="G42" s="136"/>
      <c r="H42" s="49">
        <f>Common_InputFunctions.Utility_LookupValueInTableNumber("N2O",Table_GWPData[Gas],Table_GWPData[CO2-e factor])</f>
        <v>265</v>
      </c>
    </row>
    <row r="43" spans="3:10" ht="20.100000000000001" customHeight="1" x14ac:dyDescent="0.25">
      <c r="H43" s="21"/>
    </row>
    <row r="44" spans="3:10" ht="20.100000000000001" customHeight="1" x14ac:dyDescent="0.25">
      <c r="D44" s="43" t="s">
        <v>76</v>
      </c>
      <c r="E44" s="43" cm="1">
        <f t="array" ref="E44">Common_Equations.Common_ConvertN2OToCO2e(H41,H42)</f>
        <v>33.838652571428568</v>
      </c>
      <c r="F44" s="95" t="str" cm="1">
        <f t="array" ref="F44">Common_Equations.Common_ConvertN2OToCO2e_Unit()</f>
        <v>t CO2e</v>
      </c>
      <c r="H44" s="21"/>
    </row>
    <row r="45" spans="3:10" ht="20.100000000000001" customHeight="1" x14ac:dyDescent="0.25"/>
    <row r="46" spans="3:10" ht="20.100000000000001" customHeight="1" x14ac:dyDescent="0.25"/>
    <row r="47" spans="3:10" ht="20.100000000000001" customHeight="1" x14ac:dyDescent="0.25">
      <c r="C47" s="43"/>
      <c r="D47" s="43"/>
      <c r="E47" s="43"/>
      <c r="F47" s="43"/>
      <c r="G47" s="43"/>
      <c r="H47" s="43"/>
      <c r="I47" s="43"/>
      <c r="J47" s="43"/>
    </row>
    <row r="48" spans="3: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20</v>
      </c>
      <c r="E50" s="13" t="str">
        <f ca="1">Common_InputFunctions.Utility_DisplayFunctionName(VEERG_6_4_1_1__1__MethaneEmissionsFromBurningOfCropResidues_Result_Method1)</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0" t="s">
        <v>23</v>
      </c>
      <c r="E53" s="1" t="str" cm="1">
        <f t="array" ref="E53">AgResidue_Equations_FieldBurning.VEERG_6_4_1_1__1__MethaneEmissionsFromBurningOfCropResidues_Variable()</f>
        <v>ECH4</v>
      </c>
      <c r="F53" s="5"/>
    </row>
    <row r="54" spans="4:9" ht="20.100000000000001" customHeight="1" x14ac:dyDescent="0.25">
      <c r="D54" s="50" t="s">
        <v>14</v>
      </c>
      <c r="E54" s="51"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4" t="str" cm="1">
        <f t="array" ref="D56:E60">_xlfn.CHOOSECOLS(AgResidue_Equations_FieldBurning.VEERG_6_4_1_1__1__MethaneEmissionsFromBurningOfCropResidues_Arguments(), 1,2)</f>
        <v>M_burnc</v>
      </c>
      <c r="E56" s="118" t="str">
        <v>mass of residue burnt for crop type c</v>
      </c>
      <c r="F56" s="117"/>
      <c r="G56" s="114" t="str" cm="1">
        <f t="array" ref="G56:H60">_xlfn.CHOOSECOLS(AgResidue_Equations_FieldBurning.VEERG_6_4_1_1__1__MethaneEmissionsFromBurningOfCropResidues_Arguments(), 3,4)</f>
        <v>kg</v>
      </c>
      <c r="H56" s="108" t="str">
        <v>Calculated from 6.4.1.1 (3)</v>
      </c>
      <c r="I56" s="114">
        <f>$E$21</f>
        <v>1782000</v>
      </c>
    </row>
    <row r="57" spans="4:9" ht="20.100000000000001" customHeight="1" x14ac:dyDescent="0.25">
      <c r="D57" s="114" t="str">
        <v>CC_c</v>
      </c>
      <c r="E57" s="118" t="str">
        <v>carbon mass fraction in the residues of crop type c</v>
      </c>
      <c r="F57" s="117"/>
      <c r="G57" s="114" t="str">
        <v>fraction</v>
      </c>
      <c r="H57" s="108" t="str">
        <v>Constant</v>
      </c>
      <c r="I57" s="114" cm="1">
        <f t="array" ref="I57">Common_InputFunctions.Utility_LookupValueInTableNumber($I$60,Table_SourceData_CropAttributes[Crop type],Table_SourceData_CropAttributes[Carbon fraction in dry matter])</f>
        <v>0.4</v>
      </c>
    </row>
    <row r="58" spans="4:9" ht="20.100000000000001" customHeight="1" x14ac:dyDescent="0.25">
      <c r="D58" s="114" t="str">
        <v>EF_CH4</v>
      </c>
      <c r="E58" s="118" t="str">
        <v>emission factor for methane from burning of crop residues</v>
      </c>
      <c r="F58" s="117"/>
      <c r="G58" s="114" t="str">
        <v>kg CH4 / kg CH4 burnt</v>
      </c>
      <c r="H58" s="108" t="str">
        <v>Constant</v>
      </c>
      <c r="I58" s="114"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4" t="str">
        <v>C_CH4</v>
      </c>
      <c r="E59" s="118" t="str">
        <v>factor to convert elemental mass of methane to molecular mass</v>
      </c>
      <c r="F59" s="117"/>
      <c r="G59" s="114" t="str">
        <v>dimensionless</v>
      </c>
      <c r="H59" s="108" t="str">
        <v>Constant</v>
      </c>
      <c r="I59" s="114">
        <f>Common_InputFunctions.Utility_LookupValueInTableNumber("CH4",Table_GasToMolecularConversionFactor[Gas],Table_GasToMolecularConversionFactor[Conversion factor combined])</f>
        <v>1.3333333333333333</v>
      </c>
    </row>
    <row r="60" spans="4:9" ht="20.100000000000001" customHeight="1" x14ac:dyDescent="0.25">
      <c r="D60" s="114" t="str">
        <v>c</v>
      </c>
      <c r="E60" s="118" t="str">
        <v>Crop type</v>
      </c>
      <c r="F60" s="117"/>
      <c r="G60" s="114" t="str">
        <v/>
      </c>
      <c r="H60" s="109" t="str">
        <v>Input</v>
      </c>
      <c r="I60" s="114" t="str">
        <f>X_Cell_Crop_CropType</f>
        <v>Wheat</v>
      </c>
    </row>
    <row r="61" spans="4:9" ht="20.100000000000001" customHeight="1" x14ac:dyDescent="0.25"/>
    <row r="62" spans="4:9" ht="20.100000000000001" customHeight="1" x14ac:dyDescent="0.25">
      <c r="D62" s="91" t="s">
        <v>106</v>
      </c>
      <c r="E62" s="92" cm="1">
        <f t="array" ref="E62">AgResidue_Equations_FieldBurning.VEERG_6_4_1_1__1__MethaneEmissionsFromBurningOfCropResidues(I56,I57,I58,I59)</f>
        <v>3.3264</v>
      </c>
      <c r="F62" s="93"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3" t="str" cm="1">
        <f t="array" ref="D64:E65">Common_Equations.Common_ConvertCH4ToCO2e_Arguments()</f>
        <v>ECH4</v>
      </c>
      <c r="E64" s="54" t="str">
        <v>Methane emissions (t CH4)</v>
      </c>
      <c r="F64" s="94"/>
      <c r="G64" s="136"/>
      <c r="H64" s="49">
        <f>VEERG_6_4_1_1__1__MethaneEmissionsFromBurningOfCropResidues_Result_Method1</f>
        <v>3.3264</v>
      </c>
    </row>
    <row r="65" spans="4:8" ht="20.100000000000001" customHeight="1" x14ac:dyDescent="0.25">
      <c r="D65" s="53" t="str">
        <v>GWPCH4</v>
      </c>
      <c r="E65" s="54" t="str">
        <v>Global warming potential for methane (t CO2-e / t CH4)</v>
      </c>
      <c r="F65" s="94"/>
      <c r="G65" s="136"/>
      <c r="H65" s="49">
        <f>Common_InputFunctions.Utility_LookupValueInTableNumber("CH4",Table_GWPData[Gas],Table_GWPData[CO2-e factor])</f>
        <v>28</v>
      </c>
    </row>
    <row r="66" spans="4:8" ht="20.100000000000001" customHeight="1" x14ac:dyDescent="0.25">
      <c r="H66" s="21"/>
    </row>
    <row r="67" spans="4:8" ht="20.100000000000001" customHeight="1" x14ac:dyDescent="0.25">
      <c r="D67" s="43" t="s">
        <v>76</v>
      </c>
      <c r="E67" s="43" cm="1">
        <f t="array" ref="E67">Common_Equations.Common_ConvertCH4ToCO2e(H64,H65)</f>
        <v>93.139200000000002</v>
      </c>
      <c r="F67" s="95" t="str" cm="1">
        <f t="array" ref="F67">Common_Equations.Common_ConvertCH4ToCO2e_Unit()</f>
        <v>t CO2e</v>
      </c>
      <c r="H67" s="21"/>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152</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row r="7" spans="1:35" ht="20.100000000000001" customHeight="1" x14ac:dyDescent="0.25">
      <c r="D7" s="132" t="s">
        <v>163</v>
      </c>
      <c r="E7" s="132" t="s">
        <v>164</v>
      </c>
      <c r="F7" s="132" t="s">
        <v>165</v>
      </c>
      <c r="G7" s="132" t="s">
        <v>166</v>
      </c>
      <c r="H7" s="132" t="s">
        <v>167</v>
      </c>
      <c r="I7" s="132" t="s">
        <v>221</v>
      </c>
      <c r="J7" s="132" t="s">
        <v>222</v>
      </c>
      <c r="K7" s="132" t="s">
        <v>223</v>
      </c>
      <c r="AG7" s="1"/>
      <c r="AH7" s="1"/>
      <c r="AI7" s="1"/>
    </row>
    <row r="8" spans="1:35" ht="20.100000000000001" customHeight="1" x14ac:dyDescent="0.25">
      <c r="A8" s="19"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Crop'!A1", "Crop")</f>
        <v>Crop</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17" t="str">
        <f>HYPERLINK("#'Input - Pasture'!A1", "Pasture")</f>
        <v>Pasture</v>
      </c>
    </row>
    <row r="12" spans="1:35" ht="20.100000000000001" customHeight="1" x14ac:dyDescent="0.25"/>
    <row r="13" spans="1:35" ht="20.100000000000001" customHeight="1" x14ac:dyDescent="0.25"/>
    <row r="14" spans="1:35" ht="20.100000000000001" customHeight="1" x14ac:dyDescent="0.25">
      <c r="A14" s="18" t="s">
        <v>66</v>
      </c>
    </row>
    <row r="15" spans="1:35" ht="20.100000000000001" customHeight="1" x14ac:dyDescent="0.25">
      <c r="A15" s="17" t="str">
        <f>HYPERLINK("#'6.1.1.1-2 Crop residue N2O'!A1", "6.1.1.1-2 Crop residue N2O")</f>
        <v>6.1.1.1-2 Crop residue N2O</v>
      </c>
      <c r="D15" s="6" t="str" cm="1">
        <f t="array" ref="D15">Agresidue_SourceData.CropAttributes_Title()</f>
        <v>Table A.2.1.1: Crop attributes</v>
      </c>
      <c r="E15" s="21"/>
      <c r="F15" s="21"/>
      <c r="G15" s="21"/>
      <c r="H15" s="21"/>
      <c r="I15" s="21"/>
      <c r="J15" s="21"/>
      <c r="K15" s="21"/>
      <c r="L15" s="21"/>
    </row>
    <row r="16" spans="1:35" ht="20.100000000000001" customHeight="1" x14ac:dyDescent="0.25">
      <c r="A16" s="17" t="str">
        <f>HYPERLINK("#'6.2.1.1-2 Pasture residue N2O'!A1", "6.2.1.1-2 Pasture residue N2O")</f>
        <v>6.2.1.1-2 Pasture residue N2O</v>
      </c>
      <c r="D16" s="5" t="str" cm="1">
        <f t="array" ref="D16">Agresidue_SourceData.CropAttributes_Source()</f>
        <v>VEERG 2026: Table A.2.1.1: Crop attributes</v>
      </c>
      <c r="E16" s="21"/>
      <c r="F16" s="21"/>
      <c r="G16" s="21"/>
      <c r="H16" s="21"/>
      <c r="I16" s="21"/>
      <c r="J16" s="21"/>
      <c r="K16" s="21"/>
      <c r="L16" s="21"/>
    </row>
    <row r="17" spans="1:14" ht="20.100000000000001" customHeight="1" x14ac:dyDescent="0.25">
      <c r="A17" s="17" t="str">
        <f>HYPERLINK("#'6.3.1.1-2 Leaching and runoff'!A1", "6.3.1.1-2 Leaching and runoff")</f>
        <v>6.3.1.1-2 Leaching and runoff</v>
      </c>
      <c r="D17" s="52" t="str" cm="1">
        <f t="array" ref="D17">"⚠️" &amp; Agresidue_SourceData.CropAttributes_Variation()</f>
        <v>⚠️VARIATION FROM SOURCE: 'N/A' values passed as zero for calculations.</v>
      </c>
      <c r="E17" s="21"/>
      <c r="F17" s="21"/>
      <c r="G17" s="21"/>
      <c r="H17" s="21"/>
      <c r="I17" s="21"/>
      <c r="J17" s="21"/>
      <c r="K17" s="21"/>
      <c r="L17" s="21"/>
    </row>
    <row r="18" spans="1:14" ht="20.100000000000001" customHeight="1" x14ac:dyDescent="0.25">
      <c r="A18" s="17" t="str">
        <f>HYPERLINK("#'6.3.1.1-2 Leach runoff crop'!A1", "6.3.1.1-2 Leach runoff crop")</f>
        <v>6.3.1.1-2 Leach runoff crop</v>
      </c>
      <c r="D18" s="21"/>
      <c r="E18" s="21"/>
      <c r="F18" s="21"/>
      <c r="G18" s="21"/>
      <c r="H18" s="21"/>
      <c r="I18" s="21"/>
      <c r="J18" s="21"/>
      <c r="K18" s="21"/>
      <c r="L18" s="21"/>
    </row>
    <row r="19" spans="1:14" ht="20.100000000000001" customHeight="1" x14ac:dyDescent="0.25">
      <c r="A19" s="17" t="str">
        <f>HYPERLINK("#'6.3.1.1-2 Leach runoff pasture'!A1", "6.3.1.1-2 Leach runoff pasture")</f>
        <v>6.3.1.1-2 Leach runoff pasture</v>
      </c>
      <c r="D19" t="s">
        <v>107</v>
      </c>
      <c r="E19" t="s">
        <v>153</v>
      </c>
      <c r="F19" t="s">
        <v>154</v>
      </c>
      <c r="G19" t="s">
        <v>155</v>
      </c>
      <c r="H19" t="s">
        <v>156</v>
      </c>
      <c r="I19" t="s">
        <v>157</v>
      </c>
      <c r="J19" t="s">
        <v>158</v>
      </c>
      <c r="K19" t="s">
        <v>159</v>
      </c>
      <c r="L19" t="s">
        <v>160</v>
      </c>
      <c r="N19" s="6" t="s">
        <v>216</v>
      </c>
    </row>
    <row r="20" spans="1:14" ht="20.100000000000001" customHeight="1" x14ac:dyDescent="0.25">
      <c r="A20" s="17" t="str">
        <f>HYPERLINK("#'6.4.1.1-2 Residue burning'!A1", "6.4.1.1-2 Residue burning")</f>
        <v>6.4.1.1-2 Residue burning</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6" t="s">
        <v>83</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6" t="s">
        <v>217</v>
      </c>
    </row>
    <row r="23" spans="1:14" ht="20.100000000000001" customHeight="1" x14ac:dyDescent="0.25">
      <c r="A23" s="141" t="s">
        <v>1</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6" t="s">
        <v>218</v>
      </c>
    </row>
    <row r="24" spans="1:14" ht="20.100000000000001" customHeight="1" x14ac:dyDescent="0.25">
      <c r="A24" s="128" t="str">
        <f>HYPERLINK("#'Constants - Ag Residue'!A1", "Constants - Ag Residue")</f>
        <v>Constants - Ag Residue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105</v>
      </c>
    </row>
    <row r="25" spans="1:14" ht="20.100000000000001" customHeight="1" x14ac:dyDescent="0.25">
      <c r="A25" s="17" t="str">
        <f>HYPERLINK("#'Constants - Common'!A1", "Constants - Common")</f>
        <v>Constants - Common</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219</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220</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1"/>
      <c r="E38" s="21"/>
      <c r="F38" s="21"/>
      <c r="G38" s="21"/>
      <c r="H38" s="21"/>
      <c r="I38" s="21"/>
      <c r="J38" s="21"/>
      <c r="K38" s="21"/>
      <c r="L38" s="21"/>
    </row>
    <row r="39" spans="4:13" ht="20.100000000000001" customHeight="1" x14ac:dyDescent="0.25">
      <c r="D39" s="21"/>
      <c r="E39" s="21"/>
      <c r="F39" s="21"/>
      <c r="G39" s="21"/>
      <c r="H39" s="21"/>
      <c r="I39" s="21"/>
      <c r="J39" s="21"/>
      <c r="K39" s="21"/>
      <c r="L39" s="21"/>
    </row>
    <row r="40" spans="4:13" ht="20.100000000000001" customHeight="1" x14ac:dyDescent="0.25">
      <c r="D40" s="6" t="str" cm="1">
        <f t="array" ref="D40">Agresidue_SourceData.N2OEFOrganicFertiliser_Title()</f>
        <v>Emission factor for organic fertiliser and crop residues returned to the soil</v>
      </c>
      <c r="E40" s="3"/>
      <c r="F40" s="3"/>
      <c r="G40" s="21"/>
      <c r="H40" s="21"/>
      <c r="I40" s="21"/>
      <c r="J40" s="21"/>
      <c r="K40" s="21"/>
      <c r="L40" s="21"/>
    </row>
    <row r="41" spans="4:13" ht="20.100000000000001" customHeight="1" x14ac:dyDescent="0.25">
      <c r="D41" s="5" t="str" cm="1">
        <f t="array" ref="D41">Agresidue_SourceData.N2OEFOrganicFertiliser_Source()</f>
        <v>VEERG 2026: Table A.2.1.4</v>
      </c>
      <c r="E41" s="3"/>
      <c r="F41" s="3"/>
      <c r="G41" s="21"/>
      <c r="H41" s="21"/>
      <c r="I41" s="21"/>
      <c r="J41" s="21"/>
      <c r="K41" s="21"/>
      <c r="L41" s="21"/>
    </row>
    <row r="42" spans="4:13" ht="20.100000000000001" customHeight="1" x14ac:dyDescent="0.25">
      <c r="D42" s="5"/>
      <c r="E42" s="3"/>
      <c r="F42" s="3"/>
      <c r="H42" s="21"/>
      <c r="I42" s="21"/>
      <c r="M42" s="3"/>
    </row>
    <row r="43" spans="4:13" ht="20.100000000000001" customHeight="1" x14ac:dyDescent="0.25">
      <c r="D43" s="106" t="s">
        <v>171</v>
      </c>
      <c r="E43" s="106" t="s">
        <v>172</v>
      </c>
      <c r="F43" s="3"/>
      <c r="H43" s="21"/>
      <c r="I43" s="21"/>
      <c r="M43" s="3"/>
    </row>
    <row r="44" spans="4:13" ht="20.100000000000001" customHeight="1" x14ac:dyDescent="0.25">
      <c r="D44" s="35" t="str" cm="1">
        <f t="array" ref="D44">Common_InputFunctions.Utility_DisplayArrayInTable(Agresidue_SourceData.N2OEFOrganicFertiliser_Data(), Table_SourceData_N2OEFOrganicFert[[#Headers],[Climate zone type i]], 0)</f>
        <v>Wet climate zone</v>
      </c>
      <c r="E44" s="35" cm="1">
        <f t="array" ref="E44">Common_InputFunctions.Utility_DisplayArrayInTable(Agresidue_SourceData.N2OEFOrganicFertiliser_Data(), Table_SourceData_N2OEFOrganicFert[[#Headers],[Climate zone type i]], 0)</f>
        <v>6.0000000000000001E-3</v>
      </c>
      <c r="F44" s="3"/>
      <c r="H44" s="21"/>
      <c r="I44" s="21"/>
      <c r="M44" s="3"/>
    </row>
    <row r="45" spans="4:13" ht="20.100000000000001" customHeight="1" x14ac:dyDescent="0.25">
      <c r="D45" s="35" t="str" cm="1">
        <f t="array" ref="D45">Common_InputFunctions.Utility_DisplayArrayInTable(Agresidue_SourceData.N2OEFOrganicFertiliser_Data(), Table_SourceData_N2OEFOrganicFert[[#Headers],[Climate zone type i]], 0)</f>
        <v>Dry climate zone</v>
      </c>
      <c r="E45" s="35" cm="1">
        <f t="array" ref="E45">Common_InputFunctions.Utility_DisplayArrayInTable(Agresidue_SourceData.N2OEFOrganicFertiliser_Data(), Table_SourceData_N2OEFOrganicFert[[#Headers],[Climate zone type i]], 0)</f>
        <v>5.0000000000000001E-3</v>
      </c>
      <c r="F45" s="3"/>
      <c r="H45" s="21"/>
      <c r="I45" s="21"/>
      <c r="M45" s="3"/>
    </row>
    <row r="46" spans="4:13" ht="20.100000000000001" customHeight="1" x14ac:dyDescent="0.25">
      <c r="H46" s="21"/>
      <c r="I46" s="21"/>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1"/>
      <c r="L48" s="21"/>
    </row>
    <row r="49" spans="4:12" ht="20.100000000000001" customHeight="1" x14ac:dyDescent="0.25">
      <c r="D49" s="5" t="str" cm="1">
        <f t="array" ref="D49">Agresidue_SourceData.PastureAttributes_Source()</f>
        <v>VEERG 2026: Table A.2.1.3: Pasture attributes</v>
      </c>
      <c r="K49" s="21"/>
      <c r="L49" s="21"/>
    </row>
    <row r="50" spans="4:12" ht="20.100000000000001" customHeight="1" x14ac:dyDescent="0.25">
      <c r="K50" s="21"/>
      <c r="L50" s="21"/>
    </row>
    <row r="51" spans="4:12" ht="20.100000000000001" customHeight="1" x14ac:dyDescent="0.25">
      <c r="D51" s="36" t="s">
        <v>174</v>
      </c>
      <c r="E51" s="36" t="s">
        <v>175</v>
      </c>
      <c r="F51" s="36" t="s">
        <v>176</v>
      </c>
      <c r="G51" s="36" t="s">
        <v>177</v>
      </c>
      <c r="H51" s="36" t="s">
        <v>178</v>
      </c>
      <c r="I51" s="36" t="s">
        <v>179</v>
      </c>
      <c r="K51" s="21"/>
      <c r="L51" s="21"/>
    </row>
    <row r="52" spans="4:12" ht="20.100000000000001" customHeight="1" x14ac:dyDescent="0.25">
      <c r="D52" s="36" t="str" cm="1">
        <f t="array" ref="D52">Common_InputFunctions.Utility_DisplayArrayInTable(Agresidue_SourceData.PastureAttributes_Data(), Table_SourceData_PastureAttributes[[#Headers],[Pasture type]], 0)</f>
        <v>Annual grass</v>
      </c>
      <c r="E52" s="36" cm="1">
        <f t="array" ref="E52">Common_InputFunctions.Utility_DisplayArrayInTable(Agresidue_SourceData.PastureAttributes_Data(), Table_SourceData_PastureAttributes[[#Headers],[Pasture type]], 0)</f>
        <v>4.41</v>
      </c>
      <c r="F52" s="36" cm="1">
        <f t="array" ref="F52">Common_InputFunctions.Utility_DisplayArrayInTable(Agresidue_SourceData.PastureAttributes_Data(), Table_SourceData_PastureAttributes[[#Headers],[Pasture type]], 0)</f>
        <v>0.4</v>
      </c>
      <c r="G52" s="36" cm="1">
        <f t="array" ref="G52">Common_InputFunctions.Utility_DisplayArrayInTable(Agresidue_SourceData.PastureAttributes_Data(), Table_SourceData_PastureAttributes[[#Headers],[Pasture type]], 0)</f>
        <v>1.4999999999999999E-2</v>
      </c>
      <c r="H52" s="36" cm="1">
        <f t="array" ref="H52">Common_InputFunctions.Utility_DisplayArrayInTable(Agresidue_SourceData.PastureAttributes_Data(), Table_SourceData_PastureAttributes[[#Headers],[Pasture type]], 0)</f>
        <v>1.2E-2</v>
      </c>
      <c r="I52" s="36" cm="1">
        <f t="array" ref="I52">Common_InputFunctions.Utility_DisplayArrayInTable(Agresidue_SourceData.PastureAttributes_Data(), Table_SourceData_PastureAttributes[[#Headers],[Pasture type]], 0)</f>
        <v>0.8</v>
      </c>
      <c r="L52" s="21"/>
    </row>
    <row r="53" spans="4:12" ht="20.100000000000001" customHeight="1" x14ac:dyDescent="0.25">
      <c r="D53" s="36" t="str" cm="1">
        <f t="array" ref="D53">Common_InputFunctions.Utility_DisplayArrayInTable(Agresidue_SourceData.PastureAttributes_Data(), Table_SourceData_PastureAttributes[[#Headers],[Pasture type]], 0)</f>
        <v>Grass clover mixture</v>
      </c>
      <c r="E53" s="36" cm="1">
        <f t="array" ref="E53">Common_InputFunctions.Utility_DisplayArrayInTable(Agresidue_SourceData.PastureAttributes_Data(), Table_SourceData_PastureAttributes[[#Headers],[Pasture type]], 0)</f>
        <v>8.34</v>
      </c>
      <c r="F53" s="36" cm="1">
        <f t="array" ref="F53">Common_InputFunctions.Utility_DisplayArrayInTable(Agresidue_SourceData.PastureAttributes_Data(), Table_SourceData_PastureAttributes[[#Headers],[Pasture type]], 0)</f>
        <v>0.8</v>
      </c>
      <c r="G53" s="36" cm="1">
        <f t="array" ref="G53">Common_InputFunctions.Utility_DisplayArrayInTable(Agresidue_SourceData.PastureAttributes_Data(), Table_SourceData_PastureAttributes[[#Headers],[Pasture type]], 0)</f>
        <v>2.5000000000000001E-2</v>
      </c>
      <c r="H53" s="36" cm="1">
        <f t="array" ref="H53">Common_InputFunctions.Utility_DisplayArrayInTable(Agresidue_SourceData.PastureAttributes_Data(), Table_SourceData_PastureAttributes[[#Headers],[Pasture type]], 0)</f>
        <v>1.6E-2</v>
      </c>
      <c r="I53" s="36" cm="1">
        <f t="array" ref="I53">Common_InputFunctions.Utility_DisplayArrayInTable(Agresidue_SourceData.PastureAttributes_Data(), Table_SourceData_PastureAttributes[[#Headers],[Pasture type]], 0)</f>
        <v>0.8</v>
      </c>
      <c r="L53" s="21"/>
    </row>
    <row r="54" spans="4:12" ht="20.100000000000001" customHeight="1" x14ac:dyDescent="0.25">
      <c r="D54" s="36" t="str" cm="1">
        <f t="array" ref="D54">Common_InputFunctions.Utility_DisplayArrayInTable(Agresidue_SourceData.PastureAttributes_Data(), Table_SourceData_PastureAttributes[[#Headers],[Pasture type]], 0)</f>
        <v>Lucerne</v>
      </c>
      <c r="E54" s="36" cm="1">
        <f t="array" ref="E54">Common_InputFunctions.Utility_DisplayArrayInTable(Agresidue_SourceData.PastureAttributes_Data(), Table_SourceData_PastureAttributes[[#Headers],[Pasture type]], 0)</f>
        <v>8.6199999999999992</v>
      </c>
      <c r="F54" s="36" cm="1">
        <f t="array" ref="F54">Common_InputFunctions.Utility_DisplayArrayInTable(Agresidue_SourceData.PastureAttributes_Data(), Table_SourceData_PastureAttributes[[#Headers],[Pasture type]], 0)</f>
        <v>0.4</v>
      </c>
      <c r="G54" s="36" cm="1">
        <f t="array" ref="G54">Common_InputFunctions.Utility_DisplayArrayInTable(Agresidue_SourceData.PastureAttributes_Data(), Table_SourceData_PastureAttributes[[#Headers],[Pasture type]], 0)</f>
        <v>2.7E-2</v>
      </c>
      <c r="H54" s="36" cm="1">
        <f t="array" ref="H54">Common_InputFunctions.Utility_DisplayArrayInTable(Agresidue_SourceData.PastureAttributes_Data(), Table_SourceData_PastureAttributes[[#Headers],[Pasture type]], 0)</f>
        <v>1.9E-2</v>
      </c>
      <c r="I54" s="36" cm="1">
        <f t="array" ref="I54">Common_InputFunctions.Utility_DisplayArrayInTable(Agresidue_SourceData.PastureAttributes_Data(), Table_SourceData_PastureAttributes[[#Headers],[Pasture type]], 0)</f>
        <v>0.8</v>
      </c>
    </row>
    <row r="55" spans="4:12" ht="20.100000000000001" customHeight="1" x14ac:dyDescent="0.25">
      <c r="D55" s="36" t="str" cm="1">
        <f t="array" ref="D55">Common_InputFunctions.Utility_DisplayArrayInTable(Agresidue_SourceData.PastureAttributes_Data(), Table_SourceData_PastureAttributes[[#Headers],[Pasture type]], 0)</f>
        <v>Other legume</v>
      </c>
      <c r="E55" s="36" cm="1">
        <f t="array" ref="E55">Common_InputFunctions.Utility_DisplayArrayInTable(Agresidue_SourceData.PastureAttributes_Data(), Table_SourceData_PastureAttributes[[#Headers],[Pasture type]], 0)</f>
        <v>5.62</v>
      </c>
      <c r="F55" s="36" cm="1">
        <f t="array" ref="F55">Common_InputFunctions.Utility_DisplayArrayInTable(Agresidue_SourceData.PastureAttributes_Data(), Table_SourceData_PastureAttributes[[#Headers],[Pasture type]], 0)</f>
        <v>0.4</v>
      </c>
      <c r="G55" s="36" cm="1">
        <f t="array" ref="G55">Common_InputFunctions.Utility_DisplayArrayInTable(Agresidue_SourceData.PastureAttributes_Data(), Table_SourceData_PastureAttributes[[#Headers],[Pasture type]], 0)</f>
        <v>2.7E-2</v>
      </c>
      <c r="H55" s="36" cm="1">
        <f t="array" ref="H55">Common_InputFunctions.Utility_DisplayArrayInTable(Agresidue_SourceData.PastureAttributes_Data(), Table_SourceData_PastureAttributes[[#Headers],[Pasture type]], 0)</f>
        <v>2.1999999999999999E-2</v>
      </c>
      <c r="I55" s="36" cm="1">
        <f t="array" ref="I55">Common_InputFunctions.Utility_DisplayArrayInTable(Agresidue_SourceData.PastureAttributes_Data(), Table_SourceData_PastureAttributes[[#Headers],[Pasture type]], 0)</f>
        <v>0.8</v>
      </c>
    </row>
    <row r="56" spans="4:12" ht="20.100000000000001" customHeight="1" x14ac:dyDescent="0.25">
      <c r="D56" s="36" t="str" cm="1">
        <f t="array" ref="D56">Common_InputFunctions.Utility_DisplayArrayInTable(Agresidue_SourceData.PastureAttributes_Data(), Table_SourceData_PastureAttributes[[#Headers],[Pasture type]], 0)</f>
        <v>Perennial pasture</v>
      </c>
      <c r="E56" s="36" cm="1">
        <f t="array" ref="E56">Common_InputFunctions.Utility_DisplayArrayInTable(Agresidue_SourceData.PastureAttributes_Data(), Table_SourceData_PastureAttributes[[#Headers],[Pasture type]], 0)</f>
        <v>8.35</v>
      </c>
      <c r="F56" s="36" cm="1">
        <f t="array" ref="F56">Common_InputFunctions.Utility_DisplayArrayInTable(Agresidue_SourceData.PastureAttributes_Data(), Table_SourceData_PastureAttributes[[#Headers],[Pasture type]], 0)</f>
        <v>0.8</v>
      </c>
      <c r="G56" s="36" cm="1">
        <f t="array" ref="G56">Common_InputFunctions.Utility_DisplayArrayInTable(Agresidue_SourceData.PastureAttributes_Data(), Table_SourceData_PastureAttributes[[#Headers],[Pasture type]], 0)</f>
        <v>1.4999999999999999E-2</v>
      </c>
      <c r="H56" s="36" cm="1">
        <f t="array" ref="H56">Common_InputFunctions.Utility_DisplayArrayInTable(Agresidue_SourceData.PastureAttributes_Data(), Table_SourceData_PastureAttributes[[#Headers],[Pasture type]], 0)</f>
        <v>1.2E-2</v>
      </c>
      <c r="I56" s="36" cm="1">
        <f t="array" ref="I56">Common_InputFunctions.Utility_DisplayArrayInTable(Agresidue_SourceData.PastureAttributes_Data(), Table_SourceData_PastureAttributes[[#Headers],[Pasture type]], 0)</f>
        <v>0.8</v>
      </c>
    </row>
    <row r="57" spans="4:12" ht="20.100000000000001" customHeight="1" x14ac:dyDescent="0.25">
      <c r="H57" s="21"/>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6" t="s">
        <v>207</v>
      </c>
      <c r="E62" s="36" t="s">
        <v>208</v>
      </c>
      <c r="F62" s="36" t="s">
        <v>209</v>
      </c>
    </row>
    <row r="63" spans="4:12" ht="20.100000000000001" customHeight="1" x14ac:dyDescent="0.25">
      <c r="D63" s="36" t="str" cm="1">
        <f t="array" ref="D63">Common_InputFunctions.Utility_DisplayArrayInTable(AgResidues_SourceData.BurningOfAgriculturalResiduesEFs_Data(), Table_SourceData_BurningResidueEFs[[#Headers],[Gas species]], 0)</f>
        <v>CH4</v>
      </c>
      <c r="E63" s="36" cm="1">
        <f t="array" ref="E63">Common_InputFunctions.Utility_DisplayArrayInTable(AgResidues_SourceData.BurningOfAgriculturalResiduesEFs_Data(), Table_SourceData_BurningResidueEFs[[#Headers],[Gas species]], 0)</f>
        <v>3.5000000000000001E-3</v>
      </c>
      <c r="F63" s="36" t="str" cm="1">
        <f t="array" ref="F63">Common_InputFunctions.Utility_DisplayArrayInTable(AgResidues_SourceData.BurningOfAgriculturalResiduesEFs_Data(), Table_SourceData_BurningResidueEFs[[#Headers],[Gas species]], 0)</f>
        <v>16/12</v>
      </c>
      <c r="K63" s="21"/>
      <c r="L63" s="21"/>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6" cm="1">
        <f t="array" ref="E64">Common_InputFunctions.Utility_DisplayArrayInTable(AgResidues_SourceData.BurningOfAgriculturalResiduesEFs_Data(), Table_SourceData_BurningResidueEFs[[#Headers],[Gas species]], 0)</f>
        <v>7.6E-3</v>
      </c>
      <c r="F64" s="36" t="str" cm="1">
        <f t="array" ref="F64">Common_InputFunctions.Utility_DisplayArrayInTable(AgResidues_SourceData.BurningOfAgriculturalResiduesEFs_Data(), Table_SourceData_BurningResidueEFs[[#Headers],[Gas species]], 0)</f>
        <v>44/28</v>
      </c>
      <c r="K64" s="21"/>
      <c r="L64" s="21"/>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6" cm="1">
        <f t="array" ref="E65">Common_InputFunctions.Utility_DisplayArrayInTable(AgResidues_SourceData.BurningOfAgriculturalResiduesEFs_Data(), Table_SourceData_BurningResidueEFs[[#Headers],[Gas species]], 0)</f>
        <v>0.21</v>
      </c>
      <c r="F65" s="36" t="str" cm="1">
        <f t="array" ref="F65">Common_InputFunctions.Utility_DisplayArrayInTable(AgResidues_SourceData.BurningOfAgriculturalResiduesEFs_Data(), Table_SourceData_BurningResidueEFs[[#Headers],[Gas species]], 0)</f>
        <v>46/14</v>
      </c>
      <c r="K65" s="21"/>
      <c r="L65" s="21"/>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6" cm="1">
        <f t="array" ref="E66">Common_InputFunctions.Utility_DisplayArrayInTable(AgResidues_SourceData.BurningOfAgriculturalResiduesEFs_Data(), Table_SourceData_BurningResidueEFs[[#Headers],[Gas species]], 0)</f>
        <v>7.8E-2</v>
      </c>
      <c r="F66" s="36" t="str" cm="1">
        <f t="array" ref="F66">Common_InputFunctions.Utility_DisplayArrayInTable(AgResidues_SourceData.BurningOfAgriculturalResiduesEFs_Data(), Table_SourceData_BurningResidueEFs[[#Headers],[Gas species]], 0)</f>
        <v>28/12</v>
      </c>
      <c r="K66" s="21"/>
      <c r="L66" s="21"/>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6" cm="1">
        <f t="array" ref="E67">Common_InputFunctions.Utility_DisplayArrayInTable(AgResidues_SourceData.BurningOfAgriculturalResiduesEFs_Data(), Table_SourceData_BurningResidueEFs[[#Headers],[Gas species]], 0)</f>
        <v>9.1000000000000004E-3</v>
      </c>
      <c r="F67" s="36" t="str" cm="1">
        <f t="array" ref="F67">Common_InputFunctions.Utility_DisplayArrayInTable(AgResidues_SourceData.BurningOfAgriculturalResiduesEFs_Data(), Table_SourceData_BurningResidueEFs[[#Headers],[Gas species]], 0)</f>
        <v>14/12</v>
      </c>
      <c r="K67" s="21"/>
      <c r="L67" s="21"/>
    </row>
    <row r="68" spans="4:12" ht="20.100000000000001" customHeight="1" x14ac:dyDescent="0.25">
      <c r="K68" s="21"/>
      <c r="L68" s="21"/>
    </row>
    <row r="69" spans="4:12" ht="20.100000000000001" customHeight="1" x14ac:dyDescent="0.25">
      <c r="K69" s="21"/>
      <c r="L69" s="21"/>
    </row>
    <row r="70" spans="4:12" ht="20.100000000000001" customHeight="1" x14ac:dyDescent="0.25">
      <c r="D70" s="6" t="str" cm="1">
        <f t="array" ref="D70">Agresidue_SourceData.CropFractionRemoved_Title()</f>
        <v>Table A.2.1.2: Crop attributes - Fraction removed (FFODc)</v>
      </c>
      <c r="E70" s="21"/>
      <c r="F70" s="21"/>
      <c r="G70" s="21"/>
      <c r="K70" s="21"/>
      <c r="L70" s="21"/>
    </row>
    <row r="71" spans="4:12" ht="20.100000000000001" customHeight="1" x14ac:dyDescent="0.25">
      <c r="D71" s="5" t="str" cm="1">
        <f t="array" ref="D71">Agresidue_SourceData.CropFractionRemoved_Source()</f>
        <v>VEERG 2026: Table A.2.1.2: Crop attributes - Fraction removed (FFODc)</v>
      </c>
      <c r="E71" s="21"/>
      <c r="F71" s="21"/>
      <c r="G71" s="21"/>
      <c r="K71" s="21"/>
      <c r="L71" s="21"/>
    </row>
    <row r="72" spans="4:12" ht="20.100000000000001" customHeight="1" x14ac:dyDescent="0.25">
      <c r="D72" s="21"/>
      <c r="E72" s="21"/>
      <c r="F72" s="21"/>
      <c r="G72" s="21"/>
      <c r="K72" s="21"/>
      <c r="L72" s="21"/>
    </row>
    <row r="73" spans="4:12" ht="20.100000000000001" customHeight="1" x14ac:dyDescent="0.25">
      <c r="D73" t="s">
        <v>161</v>
      </c>
      <c r="E73" t="s">
        <v>4</v>
      </c>
      <c r="F73" t="s">
        <v>162</v>
      </c>
      <c r="G73" s="21"/>
      <c r="K73" s="21"/>
      <c r="L73" s="21"/>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1"/>
      <c r="K74" s="21"/>
      <c r="L74" s="21"/>
    </row>
    <row r="75" spans="4:12" ht="20.100000000000001" customHeight="1" x14ac:dyDescent="0.25">
      <c r="D75" s="21"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1"/>
      <c r="H75" s="21"/>
      <c r="K75" s="21"/>
      <c r="L75" s="21"/>
    </row>
    <row r="76" spans="4:12" ht="20.100000000000001" customHeight="1" x14ac:dyDescent="0.25">
      <c r="D76" s="21"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1"/>
      <c r="H76" s="21"/>
      <c r="K76" s="21"/>
      <c r="L76" s="21"/>
    </row>
    <row r="77" spans="4:12" ht="20.100000000000001" customHeight="1" x14ac:dyDescent="0.25">
      <c r="D77" s="21"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1"/>
      <c r="H77" s="21"/>
      <c r="I77" s="21"/>
      <c r="J77" s="21"/>
      <c r="K77" s="21"/>
      <c r="L77" s="21"/>
    </row>
    <row r="78" spans="4:12" ht="20.100000000000001" customHeight="1" x14ac:dyDescent="0.25">
      <c r="D78" s="21"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1"/>
      <c r="H78" s="21"/>
      <c r="I78" s="21"/>
      <c r="J78" s="21"/>
      <c r="K78" s="21"/>
      <c r="L78" s="21"/>
    </row>
    <row r="79" spans="4:12" ht="20.100000000000001" customHeight="1" x14ac:dyDescent="0.25">
      <c r="D79" s="21"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1"/>
      <c r="H79" s="21"/>
      <c r="I79" s="21"/>
      <c r="J79" s="21"/>
      <c r="K79" s="21"/>
      <c r="L79" s="21"/>
    </row>
    <row r="80" spans="4:12" ht="20.100000000000001" customHeight="1" x14ac:dyDescent="0.25">
      <c r="D80" s="21"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1"/>
      <c r="H80" s="21"/>
      <c r="I80" s="21"/>
      <c r="J80" s="21"/>
      <c r="K80" s="21"/>
      <c r="L80" s="21"/>
    </row>
    <row r="81" spans="4:12" ht="20.100000000000001" customHeight="1" x14ac:dyDescent="0.25">
      <c r="D81" s="21"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1"/>
      <c r="H81" s="21"/>
      <c r="I81" s="21"/>
      <c r="J81" s="21"/>
      <c r="K81" s="21"/>
      <c r="L81" s="21"/>
    </row>
    <row r="82" spans="4:12" ht="20.100000000000001" customHeight="1" x14ac:dyDescent="0.25">
      <c r="D82" s="21"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1"/>
      <c r="H82" s="21"/>
      <c r="I82" s="21"/>
      <c r="J82" s="21"/>
      <c r="K82" s="21"/>
      <c r="L82" s="21"/>
    </row>
    <row r="83" spans="4:12" ht="20.100000000000001" customHeight="1" x14ac:dyDescent="0.25">
      <c r="D83" s="21"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1"/>
      <c r="H83" s="21"/>
      <c r="I83" s="21"/>
      <c r="J83" s="21"/>
      <c r="K83" s="21"/>
      <c r="L83" s="21"/>
    </row>
    <row r="84" spans="4:12" ht="20.100000000000001" customHeight="1" x14ac:dyDescent="0.25">
      <c r="D84" s="21"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1"/>
      <c r="H84" s="21"/>
      <c r="I84" s="21"/>
      <c r="J84" s="21"/>
      <c r="K84" s="21"/>
      <c r="L84" s="21"/>
    </row>
    <row r="85" spans="4:12" ht="20.100000000000001" customHeight="1" x14ac:dyDescent="0.25">
      <c r="D85" s="21"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1"/>
      <c r="H85" s="21"/>
      <c r="I85" s="21"/>
      <c r="J85" s="21"/>
      <c r="K85" s="21"/>
      <c r="L85" s="21"/>
    </row>
    <row r="86" spans="4:12" ht="20.100000000000001" customHeight="1" x14ac:dyDescent="0.25">
      <c r="D86" s="21"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1"/>
      <c r="H86" s="21"/>
      <c r="I86" s="21"/>
      <c r="J86" s="21"/>
      <c r="K86" s="21"/>
      <c r="L86" s="21"/>
    </row>
    <row r="87" spans="4:12" ht="20.100000000000001" customHeight="1" x14ac:dyDescent="0.25">
      <c r="D87" s="21"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1"/>
      <c r="H87" s="21"/>
      <c r="I87" s="21"/>
      <c r="J87" s="21"/>
      <c r="K87" s="21"/>
      <c r="L87" s="21"/>
    </row>
    <row r="88" spans="4:12" ht="20.100000000000001" customHeight="1" x14ac:dyDescent="0.25">
      <c r="D88" s="21"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1"/>
      <c r="H88" s="21"/>
      <c r="I88" s="21"/>
      <c r="J88" s="21"/>
      <c r="K88" s="21"/>
      <c r="L88" s="21"/>
    </row>
    <row r="89" spans="4:12" ht="20.100000000000001" customHeight="1" x14ac:dyDescent="0.25">
      <c r="D89" s="21"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1"/>
      <c r="H89" s="21"/>
      <c r="I89" s="21"/>
      <c r="J89" s="21"/>
      <c r="K89" s="21"/>
      <c r="L89" s="21"/>
    </row>
    <row r="90" spans="4:12" ht="20.100000000000001" customHeight="1" x14ac:dyDescent="0.25">
      <c r="D90" s="21"/>
      <c r="E90" s="21"/>
      <c r="F90" s="21"/>
      <c r="G90" s="21"/>
      <c r="H90" s="21"/>
      <c r="I90" s="21"/>
      <c r="J90" s="21"/>
      <c r="K90" s="21"/>
      <c r="L90" s="21"/>
    </row>
    <row r="91" spans="4:12" ht="20.100000000000001" customHeight="1" x14ac:dyDescent="0.25">
      <c r="D91" s="52" t="str" cm="1">
        <f t="array" ref="D91">"⚠️" &amp; Agresidue_SourceData.CropFractionRemoved_Variation()</f>
        <v>⚠️VARIATION OF SOURCE DATA: Split 'All other crop types' into individual crop types for each state. Listed all states for Sugar Cane, with 'N/A' for states where it is not grown.</v>
      </c>
      <c r="E91" s="21"/>
      <c r="F91" s="21"/>
      <c r="G91" s="21"/>
      <c r="H91" s="21"/>
      <c r="I91" s="21"/>
      <c r="J91" s="21"/>
      <c r="K91" s="21"/>
      <c r="L91" s="21"/>
    </row>
    <row r="92" spans="4:12" ht="20.100000000000001" customHeight="1" x14ac:dyDescent="0.25">
      <c r="D92" t="s">
        <v>161</v>
      </c>
      <c r="E92" t="s">
        <v>4</v>
      </c>
      <c r="F92" t="s">
        <v>162</v>
      </c>
      <c r="G92" s="21"/>
      <c r="H92" s="21"/>
      <c r="I92" s="21"/>
      <c r="J92" s="21"/>
      <c r="K92" s="21"/>
      <c r="L92" s="21"/>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1"/>
      <c r="H93" s="21"/>
      <c r="I93" s="21"/>
      <c r="J93" s="21"/>
      <c r="K93" s="21"/>
      <c r="L93" s="21"/>
    </row>
    <row r="94" spans="4:12" ht="20.100000000000001" customHeight="1" x14ac:dyDescent="0.25">
      <c r="D94" s="21"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1"/>
      <c r="H94" s="21"/>
      <c r="I94" s="21"/>
      <c r="J94" s="21"/>
      <c r="K94" s="21"/>
      <c r="L94" s="21"/>
    </row>
    <row r="95" spans="4:12" ht="20.100000000000001" customHeight="1" x14ac:dyDescent="0.25">
      <c r="D95" s="21"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1"/>
      <c r="H95" s="21"/>
      <c r="I95" s="21"/>
      <c r="J95" s="21"/>
      <c r="K95" s="21"/>
      <c r="L95" s="21"/>
    </row>
    <row r="96" spans="4:12" ht="20.100000000000001" customHeight="1" x14ac:dyDescent="0.25">
      <c r="D96" s="21"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1"/>
      <c r="H96" s="21"/>
      <c r="I96" s="21"/>
      <c r="J96" s="21"/>
      <c r="K96" s="21"/>
      <c r="L96" s="21"/>
    </row>
    <row r="97" spans="4:12" ht="20.100000000000001" customHeight="1" x14ac:dyDescent="0.25">
      <c r="D97" s="21"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1"/>
      <c r="H97" s="21"/>
      <c r="I97" s="21"/>
      <c r="J97" s="21"/>
      <c r="K97" s="21"/>
      <c r="L97" s="21"/>
    </row>
    <row r="98" spans="4:12" ht="20.100000000000001" customHeight="1" x14ac:dyDescent="0.25">
      <c r="D98" s="21"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1"/>
      <c r="H98" s="21"/>
      <c r="I98" s="21"/>
      <c r="J98" s="21"/>
      <c r="K98" s="21"/>
      <c r="L98" s="21"/>
    </row>
    <row r="99" spans="4:12" ht="20.100000000000001" customHeight="1" x14ac:dyDescent="0.25">
      <c r="D99" s="21"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1"/>
      <c r="H99" s="21"/>
      <c r="I99" s="21"/>
      <c r="J99" s="21"/>
      <c r="K99" s="21"/>
      <c r="L99" s="21"/>
    </row>
    <row r="100" spans="4:12" ht="20.100000000000001" customHeight="1" x14ac:dyDescent="0.25">
      <c r="D100" s="21"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1"/>
      <c r="H100" s="21"/>
      <c r="I100" s="21"/>
      <c r="J100" s="21"/>
      <c r="K100" s="21"/>
      <c r="L100" s="21"/>
    </row>
    <row r="101" spans="4:12" ht="20.100000000000001" customHeight="1" x14ac:dyDescent="0.25">
      <c r="D101" s="21"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1"/>
      <c r="H101" s="21"/>
      <c r="I101" s="21"/>
      <c r="J101" s="21"/>
      <c r="K101" s="21"/>
      <c r="L101" s="21"/>
    </row>
    <row r="102" spans="4:12" ht="20.100000000000001" customHeight="1" x14ac:dyDescent="0.25">
      <c r="D102" s="21"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1"/>
      <c r="H102" s="21"/>
      <c r="I102" s="21"/>
      <c r="J102" s="21"/>
      <c r="K102" s="21"/>
      <c r="L102" s="21"/>
    </row>
    <row r="103" spans="4:12" ht="20.100000000000001" customHeight="1" x14ac:dyDescent="0.25">
      <c r="D103" s="21"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1"/>
      <c r="H103" s="21"/>
      <c r="I103" s="21"/>
      <c r="J103" s="21"/>
      <c r="K103" s="21"/>
      <c r="L103" s="21"/>
    </row>
    <row r="104" spans="4:12" ht="20.100000000000001" customHeight="1" x14ac:dyDescent="0.25">
      <c r="D104" s="21"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1"/>
      <c r="H104" s="21"/>
      <c r="I104" s="21"/>
      <c r="J104" s="21"/>
      <c r="K104" s="21"/>
      <c r="L104" s="21"/>
    </row>
    <row r="105" spans="4:12" ht="20.100000000000001" customHeight="1" x14ac:dyDescent="0.25">
      <c r="D105" s="21"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1"/>
      <c r="H105" s="21"/>
      <c r="I105" s="21"/>
      <c r="J105" s="21"/>
      <c r="K105" s="21"/>
      <c r="L105" s="21"/>
    </row>
    <row r="106" spans="4:12" ht="20.100000000000001" customHeight="1" x14ac:dyDescent="0.25">
      <c r="D106" s="21"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1"/>
      <c r="H106" s="21"/>
      <c r="I106" s="21"/>
      <c r="J106" s="21"/>
      <c r="K106" s="21"/>
      <c r="L106" s="21"/>
    </row>
    <row r="107" spans="4:12" ht="20.100000000000001" customHeight="1" x14ac:dyDescent="0.25">
      <c r="D107" s="21"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1"/>
      <c r="H107" s="21"/>
      <c r="I107" s="21"/>
      <c r="J107" s="21"/>
      <c r="K107" s="21"/>
      <c r="L107" s="21"/>
    </row>
    <row r="108" spans="4:12" ht="20.100000000000001" customHeight="1" x14ac:dyDescent="0.25">
      <c r="D108" s="21"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1"/>
      <c r="H108" s="21"/>
      <c r="I108" s="21"/>
      <c r="J108" s="21"/>
      <c r="K108" s="21"/>
      <c r="L108" s="21"/>
    </row>
    <row r="109" spans="4:12" ht="20.100000000000001" customHeight="1" x14ac:dyDescent="0.25">
      <c r="D109" s="21"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1"/>
      <c r="H109" s="21"/>
      <c r="I109" s="21"/>
      <c r="J109" s="21"/>
      <c r="K109" s="21"/>
      <c r="L109" s="21"/>
    </row>
    <row r="110" spans="4:12" ht="20.100000000000001" customHeight="1" x14ac:dyDescent="0.25">
      <c r="D110" s="21"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1"/>
      <c r="H110" s="21"/>
      <c r="I110" s="21"/>
      <c r="J110" s="21"/>
      <c r="K110" s="21"/>
      <c r="L110" s="21"/>
    </row>
    <row r="111" spans="4:12" ht="20.100000000000001" customHeight="1" x14ac:dyDescent="0.25">
      <c r="D111" s="21"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1"/>
      <c r="H111" s="21"/>
      <c r="I111" s="21"/>
      <c r="J111" s="21"/>
      <c r="K111" s="21"/>
      <c r="L111" s="21"/>
    </row>
    <row r="112" spans="4:12" ht="20.100000000000001" customHeight="1" x14ac:dyDescent="0.25">
      <c r="D112" s="21"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1"/>
      <c r="H112" s="21"/>
      <c r="I112" s="21"/>
      <c r="J112" s="21"/>
      <c r="K112" s="21"/>
      <c r="L112" s="21"/>
    </row>
    <row r="113" spans="4:12" ht="20.100000000000001" customHeight="1" x14ac:dyDescent="0.25">
      <c r="D113" s="21"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1"/>
      <c r="H113" s="21"/>
      <c r="I113" s="21"/>
      <c r="J113" s="21"/>
      <c r="K113" s="21"/>
      <c r="L113" s="21"/>
    </row>
    <row r="114" spans="4:12" ht="20.100000000000001" customHeight="1" x14ac:dyDescent="0.25">
      <c r="D114" s="21"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1"/>
      <c r="H114" s="21"/>
      <c r="I114" s="21"/>
      <c r="J114" s="21"/>
      <c r="K114" s="21"/>
      <c r="L114" s="21"/>
    </row>
    <row r="115" spans="4:12" ht="20.100000000000001" customHeight="1" x14ac:dyDescent="0.25">
      <c r="D115" s="21"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1"/>
      <c r="H115" s="21"/>
      <c r="I115" s="21"/>
      <c r="J115" s="21"/>
      <c r="K115" s="21"/>
      <c r="L115" s="21"/>
    </row>
    <row r="116" spans="4:12" ht="20.100000000000001" customHeight="1" x14ac:dyDescent="0.25">
      <c r="D116" s="21"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1"/>
      <c r="H116" s="21"/>
      <c r="I116" s="21"/>
      <c r="J116" s="21"/>
      <c r="K116" s="21"/>
      <c r="L116" s="21"/>
    </row>
    <row r="117" spans="4:12" ht="20.100000000000001" customHeight="1" x14ac:dyDescent="0.25">
      <c r="D117" s="21"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1"/>
      <c r="H117" s="21"/>
      <c r="I117" s="21"/>
      <c r="J117" s="21"/>
      <c r="K117" s="21"/>
      <c r="L117" s="21"/>
    </row>
    <row r="118" spans="4:12" ht="20.100000000000001" customHeight="1" x14ac:dyDescent="0.25">
      <c r="D118" s="21"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1"/>
      <c r="H118" s="21"/>
      <c r="I118" s="21"/>
      <c r="J118" s="21"/>
      <c r="K118" s="21"/>
      <c r="L118" s="21"/>
    </row>
    <row r="119" spans="4:12" ht="20.100000000000001" customHeight="1" x14ac:dyDescent="0.25">
      <c r="D119" s="21"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1"/>
      <c r="H119" s="21"/>
      <c r="I119" s="21"/>
      <c r="J119" s="21"/>
      <c r="K119" s="21"/>
      <c r="L119" s="21"/>
    </row>
    <row r="120" spans="4:12" ht="20.100000000000001" customHeight="1" x14ac:dyDescent="0.25">
      <c r="D120" s="21"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1"/>
      <c r="H120" s="21"/>
      <c r="I120" s="21"/>
      <c r="J120" s="21"/>
      <c r="K120" s="21"/>
      <c r="L120" s="21"/>
    </row>
    <row r="121" spans="4:12" ht="20.100000000000001" customHeight="1" x14ac:dyDescent="0.25">
      <c r="D121" s="21"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1"/>
      <c r="H121" s="21"/>
      <c r="I121" s="21"/>
      <c r="J121" s="21"/>
      <c r="K121" s="21"/>
      <c r="L121" s="21"/>
    </row>
    <row r="122" spans="4:12" ht="20.100000000000001" customHeight="1" x14ac:dyDescent="0.25">
      <c r="D122" s="21"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1"/>
      <c r="H122" s="21"/>
      <c r="I122" s="21"/>
      <c r="J122" s="21"/>
      <c r="K122" s="21"/>
      <c r="L122" s="21"/>
    </row>
    <row r="123" spans="4:12" ht="20.100000000000001" customHeight="1" x14ac:dyDescent="0.25">
      <c r="D123" s="21"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1"/>
      <c r="H123" s="21"/>
      <c r="I123" s="21"/>
      <c r="J123" s="21"/>
      <c r="K123" s="21"/>
      <c r="L123" s="21"/>
    </row>
    <row r="124" spans="4:12" ht="20.100000000000001" customHeight="1" x14ac:dyDescent="0.25">
      <c r="D124" s="21"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1"/>
      <c r="H124" s="21"/>
      <c r="I124" s="21"/>
      <c r="J124" s="21"/>
      <c r="K124" s="21"/>
      <c r="L124" s="21"/>
    </row>
    <row r="125" spans="4:12" ht="20.100000000000001" customHeight="1" x14ac:dyDescent="0.25">
      <c r="D125" s="21"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1"/>
      <c r="H125" s="21"/>
      <c r="I125" s="21"/>
      <c r="J125" s="21"/>
      <c r="K125" s="21"/>
      <c r="L125" s="21"/>
    </row>
    <row r="126" spans="4:12" ht="20.100000000000001" customHeight="1" x14ac:dyDescent="0.25">
      <c r="D126" s="21"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1"/>
      <c r="H126" s="21"/>
      <c r="I126" s="21"/>
      <c r="J126" s="21"/>
      <c r="K126" s="21"/>
      <c r="L126" s="21"/>
    </row>
    <row r="127" spans="4:12" ht="20.100000000000001" customHeight="1" x14ac:dyDescent="0.25">
      <c r="D127" s="21"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1"/>
      <c r="H127" s="21"/>
      <c r="I127" s="21"/>
      <c r="J127" s="21"/>
      <c r="K127" s="21"/>
      <c r="L127" s="21"/>
    </row>
    <row r="128" spans="4:12" ht="20.100000000000001" customHeight="1" x14ac:dyDescent="0.25">
      <c r="D128" s="21"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1"/>
      <c r="H128" s="21"/>
      <c r="I128" s="21"/>
      <c r="J128" s="21"/>
      <c r="K128" s="21"/>
      <c r="L128" s="21"/>
    </row>
    <row r="129" spans="4:12" ht="20.100000000000001" customHeight="1" x14ac:dyDescent="0.25">
      <c r="D129" s="21"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1"/>
      <c r="H129" s="21"/>
      <c r="I129" s="21"/>
      <c r="J129" s="21"/>
      <c r="K129" s="21"/>
      <c r="L129" s="21"/>
    </row>
    <row r="130" spans="4:12" ht="20.100000000000001" customHeight="1" x14ac:dyDescent="0.25">
      <c r="D130" s="21"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1"/>
      <c r="H130" s="21"/>
      <c r="I130" s="21"/>
      <c r="J130" s="21"/>
      <c r="K130" s="21"/>
      <c r="L130" s="21"/>
    </row>
    <row r="131" spans="4:12" ht="20.100000000000001" customHeight="1" x14ac:dyDescent="0.25">
      <c r="D131" s="21"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1"/>
      <c r="H131" s="21"/>
      <c r="I131" s="21"/>
      <c r="J131" s="21"/>
      <c r="K131" s="21"/>
      <c r="L131" s="21"/>
    </row>
    <row r="132" spans="4:12" ht="20.100000000000001" customHeight="1" x14ac:dyDescent="0.25">
      <c r="D132" s="21"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1"/>
      <c r="H132" s="21"/>
      <c r="I132" s="21"/>
      <c r="J132" s="21"/>
      <c r="K132" s="21"/>
      <c r="L132" s="21"/>
    </row>
    <row r="133" spans="4:12" ht="20.100000000000001" customHeight="1" x14ac:dyDescent="0.25">
      <c r="D133" s="21"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1"/>
      <c r="H133" s="21"/>
      <c r="I133" s="21"/>
      <c r="J133" s="21"/>
      <c r="K133" s="21"/>
      <c r="L133" s="21"/>
    </row>
    <row r="134" spans="4:12" ht="20.100000000000001" customHeight="1" x14ac:dyDescent="0.25">
      <c r="D134" s="21"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1"/>
      <c r="H134" s="21"/>
      <c r="I134" s="21"/>
      <c r="J134" s="21"/>
      <c r="K134" s="21"/>
      <c r="L134" s="21"/>
    </row>
    <row r="135" spans="4:12" ht="20.100000000000001" customHeight="1" x14ac:dyDescent="0.25">
      <c r="D135" s="21"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1"/>
      <c r="H135" s="21"/>
      <c r="I135" s="21"/>
      <c r="J135" s="21"/>
      <c r="K135" s="21"/>
      <c r="L135" s="21"/>
    </row>
    <row r="136" spans="4:12" ht="20.100000000000001" customHeight="1" x14ac:dyDescent="0.25">
      <c r="D136" s="21"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1"/>
      <c r="H136" s="21"/>
      <c r="I136" s="21"/>
      <c r="J136" s="21"/>
      <c r="K136" s="21"/>
      <c r="L136" s="21"/>
    </row>
    <row r="137" spans="4:12" ht="20.100000000000001" customHeight="1" x14ac:dyDescent="0.25">
      <c r="D137" s="21"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1"/>
      <c r="H137" s="21"/>
      <c r="I137" s="21"/>
      <c r="J137" s="21"/>
      <c r="K137" s="21"/>
      <c r="L137" s="21"/>
    </row>
    <row r="138" spans="4:12" ht="20.100000000000001" customHeight="1" x14ac:dyDescent="0.25">
      <c r="D138" s="21"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1"/>
      <c r="H138" s="21"/>
      <c r="I138" s="21"/>
      <c r="J138" s="21"/>
      <c r="K138" s="21"/>
      <c r="L138" s="21"/>
    </row>
    <row r="139" spans="4:12" ht="20.100000000000001" customHeight="1" x14ac:dyDescent="0.25">
      <c r="D139" s="21"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1"/>
      <c r="H139" s="21"/>
      <c r="I139" s="21"/>
      <c r="J139" s="21"/>
      <c r="K139" s="21"/>
      <c r="L139" s="21"/>
    </row>
    <row r="140" spans="4:12" ht="20.100000000000001" customHeight="1" x14ac:dyDescent="0.25">
      <c r="D140" s="21"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1"/>
      <c r="H140" s="21"/>
      <c r="I140" s="21"/>
      <c r="J140" s="21"/>
      <c r="K140" s="21"/>
      <c r="L140" s="21"/>
    </row>
    <row r="141" spans="4:12" ht="20.100000000000001" customHeight="1" x14ac:dyDescent="0.25">
      <c r="D141" s="21"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1"/>
      <c r="H141" s="21"/>
      <c r="I141" s="21"/>
      <c r="J141" s="21"/>
      <c r="K141" s="21"/>
      <c r="L141" s="21"/>
    </row>
    <row r="142" spans="4:12" ht="20.100000000000001" customHeight="1" x14ac:dyDescent="0.25">
      <c r="D142" s="21"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1"/>
      <c r="H142" s="21"/>
      <c r="I142" s="21"/>
      <c r="J142" s="21"/>
      <c r="K142" s="21"/>
      <c r="L142" s="21"/>
    </row>
    <row r="143" spans="4:12" ht="20.100000000000001" customHeight="1" x14ac:dyDescent="0.25">
      <c r="D143" s="21"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1"/>
      <c r="H143" s="21"/>
      <c r="I143" s="21"/>
      <c r="J143" s="21"/>
      <c r="K143" s="21"/>
      <c r="L143" s="21"/>
    </row>
    <row r="144" spans="4:12" ht="20.100000000000001" customHeight="1" x14ac:dyDescent="0.25">
      <c r="D144" s="21"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1"/>
      <c r="H144" s="21"/>
      <c r="I144" s="21"/>
      <c r="J144" s="21"/>
      <c r="K144" s="21"/>
      <c r="L144" s="21"/>
    </row>
    <row r="145" spans="4:12" ht="20.100000000000001" customHeight="1" x14ac:dyDescent="0.25">
      <c r="D145" s="21"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1"/>
      <c r="H145" s="21"/>
      <c r="I145" s="21"/>
      <c r="J145" s="21"/>
      <c r="K145" s="21"/>
      <c r="L145" s="21"/>
    </row>
    <row r="146" spans="4:12" ht="20.100000000000001" customHeight="1" x14ac:dyDescent="0.25">
      <c r="D146" s="21"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1"/>
      <c r="H146" s="21"/>
      <c r="I146" s="21"/>
      <c r="J146" s="21"/>
      <c r="K146" s="21"/>
      <c r="L146" s="21"/>
    </row>
    <row r="147" spans="4:12" ht="20.100000000000001" customHeight="1" x14ac:dyDescent="0.25">
      <c r="D147" s="21"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1"/>
      <c r="H147" s="21"/>
      <c r="I147" s="21"/>
      <c r="J147" s="21"/>
      <c r="K147" s="21"/>
      <c r="L147" s="21"/>
    </row>
    <row r="148" spans="4:12" ht="20.100000000000001" customHeight="1" x14ac:dyDescent="0.25">
      <c r="D148" s="21"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1"/>
      <c r="H148" s="21"/>
      <c r="I148" s="21"/>
      <c r="J148" s="21"/>
      <c r="K148" s="21"/>
      <c r="L148" s="21"/>
    </row>
    <row r="149" spans="4:12" ht="20.100000000000001" customHeight="1" x14ac:dyDescent="0.25">
      <c r="D149" s="21"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1"/>
      <c r="H149" s="21"/>
      <c r="I149" s="21"/>
      <c r="J149" s="21"/>
      <c r="K149" s="21"/>
      <c r="L149" s="21"/>
    </row>
    <row r="150" spans="4:12" ht="20.100000000000001" customHeight="1" x14ac:dyDescent="0.25">
      <c r="D150" s="21"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1"/>
      <c r="H150" s="21"/>
      <c r="I150" s="21"/>
      <c r="J150" s="21"/>
      <c r="K150" s="21"/>
      <c r="L150" s="21"/>
    </row>
    <row r="151" spans="4:12" ht="20.100000000000001" customHeight="1" x14ac:dyDescent="0.25">
      <c r="D151" s="21"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1"/>
      <c r="H151" s="21"/>
      <c r="I151" s="21"/>
      <c r="J151" s="21"/>
      <c r="K151" s="21"/>
      <c r="L151" s="21"/>
    </row>
    <row r="152" spans="4:12" ht="20.100000000000001" customHeight="1" x14ac:dyDescent="0.25">
      <c r="D152" s="21"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1"/>
      <c r="H152" s="21"/>
      <c r="I152" s="21"/>
      <c r="J152" s="21"/>
      <c r="K152" s="21"/>
      <c r="L152" s="21"/>
    </row>
    <row r="153" spans="4:12" ht="20.100000000000001" customHeight="1" x14ac:dyDescent="0.25">
      <c r="D153" s="21"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1"/>
      <c r="H153" s="21"/>
      <c r="I153" s="21"/>
      <c r="J153" s="21"/>
      <c r="K153" s="21"/>
      <c r="L153" s="21"/>
    </row>
    <row r="154" spans="4:12" ht="20.100000000000001" customHeight="1" x14ac:dyDescent="0.25">
      <c r="D154" s="21"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1"/>
      <c r="H154" s="21"/>
      <c r="I154" s="21"/>
      <c r="J154" s="21"/>
      <c r="K154" s="21"/>
      <c r="L154" s="21"/>
    </row>
    <row r="155" spans="4:12" ht="20.100000000000001" customHeight="1" x14ac:dyDescent="0.25">
      <c r="D155" s="21"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1"/>
      <c r="H155" s="21"/>
      <c r="I155" s="21"/>
      <c r="J155" s="21"/>
      <c r="K155" s="21"/>
      <c r="L155" s="21"/>
    </row>
    <row r="156" spans="4:12" ht="20.100000000000001" customHeight="1" x14ac:dyDescent="0.25">
      <c r="D156" s="21"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1"/>
      <c r="H156" s="21"/>
      <c r="I156" s="21"/>
      <c r="J156" s="21"/>
      <c r="K156" s="21"/>
      <c r="L156" s="21"/>
    </row>
    <row r="157" spans="4:12" ht="20.100000000000001" customHeight="1" x14ac:dyDescent="0.25">
      <c r="D157" s="21"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1"/>
      <c r="H157" s="21"/>
      <c r="I157" s="21"/>
      <c r="J157" s="21"/>
      <c r="K157" s="21"/>
      <c r="L157" s="21"/>
    </row>
    <row r="158" spans="4:12" ht="20.100000000000001" customHeight="1" x14ac:dyDescent="0.25">
      <c r="D158" s="21"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1"/>
      <c r="H158" s="21"/>
      <c r="I158" s="21"/>
      <c r="J158" s="21"/>
      <c r="K158" s="21"/>
      <c r="L158" s="21"/>
    </row>
    <row r="159" spans="4:12" ht="20.100000000000001" customHeight="1" x14ac:dyDescent="0.25">
      <c r="D159" s="21"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1"/>
      <c r="H159" s="21"/>
      <c r="I159" s="21"/>
      <c r="J159" s="21"/>
      <c r="K159" s="21"/>
      <c r="L159" s="21"/>
    </row>
    <row r="160" spans="4:12" ht="20.100000000000001" customHeight="1" x14ac:dyDescent="0.25">
      <c r="D160" s="21"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1"/>
      <c r="H160" s="21"/>
      <c r="I160" s="21"/>
      <c r="J160" s="21"/>
      <c r="K160" s="21"/>
      <c r="L160" s="21"/>
    </row>
    <row r="161" spans="4:12" ht="20.100000000000001" customHeight="1" x14ac:dyDescent="0.25">
      <c r="D161" s="21"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1"/>
      <c r="H161" s="21"/>
      <c r="I161" s="21"/>
      <c r="J161" s="21"/>
      <c r="K161" s="21"/>
      <c r="L161" s="21"/>
    </row>
    <row r="162" spans="4:12" ht="20.100000000000001" customHeight="1" x14ac:dyDescent="0.25">
      <c r="D162" s="21"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1"/>
      <c r="H162" s="21"/>
      <c r="I162" s="21"/>
      <c r="J162" s="21"/>
      <c r="K162" s="21"/>
      <c r="L162" s="21"/>
    </row>
    <row r="163" spans="4:12" ht="20.100000000000001" customHeight="1" x14ac:dyDescent="0.25">
      <c r="D163" s="21"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1"/>
      <c r="H163" s="21"/>
      <c r="I163" s="21"/>
      <c r="J163" s="21"/>
      <c r="K163" s="21"/>
      <c r="L163" s="21"/>
    </row>
    <row r="164" spans="4:12" ht="20.100000000000001" customHeight="1" x14ac:dyDescent="0.25">
      <c r="D164" s="21"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1"/>
      <c r="H164" s="21"/>
      <c r="I164" s="21"/>
      <c r="J164" s="21"/>
      <c r="K164" s="21"/>
      <c r="L164" s="21"/>
    </row>
    <row r="165" spans="4:12" ht="20.100000000000001" customHeight="1" x14ac:dyDescent="0.25">
      <c r="D165" s="21"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1"/>
      <c r="H165" s="21"/>
      <c r="I165" s="21"/>
      <c r="J165" s="21"/>
      <c r="K165" s="21"/>
      <c r="L165" s="21"/>
    </row>
    <row r="166" spans="4:12" x14ac:dyDescent="0.25">
      <c r="D166" s="21"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1"/>
      <c r="H166" s="21"/>
      <c r="I166" s="21"/>
      <c r="J166" s="21"/>
      <c r="K166" s="21"/>
      <c r="L166" s="21"/>
    </row>
    <row r="167" spans="4:12" x14ac:dyDescent="0.25">
      <c r="D167" s="21"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1"/>
      <c r="H167" s="21"/>
      <c r="I167" s="21"/>
      <c r="J167" s="21"/>
      <c r="K167" s="21"/>
      <c r="L167" s="21"/>
    </row>
    <row r="168" spans="4:12" x14ac:dyDescent="0.25">
      <c r="D168" s="21"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1"/>
      <c r="H168" s="21"/>
      <c r="I168" s="21"/>
      <c r="J168" s="21"/>
      <c r="K168" s="21"/>
      <c r="L168" s="21"/>
    </row>
    <row r="169" spans="4:12" x14ac:dyDescent="0.25">
      <c r="D169" s="21"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1"/>
      <c r="H169" s="21"/>
      <c r="I169" s="21"/>
      <c r="J169" s="21"/>
      <c r="K169" s="21"/>
      <c r="L169" s="21"/>
    </row>
    <row r="170" spans="4:12" x14ac:dyDescent="0.25">
      <c r="D170" s="21"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1"/>
      <c r="H170" s="21"/>
      <c r="I170" s="21"/>
      <c r="J170" s="21"/>
      <c r="K170" s="21"/>
      <c r="L170" s="21"/>
    </row>
    <row r="171" spans="4:12" x14ac:dyDescent="0.25">
      <c r="D171" s="21"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1"/>
      <c r="H171" s="21"/>
      <c r="I171" s="21"/>
      <c r="J171" s="21"/>
      <c r="K171" s="21"/>
      <c r="L171" s="21"/>
    </row>
    <row r="172" spans="4:12" x14ac:dyDescent="0.25">
      <c r="D172" s="21"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1"/>
      <c r="H172" s="21"/>
      <c r="I172" s="21"/>
      <c r="J172" s="21"/>
      <c r="K172" s="21"/>
      <c r="L172" s="21"/>
    </row>
    <row r="173" spans="4:12" x14ac:dyDescent="0.25">
      <c r="D173" s="21"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1"/>
      <c r="H173" s="21"/>
      <c r="I173" s="21"/>
      <c r="J173" s="21"/>
      <c r="K173" s="21"/>
      <c r="L173" s="21"/>
    </row>
    <row r="174" spans="4:12" x14ac:dyDescent="0.25">
      <c r="D174" s="21"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1"/>
      <c r="H174" s="21"/>
      <c r="I174" s="21"/>
      <c r="J174" s="21"/>
      <c r="K174" s="21"/>
      <c r="L174" s="21"/>
    </row>
    <row r="175" spans="4:12" x14ac:dyDescent="0.25">
      <c r="D175" s="21"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1"/>
      <c r="H175" s="21"/>
      <c r="I175" s="21"/>
      <c r="J175" s="21"/>
      <c r="K175" s="21"/>
      <c r="L175" s="21"/>
    </row>
    <row r="176" spans="4:12" x14ac:dyDescent="0.25">
      <c r="D176" s="21"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1"/>
      <c r="H176" s="21"/>
      <c r="I176" s="21"/>
      <c r="J176" s="21"/>
      <c r="K176" s="21"/>
      <c r="L176" s="21"/>
    </row>
    <row r="177" spans="4:12" x14ac:dyDescent="0.25">
      <c r="D177" s="21"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1"/>
      <c r="H177" s="21"/>
      <c r="I177" s="21"/>
      <c r="J177" s="21"/>
      <c r="K177" s="21"/>
      <c r="L177" s="21"/>
    </row>
    <row r="178" spans="4:12" x14ac:dyDescent="0.25">
      <c r="D178" s="21"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1"/>
      <c r="H178" s="21"/>
      <c r="I178" s="21"/>
      <c r="J178" s="21"/>
      <c r="K178" s="21"/>
      <c r="L178" s="21"/>
    </row>
    <row r="179" spans="4:12" x14ac:dyDescent="0.25">
      <c r="D179" s="21"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1"/>
      <c r="H179" s="21"/>
      <c r="I179" s="21"/>
      <c r="J179" s="21"/>
      <c r="K179" s="21"/>
      <c r="L179" s="21"/>
    </row>
    <row r="180" spans="4:12" x14ac:dyDescent="0.25">
      <c r="D180" s="21"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1"/>
      <c r="H180" s="21"/>
      <c r="I180" s="21"/>
      <c r="J180" s="21"/>
      <c r="K180" s="21"/>
      <c r="L180" s="21"/>
    </row>
    <row r="181" spans="4:12" x14ac:dyDescent="0.25">
      <c r="D181" s="21"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1"/>
      <c r="H181" s="21"/>
      <c r="I181" s="21"/>
      <c r="J181" s="21"/>
      <c r="K181" s="21"/>
      <c r="L181" s="21"/>
    </row>
    <row r="182" spans="4:12" x14ac:dyDescent="0.25">
      <c r="D182" s="21"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1"/>
      <c r="H182" s="21"/>
      <c r="I182" s="21"/>
      <c r="J182" s="21"/>
      <c r="K182" s="21"/>
      <c r="L182" s="21"/>
    </row>
    <row r="183" spans="4:12" x14ac:dyDescent="0.25">
      <c r="D183" s="21"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1"/>
      <c r="H183" s="21"/>
      <c r="I183" s="21"/>
      <c r="J183" s="21"/>
      <c r="K183" s="21"/>
      <c r="L183" s="21"/>
    </row>
    <row r="184" spans="4:12" x14ac:dyDescent="0.25">
      <c r="D184" s="21"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1"/>
      <c r="H184" s="21"/>
      <c r="I184" s="21"/>
      <c r="J184" s="21"/>
      <c r="K184" s="21"/>
      <c r="L184" s="21"/>
    </row>
    <row r="185" spans="4:12" x14ac:dyDescent="0.25">
      <c r="D185" s="21"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1"/>
      <c r="H185" s="21"/>
      <c r="I185" s="21"/>
      <c r="J185" s="21"/>
      <c r="K185" s="21"/>
      <c r="L185" s="21"/>
    </row>
    <row r="186" spans="4:12" x14ac:dyDescent="0.25">
      <c r="D186" s="21"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1"/>
      <c r="H186" s="21"/>
      <c r="I186" s="21"/>
      <c r="J186" s="21"/>
      <c r="K186" s="21"/>
      <c r="L186" s="21"/>
    </row>
    <row r="187" spans="4:12" x14ac:dyDescent="0.25">
      <c r="D187" s="21"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1"/>
      <c r="H187" s="21"/>
      <c r="I187" s="21"/>
      <c r="J187" s="21"/>
      <c r="K187" s="21"/>
      <c r="L187" s="21"/>
    </row>
    <row r="188" spans="4:12" x14ac:dyDescent="0.25">
      <c r="D188" s="21"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1"/>
      <c r="H188" s="21"/>
      <c r="I188" s="21"/>
      <c r="J188" s="21"/>
      <c r="K188" s="21"/>
      <c r="L188" s="21"/>
    </row>
    <row r="189" spans="4:12" x14ac:dyDescent="0.25">
      <c r="D189" s="21"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1"/>
      <c r="H189" s="21"/>
      <c r="I189" s="21"/>
      <c r="J189" s="21"/>
      <c r="K189" s="21"/>
      <c r="L189" s="21"/>
    </row>
    <row r="190" spans="4:12" x14ac:dyDescent="0.25">
      <c r="D190" s="21"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1"/>
      <c r="H190" s="21"/>
      <c r="I190" s="21"/>
      <c r="J190" s="21"/>
      <c r="K190" s="21"/>
      <c r="L190" s="21"/>
    </row>
    <row r="191" spans="4:12" x14ac:dyDescent="0.25">
      <c r="D191" s="21"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1"/>
      <c r="H191" s="21"/>
      <c r="I191" s="21"/>
      <c r="J191" s="21"/>
      <c r="K191" s="21"/>
      <c r="L191" s="21"/>
    </row>
    <row r="192" spans="4:12" x14ac:dyDescent="0.25">
      <c r="D192" s="21"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1"/>
      <c r="H192" s="21"/>
      <c r="I192" s="21"/>
      <c r="J192" s="21"/>
      <c r="K192" s="21"/>
      <c r="L192" s="21"/>
    </row>
    <row r="193" spans="4:12" x14ac:dyDescent="0.25">
      <c r="D193" s="21"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1"/>
      <c r="H193" s="21"/>
      <c r="I193" s="21"/>
      <c r="J193" s="21"/>
      <c r="K193" s="21"/>
      <c r="L193" s="21"/>
    </row>
    <row r="194" spans="4:12" x14ac:dyDescent="0.25">
      <c r="D194" s="21"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1"/>
      <c r="H194" s="21"/>
      <c r="I194" s="21"/>
      <c r="J194" s="21"/>
      <c r="K194" s="21"/>
      <c r="L194" s="21"/>
    </row>
    <row r="195" spans="4:12" x14ac:dyDescent="0.25">
      <c r="D195" s="21"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1"/>
      <c r="H195" s="21"/>
      <c r="I195" s="21"/>
      <c r="J195" s="21"/>
      <c r="K195" s="21"/>
      <c r="L195" s="21"/>
    </row>
    <row r="196" spans="4:12" x14ac:dyDescent="0.25">
      <c r="D196" s="21"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1"/>
      <c r="H196" s="21"/>
      <c r="I196" s="21"/>
      <c r="J196" s="21"/>
      <c r="K196" s="21"/>
      <c r="L196" s="21"/>
    </row>
    <row r="197" spans="4:12" x14ac:dyDescent="0.25">
      <c r="D197" s="21"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1"/>
      <c r="H197" s="21"/>
      <c r="I197" s="21"/>
      <c r="J197" s="21"/>
      <c r="K197" s="21"/>
      <c r="L197" s="21"/>
    </row>
    <row r="198" spans="4:12" x14ac:dyDescent="0.25">
      <c r="D198" s="21"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1"/>
      <c r="H198" s="21"/>
      <c r="I198" s="21"/>
      <c r="J198" s="21"/>
      <c r="K198" s="21"/>
      <c r="L198" s="21"/>
    </row>
    <row r="199" spans="4:12" x14ac:dyDescent="0.25">
      <c r="D199" s="21"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1"/>
      <c r="H199" s="21"/>
      <c r="I199" s="21"/>
      <c r="J199" s="21"/>
      <c r="K199" s="21"/>
      <c r="L199" s="21"/>
    </row>
    <row r="200" spans="4:12" x14ac:dyDescent="0.25">
      <c r="D200" s="21"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1"/>
      <c r="H200" s="21"/>
      <c r="I200" s="21"/>
      <c r="J200" s="21"/>
      <c r="K200" s="21"/>
      <c r="L200" s="21"/>
    </row>
    <row r="201" spans="4:12" x14ac:dyDescent="0.25">
      <c r="D201" s="21"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1"/>
      <c r="H201" s="21"/>
      <c r="I201" s="21"/>
      <c r="J201" s="21"/>
      <c r="K201" s="21"/>
      <c r="L201" s="21"/>
    </row>
    <row r="202" spans="4:12" x14ac:dyDescent="0.25">
      <c r="D202" s="21"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1"/>
      <c r="H202" s="21"/>
      <c r="I202" s="21"/>
      <c r="J202" s="21"/>
      <c r="K202" s="21"/>
      <c r="L202" s="21"/>
    </row>
    <row r="203" spans="4:12" x14ac:dyDescent="0.25">
      <c r="D203" s="21"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1"/>
      <c r="H203" s="21"/>
      <c r="I203" s="21"/>
      <c r="J203" s="21"/>
      <c r="K203" s="21"/>
      <c r="L203" s="21"/>
    </row>
    <row r="204" spans="4:12" x14ac:dyDescent="0.25">
      <c r="D204" s="21"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1"/>
      <c r="H204" s="21"/>
      <c r="I204" s="21"/>
      <c r="J204" s="21"/>
      <c r="K204" s="21"/>
      <c r="L204" s="21"/>
    </row>
    <row r="205" spans="4:12" x14ac:dyDescent="0.25">
      <c r="D205" s="21"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1"/>
      <c r="H205" s="21"/>
      <c r="I205" s="21"/>
      <c r="J205" s="21"/>
      <c r="K205" s="21"/>
      <c r="L205" s="21"/>
    </row>
    <row r="206" spans="4:12" x14ac:dyDescent="0.25">
      <c r="D206" s="21"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1"/>
      <c r="H206" s="21"/>
      <c r="I206" s="21"/>
      <c r="J206" s="21"/>
      <c r="K206" s="21"/>
      <c r="L206" s="21"/>
    </row>
    <row r="207" spans="4:12" x14ac:dyDescent="0.25">
      <c r="D207" s="21"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1"/>
      <c r="H207" s="21"/>
      <c r="I207" s="21"/>
      <c r="J207" s="21"/>
      <c r="K207" s="21"/>
      <c r="L207" s="21"/>
    </row>
    <row r="208" spans="4:12" x14ac:dyDescent="0.25">
      <c r="D208" s="21"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1"/>
      <c r="H208" s="21"/>
      <c r="I208" s="21"/>
      <c r="J208" s="21"/>
      <c r="K208" s="21"/>
      <c r="L208" s="21"/>
    </row>
    <row r="209" spans="4:12" x14ac:dyDescent="0.25">
      <c r="D209" s="21"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1"/>
      <c r="H209" s="21"/>
      <c r="I209" s="21"/>
      <c r="J209" s="21"/>
      <c r="K209" s="21"/>
      <c r="L209" s="21"/>
    </row>
    <row r="210" spans="4:12" x14ac:dyDescent="0.25">
      <c r="D210" s="21"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1"/>
      <c r="H210" s="21"/>
      <c r="I210" s="21"/>
      <c r="J210" s="21"/>
      <c r="K210" s="21"/>
      <c r="L210" s="21"/>
    </row>
    <row r="211" spans="4:12" x14ac:dyDescent="0.25">
      <c r="D211" s="21"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1"/>
      <c r="H211" s="21"/>
      <c r="I211" s="21"/>
      <c r="J211" s="21"/>
      <c r="K211" s="21"/>
      <c r="L211" s="21"/>
    </row>
    <row r="212" spans="4:12" x14ac:dyDescent="0.25">
      <c r="D212" s="21"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1"/>
      <c r="H212" s="21"/>
      <c r="I212" s="21"/>
      <c r="J212" s="21"/>
      <c r="K212" s="21"/>
      <c r="L212" s="21"/>
    </row>
    <row r="213" spans="4:12" x14ac:dyDescent="0.25">
      <c r="D213" s="21"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1"/>
      <c r="H213" s="21"/>
      <c r="I213" s="21"/>
      <c r="J213" s="21"/>
      <c r="K213" s="21"/>
      <c r="L213" s="21"/>
    </row>
    <row r="214" spans="4:12" x14ac:dyDescent="0.25">
      <c r="D214" s="21"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1"/>
      <c r="H214" s="21"/>
      <c r="I214" s="21"/>
      <c r="J214" s="21"/>
    </row>
    <row r="215" spans="4:12" x14ac:dyDescent="0.25">
      <c r="D215" s="21"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1"/>
      <c r="H215" s="21"/>
      <c r="I215" s="21"/>
      <c r="J215" s="21"/>
    </row>
    <row r="216" spans="4:12" x14ac:dyDescent="0.25">
      <c r="D216" s="21"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1"/>
      <c r="H216" s="21"/>
      <c r="I216" s="21"/>
      <c r="J216" s="21"/>
    </row>
    <row r="217" spans="4:12" x14ac:dyDescent="0.25">
      <c r="D217" s="21"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1"/>
      <c r="H217" s="21"/>
      <c r="I217" s="21"/>
      <c r="J217" s="21"/>
    </row>
    <row r="218" spans="4:12" x14ac:dyDescent="0.25">
      <c r="D218" s="21"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1"/>
      <c r="H218" s="21"/>
      <c r="I218" s="21"/>
      <c r="J218" s="21"/>
    </row>
    <row r="219" spans="4:12" x14ac:dyDescent="0.25">
      <c r="D219" s="21"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1"/>
      <c r="H219" s="21"/>
      <c r="I219" s="21"/>
      <c r="J219" s="21"/>
    </row>
    <row r="220" spans="4:12" x14ac:dyDescent="0.25">
      <c r="D220" s="21"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1"/>
      <c r="H220" s="21"/>
      <c r="I220" s="21"/>
      <c r="J220" s="21"/>
    </row>
    <row r="221" spans="4:12" x14ac:dyDescent="0.25">
      <c r="D221" s="21"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1"/>
      <c r="H221" s="21"/>
      <c r="I221" s="21"/>
      <c r="J221" s="21"/>
    </row>
    <row r="222" spans="4:12" x14ac:dyDescent="0.25">
      <c r="D222" s="21"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1"/>
      <c r="H222" s="21"/>
      <c r="I222" s="21"/>
      <c r="J222" s="21"/>
    </row>
    <row r="223" spans="4:12" x14ac:dyDescent="0.25">
      <c r="D223" s="21"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1"/>
      <c r="H223" s="21"/>
      <c r="I223" s="21"/>
      <c r="J223" s="21"/>
    </row>
    <row r="224" spans="4:12" x14ac:dyDescent="0.25">
      <c r="D224" s="21"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1"/>
      <c r="H224" s="21"/>
      <c r="I224" s="21"/>
      <c r="J224" s="21"/>
    </row>
    <row r="225" spans="4:10" x14ac:dyDescent="0.25">
      <c r="D225" s="21"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1"/>
      <c r="H225" s="21"/>
      <c r="I225" s="21"/>
      <c r="J225" s="21"/>
    </row>
    <row r="226" spans="4:10" x14ac:dyDescent="0.25">
      <c r="D226" s="21"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1"/>
      <c r="H226" s="21"/>
      <c r="I226" s="21"/>
      <c r="J226" s="21"/>
    </row>
    <row r="227" spans="4:10" x14ac:dyDescent="0.25">
      <c r="D227" s="21"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1"/>
      <c r="H227" s="21"/>
      <c r="I227" s="21"/>
      <c r="J227" s="21"/>
    </row>
    <row r="228" spans="4:10" x14ac:dyDescent="0.25">
      <c r="D228" s="21"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1"/>
      <c r="H228" s="21"/>
    </row>
    <row r="229" spans="4:10" x14ac:dyDescent="0.25">
      <c r="D229" s="21"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1"/>
    </row>
    <row r="230" spans="4:10" x14ac:dyDescent="0.25">
      <c r="D230" s="21"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1"/>
    </row>
    <row r="231" spans="4:10" x14ac:dyDescent="0.25">
      <c r="D231" s="21"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1"/>
    </row>
    <row r="232" spans="4:10" x14ac:dyDescent="0.25">
      <c r="D232" s="21"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1"/>
    </row>
    <row r="233" spans="4:10" x14ac:dyDescent="0.25">
      <c r="D233" s="21"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1"/>
    </row>
    <row r="234" spans="4:10" x14ac:dyDescent="0.25">
      <c r="D234" s="21"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1"/>
    </row>
    <row r="235" spans="4:10" x14ac:dyDescent="0.25">
      <c r="D235" s="21"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1"/>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7930-E77D-466C-952D-4504FA818AAA}">
  <dimension ref="A1:BY259"/>
  <sheetViews>
    <sheetView showGridLines="0" topLeftCell="A86" zoomScaleNormal="100" workbookViewId="0">
      <selection activeCell="A24" sqref="A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67</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15</v>
      </c>
      <c r="E6" s="36" t="s">
        <v>16</v>
      </c>
      <c r="F6" s="36" t="s">
        <v>17</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Crop'!A1", "Crop")</f>
        <v>Crop</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s="17" t="str">
        <f>HYPERLINK("#'Input - Pasture'!A1", "Pasture")</f>
        <v>Pasture</v>
      </c>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8" t="s">
        <v>66</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HYPERLINK("#'6.1.1.1-2 Crop residue N2O'!A1", "6.1.1.1-2 Crop residue N2O")</f>
        <v>6.1.1.1-2 Crop residue N2O</v>
      </c>
    </row>
    <row r="16" spans="1:65" ht="20.100000000000001" customHeight="1" x14ac:dyDescent="0.25">
      <c r="A16" s="17" t="str">
        <f>HYPERLINK("#'6.2.1.1-2 Pasture residue N2O'!A1", "6.2.1.1-2 Pasture residue N2O")</f>
        <v>6.2.1.1-2 Pasture residue N2O</v>
      </c>
    </row>
    <row r="17" spans="1:4" ht="20.100000000000001" customHeight="1" x14ac:dyDescent="0.25">
      <c r="A17" s="17" t="str">
        <f>HYPERLINK("#'6.3.1.1-2 Leaching and runoff'!A1", "6.3.1.1-2 Leaching and runoff")</f>
        <v>6.3.1.1-2 Leaching and runoff</v>
      </c>
    </row>
    <row r="18" spans="1:4" ht="20.100000000000001" customHeight="1" x14ac:dyDescent="0.25">
      <c r="A18" s="17" t="str">
        <f>HYPERLINK("#'6.3.1.1-2 Leach runoff crop'!A1", "6.3.1.1-2 Leach runoff crop")</f>
        <v>6.3.1.1-2 Leach runoff crop</v>
      </c>
      <c r="D18" s="6" t="str" cm="1">
        <f t="array" ref="D18">Common_SourceData.Common_SourceData_WASA4Areas_Title()</f>
        <v>ABS Statistcal Areas Level 4 - Western Australia</v>
      </c>
    </row>
    <row r="19" spans="1:4" ht="20.100000000000001" customHeight="1" x14ac:dyDescent="0.25">
      <c r="A19" s="17" t="str">
        <f>HYPERLINK("#'6.3.1.1-2 Leach runoff pasture'!A1", "6.3.1.1-2 Leach runoff pasture")</f>
        <v>6.3.1.1-2 Leach runoff pasture</v>
      </c>
      <c r="D19" s="5" t="str" cm="1">
        <f t="array" ref="D19">Common_SourceData.Common_SourceData_WASA4Areas_Source()</f>
        <v>Australian Bureau of Statistics (ABS) - Statistical Areas Level 2 - 2021 - Shapefile</v>
      </c>
    </row>
    <row r="20" spans="1:4" ht="20.100000000000001" customHeight="1" x14ac:dyDescent="0.25">
      <c r="A20" s="17" t="str">
        <f>HYPERLINK("#'6.4.1.1-2 Residue burning'!A1", "6.4.1.1-2 Residue burning")</f>
        <v>6.4.1.1-2 Residue burning</v>
      </c>
      <c r="D20" s="36" t="s">
        <v>18</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s="141" t="s">
        <v>1</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HYPERLINK("#'Constants - Ag Residue'!A1", "Constants - Ag Residue")</f>
        <v>Constants - Ag Residue</v>
      </c>
      <c r="D24" s="36" t="str" cm="1">
        <f t="array" ref="D24">Common_InputFunctions.Utility_DisplayArrayInTable(Common_SourceData.Common_SourceData_WASA4Areas_Data(), Table_WASA4Areas[[#Headers],[SA 4 Name]], 0)</f>
        <v>Perth - North East</v>
      </c>
    </row>
    <row r="25" spans="1:4" ht="20.100000000000001" customHeight="1" x14ac:dyDescent="0.25">
      <c r="A25" s="128" t="str">
        <f>HYPERLINK("#'Constants - Common'!A1", "Constants - Common")</f>
        <v>Constants - Common</v>
      </c>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21</v>
      </c>
      <c r="E47" s="36" t="s">
        <v>24</v>
      </c>
      <c r="F47" s="36" t="s">
        <v>25</v>
      </c>
      <c r="G47" s="36" t="s">
        <v>26</v>
      </c>
      <c r="H47" s="36" t="s">
        <v>27</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6</v>
      </c>
      <c r="E63" s="36" t="s">
        <v>42</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6</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49</v>
      </c>
      <c r="E109" s="36" t="s">
        <v>30</v>
      </c>
      <c r="F109" s="36" t="s">
        <v>50</v>
      </c>
      <c r="G109" s="36" t="s">
        <v>51</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52</v>
      </c>
      <c r="E119" s="36" t="s">
        <v>53</v>
      </c>
      <c r="F119" s="36" t="s">
        <v>37</v>
      </c>
      <c r="G119" s="36" t="s">
        <v>38</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59</v>
      </c>
      <c r="E127" s="36" t="s">
        <v>60</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71</v>
      </c>
      <c r="E134" t="s">
        <v>72</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88</v>
      </c>
      <c r="E142" s="36" t="s">
        <v>72</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61</v>
      </c>
      <c r="E153" s="36" t="s">
        <v>62</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80</v>
      </c>
      <c r="E186" s="36" t="s">
        <v>81</v>
      </c>
      <c r="F186" s="36" t="s">
        <v>82</v>
      </c>
      <c r="G186" s="36" t="s">
        <v>83</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6</v>
      </c>
      <c r="E206" s="36" t="s">
        <v>90</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87</v>
      </c>
      <c r="E212" s="36" t="s">
        <v>95</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109</v>
      </c>
      <c r="F231" s="35" t="s">
        <v>110</v>
      </c>
      <c r="G231" s="36" t="s">
        <v>101</v>
      </c>
      <c r="H231" s="36" t="s">
        <v>111</v>
      </c>
      <c r="I231" s="36" t="s">
        <v>112</v>
      </c>
      <c r="J231" s="36" t="s">
        <v>100</v>
      </c>
      <c r="K231" s="36" t="s">
        <v>99</v>
      </c>
      <c r="L231" s="36" t="s">
        <v>113</v>
      </c>
      <c r="M231" s="36" t="s">
        <v>114</v>
      </c>
      <c r="N231" s="36" t="s">
        <v>98</v>
      </c>
      <c r="O231" s="36" t="s">
        <v>115</v>
      </c>
      <c r="P231" s="36" t="s">
        <v>103</v>
      </c>
      <c r="Q231" s="36" t="s">
        <v>104</v>
      </c>
      <c r="R231" s="36" t="s">
        <v>102</v>
      </c>
      <c r="S231" s="36" t="s">
        <v>116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117</v>
      </c>
      <c r="E257" s="36" t="s">
        <v>118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AnAE4ALwBBAC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AnAEEAbABsACAAbwB0AGgAZQByACAAYwByAG8AcAAgAHQAeQBwAGUAcwAnACAAaQBuAHQAbwAgAGkAbgBkAGkAdgBpAGQAdQBhAGwAIABjAHIAbwBwACAAdAB5AHAAZQBzACAAZgBvAHIAIABlAGEAYwBoACAAcwB0AGEAdABlAC4AIABMAGkAcwB0AGUAZAAgAGEAbABsACAAcwB0AGEAdABlAHMAIABmAG8AcgAgAFMAdQBnAGEAcgAgAEMAYQBuAGUALAAgAHcAaQB0AGgAIAAnAE4ALwBBAC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BAGcAcgBlAHMAaQBkAHUAZQBfAFMAbwB1AHIAYwBlAEQAYQB0AGEALgBDAHIAbwBwAFAAdQByAHAAbwBzAGUAQQBuAGQAWQBpAGUAbABkAF8AVABpAHQAbABlACIALAAiAEEAZwByAGUAcwBpAGQAdQBlAF8AUwBvAHUAcgBjAGUARABhAHQAYQAuAEMAcgBvAHAAUAB1AHIAcABvAHMAZQBBAG4AZABZAGkAZQBsAGQAXwBEAGEAdABhACIALAAiAEEAZwByAGUAcwBpAGQAdQBlAF8AUwBvAHUAcgBjAGUARABhAHQAYQAuAEMAcgBvAHAAQQB0AHQAcgBpAGIAdQB0AGUAcwBfAFQAaQB0AGwAZQAiACwAIgBBAGcAcgBlAHMAaQBkAHUAZQBfAFMAbwB1AHIAYwBlAEQAYQB0AGEALgBDAHIAbwBwAEEAdAB0AHIAaQBiAHUAdABlAHMAXwBEAGUAcwBjAHIAaQBwAHQAaQBvAG4AIgAsACIAQQBnAHIAZQBzAGkAZAB1AGUAXwBTAG8AdQByAGMAZQBEAGEAdABhAC4AQwByAG8AcABBAHQAdAByAGkAYgB1AHQAZQBzAF8AUwBvAHUAcgBjAGUAIgAsACIAQQBnAHIAZQBzAGkAZAB1AGUAXwBTAG8AdQByAGMAZQBEAGEAdABhAC4AQwByAG8AcABBAHQAdAByAGkAYgB1AHQAZQBzAF8ARABhAHQAYQAiACwAIgBBAGcAcgBlAHMAaQBkAHUAZQBfAFMAbwB1AHIAYwBlAEQAYQB0AGEALgBDAHIAbwBwAEEAdAB0AHIAaQBiAHUAdABlAHMAXwBWAGEAcgBpAGEAdABpAG8AbgAiACwAIgBBAGcAcgBlAHMAaQBkAHUAZQBfAFMAbwB1AHIAYwBlAEQAYQB0AGEALgBDAHIAbwBwAEYAcgBhAGMAdABpAG8AbgBSAGUAbQBvAHYAZQBkAF8AVABpAHQAbABlACIALAAiAEEAZwByAGUAcwBpAGQAdQBlAF8AUwBvAHUAcgBjAGUARABhAHQAYQAuAEMAcgBvAHAARgByAGEAYwB0AGkAbwBuAFIAZQBtAG8AdgBlAGQAXwBEAGUAcwBjAHIAaQBwAHQAaQBvAG4AIgAsACIAQQBnAHIAZQBzAGkAZAB1AGUAXwBTAG8AdQByAGMAZQBEAGEAdABhAC4AQwByAG8AcABGAHIAYQBjAHQAaQBvAG4AUgBlAG0AbwB2AGUAZABfAFMAbwB1AHIAYwBlACIALAAiAEEAZwByAGUAcwBpAGQAdQBlAF8AUwBvAHUAcgBjAGUARABhAHQAYQAuAEMAcgBvAHAARgByAGEAYwB0AGkAbwBuAFIAZQBtAG8AdgBlAGQAXwBEAGEAdABhACIALAAiAEEAZwByAGUAcwBpAGQAdQBlAF8AUwBvAHUAcgBjAGUARABhAHQAYQAuAEMAcgBvAHAARgByAGEAYwB0AGkAbwBuAFIAZQBtAG8AdgBlAGQAXwBDAHUAcwB0AG8AbQBpAHMAZQBkAEQAYQB0AGEAIgAsACIAQQBnAHIAZQBzAGkAZAB1AGUAXwBTAG8AdQByAGMAZQBEAGEAdABhAC4AQwByAG8AcABGAHIAYQBjAHQAaQBvAG4AUgBlAG0AbwB2AGUAZABfAFYAYQByAGkAYQB0AGkAbwBuACIALAAiAEEAZwByAGUAcwBpAGQAdQBlAF8AUwBvAHUAcgBjAGUARABhAHQAYQAuAFAAYQBzAHQAdQByAGUAQQB0AHQAcgBpAGIAdQB0AGUAcwBfAFQAaQB0AGwAZQAiACwAIgBBAGcAcgBlAHMAaQBkAHUAZQBfAFMAbwB1AHIAYwBlAEQAYQB0AGEALgBQAGEAcwB0AHUAcgBlAEEAdAB0AHIAaQBiAHUAdABlAHMAXwBEAGUAcwBjAHIAaQBwAHQAaQBvAG4AIgAsACIAQQBnAHIAZQBzAGkAZAB1AGUAXwBTAG8AdQByAGMAZQBEAGEAdABhAC4AUABhAHMAdAB1AHIAZQBBAHQAdAByAGkAYgB1AHQAZQBzAF8AUwBvAHUAcgBjAGUAIgAsACIAQQBnAHIAZQBzAGkAZAB1AGUAXwBTAG8AdQByAGMAZQBEAGEAdABhAC4AUABhAHMAdAB1AHIAZQBBAHQAdAByAGkAYgB1AHQAZQBzAF8ARABhAHQAYQAiACwAIgBBAGcAcgBlAHMAaQBkAHUAZQBfAFMAbwB1AHIAYwBlAEQAYQB0AGEALgBCAHUAcgBuAGkAbgBnAE8AZgBBAGcAcgBpAGMAdQBsAHQAdQByAGEAbABSAGUAcwBpAGQAdQBlAHMARQBGAHMAXwBUAGkAdABsAGUAIgAsACIAQQBnAHIAZQBzAGkAZAB1AGUAXwBTAG8AdQByAGMAZQBEAGEAdABhAC4AQgB1AHIAbgBpAG4AZwBPAGYAQQBnAHIAaQBjAHUAbAB0AHUAcgBhAGwAUgBlAHMAaQBkAHUAZQBzAEUARgBzAF8ARABlAHMAYwByAGkAcAB0AGkAbwBuACIALAAiAEEAZwByAGUAcwBpAGQAdQBlAF8AUwBvAHUAcgBjAGUARABhAHQAYQAuAEIAdQByAG4AaQBuAGcATwBmAEEAZwByAGkAYwB1AGwAdAB1AHIAYQBsAFIAZQBzAGkAZAB1AGUAcwBFAEYAcwBfAFMAbwB1AHIAYwBlACIALAAiAEEAZwByAGUAcwBpAGQAdQBlAF8AUwBvAHUAcgBjAGUARABhAHQAYQAuAEIAdQByAG4AaQBuAGcATwBmAEEAZwByAGkAYwB1AGwAdAB1AHIAYQBsAFIAZQBzAGkAZAB1AGUAcwBFAEYAcwBfAEQAYQB0AGEAIgAsACIAQQBnAHIAZQBzAGkAZAB1AGUAXwBTAG8AdQByAGMAZQBEAGEAdABhAC4ATgAyAE8ARQBGAE8AcgBnAGEAbgBpAGMARgBlAHIAdABpAGwAaQBzAGUAcgBfAFQAaQB0AGwAZQAiACwAIgBBAGcAcgBlAHMAaQBkAHUAZQBfAFMAbwB1AHIAYwBlAEQAYQB0AGEALgBOADIATwBFAEYATwByAGcAYQBuAGkAYwBGAGUAcgB0AGkAbABpAHMAZQByAF8AVQBuAGkAdAAiACwAIgBBAGcAcgBlAHMAaQBkAHUAZQBfAFMAbwB1AHIAYwBlAEQAYQB0AGEALgBOADIATwBFAEYATwByAGcAYQBuAGkAYwBGAGUAcgB0AGkAbABpAHMAZQByAF8AUwBvAHUAcgBjAGUAIgAsACIAQQBnAHIAZQBzAGkAZAB1AGUAXwBTAG8AdQByAGMAZQBEAGEAdABhAC4ATgAyAE8ARQBGAE8AcgBnAGEAbgBpAGMARgBlAHIAdABpAGwAaQBzAGUAcgBfAE4ASQBSAFIAZQBmAGUAcgBlAG4AYwBlACIALAAiAEEAZwByAGUAcwBpAGQAdQBlAF8AUwBvAHUAcgBjAGUARABhAHQAYQAuAE4AMgBPAEUARgBPAHIAZwBhAG4AaQBjAEYAZQByAHQAaQBsAGkAcwBlAHIAXwBEAGEAdABhACIALAAiAEEAZwBSAGUAcwBpAGQAdQBlAF8ARQBxAHUAYQB0AGkAbwBuAHMAXwBDAHIAbwBwAFIAZQBzAGkAZAB1AGUALgBWAEUARQBSAEcAXwA2AF8AMQBfADEAXwAxAF8AXwAxAF8AXwBOAGkAdAByAG8AdQBzAE8AeABpAGQAZQBFAG0AaQBzAHMAaQBvAG4AcwBGAHIAbwBtAEMAcgBvAHAAUgBlAHMAaQBkAHUAZQBzACIALAAiAEEAZwBSAGUAcwBpAGQAdQBlAF8ARQBxAHUAYQB0AGkAbwBuAHMAXwBDAHIAbwBwAFIAZQBzAGkAZAB1AGUALgBWAEUARQBSAEcAXwA2AF8AMQBfADEAXwAxAF8AXwAxAF8AXwBOAGkAdAByAG8AdQBzAE8AeABpAGQAZQBFAG0AaQBzAHMAaQBvAG4AcwBGAHIAbwBtAEMAcgBvAHAAUgBlAHMAaQBkAHUAZQBzAF8ARgB1AG4AYwB0AGkAbwBuAE4AYQBtAGUAIgAsACIAQQBnAFIAZQBzAGkAZAB1AGUAXwBFAHEAdQBhAHQAaQBvAG4AcwBfAEMAcgBvAHAAUgBlAHMAaQBkAHUAZQAuAFYARQBFAFIARwBfADYAXwAxAF8AMQBfADEAXwBfADEAXwBfAE4AaQB0AHIAbwB1AHMATwB4AGkAZABlAEUAbQBpAHMAcwBpAG8AbgBzAEYAcgBvAG0AQwByAG8AcABSAGUAcwBpAGQAdQBlAHMAXwBUAGkAdABsAGUAIgAsACIAQQBnAFIAZQBzAGkAZAB1AGUAXwBFAHEAdQBhAHQAaQBvAG4AcwBfAEMAcgBvAHAAUgBlAHMAaQBkAHUAZQAuAFYARQBFAFIARwBfADYAXwAxAF8AMQBfADEAXwBfADEAXwBfAE4AaQB0AHIAbwB1AHMATwB4AGkAZABlAEUAbQBpAHMAcwBpAG8AbgBzAEYAcgBvAG0AQwByAG8AcABSAGUAcwBpAGQAdQBlAHMAXwBWAGEAcgBpAGEAYgBsAGUAIgAsACIAQQBnAFIAZQBzAGkAZAB1AGUAXwBFAHEAdQBhAHQAaQBvAG4AcwBfAEMAcgBvAHAAUgBlAHMAaQBkAHUAZQAuAFYARQBFAFIARwBfADYAXwAxAF8AMQBfADEAXwBfADEAXwBfAE4AaQB0AHIAbwB1AHMATwB4AGkAZABlAEUAbQBpAHMAcwBpAG8AbgBzAEYAcgBvAG0AQwByAG8AcABSAGUAcwBpAGQAdQBlAHMAXwBVAG4AaQB0ACIALAAiAEEAZwBSAGUAcwBpAGQAdQBlAF8ARQBxAHUAYQB0AGkAbwBuAHMAXwBDAHIAbwBwAFIAZQBzAGkAZAB1AGUALgBWAEUARQBSAEcAXwA2AF8AMQBfADEAXwAxAF8AXwAxAF8AXwBOAGkAdAByAG8AdQBzAE8AeABpAGQAZQBFAG0AaQBzAHMAaQBvAG4AcwBGAHIAbwBtAEMAcgBvAHAAUgBlAHMAaQBkAHUAZQBzAF8AUwBvAHUAcgBjAGUAIgAsACIAQQBnAFIAZQBzAGkAZAB1AGUAXwBFAHEAdQBhAHQAaQBvAG4AcwBfAEMAcgBvAHAAUgBlAHMAaQBkAHUAZQAuAFYARQBFAFIARwBfADYAXwAxAF8AMQBfADEAXwBfADEAXwBfAE4AaQB0AHIAbwB1AHMATwB4AGkAZABlAEUAbQBpAHMAcwBpAG8AbgBzAEYAcgBvAG0AQwByAG8AcABSAGUAcwBpAGQAdQBlAHMAXwBOAEkAUgBSAGUAZgBlAHIAZQBuAGMAZQAiACwAIgBBAGcAUgBlAHMAaQBkAHUAZQBfAEUAcQB1AGEAdABpAG8AbgBzAF8AQwByAG8AcABSAGUAcwBpAGQAdQBlAC4AVgBFAEUAUgBHAF8ANgBfADEAXwAxAF8AMQBfAF8AMQBfAF8ATgBpAHQAcgBvAHUAcwBPAHgAaQBkAGUARQBtAGkAcwBzAGkAbwBuAHMARgByAG8AbQBDAHIAbwBwAFIAZQBzAGkAZAB1AGUAcwBfAEwAYQB0AGUAeABFAHEAdQBhAHQAaQBvAG4AIgAsACIAQQBnAFIAZQBzAGkAZAB1AGUAXwBFAHEAdQBhAHQAaQBvAG4AcwBfAEMAcgBvAHAAUgBlAHMAaQBkAHUAZQAuAFYARQBFAFIARwBfADYAXwAxAF8AMQBfADEAXwBfADEAXwBfAE4AaQB0AHIAbwB1AHMATwB4AGkAZABlAEUAbQBpAHMAcwBpAG8AbgBzAEYAcgBvAG0AQwByAG8AcABSAGUAcwBpAGQAdQBlAHMAXwBBAHIAZwB1AG0AZQBuAHQAcwAiACwAIgBBAGcAUgBlAHMAaQBkAHUAZQBfAEUAcQB1AGEAdABpAG8AbgBzAF8AQwByAG8AcABSAGUAcwBpAGQAdQBlAC4AVgBFAEUAUgBHAF8ANgBfADEAXwAxAF8AMQBfAF8AMgBfAF8ATQBhAHMAcwBPAGYATgBpAHQAcgBvAGcAZQBuAEkAbgBDAHIAbwBwAFIAZQBzAGkAZAB1AGUAcwAiACwAIgBBAGcAUgBlAHMAaQBkAHUAZQBfAEUAcQB1AGEAdABpAG8AbgBzAF8AQwByAG8AcABSAGUAcwBpAGQAdQBlAC4AVgBFAEUAUgBHAF8ANgBfADEAXwAxAF8AMQBfAF8AMgBfAF8ATQBhAHMAcwBPAGYATgBpAHQAcgBvAGcAZQBuAEkAbgBDAHIAbwBwAFIAZQBzAGkAZAB1AGUAcwBfAFQAaQB0AGwAZQAiACwAIgBBAGcAUgBlAHMAaQBkAHUAZQBfAEUAcQB1AGEAdABpAG8AbgBzAF8AQwByAG8AcABSAGUAcwBpAGQAdQBlAC4AVgBFAEUAUgBHAF8ANgBfADEAXwAxAF8AMQBfAF8AMgBfAF8ATQBhAHMAcwBPAGYATgBpAHQAcgBvAGcAZQBuAEkAbgBDAHIAbwBwAFIAZQBzAGkAZAB1AGUAcwBfAFYAYQByAGkAYQBiAGwAZQAiACwAIgBBAGcAUgBlAHMAaQBkAHUAZQBfAEUAcQB1AGEAdABpAG8AbgBzAF8AQwByAG8AcABSAGUAcwBpAGQAdQBlAC4AVgBFAEUAUgBHAF8ANgBfADEAXwAxAF8AMQBfAF8AMgBfAF8ATQBhAHMAcwBPAGYATgBpAHQAcgBvAGcAZQBuAEkAbgBDAHIAbwBwAFIAZQBzAGkAZAB1AGUAcwBfAFUAbgBpAHQAIgAsACIAQQBnAFIAZQBzAGkAZAB1AGUAXwBFAHEAdQBhAHQAaQBvAG4AcwBfAEMAcgBvAHAAUgBlAHMAaQBkAHUAZQAuAFYARQBFAFIARwBfADYAXwAxAF8AMQBfADEAXwBfADIAXwBfAE0AYQBzAHMATwBmAE4AaQB0AHIAbwBnAGUAbgBJAG4AQwByAG8AcABSAGUAcwBpAGQAdQBlAHMAXwBTAG8AdQByAGMAZQAiACwAIgBBAGcAUgBlAHMAaQBkAHUAZQBfAEUAcQB1AGEAdABpAG8AbgBzAF8AQwByAG8AcABSAGUAcwBpAGQAdQBlAC4AVgBFAEUAUgBHAF8ANgBfADEAXwAxAF8AMQBfAF8AMgBfAF8ATQBhAHMAcwBPAGYATgBpAHQAcgBvAGcAZQBuAEkAbgBDAHIAbwBwAFIAZQBzAGkAZAB1AGUAcwBfAE4ASQBSAFIAZQBmAGUAcgBlAG4AYwBlACIALAAiAEEAZwBSAGUAcwBpAGQAdQBlAF8ARQBxAHUAYQB0AGkAbwBuAHMAXwBDAHIAbwBwAFIAZQBzAGkAZAB1AGUALgBWAEUARQBSAEcAXwA2AF8AMQBfADEAXwAxAF8AXwAyAF8AXwBNAGEAcwBzAE8AZgBOAGkAdAByAG8AZwBlAG4ASQBuAEMAcgBvAHAAUgBlAHMAaQBkAHUAZQBzAF8ATABhAHQAZQB4AEUAcQB1AGEAdABpAG8AbgAiACwAIgBBAGcAUgBlAHMAaQBkAHUAZQBfAEUAcQB1AGEAdABpAG8AbgBzAF8AQwByAG8AcABSAGUAcwBpAGQAdQBlAC4AVgBFAEUAUgBHAF8ANgBfADEAXwAxAF8AMQBfAF8AMgBfAF8ATQBhAHMAcwBPAGYATgBpAHQAcgBvAGcAZQBuAEkAbgBDAHIAbwBwAFIAZQBzAGkAZAB1AGUAcwBfAEEAcgBnAHUAbQBlAG4AdABzACIALAAiAEEAZwBSAGUAcwBpAGQAdQBlAF8ARQBxAHUAYQB0AGkAbwBuAHMAXwBDAHIAbwBwAFIAZQBzAGkAZAB1AGUALgBWAEUARQBSAEcAXwA2AF8AMQBfADEAXwAxAF8AXwAyAF8AXwBNAGEAcwBzAE8AZgBOAGkAdAByAG8AZwBlAG4ASQBuAEMAcgBvAHAAUgBlAHMAaQBkAHUAZQBzAF8AQQByAGcAdQBtAGUAbgB0AHMAXwBNAGUAdABoAG8AZAAyACIALAAiAEEAZwBSAGUAcwBpAGQAdQBlAF8ARQBxAHUAYQB0AGkAbwBuAHMAXwBDAHIAbwBwAFIAZQBzAGkAZAB1AGUALgBWAEUARQBSAEcAXwA2AF8AMQBfADEAXwAyAF8AXwAxAF8AXwBGAHIAYQBjAHQAaQBvAG4ATwBmAEMAcgBvAHAAUgBlAHMAaQBkAHUAZQBSAGUAbQBvAHYAZQBkAEIAYQBsAGUAZAAiACwAIgBBAGcAUgBlAHMAaQBkAHUAZQBfAEUAcQB1AGEAdABpAG8AbgBzAF8AQwByAG8AcABSAGUAcwBpAGQAdQBlAC4AVgBFAEUAUgBHAF8ANgBfADEAXwAxAF8AMgBfAF8AMQBfAF8ARgByAGEAYwB0AGkAbwBuAE8AZgBDAHIAbwBwAFIAZQBzAGkAZAB1AGUAUgBlAG0AbwB2AGUAZABCAGEAbABlAGQAXwBUAGkAdABsAGUAIgAsACIAQQBnAFIAZQBzAGkAZAB1AGUAXwBFAHEAdQBhAHQAaQBvAG4AcwBfAEMAcgBvAHAAUgBlAHMAaQBkAHUAZQAuAFYARQBFAFIARwBfADYAXwAxAF8AMQBfADIAXwBfADEAXwBfAEYAcgBhAGMAdABpAG8AbgBPAGYAQwByAG8AcABSAGUAcwBpAGQAdQBlAFIAZQBtAG8AdgBlAGQAQgBhAGwAZQBkAF8AVgBhAHIAaQBhAGIAbABlACIALAAiAEEAZwBSAGUAcwBpAGQAdQBlAF8ARQBxAHUAYQB0AGkAbwBuAHMAXwBDAHIAbwBwAFIAZQBzAGkAZAB1AGUALgBWAEUARQBSAEcAXwA2AF8AMQBfADEAXwAyAF8AXwAxAF8AXwBGAHIAYQBjAHQAaQBvAG4ATwBmAEMAcgBvAHAAUgBlAHMAaQBkAHUAZQBSAGUAbQBvAHYAZQBkAEIAYQBsAGUAZABfAFUAbgBpAHQAIgAsACIAQQBnAFIAZQBzAGkAZAB1AGUAXwBFAHEAdQBhAHQAaQBvAG4AcwBfAEMAcgBvAHAAUgBlAHMAaQBkAHUAZQAuAFYARQBFAFIARwBfADYAXwAxAF8AMQBfADIAXwBfADEAXwBfAEYAcgBhAGMAdABpAG8AbgBPAGYAQwByAG8AcABSAGUAcwBpAGQAdQBlAFIAZQBtAG8AdgBlAGQAQgBhAGwAZQBkAF8AUwBvAHUAcgBjAGUAIgAsACIAQQBnAFIAZQBzAGkAZAB1AGUAXwBFAHEAdQBhAHQAaQBvAG4AcwBfAEMAcgBvAHAAUgBlAHMAaQBkAHUAZQAuAFYARQBFAFIARwBfADYAXwAxAF8AMQBfADIAXwBfADEAXwBfAEYAcgBhAGMAdABpAG8AbgBPAGYAQwByAG8AcABSAGUAcwBpAGQAdQBlAFIAZQBtAG8AdgBlAGQAQgBhAGwAZQBkAF8ATgBJAFIAUgBlAGYAZQByAGUAbgBjAGUAIgAsACIAQQBnAFIAZQBzAGkAZAB1AGUAXwBFAHEAdQBhAHQAaQBvAG4AcwBfAEMAcgBvAHAAUgBlAHMAaQBkAHUAZQAuAFYARQBFAFIARwBfADYAXwAxAF8AMQBfADIAXwBfADEAXwBfAEYAcgBhAGMAdABpAG8AbgBPAGYAQwByAG8AcABSAGUAcwBpAGQAdQBlAFIAZQBtAG8AdgBlAGQAQgBhAGwAZQBkAF8ATABhAHQAZQB4AEUAcQB1AGEAdABpAG8AbgAiACwAIgBBAGcAUgBlAHMAaQBkAHUAZQBfAEUAcQB1AGEAdABpAG8AbgBzAF8AQwByAG8AcABSAGUAcwBpAGQAdQBlAC4AVgBFAEUAUgBHAF8ANgBfADEAXwAxAF8AMgBfAF8AMQBfAF8ARgByAGEAYwB0AGkAbwBuAE8AZgBDAHIAbwBwAFIAZQBzAGkAZAB1AGUAUgBlAG0AbwB2AGUAZABCAGEAbABlAGQAXwBBAHIAZwB1AG0AZQBuAHQAcwAiACwAIgBBAGcAUgBlAHMAaQBkAHUAZQBfAEUAcQB1AGEAdABpAG8AbgBzAF8AQwByAG8AcABSAGUAcwBpAGQAdQBlAC4AVgBFAEUAUgBHAF8ANgBfADEAXwAxAF8AMgBfAF8AMQBfAF8ARgByAGEAYwB0AGkAbwBuAE8AZgBDAHIAbwBwAFIAZQBzAGkAZAB1AGUAUgBlAG0AbwB2AGUAZABCAGEAbA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64</vt:i4>
      </vt:variant>
    </vt:vector>
  </HeadingPairs>
  <TitlesOfParts>
    <vt:vector size="78"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X_Cell_Crop_TotalProductionOfCrop</vt:lpstr>
      <vt:lpstr>X_Cell_Crop_TotalResidueBaled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2026-08-07T00:02:44Z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