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8E45923-7D7F-462F-9756-2A4D511FFD44}" xr6:coauthVersionLast="47" xr6:coauthVersionMax="47" xr10:uidLastSave="{00000000-0000-0000-0000-000000000000}"/>
  <bookViews>
    <workbookView xWindow="1020" yWindow="0" windowWidth="37140" windowHeight="20475" firstSheet="8" activeTab="12"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3" r:id="rId15"/>
    <sheet name="Constants -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Range_LivestockStartingValues">#REF!</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tep1">#REF!</definedName>
    <definedName name="Step2">#REF!</definedName>
    <definedName name="Step3">#REF!</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Dairy_ManureAppliedIrrigationMethod">'Input - Poultry'!$E$60</definedName>
    <definedName name="X_Cell_Dairy_ManureAppliedProductionSystem">'Input - Poultry'!$E$59</definedName>
    <definedName name="X_Cell_Poultry_ProductionSystem">'Input - Poultry'!$E$27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Poultry'!$J$44:$L$49</definedName>
    <definedName name="X_Table_Poultry_Stage2MMS_ManureStoredInHouse">'Input - Poultry'!$D$51:$H$56</definedName>
    <definedName name="X_Table_Poultry_Stage2MMS_ManureStoredInHouse_Destinations">'Input - Poultry'!$J$51:$L$56</definedName>
    <definedName name="X_Table_Poultry_Stage2MMS_PoultryManureWithBedding">'Input - Poultry'!$D$37:$H$42</definedName>
    <definedName name="X_Table_Poultry_Stage2MMS_PoultryManureWithBedding_Destinations">'Input - Poultry'!$J$37:$L$42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108" l="1"/>
  <c r="I49" i="98"/>
  <c r="S134" i="69"/>
  <c r="I134" i="69"/>
  <c r="S54" i="69"/>
  <c r="I54" i="69"/>
  <c r="O81" i="69"/>
  <c r="O80" i="69"/>
  <c r="O79" i="69"/>
  <c r="O78" i="69"/>
  <c r="O77" i="69"/>
  <c r="O76" i="69"/>
  <c r="O73" i="69"/>
  <c r="E30" i="15"/>
  <c r="E33" i="15"/>
  <c r="J45" i="108"/>
  <c r="I40" i="107"/>
  <c r="I15" i="106"/>
  <c r="I50" i="98"/>
  <c r="I91" i="97"/>
  <c r="I217" i="76"/>
  <c r="Q248" i="76"/>
  <c r="G248" i="76"/>
  <c r="E259" i="113" a="1"/>
  <c r="E259" i="113" s="1"/>
  <c r="D259" i="113" a="1"/>
  <c r="D259" i="113" s="1"/>
  <c r="E258" i="113" a="1"/>
  <c r="E258" i="113" s="1"/>
  <c r="D258" i="113" a="1"/>
  <c r="D258" i="113" s="1"/>
  <c r="D256" i="113" a="1"/>
  <c r="D256" i="113" s="1"/>
  <c r="D255" i="113"/>
  <c r="D255" i="113" a="1"/>
  <c r="D254" i="113" a="1"/>
  <c r="D254" i="113" s="1"/>
  <c r="D253" i="113" a="1"/>
  <c r="D253" i="113" s="1"/>
  <c r="S250" i="113" a="1"/>
  <c r="S250" i="113" s="1"/>
  <c r="R250" i="113" a="1"/>
  <c r="R250" i="113" s="1"/>
  <c r="Q250" i="113" a="1"/>
  <c r="Q250" i="113" s="1"/>
  <c r="P250" i="113" a="1"/>
  <c r="P250" i="113" s="1"/>
  <c r="O250" i="113" a="1"/>
  <c r="O250" i="113" s="1"/>
  <c r="N250" i="113" a="1"/>
  <c r="N250" i="113" s="1"/>
  <c r="M250" i="113" a="1"/>
  <c r="M250" i="113" s="1"/>
  <c r="L250" i="113" a="1"/>
  <c r="L250" i="113" s="1"/>
  <c r="K250" i="113" a="1"/>
  <c r="K250" i="113" s="1"/>
  <c r="J250" i="113" a="1"/>
  <c r="J250" i="113" s="1"/>
  <c r="I250" i="113" a="1"/>
  <c r="I250" i="113" s="1"/>
  <c r="H250" i="113" a="1"/>
  <c r="H250" i="113" s="1"/>
  <c r="G250" i="113" a="1"/>
  <c r="G250" i="113" s="1"/>
  <c r="F250" i="113" a="1"/>
  <c r="F250" i="113" s="1"/>
  <c r="E250" i="113" a="1"/>
  <c r="E250" i="113" s="1"/>
  <c r="D250" i="113" a="1"/>
  <c r="D250" i="113" s="1"/>
  <c r="S249" i="113" a="1"/>
  <c r="S249" i="113" s="1"/>
  <c r="R249" i="113" a="1"/>
  <c r="R249" i="113" s="1"/>
  <c r="Q249" i="113" a="1"/>
  <c r="Q249" i="113" s="1"/>
  <c r="P249" i="113" a="1"/>
  <c r="P249" i="113" s="1"/>
  <c r="O249" i="113" a="1"/>
  <c r="O249" i="113" s="1"/>
  <c r="N249" i="113" a="1"/>
  <c r="N249" i="113" s="1"/>
  <c r="M249" i="113" a="1"/>
  <c r="M249" i="113" s="1"/>
  <c r="L249" i="113" a="1"/>
  <c r="L249" i="113" s="1"/>
  <c r="K249" i="113" a="1"/>
  <c r="K249" i="113" s="1"/>
  <c r="J249" i="113" a="1"/>
  <c r="J249" i="113" s="1"/>
  <c r="I249" i="113" a="1"/>
  <c r="I249" i="113" s="1"/>
  <c r="H249" i="113" a="1"/>
  <c r="H249" i="113" s="1"/>
  <c r="G249" i="113" a="1"/>
  <c r="G249" i="113" s="1"/>
  <c r="F249" i="113" a="1"/>
  <c r="F249" i="113" s="1"/>
  <c r="E249" i="113" a="1"/>
  <c r="E249" i="113" s="1"/>
  <c r="D249" i="113" a="1"/>
  <c r="D249" i="113" s="1"/>
  <c r="S248" i="113" a="1"/>
  <c r="S248" i="113" s="1"/>
  <c r="R248" i="113" a="1"/>
  <c r="R248" i="113" s="1"/>
  <c r="Q248" i="113" a="1"/>
  <c r="Q248" i="113" s="1"/>
  <c r="P248" i="113" a="1"/>
  <c r="P248" i="113" s="1"/>
  <c r="O248" i="113" a="1"/>
  <c r="O248" i="113" s="1"/>
  <c r="N248" i="113" a="1"/>
  <c r="N248" i="113" s="1"/>
  <c r="M248" i="113" a="1"/>
  <c r="M248" i="113" s="1"/>
  <c r="L248" i="113" a="1"/>
  <c r="L248" i="113" s="1"/>
  <c r="K248" i="113" a="1"/>
  <c r="K248" i="113" s="1"/>
  <c r="J248" i="113" a="1"/>
  <c r="J248" i="113" s="1"/>
  <c r="I248" i="113" a="1"/>
  <c r="I248" i="113" s="1"/>
  <c r="H248" i="113" a="1"/>
  <c r="H248" i="113" s="1"/>
  <c r="G248" i="113" a="1"/>
  <c r="G248" i="113" s="1"/>
  <c r="F248" i="113" a="1"/>
  <c r="F248" i="113" s="1"/>
  <c r="E248" i="113" a="1"/>
  <c r="E248" i="113" s="1"/>
  <c r="D248" i="113" a="1"/>
  <c r="D248" i="113" s="1"/>
  <c r="S247" i="113" a="1"/>
  <c r="S247" i="113" s="1"/>
  <c r="R247" i="113" a="1"/>
  <c r="R247" i="113" s="1"/>
  <c r="Q247" i="113" a="1"/>
  <c r="Q247" i="113" s="1"/>
  <c r="P247" i="113" a="1"/>
  <c r="P247" i="113" s="1"/>
  <c r="O247" i="113" a="1"/>
  <c r="O247" i="113" s="1"/>
  <c r="N247" i="113" a="1"/>
  <c r="N247" i="113" s="1"/>
  <c r="M247" i="113" a="1"/>
  <c r="M247" i="113" s="1"/>
  <c r="L247" i="113" a="1"/>
  <c r="L247" i="113" s="1"/>
  <c r="K247" i="113" a="1"/>
  <c r="K247" i="113" s="1"/>
  <c r="J247" i="113" a="1"/>
  <c r="J247" i="113" s="1"/>
  <c r="I247" i="113" a="1"/>
  <c r="I247" i="113" s="1"/>
  <c r="H247" i="113" a="1"/>
  <c r="H247" i="113" s="1"/>
  <c r="G247" i="113" a="1"/>
  <c r="G247" i="113" s="1"/>
  <c r="F247" i="113" a="1"/>
  <c r="F247" i="113" s="1"/>
  <c r="E247" i="113" a="1"/>
  <c r="E247" i="113" s="1"/>
  <c r="D247" i="113" a="1"/>
  <c r="D247" i="113" s="1"/>
  <c r="S246" i="113" a="1"/>
  <c r="S246" i="113" s="1"/>
  <c r="R246" i="113" a="1"/>
  <c r="R246" i="113" s="1"/>
  <c r="Q246" i="113" a="1"/>
  <c r="Q246" i="113" s="1"/>
  <c r="P246" i="113" a="1"/>
  <c r="P246" i="113" s="1"/>
  <c r="O246" i="113" a="1"/>
  <c r="O246" i="113" s="1"/>
  <c r="N246" i="113" a="1"/>
  <c r="N246" i="113" s="1"/>
  <c r="M246" i="113" a="1"/>
  <c r="M246" i="113" s="1"/>
  <c r="L246" i="113" a="1"/>
  <c r="L246" i="113" s="1"/>
  <c r="K246" i="113" a="1"/>
  <c r="K246" i="113" s="1"/>
  <c r="J246" i="113" a="1"/>
  <c r="J246" i="113" s="1"/>
  <c r="I246" i="113" a="1"/>
  <c r="I246" i="113" s="1"/>
  <c r="H246" i="113" a="1"/>
  <c r="H246" i="113" s="1"/>
  <c r="G246" i="113" a="1"/>
  <c r="G246" i="113" s="1"/>
  <c r="F246" i="113" a="1"/>
  <c r="F246" i="113" s="1"/>
  <c r="E246" i="113" a="1"/>
  <c r="E246" i="113" s="1"/>
  <c r="D246" i="113" a="1"/>
  <c r="D246" i="113" s="1"/>
  <c r="S245" i="113" a="1"/>
  <c r="S245" i="113" s="1"/>
  <c r="R245" i="113" a="1"/>
  <c r="R245" i="113" s="1"/>
  <c r="Q245" i="113" a="1"/>
  <c r="Q245" i="113" s="1"/>
  <c r="P245" i="113" a="1"/>
  <c r="P245" i="113" s="1"/>
  <c r="O245" i="113" a="1"/>
  <c r="O245" i="113" s="1"/>
  <c r="N245" i="113" a="1"/>
  <c r="N245" i="113" s="1"/>
  <c r="M245" i="113" a="1"/>
  <c r="M245" i="113" s="1"/>
  <c r="L245" i="113" a="1"/>
  <c r="L245" i="113" s="1"/>
  <c r="K245" i="113" a="1"/>
  <c r="K245" i="113" s="1"/>
  <c r="J245" i="113" a="1"/>
  <c r="J245" i="113" s="1"/>
  <c r="I245" i="113" a="1"/>
  <c r="I245" i="113" s="1"/>
  <c r="H245" i="113" a="1"/>
  <c r="H245" i="113" s="1"/>
  <c r="G245" i="113" a="1"/>
  <c r="G245" i="113" s="1"/>
  <c r="F245" i="113" a="1"/>
  <c r="F245" i="113" s="1"/>
  <c r="E245" i="113" a="1"/>
  <c r="E245" i="113" s="1"/>
  <c r="D245" i="113" a="1"/>
  <c r="D245" i="113" s="1"/>
  <c r="S244" i="113" a="1"/>
  <c r="S244" i="113" s="1"/>
  <c r="R244" i="113" a="1"/>
  <c r="R244" i="113" s="1"/>
  <c r="Q244" i="113" a="1"/>
  <c r="Q244" i="113" s="1"/>
  <c r="P244" i="113" a="1"/>
  <c r="P244" i="113" s="1"/>
  <c r="O244" i="113" a="1"/>
  <c r="O244" i="113" s="1"/>
  <c r="N244" i="113" a="1"/>
  <c r="N244" i="113" s="1"/>
  <c r="M244" i="113" a="1"/>
  <c r="M244" i="113" s="1"/>
  <c r="L244" i="113" a="1"/>
  <c r="L244" i="113" s="1"/>
  <c r="K244" i="113" a="1"/>
  <c r="K244" i="113" s="1"/>
  <c r="J244" i="113" a="1"/>
  <c r="J244" i="113" s="1"/>
  <c r="I244" i="113" a="1"/>
  <c r="I244" i="113" s="1"/>
  <c r="H244" i="113" a="1"/>
  <c r="H244" i="113" s="1"/>
  <c r="G244" i="113" a="1"/>
  <c r="G244" i="113" s="1"/>
  <c r="F244" i="113" a="1"/>
  <c r="F244" i="113" s="1"/>
  <c r="E244" i="113" a="1"/>
  <c r="E244" i="113" s="1"/>
  <c r="D244" i="113" a="1"/>
  <c r="D244" i="113" s="1"/>
  <c r="S243" i="113" a="1"/>
  <c r="S243" i="113" s="1"/>
  <c r="R243" i="113" a="1"/>
  <c r="R243" i="113" s="1"/>
  <c r="Q243" i="113" a="1"/>
  <c r="Q243" i="113" s="1"/>
  <c r="P243" i="113" a="1"/>
  <c r="P243" i="113" s="1"/>
  <c r="O243" i="113" a="1"/>
  <c r="O243" i="113" s="1"/>
  <c r="N243" i="113" a="1"/>
  <c r="N243" i="113" s="1"/>
  <c r="M243" i="113" a="1"/>
  <c r="M243" i="113" s="1"/>
  <c r="L243" i="113" a="1"/>
  <c r="L243" i="113" s="1"/>
  <c r="K243" i="113" a="1"/>
  <c r="K243" i="113" s="1"/>
  <c r="J243" i="113" a="1"/>
  <c r="J243" i="113" s="1"/>
  <c r="I243" i="113" a="1"/>
  <c r="I243" i="113" s="1"/>
  <c r="H243" i="113" a="1"/>
  <c r="H243" i="113" s="1"/>
  <c r="G243" i="113" a="1"/>
  <c r="G243" i="113" s="1"/>
  <c r="F243" i="113" a="1"/>
  <c r="F243" i="113" s="1"/>
  <c r="E243" i="113" a="1"/>
  <c r="E243" i="113" s="1"/>
  <c r="D243" i="113" a="1"/>
  <c r="D243" i="113" s="1"/>
  <c r="S242" i="113" a="1"/>
  <c r="S242" i="113" s="1"/>
  <c r="R242" i="113" a="1"/>
  <c r="R242" i="113" s="1"/>
  <c r="Q242" i="113" a="1"/>
  <c r="Q242" i="113" s="1"/>
  <c r="P242" i="113" a="1"/>
  <c r="P242" i="113" s="1"/>
  <c r="O242" i="113" a="1"/>
  <c r="O242" i="113" s="1"/>
  <c r="N242" i="113" a="1"/>
  <c r="N242" i="113" s="1"/>
  <c r="M242" i="113" a="1"/>
  <c r="M242" i="113" s="1"/>
  <c r="L242" i="113" a="1"/>
  <c r="L242" i="113" s="1"/>
  <c r="K242" i="113" a="1"/>
  <c r="K242" i="113" s="1"/>
  <c r="J242" i="113" a="1"/>
  <c r="J242" i="113" s="1"/>
  <c r="I242" i="113" a="1"/>
  <c r="I242" i="113" s="1"/>
  <c r="H242" i="113" a="1"/>
  <c r="H242" i="113" s="1"/>
  <c r="G242" i="113" a="1"/>
  <c r="G242" i="113" s="1"/>
  <c r="F242" i="113" a="1"/>
  <c r="F242" i="113" s="1"/>
  <c r="E242" i="113" a="1"/>
  <c r="E242" i="113" s="1"/>
  <c r="D242" i="113" a="1"/>
  <c r="D242" i="113" s="1"/>
  <c r="S241" i="113" a="1"/>
  <c r="S241" i="113" s="1"/>
  <c r="R241" i="113" a="1"/>
  <c r="R241" i="113" s="1"/>
  <c r="Q241" i="113" a="1"/>
  <c r="Q241" i="113" s="1"/>
  <c r="P241" i="113" a="1"/>
  <c r="P241" i="113" s="1"/>
  <c r="O241" i="113" a="1"/>
  <c r="O241" i="113" s="1"/>
  <c r="N241" i="113" a="1"/>
  <c r="N241" i="113" s="1"/>
  <c r="M241" i="113" a="1"/>
  <c r="M241" i="113" s="1"/>
  <c r="L241" i="113" a="1"/>
  <c r="L241" i="113" s="1"/>
  <c r="K241" i="113" a="1"/>
  <c r="K241" i="113" s="1"/>
  <c r="J241" i="113" a="1"/>
  <c r="J241" i="113" s="1"/>
  <c r="I241" i="113" a="1"/>
  <c r="I241" i="113" s="1"/>
  <c r="H241" i="113" a="1"/>
  <c r="H241" i="113" s="1"/>
  <c r="G241" i="113" a="1"/>
  <c r="G241" i="113" s="1"/>
  <c r="F241" i="113" a="1"/>
  <c r="F241" i="113" s="1"/>
  <c r="E241" i="113" a="1"/>
  <c r="E241" i="113" s="1"/>
  <c r="D241" i="113" a="1"/>
  <c r="D241" i="113" s="1"/>
  <c r="S240" i="113" a="1"/>
  <c r="S240" i="113" s="1"/>
  <c r="R240" i="113" a="1"/>
  <c r="R240" i="113" s="1"/>
  <c r="Q240" i="113" a="1"/>
  <c r="Q240" i="113" s="1"/>
  <c r="P240" i="113" a="1"/>
  <c r="P240" i="113" s="1"/>
  <c r="O240" i="113" a="1"/>
  <c r="O240" i="113" s="1"/>
  <c r="N240" i="113" a="1"/>
  <c r="N240" i="113" s="1"/>
  <c r="M240" i="113" a="1"/>
  <c r="M240" i="113" s="1"/>
  <c r="L240" i="113" a="1"/>
  <c r="L240" i="113" s="1"/>
  <c r="K240" i="113" a="1"/>
  <c r="K240" i="113" s="1"/>
  <c r="J240" i="113" a="1"/>
  <c r="J240" i="113" s="1"/>
  <c r="I240" i="113" a="1"/>
  <c r="I240" i="113" s="1"/>
  <c r="H240" i="113" a="1"/>
  <c r="H240" i="113" s="1"/>
  <c r="G240" i="113" a="1"/>
  <c r="G240" i="113" s="1"/>
  <c r="F240" i="113" a="1"/>
  <c r="F240" i="113" s="1"/>
  <c r="E240" i="113" a="1"/>
  <c r="E240" i="113" s="1"/>
  <c r="D240" i="113" a="1"/>
  <c r="D240" i="113" s="1"/>
  <c r="S239" i="113" a="1"/>
  <c r="S239" i="113" s="1"/>
  <c r="R239" i="113" a="1"/>
  <c r="R239" i="113" s="1"/>
  <c r="Q239" i="113" a="1"/>
  <c r="Q239" i="113" s="1"/>
  <c r="P239" i="113" a="1"/>
  <c r="P239" i="113" s="1"/>
  <c r="O239" i="113" a="1"/>
  <c r="O239" i="113" s="1"/>
  <c r="N239" i="113" a="1"/>
  <c r="N239" i="113" s="1"/>
  <c r="M239" i="113" a="1"/>
  <c r="M239" i="113" s="1"/>
  <c r="L239" i="113" a="1"/>
  <c r="L239" i="113" s="1"/>
  <c r="K239" i="113" a="1"/>
  <c r="K239" i="113" s="1"/>
  <c r="J239" i="113" a="1"/>
  <c r="J239" i="113" s="1"/>
  <c r="I239" i="113" a="1"/>
  <c r="I239" i="113" s="1"/>
  <c r="H239" i="113" a="1"/>
  <c r="H239" i="113" s="1"/>
  <c r="G239" i="113" a="1"/>
  <c r="G239" i="113" s="1"/>
  <c r="F239" i="113" a="1"/>
  <c r="F239" i="113" s="1"/>
  <c r="E239" i="113" a="1"/>
  <c r="E239" i="113" s="1"/>
  <c r="D239" i="113" a="1"/>
  <c r="D239" i="113" s="1"/>
  <c r="S238" i="113" a="1"/>
  <c r="S238" i="113" s="1"/>
  <c r="R238" i="113" a="1"/>
  <c r="R238" i="113" s="1"/>
  <c r="Q238" i="113" a="1"/>
  <c r="Q238" i="113" s="1"/>
  <c r="P238" i="113" a="1"/>
  <c r="P238" i="113" s="1"/>
  <c r="O238" i="113" a="1"/>
  <c r="O238" i="113" s="1"/>
  <c r="N238" i="113" a="1"/>
  <c r="N238" i="113" s="1"/>
  <c r="M238" i="113" a="1"/>
  <c r="M238" i="113" s="1"/>
  <c r="L238" i="113" a="1"/>
  <c r="L238" i="113" s="1"/>
  <c r="K238" i="113" a="1"/>
  <c r="K238" i="113" s="1"/>
  <c r="J238" i="113" a="1"/>
  <c r="J238" i="113" s="1"/>
  <c r="I238" i="113" a="1"/>
  <c r="I238" i="113" s="1"/>
  <c r="H238" i="113" a="1"/>
  <c r="H238" i="113" s="1"/>
  <c r="G238" i="113" a="1"/>
  <c r="G238" i="113" s="1"/>
  <c r="F238" i="113" a="1"/>
  <c r="F238" i="113" s="1"/>
  <c r="E238" i="113" a="1"/>
  <c r="E238" i="113" s="1"/>
  <c r="D238" i="113" a="1"/>
  <c r="D238" i="113" s="1"/>
  <c r="S237" i="113" a="1"/>
  <c r="S237" i="113" s="1"/>
  <c r="R237" i="113" a="1"/>
  <c r="R237" i="113" s="1"/>
  <c r="Q237" i="113" a="1"/>
  <c r="Q237" i="113" s="1"/>
  <c r="P237" i="113" a="1"/>
  <c r="P237" i="113" s="1"/>
  <c r="O237" i="113" a="1"/>
  <c r="O237" i="113" s="1"/>
  <c r="N237" i="113" a="1"/>
  <c r="N237" i="113" s="1"/>
  <c r="M237" i="113" a="1"/>
  <c r="M237" i="113" s="1"/>
  <c r="L237" i="113" a="1"/>
  <c r="L237" i="113" s="1"/>
  <c r="K237" i="113" a="1"/>
  <c r="K237" i="113" s="1"/>
  <c r="J237" i="113" a="1"/>
  <c r="J237" i="113" s="1"/>
  <c r="I237" i="113" a="1"/>
  <c r="I237" i="113" s="1"/>
  <c r="H237" i="113" a="1"/>
  <c r="H237" i="113" s="1"/>
  <c r="G237" i="113" a="1"/>
  <c r="G237" i="113" s="1"/>
  <c r="F237" i="113" a="1"/>
  <c r="F237" i="113" s="1"/>
  <c r="E237" i="113" a="1"/>
  <c r="E237" i="113" s="1"/>
  <c r="D237" i="113" a="1"/>
  <c r="D237" i="113" s="1"/>
  <c r="S236" i="113" a="1"/>
  <c r="S236" i="113" s="1"/>
  <c r="R236" i="113" a="1"/>
  <c r="R236" i="113" s="1"/>
  <c r="Q236" i="113" a="1"/>
  <c r="Q236" i="113" s="1"/>
  <c r="P236" i="113" a="1"/>
  <c r="P236" i="113" s="1"/>
  <c r="O236" i="113" a="1"/>
  <c r="O236" i="113" s="1"/>
  <c r="N236" i="113" a="1"/>
  <c r="N236" i="113" s="1"/>
  <c r="M236" i="113" a="1"/>
  <c r="M236" i="113" s="1"/>
  <c r="L236" i="113" a="1"/>
  <c r="L236" i="113" s="1"/>
  <c r="K236" i="113" a="1"/>
  <c r="K236" i="113" s="1"/>
  <c r="J236" i="113" a="1"/>
  <c r="J236" i="113" s="1"/>
  <c r="I236" i="113" a="1"/>
  <c r="I236" i="113" s="1"/>
  <c r="H236" i="113" a="1"/>
  <c r="H236" i="113" s="1"/>
  <c r="G236" i="113" a="1"/>
  <c r="G236" i="113" s="1"/>
  <c r="F236" i="113" a="1"/>
  <c r="F236" i="113" s="1"/>
  <c r="E236" i="113" a="1"/>
  <c r="E236" i="113" s="1"/>
  <c r="D236" i="113" a="1"/>
  <c r="D236" i="113" s="1"/>
  <c r="S235" i="113" a="1"/>
  <c r="S235" i="113" s="1"/>
  <c r="R235" i="113" a="1"/>
  <c r="R235" i="113" s="1"/>
  <c r="Q235" i="113" a="1"/>
  <c r="Q235" i="113" s="1"/>
  <c r="P235" i="113" a="1"/>
  <c r="P235" i="113" s="1"/>
  <c r="O235" i="113" a="1"/>
  <c r="O235" i="113" s="1"/>
  <c r="N235" i="113" a="1"/>
  <c r="N235" i="113" s="1"/>
  <c r="M235" i="113" a="1"/>
  <c r="M235" i="113" s="1"/>
  <c r="L235" i="113" a="1"/>
  <c r="L235" i="113" s="1"/>
  <c r="K235" i="113" a="1"/>
  <c r="K235" i="113" s="1"/>
  <c r="J235" i="113" a="1"/>
  <c r="J235" i="113" s="1"/>
  <c r="I235" i="113" a="1"/>
  <c r="I235" i="113" s="1"/>
  <c r="H235" i="113" a="1"/>
  <c r="H235" i="113" s="1"/>
  <c r="G235" i="113" a="1"/>
  <c r="G235" i="113" s="1"/>
  <c r="F235" i="113" a="1"/>
  <c r="F235" i="113" s="1"/>
  <c r="E235" i="113" a="1"/>
  <c r="E235" i="113" s="1"/>
  <c r="D235" i="113" a="1"/>
  <c r="D235" i="113" s="1"/>
  <c r="S234" i="113" a="1"/>
  <c r="S234" i="113" s="1"/>
  <c r="R234" i="113" a="1"/>
  <c r="R234" i="113" s="1"/>
  <c r="Q234" i="113" a="1"/>
  <c r="Q234" i="113" s="1"/>
  <c r="P234" i="113" a="1"/>
  <c r="P234" i="113" s="1"/>
  <c r="O234" i="113" a="1"/>
  <c r="O234" i="113" s="1"/>
  <c r="N234" i="113" a="1"/>
  <c r="N234" i="113" s="1"/>
  <c r="M234" i="113" a="1"/>
  <c r="M234" i="113" s="1"/>
  <c r="L234" i="113" a="1"/>
  <c r="L234" i="113" s="1"/>
  <c r="K234" i="113" a="1"/>
  <c r="K234" i="113" s="1"/>
  <c r="J234" i="113" a="1"/>
  <c r="J234" i="113" s="1"/>
  <c r="I234" i="113" a="1"/>
  <c r="I234" i="113" s="1"/>
  <c r="H234" i="113" a="1"/>
  <c r="H234" i="113" s="1"/>
  <c r="G234" i="113" a="1"/>
  <c r="G234" i="113" s="1"/>
  <c r="F234" i="113" a="1"/>
  <c r="F234" i="113" s="1"/>
  <c r="E234" i="113" a="1"/>
  <c r="E234" i="113" s="1"/>
  <c r="D234" i="113" a="1"/>
  <c r="D234" i="113" s="1"/>
  <c r="S233" i="113" a="1"/>
  <c r="S233" i="113" s="1"/>
  <c r="R233" i="113" a="1"/>
  <c r="R233" i="113" s="1"/>
  <c r="Q233" i="113" a="1"/>
  <c r="Q233" i="113" s="1"/>
  <c r="P233" i="113" a="1"/>
  <c r="P233" i="113" s="1"/>
  <c r="O233" i="113" a="1"/>
  <c r="O233" i="113" s="1"/>
  <c r="N233" i="113" a="1"/>
  <c r="N233" i="113" s="1"/>
  <c r="M233" i="113" a="1"/>
  <c r="M233" i="113" s="1"/>
  <c r="L233" i="113" a="1"/>
  <c r="L233" i="113" s="1"/>
  <c r="K233" i="113" a="1"/>
  <c r="K233" i="113" s="1"/>
  <c r="J233" i="113" a="1"/>
  <c r="J233" i="113" s="1"/>
  <c r="I233" i="113" a="1"/>
  <c r="I233" i="113" s="1"/>
  <c r="H233" i="113" a="1"/>
  <c r="H233" i="113" s="1"/>
  <c r="G233" i="113" a="1"/>
  <c r="G233" i="113" s="1"/>
  <c r="F233" i="113" a="1"/>
  <c r="F233" i="113" s="1"/>
  <c r="E233" i="113" a="1"/>
  <c r="E233" i="113" s="1"/>
  <c r="D233" i="113" a="1"/>
  <c r="D233" i="113" s="1"/>
  <c r="S232" i="113" a="1"/>
  <c r="S232" i="113" s="1"/>
  <c r="R232" i="113" a="1"/>
  <c r="R232" i="113" s="1"/>
  <c r="Q232" i="113" a="1"/>
  <c r="Q232" i="113" s="1"/>
  <c r="P232" i="113" a="1"/>
  <c r="P232" i="113" s="1"/>
  <c r="O232" i="113" a="1"/>
  <c r="O232" i="113" s="1"/>
  <c r="N232" i="113" a="1"/>
  <c r="N232" i="113" s="1"/>
  <c r="M232" i="113" a="1"/>
  <c r="M232" i="113" s="1"/>
  <c r="L232" i="113" a="1"/>
  <c r="L232" i="113" s="1"/>
  <c r="K232" i="113" a="1"/>
  <c r="K232" i="113" s="1"/>
  <c r="J232" i="113" a="1"/>
  <c r="J232" i="113" s="1"/>
  <c r="I232" i="113" a="1"/>
  <c r="I232" i="113" s="1"/>
  <c r="H232" i="113" a="1"/>
  <c r="H232" i="113" s="1"/>
  <c r="G232" i="113" a="1"/>
  <c r="G232" i="113" s="1"/>
  <c r="F232" i="113" a="1"/>
  <c r="F232" i="113" s="1"/>
  <c r="E232" i="113" a="1"/>
  <c r="E232" i="113" s="1"/>
  <c r="D232" i="113" a="1"/>
  <c r="D232" i="113" s="1"/>
  <c r="D229" i="113" a="1"/>
  <c r="D229" i="113" s="1"/>
  <c r="D228" i="113"/>
  <c r="D228" i="113" a="1"/>
  <c r="D227" i="113" a="1"/>
  <c r="D227" i="113" s="1"/>
  <c r="E224" i="113" a="1"/>
  <c r="E224" i="113" s="1"/>
  <c r="D224" i="113" a="1"/>
  <c r="D224" i="113" s="1"/>
  <c r="E223" i="113" a="1"/>
  <c r="E223" i="113" s="1"/>
  <c r="D223" i="113" a="1"/>
  <c r="D223" i="113" s="1"/>
  <c r="E222" i="113" a="1"/>
  <c r="E222" i="113" s="1"/>
  <c r="D222" i="113" a="1"/>
  <c r="D222" i="113" s="1"/>
  <c r="E221" i="113" a="1"/>
  <c r="E221" i="113" s="1"/>
  <c r="D221" i="113" a="1"/>
  <c r="D221" i="113" s="1"/>
  <c r="E220" i="113" a="1"/>
  <c r="E220" i="113" s="1"/>
  <c r="D220" i="113" a="1"/>
  <c r="D220" i="113" s="1"/>
  <c r="E219" i="113" a="1"/>
  <c r="E219" i="113" s="1"/>
  <c r="D219" i="113" a="1"/>
  <c r="D219" i="113" s="1"/>
  <c r="E218" i="113" a="1"/>
  <c r="E218" i="113" s="1"/>
  <c r="D218" i="113" a="1"/>
  <c r="D218" i="113" s="1"/>
  <c r="E217" i="113" a="1"/>
  <c r="E217" i="113" s="1"/>
  <c r="D217" i="113" a="1"/>
  <c r="D217" i="113" s="1"/>
  <c r="E216" i="113" a="1"/>
  <c r="E216" i="113" s="1"/>
  <c r="D216" i="113" a="1"/>
  <c r="D216" i="113" s="1"/>
  <c r="E215" i="113" a="1"/>
  <c r="E215" i="113" s="1"/>
  <c r="D215" i="113" a="1"/>
  <c r="D215" i="113" s="1"/>
  <c r="E214" i="113" a="1"/>
  <c r="E214" i="113" s="1"/>
  <c r="D214" i="113" a="1"/>
  <c r="D214" i="113" s="1"/>
  <c r="E213" i="113" a="1"/>
  <c r="E213" i="113" s="1"/>
  <c r="D213" i="113" a="1"/>
  <c r="D213" i="113" s="1"/>
  <c r="D211" i="113" a="1"/>
  <c r="D211" i="113" s="1"/>
  <c r="E208" i="113" a="1"/>
  <c r="E208" i="113" s="1"/>
  <c r="D208" i="113" a="1"/>
  <c r="D208" i="113" s="1"/>
  <c r="E207" i="113" a="1"/>
  <c r="E207" i="113" s="1"/>
  <c r="D207" i="113" a="1"/>
  <c r="D207" i="113" s="1"/>
  <c r="D205" i="113" a="1"/>
  <c r="D205" i="113" s="1"/>
  <c r="D204" i="113" a="1"/>
  <c r="D204" i="113" s="1"/>
  <c r="D203" i="113" a="1"/>
  <c r="D203" i="113" s="1"/>
  <c r="D202" i="113" a="1"/>
  <c r="D202" i="113" s="1"/>
  <c r="H199" i="113" a="1"/>
  <c r="H199" i="113" s="1"/>
  <c r="G199" i="113" a="1"/>
  <c r="G199" i="113" s="1"/>
  <c r="F199" i="113" a="1"/>
  <c r="F199" i="113" s="1"/>
  <c r="E199" i="113" a="1"/>
  <c r="E199" i="113" s="1"/>
  <c r="D199" i="113" a="1"/>
  <c r="D199" i="113" s="1"/>
  <c r="H198" i="113" a="1"/>
  <c r="H198" i="113" s="1"/>
  <c r="G198" i="113" a="1"/>
  <c r="G198" i="113" s="1"/>
  <c r="F198" i="113" a="1"/>
  <c r="F198" i="113" s="1"/>
  <c r="E198" i="113" a="1"/>
  <c r="E198" i="113" s="1"/>
  <c r="D198" i="113" a="1"/>
  <c r="D198" i="113" s="1"/>
  <c r="H197" i="113" a="1"/>
  <c r="H197" i="113" s="1"/>
  <c r="G197" i="113" a="1"/>
  <c r="G197" i="113" s="1"/>
  <c r="F197" i="113" a="1"/>
  <c r="F197" i="113" s="1"/>
  <c r="E197" i="113" a="1"/>
  <c r="E197" i="113" s="1"/>
  <c r="D197" i="113" a="1"/>
  <c r="D197" i="113" s="1"/>
  <c r="H196" i="113" a="1"/>
  <c r="H196" i="113" s="1"/>
  <c r="G196" i="113" a="1"/>
  <c r="G196" i="113" s="1"/>
  <c r="F196" i="113" a="1"/>
  <c r="F196" i="113" s="1"/>
  <c r="E196" i="113" a="1"/>
  <c r="E196" i="113" s="1"/>
  <c r="D196" i="113" a="1"/>
  <c r="D196" i="113" s="1"/>
  <c r="H195" i="113" a="1"/>
  <c r="H195" i="113" s="1"/>
  <c r="G195" i="113" a="1"/>
  <c r="G195" i="113" s="1"/>
  <c r="F195" i="113" a="1"/>
  <c r="F195" i="113" s="1"/>
  <c r="E195" i="113" a="1"/>
  <c r="E195" i="113" s="1"/>
  <c r="D195" i="113" a="1"/>
  <c r="D195" i="113" s="1"/>
  <c r="H194" i="113" a="1"/>
  <c r="H194" i="113" s="1"/>
  <c r="G194" i="113" a="1"/>
  <c r="G194" i="113" s="1"/>
  <c r="F194" i="113" a="1"/>
  <c r="F194" i="113" s="1"/>
  <c r="E194" i="113" a="1"/>
  <c r="E194" i="113" s="1"/>
  <c r="D194" i="113" a="1"/>
  <c r="D194" i="113" s="1"/>
  <c r="H193" i="113" a="1"/>
  <c r="H193" i="113" s="1"/>
  <c r="G193" i="113" a="1"/>
  <c r="G193" i="113" s="1"/>
  <c r="F193" i="113" a="1"/>
  <c r="F193" i="113" s="1"/>
  <c r="E193" i="113" a="1"/>
  <c r="E193" i="113" s="1"/>
  <c r="D193" i="113" a="1"/>
  <c r="D193" i="113" s="1"/>
  <c r="H192" i="113" a="1"/>
  <c r="H192" i="113" s="1"/>
  <c r="G192" i="113" a="1"/>
  <c r="G192" i="113" s="1"/>
  <c r="F192" i="113" a="1"/>
  <c r="F192" i="113" s="1"/>
  <c r="E192" i="113" a="1"/>
  <c r="E192" i="113" s="1"/>
  <c r="D192" i="113" a="1"/>
  <c r="D192" i="113" s="1"/>
  <c r="H191" i="113" a="1"/>
  <c r="H191" i="113" s="1"/>
  <c r="G191" i="113" a="1"/>
  <c r="G191" i="113" s="1"/>
  <c r="F191" i="113" a="1"/>
  <c r="F191" i="113" s="1"/>
  <c r="E191" i="113" a="1"/>
  <c r="E191" i="113" s="1"/>
  <c r="D191" i="113" a="1"/>
  <c r="D191" i="113" s="1"/>
  <c r="H190" i="113" a="1"/>
  <c r="H190" i="113" s="1"/>
  <c r="G190" i="113" a="1"/>
  <c r="G190" i="113" s="1"/>
  <c r="F190" i="113" a="1"/>
  <c r="F190" i="113" s="1"/>
  <c r="E190" i="113" a="1"/>
  <c r="E190" i="113" s="1"/>
  <c r="D190" i="113" a="1"/>
  <c r="D190" i="113" s="1"/>
  <c r="H189" i="113" a="1"/>
  <c r="H189" i="113" s="1"/>
  <c r="G189" i="113" a="1"/>
  <c r="G189" i="113" s="1"/>
  <c r="F189" i="113" a="1"/>
  <c r="F189" i="113" s="1"/>
  <c r="E189" i="113" a="1"/>
  <c r="E189" i="113" s="1"/>
  <c r="D189" i="113" a="1"/>
  <c r="D189" i="113" s="1"/>
  <c r="H188" i="113" a="1"/>
  <c r="H188" i="113" s="1"/>
  <c r="G188" i="113" a="1"/>
  <c r="G188" i="113" s="1"/>
  <c r="F188" i="113" a="1"/>
  <c r="F188" i="113" s="1"/>
  <c r="E188" i="113" a="1"/>
  <c r="E188" i="113" s="1"/>
  <c r="D188" i="113" a="1"/>
  <c r="D188" i="113" s="1"/>
  <c r="H187" i="113" a="1"/>
  <c r="H187" i="113" s="1"/>
  <c r="G187" i="113" a="1"/>
  <c r="G187" i="113" s="1"/>
  <c r="F187" i="113" a="1"/>
  <c r="F187" i="113" s="1"/>
  <c r="E187" i="113" a="1"/>
  <c r="E187" i="113" s="1"/>
  <c r="D187" i="113" a="1"/>
  <c r="D187" i="113" s="1"/>
  <c r="D181" i="113" a="1"/>
  <c r="D181" i="113" s="1"/>
  <c r="D180" i="113" a="1"/>
  <c r="D180" i="113" s="1"/>
  <c r="D179" i="113" a="1"/>
  <c r="D179" i="113" s="1"/>
  <c r="D178" i="113" a="1"/>
  <c r="D178" i="113" s="1"/>
  <c r="E175" i="113" a="1"/>
  <c r="E175" i="113" s="1"/>
  <c r="D175" i="113" a="1"/>
  <c r="D175" i="113" s="1"/>
  <c r="D174" i="113" a="1"/>
  <c r="D174" i="113" s="1"/>
  <c r="D173" i="113" a="1"/>
  <c r="D173" i="113" s="1"/>
  <c r="D170" i="113" a="1"/>
  <c r="D170" i="113" s="1"/>
  <c r="D169" i="113" a="1"/>
  <c r="D169" i="113" s="1"/>
  <c r="D168" i="113" a="1"/>
  <c r="D168" i="113" s="1"/>
  <c r="D167" i="113" a="1"/>
  <c r="D167" i="113" s="1"/>
  <c r="D164" i="113" a="1"/>
  <c r="D164" i="113" s="1"/>
  <c r="D163" i="113" a="1"/>
  <c r="D163" i="113" s="1"/>
  <c r="D162" i="113" a="1"/>
  <c r="D162" i="113" s="1"/>
  <c r="D161" i="113" a="1"/>
  <c r="D161" i="113" s="1"/>
  <c r="E158" i="113" a="1"/>
  <c r="E158" i="113" s="1"/>
  <c r="D158" i="113" a="1"/>
  <c r="D158" i="113" s="1"/>
  <c r="E157" i="113" a="1"/>
  <c r="E157" i="113" s="1"/>
  <c r="D157" i="113" a="1"/>
  <c r="D157" i="113" s="1"/>
  <c r="E156" i="113" a="1"/>
  <c r="E156" i="113" s="1"/>
  <c r="D156" i="113" a="1"/>
  <c r="D156" i="113" s="1"/>
  <c r="E155" i="113" a="1"/>
  <c r="E155" i="113" s="1"/>
  <c r="D155" i="113" a="1"/>
  <c r="D155" i="113" s="1"/>
  <c r="E154" i="113" a="1"/>
  <c r="E154" i="113" s="1"/>
  <c r="D154" i="113" a="1"/>
  <c r="D154" i="113" s="1"/>
  <c r="D151" i="113" a="1"/>
  <c r="D151" i="113" s="1"/>
  <c r="D150" i="113" a="1"/>
  <c r="D150" i="113" s="1"/>
  <c r="E147" i="113" a="1"/>
  <c r="E147" i="113" s="1"/>
  <c r="D147" i="113" a="1"/>
  <c r="D147" i="113" s="1"/>
  <c r="E146" i="113" a="1"/>
  <c r="E146" i="113" s="1"/>
  <c r="D146" i="113" a="1"/>
  <c r="D146" i="113" s="1"/>
  <c r="E145" i="113" a="1"/>
  <c r="E145" i="113" s="1"/>
  <c r="D145" i="113" a="1"/>
  <c r="D145" i="113" s="1"/>
  <c r="E144" i="113" a="1"/>
  <c r="E144" i="113" s="1"/>
  <c r="D144" i="113" a="1"/>
  <c r="D144" i="113" s="1"/>
  <c r="E143" i="113" a="1"/>
  <c r="E143" i="113" s="1"/>
  <c r="D143" i="113" a="1"/>
  <c r="D143" i="113" s="1"/>
  <c r="D141" i="113" a="1"/>
  <c r="D141" i="113" s="1"/>
  <c r="D140" i="113" a="1"/>
  <c r="D140" i="113" s="1"/>
  <c r="D139" i="113" a="1"/>
  <c r="D139" i="113" s="1"/>
  <c r="E136" i="113" a="1"/>
  <c r="E136" i="113" s="1"/>
  <c r="D136" i="113" a="1"/>
  <c r="D136" i="113" s="1"/>
  <c r="E135" i="113" a="1"/>
  <c r="E135" i="113" s="1"/>
  <c r="D135" i="113" a="1"/>
  <c r="D135" i="113" s="1"/>
  <c r="D133" i="113" a="1"/>
  <c r="D133" i="113" s="1"/>
  <c r="D132" i="113" a="1"/>
  <c r="D132" i="113" s="1"/>
  <c r="E129" i="113" a="1"/>
  <c r="E129" i="113" s="1"/>
  <c r="D129" i="113" a="1"/>
  <c r="D129" i="113" s="1"/>
  <c r="E128" i="113" a="1"/>
  <c r="E128" i="113" s="1"/>
  <c r="D128" i="113" a="1"/>
  <c r="D128" i="113" s="1"/>
  <c r="D125" i="113" a="1"/>
  <c r="D125" i="113" s="1"/>
  <c r="D124" i="113" a="1"/>
  <c r="D124" i="113" s="1"/>
  <c r="G121" i="113" a="1"/>
  <c r="G121" i="113" s="1"/>
  <c r="F121" i="113" a="1"/>
  <c r="F121" i="113" s="1"/>
  <c r="E121" i="113" a="1"/>
  <c r="E121" i="113" s="1"/>
  <c r="D121" i="113" a="1"/>
  <c r="D121" i="113" s="1"/>
  <c r="G120" i="113" a="1"/>
  <c r="G120" i="113" s="1"/>
  <c r="F120" i="113" a="1"/>
  <c r="F120" i="113" s="1"/>
  <c r="E120" i="113" a="1"/>
  <c r="E120" i="113" s="1"/>
  <c r="D120" i="113" a="1"/>
  <c r="D120" i="113" s="1"/>
  <c r="D117" i="113" a="1"/>
  <c r="D117" i="113" s="1"/>
  <c r="D116" i="113" a="1"/>
  <c r="D116" i="113" s="1"/>
  <c r="D115" i="113" a="1"/>
  <c r="D115" i="113" s="1"/>
  <c r="G112" i="113" a="1"/>
  <c r="G112" i="113" s="1"/>
  <c r="F112" i="113" a="1"/>
  <c r="F112" i="113" s="1"/>
  <c r="E112" i="113" a="1"/>
  <c r="E112" i="113" s="1"/>
  <c r="D112" i="113" a="1"/>
  <c r="D112" i="113" s="1"/>
  <c r="G111" i="113" a="1"/>
  <c r="G111" i="113" s="1"/>
  <c r="F111" i="113" a="1"/>
  <c r="F111" i="113" s="1"/>
  <c r="E111" i="113" a="1"/>
  <c r="E111" i="113" s="1"/>
  <c r="D111" i="113" a="1"/>
  <c r="D111" i="113" s="1"/>
  <c r="G110" i="113" a="1"/>
  <c r="G110" i="113" s="1"/>
  <c r="F110" i="113" a="1"/>
  <c r="F110" i="113" s="1"/>
  <c r="E110" i="113" a="1"/>
  <c r="E110" i="113" s="1"/>
  <c r="D110" i="113" a="1"/>
  <c r="D110" i="113" s="1"/>
  <c r="D107" i="113" a="1"/>
  <c r="D107" i="113" s="1"/>
  <c r="D106" i="113" a="1"/>
  <c r="D106" i="113" s="1"/>
  <c r="D105" i="113" a="1"/>
  <c r="D105" i="113" s="1"/>
  <c r="D99" i="113" a="1"/>
  <c r="D99" i="113" s="1"/>
  <c r="S97" i="113" a="1"/>
  <c r="S97" i="113" s="1"/>
  <c r="R97" i="113" a="1"/>
  <c r="R97" i="113" s="1"/>
  <c r="Q97" i="113" a="1"/>
  <c r="Q97" i="113" s="1"/>
  <c r="P97" i="113" a="1"/>
  <c r="P97" i="113" s="1"/>
  <c r="O97" i="113" a="1"/>
  <c r="O97" i="113" s="1"/>
  <c r="N97" i="113" a="1"/>
  <c r="N97" i="113" s="1"/>
  <c r="M97" i="113" a="1"/>
  <c r="M97" i="113" s="1"/>
  <c r="L97" i="113" a="1"/>
  <c r="L97" i="113" s="1"/>
  <c r="K97" i="113" a="1"/>
  <c r="K97" i="113" s="1"/>
  <c r="J97" i="113" a="1"/>
  <c r="J97" i="113" s="1"/>
  <c r="I97" i="113" a="1"/>
  <c r="I97" i="113" s="1"/>
  <c r="H97" i="113" a="1"/>
  <c r="H97" i="113" s="1"/>
  <c r="G97" i="113" a="1"/>
  <c r="G97" i="113" s="1"/>
  <c r="F97" i="113" a="1"/>
  <c r="F97" i="113" s="1"/>
  <c r="E97" i="113" a="1"/>
  <c r="E97" i="113" s="1"/>
  <c r="D97" i="113" a="1"/>
  <c r="D97" i="113" s="1"/>
  <c r="S96" i="113" a="1"/>
  <c r="S96" i="113" s="1"/>
  <c r="R96" i="113" a="1"/>
  <c r="R96" i="113" s="1"/>
  <c r="Q96" i="113" a="1"/>
  <c r="Q96" i="113" s="1"/>
  <c r="P96" i="113" a="1"/>
  <c r="P96" i="113" s="1"/>
  <c r="O96" i="113" a="1"/>
  <c r="O96" i="113" s="1"/>
  <c r="N96" i="113" a="1"/>
  <c r="N96" i="113" s="1"/>
  <c r="M96" i="113" a="1"/>
  <c r="M96" i="113" s="1"/>
  <c r="L96" i="113" a="1"/>
  <c r="L96" i="113" s="1"/>
  <c r="K96" i="113" a="1"/>
  <c r="K96" i="113" s="1"/>
  <c r="J96" i="113" a="1"/>
  <c r="J96" i="113" s="1"/>
  <c r="I96" i="113" a="1"/>
  <c r="I96" i="113" s="1"/>
  <c r="H96" i="113" a="1"/>
  <c r="H96" i="113" s="1"/>
  <c r="G96" i="113" a="1"/>
  <c r="G96" i="113" s="1"/>
  <c r="F96" i="113" a="1"/>
  <c r="F96" i="113" s="1"/>
  <c r="E96" i="113" a="1"/>
  <c r="E96" i="113" s="1"/>
  <c r="D96" i="113" a="1"/>
  <c r="D96" i="113" s="1"/>
  <c r="S95" i="113" a="1"/>
  <c r="S95" i="113" s="1"/>
  <c r="R95" i="113" a="1"/>
  <c r="R95" i="113" s="1"/>
  <c r="Q95" i="113" a="1"/>
  <c r="Q95" i="113" s="1"/>
  <c r="P95" i="113" a="1"/>
  <c r="P95" i="113" s="1"/>
  <c r="O95" i="113" a="1"/>
  <c r="O95" i="113" s="1"/>
  <c r="N95" i="113" a="1"/>
  <c r="N95" i="113" s="1"/>
  <c r="M95" i="113" a="1"/>
  <c r="M95" i="113" s="1"/>
  <c r="L95" i="113" a="1"/>
  <c r="L95" i="113" s="1"/>
  <c r="K95" i="113" a="1"/>
  <c r="K95" i="113" s="1"/>
  <c r="J95" i="113" a="1"/>
  <c r="J95" i="113" s="1"/>
  <c r="I95" i="113" a="1"/>
  <c r="I95" i="113" s="1"/>
  <c r="H95" i="113" a="1"/>
  <c r="H95" i="113" s="1"/>
  <c r="G95" i="113" a="1"/>
  <c r="G95" i="113" s="1"/>
  <c r="F95" i="113" a="1"/>
  <c r="F95" i="113" s="1"/>
  <c r="E95" i="113" a="1"/>
  <c r="E95" i="113" s="1"/>
  <c r="D95" i="113" a="1"/>
  <c r="D95" i="113" s="1"/>
  <c r="S94" i="113" a="1"/>
  <c r="S94" i="113" s="1"/>
  <c r="R94" i="113" a="1"/>
  <c r="R94" i="113" s="1"/>
  <c r="Q94" i="113" a="1"/>
  <c r="Q94" i="113" s="1"/>
  <c r="P94" i="113" a="1"/>
  <c r="P94" i="113" s="1"/>
  <c r="O94" i="113" a="1"/>
  <c r="O94" i="113" s="1"/>
  <c r="N94" i="113" a="1"/>
  <c r="N94" i="113" s="1"/>
  <c r="M94" i="113" a="1"/>
  <c r="M94" i="113" s="1"/>
  <c r="L94" i="113" a="1"/>
  <c r="L94" i="113" s="1"/>
  <c r="K94" i="113" a="1"/>
  <c r="K94" i="113" s="1"/>
  <c r="J94" i="113" a="1"/>
  <c r="J94" i="113" s="1"/>
  <c r="I94" i="113" a="1"/>
  <c r="I94" i="113" s="1"/>
  <c r="H94" i="113" a="1"/>
  <c r="H94" i="113" s="1"/>
  <c r="G94" i="113" a="1"/>
  <c r="G94" i="113" s="1"/>
  <c r="F94" i="113" a="1"/>
  <c r="F94" i="113" s="1"/>
  <c r="E94" i="113" a="1"/>
  <c r="E94" i="113" s="1"/>
  <c r="D94" i="113" a="1"/>
  <c r="D94" i="113" s="1"/>
  <c r="S93" i="113" a="1"/>
  <c r="S93" i="113" s="1"/>
  <c r="R93" i="113" a="1"/>
  <c r="R93" i="113" s="1"/>
  <c r="Q93" i="113" a="1"/>
  <c r="Q93" i="113" s="1"/>
  <c r="P93" i="113" a="1"/>
  <c r="P93" i="113" s="1"/>
  <c r="O93" i="113" a="1"/>
  <c r="O93" i="113" s="1"/>
  <c r="N93" i="113" a="1"/>
  <c r="N93" i="113" s="1"/>
  <c r="M93" i="113" a="1"/>
  <c r="M93" i="113" s="1"/>
  <c r="L93" i="113" a="1"/>
  <c r="L93" i="113" s="1"/>
  <c r="K93" i="113" a="1"/>
  <c r="K93" i="113" s="1"/>
  <c r="J93" i="113" a="1"/>
  <c r="J93" i="113" s="1"/>
  <c r="I93" i="113" a="1"/>
  <c r="I93" i="113" s="1"/>
  <c r="H93" i="113" a="1"/>
  <c r="H93" i="113" s="1"/>
  <c r="G93" i="113" a="1"/>
  <c r="G93" i="113" s="1"/>
  <c r="F93" i="113" a="1"/>
  <c r="F93" i="113" s="1"/>
  <c r="E93" i="113" a="1"/>
  <c r="E93" i="113" s="1"/>
  <c r="D93" i="113" a="1"/>
  <c r="D93" i="113" s="1"/>
  <c r="S92" i="113" a="1"/>
  <c r="S92" i="113" s="1"/>
  <c r="R92" i="113" a="1"/>
  <c r="R92" i="113" s="1"/>
  <c r="Q92" i="113" a="1"/>
  <c r="Q92" i="113" s="1"/>
  <c r="P92" i="113" a="1"/>
  <c r="P92" i="113" s="1"/>
  <c r="O92" i="113" a="1"/>
  <c r="O92" i="113" s="1"/>
  <c r="N92" i="113" a="1"/>
  <c r="N92" i="113" s="1"/>
  <c r="M92" i="113" a="1"/>
  <c r="M92" i="113" s="1"/>
  <c r="L92" i="113" a="1"/>
  <c r="L92" i="113" s="1"/>
  <c r="K92" i="113" a="1"/>
  <c r="K92" i="113" s="1"/>
  <c r="J92" i="113" a="1"/>
  <c r="J92" i="113" s="1"/>
  <c r="I92" i="113" a="1"/>
  <c r="I92" i="113" s="1"/>
  <c r="H92" i="113" a="1"/>
  <c r="H92" i="113" s="1"/>
  <c r="G92" i="113" a="1"/>
  <c r="G92" i="113" s="1"/>
  <c r="F92" i="113" a="1"/>
  <c r="F92" i="113" s="1"/>
  <c r="E92" i="113" a="1"/>
  <c r="E92" i="113" s="1"/>
  <c r="D92" i="113" a="1"/>
  <c r="D92" i="113" s="1"/>
  <c r="S91" i="113" a="1"/>
  <c r="S91" i="113" s="1"/>
  <c r="R91" i="113" a="1"/>
  <c r="R91" i="113" s="1"/>
  <c r="Q91" i="113" a="1"/>
  <c r="Q91" i="113" s="1"/>
  <c r="P91" i="113" a="1"/>
  <c r="P91" i="113" s="1"/>
  <c r="O91" i="113" a="1"/>
  <c r="O91" i="113" s="1"/>
  <c r="N91" i="113" a="1"/>
  <c r="N91" i="113" s="1"/>
  <c r="M91" i="113" a="1"/>
  <c r="M91" i="113" s="1"/>
  <c r="L91" i="113" a="1"/>
  <c r="L91" i="113" s="1"/>
  <c r="K91" i="113" a="1"/>
  <c r="K91" i="113" s="1"/>
  <c r="J91" i="113" a="1"/>
  <c r="J91" i="113" s="1"/>
  <c r="I91" i="113" a="1"/>
  <c r="I91" i="113" s="1"/>
  <c r="H91" i="113" a="1"/>
  <c r="H91" i="113" s="1"/>
  <c r="G91" i="113" a="1"/>
  <c r="G91" i="113" s="1"/>
  <c r="F91" i="113" a="1"/>
  <c r="F91" i="113" s="1"/>
  <c r="E91" i="113" a="1"/>
  <c r="E91" i="113" s="1"/>
  <c r="D91" i="113" a="1"/>
  <c r="D91" i="113" s="1"/>
  <c r="S90" i="113" a="1"/>
  <c r="S90" i="113" s="1"/>
  <c r="R90" i="113" a="1"/>
  <c r="R90" i="113" s="1"/>
  <c r="Q90" i="113" a="1"/>
  <c r="Q90" i="113" s="1"/>
  <c r="P90" i="113" a="1"/>
  <c r="P90" i="113" s="1"/>
  <c r="O90" i="113" a="1"/>
  <c r="O90" i="113" s="1"/>
  <c r="N90" i="113" a="1"/>
  <c r="N90" i="113" s="1"/>
  <c r="M90" i="113" a="1"/>
  <c r="M90" i="113" s="1"/>
  <c r="L90" i="113" a="1"/>
  <c r="L90" i="113" s="1"/>
  <c r="K90" i="113" a="1"/>
  <c r="K90" i="113" s="1"/>
  <c r="J90" i="113" a="1"/>
  <c r="J90" i="113" s="1"/>
  <c r="I90" i="113" a="1"/>
  <c r="I90" i="113" s="1"/>
  <c r="H90" i="113" a="1"/>
  <c r="H90" i="113" s="1"/>
  <c r="G90" i="113" a="1"/>
  <c r="G90" i="113" s="1"/>
  <c r="F90" i="113" a="1"/>
  <c r="F90" i="113" s="1"/>
  <c r="E90" i="113" a="1"/>
  <c r="E90" i="113" s="1"/>
  <c r="D90" i="113" a="1"/>
  <c r="D90" i="113" s="1"/>
  <c r="D83" i="113" a="1"/>
  <c r="D83" i="113" s="1"/>
  <c r="D82" i="113" a="1"/>
  <c r="D82" i="113" s="1"/>
  <c r="D81" i="113" a="1"/>
  <c r="D81" i="113" s="1"/>
  <c r="E77" i="113" a="1"/>
  <c r="E77" i="113" s="1"/>
  <c r="D77" i="113" a="1"/>
  <c r="D77" i="113" s="1"/>
  <c r="E76" i="113" a="1"/>
  <c r="E76" i="113" s="1"/>
  <c r="D76" i="113" a="1"/>
  <c r="D76" i="113" s="1"/>
  <c r="E75" i="113" a="1"/>
  <c r="E75" i="113" s="1"/>
  <c r="D75" i="113" a="1"/>
  <c r="D75" i="113" s="1"/>
  <c r="E74" i="113" a="1"/>
  <c r="E74" i="113" s="1"/>
  <c r="D74" i="113" a="1"/>
  <c r="D74" i="113" s="1"/>
  <c r="E73" i="113" a="1"/>
  <c r="E73" i="113" s="1"/>
  <c r="D73" i="113" a="1"/>
  <c r="D73" i="113" s="1"/>
  <c r="E72" i="113" a="1"/>
  <c r="E72" i="113" s="1"/>
  <c r="D72" i="113" a="1"/>
  <c r="D72" i="113" s="1"/>
  <c r="E71" i="113" a="1"/>
  <c r="E71" i="113" s="1"/>
  <c r="D71" i="113" a="1"/>
  <c r="D71" i="113" s="1"/>
  <c r="E70" i="113" a="1"/>
  <c r="E70" i="113" s="1"/>
  <c r="D70" i="113" a="1"/>
  <c r="D70" i="113" s="1"/>
  <c r="E69" i="113" a="1"/>
  <c r="E69" i="113" s="1"/>
  <c r="D69" i="113" a="1"/>
  <c r="D69" i="113" s="1"/>
  <c r="E68" i="113" a="1"/>
  <c r="E68" i="113" s="1"/>
  <c r="D68" i="113" a="1"/>
  <c r="D68" i="113" s="1"/>
  <c r="E67" i="113" a="1"/>
  <c r="E67" i="113" s="1"/>
  <c r="D67" i="113" a="1"/>
  <c r="D67" i="113" s="1"/>
  <c r="E66" i="113" a="1"/>
  <c r="E66" i="113" s="1"/>
  <c r="D66" i="113" a="1"/>
  <c r="D66" i="113" s="1"/>
  <c r="E65" i="113" a="1"/>
  <c r="E65" i="113" s="1"/>
  <c r="D65" i="113" a="1"/>
  <c r="D65" i="113" s="1"/>
  <c r="E64" i="113" a="1"/>
  <c r="E64" i="113" s="1"/>
  <c r="D64" i="113" a="1"/>
  <c r="D64" i="113" s="1"/>
  <c r="D59" i="113" a="1"/>
  <c r="D59" i="113" s="1"/>
  <c r="D58" i="113" a="1"/>
  <c r="D58" i="113" s="1"/>
  <c r="D57" i="113" a="1"/>
  <c r="D57" i="113" s="1"/>
  <c r="G54" i="113" a="1"/>
  <c r="G54" i="113" s="1"/>
  <c r="F54" i="113" a="1"/>
  <c r="F54" i="113" s="1"/>
  <c r="E54" i="113" a="1"/>
  <c r="E54" i="113" s="1"/>
  <c r="D54" i="113" a="1"/>
  <c r="D54" i="113" s="1"/>
  <c r="G53" i="113" a="1"/>
  <c r="G53" i="113" s="1"/>
  <c r="F53" i="113" a="1"/>
  <c r="F53" i="113" s="1"/>
  <c r="E53" i="113" a="1"/>
  <c r="E53" i="113" s="1"/>
  <c r="D53" i="113" a="1"/>
  <c r="D53" i="113" s="1"/>
  <c r="G52" i="113" a="1"/>
  <c r="G52" i="113" s="1"/>
  <c r="F52" i="113" a="1"/>
  <c r="F52" i="113" s="1"/>
  <c r="E52" i="113" a="1"/>
  <c r="E52" i="113" s="1"/>
  <c r="D52" i="113" a="1"/>
  <c r="D52" i="113" s="1"/>
  <c r="G51" i="113" a="1"/>
  <c r="G51" i="113" s="1"/>
  <c r="F51" i="113" a="1"/>
  <c r="F51" i="113" s="1"/>
  <c r="E51" i="113" a="1"/>
  <c r="E51" i="113" s="1"/>
  <c r="D51" i="113" a="1"/>
  <c r="D51" i="113" s="1"/>
  <c r="G50" i="113" a="1"/>
  <c r="G50" i="113" s="1"/>
  <c r="F50" i="113" a="1"/>
  <c r="F50" i="113" s="1"/>
  <c r="E50" i="113" a="1"/>
  <c r="E50" i="113" s="1"/>
  <c r="D50" i="113" a="1"/>
  <c r="D50" i="113" s="1"/>
  <c r="G49" i="113" a="1"/>
  <c r="G49" i="113" s="1"/>
  <c r="F49" i="113" a="1"/>
  <c r="F49" i="113" s="1"/>
  <c r="E49" i="113" a="1"/>
  <c r="E49" i="113" s="1"/>
  <c r="D49" i="113" a="1"/>
  <c r="D49" i="113" s="1"/>
  <c r="G48" i="113" a="1"/>
  <c r="G48" i="113" s="1"/>
  <c r="F48" i="113" a="1"/>
  <c r="F48" i="113" s="1"/>
  <c r="E48" i="113" a="1"/>
  <c r="E48" i="113" s="1"/>
  <c r="D48" i="113" a="1"/>
  <c r="D48" i="113" s="1"/>
  <c r="D46" i="113" a="1"/>
  <c r="D46" i="113" s="1"/>
  <c r="D45" i="113" a="1"/>
  <c r="D45" i="113" s="1"/>
  <c r="E43" i="113" a="1"/>
  <c r="E43" i="113" s="1"/>
  <c r="D43" i="113" a="1"/>
  <c r="D43" i="113" s="1"/>
  <c r="E42" i="113" a="1"/>
  <c r="E42" i="113" s="1"/>
  <c r="D42" i="113" a="1"/>
  <c r="D42" i="113" s="1"/>
  <c r="E41" i="113" a="1"/>
  <c r="E41" i="113" s="1"/>
  <c r="D41" i="113" a="1"/>
  <c r="D41" i="113" s="1"/>
  <c r="E40" i="113" a="1"/>
  <c r="E40" i="113" s="1"/>
  <c r="D40" i="113" a="1"/>
  <c r="D40" i="113" s="1"/>
  <c r="E39" i="113" a="1"/>
  <c r="E39" i="113" s="1"/>
  <c r="D39" i="113" a="1"/>
  <c r="D39" i="113" s="1"/>
  <c r="E38" i="113" a="1"/>
  <c r="E38" i="113" s="1"/>
  <c r="D38" i="113" a="1"/>
  <c r="D38" i="113" s="1"/>
  <c r="E37" i="113" a="1"/>
  <c r="E37" i="113" s="1"/>
  <c r="D37" i="113" a="1"/>
  <c r="D37" i="113" s="1"/>
  <c r="D35" i="113" a="1"/>
  <c r="D35" i="113" s="1"/>
  <c r="D34" i="113" a="1"/>
  <c r="D34" i="113" s="1"/>
  <c r="D30" i="113" a="1"/>
  <c r="D30" i="113" s="1"/>
  <c r="D29" i="113" a="1"/>
  <c r="D29" i="113" s="1"/>
  <c r="D28" i="113" a="1"/>
  <c r="D28" i="113" s="1"/>
  <c r="D27" i="113" a="1"/>
  <c r="D27" i="113" s="1"/>
  <c r="D26" i="113" a="1"/>
  <c r="D26" i="113" s="1"/>
  <c r="D25" i="113" a="1"/>
  <c r="D25" i="113" s="1"/>
  <c r="D24" i="113" a="1"/>
  <c r="D24" i="113" s="1"/>
  <c r="D23" i="113" a="1"/>
  <c r="D23" i="113" s="1"/>
  <c r="D22" i="113" a="1"/>
  <c r="D22" i="113" s="1"/>
  <c r="D21" i="113" a="1"/>
  <c r="D21" i="113" s="1"/>
  <c r="D19" i="113" a="1"/>
  <c r="D19" i="113" s="1"/>
  <c r="D18" i="113" a="1"/>
  <c r="D18" i="113" s="1"/>
  <c r="F14" i="113" a="1"/>
  <c r="F14" i="113" s="1"/>
  <c r="E14" i="113" a="1"/>
  <c r="E14" i="113" s="1"/>
  <c r="D14" i="113" a="1"/>
  <c r="D14" i="113" s="1"/>
  <c r="F13" i="113" a="1"/>
  <c r="F13" i="113" s="1"/>
  <c r="E13" i="113" a="1"/>
  <c r="E13" i="113" s="1"/>
  <c r="D13" i="113" a="1"/>
  <c r="D13" i="113" s="1"/>
  <c r="F12" i="113" a="1"/>
  <c r="F12" i="113" s="1"/>
  <c r="E12" i="113" a="1"/>
  <c r="E12" i="113" s="1"/>
  <c r="D12" i="113" a="1"/>
  <c r="D12" i="113" s="1"/>
  <c r="F11" i="113" a="1"/>
  <c r="F11" i="113" s="1"/>
  <c r="E11" i="113" a="1"/>
  <c r="E11" i="113" s="1"/>
  <c r="D11" i="113" a="1"/>
  <c r="D11" i="113" s="1"/>
  <c r="F10" i="113" a="1"/>
  <c r="F10" i="113" s="1"/>
  <c r="E10" i="113" a="1"/>
  <c r="E10" i="113" s="1"/>
  <c r="D10" i="113" a="1"/>
  <c r="D10" i="113" s="1"/>
  <c r="F9" i="113" a="1"/>
  <c r="F9" i="113" s="1"/>
  <c r="E9" i="113" a="1"/>
  <c r="E9" i="113" s="1"/>
  <c r="D9" i="113" a="1"/>
  <c r="D9" i="113" s="1"/>
  <c r="F8" i="113" a="1"/>
  <c r="F8" i="113" s="1"/>
  <c r="E8" i="113" a="1"/>
  <c r="E8" i="113" s="1"/>
  <c r="D8" i="113" a="1"/>
  <c r="D8" i="113" s="1"/>
  <c r="F7" i="113" a="1"/>
  <c r="F7" i="113" s="1"/>
  <c r="E7" i="113" a="1"/>
  <c r="E7" i="113" s="1"/>
  <c r="D7" i="113" a="1"/>
  <c r="D7" i="113" s="1"/>
  <c r="D5" i="113" a="1"/>
  <c r="D5" i="113" s="1"/>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S135" i="69"/>
  <c r="Q130" i="69" a="1"/>
  <c r="Q130" i="69" s="1"/>
  <c r="N130" i="69" a="1"/>
  <c r="N130" i="69" s="1"/>
  <c r="S133" i="69" a="1"/>
  <c r="S133" i="69" s="1"/>
  <c r="S132" i="69" a="1"/>
  <c r="S132" i="69" s="1"/>
  <c r="S131" i="69" a="1"/>
  <c r="S131" i="69" s="1"/>
  <c r="S130" i="69" a="1"/>
  <c r="S130" i="69" s="1"/>
  <c r="D123" i="69" a="1"/>
  <c r="D123" i="69" s="1"/>
  <c r="H53" i="113" l="1"/>
  <c r="H52" i="113"/>
  <c r="H50" i="113"/>
  <c r="H49" i="113"/>
  <c r="H54" i="113"/>
  <c r="H48" i="113"/>
  <c r="H51" i="113"/>
  <c r="N81" i="69"/>
  <c r="N80" i="69"/>
  <c r="N79" i="69"/>
  <c r="N78" i="69"/>
  <c r="N77" i="69"/>
  <c r="N76" i="69"/>
  <c r="N75" i="69"/>
  <c r="N74" i="69"/>
  <c r="N73" i="69"/>
  <c r="D81" i="69"/>
  <c r="D80" i="69"/>
  <c r="D79" i="69"/>
  <c r="D78" i="69"/>
  <c r="D77" i="69"/>
  <c r="D76" i="69"/>
  <c r="D75" i="69"/>
  <c r="D74" i="69"/>
  <c r="D73" i="69"/>
  <c r="S55" i="69"/>
  <c r="Q50" i="69" a="1"/>
  <c r="Q50" i="69" s="1"/>
  <c r="N50" i="69" a="1"/>
  <c r="N50" i="69" s="1"/>
  <c r="S53" i="69" a="1"/>
  <c r="S53" i="69" s="1"/>
  <c r="S52" i="69" a="1"/>
  <c r="S52" i="69" s="1"/>
  <c r="S51" i="69" a="1"/>
  <c r="S51" i="69" s="1"/>
  <c r="S50" i="69" a="1"/>
  <c r="S50" i="69" s="1"/>
  <c r="A24" i="43"/>
  <c r="A23" i="43"/>
  <c r="A22" i="43"/>
  <c r="A19" i="43"/>
  <c r="A18" i="43"/>
  <c r="A17" i="43"/>
  <c r="A16" i="43"/>
  <c r="A15" i="43"/>
  <c r="A14" i="43"/>
  <c r="A13" i="43"/>
  <c r="A12" i="43"/>
  <c r="A9" i="43"/>
  <c r="A8" i="43"/>
  <c r="A5" i="43"/>
  <c r="A4" i="43"/>
  <c r="A3" i="43"/>
  <c r="A24" i="79"/>
  <c r="A23" i="79"/>
  <c r="A22" i="79"/>
  <c r="A19" i="79"/>
  <c r="A18" i="79"/>
  <c r="A17" i="79"/>
  <c r="A16" i="79"/>
  <c r="A15" i="79"/>
  <c r="A14" i="79"/>
  <c r="A13" i="79"/>
  <c r="A12" i="79"/>
  <c r="A9" i="79"/>
  <c r="A8" i="79"/>
  <c r="A5" i="79"/>
  <c r="A4" i="79"/>
  <c r="A3" i="79"/>
  <c r="A24" i="108"/>
  <c r="A23" i="108"/>
  <c r="A22" i="108"/>
  <c r="A19" i="108"/>
  <c r="A18" i="108"/>
  <c r="A17" i="108"/>
  <c r="A16" i="108"/>
  <c r="A15" i="108"/>
  <c r="A14" i="108"/>
  <c r="A13" i="108"/>
  <c r="A12" i="108"/>
  <c r="A9" i="108"/>
  <c r="A8" i="108"/>
  <c r="A5" i="108"/>
  <c r="A4" i="108"/>
  <c r="A3" i="108"/>
  <c r="A24" i="107"/>
  <c r="A23" i="107"/>
  <c r="A22" i="107"/>
  <c r="A19" i="107"/>
  <c r="A18" i="107"/>
  <c r="A17" i="107"/>
  <c r="A16" i="107"/>
  <c r="A15" i="107"/>
  <c r="A14" i="107"/>
  <c r="A13" i="107"/>
  <c r="A12" i="107"/>
  <c r="A9" i="107"/>
  <c r="A8" i="107"/>
  <c r="A5" i="107"/>
  <c r="A4" i="107"/>
  <c r="A3" i="107"/>
  <c r="A24" i="106"/>
  <c r="A23" i="106"/>
  <c r="A22" i="106"/>
  <c r="A19" i="106"/>
  <c r="A18" i="106"/>
  <c r="A17" i="106"/>
  <c r="A16" i="106"/>
  <c r="A15" i="106"/>
  <c r="A14" i="106"/>
  <c r="A13" i="106"/>
  <c r="A12" i="106"/>
  <c r="A9" i="106"/>
  <c r="A8" i="106"/>
  <c r="A5" i="106"/>
  <c r="A4" i="106"/>
  <c r="A3" i="106"/>
  <c r="A24" i="105"/>
  <c r="A23" i="105"/>
  <c r="A22" i="105"/>
  <c r="A19" i="105"/>
  <c r="A18" i="105"/>
  <c r="A17" i="105"/>
  <c r="A16" i="105"/>
  <c r="A15" i="105"/>
  <c r="A14" i="105"/>
  <c r="A13" i="105"/>
  <c r="A12" i="105"/>
  <c r="A9" i="105"/>
  <c r="A8" i="105"/>
  <c r="A5" i="105"/>
  <c r="A4" i="105"/>
  <c r="A3" i="105"/>
  <c r="A24" i="98"/>
  <c r="A23" i="98"/>
  <c r="A22" i="98"/>
  <c r="A19" i="98"/>
  <c r="A18" i="98"/>
  <c r="A17" i="98"/>
  <c r="A16" i="98"/>
  <c r="A15" i="98"/>
  <c r="A14" i="98"/>
  <c r="A13" i="98"/>
  <c r="A12" i="98"/>
  <c r="A9" i="98"/>
  <c r="A8" i="98"/>
  <c r="A5" i="98"/>
  <c r="A4" i="98"/>
  <c r="A3" i="98"/>
  <c r="A24" i="97"/>
  <c r="A23" i="97"/>
  <c r="A22" i="97"/>
  <c r="A19" i="97"/>
  <c r="A18" i="97"/>
  <c r="A17" i="97"/>
  <c r="A16" i="97"/>
  <c r="A15" i="97"/>
  <c r="A14" i="97"/>
  <c r="A13" i="97"/>
  <c r="A12" i="97"/>
  <c r="A9" i="97"/>
  <c r="A8" i="97"/>
  <c r="A5" i="97"/>
  <c r="A4" i="97"/>
  <c r="A3" i="97"/>
  <c r="A24" i="76"/>
  <c r="A23" i="76"/>
  <c r="A22" i="76"/>
  <c r="A19" i="76"/>
  <c r="A18" i="76"/>
  <c r="A17" i="76"/>
  <c r="A16" i="76"/>
  <c r="A15" i="76"/>
  <c r="A14" i="76"/>
  <c r="A13" i="76"/>
  <c r="A12" i="76"/>
  <c r="A9" i="76"/>
  <c r="A8" i="76"/>
  <c r="A5" i="76"/>
  <c r="A4" i="76"/>
  <c r="A3" i="76"/>
  <c r="A24" i="69"/>
  <c r="A23" i="69"/>
  <c r="A22" i="69"/>
  <c r="A19" i="69"/>
  <c r="A18" i="69"/>
  <c r="A17" i="69"/>
  <c r="A16" i="69"/>
  <c r="A15" i="69"/>
  <c r="A14" i="69"/>
  <c r="A13" i="69"/>
  <c r="A12" i="69"/>
  <c r="A9" i="69"/>
  <c r="A8" i="69"/>
  <c r="A5" i="69"/>
  <c r="A4" i="69"/>
  <c r="A3" i="69"/>
  <c r="A24" i="70"/>
  <c r="A23" i="70"/>
  <c r="A22" i="70"/>
  <c r="A19" i="70"/>
  <c r="A18" i="70"/>
  <c r="A17" i="70"/>
  <c r="A16" i="70"/>
  <c r="A15" i="70"/>
  <c r="A14" i="70"/>
  <c r="A13" i="70"/>
  <c r="A12" i="70"/>
  <c r="A9" i="70"/>
  <c r="A8" i="70"/>
  <c r="A5" i="70"/>
  <c r="A4" i="70"/>
  <c r="A3" i="70"/>
  <c r="A24" i="15"/>
  <c r="A23" i="15"/>
  <c r="A22" i="15"/>
  <c r="A19" i="15"/>
  <c r="A18" i="15"/>
  <c r="A17" i="15"/>
  <c r="A16" i="15"/>
  <c r="A15" i="15"/>
  <c r="A14" i="15"/>
  <c r="A13" i="15"/>
  <c r="A12" i="15"/>
  <c r="A9" i="15"/>
  <c r="A8" i="15"/>
  <c r="A5" i="15"/>
  <c r="A4" i="15"/>
  <c r="A3" i="15"/>
  <c r="A24" i="111"/>
  <c r="A23" i="111"/>
  <c r="A22" i="111"/>
  <c r="A19" i="111"/>
  <c r="A18" i="111"/>
  <c r="A17" i="111"/>
  <c r="A16" i="111"/>
  <c r="A15" i="111"/>
  <c r="A14" i="111"/>
  <c r="A13" i="111"/>
  <c r="A12" i="111"/>
  <c r="A9" i="111"/>
  <c r="A8" i="111"/>
  <c r="A5" i="111"/>
  <c r="A4" i="111"/>
  <c r="A3" i="111"/>
  <c r="A4" i="13"/>
  <c r="R43" i="108" l="1"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T27" i="98"/>
  <c r="I13" i="98" a="1"/>
  <c r="I13" i="98" s="1"/>
  <c r="G13" i="98" a="1"/>
  <c r="G13" i="98" s="1"/>
  <c r="J27" i="98" s="1"/>
  <c r="D13" i="98" a="1"/>
  <c r="D13" i="98" s="1"/>
  <c r="Q89" i="97" a="1"/>
  <c r="Q89" i="97" s="1"/>
  <c r="N89" i="97" a="1"/>
  <c r="N89" i="97" s="1"/>
  <c r="G89" i="97" a="1"/>
  <c r="G89" i="97" s="1"/>
  <c r="D89" i="97" a="1"/>
  <c r="D89" i="97" s="1"/>
  <c r="F45" i="97"/>
  <c r="I14" i="97" a="1"/>
  <c r="I14" i="97" s="1"/>
  <c r="I13" i="97" a="1"/>
  <c r="I13" i="97" s="1"/>
  <c r="G13" i="97" a="1"/>
  <c r="G13" i="97" s="1"/>
  <c r="T22" i="97" s="1"/>
  <c r="D13" i="97" a="1"/>
  <c r="D13" i="97" s="1"/>
  <c r="A101" i="97"/>
  <c r="A79" i="97"/>
  <c r="A218" i="69"/>
  <c r="A171" i="69"/>
  <c r="A116" i="69"/>
  <c r="A88" i="69"/>
  <c r="A55" i="76"/>
  <c r="A84" i="76"/>
  <c r="A113" i="76"/>
  <c r="A154" i="76"/>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F138" i="76"/>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F184" i="105"/>
  <c r="F179" i="105"/>
  <c r="F174" i="105"/>
  <c r="F173" i="105"/>
  <c r="D62" i="105"/>
  <c r="D49" i="105"/>
  <c r="F90" i="105"/>
  <c r="E173" i="69"/>
  <c r="D56" i="70"/>
  <c r="E156" i="105" s="1"/>
  <c r="D49" i="70"/>
  <c r="E149" i="69" s="1"/>
  <c r="D42" i="70"/>
  <c r="E210" i="69" s="1"/>
  <c r="F100" i="105"/>
  <c r="F95" i="105"/>
  <c r="J22" i="97" l="1"/>
  <c r="H77" i="76"/>
  <c r="J67" i="105"/>
  <c r="T67" i="105"/>
  <c r="G86" i="105"/>
  <c r="I20" i="106"/>
  <c r="T22" i="105"/>
  <c r="F41" i="105"/>
  <c r="G170" i="105"/>
  <c r="F54" i="105"/>
  <c r="G50" i="69"/>
  <c r="P73" i="69"/>
  <c r="F108" i="69"/>
  <c r="R20" i="69"/>
  <c r="H25" i="69"/>
  <c r="H30" i="69"/>
  <c r="I60" i="69"/>
  <c r="H68" i="69"/>
  <c r="F73" i="69"/>
  <c r="R25" i="69"/>
  <c r="J140" i="69"/>
  <c r="H197" i="69"/>
  <c r="E119" i="105"/>
  <c r="E36" i="105"/>
  <c r="O210" i="69"/>
  <c r="E233" i="76"/>
  <c r="E35" i="97"/>
  <c r="E40" i="97"/>
  <c r="O40" i="97"/>
  <c r="O36" i="105"/>
  <c r="E144" i="69"/>
  <c r="O70" i="97"/>
  <c r="E193" i="105"/>
  <c r="E146" i="105"/>
  <c r="E76" i="105"/>
  <c r="O215" i="69"/>
  <c r="O76" i="105"/>
  <c r="E215" i="69"/>
  <c r="O65" i="97"/>
  <c r="E220" i="69"/>
  <c r="E114" i="105"/>
  <c r="E174" i="76"/>
  <c r="O151" i="105"/>
  <c r="E179" i="76"/>
  <c r="O243" i="76"/>
  <c r="E179" i="105"/>
  <c r="E184" i="76"/>
  <c r="O238" i="76"/>
  <c r="O156" i="105"/>
  <c r="O119" i="105"/>
  <c r="I23" i="108"/>
  <c r="I19" i="107"/>
  <c r="O233" i="76"/>
  <c r="O193" i="105"/>
  <c r="O114" i="105"/>
  <c r="E81" i="105"/>
  <c r="E154" i="69"/>
  <c r="O220" i="69"/>
  <c r="E30" i="97"/>
  <c r="O146" i="105"/>
  <c r="E151" i="105"/>
  <c r="O81" i="105"/>
  <c r="O109" i="105"/>
  <c r="E100" i="105"/>
  <c r="E198" i="105"/>
  <c r="E193" i="76"/>
  <c r="O71" i="105"/>
  <c r="O173" i="69"/>
  <c r="E203" i="76"/>
  <c r="E65" i="97"/>
  <c r="E26" i="105"/>
  <c r="E203" i="105"/>
  <c r="E163" i="69"/>
  <c r="O30" i="97"/>
  <c r="E71" i="105"/>
  <c r="E174" i="105"/>
  <c r="E90" i="105"/>
  <c r="O168" i="69"/>
  <c r="O193" i="76"/>
  <c r="E70" i="97"/>
  <c r="O26" i="105"/>
  <c r="O203" i="105"/>
  <c r="O198" i="105"/>
  <c r="E198" i="76"/>
  <c r="E184" i="105"/>
  <c r="E109" i="105"/>
  <c r="O35" i="97"/>
  <c r="E95" i="105"/>
  <c r="O163" i="69"/>
  <c r="O198" i="76"/>
  <c r="E238" i="76"/>
  <c r="E75" i="97"/>
  <c r="E31" i="105"/>
  <c r="O203" i="76"/>
  <c r="E243" i="76"/>
  <c r="O75" i="97"/>
  <c r="O31" i="105"/>
  <c r="J170" i="76"/>
  <c r="H48" i="76"/>
  <c r="I100" i="76"/>
  <c r="F130" i="76"/>
  <c r="H20" i="76"/>
  <c r="H25" i="76"/>
  <c r="R25" i="76"/>
  <c r="A14" i="13" l="1"/>
  <c r="A22" i="13"/>
  <c r="A9" i="13"/>
  <c r="A19" i="13"/>
  <c r="A18" i="13"/>
  <c r="A17" i="13"/>
  <c r="A24" i="13"/>
  <c r="A23" i="13"/>
  <c r="A16" i="13"/>
  <c r="A15" i="13"/>
  <c r="A13" i="13"/>
  <c r="A12" i="13"/>
  <c r="P52" i="108" a="1"/>
  <c r="P52" i="108" s="1"/>
  <c r="N49" i="108" a="1"/>
  <c r="N49" i="108" s="1"/>
  <c r="F52" i="108" a="1"/>
  <c r="F52" i="108" s="1"/>
  <c r="D49" i="108" a="1"/>
  <c r="D49" i="108" s="1"/>
  <c r="E41" i="108" a="1"/>
  <c r="E41" i="108" s="1"/>
  <c r="E40" i="108" a="1"/>
  <c r="E40" i="108" s="1"/>
  <c r="D36" i="108" a="1"/>
  <c r="D36" i="108" s="1"/>
  <c r="D35" i="108" a="1"/>
  <c r="D35" i="108" s="1"/>
  <c r="D5" i="108" a="1"/>
  <c r="D5" i="108" s="1"/>
  <c r="I18" i="108"/>
  <c r="I17" i="108"/>
  <c r="I16" i="108"/>
  <c r="I14" i="108" s="1"/>
  <c r="E11" i="108" a="1"/>
  <c r="E11" i="108" s="1"/>
  <c r="I28" i="108" s="1"/>
  <c r="E10" i="108" a="1"/>
  <c r="E10" i="108" s="1"/>
  <c r="D6" i="108" a="1"/>
  <c r="D6" i="108" s="1"/>
  <c r="O50" i="107" a="1"/>
  <c r="O50" i="107" s="1"/>
  <c r="M47" i="107" a="1"/>
  <c r="M47" i="107" s="1"/>
  <c r="F50" i="107" a="1"/>
  <c r="F50" i="107" s="1"/>
  <c r="D47" i="107" a="1"/>
  <c r="D47" i="107" s="1"/>
  <c r="I42" i="107"/>
  <c r="I41" i="107"/>
  <c r="I39" i="107" s="1"/>
  <c r="I93" i="97"/>
  <c r="I92" i="97"/>
  <c r="I90" i="9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F183" i="105"/>
  <c r="F182" i="105"/>
  <c r="F181" i="105"/>
  <c r="F180" i="105"/>
  <c r="F178" i="105"/>
  <c r="F177" i="105"/>
  <c r="F176" i="105"/>
  <c r="F175" i="105"/>
  <c r="F172" i="105"/>
  <c r="F171" i="105"/>
  <c r="F170" i="105"/>
  <c r="E131" i="105" a="1"/>
  <c r="E131" i="105" s="1"/>
  <c r="E130" i="105" a="1"/>
  <c r="E130" i="105" s="1"/>
  <c r="D126" i="105" a="1"/>
  <c r="D126" i="105" s="1"/>
  <c r="D125" i="105" a="1"/>
  <c r="D125" i="105" s="1"/>
  <c r="D5" i="105" a="1"/>
  <c r="D5" i="105" s="1"/>
  <c r="E37" i="108" a="1"/>
  <c r="E7" i="107" a="1"/>
  <c r="E127" i="105" a="1"/>
  <c r="E7" i="108" a="1"/>
  <c r="E7" i="106" a="1"/>
  <c r="E7" i="105" a="1"/>
  <c r="E32" i="107" a="1"/>
  <c r="P158" i="105" l="1"/>
  <c r="J142" i="105"/>
  <c r="T142" i="105"/>
  <c r="P30" i="108"/>
  <c r="O45" i="107"/>
  <c r="F47" i="108"/>
  <c r="P47" i="108"/>
  <c r="S28" i="108"/>
  <c r="E37" i="108"/>
  <c r="E7" i="108"/>
  <c r="F30" i="108"/>
  <c r="F158" i="105"/>
  <c r="I25" i="106"/>
  <c r="P27" i="106"/>
  <c r="E32" i="107"/>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I18" i="98"/>
  <c r="I17" i="98"/>
  <c r="I16" i="98"/>
  <c r="I14" i="98"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I183" i="76"/>
  <c r="H183" i="76"/>
  <c r="G183" i="76"/>
  <c r="F183" i="76"/>
  <c r="I182" i="76"/>
  <c r="H182" i="76"/>
  <c r="G182" i="76"/>
  <c r="F182" i="76"/>
  <c r="I181" i="76"/>
  <c r="H181" i="76"/>
  <c r="G181" i="76"/>
  <c r="F181" i="76"/>
  <c r="I180" i="76"/>
  <c r="H180" i="76"/>
  <c r="G180" i="76"/>
  <c r="F180" i="76"/>
  <c r="I178" i="76"/>
  <c r="H178" i="76"/>
  <c r="G178" i="76"/>
  <c r="F178" i="76"/>
  <c r="I177" i="76"/>
  <c r="H177" i="76"/>
  <c r="G177" i="76"/>
  <c r="F177" i="76"/>
  <c r="I176" i="76"/>
  <c r="H176" i="76"/>
  <c r="G176" i="76"/>
  <c r="F176" i="76"/>
  <c r="I175" i="76"/>
  <c r="H175" i="76"/>
  <c r="G175" i="76"/>
  <c r="F175" i="76"/>
  <c r="I173" i="76"/>
  <c r="H173" i="76"/>
  <c r="G173" i="76"/>
  <c r="F173" i="76"/>
  <c r="I172" i="76"/>
  <c r="H172" i="76"/>
  <c r="G172" i="76"/>
  <c r="F172" i="76"/>
  <c r="I171" i="76"/>
  <c r="H171" i="76"/>
  <c r="G171" i="76"/>
  <c r="F171" i="76"/>
  <c r="I170" i="76"/>
  <c r="H170" i="76"/>
  <c r="G170" i="76"/>
  <c r="F170" i="76"/>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H103" i="76"/>
  <c r="G103" i="76"/>
  <c r="F103" i="76"/>
  <c r="E103" i="76"/>
  <c r="H102" i="76"/>
  <c r="G102" i="76"/>
  <c r="F102" i="76"/>
  <c r="E102" i="76"/>
  <c r="H101" i="76"/>
  <c r="G101" i="76"/>
  <c r="F101" i="76"/>
  <c r="E101" i="76"/>
  <c r="H100" i="76"/>
  <c r="G100" i="76"/>
  <c r="F100" i="76"/>
  <c r="E100" i="76"/>
  <c r="E92" i="76" a="1"/>
  <c r="E92" i="76" s="1"/>
  <c r="E91" i="76" a="1"/>
  <c r="E91" i="76" s="1"/>
  <c r="D87" i="76" a="1"/>
  <c r="D87" i="76" s="1"/>
  <c r="D86" i="76" a="1"/>
  <c r="D86" i="76" s="1"/>
  <c r="G77" i="76"/>
  <c r="F77" i="76"/>
  <c r="E77" i="76"/>
  <c r="D77" i="76"/>
  <c r="G72" i="76"/>
  <c r="F72" i="76"/>
  <c r="E72" i="76"/>
  <c r="D72" i="76"/>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G197" i="69"/>
  <c r="F197" i="69"/>
  <c r="E197" i="69"/>
  <c r="D197" i="69"/>
  <c r="G192" i="69"/>
  <c r="F192" i="69"/>
  <c r="E192" i="69"/>
  <c r="D192" i="69"/>
  <c r="E183" i="69" a="1"/>
  <c r="E183" i="69" s="1"/>
  <c r="E182" i="69" a="1"/>
  <c r="E182" i="69" s="1"/>
  <c r="D178" i="69" a="1"/>
  <c r="D178" i="69" s="1"/>
  <c r="D177" i="69" a="1"/>
  <c r="D177" i="69" s="1"/>
  <c r="D121" i="69" a="1"/>
  <c r="D121" i="69" s="1"/>
  <c r="I153" i="69"/>
  <c r="H153" i="69"/>
  <c r="G153" i="69"/>
  <c r="F153" i="69"/>
  <c r="I152" i="69"/>
  <c r="H152" i="69"/>
  <c r="G152" i="69"/>
  <c r="F152" i="69"/>
  <c r="I151" i="69"/>
  <c r="H151" i="69"/>
  <c r="G151" i="69"/>
  <c r="F151" i="69"/>
  <c r="I150" i="69"/>
  <c r="H150" i="69"/>
  <c r="G150" i="69"/>
  <c r="F150" i="69"/>
  <c r="I148" i="69"/>
  <c r="H148" i="69"/>
  <c r="G148" i="69"/>
  <c r="F148" i="69"/>
  <c r="I147" i="69"/>
  <c r="H147" i="69"/>
  <c r="G147" i="69"/>
  <c r="F147" i="69"/>
  <c r="I146" i="69"/>
  <c r="H146" i="69"/>
  <c r="G146" i="69"/>
  <c r="F146" i="69"/>
  <c r="I145" i="69"/>
  <c r="H145" i="69"/>
  <c r="G145" i="69"/>
  <c r="F145" i="69"/>
  <c r="I143" i="69"/>
  <c r="H143" i="69"/>
  <c r="G143" i="69"/>
  <c r="F143" i="69"/>
  <c r="I142" i="69"/>
  <c r="H142" i="69"/>
  <c r="G142" i="69"/>
  <c r="F142" i="69"/>
  <c r="I141" i="69"/>
  <c r="H141" i="69"/>
  <c r="G141" i="69"/>
  <c r="F141" i="69"/>
  <c r="I140" i="69"/>
  <c r="H140" i="69"/>
  <c r="G140" i="69"/>
  <c r="F140" i="69"/>
  <c r="I135" i="69"/>
  <c r="D93" i="69" a="1"/>
  <c r="D93" i="69" s="1"/>
  <c r="E99" i="69" a="1"/>
  <c r="E99" i="69" s="1"/>
  <c r="S115" i="69" s="1"/>
  <c r="E98" i="69" a="1"/>
  <c r="E98" i="69" s="1"/>
  <c r="D94" i="69" a="1"/>
  <c r="D94" i="69" s="1"/>
  <c r="D40" i="69" a="1"/>
  <c r="D40" i="69" s="1"/>
  <c r="H63" i="69"/>
  <c r="G63" i="69"/>
  <c r="F63" i="69"/>
  <c r="E63" i="69"/>
  <c r="H62" i="69"/>
  <c r="G62" i="69"/>
  <c r="F62" i="69"/>
  <c r="E62" i="69"/>
  <c r="H61" i="69"/>
  <c r="G61" i="69"/>
  <c r="F61" i="69"/>
  <c r="E61" i="69"/>
  <c r="H60" i="69"/>
  <c r="G60" i="69"/>
  <c r="F60" i="69"/>
  <c r="E60" i="69"/>
  <c r="I55" i="69"/>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F99" i="105"/>
  <c r="F89" i="105"/>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Q25" i="76" s="1"/>
  <c r="G11" i="79" a="1"/>
  <c r="G11" i="79" s="1"/>
  <c r="P25" i="76" s="1"/>
  <c r="F11" i="79" a="1"/>
  <c r="F11" i="79" s="1"/>
  <c r="O25" i="76" s="1"/>
  <c r="E11" i="79" a="1"/>
  <c r="E11" i="79" s="1"/>
  <c r="N25" i="76" s="1"/>
  <c r="D11" i="79" a="1"/>
  <c r="D11" i="79" s="1"/>
  <c r="H10" i="79" a="1"/>
  <c r="H10" i="79" s="1"/>
  <c r="Q25" i="69" s="1"/>
  <c r="G10" i="79" a="1"/>
  <c r="G10" i="79" s="1"/>
  <c r="P25" i="69" s="1"/>
  <c r="F10" i="79" a="1"/>
  <c r="F10" i="79" s="1"/>
  <c r="O25" i="69" s="1"/>
  <c r="E10" i="79" a="1"/>
  <c r="E10" i="79" s="1"/>
  <c r="N25" i="69" s="1"/>
  <c r="D10" i="79" a="1"/>
  <c r="D10" i="79" s="1"/>
  <c r="H9" i="79" a="1"/>
  <c r="H9" i="79" s="1"/>
  <c r="G20" i="69" s="1"/>
  <c r="G9" i="79" a="1"/>
  <c r="G9" i="79" s="1"/>
  <c r="P20" i="69" s="1"/>
  <c r="F9" i="79" a="1"/>
  <c r="F9" i="79" s="1"/>
  <c r="O20" i="69" s="1"/>
  <c r="E9" i="79" a="1"/>
  <c r="E9" i="79" s="1"/>
  <c r="N20" i="69" s="1"/>
  <c r="D9" i="79" a="1"/>
  <c r="D9" i="79" s="1"/>
  <c r="D6" i="79" a="1"/>
  <c r="D6" i="79" s="1"/>
  <c r="D5" i="79" a="1"/>
  <c r="D5" i="79" s="1"/>
  <c r="A8" i="13"/>
  <c r="A5" i="13"/>
  <c r="A3" i="13"/>
  <c r="E36" i="76" a="1"/>
  <c r="E7" i="97" a="1"/>
  <c r="E158" i="76" a="1"/>
  <c r="E44" i="69" a="1"/>
  <c r="E7" i="76" a="1"/>
  <c r="E209" i="76" a="1"/>
  <c r="E59" i="76" a="1"/>
  <c r="E7" i="98" a="1"/>
  <c r="E88" i="76" a="1"/>
  <c r="E7" i="69" a="1"/>
  <c r="E42" i="98" a="1"/>
  <c r="E83" i="97" a="1"/>
  <c r="E117" i="76" a="1"/>
  <c r="E179" i="69" a="1"/>
  <c r="E124" i="69" a="1"/>
  <c r="E95" i="69" a="1"/>
  <c r="I154" i="69" l="1"/>
  <c r="I184" i="76"/>
  <c r="H184" i="76"/>
  <c r="H154" i="69"/>
  <c r="G154" i="69"/>
  <c r="G184" i="76"/>
  <c r="F154" i="69"/>
  <c r="F184" i="76"/>
  <c r="I174" i="76"/>
  <c r="I144" i="69"/>
  <c r="H144" i="69"/>
  <c r="H174" i="76"/>
  <c r="G174" i="76"/>
  <c r="G144" i="69"/>
  <c r="F144" i="69"/>
  <c r="F174" i="76"/>
  <c r="E73" i="69"/>
  <c r="E81" i="69"/>
  <c r="E80" i="69"/>
  <c r="E79" i="69"/>
  <c r="E76" i="69"/>
  <c r="E78" i="69"/>
  <c r="E77" i="69"/>
  <c r="E75" i="69"/>
  <c r="E74" i="69"/>
  <c r="R53" i="76"/>
  <c r="H53" i="76"/>
  <c r="F96" i="97"/>
  <c r="P96" i="97"/>
  <c r="E62" i="105" a="1"/>
  <c r="E62" i="105" s="1"/>
  <c r="E49" i="105" a="1"/>
  <c r="E49" i="105" s="1"/>
  <c r="I15" i="98"/>
  <c r="I15" i="108"/>
  <c r="D52" i="70"/>
  <c r="E96" i="105" s="1"/>
  <c r="D53" i="70"/>
  <c r="E181" i="105" s="1"/>
  <c r="D55" i="70"/>
  <c r="O172" i="69" s="1"/>
  <c r="D144" i="76"/>
  <c r="D145" i="76"/>
  <c r="D42" i="105"/>
  <c r="E42" i="105" s="1" a="1"/>
  <c r="E42" i="105" s="1"/>
  <c r="D48" i="97"/>
  <c r="E48" i="97" s="1" a="1"/>
  <c r="E48" i="97" s="1"/>
  <c r="D46" i="70"/>
  <c r="E92" i="105" s="1"/>
  <c r="D49" i="97"/>
  <c r="D47" i="70"/>
  <c r="E149" i="105" s="1"/>
  <c r="D51" i="97"/>
  <c r="E51" i="97" s="1" a="1"/>
  <c r="E51" i="97" s="1"/>
  <c r="D48" i="70"/>
  <c r="E168" i="69" s="1"/>
  <c r="D131" i="76"/>
  <c r="D44" i="70"/>
  <c r="D147" i="105"/>
  <c r="N72" i="105"/>
  <c r="D72" i="105"/>
  <c r="N194" i="105"/>
  <c r="D175" i="105"/>
  <c r="N110" i="105"/>
  <c r="D194" i="105"/>
  <c r="D91" i="105"/>
  <c r="N147" i="105"/>
  <c r="D110" i="105"/>
  <c r="N116" i="69"/>
  <c r="N109" i="76"/>
  <c r="D145" i="69"/>
  <c r="N87" i="69"/>
  <c r="D116" i="69"/>
  <c r="O62" i="97"/>
  <c r="O190" i="105"/>
  <c r="E171" i="105"/>
  <c r="O106" i="105"/>
  <c r="E190" i="105"/>
  <c r="O143" i="105"/>
  <c r="E106" i="105"/>
  <c r="E87" i="105"/>
  <c r="E143" i="105"/>
  <c r="O68" i="105"/>
  <c r="E68" i="105"/>
  <c r="O160" i="69"/>
  <c r="N228" i="76"/>
  <c r="N28" i="108"/>
  <c r="N25" i="106"/>
  <c r="M19" i="107"/>
  <c r="D25" i="106"/>
  <c r="D19" i="107"/>
  <c r="N20" i="106"/>
  <c r="N23" i="108"/>
  <c r="D20" i="106"/>
  <c r="D28" i="108"/>
  <c r="D23" i="108"/>
  <c r="M24" i="107"/>
  <c r="D24" i="107"/>
  <c r="D89" i="69"/>
  <c r="N205" i="69"/>
  <c r="D71" i="97"/>
  <c r="N77" i="105"/>
  <c r="D77" i="105"/>
  <c r="D180" i="105"/>
  <c r="N115" i="105"/>
  <c r="D96" i="105"/>
  <c r="D152" i="105"/>
  <c r="D115" i="105"/>
  <c r="D51" i="70"/>
  <c r="N199" i="105"/>
  <c r="N152" i="105"/>
  <c r="D199" i="105"/>
  <c r="D60" i="69"/>
  <c r="D37" i="70"/>
  <c r="N189" i="105"/>
  <c r="D170" i="105"/>
  <c r="N105" i="105"/>
  <c r="D189" i="105"/>
  <c r="N142" i="105"/>
  <c r="D105" i="105"/>
  <c r="D86" i="105"/>
  <c r="D142" i="105"/>
  <c r="D67" i="105"/>
  <c r="N67" i="105"/>
  <c r="D140" i="69"/>
  <c r="N150" i="76"/>
  <c r="D115" i="69"/>
  <c r="O27" i="105"/>
  <c r="O72" i="105"/>
  <c r="E72" i="105"/>
  <c r="O194" i="105"/>
  <c r="E175" i="105"/>
  <c r="O110" i="105"/>
  <c r="E194" i="105"/>
  <c r="E147" i="105"/>
  <c r="E91" i="105"/>
  <c r="O147" i="105"/>
  <c r="E110" i="105"/>
  <c r="E145" i="69"/>
  <c r="E162" i="69"/>
  <c r="O145" i="105"/>
  <c r="E108" i="105"/>
  <c r="E89" i="105"/>
  <c r="E145" i="105"/>
  <c r="O70" i="105"/>
  <c r="E70" i="105"/>
  <c r="O192" i="105"/>
  <c r="E192" i="105"/>
  <c r="E173" i="105"/>
  <c r="O108" i="105"/>
  <c r="O209" i="69"/>
  <c r="E191" i="76"/>
  <c r="E191" i="105"/>
  <c r="O144" i="105"/>
  <c r="E107" i="105"/>
  <c r="E88" i="105"/>
  <c r="E144" i="105"/>
  <c r="O69" i="105"/>
  <c r="E69" i="105"/>
  <c r="E172" i="105"/>
  <c r="O107" i="105"/>
  <c r="O191" i="105"/>
  <c r="E29" i="105"/>
  <c r="D41" i="105"/>
  <c r="D50" i="97"/>
  <c r="O28" i="105"/>
  <c r="E73" i="105"/>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O115" i="105"/>
  <c r="E77" i="105"/>
  <c r="D46" i="105"/>
  <c r="E46" i="105" s="1" a="1"/>
  <c r="E46" i="105" s="1"/>
  <c r="D56" i="105"/>
  <c r="E56" i="105" s="1" a="1"/>
  <c r="E56" i="105" s="1"/>
  <c r="D138" i="76"/>
  <c r="D47" i="105"/>
  <c r="E47" i="105" s="1" a="1"/>
  <c r="E47" i="105" s="1"/>
  <c r="D57" i="105"/>
  <c r="E57" i="105" s="1" a="1"/>
  <c r="E57" i="105" s="1"/>
  <c r="O200" i="105"/>
  <c r="O78" i="105"/>
  <c r="E242" i="76"/>
  <c r="O202" i="105"/>
  <c r="E183" i="105"/>
  <c r="O118" i="105"/>
  <c r="E155" i="105"/>
  <c r="E80" i="105"/>
  <c r="O80" i="105"/>
  <c r="D38" i="70"/>
  <c r="E34" i="98" s="1"/>
  <c r="E153" i="69"/>
  <c r="D139" i="76"/>
  <c r="D48" i="105"/>
  <c r="E48" i="105" s="1" a="1"/>
  <c r="E48" i="105" s="1"/>
  <c r="D58" i="105"/>
  <c r="E58" i="105" s="1" a="1"/>
  <c r="E58" i="105" s="1"/>
  <c r="E169" i="69"/>
  <c r="O219" i="69"/>
  <c r="D140" i="76"/>
  <c r="D59" i="105"/>
  <c r="E59" i="105" s="1" a="1"/>
  <c r="E59" i="105" s="1"/>
  <c r="D45" i="97"/>
  <c r="E45" i="97" s="1" a="1"/>
  <c r="E45" i="97" s="1"/>
  <c r="E113" i="105"/>
  <c r="E197" i="105"/>
  <c r="D46" i="97"/>
  <c r="P77" i="97"/>
  <c r="J55" i="98"/>
  <c r="E141" i="76" a="1"/>
  <c r="E141" i="76" s="1"/>
  <c r="I14" i="106"/>
  <c r="J202" i="69"/>
  <c r="J159" i="69"/>
  <c r="F245" i="76"/>
  <c r="T225" i="76"/>
  <c r="P245" i="76"/>
  <c r="P222" i="69"/>
  <c r="J189" i="105"/>
  <c r="T189" i="105"/>
  <c r="F205" i="105"/>
  <c r="P205" i="105"/>
  <c r="P121" i="105"/>
  <c r="F121" i="105"/>
  <c r="T105" i="105"/>
  <c r="J105" i="105"/>
  <c r="E60" i="105" a="1"/>
  <c r="E60" i="105" s="1"/>
  <c r="F59" i="98"/>
  <c r="J225" i="76"/>
  <c r="T55" i="98"/>
  <c r="E61" i="105" a="1"/>
  <c r="E61" i="105" s="1"/>
  <c r="E166" i="69"/>
  <c r="E216" i="69"/>
  <c r="O211" i="69"/>
  <c r="D133" i="76"/>
  <c r="E192" i="76"/>
  <c r="O191" i="76"/>
  <c r="E230" i="76"/>
  <c r="E28" i="97"/>
  <c r="D58" i="97"/>
  <c r="E71" i="97"/>
  <c r="N22" i="97"/>
  <c r="N36" i="97"/>
  <c r="O73" i="97"/>
  <c r="N27" i="98"/>
  <c r="N55" i="98"/>
  <c r="E30" i="105"/>
  <c r="O161" i="69"/>
  <c r="E182" i="76"/>
  <c r="D194" i="76"/>
  <c r="O192" i="76"/>
  <c r="E231" i="76"/>
  <c r="E29" i="97"/>
  <c r="D59" i="97"/>
  <c r="E72" i="97"/>
  <c r="N23" i="97"/>
  <c r="O63" i="97"/>
  <c r="D55" i="98"/>
  <c r="D32" i="105"/>
  <c r="D216" i="69"/>
  <c r="D169" i="69"/>
  <c r="O162" i="69"/>
  <c r="D202" i="69"/>
  <c r="E218" i="69"/>
  <c r="O213" i="69"/>
  <c r="D108" i="76"/>
  <c r="D170" i="76"/>
  <c r="E183" i="76"/>
  <c r="E194" i="76"/>
  <c r="N194" i="76"/>
  <c r="E232" i="76"/>
  <c r="O230" i="76"/>
  <c r="D31" i="97"/>
  <c r="D60" i="97"/>
  <c r="E73" i="97"/>
  <c r="N24" i="97"/>
  <c r="O64" i="97"/>
  <c r="D34" i="98"/>
  <c r="N28" i="98"/>
  <c r="E32" i="105"/>
  <c r="N32" i="105"/>
  <c r="N164" i="69"/>
  <c r="D203" i="69"/>
  <c r="E219" i="69"/>
  <c r="N203" i="69"/>
  <c r="D109" i="76"/>
  <c r="D150" i="76"/>
  <c r="E195" i="76"/>
  <c r="O194" i="76"/>
  <c r="D234" i="76"/>
  <c r="N239" i="76"/>
  <c r="E31" i="97"/>
  <c r="D61" i="97"/>
  <c r="E74" i="97"/>
  <c r="N25" i="97"/>
  <c r="O38" i="97"/>
  <c r="N66" i="97"/>
  <c r="O28" i="98"/>
  <c r="D56" i="98"/>
  <c r="N56" i="98"/>
  <c r="E33" i="105"/>
  <c r="O32" i="105"/>
  <c r="E151" i="69"/>
  <c r="O164" i="69"/>
  <c r="D204" i="69"/>
  <c r="O216" i="69"/>
  <c r="D110" i="76"/>
  <c r="D151" i="76"/>
  <c r="E171" i="76"/>
  <c r="E234" i="76"/>
  <c r="O231" i="76"/>
  <c r="O239" i="76"/>
  <c r="E32" i="97"/>
  <c r="E61" i="97"/>
  <c r="N26" i="97"/>
  <c r="O39" i="97"/>
  <c r="O66" i="97"/>
  <c r="D27" i="98"/>
  <c r="D35" i="98"/>
  <c r="N29" i="98"/>
  <c r="E56" i="98"/>
  <c r="O56" i="98"/>
  <c r="E34" i="105"/>
  <c r="E152" i="69"/>
  <c r="O165" i="69"/>
  <c r="O217" i="69"/>
  <c r="D100" i="76"/>
  <c r="D111" i="76"/>
  <c r="D152" i="76"/>
  <c r="E172" i="76"/>
  <c r="E197" i="76"/>
  <c r="O196" i="76"/>
  <c r="N225" i="76"/>
  <c r="E33" i="97"/>
  <c r="E62" i="97"/>
  <c r="O26" i="97"/>
  <c r="N57" i="97"/>
  <c r="E35" i="98"/>
  <c r="O29" i="98"/>
  <c r="D57" i="98"/>
  <c r="D22" i="105"/>
  <c r="E35" i="105"/>
  <c r="O34" i="105"/>
  <c r="D88" i="69"/>
  <c r="D150" i="69"/>
  <c r="E207" i="69"/>
  <c r="N206" i="69"/>
  <c r="O218" i="69"/>
  <c r="D101" i="76"/>
  <c r="N108" i="76"/>
  <c r="E173" i="76"/>
  <c r="D199" i="76"/>
  <c r="O197" i="76"/>
  <c r="E236" i="76"/>
  <c r="O232" i="76"/>
  <c r="O240" i="76"/>
  <c r="E34" i="97"/>
  <c r="E63" i="97"/>
  <c r="O27" i="97"/>
  <c r="N58" i="97"/>
  <c r="O67" i="97"/>
  <c r="D28" i="98"/>
  <c r="D36" i="98"/>
  <c r="E57" i="98"/>
  <c r="N57" i="98"/>
  <c r="N22" i="105"/>
  <c r="O35" i="105"/>
  <c r="E208" i="69"/>
  <c r="D102" i="76"/>
  <c r="D175" i="76"/>
  <c r="E199" i="76"/>
  <c r="N199" i="76"/>
  <c r="N226" i="76"/>
  <c r="D22" i="97"/>
  <c r="D36" i="97"/>
  <c r="E64" i="97"/>
  <c r="O28" i="97"/>
  <c r="N59" i="97"/>
  <c r="O68" i="97"/>
  <c r="E28" i="98"/>
  <c r="E36" i="98"/>
  <c r="O57" i="98"/>
  <c r="E23" i="105"/>
  <c r="E141" i="69"/>
  <c r="E159" i="69"/>
  <c r="O169" i="69"/>
  <c r="E209" i="69"/>
  <c r="D103" i="76"/>
  <c r="N110" i="76"/>
  <c r="N151" i="76"/>
  <c r="E175" i="76"/>
  <c r="E200" i="76"/>
  <c r="O199" i="76"/>
  <c r="D225" i="76"/>
  <c r="D239" i="76"/>
  <c r="N234" i="76"/>
  <c r="O241" i="76"/>
  <c r="D23" i="97"/>
  <c r="D66" i="97"/>
  <c r="O29" i="97"/>
  <c r="D29" i="98"/>
  <c r="N34" i="98"/>
  <c r="E24" i="105"/>
  <c r="O23" i="105"/>
  <c r="E142" i="69"/>
  <c r="E160" i="69"/>
  <c r="E171" i="69"/>
  <c r="O170" i="69"/>
  <c r="E211" i="69"/>
  <c r="O207" i="69"/>
  <c r="N111" i="76"/>
  <c r="N152" i="76"/>
  <c r="E176" i="76"/>
  <c r="E201" i="76"/>
  <c r="D226" i="76"/>
  <c r="E239" i="76"/>
  <c r="N227" i="76"/>
  <c r="O234" i="76"/>
  <c r="D24" i="97"/>
  <c r="E37" i="97"/>
  <c r="E66" i="97"/>
  <c r="N31" i="97"/>
  <c r="N60" i="97"/>
  <c r="O69" i="97"/>
  <c r="O34" i="98"/>
  <c r="E25" i="105"/>
  <c r="O24" i="105"/>
  <c r="E143" i="69"/>
  <c r="E161" i="69"/>
  <c r="E172" i="69"/>
  <c r="O171" i="69"/>
  <c r="E212" i="69"/>
  <c r="E177" i="76"/>
  <c r="D189" i="76"/>
  <c r="E202" i="76"/>
  <c r="O201" i="76"/>
  <c r="D227" i="76"/>
  <c r="O242" i="76"/>
  <c r="D25" i="97"/>
  <c r="E38" i="97"/>
  <c r="E67" i="97"/>
  <c r="O31" i="97"/>
  <c r="N61" i="97"/>
  <c r="N35" i="98"/>
  <c r="D27" i="105"/>
  <c r="O25" i="105"/>
  <c r="N117" i="69"/>
  <c r="D130" i="76"/>
  <c r="E178" i="76"/>
  <c r="E189" i="76"/>
  <c r="N189" i="76"/>
  <c r="O202" i="76"/>
  <c r="D228" i="76"/>
  <c r="O235" i="76"/>
  <c r="D26" i="97"/>
  <c r="E39" i="97"/>
  <c r="E68" i="97"/>
  <c r="O32" i="97"/>
  <c r="O61" i="97"/>
  <c r="N71" i="97"/>
  <c r="O35" i="98"/>
  <c r="E27" i="105"/>
  <c r="N27" i="105"/>
  <c r="E213" i="69"/>
  <c r="O208" i="69"/>
  <c r="E146" i="69"/>
  <c r="E164" i="69"/>
  <c r="D180" i="76"/>
  <c r="E190" i="76"/>
  <c r="O189" i="76"/>
  <c r="D229" i="76"/>
  <c r="E26" i="97"/>
  <c r="E69" i="97"/>
  <c r="O33" i="97"/>
  <c r="O71" i="97"/>
  <c r="N36" i="98"/>
  <c r="E28" i="105"/>
  <c r="D132" i="76"/>
  <c r="E132" i="76" s="1" a="1"/>
  <c r="E132" i="76" s="1"/>
  <c r="E180" i="76"/>
  <c r="O190" i="76"/>
  <c r="N229" i="76"/>
  <c r="O236" i="76"/>
  <c r="E27" i="97"/>
  <c r="D57" i="97"/>
  <c r="E42" i="98"/>
  <c r="J34" i="98"/>
  <c r="E7" i="98"/>
  <c r="E140" i="76" a="1"/>
  <c r="E140" i="76" s="1"/>
  <c r="E49" i="97" a="1"/>
  <c r="E49" i="97" s="1"/>
  <c r="E130" i="76" a="1"/>
  <c r="E130" i="76" s="1"/>
  <c r="E50" i="97" a="1"/>
  <c r="E50" i="97" s="1"/>
  <c r="E131" i="76" a="1"/>
  <c r="E131" i="76" s="1"/>
  <c r="E142" i="76" a="1"/>
  <c r="E142" i="76" s="1"/>
  <c r="E133" i="76" a="1"/>
  <c r="E133" i="76" s="1"/>
  <c r="E143" i="76" a="1"/>
  <c r="E143" i="76" s="1"/>
  <c r="E47" i="97" a="1"/>
  <c r="E47" i="97" s="1"/>
  <c r="E144" i="76" a="1"/>
  <c r="E144" i="76" s="1"/>
  <c r="E145" i="76" a="1"/>
  <c r="E145" i="76" s="1"/>
  <c r="G20" i="76"/>
  <c r="E46" i="97" a="1"/>
  <c r="E46" i="97" s="1"/>
  <c r="E138" i="76" a="1"/>
  <c r="E138" i="76" s="1"/>
  <c r="E139" i="76" a="1"/>
  <c r="E139" i="76" s="1"/>
  <c r="I86" i="69"/>
  <c r="F222" i="69"/>
  <c r="T202" i="69"/>
  <c r="I115" i="69"/>
  <c r="E83" i="97"/>
  <c r="T57" i="97"/>
  <c r="J57" i="97"/>
  <c r="E7" i="97"/>
  <c r="E209" i="76"/>
  <c r="I108" i="76"/>
  <c r="S150" i="76"/>
  <c r="J189" i="76"/>
  <c r="T189" i="76"/>
  <c r="H82" i="76"/>
  <c r="S108" i="76"/>
  <c r="I15" i="76"/>
  <c r="H30" i="76"/>
  <c r="E158" i="76"/>
  <c r="E117" i="76"/>
  <c r="D25" i="76"/>
  <c r="E25" i="76"/>
  <c r="F25" i="76"/>
  <c r="G25" i="76"/>
  <c r="N20" i="76"/>
  <c r="N30" i="76" s="1" a="1"/>
  <c r="N30" i="76" s="1"/>
  <c r="N53" i="76" s="1" a="1"/>
  <c r="N53" i="76" s="1"/>
  <c r="N82" i="76" s="1" a="1"/>
  <c r="N82" i="76" s="1"/>
  <c r="O20" i="76"/>
  <c r="O30" i="76" s="1" a="1"/>
  <c r="O30" i="76" s="1"/>
  <c r="O53" i="76" s="1" a="1"/>
  <c r="O53" i="76" s="1"/>
  <c r="O82" i="76" s="1" a="1"/>
  <c r="O82" i="76" s="1"/>
  <c r="P20" i="76"/>
  <c r="P30" i="76" s="1" a="1"/>
  <c r="P30" i="76" s="1"/>
  <c r="P53" i="76" s="1" a="1"/>
  <c r="P53" i="76" s="1"/>
  <c r="P82" i="76" s="1" a="1"/>
  <c r="P82" i="76" s="1"/>
  <c r="E88" i="76"/>
  <c r="E36" i="76"/>
  <c r="E59" i="76"/>
  <c r="E7" i="76"/>
  <c r="D86" i="69"/>
  <c r="N115" i="69"/>
  <c r="D205" i="69"/>
  <c r="D87" i="69"/>
  <c r="N169" i="69"/>
  <c r="D206" i="69"/>
  <c r="N216" i="69"/>
  <c r="N89" i="69"/>
  <c r="D159" i="69"/>
  <c r="N202" i="69"/>
  <c r="O35" i="69" a="1"/>
  <c r="O35" i="69" s="1"/>
  <c r="D211" i="69"/>
  <c r="N211" i="69"/>
  <c r="D109" i="69"/>
  <c r="E109" i="69" s="1" a="1"/>
  <c r="E109" i="69" s="1"/>
  <c r="D164" i="69"/>
  <c r="N204" i="69"/>
  <c r="N159" i="69"/>
  <c r="D108" i="69"/>
  <c r="N86" i="69"/>
  <c r="E179" i="69"/>
  <c r="E124" i="69"/>
  <c r="E95" i="69"/>
  <c r="N35" i="69" a="1"/>
  <c r="N35" i="69" s="1"/>
  <c r="E25" i="69"/>
  <c r="F25" i="69"/>
  <c r="G25" i="69"/>
  <c r="G35" i="69" s="1" a="1"/>
  <c r="G35" i="69" s="1"/>
  <c r="D25" i="69"/>
  <c r="E68" i="69"/>
  <c r="F68" i="69"/>
  <c r="D61" i="69"/>
  <c r="D110" i="69"/>
  <c r="E110" i="69" s="1" a="1"/>
  <c r="E110" i="69" s="1"/>
  <c r="D62" i="69"/>
  <c r="D63" i="69"/>
  <c r="N88" i="69"/>
  <c r="P35" i="69" a="1"/>
  <c r="P35" i="69" s="1"/>
  <c r="D117" i="69"/>
  <c r="E44" i="69"/>
  <c r="R35" i="69"/>
  <c r="E7" i="69"/>
  <c r="P86" i="69" l="1"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75" i="105"/>
  <c r="E99" i="105"/>
  <c r="E118" i="105"/>
  <c r="O74" i="97"/>
  <c r="O155" i="105"/>
  <c r="E202" i="105"/>
  <c r="O72" i="97"/>
  <c r="E180" i="105"/>
  <c r="O150" i="105"/>
  <c r="O199" i="105"/>
  <c r="O37" i="97"/>
  <c r="O237" i="76"/>
  <c r="O197" i="105"/>
  <c r="O36" i="98"/>
  <c r="E93" i="105"/>
  <c r="E94" i="105"/>
  <c r="E116" i="105"/>
  <c r="O214" i="69"/>
  <c r="O113" i="105"/>
  <c r="O153" i="105"/>
  <c r="O30" i="105"/>
  <c r="E178" i="105"/>
  <c r="E78" i="105"/>
  <c r="E199" i="105"/>
  <c r="O33" i="105"/>
  <c r="O212" i="69"/>
  <c r="O75" i="105"/>
  <c r="E97" i="105"/>
  <c r="O77" i="105"/>
  <c r="E214" i="69"/>
  <c r="O200" i="76"/>
  <c r="E196" i="76"/>
  <c r="E217" i="69"/>
  <c r="E150" i="105"/>
  <c r="E153" i="105"/>
  <c r="E115" i="105"/>
  <c r="O34" i="97"/>
  <c r="E200" i="105"/>
  <c r="O152" i="105"/>
  <c r="E150" i="69"/>
  <c r="E167" i="69"/>
  <c r="E181" i="76"/>
  <c r="O116" i="105"/>
  <c r="E152" i="105"/>
  <c r="E240" i="76"/>
  <c r="E29" i="98"/>
  <c r="E36" i="97"/>
  <c r="E170" i="69"/>
  <c r="E237" i="76"/>
  <c r="O166" i="69"/>
  <c r="E235" i="76"/>
  <c r="O36" i="97"/>
  <c r="O29" i="105"/>
  <c r="E111" i="105"/>
  <c r="E41" i="105" a="1"/>
  <c r="E41" i="105" s="1"/>
  <c r="O148" i="105"/>
  <c r="E112" i="105"/>
  <c r="E195" i="105"/>
  <c r="O149" i="105"/>
  <c r="E170" i="76"/>
  <c r="O195" i="76"/>
  <c r="E147" i="69"/>
  <c r="O74" i="105"/>
  <c r="O73" i="105"/>
  <c r="O112" i="105"/>
  <c r="E148" i="105"/>
  <c r="E177" i="105"/>
  <c r="E176" i="105"/>
  <c r="O196" i="105"/>
  <c r="O111" i="105"/>
  <c r="E74" i="105"/>
  <c r="O195" i="105"/>
  <c r="E196" i="105"/>
  <c r="E148" i="69"/>
  <c r="O167" i="69"/>
  <c r="E165" i="69"/>
  <c r="E229" i="76"/>
  <c r="O189" i="105"/>
  <c r="E170" i="105"/>
  <c r="O105" i="105"/>
  <c r="E189" i="105"/>
  <c r="O142" i="105"/>
  <c r="E105" i="105"/>
  <c r="E86" i="105"/>
  <c r="E142" i="105"/>
  <c r="E67" i="105"/>
  <c r="O67" i="105"/>
  <c r="O159" i="69"/>
  <c r="E140" i="69"/>
  <c r="O206" i="69"/>
  <c r="O22" i="105"/>
  <c r="O55" i="98"/>
  <c r="E241" i="76"/>
  <c r="O201" i="105"/>
  <c r="E182" i="105"/>
  <c r="O117" i="105"/>
  <c r="E201" i="105"/>
  <c r="O154" i="105"/>
  <c r="E117" i="105"/>
  <c r="E98" i="105"/>
  <c r="E79" i="105"/>
  <c r="O79" i="105"/>
  <c r="E154" i="105"/>
  <c r="O229" i="76"/>
  <c r="O27" i="98"/>
  <c r="E22" i="105"/>
  <c r="E55" i="98"/>
  <c r="E27" i="98"/>
  <c r="E206" i="69"/>
  <c r="F20" i="69"/>
  <c r="F35" i="69" s="1" a="1"/>
  <c r="F35" i="69" s="1"/>
  <c r="G116" i="69" s="1" a="1"/>
  <c r="G116" i="69" s="1"/>
  <c r="F20" i="76"/>
  <c r="F30" i="76" s="1" a="1"/>
  <c r="F30" i="76" s="1"/>
  <c r="F53" i="76" s="1" a="1"/>
  <c r="F53" i="76" s="1"/>
  <c r="F82" i="76" s="1" a="1"/>
  <c r="F82" i="76" s="1"/>
  <c r="E20" i="69"/>
  <c r="E35" i="69" s="1" a="1"/>
  <c r="E35" i="69" s="1"/>
  <c r="F116" i="69" s="1" a="1"/>
  <c r="F116" i="69" s="1"/>
  <c r="E20" i="76"/>
  <c r="E30" i="76" s="1" a="1"/>
  <c r="E30" i="76" s="1"/>
  <c r="E53" i="76" s="1" a="1"/>
  <c r="E53" i="76" s="1"/>
  <c r="E82" i="76" s="1" a="1"/>
  <c r="E82" i="76" s="1"/>
  <c r="F109" i="76" s="1" a="1"/>
  <c r="F109" i="76" s="1"/>
  <c r="G30" i="76" a="1"/>
  <c r="G30" i="76" s="1"/>
  <c r="G53" i="76" s="1" a="1"/>
  <c r="G53" i="76" s="1"/>
  <c r="G82" i="76" s="1" a="1"/>
  <c r="G82" i="76" s="1"/>
  <c r="H111" i="76" s="1" a="1"/>
  <c r="H111" i="76" s="1"/>
  <c r="H23" i="108" s="1"/>
  <c r="D20" i="69"/>
  <c r="D35" i="69" s="1" a="1"/>
  <c r="D35" i="69" s="1"/>
  <c r="D20" i="76"/>
  <c r="D30" i="76" s="1" a="1"/>
  <c r="D30" i="76" s="1"/>
  <c r="D53" i="76" s="1" a="1"/>
  <c r="D53" i="76" s="1"/>
  <c r="D82" i="76" s="1" a="1"/>
  <c r="D82" i="76" s="1"/>
  <c r="Q20" i="69"/>
  <c r="Q35" i="69" s="1" a="1"/>
  <c r="Q35" i="69" s="1"/>
  <c r="Q20" i="76"/>
  <c r="Q30" i="76" s="1" a="1"/>
  <c r="Q30" i="76" s="1"/>
  <c r="Q53" i="76" s="1" a="1"/>
  <c r="Q53" i="76" s="1"/>
  <c r="Q82" i="76" s="1" a="1"/>
  <c r="Q82" i="76" s="1"/>
  <c r="Q109" i="76" a="1"/>
  <c r="Q109" i="76" s="1"/>
  <c r="Q151" i="76" s="1" a="1"/>
  <c r="Q151" i="76" s="1"/>
  <c r="Q111" i="76" a="1"/>
  <c r="Q111" i="76" s="1"/>
  <c r="Q23" i="108" s="1"/>
  <c r="Q108" i="76" a="1"/>
  <c r="Q108" i="76" s="1"/>
  <c r="Q150" i="76" s="1" a="1"/>
  <c r="Q150" i="76" s="1"/>
  <c r="Q110" i="76" a="1"/>
  <c r="Q110" i="76" s="1"/>
  <c r="Q152" i="76" s="1" a="1"/>
  <c r="Q152" i="76" s="1"/>
  <c r="P109" i="76" a="1"/>
  <c r="P109" i="76" s="1"/>
  <c r="P151" i="76" s="1" a="1"/>
  <c r="P151" i="76" s="1"/>
  <c r="P111" i="76" a="1"/>
  <c r="P111" i="76" s="1"/>
  <c r="P23" i="108" s="1"/>
  <c r="P108" i="76" a="1"/>
  <c r="P108" i="76" s="1"/>
  <c r="P150" i="76" s="1" a="1"/>
  <c r="P150" i="76" s="1"/>
  <c r="P110" i="76" a="1"/>
  <c r="P110" i="76" s="1"/>
  <c r="P152" i="76" s="1" a="1"/>
  <c r="P152" i="76" s="1"/>
  <c r="O110" i="76" a="1"/>
  <c r="O110" i="76" s="1"/>
  <c r="O152" i="76" s="1" a="1"/>
  <c r="O152" i="76" s="1"/>
  <c r="O109" i="76" a="1"/>
  <c r="O109" i="76" s="1"/>
  <c r="O151" i="76" s="1" a="1"/>
  <c r="O151" i="76" s="1"/>
  <c r="O111" i="76" a="1"/>
  <c r="O111" i="76" s="1"/>
  <c r="O23" i="108" s="1"/>
  <c r="O108" i="76" a="1"/>
  <c r="O108" i="76" s="1"/>
  <c r="O150" i="76" s="1" a="1"/>
  <c r="O150" i="76" s="1"/>
  <c r="H117" i="69" a="1"/>
  <c r="H117" i="69" s="1"/>
  <c r="I173" i="69" s="1" a="1"/>
  <c r="I173" i="69" s="1"/>
  <c r="I220" i="69" s="1" a="1"/>
  <c r="I220" i="69" s="1"/>
  <c r="P116" i="69" a="1"/>
  <c r="P116" i="69" s="1"/>
  <c r="O116" i="69" a="1"/>
  <c r="O116" i="69" s="1"/>
  <c r="Q116" i="69" a="1"/>
  <c r="Q116" i="69" s="1"/>
  <c r="Q117" i="69" a="1"/>
  <c r="Q117" i="69" s="1"/>
  <c r="E108" i="69" a="1"/>
  <c r="E108" i="69" s="1"/>
  <c r="P117" i="69" a="1"/>
  <c r="P117" i="69" s="1"/>
  <c r="H116" i="69" a="1"/>
  <c r="H116" i="69" s="1"/>
  <c r="O117" i="69" a="1"/>
  <c r="O117" i="69" s="1"/>
  <c r="P171" i="69" l="1"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97" i="76" a="1"/>
  <c r="R197" i="76" s="1"/>
  <c r="R196" i="76" a="1"/>
  <c r="R196" i="76" s="1"/>
  <c r="R195" i="76" a="1"/>
  <c r="R195" i="76" s="1"/>
  <c r="R194" i="76" a="1"/>
  <c r="R194" i="76" s="1"/>
  <c r="Q200" i="76" a="1"/>
  <c r="Q200" i="76" s="1"/>
  <c r="Q202" i="76" a="1"/>
  <c r="Q202" i="76" s="1"/>
  <c r="Q199" i="76" a="1"/>
  <c r="Q199" i="76" s="1"/>
  <c r="Q203" i="76" a="1"/>
  <c r="Q203" i="76" s="1"/>
  <c r="Q201" i="76" a="1"/>
  <c r="Q201" i="76" s="1"/>
  <c r="P202" i="76" a="1"/>
  <c r="P202" i="76" s="1"/>
  <c r="P200" i="76" a="1"/>
  <c r="P200" i="76" s="1"/>
  <c r="P199" i="76" a="1"/>
  <c r="P199" i="76" s="1"/>
  <c r="P201" i="76" a="1"/>
  <c r="P201" i="76" s="1"/>
  <c r="P203" i="76" a="1"/>
  <c r="P203" i="76" s="1"/>
  <c r="Q191" i="76" a="1"/>
  <c r="Q191" i="76" s="1"/>
  <c r="Q193" i="76" a="1"/>
  <c r="Q193" i="76" s="1"/>
  <c r="Q190" i="76" a="1"/>
  <c r="Q190" i="76" s="1"/>
  <c r="Q192" i="76" a="1"/>
  <c r="Q192" i="76" s="1"/>
  <c r="Q189" i="76" a="1"/>
  <c r="Q189" i="76" s="1"/>
  <c r="P196" i="76" a="1"/>
  <c r="P196" i="76" s="1"/>
  <c r="P197" i="76" a="1"/>
  <c r="P197" i="76" s="1"/>
  <c r="P195" i="76" a="1"/>
  <c r="P195" i="76" s="1"/>
  <c r="P194" i="76" a="1"/>
  <c r="P194" i="76" s="1"/>
  <c r="P193" i="76" a="1"/>
  <c r="P193" i="76" s="1"/>
  <c r="P190" i="76" a="1"/>
  <c r="P190" i="76" s="1"/>
  <c r="P189" i="76" a="1"/>
  <c r="P189" i="76" s="1"/>
  <c r="P191" i="76" a="1"/>
  <c r="P191" i="76" s="1"/>
  <c r="P192" i="76" a="1"/>
  <c r="P192" i="76" s="1"/>
  <c r="Q196" i="76" a="1"/>
  <c r="Q196" i="76" s="1"/>
  <c r="Q194" i="76" a="1"/>
  <c r="Q194" i="76" s="1"/>
  <c r="Q197" i="76" a="1"/>
  <c r="Q197" i="76" s="1"/>
  <c r="Q195" i="76" a="1"/>
  <c r="Q195" i="76" s="1"/>
  <c r="R203" i="76" a="1"/>
  <c r="R203" i="76" s="1"/>
  <c r="R199" i="76" a="1"/>
  <c r="R199" i="76" s="1"/>
  <c r="R200" i="76" a="1"/>
  <c r="R200" i="76" s="1"/>
  <c r="R201" i="76" a="1"/>
  <c r="R201" i="76" s="1"/>
  <c r="R202" i="76" a="1"/>
  <c r="R202" i="76" s="1"/>
  <c r="R193" i="76" a="1"/>
  <c r="R193" i="76" s="1"/>
  <c r="R190" i="76" a="1"/>
  <c r="R190" i="76" s="1"/>
  <c r="R189" i="76" a="1"/>
  <c r="R189" i="76" s="1"/>
  <c r="R191" i="76" a="1"/>
  <c r="R191" i="76" s="1"/>
  <c r="R192" i="76" a="1"/>
  <c r="R192" i="76" s="1"/>
  <c r="R117" i="69" a="1"/>
  <c r="R117" i="69" s="1"/>
  <c r="O20" i="106"/>
  <c r="N19" i="107"/>
  <c r="N24" i="107" s="1" a="1"/>
  <c r="N24" i="107" s="1"/>
  <c r="H20" i="106"/>
  <c r="H19" i="107"/>
  <c r="H24" i="107" s="1" a="1"/>
  <c r="H24" i="107" s="1"/>
  <c r="P20" i="106"/>
  <c r="O19" i="107"/>
  <c r="O24" i="107" s="1" a="1"/>
  <c r="O24" i="107" s="1"/>
  <c r="F117" i="69" a="1"/>
  <c r="F117" i="69" s="1"/>
  <c r="G173" i="69" s="1" a="1"/>
  <c r="G173" i="69" s="1"/>
  <c r="G220" i="69" s="1" a="1"/>
  <c r="G220" i="69" s="1"/>
  <c r="Q20" i="106"/>
  <c r="P19" i="107"/>
  <c r="P24" i="107" s="1" a="1"/>
  <c r="P24" i="107" s="1"/>
  <c r="Q24" i="97"/>
  <c r="Q59" i="97" s="1" a="1"/>
  <c r="Q59" i="97" s="1"/>
  <c r="Q25" i="97"/>
  <c r="Q60" i="97" s="1" a="1"/>
  <c r="Q60" i="97" s="1"/>
  <c r="P24" i="97"/>
  <c r="P59" i="97" s="1" a="1"/>
  <c r="P59" i="97" s="1"/>
  <c r="Q23" i="97"/>
  <c r="Q58" i="97" s="1" a="1"/>
  <c r="Q58" i="97" s="1"/>
  <c r="R24" i="97"/>
  <c r="R59" i="97" s="1" a="1"/>
  <c r="R59" i="97" s="1"/>
  <c r="R25" i="97"/>
  <c r="R60" i="97" s="1" a="1"/>
  <c r="R60" i="97" s="1"/>
  <c r="R22" i="97"/>
  <c r="R57" i="97" s="1" a="1"/>
  <c r="R57" i="97" s="1"/>
  <c r="R23" i="97"/>
  <c r="R58" i="97" s="1" a="1"/>
  <c r="R58" i="97" s="1"/>
  <c r="Q22" i="97"/>
  <c r="Q57" i="97" s="1" a="1"/>
  <c r="Q57" i="97" s="1"/>
  <c r="P22" i="97"/>
  <c r="P57" i="97" s="1" a="1"/>
  <c r="P57" i="97" s="1"/>
  <c r="P25" i="97"/>
  <c r="P60" i="97" s="1" a="1"/>
  <c r="P60" i="97" s="1"/>
  <c r="P23" i="97"/>
  <c r="P58" i="97" s="1" a="1"/>
  <c r="P58" i="97" s="1"/>
  <c r="F151" i="76" a="1"/>
  <c r="F151" i="76" s="1"/>
  <c r="G23" i="97"/>
  <c r="G58" i="97" s="1" a="1"/>
  <c r="G58" i="97" s="1"/>
  <c r="I25" i="97"/>
  <c r="I60" i="97" s="1" a="1"/>
  <c r="I60" i="97" s="1"/>
  <c r="F108" i="76" a="1"/>
  <c r="F108" i="76" s="1"/>
  <c r="F110" i="76" a="1"/>
  <c r="F110" i="76" s="1"/>
  <c r="F111" i="76" a="1"/>
  <c r="F111" i="76" s="1"/>
  <c r="F23" i="108"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23" i="108" s="1"/>
  <c r="G108" i="76" a="1"/>
  <c r="G108" i="76" s="1"/>
  <c r="G110" i="76" a="1"/>
  <c r="G110" i="76" s="1"/>
  <c r="G115" i="69" a="1"/>
  <c r="G115" i="69" s="1"/>
  <c r="H163" i="69" s="1" a="1"/>
  <c r="H163" i="69" s="1"/>
  <c r="H210" i="69" s="1" a="1"/>
  <c r="H210" i="69" s="1"/>
  <c r="E116" i="69" a="1"/>
  <c r="E116" i="69" s="1"/>
  <c r="R109" i="76" a="1"/>
  <c r="R109" i="76" s="1"/>
  <c r="R151" i="76" s="1" a="1"/>
  <c r="R151" i="76" s="1"/>
  <c r="R108" i="76" a="1"/>
  <c r="R108" i="76" s="1"/>
  <c r="R150" i="76" s="1" a="1"/>
  <c r="R150" i="76" s="1"/>
  <c r="R111" i="76" a="1"/>
  <c r="R111" i="76" s="1"/>
  <c r="R23" i="108" s="1"/>
  <c r="R110" i="76" a="1"/>
  <c r="R110" i="76" s="1"/>
  <c r="R152" i="76" s="1" a="1"/>
  <c r="R152" i="76" s="1"/>
  <c r="E110" i="76" a="1"/>
  <c r="E110" i="76" s="1"/>
  <c r="E109" i="76" a="1"/>
  <c r="E109" i="76" s="1"/>
  <c r="E111" i="76" a="1"/>
  <c r="E111" i="76" s="1"/>
  <c r="E23" i="108"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60" i="69" l="1"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S201" i="76" a="1"/>
  <c r="S201" i="76" s="1"/>
  <c r="S199" i="76" a="1"/>
  <c r="S199" i="76" s="1"/>
  <c r="S203" i="76" a="1"/>
  <c r="S203" i="76" s="1"/>
  <c r="S202" i="76" a="1"/>
  <c r="S202" i="76" s="1"/>
  <c r="S200" i="76" a="1"/>
  <c r="S200" i="76" s="1"/>
  <c r="R30" i="97"/>
  <c r="R26" i="105"/>
  <c r="P30" i="97"/>
  <c r="P26" i="105"/>
  <c r="S192" i="76" a="1"/>
  <c r="S192" i="76" s="1"/>
  <c r="S189" i="76" a="1"/>
  <c r="S189" i="76" s="1"/>
  <c r="S190" i="76" a="1"/>
  <c r="S190" i="76" s="1"/>
  <c r="S191" i="76" a="1"/>
  <c r="S191" i="76" s="1"/>
  <c r="S193" i="76" a="1"/>
  <c r="S193" i="76" s="1"/>
  <c r="S196" i="76" a="1"/>
  <c r="S196" i="76" s="1"/>
  <c r="S194" i="76" a="1"/>
  <c r="S194" i="76" s="1"/>
  <c r="S197" i="76" a="1"/>
  <c r="S197" i="76" s="1"/>
  <c r="S195" i="76" a="1"/>
  <c r="S195" i="76" s="1"/>
  <c r="Q40" i="97"/>
  <c r="Q36" i="105"/>
  <c r="R40" i="97"/>
  <c r="R36" i="105"/>
  <c r="Q28" i="105"/>
  <c r="Q30" i="97"/>
  <c r="Q26" i="105"/>
  <c r="P36" i="105"/>
  <c r="P40" i="97"/>
  <c r="E20" i="106"/>
  <c r="E19" i="107"/>
  <c r="E24" i="107" s="1" a="1"/>
  <c r="E24" i="107" s="1"/>
  <c r="R20" i="106"/>
  <c r="Q19" i="107"/>
  <c r="Q24" i="107" s="1" a="1"/>
  <c r="Q24" i="107" s="1"/>
  <c r="N26" i="107" s="1"/>
  <c r="R38" i="107" s="1"/>
  <c r="N45" i="107" s="1" a="1"/>
  <c r="N45" i="107" s="1"/>
  <c r="F20" i="106"/>
  <c r="F19" i="107"/>
  <c r="F24" i="107" s="1" a="1"/>
  <c r="F24" i="107" s="1"/>
  <c r="G20" i="106"/>
  <c r="G19" i="107"/>
  <c r="G24" i="107" s="1" a="1"/>
  <c r="G24" i="107" s="1"/>
  <c r="Q27" i="105"/>
  <c r="G194" i="76" a="1"/>
  <c r="G194" i="76" s="1"/>
  <c r="G28" i="98" s="1"/>
  <c r="G195" i="76" a="1"/>
  <c r="G195" i="76" s="1"/>
  <c r="G28" i="105" s="1"/>
  <c r="G196" i="76" a="1"/>
  <c r="G196" i="76" s="1"/>
  <c r="G29" i="105" s="1"/>
  <c r="Q29" i="105"/>
  <c r="Q30" i="105"/>
  <c r="G197" i="76" a="1"/>
  <c r="G197" i="76" s="1"/>
  <c r="G30" i="105" s="1"/>
  <c r="S24" i="97"/>
  <c r="S59" i="97" s="1" a="1"/>
  <c r="S59" i="97" s="1"/>
  <c r="S22" i="97"/>
  <c r="S57" i="97" s="1" a="1"/>
  <c r="S57" i="97" s="1"/>
  <c r="S25" i="97"/>
  <c r="S60" i="97" s="1" a="1"/>
  <c r="S60" i="97" s="1"/>
  <c r="S23" i="97"/>
  <c r="S58" i="97" s="1" a="1"/>
  <c r="S58" i="97" s="1"/>
  <c r="E150" i="76" a="1"/>
  <c r="E150" i="76" s="1"/>
  <c r="F22" i="97"/>
  <c r="F57" i="97" s="1" a="1"/>
  <c r="F57" i="97" s="1"/>
  <c r="F25" i="97"/>
  <c r="F60" i="97" s="1" a="1"/>
  <c r="F60" i="97" s="1"/>
  <c r="E151" i="76" a="1"/>
  <c r="E151" i="76" s="1"/>
  <c r="F23" i="97"/>
  <c r="F58" i="97" s="1" a="1"/>
  <c r="F58" i="97" s="1"/>
  <c r="E152" i="76" a="1"/>
  <c r="E152" i="76" s="1"/>
  <c r="F24" i="97"/>
  <c r="F59" i="97" s="1" a="1"/>
  <c r="F59" i="97" s="1"/>
  <c r="H152" i="76" a="1"/>
  <c r="H152" i="76" s="1"/>
  <c r="I24" i="97"/>
  <c r="I59" i="97" s="1" a="1"/>
  <c r="I59" i="97" s="1"/>
  <c r="H151" i="76" a="1"/>
  <c r="H151" i="76" s="1"/>
  <c r="I23" i="97"/>
  <c r="I58" i="97" s="1" a="1"/>
  <c r="I58" i="97" s="1"/>
  <c r="G25" i="97"/>
  <c r="G60" i="97" s="1" a="1"/>
  <c r="G60" i="97" s="1"/>
  <c r="F152" i="76" a="1"/>
  <c r="F152" i="76" s="1"/>
  <c r="G203" i="76" s="1" a="1"/>
  <c r="G203" i="76" s="1"/>
  <c r="G24" i="97"/>
  <c r="G59" i="97" s="1" a="1"/>
  <c r="G59" i="97" s="1"/>
  <c r="G150" i="76" a="1"/>
  <c r="G150" i="76" s="1"/>
  <c r="H193" i="76" s="1" a="1"/>
  <c r="H193" i="76" s="1"/>
  <c r="H22" i="97"/>
  <c r="H57" i="97" s="1" a="1"/>
  <c r="H57" i="97" s="1"/>
  <c r="G151" i="76" a="1"/>
  <c r="G151" i="76" s="1"/>
  <c r="H23" i="97"/>
  <c r="H58" i="97" s="1" a="1"/>
  <c r="H58" i="97" s="1"/>
  <c r="G152" i="76" a="1"/>
  <c r="G152" i="76" s="1"/>
  <c r="H24" i="97"/>
  <c r="H59" i="97" s="1" a="1"/>
  <c r="H59" i="97" s="1"/>
  <c r="H150" i="76" a="1"/>
  <c r="H150" i="76" s="1"/>
  <c r="I22" i="97"/>
  <c r="I57" i="97" s="1" a="1"/>
  <c r="I57" i="97" s="1"/>
  <c r="Q33" i="97"/>
  <c r="Q68" i="97" s="1" a="1"/>
  <c r="Q68" i="97" s="1"/>
  <c r="H25" i="97"/>
  <c r="H60" i="97" s="1" a="1"/>
  <c r="H60" i="97" s="1"/>
  <c r="F150" i="76" a="1"/>
  <c r="F150" i="76" s="1"/>
  <c r="G193" i="76" s="1" a="1"/>
  <c r="G193" i="76" s="1"/>
  <c r="G22" i="97"/>
  <c r="G57" i="97" s="1" a="1"/>
  <c r="G57" i="97" s="1"/>
  <c r="Q32" i="97"/>
  <c r="Q67" i="97" s="1" a="1"/>
  <c r="Q67" i="97" s="1"/>
  <c r="S30" i="97" l="1"/>
  <c r="S26" i="105"/>
  <c r="R33" i="105"/>
  <c r="H203" i="76" a="1"/>
  <c r="H203" i="76" s="1"/>
  <c r="F195" i="76" a="1"/>
  <c r="F195" i="76" s="1"/>
  <c r="F28" i="105" s="1"/>
  <c r="Q195" i="105" a="1"/>
  <c r="Q195" i="105" s="1"/>
  <c r="R29" i="105"/>
  <c r="F191" i="76" a="1"/>
  <c r="F191" i="76" s="1"/>
  <c r="F24"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P156" i="105" a="1"/>
  <c r="P156" i="105" s="1"/>
  <c r="P203" i="105" a="1"/>
  <c r="P203" i="105" s="1"/>
  <c r="P119" i="105" a="1"/>
  <c r="P119" i="105" s="1"/>
  <c r="G30" i="97"/>
  <c r="G26" i="105"/>
  <c r="I202" i="76" a="1"/>
  <c r="I202" i="76" s="1"/>
  <c r="I35" i="105" s="1"/>
  <c r="I118" i="105" s="1" a="1"/>
  <c r="I118" i="105" s="1"/>
  <c r="I203" i="76" a="1"/>
  <c r="I203" i="76" s="1"/>
  <c r="S40" i="97"/>
  <c r="S36" i="105"/>
  <c r="S23" i="105"/>
  <c r="S190" i="105" s="1" a="1"/>
  <c r="S190" i="105" s="1"/>
  <c r="I193" i="76" a="1"/>
  <c r="I193" i="76" s="1"/>
  <c r="F200" i="76" a="1"/>
  <c r="F200" i="76" s="1"/>
  <c r="F33" i="105" s="1"/>
  <c r="F203" i="76" a="1"/>
  <c r="F203" i="76" s="1"/>
  <c r="Q109" i="105" a="1"/>
  <c r="Q109" i="105" s="1"/>
  <c r="Q146" i="105" a="1"/>
  <c r="Q146" i="105" s="1"/>
  <c r="Q193" i="105" a="1"/>
  <c r="Q193" i="105" s="1"/>
  <c r="Q197" i="105" a="1"/>
  <c r="Q197" i="105" s="1"/>
  <c r="R196" i="105" a="1"/>
  <c r="R196" i="105" s="1"/>
  <c r="Q196" i="105" a="1"/>
  <c r="Q196" i="105" s="1"/>
  <c r="G196" i="105" a="1"/>
  <c r="G196" i="105" s="1"/>
  <c r="F191" i="105" a="1"/>
  <c r="F191" i="105" s="1"/>
  <c r="G195" i="105" a="1"/>
  <c r="G195" i="105" s="1"/>
  <c r="R200" i="105" a="1"/>
  <c r="R200"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30" i="105"/>
  <c r="S29" i="105"/>
  <c r="P34" i="105"/>
  <c r="P30" i="105"/>
  <c r="F201" i="76" a="1"/>
  <c r="F201" i="76" s="1"/>
  <c r="F34" i="105" s="1"/>
  <c r="P32" i="105"/>
  <c r="S28" i="105"/>
  <c r="P25" i="105"/>
  <c r="G34" i="97"/>
  <c r="G69" i="97" s="1" a="1"/>
  <c r="G69" i="97" s="1"/>
  <c r="F196" i="76" a="1"/>
  <c r="F196" i="76" s="1"/>
  <c r="F29" i="105" s="1"/>
  <c r="S28" i="98"/>
  <c r="P28" i="98"/>
  <c r="H202" i="76" a="1"/>
  <c r="H202" i="76" s="1"/>
  <c r="H35" i="105" s="1"/>
  <c r="S33" i="105"/>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S35" i="105"/>
  <c r="I191" i="76" a="1"/>
  <c r="I191" i="76" s="1"/>
  <c r="I24" i="105" s="1"/>
  <c r="P27" i="98"/>
  <c r="F189" i="76" a="1"/>
  <c r="F189" i="76" s="1"/>
  <c r="F22" i="105" s="1"/>
  <c r="R27" i="98"/>
  <c r="R22" i="105"/>
  <c r="S24" i="105"/>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28" i="97"/>
  <c r="F63" i="97" s="1" a="1"/>
  <c r="F63" i="97" s="1"/>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R26" i="97"/>
  <c r="R61" i="97" s="1" a="1"/>
  <c r="R61" i="97" s="1"/>
  <c r="S27" i="97"/>
  <c r="S62" i="97" s="1" a="1"/>
  <c r="S62"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S25" i="105"/>
  <c r="H191" i="76" a="1"/>
  <c r="H191" i="76" s="1"/>
  <c r="H24" i="105" s="1"/>
  <c r="H199" i="76" a="1"/>
  <c r="H199" i="76" s="1"/>
  <c r="S31" i="97"/>
  <c r="S66" i="97" s="1" a="1"/>
  <c r="S66" i="97" s="1"/>
  <c r="I195" i="76" a="1"/>
  <c r="I195" i="76" s="1"/>
  <c r="I28" i="105" s="1"/>
  <c r="F195" i="105" l="1"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P22" i="105"/>
  <c r="S34" i="97"/>
  <c r="S69" i="97" s="1" a="1"/>
  <c r="S69" i="97" s="1"/>
  <c r="F33" i="97"/>
  <c r="F68" i="97" s="1" a="1"/>
  <c r="F68" i="97" s="1"/>
  <c r="P34" i="97"/>
  <c r="P69" i="97" s="1" a="1"/>
  <c r="P69" i="97" s="1"/>
  <c r="P39" i="97"/>
  <c r="P74" i="97" s="1" a="1"/>
  <c r="P74" i="97" s="1"/>
  <c r="F27" i="98"/>
  <c r="H39" i="97"/>
  <c r="H74" i="97" s="1" a="1"/>
  <c r="H74" i="97" s="1"/>
  <c r="R39" i="97"/>
  <c r="R74" i="97" s="1" a="1"/>
  <c r="R74" i="97" s="1"/>
  <c r="F38" i="97"/>
  <c r="F73" i="97" s="1" a="1"/>
  <c r="F73" i="97" s="1"/>
  <c r="F26" i="97"/>
  <c r="F61" i="97" s="1" a="1"/>
  <c r="F61" i="97" s="1"/>
  <c r="R32" i="105"/>
  <c r="I26" i="97"/>
  <c r="I61" i="97" s="1" a="1"/>
  <c r="I61" i="97" s="1"/>
  <c r="R38" i="97"/>
  <c r="R73" i="97" s="1" a="1"/>
  <c r="R73" i="97" s="1"/>
  <c r="P27" i="105"/>
  <c r="P26" i="97"/>
  <c r="P61" i="97" s="1"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26" i="97"/>
  <c r="S61" i="97" s="1"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Q27" i="98"/>
  <c r="Q22" i="105"/>
  <c r="G27" i="98"/>
  <c r="G22" i="105"/>
  <c r="H29" i="98"/>
  <c r="H32" i="105"/>
  <c r="P27" i="97"/>
  <c r="P62" i="97" s="1" a="1"/>
  <c r="P62" i="97" s="1"/>
  <c r="S27" i="98"/>
  <c r="S22" i="105"/>
  <c r="S29" i="98"/>
  <c r="S32" i="105"/>
  <c r="I28" i="98"/>
  <c r="I27" i="105"/>
  <c r="G29" i="98"/>
  <c r="G32" i="105"/>
  <c r="H37" i="97"/>
  <c r="H72" i="97" s="1" a="1"/>
  <c r="H72" i="97" s="1"/>
  <c r="H33" i="105"/>
  <c r="Q29" i="98"/>
  <c r="Q32" i="105"/>
  <c r="H27" i="98"/>
  <c r="H22" i="105"/>
  <c r="R27" i="105"/>
  <c r="R28" i="98"/>
  <c r="I27" i="98"/>
  <c r="I22" i="105"/>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26" i="97"/>
  <c r="Q61" i="97" s="1"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H26" i="97"/>
  <c r="H61" i="97" s="1" a="1"/>
  <c r="H61" i="97" s="1"/>
  <c r="I33" i="97"/>
  <c r="I68" i="97" s="1" a="1"/>
  <c r="I68" i="97" s="1"/>
  <c r="S29" i="97"/>
  <c r="S64" i="97" s="1" a="1"/>
  <c r="S64" i="97" s="1"/>
  <c r="Q29" i="97"/>
  <c r="Q64" i="97" s="1" a="1"/>
  <c r="Q64" i="97" s="1"/>
  <c r="G26" i="97"/>
  <c r="G61" i="97" s="1" a="1"/>
  <c r="G61"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I149" i="69" l="1"/>
  <c r="I179" i="76"/>
  <c r="H149" i="69"/>
  <c r="H179" i="76"/>
  <c r="G179" i="76"/>
  <c r="G149" i="69"/>
  <c r="F88" i="105"/>
  <c r="F87" i="105"/>
  <c r="F86" i="105"/>
  <c r="F94" i="105"/>
  <c r="F93" i="105"/>
  <c r="F92" i="105"/>
  <c r="F91" i="105"/>
  <c r="F98" i="105"/>
  <c r="F97" i="105"/>
  <c r="F96" i="105"/>
  <c r="Q117" i="105" l="1" a="1"/>
  <c r="Q117" i="105" s="1"/>
  <c r="G154" i="105" a="1"/>
  <c r="G154" i="105" s="1"/>
  <c r="G117" i="105" a="1"/>
  <c r="G117" i="105" s="1"/>
  <c r="F117" i="105" a="1"/>
  <c r="F117" i="105" s="1"/>
  <c r="S154" i="105" a="1"/>
  <c r="S154" i="105" s="1"/>
  <c r="Q154" i="105" a="1"/>
  <c r="Q154" i="105" s="1"/>
  <c r="S117" i="105" a="1"/>
  <c r="S117" i="105" s="1"/>
  <c r="I117" i="105" a="1"/>
  <c r="I117" i="105" s="1"/>
  <c r="H154" i="105" a="1"/>
  <c r="H154" i="105" s="1"/>
  <c r="R154" i="105" a="1"/>
  <c r="R154" i="105" s="1"/>
  <c r="I154" i="105" a="1"/>
  <c r="I154" i="105" s="1"/>
  <c r="R117" i="105" a="1"/>
  <c r="R117" i="105" s="1"/>
  <c r="H117" i="105" a="1"/>
  <c r="H117" i="105" s="1"/>
  <c r="F154" i="105" a="1"/>
  <c r="F154" i="105" s="1"/>
  <c r="P154" i="105" a="1"/>
  <c r="P154" i="105" s="1"/>
  <c r="P117" i="105" a="1"/>
  <c r="P117" i="105" s="1"/>
  <c r="R116" i="105" a="1"/>
  <c r="R116" i="105" s="1"/>
  <c r="R153" i="105" a="1"/>
  <c r="R153" i="105" s="1"/>
  <c r="F153" i="105" a="1"/>
  <c r="F153" i="105" s="1"/>
  <c r="I116" i="105" a="1"/>
  <c r="I116" i="105" s="1"/>
  <c r="Q153" i="105" a="1"/>
  <c r="Q153" i="105" s="1"/>
  <c r="G116" i="105" a="1"/>
  <c r="G116" i="105" s="1"/>
  <c r="G153" i="105" a="1"/>
  <c r="G153" i="105" s="1"/>
  <c r="S116" i="105" a="1"/>
  <c r="S116" i="105" s="1"/>
  <c r="S153" i="105" a="1"/>
  <c r="S153" i="105" s="1"/>
  <c r="P153" i="105" a="1"/>
  <c r="P153" i="105" s="1"/>
  <c r="Q116" i="105" a="1"/>
  <c r="Q116" i="105" s="1"/>
  <c r="F116" i="105" a="1"/>
  <c r="F116" i="105" s="1"/>
  <c r="P116" i="105" a="1"/>
  <c r="P116" i="105" s="1"/>
  <c r="I153" i="105" a="1"/>
  <c r="I153" i="105" s="1"/>
  <c r="H153" i="105" a="1"/>
  <c r="H153" i="105" s="1"/>
  <c r="H116" i="105" a="1"/>
  <c r="H116" i="105" s="1"/>
  <c r="Q150" i="105" a="1"/>
  <c r="Q150" i="105" s="1"/>
  <c r="Q113" i="105" a="1"/>
  <c r="Q113" i="105" s="1"/>
  <c r="G150" i="105" a="1"/>
  <c r="G150" i="105" s="1"/>
  <c r="G113" i="105" a="1"/>
  <c r="G113" i="105" s="1"/>
  <c r="I113" i="105" a="1"/>
  <c r="I113" i="105" s="1"/>
  <c r="P113" i="105" a="1"/>
  <c r="P113" i="105" s="1"/>
  <c r="S113" i="105" a="1"/>
  <c r="S113" i="105" s="1"/>
  <c r="H113" i="105" a="1"/>
  <c r="H113" i="105" s="1"/>
  <c r="S150" i="105" a="1"/>
  <c r="S150" i="105" s="1"/>
  <c r="F113" i="105" a="1"/>
  <c r="F113" i="105" s="1"/>
  <c r="H150" i="105" a="1"/>
  <c r="H150" i="105" s="1"/>
  <c r="P150" i="105" a="1"/>
  <c r="P150" i="105" s="1"/>
  <c r="F150" i="105" a="1"/>
  <c r="F150" i="105" s="1"/>
  <c r="R113" i="105" a="1"/>
  <c r="R113" i="105" s="1"/>
  <c r="R150" i="105" a="1"/>
  <c r="R150" i="105" s="1"/>
  <c r="I150" i="105" a="1"/>
  <c r="I150" i="105" s="1"/>
  <c r="Q149" i="105" a="1"/>
  <c r="Q149" i="105" s="1"/>
  <c r="G149" i="105" a="1"/>
  <c r="G149" i="105" s="1"/>
  <c r="Q112" i="105" a="1"/>
  <c r="Q112" i="105" s="1"/>
  <c r="G112" i="105" a="1"/>
  <c r="G112" i="105" s="1"/>
  <c r="R112" i="105" a="1"/>
  <c r="R112" i="105" s="1"/>
  <c r="S149" i="105" a="1"/>
  <c r="S149" i="105" s="1"/>
  <c r="I149" i="105" a="1"/>
  <c r="I149" i="105" s="1"/>
  <c r="H149" i="105" a="1"/>
  <c r="H149" i="105" s="1"/>
  <c r="R149" i="105" a="1"/>
  <c r="R149" i="105" s="1"/>
  <c r="I112" i="105" a="1"/>
  <c r="I112" i="105" s="1"/>
  <c r="H112" i="105" a="1"/>
  <c r="H112" i="105" s="1"/>
  <c r="S112" i="105" a="1"/>
  <c r="S112" i="105" s="1"/>
  <c r="P112" i="105" a="1"/>
  <c r="P112" i="105" s="1"/>
  <c r="F149" i="105" a="1"/>
  <c r="F149" i="105" s="1"/>
  <c r="F112" i="105" a="1"/>
  <c r="F112" i="105" s="1"/>
  <c r="P149" i="105" a="1"/>
  <c r="P149" i="105" s="1"/>
  <c r="G148" i="105" a="1"/>
  <c r="G148" i="105" s="1"/>
  <c r="Q111" i="105" a="1"/>
  <c r="Q111" i="105" s="1"/>
  <c r="Q148" i="105" a="1"/>
  <c r="Q148" i="105" s="1"/>
  <c r="G111" i="105" a="1"/>
  <c r="G111" i="105" s="1"/>
  <c r="F111" i="105" a="1"/>
  <c r="F111" i="105" s="1"/>
  <c r="H111" i="105" a="1"/>
  <c r="H111" i="105" s="1"/>
  <c r="S148" i="105" a="1"/>
  <c r="S148" i="105" s="1"/>
  <c r="F148" i="105" a="1"/>
  <c r="F148" i="105" s="1"/>
  <c r="I111" i="105" a="1"/>
  <c r="I111" i="105" s="1"/>
  <c r="I148" i="105" a="1"/>
  <c r="I148" i="105" s="1"/>
  <c r="P111" i="105" a="1"/>
  <c r="P111" i="105" s="1"/>
  <c r="H148" i="105" a="1"/>
  <c r="H148" i="105" s="1"/>
  <c r="S111" i="105" a="1"/>
  <c r="S111" i="105" s="1"/>
  <c r="P148" i="105" a="1"/>
  <c r="P148" i="105" s="1"/>
  <c r="R148" i="105" a="1"/>
  <c r="R148" i="105" s="1"/>
  <c r="R111" i="105" a="1"/>
  <c r="R111" i="105" s="1"/>
  <c r="F144" i="105" a="1"/>
  <c r="F144" i="105" s="1"/>
  <c r="F107" i="105" a="1"/>
  <c r="F107" i="105" s="1"/>
  <c r="Q107" i="105" a="1"/>
  <c r="Q107" i="105" s="1"/>
  <c r="R107" i="105" a="1"/>
  <c r="R107" i="105" s="1"/>
  <c r="S144" i="105" a="1"/>
  <c r="S144" i="105" s="1"/>
  <c r="Q144" i="105" a="1"/>
  <c r="Q144" i="105" s="1"/>
  <c r="I144" i="105" a="1"/>
  <c r="I144" i="105" s="1"/>
  <c r="P107" i="105" a="1"/>
  <c r="P107" i="105" s="1"/>
  <c r="R144" i="105" a="1"/>
  <c r="R144" i="105" s="1"/>
  <c r="G144" i="105" a="1"/>
  <c r="G144" i="105" s="1"/>
  <c r="P144" i="105" a="1"/>
  <c r="P144" i="105" s="1"/>
  <c r="G107" i="105" a="1"/>
  <c r="G107" i="105" s="1"/>
  <c r="H107" i="105" a="1"/>
  <c r="H107" i="105" s="1"/>
  <c r="S107" i="105" a="1"/>
  <c r="S107" i="105" s="1"/>
  <c r="H144" i="105" a="1"/>
  <c r="H144" i="105" s="1"/>
  <c r="I107" i="105" a="1"/>
  <c r="I107" i="105" s="1"/>
  <c r="P143" i="105" a="1"/>
  <c r="P143" i="105" s="1"/>
  <c r="H143" i="105" a="1"/>
  <c r="H143" i="105" s="1"/>
  <c r="S106" i="105" a="1"/>
  <c r="S106" i="105" s="1"/>
  <c r="Q106" i="105" a="1"/>
  <c r="Q106" i="105" s="1"/>
  <c r="P106" i="105" a="1"/>
  <c r="P106" i="105" s="1"/>
  <c r="R143" i="105" a="1"/>
  <c r="R143" i="105" s="1"/>
  <c r="G106" i="105" a="1"/>
  <c r="G106" i="105" s="1"/>
  <c r="R106" i="105" a="1"/>
  <c r="R106" i="105" s="1"/>
  <c r="Q143" i="105" a="1"/>
  <c r="Q143" i="105" s="1"/>
  <c r="G143" i="105" a="1"/>
  <c r="G143" i="105" s="1"/>
  <c r="F106" i="105" a="1"/>
  <c r="F106" i="105" s="1"/>
  <c r="S143" i="105" a="1"/>
  <c r="S143" i="105" s="1"/>
  <c r="I106" i="105" a="1"/>
  <c r="I106" i="105" s="1"/>
  <c r="I143" i="105" a="1"/>
  <c r="I143" i="105" s="1"/>
  <c r="H106" i="105" a="1"/>
  <c r="H106" i="105" s="1"/>
  <c r="F143" i="105" a="1"/>
  <c r="F143" i="105" s="1"/>
  <c r="S198" i="76" a="1"/>
  <c r="S198" i="76" s="1"/>
  <c r="I198" i="76" a="1"/>
  <c r="I198" i="76" s="1"/>
  <c r="I168" i="69" a="1"/>
  <c r="I168" i="69" s="1"/>
  <c r="I215" i="69" s="1" a="1"/>
  <c r="I215" i="69" s="1"/>
  <c r="S168" i="69" a="1"/>
  <c r="S168" i="69" s="1"/>
  <c r="S215" i="69" s="1" a="1"/>
  <c r="S215" i="69" s="1"/>
  <c r="R198" i="76" a="1"/>
  <c r="R198" i="76" s="1"/>
  <c r="H198" i="76" a="1"/>
  <c r="H198" i="76" s="1"/>
  <c r="H168" i="69" a="1"/>
  <c r="H168" i="69" s="1"/>
  <c r="H215" i="69" s="1" a="1"/>
  <c r="H215" i="69" s="1"/>
  <c r="R168" i="69" a="1"/>
  <c r="R168" i="69" s="1"/>
  <c r="R215" i="69" s="1" a="1"/>
  <c r="R215" i="69" s="1"/>
  <c r="Q198" i="76" a="1"/>
  <c r="Q198" i="76" s="1"/>
  <c r="G198" i="76" a="1"/>
  <c r="G198" i="76" s="1"/>
  <c r="G168" i="69" a="1"/>
  <c r="G168" i="69" s="1"/>
  <c r="G215" i="69" s="1" a="1"/>
  <c r="G215" i="69" s="1"/>
  <c r="Q168" i="69" a="1"/>
  <c r="Q168" i="69" s="1"/>
  <c r="Q215" i="69" s="1" a="1"/>
  <c r="Q215" i="69" s="1"/>
  <c r="F179" i="76"/>
  <c r="F149" i="69"/>
  <c r="F28" i="108" a="1"/>
  <c r="F28" i="108" s="1"/>
  <c r="Q28" i="108" a="1"/>
  <c r="Q28" i="108" s="1"/>
  <c r="H28" i="108" a="1"/>
  <c r="H28" i="108" s="1"/>
  <c r="O28" i="108" a="1"/>
  <c r="O28" i="108" s="1"/>
  <c r="P28" i="108" a="1"/>
  <c r="P28" i="108" s="1"/>
  <c r="R28" i="108" a="1"/>
  <c r="R28" i="108" s="1"/>
  <c r="E28" i="108" a="1"/>
  <c r="E28" i="108" s="1"/>
  <c r="G28" i="108" a="1"/>
  <c r="G28" i="108" s="1"/>
  <c r="E96" i="97" a="1"/>
  <c r="E96" i="97" s="1"/>
  <c r="I94" i="97"/>
  <c r="I43" i="107"/>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G35" i="98" a="1"/>
  <c r="G35" i="98" s="1"/>
  <c r="S35" i="98" a="1"/>
  <c r="S35" i="98" s="1"/>
  <c r="R34" i="98" a="1"/>
  <c r="R34" i="98" s="1"/>
  <c r="P34" i="98" a="1"/>
  <c r="P34" i="98" s="1"/>
  <c r="P35" i="98" a="1"/>
  <c r="P35" i="98" s="1"/>
  <c r="P36" i="98" a="1"/>
  <c r="P36" i="98" s="1"/>
  <c r="H34" i="98" a="1"/>
  <c r="H34" i="98" s="1"/>
  <c r="S34" i="98" a="1"/>
  <c r="S34" i="98" s="1"/>
  <c r="R35" i="98" a="1"/>
  <c r="R35" i="98" s="1"/>
  <c r="I35" i="98" a="1"/>
  <c r="I35" i="98" s="1"/>
  <c r="G34" i="98" a="1"/>
  <c r="G34" i="98" s="1"/>
  <c r="Q34" i="98" a="1"/>
  <c r="Q34" i="98" s="1"/>
  <c r="G36" i="98" a="1"/>
  <c r="G36" i="98" s="1"/>
  <c r="S36" i="98" a="1"/>
  <c r="S36" i="98" s="1"/>
  <c r="F35" i="98" a="1"/>
  <c r="F35" i="98" s="1"/>
  <c r="H35" i="98" a="1"/>
  <c r="H35" i="98" s="1"/>
  <c r="F34" i="98" a="1"/>
  <c r="F34" i="98" s="1"/>
  <c r="I34" i="98" a="1"/>
  <c r="I34" i="98" s="1"/>
  <c r="H36" i="98" a="1"/>
  <c r="H36" i="98" s="1"/>
  <c r="F36" i="98" a="1"/>
  <c r="F36" i="98" s="1"/>
  <c r="R36" i="98" a="1"/>
  <c r="R36" i="98" s="1"/>
  <c r="Q36" i="98" a="1"/>
  <c r="Q36" i="98" s="1"/>
  <c r="I36" i="98" a="1"/>
  <c r="I36" i="98"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I35" i="97" l="1"/>
  <c r="I31" i="105"/>
  <c r="S35" i="97"/>
  <c r="S31" i="105"/>
  <c r="H31" i="105"/>
  <c r="H35" i="97"/>
  <c r="R31" i="105"/>
  <c r="R35" i="97"/>
  <c r="G35" i="97"/>
  <c r="G31" i="105"/>
  <c r="Q31" i="105"/>
  <c r="Q35" i="97"/>
  <c r="P168" i="69" a="1"/>
  <c r="P168" i="69" s="1"/>
  <c r="P215" i="69" s="1" a="1"/>
  <c r="P215" i="69" s="1"/>
  <c r="O222" i="69" s="1"/>
  <c r="F168" i="69" a="1"/>
  <c r="F168" i="69" s="1"/>
  <c r="F215" i="69" s="1" a="1"/>
  <c r="F215" i="69" s="1"/>
  <c r="E222" i="69" s="1"/>
  <c r="P198" i="76" a="1"/>
  <c r="P198" i="76" s="1"/>
  <c r="F198" i="76" a="1"/>
  <c r="F198" i="76" s="1"/>
  <c r="O245" i="76"/>
  <c r="E245" i="76"/>
  <c r="E30" i="108"/>
  <c r="J43" i="108" s="1"/>
  <c r="E47" i="108" s="1" a="1"/>
  <c r="E47" i="108" s="1"/>
  <c r="O30" i="108"/>
  <c r="T43" i="108" s="1"/>
  <c r="O47" i="108" s="1" a="1"/>
  <c r="O47" i="108" s="1"/>
  <c r="O96" i="97" a="1"/>
  <c r="O96" i="97" s="1"/>
  <c r="Q98" i="97" s="1"/>
  <c r="O101" i="97" s="1" a="1"/>
  <c r="O101" i="97" s="1"/>
  <c r="I9" i="13" s="1"/>
  <c r="P47" i="107"/>
  <c r="N50" i="107" s="1" a="1"/>
  <c r="N50" i="107" s="1"/>
  <c r="I12" i="13" s="1"/>
  <c r="F12" i="13"/>
  <c r="G98" i="97"/>
  <c r="E101" i="97" s="1" a="1"/>
  <c r="E101" i="97" s="1"/>
  <c r="H9" i="13" s="1"/>
  <c r="E9" i="13"/>
  <c r="E45" i="107" a="1"/>
  <c r="E45" i="107" s="1"/>
  <c r="H25" i="106" a="1"/>
  <c r="H25" i="106" s="1"/>
  <c r="P25" i="106" a="1"/>
  <c r="P25" i="106" s="1"/>
  <c r="O25" i="106" a="1"/>
  <c r="O25" i="106" s="1"/>
  <c r="Q25" i="106" a="1"/>
  <c r="Q25" i="106" s="1"/>
  <c r="G25" i="106" a="1"/>
  <c r="G25" i="106" s="1"/>
  <c r="E25" i="106" a="1"/>
  <c r="E25" i="106" s="1"/>
  <c r="F25" i="106" a="1"/>
  <c r="F25" i="106" s="1"/>
  <c r="R25" i="106" a="1"/>
  <c r="R25" i="106" s="1"/>
  <c r="R55" i="98" a="1"/>
  <c r="R55" i="98" s="1"/>
  <c r="R67" i="105"/>
  <c r="F55" i="98" a="1"/>
  <c r="F55" i="98" s="1"/>
  <c r="F67" i="105"/>
  <c r="H56" i="98" a="1"/>
  <c r="H56" i="98" s="1"/>
  <c r="H72" i="105"/>
  <c r="S56" i="98" a="1"/>
  <c r="S56" i="98" s="1"/>
  <c r="S72" i="105"/>
  <c r="F56" i="98" a="1"/>
  <c r="F56" i="98" s="1"/>
  <c r="F72" i="105"/>
  <c r="G56" i="98" a="1"/>
  <c r="G56" i="98" s="1"/>
  <c r="G72" i="105"/>
  <c r="S57" i="98" a="1"/>
  <c r="S57" i="98" s="1"/>
  <c r="S77" i="105"/>
  <c r="Q56" i="98" a="1"/>
  <c r="Q56" i="98" s="1"/>
  <c r="Q72" i="105"/>
  <c r="G57" i="98" a="1"/>
  <c r="G57" i="98" s="1"/>
  <c r="G77" i="105"/>
  <c r="Q55" i="98" a="1"/>
  <c r="Q55" i="98" s="1"/>
  <c r="Q67" i="105"/>
  <c r="G55" i="98" a="1"/>
  <c r="G55" i="98" s="1"/>
  <c r="G67" i="105"/>
  <c r="I56" i="98" a="1"/>
  <c r="I56" i="98" s="1"/>
  <c r="I72" i="105"/>
  <c r="I57" i="98" a="1"/>
  <c r="I57" i="98" s="1"/>
  <c r="I77" i="105"/>
  <c r="R56" i="98" a="1"/>
  <c r="R56" i="98" s="1"/>
  <c r="R72" i="105"/>
  <c r="Q57" i="98" a="1"/>
  <c r="Q57" i="98" s="1"/>
  <c r="Q77" i="105"/>
  <c r="S55" i="98" a="1"/>
  <c r="S55" i="98" s="1"/>
  <c r="S67" i="105"/>
  <c r="R57" i="98" a="1"/>
  <c r="R57" i="98" s="1"/>
  <c r="R77" i="105"/>
  <c r="H55" i="98" a="1"/>
  <c r="H55" i="98" s="1"/>
  <c r="H67" i="105"/>
  <c r="F57" i="98" a="1"/>
  <c r="F57" i="98" s="1"/>
  <c r="F77" i="105"/>
  <c r="P57" i="98" a="1"/>
  <c r="P57" i="98" s="1"/>
  <c r="P77" i="105"/>
  <c r="P56" i="98" a="1"/>
  <c r="P56" i="98" s="1"/>
  <c r="P72" i="105"/>
  <c r="H57" i="98" a="1"/>
  <c r="H57" i="98" s="1"/>
  <c r="H77" i="105"/>
  <c r="I55" i="98" a="1"/>
  <c r="I55" i="98" s="1"/>
  <c r="I67" i="105"/>
  <c r="P55" i="98" a="1"/>
  <c r="P55" i="98" s="1"/>
  <c r="P67" i="105"/>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S198" i="105" l="1" a="1"/>
  <c r="S198" i="105" s="1"/>
  <c r="S114" i="105" a="1"/>
  <c r="S114" i="105" s="1"/>
  <c r="S151" i="105" a="1"/>
  <c r="S151" i="105" s="1"/>
  <c r="I198" i="105" a="1"/>
  <c r="I198" i="105" s="1"/>
  <c r="I151" i="105" a="1"/>
  <c r="I151" i="105" s="1"/>
  <c r="I114" i="105" a="1"/>
  <c r="I114" i="105" s="1"/>
  <c r="R198" i="105" a="1"/>
  <c r="R198" i="105" s="1"/>
  <c r="R114" i="105" a="1"/>
  <c r="R114" i="105" s="1"/>
  <c r="R151" i="105" a="1"/>
  <c r="R151" i="105" s="1"/>
  <c r="H114" i="105" a="1"/>
  <c r="H114" i="105" s="1"/>
  <c r="H151" i="105" a="1"/>
  <c r="H151" i="105" s="1"/>
  <c r="H198" i="105" a="1"/>
  <c r="H198" i="105" s="1"/>
  <c r="Q198" i="105" a="1"/>
  <c r="Q198" i="105" s="1"/>
  <c r="Q114" i="105" a="1"/>
  <c r="Q114" i="105" s="1"/>
  <c r="Q151" i="105" a="1"/>
  <c r="Q151" i="105" s="1"/>
  <c r="G151" i="105" a="1"/>
  <c r="G151" i="105" s="1"/>
  <c r="G198" i="105" a="1"/>
  <c r="G198" i="105" s="1"/>
  <c r="G114" i="105" a="1"/>
  <c r="G114" i="105" s="1"/>
  <c r="F31" i="105"/>
  <c r="F35" i="97"/>
  <c r="P31" i="105"/>
  <c r="P35" i="97"/>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F9" i="13"/>
  <c r="G47" i="107"/>
  <c r="E50" i="107" s="1" a="1"/>
  <c r="E50" i="107" s="1"/>
  <c r="H12" i="13" s="1"/>
  <c r="E12" i="13"/>
  <c r="Q49" i="108"/>
  <c r="O52" i="108" s="1" a="1"/>
  <c r="O52" i="108" s="1"/>
  <c r="I13" i="13" s="1"/>
  <c r="F13" i="13"/>
  <c r="G49" i="108"/>
  <c r="E52" i="108" s="1" a="1"/>
  <c r="E52" i="108" s="1"/>
  <c r="H13" i="13" s="1"/>
  <c r="E13" i="13"/>
  <c r="Q224" i="69"/>
  <c r="O227" i="69" s="1" a="1"/>
  <c r="O227" i="69" s="1"/>
  <c r="I7" i="13" s="1"/>
  <c r="F7" i="13"/>
  <c r="Q247" i="76"/>
  <c r="O250" i="76" s="1" a="1"/>
  <c r="O250" i="76" s="1"/>
  <c r="I8" i="13" s="1"/>
  <c r="F8" i="13"/>
  <c r="G247" i="76"/>
  <c r="E250" i="76" s="1" a="1"/>
  <c r="E250" i="76" s="1"/>
  <c r="H8" i="13" s="1"/>
  <c r="E8" i="13"/>
  <c r="G224" i="69"/>
  <c r="E227" i="69" s="1" a="1"/>
  <c r="E227" i="69" s="1"/>
  <c r="H7" i="13" s="1"/>
  <c r="E7" i="13"/>
  <c r="E27" i="106"/>
  <c r="O59" i="98"/>
  <c r="O27" i="106"/>
  <c r="E59" i="98"/>
  <c r="E29" i="15"/>
  <c r="E31" i="15" s="1"/>
  <c r="E32" i="15" s="1"/>
  <c r="P151" i="105" l="1" a="1"/>
  <c r="P151" i="105" s="1"/>
  <c r="O158" i="105" s="1"/>
  <c r="P198" i="105" a="1"/>
  <c r="P198" i="105" s="1"/>
  <c r="O205" i="105" s="1"/>
  <c r="P114" i="105" a="1"/>
  <c r="P114" i="105" s="1"/>
  <c r="O121" i="105" s="1"/>
  <c r="F114" i="105" a="1"/>
  <c r="F114" i="105" s="1"/>
  <c r="E121" i="105" s="1"/>
  <c r="E20" i="13" s="1"/>
  <c r="F151" i="105" a="1"/>
  <c r="F151" i="105" s="1"/>
  <c r="E158" i="105" s="1"/>
  <c r="E22" i="13" s="1"/>
  <c r="F198" i="105" a="1"/>
  <c r="F198" i="105" s="1"/>
  <c r="E205" i="105" s="1"/>
  <c r="E21" i="13" s="1"/>
  <c r="G61" i="98"/>
  <c r="E64" i="98" s="1" a="1"/>
  <c r="E64" i="98" s="1"/>
  <c r="H10" i="13" s="1"/>
  <c r="E10" i="13"/>
  <c r="Q29" i="106"/>
  <c r="O32" i="106" s="1" a="1"/>
  <c r="O32" i="106" s="1"/>
  <c r="I11" i="13" s="1"/>
  <c r="F11" i="13"/>
  <c r="Q61" i="98"/>
  <c r="O64" i="98" s="1" a="1"/>
  <c r="O64" i="98" s="1"/>
  <c r="I10" i="13" s="1"/>
  <c r="F10" i="13"/>
  <c r="G29" i="106"/>
  <c r="E32" i="106" s="1" a="1"/>
  <c r="E32" i="106" s="1"/>
  <c r="H11" i="13" s="1"/>
  <c r="E11" i="13"/>
  <c r="E13" i="15"/>
  <c r="D11" i="70" l="1"/>
  <c r="D10" i="70"/>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<sst xmlns="http://schemas.openxmlformats.org/spreadsheetml/2006/main" count="1177" uniqueCount="365">
  <si>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</si>
  <si>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</si>
  <si>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</si>
  <si>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</si>
  <si>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</si>
  <si>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</si>
  <si>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</si>
  <si>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</si>
  <si>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</si>
  <si>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</si>
  <si>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</si>
  <si>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</si>
  <si>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</si>
  <si>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</si>
  <si>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</si>
  <si>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</si>
  <si>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</si>
  <si>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</si>
  <si>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</si>
  <si>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</si>
  <si>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</si>
  <si>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</si>
  <si>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</si>
  <si>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</si>
  <si>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</si>
  <si>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</si>
  <si>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</si>
  <si>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</si>
  <si>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</si>
  <si>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</si>
  <si>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</si>
  <si>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</si>
  <si>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</si>
  <si>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</si>
  <si>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</si>
  <si>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</si>
  <si>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</si>
  <si>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</si>
  <si>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</si>
  <si>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</si>
  <si>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</si>
  <si>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</si>
  <si>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</si>
  <si>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</si>
  <si>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</si>
  <si>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</si>
  <si>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</si>
  <si>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</si>
  <si>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</si>
  <si>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</si>
  <si>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</si>
  <si>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</si>
  <si>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</si>
  <si>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</si>
  <si>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</si>
  <si>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</si>
  <si>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</si>
  <si>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</si>
  <si>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</si>
  <si>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</si>
  <si>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</si>
  <si>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</si>
  <si>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</si>
  <si>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</si>
  <si>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</si>
  <si>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</si>
  <si>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</si>
  <si>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</si>
  <si>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</si>
  <si>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</si>
  <si>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</si>
  <si>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</si>
  <si>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</si>
  <si>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</si>
  <si>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</si>
  <si>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</si>
  <si>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</si>
  <si>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</si>
  <si>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</si>
  <si>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</si>
  <si>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</si>
  <si>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</si>
  <si>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</si>
  <si>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</si>
  <si>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</si>
  <si>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</si>
  <si>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</si>
  <si>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</si>
  <si>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</si>
  <si>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</si>
  <si>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</si>
  <si>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</si>
  <si>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</si>
  <si>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</si>
  <si>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</si>
  <si>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</si>
  <si>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</si>
  <si>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</si>
  <si>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</si>
  <si>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</si>
  <si>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</si>
  <si>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</si>
  <si>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</si>
  <si>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</si>
  <si>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</si>
  <si>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</si>
  <si>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</si>
  <si>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</si>
  <si>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</si>
  <si>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</si>
  <si>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</si>
  <si>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</si>
  <si>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</si>
  <si>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</si>
  <si>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</si>
  <si>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</si>
  <si>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</si>
  <si>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</si>
  <si>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</si>
  <si>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</si>
  <si>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</si>
  <si>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</si>
  <si>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</si>
  <si>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</si>
  <si>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</si>
  <si>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</si>
  <si>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</si>
  <si>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</si>
  <si>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</si>
  <si>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</si>
  <si>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</si>
  <si>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</si>
  <si>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</si>
  <si>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</si>
  <si>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</si>
  <si>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</si>
  <si>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</si>
  <si>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</si>
  <si>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</si>
  <si>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</si>
  <si>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</si>
  <si>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</si>
  <si>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</si>
  <si>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</si>
  <si>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</si>
  <si>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</si>
  <si>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</si>
  <si>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</si>
  <si>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</si>
  <si>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</si>
  <si>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</si>
  <si>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</si>
  <si>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</si>
  <si>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</si>
  <si>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</si>
  <si>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</si>
  <si>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</si>
  <si>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</si>
  <si>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</si>
  <si>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</si>
  <si>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</si>
  <si>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</si>
  <si>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</si>
  <si>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</si>
  <si>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</si>
  <si>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</si>
  <si>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</si>
  <si>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</si>
  <si>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</si>
  <si>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</si>
  <si>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</si>
  <si>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</si>
  <si>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</si>
  <si>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</si>
  <si>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</si>
  <si>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</si>
  <si>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</si>
  <si>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</si>
  <si>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</si>
  <si>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</si>
  <si>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Amount of N in manure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</si>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</sst>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7" fillId="14" borderId="2">
      <alignment horizontal="center" vertical="center"/>
    </xf>
    <xf numFmtId="0" fontId="68" fillId="15" borderId="2">
      <alignment horizontal="center" vertical="center"/>
    </xf>
    <xf numFmtId="0" fontId="35" fillId="4" borderId="2">
      <alignment horizontal="left" vertical="center"/>
    </xf>
    <xf numFmtId="0" fontId="69" fillId="4" borderId="2">
      <alignment horizontal="left" vertical="center"/>
    </xf>
  </cellStyleXfs>
  <cellXfs count="15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48" fillId="11" borderId="0" xfId="63">
      <alignment horizontal="center" vertical="center"/>
    </xf>
    <xf numFmtId="0" fontId="59" fillId="0" borderId="0" xfId="2" applyFont="1"/>
    <xf numFmtId="0" fontId="60"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61" fillId="4" borderId="0" xfId="8" applyFont="1">
      <alignment horizontal="left" vertical="center"/>
    </xf>
    <xf numFmtId="0" fontId="62" fillId="4" borderId="0" xfId="8" applyFont="1">
      <alignment horizontal="left" vertical="center"/>
    </xf>
    <xf numFmtId="0" fontId="40" fillId="4" borderId="0" xfId="8" applyAlignment="1">
      <alignment horizontal="left" vertical="center" indent="3"/>
    </xf>
    <xf numFmtId="0" fontId="42" fillId="4" borderId="0" xfId="8" applyFont="1" applyAlignment="1">
      <alignment horizontal="left" vertical="center" indent="3"/>
    </xf>
    <xf numFmtId="0" fontId="40" fillId="4" borderId="0" xfId="8" applyAlignment="1">
      <alignment horizontal="left" vertical="center" indent="6"/>
    </xf>
    <xf numFmtId="0" fontId="13" fillId="6" borderId="0" xfId="29" applyAlignment="1">
      <alignment horizontal="left" vertical="center" indent="6"/>
    </xf>
    <xf numFmtId="0" fontId="42" fillId="4" borderId="0" xfId="8" applyFont="1" applyAlignment="1">
      <alignment horizontal="left" vertical="center" indent="9"/>
    </xf>
    <xf numFmtId="0" fontId="40" fillId="4" borderId="0" xfId="8" applyAlignment="1">
      <alignment horizontal="left" vertical="center" indent="9"/>
    </xf>
    <xf numFmtId="0" fontId="40" fillId="4" borderId="0" xfId="8" applyAlignment="1">
      <alignment horizontal="center" vertical="center"/>
    </xf>
    <xf numFmtId="0" fontId="64" fillId="4" borderId="0" xfId="62" applyFont="1" applyAlignment="1">
      <alignment horizontal="left" vertical="center" indent="6"/>
    </xf>
    <xf numFmtId="0" fontId="64" fillId="4" borderId="0" xfId="62" applyFont="1">
      <alignment horizontal="left" vertical="center"/>
    </xf>
    <xf numFmtId="0" fontId="46" fillId="13" borderId="9" xfId="41" applyBorder="1">
      <alignment horizontal="left" vertical="center"/>
    </xf>
    <xf numFmtId="0" fontId="0" fillId="0" borderId="1" xfId="0" applyBorder="1"/>
    <xf numFmtId="0" fontId="65"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40" fillId="4" borderId="20" xfId="8" applyBorder="1">
      <alignment horizontal="left" vertical="center"/>
    </xf>
    <xf numFmtId="0" fontId="49" fillId="4" borderId="0" xfId="8" applyFont="1">
      <alignment horizontal="left" vertical="center"/>
    </xf>
    <xf numFmtId="0" fontId="50" fillId="4" borderId="0" xfId="8" applyFont="1">
      <alignment horizontal="left" vertical="center"/>
    </xf>
    <xf numFmtId="170" fontId="8" fillId="4" borderId="0" xfId="10" applyNumberFormat="1">
      <alignment horizontal="center" vertical="center"/>
    </xf>
    <xf numFmtId="0" fontId="46" fillId="13" borderId="22" xfId="41" applyBorder="1">
      <alignment horizontal="left" vertical="center"/>
    </xf>
    <xf numFmtId="0" fontId="46" fillId="13" borderId="0" xfId="41" applyBorder="1">
      <alignment horizontal="left" vertical="center"/>
    </xf>
    <xf numFmtId="0" fontId="46" fillId="13" borderId="23" xfId="41" applyBorder="1">
      <alignment horizontal="left" vertical="center"/>
    </xf>
    <xf numFmtId="0" fontId="67" fillId="14" borderId="2" xfId="65">
      <alignment horizontal="center" vertical="center"/>
    </xf>
    <xf numFmtId="0" fontId="68" fillId="15" borderId="2" xfId="66">
      <alignment horizontal="center" vertical="center"/>
    </xf>
    <xf numFmtId="0" fontId="35" fillId="4" borderId="2" xfId="67">
      <alignment horizontal="left" vertical="center"/>
    </xf>
    <xf numFmtId="0" fontId="69"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70" fillId="0" borderId="0" xfId="34" applyFont="1"/>
    <xf numFmtId="0" fontId="35" fillId="4" borderId="19" xfId="67" applyBorder="1">
      <alignment horizontal="left" vertical="center"/>
    </xf>
    <xf numFmtId="0" fontId="71" fillId="9" borderId="0" xfId="33" applyFont="1" applyFill="1"/>
    <xf numFmtId="0" fontId="40" fillId="9" borderId="0" xfId="8" applyFill="1">
      <alignment horizontal="left" vertical="center"/>
    </xf>
    <xf numFmtId="0" fontId="17" fillId="11" borderId="0" xfId="32" applyFill="1">
      <alignment vertical="center"/>
    </xf>
    <xf numFmtId="0" fontId="46" fillId="13" borderId="21" xfId="41" applyBorder="1">
      <alignment horizontal="left" vertical="center"/>
    </xf>
    <xf numFmtId="0" fontId="47" fillId="13" borderId="24" xfId="41" applyFont="1" applyBorder="1">
      <alignment horizontal="left" vertical="center"/>
    </xf>
    <xf numFmtId="0" fontId="46" fillId="13" borderId="24" xfId="41" applyBorder="1">
      <alignment horizontal="left" vertical="center"/>
    </xf>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2"/>
      <tableStyleElement type="headerRow" dxfId="101"/>
      <tableStyleElement type="totalRow" dxfId="100"/>
      <tableStyleElement type="firstColumn" dxfId="99"/>
      <tableStyleElement type="firstRowStripe" dxfId="98"/>
      <tableStyleElement type="secondRowStripe" dxfId="97"/>
    </tableStyle>
    <tableStyle name="Equation table" pivot="0" count="6" xr9:uid="{B247698E-E41D-4CCD-AA0A-C14817E9DE65}">
      <tableStyleElement type="wholeTable" dxfId="96"/>
      <tableStyleElement type="headerRow" dxfId="95"/>
      <tableStyleElement type="totalRow" dxfId="94"/>
      <tableStyleElement type="firstColumn" dxfId="93"/>
      <tableStyleElement type="firstRowStripe" dxfId="92"/>
      <tableStyleElement type="secondRowStripe" dxfId="91"/>
    </tableStyle>
    <tableStyle name="Table Style 1" pivot="0" count="0" xr9:uid="{97B370DB-5463-4A31-9160-5A96BD6A559D}"/>
  </tableStyles>
  <colors>
    <mruColors>
      <color rgb="FFCC6600"/>
      <color rgb="FF0C769E"/>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3"/><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18"/><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0"/><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7"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6"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5"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4"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3"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2"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1"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0"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79"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8"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7"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6"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5"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4"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3"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2"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1"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0"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69"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8"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7"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6"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EB8DE-97A3-40B0-A9D4-A2DB970BDC6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0BB2EE4-329C-4491-8AC7-92D698711C62}" name="State/Territory">
      <calculatedColumnFormula array="1">Common_InputFunctions.Utility_DisplayArrayInTable(Common_SourceData.Common_SourceData_AustralianStatesTerritories_Data(),Table_AustralianStates[[#Headers],[State/Territory]],0)</calculatedColumnFormula>
    </tableColumn>
    <tableColumn id="2" xr3:uid="{6843E437-0AC9-4C56-9C18-205A03D54C8D}" name="Common Name">
      <calculatedColumnFormula array="1">Common_InputFunctions.Utility_DisplayArrayInTable(Common_SourceData.Common_SourceData_AustralianStatesTerritories_Data(),Table_AustralianStates[[#Headers],[State/Territory]],0)</calculatedColumnFormula>
    </tableColumn>
    <tableColumn id="3" xr3:uid="{C750ACEE-367B-4D15-9AD9-E4DC74E9DA16}"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D71383D-0DA7-4380-A582-1A4588EB8543}" name="Table_WASA4Areas" displayName="Table_WASA4Areas" ref="D20:D30" totalsRowShown="0">
  <autoFilter ref="D20:D30" xr:uid="{5FA81339-C6C8-4D36-BEEA-6C4AEDD9E676}">
    <filterColumn colId="0" hiddenButton="1"/>
  </autoFilter>
  <tableColumns count="1">
    <tableColumn id="1" xr3:uid="{0A331C1D-7EDE-4708-8589-D051E6532F2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CF60751-F9C4-415D-B993-528CC7A73991}" name="Table_GWPData" displayName="Table_GWPData" ref="D36:E43" totalsRowShown="0">
  <autoFilter ref="D36:E43" xr:uid="{B8E87A66-3E41-4AD3-925D-01EE21B43D7A}">
    <filterColumn colId="0" hiddenButton="1"/>
    <filterColumn colId="1" hiddenButton="1"/>
  </autoFilter>
  <tableColumns count="2">
    <tableColumn id="1" xr3:uid="{D97E254B-9580-4BB2-A40E-25B9EE748541}" name="Gas">
      <calculatedColumnFormula array="1">Common_InputFunctions.Utility_DisplayArrayInTable(Common_SourceData.Common_SourceData_GWP_Data(), Table_GWPData[[#Headers],[Gas]], 0)</calculatedColumnFormula>
    </tableColumn>
    <tableColumn id="2" xr3:uid="{EDDDBAF2-8368-49B8-ADF6-914F7176429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DAB1797-8427-490A-A28D-AD16250AEF0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0E3427A-0331-4A67-B9CB-8C2DF0BFA8AA}" name="Gas">
      <calculatedColumnFormula array="1">Common_InputFunctions.Utility_DisplayArrayInTable(Common_SourceData.Common_SourceData_ConvertGasElementalToMolecular_Data(),Table_GasToMolecularConversionFactor[[#Headers],[Gas]], 0)</calculatedColumnFormula>
    </tableColumn>
    <tableColumn id="5" xr3:uid="{B611A130-4B9D-409F-8910-EA6F1C5E2406}" name="Conversion factor">
      <calculatedColumnFormula array="1">Common_InputFunctions.Utility_DisplayArrayInTable(Common_SourceData.Common_SourceData_ConvertGasElementalToMolecular_Data(),Table_GasToMolecularConversionFactor[[#Headers],[Gas]], 0)</calculatedColumnFormula>
    </tableColumn>
    <tableColumn id="2" xr3:uid="{DC36563F-849C-4B72-800A-42CF0EB0EA2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E748EFA-1D5C-4F67-9669-41BE5503886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A113FB8-E57B-4712-BB7F-B3E8B112DBC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8D64A7-EEBB-4AF8-BB8C-B5EDEBF5618B}"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59F074B-D425-4D5F-A20E-8A45EE9932D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E34926C-BF29-4E5E-B008-9BE26047C588}"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8B69B916-5280-43C8-B60E-1F1B237E7F6F}"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7E43885A-A061-473E-B425-CE9479A7EA94}"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AAF7B386-82FD-42C2-A764-6F248F77D7A4}"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CA1BE24C-9BC6-40F2-B441-F7769C53EAD5}"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B6032017-D70B-4FF7-BF51-7439858C9855}"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59FFE2B0-BAD5-4F15-9A05-2B0900E1896B}"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D525097B-FB52-4CE7-A929-F8D6F4431528}"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D148D02D-BE21-4A73-9515-E080B32A6060}"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01291437-3BBC-48E9-98A3-3BE1E88BC94C}"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12E8D8D6-0BDE-4986-9EA9-354E9BD350A7}"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F6EB839F-D5A5-4E00-8F43-96AC8110CCE7}"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6E66BA7E-59CB-495A-A305-39759891DC28}"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89435351-02B3-4458-A66C-C57880C1D56A}"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E934065B-9A07-4BF2-B77C-54B7DF92A1C6}"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1770C3-DD99-4F74-9222-B256A715026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EFD4A55-BD32-493A-B1FF-4E9AC76817F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4D3E5594-0114-42E8-A97E-6494E89FFC3C}"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7BDB6E8-2207-4DF4-A76B-6D3C149C576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D64E69A-0D82-4FDB-A236-92272E1EA4F0}" name="Temperature Zone">
      <calculatedColumnFormula array="1">Common_InputFunctions.Utility_DisplayArrayInTable(Common_SourceData.Common_SourceData_TemperatureZones_Data(),Table_SourceData_TemperatureZones[[#Headers],[Temperature Zone]],0)</calculatedColumnFormula>
    </tableColumn>
    <tableColumn id="2" xr3:uid="{BD51CE1E-BC2E-41DD-9B25-E1E7E0FA2FFB}" name="MAT">
      <calculatedColumnFormula array="1">Common_InputFunctions.Utility_DisplayArrayInTable(Common_SourceData.Common_SourceData_TemperatureZones_Data(),Table_SourceData_TemperatureZones[[#Headers],[Temperature Zone]],0)</calculatedColumnFormula>
    </tableColumn>
    <tableColumn id="3" xr3:uid="{2A30D772-49F2-4FFF-B697-998C58B81B7E}" name="Min MAT">
      <calculatedColumnFormula array="1">Common_InputFunctions.Utility_DisplayArrayInTable(Common_SourceData.Common_SourceData_TemperatureZones_Data(),Table_SourceData_TemperatureZones[[#Headers],[Temperature Zone]],0)</calculatedColumnFormula>
    </tableColumn>
    <tableColumn id="4" xr3:uid="{E1EBB9A6-A234-4A8F-8D32-F68455EB694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F67D12-B770-4B74-A2BF-010F7B279C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09A5FCC-52EA-4EAE-B9F6-71536DF8FE44}" name="Rainfall Zone">
      <calculatedColumnFormula array="1">Common_InputFunctions.Utility_DisplayArrayInTable(Common_SourceData.Common_SourceData_RainfallZones_Data(),Table_SourceData_RainfallZones[[#Headers],[Rainfall Zone]],0)</calculatedColumnFormula>
    </tableColumn>
    <tableColumn id="2" xr3:uid="{7DF6BC3C-FCA9-434D-A25F-7A0827956DE8}" name="Annual rainfall">
      <calculatedColumnFormula array="1">Common_InputFunctions.Utility_DisplayArrayInTable(Common_SourceData.Common_SourceData_RainfallZones_Data(),Table_SourceData_RainfallZones[[#Headers],[Rainfall Zone]],0)</calculatedColumnFormula>
    </tableColumn>
    <tableColumn id="3" xr3:uid="{EA97ACB2-B9A8-4550-997B-EEDB530D8BC0}" name="Min rainfall">
      <calculatedColumnFormula array="1">Common_InputFunctions.Utility_DisplayArrayInTable(Common_SourceData.Common_SourceData_RainfallZones_Data(),Table_SourceData_RainfallZones[[#Headers],[Rainfall Zone]],0)</calculatedColumnFormula>
    </tableColumn>
    <tableColumn id="4" xr3:uid="{3C8D0C7B-67E8-4E62-A7B6-3A01E87F057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F62F6D-0DCD-4AB6-BB03-0E3480274D2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EC44F578-D0E5-463D-98BE-3ECBCB84183D}" name="Leaching Zone">
      <calculatedColumnFormula array="1">Common_InputFunctions.Utility_DisplayArrayInTable(Common_SourceData.Common_SourceData_LeachingZones_Data(), Table_SourceData_LeachingZones[[#Headers],[Leaching Zone]], 0)</calculatedColumnFormula>
    </tableColumn>
    <tableColumn id="2" xr3:uid="{D6C40D65-EF96-42F6-BA08-98104F0801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F23DD2D-C926-46DB-AD62-35643C2200F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4072A4F-CFD7-4061-ABF1-A15BCE354498}" name="Data source">
      <calculatedColumnFormula array="1">Common_InputFunctions.Utility_DisplayArrayInTable(Common_SourceData.Common_SourceData_DataScores_Scope3_Data(), Table_SourceData_DataScores_Scope3[[#Headers],[Data source]], 0)</calculatedColumnFormula>
    </tableColumn>
    <tableColumn id="2" xr3:uid="{9436A28A-9900-484E-9CD2-BF37019D5D6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63D798A-1CC1-447A-9F39-2984471D0893}" name="Table_SourceData_FracWET" displayName="Table_SourceData_FracWET" ref="D134:E136" totalsRowShown="0">
  <autoFilter ref="D134:E136" xr:uid="{308E99BE-FE1F-47A4-B2CA-97217277C4E9}">
    <filterColumn colId="0" hiddenButton="1"/>
    <filterColumn colId="1" hiddenButton="1"/>
  </autoFilter>
  <tableColumns count="2">
    <tableColumn id="1" xr3:uid="{ABBEC785-BFEE-49EE-9D79-736DE4BCB8E0}" name="Is in leaching zone">
      <calculatedColumnFormula array="1">Common_InputFunctions.Utility_DisplayArrayInTable(Common_SourceData.Common_SourceData_FracWET_Data(),Table_SourceData_FracWET[[#Headers],[Is in leaching zone]],0)</calculatedColumnFormula>
    </tableColumn>
    <tableColumn id="2" xr3:uid="{9B4BEC72-EA5B-45C8-81AD-08C1DE03EB9E}"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761FE1F-F48F-478A-B26D-FD257AD032A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A897BFF3-61D5-42CB-929B-C98FAFBC1DC8}" name="Production system j">
      <calculatedColumnFormula array="1">Common_InputFunctions.Utility_DisplayArrayInTable(Common_SourceData.Common_SourceData_EFN2O_Data(), Table_SourceData_Common_EFN2O[[#Headers],[Production system j]], 0)</calculatedColumnFormula>
    </tableColumn>
    <tableColumn id="2" xr3:uid="{EED0C13F-D2A6-4924-86E8-88CAAF880ECE}" name="EFN2O">
      <calculatedColumnFormula array="1">Common_InputFunctions.Utility_DisplayArrayInTable(Common_SourceData.Common_SourceData_EFN2O_Data(), Table_SourceData_Common_EFN2O[[#Headers],[Production system j]], 0)</calculatedColumnFormula>
    </tableColumn>
    <tableColumn id="3" xr3:uid="{BE492789-EDD7-4841-A5EA-672D4299C543}" name="Production system only">
      <calculatedColumnFormula array="1">Common_InputFunctions.Utility_DisplayArrayInTable(Common_SourceData.Common_SourceData_EFN2O_Data(), Table_SourceData_Common_EFN2O[[#Headers],[Production system j]], 0)</calculatedColumnFormula>
    </tableColumn>
    <tableColumn id="4" xr3:uid="{667F831D-65B1-4223-9478-703746EC42A6}" name="Irrigation method">
      <calculatedColumnFormula array="1">Common_InputFunctions.Utility_DisplayArrayInTable(Common_SourceData.Common_SourceData_EFN2O_Data(), Table_SourceData_Common_EFN2O[[#Headers],[Production system j]], 0)</calculatedColumnFormula>
    </tableColumn>
    <tableColumn id="5" xr3:uid="{891011B9-DABF-46D8-A450-78D1AAA7678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2BABD2-5CE3-427B-BE2B-5FF721876B9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8546709-CAAA-4DFF-85A8-4527C2CCB7DB}" name="Irrigation type i">
      <calculatedColumnFormula array="1">Common_InputFunctions.Utility_DisplayArrayInTable(Common_SourceData.Common_SourceData_FracWETIrrigation_Data(), Table_SourceData_FracWETIrrigation[[#Headers],[Irrigation type i]], 0)</calculatedColumnFormula>
    </tableColumn>
    <tableColumn id="2" xr3:uid="{36E5B959-700E-49CE-9679-658D1754AA81}"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A164BCE-C54A-4921-87C8-C451E4D0228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2D505003-A083-4FFD-BCFB-8E7DFE3CE06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76732217-4BFF-45C0-A8A4-256FE5B3D7AC}"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553BB77-BB34-4284-B4E1-6B3B819927D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5DC7626-3BD9-498F-8581-C7E0FF195E1B}" name="Month">
      <calculatedColumnFormula array="1">Common_InputFunctions.Utility_DisplayArrayInTable(Common_SourceData.Common_SourceData_MonthsToSeasons_Data(), Table_SourceData_Common_MonthToSeason[[#Headers],[Month]], 0)</calculatedColumnFormula>
    </tableColumn>
    <tableColumn id="2" xr3:uid="{D1AB5A4F-64F9-4F65-98A5-7F84F37C9000}"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543BB5B-2DC7-4038-945E-651A2EDC950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90F1131-CC72-45CB-89B7-14750492D0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2BA408-CC44-4FD1-9FE5-C862E7884D80}"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EB310E3-D0C6-44E5-BE7A-9A3906CD667F}"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B70E641-4D01-4137-9CD7-D480164920C4}"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BA37E5A8-31C6-40AC-88D0-459DF0729CE7}"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88F65E3-9FF5-4AB5-9F54-AA4F680F4893}"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516FDB7-C324-47F2-9767-82AEE14D08DA}"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87E5DC53-9ACE-424D-AAF8-7BAFC79089F1}"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CEAF9E5-E869-45AE-A0D4-302BECC22CB4}"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0CF22FFD-2A47-4B7A-BAB4-5381789D0742}"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431A54A-31D8-4972-AEF7-9EF5BFC32F66}"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3E2207C4-EA23-49A0-BFE0-24D36A50B70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3193E0B-C2B5-4D5F-85A5-058E4C78651C}"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463CDEFD-D540-48C9-AEA2-1262A37C691C}"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5956D87-0AA3-454A-8F06-51B3D4E6DA77}"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1BFBCDA-F704-4B88-B902-378E2C8FC8F8}"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0525234-6116-4DDE-8A2F-AEAFF49990D2}"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4BED9A5-75A7-4FD5-B9C7-39017FB030DC}"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0D10F8EF-BA44-4C5D-A3FC-35E87578F173}"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18" Type="http://schemas.openxmlformats.org/officeDocument/2006/relationships/table" Target="../tables/table28.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17" Type="http://schemas.openxmlformats.org/officeDocument/2006/relationships/table" Target="../tables/table27.xml"/><Relationship Id="rId2" Type="http://schemas.openxmlformats.org/officeDocument/2006/relationships/table" Target="../tables/table12.xml"/><Relationship Id="rId16" Type="http://schemas.openxmlformats.org/officeDocument/2006/relationships/table" Target="../tables/table26.xml"/><Relationship Id="rId1" Type="http://schemas.openxmlformats.org/officeDocument/2006/relationships/printerSettings" Target="../printerSettings/printerSettings11.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5" Type="http://schemas.openxmlformats.org/officeDocument/2006/relationships/table" Target="../tables/table2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dimension ref="A1:BL82"/>
  <sheetViews>
    <sheetView showGridLines="0" zoomScaleNormal="100" workbookViewId="0">
      <selection activeCell="A22" sqref="A22"/>
    </sheetView>
  </sheetViews>
  <sheetFormatPr defaultRowHeight="15" x14ac:dyDescent="0.25"/>
  <cols>
    <col min="1" max="1" width="30.7109375" customWidth="1"/>
    <col min="2" max="3" width="4.7109375" customWidth="1"/>
  </cols>
  <sheetData>
    <row r="1" spans="1:64" ht="30" customHeight="1" x14ac:dyDescent="0.35">
      <c r="A1" s="67" t="e" vm="1">
        <v>#VALUE!</v>
      </c>
      <c r="C1" s="147" t="s">
        <v>355</v>
      </c>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row>
    <row r="2" spans="1:64" ht="20.100000000000001" customHeight="1" x14ac:dyDescent="0.25">
      <c r="A2" s="9"/>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row>
    <row r="3" spans="1:64" ht="20.100000000000001" customHeight="1" x14ac:dyDescent="0.25">
      <c r="A3" s="17" t="str">
        <f>HYPERLINK("#'Home'!A1", "Home")</f>
        <v>Home</v>
      </c>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row>
    <row r="4" spans="1:64" ht="20.100000000000001" customHeight="1" x14ac:dyDescent="0.25">
      <c r="A4" s="13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row>
    <row r="5" spans="1:64" ht="20.100000000000001" customHeight="1" x14ac:dyDescent="0.25">
      <c r="A5" s="17" t="str">
        <f>HYPERLINK("#'Results'!A1", "Results")</f>
        <v>Results</v>
      </c>
      <c r="C5" s="1"/>
      <c r="D5" s="150" t="s">
        <v>352</v>
      </c>
      <c r="E5" s="150"/>
      <c r="F5" s="150"/>
      <c r="G5" s="150"/>
      <c r="H5" s="150"/>
      <c r="I5" s="125"/>
      <c r="J5" s="90"/>
      <c r="K5" s="90"/>
      <c r="L5" s="90"/>
      <c r="M5" s="90"/>
      <c r="N5" s="90"/>
      <c r="O5" s="90"/>
      <c r="P5" s="90"/>
      <c r="Q5" s="90"/>
      <c r="R5" s="90"/>
      <c r="S5" s="90"/>
      <c r="T5" s="90"/>
      <c r="U5" s="90"/>
      <c r="V5" s="86"/>
      <c r="W5" s="1"/>
      <c r="X5" s="1"/>
      <c r="Y5" s="1"/>
      <c r="Z5" s="1"/>
      <c r="AA5" s="1"/>
      <c r="AB5" s="1"/>
      <c r="AC5" s="1"/>
      <c r="AD5" s="1"/>
      <c r="AE5" s="1"/>
      <c r="AF5" s="1"/>
      <c r="AG5" s="1"/>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row>
    <row r="6" spans="1:64" ht="20.100000000000001" customHeight="1" x14ac:dyDescent="0.25">
      <c r="A6" s="16"/>
      <c r="C6" s="1"/>
      <c r="D6" s="151" t="s">
        <v>353</v>
      </c>
      <c r="E6" s="152"/>
      <c r="F6" s="152"/>
      <c r="G6" s="152"/>
      <c r="H6" s="152"/>
      <c r="I6" s="92"/>
      <c r="J6" s="89"/>
      <c r="K6" s="89"/>
      <c r="L6" s="89"/>
      <c r="M6" s="89"/>
      <c r="N6" s="89"/>
      <c r="O6" s="89"/>
      <c r="P6" s="89"/>
      <c r="Q6" s="89"/>
      <c r="R6" s="89"/>
      <c r="S6" s="89"/>
      <c r="T6" s="89"/>
      <c r="U6" s="89"/>
      <c r="V6" s="87"/>
      <c r="W6" s="1"/>
      <c r="X6" s="1"/>
      <c r="Y6" s="1"/>
      <c r="Z6" s="1"/>
      <c r="AA6" s="1"/>
      <c r="AB6" s="1"/>
      <c r="AC6" s="1"/>
      <c r="AD6" s="1"/>
      <c r="AE6" s="1"/>
      <c r="AF6" s="1"/>
      <c r="AG6" s="1"/>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row>
    <row r="7" spans="1:64" ht="20.100000000000001" customHeight="1" x14ac:dyDescent="0.25">
      <c r="A7" s="20"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row>
    <row r="9" spans="1:64" ht="20.100000000000001" customHeight="1" x14ac:dyDescent="0.25">
      <c r="A9" s="17" t="str">
        <f>HYPERLINK("#'Input - Poultry'!A1", "Poultry")</f>
        <v>Poultry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row>
    <row r="11" spans="1:64" ht="20.100000000000001" customHeight="1" x14ac:dyDescent="0.25">
      <c r="A11" s="19" t="s">
        <v>70</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row>
    <row r="12" spans="1:64" ht="20.100000000000001" customHeight="1" x14ac:dyDescent="0.25">
      <c r="A12" s="17" t="str">
        <f>HYPERLINK("#'4.6.1.1-2 Methane'!A1", "4.6.1.1-2 Methane")</f>
        <v>4.6.1.1-2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row>
    <row r="13" spans="1:64" ht="20.100000000000001" customHeight="1" x14ac:dyDescent="0.25">
      <c r="A13" s="17" t="str">
        <f>HYPERLINK("#'4.6.1.3-4 Direct N20'!A1", "4.6.1.3-4 Direct N2O")</f>
        <v>4.6.1.3-4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row>
    <row r="14" spans="1:64" ht="20.100000000000001" customHeight="1" x14ac:dyDescent="0.25">
      <c r="A14" s="17" t="str">
        <f>HYPERLINK("#'4.6.1.5-6 Atmos Dep'!A1", "4.6.1.5-6 Atmospheric deposition")</f>
        <v>4.6.1.5-6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row>
    <row r="15" spans="1:64" ht="20.100000000000001" customHeight="1" x14ac:dyDescent="0.25">
      <c r="A15" s="17" t="str">
        <f>HYPERLINK("#'4.6.1.7-8 Leaching and runoff'!A1", "4.6.1.7-8 Leaching &amp; runoff")</f>
        <v>4.6.1.7-8 Leaching &amp;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row>
    <row r="16" spans="1:64" ht="20.100000000000001" customHeight="1" x14ac:dyDescent="0.25">
      <c r="A16" s="17" t="str">
        <f>HYPERLINK("#'4.6.1.9 Manure applied to soils'!A1", "4.6.1.9 Manure applied to soils")</f>
        <v>4.6.1.9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row>
    <row r="17" spans="1:64" ht="20.100000000000001" customHeight="1" x14ac:dyDescent="0.25">
      <c r="A17" s="17" t="str">
        <f>HYPERLINK("#'4.6.1.10-11 Soil direct N2O'!A1", "4.6.1.10-11 Soil direct N2O")</f>
        <v>4.6.1.10-11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row>
    <row r="18" spans="1:64" ht="20.100000000000001" customHeight="1" x14ac:dyDescent="0.25">
      <c r="A18" s="17" t="str">
        <f>HYPERLINK("#'4.6.1.12-13 Soil atmos dep'!A1", "4.6.1.12-13 Soil Atm. deposition")</f>
        <v>4.6.1.12-13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row>
    <row r="19" spans="1:64" ht="20.100000000000001" customHeight="1" x14ac:dyDescent="0.25">
      <c r="A19" s="17" t="str">
        <f>HYPERLINK("#'4.6.1.14-15 Soil leach runoff'!A1", "4.6.1.14-15 Soil leach &amp; runoff")</f>
        <v>4.6.1.14-15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row>
    <row r="21" spans="1:64" ht="20.100000000000001" customHeight="1" x14ac:dyDescent="0.25">
      <c r="A21" s="18" t="s">
        <v>2</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row>
    <row r="22" spans="1:64" ht="20.100000000000001" customHeight="1" x14ac:dyDescent="0.25">
      <c r="A22" s="17" t="str">
        <f>HYPERLINK("#'Constants - Poultry'!A1", "Constants - Poultry")</f>
        <v>Constants - Poultry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row>
    <row r="37" spans="3:64" ht="20.100000000000001" customHeight="1" x14ac:dyDescent="0.25">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row>
    <row r="38" spans="3:64" ht="20.100000000000001" customHeight="1" x14ac:dyDescent="0.25">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row>
    <row r="39" spans="3:64" ht="20.100000000000001" customHeight="1" x14ac:dyDescent="0.25">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row>
    <row r="40" spans="3:64" ht="20.100000000000001" customHeight="1" x14ac:dyDescent="0.25">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row>
    <row r="41" spans="3:64" ht="20.100000000000001" customHeight="1" x14ac:dyDescent="0.25">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row>
    <row r="42" spans="3:64" ht="20.100000000000001" customHeight="1" x14ac:dyDescent="0.25">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row>
    <row r="43" spans="3:64" ht="20.100000000000001" customHeight="1" x14ac:dyDescent="0.25">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row>
    <row r="44" spans="3:64" ht="20.100000000000001" customHeight="1" x14ac:dyDescent="0.25">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row>
    <row r="45" spans="3:64" ht="20.100000000000001"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row>
    <row r="46" spans="3:64" ht="20.100000000000001" customHeight="1" x14ac:dyDescent="0.25">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row>
    <row r="47" spans="3:64" ht="20.100000000000001" customHeight="1" x14ac:dyDescent="0.25">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row>
    <row r="48" spans="3:64" ht="20.100000000000001" customHeight="1" x14ac:dyDescent="0.25">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row>
    <row r="49" spans="3:64" ht="20.100000000000001" customHeight="1" x14ac:dyDescent="0.25">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row>
    <row r="50" spans="3:64" ht="20.100000000000001" customHeight="1" x14ac:dyDescent="0.25">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row>
    <row r="51" spans="3:64" ht="20.100000000000001" customHeight="1" x14ac:dyDescent="0.25">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row>
    <row r="52" spans="3:64" ht="20.100000000000001" customHeight="1" x14ac:dyDescent="0.25">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row>
    <row r="53" spans="3:64" ht="20.100000000000001" customHeight="1" x14ac:dyDescent="0.25">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row>
    <row r="54" spans="3:64" ht="20.100000000000001" customHeight="1" x14ac:dyDescent="0.25">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row>
    <row r="55" spans="3:64" ht="20.100000000000001" customHeight="1" x14ac:dyDescent="0.25">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row>
    <row r="56" spans="3:64" ht="20.100000000000001" customHeight="1" x14ac:dyDescent="0.25">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row>
    <row r="57" spans="3:64" ht="20.100000000000001" customHeight="1" x14ac:dyDescent="0.25">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row>
    <row r="58" spans="3:64" ht="20.100000000000001" customHeight="1" x14ac:dyDescent="0.25">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row>
    <row r="59" spans="3:64" x14ac:dyDescent="0.25">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row>
    <row r="60" spans="3:64" x14ac:dyDescent="0.25">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row>
    <row r="61" spans="3:64" x14ac:dyDescent="0.25">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row>
    <row r="62" spans="3:64" x14ac:dyDescent="0.25">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row>
    <row r="63" spans="3:64" x14ac:dyDescent="0.25">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row>
    <row r="64" spans="3:64" x14ac:dyDescent="0.25">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row>
    <row r="65" spans="3:64" x14ac:dyDescent="0.25">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row>
    <row r="66" spans="3:64" x14ac:dyDescent="0.25">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row>
    <row r="67" spans="3:64" x14ac:dyDescent="0.25">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row>
    <row r="68" spans="3:64" x14ac:dyDescent="0.25">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row>
    <row r="69" spans="3:64" x14ac:dyDescent="0.25">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row>
    <row r="70" spans="3:64" x14ac:dyDescent="0.25">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row>
    <row r="71" spans="3:64" x14ac:dyDescent="0.25">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row>
    <row r="72" spans="3:64" x14ac:dyDescent="0.25">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row>
    <row r="73" spans="3:64" x14ac:dyDescent="0.25">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row>
    <row r="74" spans="3:64" x14ac:dyDescent="0.25">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row>
    <row r="75" spans="3:64" x14ac:dyDescent="0.25">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row>
    <row r="76" spans="3:64" x14ac:dyDescent="0.25">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row>
    <row r="77" spans="3:64" x14ac:dyDescent="0.25">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row>
    <row r="78" spans="3:64" x14ac:dyDescent="0.25">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row>
    <row r="79" spans="3:64" x14ac:dyDescent="0.25">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row>
    <row r="80" spans="3:64" x14ac:dyDescent="0.25">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row>
    <row r="81" spans="3:64" x14ac:dyDescent="0.25">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row>
    <row r="82" spans="3:64" x14ac:dyDescent="0.25">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8" sqref="A8"/>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7" t="e" vm="1">
        <v>#VALUE!</v>
      </c>
      <c r="C1" s="110" t="s">
        <v>190</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31" t="str">
        <f>HYPERLINK("#'Results'!A1", "Results")</f>
        <v>Results</v>
      </c>
      <c r="C5" s="22"/>
      <c r="D5" s="26"/>
      <c r="E5" s="27"/>
      <c r="F5" s="27"/>
      <c r="G5" s="27"/>
      <c r="H5" s="24"/>
      <c r="I5" s="22"/>
      <c r="J5" s="22"/>
      <c r="K5" s="22"/>
    </row>
    <row r="6" spans="1:11" ht="20.100000000000001" customHeight="1" x14ac:dyDescent="0.25">
      <c r="A6" s="16"/>
      <c r="C6" s="22"/>
      <c r="D6" s="109" t="s">
        <v>100</v>
      </c>
      <c r="E6" s="109" t="s">
        <v>115</v>
      </c>
      <c r="F6" s="109" t="s">
        <v>116</v>
      </c>
      <c r="G6" s="109" t="s">
        <v>107</v>
      </c>
      <c r="H6" s="109" t="s">
        <v>117</v>
      </c>
      <c r="I6" s="109" t="s">
        <v>118</v>
      </c>
      <c r="J6" s="109" t="s">
        <v>108</v>
      </c>
      <c r="K6" s="22"/>
    </row>
    <row r="7" spans="1:11" ht="20.100000000000001" customHeight="1" x14ac:dyDescent="0.25">
      <c r="A7" s="20" t="s">
        <v>1</v>
      </c>
      <c r="C7" s="22"/>
      <c r="D7" s="1" t="s">
        <v>314</v>
      </c>
      <c r="E7" s="135">
        <f>'4.6.1.1-2 Methane'!E222</f>
        <v>1.9999321060623357E-2</v>
      </c>
      <c r="F7" s="135">
        <f>'4.6.1.1-2 Methane'!O222</f>
        <v>1.924586355691776E-2</v>
      </c>
      <c r="G7" s="54" t="s">
        <v>111</v>
      </c>
      <c r="H7" s="106">
        <f>'4.6.1.1-2 Methane'!E227</f>
        <v>0.55998098969745402</v>
      </c>
      <c r="I7" s="106">
        <f>'4.6.1.1-2 Methane'!O227</f>
        <v>0.53888417959369728</v>
      </c>
      <c r="J7" s="54" t="s">
        <v>113</v>
      </c>
      <c r="K7" s="22"/>
    </row>
    <row r="8" spans="1:11" ht="20.100000000000001" customHeight="1" x14ac:dyDescent="0.25">
      <c r="A8" s="17" t="str">
        <f>HYPERLINK("#'Input - Site'!A1", "Site")</f>
        <v>Site</v>
      </c>
      <c r="C8" s="22"/>
      <c r="D8" s="1" t="s">
        <v>315</v>
      </c>
      <c r="E8" s="135">
        <f>'4.6.1.3-4 Direct N20'!E245</f>
        <v>5.7674954756571411E-4</v>
      </c>
      <c r="F8" s="135">
        <f>'4.6.1.3-4 Direct N20'!O245</f>
        <v>5.7674954756571411E-4</v>
      </c>
      <c r="G8" s="54" t="s">
        <v>122</v>
      </c>
      <c r="H8" s="106">
        <f>'4.6.1.3-4 Direct N20'!E250</f>
        <v>0.15283863010491425</v>
      </c>
      <c r="I8" s="106">
        <f>'4.6.1.3-4 Direct N20'!O250</f>
        <v>0.15283863010491425</v>
      </c>
      <c r="J8" s="54" t="s">
        <v>113</v>
      </c>
      <c r="K8" s="22"/>
    </row>
    <row r="9" spans="1:11" ht="20.100000000000001" customHeight="1" x14ac:dyDescent="0.25">
      <c r="A9" s="17" t="str">
        <f>HYPERLINK("#'Input - Poultry'!A1", "Poultry")</f>
        <v>Poultry</v>
      </c>
      <c r="C9" s="22"/>
      <c r="D9" s="1" t="s">
        <v>316</v>
      </c>
      <c r="E9" s="135">
        <f>'4.6.1.5-6 Atmos Dep'!E96</f>
        <v>2.2877540674560014E-4</v>
      </c>
      <c r="F9" s="135">
        <f>'4.6.1.5-6 Atmos Dep'!O96</f>
        <v>2.2877540674560014E-4</v>
      </c>
      <c r="G9" s="54" t="s">
        <v>122</v>
      </c>
      <c r="H9" s="106">
        <f>'4.6.1.5-6 Atmos Dep'!E101</f>
        <v>6.0625482787584034E-2</v>
      </c>
      <c r="I9" s="106">
        <f>'4.6.1.5-6 Atmos Dep'!O101</f>
        <v>6.0625482787584034E-2</v>
      </c>
      <c r="J9" s="54" t="s">
        <v>113</v>
      </c>
      <c r="K9" s="22"/>
    </row>
    <row r="10" spans="1:11" ht="20.100000000000001" customHeight="1" x14ac:dyDescent="0.25">
      <c r="A10" s="17"/>
      <c r="C10" s="22"/>
      <c r="D10" s="1" t="s">
        <v>284</v>
      </c>
      <c r="E10" s="135">
        <f>'4.6.1.7-8 Leaching and runoff'!E59</f>
        <v>3.4753311014399998E-6</v>
      </c>
      <c r="F10" s="135">
        <f>'4.6.1.7-8 Leaching and runoff'!O59</f>
        <v>3.4753311014399998E-6</v>
      </c>
      <c r="G10" s="54" t="s">
        <v>122</v>
      </c>
      <c r="H10" s="106">
        <f>'4.6.1.7-8 Leaching and runoff'!E64</f>
        <v>9.2096274188159999E-4</v>
      </c>
      <c r="I10" s="106">
        <f>'4.6.1.7-8 Leaching and runoff'!O64</f>
        <v>9.2096274188159999E-4</v>
      </c>
      <c r="J10" s="54" t="s">
        <v>113</v>
      </c>
      <c r="K10" s="22"/>
    </row>
    <row r="11" spans="1:11" ht="20.100000000000001" customHeight="1" x14ac:dyDescent="0.25">
      <c r="A11" s="19" t="s">
        <v>70</v>
      </c>
      <c r="C11" s="22"/>
      <c r="D11" s="1" t="s">
        <v>300</v>
      </c>
      <c r="E11" s="135">
        <f>'4.6.1.10-11 Soil direct N2O'!E27</f>
        <v>2.3434148571428574E-4</v>
      </c>
      <c r="F11" s="135">
        <f>'4.6.1.10-11 Soil direct N2O'!O27</f>
        <v>2.3434148571428574E-4</v>
      </c>
      <c r="G11" s="54" t="s">
        <v>122</v>
      </c>
      <c r="H11" s="106">
        <f>'4.6.1.10-11 Soil direct N2O'!E32</f>
        <v>6.2100493714285721E-2</v>
      </c>
      <c r="I11" s="106">
        <f>'4.6.1.10-11 Soil direct N2O'!O32</f>
        <v>6.2100493714285721E-2</v>
      </c>
      <c r="J11" s="54" t="s">
        <v>113</v>
      </c>
      <c r="K11" s="22"/>
    </row>
    <row r="12" spans="1:11" ht="20.100000000000001" customHeight="1" x14ac:dyDescent="0.25">
      <c r="A12" s="17" t="str">
        <f>HYPERLINK("#'4.6.1.1-2 Methane'!A1", "4.6.1.1-2 Methane")</f>
        <v>4.6.1.1-2 Methane</v>
      </c>
      <c r="C12" s="22"/>
      <c r="D12" s="1" t="s">
        <v>317</v>
      </c>
      <c r="E12" s="135">
        <f>'4.6.1.12-13 Soil atmos dep'!E45</f>
        <v>1.72240992E-5</v>
      </c>
      <c r="F12" s="135">
        <f>'4.6.1.12-13 Soil atmos dep'!N45</f>
        <v>1.72240992E-5</v>
      </c>
      <c r="G12" s="54" t="s">
        <v>122</v>
      </c>
      <c r="H12" s="106">
        <f>'4.6.1.12-13 Soil atmos dep'!E50</f>
        <v>4.5643862879999999E-3</v>
      </c>
      <c r="I12" s="106">
        <f>'4.6.1.12-13 Soil atmos dep'!N50</f>
        <v>4.5643862879999999E-3</v>
      </c>
      <c r="J12" s="54" t="s">
        <v>113</v>
      </c>
      <c r="K12" s="22"/>
    </row>
    <row r="13" spans="1:11" ht="20.100000000000001" customHeight="1" x14ac:dyDescent="0.25">
      <c r="A13" s="17" t="str">
        <f>HYPERLINK("#'4.6.1.3-4 Direct N20'!A1", "4.6.1.3-4 Direct N2O")</f>
        <v>4.6.1.3-4 Direct N2O</v>
      </c>
      <c r="C13" s="22"/>
      <c r="D13" s="1" t="s">
        <v>311</v>
      </c>
      <c r="E13" s="135">
        <f>'4.6.1.14-15 Soil leach runoff'!E47</f>
        <v>2.5777563428571431E-6</v>
      </c>
      <c r="F13" s="135">
        <f>'4.6.1.14-15 Soil leach runoff'!O47</f>
        <v>2.5777563428571431E-6</v>
      </c>
      <c r="G13" s="54" t="s">
        <v>122</v>
      </c>
      <c r="H13" s="106">
        <f>'4.6.1.14-15 Soil leach runoff'!E52</f>
        <v>6.8310543085714286E-4</v>
      </c>
      <c r="I13" s="106">
        <f>'4.6.1.14-15 Soil leach runoff'!O52</f>
        <v>6.8310543085714286E-4</v>
      </c>
      <c r="J13" s="54" t="s">
        <v>113</v>
      </c>
      <c r="K13" s="22"/>
    </row>
    <row r="14" spans="1:11" ht="20.100000000000001" customHeight="1" x14ac:dyDescent="0.3">
      <c r="A14" s="17" t="str">
        <f>HYPERLINK("#'4.6.1.5-6 Atmos Dep'!A1", "4.6.1.5-6 Atmospheric deposition")</f>
        <v>4.6.1.5-6 Atmospheric deposition</v>
      </c>
      <c r="C14" s="22"/>
      <c r="D14" s="29" t="s">
        <v>106</v>
      </c>
      <c r="E14" s="23"/>
      <c r="F14" s="23"/>
      <c r="G14" s="29"/>
      <c r="H14" s="108">
        <f>SUM(H7:H13)</f>
        <v>0.84171405076497685</v>
      </c>
      <c r="I14" s="108">
        <f>SUM(I7:I13)</f>
        <v>0.8206172406612201</v>
      </c>
      <c r="J14" s="103" t="s">
        <v>113</v>
      </c>
      <c r="K14" s="22"/>
    </row>
    <row r="15" spans="1:11" ht="20.100000000000001" customHeight="1" x14ac:dyDescent="0.25">
      <c r="A15" s="17" t="str">
        <f>HYPERLINK("#'4.6.1.7-8 Leaching and runoff'!A1", "4.6.1.7-8 Leaching &amp; runoff")</f>
        <v>4.6.1.7-8 Leaching &amp; runoff</v>
      </c>
      <c r="C15" s="22"/>
      <c r="D15" s="1"/>
      <c r="E15" s="1"/>
      <c r="F15" s="1"/>
      <c r="G15" s="24"/>
      <c r="H15" s="22"/>
      <c r="I15" s="1"/>
      <c r="J15" s="1"/>
      <c r="K15" s="22"/>
    </row>
    <row r="16" spans="1:11" ht="20.100000000000001" customHeight="1" x14ac:dyDescent="0.25">
      <c r="A16" s="17" t="str">
        <f>HYPERLINK("#'4.6.1.9 Manure applied to soils'!A1", "4.6.1.9 Manure applied to soils")</f>
        <v>4.6.1.9 Manure applied to soils</v>
      </c>
      <c r="C16" s="22"/>
      <c r="D16" s="48" t="s">
        <v>288</v>
      </c>
      <c r="E16" s="1"/>
      <c r="F16" s="1"/>
      <c r="G16" s="1"/>
      <c r="H16" s="24"/>
      <c r="I16" s="1"/>
      <c r="J16" s="22"/>
      <c r="K16" s="22"/>
    </row>
    <row r="17" spans="1:11" ht="20.100000000000001" customHeight="1" x14ac:dyDescent="0.25">
      <c r="A17" s="17" t="str">
        <f>HYPERLINK("#'4.6.1.10-11 Soil direct N2O'!A1", "4.6.1.10-11 Soil direct N2O")</f>
        <v>4.6.1.10-11 Soil direct N2O</v>
      </c>
      <c r="C17" s="22"/>
      <c r="D17" s="104" t="s">
        <v>177</v>
      </c>
      <c r="E17" s="1"/>
      <c r="F17" s="1"/>
      <c r="G17" s="1"/>
      <c r="H17" s="1"/>
      <c r="I17" s="1"/>
      <c r="J17" s="22"/>
      <c r="K17" s="22"/>
    </row>
    <row r="18" spans="1:11" ht="20.100000000000001" customHeight="1" x14ac:dyDescent="0.25">
      <c r="A18" s="17" t="str">
        <f>HYPERLINK("#'4.6.1.12-13 Soil atmos dep'!A1", "4.6.1.12-13 Soil Atm. deposition")</f>
        <v>4.6.1.12-13 Soil Atm. deposition</v>
      </c>
      <c r="C18" s="22"/>
      <c r="D18" s="127" t="s">
        <v>178</v>
      </c>
      <c r="E18" s="1"/>
      <c r="F18" s="1"/>
      <c r="G18" s="1"/>
      <c r="H18" s="1"/>
      <c r="I18" s="1"/>
      <c r="J18" s="22"/>
      <c r="K18" s="22"/>
    </row>
    <row r="19" spans="1:11" ht="20.100000000000001" customHeight="1" x14ac:dyDescent="0.25">
      <c r="A19" s="17" t="str">
        <f>HYPERLINK("#'4.6.1.14-15 Soil leach runoff'!A1", "4.6.1.14-15 Soil leach &amp; runoff")</f>
        <v>4.6.1.14-15 Soil leach &amp; runoff</v>
      </c>
      <c r="C19" s="22"/>
      <c r="D19" s="109" t="s">
        <v>179</v>
      </c>
      <c r="E19" s="109" t="s">
        <v>180</v>
      </c>
      <c r="F19" s="109" t="s">
        <v>181</v>
      </c>
      <c r="G19" s="109" t="s">
        <v>182</v>
      </c>
      <c r="H19" s="109" t="s">
        <v>183</v>
      </c>
      <c r="I19" s="1"/>
      <c r="J19" s="22"/>
      <c r="K19" s="22"/>
    </row>
    <row r="20" spans="1:11" ht="20.100000000000001" customHeight="1" x14ac:dyDescent="0.25">
      <c r="C20" s="22"/>
      <c r="D20" s="1" t="s">
        <v>184</v>
      </c>
      <c r="E20" s="122">
        <f>'4.6.1.9 Manure applied to soils'!E121</f>
        <v>36.930778279920013</v>
      </c>
      <c r="F20" s="54" t="s">
        <v>157</v>
      </c>
      <c r="G20" s="1" t="s">
        <v>318</v>
      </c>
      <c r="H20" s="1" t="s">
        <v>185</v>
      </c>
      <c r="I20" s="1"/>
      <c r="J20" s="22"/>
      <c r="K20" s="22"/>
    </row>
    <row r="21" spans="1:11" ht="20.100000000000001" customHeight="1" x14ac:dyDescent="0.25">
      <c r="A21" s="18" t="s">
        <v>2</v>
      </c>
      <c r="C21" s="22"/>
      <c r="D21" s="1" t="s">
        <v>186</v>
      </c>
      <c r="E21" s="122">
        <f>'4.6.1.9 Manure applied to soils'!E205</f>
        <v>8.9593892186400037</v>
      </c>
      <c r="F21" s="54" t="s">
        <v>157</v>
      </c>
      <c r="G21" s="1" t="s">
        <v>318</v>
      </c>
      <c r="H21" s="1" t="s">
        <v>185</v>
      </c>
      <c r="I21" s="22"/>
      <c r="J21" s="22"/>
      <c r="K21" s="22"/>
    </row>
    <row r="22" spans="1:11" ht="20.100000000000001" customHeight="1" x14ac:dyDescent="0.25">
      <c r="A22" s="17" t="str">
        <f>HYPERLINK("#'Constants - Poultry'!A1", "Constants - Poultry")</f>
        <v>Constants - Poultry</v>
      </c>
      <c r="C22" s="22"/>
      <c r="D22" s="1" t="s">
        <v>187</v>
      </c>
      <c r="E22" s="122">
        <f>'4.6.1.9 Manure applied to soils'!E158</f>
        <v>8.9593892186400037</v>
      </c>
      <c r="F22" s="54" t="s">
        <v>157</v>
      </c>
      <c r="G22" s="1" t="s">
        <v>188</v>
      </c>
      <c r="H22" s="1" t="s">
        <v>189</v>
      </c>
      <c r="I22" s="22"/>
      <c r="J22" s="22"/>
      <c r="K22" s="22"/>
    </row>
    <row r="23" spans="1:11" ht="20.100000000000001" customHeight="1" x14ac:dyDescent="0.3">
      <c r="A23" s="17" t="str">
        <f>HYPERLINK("#'Constants - Livestock'!A1", "Constants - Livestock")</f>
        <v>Constants - Livestock</v>
      </c>
      <c r="C23" s="22"/>
      <c r="D23" s="1"/>
      <c r="E23" s="1"/>
      <c r="F23" s="1"/>
      <c r="G23" s="1"/>
      <c r="H23" s="27"/>
      <c r="I23" s="22"/>
      <c r="J23" s="22"/>
      <c r="K23" s="22"/>
    </row>
    <row r="24" spans="1:11" ht="20.100000000000001" customHeight="1" x14ac:dyDescent="0.3">
      <c r="A24" s="17" t="str">
        <f>HYPERLINK("#'Constants - Common'!A1", "Constants - Common")</f>
        <v>Constants - Common</v>
      </c>
      <c r="C24" s="22"/>
      <c r="D24" s="1"/>
      <c r="E24" s="1"/>
      <c r="F24" s="1"/>
      <c r="G24" s="1"/>
      <c r="H24" s="27"/>
      <c r="I24" s="22"/>
      <c r="J24" s="22"/>
      <c r="K24" s="22"/>
    </row>
    <row r="25" spans="1:11" ht="20.100000000000001" customHeight="1" x14ac:dyDescent="0.3">
      <c r="A25" s="17"/>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5"/>
      <c r="J38" s="105"/>
      <c r="K38" s="22"/>
    </row>
    <row r="39" spans="3:11" ht="20.100000000000001" customHeight="1" x14ac:dyDescent="0.25">
      <c r="C39" s="22"/>
      <c r="D39" s="1"/>
      <c r="E39" s="1"/>
      <c r="F39" s="1"/>
      <c r="G39" s="1"/>
      <c r="H39" s="1"/>
      <c r="I39" s="105"/>
      <c r="J39" s="105"/>
      <c r="K39" s="22"/>
    </row>
    <row r="40" spans="3:11" ht="20.100000000000001" customHeight="1" x14ac:dyDescent="0.25">
      <c r="C40" s="22"/>
      <c r="D40" s="1"/>
      <c r="E40" s="1"/>
      <c r="F40" s="1"/>
      <c r="G40" s="1"/>
      <c r="H40" s="1"/>
      <c r="I40" s="105"/>
      <c r="J40" s="105"/>
      <c r="K40" s="22"/>
    </row>
    <row r="41" spans="3:11" ht="20.100000000000001" customHeight="1" x14ac:dyDescent="0.25">
      <c r="C41" s="22"/>
      <c r="D41" s="1"/>
      <c r="E41" s="1"/>
      <c r="F41" s="1"/>
      <c r="G41" s="1"/>
      <c r="H41" s="1"/>
      <c r="I41" s="105"/>
      <c r="J41" s="105"/>
      <c r="K41" s="22"/>
    </row>
    <row r="42" spans="3:11" ht="20.100000000000001" customHeight="1" x14ac:dyDescent="0.25">
      <c r="C42" s="22"/>
      <c r="D42" s="1"/>
      <c r="E42" s="1"/>
      <c r="F42" s="1"/>
      <c r="G42" s="1"/>
      <c r="H42" s="1"/>
      <c r="I42" s="105"/>
      <c r="J42" s="105"/>
      <c r="K42" s="22"/>
    </row>
    <row r="43" spans="3:11" ht="20.100000000000001" customHeight="1" x14ac:dyDescent="0.25">
      <c r="C43" s="22"/>
      <c r="D43" s="1"/>
      <c r="E43" s="1"/>
      <c r="F43" s="1"/>
      <c r="G43" s="1"/>
      <c r="H43" s="1"/>
      <c r="I43" s="105"/>
      <c r="J43" s="105"/>
      <c r="K43" s="22"/>
    </row>
    <row r="44" spans="3:11" ht="20.100000000000001" customHeight="1" x14ac:dyDescent="0.25">
      <c r="C44" s="22"/>
      <c r="D44" s="1"/>
      <c r="E44" s="1"/>
      <c r="F44" s="1"/>
      <c r="G44" s="1"/>
      <c r="H44" s="1"/>
      <c r="I44" s="105"/>
      <c r="J44" s="105"/>
      <c r="K44" s="22"/>
    </row>
    <row r="45" spans="3:11" ht="20.100000000000001" customHeight="1" x14ac:dyDescent="0.25">
      <c r="C45" s="22"/>
      <c r="D45" s="1"/>
      <c r="E45" s="1"/>
      <c r="F45" s="1"/>
      <c r="G45" s="1"/>
      <c r="H45" s="1"/>
      <c r="I45" s="105"/>
      <c r="J45" s="105"/>
      <c r="K45" s="22"/>
    </row>
    <row r="46" spans="3:11" ht="20.100000000000001" customHeight="1" x14ac:dyDescent="0.25">
      <c r="C46" s="22"/>
      <c r="D46" s="1"/>
      <c r="E46" s="1"/>
      <c r="F46" s="1"/>
      <c r="G46" s="1"/>
      <c r="H46" s="1"/>
      <c r="I46" s="105"/>
      <c r="J46" s="105"/>
      <c r="K46" s="22"/>
    </row>
    <row r="47" spans="3:11" ht="20.100000000000001" customHeight="1" x14ac:dyDescent="0.25">
      <c r="C47" s="22"/>
      <c r="D47" s="1"/>
      <c r="E47" s="1"/>
      <c r="F47" s="1"/>
      <c r="G47" s="1"/>
      <c r="H47" s="1"/>
      <c r="I47" s="105"/>
      <c r="J47" s="105"/>
      <c r="K47" s="22"/>
    </row>
    <row r="48" spans="3:11" ht="20.100000000000001" customHeight="1" x14ac:dyDescent="0.25">
      <c r="C48" s="22"/>
      <c r="D48" s="1"/>
      <c r="E48" s="1"/>
      <c r="F48" s="1"/>
      <c r="G48" s="1"/>
      <c r="H48" s="1"/>
      <c r="I48" s="105"/>
      <c r="J48" s="105"/>
      <c r="K48" s="22"/>
    </row>
    <row r="49" spans="3:11" ht="20.100000000000001" customHeight="1" x14ac:dyDescent="0.25">
      <c r="C49" s="22"/>
      <c r="D49" s="1"/>
      <c r="E49" s="1"/>
      <c r="F49" s="1"/>
      <c r="G49" s="1"/>
      <c r="H49" s="105"/>
      <c r="I49" s="105"/>
      <c r="J49" s="105"/>
      <c r="K49" s="22"/>
    </row>
    <row r="50" spans="3:11" ht="20.100000000000001" customHeight="1" x14ac:dyDescent="0.25">
      <c r="C50" s="22"/>
      <c r="D50" s="1"/>
      <c r="E50" s="1"/>
      <c r="F50" s="1"/>
      <c r="G50" s="1"/>
      <c r="H50" s="105"/>
      <c r="I50" s="105"/>
      <c r="J50" s="105"/>
      <c r="K50" s="22"/>
    </row>
    <row r="51" spans="3:11" ht="20.100000000000001" customHeight="1" x14ac:dyDescent="0.25">
      <c r="C51" s="22"/>
      <c r="D51" s="1"/>
      <c r="E51" s="1"/>
      <c r="F51" s="1"/>
      <c r="G51" s="1"/>
      <c r="H51" s="105"/>
      <c r="I51" s="105"/>
      <c r="J51" s="105"/>
      <c r="K51" s="22"/>
    </row>
    <row r="52" spans="3:11" ht="20.100000000000001" customHeight="1" x14ac:dyDescent="0.25">
      <c r="C52" s="22"/>
      <c r="D52" s="1"/>
      <c r="E52" s="1"/>
      <c r="F52" s="1"/>
      <c r="G52" s="1"/>
      <c r="H52" s="105"/>
      <c r="I52" s="105"/>
      <c r="J52" s="105"/>
      <c r="K52" s="22"/>
    </row>
    <row r="53" spans="3:11" ht="20.100000000000001" customHeight="1" x14ac:dyDescent="0.25">
      <c r="C53" s="22"/>
      <c r="D53" s="1"/>
      <c r="E53" s="1"/>
      <c r="F53" s="1"/>
      <c r="G53" s="1"/>
      <c r="H53" s="105"/>
      <c r="I53" s="105"/>
      <c r="J53" s="105"/>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84</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8"/>
      <c r="D4" s="68"/>
      <c r="E4" s="68"/>
      <c r="F4" s="68"/>
      <c r="G4" s="68"/>
      <c r="H4" s="68"/>
      <c r="I4" s="68"/>
      <c r="J4" s="68"/>
      <c r="K4" s="68"/>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362</v>
      </c>
      <c r="F7" s="2"/>
    </row>
    <row r="8" spans="1:24" ht="20.100000000000001" customHeight="1" x14ac:dyDescent="0.25">
      <c r="A8" s="130" t="str">
        <f>HYPERLINK("#'Input - Site'!A1", "Site")</f>
        <v>Site</v>
      </c>
      <c r="D8" s="10" t="s">
        <v>69</v>
      </c>
      <c r="E8" s="33" t="s">
        <v>363</v>
      </c>
    </row>
    <row r="9" spans="1:24" ht="20.100000000000001" customHeight="1" x14ac:dyDescent="0.25">
      <c r="A9" s="17" t="str">
        <f>HYPERLINK("#'Input - Poultry'!A1", "Poultry")</f>
        <v>Poultry</v>
      </c>
      <c r="N9" s="42"/>
    </row>
    <row r="10" spans="1:24" ht="20.100000000000001" customHeight="1" x14ac:dyDescent="0.25">
      <c r="A10" s="17"/>
      <c r="D10" s="93" t="s">
        <v>83</v>
      </c>
      <c r="E10" s="91"/>
      <c r="F10" s="94"/>
      <c r="G10" s="88"/>
      <c r="N10" s="42"/>
    </row>
    <row r="11" spans="1:24" ht="20.100000000000001" customHeight="1" x14ac:dyDescent="0.25">
      <c r="A11" s="19" t="s">
        <v>70</v>
      </c>
      <c r="N11" s="43"/>
    </row>
    <row r="12" spans="1:24" ht="20.100000000000001" customHeight="1" x14ac:dyDescent="0.25">
      <c r="A12" s="17" t="str">
        <f>HYPERLINK("#'4.6.1.1-2 Methane'!A1", "4.6.1.1-2 Methane")</f>
        <v>4.6.1.1-2 Methane</v>
      </c>
      <c r="D12" s="10" t="s">
        <v>89</v>
      </c>
      <c r="E12" s="63">
        <v>45658</v>
      </c>
      <c r="F12" s="2" t="s">
        <v>67</v>
      </c>
    </row>
    <row r="13" spans="1:24" ht="20.100000000000001" customHeight="1" x14ac:dyDescent="0.25">
      <c r="A13" s="17" t="str">
        <f>HYPERLINK("#'4.6.1.3-4 Direct N20'!A1", "4.6.1.3-4 Direct N2O")</f>
        <v>4.6.1.3-4 Direct N2O</v>
      </c>
      <c r="D13" s="10" t="s">
        <v>90</v>
      </c>
      <c r="E13" s="69">
        <f>DATE(YEAR(E12)+1,MONTH(E12),DAY(E12))-1</f>
        <v>46022</v>
      </c>
      <c r="F13" s="2" t="s">
        <v>14</v>
      </c>
      <c r="N13" s="38"/>
      <c r="O13" s="38"/>
    </row>
    <row r="14" spans="1:24" ht="20.100000000000001" customHeight="1" x14ac:dyDescent="0.25">
      <c r="A14" s="17" t="str">
        <f>HYPERLINK("#'4.6.1.5-6 Atmos Dep'!A1", "4.6.1.5-6 Atmospheric deposition")</f>
        <v>4.6.1.5-6 Atmospheric deposition</v>
      </c>
      <c r="N14" s="38"/>
      <c r="O14" s="38"/>
    </row>
    <row r="15" spans="1:24" ht="20.100000000000001" customHeight="1" x14ac:dyDescent="0.25">
      <c r="A15" s="17" t="str">
        <f>HYPERLINK("#'4.6.1.7-8 Leaching and runoff'!A1", "4.6.1.7-8 Leaching &amp; runoff")</f>
        <v>4.6.1.7-8 Leaching &amp; runoff</v>
      </c>
      <c r="N15" s="38"/>
      <c r="O15" s="38"/>
    </row>
    <row r="16" spans="1:24" ht="20.100000000000001" customHeight="1" x14ac:dyDescent="0.25">
      <c r="A16" s="17" t="str">
        <f>HYPERLINK("#'4.6.1.9 Manure applied to soils'!A1", "4.6.1.9 Manure applied to soils")</f>
        <v>4.6.1.9 Manure applied to soils</v>
      </c>
      <c r="D16" s="6" t="s">
        <v>11</v>
      </c>
      <c r="N16" s="38"/>
      <c r="O16" s="38"/>
    </row>
    <row r="17" spans="1:25" ht="20.100000000000001" customHeight="1" x14ac:dyDescent="0.25">
      <c r="A17" s="17" t="str">
        <f>HYPERLINK("#'4.6.1.10-11 Soil direct N2O'!A1", "4.6.1.10-11 Soil direct N2O")</f>
        <v>4.6.1.10-11 Soil direct N2O</v>
      </c>
    </row>
    <row r="18" spans="1:25" ht="20.100000000000001" customHeight="1" x14ac:dyDescent="0.25">
      <c r="A18" s="17" t="str">
        <f>HYPERLINK("#'4.6.1.12-13 Soil atmos dep'!A1", "4.6.1.12-13 Soil Atm. deposition")</f>
        <v>4.6.1.12-13 Soil Atm. deposition</v>
      </c>
      <c r="D18" s="95" t="s">
        <v>13</v>
      </c>
      <c r="E18" s="90"/>
      <c r="F18" s="90"/>
      <c r="G18" s="86"/>
    </row>
    <row r="19" spans="1:25" ht="20.100000000000001" customHeight="1" x14ac:dyDescent="0.25">
      <c r="A19" s="17" t="str">
        <f>HYPERLINK("#'4.6.1.14-15 Soil leach runoff'!A1", "4.6.1.14-15 Soil leach &amp; runoff")</f>
        <v>4.6.1.14-15 Soil leach &amp; runoff</v>
      </c>
      <c r="D19" s="92" t="s">
        <v>68</v>
      </c>
      <c r="E19" s="89"/>
      <c r="F19" s="89"/>
      <c r="G19" s="87"/>
      <c r="N19" s="40"/>
    </row>
    <row r="20" spans="1:25" ht="20.100000000000001" customHeight="1" x14ac:dyDescent="0.25">
      <c r="A20"/>
      <c r="D20" s="1"/>
      <c r="E20" s="31"/>
      <c r="F20" s="2"/>
      <c r="N20" s="41"/>
    </row>
    <row r="21" spans="1:25" ht="20.100000000000001" customHeight="1" x14ac:dyDescent="0.25">
      <c r="A21" s="18" t="s">
        <v>2</v>
      </c>
      <c r="D21" s="1" t="s">
        <v>5</v>
      </c>
      <c r="E21" s="39" t="s">
        <v>120</v>
      </c>
      <c r="F21" s="2" t="s">
        <v>8</v>
      </c>
    </row>
    <row r="22" spans="1:25" ht="20.100000000000001" customHeight="1" x14ac:dyDescent="0.25">
      <c r="A22" s="17" t="str">
        <f>HYPERLINK("#'Constants - Poultry'!A1", "Constants - Poultry")</f>
        <v>Constants - Poultry</v>
      </c>
      <c r="D22" s="1" t="s">
        <v>22</v>
      </c>
      <c r="E22" s="39" t="s">
        <v>31</v>
      </c>
      <c r="F22" s="2" t="s">
        <v>8</v>
      </c>
      <c r="G22" s="1"/>
    </row>
    <row r="23" spans="1:25" ht="20.100000000000001" customHeight="1" x14ac:dyDescent="0.25">
      <c r="A23" s="17" t="str">
        <f>HYPERLINK("#'Constants - Livestock'!A1", "Constants - Livestock")</f>
        <v>Constants - Livestock</v>
      </c>
      <c r="D23" s="1" t="s">
        <v>6</v>
      </c>
      <c r="E23" s="39" t="s">
        <v>88</v>
      </c>
      <c r="F23" s="2" t="s">
        <v>8</v>
      </c>
    </row>
    <row r="24" spans="1:25" ht="20.100000000000001" customHeight="1" x14ac:dyDescent="0.25">
      <c r="A24" s="17" t="str">
        <f>HYPERLINK("#'Constants - Common'!A1", "Constants - Common")</f>
        <v>Constants - Common</v>
      </c>
      <c r="D24" s="1" t="s">
        <v>36</v>
      </c>
      <c r="E24" s="33">
        <v>307.7</v>
      </c>
      <c r="F24" s="2" t="s">
        <v>50</v>
      </c>
    </row>
    <row r="25" spans="1:25" ht="20.100000000000001" customHeight="1" x14ac:dyDescent="0.25">
      <c r="A25" s="17"/>
      <c r="D25" s="1" t="s">
        <v>58</v>
      </c>
      <c r="E25" s="33">
        <v>18</v>
      </c>
      <c r="F25" s="2" t="s">
        <v>9</v>
      </c>
      <c r="N25" s="41"/>
    </row>
    <row r="26" spans="1:25" ht="20.100000000000001" customHeight="1" x14ac:dyDescent="0.25">
      <c r="A26"/>
      <c r="D26" s="1" t="s">
        <v>59</v>
      </c>
      <c r="E26" s="33">
        <v>601</v>
      </c>
      <c r="F26" s="2" t="s">
        <v>10</v>
      </c>
    </row>
    <row r="27" spans="1:25" ht="20.100000000000001" customHeight="1" x14ac:dyDescent="0.25">
      <c r="A27"/>
      <c r="D27" s="10" t="s">
        <v>60</v>
      </c>
      <c r="E27" s="33">
        <v>1326</v>
      </c>
      <c r="F27" s="2" t="s">
        <v>10</v>
      </c>
    </row>
    <row r="28" spans="1:25" ht="20.100000000000001" customHeight="1" x14ac:dyDescent="0.25">
      <c r="A28"/>
      <c r="D28" s="1" t="s">
        <v>61</v>
      </c>
      <c r="E28" s="33">
        <v>7</v>
      </c>
      <c r="F28" s="2" t="s">
        <v>51</v>
      </c>
    </row>
    <row r="29" spans="1:25" ht="20.100000000000001" customHeight="1" x14ac:dyDescent="0.25">
      <c r="A29"/>
      <c r="D29" s="10" t="s">
        <v>57</v>
      </c>
      <c r="E29" s="52">
        <f>E26/E27</f>
        <v>0.45324283559577677</v>
      </c>
      <c r="F29" s="2"/>
    </row>
    <row r="30" spans="1:25" ht="20.100000000000001" customHeight="1" x14ac:dyDescent="0.25">
      <c r="A30"/>
      <c r="D30" s="10" t="s">
        <v>32</v>
      </c>
      <c r="E30" s="52" t="str">
        <f>Common_InputFunctions.Utility_LookupItemFromMinMax(E26,Table_SourceData_RainfallZones[Min rainfall],Table_SourceData_RainfallZones[Max rainfall],Table_SourceData_RainfallZones[Rainfall Zone])</f>
        <v>High rainfall</v>
      </c>
      <c r="G30" s="32"/>
      <c r="L30" s="49"/>
      <c r="M30" s="49"/>
      <c r="N30" s="49"/>
      <c r="O30" s="49"/>
      <c r="P30" s="49"/>
      <c r="Q30" s="49"/>
      <c r="R30" s="49"/>
      <c r="S30" s="49"/>
      <c r="T30" s="49"/>
      <c r="U30" s="49"/>
      <c r="V30" s="49"/>
      <c r="W30" s="49"/>
      <c r="X30" s="49"/>
      <c r="Y30" s="49"/>
    </row>
    <row r="31" spans="1:25" ht="20.100000000000001" customHeight="1" x14ac:dyDescent="0.25">
      <c r="A31"/>
      <c r="D31" s="1" t="s">
        <v>7</v>
      </c>
      <c r="E31" s="52"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7"/>
      <c r="M31" s="47"/>
      <c r="N31" s="47"/>
      <c r="O31" s="47"/>
      <c r="P31" s="47"/>
      <c r="Q31" s="47"/>
      <c r="R31" s="47"/>
      <c r="S31" s="47"/>
      <c r="T31" s="47"/>
      <c r="U31" s="47"/>
      <c r="V31" s="47"/>
      <c r="W31" s="47"/>
      <c r="X31" s="47"/>
      <c r="Y31" s="47"/>
    </row>
    <row r="32" spans="1:25" ht="20.100000000000001" customHeight="1" x14ac:dyDescent="0.25">
      <c r="A32"/>
      <c r="D32" s="1" t="s">
        <v>85</v>
      </c>
      <c r="E32" s="52" t="str">
        <f>Common_InputFunctions.Utility_LookupValueInTable($E$31,Table_SourceData_WetDryZones[Climate zone],Table_SourceData_WetDryZones[Wet or Dry Zone])</f>
        <v>Dry climate zone</v>
      </c>
      <c r="F32" s="1"/>
      <c r="G32" s="31"/>
      <c r="L32" s="47"/>
      <c r="M32" s="47"/>
      <c r="N32" s="47"/>
      <c r="O32" s="47"/>
      <c r="P32" s="47"/>
      <c r="Q32" s="47"/>
      <c r="R32" s="47"/>
      <c r="S32" s="47"/>
      <c r="T32" s="47"/>
      <c r="U32" s="47"/>
      <c r="V32" s="47"/>
      <c r="W32" s="47"/>
      <c r="X32" s="47"/>
      <c r="Y32" s="47"/>
    </row>
    <row r="33" spans="1:25" ht="20.100000000000001" customHeight="1" x14ac:dyDescent="0.25">
      <c r="A33"/>
      <c r="D33" s="1" t="s">
        <v>49</v>
      </c>
      <c r="E33" s="52" t="str">
        <f>Common_InputFunctions.Utility_LookupItemFromMinMax(E25,Table_SourceData_TemperatureZones[Min MAT],Table_SourceData_TemperatureZones[Max MAT],Table_SourceData_TemperatureZones[Temperature Zone])</f>
        <v>Temperate</v>
      </c>
      <c r="G33" s="70"/>
      <c r="L33" s="47"/>
      <c r="M33" s="47"/>
      <c r="N33" s="47"/>
      <c r="O33" s="47"/>
      <c r="P33" s="47"/>
      <c r="Q33" s="47"/>
      <c r="R33" s="47"/>
      <c r="S33" s="47"/>
      <c r="T33" s="47"/>
      <c r="U33" s="47"/>
      <c r="V33" s="47"/>
      <c r="W33" s="47"/>
      <c r="X33" s="47"/>
      <c r="Y33" s="47"/>
    </row>
    <row r="34" spans="1:25" ht="20.100000000000001" customHeight="1" x14ac:dyDescent="0.25">
      <c r="A34"/>
      <c r="J34" s="60"/>
      <c r="K34" s="73"/>
      <c r="L34" s="47"/>
      <c r="M34" s="47"/>
      <c r="N34" s="47"/>
      <c r="O34" s="47"/>
      <c r="P34" s="47"/>
      <c r="Q34" s="47"/>
      <c r="R34" s="47"/>
      <c r="S34" s="47"/>
      <c r="T34" s="47"/>
      <c r="U34" s="47"/>
      <c r="V34" s="47"/>
      <c r="W34" s="47"/>
      <c r="X34" s="47"/>
      <c r="Y34" s="47"/>
    </row>
    <row r="35" spans="1:25" ht="20.100000000000001" customHeight="1" x14ac:dyDescent="0.25">
      <c r="A35"/>
      <c r="J35" s="60"/>
      <c r="K35" s="73"/>
      <c r="L35" s="47"/>
      <c r="M35" s="47"/>
      <c r="N35" s="47"/>
      <c r="O35" s="47"/>
      <c r="P35" s="47"/>
      <c r="Q35" s="47"/>
      <c r="R35" s="47"/>
      <c r="S35" s="47"/>
      <c r="T35" s="47"/>
      <c r="U35" s="47"/>
      <c r="V35" s="47"/>
      <c r="W35" s="47"/>
      <c r="X35" s="47"/>
      <c r="Y35" s="47"/>
    </row>
    <row r="36" spans="1:25" ht="20.100000000000001" customHeight="1" x14ac:dyDescent="0.25">
      <c r="A36"/>
      <c r="D36" s="71"/>
      <c r="E36" s="71"/>
      <c r="F36" s="72"/>
      <c r="G36" s="60"/>
      <c r="H36" s="60"/>
      <c r="I36" s="61"/>
      <c r="J36" s="60"/>
      <c r="K36" s="73"/>
      <c r="L36" s="47"/>
      <c r="M36" s="47"/>
      <c r="N36" s="47"/>
      <c r="O36" s="47"/>
      <c r="P36" s="47"/>
      <c r="Q36" s="47"/>
      <c r="R36" s="47"/>
      <c r="S36" s="47"/>
      <c r="T36" s="47"/>
      <c r="U36" s="47"/>
      <c r="V36" s="47"/>
      <c r="W36" s="47"/>
      <c r="X36" s="47"/>
      <c r="Y36" s="47"/>
    </row>
    <row r="37" spans="1:25" ht="20.100000000000001" customHeight="1" x14ac:dyDescent="0.25">
      <c r="A37"/>
      <c r="D37" s="71"/>
      <c r="E37" s="71"/>
      <c r="F37" s="72"/>
      <c r="G37" s="60"/>
      <c r="H37" s="60"/>
      <c r="I37" s="61"/>
      <c r="J37" s="60"/>
      <c r="K37" s="73"/>
      <c r="L37" s="47"/>
      <c r="M37" s="47"/>
      <c r="N37" s="47"/>
      <c r="O37" s="47"/>
      <c r="P37" s="47"/>
      <c r="Q37" s="47"/>
      <c r="R37" s="47"/>
      <c r="S37" s="47"/>
      <c r="T37" s="47"/>
      <c r="U37" s="47"/>
      <c r="V37" s="47"/>
      <c r="W37" s="47"/>
      <c r="X37" s="47"/>
      <c r="Y37" s="47"/>
    </row>
    <row r="38" spans="1:25" ht="20.100000000000001" customHeight="1" x14ac:dyDescent="0.25">
      <c r="A38"/>
      <c r="D38" s="71"/>
      <c r="E38" s="71"/>
      <c r="F38" s="72"/>
      <c r="G38" s="60"/>
      <c r="H38" s="60"/>
      <c r="I38" s="61"/>
      <c r="J38" s="60"/>
      <c r="K38" s="73"/>
      <c r="L38" s="47"/>
      <c r="M38" s="47"/>
      <c r="N38" s="47"/>
      <c r="O38" s="47"/>
      <c r="P38" s="47"/>
      <c r="Q38" s="47"/>
      <c r="R38" s="47"/>
      <c r="S38" s="47"/>
      <c r="T38" s="47"/>
      <c r="U38" s="47"/>
      <c r="V38" s="47"/>
      <c r="W38" s="47"/>
      <c r="X38" s="47"/>
      <c r="Y38" s="47"/>
    </row>
    <row r="39" spans="1:25" ht="20.100000000000001" customHeight="1" x14ac:dyDescent="0.25">
      <c r="A39"/>
      <c r="D39" s="71"/>
      <c r="E39" s="71"/>
      <c r="F39" s="72"/>
      <c r="G39" s="60"/>
      <c r="H39" s="60"/>
      <c r="I39" s="61"/>
      <c r="J39" s="60"/>
      <c r="K39" s="73"/>
      <c r="L39" s="47"/>
      <c r="M39" s="47"/>
      <c r="N39" s="47"/>
      <c r="O39" s="47"/>
      <c r="P39" s="47"/>
      <c r="Q39" s="47"/>
      <c r="R39" s="47"/>
      <c r="S39" s="47"/>
      <c r="T39" s="47"/>
      <c r="U39" s="47"/>
      <c r="V39" s="47"/>
      <c r="W39" s="47"/>
      <c r="X39" s="47"/>
      <c r="Y39" s="47"/>
    </row>
    <row r="40" spans="1:25" ht="20.100000000000001" customHeight="1" x14ac:dyDescent="0.25">
      <c r="A40"/>
      <c r="D40" s="74"/>
      <c r="E40" s="74"/>
      <c r="F40" s="74"/>
      <c r="G40" s="75"/>
      <c r="H40" s="76"/>
      <c r="I40" s="76"/>
      <c r="J40" s="76"/>
      <c r="K40" s="76"/>
      <c r="L40" s="50"/>
      <c r="M40" s="50"/>
      <c r="N40" s="50"/>
      <c r="O40" s="50"/>
      <c r="P40" s="50"/>
      <c r="Q40" s="50"/>
      <c r="R40" s="50"/>
      <c r="S40" s="50"/>
      <c r="T40" s="50"/>
      <c r="U40" s="50"/>
      <c r="V40" s="50"/>
      <c r="W40" s="50"/>
      <c r="X40" s="50"/>
      <c r="Y40" s="50"/>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7"/>
      <c r="E47" s="77"/>
      <c r="F47" s="77"/>
      <c r="G47" s="77"/>
      <c r="H47" s="77"/>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8"/>
      <c r="E51" s="79"/>
      <c r="F51" s="79"/>
      <c r="G51" s="79"/>
      <c r="H51" s="80"/>
    </row>
    <row r="52" spans="4:8" ht="20.100000000000001" customHeight="1" x14ac:dyDescent="0.25"/>
    <row r="53" spans="4:8" ht="20.100000000000001" customHeight="1" x14ac:dyDescent="0.25"/>
    <row r="54" spans="4:8" ht="20.100000000000001" customHeight="1" x14ac:dyDescent="0.25">
      <c r="G54" s="81"/>
    </row>
    <row r="55" spans="4:8" ht="20.100000000000001" customHeight="1" x14ac:dyDescent="0.25">
      <c r="D55" s="6"/>
    </row>
    <row r="56" spans="4:8" ht="20.100000000000001" customHeight="1" x14ac:dyDescent="0.25"/>
    <row r="57" spans="4:8" ht="20.100000000000001" customHeight="1" x14ac:dyDescent="0.25">
      <c r="D57" s="21"/>
      <c r="F57" s="82"/>
    </row>
    <row r="58" spans="4:8" ht="20.100000000000001" customHeight="1" x14ac:dyDescent="0.25">
      <c r="D58" s="1"/>
      <c r="E58" s="83"/>
    </row>
    <row r="59" spans="4:8" ht="20.100000000000001" customHeight="1" x14ac:dyDescent="0.25">
      <c r="D59" s="1"/>
      <c r="E59" s="83"/>
    </row>
    <row r="60" spans="4:8" ht="20.100000000000001" customHeight="1" x14ac:dyDescent="0.25">
      <c r="D60" s="1"/>
      <c r="E60" s="84"/>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3"/>
    </row>
    <row r="65" spans="4:9" ht="20.100000000000001" customHeight="1" x14ac:dyDescent="0.25">
      <c r="D65" s="1"/>
      <c r="E65" s="83"/>
    </row>
    <row r="66" spans="4:9" ht="20.100000000000001" customHeight="1" x14ac:dyDescent="0.25">
      <c r="D66" s="1"/>
      <c r="E66" s="84"/>
    </row>
    <row r="67" spans="4:9" ht="20.100000000000001" customHeight="1" x14ac:dyDescent="0.25"/>
    <row r="68" spans="4:9" ht="20.100000000000001" customHeight="1" x14ac:dyDescent="0.25"/>
    <row r="69" spans="4:9" ht="20.100000000000001" customHeight="1" x14ac:dyDescent="0.25">
      <c r="D69" s="59"/>
      <c r="E69" s="59"/>
      <c r="F69" s="59"/>
      <c r="G69" s="59"/>
      <c r="H69" s="59"/>
      <c r="I69" s="59"/>
    </row>
    <row r="70" spans="4:9" ht="20.100000000000001" customHeight="1" x14ac:dyDescent="0.25">
      <c r="D70" s="59"/>
      <c r="E70" s="59"/>
      <c r="F70" s="59"/>
      <c r="G70" s="59"/>
      <c r="H70" s="59"/>
      <c r="I70" s="59"/>
    </row>
    <row r="71" spans="4:9" ht="20.100000000000001" customHeight="1" x14ac:dyDescent="0.25">
      <c r="D71" s="59"/>
      <c r="E71" s="59"/>
      <c r="F71" s="59"/>
      <c r="G71" s="59"/>
      <c r="H71" s="59"/>
      <c r="I71" s="59"/>
    </row>
    <row r="72" spans="4:9" ht="20.100000000000001" customHeight="1" x14ac:dyDescent="0.25">
      <c r="D72" s="59"/>
      <c r="E72" s="59"/>
      <c r="F72" s="59"/>
      <c r="G72" s="59"/>
      <c r="H72" s="59"/>
      <c r="I72" s="59"/>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5"/>
    </row>
    <row r="79" spans="4:9" ht="20.100000000000001" customHeight="1" x14ac:dyDescent="0.25">
      <c r="D79" s="85"/>
    </row>
    <row r="80" spans="4:9" ht="20.100000000000001" customHeight="1" x14ac:dyDescent="0.25">
      <c r="D80" s="85"/>
    </row>
    <row r="81" spans="4:4" ht="20.100000000000001" customHeight="1" x14ac:dyDescent="0.25">
      <c r="D81" s="85"/>
    </row>
    <row r="82" spans="4:4" ht="20.100000000000001" customHeight="1" x14ac:dyDescent="0.25">
      <c r="D82" s="85"/>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V356"/>
  <sheetViews>
    <sheetView showGridLines="0" topLeftCell="A22" zoomScaleNormal="100" workbookViewId="0">
      <selection activeCell="E60" sqref="E60"/>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9" width="15.28515625" style="1" customWidth="1"/>
    <col min="10" max="11" width="30.7109375" style="1" customWidth="1"/>
    <col min="12" max="12" width="27.140625" style="1" customWidth="1"/>
    <col min="13" max="13" width="4.7109375" style="1" customWidth="1"/>
    <col min="14" max="15" width="4.7109375" style="56" customWidth="1"/>
    <col min="16" max="21" width="30.7109375" style="56" customWidth="1"/>
    <col min="22" max="22" width="4.7109375" style="56" customWidth="1"/>
  </cols>
  <sheetData>
    <row r="1" spans="1:22" s="67" customFormat="1" ht="30" customHeight="1" x14ac:dyDescent="0.35">
      <c r="A1" s="67" t="e" vm="1">
        <v>#VALUE!</v>
      </c>
      <c r="C1" s="67" t="s">
        <v>191</v>
      </c>
      <c r="N1" s="56"/>
      <c r="O1" s="56"/>
      <c r="P1" s="56"/>
      <c r="Q1" s="56"/>
      <c r="R1" s="56"/>
      <c r="S1" s="56"/>
      <c r="T1" s="56"/>
      <c r="U1" s="56"/>
      <c r="V1" s="56"/>
    </row>
    <row r="2" spans="1:22" s="9" customFormat="1" ht="20.100000000000001" customHeight="1" x14ac:dyDescent="0.25">
      <c r="N2" s="56"/>
      <c r="O2" s="56"/>
      <c r="P2" s="56"/>
      <c r="Q2" s="56"/>
      <c r="R2" s="56"/>
      <c r="S2" s="56"/>
      <c r="T2" s="56"/>
      <c r="U2" s="56"/>
      <c r="V2" s="56"/>
    </row>
    <row r="3" spans="1:22" ht="20.100000000000001" customHeight="1" x14ac:dyDescent="0.25">
      <c r="A3" s="17" t="str">
        <f>HYPERLINK("#'Home'!A1", "Home")</f>
        <v>Home</v>
      </c>
      <c r="C3" s="15"/>
      <c r="D3" s="15"/>
      <c r="E3" s="15"/>
      <c r="F3" s="15"/>
      <c r="G3" s="15"/>
      <c r="H3" s="15"/>
      <c r="I3" s="15"/>
      <c r="J3" s="15"/>
      <c r="K3" s="15"/>
      <c r="L3" s="15"/>
      <c r="M3" s="15"/>
    </row>
    <row r="4" spans="1:22" ht="20.100000000000001" customHeight="1" x14ac:dyDescent="0.25">
      <c r="A4" s="17" t="str">
        <f>HYPERLINK("#'Overview'!A1", "Overview")</f>
        <v>Overview</v>
      </c>
    </row>
    <row r="5" spans="1:22" ht="20.100000000000001" customHeight="1" x14ac:dyDescent="0.25">
      <c r="A5" s="17" t="str">
        <f>HYPERLINK("#'Results'!A1", "Results")</f>
        <v>Results</v>
      </c>
      <c r="D5" s="95" t="s">
        <v>136</v>
      </c>
      <c r="E5" s="90"/>
      <c r="F5" s="90"/>
      <c r="G5" s="90"/>
      <c r="H5" s="86"/>
      <c r="M5" s="3"/>
      <c r="Q5" s="7"/>
    </row>
    <row r="6" spans="1:22" ht="20.100000000000001" customHeight="1" x14ac:dyDescent="0.25">
      <c r="A6" s="16"/>
      <c r="D6" s="92"/>
      <c r="E6" s="89"/>
      <c r="F6" s="89"/>
      <c r="G6" s="89"/>
      <c r="H6" s="87"/>
      <c r="M6" s="3"/>
      <c r="Q6" s="7"/>
    </row>
    <row r="7" spans="1:22" ht="20.100000000000001" customHeight="1" x14ac:dyDescent="0.25">
      <c r="A7" s="20" t="s">
        <v>1</v>
      </c>
      <c r="M7" s="3"/>
      <c r="Q7" s="7"/>
    </row>
    <row r="8" spans="1:22" ht="20.100000000000001" customHeight="1" x14ac:dyDescent="0.25">
      <c r="A8" s="17" t="str">
        <f>HYPERLINK("#'Input - Site'!A1", "Site")</f>
        <v>Site</v>
      </c>
      <c r="M8" s="3"/>
      <c r="Q8" s="7"/>
    </row>
    <row r="9" spans="1:22" ht="20.100000000000001" customHeight="1" x14ac:dyDescent="0.25">
      <c r="A9" s="130" t="str">
        <f>HYPERLINK("#'Input - Poultry'!A1", "Poultry")</f>
        <v>Poultry</v>
      </c>
      <c r="E9" s="111" t="s">
        <v>194</v>
      </c>
      <c r="F9" s="111" t="s">
        <v>195</v>
      </c>
      <c r="G9" s="111" t="s">
        <v>207</v>
      </c>
      <c r="H9" s="111" t="s">
        <v>208</v>
      </c>
      <c r="Q9" s="7"/>
    </row>
    <row r="10" spans="1:22" ht="20.100000000000001" customHeight="1" x14ac:dyDescent="0.25">
      <c r="A10" s="17"/>
      <c r="D10" s="1" t="str">
        <f>"Average duration of stay between " &amp; TEXT('Input - Site'!$E$12, "dd mmm yy") &amp; " and " &amp; TEXT('Input - Site'!$E$13, "dd mmm yy")</f>
        <v>Average duration of stay between 01 Jan 25 and 31 Dec 25</v>
      </c>
      <c r="E10" s="65">
        <v>365</v>
      </c>
      <c r="F10" s="65">
        <v>365</v>
      </c>
      <c r="G10" s="65">
        <v>365</v>
      </c>
      <c r="H10" s="65">
        <v>365</v>
      </c>
      <c r="I10" s="2" t="s">
        <v>51</v>
      </c>
      <c r="Q10" s="7"/>
    </row>
    <row r="11" spans="1:22" ht="20.100000000000001" customHeight="1" x14ac:dyDescent="0.25">
      <c r="A11" s="19" t="s">
        <v>70</v>
      </c>
      <c r="D11" s="1" t="str">
        <f>"Average number of birds between " &amp; TEXT('Input - Site'!$E$12, "dd mmm yy") &amp; " and " &amp; TEXT('Input - Site'!$E$13, "dd mmm yy")</f>
        <v>Average number of birds between 01 Jan 25 and 31 Dec 25</v>
      </c>
      <c r="E11" s="65">
        <v>100</v>
      </c>
      <c r="F11" s="65">
        <v>100</v>
      </c>
      <c r="G11" s="65">
        <v>100</v>
      </c>
      <c r="H11" s="65">
        <v>100</v>
      </c>
      <c r="I11" s="2" t="s">
        <v>92</v>
      </c>
      <c r="Q11" s="7"/>
    </row>
    <row r="12" spans="1:22" ht="20.100000000000001" customHeight="1" x14ac:dyDescent="0.25">
      <c r="A12" s="17" t="str">
        <f>HYPERLINK("#'4.6.1.1-2 Methane'!A1", "4.6.1.1-2 Methane")</f>
        <v>4.6.1.1-2 Methane</v>
      </c>
      <c r="Q12" s="7"/>
    </row>
    <row r="13" spans="1:22" ht="20.100000000000001" customHeight="1" x14ac:dyDescent="0.25">
      <c r="A13" s="17" t="str">
        <f>HYPERLINK("#'4.6.1.3-4 Direct N20'!A1", "4.6.1.3-4 Direct N2O")</f>
        <v>4.6.1.3-4 Direct N2O</v>
      </c>
      <c r="D13" s="6" t="s">
        <v>124</v>
      </c>
      <c r="Q13" s="38"/>
    </row>
    <row r="14" spans="1:22" ht="20.100000000000001" customHeight="1" x14ac:dyDescent="0.25">
      <c r="A14" s="17" t="str">
        <f>HYPERLINK("#'4.6.1.5-6 Atmos Dep'!A1", "4.6.1.5-6 Atmospheric deposition")</f>
        <v>4.6.1.5-6 Atmospheric deposition</v>
      </c>
      <c r="Q14" s="38"/>
    </row>
    <row r="15" spans="1:22" ht="20.100000000000001" customHeight="1" x14ac:dyDescent="0.25">
      <c r="A15" s="17" t="str">
        <f>HYPERLINK("#'4.6.1.7-8 Leaching and runoff'!A1", "4.6.1.7-8 Leaching &amp; runoff")</f>
        <v>4.6.1.7-8 Leaching &amp; runoff</v>
      </c>
      <c r="D15" s="62" t="s">
        <v>144</v>
      </c>
      <c r="E15" s="111" t="s">
        <v>194</v>
      </c>
      <c r="F15" s="111" t="s">
        <v>195</v>
      </c>
      <c r="G15" s="111" t="s">
        <v>207</v>
      </c>
      <c r="H15" s="111" t="s">
        <v>208</v>
      </c>
      <c r="Q15" s="38"/>
    </row>
    <row r="16" spans="1:22" ht="20.100000000000001" customHeight="1" x14ac:dyDescent="0.25">
      <c r="A16" s="17" t="str">
        <f>HYPERLINK("#'4.6.1.9 Manure applied to soils'!A1", "4.6.1.9 Manure applied to soils")</f>
        <v>4.6.1.9 Manure applied to soils</v>
      </c>
      <c r="D16" s="1" t="s">
        <v>210</v>
      </c>
      <c r="E16" s="52">
        <v>8.5999999999999993E-2</v>
      </c>
      <c r="F16" s="52">
        <v>9.2999999999999999E-2</v>
      </c>
      <c r="G16" s="52">
        <v>0.10299999999999999</v>
      </c>
      <c r="H16" s="52">
        <v>9.2999999999999999E-2</v>
      </c>
      <c r="I16" s="2" t="s">
        <v>212</v>
      </c>
      <c r="Q16" s="38"/>
    </row>
    <row r="17" spans="1:17" ht="20.100000000000001" customHeight="1" x14ac:dyDescent="0.25">
      <c r="A17" s="17" t="str">
        <f>HYPERLINK("#'4.6.1.10-11 Soil direct N2O'!A1", "4.6.1.10-11 Soil direct N2O")</f>
        <v>4.6.1.10-11 Soil direct N2O</v>
      </c>
      <c r="D17" s="1" t="s">
        <v>211</v>
      </c>
      <c r="E17" s="52">
        <v>0.8</v>
      </c>
      <c r="F17" s="52">
        <v>0.8</v>
      </c>
      <c r="G17" s="52">
        <v>0.8</v>
      </c>
      <c r="H17" s="52">
        <v>0.8</v>
      </c>
      <c r="I17" s="2" t="s">
        <v>110</v>
      </c>
      <c r="Q17" s="7"/>
    </row>
    <row r="18" spans="1:17" ht="20.100000000000001" customHeight="1" x14ac:dyDescent="0.25">
      <c r="A18" s="17" t="str">
        <f>HYPERLINK("#'4.6.1.12-13 Soil atmos dep'!A1", "4.6.1.12-13 Soil Atm. deposition")</f>
        <v>4.6.1.12-13 Soil Atm. deposition</v>
      </c>
      <c r="D18" s="1" t="s">
        <v>240</v>
      </c>
      <c r="E18" s="52">
        <v>0.19</v>
      </c>
      <c r="F18" s="52">
        <v>0.23</v>
      </c>
      <c r="G18" s="52">
        <v>0.19</v>
      </c>
      <c r="H18" s="52">
        <v>0.23</v>
      </c>
      <c r="I18" s="2" t="s">
        <v>110</v>
      </c>
      <c r="J18" s="2"/>
      <c r="Q18" s="7"/>
    </row>
    <row r="19" spans="1:17" ht="20.100000000000001" customHeight="1" x14ac:dyDescent="0.25">
      <c r="A19" s="17" t="str">
        <f>HYPERLINK("#'4.6.1.14-15 Soil leach runoff'!A1", "4.6.1.14-15 Soil leach &amp; runoff")</f>
        <v>4.6.1.14-15 Soil leach &amp; runoff</v>
      </c>
      <c r="Q19" s="7"/>
    </row>
    <row r="20" spans="1:17" ht="20.100000000000001" customHeight="1" x14ac:dyDescent="0.25">
      <c r="D20" s="62" t="s">
        <v>145</v>
      </c>
      <c r="E20" s="111" t="s">
        <v>194</v>
      </c>
      <c r="F20" s="111" t="s">
        <v>195</v>
      </c>
      <c r="G20" s="111" t="s">
        <v>207</v>
      </c>
      <c r="H20" s="111" t="s">
        <v>208</v>
      </c>
      <c r="Q20" s="7"/>
    </row>
    <row r="21" spans="1:17" ht="20.100000000000001" customHeight="1" x14ac:dyDescent="0.25">
      <c r="A21" s="18" t="s">
        <v>2</v>
      </c>
      <c r="D21" s="1" t="s">
        <v>210</v>
      </c>
      <c r="E21" s="65">
        <v>8.5999999999999993E-2</v>
      </c>
      <c r="F21" s="65">
        <v>9.2999999999999999E-2</v>
      </c>
      <c r="G21" s="65">
        <v>0.10299999999999999</v>
      </c>
      <c r="H21" s="65">
        <v>9.2999999999999999E-2</v>
      </c>
      <c r="I21" s="2" t="s">
        <v>212</v>
      </c>
      <c r="Q21" s="7"/>
    </row>
    <row r="22" spans="1:17" ht="20.100000000000001" customHeight="1" x14ac:dyDescent="0.25">
      <c r="A22" s="17" t="str">
        <f>HYPERLINK("#'Constants - Poultry'!A1", "Constants - Poultry")</f>
        <v>Constants - Poultry</v>
      </c>
      <c r="D22" s="1" t="s">
        <v>211</v>
      </c>
      <c r="E22" s="65">
        <v>0.8</v>
      </c>
      <c r="F22" s="65">
        <v>0.8</v>
      </c>
      <c r="G22" s="65">
        <v>0.8</v>
      </c>
      <c r="H22" s="65">
        <v>0.8</v>
      </c>
      <c r="I22" s="2" t="s">
        <v>110</v>
      </c>
      <c r="Q22" s="7"/>
    </row>
    <row r="23" spans="1:17" ht="20.100000000000001" customHeight="1" x14ac:dyDescent="0.25">
      <c r="A23" s="17" t="str">
        <f>HYPERLINK("#'Constants - Livestock'!A1", "Constants - Livestock")</f>
        <v>Constants - Livestock</v>
      </c>
      <c r="D23" s="1" t="s">
        <v>240</v>
      </c>
      <c r="E23" s="65">
        <v>0.19</v>
      </c>
      <c r="F23" s="65">
        <v>0.23</v>
      </c>
      <c r="G23" s="65">
        <v>0.19</v>
      </c>
      <c r="H23" s="65">
        <v>0.23</v>
      </c>
      <c r="I23" s="2" t="s">
        <v>110</v>
      </c>
      <c r="Q23" s="7"/>
    </row>
    <row r="24" spans="1:17" ht="20.100000000000001" customHeight="1" x14ac:dyDescent="0.25">
      <c r="A24" s="17" t="str">
        <f>HYPERLINK("#'Constants - Common'!A1", "Constants - Common")</f>
        <v>Constants - Common</v>
      </c>
      <c r="Q24" s="7"/>
    </row>
    <row r="25" spans="1:17" ht="20.100000000000001" customHeight="1" x14ac:dyDescent="0.25">
      <c r="A25" s="17"/>
      <c r="D25" s="6" t="s">
        <v>132</v>
      </c>
      <c r="Q25" s="7"/>
    </row>
    <row r="26" spans="1:17" ht="20.100000000000001" customHeight="1" x14ac:dyDescent="0.25">
      <c r="Q26" s="7"/>
    </row>
    <row r="27" spans="1:17" ht="20.100000000000001" customHeight="1" x14ac:dyDescent="0.25">
      <c r="D27" s="1" t="s">
        <v>105</v>
      </c>
      <c r="E27" s="39" t="s">
        <v>360</v>
      </c>
      <c r="F27" s="2" t="s">
        <v>8</v>
      </c>
      <c r="G27" s="1" t="s">
        <v>361</v>
      </c>
      <c r="Q27" s="7"/>
    </row>
    <row r="28" spans="1:17" ht="20.100000000000001" customHeight="1" x14ac:dyDescent="0.25">
      <c r="A28" s="17"/>
      <c r="Q28" s="7"/>
    </row>
    <row r="29" spans="1:17" ht="20.100000000000001" customHeight="1" x14ac:dyDescent="0.25">
      <c r="A29" s="17"/>
      <c r="D29" s="62" t="s">
        <v>133</v>
      </c>
      <c r="E29" s="111" t="s">
        <v>194</v>
      </c>
      <c r="F29" s="111" t="s">
        <v>195</v>
      </c>
      <c r="G29" s="111" t="s">
        <v>207</v>
      </c>
      <c r="H29" s="111" t="s">
        <v>208</v>
      </c>
      <c r="Q29" s="7"/>
    </row>
    <row r="30" spans="1:17" ht="20.100000000000001" customHeight="1" x14ac:dyDescent="0.25">
      <c r="A30" s="17"/>
      <c r="D30" s="117" t="str">
        <f>'Constants - Poultry'!G29</f>
        <v>Poultry manure with bedding</v>
      </c>
      <c r="E30" s="46">
        <v>0.3</v>
      </c>
      <c r="F30" s="46">
        <v>0.3</v>
      </c>
      <c r="G30" s="46">
        <v>0.3</v>
      </c>
      <c r="H30" s="46">
        <v>0.3</v>
      </c>
      <c r="I30" s="2" t="s">
        <v>15</v>
      </c>
      <c r="Q30" s="7"/>
    </row>
    <row r="31" spans="1:17" ht="20.100000000000001" customHeight="1" x14ac:dyDescent="0.25">
      <c r="A31" s="66"/>
      <c r="D31" s="117" t="str">
        <f>'Constants - Poultry'!G30</f>
        <v>Belt manure removal</v>
      </c>
      <c r="E31" s="46">
        <v>0.3</v>
      </c>
      <c r="F31" s="46">
        <v>0.3</v>
      </c>
      <c r="G31" s="46">
        <v>0.3</v>
      </c>
      <c r="H31" s="46">
        <v>0.3</v>
      </c>
      <c r="I31" s="2" t="s">
        <v>15</v>
      </c>
      <c r="Q31" s="7"/>
    </row>
    <row r="32" spans="1:17" ht="20.100000000000001" customHeight="1" x14ac:dyDescent="0.25">
      <c r="A32" s="66"/>
      <c r="D32" s="117" t="str">
        <f>'Constants - Poultry'!G31</f>
        <v>Manure stored in house</v>
      </c>
      <c r="E32" s="46">
        <v>0.3</v>
      </c>
      <c r="F32" s="46">
        <v>0.3</v>
      </c>
      <c r="G32" s="46">
        <v>0.3</v>
      </c>
      <c r="H32" s="46">
        <v>0.3</v>
      </c>
      <c r="I32" s="2" t="s">
        <v>15</v>
      </c>
      <c r="Q32" s="7"/>
    </row>
    <row r="33" spans="1:17" ht="20.100000000000001" customHeight="1" x14ac:dyDescent="0.25">
      <c r="A33" s="17"/>
      <c r="D33" s="117" t="str">
        <f>'Constants - Poultry'!G32</f>
        <v>Pasture range and paddock</v>
      </c>
      <c r="E33" s="46">
        <v>0.1</v>
      </c>
      <c r="F33" s="46">
        <v>0.1</v>
      </c>
      <c r="G33" s="46">
        <v>0.1</v>
      </c>
      <c r="H33" s="46">
        <v>0.1</v>
      </c>
      <c r="I33" s="2" t="s">
        <v>15</v>
      </c>
      <c r="Q33" s="7"/>
    </row>
    <row r="34" spans="1:17" ht="20.100000000000001" customHeight="1" x14ac:dyDescent="0.25">
      <c r="D34" s="116" t="s">
        <v>134</v>
      </c>
      <c r="E34" s="96">
        <f>SUM(E30,E31,E32,E33)</f>
        <v>0.99999999999999989</v>
      </c>
      <c r="F34" s="96">
        <f>SUM(F30,F31,F32,F33)</f>
        <v>0.99999999999999989</v>
      </c>
      <c r="G34" s="96">
        <f>SUM(G30,G31,G32,G33)</f>
        <v>0.99999999999999989</v>
      </c>
      <c r="H34" s="96">
        <f>SUM(H30,H31,H32,H33)</f>
        <v>0.99999999999999989</v>
      </c>
      <c r="I34" s="2"/>
      <c r="Q34" s="7"/>
    </row>
    <row r="35" spans="1:17" ht="20.100000000000001" customHeight="1" x14ac:dyDescent="0.25">
      <c r="D35" s="123" t="s">
        <v>141</v>
      </c>
      <c r="Q35" s="7"/>
    </row>
    <row r="36" spans="1:17" ht="20.100000000000001" customHeight="1" x14ac:dyDescent="0.25">
      <c r="D36" s="119" t="s">
        <v>135</v>
      </c>
      <c r="E36" s="111" t="s">
        <v>194</v>
      </c>
      <c r="F36" s="111" t="s">
        <v>195</v>
      </c>
      <c r="G36" s="111" t="s">
        <v>207</v>
      </c>
      <c r="H36" s="111" t="s">
        <v>208</v>
      </c>
      <c r="I36" s="124" t="s">
        <v>142</v>
      </c>
      <c r="J36" s="62" t="s">
        <v>137</v>
      </c>
      <c r="K36" s="62"/>
      <c r="L36" s="112"/>
      <c r="Q36" s="7"/>
    </row>
    <row r="37" spans="1:17" ht="20.100000000000001" customHeight="1" x14ac:dyDescent="0.25">
      <c r="D37" s="120" t="str">
        <f>"From stage 1: " &amp; $D$30</f>
        <v>From stage 1: Poultry manure with bedding</v>
      </c>
      <c r="E37" s="104" t="str">
        <f>IF(SUM(E30:H30)&gt;0,"Manure was sent to this MMS, please complete this section.","No manure was sent to this MMS. Leave this section blank.")</f>
        <v>Manure was sent to this MMS, please complete this section.</v>
      </c>
      <c r="J37" s="122" t="s">
        <v>138</v>
      </c>
      <c r="K37" s="122" t="s">
        <v>139</v>
      </c>
      <c r="L37" s="122" t="s">
        <v>140</v>
      </c>
      <c r="Q37" s="7"/>
    </row>
    <row r="38" spans="1:17" ht="20.100000000000001" customHeight="1" x14ac:dyDescent="0.25">
      <c r="D38" s="121" t="str">
        <f>'Constants - Poultry'!$J$29</f>
        <v>Solid storage</v>
      </c>
      <c r="E38" s="46">
        <v>0.2</v>
      </c>
      <c r="F38" s="46">
        <v>0.2</v>
      </c>
      <c r="G38" s="46">
        <v>0.2</v>
      </c>
      <c r="H38" s="46">
        <v>0.2</v>
      </c>
      <c r="I38" s="2" t="s">
        <v>15</v>
      </c>
      <c r="J38" s="46">
        <v>0.25</v>
      </c>
      <c r="K38" s="46">
        <v>0.25</v>
      </c>
      <c r="L38" s="96">
        <v>0.5</v>
      </c>
      <c r="Q38" s="7"/>
    </row>
    <row r="39" spans="1:17" ht="20.100000000000001" customHeight="1" x14ac:dyDescent="0.25">
      <c r="A39" s="17"/>
      <c r="D39" s="121" t="str">
        <f>'Constants - Poultry'!$J$30</f>
        <v>Composting (passive windrow)</v>
      </c>
      <c r="E39" s="46">
        <v>0.2</v>
      </c>
      <c r="F39" s="46">
        <v>0.2</v>
      </c>
      <c r="G39" s="46">
        <v>0.2</v>
      </c>
      <c r="H39" s="46">
        <v>0.2</v>
      </c>
      <c r="I39" s="2" t="s">
        <v>15</v>
      </c>
      <c r="J39" s="46">
        <v>0.25</v>
      </c>
      <c r="K39" s="46">
        <v>0.25</v>
      </c>
      <c r="L39" s="96">
        <v>0.5</v>
      </c>
      <c r="Q39" s="7"/>
    </row>
    <row r="40" spans="1:17" ht="20.100000000000001" customHeight="1" x14ac:dyDescent="0.25">
      <c r="D40" s="121" t="str">
        <f>'Constants - Poultry'!$J$31</f>
        <v>Digester / covered lagoons</v>
      </c>
      <c r="E40" s="46">
        <v>0.2</v>
      </c>
      <c r="F40" s="46">
        <v>0.2</v>
      </c>
      <c r="G40" s="46">
        <v>0.2</v>
      </c>
      <c r="H40" s="46">
        <v>0.2</v>
      </c>
      <c r="I40" s="2" t="s">
        <v>15</v>
      </c>
      <c r="J40" s="46">
        <v>0.25</v>
      </c>
      <c r="K40" s="46">
        <v>0.25</v>
      </c>
      <c r="L40" s="96">
        <v>0.5</v>
      </c>
      <c r="Q40" s="7"/>
    </row>
    <row r="41" spans="1:17" ht="20.100000000000001" customHeight="1" x14ac:dyDescent="0.25">
      <c r="A41" s="44"/>
      <c r="D41" s="121" t="str">
        <f>'Constants - Poultry'!$J$32</f>
        <v>Direct processing</v>
      </c>
      <c r="E41" s="46">
        <v>0.2</v>
      </c>
      <c r="F41" s="46">
        <v>0.2</v>
      </c>
      <c r="G41" s="46">
        <v>0.2</v>
      </c>
      <c r="H41" s="46">
        <v>0.2</v>
      </c>
      <c r="I41" s="2" t="s">
        <v>15</v>
      </c>
      <c r="J41" s="46">
        <v>0.25</v>
      </c>
      <c r="K41" s="46">
        <v>0.25</v>
      </c>
      <c r="L41" s="96">
        <v>0.5</v>
      </c>
      <c r="Q41" s="7"/>
    </row>
    <row r="42" spans="1:17" ht="20.100000000000001" customHeight="1" x14ac:dyDescent="0.25">
      <c r="D42" s="121" t="str">
        <f>'Constants - Poultry'!$J$33</f>
        <v>Direct application</v>
      </c>
      <c r="E42" s="96">
        <v>0.2</v>
      </c>
      <c r="F42" s="96">
        <v>0.2</v>
      </c>
      <c r="G42" s="96">
        <v>0.2</v>
      </c>
      <c r="H42" s="96">
        <v>0.2</v>
      </c>
      <c r="I42" s="2" t="s">
        <v>15</v>
      </c>
      <c r="J42" s="96">
        <v>0</v>
      </c>
      <c r="K42" s="96">
        <v>0</v>
      </c>
      <c r="L42" s="96">
        <v>1</v>
      </c>
      <c r="Q42" s="7"/>
    </row>
    <row r="43" spans="1:17" ht="20.100000000000001" customHeight="1" x14ac:dyDescent="0.25">
      <c r="D43" s="118"/>
      <c r="F43" s="2"/>
      <c r="Q43" s="7"/>
    </row>
    <row r="44" spans="1:17" ht="20.100000000000001" customHeight="1" x14ac:dyDescent="0.25">
      <c r="D44" s="120" t="str">
        <f>"From stage 1: " &amp; $D$31</f>
        <v>From stage 1: Belt manure removal</v>
      </c>
      <c r="E44" s="104" t="str">
        <f>IF(SUM(E31:H31)&gt;0,"Manure was sent to this MMS, please complete this section.","No manure was sent to this MMS. Leave this section blank.")</f>
        <v>Manure was sent to this MMS, please complete this section.</v>
      </c>
      <c r="J44" s="122" t="s">
        <v>138</v>
      </c>
      <c r="K44" s="122" t="s">
        <v>139</v>
      </c>
      <c r="L44" s="122" t="s">
        <v>140</v>
      </c>
      <c r="Q44" s="7"/>
    </row>
    <row r="45" spans="1:17" ht="20.100000000000001" customHeight="1" x14ac:dyDescent="0.25">
      <c r="D45" s="121" t="str">
        <f>'Constants - Poultry'!$J$29</f>
        <v>Solid storage</v>
      </c>
      <c r="E45" s="46">
        <v>0.2</v>
      </c>
      <c r="F45" s="46">
        <v>0.2</v>
      </c>
      <c r="G45" s="46">
        <v>0.2</v>
      </c>
      <c r="H45" s="46">
        <v>0.2</v>
      </c>
      <c r="I45" s="2" t="s">
        <v>15</v>
      </c>
      <c r="J45" s="46">
        <v>0.25</v>
      </c>
      <c r="K45" s="46">
        <v>0.25</v>
      </c>
      <c r="L45" s="96">
        <v>0.5</v>
      </c>
      <c r="Q45" s="7"/>
    </row>
    <row r="46" spans="1:17" ht="20.100000000000001" customHeight="1" x14ac:dyDescent="0.25">
      <c r="D46" s="121" t="str">
        <f>'Constants - Poultry'!$J$30</f>
        <v>Composting (passive windrow)</v>
      </c>
      <c r="E46" s="46">
        <v>0.2</v>
      </c>
      <c r="F46" s="46">
        <v>0.2</v>
      </c>
      <c r="G46" s="46">
        <v>0.2</v>
      </c>
      <c r="H46" s="46">
        <v>0.2</v>
      </c>
      <c r="I46" s="2" t="s">
        <v>15</v>
      </c>
      <c r="J46" s="46">
        <v>0.25</v>
      </c>
      <c r="K46" s="46">
        <v>0.25</v>
      </c>
      <c r="L46" s="96">
        <v>0.5</v>
      </c>
      <c r="Q46" s="7"/>
    </row>
    <row r="47" spans="1:17" ht="20.100000000000001" customHeight="1" x14ac:dyDescent="0.25">
      <c r="D47" s="121" t="str">
        <f>'Constants - Poultry'!$J$31</f>
        <v>Digester / covered lagoons</v>
      </c>
      <c r="E47" s="46">
        <v>0.2</v>
      </c>
      <c r="F47" s="46">
        <v>0.2</v>
      </c>
      <c r="G47" s="46">
        <v>0.2</v>
      </c>
      <c r="H47" s="46">
        <v>0.2</v>
      </c>
      <c r="I47" s="2" t="s">
        <v>15</v>
      </c>
      <c r="J47" s="46">
        <v>0.25</v>
      </c>
      <c r="K47" s="46">
        <v>0.25</v>
      </c>
      <c r="L47" s="96">
        <v>0.5</v>
      </c>
      <c r="Q47" s="7"/>
    </row>
    <row r="48" spans="1:17" ht="20.100000000000001" customHeight="1" x14ac:dyDescent="0.25">
      <c r="D48" s="121" t="str">
        <f>'Constants - Poultry'!$J$32</f>
        <v>Direct processing</v>
      </c>
      <c r="E48" s="46">
        <v>0.2</v>
      </c>
      <c r="F48" s="46">
        <v>0.2</v>
      </c>
      <c r="G48" s="46">
        <v>0.2</v>
      </c>
      <c r="H48" s="46">
        <v>0.2</v>
      </c>
      <c r="I48" s="2" t="s">
        <v>15</v>
      </c>
      <c r="J48" s="46">
        <v>0.25</v>
      </c>
      <c r="K48" s="46">
        <v>0.25</v>
      </c>
      <c r="L48" s="96">
        <v>0.5</v>
      </c>
      <c r="Q48" s="7"/>
    </row>
    <row r="49" spans="4:17" ht="20.100000000000001" customHeight="1" x14ac:dyDescent="0.25">
      <c r="D49" s="121" t="str">
        <f>'Constants - Poultry'!$J$33</f>
        <v>Direct application</v>
      </c>
      <c r="E49" s="96">
        <v>0.2</v>
      </c>
      <c r="F49" s="96">
        <v>0.2</v>
      </c>
      <c r="G49" s="96">
        <v>0.2</v>
      </c>
      <c r="H49" s="96">
        <v>0.2</v>
      </c>
      <c r="J49" s="96">
        <v>0</v>
      </c>
      <c r="K49" s="96">
        <v>0</v>
      </c>
      <c r="L49" s="96">
        <v>1</v>
      </c>
      <c r="Q49" s="7"/>
    </row>
    <row r="50" spans="4:17" ht="20.100000000000001" customHeight="1" x14ac:dyDescent="0.25">
      <c r="Q50" s="7"/>
    </row>
    <row r="51" spans="4:17" ht="20.100000000000001" customHeight="1" x14ac:dyDescent="0.25">
      <c r="D51" s="120" t="str">
        <f>"From stage 1: " &amp; $D$32</f>
        <v>From stage 1: Manure stored in house</v>
      </c>
      <c r="E51" s="104" t="str">
        <f>IF(SUM(E32:H32)&gt;0,"Manure was sent to this MMS, please complete this section.","No manure was sent to this MMS. Leave this section blank.")</f>
        <v>Manure was sent to this MMS, please complete this section.</v>
      </c>
      <c r="J51" s="122" t="s">
        <v>138</v>
      </c>
      <c r="K51" s="122" t="s">
        <v>139</v>
      </c>
      <c r="L51" s="122" t="s">
        <v>140</v>
      </c>
      <c r="Q51" s="7"/>
    </row>
    <row r="52" spans="4:17" ht="20.100000000000001" customHeight="1" x14ac:dyDescent="0.25">
      <c r="D52" s="121" t="str">
        <f>'Constants - Poultry'!$J$29</f>
        <v>Solid storage</v>
      </c>
      <c r="E52" s="46">
        <v>0.2</v>
      </c>
      <c r="F52" s="46">
        <v>0.2</v>
      </c>
      <c r="G52" s="46">
        <v>0.2</v>
      </c>
      <c r="H52" s="46">
        <v>0.2</v>
      </c>
      <c r="I52" s="2" t="s">
        <v>15</v>
      </c>
      <c r="J52" s="46">
        <v>0.25</v>
      </c>
      <c r="K52" s="46">
        <v>0.25</v>
      </c>
      <c r="L52" s="96">
        <v>0.5</v>
      </c>
      <c r="Q52" s="7"/>
    </row>
    <row r="53" spans="4:17" ht="20.100000000000001" customHeight="1" x14ac:dyDescent="0.25">
      <c r="D53" s="121" t="str">
        <f>'Constants - Poultry'!$J$30</f>
        <v>Composting (passive windrow)</v>
      </c>
      <c r="E53" s="46">
        <v>0.2</v>
      </c>
      <c r="F53" s="46">
        <v>0.2</v>
      </c>
      <c r="G53" s="46">
        <v>0.2</v>
      </c>
      <c r="H53" s="46">
        <v>0.2</v>
      </c>
      <c r="I53" s="2" t="s">
        <v>15</v>
      </c>
      <c r="J53" s="46">
        <v>0.25</v>
      </c>
      <c r="K53" s="46">
        <v>0.25</v>
      </c>
      <c r="L53" s="96">
        <v>0.5</v>
      </c>
      <c r="Q53" s="7"/>
    </row>
    <row r="54" spans="4:17" ht="20.100000000000001" customHeight="1" x14ac:dyDescent="0.25">
      <c r="D54" s="121" t="str">
        <f>'Constants - Poultry'!$J$31</f>
        <v>Digester / covered lagoons</v>
      </c>
      <c r="E54" s="46">
        <v>0.2</v>
      </c>
      <c r="F54" s="46">
        <v>0.2</v>
      </c>
      <c r="G54" s="46">
        <v>0.2</v>
      </c>
      <c r="H54" s="46">
        <v>0.2</v>
      </c>
      <c r="I54" s="2" t="s">
        <v>15</v>
      </c>
      <c r="J54" s="46">
        <v>0.25</v>
      </c>
      <c r="K54" s="46">
        <v>0.25</v>
      </c>
      <c r="L54" s="96">
        <v>0.5</v>
      </c>
      <c r="Q54" s="7"/>
    </row>
    <row r="55" spans="4:17" ht="20.100000000000001" customHeight="1" x14ac:dyDescent="0.25">
      <c r="D55" s="121" t="str">
        <f>'Constants - Poultry'!$J$32</f>
        <v>Direct processing</v>
      </c>
      <c r="E55" s="46">
        <v>0.2</v>
      </c>
      <c r="F55" s="46">
        <v>0.2</v>
      </c>
      <c r="G55" s="46">
        <v>0.2</v>
      </c>
      <c r="H55" s="46">
        <v>0.2</v>
      </c>
      <c r="I55" s="2" t="s">
        <v>15</v>
      </c>
      <c r="J55" s="46">
        <v>0.25</v>
      </c>
      <c r="K55" s="46">
        <v>0.25</v>
      </c>
      <c r="L55" s="96">
        <v>0.5</v>
      </c>
      <c r="Q55" s="7"/>
    </row>
    <row r="56" spans="4:17" ht="20.100000000000001" customHeight="1" x14ac:dyDescent="0.25">
      <c r="D56" s="121" t="str">
        <f>'Constants - Poultry'!$J$33</f>
        <v>Direct application</v>
      </c>
      <c r="E56" s="96">
        <v>0.2</v>
      </c>
      <c r="F56" s="96">
        <v>0.2</v>
      </c>
      <c r="G56" s="96">
        <v>0.2</v>
      </c>
      <c r="H56" s="96">
        <v>0.2</v>
      </c>
      <c r="I56" s="2" t="s">
        <v>15</v>
      </c>
      <c r="J56" s="96">
        <v>0</v>
      </c>
      <c r="K56" s="96">
        <v>0</v>
      </c>
      <c r="L56" s="96">
        <v>1</v>
      </c>
      <c r="Q56" s="7"/>
    </row>
    <row r="57" spans="4:17" ht="20.100000000000001" customHeight="1" x14ac:dyDescent="0.25">
      <c r="Q57" s="7"/>
    </row>
    <row r="58" spans="4:17" ht="20.100000000000001" customHeight="1" x14ac:dyDescent="0.25">
      <c r="D58" s="116"/>
      <c r="Q58" s="7"/>
    </row>
    <row r="59" spans="4:17" ht="20.100000000000001" customHeight="1" x14ac:dyDescent="0.25">
      <c r="D59" s="1" t="s">
        <v>155</v>
      </c>
      <c r="E59" s="39" t="s">
        <v>123</v>
      </c>
      <c r="F59" s="2" t="s">
        <v>8</v>
      </c>
      <c r="Q59" s="7"/>
    </row>
    <row r="60" spans="4:17" ht="20.100000000000001" customHeight="1" x14ac:dyDescent="0.25">
      <c r="E60" s="39" t="s">
        <v>364</v>
      </c>
      <c r="F60" s="2" t="s">
        <v>8</v>
      </c>
      <c r="Q60" s="7"/>
    </row>
    <row r="61" spans="4:17" ht="20.100000000000001" customHeight="1" x14ac:dyDescent="0.25">
      <c r="Q61" s="7"/>
    </row>
    <row r="62" spans="4:17" ht="20.100000000000001" customHeight="1" x14ac:dyDescent="0.25">
      <c r="Q62" s="7"/>
    </row>
    <row r="63" spans="4:17" ht="20.100000000000001" customHeight="1" x14ac:dyDescent="0.25">
      <c r="Q63" s="7"/>
    </row>
    <row r="64" spans="4:17" ht="20.100000000000001" customHeight="1" x14ac:dyDescent="0.25">
      <c r="Q64" s="7"/>
    </row>
    <row r="65" spans="17:17" ht="20.100000000000001" customHeight="1" x14ac:dyDescent="0.25">
      <c r="Q65" s="7"/>
    </row>
    <row r="66" spans="17:17" ht="20.100000000000001" customHeight="1" x14ac:dyDescent="0.25">
      <c r="Q66" s="7"/>
    </row>
    <row r="67" spans="17:17" ht="20.100000000000001" customHeight="1" x14ac:dyDescent="0.25">
      <c r="Q67" s="7"/>
    </row>
    <row r="68" spans="17:17" ht="20.100000000000001" customHeight="1" x14ac:dyDescent="0.25">
      <c r="Q68" s="7"/>
    </row>
    <row r="69" spans="17:17" ht="20.100000000000001" customHeight="1" x14ac:dyDescent="0.25">
      <c r="Q69" s="7"/>
    </row>
    <row r="70" spans="17:17" ht="20.100000000000001" customHeight="1" x14ac:dyDescent="0.25">
      <c r="Q70" s="7"/>
    </row>
    <row r="71" spans="17:17" ht="20.100000000000001" customHeight="1" x14ac:dyDescent="0.25">
      <c r="Q71" s="7"/>
    </row>
    <row r="72" spans="17:17" ht="20.100000000000001" customHeight="1" x14ac:dyDescent="0.25">
      <c r="Q72" s="7"/>
    </row>
    <row r="73" spans="17:17" ht="20.100000000000001" customHeight="1" x14ac:dyDescent="0.25">
      <c r="Q73" s="7"/>
    </row>
    <row r="74" spans="17:17" ht="20.100000000000001" customHeight="1" x14ac:dyDescent="0.25">
      <c r="Q74" s="7"/>
    </row>
    <row r="75" spans="17:17" ht="20.100000000000001" customHeight="1" x14ac:dyDescent="0.25">
      <c r="Q75" s="7"/>
    </row>
    <row r="76" spans="17:17" ht="20.100000000000001" customHeight="1" x14ac:dyDescent="0.25">
      <c r="Q76" s="7"/>
    </row>
    <row r="77" spans="17:17" ht="20.100000000000001" customHeight="1" x14ac:dyDescent="0.25">
      <c r="Q77" s="7"/>
    </row>
    <row r="78" spans="17:17" ht="20.100000000000001" customHeight="1" x14ac:dyDescent="0.25">
      <c r="Q78" s="7"/>
    </row>
    <row r="79" spans="17:17" ht="20.100000000000001" customHeight="1" x14ac:dyDescent="0.25">
      <c r="Q79" s="7"/>
    </row>
    <row r="80" spans="17:17" ht="20.100000000000001" customHeight="1" x14ac:dyDescent="0.25">
      <c r="Q80" s="7"/>
    </row>
    <row r="81" spans="17:17" ht="20.100000000000001" customHeight="1" x14ac:dyDescent="0.25">
      <c r="Q81" s="7"/>
    </row>
    <row r="82" spans="17:17" ht="20.100000000000001" customHeight="1" x14ac:dyDescent="0.25">
      <c r="Q82" s="7"/>
    </row>
    <row r="83" spans="17:17" ht="20.100000000000001" customHeight="1" x14ac:dyDescent="0.25">
      <c r="Q83" s="7"/>
    </row>
    <row r="84" spans="17:17" ht="20.100000000000001" customHeight="1" x14ac:dyDescent="0.25">
      <c r="Q84" s="7"/>
    </row>
    <row r="85" spans="17:17" ht="20.100000000000001" customHeight="1" x14ac:dyDescent="0.25">
      <c r="Q85" s="7"/>
    </row>
    <row r="86" spans="17:17" ht="20.100000000000001" customHeight="1" x14ac:dyDescent="0.25">
      <c r="Q86" s="7"/>
    </row>
    <row r="87" spans="17:17" ht="20.100000000000001" customHeight="1" x14ac:dyDescent="0.25">
      <c r="Q87" s="7"/>
    </row>
    <row r="88" spans="17:17" ht="20.100000000000001" customHeight="1" x14ac:dyDescent="0.25">
      <c r="Q88" s="7"/>
    </row>
    <row r="89" spans="17:17" ht="20.100000000000001" customHeight="1" x14ac:dyDescent="0.25">
      <c r="Q89" s="7"/>
    </row>
    <row r="90" spans="17:17" ht="20.100000000000001" customHeight="1" x14ac:dyDescent="0.25">
      <c r="Q90" s="7"/>
    </row>
    <row r="91" spans="17:17" ht="20.100000000000001" customHeight="1" x14ac:dyDescent="0.25">
      <c r="Q91" s="7"/>
    </row>
    <row r="92" spans="17:17" ht="20.100000000000001" customHeight="1" x14ac:dyDescent="0.25">
      <c r="Q92" s="7"/>
    </row>
    <row r="93" spans="17:17" ht="20.100000000000001" customHeight="1" x14ac:dyDescent="0.25">
      <c r="Q93" s="7"/>
    </row>
    <row r="94" spans="17:17" ht="20.100000000000001" customHeight="1" x14ac:dyDescent="0.25">
      <c r="Q94" s="7"/>
    </row>
    <row r="95" spans="17:17" ht="20.100000000000001" customHeight="1" x14ac:dyDescent="0.25">
      <c r="Q95" s="7"/>
    </row>
    <row r="96" spans="17:17" ht="20.100000000000001" customHeight="1" x14ac:dyDescent="0.25">
      <c r="Q96" s="7"/>
    </row>
    <row r="97" spans="13:17" ht="20.100000000000001" customHeight="1" x14ac:dyDescent="0.25">
      <c r="Q97" s="7"/>
    </row>
    <row r="98" spans="13:17" ht="20.100000000000001" customHeight="1" x14ac:dyDescent="0.25">
      <c r="Q98" s="7"/>
    </row>
    <row r="99" spans="13:17" ht="20.100000000000001" customHeight="1" x14ac:dyDescent="0.25">
      <c r="Q99" s="7"/>
    </row>
    <row r="100" spans="13:17" ht="20.100000000000001" customHeight="1" x14ac:dyDescent="0.25">
      <c r="Q100" s="7"/>
    </row>
    <row r="101" spans="13:17" ht="20.100000000000001" customHeight="1" x14ac:dyDescent="0.25">
      <c r="Q101" s="7"/>
    </row>
    <row r="102" spans="13:17" ht="20.100000000000001" customHeight="1" x14ac:dyDescent="0.25">
      <c r="Q102" s="7"/>
    </row>
    <row r="103" spans="13:17" ht="20.100000000000001" customHeight="1" x14ac:dyDescent="0.25">
      <c r="Q103" s="7"/>
    </row>
    <row r="104" spans="13:17" ht="20.100000000000001" customHeight="1" x14ac:dyDescent="0.25">
      <c r="Q104" s="7"/>
    </row>
    <row r="105" spans="13:17" ht="20.100000000000001" customHeight="1" x14ac:dyDescent="0.25">
      <c r="Q105" s="7"/>
    </row>
    <row r="106" spans="13:17" ht="20.100000000000001" customHeight="1" x14ac:dyDescent="0.25">
      <c r="Q106" s="7"/>
    </row>
    <row r="107" spans="13:17" ht="20.100000000000001" customHeight="1" x14ac:dyDescent="0.25"/>
    <row r="108" spans="13:17" ht="20.100000000000001" customHeight="1" x14ac:dyDescent="0.25">
      <c r="M108" s="3"/>
    </row>
    <row r="109" spans="13:17" ht="20.100000000000001" customHeight="1" x14ac:dyDescent="0.25">
      <c r="M109" s="3"/>
    </row>
    <row r="110" spans="13:17" ht="20.100000000000001" customHeight="1" x14ac:dyDescent="0.25">
      <c r="M110" s="3"/>
    </row>
    <row r="111" spans="13:17" ht="20.100000000000001" customHeight="1" x14ac:dyDescent="0.25">
      <c r="M111" s="3"/>
    </row>
    <row r="112" spans="13:17"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row r="131" spans="13:13" ht="20.100000000000001" customHeight="1" x14ac:dyDescent="0.25"/>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2:12" x14ac:dyDescent="0.25">
      <c r="L206" s="2"/>
    </row>
    <row r="207" spans="12:12" x14ac:dyDescent="0.25">
      <c r="L207" s="2"/>
    </row>
    <row r="208" spans="12:12" x14ac:dyDescent="0.25">
      <c r="L208" s="2"/>
    </row>
    <row r="209" spans="12:12" x14ac:dyDescent="0.25">
      <c r="L209" s="2"/>
    </row>
    <row r="210" spans="12:12" x14ac:dyDescent="0.25">
      <c r="L210" s="2"/>
    </row>
    <row r="212" spans="12:12" x14ac:dyDescent="0.25">
      <c r="L212" s="2"/>
    </row>
    <row r="214" spans="12:12" x14ac:dyDescent="0.25">
      <c r="L214" s="2"/>
    </row>
    <row r="215" spans="12:12" x14ac:dyDescent="0.25">
      <c r="L215" s="2"/>
    </row>
    <row r="216" spans="12:12" x14ac:dyDescent="0.25">
      <c r="L216" s="2"/>
    </row>
    <row r="217" spans="12:12" x14ac:dyDescent="0.25">
      <c r="L217" s="2"/>
    </row>
    <row r="219" spans="12:12" x14ac:dyDescent="0.25">
      <c r="L219" s="2"/>
    </row>
    <row r="227" spans="12:12" x14ac:dyDescent="0.25">
      <c r="L227" s="2"/>
    </row>
    <row r="228" spans="12:12" x14ac:dyDescent="0.25">
      <c r="L228" s="2"/>
    </row>
    <row r="229" spans="12:12" x14ac:dyDescent="0.25">
      <c r="L229" s="2"/>
    </row>
    <row r="232" spans="12:12" x14ac:dyDescent="0.25">
      <c r="L232" s="2"/>
    </row>
    <row r="233" spans="12:12" x14ac:dyDescent="0.25">
      <c r="L233" s="2"/>
    </row>
    <row r="234" spans="12:12" x14ac:dyDescent="0.25">
      <c r="L234" s="2"/>
    </row>
    <row r="237" spans="12:12" x14ac:dyDescent="0.25">
      <c r="L237" s="2"/>
    </row>
    <row r="238" spans="12:12" x14ac:dyDescent="0.25">
      <c r="L238" s="2"/>
    </row>
    <row r="239" spans="12:12" x14ac:dyDescent="0.25">
      <c r="L239" s="2"/>
    </row>
    <row r="242" spans="11:12" x14ac:dyDescent="0.25">
      <c r="L242" s="2"/>
    </row>
    <row r="243" spans="11:12" x14ac:dyDescent="0.25">
      <c r="K243" s="2"/>
      <c r="L243" s="2"/>
    </row>
    <row r="244" spans="11:12" x14ac:dyDescent="0.25">
      <c r="L244" s="2"/>
    </row>
    <row r="248" spans="11:12" x14ac:dyDescent="0.25">
      <c r="K248" s="2"/>
    </row>
    <row r="251" spans="11:12" x14ac:dyDescent="0.25">
      <c r="L251" s="2"/>
    </row>
    <row r="252" spans="11:12" x14ac:dyDescent="0.25">
      <c r="L252" s="2"/>
    </row>
    <row r="253" spans="11:12" x14ac:dyDescent="0.25">
      <c r="K253" s="2"/>
      <c r="L253" s="2"/>
    </row>
    <row r="256" spans="11:12" x14ac:dyDescent="0.25">
      <c r="L256" s="2"/>
    </row>
    <row r="257" spans="11:12" x14ac:dyDescent="0.25">
      <c r="L257" s="2"/>
    </row>
    <row r="258" spans="11:12" x14ac:dyDescent="0.25">
      <c r="K258" s="2"/>
      <c r="L258" s="2"/>
    </row>
    <row r="259" spans="11:12" x14ac:dyDescent="0.25">
      <c r="K259" s="2"/>
    </row>
    <row r="260" spans="11:12" x14ac:dyDescent="0.25">
      <c r="K260" s="2"/>
    </row>
    <row r="261" spans="11:12" x14ac:dyDescent="0.25">
      <c r="K261" s="2"/>
      <c r="L261" s="2"/>
    </row>
    <row r="262" spans="11:12" x14ac:dyDescent="0.25">
      <c r="K262" s="2"/>
      <c r="L262" s="2"/>
    </row>
    <row r="263" spans="11:12" x14ac:dyDescent="0.25">
      <c r="L263" s="2"/>
    </row>
    <row r="264" spans="11:12" x14ac:dyDescent="0.25">
      <c r="K264" s="2"/>
    </row>
    <row r="266" spans="11:12" x14ac:dyDescent="0.25">
      <c r="K266" s="2"/>
      <c r="L266" s="2"/>
    </row>
    <row r="267" spans="11:12" x14ac:dyDescent="0.25">
      <c r="K267" s="2"/>
      <c r="L267" s="2"/>
    </row>
    <row r="268" spans="11:12" x14ac:dyDescent="0.25">
      <c r="K268" s="2"/>
      <c r="L268" s="2"/>
    </row>
    <row r="269" spans="11:12" x14ac:dyDescent="0.25">
      <c r="K269" s="2"/>
    </row>
    <row r="271" spans="11:12"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4"/>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I34">
    <cfRule type="cellIs" dxfId="17" priority="55" operator="lessThan">
      <formula>0</formula>
    </cfRule>
  </conditionalFormatting>
  <conditionalFormatting sqref="I38:I42 N43:O43 I60 M101 I119:J119 K180:L180 K184:L185 K188:L189 K194:L195 K198:L198 I199:L199 I205:L205">
    <cfRule type="cellIs" dxfId="16" priority="74" operator="lessThan">
      <formula>0</formula>
    </cfRule>
  </conditionalFormatting>
  <conditionalFormatting sqref="I45:I49">
    <cfRule type="cellIs" dxfId="15" priority="6" operator="lessThan">
      <formula>0</formula>
    </cfRule>
  </conditionalFormatting>
  <conditionalFormatting sqref="I52:I56">
    <cfRule type="cellIs" dxfId="14" priority="5" operator="lessThan">
      <formula>0</formula>
    </cfRule>
  </conditionalFormatting>
  <conditionalFormatting sqref="I71:I73">
    <cfRule type="cellIs" dxfId="13" priority="4" operator="lessThan">
      <formula>0</formula>
    </cfRule>
  </conditionalFormatting>
  <conditionalFormatting sqref="I77:I80">
    <cfRule type="cellIs" dxfId="12" priority="3" operator="lessThan">
      <formula>0</formula>
    </cfRule>
  </conditionalFormatting>
  <conditionalFormatting sqref="I84:I88">
    <cfRule type="cellIs" dxfId="11" priority="1" operator="lessThan">
      <formula>0</formula>
    </cfRule>
  </conditionalFormatting>
  <conditionalFormatting sqref="J147">
    <cfRule type="cellIs" dxfId="10" priority="24" operator="lessThan">
      <formula>0</formula>
    </cfRule>
  </conditionalFormatting>
  <conditionalFormatting sqref="L113:L116">
    <cfRule type="cellIs" dxfId="9" priority="11" operator="lessThan">
      <formula>0</formula>
    </cfRule>
  </conditionalFormatting>
  <conditionalFormatting sqref="L119">
    <cfRule type="cellIs" dxfId="8" priority="17" operator="lessThan">
      <formula>0</formula>
    </cfRule>
  </conditionalFormatting>
  <conditionalFormatting sqref="L125:L128">
    <cfRule type="cellIs" dxfId="7" priority="10" operator="lessThan">
      <formula>0</formula>
    </cfRule>
  </conditionalFormatting>
  <conditionalFormatting sqref="L131">
    <cfRule type="cellIs" dxfId="6" priority="16" operator="lessThan">
      <formula>0</formula>
    </cfRule>
  </conditionalFormatting>
  <conditionalFormatting sqref="L137:L140">
    <cfRule type="cellIs" dxfId="5" priority="9" operator="lessThan">
      <formula>0</formula>
    </cfRule>
  </conditionalFormatting>
  <conditionalFormatting sqref="L143">
    <cfRule type="cellIs" dxfId="4" priority="15" operator="lessThan">
      <formula>0</formula>
    </cfRule>
  </conditionalFormatting>
  <conditionalFormatting sqref="L149:L152">
    <cfRule type="cellIs" dxfId="3" priority="8" operator="lessThan">
      <formula>0</formula>
    </cfRule>
  </conditionalFormatting>
  <conditionalFormatting sqref="L155">
    <cfRule type="cellIs" dxfId="2" priority="14" operator="lessThan">
      <formula>0</formula>
    </cfRule>
  </conditionalFormatting>
  <conditionalFormatting sqref="L159:L160">
    <cfRule type="cellIs" dxfId="1" priority="12" operator="lessThan">
      <formula>0</formula>
    </cfRule>
  </conditionalFormatting>
  <conditionalFormatting sqref="L206:L210 L212 L214:L217 L219 J223:J225 J228:J230 J243:K243 J248:K248 J253:K253 J258:K262 J264:K264 J266:K269 J271:K271 J277:K277 J282:K282 J287:K287 J292:K296 J298:K298 J300:K303 J305:K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INDIRECT("Table_SourceData_Swine_IrrigationMethods[Irrigation method]")</formula1>
    </dataValidation>
    <dataValidation type="list" allowBlank="1" showInputMessage="1" showErrorMessage="1" sqref="E59" xr:uid="{B95E29DC-96D0-4475-A29E-3F3A3B60CEA1}">
      <formula1>INDIRECT("Table_SourceData_Swine_CropProdSystems[Production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342"/>
  <sheetViews>
    <sheetView showGridLines="0" topLeftCell="A199" zoomScaleNormal="100" workbookViewId="0">
      <selection activeCell="O222" sqref="O2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209</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A6" s="16"/>
      <c r="D6" s="5" t="str" cm="1">
        <f t="array" ref="D6">MMS_Poultry_Methane_Equations.VEERG_4_6_1_1__5_VolatileSolidProduction_Source()</f>
        <v>VEERG 2026: 4.4.1.1, Equation (5)</v>
      </c>
    </row>
    <row r="7" spans="1:21" ht="20.100000000000001" customHeight="1" x14ac:dyDescent="0.25">
      <c r="A7" s="20" t="s">
        <v>1</v>
      </c>
      <c r="D7" s="13" t="s">
        <v>23</v>
      </c>
      <c r="E7" s="13" t="str" cm="1">
        <f t="array" aca="1" ref="E7" ca="1">Common_InputFunctions.Utility_DisplayFunctionName(D35)</f>
        <v>=MMS_Poultry_Methane_Equations.VEERG_4_6_1_1__5_VolatileSolidProduction</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MMS_Poultry_Methane_Equations.VEERG_4_6_1_1__5_VolatileSolidProduction_Variable()</f>
        <v>VS_jk</v>
      </c>
    </row>
    <row r="11" spans="1:21" ht="20.100000000000001" customHeight="1" x14ac:dyDescent="0.25">
      <c r="A11" s="19" t="s">
        <v>70</v>
      </c>
      <c r="D11" s="53" t="s">
        <v>16</v>
      </c>
      <c r="E11" s="54" t="str" cm="1">
        <f t="array" ref="E11">MMS_Poultry_Methane_Equations.VEERG_4_6_1_1__5_VolatileSolidProduction_Unit()</f>
        <v>kg VS/bird/day</v>
      </c>
    </row>
    <row r="12" spans="1:21" ht="20.100000000000001" customHeight="1" x14ac:dyDescent="0.25">
      <c r="A12" s="129" t="str">
        <f>HYPERLINK("#'4.6.1.1-2 Methane'!A1", "4.6.1.1-2 Methane")</f>
        <v>4.6.1.1-2 Methane</v>
      </c>
    </row>
    <row r="13" spans="1:21" ht="20.100000000000001" customHeight="1" x14ac:dyDescent="0.25">
      <c r="A13" s="17" t="str">
        <f>HYPERLINK("#'4.6.1.3-4 Direct N20'!A1", "4.6.1.3-4 Direct N2O")</f>
        <v>4.6.1.3-4 Direct N2O</v>
      </c>
      <c r="D13" s="141" t="str" cm="1">
        <f t="array" ref="D13:E15">_xlfn.CHOOSECOLS(MMS_Poultry_Methane_Equations.VEERG_4_6_1_1__5_VolatileSolidProduction_Arguments(),1,2)</f>
        <v>I_jk</v>
      </c>
      <c r="E13" s="141" t="str">
        <v>dry matter intake for each class and subclass</v>
      </c>
      <c r="F13" s="141"/>
      <c r="G13" s="141" t="str" cm="1">
        <f t="array" ref="G13:H15">_xlfn.CHOOSECOLS(MMS_Poultry_Methane_Equations.VEERG_4_6_1_1__5_VolatileSolidProduction_Arguments(),3,4)</f>
        <v>kg DM/bird/day</v>
      </c>
      <c r="H13" s="139" t="str">
        <v>Input</v>
      </c>
      <c r="I13" s="142" t="str" cm="1">
        <f t="array" aca="1" ref="I13" ca="1">HYPERLINK(Common_InputFunctions.Utility_SourceHyperlink($D$17), $D$17)</f>
        <v>M1_Table_I_j_k</v>
      </c>
    </row>
    <row r="14" spans="1:21" ht="20.100000000000001" customHeight="1" x14ac:dyDescent="0.25">
      <c r="A14" s="17" t="str">
        <f>HYPERLINK("#'4.6.1.5-6 Atmos Dep'!A1", "4.6.1.5-6 Atmospheric deposition")</f>
        <v>4.6.1.5-6 Atmospheric deposition</v>
      </c>
      <c r="D14" s="141" t="str">
        <v>DMD_jk</v>
      </c>
      <c r="E14" s="141" t="str">
        <v>dry matter digestibility for each class and subclass</v>
      </c>
      <c r="F14" s="141"/>
      <c r="G14" s="141" t="str">
        <v>fraction</v>
      </c>
      <c r="H14" s="139" t="str">
        <v>Input</v>
      </c>
      <c r="I14" s="142" t="str" cm="1">
        <f t="array" aca="1" ref="I14" ca="1">HYPERLINK(Common_InputFunctions.Utility_SourceHyperlink($D$22), $D$22)</f>
        <v>M1_Table_DMD_j_k</v>
      </c>
    </row>
    <row r="15" spans="1:21" ht="20.100000000000001" customHeight="1" x14ac:dyDescent="0.25">
      <c r="A15" s="17" t="str">
        <f>HYPERLINK("#'4.6.1.7-8 Leaching and runoff'!A1", "4.6.1.7-8 Leaching &amp; runoff")</f>
        <v>4.6.1.7-8 Leaching &amp; runoff</v>
      </c>
      <c r="D15" s="141" t="str">
        <v>A_j</v>
      </c>
      <c r="E15" s="141" t="str">
        <v>ash content of manure for each class and subclass</v>
      </c>
      <c r="F15" s="141"/>
      <c r="G15" s="141" t="str">
        <v>fraction</v>
      </c>
      <c r="H15" s="140" t="str">
        <v>Constant</v>
      </c>
      <c r="I15" s="142" t="str" cm="1">
        <f t="array" aca="1" ref="I15" ca="1">HYPERLINK(Common_InputFunctions.Utility_SourceHyperlink($D$32), $D$32)</f>
        <v>M1_Table_VS_j_k</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213</v>
      </c>
      <c r="N17" s="98" t="s">
        <v>214</v>
      </c>
    </row>
    <row r="18" spans="1:18" ht="20.100000000000001" customHeight="1" x14ac:dyDescent="0.25">
      <c r="A18" s="17" t="str">
        <f>HYPERLINK("#'4.6.1.12-13 Soil atmos dep'!A1", "4.6.1.12-13 Soil Atm. deposition")</f>
        <v>4.6.1.12-13 Soil Atm. deposition</v>
      </c>
      <c r="D18" s="97" t="s">
        <v>216</v>
      </c>
      <c r="N18" s="97" t="s">
        <v>215</v>
      </c>
    </row>
    <row r="19" spans="1:18" ht="20.100000000000001" customHeight="1" x14ac:dyDescent="0.25">
      <c r="A19" s="17" t="str">
        <f>HYPERLINK("#'4.6.1.14-15 Soil leach runoff'!A1", "4.6.1.14-15 Soil leach &amp; runoff")</f>
        <v>4.6.1.14-15 Soil leach &amp; runoff</v>
      </c>
      <c r="D19" s="112" t="s">
        <v>194</v>
      </c>
      <c r="E19" s="112" t="s">
        <v>195</v>
      </c>
      <c r="F19" s="112" t="s">
        <v>207</v>
      </c>
      <c r="G19" s="112" t="s">
        <v>208</v>
      </c>
      <c r="N19" s="112" t="s">
        <v>194</v>
      </c>
      <c r="O19" s="112" t="s">
        <v>195</v>
      </c>
      <c r="P19" s="112" t="s">
        <v>207</v>
      </c>
      <c r="Q19" s="112" t="s">
        <v>208</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217</v>
      </c>
      <c r="N22" s="98" t="s">
        <v>217</v>
      </c>
    </row>
    <row r="23" spans="1:18" ht="20.100000000000001" customHeight="1" x14ac:dyDescent="0.25">
      <c r="A23" s="17" t="str">
        <f>HYPERLINK("#'Constants - Livestock'!A1", "Constants - Livestock")</f>
        <v>Constants - Livestock</v>
      </c>
      <c r="D23" s="97" t="s">
        <v>98</v>
      </c>
      <c r="N23" s="97" t="s">
        <v>98</v>
      </c>
    </row>
    <row r="24" spans="1:18" ht="20.100000000000001" customHeight="1" x14ac:dyDescent="0.25">
      <c r="A24" s="17" t="str">
        <f>HYPERLINK("#'Constants - Common'!A1", "Constants - Common")</f>
        <v>Constants - Common</v>
      </c>
      <c r="D24" s="112" t="s">
        <v>194</v>
      </c>
      <c r="E24" s="112" t="s">
        <v>195</v>
      </c>
      <c r="F24" s="112" t="s">
        <v>207</v>
      </c>
      <c r="G24" s="112" t="s">
        <v>208</v>
      </c>
      <c r="N24" s="112" t="s">
        <v>194</v>
      </c>
      <c r="O24" s="112" t="s">
        <v>195</v>
      </c>
      <c r="P24" s="112" t="s">
        <v>207</v>
      </c>
      <c r="Q24" s="112" t="s">
        <v>208</v>
      </c>
    </row>
    <row r="25" spans="1:18" ht="20.100000000000001" customHeight="1" x14ac:dyDescent="0.25">
      <c r="A25" s="17"/>
      <c r="D25" s="52">
        <f>'Input - Poultry'!E17</f>
        <v>0.8</v>
      </c>
      <c r="E25" s="52">
        <f>'Input - Poultry'!F17</f>
        <v>0.8</v>
      </c>
      <c r="F25" s="52">
        <f>'Input - Poultry'!G17</f>
        <v>0.8</v>
      </c>
      <c r="G25" s="52">
        <f>'Input - Poultry'!H17</f>
        <v>0.8</v>
      </c>
      <c r="H25" s="2" t="str">
        <f>$G$14</f>
        <v>fraction</v>
      </c>
      <c r="N25" s="52">
        <f>'Input - Poultry'!E22</f>
        <v>0.8</v>
      </c>
      <c r="O25" s="52">
        <f>'Input - Poultry'!F22</f>
        <v>0.8</v>
      </c>
      <c r="P25" s="52">
        <f>'Input - Poultry'!G22</f>
        <v>0.8</v>
      </c>
      <c r="Q25" s="52">
        <f>'Input - Poultry'!H22</f>
        <v>0.8</v>
      </c>
      <c r="R25" s="2" t="str">
        <f>$G$14</f>
        <v>fraction</v>
      </c>
    </row>
    <row r="26" spans="1:18" ht="20.100000000000001" customHeight="1" x14ac:dyDescent="0.25"/>
    <row r="27" spans="1:18" ht="20.100000000000001" customHeight="1" x14ac:dyDescent="0.25">
      <c r="D27" s="98" t="s">
        <v>218</v>
      </c>
    </row>
    <row r="28" spans="1:18" ht="20.100000000000001" customHeight="1" x14ac:dyDescent="0.25">
      <c r="D28" s="97" t="s">
        <v>219</v>
      </c>
    </row>
    <row r="29" spans="1:18" ht="20.100000000000001" customHeight="1" x14ac:dyDescent="0.25">
      <c r="D29" s="51" t="s">
        <v>194</v>
      </c>
      <c r="E29" s="51" t="s">
        <v>195</v>
      </c>
      <c r="F29" s="51" t="s">
        <v>207</v>
      </c>
      <c r="G29" s="51" t="s">
        <v>208</v>
      </c>
    </row>
    <row r="30" spans="1:18" ht="20.100000000000001" customHeight="1" x14ac:dyDescent="0.25">
      <c r="D30" s="52">
        <f>'Constants - Poultry'!E13</f>
        <v>0.18</v>
      </c>
      <c r="E30" s="52">
        <f>'Constants - Poultry'!F13</f>
        <v>0.15</v>
      </c>
      <c r="F30" s="52">
        <f>'Constants - Poultry'!G13</f>
        <v>0.18</v>
      </c>
      <c r="G30" s="52">
        <f>'Constants - Poultry'!H13</f>
        <v>0.15</v>
      </c>
      <c r="H30" s="2" t="str">
        <f>$G$15</f>
        <v>fraction</v>
      </c>
    </row>
    <row r="31" spans="1:18" ht="20.100000000000001" customHeight="1" x14ac:dyDescent="0.25"/>
    <row r="32" spans="1:18" ht="20.100000000000001" customHeight="1" x14ac:dyDescent="0.25">
      <c r="D32" s="98" t="s">
        <v>220</v>
      </c>
      <c r="N32" s="98" t="s">
        <v>221</v>
      </c>
    </row>
    <row r="33" spans="3:21" ht="20.100000000000001" customHeight="1" x14ac:dyDescent="0.25">
      <c r="D33" s="97" t="s">
        <v>97</v>
      </c>
      <c r="N33" s="97" t="s">
        <v>99</v>
      </c>
    </row>
    <row r="34" spans="3:21" ht="20.100000000000001" customHeight="1" x14ac:dyDescent="0.25">
      <c r="D34" s="51" t="s">
        <v>194</v>
      </c>
      <c r="E34" s="51" t="s">
        <v>195</v>
      </c>
      <c r="F34" s="51" t="s">
        <v>207</v>
      </c>
      <c r="G34" s="51" t="s">
        <v>208</v>
      </c>
      <c r="N34" s="51" t="s">
        <v>194</v>
      </c>
      <c r="O34" s="51" t="s">
        <v>195</v>
      </c>
      <c r="P34" s="51" t="s">
        <v>207</v>
      </c>
      <c r="Q34" s="51" t="s">
        <v>208</v>
      </c>
    </row>
    <row r="35" spans="3:21" ht="20.100000000000001" customHeight="1" x14ac:dyDescent="0.25">
      <c r="D35" s="52" cm="1">
        <f t="array" ref="D35">MMS_Poultry_Methane_Equations.VEERG_4_6_1_1__5_VolatileSolidProduction(D20,D25,D30)</f>
        <v>1.4103999999999995E-2</v>
      </c>
      <c r="E35" s="52" cm="1">
        <f t="array" ref="E35">MMS_Poultry_Methane_Equations.VEERG_4_6_1_1__5_VolatileSolidProduction(E20,E25,E30)</f>
        <v>1.5809999999999994E-2</v>
      </c>
      <c r="F35" s="52" cm="1">
        <f t="array" ref="F35">MMS_Poultry_Methane_Equations.VEERG_4_6_1_1__5_VolatileSolidProduction(F20,F25,F30)</f>
        <v>1.6891999999999997E-2</v>
      </c>
      <c r="G35" s="52" cm="1">
        <f t="array" ref="G35">MMS_Poultry_Methane_Equations.VEERG_4_6_1_1__5_VolatileSolidProduction(G20,G25,G30)</f>
        <v>1.5809999999999994E-2</v>
      </c>
      <c r="H35" s="2" t="str">
        <f>$E$11</f>
        <v>kg VS/bird/day</v>
      </c>
      <c r="N35" s="52" cm="1">
        <f t="array" ref="N35">MMS_Poultry_Methane_Equations.VEERG_4_6_1_1__5_VolatileSolidProduction(N20,N25,D30)</f>
        <v>1.4103999999999995E-2</v>
      </c>
      <c r="O35" s="52" cm="1">
        <f t="array" ref="O35">MMS_Poultry_Methane_Equations.VEERG_4_6_1_1__5_VolatileSolidProduction(O20,O25,E30)</f>
        <v>1.5809999999999994E-2</v>
      </c>
      <c r="P35" s="52" cm="1">
        <f t="array" ref="P35">MMS_Poultry_Methane_Equations.VEERG_4_6_1_1__5_VolatileSolidProduction(P20,P25,F30)</f>
        <v>1.6891999999999997E-2</v>
      </c>
      <c r="Q35" s="52"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32"/>
      <c r="D37" s="132"/>
      <c r="E37" s="132"/>
      <c r="F37" s="132"/>
      <c r="G37" s="132"/>
      <c r="H37" s="132"/>
      <c r="I37" s="132"/>
      <c r="J37" s="132"/>
      <c r="K37" s="132"/>
      <c r="M37" s="132"/>
      <c r="N37" s="132"/>
      <c r="O37" s="132"/>
      <c r="P37" s="132"/>
      <c r="Q37" s="132"/>
      <c r="R37" s="132"/>
      <c r="S37" s="132"/>
      <c r="T37" s="132"/>
      <c r="U37" s="132"/>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5" t="str" cm="1">
        <f t="array" ref="D41:D43">MMS_Poultry_Methane_Equations.VEERG_4_6_1_1__2_Stage1MethaneProduction_Variation()</f>
        <v>VARIATION ON SOURCE:</v>
      </c>
    </row>
    <row r="42" spans="3:21" ht="20.100000000000001" customHeight="1" x14ac:dyDescent="0.25">
      <c r="D42" s="55" t="str">
        <v>Used mean annual temperature instead of temperature zone to determine MCF as MCF values are specific to temperature</v>
      </c>
    </row>
    <row r="43" spans="3:21" ht="20.100000000000001" customHeight="1" x14ac:dyDescent="0.25">
      <c r="D43" s="55" t="str">
        <v>Method 2: Used state based MCF values for 'Belt manure removal' and 'Manure stored in house' MMS as no temperature values exist in Table A.1.8.1</v>
      </c>
    </row>
    <row r="44" spans="3:21" ht="20.100000000000001" customHeight="1" x14ac:dyDescent="0.25">
      <c r="D44" s="13" t="s">
        <v>23</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3" t="s">
        <v>26</v>
      </c>
      <c r="E47" s="1" t="str" cm="1">
        <f t="array" ref="E47">MMS_Poultry_Methane_Equations.VEERG_4_6_1_1__2_Stage1MethaneProduction_Variable()</f>
        <v>M_jkmT1</v>
      </c>
    </row>
    <row r="48" spans="3:21" ht="20.100000000000001" customHeight="1" x14ac:dyDescent="0.25">
      <c r="D48" s="53" t="s">
        <v>16</v>
      </c>
      <c r="E48" s="54" t="str" cm="1">
        <f t="array" ref="E48">MMS_Poultry_Methane_Equations.VEERG_4_6_1_1__2_Stage1MethaneProduction_Unit()</f>
        <v>kg CH4/bird/day</v>
      </c>
    </row>
    <row r="49" spans="4:19" ht="20.100000000000001" customHeight="1" x14ac:dyDescent="0.25"/>
    <row r="50" spans="4:19" ht="20.100000000000001" customHeight="1" x14ac:dyDescent="0.25">
      <c r="D50" s="141" t="str" cm="1">
        <f t="array" ref="D50:E55">_xlfn.CHOOSECOLS(MMS_Poultry_Methane_Equations.VEERG_4_6_1_1__2_Stage1MethaneProduction_Arguments(),1,2)</f>
        <v>VS_jk</v>
      </c>
      <c r="E50" s="144" t="str">
        <v>volatile solid production poultry classes</v>
      </c>
      <c r="F50" s="143"/>
      <c r="G50" s="141" t="str" cm="1">
        <f t="array" ref="G50:H55">_xlfn.CHOOSECOLS(MMS_Poultry_Methane_Equations.VEERG_4_6_1_1__2_Stage1MethaneProduction_Arguments(),3,4)</f>
        <v>kg VS/bird/day</v>
      </c>
      <c r="H50" s="140" t="str">
        <v>Calculated from 4.6.1.1 (5)</v>
      </c>
      <c r="I50" s="142" t="str" cm="1">
        <f t="array" aca="1" ref="I50" ca="1">HYPERLINK(Common_InputFunctions.Utility_SourceHyperlink($D$32), $D$32)</f>
        <v>M1_Table_VS_j_k</v>
      </c>
      <c r="N50" s="141" t="str" cm="1">
        <f t="array" ref="N50:O55">_xlfn.CHOOSECOLS(MMS_Poultry_Methane_Equations.VEERG_4_6_1_1__2_Stage1MethaneProduction_Arguments_Method2(),1,2)</f>
        <v>VS_jk</v>
      </c>
      <c r="O50" s="144" t="str">
        <v>volatile solid production poultry classes</v>
      </c>
      <c r="P50" s="143"/>
      <c r="Q50" s="141" t="str" cm="1">
        <f t="array" ref="Q50:R55">_xlfn.CHOOSECOLS(MMS_Poultry_Methane_Equations.VEERG_4_6_1_1__2_Stage1MethaneProduction_Arguments_Method2(),3,4)</f>
        <v>kg VS/bird/day</v>
      </c>
      <c r="R50" s="140" t="str">
        <v>Calculated from 4.6.1.1 (5)</v>
      </c>
      <c r="S50" s="142" t="str" cm="1">
        <f t="array" aca="1" ref="S50" ca="1">HYPERLINK(Common_InputFunctions.Utility_SourceHyperlink($D$32), $D$32)</f>
        <v>M1_Table_VS_j_k</v>
      </c>
    </row>
    <row r="51" spans="4:19" ht="20.100000000000001" customHeight="1" x14ac:dyDescent="0.25">
      <c r="D51" s="141" t="str">
        <v>BO_j</v>
      </c>
      <c r="E51" s="144" t="str">
        <v>emissions potential per class</v>
      </c>
      <c r="F51" s="143"/>
      <c r="G51" s="141" t="str">
        <v>m3 CH4/kg VS</v>
      </c>
      <c r="H51" s="140" t="str">
        <v>Constant</v>
      </c>
      <c r="I51" s="142" t="str" cm="1">
        <f t="array" aca="1" ref="I51" ca="1">HYPERLINK(Common_InputFunctions.Utility_SourceHyperlink($D$65), $D$65)</f>
        <v>Table_B_0_j</v>
      </c>
      <c r="N51" s="141" t="str">
        <v>BO_j</v>
      </c>
      <c r="O51" s="144" t="str">
        <v>emissions potential per class</v>
      </c>
      <c r="P51" s="143"/>
      <c r="Q51" s="141" t="str">
        <v>m3 CH4/kg VS</v>
      </c>
      <c r="R51" s="140" t="str">
        <v>Constant</v>
      </c>
      <c r="S51" s="142" t="str" cm="1">
        <f t="array" aca="1" ref="S51" ca="1">HYPERLINK(Common_InputFunctions.Utility_SourceHyperlink($D$65), $D$65)</f>
        <v>Table_B_0_j</v>
      </c>
    </row>
    <row r="52" spans="4:19" ht="20.100000000000001" customHeight="1" x14ac:dyDescent="0.25">
      <c r="D52" s="141" t="str">
        <v>MMS_jmT1</v>
      </c>
      <c r="E52" s="144" t="str">
        <v>fraction of manure in each primary system</v>
      </c>
      <c r="F52" s="143"/>
      <c r="G52" s="141" t="str">
        <v>fraction</v>
      </c>
      <c r="H52" s="139" t="str">
        <v>Input</v>
      </c>
      <c r="I52" s="142" t="str" cm="1">
        <f t="array" aca="1" ref="I52" ca="1">HYPERLINK(Common_InputFunctions.Utility_SourceHyperlink($D$57), $D$57)</f>
        <v>Table_MMS_j_m_T-1</v>
      </c>
      <c r="N52" s="141" t="str">
        <v>MMS_jmT1</v>
      </c>
      <c r="O52" s="144" t="str">
        <v>fraction of manure in each primary system</v>
      </c>
      <c r="P52" s="143"/>
      <c r="Q52" s="141" t="str">
        <v>fraction</v>
      </c>
      <c r="R52" s="139" t="str">
        <v>Input</v>
      </c>
      <c r="S52" s="142" t="str" cm="1">
        <f t="array" aca="1" ref="S52" ca="1">HYPERLINK(Common_InputFunctions.Utility_SourceHyperlink($D$57), $D$57)</f>
        <v>Table_MMS_j_m_T-1</v>
      </c>
    </row>
    <row r="53" spans="4:19" ht="20.100000000000001" customHeight="1" x14ac:dyDescent="0.25">
      <c r="D53" s="141" t="str">
        <v>MCF_im</v>
      </c>
      <c r="E53" s="144" t="str">
        <v>methane conversion factor for temperature zone and MMS</v>
      </c>
      <c r="F53" s="143"/>
      <c r="G53" s="141" t="str">
        <v>fraction</v>
      </c>
      <c r="H53" s="140" t="str">
        <v>Constant</v>
      </c>
      <c r="I53" s="142" t="str" cm="1">
        <f t="array" aca="1" ref="I53" ca="1">HYPERLINK(Common_InputFunctions.Utility_SourceHyperlink($D$70), $D$70)</f>
        <v>Table_MCF_i_m</v>
      </c>
      <c r="N53" s="141" t="str">
        <v>MCF_im</v>
      </c>
      <c r="O53" s="144" t="str">
        <v>methane conversion factor for temperature zone and MMS</v>
      </c>
      <c r="P53" s="143"/>
      <c r="Q53" s="141" t="str">
        <v>fraction</v>
      </c>
      <c r="R53" s="140" t="str">
        <v>Constant</v>
      </c>
      <c r="S53" s="142" t="str" cm="1">
        <f t="array" aca="1" ref="S53" ca="1">HYPERLINK(Common_InputFunctions.Utility_SourceHyperlink($D$70), $D$70)</f>
        <v>Table_MCF_i_m</v>
      </c>
    </row>
    <row r="54" spans="4:19" ht="20.100000000000001" customHeight="1" x14ac:dyDescent="0.25">
      <c r="D54" s="141" t="str">
        <v>rho</v>
      </c>
      <c r="E54" s="144" t="str">
        <v>density of methane</v>
      </c>
      <c r="F54" s="143"/>
      <c r="G54" s="141" t="str">
        <v>kg/m3</v>
      </c>
      <c r="H54" s="140" t="str">
        <v>Constant</v>
      </c>
      <c r="I54" s="141">
        <f>'Constants - Common'!$D$175</f>
        <v>0.6784</v>
      </c>
      <c r="N54" s="141" t="str">
        <v>rho</v>
      </c>
      <c r="O54" s="144" t="str">
        <v>density of methane</v>
      </c>
      <c r="P54" s="143"/>
      <c r="Q54" s="141" t="str">
        <v>kg/m3</v>
      </c>
      <c r="R54" s="140" t="str">
        <v>Constant</v>
      </c>
      <c r="S54" s="141">
        <f>'Constants - Common'!$D$175</f>
        <v>0.6784</v>
      </c>
    </row>
    <row r="55" spans="4:19" ht="20.100000000000001" customHeight="1" x14ac:dyDescent="0.25">
      <c r="D55" s="141" t="str">
        <v>i</v>
      </c>
      <c r="E55" s="144" t="str">
        <v>state</v>
      </c>
      <c r="F55" s="143"/>
      <c r="G55" s="141" t="str">
        <v/>
      </c>
      <c r="H55" s="139" t="str">
        <v>Input</v>
      </c>
      <c r="I55" s="141" t="str">
        <f>'Input - Site'!$E$21</f>
        <v>Western Australia</v>
      </c>
      <c r="N55" s="141" t="str">
        <v>i</v>
      </c>
      <c r="O55" s="144" t="str">
        <v>mean annual temperature</v>
      </c>
      <c r="P55" s="143"/>
      <c r="Q55" s="141" t="str">
        <v>°C</v>
      </c>
      <c r="R55" s="139" t="str">
        <v>Input</v>
      </c>
      <c r="S55" s="141">
        <f>'Input - Site'!$E$25</f>
        <v>18</v>
      </c>
    </row>
    <row r="56" spans="4:19" ht="20.100000000000001" customHeight="1" x14ac:dyDescent="0.25"/>
    <row r="57" spans="4:19" ht="20.100000000000001" customHeight="1" x14ac:dyDescent="0.25">
      <c r="D57" s="98" t="s">
        <v>151</v>
      </c>
    </row>
    <row r="58" spans="4:19" ht="20.100000000000001" customHeight="1" x14ac:dyDescent="0.25">
      <c r="D58" s="97" t="s">
        <v>226</v>
      </c>
    </row>
    <row r="59" spans="4:19" ht="20.100000000000001" customHeight="1" x14ac:dyDescent="0.25">
      <c r="D59" s="112" t="s">
        <v>133</v>
      </c>
      <c r="E59" s="112" t="s">
        <v>194</v>
      </c>
      <c r="F59" s="112" t="s">
        <v>195</v>
      </c>
      <c r="G59" s="112" t="s">
        <v>207</v>
      </c>
      <c r="H59" s="112" t="s">
        <v>208</v>
      </c>
    </row>
    <row r="60" spans="4:19" ht="20.100000000000001" customHeight="1" x14ac:dyDescent="0.25">
      <c r="D60" s="52" t="str">
        <f>'Input - Poultry'!$D$30</f>
        <v>Poultry manure with bedding</v>
      </c>
      <c r="E60" s="52">
        <f>'Input - Poultry'!E30</f>
        <v>0.3</v>
      </c>
      <c r="F60" s="52">
        <f>'Input - Poultry'!F30</f>
        <v>0.3</v>
      </c>
      <c r="G60" s="52">
        <f>'Input - Poultry'!G30</f>
        <v>0.3</v>
      </c>
      <c r="H60" s="52">
        <f>'Input - Poultry'!H30</f>
        <v>0.3</v>
      </c>
      <c r="I60" s="2" t="str">
        <f>$G$52</f>
        <v>fraction</v>
      </c>
    </row>
    <row r="61" spans="4:19" ht="20.100000000000001" customHeight="1" x14ac:dyDescent="0.25">
      <c r="D61" s="52" t="str">
        <f>'Input - Poultry'!$D$31</f>
        <v>Belt manure removal</v>
      </c>
      <c r="E61" s="52">
        <f>'Input - Poultry'!E31</f>
        <v>0.3</v>
      </c>
      <c r="F61" s="52">
        <f>'Input - Poultry'!F31</f>
        <v>0.3</v>
      </c>
      <c r="G61" s="52">
        <f>'Input - Poultry'!G31</f>
        <v>0.3</v>
      </c>
      <c r="H61" s="52">
        <f>'Input - Poultry'!H31</f>
        <v>0.3</v>
      </c>
      <c r="I61" s="2"/>
    </row>
    <row r="62" spans="4:19" ht="20.100000000000001" customHeight="1" x14ac:dyDescent="0.25">
      <c r="D62" s="52" t="str">
        <f>'Input - Poultry'!$D$32</f>
        <v>Manure stored in house</v>
      </c>
      <c r="E62" s="52">
        <f>'Input - Poultry'!E32</f>
        <v>0.3</v>
      </c>
      <c r="F62" s="52">
        <f>'Input - Poultry'!F32</f>
        <v>0.3</v>
      </c>
      <c r="G62" s="52">
        <f>'Input - Poultry'!G32</f>
        <v>0.3</v>
      </c>
      <c r="H62" s="52">
        <f>'Input - Poultry'!H32</f>
        <v>0.3</v>
      </c>
      <c r="I62" s="2"/>
    </row>
    <row r="63" spans="4:19" ht="20.100000000000001" customHeight="1" x14ac:dyDescent="0.25">
      <c r="D63" s="52" t="str">
        <f>'Input - Poultry'!$D$33</f>
        <v>Pasture range and paddock</v>
      </c>
      <c r="E63" s="52">
        <f>'Input - Poultry'!E33</f>
        <v>0.1</v>
      </c>
      <c r="F63" s="52">
        <f>'Input - Poultry'!F33</f>
        <v>0.1</v>
      </c>
      <c r="G63" s="52">
        <f>'Input - Poultry'!G33</f>
        <v>0.1</v>
      </c>
      <c r="H63" s="52">
        <f>'Input - Poultry'!H33</f>
        <v>0.1</v>
      </c>
      <c r="I63" s="2"/>
    </row>
    <row r="64" spans="4:19" ht="20.100000000000001" customHeight="1" x14ac:dyDescent="0.25"/>
    <row r="65" spans="4:16" ht="20.100000000000001" customHeight="1" x14ac:dyDescent="0.25">
      <c r="D65" s="98" t="s">
        <v>222</v>
      </c>
      <c r="G65" s="13"/>
    </row>
    <row r="66" spans="4:16" ht="20.100000000000001" customHeight="1" x14ac:dyDescent="0.25">
      <c r="D66" s="97" t="s">
        <v>223</v>
      </c>
    </row>
    <row r="67" spans="4:16" ht="20.100000000000001" customHeight="1" x14ac:dyDescent="0.25">
      <c r="D67" s="51" t="s">
        <v>194</v>
      </c>
      <c r="E67" s="51" t="s">
        <v>195</v>
      </c>
      <c r="F67" s="51" t="s">
        <v>207</v>
      </c>
      <c r="G67" s="51" t="s">
        <v>208</v>
      </c>
    </row>
    <row r="68" spans="4:16" ht="20.100000000000001" customHeight="1" x14ac:dyDescent="0.25">
      <c r="D68" s="52">
        <f>'Constants - Poultry'!$E$20</f>
        <v>0.39</v>
      </c>
      <c r="E68" s="52">
        <f>'Constants - Poultry'!$E$21</f>
        <v>0.36</v>
      </c>
      <c r="F68" s="52">
        <f>'Constants - Poultry'!$E$21</f>
        <v>0.36</v>
      </c>
      <c r="G68" s="52">
        <f>'Constants - Poultry'!$E$21</f>
        <v>0.36</v>
      </c>
      <c r="H68" s="2" t="str">
        <f>$G$51</f>
        <v>m3 CH4/kg VS</v>
      </c>
    </row>
    <row r="69" spans="4:16" ht="20.100000000000001" customHeight="1" x14ac:dyDescent="0.25"/>
    <row r="70" spans="4:16" ht="20.100000000000001" customHeight="1" x14ac:dyDescent="0.25">
      <c r="D70" s="114" t="s">
        <v>129</v>
      </c>
      <c r="N70" s="114" t="s">
        <v>129</v>
      </c>
    </row>
    <row r="71" spans="4:16" ht="20.100000000000001" customHeight="1" x14ac:dyDescent="0.25">
      <c r="D71" s="115" t="s">
        <v>130</v>
      </c>
      <c r="N71" s="115" t="s">
        <v>130</v>
      </c>
    </row>
    <row r="72" spans="4:16" ht="20.100000000000001" customHeight="1" x14ac:dyDescent="0.25">
      <c r="D72" s="51" t="s">
        <v>64</v>
      </c>
      <c r="E72" s="51" t="s">
        <v>91</v>
      </c>
      <c r="N72" s="51" t="s">
        <v>64</v>
      </c>
      <c r="O72" s="51" t="s">
        <v>91</v>
      </c>
    </row>
    <row r="73" spans="4:16" ht="20.100000000000001" customHeight="1" x14ac:dyDescent="0.25">
      <c r="D73" s="57" t="str">
        <f>'Constants - Poultry'!$D$29</f>
        <v>Poultry manure with bedding</v>
      </c>
      <c r="E73" s="52">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7" t="str">
        <f>'Constants - Poultry'!$D$29</f>
        <v>Poultry manure with bedding</v>
      </c>
      <c r="O73" s="52">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7" t="str">
        <f>'Constants - Poultry'!$D$30</f>
        <v>Belt manure removal</v>
      </c>
      <c r="E74" s="52">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7" t="str">
        <f>'Constants - Poultry'!$D$30</f>
        <v>Belt manure removal</v>
      </c>
      <c r="O74" s="52" t="s">
        <v>354</v>
      </c>
    </row>
    <row r="75" spans="4:16" ht="20.100000000000001" customHeight="1" x14ac:dyDescent="0.25">
      <c r="D75" s="57" t="str">
        <f>'Constants - Poultry'!$D$31</f>
        <v>Manure stored in house</v>
      </c>
      <c r="E75" s="52">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7" t="str">
        <f>'Constants - Poultry'!$D$31</f>
        <v>Manure stored in house</v>
      </c>
      <c r="O75" s="52" t="s">
        <v>354</v>
      </c>
    </row>
    <row r="76" spans="4:16" ht="20.100000000000001" customHeight="1" x14ac:dyDescent="0.25">
      <c r="D76" s="57" t="str">
        <f>'Constants - Poultry'!$D$32</f>
        <v>Pasture range and paddock</v>
      </c>
      <c r="E76" s="52">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7" t="str">
        <f>'Constants - Poultry'!$D$32</f>
        <v>Pasture range and paddock</v>
      </c>
      <c r="O76" s="52">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7" t="str">
        <f>'Constants - Poultry'!$D$33</f>
        <v>Solid storage</v>
      </c>
      <c r="E77" s="52">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7" t="str">
        <f>'Constants - Poultry'!$D$33</f>
        <v>Solid storage</v>
      </c>
      <c r="O77" s="52">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7" t="str">
        <f>'Constants - Poultry'!$D$34</f>
        <v>Composting (passive windrow)</v>
      </c>
      <c r="E78" s="52">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7" t="str">
        <f>'Constants - Poultry'!$D$34</f>
        <v>Composting (passive windrow)</v>
      </c>
      <c r="O78" s="52">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7" t="str">
        <f>'Constants - Poultry'!$D$35</f>
        <v>Digester / covered lagoons</v>
      </c>
      <c r="E79" s="52">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7" t="str">
        <f>'Constants - Poultry'!$D$35</f>
        <v>Digester / covered lagoons</v>
      </c>
      <c r="O79" s="52">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7" t="str">
        <f>'Constants - Poultry'!$D$36</f>
        <v>Direct processing</v>
      </c>
      <c r="E80" s="52">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7" t="str">
        <f>'Constants - Poultry'!$D$36</f>
        <v>Direct processing</v>
      </c>
      <c r="O80" s="52">
        <f>Common_InputFunctions.Common_GetMCFTemperatureZone($S$54,N80,Table_SourceData_Common_MCFTemperatureZone[MAT (ºC)],Table_SourceData_Common_MCFTemperatureZone[#Headers],Table_SourceData_Common_MCFTemperatureZone[])</f>
        <v>0</v>
      </c>
    </row>
    <row r="81" spans="1:21" ht="20.100000000000001" customHeight="1" x14ac:dyDescent="0.25">
      <c r="D81" s="57" t="str">
        <f>'Constants - Poultry'!$D$37</f>
        <v>Direct application</v>
      </c>
      <c r="E81" s="52">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7" t="str">
        <f>'Constants - Poultry'!$D$37</f>
        <v>Direct application</v>
      </c>
      <c r="O81" s="52">
        <f>Common_InputFunctions.Common_GetMCFTemperatureZone($S$54,N81,Table_SourceData_Common_MCFTemperatureZone[MAT (ºC)],Table_SourceData_Common_MCFTemperatureZone[#Headers],Table_SourceData_Common_MCFTemperatureZone[])</f>
        <v>0</v>
      </c>
    </row>
    <row r="82" spans="1:21" ht="20.100000000000001" customHeight="1" x14ac:dyDescent="0.25"/>
    <row r="83" spans="1:21" ht="20.100000000000001" customHeight="1" x14ac:dyDescent="0.25">
      <c r="D83" s="98" t="s">
        <v>224</v>
      </c>
      <c r="N83" s="98" t="s">
        <v>224</v>
      </c>
    </row>
    <row r="84" spans="1:21" ht="20.100000000000001" customHeight="1" x14ac:dyDescent="0.25">
      <c r="D84" s="97" t="s">
        <v>225</v>
      </c>
      <c r="N84" s="97" t="s">
        <v>225</v>
      </c>
    </row>
    <row r="85" spans="1:21" ht="20.100000000000001" customHeight="1" x14ac:dyDescent="0.25">
      <c r="D85" s="51" t="s">
        <v>133</v>
      </c>
      <c r="E85" s="51" t="s">
        <v>194</v>
      </c>
      <c r="F85" s="51" t="s">
        <v>195</v>
      </c>
      <c r="G85" s="51" t="s">
        <v>207</v>
      </c>
      <c r="H85" s="51" t="s">
        <v>208</v>
      </c>
      <c r="N85" s="51" t="s">
        <v>133</v>
      </c>
      <c r="O85" s="51" t="s">
        <v>194</v>
      </c>
      <c r="P85" s="51" t="s">
        <v>195</v>
      </c>
      <c r="Q85" s="51" t="s">
        <v>207</v>
      </c>
      <c r="R85" s="51" t="s">
        <v>208</v>
      </c>
    </row>
    <row r="86" spans="1:21" ht="20.100000000000001" customHeight="1" x14ac:dyDescent="0.25">
      <c r="D86" s="52" t="str">
        <f>'Input - Poultry'!$D$30</f>
        <v>Poultry manure with bedding</v>
      </c>
      <c r="E86" s="52" cm="1">
        <f t="array" ref="E86">MMS_Poultry_Methane_Equations.VEERG_4_6_1_1__2_Stage1MethaneProduction(D$35,D$68,E60,_xlfn.XLOOKUP($D86,$D$73:$D$81,$E$73:$E$81),$I$54)</f>
        <v>1.6792109567999992E-5</v>
      </c>
      <c r="F86" s="52" cm="1">
        <f t="array" ref="F86">MMS_Poultry_Methane_Equations.VEERG_4_6_1_1__2_Stage1MethaneProduction(E$35,E$68,F60,_xlfn.XLOOKUP($D86,$D$73:$D$81,$E$73:$E$81),$I$54)</f>
        <v>1.7375316479999991E-5</v>
      </c>
      <c r="G86" s="52" cm="1">
        <f t="array" ref="G86">MMS_Poultry_Methane_Equations.VEERG_4_6_1_1__2_Stage1MethaneProduction(F$35,F$68,G60,_xlfn.XLOOKUP($D86,$D$73:$D$81,$E$73:$E$81),$I$54)</f>
        <v>1.8564443135999995E-5</v>
      </c>
      <c r="H86" s="52" cm="1">
        <f t="array" ref="H86">MMS_Poultry_Methane_Equations.VEERG_4_6_1_1__2_Stage1MethaneProduction(G$35,G$68,H60,_xlfn.XLOOKUP($D86,$D$73:$D$81,$E$73:$E$81),$I$54)</f>
        <v>1.7375316479999991E-5</v>
      </c>
      <c r="I86" s="2" t="str">
        <f>$E$48</f>
        <v>kg CH4/bird/day</v>
      </c>
      <c r="N86" s="52" t="str">
        <f>'Input - Poultry'!$D$30</f>
        <v>Poultry manure with bedding</v>
      </c>
      <c r="O86" s="52" cm="1">
        <f t="array" ref="O86">MMS_Poultry_Methane_Equations.VEERG_4_6_1_1__2_Stage1MethaneProduction(N$35,D$68,E60,_xlfn.XLOOKUP($N86,$N$73:$N$81,$O$73:$O$81),$I$54)</f>
        <v>1.6792109567999992E-5</v>
      </c>
      <c r="P86" s="52" cm="1">
        <f t="array" ref="P86">MMS_Poultry_Methane_Equations.VEERG_4_6_1_1__2_Stage1MethaneProduction(O$35,E$68,F60,_xlfn.XLOOKUP($N86,$N$73:$N$81,$O$73:$O$81),$I$54)</f>
        <v>1.7375316479999991E-5</v>
      </c>
      <c r="Q86" s="52" cm="1">
        <f t="array" ref="Q86">MMS_Poultry_Methane_Equations.VEERG_4_6_1_1__2_Stage1MethaneProduction(P$35,F$68,G60,_xlfn.XLOOKUP($N86,$N$73:$N$81,$O$73:$O$81),$I$54)</f>
        <v>1.8564443135999995E-5</v>
      </c>
      <c r="R86" s="52" cm="1">
        <f t="array" ref="R86">MMS_Poultry_Methane_Equations.VEERG_4_6_1_1__2_Stage1MethaneProduction(Q$35,G$68,H60,_xlfn.XLOOKUP($N86,$N$73:$N$81,$O$73:$O$81),$I$54)</f>
        <v>1.7375316479999991E-5</v>
      </c>
      <c r="S86" s="2" t="str">
        <f>$E$48</f>
        <v>kg CH4/bird/day</v>
      </c>
    </row>
    <row r="87" spans="1:21" ht="20.100000000000001" customHeight="1" x14ac:dyDescent="0.25">
      <c r="D87" s="52" t="str">
        <f>'Input - Poultry'!$D$31</f>
        <v>Belt manure removal</v>
      </c>
      <c r="E87" s="52" cm="1">
        <f t="array" ref="E87">MMS_Poultry_Methane_Equations.VEERG_4_6_1_1__2_Stage1MethaneProduction(D$35,D$68,E61,_xlfn.XLOOKUP($D87,$D$73:$D$81,$E$73:$E$81),$I$54)</f>
        <v>1.6792109567999992E-5</v>
      </c>
      <c r="F87" s="52" cm="1">
        <f t="array" ref="F87">MMS_Poultry_Methane_Equations.VEERG_4_6_1_1__2_Stage1MethaneProduction(E$35,E$68,F61,_xlfn.XLOOKUP($D87,$D$73:$D$81,$E$73:$E$81),$I$54)</f>
        <v>1.7375316479999991E-5</v>
      </c>
      <c r="G87" s="52" cm="1">
        <f t="array" ref="G87">MMS_Poultry_Methane_Equations.VEERG_4_6_1_1__2_Stage1MethaneProduction(F$35,F$68,G61,_xlfn.XLOOKUP($D87,$D$73:$D$81,$E$73:$E$81),$I$54)</f>
        <v>1.8564443135999995E-5</v>
      </c>
      <c r="H87" s="52" cm="1">
        <f t="array" ref="H87">MMS_Poultry_Methane_Equations.VEERG_4_6_1_1__2_Stage1MethaneProduction(G$35,G$68,H61,_xlfn.XLOOKUP($D87,$D$73:$D$81,$E$73:$E$81),$I$54)</f>
        <v>1.7375316479999991E-5</v>
      </c>
      <c r="I87" s="2"/>
      <c r="N87" s="52" t="str">
        <f>'Input - Poultry'!$D$31</f>
        <v>Belt manure removal</v>
      </c>
      <c r="O87" s="52" cm="1">
        <f t="array" ref="O87">MMS_Poultry_Methane_Equations.VEERG_4_6_1_1__2_Stage1MethaneProduction(N$35,D$68,E61,_xlfn.XLOOKUP($N87,$D$73:$D$81,$E$73:$E$81),$I$54)</f>
        <v>1.6792109567999992E-5</v>
      </c>
      <c r="P87" s="52" cm="1">
        <f t="array" ref="P87">MMS_Poultry_Methane_Equations.VEERG_4_6_1_1__2_Stage1MethaneProduction(O$35,E$68,F61,_xlfn.XLOOKUP($N87,$D$73:$D$81,$E$73:$E$81),$I$54)</f>
        <v>1.7375316479999991E-5</v>
      </c>
      <c r="Q87" s="52" cm="1">
        <f t="array" ref="Q87">MMS_Poultry_Methane_Equations.VEERG_4_6_1_1__2_Stage1MethaneProduction(P$35,F$68,G61,_xlfn.XLOOKUP($N87,$D$73:$D$81,$E$73:$E$81),$I$54)</f>
        <v>1.8564443135999995E-5</v>
      </c>
      <c r="R87" s="52" cm="1">
        <f t="array" ref="R87">MMS_Poultry_Methane_Equations.VEERG_4_6_1_1__2_Stage1MethaneProduction(Q$35,G$68,H61,_xlfn.XLOOKUP($N87,$D$73:$D$81,$E$73:$E$81),$I$54)</f>
        <v>1.7375316479999991E-5</v>
      </c>
      <c r="S87" s="2"/>
    </row>
    <row r="88" spans="1:21" ht="20.100000000000001" customHeight="1" x14ac:dyDescent="0.25">
      <c r="A88" s="145" t="str">
        <f>HYPERLINK("#A1", "▲ Back to top")</f>
        <v>▲ Back to top</v>
      </c>
      <c r="D88" s="52" t="str">
        <f>'Input - Poultry'!$D$32</f>
        <v>Manure stored in house</v>
      </c>
      <c r="E88" s="52" cm="1">
        <f t="array" ref="E88">MMS_Poultry_Methane_Equations.VEERG_4_6_1_1__2_Stage1MethaneProduction(D$35,D$68,E62,_xlfn.XLOOKUP($D88,$D$73:$D$81,$E$73:$E$81),$I$54)</f>
        <v>1.6792109567999992E-5</v>
      </c>
      <c r="F88" s="52" cm="1">
        <f t="array" ref="F88">MMS_Poultry_Methane_Equations.VEERG_4_6_1_1__2_Stage1MethaneProduction(E$35,E$68,F62,_xlfn.XLOOKUP($D88,$D$73:$D$81,$E$73:$E$81),$I$54)</f>
        <v>1.7375316479999991E-5</v>
      </c>
      <c r="G88" s="52" cm="1">
        <f t="array" ref="G88">MMS_Poultry_Methane_Equations.VEERG_4_6_1_1__2_Stage1MethaneProduction(F$35,F$68,G62,_xlfn.XLOOKUP($D88,$D$73:$D$81,$E$73:$E$81),$I$54)</f>
        <v>1.8564443135999995E-5</v>
      </c>
      <c r="H88" s="52" cm="1">
        <f t="array" ref="H88">MMS_Poultry_Methane_Equations.VEERG_4_6_1_1__2_Stage1MethaneProduction(G$35,G$68,H62,_xlfn.XLOOKUP($D88,$D$73:$D$81,$E$73:$E$81),$I$54)</f>
        <v>1.7375316479999991E-5</v>
      </c>
      <c r="I88" s="2"/>
      <c r="N88" s="52" t="str">
        <f>'Input - Poultry'!$D$32</f>
        <v>Manure stored in house</v>
      </c>
      <c r="O88" s="52" cm="1">
        <f t="array" ref="O88">MMS_Poultry_Methane_Equations.VEERG_4_6_1_1__2_Stage1MethaneProduction(N$35,D$68,E62,_xlfn.XLOOKUP($N88,$D$73:$D$81,$E$73:$E$81),$I$54)</f>
        <v>1.6792109567999992E-5</v>
      </c>
      <c r="P88" s="52" cm="1">
        <f t="array" ref="P88">MMS_Poultry_Methane_Equations.VEERG_4_6_1_1__2_Stage1MethaneProduction(O$35,E$68,F62,_xlfn.XLOOKUP($N88,$D$73:$D$81,$E$73:$E$81),$I$54)</f>
        <v>1.7375316479999991E-5</v>
      </c>
      <c r="Q88" s="52" cm="1">
        <f t="array" ref="Q88">MMS_Poultry_Methane_Equations.VEERG_4_6_1_1__2_Stage1MethaneProduction(P$35,F$68,G62,_xlfn.XLOOKUP($N88,$D$73:$D$81,$E$73:$E$81),$I$54)</f>
        <v>1.8564443135999995E-5</v>
      </c>
      <c r="R88" s="52" cm="1">
        <f t="array" ref="R88">MMS_Poultry_Methane_Equations.VEERG_4_6_1_1__2_Stage1MethaneProduction(Q$35,G$68,H62,_xlfn.XLOOKUP($N88,$D$73:$D$81,$E$73:$E$81),$I$54)</f>
        <v>1.7375316479999991E-5</v>
      </c>
      <c r="S88" s="2"/>
    </row>
    <row r="89" spans="1:21" ht="20.100000000000001" customHeight="1" x14ac:dyDescent="0.25">
      <c r="D89" s="52" t="str">
        <f>'Input - Poultry'!$D$33</f>
        <v>Pasture range and paddock</v>
      </c>
      <c r="E89" s="52" cm="1">
        <f t="array" ref="E89">MMS_Poultry_Methane_Equations.VEERG_4_6_1_1__2_Stage1MethaneProduction(D$35,D$68,E63,_xlfn.XLOOKUP($D89,$D$73:$D$81,$E$73:$E$81),$I$54)</f>
        <v>3.7315799039999991E-6</v>
      </c>
      <c r="F89" s="52" cm="1">
        <f t="array" ref="F89">MMS_Poultry_Methane_Equations.VEERG_4_6_1_1__2_Stage1MethaneProduction(E$35,E$68,F63,_xlfn.XLOOKUP($D89,$D$73:$D$81,$E$73:$E$81),$I$54)</f>
        <v>3.8611814399999991E-6</v>
      </c>
      <c r="G89" s="52" cm="1">
        <f t="array" ref="G89">MMS_Poultry_Methane_Equations.VEERG_4_6_1_1__2_Stage1MethaneProduction(F$35,F$68,G63,_xlfn.XLOOKUP($D89,$D$73:$D$81,$E$73:$E$81),$I$54)</f>
        <v>4.1254318079999997E-6</v>
      </c>
      <c r="H89" s="52" cm="1">
        <f t="array" ref="H89">MMS_Poultry_Methane_Equations.VEERG_4_6_1_1__2_Stage1MethaneProduction(G$35,G$68,H63,_xlfn.XLOOKUP($D89,$D$73:$D$81,$E$73:$E$81),$I$54)</f>
        <v>3.8611814399999991E-6</v>
      </c>
      <c r="I89" s="2"/>
      <c r="N89" s="52" t="str">
        <f>'Input - Poultry'!$D$33</f>
        <v>Pasture range and paddock</v>
      </c>
      <c r="O89" s="52" cm="1">
        <f t="array" ref="O89">MMS_Poultry_Methane_Equations.VEERG_4_6_1_1__2_Stage1MethaneProduction(N$35,D$68,E63,_xlfn.XLOOKUP($N89,$N$73:$N$81,$O$73:$O$81),$I$54)</f>
        <v>1.7538425548799995E-6</v>
      </c>
      <c r="P89" s="52" cm="1">
        <f t="array" ref="P89">MMS_Poultry_Methane_Equations.VEERG_4_6_1_1__2_Stage1MethaneProduction(O$35,E$68,F63,_xlfn.XLOOKUP($N89,$N$73:$N$81,$O$73:$O$81),$I$54)</f>
        <v>1.8147552767999997E-6</v>
      </c>
      <c r="Q89" s="52" cm="1">
        <f t="array" ref="Q89">MMS_Poultry_Methane_Equations.VEERG_4_6_1_1__2_Stage1MethaneProduction(P$35,F$68,G63,_xlfn.XLOOKUP($N89,$N$73:$N$81,$O$73:$O$81),$I$54)</f>
        <v>1.9389529497599998E-6</v>
      </c>
      <c r="R89" s="52" cm="1">
        <f t="array" ref="R89">MMS_Poultry_Methane_Equations.VEERG_4_6_1_1__2_Stage1MethaneProduction(Q$35,G$68,H63,_xlfn.XLOOKUP($N89,$N$73:$N$81,$O$73:$O$81),$I$54)</f>
        <v>1.8147552767999997E-6</v>
      </c>
      <c r="S89" s="2"/>
    </row>
    <row r="90" spans="1:21" ht="20.100000000000001" customHeight="1" x14ac:dyDescent="0.25"/>
    <row r="91" spans="1:21" ht="20.100000000000001" customHeight="1" x14ac:dyDescent="0.25"/>
    <row r="92" spans="1:21" ht="20.100000000000001" customHeight="1" x14ac:dyDescent="0.25">
      <c r="C92" s="45"/>
      <c r="D92" s="45"/>
      <c r="E92" s="45"/>
      <c r="F92" s="45"/>
      <c r="G92" s="45"/>
      <c r="H92" s="45"/>
      <c r="I92" s="45"/>
      <c r="J92" s="45"/>
      <c r="K92" s="45"/>
      <c r="M92" s="45"/>
      <c r="N92" s="45"/>
      <c r="O92" s="45"/>
      <c r="P92" s="45"/>
      <c r="Q92" s="45"/>
      <c r="R92" s="45"/>
      <c r="S92" s="45"/>
      <c r="T92" s="45"/>
      <c r="U92" s="45"/>
    </row>
    <row r="93" spans="1:21" ht="20.100000000000001" customHeight="1" x14ac:dyDescent="0.25">
      <c r="D93" s="6" t="str" cm="1">
        <f t="array" ref="D93">MMS_Poultry_Methane_Equations.VEERG_4_6_1_1__4_VolatileSolidsTransferred_Title()</f>
        <v>Volatile solids transferred to treatment stage 2 MMS</v>
      </c>
    </row>
    <row r="94" spans="1:21" ht="20.100000000000001" customHeight="1" x14ac:dyDescent="0.25">
      <c r="D94" s="5" t="str" cm="1">
        <f t="array" ref="D94">MMS_Poultry_Methane_Equations.VEERG_4_6_1_1__4_VolatileSolidsTransferred_Source()</f>
        <v>VEERG 2026: 4.4.1.1, Equation (4)</v>
      </c>
    </row>
    <row r="95" spans="1:21" ht="20.100000000000001" customHeight="1" x14ac:dyDescent="0.25">
      <c r="D95" s="13" t="s">
        <v>23</v>
      </c>
      <c r="E95" s="13" t="str" cm="1">
        <f t="array" aca="1" ref="E95" ca="1">Common_InputFunctions.Utility_DisplayFunctionName(E115)</f>
        <v>=MMS_Poultry_Methane_Equations.VEERG_4_6_1_1__4_VolatileSolidsTransferred</v>
      </c>
    </row>
    <row r="96" spans="1:21" ht="20.100000000000001" customHeight="1" x14ac:dyDescent="0.25"/>
    <row r="97" spans="4:14" ht="20.100000000000001" customHeight="1" x14ac:dyDescent="0.25"/>
    <row r="98" spans="4:14" ht="20.100000000000001" customHeight="1" x14ac:dyDescent="0.25">
      <c r="D98" s="53" t="s">
        <v>26</v>
      </c>
      <c r="E98" s="1" t="str" cm="1">
        <f t="array" ref="E98">MMS_Poultry_Methane_Equations.VEERG_4_6_1_1__4_VolatileSolidsTransferred_Variable()</f>
        <v>VST_jk</v>
      </c>
    </row>
    <row r="99" spans="4:14" ht="20.100000000000001" customHeight="1" x14ac:dyDescent="0.25">
      <c r="D99" s="53" t="s">
        <v>16</v>
      </c>
      <c r="E99" s="54" t="str" cm="1">
        <f t="array" ref="E99">MMS_Poultry_Methane_Equations.VEERG_4_6_1_1__4_VolatileSolidsTransferred_Unit()</f>
        <v>kg VS/bird/day</v>
      </c>
    </row>
    <row r="100" spans="4:14" ht="20.100000000000001" customHeight="1" x14ac:dyDescent="0.25"/>
    <row r="101" spans="4:14" ht="20.100000000000001" customHeight="1" x14ac:dyDescent="0.25">
      <c r="D101" s="141" t="str" cm="1">
        <f t="array" ref="D101:E103">_xlfn.CHOOSECOLS(MMS_Poultry_Methane_Equations.VEERG_4_6_1_1__4_VolatileSolidsTransferred_Arguments(),1,2)</f>
        <v>VS_jk</v>
      </c>
      <c r="E101" s="144" t="str">
        <v>volatile solid production poultry classes</v>
      </c>
      <c r="F101" s="143"/>
      <c r="G101" s="141" t="str" cm="1">
        <f t="array" ref="G101:H103">_xlfn.CHOOSECOLS(MMS_Poultry_Methane_Equations.VEERG_4_6_1_1__4_VolatileSolidsTransferred_Arguments(),3,4)</f>
        <v>kg VS/bird/day</v>
      </c>
      <c r="H101" s="140" t="str">
        <v>Calculated from 4.6.1.1 (5)</v>
      </c>
      <c r="I101" s="142" t="str" cm="1">
        <f t="array" aca="1" ref="I101" ca="1">HYPERLINK(Common_InputFunctions.Utility_SourceHyperlink($D$32), $D$32)</f>
        <v>M1_Table_VS_j_k</v>
      </c>
    </row>
    <row r="102" spans="4:14" ht="20.100000000000001" customHeight="1" x14ac:dyDescent="0.25">
      <c r="D102" s="141" t="str">
        <v>MMS_jmT1</v>
      </c>
      <c r="E102" s="144" t="str">
        <v>fraction of manure in each primary system</v>
      </c>
      <c r="F102" s="143"/>
      <c r="G102" s="141" t="str">
        <v>fraction</v>
      </c>
      <c r="H102" s="139" t="str">
        <v>Input</v>
      </c>
      <c r="I102" s="142" t="str" cm="1">
        <f t="array" aca="1" ref="I102" ca="1">HYPERLINK(Common_InputFunctions.Utility_SourceHyperlink($D$57), $D$57)</f>
        <v>Table_MMS_j_m_T-1</v>
      </c>
    </row>
    <row r="103" spans="4:14" ht="20.100000000000001" customHeight="1" x14ac:dyDescent="0.25">
      <c r="D103" s="141" t="str">
        <v>VSL_mT1</v>
      </c>
      <c r="E103" s="144" t="str">
        <v>fraction of volatile solids lost during storage in the primary system</v>
      </c>
      <c r="F103" s="143"/>
      <c r="G103" s="141" t="str">
        <v>fraction</v>
      </c>
      <c r="H103" s="140" t="str">
        <v>Constant</v>
      </c>
      <c r="I103" s="142" t="str" cm="1">
        <f t="array" aca="1" ref="I103" ca="1">HYPERLINK(Common_InputFunctions.Utility_SourceHyperlink($D$105), $D$105)</f>
        <v>Table_VSL_m_T-1</v>
      </c>
    </row>
    <row r="104" spans="4:14" ht="20.100000000000001" customHeight="1" x14ac:dyDescent="0.25"/>
    <row r="105" spans="4:14" ht="20.100000000000001" customHeight="1" x14ac:dyDescent="0.25">
      <c r="D105" s="133" t="s">
        <v>127</v>
      </c>
    </row>
    <row r="106" spans="4:14" ht="20.100000000000001" customHeight="1" x14ac:dyDescent="0.25">
      <c r="D106" s="134" t="s">
        <v>351</v>
      </c>
    </row>
    <row r="107" spans="4:14" ht="20.100000000000001" customHeight="1" x14ac:dyDescent="0.25">
      <c r="D107" s="51" t="s">
        <v>133</v>
      </c>
      <c r="E107" s="51" t="s">
        <v>227</v>
      </c>
    </row>
    <row r="108" spans="4:14" ht="20.100000000000001" customHeight="1" x14ac:dyDescent="0.25">
      <c r="D108" s="52" t="str">
        <f>'Input - Poultry'!$D$30</f>
        <v>Poultry manure with bedding</v>
      </c>
      <c r="E108" s="52"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2" t="str">
        <f>'Input - Poultry'!$D$31</f>
        <v>Belt manure removal</v>
      </c>
      <c r="E109" s="52" cm="1">
        <f t="array" ref="E109">Common_InputFunctions.Utility_LookupValueInTableNumber(D109, Table_SourceData_Poultry_MMSVSL[NIR definition],Table_SourceData_Poultry_MMSVSL[VSL])</f>
        <v>0</v>
      </c>
      <c r="F109" s="2"/>
    </row>
    <row r="110" spans="4:14" ht="20.100000000000001" customHeight="1" x14ac:dyDescent="0.25">
      <c r="D110" s="52" t="str">
        <f>'Input - Poultry'!$D$32</f>
        <v>Manure stored in house</v>
      </c>
      <c r="E110" s="52"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8" t="s">
        <v>228</v>
      </c>
      <c r="N112" s="98" t="s">
        <v>229</v>
      </c>
    </row>
    <row r="113" spans="1:21" ht="20.100000000000001" customHeight="1" x14ac:dyDescent="0.25">
      <c r="D113" s="97" t="s">
        <v>230</v>
      </c>
      <c r="N113" s="97" t="s">
        <v>231</v>
      </c>
    </row>
    <row r="114" spans="1:21" ht="20.100000000000001" customHeight="1" x14ac:dyDescent="0.25">
      <c r="D114" s="51" t="s">
        <v>133</v>
      </c>
      <c r="E114" s="51" t="s">
        <v>194</v>
      </c>
      <c r="F114" s="51" t="s">
        <v>195</v>
      </c>
      <c r="G114" s="51" t="s">
        <v>207</v>
      </c>
      <c r="H114" s="51" t="s">
        <v>208</v>
      </c>
      <c r="N114" s="51" t="s">
        <v>133</v>
      </c>
      <c r="O114" s="51" t="s">
        <v>194</v>
      </c>
      <c r="P114" s="51" t="s">
        <v>195</v>
      </c>
      <c r="Q114" s="51" t="s">
        <v>207</v>
      </c>
      <c r="R114" s="51" t="s">
        <v>208</v>
      </c>
    </row>
    <row r="115" spans="1:21" ht="20.100000000000001" customHeight="1" x14ac:dyDescent="0.25">
      <c r="D115" s="52" t="str">
        <f>'Input - Poultry'!$D$30</f>
        <v>Poultry manure with bedding</v>
      </c>
      <c r="E115" s="52" cm="1">
        <f t="array" ref="E115">MMS_Poultry_Methane_Equations.VEERG_4_6_1_1__4_VolatileSolidsTransferred(D$35,E60,_xlfn.XLOOKUP($D115,$D$108:$D$110,$E$108:$E$110))</f>
        <v>3.5965199999999985E-3</v>
      </c>
      <c r="F115" s="52" cm="1">
        <f t="array" ref="F115">MMS_Poultry_Methane_Equations.VEERG_4_6_1_1__4_VolatileSolidsTransferred(E$35,F60,_xlfn.XLOOKUP($D115,$D$108:$D$110,$E$108:$E$110))</f>
        <v>4.0315499999999983E-3</v>
      </c>
      <c r="G115" s="52" cm="1">
        <f t="array" ref="G115">MMS_Poultry_Methane_Equations.VEERG_4_6_1_1__4_VolatileSolidsTransferred(F$35,G60,_xlfn.XLOOKUP($D115,$D$108:$D$110,$E$108:$E$110))</f>
        <v>4.3074599999999991E-3</v>
      </c>
      <c r="H115" s="52" cm="1">
        <f t="array" ref="H115">MMS_Poultry_Methane_Equations.VEERG_4_6_1_1__4_VolatileSolidsTransferred(G$35,H60,_xlfn.XLOOKUP($D115,$D$108:$D$110,$E$108:$E$110))</f>
        <v>4.0315499999999983E-3</v>
      </c>
      <c r="I115" s="2" t="str">
        <f>$E$99</f>
        <v>kg VS/bird/day</v>
      </c>
      <c r="N115" s="52" t="str">
        <f>'Input - Poultry'!$D$30</f>
        <v>Poultry manure with bedding</v>
      </c>
      <c r="O115" s="52" cm="1">
        <f t="array" ref="O115">MMS_Poultry_Methane_Equations.VEERG_4_6_1_1__4_VolatileSolidsTransferred(N$35,E60,_xlfn.XLOOKUP($N115,$D$108:$D$110,$E$108:$E$110))</f>
        <v>3.5965199999999985E-3</v>
      </c>
      <c r="P115" s="52" cm="1">
        <f t="array" ref="P115">MMS_Poultry_Methane_Equations.VEERG_4_6_1_1__4_VolatileSolidsTransferred(O$35,F60,_xlfn.XLOOKUP($N115,$D$108:$D$110,$E$108:$E$110))</f>
        <v>4.0315499999999983E-3</v>
      </c>
      <c r="Q115" s="52" cm="1">
        <f t="array" ref="Q115">MMS_Poultry_Methane_Equations.VEERG_4_6_1_1__4_VolatileSolidsTransferred(P$35,G60,_xlfn.XLOOKUP($N115,$D$108:$D$110,$E$108:$E$110))</f>
        <v>4.3074599999999991E-3</v>
      </c>
      <c r="R115" s="52" cm="1">
        <f t="array" ref="R115">MMS_Poultry_Methane_Equations.VEERG_4_6_1_1__4_VolatileSolidsTransferred(Q$35,H60,_xlfn.XLOOKUP($N115,$D$108:$D$110,$E$108:$E$110))</f>
        <v>4.0315499999999983E-3</v>
      </c>
      <c r="S115" s="2" t="str">
        <f>$E$99</f>
        <v>kg VS/bird/day</v>
      </c>
    </row>
    <row r="116" spans="1:21" ht="20.100000000000001" customHeight="1" x14ac:dyDescent="0.25">
      <c r="A116" s="145" t="str">
        <f>HYPERLINK("#A1", "▲ Back to top")</f>
        <v>▲ Back to top</v>
      </c>
      <c r="D116" s="52" t="str">
        <f>'Input - Poultry'!$D$31</f>
        <v>Belt manure removal</v>
      </c>
      <c r="E116" s="52" cm="1">
        <f t="array" ref="E116">MMS_Poultry_Methane_Equations.VEERG_4_6_1_1__4_VolatileSolidsTransferred(D$35,E61,_xlfn.XLOOKUP($D116,$D$108:$D$110,$E$108:$E$110))</f>
        <v>4.2311999999999983E-3</v>
      </c>
      <c r="F116" s="52" cm="1">
        <f t="array" ref="F116">MMS_Poultry_Methane_Equations.VEERG_4_6_1_1__4_VolatileSolidsTransferred(E$35,F61,_xlfn.XLOOKUP($D116,$D$108:$D$110,$E$108:$E$110))</f>
        <v>4.7429999999999981E-3</v>
      </c>
      <c r="G116" s="52" cm="1">
        <f t="array" ref="G116">MMS_Poultry_Methane_Equations.VEERG_4_6_1_1__4_VolatileSolidsTransferred(F$35,G61,_xlfn.XLOOKUP($D116,$D$108:$D$110,$E$108:$E$110))</f>
        <v>5.0675999999999994E-3</v>
      </c>
      <c r="H116" s="52" cm="1">
        <f t="array" ref="H116">MMS_Poultry_Methane_Equations.VEERG_4_6_1_1__4_VolatileSolidsTransferred(G$35,H61,_xlfn.XLOOKUP($D116,$D$108:$D$110,$E$108:$E$110))</f>
        <v>4.7429999999999981E-3</v>
      </c>
      <c r="I116" s="2"/>
      <c r="N116" s="52" t="str">
        <f>'Input - Poultry'!$D$31</f>
        <v>Belt manure removal</v>
      </c>
      <c r="O116" s="52" cm="1">
        <f t="array" ref="O116">MMS_Poultry_Methane_Equations.VEERG_4_6_1_1__4_VolatileSolidsTransferred(N$35,E61,_xlfn.XLOOKUP($N116,$D$108:$D$110,$E$108:$E$110))</f>
        <v>4.2311999999999983E-3</v>
      </c>
      <c r="P116" s="52" cm="1">
        <f t="array" ref="P116">MMS_Poultry_Methane_Equations.VEERG_4_6_1_1__4_VolatileSolidsTransferred(O$35,F61,_xlfn.XLOOKUP($N116,$D$108:$D$110,$E$108:$E$110))</f>
        <v>4.7429999999999981E-3</v>
      </c>
      <c r="Q116" s="52" cm="1">
        <f t="array" ref="Q116">MMS_Poultry_Methane_Equations.VEERG_4_6_1_1__4_VolatileSolidsTransferred(P$35,G61,_xlfn.XLOOKUP($N116,$D$108:$D$110,$E$108:$E$110))</f>
        <v>5.0675999999999994E-3</v>
      </c>
      <c r="R116" s="52" cm="1">
        <f t="array" ref="R116">MMS_Poultry_Methane_Equations.VEERG_4_6_1_1__4_VolatileSolidsTransferred(Q$35,H61,_xlfn.XLOOKUP($N116,$D$108:$D$110,$E$108:$E$110))</f>
        <v>4.7429999999999981E-3</v>
      </c>
      <c r="S116" s="2"/>
    </row>
    <row r="117" spans="1:21" ht="20.100000000000001" customHeight="1" x14ac:dyDescent="0.25">
      <c r="D117" s="52" t="str">
        <f>'Input - Poultry'!$D$32</f>
        <v>Manure stored in house</v>
      </c>
      <c r="E117" s="52" cm="1">
        <f t="array" ref="E117">MMS_Poultry_Methane_Equations.VEERG_4_6_1_1__4_VolatileSolidsTransferred(D$35,E62,_xlfn.XLOOKUP($D117,$D$108:$D$110,$E$108:$E$110))</f>
        <v>3.3849599999999989E-3</v>
      </c>
      <c r="F117" s="52" cm="1">
        <f t="array" ref="F117">MMS_Poultry_Methane_Equations.VEERG_4_6_1_1__4_VolatileSolidsTransferred(E$35,F62,_xlfn.XLOOKUP($D117,$D$108:$D$110,$E$108:$E$110))</f>
        <v>3.7943999999999986E-3</v>
      </c>
      <c r="G117" s="52" cm="1">
        <f t="array" ref="G117">MMS_Poultry_Methane_Equations.VEERG_4_6_1_1__4_VolatileSolidsTransferred(F$35,G62,_xlfn.XLOOKUP($D117,$D$108:$D$110,$E$108:$E$110))</f>
        <v>4.0540799999999998E-3</v>
      </c>
      <c r="H117" s="52" cm="1">
        <f t="array" ref="H117">MMS_Poultry_Methane_Equations.VEERG_4_6_1_1__4_VolatileSolidsTransferred(G$35,H62,_xlfn.XLOOKUP($D117,$D$108:$D$110,$E$108:$E$110))</f>
        <v>3.7943999999999986E-3</v>
      </c>
      <c r="I117" s="2"/>
      <c r="N117" s="52" t="str">
        <f>'Input - Poultry'!$D$32</f>
        <v>Manure stored in house</v>
      </c>
      <c r="O117" s="52" cm="1">
        <f t="array" ref="O117">MMS_Poultry_Methane_Equations.VEERG_4_6_1_1__4_VolatileSolidsTransferred(N$35,E62,_xlfn.XLOOKUP($N117,$D$108:$D$110,$E$108:$E$110))</f>
        <v>3.3849599999999989E-3</v>
      </c>
      <c r="P117" s="52" cm="1">
        <f t="array" ref="P117">MMS_Poultry_Methane_Equations.VEERG_4_6_1_1__4_VolatileSolidsTransferred(O$35,F62,_xlfn.XLOOKUP($N117,$D$108:$D$110,$E$108:$E$110))</f>
        <v>3.7943999999999986E-3</v>
      </c>
      <c r="Q117" s="52" cm="1">
        <f t="array" ref="Q117">MMS_Poultry_Methane_Equations.VEERG_4_6_1_1__4_VolatileSolidsTransferred(P$35,G62,_xlfn.XLOOKUP($N117,$D$108:$D$110,$E$108:$E$110))</f>
        <v>4.0540799999999998E-3</v>
      </c>
      <c r="R117" s="52" cm="1">
        <f t="array" ref="R117">MMS_Poultry_Methane_Equations.VEERG_4_6_1_1__4_VolatileSolidsTransferred(Q$35,H62,_xlfn.XLOOKUP($N117,$D$108:$D$110,$E$108:$E$110))</f>
        <v>3.7943999999999986E-3</v>
      </c>
      <c r="S117" s="2"/>
    </row>
    <row r="118" spans="1:21" ht="20.100000000000001" customHeight="1" x14ac:dyDescent="0.25"/>
    <row r="119" spans="1:21" ht="20.100000000000001" customHeight="1" x14ac:dyDescent="0.25"/>
    <row r="120" spans="1:21" ht="20.100000000000001" customHeight="1" x14ac:dyDescent="0.25">
      <c r="C120" s="45"/>
      <c r="D120" s="45"/>
      <c r="E120" s="45"/>
      <c r="F120" s="45"/>
      <c r="G120" s="45"/>
      <c r="H120" s="45"/>
      <c r="I120" s="45"/>
      <c r="J120" s="45"/>
      <c r="K120" s="45"/>
      <c r="M120" s="45"/>
      <c r="N120" s="45"/>
      <c r="O120" s="45"/>
      <c r="P120" s="45"/>
      <c r="Q120" s="45"/>
      <c r="R120" s="45"/>
      <c r="S120" s="45"/>
      <c r="T120" s="45"/>
      <c r="U120" s="45"/>
    </row>
    <row r="121" spans="1:21" ht="20.100000000000001" customHeight="1" x14ac:dyDescent="0.25">
      <c r="D121" s="6" t="str" cm="1">
        <f t="array" ref="D121">MMS_Poultry_Methane_Equations.VEERG_4_6_1_1__3_Stage2MethaneProduction_Title()</f>
        <v>Production of methane in treatment stage 2 MMS</v>
      </c>
    </row>
    <row r="122" spans="1:21" ht="20.100000000000001" customHeight="1" x14ac:dyDescent="0.25">
      <c r="D122" s="5" t="str" cm="1">
        <f t="array" ref="D122">MMS_Poultry_Methane_Equations.VEERG_4_6_1_1__3_Stage2MethaneProduction_Source()</f>
        <v>VEERG 2026: 4.4.1.1, Equation (3)</v>
      </c>
    </row>
    <row r="123" spans="1:21" ht="20.100000000000001" customHeight="1" x14ac:dyDescent="0.25">
      <c r="D123" s="55" t="str" cm="1">
        <f t="array" ref="D123">MMS_Poultry_Methane_Equations.VEERG_4_6_1_1__3_Stage2MethaneProduction_Variation()</f>
        <v>VARIATION ON SOURCE: Used mean annual temperature instead of temperature zone to determine MCF as MCF values are specific to temperature</v>
      </c>
    </row>
    <row r="124" spans="1:21" ht="20.100000000000001" customHeight="1" x14ac:dyDescent="0.25">
      <c r="D124" s="13" t="s">
        <v>23</v>
      </c>
      <c r="E124" s="13" t="str" cm="1">
        <f t="array" aca="1" ref="E124" ca="1">Common_InputFunctions.Utility_DisplayFunctionName(F159)</f>
        <v>=MMS_Poultry_Methane_Equations.VEERG_4_6_1_1__3_Stage2MethaneProduction</v>
      </c>
    </row>
    <row r="125" spans="1:21" ht="20.100000000000001" customHeight="1" x14ac:dyDescent="0.25"/>
    <row r="126" spans="1:21" ht="20.100000000000001" customHeight="1" x14ac:dyDescent="0.25"/>
    <row r="127" spans="1:21" ht="20.100000000000001" customHeight="1" x14ac:dyDescent="0.25">
      <c r="D127" s="53" t="s">
        <v>26</v>
      </c>
      <c r="E127" s="1" t="str" cm="1">
        <f t="array" ref="E127">MMS_Poultry_Methane_Equations.VEERG_4_6_1_1__3_Stage2MethaneProduction_Variable()</f>
        <v>M_jkmT2</v>
      </c>
    </row>
    <row r="128" spans="1:21" ht="20.100000000000001" customHeight="1" x14ac:dyDescent="0.25">
      <c r="D128" s="53" t="s">
        <v>16</v>
      </c>
      <c r="E128" s="54" t="str" cm="1">
        <f t="array" ref="E128">MMS_Poultry_Methane_Equations.VEERG_4_6_1_1__3_Stage2MethaneProduction_Unit()</f>
        <v>kg CH4/bird/day</v>
      </c>
    </row>
    <row r="129" spans="4:19" ht="20.100000000000001" customHeight="1" x14ac:dyDescent="0.25"/>
    <row r="130" spans="4:19" ht="20.100000000000001" customHeight="1" x14ac:dyDescent="0.25">
      <c r="D130" s="141" t="str" cm="1">
        <f t="array" ref="D130:E135">_xlfn.CHOOSECOLS(MMS_Poultry_Methane_Equations.VEERG_4_6_1_1__3_Stage2MethaneProduction_Arguments(),1,2)</f>
        <v>VST_jk</v>
      </c>
      <c r="E130" s="144" t="str">
        <v>volatile solids transferred to treatment stage 2 MMS</v>
      </c>
      <c r="F130" s="143"/>
      <c r="G130" s="141" t="str" cm="1">
        <f t="array" ref="G130:H135">_xlfn.CHOOSECOLS(MMS_Poultry_Methane_Equations.VEERG_4_6_1_1__3_Stage2MethaneProduction_Arguments(),3,4)</f>
        <v>kg VS/bird/day</v>
      </c>
      <c r="H130" s="140" t="str">
        <v>Calculated from 4.6.1.1 (4)</v>
      </c>
      <c r="I130" s="142" t="str" cm="1">
        <f t="array" aca="1" ref="I130" ca="1">HYPERLINK(Common_InputFunctions.Utility_SourceHyperlink($D$112), $D$112)</f>
        <v>M1_Table_VST_j_k</v>
      </c>
      <c r="N130" s="141" t="str" cm="1">
        <f t="array" ref="N130:O135">_xlfn.CHOOSECOLS(MMS_Poultry_Methane_Equations.VEERG_4_6_1_1__3_Stage2MethaneProduction_Arguments_Method2(),1,2)</f>
        <v>VST_jk</v>
      </c>
      <c r="O130" s="144" t="str">
        <v>volatile solids transferred to treatment stage 2 MMS</v>
      </c>
      <c r="P130" s="143"/>
      <c r="Q130" s="141" t="str" cm="1">
        <f t="array" ref="Q130:R135">_xlfn.CHOOSECOLS(MMS_Poultry_Methane_Equations.VEERG_4_6_1_1__3_Stage2MethaneProduction_Arguments_Method2(),3,4)</f>
        <v>kg VS/bird/day</v>
      </c>
      <c r="R130" s="140" t="str">
        <v>Calculated from 4.6.1.1 (4)</v>
      </c>
      <c r="S130" s="142" t="str" cm="1">
        <f t="array" aca="1" ref="S130" ca="1">HYPERLINK(Common_InputFunctions.Utility_SourceHyperlink($D$112), $D$112)</f>
        <v>M1_Table_VST_j_k</v>
      </c>
    </row>
    <row r="131" spans="4:19" ht="20.100000000000001" customHeight="1" x14ac:dyDescent="0.25">
      <c r="D131" s="141" t="str">
        <v>BO</v>
      </c>
      <c r="E131" s="144" t="str">
        <v>emissions potential</v>
      </c>
      <c r="F131" s="143"/>
      <c r="G131" s="141" t="str">
        <v>m3 CH4/kg VS</v>
      </c>
      <c r="H131" s="140" t="str">
        <v>Constant</v>
      </c>
      <c r="I131" s="142" t="str" cm="1">
        <f t="array" aca="1" ref="I131" ca="1">HYPERLINK(Common_InputFunctions.Utility_SourceHyperlink($D$65),$D$65)</f>
        <v>Table_B_0_j</v>
      </c>
      <c r="N131" s="141" t="str">
        <v>BO</v>
      </c>
      <c r="O131" s="144" t="str">
        <v>emissions potential</v>
      </c>
      <c r="P131" s="143"/>
      <c r="Q131" s="141" t="str">
        <v>m3 CH4/kg VS</v>
      </c>
      <c r="R131" s="140" t="str">
        <v>Constant</v>
      </c>
      <c r="S131" s="142" t="str" cm="1">
        <f t="array" aca="1" ref="S131" ca="1">HYPERLINK(Common_InputFunctions.Utility_SourceHyperlink($D$65),$D$65)</f>
        <v>Table_B_0_j</v>
      </c>
    </row>
    <row r="132" spans="4:19" ht="20.100000000000001" customHeight="1" x14ac:dyDescent="0.25">
      <c r="D132" s="141" t="str">
        <v>MMS_jmT2</v>
      </c>
      <c r="E132" s="144" t="str">
        <v>fraction of manure in each secondary system</v>
      </c>
      <c r="F132" s="143"/>
      <c r="G132" s="141" t="str">
        <v>fraction</v>
      </c>
      <c r="H132" s="139" t="str">
        <v>Input</v>
      </c>
      <c r="I132" s="142" t="str" cm="1">
        <f t="array" aca="1" ref="I132" ca="1">HYPERLINK(Common_InputFunctions.Utility_SourceHyperlink($D$137),$D$137)</f>
        <v>Table_MMS_j_m_T-2</v>
      </c>
      <c r="N132" s="141" t="str">
        <v>MMS_jmT2</v>
      </c>
      <c r="O132" s="144" t="str">
        <v>fraction of manure in each secondary system</v>
      </c>
      <c r="P132" s="143"/>
      <c r="Q132" s="141" t="str">
        <v>fraction</v>
      </c>
      <c r="R132" s="139" t="str">
        <v>Input</v>
      </c>
      <c r="S132" s="142" t="str" cm="1">
        <f t="array" aca="1" ref="S132" ca="1">HYPERLINK(Common_InputFunctions.Utility_SourceHyperlink($D$137),$D$137)</f>
        <v>Table_MMS_j_m_T-2</v>
      </c>
    </row>
    <row r="133" spans="4:19" ht="20.100000000000001" customHeight="1" x14ac:dyDescent="0.25">
      <c r="D133" s="141" t="str">
        <v>MCF_im</v>
      </c>
      <c r="E133" s="144" t="str">
        <v>methane conversion factor for temperature zone and MMS</v>
      </c>
      <c r="F133" s="143"/>
      <c r="G133" s="141" t="str">
        <v>fraction</v>
      </c>
      <c r="H133" s="140" t="str">
        <v>Constant</v>
      </c>
      <c r="I133" s="142" t="str" cm="1">
        <f t="array" aca="1" ref="I133" ca="1">HYPERLINK(Common_InputFunctions.Utility_SourceHyperlink($D$70),$D$70)</f>
        <v>Table_MCF_i_m</v>
      </c>
      <c r="N133" s="141" t="str">
        <v>MCF_im</v>
      </c>
      <c r="O133" s="144" t="str">
        <v>methane conversion factor for temperature zone and MMS</v>
      </c>
      <c r="P133" s="143"/>
      <c r="Q133" s="141" t="str">
        <v>fraction</v>
      </c>
      <c r="R133" s="140" t="str">
        <v>Constant</v>
      </c>
      <c r="S133" s="142" t="str" cm="1">
        <f t="array" aca="1" ref="S133" ca="1">HYPERLINK(Common_InputFunctions.Utility_SourceHyperlink($D$70),$D$70)</f>
        <v>Table_MCF_i_m</v>
      </c>
    </row>
    <row r="134" spans="4:19" ht="20.100000000000001" customHeight="1" x14ac:dyDescent="0.25">
      <c r="D134" s="141" t="str">
        <v>rho</v>
      </c>
      <c r="E134" s="144" t="str">
        <v>density of methane</v>
      </c>
      <c r="F134" s="143"/>
      <c r="G134" s="141" t="str">
        <v>kg/m3</v>
      </c>
      <c r="H134" s="140" t="str">
        <v>Constant</v>
      </c>
      <c r="I134" s="141">
        <f>'Constants - Common'!$D$175</f>
        <v>0.6784</v>
      </c>
      <c r="N134" s="141" t="str">
        <v>rho</v>
      </c>
      <c r="O134" s="144" t="str">
        <v>density of methane</v>
      </c>
      <c r="P134" s="143"/>
      <c r="Q134" s="141" t="str">
        <v>kg/m3</v>
      </c>
      <c r="R134" s="140" t="str">
        <v>Constant</v>
      </c>
      <c r="S134" s="141">
        <f>'Constants - Common'!$D$175</f>
        <v>0.6784</v>
      </c>
    </row>
    <row r="135" spans="4:19" ht="20.100000000000001" customHeight="1" x14ac:dyDescent="0.25">
      <c r="D135" s="141" t="str">
        <v>i</v>
      </c>
      <c r="E135" s="144" t="str">
        <v>state</v>
      </c>
      <c r="F135" s="143"/>
      <c r="G135" s="141" t="str">
        <v/>
      </c>
      <c r="H135" s="139" t="str">
        <v>Input</v>
      </c>
      <c r="I135" s="141" t="str">
        <f>'Input - Site'!$E$21</f>
        <v>Western Australia</v>
      </c>
      <c r="N135" s="141" t="str">
        <v>i</v>
      </c>
      <c r="O135" s="144" t="str">
        <v>mean annual temperature</v>
      </c>
      <c r="P135" s="143"/>
      <c r="Q135" s="141" t="str">
        <v>°C</v>
      </c>
      <c r="R135" s="139" t="str">
        <v>Input</v>
      </c>
      <c r="S135" s="141">
        <f>'Input - Site'!$E$25</f>
        <v>18</v>
      </c>
    </row>
    <row r="136" spans="4:19" ht="20.100000000000001" customHeight="1" x14ac:dyDescent="0.25"/>
    <row r="137" spans="4:19" ht="20.100000000000001" customHeight="1" x14ac:dyDescent="0.25">
      <c r="D137" s="98" t="s">
        <v>128</v>
      </c>
    </row>
    <row r="138" spans="4:19" ht="20.100000000000001" customHeight="1" x14ac:dyDescent="0.25">
      <c r="D138" s="97" t="s">
        <v>232</v>
      </c>
    </row>
    <row r="139" spans="4:19" ht="20.100000000000001" customHeight="1" x14ac:dyDescent="0.25">
      <c r="D139" s="112" t="s">
        <v>133</v>
      </c>
      <c r="E139" s="112" t="s">
        <v>135</v>
      </c>
      <c r="F139" s="112" t="s">
        <v>194</v>
      </c>
      <c r="G139" s="112" t="s">
        <v>195</v>
      </c>
      <c r="H139" s="112" t="s">
        <v>207</v>
      </c>
      <c r="I139" s="112" t="s">
        <v>208</v>
      </c>
    </row>
    <row r="140" spans="4:19" ht="20.100000000000001" customHeight="1" x14ac:dyDescent="0.25">
      <c r="D140" s="52" t="str">
        <f>'Input - Poultry'!$D$30</f>
        <v>Poultry manure with bedding</v>
      </c>
      <c r="E140" s="52" t="str">
        <f>'Input - Poultry'!$D$38</f>
        <v>Solid storage</v>
      </c>
      <c r="F140" s="52">
        <f>'Input - Poultry'!E38</f>
        <v>0.2</v>
      </c>
      <c r="G140" s="52">
        <f>'Input - Poultry'!F38</f>
        <v>0.2</v>
      </c>
      <c r="H140" s="52">
        <f>'Input - Poultry'!G38</f>
        <v>0.2</v>
      </c>
      <c r="I140" s="52">
        <f>'Input - Poultry'!H38</f>
        <v>0.2</v>
      </c>
      <c r="J140" s="2" t="str">
        <f>$G$132</f>
        <v>fraction</v>
      </c>
    </row>
    <row r="141" spans="4:19" ht="20.100000000000001" customHeight="1" x14ac:dyDescent="0.25">
      <c r="D141" s="52"/>
      <c r="E141" s="52" t="str">
        <f>'Input - Poultry'!$D$39</f>
        <v>Composting (passive windrow)</v>
      </c>
      <c r="F141" s="52">
        <f>'Input - Poultry'!E39</f>
        <v>0.2</v>
      </c>
      <c r="G141" s="52">
        <f>'Input - Poultry'!F39</f>
        <v>0.2</v>
      </c>
      <c r="H141" s="52">
        <f>'Input - Poultry'!G39</f>
        <v>0.2</v>
      </c>
      <c r="I141" s="52">
        <f>'Input - Poultry'!H39</f>
        <v>0.2</v>
      </c>
      <c r="J141" s="2"/>
    </row>
    <row r="142" spans="4:19" ht="20.100000000000001" customHeight="1" x14ac:dyDescent="0.25">
      <c r="D142" s="52"/>
      <c r="E142" s="52" t="str">
        <f>'Input - Poultry'!$D$40</f>
        <v>Digester / covered lagoons</v>
      </c>
      <c r="F142" s="52">
        <f>'Input - Poultry'!E40</f>
        <v>0.2</v>
      </c>
      <c r="G142" s="52">
        <f>'Input - Poultry'!F40</f>
        <v>0.2</v>
      </c>
      <c r="H142" s="52">
        <f>'Input - Poultry'!G40</f>
        <v>0.2</v>
      </c>
      <c r="I142" s="52">
        <f>'Input - Poultry'!H40</f>
        <v>0.2</v>
      </c>
      <c r="J142" s="2"/>
    </row>
    <row r="143" spans="4:19" ht="20.100000000000001" customHeight="1" x14ac:dyDescent="0.25">
      <c r="D143" s="52"/>
      <c r="E143" s="52" t="str">
        <f>'Input - Poultry'!$D$41</f>
        <v>Direct processing</v>
      </c>
      <c r="F143" s="52">
        <f>'Input - Poultry'!E41</f>
        <v>0.2</v>
      </c>
      <c r="G143" s="52">
        <f>'Input - Poultry'!F41</f>
        <v>0.2</v>
      </c>
      <c r="H143" s="52">
        <f>'Input - Poultry'!G41</f>
        <v>0.2</v>
      </c>
      <c r="I143" s="52">
        <f>'Input - Poultry'!H41</f>
        <v>0.2</v>
      </c>
      <c r="J143" s="2"/>
    </row>
    <row r="144" spans="4:19" ht="20.100000000000001" customHeight="1" x14ac:dyDescent="0.25">
      <c r="D144" s="52"/>
      <c r="E144" s="52" t="str">
        <f>'Input - Poultry'!$D$42</f>
        <v>Direct application</v>
      </c>
      <c r="F144" s="52">
        <f>'Input - Poultry'!E42</f>
        <v>0.2</v>
      </c>
      <c r="G144" s="52">
        <f>'Input - Poultry'!F42</f>
        <v>0.2</v>
      </c>
      <c r="H144" s="52">
        <f>'Input - Poultry'!G42</f>
        <v>0.2</v>
      </c>
      <c r="I144" s="52">
        <f>'Input - Poultry'!H42</f>
        <v>0.2</v>
      </c>
    </row>
    <row r="145" spans="4:20" ht="20.100000000000001" customHeight="1" x14ac:dyDescent="0.25">
      <c r="D145" s="52" t="str">
        <f>'Input - Poultry'!$D$31</f>
        <v>Belt manure removal</v>
      </c>
      <c r="E145" s="52" t="str">
        <f>'Input - Poultry'!$D$45</f>
        <v>Solid storage</v>
      </c>
      <c r="F145" s="52">
        <f>'Input - Poultry'!E45</f>
        <v>0.2</v>
      </c>
      <c r="G145" s="52">
        <f>'Input - Poultry'!F45</f>
        <v>0.2</v>
      </c>
      <c r="H145" s="52">
        <f>'Input - Poultry'!G45</f>
        <v>0.2</v>
      </c>
      <c r="I145" s="52">
        <f>'Input - Poultry'!H45</f>
        <v>0.2</v>
      </c>
      <c r="J145" s="2"/>
    </row>
    <row r="146" spans="4:20" ht="20.100000000000001" customHeight="1" x14ac:dyDescent="0.25">
      <c r="D146" s="52"/>
      <c r="E146" s="52" t="str">
        <f>'Input - Poultry'!$D$46</f>
        <v>Composting (passive windrow)</v>
      </c>
      <c r="F146" s="52">
        <f>'Input - Poultry'!E46</f>
        <v>0.2</v>
      </c>
      <c r="G146" s="52">
        <f>'Input - Poultry'!F46</f>
        <v>0.2</v>
      </c>
      <c r="H146" s="52">
        <f>'Input - Poultry'!G46</f>
        <v>0.2</v>
      </c>
      <c r="I146" s="52">
        <f>'Input - Poultry'!H46</f>
        <v>0.2</v>
      </c>
      <c r="J146" s="2"/>
    </row>
    <row r="147" spans="4:20" ht="20.100000000000001" customHeight="1" x14ac:dyDescent="0.25">
      <c r="D147" s="52"/>
      <c r="E147" s="52" t="str">
        <f>'Input - Poultry'!$D$47</f>
        <v>Digester / covered lagoons</v>
      </c>
      <c r="F147" s="52">
        <f>'Input - Poultry'!E47</f>
        <v>0.2</v>
      </c>
      <c r="G147" s="52">
        <f>'Input - Poultry'!F47</f>
        <v>0.2</v>
      </c>
      <c r="H147" s="52">
        <f>'Input - Poultry'!G47</f>
        <v>0.2</v>
      </c>
      <c r="I147" s="52">
        <f>'Input - Poultry'!H47</f>
        <v>0.2</v>
      </c>
      <c r="J147" s="2"/>
    </row>
    <row r="148" spans="4:20" ht="20.100000000000001" customHeight="1" x14ac:dyDescent="0.25">
      <c r="D148" s="52"/>
      <c r="E148" s="52" t="str">
        <f>'Input - Poultry'!$D$48</f>
        <v>Direct processing</v>
      </c>
      <c r="F148" s="52">
        <f>'Input - Poultry'!E48</f>
        <v>0.2</v>
      </c>
      <c r="G148" s="52">
        <f>'Input - Poultry'!F48</f>
        <v>0.2</v>
      </c>
      <c r="H148" s="52">
        <f>'Input - Poultry'!G48</f>
        <v>0.2</v>
      </c>
      <c r="I148" s="52">
        <f>'Input - Poultry'!H48</f>
        <v>0.2</v>
      </c>
      <c r="J148" s="2"/>
    </row>
    <row r="149" spans="4:20" ht="20.100000000000001" customHeight="1" x14ac:dyDescent="0.25">
      <c r="D149" s="52"/>
      <c r="E149" s="52" t="str">
        <f>'Input - Poultry'!$D$49</f>
        <v>Direct application</v>
      </c>
      <c r="F149" s="52">
        <f>'Input - Poultry'!E49</f>
        <v>0.2</v>
      </c>
      <c r="G149" s="52">
        <f>'Input - Poultry'!F49</f>
        <v>0.2</v>
      </c>
      <c r="H149" s="52">
        <f>'Input - Poultry'!G49</f>
        <v>0.2</v>
      </c>
      <c r="I149" s="52">
        <f>'Input - Poultry'!H49</f>
        <v>0.2</v>
      </c>
    </row>
    <row r="150" spans="4:20" ht="20.100000000000001" customHeight="1" x14ac:dyDescent="0.25">
      <c r="D150" s="52" t="str">
        <f>'Input - Poultry'!$D$32</f>
        <v>Manure stored in house</v>
      </c>
      <c r="E150" s="52" t="str">
        <f>'Input - Poultry'!$D$52</f>
        <v>Solid storage</v>
      </c>
      <c r="F150" s="52">
        <f>'Input - Poultry'!E52</f>
        <v>0.2</v>
      </c>
      <c r="G150" s="52">
        <f>'Input - Poultry'!F52</f>
        <v>0.2</v>
      </c>
      <c r="H150" s="52">
        <f>'Input - Poultry'!G52</f>
        <v>0.2</v>
      </c>
      <c r="I150" s="52">
        <f>'Input - Poultry'!H52</f>
        <v>0.2</v>
      </c>
      <c r="J150" s="2"/>
    </row>
    <row r="151" spans="4:20" ht="20.100000000000001" customHeight="1" x14ac:dyDescent="0.25">
      <c r="D151" s="52"/>
      <c r="E151" s="52" t="str">
        <f>'Input - Poultry'!$D$53</f>
        <v>Composting (passive windrow)</v>
      </c>
      <c r="F151" s="52">
        <f>'Input - Poultry'!E53</f>
        <v>0.2</v>
      </c>
      <c r="G151" s="52">
        <f>'Input - Poultry'!F53</f>
        <v>0.2</v>
      </c>
      <c r="H151" s="52">
        <f>'Input - Poultry'!G53</f>
        <v>0.2</v>
      </c>
      <c r="I151" s="52">
        <f>'Input - Poultry'!H53</f>
        <v>0.2</v>
      </c>
      <c r="J151" s="2"/>
    </row>
    <row r="152" spans="4:20" ht="20.100000000000001" customHeight="1" x14ac:dyDescent="0.25">
      <c r="D152" s="52"/>
      <c r="E152" s="52" t="str">
        <f>'Input - Poultry'!$D$54</f>
        <v>Digester / covered lagoons</v>
      </c>
      <c r="F152" s="52">
        <f>'Input - Poultry'!E54</f>
        <v>0.2</v>
      </c>
      <c r="G152" s="52">
        <f>'Input - Poultry'!F54</f>
        <v>0.2</v>
      </c>
      <c r="H152" s="52">
        <f>'Input - Poultry'!G54</f>
        <v>0.2</v>
      </c>
      <c r="I152" s="52">
        <f>'Input - Poultry'!H54</f>
        <v>0.2</v>
      </c>
      <c r="J152" s="2"/>
    </row>
    <row r="153" spans="4:20" ht="20.100000000000001" customHeight="1" x14ac:dyDescent="0.25">
      <c r="D153" s="52"/>
      <c r="E153" s="52" t="str">
        <f>'Input - Poultry'!$D$55</f>
        <v>Direct processing</v>
      </c>
      <c r="F153" s="52">
        <f>'Input - Poultry'!E55</f>
        <v>0.2</v>
      </c>
      <c r="G153" s="52">
        <f>'Input - Poultry'!F55</f>
        <v>0.2</v>
      </c>
      <c r="H153" s="52">
        <f>'Input - Poultry'!G55</f>
        <v>0.2</v>
      </c>
      <c r="I153" s="52">
        <f>'Input - Poultry'!H55</f>
        <v>0.2</v>
      </c>
      <c r="J153" s="2"/>
    </row>
    <row r="154" spans="4:20" ht="20.100000000000001" customHeight="1" x14ac:dyDescent="0.25">
      <c r="D154" s="52"/>
      <c r="E154" s="52" t="str">
        <f>'Input - Poultry'!$D$56</f>
        <v>Direct application</v>
      </c>
      <c r="F154" s="52">
        <f>'Input - Poultry'!E56</f>
        <v>0.2</v>
      </c>
      <c r="G154" s="52">
        <f>'Input - Poultry'!F56</f>
        <v>0.2</v>
      </c>
      <c r="H154" s="52">
        <f>'Input - Poultry'!G56</f>
        <v>0.2</v>
      </c>
      <c r="I154" s="52">
        <f>'Input - Poultry'!H56</f>
        <v>0.2</v>
      </c>
    </row>
    <row r="155" spans="4:20" ht="20.100000000000001" customHeight="1" x14ac:dyDescent="0.25"/>
    <row r="156" spans="4:20" ht="20.100000000000001" customHeight="1" x14ac:dyDescent="0.25">
      <c r="D156" s="98" t="s">
        <v>233</v>
      </c>
      <c r="N156" s="98" t="s">
        <v>233</v>
      </c>
    </row>
    <row r="157" spans="4:20" ht="20.100000000000001" customHeight="1" x14ac:dyDescent="0.25">
      <c r="D157" s="97" t="s">
        <v>234</v>
      </c>
      <c r="N157" s="97" t="s">
        <v>234</v>
      </c>
    </row>
    <row r="158" spans="4:20" ht="20.100000000000001" customHeight="1" x14ac:dyDescent="0.25">
      <c r="D158" s="51" t="s">
        <v>133</v>
      </c>
      <c r="E158" s="51" t="s">
        <v>135</v>
      </c>
      <c r="F158" s="51" t="s">
        <v>194</v>
      </c>
      <c r="G158" s="51" t="s">
        <v>195</v>
      </c>
      <c r="H158" s="51" t="s">
        <v>207</v>
      </c>
      <c r="I158" s="51" t="s">
        <v>208</v>
      </c>
      <c r="N158" s="51" t="s">
        <v>133</v>
      </c>
      <c r="O158" s="51" t="s">
        <v>135</v>
      </c>
      <c r="P158" s="51" t="s">
        <v>194</v>
      </c>
      <c r="Q158" s="51" t="s">
        <v>195</v>
      </c>
      <c r="R158" s="51" t="s">
        <v>207</v>
      </c>
      <c r="S158" s="51" t="s">
        <v>208</v>
      </c>
    </row>
    <row r="159" spans="4:20" ht="20.100000000000001" customHeight="1" x14ac:dyDescent="0.25">
      <c r="D159" s="52" t="str">
        <f>'Input - Poultry'!$D$30</f>
        <v>Poultry manure with bedding</v>
      </c>
      <c r="E159" s="52" t="str">
        <f>'Input - Poultry'!$D$38</f>
        <v>Solid storage</v>
      </c>
      <c r="F159" s="52" cm="1">
        <f t="array" ref="F159">MMS_Poultry_Methane_Equations.VEERG_4_6_1_1__3_Stage2MethaneProduction(E$115,D$68,F140,_xlfn.XLOOKUP($E159,$D$73:$D$81,$E$73:$E$81),$I$134)</f>
        <v>3.8062115020799981E-6</v>
      </c>
      <c r="G159" s="52" cm="1">
        <f t="array" ref="G159">MMS_Poultry_Methane_Equations.VEERG_4_6_1_1__3_Stage2MethaneProduction(F$115,E$68,G140,_xlfn.XLOOKUP($E159,$D$73:$D$81,$E$73:$E$81),$I$134)</f>
        <v>3.9384050687999985E-6</v>
      </c>
      <c r="H159" s="52" cm="1">
        <f t="array" ref="H159">MMS_Poultry_Methane_Equations.VEERG_4_6_1_1__3_Stage2MethaneProduction(G$115,F$68,H140,_xlfn.XLOOKUP($E159,$D$73:$D$81,$E$73:$E$81),$I$134)</f>
        <v>4.2079404441599992E-6</v>
      </c>
      <c r="I159" s="52" cm="1">
        <f t="array" ref="I159">MMS_Poultry_Methane_Equations.VEERG_4_6_1_1__3_Stage2MethaneProduction(H$115,G$68,I140,_xlfn.XLOOKUP($E159,$D$73:$D$81,$E$73:$E$81),$I$134)</f>
        <v>3.9384050687999985E-6</v>
      </c>
      <c r="J159" s="2" t="str">
        <f>$E$128</f>
        <v>kg CH4/bird/day</v>
      </c>
      <c r="N159" s="52" t="str">
        <f>'Input - Poultry'!$D$30</f>
        <v>Poultry manure with bedding</v>
      </c>
      <c r="O159" s="52" t="str">
        <f>'Input - Poultry'!$D$38</f>
        <v>Solid storage</v>
      </c>
      <c r="P159" s="52" cm="1">
        <f t="array" ref="P159">MMS_Poultry_Methane_Equations.VEERG_4_6_1_1__3_Stage2MethaneProduction(O$115,D$68,F140,_xlfn.XLOOKUP($O159,$N$73:$N$81,$O$73:$O$81),$I$134)</f>
        <v>3.8062115020799981E-6</v>
      </c>
      <c r="Q159" s="52" cm="1">
        <f t="array" ref="Q159">MMS_Poultry_Methane_Equations.VEERG_4_6_1_1__3_Stage2MethaneProduction(P$115,E$68,G140,_xlfn.XLOOKUP($O159,$N$73:$N$81,$O$73:$O$81),$I$134)</f>
        <v>3.9384050687999985E-6</v>
      </c>
      <c r="R159" s="52" cm="1">
        <f t="array" ref="R159">MMS_Poultry_Methane_Equations.VEERG_4_6_1_1__3_Stage2MethaneProduction(Q$115,F$68,H140,_xlfn.XLOOKUP($O159,$N$73:$N$81,$O$73:$O$81),$I$134)</f>
        <v>4.2079404441599992E-6</v>
      </c>
      <c r="S159" s="52"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2"/>
      <c r="E160" s="52" t="str">
        <f>'Input - Poultry'!$D$39</f>
        <v>Composting (passive windrow)</v>
      </c>
      <c r="F160" s="52" cm="1">
        <f t="array" ref="F160">MMS_Poultry_Methane_Equations.VEERG_4_6_1_1__3_Stage2MethaneProduction(E$115,D$68,F141,_xlfn.XLOOKUP($E160,$D$73:$D$81,$E$73:$E$81),$I$134)</f>
        <v>1.9031057510399991E-6</v>
      </c>
      <c r="G160" s="52" cm="1">
        <f t="array" ref="G160">MMS_Poultry_Methane_Equations.VEERG_4_6_1_1__3_Stage2MethaneProduction(F$115,E$68,G141,_xlfn.XLOOKUP($E160,$D$73:$D$81,$E$73:$E$81),$I$134)</f>
        <v>1.9692025343999993E-6</v>
      </c>
      <c r="H160" s="52" cm="1">
        <f t="array" ref="H160">MMS_Poultry_Methane_Equations.VEERG_4_6_1_1__3_Stage2MethaneProduction(G$115,F$68,H141,_xlfn.XLOOKUP($E160,$D$73:$D$81,$E$73:$E$81),$I$134)</f>
        <v>2.1039702220799996E-6</v>
      </c>
      <c r="I160" s="52" cm="1">
        <f t="array" ref="I160">MMS_Poultry_Methane_Equations.VEERG_4_6_1_1__3_Stage2MethaneProduction(H$115,G$68,I141,_xlfn.XLOOKUP($E160,$D$73:$D$81,$E$73:$E$81),$I$134)</f>
        <v>1.9692025343999993E-6</v>
      </c>
      <c r="J160" s="2"/>
      <c r="N160" s="52"/>
      <c r="O160" s="52" t="str">
        <f>'Input - Poultry'!$D$39</f>
        <v>Composting (passive windrow)</v>
      </c>
      <c r="P160" s="52" cm="1">
        <f t="array" ref="P160">MMS_Poultry_Methane_Equations.VEERG_4_6_1_1__3_Stage2MethaneProduction(O$115,D$68,F141,_xlfn.XLOOKUP($O160,$N$73:$N$81,$O$73:$O$81),$I$134)</f>
        <v>9.5155287551999953E-7</v>
      </c>
      <c r="Q160" s="52" cm="1">
        <f t="array" ref="Q160">MMS_Poultry_Methane_Equations.VEERG_4_6_1_1__3_Stage2MethaneProduction(P$115,E$68,G141,_xlfn.XLOOKUP($O160,$N$73:$N$81,$O$73:$O$81),$I$134)</f>
        <v>9.8460126719999963E-7</v>
      </c>
      <c r="R160" s="52" cm="1">
        <f t="array" ref="R160">MMS_Poultry_Methane_Equations.VEERG_4_6_1_1__3_Stage2MethaneProduction(Q$115,F$68,H141,_xlfn.XLOOKUP($O160,$N$73:$N$81,$O$73:$O$81),$I$134)</f>
        <v>1.0519851110399998E-6</v>
      </c>
      <c r="S160" s="52" cm="1">
        <f t="array" ref="S160">MMS_Poultry_Methane_Equations.VEERG_4_6_1_1__3_Stage2MethaneProduction(R$115,G$68,I141,_xlfn.XLOOKUP($O160,$N$73:$N$81,$O$73:$O$81),$I$134)</f>
        <v>9.8460126719999963E-7</v>
      </c>
      <c r="T160" s="2"/>
    </row>
    <row r="161" spans="1:21" ht="20.100000000000001" customHeight="1" x14ac:dyDescent="0.25">
      <c r="D161" s="52"/>
      <c r="E161" s="52" t="str">
        <f>'Input - Poultry'!$D$40</f>
        <v>Digester / covered lagoons</v>
      </c>
      <c r="F161" s="52" cm="1">
        <f t="array" ref="F161">MMS_Poultry_Methane_Equations.VEERG_4_6_1_1__3_Stage2MethaneProduction(E$115,D$68,F142,_xlfn.XLOOKUP($E161,$D$73:$D$81,$E$73:$E$81),$I$134)</f>
        <v>1.9031057510399994E-5</v>
      </c>
      <c r="G161" s="52" cm="1">
        <f t="array" ref="G161">MMS_Poultry_Methane_Equations.VEERG_4_6_1_1__3_Stage2MethaneProduction(F$115,E$68,G142,_xlfn.XLOOKUP($E161,$D$73:$D$81,$E$73:$E$81),$I$134)</f>
        <v>1.9692025343999994E-5</v>
      </c>
      <c r="H161" s="52" cm="1">
        <f t="array" ref="H161">MMS_Poultry_Methane_Equations.VEERG_4_6_1_1__3_Stage2MethaneProduction(G$115,F$68,H142,_xlfn.XLOOKUP($E161,$D$73:$D$81,$E$73:$E$81),$I$134)</f>
        <v>2.1039702220799998E-5</v>
      </c>
      <c r="I161" s="52" cm="1">
        <f t="array" ref="I161">MMS_Poultry_Methane_Equations.VEERG_4_6_1_1__3_Stage2MethaneProduction(H$115,G$68,I142,_xlfn.XLOOKUP($E161,$D$73:$D$81,$E$73:$E$81),$I$134)</f>
        <v>1.9692025343999994E-5</v>
      </c>
      <c r="J161" s="2"/>
      <c r="N161" s="52"/>
      <c r="O161" s="52" t="str">
        <f>'Input - Poultry'!$D$40</f>
        <v>Digester / covered lagoons</v>
      </c>
      <c r="P161" s="52" cm="1">
        <f t="array" ref="P161">MMS_Poultry_Methane_Equations.VEERG_4_6_1_1__3_Stage2MethaneProduction(O$115,D$68,F142,_xlfn.XLOOKUP($O161,$N$73:$N$81,$O$73:$O$81),$I$134)</f>
        <v>1.9031057510399994E-5</v>
      </c>
      <c r="Q161" s="52" cm="1">
        <f t="array" ref="Q161">MMS_Poultry_Methane_Equations.VEERG_4_6_1_1__3_Stage2MethaneProduction(P$115,E$68,G142,_xlfn.XLOOKUP($O161,$N$73:$N$81,$O$73:$O$81),$I$134)</f>
        <v>1.9692025343999994E-5</v>
      </c>
      <c r="R161" s="52" cm="1">
        <f t="array" ref="R161">MMS_Poultry_Methane_Equations.VEERG_4_6_1_1__3_Stage2MethaneProduction(Q$115,F$68,H142,_xlfn.XLOOKUP($O161,$N$73:$N$81,$O$73:$O$81),$I$134)</f>
        <v>2.1039702220799998E-5</v>
      </c>
      <c r="S161" s="52" cm="1">
        <f t="array" ref="S161">MMS_Poultry_Methane_Equations.VEERG_4_6_1_1__3_Stage2MethaneProduction(R$115,G$68,I142,_xlfn.XLOOKUP($O161,$N$73:$N$81,$O$73:$O$81),$I$134)</f>
        <v>1.9692025343999994E-5</v>
      </c>
      <c r="T161" s="2"/>
    </row>
    <row r="162" spans="1:21" ht="20.100000000000001" customHeight="1" x14ac:dyDescent="0.25">
      <c r="D162" s="52"/>
      <c r="E162" s="52" t="str">
        <f>'Input - Poultry'!$D$41</f>
        <v>Direct processing</v>
      </c>
      <c r="F162" s="52" cm="1">
        <f t="array" ref="F162">MMS_Poultry_Methane_Equations.VEERG_4_6_1_1__3_Stage2MethaneProduction(E$115,D$68,F143,_xlfn.XLOOKUP($E162,$D$73:$D$81,$E$73:$E$81),$I$134)</f>
        <v>0</v>
      </c>
      <c r="G162" s="52" cm="1">
        <f t="array" ref="G162">MMS_Poultry_Methane_Equations.VEERG_4_6_1_1__3_Stage2MethaneProduction(F$115,E$68,G143,_xlfn.XLOOKUP($E162,$D$73:$D$81,$E$73:$E$81),$I$134)</f>
        <v>0</v>
      </c>
      <c r="H162" s="52" cm="1">
        <f t="array" ref="H162">MMS_Poultry_Methane_Equations.VEERG_4_6_1_1__3_Stage2MethaneProduction(G$115,F$68,H143,_xlfn.XLOOKUP($E162,$D$73:$D$81,$E$73:$E$81),$I$134)</f>
        <v>0</v>
      </c>
      <c r="I162" s="52" cm="1">
        <f t="array" ref="I162">MMS_Poultry_Methane_Equations.VEERG_4_6_1_1__3_Stage2MethaneProduction(H$115,G$68,I143,_xlfn.XLOOKUP($E162,$D$73:$D$81,$E$73:$E$81),$I$134)</f>
        <v>0</v>
      </c>
      <c r="J162" s="2"/>
      <c r="N162" s="52"/>
      <c r="O162" s="52" t="str">
        <f>'Input - Poultry'!$D$41</f>
        <v>Direct processing</v>
      </c>
      <c r="P162" s="52" cm="1">
        <f t="array" ref="P162">MMS_Poultry_Methane_Equations.VEERG_4_6_1_1__3_Stage2MethaneProduction(O$115,D$68,F143,_xlfn.XLOOKUP($O162,$N$73:$N$81,$O$73:$O$81),$I$134)</f>
        <v>0</v>
      </c>
      <c r="Q162" s="52" cm="1">
        <f t="array" ref="Q162">MMS_Poultry_Methane_Equations.VEERG_4_6_1_1__3_Stage2MethaneProduction(P$115,E$68,G143,_xlfn.XLOOKUP($O162,$N$73:$N$81,$O$73:$O$81),$I$134)</f>
        <v>0</v>
      </c>
      <c r="R162" s="52" cm="1">
        <f t="array" ref="R162">MMS_Poultry_Methane_Equations.VEERG_4_6_1_1__3_Stage2MethaneProduction(Q$115,F$68,H143,_xlfn.XLOOKUP($O162,$N$73:$N$81,$O$73:$O$81),$I$134)</f>
        <v>0</v>
      </c>
      <c r="S162" s="52" cm="1">
        <f t="array" ref="S162">MMS_Poultry_Methane_Equations.VEERG_4_6_1_1__3_Stage2MethaneProduction(R$115,G$68,I143,_xlfn.XLOOKUP($O162,$N$73:$N$81,$O$73:$O$81),$I$134)</f>
        <v>0</v>
      </c>
      <c r="T162" s="2"/>
    </row>
    <row r="163" spans="1:21" ht="20.100000000000001" customHeight="1" x14ac:dyDescent="0.25">
      <c r="D163" s="52"/>
      <c r="E163" s="52" t="str">
        <f>'Input - Poultry'!$D$42</f>
        <v>Direct application</v>
      </c>
      <c r="F163" s="52" cm="1">
        <f t="array" ref="F163">MMS_Poultry_Methane_Equations.VEERG_4_6_1_1__3_Stage2MethaneProduction(E$115,D$68,F144,_xlfn.XLOOKUP($E163,$D$73:$D$81,$E$73:$E$81),$I$134)</f>
        <v>0</v>
      </c>
      <c r="G163" s="52" cm="1">
        <f t="array" ref="G163">MMS_Poultry_Methane_Equations.VEERG_4_6_1_1__3_Stage2MethaneProduction(F$115,E$68,G144,_xlfn.XLOOKUP($E163,$D$73:$D$81,$E$73:$E$81),$I$134)</f>
        <v>0</v>
      </c>
      <c r="H163" s="52" cm="1">
        <f t="array" ref="H163">MMS_Poultry_Methane_Equations.VEERG_4_6_1_1__3_Stage2MethaneProduction(G$115,F$68,H144,_xlfn.XLOOKUP($E163,$D$73:$D$81,$E$73:$E$81),$I$134)</f>
        <v>0</v>
      </c>
      <c r="I163" s="52" cm="1">
        <f t="array" ref="I163">MMS_Poultry_Methane_Equations.VEERG_4_6_1_1__3_Stage2MethaneProduction(H$115,G$68,I144,_xlfn.XLOOKUP($E163,$D$73:$D$81,$E$73:$E$81),$I$134)</f>
        <v>0</v>
      </c>
      <c r="N163" s="52"/>
      <c r="O163" s="52" t="str">
        <f>'Input - Poultry'!$D$42</f>
        <v>Direct application</v>
      </c>
      <c r="P163" s="52" cm="1">
        <f t="array" ref="P163">MMS_Poultry_Methane_Equations.VEERG_4_6_1_1__3_Stage2MethaneProduction(O$115,D$68,F144,_xlfn.XLOOKUP($O163,$N$73:$N$81,$O$73:$O$81),$I$134)</f>
        <v>0</v>
      </c>
      <c r="Q163" s="52" cm="1">
        <f t="array" ref="Q163">MMS_Poultry_Methane_Equations.VEERG_4_6_1_1__3_Stage2MethaneProduction(P$115,E$68,G144,_xlfn.XLOOKUP($O163,$N$73:$N$81,$O$73:$O$81),$I$134)</f>
        <v>0</v>
      </c>
      <c r="R163" s="52" cm="1">
        <f t="array" ref="R163">MMS_Poultry_Methane_Equations.VEERG_4_6_1_1__3_Stage2MethaneProduction(Q$115,F$68,H144,_xlfn.XLOOKUP($O163,$N$73:$N$81,$O$73:$O$81),$I$134)</f>
        <v>0</v>
      </c>
      <c r="S163" s="52" cm="1">
        <f t="array" ref="S163">MMS_Poultry_Methane_Equations.VEERG_4_6_1_1__3_Stage2MethaneProduction(R$115,G$68,I144,_xlfn.XLOOKUP($O163,$N$73:$N$81,$O$73:$O$81),$I$134)</f>
        <v>0</v>
      </c>
    </row>
    <row r="164" spans="1:21" ht="20.100000000000001" customHeight="1" x14ac:dyDescent="0.25">
      <c r="D164" s="52" t="str">
        <f>'Input - Poultry'!$D$31</f>
        <v>Belt manure removal</v>
      </c>
      <c r="E164" s="52" t="str">
        <f>'Input - Poultry'!$D$45</f>
        <v>Solid storage</v>
      </c>
      <c r="F164" s="52" cm="1">
        <f t="array" ref="F164">MMS_Poultry_Methane_Equations.VEERG_4_6_1_1__3_Stage2MethaneProduction(E$116,D$68,F145,_xlfn.XLOOKUP($E164,$D$73:$D$81,$E$73:$E$81),$I$134)</f>
        <v>4.4778958847999987E-6</v>
      </c>
      <c r="G164" s="52" cm="1">
        <f t="array" ref="G164">MMS_Poultry_Methane_Equations.VEERG_4_6_1_1__3_Stage2MethaneProduction(F$116,E$68,G145,_xlfn.XLOOKUP($E164,$D$73:$D$81,$E$73:$E$81),$I$134)</f>
        <v>4.6334177279999986E-6</v>
      </c>
      <c r="H164" s="52" cm="1">
        <f t="array" ref="H164">MMS_Poultry_Methane_Equations.VEERG_4_6_1_1__3_Stage2MethaneProduction(G$116,F$68,H145,_xlfn.XLOOKUP($E164,$D$73:$D$81,$E$73:$E$81),$I$134)</f>
        <v>4.9505181695999996E-6</v>
      </c>
      <c r="I164" s="52" cm="1">
        <f t="array" ref="I164">MMS_Poultry_Methane_Equations.VEERG_4_6_1_1__3_Stage2MethaneProduction(H$116,G$68,I145,_xlfn.XLOOKUP($E164,$D$73:$D$81,$E$73:$E$81),$I$134)</f>
        <v>4.6334177279999986E-6</v>
      </c>
      <c r="J164" s="2"/>
      <c r="N164" s="52" t="str">
        <f>'Input - Poultry'!$D$31</f>
        <v>Belt manure removal</v>
      </c>
      <c r="O164" s="52" t="str">
        <f>'Input - Poultry'!$D$45</f>
        <v>Solid storage</v>
      </c>
      <c r="P164" s="52" cm="1">
        <f t="array" ref="P164">MMS_Poultry_Methane_Equations.VEERG_4_6_1_1__3_Stage2MethaneProduction(O$116,D$68,F145,_xlfn.XLOOKUP($O164,$N$73:$N$81,$O$73:$O$81),$I$134)</f>
        <v>4.4778958847999987E-6</v>
      </c>
      <c r="Q164" s="52" cm="1">
        <f t="array" ref="Q164">MMS_Poultry_Methane_Equations.VEERG_4_6_1_1__3_Stage2MethaneProduction(P$116,E$68,G145,_xlfn.XLOOKUP($O164,$N$73:$N$81,$O$73:$O$81),$I$134)</f>
        <v>4.6334177279999986E-6</v>
      </c>
      <c r="R164" s="52" cm="1">
        <f t="array" ref="R164">MMS_Poultry_Methane_Equations.VEERG_4_6_1_1__3_Stage2MethaneProduction(Q$116,F$68,H145,_xlfn.XLOOKUP($O164,$N$73:$N$81,$O$73:$O$81),$I$134)</f>
        <v>4.9505181695999996E-6</v>
      </c>
      <c r="S164" s="52" cm="1">
        <f t="array" ref="S164">MMS_Poultry_Methane_Equations.VEERG_4_6_1_1__3_Stage2MethaneProduction(R$116,G$68,I145,_xlfn.XLOOKUP($O164,$N$73:$N$81,$O$73:$O$81),$I$134)</f>
        <v>4.6334177279999986E-6</v>
      </c>
      <c r="T164" s="2"/>
    </row>
    <row r="165" spans="1:21" ht="20.100000000000001" customHeight="1" x14ac:dyDescent="0.25">
      <c r="D165" s="52"/>
      <c r="E165" s="52" t="str">
        <f>'Input - Poultry'!$D$46</f>
        <v>Composting (passive windrow)</v>
      </c>
      <c r="F165" s="52" cm="1">
        <f t="array" ref="F165">MMS_Poultry_Methane_Equations.VEERG_4_6_1_1__3_Stage2MethaneProduction(E$116,D$68,F146,_xlfn.XLOOKUP($E165,$D$73:$D$81,$E$73:$E$81),$I$134)</f>
        <v>2.2389479423999994E-6</v>
      </c>
      <c r="G165" s="52" cm="1">
        <f t="array" ref="G165">MMS_Poultry_Methane_Equations.VEERG_4_6_1_1__3_Stage2MethaneProduction(F$116,E$68,G146,_xlfn.XLOOKUP($E165,$D$73:$D$81,$E$73:$E$81),$I$134)</f>
        <v>2.3167088639999993E-6</v>
      </c>
      <c r="H165" s="52" cm="1">
        <f t="array" ref="H165">MMS_Poultry_Methane_Equations.VEERG_4_6_1_1__3_Stage2MethaneProduction(G$116,F$68,H146,_xlfn.XLOOKUP($E165,$D$73:$D$81,$E$73:$E$81),$I$134)</f>
        <v>2.4752590847999998E-6</v>
      </c>
      <c r="I165" s="52" cm="1">
        <f t="array" ref="I165">MMS_Poultry_Methane_Equations.VEERG_4_6_1_1__3_Stage2MethaneProduction(H$116,G$68,I146,_xlfn.XLOOKUP($E165,$D$73:$D$81,$E$73:$E$81),$I$134)</f>
        <v>2.3167088639999993E-6</v>
      </c>
      <c r="J165" s="2"/>
      <c r="N165" s="52"/>
      <c r="O165" s="52" t="str">
        <f>'Input - Poultry'!$D$46</f>
        <v>Composting (passive windrow)</v>
      </c>
      <c r="P165" s="52" cm="1">
        <f t="array" ref="P165">MMS_Poultry_Methane_Equations.VEERG_4_6_1_1__3_Stage2MethaneProduction(O$116,D$68,F146,_xlfn.XLOOKUP($O165,$N$73:$N$81,$O$73:$O$81),$I$134)</f>
        <v>1.1194739711999997E-6</v>
      </c>
      <c r="Q165" s="52" cm="1">
        <f t="array" ref="Q165">MMS_Poultry_Methane_Equations.VEERG_4_6_1_1__3_Stage2MethaneProduction(P$116,E$68,G146,_xlfn.XLOOKUP($O165,$N$73:$N$81,$O$73:$O$81),$I$134)</f>
        <v>1.1583544319999997E-6</v>
      </c>
      <c r="R165" s="52" cm="1">
        <f t="array" ref="R165">MMS_Poultry_Methane_Equations.VEERG_4_6_1_1__3_Stage2MethaneProduction(Q$116,F$68,H146,_xlfn.XLOOKUP($O165,$N$73:$N$81,$O$73:$O$81),$I$134)</f>
        <v>1.2376295423999999E-6</v>
      </c>
      <c r="S165" s="52" cm="1">
        <f t="array" ref="S165">MMS_Poultry_Methane_Equations.VEERG_4_6_1_1__3_Stage2MethaneProduction(R$116,G$68,I146,_xlfn.XLOOKUP($O165,$N$73:$N$81,$O$73:$O$81),$I$134)</f>
        <v>1.1583544319999997E-6</v>
      </c>
      <c r="T165" s="2"/>
    </row>
    <row r="166" spans="1:21" ht="20.100000000000001" customHeight="1" x14ac:dyDescent="0.25">
      <c r="D166" s="52"/>
      <c r="E166" s="52" t="str">
        <f>'Input - Poultry'!$D$47</f>
        <v>Digester / covered lagoons</v>
      </c>
      <c r="F166" s="52" cm="1">
        <f t="array" ref="F166">MMS_Poultry_Methane_Equations.VEERG_4_6_1_1__3_Stage2MethaneProduction(E$116,D$68,F147,_xlfn.XLOOKUP($E166,$D$73:$D$81,$E$73:$E$81),$I$134)</f>
        <v>2.2389479423999996E-5</v>
      </c>
      <c r="G166" s="52" cm="1">
        <f t="array" ref="G166">MMS_Poultry_Methane_Equations.VEERG_4_6_1_1__3_Stage2MethaneProduction(F$116,E$68,G147,_xlfn.XLOOKUP($E166,$D$73:$D$81,$E$73:$E$81),$I$134)</f>
        <v>2.3167088639999993E-5</v>
      </c>
      <c r="H166" s="52" cm="1">
        <f t="array" ref="H166">MMS_Poultry_Methane_Equations.VEERG_4_6_1_1__3_Stage2MethaneProduction(G$116,F$68,H147,_xlfn.XLOOKUP($E166,$D$73:$D$81,$E$73:$E$81),$I$134)</f>
        <v>2.4752590847999998E-5</v>
      </c>
      <c r="I166" s="52" cm="1">
        <f t="array" ref="I166">MMS_Poultry_Methane_Equations.VEERG_4_6_1_1__3_Stage2MethaneProduction(H$116,G$68,I147,_xlfn.XLOOKUP($E166,$D$73:$D$81,$E$73:$E$81),$I$134)</f>
        <v>2.3167088639999993E-5</v>
      </c>
      <c r="J166" s="2"/>
      <c r="N166" s="52"/>
      <c r="O166" s="52" t="str">
        <f>'Input - Poultry'!$D$47</f>
        <v>Digester / covered lagoons</v>
      </c>
      <c r="P166" s="52" cm="1">
        <f t="array" ref="P166">MMS_Poultry_Methane_Equations.VEERG_4_6_1_1__3_Stage2MethaneProduction(O$116,D$68,F147,_xlfn.XLOOKUP($O166,$N$73:$N$81,$O$73:$O$81),$I$134)</f>
        <v>2.2389479423999996E-5</v>
      </c>
      <c r="Q166" s="52" cm="1">
        <f t="array" ref="Q166">MMS_Poultry_Methane_Equations.VEERG_4_6_1_1__3_Stage2MethaneProduction(P$116,E$68,G147,_xlfn.XLOOKUP($O166,$N$73:$N$81,$O$73:$O$81),$I$134)</f>
        <v>2.3167088639999993E-5</v>
      </c>
      <c r="R166" s="52" cm="1">
        <f t="array" ref="R166">MMS_Poultry_Methane_Equations.VEERG_4_6_1_1__3_Stage2MethaneProduction(Q$116,F$68,H147,_xlfn.XLOOKUP($O166,$N$73:$N$81,$O$73:$O$81),$I$134)</f>
        <v>2.4752590847999998E-5</v>
      </c>
      <c r="S166" s="52" cm="1">
        <f t="array" ref="S166">MMS_Poultry_Methane_Equations.VEERG_4_6_1_1__3_Stage2MethaneProduction(R$116,G$68,I147,_xlfn.XLOOKUP($O166,$N$73:$N$81,$O$73:$O$81),$I$134)</f>
        <v>2.3167088639999993E-5</v>
      </c>
      <c r="T166" s="2"/>
    </row>
    <row r="167" spans="1:21" ht="20.100000000000001" customHeight="1" x14ac:dyDescent="0.25">
      <c r="D167" s="52"/>
      <c r="E167" s="52" t="str">
        <f>'Input - Poultry'!$D$48</f>
        <v>Direct processing</v>
      </c>
      <c r="F167" s="52" cm="1">
        <f t="array" ref="F167">MMS_Poultry_Methane_Equations.VEERG_4_6_1_1__3_Stage2MethaneProduction(E$116,D$68,F148,_xlfn.XLOOKUP($E167,$D$73:$D$81,$E$73:$E$81),$I$134)</f>
        <v>0</v>
      </c>
      <c r="G167" s="52" cm="1">
        <f t="array" ref="G167">MMS_Poultry_Methane_Equations.VEERG_4_6_1_1__3_Stage2MethaneProduction(F$116,E$68,G148,_xlfn.XLOOKUP($E167,$D$73:$D$81,$E$73:$E$81),$I$134)</f>
        <v>0</v>
      </c>
      <c r="H167" s="52" cm="1">
        <f t="array" ref="H167">MMS_Poultry_Methane_Equations.VEERG_4_6_1_1__3_Stage2MethaneProduction(G$116,F$68,H148,_xlfn.XLOOKUP($E167,$D$73:$D$81,$E$73:$E$81),$I$134)</f>
        <v>0</v>
      </c>
      <c r="I167" s="52" cm="1">
        <f t="array" ref="I167">MMS_Poultry_Methane_Equations.VEERG_4_6_1_1__3_Stage2MethaneProduction(H$116,G$68,I148,_xlfn.XLOOKUP($E167,$D$73:$D$81,$E$73:$E$81),$I$134)</f>
        <v>0</v>
      </c>
      <c r="J167" s="2"/>
      <c r="N167" s="52"/>
      <c r="O167" s="52" t="str">
        <f>'Input - Poultry'!$D$48</f>
        <v>Direct processing</v>
      </c>
      <c r="P167" s="52" cm="1">
        <f t="array" ref="P167">MMS_Poultry_Methane_Equations.VEERG_4_6_1_1__3_Stage2MethaneProduction(O$116,D$68,F148,_xlfn.XLOOKUP($O167,$N$73:$N$81,$O$73:$O$81),$I$134)</f>
        <v>0</v>
      </c>
      <c r="Q167" s="52" cm="1">
        <f t="array" ref="Q167">MMS_Poultry_Methane_Equations.VEERG_4_6_1_1__3_Stage2MethaneProduction(P$116,E$68,G148,_xlfn.XLOOKUP($O167,$N$73:$N$81,$O$73:$O$81),$I$134)</f>
        <v>0</v>
      </c>
      <c r="R167" s="52" cm="1">
        <f t="array" ref="R167">MMS_Poultry_Methane_Equations.VEERG_4_6_1_1__3_Stage2MethaneProduction(Q$116,F$68,H148,_xlfn.XLOOKUP($O167,$N$73:$N$81,$O$73:$O$81),$I$134)</f>
        <v>0</v>
      </c>
      <c r="S167" s="52" cm="1">
        <f t="array" ref="S167">MMS_Poultry_Methane_Equations.VEERG_4_6_1_1__3_Stage2MethaneProduction(R$116,G$68,I148,_xlfn.XLOOKUP($O167,$N$73:$N$81,$O$73:$O$81),$I$134)</f>
        <v>0</v>
      </c>
      <c r="T167" s="2"/>
    </row>
    <row r="168" spans="1:21" ht="20.100000000000001" customHeight="1" x14ac:dyDescent="0.25">
      <c r="D168" s="52"/>
      <c r="E168" s="52" t="str">
        <f>'Input - Poultry'!$D$48</f>
        <v>Direct processing</v>
      </c>
      <c r="F168" s="52" cm="1">
        <f t="array" ref="F168">MMS_Poultry_Methane_Equations.VEERG_4_6_1_1__3_Stage2MethaneProduction(E$116,D$68,F149,_xlfn.XLOOKUP($E168,$D$73:$D$81,$E$73:$E$81),$I$134)</f>
        <v>0</v>
      </c>
      <c r="G168" s="52" cm="1">
        <f t="array" ref="G168">MMS_Poultry_Methane_Equations.VEERG_4_6_1_1__3_Stage2MethaneProduction(F$116,E$68,G149,_xlfn.XLOOKUP($E168,$D$73:$D$81,$E$73:$E$81),$I$134)</f>
        <v>0</v>
      </c>
      <c r="H168" s="52" cm="1">
        <f t="array" ref="H168">MMS_Poultry_Methane_Equations.VEERG_4_6_1_1__3_Stage2MethaneProduction(G$116,F$68,H149,_xlfn.XLOOKUP($E168,$D$73:$D$81,$E$73:$E$81),$I$134)</f>
        <v>0</v>
      </c>
      <c r="I168" s="52" cm="1">
        <f t="array" ref="I168">MMS_Poultry_Methane_Equations.VEERG_4_6_1_1__3_Stage2MethaneProduction(H$116,G$68,I149,_xlfn.XLOOKUP($E168,$D$73:$D$81,$E$73:$E$81),$I$134)</f>
        <v>0</v>
      </c>
      <c r="N168" s="52"/>
      <c r="O168" s="52" t="str">
        <f>'Input - Poultry'!$D$49</f>
        <v>Direct application</v>
      </c>
      <c r="P168" s="52" cm="1">
        <f t="array" ref="P168">MMS_Poultry_Methane_Equations.VEERG_4_6_1_1__3_Stage2MethaneProduction(O$116,D$68,F149,_xlfn.XLOOKUP($O168,$N$73:$N$81,$O$73:$O$81),$I$134)</f>
        <v>0</v>
      </c>
      <c r="Q168" s="52" cm="1">
        <f t="array" ref="Q168">MMS_Poultry_Methane_Equations.VEERG_4_6_1_1__3_Stage2MethaneProduction(P$116,E$68,G149,_xlfn.XLOOKUP($O168,$N$73:$N$81,$O$73:$O$81),$I$134)</f>
        <v>0</v>
      </c>
      <c r="R168" s="52" cm="1">
        <f t="array" ref="R168">MMS_Poultry_Methane_Equations.VEERG_4_6_1_1__3_Stage2MethaneProduction(Q$116,F$68,H149,_xlfn.XLOOKUP($O168,$N$73:$N$81,$O$73:$O$81),$I$134)</f>
        <v>0</v>
      </c>
      <c r="S168" s="52" cm="1">
        <f t="array" ref="S168">MMS_Poultry_Methane_Equations.VEERG_4_6_1_1__3_Stage2MethaneProduction(R$116,G$68,I149,_xlfn.XLOOKUP($O168,$N$73:$N$81,$O$73:$O$81),$I$134)</f>
        <v>0</v>
      </c>
    </row>
    <row r="169" spans="1:21" ht="20.100000000000001" customHeight="1" x14ac:dyDescent="0.25">
      <c r="D169" s="52" t="str">
        <f>'Input - Poultry'!$D$32</f>
        <v>Manure stored in house</v>
      </c>
      <c r="E169" s="52" t="str">
        <f>'Input - Poultry'!$D$52</f>
        <v>Solid storage</v>
      </c>
      <c r="F169" s="52" cm="1">
        <f t="array" ref="F169">MMS_Poultry_Methane_Equations.VEERG_4_6_1_1__3_Stage2MethaneProduction(E$117,D$68,F150,_xlfn.XLOOKUP($E169,$D$73:$D$81,$E$73:$E$81),$I$134)</f>
        <v>3.5823167078399993E-6</v>
      </c>
      <c r="G169" s="52" cm="1">
        <f t="array" ref="G169">MMS_Poultry_Methane_Equations.VEERG_4_6_1_1__3_Stage2MethaneProduction(F$117,E$68,G150,_xlfn.XLOOKUP($E169,$D$73:$D$81,$E$73:$E$81),$I$134)</f>
        <v>3.7067341823999979E-6</v>
      </c>
      <c r="H169" s="52" cm="1">
        <f t="array" ref="H169">MMS_Poultry_Methane_Equations.VEERG_4_6_1_1__3_Stage2MethaneProduction(G$117,F$68,H150,_xlfn.XLOOKUP($E169,$D$73:$D$81,$E$73:$E$81),$I$134)</f>
        <v>3.9604145356799999E-6</v>
      </c>
      <c r="I169" s="52" cm="1">
        <f t="array" ref="I169">MMS_Poultry_Methane_Equations.VEERG_4_6_1_1__3_Stage2MethaneProduction(H$117,G$68,I150,_xlfn.XLOOKUP($E169,$D$73:$D$81,$E$73:$E$81),$I$134)</f>
        <v>3.7067341823999979E-6</v>
      </c>
      <c r="J169" s="2"/>
      <c r="N169" s="52" t="str">
        <f>'Input - Poultry'!$D$32</f>
        <v>Manure stored in house</v>
      </c>
      <c r="O169" s="52" t="str">
        <f>'Input - Poultry'!$D$52</f>
        <v>Solid storage</v>
      </c>
      <c r="P169" s="52" cm="1">
        <f t="array" ref="P169">MMS_Poultry_Methane_Equations.VEERG_4_6_1_1__3_Stage2MethaneProduction(O$117,D$68,F150,_xlfn.XLOOKUP($O169,$N$73:$N$81,$O$73:$O$81),$I$134)</f>
        <v>3.5823167078399993E-6</v>
      </c>
      <c r="Q169" s="52" cm="1">
        <f t="array" ref="Q169">MMS_Poultry_Methane_Equations.VEERG_4_6_1_1__3_Stage2MethaneProduction(P$117,E$68,G150,_xlfn.XLOOKUP($O169,$N$73:$N$81,$O$73:$O$81),$I$134)</f>
        <v>3.7067341823999979E-6</v>
      </c>
      <c r="R169" s="52" cm="1">
        <f t="array" ref="R169">MMS_Poultry_Methane_Equations.VEERG_4_6_1_1__3_Stage2MethaneProduction(Q$117,F$68,H150,_xlfn.XLOOKUP($O169,$N$73:$N$81,$O$73:$O$81),$I$134)</f>
        <v>3.9604145356799999E-6</v>
      </c>
      <c r="S169" s="52" cm="1">
        <f t="array" ref="S169">MMS_Poultry_Methane_Equations.VEERG_4_6_1_1__3_Stage2MethaneProduction(R$117,G$68,I150,_xlfn.XLOOKUP($O169,$N$73:$N$81,$O$73:$O$81),$I$134)</f>
        <v>3.7067341823999979E-6</v>
      </c>
      <c r="T169" s="2"/>
    </row>
    <row r="170" spans="1:21" ht="20.100000000000001" customHeight="1" x14ac:dyDescent="0.25">
      <c r="D170" s="52"/>
      <c r="E170" s="52" t="str">
        <f>'Input - Poultry'!$D$53</f>
        <v>Composting (passive windrow)</v>
      </c>
      <c r="F170" s="52" cm="1">
        <f t="array" ref="F170">MMS_Poultry_Methane_Equations.VEERG_4_6_1_1__3_Stage2MethaneProduction(E$117,D$68,F151,_xlfn.XLOOKUP($E170,$D$73:$D$81,$E$73:$E$81),$I$134)</f>
        <v>1.7911583539199997E-6</v>
      </c>
      <c r="G170" s="52" cm="1">
        <f t="array" ref="G170">MMS_Poultry_Methane_Equations.VEERG_4_6_1_1__3_Stage2MethaneProduction(F$117,E$68,G151,_xlfn.XLOOKUP($E170,$D$73:$D$81,$E$73:$E$81),$I$134)</f>
        <v>1.8533670911999989E-6</v>
      </c>
      <c r="H170" s="52" cm="1">
        <f t="array" ref="H170">MMS_Poultry_Methane_Equations.VEERG_4_6_1_1__3_Stage2MethaneProduction(G$117,F$68,H151,_xlfn.XLOOKUP($E170,$D$73:$D$81,$E$73:$E$81),$I$134)</f>
        <v>1.9802072678399999E-6</v>
      </c>
      <c r="I170" s="52" cm="1">
        <f t="array" ref="I170">MMS_Poultry_Methane_Equations.VEERG_4_6_1_1__3_Stage2MethaneProduction(H$117,G$68,I151,_xlfn.XLOOKUP($E170,$D$73:$D$81,$E$73:$E$81),$I$134)</f>
        <v>1.8533670911999989E-6</v>
      </c>
      <c r="J170" s="2"/>
      <c r="N170" s="52"/>
      <c r="O170" s="52" t="str">
        <f>'Input - Poultry'!$D$53</f>
        <v>Composting (passive windrow)</v>
      </c>
      <c r="P170" s="52" cm="1">
        <f t="array" ref="P170">MMS_Poultry_Methane_Equations.VEERG_4_6_1_1__3_Stage2MethaneProduction(O$117,D$68,F151,_xlfn.XLOOKUP($O170,$N$73:$N$81,$O$73:$O$81),$I$134)</f>
        <v>8.9557917695999983E-7</v>
      </c>
      <c r="Q170" s="52" cm="1">
        <f t="array" ref="Q170">MMS_Poultry_Methane_Equations.VEERG_4_6_1_1__3_Stage2MethaneProduction(P$117,E$68,G151,_xlfn.XLOOKUP($O170,$N$73:$N$81,$O$73:$O$81),$I$134)</f>
        <v>9.2668354559999947E-7</v>
      </c>
      <c r="R170" s="52" cm="1">
        <f t="array" ref="R170">MMS_Poultry_Methane_Equations.VEERG_4_6_1_1__3_Stage2MethaneProduction(Q$117,F$68,H151,_xlfn.XLOOKUP($O170,$N$73:$N$81,$O$73:$O$81),$I$134)</f>
        <v>9.9010363391999997E-7</v>
      </c>
      <c r="S170" s="52" cm="1">
        <f t="array" ref="S170">MMS_Poultry_Methane_Equations.VEERG_4_6_1_1__3_Stage2MethaneProduction(R$117,G$68,I151,_xlfn.XLOOKUP($O170,$N$73:$N$81,$O$73:$O$81),$I$134)</f>
        <v>9.2668354559999947E-7</v>
      </c>
      <c r="T170" s="2"/>
    </row>
    <row r="171" spans="1:21" ht="20.100000000000001" customHeight="1" x14ac:dyDescent="0.25">
      <c r="A171" s="145" t="str">
        <f>HYPERLINK("#A1", "▲ Back to top")</f>
        <v>▲ Back to top</v>
      </c>
      <c r="D171" s="52"/>
      <c r="E171" s="52" t="str">
        <f>'Input - Poultry'!$D$54</f>
        <v>Digester / covered lagoons</v>
      </c>
      <c r="F171" s="52" cm="1">
        <f t="array" ref="F171">MMS_Poultry_Methane_Equations.VEERG_4_6_1_1__3_Stage2MethaneProduction(E$117,D$68,F152,_xlfn.XLOOKUP($E171,$D$73:$D$81,$E$73:$E$81),$I$134)</f>
        <v>1.7911583539199998E-5</v>
      </c>
      <c r="G171" s="52" cm="1">
        <f t="array" ref="G171">MMS_Poultry_Methane_Equations.VEERG_4_6_1_1__3_Stage2MethaneProduction(F$117,E$68,G152,_xlfn.XLOOKUP($E171,$D$73:$D$81,$E$73:$E$81),$I$134)</f>
        <v>1.8533670911999991E-5</v>
      </c>
      <c r="H171" s="52" cm="1">
        <f t="array" ref="H171">MMS_Poultry_Methane_Equations.VEERG_4_6_1_1__3_Stage2MethaneProduction(G$117,F$68,H152,_xlfn.XLOOKUP($E171,$D$73:$D$81,$E$73:$E$81),$I$134)</f>
        <v>1.9802072678399998E-5</v>
      </c>
      <c r="I171" s="52" cm="1">
        <f t="array" ref="I171">MMS_Poultry_Methane_Equations.VEERG_4_6_1_1__3_Stage2MethaneProduction(H$117,G$68,I152,_xlfn.XLOOKUP($E171,$D$73:$D$81,$E$73:$E$81),$I$134)</f>
        <v>1.8533670911999991E-5</v>
      </c>
      <c r="J171" s="2"/>
      <c r="N171" s="52"/>
      <c r="O171" s="52" t="str">
        <f>'Input - Poultry'!$D$54</f>
        <v>Digester / covered lagoons</v>
      </c>
      <c r="P171" s="52" cm="1">
        <f t="array" ref="P171">MMS_Poultry_Methane_Equations.VEERG_4_6_1_1__3_Stage2MethaneProduction(O$117,D$68,F152,_xlfn.XLOOKUP($O171,$N$73:$N$81,$O$73:$O$81),$I$134)</f>
        <v>1.7911583539199998E-5</v>
      </c>
      <c r="Q171" s="52" cm="1">
        <f t="array" ref="Q171">MMS_Poultry_Methane_Equations.VEERG_4_6_1_1__3_Stage2MethaneProduction(P$117,E$68,G152,_xlfn.XLOOKUP($O171,$N$73:$N$81,$O$73:$O$81),$I$134)</f>
        <v>1.8533670911999991E-5</v>
      </c>
      <c r="R171" s="52" cm="1">
        <f t="array" ref="R171">MMS_Poultry_Methane_Equations.VEERG_4_6_1_1__3_Stage2MethaneProduction(Q$117,F$68,H152,_xlfn.XLOOKUP($O171,$N$73:$N$81,$O$73:$O$81),$I$134)</f>
        <v>1.9802072678399998E-5</v>
      </c>
      <c r="S171" s="52" cm="1">
        <f t="array" ref="S171">MMS_Poultry_Methane_Equations.VEERG_4_6_1_1__3_Stage2MethaneProduction(R$117,G$68,I152,_xlfn.XLOOKUP($O171,$N$73:$N$81,$O$73:$O$81),$I$134)</f>
        <v>1.8533670911999991E-5</v>
      </c>
      <c r="T171" s="2"/>
    </row>
    <row r="172" spans="1:21" ht="20.100000000000001" customHeight="1" x14ac:dyDescent="0.25">
      <c r="D172" s="52"/>
      <c r="E172" s="52" t="str">
        <f>'Input - Poultry'!$D$55</f>
        <v>Direct processing</v>
      </c>
      <c r="F172" s="52" cm="1">
        <f t="array" ref="F172">MMS_Poultry_Methane_Equations.VEERG_4_6_1_1__3_Stage2MethaneProduction(E$117,D$68,F153,_xlfn.XLOOKUP($E172,$D$73:$D$81,$E$73:$E$81),$I$134)</f>
        <v>0</v>
      </c>
      <c r="G172" s="52" cm="1">
        <f t="array" ref="G172">MMS_Poultry_Methane_Equations.VEERG_4_6_1_1__3_Stage2MethaneProduction(F$117,E$68,G153,_xlfn.XLOOKUP($E172,$D$73:$D$81,$E$73:$E$81),$I$134)</f>
        <v>0</v>
      </c>
      <c r="H172" s="52" cm="1">
        <f t="array" ref="H172">MMS_Poultry_Methane_Equations.VEERG_4_6_1_1__3_Stage2MethaneProduction(G$117,F$68,H153,_xlfn.XLOOKUP($E172,$D$73:$D$81,$E$73:$E$81),$I$134)</f>
        <v>0</v>
      </c>
      <c r="I172" s="52" cm="1">
        <f t="array" ref="I172">MMS_Poultry_Methane_Equations.VEERG_4_6_1_1__3_Stage2MethaneProduction(H$117,G$68,I153,_xlfn.XLOOKUP($E172,$D$73:$D$81,$E$73:$E$81),$I$134)</f>
        <v>0</v>
      </c>
      <c r="J172" s="2"/>
      <c r="N172" s="52"/>
      <c r="O172" s="52" t="str">
        <f>'Input - Poultry'!$D$55</f>
        <v>Direct processing</v>
      </c>
      <c r="P172" s="52" cm="1">
        <f t="array" ref="P172">MMS_Poultry_Methane_Equations.VEERG_4_6_1_1__3_Stage2MethaneProduction(O$117,D$68,F153,_xlfn.XLOOKUP($O172,$N$73:$N$81,$O$73:$O$81),$I$134)</f>
        <v>0</v>
      </c>
      <c r="Q172" s="52" cm="1">
        <f t="array" ref="Q172">MMS_Poultry_Methane_Equations.VEERG_4_6_1_1__3_Stage2MethaneProduction(P$117,E$68,G153,_xlfn.XLOOKUP($O172,$N$73:$N$81,$O$73:$O$81),$I$134)</f>
        <v>0</v>
      </c>
      <c r="R172" s="52" cm="1">
        <f t="array" ref="R172">MMS_Poultry_Methane_Equations.VEERG_4_6_1_1__3_Stage2MethaneProduction(Q$117,F$68,H153,_xlfn.XLOOKUP($O172,$N$73:$N$81,$O$73:$O$81),$I$134)</f>
        <v>0</v>
      </c>
      <c r="S172" s="52" cm="1">
        <f t="array" ref="S172">MMS_Poultry_Methane_Equations.VEERG_4_6_1_1__3_Stage2MethaneProduction(R$117,G$68,I153,_xlfn.XLOOKUP($O172,$N$73:$N$81,$O$73:$O$81),$I$134)</f>
        <v>0</v>
      </c>
      <c r="T172" s="2"/>
    </row>
    <row r="173" spans="1:21" ht="20.100000000000001" customHeight="1" x14ac:dyDescent="0.25">
      <c r="D173" s="52"/>
      <c r="E173" s="52" t="str">
        <f>'Input - Poultry'!$D$56</f>
        <v>Direct application</v>
      </c>
      <c r="F173" s="52" cm="1">
        <f t="array" ref="F173">MMS_Poultry_Methane_Equations.VEERG_4_6_1_1__3_Stage2MethaneProduction(E$117,D$68,F154,_xlfn.XLOOKUP($E173,$D$73:$D$81,$E$73:$E$81),$I$134)</f>
        <v>0</v>
      </c>
      <c r="G173" s="52" cm="1">
        <f t="array" ref="G173">MMS_Poultry_Methane_Equations.VEERG_4_6_1_1__3_Stage2MethaneProduction(F$117,E$68,G154,_xlfn.XLOOKUP($E173,$D$73:$D$81,$E$73:$E$81),$I$134)</f>
        <v>0</v>
      </c>
      <c r="H173" s="52" cm="1">
        <f t="array" ref="H173">MMS_Poultry_Methane_Equations.VEERG_4_6_1_1__3_Stage2MethaneProduction(G$117,F$68,H154,_xlfn.XLOOKUP($E173,$D$73:$D$81,$E$73:$E$81),$I$134)</f>
        <v>0</v>
      </c>
      <c r="I173" s="52" cm="1">
        <f t="array" ref="I173">MMS_Poultry_Methane_Equations.VEERG_4_6_1_1__3_Stage2MethaneProduction(H$117,G$68,I154,_xlfn.XLOOKUP($E173,$D$73:$D$81,$E$73:$E$81),$I$134)</f>
        <v>0</v>
      </c>
      <c r="N173" s="52"/>
      <c r="O173" s="52" t="str">
        <f>'Input - Poultry'!$D$56</f>
        <v>Direct application</v>
      </c>
      <c r="P173" s="52" cm="1">
        <f t="array" ref="P173">MMS_Poultry_Methane_Equations.VEERG_4_6_1_1__3_Stage2MethaneProduction(O$117,D$68,F154,_xlfn.XLOOKUP($O173,$N$73:$N$81,$O$73:$O$81),$I$134)</f>
        <v>0</v>
      </c>
      <c r="Q173" s="52" cm="1">
        <f t="array" ref="Q173">MMS_Poultry_Methane_Equations.VEERG_4_6_1_1__3_Stage2MethaneProduction(P$117,E$68,G154,_xlfn.XLOOKUP($O173,$N$73:$N$81,$O$73:$O$81),$I$134)</f>
        <v>0</v>
      </c>
      <c r="R173" s="52" cm="1">
        <f t="array" ref="R173">MMS_Poultry_Methane_Equations.VEERG_4_6_1_1__3_Stage2MethaneProduction(Q$117,F$68,H154,_xlfn.XLOOKUP($O173,$N$73:$N$81,$O$73:$O$81),$I$134)</f>
        <v>0</v>
      </c>
      <c r="S173" s="52"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5"/>
      <c r="D176" s="45"/>
      <c r="E176" s="45"/>
      <c r="F176" s="45"/>
      <c r="G176" s="45"/>
      <c r="H176" s="45"/>
      <c r="I176" s="45"/>
      <c r="J176" s="45"/>
      <c r="K176" s="45"/>
      <c r="M176" s="45"/>
      <c r="N176" s="45"/>
      <c r="O176" s="45"/>
      <c r="P176" s="45"/>
      <c r="Q176" s="45"/>
      <c r="R176" s="45"/>
      <c r="S176" s="45"/>
      <c r="T176" s="45"/>
      <c r="U176" s="45"/>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23</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3" t="s">
        <v>26</v>
      </c>
      <c r="E182" s="1" t="str" cm="1">
        <f t="array" ref="E182">MMS_Poultry_Methane_Equations.VEERG_4_6_1_1__1_TotalAnnualMethaneEmissions_Variable()</f>
        <v>E_CH4</v>
      </c>
    </row>
    <row r="183" spans="4:10" ht="20.100000000000001" customHeight="1" x14ac:dyDescent="0.25">
      <c r="D183" s="53" t="s">
        <v>16</v>
      </c>
      <c r="E183" s="54" t="str" cm="1">
        <f t="array" ref="E183">MMS_Poultry_Methane_Equations.VEERG_4_6_1_1__1_TotalAnnualMethaneEmissions_Unit()</f>
        <v>t CH4</v>
      </c>
    </row>
    <row r="184" spans="4:10" ht="20.100000000000001" customHeight="1" x14ac:dyDescent="0.25"/>
    <row r="185" spans="4:10" ht="20.100000000000001" customHeight="1" x14ac:dyDescent="0.25">
      <c r="D185" s="141" t="str" cm="1">
        <f t="array" ref="D185:E187">_xlfn.CHOOSECOLS(MMS_Poultry_Methane_Equations.VEERG_4_6_1_1__1_TotalAnnualMethaneEmissions_Arguments(),1,2)</f>
        <v>D_jk</v>
      </c>
      <c r="E185" s="141" t="str">
        <v>duration of stay of each class and subclass of poultry</v>
      </c>
      <c r="F185" s="141"/>
      <c r="G185" s="141" t="str" cm="1">
        <f t="array" ref="G185:H187">_xlfn.CHOOSECOLS(MMS_Poultry_Methane_Equations.VEERG_4_6_1_1__1_TotalAnnualMethaneEmissions_Arguments(),3,4)</f>
        <v>days</v>
      </c>
      <c r="H185" s="139" t="str">
        <v>Input</v>
      </c>
      <c r="I185" s="142" t="str" cm="1">
        <f t="array" aca="1" ref="I185" ca="1">HYPERLINK(Common_InputFunctions.Utility_SourceHyperlink($D$189),$D$189)</f>
        <v>Table_D_j_k</v>
      </c>
      <c r="J185" s="142"/>
    </row>
    <row r="186" spans="4:10" ht="20.100000000000001" customHeight="1" x14ac:dyDescent="0.25">
      <c r="D186" s="141" t="str">
        <v>M_jkmT</v>
      </c>
      <c r="E186" s="141" t="str">
        <v>methane production from manure per class, subclass, MMS, and treatment stage</v>
      </c>
      <c r="F186" s="141"/>
      <c r="G186" s="141" t="str">
        <v>kg CH4/bird/day</v>
      </c>
      <c r="H186" s="140" t="str">
        <v>Calculated from 4.6.1.1 (2)(3)</v>
      </c>
      <c r="I186" s="142" t="str" cm="1">
        <f t="array" aca="1" ref="I186" ca="1">HYPERLINK(Common_InputFunctions.Utility_SourceHyperlink($D$83),$D$83)</f>
        <v>M1_Table_M_j_k_m_T-1</v>
      </c>
      <c r="J186" s="142" t="str" cm="1">
        <f t="array" aca="1" ref="J186" ca="1">HYPERLINK(Common_InputFunctions.Utility_SourceHyperlink($D$156),$D$156)</f>
        <v>M1_Table_M_j_k_m_T-2</v>
      </c>
    </row>
    <row r="187" spans="4:10" ht="20.100000000000001" customHeight="1" x14ac:dyDescent="0.25">
      <c r="D187" s="141" t="str">
        <v>N_jk</v>
      </c>
      <c r="E187" s="141" t="str">
        <v>numbers of poultry in each class and subclass</v>
      </c>
      <c r="F187" s="141"/>
      <c r="G187" s="141" t="str">
        <v>birds</v>
      </c>
      <c r="H187" s="139" t="str">
        <v>Input</v>
      </c>
      <c r="I187" s="142" t="str" cm="1">
        <f t="array" aca="1" ref="I187" ca="1">HYPERLINK(Common_InputFunctions.Utility_SourceHyperlink($D$194),$D$194)</f>
        <v>Table_N_j_k</v>
      </c>
      <c r="J187" s="142"/>
    </row>
    <row r="188" spans="4:10" ht="20.100000000000001" customHeight="1" x14ac:dyDescent="0.25"/>
    <row r="189" spans="4:10" ht="20.100000000000001" customHeight="1" x14ac:dyDescent="0.25">
      <c r="D189" s="98" t="s">
        <v>235</v>
      </c>
      <c r="G189" s="13"/>
    </row>
    <row r="190" spans="4:10" ht="20.100000000000001" customHeight="1" x14ac:dyDescent="0.25">
      <c r="D190" s="97" t="s">
        <v>143</v>
      </c>
    </row>
    <row r="191" spans="4:10" ht="20.100000000000001" customHeight="1" x14ac:dyDescent="0.25">
      <c r="D191" s="112" t="s">
        <v>194</v>
      </c>
      <c r="E191" s="112" t="s">
        <v>195</v>
      </c>
      <c r="F191" s="112" t="s">
        <v>207</v>
      </c>
      <c r="G191" s="112" t="s">
        <v>208</v>
      </c>
    </row>
    <row r="192" spans="4:10" ht="20.100000000000001" customHeight="1" x14ac:dyDescent="0.25">
      <c r="D192" s="52">
        <f>'Input - Poultry'!E10</f>
        <v>365</v>
      </c>
      <c r="E192" s="52">
        <f>'Input - Poultry'!F10</f>
        <v>365</v>
      </c>
      <c r="F192" s="52">
        <f>'Input - Poultry'!G10</f>
        <v>365</v>
      </c>
      <c r="G192" s="52">
        <f>'Input - Poultry'!H10</f>
        <v>365</v>
      </c>
      <c r="H192" s="2" t="str">
        <f>G185</f>
        <v>days</v>
      </c>
    </row>
    <row r="193" spans="4:20" ht="20.100000000000001" customHeight="1" x14ac:dyDescent="0.25"/>
    <row r="194" spans="4:20" ht="20.100000000000001" customHeight="1" x14ac:dyDescent="0.25">
      <c r="D194" s="98" t="s">
        <v>236</v>
      </c>
      <c r="G194" s="13"/>
    </row>
    <row r="195" spans="4:20" ht="20.100000000000001" customHeight="1" x14ac:dyDescent="0.25">
      <c r="D195" s="97" t="s">
        <v>237</v>
      </c>
    </row>
    <row r="196" spans="4:20" ht="20.100000000000001" customHeight="1" x14ac:dyDescent="0.25">
      <c r="D196" s="112" t="s">
        <v>194</v>
      </c>
      <c r="E196" s="112" t="s">
        <v>195</v>
      </c>
      <c r="F196" s="112" t="s">
        <v>207</v>
      </c>
      <c r="G196" s="112" t="s">
        <v>208</v>
      </c>
    </row>
    <row r="197" spans="4:20" ht="20.100000000000001" customHeight="1" x14ac:dyDescent="0.25">
      <c r="D197" s="52">
        <f>'Input - Poultry'!E11</f>
        <v>100</v>
      </c>
      <c r="E197" s="52">
        <f>'Input - Poultry'!F11</f>
        <v>100</v>
      </c>
      <c r="F197" s="52">
        <f>'Input - Poultry'!G11</f>
        <v>100</v>
      </c>
      <c r="G197" s="52">
        <f>'Input - Poultry'!H11</f>
        <v>100</v>
      </c>
      <c r="H197" s="2" t="str">
        <f>G187</f>
        <v>birds</v>
      </c>
    </row>
    <row r="198" spans="4:20" ht="20.100000000000001" customHeight="1" x14ac:dyDescent="0.25"/>
    <row r="199" spans="4:20" ht="20.100000000000001" customHeight="1" x14ac:dyDescent="0.25">
      <c r="D199" s="98" t="s">
        <v>238</v>
      </c>
      <c r="N199" s="98" t="s">
        <v>239</v>
      </c>
    </row>
    <row r="200" spans="4:20" ht="20.100000000000001" customHeight="1" x14ac:dyDescent="0.25">
      <c r="D200" s="97" t="s">
        <v>146</v>
      </c>
      <c r="N200" s="97" t="s">
        <v>147</v>
      </c>
    </row>
    <row r="201" spans="4:20" ht="20.100000000000001" customHeight="1" x14ac:dyDescent="0.25">
      <c r="D201" s="51" t="s">
        <v>133</v>
      </c>
      <c r="E201" s="51" t="s">
        <v>135</v>
      </c>
      <c r="F201" s="51" t="s">
        <v>194</v>
      </c>
      <c r="G201" s="51" t="s">
        <v>195</v>
      </c>
      <c r="H201" s="51" t="s">
        <v>207</v>
      </c>
      <c r="I201" s="51" t="s">
        <v>208</v>
      </c>
      <c r="N201" s="51" t="s">
        <v>133</v>
      </c>
      <c r="O201" s="51" t="s">
        <v>135</v>
      </c>
      <c r="P201" s="51" t="s">
        <v>194</v>
      </c>
      <c r="Q201" s="51" t="s">
        <v>195</v>
      </c>
      <c r="R201" s="51" t="s">
        <v>207</v>
      </c>
      <c r="S201" s="51" t="s">
        <v>208</v>
      </c>
    </row>
    <row r="202" spans="4:20" ht="20.100000000000001" customHeight="1" x14ac:dyDescent="0.25">
      <c r="D202" s="52" t="str">
        <f>'Input - Poultry'!$D$30</f>
        <v>Poultry manure with bedding</v>
      </c>
      <c r="E202" s="52" t="s">
        <v>131</v>
      </c>
      <c r="F202" s="52" cm="1">
        <f t="array" ref="F202">MMS_Poultry_Methane_Equations.VEERG_4_6_1_1__1_TotalAnnualMethaneEmissions(D$192, E86, D$197)</f>
        <v>6.1291199923199972E-4</v>
      </c>
      <c r="G202" s="52" cm="1">
        <f t="array" ref="G202">MMS_Poultry_Methane_Equations.VEERG_4_6_1_1__1_TotalAnnualMethaneEmissions(E$192, F86, E$197)</f>
        <v>6.3419905151999964E-4</v>
      </c>
      <c r="H202" s="52" cm="1">
        <f t="array" ref="H202">MMS_Poultry_Methane_Equations.VEERG_4_6_1_1__1_TotalAnnualMethaneEmissions(F$192, G86, F$197)</f>
        <v>6.776021744639998E-4</v>
      </c>
      <c r="I202" s="52" cm="1">
        <f t="array" ref="I202">MMS_Poultry_Methane_Equations.VEERG_4_6_1_1__1_TotalAnnualMethaneEmissions(G$192, H86, G$197)</f>
        <v>6.3419905151999964E-4</v>
      </c>
      <c r="J202" s="2" t="str">
        <f>$E$183</f>
        <v>t CH4</v>
      </c>
      <c r="N202" s="52" t="str">
        <f>'Input - Poultry'!$D$30</f>
        <v>Poultry manure with bedding</v>
      </c>
      <c r="O202" s="52" t="s">
        <v>131</v>
      </c>
      <c r="P202" s="52" cm="1">
        <f t="array" ref="P202">MMS_Poultry_Methane_Equations.VEERG_4_6_1_1__1_TotalAnnualMethaneEmissions(D$192, O86, D$197)</f>
        <v>6.1291199923199972E-4</v>
      </c>
      <c r="Q202" s="52" cm="1">
        <f t="array" ref="Q202">MMS_Poultry_Methane_Equations.VEERG_4_6_1_1__1_TotalAnnualMethaneEmissions(E$192, P86, E$197)</f>
        <v>6.3419905151999964E-4</v>
      </c>
      <c r="R202" s="52" cm="1">
        <f t="array" ref="R202">MMS_Poultry_Methane_Equations.VEERG_4_6_1_1__1_TotalAnnualMethaneEmissions(F$192, Q86, F$197)</f>
        <v>6.776021744639998E-4</v>
      </c>
      <c r="S202" s="52" cm="1">
        <f t="array" ref="S202">MMS_Poultry_Methane_Equations.VEERG_4_6_1_1__1_TotalAnnualMethaneEmissions(G$192, R86, G$197)</f>
        <v>6.3419905151999964E-4</v>
      </c>
      <c r="T202" s="2" t="str">
        <f>$E$183</f>
        <v>t CH4</v>
      </c>
    </row>
    <row r="203" spans="4:20" ht="20.100000000000001" customHeight="1" x14ac:dyDescent="0.25">
      <c r="D203" s="52" t="str">
        <f>'Input - Poultry'!$D$31</f>
        <v>Belt manure removal</v>
      </c>
      <c r="E203" s="52" t="s">
        <v>131</v>
      </c>
      <c r="F203" s="52" cm="1">
        <f t="array" ref="F203">MMS_Poultry_Methane_Equations.VEERG_4_6_1_1__1_TotalAnnualMethaneEmissions(D$192, E87, D$197)</f>
        <v>6.1291199923199972E-4</v>
      </c>
      <c r="G203" s="52" cm="1">
        <f t="array" ref="G203">MMS_Poultry_Methane_Equations.VEERG_4_6_1_1__1_TotalAnnualMethaneEmissions(E$192, F87, E$197)</f>
        <v>6.3419905151999964E-4</v>
      </c>
      <c r="H203" s="52" cm="1">
        <f t="array" ref="H203">MMS_Poultry_Methane_Equations.VEERG_4_6_1_1__1_TotalAnnualMethaneEmissions(F$192, G87, F$197)</f>
        <v>6.776021744639998E-4</v>
      </c>
      <c r="I203" s="52" cm="1">
        <f t="array" ref="I203">MMS_Poultry_Methane_Equations.VEERG_4_6_1_1__1_TotalAnnualMethaneEmissions(G$192, H87, G$197)</f>
        <v>6.3419905151999964E-4</v>
      </c>
      <c r="J203" s="2"/>
      <c r="N203" s="52" t="str">
        <f>'Input - Poultry'!$D$31</f>
        <v>Belt manure removal</v>
      </c>
      <c r="O203" s="52" t="s">
        <v>131</v>
      </c>
      <c r="P203" s="52" cm="1">
        <f t="array" ref="P203">MMS_Poultry_Methane_Equations.VEERG_4_6_1_1__1_TotalAnnualMethaneEmissions(D$192, O87, D$197)</f>
        <v>6.1291199923199972E-4</v>
      </c>
      <c r="Q203" s="52" cm="1">
        <f t="array" ref="Q203">MMS_Poultry_Methane_Equations.VEERG_4_6_1_1__1_TotalAnnualMethaneEmissions(E$192, P87, E$197)</f>
        <v>6.3419905151999964E-4</v>
      </c>
      <c r="R203" s="52" cm="1">
        <f t="array" ref="R203">MMS_Poultry_Methane_Equations.VEERG_4_6_1_1__1_TotalAnnualMethaneEmissions(F$192, Q87, F$197)</f>
        <v>6.776021744639998E-4</v>
      </c>
      <c r="S203" s="52" cm="1">
        <f t="array" ref="S203">MMS_Poultry_Methane_Equations.VEERG_4_6_1_1__1_TotalAnnualMethaneEmissions(G$192, R87, G$197)</f>
        <v>6.3419905151999964E-4</v>
      </c>
      <c r="T203" s="2"/>
    </row>
    <row r="204" spans="4:20" ht="20.100000000000001" customHeight="1" x14ac:dyDescent="0.25">
      <c r="D204" s="52" t="str">
        <f>'Input - Poultry'!$D$32</f>
        <v>Manure stored in house</v>
      </c>
      <c r="E204" s="52" t="s">
        <v>131</v>
      </c>
      <c r="F204" s="52" cm="1">
        <f t="array" ref="F204">MMS_Poultry_Methane_Equations.VEERG_4_6_1_1__1_TotalAnnualMethaneEmissions(D$192, E88, D$197)</f>
        <v>6.1291199923199972E-4</v>
      </c>
      <c r="G204" s="52" cm="1">
        <f t="array" ref="G204">MMS_Poultry_Methane_Equations.VEERG_4_6_1_1__1_TotalAnnualMethaneEmissions(E$192, F88, E$197)</f>
        <v>6.3419905151999964E-4</v>
      </c>
      <c r="H204" s="52" cm="1">
        <f t="array" ref="H204">MMS_Poultry_Methane_Equations.VEERG_4_6_1_1__1_TotalAnnualMethaneEmissions(F$192, G88, F$197)</f>
        <v>6.776021744639998E-4</v>
      </c>
      <c r="I204" s="52" cm="1">
        <f t="array" ref="I204">MMS_Poultry_Methane_Equations.VEERG_4_6_1_1__1_TotalAnnualMethaneEmissions(G$192, H88, G$197)</f>
        <v>6.3419905151999964E-4</v>
      </c>
      <c r="J204" s="2"/>
      <c r="N204" s="52" t="str">
        <f>'Input - Poultry'!$D$32</f>
        <v>Manure stored in house</v>
      </c>
      <c r="O204" s="52" t="s">
        <v>131</v>
      </c>
      <c r="P204" s="52" cm="1">
        <f t="array" ref="P204">MMS_Poultry_Methane_Equations.VEERG_4_6_1_1__1_TotalAnnualMethaneEmissions(D$192, O88, D$197)</f>
        <v>6.1291199923199972E-4</v>
      </c>
      <c r="Q204" s="52" cm="1">
        <f t="array" ref="Q204">MMS_Poultry_Methane_Equations.VEERG_4_6_1_1__1_TotalAnnualMethaneEmissions(E$192, P88, E$197)</f>
        <v>6.3419905151999964E-4</v>
      </c>
      <c r="R204" s="52" cm="1">
        <f t="array" ref="R204">MMS_Poultry_Methane_Equations.VEERG_4_6_1_1__1_TotalAnnualMethaneEmissions(F$192, Q88, F$197)</f>
        <v>6.776021744639998E-4</v>
      </c>
      <c r="S204" s="52" cm="1">
        <f t="array" ref="S204">MMS_Poultry_Methane_Equations.VEERG_4_6_1_1__1_TotalAnnualMethaneEmissions(G$192, R88, G$197)</f>
        <v>6.3419905151999964E-4</v>
      </c>
      <c r="T204" s="2"/>
    </row>
    <row r="205" spans="4:20" ht="20.100000000000001" customHeight="1" x14ac:dyDescent="0.25">
      <c r="D205" s="52" t="str">
        <f>'Input - Poultry'!$D$33</f>
        <v>Pasture range and paddock</v>
      </c>
      <c r="E205" s="52" t="s">
        <v>131</v>
      </c>
      <c r="F205" s="52" cm="1">
        <f t="array" ref="F205">MMS_Poultry_Methane_Equations.VEERG_4_6_1_1__1_TotalAnnualMethaneEmissions(D$192, E89, D$197)</f>
        <v>1.3620266649599997E-4</v>
      </c>
      <c r="G205" s="52" cm="1">
        <f t="array" ref="G205">MMS_Poultry_Methane_Equations.VEERG_4_6_1_1__1_TotalAnnualMethaneEmissions(E$192, F89, E$197)</f>
        <v>1.4093312255999995E-4</v>
      </c>
      <c r="H205" s="52" cm="1">
        <f t="array" ref="H205">MMS_Poultry_Methane_Equations.VEERG_4_6_1_1__1_TotalAnnualMethaneEmissions(F$192, G89, F$197)</f>
        <v>1.5057826099199999E-4</v>
      </c>
      <c r="I205" s="52" cm="1">
        <f t="array" ref="I205">MMS_Poultry_Methane_Equations.VEERG_4_6_1_1__1_TotalAnnualMethaneEmissions(G$192, H89, G$197)</f>
        <v>1.4093312255999995E-4</v>
      </c>
      <c r="J205" s="2"/>
      <c r="N205" s="52" t="str">
        <f>'Input - Poultry'!$D$33</f>
        <v>Pasture range and paddock</v>
      </c>
      <c r="O205" s="52" t="s">
        <v>131</v>
      </c>
      <c r="P205" s="52" cm="1">
        <f t="array" ref="P205">MMS_Poultry_Methane_Equations.VEERG_4_6_1_1__1_TotalAnnualMethaneEmissions(D$192, O89, D$197)</f>
        <v>6.4015253253119989E-5</v>
      </c>
      <c r="Q205" s="52" cm="1">
        <f t="array" ref="Q205">MMS_Poultry_Methane_Equations.VEERG_4_6_1_1__1_TotalAnnualMethaneEmissions(E$192, P89, E$197)</f>
        <v>6.6238567603199995E-5</v>
      </c>
      <c r="R205" s="52" cm="1">
        <f t="array" ref="R205">MMS_Poultry_Methane_Equations.VEERG_4_6_1_1__1_TotalAnnualMethaneEmissions(F$192, Q89, F$197)</f>
        <v>7.0771782666239995E-5</v>
      </c>
      <c r="S205" s="52" cm="1">
        <f t="array" ref="S205">MMS_Poultry_Methane_Equations.VEERG_4_6_1_1__1_TotalAnnualMethaneEmissions(G$192, R89, G$197)</f>
        <v>6.6238567603199995E-5</v>
      </c>
      <c r="T205" s="2"/>
    </row>
    <row r="206" spans="4:20" ht="20.100000000000001" customHeight="1" x14ac:dyDescent="0.25">
      <c r="D206" s="52" t="str">
        <f>'Input - Poultry'!$D$30</f>
        <v>Poultry manure with bedding</v>
      </c>
      <c r="E206" s="52" t="str">
        <f>'Input - Poultry'!$D$38</f>
        <v>Solid storage</v>
      </c>
      <c r="F206" s="52" cm="1">
        <f t="array" ref="F206">MMS_Poultry_Methane_Equations.VEERG_4_6_1_1__1_TotalAnnualMethaneEmissions(D$192, F159, D$197)</f>
        <v>1.3892671982591992E-4</v>
      </c>
      <c r="G206" s="52" cm="1">
        <f t="array" ref="G206">MMS_Poultry_Methane_Equations.VEERG_4_6_1_1__1_TotalAnnualMethaneEmissions(E$192, G159, E$197)</f>
        <v>1.4375178501119996E-4</v>
      </c>
      <c r="H206" s="52" cm="1">
        <f t="array" ref="H206">MMS_Poultry_Methane_Equations.VEERG_4_6_1_1__1_TotalAnnualMethaneEmissions(F$192, H159, F$197)</f>
        <v>1.5358982621183997E-4</v>
      </c>
      <c r="I206" s="52" cm="1">
        <f t="array" ref="I206">MMS_Poultry_Methane_Equations.VEERG_4_6_1_1__1_TotalAnnualMethaneEmissions(G$192, I159, G$197)</f>
        <v>1.4375178501119996E-4</v>
      </c>
      <c r="J206" s="2"/>
      <c r="N206" s="52" t="str">
        <f>'Input - Poultry'!$D$30</f>
        <v>Poultry manure with bedding</v>
      </c>
      <c r="O206" s="52" t="str">
        <f>'Input - Poultry'!$D$38</f>
        <v>Solid storage</v>
      </c>
      <c r="P206" s="52" cm="1">
        <f t="array" ref="P206">MMS_Poultry_Methane_Equations.VEERG_4_6_1_1__1_TotalAnnualMethaneEmissions(D$192, P159, D$197)</f>
        <v>1.3892671982591992E-4</v>
      </c>
      <c r="Q206" s="52" cm="1">
        <f t="array" ref="Q206">MMS_Poultry_Methane_Equations.VEERG_4_6_1_1__1_TotalAnnualMethaneEmissions(E$192, Q159, E$197)</f>
        <v>1.4375178501119996E-4</v>
      </c>
      <c r="R206" s="52" cm="1">
        <f t="array" ref="R206">MMS_Poultry_Methane_Equations.VEERG_4_6_1_1__1_TotalAnnualMethaneEmissions(F$192, R159, F$197)</f>
        <v>1.5358982621183997E-4</v>
      </c>
      <c r="S206" s="52" cm="1">
        <f t="array" ref="S206">MMS_Poultry_Methane_Equations.VEERG_4_6_1_1__1_TotalAnnualMethaneEmissions(G$192, S159, G$197)</f>
        <v>1.4375178501119996E-4</v>
      </c>
      <c r="T206" s="2"/>
    </row>
    <row r="207" spans="4:20" ht="20.100000000000001" customHeight="1" x14ac:dyDescent="0.25">
      <c r="D207" s="52"/>
      <c r="E207" s="52" t="str">
        <f>'Input - Poultry'!$D$39</f>
        <v>Composting (passive windrow)</v>
      </c>
      <c r="F207" s="52" cm="1">
        <f t="array" ref="F207">MMS_Poultry_Methane_Equations.VEERG_4_6_1_1__1_TotalAnnualMethaneEmissions(D$192, F160, D$197)</f>
        <v>6.9463359912959959E-5</v>
      </c>
      <c r="G207" s="52" cm="1">
        <f t="array" ref="G207">MMS_Poultry_Methane_Equations.VEERG_4_6_1_1__1_TotalAnnualMethaneEmissions(E$192, G160, E$197)</f>
        <v>7.1875892505599982E-5</v>
      </c>
      <c r="H207" s="52" cm="1">
        <f t="array" ref="H207">MMS_Poultry_Methane_Equations.VEERG_4_6_1_1__1_TotalAnnualMethaneEmissions(F$192, H160, F$197)</f>
        <v>7.6794913105919987E-5</v>
      </c>
      <c r="I207" s="52" cm="1">
        <f t="array" ref="I207">MMS_Poultry_Methane_Equations.VEERG_4_6_1_1__1_TotalAnnualMethaneEmissions(G$192, I160, G$197)</f>
        <v>7.1875892505599982E-5</v>
      </c>
      <c r="J207" s="2"/>
      <c r="N207" s="52"/>
      <c r="O207" s="52" t="str">
        <f>'Input - Poultry'!$D$39</f>
        <v>Composting (passive windrow)</v>
      </c>
      <c r="P207" s="52" cm="1">
        <f t="array" ref="P207">MMS_Poultry_Methane_Equations.VEERG_4_6_1_1__1_TotalAnnualMethaneEmissions(D$192, P160, D$197)</f>
        <v>3.4731679956479979E-5</v>
      </c>
      <c r="Q207" s="52" cm="1">
        <f t="array" ref="Q207">MMS_Poultry_Methane_Equations.VEERG_4_6_1_1__1_TotalAnnualMethaneEmissions(E$192, Q160, E$197)</f>
        <v>3.5937946252799991E-5</v>
      </c>
      <c r="R207" s="52" cm="1">
        <f t="array" ref="R207">MMS_Poultry_Methane_Equations.VEERG_4_6_1_1__1_TotalAnnualMethaneEmissions(F$192, R160, F$197)</f>
        <v>3.8397456552959994E-5</v>
      </c>
      <c r="S207" s="52" cm="1">
        <f t="array" ref="S207">MMS_Poultry_Methane_Equations.VEERG_4_6_1_1__1_TotalAnnualMethaneEmissions(G$192, S160, G$197)</f>
        <v>3.5937946252799991E-5</v>
      </c>
      <c r="T207" s="2"/>
    </row>
    <row r="208" spans="4:20" ht="20.100000000000001" customHeight="1" x14ac:dyDescent="0.25">
      <c r="D208" s="52"/>
      <c r="E208" s="52" t="str">
        <f>'Input - Poultry'!$D$40</f>
        <v>Digester / covered lagoons</v>
      </c>
      <c r="F208" s="52" cm="1">
        <f t="array" ref="F208">MMS_Poultry_Methane_Equations.VEERG_4_6_1_1__1_TotalAnnualMethaneEmissions(D$192, F161, D$197)</f>
        <v>6.9463359912959983E-4</v>
      </c>
      <c r="G208" s="52" cm="1">
        <f t="array" ref="G208">MMS_Poultry_Methane_Equations.VEERG_4_6_1_1__1_TotalAnnualMethaneEmissions(E$192, G161, E$197)</f>
        <v>7.187589250559998E-4</v>
      </c>
      <c r="H208" s="52" cm="1">
        <f t="array" ref="H208">MMS_Poultry_Methane_Equations.VEERG_4_6_1_1__1_TotalAnnualMethaneEmissions(F$192, H161, F$197)</f>
        <v>7.6794913105919993E-4</v>
      </c>
      <c r="I208" s="52" cm="1">
        <f t="array" ref="I208">MMS_Poultry_Methane_Equations.VEERG_4_6_1_1__1_TotalAnnualMethaneEmissions(G$192, I161, G$197)</f>
        <v>7.187589250559998E-4</v>
      </c>
      <c r="J208" s="2"/>
      <c r="N208" s="52"/>
      <c r="O208" s="52" t="str">
        <f>'Input - Poultry'!$D$40</f>
        <v>Digester / covered lagoons</v>
      </c>
      <c r="P208" s="52" cm="1">
        <f t="array" ref="P208">MMS_Poultry_Methane_Equations.VEERG_4_6_1_1__1_TotalAnnualMethaneEmissions(D$192, P161, D$197)</f>
        <v>6.9463359912959983E-4</v>
      </c>
      <c r="Q208" s="52" cm="1">
        <f t="array" ref="Q208">MMS_Poultry_Methane_Equations.VEERG_4_6_1_1__1_TotalAnnualMethaneEmissions(E$192, Q161, E$197)</f>
        <v>7.187589250559998E-4</v>
      </c>
      <c r="R208" s="52" cm="1">
        <f t="array" ref="R208">MMS_Poultry_Methane_Equations.VEERG_4_6_1_1__1_TotalAnnualMethaneEmissions(F$192, R161, F$197)</f>
        <v>7.6794913105919993E-4</v>
      </c>
      <c r="S208" s="52" cm="1">
        <f t="array" ref="S208">MMS_Poultry_Methane_Equations.VEERG_4_6_1_1__1_TotalAnnualMethaneEmissions(G$192, S161, G$197)</f>
        <v>7.187589250559998E-4</v>
      </c>
      <c r="T208" s="2"/>
    </row>
    <row r="209" spans="1:20" ht="20.100000000000001" customHeight="1" x14ac:dyDescent="0.25">
      <c r="D209" s="52"/>
      <c r="E209" s="52" t="str">
        <f>'Input - Poultry'!$D$41</f>
        <v>Direct processing</v>
      </c>
      <c r="F209" s="52" cm="1">
        <f t="array" ref="F209">MMS_Poultry_Methane_Equations.VEERG_4_6_1_1__1_TotalAnnualMethaneEmissions(D$192, F162, D$197)</f>
        <v>0</v>
      </c>
      <c r="G209" s="52" cm="1">
        <f t="array" ref="G209">MMS_Poultry_Methane_Equations.VEERG_4_6_1_1__1_TotalAnnualMethaneEmissions(E$192, G162, E$197)</f>
        <v>0</v>
      </c>
      <c r="H209" s="52" cm="1">
        <f t="array" ref="H209">MMS_Poultry_Methane_Equations.VEERG_4_6_1_1__1_TotalAnnualMethaneEmissions(F$192, H162, F$197)</f>
        <v>0</v>
      </c>
      <c r="I209" s="52" cm="1">
        <f t="array" ref="I209">MMS_Poultry_Methane_Equations.VEERG_4_6_1_1__1_TotalAnnualMethaneEmissions(G$192, I162, G$197)</f>
        <v>0</v>
      </c>
      <c r="J209" s="2"/>
      <c r="N209" s="52"/>
      <c r="O209" s="52" t="str">
        <f>'Input - Poultry'!$D$41</f>
        <v>Direct processing</v>
      </c>
      <c r="P209" s="52" cm="1">
        <f t="array" ref="P209">MMS_Poultry_Methane_Equations.VEERG_4_6_1_1__1_TotalAnnualMethaneEmissions(D$192, P162, D$197)</f>
        <v>0</v>
      </c>
      <c r="Q209" s="52" cm="1">
        <f t="array" ref="Q209">MMS_Poultry_Methane_Equations.VEERG_4_6_1_1__1_TotalAnnualMethaneEmissions(E$192, Q162, E$197)</f>
        <v>0</v>
      </c>
      <c r="R209" s="52" cm="1">
        <f t="array" ref="R209">MMS_Poultry_Methane_Equations.VEERG_4_6_1_1__1_TotalAnnualMethaneEmissions(F$192, R162, F$197)</f>
        <v>0</v>
      </c>
      <c r="S209" s="52" cm="1">
        <f t="array" ref="S209">MMS_Poultry_Methane_Equations.VEERG_4_6_1_1__1_TotalAnnualMethaneEmissions(G$192, S162, G$197)</f>
        <v>0</v>
      </c>
      <c r="T209" s="2"/>
    </row>
    <row r="210" spans="1:20" ht="20.100000000000001" customHeight="1" x14ac:dyDescent="0.25">
      <c r="D210" s="52"/>
      <c r="E210" s="52" t="str">
        <f>'Input - Poultry'!$D$42</f>
        <v>Direct application</v>
      </c>
      <c r="F210" s="52" cm="1">
        <f t="array" ref="F210">MMS_Poultry_Methane_Equations.VEERG_4_6_1_1__1_TotalAnnualMethaneEmissions(D$192, F163, D$197)</f>
        <v>0</v>
      </c>
      <c r="G210" s="52" cm="1">
        <f t="array" ref="G210">MMS_Poultry_Methane_Equations.VEERG_4_6_1_1__1_TotalAnnualMethaneEmissions(E$192, G163, E$197)</f>
        <v>0</v>
      </c>
      <c r="H210" s="52" cm="1">
        <f t="array" ref="H210">MMS_Poultry_Methane_Equations.VEERG_4_6_1_1__1_TotalAnnualMethaneEmissions(F$192, H163, F$197)</f>
        <v>0</v>
      </c>
      <c r="I210" s="52" cm="1">
        <f t="array" ref="I210">MMS_Poultry_Methane_Equations.VEERG_4_6_1_1__1_TotalAnnualMethaneEmissions(G$192, I163, G$197)</f>
        <v>0</v>
      </c>
      <c r="N210" s="52"/>
      <c r="O210" s="52" t="str">
        <f>'Input - Poultry'!$D$42</f>
        <v>Direct application</v>
      </c>
      <c r="P210" s="52" cm="1">
        <f t="array" ref="P210">MMS_Poultry_Methane_Equations.VEERG_4_6_1_1__1_TotalAnnualMethaneEmissions(D$192, P163, D$197)</f>
        <v>0</v>
      </c>
      <c r="Q210" s="52" cm="1">
        <f t="array" ref="Q210">MMS_Poultry_Methane_Equations.VEERG_4_6_1_1__1_TotalAnnualMethaneEmissions(E$192, Q163, E$197)</f>
        <v>0</v>
      </c>
      <c r="R210" s="52" cm="1">
        <f t="array" ref="R210">MMS_Poultry_Methane_Equations.VEERG_4_6_1_1__1_TotalAnnualMethaneEmissions(F$192, R163, F$197)</f>
        <v>0</v>
      </c>
      <c r="S210" s="52" cm="1">
        <f t="array" ref="S210">MMS_Poultry_Methane_Equations.VEERG_4_6_1_1__1_TotalAnnualMethaneEmissions(G$192, S163, G$197)</f>
        <v>0</v>
      </c>
    </row>
    <row r="211" spans="1:20" ht="20.100000000000001" customHeight="1" x14ac:dyDescent="0.25">
      <c r="D211" s="52" t="str">
        <f>'Input - Poultry'!$D$31</f>
        <v>Belt manure removal</v>
      </c>
      <c r="E211" s="52" t="str">
        <f>'Input - Poultry'!$D$45</f>
        <v>Solid storage</v>
      </c>
      <c r="F211" s="52" cm="1">
        <f t="array" ref="F211">MMS_Poultry_Methane_Equations.VEERG_4_6_1_1__1_TotalAnnualMethaneEmissions(D$192, F164, D$197)</f>
        <v>1.6344319979519996E-4</v>
      </c>
      <c r="G211" s="52" cm="1">
        <f t="array" ref="G211">MMS_Poultry_Methane_Equations.VEERG_4_6_1_1__1_TotalAnnualMethaneEmissions(E$192, G164, E$197)</f>
        <v>1.6911974707199996E-4</v>
      </c>
      <c r="H211" s="52" cm="1">
        <f t="array" ref="H211">MMS_Poultry_Methane_Equations.VEERG_4_6_1_1__1_TotalAnnualMethaneEmissions(F$192, H164, F$197)</f>
        <v>1.8069391319039998E-4</v>
      </c>
      <c r="I211" s="52" cm="1">
        <f t="array" ref="I211">MMS_Poultry_Methane_Equations.VEERG_4_6_1_1__1_TotalAnnualMethaneEmissions(G$192, I164, G$197)</f>
        <v>1.6911974707199996E-4</v>
      </c>
      <c r="J211" s="2"/>
      <c r="N211" s="52" t="str">
        <f>'Input - Poultry'!$D$31</f>
        <v>Belt manure removal</v>
      </c>
      <c r="O211" s="52" t="str">
        <f>'Input - Poultry'!$D$45</f>
        <v>Solid storage</v>
      </c>
      <c r="P211" s="52" cm="1">
        <f t="array" ref="P211">MMS_Poultry_Methane_Equations.VEERG_4_6_1_1__1_TotalAnnualMethaneEmissions(D$192, P164, D$197)</f>
        <v>1.6344319979519996E-4</v>
      </c>
      <c r="Q211" s="52" cm="1">
        <f t="array" ref="Q211">MMS_Poultry_Methane_Equations.VEERG_4_6_1_1__1_TotalAnnualMethaneEmissions(E$192, Q164, E$197)</f>
        <v>1.6911974707199996E-4</v>
      </c>
      <c r="R211" s="52" cm="1">
        <f t="array" ref="R211">MMS_Poultry_Methane_Equations.VEERG_4_6_1_1__1_TotalAnnualMethaneEmissions(F$192, R164, F$197)</f>
        <v>1.8069391319039998E-4</v>
      </c>
      <c r="S211" s="52" cm="1">
        <f t="array" ref="S211">MMS_Poultry_Methane_Equations.VEERG_4_6_1_1__1_TotalAnnualMethaneEmissions(G$192, S164, G$197)</f>
        <v>1.6911974707199996E-4</v>
      </c>
      <c r="T211" s="2"/>
    </row>
    <row r="212" spans="1:20" ht="20.100000000000001" customHeight="1" x14ac:dyDescent="0.25">
      <c r="D212" s="52"/>
      <c r="E212" s="52" t="str">
        <f>'Input - Poultry'!$D$46</f>
        <v>Composting (passive windrow)</v>
      </c>
      <c r="F212" s="52" cm="1">
        <f t="array" ref="F212">MMS_Poultry_Methane_Equations.VEERG_4_6_1_1__1_TotalAnnualMethaneEmissions(D$192, F165, D$197)</f>
        <v>8.1721599897599978E-5</v>
      </c>
      <c r="G212" s="52" cm="1">
        <f t="array" ref="G212">MMS_Poultry_Methane_Equations.VEERG_4_6_1_1__1_TotalAnnualMethaneEmissions(E$192, G165, E$197)</f>
        <v>8.4559873535999978E-5</v>
      </c>
      <c r="H212" s="52" cm="1">
        <f t="array" ref="H212">MMS_Poultry_Methane_Equations.VEERG_4_6_1_1__1_TotalAnnualMethaneEmissions(F$192, H165, F$197)</f>
        <v>9.034695659519999E-5</v>
      </c>
      <c r="I212" s="52" cm="1">
        <f t="array" ref="I212">MMS_Poultry_Methane_Equations.VEERG_4_6_1_1__1_TotalAnnualMethaneEmissions(G$192, I165, G$197)</f>
        <v>8.4559873535999978E-5</v>
      </c>
      <c r="J212" s="2"/>
      <c r="N212" s="52"/>
      <c r="O212" s="52" t="str">
        <f>'Input - Poultry'!$D$46</f>
        <v>Composting (passive windrow)</v>
      </c>
      <c r="P212" s="52" cm="1">
        <f t="array" ref="P212">MMS_Poultry_Methane_Equations.VEERG_4_6_1_1__1_TotalAnnualMethaneEmissions(D$192, P165, D$197)</f>
        <v>4.0860799948799989E-5</v>
      </c>
      <c r="Q212" s="52" cm="1">
        <f t="array" ref="Q212">MMS_Poultry_Methane_Equations.VEERG_4_6_1_1__1_TotalAnnualMethaneEmissions(E$192, Q165, E$197)</f>
        <v>4.2279936767999989E-5</v>
      </c>
      <c r="R212" s="52" cm="1">
        <f t="array" ref="R212">MMS_Poultry_Methane_Equations.VEERG_4_6_1_1__1_TotalAnnualMethaneEmissions(F$192, R165, F$197)</f>
        <v>4.5173478297599995E-5</v>
      </c>
      <c r="S212" s="52" cm="1">
        <f t="array" ref="S212">MMS_Poultry_Methane_Equations.VEERG_4_6_1_1__1_TotalAnnualMethaneEmissions(G$192, S165, G$197)</f>
        <v>4.2279936767999989E-5</v>
      </c>
      <c r="T212" s="2"/>
    </row>
    <row r="213" spans="1:20" ht="20.100000000000001" customHeight="1" x14ac:dyDescent="0.25">
      <c r="D213" s="52"/>
      <c r="E213" s="52" t="str">
        <f>'Input - Poultry'!$D$47</f>
        <v>Digester / covered lagoons</v>
      </c>
      <c r="F213" s="52" cm="1">
        <f t="array" ref="F213">MMS_Poultry_Methane_Equations.VEERG_4_6_1_1__1_TotalAnnualMethaneEmissions(D$192, F166, D$197)</f>
        <v>8.1721599897599984E-4</v>
      </c>
      <c r="G213" s="52" cm="1">
        <f t="array" ref="G213">MMS_Poultry_Methane_Equations.VEERG_4_6_1_1__1_TotalAnnualMethaneEmissions(E$192, G166, E$197)</f>
        <v>8.4559873535999992E-4</v>
      </c>
      <c r="H213" s="52" cm="1">
        <f t="array" ref="H213">MMS_Poultry_Methane_Equations.VEERG_4_6_1_1__1_TotalAnnualMethaneEmissions(F$192, H166, F$197)</f>
        <v>9.0346956595200006E-4</v>
      </c>
      <c r="I213" s="52" cm="1">
        <f t="array" ref="I213">MMS_Poultry_Methane_Equations.VEERG_4_6_1_1__1_TotalAnnualMethaneEmissions(G$192, I166, G$197)</f>
        <v>8.4559873535999992E-4</v>
      </c>
      <c r="J213" s="2"/>
      <c r="N213" s="52"/>
      <c r="O213" s="52" t="str">
        <f>'Input - Poultry'!$D$47</f>
        <v>Digester / covered lagoons</v>
      </c>
      <c r="P213" s="52" cm="1">
        <f t="array" ref="P213">MMS_Poultry_Methane_Equations.VEERG_4_6_1_1__1_TotalAnnualMethaneEmissions(D$192, P166, D$197)</f>
        <v>8.1721599897599984E-4</v>
      </c>
      <c r="Q213" s="52" cm="1">
        <f t="array" ref="Q213">MMS_Poultry_Methane_Equations.VEERG_4_6_1_1__1_TotalAnnualMethaneEmissions(E$192, Q166, E$197)</f>
        <v>8.4559873535999992E-4</v>
      </c>
      <c r="R213" s="52" cm="1">
        <f t="array" ref="R213">MMS_Poultry_Methane_Equations.VEERG_4_6_1_1__1_TotalAnnualMethaneEmissions(F$192, R166, F$197)</f>
        <v>9.0346956595200006E-4</v>
      </c>
      <c r="S213" s="52" cm="1">
        <f t="array" ref="S213">MMS_Poultry_Methane_Equations.VEERG_4_6_1_1__1_TotalAnnualMethaneEmissions(G$192, S166, G$197)</f>
        <v>8.4559873535999992E-4</v>
      </c>
      <c r="T213" s="2"/>
    </row>
    <row r="214" spans="1:20" ht="20.100000000000001" customHeight="1" x14ac:dyDescent="0.25">
      <c r="D214" s="52"/>
      <c r="E214" s="52" t="str">
        <f>'Input - Poultry'!$D$48</f>
        <v>Direct processing</v>
      </c>
      <c r="F214" s="52" cm="1">
        <f t="array" ref="F214">MMS_Poultry_Methane_Equations.VEERG_4_6_1_1__1_TotalAnnualMethaneEmissions(D$192, F167, D$197)</f>
        <v>0</v>
      </c>
      <c r="G214" s="52" cm="1">
        <f t="array" ref="G214">MMS_Poultry_Methane_Equations.VEERG_4_6_1_1__1_TotalAnnualMethaneEmissions(E$192, G167, E$197)</f>
        <v>0</v>
      </c>
      <c r="H214" s="52" cm="1">
        <f t="array" ref="H214">MMS_Poultry_Methane_Equations.VEERG_4_6_1_1__1_TotalAnnualMethaneEmissions(F$192, H167, F$197)</f>
        <v>0</v>
      </c>
      <c r="I214" s="52" cm="1">
        <f t="array" ref="I214">MMS_Poultry_Methane_Equations.VEERG_4_6_1_1__1_TotalAnnualMethaneEmissions(G$192, I167, G$197)</f>
        <v>0</v>
      </c>
      <c r="J214" s="2"/>
      <c r="N214" s="52"/>
      <c r="O214" s="52" t="str">
        <f>'Input - Poultry'!$D$48</f>
        <v>Direct processing</v>
      </c>
      <c r="P214" s="52" cm="1">
        <f t="array" ref="P214">MMS_Poultry_Methane_Equations.VEERG_4_6_1_1__1_TotalAnnualMethaneEmissions(D$192, P167, D$197)</f>
        <v>0</v>
      </c>
      <c r="Q214" s="52" cm="1">
        <f t="array" ref="Q214">MMS_Poultry_Methane_Equations.VEERG_4_6_1_1__1_TotalAnnualMethaneEmissions(E$192, Q167, E$197)</f>
        <v>0</v>
      </c>
      <c r="R214" s="52" cm="1">
        <f t="array" ref="R214">MMS_Poultry_Methane_Equations.VEERG_4_6_1_1__1_TotalAnnualMethaneEmissions(F$192, R167, F$197)</f>
        <v>0</v>
      </c>
      <c r="S214" s="52" cm="1">
        <f t="array" ref="S214">MMS_Poultry_Methane_Equations.VEERG_4_6_1_1__1_TotalAnnualMethaneEmissions(G$192, S167, G$197)</f>
        <v>0</v>
      </c>
      <c r="T214" s="2"/>
    </row>
    <row r="215" spans="1:20" ht="20.100000000000001" customHeight="1" x14ac:dyDescent="0.25">
      <c r="D215" s="52"/>
      <c r="E215" s="52" t="str">
        <f>'Input - Poultry'!$D$49</f>
        <v>Direct application</v>
      </c>
      <c r="F215" s="52" cm="1">
        <f t="array" ref="F215">MMS_Poultry_Methane_Equations.VEERG_4_6_1_1__1_TotalAnnualMethaneEmissions(D$192, F168, D$197)</f>
        <v>0</v>
      </c>
      <c r="G215" s="52" cm="1">
        <f t="array" ref="G215">MMS_Poultry_Methane_Equations.VEERG_4_6_1_1__1_TotalAnnualMethaneEmissions(E$192, G168, E$197)</f>
        <v>0</v>
      </c>
      <c r="H215" s="52" cm="1">
        <f t="array" ref="H215">MMS_Poultry_Methane_Equations.VEERG_4_6_1_1__1_TotalAnnualMethaneEmissions(F$192, H168, F$197)</f>
        <v>0</v>
      </c>
      <c r="I215" s="52" cm="1">
        <f t="array" ref="I215">MMS_Poultry_Methane_Equations.VEERG_4_6_1_1__1_TotalAnnualMethaneEmissions(G$192, I168, G$197)</f>
        <v>0</v>
      </c>
      <c r="N215" s="52"/>
      <c r="O215" s="52" t="str">
        <f>'Input - Poultry'!$D$49</f>
        <v>Direct application</v>
      </c>
      <c r="P215" s="52" cm="1">
        <f t="array" ref="P215">MMS_Poultry_Methane_Equations.VEERG_4_6_1_1__1_TotalAnnualMethaneEmissions(D$192, P168, D$197)</f>
        <v>0</v>
      </c>
      <c r="Q215" s="52" cm="1">
        <f t="array" ref="Q215">MMS_Poultry_Methane_Equations.VEERG_4_6_1_1__1_TotalAnnualMethaneEmissions(E$192, Q168, E$197)</f>
        <v>0</v>
      </c>
      <c r="R215" s="52" cm="1">
        <f t="array" ref="R215">MMS_Poultry_Methane_Equations.VEERG_4_6_1_1__1_TotalAnnualMethaneEmissions(F$192, R168, F$197)</f>
        <v>0</v>
      </c>
      <c r="S215" s="52" cm="1">
        <f t="array" ref="S215">MMS_Poultry_Methane_Equations.VEERG_4_6_1_1__1_TotalAnnualMethaneEmissions(G$192, S168, G$197)</f>
        <v>0</v>
      </c>
    </row>
    <row r="216" spans="1:20" ht="20.100000000000001" customHeight="1" x14ac:dyDescent="0.25">
      <c r="D216" s="52" t="str">
        <f>'Input - Poultry'!$D$32</f>
        <v>Manure stored in house</v>
      </c>
      <c r="E216" s="52" t="str">
        <f>'Input - Poultry'!$D$52</f>
        <v>Solid storage</v>
      </c>
      <c r="F216" s="52" cm="1">
        <f t="array" ref="F216">MMS_Poultry_Methane_Equations.VEERG_4_6_1_1__1_TotalAnnualMethaneEmissions(D$192, F169, D$197)</f>
        <v>1.3075455983615998E-4</v>
      </c>
      <c r="G216" s="52" cm="1">
        <f t="array" ref="G216">MMS_Poultry_Methane_Equations.VEERG_4_6_1_1__1_TotalAnnualMethaneEmissions(E$192, G169, E$197)</f>
        <v>1.3529579765759992E-4</v>
      </c>
      <c r="H216" s="52" cm="1">
        <f t="array" ref="H216">MMS_Poultry_Methane_Equations.VEERG_4_6_1_1__1_TotalAnnualMethaneEmissions(F$192, H169, F$197)</f>
        <v>1.4455513055232E-4</v>
      </c>
      <c r="I216" s="52" cm="1">
        <f t="array" ref="I216">MMS_Poultry_Methane_Equations.VEERG_4_6_1_1__1_TotalAnnualMethaneEmissions(G$192, I169, G$197)</f>
        <v>1.3529579765759992E-4</v>
      </c>
      <c r="J216" s="2"/>
      <c r="N216" s="52" t="str">
        <f>'Input - Poultry'!$D$32</f>
        <v>Manure stored in house</v>
      </c>
      <c r="O216" s="52" t="str">
        <f>'Input - Poultry'!$D$52</f>
        <v>Solid storage</v>
      </c>
      <c r="P216" s="52" cm="1">
        <f t="array" ref="P216">MMS_Poultry_Methane_Equations.VEERG_4_6_1_1__1_TotalAnnualMethaneEmissions(D$192, P169, D$197)</f>
        <v>1.3075455983615998E-4</v>
      </c>
      <c r="Q216" s="52" cm="1">
        <f t="array" ref="Q216">MMS_Poultry_Methane_Equations.VEERG_4_6_1_1__1_TotalAnnualMethaneEmissions(E$192, Q169, E$197)</f>
        <v>1.3529579765759992E-4</v>
      </c>
      <c r="R216" s="52" cm="1">
        <f t="array" ref="R216">MMS_Poultry_Methane_Equations.VEERG_4_6_1_1__1_TotalAnnualMethaneEmissions(F$192, R169, F$197)</f>
        <v>1.4455513055232E-4</v>
      </c>
      <c r="S216" s="52" cm="1">
        <f t="array" ref="S216">MMS_Poultry_Methane_Equations.VEERG_4_6_1_1__1_TotalAnnualMethaneEmissions(G$192, S169, G$197)</f>
        <v>1.3529579765759992E-4</v>
      </c>
      <c r="T216" s="2"/>
    </row>
    <row r="217" spans="1:20" ht="20.100000000000001" customHeight="1" x14ac:dyDescent="0.25">
      <c r="D217" s="52"/>
      <c r="E217" s="52" t="str">
        <f>'Input - Poultry'!$D$53</f>
        <v>Composting (passive windrow)</v>
      </c>
      <c r="F217" s="52" cm="1">
        <f t="array" ref="F217">MMS_Poultry_Methane_Equations.VEERG_4_6_1_1__1_TotalAnnualMethaneEmissions(D$192, F170, D$197)</f>
        <v>6.5377279918079988E-5</v>
      </c>
      <c r="G217" s="52" cm="1">
        <f t="array" ref="G217">MMS_Poultry_Methane_Equations.VEERG_4_6_1_1__1_TotalAnnualMethaneEmissions(E$192, G170, E$197)</f>
        <v>6.7647898828799961E-5</v>
      </c>
      <c r="H217" s="52" cm="1">
        <f t="array" ref="H217">MMS_Poultry_Methane_Equations.VEERG_4_6_1_1__1_TotalAnnualMethaneEmissions(F$192, H170, F$197)</f>
        <v>7.227756527616E-5</v>
      </c>
      <c r="I217" s="52" cm="1">
        <f t="array" ref="I217">MMS_Poultry_Methane_Equations.VEERG_4_6_1_1__1_TotalAnnualMethaneEmissions(G$192, I170, G$197)</f>
        <v>6.7647898828799961E-5</v>
      </c>
      <c r="J217" s="2"/>
      <c r="N217" s="52"/>
      <c r="O217" s="52" t="str">
        <f>'Input - Poultry'!$D$53</f>
        <v>Composting (passive windrow)</v>
      </c>
      <c r="P217" s="52" cm="1">
        <f t="array" ref="P217">MMS_Poultry_Methane_Equations.VEERG_4_6_1_1__1_TotalAnnualMethaneEmissions(D$192, P170, D$197)</f>
        <v>3.2688639959039994E-5</v>
      </c>
      <c r="Q217" s="52" cm="1">
        <f t="array" ref="Q217">MMS_Poultry_Methane_Equations.VEERG_4_6_1_1__1_TotalAnnualMethaneEmissions(E$192, Q170, E$197)</f>
        <v>3.3823949414399981E-5</v>
      </c>
      <c r="R217" s="52" cm="1">
        <f t="array" ref="R217">MMS_Poultry_Methane_Equations.VEERG_4_6_1_1__1_TotalAnnualMethaneEmissions(F$192, R170, F$197)</f>
        <v>3.613878263808E-5</v>
      </c>
      <c r="S217" s="52" cm="1">
        <f t="array" ref="S217">MMS_Poultry_Methane_Equations.VEERG_4_6_1_1__1_TotalAnnualMethaneEmissions(G$192, S170, G$197)</f>
        <v>3.3823949414399981E-5</v>
      </c>
      <c r="T217" s="2"/>
    </row>
    <row r="218" spans="1:20" ht="20.100000000000001" customHeight="1" x14ac:dyDescent="0.25">
      <c r="A218" s="145" t="str">
        <f>HYPERLINK("#A1", "▲ Back to top")</f>
        <v>▲ Back to top</v>
      </c>
      <c r="D218" s="52"/>
      <c r="E218" s="52" t="str">
        <f>'Input - Poultry'!$D$54</f>
        <v>Digester / covered lagoons</v>
      </c>
      <c r="F218" s="52" cm="1">
        <f t="array" ref="F218">MMS_Poultry_Methane_Equations.VEERG_4_6_1_1__1_TotalAnnualMethaneEmissions(D$192, F171, D$197)</f>
        <v>6.5377279918080004E-4</v>
      </c>
      <c r="G218" s="52" cm="1">
        <f t="array" ref="G218">MMS_Poultry_Methane_Equations.VEERG_4_6_1_1__1_TotalAnnualMethaneEmissions(E$192, G171, E$197)</f>
        <v>6.7647898828799972E-4</v>
      </c>
      <c r="H218" s="52" cm="1">
        <f t="array" ref="H218">MMS_Poultry_Methane_Equations.VEERG_4_6_1_1__1_TotalAnnualMethaneEmissions(F$192, H171, F$197)</f>
        <v>7.2277565276159992E-4</v>
      </c>
      <c r="I218" s="52" cm="1">
        <f t="array" ref="I218">MMS_Poultry_Methane_Equations.VEERG_4_6_1_1__1_TotalAnnualMethaneEmissions(G$192, I171, G$197)</f>
        <v>6.7647898828799972E-4</v>
      </c>
      <c r="J218" s="2"/>
      <c r="N218" s="52"/>
      <c r="O218" s="52" t="str">
        <f>'Input - Poultry'!$D$54</f>
        <v>Digester / covered lagoons</v>
      </c>
      <c r="P218" s="52" cm="1">
        <f t="array" ref="P218">MMS_Poultry_Methane_Equations.VEERG_4_6_1_1__1_TotalAnnualMethaneEmissions(D$192, P171, D$197)</f>
        <v>6.5377279918080004E-4</v>
      </c>
      <c r="Q218" s="52" cm="1">
        <f t="array" ref="Q218">MMS_Poultry_Methane_Equations.VEERG_4_6_1_1__1_TotalAnnualMethaneEmissions(E$192, Q171, E$197)</f>
        <v>6.7647898828799972E-4</v>
      </c>
      <c r="R218" s="52" cm="1">
        <f t="array" ref="R218">MMS_Poultry_Methane_Equations.VEERG_4_6_1_1__1_TotalAnnualMethaneEmissions(F$192, R171, F$197)</f>
        <v>7.2277565276159992E-4</v>
      </c>
      <c r="S218" s="52" cm="1">
        <f t="array" ref="S218">MMS_Poultry_Methane_Equations.VEERG_4_6_1_1__1_TotalAnnualMethaneEmissions(G$192, S171, G$197)</f>
        <v>6.7647898828799972E-4</v>
      </c>
      <c r="T218" s="2"/>
    </row>
    <row r="219" spans="1:20" ht="20.100000000000001" customHeight="1" x14ac:dyDescent="0.25">
      <c r="D219" s="52"/>
      <c r="E219" s="52" t="str">
        <f>'Input - Poultry'!$D$55</f>
        <v>Direct processing</v>
      </c>
      <c r="F219" s="52" cm="1">
        <f t="array" ref="F219">MMS_Poultry_Methane_Equations.VEERG_4_6_1_1__1_TotalAnnualMethaneEmissions(D$192, F172, D$197)</f>
        <v>0</v>
      </c>
      <c r="G219" s="52" cm="1">
        <f t="array" ref="G219">MMS_Poultry_Methane_Equations.VEERG_4_6_1_1__1_TotalAnnualMethaneEmissions(E$192, G172, E$197)</f>
        <v>0</v>
      </c>
      <c r="H219" s="52" cm="1">
        <f t="array" ref="H219">MMS_Poultry_Methane_Equations.VEERG_4_6_1_1__1_TotalAnnualMethaneEmissions(F$192, H172, F$197)</f>
        <v>0</v>
      </c>
      <c r="I219" s="52" cm="1">
        <f t="array" ref="I219">MMS_Poultry_Methane_Equations.VEERG_4_6_1_1__1_TotalAnnualMethaneEmissions(G$192, I172, G$197)</f>
        <v>0</v>
      </c>
      <c r="J219" s="2"/>
      <c r="N219" s="52"/>
      <c r="O219" s="52" t="str">
        <f>'Input - Poultry'!$D$55</f>
        <v>Direct processing</v>
      </c>
      <c r="P219" s="52" cm="1">
        <f t="array" ref="P219">MMS_Poultry_Methane_Equations.VEERG_4_6_1_1__1_TotalAnnualMethaneEmissions(D$192, P172, D$197)</f>
        <v>0</v>
      </c>
      <c r="Q219" s="52" cm="1">
        <f t="array" ref="Q219">MMS_Poultry_Methane_Equations.VEERG_4_6_1_1__1_TotalAnnualMethaneEmissions(E$192, Q172, E$197)</f>
        <v>0</v>
      </c>
      <c r="R219" s="52" cm="1">
        <f t="array" ref="R219">MMS_Poultry_Methane_Equations.VEERG_4_6_1_1__1_TotalAnnualMethaneEmissions(F$192, R172, F$197)</f>
        <v>0</v>
      </c>
      <c r="S219" s="52" cm="1">
        <f t="array" ref="S219">MMS_Poultry_Methane_Equations.VEERG_4_6_1_1__1_TotalAnnualMethaneEmissions(G$192, S172, G$197)</f>
        <v>0</v>
      </c>
      <c r="T219" s="2"/>
    </row>
    <row r="220" spans="1:20" ht="20.100000000000001" customHeight="1" x14ac:dyDescent="0.25">
      <c r="D220" s="52"/>
      <c r="E220" s="52" t="str">
        <f>'Input - Poultry'!$D$56</f>
        <v>Direct application</v>
      </c>
      <c r="F220" s="52" cm="1">
        <f t="array" ref="F220">MMS_Poultry_Methane_Equations.VEERG_4_6_1_1__1_TotalAnnualMethaneEmissions(D$192, F173, D$197)</f>
        <v>0</v>
      </c>
      <c r="G220" s="52" cm="1">
        <f t="array" ref="G220">MMS_Poultry_Methane_Equations.VEERG_4_6_1_1__1_TotalAnnualMethaneEmissions(E$192, G173, E$197)</f>
        <v>0</v>
      </c>
      <c r="H220" s="52" cm="1">
        <f t="array" ref="H220">MMS_Poultry_Methane_Equations.VEERG_4_6_1_1__1_TotalAnnualMethaneEmissions(F$192, H173, F$197)</f>
        <v>0</v>
      </c>
      <c r="I220" s="52" cm="1">
        <f t="array" ref="I220">MMS_Poultry_Methane_Equations.VEERG_4_6_1_1__1_TotalAnnualMethaneEmissions(G$192, I173, G$197)</f>
        <v>0</v>
      </c>
      <c r="N220" s="52"/>
      <c r="O220" s="52" t="str">
        <f>'Input - Poultry'!$D$56</f>
        <v>Direct application</v>
      </c>
      <c r="P220" s="52" cm="1">
        <f t="array" ref="P220">MMS_Poultry_Methane_Equations.VEERG_4_6_1_1__1_TotalAnnualMethaneEmissions(D$192, P173, D$197)</f>
        <v>0</v>
      </c>
      <c r="Q220" s="52" cm="1">
        <f t="array" ref="Q220">MMS_Poultry_Methane_Equations.VEERG_4_6_1_1__1_TotalAnnualMethaneEmissions(E$192, Q173, E$197)</f>
        <v>0</v>
      </c>
      <c r="R220" s="52" cm="1">
        <f t="array" ref="R220">MMS_Poultry_Methane_Equations.VEERG_4_6_1_1__1_TotalAnnualMethaneEmissions(F$192, R173, F$197)</f>
        <v>0</v>
      </c>
      <c r="S220" s="52" cm="1">
        <f t="array" ref="S220">MMS_Poultry_Methane_Equations.VEERG_4_6_1_1__1_TotalAnnualMethaneEmissions(G$192, S173, G$197)</f>
        <v>0</v>
      </c>
    </row>
    <row r="221" spans="1:20" ht="20.100000000000001" customHeight="1" x14ac:dyDescent="0.25"/>
    <row r="222" spans="1:20" ht="20.100000000000001" customHeight="1" x14ac:dyDescent="0.25">
      <c r="D222" s="99" t="s">
        <v>121</v>
      </c>
      <c r="E222" s="100">
        <f>SUM(F202:I220)</f>
        <v>1.9999321060623357E-2</v>
      </c>
      <c r="F222" s="101" t="str">
        <f>$E$183</f>
        <v>t CH4</v>
      </c>
      <c r="N222" s="99" t="s">
        <v>121</v>
      </c>
      <c r="O222" s="100">
        <f>SUM(P202:S220)</f>
        <v>1.924586355691776E-2</v>
      </c>
      <c r="P222" s="101" t="str">
        <f>$E$183</f>
        <v>t CH4</v>
      </c>
    </row>
    <row r="223" spans="1:20" ht="20.100000000000001" customHeight="1" x14ac:dyDescent="0.25"/>
    <row r="224" spans="1:20" ht="20.100000000000001" customHeight="1" x14ac:dyDescent="0.25">
      <c r="D224" s="57" t="str" cm="1">
        <f t="array" ref="D224:E225">Common_Equations.Common_ConvertCH4ToCO2e_Arguments()</f>
        <v>ECH4</v>
      </c>
      <c r="E224" s="58" t="str">
        <v>Methane emissions (t CH4)</v>
      </c>
      <c r="F224" s="102"/>
      <c r="G224" s="52">
        <f>E222</f>
        <v>1.9999321060623357E-2</v>
      </c>
      <c r="N224" s="57" t="str" cm="1">
        <f t="array" ref="N224:O225">Common_Equations.Common_ConvertCH4ToCO2e_Arguments()</f>
        <v>ECH4</v>
      </c>
      <c r="O224" s="58" t="str">
        <v>Methane emissions (t CH4)</v>
      </c>
      <c r="P224" s="102"/>
      <c r="Q224" s="52">
        <f>O222</f>
        <v>1.924586355691776E-2</v>
      </c>
    </row>
    <row r="225" spans="4:17" ht="20.100000000000001" customHeight="1" x14ac:dyDescent="0.25">
      <c r="D225" s="57" t="str">
        <v>GWPCH4</v>
      </c>
      <c r="E225" s="58" t="str">
        <v>Global warming potential for methane (t CO2-e / t CH4)</v>
      </c>
      <c r="F225" s="102"/>
      <c r="G225" s="52">
        <v>28</v>
      </c>
      <c r="N225" s="57" t="str">
        <v>GWPCH4</v>
      </c>
      <c r="O225" s="58" t="str">
        <v>Global warming potential for methane (t CO2-e / t CH4)</v>
      </c>
      <c r="P225" s="102"/>
      <c r="Q225" s="52">
        <v>28</v>
      </c>
    </row>
    <row r="226" spans="4:17" ht="20.100000000000001" customHeight="1" x14ac:dyDescent="0.25"/>
    <row r="227" spans="4:17" ht="20.100000000000001" customHeight="1" x14ac:dyDescent="0.25">
      <c r="D227" s="45" t="s">
        <v>93</v>
      </c>
      <c r="E227" s="45" cm="1">
        <f t="array" ref="E227">Common_Equations.Common_ConvertN2OToCO2e(G224,G225)</f>
        <v>0.55998098969745402</v>
      </c>
      <c r="F227" s="103" t="str" cm="1">
        <f t="array" ref="F227">Common_Equations.Common_ConvertN2OToCO2e_Unit()</f>
        <v>t CO2e</v>
      </c>
      <c r="N227" s="45" t="s">
        <v>93</v>
      </c>
      <c r="O227" s="45" cm="1">
        <f t="array" ref="O227">Common_Equations.Common_ConvertN2OToCO2e(Q224,Q225)</f>
        <v>0.53888417959369728</v>
      </c>
      <c r="P227" s="103"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1"/>
  <sheetViews>
    <sheetView showGridLines="0" topLeftCell="A230" zoomScaleNormal="100" workbookViewId="0">
      <selection activeCell="O245" sqref="O24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241</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A6" s="16"/>
      <c r="D6" s="5" t="str" cm="1">
        <f t="array" ref="D6">MMS_Poultry_N2ODirect_Equations.VEERG_4_6_1_3__5_NitrogenIntake_Source()</f>
        <v>VEERG 2026: 4.6.1.3, Equation (5)</v>
      </c>
    </row>
    <row r="7" spans="1:21" ht="20.100000000000001" customHeight="1" x14ac:dyDescent="0.25">
      <c r="A7" s="20" t="s">
        <v>1</v>
      </c>
      <c r="D7" s="13" t="s">
        <v>23</v>
      </c>
      <c r="E7" s="13" t="str" cm="1">
        <f t="array" aca="1" ref="E7" ca="1">Common_InputFunctions.Utility_DisplayFunctionName(D30)</f>
        <v>=MMS_Poultry_N2ODirect_Equations.VEERG_4_6_1_3__5_NitrogenIntake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MMS_Poultry_N2ODirect_Equations.VEERG_4_6_1_3__5_NitrogenIntake_Variable()</f>
        <v>NI_jk</v>
      </c>
    </row>
    <row r="11" spans="1:21" ht="20.100000000000001" customHeight="1" x14ac:dyDescent="0.25">
      <c r="A11" s="19" t="s">
        <v>70</v>
      </c>
      <c r="D11" s="53" t="s">
        <v>16</v>
      </c>
      <c r="E11" s="54" t="str" cm="1">
        <f t="array" ref="E11">MMS_Poultry_N2ODirect_Equations.VEERG_4_6_1_3__5_NitrogenIntake_Unit()</f>
        <v>kg N/bird/day</v>
      </c>
    </row>
    <row r="12" spans="1:21" ht="20.100000000000001" customHeight="1" x14ac:dyDescent="0.25">
      <c r="A12" s="17" t="str">
        <f>HYPERLINK("#'4.6.1.1-2 Methane'!A1", "4.6.1.1-2 Methane")</f>
        <v>4.6.1.1-2 Methane</v>
      </c>
    </row>
    <row r="13" spans="1:21" ht="20.100000000000001" customHeight="1" x14ac:dyDescent="0.25">
      <c r="A13" s="129" t="str">
        <f>HYPERLINK("#'4.6.1.3-4 Direct N20'!A1", "4.6.1.3-4 Direct N2O")</f>
        <v>4.6.1.3-4 Direct N2O</v>
      </c>
      <c r="D13" s="141" t="str" cm="1">
        <f t="array" ref="D13:E15">_xlfn.CHOOSECOLS(MMS_Poultry_N2ODirect_Equations.VEERG_4_6_1_3__5_NitrogenIntake_Arguments(),1,2)</f>
        <v>I_jk</v>
      </c>
      <c r="E13" s="141" t="str">
        <v>dry matter intake for each class and subclass</v>
      </c>
      <c r="F13" s="141"/>
      <c r="G13" s="141" t="str" cm="1">
        <f t="array" ref="G13:H15">_xlfn.CHOOSECOLS(MMS_Poultry_N2ODirect_Equations.VEERG_4_6_1_3__5_NitrogenIntake_Arguments(),3,4)</f>
        <v>kg DM/bird/day</v>
      </c>
      <c r="H13" s="139" t="str">
        <v>Input</v>
      </c>
      <c r="I13" s="142" t="str" cm="1">
        <f t="array" aca="1" ref="I13" ca="1">HYPERLINK(Common_InputFunctions.Utility_SourceHyperlink($D$17),$D$17)</f>
        <v>M1_Table_I_j_k</v>
      </c>
    </row>
    <row r="14" spans="1:21" ht="20.100000000000001" customHeight="1" x14ac:dyDescent="0.25">
      <c r="A14" s="17" t="str">
        <f>HYPERLINK("#'4.6.1.5-6 Atmos Dep'!A1", "4.6.1.5-6 Atmospheric deposition")</f>
        <v>4.6.1.5-6 Atmospheric deposition</v>
      </c>
      <c r="D14" s="141" t="str">
        <v>CP_jk</v>
      </c>
      <c r="E14" s="141" t="str">
        <v>crude protein content of feed</v>
      </c>
      <c r="F14" s="141"/>
      <c r="G14" s="141" t="str">
        <v>fraction</v>
      </c>
      <c r="H14" s="139" t="str">
        <v>Input</v>
      </c>
      <c r="I14" s="142" t="str" cm="1">
        <f t="array" aca="1" ref="I14" ca="1">HYPERLINK(Common_InputFunctions.Utility_SourceHyperlink($D$22),$D$22)</f>
        <v>M1_Table_CP_j_k</v>
      </c>
    </row>
    <row r="15" spans="1:21" ht="20.100000000000001" customHeight="1" x14ac:dyDescent="0.25">
      <c r="A15" s="17" t="str">
        <f>HYPERLINK("#'4.6.1.7-8 Leaching and runoff'!A1", "4.6.1.7-8 Leaching &amp; runoff")</f>
        <v>4.6.1.7-8 Leaching &amp; runoff</v>
      </c>
      <c r="D15" s="141" t="str">
        <v>6.25</v>
      </c>
      <c r="E15" s="141" t="str">
        <v>factor for converting crude protein into nitrogen</v>
      </c>
      <c r="F15" s="141"/>
      <c r="G15" s="141" t="str">
        <v>ratio</v>
      </c>
      <c r="H15" s="140" t="str">
        <v>Constant</v>
      </c>
      <c r="I15" s="141" t="str">
        <f>$D$15</f>
        <v>6.25</v>
      </c>
    </row>
    <row r="16" spans="1:21" ht="20.100000000000001" customHeight="1" x14ac:dyDescent="0.25">
      <c r="A16" s="17" t="str">
        <f>HYPERLINK("#'4.6.1.9 Manure applied to soils'!A1", "4.6.1.9 Manure applied to soils")</f>
        <v>4.6.1.9 Manure applied to soils</v>
      </c>
    </row>
    <row r="17" spans="1:18" ht="20.100000000000001" customHeight="1" x14ac:dyDescent="0.25">
      <c r="A17" s="17" t="str">
        <f>HYPERLINK("#'4.6.1.10-11 Soil direct N2O'!A1", "4.6.1.10-11 Soil direct N2O")</f>
        <v>4.6.1.10-11 Soil direct N2O</v>
      </c>
      <c r="D17" s="98" t="s">
        <v>213</v>
      </c>
      <c r="N17" s="98" t="s">
        <v>214</v>
      </c>
    </row>
    <row r="18" spans="1:18" ht="20.100000000000001" customHeight="1" x14ac:dyDescent="0.25">
      <c r="A18" s="17" t="str">
        <f>HYPERLINK("#'4.6.1.12-13 Soil atmos dep'!A1", "4.6.1.12-13 Soil Atm. deposition")</f>
        <v>4.6.1.12-13 Soil Atm. deposition</v>
      </c>
      <c r="D18" s="97" t="s">
        <v>216</v>
      </c>
      <c r="N18" s="97" t="s">
        <v>215</v>
      </c>
    </row>
    <row r="19" spans="1:18" ht="20.100000000000001" customHeight="1" x14ac:dyDescent="0.25">
      <c r="A19" s="17" t="str">
        <f>HYPERLINK("#'4.6.1.14-15 Soil leach runoff'!A1", "4.6.1.14-15 Soil leach &amp; runoff")</f>
        <v>4.6.1.14-15 Soil leach &amp; runoff</v>
      </c>
      <c r="D19" s="112" t="s">
        <v>194</v>
      </c>
      <c r="E19" s="112" t="s">
        <v>195</v>
      </c>
      <c r="F19" s="112" t="s">
        <v>207</v>
      </c>
      <c r="G19" s="112" t="s">
        <v>208</v>
      </c>
      <c r="N19" s="112" t="s">
        <v>194</v>
      </c>
      <c r="O19" s="112" t="s">
        <v>195</v>
      </c>
      <c r="P19" s="112" t="s">
        <v>207</v>
      </c>
      <c r="Q19" s="112" t="s">
        <v>208</v>
      </c>
    </row>
    <row r="20" spans="1:18" ht="20.100000000000001" customHeight="1" x14ac:dyDescent="0.25">
      <c r="D20" s="52">
        <f>'Input - Poultry'!E16</f>
        <v>8.5999999999999993E-2</v>
      </c>
      <c r="E20" s="52">
        <f>'Input - Poultry'!F16</f>
        <v>9.2999999999999999E-2</v>
      </c>
      <c r="F20" s="52">
        <f>'Input - Poultry'!G16</f>
        <v>0.10299999999999999</v>
      </c>
      <c r="G20" s="52">
        <f>'Input - Poultry'!H16</f>
        <v>9.2999999999999999E-2</v>
      </c>
      <c r="H20" s="2" t="str">
        <f>$G$13</f>
        <v>kg DM/bird/day</v>
      </c>
      <c r="N20" s="52">
        <f>'Input - Poultry'!E21</f>
        <v>8.5999999999999993E-2</v>
      </c>
      <c r="O20" s="52">
        <f>'Input - Poultry'!F21</f>
        <v>9.2999999999999999E-2</v>
      </c>
      <c r="P20" s="52">
        <f>'Input - Poultry'!G21</f>
        <v>0.10299999999999999</v>
      </c>
      <c r="Q20" s="52">
        <f>'Input - Poultry'!H21</f>
        <v>9.2999999999999999E-2</v>
      </c>
      <c r="R20" s="2" t="str">
        <f>$G$13</f>
        <v>kg DM/bird/day</v>
      </c>
    </row>
    <row r="21" spans="1:18" ht="20.100000000000001" customHeight="1" x14ac:dyDescent="0.25">
      <c r="A21" s="18" t="s">
        <v>2</v>
      </c>
    </row>
    <row r="22" spans="1:18" ht="20.100000000000001" customHeight="1" x14ac:dyDescent="0.25">
      <c r="A22" s="17" t="str">
        <f>HYPERLINK("#'Constants - Poultry'!A1", "Constants - Poultry")</f>
        <v>Constants - Poultry</v>
      </c>
      <c r="D22" s="98" t="s">
        <v>242</v>
      </c>
      <c r="N22" s="98" t="s">
        <v>244</v>
      </c>
    </row>
    <row r="23" spans="1:18" ht="20.100000000000001" customHeight="1" x14ac:dyDescent="0.25">
      <c r="A23" s="17" t="str">
        <f>HYPERLINK("#'Constants - Livestock'!A1", "Constants - Livestock")</f>
        <v>Constants - Livestock</v>
      </c>
      <c r="D23" s="97" t="s">
        <v>243</v>
      </c>
      <c r="E23" s="97"/>
      <c r="N23" s="97" t="s">
        <v>245</v>
      </c>
      <c r="O23" s="97"/>
    </row>
    <row r="24" spans="1:18" ht="20.100000000000001" customHeight="1" x14ac:dyDescent="0.25">
      <c r="A24" s="17" t="str">
        <f>HYPERLINK("#'Constants - Common'!A1", "Constants - Common")</f>
        <v>Constants - Common</v>
      </c>
      <c r="D24" s="112" t="s">
        <v>194</v>
      </c>
      <c r="E24" s="112" t="s">
        <v>195</v>
      </c>
      <c r="F24" s="112" t="s">
        <v>207</v>
      </c>
      <c r="G24" s="112" t="s">
        <v>208</v>
      </c>
      <c r="N24" s="112" t="s">
        <v>194</v>
      </c>
      <c r="O24" s="112" t="s">
        <v>195</v>
      </c>
      <c r="P24" s="112" t="s">
        <v>207</v>
      </c>
      <c r="Q24" s="112" t="s">
        <v>208</v>
      </c>
    </row>
    <row r="25" spans="1:18" ht="20.100000000000001" customHeight="1" x14ac:dyDescent="0.25">
      <c r="A25" s="17"/>
      <c r="D25" s="52">
        <f>'Input - Poultry'!E18</f>
        <v>0.19</v>
      </c>
      <c r="E25" s="52">
        <f>'Input - Poultry'!F18</f>
        <v>0.23</v>
      </c>
      <c r="F25" s="52">
        <f>'Input - Poultry'!G18</f>
        <v>0.19</v>
      </c>
      <c r="G25" s="52">
        <f>'Input - Poultry'!H18</f>
        <v>0.23</v>
      </c>
      <c r="H25" s="2" t="str">
        <f>$G$14</f>
        <v>fraction</v>
      </c>
      <c r="N25" s="52">
        <f>'Input - Poultry'!E23</f>
        <v>0.19</v>
      </c>
      <c r="O25" s="52">
        <f>'Input - Poultry'!F23</f>
        <v>0.23</v>
      </c>
      <c r="P25" s="52">
        <f>'Input - Poultry'!G23</f>
        <v>0.19</v>
      </c>
      <c r="Q25" s="52">
        <f>'Input - Poultry'!H23</f>
        <v>0.23</v>
      </c>
      <c r="R25" s="2" t="str">
        <f>$G$14</f>
        <v>fraction</v>
      </c>
    </row>
    <row r="26" spans="1:18" ht="20.100000000000001" customHeight="1" x14ac:dyDescent="0.25"/>
    <row r="27" spans="1:18" ht="20.100000000000001" customHeight="1" x14ac:dyDescent="0.25">
      <c r="D27" s="98" t="s">
        <v>246</v>
      </c>
      <c r="N27" s="98" t="s">
        <v>246</v>
      </c>
    </row>
    <row r="28" spans="1:18" ht="20.100000000000001" customHeight="1" x14ac:dyDescent="0.25">
      <c r="D28" s="97" t="s">
        <v>247</v>
      </c>
      <c r="E28" s="97"/>
      <c r="N28" s="97" t="s">
        <v>247</v>
      </c>
      <c r="O28" s="97"/>
    </row>
    <row r="29" spans="1:18" ht="20.100000000000001" customHeight="1" x14ac:dyDescent="0.25">
      <c r="D29" s="51" t="s">
        <v>194</v>
      </c>
      <c r="E29" s="51" t="s">
        <v>195</v>
      </c>
      <c r="F29" s="51" t="s">
        <v>207</v>
      </c>
      <c r="G29" s="51" t="s">
        <v>208</v>
      </c>
      <c r="N29" s="51" t="s">
        <v>194</v>
      </c>
      <c r="O29" s="51" t="s">
        <v>195</v>
      </c>
      <c r="P29" s="51" t="s">
        <v>207</v>
      </c>
      <c r="Q29" s="51" t="s">
        <v>208</v>
      </c>
    </row>
    <row r="30" spans="1:18" ht="20.100000000000001" customHeight="1" x14ac:dyDescent="0.25">
      <c r="D30" s="52" cm="1">
        <f t="array" ref="D30">MMS_Poultry_N2ODirect_Equations.VEERG_4_6_1_3__5_NitrogenIntake(D20,D25)</f>
        <v>2.6144000000000002E-3</v>
      </c>
      <c r="E30" s="52" cm="1">
        <f t="array" ref="E30">MMS_Poultry_N2ODirect_Equations.VEERG_4_6_1_3__5_NitrogenIntake(E20,E25)</f>
        <v>3.4223999999999999E-3</v>
      </c>
      <c r="F30" s="52" cm="1">
        <f t="array" ref="F30">MMS_Poultry_N2ODirect_Equations.VEERG_4_6_1_3__5_NitrogenIntake(F20,F25)</f>
        <v>3.1312000000000002E-3</v>
      </c>
      <c r="G30" s="52" cm="1">
        <f t="array" ref="G30">MMS_Poultry_N2ODirect_Equations.VEERG_4_6_1_3__5_NitrogenIntake(G20,G25)</f>
        <v>3.4223999999999999E-3</v>
      </c>
      <c r="H30" s="2" t="str">
        <f>$E$11</f>
        <v>kg N/bird/day</v>
      </c>
      <c r="N30" s="52" cm="1">
        <f t="array" ref="N30">MMS_Poultry_N2ODirect_Equations.VEERG_4_6_1_3__5_NitrogenIntake(N20,N25)</f>
        <v>2.6144000000000002E-3</v>
      </c>
      <c r="O30" s="52" cm="1">
        <f t="array" ref="O30">MMS_Poultry_N2ODirect_Equations.VEERG_4_6_1_3__5_NitrogenIntake(O20,O25)</f>
        <v>3.4223999999999999E-3</v>
      </c>
      <c r="P30" s="52" cm="1">
        <f t="array" ref="P30">MMS_Poultry_N2ODirect_Equations.VEERG_4_6_1_3__5_NitrogenIntake(P20,P25)</f>
        <v>3.1312000000000002E-3</v>
      </c>
      <c r="Q30" s="52"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5"/>
      <c r="D33" s="45"/>
      <c r="E33" s="45"/>
      <c r="F33" s="45"/>
      <c r="G33" s="45"/>
      <c r="H33" s="45"/>
      <c r="I33" s="45"/>
      <c r="J33" s="45"/>
      <c r="K33" s="45"/>
      <c r="M33" s="45"/>
      <c r="N33" s="45"/>
      <c r="O33" s="45"/>
      <c r="P33" s="45"/>
      <c r="Q33" s="45"/>
      <c r="R33" s="45"/>
      <c r="S33" s="45"/>
      <c r="T33" s="45"/>
      <c r="U33" s="45"/>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23</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3" t="s">
        <v>26</v>
      </c>
      <c r="E39" s="1" t="str" cm="1">
        <f t="array" ref="E39">MMS_Poultry_N2ODirect_Equations.VEERG_4_6_1_3__4_NitrogenExcretionPerBird_Variable()</f>
        <v>NE_jk</v>
      </c>
    </row>
    <row r="40" spans="3:21" ht="20.100000000000001" customHeight="1" x14ac:dyDescent="0.25">
      <c r="D40" s="53" t="s">
        <v>16</v>
      </c>
      <c r="E40" s="54" t="str" cm="1">
        <f t="array" ref="E40">MMS_Poultry_N2ODirect_Equations.VEERG_4_6_1_3__4_NitrogenExcretionPerBird_Unit()</f>
        <v>kg N/bird/day</v>
      </c>
    </row>
    <row r="41" spans="3:21" ht="20.100000000000001" customHeight="1" x14ac:dyDescent="0.25"/>
    <row r="42" spans="3:21" ht="20.100000000000001" customHeight="1" x14ac:dyDescent="0.25">
      <c r="D42" s="141" t="str" cm="1">
        <f t="array" ref="D42:E43">_xlfn.CHOOSECOLS(MMS_Poultry_N2ODirect_Equations.VEERG_4_6_1_3__4_NitrogenExcretionPerBird_Arguments(),1,2)</f>
        <v>NI_jk</v>
      </c>
      <c r="E42" s="144" t="str">
        <v>nitrogen intake</v>
      </c>
      <c r="F42" s="143"/>
      <c r="G42" s="141" t="str" cm="1">
        <f t="array" ref="G42:H43">_xlfn.CHOOSECOLS(MMS_Poultry_N2ODirect_Equations.VEERG_4_6_1_3__4_NitrogenExcretionPerBird_Arguments(),3,4)</f>
        <v>kg N/bird/day</v>
      </c>
      <c r="H42" s="140" t="str">
        <v>Calculated from 4.6.1.3 (5)</v>
      </c>
      <c r="I42" s="142" t="str" cm="1">
        <f t="array" aca="1" ref="I42" ca="1">HYPERLINK(Common_InputFunctions.Utility_SourceHyperlink($D$27),$D$27)</f>
        <v>M1_Table_NI_j_k</v>
      </c>
    </row>
    <row r="43" spans="3:21" ht="20.100000000000001" customHeight="1" x14ac:dyDescent="0.25">
      <c r="D43" s="141" t="str">
        <v>NR_jk</v>
      </c>
      <c r="E43" s="144" t="str">
        <v>nitrogen retention expressed as a fraction of intake</v>
      </c>
      <c r="F43" s="143"/>
      <c r="G43" s="141" t="str">
        <v>fraction</v>
      </c>
      <c r="H43" s="140" t="str">
        <v>Constant</v>
      </c>
      <c r="I43" s="142" t="str" cm="1">
        <f t="array" aca="1" ref="I43" ca="1">HYPERLINK(Common_InputFunctions.Utility_SourceHyperlink($D$45),$D$45)</f>
        <v>Table_NR_j_k</v>
      </c>
    </row>
    <row r="44" spans="3:21" ht="20.100000000000001" customHeight="1" x14ac:dyDescent="0.25"/>
    <row r="45" spans="3:21" ht="20.100000000000001" customHeight="1" x14ac:dyDescent="0.25">
      <c r="D45" s="98" t="s">
        <v>248</v>
      </c>
    </row>
    <row r="46" spans="3:21" ht="20.100000000000001" customHeight="1" x14ac:dyDescent="0.25">
      <c r="D46" s="97" t="s">
        <v>249</v>
      </c>
      <c r="E46" s="97"/>
    </row>
    <row r="47" spans="3:21" ht="20.100000000000001" customHeight="1" x14ac:dyDescent="0.25">
      <c r="D47" s="51" t="s">
        <v>194</v>
      </c>
      <c r="E47" s="51" t="s">
        <v>195</v>
      </c>
      <c r="F47" s="51" t="s">
        <v>207</v>
      </c>
      <c r="G47" s="51" t="s">
        <v>208</v>
      </c>
    </row>
    <row r="48" spans="3:21" ht="20.100000000000001" customHeight="1" x14ac:dyDescent="0.25">
      <c r="D48" s="52">
        <f>'Constants - Poultry'!E12</f>
        <v>0.35</v>
      </c>
      <c r="E48" s="52">
        <f>'Constants - Poultry'!F12</f>
        <v>0.47</v>
      </c>
      <c r="F48" s="52">
        <f>'Constants - Poultry'!G12</f>
        <v>0.32</v>
      </c>
      <c r="G48" s="52">
        <f>'Constants - Poultry'!H12</f>
        <v>0.47</v>
      </c>
      <c r="H48" s="2" t="str">
        <f>$G$43</f>
        <v>fraction</v>
      </c>
    </row>
    <row r="49" spans="1:21" ht="20.100000000000001" customHeight="1" x14ac:dyDescent="0.25"/>
    <row r="50" spans="1:21" ht="20.100000000000001" customHeight="1" x14ac:dyDescent="0.25">
      <c r="D50" s="98" t="s">
        <v>250</v>
      </c>
      <c r="N50" s="98" t="s">
        <v>250</v>
      </c>
    </row>
    <row r="51" spans="1:21" ht="20.100000000000001" customHeight="1" x14ac:dyDescent="0.25">
      <c r="D51" s="97" t="s">
        <v>251</v>
      </c>
      <c r="E51" s="97"/>
      <c r="N51" s="97" t="s">
        <v>251</v>
      </c>
      <c r="O51" s="97"/>
    </row>
    <row r="52" spans="1:21" ht="20.100000000000001" customHeight="1" x14ac:dyDescent="0.25">
      <c r="D52" s="51" t="s">
        <v>194</v>
      </c>
      <c r="E52" s="51" t="s">
        <v>195</v>
      </c>
      <c r="F52" s="51" t="s">
        <v>207</v>
      </c>
      <c r="G52" s="51" t="s">
        <v>208</v>
      </c>
      <c r="N52" s="51" t="s">
        <v>194</v>
      </c>
      <c r="O52" s="51" t="s">
        <v>195</v>
      </c>
      <c r="P52" s="51" t="s">
        <v>207</v>
      </c>
      <c r="Q52" s="51" t="s">
        <v>208</v>
      </c>
    </row>
    <row r="53" spans="1:21" ht="20.100000000000001" customHeight="1" x14ac:dyDescent="0.25">
      <c r="D53" s="52" cm="1">
        <f t="array" ref="D53">MMS_Poultry_N2ODirect_Equations.VEERG_4_6_1_3__4_NitrogenExcretionPerBird(D30,D48)</f>
        <v>1.6993600000000002E-3</v>
      </c>
      <c r="E53" s="52" cm="1">
        <f t="array" ref="E53">MMS_Poultry_N2ODirect_Equations.VEERG_4_6_1_3__4_NitrogenExcretionPerBird(E30,E48)</f>
        <v>1.813872E-3</v>
      </c>
      <c r="F53" s="52" cm="1">
        <f t="array" ref="F53">MMS_Poultry_N2ODirect_Equations.VEERG_4_6_1_3__4_NitrogenExcretionPerBird(F30,F48)</f>
        <v>2.1292159999999997E-3</v>
      </c>
      <c r="G53" s="52" cm="1">
        <f t="array" ref="G53">MMS_Poultry_N2ODirect_Equations.VEERG_4_6_1_3__4_NitrogenExcretionPerBird(G30,G48)</f>
        <v>1.813872E-3</v>
      </c>
      <c r="H53" s="2" t="str">
        <f>$E$40</f>
        <v>kg N/bird/day</v>
      </c>
      <c r="N53" s="52" cm="1">
        <f t="array" ref="N53">MMS_Poultry_N2ODirect_Equations.VEERG_4_6_1_3__4_NitrogenExcretionPerBird(N30,D48)</f>
        <v>1.6993600000000002E-3</v>
      </c>
      <c r="O53" s="52" cm="1">
        <f t="array" ref="O53">MMS_Poultry_N2ODirect_Equations.VEERG_4_6_1_3__4_NitrogenExcretionPerBird(O30,E48)</f>
        <v>1.813872E-3</v>
      </c>
      <c r="P53" s="52" cm="1">
        <f t="array" ref="P53">MMS_Poultry_N2ODirect_Equations.VEERG_4_6_1_3__4_NitrogenExcretionPerBird(P30,F48)</f>
        <v>2.1292159999999997E-3</v>
      </c>
      <c r="Q53" s="52" cm="1">
        <f t="array" ref="Q53">MMS_Poultry_N2ODirect_Equations.VEERG_4_6_1_3__4_NitrogenExcretionPerBird(Q30,G48)</f>
        <v>1.813872E-3</v>
      </c>
      <c r="R53" s="2" t="str">
        <f>$E$40</f>
        <v>kg N/bird/day</v>
      </c>
    </row>
    <row r="54" spans="1:21" ht="20.100000000000001" customHeight="1" x14ac:dyDescent="0.25"/>
    <row r="55" spans="1:21" ht="20.100000000000001" customHeight="1" x14ac:dyDescent="0.25">
      <c r="A55" s="145" t="str">
        <f>HYPERLINK("#A1", "▲ Back to top")</f>
        <v>▲ Back to top</v>
      </c>
    </row>
    <row r="56" spans="1:21" ht="20.100000000000001" customHeight="1" x14ac:dyDescent="0.25">
      <c r="C56" s="45"/>
      <c r="D56" s="45"/>
      <c r="E56" s="45"/>
      <c r="F56" s="45"/>
      <c r="G56" s="45"/>
      <c r="H56" s="45"/>
      <c r="I56" s="45"/>
      <c r="J56" s="45"/>
      <c r="K56" s="45"/>
      <c r="M56" s="45"/>
      <c r="N56" s="45"/>
      <c r="O56" s="45"/>
      <c r="P56" s="45"/>
      <c r="Q56" s="45"/>
      <c r="R56" s="45"/>
      <c r="S56" s="45"/>
      <c r="T56" s="45"/>
      <c r="U56" s="45"/>
    </row>
    <row r="57" spans="1:21" ht="20.100000000000001" customHeight="1" x14ac:dyDescent="0.25">
      <c r="D57" s="6" t="str" cm="1">
        <f t="array" ref="D57">MMS_Poultry_N2ODirect_Equations.VEERG_4_6_1_3__3_AnnualNitrogenExcretion_Title()</f>
        <v>Annual nitrogen excretion for each poultry class and subclass</v>
      </c>
    </row>
    <row r="58" spans="1:21" ht="20.100000000000001" customHeight="1" x14ac:dyDescent="0.25">
      <c r="D58" s="5" t="str" cm="1">
        <f t="array" ref="D58">MMS_Poultry_N2ODirect_Equations.VEERG_4_6_1_3__3_AnnualNitrogenExcretion_Source()</f>
        <v>VEERG 2026: 4.6.1.3, Equation (3)</v>
      </c>
    </row>
    <row r="59" spans="1:21" ht="20.100000000000001" customHeight="1" x14ac:dyDescent="0.25">
      <c r="D59" s="13" t="s">
        <v>23</v>
      </c>
      <c r="E59" s="13" t="str" cm="1">
        <f t="array" aca="1" ref="E59" ca="1">Common_InputFunctions.Utility_DisplayFunctionName(D82)</f>
        <v>=MMS_Poultry_N2ODirect_Equations.VEERG_4_6_1_3__3_AnnualNitrogenExcretion</v>
      </c>
    </row>
    <row r="60" spans="1:21" ht="20.100000000000001" customHeight="1" x14ac:dyDescent="0.25"/>
    <row r="61" spans="1:21" ht="20.100000000000001" customHeight="1" x14ac:dyDescent="0.25"/>
    <row r="62" spans="1:21" ht="20.100000000000001" customHeight="1" x14ac:dyDescent="0.25">
      <c r="D62" s="53" t="s">
        <v>26</v>
      </c>
      <c r="E62" s="1" t="str" cm="1">
        <f t="array" ref="E62">MMS_Poultry_N2ODirect_Equations.VEERG_4_6_1_3__3_AnnualNitrogenExcretion_Variable()</f>
        <v>AE_jk</v>
      </c>
    </row>
    <row r="63" spans="1:21" ht="20.100000000000001" customHeight="1" x14ac:dyDescent="0.25">
      <c r="D63" s="53" t="s">
        <v>16</v>
      </c>
      <c r="E63" s="54" t="str" cm="1">
        <f t="array" ref="E63">MMS_Poultry_N2ODirect_Equations.VEERG_4_6_1_3__3_AnnualNitrogenExcretion_Unit()</f>
        <v>kg N</v>
      </c>
    </row>
    <row r="64" spans="1:21" ht="20.100000000000001" customHeight="1" x14ac:dyDescent="0.25"/>
    <row r="65" spans="4:15" ht="20.100000000000001" customHeight="1" x14ac:dyDescent="0.25">
      <c r="D65" s="141" t="str" cm="1">
        <f t="array" ref="D65:E67">_xlfn.CHOOSECOLS(MMS_Poultry_N2ODirect_Equations.VEERG_4_6_1_3__3_AnnualNitrogenExcretion_Arguments(),1,2)</f>
        <v>N_jk</v>
      </c>
      <c r="E65" s="144" t="str">
        <v>number of poultry in each class and subclass</v>
      </c>
      <c r="F65" s="143"/>
      <c r="G65" s="141" t="str" cm="1">
        <f t="array" ref="G65:H67">_xlfn.CHOOSECOLS(MMS_Poultry_N2ODirect_Equations.VEERG_4_6_1_3__3_AnnualNitrogenExcretion_Arguments(),3,4)</f>
        <v>bird</v>
      </c>
      <c r="H65" s="139" t="str">
        <v>Input</v>
      </c>
      <c r="I65" s="142" t="str" cm="1">
        <f t="array" aca="1" ref="I65" ca="1">HYPERLINK(Common_InputFunctions.Utility_SourceHyperlink($D$69),$D$69)</f>
        <v>Table_N_j_k</v>
      </c>
    </row>
    <row r="66" spans="4:15" ht="20.100000000000001" customHeight="1" x14ac:dyDescent="0.25">
      <c r="D66" s="141" t="str">
        <v>NE_jk</v>
      </c>
      <c r="E66" s="144" t="str">
        <v>nitrogen excretion</v>
      </c>
      <c r="F66" s="143"/>
      <c r="G66" s="141" t="str">
        <v>kg N/bird/day</v>
      </c>
      <c r="H66" s="140" t="str">
        <v>Calculated from 4.6.1.3 (4)</v>
      </c>
      <c r="I66" s="142" t="str" cm="1">
        <f t="array" aca="1" ref="I66" ca="1">HYPERLINK(Common_InputFunctions.Utility_SourceHyperlink($D$50),$D$50)</f>
        <v>M1_Table_NE_j_k</v>
      </c>
    </row>
    <row r="67" spans="4:15" ht="20.100000000000001" customHeight="1" x14ac:dyDescent="0.25">
      <c r="D67" s="141" t="str">
        <v>D_jk</v>
      </c>
      <c r="E67" s="144" t="str">
        <v>duration of stay of each class and subclass</v>
      </c>
      <c r="F67" s="143"/>
      <c r="G67" s="141" t="str">
        <v>days</v>
      </c>
      <c r="H67" s="139" t="str">
        <v>Input</v>
      </c>
      <c r="I67" s="142" t="str" cm="1">
        <f t="array" aca="1" ref="I67" ca="1">HYPERLINK(Common_InputFunctions.Utility_SourceHyperlink($D$74),$D$74)</f>
        <v>Table_D_j_k</v>
      </c>
    </row>
    <row r="68" spans="4:15" ht="20.100000000000001" customHeight="1" x14ac:dyDescent="0.25"/>
    <row r="69" spans="4:15" ht="20.100000000000001" customHeight="1" x14ac:dyDescent="0.25">
      <c r="D69" s="98" t="s">
        <v>236</v>
      </c>
    </row>
    <row r="70" spans="4:15" ht="20.100000000000001" customHeight="1" x14ac:dyDescent="0.25">
      <c r="D70" s="97" t="s">
        <v>237</v>
      </c>
      <c r="E70" s="97"/>
    </row>
    <row r="71" spans="4:15" ht="20.100000000000001" customHeight="1" x14ac:dyDescent="0.25">
      <c r="D71" s="112" t="s">
        <v>194</v>
      </c>
      <c r="E71" s="112" t="s">
        <v>195</v>
      </c>
      <c r="F71" s="112" t="s">
        <v>207</v>
      </c>
      <c r="G71" s="112" t="s">
        <v>208</v>
      </c>
    </row>
    <row r="72" spans="4:15" ht="20.100000000000001" customHeight="1" x14ac:dyDescent="0.25">
      <c r="D72" s="52">
        <f>'Input - Poultry'!E11</f>
        <v>100</v>
      </c>
      <c r="E72" s="52">
        <f>'Input - Poultry'!F11</f>
        <v>100</v>
      </c>
      <c r="F72" s="52">
        <f>'Input - Poultry'!G11</f>
        <v>100</v>
      </c>
      <c r="G72" s="52">
        <f>'Input - Poultry'!H11</f>
        <v>100</v>
      </c>
      <c r="H72" s="2" t="str">
        <f>$G$65</f>
        <v>bird</v>
      </c>
    </row>
    <row r="73" spans="4:15" ht="20.100000000000001" customHeight="1" x14ac:dyDescent="0.25"/>
    <row r="74" spans="4:15" ht="20.100000000000001" customHeight="1" x14ac:dyDescent="0.25">
      <c r="D74" s="98" t="s">
        <v>235</v>
      </c>
    </row>
    <row r="75" spans="4:15" ht="20.100000000000001" customHeight="1" x14ac:dyDescent="0.25">
      <c r="D75" s="97" t="s">
        <v>143</v>
      </c>
      <c r="E75" s="97"/>
    </row>
    <row r="76" spans="4:15" ht="20.100000000000001" customHeight="1" x14ac:dyDescent="0.25">
      <c r="D76" s="112" t="s">
        <v>194</v>
      </c>
      <c r="E76" s="112" t="s">
        <v>195</v>
      </c>
      <c r="F76" s="112" t="s">
        <v>207</v>
      </c>
      <c r="G76" s="112" t="s">
        <v>208</v>
      </c>
    </row>
    <row r="77" spans="4:15" ht="20.100000000000001" customHeight="1" x14ac:dyDescent="0.25">
      <c r="D77" s="52">
        <f>'Input - Poultry'!E11</f>
        <v>100</v>
      </c>
      <c r="E77" s="52">
        <f>'Input - Poultry'!F11</f>
        <v>100</v>
      </c>
      <c r="F77" s="52">
        <f>'Input - Poultry'!G11</f>
        <v>100</v>
      </c>
      <c r="G77" s="52">
        <f>'Input - Poultry'!H11</f>
        <v>100</v>
      </c>
      <c r="H77" s="2" t="str">
        <f>$G$67</f>
        <v>days</v>
      </c>
    </row>
    <row r="78" spans="4:15" ht="20.100000000000001" customHeight="1" x14ac:dyDescent="0.25"/>
    <row r="79" spans="4:15" ht="20.100000000000001" customHeight="1" x14ac:dyDescent="0.25">
      <c r="D79" s="98" t="s">
        <v>252</v>
      </c>
      <c r="N79" s="98" t="s">
        <v>254</v>
      </c>
    </row>
    <row r="80" spans="4:15" ht="20.100000000000001" customHeight="1" x14ac:dyDescent="0.25">
      <c r="D80" s="97" t="s">
        <v>253</v>
      </c>
      <c r="E80" s="97"/>
      <c r="N80" s="97" t="s">
        <v>255</v>
      </c>
      <c r="O80" s="97"/>
    </row>
    <row r="81" spans="1:21" ht="20.100000000000001" customHeight="1" x14ac:dyDescent="0.25">
      <c r="D81" s="51" t="s">
        <v>194</v>
      </c>
      <c r="E81" s="51" t="s">
        <v>195</v>
      </c>
      <c r="F81" s="51" t="s">
        <v>207</v>
      </c>
      <c r="G81" s="51" t="s">
        <v>208</v>
      </c>
      <c r="N81" s="51" t="s">
        <v>194</v>
      </c>
      <c r="O81" s="51" t="s">
        <v>195</v>
      </c>
      <c r="P81" s="51" t="s">
        <v>207</v>
      </c>
      <c r="Q81" s="51" t="s">
        <v>208</v>
      </c>
    </row>
    <row r="82" spans="1:21" ht="20.100000000000001" customHeight="1" x14ac:dyDescent="0.25">
      <c r="D82" s="52" cm="1">
        <f t="array" ref="D82">MMS_Poultry_N2ODirect_Equations.VEERG_4_6_1_3__3_AnnualNitrogenExcretion(D72,D53,D77)</f>
        <v>16.993600000000004</v>
      </c>
      <c r="E82" s="52" cm="1">
        <f t="array" ref="E82">MMS_Poultry_N2ODirect_Equations.VEERG_4_6_1_3__3_AnnualNitrogenExcretion(E72,E53,E77)</f>
        <v>18.138719999999999</v>
      </c>
      <c r="F82" s="52" cm="1">
        <f t="array" ref="F82">MMS_Poultry_N2ODirect_Equations.VEERG_4_6_1_3__3_AnnualNitrogenExcretion(F72,F53,F77)</f>
        <v>21.292159999999999</v>
      </c>
      <c r="G82" s="52" cm="1">
        <f t="array" ref="G82">MMS_Poultry_N2ODirect_Equations.VEERG_4_6_1_3__3_AnnualNitrogenExcretion(G72,G53,G77)</f>
        <v>18.138719999999999</v>
      </c>
      <c r="H82" s="2" t="str">
        <f>$E$63</f>
        <v>kg N</v>
      </c>
      <c r="N82" s="52" cm="1">
        <f t="array" ref="N82">MMS_Poultry_N2ODirect_Equations.VEERG_4_6_1_3__3_AnnualNitrogenExcretion(D72,N53,D77)</f>
        <v>16.993600000000004</v>
      </c>
      <c r="O82" s="52" cm="1">
        <f t="array" ref="O82">MMS_Poultry_N2ODirect_Equations.VEERG_4_6_1_3__3_AnnualNitrogenExcretion(E72,O53,E77)</f>
        <v>18.138719999999999</v>
      </c>
      <c r="P82" s="52" cm="1">
        <f t="array" ref="P82">MMS_Poultry_N2ODirect_Equations.VEERG_4_6_1_3__3_AnnualNitrogenExcretion(F72,P53,F77)</f>
        <v>21.292159999999999</v>
      </c>
      <c r="Q82" s="52" cm="1">
        <f t="array" ref="Q82">MMS_Poultry_N2ODirect_Equations.VEERG_4_6_1_3__3_AnnualNitrogenExcretion(G72,Q53,G77)</f>
        <v>18.138719999999999</v>
      </c>
      <c r="R82" s="2" t="str">
        <f>$E$63</f>
        <v>kg N</v>
      </c>
    </row>
    <row r="83" spans="1:21" ht="20.100000000000001" customHeight="1" x14ac:dyDescent="0.25"/>
    <row r="84" spans="1:21" ht="20.100000000000001" customHeight="1" x14ac:dyDescent="0.25">
      <c r="A84" s="145" t="str">
        <f>HYPERLINK("#A1", "▲ Back to top")</f>
        <v>▲ Back to top</v>
      </c>
    </row>
    <row r="85" spans="1:21" ht="20.100000000000001" customHeight="1" x14ac:dyDescent="0.25">
      <c r="C85" s="45"/>
      <c r="D85" s="45"/>
      <c r="E85" s="45"/>
      <c r="F85" s="45"/>
      <c r="G85" s="45"/>
      <c r="H85" s="45"/>
      <c r="I85" s="45"/>
      <c r="J85" s="45"/>
      <c r="K85" s="45"/>
      <c r="M85" s="45"/>
      <c r="N85" s="45"/>
      <c r="O85" s="45"/>
      <c r="P85" s="45"/>
      <c r="Q85" s="45"/>
      <c r="R85" s="45"/>
      <c r="S85" s="45"/>
      <c r="T85" s="45"/>
      <c r="U85" s="45"/>
    </row>
    <row r="86" spans="1:21" ht="20.100000000000001" customHeight="1" x14ac:dyDescent="0.25">
      <c r="D86" s="6" t="str" cm="1">
        <f t="array" ref="D86">MMS_Poultry_N2ODirect_Equations.VEERG_4_6_1_3__2_Stage1NitrogenInMMS_Title()</f>
        <v>Nitrogen in treatment stage 1 MMS</v>
      </c>
    </row>
    <row r="87" spans="1:21" ht="20.100000000000001" customHeight="1" x14ac:dyDescent="0.25">
      <c r="D87" s="5" t="str" cm="1">
        <f t="array" ref="D87">MMS_Poultry_N2ODirect_Equations.VEERG_4_6_1_3__2_Stage1NitrogenInMMS_Source()</f>
        <v>VEERG 2026: 4.6.1.3, Equation (2)</v>
      </c>
    </row>
    <row r="88" spans="1:21" ht="20.100000000000001" customHeight="1" x14ac:dyDescent="0.25">
      <c r="D88" s="13" t="s">
        <v>23</v>
      </c>
      <c r="E88" s="13" t="str" cm="1">
        <f t="array" aca="1" ref="E88" ca="1">Common_InputFunctions.Utility_DisplayFunctionName(E108)</f>
        <v>=MMS_Poultry_N2ODirect_Equations.VEERG_4_6_1_3__2_Stage1NitrogenInMMS</v>
      </c>
    </row>
    <row r="89" spans="1:21" ht="20.100000000000001" customHeight="1" x14ac:dyDescent="0.25"/>
    <row r="90" spans="1:21" ht="20.100000000000001" customHeight="1" x14ac:dyDescent="0.25"/>
    <row r="91" spans="1:21" ht="20.100000000000001" customHeight="1" x14ac:dyDescent="0.25">
      <c r="D91" s="53" t="s">
        <v>26</v>
      </c>
      <c r="E91" s="1" t="str" cm="1">
        <f t="array" ref="E91">MMS_Poultry_N2ODirect_Equations.VEERG_4_6_1_3__2_Stage1NitrogenInMMS_Variable()</f>
        <v>MN_jkmT1</v>
      </c>
    </row>
    <row r="92" spans="1:21" ht="20.100000000000001" customHeight="1" x14ac:dyDescent="0.25">
      <c r="D92" s="53" t="s">
        <v>16</v>
      </c>
      <c r="E92" s="54" t="str" cm="1">
        <f t="array" ref="E92">MMS_Poultry_N2ODirect_Equations.VEERG_4_6_1_3__2_Stage1NitrogenInMMS_Unit()</f>
        <v>kg N</v>
      </c>
    </row>
    <row r="93" spans="1:21" ht="20.100000000000001" customHeight="1" x14ac:dyDescent="0.25"/>
    <row r="94" spans="1:21" ht="20.100000000000001" customHeight="1" x14ac:dyDescent="0.25">
      <c r="D94" s="141" t="str" cm="1">
        <f t="array" ref="D94:E95">_xlfn.CHOOSECOLS(MMS_Poultry_N2ODirect_Equations.VEERG_4_6_1_3__2_Stage1NitrogenInMMS_Arguments(),1,2)</f>
        <v>AE_jk</v>
      </c>
      <c r="E94" s="141" t="str">
        <v>total nitrogen excreted by each poultry class and subclass</v>
      </c>
      <c r="F94" s="141"/>
      <c r="G94" s="141" t="str" cm="1">
        <f t="array" ref="G94:H95">_xlfn.CHOOSECOLS(MMS_Poultry_N2ODirect_Equations.VEERG_4_6_1_3__2_Stage1NitrogenInMMS_Arguments(),3,4)</f>
        <v>kg N</v>
      </c>
      <c r="H94" s="140" t="str">
        <v>Calculated from 4.6.1.3 (3)</v>
      </c>
      <c r="I94" s="142" t="str" cm="1">
        <f t="array" aca="1" ref="I94" ca="1">HYPERLINK(Common_InputFunctions.Utility_SourceHyperlink($D$79),$D$79)</f>
        <v>M1_Table_AE_j_k</v>
      </c>
    </row>
    <row r="95" spans="1:21" ht="20.100000000000001" customHeight="1" x14ac:dyDescent="0.25">
      <c r="D95" s="141" t="str">
        <v>MMS_jmT1</v>
      </c>
      <c r="E95" s="141" t="str">
        <v>fraction of manure in each primary system</v>
      </c>
      <c r="F95" s="141"/>
      <c r="G95" s="141" t="str">
        <v>fraction</v>
      </c>
      <c r="H95" s="139" t="str">
        <v>Input</v>
      </c>
      <c r="I95" s="142" t="str" cm="1">
        <f t="array" aca="1" ref="I95" ca="1">HYPERLINK(Common_InputFunctions.Utility_SourceHyperlink($D$97),$D$97)</f>
        <v>Table_MMS_j_m_T-1</v>
      </c>
    </row>
    <row r="96" spans="1:21" ht="20.100000000000001" customHeight="1" x14ac:dyDescent="0.25"/>
    <row r="97" spans="4:19" ht="20.100000000000001" customHeight="1" x14ac:dyDescent="0.25">
      <c r="D97" s="98" t="s">
        <v>151</v>
      </c>
    </row>
    <row r="98" spans="4:19" ht="20.100000000000001" customHeight="1" x14ac:dyDescent="0.25">
      <c r="D98" s="97" t="s">
        <v>226</v>
      </c>
    </row>
    <row r="99" spans="4:19" ht="20.100000000000001" customHeight="1" x14ac:dyDescent="0.25">
      <c r="D99" s="112" t="s">
        <v>133</v>
      </c>
      <c r="E99" s="112" t="s">
        <v>194</v>
      </c>
      <c r="F99" s="112" t="s">
        <v>195</v>
      </c>
      <c r="G99" s="112" t="s">
        <v>207</v>
      </c>
      <c r="H99" s="112" t="s">
        <v>208</v>
      </c>
    </row>
    <row r="100" spans="4:19" ht="20.100000000000001" customHeight="1" x14ac:dyDescent="0.25">
      <c r="D100" s="52" t="str">
        <f>'Input - Poultry'!$D$30</f>
        <v>Poultry manure with bedding</v>
      </c>
      <c r="E100" s="52">
        <f>'Input - Poultry'!E30</f>
        <v>0.3</v>
      </c>
      <c r="F100" s="52">
        <f>'Input - Poultry'!F30</f>
        <v>0.3</v>
      </c>
      <c r="G100" s="52">
        <f>'Input - Poultry'!G30</f>
        <v>0.3</v>
      </c>
      <c r="H100" s="52">
        <f>'Input - Poultry'!H30</f>
        <v>0.3</v>
      </c>
      <c r="I100" s="2" t="str">
        <f>$G$95</f>
        <v>fraction</v>
      </c>
    </row>
    <row r="101" spans="4:19" ht="20.100000000000001" customHeight="1" x14ac:dyDescent="0.25">
      <c r="D101" s="52" t="str">
        <f>'Input - Poultry'!$D$31</f>
        <v>Belt manure removal</v>
      </c>
      <c r="E101" s="52">
        <f>'Input - Poultry'!E31</f>
        <v>0.3</v>
      </c>
      <c r="F101" s="52">
        <f>'Input - Poultry'!F31</f>
        <v>0.3</v>
      </c>
      <c r="G101" s="52">
        <f>'Input - Poultry'!G31</f>
        <v>0.3</v>
      </c>
      <c r="H101" s="52">
        <f>'Input - Poultry'!H31</f>
        <v>0.3</v>
      </c>
      <c r="I101" s="2"/>
    </row>
    <row r="102" spans="4:19" ht="20.100000000000001" customHeight="1" x14ac:dyDescent="0.25">
      <c r="D102" s="52" t="str">
        <f>'Input - Poultry'!$D$32</f>
        <v>Manure stored in house</v>
      </c>
      <c r="E102" s="52">
        <f>'Input - Poultry'!E32</f>
        <v>0.3</v>
      </c>
      <c r="F102" s="52">
        <f>'Input - Poultry'!F32</f>
        <v>0.3</v>
      </c>
      <c r="G102" s="52">
        <f>'Input - Poultry'!G32</f>
        <v>0.3</v>
      </c>
      <c r="H102" s="52">
        <f>'Input - Poultry'!H32</f>
        <v>0.3</v>
      </c>
      <c r="I102" s="2"/>
    </row>
    <row r="103" spans="4:19" ht="20.100000000000001" customHeight="1" x14ac:dyDescent="0.25">
      <c r="D103" s="52" t="str">
        <f>'Input - Poultry'!$D$33</f>
        <v>Pasture range and paddock</v>
      </c>
      <c r="E103" s="52">
        <f>'Input - Poultry'!E33</f>
        <v>0.1</v>
      </c>
      <c r="F103" s="52">
        <f>'Input - Poultry'!F33</f>
        <v>0.1</v>
      </c>
      <c r="G103" s="52">
        <f>'Input - Poultry'!G33</f>
        <v>0.1</v>
      </c>
      <c r="H103" s="52">
        <f>'Input - Poultry'!H33</f>
        <v>0.1</v>
      </c>
      <c r="I103" s="2"/>
    </row>
    <row r="104" spans="4:19" ht="20.100000000000001" customHeight="1" x14ac:dyDescent="0.25"/>
    <row r="105" spans="4:19" ht="20.100000000000001" customHeight="1" x14ac:dyDescent="0.25">
      <c r="D105" s="98" t="s">
        <v>256</v>
      </c>
      <c r="N105" s="98" t="s">
        <v>258</v>
      </c>
    </row>
    <row r="106" spans="4:19" ht="20.100000000000001" customHeight="1" x14ac:dyDescent="0.25">
      <c r="D106" s="97" t="s">
        <v>257</v>
      </c>
      <c r="N106" s="97" t="s">
        <v>259</v>
      </c>
    </row>
    <row r="107" spans="4:19" ht="20.100000000000001" customHeight="1" x14ac:dyDescent="0.25">
      <c r="D107" s="51" t="s">
        <v>133</v>
      </c>
      <c r="E107" s="51" t="s">
        <v>194</v>
      </c>
      <c r="F107" s="51" t="s">
        <v>195</v>
      </c>
      <c r="G107" s="51" t="s">
        <v>207</v>
      </c>
      <c r="H107" s="51" t="s">
        <v>208</v>
      </c>
      <c r="N107" s="51" t="s">
        <v>133</v>
      </c>
      <c r="O107" s="51" t="s">
        <v>194</v>
      </c>
      <c r="P107" s="51" t="s">
        <v>195</v>
      </c>
      <c r="Q107" s="51" t="s">
        <v>207</v>
      </c>
      <c r="R107" s="51" t="s">
        <v>208</v>
      </c>
    </row>
    <row r="108" spans="4:19" ht="20.100000000000001" customHeight="1" x14ac:dyDescent="0.25">
      <c r="D108" s="52" t="str">
        <f>'Input - Poultry'!$D$30</f>
        <v>Poultry manure with bedding</v>
      </c>
      <c r="E108" s="52" cm="1">
        <f t="array" ref="E108">MMS_Poultry_N2ODirect_Equations.VEERG_4_6_1_3__2_Stage1NitrogenInMMS(D$82,E100)</f>
        <v>5.0980800000000013</v>
      </c>
      <c r="F108" s="52" cm="1">
        <f t="array" ref="F108">MMS_Poultry_N2ODirect_Equations.VEERG_4_6_1_3__2_Stage1NitrogenInMMS(E$82,F100)</f>
        <v>5.4416159999999998</v>
      </c>
      <c r="G108" s="52" cm="1">
        <f t="array" ref="G108">MMS_Poultry_N2ODirect_Equations.VEERG_4_6_1_3__2_Stage1NitrogenInMMS(F$82,G100)</f>
        <v>6.3876479999999995</v>
      </c>
      <c r="H108" s="52" cm="1">
        <f t="array" ref="H108">MMS_Poultry_N2ODirect_Equations.VEERG_4_6_1_3__2_Stage1NitrogenInMMS(G$82,H100)</f>
        <v>5.4416159999999998</v>
      </c>
      <c r="I108" s="2" t="str">
        <f>$E$92</f>
        <v>kg N</v>
      </c>
      <c r="N108" s="52" t="str">
        <f>'Input - Poultry'!$D$30</f>
        <v>Poultry manure with bedding</v>
      </c>
      <c r="O108" s="52" cm="1">
        <f t="array" ref="O108">MMS_Poultry_N2ODirect_Equations.VEERG_4_6_1_3__2_Stage1NitrogenInMMS(N$82,E100)</f>
        <v>5.0980800000000013</v>
      </c>
      <c r="P108" s="52" cm="1">
        <f t="array" ref="P108">MMS_Poultry_N2ODirect_Equations.VEERG_4_6_1_3__2_Stage1NitrogenInMMS(O$82,F100)</f>
        <v>5.4416159999999998</v>
      </c>
      <c r="Q108" s="52" cm="1">
        <f t="array" ref="Q108">MMS_Poultry_N2ODirect_Equations.VEERG_4_6_1_3__2_Stage1NitrogenInMMS(P$82,G100)</f>
        <v>6.3876479999999995</v>
      </c>
      <c r="R108" s="52" cm="1">
        <f t="array" ref="R108">MMS_Poultry_N2ODirect_Equations.VEERG_4_6_1_3__2_Stage1NitrogenInMMS(Q$82,H100)</f>
        <v>5.4416159999999998</v>
      </c>
      <c r="S108" s="2" t="str">
        <f>$E$92</f>
        <v>kg N</v>
      </c>
    </row>
    <row r="109" spans="4:19" ht="20.100000000000001" customHeight="1" x14ac:dyDescent="0.25">
      <c r="D109" s="52" t="str">
        <f>'Input - Poultry'!$D$31</f>
        <v>Belt manure removal</v>
      </c>
      <c r="E109" s="52" cm="1">
        <f t="array" ref="E109">MMS_Poultry_N2ODirect_Equations.VEERG_4_6_1_3__2_Stage1NitrogenInMMS(D$82,E101)</f>
        <v>5.0980800000000013</v>
      </c>
      <c r="F109" s="52" cm="1">
        <f t="array" ref="F109">MMS_Poultry_N2ODirect_Equations.VEERG_4_6_1_3__2_Stage1NitrogenInMMS(E$82,F101)</f>
        <v>5.4416159999999998</v>
      </c>
      <c r="G109" s="52" cm="1">
        <f t="array" ref="G109">MMS_Poultry_N2ODirect_Equations.VEERG_4_6_1_3__2_Stage1NitrogenInMMS(F$82,G101)</f>
        <v>6.3876479999999995</v>
      </c>
      <c r="H109" s="52" cm="1">
        <f t="array" ref="H109">MMS_Poultry_N2ODirect_Equations.VEERG_4_6_1_3__2_Stage1NitrogenInMMS(G$82,H101)</f>
        <v>5.4416159999999998</v>
      </c>
      <c r="I109" s="2"/>
      <c r="N109" s="52" t="str">
        <f>'Input - Poultry'!$D$31</f>
        <v>Belt manure removal</v>
      </c>
      <c r="O109" s="52" cm="1">
        <f t="array" ref="O109">MMS_Poultry_N2ODirect_Equations.VEERG_4_6_1_3__2_Stage1NitrogenInMMS(N$82,E101)</f>
        <v>5.0980800000000013</v>
      </c>
      <c r="P109" s="52" cm="1">
        <f t="array" ref="P109">MMS_Poultry_N2ODirect_Equations.VEERG_4_6_1_3__2_Stage1NitrogenInMMS(O$82,F101)</f>
        <v>5.4416159999999998</v>
      </c>
      <c r="Q109" s="52" cm="1">
        <f t="array" ref="Q109">MMS_Poultry_N2ODirect_Equations.VEERG_4_6_1_3__2_Stage1NitrogenInMMS(P$82,G101)</f>
        <v>6.3876479999999995</v>
      </c>
      <c r="R109" s="52" cm="1">
        <f t="array" ref="R109">MMS_Poultry_N2ODirect_Equations.VEERG_4_6_1_3__2_Stage1NitrogenInMMS(Q$82,H101)</f>
        <v>5.4416159999999998</v>
      </c>
      <c r="S109" s="2"/>
    </row>
    <row r="110" spans="4:19" ht="20.100000000000001" customHeight="1" x14ac:dyDescent="0.25">
      <c r="D110" s="52" t="str">
        <f>'Input - Poultry'!$D$32</f>
        <v>Manure stored in house</v>
      </c>
      <c r="E110" s="52" cm="1">
        <f t="array" ref="E110">MMS_Poultry_N2ODirect_Equations.VEERG_4_6_1_3__2_Stage1NitrogenInMMS(D$82,E102)</f>
        <v>5.0980800000000013</v>
      </c>
      <c r="F110" s="52" cm="1">
        <f t="array" ref="F110">MMS_Poultry_N2ODirect_Equations.VEERG_4_6_1_3__2_Stage1NitrogenInMMS(E$82,F102)</f>
        <v>5.4416159999999998</v>
      </c>
      <c r="G110" s="52" cm="1">
        <f t="array" ref="G110">MMS_Poultry_N2ODirect_Equations.VEERG_4_6_1_3__2_Stage1NitrogenInMMS(F$82,G102)</f>
        <v>6.3876479999999995</v>
      </c>
      <c r="H110" s="52" cm="1">
        <f t="array" ref="H110">MMS_Poultry_N2ODirect_Equations.VEERG_4_6_1_3__2_Stage1NitrogenInMMS(G$82,H102)</f>
        <v>5.4416159999999998</v>
      </c>
      <c r="I110" s="2"/>
      <c r="N110" s="52" t="str">
        <f>'Input - Poultry'!$D$32</f>
        <v>Manure stored in house</v>
      </c>
      <c r="O110" s="52" cm="1">
        <f t="array" ref="O110">MMS_Poultry_N2ODirect_Equations.VEERG_4_6_1_3__2_Stage1NitrogenInMMS(N$82,E102)</f>
        <v>5.0980800000000013</v>
      </c>
      <c r="P110" s="52" cm="1">
        <f t="array" ref="P110">MMS_Poultry_N2ODirect_Equations.VEERG_4_6_1_3__2_Stage1NitrogenInMMS(O$82,F102)</f>
        <v>5.4416159999999998</v>
      </c>
      <c r="Q110" s="52" cm="1">
        <f t="array" ref="Q110">MMS_Poultry_N2ODirect_Equations.VEERG_4_6_1_3__2_Stage1NitrogenInMMS(P$82,G102)</f>
        <v>6.3876479999999995</v>
      </c>
      <c r="R110" s="52" cm="1">
        <f t="array" ref="R110">MMS_Poultry_N2ODirect_Equations.VEERG_4_6_1_3__2_Stage1NitrogenInMMS(Q$82,H102)</f>
        <v>5.4416159999999998</v>
      </c>
      <c r="S110" s="2"/>
    </row>
    <row r="111" spans="4:19" ht="20.100000000000001" customHeight="1" x14ac:dyDescent="0.25">
      <c r="D111" s="52" t="str">
        <f>'Input - Poultry'!$D$33</f>
        <v>Pasture range and paddock</v>
      </c>
      <c r="E111" s="52" cm="1">
        <f t="array" ref="E111">MMS_Poultry_N2ODirect_Equations.VEERG_4_6_1_3__2_Stage1NitrogenInMMS(D$82,E103)</f>
        <v>1.6993600000000004</v>
      </c>
      <c r="F111" s="52" cm="1">
        <f t="array" ref="F111">MMS_Poultry_N2ODirect_Equations.VEERG_4_6_1_3__2_Stage1NitrogenInMMS(E$82,F103)</f>
        <v>1.8138719999999999</v>
      </c>
      <c r="G111" s="52" cm="1">
        <f t="array" ref="G111">MMS_Poultry_N2ODirect_Equations.VEERG_4_6_1_3__2_Stage1NitrogenInMMS(F$82,G103)</f>
        <v>2.129216</v>
      </c>
      <c r="H111" s="52" cm="1">
        <f t="array" ref="H111">MMS_Poultry_N2ODirect_Equations.VEERG_4_6_1_3__2_Stage1NitrogenInMMS(G$82,H103)</f>
        <v>1.8138719999999999</v>
      </c>
      <c r="I111" s="2"/>
      <c r="N111" s="52" t="str">
        <f>'Input - Poultry'!$D$33</f>
        <v>Pasture range and paddock</v>
      </c>
      <c r="O111" s="52" cm="1">
        <f t="array" ref="O111">MMS_Poultry_N2ODirect_Equations.VEERG_4_6_1_3__2_Stage1NitrogenInMMS(N$82,E103)</f>
        <v>1.6993600000000004</v>
      </c>
      <c r="P111" s="52" cm="1">
        <f t="array" ref="P111">MMS_Poultry_N2ODirect_Equations.VEERG_4_6_1_3__2_Stage1NitrogenInMMS(O$82,F103)</f>
        <v>1.8138719999999999</v>
      </c>
      <c r="Q111" s="52" cm="1">
        <f t="array" ref="Q111">MMS_Poultry_N2ODirect_Equations.VEERG_4_6_1_3__2_Stage1NitrogenInMMS(P$82,G103)</f>
        <v>2.129216</v>
      </c>
      <c r="R111" s="52" cm="1">
        <f t="array" ref="R111">MMS_Poultry_N2ODirect_Equations.VEERG_4_6_1_3__2_Stage1NitrogenInMMS(Q$82,H103)</f>
        <v>1.8138719999999999</v>
      </c>
      <c r="S111" s="2"/>
    </row>
    <row r="112" spans="4:19" ht="20.100000000000001" customHeight="1" x14ac:dyDescent="0.25"/>
    <row r="113" spans="1:21" ht="20.100000000000001" customHeight="1" x14ac:dyDescent="0.25">
      <c r="A113" s="145" t="str">
        <f>HYPERLINK("#A1", "▲ Back to top")</f>
        <v>▲ Back to top</v>
      </c>
    </row>
    <row r="114" spans="1:21" ht="20.100000000000001" customHeight="1" x14ac:dyDescent="0.25">
      <c r="C114" s="45"/>
      <c r="D114" s="45"/>
      <c r="E114" s="45"/>
      <c r="F114" s="45"/>
      <c r="G114" s="45"/>
      <c r="H114" s="45"/>
      <c r="I114" s="45"/>
      <c r="J114" s="45"/>
      <c r="K114" s="45"/>
      <c r="M114" s="45"/>
      <c r="N114" s="45"/>
      <c r="O114" s="45"/>
      <c r="P114" s="45"/>
      <c r="Q114" s="45"/>
      <c r="R114" s="45"/>
      <c r="S114" s="45"/>
      <c r="T114" s="45"/>
      <c r="U114" s="45"/>
    </row>
    <row r="115" spans="1:21" ht="20.100000000000001" customHeight="1" x14ac:dyDescent="0.25">
      <c r="D115" s="6" t="str" cm="1">
        <f t="array" ref="D115">MMS_Poultry_N2ODirect_Equations.VEERG_4_6_1_3__7_NitrogenTransferredToStage2MMS_Title()</f>
        <v>Nitrogen transferred to treatment stage 2 MMS</v>
      </c>
    </row>
    <row r="116" spans="1:21" ht="20.100000000000001" customHeight="1" x14ac:dyDescent="0.25">
      <c r="D116" s="5" t="str" cm="1">
        <f t="array" ref="D116">MMS_Poultry_N2ODirect_Equations.VEERG_4_6_1_3__7_NitrogenTransferredToStage2MMS_Source()</f>
        <v>VEERG 2026: 4.6.1.3, Equation (7)</v>
      </c>
    </row>
    <row r="117" spans="1:21" ht="20.100000000000001" customHeight="1" x14ac:dyDescent="0.25">
      <c r="D117" s="13" t="s">
        <v>23</v>
      </c>
      <c r="E117" s="13" t="str" cm="1">
        <f t="array" aca="1" ref="E117" ca="1">Common_InputFunctions.Utility_DisplayFunctionName(E150)</f>
        <v>=MMS_Poultry_N2ODirect_Equations.VEERG_4_6_1_3__7_NitrogenTransferredToStage2MMS</v>
      </c>
    </row>
    <row r="118" spans="1:21" ht="20.100000000000001" customHeight="1" x14ac:dyDescent="0.25"/>
    <row r="119" spans="1:21" ht="20.100000000000001" customHeight="1" x14ac:dyDescent="0.25"/>
    <row r="120" spans="1:21" ht="20.100000000000001" customHeight="1" x14ac:dyDescent="0.25">
      <c r="D120" s="53" t="s">
        <v>26</v>
      </c>
      <c r="E120" s="1" t="str" cm="1">
        <f t="array" ref="E120">MMS_Poultry_N2ODirect_Equations.VEERG_4_6_1_3__7_NitrogenTransferredToStage2MMS_Variable()</f>
        <v>NT_jkmT2</v>
      </c>
    </row>
    <row r="121" spans="1:21" ht="20.100000000000001" customHeight="1" x14ac:dyDescent="0.25">
      <c r="D121" s="53" t="s">
        <v>16</v>
      </c>
      <c r="E121" s="54" t="str" cm="1">
        <f t="array" ref="E121">MMS_Poultry_N2ODirect_Equations.VEERG_4_6_1_3__7_NitrogenTransferredToStage2MMS_Unit()</f>
        <v>kg N</v>
      </c>
    </row>
    <row r="122" spans="1:21" ht="20.100000000000001" customHeight="1" x14ac:dyDescent="0.25"/>
    <row r="123" spans="1:21" ht="20.100000000000001" customHeight="1" x14ac:dyDescent="0.25">
      <c r="D123" s="141" t="str" cm="1">
        <f t="array" ref="D123:E125">_xlfn.CHOOSECOLS(MMS_Poultry_N2ODirect_Equations.VEERG_4_6_1_3__7_NitrogenTransferredToStage2MMS_Arguments(),1,2)</f>
        <v>MN_jkmT1</v>
      </c>
      <c r="E123" s="144" t="str">
        <v>nitrogen in MMS treatment stage 1</v>
      </c>
      <c r="F123" s="143"/>
      <c r="G123" s="141" t="str" cm="1">
        <f t="array" ref="G123:H125">_xlfn.CHOOSECOLS(MMS_Poultry_N2ODirect_Equations.VEERG_4_6_1_3__7_NitrogenTransferredToStage2MMS_Arguments(),3,4)</f>
        <v>kg N</v>
      </c>
      <c r="H123" s="140" t="str">
        <v>Calculated from 4.6.1.3 (6)</v>
      </c>
      <c r="I123" s="142" t="str" cm="1">
        <f t="array" aca="1" ref="I123" ca="1">HYPERLINK(Common_InputFunctions.Utility_SourceHyperlink($D$105),$D$105)</f>
        <v>M1_Table_MN_j_k_m_T-1</v>
      </c>
    </row>
    <row r="124" spans="1:21" ht="20.100000000000001" customHeight="1" x14ac:dyDescent="0.25">
      <c r="D124" s="141" t="str">
        <v>FracGASM_mT1</v>
      </c>
      <c r="E124" s="144" t="str">
        <v>fraction of N volatilised from MMS treatment at stage 1</v>
      </c>
      <c r="F124" s="143"/>
      <c r="G124" s="141" t="str">
        <v>fraction</v>
      </c>
      <c r="H124" s="140" t="str">
        <v>Constant</v>
      </c>
      <c r="I124" s="142" t="str" cm="1">
        <f t="array" aca="1" ref="I124" ca="1">HYPERLINK(Common_InputFunctions.Utility_SourceHyperlink($D$127),$D$127)</f>
        <v>Table_FracGASM_m_T-1</v>
      </c>
    </row>
    <row r="125" spans="1:21" ht="20.100000000000001" customHeight="1" x14ac:dyDescent="0.25">
      <c r="D125" s="141" t="str">
        <v>EF_mT1</v>
      </c>
      <c r="E125" s="144" t="str">
        <v>nitrous oxide emission factor for MMS treatment at stage 1</v>
      </c>
      <c r="F125" s="143"/>
      <c r="G125" s="141" t="str">
        <v>kg N2O-N/kg N</v>
      </c>
      <c r="H125" s="140" t="str">
        <v>Constant</v>
      </c>
      <c r="I125" s="142" t="str" cm="1">
        <f t="array" aca="1" ref="I125" ca="1">HYPERLINK(Common_InputFunctions.Utility_SourceHyperlink($D$135),$D$135)</f>
        <v>Table_EF_m</v>
      </c>
    </row>
    <row r="126" spans="1:21" ht="20.100000000000001" customHeight="1" x14ac:dyDescent="0.25"/>
    <row r="127" spans="1:21" ht="20.100000000000001" customHeight="1" x14ac:dyDescent="0.25">
      <c r="D127" s="98" t="s">
        <v>260</v>
      </c>
    </row>
    <row r="128" spans="1:21" ht="20.100000000000001" customHeight="1" x14ac:dyDescent="0.25">
      <c r="D128" s="97" t="s">
        <v>261</v>
      </c>
    </row>
    <row r="129" spans="4:6" ht="20.100000000000001" customHeight="1" x14ac:dyDescent="0.25">
      <c r="D129" s="51" t="s">
        <v>133</v>
      </c>
      <c r="E129" s="51" t="s">
        <v>262</v>
      </c>
    </row>
    <row r="130" spans="4:6" ht="20.100000000000001" customHeight="1" x14ac:dyDescent="0.25">
      <c r="D130" s="52" t="str">
        <f>'Input - Poultry'!$D$30</f>
        <v>Poultry manure with bedding</v>
      </c>
      <c r="E130" s="52"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2" t="str">
        <f>'Input - Poultry'!$D$31</f>
        <v>Belt manure removal</v>
      </c>
      <c r="E131" s="52" cm="1">
        <f t="array" ref="E131">Common_InputFunctions.Utility_LookupValueInTableNumber(D131, Table_SourceData_Poultry_FracGASM[NIR reference],Table_SourceData_Poultry_FracGASM[FracGASMmT])</f>
        <v>0.05</v>
      </c>
    </row>
    <row r="132" spans="4:6" ht="20.100000000000001" customHeight="1" x14ac:dyDescent="0.25">
      <c r="D132" s="52" t="str">
        <f>'Input - Poultry'!$D$32</f>
        <v>Manure stored in house</v>
      </c>
      <c r="E132" s="52" cm="1">
        <f t="array" ref="E132">Common_InputFunctions.Utility_LookupValueInTableNumber(D132, Table_SourceData_Poultry_FracGASM[NIR reference],Table_SourceData_Poultry_FracGASM[FracGASMmT])</f>
        <v>0.4</v>
      </c>
    </row>
    <row r="133" spans="4:6" ht="20.100000000000001" customHeight="1" x14ac:dyDescent="0.25">
      <c r="D133" s="52" t="str">
        <f>'Input - Poultry'!$D$33</f>
        <v>Pasture range and paddock</v>
      </c>
      <c r="E133" s="52"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8" t="s">
        <v>270</v>
      </c>
    </row>
    <row r="136" spans="4:6" ht="20.100000000000001" customHeight="1" x14ac:dyDescent="0.25">
      <c r="D136" s="97" t="s">
        <v>263</v>
      </c>
    </row>
    <row r="137" spans="4:6" ht="20.100000000000001" customHeight="1" x14ac:dyDescent="0.25">
      <c r="D137" s="51" t="s">
        <v>64</v>
      </c>
      <c r="E137" s="51" t="s">
        <v>289</v>
      </c>
    </row>
    <row r="138" spans="4:6" ht="20.100000000000001" customHeight="1" x14ac:dyDescent="0.25">
      <c r="D138" s="52" t="str">
        <f>'Constants - Poultry'!$D$29</f>
        <v>Poultry manure with bedding</v>
      </c>
      <c r="E138" s="52"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2" t="str">
        <f>'Constants - Poultry'!$D$30</f>
        <v>Belt manure removal</v>
      </c>
      <c r="E139" s="52" cm="1">
        <f t="array" ref="E139">Common_InputFunctions.Utility_LookupValueInTableNumber(D139, Table_SourceData_Poultry_EFmT[NIR reference],Table_SourceData_Poultry_EFmT[EFmT])</f>
        <v>1E-3</v>
      </c>
    </row>
    <row r="140" spans="4:6" ht="20.100000000000001" customHeight="1" x14ac:dyDescent="0.25">
      <c r="D140" s="52" t="str">
        <f>'Constants - Poultry'!$D$31</f>
        <v>Manure stored in house</v>
      </c>
      <c r="E140" s="52" cm="1">
        <f t="array" ref="E140">Common_InputFunctions.Utility_LookupValueInTableNumber(D140, Table_SourceData_Poultry_EFmT[NIR reference],Table_SourceData_Poultry_EFmT[EFmT])</f>
        <v>1E-3</v>
      </c>
    </row>
    <row r="141" spans="4:6" ht="20.100000000000001" customHeight="1" x14ac:dyDescent="0.25">
      <c r="D141" s="52" t="str">
        <f>'Constants - Poultry'!$D$32</f>
        <v>Pasture range and paddock</v>
      </c>
      <c r="E141" s="52" cm="1">
        <f t="array" ref="E141">Common_InputFunctions.Utility_LookupValueInTableNumber(D141, Table_SourceData_Poultry_EFmT[NIR reference],Table_SourceData_Poultry_EFmT[EFmT])</f>
        <v>0.02</v>
      </c>
    </row>
    <row r="142" spans="4:6" ht="20.100000000000001" customHeight="1" x14ac:dyDescent="0.25">
      <c r="D142" s="52" t="str">
        <f>'Constants - Poultry'!$D$33</f>
        <v>Solid storage</v>
      </c>
      <c r="E142" s="52" cm="1">
        <f t="array" ref="E142">Common_InputFunctions.Utility_LookupValueInTableNumber(D142, Table_SourceData_Poultry_EFmT[NIR reference],Table_SourceData_Poultry_EFmT[EFmT])</f>
        <v>5.0000000000000001E-3</v>
      </c>
    </row>
    <row r="143" spans="4:6" ht="20.100000000000001" customHeight="1" x14ac:dyDescent="0.25">
      <c r="D143" s="52" t="str">
        <f>'Constants - Poultry'!$D$34</f>
        <v>Composting (passive windrow)</v>
      </c>
      <c r="E143" s="52" cm="1">
        <f t="array" ref="E143">Common_InputFunctions.Utility_LookupValueInTableNumber(D143, Table_SourceData_Poultry_EFmT[NIR reference],Table_SourceData_Poultry_EFmT[EFmT])</f>
        <v>0.01</v>
      </c>
    </row>
    <row r="144" spans="4:6" ht="20.100000000000001" customHeight="1" x14ac:dyDescent="0.25">
      <c r="D144" s="52" t="str">
        <f>'Constants - Poultry'!$D$35</f>
        <v>Digester / covered lagoons</v>
      </c>
      <c r="E144" s="52" cm="1">
        <f t="array" ref="E144">Common_InputFunctions.Utility_LookupValueInTableNumber(D144, Table_SourceData_Poultry_EFmT[NIR reference],Table_SourceData_Poultry_EFmT[EFmT])</f>
        <v>0</v>
      </c>
    </row>
    <row r="145" spans="1:21" ht="20.100000000000001" customHeight="1" x14ac:dyDescent="0.25">
      <c r="D145" s="52" t="str">
        <f>'Constants - Poultry'!$D$36</f>
        <v>Direct processing</v>
      </c>
      <c r="E145" s="52" cm="1">
        <f t="array" ref="E145">Common_InputFunctions.Utility_LookupValueInTableNumber(D145, Table_SourceData_Poultry_EFmT[NIR reference],Table_SourceData_Poultry_EFmT[EFmT])</f>
        <v>0</v>
      </c>
    </row>
    <row r="146" spans="1:21" ht="20.100000000000001" customHeight="1" x14ac:dyDescent="0.25"/>
    <row r="147" spans="1:21" ht="20.100000000000001" customHeight="1" x14ac:dyDescent="0.25">
      <c r="D147" s="98" t="s">
        <v>264</v>
      </c>
      <c r="N147" s="98" t="s">
        <v>266</v>
      </c>
    </row>
    <row r="148" spans="1:21" ht="20.100000000000001" customHeight="1" x14ac:dyDescent="0.25">
      <c r="D148" s="97" t="s">
        <v>265</v>
      </c>
      <c r="N148" s="97" t="s">
        <v>267</v>
      </c>
    </row>
    <row r="149" spans="1:21" ht="20.100000000000001" customHeight="1" x14ac:dyDescent="0.25">
      <c r="D149" s="51" t="s">
        <v>133</v>
      </c>
      <c r="E149" s="51" t="s">
        <v>194</v>
      </c>
      <c r="F149" s="51" t="s">
        <v>195</v>
      </c>
      <c r="G149" s="51" t="s">
        <v>207</v>
      </c>
      <c r="H149" s="51" t="s">
        <v>208</v>
      </c>
      <c r="N149" s="51" t="s">
        <v>133</v>
      </c>
      <c r="O149" s="51" t="s">
        <v>194</v>
      </c>
      <c r="P149" s="51" t="s">
        <v>195</v>
      </c>
      <c r="Q149" s="51" t="s">
        <v>207</v>
      </c>
      <c r="R149" s="51" t="s">
        <v>208</v>
      </c>
    </row>
    <row r="150" spans="1:21" ht="20.100000000000001" customHeight="1" x14ac:dyDescent="0.25">
      <c r="D150" s="52" t="str">
        <f>'Input - Poultry'!$D$30</f>
        <v>Poultry manure with bedding</v>
      </c>
      <c r="E150" s="52" cm="1">
        <f t="array" ref="E150">MMS_Poultry_N2ODirect_Equations.VEERG_4_6_1_3__7_NitrogenTransferredToStage2MMS(E108, _xlfn.XLOOKUP($D150, $D$130:$D$133,$E$130:$E$133), _xlfn.XLOOKUP($D150, $D$138:$D$141,$E$138:$E$141))</f>
        <v>3.5635579200000005</v>
      </c>
      <c r="F150" s="52" cm="1">
        <f t="array" ref="F150">MMS_Poultry_N2ODirect_Equations.VEERG_4_6_1_3__7_NitrogenTransferredToStage2MMS(F108, _xlfn.XLOOKUP($D150, $D$130:$D$133,$E$130:$E$133), _xlfn.XLOOKUP($D150, $D$138:$D$141,$E$138:$E$141))</f>
        <v>3.8036895839999998</v>
      </c>
      <c r="G150" s="52" cm="1">
        <f t="array" ref="G150">MMS_Poultry_N2ODirect_Equations.VEERG_4_6_1_3__7_NitrogenTransferredToStage2MMS(G108, _xlfn.XLOOKUP($D150, $D$130:$D$133,$E$130:$E$133), _xlfn.XLOOKUP($D150, $D$138:$D$141,$E$138:$E$141))</f>
        <v>4.4649659519999991</v>
      </c>
      <c r="H150" s="52" cm="1">
        <f t="array" ref="H150">MMS_Poultry_N2ODirect_Equations.VEERG_4_6_1_3__7_NitrogenTransferredToStage2MMS(H108, _xlfn.XLOOKUP($D150, $D$130:$D$133,$E$130:$E$133), _xlfn.XLOOKUP($D150, $D$138:$D$141,$E$138:$E$141))</f>
        <v>3.8036895839999998</v>
      </c>
      <c r="I150" s="2" t="str">
        <f>$E$121</f>
        <v>kg N</v>
      </c>
      <c r="N150" s="52" t="str">
        <f>'Input - Poultry'!$D$30</f>
        <v>Poultry manure with bedding</v>
      </c>
      <c r="O150" s="52" cm="1">
        <f t="array" ref="O150">MMS_Poultry_N2ODirect_Equations.VEERG_4_6_1_3__7_NitrogenTransferredToStage2MMS(O108, _xlfn.XLOOKUP($N150, $D$130:$D$133,$E$130:$E$133), _xlfn.XLOOKUP($N150, $D$138:$D$145,$E$138:$E$145))</f>
        <v>3.5635579200000005</v>
      </c>
      <c r="P150" s="52" cm="1">
        <f t="array" ref="P150">MMS_Poultry_N2ODirect_Equations.VEERG_4_6_1_3__7_NitrogenTransferredToStage2MMS(P108, _xlfn.XLOOKUP($N150, $D$130:$D$133,$E$130:$E$133), _xlfn.XLOOKUP($N150, $D$138:$D$145,$E$138:$E$145))</f>
        <v>3.8036895839999998</v>
      </c>
      <c r="Q150" s="52" cm="1">
        <f t="array" ref="Q150">MMS_Poultry_N2ODirect_Equations.VEERG_4_6_1_3__7_NitrogenTransferredToStage2MMS(Q108, _xlfn.XLOOKUP($N150, $D$130:$D$133,$E$130:$E$133), _xlfn.XLOOKUP($N150, $D$138:$D$145,$E$138:$E$145))</f>
        <v>4.4649659519999991</v>
      </c>
      <c r="R150" s="52" cm="1">
        <f t="array" ref="R150">MMS_Poultry_N2ODirect_Equations.VEERG_4_6_1_3__7_NitrogenTransferredToStage2MMS(R108, _xlfn.XLOOKUP($N150, $D$130:$D$133,$E$130:$E$133), _xlfn.XLOOKUP($N150, $D$138:$D$145,$E$138:$E$145))</f>
        <v>3.8036895839999998</v>
      </c>
      <c r="S150" s="2" t="str">
        <f t="shared" ref="S150" si="0">$E$121</f>
        <v>kg N</v>
      </c>
    </row>
    <row r="151" spans="1:21" ht="20.100000000000001" customHeight="1" x14ac:dyDescent="0.25">
      <c r="D151" s="52" t="str">
        <f>'Input - Poultry'!$D$31</f>
        <v>Belt manure removal</v>
      </c>
      <c r="E151" s="52" cm="1">
        <f t="array" ref="E151">MMS_Poultry_N2ODirect_Equations.VEERG_4_6_1_3__7_NitrogenTransferredToStage2MMS(E109, _xlfn.XLOOKUP($D151, $D$130:$D$133,$E$130:$E$133), _xlfn.XLOOKUP($D151, $D$138:$D$141,$E$138:$E$141))</f>
        <v>4.8380779200000008</v>
      </c>
      <c r="F151" s="52" cm="1">
        <f t="array" ref="F151">MMS_Poultry_N2ODirect_Equations.VEERG_4_6_1_3__7_NitrogenTransferredToStage2MMS(F109, _xlfn.XLOOKUP($D151, $D$130:$D$133,$E$130:$E$133), _xlfn.XLOOKUP($D151, $D$138:$D$141,$E$138:$E$141))</f>
        <v>5.1640935839999997</v>
      </c>
      <c r="G151" s="52" cm="1">
        <f t="array" ref="G151">MMS_Poultry_N2ODirect_Equations.VEERG_4_6_1_3__7_NitrogenTransferredToStage2MMS(G109, _xlfn.XLOOKUP($D151, $D$130:$D$133,$E$130:$E$133), _xlfn.XLOOKUP($D151, $D$138:$D$141,$E$138:$E$141))</f>
        <v>6.0618779519999997</v>
      </c>
      <c r="H151" s="52" cm="1">
        <f t="array" ref="H151">MMS_Poultry_N2ODirect_Equations.VEERG_4_6_1_3__7_NitrogenTransferredToStage2MMS(H109, _xlfn.XLOOKUP($D151, $D$130:$D$133,$E$130:$E$133), _xlfn.XLOOKUP($D151, $D$138:$D$141,$E$138:$E$141))</f>
        <v>5.1640935839999997</v>
      </c>
      <c r="I151" s="2"/>
      <c r="N151" s="52" t="str">
        <f>'Input - Poultry'!$D$31</f>
        <v>Belt manure removal</v>
      </c>
      <c r="O151" s="52" cm="1">
        <f t="array" ref="O151">MMS_Poultry_N2ODirect_Equations.VEERG_4_6_1_3__7_NitrogenTransferredToStage2MMS(O109, _xlfn.XLOOKUP($N151, $D$130:$D$133,$E$130:$E$133), _xlfn.XLOOKUP($N151, $D$138:$D$145,$E$138:$E$145))</f>
        <v>4.8380779200000008</v>
      </c>
      <c r="P151" s="52" cm="1">
        <f t="array" ref="P151">MMS_Poultry_N2ODirect_Equations.VEERG_4_6_1_3__7_NitrogenTransferredToStage2MMS(P109, _xlfn.XLOOKUP($N151, $D$130:$D$133,$E$130:$E$133), _xlfn.XLOOKUP($N151, $D$138:$D$145,$E$138:$E$145))</f>
        <v>5.1640935839999997</v>
      </c>
      <c r="Q151" s="52" cm="1">
        <f t="array" ref="Q151">MMS_Poultry_N2ODirect_Equations.VEERG_4_6_1_3__7_NitrogenTransferredToStage2MMS(Q109, _xlfn.XLOOKUP($N151, $D$130:$D$133,$E$130:$E$133), _xlfn.XLOOKUP($N151, $D$138:$D$145,$E$138:$E$145))</f>
        <v>6.0618779519999997</v>
      </c>
      <c r="R151" s="52" cm="1">
        <f t="array" ref="R151">MMS_Poultry_N2ODirect_Equations.VEERG_4_6_1_3__7_NitrogenTransferredToStage2MMS(R109, _xlfn.XLOOKUP($N151, $D$130:$D$133,$E$130:$E$133), _xlfn.XLOOKUP($N151, $D$138:$D$145,$E$138:$E$145))</f>
        <v>5.1640935839999997</v>
      </c>
      <c r="S151" s="2"/>
    </row>
    <row r="152" spans="1:21" ht="20.100000000000001" customHeight="1" x14ac:dyDescent="0.25">
      <c r="D152" s="52" t="str">
        <f>'Input - Poultry'!$D$32</f>
        <v>Manure stored in house</v>
      </c>
      <c r="E152" s="52" cm="1">
        <f t="array" ref="E152">MMS_Poultry_N2ODirect_Equations.VEERG_4_6_1_3__7_NitrogenTransferredToStage2MMS(E110, _xlfn.XLOOKUP($D152, $D$130:$D$133,$E$130:$E$133), _xlfn.XLOOKUP($D152, $D$138:$D$141,$E$138:$E$141))</f>
        <v>3.0537499200000005</v>
      </c>
      <c r="F152" s="52" cm="1">
        <f t="array" ref="F152">MMS_Poultry_N2ODirect_Equations.VEERG_4_6_1_3__7_NitrogenTransferredToStage2MMS(F110, _xlfn.XLOOKUP($D152, $D$130:$D$133,$E$130:$E$133), _xlfn.XLOOKUP($D152, $D$138:$D$141,$E$138:$E$141))</f>
        <v>3.2595279839999995</v>
      </c>
      <c r="G152" s="52" cm="1">
        <f t="array" ref="G152">MMS_Poultry_N2ODirect_Equations.VEERG_4_6_1_3__7_NitrogenTransferredToStage2MMS(G110, _xlfn.XLOOKUP($D152, $D$130:$D$133,$E$130:$E$133), _xlfn.XLOOKUP($D152, $D$138:$D$141,$E$138:$E$141))</f>
        <v>3.8262011519999994</v>
      </c>
      <c r="H152" s="52" cm="1">
        <f t="array" ref="H152">MMS_Poultry_N2ODirect_Equations.VEERG_4_6_1_3__7_NitrogenTransferredToStage2MMS(H110, _xlfn.XLOOKUP($D152, $D$130:$D$133,$E$130:$E$133), _xlfn.XLOOKUP($D152, $D$138:$D$141,$E$138:$E$141))</f>
        <v>3.2595279839999995</v>
      </c>
      <c r="I152" s="2"/>
      <c r="N152" s="52" t="str">
        <f>'Input - Poultry'!$D$32</f>
        <v>Manure stored in house</v>
      </c>
      <c r="O152" s="52" cm="1">
        <f t="array" ref="O152">MMS_Poultry_N2ODirect_Equations.VEERG_4_6_1_3__7_NitrogenTransferredToStage2MMS(O110, _xlfn.XLOOKUP($N152, $D$130:$D$133,$E$130:$E$133), _xlfn.XLOOKUP($N152, $D$138:$D$145,$E$138:$E$145))</f>
        <v>3.0537499200000005</v>
      </c>
      <c r="P152" s="52" cm="1">
        <f t="array" ref="P152">MMS_Poultry_N2ODirect_Equations.VEERG_4_6_1_3__7_NitrogenTransferredToStage2MMS(P110, _xlfn.XLOOKUP($N152, $D$130:$D$133,$E$130:$E$133), _xlfn.XLOOKUP($N152, $D$138:$D$145,$E$138:$E$145))</f>
        <v>3.2595279839999995</v>
      </c>
      <c r="Q152" s="52" cm="1">
        <f t="array" ref="Q152">MMS_Poultry_N2ODirect_Equations.VEERG_4_6_1_3__7_NitrogenTransferredToStage2MMS(Q110, _xlfn.XLOOKUP($N152, $D$130:$D$133,$E$130:$E$133), _xlfn.XLOOKUP($N152, $D$138:$D$145,$E$138:$E$145))</f>
        <v>3.8262011519999994</v>
      </c>
      <c r="R152" s="52" cm="1">
        <f t="array" ref="R152">MMS_Poultry_N2ODirect_Equations.VEERG_4_6_1_3__7_NitrogenTransferredToStage2MMS(R110, _xlfn.XLOOKUP($N152, $D$130:$D$133,$E$130:$E$133), _xlfn.XLOOKUP($N152, $D$138:$D$145,$E$138:$E$145))</f>
        <v>3.2595279839999995</v>
      </c>
      <c r="S152" s="2"/>
    </row>
    <row r="153" spans="1:21" ht="20.100000000000001" customHeight="1" x14ac:dyDescent="0.25"/>
    <row r="154" spans="1:21" ht="20.100000000000001" customHeight="1" x14ac:dyDescent="0.25">
      <c r="A154" s="145" t="str">
        <f>HYPERLINK("#A1", "▲ Back to top")</f>
        <v>▲ Back to top</v>
      </c>
    </row>
    <row r="155" spans="1:21" ht="20.100000000000001" customHeight="1" x14ac:dyDescent="0.25">
      <c r="C155" s="45"/>
      <c r="D155" s="45"/>
      <c r="E155" s="45"/>
      <c r="F155" s="45"/>
      <c r="G155" s="45"/>
      <c r="H155" s="45"/>
      <c r="I155" s="45"/>
      <c r="J155" s="45"/>
      <c r="K155" s="45"/>
      <c r="M155" s="45"/>
      <c r="N155" s="45"/>
      <c r="O155" s="45"/>
      <c r="P155" s="45"/>
      <c r="Q155" s="45"/>
      <c r="R155" s="45"/>
      <c r="S155" s="45"/>
      <c r="T155" s="45"/>
      <c r="U155" s="45"/>
    </row>
    <row r="156" spans="1:21" ht="20.100000000000001" customHeight="1" x14ac:dyDescent="0.25">
      <c r="D156" s="6" t="str" cm="1">
        <f t="array" ref="D156">MMS_Poultry_N2ODirect_Equations.VEERG_4_6_1_3__6_Stage2NitrogenInMMS_Title()</f>
        <v>Nitrogen in treatment stage 2 MMS</v>
      </c>
    </row>
    <row r="157" spans="1:21" ht="20.100000000000001" customHeight="1" x14ac:dyDescent="0.25">
      <c r="D157" s="5" t="str" cm="1">
        <f t="array" ref="D157">MMS_Poultry_N2ODirect_Equations.VEERG_4_6_1_3__6_Stage2NitrogenInMMS_Source()</f>
        <v>VEERG 2026: 4.6.1.3, Equation (6)</v>
      </c>
    </row>
    <row r="158" spans="1:21" ht="20.100000000000001" customHeight="1" x14ac:dyDescent="0.25">
      <c r="D158" s="13" t="s">
        <v>23</v>
      </c>
      <c r="E158" s="13" t="str" cm="1">
        <f t="array" aca="1" ref="E158" ca="1">Common_InputFunctions.Utility_DisplayFunctionName(F189)</f>
        <v>=MMS_Poultry_N2ODirect_Equations.VEERG_4_6_1_3__6_Stage2NitrogenInMMS</v>
      </c>
    </row>
    <row r="159" spans="1:21" ht="20.100000000000001" customHeight="1" x14ac:dyDescent="0.25"/>
    <row r="160" spans="1:21" ht="20.100000000000001" customHeight="1" x14ac:dyDescent="0.25"/>
    <row r="161" spans="4:10" ht="20.100000000000001" customHeight="1" x14ac:dyDescent="0.25">
      <c r="D161" s="53" t="s">
        <v>26</v>
      </c>
      <c r="E161" s="1" t="str" cm="1">
        <f t="array" ref="E161">MMS_Poultry_N2ODirect_Equations.VEERG_4_6_1_3__6_Stage2NitrogenInMMS_Variable()</f>
        <v>MN_jkmT2</v>
      </c>
    </row>
    <row r="162" spans="4:10" ht="20.100000000000001" customHeight="1" x14ac:dyDescent="0.25">
      <c r="D162" s="53" t="s">
        <v>16</v>
      </c>
      <c r="E162" s="54" t="str" cm="1">
        <f t="array" ref="E162">MMS_Poultry_N2ODirect_Equations.VEERG_4_6_1_3__6_Stage2NitrogenInMMS_Unit()</f>
        <v>kg N</v>
      </c>
    </row>
    <row r="163" spans="4:10" ht="20.100000000000001" customHeight="1" x14ac:dyDescent="0.25"/>
    <row r="164" spans="4:10" ht="20.100000000000001" customHeight="1" x14ac:dyDescent="0.25">
      <c r="D164" s="141" t="str" cm="1">
        <f t="array" ref="D164:E165">_xlfn.CHOOSECOLS(MMS_Poultry_N2ODirect_Equations.VEERG_4_6_1_3__6_Stage2NitrogenInMMS_Arguments(),1,2)</f>
        <v>NT_jkmT2</v>
      </c>
      <c r="E164" s="141" t="str">
        <v>nitrogen transferred to secondary treatment MMS</v>
      </c>
      <c r="F164" s="141"/>
      <c r="G164" s="141" t="str" cm="1">
        <f t="array" ref="G164:H165">_xlfn.CHOOSECOLS(MMS_Poultry_N2ODirect_Equations.VEERG_4_6_1_3__6_Stage2NitrogenInMMS_Arguments(),3,4)</f>
        <v>kg N</v>
      </c>
      <c r="H164" s="140" t="str">
        <v>Calculated from 4.6.1.3 (7)</v>
      </c>
      <c r="I164" s="142" t="str" cm="1">
        <f t="array" aca="1" ref="I164" ca="1">HYPERLINK(Common_InputFunctions.Utility_SourceHyperlink($D$147),$D$147)</f>
        <v>M1_Table_NT_j_k_m_T-1</v>
      </c>
    </row>
    <row r="165" spans="4:10" ht="20.100000000000001" customHeight="1" x14ac:dyDescent="0.25">
      <c r="D165" s="141" t="str">
        <v>MMS_mT2</v>
      </c>
      <c r="E165" s="141" t="str">
        <v>fraction of manure in each secondary system</v>
      </c>
      <c r="F165" s="141"/>
      <c r="G165" s="141" t="str">
        <v>fraction</v>
      </c>
      <c r="H165" s="139" t="str">
        <v>Input</v>
      </c>
      <c r="I165" s="142" t="str" cm="1">
        <f t="array" aca="1" ref="I165" ca="1">HYPERLINK(Common_InputFunctions.Utility_SourceHyperlink($D$167),$D$167)</f>
        <v>Table_MMS_j_m_T-2</v>
      </c>
    </row>
    <row r="166" spans="4:10" ht="20.100000000000001" customHeight="1" x14ac:dyDescent="0.25"/>
    <row r="167" spans="4:10" ht="20.100000000000001" customHeight="1" x14ac:dyDescent="0.25">
      <c r="D167" s="98" t="s">
        <v>128</v>
      </c>
    </row>
    <row r="168" spans="4:10" ht="20.100000000000001" customHeight="1" x14ac:dyDescent="0.25">
      <c r="D168" s="97" t="s">
        <v>232</v>
      </c>
    </row>
    <row r="169" spans="4:10" ht="20.100000000000001" customHeight="1" x14ac:dyDescent="0.25">
      <c r="D169" s="112" t="s">
        <v>133</v>
      </c>
      <c r="E169" s="112" t="s">
        <v>135</v>
      </c>
      <c r="F169" s="112" t="s">
        <v>194</v>
      </c>
      <c r="G169" s="112" t="s">
        <v>195</v>
      </c>
      <c r="H169" s="112" t="s">
        <v>207</v>
      </c>
      <c r="I169" s="112" t="s">
        <v>208</v>
      </c>
    </row>
    <row r="170" spans="4:10" ht="20.100000000000001" customHeight="1" x14ac:dyDescent="0.25">
      <c r="D170" s="52" t="str">
        <f>'Input - Poultry'!$D$30</f>
        <v>Poultry manure with bedding</v>
      </c>
      <c r="E170" s="52" t="str">
        <f>'Input - Poultry'!$D$38</f>
        <v>Solid storage</v>
      </c>
      <c r="F170" s="52">
        <f>'Input - Poultry'!E38</f>
        <v>0.2</v>
      </c>
      <c r="G170" s="52">
        <f>'Input - Poultry'!F38</f>
        <v>0.2</v>
      </c>
      <c r="H170" s="52">
        <f>'Input - Poultry'!G38</f>
        <v>0.2</v>
      </c>
      <c r="I170" s="52">
        <f>'Input - Poultry'!H38</f>
        <v>0.2</v>
      </c>
      <c r="J170" s="2" t="str">
        <f>$G$165</f>
        <v>fraction</v>
      </c>
    </row>
    <row r="171" spans="4:10" ht="20.100000000000001" customHeight="1" x14ac:dyDescent="0.25">
      <c r="D171" s="52"/>
      <c r="E171" s="52" t="str">
        <f>'Input - Poultry'!$D$39</f>
        <v>Composting (passive windrow)</v>
      </c>
      <c r="F171" s="52">
        <f>'Input - Poultry'!E39</f>
        <v>0.2</v>
      </c>
      <c r="G171" s="52">
        <f>'Input - Poultry'!F39</f>
        <v>0.2</v>
      </c>
      <c r="H171" s="52">
        <f>'Input - Poultry'!G39</f>
        <v>0.2</v>
      </c>
      <c r="I171" s="52">
        <f>'Input - Poultry'!H39</f>
        <v>0.2</v>
      </c>
      <c r="J171" s="2"/>
    </row>
    <row r="172" spans="4:10" ht="20.100000000000001" customHeight="1" x14ac:dyDescent="0.25">
      <c r="D172" s="52"/>
      <c r="E172" s="52" t="str">
        <f>'Input - Poultry'!$D$40</f>
        <v>Digester / covered lagoons</v>
      </c>
      <c r="F172" s="52">
        <f>'Input - Poultry'!E40</f>
        <v>0.2</v>
      </c>
      <c r="G172" s="52">
        <f>'Input - Poultry'!F40</f>
        <v>0.2</v>
      </c>
      <c r="H172" s="52">
        <f>'Input - Poultry'!G40</f>
        <v>0.2</v>
      </c>
      <c r="I172" s="52">
        <f>'Input - Poultry'!H40</f>
        <v>0.2</v>
      </c>
      <c r="J172" s="2"/>
    </row>
    <row r="173" spans="4:10" ht="20.100000000000001" customHeight="1" x14ac:dyDescent="0.25">
      <c r="D173" s="52"/>
      <c r="E173" s="52" t="str">
        <f>'Input - Poultry'!$D$41</f>
        <v>Direct processing</v>
      </c>
      <c r="F173" s="52">
        <f>'Input - Poultry'!E41</f>
        <v>0.2</v>
      </c>
      <c r="G173" s="52">
        <f>'Input - Poultry'!F41</f>
        <v>0.2</v>
      </c>
      <c r="H173" s="52">
        <f>'Input - Poultry'!G41</f>
        <v>0.2</v>
      </c>
      <c r="I173" s="52">
        <f>'Input - Poultry'!H41</f>
        <v>0.2</v>
      </c>
      <c r="J173" s="2"/>
    </row>
    <row r="174" spans="4:10" ht="20.100000000000001" customHeight="1" x14ac:dyDescent="0.25">
      <c r="D174" s="52"/>
      <c r="E174" s="52" t="str">
        <f>'Input - Poultry'!$D$42</f>
        <v>Direct application</v>
      </c>
      <c r="F174" s="52">
        <f>'Input - Poultry'!E42</f>
        <v>0.2</v>
      </c>
      <c r="G174" s="52">
        <f>'Input - Poultry'!F42</f>
        <v>0.2</v>
      </c>
      <c r="H174" s="52">
        <f>'Input - Poultry'!G42</f>
        <v>0.2</v>
      </c>
      <c r="I174" s="52">
        <f>'Input - Poultry'!H42</f>
        <v>0.2</v>
      </c>
    </row>
    <row r="175" spans="4:10" ht="20.100000000000001" customHeight="1" x14ac:dyDescent="0.25">
      <c r="D175" s="52" t="str">
        <f>'Input - Poultry'!$D$31</f>
        <v>Belt manure removal</v>
      </c>
      <c r="E175" s="52" t="str">
        <f>'Input - Poultry'!$D$45</f>
        <v>Solid storage</v>
      </c>
      <c r="F175" s="52">
        <f>'Input - Poultry'!E45</f>
        <v>0.2</v>
      </c>
      <c r="G175" s="52">
        <f>'Input - Poultry'!F45</f>
        <v>0.2</v>
      </c>
      <c r="H175" s="52">
        <f>'Input - Poultry'!G45</f>
        <v>0.2</v>
      </c>
      <c r="I175" s="52">
        <f>'Input - Poultry'!H45</f>
        <v>0.2</v>
      </c>
      <c r="J175" s="2"/>
    </row>
    <row r="176" spans="4:10" ht="20.100000000000001" customHeight="1" x14ac:dyDescent="0.25">
      <c r="D176" s="52"/>
      <c r="E176" s="52" t="str">
        <f>'Input - Poultry'!$D$46</f>
        <v>Composting (passive windrow)</v>
      </c>
      <c r="F176" s="52">
        <f>'Input - Poultry'!E46</f>
        <v>0.2</v>
      </c>
      <c r="G176" s="52">
        <f>'Input - Poultry'!F46</f>
        <v>0.2</v>
      </c>
      <c r="H176" s="52">
        <f>'Input - Poultry'!G46</f>
        <v>0.2</v>
      </c>
      <c r="I176" s="52">
        <f>'Input - Poultry'!H46</f>
        <v>0.2</v>
      </c>
      <c r="J176" s="2"/>
    </row>
    <row r="177" spans="4:20" ht="20.100000000000001" customHeight="1" x14ac:dyDescent="0.25">
      <c r="D177" s="52"/>
      <c r="E177" s="52" t="str">
        <f>'Input - Poultry'!$D$47</f>
        <v>Digester / covered lagoons</v>
      </c>
      <c r="F177" s="52">
        <f>'Input - Poultry'!E47</f>
        <v>0.2</v>
      </c>
      <c r="G177" s="52">
        <f>'Input - Poultry'!F47</f>
        <v>0.2</v>
      </c>
      <c r="H177" s="52">
        <f>'Input - Poultry'!G47</f>
        <v>0.2</v>
      </c>
      <c r="I177" s="52">
        <f>'Input - Poultry'!H47</f>
        <v>0.2</v>
      </c>
      <c r="J177" s="2"/>
    </row>
    <row r="178" spans="4:20" ht="20.100000000000001" customHeight="1" x14ac:dyDescent="0.25">
      <c r="D178" s="52"/>
      <c r="E178" s="52" t="str">
        <f>'Input - Poultry'!$D$48</f>
        <v>Direct processing</v>
      </c>
      <c r="F178" s="52">
        <f>'Input - Poultry'!E48</f>
        <v>0.2</v>
      </c>
      <c r="G178" s="52">
        <f>'Input - Poultry'!F48</f>
        <v>0.2</v>
      </c>
      <c r="H178" s="52">
        <f>'Input - Poultry'!G48</f>
        <v>0.2</v>
      </c>
      <c r="I178" s="52">
        <f>'Input - Poultry'!H48</f>
        <v>0.2</v>
      </c>
      <c r="J178" s="2"/>
    </row>
    <row r="179" spans="4:20" ht="20.100000000000001" customHeight="1" x14ac:dyDescent="0.25">
      <c r="D179" s="52"/>
      <c r="E179" s="52" t="str">
        <f>'Input - Poultry'!$D$49</f>
        <v>Direct application</v>
      </c>
      <c r="F179" s="52">
        <f>'Input - Poultry'!E49</f>
        <v>0.2</v>
      </c>
      <c r="G179" s="52">
        <f>'Input - Poultry'!F49</f>
        <v>0.2</v>
      </c>
      <c r="H179" s="52">
        <f>'Input - Poultry'!G49</f>
        <v>0.2</v>
      </c>
      <c r="I179" s="52">
        <f>'Input - Poultry'!H49</f>
        <v>0.2</v>
      </c>
    </row>
    <row r="180" spans="4:20" ht="20.100000000000001" customHeight="1" x14ac:dyDescent="0.25">
      <c r="D180" s="52" t="str">
        <f>'Input - Poultry'!$D$32</f>
        <v>Manure stored in house</v>
      </c>
      <c r="E180" s="52" t="str">
        <f>'Input - Poultry'!$D$52</f>
        <v>Solid storage</v>
      </c>
      <c r="F180" s="52">
        <f>'Input - Poultry'!E52</f>
        <v>0.2</v>
      </c>
      <c r="G180" s="52">
        <f>'Input - Poultry'!F52</f>
        <v>0.2</v>
      </c>
      <c r="H180" s="52">
        <f>'Input - Poultry'!G52</f>
        <v>0.2</v>
      </c>
      <c r="I180" s="52">
        <f>'Input - Poultry'!H52</f>
        <v>0.2</v>
      </c>
      <c r="J180" s="2"/>
    </row>
    <row r="181" spans="4:20" ht="20.100000000000001" customHeight="1" x14ac:dyDescent="0.25">
      <c r="D181" s="52"/>
      <c r="E181" s="52" t="str">
        <f>'Input - Poultry'!$D$53</f>
        <v>Composting (passive windrow)</v>
      </c>
      <c r="F181" s="52">
        <f>'Input - Poultry'!E53</f>
        <v>0.2</v>
      </c>
      <c r="G181" s="52">
        <f>'Input - Poultry'!F53</f>
        <v>0.2</v>
      </c>
      <c r="H181" s="52">
        <f>'Input - Poultry'!G53</f>
        <v>0.2</v>
      </c>
      <c r="I181" s="52">
        <f>'Input - Poultry'!H53</f>
        <v>0.2</v>
      </c>
      <c r="J181" s="2"/>
    </row>
    <row r="182" spans="4:20" ht="20.100000000000001" customHeight="1" x14ac:dyDescent="0.25">
      <c r="D182" s="52"/>
      <c r="E182" s="52" t="str">
        <f>'Input - Poultry'!$D$54</f>
        <v>Digester / covered lagoons</v>
      </c>
      <c r="F182" s="52">
        <f>'Input - Poultry'!E54</f>
        <v>0.2</v>
      </c>
      <c r="G182" s="52">
        <f>'Input - Poultry'!F54</f>
        <v>0.2</v>
      </c>
      <c r="H182" s="52">
        <f>'Input - Poultry'!G54</f>
        <v>0.2</v>
      </c>
      <c r="I182" s="52">
        <f>'Input - Poultry'!H54</f>
        <v>0.2</v>
      </c>
      <c r="J182" s="2"/>
    </row>
    <row r="183" spans="4:20" ht="20.100000000000001" customHeight="1" x14ac:dyDescent="0.25">
      <c r="D183" s="52"/>
      <c r="E183" s="52" t="str">
        <f>'Input - Poultry'!$D$55</f>
        <v>Direct processing</v>
      </c>
      <c r="F183" s="52">
        <f>'Input - Poultry'!E55</f>
        <v>0.2</v>
      </c>
      <c r="G183" s="52">
        <f>'Input - Poultry'!F55</f>
        <v>0.2</v>
      </c>
      <c r="H183" s="52">
        <f>'Input - Poultry'!G55</f>
        <v>0.2</v>
      </c>
      <c r="I183" s="52">
        <f>'Input - Poultry'!H55</f>
        <v>0.2</v>
      </c>
      <c r="J183" s="2"/>
    </row>
    <row r="184" spans="4:20" ht="20.100000000000001" customHeight="1" x14ac:dyDescent="0.25">
      <c r="D184" s="52"/>
      <c r="E184" s="52" t="str">
        <f>'Input - Poultry'!$D$56</f>
        <v>Direct application</v>
      </c>
      <c r="F184" s="52">
        <f>'Input - Poultry'!E56</f>
        <v>0.2</v>
      </c>
      <c r="G184" s="52">
        <f>'Input - Poultry'!F56</f>
        <v>0.2</v>
      </c>
      <c r="H184" s="52">
        <f>'Input - Poultry'!G56</f>
        <v>0.2</v>
      </c>
      <c r="I184" s="52">
        <f>'Input - Poultry'!H56</f>
        <v>0.2</v>
      </c>
    </row>
    <row r="185" spans="4:20" ht="20.100000000000001" customHeight="1" x14ac:dyDescent="0.25"/>
    <row r="186" spans="4:20" ht="20.100000000000001" customHeight="1" x14ac:dyDescent="0.25">
      <c r="D186" s="98" t="s">
        <v>268</v>
      </c>
      <c r="N186" s="98" t="s">
        <v>269</v>
      </c>
    </row>
    <row r="187" spans="4:20" ht="20.100000000000001" customHeight="1" x14ac:dyDescent="0.25">
      <c r="D187" s="97" t="s">
        <v>153</v>
      </c>
      <c r="N187" s="97" t="s">
        <v>165</v>
      </c>
    </row>
    <row r="188" spans="4:20" ht="20.100000000000001" customHeight="1" x14ac:dyDescent="0.25">
      <c r="D188" s="51" t="s">
        <v>133</v>
      </c>
      <c r="E188" s="51" t="s">
        <v>135</v>
      </c>
      <c r="F188" s="51" t="s">
        <v>194</v>
      </c>
      <c r="G188" s="51" t="s">
        <v>195</v>
      </c>
      <c r="H188" s="51" t="s">
        <v>207</v>
      </c>
      <c r="I188" s="51" t="s">
        <v>208</v>
      </c>
      <c r="N188" s="51" t="s">
        <v>133</v>
      </c>
      <c r="O188" s="51" t="s">
        <v>135</v>
      </c>
      <c r="P188" s="51" t="s">
        <v>194</v>
      </c>
      <c r="Q188" s="51" t="s">
        <v>195</v>
      </c>
      <c r="R188" s="51" t="s">
        <v>207</v>
      </c>
      <c r="S188" s="51" t="s">
        <v>208</v>
      </c>
    </row>
    <row r="189" spans="4:20" ht="20.100000000000001" customHeight="1" x14ac:dyDescent="0.25">
      <c r="D189" s="52" t="str">
        <f>'Input - Poultry'!$D$30</f>
        <v>Poultry manure with bedding</v>
      </c>
      <c r="E189" s="52" t="str">
        <f>'Input - Poultry'!$D$38</f>
        <v>Solid storage</v>
      </c>
      <c r="F189" s="52" cm="1">
        <f t="array" ref="F189">MMS_Poultry_N2ODirect_Equations.VEERG_4_6_1_3__6_Stage2NitrogenInMMS(E$150,F170)</f>
        <v>0.71271158400000012</v>
      </c>
      <c r="G189" s="52" cm="1">
        <f t="array" ref="G189">MMS_Poultry_N2ODirect_Equations.VEERG_4_6_1_3__6_Stage2NitrogenInMMS(F$150,G170)</f>
        <v>0.76073791680000002</v>
      </c>
      <c r="H189" s="52" cm="1">
        <f t="array" ref="H189">MMS_Poultry_N2ODirect_Equations.VEERG_4_6_1_3__6_Stage2NitrogenInMMS(G$150,H170)</f>
        <v>0.89299319039999991</v>
      </c>
      <c r="I189" s="52" cm="1">
        <f t="array" ref="I189">MMS_Poultry_N2ODirect_Equations.VEERG_4_6_1_3__6_Stage2NitrogenInMMS(H$150,I170)</f>
        <v>0.76073791680000002</v>
      </c>
      <c r="J189" s="2" t="str">
        <f t="shared" ref="J189" si="1">$E$162</f>
        <v>kg N</v>
      </c>
      <c r="N189" s="52" t="str">
        <f>'Input - Poultry'!$D$30</f>
        <v>Poultry manure with bedding</v>
      </c>
      <c r="O189" s="52" t="str">
        <f>'Input - Poultry'!$D$38</f>
        <v>Solid storage</v>
      </c>
      <c r="P189" s="52" cm="1">
        <f t="array" ref="P189">MMS_Poultry_N2ODirect_Equations.VEERG_4_6_1_3__6_Stage2NitrogenInMMS(O$150,F170)</f>
        <v>0.71271158400000012</v>
      </c>
      <c r="Q189" s="52" cm="1">
        <f t="array" ref="Q189">MMS_Poultry_N2ODirect_Equations.VEERG_4_6_1_3__6_Stage2NitrogenInMMS(P$150,G170)</f>
        <v>0.76073791680000002</v>
      </c>
      <c r="R189" s="52" cm="1">
        <f t="array" ref="R189">MMS_Poultry_N2ODirect_Equations.VEERG_4_6_1_3__6_Stage2NitrogenInMMS(Q$150,H170)</f>
        <v>0.89299319039999991</v>
      </c>
      <c r="S189" s="52" cm="1">
        <f t="array" ref="S189">MMS_Poultry_N2ODirect_Equations.VEERG_4_6_1_3__6_Stage2NitrogenInMMS(R$150,I170)</f>
        <v>0.76073791680000002</v>
      </c>
      <c r="T189" s="2" t="str">
        <f t="shared" ref="T189" si="2">$E$162</f>
        <v>kg N</v>
      </c>
    </row>
    <row r="190" spans="4:20" ht="20.100000000000001" customHeight="1" x14ac:dyDescent="0.25">
      <c r="D190" s="52"/>
      <c r="E190" s="52" t="str">
        <f>'Input - Poultry'!$D$39</f>
        <v>Composting (passive windrow)</v>
      </c>
      <c r="F190" s="52" cm="1">
        <f t="array" ref="F190">MMS_Poultry_N2ODirect_Equations.VEERG_4_6_1_3__6_Stage2NitrogenInMMS(E$150,F171)</f>
        <v>0.71271158400000012</v>
      </c>
      <c r="G190" s="52" cm="1">
        <f t="array" ref="G190">MMS_Poultry_N2ODirect_Equations.VEERG_4_6_1_3__6_Stage2NitrogenInMMS(F$150,G171)</f>
        <v>0.76073791680000002</v>
      </c>
      <c r="H190" s="52" cm="1">
        <f t="array" ref="H190">MMS_Poultry_N2ODirect_Equations.VEERG_4_6_1_3__6_Stage2NitrogenInMMS(G$150,H171)</f>
        <v>0.89299319039999991</v>
      </c>
      <c r="I190" s="52" cm="1">
        <f t="array" ref="I190">MMS_Poultry_N2ODirect_Equations.VEERG_4_6_1_3__6_Stage2NitrogenInMMS(H$150,I171)</f>
        <v>0.76073791680000002</v>
      </c>
      <c r="J190" s="2"/>
      <c r="N190" s="52"/>
      <c r="O190" s="52" t="str">
        <f>'Input - Poultry'!$D$39</f>
        <v>Composting (passive windrow)</v>
      </c>
      <c r="P190" s="52" cm="1">
        <f t="array" ref="P190">MMS_Poultry_N2ODirect_Equations.VEERG_4_6_1_3__6_Stage2NitrogenInMMS(O$150,F171)</f>
        <v>0.71271158400000012</v>
      </c>
      <c r="Q190" s="52" cm="1">
        <f t="array" ref="Q190">MMS_Poultry_N2ODirect_Equations.VEERG_4_6_1_3__6_Stage2NitrogenInMMS(P$150,G171)</f>
        <v>0.76073791680000002</v>
      </c>
      <c r="R190" s="52" cm="1">
        <f t="array" ref="R190">MMS_Poultry_N2ODirect_Equations.VEERG_4_6_1_3__6_Stage2NitrogenInMMS(Q$150,H171)</f>
        <v>0.89299319039999991</v>
      </c>
      <c r="S190" s="52" cm="1">
        <f t="array" ref="S190">MMS_Poultry_N2ODirect_Equations.VEERG_4_6_1_3__6_Stage2NitrogenInMMS(R$150,I171)</f>
        <v>0.76073791680000002</v>
      </c>
      <c r="T190" s="2"/>
    </row>
    <row r="191" spans="4:20" ht="20.100000000000001" customHeight="1" x14ac:dyDescent="0.25">
      <c r="D191" s="52"/>
      <c r="E191" s="52" t="str">
        <f>'Input - Poultry'!$D$40</f>
        <v>Digester / covered lagoons</v>
      </c>
      <c r="F191" s="52" cm="1">
        <f t="array" ref="F191">MMS_Poultry_N2ODirect_Equations.VEERG_4_6_1_3__6_Stage2NitrogenInMMS(E$150,F172)</f>
        <v>0.71271158400000012</v>
      </c>
      <c r="G191" s="52" cm="1">
        <f t="array" ref="G191">MMS_Poultry_N2ODirect_Equations.VEERG_4_6_1_3__6_Stage2NitrogenInMMS(F$150,G172)</f>
        <v>0.76073791680000002</v>
      </c>
      <c r="H191" s="52" cm="1">
        <f t="array" ref="H191">MMS_Poultry_N2ODirect_Equations.VEERG_4_6_1_3__6_Stage2NitrogenInMMS(G$150,H172)</f>
        <v>0.89299319039999991</v>
      </c>
      <c r="I191" s="52" cm="1">
        <f t="array" ref="I191">MMS_Poultry_N2ODirect_Equations.VEERG_4_6_1_3__6_Stage2NitrogenInMMS(H$150,I172)</f>
        <v>0.76073791680000002</v>
      </c>
      <c r="J191" s="2"/>
      <c r="N191" s="52"/>
      <c r="O191" s="52" t="str">
        <f>'Input - Poultry'!$D$40</f>
        <v>Digester / covered lagoons</v>
      </c>
      <c r="P191" s="52" cm="1">
        <f t="array" ref="P191">MMS_Poultry_N2ODirect_Equations.VEERG_4_6_1_3__6_Stage2NitrogenInMMS(O$150,F172)</f>
        <v>0.71271158400000012</v>
      </c>
      <c r="Q191" s="52" cm="1">
        <f t="array" ref="Q191">MMS_Poultry_N2ODirect_Equations.VEERG_4_6_1_3__6_Stage2NitrogenInMMS(P$150,G172)</f>
        <v>0.76073791680000002</v>
      </c>
      <c r="R191" s="52" cm="1">
        <f t="array" ref="R191">MMS_Poultry_N2ODirect_Equations.VEERG_4_6_1_3__6_Stage2NitrogenInMMS(Q$150,H172)</f>
        <v>0.89299319039999991</v>
      </c>
      <c r="S191" s="52" cm="1">
        <f t="array" ref="S191">MMS_Poultry_N2ODirect_Equations.VEERG_4_6_1_3__6_Stage2NitrogenInMMS(R$150,I172)</f>
        <v>0.76073791680000002</v>
      </c>
      <c r="T191" s="2"/>
    </row>
    <row r="192" spans="4:20" ht="20.100000000000001" customHeight="1" x14ac:dyDescent="0.25">
      <c r="D192" s="52"/>
      <c r="E192" s="52" t="str">
        <f>'Input - Poultry'!$D$41</f>
        <v>Direct processing</v>
      </c>
      <c r="F192" s="52" cm="1">
        <f t="array" ref="F192">MMS_Poultry_N2ODirect_Equations.VEERG_4_6_1_3__6_Stage2NitrogenInMMS(E$150,F173)</f>
        <v>0.71271158400000012</v>
      </c>
      <c r="G192" s="52" cm="1">
        <f t="array" ref="G192">MMS_Poultry_N2ODirect_Equations.VEERG_4_6_1_3__6_Stage2NitrogenInMMS(F$150,G173)</f>
        <v>0.76073791680000002</v>
      </c>
      <c r="H192" s="52" cm="1">
        <f t="array" ref="H192">MMS_Poultry_N2ODirect_Equations.VEERG_4_6_1_3__6_Stage2NitrogenInMMS(G$150,H173)</f>
        <v>0.89299319039999991</v>
      </c>
      <c r="I192" s="52" cm="1">
        <f t="array" ref="I192">MMS_Poultry_N2ODirect_Equations.VEERG_4_6_1_3__6_Stage2NitrogenInMMS(H$150,I173)</f>
        <v>0.76073791680000002</v>
      </c>
      <c r="J192" s="2"/>
      <c r="N192" s="52"/>
      <c r="O192" s="52" t="str">
        <f>'Input - Poultry'!$D$41</f>
        <v>Direct processing</v>
      </c>
      <c r="P192" s="52" cm="1">
        <f t="array" ref="P192">MMS_Poultry_N2ODirect_Equations.VEERG_4_6_1_3__6_Stage2NitrogenInMMS(O$150,F173)</f>
        <v>0.71271158400000012</v>
      </c>
      <c r="Q192" s="52" cm="1">
        <f t="array" ref="Q192">MMS_Poultry_N2ODirect_Equations.VEERG_4_6_1_3__6_Stage2NitrogenInMMS(P$150,G173)</f>
        <v>0.76073791680000002</v>
      </c>
      <c r="R192" s="52" cm="1">
        <f t="array" ref="R192">MMS_Poultry_N2ODirect_Equations.VEERG_4_6_1_3__6_Stage2NitrogenInMMS(Q$150,H173)</f>
        <v>0.89299319039999991</v>
      </c>
      <c r="S192" s="52" cm="1">
        <f t="array" ref="S192">MMS_Poultry_N2ODirect_Equations.VEERG_4_6_1_3__6_Stage2NitrogenInMMS(R$150,I173)</f>
        <v>0.76073791680000002</v>
      </c>
      <c r="T192" s="2"/>
    </row>
    <row r="193" spans="1:21" ht="20.100000000000001" customHeight="1" x14ac:dyDescent="0.25">
      <c r="D193" s="52"/>
      <c r="E193" s="52" t="str">
        <f>'Input - Poultry'!$D$42</f>
        <v>Direct application</v>
      </c>
      <c r="F193" s="52" cm="1">
        <f t="array" ref="F193">MMS_Poultry_N2ODirect_Equations.VEERG_4_6_1_3__6_Stage2NitrogenInMMS(E$150,F174)</f>
        <v>0.71271158400000012</v>
      </c>
      <c r="G193" s="52" cm="1">
        <f t="array" ref="G193">MMS_Poultry_N2ODirect_Equations.VEERG_4_6_1_3__6_Stage2NitrogenInMMS(F$150,G174)</f>
        <v>0.76073791680000002</v>
      </c>
      <c r="H193" s="52" cm="1">
        <f t="array" ref="H193">MMS_Poultry_N2ODirect_Equations.VEERG_4_6_1_3__6_Stage2NitrogenInMMS(G$150,H174)</f>
        <v>0.89299319039999991</v>
      </c>
      <c r="I193" s="52" cm="1">
        <f t="array" ref="I193">MMS_Poultry_N2ODirect_Equations.VEERG_4_6_1_3__6_Stage2NitrogenInMMS(H$150,I174)</f>
        <v>0.76073791680000002</v>
      </c>
      <c r="N193" s="52"/>
      <c r="O193" s="52" t="str">
        <f>'Input - Poultry'!$D$42</f>
        <v>Direct application</v>
      </c>
      <c r="P193" s="52" cm="1">
        <f t="array" ref="P193">MMS_Poultry_N2ODirect_Equations.VEERG_4_6_1_3__6_Stage2NitrogenInMMS(O$150,F174)</f>
        <v>0.71271158400000012</v>
      </c>
      <c r="Q193" s="52" cm="1">
        <f t="array" ref="Q193">MMS_Poultry_N2ODirect_Equations.VEERG_4_6_1_3__6_Stage2NitrogenInMMS(P$150,G174)</f>
        <v>0.76073791680000002</v>
      </c>
      <c r="R193" s="52" cm="1">
        <f t="array" ref="R193">MMS_Poultry_N2ODirect_Equations.VEERG_4_6_1_3__6_Stage2NitrogenInMMS(Q$150,H174)</f>
        <v>0.89299319039999991</v>
      </c>
      <c r="S193" s="52" cm="1">
        <f t="array" ref="S193">MMS_Poultry_N2ODirect_Equations.VEERG_4_6_1_3__6_Stage2NitrogenInMMS(R$150,I174)</f>
        <v>0.76073791680000002</v>
      </c>
    </row>
    <row r="194" spans="1:21" ht="20.100000000000001" customHeight="1" x14ac:dyDescent="0.25">
      <c r="D194" s="52" t="str">
        <f>'Input - Poultry'!$D$31</f>
        <v>Belt manure removal</v>
      </c>
      <c r="E194" s="52" t="str">
        <f>'Input - Poultry'!$D$45</f>
        <v>Solid storage</v>
      </c>
      <c r="F194" s="52" cm="1">
        <f t="array" ref="F194">MMS_Poultry_N2ODirect_Equations.VEERG_4_6_1_3__6_Stage2NitrogenInMMS(E$151,F175)</f>
        <v>0.96761558400000025</v>
      </c>
      <c r="G194" s="52" cm="1">
        <f t="array" ref="G194">MMS_Poultry_N2ODirect_Equations.VEERG_4_6_1_3__6_Stage2NitrogenInMMS(F$151,G175)</f>
        <v>1.0328187168</v>
      </c>
      <c r="H194" s="52" cm="1">
        <f t="array" ref="H194">MMS_Poultry_N2ODirect_Equations.VEERG_4_6_1_3__6_Stage2NitrogenInMMS(G$151,H175)</f>
        <v>1.2123755904</v>
      </c>
      <c r="I194" s="52" cm="1">
        <f t="array" ref="I194">MMS_Poultry_N2ODirect_Equations.VEERG_4_6_1_3__6_Stage2NitrogenInMMS(H$151,I175)</f>
        <v>1.0328187168</v>
      </c>
      <c r="J194" s="2"/>
      <c r="N194" s="52" t="str">
        <f>'Input - Poultry'!$D$31</f>
        <v>Belt manure removal</v>
      </c>
      <c r="O194" s="52" t="str">
        <f>'Input - Poultry'!$D$45</f>
        <v>Solid storage</v>
      </c>
      <c r="P194" s="52" cm="1">
        <f t="array" ref="P194">MMS_Poultry_N2ODirect_Equations.VEERG_4_6_1_3__6_Stage2NitrogenInMMS(O$151,F175)</f>
        <v>0.96761558400000025</v>
      </c>
      <c r="Q194" s="52" cm="1">
        <f t="array" ref="Q194">MMS_Poultry_N2ODirect_Equations.VEERG_4_6_1_3__6_Stage2NitrogenInMMS(P$151,G175)</f>
        <v>1.0328187168</v>
      </c>
      <c r="R194" s="52" cm="1">
        <f t="array" ref="R194">MMS_Poultry_N2ODirect_Equations.VEERG_4_6_1_3__6_Stage2NitrogenInMMS(Q$151,H175)</f>
        <v>1.2123755904</v>
      </c>
      <c r="S194" s="52" cm="1">
        <f t="array" ref="S194">MMS_Poultry_N2ODirect_Equations.VEERG_4_6_1_3__6_Stage2NitrogenInMMS(R$151,I175)</f>
        <v>1.0328187168</v>
      </c>
      <c r="T194" s="2"/>
    </row>
    <row r="195" spans="1:21" ht="20.100000000000001" customHeight="1" x14ac:dyDescent="0.25">
      <c r="D195" s="52"/>
      <c r="E195" s="52" t="str">
        <f>'Input - Poultry'!$D$46</f>
        <v>Composting (passive windrow)</v>
      </c>
      <c r="F195" s="52" cm="1">
        <f t="array" ref="F195">MMS_Poultry_N2ODirect_Equations.VEERG_4_6_1_3__6_Stage2NitrogenInMMS(E$151,F176)</f>
        <v>0.96761558400000025</v>
      </c>
      <c r="G195" s="52" cm="1">
        <f t="array" ref="G195">MMS_Poultry_N2ODirect_Equations.VEERG_4_6_1_3__6_Stage2NitrogenInMMS(F$151,G176)</f>
        <v>1.0328187168</v>
      </c>
      <c r="H195" s="52" cm="1">
        <f t="array" ref="H195">MMS_Poultry_N2ODirect_Equations.VEERG_4_6_1_3__6_Stage2NitrogenInMMS(G$151,H176)</f>
        <v>1.2123755904</v>
      </c>
      <c r="I195" s="52" cm="1">
        <f t="array" ref="I195">MMS_Poultry_N2ODirect_Equations.VEERG_4_6_1_3__6_Stage2NitrogenInMMS(H$151,I176)</f>
        <v>1.0328187168</v>
      </c>
      <c r="J195" s="2"/>
      <c r="N195" s="52"/>
      <c r="O195" s="52" t="str">
        <f>'Input - Poultry'!$D$46</f>
        <v>Composting (passive windrow)</v>
      </c>
      <c r="P195" s="52" cm="1">
        <f t="array" ref="P195">MMS_Poultry_N2ODirect_Equations.VEERG_4_6_1_3__6_Stage2NitrogenInMMS(O$151,F176)</f>
        <v>0.96761558400000025</v>
      </c>
      <c r="Q195" s="52" cm="1">
        <f t="array" ref="Q195">MMS_Poultry_N2ODirect_Equations.VEERG_4_6_1_3__6_Stage2NitrogenInMMS(P$151,G176)</f>
        <v>1.0328187168</v>
      </c>
      <c r="R195" s="52" cm="1">
        <f t="array" ref="R195">MMS_Poultry_N2ODirect_Equations.VEERG_4_6_1_3__6_Stage2NitrogenInMMS(Q$151,H176)</f>
        <v>1.2123755904</v>
      </c>
      <c r="S195" s="52" cm="1">
        <f t="array" ref="S195">MMS_Poultry_N2ODirect_Equations.VEERG_4_6_1_3__6_Stage2NitrogenInMMS(R$151,I176)</f>
        <v>1.0328187168</v>
      </c>
      <c r="T195" s="2"/>
    </row>
    <row r="196" spans="1:21" ht="20.100000000000001" customHeight="1" x14ac:dyDescent="0.25">
      <c r="D196" s="52"/>
      <c r="E196" s="52" t="str">
        <f>'Input - Poultry'!$D$47</f>
        <v>Digester / covered lagoons</v>
      </c>
      <c r="F196" s="52" cm="1">
        <f t="array" ref="F196">MMS_Poultry_N2ODirect_Equations.VEERG_4_6_1_3__6_Stage2NitrogenInMMS(E$151,F177)</f>
        <v>0.96761558400000025</v>
      </c>
      <c r="G196" s="52" cm="1">
        <f t="array" ref="G196">MMS_Poultry_N2ODirect_Equations.VEERG_4_6_1_3__6_Stage2NitrogenInMMS(F$151,G177)</f>
        <v>1.0328187168</v>
      </c>
      <c r="H196" s="52" cm="1">
        <f t="array" ref="H196">MMS_Poultry_N2ODirect_Equations.VEERG_4_6_1_3__6_Stage2NitrogenInMMS(G$151,H177)</f>
        <v>1.2123755904</v>
      </c>
      <c r="I196" s="52" cm="1">
        <f t="array" ref="I196">MMS_Poultry_N2ODirect_Equations.VEERG_4_6_1_3__6_Stage2NitrogenInMMS(H$151,I177)</f>
        <v>1.0328187168</v>
      </c>
      <c r="J196" s="2"/>
      <c r="N196" s="52"/>
      <c r="O196" s="52" t="str">
        <f>'Input - Poultry'!$D$47</f>
        <v>Digester / covered lagoons</v>
      </c>
      <c r="P196" s="52" cm="1">
        <f t="array" ref="P196">MMS_Poultry_N2ODirect_Equations.VEERG_4_6_1_3__6_Stage2NitrogenInMMS(O$151,F177)</f>
        <v>0.96761558400000025</v>
      </c>
      <c r="Q196" s="52" cm="1">
        <f t="array" ref="Q196">MMS_Poultry_N2ODirect_Equations.VEERG_4_6_1_3__6_Stage2NitrogenInMMS(P$151,G177)</f>
        <v>1.0328187168</v>
      </c>
      <c r="R196" s="52" cm="1">
        <f t="array" ref="R196">MMS_Poultry_N2ODirect_Equations.VEERG_4_6_1_3__6_Stage2NitrogenInMMS(Q$151,H177)</f>
        <v>1.2123755904</v>
      </c>
      <c r="S196" s="52" cm="1">
        <f t="array" ref="S196">MMS_Poultry_N2ODirect_Equations.VEERG_4_6_1_3__6_Stage2NitrogenInMMS(R$151,I177)</f>
        <v>1.0328187168</v>
      </c>
      <c r="T196" s="2"/>
    </row>
    <row r="197" spans="1:21" ht="20.100000000000001" customHeight="1" x14ac:dyDescent="0.25">
      <c r="D197" s="52"/>
      <c r="E197" s="52" t="str">
        <f>'Input - Poultry'!$D$48</f>
        <v>Direct processing</v>
      </c>
      <c r="F197" s="52" cm="1">
        <f t="array" ref="F197">MMS_Poultry_N2ODirect_Equations.VEERG_4_6_1_3__6_Stage2NitrogenInMMS(E$151,F178)</f>
        <v>0.96761558400000025</v>
      </c>
      <c r="G197" s="52" cm="1">
        <f t="array" ref="G197">MMS_Poultry_N2ODirect_Equations.VEERG_4_6_1_3__6_Stage2NitrogenInMMS(F$151,G178)</f>
        <v>1.0328187168</v>
      </c>
      <c r="H197" s="52" cm="1">
        <f t="array" ref="H197">MMS_Poultry_N2ODirect_Equations.VEERG_4_6_1_3__6_Stage2NitrogenInMMS(G$151,H178)</f>
        <v>1.2123755904</v>
      </c>
      <c r="I197" s="52" cm="1">
        <f t="array" ref="I197">MMS_Poultry_N2ODirect_Equations.VEERG_4_6_1_3__6_Stage2NitrogenInMMS(H$151,I178)</f>
        <v>1.0328187168</v>
      </c>
      <c r="J197" s="2"/>
      <c r="N197" s="52"/>
      <c r="O197" s="52" t="str">
        <f>'Input - Poultry'!$D$48</f>
        <v>Direct processing</v>
      </c>
      <c r="P197" s="52" cm="1">
        <f t="array" ref="P197">MMS_Poultry_N2ODirect_Equations.VEERG_4_6_1_3__6_Stage2NitrogenInMMS(O$151,F178)</f>
        <v>0.96761558400000025</v>
      </c>
      <c r="Q197" s="52" cm="1">
        <f t="array" ref="Q197">MMS_Poultry_N2ODirect_Equations.VEERG_4_6_1_3__6_Stage2NitrogenInMMS(P$151,G178)</f>
        <v>1.0328187168</v>
      </c>
      <c r="R197" s="52" cm="1">
        <f t="array" ref="R197">MMS_Poultry_N2ODirect_Equations.VEERG_4_6_1_3__6_Stage2NitrogenInMMS(Q$151,H178)</f>
        <v>1.2123755904</v>
      </c>
      <c r="S197" s="52" cm="1">
        <f t="array" ref="S197">MMS_Poultry_N2ODirect_Equations.VEERG_4_6_1_3__6_Stage2NitrogenInMMS(R$151,I178)</f>
        <v>1.0328187168</v>
      </c>
      <c r="T197" s="2"/>
    </row>
    <row r="198" spans="1:21" ht="20.100000000000001" customHeight="1" x14ac:dyDescent="0.25">
      <c r="D198" s="52"/>
      <c r="E198" s="52" t="str">
        <f>'Input - Poultry'!$D$49</f>
        <v>Direct application</v>
      </c>
      <c r="F198" s="52" cm="1">
        <f t="array" ref="F198">MMS_Poultry_N2ODirect_Equations.VEERG_4_6_1_3__6_Stage2NitrogenInMMS(E$151,F179)</f>
        <v>0.96761558400000025</v>
      </c>
      <c r="G198" s="52" cm="1">
        <f t="array" ref="G198">MMS_Poultry_N2ODirect_Equations.VEERG_4_6_1_3__6_Stage2NitrogenInMMS(F$151,G179)</f>
        <v>1.0328187168</v>
      </c>
      <c r="H198" s="52" cm="1">
        <f t="array" ref="H198">MMS_Poultry_N2ODirect_Equations.VEERG_4_6_1_3__6_Stage2NitrogenInMMS(G$151,H179)</f>
        <v>1.2123755904</v>
      </c>
      <c r="I198" s="52" cm="1">
        <f t="array" ref="I198">MMS_Poultry_N2ODirect_Equations.VEERG_4_6_1_3__6_Stage2NitrogenInMMS(H$151,I179)</f>
        <v>1.0328187168</v>
      </c>
      <c r="N198" s="52"/>
      <c r="O198" s="52" t="str">
        <f>'Input - Poultry'!$D$49</f>
        <v>Direct application</v>
      </c>
      <c r="P198" s="52" cm="1">
        <f t="array" ref="P198">MMS_Poultry_N2ODirect_Equations.VEERG_4_6_1_3__6_Stage2NitrogenInMMS(O$151,F179)</f>
        <v>0.96761558400000025</v>
      </c>
      <c r="Q198" s="52" cm="1">
        <f t="array" ref="Q198">MMS_Poultry_N2ODirect_Equations.VEERG_4_6_1_3__6_Stage2NitrogenInMMS(P$151,G179)</f>
        <v>1.0328187168</v>
      </c>
      <c r="R198" s="52" cm="1">
        <f t="array" ref="R198">MMS_Poultry_N2ODirect_Equations.VEERG_4_6_1_3__6_Stage2NitrogenInMMS(Q$151,H179)</f>
        <v>1.2123755904</v>
      </c>
      <c r="S198" s="52" cm="1">
        <f t="array" ref="S198">MMS_Poultry_N2ODirect_Equations.VEERG_4_6_1_3__6_Stage2NitrogenInMMS(R$151,I179)</f>
        <v>1.0328187168</v>
      </c>
    </row>
    <row r="199" spans="1:21" ht="20.100000000000001" customHeight="1" x14ac:dyDescent="0.25">
      <c r="D199" s="52" t="str">
        <f>'Input - Poultry'!$D$32</f>
        <v>Manure stored in house</v>
      </c>
      <c r="E199" s="52" t="str">
        <f>'Input - Poultry'!$D$52</f>
        <v>Solid storage</v>
      </c>
      <c r="F199" s="52" cm="1">
        <f t="array" ref="F199">MMS_Poultry_N2ODirect_Equations.VEERG_4_6_1_3__6_Stage2NitrogenInMMS(E$152,F180)</f>
        <v>0.61074998400000013</v>
      </c>
      <c r="G199" s="52" cm="1">
        <f t="array" ref="G199">MMS_Poultry_N2ODirect_Equations.VEERG_4_6_1_3__6_Stage2NitrogenInMMS(F$152,G180)</f>
        <v>0.65190559679999993</v>
      </c>
      <c r="H199" s="52" cm="1">
        <f t="array" ref="H199">MMS_Poultry_N2ODirect_Equations.VEERG_4_6_1_3__6_Stage2NitrogenInMMS(G$152,H180)</f>
        <v>0.76524023039999989</v>
      </c>
      <c r="I199" s="52" cm="1">
        <f t="array" ref="I199">MMS_Poultry_N2ODirect_Equations.VEERG_4_6_1_3__6_Stage2NitrogenInMMS(H$152,I180)</f>
        <v>0.65190559679999993</v>
      </c>
      <c r="J199" s="2"/>
      <c r="N199" s="52" t="str">
        <f>'Input - Poultry'!$D$32</f>
        <v>Manure stored in house</v>
      </c>
      <c r="O199" s="52" t="str">
        <f>'Input - Poultry'!$D$52</f>
        <v>Solid storage</v>
      </c>
      <c r="P199" s="52" cm="1">
        <f t="array" ref="P199">MMS_Poultry_N2ODirect_Equations.VEERG_4_6_1_3__6_Stage2NitrogenInMMS(O$152,F180)</f>
        <v>0.61074998400000013</v>
      </c>
      <c r="Q199" s="52" cm="1">
        <f t="array" ref="Q199">MMS_Poultry_N2ODirect_Equations.VEERG_4_6_1_3__6_Stage2NitrogenInMMS(P$152,G180)</f>
        <v>0.65190559679999993</v>
      </c>
      <c r="R199" s="52" cm="1">
        <f t="array" ref="R199">MMS_Poultry_N2ODirect_Equations.VEERG_4_6_1_3__6_Stage2NitrogenInMMS(Q$152,H180)</f>
        <v>0.76524023039999989</v>
      </c>
      <c r="S199" s="52" cm="1">
        <f t="array" ref="S199">MMS_Poultry_N2ODirect_Equations.VEERG_4_6_1_3__6_Stage2NitrogenInMMS(R$152,I180)</f>
        <v>0.65190559679999993</v>
      </c>
      <c r="T199" s="2"/>
    </row>
    <row r="200" spans="1:21" ht="20.100000000000001" customHeight="1" x14ac:dyDescent="0.25">
      <c r="D200" s="52"/>
      <c r="E200" s="52" t="str">
        <f>'Input - Poultry'!$D$53</f>
        <v>Composting (passive windrow)</v>
      </c>
      <c r="F200" s="52" cm="1">
        <f t="array" ref="F200">MMS_Poultry_N2ODirect_Equations.VEERG_4_6_1_3__6_Stage2NitrogenInMMS(E$152,F181)</f>
        <v>0.61074998400000013</v>
      </c>
      <c r="G200" s="52" cm="1">
        <f t="array" ref="G200">MMS_Poultry_N2ODirect_Equations.VEERG_4_6_1_3__6_Stage2NitrogenInMMS(F$152,G181)</f>
        <v>0.65190559679999993</v>
      </c>
      <c r="H200" s="52" cm="1">
        <f t="array" ref="H200">MMS_Poultry_N2ODirect_Equations.VEERG_4_6_1_3__6_Stage2NitrogenInMMS(G$152,H181)</f>
        <v>0.76524023039999989</v>
      </c>
      <c r="I200" s="52" cm="1">
        <f t="array" ref="I200">MMS_Poultry_N2ODirect_Equations.VEERG_4_6_1_3__6_Stage2NitrogenInMMS(H$152,I181)</f>
        <v>0.65190559679999993</v>
      </c>
      <c r="J200" s="2"/>
      <c r="N200" s="52"/>
      <c r="O200" s="52" t="str">
        <f>'Input - Poultry'!$D$53</f>
        <v>Composting (passive windrow)</v>
      </c>
      <c r="P200" s="52" cm="1">
        <f t="array" ref="P200">MMS_Poultry_N2ODirect_Equations.VEERG_4_6_1_3__6_Stage2NitrogenInMMS(O$152,F181)</f>
        <v>0.61074998400000013</v>
      </c>
      <c r="Q200" s="52" cm="1">
        <f t="array" ref="Q200">MMS_Poultry_N2ODirect_Equations.VEERG_4_6_1_3__6_Stage2NitrogenInMMS(P$152,G181)</f>
        <v>0.65190559679999993</v>
      </c>
      <c r="R200" s="52" cm="1">
        <f t="array" ref="R200">MMS_Poultry_N2ODirect_Equations.VEERG_4_6_1_3__6_Stage2NitrogenInMMS(Q$152,H181)</f>
        <v>0.76524023039999989</v>
      </c>
      <c r="S200" s="52" cm="1">
        <f t="array" ref="S200">MMS_Poultry_N2ODirect_Equations.VEERG_4_6_1_3__6_Stage2NitrogenInMMS(R$152,I181)</f>
        <v>0.65190559679999993</v>
      </c>
      <c r="T200" s="2"/>
    </row>
    <row r="201" spans="1:21" ht="20.100000000000001" customHeight="1" x14ac:dyDescent="0.25">
      <c r="D201" s="52"/>
      <c r="E201" s="52" t="str">
        <f>'Input - Poultry'!$D$54</f>
        <v>Digester / covered lagoons</v>
      </c>
      <c r="F201" s="52" cm="1">
        <f t="array" ref="F201">MMS_Poultry_N2ODirect_Equations.VEERG_4_6_1_3__6_Stage2NitrogenInMMS(E$152,F182)</f>
        <v>0.61074998400000013</v>
      </c>
      <c r="G201" s="52" cm="1">
        <f t="array" ref="G201">MMS_Poultry_N2ODirect_Equations.VEERG_4_6_1_3__6_Stage2NitrogenInMMS(F$152,G182)</f>
        <v>0.65190559679999993</v>
      </c>
      <c r="H201" s="52" cm="1">
        <f t="array" ref="H201">MMS_Poultry_N2ODirect_Equations.VEERG_4_6_1_3__6_Stage2NitrogenInMMS(G$152,H182)</f>
        <v>0.76524023039999989</v>
      </c>
      <c r="I201" s="52" cm="1">
        <f t="array" ref="I201">MMS_Poultry_N2ODirect_Equations.VEERG_4_6_1_3__6_Stage2NitrogenInMMS(H$152,I182)</f>
        <v>0.65190559679999993</v>
      </c>
      <c r="J201" s="2"/>
      <c r="N201" s="52"/>
      <c r="O201" s="52" t="str">
        <f>'Input - Poultry'!$D$54</f>
        <v>Digester / covered lagoons</v>
      </c>
      <c r="P201" s="52" cm="1">
        <f t="array" ref="P201">MMS_Poultry_N2ODirect_Equations.VEERG_4_6_1_3__6_Stage2NitrogenInMMS(O$152,F182)</f>
        <v>0.61074998400000013</v>
      </c>
      <c r="Q201" s="52" cm="1">
        <f t="array" ref="Q201">MMS_Poultry_N2ODirect_Equations.VEERG_4_6_1_3__6_Stage2NitrogenInMMS(P$152,G182)</f>
        <v>0.65190559679999993</v>
      </c>
      <c r="R201" s="52" cm="1">
        <f t="array" ref="R201">MMS_Poultry_N2ODirect_Equations.VEERG_4_6_1_3__6_Stage2NitrogenInMMS(Q$152,H182)</f>
        <v>0.76524023039999989</v>
      </c>
      <c r="S201" s="52" cm="1">
        <f t="array" ref="S201">MMS_Poultry_N2ODirect_Equations.VEERG_4_6_1_3__6_Stage2NitrogenInMMS(R$152,I182)</f>
        <v>0.65190559679999993</v>
      </c>
      <c r="T201" s="2"/>
    </row>
    <row r="202" spans="1:21" ht="20.100000000000001" customHeight="1" x14ac:dyDescent="0.25">
      <c r="D202" s="52"/>
      <c r="E202" s="52" t="str">
        <f>'Input - Poultry'!$D$55</f>
        <v>Direct processing</v>
      </c>
      <c r="F202" s="52" cm="1">
        <f t="array" ref="F202">MMS_Poultry_N2ODirect_Equations.VEERG_4_6_1_3__6_Stage2NitrogenInMMS(E$152,F183)</f>
        <v>0.61074998400000013</v>
      </c>
      <c r="G202" s="52" cm="1">
        <f t="array" ref="G202">MMS_Poultry_N2ODirect_Equations.VEERG_4_6_1_3__6_Stage2NitrogenInMMS(F$152,G183)</f>
        <v>0.65190559679999993</v>
      </c>
      <c r="H202" s="52" cm="1">
        <f t="array" ref="H202">MMS_Poultry_N2ODirect_Equations.VEERG_4_6_1_3__6_Stage2NitrogenInMMS(G$152,H183)</f>
        <v>0.76524023039999989</v>
      </c>
      <c r="I202" s="52" cm="1">
        <f t="array" ref="I202">MMS_Poultry_N2ODirect_Equations.VEERG_4_6_1_3__6_Stage2NitrogenInMMS(H$152,I183)</f>
        <v>0.65190559679999993</v>
      </c>
      <c r="J202" s="2"/>
      <c r="N202" s="52"/>
      <c r="O202" s="52" t="str">
        <f>'Input - Poultry'!$D$55</f>
        <v>Direct processing</v>
      </c>
      <c r="P202" s="52" cm="1">
        <f t="array" ref="P202">MMS_Poultry_N2ODirect_Equations.VEERG_4_6_1_3__6_Stage2NitrogenInMMS(O$152,F183)</f>
        <v>0.61074998400000013</v>
      </c>
      <c r="Q202" s="52" cm="1">
        <f t="array" ref="Q202">MMS_Poultry_N2ODirect_Equations.VEERG_4_6_1_3__6_Stage2NitrogenInMMS(P$152,G183)</f>
        <v>0.65190559679999993</v>
      </c>
      <c r="R202" s="52" cm="1">
        <f t="array" ref="R202">MMS_Poultry_N2ODirect_Equations.VEERG_4_6_1_3__6_Stage2NitrogenInMMS(Q$152,H183)</f>
        <v>0.76524023039999989</v>
      </c>
      <c r="S202" s="52" cm="1">
        <f t="array" ref="S202">MMS_Poultry_N2ODirect_Equations.VEERG_4_6_1_3__6_Stage2NitrogenInMMS(R$152,I183)</f>
        <v>0.65190559679999993</v>
      </c>
      <c r="T202" s="2"/>
    </row>
    <row r="203" spans="1:21" ht="20.100000000000001" customHeight="1" x14ac:dyDescent="0.25">
      <c r="D203" s="52"/>
      <c r="E203" s="52" t="str">
        <f>'Input - Poultry'!$D$56</f>
        <v>Direct application</v>
      </c>
      <c r="F203" s="52" cm="1">
        <f t="array" ref="F203">MMS_Poultry_N2ODirect_Equations.VEERG_4_6_1_3__6_Stage2NitrogenInMMS(E$152,F184)</f>
        <v>0.61074998400000013</v>
      </c>
      <c r="G203" s="52" cm="1">
        <f t="array" ref="G203">MMS_Poultry_N2ODirect_Equations.VEERG_4_6_1_3__6_Stage2NitrogenInMMS(F$152,G184)</f>
        <v>0.65190559679999993</v>
      </c>
      <c r="H203" s="52" cm="1">
        <f t="array" ref="H203">MMS_Poultry_N2ODirect_Equations.VEERG_4_6_1_3__6_Stage2NitrogenInMMS(G$152,H184)</f>
        <v>0.76524023039999989</v>
      </c>
      <c r="I203" s="52" cm="1">
        <f t="array" ref="I203">MMS_Poultry_N2ODirect_Equations.VEERG_4_6_1_3__6_Stage2NitrogenInMMS(H$152,I184)</f>
        <v>0.65190559679999993</v>
      </c>
      <c r="N203" s="52"/>
      <c r="O203" s="52" t="str">
        <f>'Input - Poultry'!$D$56</f>
        <v>Direct application</v>
      </c>
      <c r="P203" s="52" cm="1">
        <f t="array" ref="P203">MMS_Poultry_N2ODirect_Equations.VEERG_4_6_1_3__6_Stage2NitrogenInMMS(O$152,F184)</f>
        <v>0.61074998400000013</v>
      </c>
      <c r="Q203" s="52" cm="1">
        <f t="array" ref="Q203">MMS_Poultry_N2ODirect_Equations.VEERG_4_6_1_3__6_Stage2NitrogenInMMS(P$152,G184)</f>
        <v>0.65190559679999993</v>
      </c>
      <c r="R203" s="52" cm="1">
        <f t="array" ref="R203">MMS_Poultry_N2ODirect_Equations.VEERG_4_6_1_3__6_Stage2NitrogenInMMS(Q$152,H184)</f>
        <v>0.76524023039999989</v>
      </c>
      <c r="S203" s="52" cm="1">
        <f t="array" ref="S203">MMS_Poultry_N2ODirect_Equations.VEERG_4_6_1_3__6_Stage2NitrogenInMMS(R$152,I184)</f>
        <v>0.65190559679999993</v>
      </c>
    </row>
    <row r="204" spans="1:21" ht="20.100000000000001" customHeight="1" x14ac:dyDescent="0.25"/>
    <row r="205" spans="1:21" ht="20.100000000000001" customHeight="1" x14ac:dyDescent="0.25">
      <c r="A205" s="145" t="str">
        <f>HYPERLINK("#A1", "▲ Back to top")</f>
        <v>▲ Back to top</v>
      </c>
    </row>
    <row r="206" spans="1:21" ht="20.100000000000001" customHeight="1" x14ac:dyDescent="0.25">
      <c r="C206" s="45"/>
      <c r="D206" s="45"/>
      <c r="E206" s="45"/>
      <c r="F206" s="45"/>
      <c r="G206" s="45"/>
      <c r="H206" s="45"/>
      <c r="I206" s="45"/>
      <c r="J206" s="45"/>
      <c r="K206" s="45"/>
      <c r="M206" s="45"/>
      <c r="N206" s="45"/>
      <c r="O206" s="45"/>
      <c r="P206" s="45"/>
      <c r="Q206" s="45"/>
      <c r="R206" s="45"/>
      <c r="S206" s="45"/>
      <c r="T206" s="45"/>
      <c r="U206" s="45"/>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23</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3" t="s">
        <v>26</v>
      </c>
      <c r="E212" s="1" t="str" cm="1">
        <f t="array" ref="E212">MMS_Poultry_N2ODirect_Equations.VEERG_4_6_1_3__1_TotalAnnualDirectNitrousOxideEmissionsFromMMS_Variable()</f>
        <v>E_N2Odir</v>
      </c>
    </row>
    <row r="213" spans="4:19" ht="20.100000000000001" customHeight="1" x14ac:dyDescent="0.25">
      <c r="D213" s="53" t="s">
        <v>16</v>
      </c>
      <c r="E213" s="54"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41" t="str" cm="1">
        <f t="array" ref="D215:E217">_xlfn.CHOOSECOLS(MMS_Poultry_N2ODirect_Equations.VEERG_4_6_1_3__1_TotalAnnualDirectNitrousOxideEmissionsFromMMS_Arguments(),1,2)</f>
        <v>MN_jkmT</v>
      </c>
      <c r="E215" s="144" t="str">
        <v>nitrogen per poultry class, subclass, MMS and treatment stage</v>
      </c>
      <c r="F215" s="143"/>
      <c r="G215" s="141" t="str" cm="1">
        <f t="array" ref="G215:H217">_xlfn.CHOOSECOLS(MMS_Poultry_N2ODirect_Equations.VEERG_4_6_1_3__1_TotalAnnualDirectNitrousOxideEmissionsFromMMS_Arguments(),3,4)</f>
        <v>kg N</v>
      </c>
      <c r="H215" s="140" t="str">
        <v>Calculated from 4.6.1.3 (2)(6)</v>
      </c>
      <c r="I215" s="142" t="str" cm="1">
        <f t="array" aca="1" ref="I215" ca="1">HYPERLINK(Common_InputFunctions.Utility_SourceHyperlink($D$105),$D$105)</f>
        <v>M1_Table_MN_j_k_m_T-1</v>
      </c>
      <c r="J215" s="142" t="str" cm="1">
        <f t="array" aca="1" ref="J215" ca="1">HYPERLINK(Common_InputFunctions.Utility_SourceHyperlink($D$186),$D$186)</f>
        <v>M1_Table_MN_j_k_m_T-2</v>
      </c>
    </row>
    <row r="216" spans="4:19" ht="20.100000000000001" customHeight="1" x14ac:dyDescent="0.25">
      <c r="D216" s="141" t="str">
        <v>EF_jm</v>
      </c>
      <c r="E216" s="144" t="str">
        <v>nitrous oxide emission factor for MMS</v>
      </c>
      <c r="F216" s="143"/>
      <c r="G216" s="141" t="str">
        <v>kg N2O-N/kg N</v>
      </c>
      <c r="H216" s="140" t="str">
        <v>Constant</v>
      </c>
      <c r="I216" s="142" t="str" cm="1">
        <f t="array" aca="1" ref="I216" ca="1">HYPERLINK(Common_InputFunctions.Utility_SourceHyperlink($D$135),$D$135)</f>
        <v>Table_EF_m</v>
      </c>
      <c r="J216" s="142"/>
    </row>
    <row r="217" spans="4:19" ht="20.100000000000001" customHeight="1" x14ac:dyDescent="0.25">
      <c r="D217" s="141" t="str">
        <v>C_N2O</v>
      </c>
      <c r="E217" s="144" t="str">
        <v>factor to convert elemental mass of nitrous oxide to molecular mass</v>
      </c>
      <c r="F217" s="143"/>
      <c r="G217" s="141" t="str">
        <v>ratio</v>
      </c>
      <c r="H217" s="140" t="str">
        <v>Constant</v>
      </c>
      <c r="I217" s="141">
        <f>Common_InputFunctions.Utility_LookupValueInTableNumber("N2O",Table_GasToMolecularConversionFactor[Gas],Table_GasToMolecularConversionFactor[Conversion factor combined])</f>
        <v>1.5714285714285714</v>
      </c>
      <c r="J217" s="141"/>
    </row>
    <row r="218" spans="4:19" ht="20.100000000000001" customHeight="1" x14ac:dyDescent="0.25"/>
    <row r="219" spans="4:19" ht="20.100000000000001" customHeight="1" x14ac:dyDescent="0.25">
      <c r="D219" s="125" t="s">
        <v>345</v>
      </c>
      <c r="E219" s="90"/>
      <c r="F219" s="90"/>
      <c r="G219" s="86"/>
    </row>
    <row r="220" spans="4:19" ht="20.100000000000001" customHeight="1" x14ac:dyDescent="0.25">
      <c r="D220" s="92" t="s">
        <v>346</v>
      </c>
      <c r="E220" s="89"/>
      <c r="F220" s="89"/>
      <c r="G220" s="87"/>
    </row>
    <row r="221" spans="4:19" ht="20.100000000000001" customHeight="1" x14ac:dyDescent="0.25"/>
    <row r="222" spans="4:19" ht="20.100000000000001" customHeight="1" x14ac:dyDescent="0.25">
      <c r="D222" s="98" t="s">
        <v>154</v>
      </c>
      <c r="N222" s="98" t="s">
        <v>154</v>
      </c>
    </row>
    <row r="223" spans="4:19" ht="20.100000000000001" customHeight="1" x14ac:dyDescent="0.25">
      <c r="D223" s="97" t="s">
        <v>271</v>
      </c>
      <c r="N223" s="97" t="s">
        <v>272</v>
      </c>
    </row>
    <row r="224" spans="4:19" ht="20.100000000000001" customHeight="1" x14ac:dyDescent="0.25">
      <c r="D224" s="51" t="s">
        <v>133</v>
      </c>
      <c r="E224" s="51" t="s">
        <v>135</v>
      </c>
      <c r="F224" s="51" t="s">
        <v>194</v>
      </c>
      <c r="G224" s="51" t="s">
        <v>195</v>
      </c>
      <c r="H224" s="51" t="s">
        <v>207</v>
      </c>
      <c r="I224" s="51" t="s">
        <v>208</v>
      </c>
      <c r="N224" s="51" t="s">
        <v>133</v>
      </c>
      <c r="O224" s="51" t="s">
        <v>135</v>
      </c>
      <c r="P224" s="51" t="s">
        <v>194</v>
      </c>
      <c r="Q224" s="51" t="s">
        <v>195</v>
      </c>
      <c r="R224" s="51" t="s">
        <v>207</v>
      </c>
      <c r="S224" s="51" t="s">
        <v>208</v>
      </c>
    </row>
    <row r="225" spans="4:20" ht="20.100000000000001" customHeight="1" x14ac:dyDescent="0.25">
      <c r="D225" s="52" t="str">
        <f>'Input - Poultry'!$D$30</f>
        <v>Poultry manure with bedding</v>
      </c>
      <c r="E225" s="52" t="s">
        <v>131</v>
      </c>
      <c r="F225" s="52" cm="1">
        <f t="array" ref="F225">MMS_Poultry_N2ODirect_Equations.VEERG_4_6_1_3__1_TotalAnnualDirectNitrousOxideEmissionsFromMMS(E108, _xlfn.XLOOKUP($D225, $D$138:$D$145,$E$138:$E$145), $I$217)</f>
        <v>8.0112685714285736E-6</v>
      </c>
      <c r="G225" s="52" cm="1">
        <f t="array" ref="G225">MMS_Poultry_N2ODirect_Equations.VEERG_4_6_1_3__1_TotalAnnualDirectNitrousOxideEmissionsFromMMS(F108, _xlfn.XLOOKUP($D225, $D$138:$D$145,$E$138:$E$145), $I$217)</f>
        <v>8.5511108571428573E-6</v>
      </c>
      <c r="H225" s="52" cm="1">
        <f t="array" ref="H225">MMS_Poultry_N2ODirect_Equations.VEERG_4_6_1_3__1_TotalAnnualDirectNitrousOxideEmissionsFromMMS(G108, _xlfn.XLOOKUP($D225, $D$138:$D$145,$E$138:$E$145), $I$217)</f>
        <v>1.0037732571428572E-5</v>
      </c>
      <c r="I225" s="52" cm="1">
        <f t="array" ref="I225">MMS_Poultry_N2ODirect_Equations.VEERG_4_6_1_3__1_TotalAnnualDirectNitrousOxideEmissionsFromMMS(H108, _xlfn.XLOOKUP($D225, $D$138:$D$145,$E$138:$E$145), $I$217)</f>
        <v>8.5511108571428573E-6</v>
      </c>
      <c r="J225" s="2" t="str">
        <f>$E$213</f>
        <v>t N2O</v>
      </c>
      <c r="N225" s="52" t="str">
        <f>'Input - Poultry'!$D$30</f>
        <v>Poultry manure with bedding</v>
      </c>
      <c r="O225" s="52" t="s">
        <v>131</v>
      </c>
      <c r="P225" s="52" cm="1">
        <f t="array" ref="P225">MMS_Poultry_N2ODirect_Equations.VEERG_4_6_1_3__1_TotalAnnualDirectNitrousOxideEmissionsFromMMS(O108, _xlfn.XLOOKUP($N225, $D$138:$D$145,$E$138:$E$145), $I$217)</f>
        <v>8.0112685714285736E-6</v>
      </c>
      <c r="Q225" s="52" cm="1">
        <f t="array" ref="Q225">MMS_Poultry_N2ODirect_Equations.VEERG_4_6_1_3__1_TotalAnnualDirectNitrousOxideEmissionsFromMMS(P108, _xlfn.XLOOKUP($N225, $D$138:$D$145,$E$138:$E$145), $I$217)</f>
        <v>8.5511108571428573E-6</v>
      </c>
      <c r="R225" s="52" cm="1">
        <f t="array" ref="R225">MMS_Poultry_N2ODirect_Equations.VEERG_4_6_1_3__1_TotalAnnualDirectNitrousOxideEmissionsFromMMS(Q108, _xlfn.XLOOKUP($N225, $D$138:$D$145,$E$138:$E$145), $I$217)</f>
        <v>1.0037732571428572E-5</v>
      </c>
      <c r="S225" s="52"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2" t="str">
        <f>'Input - Poultry'!$D$31</f>
        <v>Belt manure removal</v>
      </c>
      <c r="E226" s="52" t="s">
        <v>131</v>
      </c>
      <c r="F226" s="52" cm="1">
        <f t="array" ref="F226">MMS_Poultry_N2ODirect_Equations.VEERG_4_6_1_3__1_TotalAnnualDirectNitrousOxideEmissionsFromMMS(E109, _xlfn.XLOOKUP($D226, $D$138:$D$145,$E$138:$E$145), $I$217)</f>
        <v>8.0112685714285736E-6</v>
      </c>
      <c r="G226" s="52" cm="1">
        <f t="array" ref="G226">MMS_Poultry_N2ODirect_Equations.VEERG_4_6_1_3__1_TotalAnnualDirectNitrousOxideEmissionsFromMMS(F109, _xlfn.XLOOKUP($D226, $D$138:$D$145,$E$138:$E$145), $I$217)</f>
        <v>8.5511108571428573E-6</v>
      </c>
      <c r="H226" s="52" cm="1">
        <f t="array" ref="H226">MMS_Poultry_N2ODirect_Equations.VEERG_4_6_1_3__1_TotalAnnualDirectNitrousOxideEmissionsFromMMS(G109, _xlfn.XLOOKUP($D226, $D$138:$D$145,$E$138:$E$145), $I$217)</f>
        <v>1.0037732571428572E-5</v>
      </c>
      <c r="I226" s="52" cm="1">
        <f t="array" ref="I226">MMS_Poultry_N2ODirect_Equations.VEERG_4_6_1_3__1_TotalAnnualDirectNitrousOxideEmissionsFromMMS(H109, _xlfn.XLOOKUP($D226, $D$138:$D$145,$E$138:$E$145), $I$217)</f>
        <v>8.5511108571428573E-6</v>
      </c>
      <c r="J226" s="2"/>
      <c r="N226" s="52" t="str">
        <f>'Input - Poultry'!$D$31</f>
        <v>Belt manure removal</v>
      </c>
      <c r="O226" s="52" t="s">
        <v>131</v>
      </c>
      <c r="P226" s="52" cm="1">
        <f t="array" ref="P226">MMS_Poultry_N2ODirect_Equations.VEERG_4_6_1_3__1_TotalAnnualDirectNitrousOxideEmissionsFromMMS(O109, _xlfn.XLOOKUP($N226, $D$138:$D$145,$E$138:$E$145), $I$217)</f>
        <v>8.0112685714285736E-6</v>
      </c>
      <c r="Q226" s="52" cm="1">
        <f t="array" ref="Q226">MMS_Poultry_N2ODirect_Equations.VEERG_4_6_1_3__1_TotalAnnualDirectNitrousOxideEmissionsFromMMS(P109, _xlfn.XLOOKUP($N226, $D$138:$D$145,$E$138:$E$145), $I$217)</f>
        <v>8.5511108571428573E-6</v>
      </c>
      <c r="R226" s="52" cm="1">
        <f t="array" ref="R226">MMS_Poultry_N2ODirect_Equations.VEERG_4_6_1_3__1_TotalAnnualDirectNitrousOxideEmissionsFromMMS(Q109, _xlfn.XLOOKUP($N226, $D$138:$D$145,$E$138:$E$145), $I$217)</f>
        <v>1.0037732571428572E-5</v>
      </c>
      <c r="S226" s="52" cm="1">
        <f t="array" ref="S226">MMS_Poultry_N2ODirect_Equations.VEERG_4_6_1_3__1_TotalAnnualDirectNitrousOxideEmissionsFromMMS(R109, _xlfn.XLOOKUP($N226, $D$138:$D$145,$E$138:$E$145), $I$217)</f>
        <v>8.5511108571428573E-6</v>
      </c>
      <c r="T226" s="2"/>
    </row>
    <row r="227" spans="4:20" ht="20.100000000000001" customHeight="1" x14ac:dyDescent="0.25">
      <c r="D227" s="52" t="str">
        <f>'Input - Poultry'!$D$32</f>
        <v>Manure stored in house</v>
      </c>
      <c r="E227" s="52" t="s">
        <v>131</v>
      </c>
      <c r="F227" s="52" cm="1">
        <f t="array" ref="F227">MMS_Poultry_N2ODirect_Equations.VEERG_4_6_1_3__1_TotalAnnualDirectNitrousOxideEmissionsFromMMS(E110, _xlfn.XLOOKUP($D227, $D$138:$D$145,$E$138:$E$145), $I$217)</f>
        <v>8.0112685714285736E-6</v>
      </c>
      <c r="G227" s="52" cm="1">
        <f t="array" ref="G227">MMS_Poultry_N2ODirect_Equations.VEERG_4_6_1_3__1_TotalAnnualDirectNitrousOxideEmissionsFromMMS(F110, _xlfn.XLOOKUP($D227, $D$138:$D$145,$E$138:$E$145), $I$217)</f>
        <v>8.5511108571428573E-6</v>
      </c>
      <c r="H227" s="52" cm="1">
        <f t="array" ref="H227">MMS_Poultry_N2ODirect_Equations.VEERG_4_6_1_3__1_TotalAnnualDirectNitrousOxideEmissionsFromMMS(G110, _xlfn.XLOOKUP($D227, $D$138:$D$145,$E$138:$E$145), $I$217)</f>
        <v>1.0037732571428572E-5</v>
      </c>
      <c r="I227" s="52" cm="1">
        <f t="array" ref="I227">MMS_Poultry_N2ODirect_Equations.VEERG_4_6_1_3__1_TotalAnnualDirectNitrousOxideEmissionsFromMMS(H110, _xlfn.XLOOKUP($D227, $D$138:$D$145,$E$138:$E$145), $I$217)</f>
        <v>8.5511108571428573E-6</v>
      </c>
      <c r="J227" s="2"/>
      <c r="N227" s="52" t="str">
        <f>'Input - Poultry'!$D$32</f>
        <v>Manure stored in house</v>
      </c>
      <c r="O227" s="52" t="s">
        <v>131</v>
      </c>
      <c r="P227" s="52" cm="1">
        <f t="array" ref="P227">MMS_Poultry_N2ODirect_Equations.VEERG_4_6_1_3__1_TotalAnnualDirectNitrousOxideEmissionsFromMMS(O110, _xlfn.XLOOKUP($N227, $D$138:$D$145,$E$138:$E$145), $I$217)</f>
        <v>8.0112685714285736E-6</v>
      </c>
      <c r="Q227" s="52" cm="1">
        <f t="array" ref="Q227">MMS_Poultry_N2ODirect_Equations.VEERG_4_6_1_3__1_TotalAnnualDirectNitrousOxideEmissionsFromMMS(P110, _xlfn.XLOOKUP($N227, $D$138:$D$145,$E$138:$E$145), $I$217)</f>
        <v>8.5511108571428573E-6</v>
      </c>
      <c r="R227" s="52" cm="1">
        <f t="array" ref="R227">MMS_Poultry_N2ODirect_Equations.VEERG_4_6_1_3__1_TotalAnnualDirectNitrousOxideEmissionsFromMMS(Q110, _xlfn.XLOOKUP($N227, $D$138:$D$145,$E$138:$E$145), $I$217)</f>
        <v>1.0037732571428572E-5</v>
      </c>
      <c r="S227" s="52" cm="1">
        <f t="array" ref="S227">MMS_Poultry_N2ODirect_Equations.VEERG_4_6_1_3__1_TotalAnnualDirectNitrousOxideEmissionsFromMMS(R110, _xlfn.XLOOKUP($N227, $D$138:$D$145,$E$138:$E$145), $I$217)</f>
        <v>8.5511108571428573E-6</v>
      </c>
      <c r="T227" s="2"/>
    </row>
    <row r="228" spans="4:20" ht="20.100000000000001" customHeight="1" x14ac:dyDescent="0.25">
      <c r="D228" s="52" t="str">
        <f>'Input - Poultry'!$D$33</f>
        <v>Pasture range and paddock</v>
      </c>
      <c r="E228" s="52" t="s">
        <v>131</v>
      </c>
      <c r="F228" s="52" cm="1">
        <f t="array" ref="F228">MMS_Poultry_N2ODirect_Equations.VEERG_4_6_1_3__1_TotalAnnualDirectNitrousOxideEmissionsFromMMS(E111, _xlfn.XLOOKUP($D228, $D$138:$D$145,$E$138:$E$145), $I$217)</f>
        <v>5.3408457142857159E-5</v>
      </c>
      <c r="G228" s="52" cm="1">
        <f t="array" ref="G228">MMS_Poultry_N2ODirect_Equations.VEERG_4_6_1_3__1_TotalAnnualDirectNitrousOxideEmissionsFromMMS(F111, _xlfn.XLOOKUP($D228, $D$138:$D$145,$E$138:$E$145), $I$217)</f>
        <v>5.700740571428572E-5</v>
      </c>
      <c r="H228" s="52" cm="1">
        <f t="array" ref="H228">MMS_Poultry_N2ODirect_Equations.VEERG_4_6_1_3__1_TotalAnnualDirectNitrousOxideEmissionsFromMMS(G111, _xlfn.XLOOKUP($D228, $D$138:$D$145,$E$138:$E$145), $I$217)</f>
        <v>6.6918217142857147E-5</v>
      </c>
      <c r="I228" s="52" cm="1">
        <f t="array" ref="I228">MMS_Poultry_N2ODirect_Equations.VEERG_4_6_1_3__1_TotalAnnualDirectNitrousOxideEmissionsFromMMS(H111, _xlfn.XLOOKUP($D228, $D$138:$D$145,$E$138:$E$145), $I$217)</f>
        <v>5.700740571428572E-5</v>
      </c>
      <c r="J228" s="2"/>
      <c r="N228" s="52" t="str">
        <f>'Input - Poultry'!$D$33</f>
        <v>Pasture range and paddock</v>
      </c>
      <c r="O228" s="52" t="s">
        <v>131</v>
      </c>
      <c r="P228" s="52" cm="1">
        <f t="array" ref="P228">MMS_Poultry_N2ODirect_Equations.VEERG_4_6_1_3__1_TotalAnnualDirectNitrousOxideEmissionsFromMMS(O111, _xlfn.XLOOKUP($N228, $D$138:$D$145,$E$138:$E$145), $I$217)</f>
        <v>5.3408457142857159E-5</v>
      </c>
      <c r="Q228" s="52" cm="1">
        <f t="array" ref="Q228">MMS_Poultry_N2ODirect_Equations.VEERG_4_6_1_3__1_TotalAnnualDirectNitrousOxideEmissionsFromMMS(P111, _xlfn.XLOOKUP($N228, $D$138:$D$145,$E$138:$E$145), $I$217)</f>
        <v>5.700740571428572E-5</v>
      </c>
      <c r="R228" s="52" cm="1">
        <f t="array" ref="R228">MMS_Poultry_N2ODirect_Equations.VEERG_4_6_1_3__1_TotalAnnualDirectNitrousOxideEmissionsFromMMS(Q111, _xlfn.XLOOKUP($N228, $D$138:$D$145,$E$138:$E$145), $I$217)</f>
        <v>6.6918217142857147E-5</v>
      </c>
      <c r="S228" s="52" cm="1">
        <f t="array" ref="S228">MMS_Poultry_N2ODirect_Equations.VEERG_4_6_1_3__1_TotalAnnualDirectNitrousOxideEmissionsFromMMS(R111, _xlfn.XLOOKUP($N228, $D$138:$D$145,$E$138:$E$145), $I$217)</f>
        <v>5.700740571428572E-5</v>
      </c>
      <c r="T228" s="2"/>
    </row>
    <row r="229" spans="4:20" ht="20.100000000000001" customHeight="1" x14ac:dyDescent="0.25">
      <c r="D229" s="52" t="str">
        <f>'Input - Poultry'!$D$30</f>
        <v>Poultry manure with bedding</v>
      </c>
      <c r="E229" s="52" t="str">
        <f>'Input - Poultry'!$D$38</f>
        <v>Solid storage</v>
      </c>
      <c r="F229" s="52" cm="1">
        <f t="array" ref="F229">MMS_Poultry_N2ODirect_Equations.VEERG_4_6_1_3__1_TotalAnnualDirectNitrousOxideEmissionsFromMMS(F189, _xlfn.XLOOKUP($E229, $D$138:$D$145,$E$138:$E$145), $I$217)</f>
        <v>5.5998767314285723E-6</v>
      </c>
      <c r="G229" s="52" cm="1">
        <f t="array" ref="G229">MMS_Poultry_N2ODirect_Equations.VEERG_4_6_1_3__1_TotalAnnualDirectNitrousOxideEmissionsFromMMS(G189, _xlfn.XLOOKUP($E229, $D$138:$D$145,$E$138:$E$145), $I$217)</f>
        <v>5.9772264891428572E-6</v>
      </c>
      <c r="H229" s="52" cm="1">
        <f t="array" ref="H229">MMS_Poultry_N2ODirect_Equations.VEERG_4_6_1_3__1_TotalAnnualDirectNitrousOxideEmissionsFromMMS(H189, _xlfn.XLOOKUP($E229, $D$138:$D$145,$E$138:$E$145), $I$217)</f>
        <v>7.0163750674285713E-6</v>
      </c>
      <c r="I229" s="52" cm="1">
        <f t="array" ref="I229">MMS_Poultry_N2ODirect_Equations.VEERG_4_6_1_3__1_TotalAnnualDirectNitrousOxideEmissionsFromMMS(I189, _xlfn.XLOOKUP($E229, $D$138:$D$145,$E$138:$E$145), $I$217)</f>
        <v>5.9772264891428572E-6</v>
      </c>
      <c r="J229" s="2"/>
      <c r="N229" s="52" t="str">
        <f>'Input - Poultry'!$D$30</f>
        <v>Poultry manure with bedding</v>
      </c>
      <c r="O229" s="52" t="str">
        <f>'Input - Poultry'!$D$38</f>
        <v>Solid storage</v>
      </c>
      <c r="P229" s="52" cm="1">
        <f t="array" ref="P229">MMS_Poultry_N2ODirect_Equations.VEERG_4_6_1_3__1_TotalAnnualDirectNitrousOxideEmissionsFromMMS(P189, _xlfn.XLOOKUP($O229, $D$138:$D$145,$E$138:$E$145), $I$217)</f>
        <v>5.5998767314285723E-6</v>
      </c>
      <c r="Q229" s="52" cm="1">
        <f t="array" ref="Q229">MMS_Poultry_N2ODirect_Equations.VEERG_4_6_1_3__1_TotalAnnualDirectNitrousOxideEmissionsFromMMS(Q189, _xlfn.XLOOKUP($O229, $D$138:$D$145,$E$138:$E$145), $I$217)</f>
        <v>5.9772264891428572E-6</v>
      </c>
      <c r="R229" s="52" cm="1">
        <f t="array" ref="R229">MMS_Poultry_N2ODirect_Equations.VEERG_4_6_1_3__1_TotalAnnualDirectNitrousOxideEmissionsFromMMS(R189, _xlfn.XLOOKUP($O229, $D$138:$D$145,$E$138:$E$145), $I$217)</f>
        <v>7.0163750674285713E-6</v>
      </c>
      <c r="S229" s="52" cm="1">
        <f t="array" ref="S229">MMS_Poultry_N2ODirect_Equations.VEERG_4_6_1_3__1_TotalAnnualDirectNitrousOxideEmissionsFromMMS(S189, _xlfn.XLOOKUP($O229, $D$138:$D$145,$E$138:$E$145), $I$217)</f>
        <v>5.9772264891428572E-6</v>
      </c>
      <c r="T229" s="2"/>
    </row>
    <row r="230" spans="4:20" ht="20.100000000000001" customHeight="1" x14ac:dyDescent="0.25">
      <c r="D230" s="52"/>
      <c r="E230" s="52" t="str">
        <f>'Input - Poultry'!$D$39</f>
        <v>Composting (passive windrow)</v>
      </c>
      <c r="F230" s="52" cm="1">
        <f t="array" ref="F230">MMS_Poultry_N2ODirect_Equations.VEERG_4_6_1_3__1_TotalAnnualDirectNitrousOxideEmissionsFromMMS(F190, _xlfn.XLOOKUP($E230, $D$138:$D$145,$E$138:$E$145), $I$217)</f>
        <v>1.1199753462857145E-5</v>
      </c>
      <c r="G230" s="52" cm="1">
        <f t="array" ref="G230">MMS_Poultry_N2ODirect_Equations.VEERG_4_6_1_3__1_TotalAnnualDirectNitrousOxideEmissionsFromMMS(G190, _xlfn.XLOOKUP($E230, $D$138:$D$145,$E$138:$E$145), $I$217)</f>
        <v>1.1954452978285714E-5</v>
      </c>
      <c r="H230" s="52" cm="1">
        <f t="array" ref="H230">MMS_Poultry_N2ODirect_Equations.VEERG_4_6_1_3__1_TotalAnnualDirectNitrousOxideEmissionsFromMMS(H190, _xlfn.XLOOKUP($E230, $D$138:$D$145,$E$138:$E$145), $I$217)</f>
        <v>1.4032750134857143E-5</v>
      </c>
      <c r="I230" s="52" cm="1">
        <f t="array" ref="I230">MMS_Poultry_N2ODirect_Equations.VEERG_4_6_1_3__1_TotalAnnualDirectNitrousOxideEmissionsFromMMS(I190, _xlfn.XLOOKUP($E230, $D$138:$D$145,$E$138:$E$145), $I$217)</f>
        <v>1.1954452978285714E-5</v>
      </c>
      <c r="J230" s="2"/>
      <c r="N230" s="52"/>
      <c r="O230" s="52" t="str">
        <f>'Input - Poultry'!$D$39</f>
        <v>Composting (passive windrow)</v>
      </c>
      <c r="P230" s="52" cm="1">
        <f t="array" ref="P230">MMS_Poultry_N2ODirect_Equations.VEERG_4_6_1_3__1_TotalAnnualDirectNitrousOxideEmissionsFromMMS(P190, _xlfn.XLOOKUP($O230, $D$138:$D$145,$E$138:$E$145), $I$217)</f>
        <v>1.1199753462857145E-5</v>
      </c>
      <c r="Q230" s="52" cm="1">
        <f t="array" ref="Q230">MMS_Poultry_N2ODirect_Equations.VEERG_4_6_1_3__1_TotalAnnualDirectNitrousOxideEmissionsFromMMS(Q190, _xlfn.XLOOKUP($O230, $D$138:$D$145,$E$138:$E$145), $I$217)</f>
        <v>1.1954452978285714E-5</v>
      </c>
      <c r="R230" s="52" cm="1">
        <f t="array" ref="R230">MMS_Poultry_N2ODirect_Equations.VEERG_4_6_1_3__1_TotalAnnualDirectNitrousOxideEmissionsFromMMS(R190, _xlfn.XLOOKUP($O230, $D$138:$D$145,$E$138:$E$145), $I$217)</f>
        <v>1.4032750134857143E-5</v>
      </c>
      <c r="S230" s="52" cm="1">
        <f t="array" ref="S230">MMS_Poultry_N2ODirect_Equations.VEERG_4_6_1_3__1_TotalAnnualDirectNitrousOxideEmissionsFromMMS(S190, _xlfn.XLOOKUP($O230, $D$138:$D$145,$E$138:$E$145), $I$217)</f>
        <v>1.1954452978285714E-5</v>
      </c>
      <c r="T230" s="2"/>
    </row>
    <row r="231" spans="4:20" ht="20.100000000000001" customHeight="1" x14ac:dyDescent="0.25">
      <c r="D231" s="52"/>
      <c r="E231" s="52" t="str">
        <f>'Input - Poultry'!$D$40</f>
        <v>Digester / covered lagoons</v>
      </c>
      <c r="F231" s="52" cm="1">
        <f t="array" ref="F231">MMS_Poultry_N2ODirect_Equations.VEERG_4_6_1_3__1_TotalAnnualDirectNitrousOxideEmissionsFromMMS(F191, _xlfn.XLOOKUP($E231, $D$138:$D$145,$E$138:$E$145), $I$217)</f>
        <v>0</v>
      </c>
      <c r="G231" s="52" cm="1">
        <f t="array" ref="G231">MMS_Poultry_N2ODirect_Equations.VEERG_4_6_1_3__1_TotalAnnualDirectNitrousOxideEmissionsFromMMS(G191, _xlfn.XLOOKUP($E231, $D$138:$D$145,$E$138:$E$145), $I$217)</f>
        <v>0</v>
      </c>
      <c r="H231" s="52" cm="1">
        <f t="array" ref="H231">MMS_Poultry_N2ODirect_Equations.VEERG_4_6_1_3__1_TotalAnnualDirectNitrousOxideEmissionsFromMMS(H191, _xlfn.XLOOKUP($E231, $D$138:$D$145,$E$138:$E$145), $I$217)</f>
        <v>0</v>
      </c>
      <c r="I231" s="52" cm="1">
        <f t="array" ref="I231">MMS_Poultry_N2ODirect_Equations.VEERG_4_6_1_3__1_TotalAnnualDirectNitrousOxideEmissionsFromMMS(I191, _xlfn.XLOOKUP($E231, $D$138:$D$145,$E$138:$E$145), $I$217)</f>
        <v>0</v>
      </c>
      <c r="J231" s="2"/>
      <c r="N231" s="52"/>
      <c r="O231" s="52" t="str">
        <f>'Input - Poultry'!$D$40</f>
        <v>Digester / covered lagoons</v>
      </c>
      <c r="P231" s="52" cm="1">
        <f t="array" ref="P231">MMS_Poultry_N2ODirect_Equations.VEERG_4_6_1_3__1_TotalAnnualDirectNitrousOxideEmissionsFromMMS(P191, _xlfn.XLOOKUP($O231, $D$138:$D$145,$E$138:$E$145), $I$217)</f>
        <v>0</v>
      </c>
      <c r="Q231" s="52" cm="1">
        <f t="array" ref="Q231">MMS_Poultry_N2ODirect_Equations.VEERG_4_6_1_3__1_TotalAnnualDirectNitrousOxideEmissionsFromMMS(Q191, _xlfn.XLOOKUP($O231, $D$138:$D$145,$E$138:$E$145), $I$217)</f>
        <v>0</v>
      </c>
      <c r="R231" s="52" cm="1">
        <f t="array" ref="R231">MMS_Poultry_N2ODirect_Equations.VEERG_4_6_1_3__1_TotalAnnualDirectNitrousOxideEmissionsFromMMS(R191, _xlfn.XLOOKUP($O231, $D$138:$D$145,$E$138:$E$145), $I$217)</f>
        <v>0</v>
      </c>
      <c r="S231" s="52" cm="1">
        <f t="array" ref="S231">MMS_Poultry_N2ODirect_Equations.VEERG_4_6_1_3__1_TotalAnnualDirectNitrousOxideEmissionsFromMMS(S191, _xlfn.XLOOKUP($O231, $D$138:$D$145,$E$138:$E$145), $I$217)</f>
        <v>0</v>
      </c>
      <c r="T231" s="2"/>
    </row>
    <row r="232" spans="4:20" ht="20.100000000000001" customHeight="1" x14ac:dyDescent="0.25">
      <c r="D232" s="52"/>
      <c r="E232" s="52" t="str">
        <f>'Input - Poultry'!$D$41</f>
        <v>Direct processing</v>
      </c>
      <c r="F232" s="52" cm="1">
        <f t="array" ref="F232">MMS_Poultry_N2ODirect_Equations.VEERG_4_6_1_3__1_TotalAnnualDirectNitrousOxideEmissionsFromMMS(F192, _xlfn.XLOOKUP($E232, $D$138:$D$145,$E$138:$E$145), $I$217)</f>
        <v>0</v>
      </c>
      <c r="G232" s="52" cm="1">
        <f t="array" ref="G232">MMS_Poultry_N2ODirect_Equations.VEERG_4_6_1_3__1_TotalAnnualDirectNitrousOxideEmissionsFromMMS(G192, _xlfn.XLOOKUP($E232, $D$138:$D$145,$E$138:$E$145), $I$217)</f>
        <v>0</v>
      </c>
      <c r="H232" s="52" cm="1">
        <f t="array" ref="H232">MMS_Poultry_N2ODirect_Equations.VEERG_4_6_1_3__1_TotalAnnualDirectNitrousOxideEmissionsFromMMS(H192, _xlfn.XLOOKUP($E232, $D$138:$D$145,$E$138:$E$145), $I$217)</f>
        <v>0</v>
      </c>
      <c r="I232" s="52" cm="1">
        <f t="array" ref="I232">MMS_Poultry_N2ODirect_Equations.VEERG_4_6_1_3__1_TotalAnnualDirectNitrousOxideEmissionsFromMMS(I192, _xlfn.XLOOKUP($E232, $D$138:$D$145,$E$138:$E$145), $I$217)</f>
        <v>0</v>
      </c>
      <c r="J232" s="2"/>
      <c r="N232" s="52"/>
      <c r="O232" s="52" t="str">
        <f>'Input - Poultry'!$D$41</f>
        <v>Direct processing</v>
      </c>
      <c r="P232" s="52" cm="1">
        <f t="array" ref="P232">MMS_Poultry_N2ODirect_Equations.VEERG_4_6_1_3__1_TotalAnnualDirectNitrousOxideEmissionsFromMMS(P192, _xlfn.XLOOKUP($O232, $D$138:$D$145,$E$138:$E$145), $I$217)</f>
        <v>0</v>
      </c>
      <c r="Q232" s="52" cm="1">
        <f t="array" ref="Q232">MMS_Poultry_N2ODirect_Equations.VEERG_4_6_1_3__1_TotalAnnualDirectNitrousOxideEmissionsFromMMS(Q192, _xlfn.XLOOKUP($O232, $D$138:$D$145,$E$138:$E$145), $I$217)</f>
        <v>0</v>
      </c>
      <c r="R232" s="52" cm="1">
        <f t="array" ref="R232">MMS_Poultry_N2ODirect_Equations.VEERG_4_6_1_3__1_TotalAnnualDirectNitrousOxideEmissionsFromMMS(R192, _xlfn.XLOOKUP($O232, $D$138:$D$145,$E$138:$E$145), $I$217)</f>
        <v>0</v>
      </c>
      <c r="S232" s="52" cm="1">
        <f t="array" ref="S232">MMS_Poultry_N2ODirect_Equations.VEERG_4_6_1_3__1_TotalAnnualDirectNitrousOxideEmissionsFromMMS(S192, _xlfn.XLOOKUP($O232, $D$138:$D$145,$E$138:$E$145), $I$217)</f>
        <v>0</v>
      </c>
      <c r="T232" s="2"/>
    </row>
    <row r="233" spans="4:20" ht="20.100000000000001" customHeight="1" x14ac:dyDescent="0.25">
      <c r="D233" s="52"/>
      <c r="E233" s="52" t="str">
        <f>'Input - Poultry'!$D$42</f>
        <v>Direct application</v>
      </c>
      <c r="F233" s="52" t="s">
        <v>131</v>
      </c>
      <c r="G233" s="52" t="s">
        <v>131</v>
      </c>
      <c r="H233" s="52" t="s">
        <v>131</v>
      </c>
      <c r="I233" s="52" t="s">
        <v>131</v>
      </c>
      <c r="N233" s="52"/>
      <c r="O233" s="52" t="str">
        <f>'Input - Poultry'!$D$42</f>
        <v>Direct application</v>
      </c>
      <c r="P233" s="52" t="s">
        <v>131</v>
      </c>
      <c r="Q233" s="52" t="s">
        <v>131</v>
      </c>
      <c r="R233" s="52" t="s">
        <v>131</v>
      </c>
      <c r="S233" s="52" t="s">
        <v>131</v>
      </c>
    </row>
    <row r="234" spans="4:20" ht="20.100000000000001" customHeight="1" x14ac:dyDescent="0.25">
      <c r="D234" s="52" t="str">
        <f>'Input - Poultry'!$D$31</f>
        <v>Belt manure removal</v>
      </c>
      <c r="E234" s="52" t="str">
        <f>'Input - Poultry'!$D$45</f>
        <v>Solid storage</v>
      </c>
      <c r="F234" s="52" cm="1">
        <f t="array" ref="F234">MMS_Poultry_N2ODirect_Equations.VEERG_4_6_1_3__1_TotalAnnualDirectNitrousOxideEmissionsFromMMS(F194, _xlfn.XLOOKUP($E234, $D$138:$D$145,$E$138:$E$145), $I$217)</f>
        <v>7.6026938742857157E-6</v>
      </c>
      <c r="G234" s="52" cm="1">
        <f t="array" ref="G234">MMS_Poultry_N2ODirect_Equations.VEERG_4_6_1_3__1_TotalAnnualDirectNitrousOxideEmissionsFromMMS(G194, _xlfn.XLOOKUP($E234, $D$138:$D$145,$E$138:$E$145), $I$217)</f>
        <v>8.1150042034285711E-6</v>
      </c>
      <c r="H234" s="52" cm="1">
        <f t="array" ref="H234">MMS_Poultry_N2ODirect_Equations.VEERG_4_6_1_3__1_TotalAnnualDirectNitrousOxideEmissionsFromMMS(H194, _xlfn.XLOOKUP($E234, $D$138:$D$145,$E$138:$E$145), $I$217)</f>
        <v>9.5258082102857138E-6</v>
      </c>
      <c r="I234" s="52" cm="1">
        <f t="array" ref="I234">MMS_Poultry_N2ODirect_Equations.VEERG_4_6_1_3__1_TotalAnnualDirectNitrousOxideEmissionsFromMMS(I194, _xlfn.XLOOKUP($E234, $D$138:$D$145,$E$138:$E$145), $I$217)</f>
        <v>8.1150042034285711E-6</v>
      </c>
      <c r="J234" s="2"/>
      <c r="N234" s="52" t="str">
        <f>'Input - Poultry'!$D$31</f>
        <v>Belt manure removal</v>
      </c>
      <c r="O234" s="52" t="str">
        <f>'Input - Poultry'!$D$45</f>
        <v>Solid storage</v>
      </c>
      <c r="P234" s="52" cm="1">
        <f t="array" ref="P234">MMS_Poultry_N2ODirect_Equations.VEERG_4_6_1_3__1_TotalAnnualDirectNitrousOxideEmissionsFromMMS(P194, _xlfn.XLOOKUP($O234, $D$138:$D$145,$E$138:$E$145), $I$217)</f>
        <v>7.6026938742857157E-6</v>
      </c>
      <c r="Q234" s="52" cm="1">
        <f t="array" ref="Q234">MMS_Poultry_N2ODirect_Equations.VEERG_4_6_1_3__1_TotalAnnualDirectNitrousOxideEmissionsFromMMS(Q194, _xlfn.XLOOKUP($O234, $D$138:$D$145,$E$138:$E$145), $I$217)</f>
        <v>8.1150042034285711E-6</v>
      </c>
      <c r="R234" s="52" cm="1">
        <f t="array" ref="R234">MMS_Poultry_N2ODirect_Equations.VEERG_4_6_1_3__1_TotalAnnualDirectNitrousOxideEmissionsFromMMS(R194, _xlfn.XLOOKUP($O234, $D$138:$D$145,$E$138:$E$145), $I$217)</f>
        <v>9.5258082102857138E-6</v>
      </c>
      <c r="S234" s="52" cm="1">
        <f t="array" ref="S234">MMS_Poultry_N2ODirect_Equations.VEERG_4_6_1_3__1_TotalAnnualDirectNitrousOxideEmissionsFromMMS(S194, _xlfn.XLOOKUP($O234, $D$138:$D$145,$E$138:$E$145), $I$217)</f>
        <v>8.1150042034285711E-6</v>
      </c>
      <c r="T234" s="2"/>
    </row>
    <row r="235" spans="4:20" ht="20.100000000000001" customHeight="1" x14ac:dyDescent="0.25">
      <c r="D235" s="52"/>
      <c r="E235" s="52" t="str">
        <f>'Input - Poultry'!$D$46</f>
        <v>Composting (passive windrow)</v>
      </c>
      <c r="F235" s="52" cm="1">
        <f t="array" ref="F235">MMS_Poultry_N2ODirect_Equations.VEERG_4_6_1_3__1_TotalAnnualDirectNitrousOxideEmissionsFromMMS(F195, _xlfn.XLOOKUP($E235, $D$138:$D$145,$E$138:$E$145), $I$217)</f>
        <v>1.5205387748571431E-5</v>
      </c>
      <c r="G235" s="52" cm="1">
        <f t="array" ref="G235">MMS_Poultry_N2ODirect_Equations.VEERG_4_6_1_3__1_TotalAnnualDirectNitrousOxideEmissionsFromMMS(G195, _xlfn.XLOOKUP($E235, $D$138:$D$145,$E$138:$E$145), $I$217)</f>
        <v>1.6230008406857142E-5</v>
      </c>
      <c r="H235" s="52" cm="1">
        <f t="array" ref="H235">MMS_Poultry_N2ODirect_Equations.VEERG_4_6_1_3__1_TotalAnnualDirectNitrousOxideEmissionsFromMMS(H195, _xlfn.XLOOKUP($E235, $D$138:$D$145,$E$138:$E$145), $I$217)</f>
        <v>1.9051616420571428E-5</v>
      </c>
      <c r="I235" s="52" cm="1">
        <f t="array" ref="I235">MMS_Poultry_N2ODirect_Equations.VEERG_4_6_1_3__1_TotalAnnualDirectNitrousOxideEmissionsFromMMS(I195, _xlfn.XLOOKUP($E235, $D$138:$D$145,$E$138:$E$145), $I$217)</f>
        <v>1.6230008406857142E-5</v>
      </c>
      <c r="J235" s="2"/>
      <c r="N235" s="52"/>
      <c r="O235" s="52" t="str">
        <f>'Input - Poultry'!$D$46</f>
        <v>Composting (passive windrow)</v>
      </c>
      <c r="P235" s="52" cm="1">
        <f t="array" ref="P235">MMS_Poultry_N2ODirect_Equations.VEERG_4_6_1_3__1_TotalAnnualDirectNitrousOxideEmissionsFromMMS(P195, _xlfn.XLOOKUP($O235, $D$138:$D$145,$E$138:$E$145), $I$217)</f>
        <v>1.5205387748571431E-5</v>
      </c>
      <c r="Q235" s="52" cm="1">
        <f t="array" ref="Q235">MMS_Poultry_N2ODirect_Equations.VEERG_4_6_1_3__1_TotalAnnualDirectNitrousOxideEmissionsFromMMS(Q195, _xlfn.XLOOKUP($O235, $D$138:$D$145,$E$138:$E$145), $I$217)</f>
        <v>1.6230008406857142E-5</v>
      </c>
      <c r="R235" s="52" cm="1">
        <f t="array" ref="R235">MMS_Poultry_N2ODirect_Equations.VEERG_4_6_1_3__1_TotalAnnualDirectNitrousOxideEmissionsFromMMS(R195, _xlfn.XLOOKUP($O235, $D$138:$D$145,$E$138:$E$145), $I$217)</f>
        <v>1.9051616420571428E-5</v>
      </c>
      <c r="S235" s="52" cm="1">
        <f t="array" ref="S235">MMS_Poultry_N2ODirect_Equations.VEERG_4_6_1_3__1_TotalAnnualDirectNitrousOxideEmissionsFromMMS(S195, _xlfn.XLOOKUP($O235, $D$138:$D$145,$E$138:$E$145), $I$217)</f>
        <v>1.6230008406857142E-5</v>
      </c>
      <c r="T235" s="2"/>
    </row>
    <row r="236" spans="4:20" ht="20.100000000000001" customHeight="1" x14ac:dyDescent="0.25">
      <c r="D236" s="52"/>
      <c r="E236" s="52" t="str">
        <f>'Input - Poultry'!$D$47</f>
        <v>Digester / covered lagoons</v>
      </c>
      <c r="F236" s="52" cm="1">
        <f t="array" ref="F236">MMS_Poultry_N2ODirect_Equations.VEERG_4_6_1_3__1_TotalAnnualDirectNitrousOxideEmissionsFromMMS(F196, _xlfn.XLOOKUP($E236, $D$138:$D$145,$E$138:$E$145), $I$217)</f>
        <v>0</v>
      </c>
      <c r="G236" s="52" cm="1">
        <f t="array" ref="G236">MMS_Poultry_N2ODirect_Equations.VEERG_4_6_1_3__1_TotalAnnualDirectNitrousOxideEmissionsFromMMS(G196, _xlfn.XLOOKUP($E236, $D$138:$D$145,$E$138:$E$145), $I$217)</f>
        <v>0</v>
      </c>
      <c r="H236" s="52" cm="1">
        <f t="array" ref="H236">MMS_Poultry_N2ODirect_Equations.VEERG_4_6_1_3__1_TotalAnnualDirectNitrousOxideEmissionsFromMMS(H196, _xlfn.XLOOKUP($E236, $D$138:$D$145,$E$138:$E$145), $I$217)</f>
        <v>0</v>
      </c>
      <c r="I236" s="52" cm="1">
        <f t="array" ref="I236">MMS_Poultry_N2ODirect_Equations.VEERG_4_6_1_3__1_TotalAnnualDirectNitrousOxideEmissionsFromMMS(I196, _xlfn.XLOOKUP($E236, $D$138:$D$145,$E$138:$E$145), $I$217)</f>
        <v>0</v>
      </c>
      <c r="J236" s="2"/>
      <c r="N236" s="52"/>
      <c r="O236" s="52" t="str">
        <f>'Input - Poultry'!$D$47</f>
        <v>Digester / covered lagoons</v>
      </c>
      <c r="P236" s="52" cm="1">
        <f t="array" ref="P236">MMS_Poultry_N2ODirect_Equations.VEERG_4_6_1_3__1_TotalAnnualDirectNitrousOxideEmissionsFromMMS(P196, _xlfn.XLOOKUP($O236, $D$138:$D$145,$E$138:$E$145), $I$217)</f>
        <v>0</v>
      </c>
      <c r="Q236" s="52" cm="1">
        <f t="array" ref="Q236">MMS_Poultry_N2ODirect_Equations.VEERG_4_6_1_3__1_TotalAnnualDirectNitrousOxideEmissionsFromMMS(Q196, _xlfn.XLOOKUP($O236, $D$138:$D$145,$E$138:$E$145), $I$217)</f>
        <v>0</v>
      </c>
      <c r="R236" s="52" cm="1">
        <f t="array" ref="R236">MMS_Poultry_N2ODirect_Equations.VEERG_4_6_1_3__1_TotalAnnualDirectNitrousOxideEmissionsFromMMS(R196, _xlfn.XLOOKUP($O236, $D$138:$D$145,$E$138:$E$145), $I$217)</f>
        <v>0</v>
      </c>
      <c r="S236" s="52" cm="1">
        <f t="array" ref="S236">MMS_Poultry_N2ODirect_Equations.VEERG_4_6_1_3__1_TotalAnnualDirectNitrousOxideEmissionsFromMMS(S196, _xlfn.XLOOKUP($O236, $D$138:$D$145,$E$138:$E$145), $I$217)</f>
        <v>0</v>
      </c>
      <c r="T236" s="2"/>
    </row>
    <row r="237" spans="4:20" ht="20.100000000000001" customHeight="1" x14ac:dyDescent="0.25">
      <c r="D237" s="52"/>
      <c r="E237" s="52" t="str">
        <f>'Input - Poultry'!$D$48</f>
        <v>Direct processing</v>
      </c>
      <c r="F237" s="52" cm="1">
        <f t="array" ref="F237">MMS_Poultry_N2ODirect_Equations.VEERG_4_6_1_3__1_TotalAnnualDirectNitrousOxideEmissionsFromMMS(F197, _xlfn.XLOOKUP($E237, $D$138:$D$145,$E$138:$E$145), $I$217)</f>
        <v>0</v>
      </c>
      <c r="G237" s="52" cm="1">
        <f t="array" ref="G237">MMS_Poultry_N2ODirect_Equations.VEERG_4_6_1_3__1_TotalAnnualDirectNitrousOxideEmissionsFromMMS(G197, _xlfn.XLOOKUP($E237, $D$138:$D$145,$E$138:$E$145), $I$217)</f>
        <v>0</v>
      </c>
      <c r="H237" s="52" cm="1">
        <f t="array" ref="H237">MMS_Poultry_N2ODirect_Equations.VEERG_4_6_1_3__1_TotalAnnualDirectNitrousOxideEmissionsFromMMS(H197, _xlfn.XLOOKUP($E237, $D$138:$D$145,$E$138:$E$145), $I$217)</f>
        <v>0</v>
      </c>
      <c r="I237" s="52" cm="1">
        <f t="array" ref="I237">MMS_Poultry_N2ODirect_Equations.VEERG_4_6_1_3__1_TotalAnnualDirectNitrousOxideEmissionsFromMMS(I197, _xlfn.XLOOKUP($E237, $D$138:$D$145,$E$138:$E$145), $I$217)</f>
        <v>0</v>
      </c>
      <c r="J237" s="2"/>
      <c r="N237" s="52"/>
      <c r="O237" s="52" t="str">
        <f>'Input - Poultry'!$D$48</f>
        <v>Direct processing</v>
      </c>
      <c r="P237" s="52" cm="1">
        <f t="array" ref="P237">MMS_Poultry_N2ODirect_Equations.VEERG_4_6_1_3__1_TotalAnnualDirectNitrousOxideEmissionsFromMMS(P197, _xlfn.XLOOKUP($O237, $D$138:$D$145,$E$138:$E$145), $I$217)</f>
        <v>0</v>
      </c>
      <c r="Q237" s="52" cm="1">
        <f t="array" ref="Q237">MMS_Poultry_N2ODirect_Equations.VEERG_4_6_1_3__1_TotalAnnualDirectNitrousOxideEmissionsFromMMS(Q197, _xlfn.XLOOKUP($O237, $D$138:$D$145,$E$138:$E$145), $I$217)</f>
        <v>0</v>
      </c>
      <c r="R237" s="52" cm="1">
        <f t="array" ref="R237">MMS_Poultry_N2ODirect_Equations.VEERG_4_6_1_3__1_TotalAnnualDirectNitrousOxideEmissionsFromMMS(R197, _xlfn.XLOOKUP($O237, $D$138:$D$145,$E$138:$E$145), $I$217)</f>
        <v>0</v>
      </c>
      <c r="S237" s="52" cm="1">
        <f t="array" ref="S237">MMS_Poultry_N2ODirect_Equations.VEERG_4_6_1_3__1_TotalAnnualDirectNitrousOxideEmissionsFromMMS(S197, _xlfn.XLOOKUP($O237, $D$138:$D$145,$E$138:$E$145), $I$217)</f>
        <v>0</v>
      </c>
      <c r="T237" s="2"/>
    </row>
    <row r="238" spans="4:20" ht="20.100000000000001" customHeight="1" x14ac:dyDescent="0.25">
      <c r="D238" s="52"/>
      <c r="E238" s="52" t="str">
        <f>'Input - Poultry'!$D$49</f>
        <v>Direct application</v>
      </c>
      <c r="F238" s="52" t="s">
        <v>131</v>
      </c>
      <c r="G238" s="52" t="s">
        <v>131</v>
      </c>
      <c r="H238" s="52" t="s">
        <v>131</v>
      </c>
      <c r="I238" s="52" t="s">
        <v>131</v>
      </c>
      <c r="N238" s="52"/>
      <c r="O238" s="52" t="str">
        <f>'Input - Poultry'!$D$49</f>
        <v>Direct application</v>
      </c>
      <c r="P238" s="52" t="s">
        <v>131</v>
      </c>
      <c r="Q238" s="52" t="s">
        <v>131</v>
      </c>
      <c r="R238" s="52" t="s">
        <v>131</v>
      </c>
      <c r="S238" s="52" t="s">
        <v>131</v>
      </c>
    </row>
    <row r="239" spans="4:20" ht="20.100000000000001" customHeight="1" x14ac:dyDescent="0.25">
      <c r="D239" s="52" t="str">
        <f>'Input - Poultry'!$D$32</f>
        <v>Manure stored in house</v>
      </c>
      <c r="E239" s="52" t="str">
        <f>'Input - Poultry'!$D$52</f>
        <v>Solid storage</v>
      </c>
      <c r="F239" s="52" cm="1">
        <f t="array" ref="F239">MMS_Poultry_N2ODirect_Equations.VEERG_4_6_1_3__1_TotalAnnualDirectNitrousOxideEmissionsFromMMS(F199, _xlfn.XLOOKUP($E239, $D$138:$D$145,$E$138:$E$145), $I$217)</f>
        <v>4.7987498742857158E-6</v>
      </c>
      <c r="G239" s="52" cm="1">
        <f t="array" ref="G239">MMS_Poultry_N2ODirect_Equations.VEERG_4_6_1_3__1_TotalAnnualDirectNitrousOxideEmissionsFromMMS(G199, _xlfn.XLOOKUP($E239, $D$138:$D$145,$E$138:$E$145), $I$217)</f>
        <v>5.1221154034285713E-6</v>
      </c>
      <c r="H239" s="52" cm="1">
        <f t="array" ref="H239">MMS_Poultry_N2ODirect_Equations.VEERG_4_6_1_3__1_TotalAnnualDirectNitrousOxideEmissionsFromMMS(H199, _xlfn.XLOOKUP($E239, $D$138:$D$145,$E$138:$E$145), $I$217)</f>
        <v>6.0126018102857129E-6</v>
      </c>
      <c r="I239" s="52" cm="1">
        <f t="array" ref="I239">MMS_Poultry_N2ODirect_Equations.VEERG_4_6_1_3__1_TotalAnnualDirectNitrousOxideEmissionsFromMMS(I199, _xlfn.XLOOKUP($E239, $D$138:$D$145,$E$138:$E$145), $I$217)</f>
        <v>5.1221154034285713E-6</v>
      </c>
      <c r="J239" s="2"/>
      <c r="N239" s="52" t="str">
        <f>'Input - Poultry'!$D$32</f>
        <v>Manure stored in house</v>
      </c>
      <c r="O239" s="52" t="str">
        <f>'Input - Poultry'!$D$52</f>
        <v>Solid storage</v>
      </c>
      <c r="P239" s="52" cm="1">
        <f t="array" ref="P239">MMS_Poultry_N2ODirect_Equations.VEERG_4_6_1_3__1_TotalAnnualDirectNitrousOxideEmissionsFromMMS(P199, _xlfn.XLOOKUP($O239, $D$138:$D$145,$E$138:$E$145), $I$217)</f>
        <v>4.7987498742857158E-6</v>
      </c>
      <c r="Q239" s="52" cm="1">
        <f t="array" ref="Q239">MMS_Poultry_N2ODirect_Equations.VEERG_4_6_1_3__1_TotalAnnualDirectNitrousOxideEmissionsFromMMS(Q199, _xlfn.XLOOKUP($O239, $D$138:$D$145,$E$138:$E$145), $I$217)</f>
        <v>5.1221154034285713E-6</v>
      </c>
      <c r="R239" s="52" cm="1">
        <f t="array" ref="R239">MMS_Poultry_N2ODirect_Equations.VEERG_4_6_1_3__1_TotalAnnualDirectNitrousOxideEmissionsFromMMS(R199, _xlfn.XLOOKUP($O239, $D$138:$D$145,$E$138:$E$145), $I$217)</f>
        <v>6.0126018102857129E-6</v>
      </c>
      <c r="S239" s="52" cm="1">
        <f t="array" ref="S239">MMS_Poultry_N2ODirect_Equations.VEERG_4_6_1_3__1_TotalAnnualDirectNitrousOxideEmissionsFromMMS(S199, _xlfn.XLOOKUP($O239, $D$138:$D$145,$E$138:$E$145), $I$217)</f>
        <v>5.1221154034285713E-6</v>
      </c>
      <c r="T239" s="2"/>
    </row>
    <row r="240" spans="4:20" ht="20.100000000000001" customHeight="1" x14ac:dyDescent="0.25">
      <c r="D240" s="52"/>
      <c r="E240" s="52" t="str">
        <f>'Input - Poultry'!$D$53</f>
        <v>Composting (passive windrow)</v>
      </c>
      <c r="F240" s="52" cm="1">
        <f t="array" ref="F240">MMS_Poultry_N2ODirect_Equations.VEERG_4_6_1_3__1_TotalAnnualDirectNitrousOxideEmissionsFromMMS(F200, _xlfn.XLOOKUP($E240, $D$138:$D$145,$E$138:$E$145), $I$217)</f>
        <v>9.5974997485714317E-6</v>
      </c>
      <c r="G240" s="52" cm="1">
        <f t="array" ref="G240">MMS_Poultry_N2ODirect_Equations.VEERG_4_6_1_3__1_TotalAnnualDirectNitrousOxideEmissionsFromMMS(G200, _xlfn.XLOOKUP($E240, $D$138:$D$145,$E$138:$E$145), $I$217)</f>
        <v>1.0244230806857143E-5</v>
      </c>
      <c r="H240" s="52" cm="1">
        <f t="array" ref="H240">MMS_Poultry_N2ODirect_Equations.VEERG_4_6_1_3__1_TotalAnnualDirectNitrousOxideEmissionsFromMMS(H200, _xlfn.XLOOKUP($E240, $D$138:$D$145,$E$138:$E$145), $I$217)</f>
        <v>1.2025203620571426E-5</v>
      </c>
      <c r="I240" s="52" cm="1">
        <f t="array" ref="I240">MMS_Poultry_N2ODirect_Equations.VEERG_4_6_1_3__1_TotalAnnualDirectNitrousOxideEmissionsFromMMS(I200, _xlfn.XLOOKUP($E240, $D$138:$D$145,$E$138:$E$145), $I$217)</f>
        <v>1.0244230806857143E-5</v>
      </c>
      <c r="J240" s="2"/>
      <c r="N240" s="52"/>
      <c r="O240" s="52" t="str">
        <f>'Input - Poultry'!$D$53</f>
        <v>Composting (passive windrow)</v>
      </c>
      <c r="P240" s="52" cm="1">
        <f t="array" ref="P240">MMS_Poultry_N2ODirect_Equations.VEERG_4_6_1_3__1_TotalAnnualDirectNitrousOxideEmissionsFromMMS(P200, _xlfn.XLOOKUP($O240, $D$138:$D$145,$E$138:$E$145), $I$217)</f>
        <v>9.5974997485714317E-6</v>
      </c>
      <c r="Q240" s="52" cm="1">
        <f t="array" ref="Q240">MMS_Poultry_N2ODirect_Equations.VEERG_4_6_1_3__1_TotalAnnualDirectNitrousOxideEmissionsFromMMS(Q200, _xlfn.XLOOKUP($O240, $D$138:$D$145,$E$138:$E$145), $I$217)</f>
        <v>1.0244230806857143E-5</v>
      </c>
      <c r="R240" s="52" cm="1">
        <f t="array" ref="R240">MMS_Poultry_N2ODirect_Equations.VEERG_4_6_1_3__1_TotalAnnualDirectNitrousOxideEmissionsFromMMS(R200, _xlfn.XLOOKUP($O240, $D$138:$D$145,$E$138:$E$145), $I$217)</f>
        <v>1.2025203620571426E-5</v>
      </c>
      <c r="S240" s="52" cm="1">
        <f t="array" ref="S240">MMS_Poultry_N2ODirect_Equations.VEERG_4_6_1_3__1_TotalAnnualDirectNitrousOxideEmissionsFromMMS(S200, _xlfn.XLOOKUP($O240, $D$138:$D$145,$E$138:$E$145), $I$217)</f>
        <v>1.0244230806857143E-5</v>
      </c>
      <c r="T240" s="2"/>
    </row>
    <row r="241" spans="1:20" ht="20.100000000000001" customHeight="1" x14ac:dyDescent="0.25">
      <c r="D241" s="52"/>
      <c r="E241" s="52" t="str">
        <f>'Input - Poultry'!$D$54</f>
        <v>Digester / covered lagoons</v>
      </c>
      <c r="F241" s="52" cm="1">
        <f t="array" ref="F241">MMS_Poultry_N2ODirect_Equations.VEERG_4_6_1_3__1_TotalAnnualDirectNitrousOxideEmissionsFromMMS(F201, _xlfn.XLOOKUP($E241, $D$138:$D$145,$E$138:$E$145), $I$217)</f>
        <v>0</v>
      </c>
      <c r="G241" s="52" cm="1">
        <f t="array" ref="G241">MMS_Poultry_N2ODirect_Equations.VEERG_4_6_1_3__1_TotalAnnualDirectNitrousOxideEmissionsFromMMS(G201, _xlfn.XLOOKUP($E241, $D$138:$D$145,$E$138:$E$145), $I$217)</f>
        <v>0</v>
      </c>
      <c r="H241" s="52" cm="1">
        <f t="array" ref="H241">MMS_Poultry_N2ODirect_Equations.VEERG_4_6_1_3__1_TotalAnnualDirectNitrousOxideEmissionsFromMMS(H201, _xlfn.XLOOKUP($E241, $D$138:$D$145,$E$138:$E$145), $I$217)</f>
        <v>0</v>
      </c>
      <c r="I241" s="52" cm="1">
        <f t="array" ref="I241">MMS_Poultry_N2ODirect_Equations.VEERG_4_6_1_3__1_TotalAnnualDirectNitrousOxideEmissionsFromMMS(I201, _xlfn.XLOOKUP($E241, $D$138:$D$145,$E$138:$E$145), $I$217)</f>
        <v>0</v>
      </c>
      <c r="J241" s="2"/>
      <c r="N241" s="52"/>
      <c r="O241" s="52" t="str">
        <f>'Input - Poultry'!$D$54</f>
        <v>Digester / covered lagoons</v>
      </c>
      <c r="P241" s="52" cm="1">
        <f t="array" ref="P241">MMS_Poultry_N2ODirect_Equations.VEERG_4_6_1_3__1_TotalAnnualDirectNitrousOxideEmissionsFromMMS(P201, _xlfn.XLOOKUP($O241, $D$138:$D$145,$E$138:$E$145), $I$217)</f>
        <v>0</v>
      </c>
      <c r="Q241" s="52" cm="1">
        <f t="array" ref="Q241">MMS_Poultry_N2ODirect_Equations.VEERG_4_6_1_3__1_TotalAnnualDirectNitrousOxideEmissionsFromMMS(Q201, _xlfn.XLOOKUP($O241, $D$138:$D$145,$E$138:$E$145), $I$217)</f>
        <v>0</v>
      </c>
      <c r="R241" s="52" cm="1">
        <f t="array" ref="R241">MMS_Poultry_N2ODirect_Equations.VEERG_4_6_1_3__1_TotalAnnualDirectNitrousOxideEmissionsFromMMS(R201, _xlfn.XLOOKUP($O241, $D$138:$D$145,$E$138:$E$145), $I$217)</f>
        <v>0</v>
      </c>
      <c r="S241" s="52" cm="1">
        <f t="array" ref="S241">MMS_Poultry_N2ODirect_Equations.VEERG_4_6_1_3__1_TotalAnnualDirectNitrousOxideEmissionsFromMMS(S201, _xlfn.XLOOKUP($O241, $D$138:$D$145,$E$138:$E$145), $I$217)</f>
        <v>0</v>
      </c>
      <c r="T241" s="2"/>
    </row>
    <row r="242" spans="1:20" ht="20.100000000000001" customHeight="1" x14ac:dyDescent="0.25">
      <c r="D242" s="52"/>
      <c r="E242" s="52" t="str">
        <f>'Input - Poultry'!$D$55</f>
        <v>Direct processing</v>
      </c>
      <c r="F242" s="52" cm="1">
        <f t="array" ref="F242">MMS_Poultry_N2ODirect_Equations.VEERG_4_6_1_3__1_TotalAnnualDirectNitrousOxideEmissionsFromMMS(F202, _xlfn.XLOOKUP($E242, $D$138:$D$145,$E$138:$E$145), $I$217)</f>
        <v>0</v>
      </c>
      <c r="G242" s="52" cm="1">
        <f t="array" ref="G242">MMS_Poultry_N2ODirect_Equations.VEERG_4_6_1_3__1_TotalAnnualDirectNitrousOxideEmissionsFromMMS(G202, _xlfn.XLOOKUP($E242, $D$138:$D$145,$E$138:$E$145), $I$217)</f>
        <v>0</v>
      </c>
      <c r="H242" s="52" cm="1">
        <f t="array" ref="H242">MMS_Poultry_N2ODirect_Equations.VEERG_4_6_1_3__1_TotalAnnualDirectNitrousOxideEmissionsFromMMS(H202, _xlfn.XLOOKUP($E242, $D$138:$D$145,$E$138:$E$145), $I$217)</f>
        <v>0</v>
      </c>
      <c r="I242" s="52" cm="1">
        <f t="array" ref="I242">MMS_Poultry_N2ODirect_Equations.VEERG_4_6_1_3__1_TotalAnnualDirectNitrousOxideEmissionsFromMMS(I202, _xlfn.XLOOKUP($E242, $D$138:$D$145,$E$138:$E$145), $I$217)</f>
        <v>0</v>
      </c>
      <c r="J242" s="2"/>
      <c r="N242" s="52"/>
      <c r="O242" s="52" t="str">
        <f>'Input - Poultry'!$D$55</f>
        <v>Direct processing</v>
      </c>
      <c r="P242" s="52" cm="1">
        <f t="array" ref="P242">MMS_Poultry_N2ODirect_Equations.VEERG_4_6_1_3__1_TotalAnnualDirectNitrousOxideEmissionsFromMMS(P202, _xlfn.XLOOKUP($O242, $D$138:$D$145,$E$138:$E$145), $I$217)</f>
        <v>0</v>
      </c>
      <c r="Q242" s="52" cm="1">
        <f t="array" ref="Q242">MMS_Poultry_N2ODirect_Equations.VEERG_4_6_1_3__1_TotalAnnualDirectNitrousOxideEmissionsFromMMS(Q202, _xlfn.XLOOKUP($O242, $D$138:$D$145,$E$138:$E$145), $I$217)</f>
        <v>0</v>
      </c>
      <c r="R242" s="52" cm="1">
        <f t="array" ref="R242">MMS_Poultry_N2ODirect_Equations.VEERG_4_6_1_3__1_TotalAnnualDirectNitrousOxideEmissionsFromMMS(R202, _xlfn.XLOOKUP($O242, $D$138:$D$145,$E$138:$E$145), $I$217)</f>
        <v>0</v>
      </c>
      <c r="S242" s="52" cm="1">
        <f t="array" ref="S242">MMS_Poultry_N2ODirect_Equations.VEERG_4_6_1_3__1_TotalAnnualDirectNitrousOxideEmissionsFromMMS(S202, _xlfn.XLOOKUP($O242, $D$138:$D$145,$E$138:$E$145), $I$217)</f>
        <v>0</v>
      </c>
      <c r="T242" s="2"/>
    </row>
    <row r="243" spans="1:20" ht="20.100000000000001" customHeight="1" x14ac:dyDescent="0.25">
      <c r="D243" s="52"/>
      <c r="E243" s="52" t="str">
        <f>'Input - Poultry'!$D$56</f>
        <v>Direct application</v>
      </c>
      <c r="F243" s="52" t="s">
        <v>131</v>
      </c>
      <c r="G243" s="52" t="s">
        <v>131</v>
      </c>
      <c r="H243" s="52" t="s">
        <v>131</v>
      </c>
      <c r="I243" s="52" t="s">
        <v>131</v>
      </c>
      <c r="N243" s="52"/>
      <c r="O243" s="52" t="str">
        <f>'Input - Poultry'!$D$56</f>
        <v>Direct application</v>
      </c>
      <c r="P243" s="52" t="s">
        <v>131</v>
      </c>
      <c r="Q243" s="52" t="s">
        <v>131</v>
      </c>
      <c r="R243" s="52" t="s">
        <v>131</v>
      </c>
      <c r="S243" s="52" t="s">
        <v>131</v>
      </c>
    </row>
    <row r="244" spans="1:20" ht="20.100000000000001" customHeight="1" x14ac:dyDescent="0.25"/>
    <row r="245" spans="1:20" ht="20.100000000000001" customHeight="1" x14ac:dyDescent="0.25">
      <c r="D245" s="99" t="s">
        <v>96</v>
      </c>
      <c r="E245" s="100">
        <f>SUM(F225:I243)</f>
        <v>5.7674954756571411E-4</v>
      </c>
      <c r="F245" s="101" t="str">
        <f>$E$213</f>
        <v>t N2O</v>
      </c>
      <c r="N245" s="99" t="s">
        <v>96</v>
      </c>
      <c r="O245" s="100">
        <f>SUM(P225:S243)</f>
        <v>5.7674954756571411E-4</v>
      </c>
      <c r="P245" s="101" t="str">
        <f>$E$213</f>
        <v>t N2O</v>
      </c>
    </row>
    <row r="246" spans="1:20" ht="20.100000000000001" customHeight="1" x14ac:dyDescent="0.25"/>
    <row r="247" spans="1:20" ht="20.100000000000001" customHeight="1" x14ac:dyDescent="0.25">
      <c r="D247" s="57" t="str" cm="1">
        <f t="array" ref="D247:E248">Common_Equations.Common_ConvertN2OToCO2e_Arguments()</f>
        <v>EN2O</v>
      </c>
      <c r="E247" s="58" t="str">
        <v>Nitrous oxide emissions (t N2O)</v>
      </c>
      <c r="F247" s="102"/>
      <c r="G247" s="52">
        <f>E245</f>
        <v>5.7674954756571411E-4</v>
      </c>
      <c r="N247" s="57" t="str" cm="1">
        <f t="array" ref="N247:O248">Common_Equations.Common_ConvertN2OToCO2e_Arguments()</f>
        <v>EN2O</v>
      </c>
      <c r="O247" s="58" t="str">
        <v>Nitrous oxide emissions (t N2O)</v>
      </c>
      <c r="P247" s="102"/>
      <c r="Q247" s="52">
        <f>O245</f>
        <v>5.7674954756571411E-4</v>
      </c>
    </row>
    <row r="248" spans="1:20" ht="20.100000000000001" customHeight="1" x14ac:dyDescent="0.25">
      <c r="D248" s="57" t="str">
        <v>GWPN2O</v>
      </c>
      <c r="E248" s="58" t="str">
        <v>Global warming potential for nitrous oxide (t CO2-e / t N2O)</v>
      </c>
      <c r="F248" s="102"/>
      <c r="G248" s="52">
        <f>Common_InputFunctions.Utility_LookupValueInTableNumber("N2O", Table_GWPData[Gas],Table_GWPData[CO2-e factor])</f>
        <v>265</v>
      </c>
      <c r="N248" s="57" t="str">
        <v>GWPN2O</v>
      </c>
      <c r="O248" s="58" t="str">
        <v>Global warming potential for nitrous oxide (t CO2-e / t N2O)</v>
      </c>
      <c r="P248" s="102"/>
      <c r="Q248" s="52">
        <f>Common_InputFunctions.Utility_LookupValueInTableNumber("N2O", Table_GWPData[Gas],Table_GWPData[CO2-e factor])</f>
        <v>265</v>
      </c>
    </row>
    <row r="249" spans="1:20" ht="20.100000000000001" customHeight="1" x14ac:dyDescent="0.25"/>
    <row r="250" spans="1:20" ht="20.100000000000001" customHeight="1" x14ac:dyDescent="0.25">
      <c r="A250" s="145" t="str">
        <f>HYPERLINK("#A1", "▲ Back to top")</f>
        <v>▲ Back to top</v>
      </c>
      <c r="D250" s="45" t="s">
        <v>93</v>
      </c>
      <c r="E250" s="45" cm="1">
        <f t="array" ref="E250">Common_Equations.Common_ConvertN2OToCO2e(G247,G248)</f>
        <v>0.15283863010491425</v>
      </c>
      <c r="F250" s="103" t="str" cm="1">
        <f t="array" ref="F250">Common_Equations.Common_ConvertN2OToCO2e_Unit()</f>
        <v>t CO2e</v>
      </c>
      <c r="N250" s="45" t="s">
        <v>93</v>
      </c>
      <c r="O250" s="45" cm="1">
        <f t="array" ref="O250">Common_Equations.Common_ConvertN2OToCO2e(Q247,Q248)</f>
        <v>0.15283863010491425</v>
      </c>
      <c r="P250" s="103"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U165"/>
  <sheetViews>
    <sheetView showGridLines="0" topLeftCell="A70" workbookViewId="0">
      <selection activeCell="O96" sqref="O9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273</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A6" s="16"/>
      <c r="D6" s="5" t="str" cm="1">
        <f t="array" ref="D6">MMS_Poultry_AtmosphericDeposition_Equations.VEERG_4_6_1_5__2_TotalNitrogenVolatilisedFromMMS_Source()</f>
        <v>VEERG 2026: 4.6.1.5, Equation (2)</v>
      </c>
    </row>
    <row r="7" spans="1:21" ht="20.100000000000001" customHeight="1" x14ac:dyDescent="0.25">
      <c r="A7" s="20" t="s">
        <v>1</v>
      </c>
      <c r="D7" s="13" t="s">
        <v>23</v>
      </c>
      <c r="E7" s="13" t="str" cm="1">
        <f t="array" aca="1" ref="E7" ca="1">Common_InputFunctions.Utility_DisplayFunctionName(F57)</f>
        <v>=MMS_Poultry_AtmosphericDeposition_Equations.VEERG_4_6_1_5__2_TotalNitrogenVolatilisedFromMMS</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MMS_Poultry_AtmosphericDeposition_Equations.VEERG_4_6_1_5__2_TotalNitrogenVolatilisedFromMMS_Variable()</f>
        <v>MMS_ATMOS</v>
      </c>
    </row>
    <row r="11" spans="1:21" ht="20.100000000000001" customHeight="1" x14ac:dyDescent="0.25">
      <c r="A11" s="19" t="s">
        <v>70</v>
      </c>
      <c r="D11" s="53" t="s">
        <v>16</v>
      </c>
      <c r="E11" s="54" t="str" cm="1">
        <f t="array" ref="E11">MMS_Poultry_AtmosphericDeposition_Equations.VEERG_4_6_1_5__2_TotalNitrogenVolatilisedFromMMS_Unit()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4">_xlfn.CHOOSECOLS(MMS_Poultry_AtmosphericDeposition_Equations.VEERG_4_6_1_5__2_TotalNitrogenVolatilisedFromMMS_Arguments(),1,2)</f>
        <v>MN_jkmT</v>
      </c>
      <c r="E13" s="144" t="str">
        <v>nitrogen in each treatment stage MMS (excluding MN_jkm13T2)</v>
      </c>
      <c r="F13" s="143"/>
      <c r="G13" s="141" t="str" cm="1">
        <f t="array" ref="G13:H14">_xlfn.CHOOSECOLS(MMS_Poultry_AtmosphericDeposition_Equations.VEERG_4_6_1_5__2_TotalNitrogenVolatilisedFromMMS_Arguments(),3,4)</f>
        <v>kg N</v>
      </c>
      <c r="H13" s="140" t="str">
        <v>Calculated from 4.6.1.3 (2)(6)</v>
      </c>
      <c r="I13" s="142" t="str" cm="1">
        <f t="array" aca="1" ref="I13" ca="1">HYPERLINK(Common_InputFunctions.Utility_SourceHyperlink($D$19),$D$19)</f>
        <v>M1_Table_MN_j_k_m_T</v>
      </c>
    </row>
    <row r="14" spans="1:21" ht="20.100000000000001" customHeight="1" x14ac:dyDescent="0.25">
      <c r="A14" s="129" t="str">
        <f>HYPERLINK("#'4.6.1.5-6 Atmos Dep'!A1", "4.6.1.5-6 Atmospheric deposition")</f>
        <v>4.6.1.5-6 Atmospheric deposition</v>
      </c>
      <c r="D14" s="141" t="str">
        <v>FracGASM_mT</v>
      </c>
      <c r="E14" s="144" t="str">
        <v>fraction of N volatilised in each MMS</v>
      </c>
      <c r="F14" s="143"/>
      <c r="G14" s="141" t="str">
        <v>(kg NH3-N + NOx-N)/kg N</v>
      </c>
      <c r="H14" s="140" t="str">
        <v>Constant</v>
      </c>
      <c r="I14" s="142" t="str" cm="1">
        <f t="array" aca="1" ref="I14" ca="1">HYPERLINK(Common_InputFunctions.Utility_SourceHyperlink($D$42),$D$42)</f>
        <v>Table_FracGASM_m_T</v>
      </c>
    </row>
    <row r="15" spans="1:21" ht="20.100000000000001" customHeight="1" x14ac:dyDescent="0.25">
      <c r="A15" s="17" t="str">
        <f>HYPERLINK("#'4.6.1.7-8 Leaching and runoff'!A1", "4.6.1.7-8 Leaching &amp; runoff")</f>
        <v>4.6.1.7-8 Leaching &amp; runoff</v>
      </c>
    </row>
    <row r="16" spans="1:21" ht="20.100000000000001" customHeight="1" x14ac:dyDescent="0.25">
      <c r="A16" s="17" t="str">
        <f>HYPERLINK("#'4.6.1.9 Manure applied to soils'!A1", "4.6.1.9 Manure applied to soils")</f>
        <v>4.6.1.9 Manure applied to soils</v>
      </c>
      <c r="D16" s="125" t="s">
        <v>347</v>
      </c>
      <c r="E16" s="90"/>
      <c r="F16" s="90"/>
      <c r="G16" s="86"/>
    </row>
    <row r="17" spans="1:20" ht="20.100000000000001" customHeight="1" x14ac:dyDescent="0.25">
      <c r="A17" s="17" t="str">
        <f>HYPERLINK("#'4.6.1.10-11 Soil direct N2O'!A1", "4.6.1.10-11 Soil direct N2O")</f>
        <v>4.6.1.10-11 Soil direct N2O</v>
      </c>
      <c r="D17" s="92" t="s">
        <v>346</v>
      </c>
      <c r="E17" s="89"/>
      <c r="F17" s="89"/>
      <c r="G17" s="87"/>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274</v>
      </c>
      <c r="N19" s="98" t="s">
        <v>280</v>
      </c>
    </row>
    <row r="20" spans="1:20" ht="20.100000000000001" customHeight="1" x14ac:dyDescent="0.25">
      <c r="D20" s="97" t="s">
        <v>275</v>
      </c>
      <c r="N20" s="97" t="s">
        <v>281</v>
      </c>
    </row>
    <row r="21" spans="1:20" ht="20.100000000000001" customHeight="1" x14ac:dyDescent="0.25">
      <c r="A21" s="18" t="s">
        <v>2</v>
      </c>
      <c r="D21" s="51" t="s">
        <v>133</v>
      </c>
      <c r="E21" s="51" t="s">
        <v>135</v>
      </c>
      <c r="F21" s="51" t="s">
        <v>194</v>
      </c>
      <c r="G21" s="51" t="s">
        <v>195</v>
      </c>
      <c r="H21" s="51" t="s">
        <v>207</v>
      </c>
      <c r="I21" s="51" t="s">
        <v>208</v>
      </c>
      <c r="N21" s="51" t="s">
        <v>133</v>
      </c>
      <c r="O21" s="51" t="s">
        <v>135</v>
      </c>
      <c r="P21" s="51" t="s">
        <v>194</v>
      </c>
      <c r="Q21" s="51" t="s">
        <v>195</v>
      </c>
      <c r="R21" s="51" t="s">
        <v>207</v>
      </c>
      <c r="S21" s="51" t="s">
        <v>208</v>
      </c>
    </row>
    <row r="22" spans="1:20" ht="20.100000000000001" customHeight="1" x14ac:dyDescent="0.25">
      <c r="A22" s="17" t="str">
        <f>HYPERLINK("#'Constants - Poultry'!A1", "Constants - Poultry")</f>
        <v>Constants - Poultry</v>
      </c>
      <c r="D22" s="52" t="str">
        <f>'Input - Poultry'!$D$30</f>
        <v>Poultry manure with bedding</v>
      </c>
      <c r="E22" s="52" t="s">
        <v>131</v>
      </c>
      <c r="F22" s="52">
        <f>'4.6.1.3-4 Direct N20'!E108</f>
        <v>5.0980800000000013</v>
      </c>
      <c r="G22" s="52">
        <f>'4.6.1.3-4 Direct N20'!F108</f>
        <v>5.4416159999999998</v>
      </c>
      <c r="H22" s="52">
        <f>'4.6.1.3-4 Direct N20'!G108</f>
        <v>6.3876479999999995</v>
      </c>
      <c r="I22" s="52">
        <f>'4.6.1.3-4 Direct N20'!H108</f>
        <v>5.4416159999999998</v>
      </c>
      <c r="J22" s="2" t="str">
        <f>$G$13</f>
        <v>kg N</v>
      </c>
      <c r="N22" s="52" t="str">
        <f>'Input - Poultry'!$D$30</f>
        <v>Poultry manure with bedding</v>
      </c>
      <c r="O22" s="52" t="s">
        <v>131</v>
      </c>
      <c r="P22" s="52">
        <f>'4.6.1.3-4 Direct N20'!O108</f>
        <v>5.0980800000000013</v>
      </c>
      <c r="Q22" s="52">
        <f>'4.6.1.3-4 Direct N20'!P108</f>
        <v>5.4416159999999998</v>
      </c>
      <c r="R22" s="52">
        <f>'4.6.1.3-4 Direct N20'!Q108</f>
        <v>6.3876479999999995</v>
      </c>
      <c r="S22" s="52">
        <f>'4.6.1.3-4 Direct N20'!R108</f>
        <v>5.4416159999999998</v>
      </c>
      <c r="T22" s="2" t="str">
        <f>$G$13</f>
        <v>kg N</v>
      </c>
    </row>
    <row r="23" spans="1:20" ht="20.100000000000001" customHeight="1" x14ac:dyDescent="0.25">
      <c r="A23" s="17" t="str">
        <f>HYPERLINK("#'Constants - Livestock'!A1", "Constants - Livestock")</f>
        <v>Constants - Livestock</v>
      </c>
      <c r="D23" s="52" t="str">
        <f>'Input - Poultry'!$D$31</f>
        <v>Belt manure removal</v>
      </c>
      <c r="E23" s="52" t="s">
        <v>131</v>
      </c>
      <c r="F23" s="52">
        <f>'4.6.1.3-4 Direct N20'!E109</f>
        <v>5.0980800000000013</v>
      </c>
      <c r="G23" s="52">
        <f>'4.6.1.3-4 Direct N20'!F109</f>
        <v>5.4416159999999998</v>
      </c>
      <c r="H23" s="52">
        <f>'4.6.1.3-4 Direct N20'!G109</f>
        <v>6.3876479999999995</v>
      </c>
      <c r="I23" s="52">
        <f>'4.6.1.3-4 Direct N20'!H109</f>
        <v>5.4416159999999998</v>
      </c>
      <c r="J23" s="2"/>
      <c r="N23" s="52" t="str">
        <f>'Input - Poultry'!$D$31</f>
        <v>Belt manure removal</v>
      </c>
      <c r="O23" s="52" t="s">
        <v>131</v>
      </c>
      <c r="P23" s="52">
        <f>'4.6.1.3-4 Direct N20'!O109</f>
        <v>5.0980800000000013</v>
      </c>
      <c r="Q23" s="52">
        <f>'4.6.1.3-4 Direct N20'!P109</f>
        <v>5.4416159999999998</v>
      </c>
      <c r="R23" s="52">
        <f>'4.6.1.3-4 Direct N20'!Q109</f>
        <v>6.3876479999999995</v>
      </c>
      <c r="S23" s="52">
        <f>'4.6.1.3-4 Direct N20'!R109</f>
        <v>5.4416159999999998</v>
      </c>
      <c r="T23" s="2"/>
    </row>
    <row r="24" spans="1:20" ht="20.100000000000001" customHeight="1" x14ac:dyDescent="0.25">
      <c r="A24" s="17" t="str">
        <f>HYPERLINK("#'Constants - Common'!A1", "Constants - Common")</f>
        <v>Constants - Common</v>
      </c>
      <c r="D24" s="52" t="str">
        <f>'Input - Poultry'!$D$32</f>
        <v>Manure stored in house</v>
      </c>
      <c r="E24" s="52" t="s">
        <v>131</v>
      </c>
      <c r="F24" s="52">
        <f>'4.6.1.3-4 Direct N20'!E110</f>
        <v>5.0980800000000013</v>
      </c>
      <c r="G24" s="52">
        <f>'4.6.1.3-4 Direct N20'!F110</f>
        <v>5.4416159999999998</v>
      </c>
      <c r="H24" s="52">
        <f>'4.6.1.3-4 Direct N20'!G110</f>
        <v>6.3876479999999995</v>
      </c>
      <c r="I24" s="52">
        <f>'4.6.1.3-4 Direct N20'!H110</f>
        <v>5.4416159999999998</v>
      </c>
      <c r="J24" s="2"/>
      <c r="N24" s="52" t="str">
        <f>'Input - Poultry'!$D$32</f>
        <v>Manure stored in house</v>
      </c>
      <c r="O24" s="52" t="s">
        <v>131</v>
      </c>
      <c r="P24" s="52">
        <f>'4.6.1.3-4 Direct N20'!O110</f>
        <v>5.0980800000000013</v>
      </c>
      <c r="Q24" s="52">
        <f>'4.6.1.3-4 Direct N20'!P110</f>
        <v>5.4416159999999998</v>
      </c>
      <c r="R24" s="52">
        <f>'4.6.1.3-4 Direct N20'!Q110</f>
        <v>6.3876479999999995</v>
      </c>
      <c r="S24" s="52">
        <f>'4.6.1.3-4 Direct N20'!R110</f>
        <v>5.4416159999999998</v>
      </c>
      <c r="T24" s="2"/>
    </row>
    <row r="25" spans="1:20" ht="20.100000000000001" customHeight="1" x14ac:dyDescent="0.25">
      <c r="A25" s="17"/>
      <c r="D25" s="52" t="str">
        <f>'Input - Poultry'!$D$33</f>
        <v>Pasture range and paddock</v>
      </c>
      <c r="E25" s="52" t="s">
        <v>131</v>
      </c>
      <c r="F25" s="52">
        <f>'4.6.1.3-4 Direct N20'!E111</f>
        <v>1.6993600000000004</v>
      </c>
      <c r="G25" s="52">
        <f>'4.6.1.3-4 Direct N20'!F111</f>
        <v>1.8138719999999999</v>
      </c>
      <c r="H25" s="52">
        <f>'4.6.1.3-4 Direct N20'!G111</f>
        <v>2.129216</v>
      </c>
      <c r="I25" s="52">
        <f>'4.6.1.3-4 Direct N20'!H111</f>
        <v>1.8138719999999999</v>
      </c>
      <c r="J25" s="2"/>
      <c r="N25" s="52" t="str">
        <f>'Input - Poultry'!$D$33</f>
        <v>Pasture range and paddock</v>
      </c>
      <c r="O25" s="52" t="s">
        <v>131</v>
      </c>
      <c r="P25" s="52">
        <f>'4.6.1.3-4 Direct N20'!O111</f>
        <v>1.6993600000000004</v>
      </c>
      <c r="Q25" s="52">
        <f>'4.6.1.3-4 Direct N20'!P111</f>
        <v>1.8138719999999999</v>
      </c>
      <c r="R25" s="52">
        <f>'4.6.1.3-4 Direct N20'!Q111</f>
        <v>2.129216</v>
      </c>
      <c r="S25" s="52">
        <f>'4.6.1.3-4 Direct N20'!R111</f>
        <v>1.8138719999999999</v>
      </c>
      <c r="T25" s="2"/>
    </row>
    <row r="26" spans="1:20" ht="20.100000000000001" customHeight="1" x14ac:dyDescent="0.25">
      <c r="D26" s="52" t="str">
        <f>'Input - Poultry'!$D$30</f>
        <v>Poultry manure with bedding</v>
      </c>
      <c r="E26" s="52" t="str">
        <f>'Input - Poultry'!$D$38</f>
        <v>Solid storage</v>
      </c>
      <c r="F26" s="52">
        <f>'4.6.1.3-4 Direct N20'!F189</f>
        <v>0.71271158400000012</v>
      </c>
      <c r="G26" s="52">
        <f>'4.6.1.3-4 Direct N20'!G189</f>
        <v>0.76073791680000002</v>
      </c>
      <c r="H26" s="52">
        <f>'4.6.1.3-4 Direct N20'!H189</f>
        <v>0.89299319039999991</v>
      </c>
      <c r="I26" s="52">
        <f>'4.6.1.3-4 Direct N20'!I189</f>
        <v>0.76073791680000002</v>
      </c>
      <c r="J26" s="2"/>
      <c r="N26" s="52" t="str">
        <f>'Input - Poultry'!$D$30</f>
        <v>Poultry manure with bedding</v>
      </c>
      <c r="O26" s="52" t="str">
        <f>'Input - Poultry'!$D$38</f>
        <v>Solid storage</v>
      </c>
      <c r="P26" s="52">
        <f>'4.6.1.3-4 Direct N20'!P189</f>
        <v>0.71271158400000012</v>
      </c>
      <c r="Q26" s="52">
        <f>'4.6.1.3-4 Direct N20'!Q189</f>
        <v>0.76073791680000002</v>
      </c>
      <c r="R26" s="52">
        <f>'4.6.1.3-4 Direct N20'!R189</f>
        <v>0.89299319039999991</v>
      </c>
      <c r="S26" s="52">
        <f>'4.6.1.3-4 Direct N20'!S189</f>
        <v>0.76073791680000002</v>
      </c>
      <c r="T26" s="2"/>
    </row>
    <row r="27" spans="1:20" ht="20.100000000000001" customHeight="1" x14ac:dyDescent="0.25">
      <c r="D27" s="52"/>
      <c r="E27" s="52" t="str">
        <f>'Input - Poultry'!$D$39</f>
        <v>Composting (passive windrow)</v>
      </c>
      <c r="F27" s="52">
        <f>'4.6.1.3-4 Direct N20'!F190</f>
        <v>0.71271158400000012</v>
      </c>
      <c r="G27" s="52">
        <f>'4.6.1.3-4 Direct N20'!G190</f>
        <v>0.76073791680000002</v>
      </c>
      <c r="H27" s="52">
        <f>'4.6.1.3-4 Direct N20'!H190</f>
        <v>0.89299319039999991</v>
      </c>
      <c r="I27" s="52">
        <f>'4.6.1.3-4 Direct N20'!I190</f>
        <v>0.76073791680000002</v>
      </c>
      <c r="J27" s="2"/>
      <c r="N27" s="52"/>
      <c r="O27" s="52" t="str">
        <f>'Input - Poultry'!$D$39</f>
        <v>Composting (passive windrow)</v>
      </c>
      <c r="P27" s="52">
        <f>'4.6.1.3-4 Direct N20'!P190</f>
        <v>0.71271158400000012</v>
      </c>
      <c r="Q27" s="52">
        <f>'4.6.1.3-4 Direct N20'!Q190</f>
        <v>0.76073791680000002</v>
      </c>
      <c r="R27" s="52">
        <f>'4.6.1.3-4 Direct N20'!R190</f>
        <v>0.89299319039999991</v>
      </c>
      <c r="S27" s="52">
        <f>'4.6.1.3-4 Direct N20'!S190</f>
        <v>0.76073791680000002</v>
      </c>
      <c r="T27" s="2"/>
    </row>
    <row r="28" spans="1:20" ht="20.100000000000001" customHeight="1" x14ac:dyDescent="0.25">
      <c r="D28" s="52"/>
      <c r="E28" s="52" t="str">
        <f>'Input - Poultry'!$D$40</f>
        <v>Digester / covered lagoons</v>
      </c>
      <c r="F28" s="52">
        <f>'4.6.1.3-4 Direct N20'!F191</f>
        <v>0.71271158400000012</v>
      </c>
      <c r="G28" s="52">
        <f>'4.6.1.3-4 Direct N20'!G191</f>
        <v>0.76073791680000002</v>
      </c>
      <c r="H28" s="52">
        <f>'4.6.1.3-4 Direct N20'!H191</f>
        <v>0.89299319039999991</v>
      </c>
      <c r="I28" s="52">
        <f>'4.6.1.3-4 Direct N20'!I191</f>
        <v>0.76073791680000002</v>
      </c>
      <c r="J28" s="2"/>
      <c r="N28" s="52"/>
      <c r="O28" s="52" t="str">
        <f>'Input - Poultry'!$D$40</f>
        <v>Digester / covered lagoons</v>
      </c>
      <c r="P28" s="52">
        <f>'4.6.1.3-4 Direct N20'!P191</f>
        <v>0.71271158400000012</v>
      </c>
      <c r="Q28" s="52">
        <f>'4.6.1.3-4 Direct N20'!Q191</f>
        <v>0.76073791680000002</v>
      </c>
      <c r="R28" s="52">
        <f>'4.6.1.3-4 Direct N20'!R191</f>
        <v>0.89299319039999991</v>
      </c>
      <c r="S28" s="52">
        <f>'4.6.1.3-4 Direct N20'!S191</f>
        <v>0.76073791680000002</v>
      </c>
      <c r="T28" s="2"/>
    </row>
    <row r="29" spans="1:20" ht="20.100000000000001" customHeight="1" x14ac:dyDescent="0.25">
      <c r="D29" s="52"/>
      <c r="E29" s="52" t="str">
        <f>'Input - Poultry'!$D$41</f>
        <v>Direct processing</v>
      </c>
      <c r="F29" s="52">
        <f>'4.6.1.3-4 Direct N20'!F192</f>
        <v>0.71271158400000012</v>
      </c>
      <c r="G29" s="52">
        <f>'4.6.1.3-4 Direct N20'!G192</f>
        <v>0.76073791680000002</v>
      </c>
      <c r="H29" s="52">
        <f>'4.6.1.3-4 Direct N20'!H192</f>
        <v>0.89299319039999991</v>
      </c>
      <c r="I29" s="52">
        <f>'4.6.1.3-4 Direct N20'!I192</f>
        <v>0.76073791680000002</v>
      </c>
      <c r="J29" s="2"/>
      <c r="N29" s="52"/>
      <c r="O29" s="52" t="str">
        <f>'Input - Poultry'!$D$41</f>
        <v>Direct processing</v>
      </c>
      <c r="P29" s="52">
        <f>'4.6.1.3-4 Direct N20'!P192</f>
        <v>0.71271158400000012</v>
      </c>
      <c r="Q29" s="52">
        <f>'4.6.1.3-4 Direct N20'!Q192</f>
        <v>0.76073791680000002</v>
      </c>
      <c r="R29" s="52">
        <f>'4.6.1.3-4 Direct N20'!R192</f>
        <v>0.89299319039999991</v>
      </c>
      <c r="S29" s="52">
        <f>'4.6.1.3-4 Direct N20'!S192</f>
        <v>0.76073791680000002</v>
      </c>
      <c r="T29" s="2"/>
    </row>
    <row r="30" spans="1:20" ht="20.100000000000001" customHeight="1" x14ac:dyDescent="0.25">
      <c r="D30" s="52"/>
      <c r="E30" s="52" t="str">
        <f>'Input - Poultry'!$D$42</f>
        <v>Direct application</v>
      </c>
      <c r="F30" s="52">
        <f>'4.6.1.3-4 Direct N20'!F193</f>
        <v>0.71271158400000012</v>
      </c>
      <c r="G30" s="52">
        <f>'4.6.1.3-4 Direct N20'!G193</f>
        <v>0.76073791680000002</v>
      </c>
      <c r="H30" s="52">
        <f>'4.6.1.3-4 Direct N20'!H193</f>
        <v>0.89299319039999991</v>
      </c>
      <c r="I30" s="52">
        <f>'4.6.1.3-4 Direct N20'!I193</f>
        <v>0.76073791680000002</v>
      </c>
      <c r="N30" s="52"/>
      <c r="O30" s="52" t="str">
        <f>'Input - Poultry'!$D$42</f>
        <v>Direct application</v>
      </c>
      <c r="P30" s="52">
        <f>'4.6.1.3-4 Direct N20'!P193</f>
        <v>0.71271158400000012</v>
      </c>
      <c r="Q30" s="52">
        <f>'4.6.1.3-4 Direct N20'!Q193</f>
        <v>0.76073791680000002</v>
      </c>
      <c r="R30" s="52">
        <f>'4.6.1.3-4 Direct N20'!R193</f>
        <v>0.89299319039999991</v>
      </c>
      <c r="S30" s="52">
        <f>'4.6.1.3-4 Direct N20'!S193</f>
        <v>0.76073791680000002</v>
      </c>
    </row>
    <row r="31" spans="1:20" ht="20.100000000000001" customHeight="1" x14ac:dyDescent="0.25">
      <c r="D31" s="52" t="str">
        <f>'Input - Poultry'!$D$31</f>
        <v>Belt manure removal</v>
      </c>
      <c r="E31" s="52" t="str">
        <f>'Input - Poultry'!$D$45</f>
        <v>Solid storage</v>
      </c>
      <c r="F31" s="52">
        <f>'4.6.1.3-4 Direct N20'!F194</f>
        <v>0.96761558400000025</v>
      </c>
      <c r="G31" s="52">
        <f>'4.6.1.3-4 Direct N20'!G194</f>
        <v>1.0328187168</v>
      </c>
      <c r="H31" s="52">
        <f>'4.6.1.3-4 Direct N20'!H194</f>
        <v>1.2123755904</v>
      </c>
      <c r="I31" s="52">
        <f>'4.6.1.3-4 Direct N20'!I194</f>
        <v>1.0328187168</v>
      </c>
      <c r="J31" s="2"/>
      <c r="N31" s="52" t="str">
        <f>'Input - Poultry'!$D$31</f>
        <v>Belt manure removal</v>
      </c>
      <c r="O31" s="52" t="str">
        <f>'Input - Poultry'!$D$45</f>
        <v>Solid storage</v>
      </c>
      <c r="P31" s="52">
        <f>'4.6.1.3-4 Direct N20'!P194</f>
        <v>0.96761558400000025</v>
      </c>
      <c r="Q31" s="52">
        <f>'4.6.1.3-4 Direct N20'!Q194</f>
        <v>1.0328187168</v>
      </c>
      <c r="R31" s="52">
        <f>'4.6.1.3-4 Direct N20'!R194</f>
        <v>1.2123755904</v>
      </c>
      <c r="S31" s="52">
        <f>'4.6.1.3-4 Direct N20'!S194</f>
        <v>1.0328187168</v>
      </c>
      <c r="T31" s="2"/>
    </row>
    <row r="32" spans="1:20" ht="20.100000000000001" customHeight="1" x14ac:dyDescent="0.25">
      <c r="D32" s="52"/>
      <c r="E32" s="52" t="str">
        <f>'Input - Poultry'!$D$46</f>
        <v>Composting (passive windrow)</v>
      </c>
      <c r="F32" s="52">
        <f>'4.6.1.3-4 Direct N20'!F195</f>
        <v>0.96761558400000025</v>
      </c>
      <c r="G32" s="52">
        <f>'4.6.1.3-4 Direct N20'!G195</f>
        <v>1.0328187168</v>
      </c>
      <c r="H32" s="52">
        <f>'4.6.1.3-4 Direct N20'!H195</f>
        <v>1.2123755904</v>
      </c>
      <c r="I32" s="52">
        <f>'4.6.1.3-4 Direct N20'!I195</f>
        <v>1.0328187168</v>
      </c>
      <c r="J32" s="2"/>
      <c r="N32" s="52"/>
      <c r="O32" s="52" t="str">
        <f>'Input - Poultry'!$D$46</f>
        <v>Composting (passive windrow)</v>
      </c>
      <c r="P32" s="52">
        <f>'4.6.1.3-4 Direct N20'!P195</f>
        <v>0.96761558400000025</v>
      </c>
      <c r="Q32" s="52">
        <f>'4.6.1.3-4 Direct N20'!Q195</f>
        <v>1.0328187168</v>
      </c>
      <c r="R32" s="52">
        <f>'4.6.1.3-4 Direct N20'!R195</f>
        <v>1.2123755904</v>
      </c>
      <c r="S32" s="52">
        <f>'4.6.1.3-4 Direct N20'!S195</f>
        <v>1.0328187168</v>
      </c>
      <c r="T32" s="2"/>
    </row>
    <row r="33" spans="4:20" ht="20.100000000000001" customHeight="1" x14ac:dyDescent="0.25">
      <c r="D33" s="52"/>
      <c r="E33" s="52" t="str">
        <f>'Input - Poultry'!$D$47</f>
        <v>Digester / covered lagoons</v>
      </c>
      <c r="F33" s="52">
        <f>'4.6.1.3-4 Direct N20'!F196</f>
        <v>0.96761558400000025</v>
      </c>
      <c r="G33" s="52">
        <f>'4.6.1.3-4 Direct N20'!G196</f>
        <v>1.0328187168</v>
      </c>
      <c r="H33" s="52">
        <f>'4.6.1.3-4 Direct N20'!H196</f>
        <v>1.2123755904</v>
      </c>
      <c r="I33" s="52">
        <f>'4.6.1.3-4 Direct N20'!I196</f>
        <v>1.0328187168</v>
      </c>
      <c r="J33" s="2"/>
      <c r="N33" s="52"/>
      <c r="O33" s="52" t="str">
        <f>'Input - Poultry'!$D$47</f>
        <v>Digester / covered lagoons</v>
      </c>
      <c r="P33" s="52">
        <f>'4.6.1.3-4 Direct N20'!P196</f>
        <v>0.96761558400000025</v>
      </c>
      <c r="Q33" s="52">
        <f>'4.6.1.3-4 Direct N20'!Q196</f>
        <v>1.0328187168</v>
      </c>
      <c r="R33" s="52">
        <f>'4.6.1.3-4 Direct N20'!R196</f>
        <v>1.2123755904</v>
      </c>
      <c r="S33" s="52">
        <f>'4.6.1.3-4 Direct N20'!S196</f>
        <v>1.0328187168</v>
      </c>
      <c r="T33" s="2"/>
    </row>
    <row r="34" spans="4:20" ht="20.100000000000001" customHeight="1" x14ac:dyDescent="0.25">
      <c r="D34" s="52"/>
      <c r="E34" s="52" t="str">
        <f>'Input - Poultry'!$D$48</f>
        <v>Direct processing</v>
      </c>
      <c r="F34" s="52">
        <f>'4.6.1.3-4 Direct N20'!F197</f>
        <v>0.96761558400000025</v>
      </c>
      <c r="G34" s="52">
        <f>'4.6.1.3-4 Direct N20'!G197</f>
        <v>1.0328187168</v>
      </c>
      <c r="H34" s="52">
        <f>'4.6.1.3-4 Direct N20'!H197</f>
        <v>1.2123755904</v>
      </c>
      <c r="I34" s="52">
        <f>'4.6.1.3-4 Direct N20'!I197</f>
        <v>1.0328187168</v>
      </c>
      <c r="J34" s="2"/>
      <c r="N34" s="52"/>
      <c r="O34" s="52" t="str">
        <f>'Input - Poultry'!$D$48</f>
        <v>Direct processing</v>
      </c>
      <c r="P34" s="52">
        <f>'4.6.1.3-4 Direct N20'!P197</f>
        <v>0.96761558400000025</v>
      </c>
      <c r="Q34" s="52">
        <f>'4.6.1.3-4 Direct N20'!Q197</f>
        <v>1.0328187168</v>
      </c>
      <c r="R34" s="52">
        <f>'4.6.1.3-4 Direct N20'!R197</f>
        <v>1.2123755904</v>
      </c>
      <c r="S34" s="52">
        <f>'4.6.1.3-4 Direct N20'!S197</f>
        <v>1.0328187168</v>
      </c>
      <c r="T34" s="2"/>
    </row>
    <row r="35" spans="4:20" ht="20.100000000000001" customHeight="1" x14ac:dyDescent="0.25">
      <c r="D35" s="52"/>
      <c r="E35" s="52" t="str">
        <f>'Input - Poultry'!$D$49</f>
        <v>Direct application</v>
      </c>
      <c r="F35" s="52">
        <f>'4.6.1.3-4 Direct N20'!F198</f>
        <v>0.96761558400000025</v>
      </c>
      <c r="G35" s="52">
        <f>'4.6.1.3-4 Direct N20'!G198</f>
        <v>1.0328187168</v>
      </c>
      <c r="H35" s="52">
        <f>'4.6.1.3-4 Direct N20'!H198</f>
        <v>1.2123755904</v>
      </c>
      <c r="I35" s="52">
        <f>'4.6.1.3-4 Direct N20'!I198</f>
        <v>1.0328187168</v>
      </c>
      <c r="N35" s="52"/>
      <c r="O35" s="52" t="str">
        <f>'Input - Poultry'!$D$49</f>
        <v>Direct application</v>
      </c>
      <c r="P35" s="52">
        <f>'4.6.1.3-4 Direct N20'!P198</f>
        <v>0.96761558400000025</v>
      </c>
      <c r="Q35" s="52">
        <f>'4.6.1.3-4 Direct N20'!Q198</f>
        <v>1.0328187168</v>
      </c>
      <c r="R35" s="52">
        <f>'4.6.1.3-4 Direct N20'!R198</f>
        <v>1.2123755904</v>
      </c>
      <c r="S35" s="52">
        <f>'4.6.1.3-4 Direct N20'!S198</f>
        <v>1.0328187168</v>
      </c>
    </row>
    <row r="36" spans="4:20" ht="20.100000000000001" customHeight="1" x14ac:dyDescent="0.25">
      <c r="D36" s="52" t="str">
        <f>'Input - Poultry'!$D$32</f>
        <v>Manure stored in house</v>
      </c>
      <c r="E36" s="52" t="str">
        <f>'Input - Poultry'!$D$52</f>
        <v>Solid storage</v>
      </c>
      <c r="F36" s="52">
        <f>'4.6.1.3-4 Direct N20'!F199</f>
        <v>0.61074998400000013</v>
      </c>
      <c r="G36" s="52">
        <f>'4.6.1.3-4 Direct N20'!G199</f>
        <v>0.65190559679999993</v>
      </c>
      <c r="H36" s="52">
        <f>'4.6.1.3-4 Direct N20'!H199</f>
        <v>0.76524023039999989</v>
      </c>
      <c r="I36" s="52">
        <f>'4.6.1.3-4 Direct N20'!I199</f>
        <v>0.65190559679999993</v>
      </c>
      <c r="J36" s="2"/>
      <c r="N36" s="52" t="str">
        <f>'Input - Poultry'!$D$32</f>
        <v>Manure stored in house</v>
      </c>
      <c r="O36" s="52" t="str">
        <f>'Input - Poultry'!$D$52</f>
        <v>Solid storage</v>
      </c>
      <c r="P36" s="52">
        <f>'4.6.1.3-4 Direct N20'!P199</f>
        <v>0.61074998400000013</v>
      </c>
      <c r="Q36" s="52">
        <f>'4.6.1.3-4 Direct N20'!Q199</f>
        <v>0.65190559679999993</v>
      </c>
      <c r="R36" s="52">
        <f>'4.6.1.3-4 Direct N20'!R199</f>
        <v>0.76524023039999989</v>
      </c>
      <c r="S36" s="52">
        <f>'4.6.1.3-4 Direct N20'!S199</f>
        <v>0.65190559679999993</v>
      </c>
      <c r="T36" s="2"/>
    </row>
    <row r="37" spans="4:20" ht="20.100000000000001" customHeight="1" x14ac:dyDescent="0.25">
      <c r="D37" s="52"/>
      <c r="E37" s="52" t="str">
        <f>'Input - Poultry'!$D$53</f>
        <v>Composting (passive windrow)</v>
      </c>
      <c r="F37" s="52">
        <f>'4.6.1.3-4 Direct N20'!F200</f>
        <v>0.61074998400000013</v>
      </c>
      <c r="G37" s="52">
        <f>'4.6.1.3-4 Direct N20'!G200</f>
        <v>0.65190559679999993</v>
      </c>
      <c r="H37" s="52">
        <f>'4.6.1.3-4 Direct N20'!H200</f>
        <v>0.76524023039999989</v>
      </c>
      <c r="I37" s="52">
        <f>'4.6.1.3-4 Direct N20'!I200</f>
        <v>0.65190559679999993</v>
      </c>
      <c r="J37" s="2"/>
      <c r="N37" s="52"/>
      <c r="O37" s="52" t="str">
        <f>'Input - Poultry'!$D$53</f>
        <v>Composting (passive windrow)</v>
      </c>
      <c r="P37" s="52">
        <f>'4.6.1.3-4 Direct N20'!P200</f>
        <v>0.61074998400000013</v>
      </c>
      <c r="Q37" s="52">
        <f>'4.6.1.3-4 Direct N20'!Q200</f>
        <v>0.65190559679999993</v>
      </c>
      <c r="R37" s="52">
        <f>'4.6.1.3-4 Direct N20'!R200</f>
        <v>0.76524023039999989</v>
      </c>
      <c r="S37" s="52">
        <f>'4.6.1.3-4 Direct N20'!S200</f>
        <v>0.65190559679999993</v>
      </c>
      <c r="T37" s="2"/>
    </row>
    <row r="38" spans="4:20" ht="20.100000000000001" customHeight="1" x14ac:dyDescent="0.25">
      <c r="D38" s="52"/>
      <c r="E38" s="52" t="str">
        <f>'Input - Poultry'!$D$54</f>
        <v>Digester / covered lagoons</v>
      </c>
      <c r="F38" s="52">
        <f>'4.6.1.3-4 Direct N20'!F201</f>
        <v>0.61074998400000013</v>
      </c>
      <c r="G38" s="52">
        <f>'4.6.1.3-4 Direct N20'!G201</f>
        <v>0.65190559679999993</v>
      </c>
      <c r="H38" s="52">
        <f>'4.6.1.3-4 Direct N20'!H201</f>
        <v>0.76524023039999989</v>
      </c>
      <c r="I38" s="52">
        <f>'4.6.1.3-4 Direct N20'!I201</f>
        <v>0.65190559679999993</v>
      </c>
      <c r="J38" s="2"/>
      <c r="N38" s="52"/>
      <c r="O38" s="52" t="str">
        <f>'Input - Poultry'!$D$54</f>
        <v>Digester / covered lagoons</v>
      </c>
      <c r="P38" s="52">
        <f>'4.6.1.3-4 Direct N20'!P201</f>
        <v>0.61074998400000013</v>
      </c>
      <c r="Q38" s="52">
        <f>'4.6.1.3-4 Direct N20'!Q201</f>
        <v>0.65190559679999993</v>
      </c>
      <c r="R38" s="52">
        <f>'4.6.1.3-4 Direct N20'!R201</f>
        <v>0.76524023039999989</v>
      </c>
      <c r="S38" s="52">
        <f>'4.6.1.3-4 Direct N20'!S201</f>
        <v>0.65190559679999993</v>
      </c>
      <c r="T38" s="2"/>
    </row>
    <row r="39" spans="4:20" ht="20.100000000000001" customHeight="1" x14ac:dyDescent="0.25">
      <c r="D39" s="52"/>
      <c r="E39" s="52" t="str">
        <f>'Input - Poultry'!$D$55</f>
        <v>Direct processing</v>
      </c>
      <c r="F39" s="52">
        <f>'4.6.1.3-4 Direct N20'!F202</f>
        <v>0.61074998400000013</v>
      </c>
      <c r="G39" s="52">
        <f>'4.6.1.3-4 Direct N20'!G202</f>
        <v>0.65190559679999993</v>
      </c>
      <c r="H39" s="52">
        <f>'4.6.1.3-4 Direct N20'!H202</f>
        <v>0.76524023039999989</v>
      </c>
      <c r="I39" s="52">
        <f>'4.6.1.3-4 Direct N20'!I202</f>
        <v>0.65190559679999993</v>
      </c>
      <c r="J39" s="2"/>
      <c r="N39" s="52"/>
      <c r="O39" s="52" t="str">
        <f>'Input - Poultry'!$D$55</f>
        <v>Direct processing</v>
      </c>
      <c r="P39" s="52">
        <f>'4.6.1.3-4 Direct N20'!P202</f>
        <v>0.61074998400000013</v>
      </c>
      <c r="Q39" s="52">
        <f>'4.6.1.3-4 Direct N20'!Q202</f>
        <v>0.65190559679999993</v>
      </c>
      <c r="R39" s="52">
        <f>'4.6.1.3-4 Direct N20'!R202</f>
        <v>0.76524023039999989</v>
      </c>
      <c r="S39" s="52">
        <f>'4.6.1.3-4 Direct N20'!S202</f>
        <v>0.65190559679999993</v>
      </c>
      <c r="T39" s="2"/>
    </row>
    <row r="40" spans="4:20" ht="20.100000000000001" customHeight="1" x14ac:dyDescent="0.25">
      <c r="D40" s="52"/>
      <c r="E40" s="52" t="str">
        <f>'Input - Poultry'!$D$56</f>
        <v>Direct application</v>
      </c>
      <c r="F40" s="52">
        <f>'4.6.1.3-4 Direct N20'!F203</f>
        <v>0.61074998400000013</v>
      </c>
      <c r="G40" s="52">
        <f>'4.6.1.3-4 Direct N20'!G203</f>
        <v>0.65190559679999993</v>
      </c>
      <c r="H40" s="52">
        <f>'4.6.1.3-4 Direct N20'!H203</f>
        <v>0.76524023039999989</v>
      </c>
      <c r="I40" s="52">
        <f>'4.6.1.3-4 Direct N20'!I203</f>
        <v>0.65190559679999993</v>
      </c>
      <c r="N40" s="52"/>
      <c r="O40" s="52" t="str">
        <f>'Input - Poultry'!$D$56</f>
        <v>Direct application</v>
      </c>
      <c r="P40" s="52">
        <f>'4.6.1.3-4 Direct N20'!P203</f>
        <v>0.61074998400000013</v>
      </c>
      <c r="Q40" s="52">
        <f>'4.6.1.3-4 Direct N20'!Q203</f>
        <v>0.65190559679999993</v>
      </c>
      <c r="R40" s="52">
        <f>'4.6.1.3-4 Direct N20'!R203</f>
        <v>0.76524023039999989</v>
      </c>
      <c r="S40" s="52">
        <f>'4.6.1.3-4 Direct N20'!S203</f>
        <v>0.65190559679999993</v>
      </c>
    </row>
    <row r="41" spans="4:20" ht="20.100000000000001" customHeight="1" x14ac:dyDescent="0.25"/>
    <row r="42" spans="4:20" ht="20.100000000000001" customHeight="1" x14ac:dyDescent="0.25">
      <c r="D42" s="98" t="s">
        <v>276</v>
      </c>
    </row>
    <row r="43" spans="4:20" ht="20.100000000000001" customHeight="1" x14ac:dyDescent="0.25">
      <c r="D43" s="97" t="s">
        <v>290</v>
      </c>
    </row>
    <row r="44" spans="4:20" ht="20.100000000000001" customHeight="1" x14ac:dyDescent="0.25">
      <c r="D44" s="51" t="s">
        <v>133</v>
      </c>
      <c r="E44" s="51" t="s">
        <v>262</v>
      </c>
    </row>
    <row r="45" spans="4:20" ht="20.100000000000001" customHeight="1" x14ac:dyDescent="0.25">
      <c r="D45" s="52" t="str">
        <f>'Constants - Poultry'!$D$29</f>
        <v>Poultry manure with bedding</v>
      </c>
      <c r="E45" s="52"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2" t="str">
        <f>'Constants - Poultry'!$D$30</f>
        <v>Belt manure removal</v>
      </c>
      <c r="E46" s="52" cm="1">
        <f t="array" ref="E46">Common_InputFunctions.Utility_LookupValueInTableNumber(D46, Table_SourceData_Poultry_FracGASM[NIR reference],Table_SourceData_Poultry_FracGASM[FracGASMmT])</f>
        <v>0.05</v>
      </c>
    </row>
    <row r="47" spans="4:20" ht="20.100000000000001" customHeight="1" x14ac:dyDescent="0.25">
      <c r="D47" s="52" t="str">
        <f>'Constants - Poultry'!$D$31</f>
        <v>Manure stored in house</v>
      </c>
      <c r="E47" s="52" cm="1">
        <f t="array" ref="E47">Common_InputFunctions.Utility_LookupValueInTableNumber(D47, Table_SourceData_Poultry_FracGASM[NIR reference],Table_SourceData_Poultry_FracGASM[FracGASMmT])</f>
        <v>0.4</v>
      </c>
    </row>
    <row r="48" spans="4:20" ht="20.100000000000001" customHeight="1" x14ac:dyDescent="0.25">
      <c r="D48" s="52" t="str">
        <f>'Constants - Poultry'!$D$32</f>
        <v>Pasture range and paddock</v>
      </c>
      <c r="E48" s="52" cm="1">
        <f t="array" ref="E48">Common_InputFunctions.Utility_LookupValueInTableNumber(D48, Table_SourceData_Poultry_FracGASM[NIR reference],Table_SourceData_Poultry_FracGASM[FracGASMmT])</f>
        <v>0</v>
      </c>
    </row>
    <row r="49" spans="4:20" ht="20.100000000000001" customHeight="1" x14ac:dyDescent="0.25">
      <c r="D49" s="52" t="str">
        <f>'Constants - Poultry'!$D$33</f>
        <v>Solid storage</v>
      </c>
      <c r="E49" s="52" cm="1">
        <f t="array" ref="E49">Common_InputFunctions.Utility_LookupValueInTableNumber(D49, Table_SourceData_Poultry_FracGASM[NIR reference],Table_SourceData_Poultry_FracGASM[FracGASMmT])</f>
        <v>0.2</v>
      </c>
    </row>
    <row r="50" spans="4:20" ht="20.100000000000001" customHeight="1" x14ac:dyDescent="0.25">
      <c r="D50" s="52" t="str">
        <f>'Constants - Poultry'!$D$34</f>
        <v>Composting (passive windrow)</v>
      </c>
      <c r="E50" s="52" cm="1">
        <f t="array" ref="E50">Common_InputFunctions.Utility_LookupValueInTableNumber(D50, Table_SourceData_Poultry_FracGASM[NIR reference],Table_SourceData_Poultry_FracGASM[FracGASMmT])</f>
        <v>0.2</v>
      </c>
    </row>
    <row r="51" spans="4:20" ht="20.100000000000001" customHeight="1" x14ac:dyDescent="0.25">
      <c r="D51" s="52" t="str">
        <f>'Constants - Poultry'!$D$35</f>
        <v>Digester / covered lagoons</v>
      </c>
      <c r="E51" s="52" cm="1">
        <f t="array" ref="E51">Common_InputFunctions.Utility_LookupValueInTableNumber(D51, Table_SourceData_Poultry_FracGASM[NIR reference],Table_SourceData_Poultry_FracGASM[FracGASMmT])</f>
        <v>0</v>
      </c>
    </row>
    <row r="52" spans="4:20" ht="20.100000000000001" customHeight="1" x14ac:dyDescent="0.25">
      <c r="D52" s="52" t="str">
        <f>'Constants - Poultry'!$D$36</f>
        <v>Direct processing</v>
      </c>
      <c r="E52" s="52"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8" t="s">
        <v>277</v>
      </c>
      <c r="N54" s="98" t="s">
        <v>278</v>
      </c>
    </row>
    <row r="55" spans="4:20" ht="20.100000000000001" customHeight="1" x14ac:dyDescent="0.25">
      <c r="D55" s="97" t="s">
        <v>282</v>
      </c>
      <c r="N55" s="97" t="s">
        <v>279</v>
      </c>
    </row>
    <row r="56" spans="4:20" ht="20.100000000000001" customHeight="1" x14ac:dyDescent="0.25">
      <c r="D56" s="51" t="s">
        <v>133</v>
      </c>
      <c r="E56" s="51" t="s">
        <v>135</v>
      </c>
      <c r="F56" s="51" t="s">
        <v>194</v>
      </c>
      <c r="G56" s="51" t="s">
        <v>195</v>
      </c>
      <c r="H56" s="51" t="s">
        <v>207</v>
      </c>
      <c r="I56" s="51" t="s">
        <v>208</v>
      </c>
      <c r="N56" s="51" t="s">
        <v>133</v>
      </c>
      <c r="O56" s="51" t="s">
        <v>135</v>
      </c>
      <c r="P56" s="51" t="s">
        <v>194</v>
      </c>
      <c r="Q56" s="51" t="s">
        <v>195</v>
      </c>
      <c r="R56" s="51" t="s">
        <v>207</v>
      </c>
      <c r="S56" s="51" t="s">
        <v>208</v>
      </c>
    </row>
    <row r="57" spans="4:20" ht="20.100000000000001" customHeight="1" x14ac:dyDescent="0.25">
      <c r="D57" s="52" t="str">
        <f>'Input - Poultry'!$D$30</f>
        <v>Poultry manure with bedding</v>
      </c>
      <c r="E57" s="52" t="s">
        <v>131</v>
      </c>
      <c r="F57" s="52" cm="1">
        <f t="array" ref="F57">MMS_Poultry_AtmosphericDeposition_Equations.VEERG_4_6_1_5__2_TotalNitrogenVolatilisedFromMMS(F22, _xlfn.XLOOKUP($D57, $D$45:$D$52, $E$45:$E$52))</f>
        <v>1.5294240000000003</v>
      </c>
      <c r="G57" s="52" cm="1">
        <f t="array" ref="G57">MMS_Poultry_AtmosphericDeposition_Equations.VEERG_4_6_1_5__2_TotalNitrogenVolatilisedFromMMS(G22, _xlfn.XLOOKUP($D57, $D$45:$D$52, $E$45:$E$52))</f>
        <v>1.6324847999999998</v>
      </c>
      <c r="H57" s="52" cm="1">
        <f t="array" ref="H57">MMS_Poultry_AtmosphericDeposition_Equations.VEERG_4_6_1_5__2_TotalNitrogenVolatilisedFromMMS(H22, _xlfn.XLOOKUP($D57, $D$45:$D$52, $E$45:$E$52))</f>
        <v>1.9162943999999997</v>
      </c>
      <c r="I57" s="52" cm="1">
        <f t="array" ref="I57">MMS_Poultry_AtmosphericDeposition_Equations.VEERG_4_6_1_5__2_TotalNitrogenVolatilisedFromMMS(I22, _xlfn.XLOOKUP($D57, $D$45:$D$52, $E$45:$E$52))</f>
        <v>1.6324847999999998</v>
      </c>
      <c r="J57" s="2" t="str">
        <f>$E$11</f>
        <v>kg N</v>
      </c>
      <c r="N57" s="52" t="str">
        <f>'Input - Poultry'!$D$30</f>
        <v>Poultry manure with bedding</v>
      </c>
      <c r="O57" s="52" t="s">
        <v>131</v>
      </c>
      <c r="P57" s="52" cm="1">
        <f t="array" ref="P57">MMS_Poultry_AtmosphericDeposition_Equations.VEERG_4_6_1_5__2_TotalNitrogenVolatilisedFromMMS(P22, _xlfn.XLOOKUP($N57, $D$45:$D$52, $E$45:$E$52))</f>
        <v>1.5294240000000003</v>
      </c>
      <c r="Q57" s="52" cm="1">
        <f t="array" ref="Q57">MMS_Poultry_AtmosphericDeposition_Equations.VEERG_4_6_1_5__2_TotalNitrogenVolatilisedFromMMS(Q22, _xlfn.XLOOKUP($N57, $D$45:$D$52, $E$45:$E$52))</f>
        <v>1.6324847999999998</v>
      </c>
      <c r="R57" s="52" cm="1">
        <f t="array" ref="R57">MMS_Poultry_AtmosphericDeposition_Equations.VEERG_4_6_1_5__2_TotalNitrogenVolatilisedFromMMS(R22, _xlfn.XLOOKUP($N57, $D$45:$D$52, $E$45:$E$52))</f>
        <v>1.9162943999999997</v>
      </c>
      <c r="S57" s="52"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2" t="str">
        <f>'Input - Poultry'!$D$31</f>
        <v>Belt manure removal</v>
      </c>
      <c r="E58" s="52" t="s">
        <v>131</v>
      </c>
      <c r="F58" s="52" cm="1">
        <f t="array" ref="F58">MMS_Poultry_AtmosphericDeposition_Equations.VEERG_4_6_1_5__2_TotalNitrogenVolatilisedFromMMS(F23, _xlfn.XLOOKUP($D58, $D$45:$D$52, $E$45:$E$52))</f>
        <v>0.25490400000000007</v>
      </c>
      <c r="G58" s="52" cm="1">
        <f t="array" ref="G58">MMS_Poultry_AtmosphericDeposition_Equations.VEERG_4_6_1_5__2_TotalNitrogenVolatilisedFromMMS(G23, _xlfn.XLOOKUP($D58, $D$45:$D$52, $E$45:$E$52))</f>
        <v>0.27208080000000001</v>
      </c>
      <c r="H58" s="52" cm="1">
        <f t="array" ref="H58">MMS_Poultry_AtmosphericDeposition_Equations.VEERG_4_6_1_5__2_TotalNitrogenVolatilisedFromMMS(H23, _xlfn.XLOOKUP($D58, $D$45:$D$52, $E$45:$E$52))</f>
        <v>0.31938240000000001</v>
      </c>
      <c r="I58" s="52" cm="1">
        <f t="array" ref="I58">MMS_Poultry_AtmosphericDeposition_Equations.VEERG_4_6_1_5__2_TotalNitrogenVolatilisedFromMMS(I23, _xlfn.XLOOKUP($D58, $D$45:$D$52, $E$45:$E$52))</f>
        <v>0.27208080000000001</v>
      </c>
      <c r="J58" s="2"/>
      <c r="N58" s="52" t="str">
        <f>'Input - Poultry'!$D$31</f>
        <v>Belt manure removal</v>
      </c>
      <c r="O58" s="52" t="s">
        <v>131</v>
      </c>
      <c r="P58" s="52" cm="1">
        <f t="array" ref="P58">MMS_Poultry_AtmosphericDeposition_Equations.VEERG_4_6_1_5__2_TotalNitrogenVolatilisedFromMMS(P23, _xlfn.XLOOKUP($N58, $D$45:$D$52, $E$45:$E$52))</f>
        <v>0.25490400000000007</v>
      </c>
      <c r="Q58" s="52" cm="1">
        <f t="array" ref="Q58">MMS_Poultry_AtmosphericDeposition_Equations.VEERG_4_6_1_5__2_TotalNitrogenVolatilisedFromMMS(Q23, _xlfn.XLOOKUP($N58, $D$45:$D$52, $E$45:$E$52))</f>
        <v>0.27208080000000001</v>
      </c>
      <c r="R58" s="52" cm="1">
        <f t="array" ref="R58">MMS_Poultry_AtmosphericDeposition_Equations.VEERG_4_6_1_5__2_TotalNitrogenVolatilisedFromMMS(R23, _xlfn.XLOOKUP($N58, $D$45:$D$52, $E$45:$E$52))</f>
        <v>0.31938240000000001</v>
      </c>
      <c r="S58" s="52" cm="1">
        <f t="array" ref="S58">MMS_Poultry_AtmosphericDeposition_Equations.VEERG_4_6_1_5__2_TotalNitrogenVolatilisedFromMMS(S23, _xlfn.XLOOKUP($N58, $D$45:$D$52, $E$45:$E$52))</f>
        <v>0.27208080000000001</v>
      </c>
      <c r="T58" s="2"/>
    </row>
    <row r="59" spans="4:20" ht="20.100000000000001" customHeight="1" x14ac:dyDescent="0.25">
      <c r="D59" s="52" t="str">
        <f>'Input - Poultry'!$D$32</f>
        <v>Manure stored in house</v>
      </c>
      <c r="E59" s="52" t="s">
        <v>131</v>
      </c>
      <c r="F59" s="52" cm="1">
        <f t="array" ref="F59">MMS_Poultry_AtmosphericDeposition_Equations.VEERG_4_6_1_5__2_TotalNitrogenVolatilisedFromMMS(F24, _xlfn.XLOOKUP($D59, $D$45:$D$52, $E$45:$E$52))</f>
        <v>2.0392320000000006</v>
      </c>
      <c r="G59" s="52" cm="1">
        <f t="array" ref="G59">MMS_Poultry_AtmosphericDeposition_Equations.VEERG_4_6_1_5__2_TotalNitrogenVolatilisedFromMMS(G24, _xlfn.XLOOKUP($D59, $D$45:$D$52, $E$45:$E$52))</f>
        <v>2.1766464000000001</v>
      </c>
      <c r="H59" s="52" cm="1">
        <f t="array" ref="H59">MMS_Poultry_AtmosphericDeposition_Equations.VEERG_4_6_1_5__2_TotalNitrogenVolatilisedFromMMS(H24, _xlfn.XLOOKUP($D59, $D$45:$D$52, $E$45:$E$52))</f>
        <v>2.5550592000000001</v>
      </c>
      <c r="I59" s="52" cm="1">
        <f t="array" ref="I59">MMS_Poultry_AtmosphericDeposition_Equations.VEERG_4_6_1_5__2_TotalNitrogenVolatilisedFromMMS(I24, _xlfn.XLOOKUP($D59, $D$45:$D$52, $E$45:$E$52))</f>
        <v>2.1766464000000001</v>
      </c>
      <c r="J59" s="2"/>
      <c r="N59" s="52" t="str">
        <f>'Input - Poultry'!$D$32</f>
        <v>Manure stored in house</v>
      </c>
      <c r="O59" s="52" t="s">
        <v>131</v>
      </c>
      <c r="P59" s="52" cm="1">
        <f t="array" ref="P59">MMS_Poultry_AtmosphericDeposition_Equations.VEERG_4_6_1_5__2_TotalNitrogenVolatilisedFromMMS(P24, _xlfn.XLOOKUP($N59, $D$45:$D$52, $E$45:$E$52))</f>
        <v>2.0392320000000006</v>
      </c>
      <c r="Q59" s="52" cm="1">
        <f t="array" ref="Q59">MMS_Poultry_AtmosphericDeposition_Equations.VEERG_4_6_1_5__2_TotalNitrogenVolatilisedFromMMS(Q24, _xlfn.XLOOKUP($N59, $D$45:$D$52, $E$45:$E$52))</f>
        <v>2.1766464000000001</v>
      </c>
      <c r="R59" s="52" cm="1">
        <f t="array" ref="R59">MMS_Poultry_AtmosphericDeposition_Equations.VEERG_4_6_1_5__2_TotalNitrogenVolatilisedFromMMS(R24, _xlfn.XLOOKUP($N59, $D$45:$D$52, $E$45:$E$52))</f>
        <v>2.5550592000000001</v>
      </c>
      <c r="S59" s="52" cm="1">
        <f t="array" ref="S59">MMS_Poultry_AtmosphericDeposition_Equations.VEERG_4_6_1_5__2_TotalNitrogenVolatilisedFromMMS(S24, _xlfn.XLOOKUP($N59, $D$45:$D$52, $E$45:$E$52))</f>
        <v>2.1766464000000001</v>
      </c>
      <c r="T59" s="2"/>
    </row>
    <row r="60" spans="4:20" ht="20.100000000000001" customHeight="1" x14ac:dyDescent="0.25">
      <c r="D60" s="52" t="str">
        <f>'Input - Poultry'!$D$33</f>
        <v>Pasture range and paddock</v>
      </c>
      <c r="E60" s="52" t="s">
        <v>131</v>
      </c>
      <c r="F60" s="52" cm="1">
        <f t="array" ref="F60">MMS_Poultry_AtmosphericDeposition_Equations.VEERG_4_6_1_5__2_TotalNitrogenVolatilisedFromMMS(F25, _xlfn.XLOOKUP($D60, $D$45:$D$52, $E$45:$E$52))</f>
        <v>0</v>
      </c>
      <c r="G60" s="52" cm="1">
        <f t="array" ref="G60">MMS_Poultry_AtmosphericDeposition_Equations.VEERG_4_6_1_5__2_TotalNitrogenVolatilisedFromMMS(G25, _xlfn.XLOOKUP($D60, $D$45:$D$52, $E$45:$E$52))</f>
        <v>0</v>
      </c>
      <c r="H60" s="52" cm="1">
        <f t="array" ref="H60">MMS_Poultry_AtmosphericDeposition_Equations.VEERG_4_6_1_5__2_TotalNitrogenVolatilisedFromMMS(H25, _xlfn.XLOOKUP($D60, $D$45:$D$52, $E$45:$E$52))</f>
        <v>0</v>
      </c>
      <c r="I60" s="52" cm="1">
        <f t="array" ref="I60">MMS_Poultry_AtmosphericDeposition_Equations.VEERG_4_6_1_5__2_TotalNitrogenVolatilisedFromMMS(I25, _xlfn.XLOOKUP($D60, $D$45:$D$52, $E$45:$E$52))</f>
        <v>0</v>
      </c>
      <c r="J60" s="2"/>
      <c r="N60" s="52" t="str">
        <f>'Input - Poultry'!$D$33</f>
        <v>Pasture range and paddock</v>
      </c>
      <c r="O60" s="52" t="s">
        <v>131</v>
      </c>
      <c r="P60" s="52" cm="1">
        <f t="array" ref="P60">MMS_Poultry_AtmosphericDeposition_Equations.VEERG_4_6_1_5__2_TotalNitrogenVolatilisedFromMMS(P25, _xlfn.XLOOKUP($N60, $D$45:$D$52, $E$45:$E$52))</f>
        <v>0</v>
      </c>
      <c r="Q60" s="52" cm="1">
        <f t="array" ref="Q60">MMS_Poultry_AtmosphericDeposition_Equations.VEERG_4_6_1_5__2_TotalNitrogenVolatilisedFromMMS(Q25, _xlfn.XLOOKUP($N60, $D$45:$D$52, $E$45:$E$52))</f>
        <v>0</v>
      </c>
      <c r="R60" s="52" cm="1">
        <f t="array" ref="R60">MMS_Poultry_AtmosphericDeposition_Equations.VEERG_4_6_1_5__2_TotalNitrogenVolatilisedFromMMS(R25, _xlfn.XLOOKUP($N60, $D$45:$D$52, $E$45:$E$52))</f>
        <v>0</v>
      </c>
      <c r="S60" s="52" cm="1">
        <f t="array" ref="S60">MMS_Poultry_AtmosphericDeposition_Equations.VEERG_4_6_1_5__2_TotalNitrogenVolatilisedFromMMS(S25, _xlfn.XLOOKUP($N60, $D$45:$D$52, $E$45:$E$52))</f>
        <v>0</v>
      </c>
      <c r="T60" s="2"/>
    </row>
    <row r="61" spans="4:20" ht="20.100000000000001" customHeight="1" x14ac:dyDescent="0.25">
      <c r="D61" s="52" t="str">
        <f>'Input - Poultry'!$D$30</f>
        <v>Poultry manure with bedding</v>
      </c>
      <c r="E61" s="52" t="str">
        <f>'Input - Poultry'!$D$38</f>
        <v>Solid storage</v>
      </c>
      <c r="F61" s="52" cm="1">
        <f t="array" ref="F61">MMS_Poultry_AtmosphericDeposition_Equations.VEERG_4_6_1_5__2_TotalNitrogenVolatilisedFromMMS(F26, _xlfn.XLOOKUP($E61, $D$45:$D$52, $E$45:$E$52))</f>
        <v>0.14254231680000004</v>
      </c>
      <c r="G61" s="52" cm="1">
        <f t="array" ref="G61">MMS_Poultry_AtmosphericDeposition_Equations.VEERG_4_6_1_5__2_TotalNitrogenVolatilisedFromMMS(G26, _xlfn.XLOOKUP($E61, $D$45:$D$52, $E$45:$E$52))</f>
        <v>0.15214758336</v>
      </c>
      <c r="H61" s="52" cm="1">
        <f t="array" ref="H61">MMS_Poultry_AtmosphericDeposition_Equations.VEERG_4_6_1_5__2_TotalNitrogenVolatilisedFromMMS(H26, _xlfn.XLOOKUP($E61, $D$45:$D$52, $E$45:$E$52))</f>
        <v>0.17859863807999998</v>
      </c>
      <c r="I61" s="52" cm="1">
        <f t="array" ref="I61">MMS_Poultry_AtmosphericDeposition_Equations.VEERG_4_6_1_5__2_TotalNitrogenVolatilisedFromMMS(I26, _xlfn.XLOOKUP($E61, $D$45:$D$52, $E$45:$E$52))</f>
        <v>0.15214758336</v>
      </c>
      <c r="J61" s="2"/>
      <c r="N61" s="52" t="str">
        <f>'Input - Poultry'!$D$30</f>
        <v>Poultry manure with bedding</v>
      </c>
      <c r="O61" s="52" t="str">
        <f>'Input - Poultry'!$D$38</f>
        <v>Solid storage</v>
      </c>
      <c r="P61" s="52" cm="1">
        <f t="array" ref="P61">MMS_Poultry_AtmosphericDeposition_Equations.VEERG_4_6_1_5__2_TotalNitrogenVolatilisedFromMMS(P26, _xlfn.XLOOKUP($O61, $D$45:$D$52, $E$45:$E$52))</f>
        <v>0.14254231680000004</v>
      </c>
      <c r="Q61" s="52" cm="1">
        <f t="array" ref="Q61">MMS_Poultry_AtmosphericDeposition_Equations.VEERG_4_6_1_5__2_TotalNitrogenVolatilisedFromMMS(Q26, _xlfn.XLOOKUP($O61, $D$45:$D$52, $E$45:$E$52))</f>
        <v>0.15214758336</v>
      </c>
      <c r="R61" s="52" cm="1">
        <f t="array" ref="R61">MMS_Poultry_AtmosphericDeposition_Equations.VEERG_4_6_1_5__2_TotalNitrogenVolatilisedFromMMS(R26, _xlfn.XLOOKUP($O61, $D$45:$D$52, $E$45:$E$52))</f>
        <v>0.17859863807999998</v>
      </c>
      <c r="S61" s="52" cm="1">
        <f t="array" ref="S61">MMS_Poultry_AtmosphericDeposition_Equations.VEERG_4_6_1_5__2_TotalNitrogenVolatilisedFromMMS(S26, _xlfn.XLOOKUP($O61, $D$45:$D$52, $E$45:$E$52))</f>
        <v>0.15214758336</v>
      </c>
      <c r="T61" s="2"/>
    </row>
    <row r="62" spans="4:20" ht="20.100000000000001" customHeight="1" x14ac:dyDescent="0.25">
      <c r="D62" s="52"/>
      <c r="E62" s="52" t="str">
        <f>'Input - Poultry'!$D$39</f>
        <v>Composting (passive windrow)</v>
      </c>
      <c r="F62" s="52" cm="1">
        <f t="array" ref="F62">MMS_Poultry_AtmosphericDeposition_Equations.VEERG_4_6_1_5__2_TotalNitrogenVolatilisedFromMMS(F27, _xlfn.XLOOKUP($E62, $D$45:$D$52, $E$45:$E$52))</f>
        <v>0.14254231680000004</v>
      </c>
      <c r="G62" s="52" cm="1">
        <f t="array" ref="G62">MMS_Poultry_AtmosphericDeposition_Equations.VEERG_4_6_1_5__2_TotalNitrogenVolatilisedFromMMS(G27, _xlfn.XLOOKUP($E62, $D$45:$D$52, $E$45:$E$52))</f>
        <v>0.15214758336</v>
      </c>
      <c r="H62" s="52" cm="1">
        <f t="array" ref="H62">MMS_Poultry_AtmosphericDeposition_Equations.VEERG_4_6_1_5__2_TotalNitrogenVolatilisedFromMMS(H27, _xlfn.XLOOKUP($E62, $D$45:$D$52, $E$45:$E$52))</f>
        <v>0.17859863807999998</v>
      </c>
      <c r="I62" s="52" cm="1">
        <f t="array" ref="I62">MMS_Poultry_AtmosphericDeposition_Equations.VEERG_4_6_1_5__2_TotalNitrogenVolatilisedFromMMS(I27, _xlfn.XLOOKUP($E62, $D$45:$D$52, $E$45:$E$52))</f>
        <v>0.15214758336</v>
      </c>
      <c r="J62" s="2"/>
      <c r="N62" s="52"/>
      <c r="O62" s="52" t="str">
        <f>'Input - Poultry'!$D$39</f>
        <v>Composting (passive windrow)</v>
      </c>
      <c r="P62" s="52" cm="1">
        <f t="array" ref="P62">MMS_Poultry_AtmosphericDeposition_Equations.VEERG_4_6_1_5__2_TotalNitrogenVolatilisedFromMMS(P27, _xlfn.XLOOKUP($O62, $D$45:$D$52, $E$45:$E$52))</f>
        <v>0.14254231680000004</v>
      </c>
      <c r="Q62" s="52" cm="1">
        <f t="array" ref="Q62">MMS_Poultry_AtmosphericDeposition_Equations.VEERG_4_6_1_5__2_TotalNitrogenVolatilisedFromMMS(Q27, _xlfn.XLOOKUP($O62, $D$45:$D$52, $E$45:$E$52))</f>
        <v>0.15214758336</v>
      </c>
      <c r="R62" s="52" cm="1">
        <f t="array" ref="R62">MMS_Poultry_AtmosphericDeposition_Equations.VEERG_4_6_1_5__2_TotalNitrogenVolatilisedFromMMS(R27, _xlfn.XLOOKUP($O62, $D$45:$D$52, $E$45:$E$52))</f>
        <v>0.17859863807999998</v>
      </c>
      <c r="S62" s="52" cm="1">
        <f t="array" ref="S62">MMS_Poultry_AtmosphericDeposition_Equations.VEERG_4_6_1_5__2_TotalNitrogenVolatilisedFromMMS(S27, _xlfn.XLOOKUP($O62, $D$45:$D$52, $E$45:$E$52))</f>
        <v>0.15214758336</v>
      </c>
      <c r="T62" s="2"/>
    </row>
    <row r="63" spans="4:20" ht="20.100000000000001" customHeight="1" x14ac:dyDescent="0.25">
      <c r="D63" s="52"/>
      <c r="E63" s="52" t="str">
        <f>'Input - Poultry'!$D$40</f>
        <v>Digester / covered lagoons</v>
      </c>
      <c r="F63" s="52" cm="1">
        <f t="array" ref="F63">MMS_Poultry_AtmosphericDeposition_Equations.VEERG_4_6_1_5__2_TotalNitrogenVolatilisedFromMMS(F28, _xlfn.XLOOKUP($E63, $D$45:$D$52, $E$45:$E$52))</f>
        <v>0</v>
      </c>
      <c r="G63" s="52" cm="1">
        <f t="array" ref="G63">MMS_Poultry_AtmosphericDeposition_Equations.VEERG_4_6_1_5__2_TotalNitrogenVolatilisedFromMMS(G28, _xlfn.XLOOKUP($E63, $D$45:$D$52, $E$45:$E$52))</f>
        <v>0</v>
      </c>
      <c r="H63" s="52" cm="1">
        <f t="array" ref="H63">MMS_Poultry_AtmosphericDeposition_Equations.VEERG_4_6_1_5__2_TotalNitrogenVolatilisedFromMMS(H28, _xlfn.XLOOKUP($E63, $D$45:$D$52, $E$45:$E$52))</f>
        <v>0</v>
      </c>
      <c r="I63" s="52" cm="1">
        <f t="array" ref="I63">MMS_Poultry_AtmosphericDeposition_Equations.VEERG_4_6_1_5__2_TotalNitrogenVolatilisedFromMMS(I28, _xlfn.XLOOKUP($E63, $D$45:$D$52, $E$45:$E$52))</f>
        <v>0</v>
      </c>
      <c r="J63" s="2"/>
      <c r="N63" s="52"/>
      <c r="O63" s="52" t="str">
        <f>'Input - Poultry'!$D$40</f>
        <v>Digester / covered lagoons</v>
      </c>
      <c r="P63" s="52" cm="1">
        <f t="array" ref="P63">MMS_Poultry_AtmosphericDeposition_Equations.VEERG_4_6_1_5__2_TotalNitrogenVolatilisedFromMMS(P28, _xlfn.XLOOKUP($O63, $D$45:$D$52, $E$45:$E$52))</f>
        <v>0</v>
      </c>
      <c r="Q63" s="52" cm="1">
        <f t="array" ref="Q63">MMS_Poultry_AtmosphericDeposition_Equations.VEERG_4_6_1_5__2_TotalNitrogenVolatilisedFromMMS(Q28, _xlfn.XLOOKUP($O63, $D$45:$D$52, $E$45:$E$52))</f>
        <v>0</v>
      </c>
      <c r="R63" s="52" cm="1">
        <f t="array" ref="R63">MMS_Poultry_AtmosphericDeposition_Equations.VEERG_4_6_1_5__2_TotalNitrogenVolatilisedFromMMS(R28, _xlfn.XLOOKUP($O63, $D$45:$D$52, $E$45:$E$52))</f>
        <v>0</v>
      </c>
      <c r="S63" s="52" cm="1">
        <f t="array" ref="S63">MMS_Poultry_AtmosphericDeposition_Equations.VEERG_4_6_1_5__2_TotalNitrogenVolatilisedFromMMS(S28, _xlfn.XLOOKUP($O63, $D$45:$D$52, $E$45:$E$52))</f>
        <v>0</v>
      </c>
      <c r="T63" s="2"/>
    </row>
    <row r="64" spans="4:20" ht="20.100000000000001" customHeight="1" x14ac:dyDescent="0.25">
      <c r="D64" s="52"/>
      <c r="E64" s="52" t="str">
        <f>'Input - Poultry'!$D$41</f>
        <v>Direct processing</v>
      </c>
      <c r="F64" s="52" cm="1">
        <f t="array" ref="F64">MMS_Poultry_AtmosphericDeposition_Equations.VEERG_4_6_1_5__2_TotalNitrogenVolatilisedFromMMS(F29, _xlfn.XLOOKUP($E64, $D$45:$D$52, $E$45:$E$52))</f>
        <v>0</v>
      </c>
      <c r="G64" s="52" cm="1">
        <f t="array" ref="G64">MMS_Poultry_AtmosphericDeposition_Equations.VEERG_4_6_1_5__2_TotalNitrogenVolatilisedFromMMS(G29, _xlfn.XLOOKUP($E64, $D$45:$D$52, $E$45:$E$52))</f>
        <v>0</v>
      </c>
      <c r="H64" s="52" cm="1">
        <f t="array" ref="H64">MMS_Poultry_AtmosphericDeposition_Equations.VEERG_4_6_1_5__2_TotalNitrogenVolatilisedFromMMS(H29, _xlfn.XLOOKUP($E64, $D$45:$D$52, $E$45:$E$52))</f>
        <v>0</v>
      </c>
      <c r="I64" s="52" cm="1">
        <f t="array" ref="I64">MMS_Poultry_AtmosphericDeposition_Equations.VEERG_4_6_1_5__2_TotalNitrogenVolatilisedFromMMS(I29, _xlfn.XLOOKUP($E64, $D$45:$D$52, $E$45:$E$52))</f>
        <v>0</v>
      </c>
      <c r="J64" s="2"/>
      <c r="N64" s="52"/>
      <c r="O64" s="52" t="str">
        <f>'Input - Poultry'!$D$41</f>
        <v>Direct processing</v>
      </c>
      <c r="P64" s="52" cm="1">
        <f t="array" ref="P64">MMS_Poultry_AtmosphericDeposition_Equations.VEERG_4_6_1_5__2_TotalNitrogenVolatilisedFromMMS(P29, _xlfn.XLOOKUP($O64, $D$45:$D$52, $E$45:$E$52))</f>
        <v>0</v>
      </c>
      <c r="Q64" s="52" cm="1">
        <f t="array" ref="Q64">MMS_Poultry_AtmosphericDeposition_Equations.VEERG_4_6_1_5__2_TotalNitrogenVolatilisedFromMMS(Q29, _xlfn.XLOOKUP($O64, $D$45:$D$52, $E$45:$E$52))</f>
        <v>0</v>
      </c>
      <c r="R64" s="52" cm="1">
        <f t="array" ref="R64">MMS_Poultry_AtmosphericDeposition_Equations.VEERG_4_6_1_5__2_TotalNitrogenVolatilisedFromMMS(R29, _xlfn.XLOOKUP($O64, $D$45:$D$52, $E$45:$E$52))</f>
        <v>0</v>
      </c>
      <c r="S64" s="52" cm="1">
        <f t="array" ref="S64">MMS_Poultry_AtmosphericDeposition_Equations.VEERG_4_6_1_5__2_TotalNitrogenVolatilisedFromMMS(S29, _xlfn.XLOOKUP($O64, $D$45:$D$52, $E$45:$E$52))</f>
        <v>0</v>
      </c>
      <c r="T64" s="2"/>
    </row>
    <row r="65" spans="1:21" ht="20.100000000000001" customHeight="1" x14ac:dyDescent="0.25">
      <c r="D65" s="52"/>
      <c r="E65" s="52" t="str">
        <f>'Input - Poultry'!$D$42</f>
        <v>Direct application</v>
      </c>
      <c r="F65" s="52" t="s">
        <v>131</v>
      </c>
      <c r="G65" s="52" t="s">
        <v>131</v>
      </c>
      <c r="H65" s="52" t="s">
        <v>131</v>
      </c>
      <c r="I65" s="52" t="s">
        <v>131</v>
      </c>
      <c r="N65" s="52"/>
      <c r="O65" s="52" t="str">
        <f>'Input - Poultry'!$D$42</f>
        <v>Direct application</v>
      </c>
      <c r="P65" s="52" t="s">
        <v>131</v>
      </c>
      <c r="Q65" s="52" t="s">
        <v>131</v>
      </c>
      <c r="R65" s="52" t="s">
        <v>131</v>
      </c>
      <c r="S65" s="52" t="s">
        <v>131</v>
      </c>
    </row>
    <row r="66" spans="1:21" ht="20.100000000000001" customHeight="1" x14ac:dyDescent="0.25">
      <c r="D66" s="52" t="str">
        <f>'Input - Poultry'!$D$31</f>
        <v>Belt manure removal</v>
      </c>
      <c r="E66" s="52" t="str">
        <f>'Input - Poultry'!$D$45</f>
        <v>Solid storage</v>
      </c>
      <c r="F66" s="52" cm="1">
        <f t="array" ref="F66">MMS_Poultry_AtmosphericDeposition_Equations.VEERG_4_6_1_5__2_TotalNitrogenVolatilisedFromMMS(F31, _xlfn.XLOOKUP($E66, $D$45:$D$52, $E$45:$E$52))</f>
        <v>0.19352311680000006</v>
      </c>
      <c r="G66" s="52" cm="1">
        <f t="array" ref="G66">MMS_Poultry_AtmosphericDeposition_Equations.VEERG_4_6_1_5__2_TotalNitrogenVolatilisedFromMMS(G31, _xlfn.XLOOKUP($E66, $D$45:$D$52, $E$45:$E$52))</f>
        <v>0.20656374336000002</v>
      </c>
      <c r="H66" s="52" cm="1">
        <f t="array" ref="H66">MMS_Poultry_AtmosphericDeposition_Equations.VEERG_4_6_1_5__2_TotalNitrogenVolatilisedFromMMS(H31, _xlfn.XLOOKUP($E66, $D$45:$D$52, $E$45:$E$52))</f>
        <v>0.24247511808</v>
      </c>
      <c r="I66" s="52" cm="1">
        <f t="array" ref="I66">MMS_Poultry_AtmosphericDeposition_Equations.VEERG_4_6_1_5__2_TotalNitrogenVolatilisedFromMMS(I31, _xlfn.XLOOKUP($E66, $D$45:$D$52, $E$45:$E$52))</f>
        <v>0.20656374336000002</v>
      </c>
      <c r="J66" s="2"/>
      <c r="N66" s="52" t="str">
        <f>'Input - Poultry'!$D$31</f>
        <v>Belt manure removal</v>
      </c>
      <c r="O66" s="52" t="str">
        <f>'Input - Poultry'!$D$45</f>
        <v>Solid storage</v>
      </c>
      <c r="P66" s="52" cm="1">
        <f t="array" ref="P66">MMS_Poultry_AtmosphericDeposition_Equations.VEERG_4_6_1_5__2_TotalNitrogenVolatilisedFromMMS(P31, _xlfn.XLOOKUP($O66, $D$45:$D$52, $E$45:$E$52))</f>
        <v>0.19352311680000006</v>
      </c>
      <c r="Q66" s="52" cm="1">
        <f t="array" ref="Q66">MMS_Poultry_AtmosphericDeposition_Equations.VEERG_4_6_1_5__2_TotalNitrogenVolatilisedFromMMS(Q31, _xlfn.XLOOKUP($O66, $D$45:$D$52, $E$45:$E$52))</f>
        <v>0.20656374336000002</v>
      </c>
      <c r="R66" s="52" cm="1">
        <f t="array" ref="R66">MMS_Poultry_AtmosphericDeposition_Equations.VEERG_4_6_1_5__2_TotalNitrogenVolatilisedFromMMS(R31, _xlfn.XLOOKUP($O66, $D$45:$D$52, $E$45:$E$52))</f>
        <v>0.24247511808</v>
      </c>
      <c r="S66" s="52" cm="1">
        <f t="array" ref="S66">MMS_Poultry_AtmosphericDeposition_Equations.VEERG_4_6_1_5__2_TotalNitrogenVolatilisedFromMMS(S31, _xlfn.XLOOKUP($O66, $D$45:$D$52, $E$45:$E$52))</f>
        <v>0.20656374336000002</v>
      </c>
      <c r="T66" s="2"/>
    </row>
    <row r="67" spans="1:21" ht="20.100000000000001" customHeight="1" x14ac:dyDescent="0.25">
      <c r="D67" s="52"/>
      <c r="E67" s="52" t="str">
        <f>'Input - Poultry'!$D$46</f>
        <v>Composting (passive windrow)</v>
      </c>
      <c r="F67" s="52" cm="1">
        <f t="array" ref="F67">MMS_Poultry_AtmosphericDeposition_Equations.VEERG_4_6_1_5__2_TotalNitrogenVolatilisedFromMMS(F32, _xlfn.XLOOKUP($E67, $D$45:$D$52, $E$45:$E$52))</f>
        <v>0.19352311680000006</v>
      </c>
      <c r="G67" s="52" cm="1">
        <f t="array" ref="G67">MMS_Poultry_AtmosphericDeposition_Equations.VEERG_4_6_1_5__2_TotalNitrogenVolatilisedFromMMS(G32, _xlfn.XLOOKUP($E67, $D$45:$D$52, $E$45:$E$52))</f>
        <v>0.20656374336000002</v>
      </c>
      <c r="H67" s="52" cm="1">
        <f t="array" ref="H67">MMS_Poultry_AtmosphericDeposition_Equations.VEERG_4_6_1_5__2_TotalNitrogenVolatilisedFromMMS(H32, _xlfn.XLOOKUP($E67, $D$45:$D$52, $E$45:$E$52))</f>
        <v>0.24247511808</v>
      </c>
      <c r="I67" s="52" cm="1">
        <f t="array" ref="I67">MMS_Poultry_AtmosphericDeposition_Equations.VEERG_4_6_1_5__2_TotalNitrogenVolatilisedFromMMS(I32, _xlfn.XLOOKUP($E67, $D$45:$D$52, $E$45:$E$52))</f>
        <v>0.20656374336000002</v>
      </c>
      <c r="J67" s="2"/>
      <c r="N67" s="52"/>
      <c r="O67" s="52" t="str">
        <f>'Input - Poultry'!$D$46</f>
        <v>Composting (passive windrow)</v>
      </c>
      <c r="P67" s="52" cm="1">
        <f t="array" ref="P67">MMS_Poultry_AtmosphericDeposition_Equations.VEERG_4_6_1_5__2_TotalNitrogenVolatilisedFromMMS(P32, _xlfn.XLOOKUP($O67, $D$45:$D$52, $E$45:$E$52))</f>
        <v>0.19352311680000006</v>
      </c>
      <c r="Q67" s="52" cm="1">
        <f t="array" ref="Q67">MMS_Poultry_AtmosphericDeposition_Equations.VEERG_4_6_1_5__2_TotalNitrogenVolatilisedFromMMS(Q32, _xlfn.XLOOKUP($O67, $D$45:$D$52, $E$45:$E$52))</f>
        <v>0.20656374336000002</v>
      </c>
      <c r="R67" s="52" cm="1">
        <f t="array" ref="R67">MMS_Poultry_AtmosphericDeposition_Equations.VEERG_4_6_1_5__2_TotalNitrogenVolatilisedFromMMS(R32, _xlfn.XLOOKUP($O67, $D$45:$D$52, $E$45:$E$52))</f>
        <v>0.24247511808</v>
      </c>
      <c r="S67" s="52" cm="1">
        <f t="array" ref="S67">MMS_Poultry_AtmosphericDeposition_Equations.VEERG_4_6_1_5__2_TotalNitrogenVolatilisedFromMMS(S32, _xlfn.XLOOKUP($O67, $D$45:$D$52, $E$45:$E$52))</f>
        <v>0.20656374336000002</v>
      </c>
      <c r="T67" s="2"/>
    </row>
    <row r="68" spans="1:21" ht="20.100000000000001" customHeight="1" x14ac:dyDescent="0.25">
      <c r="D68" s="52"/>
      <c r="E68" s="52" t="str">
        <f>'Input - Poultry'!$D$47</f>
        <v>Digester / covered lagoons</v>
      </c>
      <c r="F68" s="52" cm="1">
        <f t="array" ref="F68">MMS_Poultry_AtmosphericDeposition_Equations.VEERG_4_6_1_5__2_TotalNitrogenVolatilisedFromMMS(F33, _xlfn.XLOOKUP($E68, $D$45:$D$52, $E$45:$E$52))</f>
        <v>0</v>
      </c>
      <c r="G68" s="52" cm="1">
        <f t="array" ref="G68">MMS_Poultry_AtmosphericDeposition_Equations.VEERG_4_6_1_5__2_TotalNitrogenVolatilisedFromMMS(G33, _xlfn.XLOOKUP($E68, $D$45:$D$52, $E$45:$E$52))</f>
        <v>0</v>
      </c>
      <c r="H68" s="52" cm="1">
        <f t="array" ref="H68">MMS_Poultry_AtmosphericDeposition_Equations.VEERG_4_6_1_5__2_TotalNitrogenVolatilisedFromMMS(H33, _xlfn.XLOOKUP($E68, $D$45:$D$52, $E$45:$E$52))</f>
        <v>0</v>
      </c>
      <c r="I68" s="52" cm="1">
        <f t="array" ref="I68">MMS_Poultry_AtmosphericDeposition_Equations.VEERG_4_6_1_5__2_TotalNitrogenVolatilisedFromMMS(I33, _xlfn.XLOOKUP($E68, $D$45:$D$52, $E$45:$E$52))</f>
        <v>0</v>
      </c>
      <c r="J68" s="2"/>
      <c r="N68" s="52"/>
      <c r="O68" s="52" t="str">
        <f>'Input - Poultry'!$D$47</f>
        <v>Digester / covered lagoons</v>
      </c>
      <c r="P68" s="52" cm="1">
        <f t="array" ref="P68">MMS_Poultry_AtmosphericDeposition_Equations.VEERG_4_6_1_5__2_TotalNitrogenVolatilisedFromMMS(P33, _xlfn.XLOOKUP($O68, $D$45:$D$52, $E$45:$E$52))</f>
        <v>0</v>
      </c>
      <c r="Q68" s="52" cm="1">
        <f t="array" ref="Q68">MMS_Poultry_AtmosphericDeposition_Equations.VEERG_4_6_1_5__2_TotalNitrogenVolatilisedFromMMS(Q33, _xlfn.XLOOKUP($O68, $D$45:$D$52, $E$45:$E$52))</f>
        <v>0</v>
      </c>
      <c r="R68" s="52" cm="1">
        <f t="array" ref="R68">MMS_Poultry_AtmosphericDeposition_Equations.VEERG_4_6_1_5__2_TotalNitrogenVolatilisedFromMMS(R33, _xlfn.XLOOKUP($O68, $D$45:$D$52, $E$45:$E$52))</f>
        <v>0</v>
      </c>
      <c r="S68" s="52" cm="1">
        <f t="array" ref="S68">MMS_Poultry_AtmosphericDeposition_Equations.VEERG_4_6_1_5__2_TotalNitrogenVolatilisedFromMMS(S33, _xlfn.XLOOKUP($O68, $D$45:$D$52, $E$45:$E$52))</f>
        <v>0</v>
      </c>
      <c r="T68" s="2"/>
    </row>
    <row r="69" spans="1:21" ht="20.100000000000001" customHeight="1" x14ac:dyDescent="0.25">
      <c r="D69" s="52"/>
      <c r="E69" s="52" t="str">
        <f>'Input - Poultry'!$D$48</f>
        <v>Direct processing</v>
      </c>
      <c r="F69" s="52" cm="1">
        <f t="array" ref="F69">MMS_Poultry_AtmosphericDeposition_Equations.VEERG_4_6_1_5__2_TotalNitrogenVolatilisedFromMMS(F34, _xlfn.XLOOKUP($E69, $D$45:$D$52, $E$45:$E$52))</f>
        <v>0</v>
      </c>
      <c r="G69" s="52" cm="1">
        <f t="array" ref="G69">MMS_Poultry_AtmosphericDeposition_Equations.VEERG_4_6_1_5__2_TotalNitrogenVolatilisedFromMMS(G34, _xlfn.XLOOKUP($E69, $D$45:$D$52, $E$45:$E$52))</f>
        <v>0</v>
      </c>
      <c r="H69" s="52" cm="1">
        <f t="array" ref="H69">MMS_Poultry_AtmosphericDeposition_Equations.VEERG_4_6_1_5__2_TotalNitrogenVolatilisedFromMMS(H34, _xlfn.XLOOKUP($E69, $D$45:$D$52, $E$45:$E$52))</f>
        <v>0</v>
      </c>
      <c r="I69" s="52" cm="1">
        <f t="array" ref="I69">MMS_Poultry_AtmosphericDeposition_Equations.VEERG_4_6_1_5__2_TotalNitrogenVolatilisedFromMMS(I34, _xlfn.XLOOKUP($E69, $D$45:$D$52, $E$45:$E$52))</f>
        <v>0</v>
      </c>
      <c r="J69" s="2"/>
      <c r="N69" s="52"/>
      <c r="O69" s="52" t="str">
        <f>'Input - Poultry'!$D$48</f>
        <v>Direct processing</v>
      </c>
      <c r="P69" s="52" cm="1">
        <f t="array" ref="P69">MMS_Poultry_AtmosphericDeposition_Equations.VEERG_4_6_1_5__2_TotalNitrogenVolatilisedFromMMS(P34, _xlfn.XLOOKUP($O69, $D$45:$D$52, $E$45:$E$52))</f>
        <v>0</v>
      </c>
      <c r="Q69" s="52" cm="1">
        <f t="array" ref="Q69">MMS_Poultry_AtmosphericDeposition_Equations.VEERG_4_6_1_5__2_TotalNitrogenVolatilisedFromMMS(Q34, _xlfn.XLOOKUP($O69, $D$45:$D$52, $E$45:$E$52))</f>
        <v>0</v>
      </c>
      <c r="R69" s="52" cm="1">
        <f t="array" ref="R69">MMS_Poultry_AtmosphericDeposition_Equations.VEERG_4_6_1_5__2_TotalNitrogenVolatilisedFromMMS(R34, _xlfn.XLOOKUP($O69, $D$45:$D$52, $E$45:$E$52))</f>
        <v>0</v>
      </c>
      <c r="S69" s="52" cm="1">
        <f t="array" ref="S69">MMS_Poultry_AtmosphericDeposition_Equations.VEERG_4_6_1_5__2_TotalNitrogenVolatilisedFromMMS(S34, _xlfn.XLOOKUP($O69, $D$45:$D$52, $E$45:$E$52))</f>
        <v>0</v>
      </c>
      <c r="T69" s="2"/>
    </row>
    <row r="70" spans="1:21" ht="20.100000000000001" customHeight="1" x14ac:dyDescent="0.25">
      <c r="D70" s="52"/>
      <c r="E70" s="52" t="str">
        <f>'Input - Poultry'!$D$49</f>
        <v>Direct application</v>
      </c>
      <c r="F70" s="52" t="s">
        <v>131</v>
      </c>
      <c r="G70" s="52" t="s">
        <v>131</v>
      </c>
      <c r="H70" s="52" t="s">
        <v>131</v>
      </c>
      <c r="I70" s="52" t="s">
        <v>131</v>
      </c>
      <c r="N70" s="52"/>
      <c r="O70" s="52" t="str">
        <f>'Input - Poultry'!$D$49</f>
        <v>Direct application</v>
      </c>
      <c r="P70" s="52" t="s">
        <v>131</v>
      </c>
      <c r="Q70" s="52" t="s">
        <v>131</v>
      </c>
      <c r="R70" s="52" t="s">
        <v>131</v>
      </c>
      <c r="S70" s="52" t="s">
        <v>131</v>
      </c>
    </row>
    <row r="71" spans="1:21" ht="20.100000000000001" customHeight="1" x14ac:dyDescent="0.25">
      <c r="D71" s="52" t="str">
        <f>'Input - Poultry'!$D$32</f>
        <v>Manure stored in house</v>
      </c>
      <c r="E71" s="52" t="str">
        <f>'Input - Poultry'!$D$52</f>
        <v>Solid storage</v>
      </c>
      <c r="F71" s="52" cm="1">
        <f t="array" ref="F71">MMS_Poultry_AtmosphericDeposition_Equations.VEERG_4_6_1_5__2_TotalNitrogenVolatilisedFromMMS(F36, _xlfn.XLOOKUP($E71, $D$45:$D$52, $E$45:$E$52))</f>
        <v>0.12214999680000004</v>
      </c>
      <c r="G71" s="52" cm="1">
        <f t="array" ref="G71">MMS_Poultry_AtmosphericDeposition_Equations.VEERG_4_6_1_5__2_TotalNitrogenVolatilisedFromMMS(G36, _xlfn.XLOOKUP($E71, $D$45:$D$52, $E$45:$E$52))</f>
        <v>0.13038111935999999</v>
      </c>
      <c r="H71" s="52" cm="1">
        <f t="array" ref="H71">MMS_Poultry_AtmosphericDeposition_Equations.VEERG_4_6_1_5__2_TotalNitrogenVolatilisedFromMMS(H36, _xlfn.XLOOKUP($E71, $D$45:$D$52, $E$45:$E$52))</f>
        <v>0.15304804608</v>
      </c>
      <c r="I71" s="52" cm="1">
        <f t="array" ref="I71">MMS_Poultry_AtmosphericDeposition_Equations.VEERG_4_6_1_5__2_TotalNitrogenVolatilisedFromMMS(I36, _xlfn.XLOOKUP($E71, $D$45:$D$52, $E$45:$E$52))</f>
        <v>0.13038111935999999</v>
      </c>
      <c r="J71" s="2"/>
      <c r="N71" s="52" t="str">
        <f>'Input - Poultry'!$D$32</f>
        <v>Manure stored in house</v>
      </c>
      <c r="O71" s="52" t="str">
        <f>'Input - Poultry'!$D$52</f>
        <v>Solid storage</v>
      </c>
      <c r="P71" s="52" cm="1">
        <f t="array" ref="P71">MMS_Poultry_AtmosphericDeposition_Equations.VEERG_4_6_1_5__2_TotalNitrogenVolatilisedFromMMS(P36, _xlfn.XLOOKUP($O71, $D$45:$D$52, $E$45:$E$52))</f>
        <v>0.12214999680000004</v>
      </c>
      <c r="Q71" s="52" cm="1">
        <f t="array" ref="Q71">MMS_Poultry_AtmosphericDeposition_Equations.VEERG_4_6_1_5__2_TotalNitrogenVolatilisedFromMMS(Q36, _xlfn.XLOOKUP($O71, $D$45:$D$52, $E$45:$E$52))</f>
        <v>0.13038111935999999</v>
      </c>
      <c r="R71" s="52" cm="1">
        <f t="array" ref="R71">MMS_Poultry_AtmosphericDeposition_Equations.VEERG_4_6_1_5__2_TotalNitrogenVolatilisedFromMMS(R36, _xlfn.XLOOKUP($O71, $D$45:$D$52, $E$45:$E$52))</f>
        <v>0.15304804608</v>
      </c>
      <c r="S71" s="52" cm="1">
        <f t="array" ref="S71">MMS_Poultry_AtmosphericDeposition_Equations.VEERG_4_6_1_5__2_TotalNitrogenVolatilisedFromMMS(S36, _xlfn.XLOOKUP($O71, $D$45:$D$52, $E$45:$E$52))</f>
        <v>0.13038111935999999</v>
      </c>
      <c r="T71" s="2"/>
    </row>
    <row r="72" spans="1:21" ht="20.100000000000001" customHeight="1" x14ac:dyDescent="0.25">
      <c r="D72" s="52"/>
      <c r="E72" s="52" t="str">
        <f>'Input - Poultry'!$D$53</f>
        <v>Composting (passive windrow)</v>
      </c>
      <c r="F72" s="52" cm="1">
        <f t="array" ref="F72">MMS_Poultry_AtmosphericDeposition_Equations.VEERG_4_6_1_5__2_TotalNitrogenVolatilisedFromMMS(F37, _xlfn.XLOOKUP($E72, $D$45:$D$52, $E$45:$E$52))</f>
        <v>0.12214999680000004</v>
      </c>
      <c r="G72" s="52" cm="1">
        <f t="array" ref="G72">MMS_Poultry_AtmosphericDeposition_Equations.VEERG_4_6_1_5__2_TotalNitrogenVolatilisedFromMMS(G37, _xlfn.XLOOKUP($E72, $D$45:$D$52, $E$45:$E$52))</f>
        <v>0.13038111935999999</v>
      </c>
      <c r="H72" s="52" cm="1">
        <f t="array" ref="H72">MMS_Poultry_AtmosphericDeposition_Equations.VEERG_4_6_1_5__2_TotalNitrogenVolatilisedFromMMS(H37, _xlfn.XLOOKUP($E72, $D$45:$D$52, $E$45:$E$52))</f>
        <v>0.15304804608</v>
      </c>
      <c r="I72" s="52" cm="1">
        <f t="array" ref="I72">MMS_Poultry_AtmosphericDeposition_Equations.VEERG_4_6_1_5__2_TotalNitrogenVolatilisedFromMMS(I37, _xlfn.XLOOKUP($E72, $D$45:$D$52, $E$45:$E$52))</f>
        <v>0.13038111935999999</v>
      </c>
      <c r="J72" s="2"/>
      <c r="N72" s="52"/>
      <c r="O72" s="52" t="str">
        <f>'Input - Poultry'!$D$53</f>
        <v>Composting (passive windrow)</v>
      </c>
      <c r="P72" s="52" cm="1">
        <f t="array" ref="P72">MMS_Poultry_AtmosphericDeposition_Equations.VEERG_4_6_1_5__2_TotalNitrogenVolatilisedFromMMS(P37, _xlfn.XLOOKUP($O72, $D$45:$D$52, $E$45:$E$52))</f>
        <v>0.12214999680000004</v>
      </c>
      <c r="Q72" s="52" cm="1">
        <f t="array" ref="Q72">MMS_Poultry_AtmosphericDeposition_Equations.VEERG_4_6_1_5__2_TotalNitrogenVolatilisedFromMMS(Q37, _xlfn.XLOOKUP($O72, $D$45:$D$52, $E$45:$E$52))</f>
        <v>0.13038111935999999</v>
      </c>
      <c r="R72" s="52" cm="1">
        <f t="array" ref="R72">MMS_Poultry_AtmosphericDeposition_Equations.VEERG_4_6_1_5__2_TotalNitrogenVolatilisedFromMMS(R37, _xlfn.XLOOKUP($O72, $D$45:$D$52, $E$45:$E$52))</f>
        <v>0.15304804608</v>
      </c>
      <c r="S72" s="52" cm="1">
        <f t="array" ref="S72">MMS_Poultry_AtmosphericDeposition_Equations.VEERG_4_6_1_5__2_TotalNitrogenVolatilisedFromMMS(S37, _xlfn.XLOOKUP($O72, $D$45:$D$52, $E$45:$E$52))</f>
        <v>0.13038111935999999</v>
      </c>
      <c r="T72" s="2"/>
    </row>
    <row r="73" spans="1:21" ht="20.100000000000001" customHeight="1" x14ac:dyDescent="0.25">
      <c r="D73" s="52"/>
      <c r="E73" s="52" t="str">
        <f>'Input - Poultry'!$D$54</f>
        <v>Digester / covered lagoons</v>
      </c>
      <c r="F73" s="52" cm="1">
        <f t="array" ref="F73">MMS_Poultry_AtmosphericDeposition_Equations.VEERG_4_6_1_5__2_TotalNitrogenVolatilisedFromMMS(F38, _xlfn.XLOOKUP($E73, $D$45:$D$52, $E$45:$E$52))</f>
        <v>0</v>
      </c>
      <c r="G73" s="52" cm="1">
        <f t="array" ref="G73">MMS_Poultry_AtmosphericDeposition_Equations.VEERG_4_6_1_5__2_TotalNitrogenVolatilisedFromMMS(G38, _xlfn.XLOOKUP($E73, $D$45:$D$52, $E$45:$E$52))</f>
        <v>0</v>
      </c>
      <c r="H73" s="52" cm="1">
        <f t="array" ref="H73">MMS_Poultry_AtmosphericDeposition_Equations.VEERG_4_6_1_5__2_TotalNitrogenVolatilisedFromMMS(H38, _xlfn.XLOOKUP($E73, $D$45:$D$52, $E$45:$E$52))</f>
        <v>0</v>
      </c>
      <c r="I73" s="52" cm="1">
        <f t="array" ref="I73">MMS_Poultry_AtmosphericDeposition_Equations.VEERG_4_6_1_5__2_TotalNitrogenVolatilisedFromMMS(I38, _xlfn.XLOOKUP($E73, $D$45:$D$52, $E$45:$E$52))</f>
        <v>0</v>
      </c>
      <c r="J73" s="2"/>
      <c r="N73" s="52"/>
      <c r="O73" s="52" t="str">
        <f>'Input - Poultry'!$D$54</f>
        <v>Digester / covered lagoons</v>
      </c>
      <c r="P73" s="52" cm="1">
        <f t="array" ref="P73">MMS_Poultry_AtmosphericDeposition_Equations.VEERG_4_6_1_5__2_TotalNitrogenVolatilisedFromMMS(P38, _xlfn.XLOOKUP($O73, $D$45:$D$52, $E$45:$E$52))</f>
        <v>0</v>
      </c>
      <c r="Q73" s="52" cm="1">
        <f t="array" ref="Q73">MMS_Poultry_AtmosphericDeposition_Equations.VEERG_4_6_1_5__2_TotalNitrogenVolatilisedFromMMS(Q38, _xlfn.XLOOKUP($O73, $D$45:$D$52, $E$45:$E$52))</f>
        <v>0</v>
      </c>
      <c r="R73" s="52" cm="1">
        <f t="array" ref="R73">MMS_Poultry_AtmosphericDeposition_Equations.VEERG_4_6_1_5__2_TotalNitrogenVolatilisedFromMMS(R38, _xlfn.XLOOKUP($O73, $D$45:$D$52, $E$45:$E$52))</f>
        <v>0</v>
      </c>
      <c r="S73" s="52" cm="1">
        <f t="array" ref="S73">MMS_Poultry_AtmosphericDeposition_Equations.VEERG_4_6_1_5__2_TotalNitrogenVolatilisedFromMMS(S38, _xlfn.XLOOKUP($O73, $D$45:$D$52, $E$45:$E$52))</f>
        <v>0</v>
      </c>
      <c r="T73" s="2"/>
    </row>
    <row r="74" spans="1:21" ht="20.100000000000001" customHeight="1" x14ac:dyDescent="0.25">
      <c r="D74" s="52"/>
      <c r="E74" s="52" t="str">
        <f>'Input - Poultry'!$D$55</f>
        <v>Direct processing</v>
      </c>
      <c r="F74" s="52" cm="1">
        <f t="array" ref="F74">MMS_Poultry_AtmosphericDeposition_Equations.VEERG_4_6_1_5__2_TotalNitrogenVolatilisedFromMMS(F39, _xlfn.XLOOKUP($E74, $D$45:$D$52, $E$45:$E$52))</f>
        <v>0</v>
      </c>
      <c r="G74" s="52" cm="1">
        <f t="array" ref="G74">MMS_Poultry_AtmosphericDeposition_Equations.VEERG_4_6_1_5__2_TotalNitrogenVolatilisedFromMMS(G39, _xlfn.XLOOKUP($E74, $D$45:$D$52, $E$45:$E$52))</f>
        <v>0</v>
      </c>
      <c r="H74" s="52" cm="1">
        <f t="array" ref="H74">MMS_Poultry_AtmosphericDeposition_Equations.VEERG_4_6_1_5__2_TotalNitrogenVolatilisedFromMMS(H39, _xlfn.XLOOKUP($E74, $D$45:$D$52, $E$45:$E$52))</f>
        <v>0</v>
      </c>
      <c r="I74" s="52" cm="1">
        <f t="array" ref="I74">MMS_Poultry_AtmosphericDeposition_Equations.VEERG_4_6_1_5__2_TotalNitrogenVolatilisedFromMMS(I39, _xlfn.XLOOKUP($E74, $D$45:$D$52, $E$45:$E$52))</f>
        <v>0</v>
      </c>
      <c r="J74" s="2"/>
      <c r="N74" s="52"/>
      <c r="O74" s="52" t="str">
        <f>'Input - Poultry'!$D$55</f>
        <v>Direct processing</v>
      </c>
      <c r="P74" s="52" cm="1">
        <f t="array" ref="P74">MMS_Poultry_AtmosphericDeposition_Equations.VEERG_4_6_1_5__2_TotalNitrogenVolatilisedFromMMS(P39, _xlfn.XLOOKUP($O74, $D$45:$D$52, $E$45:$E$52))</f>
        <v>0</v>
      </c>
      <c r="Q74" s="52" cm="1">
        <f t="array" ref="Q74">MMS_Poultry_AtmosphericDeposition_Equations.VEERG_4_6_1_5__2_TotalNitrogenVolatilisedFromMMS(Q39, _xlfn.XLOOKUP($O74, $D$45:$D$52, $E$45:$E$52))</f>
        <v>0</v>
      </c>
      <c r="R74" s="52" cm="1">
        <f t="array" ref="R74">MMS_Poultry_AtmosphericDeposition_Equations.VEERG_4_6_1_5__2_TotalNitrogenVolatilisedFromMMS(R39, _xlfn.XLOOKUP($O74, $D$45:$D$52, $E$45:$E$52))</f>
        <v>0</v>
      </c>
      <c r="S74" s="52" cm="1">
        <f t="array" ref="S74">MMS_Poultry_AtmosphericDeposition_Equations.VEERG_4_6_1_5__2_TotalNitrogenVolatilisedFromMMS(S39, _xlfn.XLOOKUP($O74, $D$45:$D$52, $E$45:$E$52))</f>
        <v>0</v>
      </c>
      <c r="T74" s="2"/>
    </row>
    <row r="75" spans="1:21" ht="20.100000000000001" customHeight="1" x14ac:dyDescent="0.25">
      <c r="D75" s="52"/>
      <c r="E75" s="52" t="str">
        <f>'Input - Poultry'!$D$56</f>
        <v>Direct application</v>
      </c>
      <c r="F75" s="52" t="s">
        <v>131</v>
      </c>
      <c r="G75" s="52" t="s">
        <v>131</v>
      </c>
      <c r="H75" s="52" t="s">
        <v>131</v>
      </c>
      <c r="I75" s="52" t="s">
        <v>131</v>
      </c>
      <c r="N75" s="52"/>
      <c r="O75" s="52" t="str">
        <f>'Input - Poultry'!$D$56</f>
        <v>Direct application</v>
      </c>
      <c r="P75" s="52" t="s">
        <v>131</v>
      </c>
      <c r="Q75" s="52" t="s">
        <v>131</v>
      </c>
      <c r="R75" s="52" t="s">
        <v>131</v>
      </c>
      <c r="S75" s="52" t="s">
        <v>131</v>
      </c>
    </row>
    <row r="76" spans="1:21" ht="20.100000000000001" customHeight="1" x14ac:dyDescent="0.25"/>
    <row r="77" spans="1:21" ht="20.100000000000001" customHeight="1" x14ac:dyDescent="0.25">
      <c r="D77" s="107" t="s">
        <v>156</v>
      </c>
      <c r="E77" s="45">
        <f>SUM(F57:I75)</f>
        <v>20.797764249600011</v>
      </c>
      <c r="F77" s="103" t="str">
        <f>$E$11</f>
        <v>kg N</v>
      </c>
      <c r="N77" s="107" t="s">
        <v>156</v>
      </c>
      <c r="O77" s="45">
        <f>SUM(P57:S75)</f>
        <v>20.797764249600011</v>
      </c>
      <c r="P77" s="103" t="str">
        <f>$E$11</f>
        <v>kg N</v>
      </c>
    </row>
    <row r="78" spans="1:21" ht="20.100000000000001" customHeight="1" x14ac:dyDescent="0.25"/>
    <row r="79" spans="1:21" ht="20.100000000000001" customHeight="1" x14ac:dyDescent="0.25">
      <c r="A79" s="145" t="str">
        <f>HYPERLINK("#A1", "▲ Back to top")</f>
        <v>▲ Back to top</v>
      </c>
    </row>
    <row r="80" spans="1:21" ht="20.100000000000001" customHeight="1" x14ac:dyDescent="0.25">
      <c r="C80" s="45"/>
      <c r="D80" s="45"/>
      <c r="E80" s="45"/>
      <c r="F80" s="45"/>
      <c r="G80" s="45"/>
      <c r="H80" s="45"/>
      <c r="I80" s="45"/>
      <c r="J80" s="45"/>
      <c r="K80" s="45"/>
      <c r="M80" s="45"/>
      <c r="N80" s="45"/>
      <c r="O80" s="45"/>
      <c r="P80" s="45"/>
      <c r="Q80" s="45"/>
      <c r="R80" s="45"/>
      <c r="S80" s="45"/>
      <c r="T80" s="45"/>
      <c r="U80" s="45"/>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23</v>
      </c>
      <c r="E83" s="13" t="str" cm="1">
        <f t="array" aca="1" ref="E83" ca="1">Common_InputFunctions.Utility_DisplayFunctionName(E96)</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3" t="s">
        <v>26</v>
      </c>
      <c r="E86" s="1" t="str" cm="1">
        <f t="array" ref="E86">MMS_Poultry_AtmosphericDeposition_Equations.VEERG_4_6_1_5__1_TotalAnnualAtmosphericDepositionEmissionsFromMMS_Variable()</f>
        <v>E_N2Oad</v>
      </c>
    </row>
    <row r="87" spans="4:19" ht="20.100000000000001" customHeight="1" x14ac:dyDescent="0.25">
      <c r="D87" s="53" t="s">
        <v>16</v>
      </c>
      <c r="E87" s="54"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41" t="str" cm="1">
        <f t="array" ref="D89:E94">_xlfn.CHOOSECOLS(MMS_Poultry_AtmosphericDeposition_Equations.VEERG_4_6_1_5__1_TotalAnnualAtmosphericDepositionEmissionsFromMMS_Arguments(),1,2)</f>
        <v>MMS_ATMOS</v>
      </c>
      <c r="E89" s="144" t="str">
        <v>mass of N volatilised from MMS</v>
      </c>
      <c r="F89" s="143"/>
      <c r="G89" s="141" t="str" cm="1">
        <f t="array" ref="G89:H94">_xlfn.CHOOSECOLS(MMS_Poultry_AtmosphericDeposition_Equations.VEERG_4_6_1_5__1_TotalAnnualAtmosphericDepositionEmissionsFromMMS_Arguments(),3,4)</f>
        <v>kg N</v>
      </c>
      <c r="H89" s="140" t="str">
        <v>Calculated from 4.6.1.5 (2)</v>
      </c>
      <c r="I89" s="141">
        <f>$E$77</f>
        <v>20.797764249600011</v>
      </c>
      <c r="N89" s="141" t="str" cm="1">
        <f t="array" ref="N89:O94">_xlfn.CHOOSECOLS(MMS_Poultry_AtmosphericDeposition_Equations.VEERG_4_6_1_5__1_TotalAnnualAtmosphericDepositionEmissionsFromMMS_Arguments(),1,2)</f>
        <v>MMS_ATMOS</v>
      </c>
      <c r="O89" s="144" t="str">
        <v>mass of N volatilised from MMS</v>
      </c>
      <c r="P89" s="143"/>
      <c r="Q89" s="141" t="str" cm="1">
        <f t="array" ref="Q89:R94">_xlfn.CHOOSECOLS(MMS_Poultry_AtmosphericDeposition_Equations.VEERG_4_6_1_5__1_TotalAnnualAtmosphericDepositionEmissionsFromMMS_Arguments(),3,4)</f>
        <v>kg N</v>
      </c>
      <c r="R89" s="140" t="str">
        <v>Calculated from 4.6.1.5 (2)</v>
      </c>
      <c r="S89" s="141">
        <f>O77</f>
        <v>20.797764249600011</v>
      </c>
    </row>
    <row r="90" spans="4:19" ht="20.100000000000001" customHeight="1" x14ac:dyDescent="0.25">
      <c r="D90" s="141" t="str">
        <v>EF_N2O</v>
      </c>
      <c r="E90" s="144" t="str">
        <v>nitrous oxide emission factor for atmospheric deposition</v>
      </c>
      <c r="F90" s="143"/>
      <c r="G90" s="141" t="str">
        <v>kg N2O-N/kg N</v>
      </c>
      <c r="H90" s="140" t="str">
        <v>Constant</v>
      </c>
      <c r="I90" s="141">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41" t="str">
        <v>EF_N2O</v>
      </c>
      <c r="O90" s="144" t="str">
        <v>nitrous oxide emission factor for atmospheric deposition</v>
      </c>
      <c r="P90" s="143"/>
      <c r="Q90" s="141" t="str">
        <v>kg N2O-N/kg N</v>
      </c>
      <c r="R90" s="140" t="str">
        <v>Constant</v>
      </c>
      <c r="S90" s="141"/>
    </row>
    <row r="91" spans="4:19" ht="20.100000000000001" customHeight="1" x14ac:dyDescent="0.25">
      <c r="D91" s="141" t="str">
        <v>C_N2O</v>
      </c>
      <c r="E91" s="144" t="str">
        <v>factor to convert elemental mass of nitrous oxide to molecular mass</v>
      </c>
      <c r="F91" s="143"/>
      <c r="G91" s="141" t="str">
        <v>ratio</v>
      </c>
      <c r="H91" s="140" t="str">
        <v>Constant</v>
      </c>
      <c r="I91" s="141">
        <f>Common_InputFunctions.Utility_LookupValueInTableNumber("N2O",Table_GasToMolecularConversionFactor[Gas],Table_GasToMolecularConversionFactor[Conversion factor combined])</f>
        <v>1.5714285714285714</v>
      </c>
      <c r="N91" s="141" t="str">
        <v>C_N2O</v>
      </c>
      <c r="O91" s="144" t="str">
        <v>factor to convert elemental mass of nitrous oxide to molecular mass</v>
      </c>
      <c r="P91" s="143"/>
      <c r="Q91" s="141" t="str">
        <v>ratio</v>
      </c>
      <c r="R91" s="140" t="str">
        <v>Constant</v>
      </c>
      <c r="S91" s="141"/>
    </row>
    <row r="92" spans="4:19" ht="20.100000000000001" customHeight="1" x14ac:dyDescent="0.25">
      <c r="D92" s="141" t="str">
        <v>j</v>
      </c>
      <c r="E92" s="144" t="str">
        <v>production system</v>
      </c>
      <c r="F92" s="143"/>
      <c r="G92" s="141" t="str">
        <v/>
      </c>
      <c r="H92" s="139" t="str">
        <v>Input</v>
      </c>
      <c r="I92" s="141" t="str">
        <f>'Input - Poultry'!$E$59</f>
        <v>Crop</v>
      </c>
      <c r="N92" s="141" t="str">
        <v>j</v>
      </c>
      <c r="O92" s="144" t="str">
        <v>production system</v>
      </c>
      <c r="P92" s="143"/>
      <c r="Q92" s="141" t="str">
        <v/>
      </c>
      <c r="R92" s="139" t="str">
        <v>Input</v>
      </c>
      <c r="S92" s="141"/>
    </row>
    <row r="93" spans="4:19" ht="20.100000000000001" customHeight="1" x14ac:dyDescent="0.25">
      <c r="D93" s="141" t="str">
        <v>ir</v>
      </c>
      <c r="E93" s="144" t="str">
        <v>irrigation method</v>
      </c>
      <c r="F93" s="143"/>
      <c r="G93" s="141" t="str">
        <v/>
      </c>
      <c r="H93" s="139" t="str">
        <v>Input</v>
      </c>
      <c r="I93" s="141" t="str">
        <f>'Input - Poultry'!$E$60</f>
        <v>Sprinkler Irrigation</v>
      </c>
      <c r="N93" s="141" t="str">
        <v>ir</v>
      </c>
      <c r="O93" s="144" t="str">
        <v>irrigation method</v>
      </c>
      <c r="P93" s="143"/>
      <c r="Q93" s="141" t="str">
        <v/>
      </c>
      <c r="R93" s="139" t="str">
        <v>Input</v>
      </c>
      <c r="S93" s="141"/>
    </row>
    <row r="94" spans="4:19" ht="20.100000000000001" customHeight="1" x14ac:dyDescent="0.25">
      <c r="D94" s="141" t="str">
        <v>r</v>
      </c>
      <c r="E94" s="144" t="str">
        <v>rainfall region</v>
      </c>
      <c r="F94" s="143"/>
      <c r="G94" s="141" t="str">
        <v/>
      </c>
      <c r="H94" s="139" t="str">
        <v>Input</v>
      </c>
      <c r="I94" s="141" t="str">
        <f>'Input - Site'!$E$30</f>
        <v>High rainfall</v>
      </c>
      <c r="N94" s="141" t="str">
        <v>r</v>
      </c>
      <c r="O94" s="144" t="str">
        <v>rainfall region</v>
      </c>
      <c r="P94" s="143"/>
      <c r="Q94" s="141" t="str">
        <v/>
      </c>
      <c r="R94" s="139" t="str">
        <v>Input</v>
      </c>
      <c r="S94" s="141"/>
    </row>
    <row r="95" spans="4:19" ht="20.100000000000001" customHeight="1" x14ac:dyDescent="0.25"/>
    <row r="96" spans="4:19" ht="20.100000000000001" customHeight="1" x14ac:dyDescent="0.25">
      <c r="D96" s="99" t="s">
        <v>283</v>
      </c>
      <c r="E96" s="100" cm="1">
        <f t="array" ref="E96">MMS_Poultry_AtmosphericDeposition_Equations.VEERG_4_6_1_5__1_TotalAnnualAtmosphericDepositionEmissionsFromMMS(I89,$I$90,$I$91)</f>
        <v>2.2877540674560014E-4</v>
      </c>
      <c r="F96" s="101" t="str">
        <f>$E$87</f>
        <v>t N2O</v>
      </c>
      <c r="N96" s="99" t="s">
        <v>283</v>
      </c>
      <c r="O96" s="100" cm="1">
        <f t="array" ref="O96">MMS_Poultry_AtmosphericDeposition_Equations.VEERG_4_6_1_5__1_TotalAnnualAtmosphericDepositionEmissionsFromMMS(S89,$I$90,$I$91)</f>
        <v>2.2877540674560014E-4</v>
      </c>
      <c r="P96" s="101" t="str">
        <f>$E$87</f>
        <v>t N2O</v>
      </c>
    </row>
    <row r="97" spans="1:17" ht="20.100000000000001" customHeight="1" x14ac:dyDescent="0.25"/>
    <row r="98" spans="1:17" ht="20.100000000000001" customHeight="1" x14ac:dyDescent="0.25">
      <c r="D98" s="57" t="str" cm="1">
        <f t="array" ref="D98:E99">Common_Equations.Common_ConvertN2OToCO2e_Arguments()</f>
        <v>EN2O</v>
      </c>
      <c r="E98" s="58" t="str">
        <v>Nitrous oxide emissions (t N2O)</v>
      </c>
      <c r="F98" s="102"/>
      <c r="G98" s="52">
        <f>E96</f>
        <v>2.2877540674560014E-4</v>
      </c>
      <c r="N98" s="57" t="str" cm="1">
        <f t="array" ref="N98:O99">Common_Equations.Common_ConvertN2OToCO2e_Arguments()</f>
        <v>EN2O</v>
      </c>
      <c r="O98" s="58" t="str">
        <v>Nitrous oxide emissions (t N2O)</v>
      </c>
      <c r="P98" s="102"/>
      <c r="Q98" s="52">
        <f>O96</f>
        <v>2.2877540674560014E-4</v>
      </c>
    </row>
    <row r="99" spans="1:17" ht="20.100000000000001" customHeight="1" x14ac:dyDescent="0.25">
      <c r="D99" s="57" t="str">
        <v>GWPN2O</v>
      </c>
      <c r="E99" s="58" t="str">
        <v>Global warming potential for nitrous oxide (t CO2-e / t N2O)</v>
      </c>
      <c r="F99" s="102"/>
      <c r="G99" s="52">
        <v>265</v>
      </c>
      <c r="N99" s="57" t="str">
        <v>GWPN2O</v>
      </c>
      <c r="O99" s="58" t="str">
        <v>Global warming potential for nitrous oxide (t CO2-e / t N2O)</v>
      </c>
      <c r="P99" s="102"/>
      <c r="Q99" s="52">
        <v>265</v>
      </c>
    </row>
    <row r="100" spans="1:17" ht="20.100000000000001" customHeight="1" x14ac:dyDescent="0.25"/>
    <row r="101" spans="1:17" ht="20.100000000000001" customHeight="1" x14ac:dyDescent="0.25">
      <c r="A101" s="145" t="str">
        <f>HYPERLINK("#A1", "▲ Back to top")</f>
        <v>▲ Back to top</v>
      </c>
      <c r="D101" s="45" t="s">
        <v>93</v>
      </c>
      <c r="E101" s="45" cm="1">
        <f t="array" ref="E101">Common_Equations.Common_ConvertN2OToCO2e(G98,G99)</f>
        <v>6.0625482787584034E-2</v>
      </c>
      <c r="F101" s="103" t="str" cm="1">
        <f t="array" ref="F101">Common_Equations.Common_ConvertN2OToCO2e_Unit()</f>
        <v>t CO2e</v>
      </c>
      <c r="N101" s="45" t="s">
        <v>93</v>
      </c>
      <c r="O101" s="45" cm="1">
        <f t="array" ref="O101">Common_Equations.Common_ConvertN2OToCO2e(Q98,Q99)</f>
        <v>6.0625482787584034E-2</v>
      </c>
      <c r="P101" s="103" t="str" cm="1">
        <f t="array" ref="P101">Common_Equations.Common_ConvertN2OToCO2e_Unit()</f>
        <v>t CO2e</v>
      </c>
    </row>
    <row r="102" spans="1:17" ht="20.100000000000001" customHeight="1" x14ac:dyDescent="0.25"/>
    <row r="103" spans="1:17" ht="20.100000000000001" customHeight="1" x14ac:dyDescent="0.25"/>
    <row r="104" spans="1:17" ht="20.100000000000001" customHeight="1" x14ac:dyDescent="0.25"/>
    <row r="105" spans="1:17" ht="20.100000000000001" customHeight="1" x14ac:dyDescent="0.25"/>
    <row r="106" spans="1:17" ht="20.100000000000001" customHeight="1" x14ac:dyDescent="0.25"/>
    <row r="107" spans="1:17" ht="20.100000000000001" customHeight="1" x14ac:dyDescent="0.25"/>
    <row r="108" spans="1:17" ht="20.100000000000001" customHeight="1" x14ac:dyDescent="0.25"/>
    <row r="109" spans="1:17" ht="20.100000000000001" customHeight="1" x14ac:dyDescent="0.25"/>
    <row r="110" spans="1:17" ht="20.100000000000001" customHeight="1" x14ac:dyDescent="0.25"/>
    <row r="111" spans="1:17" ht="20.100000000000001" customHeight="1" x14ac:dyDescent="0.25"/>
    <row r="112" spans="1: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U165"/>
  <sheetViews>
    <sheetView showGridLines="0" topLeftCell="A31" zoomScaleNormal="100" workbookViewId="0">
      <selection activeCell="O59" sqref="O5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284</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A6" s="16"/>
      <c r="D6" s="5" t="str" cm="1">
        <f t="array" ref="D6">MMS_Poultry_LeachingAndRunoff_Equations.VEERG_4_6_1_7__2_MassOfNitrogenLostToLeachingAndRunoffFromSolidStorage_Source()</f>
        <v>VEERG 2026: 4.6.1.7, Equation (2)</v>
      </c>
    </row>
    <row r="7" spans="1:21" ht="20.100000000000001" customHeight="1" x14ac:dyDescent="0.25">
      <c r="A7" s="20" t="s">
        <v>1</v>
      </c>
      <c r="D7" s="13" t="s">
        <v>23</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MMS_Poultry_LeachingAndRunoff_Equations.VEERG_4_6_1_7__2_MassOfNitrogenLostToLeachingAndRunoffFromSolidStorage_Variable()</f>
        <v>MNLeach_jkm4</v>
      </c>
    </row>
    <row r="11" spans="1:21" ht="20.100000000000001" customHeight="1" x14ac:dyDescent="0.25">
      <c r="A11" s="19" t="s">
        <v>70</v>
      </c>
      <c r="D11" s="53" t="s">
        <v>16</v>
      </c>
      <c r="E11" s="54" t="str" cm="1">
        <f t="array" ref="E11">MMS_Poultry_LeachingAndRunoff_Equations.VEERG_4_6_1_7__2_MassOfNitrogenLostToLeachingAndRunoffFromSolidStorage_Unit()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_xlfn.CHOOSECOLS(MMS_Poultry_LeachingAndRunoff_Equations.VEERG_4_6_1_7__2_MassOfNitrogenLostToLeachingAndRunoffFromSolidStorage_Arguments(),1,2)</f>
        <v>MN_jkm4T2</v>
      </c>
      <c r="E13" s="144" t="str">
        <v>nitrogen in solid storage MMS treatment stage 2</v>
      </c>
      <c r="F13" s="143"/>
      <c r="G13" s="141" t="str" cm="1">
        <f t="array" ref="G13:H18">_xlfn.CHOOSECOLS(MMS_Poultry_LeachingAndRunoff_Equations.VEERG_4_6_1_7__2_MassOfNitrogenLostToLeachingAndRunoffFromSolidStorage_Arguments(),3,4)</f>
        <v>kg N</v>
      </c>
      <c r="H13" s="140" t="str">
        <v>Calculated from 4.6.1.3 (6)</v>
      </c>
      <c r="I13" s="142" t="str" cm="1">
        <f t="array" aca="1" ref="I13" ca="1">HYPERLINK(Common_InputFunctions.Utility_SourceHyperlink($D$24),$D$24)</f>
        <v>M1_Table_MN_j_k_m-4</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39" t="str">
        <v>Input</v>
      </c>
      <c r="I14" s="141">
        <f>Common_InputFunctions.CommonCropping_GetFracWET(I16,I18,#REF!,#REF!,Table_SourceData_FracWETIrrigation[Irrigation type i],Table_SourceData_FracWETIrrigation[FracWET])</f>
        <v>1</v>
      </c>
    </row>
    <row r="15" spans="1:21" ht="20.100000000000001" customHeight="1" x14ac:dyDescent="0.25">
      <c r="A15" s="129" t="str">
        <f>HYPERLINK("#'4.6.1.7-8 Leaching and runoff'!A1", "4.6.1.7-8 Leaching &amp; runoff")</f>
        <v>4.6.1.7-8 Leaching &amp; runoff</v>
      </c>
      <c r="D15" s="141" t="str">
        <v>FracLEACH_MS</v>
      </c>
      <c r="E15" s="144" t="str">
        <v>fraction of N lost through leaching and runoff</v>
      </c>
      <c r="F15" s="143"/>
      <c r="G15" s="141" t="str">
        <v>fraction</v>
      </c>
      <c r="H15" s="139" t="str">
        <v>Input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7" t="str">
        <f>HYPERLINK("#'4.6.1.14-15 Soil leach runoff'!A1", "4.6.1.14-15 Soil leach &amp; runoff")</f>
        <v>4.6.1.14-15 Soil leach &amp; runoff</v>
      </c>
    </row>
    <row r="20" spans="1:20" ht="20.100000000000001" customHeight="1" x14ac:dyDescent="0.25">
      <c r="D20" s="125" t="s">
        <v>348</v>
      </c>
      <c r="E20" s="90"/>
      <c r="F20" s="90"/>
      <c r="G20" s="90"/>
      <c r="H20" s="86"/>
    </row>
    <row r="21" spans="1:20" ht="20.100000000000001" customHeight="1" x14ac:dyDescent="0.25">
      <c r="A21" s="18" t="s">
        <v>2</v>
      </c>
      <c r="D21" s="136" t="s">
        <v>349</v>
      </c>
      <c r="E21" s="137"/>
      <c r="F21" s="137"/>
      <c r="G21" s="137"/>
      <c r="H21" s="138"/>
    </row>
    <row r="22" spans="1:20" ht="20.100000000000001" customHeight="1" x14ac:dyDescent="0.25">
      <c r="A22" s="17" t="str">
        <f>HYPERLINK("#'Constants - Poultry'!A1", "Constants - Poultry")</f>
        <v>Constants - Poultry</v>
      </c>
      <c r="D22" s="92" t="s">
        <v>350</v>
      </c>
      <c r="E22" s="89"/>
      <c r="F22" s="89"/>
      <c r="G22" s="89"/>
      <c r="H22" s="87"/>
    </row>
    <row r="23" spans="1:20" ht="20.100000000000001" customHeight="1" x14ac:dyDescent="0.25">
      <c r="A23" s="17" t="str">
        <f>HYPERLINK("#'Constants - Livestock'!A1", "Constants - Livestock")</f>
        <v>Constants - Livestock</v>
      </c>
    </row>
    <row r="24" spans="1:20" ht="20.100000000000001" customHeight="1" x14ac:dyDescent="0.25">
      <c r="A24" s="17" t="str">
        <f>HYPERLINK("#'Constants - Common'!A1", "Constants - Common")</f>
        <v>Constants - Common</v>
      </c>
      <c r="D24" s="98" t="s">
        <v>285</v>
      </c>
      <c r="N24" s="98" t="s">
        <v>285</v>
      </c>
    </row>
    <row r="25" spans="1:20" ht="20.100000000000001" customHeight="1" x14ac:dyDescent="0.25">
      <c r="A25" s="17"/>
      <c r="D25" s="97" t="s">
        <v>286</v>
      </c>
      <c r="N25" s="97" t="s">
        <v>286</v>
      </c>
    </row>
    <row r="26" spans="1:20" ht="20.100000000000001" customHeight="1" x14ac:dyDescent="0.25">
      <c r="D26" s="51" t="s">
        <v>133</v>
      </c>
      <c r="E26" s="51" t="s">
        <v>135</v>
      </c>
      <c r="F26" s="51" t="s">
        <v>194</v>
      </c>
      <c r="G26" s="51" t="s">
        <v>195</v>
      </c>
      <c r="H26" s="51" t="s">
        <v>207</v>
      </c>
      <c r="I26" s="51" t="s">
        <v>208</v>
      </c>
      <c r="N26" s="51" t="s">
        <v>133</v>
      </c>
      <c r="O26" s="51" t="s">
        <v>135</v>
      </c>
      <c r="P26" s="51" t="s">
        <v>194</v>
      </c>
      <c r="Q26" s="51" t="s">
        <v>195</v>
      </c>
      <c r="R26" s="51" t="s">
        <v>207</v>
      </c>
      <c r="S26" s="51" t="s">
        <v>208</v>
      </c>
    </row>
    <row r="27" spans="1:20" ht="20.100000000000001" customHeight="1" x14ac:dyDescent="0.25">
      <c r="D27" s="52" t="str">
        <f>'Input - Poultry'!$D$30</f>
        <v>Poultry manure with bedding</v>
      </c>
      <c r="E27" s="52" t="str">
        <f>'Input - Poultry'!$D$38</f>
        <v>Solid storage</v>
      </c>
      <c r="F27" s="52">
        <f>'4.6.1.3-4 Direct N20'!F189</f>
        <v>0.71271158400000012</v>
      </c>
      <c r="G27" s="52">
        <f>'4.6.1.3-4 Direct N20'!G189</f>
        <v>0.76073791680000002</v>
      </c>
      <c r="H27" s="52">
        <f>'4.6.1.3-4 Direct N20'!H189</f>
        <v>0.89299319039999991</v>
      </c>
      <c r="I27" s="52">
        <f>'4.6.1.3-4 Direct N20'!I189</f>
        <v>0.76073791680000002</v>
      </c>
      <c r="J27" s="2" t="str">
        <f>$G$13</f>
        <v>kg N</v>
      </c>
      <c r="N27" s="52" t="str">
        <f>'Input - Poultry'!$D$30</f>
        <v>Poultry manure with bedding</v>
      </c>
      <c r="O27" s="52" t="str">
        <f>'Input - Poultry'!$D$38</f>
        <v>Solid storage</v>
      </c>
      <c r="P27" s="52">
        <f>'4.6.1.3-4 Direct N20'!P189</f>
        <v>0.71271158400000012</v>
      </c>
      <c r="Q27" s="52">
        <f>'4.6.1.3-4 Direct N20'!Q189</f>
        <v>0.76073791680000002</v>
      </c>
      <c r="R27" s="52">
        <f>'4.6.1.3-4 Direct N20'!R189</f>
        <v>0.89299319039999991</v>
      </c>
      <c r="S27" s="52">
        <f>'4.6.1.3-4 Direct N20'!S189</f>
        <v>0.76073791680000002</v>
      </c>
      <c r="T27" s="2" t="str">
        <f>$G$13</f>
        <v>kg N</v>
      </c>
    </row>
    <row r="28" spans="1:20" ht="20.100000000000001" customHeight="1" x14ac:dyDescent="0.25">
      <c r="D28" s="52" t="str">
        <f>'Input - Poultry'!$D$31</f>
        <v>Belt manure removal</v>
      </c>
      <c r="E28" s="52" t="str">
        <f>'Input - Poultry'!$D$45</f>
        <v>Solid storage</v>
      </c>
      <c r="F28" s="52">
        <f>'4.6.1.3-4 Direct N20'!F194</f>
        <v>0.96761558400000025</v>
      </c>
      <c r="G28" s="52">
        <f>'4.6.1.3-4 Direct N20'!G194</f>
        <v>1.0328187168</v>
      </c>
      <c r="H28" s="52">
        <f>'4.6.1.3-4 Direct N20'!H194</f>
        <v>1.2123755904</v>
      </c>
      <c r="I28" s="52">
        <f>'4.6.1.3-4 Direct N20'!I194</f>
        <v>1.0328187168</v>
      </c>
      <c r="J28" s="2"/>
      <c r="N28" s="52" t="str">
        <f>'Input - Poultry'!$D$31</f>
        <v>Belt manure removal</v>
      </c>
      <c r="O28" s="52" t="str">
        <f>'Input - Poultry'!$D$45</f>
        <v>Solid storage</v>
      </c>
      <c r="P28" s="52">
        <f>'4.6.1.3-4 Direct N20'!P194</f>
        <v>0.96761558400000025</v>
      </c>
      <c r="Q28" s="52">
        <f>'4.6.1.3-4 Direct N20'!Q194</f>
        <v>1.0328187168</v>
      </c>
      <c r="R28" s="52">
        <f>'4.6.1.3-4 Direct N20'!R194</f>
        <v>1.2123755904</v>
      </c>
      <c r="S28" s="52">
        <f>'4.6.1.3-4 Direct N20'!S194</f>
        <v>1.0328187168</v>
      </c>
      <c r="T28" s="2"/>
    </row>
    <row r="29" spans="1:20" ht="20.100000000000001" customHeight="1" x14ac:dyDescent="0.25">
      <c r="D29" s="52" t="str">
        <f>'Input - Poultry'!$D$32</f>
        <v>Manure stored in house</v>
      </c>
      <c r="E29" s="52" t="str">
        <f>'Input - Poultry'!$D$52</f>
        <v>Solid storage</v>
      </c>
      <c r="F29" s="52">
        <f>'4.6.1.3-4 Direct N20'!F199</f>
        <v>0.61074998400000013</v>
      </c>
      <c r="G29" s="52">
        <f>'4.6.1.3-4 Direct N20'!G199</f>
        <v>0.65190559679999993</v>
      </c>
      <c r="H29" s="52">
        <f>'4.6.1.3-4 Direct N20'!H199</f>
        <v>0.76524023039999989</v>
      </c>
      <c r="I29" s="52">
        <f>'4.6.1.3-4 Direct N20'!I199</f>
        <v>0.65190559679999993</v>
      </c>
      <c r="J29" s="2"/>
      <c r="N29" s="52" t="str">
        <f>'Input - Poultry'!$D$32</f>
        <v>Manure stored in house</v>
      </c>
      <c r="O29" s="52" t="str">
        <f>'Input - Poultry'!$D$52</f>
        <v>Solid storage</v>
      </c>
      <c r="P29" s="52">
        <f>'4.6.1.3-4 Direct N20'!P199</f>
        <v>0.61074998400000013</v>
      </c>
      <c r="Q29" s="52">
        <f>'4.6.1.3-4 Direct N20'!Q199</f>
        <v>0.65190559679999993</v>
      </c>
      <c r="R29" s="52">
        <f>'4.6.1.3-4 Direct N20'!R199</f>
        <v>0.76524023039999989</v>
      </c>
      <c r="S29" s="52">
        <f>'4.6.1.3-4 Direct N20'!S199</f>
        <v>0.65190559679999993</v>
      </c>
      <c r="T29" s="2"/>
    </row>
    <row r="30" spans="1:20" ht="20.100000000000001" customHeight="1" x14ac:dyDescent="0.25">
      <c r="J30" s="2"/>
      <c r="T30" s="2"/>
    </row>
    <row r="31" spans="1:20" ht="20.100000000000001" customHeight="1" x14ac:dyDescent="0.25">
      <c r="D31" s="98" t="s">
        <v>291</v>
      </c>
      <c r="N31" s="98" t="s">
        <v>287</v>
      </c>
    </row>
    <row r="32" spans="1:20" ht="20.100000000000001" customHeight="1" x14ac:dyDescent="0.25">
      <c r="D32" s="97" t="s">
        <v>293</v>
      </c>
      <c r="N32" s="97" t="s">
        <v>294</v>
      </c>
    </row>
    <row r="33" spans="3:21" ht="20.100000000000001" customHeight="1" x14ac:dyDescent="0.25">
      <c r="D33" s="51" t="s">
        <v>133</v>
      </c>
      <c r="E33" s="51" t="s">
        <v>135</v>
      </c>
      <c r="F33" s="51" t="s">
        <v>194</v>
      </c>
      <c r="G33" s="51" t="s">
        <v>195</v>
      </c>
      <c r="H33" s="51" t="s">
        <v>207</v>
      </c>
      <c r="I33" s="51" t="s">
        <v>208</v>
      </c>
      <c r="N33" s="51" t="s">
        <v>133</v>
      </c>
      <c r="O33" s="51" t="s">
        <v>135</v>
      </c>
      <c r="P33" s="51" t="s">
        <v>194</v>
      </c>
      <c r="Q33" s="51" t="s">
        <v>195</v>
      </c>
      <c r="R33" s="51" t="s">
        <v>207</v>
      </c>
      <c r="S33" s="51" t="s">
        <v>208</v>
      </c>
    </row>
    <row r="34" spans="3:21" ht="20.100000000000001" customHeight="1" x14ac:dyDescent="0.25">
      <c r="D34" s="52" t="str">
        <f>'Input - Poultry'!$D$30</f>
        <v>Poultry manure with bedding</v>
      </c>
      <c r="E34" s="52" t="str">
        <f>'Input - Poultry'!$D$38</f>
        <v>Solid storage</v>
      </c>
      <c r="F34" s="52" cm="1">
        <f t="array" ref="F34">MMS_Poultry_LeachingAndRunoff_Equations.VEERG_4_6_1_7__2_MassOfNitrogenLostToLeachingAndRunoffFromSolidStorage(F27,$I$14,$I$15)</f>
        <v>1.4254231680000003E-2</v>
      </c>
      <c r="G34" s="52" cm="1">
        <f t="array" ref="G34">MMS_Poultry_LeachingAndRunoff_Equations.VEERG_4_6_1_7__2_MassOfNitrogenLostToLeachingAndRunoffFromSolidStorage(G27,$I$14,$I$15)</f>
        <v>1.5214758336E-2</v>
      </c>
      <c r="H34" s="52" cm="1">
        <f t="array" ref="H34">MMS_Poultry_LeachingAndRunoff_Equations.VEERG_4_6_1_7__2_MassOfNitrogenLostToLeachingAndRunoffFromSolidStorage(H27,$I$14,$I$15)</f>
        <v>1.7859863808E-2</v>
      </c>
      <c r="I34" s="52" cm="1">
        <f t="array" ref="I34">MMS_Poultry_LeachingAndRunoff_Equations.VEERG_4_6_1_7__2_MassOfNitrogenLostToLeachingAndRunoffFromSolidStorage(I27,$I$14,$I$15)</f>
        <v>1.5214758336E-2</v>
      </c>
      <c r="J34" s="2" t="str">
        <f>$E$11</f>
        <v>kg N</v>
      </c>
      <c r="N34" s="52" t="str">
        <f>'Input - Poultry'!$D$30</f>
        <v>Poultry manure with bedding</v>
      </c>
      <c r="O34" s="52" t="str">
        <f>'Input - Poultry'!$D$38</f>
        <v>Solid storage</v>
      </c>
      <c r="P34" s="52" cm="1">
        <f t="array" ref="P34">MMS_Poultry_LeachingAndRunoff_Equations.VEERG_4_6_1_7__2_MassOfNitrogenLostToLeachingAndRunoffFromSolidStorage(P27,$I$14,$I$15)</f>
        <v>1.4254231680000003E-2</v>
      </c>
      <c r="Q34" s="52" cm="1">
        <f t="array" ref="Q34">MMS_Poultry_LeachingAndRunoff_Equations.VEERG_4_6_1_7__2_MassOfNitrogenLostToLeachingAndRunoffFromSolidStorage(Q27,$I$14,$I$15)</f>
        <v>1.5214758336E-2</v>
      </c>
      <c r="R34" s="52" cm="1">
        <f t="array" ref="R34">MMS_Poultry_LeachingAndRunoff_Equations.VEERG_4_6_1_7__2_MassOfNitrogenLostToLeachingAndRunoffFromSolidStorage(R27,$I$14,$I$15)</f>
        <v>1.7859863808E-2</v>
      </c>
      <c r="S34" s="52" cm="1">
        <f t="array" ref="S34">MMS_Poultry_LeachingAndRunoff_Equations.VEERG_4_6_1_7__2_MassOfNitrogenLostToLeachingAndRunoffFromSolidStorage(S27,$I$14,$I$15)</f>
        <v>1.5214758336E-2</v>
      </c>
      <c r="T34" s="2" t="str">
        <f>$E$11</f>
        <v>kg N</v>
      </c>
    </row>
    <row r="35" spans="3:21" ht="20.100000000000001" customHeight="1" x14ac:dyDescent="0.25">
      <c r="D35" s="52" t="str">
        <f>'Input - Poultry'!$D$31</f>
        <v>Belt manure removal</v>
      </c>
      <c r="E35" s="52" t="str">
        <f>'Input - Poultry'!$D$45</f>
        <v>Solid storage</v>
      </c>
      <c r="F35" s="52" cm="1">
        <f t="array" ref="F35">MMS_Poultry_LeachingAndRunoff_Equations.VEERG_4_6_1_7__2_MassOfNitrogenLostToLeachingAndRunoffFromSolidStorage(F28,$I$14,$I$15)</f>
        <v>1.9352311680000005E-2</v>
      </c>
      <c r="G35" s="52" cm="1">
        <f t="array" ref="G35">MMS_Poultry_LeachingAndRunoff_Equations.VEERG_4_6_1_7__2_MassOfNitrogenLostToLeachingAndRunoffFromSolidStorage(G28,$I$14,$I$15)</f>
        <v>2.0656374336E-2</v>
      </c>
      <c r="H35" s="52" cm="1">
        <f t="array" ref="H35">MMS_Poultry_LeachingAndRunoff_Equations.VEERG_4_6_1_7__2_MassOfNitrogenLostToLeachingAndRunoffFromSolidStorage(H28,$I$14,$I$15)</f>
        <v>2.4247511808E-2</v>
      </c>
      <c r="I35" s="52" cm="1">
        <f t="array" ref="I35">MMS_Poultry_LeachingAndRunoff_Equations.VEERG_4_6_1_7__2_MassOfNitrogenLostToLeachingAndRunoffFromSolidStorage(I28,$I$14,$I$15)</f>
        <v>2.0656374336E-2</v>
      </c>
      <c r="J35" s="2"/>
      <c r="N35" s="52" t="str">
        <f>'Input - Poultry'!$D$31</f>
        <v>Belt manure removal</v>
      </c>
      <c r="O35" s="52" t="str">
        <f>'Input - Poultry'!$D$45</f>
        <v>Solid storage</v>
      </c>
      <c r="P35" s="52" cm="1">
        <f t="array" ref="P35">MMS_Poultry_LeachingAndRunoff_Equations.VEERG_4_6_1_7__2_MassOfNitrogenLostToLeachingAndRunoffFromSolidStorage(P28,$I$14,$I$15)</f>
        <v>1.9352311680000005E-2</v>
      </c>
      <c r="Q35" s="52" cm="1">
        <f t="array" ref="Q35">MMS_Poultry_LeachingAndRunoff_Equations.VEERG_4_6_1_7__2_MassOfNitrogenLostToLeachingAndRunoffFromSolidStorage(Q28,$I$14,$I$15)</f>
        <v>2.0656374336E-2</v>
      </c>
      <c r="R35" s="52" cm="1">
        <f t="array" ref="R35">MMS_Poultry_LeachingAndRunoff_Equations.VEERG_4_6_1_7__2_MassOfNitrogenLostToLeachingAndRunoffFromSolidStorage(R28,$I$14,$I$15)</f>
        <v>2.4247511808E-2</v>
      </c>
      <c r="S35" s="52" cm="1">
        <f t="array" ref="S35">MMS_Poultry_LeachingAndRunoff_Equations.VEERG_4_6_1_7__2_MassOfNitrogenLostToLeachingAndRunoffFromSolidStorage(S28,$I$14,$I$15)</f>
        <v>2.0656374336E-2</v>
      </c>
      <c r="T35" s="2"/>
    </row>
    <row r="36" spans="3:21" ht="20.100000000000001" customHeight="1" x14ac:dyDescent="0.25">
      <c r="D36" s="52" t="str">
        <f>'Input - Poultry'!$D$32</f>
        <v>Manure stored in house</v>
      </c>
      <c r="E36" s="52" t="str">
        <f>'Input - Poultry'!$D$52</f>
        <v>Solid storage</v>
      </c>
      <c r="F36" s="52" cm="1">
        <f t="array" ref="F36">MMS_Poultry_LeachingAndRunoff_Equations.VEERG_4_6_1_7__2_MassOfNitrogenLostToLeachingAndRunoffFromSolidStorage(F29,$I$14,$I$15)</f>
        <v>1.2214999680000003E-2</v>
      </c>
      <c r="G36" s="52" cm="1">
        <f t="array" ref="G36">MMS_Poultry_LeachingAndRunoff_Equations.VEERG_4_6_1_7__2_MassOfNitrogenLostToLeachingAndRunoffFromSolidStorage(G29,$I$14,$I$15)</f>
        <v>1.3038111936E-2</v>
      </c>
      <c r="H36" s="52" cm="1">
        <f t="array" ref="H36">MMS_Poultry_LeachingAndRunoff_Equations.VEERG_4_6_1_7__2_MassOfNitrogenLostToLeachingAndRunoffFromSolidStorage(H29,$I$14,$I$15)</f>
        <v>1.5304804607999998E-2</v>
      </c>
      <c r="I36" s="52" cm="1">
        <f t="array" ref="I36">MMS_Poultry_LeachingAndRunoff_Equations.VEERG_4_6_1_7__2_MassOfNitrogenLostToLeachingAndRunoffFromSolidStorage(I29,$I$14,$I$15)</f>
        <v>1.3038111936E-2</v>
      </c>
      <c r="J36" s="2"/>
      <c r="N36" s="52" t="str">
        <f>'Input - Poultry'!$D$32</f>
        <v>Manure stored in house</v>
      </c>
      <c r="O36" s="52" t="str">
        <f>'Input - Poultry'!$D$52</f>
        <v>Solid storage</v>
      </c>
      <c r="P36" s="52" cm="1">
        <f t="array" ref="P36">MMS_Poultry_LeachingAndRunoff_Equations.VEERG_4_6_1_7__2_MassOfNitrogenLostToLeachingAndRunoffFromSolidStorage(P29,$I$14,$I$15)</f>
        <v>1.2214999680000003E-2</v>
      </c>
      <c r="Q36" s="52" cm="1">
        <f t="array" ref="Q36">MMS_Poultry_LeachingAndRunoff_Equations.VEERG_4_6_1_7__2_MassOfNitrogenLostToLeachingAndRunoffFromSolidStorage(Q29,$I$14,$I$15)</f>
        <v>1.3038111936E-2</v>
      </c>
      <c r="R36" s="52" cm="1">
        <f t="array" ref="R36">MMS_Poultry_LeachingAndRunoff_Equations.VEERG_4_6_1_7__2_MassOfNitrogenLostToLeachingAndRunoffFromSolidStorage(R29,$I$14,$I$15)</f>
        <v>1.5304804607999998E-2</v>
      </c>
      <c r="S36" s="52"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5"/>
      <c r="D39" s="45"/>
      <c r="E39" s="45"/>
      <c r="F39" s="45"/>
      <c r="G39" s="45"/>
      <c r="H39" s="45"/>
      <c r="I39" s="45"/>
      <c r="J39" s="45"/>
      <c r="K39" s="45"/>
      <c r="M39" s="45"/>
      <c r="N39" s="45"/>
      <c r="O39" s="45"/>
      <c r="P39" s="45"/>
      <c r="Q39" s="45"/>
      <c r="R39" s="45"/>
      <c r="S39" s="45"/>
      <c r="T39" s="45"/>
      <c r="U39" s="45"/>
    </row>
    <row r="40" spans="3:21" ht="20.100000000000001" customHeight="1" x14ac:dyDescent="0.25">
      <c r="D40" s="1"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3" t="s">
        <v>26</v>
      </c>
      <c r="E45" s="1" t="str" cm="1">
        <f t="array" ref="E45">MMS_Poultry_LeachingAndRunoff_Equations.VEERG_4_6_1_7__1_AnnualEmissionsFromLeachingAndRunoffFromMMS_Variable()</f>
        <v>E_N2Oleach</v>
      </c>
    </row>
    <row r="46" spans="3:21" ht="20.100000000000001" customHeight="1" x14ac:dyDescent="0.25">
      <c r="D46" s="53" t="s">
        <v>16</v>
      </c>
      <c r="E46" s="54"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41" t="str" cm="1">
        <f t="array" ref="D48:E50">_xlfn.CHOOSECOLS(MMS_Poultry_LeachingAndRunoff_Equations.VEERG_4_6_1_7__1_AnnualEmissionsFromLeachingAndRunoffFromMMS_Arguments(),1,2)</f>
        <v>MNLeach_jkm4</v>
      </c>
      <c r="E48" s="144" t="str">
        <v>mass of N lost through leaching and runoff from each MMS</v>
      </c>
      <c r="F48" s="143"/>
      <c r="G48" s="141" t="str" cm="1">
        <f t="array" ref="G48:H50">_xlfn.CHOOSECOLS(MMS_Poultry_LeachingAndRunoff_Equations.VEERG_4_6_1_7__1_AnnualEmissionsFromLeachingAndRunoffFromMMS_Arguments(),3,4)</f>
        <v>kg N</v>
      </c>
      <c r="H48" s="140" t="str">
        <v>Calculated from 4.6.1.7 (2)</v>
      </c>
      <c r="I48" s="142" t="str" cm="1">
        <f t="array" aca="1" ref="I48" ca="1">HYPERLINK(Common_InputFunctions.Utility_SourceHyperlink($D$31),$D$31)</f>
        <v>M1_Table_MN_Leach_j_k_m-4</v>
      </c>
    </row>
    <row r="49" spans="4:20" ht="20.100000000000001" customHeight="1" x14ac:dyDescent="0.25">
      <c r="D49" s="141" t="str">
        <v>EF_leach</v>
      </c>
      <c r="E49" s="144" t="str">
        <v>emission factor for leaching and runoff</v>
      </c>
      <c r="F49" s="143"/>
      <c r="G49" s="141" t="str">
        <v>kg N2O-N/kg N</v>
      </c>
      <c r="H49" s="140" t="str">
        <v>Constant</v>
      </c>
      <c r="I49" s="141">
        <f>'Constants - Common'!$E$170</f>
        <v>1.0999999999999999E-2</v>
      </c>
    </row>
    <row r="50" spans="4:20" ht="20.100000000000001" customHeight="1" x14ac:dyDescent="0.25">
      <c r="D50" s="141" t="str">
        <v>C_N2O</v>
      </c>
      <c r="E50" s="144" t="str">
        <v>factor to convert elemental mass of N2O to molecular mass</v>
      </c>
      <c r="F50" s="143"/>
      <c r="G50" s="141" t="str">
        <v>ratio</v>
      </c>
      <c r="H50" s="140" t="str">
        <v>Constant</v>
      </c>
      <c r="I50" s="141">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8" t="s">
        <v>158</v>
      </c>
      <c r="N52" s="98" t="s">
        <v>160</v>
      </c>
    </row>
    <row r="53" spans="4:20" ht="20.100000000000001" customHeight="1" x14ac:dyDescent="0.25">
      <c r="D53" s="97" t="s">
        <v>159</v>
      </c>
      <c r="N53" s="97" t="s">
        <v>161</v>
      </c>
    </row>
    <row r="54" spans="4:20" ht="20.100000000000001" customHeight="1" x14ac:dyDescent="0.25">
      <c r="D54" s="51" t="s">
        <v>133</v>
      </c>
      <c r="E54" s="51" t="s">
        <v>135</v>
      </c>
      <c r="F54" s="51" t="s">
        <v>194</v>
      </c>
      <c r="G54" s="51" t="s">
        <v>195</v>
      </c>
      <c r="H54" s="51" t="s">
        <v>207</v>
      </c>
      <c r="I54" s="51" t="s">
        <v>208</v>
      </c>
      <c r="N54" s="51" t="s">
        <v>133</v>
      </c>
      <c r="O54" s="51" t="s">
        <v>135</v>
      </c>
      <c r="P54" s="51" t="s">
        <v>194</v>
      </c>
      <c r="Q54" s="51" t="s">
        <v>195</v>
      </c>
      <c r="R54" s="51" t="s">
        <v>207</v>
      </c>
      <c r="S54" s="51" t="s">
        <v>208</v>
      </c>
    </row>
    <row r="55" spans="4:20" ht="20.100000000000001" customHeight="1" x14ac:dyDescent="0.25">
      <c r="D55" s="52" t="str">
        <f>'Input - Poultry'!$D$30</f>
        <v>Poultry manure with bedding</v>
      </c>
      <c r="E55" s="52" t="str">
        <f>'Input - Poultry'!$D$38</f>
        <v>Solid storage</v>
      </c>
      <c r="F55" s="52" cm="1">
        <f t="array" ref="F55">MMS_Poultry_LeachingAndRunoff_Equations.VEERG_4_6_1_7__1_AnnualEmissionsFromLeachingAndRunoffFromMMS(F34, $I$49, $I$50)</f>
        <v>2.4639457618285716E-7</v>
      </c>
      <c r="G55" s="52" cm="1">
        <f t="array" ref="G55">MMS_Poultry_LeachingAndRunoff_Equations.VEERG_4_6_1_7__1_AnnualEmissionsFromLeachingAndRunoffFromMMS(G34, $I$49, $I$50)</f>
        <v>2.6299796552228575E-7</v>
      </c>
      <c r="H55" s="52" cm="1">
        <f t="array" ref="H55">MMS_Poultry_LeachingAndRunoff_Equations.VEERG_4_6_1_7__1_AnnualEmissionsFromLeachingAndRunoffFromMMS(H34, $I$49, $I$50)</f>
        <v>3.0872050296685714E-7</v>
      </c>
      <c r="I55" s="52" cm="1">
        <f t="array" ref="I55">MMS_Poultry_LeachingAndRunoff_Equations.VEERG_4_6_1_7__1_AnnualEmissionsFromLeachingAndRunoffFromMMS(I34, $I$49, $I$50)</f>
        <v>2.6299796552228575E-7</v>
      </c>
      <c r="J55" s="2" t="str">
        <f>$E$46</f>
        <v>t N2O</v>
      </c>
      <c r="N55" s="52" t="str">
        <f>'Input - Poultry'!$D$30</f>
        <v>Poultry manure with bedding</v>
      </c>
      <c r="O55" s="52" t="str">
        <f>'Input - Poultry'!$D$38</f>
        <v>Solid storage</v>
      </c>
      <c r="P55" s="52" cm="1">
        <f t="array" ref="P55">MMS_Poultry_LeachingAndRunoff_Equations.VEERG_4_6_1_7__1_AnnualEmissionsFromLeachingAndRunoffFromMMS(P34, $I$49, $I$50)</f>
        <v>2.4639457618285716E-7</v>
      </c>
      <c r="Q55" s="52" cm="1">
        <f t="array" ref="Q55">MMS_Poultry_LeachingAndRunoff_Equations.VEERG_4_6_1_7__1_AnnualEmissionsFromLeachingAndRunoffFromMMS(Q34, $I$49, $I$50)</f>
        <v>2.6299796552228575E-7</v>
      </c>
      <c r="R55" s="52" cm="1">
        <f t="array" ref="R55">MMS_Poultry_LeachingAndRunoff_Equations.VEERG_4_6_1_7__1_AnnualEmissionsFromLeachingAndRunoffFromMMS(R34, $I$49, $I$50)</f>
        <v>3.0872050296685714E-7</v>
      </c>
      <c r="S55" s="52" cm="1">
        <f t="array" ref="S55">MMS_Poultry_LeachingAndRunoff_Equations.VEERG_4_6_1_7__1_AnnualEmissionsFromLeachingAndRunoffFromMMS(S34, $I$49, $I$50)</f>
        <v>2.6299796552228575E-7</v>
      </c>
      <c r="T55" s="2" t="str">
        <f>$E$46</f>
        <v>t N2O</v>
      </c>
    </row>
    <row r="56" spans="4:20" ht="20.100000000000001" customHeight="1" x14ac:dyDescent="0.25">
      <c r="D56" s="52" t="str">
        <f>'Input - Poultry'!$D$31</f>
        <v>Belt manure removal</v>
      </c>
      <c r="E56" s="52" t="str">
        <f>'Input - Poultry'!$D$45</f>
        <v>Solid storage</v>
      </c>
      <c r="F56" s="52" cm="1">
        <f t="array" ref="F56">MMS_Poultry_LeachingAndRunoff_Equations.VEERG_4_6_1_7__1_AnnualEmissionsFromLeachingAndRunoffFromMMS(F35, $I$49, $I$50)</f>
        <v>3.345185304685715E-7</v>
      </c>
      <c r="G56" s="52" cm="1">
        <f t="array" ref="G56">MMS_Poultry_LeachingAndRunoff_Equations.VEERG_4_6_1_7__1_AnnualEmissionsFromLeachingAndRunoffFromMMS(G35, $I$49, $I$50)</f>
        <v>3.5706018495085714E-7</v>
      </c>
      <c r="H56" s="52" cm="1">
        <f t="array" ref="H56">MMS_Poultry_LeachingAndRunoff_Equations.VEERG_4_6_1_7__1_AnnualEmissionsFromLeachingAndRunoffFromMMS(H35, $I$49, $I$50)</f>
        <v>4.1913556125257138E-7</v>
      </c>
      <c r="I56" s="52" cm="1">
        <f t="array" ref="I56">MMS_Poultry_LeachingAndRunoff_Equations.VEERG_4_6_1_7__1_AnnualEmissionsFromLeachingAndRunoffFromMMS(I35, $I$49, $I$50)</f>
        <v>3.5706018495085714E-7</v>
      </c>
      <c r="J56" s="2"/>
      <c r="N56" s="52" t="str">
        <f>'Input - Poultry'!$D$31</f>
        <v>Belt manure removal</v>
      </c>
      <c r="O56" s="52" t="str">
        <f>'Input - Poultry'!$D$45</f>
        <v>Solid storage</v>
      </c>
      <c r="P56" s="52" cm="1">
        <f t="array" ref="P56">MMS_Poultry_LeachingAndRunoff_Equations.VEERG_4_6_1_7__1_AnnualEmissionsFromLeachingAndRunoffFromMMS(P35, $I$49, $I$50)</f>
        <v>3.345185304685715E-7</v>
      </c>
      <c r="Q56" s="52" cm="1">
        <f t="array" ref="Q56">MMS_Poultry_LeachingAndRunoff_Equations.VEERG_4_6_1_7__1_AnnualEmissionsFromLeachingAndRunoffFromMMS(Q35, $I$49, $I$50)</f>
        <v>3.5706018495085714E-7</v>
      </c>
      <c r="R56" s="52" cm="1">
        <f t="array" ref="R56">MMS_Poultry_LeachingAndRunoff_Equations.VEERG_4_6_1_7__1_AnnualEmissionsFromLeachingAndRunoffFromMMS(R35, $I$49, $I$50)</f>
        <v>4.1913556125257138E-7</v>
      </c>
      <c r="S56" s="52" cm="1">
        <f t="array" ref="S56">MMS_Poultry_LeachingAndRunoff_Equations.VEERG_4_6_1_7__1_AnnualEmissionsFromLeachingAndRunoffFromMMS(S35, $I$49, $I$50)</f>
        <v>3.5706018495085714E-7</v>
      </c>
      <c r="T56" s="2"/>
    </row>
    <row r="57" spans="4:20" ht="20.100000000000001" customHeight="1" x14ac:dyDescent="0.25">
      <c r="D57" s="52" t="str">
        <f>'Input - Poultry'!$D$32</f>
        <v>Manure stored in house</v>
      </c>
      <c r="E57" s="52" t="str">
        <f>'Input - Poultry'!$D$52</f>
        <v>Solid storage</v>
      </c>
      <c r="F57" s="52" cm="1">
        <f t="array" ref="F57">MMS_Poultry_LeachingAndRunoff_Equations.VEERG_4_6_1_7__1_AnnualEmissionsFromLeachingAndRunoffFromMMS(F36, $I$49, $I$50)</f>
        <v>2.1114499446857149E-7</v>
      </c>
      <c r="G57" s="52" cm="1">
        <f t="array" ref="G57">MMS_Poultry_LeachingAndRunoff_Equations.VEERG_4_6_1_7__1_AnnualEmissionsFromLeachingAndRunoffFromMMS(G36, $I$49, $I$50)</f>
        <v>2.253730777508571E-7</v>
      </c>
      <c r="H57" s="52" cm="1">
        <f t="array" ref="H57">MMS_Poultry_LeachingAndRunoff_Equations.VEERG_4_6_1_7__1_AnnualEmissionsFromLeachingAndRunoffFromMMS(H36, $I$49, $I$50)</f>
        <v>2.6455447965257135E-7</v>
      </c>
      <c r="I57" s="52" cm="1">
        <f t="array" ref="I57">MMS_Poultry_LeachingAndRunoff_Equations.VEERG_4_6_1_7__1_AnnualEmissionsFromLeachingAndRunoffFromMMS(I36, $I$49, $I$50)</f>
        <v>2.253730777508571E-7</v>
      </c>
      <c r="J57" s="2"/>
      <c r="N57" s="52" t="str">
        <f>'Input - Poultry'!$D$32</f>
        <v>Manure stored in house</v>
      </c>
      <c r="O57" s="52" t="str">
        <f>'Input - Poultry'!$D$52</f>
        <v>Solid storage</v>
      </c>
      <c r="P57" s="52" cm="1">
        <f t="array" ref="P57">MMS_Poultry_LeachingAndRunoff_Equations.VEERG_4_6_1_7__1_AnnualEmissionsFromLeachingAndRunoffFromMMS(P36, $I$49, $I$50)</f>
        <v>2.1114499446857149E-7</v>
      </c>
      <c r="Q57" s="52" cm="1">
        <f t="array" ref="Q57">MMS_Poultry_LeachingAndRunoff_Equations.VEERG_4_6_1_7__1_AnnualEmissionsFromLeachingAndRunoffFromMMS(Q36, $I$49, $I$50)</f>
        <v>2.253730777508571E-7</v>
      </c>
      <c r="R57" s="52" cm="1">
        <f t="array" ref="R57">MMS_Poultry_LeachingAndRunoff_Equations.VEERG_4_6_1_7__1_AnnualEmissionsFromLeachingAndRunoffFromMMS(R36, $I$49, $I$50)</f>
        <v>2.6455447965257135E-7</v>
      </c>
      <c r="S57" s="52"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9" t="s">
        <v>283</v>
      </c>
      <c r="E59" s="100">
        <f>SUM(F55:I57)</f>
        <v>3.4753311014399998E-6</v>
      </c>
      <c r="F59" s="101" t="str">
        <f>$E$46</f>
        <v>t N2O</v>
      </c>
      <c r="N59" s="99" t="s">
        <v>283</v>
      </c>
      <c r="O59" s="100">
        <f>SUM(P55:S57)</f>
        <v>3.4753311014399998E-6</v>
      </c>
      <c r="P59" s="101" t="str">
        <f>$E$46</f>
        <v>t N2O</v>
      </c>
    </row>
    <row r="60" spans="4:20" ht="20.100000000000001" customHeight="1" x14ac:dyDescent="0.25"/>
    <row r="61" spans="4:20" ht="20.100000000000001" customHeight="1" x14ac:dyDescent="0.25">
      <c r="D61" s="57" t="str" cm="1">
        <f t="array" ref="D61:E62">Common_Equations.Common_ConvertN2OToCO2e_Arguments()</f>
        <v>EN2O</v>
      </c>
      <c r="E61" s="58" t="str">
        <v>Nitrous oxide emissions (t N2O)</v>
      </c>
      <c r="F61" s="102"/>
      <c r="G61" s="52">
        <f>E59</f>
        <v>3.4753311014399998E-6</v>
      </c>
      <c r="N61" s="57" t="str" cm="1">
        <f t="array" ref="N61:O62">Common_Equations.Common_ConvertN2OToCO2e_Arguments()</f>
        <v>EN2O</v>
      </c>
      <c r="O61" s="58" t="str">
        <v>Nitrous oxide emissions (t N2O)</v>
      </c>
      <c r="P61" s="102"/>
      <c r="Q61" s="52">
        <f>O59</f>
        <v>3.4753311014399998E-6</v>
      </c>
    </row>
    <row r="62" spans="4:20" ht="20.100000000000001" customHeight="1" x14ac:dyDescent="0.25">
      <c r="D62" s="57" t="str">
        <v>GWPN2O</v>
      </c>
      <c r="E62" s="58" t="str">
        <v>Global warming potential for nitrous oxide (t CO2-e / t N2O)</v>
      </c>
      <c r="F62" s="102"/>
      <c r="G62" s="52">
        <v>265</v>
      </c>
      <c r="N62" s="57" t="str">
        <v>GWPN2O</v>
      </c>
      <c r="O62" s="58" t="str">
        <v>Global warming potential for nitrous oxide (t CO2-e / t N2O)</v>
      </c>
      <c r="P62" s="102"/>
      <c r="Q62" s="52">
        <v>265</v>
      </c>
    </row>
    <row r="63" spans="4:20" ht="20.100000000000001" customHeight="1" x14ac:dyDescent="0.25"/>
    <row r="64" spans="4:20" ht="20.100000000000001" customHeight="1" x14ac:dyDescent="0.25">
      <c r="D64" s="45" t="s">
        <v>93</v>
      </c>
      <c r="E64" s="45" cm="1">
        <f t="array" ref="E64">Common_Equations.Common_ConvertN2OToCO2e(G61,G62)</f>
        <v>9.2096274188159999E-4</v>
      </c>
      <c r="F64" s="103" t="str" cm="1">
        <f t="array" ref="F64">Common_Equations.Common_ConvertN2OToCO2e_Unit()</f>
        <v>t CO2e</v>
      </c>
      <c r="N64" s="45" t="s">
        <v>93</v>
      </c>
      <c r="O64" s="45" cm="1">
        <f t="array" ref="O64">Common_Equations.Common_ConvertN2OToCO2e(Q61,Q62)</f>
        <v>9.2096274188159999E-4</v>
      </c>
      <c r="P64" s="103"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dimension ref="A1:U210"/>
  <sheetViews>
    <sheetView showGridLines="0" topLeftCell="A107" zoomScaleNormal="100" workbookViewId="0">
      <selection activeCell="O121" sqref="O1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288</v>
      </c>
      <c r="L1"/>
    </row>
    <row r="2" spans="1:21" s="9" customFormat="1" ht="20.100000000000001" customHeight="1" x14ac:dyDescent="0.25">
      <c r="L2"/>
    </row>
    <row r="3" spans="1:21" ht="20.100000000000001" customHeight="1" x14ac:dyDescent="0.25">
      <c r="A3" s="17" t="str">
        <f>HYPERLINK("#'Home'!A1", "Home")</f>
        <v>Home</v>
      </c>
      <c r="C3" s="4"/>
      <c r="D3" s="4" t="s">
        <v>94</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A6" s="16"/>
      <c r="D6" s="5" t="str" cm="1">
        <f t="array" ref="D6">MMS_Poultry_ManureAppliedToSoils_Equations.VEERG_4_6_1_9__1_MassOfNitrogenAppliedToSoilsScope1_Source()</f>
        <v>VEERG 2026: 4.6.1.9, Equation (1)</v>
      </c>
    </row>
    <row r="7" spans="1:21" ht="20.100000000000001" customHeight="1" x14ac:dyDescent="0.25">
      <c r="A7" s="20" t="s">
        <v>1</v>
      </c>
      <c r="D7" s="13" t="s">
        <v>23</v>
      </c>
      <c r="E7" s="13" t="str" cm="1">
        <f t="array" aca="1" ref="E7" ca="1">Common_InputFunctions.Utility_DisplayFunctionName(F105)</f>
        <v>=MMS_Poultry_ManureAppliedToSoils_Equations.VEERG_4_6_1_9__1_MassOfNitrogenAppliedToSoilsScope1</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MMS_Poultry_ManureAppliedToSoils_Equations.VEERG_4_6_1_9__1_MassOfNitrogenAppliedToSoilsScope1_Variable()</f>
        <v>MNSoil_scope1</v>
      </c>
    </row>
    <row r="11" spans="1:21" ht="20.100000000000001" customHeight="1" x14ac:dyDescent="0.25">
      <c r="A11" s="19" t="s">
        <v>70</v>
      </c>
      <c r="D11" s="53" t="s">
        <v>16</v>
      </c>
      <c r="E11" s="54" t="str" cm="1">
        <f t="array" ref="E11">MMS_Poultry_ManureAppliedToSoils_Equations.VEERG_4_6_1_9__1_MassOfNitrogenAppliedToSoilsScope1_Unit()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7">_xlfn.CHOOSECOLS(MMS_Poultry_ManureAppliedToSoils_Equations.VEERG_4_6_1_9__1_MassOfNitrogenAppliedToSoilsScope1_Arguments(),1,2)</f>
        <v>MN_jmT2</v>
      </c>
      <c r="E13" s="144" t="str">
        <v>mass of N in secondary treatment stage as calculated for manure management</v>
      </c>
      <c r="F13" s="143"/>
      <c r="G13" s="141" t="str" cm="1">
        <f t="array" ref="G13:H17">_xlfn.CHOOSECOLS(MMS_Poultry_ManureAppliedToSoils_Equations.VEERG_4_6_1_9__1_MassOfNitrogenAppliedToSoilsScope1_Arguments(),3,4)</f>
        <v>kg N</v>
      </c>
      <c r="H13" s="140" t="str">
        <v>Calculated from 4.6.1.3 (6)</v>
      </c>
      <c r="I13" s="142" t="str" cm="1">
        <f t="array" aca="1" ref="I13" ca="1">HYPERLINK(Common_InputFunctions.Utility_SourceHyperlink($D$19),$D$19)</f>
        <v>M1_Table_MN_j_k_m_T-2</v>
      </c>
    </row>
    <row r="14" spans="1:21" ht="20.100000000000001" customHeight="1" x14ac:dyDescent="0.25">
      <c r="A14" s="17" t="str">
        <f>HYPERLINK("#'4.6.1.5-6 Atmos Dep'!A1", "4.6.1.5-6 Atmospheric deposition")</f>
        <v>4.6.1.5-6 Atmospheric deposition</v>
      </c>
      <c r="D14" s="141" t="str">
        <v>EF_mT2</v>
      </c>
      <c r="E14" s="144" t="str">
        <v>nitrous oxide emission factor for each MMS</v>
      </c>
      <c r="F14" s="143"/>
      <c r="G14" s="141" t="str">
        <v>kg N2O-N/kg N</v>
      </c>
      <c r="H14" s="140" t="str">
        <v>Constant</v>
      </c>
      <c r="I14" s="142" t="str" cm="1">
        <f t="array" aca="1" ref="I14" ca="1">HYPERLINK(Common_InputFunctions.Utility_SourceHyperlink($D$38),$D$38)</f>
        <v>Table_EF_m</v>
      </c>
    </row>
    <row r="15" spans="1:21" ht="20.100000000000001" customHeight="1" x14ac:dyDescent="0.25">
      <c r="A15" s="17" t="str">
        <f>HYPERLINK("#'4.6.1.7-8 Leaching and runoff'!A1", "4.6.1.7-8 Leaching &amp; runoff")</f>
        <v>4.6.1.7-8 Leaching &amp; runoff</v>
      </c>
      <c r="D15" s="141" t="str">
        <v>FracGASM_mT2</v>
      </c>
      <c r="E15" s="144" t="str">
        <v>fraction of animal waste N volatilised in each MMS</v>
      </c>
      <c r="F15" s="143"/>
      <c r="G15" s="141" t="str">
        <v>(kg NH3-N + NOx-N)/kg N</v>
      </c>
      <c r="H15" s="140" t="str">
        <v>Constant</v>
      </c>
      <c r="I15" s="142" t="str" cm="1">
        <f t="array" aca="1" ref="I15" ca="1">HYPERLINK(Common_InputFunctions.Utility_SourceHyperlink($D$51),$D$51)</f>
        <v>Table_FracGASM_m_T</v>
      </c>
    </row>
    <row r="16" spans="1:21" ht="20.100000000000001" customHeight="1" x14ac:dyDescent="0.25">
      <c r="A16" s="129" t="str">
        <f>HYPERLINK("#'4.6.1.9 Manure applied to soils'!A1", "4.6.1.9 Manure applied to soils")</f>
        <v>4.6.1.9 Manure applied to soils</v>
      </c>
      <c r="D16" s="141" t="str">
        <v>MNLeach_MMS</v>
      </c>
      <c r="E16" s="144" t="str">
        <v>mass of N lost through leaching and runoff from MMS</v>
      </c>
      <c r="F16" s="143"/>
      <c r="G16" s="141" t="str">
        <v>kg N</v>
      </c>
      <c r="H16" s="140" t="str">
        <v>Calculated from 4.6.1.7 (2)</v>
      </c>
      <c r="I16" s="142" t="str" cm="1">
        <f t="array" aca="1" ref="I16" ca="1">HYPERLINK(Common_InputFunctions.Utility_SourceHyperlink($D$64),$D$64)</f>
        <v>M1_Table_MNLeach_MMS</v>
      </c>
    </row>
    <row r="17" spans="1:20" ht="20.100000000000001" customHeight="1" x14ac:dyDescent="0.25">
      <c r="A17" s="17" t="str">
        <f>HYPERLINK("#'4.6.1.10-11 Soil direct N2O'!A1", "4.6.1.10-11 Soil direct N2O")</f>
        <v>4.6.1.10-11 Soil direct N2O</v>
      </c>
      <c r="D17" s="141" t="str">
        <v>PF</v>
      </c>
      <c r="E17" s="144" t="str">
        <v>fraction of manure applied to soil within the farm boundary</v>
      </c>
      <c r="F17" s="143"/>
      <c r="G17" s="141" t="str">
        <v>fraction</v>
      </c>
      <c r="H17" s="139" t="str">
        <v>Input</v>
      </c>
      <c r="I17" s="142" t="str" cm="1">
        <f t="array" aca="1" ref="I17" ca="1">HYPERLINK(Common_InputFunctions.Utility_SourceHyperlink($D$83),$D$83)</f>
        <v>Table_PF</v>
      </c>
    </row>
    <row r="18" spans="1:20" ht="20.100000000000001" customHeight="1" x14ac:dyDescent="0.25">
      <c r="A18" s="17" t="str">
        <f>HYPERLINK("#'4.6.1.12-13 Soil atmos dep'!A1", "4.6.1.12-13 Soil Atm. deposition")</f>
        <v>4.6.1.12-13 Soil Atm. deposition</v>
      </c>
    </row>
    <row r="19" spans="1:20" ht="20.100000000000001" customHeight="1" x14ac:dyDescent="0.25">
      <c r="A19" s="17" t="str">
        <f>HYPERLINK("#'4.6.1.14-15 Soil leach runoff'!A1", "4.6.1.14-15 Soil leach &amp; runoff")</f>
        <v>4.6.1.14-15 Soil leach &amp; runoff</v>
      </c>
      <c r="D19" s="98" t="s">
        <v>268</v>
      </c>
      <c r="N19" s="98" t="s">
        <v>269</v>
      </c>
    </row>
    <row r="20" spans="1:20" ht="20.100000000000001" customHeight="1" x14ac:dyDescent="0.25">
      <c r="D20" s="97" t="s">
        <v>153</v>
      </c>
      <c r="N20" s="97" t="s">
        <v>165</v>
      </c>
    </row>
    <row r="21" spans="1:20" ht="20.100000000000001" customHeight="1" x14ac:dyDescent="0.25">
      <c r="A21" s="18" t="s">
        <v>2</v>
      </c>
      <c r="D21" s="51" t="s">
        <v>133</v>
      </c>
      <c r="E21" s="51" t="s">
        <v>135</v>
      </c>
      <c r="F21" s="51" t="s">
        <v>194</v>
      </c>
      <c r="G21" s="51" t="s">
        <v>195</v>
      </c>
      <c r="H21" s="51" t="s">
        <v>207</v>
      </c>
      <c r="I21" s="51" t="s">
        <v>208</v>
      </c>
      <c r="N21" s="51" t="s">
        <v>133</v>
      </c>
      <c r="O21" s="51" t="s">
        <v>135</v>
      </c>
      <c r="P21" s="51" t="s">
        <v>194</v>
      </c>
      <c r="Q21" s="51" t="s">
        <v>195</v>
      </c>
      <c r="R21" s="51" t="s">
        <v>207</v>
      </c>
      <c r="S21" s="51" t="s">
        <v>208</v>
      </c>
    </row>
    <row r="22" spans="1:20" ht="20.100000000000001" customHeight="1" x14ac:dyDescent="0.25">
      <c r="A22" s="17" t="str">
        <f>HYPERLINK("#'Constants - Poultry'!A1", "Constants - Poultry")</f>
        <v>Constants - Poultry</v>
      </c>
      <c r="D22" s="52" t="str">
        <f>'Input - Poultry'!$D$30</f>
        <v>Poultry manure with bedding</v>
      </c>
      <c r="E22" s="52" t="str">
        <f>'Input - Poultry'!$D$38</f>
        <v>Solid storage</v>
      </c>
      <c r="F22" s="52">
        <f>'4.6.1.3-4 Direct N20'!F189</f>
        <v>0.71271158400000012</v>
      </c>
      <c r="G22" s="52">
        <f>'4.6.1.3-4 Direct N20'!G189</f>
        <v>0.76073791680000002</v>
      </c>
      <c r="H22" s="52">
        <f>'4.6.1.3-4 Direct N20'!H189</f>
        <v>0.89299319039999991</v>
      </c>
      <c r="I22" s="52">
        <f>'4.6.1.3-4 Direct N20'!I189</f>
        <v>0.76073791680000002</v>
      </c>
      <c r="J22" s="2" t="str">
        <f>$G$13</f>
        <v>kg N</v>
      </c>
      <c r="N22" s="52" t="str">
        <f>'Input - Poultry'!$D$30</f>
        <v>Poultry manure with bedding</v>
      </c>
      <c r="O22" s="52" t="str">
        <f>'Input - Poultry'!$D$38</f>
        <v>Solid storage</v>
      </c>
      <c r="P22" s="52">
        <f>'4.6.1.3-4 Direct N20'!P189</f>
        <v>0.71271158400000012</v>
      </c>
      <c r="Q22" s="52">
        <f>'4.6.1.3-4 Direct N20'!Q189</f>
        <v>0.76073791680000002</v>
      </c>
      <c r="R22" s="52">
        <f>'4.6.1.3-4 Direct N20'!R189</f>
        <v>0.89299319039999991</v>
      </c>
      <c r="S22" s="52">
        <f>'4.6.1.3-4 Direct N20'!S189</f>
        <v>0.76073791680000002</v>
      </c>
      <c r="T22" s="2" t="str">
        <f>$G$13</f>
        <v>kg N</v>
      </c>
    </row>
    <row r="23" spans="1:20" ht="20.100000000000001" customHeight="1" x14ac:dyDescent="0.25">
      <c r="A23" s="17" t="str">
        <f>HYPERLINK("#'Constants - Livestock'!A1", "Constants - Livestock")</f>
        <v>Constants - Livestock</v>
      </c>
      <c r="D23" s="52"/>
      <c r="E23" s="52" t="str">
        <f>'Input - Poultry'!$D$39</f>
        <v>Composting (passive windrow)</v>
      </c>
      <c r="F23" s="52">
        <f>'4.6.1.3-4 Direct N20'!F190</f>
        <v>0.71271158400000012</v>
      </c>
      <c r="G23" s="52">
        <f>'4.6.1.3-4 Direct N20'!G190</f>
        <v>0.76073791680000002</v>
      </c>
      <c r="H23" s="52">
        <f>'4.6.1.3-4 Direct N20'!H190</f>
        <v>0.89299319039999991</v>
      </c>
      <c r="I23" s="52">
        <f>'4.6.1.3-4 Direct N20'!I190</f>
        <v>0.76073791680000002</v>
      </c>
      <c r="J23" s="2"/>
      <c r="N23" s="52"/>
      <c r="O23" s="52" t="str">
        <f>'Input - Poultry'!$D$39</f>
        <v>Composting (passive windrow)</v>
      </c>
      <c r="P23" s="52">
        <f>'4.6.1.3-4 Direct N20'!P190</f>
        <v>0.71271158400000012</v>
      </c>
      <c r="Q23" s="52">
        <f>'4.6.1.3-4 Direct N20'!Q190</f>
        <v>0.76073791680000002</v>
      </c>
      <c r="R23" s="52">
        <f>'4.6.1.3-4 Direct N20'!R190</f>
        <v>0.89299319039999991</v>
      </c>
      <c r="S23" s="52">
        <f>'4.6.1.3-4 Direct N20'!S190</f>
        <v>0.76073791680000002</v>
      </c>
      <c r="T23" s="2"/>
    </row>
    <row r="24" spans="1:20" ht="20.100000000000001" customHeight="1" x14ac:dyDescent="0.25">
      <c r="A24" s="17" t="str">
        <f>HYPERLINK("#'Constants - Common'!A1", "Constants - Common")</f>
        <v>Constants - Common</v>
      </c>
      <c r="D24" s="52"/>
      <c r="E24" s="52" t="str">
        <f>'Input - Poultry'!$D$40</f>
        <v>Digester / covered lagoons</v>
      </c>
      <c r="F24" s="52">
        <f>'4.6.1.3-4 Direct N20'!F191</f>
        <v>0.71271158400000012</v>
      </c>
      <c r="G24" s="52">
        <f>'4.6.1.3-4 Direct N20'!G191</f>
        <v>0.76073791680000002</v>
      </c>
      <c r="H24" s="52">
        <f>'4.6.1.3-4 Direct N20'!H191</f>
        <v>0.89299319039999991</v>
      </c>
      <c r="I24" s="52">
        <f>'4.6.1.3-4 Direct N20'!I191</f>
        <v>0.76073791680000002</v>
      </c>
      <c r="J24" s="2"/>
      <c r="N24" s="52"/>
      <c r="O24" s="52" t="str">
        <f>'Input - Poultry'!$D$40</f>
        <v>Digester / covered lagoons</v>
      </c>
      <c r="P24" s="52">
        <f>'4.6.1.3-4 Direct N20'!P191</f>
        <v>0.71271158400000012</v>
      </c>
      <c r="Q24" s="52">
        <f>'4.6.1.3-4 Direct N20'!Q191</f>
        <v>0.76073791680000002</v>
      </c>
      <c r="R24" s="52">
        <f>'4.6.1.3-4 Direct N20'!R191</f>
        <v>0.89299319039999991</v>
      </c>
      <c r="S24" s="52">
        <f>'4.6.1.3-4 Direct N20'!S191</f>
        <v>0.76073791680000002</v>
      </c>
      <c r="T24" s="2"/>
    </row>
    <row r="25" spans="1:20" ht="20.100000000000001" customHeight="1" x14ac:dyDescent="0.25">
      <c r="A25" s="17"/>
      <c r="D25" s="52"/>
      <c r="E25" s="52" t="str">
        <f>'Input - Poultry'!$D$41</f>
        <v>Direct processing</v>
      </c>
      <c r="F25" s="52">
        <f>'4.6.1.3-4 Direct N20'!F192</f>
        <v>0.71271158400000012</v>
      </c>
      <c r="G25" s="52">
        <f>'4.6.1.3-4 Direct N20'!G192</f>
        <v>0.76073791680000002</v>
      </c>
      <c r="H25" s="52">
        <f>'4.6.1.3-4 Direct N20'!H192</f>
        <v>0.89299319039999991</v>
      </c>
      <c r="I25" s="52">
        <f>'4.6.1.3-4 Direct N20'!I192</f>
        <v>0.76073791680000002</v>
      </c>
      <c r="J25" s="2"/>
      <c r="N25" s="52"/>
      <c r="O25" s="52" t="str">
        <f>'Input - Poultry'!$D$41</f>
        <v>Direct processing</v>
      </c>
      <c r="P25" s="52">
        <f>'4.6.1.3-4 Direct N20'!P192</f>
        <v>0.71271158400000012</v>
      </c>
      <c r="Q25" s="52">
        <f>'4.6.1.3-4 Direct N20'!Q192</f>
        <v>0.76073791680000002</v>
      </c>
      <c r="R25" s="52">
        <f>'4.6.1.3-4 Direct N20'!R192</f>
        <v>0.89299319039999991</v>
      </c>
      <c r="S25" s="52">
        <f>'4.6.1.3-4 Direct N20'!S192</f>
        <v>0.76073791680000002</v>
      </c>
      <c r="T25" s="2"/>
    </row>
    <row r="26" spans="1:20" ht="20.100000000000001" customHeight="1" x14ac:dyDescent="0.25">
      <c r="D26" s="52"/>
      <c r="E26" s="52" t="str">
        <f>'Input - Poultry'!$D$42</f>
        <v>Direct application</v>
      </c>
      <c r="F26" s="52">
        <f>'4.6.1.3-4 Direct N20'!F193</f>
        <v>0.71271158400000012</v>
      </c>
      <c r="G26" s="52">
        <f>'4.6.1.3-4 Direct N20'!G193</f>
        <v>0.76073791680000002</v>
      </c>
      <c r="H26" s="52">
        <f>'4.6.1.3-4 Direct N20'!H193</f>
        <v>0.89299319039999991</v>
      </c>
      <c r="I26" s="52">
        <f>'4.6.1.3-4 Direct N20'!I193</f>
        <v>0.76073791680000002</v>
      </c>
      <c r="N26" s="52"/>
      <c r="O26" s="52" t="str">
        <f>'Input - Poultry'!$D$42</f>
        <v>Direct application</v>
      </c>
      <c r="P26" s="52">
        <f>'4.6.1.3-4 Direct N20'!P193</f>
        <v>0.71271158400000012</v>
      </c>
      <c r="Q26" s="52">
        <f>'4.6.1.3-4 Direct N20'!Q193</f>
        <v>0.76073791680000002</v>
      </c>
      <c r="R26" s="52">
        <f>'4.6.1.3-4 Direct N20'!R193</f>
        <v>0.89299319039999991</v>
      </c>
      <c r="S26" s="52">
        <f>'4.6.1.3-4 Direct N20'!S193</f>
        <v>0.76073791680000002</v>
      </c>
    </row>
    <row r="27" spans="1:20" ht="20.100000000000001" customHeight="1" x14ac:dyDescent="0.25">
      <c r="D27" s="52" t="str">
        <f>'Input - Poultry'!$D$31</f>
        <v>Belt manure removal</v>
      </c>
      <c r="E27" s="52" t="str">
        <f>'Input - Poultry'!$D$45</f>
        <v>Solid storage</v>
      </c>
      <c r="F27" s="52">
        <f>'4.6.1.3-4 Direct N20'!F194</f>
        <v>0.96761558400000025</v>
      </c>
      <c r="G27" s="52">
        <f>'4.6.1.3-4 Direct N20'!G194</f>
        <v>1.0328187168</v>
      </c>
      <c r="H27" s="52">
        <f>'4.6.1.3-4 Direct N20'!H194</f>
        <v>1.2123755904</v>
      </c>
      <c r="I27" s="52">
        <f>'4.6.1.3-4 Direct N20'!I194</f>
        <v>1.0328187168</v>
      </c>
      <c r="J27" s="2"/>
      <c r="N27" s="52" t="str">
        <f>'Input - Poultry'!$D$31</f>
        <v>Belt manure removal</v>
      </c>
      <c r="O27" s="52" t="str">
        <f>'Input - Poultry'!$D$45</f>
        <v>Solid storage</v>
      </c>
      <c r="P27" s="52">
        <f>'4.6.1.3-4 Direct N20'!P194</f>
        <v>0.96761558400000025</v>
      </c>
      <c r="Q27" s="52">
        <f>'4.6.1.3-4 Direct N20'!Q194</f>
        <v>1.0328187168</v>
      </c>
      <c r="R27" s="52">
        <f>'4.6.1.3-4 Direct N20'!R194</f>
        <v>1.2123755904</v>
      </c>
      <c r="S27" s="52">
        <f>'4.6.1.3-4 Direct N20'!S194</f>
        <v>1.0328187168</v>
      </c>
      <c r="T27" s="2"/>
    </row>
    <row r="28" spans="1:20" ht="20.100000000000001" customHeight="1" x14ac:dyDescent="0.25">
      <c r="D28" s="52"/>
      <c r="E28" s="52" t="str">
        <f>'Input - Poultry'!$D$46</f>
        <v>Composting (passive windrow)</v>
      </c>
      <c r="F28" s="52">
        <f>'4.6.1.3-4 Direct N20'!F195</f>
        <v>0.96761558400000025</v>
      </c>
      <c r="G28" s="52">
        <f>'4.6.1.3-4 Direct N20'!G195</f>
        <v>1.0328187168</v>
      </c>
      <c r="H28" s="52">
        <f>'4.6.1.3-4 Direct N20'!H195</f>
        <v>1.2123755904</v>
      </c>
      <c r="I28" s="52">
        <f>'4.6.1.3-4 Direct N20'!I195</f>
        <v>1.0328187168</v>
      </c>
      <c r="J28" s="2"/>
      <c r="N28" s="52"/>
      <c r="O28" s="52" t="str">
        <f>'Input - Poultry'!$D$46</f>
        <v>Composting (passive windrow)</v>
      </c>
      <c r="P28" s="52">
        <f>'4.6.1.3-4 Direct N20'!P195</f>
        <v>0.96761558400000025</v>
      </c>
      <c r="Q28" s="52">
        <f>'4.6.1.3-4 Direct N20'!Q195</f>
        <v>1.0328187168</v>
      </c>
      <c r="R28" s="52">
        <f>'4.6.1.3-4 Direct N20'!R195</f>
        <v>1.2123755904</v>
      </c>
      <c r="S28" s="52">
        <f>'4.6.1.3-4 Direct N20'!S195</f>
        <v>1.0328187168</v>
      </c>
      <c r="T28" s="2"/>
    </row>
    <row r="29" spans="1:20" ht="20.100000000000001" customHeight="1" x14ac:dyDescent="0.25">
      <c r="D29" s="52"/>
      <c r="E29" s="52" t="str">
        <f>'Input - Poultry'!$D$47</f>
        <v>Digester / covered lagoons</v>
      </c>
      <c r="F29" s="52">
        <f>'4.6.1.3-4 Direct N20'!F196</f>
        <v>0.96761558400000025</v>
      </c>
      <c r="G29" s="52">
        <f>'4.6.1.3-4 Direct N20'!G196</f>
        <v>1.0328187168</v>
      </c>
      <c r="H29" s="52">
        <f>'4.6.1.3-4 Direct N20'!H196</f>
        <v>1.2123755904</v>
      </c>
      <c r="I29" s="52">
        <f>'4.6.1.3-4 Direct N20'!I196</f>
        <v>1.0328187168</v>
      </c>
      <c r="J29" s="2"/>
      <c r="N29" s="52"/>
      <c r="O29" s="52" t="str">
        <f>'Input - Poultry'!$D$47</f>
        <v>Digester / covered lagoons</v>
      </c>
      <c r="P29" s="52">
        <f>'4.6.1.3-4 Direct N20'!P196</f>
        <v>0.96761558400000025</v>
      </c>
      <c r="Q29" s="52">
        <f>'4.6.1.3-4 Direct N20'!Q196</f>
        <v>1.0328187168</v>
      </c>
      <c r="R29" s="52">
        <f>'4.6.1.3-4 Direct N20'!R196</f>
        <v>1.2123755904</v>
      </c>
      <c r="S29" s="52">
        <f>'4.6.1.3-4 Direct N20'!S196</f>
        <v>1.0328187168</v>
      </c>
      <c r="T29" s="2"/>
    </row>
    <row r="30" spans="1:20" ht="20.100000000000001" customHeight="1" x14ac:dyDescent="0.25">
      <c r="D30" s="52"/>
      <c r="E30" s="52" t="str">
        <f>'Input - Poultry'!$D$48</f>
        <v>Direct processing</v>
      </c>
      <c r="F30" s="52">
        <f>'4.6.1.3-4 Direct N20'!F197</f>
        <v>0.96761558400000025</v>
      </c>
      <c r="G30" s="52">
        <f>'4.6.1.3-4 Direct N20'!G197</f>
        <v>1.0328187168</v>
      </c>
      <c r="H30" s="52">
        <f>'4.6.1.3-4 Direct N20'!H197</f>
        <v>1.2123755904</v>
      </c>
      <c r="I30" s="52">
        <f>'4.6.1.3-4 Direct N20'!I197</f>
        <v>1.0328187168</v>
      </c>
      <c r="J30" s="2"/>
      <c r="N30" s="52"/>
      <c r="O30" s="52" t="str">
        <f>'Input - Poultry'!$D$48</f>
        <v>Direct processing</v>
      </c>
      <c r="P30" s="52">
        <f>'4.6.1.3-4 Direct N20'!P197</f>
        <v>0.96761558400000025</v>
      </c>
      <c r="Q30" s="52">
        <f>'4.6.1.3-4 Direct N20'!Q197</f>
        <v>1.0328187168</v>
      </c>
      <c r="R30" s="52">
        <f>'4.6.1.3-4 Direct N20'!R197</f>
        <v>1.2123755904</v>
      </c>
      <c r="S30" s="52">
        <f>'4.6.1.3-4 Direct N20'!S197</f>
        <v>1.0328187168</v>
      </c>
      <c r="T30" s="2"/>
    </row>
    <row r="31" spans="1:20" ht="20.100000000000001" customHeight="1" x14ac:dyDescent="0.25">
      <c r="D31" s="52"/>
      <c r="E31" s="52" t="str">
        <f>'Input - Poultry'!$D$49</f>
        <v>Direct application</v>
      </c>
      <c r="F31" s="52">
        <f>'4.6.1.3-4 Direct N20'!F198</f>
        <v>0.96761558400000025</v>
      </c>
      <c r="G31" s="52">
        <f>'4.6.1.3-4 Direct N20'!G198</f>
        <v>1.0328187168</v>
      </c>
      <c r="H31" s="52">
        <f>'4.6.1.3-4 Direct N20'!H198</f>
        <v>1.2123755904</v>
      </c>
      <c r="I31" s="52">
        <f>'4.6.1.3-4 Direct N20'!I198</f>
        <v>1.0328187168</v>
      </c>
      <c r="N31" s="52"/>
      <c r="O31" s="52" t="str">
        <f>'Input - Poultry'!$D$49</f>
        <v>Direct application</v>
      </c>
      <c r="P31" s="52">
        <f>'4.6.1.3-4 Direct N20'!P198</f>
        <v>0.96761558400000025</v>
      </c>
      <c r="Q31" s="52">
        <f>'4.6.1.3-4 Direct N20'!Q198</f>
        <v>1.0328187168</v>
      </c>
      <c r="R31" s="52">
        <f>'4.6.1.3-4 Direct N20'!R198</f>
        <v>1.2123755904</v>
      </c>
      <c r="S31" s="52">
        <f>'4.6.1.3-4 Direct N20'!S198</f>
        <v>1.0328187168</v>
      </c>
    </row>
    <row r="32" spans="1:20" ht="20.100000000000001" customHeight="1" x14ac:dyDescent="0.25">
      <c r="D32" s="52" t="str">
        <f>'Input - Poultry'!$D$32</f>
        <v>Manure stored in house</v>
      </c>
      <c r="E32" s="52" t="str">
        <f>'Input - Poultry'!$D$52</f>
        <v>Solid storage</v>
      </c>
      <c r="F32" s="52">
        <f>'4.6.1.3-4 Direct N20'!F199</f>
        <v>0.61074998400000013</v>
      </c>
      <c r="G32" s="52">
        <f>'4.6.1.3-4 Direct N20'!G199</f>
        <v>0.65190559679999993</v>
      </c>
      <c r="H32" s="52">
        <f>'4.6.1.3-4 Direct N20'!H199</f>
        <v>0.76524023039999989</v>
      </c>
      <c r="I32" s="52">
        <f>'4.6.1.3-4 Direct N20'!I199</f>
        <v>0.65190559679999993</v>
      </c>
      <c r="J32" s="2"/>
      <c r="N32" s="52" t="str">
        <f>'Input - Poultry'!$D$32</f>
        <v>Manure stored in house</v>
      </c>
      <c r="O32" s="52" t="str">
        <f>'Input - Poultry'!$D$52</f>
        <v>Solid storage</v>
      </c>
      <c r="P32" s="52">
        <f>'4.6.1.3-4 Direct N20'!P199</f>
        <v>0.61074998400000013</v>
      </c>
      <c r="Q32" s="52">
        <f>'4.6.1.3-4 Direct N20'!Q199</f>
        <v>0.65190559679999993</v>
      </c>
      <c r="R32" s="52">
        <f>'4.6.1.3-4 Direct N20'!R199</f>
        <v>0.76524023039999989</v>
      </c>
      <c r="S32" s="52">
        <f>'4.6.1.3-4 Direct N20'!S199</f>
        <v>0.65190559679999993</v>
      </c>
      <c r="T32" s="2"/>
    </row>
    <row r="33" spans="4:20" ht="20.100000000000001" customHeight="1" x14ac:dyDescent="0.25">
      <c r="D33" s="52"/>
      <c r="E33" s="52" t="str">
        <f>'Input - Poultry'!$D$53</f>
        <v>Composting (passive windrow)</v>
      </c>
      <c r="F33" s="52">
        <f>'4.6.1.3-4 Direct N20'!F200</f>
        <v>0.61074998400000013</v>
      </c>
      <c r="G33" s="52">
        <f>'4.6.1.3-4 Direct N20'!G200</f>
        <v>0.65190559679999993</v>
      </c>
      <c r="H33" s="52">
        <f>'4.6.1.3-4 Direct N20'!H200</f>
        <v>0.76524023039999989</v>
      </c>
      <c r="I33" s="52">
        <f>'4.6.1.3-4 Direct N20'!I200</f>
        <v>0.65190559679999993</v>
      </c>
      <c r="J33" s="2"/>
      <c r="N33" s="52"/>
      <c r="O33" s="52" t="str">
        <f>'Input - Poultry'!$D$53</f>
        <v>Composting (passive windrow)</v>
      </c>
      <c r="P33" s="52">
        <f>'4.6.1.3-4 Direct N20'!P200</f>
        <v>0.61074998400000013</v>
      </c>
      <c r="Q33" s="52">
        <f>'4.6.1.3-4 Direct N20'!Q200</f>
        <v>0.65190559679999993</v>
      </c>
      <c r="R33" s="52">
        <f>'4.6.1.3-4 Direct N20'!R200</f>
        <v>0.76524023039999989</v>
      </c>
      <c r="S33" s="52">
        <f>'4.6.1.3-4 Direct N20'!S200</f>
        <v>0.65190559679999993</v>
      </c>
      <c r="T33" s="2"/>
    </row>
    <row r="34" spans="4:20" ht="20.100000000000001" customHeight="1" x14ac:dyDescent="0.25">
      <c r="D34" s="52"/>
      <c r="E34" s="52" t="str">
        <f>'Input - Poultry'!$D$54</f>
        <v>Digester / covered lagoons</v>
      </c>
      <c r="F34" s="52">
        <f>'4.6.1.3-4 Direct N20'!F201</f>
        <v>0.61074998400000013</v>
      </c>
      <c r="G34" s="52">
        <f>'4.6.1.3-4 Direct N20'!G201</f>
        <v>0.65190559679999993</v>
      </c>
      <c r="H34" s="52">
        <f>'4.6.1.3-4 Direct N20'!H201</f>
        <v>0.76524023039999989</v>
      </c>
      <c r="I34" s="52">
        <f>'4.6.1.3-4 Direct N20'!I201</f>
        <v>0.65190559679999993</v>
      </c>
      <c r="J34" s="2"/>
      <c r="N34" s="52"/>
      <c r="O34" s="52" t="str">
        <f>'Input - Poultry'!$D$54</f>
        <v>Digester / covered lagoons</v>
      </c>
      <c r="P34" s="52">
        <f>'4.6.1.3-4 Direct N20'!P201</f>
        <v>0.61074998400000013</v>
      </c>
      <c r="Q34" s="52">
        <f>'4.6.1.3-4 Direct N20'!Q201</f>
        <v>0.65190559679999993</v>
      </c>
      <c r="R34" s="52">
        <f>'4.6.1.3-4 Direct N20'!R201</f>
        <v>0.76524023039999989</v>
      </c>
      <c r="S34" s="52">
        <f>'4.6.1.3-4 Direct N20'!S201</f>
        <v>0.65190559679999993</v>
      </c>
      <c r="T34" s="2"/>
    </row>
    <row r="35" spans="4:20" ht="20.100000000000001" customHeight="1" x14ac:dyDescent="0.25">
      <c r="D35" s="52"/>
      <c r="E35" s="52" t="str">
        <f>'Input - Poultry'!$D$55</f>
        <v>Direct processing</v>
      </c>
      <c r="F35" s="52">
        <f>'4.6.1.3-4 Direct N20'!F202</f>
        <v>0.61074998400000013</v>
      </c>
      <c r="G35" s="52">
        <f>'4.6.1.3-4 Direct N20'!G202</f>
        <v>0.65190559679999993</v>
      </c>
      <c r="H35" s="52">
        <f>'4.6.1.3-4 Direct N20'!H202</f>
        <v>0.76524023039999989</v>
      </c>
      <c r="I35" s="52">
        <f>'4.6.1.3-4 Direct N20'!I202</f>
        <v>0.65190559679999993</v>
      </c>
      <c r="J35" s="2"/>
      <c r="N35" s="52"/>
      <c r="O35" s="52" t="str">
        <f>'Input - Poultry'!$D$55</f>
        <v>Direct processing</v>
      </c>
      <c r="P35" s="52">
        <f>'4.6.1.3-4 Direct N20'!P202</f>
        <v>0.61074998400000013</v>
      </c>
      <c r="Q35" s="52">
        <f>'4.6.1.3-4 Direct N20'!Q202</f>
        <v>0.65190559679999993</v>
      </c>
      <c r="R35" s="52">
        <f>'4.6.1.3-4 Direct N20'!R202</f>
        <v>0.76524023039999989</v>
      </c>
      <c r="S35" s="52">
        <f>'4.6.1.3-4 Direct N20'!S202</f>
        <v>0.65190559679999993</v>
      </c>
      <c r="T35" s="2"/>
    </row>
    <row r="36" spans="4:20" ht="20.100000000000001" customHeight="1" x14ac:dyDescent="0.25">
      <c r="D36" s="52"/>
      <c r="E36" s="52" t="str">
        <f>'Input - Poultry'!$D$56</f>
        <v>Direct application</v>
      </c>
      <c r="F36" s="52">
        <f>'4.6.1.3-4 Direct N20'!F203</f>
        <v>0.61074998400000013</v>
      </c>
      <c r="G36" s="52">
        <f>'4.6.1.3-4 Direct N20'!G203</f>
        <v>0.65190559679999993</v>
      </c>
      <c r="H36" s="52">
        <f>'4.6.1.3-4 Direct N20'!H203</f>
        <v>0.76524023039999989</v>
      </c>
      <c r="I36" s="52">
        <f>'4.6.1.3-4 Direct N20'!I203</f>
        <v>0.65190559679999993</v>
      </c>
      <c r="N36" s="52"/>
      <c r="O36" s="52" t="str">
        <f>'Input - Poultry'!$D$56</f>
        <v>Direct application</v>
      </c>
      <c r="P36" s="52">
        <f>'4.6.1.3-4 Direct N20'!P203</f>
        <v>0.61074998400000013</v>
      </c>
      <c r="Q36" s="52">
        <f>'4.6.1.3-4 Direct N20'!Q203</f>
        <v>0.65190559679999993</v>
      </c>
      <c r="R36" s="52">
        <f>'4.6.1.3-4 Direct N20'!R203</f>
        <v>0.76524023039999989</v>
      </c>
      <c r="S36" s="52">
        <f>'4.6.1.3-4 Direct N20'!S203</f>
        <v>0.65190559679999993</v>
      </c>
    </row>
    <row r="37" spans="4:20" ht="20.100000000000001" customHeight="1" x14ac:dyDescent="0.25"/>
    <row r="38" spans="4:20" ht="20.100000000000001" customHeight="1" x14ac:dyDescent="0.25">
      <c r="D38" s="98" t="s">
        <v>270</v>
      </c>
    </row>
    <row r="39" spans="4:20" ht="20.100000000000001" customHeight="1" x14ac:dyDescent="0.25">
      <c r="D39" s="97" t="s">
        <v>263</v>
      </c>
    </row>
    <row r="40" spans="4:20" ht="20.100000000000001" customHeight="1" x14ac:dyDescent="0.25">
      <c r="D40" s="51" t="s">
        <v>133</v>
      </c>
      <c r="E40" s="51" t="s">
        <v>289</v>
      </c>
    </row>
    <row r="41" spans="4:20" ht="20.100000000000001" customHeight="1" x14ac:dyDescent="0.25">
      <c r="D41" s="52" t="str">
        <f>'Constants - Poultry'!$D$29</f>
        <v>Poultry manure with bedding</v>
      </c>
      <c r="E41" s="52"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2" t="str">
        <f>'Constants - Poultry'!$D$30</f>
        <v>Belt manure removal</v>
      </c>
      <c r="E42" s="52" cm="1">
        <f t="array" ref="E42">Common_InputFunctions.Utility_LookupValueInTableNumber(D42, Table_SourceData_Poultry_EFmT[NIR reference],Table_SourceData_Poultry_EFmT[EFmT])</f>
        <v>1E-3</v>
      </c>
    </row>
    <row r="43" spans="4:20" ht="20.100000000000001" customHeight="1" x14ac:dyDescent="0.25">
      <c r="D43" s="52" t="str">
        <f>'Constants - Poultry'!$D$31</f>
        <v>Manure stored in house</v>
      </c>
      <c r="E43" s="52" cm="1">
        <f t="array" ref="E43">Common_InputFunctions.Utility_LookupValueInTableNumber(D43, Table_SourceData_Poultry_EFmT[NIR reference],Table_SourceData_Poultry_EFmT[EFmT])</f>
        <v>1E-3</v>
      </c>
    </row>
    <row r="44" spans="4:20" ht="20.100000000000001" customHeight="1" x14ac:dyDescent="0.25">
      <c r="D44" s="52" t="str">
        <f>'Constants - Poultry'!$D$32</f>
        <v>Pasture range and paddock</v>
      </c>
      <c r="E44" s="52" cm="1">
        <f t="array" ref="E44">Common_InputFunctions.Utility_LookupValueInTableNumber(D44, Table_SourceData_Poultry_EFmT[NIR reference],Table_SourceData_Poultry_EFmT[EFmT])</f>
        <v>0.02</v>
      </c>
    </row>
    <row r="45" spans="4:20" ht="20.100000000000001" customHeight="1" x14ac:dyDescent="0.25">
      <c r="D45" s="52" t="str">
        <f>'Constants - Poultry'!$D$33</f>
        <v>Solid storage</v>
      </c>
      <c r="E45" s="52" cm="1">
        <f t="array" ref="E45">Common_InputFunctions.Utility_LookupValueInTableNumber(D45, Table_SourceData_Poultry_EFmT[NIR reference],Table_SourceData_Poultry_EFmT[EFmT])</f>
        <v>5.0000000000000001E-3</v>
      </c>
    </row>
    <row r="46" spans="4:20" ht="20.100000000000001" customHeight="1" x14ac:dyDescent="0.25">
      <c r="D46" s="52" t="str">
        <f>'Constants - Poultry'!$D$34</f>
        <v>Composting (passive windrow)</v>
      </c>
      <c r="E46" s="52" cm="1">
        <f t="array" ref="E46">Common_InputFunctions.Utility_LookupValueInTableNumber(D46, Table_SourceData_Poultry_EFmT[NIR reference],Table_SourceData_Poultry_EFmT[EFmT])</f>
        <v>0.01</v>
      </c>
    </row>
    <row r="47" spans="4:20" ht="20.100000000000001" customHeight="1" x14ac:dyDescent="0.25">
      <c r="D47" s="52" t="str">
        <f>'Constants - Poultry'!$D$35</f>
        <v>Digester / covered lagoons</v>
      </c>
      <c r="E47" s="52" cm="1">
        <f t="array" ref="E47">Common_InputFunctions.Utility_LookupValueInTableNumber(D47, Table_SourceData_Poultry_EFmT[NIR reference],Table_SourceData_Poultry_EFmT[EFmT])</f>
        <v>0</v>
      </c>
    </row>
    <row r="48" spans="4:20" ht="20.100000000000001" customHeight="1" x14ac:dyDescent="0.25">
      <c r="D48" s="52" t="str">
        <f>'Constants - Poultry'!$D$36</f>
        <v>Direct processing</v>
      </c>
      <c r="E48" s="52" cm="1">
        <f t="array" ref="E48">Common_InputFunctions.Utility_LookupValueInTableNumber(D48, Table_SourceData_Poultry_EFmT[NIR reference],Table_SourceData_Poultry_EFmT[EFmT])</f>
        <v>0</v>
      </c>
    </row>
    <row r="49" spans="4:14" ht="20.100000000000001" customHeight="1" x14ac:dyDescent="0.25">
      <c r="D49" s="52" t="str">
        <f>'Constants - Poultry'!$D$37</f>
        <v>Direct application</v>
      </c>
      <c r="E49" s="52"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8" t="s">
        <v>276</v>
      </c>
    </row>
    <row r="52" spans="4:14" ht="20.100000000000001" customHeight="1" x14ac:dyDescent="0.25">
      <c r="D52" s="97" t="s">
        <v>290</v>
      </c>
    </row>
    <row r="53" spans="4:14" ht="20.100000000000001" customHeight="1" x14ac:dyDescent="0.25">
      <c r="D53" s="51" t="s">
        <v>64</v>
      </c>
      <c r="E53" s="51" t="s">
        <v>262</v>
      </c>
    </row>
    <row r="54" spans="4:14" ht="20.100000000000001" customHeight="1" x14ac:dyDescent="0.25">
      <c r="D54" s="52" t="str">
        <f>'Constants - Poultry'!$D$29</f>
        <v>Poultry manure with bedding</v>
      </c>
      <c r="E54" s="52"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2" t="str">
        <f>'Constants - Poultry'!$D$30</f>
        <v>Belt manure removal</v>
      </c>
      <c r="E55" s="52" cm="1">
        <f t="array" ref="E55">Common_InputFunctions.Utility_LookupValueInTableNumber(D55, Table_SourceData_Poultry_FracGASM[NIR reference],Table_SourceData_Poultry_FracGASM[FracGASMmT])</f>
        <v>0.05</v>
      </c>
    </row>
    <row r="56" spans="4:14" ht="20.100000000000001" customHeight="1" x14ac:dyDescent="0.25">
      <c r="D56" s="52" t="str">
        <f>'Constants - Poultry'!$D$31</f>
        <v>Manure stored in house</v>
      </c>
      <c r="E56" s="52" cm="1">
        <f t="array" ref="E56">Common_InputFunctions.Utility_LookupValueInTableNumber(D56, Table_SourceData_Poultry_FracGASM[NIR reference],Table_SourceData_Poultry_FracGASM[FracGASMmT])</f>
        <v>0.4</v>
      </c>
    </row>
    <row r="57" spans="4:14" ht="20.100000000000001" customHeight="1" x14ac:dyDescent="0.25">
      <c r="D57" s="52" t="str">
        <f>'Constants - Poultry'!$D$32</f>
        <v>Pasture range and paddock</v>
      </c>
      <c r="E57" s="52" cm="1">
        <f t="array" ref="E57">Common_InputFunctions.Utility_LookupValueInTableNumber(D57, Table_SourceData_Poultry_FracGASM[NIR reference],Table_SourceData_Poultry_FracGASM[FracGASMmT])</f>
        <v>0</v>
      </c>
    </row>
    <row r="58" spans="4:14" ht="20.100000000000001" customHeight="1" x14ac:dyDescent="0.25">
      <c r="D58" s="52" t="str">
        <f>'Constants - Poultry'!$D$33</f>
        <v>Solid storage</v>
      </c>
      <c r="E58" s="52" cm="1">
        <f t="array" ref="E58">Common_InputFunctions.Utility_LookupValueInTableNumber(D58, Table_SourceData_Poultry_FracGASM[NIR reference],Table_SourceData_Poultry_FracGASM[FracGASMmT])</f>
        <v>0.2</v>
      </c>
    </row>
    <row r="59" spans="4:14" ht="20.100000000000001" customHeight="1" x14ac:dyDescent="0.25">
      <c r="D59" s="52" t="str">
        <f>'Constants - Poultry'!$D$34</f>
        <v>Composting (passive windrow)</v>
      </c>
      <c r="E59" s="52" cm="1">
        <f t="array" ref="E59">Common_InputFunctions.Utility_LookupValueInTableNumber(D59, Table_SourceData_Poultry_FracGASM[NIR reference],Table_SourceData_Poultry_FracGASM[FracGASMmT])</f>
        <v>0.2</v>
      </c>
    </row>
    <row r="60" spans="4:14" ht="20.100000000000001" customHeight="1" x14ac:dyDescent="0.25">
      <c r="D60" s="52" t="str">
        <f>'Constants - Poultry'!$D$35</f>
        <v>Digester / covered lagoons</v>
      </c>
      <c r="E60" s="52" cm="1">
        <f t="array" ref="E60">Common_InputFunctions.Utility_LookupValueInTableNumber(D60, Table_SourceData_Poultry_FracGASM[NIR reference],Table_SourceData_Poultry_FracGASM[FracGASMmT])</f>
        <v>0</v>
      </c>
    </row>
    <row r="61" spans="4:14" ht="20.100000000000001" customHeight="1" x14ac:dyDescent="0.25">
      <c r="D61" s="52" t="str">
        <f>'Constants - Poultry'!$D$36</f>
        <v>Direct processing</v>
      </c>
      <c r="E61" s="52" cm="1">
        <f t="array" ref="E61">Common_InputFunctions.Utility_LookupValueInTableNumber(D61, Table_SourceData_Poultry_FracGASM[NIR reference],Table_SourceData_Poultry_FracGASM[FracGASMmT])</f>
        <v>0</v>
      </c>
    </row>
    <row r="62" spans="4:14" ht="20.100000000000001" customHeight="1" x14ac:dyDescent="0.25">
      <c r="D62" s="52" t="str">
        <f>'Constants - Poultry'!$D$37</f>
        <v>Direct application</v>
      </c>
      <c r="E62" s="52"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8" t="s">
        <v>292</v>
      </c>
      <c r="N64" s="98" t="s">
        <v>295</v>
      </c>
    </row>
    <row r="65" spans="4:20" ht="20.100000000000001" customHeight="1" x14ac:dyDescent="0.25">
      <c r="D65" s="97" t="s">
        <v>293</v>
      </c>
      <c r="N65" s="97" t="s">
        <v>294</v>
      </c>
    </row>
    <row r="66" spans="4:20" ht="20.100000000000001" customHeight="1" x14ac:dyDescent="0.25">
      <c r="D66" s="51" t="s">
        <v>133</v>
      </c>
      <c r="E66" s="51" t="s">
        <v>135</v>
      </c>
      <c r="F66" s="51" t="s">
        <v>194</v>
      </c>
      <c r="G66" s="51" t="s">
        <v>195</v>
      </c>
      <c r="H66" s="51" t="s">
        <v>207</v>
      </c>
      <c r="I66" s="51" t="s">
        <v>208</v>
      </c>
      <c r="N66" s="51" t="s">
        <v>133</v>
      </c>
      <c r="O66" s="51" t="s">
        <v>135</v>
      </c>
      <c r="P66" s="51" t="s">
        <v>194</v>
      </c>
      <c r="Q66" s="51" t="s">
        <v>195</v>
      </c>
      <c r="R66" s="51" t="s">
        <v>207</v>
      </c>
      <c r="S66" s="51" t="s">
        <v>208</v>
      </c>
    </row>
    <row r="67" spans="4:20" ht="20.100000000000001" customHeight="1" x14ac:dyDescent="0.25">
      <c r="D67" s="52" t="str">
        <f>'Input - Poultry'!$D$30</f>
        <v>Poultry manure with bedding</v>
      </c>
      <c r="E67" s="52" t="str">
        <f>'Input - Poultry'!$D$38</f>
        <v>Solid storage</v>
      </c>
      <c r="F67" s="52">
        <f>'4.6.1.7-8 Leaching and runoff'!F34</f>
        <v>1.4254231680000003E-2</v>
      </c>
      <c r="G67" s="52">
        <f>'4.6.1.7-8 Leaching and runoff'!G34</f>
        <v>1.5214758336E-2</v>
      </c>
      <c r="H67" s="52">
        <f>'4.6.1.7-8 Leaching and runoff'!H34</f>
        <v>1.7859863808E-2</v>
      </c>
      <c r="I67" s="52">
        <f>'4.6.1.7-8 Leaching and runoff'!I34</f>
        <v>1.5214758336E-2</v>
      </c>
      <c r="J67" s="2" t="str">
        <f>$G$16</f>
        <v>kg N</v>
      </c>
      <c r="N67" s="52" t="str">
        <f>'Input - Poultry'!$D$30</f>
        <v>Poultry manure with bedding</v>
      </c>
      <c r="O67" s="52" t="str">
        <f>'Input - Poultry'!$D$38</f>
        <v>Solid storage</v>
      </c>
      <c r="P67" s="52">
        <f>'4.6.1.7-8 Leaching and runoff'!P34</f>
        <v>1.4254231680000003E-2</v>
      </c>
      <c r="Q67" s="52">
        <f>'4.6.1.7-8 Leaching and runoff'!Q34</f>
        <v>1.5214758336E-2</v>
      </c>
      <c r="R67" s="52">
        <f>'4.6.1.7-8 Leaching and runoff'!R34</f>
        <v>1.7859863808E-2</v>
      </c>
      <c r="S67" s="52">
        <f>'4.6.1.7-8 Leaching and runoff'!S34</f>
        <v>1.5214758336E-2</v>
      </c>
      <c r="T67" s="2" t="str">
        <f>$G$16</f>
        <v>kg N</v>
      </c>
    </row>
    <row r="68" spans="4:20" ht="20.100000000000001" customHeight="1" x14ac:dyDescent="0.25">
      <c r="D68" s="52"/>
      <c r="E68" s="52" t="str">
        <f>'Input - Poultry'!$D$39</f>
        <v>Composting (passive windrow)</v>
      </c>
      <c r="F68" s="52">
        <v>0</v>
      </c>
      <c r="G68" s="52">
        <v>0</v>
      </c>
      <c r="H68" s="52">
        <v>0</v>
      </c>
      <c r="I68" s="52">
        <v>0</v>
      </c>
      <c r="J68" s="2"/>
      <c r="N68" s="52"/>
      <c r="O68" s="52" t="str">
        <f>'Input - Poultry'!$D$39</f>
        <v>Composting (passive windrow)</v>
      </c>
      <c r="P68" s="52">
        <v>0</v>
      </c>
      <c r="Q68" s="52">
        <v>0</v>
      </c>
      <c r="R68" s="52">
        <v>0</v>
      </c>
      <c r="S68" s="52">
        <v>0</v>
      </c>
      <c r="T68" s="2"/>
    </row>
    <row r="69" spans="4:20" ht="20.100000000000001" customHeight="1" x14ac:dyDescent="0.25">
      <c r="D69" s="52"/>
      <c r="E69" s="52" t="str">
        <f>'Input - Poultry'!$D$40</f>
        <v>Digester / covered lagoons</v>
      </c>
      <c r="F69" s="52">
        <v>0</v>
      </c>
      <c r="G69" s="52">
        <v>0</v>
      </c>
      <c r="H69" s="52">
        <v>0</v>
      </c>
      <c r="I69" s="52">
        <v>0</v>
      </c>
      <c r="J69" s="2"/>
      <c r="N69" s="52"/>
      <c r="O69" s="52" t="str">
        <f>'Input - Poultry'!$D$40</f>
        <v>Digester / covered lagoons</v>
      </c>
      <c r="P69" s="52">
        <v>0</v>
      </c>
      <c r="Q69" s="52">
        <v>0</v>
      </c>
      <c r="R69" s="52">
        <v>0</v>
      </c>
      <c r="S69" s="52">
        <v>0</v>
      </c>
      <c r="T69" s="2"/>
    </row>
    <row r="70" spans="4:20" ht="20.100000000000001" customHeight="1" x14ac:dyDescent="0.25">
      <c r="D70" s="52"/>
      <c r="E70" s="52" t="str">
        <f>'Input - Poultry'!$D$41</f>
        <v>Direct processing</v>
      </c>
      <c r="F70" s="52">
        <v>0</v>
      </c>
      <c r="G70" s="52">
        <v>0</v>
      </c>
      <c r="H70" s="52">
        <v>0</v>
      </c>
      <c r="I70" s="52">
        <v>0</v>
      </c>
      <c r="J70" s="2"/>
      <c r="N70" s="52"/>
      <c r="O70" s="52" t="str">
        <f>'Input - Poultry'!$D$41</f>
        <v>Direct processing</v>
      </c>
      <c r="P70" s="52">
        <v>0</v>
      </c>
      <c r="Q70" s="52">
        <v>0</v>
      </c>
      <c r="R70" s="52">
        <v>0</v>
      </c>
      <c r="S70" s="52">
        <v>0</v>
      </c>
      <c r="T70" s="2"/>
    </row>
    <row r="71" spans="4:20" ht="20.100000000000001" customHeight="1" x14ac:dyDescent="0.25">
      <c r="D71" s="52"/>
      <c r="E71" s="52" t="str">
        <f>'Input - Poultry'!$D$42</f>
        <v>Direct application</v>
      </c>
      <c r="F71" s="52">
        <v>0</v>
      </c>
      <c r="G71" s="52">
        <v>0</v>
      </c>
      <c r="H71" s="52">
        <v>0</v>
      </c>
      <c r="I71" s="52">
        <v>0</v>
      </c>
      <c r="N71" s="52"/>
      <c r="O71" s="52" t="str">
        <f>'Input - Poultry'!$D$42</f>
        <v>Direct application</v>
      </c>
      <c r="P71" s="52">
        <v>0</v>
      </c>
      <c r="Q71" s="52">
        <v>0</v>
      </c>
      <c r="R71" s="52">
        <v>0</v>
      </c>
      <c r="S71" s="52">
        <v>0</v>
      </c>
    </row>
    <row r="72" spans="4:20" ht="20.100000000000001" customHeight="1" x14ac:dyDescent="0.25">
      <c r="D72" s="52" t="str">
        <f>'Input - Poultry'!$D$31</f>
        <v>Belt manure removal</v>
      </c>
      <c r="E72" s="52" t="str">
        <f>'Input - Poultry'!$D$45</f>
        <v>Solid storage</v>
      </c>
      <c r="F72" s="52">
        <f>'4.6.1.7-8 Leaching and runoff'!F35</f>
        <v>1.9352311680000005E-2</v>
      </c>
      <c r="G72" s="52">
        <f>'4.6.1.7-8 Leaching and runoff'!G35</f>
        <v>2.0656374336E-2</v>
      </c>
      <c r="H72" s="52">
        <f>'4.6.1.7-8 Leaching and runoff'!H35</f>
        <v>2.4247511808E-2</v>
      </c>
      <c r="I72" s="52">
        <f>'4.6.1.7-8 Leaching and runoff'!I35</f>
        <v>2.0656374336E-2</v>
      </c>
      <c r="J72" s="2"/>
      <c r="N72" s="52" t="str">
        <f>'Input - Poultry'!$D$31</f>
        <v>Belt manure removal</v>
      </c>
      <c r="O72" s="52" t="str">
        <f>'Input - Poultry'!$D$45</f>
        <v>Solid storage</v>
      </c>
      <c r="P72" s="52">
        <f>'4.6.1.7-8 Leaching and runoff'!P35</f>
        <v>1.9352311680000005E-2</v>
      </c>
      <c r="Q72" s="52">
        <f>'4.6.1.7-8 Leaching and runoff'!Q35</f>
        <v>2.0656374336E-2</v>
      </c>
      <c r="R72" s="52">
        <f>'4.6.1.7-8 Leaching and runoff'!R35</f>
        <v>2.4247511808E-2</v>
      </c>
      <c r="S72" s="52">
        <f>'4.6.1.7-8 Leaching and runoff'!S35</f>
        <v>2.0656374336E-2</v>
      </c>
      <c r="T72" s="2"/>
    </row>
    <row r="73" spans="4:20" ht="20.100000000000001" customHeight="1" x14ac:dyDescent="0.25">
      <c r="D73" s="52"/>
      <c r="E73" s="52" t="str">
        <f>'Input - Poultry'!$D$46</f>
        <v>Composting (passive windrow)</v>
      </c>
      <c r="F73" s="52">
        <v>0</v>
      </c>
      <c r="G73" s="52">
        <v>0</v>
      </c>
      <c r="H73" s="52">
        <v>0</v>
      </c>
      <c r="I73" s="52">
        <v>0</v>
      </c>
      <c r="J73" s="2"/>
      <c r="N73" s="52"/>
      <c r="O73" s="52" t="str">
        <f>'Input - Poultry'!$D$46</f>
        <v>Composting (passive windrow)</v>
      </c>
      <c r="P73" s="52">
        <v>0</v>
      </c>
      <c r="Q73" s="52">
        <v>0</v>
      </c>
      <c r="R73" s="52">
        <v>0</v>
      </c>
      <c r="S73" s="52">
        <v>0</v>
      </c>
      <c r="T73" s="2"/>
    </row>
    <row r="74" spans="4:20" ht="20.100000000000001" customHeight="1" x14ac:dyDescent="0.25">
      <c r="D74" s="52"/>
      <c r="E74" s="52" t="str">
        <f>'Input - Poultry'!$D$47</f>
        <v>Digester / covered lagoons</v>
      </c>
      <c r="F74" s="52">
        <v>0</v>
      </c>
      <c r="G74" s="52">
        <v>0</v>
      </c>
      <c r="H74" s="52">
        <v>0</v>
      </c>
      <c r="I74" s="52">
        <v>0</v>
      </c>
      <c r="J74" s="2"/>
      <c r="N74" s="52"/>
      <c r="O74" s="52" t="str">
        <f>'Input - Poultry'!$D$47</f>
        <v>Digester / covered lagoons</v>
      </c>
      <c r="P74" s="52">
        <v>0</v>
      </c>
      <c r="Q74" s="52">
        <v>0</v>
      </c>
      <c r="R74" s="52">
        <v>0</v>
      </c>
      <c r="S74" s="52">
        <v>0</v>
      </c>
      <c r="T74" s="2"/>
    </row>
    <row r="75" spans="4:20" ht="20.100000000000001" customHeight="1" x14ac:dyDescent="0.25">
      <c r="D75" s="52"/>
      <c r="E75" s="52" t="str">
        <f>'Input - Poultry'!$D$48</f>
        <v>Direct processing</v>
      </c>
      <c r="F75" s="52">
        <v>0</v>
      </c>
      <c r="G75" s="52">
        <v>0</v>
      </c>
      <c r="H75" s="52">
        <v>0</v>
      </c>
      <c r="I75" s="52">
        <v>0</v>
      </c>
      <c r="J75" s="2"/>
      <c r="N75" s="52"/>
      <c r="O75" s="52" t="str">
        <f>'Input - Poultry'!$D$48</f>
        <v>Direct processing</v>
      </c>
      <c r="P75" s="52">
        <v>0</v>
      </c>
      <c r="Q75" s="52">
        <v>0</v>
      </c>
      <c r="R75" s="52">
        <v>0</v>
      </c>
      <c r="S75" s="52">
        <v>0</v>
      </c>
      <c r="T75" s="2"/>
    </row>
    <row r="76" spans="4:20" ht="20.100000000000001" customHeight="1" x14ac:dyDescent="0.25">
      <c r="D76" s="52"/>
      <c r="E76" s="52" t="str">
        <f>'Input - Poultry'!$D$49</f>
        <v>Direct application</v>
      </c>
      <c r="F76" s="52">
        <v>0</v>
      </c>
      <c r="G76" s="52">
        <v>0</v>
      </c>
      <c r="H76" s="52">
        <v>0</v>
      </c>
      <c r="I76" s="52">
        <v>0</v>
      </c>
      <c r="N76" s="52"/>
      <c r="O76" s="52" t="str">
        <f>'Input - Poultry'!$D$49</f>
        <v>Direct application</v>
      </c>
      <c r="P76" s="52">
        <v>0</v>
      </c>
      <c r="Q76" s="52">
        <v>0</v>
      </c>
      <c r="R76" s="52">
        <v>0</v>
      </c>
      <c r="S76" s="52">
        <v>0</v>
      </c>
    </row>
    <row r="77" spans="4:20" ht="20.100000000000001" customHeight="1" x14ac:dyDescent="0.25">
      <c r="D77" s="52" t="str">
        <f>'Input - Poultry'!$D$32</f>
        <v>Manure stored in house</v>
      </c>
      <c r="E77" s="52" t="str">
        <f>'Input - Poultry'!$D$52</f>
        <v>Solid storage</v>
      </c>
      <c r="F77" s="52">
        <f>'4.6.1.7-8 Leaching and runoff'!F36</f>
        <v>1.2214999680000003E-2</v>
      </c>
      <c r="G77" s="52">
        <f>'4.6.1.7-8 Leaching and runoff'!G36</f>
        <v>1.3038111936E-2</v>
      </c>
      <c r="H77" s="52">
        <f>'4.6.1.7-8 Leaching and runoff'!H36</f>
        <v>1.5304804607999998E-2</v>
      </c>
      <c r="I77" s="52">
        <f>'4.6.1.7-8 Leaching and runoff'!I36</f>
        <v>1.3038111936E-2</v>
      </c>
      <c r="J77" s="2"/>
      <c r="N77" s="52" t="str">
        <f>'Input - Poultry'!$D$32</f>
        <v>Manure stored in house</v>
      </c>
      <c r="O77" s="52" t="str">
        <f>'Input - Poultry'!$D$52</f>
        <v>Solid storage</v>
      </c>
      <c r="P77" s="52">
        <f>'4.6.1.7-8 Leaching and runoff'!P36</f>
        <v>1.2214999680000003E-2</v>
      </c>
      <c r="Q77" s="52">
        <f>'4.6.1.7-8 Leaching and runoff'!Q36</f>
        <v>1.3038111936E-2</v>
      </c>
      <c r="R77" s="52">
        <f>'4.6.1.7-8 Leaching and runoff'!R36</f>
        <v>1.5304804607999998E-2</v>
      </c>
      <c r="S77" s="52">
        <f>'4.6.1.7-8 Leaching and runoff'!S36</f>
        <v>1.3038111936E-2</v>
      </c>
      <c r="T77" s="2"/>
    </row>
    <row r="78" spans="4:20" ht="20.100000000000001" customHeight="1" x14ac:dyDescent="0.25">
      <c r="D78" s="52"/>
      <c r="E78" s="52" t="str">
        <f>'Input - Poultry'!$D$53</f>
        <v>Composting (passive windrow)</v>
      </c>
      <c r="F78" s="52">
        <v>0</v>
      </c>
      <c r="G78" s="52">
        <v>0</v>
      </c>
      <c r="H78" s="52">
        <v>0</v>
      </c>
      <c r="I78" s="52">
        <v>0</v>
      </c>
      <c r="J78" s="2"/>
      <c r="N78" s="52"/>
      <c r="O78" s="52" t="str">
        <f>'Input - Poultry'!$D$53</f>
        <v>Composting (passive windrow)</v>
      </c>
      <c r="P78" s="52">
        <v>0</v>
      </c>
      <c r="Q78" s="52">
        <v>0</v>
      </c>
      <c r="R78" s="52">
        <v>0</v>
      </c>
      <c r="S78" s="52">
        <v>0</v>
      </c>
      <c r="T78" s="2"/>
    </row>
    <row r="79" spans="4:20" ht="20.100000000000001" customHeight="1" x14ac:dyDescent="0.25">
      <c r="D79" s="52"/>
      <c r="E79" s="52" t="str">
        <f>'Input - Poultry'!$D$54</f>
        <v>Digester / covered lagoons</v>
      </c>
      <c r="F79" s="52">
        <v>0</v>
      </c>
      <c r="G79" s="52">
        <v>0</v>
      </c>
      <c r="H79" s="52">
        <v>0</v>
      </c>
      <c r="I79" s="52">
        <v>0</v>
      </c>
      <c r="J79" s="2"/>
      <c r="N79" s="52"/>
      <c r="O79" s="52" t="str">
        <f>'Input - Poultry'!$D$54</f>
        <v>Digester / covered lagoons</v>
      </c>
      <c r="P79" s="52">
        <v>0</v>
      </c>
      <c r="Q79" s="52">
        <v>0</v>
      </c>
      <c r="R79" s="52">
        <v>0</v>
      </c>
      <c r="S79" s="52">
        <v>0</v>
      </c>
      <c r="T79" s="2"/>
    </row>
    <row r="80" spans="4:20" ht="20.100000000000001" customHeight="1" x14ac:dyDescent="0.25">
      <c r="D80" s="52"/>
      <c r="E80" s="52" t="str">
        <f>'Input - Poultry'!$D$55</f>
        <v>Direct processing</v>
      </c>
      <c r="F80" s="52">
        <v>0</v>
      </c>
      <c r="G80" s="52">
        <v>0</v>
      </c>
      <c r="H80" s="52">
        <v>0</v>
      </c>
      <c r="I80" s="52">
        <v>0</v>
      </c>
      <c r="J80" s="2"/>
      <c r="N80" s="52"/>
      <c r="O80" s="52" t="str">
        <f>'Input - Poultry'!$D$55</f>
        <v>Direct processing</v>
      </c>
      <c r="P80" s="52">
        <v>0</v>
      </c>
      <c r="Q80" s="52">
        <v>0</v>
      </c>
      <c r="R80" s="52">
        <v>0</v>
      </c>
      <c r="S80" s="52">
        <v>0</v>
      </c>
      <c r="T80" s="2"/>
    </row>
    <row r="81" spans="4:19" ht="20.100000000000001" customHeight="1" x14ac:dyDescent="0.25">
      <c r="D81" s="52"/>
      <c r="E81" s="52" t="str">
        <f>'Input - Poultry'!$D$56</f>
        <v>Direct application</v>
      </c>
      <c r="F81" s="52">
        <v>0</v>
      </c>
      <c r="G81" s="52">
        <v>0</v>
      </c>
      <c r="H81" s="52">
        <v>0</v>
      </c>
      <c r="I81" s="52">
        <v>0</v>
      </c>
      <c r="N81" s="52"/>
      <c r="O81" s="52" t="str">
        <f>'Input - Poultry'!$D$56</f>
        <v>Direct application</v>
      </c>
      <c r="P81" s="52">
        <v>0</v>
      </c>
      <c r="Q81" s="52">
        <v>0</v>
      </c>
      <c r="R81" s="52">
        <v>0</v>
      </c>
      <c r="S81" s="52">
        <v>0</v>
      </c>
    </row>
    <row r="82" spans="4:19" ht="20.100000000000001" customHeight="1" x14ac:dyDescent="0.25"/>
    <row r="83" spans="4:19" ht="20.100000000000001" customHeight="1" x14ac:dyDescent="0.25">
      <c r="D83" s="98" t="s">
        <v>297</v>
      </c>
    </row>
    <row r="84" spans="4:19" ht="20.100000000000001" customHeight="1" x14ac:dyDescent="0.25">
      <c r="D84" s="97" t="s">
        <v>296</v>
      </c>
    </row>
    <row r="85" spans="4:19" ht="20.100000000000001" customHeight="1" x14ac:dyDescent="0.25">
      <c r="D85" s="112" t="s">
        <v>133</v>
      </c>
      <c r="E85" s="112" t="s">
        <v>135</v>
      </c>
      <c r="F85" s="112" t="s">
        <v>162</v>
      </c>
    </row>
    <row r="86" spans="4:19" ht="20.100000000000001" customHeight="1" x14ac:dyDescent="0.25">
      <c r="D86" s="52" t="str">
        <f>'Input - Poultry'!$D$30</f>
        <v>Poultry manure with bedding</v>
      </c>
      <c r="E86" s="52" t="str">
        <f>'Input - Poultry'!$D$38</f>
        <v>Solid storage</v>
      </c>
      <c r="F86" s="52">
        <f>'Input - Poultry'!K38+'Input - Poultry'!L38</f>
        <v>0.75</v>
      </c>
      <c r="G86" s="2" t="str">
        <f>$G$17</f>
        <v>fraction</v>
      </c>
    </row>
    <row r="87" spans="4:19" ht="20.100000000000001" customHeight="1" x14ac:dyDescent="0.25">
      <c r="D87" s="52"/>
      <c r="E87" s="52" t="str">
        <f>'Input - Poultry'!$D$39</f>
        <v>Composting (passive windrow)</v>
      </c>
      <c r="F87" s="52">
        <f>'Input - Poultry'!K39+'Input - Poultry'!L39</f>
        <v>0.75</v>
      </c>
      <c r="G87" s="2"/>
    </row>
    <row r="88" spans="4:19" ht="20.100000000000001" customHeight="1" x14ac:dyDescent="0.25">
      <c r="D88" s="52"/>
      <c r="E88" s="52" t="str">
        <f>'Input - Poultry'!$D$40</f>
        <v>Digester / covered lagoons</v>
      </c>
      <c r="F88" s="52">
        <f>'Input - Poultry'!K40+'Input - Poultry'!L40</f>
        <v>0.75</v>
      </c>
      <c r="G88" s="2"/>
    </row>
    <row r="89" spans="4:19" ht="20.100000000000001" customHeight="1" x14ac:dyDescent="0.25">
      <c r="D89" s="52"/>
      <c r="E89" s="52" t="str">
        <f>'Input - Poultry'!$D$41</f>
        <v>Direct processing</v>
      </c>
      <c r="F89" s="52">
        <f>'Input - Poultry'!K41+'Input - Poultry'!L41</f>
        <v>0.75</v>
      </c>
      <c r="G89" s="2"/>
    </row>
    <row r="90" spans="4:19" ht="20.100000000000001" customHeight="1" x14ac:dyDescent="0.25">
      <c r="D90" s="52"/>
      <c r="E90" s="52" t="str">
        <f>'Input - Poultry'!$D$42</f>
        <v>Direct application</v>
      </c>
      <c r="F90" s="52">
        <f>'Input - Poultry'!K42+'Input - Poultry'!L42</f>
        <v>1</v>
      </c>
    </row>
    <row r="91" spans="4:19" ht="20.100000000000001" customHeight="1" x14ac:dyDescent="0.25">
      <c r="D91" s="52" t="str">
        <f>'Input - Poultry'!$D$31</f>
        <v>Belt manure removal</v>
      </c>
      <c r="E91" s="52" t="str">
        <f>'Input - Poultry'!$D$45</f>
        <v>Solid storage</v>
      </c>
      <c r="F91" s="52">
        <f>'Input - Poultry'!K45+'Input - Poultry'!L45</f>
        <v>0.75</v>
      </c>
      <c r="G91" s="2"/>
    </row>
    <row r="92" spans="4:19" ht="20.100000000000001" customHeight="1" x14ac:dyDescent="0.25">
      <c r="D92" s="52"/>
      <c r="E92" s="52" t="str">
        <f>'Input - Poultry'!$D$46</f>
        <v>Composting (passive windrow)</v>
      </c>
      <c r="F92" s="52">
        <f>'Input - Poultry'!K46+'Input - Poultry'!L46</f>
        <v>0.75</v>
      </c>
      <c r="G92" s="2"/>
    </row>
    <row r="93" spans="4:19" ht="20.100000000000001" customHeight="1" x14ac:dyDescent="0.25">
      <c r="D93" s="52"/>
      <c r="E93" s="52" t="str">
        <f>'Input - Poultry'!$D$47</f>
        <v>Digester / covered lagoons</v>
      </c>
      <c r="F93" s="52">
        <f>'Input - Poultry'!K47+'Input - Poultry'!L47</f>
        <v>0.75</v>
      </c>
      <c r="G93" s="2"/>
    </row>
    <row r="94" spans="4:19" ht="20.100000000000001" customHeight="1" x14ac:dyDescent="0.25">
      <c r="D94" s="52"/>
      <c r="E94" s="52" t="str">
        <f>'Input - Poultry'!$D$48</f>
        <v>Direct processing</v>
      </c>
      <c r="F94" s="52">
        <f>'Input - Poultry'!K48+'Input - Poultry'!L48</f>
        <v>0.75</v>
      </c>
      <c r="G94" s="2"/>
    </row>
    <row r="95" spans="4:19" ht="20.100000000000001" customHeight="1" x14ac:dyDescent="0.25">
      <c r="D95" s="52"/>
      <c r="E95" s="52" t="str">
        <f>'Input - Poultry'!$D$49</f>
        <v>Direct application</v>
      </c>
      <c r="F95" s="52">
        <f>'Input - Poultry'!K49+'Input - Poultry'!L49</f>
        <v>1</v>
      </c>
    </row>
    <row r="96" spans="4:19" ht="20.100000000000001" customHeight="1" x14ac:dyDescent="0.25">
      <c r="D96" s="52" t="str">
        <f>'Input - Poultry'!$D$32</f>
        <v>Manure stored in house</v>
      </c>
      <c r="E96" s="52" t="str">
        <f>'Input - Poultry'!$D$52</f>
        <v>Solid storage</v>
      </c>
      <c r="F96" s="52">
        <f>'Input - Poultry'!K52+'Input - Poultry'!L52</f>
        <v>0.75</v>
      </c>
      <c r="G96" s="2"/>
    </row>
    <row r="97" spans="4:20" ht="20.100000000000001" customHeight="1" x14ac:dyDescent="0.25">
      <c r="D97" s="52"/>
      <c r="E97" s="52" t="str">
        <f>'Input - Poultry'!$D$53</f>
        <v>Composting (passive windrow)</v>
      </c>
      <c r="F97" s="52">
        <f>'Input - Poultry'!K53+'Input - Poultry'!L53</f>
        <v>0.75</v>
      </c>
      <c r="G97" s="2"/>
    </row>
    <row r="98" spans="4:20" ht="20.100000000000001" customHeight="1" x14ac:dyDescent="0.25">
      <c r="D98" s="52"/>
      <c r="E98" s="52" t="str">
        <f>'Input - Poultry'!$D$54</f>
        <v>Digester / covered lagoons</v>
      </c>
      <c r="F98" s="52">
        <f>'Input - Poultry'!K54+'Input - Poultry'!L54</f>
        <v>0.75</v>
      </c>
      <c r="G98" s="2"/>
    </row>
    <row r="99" spans="4:20" ht="20.100000000000001" customHeight="1" x14ac:dyDescent="0.25">
      <c r="D99" s="52"/>
      <c r="E99" s="52" t="str">
        <f>'Input - Poultry'!$D$55</f>
        <v>Direct processing</v>
      </c>
      <c r="F99" s="52">
        <f>'Input - Poultry'!K55+'Input - Poultry'!L55</f>
        <v>0.75</v>
      </c>
      <c r="G99" s="2"/>
    </row>
    <row r="100" spans="4:20" ht="20.100000000000001" customHeight="1" x14ac:dyDescent="0.25">
      <c r="D100" s="52"/>
      <c r="E100" s="52" t="str">
        <f>'Input - Poultry'!$D$56</f>
        <v>Direct application</v>
      </c>
      <c r="F100" s="52">
        <f>'Input - Poultry'!K56+'Input - Poultry'!L56</f>
        <v>1</v>
      </c>
    </row>
    <row r="101" spans="4:20" ht="20.100000000000001" customHeight="1" x14ac:dyDescent="0.25"/>
    <row r="102" spans="4:20" ht="20.100000000000001" customHeight="1" x14ac:dyDescent="0.25">
      <c r="D102" s="98" t="s">
        <v>163</v>
      </c>
      <c r="N102" s="98" t="s">
        <v>163</v>
      </c>
    </row>
    <row r="103" spans="4:20" ht="20.100000000000001" customHeight="1" x14ac:dyDescent="0.25">
      <c r="D103" s="97" t="s">
        <v>299</v>
      </c>
      <c r="N103" s="97" t="s">
        <v>299</v>
      </c>
    </row>
    <row r="104" spans="4:20" ht="20.100000000000001" customHeight="1" x14ac:dyDescent="0.25">
      <c r="D104" s="51" t="s">
        <v>133</v>
      </c>
      <c r="E104" s="51" t="s">
        <v>135</v>
      </c>
      <c r="F104" s="51" t="s">
        <v>194</v>
      </c>
      <c r="G104" s="51" t="s">
        <v>195</v>
      </c>
      <c r="H104" s="51" t="s">
        <v>207</v>
      </c>
      <c r="I104" s="51" t="s">
        <v>208</v>
      </c>
      <c r="N104" s="51" t="s">
        <v>133</v>
      </c>
      <c r="O104" s="51" t="s">
        <v>135</v>
      </c>
      <c r="P104" s="51" t="s">
        <v>194</v>
      </c>
      <c r="Q104" s="51" t="s">
        <v>195</v>
      </c>
      <c r="R104" s="51" t="s">
        <v>207</v>
      </c>
      <c r="S104" s="51" t="s">
        <v>208</v>
      </c>
    </row>
    <row r="105" spans="4:20" ht="20.100000000000001" customHeight="1" x14ac:dyDescent="0.25">
      <c r="D105" s="52" t="str">
        <f>'Input - Poultry'!$D$30</f>
        <v>Poultry manure with bedding</v>
      </c>
      <c r="E105" s="52" t="str">
        <f>'Input - Poultry'!$D$38</f>
        <v>Solid storage</v>
      </c>
      <c r="F105" s="52" cm="1">
        <f t="array" ref="F105">MMS_Poultry_ManureAppliedToSoils_Equations.VEERG_4_6_1_9__1_MassOfNitrogenAppliedToSoilsScope1(F22,_xlfn.XLOOKUP($E105, $D$41:$D$49,$E$41:$E$49), _xlfn.XLOOKUP($E105, $D$54:$D$62,$E$54:$E$62), F67,$F86)</f>
        <v>0.41426360820000008</v>
      </c>
      <c r="G105" s="52" cm="1">
        <f t="array" ref="G105">MMS_Poultry_ManureAppliedToSoils_Equations.VEERG_4_6_1_9__1_MassOfNitrogenAppliedToSoilsScope1(G22,_xlfn.XLOOKUP($E105, $D$41:$D$49,$E$41:$E$49), _xlfn.XLOOKUP($E105, $D$54:$D$62,$E$54:$E$62), G67,$F86)</f>
        <v>0.44217891414000005</v>
      </c>
      <c r="H105" s="52" cm="1">
        <f t="array" ref="H105">MMS_Poultry_ManureAppliedToSoils_Equations.VEERG_4_6_1_9__1_MassOfNitrogenAppliedToSoilsScope1(H22,_xlfn.XLOOKUP($E105, $D$41:$D$49,$E$41:$E$49), _xlfn.XLOOKUP($E105, $D$54:$D$62,$E$54:$E$62), H67,$F86)</f>
        <v>0.51905229191999991</v>
      </c>
      <c r="I105" s="52" cm="1">
        <f t="array" ref="I105">MMS_Poultry_ManureAppliedToSoils_Equations.VEERG_4_6_1_9__1_MassOfNitrogenAppliedToSoilsScope1(I22,_xlfn.XLOOKUP($E105, $D$41:$D$49,$E$41:$E$49), _xlfn.XLOOKUP($E105, $D$54:$D$62,$E$54:$E$62), I67,$F86)</f>
        <v>0.44217891414000005</v>
      </c>
      <c r="J105" s="2" t="str">
        <f>$E$11</f>
        <v>kg N</v>
      </c>
      <c r="N105" s="52" t="str">
        <f>'Input - Poultry'!$D$30</f>
        <v>Poultry manure with bedding</v>
      </c>
      <c r="O105" s="52" t="str">
        <f>'Input - Poultry'!$D$38</f>
        <v>Solid storage</v>
      </c>
      <c r="P105" s="52" cm="1">
        <f t="array" ref="P105">MMS_Poultry_ManureAppliedToSoils_Equations.VEERG_4_6_1_9__1_MassOfNitrogenAppliedToSoilsScope1(P22,_xlfn.XLOOKUP($O105, $D$41:$D$49,$E$41:$E$49), _xlfn.XLOOKUP($O105, $D$54:$D$62,$E$54:$E$62), P67,$F86)</f>
        <v>0.41426360820000008</v>
      </c>
      <c r="Q105" s="52" cm="1">
        <f t="array" ref="Q105">MMS_Poultry_ManureAppliedToSoils_Equations.VEERG_4_6_1_9__1_MassOfNitrogenAppliedToSoilsScope1(Q22,_xlfn.XLOOKUP($O105, $D$41:$D$49,$E$41:$E$49), _xlfn.XLOOKUP($O105, $D$54:$D$62,$E$54:$E$62), Q67,$F86)</f>
        <v>0.44217891414000005</v>
      </c>
      <c r="R105" s="52" cm="1">
        <f t="array" ref="R105">MMS_Poultry_ManureAppliedToSoils_Equations.VEERG_4_6_1_9__1_MassOfNitrogenAppliedToSoilsScope1(R22,_xlfn.XLOOKUP($O105, $D$41:$D$49,$E$41:$E$49), _xlfn.XLOOKUP($O105, $D$54:$D$62,$E$54:$E$62), R67,$F86)</f>
        <v>0.51905229191999991</v>
      </c>
      <c r="S105" s="52"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2"/>
      <c r="E106" s="52" t="str">
        <f>'Input - Poultry'!$D$39</f>
        <v>Composting (passive windrow)</v>
      </c>
      <c r="F106" s="52" cm="1">
        <f t="array" ref="F106">MMS_Poultry_ManureAppliedToSoils_Equations.VEERG_4_6_1_9__1_MassOfNitrogenAppliedToSoilsScope1(F23,_xlfn.XLOOKUP($E106, $D$41:$D$49,$E$41:$E$49), _xlfn.XLOOKUP($E106, $D$54:$D$62,$E$54:$E$62), F68,$F87)</f>
        <v>0.4222816135200001</v>
      </c>
      <c r="G106" s="52" cm="1">
        <f t="array" ref="G106">MMS_Poultry_ManureAppliedToSoils_Equations.VEERG_4_6_1_9__1_MassOfNitrogenAppliedToSoilsScope1(G23,_xlfn.XLOOKUP($E106, $D$41:$D$49,$E$41:$E$49), _xlfn.XLOOKUP($E106, $D$54:$D$62,$E$54:$E$62), G68,$F87)</f>
        <v>0.45073721570399999</v>
      </c>
      <c r="H106" s="52" cm="1">
        <f t="array" ref="H106">MMS_Poultry_ManureAppliedToSoils_Equations.VEERG_4_6_1_9__1_MassOfNitrogenAppliedToSoilsScope1(H23,_xlfn.XLOOKUP($E106, $D$41:$D$49,$E$41:$E$49), _xlfn.XLOOKUP($E106, $D$54:$D$62,$E$54:$E$62), H68,$F87)</f>
        <v>0.529098465312</v>
      </c>
      <c r="I106" s="52" cm="1">
        <f t="array" ref="I106">MMS_Poultry_ManureAppliedToSoils_Equations.VEERG_4_6_1_9__1_MassOfNitrogenAppliedToSoilsScope1(I23,_xlfn.XLOOKUP($E106, $D$41:$D$49,$E$41:$E$49), _xlfn.XLOOKUP($E106, $D$54:$D$62,$E$54:$E$62), I68,$F87)</f>
        <v>0.45073721570399999</v>
      </c>
      <c r="J106" s="2"/>
      <c r="N106" s="52"/>
      <c r="O106" s="52" t="str">
        <f>'Input - Poultry'!$D$39</f>
        <v>Composting (passive windrow)</v>
      </c>
      <c r="P106" s="52" cm="1">
        <f t="array" ref="P106">MMS_Poultry_ManureAppliedToSoils_Equations.VEERG_4_6_1_9__1_MassOfNitrogenAppliedToSoilsScope1(P23,_xlfn.XLOOKUP($O106, $D$41:$D$49,$E$41:$E$49), _xlfn.XLOOKUP($O106, $D$54:$D$62,$E$54:$E$62), P68,$F87)</f>
        <v>0.4222816135200001</v>
      </c>
      <c r="Q106" s="52" cm="1">
        <f t="array" ref="Q106">MMS_Poultry_ManureAppliedToSoils_Equations.VEERG_4_6_1_9__1_MassOfNitrogenAppliedToSoilsScope1(Q23,_xlfn.XLOOKUP($O106, $D$41:$D$49,$E$41:$E$49), _xlfn.XLOOKUP($O106, $D$54:$D$62,$E$54:$E$62), Q68,$F87)</f>
        <v>0.45073721570399999</v>
      </c>
      <c r="R106" s="52" cm="1">
        <f t="array" ref="R106">MMS_Poultry_ManureAppliedToSoils_Equations.VEERG_4_6_1_9__1_MassOfNitrogenAppliedToSoilsScope1(R23,_xlfn.XLOOKUP($O106, $D$41:$D$49,$E$41:$E$49), _xlfn.XLOOKUP($O106, $D$54:$D$62,$E$54:$E$62), R68,$F87)</f>
        <v>0.529098465312</v>
      </c>
      <c r="S106" s="52"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2"/>
      <c r="E107" s="52" t="str">
        <f>'Input - Poultry'!$D$40</f>
        <v>Digester / covered lagoons</v>
      </c>
      <c r="F107" s="52" cm="1">
        <f t="array" ref="F107">MMS_Poultry_ManureAppliedToSoils_Equations.VEERG_4_6_1_9__1_MassOfNitrogenAppliedToSoilsScope1(F24,_xlfn.XLOOKUP($E107, $D$41:$D$49,$E$41:$E$49), _xlfn.XLOOKUP($E107, $D$54:$D$62,$E$54:$E$62), F69,$F88)</f>
        <v>0.53453368800000012</v>
      </c>
      <c r="G107" s="52" cm="1">
        <f t="array" ref="G107">MMS_Poultry_ManureAppliedToSoils_Equations.VEERG_4_6_1_9__1_MassOfNitrogenAppliedToSoilsScope1(G24,_xlfn.XLOOKUP($E107, $D$41:$D$49,$E$41:$E$49), _xlfn.XLOOKUP($E107, $D$54:$D$62,$E$54:$E$62), G69,$F88)</f>
        <v>0.57055343759999999</v>
      </c>
      <c r="H107" s="52" cm="1">
        <f t="array" ref="H107">MMS_Poultry_ManureAppliedToSoils_Equations.VEERG_4_6_1_9__1_MassOfNitrogenAppliedToSoilsScope1(H24,_xlfn.XLOOKUP($E107, $D$41:$D$49,$E$41:$E$49), _xlfn.XLOOKUP($E107, $D$54:$D$62,$E$54:$E$62), H69,$F88)</f>
        <v>0.66974489279999994</v>
      </c>
      <c r="I107" s="52" cm="1">
        <f t="array" ref="I107">MMS_Poultry_ManureAppliedToSoils_Equations.VEERG_4_6_1_9__1_MassOfNitrogenAppliedToSoilsScope1(I24,_xlfn.XLOOKUP($E107, $D$41:$D$49,$E$41:$E$49), _xlfn.XLOOKUP($E107, $D$54:$D$62,$E$54:$E$62), I69,$F88)</f>
        <v>0.57055343759999999</v>
      </c>
      <c r="J107" s="2"/>
      <c r="N107" s="52"/>
      <c r="O107" s="52" t="str">
        <f>'Input - Poultry'!$D$40</f>
        <v>Digester / covered lagoons</v>
      </c>
      <c r="P107" s="52" cm="1">
        <f t="array" ref="P107">MMS_Poultry_ManureAppliedToSoils_Equations.VEERG_4_6_1_9__1_MassOfNitrogenAppliedToSoilsScope1(P24,_xlfn.XLOOKUP($O107, $D$41:$D$49,$E$41:$E$49), _xlfn.XLOOKUP($O107, $D$54:$D$62,$E$54:$E$62), P69,$F88)</f>
        <v>0.53453368800000012</v>
      </c>
      <c r="Q107" s="52" cm="1">
        <f t="array" ref="Q107">MMS_Poultry_ManureAppliedToSoils_Equations.VEERG_4_6_1_9__1_MassOfNitrogenAppliedToSoilsScope1(Q24,_xlfn.XLOOKUP($O107, $D$41:$D$49,$E$41:$E$49), _xlfn.XLOOKUP($O107, $D$54:$D$62,$E$54:$E$62), Q69,$F88)</f>
        <v>0.57055343759999999</v>
      </c>
      <c r="R107" s="52" cm="1">
        <f t="array" ref="R107">MMS_Poultry_ManureAppliedToSoils_Equations.VEERG_4_6_1_9__1_MassOfNitrogenAppliedToSoilsScope1(R24,_xlfn.XLOOKUP($O107, $D$41:$D$49,$E$41:$E$49), _xlfn.XLOOKUP($O107, $D$54:$D$62,$E$54:$E$62), R69,$F88)</f>
        <v>0.66974489279999994</v>
      </c>
      <c r="S107" s="52"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2"/>
      <c r="E108" s="52" t="str">
        <f>'Input - Poultry'!$D$41</f>
        <v>Direct processing</v>
      </c>
      <c r="F108" s="52" cm="1">
        <f t="array" ref="F108">MMS_Poultry_ManureAppliedToSoils_Equations.VEERG_4_6_1_9__1_MassOfNitrogenAppliedToSoilsScope1(F25,_xlfn.XLOOKUP($E108, $D$41:$D$49,$E$41:$E$49), _xlfn.XLOOKUP($E108, $D$54:$D$62,$E$54:$E$62), F70,$F89)</f>
        <v>0.53453368800000012</v>
      </c>
      <c r="G108" s="52" cm="1">
        <f t="array" ref="G108">MMS_Poultry_ManureAppliedToSoils_Equations.VEERG_4_6_1_9__1_MassOfNitrogenAppliedToSoilsScope1(G25,_xlfn.XLOOKUP($E108, $D$41:$D$49,$E$41:$E$49), _xlfn.XLOOKUP($E108, $D$54:$D$62,$E$54:$E$62), G70,$F89)</f>
        <v>0.57055343759999999</v>
      </c>
      <c r="H108" s="52" cm="1">
        <f t="array" ref="H108">MMS_Poultry_ManureAppliedToSoils_Equations.VEERG_4_6_1_9__1_MassOfNitrogenAppliedToSoilsScope1(H25,_xlfn.XLOOKUP($E108, $D$41:$D$49,$E$41:$E$49), _xlfn.XLOOKUP($E108, $D$54:$D$62,$E$54:$E$62), H70,$F89)</f>
        <v>0.66974489279999994</v>
      </c>
      <c r="I108" s="52" cm="1">
        <f t="array" ref="I108">MMS_Poultry_ManureAppliedToSoils_Equations.VEERG_4_6_1_9__1_MassOfNitrogenAppliedToSoilsScope1(I25,_xlfn.XLOOKUP($E108, $D$41:$D$49,$E$41:$E$49), _xlfn.XLOOKUP($E108, $D$54:$D$62,$E$54:$E$62), I70,$F89)</f>
        <v>0.57055343759999999</v>
      </c>
      <c r="J108" s="2"/>
      <c r="N108" s="52"/>
      <c r="O108" s="52" t="str">
        <f>'Input - Poultry'!$D$41</f>
        <v>Direct processing</v>
      </c>
      <c r="P108" s="52" cm="1">
        <f t="array" ref="P108">MMS_Poultry_ManureAppliedToSoils_Equations.VEERG_4_6_1_9__1_MassOfNitrogenAppliedToSoilsScope1(P25,_xlfn.XLOOKUP($O108, $D$41:$D$49,$E$41:$E$49), _xlfn.XLOOKUP($O108, $D$54:$D$62,$E$54:$E$62), P70,$F89)</f>
        <v>0.53453368800000012</v>
      </c>
      <c r="Q108" s="52" cm="1">
        <f t="array" ref="Q108">MMS_Poultry_ManureAppliedToSoils_Equations.VEERG_4_6_1_9__1_MassOfNitrogenAppliedToSoilsScope1(Q25,_xlfn.XLOOKUP($O108, $D$41:$D$49,$E$41:$E$49), _xlfn.XLOOKUP($O108, $D$54:$D$62,$E$54:$E$62), Q70,$F89)</f>
        <v>0.57055343759999999</v>
      </c>
      <c r="R108" s="52" cm="1">
        <f t="array" ref="R108">MMS_Poultry_ManureAppliedToSoils_Equations.VEERG_4_6_1_9__1_MassOfNitrogenAppliedToSoilsScope1(R25,_xlfn.XLOOKUP($O108, $D$41:$D$49,$E$41:$E$49), _xlfn.XLOOKUP($O108, $D$54:$D$62,$E$54:$E$62), R70,$F89)</f>
        <v>0.66974489279999994</v>
      </c>
      <c r="S108" s="52"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2"/>
      <c r="E109" s="52" t="str">
        <f>'Input - Poultry'!$D$42</f>
        <v>Direct application</v>
      </c>
      <c r="F109" s="52" cm="1">
        <f t="array" ref="F109">MMS_Poultry_ManureAppliedToSoils_Equations.VEERG_4_6_1_9__1_MassOfNitrogenAppliedToSoilsScope1(F26,_xlfn.XLOOKUP($E109, $D$41:$D$49,$E$41:$E$49), _xlfn.XLOOKUP($E109, $D$54:$D$62,$E$54:$E$62), F71,$F90)</f>
        <v>0.71271158400000012</v>
      </c>
      <c r="G109" s="52" cm="1">
        <f t="array" ref="G109">MMS_Poultry_ManureAppliedToSoils_Equations.VEERG_4_6_1_9__1_MassOfNitrogenAppliedToSoilsScope1(G26,_xlfn.XLOOKUP($E109, $D$41:$D$49,$E$41:$E$49), _xlfn.XLOOKUP($E109, $D$54:$D$62,$E$54:$E$62), G71,$F90)</f>
        <v>0.76073791680000002</v>
      </c>
      <c r="H109" s="52" cm="1">
        <f t="array" ref="H109">MMS_Poultry_ManureAppliedToSoils_Equations.VEERG_4_6_1_9__1_MassOfNitrogenAppliedToSoilsScope1(H26,_xlfn.XLOOKUP($E109, $D$41:$D$49,$E$41:$E$49), _xlfn.XLOOKUP($E109, $D$54:$D$62,$E$54:$E$62), H71,$F90)</f>
        <v>0.89299319039999991</v>
      </c>
      <c r="I109" s="52" cm="1">
        <f t="array" ref="I109">MMS_Poultry_ManureAppliedToSoils_Equations.VEERG_4_6_1_9__1_MassOfNitrogenAppliedToSoilsScope1(I26,_xlfn.XLOOKUP($E109, $D$41:$D$49,$E$41:$E$49), _xlfn.XLOOKUP($E109, $D$54:$D$62,$E$54:$E$62), I71,$F90)</f>
        <v>0.76073791680000002</v>
      </c>
      <c r="N109" s="52"/>
      <c r="O109" s="52" t="str">
        <f>'Input - Poultry'!$D$42</f>
        <v>Direct application</v>
      </c>
      <c r="P109" s="52" cm="1">
        <f t="array" ref="P109">MMS_Poultry_ManureAppliedToSoils_Equations.VEERG_4_6_1_9__1_MassOfNitrogenAppliedToSoilsScope1(P26,_xlfn.XLOOKUP($O109, $D$41:$D$49,$E$41:$E$49), _xlfn.XLOOKUP($O109, $D$54:$D$62,$E$54:$E$62), P71,$F90)</f>
        <v>0.71271158400000012</v>
      </c>
      <c r="Q109" s="52" cm="1">
        <f t="array" ref="Q109">MMS_Poultry_ManureAppliedToSoils_Equations.VEERG_4_6_1_9__1_MassOfNitrogenAppliedToSoilsScope1(Q26,_xlfn.XLOOKUP($O109, $D$41:$D$49,$E$41:$E$49), _xlfn.XLOOKUP($O109, $D$54:$D$62,$E$54:$E$62), Q71,$F90)</f>
        <v>0.76073791680000002</v>
      </c>
      <c r="R109" s="52" cm="1">
        <f t="array" ref="R109">MMS_Poultry_ManureAppliedToSoils_Equations.VEERG_4_6_1_9__1_MassOfNitrogenAppliedToSoilsScope1(R26,_xlfn.XLOOKUP($O109, $D$41:$D$49,$E$41:$E$49), _xlfn.XLOOKUP($O109, $D$54:$D$62,$E$54:$E$62), R71,$F90)</f>
        <v>0.89299319039999991</v>
      </c>
      <c r="S109" s="52" cm="1">
        <f t="array" ref="S109">MMS_Poultry_ManureAppliedToSoils_Equations.VEERG_4_6_1_9__1_MassOfNitrogenAppliedToSoilsScope1(S26,_xlfn.XLOOKUP($O109, $D$41:$D$49,$E$41:$E$49), _xlfn.XLOOKUP($O109, $D$54:$D$62,$E$54:$E$62), S71,$F90)</f>
        <v>0.76073791680000002</v>
      </c>
    </row>
    <row r="110" spans="4:20" ht="20.100000000000001" customHeight="1" x14ac:dyDescent="0.25">
      <c r="D110" s="52" t="str">
        <f>'Input - Poultry'!$D$31</f>
        <v>Belt manure removal</v>
      </c>
      <c r="E110" s="52" t="str">
        <f>'Input - Poultry'!$D$45</f>
        <v>Solid storage</v>
      </c>
      <c r="F110" s="52" cm="1">
        <f t="array" ref="F110">MMS_Poultry_ManureAppliedToSoils_Equations.VEERG_4_6_1_9__1_MassOfNitrogenAppliedToSoilsScope1(F27,_xlfn.XLOOKUP($E110, $D$41:$D$49,$E$41:$E$49), _xlfn.XLOOKUP($E110, $D$54:$D$62,$E$54:$E$62), F72,$F91)</f>
        <v>0.56242655820000009</v>
      </c>
      <c r="G110" s="52" cm="1">
        <f t="array" ref="G110">MMS_Poultry_ManureAppliedToSoils_Equations.VEERG_4_6_1_9__1_MassOfNitrogenAppliedToSoilsScope1(G27,_xlfn.XLOOKUP($E110, $D$41:$D$49,$E$41:$E$49), _xlfn.XLOOKUP($E110, $D$54:$D$62,$E$54:$E$62), G72,$F91)</f>
        <v>0.60032587913999991</v>
      </c>
      <c r="H110" s="52" cm="1">
        <f t="array" ref="H110">MMS_Poultry_ManureAppliedToSoils_Equations.VEERG_4_6_1_9__1_MassOfNitrogenAppliedToSoilsScope1(H27,_xlfn.XLOOKUP($E110, $D$41:$D$49,$E$41:$E$49), _xlfn.XLOOKUP($E110, $D$54:$D$62,$E$54:$E$62), H72,$F91)</f>
        <v>0.70469331191999995</v>
      </c>
      <c r="I110" s="52" cm="1">
        <f t="array" ref="I110">MMS_Poultry_ManureAppliedToSoils_Equations.VEERG_4_6_1_9__1_MassOfNitrogenAppliedToSoilsScope1(I27,_xlfn.XLOOKUP($E110, $D$41:$D$49,$E$41:$E$49), _xlfn.XLOOKUP($E110, $D$54:$D$62,$E$54:$E$62), I72,$F91)</f>
        <v>0.60032587913999991</v>
      </c>
      <c r="J110" s="2"/>
      <c r="N110" s="52" t="str">
        <f>'Input - Poultry'!$D$31</f>
        <v>Belt manure removal</v>
      </c>
      <c r="O110" s="52" t="str">
        <f>'Input - Poultry'!$D$45</f>
        <v>Solid storage</v>
      </c>
      <c r="P110" s="52" cm="1">
        <f t="array" ref="P110">MMS_Poultry_ManureAppliedToSoils_Equations.VEERG_4_6_1_9__1_MassOfNitrogenAppliedToSoilsScope1(P27,_xlfn.XLOOKUP($O110, $D$41:$D$49,$E$41:$E$49), _xlfn.XLOOKUP($O110, $D$54:$D$62,$E$54:$E$62), P72,$F91)</f>
        <v>0.56242655820000009</v>
      </c>
      <c r="Q110" s="52" cm="1">
        <f t="array" ref="Q110">MMS_Poultry_ManureAppliedToSoils_Equations.VEERG_4_6_1_9__1_MassOfNitrogenAppliedToSoilsScope1(Q27,_xlfn.XLOOKUP($O110, $D$41:$D$49,$E$41:$E$49), _xlfn.XLOOKUP($O110, $D$54:$D$62,$E$54:$E$62), Q72,$F91)</f>
        <v>0.60032587913999991</v>
      </c>
      <c r="R110" s="52" cm="1">
        <f t="array" ref="R110">MMS_Poultry_ManureAppliedToSoils_Equations.VEERG_4_6_1_9__1_MassOfNitrogenAppliedToSoilsScope1(R27,_xlfn.XLOOKUP($O110, $D$41:$D$49,$E$41:$E$49), _xlfn.XLOOKUP($O110, $D$54:$D$62,$E$54:$E$62), R72,$F91)</f>
        <v>0.70469331191999995</v>
      </c>
      <c r="S110" s="52"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2"/>
      <c r="E111" s="52" t="str">
        <f>'Input - Poultry'!$D$46</f>
        <v>Composting (passive windrow)</v>
      </c>
      <c r="F111" s="52" cm="1">
        <f t="array" ref="F111">MMS_Poultry_ManureAppliedToSoils_Equations.VEERG_4_6_1_9__1_MassOfNitrogenAppliedToSoilsScope1(F28,_xlfn.XLOOKUP($E111, $D$41:$D$49,$E$41:$E$49), _xlfn.XLOOKUP($E111, $D$54:$D$62,$E$54:$E$62), F73,$F92)</f>
        <v>0.57331223352000016</v>
      </c>
      <c r="G111" s="52" cm="1">
        <f t="array" ref="G111">MMS_Poultry_ManureAppliedToSoils_Equations.VEERG_4_6_1_9__1_MassOfNitrogenAppliedToSoilsScope1(G28,_xlfn.XLOOKUP($E111, $D$41:$D$49,$E$41:$E$49), _xlfn.XLOOKUP($E111, $D$54:$D$62,$E$54:$E$62), G73,$F92)</f>
        <v>0.61194508970400008</v>
      </c>
      <c r="H111" s="52" cm="1">
        <f t="array" ref="H111">MMS_Poultry_ManureAppliedToSoils_Equations.VEERG_4_6_1_9__1_MassOfNitrogenAppliedToSoilsScope1(H28,_xlfn.XLOOKUP($E111, $D$41:$D$49,$E$41:$E$49), _xlfn.XLOOKUP($E111, $D$54:$D$62,$E$54:$E$62), H73,$F92)</f>
        <v>0.71833253731199997</v>
      </c>
      <c r="I111" s="52" cm="1">
        <f t="array" ref="I111">MMS_Poultry_ManureAppliedToSoils_Equations.VEERG_4_6_1_9__1_MassOfNitrogenAppliedToSoilsScope1(I28,_xlfn.XLOOKUP($E111, $D$41:$D$49,$E$41:$E$49), _xlfn.XLOOKUP($E111, $D$54:$D$62,$E$54:$E$62), I73,$F92)</f>
        <v>0.61194508970400008</v>
      </c>
      <c r="J111" s="2"/>
      <c r="N111" s="52"/>
      <c r="O111" s="52" t="str">
        <f>'Input - Poultry'!$D$46</f>
        <v>Composting (passive windrow)</v>
      </c>
      <c r="P111" s="52" cm="1">
        <f t="array" ref="P111">MMS_Poultry_ManureAppliedToSoils_Equations.VEERG_4_6_1_9__1_MassOfNitrogenAppliedToSoilsScope1(P28,_xlfn.XLOOKUP($O111, $D$41:$D$49,$E$41:$E$49), _xlfn.XLOOKUP($O111, $D$54:$D$62,$E$54:$E$62), P73,$F92)</f>
        <v>0.57331223352000016</v>
      </c>
      <c r="Q111" s="52" cm="1">
        <f t="array" ref="Q111">MMS_Poultry_ManureAppliedToSoils_Equations.VEERG_4_6_1_9__1_MassOfNitrogenAppliedToSoilsScope1(Q28,_xlfn.XLOOKUP($O111, $D$41:$D$49,$E$41:$E$49), _xlfn.XLOOKUP($O111, $D$54:$D$62,$E$54:$E$62), Q73,$F92)</f>
        <v>0.61194508970400008</v>
      </c>
      <c r="R111" s="52" cm="1">
        <f t="array" ref="R111">MMS_Poultry_ManureAppliedToSoils_Equations.VEERG_4_6_1_9__1_MassOfNitrogenAppliedToSoilsScope1(R28,_xlfn.XLOOKUP($O111, $D$41:$D$49,$E$41:$E$49), _xlfn.XLOOKUP($O111, $D$54:$D$62,$E$54:$E$62), R73,$F92)</f>
        <v>0.71833253731199997</v>
      </c>
      <c r="S111" s="52"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2"/>
      <c r="E112" s="52" t="str">
        <f>'Input - Poultry'!$D$47</f>
        <v>Digester / covered lagoons</v>
      </c>
      <c r="F112" s="52" cm="1">
        <f t="array" ref="F112">MMS_Poultry_ManureAppliedToSoils_Equations.VEERG_4_6_1_9__1_MassOfNitrogenAppliedToSoilsScope1(F29,_xlfn.XLOOKUP($E112, $D$41:$D$49,$E$41:$E$49), _xlfn.XLOOKUP($E112, $D$54:$D$62,$E$54:$E$62), F74,$F93)</f>
        <v>0.72571168800000019</v>
      </c>
      <c r="G112" s="52" cm="1">
        <f t="array" ref="G112">MMS_Poultry_ManureAppliedToSoils_Equations.VEERG_4_6_1_9__1_MassOfNitrogenAppliedToSoilsScope1(G29,_xlfn.XLOOKUP($E112, $D$41:$D$49,$E$41:$E$49), _xlfn.XLOOKUP($E112, $D$54:$D$62,$E$54:$E$62), G74,$F93)</f>
        <v>0.77461403760000003</v>
      </c>
      <c r="H112" s="52" cm="1">
        <f t="array" ref="H112">MMS_Poultry_ManureAppliedToSoils_Equations.VEERG_4_6_1_9__1_MassOfNitrogenAppliedToSoilsScope1(H29,_xlfn.XLOOKUP($E112, $D$41:$D$49,$E$41:$E$49), _xlfn.XLOOKUP($E112, $D$54:$D$62,$E$54:$E$62), H74,$F93)</f>
        <v>0.90928169280000004</v>
      </c>
      <c r="I112" s="52" cm="1">
        <f t="array" ref="I112">MMS_Poultry_ManureAppliedToSoils_Equations.VEERG_4_6_1_9__1_MassOfNitrogenAppliedToSoilsScope1(I29,_xlfn.XLOOKUP($E112, $D$41:$D$49,$E$41:$E$49), _xlfn.XLOOKUP($E112, $D$54:$D$62,$E$54:$E$62), I74,$F93)</f>
        <v>0.77461403760000003</v>
      </c>
      <c r="J112" s="2"/>
      <c r="N112" s="52"/>
      <c r="O112" s="52" t="str">
        <f>'Input - Poultry'!$D$47</f>
        <v>Digester / covered lagoons</v>
      </c>
      <c r="P112" s="52" cm="1">
        <f t="array" ref="P112">MMS_Poultry_ManureAppliedToSoils_Equations.VEERG_4_6_1_9__1_MassOfNitrogenAppliedToSoilsScope1(P29,_xlfn.XLOOKUP($O112, $D$41:$D$49,$E$41:$E$49), _xlfn.XLOOKUP($O112, $D$54:$D$62,$E$54:$E$62), P74,$F93)</f>
        <v>0.72571168800000019</v>
      </c>
      <c r="Q112" s="52" cm="1">
        <f t="array" ref="Q112">MMS_Poultry_ManureAppliedToSoils_Equations.VEERG_4_6_1_9__1_MassOfNitrogenAppliedToSoilsScope1(Q29,_xlfn.XLOOKUP($O112, $D$41:$D$49,$E$41:$E$49), _xlfn.XLOOKUP($O112, $D$54:$D$62,$E$54:$E$62), Q74,$F93)</f>
        <v>0.77461403760000003</v>
      </c>
      <c r="R112" s="52" cm="1">
        <f t="array" ref="R112">MMS_Poultry_ManureAppliedToSoils_Equations.VEERG_4_6_1_9__1_MassOfNitrogenAppliedToSoilsScope1(R29,_xlfn.XLOOKUP($O112, $D$41:$D$49,$E$41:$E$49), _xlfn.XLOOKUP($O112, $D$54:$D$62,$E$54:$E$62), R74,$F93)</f>
        <v>0.90928169280000004</v>
      </c>
      <c r="S112" s="52"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2"/>
      <c r="E113" s="52" t="str">
        <f>'Input - Poultry'!$D$48</f>
        <v>Direct processing</v>
      </c>
      <c r="F113" s="52" cm="1">
        <f t="array" ref="F113">MMS_Poultry_ManureAppliedToSoils_Equations.VEERG_4_6_1_9__1_MassOfNitrogenAppliedToSoilsScope1(F30,_xlfn.XLOOKUP($E113, $D$41:$D$49,$E$41:$E$49), _xlfn.XLOOKUP($E113, $D$54:$D$62,$E$54:$E$62), F75,$F94)</f>
        <v>0.72571168800000019</v>
      </c>
      <c r="G113" s="52" cm="1">
        <f t="array" ref="G113">MMS_Poultry_ManureAppliedToSoils_Equations.VEERG_4_6_1_9__1_MassOfNitrogenAppliedToSoilsScope1(G30,_xlfn.XLOOKUP($E113, $D$41:$D$49,$E$41:$E$49), _xlfn.XLOOKUP($E113, $D$54:$D$62,$E$54:$E$62), G75,$F94)</f>
        <v>0.77461403760000003</v>
      </c>
      <c r="H113" s="52" cm="1">
        <f t="array" ref="H113">MMS_Poultry_ManureAppliedToSoils_Equations.VEERG_4_6_1_9__1_MassOfNitrogenAppliedToSoilsScope1(H30,_xlfn.XLOOKUP($E113, $D$41:$D$49,$E$41:$E$49), _xlfn.XLOOKUP($E113, $D$54:$D$62,$E$54:$E$62), H75,$F94)</f>
        <v>0.90928169280000004</v>
      </c>
      <c r="I113" s="52" cm="1">
        <f t="array" ref="I113">MMS_Poultry_ManureAppliedToSoils_Equations.VEERG_4_6_1_9__1_MassOfNitrogenAppliedToSoilsScope1(I30,_xlfn.XLOOKUP($E113, $D$41:$D$49,$E$41:$E$49), _xlfn.XLOOKUP($E113, $D$54:$D$62,$E$54:$E$62), I75,$F94)</f>
        <v>0.77461403760000003</v>
      </c>
      <c r="J113" s="2"/>
      <c r="N113" s="52"/>
      <c r="O113" s="52" t="str">
        <f>'Input - Poultry'!$D$48</f>
        <v>Direct processing</v>
      </c>
      <c r="P113" s="52" cm="1">
        <f t="array" ref="P113">MMS_Poultry_ManureAppliedToSoils_Equations.VEERG_4_6_1_9__1_MassOfNitrogenAppliedToSoilsScope1(P30,_xlfn.XLOOKUP($O113, $D$41:$D$49,$E$41:$E$49), _xlfn.XLOOKUP($O113, $D$54:$D$62,$E$54:$E$62), P75,$F94)</f>
        <v>0.72571168800000019</v>
      </c>
      <c r="Q113" s="52" cm="1">
        <f t="array" ref="Q113">MMS_Poultry_ManureAppliedToSoils_Equations.VEERG_4_6_1_9__1_MassOfNitrogenAppliedToSoilsScope1(Q30,_xlfn.XLOOKUP($O113, $D$41:$D$49,$E$41:$E$49), _xlfn.XLOOKUP($O113, $D$54:$D$62,$E$54:$E$62), Q75,$F94)</f>
        <v>0.77461403760000003</v>
      </c>
      <c r="R113" s="52" cm="1">
        <f t="array" ref="R113">MMS_Poultry_ManureAppliedToSoils_Equations.VEERG_4_6_1_9__1_MassOfNitrogenAppliedToSoilsScope1(R30,_xlfn.XLOOKUP($O113, $D$41:$D$49,$E$41:$E$49), _xlfn.XLOOKUP($O113, $D$54:$D$62,$E$54:$E$62), R75,$F94)</f>
        <v>0.90928169280000004</v>
      </c>
      <c r="S113" s="52"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2"/>
      <c r="E114" s="52" t="str">
        <f>'Input - Poultry'!$D$49</f>
        <v>Direct application</v>
      </c>
      <c r="F114" s="52" cm="1">
        <f t="array" ref="F114">MMS_Poultry_ManureAppliedToSoils_Equations.VEERG_4_6_1_9__1_MassOfNitrogenAppliedToSoilsScope1(F31,_xlfn.XLOOKUP($E114, $D$41:$D$49,$E$41:$E$49), _xlfn.XLOOKUP($E114, $D$54:$D$62,$E$54:$E$62), F76,$F95)</f>
        <v>0.96761558400000025</v>
      </c>
      <c r="G114" s="52" cm="1">
        <f t="array" ref="G114">MMS_Poultry_ManureAppliedToSoils_Equations.VEERG_4_6_1_9__1_MassOfNitrogenAppliedToSoilsScope1(G31,_xlfn.XLOOKUP($E114, $D$41:$D$49,$E$41:$E$49), _xlfn.XLOOKUP($E114, $D$54:$D$62,$E$54:$E$62), G76,$F95)</f>
        <v>1.0328187168</v>
      </c>
      <c r="H114" s="52" cm="1">
        <f t="array" ref="H114">MMS_Poultry_ManureAppliedToSoils_Equations.VEERG_4_6_1_9__1_MassOfNitrogenAppliedToSoilsScope1(H31,_xlfn.XLOOKUP($E114, $D$41:$D$49,$E$41:$E$49), _xlfn.XLOOKUP($E114, $D$54:$D$62,$E$54:$E$62), H76,$F95)</f>
        <v>1.2123755904</v>
      </c>
      <c r="I114" s="52" cm="1">
        <f t="array" ref="I114">MMS_Poultry_ManureAppliedToSoils_Equations.VEERG_4_6_1_9__1_MassOfNitrogenAppliedToSoilsScope1(I31,_xlfn.XLOOKUP($E114, $D$41:$D$49,$E$41:$E$49), _xlfn.XLOOKUP($E114, $D$54:$D$62,$E$54:$E$62), I76,$F95)</f>
        <v>1.0328187168</v>
      </c>
      <c r="N114" s="52"/>
      <c r="O114" s="52" t="str">
        <f>'Input - Poultry'!$D$49</f>
        <v>Direct application</v>
      </c>
      <c r="P114" s="52" cm="1">
        <f t="array" ref="P114">MMS_Poultry_ManureAppliedToSoils_Equations.VEERG_4_6_1_9__1_MassOfNitrogenAppliedToSoilsScope1(P31,_xlfn.XLOOKUP($O114, $D$41:$D$49,$E$41:$E$49), _xlfn.XLOOKUP($O114, $D$54:$D$62,$E$54:$E$62), P76,$F95)</f>
        <v>0.96761558400000025</v>
      </c>
      <c r="Q114" s="52" cm="1">
        <f t="array" ref="Q114">MMS_Poultry_ManureAppliedToSoils_Equations.VEERG_4_6_1_9__1_MassOfNitrogenAppliedToSoilsScope1(Q31,_xlfn.XLOOKUP($O114, $D$41:$D$49,$E$41:$E$49), _xlfn.XLOOKUP($O114, $D$54:$D$62,$E$54:$E$62), Q76,$F95)</f>
        <v>1.0328187168</v>
      </c>
      <c r="R114" s="52" cm="1">
        <f t="array" ref="R114">MMS_Poultry_ManureAppliedToSoils_Equations.VEERG_4_6_1_9__1_MassOfNitrogenAppliedToSoilsScope1(R31,_xlfn.XLOOKUP($O114, $D$41:$D$49,$E$41:$E$49), _xlfn.XLOOKUP($O114, $D$54:$D$62,$E$54:$E$62), R76,$F95)</f>
        <v>1.2123755904</v>
      </c>
      <c r="S114" s="52" cm="1">
        <f t="array" ref="S114">MMS_Poultry_ManureAppliedToSoils_Equations.VEERG_4_6_1_9__1_MassOfNitrogenAppliedToSoilsScope1(S31,_xlfn.XLOOKUP($O114, $D$41:$D$49,$E$41:$E$49), _xlfn.XLOOKUP($O114, $D$54:$D$62,$E$54:$E$62), S76,$F95)</f>
        <v>1.0328187168</v>
      </c>
    </row>
    <row r="115" spans="3:21" ht="20.100000000000001" customHeight="1" x14ac:dyDescent="0.25">
      <c r="D115" s="52" t="str">
        <f>'Input - Poultry'!$D$32</f>
        <v>Manure stored in house</v>
      </c>
      <c r="E115" s="52" t="str">
        <f>'Input - Poultry'!$D$52</f>
        <v>Solid storage</v>
      </c>
      <c r="F115" s="52" cm="1">
        <f t="array" ref="F115">MMS_Poultry_ManureAppliedToSoils_Equations.VEERG_4_6_1_9__1_MassOfNitrogenAppliedToSoilsScope1(F32,_xlfn.XLOOKUP($E115, $D$41:$D$49,$E$41:$E$49), _xlfn.XLOOKUP($E115, $D$54:$D$62,$E$54:$E$62), F77,$F96)</f>
        <v>0.35499842820000005</v>
      </c>
      <c r="G115" s="52" cm="1">
        <f t="array" ref="G115">MMS_Poultry_ManureAppliedToSoils_Equations.VEERG_4_6_1_9__1_MassOfNitrogenAppliedToSoilsScope1(G32,_xlfn.XLOOKUP($E115, $D$41:$D$49,$E$41:$E$49), _xlfn.XLOOKUP($E115, $D$54:$D$62,$E$54:$E$62), G77,$F96)</f>
        <v>0.37892012813999987</v>
      </c>
      <c r="H115" s="52" cm="1">
        <f t="array" ref="H115">MMS_Poultry_ManureAppliedToSoils_Equations.VEERG_4_6_1_9__1_MassOfNitrogenAppliedToSoilsScope1(H32,_xlfn.XLOOKUP($E115, $D$41:$D$49,$E$41:$E$49), _xlfn.XLOOKUP($E115, $D$54:$D$62,$E$54:$E$62), H77,$F96)</f>
        <v>0.44479588391999991</v>
      </c>
      <c r="I115" s="52" cm="1">
        <f t="array" ref="I115">MMS_Poultry_ManureAppliedToSoils_Equations.VEERG_4_6_1_9__1_MassOfNitrogenAppliedToSoilsScope1(I32,_xlfn.XLOOKUP($E115, $D$41:$D$49,$E$41:$E$49), _xlfn.XLOOKUP($E115, $D$54:$D$62,$E$54:$E$62), I77,$F96)</f>
        <v>0.37892012813999987</v>
      </c>
      <c r="J115" s="2"/>
      <c r="N115" s="52" t="str">
        <f>'Input - Poultry'!$D$32</f>
        <v>Manure stored in house</v>
      </c>
      <c r="O115" s="52" t="str">
        <f>'Input - Poultry'!$D$52</f>
        <v>Solid storage</v>
      </c>
      <c r="P115" s="52" cm="1">
        <f t="array" ref="P115">MMS_Poultry_ManureAppliedToSoils_Equations.VEERG_4_6_1_9__1_MassOfNitrogenAppliedToSoilsScope1(P32,_xlfn.XLOOKUP($O115, $D$41:$D$49,$E$41:$E$49), _xlfn.XLOOKUP($O115, $D$54:$D$62,$E$54:$E$62), P77,$F96)</f>
        <v>0.35499842820000005</v>
      </c>
      <c r="Q115" s="52" cm="1">
        <f t="array" ref="Q115">MMS_Poultry_ManureAppliedToSoils_Equations.VEERG_4_6_1_9__1_MassOfNitrogenAppliedToSoilsScope1(Q32,_xlfn.XLOOKUP($O115, $D$41:$D$49,$E$41:$E$49), _xlfn.XLOOKUP($O115, $D$54:$D$62,$E$54:$E$62), Q77,$F96)</f>
        <v>0.37892012813999987</v>
      </c>
      <c r="R115" s="52" cm="1">
        <f t="array" ref="R115">MMS_Poultry_ManureAppliedToSoils_Equations.VEERG_4_6_1_9__1_MassOfNitrogenAppliedToSoilsScope1(R32,_xlfn.XLOOKUP($O115, $D$41:$D$49,$E$41:$E$49), _xlfn.XLOOKUP($O115, $D$54:$D$62,$E$54:$E$62), R77,$F96)</f>
        <v>0.44479588391999991</v>
      </c>
      <c r="S115" s="52"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2"/>
      <c r="E116" s="52" t="str">
        <f>'Input - Poultry'!$D$53</f>
        <v>Composting (passive windrow)</v>
      </c>
      <c r="F116" s="52" cm="1">
        <f t="array" ref="F116">MMS_Poultry_ManureAppliedToSoils_Equations.VEERG_4_6_1_9__1_MassOfNitrogenAppliedToSoilsScope1(F33,_xlfn.XLOOKUP($E116, $D$41:$D$49,$E$41:$E$49), _xlfn.XLOOKUP($E116, $D$54:$D$62,$E$54:$E$62), F78,$F97)</f>
        <v>0.3618693655200001</v>
      </c>
      <c r="G116" s="52" cm="1">
        <f t="array" ref="G116">MMS_Poultry_ManureAppliedToSoils_Equations.VEERG_4_6_1_9__1_MassOfNitrogenAppliedToSoilsScope1(G33,_xlfn.XLOOKUP($E116, $D$41:$D$49,$E$41:$E$49), _xlfn.XLOOKUP($E116, $D$54:$D$62,$E$54:$E$62), G78,$F97)</f>
        <v>0.38625406610400004</v>
      </c>
      <c r="H116" s="52" cm="1">
        <f t="array" ref="H116">MMS_Poultry_ManureAppliedToSoils_Equations.VEERG_4_6_1_9__1_MassOfNitrogenAppliedToSoilsScope1(H33,_xlfn.XLOOKUP($E116, $D$41:$D$49,$E$41:$E$49), _xlfn.XLOOKUP($E116, $D$54:$D$62,$E$54:$E$62), H78,$F97)</f>
        <v>0.45340483651199992</v>
      </c>
      <c r="I116" s="52" cm="1">
        <f t="array" ref="I116">MMS_Poultry_ManureAppliedToSoils_Equations.VEERG_4_6_1_9__1_MassOfNitrogenAppliedToSoilsScope1(I33,_xlfn.XLOOKUP($E116, $D$41:$D$49,$E$41:$E$49), _xlfn.XLOOKUP($E116, $D$54:$D$62,$E$54:$E$62), I78,$F97)</f>
        <v>0.38625406610400004</v>
      </c>
      <c r="J116" s="2"/>
      <c r="N116" s="52"/>
      <c r="O116" s="52" t="str">
        <f>'Input - Poultry'!$D$53</f>
        <v>Composting (passive windrow)</v>
      </c>
      <c r="P116" s="52" cm="1">
        <f t="array" ref="P116">MMS_Poultry_ManureAppliedToSoils_Equations.VEERG_4_6_1_9__1_MassOfNitrogenAppliedToSoilsScope1(P33,_xlfn.XLOOKUP($O116, $D$41:$D$49,$E$41:$E$49), _xlfn.XLOOKUP($O116, $D$54:$D$62,$E$54:$E$62), P78,$F97)</f>
        <v>0.3618693655200001</v>
      </c>
      <c r="Q116" s="52" cm="1">
        <f t="array" ref="Q116">MMS_Poultry_ManureAppliedToSoils_Equations.VEERG_4_6_1_9__1_MassOfNitrogenAppliedToSoilsScope1(Q33,_xlfn.XLOOKUP($O116, $D$41:$D$49,$E$41:$E$49), _xlfn.XLOOKUP($O116, $D$54:$D$62,$E$54:$E$62), Q78,$F97)</f>
        <v>0.38625406610400004</v>
      </c>
      <c r="R116" s="52" cm="1">
        <f t="array" ref="R116">MMS_Poultry_ManureAppliedToSoils_Equations.VEERG_4_6_1_9__1_MassOfNitrogenAppliedToSoilsScope1(R33,_xlfn.XLOOKUP($O116, $D$41:$D$49,$E$41:$E$49), _xlfn.XLOOKUP($O116, $D$54:$D$62,$E$54:$E$62), R78,$F97)</f>
        <v>0.45340483651199992</v>
      </c>
      <c r="S116" s="52"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2"/>
      <c r="E117" s="52" t="str">
        <f>'Input - Poultry'!$D$54</f>
        <v>Digester / covered lagoons</v>
      </c>
      <c r="F117" s="52" cm="1">
        <f t="array" ref="F117">MMS_Poultry_ManureAppliedToSoils_Equations.VEERG_4_6_1_9__1_MassOfNitrogenAppliedToSoilsScope1(F34,_xlfn.XLOOKUP($E117, $D$41:$D$49,$E$41:$E$49), _xlfn.XLOOKUP($E117, $D$54:$D$62,$E$54:$E$62), F79,$F98)</f>
        <v>0.4580624880000001</v>
      </c>
      <c r="G117" s="52" cm="1">
        <f t="array" ref="G117">MMS_Poultry_ManureAppliedToSoils_Equations.VEERG_4_6_1_9__1_MassOfNitrogenAppliedToSoilsScope1(G34,_xlfn.XLOOKUP($E117, $D$41:$D$49,$E$41:$E$49), _xlfn.XLOOKUP($E117, $D$54:$D$62,$E$54:$E$62), G79,$F98)</f>
        <v>0.48892919759999998</v>
      </c>
      <c r="H117" s="52" cm="1">
        <f t="array" ref="H117">MMS_Poultry_ManureAppliedToSoils_Equations.VEERG_4_6_1_9__1_MassOfNitrogenAppliedToSoilsScope1(H34,_xlfn.XLOOKUP($E117, $D$41:$D$49,$E$41:$E$49), _xlfn.XLOOKUP($E117, $D$54:$D$62,$E$54:$E$62), H79,$F98)</f>
        <v>0.57393017279999992</v>
      </c>
      <c r="I117" s="52" cm="1">
        <f t="array" ref="I117">MMS_Poultry_ManureAppliedToSoils_Equations.VEERG_4_6_1_9__1_MassOfNitrogenAppliedToSoilsScope1(I34,_xlfn.XLOOKUP($E117, $D$41:$D$49,$E$41:$E$49), _xlfn.XLOOKUP($E117, $D$54:$D$62,$E$54:$E$62), I79,$F98)</f>
        <v>0.48892919759999998</v>
      </c>
      <c r="J117" s="2"/>
      <c r="N117" s="52"/>
      <c r="O117" s="52" t="str">
        <f>'Input - Poultry'!$D$54</f>
        <v>Digester / covered lagoons</v>
      </c>
      <c r="P117" s="52" cm="1">
        <f t="array" ref="P117">MMS_Poultry_ManureAppliedToSoils_Equations.VEERG_4_6_1_9__1_MassOfNitrogenAppliedToSoilsScope1(P34,_xlfn.XLOOKUP($O117, $D$41:$D$49,$E$41:$E$49), _xlfn.XLOOKUP($O117, $D$54:$D$62,$E$54:$E$62), P79,$F98)</f>
        <v>0.4580624880000001</v>
      </c>
      <c r="Q117" s="52" cm="1">
        <f t="array" ref="Q117">MMS_Poultry_ManureAppliedToSoils_Equations.VEERG_4_6_1_9__1_MassOfNitrogenAppliedToSoilsScope1(Q34,_xlfn.XLOOKUP($O117, $D$41:$D$49,$E$41:$E$49), _xlfn.XLOOKUP($O117, $D$54:$D$62,$E$54:$E$62), Q79,$F98)</f>
        <v>0.48892919759999998</v>
      </c>
      <c r="R117" s="52" cm="1">
        <f t="array" ref="R117">MMS_Poultry_ManureAppliedToSoils_Equations.VEERG_4_6_1_9__1_MassOfNitrogenAppliedToSoilsScope1(R34,_xlfn.XLOOKUP($O117, $D$41:$D$49,$E$41:$E$49), _xlfn.XLOOKUP($O117, $D$54:$D$62,$E$54:$E$62), R79,$F98)</f>
        <v>0.57393017279999992</v>
      </c>
      <c r="S117" s="52"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2"/>
      <c r="E118" s="52" t="str">
        <f>'Input - Poultry'!$D$55</f>
        <v>Direct processing</v>
      </c>
      <c r="F118" s="52" cm="1">
        <f t="array" ref="F118">MMS_Poultry_ManureAppliedToSoils_Equations.VEERG_4_6_1_9__1_MassOfNitrogenAppliedToSoilsScope1(F35,_xlfn.XLOOKUP($E118, $D$41:$D$49,$E$41:$E$49), _xlfn.XLOOKUP($E118, $D$54:$D$62,$E$54:$E$62), F80,$F99)</f>
        <v>0.4580624880000001</v>
      </c>
      <c r="G118" s="52" cm="1">
        <f t="array" ref="G118">MMS_Poultry_ManureAppliedToSoils_Equations.VEERG_4_6_1_9__1_MassOfNitrogenAppliedToSoilsScope1(G35,_xlfn.XLOOKUP($E118, $D$41:$D$49,$E$41:$E$49), _xlfn.XLOOKUP($E118, $D$54:$D$62,$E$54:$E$62), G80,$F99)</f>
        <v>0.48892919759999998</v>
      </c>
      <c r="H118" s="52" cm="1">
        <f t="array" ref="H118">MMS_Poultry_ManureAppliedToSoils_Equations.VEERG_4_6_1_9__1_MassOfNitrogenAppliedToSoilsScope1(H35,_xlfn.XLOOKUP($E118, $D$41:$D$49,$E$41:$E$49), _xlfn.XLOOKUP($E118, $D$54:$D$62,$E$54:$E$62), H80,$F99)</f>
        <v>0.57393017279999992</v>
      </c>
      <c r="I118" s="52" cm="1">
        <f t="array" ref="I118">MMS_Poultry_ManureAppliedToSoils_Equations.VEERG_4_6_1_9__1_MassOfNitrogenAppliedToSoilsScope1(I35,_xlfn.XLOOKUP($E118, $D$41:$D$49,$E$41:$E$49), _xlfn.XLOOKUP($E118, $D$54:$D$62,$E$54:$E$62), I80,$F99)</f>
        <v>0.48892919759999998</v>
      </c>
      <c r="J118" s="2"/>
      <c r="N118" s="52"/>
      <c r="O118" s="52" t="str">
        <f>'Input - Poultry'!$D$55</f>
        <v>Direct processing</v>
      </c>
      <c r="P118" s="52" cm="1">
        <f t="array" ref="P118">MMS_Poultry_ManureAppliedToSoils_Equations.VEERG_4_6_1_9__1_MassOfNitrogenAppliedToSoilsScope1(P35,_xlfn.XLOOKUP($O118, $D$41:$D$49,$E$41:$E$49), _xlfn.XLOOKUP($O118, $D$54:$D$62,$E$54:$E$62), P80,$F99)</f>
        <v>0.4580624880000001</v>
      </c>
      <c r="Q118" s="52" cm="1">
        <f t="array" ref="Q118">MMS_Poultry_ManureAppliedToSoils_Equations.VEERG_4_6_1_9__1_MassOfNitrogenAppliedToSoilsScope1(Q35,_xlfn.XLOOKUP($O118, $D$41:$D$49,$E$41:$E$49), _xlfn.XLOOKUP($O118, $D$54:$D$62,$E$54:$E$62), Q80,$F99)</f>
        <v>0.48892919759999998</v>
      </c>
      <c r="R118" s="52" cm="1">
        <f t="array" ref="R118">MMS_Poultry_ManureAppliedToSoils_Equations.VEERG_4_6_1_9__1_MassOfNitrogenAppliedToSoilsScope1(R35,_xlfn.XLOOKUP($O118, $D$41:$D$49,$E$41:$E$49), _xlfn.XLOOKUP($O118, $D$54:$D$62,$E$54:$E$62), R80,$F99)</f>
        <v>0.57393017279999992</v>
      </c>
      <c r="S118" s="52"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2"/>
      <c r="E119" s="52" t="str">
        <f>'Input - Poultry'!$D$56</f>
        <v>Direct application</v>
      </c>
      <c r="F119" s="52" cm="1">
        <f t="array" ref="F119">MMS_Poultry_ManureAppliedToSoils_Equations.VEERG_4_6_1_9__1_MassOfNitrogenAppliedToSoilsScope1(F36,_xlfn.XLOOKUP($E119, $D$41:$D$49,$E$41:$E$49), _xlfn.XLOOKUP($E119, $D$54:$D$62,$E$54:$E$62), F81,$F100)</f>
        <v>0.61074998400000013</v>
      </c>
      <c r="G119" s="52" cm="1">
        <f t="array" ref="G119">MMS_Poultry_ManureAppliedToSoils_Equations.VEERG_4_6_1_9__1_MassOfNitrogenAppliedToSoilsScope1(G36,_xlfn.XLOOKUP($E119, $D$41:$D$49,$E$41:$E$49), _xlfn.XLOOKUP($E119, $D$54:$D$62,$E$54:$E$62), G81,$F100)</f>
        <v>0.65190559679999993</v>
      </c>
      <c r="H119" s="52" cm="1">
        <f t="array" ref="H119">MMS_Poultry_ManureAppliedToSoils_Equations.VEERG_4_6_1_9__1_MassOfNitrogenAppliedToSoilsScope1(H36,_xlfn.XLOOKUP($E119, $D$41:$D$49,$E$41:$E$49), _xlfn.XLOOKUP($E119, $D$54:$D$62,$E$54:$E$62), H81,$F100)</f>
        <v>0.76524023039999989</v>
      </c>
      <c r="I119" s="52" cm="1">
        <f t="array" ref="I119">MMS_Poultry_ManureAppliedToSoils_Equations.VEERG_4_6_1_9__1_MassOfNitrogenAppliedToSoilsScope1(I36,_xlfn.XLOOKUP($E119, $D$41:$D$49,$E$41:$E$49), _xlfn.XLOOKUP($E119, $D$54:$D$62,$E$54:$E$62), I81,$F100)</f>
        <v>0.65190559679999993</v>
      </c>
      <c r="N119" s="52"/>
      <c r="O119" s="52" t="str">
        <f>'Input - Poultry'!$D$56</f>
        <v>Direct application</v>
      </c>
      <c r="P119" s="52" cm="1">
        <f t="array" ref="P119">MMS_Poultry_ManureAppliedToSoils_Equations.VEERG_4_6_1_9__1_MassOfNitrogenAppliedToSoilsScope1(P36,_xlfn.XLOOKUP($O119, $D$41:$D$49,$E$41:$E$49), _xlfn.XLOOKUP($O119, $D$54:$D$62,$E$54:$E$62), P81,$F100)</f>
        <v>0.61074998400000013</v>
      </c>
      <c r="Q119" s="52" cm="1">
        <f t="array" ref="Q119">MMS_Poultry_ManureAppliedToSoils_Equations.VEERG_4_6_1_9__1_MassOfNitrogenAppliedToSoilsScope1(Q36,_xlfn.XLOOKUP($O119, $D$41:$D$49,$E$41:$E$49), _xlfn.XLOOKUP($O119, $D$54:$D$62,$E$54:$E$62), Q81,$F100)</f>
        <v>0.65190559679999993</v>
      </c>
      <c r="R119" s="52" cm="1">
        <f t="array" ref="R119">MMS_Poultry_ManureAppliedToSoils_Equations.VEERG_4_6_1_9__1_MassOfNitrogenAppliedToSoilsScope1(R36,_xlfn.XLOOKUP($O119, $D$41:$D$49,$E$41:$E$49), _xlfn.XLOOKUP($O119, $D$54:$D$62,$E$54:$E$62), R81,$F100)</f>
        <v>0.76524023039999989</v>
      </c>
      <c r="S119" s="52" cm="1">
        <f t="array" ref="S119">MMS_Poultry_ManureAppliedToSoils_Equations.VEERG_4_6_1_9__1_MassOfNitrogenAppliedToSoilsScope1(S36,_xlfn.XLOOKUP($O119, $D$41:$D$49,$E$41:$E$49), _xlfn.XLOOKUP($O119, $D$54:$D$62,$E$54:$E$62), S81,$F100)</f>
        <v>0.65190559679999993</v>
      </c>
    </row>
    <row r="120" spans="3:21" ht="20.100000000000001" customHeight="1" x14ac:dyDescent="0.25"/>
    <row r="121" spans="3:21" ht="20.100000000000001" customHeight="1" x14ac:dyDescent="0.25">
      <c r="D121" s="99" t="s">
        <v>164</v>
      </c>
      <c r="E121" s="100">
        <f>SUM(F105:I119)</f>
        <v>36.930778279920013</v>
      </c>
      <c r="F121" s="101" t="str">
        <f>$E$11</f>
        <v>kg N</v>
      </c>
      <c r="N121" s="99" t="s">
        <v>164</v>
      </c>
      <c r="O121" s="100">
        <f>SUM(P105:S119)</f>
        <v>36.930778279920013</v>
      </c>
      <c r="P121" s="101" t="str">
        <f>$E$11</f>
        <v>kg N</v>
      </c>
    </row>
    <row r="122" spans="3:21" ht="20.100000000000001" customHeight="1" x14ac:dyDescent="0.25"/>
    <row r="123" spans="3:21" ht="20.100000000000001" customHeight="1" x14ac:dyDescent="0.25"/>
    <row r="124" spans="3:21" ht="20.100000000000001" customHeight="1" x14ac:dyDescent="0.25">
      <c r="C124" s="45"/>
      <c r="D124" s="45"/>
      <c r="E124" s="45"/>
      <c r="F124" s="45"/>
      <c r="G124" s="45"/>
      <c r="H124" s="45"/>
      <c r="I124" s="45"/>
      <c r="J124" s="45"/>
      <c r="K124" s="45"/>
      <c r="M124" s="45"/>
      <c r="N124" s="45"/>
      <c r="O124" s="45"/>
      <c r="P124" s="45"/>
      <c r="Q124" s="45"/>
      <c r="R124" s="45"/>
      <c r="S124" s="45"/>
      <c r="T124" s="45"/>
      <c r="U124" s="45"/>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23</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3" t="s">
        <v>26</v>
      </c>
      <c r="E130" s="1" t="str" cm="1">
        <f t="array" ref="E130">MMS_Poultry_ManureAppliedToSoils_Equations.VEERG_4_6_1_9__2_MassOfNitrogenAppliedToSoilsScope3_Variable()</f>
        <v>MNSoil_scope3</v>
      </c>
    </row>
    <row r="131" spans="4:20" ht="20.100000000000001" customHeight="1" x14ac:dyDescent="0.25">
      <c r="D131" s="53" t="s">
        <v>16</v>
      </c>
      <c r="E131" s="54"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41" t="str" cm="1">
        <f t="array" ref="D133:E137">_xlfn.CHOOSECOLS(MMS_Poultry_ManureAppliedToSoils_Equations.VEERG_4_6_1_9__2_MassOfNitrogenAppliedToSoilsScope3_Arguments(),1,2)</f>
        <v>MN_jmT2</v>
      </c>
      <c r="E133" s="144" t="str">
        <v>mass of N in secondary treatment stage as calculated for manure management</v>
      </c>
      <c r="F133" s="143"/>
      <c r="G133" s="141" t="str" cm="1">
        <f t="array" ref="G133:H137">_xlfn.CHOOSECOLS(MMS_Poultry_ManureAppliedToSoils_Equations.VEERG_4_6_1_9__2_MassOfNitrogenAppliedToSoilsScope3_Arguments(),3,4)</f>
        <v>kg N</v>
      </c>
      <c r="H133" s="140" t="str">
        <v>Calculated from 4.6.1.3 (6)</v>
      </c>
      <c r="I133" s="142" t="str" cm="1">
        <f t="array" aca="1" ref="I133" ca="1">HYPERLINK(Common_InputFunctions.Utility_SourceHyperlink($D$19),$D$19)</f>
        <v>M1_Table_MN_j_k_m_T-2</v>
      </c>
    </row>
    <row r="134" spans="4:20" ht="20.100000000000001" customHeight="1" x14ac:dyDescent="0.25">
      <c r="D134" s="141" t="str">
        <v>EF_mT2</v>
      </c>
      <c r="E134" s="144" t="str">
        <v>nitrous oxide emission factor for each MMS</v>
      </c>
      <c r="F134" s="143"/>
      <c r="G134" s="141" t="str">
        <v>kg N2O-N/kg N</v>
      </c>
      <c r="H134" s="140" t="str">
        <v>Constant</v>
      </c>
      <c r="I134" s="142" t="str" cm="1">
        <f t="array" aca="1" ref="I134" ca="1">HYPERLINK(Common_InputFunctions.Utility_SourceHyperlink($D$38),$D$38)</f>
        <v>Table_EF_m</v>
      </c>
    </row>
    <row r="135" spans="4:20" ht="20.100000000000001" customHeight="1" x14ac:dyDescent="0.25">
      <c r="D135" s="141" t="str">
        <v>FracGASM_mT2</v>
      </c>
      <c r="E135" s="144" t="str">
        <v>fraction of animal waste N volatilised in each MMS</v>
      </c>
      <c r="F135" s="143"/>
      <c r="G135" s="141" t="str">
        <v>(kg NH3-N + NOx-N)/kg N</v>
      </c>
      <c r="H135" s="140" t="str">
        <v>Constant</v>
      </c>
      <c r="I135" s="142" t="str" cm="1">
        <f t="array" aca="1" ref="I135" ca="1">HYPERLINK(Common_InputFunctions.Utility_SourceHyperlink($D$51),$D$51)</f>
        <v>Table_FracGASM_m_T</v>
      </c>
    </row>
    <row r="136" spans="4:20" ht="20.100000000000001" customHeight="1" x14ac:dyDescent="0.25">
      <c r="D136" s="141" t="str">
        <v>MNLeach_MMS</v>
      </c>
      <c r="E136" s="144" t="str">
        <v>mass of N lost through leaching and runoff from MMS</v>
      </c>
      <c r="F136" s="143"/>
      <c r="G136" s="141" t="str">
        <v>kg N</v>
      </c>
      <c r="H136" s="140" t="str">
        <v>Calculated from 4.6.1.7 (2)</v>
      </c>
      <c r="I136" s="142" t="str" cm="1">
        <f t="array" aca="1" ref="I136" ca="1">HYPERLINK(Common_InputFunctions.Utility_SourceHyperlink($D$64),$D$64)</f>
        <v>M1_Table_MNLeach_MMS</v>
      </c>
    </row>
    <row r="137" spans="4:20" ht="20.100000000000001" customHeight="1" x14ac:dyDescent="0.25">
      <c r="D137" s="141" t="str">
        <v>PF</v>
      </c>
      <c r="E137" s="144" t="str">
        <v>fraction of manure applied to soil within the farm boundary</v>
      </c>
      <c r="F137" s="143"/>
      <c r="G137" s="141" t="str">
        <v>fraction</v>
      </c>
      <c r="H137" s="139" t="str">
        <v>Input</v>
      </c>
      <c r="I137" s="142" t="str" cm="1">
        <f t="array" aca="1" ref="I137" ca="1">HYPERLINK(Common_InputFunctions.Utility_SourceHyperlink($D$83),$D$83)</f>
        <v>Table_PF</v>
      </c>
    </row>
    <row r="138" spans="4:20" ht="20.100000000000001" customHeight="1" x14ac:dyDescent="0.25"/>
    <row r="139" spans="4:20" ht="20.100000000000001" customHeight="1" x14ac:dyDescent="0.25">
      <c r="D139" s="98" t="s">
        <v>166</v>
      </c>
      <c r="N139" s="98" t="s">
        <v>166</v>
      </c>
    </row>
    <row r="140" spans="4:20" ht="20.100000000000001" customHeight="1" x14ac:dyDescent="0.25">
      <c r="D140" s="97" t="s">
        <v>298</v>
      </c>
      <c r="N140" s="97" t="s">
        <v>298</v>
      </c>
    </row>
    <row r="141" spans="4:20" ht="20.100000000000001" customHeight="1" x14ac:dyDescent="0.25">
      <c r="D141" s="51" t="s">
        <v>133</v>
      </c>
      <c r="E141" s="51" t="s">
        <v>135</v>
      </c>
      <c r="F141" s="51" t="s">
        <v>194</v>
      </c>
      <c r="G141" s="51" t="s">
        <v>195</v>
      </c>
      <c r="H141" s="51" t="s">
        <v>207</v>
      </c>
      <c r="I141" s="51" t="s">
        <v>208</v>
      </c>
      <c r="N141" s="51" t="s">
        <v>133</v>
      </c>
      <c r="O141" s="51" t="s">
        <v>135</v>
      </c>
      <c r="P141" s="51" t="s">
        <v>194</v>
      </c>
      <c r="Q141" s="51" t="s">
        <v>195</v>
      </c>
      <c r="R141" s="51" t="s">
        <v>207</v>
      </c>
      <c r="S141" s="51" t="s">
        <v>208</v>
      </c>
    </row>
    <row r="142" spans="4:20" ht="20.100000000000001" customHeight="1" x14ac:dyDescent="0.25">
      <c r="D142" s="52" t="str">
        <f>'Input - Poultry'!$D$30</f>
        <v>Poultry manure with bedding</v>
      </c>
      <c r="E142" s="52" t="str">
        <f>'Input - Poultry'!$D$38</f>
        <v>Solid storage</v>
      </c>
      <c r="F142" s="52" cm="1">
        <f t="array" ref="F142">MMS_Poultry_ManureAppliedToSoils_Equations.VEERG_4_6_1_9__2_MassOfNitrogenAppliedToSoilsScope3(F22,_xlfn.XLOOKUP($E142, $D$41:$D$49,$E$41:$E$49), _xlfn.XLOOKUP($E142, $D$54:$D$62,$E$54:$E$62), F67,$F86)</f>
        <v>0.13808786940000004</v>
      </c>
      <c r="G142" s="52" cm="1">
        <f t="array" ref="G142">MMS_Poultry_ManureAppliedToSoils_Equations.VEERG_4_6_1_9__2_MassOfNitrogenAppliedToSoilsScope3(G22,_xlfn.XLOOKUP($E142, $D$41:$D$49,$E$41:$E$49), _xlfn.XLOOKUP($E142, $D$54:$D$62,$E$54:$E$62), G67,$F86)</f>
        <v>0.14739297138000002</v>
      </c>
      <c r="H142" s="52" cm="1">
        <f t="array" ref="H142">MMS_Poultry_ManureAppliedToSoils_Equations.VEERG_4_6_1_9__2_MassOfNitrogenAppliedToSoilsScope3(H22,_xlfn.XLOOKUP($E142, $D$41:$D$49,$E$41:$E$49), _xlfn.XLOOKUP($E142, $D$54:$D$62,$E$54:$E$62), H67,$F86)</f>
        <v>0.17301743063999997</v>
      </c>
      <c r="I142" s="52" cm="1">
        <f t="array" ref="I142">MMS_Poultry_ManureAppliedToSoils_Equations.VEERG_4_6_1_9__2_MassOfNitrogenAppliedToSoilsScope3(I22,_xlfn.XLOOKUP($E142, $D$41:$D$49,$E$41:$E$49), _xlfn.XLOOKUP($E142, $D$54:$D$62,$E$54:$E$62), I67,$F86)</f>
        <v>0.14739297138000002</v>
      </c>
      <c r="J142" s="2" t="str">
        <f>$E$131</f>
        <v>kg N</v>
      </c>
      <c r="N142" s="52" t="str">
        <f>'Input - Poultry'!$D$30</f>
        <v>Poultry manure with bedding</v>
      </c>
      <c r="O142" s="52" t="str">
        <f>'Input - Poultry'!$D$38</f>
        <v>Solid storage</v>
      </c>
      <c r="P142" s="52" cm="1">
        <f t="array" ref="P142">MMS_Poultry_ManureAppliedToSoils_Equations.VEERG_4_6_1_9__2_MassOfNitrogenAppliedToSoilsScope3(P22,_xlfn.XLOOKUP($O142, $D$41:$D$49,$E$41:$E$49), _xlfn.XLOOKUP($O142, $D$54:$D$62,$E$54:$E$62), P67,$F86)</f>
        <v>0.13808786940000004</v>
      </c>
      <c r="Q142" s="52" cm="1">
        <f t="array" ref="Q142">MMS_Poultry_ManureAppliedToSoils_Equations.VEERG_4_6_1_9__2_MassOfNitrogenAppliedToSoilsScope3(Q22,_xlfn.XLOOKUP($O142, $D$41:$D$49,$E$41:$E$49), _xlfn.XLOOKUP($O142, $D$54:$D$62,$E$54:$E$62), Q67,$F86)</f>
        <v>0.14739297138000002</v>
      </c>
      <c r="R142" s="52" cm="1">
        <f t="array" ref="R142">MMS_Poultry_ManureAppliedToSoils_Equations.VEERG_4_6_1_9__2_MassOfNitrogenAppliedToSoilsScope3(R22,_xlfn.XLOOKUP($O142, $D$41:$D$49,$E$41:$E$49), _xlfn.XLOOKUP($O142, $D$54:$D$62,$E$54:$E$62), R67,$F86)</f>
        <v>0.17301743063999997</v>
      </c>
      <c r="S142" s="52"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2"/>
      <c r="E143" s="52" t="str">
        <f>'Input - Poultry'!$D$39</f>
        <v>Composting (passive windrow)</v>
      </c>
      <c r="F143" s="52" cm="1">
        <f t="array" ref="F143">MMS_Poultry_ManureAppliedToSoils_Equations.VEERG_4_6_1_9__2_MassOfNitrogenAppliedToSoilsScope3(F23,_xlfn.XLOOKUP($E143, $D$41:$D$49,$E$41:$E$49), _xlfn.XLOOKUP($E143, $D$54:$D$62,$E$54:$E$62), F68,$F87)</f>
        <v>0.14076053784000003</v>
      </c>
      <c r="G143" s="52" cm="1">
        <f t="array" ref="G143">MMS_Poultry_ManureAppliedToSoils_Equations.VEERG_4_6_1_9__2_MassOfNitrogenAppliedToSoilsScope3(G23,_xlfn.XLOOKUP($E143, $D$41:$D$49,$E$41:$E$49), _xlfn.XLOOKUP($E143, $D$54:$D$62,$E$54:$E$62), G68,$F87)</f>
        <v>0.150245738568</v>
      </c>
      <c r="H143" s="52" cm="1">
        <f t="array" ref="H143">MMS_Poultry_ManureAppliedToSoils_Equations.VEERG_4_6_1_9__2_MassOfNitrogenAppliedToSoilsScope3(H23,_xlfn.XLOOKUP($E143, $D$41:$D$49,$E$41:$E$49), _xlfn.XLOOKUP($E143, $D$54:$D$62,$E$54:$E$62), H68,$F87)</f>
        <v>0.176366155104</v>
      </c>
      <c r="I143" s="52" cm="1">
        <f t="array" ref="I143">MMS_Poultry_ManureAppliedToSoils_Equations.VEERG_4_6_1_9__2_MassOfNitrogenAppliedToSoilsScope3(I23,_xlfn.XLOOKUP($E143, $D$41:$D$49,$E$41:$E$49), _xlfn.XLOOKUP($E143, $D$54:$D$62,$E$54:$E$62), I68,$F87)</f>
        <v>0.150245738568</v>
      </c>
      <c r="J143" s="2"/>
      <c r="N143" s="52"/>
      <c r="O143" s="52" t="str">
        <f>'Input - Poultry'!$D$39</f>
        <v>Composting (passive windrow)</v>
      </c>
      <c r="P143" s="52" cm="1">
        <f t="array" ref="P143">MMS_Poultry_ManureAppliedToSoils_Equations.VEERG_4_6_1_9__2_MassOfNitrogenAppliedToSoilsScope3(P23,_xlfn.XLOOKUP($O143, $D$41:$D$49,$E$41:$E$49), _xlfn.XLOOKUP($O143, $D$54:$D$62,$E$54:$E$62), P68,$F87)</f>
        <v>0.14076053784000003</v>
      </c>
      <c r="Q143" s="52" cm="1">
        <f t="array" ref="Q143">MMS_Poultry_ManureAppliedToSoils_Equations.VEERG_4_6_1_9__2_MassOfNitrogenAppliedToSoilsScope3(Q23,_xlfn.XLOOKUP($O143, $D$41:$D$49,$E$41:$E$49), _xlfn.XLOOKUP($O143, $D$54:$D$62,$E$54:$E$62), Q68,$F87)</f>
        <v>0.150245738568</v>
      </c>
      <c r="R143" s="52" cm="1">
        <f t="array" ref="R143">MMS_Poultry_ManureAppliedToSoils_Equations.VEERG_4_6_1_9__2_MassOfNitrogenAppliedToSoilsScope3(R23,_xlfn.XLOOKUP($O143, $D$41:$D$49,$E$41:$E$49), _xlfn.XLOOKUP($O143, $D$54:$D$62,$E$54:$E$62), R68,$F87)</f>
        <v>0.176366155104</v>
      </c>
      <c r="S143" s="52"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2"/>
      <c r="E144" s="52" t="str">
        <f>'Input - Poultry'!$D$40</f>
        <v>Digester / covered lagoons</v>
      </c>
      <c r="F144" s="52" cm="1">
        <f t="array" ref="F144">MMS_Poultry_ManureAppliedToSoils_Equations.VEERG_4_6_1_9__2_MassOfNitrogenAppliedToSoilsScope3(F24,_xlfn.XLOOKUP($E144, $D$41:$D$49,$E$41:$E$49), _xlfn.XLOOKUP($E144, $D$54:$D$62,$E$54:$E$62), F69,$F88)</f>
        <v>0.17817789600000003</v>
      </c>
      <c r="G144" s="52" cm="1">
        <f t="array" ref="G144">MMS_Poultry_ManureAppliedToSoils_Equations.VEERG_4_6_1_9__2_MassOfNitrogenAppliedToSoilsScope3(G24,_xlfn.XLOOKUP($E144, $D$41:$D$49,$E$41:$E$49), _xlfn.XLOOKUP($E144, $D$54:$D$62,$E$54:$E$62), G69,$F88)</f>
        <v>0.19018447920000001</v>
      </c>
      <c r="H144" s="52" cm="1">
        <f t="array" ref="H144">MMS_Poultry_ManureAppliedToSoils_Equations.VEERG_4_6_1_9__2_MassOfNitrogenAppliedToSoilsScope3(H24,_xlfn.XLOOKUP($E144, $D$41:$D$49,$E$41:$E$49), _xlfn.XLOOKUP($E144, $D$54:$D$62,$E$54:$E$62), H69,$F88)</f>
        <v>0.22324829759999998</v>
      </c>
      <c r="I144" s="52" cm="1">
        <f t="array" ref="I144">MMS_Poultry_ManureAppliedToSoils_Equations.VEERG_4_6_1_9__2_MassOfNitrogenAppliedToSoilsScope3(I24,_xlfn.XLOOKUP($E144, $D$41:$D$49,$E$41:$E$49), _xlfn.XLOOKUP($E144, $D$54:$D$62,$E$54:$E$62), I69,$F88)</f>
        <v>0.19018447920000001</v>
      </c>
      <c r="J144" s="2"/>
      <c r="N144" s="52"/>
      <c r="O144" s="52" t="str">
        <f>'Input - Poultry'!$D$40</f>
        <v>Digester / covered lagoons</v>
      </c>
      <c r="P144" s="52" cm="1">
        <f t="array" ref="P144">MMS_Poultry_ManureAppliedToSoils_Equations.VEERG_4_6_1_9__2_MassOfNitrogenAppliedToSoilsScope3(P24,_xlfn.XLOOKUP($O144, $D$41:$D$49,$E$41:$E$49), _xlfn.XLOOKUP($O144, $D$54:$D$62,$E$54:$E$62), P69,$F88)</f>
        <v>0.17817789600000003</v>
      </c>
      <c r="Q144" s="52" cm="1">
        <f t="array" ref="Q144">MMS_Poultry_ManureAppliedToSoils_Equations.VEERG_4_6_1_9__2_MassOfNitrogenAppliedToSoilsScope3(Q24,_xlfn.XLOOKUP($O144, $D$41:$D$49,$E$41:$E$49), _xlfn.XLOOKUP($O144, $D$54:$D$62,$E$54:$E$62), Q69,$F88)</f>
        <v>0.19018447920000001</v>
      </c>
      <c r="R144" s="52" cm="1">
        <f t="array" ref="R144">MMS_Poultry_ManureAppliedToSoils_Equations.VEERG_4_6_1_9__2_MassOfNitrogenAppliedToSoilsScope3(R24,_xlfn.XLOOKUP($O144, $D$41:$D$49,$E$41:$E$49), _xlfn.XLOOKUP($O144, $D$54:$D$62,$E$54:$E$62), R69,$F88)</f>
        <v>0.22324829759999998</v>
      </c>
      <c r="S144" s="52"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2"/>
      <c r="E145" s="52" t="str">
        <f>'Input - Poultry'!$D$41</f>
        <v>Direct processing</v>
      </c>
      <c r="F145" s="52" cm="1">
        <f t="array" ref="F145">MMS_Poultry_ManureAppliedToSoils_Equations.VEERG_4_6_1_9__2_MassOfNitrogenAppliedToSoilsScope3(F25,_xlfn.XLOOKUP($E145, $D$41:$D$49,$E$41:$E$49), _xlfn.XLOOKUP($E145, $D$54:$D$62,$E$54:$E$62), F70,$F89)</f>
        <v>0.17817789600000003</v>
      </c>
      <c r="G145" s="52" cm="1">
        <f t="array" ref="G145">MMS_Poultry_ManureAppliedToSoils_Equations.VEERG_4_6_1_9__2_MassOfNitrogenAppliedToSoilsScope3(G25,_xlfn.XLOOKUP($E145, $D$41:$D$49,$E$41:$E$49), _xlfn.XLOOKUP($E145, $D$54:$D$62,$E$54:$E$62), G70,$F89)</f>
        <v>0.19018447920000001</v>
      </c>
      <c r="H145" s="52" cm="1">
        <f t="array" ref="H145">MMS_Poultry_ManureAppliedToSoils_Equations.VEERG_4_6_1_9__2_MassOfNitrogenAppliedToSoilsScope3(H25,_xlfn.XLOOKUP($E145, $D$41:$D$49,$E$41:$E$49), _xlfn.XLOOKUP($E145, $D$54:$D$62,$E$54:$E$62), H70,$F89)</f>
        <v>0.22324829759999998</v>
      </c>
      <c r="I145" s="52" cm="1">
        <f t="array" ref="I145">MMS_Poultry_ManureAppliedToSoils_Equations.VEERG_4_6_1_9__2_MassOfNitrogenAppliedToSoilsScope3(I25,_xlfn.XLOOKUP($E145, $D$41:$D$49,$E$41:$E$49), _xlfn.XLOOKUP($E145, $D$54:$D$62,$E$54:$E$62), I70,$F89)</f>
        <v>0.19018447920000001</v>
      </c>
      <c r="J145" s="2"/>
      <c r="N145" s="52"/>
      <c r="O145" s="52" t="str">
        <f>'Input - Poultry'!$D$41</f>
        <v>Direct processing</v>
      </c>
      <c r="P145" s="52" cm="1">
        <f t="array" ref="P145">MMS_Poultry_ManureAppliedToSoils_Equations.VEERG_4_6_1_9__2_MassOfNitrogenAppliedToSoilsScope3(P25,_xlfn.XLOOKUP($O145, $D$41:$D$49,$E$41:$E$49), _xlfn.XLOOKUP($O145, $D$54:$D$62,$E$54:$E$62), P70,$F89)</f>
        <v>0.17817789600000003</v>
      </c>
      <c r="Q145" s="52" cm="1">
        <f t="array" ref="Q145">MMS_Poultry_ManureAppliedToSoils_Equations.VEERG_4_6_1_9__2_MassOfNitrogenAppliedToSoilsScope3(Q25,_xlfn.XLOOKUP($O145, $D$41:$D$49,$E$41:$E$49), _xlfn.XLOOKUP($O145, $D$54:$D$62,$E$54:$E$62), Q70,$F89)</f>
        <v>0.19018447920000001</v>
      </c>
      <c r="R145" s="52" cm="1">
        <f t="array" ref="R145">MMS_Poultry_ManureAppliedToSoils_Equations.VEERG_4_6_1_9__2_MassOfNitrogenAppliedToSoilsScope3(R25,_xlfn.XLOOKUP($O145, $D$41:$D$49,$E$41:$E$49), _xlfn.XLOOKUP($O145, $D$54:$D$62,$E$54:$E$62), R70,$F89)</f>
        <v>0.22324829759999998</v>
      </c>
      <c r="S145" s="52"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2"/>
      <c r="E146" s="52" t="str">
        <f>'Input - Poultry'!$D$42</f>
        <v>Direct application</v>
      </c>
      <c r="F146" s="52" cm="1">
        <f t="array" ref="F146">MMS_Poultry_ManureAppliedToSoils_Equations.VEERG_4_6_1_9__2_MassOfNitrogenAppliedToSoilsScope3(F26,_xlfn.XLOOKUP($E146, $D$41:$D$49,$E$41:$E$49), _xlfn.XLOOKUP($E146, $D$54:$D$62,$E$54:$E$62), F71,$F90)</f>
        <v>0</v>
      </c>
      <c r="G146" s="52" cm="1">
        <f t="array" ref="G146">MMS_Poultry_ManureAppliedToSoils_Equations.VEERG_4_6_1_9__2_MassOfNitrogenAppliedToSoilsScope3(G26,_xlfn.XLOOKUP($E146, $D$41:$D$49,$E$41:$E$49), _xlfn.XLOOKUP($E146, $D$54:$D$62,$E$54:$E$62), G71,$F90)</f>
        <v>0</v>
      </c>
      <c r="H146" s="52" cm="1">
        <f t="array" ref="H146">MMS_Poultry_ManureAppliedToSoils_Equations.VEERG_4_6_1_9__2_MassOfNitrogenAppliedToSoilsScope3(H26,_xlfn.XLOOKUP($E146, $D$41:$D$49,$E$41:$E$49), _xlfn.XLOOKUP($E146, $D$54:$D$62,$E$54:$E$62), H71,$F90)</f>
        <v>0</v>
      </c>
      <c r="I146" s="52" cm="1">
        <f t="array" ref="I146">MMS_Poultry_ManureAppliedToSoils_Equations.VEERG_4_6_1_9__2_MassOfNitrogenAppliedToSoilsScope3(I26,_xlfn.XLOOKUP($E146, $D$41:$D$49,$E$41:$E$49), _xlfn.XLOOKUP($E146, $D$54:$D$62,$E$54:$E$62), I71,$F90)</f>
        <v>0</v>
      </c>
      <c r="N146" s="52"/>
      <c r="O146" s="52" t="str">
        <f>'Input - Poultry'!$D$42</f>
        <v>Direct application</v>
      </c>
      <c r="P146" s="52" cm="1">
        <f t="array" ref="P146">MMS_Poultry_ManureAppliedToSoils_Equations.VEERG_4_6_1_9__2_MassOfNitrogenAppliedToSoilsScope3(P26,_xlfn.XLOOKUP($O146, $D$41:$D$49,$E$41:$E$49), _xlfn.XLOOKUP($O146, $D$54:$D$62,$E$54:$E$62), P71,$F90)</f>
        <v>0</v>
      </c>
      <c r="Q146" s="52" cm="1">
        <f t="array" ref="Q146">MMS_Poultry_ManureAppliedToSoils_Equations.VEERG_4_6_1_9__2_MassOfNitrogenAppliedToSoilsScope3(Q26,_xlfn.XLOOKUP($O146, $D$41:$D$49,$E$41:$E$49), _xlfn.XLOOKUP($O146, $D$54:$D$62,$E$54:$E$62), Q71,$F90)</f>
        <v>0</v>
      </c>
      <c r="R146" s="52" cm="1">
        <f t="array" ref="R146">MMS_Poultry_ManureAppliedToSoils_Equations.VEERG_4_6_1_9__2_MassOfNitrogenAppliedToSoilsScope3(R26,_xlfn.XLOOKUP($O146, $D$41:$D$49,$E$41:$E$49), _xlfn.XLOOKUP($O146, $D$54:$D$62,$E$54:$E$62), R71,$F90)</f>
        <v>0</v>
      </c>
      <c r="S146" s="52" cm="1">
        <f t="array" ref="S146">MMS_Poultry_ManureAppliedToSoils_Equations.VEERG_4_6_1_9__2_MassOfNitrogenAppliedToSoilsScope3(S26,_xlfn.XLOOKUP($O146, $D$41:$D$49,$E$41:$E$49), _xlfn.XLOOKUP($O146, $D$54:$D$62,$E$54:$E$62), S71,$F90)</f>
        <v>0</v>
      </c>
    </row>
    <row r="147" spans="4:20" ht="20.100000000000001" customHeight="1" x14ac:dyDescent="0.25">
      <c r="D147" s="52" t="str">
        <f>'Input - Poultry'!$D$31</f>
        <v>Belt manure removal</v>
      </c>
      <c r="E147" s="52" t="str">
        <f>'Input - Poultry'!$D$45</f>
        <v>Solid storage</v>
      </c>
      <c r="F147" s="52" cm="1">
        <f t="array" ref="F147">MMS_Poultry_ManureAppliedToSoils_Equations.VEERG_4_6_1_9__2_MassOfNitrogenAppliedToSoilsScope3(F27,_xlfn.XLOOKUP($E147, $D$41:$D$49,$E$41:$E$49), _xlfn.XLOOKUP($E147, $D$54:$D$62,$E$54:$E$62), F72,$F91)</f>
        <v>0.18747551940000004</v>
      </c>
      <c r="G147" s="52" cm="1">
        <f t="array" ref="G147">MMS_Poultry_ManureAppliedToSoils_Equations.VEERG_4_6_1_9__2_MassOfNitrogenAppliedToSoilsScope3(G27,_xlfn.XLOOKUP($E147, $D$41:$D$49,$E$41:$E$49), _xlfn.XLOOKUP($E147, $D$54:$D$62,$E$54:$E$62), G72,$F91)</f>
        <v>0.20010862637999999</v>
      </c>
      <c r="H147" s="52" cm="1">
        <f t="array" ref="H147">MMS_Poultry_ManureAppliedToSoils_Equations.VEERG_4_6_1_9__2_MassOfNitrogenAppliedToSoilsScope3(H27,_xlfn.XLOOKUP($E147, $D$41:$D$49,$E$41:$E$49), _xlfn.XLOOKUP($E147, $D$54:$D$62,$E$54:$E$62), H72,$F91)</f>
        <v>0.23489777063999998</v>
      </c>
      <c r="I147" s="52" cm="1">
        <f t="array" ref="I147">MMS_Poultry_ManureAppliedToSoils_Equations.VEERG_4_6_1_9__2_MassOfNitrogenAppliedToSoilsScope3(I27,_xlfn.XLOOKUP($E147, $D$41:$D$49,$E$41:$E$49), _xlfn.XLOOKUP($E147, $D$54:$D$62,$E$54:$E$62), I72,$F91)</f>
        <v>0.20010862637999999</v>
      </c>
      <c r="J147" s="2"/>
      <c r="N147" s="52" t="str">
        <f>'Input - Poultry'!$D$31</f>
        <v>Belt manure removal</v>
      </c>
      <c r="O147" s="52" t="str">
        <f>'Input - Poultry'!$D$45</f>
        <v>Solid storage</v>
      </c>
      <c r="P147" s="52" cm="1">
        <f t="array" ref="P147">MMS_Poultry_ManureAppliedToSoils_Equations.VEERG_4_6_1_9__2_MassOfNitrogenAppliedToSoilsScope3(P27,_xlfn.XLOOKUP($O147, $D$41:$D$49,$E$41:$E$49), _xlfn.XLOOKUP($O147, $D$54:$D$62,$E$54:$E$62), P72,$F91)</f>
        <v>0.18747551940000004</v>
      </c>
      <c r="Q147" s="52" cm="1">
        <f t="array" ref="Q147">MMS_Poultry_ManureAppliedToSoils_Equations.VEERG_4_6_1_9__2_MassOfNitrogenAppliedToSoilsScope3(Q27,_xlfn.XLOOKUP($O147, $D$41:$D$49,$E$41:$E$49), _xlfn.XLOOKUP($O147, $D$54:$D$62,$E$54:$E$62), Q72,$F91)</f>
        <v>0.20010862637999999</v>
      </c>
      <c r="R147" s="52" cm="1">
        <f t="array" ref="R147">MMS_Poultry_ManureAppliedToSoils_Equations.VEERG_4_6_1_9__2_MassOfNitrogenAppliedToSoilsScope3(R27,_xlfn.XLOOKUP($O147, $D$41:$D$49,$E$41:$E$49), _xlfn.XLOOKUP($O147, $D$54:$D$62,$E$54:$E$62), R72,$F91)</f>
        <v>0.23489777063999998</v>
      </c>
      <c r="S147" s="52"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2"/>
      <c r="E148" s="52" t="str">
        <f>'Input - Poultry'!$D$46</f>
        <v>Composting (passive windrow)</v>
      </c>
      <c r="F148" s="52" cm="1">
        <f t="array" ref="F148">MMS_Poultry_ManureAppliedToSoils_Equations.VEERG_4_6_1_9__2_MassOfNitrogenAppliedToSoilsScope3(F28,_xlfn.XLOOKUP($E148, $D$41:$D$49,$E$41:$E$49), _xlfn.XLOOKUP($E148, $D$54:$D$62,$E$54:$E$62), F73,$F92)</f>
        <v>0.19110407784000005</v>
      </c>
      <c r="G148" s="52" cm="1">
        <f t="array" ref="G148">MMS_Poultry_ManureAppliedToSoils_Equations.VEERG_4_6_1_9__2_MassOfNitrogenAppliedToSoilsScope3(G28,_xlfn.XLOOKUP($E148, $D$41:$D$49,$E$41:$E$49), _xlfn.XLOOKUP($E148, $D$54:$D$62,$E$54:$E$62), G73,$F92)</f>
        <v>0.20398169656800003</v>
      </c>
      <c r="H148" s="52" cm="1">
        <f t="array" ref="H148">MMS_Poultry_ManureAppliedToSoils_Equations.VEERG_4_6_1_9__2_MassOfNitrogenAppliedToSoilsScope3(H28,_xlfn.XLOOKUP($E148, $D$41:$D$49,$E$41:$E$49), _xlfn.XLOOKUP($E148, $D$54:$D$62,$E$54:$E$62), H73,$F92)</f>
        <v>0.23944417910400001</v>
      </c>
      <c r="I148" s="52" cm="1">
        <f t="array" ref="I148">MMS_Poultry_ManureAppliedToSoils_Equations.VEERG_4_6_1_9__2_MassOfNitrogenAppliedToSoilsScope3(I28,_xlfn.XLOOKUP($E148, $D$41:$D$49,$E$41:$E$49), _xlfn.XLOOKUP($E148, $D$54:$D$62,$E$54:$E$62), I73,$F92)</f>
        <v>0.20398169656800003</v>
      </c>
      <c r="J148" s="2"/>
      <c r="N148" s="52"/>
      <c r="O148" s="52" t="str">
        <f>'Input - Poultry'!$D$46</f>
        <v>Composting (passive windrow)</v>
      </c>
      <c r="P148" s="52" cm="1">
        <f t="array" ref="P148">MMS_Poultry_ManureAppliedToSoils_Equations.VEERG_4_6_1_9__2_MassOfNitrogenAppliedToSoilsScope3(P28,_xlfn.XLOOKUP($O148, $D$41:$D$49,$E$41:$E$49), _xlfn.XLOOKUP($O148, $D$54:$D$62,$E$54:$E$62), P73,$F92)</f>
        <v>0.19110407784000005</v>
      </c>
      <c r="Q148" s="52" cm="1">
        <f t="array" ref="Q148">MMS_Poultry_ManureAppliedToSoils_Equations.VEERG_4_6_1_9__2_MassOfNitrogenAppliedToSoilsScope3(Q28,_xlfn.XLOOKUP($O148, $D$41:$D$49,$E$41:$E$49), _xlfn.XLOOKUP($O148, $D$54:$D$62,$E$54:$E$62), Q73,$F92)</f>
        <v>0.20398169656800003</v>
      </c>
      <c r="R148" s="52" cm="1">
        <f t="array" ref="R148">MMS_Poultry_ManureAppliedToSoils_Equations.VEERG_4_6_1_9__2_MassOfNitrogenAppliedToSoilsScope3(R28,_xlfn.XLOOKUP($O148, $D$41:$D$49,$E$41:$E$49), _xlfn.XLOOKUP($O148, $D$54:$D$62,$E$54:$E$62), R73,$F92)</f>
        <v>0.23944417910400001</v>
      </c>
      <c r="S148" s="52"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2"/>
      <c r="E149" s="52" t="str">
        <f>'Input - Poultry'!$D$47</f>
        <v>Digester / covered lagoons</v>
      </c>
      <c r="F149" s="52" cm="1">
        <f t="array" ref="F149">MMS_Poultry_ManureAppliedToSoils_Equations.VEERG_4_6_1_9__2_MassOfNitrogenAppliedToSoilsScope3(F29,_xlfn.XLOOKUP($E149, $D$41:$D$49,$E$41:$E$49), _xlfn.XLOOKUP($E149, $D$54:$D$62,$E$54:$E$62), F74,$F93)</f>
        <v>0.24190389600000006</v>
      </c>
      <c r="G149" s="52" cm="1">
        <f t="array" ref="G149">MMS_Poultry_ManureAppliedToSoils_Equations.VEERG_4_6_1_9__2_MassOfNitrogenAppliedToSoilsScope3(G29,_xlfn.XLOOKUP($E149, $D$41:$D$49,$E$41:$E$49), _xlfn.XLOOKUP($E149, $D$54:$D$62,$E$54:$E$62), G74,$F93)</f>
        <v>0.25820467920000001</v>
      </c>
      <c r="H149" s="52" cm="1">
        <f t="array" ref="H149">MMS_Poultry_ManureAppliedToSoils_Equations.VEERG_4_6_1_9__2_MassOfNitrogenAppliedToSoilsScope3(H29,_xlfn.XLOOKUP($E149, $D$41:$D$49,$E$41:$E$49), _xlfn.XLOOKUP($E149, $D$54:$D$62,$E$54:$E$62), H74,$F93)</f>
        <v>0.3030938976</v>
      </c>
      <c r="I149" s="52" cm="1">
        <f t="array" ref="I149">MMS_Poultry_ManureAppliedToSoils_Equations.VEERG_4_6_1_9__2_MassOfNitrogenAppliedToSoilsScope3(I29,_xlfn.XLOOKUP($E149, $D$41:$D$49,$E$41:$E$49), _xlfn.XLOOKUP($E149, $D$54:$D$62,$E$54:$E$62), I74,$F93)</f>
        <v>0.25820467920000001</v>
      </c>
      <c r="J149" s="2"/>
      <c r="N149" s="52"/>
      <c r="O149" s="52" t="str">
        <f>'Input - Poultry'!$D$47</f>
        <v>Digester / covered lagoons</v>
      </c>
      <c r="P149" s="52" cm="1">
        <f t="array" ref="P149">MMS_Poultry_ManureAppliedToSoils_Equations.VEERG_4_6_1_9__2_MassOfNitrogenAppliedToSoilsScope3(P29,_xlfn.XLOOKUP($O149, $D$41:$D$49,$E$41:$E$49), _xlfn.XLOOKUP($O149, $D$54:$D$62,$E$54:$E$62), P74,$F93)</f>
        <v>0.24190389600000006</v>
      </c>
      <c r="Q149" s="52" cm="1">
        <f t="array" ref="Q149">MMS_Poultry_ManureAppliedToSoils_Equations.VEERG_4_6_1_9__2_MassOfNitrogenAppliedToSoilsScope3(Q29,_xlfn.XLOOKUP($O149, $D$41:$D$49,$E$41:$E$49), _xlfn.XLOOKUP($O149, $D$54:$D$62,$E$54:$E$62), Q74,$F93)</f>
        <v>0.25820467920000001</v>
      </c>
      <c r="R149" s="52" cm="1">
        <f t="array" ref="R149">MMS_Poultry_ManureAppliedToSoils_Equations.VEERG_4_6_1_9__2_MassOfNitrogenAppliedToSoilsScope3(R29,_xlfn.XLOOKUP($O149, $D$41:$D$49,$E$41:$E$49), _xlfn.XLOOKUP($O149, $D$54:$D$62,$E$54:$E$62), R74,$F93)</f>
        <v>0.3030938976</v>
      </c>
      <c r="S149" s="52"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2"/>
      <c r="E150" s="52" t="str">
        <f>'Input - Poultry'!$D$48</f>
        <v>Direct processing</v>
      </c>
      <c r="F150" s="52" cm="1">
        <f t="array" ref="F150">MMS_Poultry_ManureAppliedToSoils_Equations.VEERG_4_6_1_9__2_MassOfNitrogenAppliedToSoilsScope3(F30,_xlfn.XLOOKUP($E150, $D$41:$D$49,$E$41:$E$49), _xlfn.XLOOKUP($E150, $D$54:$D$62,$E$54:$E$62), F75,$F94)</f>
        <v>0.24190389600000006</v>
      </c>
      <c r="G150" s="52" cm="1">
        <f t="array" ref="G150">MMS_Poultry_ManureAppliedToSoils_Equations.VEERG_4_6_1_9__2_MassOfNitrogenAppliedToSoilsScope3(G30,_xlfn.XLOOKUP($E150, $D$41:$D$49,$E$41:$E$49), _xlfn.XLOOKUP($E150, $D$54:$D$62,$E$54:$E$62), G75,$F94)</f>
        <v>0.25820467920000001</v>
      </c>
      <c r="H150" s="52" cm="1">
        <f t="array" ref="H150">MMS_Poultry_ManureAppliedToSoils_Equations.VEERG_4_6_1_9__2_MassOfNitrogenAppliedToSoilsScope3(H30,_xlfn.XLOOKUP($E150, $D$41:$D$49,$E$41:$E$49), _xlfn.XLOOKUP($E150, $D$54:$D$62,$E$54:$E$62), H75,$F94)</f>
        <v>0.3030938976</v>
      </c>
      <c r="I150" s="52" cm="1">
        <f t="array" ref="I150">MMS_Poultry_ManureAppliedToSoils_Equations.VEERG_4_6_1_9__2_MassOfNitrogenAppliedToSoilsScope3(I30,_xlfn.XLOOKUP($E150, $D$41:$D$49,$E$41:$E$49), _xlfn.XLOOKUP($E150, $D$54:$D$62,$E$54:$E$62), I75,$F94)</f>
        <v>0.25820467920000001</v>
      </c>
      <c r="J150" s="2"/>
      <c r="N150" s="52"/>
      <c r="O150" s="52" t="str">
        <f>'Input - Poultry'!$D$48</f>
        <v>Direct processing</v>
      </c>
      <c r="P150" s="52" cm="1">
        <f t="array" ref="P150">MMS_Poultry_ManureAppliedToSoils_Equations.VEERG_4_6_1_9__2_MassOfNitrogenAppliedToSoilsScope3(P30,_xlfn.XLOOKUP($O150, $D$41:$D$49,$E$41:$E$49), _xlfn.XLOOKUP($O150, $D$54:$D$62,$E$54:$E$62), P75,$F94)</f>
        <v>0.24190389600000006</v>
      </c>
      <c r="Q150" s="52" cm="1">
        <f t="array" ref="Q150">MMS_Poultry_ManureAppliedToSoils_Equations.VEERG_4_6_1_9__2_MassOfNitrogenAppliedToSoilsScope3(Q30,_xlfn.XLOOKUP($O150, $D$41:$D$49,$E$41:$E$49), _xlfn.XLOOKUP($O150, $D$54:$D$62,$E$54:$E$62), Q75,$F94)</f>
        <v>0.25820467920000001</v>
      </c>
      <c r="R150" s="52" cm="1">
        <f t="array" ref="R150">MMS_Poultry_ManureAppliedToSoils_Equations.VEERG_4_6_1_9__2_MassOfNitrogenAppliedToSoilsScope3(R30,_xlfn.XLOOKUP($O150, $D$41:$D$49,$E$41:$E$49), _xlfn.XLOOKUP($O150, $D$54:$D$62,$E$54:$E$62), R75,$F94)</f>
        <v>0.3030938976</v>
      </c>
      <c r="S150" s="52"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2"/>
      <c r="E151" s="52" t="str">
        <f>'Input - Poultry'!$D$49</f>
        <v>Direct application</v>
      </c>
      <c r="F151" s="52" cm="1">
        <f t="array" ref="F151">MMS_Poultry_ManureAppliedToSoils_Equations.VEERG_4_6_1_9__2_MassOfNitrogenAppliedToSoilsScope3(F31,_xlfn.XLOOKUP($E151, $D$41:$D$49,$E$41:$E$49), _xlfn.XLOOKUP($E151, $D$54:$D$62,$E$54:$E$62), F76,$F95)</f>
        <v>0</v>
      </c>
      <c r="G151" s="52" cm="1">
        <f t="array" ref="G151">MMS_Poultry_ManureAppliedToSoils_Equations.VEERG_4_6_1_9__2_MassOfNitrogenAppliedToSoilsScope3(G31,_xlfn.XLOOKUP($E151, $D$41:$D$49,$E$41:$E$49), _xlfn.XLOOKUP($E151, $D$54:$D$62,$E$54:$E$62), G76,$F95)</f>
        <v>0</v>
      </c>
      <c r="H151" s="52" cm="1">
        <f t="array" ref="H151">MMS_Poultry_ManureAppliedToSoils_Equations.VEERG_4_6_1_9__2_MassOfNitrogenAppliedToSoilsScope3(H31,_xlfn.XLOOKUP($E151, $D$41:$D$49,$E$41:$E$49), _xlfn.XLOOKUP($E151, $D$54:$D$62,$E$54:$E$62), H76,$F95)</f>
        <v>0</v>
      </c>
      <c r="I151" s="52" cm="1">
        <f t="array" ref="I151">MMS_Poultry_ManureAppliedToSoils_Equations.VEERG_4_6_1_9__2_MassOfNitrogenAppliedToSoilsScope3(I31,_xlfn.XLOOKUP($E151, $D$41:$D$49,$E$41:$E$49), _xlfn.XLOOKUP($E151, $D$54:$D$62,$E$54:$E$62), I76,$F95)</f>
        <v>0</v>
      </c>
      <c r="N151" s="52"/>
      <c r="O151" s="52" t="str">
        <f>'Input - Poultry'!$D$49</f>
        <v>Direct application</v>
      </c>
      <c r="P151" s="52" cm="1">
        <f t="array" ref="P151">MMS_Poultry_ManureAppliedToSoils_Equations.VEERG_4_6_1_9__2_MassOfNitrogenAppliedToSoilsScope3(P31,_xlfn.XLOOKUP($O151, $D$41:$D$49,$E$41:$E$49), _xlfn.XLOOKUP($O151, $D$54:$D$62,$E$54:$E$62), P76,$F95)</f>
        <v>0</v>
      </c>
      <c r="Q151" s="52" cm="1">
        <f t="array" ref="Q151">MMS_Poultry_ManureAppliedToSoils_Equations.VEERG_4_6_1_9__2_MassOfNitrogenAppliedToSoilsScope3(Q31,_xlfn.XLOOKUP($O151, $D$41:$D$49,$E$41:$E$49), _xlfn.XLOOKUP($O151, $D$54:$D$62,$E$54:$E$62), Q76,$F95)</f>
        <v>0</v>
      </c>
      <c r="R151" s="52" cm="1">
        <f t="array" ref="R151">MMS_Poultry_ManureAppliedToSoils_Equations.VEERG_4_6_1_9__2_MassOfNitrogenAppliedToSoilsScope3(R31,_xlfn.XLOOKUP($O151, $D$41:$D$49,$E$41:$E$49), _xlfn.XLOOKUP($O151, $D$54:$D$62,$E$54:$E$62), R76,$F95)</f>
        <v>0</v>
      </c>
      <c r="S151" s="52" cm="1">
        <f t="array" ref="S151">MMS_Poultry_ManureAppliedToSoils_Equations.VEERG_4_6_1_9__2_MassOfNitrogenAppliedToSoilsScope3(S31,_xlfn.XLOOKUP($O151, $D$41:$D$49,$E$41:$E$49), _xlfn.XLOOKUP($O151, $D$54:$D$62,$E$54:$E$62), S76,$F95)</f>
        <v>0</v>
      </c>
    </row>
    <row r="152" spans="4:20" ht="20.100000000000001" customHeight="1" x14ac:dyDescent="0.25">
      <c r="D152" s="52" t="str">
        <f>'Input - Poultry'!$D$32</f>
        <v>Manure stored in house</v>
      </c>
      <c r="E152" s="52" t="str">
        <f>'Input - Poultry'!$D$52</f>
        <v>Solid storage</v>
      </c>
      <c r="F152" s="52" cm="1">
        <f t="array" ref="F152">MMS_Poultry_ManureAppliedToSoils_Equations.VEERG_4_6_1_9__2_MassOfNitrogenAppliedToSoilsScope3(F32,_xlfn.XLOOKUP($E152, $D$41:$D$49,$E$41:$E$49), _xlfn.XLOOKUP($E152, $D$54:$D$62,$E$54:$E$62), F77,$F96)</f>
        <v>0.11833280940000002</v>
      </c>
      <c r="G152" s="52" cm="1">
        <f t="array" ref="G152">MMS_Poultry_ManureAppliedToSoils_Equations.VEERG_4_6_1_9__2_MassOfNitrogenAppliedToSoilsScope3(G32,_xlfn.XLOOKUP($E152, $D$41:$D$49,$E$41:$E$49), _xlfn.XLOOKUP($E152, $D$54:$D$62,$E$54:$E$62), G77,$F96)</f>
        <v>0.12630670937999997</v>
      </c>
      <c r="H152" s="52" cm="1">
        <f t="array" ref="H152">MMS_Poultry_ManureAppliedToSoils_Equations.VEERG_4_6_1_9__2_MassOfNitrogenAppliedToSoilsScope3(H32,_xlfn.XLOOKUP($E152, $D$41:$D$49,$E$41:$E$49), _xlfn.XLOOKUP($E152, $D$54:$D$62,$E$54:$E$62), H77,$F96)</f>
        <v>0.14826529463999996</v>
      </c>
      <c r="I152" s="52" cm="1">
        <f t="array" ref="I152">MMS_Poultry_ManureAppliedToSoils_Equations.VEERG_4_6_1_9__2_MassOfNitrogenAppliedToSoilsScope3(I32,_xlfn.XLOOKUP($E152, $D$41:$D$49,$E$41:$E$49), _xlfn.XLOOKUP($E152, $D$54:$D$62,$E$54:$E$62), I77,$F96)</f>
        <v>0.12630670937999997</v>
      </c>
      <c r="J152" s="2"/>
      <c r="N152" s="52" t="str">
        <f>'Input - Poultry'!$D$32</f>
        <v>Manure stored in house</v>
      </c>
      <c r="O152" s="52" t="str">
        <f>'Input - Poultry'!$D$52</f>
        <v>Solid storage</v>
      </c>
      <c r="P152" s="52" cm="1">
        <f t="array" ref="P152">MMS_Poultry_ManureAppliedToSoils_Equations.VEERG_4_6_1_9__2_MassOfNitrogenAppliedToSoilsScope3(P32,_xlfn.XLOOKUP($O152, $D$41:$D$49,$E$41:$E$49), _xlfn.XLOOKUP($O152, $D$54:$D$62,$E$54:$E$62), P77,$F96)</f>
        <v>0.11833280940000002</v>
      </c>
      <c r="Q152" s="52" cm="1">
        <f t="array" ref="Q152">MMS_Poultry_ManureAppliedToSoils_Equations.VEERG_4_6_1_9__2_MassOfNitrogenAppliedToSoilsScope3(Q32,_xlfn.XLOOKUP($O152, $D$41:$D$49,$E$41:$E$49), _xlfn.XLOOKUP($O152, $D$54:$D$62,$E$54:$E$62), Q77,$F96)</f>
        <v>0.12630670937999997</v>
      </c>
      <c r="R152" s="52" cm="1">
        <f t="array" ref="R152">MMS_Poultry_ManureAppliedToSoils_Equations.VEERG_4_6_1_9__2_MassOfNitrogenAppliedToSoilsScope3(R32,_xlfn.XLOOKUP($O152, $D$41:$D$49,$E$41:$E$49), _xlfn.XLOOKUP($O152, $D$54:$D$62,$E$54:$E$62), R77,$F96)</f>
        <v>0.14826529463999996</v>
      </c>
      <c r="S152" s="52"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2"/>
      <c r="E153" s="52" t="str">
        <f>'Input - Poultry'!$D$53</f>
        <v>Composting (passive windrow)</v>
      </c>
      <c r="F153" s="52" cm="1">
        <f t="array" ref="F153">MMS_Poultry_ManureAppliedToSoils_Equations.VEERG_4_6_1_9__2_MassOfNitrogenAppliedToSoilsScope3(F33,_xlfn.XLOOKUP($E153, $D$41:$D$49,$E$41:$E$49), _xlfn.XLOOKUP($E153, $D$54:$D$62,$E$54:$E$62), F78,$F97)</f>
        <v>0.12062312184000003</v>
      </c>
      <c r="G153" s="52" cm="1">
        <f t="array" ref="G153">MMS_Poultry_ManureAppliedToSoils_Equations.VEERG_4_6_1_9__2_MassOfNitrogenAppliedToSoilsScope3(G33,_xlfn.XLOOKUP($E153, $D$41:$D$49,$E$41:$E$49), _xlfn.XLOOKUP($E153, $D$54:$D$62,$E$54:$E$62), G78,$F97)</f>
        <v>0.128751355368</v>
      </c>
      <c r="H153" s="52" cm="1">
        <f t="array" ref="H153">MMS_Poultry_ManureAppliedToSoils_Equations.VEERG_4_6_1_9__2_MassOfNitrogenAppliedToSoilsScope3(H33,_xlfn.XLOOKUP($E153, $D$41:$D$49,$E$41:$E$49), _xlfn.XLOOKUP($E153, $D$54:$D$62,$E$54:$E$62), H78,$F97)</f>
        <v>0.15113494550399997</v>
      </c>
      <c r="I153" s="52" cm="1">
        <f t="array" ref="I153">MMS_Poultry_ManureAppliedToSoils_Equations.VEERG_4_6_1_9__2_MassOfNitrogenAppliedToSoilsScope3(I33,_xlfn.XLOOKUP($E153, $D$41:$D$49,$E$41:$E$49), _xlfn.XLOOKUP($E153, $D$54:$D$62,$E$54:$E$62), I78,$F97)</f>
        <v>0.128751355368</v>
      </c>
      <c r="J153" s="2"/>
      <c r="N153" s="52"/>
      <c r="O153" s="52" t="str">
        <f>'Input - Poultry'!$D$53</f>
        <v>Composting (passive windrow)</v>
      </c>
      <c r="P153" s="52" cm="1">
        <f t="array" ref="P153">MMS_Poultry_ManureAppliedToSoils_Equations.VEERG_4_6_1_9__2_MassOfNitrogenAppliedToSoilsScope3(P33,_xlfn.XLOOKUP($O153, $D$41:$D$49,$E$41:$E$49), _xlfn.XLOOKUP($O153, $D$54:$D$62,$E$54:$E$62), P78,$F97)</f>
        <v>0.12062312184000003</v>
      </c>
      <c r="Q153" s="52" cm="1">
        <f t="array" ref="Q153">MMS_Poultry_ManureAppliedToSoils_Equations.VEERG_4_6_1_9__2_MassOfNitrogenAppliedToSoilsScope3(Q33,_xlfn.XLOOKUP($O153, $D$41:$D$49,$E$41:$E$49), _xlfn.XLOOKUP($O153, $D$54:$D$62,$E$54:$E$62), Q78,$F97)</f>
        <v>0.128751355368</v>
      </c>
      <c r="R153" s="52" cm="1">
        <f t="array" ref="R153">MMS_Poultry_ManureAppliedToSoils_Equations.VEERG_4_6_1_9__2_MassOfNitrogenAppliedToSoilsScope3(R33,_xlfn.XLOOKUP($O153, $D$41:$D$49,$E$41:$E$49), _xlfn.XLOOKUP($O153, $D$54:$D$62,$E$54:$E$62), R78,$F97)</f>
        <v>0.15113494550399997</v>
      </c>
      <c r="S153" s="52"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2"/>
      <c r="E154" s="52" t="str">
        <f>'Input - Poultry'!$D$54</f>
        <v>Digester / covered lagoons</v>
      </c>
      <c r="F154" s="52" cm="1">
        <f t="array" ref="F154">MMS_Poultry_ManureAppliedToSoils_Equations.VEERG_4_6_1_9__2_MassOfNitrogenAppliedToSoilsScope3(F34,_xlfn.XLOOKUP($E154, $D$41:$D$49,$E$41:$E$49), _xlfn.XLOOKUP($E154, $D$54:$D$62,$E$54:$E$62), F79,$F98)</f>
        <v>0.15268749600000003</v>
      </c>
      <c r="G154" s="52" cm="1">
        <f t="array" ref="G154">MMS_Poultry_ManureAppliedToSoils_Equations.VEERG_4_6_1_9__2_MassOfNitrogenAppliedToSoilsScope3(G34,_xlfn.XLOOKUP($E154, $D$41:$D$49,$E$41:$E$49), _xlfn.XLOOKUP($E154, $D$54:$D$62,$E$54:$E$62), G79,$F98)</f>
        <v>0.16297639919999998</v>
      </c>
      <c r="H154" s="52" cm="1">
        <f t="array" ref="H154">MMS_Poultry_ManureAppliedToSoils_Equations.VEERG_4_6_1_9__2_MassOfNitrogenAppliedToSoilsScope3(H34,_xlfn.XLOOKUP($E154, $D$41:$D$49,$E$41:$E$49), _xlfn.XLOOKUP($E154, $D$54:$D$62,$E$54:$E$62), H79,$F98)</f>
        <v>0.19131005759999997</v>
      </c>
      <c r="I154" s="52" cm="1">
        <f t="array" ref="I154">MMS_Poultry_ManureAppliedToSoils_Equations.VEERG_4_6_1_9__2_MassOfNitrogenAppliedToSoilsScope3(I34,_xlfn.XLOOKUP($E154, $D$41:$D$49,$E$41:$E$49), _xlfn.XLOOKUP($E154, $D$54:$D$62,$E$54:$E$62), I79,$F98)</f>
        <v>0.16297639919999998</v>
      </c>
      <c r="J154" s="2"/>
      <c r="N154" s="52"/>
      <c r="O154" s="52" t="str">
        <f>'Input - Poultry'!$D$54</f>
        <v>Digester / covered lagoons</v>
      </c>
      <c r="P154" s="52" cm="1">
        <f t="array" ref="P154">MMS_Poultry_ManureAppliedToSoils_Equations.VEERG_4_6_1_9__2_MassOfNitrogenAppliedToSoilsScope3(P34,_xlfn.XLOOKUP($O154, $D$41:$D$49,$E$41:$E$49), _xlfn.XLOOKUP($O154, $D$54:$D$62,$E$54:$E$62), P79,$F98)</f>
        <v>0.15268749600000003</v>
      </c>
      <c r="Q154" s="52" cm="1">
        <f t="array" ref="Q154">MMS_Poultry_ManureAppliedToSoils_Equations.VEERG_4_6_1_9__2_MassOfNitrogenAppliedToSoilsScope3(Q34,_xlfn.XLOOKUP($O154, $D$41:$D$49,$E$41:$E$49), _xlfn.XLOOKUP($O154, $D$54:$D$62,$E$54:$E$62), Q79,$F98)</f>
        <v>0.16297639919999998</v>
      </c>
      <c r="R154" s="52" cm="1">
        <f t="array" ref="R154">MMS_Poultry_ManureAppliedToSoils_Equations.VEERG_4_6_1_9__2_MassOfNitrogenAppliedToSoilsScope3(R34,_xlfn.XLOOKUP($O154, $D$41:$D$49,$E$41:$E$49), _xlfn.XLOOKUP($O154, $D$54:$D$62,$E$54:$E$62), R79,$F98)</f>
        <v>0.19131005759999997</v>
      </c>
      <c r="S154" s="52"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2"/>
      <c r="E155" s="52" t="str">
        <f>'Input - Poultry'!$D$55</f>
        <v>Direct processing</v>
      </c>
      <c r="F155" s="52" cm="1">
        <f t="array" ref="F155">MMS_Poultry_ManureAppliedToSoils_Equations.VEERG_4_6_1_9__2_MassOfNitrogenAppliedToSoilsScope3(F35,_xlfn.XLOOKUP($E155, $D$41:$D$49,$E$41:$E$49), _xlfn.XLOOKUP($E155, $D$54:$D$62,$E$54:$E$62), F80,$F99)</f>
        <v>0.15268749600000003</v>
      </c>
      <c r="G155" s="52" cm="1">
        <f t="array" ref="G155">MMS_Poultry_ManureAppliedToSoils_Equations.VEERG_4_6_1_9__2_MassOfNitrogenAppliedToSoilsScope3(G35,_xlfn.XLOOKUP($E155, $D$41:$D$49,$E$41:$E$49), _xlfn.XLOOKUP($E155, $D$54:$D$62,$E$54:$E$62), G80,$F99)</f>
        <v>0.16297639919999998</v>
      </c>
      <c r="H155" s="52" cm="1">
        <f t="array" ref="H155">MMS_Poultry_ManureAppliedToSoils_Equations.VEERG_4_6_1_9__2_MassOfNitrogenAppliedToSoilsScope3(H35,_xlfn.XLOOKUP($E155, $D$41:$D$49,$E$41:$E$49), _xlfn.XLOOKUP($E155, $D$54:$D$62,$E$54:$E$62), H80,$F99)</f>
        <v>0.19131005759999997</v>
      </c>
      <c r="I155" s="52" cm="1">
        <f t="array" ref="I155">MMS_Poultry_ManureAppliedToSoils_Equations.VEERG_4_6_1_9__2_MassOfNitrogenAppliedToSoilsScope3(I35,_xlfn.XLOOKUP($E155, $D$41:$D$49,$E$41:$E$49), _xlfn.XLOOKUP($E155, $D$54:$D$62,$E$54:$E$62), I80,$F99)</f>
        <v>0.16297639919999998</v>
      </c>
      <c r="J155" s="2"/>
      <c r="N155" s="52"/>
      <c r="O155" s="52" t="str">
        <f>'Input - Poultry'!$D$55</f>
        <v>Direct processing</v>
      </c>
      <c r="P155" s="52" cm="1">
        <f t="array" ref="P155">MMS_Poultry_ManureAppliedToSoils_Equations.VEERG_4_6_1_9__2_MassOfNitrogenAppliedToSoilsScope3(P35,_xlfn.XLOOKUP($O155, $D$41:$D$49,$E$41:$E$49), _xlfn.XLOOKUP($O155, $D$54:$D$62,$E$54:$E$62), P80,$F99)</f>
        <v>0.15268749600000003</v>
      </c>
      <c r="Q155" s="52" cm="1">
        <f t="array" ref="Q155">MMS_Poultry_ManureAppliedToSoils_Equations.VEERG_4_6_1_9__2_MassOfNitrogenAppliedToSoilsScope3(Q35,_xlfn.XLOOKUP($O155, $D$41:$D$49,$E$41:$E$49), _xlfn.XLOOKUP($O155, $D$54:$D$62,$E$54:$E$62), Q80,$F99)</f>
        <v>0.16297639919999998</v>
      </c>
      <c r="R155" s="52" cm="1">
        <f t="array" ref="R155">MMS_Poultry_ManureAppliedToSoils_Equations.VEERG_4_6_1_9__2_MassOfNitrogenAppliedToSoilsScope3(R35,_xlfn.XLOOKUP($O155, $D$41:$D$49,$E$41:$E$49), _xlfn.XLOOKUP($O155, $D$54:$D$62,$E$54:$E$62), R80,$F99)</f>
        <v>0.19131005759999997</v>
      </c>
      <c r="S155" s="52"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2"/>
      <c r="E156" s="52" t="str">
        <f>'Input - Poultry'!$D$56</f>
        <v>Direct application</v>
      </c>
      <c r="F156" s="52" cm="1">
        <f t="array" ref="F156">MMS_Poultry_ManureAppliedToSoils_Equations.VEERG_4_6_1_9__2_MassOfNitrogenAppliedToSoilsScope3(F36,_xlfn.XLOOKUP($E156, $D$41:$D$49,$E$41:$E$49), _xlfn.XLOOKUP($E156, $D$54:$D$62,$E$54:$E$62), F81,$F100)</f>
        <v>0</v>
      </c>
      <c r="G156" s="52" cm="1">
        <f t="array" ref="G156">MMS_Poultry_ManureAppliedToSoils_Equations.VEERG_4_6_1_9__2_MassOfNitrogenAppliedToSoilsScope3(G36,_xlfn.XLOOKUP($E156, $D$41:$D$49,$E$41:$E$49), _xlfn.XLOOKUP($E156, $D$54:$D$62,$E$54:$E$62), G81,$F100)</f>
        <v>0</v>
      </c>
      <c r="H156" s="52" cm="1">
        <f t="array" ref="H156">MMS_Poultry_ManureAppliedToSoils_Equations.VEERG_4_6_1_9__2_MassOfNitrogenAppliedToSoilsScope3(H36,_xlfn.XLOOKUP($E156, $D$41:$D$49,$E$41:$E$49), _xlfn.XLOOKUP($E156, $D$54:$D$62,$E$54:$E$62), H81,$F100)</f>
        <v>0</v>
      </c>
      <c r="I156" s="52" cm="1">
        <f t="array" ref="I156">MMS_Poultry_ManureAppliedToSoils_Equations.VEERG_4_6_1_9__2_MassOfNitrogenAppliedToSoilsScope3(I36,_xlfn.XLOOKUP($E156, $D$41:$D$49,$E$41:$E$49), _xlfn.XLOOKUP($E156, $D$54:$D$62,$E$54:$E$62), I81,$F100)</f>
        <v>0</v>
      </c>
      <c r="N156" s="52"/>
      <c r="O156" s="52" t="str">
        <f>'Input - Poultry'!$D$56</f>
        <v>Direct application</v>
      </c>
      <c r="P156" s="52" cm="1">
        <f t="array" ref="P156">MMS_Poultry_ManureAppliedToSoils_Equations.VEERG_4_6_1_9__2_MassOfNitrogenAppliedToSoilsScope3(P36,_xlfn.XLOOKUP($O156, $D$41:$D$49,$E$41:$E$49), _xlfn.XLOOKUP($O156, $D$54:$D$62,$E$54:$E$62), P81,$F100)</f>
        <v>0</v>
      </c>
      <c r="Q156" s="52" cm="1">
        <f t="array" ref="Q156">MMS_Poultry_ManureAppliedToSoils_Equations.VEERG_4_6_1_9__2_MassOfNitrogenAppliedToSoilsScope3(Q36,_xlfn.XLOOKUP($O156, $D$41:$D$49,$E$41:$E$49), _xlfn.XLOOKUP($O156, $D$54:$D$62,$E$54:$E$62), Q81,$F100)</f>
        <v>0</v>
      </c>
      <c r="R156" s="52" cm="1">
        <f t="array" ref="R156">MMS_Poultry_ManureAppliedToSoils_Equations.VEERG_4_6_1_9__2_MassOfNitrogenAppliedToSoilsScope3(R36,_xlfn.XLOOKUP($O156, $D$41:$D$49,$E$41:$E$49), _xlfn.XLOOKUP($O156, $D$54:$D$62,$E$54:$E$62), R81,$F100)</f>
        <v>0</v>
      </c>
      <c r="S156" s="52"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9" t="s">
        <v>167</v>
      </c>
      <c r="E158" s="100">
        <f>SUM(F142:I156)</f>
        <v>8.9593892186400037</v>
      </c>
      <c r="F158" s="101" t="str">
        <f>$E$131</f>
        <v>kg N</v>
      </c>
      <c r="N158" s="99" t="s">
        <v>167</v>
      </c>
      <c r="O158" s="100">
        <f>SUM(P142:S156)</f>
        <v>8.9593892186400037</v>
      </c>
      <c r="P158" s="101" t="str">
        <f>$E$131</f>
        <v>kg N</v>
      </c>
    </row>
    <row r="159" spans="4:20" ht="20.100000000000001" customHeight="1" x14ac:dyDescent="0.25"/>
    <row r="160" spans="4:20" ht="20.100000000000001" customHeight="1" x14ac:dyDescent="0.25"/>
    <row r="161" spans="3:21" ht="20.100000000000001" customHeight="1" x14ac:dyDescent="0.25">
      <c r="C161" s="45"/>
      <c r="D161" s="45"/>
      <c r="E161" s="45"/>
      <c r="F161" s="45"/>
      <c r="G161" s="45"/>
      <c r="H161" s="45"/>
      <c r="I161" s="45"/>
      <c r="J161" s="45"/>
      <c r="K161" s="45"/>
      <c r="L161" s="126"/>
      <c r="M161" s="45"/>
      <c r="N161" s="45"/>
      <c r="O161" s="45"/>
      <c r="P161" s="45"/>
      <c r="Q161" s="45"/>
      <c r="R161" s="45"/>
      <c r="S161" s="45"/>
      <c r="T161" s="45"/>
      <c r="U161" s="45"/>
    </row>
    <row r="162" spans="3:21" ht="20.100000000000001" customHeight="1" x14ac:dyDescent="0.25">
      <c r="D162" s="125" t="str">
        <f>"Below are applications of " &amp; D60 &amp; " that are applied to the following contexts:"</f>
        <v>Below are applications of Digester / covered lagoons that are applied to the following contexts:</v>
      </c>
      <c r="E162" s="90"/>
      <c r="F162" s="90"/>
      <c r="G162" s="90"/>
      <c r="H162" s="86"/>
    </row>
    <row r="163" spans="3:21" ht="20.100000000000001" customHeight="1" x14ac:dyDescent="0.25">
      <c r="D163" s="92" t="s">
        <v>168</v>
      </c>
      <c r="E163" s="89"/>
      <c r="F163" s="89"/>
      <c r="G163" s="89"/>
      <c r="H163" s="87"/>
    </row>
    <row r="164" spans="3:21" ht="20.100000000000001" customHeight="1" x14ac:dyDescent="0.25"/>
    <row r="165" spans="3:21" ht="20.100000000000001" customHeight="1" x14ac:dyDescent="0.25">
      <c r="D165" s="6" t="s">
        <v>169</v>
      </c>
    </row>
    <row r="166" spans="3:21" ht="20.100000000000001" customHeight="1" x14ac:dyDescent="0.25"/>
    <row r="167" spans="3:21" ht="20.100000000000001" customHeight="1" x14ac:dyDescent="0.25">
      <c r="D167" s="114" t="s">
        <v>170</v>
      </c>
    </row>
    <row r="168" spans="3:21" ht="20.100000000000001" customHeight="1" x14ac:dyDescent="0.25">
      <c r="D168" s="115" t="s">
        <v>171</v>
      </c>
    </row>
    <row r="169" spans="3:21" ht="20.100000000000001" customHeight="1" x14ac:dyDescent="0.25">
      <c r="D169" s="112" t="s">
        <v>133</v>
      </c>
      <c r="E169" s="112" t="s">
        <v>135</v>
      </c>
      <c r="F169" s="112" t="s">
        <v>162</v>
      </c>
    </row>
    <row r="170" spans="3:21" ht="20.100000000000001" customHeight="1" x14ac:dyDescent="0.25">
      <c r="D170" s="52" t="str">
        <f>'Input - Poultry'!$D$30</f>
        <v>Poultry manure with bedding</v>
      </c>
      <c r="E170" s="52" t="str">
        <f>'Input - Poultry'!$D$38</f>
        <v>Solid storage</v>
      </c>
      <c r="F170" s="52">
        <f>'Input - Poultry'!K38</f>
        <v>0.25</v>
      </c>
      <c r="G170" s="2" t="str">
        <f>$G$137</f>
        <v>fraction</v>
      </c>
    </row>
    <row r="171" spans="3:21" ht="20.100000000000001" customHeight="1" x14ac:dyDescent="0.25">
      <c r="D171" s="52"/>
      <c r="E171" s="52" t="str">
        <f>'Input - Poultry'!$D$39</f>
        <v>Composting (passive windrow)</v>
      </c>
      <c r="F171" s="52">
        <f>'Input - Poultry'!K39</f>
        <v>0.25</v>
      </c>
      <c r="G171" s="2"/>
    </row>
    <row r="172" spans="3:21" ht="20.100000000000001" customHeight="1" x14ac:dyDescent="0.25">
      <c r="D172" s="52"/>
      <c r="E172" s="52" t="str">
        <f>'Input - Poultry'!$D$40</f>
        <v>Digester / covered lagoons</v>
      </c>
      <c r="F172" s="52">
        <f>'Input - Poultry'!K40</f>
        <v>0.25</v>
      </c>
      <c r="G172" s="2"/>
    </row>
    <row r="173" spans="3:21" ht="20.100000000000001" customHeight="1" x14ac:dyDescent="0.25">
      <c r="D173" s="52"/>
      <c r="E173" s="52" t="str">
        <f>'Input - Poultry'!$D$41</f>
        <v>Direct processing</v>
      </c>
      <c r="F173" s="52">
        <f>'Input - Poultry'!K41</f>
        <v>0.25</v>
      </c>
      <c r="G173" s="2"/>
    </row>
    <row r="174" spans="3:21" ht="20.100000000000001" customHeight="1" x14ac:dyDescent="0.25">
      <c r="D174" s="52"/>
      <c r="E174" s="52" t="str">
        <f>'Input - Poultry'!$D$42</f>
        <v>Direct application</v>
      </c>
      <c r="F174" s="52">
        <f>'Input - Poultry'!K42</f>
        <v>0</v>
      </c>
    </row>
    <row r="175" spans="3:21" ht="20.100000000000001" customHeight="1" x14ac:dyDescent="0.25">
      <c r="D175" s="52" t="str">
        <f>'Input - Poultry'!$D$31</f>
        <v>Belt manure removal</v>
      </c>
      <c r="E175" s="52" t="str">
        <f>'Input - Poultry'!$D$45</f>
        <v>Solid storage</v>
      </c>
      <c r="F175" s="52">
        <f>'Input - Poultry'!K45</f>
        <v>0.25</v>
      </c>
      <c r="G175" s="2"/>
    </row>
    <row r="176" spans="3:21" ht="20.100000000000001" customHeight="1" x14ac:dyDescent="0.25">
      <c r="D176" s="52"/>
      <c r="E176" s="52" t="str">
        <f>'Input - Poultry'!$D$46</f>
        <v>Composting (passive windrow)</v>
      </c>
      <c r="F176" s="52">
        <f>'Input - Poultry'!K46</f>
        <v>0.25</v>
      </c>
      <c r="G176" s="2"/>
    </row>
    <row r="177" spans="4:20" ht="20.100000000000001" customHeight="1" x14ac:dyDescent="0.25">
      <c r="D177" s="52"/>
      <c r="E177" s="52" t="str">
        <f>'Input - Poultry'!$D$47</f>
        <v>Digester / covered lagoons</v>
      </c>
      <c r="F177" s="52">
        <f>'Input - Poultry'!K47</f>
        <v>0.25</v>
      </c>
      <c r="G177" s="2"/>
    </row>
    <row r="178" spans="4:20" ht="20.100000000000001" customHeight="1" x14ac:dyDescent="0.25">
      <c r="D178" s="52"/>
      <c r="E178" s="52" t="str">
        <f>'Input - Poultry'!$D$48</f>
        <v>Direct processing</v>
      </c>
      <c r="F178" s="52">
        <f>'Input - Poultry'!K48</f>
        <v>0.25</v>
      </c>
      <c r="G178" s="2"/>
    </row>
    <row r="179" spans="4:20" ht="20.100000000000001" customHeight="1" x14ac:dyDescent="0.25">
      <c r="D179" s="52"/>
      <c r="E179" s="52" t="str">
        <f>'Input - Poultry'!$D$49</f>
        <v>Direct application</v>
      </c>
      <c r="F179" s="52">
        <f>'Input - Poultry'!K49</f>
        <v>0</v>
      </c>
    </row>
    <row r="180" spans="4:20" ht="20.100000000000001" customHeight="1" x14ac:dyDescent="0.25">
      <c r="D180" s="52" t="str">
        <f>'Input - Poultry'!$D$32</f>
        <v>Manure stored in house</v>
      </c>
      <c r="E180" s="52" t="str">
        <f>'Input - Poultry'!$D$52</f>
        <v>Solid storage</v>
      </c>
      <c r="F180" s="52">
        <f>'Input - Poultry'!K52</f>
        <v>0.25</v>
      </c>
      <c r="G180" s="2"/>
    </row>
    <row r="181" spans="4:20" ht="20.100000000000001" customHeight="1" x14ac:dyDescent="0.25">
      <c r="D181" s="52"/>
      <c r="E181" s="52" t="str">
        <f>'Input - Poultry'!$D$53</f>
        <v>Composting (passive windrow)</v>
      </c>
      <c r="F181" s="52">
        <f>'Input - Poultry'!K53</f>
        <v>0.25</v>
      </c>
      <c r="G181" s="2"/>
    </row>
    <row r="182" spans="4:20" ht="20.100000000000001" customHeight="1" x14ac:dyDescent="0.25">
      <c r="D182" s="52"/>
      <c r="E182" s="52" t="str">
        <f>'Input - Poultry'!$D$54</f>
        <v>Digester / covered lagoons</v>
      </c>
      <c r="F182" s="52">
        <f>'Input - Poultry'!K54</f>
        <v>0.25</v>
      </c>
      <c r="G182" s="2"/>
    </row>
    <row r="183" spans="4:20" ht="20.100000000000001" customHeight="1" x14ac:dyDescent="0.25">
      <c r="D183" s="52"/>
      <c r="E183" s="52" t="str">
        <f>'Input - Poultry'!$D$55</f>
        <v>Direct processing</v>
      </c>
      <c r="F183" s="52">
        <f>'Input - Poultry'!K55</f>
        <v>0.25</v>
      </c>
      <c r="G183" s="2"/>
    </row>
    <row r="184" spans="4:20" ht="20.100000000000001" customHeight="1" x14ac:dyDescent="0.25">
      <c r="D184" s="52"/>
      <c r="E184" s="52" t="str">
        <f>'Input - Poultry'!$D$56</f>
        <v>Direct application</v>
      </c>
      <c r="F184" s="52">
        <f>'Input - Poultry'!K56</f>
        <v>0</v>
      </c>
    </row>
    <row r="185" spans="4:20" ht="20.100000000000001" customHeight="1" x14ac:dyDescent="0.25"/>
    <row r="186" spans="4:20" ht="20.100000000000001" customHeight="1" x14ac:dyDescent="0.25">
      <c r="D186" s="98" t="s">
        <v>172</v>
      </c>
      <c r="N186" s="98" t="s">
        <v>174</v>
      </c>
    </row>
    <row r="187" spans="4:20" ht="20.100000000000001" customHeight="1" x14ac:dyDescent="0.25">
      <c r="D187" s="115" t="s">
        <v>175</v>
      </c>
      <c r="N187" s="115" t="s">
        <v>176</v>
      </c>
    </row>
    <row r="188" spans="4:20" ht="20.100000000000001" customHeight="1" x14ac:dyDescent="0.25">
      <c r="D188" s="51" t="s">
        <v>133</v>
      </c>
      <c r="E188" s="51" t="s">
        <v>135</v>
      </c>
      <c r="F188" s="51" t="s">
        <v>194</v>
      </c>
      <c r="G188" s="51" t="s">
        <v>195</v>
      </c>
      <c r="H188" s="51" t="s">
        <v>207</v>
      </c>
      <c r="I188" s="51" t="s">
        <v>208</v>
      </c>
      <c r="N188" s="51" t="s">
        <v>133</v>
      </c>
      <c r="O188" s="51" t="s">
        <v>135</v>
      </c>
      <c r="P188" s="51" t="s">
        <v>194</v>
      </c>
      <c r="Q188" s="51" t="s">
        <v>195</v>
      </c>
      <c r="R188" s="51" t="s">
        <v>207</v>
      </c>
      <c r="S188" s="51" t="s">
        <v>208</v>
      </c>
    </row>
    <row r="189" spans="4:20" ht="20.100000000000001" customHeight="1" x14ac:dyDescent="0.25">
      <c r="D189" s="52" t="str">
        <f>'Input - Poultry'!$D$30</f>
        <v>Poultry manure with bedding</v>
      </c>
      <c r="E189" s="52" t="str">
        <f>'Input - Poultry'!$D$38</f>
        <v>Solid storage</v>
      </c>
      <c r="F189" s="52" cm="1">
        <f t="array" ref="F189">MMS_Poultry_ManureAppliedToSoils_Equations.VEERG_4_6_1_9__1_MassOfNitrogenAppliedToSoilsScope1(F22,_xlfn.XLOOKUP($E189, $D$41:$D$49,$E$41:$E$49), _xlfn.XLOOKUP($E189, $D$54:$D$62,$E$54:$E$62), F67,$F170)</f>
        <v>0.13808786940000004</v>
      </c>
      <c r="G189" s="52" cm="1">
        <f t="array" ref="G189">MMS_Poultry_ManureAppliedToSoils_Equations.VEERG_4_6_1_9__1_MassOfNitrogenAppliedToSoilsScope1(G22,_xlfn.XLOOKUP($E189, $D$41:$D$49,$E$41:$E$49), _xlfn.XLOOKUP($E189, $D$54:$D$62,$E$54:$E$62), G67,$F170)</f>
        <v>0.14739297138000002</v>
      </c>
      <c r="H189" s="52" cm="1">
        <f t="array" ref="H189">MMS_Poultry_ManureAppliedToSoils_Equations.VEERG_4_6_1_9__1_MassOfNitrogenAppliedToSoilsScope1(H22,_xlfn.XLOOKUP($E189, $D$41:$D$49,$E$41:$E$49), _xlfn.XLOOKUP($E189, $D$54:$D$62,$E$54:$E$62), H67,$F170)</f>
        <v>0.17301743063999997</v>
      </c>
      <c r="I189" s="52" cm="1">
        <f t="array" ref="I189">MMS_Poultry_ManureAppliedToSoils_Equations.VEERG_4_6_1_9__1_MassOfNitrogenAppliedToSoilsScope1(I22,_xlfn.XLOOKUP($E189, $D$41:$D$49,$E$41:$E$49), _xlfn.XLOOKUP($E189, $D$54:$D$62,$E$54:$E$62), I67,$F170)</f>
        <v>0.14739297138000002</v>
      </c>
      <c r="J189" s="2" t="str">
        <f>$E$11</f>
        <v>kg N</v>
      </c>
      <c r="N189" s="52" t="str">
        <f>'Input - Poultry'!$D$30</f>
        <v>Poultry manure with bedding</v>
      </c>
      <c r="O189" s="52" t="str">
        <f>'Input - Poultry'!$D$38</f>
        <v>Solid storage</v>
      </c>
      <c r="P189" s="52" cm="1">
        <f t="array" ref="P189">MMS_Poultry_ManureAppliedToSoils_Equations.VEERG_4_6_1_9__1_MassOfNitrogenAppliedToSoilsScope1(P22,_xlfn.XLOOKUP($O189, $D$41:$D$49,$E$41:$E$49), _xlfn.XLOOKUP($O189, $D$54:$D$62,$E$54:$E$62), P67,$F170)</f>
        <v>0.13808786940000004</v>
      </c>
      <c r="Q189" s="52" cm="1">
        <f t="array" ref="Q189">MMS_Poultry_ManureAppliedToSoils_Equations.VEERG_4_6_1_9__1_MassOfNitrogenAppliedToSoilsScope1(Q22,_xlfn.XLOOKUP($O189, $D$41:$D$49,$E$41:$E$49), _xlfn.XLOOKUP($O189, $D$54:$D$62,$E$54:$E$62), Q67,$F170)</f>
        <v>0.14739297138000002</v>
      </c>
      <c r="R189" s="52" cm="1">
        <f t="array" ref="R189">MMS_Poultry_ManureAppliedToSoils_Equations.VEERG_4_6_1_9__1_MassOfNitrogenAppliedToSoilsScope1(R22,_xlfn.XLOOKUP($O189, $D$41:$D$49,$E$41:$E$49), _xlfn.XLOOKUP($O189, $D$54:$D$62,$E$54:$E$62), R67,$F170)</f>
        <v>0.17301743063999997</v>
      </c>
      <c r="S189" s="52"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2"/>
      <c r="E190" s="52" t="str">
        <f>'Input - Poultry'!$D$39</f>
        <v>Composting (passive windrow)</v>
      </c>
      <c r="F190" s="52" cm="1">
        <f t="array" ref="F190">MMS_Poultry_ManureAppliedToSoils_Equations.VEERG_4_6_1_9__1_MassOfNitrogenAppliedToSoilsScope1(F23,_xlfn.XLOOKUP($E190, $D$41:$D$49,$E$41:$E$49), _xlfn.XLOOKUP($E190, $D$54:$D$62,$E$54:$E$62), F68,$F171)</f>
        <v>0.14076053784000003</v>
      </c>
      <c r="G190" s="52" cm="1">
        <f t="array" ref="G190">MMS_Poultry_ManureAppliedToSoils_Equations.VEERG_4_6_1_9__1_MassOfNitrogenAppliedToSoilsScope1(G23,_xlfn.XLOOKUP($E190, $D$41:$D$49,$E$41:$E$49), _xlfn.XLOOKUP($E190, $D$54:$D$62,$E$54:$E$62), G68,$F171)</f>
        <v>0.150245738568</v>
      </c>
      <c r="H190" s="52" cm="1">
        <f t="array" ref="H190">MMS_Poultry_ManureAppliedToSoils_Equations.VEERG_4_6_1_9__1_MassOfNitrogenAppliedToSoilsScope1(H23,_xlfn.XLOOKUP($E190, $D$41:$D$49,$E$41:$E$49), _xlfn.XLOOKUP($E190, $D$54:$D$62,$E$54:$E$62), H68,$F171)</f>
        <v>0.176366155104</v>
      </c>
      <c r="I190" s="52" cm="1">
        <f t="array" ref="I190">MMS_Poultry_ManureAppliedToSoils_Equations.VEERG_4_6_1_9__1_MassOfNitrogenAppliedToSoilsScope1(I23,_xlfn.XLOOKUP($E190, $D$41:$D$49,$E$41:$E$49), _xlfn.XLOOKUP($E190, $D$54:$D$62,$E$54:$E$62), I68,$F171)</f>
        <v>0.150245738568</v>
      </c>
      <c r="J190" s="2"/>
      <c r="N190" s="52"/>
      <c r="O190" s="52" t="str">
        <f>'Input - Poultry'!$D$39</f>
        <v>Composting (passive windrow)</v>
      </c>
      <c r="P190" s="52" cm="1">
        <f t="array" ref="P190">MMS_Poultry_ManureAppliedToSoils_Equations.VEERG_4_6_1_9__1_MassOfNitrogenAppliedToSoilsScope1(P23,_xlfn.XLOOKUP($O190, $D$41:$D$49,$E$41:$E$49), _xlfn.XLOOKUP($O190, $D$54:$D$62,$E$54:$E$62), P68,$F171)</f>
        <v>0.14076053784000003</v>
      </c>
      <c r="Q190" s="52" cm="1">
        <f t="array" ref="Q190">MMS_Poultry_ManureAppliedToSoils_Equations.VEERG_4_6_1_9__1_MassOfNitrogenAppliedToSoilsScope1(Q23,_xlfn.XLOOKUP($O190, $D$41:$D$49,$E$41:$E$49), _xlfn.XLOOKUP($O190, $D$54:$D$62,$E$54:$E$62), Q68,$F171)</f>
        <v>0.150245738568</v>
      </c>
      <c r="R190" s="52" cm="1">
        <f t="array" ref="R190">MMS_Poultry_ManureAppliedToSoils_Equations.VEERG_4_6_1_9__1_MassOfNitrogenAppliedToSoilsScope1(R23,_xlfn.XLOOKUP($O190, $D$41:$D$49,$E$41:$E$49), _xlfn.XLOOKUP($O190, $D$54:$D$62,$E$54:$E$62), R68,$F171)</f>
        <v>0.176366155104</v>
      </c>
      <c r="S190" s="52"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2"/>
      <c r="E191" s="52" t="str">
        <f>'Input - Poultry'!$D$40</f>
        <v>Digester / covered lagoons</v>
      </c>
      <c r="F191" s="52" cm="1">
        <f t="array" ref="F191">MMS_Poultry_ManureAppliedToSoils_Equations.VEERG_4_6_1_9__1_MassOfNitrogenAppliedToSoilsScope1(F24,_xlfn.XLOOKUP($E191, $D$41:$D$49,$E$41:$E$49), _xlfn.XLOOKUP($E191, $D$54:$D$62,$E$54:$E$62), F69,$F172)</f>
        <v>0.17817789600000003</v>
      </c>
      <c r="G191" s="52" cm="1">
        <f t="array" ref="G191">MMS_Poultry_ManureAppliedToSoils_Equations.VEERG_4_6_1_9__1_MassOfNitrogenAppliedToSoilsScope1(G24,_xlfn.XLOOKUP($E191, $D$41:$D$49,$E$41:$E$49), _xlfn.XLOOKUP($E191, $D$54:$D$62,$E$54:$E$62), G69,$F172)</f>
        <v>0.19018447920000001</v>
      </c>
      <c r="H191" s="52" cm="1">
        <f t="array" ref="H191">MMS_Poultry_ManureAppliedToSoils_Equations.VEERG_4_6_1_9__1_MassOfNitrogenAppliedToSoilsScope1(H24,_xlfn.XLOOKUP($E191, $D$41:$D$49,$E$41:$E$49), _xlfn.XLOOKUP($E191, $D$54:$D$62,$E$54:$E$62), H69,$F172)</f>
        <v>0.22324829759999998</v>
      </c>
      <c r="I191" s="52" cm="1">
        <f t="array" ref="I191">MMS_Poultry_ManureAppliedToSoils_Equations.VEERG_4_6_1_9__1_MassOfNitrogenAppliedToSoilsScope1(I24,_xlfn.XLOOKUP($E191, $D$41:$D$49,$E$41:$E$49), _xlfn.XLOOKUP($E191, $D$54:$D$62,$E$54:$E$62), I69,$F172)</f>
        <v>0.19018447920000001</v>
      </c>
      <c r="J191" s="2"/>
      <c r="N191" s="52"/>
      <c r="O191" s="52" t="str">
        <f>'Input - Poultry'!$D$40</f>
        <v>Digester / covered lagoons</v>
      </c>
      <c r="P191" s="52" cm="1">
        <f t="array" ref="P191">MMS_Poultry_ManureAppliedToSoils_Equations.VEERG_4_6_1_9__1_MassOfNitrogenAppliedToSoilsScope1(P24,_xlfn.XLOOKUP($O191, $D$41:$D$49,$E$41:$E$49), _xlfn.XLOOKUP($O191, $D$54:$D$62,$E$54:$E$62), P69,$F172)</f>
        <v>0.17817789600000003</v>
      </c>
      <c r="Q191" s="52" cm="1">
        <f t="array" ref="Q191">MMS_Poultry_ManureAppliedToSoils_Equations.VEERG_4_6_1_9__1_MassOfNitrogenAppliedToSoilsScope1(Q24,_xlfn.XLOOKUP($O191, $D$41:$D$49,$E$41:$E$49), _xlfn.XLOOKUP($O191, $D$54:$D$62,$E$54:$E$62), Q69,$F172)</f>
        <v>0.19018447920000001</v>
      </c>
      <c r="R191" s="52" cm="1">
        <f t="array" ref="R191">MMS_Poultry_ManureAppliedToSoils_Equations.VEERG_4_6_1_9__1_MassOfNitrogenAppliedToSoilsScope1(R24,_xlfn.XLOOKUP($O191, $D$41:$D$49,$E$41:$E$49), _xlfn.XLOOKUP($O191, $D$54:$D$62,$E$54:$E$62), R69,$F172)</f>
        <v>0.22324829759999998</v>
      </c>
      <c r="S191" s="52"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2"/>
      <c r="E192" s="52" t="str">
        <f>'Input - Poultry'!$D$41</f>
        <v>Direct processing</v>
      </c>
      <c r="F192" s="52" cm="1">
        <f t="array" ref="F192">MMS_Poultry_ManureAppliedToSoils_Equations.VEERG_4_6_1_9__1_MassOfNitrogenAppliedToSoilsScope1(F25,_xlfn.XLOOKUP($E192, $D$41:$D$49,$E$41:$E$49), _xlfn.XLOOKUP($E192, $D$54:$D$62,$E$54:$E$62), F70,$F173)</f>
        <v>0.17817789600000003</v>
      </c>
      <c r="G192" s="52" cm="1">
        <f t="array" ref="G192">MMS_Poultry_ManureAppliedToSoils_Equations.VEERG_4_6_1_9__1_MassOfNitrogenAppliedToSoilsScope1(G25,_xlfn.XLOOKUP($E192, $D$41:$D$49,$E$41:$E$49), _xlfn.XLOOKUP($E192, $D$54:$D$62,$E$54:$E$62), G70,$F173)</f>
        <v>0.19018447920000001</v>
      </c>
      <c r="H192" s="52" cm="1">
        <f t="array" ref="H192">MMS_Poultry_ManureAppliedToSoils_Equations.VEERG_4_6_1_9__1_MassOfNitrogenAppliedToSoilsScope1(H25,_xlfn.XLOOKUP($E192, $D$41:$D$49,$E$41:$E$49), _xlfn.XLOOKUP($E192, $D$54:$D$62,$E$54:$E$62), H70,$F173)</f>
        <v>0.22324829759999998</v>
      </c>
      <c r="I192" s="52" cm="1">
        <f t="array" ref="I192">MMS_Poultry_ManureAppliedToSoils_Equations.VEERG_4_6_1_9__1_MassOfNitrogenAppliedToSoilsScope1(I25,_xlfn.XLOOKUP($E192, $D$41:$D$49,$E$41:$E$49), _xlfn.XLOOKUP($E192, $D$54:$D$62,$E$54:$E$62), I70,$F173)</f>
        <v>0.19018447920000001</v>
      </c>
      <c r="J192" s="2"/>
      <c r="N192" s="52"/>
      <c r="O192" s="52" t="str">
        <f>'Input - Poultry'!$D$41</f>
        <v>Direct processing</v>
      </c>
      <c r="P192" s="52" cm="1">
        <f t="array" ref="P192">MMS_Poultry_ManureAppliedToSoils_Equations.VEERG_4_6_1_9__1_MassOfNitrogenAppliedToSoilsScope1(P25,_xlfn.XLOOKUP($O192, $D$41:$D$49,$E$41:$E$49), _xlfn.XLOOKUP($O192, $D$54:$D$62,$E$54:$E$62), P70,$F173)</f>
        <v>0.17817789600000003</v>
      </c>
      <c r="Q192" s="52" cm="1">
        <f t="array" ref="Q192">MMS_Poultry_ManureAppliedToSoils_Equations.VEERG_4_6_1_9__1_MassOfNitrogenAppliedToSoilsScope1(Q25,_xlfn.XLOOKUP($O192, $D$41:$D$49,$E$41:$E$49), _xlfn.XLOOKUP($O192, $D$54:$D$62,$E$54:$E$62), Q70,$F173)</f>
        <v>0.19018447920000001</v>
      </c>
      <c r="R192" s="52" cm="1">
        <f t="array" ref="R192">MMS_Poultry_ManureAppliedToSoils_Equations.VEERG_4_6_1_9__1_MassOfNitrogenAppliedToSoilsScope1(R25,_xlfn.XLOOKUP($O192, $D$41:$D$49,$E$41:$E$49), _xlfn.XLOOKUP($O192, $D$54:$D$62,$E$54:$E$62), R70,$F173)</f>
        <v>0.22324829759999998</v>
      </c>
      <c r="S192" s="52"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2"/>
      <c r="E193" s="52" t="str">
        <f>'Input - Poultry'!$D$42</f>
        <v>Direct application</v>
      </c>
      <c r="F193" s="52" cm="1">
        <f t="array" ref="F193">MMS_Poultry_ManureAppliedToSoils_Equations.VEERG_4_6_1_9__1_MassOfNitrogenAppliedToSoilsScope1(F26,_xlfn.XLOOKUP($E193, $D$41:$D$49,$E$41:$E$49), _xlfn.XLOOKUP($E193, $D$54:$D$62,$E$54:$E$62), F71,$F174)</f>
        <v>0</v>
      </c>
      <c r="G193" s="52" cm="1">
        <f t="array" ref="G193">MMS_Poultry_ManureAppliedToSoils_Equations.VEERG_4_6_1_9__1_MassOfNitrogenAppliedToSoilsScope1(G26,_xlfn.XLOOKUP($E193, $D$41:$D$49,$E$41:$E$49), _xlfn.XLOOKUP($E193, $D$54:$D$62,$E$54:$E$62), G71,$F174)</f>
        <v>0</v>
      </c>
      <c r="H193" s="52" cm="1">
        <f t="array" ref="H193">MMS_Poultry_ManureAppliedToSoils_Equations.VEERG_4_6_1_9__1_MassOfNitrogenAppliedToSoilsScope1(H26,_xlfn.XLOOKUP($E193, $D$41:$D$49,$E$41:$E$49), _xlfn.XLOOKUP($E193, $D$54:$D$62,$E$54:$E$62), H71,$F174)</f>
        <v>0</v>
      </c>
      <c r="I193" s="52" cm="1">
        <f t="array" ref="I193">MMS_Poultry_ManureAppliedToSoils_Equations.VEERG_4_6_1_9__1_MassOfNitrogenAppliedToSoilsScope1(I26,_xlfn.XLOOKUP($E193, $D$41:$D$49,$E$41:$E$49), _xlfn.XLOOKUP($E193, $D$54:$D$62,$E$54:$E$62), I71,$F174)</f>
        <v>0</v>
      </c>
      <c r="N193" s="52"/>
      <c r="O193" s="52" t="str">
        <f>'Input - Poultry'!$D$42</f>
        <v>Direct application</v>
      </c>
      <c r="P193" s="52" cm="1">
        <f t="array" ref="P193">MMS_Poultry_ManureAppliedToSoils_Equations.VEERG_4_6_1_9__1_MassOfNitrogenAppliedToSoilsScope1(P26,_xlfn.XLOOKUP($O193, $D$41:$D$49,$E$41:$E$49), _xlfn.XLOOKUP($O193, $D$54:$D$62,$E$54:$E$62), P71,$F174)</f>
        <v>0</v>
      </c>
      <c r="Q193" s="52" cm="1">
        <f t="array" ref="Q193">MMS_Poultry_ManureAppliedToSoils_Equations.VEERG_4_6_1_9__1_MassOfNitrogenAppliedToSoilsScope1(Q26,_xlfn.XLOOKUP($O193, $D$41:$D$49,$E$41:$E$49), _xlfn.XLOOKUP($O193, $D$54:$D$62,$E$54:$E$62), Q71,$F174)</f>
        <v>0</v>
      </c>
      <c r="R193" s="52" cm="1">
        <f t="array" ref="R193">MMS_Poultry_ManureAppliedToSoils_Equations.VEERG_4_6_1_9__1_MassOfNitrogenAppliedToSoilsScope1(R26,_xlfn.XLOOKUP($O193, $D$41:$D$49,$E$41:$E$49), _xlfn.XLOOKUP($O193, $D$54:$D$62,$E$54:$E$62), R71,$F174)</f>
        <v>0</v>
      </c>
      <c r="S193" s="52" cm="1">
        <f t="array" ref="S193">MMS_Poultry_ManureAppliedToSoils_Equations.VEERG_4_6_1_9__1_MassOfNitrogenAppliedToSoilsScope1(S26,_xlfn.XLOOKUP($O193, $D$41:$D$49,$E$41:$E$49), _xlfn.XLOOKUP($O193, $D$54:$D$62,$E$54:$E$62), S71,$F174)</f>
        <v>0</v>
      </c>
    </row>
    <row r="194" spans="4:20" ht="20.100000000000001" customHeight="1" x14ac:dyDescent="0.25">
      <c r="D194" s="52" t="str">
        <f>'Input - Poultry'!$D$31</f>
        <v>Belt manure removal</v>
      </c>
      <c r="E194" s="52" t="str">
        <f>'Input - Poultry'!$D$45</f>
        <v>Solid storage</v>
      </c>
      <c r="F194" s="52" cm="1">
        <f t="array" ref="F194">MMS_Poultry_ManureAppliedToSoils_Equations.VEERG_4_6_1_9__1_MassOfNitrogenAppliedToSoilsScope1(F27,_xlfn.XLOOKUP($E194, $D$41:$D$49,$E$41:$E$49), _xlfn.XLOOKUP($E194, $D$54:$D$62,$E$54:$E$62), F72,$F175)</f>
        <v>0.18747551940000004</v>
      </c>
      <c r="G194" s="52" cm="1">
        <f t="array" ref="G194">MMS_Poultry_ManureAppliedToSoils_Equations.VEERG_4_6_1_9__1_MassOfNitrogenAppliedToSoilsScope1(G27,_xlfn.XLOOKUP($E194, $D$41:$D$49,$E$41:$E$49), _xlfn.XLOOKUP($E194, $D$54:$D$62,$E$54:$E$62), G72,$F175)</f>
        <v>0.20010862637999999</v>
      </c>
      <c r="H194" s="52" cm="1">
        <f t="array" ref="H194">MMS_Poultry_ManureAppliedToSoils_Equations.VEERG_4_6_1_9__1_MassOfNitrogenAppliedToSoilsScope1(H27,_xlfn.XLOOKUP($E194, $D$41:$D$49,$E$41:$E$49), _xlfn.XLOOKUP($E194, $D$54:$D$62,$E$54:$E$62), H72,$F175)</f>
        <v>0.23489777063999998</v>
      </c>
      <c r="I194" s="52" cm="1">
        <f t="array" ref="I194">MMS_Poultry_ManureAppliedToSoils_Equations.VEERG_4_6_1_9__1_MassOfNitrogenAppliedToSoilsScope1(I27,_xlfn.XLOOKUP($E194, $D$41:$D$49,$E$41:$E$49), _xlfn.XLOOKUP($E194, $D$54:$D$62,$E$54:$E$62), I72,$F175)</f>
        <v>0.20010862637999999</v>
      </c>
      <c r="J194" s="2"/>
      <c r="N194" s="52" t="str">
        <f>'Input - Poultry'!$D$31</f>
        <v>Belt manure removal</v>
      </c>
      <c r="O194" s="52" t="str">
        <f>'Input - Poultry'!$D$45</f>
        <v>Solid storage</v>
      </c>
      <c r="P194" s="52" cm="1">
        <f t="array" ref="P194">MMS_Poultry_ManureAppliedToSoils_Equations.VEERG_4_6_1_9__1_MassOfNitrogenAppliedToSoilsScope1(P27,_xlfn.XLOOKUP($O194, $D$41:$D$49,$E$41:$E$49), _xlfn.XLOOKUP($O194, $D$54:$D$62,$E$54:$E$62), P72,$F175)</f>
        <v>0.18747551940000004</v>
      </c>
      <c r="Q194" s="52" cm="1">
        <f t="array" ref="Q194">MMS_Poultry_ManureAppliedToSoils_Equations.VEERG_4_6_1_9__1_MassOfNitrogenAppliedToSoilsScope1(Q27,_xlfn.XLOOKUP($O194, $D$41:$D$49,$E$41:$E$49), _xlfn.XLOOKUP($O194, $D$54:$D$62,$E$54:$E$62), Q72,$F175)</f>
        <v>0.20010862637999999</v>
      </c>
      <c r="R194" s="52" cm="1">
        <f t="array" ref="R194">MMS_Poultry_ManureAppliedToSoils_Equations.VEERG_4_6_1_9__1_MassOfNitrogenAppliedToSoilsScope1(R27,_xlfn.XLOOKUP($O194, $D$41:$D$49,$E$41:$E$49), _xlfn.XLOOKUP($O194, $D$54:$D$62,$E$54:$E$62), R72,$F175)</f>
        <v>0.23489777063999998</v>
      </c>
      <c r="S194" s="52"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2"/>
      <c r="E195" s="52" t="str">
        <f>'Input - Poultry'!$D$46</f>
        <v>Composting (passive windrow)</v>
      </c>
      <c r="F195" s="52" cm="1">
        <f t="array" ref="F195">MMS_Poultry_ManureAppliedToSoils_Equations.VEERG_4_6_1_9__1_MassOfNitrogenAppliedToSoilsScope1(F28,_xlfn.XLOOKUP($E195, $D$41:$D$49,$E$41:$E$49), _xlfn.XLOOKUP($E195, $D$54:$D$62,$E$54:$E$62), F73,$F176)</f>
        <v>0.19110407784000005</v>
      </c>
      <c r="G195" s="52" cm="1">
        <f t="array" ref="G195">MMS_Poultry_ManureAppliedToSoils_Equations.VEERG_4_6_1_9__1_MassOfNitrogenAppliedToSoilsScope1(G28,_xlfn.XLOOKUP($E195, $D$41:$D$49,$E$41:$E$49), _xlfn.XLOOKUP($E195, $D$54:$D$62,$E$54:$E$62), G73,$F176)</f>
        <v>0.20398169656800003</v>
      </c>
      <c r="H195" s="52" cm="1">
        <f t="array" ref="H195">MMS_Poultry_ManureAppliedToSoils_Equations.VEERG_4_6_1_9__1_MassOfNitrogenAppliedToSoilsScope1(H28,_xlfn.XLOOKUP($E195, $D$41:$D$49,$E$41:$E$49), _xlfn.XLOOKUP($E195, $D$54:$D$62,$E$54:$E$62), H73,$F176)</f>
        <v>0.23944417910400001</v>
      </c>
      <c r="I195" s="52" cm="1">
        <f t="array" ref="I195">MMS_Poultry_ManureAppliedToSoils_Equations.VEERG_4_6_1_9__1_MassOfNitrogenAppliedToSoilsScope1(I28,_xlfn.XLOOKUP($E195, $D$41:$D$49,$E$41:$E$49), _xlfn.XLOOKUP($E195, $D$54:$D$62,$E$54:$E$62), I73,$F176)</f>
        <v>0.20398169656800003</v>
      </c>
      <c r="J195" s="2"/>
      <c r="N195" s="52"/>
      <c r="O195" s="52" t="str">
        <f>'Input - Poultry'!$D$46</f>
        <v>Composting (passive windrow)</v>
      </c>
      <c r="P195" s="52" cm="1">
        <f t="array" ref="P195">MMS_Poultry_ManureAppliedToSoils_Equations.VEERG_4_6_1_9__1_MassOfNitrogenAppliedToSoilsScope1(P28,_xlfn.XLOOKUP($O195, $D$41:$D$49,$E$41:$E$49), _xlfn.XLOOKUP($O195, $D$54:$D$62,$E$54:$E$62), P73,$F176)</f>
        <v>0.19110407784000005</v>
      </c>
      <c r="Q195" s="52" cm="1">
        <f t="array" ref="Q195">MMS_Poultry_ManureAppliedToSoils_Equations.VEERG_4_6_1_9__1_MassOfNitrogenAppliedToSoilsScope1(Q28,_xlfn.XLOOKUP($O195, $D$41:$D$49,$E$41:$E$49), _xlfn.XLOOKUP($O195, $D$54:$D$62,$E$54:$E$62), Q73,$F176)</f>
        <v>0.20398169656800003</v>
      </c>
      <c r="R195" s="52" cm="1">
        <f t="array" ref="R195">MMS_Poultry_ManureAppliedToSoils_Equations.VEERG_4_6_1_9__1_MassOfNitrogenAppliedToSoilsScope1(R28,_xlfn.XLOOKUP($O195, $D$41:$D$49,$E$41:$E$49), _xlfn.XLOOKUP($O195, $D$54:$D$62,$E$54:$E$62), R73,$F176)</f>
        <v>0.23944417910400001</v>
      </c>
      <c r="S195" s="52"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2"/>
      <c r="E196" s="52" t="str">
        <f>'Input - Poultry'!$D$47</f>
        <v>Digester / covered lagoons</v>
      </c>
      <c r="F196" s="52" cm="1">
        <f t="array" ref="F196">MMS_Poultry_ManureAppliedToSoils_Equations.VEERG_4_6_1_9__1_MassOfNitrogenAppliedToSoilsScope1(F29,_xlfn.XLOOKUP($E196, $D$41:$D$49,$E$41:$E$49), _xlfn.XLOOKUP($E196, $D$54:$D$62,$E$54:$E$62), F74,$F177)</f>
        <v>0.24190389600000006</v>
      </c>
      <c r="G196" s="52" cm="1">
        <f t="array" ref="G196">MMS_Poultry_ManureAppliedToSoils_Equations.VEERG_4_6_1_9__1_MassOfNitrogenAppliedToSoilsScope1(G29,_xlfn.XLOOKUP($E196, $D$41:$D$49,$E$41:$E$49), _xlfn.XLOOKUP($E196, $D$54:$D$62,$E$54:$E$62), G74,$F177)</f>
        <v>0.25820467920000001</v>
      </c>
      <c r="H196" s="52" cm="1">
        <f t="array" ref="H196">MMS_Poultry_ManureAppliedToSoils_Equations.VEERG_4_6_1_9__1_MassOfNitrogenAppliedToSoilsScope1(H29,_xlfn.XLOOKUP($E196, $D$41:$D$49,$E$41:$E$49), _xlfn.XLOOKUP($E196, $D$54:$D$62,$E$54:$E$62), H74,$F177)</f>
        <v>0.3030938976</v>
      </c>
      <c r="I196" s="52" cm="1">
        <f t="array" ref="I196">MMS_Poultry_ManureAppliedToSoils_Equations.VEERG_4_6_1_9__1_MassOfNitrogenAppliedToSoilsScope1(I29,_xlfn.XLOOKUP($E196, $D$41:$D$49,$E$41:$E$49), _xlfn.XLOOKUP($E196, $D$54:$D$62,$E$54:$E$62), I74,$F177)</f>
        <v>0.25820467920000001</v>
      </c>
      <c r="J196" s="2"/>
      <c r="N196" s="52"/>
      <c r="O196" s="52" t="str">
        <f>'Input - Poultry'!$D$47</f>
        <v>Digester / covered lagoons</v>
      </c>
      <c r="P196" s="52" cm="1">
        <f t="array" ref="P196">MMS_Poultry_ManureAppliedToSoils_Equations.VEERG_4_6_1_9__1_MassOfNitrogenAppliedToSoilsScope1(P29,_xlfn.XLOOKUP($O196, $D$41:$D$49,$E$41:$E$49), _xlfn.XLOOKUP($O196, $D$54:$D$62,$E$54:$E$62), P74,$F177)</f>
        <v>0.24190389600000006</v>
      </c>
      <c r="Q196" s="52" cm="1">
        <f t="array" ref="Q196">MMS_Poultry_ManureAppliedToSoils_Equations.VEERG_4_6_1_9__1_MassOfNitrogenAppliedToSoilsScope1(Q29,_xlfn.XLOOKUP($O196, $D$41:$D$49,$E$41:$E$49), _xlfn.XLOOKUP($O196, $D$54:$D$62,$E$54:$E$62), Q74,$F177)</f>
        <v>0.25820467920000001</v>
      </c>
      <c r="R196" s="52" cm="1">
        <f t="array" ref="R196">MMS_Poultry_ManureAppliedToSoils_Equations.VEERG_4_6_1_9__1_MassOfNitrogenAppliedToSoilsScope1(R29,_xlfn.XLOOKUP($O196, $D$41:$D$49,$E$41:$E$49), _xlfn.XLOOKUP($O196, $D$54:$D$62,$E$54:$E$62), R74,$F177)</f>
        <v>0.3030938976</v>
      </c>
      <c r="S196" s="52"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2"/>
      <c r="E197" s="52" t="str">
        <f>'Input - Poultry'!$D$48</f>
        <v>Direct processing</v>
      </c>
      <c r="F197" s="52" cm="1">
        <f t="array" ref="F197">MMS_Poultry_ManureAppliedToSoils_Equations.VEERG_4_6_1_9__1_MassOfNitrogenAppliedToSoilsScope1(F30,_xlfn.XLOOKUP($E197, $D$41:$D$49,$E$41:$E$49), _xlfn.XLOOKUP($E197, $D$54:$D$62,$E$54:$E$62), F75,$F178)</f>
        <v>0.24190389600000006</v>
      </c>
      <c r="G197" s="52" cm="1">
        <f t="array" ref="G197">MMS_Poultry_ManureAppliedToSoils_Equations.VEERG_4_6_1_9__1_MassOfNitrogenAppliedToSoilsScope1(G30,_xlfn.XLOOKUP($E197, $D$41:$D$49,$E$41:$E$49), _xlfn.XLOOKUP($E197, $D$54:$D$62,$E$54:$E$62), G75,$F178)</f>
        <v>0.25820467920000001</v>
      </c>
      <c r="H197" s="52" cm="1">
        <f t="array" ref="H197">MMS_Poultry_ManureAppliedToSoils_Equations.VEERG_4_6_1_9__1_MassOfNitrogenAppliedToSoilsScope1(H30,_xlfn.XLOOKUP($E197, $D$41:$D$49,$E$41:$E$49), _xlfn.XLOOKUP($E197, $D$54:$D$62,$E$54:$E$62), H75,$F178)</f>
        <v>0.3030938976</v>
      </c>
      <c r="I197" s="52" cm="1">
        <f t="array" ref="I197">MMS_Poultry_ManureAppliedToSoils_Equations.VEERG_4_6_1_9__1_MassOfNitrogenAppliedToSoilsScope1(I30,_xlfn.XLOOKUP($E197, $D$41:$D$49,$E$41:$E$49), _xlfn.XLOOKUP($E197, $D$54:$D$62,$E$54:$E$62), I75,$F178)</f>
        <v>0.25820467920000001</v>
      </c>
      <c r="J197" s="2"/>
      <c r="N197" s="52"/>
      <c r="O197" s="52" t="str">
        <f>'Input - Poultry'!$D$48</f>
        <v>Direct processing</v>
      </c>
      <c r="P197" s="52" cm="1">
        <f t="array" ref="P197">MMS_Poultry_ManureAppliedToSoils_Equations.VEERG_4_6_1_9__1_MassOfNitrogenAppliedToSoilsScope1(P30,_xlfn.XLOOKUP($O197, $D$41:$D$49,$E$41:$E$49), _xlfn.XLOOKUP($O197, $D$54:$D$62,$E$54:$E$62), P75,$F178)</f>
        <v>0.24190389600000006</v>
      </c>
      <c r="Q197" s="52" cm="1">
        <f t="array" ref="Q197">MMS_Poultry_ManureAppliedToSoils_Equations.VEERG_4_6_1_9__1_MassOfNitrogenAppliedToSoilsScope1(Q30,_xlfn.XLOOKUP($O197, $D$41:$D$49,$E$41:$E$49), _xlfn.XLOOKUP($O197, $D$54:$D$62,$E$54:$E$62), Q75,$F178)</f>
        <v>0.25820467920000001</v>
      </c>
      <c r="R197" s="52" cm="1">
        <f t="array" ref="R197">MMS_Poultry_ManureAppliedToSoils_Equations.VEERG_4_6_1_9__1_MassOfNitrogenAppliedToSoilsScope1(R30,_xlfn.XLOOKUP($O197, $D$41:$D$49,$E$41:$E$49), _xlfn.XLOOKUP($O197, $D$54:$D$62,$E$54:$E$62), R75,$F178)</f>
        <v>0.3030938976</v>
      </c>
      <c r="S197" s="52"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2"/>
      <c r="E198" s="52" t="str">
        <f>'Input - Poultry'!$D$49</f>
        <v>Direct application</v>
      </c>
      <c r="F198" s="52" cm="1">
        <f t="array" ref="F198">MMS_Poultry_ManureAppliedToSoils_Equations.VEERG_4_6_1_9__1_MassOfNitrogenAppliedToSoilsScope1(F31,_xlfn.XLOOKUP($E198, $D$41:$D$49,$E$41:$E$49), _xlfn.XLOOKUP($E198, $D$54:$D$62,$E$54:$E$62), F76,$F179)</f>
        <v>0</v>
      </c>
      <c r="G198" s="52" cm="1">
        <f t="array" ref="G198">MMS_Poultry_ManureAppliedToSoils_Equations.VEERG_4_6_1_9__1_MassOfNitrogenAppliedToSoilsScope1(G31,_xlfn.XLOOKUP($E198, $D$41:$D$49,$E$41:$E$49), _xlfn.XLOOKUP($E198, $D$54:$D$62,$E$54:$E$62), G76,$F179)</f>
        <v>0</v>
      </c>
      <c r="H198" s="52" cm="1">
        <f t="array" ref="H198">MMS_Poultry_ManureAppliedToSoils_Equations.VEERG_4_6_1_9__1_MassOfNitrogenAppliedToSoilsScope1(H31,_xlfn.XLOOKUP($E198, $D$41:$D$49,$E$41:$E$49), _xlfn.XLOOKUP($E198, $D$54:$D$62,$E$54:$E$62), H76,$F179)</f>
        <v>0</v>
      </c>
      <c r="I198" s="52" cm="1">
        <f t="array" ref="I198">MMS_Poultry_ManureAppliedToSoils_Equations.VEERG_4_6_1_9__1_MassOfNitrogenAppliedToSoilsScope1(I31,_xlfn.XLOOKUP($E198, $D$41:$D$49,$E$41:$E$49), _xlfn.XLOOKUP($E198, $D$54:$D$62,$E$54:$E$62), I76,$F179)</f>
        <v>0</v>
      </c>
      <c r="N198" s="52"/>
      <c r="O198" s="52" t="str">
        <f>'Input - Poultry'!$D$49</f>
        <v>Direct application</v>
      </c>
      <c r="P198" s="52" cm="1">
        <f t="array" ref="P198">MMS_Poultry_ManureAppliedToSoils_Equations.VEERG_4_6_1_9__1_MassOfNitrogenAppliedToSoilsScope1(P31,_xlfn.XLOOKUP($O198, $D$41:$D$49,$E$41:$E$49), _xlfn.XLOOKUP($O198, $D$54:$D$62,$E$54:$E$62), P76,$F179)</f>
        <v>0</v>
      </c>
      <c r="Q198" s="52" cm="1">
        <f t="array" ref="Q198">MMS_Poultry_ManureAppliedToSoils_Equations.VEERG_4_6_1_9__1_MassOfNitrogenAppliedToSoilsScope1(Q31,_xlfn.XLOOKUP($O198, $D$41:$D$49,$E$41:$E$49), _xlfn.XLOOKUP($O198, $D$54:$D$62,$E$54:$E$62), Q76,$F179)</f>
        <v>0</v>
      </c>
      <c r="R198" s="52" cm="1">
        <f t="array" ref="R198">MMS_Poultry_ManureAppliedToSoils_Equations.VEERG_4_6_1_9__1_MassOfNitrogenAppliedToSoilsScope1(R31,_xlfn.XLOOKUP($O198, $D$41:$D$49,$E$41:$E$49), _xlfn.XLOOKUP($O198, $D$54:$D$62,$E$54:$E$62), R76,$F179)</f>
        <v>0</v>
      </c>
      <c r="S198" s="52" cm="1">
        <f t="array" ref="S198">MMS_Poultry_ManureAppliedToSoils_Equations.VEERG_4_6_1_9__1_MassOfNitrogenAppliedToSoilsScope1(S31,_xlfn.XLOOKUP($O198, $D$41:$D$49,$E$41:$E$49), _xlfn.XLOOKUP($O198, $D$54:$D$62,$E$54:$E$62), S76,$F179)</f>
        <v>0</v>
      </c>
    </row>
    <row r="199" spans="4:20" ht="20.100000000000001" customHeight="1" x14ac:dyDescent="0.25">
      <c r="D199" s="52" t="str">
        <f>'Input - Poultry'!$D$32</f>
        <v>Manure stored in house</v>
      </c>
      <c r="E199" s="52" t="str">
        <f>'Input - Poultry'!$D$52</f>
        <v>Solid storage</v>
      </c>
      <c r="F199" s="52" cm="1">
        <f t="array" ref="F199">MMS_Poultry_ManureAppliedToSoils_Equations.VEERG_4_6_1_9__1_MassOfNitrogenAppliedToSoilsScope1(F32,_xlfn.XLOOKUP($E199, $D$41:$D$49,$E$41:$E$49), _xlfn.XLOOKUP($E199, $D$54:$D$62,$E$54:$E$62), F77,$F180)</f>
        <v>0.11833280940000002</v>
      </c>
      <c r="G199" s="52" cm="1">
        <f t="array" ref="G199">MMS_Poultry_ManureAppliedToSoils_Equations.VEERG_4_6_1_9__1_MassOfNitrogenAppliedToSoilsScope1(G32,_xlfn.XLOOKUP($E199, $D$41:$D$49,$E$41:$E$49), _xlfn.XLOOKUP($E199, $D$54:$D$62,$E$54:$E$62), G77,$F180)</f>
        <v>0.12630670937999997</v>
      </c>
      <c r="H199" s="52" cm="1">
        <f t="array" ref="H199">MMS_Poultry_ManureAppliedToSoils_Equations.VEERG_4_6_1_9__1_MassOfNitrogenAppliedToSoilsScope1(H32,_xlfn.XLOOKUP($E199, $D$41:$D$49,$E$41:$E$49), _xlfn.XLOOKUP($E199, $D$54:$D$62,$E$54:$E$62), H77,$F180)</f>
        <v>0.14826529463999996</v>
      </c>
      <c r="I199" s="52" cm="1">
        <f t="array" ref="I199">MMS_Poultry_ManureAppliedToSoils_Equations.VEERG_4_6_1_9__1_MassOfNitrogenAppliedToSoilsScope1(I32,_xlfn.XLOOKUP($E199, $D$41:$D$49,$E$41:$E$49), _xlfn.XLOOKUP($E199, $D$54:$D$62,$E$54:$E$62), I77,$F180)</f>
        <v>0.12630670937999997</v>
      </c>
      <c r="J199" s="2"/>
      <c r="N199" s="52" t="str">
        <f>'Input - Poultry'!$D$32</f>
        <v>Manure stored in house</v>
      </c>
      <c r="O199" s="52" t="str">
        <f>'Input - Poultry'!$D$52</f>
        <v>Solid storage</v>
      </c>
      <c r="P199" s="52" cm="1">
        <f t="array" ref="P199">MMS_Poultry_ManureAppliedToSoils_Equations.VEERG_4_6_1_9__1_MassOfNitrogenAppliedToSoilsScope1(P32,_xlfn.XLOOKUP($O199, $D$41:$D$49,$E$41:$E$49), _xlfn.XLOOKUP($O199, $D$54:$D$62,$E$54:$E$62), P77,$F180)</f>
        <v>0.11833280940000002</v>
      </c>
      <c r="Q199" s="52" cm="1">
        <f t="array" ref="Q199">MMS_Poultry_ManureAppliedToSoils_Equations.VEERG_4_6_1_9__1_MassOfNitrogenAppliedToSoilsScope1(Q32,_xlfn.XLOOKUP($O199, $D$41:$D$49,$E$41:$E$49), _xlfn.XLOOKUP($O199, $D$54:$D$62,$E$54:$E$62), Q77,$F180)</f>
        <v>0.12630670937999997</v>
      </c>
      <c r="R199" s="52" cm="1">
        <f t="array" ref="R199">MMS_Poultry_ManureAppliedToSoils_Equations.VEERG_4_6_1_9__1_MassOfNitrogenAppliedToSoilsScope1(R32,_xlfn.XLOOKUP($O199, $D$41:$D$49,$E$41:$E$49), _xlfn.XLOOKUP($O199, $D$54:$D$62,$E$54:$E$62), R77,$F180)</f>
        <v>0.14826529463999996</v>
      </c>
      <c r="S199" s="52"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2"/>
      <c r="E200" s="52" t="str">
        <f>'Input - Poultry'!$D$53</f>
        <v>Composting (passive windrow)</v>
      </c>
      <c r="F200" s="52" cm="1">
        <f t="array" ref="F200">MMS_Poultry_ManureAppliedToSoils_Equations.VEERG_4_6_1_9__1_MassOfNitrogenAppliedToSoilsScope1(F33,_xlfn.XLOOKUP($E200, $D$41:$D$49,$E$41:$E$49), _xlfn.XLOOKUP($E200, $D$54:$D$62,$E$54:$E$62), F78,$F181)</f>
        <v>0.12062312184000003</v>
      </c>
      <c r="G200" s="52" cm="1">
        <f t="array" ref="G200">MMS_Poultry_ManureAppliedToSoils_Equations.VEERG_4_6_1_9__1_MassOfNitrogenAppliedToSoilsScope1(G33,_xlfn.XLOOKUP($E200, $D$41:$D$49,$E$41:$E$49), _xlfn.XLOOKUP($E200, $D$54:$D$62,$E$54:$E$62), G78,$F181)</f>
        <v>0.128751355368</v>
      </c>
      <c r="H200" s="52" cm="1">
        <f t="array" ref="H200">MMS_Poultry_ManureAppliedToSoils_Equations.VEERG_4_6_1_9__1_MassOfNitrogenAppliedToSoilsScope1(H33,_xlfn.XLOOKUP($E200, $D$41:$D$49,$E$41:$E$49), _xlfn.XLOOKUP($E200, $D$54:$D$62,$E$54:$E$62), H78,$F181)</f>
        <v>0.15113494550399997</v>
      </c>
      <c r="I200" s="52" cm="1">
        <f t="array" ref="I200">MMS_Poultry_ManureAppliedToSoils_Equations.VEERG_4_6_1_9__1_MassOfNitrogenAppliedToSoilsScope1(I33,_xlfn.XLOOKUP($E200, $D$41:$D$49,$E$41:$E$49), _xlfn.XLOOKUP($E200, $D$54:$D$62,$E$54:$E$62), I78,$F181)</f>
        <v>0.128751355368</v>
      </c>
      <c r="J200" s="2"/>
      <c r="N200" s="52"/>
      <c r="O200" s="52" t="str">
        <f>'Input - Poultry'!$D$53</f>
        <v>Composting (passive windrow)</v>
      </c>
      <c r="P200" s="52" cm="1">
        <f t="array" ref="P200">MMS_Poultry_ManureAppliedToSoils_Equations.VEERG_4_6_1_9__1_MassOfNitrogenAppliedToSoilsScope1(P33,_xlfn.XLOOKUP($O200, $D$41:$D$49,$E$41:$E$49), _xlfn.XLOOKUP($O200, $D$54:$D$62,$E$54:$E$62), P78,$F181)</f>
        <v>0.12062312184000003</v>
      </c>
      <c r="Q200" s="52" cm="1">
        <f t="array" ref="Q200">MMS_Poultry_ManureAppliedToSoils_Equations.VEERG_4_6_1_9__1_MassOfNitrogenAppliedToSoilsScope1(Q33,_xlfn.XLOOKUP($O200, $D$41:$D$49,$E$41:$E$49), _xlfn.XLOOKUP($O200, $D$54:$D$62,$E$54:$E$62), Q78,$F181)</f>
        <v>0.128751355368</v>
      </c>
      <c r="R200" s="52" cm="1">
        <f t="array" ref="R200">MMS_Poultry_ManureAppliedToSoils_Equations.VEERG_4_6_1_9__1_MassOfNitrogenAppliedToSoilsScope1(R33,_xlfn.XLOOKUP($O200, $D$41:$D$49,$E$41:$E$49), _xlfn.XLOOKUP($O200, $D$54:$D$62,$E$54:$E$62), R78,$F181)</f>
        <v>0.15113494550399997</v>
      </c>
      <c r="S200" s="52"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2"/>
      <c r="E201" s="52" t="str">
        <f>'Input - Poultry'!$D$54</f>
        <v>Digester / covered lagoons</v>
      </c>
      <c r="F201" s="52" cm="1">
        <f t="array" ref="F201">MMS_Poultry_ManureAppliedToSoils_Equations.VEERG_4_6_1_9__1_MassOfNitrogenAppliedToSoilsScope1(F34,_xlfn.XLOOKUP($E201, $D$41:$D$49,$E$41:$E$49), _xlfn.XLOOKUP($E201, $D$54:$D$62,$E$54:$E$62), F79,$F182)</f>
        <v>0.15268749600000003</v>
      </c>
      <c r="G201" s="52" cm="1">
        <f t="array" ref="G201">MMS_Poultry_ManureAppliedToSoils_Equations.VEERG_4_6_1_9__1_MassOfNitrogenAppliedToSoilsScope1(G34,_xlfn.XLOOKUP($E201, $D$41:$D$49,$E$41:$E$49), _xlfn.XLOOKUP($E201, $D$54:$D$62,$E$54:$E$62), G79,$F182)</f>
        <v>0.16297639919999998</v>
      </c>
      <c r="H201" s="52" cm="1">
        <f t="array" ref="H201">MMS_Poultry_ManureAppliedToSoils_Equations.VEERG_4_6_1_9__1_MassOfNitrogenAppliedToSoilsScope1(H34,_xlfn.XLOOKUP($E201, $D$41:$D$49,$E$41:$E$49), _xlfn.XLOOKUP($E201, $D$54:$D$62,$E$54:$E$62), H79,$F182)</f>
        <v>0.19131005759999997</v>
      </c>
      <c r="I201" s="52" cm="1">
        <f t="array" ref="I201">MMS_Poultry_ManureAppliedToSoils_Equations.VEERG_4_6_1_9__1_MassOfNitrogenAppliedToSoilsScope1(I34,_xlfn.XLOOKUP($E201, $D$41:$D$49,$E$41:$E$49), _xlfn.XLOOKUP($E201, $D$54:$D$62,$E$54:$E$62), I79,$F182)</f>
        <v>0.16297639919999998</v>
      </c>
      <c r="J201" s="2"/>
      <c r="N201" s="52"/>
      <c r="O201" s="52" t="str">
        <f>'Input - Poultry'!$D$54</f>
        <v>Digester / covered lagoons</v>
      </c>
      <c r="P201" s="52" cm="1">
        <f t="array" ref="P201">MMS_Poultry_ManureAppliedToSoils_Equations.VEERG_4_6_1_9__1_MassOfNitrogenAppliedToSoilsScope1(P34,_xlfn.XLOOKUP($O201, $D$41:$D$49,$E$41:$E$49), _xlfn.XLOOKUP($O201, $D$54:$D$62,$E$54:$E$62), P79,$F182)</f>
        <v>0.15268749600000003</v>
      </c>
      <c r="Q201" s="52" cm="1">
        <f t="array" ref="Q201">MMS_Poultry_ManureAppliedToSoils_Equations.VEERG_4_6_1_9__1_MassOfNitrogenAppliedToSoilsScope1(Q34,_xlfn.XLOOKUP($O201, $D$41:$D$49,$E$41:$E$49), _xlfn.XLOOKUP($O201, $D$54:$D$62,$E$54:$E$62), Q79,$F182)</f>
        <v>0.16297639919999998</v>
      </c>
      <c r="R201" s="52" cm="1">
        <f t="array" ref="R201">MMS_Poultry_ManureAppliedToSoils_Equations.VEERG_4_6_1_9__1_MassOfNitrogenAppliedToSoilsScope1(R34,_xlfn.XLOOKUP($O201, $D$41:$D$49,$E$41:$E$49), _xlfn.XLOOKUP($O201, $D$54:$D$62,$E$54:$E$62), R79,$F182)</f>
        <v>0.19131005759999997</v>
      </c>
      <c r="S201" s="52"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2"/>
      <c r="E202" s="52" t="str">
        <f>'Input - Poultry'!$D$55</f>
        <v>Direct processing</v>
      </c>
      <c r="F202" s="52" cm="1">
        <f t="array" ref="F202">MMS_Poultry_ManureAppliedToSoils_Equations.VEERG_4_6_1_9__1_MassOfNitrogenAppliedToSoilsScope1(F35,_xlfn.XLOOKUP($E202, $D$41:$D$49,$E$41:$E$49), _xlfn.XLOOKUP($E202, $D$54:$D$62,$E$54:$E$62), F80,$F183)</f>
        <v>0.15268749600000003</v>
      </c>
      <c r="G202" s="52" cm="1">
        <f t="array" ref="G202">MMS_Poultry_ManureAppliedToSoils_Equations.VEERG_4_6_1_9__1_MassOfNitrogenAppliedToSoilsScope1(G35,_xlfn.XLOOKUP($E202, $D$41:$D$49,$E$41:$E$49), _xlfn.XLOOKUP($E202, $D$54:$D$62,$E$54:$E$62), G80,$F183)</f>
        <v>0.16297639919999998</v>
      </c>
      <c r="H202" s="52" cm="1">
        <f t="array" ref="H202">MMS_Poultry_ManureAppliedToSoils_Equations.VEERG_4_6_1_9__1_MassOfNitrogenAppliedToSoilsScope1(H35,_xlfn.XLOOKUP($E202, $D$41:$D$49,$E$41:$E$49), _xlfn.XLOOKUP($E202, $D$54:$D$62,$E$54:$E$62), H80,$F183)</f>
        <v>0.19131005759999997</v>
      </c>
      <c r="I202" s="52" cm="1">
        <f t="array" ref="I202">MMS_Poultry_ManureAppliedToSoils_Equations.VEERG_4_6_1_9__1_MassOfNitrogenAppliedToSoilsScope1(I35,_xlfn.XLOOKUP($E202, $D$41:$D$49,$E$41:$E$49), _xlfn.XLOOKUP($E202, $D$54:$D$62,$E$54:$E$62), I80,$F183)</f>
        <v>0.16297639919999998</v>
      </c>
      <c r="J202" s="2"/>
      <c r="N202" s="52"/>
      <c r="O202" s="52" t="str">
        <f>'Input - Poultry'!$D$55</f>
        <v>Direct processing</v>
      </c>
      <c r="P202" s="52" cm="1">
        <f t="array" ref="P202">MMS_Poultry_ManureAppliedToSoils_Equations.VEERG_4_6_1_9__1_MassOfNitrogenAppliedToSoilsScope1(P35,_xlfn.XLOOKUP($O202, $D$41:$D$49,$E$41:$E$49), _xlfn.XLOOKUP($O202, $D$54:$D$62,$E$54:$E$62), P80,$F183)</f>
        <v>0.15268749600000003</v>
      </c>
      <c r="Q202" s="52" cm="1">
        <f t="array" ref="Q202">MMS_Poultry_ManureAppliedToSoils_Equations.VEERG_4_6_1_9__1_MassOfNitrogenAppliedToSoilsScope1(Q35,_xlfn.XLOOKUP($O202, $D$41:$D$49,$E$41:$E$49), _xlfn.XLOOKUP($O202, $D$54:$D$62,$E$54:$E$62), Q80,$F183)</f>
        <v>0.16297639919999998</v>
      </c>
      <c r="R202" s="52" cm="1">
        <f t="array" ref="R202">MMS_Poultry_ManureAppliedToSoils_Equations.VEERG_4_6_1_9__1_MassOfNitrogenAppliedToSoilsScope1(R35,_xlfn.XLOOKUP($O202, $D$41:$D$49,$E$41:$E$49), _xlfn.XLOOKUP($O202, $D$54:$D$62,$E$54:$E$62), R80,$F183)</f>
        <v>0.19131005759999997</v>
      </c>
      <c r="S202" s="52"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2"/>
      <c r="E203" s="52" t="str">
        <f>'Input - Poultry'!$D$56</f>
        <v>Direct application</v>
      </c>
      <c r="F203" s="52" cm="1">
        <f t="array" ref="F203">MMS_Poultry_ManureAppliedToSoils_Equations.VEERG_4_6_1_9__1_MassOfNitrogenAppliedToSoilsScope1(F36,_xlfn.XLOOKUP($E203, $D$41:$D$49,$E$41:$E$49), _xlfn.XLOOKUP($E203, $D$54:$D$62,$E$54:$E$62), F81,$F184)</f>
        <v>0</v>
      </c>
      <c r="G203" s="52" cm="1">
        <f t="array" ref="G203">MMS_Poultry_ManureAppliedToSoils_Equations.VEERG_4_6_1_9__1_MassOfNitrogenAppliedToSoilsScope1(G36,_xlfn.XLOOKUP($E203, $D$41:$D$49,$E$41:$E$49), _xlfn.XLOOKUP($E203, $D$54:$D$62,$E$54:$E$62), G81,$F184)</f>
        <v>0</v>
      </c>
      <c r="H203" s="52" cm="1">
        <f t="array" ref="H203">MMS_Poultry_ManureAppliedToSoils_Equations.VEERG_4_6_1_9__1_MassOfNitrogenAppliedToSoilsScope1(H36,_xlfn.XLOOKUP($E203, $D$41:$D$49,$E$41:$E$49), _xlfn.XLOOKUP($E203, $D$54:$D$62,$E$54:$E$62), H81,$F184)</f>
        <v>0</v>
      </c>
      <c r="I203" s="52" cm="1">
        <f t="array" ref="I203">MMS_Poultry_ManureAppliedToSoils_Equations.VEERG_4_6_1_9__1_MassOfNitrogenAppliedToSoilsScope1(I36,_xlfn.XLOOKUP($E203, $D$41:$D$49,$E$41:$E$49), _xlfn.XLOOKUP($E203, $D$54:$D$62,$E$54:$E$62), I81,$F184)</f>
        <v>0</v>
      </c>
      <c r="N203" s="52"/>
      <c r="O203" s="52" t="str">
        <f>'Input - Poultry'!$D$56</f>
        <v>Direct application</v>
      </c>
      <c r="P203" s="52" cm="1">
        <f t="array" ref="P203">MMS_Poultry_ManureAppliedToSoils_Equations.VEERG_4_6_1_9__1_MassOfNitrogenAppliedToSoilsScope1(P36,_xlfn.XLOOKUP($O203, $D$41:$D$49,$E$41:$E$49), _xlfn.XLOOKUP($O203, $D$54:$D$62,$E$54:$E$62), P81,$F184)</f>
        <v>0</v>
      </c>
      <c r="Q203" s="52" cm="1">
        <f t="array" ref="Q203">MMS_Poultry_ManureAppliedToSoils_Equations.VEERG_4_6_1_9__1_MassOfNitrogenAppliedToSoilsScope1(Q36,_xlfn.XLOOKUP($O203, $D$41:$D$49,$E$41:$E$49), _xlfn.XLOOKUP($O203, $D$54:$D$62,$E$54:$E$62), Q81,$F184)</f>
        <v>0</v>
      </c>
      <c r="R203" s="52" cm="1">
        <f t="array" ref="R203">MMS_Poultry_ManureAppliedToSoils_Equations.VEERG_4_6_1_9__1_MassOfNitrogenAppliedToSoilsScope1(R36,_xlfn.XLOOKUP($O203, $D$41:$D$49,$E$41:$E$49), _xlfn.XLOOKUP($O203, $D$54:$D$62,$E$54:$E$62), R81,$F184)</f>
        <v>0</v>
      </c>
      <c r="S203" s="52"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9" t="s">
        <v>173</v>
      </c>
      <c r="E205" s="100">
        <f>SUM(F189:I203)</f>
        <v>8.9593892186400037</v>
      </c>
      <c r="F205" s="101" t="str">
        <f>$E$11</f>
        <v>kg N</v>
      </c>
      <c r="N205" s="99" t="s">
        <v>173</v>
      </c>
      <c r="O205" s="100">
        <f>SUM(P189:S203)</f>
        <v>8.9593892186400037</v>
      </c>
      <c r="P205" s="101"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dimension ref="A1:T165"/>
  <sheetViews>
    <sheetView showGridLines="0" workbookViewId="0">
      <selection activeCell="O27" sqref="O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300</v>
      </c>
    </row>
    <row r="2" spans="1:20" s="9" customFormat="1" ht="20.100000000000001" customHeight="1" x14ac:dyDescent="0.25"/>
    <row r="3" spans="1:20" ht="20.100000000000001" customHeight="1" x14ac:dyDescent="0.25">
      <c r="A3" s="17" t="str">
        <f>HYPERLINK("#'Home'!A1", "Home")</f>
        <v>Home</v>
      </c>
      <c r="C3" s="4"/>
      <c r="D3" s="4" t="s">
        <v>94</v>
      </c>
      <c r="E3" s="4"/>
      <c r="F3" s="4"/>
      <c r="G3" s="4"/>
      <c r="H3" s="4"/>
      <c r="I3" s="4"/>
      <c r="J3" s="4"/>
      <c r="K3" s="4"/>
      <c r="M3" s="4"/>
      <c r="N3" s="4" t="s">
        <v>95</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A6" s="16"/>
      <c r="D6" s="5" t="str" cm="1">
        <f t="array" ref="D6">MMS_Poultry_Soil_N2ODirect_Equations.VEERG_4_6_1_10__1_DirectNitrousOxideEmissionsFromPoultryManure_Source()</f>
        <v>VEERG 2026: 4.6.1.10, Equation (1)</v>
      </c>
    </row>
    <row r="7" spans="1:20" ht="20.100000000000001" customHeight="1" x14ac:dyDescent="0.25">
      <c r="A7" s="20" t="s">
        <v>1</v>
      </c>
      <c r="D7" s="13" t="s">
        <v>23</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7" t="str">
        <f>HYPERLINK("#'Input - Site'!A1", "Site")</f>
        <v>Site</v>
      </c>
    </row>
    <row r="9" spans="1:20" ht="20.100000000000001" customHeight="1" x14ac:dyDescent="0.25">
      <c r="A9" s="17" t="str">
        <f>HYPERLINK("#'Input - Poultry'!A1", "Poultry")</f>
        <v>Poultry</v>
      </c>
    </row>
    <row r="10" spans="1:20" ht="20.100000000000001" customHeight="1" x14ac:dyDescent="0.25">
      <c r="A10" s="17"/>
      <c r="D10" s="53" t="s">
        <v>26</v>
      </c>
      <c r="E10" s="1" t="str" cm="1">
        <f t="array" ref="E10">MMS_Poultry_Soil_N2ODirect_Equations.VEERG_4_6_1_10__1_DirectNitrousOxideEmissionsFromPoultryManure_Variable()</f>
        <v>EM_N2OPRPdir</v>
      </c>
    </row>
    <row r="11" spans="1:20" ht="20.100000000000001" customHeight="1" x14ac:dyDescent="0.25">
      <c r="A11" s="19" t="s">
        <v>70</v>
      </c>
      <c r="D11" s="53" t="s">
        <v>16</v>
      </c>
      <c r="E11" s="54" t="str" cm="1">
        <f t="array" ref="E11">MMS_Poultry_Soil_N2ODirect_Equations.VEERG_4_6_1_10__1_DirectNitrousOxideEmissionsFromPoultryManure_Unit()</f>
        <v>t N2O</v>
      </c>
    </row>
    <row r="12" spans="1:20" ht="20.100000000000001" customHeight="1" x14ac:dyDescent="0.25">
      <c r="A12" s="17" t="str">
        <f>HYPERLINK("#'4.6.1.1-2 Methane'!A1", "4.6.1.1-2 Methane")</f>
        <v>4.6.1.1-2 Methane</v>
      </c>
    </row>
    <row r="13" spans="1:20" ht="20.100000000000001" customHeight="1" x14ac:dyDescent="0.25">
      <c r="A13" s="17" t="str">
        <f>HYPERLINK("#'4.6.1.3-4 Direct N20'!A1", "4.6.1.3-4 Direct N2O")</f>
        <v>4.6.1.3-4 Direct N2O</v>
      </c>
      <c r="D13" s="141" t="str" cm="1">
        <f t="array" ref="D13:E15">_xlfn.CHOOSECOLS(MMS_Poultry_Soil_N2ODirect_Equations.VEERG_4_6_1_10__1_DirectNitrousOxideEmissionsFromPoultryManure_Arguments(),1,2)</f>
        <v>MN_jkm14T1</v>
      </c>
      <c r="E13" s="141" t="str">
        <v>mass of nitrogen excreted directly on pasture by poultry class and subclass</v>
      </c>
      <c r="F13" s="141"/>
      <c r="G13" s="141" t="str" cm="1">
        <f t="array" ref="G13:H15">_xlfn.CHOOSECOLS(MMS_Poultry_Soil_N2ODirect_Equations.VEERG_4_6_1_10__1_DirectNitrousOxideEmissionsFromPoultryManure_Arguments(),3,4)</f>
        <v>kg N</v>
      </c>
      <c r="H13" s="140" t="str">
        <v>Calculated from 4.6.1.3 (2)</v>
      </c>
      <c r="I13" s="142" t="str" cm="1">
        <f t="array" aca="1" ref="I13" ca="1">HYPERLINK(Common_InputFunctions.Utility_SourceHyperlink($D$17),$D$17)</f>
        <v>M1_Table_MN_j_k_m-14_T-1</v>
      </c>
    </row>
    <row r="14" spans="1:20" ht="20.100000000000001" customHeight="1" x14ac:dyDescent="0.25">
      <c r="A14" s="17" t="str">
        <f>HYPERLINK("#'4.6.1.5-6 Atmos Dep'!A1", "4.6.1.5-6 Atmospheric deposition")</f>
        <v>4.6.1.5-6 Atmospheric deposition</v>
      </c>
      <c r="D14" s="141" t="str">
        <v>EF_PRP</v>
      </c>
      <c r="E14" s="141" t="str">
        <v>nitrous oxide emission factor for manure deposited on pasture</v>
      </c>
      <c r="F14" s="141"/>
      <c r="G14" s="141" t="str">
        <v>kg N2O-N/kg N deposited</v>
      </c>
      <c r="H14" s="140" t="str">
        <v>Constant</v>
      </c>
      <c r="I14" s="141">
        <f>_xlfn.XLOOKUP(D20,Table_SourceData_Poultry_EFmT[NIR reference],Table_SourceData_Poultry_EFmT[EFmT])</f>
        <v>0.02</v>
      </c>
    </row>
    <row r="15" spans="1:20" ht="20.100000000000001" customHeight="1" x14ac:dyDescent="0.25">
      <c r="A15" s="17" t="str">
        <f>HYPERLINK("#'4.6.1.7-8 Leaching and runoff'!A1", "4.6.1.7-8 Leaching &amp; runoff")</f>
        <v>4.6.1.7-8 Leaching &amp; runoff</v>
      </c>
      <c r="D15" s="141" t="str">
        <v>C_N2O</v>
      </c>
      <c r="E15" s="141" t="str">
        <v>factor to convert elemental mass of N2O to molecular mass</v>
      </c>
      <c r="F15" s="141"/>
      <c r="G15" s="141" t="str">
        <v>ratio</v>
      </c>
      <c r="H15" s="140" t="str">
        <v>Constant</v>
      </c>
      <c r="I15" s="141">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HYPERLINK("#'4.6.1.9 Manure applied to soils'!A1", "4.6.1.9 Manure applied to soils")</f>
        <v>4.6.1.9 Manure applied to soils</v>
      </c>
    </row>
    <row r="17" spans="1:19" ht="20.100000000000001" customHeight="1" x14ac:dyDescent="0.25">
      <c r="A17" s="129" t="str">
        <f>HYPERLINK("#'4.6.1.10-11 Soil direct N2O'!A1", "4.6.1.10-11 Soil direct N2O")</f>
        <v>4.6.1.10-11 Soil direct N2O</v>
      </c>
      <c r="D17" s="98" t="s">
        <v>301</v>
      </c>
      <c r="N17" s="98" t="s">
        <v>301</v>
      </c>
    </row>
    <row r="18" spans="1:19" ht="20.100000000000001" customHeight="1" x14ac:dyDescent="0.25">
      <c r="A18" s="17" t="str">
        <f>HYPERLINK("#'4.6.1.12-13 Soil atmos dep'!A1", "4.6.1.12-13 Soil Atm. deposition")</f>
        <v>4.6.1.12-13 Soil Atm. deposition</v>
      </c>
      <c r="D18" s="97" t="s">
        <v>302</v>
      </c>
      <c r="N18" s="97" t="s">
        <v>303</v>
      </c>
    </row>
    <row r="19" spans="1:19" ht="20.100000000000001" customHeight="1" x14ac:dyDescent="0.25">
      <c r="A19" s="17" t="str">
        <f>HYPERLINK("#'4.6.1.14-15 Soil leach runoff'!A1", "4.6.1.14-15 Soil leach &amp; runoff")</f>
        <v>4.6.1.14-15 Soil leach &amp; runoff</v>
      </c>
      <c r="D19" s="51" t="s">
        <v>133</v>
      </c>
      <c r="E19" s="51" t="s">
        <v>194</v>
      </c>
      <c r="F19" s="51" t="s">
        <v>195</v>
      </c>
      <c r="G19" s="51" t="s">
        <v>207</v>
      </c>
      <c r="H19" s="51" t="s">
        <v>208</v>
      </c>
      <c r="N19" s="51" t="s">
        <v>133</v>
      </c>
      <c r="O19" s="51" t="s">
        <v>194</v>
      </c>
      <c r="P19" s="51" t="s">
        <v>195</v>
      </c>
      <c r="Q19" s="51" t="s">
        <v>207</v>
      </c>
      <c r="R19" s="51" t="s">
        <v>208</v>
      </c>
    </row>
    <row r="20" spans="1:19" ht="20.100000000000001" customHeight="1" x14ac:dyDescent="0.25">
      <c r="D20" s="52" t="str">
        <f>'Input - Poultry'!$D$33</f>
        <v>Pasture range and paddock</v>
      </c>
      <c r="E20" s="52">
        <f>'4.6.1.3-4 Direct N20'!E111</f>
        <v>1.6993600000000004</v>
      </c>
      <c r="F20" s="52">
        <f>'4.6.1.3-4 Direct N20'!F111</f>
        <v>1.8138719999999999</v>
      </c>
      <c r="G20" s="52">
        <f>'4.6.1.3-4 Direct N20'!G111</f>
        <v>2.129216</v>
      </c>
      <c r="H20" s="52">
        <f>'4.6.1.3-4 Direct N20'!H111</f>
        <v>1.8138719999999999</v>
      </c>
      <c r="I20" s="2" t="str">
        <f>$G$13</f>
        <v>kg N</v>
      </c>
      <c r="J20" s="2"/>
      <c r="N20" s="52" t="str">
        <f>'Input - Poultry'!$D$33</f>
        <v>Pasture range and paddock</v>
      </c>
      <c r="O20" s="52">
        <f>'4.6.1.3-4 Direct N20'!O111</f>
        <v>1.6993600000000004</v>
      </c>
      <c r="P20" s="52">
        <f>'4.6.1.3-4 Direct N20'!P111</f>
        <v>1.8138719999999999</v>
      </c>
      <c r="Q20" s="52">
        <f>'4.6.1.3-4 Direct N20'!Q111</f>
        <v>2.129216</v>
      </c>
      <c r="R20" s="52">
        <f>'4.6.1.3-4 Direct N20'!R111</f>
        <v>1.8138719999999999</v>
      </c>
      <c r="S20" s="2" t="str">
        <f>$G$13</f>
        <v>kg N</v>
      </c>
    </row>
    <row r="21" spans="1:19" ht="20.100000000000001" customHeight="1" x14ac:dyDescent="0.25">
      <c r="A21" s="18" t="s">
        <v>2</v>
      </c>
    </row>
    <row r="22" spans="1:19" ht="20.100000000000001" customHeight="1" x14ac:dyDescent="0.25">
      <c r="A22" s="17" t="str">
        <f>HYPERLINK("#'Constants - Poultry'!A1", "Constants - Poultry")</f>
        <v>Constants - Poultry</v>
      </c>
      <c r="D22" s="98" t="s">
        <v>304</v>
      </c>
      <c r="N22" s="98" t="s">
        <v>304</v>
      </c>
    </row>
    <row r="23" spans="1:19" ht="20.100000000000001" customHeight="1" x14ac:dyDescent="0.25">
      <c r="A23" s="17" t="str">
        <f>HYPERLINK("#'Constants - Livestock'!A1", "Constants - Livestock")</f>
        <v>Constants - Livestock</v>
      </c>
      <c r="D23" s="97" t="s">
        <v>305</v>
      </c>
      <c r="N23" s="97" t="s">
        <v>305</v>
      </c>
    </row>
    <row r="24" spans="1:19" ht="20.100000000000001" customHeight="1" x14ac:dyDescent="0.25">
      <c r="A24" s="17" t="str">
        <f>HYPERLINK("#'Constants - Common'!A1", "Constants - Common")</f>
        <v>Constants - Common</v>
      </c>
      <c r="D24" s="51" t="s">
        <v>133</v>
      </c>
      <c r="E24" s="51" t="s">
        <v>194</v>
      </c>
      <c r="F24" s="51" t="s">
        <v>195</v>
      </c>
      <c r="G24" s="51" t="s">
        <v>207</v>
      </c>
      <c r="H24" s="51" t="s">
        <v>208</v>
      </c>
      <c r="N24" s="51" t="s">
        <v>133</v>
      </c>
      <c r="O24" s="51" t="s">
        <v>194</v>
      </c>
      <c r="P24" s="51" t="s">
        <v>195</v>
      </c>
      <c r="Q24" s="51" t="s">
        <v>207</v>
      </c>
      <c r="R24" s="51" t="s">
        <v>208</v>
      </c>
    </row>
    <row r="25" spans="1:19" ht="20.100000000000001" customHeight="1" x14ac:dyDescent="0.25">
      <c r="A25" s="17"/>
      <c r="D25" s="52" t="str">
        <f>'Input - Poultry'!$D$33</f>
        <v>Pasture range and paddock</v>
      </c>
      <c r="E25" s="52" cm="1">
        <f t="array" ref="E25">MMS_Poultry_Soil_N2ODirect_Equations.VEERG_4_6_1_10__1_DirectNitrousOxideEmissionsFromPoultryManure(E20,$I$14,$I$15)</f>
        <v>5.3408457142857159E-5</v>
      </c>
      <c r="F25" s="52" cm="1">
        <f t="array" ref="F25">MMS_Poultry_Soil_N2ODirect_Equations.VEERG_4_6_1_10__1_DirectNitrousOxideEmissionsFromPoultryManure(F20,$I$14,$I$15)</f>
        <v>5.700740571428572E-5</v>
      </c>
      <c r="G25" s="52" cm="1">
        <f t="array" ref="G25">MMS_Poultry_Soil_N2ODirect_Equations.VEERG_4_6_1_10__1_DirectNitrousOxideEmissionsFromPoultryManure(G20,$I$14,$I$15)</f>
        <v>6.6918217142857147E-5</v>
      </c>
      <c r="H25" s="52" cm="1">
        <f t="array" ref="H25">MMS_Poultry_Soil_N2ODirect_Equations.VEERG_4_6_1_10__1_DirectNitrousOxideEmissionsFromPoultryManure(H20,$I$14,$I$15)</f>
        <v>5.700740571428572E-5</v>
      </c>
      <c r="I25" s="2" t="str">
        <f>$E$11</f>
        <v>t N2O</v>
      </c>
      <c r="J25" s="2"/>
      <c r="N25" s="52" t="str">
        <f>'Input - Poultry'!$D$33</f>
        <v>Pasture range and paddock</v>
      </c>
      <c r="O25" s="52" cm="1">
        <f t="array" ref="O25">MMS_Poultry_Soil_N2ODirect_Equations.VEERG_4_6_1_10__1_DirectNitrousOxideEmissionsFromPoultryManure(O20,$I$14,$I$15)</f>
        <v>5.3408457142857159E-5</v>
      </c>
      <c r="P25" s="52" cm="1">
        <f t="array" ref="P25">MMS_Poultry_Soil_N2ODirect_Equations.VEERG_4_6_1_10__1_DirectNitrousOxideEmissionsFromPoultryManure(P20,$I$14,$I$15)</f>
        <v>5.700740571428572E-5</v>
      </c>
      <c r="Q25" s="52" cm="1">
        <f t="array" ref="Q25">MMS_Poultry_Soil_N2ODirect_Equations.VEERG_4_6_1_10__1_DirectNitrousOxideEmissionsFromPoultryManure(Q20,$I$14,$I$15)</f>
        <v>6.6918217142857147E-5</v>
      </c>
      <c r="R25" s="52" cm="1">
        <f t="array" ref="R25">MMS_Poultry_Soil_N2ODirect_Equations.VEERG_4_6_1_10__1_DirectNitrousOxideEmissionsFromPoultryManure(R20,$I$14,$I$15)</f>
        <v>5.700740571428572E-5</v>
      </c>
      <c r="S25" s="2" t="s">
        <v>157</v>
      </c>
    </row>
    <row r="26" spans="1:19" ht="20.100000000000001" customHeight="1" x14ac:dyDescent="0.25"/>
    <row r="27" spans="1:19" ht="20.100000000000001" customHeight="1" x14ac:dyDescent="0.25">
      <c r="D27" s="99" t="s">
        <v>306</v>
      </c>
      <c r="E27" s="100">
        <f>SUM(E25:H25)</f>
        <v>2.3434148571428574E-4</v>
      </c>
      <c r="F27" s="101" t="str">
        <f>$E$11</f>
        <v>t N2O</v>
      </c>
      <c r="N27" s="99" t="s">
        <v>306</v>
      </c>
      <c r="O27" s="100">
        <f>SUM(O25:R25)</f>
        <v>2.3434148571428574E-4</v>
      </c>
      <c r="P27" s="101" t="str">
        <f>$E$11</f>
        <v>t N2O</v>
      </c>
    </row>
    <row r="28" spans="1:19" ht="20.100000000000001" customHeight="1" x14ac:dyDescent="0.25"/>
    <row r="29" spans="1:19" ht="20.100000000000001" customHeight="1" x14ac:dyDescent="0.25">
      <c r="D29" s="57" t="str" cm="1">
        <f t="array" ref="D29:E30">Common_Equations.Common_ConvertN2OToCO2e_Arguments()</f>
        <v>EN2O</v>
      </c>
      <c r="E29" s="58" t="str">
        <v>Nitrous oxide emissions (t N2O)</v>
      </c>
      <c r="F29" s="102"/>
      <c r="G29" s="52">
        <f>E27</f>
        <v>2.3434148571428574E-4</v>
      </c>
      <c r="N29" s="57" t="str" cm="1">
        <f t="array" ref="N29:O30">Common_Equations.Common_ConvertN2OToCO2e_Arguments()</f>
        <v>EN2O</v>
      </c>
      <c r="O29" s="58" t="str">
        <v>Nitrous oxide emissions (t N2O)</v>
      </c>
      <c r="P29" s="102"/>
      <c r="Q29" s="52">
        <f>O27</f>
        <v>2.3434148571428574E-4</v>
      </c>
    </row>
    <row r="30" spans="1:19" ht="20.100000000000001" customHeight="1" x14ac:dyDescent="0.25">
      <c r="D30" s="57" t="str">
        <v>GWPN2O</v>
      </c>
      <c r="E30" s="58" t="str">
        <v>Global warming potential for nitrous oxide (t CO2-e / t N2O)</v>
      </c>
      <c r="F30" s="102"/>
      <c r="G30" s="52">
        <v>265</v>
      </c>
      <c r="N30" s="57" t="str">
        <v>GWPN2O</v>
      </c>
      <c r="O30" s="58" t="str">
        <v>Global warming potential for nitrous oxide (t CO2-e / t N2O)</v>
      </c>
      <c r="P30" s="102"/>
      <c r="Q30" s="52">
        <v>265</v>
      </c>
    </row>
    <row r="31" spans="1:19" ht="20.100000000000001" customHeight="1" x14ac:dyDescent="0.25"/>
    <row r="32" spans="1:19" ht="20.100000000000001" customHeight="1" x14ac:dyDescent="0.25">
      <c r="D32" s="45" t="s">
        <v>93</v>
      </c>
      <c r="E32" s="45" cm="1">
        <f t="array" ref="E32">Common_Equations.Common_ConvertN2OToCO2e(G29,G30)</f>
        <v>6.2100493714285721E-2</v>
      </c>
      <c r="F32" s="103" t="str" cm="1">
        <f t="array" ref="F32">Common_Equations.Common_ConvertN2OToCO2e_Unit()</f>
        <v>t CO2e</v>
      </c>
      <c r="N32" s="45" t="s">
        <v>93</v>
      </c>
      <c r="O32" s="45" cm="1">
        <f t="array" ref="O32">Common_Equations.Common_ConvertN2OToCO2e(Q29,Q30)</f>
        <v>6.2100493714285721E-2</v>
      </c>
      <c r="P32" s="103"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dimension ref="A1:S165"/>
  <sheetViews>
    <sheetView showGridLines="0" topLeftCell="A19" workbookViewId="0">
      <selection activeCell="N45" sqref="N4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307</v>
      </c>
    </row>
    <row r="2" spans="1:19" s="9" customFormat="1" ht="20.100000000000001" customHeight="1" x14ac:dyDescent="0.25"/>
    <row r="3" spans="1:19" ht="20.100000000000001" customHeight="1" x14ac:dyDescent="0.25">
      <c r="A3" s="17" t="str">
        <f>HYPERLINK("#'Home'!A1", "Home")</f>
        <v>Home</v>
      </c>
      <c r="C3" s="4"/>
      <c r="D3" s="4" t="s">
        <v>94</v>
      </c>
      <c r="E3" s="4"/>
      <c r="F3" s="4"/>
      <c r="G3" s="4"/>
      <c r="H3" s="4"/>
      <c r="I3" s="4"/>
      <c r="J3" s="4"/>
      <c r="L3" s="4"/>
      <c r="M3" s="4" t="s">
        <v>95</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A6" s="16"/>
      <c r="D6" s="5" t="str" cm="1">
        <f t="array" ref="D6">MMS_Poultry_Soil_AtmosphericDeposition_Equations.VEERG_4_6_1_12__2_MassOfNitrogenVolatilisedFromPoultryManureOnPasture_Source()</f>
        <v>VEERG 2026: 4.6.1.12, Equation (2)</v>
      </c>
    </row>
    <row r="7" spans="1:19" ht="20.100000000000001" customHeight="1" x14ac:dyDescent="0.25">
      <c r="A7" s="20" t="s">
        <v>1</v>
      </c>
      <c r="D7" s="13" t="s">
        <v>23</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7" t="str">
        <f>HYPERLINK("#'Input - Site'!A1", "Site")</f>
        <v>Site</v>
      </c>
    </row>
    <row r="9" spans="1:19" ht="20.100000000000001" customHeight="1" x14ac:dyDescent="0.25">
      <c r="A9" s="17" t="str">
        <f>HYPERLINK("#'Input - Poultry'!A1", "Poultry")</f>
        <v>Poultry</v>
      </c>
    </row>
    <row r="10" spans="1:19" ht="20.100000000000001" customHeight="1" x14ac:dyDescent="0.25">
      <c r="A10" s="17"/>
      <c r="D10" s="53" t="s">
        <v>26</v>
      </c>
      <c r="E10" s="1" t="str" cm="1">
        <f t="array" ref="E10">MMS_Poultry_Soil_AtmosphericDeposition_Equations.VEERG_4_6_1_12__2_MassOfNitrogenVolatilisedFromPoultryManureOnPasture_Variable()</f>
        <v>M_vol_m14</v>
      </c>
    </row>
    <row r="11" spans="1:19" ht="20.100000000000001" customHeight="1" x14ac:dyDescent="0.25">
      <c r="A11" s="19" t="s">
        <v>70</v>
      </c>
      <c r="D11" s="53" t="s">
        <v>16</v>
      </c>
      <c r="E11" s="54" t="str" cm="1">
        <f t="array" ref="E11">MMS_Poultry_Soil_AtmosphericDeposition_Equations.VEERG_4_6_1_12__2_MassOfNitrogenVolatilisedFromPoultryManureOnPasture_Unit()</f>
        <v>kg N</v>
      </c>
    </row>
    <row r="12" spans="1:19" ht="20.100000000000001" customHeight="1" x14ac:dyDescent="0.25">
      <c r="A12" s="17" t="str">
        <f>HYPERLINK("#'4.6.1.1-2 Methane'!A1", "4.6.1.1-2 Methane")</f>
        <v>4.6.1.1-2 Methane</v>
      </c>
    </row>
    <row r="13" spans="1:19" ht="20.100000000000001" customHeight="1" x14ac:dyDescent="0.25">
      <c r="A13" s="17" t="str">
        <f>HYPERLINK("#'4.6.1.3-4 Direct N20'!A1", "4.6.1.3-4 Direct N2O")</f>
        <v>4.6.1.3-4 Direct N2O</v>
      </c>
      <c r="D13" s="141" t="str" cm="1">
        <f t="array" ref="D13:E14">_xlfn.CHOOSECOLS(MMS_Poultry_Soil_AtmosphericDeposition_Equations.VEERG_4_6_1_12__2_MassOfNitrogenVolatilisedFromPoultryManureOnPasture_Arguments(),1,2)</f>
        <v>MN_jkm14T1</v>
      </c>
      <c r="E13" s="141" t="str">
        <v>mass of nitrogen excreted directly on pasture by poultry class and subclass</v>
      </c>
      <c r="F13" s="141"/>
      <c r="G13" s="141" t="str" cm="1">
        <f t="array" ref="G13:H14">_xlfn.CHOOSECOLS(MMS_Poultry_Soil_AtmosphericDeposition_Equations.VEERG_4_6_1_12__2_MassOfNitrogenVolatilisedFromPoultryManureOnPasture_Arguments(),3,4)</f>
        <v>kg N</v>
      </c>
      <c r="H13" s="140" t="str">
        <v>Calculated from 4.6.1.3 (2)</v>
      </c>
      <c r="I13" s="142" t="str" cm="1">
        <f t="array" aca="1" ref="I13" ca="1">HYPERLINK(Common_InputFunctions.Utility_SourceHyperlink($D$16),$D$16)</f>
        <v>M1_Table_MN_j_k_m-14_T-1</v>
      </c>
    </row>
    <row r="14" spans="1:19" ht="20.100000000000001" customHeight="1" x14ac:dyDescent="0.25">
      <c r="A14" s="17" t="str">
        <f>HYPERLINK("#'4.6.1.5-6 Atmos Dep'!A1", "4.6.1.5-6 Atmospheric deposition")</f>
        <v>4.6.1.5-6 Atmospheric deposition</v>
      </c>
      <c r="D14" s="141" t="str">
        <v>FracGASMsoil</v>
      </c>
      <c r="E14" s="141" t="str">
        <v>fraction of nitrogen volatilised from manure deposited on pasture</v>
      </c>
      <c r="F14" s="141"/>
      <c r="G14" s="141" t="str">
        <v>(kg NH3-N + NOx-N)/kg N</v>
      </c>
      <c r="H14" s="140" t="str">
        <v>Constant</v>
      </c>
      <c r="I14" s="141">
        <f>'Constants - Poultry'!$E$115</f>
        <v>0.21</v>
      </c>
    </row>
    <row r="15" spans="1:19" ht="20.100000000000001" customHeight="1" x14ac:dyDescent="0.25">
      <c r="A15" s="17" t="str">
        <f>HYPERLINK("#'4.6.1.7-8 Leaching and runoff'!A1", "4.6.1.7-8 Leaching &amp; runoff")</f>
        <v>4.6.1.7-8 Leaching &amp; runoff</v>
      </c>
    </row>
    <row r="16" spans="1:19" ht="20.100000000000001" customHeight="1" x14ac:dyDescent="0.25">
      <c r="A16" s="17" t="str">
        <f>HYPERLINK("#'4.6.1.9 Manure applied to soils'!A1", "4.6.1.9 Manure applied to soils")</f>
        <v>4.6.1.9 Manure applied to soils</v>
      </c>
      <c r="D16" s="98" t="s">
        <v>301</v>
      </c>
      <c r="M16" s="98" t="s">
        <v>308</v>
      </c>
    </row>
    <row r="17" spans="1:19" ht="20.100000000000001" customHeight="1" x14ac:dyDescent="0.25">
      <c r="A17" s="17" t="str">
        <f>HYPERLINK("#'4.6.1.10-11 Soil direct N2O'!A1", "4.6.1.10-11 Soil direct N2O")</f>
        <v>4.6.1.10-11 Soil direct N2O</v>
      </c>
      <c r="D17" s="97" t="s">
        <v>302</v>
      </c>
      <c r="M17" s="97" t="s">
        <v>303</v>
      </c>
    </row>
    <row r="18" spans="1:19" ht="20.100000000000001" customHeight="1" x14ac:dyDescent="0.25">
      <c r="A18" s="129" t="str">
        <f>HYPERLINK("#'4.6.1.12-13 Soil atmos dep'!A1", "4.6.1.12-13 Soil Atm. deposition")</f>
        <v>4.6.1.12-13 Soil Atm. deposition</v>
      </c>
      <c r="D18" s="51" t="s">
        <v>133</v>
      </c>
      <c r="E18" s="51" t="s">
        <v>194</v>
      </c>
      <c r="F18" s="51" t="s">
        <v>195</v>
      </c>
      <c r="G18" s="51" t="s">
        <v>207</v>
      </c>
      <c r="H18" s="51" t="s">
        <v>208</v>
      </c>
      <c r="M18" s="51" t="s">
        <v>133</v>
      </c>
      <c r="N18" s="51" t="s">
        <v>194</v>
      </c>
      <c r="O18" s="51" t="s">
        <v>195</v>
      </c>
      <c r="P18" s="51" t="s">
        <v>207</v>
      </c>
      <c r="Q18" s="51" t="s">
        <v>208</v>
      </c>
    </row>
    <row r="19" spans="1:19" ht="20.100000000000001" customHeight="1" x14ac:dyDescent="0.25">
      <c r="A19" s="17" t="str">
        <f>HYPERLINK("#'4.6.1.14-15 Soil leach runoff'!A1", "4.6.1.14-15 Soil leach &amp; runoff")</f>
        <v>4.6.1.14-15 Soil leach &amp; runoff</v>
      </c>
      <c r="D19" s="52" t="str">
        <f>'Input - Poultry'!$D$33</f>
        <v>Pasture range and paddock</v>
      </c>
      <c r="E19" s="52">
        <f>'4.6.1.3-4 Direct N20'!E111</f>
        <v>1.6993600000000004</v>
      </c>
      <c r="F19" s="52">
        <f>'4.6.1.3-4 Direct N20'!F111</f>
        <v>1.8138719999999999</v>
      </c>
      <c r="G19" s="52">
        <f>'4.6.1.3-4 Direct N20'!G111</f>
        <v>2.129216</v>
      </c>
      <c r="H19" s="52">
        <f>'4.6.1.3-4 Direct N20'!H111</f>
        <v>1.8138719999999999</v>
      </c>
      <c r="I19" s="2" t="str">
        <f>$G$13</f>
        <v>kg N</v>
      </c>
      <c r="M19" s="52" t="str">
        <f>'Input - Poultry'!$D$33</f>
        <v>Pasture range and paddock</v>
      </c>
      <c r="N19" s="52">
        <f>'4.6.1.3-4 Direct N20'!O111</f>
        <v>1.6993600000000004</v>
      </c>
      <c r="O19" s="52">
        <f>'4.6.1.3-4 Direct N20'!P111</f>
        <v>1.8138719999999999</v>
      </c>
      <c r="P19" s="52">
        <f>'4.6.1.3-4 Direct N20'!Q111</f>
        <v>2.129216</v>
      </c>
      <c r="Q19" s="52">
        <f>'4.6.1.3-4 Direct N20'!R111</f>
        <v>1.8138719999999999</v>
      </c>
      <c r="R19" s="2" t="str">
        <f>$G$13</f>
        <v>kg N</v>
      </c>
    </row>
    <row r="20" spans="1:19" ht="20.100000000000001" customHeight="1" x14ac:dyDescent="0.25"/>
    <row r="21" spans="1:19" ht="20.100000000000001" customHeight="1" x14ac:dyDescent="0.25">
      <c r="A21" s="18" t="s">
        <v>2</v>
      </c>
      <c r="D21" s="98" t="s">
        <v>309</v>
      </c>
      <c r="M21" s="98" t="s">
        <v>309</v>
      </c>
    </row>
    <row r="22" spans="1:19" ht="20.100000000000001" customHeight="1" x14ac:dyDescent="0.25">
      <c r="A22" s="17" t="str">
        <f>HYPERLINK("#'Constants - Poultry'!A1", "Constants - Poultry")</f>
        <v>Constants - Poultry</v>
      </c>
      <c r="D22" s="97" t="s">
        <v>302</v>
      </c>
      <c r="M22" s="97" t="s">
        <v>302</v>
      </c>
    </row>
    <row r="23" spans="1:19" ht="20.100000000000001" customHeight="1" x14ac:dyDescent="0.25">
      <c r="A23" s="17" t="str">
        <f>HYPERLINK("#'Constants - Livestock'!A1", "Constants - Livestock")</f>
        <v>Constants - Livestock</v>
      </c>
      <c r="D23" s="51" t="s">
        <v>133</v>
      </c>
      <c r="E23" s="51" t="s">
        <v>194</v>
      </c>
      <c r="F23" s="51" t="s">
        <v>195</v>
      </c>
      <c r="G23" s="51" t="s">
        <v>207</v>
      </c>
      <c r="H23" s="51" t="s">
        <v>208</v>
      </c>
      <c r="M23" s="51" t="s">
        <v>133</v>
      </c>
      <c r="N23" s="51" t="s">
        <v>194</v>
      </c>
      <c r="O23" s="51" t="s">
        <v>195</v>
      </c>
      <c r="P23" s="51" t="s">
        <v>207</v>
      </c>
      <c r="Q23" s="51" t="s">
        <v>208</v>
      </c>
    </row>
    <row r="24" spans="1:19" ht="20.100000000000001" customHeight="1" x14ac:dyDescent="0.25">
      <c r="A24" s="17" t="str">
        <f>HYPERLINK("#'Constants - Common'!A1", "Constants - Common")</f>
        <v>Constants - Common</v>
      </c>
      <c r="D24" s="52" t="str">
        <f>'Input - Poultry'!$D$33</f>
        <v>Pasture range and paddock</v>
      </c>
      <c r="E24" s="52" cm="1">
        <f t="array" ref="E24">MMS_Poultry_Soil_AtmosphericDeposition_Equations.VEERG_4_6_1_12__2_MassOfNitrogenVolatilisedFromPoultryManureOnPasture(E19,$I$14)</f>
        <v>0.35686560000000006</v>
      </c>
      <c r="F24" s="52" cm="1">
        <f t="array" ref="F24">MMS_Poultry_Soil_AtmosphericDeposition_Equations.VEERG_4_6_1_12__2_MassOfNitrogenVolatilisedFromPoultryManureOnPasture(F19,$I$14)</f>
        <v>0.38091311999999999</v>
      </c>
      <c r="G24" s="52" cm="1">
        <f t="array" ref="G24">MMS_Poultry_Soil_AtmosphericDeposition_Equations.VEERG_4_6_1_12__2_MassOfNitrogenVolatilisedFromPoultryManureOnPasture(G19,$I$14)</f>
        <v>0.44713535999999998</v>
      </c>
      <c r="H24" s="52" cm="1">
        <f t="array" ref="H24">MMS_Poultry_Soil_AtmosphericDeposition_Equations.VEERG_4_6_1_12__2_MassOfNitrogenVolatilisedFromPoultryManureOnPasture(H19,$I$14)</f>
        <v>0.38091311999999999</v>
      </c>
      <c r="I24" s="2" t="str">
        <f>$E$11</f>
        <v>kg N</v>
      </c>
      <c r="M24" s="52" t="str">
        <f>'Input - Poultry'!$D$33</f>
        <v>Pasture range and paddock</v>
      </c>
      <c r="N24" s="52" cm="1">
        <f t="array" ref="N24">MMS_Poultry_Soil_AtmosphericDeposition_Equations.VEERG_4_6_1_12__2_MassOfNitrogenVolatilisedFromPoultryManureOnPasture(N19,$I$14)</f>
        <v>0.35686560000000006</v>
      </c>
      <c r="O24" s="52" cm="1">
        <f t="array" ref="O24">MMS_Poultry_Soil_AtmosphericDeposition_Equations.VEERG_4_6_1_12__2_MassOfNitrogenVolatilisedFromPoultryManureOnPasture(O19,$I$14)</f>
        <v>0.38091311999999999</v>
      </c>
      <c r="P24" s="52" cm="1">
        <f t="array" ref="P24">MMS_Poultry_Soil_AtmosphericDeposition_Equations.VEERG_4_6_1_12__2_MassOfNitrogenVolatilisedFromPoultryManureOnPasture(P19,$I$14)</f>
        <v>0.44713535999999998</v>
      </c>
      <c r="Q24" s="52"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row>
    <row r="26" spans="1:19" ht="20.100000000000001" customHeight="1" x14ac:dyDescent="0.25">
      <c r="D26" s="107" t="s">
        <v>310</v>
      </c>
      <c r="E26" s="45">
        <f>SUM(E24:H24)</f>
        <v>1.5658272</v>
      </c>
      <c r="F26" s="103" t="str">
        <f>$E$11</f>
        <v>kg N</v>
      </c>
      <c r="M26" s="107" t="s">
        <v>310</v>
      </c>
      <c r="N26" s="45">
        <f>SUM(N24:Q24)</f>
        <v>1.5658272</v>
      </c>
      <c r="O26" s="103" t="str">
        <f>$E$11</f>
        <v>kg N</v>
      </c>
    </row>
    <row r="27" spans="1:19" ht="20.100000000000001" customHeight="1" x14ac:dyDescent="0.25"/>
    <row r="28" spans="1:19" ht="20.100000000000001" customHeight="1" x14ac:dyDescent="0.25"/>
    <row r="29" spans="1:19" ht="20.100000000000001" customHeight="1" x14ac:dyDescent="0.25">
      <c r="C29" s="45"/>
      <c r="D29" s="45"/>
      <c r="E29" s="45"/>
      <c r="F29" s="45"/>
      <c r="G29" s="45"/>
      <c r="H29" s="45"/>
      <c r="I29" s="45"/>
      <c r="J29" s="45"/>
      <c r="L29" s="45"/>
      <c r="M29" s="45"/>
      <c r="N29" s="45"/>
      <c r="O29" s="45"/>
      <c r="P29" s="45"/>
      <c r="Q29" s="45"/>
      <c r="R29" s="45"/>
      <c r="S29" s="45"/>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23</v>
      </c>
      <c r="E32" s="13" t="str" cm="1">
        <f t="array" aca="1" ref="E32" ca="1">Common_InputFunctions.Utility_DisplayFunctionName(E45)</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3" t="s">
        <v>26</v>
      </c>
      <c r="E35" s="1" t="str" cm="1">
        <f t="array" ref="E35">MMS_Poultry_Soil_AtmosphericDeposition_Equations.VEERG_4_6_1_12__1_AtmosphericDepositionEmissionsFromPoultryManureOnPasture_Variable()</f>
        <v>E_N2Oad</v>
      </c>
    </row>
    <row r="36" spans="4:18" ht="20.100000000000001" customHeight="1" x14ac:dyDescent="0.25">
      <c r="D36" s="53" t="s">
        <v>16</v>
      </c>
      <c r="E36" s="54"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41" t="str" cm="1">
        <f t="array" ref="D38:E43">_xlfn.CHOOSECOLS(MMS_Poultry_Soil_AtmosphericDeposition_Equations.VEERG_4_6_1_12__1_AtmosphericDepositionEmissionsFromPoultryManureOnPasture_Arguments(),1,2)</f>
        <v>M_vol_m14</v>
      </c>
      <c r="E38" s="144" t="str">
        <v>mass of nitrogen volatilised from manure deposited on pasture</v>
      </c>
      <c r="F38" s="143"/>
      <c r="G38" s="141" t="str" cm="1">
        <f t="array" ref="G38:H43">_xlfn.CHOOSECOLS(MMS_Poultry_Soil_AtmosphericDeposition_Equations.VEERG_4_6_1_12__1_AtmosphericDepositionEmissionsFromPoultryManureOnPasture_Arguments(),3,4)</f>
        <v>kg N</v>
      </c>
      <c r="H38" s="140" t="str">
        <v>Calculated from 4.6.1.12 (2)</v>
      </c>
      <c r="I38" s="141">
        <f>E26</f>
        <v>1.5658272</v>
      </c>
      <c r="M38" s="141" t="str" cm="1">
        <f t="array" ref="M38:N43">_xlfn.CHOOSECOLS(MMS_Poultry_Soil_AtmosphericDeposition_Equations.VEERG_4_6_1_12__1_AtmosphericDepositionEmissionsFromPoultryManureOnPasture_Arguments(),1,2)</f>
        <v>M_vol_m14</v>
      </c>
      <c r="N38" s="144" t="str">
        <v>mass of nitrogen volatilised from manure deposited on pasture</v>
      </c>
      <c r="O38" s="143"/>
      <c r="P38" s="141" t="str" cm="1">
        <f t="array" ref="P38:Q43">_xlfn.CHOOSECOLS(MMS_Poultry_Soil_AtmosphericDeposition_Equations.VEERG_4_6_1_12__1_AtmosphericDepositionEmissionsFromPoultryManureOnPasture_Arguments(),3,4)</f>
        <v>kg N</v>
      </c>
      <c r="Q38" s="140" t="str">
        <v>Calculated from 4.6.1.12 (2)</v>
      </c>
      <c r="R38" s="57">
        <f>N26</f>
        <v>1.5658272</v>
      </c>
    </row>
    <row r="39" spans="4:18" ht="20.100000000000001" customHeight="1" x14ac:dyDescent="0.25">
      <c r="D39" s="141" t="str">
        <v>EF_N2O</v>
      </c>
      <c r="E39" s="144" t="str">
        <v>emission factor for atmospheric deposition (kg N2O-N/kg N)</v>
      </c>
      <c r="F39" s="143"/>
      <c r="G39" s="141" t="str">
        <v>kg N2O-N/kg N</v>
      </c>
      <c r="H39" s="140" t="str">
        <v>Constant</v>
      </c>
      <c r="I39" s="141">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41" t="str">
        <v>EF_N2O</v>
      </c>
      <c r="N39" s="144" t="str">
        <v>emission factor for atmospheric deposition (kg N2O-N/kg N)</v>
      </c>
      <c r="O39" s="143"/>
      <c r="P39" s="141" t="str">
        <v>kg N2O-N/kg N</v>
      </c>
      <c r="Q39" s="140" t="str">
        <v>Constant</v>
      </c>
      <c r="R39" s="57"/>
    </row>
    <row r="40" spans="4:18" ht="20.100000000000001" customHeight="1" x14ac:dyDescent="0.25">
      <c r="D40" s="141" t="str">
        <v>C_N2O</v>
      </c>
      <c r="E40" s="144" t="str">
        <v>factor to convert elemental mass of N2O to molecular mass</v>
      </c>
      <c r="F40" s="143"/>
      <c r="G40" s="141" t="str">
        <v>ratio</v>
      </c>
      <c r="H40" s="140" t="str">
        <v>Constant</v>
      </c>
      <c r="I40" s="141">
        <f>Common_InputFunctions.Utility_LookupValueInTableNumber("N2O",Table_GasToMolecularConversionFactor[Gas],Table_GasToMolecularConversionFactor[Conversion factor combined])</f>
        <v>1.5714285714285714</v>
      </c>
      <c r="M40" s="141" t="str">
        <v>C_N2O</v>
      </c>
      <c r="N40" s="144" t="str">
        <v>factor to convert elemental mass of N2O to molecular mass</v>
      </c>
      <c r="O40" s="143"/>
      <c r="P40" s="141" t="str">
        <v>ratio</v>
      </c>
      <c r="Q40" s="140" t="str">
        <v>Constant</v>
      </c>
      <c r="R40" s="57"/>
    </row>
    <row r="41" spans="4:18" ht="20.100000000000001" customHeight="1" x14ac:dyDescent="0.25">
      <c r="D41" s="141" t="str">
        <v>j</v>
      </c>
      <c r="E41" s="144" t="str">
        <v>production system</v>
      </c>
      <c r="F41" s="143"/>
      <c r="G41" s="141" t="str">
        <v>dimensionless</v>
      </c>
      <c r="H41" s="139" t="str">
        <v>Input</v>
      </c>
      <c r="I41" s="141" t="str">
        <f>'Input - Poultry'!$E$59</f>
        <v>Crop</v>
      </c>
      <c r="M41" s="141" t="str">
        <v>j</v>
      </c>
      <c r="N41" s="144" t="str">
        <v>production system</v>
      </c>
      <c r="O41" s="143"/>
      <c r="P41" s="141" t="str">
        <v>dimensionless</v>
      </c>
      <c r="Q41" s="139" t="str">
        <v>Input</v>
      </c>
      <c r="R41" s="57"/>
    </row>
    <row r="42" spans="4:18" ht="20.100000000000001" customHeight="1" x14ac:dyDescent="0.25">
      <c r="D42" s="141" t="str">
        <v>ir</v>
      </c>
      <c r="E42" s="144" t="str">
        <v>irrigation method</v>
      </c>
      <c r="F42" s="143"/>
      <c r="G42" s="141" t="str">
        <v>dimensionless</v>
      </c>
      <c r="H42" s="139" t="str">
        <v>Input</v>
      </c>
      <c r="I42" s="141" t="str">
        <f>'Input - Poultry'!$E$60</f>
        <v>Sprinkler Irrigation</v>
      </c>
      <c r="M42" s="141" t="str">
        <v>ir</v>
      </c>
      <c r="N42" s="144" t="str">
        <v>irrigation method</v>
      </c>
      <c r="O42" s="143"/>
      <c r="P42" s="141" t="str">
        <v>dimensionless</v>
      </c>
      <c r="Q42" s="139" t="str">
        <v>Input</v>
      </c>
      <c r="R42" s="57"/>
    </row>
    <row r="43" spans="4:18" ht="20.100000000000001" customHeight="1" x14ac:dyDescent="0.25">
      <c r="D43" s="141" t="str">
        <v>r</v>
      </c>
      <c r="E43" s="144" t="str">
        <v>rainfall region</v>
      </c>
      <c r="F43" s="143"/>
      <c r="G43" s="141" t="str">
        <v>dimensionless</v>
      </c>
      <c r="H43" s="139" t="str">
        <v>Input</v>
      </c>
      <c r="I43" s="141" t="str">
        <f>'Input - Site'!$E$30</f>
        <v>High rainfall</v>
      </c>
      <c r="M43" s="141" t="str">
        <v>r</v>
      </c>
      <c r="N43" s="144" t="str">
        <v>rainfall region</v>
      </c>
      <c r="O43" s="143"/>
      <c r="P43" s="141" t="str">
        <v>dimensionless</v>
      </c>
      <c r="Q43" s="139" t="str">
        <v>Input</v>
      </c>
      <c r="R43" s="57"/>
    </row>
    <row r="44" spans="4:18" ht="20.100000000000001" customHeight="1" x14ac:dyDescent="0.25"/>
    <row r="45" spans="4:18" ht="20.100000000000001" customHeight="1" x14ac:dyDescent="0.25">
      <c r="D45" s="99" t="s">
        <v>283</v>
      </c>
      <c r="E45" s="100" cm="1">
        <f t="array" ref="E45">MMS_Poultry_Soil_AtmosphericDeposition_Equations.VEERG_4_6_1_12__1_AtmosphericDepositionEmissionsFromPoultryManureOnPasture(I38,$I$39,$I$40)</f>
        <v>1.72240992E-5</v>
      </c>
      <c r="F45" s="101" t="str">
        <f>$E$36</f>
        <v>t N2O</v>
      </c>
      <c r="M45" s="99" t="s">
        <v>283</v>
      </c>
      <c r="N45" s="100" cm="1">
        <f t="array" ref="N45">MMS_Poultry_Soil_AtmosphericDeposition_Equations.VEERG_4_6_1_12__1_AtmosphericDepositionEmissionsFromPoultryManureOnPasture(R38,$I$39,$I$40)</f>
        <v>1.72240992E-5</v>
      </c>
      <c r="O45" s="101" t="str">
        <f>$E$36</f>
        <v>t N2O</v>
      </c>
    </row>
    <row r="46" spans="4:18" ht="20.100000000000001" customHeight="1" x14ac:dyDescent="0.25"/>
    <row r="47" spans="4:18" ht="20.100000000000001" customHeight="1" x14ac:dyDescent="0.25">
      <c r="D47" s="57" t="str" cm="1">
        <f t="array" ref="D47:E48">Common_Equations.Common_ConvertN2OToCO2e_Arguments()</f>
        <v>EN2O</v>
      </c>
      <c r="E47" s="58" t="str">
        <v>Nitrous oxide emissions (t N2O)</v>
      </c>
      <c r="F47" s="102"/>
      <c r="G47" s="52">
        <f>E45</f>
        <v>1.72240992E-5</v>
      </c>
      <c r="M47" s="57" t="str" cm="1">
        <f t="array" ref="M47:N48">Common_Equations.Common_ConvertN2OToCO2e_Arguments()</f>
        <v>EN2O</v>
      </c>
      <c r="N47" s="58" t="str">
        <v>Nitrous oxide emissions (t N2O)</v>
      </c>
      <c r="O47" s="102"/>
      <c r="P47" s="52">
        <f>N45</f>
        <v>1.72240992E-5</v>
      </c>
    </row>
    <row r="48" spans="4:18" ht="20.100000000000001" customHeight="1" x14ac:dyDescent="0.25">
      <c r="D48" s="57" t="str">
        <v>GWPN2O</v>
      </c>
      <c r="E48" s="58" t="str">
        <v>Global warming potential for nitrous oxide (t CO2-e / t N2O)</v>
      </c>
      <c r="F48" s="102"/>
      <c r="G48" s="52">
        <v>265</v>
      </c>
      <c r="M48" s="57" t="str">
        <v>GWPN2O</v>
      </c>
      <c r="N48" s="58" t="str">
        <v>Global warming potential for nitrous oxide (t CO2-e / t N2O)</v>
      </c>
      <c r="O48" s="102"/>
      <c r="P48" s="52">
        <v>265</v>
      </c>
    </row>
    <row r="49" spans="4:15" ht="20.100000000000001" customHeight="1" x14ac:dyDescent="0.25"/>
    <row r="50" spans="4:15" ht="20.100000000000001" customHeight="1" x14ac:dyDescent="0.25">
      <c r="D50" s="45" t="s">
        <v>93</v>
      </c>
      <c r="E50" s="45" cm="1">
        <f t="array" ref="E50">Common_Equations.Common_ConvertN2OToCO2e(G47,G48)</f>
        <v>4.5643862879999999E-3</v>
      </c>
      <c r="F50" s="103" t="str" cm="1">
        <f t="array" ref="F50">Common_Equations.Common_ConvertN2OToCO2e_Unit()</f>
        <v>t CO2e</v>
      </c>
      <c r="M50" s="45" t="s">
        <v>93</v>
      </c>
      <c r="N50" s="45" cm="1">
        <f t="array" ref="N50">Common_Equations.Common_ConvertN2OToCO2e(P47,P48)</f>
        <v>4.5643862879999999E-3</v>
      </c>
      <c r="O50" s="103"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dimension ref="A1:U165"/>
  <sheetViews>
    <sheetView showGridLines="0" tabSelected="1" topLeftCell="A24" workbookViewId="0">
      <selection activeCell="O47" sqref="O4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311</v>
      </c>
    </row>
    <row r="2" spans="1:21" s="9" customFormat="1" ht="20.100000000000001" customHeight="1" x14ac:dyDescent="0.25"/>
    <row r="3" spans="1:21" ht="20.100000000000001" customHeight="1" x14ac:dyDescent="0.25">
      <c r="A3" s="17" t="str">
        <f>HYPERLINK("#'Home'!A1", "Home")</f>
        <v>Home</v>
      </c>
      <c r="C3" s="4"/>
      <c r="D3" s="4" t="s">
        <v>94</v>
      </c>
      <c r="E3" s="4"/>
      <c r="F3" s="4"/>
      <c r="G3" s="4"/>
      <c r="H3" s="4"/>
      <c r="I3" s="4"/>
      <c r="J3" s="4"/>
      <c r="K3" s="4"/>
      <c r="M3" s="4"/>
      <c r="N3" s="4" t="s">
        <v>94</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A6" s="16"/>
      <c r="D6" s="5" t="str" cm="1">
        <f t="array" ref="D6">MMS_Poultry_Soil_LeachingAndRunoff_Equations.VEERG_4_6_1_14__2_MassOfNitrogenLostToLeachingAndRunoffFromPoultryManureOnPasture_Source()</f>
        <v>VEERG 2026: 4.6.1.14, Equation (2)</v>
      </c>
    </row>
    <row r="7" spans="1:21" ht="20.100000000000001" customHeight="1" x14ac:dyDescent="0.25">
      <c r="A7" s="20" t="s">
        <v>1</v>
      </c>
      <c r="D7" s="13" t="s">
        <v>23</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7" t="str">
        <f>HYPERLINK("#'Input - Site'!A1", "Site")</f>
        <v>Site</v>
      </c>
    </row>
    <row r="9" spans="1:21" ht="20.100000000000001" customHeight="1" x14ac:dyDescent="0.25">
      <c r="A9" s="17" t="str">
        <f>HYPERLINK("#'Input - Poultry'!A1", "Poultry")</f>
        <v>Poultry</v>
      </c>
    </row>
    <row r="10" spans="1:21" ht="20.100000000000001" customHeight="1" x14ac:dyDescent="0.25">
      <c r="A10" s="17"/>
      <c r="D10" s="53" t="s">
        <v>26</v>
      </c>
      <c r="E10" s="1" t="str" cm="1">
        <f t="array" ref="E10">MMS_Poultry_Soil_LeachingAndRunoff_Equations.VEERG_4_6_1_14__2_MassOfNitrogenLostToLeachingAndRunoffFromPoultryManureOnPasture_Variable()</f>
        <v>M_leach_m14</v>
      </c>
    </row>
    <row r="11" spans="1:21" ht="20.100000000000001" customHeight="1" x14ac:dyDescent="0.25">
      <c r="A11" s="19" t="s">
        <v>70</v>
      </c>
      <c r="D11" s="53" t="s">
        <v>16</v>
      </c>
      <c r="E11" s="54" t="str" cm="1">
        <f t="array" ref="E11">MMS_Poultry_Soil_LeachingAndRunoff_Equations.VEERG_4_6_1_14__2_MassOfNitrogenLostToLeachingAndRunoffFromPoultryManureOnPasture_Unit()</f>
        <v>kg N</v>
      </c>
    </row>
    <row r="12" spans="1:21" ht="20.100000000000001" customHeight="1" x14ac:dyDescent="0.25">
      <c r="A12" s="17" t="str">
        <f>HYPERLINK("#'4.6.1.1-2 Methane'!A1", "4.6.1.1-2 Methane")</f>
        <v>4.6.1.1-2 Methane</v>
      </c>
    </row>
    <row r="13" spans="1:21" ht="20.100000000000001" customHeight="1" x14ac:dyDescent="0.25">
      <c r="A13" s="17" t="str">
        <f>HYPERLINK("#'4.6.1.3-4 Direct N20'!A1", "4.6.1.3-4 Direct N2O")</f>
        <v>4.6.1.3-4 Direct N2O</v>
      </c>
      <c r="D13" s="141" t="str" cm="1">
        <f t="array" ref="D13:E18">_xlfn.CHOOSECOLS(MMS_Poultry_Soil_LeachingAndRunoff_Equations.VEERG_4_6_1_14__2_MassOfNitrogenLostToLeachingAndRunoffFromPoultryManureOnPasture_Arguments(),1,2)</f>
        <v>MN_jkm14T1</v>
      </c>
      <c r="E13" s="144" t="str">
        <v>mass of nitrogen excreted directly on pasture by poultry class and subclass</v>
      </c>
      <c r="F13" s="143"/>
      <c r="G13" s="141" t="str" cm="1">
        <f t="array" ref="G13:H18">_xlfn.CHOOSECOLS(MMS_Poultry_Soil_LeachingAndRunoff_Equations.VEERG_4_6_1_14__2_MassOfNitrogenLostToLeachingAndRunoffFromPoultryManureOnPasture_Arguments(),3,4)</f>
        <v>kg N</v>
      </c>
      <c r="H13" s="140" t="str">
        <v>Calculated from 4.6.1.3 (2)</v>
      </c>
      <c r="I13" s="142" t="str" cm="1">
        <f t="array" aca="1" ref="I13" ca="1">HYPERLINK(Common_InputFunctions.Utility_SourceHyperlink($D$20),$D$20)</f>
        <v>M1_Table_MN_j_k_m-14_T-1</v>
      </c>
    </row>
    <row r="14" spans="1:21" ht="20.100000000000001" customHeight="1" x14ac:dyDescent="0.25">
      <c r="A14" s="17" t="str">
        <f>HYPERLINK("#'4.6.1.5-6 Atmos Dep'!A1", "4.6.1.5-6 Atmospheric deposition")</f>
        <v>4.6.1.5-6 Atmospheric deposition</v>
      </c>
      <c r="D14" s="141" t="str">
        <v>FracWet</v>
      </c>
      <c r="E14" s="144" t="str">
        <v>fraction of N available for leaching and runoff</v>
      </c>
      <c r="F14" s="143"/>
      <c r="G14" s="141" t="str">
        <v>fraction</v>
      </c>
      <c r="H14" s="140" t="str">
        <v>Constant</v>
      </c>
      <c r="I14" s="141">
        <f>Common_InputFunctions.CommonCropping_GetFracWET(I16,I18,#REF!,#REF!,Table_SourceData_FracWETIrrigation[Irrigation type i],Table_SourceData_FracWETIrrigation[FracWET])</f>
        <v>1</v>
      </c>
    </row>
    <row r="15" spans="1:21" ht="20.100000000000001" customHeight="1" x14ac:dyDescent="0.25">
      <c r="A15" s="17" t="str">
        <f>HYPERLINK("#'4.6.1.7-8 Leaching and runoff'!A1", "4.6.1.7-8 Leaching &amp; runoff")</f>
        <v>4.6.1.7-8 Leaching &amp; runoff</v>
      </c>
      <c r="D15" s="141" t="str">
        <v>FracLEACH_MS</v>
      </c>
      <c r="E15" s="144" t="str">
        <v>fraction of N that is lost through leaching and runoff</v>
      </c>
      <c r="F15" s="143"/>
      <c r="G15" s="141" t="str">
        <v>fraction</v>
      </c>
      <c r="H15" s="140" t="str">
        <v>Constant</v>
      </c>
      <c r="I15" s="141">
        <f>'Constants - Poultry'!$E$110</f>
        <v>0.02</v>
      </c>
    </row>
    <row r="16" spans="1:21" ht="20.100000000000001" customHeight="1" x14ac:dyDescent="0.25">
      <c r="A16" s="17" t="str">
        <f>HYPERLINK("#'4.6.1.9 Manure applied to soils'!A1", "4.6.1.9 Manure applied to soils")</f>
        <v>4.6.1.9 Manure applied to soils</v>
      </c>
      <c r="D16" s="141" t="str">
        <v>z</v>
      </c>
      <c r="E16" s="144" t="str">
        <v>location in leaching zone</v>
      </c>
      <c r="F16" s="143"/>
      <c r="G16" s="141" t="str">
        <v/>
      </c>
      <c r="H16" s="139" t="str">
        <v>Input</v>
      </c>
      <c r="I16" s="141" t="str">
        <f>'Input - Site'!$E$23</f>
        <v>NO - Not in leaching zone</v>
      </c>
    </row>
    <row r="17" spans="1:20" ht="20.100000000000001" customHeight="1" x14ac:dyDescent="0.25">
      <c r="A17" s="17" t="str">
        <f>HYPERLINK("#'4.6.1.10-11 Soil direct N2O'!A1", "4.6.1.10-11 Soil direct N2O")</f>
        <v>4.6.1.10-11 Soil direct N2O</v>
      </c>
      <c r="D17" s="141" t="str">
        <v>j</v>
      </c>
      <c r="E17" s="144" t="str">
        <v>production system</v>
      </c>
      <c r="F17" s="143"/>
      <c r="G17" s="141" t="str">
        <v/>
      </c>
      <c r="H17" s="139" t="str">
        <v>Input</v>
      </c>
      <c r="I17" s="141" t="str">
        <f>'Input - Poultry'!$E$59</f>
        <v>Crop</v>
      </c>
    </row>
    <row r="18" spans="1:20" ht="20.100000000000001" customHeight="1" x14ac:dyDescent="0.25">
      <c r="A18" s="17" t="str">
        <f>HYPERLINK("#'4.6.1.12-13 Soil atmos dep'!A1", "4.6.1.12-13 Soil Atm. deposition")</f>
        <v>4.6.1.12-13 Soil Atm. deposition</v>
      </c>
      <c r="D18" s="141" t="str">
        <v>ir</v>
      </c>
      <c r="E18" s="144" t="str">
        <v>irrigation method</v>
      </c>
      <c r="F18" s="143"/>
      <c r="G18" s="141" t="str">
        <v/>
      </c>
      <c r="H18" s="139" t="str">
        <v>Input</v>
      </c>
      <c r="I18" s="141" t="str">
        <f>'Input - Poultry'!$E$60</f>
        <v>Sprinkler Irrigation</v>
      </c>
    </row>
    <row r="19" spans="1:20" ht="20.100000000000001" customHeight="1" x14ac:dyDescent="0.25">
      <c r="A19" s="129" t="str">
        <f>HYPERLINK("#'4.6.1.14-15 Soil leach runoff'!A1", "4.6.1.14-15 Soil leach &amp; runoff")</f>
        <v>4.6.1.14-15 Soil leach &amp; runoff</v>
      </c>
    </row>
    <row r="20" spans="1:20" ht="20.100000000000001" customHeight="1" x14ac:dyDescent="0.25">
      <c r="D20" s="98" t="s">
        <v>301</v>
      </c>
      <c r="N20" s="98" t="s">
        <v>308</v>
      </c>
    </row>
    <row r="21" spans="1:20" ht="20.100000000000001" customHeight="1" x14ac:dyDescent="0.25">
      <c r="A21" s="18" t="s">
        <v>2</v>
      </c>
      <c r="D21" s="97" t="s">
        <v>302</v>
      </c>
      <c r="N21" s="97" t="s">
        <v>303</v>
      </c>
    </row>
    <row r="22" spans="1:20" ht="20.100000000000001" customHeight="1" x14ac:dyDescent="0.25">
      <c r="A22" s="17" t="str">
        <f>HYPERLINK("#'Constants - Poultry'!A1", "Constants - Poultry")</f>
        <v>Constants - Poultry</v>
      </c>
      <c r="D22" s="51" t="s">
        <v>133</v>
      </c>
      <c r="E22" s="51" t="s">
        <v>194</v>
      </c>
      <c r="F22" s="51" t="s">
        <v>195</v>
      </c>
      <c r="G22" s="51" t="s">
        <v>207</v>
      </c>
      <c r="H22" s="51" t="s">
        <v>208</v>
      </c>
      <c r="N22" s="51" t="s">
        <v>133</v>
      </c>
      <c r="O22" s="51" t="s">
        <v>194</v>
      </c>
      <c r="P22" s="51" t="s">
        <v>195</v>
      </c>
      <c r="Q22" s="51" t="s">
        <v>207</v>
      </c>
      <c r="R22" s="51" t="s">
        <v>208</v>
      </c>
    </row>
    <row r="23" spans="1:20" ht="20.100000000000001" customHeight="1" x14ac:dyDescent="0.25">
      <c r="A23" s="17" t="str">
        <f>HYPERLINK("#'Constants - Livestock'!A1", "Constants - Livestock")</f>
        <v>Constants - Livestock</v>
      </c>
      <c r="D23" s="52" t="str">
        <f>'Input - Poultry'!$D$33</f>
        <v>Pasture range and paddock</v>
      </c>
      <c r="E23" s="52">
        <f>'4.6.1.3-4 Direct N20'!E111</f>
        <v>1.6993600000000004</v>
      </c>
      <c r="F23" s="52">
        <f>'4.6.1.3-4 Direct N20'!F111</f>
        <v>1.8138719999999999</v>
      </c>
      <c r="G23" s="52">
        <f>'4.6.1.3-4 Direct N20'!G111</f>
        <v>2.129216</v>
      </c>
      <c r="H23" s="52">
        <f>'4.6.1.3-4 Direct N20'!H111</f>
        <v>1.8138719999999999</v>
      </c>
      <c r="I23" s="2" t="str">
        <f>$G$13</f>
        <v>kg N</v>
      </c>
      <c r="J23" s="2"/>
      <c r="N23" s="52" t="str">
        <f>'Input - Poultry'!$D$33</f>
        <v>Pasture range and paddock</v>
      </c>
      <c r="O23" s="52">
        <f>'4.6.1.3-4 Direct N20'!O111</f>
        <v>1.6993600000000004</v>
      </c>
      <c r="P23" s="52">
        <f>'4.6.1.3-4 Direct N20'!P111</f>
        <v>1.8138719999999999</v>
      </c>
      <c r="Q23" s="52">
        <f>'4.6.1.3-4 Direct N20'!Q111</f>
        <v>2.129216</v>
      </c>
      <c r="R23" s="52">
        <f>'4.6.1.3-4 Direct N20'!R111</f>
        <v>1.8138719999999999</v>
      </c>
      <c r="S23" s="2" t="str">
        <f>$G$13</f>
        <v>kg N</v>
      </c>
      <c r="T23" s="2"/>
    </row>
    <row r="24" spans="1:20" ht="20.100000000000001" customHeight="1" x14ac:dyDescent="0.25">
      <c r="A24" s="17" t="str">
        <f>HYPERLINK("#'Constants - Common'!A1", "Constants - Common")</f>
        <v>Constants - Common</v>
      </c>
    </row>
    <row r="25" spans="1:20" ht="20.100000000000001" customHeight="1" x14ac:dyDescent="0.25">
      <c r="A25" s="17"/>
      <c r="D25" s="98" t="s">
        <v>309</v>
      </c>
      <c r="N25" s="98" t="s">
        <v>313</v>
      </c>
    </row>
    <row r="26" spans="1:20" ht="20.100000000000001" customHeight="1" x14ac:dyDescent="0.25">
      <c r="D26" s="97" t="s">
        <v>302</v>
      </c>
      <c r="N26" s="97" t="s">
        <v>303</v>
      </c>
    </row>
    <row r="27" spans="1:20" ht="20.100000000000001" customHeight="1" x14ac:dyDescent="0.25">
      <c r="D27" s="51" t="s">
        <v>133</v>
      </c>
      <c r="E27" s="51" t="s">
        <v>194</v>
      </c>
      <c r="F27" s="51" t="s">
        <v>195</v>
      </c>
      <c r="G27" s="51" t="s">
        <v>207</v>
      </c>
      <c r="H27" s="51" t="s">
        <v>208</v>
      </c>
      <c r="N27" s="51" t="s">
        <v>133</v>
      </c>
      <c r="O27" s="51" t="s">
        <v>194</v>
      </c>
      <c r="P27" s="51" t="s">
        <v>195</v>
      </c>
      <c r="Q27" s="51" t="s">
        <v>207</v>
      </c>
      <c r="R27" s="51" t="s">
        <v>208</v>
      </c>
    </row>
    <row r="28" spans="1:20" ht="20.100000000000001" customHeight="1" x14ac:dyDescent="0.25">
      <c r="D28" s="52" t="str">
        <f>'Input - Poultry'!$D$33</f>
        <v>Pasture range and paddock</v>
      </c>
      <c r="E28" s="52" cm="1">
        <f t="array" ref="E28">MMS_Poultry_Soil_LeachingAndRunoff_Equations.VEERG_4_6_1_14__2_MassOfNitrogenLostToLeachingAndRunoffFromPoultryManureOnPasture(E23,$I$14,$I$15)</f>
        <v>3.3987200000000009E-2</v>
      </c>
      <c r="F28" s="52" cm="1">
        <f t="array" ref="F28">MMS_Poultry_Soil_LeachingAndRunoff_Equations.VEERG_4_6_1_14__2_MassOfNitrogenLostToLeachingAndRunoffFromPoultryManureOnPasture(F23,$I$14,$I$15)</f>
        <v>3.6277440000000001E-2</v>
      </c>
      <c r="G28" s="52" cm="1">
        <f t="array" ref="G28">MMS_Poultry_Soil_LeachingAndRunoff_Equations.VEERG_4_6_1_14__2_MassOfNitrogenLostToLeachingAndRunoffFromPoultryManureOnPasture(G23,$I$14,$I$15)</f>
        <v>4.2584320000000002E-2</v>
      </c>
      <c r="H28" s="52" cm="1">
        <f t="array" ref="H28">MMS_Poultry_Soil_LeachingAndRunoff_Equations.VEERG_4_6_1_14__2_MassOfNitrogenLostToLeachingAndRunoffFromPoultryManureOnPasture(H23,$I$14,$I$15)</f>
        <v>3.6277440000000001E-2</v>
      </c>
      <c r="I28" s="2" t="str">
        <f>$E$11</f>
        <v>kg N</v>
      </c>
      <c r="J28" s="2"/>
      <c r="N28" s="52" t="str">
        <f>'Input - Poultry'!$D$33</f>
        <v>Pasture range and paddock</v>
      </c>
      <c r="O28" s="52" cm="1">
        <f t="array" ref="O28">MMS_Poultry_Soil_LeachingAndRunoff_Equations.VEERG_4_6_1_14__2_MassOfNitrogenLostToLeachingAndRunoffFromPoultryManureOnPasture(O23,$I$14,$I$15)</f>
        <v>3.3987200000000009E-2</v>
      </c>
      <c r="P28" s="52" cm="1">
        <f t="array" ref="P28">MMS_Poultry_Soil_LeachingAndRunoff_Equations.VEERG_4_6_1_14__2_MassOfNitrogenLostToLeachingAndRunoffFromPoultryManureOnPasture(P23,$I$14,$I$15)</f>
        <v>3.6277440000000001E-2</v>
      </c>
      <c r="Q28" s="52" cm="1">
        <f t="array" ref="Q28">MMS_Poultry_Soil_LeachingAndRunoff_Equations.VEERG_4_6_1_14__2_MassOfNitrogenLostToLeachingAndRunoffFromPoultryManureOnPasture(Q23,$I$14,$I$15)</f>
        <v>4.2584320000000002E-2</v>
      </c>
      <c r="R28" s="52"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7" t="s">
        <v>312</v>
      </c>
      <c r="E30" s="45">
        <f>SUM(E28:H28)</f>
        <v>0.14912640000000002</v>
      </c>
      <c r="F30" s="103" t="str">
        <f>$E$11</f>
        <v>kg N</v>
      </c>
      <c r="N30" s="107" t="s">
        <v>312</v>
      </c>
      <c r="O30" s="45">
        <f>SUM(O28:R28)</f>
        <v>0.14912640000000002</v>
      </c>
      <c r="P30" s="103" t="str">
        <f>$E$11</f>
        <v>kg N</v>
      </c>
    </row>
    <row r="31" spans="1:20" ht="20.100000000000001" customHeight="1" x14ac:dyDescent="0.25"/>
    <row r="32" spans="1:20" ht="20.100000000000001" customHeight="1" x14ac:dyDescent="0.25"/>
    <row r="33" spans="3:21" ht="20.100000000000001" customHeight="1" x14ac:dyDescent="0.25">
      <c r="C33" s="132"/>
      <c r="D33" s="132"/>
      <c r="E33" s="132"/>
      <c r="F33" s="132"/>
      <c r="G33" s="132"/>
      <c r="H33" s="132"/>
      <c r="I33" s="132"/>
      <c r="J33" s="132"/>
      <c r="K33" s="132"/>
      <c r="M33" s="132"/>
      <c r="N33" s="132"/>
      <c r="O33" s="132"/>
      <c r="P33" s="132"/>
      <c r="Q33" s="132"/>
      <c r="R33" s="132"/>
      <c r="S33" s="132"/>
      <c r="T33" s="132"/>
      <c r="U33" s="132"/>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23</v>
      </c>
      <c r="E37" s="13" t="str" cm="1">
        <f t="array" aca="1" ref="E37" ca="1">Common_InputFunctions.Utility_DisplayFunctionName(E47)</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3" t="s">
        <v>26</v>
      </c>
      <c r="E40" s="1" t="str" cm="1">
        <f t="array" ref="E40">MMS_Poultry_Soil_LeachingAndRunoff_Equations.VEERG_4_6_1_14__1_LeachingAndRunoffEmissionsFromPoultryManureOnPasture_Variable()</f>
        <v>E_N2Oleach</v>
      </c>
    </row>
    <row r="41" spans="3:21" ht="20.100000000000001" customHeight="1" x14ac:dyDescent="0.25">
      <c r="D41" s="53" t="s">
        <v>16</v>
      </c>
      <c r="E41" s="54"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41" t="str" cm="1">
        <f t="array" ref="D43:E45">_xlfn.CHOOSECOLS(MMS_Poultry_Soil_LeachingAndRunoff_Equations.VEERG_4_6_1_14__1_LeachingAndRunoffEmissionsFromPoultryManureOnPasture_Arguments(),1,2)</f>
        <v>M_leach_m14</v>
      </c>
      <c r="E43" s="144" t="str">
        <v>mass of nitrogen lost to leaching and runoff from poultry manure deposited on pasture</v>
      </c>
      <c r="F43" s="146"/>
      <c r="G43" s="143"/>
      <c r="H43" s="141" t="str" cm="1">
        <f t="array" ref="H43:I45">_xlfn.CHOOSECOLS(MMS_Poultry_Soil_LeachingAndRunoff_Equations.VEERG_4_6_1_14__1_LeachingAndRunoffEmissionsFromPoultryManureOnPasture_Arguments(),3,4)</f>
        <v>kg N</v>
      </c>
      <c r="I43" s="140" t="str">
        <v>Calculated from 4.6.1.14 (2)</v>
      </c>
      <c r="J43" s="141">
        <f>E30</f>
        <v>0.14912640000000002</v>
      </c>
      <c r="N43" s="141" t="str" cm="1">
        <f t="array" ref="N43:O45">_xlfn.CHOOSECOLS(MMS_Poultry_Soil_LeachingAndRunoff_Equations.VEERG_4_6_1_14__1_LeachingAndRunoffEmissionsFromPoultryManureOnPasture_Arguments(),1,2)</f>
        <v>M_leach_m14</v>
      </c>
      <c r="O43" s="144" t="str">
        <v>mass of nitrogen lost to leaching and runoff from poultry manure deposited on pasture</v>
      </c>
      <c r="P43" s="146"/>
      <c r="Q43" s="143"/>
      <c r="R43" s="141" t="str" cm="1">
        <f t="array" ref="R43:S45">_xlfn.CHOOSECOLS(MMS_Poultry_Soil_LeachingAndRunoff_Equations.VEERG_4_6_1_14__1_LeachingAndRunoffEmissionsFromPoultryManureOnPasture_Arguments(),3,4)</f>
        <v>kg N</v>
      </c>
      <c r="S43" s="140" t="str">
        <v>Calculated from 4.6.1.14 (2)</v>
      </c>
      <c r="T43" s="57">
        <f>O30</f>
        <v>0.14912640000000002</v>
      </c>
    </row>
    <row r="44" spans="3:21" ht="20.100000000000001" customHeight="1" x14ac:dyDescent="0.25">
      <c r="D44" s="141" t="str">
        <v>EF_leach</v>
      </c>
      <c r="E44" s="144" t="str">
        <v>emission factor for leaching and runoff (kg N2O-N/kg N)</v>
      </c>
      <c r="F44" s="146"/>
      <c r="G44" s="143"/>
      <c r="H44" s="141" t="str">
        <v>kg N2O-N/kg N</v>
      </c>
      <c r="I44" s="140" t="str">
        <v>Constant</v>
      </c>
      <c r="J44" s="141">
        <f>'Constants - Common'!$E$170</f>
        <v>1.0999999999999999E-2</v>
      </c>
      <c r="N44" s="141" t="str">
        <v>EF_leach</v>
      </c>
      <c r="O44" s="144" t="str">
        <v>emission factor for leaching and runoff (kg N2O-N/kg N)</v>
      </c>
      <c r="P44" s="146"/>
      <c r="Q44" s="143"/>
      <c r="R44" s="141" t="str">
        <v>kg N2O-N/kg N</v>
      </c>
      <c r="S44" s="140" t="str">
        <v>Constant</v>
      </c>
      <c r="T44" s="57"/>
    </row>
    <row r="45" spans="3:21" ht="20.100000000000001" customHeight="1" x14ac:dyDescent="0.25">
      <c r="D45" s="141" t="str">
        <v>C_N2O</v>
      </c>
      <c r="E45" s="144" t="str">
        <v>factor to convert elemental mass of N2O to molecular mass</v>
      </c>
      <c r="F45" s="146"/>
      <c r="G45" s="143"/>
      <c r="H45" s="141" t="str">
        <v>ratio</v>
      </c>
      <c r="I45" s="140" t="str">
        <v>Constant</v>
      </c>
      <c r="J45" s="141">
        <f>Common_InputFunctions.Utility_LookupValueInTableNumber("N2O",Table_GasToMolecularConversionFactor[Gas],Table_GasToMolecularConversionFactor[Conversion factor combined])</f>
        <v>1.5714285714285714</v>
      </c>
      <c r="N45" s="141" t="str">
        <v>C_N2O</v>
      </c>
      <c r="O45" s="144" t="str">
        <v>factor to convert elemental mass of N2O to molecular mass</v>
      </c>
      <c r="P45" s="146"/>
      <c r="Q45" s="143"/>
      <c r="R45" s="141" t="str">
        <v>ratio</v>
      </c>
      <c r="S45" s="140" t="str">
        <v>Constant</v>
      </c>
      <c r="T45" s="57"/>
    </row>
    <row r="46" spans="3:21" ht="20.100000000000001" customHeight="1" x14ac:dyDescent="0.25"/>
    <row r="47" spans="3:21" ht="20.100000000000001" customHeight="1" x14ac:dyDescent="0.25">
      <c r="D47" s="99" t="s">
        <v>283</v>
      </c>
      <c r="E47" s="100" cm="1">
        <f t="array" ref="E47">MMS_Poultry_Soil_LeachingAndRunoff_Equations.VEERG_4_6_1_14__1_LeachingAndRunoffEmissionsFromPoultryManureOnPasture(J43,$J$44,$J$45)</f>
        <v>2.5777563428571431E-6</v>
      </c>
      <c r="F47" s="101" t="str">
        <f>$E$41</f>
        <v>t N2O</v>
      </c>
      <c r="N47" s="99" t="s">
        <v>283</v>
      </c>
      <c r="O47" s="100" cm="1">
        <f t="array" ref="O47">MMS_Poultry_Soil_LeachingAndRunoff_Equations.VEERG_4_6_1_14__1_LeachingAndRunoffEmissionsFromPoultryManureOnPasture(T43,$J$44,$J$45)</f>
        <v>2.5777563428571431E-6</v>
      </c>
      <c r="P47" s="101" t="str">
        <f>$E$41</f>
        <v>t N2O</v>
      </c>
    </row>
    <row r="48" spans="3:21" ht="20.100000000000001" customHeight="1" x14ac:dyDescent="0.25"/>
    <row r="49" spans="4:17" ht="20.100000000000001" customHeight="1" x14ac:dyDescent="0.25">
      <c r="D49" s="57" t="str" cm="1">
        <f t="array" ref="D49:E50">Common_Equations.Common_ConvertN2OToCO2e_Arguments()</f>
        <v>EN2O</v>
      </c>
      <c r="E49" s="58" t="str">
        <v>Nitrous oxide emissions (t N2O)</v>
      </c>
      <c r="F49" s="102"/>
      <c r="G49" s="52">
        <f>E47</f>
        <v>2.5777563428571431E-6</v>
      </c>
      <c r="N49" s="57" t="str" cm="1">
        <f t="array" ref="N49:O50">Common_Equations.Common_ConvertN2OToCO2e_Arguments()</f>
        <v>EN2O</v>
      </c>
      <c r="O49" s="58" t="str">
        <v>Nitrous oxide emissions (t N2O)</v>
      </c>
      <c r="P49" s="102"/>
      <c r="Q49" s="52">
        <f>O47</f>
        <v>2.5777563428571431E-6</v>
      </c>
    </row>
    <row r="50" spans="4:17" ht="20.100000000000001" customHeight="1" x14ac:dyDescent="0.25">
      <c r="D50" s="57" t="str">
        <v>GWPN2O</v>
      </c>
      <c r="E50" s="58" t="str">
        <v>Global warming potential for nitrous oxide (t CO2-e / t N2O)</v>
      </c>
      <c r="F50" s="102"/>
      <c r="G50" s="52">
        <v>265</v>
      </c>
      <c r="N50" s="57" t="str">
        <v>GWPN2O</v>
      </c>
      <c r="O50" s="58" t="str">
        <v>Global warming potential for nitrous oxide (t CO2-e / t N2O)</v>
      </c>
      <c r="P50" s="102"/>
      <c r="Q50" s="52">
        <v>265</v>
      </c>
    </row>
    <row r="51" spans="4:17" ht="20.100000000000001" customHeight="1" x14ac:dyDescent="0.25"/>
    <row r="52" spans="4:17" ht="20.100000000000001" customHeight="1" x14ac:dyDescent="0.25">
      <c r="D52" s="45" t="s">
        <v>93</v>
      </c>
      <c r="E52" s="45" cm="1">
        <f t="array" ref="E52">Common_Equations.Common_ConvertN2OToCO2e(G49,G50)</f>
        <v>6.8310543085714286E-4</v>
      </c>
      <c r="F52" s="103" t="str" cm="1">
        <f t="array" ref="F52">Common_Equations.Common_ConvertN2OToCO2e_Unit()</f>
        <v>t CO2e</v>
      </c>
      <c r="N52" s="45" t="s">
        <v>93</v>
      </c>
      <c r="O52" s="45" cm="1">
        <f t="array" ref="O52">Common_Equations.Common_ConvertN2OToCO2e(Q49,Q50)</f>
        <v>6.8310543085714286E-4</v>
      </c>
      <c r="P52" s="103"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W452"/>
  <sheetViews>
    <sheetView showGridLines="0" topLeftCell="A99" zoomScaleNormal="100" workbookViewId="0">
      <selection activeCell="G120" sqref="G120"/>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192</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2"/>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A6" s="16"/>
      <c r="D6" s="5" t="str" cm="1">
        <f t="array" ref="D6">SourceData_Poultry.SourceData_Poultry_DietProperties_Source()</f>
        <v>VEERG 2026: Table A.1.7.1: Poultry - Diet properties</v>
      </c>
      <c r="M6" s="1"/>
    </row>
    <row r="7" spans="1:21" ht="20.100000000000001" customHeight="1" x14ac:dyDescent="0.25">
      <c r="A7" s="20" t="s">
        <v>1</v>
      </c>
      <c r="M7" s="1"/>
    </row>
    <row r="8" spans="1:21" ht="20.100000000000001" customHeight="1" x14ac:dyDescent="0.25">
      <c r="A8" s="17" t="str">
        <f>HYPERLINK("#'Input - Site'!A1", "Site")</f>
        <v>Site</v>
      </c>
      <c r="D8" s="37" t="s">
        <v>193</v>
      </c>
      <c r="E8" s="37" t="s">
        <v>194</v>
      </c>
      <c r="F8" s="37" t="s">
        <v>195</v>
      </c>
      <c r="G8" s="37" t="s">
        <v>196</v>
      </c>
      <c r="H8" s="37" t="s">
        <v>197</v>
      </c>
      <c r="M8" s="1"/>
    </row>
    <row r="9" spans="1:21" ht="20.100000000000001" customHeight="1" x14ac:dyDescent="0.25">
      <c r="A9" s="17" t="str">
        <f>HYPERLINK("#'Input - Poultry'!A1", "Poultry")</f>
        <v>Poultry</v>
      </c>
      <c r="D9" s="37" t="str" cm="1">
        <f t="array" ref="D9">Common_InputFunctions.Utility_DisplayArrayInTable(SourceData_Poultry.SourceData_Poultry_DietProperties_Data(), Table_SourceData_Poultry_DietProperties[[#Headers],[Nutrient analysis]], 0)</f>
        <v>Dry matter intake (kg/head/day)</v>
      </c>
      <c r="E9" s="37" cm="1">
        <f t="array" ref="E9">Common_InputFunctions.Utility_DisplayArrayInTable(SourceData_Poultry.SourceData_Poultry_DietProperties_Data(), Table_SourceData_Poultry_DietProperties[[#Headers],[Nutrient analysis]], 0)</f>
        <v>8.5999999999999993E-2</v>
      </c>
      <c r="F9" s="37" cm="1">
        <f t="array" ref="F9">Common_InputFunctions.Utility_DisplayArrayInTable(SourceData_Poultry.SourceData_Poultry_DietProperties_Data(), Table_SourceData_Poultry_DietProperties[[#Headers],[Nutrient analysis]], 0)</f>
        <v>9.2999999999999999E-2</v>
      </c>
      <c r="G9" s="37" cm="1">
        <f t="array" ref="G9">Common_InputFunctions.Utility_DisplayArrayInTable(SourceData_Poultry.SourceData_Poultry_DietProperties_Data(), Table_SourceData_Poultry_DietProperties[[#Headers],[Nutrient analysis]], 0)</f>
        <v>0.10299999999999999</v>
      </c>
      <c r="H9" s="37"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c r="D10" s="1" t="str" cm="1">
        <f t="array" ref="D10">Common_InputFunctions.Utility_DisplayArrayInTable(SourceData_Poultry.SourceData_Poultry_DietProperties_Data(), Table_SourceData_Poultry_DietProperties[[#Headers],[Nutrient analysis]], 0)</f>
        <v>Dry matter digestibility</v>
      </c>
      <c r="E10" s="37" cm="1">
        <f t="array" ref="E10">Common_InputFunctions.Utility_DisplayArrayInTable(SourceData_Poultry.SourceData_Poultry_DietProperties_Data(), Table_SourceData_Poultry_DietProperties[[#Headers],[Nutrient analysis]], 0)</f>
        <v>0.8</v>
      </c>
      <c r="F10" s="37" cm="1">
        <f t="array" ref="F10">Common_InputFunctions.Utility_DisplayArrayInTable(SourceData_Poultry.SourceData_Poultry_DietProperties_Data(), Table_SourceData_Poultry_DietProperties[[#Headers],[Nutrient analysis]], 0)</f>
        <v>0.8</v>
      </c>
      <c r="G10" s="37" cm="1">
        <f t="array" ref="G10">Common_InputFunctions.Utility_DisplayArrayInTable(SourceData_Poultry.SourceData_Poultry_DietProperties_Data(), Table_SourceData_Poultry_DietProperties[[#Headers],[Nutrient analysis]], 0)</f>
        <v>0.8</v>
      </c>
      <c r="H10" s="37"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A11" s="19" t="s">
        <v>70</v>
      </c>
      <c r="D11" s="1" t="str" cm="1">
        <f t="array" ref="D11">Common_InputFunctions.Utility_DisplayArrayInTable(SourceData_Poultry.SourceData_Poultry_DietProperties_Data(), Table_SourceData_Poultry_DietProperties[[#Headers],[Nutrient analysis]], 0)</f>
        <v>Crude protein</v>
      </c>
      <c r="E11" s="37" cm="1">
        <f t="array" ref="E11">Common_InputFunctions.Utility_DisplayArrayInTable(SourceData_Poultry.SourceData_Poultry_DietProperties_Data(), Table_SourceData_Poultry_DietProperties[[#Headers],[Nutrient analysis]], 0)</f>
        <v>0.19</v>
      </c>
      <c r="F11" s="37" cm="1">
        <f t="array" ref="F11">Common_InputFunctions.Utility_DisplayArrayInTable(SourceData_Poultry.SourceData_Poultry_DietProperties_Data(), Table_SourceData_Poultry_DietProperties[[#Headers],[Nutrient analysis]], 0)</f>
        <v>0.23</v>
      </c>
      <c r="G11" s="37" cm="1">
        <f t="array" ref="G11">Common_InputFunctions.Utility_DisplayArrayInTable(SourceData_Poultry.SourceData_Poultry_DietProperties_Data(), Table_SourceData_Poultry_DietProperties[[#Headers],[Nutrient analysis]], 0)</f>
        <v>0.19</v>
      </c>
      <c r="H11" s="37"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A12" s="17" t="str">
        <f>HYPERLINK("#'4.6.1.1-2 Methane'!A1", "4.6.1.1-2 Methane")</f>
        <v>4.6.1.1-2 Methane</v>
      </c>
      <c r="D12" s="1" t="str" cm="1">
        <f t="array" ref="D12">Common_InputFunctions.Utility_DisplayArrayInTable(SourceData_Poultry.SourceData_Poultry_DietProperties_Data(), Table_SourceData_Poultry_DietProperties[[#Headers],[Nutrient analysis]], 0)</f>
        <v>Nitrogen retention rate</v>
      </c>
      <c r="E12" s="37" cm="1">
        <f t="array" ref="E12">Common_InputFunctions.Utility_DisplayArrayInTable(SourceData_Poultry.SourceData_Poultry_DietProperties_Data(), Table_SourceData_Poultry_DietProperties[[#Headers],[Nutrient analysis]], 0)</f>
        <v>0.35</v>
      </c>
      <c r="F12" s="37" cm="1">
        <f t="array" ref="F12">Common_InputFunctions.Utility_DisplayArrayInTable(SourceData_Poultry.SourceData_Poultry_DietProperties_Data(), Table_SourceData_Poultry_DietProperties[[#Headers],[Nutrient analysis]], 0)</f>
        <v>0.47</v>
      </c>
      <c r="G12" s="37" cm="1">
        <f t="array" ref="G12">Common_InputFunctions.Utility_DisplayArrayInTable(SourceData_Poultry.SourceData_Poultry_DietProperties_Data(), Table_SourceData_Poultry_DietProperties[[#Headers],[Nutrient analysis]], 0)</f>
        <v>0.32</v>
      </c>
      <c r="H12" s="37"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7" t="str">
        <f>HYPERLINK("#'4.6.1.3-4 Direct N20'!A1", "4.6.1.3-4 Direct N2O")</f>
        <v>4.6.1.3-4 Direct N2O</v>
      </c>
      <c r="D13" s="1" t="str" cm="1">
        <f t="array" ref="D13">Common_InputFunctions.Utility_DisplayArrayInTable(SourceData_Poultry.SourceData_Poultry_DietProperties_Data(), Table_SourceData_Poultry_DietProperties[[#Headers],[Nutrient analysis]], 0)</f>
        <v>Manure ash</v>
      </c>
      <c r="E13" s="37" cm="1">
        <f t="array" ref="E13">Common_InputFunctions.Utility_DisplayArrayInTable(SourceData_Poultry.SourceData_Poultry_DietProperties_Data(), Table_SourceData_Poultry_DietProperties[[#Headers],[Nutrient analysis]], 0)</f>
        <v>0.18</v>
      </c>
      <c r="F13" s="37" cm="1">
        <f t="array" ref="F13">Common_InputFunctions.Utility_DisplayArrayInTable(SourceData_Poultry.SourceData_Poultry_DietProperties_Data(), Table_SourceData_Poultry_DietProperties[[#Headers],[Nutrient analysis]], 0)</f>
        <v>0.15</v>
      </c>
      <c r="G13" s="37" cm="1">
        <f t="array" ref="G13">Common_InputFunctions.Utility_DisplayArrayInTable(SourceData_Poultry.SourceData_Poultry_DietProperties_Data(), Table_SourceData_Poultry_DietProperties[[#Headers],[Nutrient analysis]], 0)</f>
        <v>0.18</v>
      </c>
      <c r="H13" s="37"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HYPERLINK("#'4.6.1.5-6 Atmos Dep'!A1", "4.6.1.5-6 Atmospheric deposition")</f>
        <v>4.6.1.5-6 Atmospheric deposition</v>
      </c>
      <c r="M14" s="1"/>
    </row>
    <row r="15" spans="1:21" ht="20.100000000000001" customHeight="1" x14ac:dyDescent="0.25">
      <c r="A15" s="17" t="str">
        <f>HYPERLINK("#'4.6.1.7-8 Leaching and runoff'!A1", "4.6.1.7-8 Leaching &amp; runoff")</f>
        <v>4.6.1.7-8 Leaching &amp; runoff</v>
      </c>
      <c r="M15" s="1"/>
    </row>
    <row r="16" spans="1:21" ht="20.100000000000001" customHeight="1" x14ac:dyDescent="0.25">
      <c r="A16" s="17" t="str">
        <f>HYPERLINK("#'4.6.1.9 Manure applied to soils'!A1", "4.6.1.9 Manure applied to soils")</f>
        <v>4.6.1.9 Manure applied to soils</v>
      </c>
      <c r="M16" s="1"/>
    </row>
    <row r="17" spans="1:13" ht="20.100000000000001" customHeight="1" x14ac:dyDescent="0.25">
      <c r="A17" s="17" t="str">
        <f>HYPERLINK("#'4.6.1.10-11 Soil direct N2O'!A1", "4.6.1.10-11 Soil direct N2O")</f>
        <v>4.6.1.10-11 Soil direct N2O</v>
      </c>
      <c r="D17" s="6" t="str" cm="1">
        <f t="array" ref="D17">SourceData_Poultry.SourceData_Poultry_MethaneEmissionsPotential_Title()</f>
        <v>Poultry - Methane emissions potential per class</v>
      </c>
      <c r="M17" s="1"/>
    </row>
    <row r="18" spans="1:13" ht="20.100000000000001" customHeight="1" x14ac:dyDescent="0.25">
      <c r="A18" s="17" t="str">
        <f>HYPERLINK("#'4.6.1.12-13 Soil atmos dep'!A1", "4.6.1.12-13 Soil Atm. deposition")</f>
        <v>4.6.1.12-13 Soil Atm. deposition</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HYPERLINK("#'4.6.1.14-15 Soil leach runoff'!A1", "4.6.1.14-15 Soil leach &amp; runoff")</f>
        <v>4.6.1.14-15 Soil leach &amp; runoff</v>
      </c>
      <c r="D19" s="37" t="s">
        <v>198</v>
      </c>
      <c r="E19" s="37" t="s">
        <v>199</v>
      </c>
      <c r="M19" s="1"/>
    </row>
    <row r="20" spans="1:13" ht="20.100000000000001" customHeight="1" x14ac:dyDescent="0.25">
      <c r="D20" s="37" t="str" cm="1">
        <f t="array" ref="D20">Common_InputFunctions.Utility_DisplayArrayInTable(SourceData_Poultry.SourceData_Poultry_MethaneEmissionsPotential_Data(), Table_SourceData_Poultry_MethaneEmissionsPotential[[#Headers],[Poultry class]], 0)</f>
        <v>Layers</v>
      </c>
      <c r="E20" s="37"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8" t="s">
        <v>2</v>
      </c>
      <c r="D21" s="1" t="str" cm="1">
        <f t="array" ref="D21">Common_InputFunctions.Utility_DisplayArrayInTable(SourceData_Poultry.SourceData_Poultry_MethaneEmissionsPotential_Data(), Table_SourceData_Poultry_MethaneEmissionsPotential[[#Headers],[Poultry class]], 0)</f>
        <v>Meat chickens</v>
      </c>
      <c r="E21" s="37"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A22" s="128" t="str">
        <f>HYPERLINK("#'Constants - Poultry'!A1", "Constants - Poultry")</f>
        <v>Constants - Poultry</v>
      </c>
      <c r="M22" s="1"/>
    </row>
    <row r="23" spans="1:13" ht="20.100000000000001" customHeight="1" x14ac:dyDescent="0.25">
      <c r="A23" s="17" t="str">
        <f>HYPERLINK("#'Constants - Livestock'!A1", "Constants - Livestock")</f>
        <v>Constants - Livestock</v>
      </c>
      <c r="M23" s="1"/>
    </row>
    <row r="24" spans="1:13" ht="20.100000000000001" customHeight="1" x14ac:dyDescent="0.25">
      <c r="A24" s="17" t="str">
        <f>HYPERLINK("#'Constants - Common'!A1", "Constants - Common")</f>
        <v>Constants - Common</v>
      </c>
      <c r="M24" s="1"/>
    </row>
    <row r="25" spans="1:13" ht="20.100000000000001" customHeight="1" x14ac:dyDescent="0.25">
      <c r="A25" s="17"/>
      <c r="M25" s="1"/>
    </row>
    <row r="26" spans="1:13" ht="20.100000000000001" customHeight="1" x14ac:dyDescent="0.25">
      <c r="D26" s="6" t="s">
        <v>200</v>
      </c>
      <c r="G26" s="6" t="s">
        <v>201</v>
      </c>
      <c r="J26" s="6" t="s">
        <v>202</v>
      </c>
      <c r="M26" s="1"/>
    </row>
    <row r="27" spans="1:13" ht="20.100000000000001" customHeight="1" x14ac:dyDescent="0.25">
      <c r="M27" s="1"/>
    </row>
    <row r="28" spans="1:13" ht="20.100000000000001" customHeight="1" x14ac:dyDescent="0.25">
      <c r="D28" s="113" t="s">
        <v>64</v>
      </c>
      <c r="E28" s="37" t="s">
        <v>74</v>
      </c>
      <c r="G28" s="113" t="s">
        <v>64</v>
      </c>
      <c r="H28" s="37" t="s">
        <v>74</v>
      </c>
      <c r="J28" s="113" t="s">
        <v>64</v>
      </c>
      <c r="K28" s="37" t="s">
        <v>74</v>
      </c>
      <c r="M28" s="1"/>
    </row>
    <row r="29" spans="1:13" ht="20.100000000000001" customHeight="1" x14ac:dyDescent="0.25">
      <c r="D29" s="37" t="s">
        <v>319</v>
      </c>
      <c r="E29" s="37" t="s">
        <v>320</v>
      </c>
      <c r="G29" s="37" t="s">
        <v>319</v>
      </c>
      <c r="H29" s="37" t="s">
        <v>320</v>
      </c>
      <c r="J29" s="37" t="s">
        <v>321</v>
      </c>
      <c r="K29" s="37" t="s">
        <v>322</v>
      </c>
      <c r="M29" s="1"/>
    </row>
    <row r="30" spans="1:13" ht="20.100000000000001" customHeight="1" x14ac:dyDescent="0.25">
      <c r="D30" s="37" t="s">
        <v>323</v>
      </c>
      <c r="E30" s="37" t="s">
        <v>324</v>
      </c>
      <c r="G30" s="37" t="s">
        <v>323</v>
      </c>
      <c r="H30" s="37" t="s">
        <v>324</v>
      </c>
      <c r="J30" s="37" t="s">
        <v>325</v>
      </c>
      <c r="K30" s="37" t="s">
        <v>326</v>
      </c>
      <c r="M30" s="1"/>
    </row>
    <row r="31" spans="1:13" ht="20.100000000000001" customHeight="1" x14ac:dyDescent="0.25">
      <c r="D31" s="37" t="s">
        <v>327</v>
      </c>
      <c r="E31" s="37" t="s">
        <v>328</v>
      </c>
      <c r="G31" s="37" t="s">
        <v>327</v>
      </c>
      <c r="H31" s="37" t="s">
        <v>328</v>
      </c>
      <c r="J31" s="1" t="s">
        <v>329</v>
      </c>
      <c r="K31" s="1" t="s">
        <v>330</v>
      </c>
      <c r="M31" s="1"/>
    </row>
    <row r="32" spans="1:13" ht="20.100000000000001" customHeight="1" x14ac:dyDescent="0.25">
      <c r="D32" s="37" t="s">
        <v>331</v>
      </c>
      <c r="E32" s="37" t="s">
        <v>332</v>
      </c>
      <c r="G32" s="37" t="s">
        <v>331</v>
      </c>
      <c r="H32" s="37" t="s">
        <v>332</v>
      </c>
      <c r="J32" s="37" t="s">
        <v>333</v>
      </c>
      <c r="K32" s="37" t="s">
        <v>334</v>
      </c>
      <c r="M32" s="1"/>
    </row>
    <row r="33" spans="4:13" ht="20.100000000000001" customHeight="1" x14ac:dyDescent="0.25">
      <c r="D33" s="37" t="s">
        <v>321</v>
      </c>
      <c r="E33" s="37" t="s">
        <v>322</v>
      </c>
      <c r="G33" s="1" t="s">
        <v>203</v>
      </c>
      <c r="H33" s="37" t="s">
        <v>203</v>
      </c>
      <c r="J33" s="37" t="s">
        <v>335</v>
      </c>
      <c r="K33" s="37" t="s">
        <v>336</v>
      </c>
      <c r="M33" s="1"/>
    </row>
    <row r="34" spans="4:13" ht="20.100000000000001" customHeight="1" x14ac:dyDescent="0.25">
      <c r="D34" s="37" t="s">
        <v>325</v>
      </c>
      <c r="E34" s="37" t="s">
        <v>326</v>
      </c>
      <c r="J34" s="1" t="s">
        <v>203</v>
      </c>
      <c r="K34" s="37" t="s">
        <v>203</v>
      </c>
      <c r="M34" s="1"/>
    </row>
    <row r="35" spans="4:13" ht="20.100000000000001" customHeight="1" x14ac:dyDescent="0.25">
      <c r="D35" s="1" t="s">
        <v>329</v>
      </c>
      <c r="E35" s="1" t="s">
        <v>330</v>
      </c>
      <c r="M35" s="1"/>
    </row>
    <row r="36" spans="4:13" ht="20.100000000000001" customHeight="1" x14ac:dyDescent="0.25">
      <c r="D36" s="37" t="s">
        <v>333</v>
      </c>
      <c r="E36" s="37" t="s">
        <v>334</v>
      </c>
      <c r="M36" s="1"/>
    </row>
    <row r="37" spans="4:13" ht="20.100000000000001" customHeight="1" x14ac:dyDescent="0.25">
      <c r="D37" s="37" t="s">
        <v>335</v>
      </c>
      <c r="E37" s="37" t="s">
        <v>336</v>
      </c>
      <c r="M37" s="1"/>
    </row>
    <row r="38" spans="4:13" ht="20.100000000000001" customHeight="1" x14ac:dyDescent="0.25">
      <c r="D38" s="1" t="s">
        <v>203</v>
      </c>
      <c r="E38" s="37" t="s">
        <v>203</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204</v>
      </c>
      <c r="M42" s="1"/>
    </row>
    <row r="43" spans="4:13" ht="20.100000000000001" customHeight="1" x14ac:dyDescent="0.25">
      <c r="M43" s="1"/>
    </row>
    <row r="44" spans="4:13" ht="20.100000000000001" customHeight="1" x14ac:dyDescent="0.25">
      <c r="D44" s="37" t="s">
        <v>105</v>
      </c>
      <c r="M44" s="1"/>
    </row>
    <row r="45" spans="4:13" ht="20.100000000000001" customHeight="1" x14ac:dyDescent="0.25">
      <c r="D45" s="37" t="str" cm="1">
        <f t="array" ref="D45">Common_InputFunctions.Utility_DisplayArrayInTable(SourceData_Poultry.SourceData_Poultry_ProductionSystems_Data(), Table_SourceData_Poultry_ProductionSystems[[#Headers],[Production system]], 0)</f>
        <v>Free range</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M47" s="1"/>
    </row>
    <row r="48" spans="4:13" ht="20.100000000000001" customHeight="1" x14ac:dyDescent="0.25">
      <c r="M48" s="1"/>
    </row>
    <row r="49" spans="4:14" ht="20.100000000000001" customHeight="1" x14ac:dyDescent="0.25">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5" t="str" cm="1">
        <f t="array" ref="D53:D57">SourceData_Poultry.SourceData_Poultry_MCF_Variation()</f>
        <v>VARIATION ON SOURCE:</v>
      </c>
      <c r="M53" s="1"/>
    </row>
    <row r="54" spans="4:14" ht="20.100000000000001" customHeight="1" x14ac:dyDescent="0.25">
      <c r="D54" s="55" t="str">
        <v>Split NSW and ACT into separate states. Split QLD and NT into separate states.</v>
      </c>
      <c r="M54" s="1"/>
    </row>
    <row r="55" spans="4:14" ht="20.100000000000001" customHeight="1" x14ac:dyDescent="0.25">
      <c r="D55" s="55" t="str">
        <v>Included values for each state when 'All states' value is given.</v>
      </c>
      <c r="M55" s="1"/>
    </row>
    <row r="56" spans="4:14" ht="20.100000000000001" customHeight="1" x14ac:dyDescent="0.25">
      <c r="D56" s="55" t="str">
        <v>Added 'NIR definition' column with MMS names that match NIR definitions.</v>
      </c>
      <c r="M56" s="1"/>
    </row>
    <row r="57" spans="4:14" ht="20.100000000000001" customHeight="1" x14ac:dyDescent="0.25">
      <c r="D57" s="55"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7" t="s">
        <v>205</v>
      </c>
      <c r="E59" s="37" t="s">
        <v>206</v>
      </c>
      <c r="F59" s="37" t="s">
        <v>76</v>
      </c>
      <c r="G59" s="37" t="s">
        <v>75</v>
      </c>
      <c r="H59" s="37" t="s">
        <v>78</v>
      </c>
      <c r="I59" s="37" t="s">
        <v>77</v>
      </c>
      <c r="J59" s="37" t="s">
        <v>81</v>
      </c>
      <c r="K59" s="37" t="s">
        <v>79</v>
      </c>
      <c r="L59" s="37" t="s">
        <v>82</v>
      </c>
      <c r="M59" s="37" t="s">
        <v>80</v>
      </c>
      <c r="N59" s="37" t="s">
        <v>125</v>
      </c>
    </row>
    <row r="60" spans="4:14" ht="20.100000000000001" customHeight="1" x14ac:dyDescent="0.25">
      <c r="D60" s="37" t="str" cm="1">
        <f t="array" ref="D60">Common_InputFunctions.Utility_DisplayArrayInTable(SourceData_Poultry.SourceData_Poultry_MCF_Data(), Table_SourceData_Poultry_MMSMCF[[#Headers],[MMS m]], 0)</f>
        <v>Poultry manure with litter</v>
      </c>
      <c r="E60" s="37" cm="1">
        <f t="array" ref="E60">Common_InputFunctions.Utility_DisplayArrayInTable(SourceData_Poultry.SourceData_Poultry_MCF_Data(), Table_SourceData_Poultry_MMSMCF[[#Headers],[MMS m]], 0)</f>
        <v>1.4999999999999999E-2</v>
      </c>
      <c r="F60" s="37" cm="1">
        <f t="array" ref="F60">Common_InputFunctions.Utility_DisplayArrayInTable(SourceData_Poultry.SourceData_Poultry_MCF_Data(), Table_SourceData_Poultry_MMSMCF[[#Headers],[MMS m]], 0)</f>
        <v>1.4999999999999999E-2</v>
      </c>
      <c r="G60" s="37" cm="1">
        <f t="array" ref="G60">Common_InputFunctions.Utility_DisplayArrayInTable(SourceData_Poultry.SourceData_Poultry_MCF_Data(), Table_SourceData_Poultry_MMSMCF[[#Headers],[MMS m]], 0)</f>
        <v>1.4999999999999999E-2</v>
      </c>
      <c r="H60" s="37" cm="1">
        <f t="array" ref="H60">Common_InputFunctions.Utility_DisplayArrayInTable(SourceData_Poultry.SourceData_Poultry_MCF_Data(), Table_SourceData_Poultry_MMSMCF[[#Headers],[MMS m]], 0)</f>
        <v>1.4999999999999999E-2</v>
      </c>
      <c r="I60" s="37" cm="1">
        <f t="array" ref="I60">Common_InputFunctions.Utility_DisplayArrayInTable(SourceData_Poultry.SourceData_Poultry_MCF_Data(), Table_SourceData_Poultry_MMSMCF[[#Headers],[MMS m]], 0)</f>
        <v>1.4999999999999999E-2</v>
      </c>
      <c r="J60" s="37" cm="1">
        <f t="array" ref="J60">Common_InputFunctions.Utility_DisplayArrayInTable(SourceData_Poultry.SourceData_Poultry_MCF_Data(), Table_SourceData_Poultry_MMSMCF[[#Headers],[MMS m]], 0)</f>
        <v>1.4999999999999999E-2</v>
      </c>
      <c r="K60" s="37" cm="1">
        <f t="array" ref="K60">Common_InputFunctions.Utility_DisplayArrayInTable(SourceData_Poultry.SourceData_Poultry_MCF_Data(), Table_SourceData_Poultry_MMSMCF[[#Headers],[MMS m]], 0)</f>
        <v>1.4999999999999999E-2</v>
      </c>
      <c r="L60" s="37" cm="1">
        <f t="array" ref="L60">Common_InputFunctions.Utility_DisplayArrayInTable(SourceData_Poultry.SourceData_Poultry_MCF_Data(), Table_SourceData_Poultry_MMSMCF[[#Headers],[MMS m]], 0)</f>
        <v>1.4999999999999999E-2</v>
      </c>
      <c r="M60" s="37" cm="1">
        <f t="array" ref="M60">Common_InputFunctions.Utility_DisplayArrayInTable(SourceData_Poultry.SourceData_Poultry_MCF_Data(), Table_SourceData_Poultry_MMSMCF[[#Headers],[MMS m]], 0)</f>
        <v>1.4999999999999999E-2</v>
      </c>
      <c r="N60" s="37"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7" cm="1">
        <f t="array" ref="E61">Common_InputFunctions.Utility_DisplayArrayInTable(SourceData_Poultry.SourceData_Poultry_MCF_Data(), Table_SourceData_Poultry_MMSMCF[[#Headers],[MMS m]], 0)</f>
        <v>1.4999999999999999E-2</v>
      </c>
      <c r="F61" s="37" cm="1">
        <f t="array" ref="F61">Common_InputFunctions.Utility_DisplayArrayInTable(SourceData_Poultry.SourceData_Poultry_MCF_Data(), Table_SourceData_Poultry_MMSMCF[[#Headers],[MMS m]], 0)</f>
        <v>1.4999999999999999E-2</v>
      </c>
      <c r="G61" s="37" cm="1">
        <f t="array" ref="G61">Common_InputFunctions.Utility_DisplayArrayInTable(SourceData_Poultry.SourceData_Poultry_MCF_Data(), Table_SourceData_Poultry_MMSMCF[[#Headers],[MMS m]], 0)</f>
        <v>1.4999999999999999E-2</v>
      </c>
      <c r="H61" s="37" cm="1">
        <f t="array" ref="H61">Common_InputFunctions.Utility_DisplayArrayInTable(SourceData_Poultry.SourceData_Poultry_MCF_Data(), Table_SourceData_Poultry_MMSMCF[[#Headers],[MMS m]], 0)</f>
        <v>1.4999999999999999E-2</v>
      </c>
      <c r="I61" s="37" cm="1">
        <f t="array" ref="I61">Common_InputFunctions.Utility_DisplayArrayInTable(SourceData_Poultry.SourceData_Poultry_MCF_Data(), Table_SourceData_Poultry_MMSMCF[[#Headers],[MMS m]], 0)</f>
        <v>1.4999999999999999E-2</v>
      </c>
      <c r="J61" s="37" cm="1">
        <f t="array" ref="J61">Common_InputFunctions.Utility_DisplayArrayInTable(SourceData_Poultry.SourceData_Poultry_MCF_Data(), Table_SourceData_Poultry_MMSMCF[[#Headers],[MMS m]], 0)</f>
        <v>1.4999999999999999E-2</v>
      </c>
      <c r="K61" s="37" cm="1">
        <f t="array" ref="K61">Common_InputFunctions.Utility_DisplayArrayInTable(SourceData_Poultry.SourceData_Poultry_MCF_Data(), Table_SourceData_Poultry_MMSMCF[[#Headers],[MMS m]], 0)</f>
        <v>1.4999999999999999E-2</v>
      </c>
      <c r="L61" s="37" cm="1">
        <f t="array" ref="L61">Common_InputFunctions.Utility_DisplayArrayInTable(SourceData_Poultry.SourceData_Poultry_MCF_Data(), Table_SourceData_Poultry_MMSMCF[[#Headers],[MMS m]], 0)</f>
        <v>1.4999999999999999E-2</v>
      </c>
      <c r="M61" s="37" cm="1">
        <f t="array" ref="M61">Common_InputFunctions.Utility_DisplayArrayInTable(SourceData_Poultry.SourceData_Poultry_MCF_Data(), Table_SourceData_Poultry_MMSMCF[[#Headers],[MMS m]], 0)</f>
        <v>1.4999999999999999E-2</v>
      </c>
      <c r="N61" s="37"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7" cm="1">
        <f t="array" ref="E62">Common_InputFunctions.Utility_DisplayArrayInTable(SourceData_Poultry.SourceData_Poultry_MCF_Data(), Table_SourceData_Poultry_MMSMCF[[#Headers],[MMS m]], 0)</f>
        <v>1.4999999999999999E-2</v>
      </c>
      <c r="F62" s="37" cm="1">
        <f t="array" ref="F62">Common_InputFunctions.Utility_DisplayArrayInTable(SourceData_Poultry.SourceData_Poultry_MCF_Data(), Table_SourceData_Poultry_MMSMCF[[#Headers],[MMS m]], 0)</f>
        <v>1.4999999999999999E-2</v>
      </c>
      <c r="G62" s="37" cm="1">
        <f t="array" ref="G62">Common_InputFunctions.Utility_DisplayArrayInTable(SourceData_Poultry.SourceData_Poultry_MCF_Data(), Table_SourceData_Poultry_MMSMCF[[#Headers],[MMS m]], 0)</f>
        <v>1.4999999999999999E-2</v>
      </c>
      <c r="H62" s="37" cm="1">
        <f t="array" ref="H62">Common_InputFunctions.Utility_DisplayArrayInTable(SourceData_Poultry.SourceData_Poultry_MCF_Data(), Table_SourceData_Poultry_MMSMCF[[#Headers],[MMS m]], 0)</f>
        <v>1.4999999999999999E-2</v>
      </c>
      <c r="I62" s="37" cm="1">
        <f t="array" ref="I62">Common_InputFunctions.Utility_DisplayArrayInTable(SourceData_Poultry.SourceData_Poultry_MCF_Data(), Table_SourceData_Poultry_MMSMCF[[#Headers],[MMS m]], 0)</f>
        <v>1.4999999999999999E-2</v>
      </c>
      <c r="J62" s="37" cm="1">
        <f t="array" ref="J62">Common_InputFunctions.Utility_DisplayArrayInTable(SourceData_Poultry.SourceData_Poultry_MCF_Data(), Table_SourceData_Poultry_MMSMCF[[#Headers],[MMS m]], 0)</f>
        <v>1.4999999999999999E-2</v>
      </c>
      <c r="K62" s="37" cm="1">
        <f t="array" ref="K62">Common_InputFunctions.Utility_DisplayArrayInTable(SourceData_Poultry.SourceData_Poultry_MCF_Data(), Table_SourceData_Poultry_MMSMCF[[#Headers],[MMS m]], 0)</f>
        <v>1.4999999999999999E-2</v>
      </c>
      <c r="L62" s="37" cm="1">
        <f t="array" ref="L62">Common_InputFunctions.Utility_DisplayArrayInTable(SourceData_Poultry.SourceData_Poultry_MCF_Data(), Table_SourceData_Poultry_MMSMCF[[#Headers],[MMS m]], 0)</f>
        <v>1.4999999999999999E-2</v>
      </c>
      <c r="M62" s="37" cm="1">
        <f t="array" ref="M62">Common_InputFunctions.Utility_DisplayArrayInTable(SourceData_Poultry.SourceData_Poultry_MCF_Data(), Table_SourceData_Poultry_MMSMCF[[#Headers],[MMS m]], 0)</f>
        <v>1.4999999999999999E-2</v>
      </c>
      <c r="N62" s="37"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7" t="str" cm="1">
        <f t="array" ref="E63">Common_InputFunctions.Utility_DisplayArrayInTable(SourceData_Poultry.SourceData_Poultry_MCF_Data(), Table_SourceData_Poultry_MMSMCF[[#Headers],[MMS m]], 0)</f>
        <v>n/a</v>
      </c>
      <c r="F63" s="37" cm="1">
        <f t="array" ref="F63">Common_InputFunctions.Utility_DisplayArrayInTable(SourceData_Poultry.SourceData_Poultry_MCF_Data(), Table_SourceData_Poultry_MMSMCF[[#Headers],[MMS m]], 0)</f>
        <v>0.01</v>
      </c>
      <c r="G63" s="37" cm="1">
        <f t="array" ref="G63">Common_InputFunctions.Utility_DisplayArrayInTable(SourceData_Poultry.SourceData_Poultry_MCF_Data(), Table_SourceData_Poultry_MMSMCF[[#Headers],[MMS m]], 0)</f>
        <v>0.01</v>
      </c>
      <c r="H63" s="37" cm="1">
        <f t="array" ref="H63">Common_InputFunctions.Utility_DisplayArrayInTable(SourceData_Poultry.SourceData_Poultry_MCF_Data(), Table_SourceData_Poultry_MMSMCF[[#Headers],[MMS m]], 0)</f>
        <v>0.03</v>
      </c>
      <c r="I63" s="37" cm="1">
        <f t="array" ref="I63">Common_InputFunctions.Utility_DisplayArrayInTable(SourceData_Poultry.SourceData_Poultry_MCF_Data(), Table_SourceData_Poultry_MMSMCF[[#Headers],[MMS m]], 0)</f>
        <v>0.03</v>
      </c>
      <c r="J63" s="37" cm="1">
        <f t="array" ref="J63">Common_InputFunctions.Utility_DisplayArrayInTable(SourceData_Poultry.SourceData_Poultry_MCF_Data(), Table_SourceData_Poultry_MMSMCF[[#Headers],[MMS m]], 0)</f>
        <v>0.01</v>
      </c>
      <c r="K63" s="37" cm="1">
        <f t="array" ref="K63">Common_InputFunctions.Utility_DisplayArrayInTable(SourceData_Poultry.SourceData_Poultry_MCF_Data(), Table_SourceData_Poultry_MMSMCF[[#Headers],[MMS m]], 0)</f>
        <v>0.01</v>
      </c>
      <c r="L63" s="37" cm="1">
        <f t="array" ref="L63">Common_InputFunctions.Utility_DisplayArrayInTable(SourceData_Poultry.SourceData_Poultry_MCF_Data(), Table_SourceData_Poultry_MMSMCF[[#Headers],[MMS m]], 0)</f>
        <v>0.01</v>
      </c>
      <c r="M63" s="37" cm="1">
        <f t="array" ref="M63">Common_InputFunctions.Utility_DisplayArrayInTable(SourceData_Poultry.SourceData_Poultry_MCF_Data(), Table_SourceData_Poultry_MMSMCF[[#Headers],[MMS m]], 0)</f>
        <v>0.01</v>
      </c>
      <c r="N63" s="37"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7" cm="1">
        <f t="array" ref="E64">Common_InputFunctions.Utility_DisplayArrayInTable(SourceData_Poultry.SourceData_Poultry_MCF_Data(), Table_SourceData_Poultry_MMSMCF[[#Headers],[MMS m]], 0)</f>
        <v>0.02</v>
      </c>
      <c r="F64" s="37" cm="1">
        <f t="array" ref="F64">Common_InputFunctions.Utility_DisplayArrayInTable(SourceData_Poultry.SourceData_Poultry_MCF_Data(), Table_SourceData_Poultry_MMSMCF[[#Headers],[MMS m]], 0)</f>
        <v>0.02</v>
      </c>
      <c r="G64" s="37" cm="1">
        <f t="array" ref="G64">Common_InputFunctions.Utility_DisplayArrayInTable(SourceData_Poultry.SourceData_Poultry_MCF_Data(), Table_SourceData_Poultry_MMSMCF[[#Headers],[MMS m]], 0)</f>
        <v>0.02</v>
      </c>
      <c r="H64" s="37" cm="1">
        <f t="array" ref="H64">Common_InputFunctions.Utility_DisplayArrayInTable(SourceData_Poultry.SourceData_Poultry_MCF_Data(), Table_SourceData_Poultry_MMSMCF[[#Headers],[MMS m]], 0)</f>
        <v>0.02</v>
      </c>
      <c r="I64" s="37" cm="1">
        <f t="array" ref="I64">Common_InputFunctions.Utility_DisplayArrayInTable(SourceData_Poultry.SourceData_Poultry_MCF_Data(), Table_SourceData_Poultry_MMSMCF[[#Headers],[MMS m]], 0)</f>
        <v>0.02</v>
      </c>
      <c r="J64" s="37" cm="1">
        <f t="array" ref="J64">Common_InputFunctions.Utility_DisplayArrayInTable(SourceData_Poultry.SourceData_Poultry_MCF_Data(), Table_SourceData_Poultry_MMSMCF[[#Headers],[MMS m]], 0)</f>
        <v>0.02</v>
      </c>
      <c r="K64" s="37" cm="1">
        <f t="array" ref="K64">Common_InputFunctions.Utility_DisplayArrayInTable(SourceData_Poultry.SourceData_Poultry_MCF_Data(), Table_SourceData_Poultry_MMSMCF[[#Headers],[MMS m]], 0)</f>
        <v>0.02</v>
      </c>
      <c r="L64" s="37" cm="1">
        <f t="array" ref="L64">Common_InputFunctions.Utility_DisplayArrayInTable(SourceData_Poultry.SourceData_Poultry_MCF_Data(), Table_SourceData_Poultry_MMSMCF[[#Headers],[MMS m]], 0)</f>
        <v>0.02</v>
      </c>
      <c r="M64" s="37" cm="1">
        <f t="array" ref="M64">Common_InputFunctions.Utility_DisplayArrayInTable(SourceData_Poultry.SourceData_Poultry_MCF_Data(), Table_SourceData_Poultry_MMSMCF[[#Headers],[MMS m]], 0)</f>
        <v>0.02</v>
      </c>
      <c r="N64" s="37"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7" t="str" cm="1">
        <f t="array" ref="E65">Common_InputFunctions.Utility_DisplayArrayInTable(SourceData_Poultry.SourceData_Poultry_MCF_Data(), Table_SourceData_Poultry_MMSMCF[[#Headers],[MMS m]], 0)</f>
        <v>n/a</v>
      </c>
      <c r="F65" s="37" cm="1">
        <f t="array" ref="F65">Common_InputFunctions.Utility_DisplayArrayInTable(SourceData_Poultry.SourceData_Poultry_MCF_Data(), Table_SourceData_Poultry_MMSMCF[[#Headers],[MMS m]], 0)</f>
        <v>0.01</v>
      </c>
      <c r="G65" s="37" cm="1">
        <f t="array" ref="G65">Common_InputFunctions.Utility_DisplayArrayInTable(SourceData_Poultry.SourceData_Poultry_MCF_Data(), Table_SourceData_Poultry_MMSMCF[[#Headers],[MMS m]], 0)</f>
        <v>0.01</v>
      </c>
      <c r="H65" s="37" cm="1">
        <f t="array" ref="H65">Common_InputFunctions.Utility_DisplayArrayInTable(SourceData_Poultry.SourceData_Poultry_MCF_Data(), Table_SourceData_Poultry_MMSMCF[[#Headers],[MMS m]], 0)</f>
        <v>0.01</v>
      </c>
      <c r="I65" s="37" cm="1">
        <f t="array" ref="I65">Common_InputFunctions.Utility_DisplayArrayInTable(SourceData_Poultry.SourceData_Poultry_MCF_Data(), Table_SourceData_Poultry_MMSMCF[[#Headers],[MMS m]], 0)</f>
        <v>0.01</v>
      </c>
      <c r="J65" s="37" cm="1">
        <f t="array" ref="J65">Common_InputFunctions.Utility_DisplayArrayInTable(SourceData_Poultry.SourceData_Poultry_MCF_Data(), Table_SourceData_Poultry_MMSMCF[[#Headers],[MMS m]], 0)</f>
        <v>0.01</v>
      </c>
      <c r="K65" s="37" cm="1">
        <f t="array" ref="K65">Common_InputFunctions.Utility_DisplayArrayInTable(SourceData_Poultry.SourceData_Poultry_MCF_Data(), Table_SourceData_Poultry_MMSMCF[[#Headers],[MMS m]], 0)</f>
        <v>0.01</v>
      </c>
      <c r="L65" s="37" cm="1">
        <f t="array" ref="L65">Common_InputFunctions.Utility_DisplayArrayInTable(SourceData_Poultry.SourceData_Poultry_MCF_Data(), Table_SourceData_Poultry_MMSMCF[[#Headers],[MMS m]], 0)</f>
        <v>0.01</v>
      </c>
      <c r="M65" s="37" cm="1">
        <f t="array" ref="M65">Common_InputFunctions.Utility_DisplayArrayInTable(SourceData_Poultry.SourceData_Poultry_MCF_Data(), Table_SourceData_Poultry_MMSMCF[[#Headers],[MMS m]], 0)</f>
        <v>5.0000000000000001E-3</v>
      </c>
      <c r="N65" s="37"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7" cm="1">
        <f t="array" ref="E66">Common_InputFunctions.Utility_DisplayArrayInTable(SourceData_Poultry.SourceData_Poultry_MCF_Data(), Table_SourceData_Poultry_MMSMCF[[#Headers],[MMS m]], 0)</f>
        <v>0.1</v>
      </c>
      <c r="F66" s="37" cm="1">
        <f t="array" ref="F66">Common_InputFunctions.Utility_DisplayArrayInTable(SourceData_Poultry.SourceData_Poultry_MCF_Data(), Table_SourceData_Poultry_MMSMCF[[#Headers],[MMS m]], 0)</f>
        <v>0.1</v>
      </c>
      <c r="G66" s="37" cm="1">
        <f t="array" ref="G66">Common_InputFunctions.Utility_DisplayArrayInTable(SourceData_Poultry.SourceData_Poultry_MCF_Data(), Table_SourceData_Poultry_MMSMCF[[#Headers],[MMS m]], 0)</f>
        <v>0.1</v>
      </c>
      <c r="H66" s="37" cm="1">
        <f t="array" ref="H66">Common_InputFunctions.Utility_DisplayArrayInTable(SourceData_Poultry.SourceData_Poultry_MCF_Data(), Table_SourceData_Poultry_MMSMCF[[#Headers],[MMS m]], 0)</f>
        <v>0.1</v>
      </c>
      <c r="I66" s="37" cm="1">
        <f t="array" ref="I66">Common_InputFunctions.Utility_DisplayArrayInTable(SourceData_Poultry.SourceData_Poultry_MCF_Data(), Table_SourceData_Poultry_MMSMCF[[#Headers],[MMS m]], 0)</f>
        <v>0.1</v>
      </c>
      <c r="J66" s="37" cm="1">
        <f t="array" ref="J66">Common_InputFunctions.Utility_DisplayArrayInTable(SourceData_Poultry.SourceData_Poultry_MCF_Data(), Table_SourceData_Poultry_MMSMCF[[#Headers],[MMS m]], 0)</f>
        <v>0.1</v>
      </c>
      <c r="K66" s="37" cm="1">
        <f t="array" ref="K66">Common_InputFunctions.Utility_DisplayArrayInTable(SourceData_Poultry.SourceData_Poultry_MCF_Data(), Table_SourceData_Poultry_MMSMCF[[#Headers],[MMS m]], 0)</f>
        <v>0.1</v>
      </c>
      <c r="L66" s="37" cm="1">
        <f t="array" ref="L66">Common_InputFunctions.Utility_DisplayArrayInTable(SourceData_Poultry.SourceData_Poultry_MCF_Data(), Table_SourceData_Poultry_MMSMCF[[#Headers],[MMS m]], 0)</f>
        <v>0.1</v>
      </c>
      <c r="M66" s="37" cm="1">
        <f t="array" ref="M66">Common_InputFunctions.Utility_DisplayArrayInTable(SourceData_Poultry.SourceData_Poultry_MCF_Data(), Table_SourceData_Poultry_MMSMCF[[#Headers],[MMS m]], 0)</f>
        <v>0.1</v>
      </c>
      <c r="N66" s="37"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7" cm="1">
        <f t="array" ref="E67">Common_InputFunctions.Utility_DisplayArrayInTable(SourceData_Poultry.SourceData_Poultry_MCF_Data(), Table_SourceData_Poultry_MMSMCF[[#Headers],[MMS m]], 0)</f>
        <v>0</v>
      </c>
      <c r="F67" s="37" cm="1">
        <f t="array" ref="F67">Common_InputFunctions.Utility_DisplayArrayInTable(SourceData_Poultry.SourceData_Poultry_MCF_Data(), Table_SourceData_Poultry_MMSMCF[[#Headers],[MMS m]], 0)</f>
        <v>0</v>
      </c>
      <c r="G67" s="37" cm="1">
        <f t="array" ref="G67">Common_InputFunctions.Utility_DisplayArrayInTable(SourceData_Poultry.SourceData_Poultry_MCF_Data(), Table_SourceData_Poultry_MMSMCF[[#Headers],[MMS m]], 0)</f>
        <v>0</v>
      </c>
      <c r="H67" s="37" cm="1">
        <f t="array" ref="H67">Common_InputFunctions.Utility_DisplayArrayInTable(SourceData_Poultry.SourceData_Poultry_MCF_Data(), Table_SourceData_Poultry_MMSMCF[[#Headers],[MMS m]], 0)</f>
        <v>0</v>
      </c>
      <c r="I67" s="37" cm="1">
        <f t="array" ref="I67">Common_InputFunctions.Utility_DisplayArrayInTable(SourceData_Poultry.SourceData_Poultry_MCF_Data(), Table_SourceData_Poultry_MMSMCF[[#Headers],[MMS m]], 0)</f>
        <v>0</v>
      </c>
      <c r="J67" s="37" cm="1">
        <f t="array" ref="J67">Common_InputFunctions.Utility_DisplayArrayInTable(SourceData_Poultry.SourceData_Poultry_MCF_Data(), Table_SourceData_Poultry_MMSMCF[[#Headers],[MMS m]], 0)</f>
        <v>0</v>
      </c>
      <c r="K67" s="37" cm="1">
        <f t="array" ref="K67">Common_InputFunctions.Utility_DisplayArrayInTable(SourceData_Poultry.SourceData_Poultry_MCF_Data(), Table_SourceData_Poultry_MMSMCF[[#Headers],[MMS m]], 0)</f>
        <v>0</v>
      </c>
      <c r="L67" s="37" cm="1">
        <f t="array" ref="L67">Common_InputFunctions.Utility_DisplayArrayInTable(SourceData_Poultry.SourceData_Poultry_MCF_Data(), Table_SourceData_Poultry_MMSMCF[[#Headers],[MMS m]], 0)</f>
        <v>0</v>
      </c>
      <c r="M67" s="37" cm="1">
        <f t="array" ref="M67">Common_InputFunctions.Utility_DisplayArrayInTable(SourceData_Poultry.SourceData_Poultry_MCF_Data(), Table_SourceData_Poultry_MMSMCF[[#Headers],[MMS m]], 0)</f>
        <v>0</v>
      </c>
      <c r="N67" s="37"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7" cm="1">
        <f t="array" ref="E68">Common_InputFunctions.Utility_DisplayArrayInTable(SourceData_Poultry.SourceData_Poultry_MCF_Data(), Table_SourceData_Poultry_MMSMCF[[#Headers],[MMS m]], 0)</f>
        <v>0</v>
      </c>
      <c r="F68" s="37" cm="1">
        <f t="array" ref="F68">Common_InputFunctions.Utility_DisplayArrayInTable(SourceData_Poultry.SourceData_Poultry_MCF_Data(), Table_SourceData_Poultry_MMSMCF[[#Headers],[MMS m]], 0)</f>
        <v>0</v>
      </c>
      <c r="G68" s="37" cm="1">
        <f t="array" ref="G68">Common_InputFunctions.Utility_DisplayArrayInTable(SourceData_Poultry.SourceData_Poultry_MCF_Data(), Table_SourceData_Poultry_MMSMCF[[#Headers],[MMS m]], 0)</f>
        <v>0</v>
      </c>
      <c r="H68" s="37" cm="1">
        <f t="array" ref="H68">Common_InputFunctions.Utility_DisplayArrayInTable(SourceData_Poultry.SourceData_Poultry_MCF_Data(), Table_SourceData_Poultry_MMSMCF[[#Headers],[MMS m]], 0)</f>
        <v>0</v>
      </c>
      <c r="I68" s="37" cm="1">
        <f t="array" ref="I68">Common_InputFunctions.Utility_DisplayArrayInTable(SourceData_Poultry.SourceData_Poultry_MCF_Data(), Table_SourceData_Poultry_MMSMCF[[#Headers],[MMS m]], 0)</f>
        <v>0</v>
      </c>
      <c r="J68" s="37" cm="1">
        <f t="array" ref="J68">Common_InputFunctions.Utility_DisplayArrayInTable(SourceData_Poultry.SourceData_Poultry_MCF_Data(), Table_SourceData_Poultry_MMSMCF[[#Headers],[MMS m]], 0)</f>
        <v>0</v>
      </c>
      <c r="K68" s="37" cm="1">
        <f t="array" ref="K68">Common_InputFunctions.Utility_DisplayArrayInTable(SourceData_Poultry.SourceData_Poultry_MCF_Data(), Table_SourceData_Poultry_MMSMCF[[#Headers],[MMS m]], 0)</f>
        <v>0</v>
      </c>
      <c r="L68" s="37" cm="1">
        <f t="array" ref="L68">Common_InputFunctions.Utility_DisplayArrayInTable(SourceData_Poultry.SourceData_Poultry_MCF_Data(), Table_SourceData_Poultry_MMSMCF[[#Headers],[MMS m]], 0)</f>
        <v>0</v>
      </c>
      <c r="M68" s="37" cm="1">
        <f t="array" ref="M68">Common_InputFunctions.Utility_DisplayArrayInTable(SourceData_Poultry.SourceData_Poultry_MCF_Data(), Table_SourceData_Poultry_MMSMCF[[#Headers],[MMS m]], 0)</f>
        <v>0</v>
      </c>
      <c r="N68" s="37"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5" t="str" cm="1">
        <f t="array" ref="D74">SourceData_Poultry.SourceData_Poultry_VSL_Variation()</f>
        <v>VARIATION ON SOURCE: Table generated from line items. Added 'NIR definition column'.</v>
      </c>
      <c r="M74" s="1"/>
      <c r="V74" s="1"/>
    </row>
    <row r="75" spans="4:22" ht="20.100000000000001" customHeight="1" x14ac:dyDescent="0.25">
      <c r="D75" s="37" t="s">
        <v>64</v>
      </c>
      <c r="E75" s="37" t="s">
        <v>126</v>
      </c>
      <c r="F75" s="37" t="s">
        <v>125</v>
      </c>
      <c r="M75" s="1"/>
      <c r="V75" s="1"/>
    </row>
    <row r="76" spans="4:22" ht="20.100000000000001" customHeight="1" x14ac:dyDescent="0.25">
      <c r="D76" s="37" t="str" cm="1">
        <f t="array" ref="D76">Common_InputFunctions.Utility_DisplayArrayInTable(SourceData_Poultry.SourceData_Poultry_VSL_Data(), Table_SourceData_Poultry_MMSVSL[[#Headers],[MMS]], 0)</f>
        <v>Poultry manure with litter</v>
      </c>
      <c r="E76" s="37" cm="1">
        <f t="array" ref="E76">Common_InputFunctions.Utility_DisplayArrayInTable(SourceData_Poultry.SourceData_Poultry_VSL_Data(), Table_SourceData_Poultry_MMSVSL[[#Headers],[MMS]], 0)</f>
        <v>0.15</v>
      </c>
      <c r="F76" s="37"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7" cm="1">
        <f t="array" ref="E77">Common_InputFunctions.Utility_DisplayArrayInTable(SourceData_Poultry.SourceData_Poultry_VSL_Data(), Table_SourceData_Poultry_MMSVSL[[#Headers],[MMS]], 0)</f>
        <v>0.2</v>
      </c>
      <c r="F77" s="37"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7" cm="1">
        <f t="array" ref="E78">Common_InputFunctions.Utility_DisplayArrayInTable(SourceData_Poultry.SourceData_Poultry_VSL_Data(), Table_SourceData_Poultry_MMSVSL[[#Headers],[MMS]], 0)</f>
        <v>0</v>
      </c>
      <c r="F78" s="37"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5" t="str" cm="1">
        <f t="array" ref="D83">SourceData_Poultry.SourceData_Poultry_FracGASMmT_Variation()</f>
        <v>VARIATION ON SOURCE: Added 'NIR definition column'.</v>
      </c>
      <c r="M83" s="1"/>
    </row>
    <row r="84" spans="4:23" ht="20.100000000000001" customHeight="1" x14ac:dyDescent="0.25">
      <c r="D84" s="37" t="s">
        <v>148</v>
      </c>
      <c r="E84" s="37" t="s">
        <v>149</v>
      </c>
      <c r="F84" s="37" t="s">
        <v>150</v>
      </c>
      <c r="M84" s="1"/>
    </row>
    <row r="85" spans="4:23" ht="20.100000000000001" customHeight="1" x14ac:dyDescent="0.25">
      <c r="D85" s="37" t="str" cm="1">
        <f t="array" ref="D85">Common_InputFunctions.Utility_DisplayArrayInTable(SourceData_Poultry.SourceData_Poultry_FracGASMmT_Data(), Table_SourceData_Poultry_FracGASM[[#Headers],[MMSm]], 0)</f>
        <v>Poultry manure with litter (housing)</v>
      </c>
      <c r="E85" s="37" cm="1">
        <f t="array" ref="E85">Common_InputFunctions.Utility_DisplayArrayInTable(SourceData_Poultry.SourceData_Poultry_FracGASMmT_Data(), Table_SourceData_Poultry_FracGASM[[#Headers],[MMSm]], 0)</f>
        <v>0.3</v>
      </c>
      <c r="F85" s="37"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7" cm="1">
        <f t="array" ref="E86">Common_InputFunctions.Utility_DisplayArrayInTable(SourceData_Poultry.SourceData_Poultry_FracGASMmT_Data(), Table_SourceData_Poultry_FracGASM[[#Headers],[MMSm]], 0)</f>
        <v>0.05</v>
      </c>
      <c r="F86" s="37"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7" cm="1">
        <f t="array" ref="E87">Common_InputFunctions.Utility_DisplayArrayInTable(SourceData_Poultry.SourceData_Poultry_FracGASMmT_Data(), Table_SourceData_Poultry_FracGASM[[#Headers],[MMSm]], 0)</f>
        <v>0.4</v>
      </c>
      <c r="F87" s="37"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7" cm="1">
        <f t="array" ref="E88">Common_InputFunctions.Utility_DisplayArrayInTable(SourceData_Poultry.SourceData_Poultry_FracGASMmT_Data(), Table_SourceData_Poultry_FracGASM[[#Headers],[MMSm]], 0)</f>
        <v>0.2</v>
      </c>
      <c r="F88" s="37"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7" cm="1">
        <f t="array" ref="E89">Common_InputFunctions.Utility_DisplayArrayInTable(SourceData_Poultry.SourceData_Poultry_FracGASMmT_Data(), Table_SourceData_Poultry_FracGASM[[#Headers],[MMSm]], 0)</f>
        <v>0.2</v>
      </c>
      <c r="F89" s="37"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7" cm="1">
        <f t="array" ref="E90">Common_InputFunctions.Utility_DisplayArrayInTable(SourceData_Poultry.SourceData_Poultry_FracGASMmT_Data(), Table_SourceData_Poultry_FracGASM[[#Headers],[MMSm]], 0)</f>
        <v>0</v>
      </c>
      <c r="F90" s="37"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7" cm="1">
        <f t="array" ref="E91">Common_InputFunctions.Utility_DisplayArrayInTable(SourceData_Poultry.SourceData_Poultry_FracGASMmT_Data(), Table_SourceData_Poultry_FracGASM[[#Headers],[MMSm]], 0)</f>
        <v>0</v>
      </c>
      <c r="F91" s="37"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5"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7" t="s">
        <v>148</v>
      </c>
      <c r="E97" s="37" t="s">
        <v>152</v>
      </c>
      <c r="F97" s="37" t="s">
        <v>150</v>
      </c>
      <c r="M97" s="1"/>
    </row>
    <row r="98" spans="4:13" ht="20.100000000000001" customHeight="1" x14ac:dyDescent="0.25">
      <c r="D98" s="37" t="str" cm="1">
        <f t="array" ref="D98">Common_InputFunctions.Utility_DisplayArrayInTable(SourceData_Poultry.SourceData_Poultry_EFmT_Data(),Table_SourceData_Poultry_EFmT[[#Headers],[MMSm]], 0)</f>
        <v>Poultry manure with litter (housing)</v>
      </c>
      <c r="E98" s="37" cm="1">
        <f t="array" ref="E98">Common_InputFunctions.Utility_DisplayArrayInTable(SourceData_Poultry.SourceData_Poultry_EFmT_Data(),Table_SourceData_Poultry_EFmT[[#Headers],[MMSm]], 0)</f>
        <v>1E-3</v>
      </c>
      <c r="F98" s="37"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7" cm="1">
        <f t="array" ref="E99">Common_InputFunctions.Utility_DisplayArrayInTable(SourceData_Poultry.SourceData_Poultry_EFmT_Data(),Table_SourceData_Poultry_EFmT[[#Headers],[MMSm]], 0)</f>
        <v>1E-3</v>
      </c>
      <c r="F99" s="37"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7" cm="1">
        <f t="array" ref="E100">Common_InputFunctions.Utility_DisplayArrayInTable(SourceData_Poultry.SourceData_Poultry_EFmT_Data(),Table_SourceData_Poultry_EFmT[[#Headers],[MMSm]], 0)</f>
        <v>1E-3</v>
      </c>
      <c r="F100" s="37"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7" cm="1">
        <f t="array" ref="E101">Common_InputFunctions.Utility_DisplayArrayInTable(SourceData_Poultry.SourceData_Poultry_EFmT_Data(),Table_SourceData_Poultry_EFmT[[#Headers],[MMSm]], 0)</f>
        <v>0.02</v>
      </c>
      <c r="F101" s="37"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7" cm="1">
        <f t="array" ref="E102">Common_InputFunctions.Utility_DisplayArrayInTable(SourceData_Poultry.SourceData_Poultry_EFmT_Data(),Table_SourceData_Poultry_EFmT[[#Headers],[MMSm]], 0)</f>
        <v>5.0000000000000001E-3</v>
      </c>
      <c r="F102" s="37"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7" cm="1">
        <f t="array" ref="E103">Common_InputFunctions.Utility_DisplayArrayInTable(SourceData_Poultry.SourceData_Poultry_EFmT_Data(),Table_SourceData_Poultry_EFmT[[#Headers],[MMSm]], 0)</f>
        <v>0.01</v>
      </c>
      <c r="F103" s="37"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7" cm="1">
        <f t="array" ref="E104">Common_InputFunctions.Utility_DisplayArrayInTable(SourceData_Poultry.SourceData_Poultry_EFmT_Data(),Table_SourceData_Poultry_EFmT[[#Headers],[MMSm]], 0)</f>
        <v>0</v>
      </c>
      <c r="F104" s="37"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7" cm="1">
        <f t="array" ref="E105">Common_InputFunctions.Utility_DisplayArrayInTable(SourceData_Poultry.SourceData_Poultry_EFmT_Data(),Table_SourceData_Poultry_EFmT[[#Headers],[MMSm]], 0)</f>
        <v>0</v>
      </c>
      <c r="F105" s="37"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3"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5"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3" t="str" cm="1">
        <f t="array" ref="D115">SourceData_Poultry.SourceData_Poultry_FracGAMSSoil_Variable()</f>
        <v>FracGASM_soil</v>
      </c>
      <c r="E115" s="1" cm="1">
        <f t="array" ref="E115">SourceData_Poultry.SourceData_Poultry_FracGAMSSoil_Data()</f>
        <v>0.21</v>
      </c>
      <c r="F115" s="54"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7" t="s">
        <v>356</v>
      </c>
      <c r="E119" s="37" t="s">
        <v>357</v>
      </c>
      <c r="M119" s="1"/>
    </row>
    <row r="120" spans="4:22" ht="20.100000000000001" customHeight="1" x14ac:dyDescent="0.25">
      <c r="D120" s="37" t="str" cm="1">
        <f t="array" ref="D120">Common_InputFunctions.Utility_DisplayArrayInTable(SourceData_Poultry.SourceData_Poultry_Liveweights_Data(),Table_SourceData_Poultry_Liveweights[[#Headers],[Livestock class j]],0)</f>
        <v>Chicken</v>
      </c>
      <c r="E120" s="37"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7"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7"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7"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98FC-EEE1-4AE7-8C30-A5064BE303F5}">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71</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18</v>
      </c>
      <c r="E6" s="37" t="s">
        <v>19</v>
      </c>
      <c r="F6" s="37" t="s">
        <v>20</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21</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24</v>
      </c>
      <c r="E36" s="37" t="s">
        <v>25</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24</v>
      </c>
      <c r="E47" s="37" t="s">
        <v>27</v>
      </c>
      <c r="F47" s="37" t="s">
        <v>28</v>
      </c>
      <c r="G47" s="37" t="s">
        <v>29</v>
      </c>
      <c r="H47" s="37" t="s">
        <v>30</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5" t="str" cm="1">
        <f t="array" ref="D59:D61">"⚠️" &amp; Common_SourceData.Common_SourceData_WetAndDryZones_Variation()</f>
        <v>⚠️VARIATION OF SOURCE DATA:</v>
      </c>
    </row>
    <row r="60" spans="4:8" ht="20.100000000000001" customHeight="1" x14ac:dyDescent="0.25">
      <c r="D60" s="55" t="str">
        <v>⚠️Added warm / cool temperate moist / dry - low frost and high temp classes to accommodate climate scenarios excluded by VEERG criteria.</v>
      </c>
    </row>
    <row r="61" spans="4:8" ht="20.100000000000001" customHeight="1" x14ac:dyDescent="0.25">
      <c r="D61" s="55" t="str">
        <v>⚠️Fixed typo - Changed 'Fry' to 'Dry'.</v>
      </c>
    </row>
    <row r="62" spans="4:8" ht="20.100000000000001" customHeight="1" x14ac:dyDescent="0.25"/>
    <row r="63" spans="4:8" ht="20.100000000000001" customHeight="1" x14ac:dyDescent="0.25">
      <c r="D63" s="37" t="s">
        <v>7</v>
      </c>
      <c r="E63" s="37" t="s">
        <v>45</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5" t="str" cm="1">
        <f t="array" ref="D83:D87">"⚠️" &amp; Common_SourceData.Common_SourceData_ClimateZones_Variation()</f>
        <v>⚠️VARIATION OF SOURCE DATA:</v>
      </c>
    </row>
    <row r="84" spans="4:20" ht="20.100000000000001" customHeight="1" x14ac:dyDescent="0.25">
      <c r="D84" s="55" t="str">
        <v>⚠️Added warm / cool temperate moist / dry - low frost and high temp classes to accommodate climate scenarios excluded by VEERG criteria.</v>
      </c>
    </row>
    <row r="85" spans="4:20" ht="20.100000000000001" customHeight="1" x14ac:dyDescent="0.25">
      <c r="D85" s="55" t="str">
        <v>⚠️Fixed typo in MAT value for warm temperate dry - changed 10 to 11.</v>
      </c>
    </row>
    <row r="86" spans="4:20" ht="20.100000000000001" customHeight="1" x14ac:dyDescent="0.25">
      <c r="D86" s="55" t="str">
        <v>⚠️Added min and max columns for MAT, MAP, frost days per year, elevation, MAP:PET to calculate zones from real climate data.</v>
      </c>
    </row>
    <row r="87" spans="4:20" ht="20.100000000000001" customHeight="1" x14ac:dyDescent="0.25">
      <c r="D87" s="55" t="str">
        <v>⚠️GAF accepts rainfall as a proxy for precipitation.</v>
      </c>
    </row>
    <row r="88" spans="4:20" ht="20.100000000000001" customHeight="1" x14ac:dyDescent="0.25"/>
    <row r="89" spans="4:20" ht="20.100000000000001" customHeight="1" x14ac:dyDescent="0.25">
      <c r="D89" s="37" t="s">
        <v>7</v>
      </c>
      <c r="E89" s="37" t="s">
        <v>33</v>
      </c>
      <c r="F89" s="37" t="s">
        <v>34</v>
      </c>
      <c r="G89" s="37" t="s">
        <v>35</v>
      </c>
      <c r="H89" s="37" t="s">
        <v>36</v>
      </c>
      <c r="I89" s="37" t="s">
        <v>37</v>
      </c>
      <c r="J89" s="37" t="s">
        <v>38</v>
      </c>
      <c r="K89" s="37" t="s">
        <v>39</v>
      </c>
      <c r="L89" s="37" t="s">
        <v>40</v>
      </c>
      <c r="M89" s="37" t="s">
        <v>41</v>
      </c>
      <c r="N89" s="37" t="s">
        <v>42</v>
      </c>
      <c r="O89" s="37" t="s">
        <v>46</v>
      </c>
      <c r="P89" s="37" t="s">
        <v>43</v>
      </c>
      <c r="Q89" s="37" t="s">
        <v>47</v>
      </c>
      <c r="R89" s="37" t="s">
        <v>44</v>
      </c>
      <c r="S89" s="37" t="s">
        <v>48</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4" t="str" cm="1">
        <f t="array" ref="D99:D102">Common_SourceData.Common_SourceData_ClimateZones_Appendices()</f>
        <v>Note:</v>
      </c>
    </row>
    <row r="100" spans="4:20" ht="20.100000000000001" customHeight="1" x14ac:dyDescent="0.25">
      <c r="D100" s="54" t="str">
        <v>MAT = mean annual temperature</v>
      </c>
    </row>
    <row r="101" spans="4:20" ht="20.100000000000001" customHeight="1" x14ac:dyDescent="0.25">
      <c r="D101" s="54" t="str">
        <v>MAP = mean annual precipitation</v>
      </c>
    </row>
    <row r="102" spans="4:20" ht="20.100000000000001" customHeight="1" x14ac:dyDescent="0.25">
      <c r="D102" s="54" t="str">
        <v>PET = potential evapotranspiration</v>
      </c>
    </row>
    <row r="103" spans="4:20" ht="20.100000000000001" customHeight="1" x14ac:dyDescent="0.25">
      <c r="D103" s="54"/>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5"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52</v>
      </c>
      <c r="E109" s="37" t="s">
        <v>33</v>
      </c>
      <c r="F109" s="37" t="s">
        <v>53</v>
      </c>
      <c r="G109" s="37" t="s">
        <v>54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5"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55</v>
      </c>
      <c r="E119" s="37" t="s">
        <v>56</v>
      </c>
      <c r="F119" s="37" t="s">
        <v>40</v>
      </c>
      <c r="G119" s="37" t="s">
        <v>41</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62</v>
      </c>
      <c r="E127" s="37" t="s">
        <v>63</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86</v>
      </c>
      <c r="E134" t="s">
        <v>87</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5"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112</v>
      </c>
      <c r="E142" s="37" t="s">
        <v>87</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65</v>
      </c>
      <c r="E153" s="37" t="s">
        <v>66</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4"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4" t="str" cm="1">
        <f t="array" ref="D180">Common_SourceData.Common_SourceData_EFN2O_Unit()</f>
        <v>(kg N2O-N / kg N</v>
      </c>
    </row>
    <row r="181" spans="4:68" ht="20.100000000000001" customHeight="1" x14ac:dyDescent="0.25">
      <c r="D181" s="55" t="str" cm="1">
        <f t="array" ref="D181:D185">Common_SourceData.Common_SourceData_EFN2O_Variation()</f>
        <v>VARIATION OF SOURCE DATA:</v>
      </c>
    </row>
    <row r="182" spans="4:68" ht="20.100000000000001" customHeight="1" x14ac:dyDescent="0.25">
      <c r="D182" s="55" t="str">
        <v>Removed duplicate 'Aquaculture' row.</v>
      </c>
    </row>
    <row r="183" spans="4:68" ht="20.100000000000001" customHeight="1" x14ac:dyDescent="0.25">
      <c r="D183" s="55" t="str">
        <v>Removed asterisks to aid lookup.</v>
      </c>
    </row>
    <row r="184" spans="4:68" ht="20.100000000000001" customHeight="1" x14ac:dyDescent="0.25">
      <c r="D184" s="55" t="str">
        <v>Added 'production system only', 'rainfall zone' and 'irrigation method' columns to aid lookup.</v>
      </c>
    </row>
    <row r="185" spans="4:68" ht="20.100000000000001" customHeight="1" x14ac:dyDescent="0.25">
      <c r="D185" s="55" t="str">
        <v>Duplicated 'non-irrigated pasture' row with same EF for low and high rainfall zones to aid lookup.</v>
      </c>
    </row>
    <row r="186" spans="4:68" ht="20.100000000000001" customHeight="1" x14ac:dyDescent="0.25">
      <c r="D186" s="37" t="s">
        <v>101</v>
      </c>
      <c r="E186" s="37" t="s">
        <v>102</v>
      </c>
      <c r="F186" s="37" t="s">
        <v>103</v>
      </c>
      <c r="G186" s="37" t="s">
        <v>104</v>
      </c>
      <c r="H186" s="37" t="s">
        <v>32</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5" t="str" cm="1">
        <f t="array" ref="D204">Common_SourceData.Common_SourceData_EFPastureRangeAndPaddock_Variation()</f>
        <v>VARIATION FROM SOURCE DATA: Changed 'Dry climate zones' to singular 'Dry climate zone' to aid lookup.</v>
      </c>
    </row>
    <row r="205" spans="4:8" x14ac:dyDescent="0.25">
      <c r="D205" s="54" t="str" cm="1">
        <f t="array" ref="D205">Common_SourceData.Common_SourceData_EFPastureRangeAndPaddock_Unit()</f>
        <v>kg N2O - N / kg N</v>
      </c>
    </row>
    <row r="206" spans="4:8" x14ac:dyDescent="0.25">
      <c r="D206" s="37" t="s">
        <v>7</v>
      </c>
      <c r="E206" s="37" t="s">
        <v>114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109</v>
      </c>
      <c r="E212" s="37" t="s">
        <v>119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5"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49</v>
      </c>
      <c r="E231" s="37" t="s">
        <v>337</v>
      </c>
      <c r="F231" s="36" t="s">
        <v>338</v>
      </c>
      <c r="G231" s="37" t="s">
        <v>329</v>
      </c>
      <c r="H231" s="37" t="s">
        <v>339</v>
      </c>
      <c r="I231" s="37" t="s">
        <v>340</v>
      </c>
      <c r="J231" s="37" t="s">
        <v>325</v>
      </c>
      <c r="K231" s="37" t="s">
        <v>321</v>
      </c>
      <c r="L231" s="37" t="s">
        <v>341</v>
      </c>
      <c r="M231" s="37" t="s">
        <v>342</v>
      </c>
      <c r="N231" s="37" t="s">
        <v>319</v>
      </c>
      <c r="O231" s="37" t="s">
        <v>343</v>
      </c>
      <c r="P231" s="37" t="s">
        <v>333</v>
      </c>
      <c r="Q231" s="37" t="s">
        <v>335</v>
      </c>
      <c r="R231" s="37" t="s">
        <v>331</v>
      </c>
      <c r="S231" s="37" t="s">
        <v>344</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4" t="str" cm="1">
        <f t="array" ref="D256">Common_SourceData.Common_SourceData_EFOrganicFertiliserAndCropResidues_Unit()</f>
        <v>kg N2O - N / kg N</v>
      </c>
    </row>
    <row r="257" spans="4:5" x14ac:dyDescent="0.25">
      <c r="D257" s="37" t="s">
        <v>358</v>
      </c>
      <c r="E257" s="37" t="s">
        <v>359</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4" t="e" vm="1">
        <v>#VALUE!</v>
      </c>
      <c r="C1" s="8" t="s">
        <v>72</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1</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Poultry'!A1", "Poultry")</f>
        <v>Poultry</v>
      </c>
      <c r="D9" s="36" t="s">
        <v>73</v>
      </c>
      <c r="E9" s="37" t="s">
        <v>17</v>
      </c>
      <c r="F9" s="37" t="s">
        <v>74</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70</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HYPERLINK("#'4.6.1.1-2 Methane'!A1", "4.6.1.1-2 Methane")</f>
        <v>4.6.1.1-2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HYPERLINK("#'4.6.1.3-4 Direct N20'!A1", "4.6.1.3-4 Direct N2O")</f>
        <v>4.6.1.3-4 Direct N2O</v>
      </c>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HYPERLINK("#'4.6.1.5-6 Atmos Dep'!A1", "4.6.1.5-6 Atmospheric deposition")</f>
        <v>4.6.1.5-6 Atmospheric deposition</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HYPERLINK("#'4.6.1.7-8 Leaching and runoff'!A1", "4.6.1.7-8 Leaching &amp; runoff")</f>
        <v>4.6.1.7-8 Leaching &amp; runoff</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HYPERLINK("#'4.6.1.9 Manure applied to soils'!A1", "4.6.1.9 Manure applied to soils")</f>
        <v>4.6.1.9 Manure applied to soils</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HYPERLINK("#'4.6.1.10-11 Soil direct N2O'!A1", "4.6.1.10-11 Soil direct N2O")</f>
        <v>4.6.1.10-11 Soil direct N2O</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HYPERLINK("#'4.6.1.12-13 Soil atmos dep'!A1", "4.6.1.12-13 Soil Atm. deposition")</f>
        <v>4.6.1.12-13 Soil Atm. deposition</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HYPERLINK("#'4.6.1.14-15 Soil leach runoff'!A1", "4.6.1.14-15 Soil leach &amp; runoff")</f>
        <v>4.6.1.14-15 Soil leach &amp; runoff</v>
      </c>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2</v>
      </c>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Poultry'!A1", "Constants - Poultry")</f>
        <v>Constants - Poultry</v>
      </c>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28" t="str">
        <f>HYPERLINK("#'Constants - Livestock'!A1", "Constants - Livestock")</f>
        <v>Constants - Livestock</v>
      </c>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QAG8AdQBsAHQAcgB5ACIALAAiAHQAZQB4AHQAIgA6ACIALwAqACAAXABuAC0ALQAtAC0ALQAtAC0ALQAtAC0ALQAtAC0ALQAtAC0ALQAtAC0ALQAtAC0ALQAtAC0ALQAtAC0ALQAtAC0ALQAtAC0ALQAtAC0ALQBcAG4AUwBvAHUAcgBjAGUARABhAHQAYQBfAFAAbwB1AGwAdAByAHkAXwBEAGkAZQB0AFAAcgBvAHAAZQByAHQAaQBlAHMAXABuAFQAYQBiAGwAZQAgAEEALgAxAC4ANwAuADEAOgAgAFAAbwB1AGwAdAByAHkAIAAtACAARABpAGUAdAAgAHAAcgBvAHAAZQByAHQAaQBlAHMAXABuAC0ALQAtAC0ALQAtAC0ALQAtAC0ALQAtAC0ALQAtAC0ALQAtAC0ALQAtAC0ALQAtAC0ALQAtAC0ALQAtAC0ALQAtAC0ALQAtAC0ALQBcAG4AKgAvAFwAbgBcAG4AUwBvAHUAcgBjAGUARABhAHQAYQBfAFAAbwB1AGwAdAByAHkAXwBEAGkAZQB0AFAAcgBvAHAAZQByAHQAaQBlAHMAXwBUAGkAdABsAGUAXABuACAAIAA9AEwAQQBNAEIARABBACgAXAAiAFAAbwB1AGwAdAByAHkAIAAtACAARABpAGUAdAAgAHAAcgBvAHAAZQByAHQAaQBlAHMAXAAiACkAOwBcAG4AXABuAFMAbwB1AHIAYwBlAEQAYQB0AGEAXwBQAG8AdQBsAHQAcgB5AF8ARABpAGUAdABQAHIAbwBwAGUAcgB0AGkAZQBzAF8AVQBuAGkAdABcAG4AIAAgAD0ATABBAE0AQgBEAEEAKABcACIAXAAiACkAOwBcAG4AXABuAFMAbwB1AHIAYwBlAEQAYQB0AGEAXwBQAG8AdQBsAHQAcgB5AF8ARABpAGUAdABQAHIAbwBwAGUAcgB0AGkAZQBzAF8AUwBvAHUAcgBjAGUAXABuACAAIAA9AEwAQQBNAEIARABBACgAXAAiAFYARQBFAFIARwAgADIAMAAyADYAOgAgAFQAYQBiAGwAZQAgAEEALgAxAC4ANwAuADEAOgAgAFAAbwB1AGwAdAByAHkAIAAtACAARABpAGUAdAAgAHAAcgBvAHAAZQByAHQAaQBlAHMAXAAiACkAOwBcAG4AXABuAFMAbwB1AHIAYwBlAEQAYQB0AGEAXwBQAG8AdQBsAHQAcgB5AF8ARABpAGUAdABQAHIAbwBwAGUAcgB0AGkAZQBzAF8AVgBhAHIAaQBhAHQAaQBvAG4AXABuACAAIAA9AEwAQQBNAEIARABBACgAXAAiAFwAIgApADsAXABuAFwAbgBTAG8AdQByAGMAZQBEAGEAdABhAF8AUABvAHUAbAB0AHIAeQBfAEQAaQBlAHQAUAByAG8AcABlAHIAdABpAGUAcwBfAEQAYQB0AGEAXABuACAAIAA9AEwAQQBNAEIARABBACgAXABuACAAIAAgACAATQBBAEsARQBBAFIAUgBBAFkAKAA2ACwAIAA1ACwAIABcAG4AIAAgACAAIAAgACAATABBAE0AQgBEAEEAKAByACwAYwAsACAAXABuACAAIAAgACAAIAAgACAAIABJAE4ARABFAFgAKAB7AFwAbgAgACAAIAAgACAAIAAgACAAIAAgAFwAIgBOAHUAdAByAGkAZQBuAHQAIABhAG4AYQBsAHkAcwBpAHMAXAAiACwAIABcACIATABhAHkAZQByAHMAXAAiACwAIABcACIATQBlAGEAdAAgAGMAaABpAGMAawBlAG4AIABnAHIAbwB3AGUAcgBzAFwAIgAsACAAXAAiAE0AZQBhAHQAIABjAGgAaQBjAGsAZQBuACAAYgByAGUAZQBkAGUAcgBcACIALAAgAFwAIgBNAGUAYQB0ACAAbwB0AGgAZQByAFwAIgA7AFwAbgAgACAAIAAgACAAIAAgACAAIAAgAFwAIgBEAHIAeQAgAG0AYQB0AHQAZQByACAAaQBuAHQAYQBrAGUAIAAoAGsAZwAvAGgAZQBhAGQALwBkAGEAeQApAFwAIgAsACAAMAAuADAAOAA2ACwAIAAwAC4AMAA5ADMALAAgADAALgAxADAAMwAsACAAMAAuADAAOQAzADsAIABcAG4AIAAgACAAIAAgACAAIAAgACAAIABcACIARAByAHkAIABtAGEAdAB0AGUAcgAgAGQAaQBnAGUAcwB0AGkAYgBpAGwAaQB0AHkAXAAiACwAIAAwAC4AOAAwACwAIAAwAC4AOAAwACwAIAAwAC4AOAAwACwAIAAwAC4AOAAwADsAXABuACAAIAAgACAAIAAgACAAIAAgACAAXAAiAEMAcgB1AGQAZQAgAHAAcgBvAHQAZQBpAG4AXAAiACwAIAAwAC4AMQA5ACwAIAAwAC4AMgAzACwAIAAwAC4AMQA5ACwAIAAwAC4AMgAzADsAXABuACAAIAAgACAAIAAgACAAIAAgACAAXAAiAE4AaQB0AHIAbwBnAGUAbgAgAHIAZQB0AGUAbgB0AGkAbwBuACAAcgBhAHQAZQBcACIALAAgADAALgAzADUALAAgADAALgA0ADcALAAgADAALgAzADIALAAgADAALgA0ADcAOwBcAG4AIAAgACAAIAAgACAAIAAgACAAIABcACIATQBhAG4AdQByAGUAIABhAHMAaABcACIALAAgADAALgAxADgALAAgADAALgAxADUALAAgADAALgAxADgALAAgADAALgAxADU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TQBDAEYAXABuAFQAYQBiAGwAZQAgAEEALgAxAC4ANwAuADQAOgAgAFAAbwB1AGwAdAByAHkAIAAtACAATQBDAEYAcwBcAG4ALQAtAC0ALQAtAC0ALQAtAC0ALQAtAC0ALQAtAC0ALQAtAC0ALQAtAC0ALQAtAC0ALQAtAC0ALQAtAC0ALQAtAC0ALQAtAC0ALQAtAFwAbgAqAC8AXABuAFwAbgBTAG8AdQByAGMAZQBEAGEAdABhAF8AUABvAHUAbAB0AHIAeQBfAE0AQwBGAF8AVABpAHQAbABlAFwAbgAgACAAPQBMAEEATQBCAEQAQQAoAFwAIgBQAG8AdQBsAHQAcgB5ACAALQAgAE0AQwBGAHMAXAAiACkAOwBcAG4AXABuAFMAbwB1AHIAYwBlAEQAYQB0AGEAXwBQAG8AdQBsAHQAcgB5AF8ATQBDAEYAXwBVAG4AaQB0AFwAbgAgACAAPQBMAEEATQBCAEQAQQAoAFwAIgBcACIAKQA7AFwAbgBcAG4AUwBvAHUAcgBjAGUARABhAHQAYQBfAFAAbwB1AGwAdAByAHkAXwBNAEMARgBfAFMAbwB1AHIAYwBlAFwAbgAgACAAPQBMAEEATQBCAEQAQQAoAFwAIgBWAEUARQBSAEcAIAAyADAAMgA2ADoAIABUAGEAYgBsAGUAIABBAC4AMQAuADcALgA0ADoAIABQAG8AdQBsAHQAcgB5ACAALQAgAE0AQwBGAHMAXAAiACkAOwBcAG4AXABuAFMAbwB1AHIAYwBlAEQAYQB0AGEAXwBQAG8AdQBsAHQAcgB5AF8ATQBDAEY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OACAAUwBPAFUAUgBDAEUAOgBcACIAOwBcAG4AIAAgACAAIAAgACAAIAAgACAAIABcACIAUwBwAGwAaQB0ACAATgBTAFcAIABhAG4AZAAgAEEAQwBUACAAaQBuAHQAbwAgAHMAZQBwAGEAcgBhAHQAZQAgAHMAdABhAHQAZQBzAC4AIABTAHAAbABpAHQAIABRAEwARAAgAGEAbgBkACAATgBUACAAaQBuAHQAbwAgAHMAZQBwAGEAcgBhAHQAZQAgAHMAdABhAHQAZQBzAC4AXAAiADsAXABuACAAIAAgACAAIAAgACAAIAAgACAAXAAiAEkAbgBjAGwAdQBkAGUAZAAgAHYAYQBsAHUAZQBzACAAZgBvAHIAIABlAGEAYwBoACAAcwB0AGEAdABlACAAdwBoAGUAbgAgAFwAdQAwADAAMgA3AEEAbABsACAAcwB0AGEAdABlAHMAXAB1ADAAMAAyADcAIAB2AGEAbAB1AGUAIABpAHMAIABnAGkAdgBlAG4ALgBcACIAOwBcAG4AIAAgACAAIAAgACAAIAAgACAAIABcACIAQQBkAGQAZQBkACAAXAB1ADAAMAAyADcATgBJAFIAIABkAGUAZgBpAG4AaQB0AGkAbwBuAFwAdQAwADAAMgA3ACAAYwBvAGwAdQBtAG4AIAB3AGkAdABoACAATQBNAFMAIABuAGEAbQBlAHMAIAB0AGgAYQB0ACAAbQBhAHQAYwBoACAATgBJAFIAIABkAGUAZgBpAG4AaQB0AGkAbwBuAHMALgBcACIAOwBcAG4AIAAgACAAIAAgACAAIAAgACAAIABcACI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BcACIAXABuACAAIAAgACAAIAAgACAAIAB9ACwAIAByACwAIABjACkAXABuACAAIAAgACAAIAAgACkAXABuACAAIAAgACAAKQBcAG4AIAAgACkAOwBcAG4AXABuAFMAbwB1AHIAYwBlAEQAYQB0AGEAXwBQAG8AdQBsAHQAcgB5AF8ATQBDAEYAXwBEAGEAdABhAFwAbgAgACAAPQBMAEEATQBCAEQAQQAoAFwAbgAgACAAIAAgAE0AQQBLAEUAQQBSAFIAQQBZACgAMQAwACwAIAAxADEALAAgAFwAbgAgACAAIAAgACAAIABMAEEATQBCAEQAQQAoAHIALABjACwAIABcAG4AIAAgACAAIAAgACAAIAAgAEkATgBEAEUAWAAoAHsAXABuACAAIAAgACAAIAAgACAAIAAgACAAXAAiAE0ATQBTACAAbQBcACIALAAgAFwAIgBBAGwAbAAgAHMAdABhAHQAZQBzAFwAIgAsACAAXAAiAE4AUwBXAFwAIgAsACAAXAAiAEEAQwBUAFwAIgAsACAAXAAiAFEATABEAFwAIgAsACAAXAAiAE4AVABcACIALAAgAFwAIgBWAEkAQwBcACIALAAgAFwAIgBTAEEAXAAiACwAIABcACIAVwBBAFwAIgAsACAAXAAiAFQAQQBTAFwAIgAsACAAXAAiAE4ASQBSACAAZABlAGYAaQBuAGkAdABpAG8AbgBcACIAOwBcAG4AIAAgACAAIAAgACAAIAAgACAAIABcACIAUABvAHUAbAB0AHIAeQAgAG0AYQBuAHUAcgBlACAAdwBpAHQAaAAgAGwAaQB0AHQAZQByAFwAIgAsACAAMAAuADAAMQA1ACwAIAAwAC4AMAAxADUALAAgADAALgAwADEANQAsACAAMAAuADAAMQA1ACwAIAAwAC4AMAAxADUALAAgADAALgAwADEANQAsACAAMAAuADAAMQA1ACwAIAAwAC4AMAAxADUALAAgADAALgAwADEANQAsACAAXAAiAFAAbwB1AGwAdAByAHkAIABtAGEAbgB1AHIAZQAgAHcAaQB0AGgAIABiAGUAZABkAGkAbgBnAFwAIgA7ACA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CAGUAbAB0ACAAbQBhAG4AdQByAGUAIAByAGUAbQBvAHYAYQBsAFwAIgA7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TQBhAG4AdQByAGUAIABzAHQAbwByAGUAZAAgAGkAbgAgAGgAbwB1AHMAZQBcACIAOwBcAG4AIAAgACAAIAAgACAAIAAgACAAIABcACIAUABhAHMAdAB1AHIAZQAgAHIAYQBuAGcAZQAgAGEAbgBkACAAcABhAGQAZABvAGMAawBcACIALAAgAFwAIgBuAC8AYQBcACIALAAgADAALgAwADEALAAgADAALgAwADEALAAgADAALgAwADMALAAgADAALgAwADMALAAgADAALgAwADEALAAgADAALgAwADEALAAgADAALgAwADEALAAgADAALgAwADEALAAgAFwAIgBQAGEAcwB0AHUAcgBlACAAcgBhAG4AZwBlACAAYQBuAGQAIABwAGEAZABkAG8AYwBrAFwAIgA7AFwAbgAgACAAIAAgACAAIAAgACAAIAAgAFwAIgBTAG8AbABpAGQAIABzAHQAbwByAGEAZwBlAFwAIgAsACAAMAAuADAAMgAsACAAMAAuADAAMgAsACAAMAAuADAAMgAsACAAMAAuADAAMgAsACAAMAAuADAAMgAsACAAMAAuADAAMgAsACAAMAAuADAAMgAsACAAMAAuADAAMgAsACAAMAAuADAAMgAsACAAXAAiAFMAbwBsAGkAZAAgAHMAdABvAHIAYQBnAGUAXAAiADsAXABuACAAIAAgACAAIAAgACAAIAAgACAAXAAiAEMAbwBtAHAAbwBzAHQAaQBuAGcAIAAoAHAAYQBzAHMAaQB2AGUAIAB3AGkAbgBkAHIAbwB3ACkAXAAiACwAIABcACIAbgAvAGEAXAAiACwAIAAwAC4AMAAxACwAIAAwAC4AMAAxACwAIAAwAC4AMAAxACwAIAAwAC4AMAAxACwAIAAwAC4AMAAxACwAIAAwAC4AMAAxACwAIAAwAC4AMAAxACwAIAAwAC4AMAAwADUALAAgAFwAIgBDAG8AbQBwAG8AcwB0AGkAbgBnACAAKABwAGEAcwBzAGkAdgBlACAAdwBpAG4AZAByAG8AdwApAFwAIgA7AFwAbgAgACAAIAAgACAAIAAgACAAIAAgAFwAIgBBAG4AYQBlAHIAbwBiAGkAYwAgAGQAaQBnAGUAcwB0AGUAcgAgAC8AIABDAG8AdgBlAHIAZQBkACAAcABvAG4AZABcACIALAAgADAALgAxACwAIAAwAC4AMQAsACAAMAAuADEALAAgADAALgAxACwAIAAwAC4AMQAsACAAMAAuADEALAAgADAALgAxACwAIAAwAC4AMQAsACAAMAAuADEALAAgAFwAIgBEAGkAZwBlAHMAdABlAHIAIAAvACAAYwBvAHYAZQByAGUAZAAgAGwAYQBnAG8AbwBuAHMAXAAiADsAXABuACAAIAAgACAAIAAgACAAIAAgACAAXAAiAEQAaQByAGUAYwB0ACAAcAByAG8AYwBlAHMAcwBpAG4AZwBcACIALAAgADAALAAgADAALAAgADAALAAgADAALAAgADAALAAgADAALAAgADAALAAgADAALAAgADAALAAgAFwAIgBEAGkAcgBlAGMAdAAgAHAAcgBvAGMAZQBzAHMAaQBuAGcAXAAiADsAXABuACAAIAAgACAAIAAgACAAIAAgACAAXAAiAEQAaQByAGUAYwB0ACAAYQBwAHAAbABpAGMAYQB0AGkAbwBuACAAdABvACAAcwBvAGkAbABcACIALAAgADAALAAgADAALAAgADAALAAgADAALAAgADAALAAgADAALAAgADAALAAgADAALAAgADAALAAgAFwAIgBEAGkAcgBlAGMAdAAgAGEAcABwAGwAaQBjAGEAdABpAG8AbgBcACIAXABuACAAIAAgACAAIAAgACAAIAB9ACwAIAByACwAIABjACkAXABuACAAIAAgACAAIAAgACkAXABuACAAIAAgACAAKQBcAG4AIAAgACkAOwBcAG4AXABuAFMAbwB1AHIAYwBlAEQAYQB0AGEAXwBQAG8AdQBsAHQAcgB5AF8ATQBDAEYAXwBOAG8AdABlAHMAXABuACAAIAA9AEwAQQBNAEIARABBACgAXAAiAFwAdQAwADAAMgA3AFAAYQBzAHQAdQByAGUAIAByAGEAbgBnAGUAIABhAG4AZAAgAHAAYQBkAGQAbwBjAGsAXAB1ADAAMAAyADcAIABhAHAAcABsAGkAZQBzACAATQBDAEYAIABmAG8AcgAgAGQAcgB5AGwAbwB0AC4AXAAiACkAOwBcAG4AXABuAFwAbgAvACoAIABcAG4ALQAtAC0ALQAtAC0ALQAtAC0ALQAtAC0ALQAtAC0ALQAtAC0ALQAtAC0ALQAtAC0ALQAtAC0ALQAtAC0ALQAtAC0ALQAtAC0ALQAtAFwAbgBTAG8AdQByAGMAZQBEAGEAdABhAF8AUABvAHUAbAB0AHIAeQBfAE0AZQB0AGgAYQBuAGUARQBtAGkAcwBzAGkAbwBuAHMAUABvAHQAZQBuAHQAaQBhAGwAXABuAE0AZQB0AGgAYQBuAGUAIABlAG0AaQBzAHMAaQBvAG4AcwAgAHAAbwB0AGUAbgB0AGkAYQBsACAAcABlAHIAIABwAG8AdQBsAHQAcgB5ACAAYwBsAGEAcwBzAFwAbgAtAC0ALQAtAC0ALQAtAC0ALQAtAC0ALQAtAC0ALQAtAC0ALQAtAC0ALQAtAC0ALQAtAC0ALQAtAC0ALQAtAC0ALQAtAC0ALQAtAC0AXABuACoALwBcAG4AXABuAFMAbwB1AHIAYwBlAEQAYQB0AGEAXwBQAG8AdQBsAHQAcgB5AF8ATQBlAHQAaABhAG4AZQBFAG0AaQBzAHMAaQBvAG4AcwBQAG8AdABlAG4AdABpAGEAbABfAFQAaQB0AGwAZQBcAG4AIAAgAD0ATABBAE0AQgBEAEEAKABcACIAUABvAHUAbAB0AHIAeQAgAC0AIABNAGUAdABoAGEAbgBlACAAZQBtAGkAcwBzAGkAbwBuAHMAIABwAG8AdABlAG4AdABpAGEAbAAgAHAAZQByACAAYwBsAGEAcwBzAFwAIgApADsAXABuAFwAbgBTAG8AdQByAGMAZQBEAGEAdABhAF8AUABvAHUAbAB0AHIAeQBfAE0AZQB0AGgAYQBuAGUARQBtAGkAcwBzAGkAbwBuAHMAUABvAHQAZQBuAHQAaQBhAGwAXwBVAG4AaQB0AFwAbgAgACAAPQBMAEEATQBCAEQAQQAoAFwAIgBtADMAIABDAEgANAAvAGsAZwAgAFYAUwBcACIAKQA7AFwAbgBcAG4AUwBvAHUAcgBjAGUARABhAHQAYQBfAFAAbwB1AGwAdAByAHkAXwBNAGUAdABoAGEAbgBlAEUAbQBpAHMAcwBpAG8AbgBzAFAAbwB0AGUAbgB0AGkAYQBsAF8AUwBvAHUAcgBjAGUAXABuACAAIAA9AEwAQQBNAEIARABBACgAXAAiAFYARQBFAFIARwAgADIAMAAyADYAOgAgADQALgA2AC4AMgAuADMAIABDAE8ATgBTAFQAQQBOAFQAOgAgAFAAbwB1AGwAdAByAHkAIAAtACAATQBlAHQAaABhAG4AZQAgAGUAbQBpAHMAcwBpAG8AbgBzACAAcABvAHQAZQBuAHQAaQBhAGwAIABwAGUAcgAgAGMAbABhAHMAcwBcACIAKQA7AFwAbgBcAG4AUwBvAHUAcgBjAGUARABhAHQAYQBfAFAAbwB1AGwAdAByAHkAXwBNAGUAdABoAGEAbgBlAEUAbQBpAHMAcwBpAG8AbgBzAFAAbwB0AGUAbgB0AGkAYQBsAF8AVgBhAHIAaQBhAHQAaQBvAG4AXABuACAAIAA9AEwAQQBNAEIARABBACgAXAAiAFwAIgApADsAXABuAFwAbgBTAG8AdQByAGMAZQBEAGEAdABhAF8AUABvAHUAbAB0AHIAeQBfAE0AZQB0AGgAYQBuAGUARQBtAGkAcwBzAGkAbwBuAHMAUABvAHQAZQBuAHQAaQBhAGwAXwBEAGEAdABhAFwAbgAgACAAPQBMAEEATQBCAEQAQQAoAFwAbgAgACAAIAAgAE0AQQBLAEUAQQBSAFIAQQBZACgAMwAsACAAMgAsACAAXABuACAAIAAgACAAIAAgAEwAQQBNAEIARABBACgAcgAsAGMALAAgAFwAbgAgACAAIAAgACAAIAAgACAASQBOAEQARQBYACgAewBcAG4AIAAgACAAIAAgACAAIAAgACAAIABcACIAUABvAHUAbAB0AHIAeQAgAGMAbABhAHMAcwBcACIALAAgAFwAIgBCADAAXAAiADsAXABuACAAIAAgACAAIAAgACAAIAAgACAAXAAiAEwAYQB5AGUAcgBzAFwAIgAsACAAMAAuADMAOQA7ACAAXABuACAAIAAgACAAIAAgACAAIAAgACAAXAAiAE0AZQBhAHQAIABjAGgAaQBjAGsAZQBuAHMAXAAiACwAIAAwAC4AMwA2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FAAcgBvAGQAdQBjAHQAaQBvAG4AUwB5AHMAdABlAG0AcwBcAG4AUABvAHUAbAB0AHIAeQAgAHAAcgBvAGQAdQBjAHQAaQBvAG4AIABzAHkAcwB0AGUAbQBzAFwAbgAtAC0ALQAtAC0ALQAtAC0ALQAtAC0ALQAtAC0ALQAtAC0ALQAtAC0ALQAtAC0ALQAtAC0ALQAtAC0ALQAtAC0ALQAtAC0ALQAtAC0AXABuACoALwBcAG4AXABuAFMAbwB1AHIAYwBlAEQAYQB0AGEAXwBQAG8AdQBsAHQAcgB5AF8AUAByAG8AZAB1AGMAdABpAG8AbgBTAHkAcwB0AGUAbQBzAF8AVABpAHQAbABlAFwAbgAgACAAPQBMAEEATQBCAEQAQQAoAFwAIgBQAG8AdQBsAHQAcgB5ACAALQAgAFAAcgBvAGQAdQBjAHQAaQBvAG4AIABzAHkAcwB0AGUAbQBzAFwAIgApADsAXABuAFwAbgBTAG8AdQByAGMAZQBEAGEAdABhAF8AUABvAHUAbAB0AHIAeQBfAFAAcgBvAGQAdQBjAHQAaQBvAG4AUwB5AHMAdABlAG0AcwBfAFUAbgBpAHQAXABuACAAIAA9AEwAQQBNAEIARABBACgAXAAiAFwAIgApADsAXABuAFwAbgBTAG8AdQByAGMAZQBEAGEAdABhAF8AUABvAHUAbAB0AHIAeQBfAFAAcgBvAGQAdQBjAHQAaQBvAG4AUwB5AHMAdABlAG0AcwBfAFMAbwB1AHIAYwBlAFwAbgAgACAAPQBMAEEATQBCAEQAQQAoAFwAIgBWAEUARQBSAEcAIAAyADAAMgA2ADoAIAA0AC4ANgAgAFAAbwB1AGwAdAByAHkAXAAiACkAOwBcAG4AXABuAFMAbwB1AHIAYwBlAEQAYQB0AGEAXwBQAG8AdQBsAHQAcgB5AF8AUAByAG8AZAB1AGMAdABpAG8AbgBTAHkAcwB0AGUAbQBzAF8AVgBhAHIAaQBhAHQAaQBvAG4AXABuACAAIAA9AEwAQQBNAEIARABBACgAXAAiAFwAIgApADsAXABuAFwAbgBTAG8AdQByAGMAZQBEAGEAdABhAF8AUABvAHUAbAB0AHIAe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YAcgBlAGUAIAByAGEAbgBnAGUAXAAiADsAIABcAG4AIAAgACAAIAAgACAAIAAgACAAIABcACIAQgBhAHIAbgBcACIAOwBcAG4AIAAgACAAIAAgACAAIAAgACAAIABcACIAQw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UABvAHUAbAB0AHIAeQBfAFYAUwBMAF8AVABpAHQAbABlAFwAbgAgACAAPQBMAEEATQBCAEQAQQAoAFwAIgBQAG8AdQBsAHQAcgB5ACAALQAgAEYAcgBhAGMAdABpAG8AbgAgAG8AZgAgAHYAbwBsAGEAdABpAGwAZQAgAHMAbwBsAGkAZABzACAAbABvAHMAdAAgAGkAbgAgAHQAaABlACAAcAByAGkAbQBhAHIAeQAgAE0ATQBTAFwAIgApADsAXABuAFwAbgBTAG8AdQByAGMAZQBEAGEAdABhAF8AUABvAHUAbAB0AHIAeQBfAFYAUwBMAF8AVQBuAGkAdABcAG4AIAAgAD0ATABBAE0AQgBEAEEAKABcACIAXAAiACkAOwBcAG4AXABuAFMAbwB1AHIAYwBlAEQAYQB0AGEAXwBQAG8AdQBsAHQAcgB5AF8AVgBTAEwAXwBTAG8AdQByAGMAZQBcAG4AIAAgAD0ATABBAE0AQgBEAEEAKABcACIAVgBFAEUAUgBHACAAMgAwADIANgA6ACAANAAuADYALgAyAC4AMwAgAEMATwBOAFMAVABBAE4AVABcACIAKQA7AFwAbgBcAG4AUwBvAHUAcgBjAGUARABhAHQAYQBfAFAAbwB1AGwAdAByAHkAXwBWAFMATABfAFYAYQByAGkAYQB0AGkAbwBuAFwAbgAgACAAPQBMAEEATQBCAEQAQQAoAFwAIgBWAEEAUgBJAEEAVABJAE8ATgAgAE8ATgAgAFMATwBVAFIAQwBFADoAIABUAGEAYgBsAGUAIABnAGUAbgBlAHIAYQB0AGUAZAAgAGYAcgBvAG0AIABsAGkAbgBlACAAaQB0AGUAbQBzAC4AIABBAGQAZABlAGQAIABcAHUAMAAwADIANwBOAEkAUgAgAGQAZQBmAGkAbgBpAHQAaQBvAG4AIABjAG8AbAB1AG0AbgBcAHUAMAAwADIAN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EANQAsACAAXAAiAFAAbwB1AGwAdAByAHkAIABtAGEAbgB1AHIAZQAgAHcAaQB0AGgAIABiAGUAZABkAGkAbgBnAFwAIgA7AFwAbgAgACAAIAAgACAAIAAgACAAIAAgAFwAIgBQAG8AdQBsAHQAcgB5ACAAbQBhAG4AdQByAGUAIAB3AGkAdABoAG8AdQB0ACAAbABpAHQAdABlAHIAIAAtACAAcwB0AG8AcgBlAGQAIABpAG4AIABoAG8AdQBzAGUAXAAiACwAIAAwAC4AMgAsACAAXAAiAE0AYQBuAHUAcgBlACAAcwB0AG8AcgBlAGQAIABpAG4AIABoAG8AdQBzAGUAXAAiADsAXABuACAAIAAgACAAIAAgACAAIAAgACAAXAAiAFAAbwB1AGwAdAByAHkAIABtAGEAbgB1AHIAZQAgAHcAaQB0AGgAbwB1AHQAIABsAGkAdAB0AGUAcgAgAC0AIABiAGUAbAB0ACAAcgBlAG0AbwB2AGEAbABcACIALAAgADAALAAgAFwAIgBCAGUAbAB0ACAAbQBhAG4AdQByAGUAIAByAGUAbQBvAHYAYQBs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vAHUAbAB0AHIAeQBfAEYAcgBhAGMARwBBAFMATQBtAFQAXABuAFQAYQBiAGwAZQAgAEEALgAxAC4ANwAuADIAOgAgAFAAbwB1AGwAdAByAHkAIAAtACAARgByAGEAYwB0AGkAbwBuACAAbwBmACAATgAgAHYAbwBsAGEAdABpAGwAaQBzAGUAZAAgAGIAeQAgAE0ATQBTACAAKAAoAGsAZwAgAE4ASAAzAC0ATgAgACsAIABOAE8AeAAtAE4AKQAvAGsAZwBOACkAIAAoAEYAcgBhAGMARwBBAFMATQBtAFQAKQBcAG4ALQAtAC0ALQAtAC0ALQAtAC0ALQAtAC0ALQAtAC0ALQAtAC0ALQAtAC0ALQAtAC0ALQAtAC0ALQAtAC0ALQAtAC0ALQAtAC0ALQAtAFwAbgAqAC8AXABuAFwAbgBTAG8AdQByAGMAZQBEAGEAdABhAF8AUABvAHUAbAB0AHIAeQBfAEYAcgBhAGMARwBBAFMATQBtAFQAXwBUAGkAdABsAGUAXABuACAAIAA9AEwAQQBNAEIARABBACgAXAAiAFAAbwB1AGwAdAByAHkAIAAtACAARgByAGEAYwB0AGkAbwBuACAAbwBmACAATgAgAHYAbwBsAGEAdABpAGwAaQBzAGUAZAAgAGIAeQAgAE0ATQBTACAAKAAoAGsAZwAgAE4ASAAzAC0ATgAgACsAIABOAE8AeAAtAE4AKQAvAGsAZwBOACkAIAAoAEYAcgBhAGMARwBBAFMATQBtAFQAKQBcACIAKQA7AFwAbgBcAG4AUwBvAHUAcgBjAGUARABhAHQAYQBfAFAAbwB1AGwAdAByAHkAXwBGAHIAYQBjAEcAQQBTAE0AbQBUAF8AVQBuAGkAdABcAG4AIAAgAD0ATABBAE0AQgBEAEEAKABcACIAKABrAGcAIABOAEgAMwAtAE4AIAArACAATgBPAHgALQBOACkALwBrAGcATgBcACIAKQA7AFwAbgBcAG4AUwBvAHUAcgBjAGUARABhAHQAYQBfAFAAbwB1AGwAdAByAHkAXwBGAHIAYQBjAEcAQQBTAE0AbQBUAF8AUwBvAHUAcgBjAGUAXABuACAAIAA9AEwAQQBNAEIARABBACgAXAAiAFYARQBFAFIARwAgADIAMAAyADYAOgAgAFQAYQBiAGwAZQAgAEEALgAxAC4ANwAuADIAXAAiACkAOwBcAG4AXABuAFMAbwB1AHIAYwBlAEQAYQB0AGEAXwBQAG8AdQBsAHQAcgB5AF8ARgByAGEAYwBHAEEAUwBNAG0AVABfAFYAYQByAGkAYQB0AGkAbwBuAFwAbgAgACAAPQBMAEEATQBCAEQAQQAoAFwAIgBWAEEAUgBJAEEAVABJAE8ATgAgAE8ATgAgAFMATwBVAFIAQwBFADoAIABBAGQAZABlAGQAIABcAHUAMAAwADIANwBOAEkAUgAgAGQAZQBmAGkAbgBpAHQAaQBvAG4AIABjAG8AbAB1AG0AbgBcAHUAMAAwADIANwAuAFwAIgApADsAXABuAFwAbgBTAG8AdQByAGMAZQBEAGEAdABhAF8AUABvAHUAbAB0AHIAeQBfAEYAcgBhAGMARwBBAFMATQBtAFQAXwBEAGEAdABhAFwAbgAgACAAPQBMAEEATQBCAEQAQQAoAFwAbgAgACAAIAAgAE0AQQBLAEUAQQBSAFIAQQBZACgAOAAsACAAMwAsACAAXABuACAAIAAgACAAIAAgAEwAQQBNAEIARABBACgAcgAsAGMALAAgAFwAbgAgACAAIAAgACAAIAAgACAASQBOAEQARQBYACgAewBcAG4AIAAgACAAIAAgACAAIAAgACAAIABcACIATQBNAFMAIABtAFwAIgAsACAAXAAiAEYAcgBhAGMARwBBAFMATQBtAFQAXAAiACwAIABcACIATgBJAFIAIAByAGUAZgBlAHIAZQBuAGMAZQBcACIAOwBcAG4AIAAgACAAIAAgACAAIAAgACAAIABcACIAUABvAHUAbAB0AHIAeQAgAG0AYQBuAHUAcgBlACAAdwBpAHQAaAAgAGwAaQB0AHQAZQByACAAKABoAG8AdQBzAGkAbgBnACkAXAAiACwAIAAwAC4AMwAsACAAXAAiAFAAbwB1AGwAdAByAHkAIABtAGEAbgB1AHIAZQAgAHcAaQB0AGgAIABiAGUAZABkAGkAbgBnAFwAIgA7AFwAbgAgACAAIAAgACAAIAAgACAAIAAgAFwAIgBQAG8AdQBsAHQAcgB5ACAAbQBhAG4AdQByAGUAIAB3AGkAdABoAG8AdQB0ACAAbABpAHQAdABlAHIAIAAoAGgAbwB1AHMAaQBuAGcAKQAgAEIAZQBsAHQAIABtAGEAbgB1AHIAZQAgAHIAZQBtAG8AdgBhAGwAXAAiACwAIAAwAC4AMAA1ACwAIABcACIAQgBlAGwAdAAgAG0AYQBuAHUAcgBlACAAcgBlAG0AbwB2AGEAbABcACIAOwBcAG4AIAAgACAAIAAgACAAIAAgACAAIABcACIAUABvAHUAbAB0AHIAeQAgAG0AYQBuAHUAcgBlACAAdwBpAHQAaABvAHUAdAAgAGwAaQB0AHQAZQByACAAKABoAG8AdQBzAGkAbgBnACkAIABNAGEAbgB1AHIAZQAgAHMAdABvAHIAZQBkACAAaQBuACAAaABvAHUAcwBlACAAdQBuAGQAZQByACAAYwBhAGcAZQBzACAAbwByACAAcwBsAGEAdABcACIALAAgADAALgA0ACwAIABcACIATQBhAG4AdQByAGUAIABzAHQAbwByAGUAZAAgAGkAbgAgAGgAbwB1AHMAZQBcACIAOwBcAG4AIAAgACAAIAAgACAAIAAgACAAIABcACIAUwBvAGwAaQBkACAAcwB0AG8AcgBhAGcAZQAgACgAcwB0AG8AYwBrAHAAaQBsAGUAKQBcACIALAAgADAALgAyACwAIABcACIAUwBvAGwAaQBkACAAcwB0AG8AcgBhAGcAZQBcACIAOwBcAG4AIAAgACAAIAAgACAAIAAgACAAIABcACIAQwBvAG0AcABvAHMAdABpAG4AZwAgACgAcABhAHMAcwBpAHYAZQAgAHcAaQBuAGQAcgBvAHcAKQBcACIALAAgADAALgAy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RQBGAG0AVABcAG4AVABhAGIAbABlACAAQQAuADEALgA3AC4AMwA6ACAAUABvAHUAbAB0AHIAeQAgAC0AIABOAGkAdAByAG8AdQBzACAAbwB4AGkAZABlACAARQBGAHMAIABiAHkAIABNAE0AUwAgACgAawBnAE4AMgBPAC0ATgAvAGsAZwBOACkAIAAoAEUARgBtAFQAKQBcAG4ALQAtAC0ALQAtAC0ALQAtAC0ALQAtAC0ALQAtAC0ALQAtAC0ALQAtAC0ALQAtAC0ALQAtAC0ALQAtAC0ALQAtAC0ALQAtAC0ALQAtAFwAbgAqAC8AXABuAFwAbgBTAG8AdQByAGMAZQBEAGEAdABhAF8AUABvAHUAbAB0AHIAeQBfAEUARgBtAFQAXwBUAGkAdABsAGUAXABuACAAIAA9AEwAQQBNAEIARABBACgAXAAiAFAAbwB1AGwAdAByAHkAIAAtACAATgBpAHQAcgBvAHUAcwAgAG8AeABpAGQAZQAgAEUARgBzACAAYgB5ACAATQBNAFMAIAAoAGsAZwBOADIATwAtAE4ALwBrAGcATgApACAAKABFAEYAbQBUACkAXAAiACkAOwBcAG4AXABuAFMAbwB1AHIAYwBlAEQAYQB0AGEAXwBQAG8AdQBsAHQAcgB5AF8ARQBGAG0AVABfAFUAbgBpAHQAXABuACAAIAA9AEwAQQBNAEIARABBACgAXAAiAGsAZwBOADIATwAgAC0AIABOACAALwAgAGsAZwBOAFwAIgApADsAXABuAFwAbgBTAG8AdQByAGMAZQBEAGEAdABhAF8AUABvAHUAbAB0AHIAeQBfAEUARgBtAFQAXwBTAG8AdQByAGMAZQBcAG4AIAAgAD0ATABBAE0AQgBEAEEAKABcACIAVgBFAEUAUgBHACAAMgAwADIANgA6ACAAVABhAGIAbABlACAAQQAuADEALgA3AC4AMwBcACIAKQA7AFwAbgBcAG4AUwBvAHUAcgBjAGUARABhAHQAYQBfAFAAbwB1AGwAdAByAHkAXwBFAEYAbQBUAF8AVgBhAHIAaQBhAHQAaQBvAG4AXABuACAAIAA9AEwAQQBNAEIARABBACgAXAAiAFYAQQBSAEkAQQBUAEkATwBOACAATwBOACAAUwBPAFUAUgBDAEUAOgAgAEEAZABkAGUAZAAgAFwAdQAwADAAMgA3AE4ASQBSACAAZABlAGYAaQBuAGkAdABpAG8AbgAgAGMAbwBsAHUAbQBuAFwAdQAwADAAMgA3AC4AIA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C4AXAAiACkAOwBcAG4AXABuAFMAbwB1AHIAYwBlAEQAYQB0AGEAXwBQAG8AdQBsAHQAcgB5AF8ARQBGAG0AVABfAEQAYQB0AGEAXABuACAAIAA9AEwAQQBNAEIARABBACgAXABuACAAIAAgACAATQBBAEsARQBBAFIAUgBBAFkAKAA5ACwAIAAzACwAIABcAG4AIAAgACAAIAAgACAATABBAE0AQgBEAEEAKAByACwAYwAsACAAXABuACAAIAAgACAAIAAgACAAIABJAE4ARABFAFgAKAB7AFwAbgAgACAAIAAgACAAIAAgACAAIAAgAFwAIgBNAE0AUwAgAG0AXAAiACwAIABcACIARQBGAG0AVABcACIALAAgAFwAIgBOAEkAUgAgAHIAZQBmAGUAcgBlAG4AYwBlAFwAIgA7AFwAbgAgACAAIAAgACAAIAAgACAAIAAgAFwAIgBQAG8AdQBsAHQAcgB5ACAAbQBhAG4AdQByAGUAIAB3AGkAdABoACAAbABpAHQAdABlAHIAIAAoAGgAbwB1AHMAaQBuAGcAKQBcACIALAAgADAALgAwADAAMQAsACAAXAAiAFAAbwB1AGwAdAByAHkAIABtAGEAbgB1AHIAZQAgAHcAaQB0AGgAIABiAGUAZABkAGkAbgBnAFwAIgA7AFwAbgAgACAAIAAgACAAIAAgACAAIAAgAFwAIgBQAG8AdQBsAHQAcgB5ACAAbQBhAG4AdQByAGUAIAB3AGkAdABoAG8AdQB0ACAAbABpAHQAdABlAHIAIAAoAGgAbwB1AHMAaQBuAGcAKQBcACIALAAgADAALgAwADAAMQAsACAAXAAiAEIAZQBsAHQAIABtAGEAbgB1AHIAZQAgAHIAZQBtAG8AdgBhAGwAXAAiADsAXABuACAAIAAgACAAIAAgACAAIAAgACAAXAAiAFAAbwB1AGwAdAByAHkAIABtAGEAbgB1AHIAZQAgAHcAaQB0AGgAbwB1AHQAIABsAGkAdAB0AGUAcgAgACgAaABvAHUAcwBpAG4AZwApAFwAIgAsACAAMAAuADAAMAAxACwAIABcACIATQBhAG4AdQByAGUAIABzAHQAbwByAGUAZAAgAGkAbgAgAGgAbwB1AHMAZQBcACIAOwBcAG4AIAAgACAAIAAgACAAIAAgACAAIABcACIAUABhAHMAdAB1AHIAZQAgAHIAYQBuAGcAZQAgAGEAbgBkACAAcABhAGQAZABvAGMAawAgACgAZgByAGUAZQAgAHIAYQBuAGcAZQApAFwAIgAsACAAMAAuADAAMgAsACAAXAAiAFAAYQBzAHQAdQByAGUAIAByAGEAbgBnAGUAIABhAG4AZAAgAHAAYQBkAGQAbwBjAGsAXAAiADsAXABuACAAIAAgACAAIAAgACAAIAAgACAAXAAiAFMAbwBsAGkAZAAgAHMAdABvAHIAYQBnAGUAIAAoAHMAdABvAGMAawBwAGkAbABlACkAXAAiACwAIAAwAC4AMAAwADUALAAgAFwAIgBTAG8AbABpAGQAIABzAHQAbwByAGEAZwBlAFwAIgA7AFwAbgAgACAAIAAgACAAIAAgACAAIAAgAFwAIgBDAG8AbQBwAG8AcwB0AGkAbgBnACAAKABwAGEAcwBzAGkAdgBlACAAdwBpAG4AZAByAG8AdwApAFwAIgAsACAAMAAuADAAMQ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RgByAGEAYwB0AGkAbwBuAE8AZgBOAGkAdAByAG8AZwBlAG4ATABvAHMAdABUAGgAcgBvAHUAZwBoAEwAZQBhAGMAaABpAG4AZwBBAG4AZABSAHUAbgBvAGYAZgBcAG4ARgByAGEAYwB0AGkAbwBuACAAbwBmACAATgAgAHQAaABhAHQAIABpAHMAIABsAG8AcwB0ACAAdABoAHIAbwB1AGcAaAAgAGwAZQBhAGMAaABpAG4AZwAgAGEAbgBkACAAcgB1AG4AbwBmAGYAIAAoAGQAaQBtAGUAbgBzAGkAbwBuAGwAZQBzAHMAKQBcAG4ALQAtAC0ALQAtAC0ALQAtAC0ALQAtAC0ALQAtAC0ALQAtAC0ALQAtAC0ALQAtAC0ALQAtAC0ALQAtAC0ALQAtAC0ALQAtAC0ALQAtAFwAbgAqAC8AXABuAFwAbgBTAG8AdQByAGMAZQBEAGEAdABhAF8AUABvAHUAbAB0AHIAeQBfAEYAcgBhAGMAdABpAG8AbgBPAGYATgBpAHQAcgBvAGcAZQBuAEwAbwBzAHQAVABoAHIAbwB1AGcAaABMAGUAYQBjAGgAaQBuAGcAQQBuAGQAUgB1AG4AbwBmAGYAXwBUAGkAdABsAGUAXABuACAAIAA9AEwAQQBNAEIARABBACgAXAAiAEYAcgBhAGMAdABpAG8AbgAgAG8AZgAgAE4AIAB0AGgAYQB0ACAAaQBzACAAbABvAHMAdAAgAHQAaAByAG8AdQBnAGgAIABsAGUAYQBjAGgAaQBuAGcAIABhAG4AZAAgAHIAdQBuAG8AZgBmAFwAIgApADsAXABuAFwAbgBTAG8AdQByAGMAZQBEAGEAdABhAF8AUABvAHUAbAB0AHIAeQBfAEYAcgBhAGMAdABpAG8AbgBPAGYATgBpAHQAcgBvAGcAZQBuAEwAbwBzAHQAVABoAHIAbwB1AGcAaABMAGUAYQBjAGgAaQBuAGcAQQBuAGQAUgB1AG4AbwBmAGYAXwBWAGEAcgBpAGEAYgBsAGUAXABuACAAIAA9AEwAQQBNAEIARABBACgAXAAiAEYAcgBhAGMAXwBMAEUAQQBDAEgAXwBNAFMAXAAiACkAOwBcAG4AXABuAFMAbwB1AHIAYwBlAEQAYQB0AGEAXwBQAG8AdQBsAHQAcgB5AF8ARgByAGEAYwB0AGkAbwBuAE8AZgBOAGkAdAByAG8AZwBlAG4ATABvAHMAdABUAGgAcgBvAHUAZwBoAEwAZQBhAGMAaABpAG4AZwBBAG4AZABSAHUAbgBvAGYAZgBfAFUAbgBpAHQAXABuACAAIAA9AEwAQQBNAEIARABBACgAXAAiAEQAaQBtAGUAbgBzAGkAbwBuAGwAZQBzAHMAXAAiACkAOwBcAG4AXABuAFMAbwB1AHIAYwBlAEQAYQB0AGEAXwBQAG8AdQBsAHQAcgB5AF8ARgByAGEAYwB0AGkAbwBuAE8AZgBOAGkAdAByAG8AZwBlAG4ATABvAHMAdABUAGgAcgBvAHUAZwBoAEwAZQBhAGMAaABpAG4AZwBBAG4AZABSAHUAbgBvAGYAZgBfAFMAbwB1AHIAYwBlAFwAbgAgACAAPQBMAEEATQBCAEQAQQAoAFwAIgBWAEUARQBSAEcAIAAyADAAMgA2ADoAIAA0AC4ANgAuADIALgAzACAAQwBPAE4AUwBUAEEATgBUAFMAXAAiACkAOwBcAG4AXABuAFMAbwB1AHIAYwBlAEQAYQB0AGEAXwBQAG8AdQBsAHQAcgB5AF8ARgByAGEAYwB0AGkAbwBuAE8AZgBOAGkAdAByAG8AZwBlAG4ATABvAHMAdABUAGgAcgBvAHUAZwBoAEwAZQBhAGMAaABpAG4AZwBBAG4AZABSAHUAbgBvAGYAZgBfAFYAYQByAGkAYQB0AGkAbwBuAFwAbgAgACAAPQBMAEEATQBCAEQAQQAoAFwAIgBcACIAKQA7AFwAbgBcAG4AUwBvAHUAcgBjAGUARABhAHQAYQBfAFAAbwB1AGwAdAByAHkAXwBGAHIAYQBjAHQAaQBvAG4ATwBmAE4AaQB0AHIAbwBnAGUAbgBMAG8AcwB0AFQAaAByAG8AdQBnAGgATABlAGEAYwBoAGkAbgBnAEEAbgBkAFIAdQBuAG8AZgBmAF8ARABhAHQAYQBcAG4AIAAgAD0ATABBAE0AQgBEAEEAKAAwAC4AMAAyACkAOwBcAG4AXABuAFwAbgAvACoAIABcAG4ALQAtAC0ALQAtAC0ALQAtAC0ALQAtAC0ALQAtAC0ALQAtAC0ALQAtAC0ALQAtAC0ALQAtAC0ALQAtAC0ALQAtAC0ALQAtAC0ALQAtAFwAbgBTAG8AdQByAGMAZQBEAGEAdABhAF8AUABvAHUAbAB0AHIAeQBfAEYAcgBhAGMARwBBAE0AUw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vAHUAbAB0AHIAeQBfAEYAcgBhAGMARwBBAE0AUw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bwB1AGwAdAByAHkAXwBGAHIAYQBjAEcAQQBNAFMAUwBvAGkAbABfAFYAYQByAGkAYQBiAGwAZQBcAG4AIAAgAD0ATABBAE0AQgBEAEEAKABcACIARgByAGEAYwBHAEEAUwBNAF8AcwBvAGkAbABcACIAKQA7AFwAbgBcAG4AUwBvAHUAcgBjAGUARABhAHQAYQBfAFAAbwB1AGwAdAByAHkAXwBGAHIAYQBjAEcAQQBNAFMAUwBvAGkAbABfAFUAbgBpAHQAXABuACAAIAA9AEwAQQBNAEIARABBACgAXAAiACgAawBnACAATgBIADMALQBOACAAKwAgAE4ATwB4AC0ATgApAC8AawBnACAATgBcACIAKQA7AFwAbgBcAG4AUwBvAHUAcgBjAGUARABhAHQAYQBfAFAAbwB1AGwAdAByAHkAXwBGAHIAYQBjAEcAQQBNAFMAUwBvAGkAbABfAFMAbwB1AHIAYwBlAFwAbgAgACAAPQBMAEEATQBCAEQAQQAoAFwAIgBWAEUARQBSAEcAIAAyADAAMgA2ADoAIAA0AC4ANgAuADIALgAzACAAQwBPAE4AUwBUAEEATgBUAFMAXAAiACkAOwBcAG4AXABuAFMAbwB1AHIAYwBlAEQAYQB0AGEAXwBQAG8AdQBsAHQAcgB5AF8ARgByAGEAYwBHAEEATQBTAFMAbwBpAGwAXwBWAGEAcgBpAGEAdABpAG8AbgBcAG4AIAAgAD0ATABBAE0AQgBEAEEAKABcACIAVgBBAFIASQBBAFQASQBPAE4AIABPAE4AIABTAE8AVQBSAEMARQA6ACAAVABoAGkAcwAgAGMAbwBuAHMAdABhAG4AdAAgAGkAcwAgAG4AbwB0ACAAZABvAGMAdQBtAGUAbgB0AGUAZAAgAGkAbgAgAHQAaABlACAAZAByAGEAZgB0ACwAIAB1AHMAZQBkACAAdABoAGUAIABzAGEAbQBlACAAdgBhAGwAdQBlACAAbwBmACAAMAAuADIAMQAgAGEAcwAgAGEAbABsACAAbwB0AGgAZQByACAAbABpAHYAZQBzAHQAbwBjAGsALgBcACIAKQA7AFwAbgBcAG4AUwBvAHUAcgBjAGUARABhAHQAYQBfAFAAbwB1AGwAdAByAHkAXwBGAHIAYQBjAEcAQQBNAFMAUwBvAGkAbABfAEQAYQB0AGEAXABuACAAIAA9AEwAQQBNAEIARABBACgAMAAuADIAMQApADsAXABuAFwAbgBcAG4ALwAqACAAXABuAC0ALQAtAC0ALQAtAC0ALQAtAC0ALQAtAC0ALQAtAC0ALQAtAC0ALQAtAC0ALQAtAC0ALQAtAC0ALQAtAC0ALQAtAC0ALQAtAC0ALQBcAG4AUwBvAHUAcgBjAGUARABhAHQAYQBfAFAAbwB1AGwAdAByAHkAXwBMAGkAdgBlAHcAZQBpAGcAaAB0AHMAXABuAFQAYQBiAGwAZQAgAEEALgAxAC4ANwAuADUAOgAgAFAAbwB1AGwAdAByAHkAIAAtACAATABpAHYAZQB3AGUAaQBnAGgAdABzACAAKABXAGMAbwApACAAKABrAGcAKQBcAG4ALQAtAC0ALQAtAC0ALQAtAC0ALQAtAC0ALQAtAC0ALQAtAC0ALQAtAC0ALQAtAC0ALQAtAC0ALQAtAC0ALQAtAC0ALQAtAC0ALQAtAFwAbgAqAC8AXABuAFwAbgBTAG8AdQByAGMAZQBEAGEAdABhAF8AUABvAHUAbAB0AHIAeQBfAEwAaQB2AGUAdwBlAGkAZwBoAHQAcwBfAFQAaQB0AGwAZQBcAG4AIAAgAD0ATABBAE0AQgBEAEEAKABcACIAUABvAHUAbAB0AHIAeQAgAC0AIABMAGkAdgBlAHcAZQBpAGcAaAB0AHMAIAAoAFcAYwBvACkAIAAoAGsAZwApAFwAIgApADsAXABuAFwAbgBTAG8AdQByAGMAZQBEAGEAdABhAF8AUABvAHUAbAB0AHIAeQBfAEwAaQB2AGUAdwBlAGkAZwBoAHQAcwBfAFUAbgBpAHQAXABuACAAIAA9AEwAQQBNAEIARABBACgAXAAiAGsAZwBcACIAKQA7AFwAbgBcAG4AUwBvAHUAcgBjAGUARABhAHQAYQBfAFAAbwB1AGwAdAByAHkAXwBMAGkAdgBlAHcAZQBpAGcAaAB0AHMAXwBTAG8AdQByAGMAZQBcAG4AIAAgAD0ATABBAE0AQgBEAEEAKABcACIAVgBFAEUAUgBHACAAMgAwADIANgA6ACAAVABhAGIAbABlACAAQQAuADEALgA3AC4ANQBcACIAKQA7AFwAbgBcAG4AUwBvAHUAcgBjAGUARABhAHQAYQBfAFAAbwB1AGwAdAByAHkAXwBMAGkAdgBlAHcAZQBpAGcAaAB0AHMAXwBWAGEAcgBpAGEAdABpAG8AbgBcAG4AIAAgAD0ATABBAE0AQgBEAEEAKABcACIAXAAiACkAOwBcAG4AXABuAFMAbwB1AHIAYwBlAEQAYQB0AGEAXwBQAG8AdQBsAHQAcgB5AF8ATABpAHYAZQB3AGUAaQBnAGgAdABzAF8ARABhAHQAYQBcAG4AIAAgAD0ATABBAE0AQgBEAEEAKABcAG4AIAAgACAAIABNAEEASwBFAEEAUgBSAEEAWQAoADkALAAgADMALAAgAFwAbgAgACAAIAAgACAAIABMAEEATQBCAEQAQQAoAHIALABjACwAIABcAG4AIAAgACAAIAAgACAAIAAgAEkATgBEAEUAWAAoAHsAXABuACAAIAAgACAAIAAgACAAIAAgACAAXAAiAEwAaQB2AGUAcwB0AG8AYwBrACAAQwBsAGEAcwBzACAAagBcACIALAAgAFwAIgBBAHYAZQByAGEAZwBlACAATABpAHYAZQB3AGUAaQBnAGgAdAAgACgAawBnACkAXAAiADsAXABuACAAIAAgACAAIAAgACAAIAAgACAAXAAiAEMAaABpAGMAawBlAG4AXAAiACwAIAAxAC4AMwA7AFwAbgAgACAAIAAgACAAIAAgACAAIAAgAFwAIgBIAGUAbgAgAFwAdQAwADAAMwBlAC8APQAxACAAeQByAFwAIgAsACAAMgA7AFwAbgAgACAAIAAgACAAIAAgACAAIAAgAFwAIgBQAHUAbABsAGUAdABzAFwAIgAsACAAMQAuADQAOwBcAG4AIAAgACAAIAAgACAAIAAgACAAIABcACIAQgByAG8AaQBsAGUAcgBzAFwAIgAsACAAMQAuADIAXABuACAAIAAgACAAIAAgACAAIAB9ACwAIAByACwAIABjACkAXABuACAAIAAgACAAIAAgACkAXABuACAAIAAgACAAKQBcAG4AIAAgACkAOw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SQBuAHAAdQB0AFwAIgA7AFwAbgAgACAAIAAgACAAIAAgACAAIAAgAFwAIgBGAHIAYQBjAEwARQBBAEMASABfAE0AUwBcACIALABcACIAZgByAGEAYwB0AGkAbwBuACAAbwBmACAATgAgAGwAbwBzAHQAIAB0AGgAcgBvAHUAZwBoACAAbABlAGEAYwBoAGkAbgBnACAAYQBuAGQAIAByAHUAbgBvAGYAZgBcACIALAAgAFwAIgBmAHIAYQBjAHQAaQBvAG4AXAAiACwAIABcACIASQBuAHAAdQ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kAGkAbQBlAG4AcwBpAG8AbgBsAGUAcwBzAFwAIgAsACAAXAAiAEkAbgBwAHUAdABcACIAOwBcAG4AIAAgACAAIAAgACAAIAAgACAAIABcACIAaQByAFwAIgAsACAAXAAiAGkAcgByAGkAZwBhAHQAaQBvAG4AIABtAGUAdABoAG8AZABcACIALAAgAFwAIgBkAGkAbQBlAG4AcwBpAG8AbgBsAGUAcwBzAFwAIgAsACAAXAAiAEkAbgBwAHUAdABcACIAOwBcAG4AIAAgACAAIAAgACAAIAAgACAAIABcACIAcgBcACIALAAgAFwAIgByAGEAaQBuAGYAYQBsAGwAIAByAGUAZwBpAG8AbgBcACIALAAgAFwAIgBkAGkAbQBlAG4AcwBpAG8AbgBsAGUAcw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NAE0AUwBfAFAAbwB1AGwAdAByAHkAXwBOADIATwBEAGkAcgBlAGMAdABfAEUAcQB1AGEAdABpAG8AbgBzAC4AVgBFAEUAUgBHAF8ANABfADYAXwAxAF8AMwBfAF8AMQBfAFQAbwB0AGEAbABBAG4AbgB1AGEAbABEAGkAcgBlAGMAdABOAGkAdAByAG8AdQBzAE8AeABpAGQAZQBFAG0AaQBzAHMAaQBvAG4AcwBGAHIAbwBtAE0ATQBTACIALAAiAE0ATQBTAF8AUABvAHUAbAB0AHIAeQBfAE4AMgBPAEQAaQByAGUAYwB0AF8ARQBxAHUAYQB0AGkAbwBuAHMALgBWAEUARQBSAEcAXwA0AF8ANgBfADEAXwAzAF8AXwAxAF8AVABvAHQAYQBsAEEAbgBuAHUAYQBsAEQAaQByAGUAYwB0AE4AaQB0AHIAbwB1AHMATwB4AGkAZABlAEUAbQBpAHMAcwBpAG8AbgBzAEYAcgBvAG0ATQBNAFMAXwBUAGkAdABsAGUAIgAsACIATQBNAFMAXwBQAG8AdQBsAHQAcgB5AF8ATgAyAE8ARABpAHIAZQBjAHQAXwBFAHEAdQBhAHQAaQBvAG4AcwAuAFYARQBFAFIARwBfADQAXwA2AF8AMQBfADMAXwBfADEAXwBUAG8AdABhAGwAQQBuAG4AdQBhAGwARABpAHIAZQBjAHQATgBpAHQAcgBvAHUAcwBPAHgAaQBkAGUARQBtAGkAcwBzAGkAbwBuAHMARgByAG8AbQBNAE0AUwBfAFYAYQByAGkAYQBiAGwAZQAiACwAIgBNAE0AUwBfAFAAbwB1AGwAdAByAHkAXwBOADIATwBEAGkAcgBlAGMAdABfAEUAcQB1AGEAdABpAG8AbgBzAC4AVgBFAEUAUgBHAF8ANABfADYAXwAxAF8AMwBfAF8AMQBfAFQAbwB0AGEAbABBAG4AbgB1AGEAbABEAGkAcgBlAGMAdABOAGkAdAByAG8AdQBzAE8AeABpAGQAZQBFAG0AaQBzAHMAaQBvAG4AcwBGAHIAbwBtAE0ATQBTAF8AVQBuAGkAdAAiACwAIgBNAE0AUwBfAFAAbwB1AGwAdAByAHkAXwBOADIATwBEAGkAcgBlAGMAdABfAEUAcQB1AGEAdABpAG8AbgBzAC4AVgBFAEUAUgBHAF8ANABfADYAXwAxAF8AMwBfAF8AMQBfAFQAbwB0AGEAbABBAG4AbgB1AGEAbABEAGkAcgBlAGMAdABOAGkAdAByAG8AdQBzAE8AeABpAGQAZQBFAG0AaQBzAHMAaQBvAG4AcwBGAHIAbwBtAE0ATQBTAF8AUwBvAHUAcgBjAGUAIgAsACIATQBNAFMAXwBQAG8AdQBsAHQAcgB5AF8ATgAyAE8ARABpAHIAZQBjAHQAXwBFAHEAdQBhAHQAaQBvAG4AcwAuAFYARQBFAFIARwBfADQAXwA2AF8AMQBfADMAXwBfADEAXwBUAG8AdABhAGwAQQBuAG4AdQBhAGwARABpAHIAZQBjAHQATgBpAHQAcgBvAHUAcwBPAHgAaQBkAGUARQBtAGkAcwBzAGkAbwBuAHMARgByAG8AbQBNAE0AUwBfAE4ASQBSAFIAZQBmAGUAcgBlAG4AYwBlACIALAAiAE0ATQBTAF8AUABvAHUAbAB0AHIAeQBfAE4AMgBPAEQAaQByAGUAYwB0AF8ARQBxAHUAYQB0AGkAbwBuAHMALgBWAEUARQBSAEcAXwA0AF8ANgBfADEAXwAzAF8AXwAxAF8AVABvAHQAYQBsAEEAbgBuAHUAYQBsAEQAaQByAGUAYwB0AE4AaQB0AHIAbwB1AHMATwB4AGkAZABlAEUAbQBpAHMAcwBpAG8AbgBzAEYAcgBvAG0ATQBNAFMAXwBMAGEAdABlAHgARQBxAHUAYQB0AGkAbwBuACIALAAiAE0ATQBTAF8AUABvAHUAbAB0AHIAeQBfAE4AMgBPAEQAaQByAGUAYwB0AF8ARQBxAHUAYQB0AGkAbwBuAHMALgBWAEUARQBSAEcAXwA0AF8ANgBfADEAXwAzAF8AXwAxAF8AVABvAHQAYQBsAEEAbgBuAHUAYQBsAEQAaQByAGUAYwB0AE4AaQB0AHIAbwB1AHMATwB4AGkAZABlAEUAbQBpAHMAcwBpAG8AbgBzAEYAcgBvAG0ATQBNAFMAXwBBAHIAZwB1AG0AZQBuAHQAcwAiACwAIgBNAE0AUwBfAFAAbwB1AGwAdAByAHkAXwBOADIATwBEAGkAcgBlAGMAdABfAEUAcQB1AGEAdABpAG8AbgBzAC4AVgBFAEUAUgBHAF8ANABfADYAXwAxAF8AMwBfAF8AMgBfAFMAdABhAGcAZQAxAE4AaQB0AHIAbwBnAGUAbgBJAG4ATQBNAFMAIgAsACIATQBNAFMAXwBQAG8AdQBsAHQAcgB5AF8ATgAyAE8ARABpAHIAZQBjAHQAXwBFAHEAdQBhAHQAaQBvAG4AcwAuAFYARQBFAFIARwBfADQAXwA2AF8AMQBfADMAXwBfADIAXwBTAHQAYQBnAGUAMQBOAGkAdAByAG8AZwBlAG4ASQBuAE0ATQBTAF8AVABpAHQAbABlACIALAAiAE0ATQBTAF8AUABvAHUAbAB0AHIAeQBfAE4AMgBPAEQAaQByAGUAYwB0AF8ARQBxAHUAYQB0AGkAbwBuAHMALgBWAEUARQBSAEcAXwA0AF8ANgBfADEAXwAzAF8AXwAyAF8AUwB0AGEAZwBlADEATgBpAHQAcgBvAGcAZQBuAEkAbgBNAE0AUwBfAFYAYQByAGkAYQBiAGwAZQAiACwAIgBNAE0AUwBfAFAAbwB1AGwAdAByAHkAXwBOADIATwBEAGkAcgBlAGMAdABfAEUAcQB1AGEAdABpAG8AbgBzAC4AVgBFAEUAUgBHAF8ANABfADYAXwAxAF8AMwBfAF8AMgBfAFMAdABhAGcAZQAxAE4AaQB0AHIAbwBnAGUAbgBJAG4ATQBNAFMAXwBVAG4AaQB0ACIALAAiAE0ATQBTAF8AUABvAHUAbAB0AHIAeQBfAE4AMgBPAEQAaQByAGUAYwB0AF8ARQBxAHUAYQB0AGkAbwBuAHMALgBWAEUARQBSAEcAXwA0AF8ANgBfADEAXwAzAF8AXwAyAF8AUwB0AGEAZwBlADEATgBpAHQAcgBvAGcAZQBuAEkAbgBNAE0AUwBfAFMAbwB1AHIAYwBlACIALAAiAE0ATQBTAF8AUABvAHUAbAB0AHIAeQBfAE4AMgBPAEQAaQByAGUAYwB0AF8ARQBxAHUAYQB0AGkAbwBuAHMALgBWAEUARQBSAEcAXwA0AF8ANgBfADEAXwAzAF8AXwAyAF8AUwB0AGEAZwBlADEATgBpAHQAcgBvAGcAZQBuAEkAbgBNAE0AUwBfAE4ASQBSAFIAZQBmAGUAcgBlAG4AYwBlACIALAAiAE0ATQBTAF8AUABvAHUAbAB0AHIAeQBfAE4AMgBPAEQAaQByAGUAYwB0AF8ARQBxAHUAYQB0AGkAbwBuAHMALgBWAEUARQBSAEcAXwA0AF8ANgBfADEAXwAzAF8AXwAyAF8AUwB0AGEAZwBlADEATgBpAHQAcgBvAGcAZQBuAEkAbgBNAE0AUwBfAEwAYQB0AGUAeABFAHEAdQBhAHQAaQBvAG4AIgAsACIATQBNAFMAXwBQAG8AdQBsAHQAcgB5AF8ATgAyAE8ARABpAHIAZQBjAHQAXwBFAHEAdQBhAHQAaQBvAG4AcwAuAFYARQBFAFIARwBfADQAXwA2AF8AMQBfADMAXwBfADIAXwBTAHQAYQBnAGUAMQBOAGkAdAByAG8AZwBlAG4ASQBuAE0ATQBTAF8AQQByAGcAdQBtAGUAbgB0AHMAIgAsACIATQBNAFMAXwBQAG8AdQBsAHQAcgB5AF8ATgAyAE8ARABpAHIAZQBjAHQAXwBFAHEAdQBhAHQAaQBvAG4AcwAuAFYARQBFAFIARwBfADQAXwA2AF8AMQBfADMAXwBfADMAXwBBAG4AbgB1AGEAbABOAGkAdAByAG8AZwBlAG4ARQB4AGMAcgBlAHQAaQBvAG4AIgAsACIATQBNAFMAXwBQAG8AdQBsAHQAcgB5AF8ATgAyAE8ARABpAHIAZQBjAHQAXwBFAHEAdQBhAHQAaQBvAG4AcwAuAFYARQBFAFIARwBfADQAXwA2AF8AMQBfADMAXwBfADMAXwBBAG4AbgB1AGEAbABOAGkAdAByAG8AZwBlAG4ARQB4AGMAcgBlAHQAaQBvAG4AXwBUAGkAdABsAGUAIgAsACIATQBNAFMAXwBQAG8AdQBsAHQAcgB5AF8ATgAyAE8ARABpAHIAZQBjAHQAXwBFAHEAdQBhAHQAaQBvAG4AcwAuAFYARQBFAFIARwBfADQAXwA2AF8AMQBfADMAXwBfADMAXwBBAG4AbgB1AGEAbABOAGkAdAByAG8AZwBlAG4ARQB4AGMAcgBlAHQAaQBvAG4AXwBWAGEAcgBpAGEAYgBsAGUAIgAsACIATQBNAFMAXwBQAG8AdQBsAHQAcgB5AF8ATgAyAE8ARABpAHIAZQBjAHQAXwBFAHEAdQBhAHQAaQBvAG4AcwAuAFYARQBFAFIARwBfADQAXwA2AF8AMQBfADMAXwBfADMAXwBBAG4AbgB1AGEAbABOAGkAdAByAG8AZwBlAG4ARQB4AGMAcgBlAHQAaQBvAG4AXwBVAG4AaQB0ACIALAAiAE0ATQBTAF8AUABvAHUAbAB0AHIAeQBfAE4AMgBPAEQAaQByAGUAYwB0AF8ARQBxAHUAYQB0AGkAbwBuAHMALgBWAEUARQBSAEcAXwA0AF8ANgBfADEAXwAzAF8AXwAzAF8AQQBuAG4AdQBhAGwATgBpAHQAcgBvAGcAZQBuAEUAeABjAHIAZQB0AGkAbwBuAF8AUwBvAHUAcgBjAGUAIgAsACIATQBNAFMAXwBQAG8AdQBsAHQAcgB5AF8ATgAyAE8ARABpAHIAZQBjAHQAXwBFAHEAdQBhAHQAaQBvAG4AcwAuAFYARQBFAFIARwBfADQAXwA2AF8AMQBfADMAXwBfADMAXwBBAG4AbgB1AGEAbABOAGkAdAByAG8AZwBlAG4ARQB4AGMAcgBlAHQAaQBvAG4AXwBOAEkAUgBSAGUAZgBlAHIAZQBuAGMAZQAiACwAIgBNAE0AUwBfAFAAbwB1AGwAdAByAHkAXwBOADIATwBEAGkAcgBlAGMAdABfAEUAcQB1AGEAdABpAG8AbgBzAC4AVgBFAEUAUgBHAF8ANABfADYAXwAxAF8AMwBfAF8AMwBfAEEAbgBuAHUAYQBsAE4AaQB0AHIAbwBnAGUAbgBFAHgAYwByAGUAdABpAG8AbgBfAEwAYQB0AGUAeABFAHEAdQBhAHQAaQBvAG4AIgAsACIATQBNAFMAXwBQAG8AdQBsAHQAcgB5AF8ATgAyAE8ARABpAHIAZQBjAHQAXwBFAHEAdQBhAHQAaQBvAG4AcwAuAFYARQBFAFIARwBfADQAXwA2AF8AMQBfADMAXwBfADMAXwBBAG4AbgB1AGEAbABOAGkAdAByAG8AZwBlAG4ARQB4AGMAcgBlAHQAaQBvAG4AXwBBAHIAZwB1AG0AZQBuAHQAcwAiACwAIgBNAE0AUwBfAFAAbwB1AGwAdAByAHkAXwBOADIATwBEAGkAcgBlAGMAdABfAEUAcQB1AGEAdABpAG8AbgBzAC4AVgBFAEUAUgBHAF8ANABfADYAXwAxAF8AMwBfAF8ANABfAE4AaQB0AHIAbwBnAGUAbgBFAHgAYwByAGUAdABpAG8AbgBQAGUAcgBCAGkAcgBkACIALAAiAE0ATQBTAF8AUABvAHUAbAB0AHIAeQBfAE4AMgBPAEQAaQByAGUAYwB0AF8ARQBxAHUAYQB0AGkAbwBuAHMALgBWAEUARQBSAEcAXwA0AF8ANgBfADEAXwAzAF8AXwA0AF8ATgBpAHQAcgBvAGcAZQBuAEUAeABjAHIAZQB0AGkAbwBuAFAAZQByAEIAaQByAGQAXwBUAGkAdABsAGUAIgAsACIATQBNAFMAXwBQAG8AdQBsAHQAcgB5AF8ATgAyAE8ARABpAHIAZQBjAHQAXwBFAHEAdQBhAHQAaQBvAG4AcwAuAFYARQBFAFIARwBfADQAXwA2AF8AMQBfADMAXwBfADQAXwBOAGkAdAByAG8AZwBlAG4ARQB4AGMAcgBlAHQAaQBvAG4AUABlAHIAQgBpAHIAZABfAFYAYQByAGkAYQBiAGwAZQAiACwAIgBNAE0AUwBfAFAAbwB1AGwAdAByAHkAXwBOADIATwBEAGkAcgBlAGMAdABfAEUAcQB1AGEAdABpAG8AbgBzAC4AVgBFAEUAUgBHAF8ANABfADYAXwAxAF8AMwBfAF8ANABfAE4AaQB0AHIAbwBnAGUAbgBFAHgAYwByAGUAdABpAG8AbgBQAGUAcgBCAGkAcgBkAF8AVQBuAGkAdAAiACwAIgBNAE0AUwBfAFAAbwB1AGwAdAByAHkAXwBOADIATwBEAGkAcgBlAGMAdABfAEUAcQB1AGEAdABpAG8AbgBzAC4AVgBFAEUAUgBHAF8ANABfADYAXwAxAF8AMwBfAF8ANABfAE4AaQB0AHIAbwBnAGUAbgBFAHgAYwByAGUAdABpAG8AbgBQAGUAcgBCAGkAcgBkAF8AUwBvAHUAcgBjAGUAIgAsACIATQBNAFMAXwBQAG8AdQBsAHQAcgB5AF8ATgAyAE8ARABpAHIAZQBjAHQAXwBFAHEAdQBhAHQAaQBvAG4AcwAuAFYARQBFAFIARwBfADQAXwA2AF8AMQBfADMAXwBfADQAXwBOAGkAdAByAG8AZwBlAG4ARQB4AGMAcgBlAHQAaQBvAG4AUABlAHIAQgBpAHIAZABfAE4ASQBSAFIAZQBmAGUAcgBlAG4AYwBlACIALAAiAE0ATQBTAF8AUABvAHUAbAB0AHIAeQBfAE4AMgBPAEQAaQByAGUAYwB0AF8ARQBxAHUAYQB0AGkAbwBuAHMALgBWAEUARQBSAEcAXwA0AF8ANgBfADEAXwAzAF8AXwA0AF8ATgBpAHQAcgBvAGcAZQBuAEUAeABjAHIAZQB0AGkAbwBuAFAAZQByAEIAaQByAGQAXwBMAGEAdABlAHgARQBxAHUAYQB0AGkAbwBuACIALAAiAE0ATQBTAF8AUABvAHUAbAB0AHIAeQBfAE4AMgBPAEQAaQByAGUAYwB0AF8ARQBxAHUAYQB0AGkAbwBuAHMALgBWAEUARQBSAEcAXwA0AF8ANgBfADEAXwAzAF8AXwA0AF8ATgBpAHQAcgBvAGcAZQBuAEUAeABjAHIAZQB0AGkAbwBuAFAAZQByAEIAaQByAGQAXwBBAHIAZwB1AG0AZQBuAHQAcwAiACwAIgBNAE0AUwBfAFAAbwB1AGwAdAByAHkAXwBOADIATwBEAGkAcgBlAGMAdABfAEUAcQB1AGEAdABpAG8AbgBzAC4AVgBFAEUAUgBHAF8ANABfADYAXwAxAF8AMwBfAF8ANQBfAE4AaQB0AHIAbwBnAGUAbgBJAG4AdABhAGsAZQAiACwAIgBNAE0AUwBfAFAAbwB1AGwAdAByAHkAXwBOADIATwBEAGkAcgBlAGMAdABfAEUAcQB1AGEAdABpAG8AbgBzAC4AVgBFAEUAUgBHAF8ANABfADYAXwAxAF8AMwBfAF8ANQBfAE4AaQB0AHIAbwBnAGUAbgBJAG4AdABhAGsAZQBfAFQAaQB0AGwAZQAiACwAIgBNAE0AUwBfAFAAbwB1AGwAdAByAHkAXwBOADIATwBEAGkAcgBlAGMAdABfAEUAcQB1AGEAdABpAG8AbgBzAC4AVgBFAEUAUgBHAF8ANABfADYAXwAxAF8AMwBfAF8ANQBfAE4AaQB0AHIAbwBnAGUAbgBJAG4AdABhAGsAZQBfAFYAYQByAGkAYQBiAGwAZQAiACwAIgBNAE0AUwBfAFAAbwB1AGwAdAByAHkAXwBOADIATwBEAGkAcgBlAGMAdABfAEUAcQB1AGEAdABpAG8AbgBzAC4AVgBFAEUAUgBHAF8ANABfADYAXwAxAF8AMwBfAF8ANQBfAE4AaQB0AHIAbwBnAGUAbgBJAG4AdABhAGsAZQBfAFUAbgBpAHQAIgAsACIATQBNAFMAXwBQAG8AdQBsAHQAcgB5AF8ATgAyAE8ARABpAHIAZQBjAHQAXwBFAHEAdQBhAHQAaQBvAG4AcwAuAFYARQBFAFIARwBfADQAXwA2AF8AMQBfADMAXwBfADUAXwBOAGkAdAByAG8AZwBlAG4ASQBuAHQAYQBrAGUAXwBTAG8AdQByAGMAZQAiACwAIgBNAE0AUwBfAFAAbwB1AGwAdAByAHkAXwBOADIATwBEAGkAcgBlAGMAdABfAEUAcQB1AGEAdABpAG8AbgBzAC4AVgBFAEUAUgBHAF8ANABfADYAXwAxAF8AMwBfAF8ANQBfAE4AaQB0AHIAbwBnAGUAbgBJAG4AdABhAGsAZQBfAE4ASQBSAFIAZQBmAGUAcgBlAG4AYwBlACIALAAiAE0ATQBTAF8AUABvAHUAbAB0AHIAeQBfAE4AMgBPAEQAaQByAGUAYwB0AF8ARQBxAHUAYQB0AGkAbwBuAHMALgBWAEUARQBSAEcAXwA0AF8ANgBfADEAXwAzAF8AXwA1AF8ATgBpAHQAcgBvAGcAZQBuAEkAbgB0AGEAawBlAF8ATABhAHQAZQB4AEUAcQB1AGEAdABpAG8AbgAiACwAIgBNAE0AUwBfAFAAbwB1AGwAdAByAHkAXwBOADIATwBEAGkAcgBlAGMAdABfAEUAcQB1AGEAdABpAG8AbgBzAC4AVgBFAEUAUgBHAF8ANABfADYAXwAxAF8AMwBfAF8ANQBfAE4AaQB0AHIAbwBnAGUAbgBJAG4AdABhAGsAZQBfAEEAcgBnAHUAbQBlAG4AdABzACIALAAiAE0ATQBTAF8AUABvAHUAbAB0AHIAeQBfAE4AMgBPAEQAaQByAGUAYwB0AF8ARQBxAHUAYQB0AGkAbwBuAHMALgBWAEUARQBSAEcAXwA0AF8ANgBfADEAXwAzAF8AXwA2AF8AUwB0AGEAZwBlADIATgBpAHQAcgBvAGcAZQBuAEkAbgBNAE0AUwAiACwAIgBNAE0AUwBfAFAAbwB1AGwAdAByAHkAXwBOADIATwBEAGkAcgBlAGMAdABfAEUAcQB1AGEAdABpAG8AbgBzAC4AVgBFAEUAUgBHAF8ANABfADYAXwAxAF8AMwBfAF8ANgBfAFMAdABhAGcAZQAyAE4AaQB0AHIAbwBnAGUAbgBJAG4ATQBNAFMAXwBUAGkAdABsAGUAIgAsACIATQBNAFMAXwBQAG8AdQBsAHQAcgB5AF8ATgAyAE8ARABpAHIAZQBjAHQAXwBFAHEAdQBhAHQAaQBvAG4AcwAuAFYARQBFAFIARwBfADQAXwA2AF8AMQBfADMAXwBfADYAXwBTAHQAYQBnAGUAMgBOAGkAdAByAG8AZwBlAG4ASQBuAE0ATQBTAF8AVgBhAHIAaQBhAGIAbABlACIALAAiAE0ATQBTAF8AUABvAHUAbAB0AHIAeQBfAE4AMgBPAEQAaQByAGUAYwB0AF8ARQBxAHUAYQB0AGkAbwBuAHMALgBWAEUARQBSAEcAXwA0AF8ANgBfADEAXwAzAF8AXwA2AF8AUwB0AGEAZwBlADIATgBpAHQAcgBvAGcAZQBuAEkAbgBNAE0AUwBfAFUAbgBpAHQAIgAsACIATQBNAFMAXwBQAG8AdQBsAHQAcgB5AF8ATgAyAE8ARABpAHIAZQBjAHQAXwBFAHEAdQBhAHQAaQBvAG4AcwAuAFYARQBFAFIARwBfADQAXwA2AF8AMQBfADMAXwBfADYAXwBTAHQAYQBnAGUAMgBOAGkAdAByAG8AZwBlAG4ASQBuAE0ATQBTAF8AUwBvAHUAcgBjAGUAIgAsACIATQBNAFMAXwBQAG8AdQBsAHQAcgB5AF8ATgAyAE8ARABpAHIAZQBjAHQAXwBFAHEAdQBhAHQAaQBvAG4AcwAuAFYARQBFAFIARwBfADQAXwA2AF8AMQBfADMAXwBfADYAXwBTAHQAYQBnAGUAMgBOAGkAdAByAG8AZwBlAG4ASQBuAE0ATQBTAF8ATgBJAFIAUgBlAGYAZQByAGUAbgBjAGUAIgAsACIATQBNAFMAXwBQAG8AdQBsAHQAcgB5AF8ATgAyAE8ARABpAHIAZQBjAHQAXwBFAHEAdQBhAHQAaQBvAG4AcwAuAFYARQBFAFIARwBfADQAXwA2AF8AMQBfADMAXwBfADYAXwBTAHQAYQBnAGUAMgBOAGkAdAByAG8AZwBlAG4ASQBuAE0ATQBTAF8ATABhAHQAZQB4AEUAcQB1AGEAdABpAG8AbgAiACwAIgBNAE0AUwBfAFAAbwB1AGwAdAByAHkAXwBOADIATwBEAGkAcgBlAGMAdABfAEUAcQB1AGEAdABpAG8AbgBzAC4AVgBFAEUAUgBHAF8ANABfADYAXwAxAF8AMwBfAF8ANgBfAFMAdABhAGcAZQAyAE4AaQB0AHIAbwBnAGUAbgBJAG4ATQBNAFMAXwBBAHIAZwB1AG0AZQBuAHQAcwAiACwAIgBNAE0AUwBfAFAAbwB1AGwAdAByAHkAXwBOADIATwBEAGkAcgBlAGMAdABfAEUAcQB1AGEAdABpAG8AbgBzAC4AVgBFAEUAUgBHAF8ANABfADYAXwAxAF8AMwBfAF8ANwBfAE4AaQB0AHIAbwBnAGUAbgBUAHIAYQBuAHMAZgBlAHIAcgBlAGQAVABvAFMAdABhAGcAZQAyAE0ATQBTACIALAAiAE0ATQBTAF8AUABvAHUAbAB0AHIAeQBfAE4AMgBPAEQAaQByAGUAYwB0AF8ARQBxAHUAYQB0AGkAbwBuAHMALgBWAEUARQBSAEcAXwA0AF8ANgBfADEAXwAzAF8AXwA3AF8ATgBpAHQAcgBvAGcAZQBuAFQAcgBhAG4AcwBmAGUAcgByAGUAZABUAG8AUwB0AGEAZwBlADIATQBNAFMAXwBUAGkAdABsAGUAIgAsACIATQBNAFMAXwBQAG8AdQBsAHQAcgB5AF8ATgAyAE8ARABpAHIAZQBjAHQAXwBFAHEAdQBhAHQAaQBvAG4AcwAuAFYARQBFAFIARwBfADQAXwA2AF8AMQBfADMAXwBfADcAXwBOAGkAdAByAG8AZwBlAG4AVAByAGEAbgBzAGYAZQByAHIAZQBkAFQAbwBTAHQAYQBnAGUAMgBNAE0AUwBfAFYAYQByAGkAYQBiAGwAZQAiACwAIgBNAE0AUwBfAFAAbwB1AGwAdAByAHkAXwBOADIATwBEAGkAcgBlAGMAdABfAEUAcQB1AGEAdABpAG8AbgBzAC4AVgBFAEUAUgBHAF8ANABfADYAXwAxAF8AMwBfAF8ANwBfAE4AaQB0AHIAbwBnAGUAbgBUAHIAYQBuAHMAZgBlAHIAcgBlAGQAVABvAFMAdABhAGcAZQAyAE0ATQBTAF8AVQBuAGkAdAAiACwAIgBNAE0AUwBfAFAAbwB1AGwAdAByAHkAXwBOADIATwBEAGkAcgBlAGMAdABfAEUAcQB1AGEAdABpAG8AbgBzAC4AVgBFAEUAUgBHAF8ANABfADYAXwAxAF8AMwBfAF8ANwBfAE4AaQB0AHIAbwBnAGUAbgBUAHIAYQBuAHMAZgBlAHIAcgBlAGQAVABvAFMAdABhAGcAZQAyAE0ATQBTAF8AUwBvAHUAcgBjAGUAIgAsACIATQBNAFMAXwBQAG8AdQBsAHQAcgB5AF8ATgAyAE8ARABpAHIAZQBjAHQAXwBFAHEAdQBhAHQAaQBvAG4AcwAuAFYARQBFAFIARwBfADQAXwA2AF8AMQBfADMAXwBfADcAXwBOAGkAdAByAG8AZwBlAG4AVAByAGEAbgBzAGYAZQByAHIAZQBkAFQAbwBTAHQAYQBnAGUAMgBNAE0AUwBfAE4ASQBSAFIAZQBmAGUAcgBlAG4AYwBlACIALAAiAE0ATQBTAF8AUABvAHUAbAB0AHIAeQBfAE4AMgBPAEQAaQByAGUAYwB0AF8ARQBxAHUAYQB0AGkAbwBuAHMALgBWAEUARQBSAEcAXwA0AF8ANgBfADEAXwAzAF8AXwA3AF8ATgBpAHQAcgBvAGcAZQBuAFQAcgBhAG4AcwBmAGUAcgByAGUAZABUAG8AUwB0AGEAZwBlADIATQBNAFMAXwBMAGEAdABlAHgARQBxAHUAYQB0AGkAbwBuACIALAAiAE0ATQBTAF8AUABvAHUAbAB0AHIAeQBfAE4AMgBPAEQAaQByAGUAYwB0AF8ARQBxAHUAYQB0AGkAbwBuAHMALgBWAEUARQBSAEcAXwA0AF8ANgBfADEAXwAzAF8AXwA3AF8ATgBpAHQAcgBvAGcAZQBuAFQAcgBhAG4AcwBmAGUAcgByAGUAZABUAG8AUwB0AGEAZwBlADIATQBNAFMAXwBBAHIAZwB1AG0AZQBuAHQAc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UAGkAdA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YAYQByAGkAYQBiAGw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QBuAGkAdA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UwBvAHUAcgBj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E4ASQBSAFIAZQBmAGUAcgBlAG4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MAGEAdABlAHgARQBxAHUAYQB0AGkAbwBu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BAHIAZwB1AG0AZQBuAHQAcwAiACwAIgBNAE0AUwBfAFAAbwB1AGwAdAByAHkAXwBBAHQAbQBvAHMAcABoAGUAcgBpAGMARABlAHAAbwBzAGkAdABpAG8AbgBfAEUAcQB1AGEAdABpAG8AbgBzAC4AVgBFAEUAUgBHAF8ANABfADYAXwAxAF8ANQBfAF8AMgBfAFQAbwB0AGEAbABOAGkAdAByAG8AZwBlAG4AVgBvAGwAYQB0AGkAbABpAHMAZQBkAEYAcgBvAG0ATQBNAFMAIgAsACIATQBNAFMAXwBQAG8AdQBsAHQAcgB5AF8AQQB0AG0AbwBzAHAAaABlAHIAaQBjAEQAZQBwAG8AcwBpAHQAaQBvAG4AXwBFAHEAdQBhAHQAaQBvAG4AcwAuAFYARQBFAFIARwBfADQAXwA2AF8AMQBfADUAXwBfADIAXwBUAG8AdABhAGwATgBpAHQAcgBvAGcAZQBuAFYAbwBsAGEAdABpAGwAaQBzAGUAZABGAHIAbwBtAE0ATQBTAF8AVABpAHQAbABlACIALAAiAE0ATQBTAF8AUABvAHUAbAB0AHIAeQBfAEEAdABtAG8AcwBwAGgAZQByAGkAYwBEAGUAcABvAHMAaQB0AGkAbwBuAF8ARQBxAHUAYQB0AGkAbwBuAHMALgBWAEUARQBSAEcAXwA0AF8ANgBfADEAXwA1AF8AXwAyAF8AVABvAHQAYQBsAE4AaQB0AHIAbwBnAGUAbgBWAG8AbABhAHQAaQBsAGkAcwBlAGQARgByAG8AbQBNAE0AUwBfAFYAYQByAGkAYQBiAGwAZQAiACwAIgBNAE0AUwBfAFAAbwB1AGwAdAByAHkAXwBBAHQAbQBvAHMAcABoAGUAcgBpAGMARABlAHAAbwBzAGkAdABpAG8AbgBfAEUAcQB1AGEAdABpAG8AbgBzAC4AVgBFAEUAUgBHAF8ANABfADYAXwAxAF8ANQBfAF8AMgBfAFQAbwB0AGEAbABOAGkAdAByAG8AZwBlAG4AVgBvAGwAYQB0AGkAbABpAHMAZQBkAEYAcgBvAG0ATQBNAFMAXwBVAG4AaQB0ACIALAAiAE0ATQBTAF8AUABvAHUAbAB0AHIAeQBfAEEAdABtAG8AcwBwAGgAZQByAGkAYwBEAGUAcABvAHMAaQB0AGkAbwBuAF8ARQBxAHUAYQB0AGkAbwBuAHMALgBWAEUARQBSAEcAXwA0AF8ANgBfADEAXwA1AF8AXwAyAF8AVABvAHQAYQBsAE4AaQB0AHIAbwBnAGUAbgBWAG8AbABhAHQAaQBsAGkAcwBlAGQARgByAG8AbQBNAE0AUwBfAFMAbwB1AHIAYwBlACIALAAiAE0ATQBTAF8AUABvAHUAbAB0AHIAeQBfAEEAdABtAG8AcwBwAGgAZQByAGkAYwBEAGUAcABvAHMAaQB0AGkAbwBuAF8ARQBxAHUAYQB0AGkAbwBuAHMALgBWAEUARQBSAEcAXwA0AF8ANgBfADEAXwA1AF8AXwAyAF8AVABvAHQAYQBsAE4AaQB0AHIAbwBnAGUAbgBWAG8AbABhAHQAaQBsAGkAcwBlAGQARgByAG8AbQBNAE0AUwBfAE4ASQBSAFIAZQBmAGUAcgBlAG4AYwBlACIALAAiAE0ATQBTAF8AUABvAHUAbAB0AHIAeQBfAEEAdABtAG8AcwBwAGgAZQByAGkAYwBEAGUAcABvAHMAaQB0AGkAbwBuAF8ARQBxAHUAYQB0AGkAbwBuAHMALgBWAEUARQBSAEcAXwA0AF8ANgBfADEAXwA1AF8AXwAyAF8AVABvAHQAYQBsAE4AaQB0AHIAbwBnAGUAbgBWAG8AbABhAHQAaQBsAGkAcwBlAGQARgByAG8AbQBNAE0AUwBfAEwAYQB0AGUAeABFAHEAdQBhAHQAaQBvAG4AIgAsACIATQBNAFMAXwBQAG8AdQBsAHQAcgB5AF8AQQB0AG0AbwBzAHAAaABlAHIAaQBjAEQAZQBwAG8AcwBpAHQAaQBvAG4AXwBFAHEAdQBhAHQAaQBvAG4AcwAuAFYARQBFAFIARwBfADQAXwA2AF8AMQBfADUAXwBfADIAXwBUAG8AdABhAGwATgBpAHQAcgBvAGcAZQBuAFYAbwBsAGEAdABpAGwAaQBzAGUAZABGAHIAbwBtAE0ATQBTAF8AQQByAGcAdQBtAGUAbgB0AHMAIgAsACIATQBNAFMAXwBQAG8AdQBsAHQAcgB5AF8ATABlAGEAYwBoAGkAbgBnAEEAbgBkAFIAdQBuAG8AZgBmAF8ARQBxAHUAYQB0AGkAbwBuAHMALgBWAEUARQBSAEcAXwA0AF8ANgBfADEAXwA3AF8AXwAxAF8AQQBuAG4AdQBhAGwARQBtAGkAcwBzAGkAbwBuAHMARgByAG8AbQBMAGUAYQBjAGgAaQBuAGcAQQBuAGQAUgB1AG4AbwBmAGYARgByAG8AbQBNAE0AUwAiACwAIgBNAE0AUwBfAFAAbwB1AGwAdAByAHkAXwBMAGUAYQBjAGgAaQBuAGcAQQBuAGQAUgB1AG4AbwBmAGYAXwBFAHEAdQBhAHQAaQBvAG4AcwAuAFYARQBFAFIARwBfADQAXwA2AF8AMQBfADcAXwBfADEAXwBBAG4AbgB1AGEAbABFAG0AaQBzAHMAaQBvAG4AcwBGAHIAbwBtAEwAZQBhAGMAaABpAG4AZwBBAG4AZABSAHUAbgBvAGYAZgBGAHIAbwBtAE0ATQBTAF8AVABpAHQ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WAGEAcgBpAGEAYgBs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FUAbgBpAHQAIgAsACIATQBNAFMAXwBQAG8AdQBsAHQAcgB5AF8ATABlAGEAYwBoAGkAbgBnAEEAbgBkAFIAdQBuAG8AZgBmAF8ARQBxAHUAYQB0AGkAbwBuAHMALgBWAEUARQBSAEcAXwA0AF8ANgBfADEAXwA3AF8AXwAxAF8AQQBuAG4AdQBhAGwARQBtAGkAcwBzAGkAbwBuAHMARgByAG8AbQBMAGUAYQBjAGgAaQBuAGcAQQBuAGQAUgB1AG4AbwBmAGYARgByAG8AbQBNAE0AUwBfAFMAbwB1AHIAYw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OAEkAUgBSAGUAZgBlAHIAZQBu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ABhAHQAZQB4AEUAcQB1AGEAdABpAG8AbgAiACwAIgBNAE0AUwBfAFAAbwB1AGwAdAByAHkAXwBMAGUAYQBjAGgAaQBuAGcAQQBuAGQAUgB1AG4AbwBmAGYAXwBFAHEAdQBhAHQAaQBvAG4AcwAuAFYARQBFAFIARwBfADQAXwA2AF8AMQBfADcAXwBfADEAXwBBAG4AbgB1AGEAbABFAG0AaQBzAHMAaQBvAG4AcwBGAHIAbwBtAEwAZQBhAGMAaABpAG4AZwBBAG4AZABSAHUAbgBvAGYAZgBGAHIAbwBtAE0ATQBTAF8AQQByAGcAdQBtAGUAbgB0AHM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QAaQB0AGw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WAGEAcgBpAGEAYg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QBuAGkAdA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TAG8AdQBy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OAEkAUgBSAGUAZgBlAHIAZQBuAGM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MAGEAdABlAHgARQBxAHUAYQB0AGkAbwBu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EEAcgBnAHUAbQBlAG4AdABzACIALAAiAE0ATQBTAF8AUABvAHUAbAB0AHIAeQBfAE0AZQB0AGgAYQBuAGUAXwBFAHEAdQBhAHQAaQBvAG4AcwAuAFYARQBFAFIARwBfADQAXwA2AF8AMQBfADEAXwBfADEAXwBUAG8AdABhAGwAQQBuAG4AdQBhAGwATQBlAHQAaABhAG4AZQBFAG0AaQBzAHMAaQBvAG4AcwAiACwAIgBNAE0AUwBfAFAAbwB1AGwAdAByAHkAXwBNAGUAdABoAGEAbgBlAF8ARQBxAHUAYQB0AGkAbwBuAHMALgBWAEUARQBSAEcAXwA0AF8ANgBfADEAXwAxAF8AXwAxAF8AVABvAHQAYQBsAEEAbgBuAHUAYQBsAE0AZQB0AGgAYQBuAGUARQBtAGkAcwBzAGkAbwBuAHMAXwBUAGkAdABsAGUAIgAsACIATQBNAFMAXwBQAG8AdQBsAHQAcgB5AF8ATQBlAHQAaABhAG4AZQBfAEUAcQB1AGEAdABpAG8AbgBzAC4AVgBFAEUAUgBHAF8ANABfADYAXwAxAF8AMQBfAF8AMQBfAFQAbwB0AGEAbABBAG4AbgB1AGEAbABNAGUAdABoAGEAbgBlAEUAbQBpAHMAcwBpAG8AbgBzAF8AVgBhAHIAaQBhAGIAbABlACIALAAiAE0ATQBTAF8AUABvAHUAbAB0AHIAeQBfAE0AZQB0AGgAYQBuAGUAXwBFAHEAdQBhAHQAaQBvAG4AcwAuAFYARQBFAFIARwBfADQAXwA2AF8AMQBfADEAXwBfADEAXwBUAG8AdABhAGwAQQBuAG4AdQBhAGwATQBlAHQAaABhAG4AZQBFAG0AaQBzAHMAaQBvAG4AcwBfAFUAbgBpAHQAIgAsACIATQBNAFMAXwBQAG8AdQBsAHQAcgB5AF8ATQBlAHQAaABhAG4AZQBfAEUAcQB1AGEAdABpAG8AbgBzAC4AVgBFAEUAUgBHAF8ANABfADYAXwAxAF8AMQBfAF8AMQBfAFQAbwB0AGEAbABBAG4AbgB1AGEAbABNAGUAdABoAGEAbgBlAEUAbQBpAHMAcwBpAG8AbgBzAF8AUwBvAHUAcgBjAGUAIgAsACIATQBNAFMAXwBQAG8AdQBsAHQAcgB5AF8ATQBlAHQAaABhAG4AZQBfAEUAcQB1AGEAdABpAG8AbgBzAC4AVgBFAEUAUgBHAF8ANABfADYAXwAxAF8AMQBfAF8AMQBfAFQAbwB0AGEAbABBAG4AbgB1AGEAbABNAGUAdABoAGEAbgBlAEUAbQBpAHMAcwBpAG8AbgBzAF8ATgBJAFIAUgBlAGYAZQByAGUAbgBjAGUAIgAsACIATQBNAFMAXwBQAG8AdQBsAHQAcgB5AF8ATQBlAHQAaABhAG4AZQBfAEUAcQB1AGEAdABpAG8AbgBzAC4AVgBFAEUAUgBHAF8ANABfADYAXwAxAF8AMQBfAF8AMQBfAFQAbwB0AGEAbABBAG4AbgB1AGEAbABNAGUAdABoAGEAbgBlAEUAbQBpAHMAcwBpAG8AbgBzAF8ATABhAHQAZQB4AEUAcQB1AGEAdABpAG8AbgAiACwAIgBNAE0AUwBfAFAAbwB1AGwAdAByAHkAXwBNAGUAdABoAGEAbgBlAF8ARQBxAHUAYQB0AGkAbwBuAHMALgBWAEUARQBSAEcAXwA0AF8ANgBfADEAXwAxAF8AXwAxAF8AVABvAHQAYQBsAEEAbgBuAHUAYQBsAE0AZQB0AGgAYQBuAGUARQBtAGkAcwBzAGkAbwBuAHMAXwBBAHIAZwB1AG0AZQBuAHQAcwAiACwAIgBNAE0AUwBfAFAAbwB1AGwAdAByAHkAXwBNAGUAdABoAGEAbgBlAF8ARQBxAHUAYQB0AGkAbwBuAHMALgBWAEUARQBSAEcAXwA0AF8ANgBfADEAXwAxAF8AXwAyAF8AUwB0AGEAZwBlADEATQBlAHQAaABhAG4AZQBQAHIAbwBkAHUAYwB0AGkAbwBuACIALAAiAE0ATQBTAF8AUABvAHUAbAB0AHIAeQBfAE0AZQB0AGgAYQBuAGUAXwBFAHEAdQBhAHQAaQBvAG4AcwAuAFYARQBFAFIARwBfADQAXwA2AF8AMQBfADEAXwBfADIAXwBTAHQAYQBnAGUAMQBNAGUAdABoAGEAbgBlAFAAcgBvAGQAdQBjAHQAaQBvAG4AXwBUAGkAdABsAGUAIgAsACIATQBNAFMAXwBQAG8AdQBsAHQAcgB5AF8ATQBlAHQAaABhAG4AZQBfAEUAcQB1AGEAdABpAG8AbgBzAC4AVgBFAEUAUgBHAF8ANABfADYAXwAxAF8AMQBfAF8AMgBfAFMAdABhAGcAZQAxAE0AZQB0AGgAYQBuAGUAUAByAG8AZAB1AGMAdABpAG8AbgBfAFYAYQByAGkAYQBiAGwAZQAiACwAIgBNAE0AUwBfAFAAbwB1AGwAdAByAHkAXwBNAGUAdABoAGEAbgBlAF8ARQBxAHUAYQB0AGkAbwBuAHMALgBWAEUARQBSAEcAXwA0AF8ANgBfADEAXwAxAF8AXwAyAF8AUwB0AGEAZwBlADEATQBlAHQAaABhAG4AZQBQAHIAbwBkAHUAYwB0AGkAbwBuAF8AVQBuAGkAdAAiACwAIgBNAE0AUwBfAFAAbwB1AGwAdAByAHkAXwBNAGUAdABoAGEAbgBlAF8ARQBxAHUAYQB0AGkAbwBuAHMALgBWAEUARQBSAEcAXwA0AF8ANgBfADEAXwAxAF8AXwAyAF8AUwB0AGEAZwBlADEATQBlAHQAaABhAG4AZQBQAHIAbwBkAHUAYwB0AGkAbwBuAF8AUwBvAHUAcgBjAGUAIgAsACIATQBNAFMAXwBQAG8AdQBsAHQAcgB5AF8ATQBlAHQAaABhAG4AZQBfAEUAcQB1AGEAdABpAG8AbgBzAC4AVgBFAEUAUgBHAF8ANABfADYAXwAxAF8AMQBfAF8AMgBfAFMAdABhAGcAZQAxAE0AZQB0AGgAYQBuAGUAUAByAG8AZAB1AGMAdABpAG8AbgBfAE4ASQBSAFIAZQBmAGUAcgBlAG4AYwBlACIALAAiAE0ATQBTAF8AUABvAHUAbAB0AHIAeQBfAE0AZQB0AGgAYQBuAGUAXwBFAHEAdQBhAHQAaQBvAG4AcwAuAFYARQBFAFIARwBfADQAXwA2AF8AMQBfADEAXwBfADIAXwBTAHQAYQBnAGUAMQBNAGUAdABoAGEAbgBlAFAAcgBvAGQAdQBjAHQAaQBvAG4AXwBMAGEAdABlAHgARQBxAHUAYQB0AGkAbwBuACIALAAiAE0ATQBTAF8AUABvAHUAbAB0AHIAeQBfAE0AZQB0AGgAYQBuAGUAXwBFAHEAdQBhAHQAaQBvAG4AcwAuAFYARQBFAFIARwBfADQAXwA2AF8AMQBfADEAXwBfADIAXwBTAHQAYQBnAGUAMQBNAGUAdABoAGEAbgBlAFAAcgBvAGQAdQBjAHQAaQBvAG4AXwBBAHIAZwB1AG0AZQBuAHQAcwAiACwAIgBNAE0AUwBfAFAAbwB1AGwAdAByAHkAXwBNAGUAdABoAGEAbgBlAF8ARQBxAHUAYQB0AGkAbwBuAHMALgBWAEUARQBSAEcAXwA0AF8ANgBfADEAXwAxAF8AXwAyAF8AUwB0AGEAZwBlADEATQBlAHQAaABhAG4AZQBQAHIAbwBkAHUAYwB0AGkAbwBuAF8AQQByAGcAdQBtAGUAbgB0AHMAXwBNAGUAdABoAG8AZAAyACIALAAiAE0ATQBTAF8AUABvAHUAbAB0AHIAeQBfAE0AZQB0AGgAYQBuAGUAXwBFAHEAdQBhAHQAaQBvAG4AcwAuAFYARQBFAFIARwBfADQAXwA2AF8AMQBfADEAXwBfADIAXwBTAHQAYQBnAGUAMQBNAGUAdABoAGEAbgBlAFAAcgBvAGQAdQBjAHQAaQBvAG4AXwBWAGEAcgBpAGEAdABpAG8AbgAiACwAIgBNAE0AUwBfAFAAbwB1AGwAdAByAHkAXwBNAGUAdABoAGEAbgBlAF8ARQBxAHUAYQB0AGkAbwBuAHMALgBWAEUARQBSAEcAXwA0AF8ANgBfADEAXwAxAF8AXwAzAF8AUwB0AGEAZwBlADIATQBlAHQAaABhAG4AZQBQAHIAbwBkAHUAYwB0AGkAbwBuACIALAAiAE0ATQBTAF8AUABvAHUAbAB0AHIAeQBfAE0AZQB0AGgAYQBuAGUAXwBFAHEAdQBhAHQAaQBvAG4AcwAuAFYARQBFAFIARwBfADQAXwA2AF8AMQBfADEAXwBfADMAXwBTAHQAYQBnAGUAMgBNAGUAdABoAGEAbgBlAFAAcgBvAGQAdQBjAHQAaQBvAG4AXwBUAGkAdABsAGUAIgAsACIATQBNAFMAXwBQAG8AdQBsAHQAcgB5AF8ATQBlAHQAaABhAG4AZQBfAEUAcQB1AGEAdABpAG8AbgBzAC4AVgBFAEUAUgBHAF8ANABfADYAXwAxAF8AMQBfAF8AMwBfAFMAdABhAGcAZQAyAE0AZQB0AGgAYQBuAGUAUAByAG8AZAB1AGMAdABpAG8AbgBfAFYAYQByAGkAYQBiAGwAZQAiACwAIgBNAE0AUwBfAFAAbwB1AGwAdAByAHkAXwBNAGUAdABoAGEAbgBlAF8ARQBxAHUAYQB0AGkAbwBuAHMALgBWAEUARQBSAEcAXwA0AF8ANgBfADEAXwAxAF8AXwAzAF8AUwB0AGEAZwBlADIATQBlAHQAaABhAG4AZQBQAHIAbwBkAHUAYwB0AGkAbwBuAF8AVQBuAGkAdAAiACwAIgBNAE0AUwBfAFAAbwB1AGwAdAByAHkAXwBNAGUAdABoAGEAbgBlAF8ARQBxAHUAYQB0AGkAbwBuAHMALgBWAEUARQBSAEcAXwA0AF8ANgBfADEAXwAxAF8AXwAzAF8AUwB0AGEAZwBlADIATQBlAHQAaABhAG4AZQBQAHIAbwBkAHUAYwB0AGkAbwBuAF8AUwBvAHUAcgBjAGUAIgAsACIATQBNAFMAXwBQAG8AdQBsAHQAcgB5AF8ATQBlAHQAaABhAG4AZQBfAEUAcQB1AGEAdABpAG8AbgBzAC4AVgBFAEUAUgBHAF8ANABfADYAXwAxAF8AMQBfAF8AMwBfAFMAdABhAGcAZQAyAE0AZQB0AGgAYQBuAGUAUAByAG8AZAB1AGMAdABpAG8AbgBfAE4ASQBSAFIAZQBmAGUAcgBlAG4AYwBlACIALAAiAE0ATQBTAF8AUABvAHUAbAB0AHIAeQBfAE0AZQB0AGgAYQBuAGUAXwBFAHEAdQBhAHQAaQBvAG4AcwAuAFYARQBFAFIARwBfADQAXwA2AF8AMQBfADEAXwBfADMAXwBTAHQAYQBnAGUAMgBNAGUAdABoAGEAbgBlAFAAcgBvAGQAdQBjAHQAaQBvAG4AXwBMAGEAdABlAHgARQBxAHUAYQB0AGkAbwBuACIALAAiAE0ATQBTAF8AUABvAHUAbAB0AHIAeQBfAE0AZQB0AGgAYQBuAGUAXwBFAHEAdQBhAHQAaQBvAG4AcwAuAFYARQBFAFIARwBfADQAXwA2AF8AMQBfADEAXwBfADMAXwBTAHQAYQBnAGUAMgBNAGUAdABoAGEAbgBlAFAAcgBvAGQAdQBjAHQAaQBvAG4AXwBBAHIAZwB1AG0AZQBuAHQAcwAiACwAIgBNAE0AUwBfAFAAbwB1AGwAdAByAHkAXwBNAGUAdABoAGEAbgBlAF8ARQBxAHUAYQB0AGkAbwBuAHMALgBWAEUARQBSAEcAXwA0AF8ANgBfADEAXwAxAF8AXwAzAF8AUwB0AGEAZwBlADIATQBlAHQAaABhAG4AZQBQAHIAbwBkAHUAYwB0AGkAbwBuAF8AQQByAGcAdQBtAGUAbgB0AHMAXwBNAGUAdABoAG8AZAAyACIALAAiAE0ATQBTAF8AUABvAHUAbAB0AHIAeQBfAE0AZQB0AGgAYQBuAGUAXwBFAHEAdQBhAHQAaQBvAG4AcwAuAFYARQBFAFIARwBfADQAXwA2AF8AMQBfADEAXwBfADMAXwBTAHQAYQBnAGUAMgBNAGUAdABoAGEAbgBlAFAAcgBvAGQAdQBjAHQAaQBvAG4AXwBWAGEAcgBpAGEAdABpAG8AbgAiACwAIgBNAE0AUwBfAFAAbwB1AGwAdAByAHkAXwBNAGUAdABoAGEAbgBlAF8ARQBxAHUAYQB0AGkAbwBuAHMALgBWAEUARQBSAEcAXwA0AF8ANgBfADEAXwAxAF8AXwA0AF8AVgBvAGwAYQB0AGkAbABlAFMAbwBsAGkAZABzAFQAcgBhAG4AcwBmAGUAcgByAGUAZAAiACwAIgBNAE0AUwBfAFAAbwB1AGwAdAByAHkAXwBNAGUAdABoAGEAbgBlAF8ARQBxAHUAYQB0AGkAbwBuAHMALgBWAEUARQBSAEcAXwA0AF8ANgBfADEAXwAxAF8AXwA0AF8AVgBvAGwAYQB0AGkAbABlAFMAbwBsAGkAZABzAFQAcgBhAG4AcwBmAGUAcgByAGUAZABfAFQAaQB0AGwAZQAiACwAIgBNAE0AUwBfAFAAbwB1AGwAdAByAHkAXwBNAGUAdABoAGEAbgBlAF8ARQBxAHUAYQB0AGkAbwBuAHMALgBWAEUARQBSAEcAXwA0AF8ANgBfADEAXwAxAF8AXwA0AF8AVgBvAGwAYQB0AGkAbABlAFMAbwBsAGkAZABzAFQAcgBhAG4AcwBmAGUAcgByAGUAZABfAFYAYQByAGkAYQBiAGwAZQAiACwAIgBNAE0AUwBfAFAAbwB1AGwAdAByAHkAXwBNAGUAdABoAGEAbgBlAF8ARQBxAHUAYQB0AGkAbwBuAHMALgBWAEUARQBSAEcAXwA0AF8ANgBfADEAXwAxAF8AXwA0AF8AVgBvAGwAYQB0AGkAbABlAFMAbwBsAGkAZABzAFQAcgBhAG4AcwBmAGUAcgByAGUAZABfAFUAbgBpAHQAIgAsACIATQBNAFMAXwBQAG8AdQBsAHQAcgB5AF8ATQBlAHQAaABhAG4AZQBfAEUAcQB1AGEAdABpAG8AbgBzAC4AVgBFAEUAUgBHAF8ANABfADYAXwAxAF8AMQBfAF8ANABfAFYAbwBsAGEAdABpAGwAZQBTAG8AbABpAGQAcwBUAHIAYQBuAHMAZgBlAHIAcgBlAGQAXwBTAG8AdQByAGMAZQAiACwAIgBNAE0AUwBfAFAAbwB1AGwAdAByAHkAXwBNAGUAdABoAGEAbgBlAF8ARQBxAHUAYQB0AGkAbwBuAHMALgBWAEUARQBSAEcAXwA0AF8ANgBfADEAXwAxAF8AXwA0AF8AVgBvAGwAYQB0AGkAbABlAFMAbwBsAGkAZABzAFQAcgBhAG4AcwBmAGUAcgByAGUAZABfAE4ASQBSAFIAZQBmAGUAcgBlAG4AYwBlACIALAAiAE0ATQBTAF8AUABvAHUAbAB0AHIAeQBfAE0AZQB0AGgAYQBuAGUAXwBFAHEAdQBhAHQAaQBvAG4AcwAuAFYARQBFAFIARwBfADQAXwA2AF8AMQBfADEAXwBfADQAXwBWAG8AbABhAHQAaQBsAGUAUwBvAGwAaQBkAHMAVAByAGEAbgBzAGYAZQByAHIAZQBkAF8ATABhAHQAZQB4AEUAcQB1AGEAdABpAG8AbgAiACwAIgBNAE0AUwBfAFAAbwB1AGwAdAByAHkAXwBNAGUAdABoAGEAbgBlAF8ARQBxAHUAYQB0AGkAbwBuAHMALgBWAEUARQBSAEcAXwA0AF8ANgBfADEAXwAxAF8AXwA0AF8AVgBvAGwAYQB0AGkAbABlAFMAbwBsAGkAZABzAFQAcgBhAG4AcwBmAGUAcgByAGUAZABfAEEAcgBnAHUAbQBlAG4AdABzACIALAAiAE0ATQBTAF8AUABvAHUAbAB0AHIAeQBfAE0AZQB0AGgAYQBuAGUAXwBFAHEAdQBhAHQAaQBvAG4AcwAuAFYARQBFAFIARwBfADQAXwA2AF8AMQBfADEAXwBfADUAXwBWAG8AbABhAHQAaQBsAGUAUwBvAGwAaQBkAFAAcgBvAGQAdQBjAHQAaQBvAG4AIgAsACIATQBNAFMAXwBQAG8AdQBsAHQAcgB5AF8ATQBlAHQAaABhAG4AZQBfAEUAcQB1AGEAdABpAG8AbgBzAC4AVgBFAEUAUgBHAF8ANABfADYAXwAxAF8AMQBfAF8ANQBfAFYAbwBsAGEAdABpAGwAZQBTAG8AbABpAGQAUAByAG8AZAB1AGMAdABpAG8AbgBfAFQAaQB0AGwAZQAiACwAIgBNAE0AUwBfAFAAbwB1AGwAdAByAHkAXwBNAGUAdABoAGEAbgBlAF8ARQBxAHUAYQB0AGkAbwBuAHMALgBWAEUARQBSAEcAXwA0AF8ANgBfADEAXwAxAF8AXwA1AF8AVgBvAGwAYQB0AGkAbABlAFMAbwBsAGkAZABQAHIAbwBkAHUAYwB0AGkAbwBuAF8AVgBhAHIAaQBhAGIAbABlACIALAAiAE0ATQBTAF8AUABvAHUAbAB0AHIAeQBfAE0AZQB0AGgAYQBuAGUAXwBFAHEAdQBhAHQAaQBvAG4AcwAuAFYARQBFAFIARwBfADQAXwA2AF8AMQBfADEAXwBfADUAXwBWAG8AbABhAHQAaQBsAGUAUwBvAGwAaQBkAFAAcgBvAGQAdQBjAHQAaQBvAG4AXwBVAG4AaQB0ACIALAAiAE0ATQBTAF8AUABvAHUAbAB0AHIAeQBfAE0AZQB0AGgAYQBuAGUAXwBFAHEAdQBhAHQAaQBvAG4AcwAuAFYARQBFAFIARwBfADQAXwA2AF8AMQBfADEAXwBfADUAXwBWAG8AbABhAHQAaQBsAGUAUwBvAGwAaQBkAFAAcgBvAGQAdQBjAHQAaQBvAG4AXwBTAG8AdQByAGMAZQAiACwAIgBNAE0AUwBfAFAAbwB1AGwAdAByAHkAXwBNAGUAdABoAGEAbgBlAF8ARQBxAHUAYQB0AGkAbwBuAHMALgBWAEUARQBSAEcAXwA0AF8ANgBfADEAXwAxAF8AXwA1AF8AVgBvAGwAYQB0AGkAbABlAFMAbwBsAGkAZABQAHIAbwBkAHUAYwB0AGkAbwBuAF8ATgBJAFIAUgBlAGYAZQByAGUAbgBjAGUAIgAsACIATQBNAFMAXwBQAG8AdQBsAHQAcgB5AF8ATQBlAHQAaABhAG4AZQBfAEUAcQB1AGEAdABpAG8AbgBzAC4AVgBFAEUAUgBHAF8ANABfADYAXwAxAF8AMQBfAF8ANQBfAFYAbwBsAGEAdABpAGwAZQBTAG8AbABpAGQAUAByAG8AZAB1AGMAdABpAG8AbgBfAEwAYQB0AGUAeABFAHEAdQBhAHQAaQBvAG4AIgAsACIATQBNAFMAXwBQAG8AdQBsAHQAcgB5AF8ATQBlAHQAaABhAG4AZQBfAEUAcQB1AGEAdABpAG8AbgBzAC4AVgBFAEUAUgBHAF8ANABfADYAXwAxAF8AMQBfAF8ANQBfAFYAbwBsAGEAdABpAGwAZQBTAG8AbABpAGQAUAByAG8AZAB1AGMAdABpAG8AbgBfAEEAcgBnAHUAbQBlAG4AdABzACIALAAiAE0ATQBTAF8AUABvAHUAbAB0AHIAeQBfAE0AYQBuAHUAcgBlAEEAcABwAGwAaQBlAGQAVABvAFMAbwBpAGwAcwBfAEUAcQB1AGEAdABpAG8AbgBzAC4AVgBFAEUAUgBHAF8ANABfADYAXwAxAF8AOQBfAF8AMQBfAE0AYQBzAHMATwBmAE4AaQB0AHIAbwBnAGUAbgBBAHAAcABsAGkAZQBkAFQAbwBTAG8AaQBsAHMAUwBjAG8AcABlADEAIgAsACIATQBNAFMAXwBQAG8AdQBsAHQAcgB5AF8ATQBhAG4AdQByAGUAQQBwAHAAbABpAGUAZABUAG8AUwBvAGkAbABzAF8ARQBxAHUAYQB0AGkAbwBuAHMALgBWAEUARQBSAEcAXwA0AF8ANgBfADEAXwA5AF8AXwAxAF8ATQBhAHMAcwBPAGYATgBpAHQAcgBvAGcAZQBuAEEAcABwAGwAaQBlAGQAVABvAFMAbwBpAGwAcwBTAGMAbwBwAGUAMQBfAFQAaQB0AGwAZQAiACwAIgBNAE0AUwBfAFAAbwB1AGwAdAByAHkAXwBNAGEAbgB1AHIAZQBBAHAAcABsAGkAZQBkAFQAbwBTAG8AaQBsAHMAXwBFAHEAdQBhAHQAaQBvAG4AcwAuAFYARQBFAFIARwBfADQAXwA2AF8AMQBfADkAXwBfADEAXwBNAGEAcwBzAE8AZgBOAGkAdAByAG8AZwBlAG4AQQBwAHAAbABpAGUAZABUAG8AUwBvAGkAbABzAFMAYwBvAHAAZQAxAF8AVgBhAHIAaQBhAGIAbABlACIALAAiAE0ATQBTAF8AUABvAHUAbAB0AHIAeQBfAE0AYQBuAHUAcgBlAEEAcABwAGwAaQBlAGQAVABvAFMAbwBpAGwAcwBfAEUAcQB1AGEAdABpAG8AbgBzAC4AVgBFAEUAUgBHAF8ANABfADYAXwAxAF8AOQBfAF8AMQBfAE0AYQBzAHMATwBmAE4AaQB0AHIAbwBnAGUAbgBBAHAAcABsAGkAZQBkAFQAbwBTAG8AaQBsAHMAUwBjAG8AcABlADEAXwBVAG4AaQB0ACIALAAiAE0ATQBTAF8AUABvAHUAbAB0AHIAeQBfAE0AYQBuAHUAcgBlAEEAcABwAGwAaQBlAGQAVABvAFMAbwBpAGwAcwBfAEUAcQB1AGEAdABpAG8AbgBzAC4AVgBFAEUAUgBHAF8ANABfADYAXwAxAF8AOQBfAF8AMQBfAE0AYQBzAHMATwBmAE4AaQB0AHIAbwBnAGUAbgBBAHAAcABsAGkAZQBkAFQAbwBTAG8AaQBsAHMAUwBjAG8AcABlADEAXwBTAG8AdQByAGMAZQAiACwAIgBNAE0AUwBfAFAAbwB1AGwAdAByAHkAXwBNAGEAbgB1AHIAZQBBAHAAcABsAGkAZQBkAFQAbwBTAG8AaQBsAHMAXwBFAHEAdQBhAHQAaQBvAG4AcwAuAFYARQBFAFIARwBfADQAXwA2AF8AMQBfADkAXwBfADEAXwBNAGEAcwBzAE8AZgBOAGkAdAByAG8AZwBlAG4AQQBwAHAAbABpAGUAZABUAG8AUwBvAGkAbABzAFMAYwBvAHAAZQAxAF8ATgBJAFIAUgBlAGYAZQByAGUAbgBjAGUAIgAsACIATQBNAFMAXwBQAG8AdQBsAHQAcgB5AF8ATQBhAG4AdQByAGUAQQBwAHAAbABpAGUAZABUAG8AUwBvAGkAbABzAF8ARQBxAHUAYQB0AGkAbwBuAHMALgBWAEUARQBSAEcAXwA0AF8ANgBfADEAXwA5AF8AXwAxAF8ATQBhAHMAcwBPAGYATgBpAHQAcgBvAGcAZQBuAEEAcABwAGwAaQBlAGQAVABvAFMAbwBpAGwAcwBTAGMAbwBwAGUAMQBfAEwAYQB0AGUAeABFAHEAdQBhAHQAaQBvAG4AIgAsACIATQBNAFMAXwBQAG8AdQBsAHQAcgB5AF8ATQBhAG4AdQByAGUAQQBwAHAAbABpAGUAZABUAG8AUwBvAGkAbABzAF8ARQBxAHUAYQB0AGkAbwBuAHMALgBWAEUARQBSAEcAXwA0AF8ANgBfADEAXwA5AF8AXwAxAF8ATQBhAHMAcwBPAGYATgBpAHQAcgBvAGcAZQBuAEEAcABwAGwAaQBlAGQAVABvAFMAbwBpAGwAcwBTAGMAbwBwAGUAMQBfAEEAcgBnAHUAbQBlAG4AdABzACIALAAiAE0ATQBTAF8AUABvAHUAbAB0AHIAeQBfAE0AYQBuAHUAcgBlAEEAcABwAGwAaQBlAGQAVABvAFMAbwBpAGwAcwBfAEUAcQB1AGEAdABpAG8AbgBzAC4AVgBFAEUAUgBHAF8ANABfADYAXwAxAF8AOQBfAF8AMgBfAE0AYQBzAHMATwBmAE4AaQB0AHIAbwBnAGUAbgBBAHAAcABsAGkAZQBkAFQAbwBTAG8AaQBsAHMAUwBjAG8AcABlADMAIgAsACIATQBNAFMAXwBQAG8AdQBsAHQAcgB5AF8ATQBhAG4AdQByAGUAQQBwAHAAbABpAGUAZABUAG8AUwBvAGkAbABzAF8ARQBxAHUAYQB0AGkAbwBuAHMALgBWAEUARQBSAEcAXwA0AF8ANgBfADEAXwA5AF8AXwAyAF8ATQBhAHMAcwBPAGYATgBpAHQAcgBvAGcAZQBuAEEAcABwAGwAaQBlAGQAVABvAFMAbwBpAGwAcwBTAGMAbwBwAGUAMwBfAFQAaQB0AGwAZQAiACwAIgBNAE0AUwBfAFAAbwB1AGwAdAByAHkAXwBNAGEAbgB1AHIAZQBBAHAAcABsAGkAZQBkAFQAbwBTAG8AaQBsAHMAXwBFAHEAdQBhAHQAaQBvAG4AcwAuAFYARQBFAFIARwBfADQAXwA2AF8AMQBfADkAXwBfADIAXwBNAGEAcwBzAE8AZgBOAGkAdAByAG8AZwBlAG4AQQBwAHAAbABpAGUAZABUAG8AUwBvAGkAbABzAFMAYwBvAHAAZQAzAF8AVgBhAHIAaQBhAGIAbABlACIALAAiAE0ATQBTAF8AUABvAHUAbAB0AHIAeQBfAE0AYQBuAHUAcgBlAEEAcABwAGwAaQBlAGQAVABvAFMAbwBpAGwAcwBfAEUAcQB1AGEAdABpAG8AbgBzAC4AVgBFAEUAUgBHAF8ANABfADYAXwAxAF8AOQBfAF8AMgBfAE0AYQBzAHMATwBmAE4AaQB0AHIAbwBnAGUAbgBBAHAAcABsAGkAZQBkAFQAbwBTAG8AaQBsAHMAUwBjAG8AcABlADMAXwBVAG4AaQB0ACIALAAiAE0ATQBTAF8AUABvAHUAbAB0AHIAeQBfAE0AYQBuAHUAcgBlAEEAcABwAGwAaQBlAGQAVABvAFMAbwBpAGwAcwBfAEUAcQB1AGEAdABpAG8AbgBzAC4AVgBFAEUAUgBHAF8ANABfADYAXwAxAF8AOQBfAF8AMgBfAE0AYQBzAHMATwBmAE4AaQB0AHIAbwBnAGUAbgBBAHAAcABsAGkAZQBkAFQAbwBTAG8AaQBsAHMAUwBjAG8AcABlADMAXwBTAG8AdQByAGMAZQAiACwAIgBNAE0AUwBfAFAAbwB1AGwAdAByAHkAXwBNAGEAbgB1AHIAZQBBAHAAcABsAGkAZQBkAFQAbwBTAG8AaQBsAHMAXwBFAHEAdQBhAHQAaQBvAG4AcwAuAFYARQBFAFIARwBfADQAXwA2AF8AMQBfADkAXwBfADIAXwBNAGEAcwBzAE8AZgBOAGkAdAByAG8AZwBlAG4AQQBwAHAAbABpAGUAZABUAG8AUwBvAGkAbABzAFMAYwBvAHAAZQAzAF8ATgBJAFIAUgBlAGYAZQByAGUAbgBjAGUAIgAsACIATQBNAFMAXwBQAG8AdQBsAHQAcgB5AF8ATQBhAG4AdQByAGUAQQBwAHAAbABpAGUAZABUAG8AUwBvAGkAbABzAF8ARQBxAHUAYQB0AGkAbwBuAHMALgBWAEUARQBSAEcAXwA0AF8ANgBfADEAXwA5AF8AXwAyAF8ATQBhAHMAcwBPAGYATgBpAHQAcgBvAGcAZQBuAEEAcABwAGwAaQBlAGQAVABvAFMAbwBpAGwAcwBTAGMAbwBwAGUAMwBfAEwAYQB0AGUAeABFAHEAdQBhAHQAaQBvAG4AIgAsACIATQBNAFMAXwBQAG8AdQBsAHQAcgB5AF8ATQBhAG4AdQByAGUAQQBwAHAAbABpAGUAZABUAG8AUwBvAGkAbABzAF8ARQBxAHUAYQB0AGkAbwBuAHMALgBWAEUARQBSAEcAXwA0AF8ANgBfADEAXwA5AF8AXwAyAF8ATQBhAHMAcwBPAGYATgBpAHQAcgBvAGcAZQBuAEEAcABwAGwAaQBlAGQAVABvAFMAbwBpAGwAcwBTAGMAbwBwAGUAMwBfAEEAcgBnAHUAbQBlAG4AdABzACIALAAiAE0ATQBTAF8AUABvAHUAbAB0AHIAeQBfAFMAbwBpAGwAXwBOADIATwBEAGkAcgBlAGMAdABfAEUAcQB1AGEAdABpAG8AbgBzAC4AVgBFAEUAUgBHAF8ANABfADYAXwAxAF8AMQAwAF8AXwAxAF8ARABpAHIAZQBjAHQATgBpAHQAcgBvAHUAcwBPAHgAaQBkAGUARQBtAGkAcwBzAGkAbwBuAHMARgByAG8AbQBQAG8AdQBsAHQAcgB5AE0AYQBuAHUAcgBlACIALAAiAE0ATQBTAF8AUABvAHUAbAB0AHIAeQBfAFMAbwBpAGwAXwBOADIATwBEAGkAcgBlAGMAdABfAEUAcQB1AGEAdABpAG8AbgBzAC4AVgBFAEUAUgBHAF8ANABfADYAXwAxAF8AMQAwAF8AXwAxAF8ARABpAHIAZQBjAHQATgBpAHQAcgBvAHUAcwBPAHgAaQBkAGUARQBtAGkAcwBzAGkAbwBuAHMARgByAG8AbQBQAG8AdQBsAHQAcgB5AE0AYQBuAHUAcgBlAF8AVABpAHQ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gBhAHIAaQBhAGIAbABlACIALAAiAE0ATQBTAF8AUABvAHUAbAB0AHIAeQBfAFMAbwBpAGwAXwBOADIATwBEAGkAcgBlAGMAdABfAEUAcQB1AGEAdABpAG8AbgBzAC4AVgBFAEUAUgBHAF8ANABfADYAXwAxAF8AMQAwAF8AXwAxAF8ARABpAHIAZQBjAHQATgBpAHQAcgBvAHUAcwBPAHgAaQBkAGUARQBtAGkAcwBzAGkAbwBuAHMARgByAG8AbQBQAG8AdQBsAHQAcgB5AE0AYQBuAHUAcgBlAF8AVQBuAGkAdAAiACwAIgBNAE0AUwBfAFAAbwB1AGwAdAByAHkAXwBTAG8AaQBsAF8ATgAyAE8ARABpAHIAZQBjAHQAXwBFAHEAdQBhAHQAaQBvAG4AcwAuAFYARQBFAFIARwBfADQAXwA2AF8AMQBfADEAMABfAF8AMQBfAEQAaQByAGUAYwB0AE4AaQB0AHIAbwB1AHMATwB4AGkAZABlAEUAbQBpAHMAcwBpAG8AbgBzAEYAcgBvAG0AUABvAHUAbAB0AHIAeQBNAGEAbgB1AHIAZQBfAFMAbwB1AHI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gBJAFIAUgBlAGYAZQByAGUAbgBjAGUAIgAsACIATQBNAFMAXwBQAG8AdQBsAHQAcgB5AF8AUwBvAGkAbABfAE4AMgBPAEQAaQByAGUAYwB0AF8ARQBxAHUAYQB0AGkAbwBuAHMALgBWAEUARQBSAEcAXwA0AF8ANgBfADEAXwAxADAAXwBfADEAXwBEAGkAcgBlAGMAdABOAGkAdAByAG8AdQBzAE8AeABpAGQAZQBFAG0AaQBzAHMAaQBvAG4AcwBGAHIAbwBtAFAAbwB1AGwAdAByAHkATQBhAG4AdQByAGUAXwBMAGEAdABlAHgARQBxAHUAYQB0AGkAbwBuACIALAAiAE0ATQBTAF8AUABvAHUAbAB0AHIAeQBfAFMAbwBpAGwAXwBOADIATwBEAGkAcgBlAGMAdABfAEUAcQB1AGEAdABpAG8AbgBzAC4AVgBFAEUAUgBHAF8ANABfADYAXwAxAF8AMQAwAF8AXwAxAF8ARABpAHIAZQBjAHQATgBpAHQAcgBvAHUAcwBPAHgAaQBkAGUARQBtAGkAcwBzAGkAbwBuAHMARgByAG8AbQBQAG8AdQBsAHQAcgB5AE0AYQBuAHUAcgBlAF8AQQByAGcAdQBtAGUAbgB0AHM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UAGkAdA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WAGEAcgBpAGEAYgBs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VAG4AaQB0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UwBvAHUAc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EwAYQB0AGUAeABFAHEAdQBhAHQAaQBvAG4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BAHIAZwB1AG0AZQBuAHQAcw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UAGkAdA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YAYQByAGkAYQBiAGw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QBuAGkAdA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UwBvAHUAcgBj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E4ASQBSAFIAZQBmAGUAcgBlAG4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BAHIAZwB1AG0AZQBuAHQAcw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UAGkAdA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YAYQByAGkAYQBiAGw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QBuAGkAdA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UwBvAHUAcgBj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E4ASQBSAFIAZQBmAGUAcgBlAG4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MAGEAdABlAHgARQBxAHUAYQB0AGkAbwBu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BAHIAZwB1AG0AZQBuAHQAcw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QAaQB0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YAYQByAGkAYQBiAGw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FUAbgBpAHQ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TAG8AdQBy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4ASQBSAFIAZQBmAGUAcgBlAG4AYwBl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TABhAHQAZQB4AEUAcQB1AGEAdABpAG8Abg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42</vt:i4>
      </vt:variant>
    </vt:vector>
  </HeadingPairs>
  <TitlesOfParts>
    <vt:vector size="5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Livestock</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X_Cell_Dairy_ManureAppliedIrrigationMethod</vt:lpstr>
      <vt:lpstr>X_Cell_Dairy_ManureAppliedProductionSystem</vt:lpstr>
      <vt:lpstr>X_Cell_Poultry_ProductionSystem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2026-06-16T05:08:04Z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