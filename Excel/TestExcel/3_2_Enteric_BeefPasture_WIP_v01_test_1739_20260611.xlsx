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2BD53E03-76AC-4967-8E20-41746ACE3E76}" xr6:coauthVersionLast="47" xr6:coauthVersionMax="47" xr10:uidLastSave="{00000000-0000-0000-0000-000000000000}"/>
  <bookViews>
    <workbookView xWindow="1200" yWindow="105" windowWidth="37140" windowHeight="20475" activeTab="3"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X_Cell_PastureBeef_Breed">'Input - Pasture Beef'!$E$9</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Coord_PastureBeef_Duration_Method1_Col_Steers2to3Years">'Input - Pasture Beef'!$M$15</definedName>
    <definedName name="X_Table_PastureBeef_Duration_Method1_Col_BullsOver1Year">'Input - Pasture Beef'!$F$15</definedName>
    <definedName name="X_Table_PastureBeef_Duration_Method1_Col_BullsUnder1Year">'Input - Pasture Beef'!$E$15</definedName>
    <definedName name="X_Table_PastureBeef_Duration_Method1_Col_Cows1To2Years">'Input - Pasture Beef'!$H$15</definedName>
    <definedName name="X_Table_PastureBeef_Duration_Method1_Col_Cows2to3Years">'Input - Pasture Beef'!$I$15</definedName>
    <definedName name="X_Table_PastureBeef_Duration_Method1_Col_CowsOver3Years">'Input - Pasture Beef'!$J$15</definedName>
    <definedName name="X_Table_PastureBeef_Duration_Method1_Col_CowsUnder1Year">'Input - Pasture Beef'!$G$15</definedName>
    <definedName name="X_Table_PastureBeef_Duration_Method1_Col_Steers1To2Years">'Input - Pasture Beef'!$L$15</definedName>
    <definedName name="X_Table_PastureBeef_Duration_Method1_Col_SteersOver3Years">'Input - Pasture Beef'!$N$15</definedName>
    <definedName name="X_Table_PastureBeef_Duration_Method1_Col_SteersUnder1Year">'Input - Pasture Beef'!$K$15</definedName>
    <definedName name="X_Table_PastureBeef_Duration_Method1_Row_Spring">'Input - Pasture Beef'!$D$16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73" i="69" a="1"/>
  <c r="E94"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F150" i="70" l="1"/>
  <c r="L148" i="70"/>
  <c r="H147" i="70"/>
  <c r="N127" i="70"/>
  <c r="J126" i="70"/>
  <c r="F125" i="70"/>
  <c r="L84" i="70"/>
  <c r="H83" i="70"/>
  <c r="N63" i="70"/>
  <c r="J62" i="70"/>
  <c r="F61" i="70"/>
  <c r="N84" i="70"/>
  <c r="M84" i="70"/>
  <c r="E150" i="70"/>
  <c r="K148" i="70"/>
  <c r="G147" i="70"/>
  <c r="M127" i="70"/>
  <c r="I126" i="70"/>
  <c r="E125" i="70"/>
  <c r="K84" i="70"/>
  <c r="G83" i="70"/>
  <c r="M63" i="70"/>
  <c r="I62" i="70"/>
  <c r="E61" i="70"/>
  <c r="G60" i="70"/>
  <c r="L62" i="70"/>
  <c r="N149" i="70"/>
  <c r="J148" i="70"/>
  <c r="F147" i="70"/>
  <c r="L127" i="70"/>
  <c r="H126" i="70"/>
  <c r="N85" i="70"/>
  <c r="J84" i="70"/>
  <c r="F83" i="70"/>
  <c r="L63" i="70"/>
  <c r="H62" i="70"/>
  <c r="N60" i="70"/>
  <c r="N61" i="70"/>
  <c r="N62" i="70"/>
  <c r="N148" i="70"/>
  <c r="H61" i="70"/>
  <c r="E128" i="70"/>
  <c r="G125" i="70"/>
  <c r="G61" i="70"/>
  <c r="M149" i="70"/>
  <c r="I148" i="70"/>
  <c r="E147" i="70"/>
  <c r="K127" i="70"/>
  <c r="G126" i="70"/>
  <c r="M85" i="70"/>
  <c r="I84" i="70"/>
  <c r="E83" i="70"/>
  <c r="K63" i="70"/>
  <c r="G62" i="70"/>
  <c r="M60" i="70"/>
  <c r="L126" i="70"/>
  <c r="I83" i="70"/>
  <c r="E173" i="70"/>
  <c r="L149" i="70"/>
  <c r="H148" i="70"/>
  <c r="N128" i="70"/>
  <c r="J127" i="70"/>
  <c r="F126" i="70"/>
  <c r="L85" i="70"/>
  <c r="H84" i="70"/>
  <c r="N82" i="70"/>
  <c r="J63" i="70"/>
  <c r="F62" i="70"/>
  <c r="L60" i="70"/>
  <c r="L82" i="70"/>
  <c r="I61" i="70"/>
  <c r="J83" i="70"/>
  <c r="E172" i="70"/>
  <c r="K149" i="70"/>
  <c r="G148" i="70"/>
  <c r="M128" i="70"/>
  <c r="I127" i="70"/>
  <c r="E126" i="70"/>
  <c r="K85" i="70"/>
  <c r="G84" i="70"/>
  <c r="M82" i="70"/>
  <c r="I63" i="70"/>
  <c r="E62" i="70"/>
  <c r="K60" i="70"/>
  <c r="H63" i="70"/>
  <c r="H82" i="70"/>
  <c r="J147" i="70"/>
  <c r="N150" i="70"/>
  <c r="J149" i="70"/>
  <c r="F148" i="70"/>
  <c r="L128" i="70"/>
  <c r="H127" i="70"/>
  <c r="N125" i="70"/>
  <c r="J85" i="70"/>
  <c r="F84" i="70"/>
  <c r="J60" i="70"/>
  <c r="F128" i="70"/>
  <c r="K62" i="70"/>
  <c r="M150" i="70"/>
  <c r="I149" i="70"/>
  <c r="E148" i="70"/>
  <c r="K128" i="70"/>
  <c r="G127" i="70"/>
  <c r="M125" i="70"/>
  <c r="I85" i="70"/>
  <c r="E84" i="70"/>
  <c r="K82" i="70"/>
  <c r="G63" i="70"/>
  <c r="M61" i="70"/>
  <c r="I60" i="70"/>
  <c r="G85" i="70"/>
  <c r="M83" i="70"/>
  <c r="K61" i="70"/>
  <c r="E60" i="70"/>
  <c r="F82" i="70"/>
  <c r="I147" i="70"/>
  <c r="K126" i="70"/>
  <c r="L150" i="70"/>
  <c r="H149" i="70"/>
  <c r="N147" i="70"/>
  <c r="J128" i="70"/>
  <c r="F127" i="70"/>
  <c r="L125" i="70"/>
  <c r="H85" i="70"/>
  <c r="N83" i="70"/>
  <c r="J82" i="70"/>
  <c r="F63" i="70"/>
  <c r="L61" i="70"/>
  <c r="H60" i="70"/>
  <c r="K125" i="70"/>
  <c r="I82" i="70"/>
  <c r="E63" i="70"/>
  <c r="J61" i="70"/>
  <c r="M62" i="70"/>
  <c r="H150" i="70"/>
  <c r="H125" i="70"/>
  <c r="K150" i="70"/>
  <c r="G149" i="70"/>
  <c r="M147" i="70"/>
  <c r="I128" i="70"/>
  <c r="E127" i="70"/>
  <c r="M148" i="70"/>
  <c r="J150" i="70"/>
  <c r="F149" i="70"/>
  <c r="L147" i="70"/>
  <c r="H128" i="70"/>
  <c r="N126" i="70"/>
  <c r="J125" i="70"/>
  <c r="F85" i="70"/>
  <c r="L83" i="70"/>
  <c r="F60" i="70"/>
  <c r="G150" i="70"/>
  <c r="E82" i="70"/>
  <c r="I150" i="70"/>
  <c r="E149" i="70"/>
  <c r="K147" i="70"/>
  <c r="G128" i="70"/>
  <c r="M126" i="70"/>
  <c r="I125" i="70"/>
  <c r="E85" i="70"/>
  <c r="K83" i="70"/>
  <c r="G82" i="70"/>
  <c r="N133" i="70"/>
  <c r="J157" i="70"/>
  <c r="K131" i="70"/>
  <c r="N158" i="70"/>
  <c r="N159" i="70"/>
  <c r="N160" i="70"/>
  <c r="J137" i="70"/>
  <c r="F161" i="70"/>
  <c r="F138" i="70"/>
  <c r="L162" i="70"/>
  <c r="L163" i="70"/>
  <c r="F135" i="70"/>
  <c r="F140" i="70"/>
  <c r="F155" i="70"/>
  <c r="K141" i="70"/>
  <c r="N154" i="70"/>
  <c r="H156" i="70"/>
  <c r="M133" i="70"/>
  <c r="I157" i="70"/>
  <c r="I131" i="70"/>
  <c r="M158" i="70"/>
  <c r="M159" i="70"/>
  <c r="M160" i="70"/>
  <c r="I137" i="70"/>
  <c r="E161" i="70"/>
  <c r="E138" i="70"/>
  <c r="K162" i="70"/>
  <c r="K163" i="70"/>
  <c r="E135" i="70"/>
  <c r="E140" i="70"/>
  <c r="E155" i="70"/>
  <c r="J141" i="70"/>
  <c r="M154" i="70"/>
  <c r="G156" i="70"/>
  <c r="L133" i="70"/>
  <c r="H157" i="70"/>
  <c r="F134" i="70"/>
  <c r="L158" i="70"/>
  <c r="L159" i="70"/>
  <c r="L160" i="70"/>
  <c r="F137" i="70"/>
  <c r="L132" i="70"/>
  <c r="N138" i="70"/>
  <c r="J162" i="70"/>
  <c r="J163" i="70"/>
  <c r="K133" i="70"/>
  <c r="G157" i="70"/>
  <c r="E134" i="70"/>
  <c r="K158" i="70"/>
  <c r="K159" i="70"/>
  <c r="K160" i="70"/>
  <c r="H137" i="70"/>
  <c r="K132" i="70"/>
  <c r="J138" i="70"/>
  <c r="I162" i="70"/>
  <c r="I163" i="70"/>
  <c r="N135" i="70"/>
  <c r="M164" i="70"/>
  <c r="M155" i="70"/>
  <c r="G141" i="70"/>
  <c r="K154" i="70"/>
  <c r="E156" i="70"/>
  <c r="H163" i="70"/>
  <c r="M135" i="70"/>
  <c r="L164" i="70"/>
  <c r="L155" i="70"/>
  <c r="J142" i="70"/>
  <c r="J154" i="70"/>
  <c r="N156" i="70"/>
  <c r="J133" i="70"/>
  <c r="F157" i="70"/>
  <c r="N134" i="70"/>
  <c r="H158" i="70"/>
  <c r="N136" i="70"/>
  <c r="J160" i="70"/>
  <c r="G137" i="70"/>
  <c r="J132" i="70"/>
  <c r="M138" i="70"/>
  <c r="L139" i="70"/>
  <c r="I133" i="70"/>
  <c r="E157" i="70"/>
  <c r="M134" i="70"/>
  <c r="J158" i="70"/>
  <c r="M136" i="70"/>
  <c r="I160" i="70"/>
  <c r="E137" i="70"/>
  <c r="I132" i="70"/>
  <c r="L138" i="70"/>
  <c r="K139" i="70"/>
  <c r="G163" i="70"/>
  <c r="K135" i="70"/>
  <c r="K164" i="70"/>
  <c r="K155" i="70"/>
  <c r="I142" i="70"/>
  <c r="I154" i="70"/>
  <c r="M156" i="70"/>
  <c r="J164" i="70"/>
  <c r="H142" i="70"/>
  <c r="H154" i="70"/>
  <c r="N153" i="70"/>
  <c r="F141" i="70"/>
  <c r="L153" i="70"/>
  <c r="E162" i="70"/>
  <c r="M141" i="70"/>
  <c r="H161" i="70"/>
  <c r="N162" i="70"/>
  <c r="L131" i="70"/>
  <c r="E136" i="70"/>
  <c r="G135" i="70"/>
  <c r="K142" i="70"/>
  <c r="H133" i="70"/>
  <c r="H131" i="70"/>
  <c r="L134" i="70"/>
  <c r="I158" i="70"/>
  <c r="L136" i="70"/>
  <c r="H160" i="70"/>
  <c r="N161" i="70"/>
  <c r="H132" i="70"/>
  <c r="K138" i="70"/>
  <c r="J139" i="70"/>
  <c r="F163" i="70"/>
  <c r="N140" i="70"/>
  <c r="J155" i="70"/>
  <c r="G133" i="70"/>
  <c r="G131" i="70"/>
  <c r="K134" i="70"/>
  <c r="G158" i="70"/>
  <c r="K136" i="70"/>
  <c r="G160" i="70"/>
  <c r="M161" i="70"/>
  <c r="G132" i="70"/>
  <c r="I138" i="70"/>
  <c r="I139" i="70"/>
  <c r="E163" i="70"/>
  <c r="M140" i="70"/>
  <c r="I164" i="70"/>
  <c r="I155" i="70"/>
  <c r="G142" i="70"/>
  <c r="F154" i="70"/>
  <c r="M153" i="70"/>
  <c r="F160" i="70"/>
  <c r="L161" i="70"/>
  <c r="H139" i="70"/>
  <c r="H164" i="70"/>
  <c r="G154" i="70"/>
  <c r="E139" i="70"/>
  <c r="N142" i="70"/>
  <c r="H138" i="70"/>
  <c r="H155" i="70"/>
  <c r="K137" i="70"/>
  <c r="F153" i="70"/>
  <c r="L154" i="70"/>
  <c r="F133" i="70"/>
  <c r="F131" i="70"/>
  <c r="H134" i="70"/>
  <c r="J159" i="70"/>
  <c r="J136" i="70"/>
  <c r="F132" i="70"/>
  <c r="H162" i="70"/>
  <c r="N163" i="70"/>
  <c r="L140" i="70"/>
  <c r="F142" i="70"/>
  <c r="M132" i="70"/>
  <c r="E164" i="70"/>
  <c r="K156" i="70"/>
  <c r="H135" i="70"/>
  <c r="K157" i="70"/>
  <c r="G161" i="70"/>
  <c r="E133" i="70"/>
  <c r="E131" i="70"/>
  <c r="J134" i="70"/>
  <c r="I159" i="70"/>
  <c r="I136" i="70"/>
  <c r="E160" i="70"/>
  <c r="K161" i="70"/>
  <c r="E132" i="70"/>
  <c r="G162" i="70"/>
  <c r="G139" i="70"/>
  <c r="M163" i="70"/>
  <c r="K140" i="70"/>
  <c r="G164" i="70"/>
  <c r="E141" i="70"/>
  <c r="E142" i="70"/>
  <c r="E154" i="70"/>
  <c r="K153" i="70"/>
  <c r="F139" i="70"/>
  <c r="J135" i="70"/>
  <c r="J140" i="70"/>
  <c r="F164" i="70"/>
  <c r="L142" i="70"/>
  <c r="M131" i="70"/>
  <c r="G134" i="70"/>
  <c r="G136" i="70"/>
  <c r="N139" i="70"/>
  <c r="L141" i="70"/>
  <c r="H141" i="70"/>
  <c r="I156" i="70"/>
  <c r="E153" i="70"/>
  <c r="N164" i="70"/>
  <c r="N157" i="70"/>
  <c r="N131" i="70"/>
  <c r="I134" i="70"/>
  <c r="H159" i="70"/>
  <c r="H136" i="70"/>
  <c r="N137" i="70"/>
  <c r="J161" i="70"/>
  <c r="N132" i="70"/>
  <c r="F162" i="70"/>
  <c r="N141" i="70"/>
  <c r="L156" i="70"/>
  <c r="J153" i="70"/>
  <c r="G159" i="70"/>
  <c r="M137" i="70"/>
  <c r="I161" i="70"/>
  <c r="I135" i="70"/>
  <c r="L137" i="70"/>
  <c r="J156" i="70"/>
  <c r="E159" i="70"/>
  <c r="M162" i="70"/>
  <c r="G140" i="70"/>
  <c r="I141" i="70"/>
  <c r="F156" i="70"/>
  <c r="M157" i="70"/>
  <c r="I140" i="70"/>
  <c r="I153" i="70"/>
  <c r="H140" i="70"/>
  <c r="M142" i="70"/>
  <c r="H153" i="70"/>
  <c r="E158" i="70"/>
  <c r="G138" i="70"/>
  <c r="M139" i="70"/>
  <c r="G155" i="70"/>
  <c r="G153" i="70"/>
  <c r="L135" i="70"/>
  <c r="N155" i="70"/>
  <c r="L157" i="70"/>
  <c r="J131" i="70"/>
  <c r="F158" i="70"/>
  <c r="F159" i="70"/>
  <c r="F136" i="70"/>
  <c r="J90" i="70"/>
  <c r="I90" i="70"/>
  <c r="H90" i="70"/>
  <c r="G90" i="70"/>
  <c r="F90" i="70"/>
  <c r="E90" i="70"/>
  <c r="L90" i="70"/>
  <c r="N90" i="70"/>
  <c r="M90" i="70"/>
  <c r="K90" i="70"/>
  <c r="H93" i="70"/>
  <c r="G93" i="70"/>
  <c r="F93" i="70"/>
  <c r="E93" i="70"/>
  <c r="N93" i="70"/>
  <c r="M93" i="70"/>
  <c r="J93" i="70"/>
  <c r="L93" i="70"/>
  <c r="K93" i="70"/>
  <c r="I93" i="70"/>
  <c r="N75" i="70"/>
  <c r="M75" i="70"/>
  <c r="K75" i="70"/>
  <c r="L75" i="70"/>
  <c r="J75" i="70"/>
  <c r="I75" i="70"/>
  <c r="F75" i="70"/>
  <c r="H75" i="70"/>
  <c r="G75" i="70"/>
  <c r="E75" i="70"/>
  <c r="L77" i="70"/>
  <c r="K77" i="70"/>
  <c r="J77" i="70"/>
  <c r="I77" i="70"/>
  <c r="H77" i="70"/>
  <c r="G77" i="70"/>
  <c r="F77" i="70"/>
  <c r="E77" i="70"/>
  <c r="N77" i="70"/>
  <c r="M77" i="70"/>
  <c r="N92" i="70"/>
  <c r="M92" i="70"/>
  <c r="L92" i="70"/>
  <c r="K92" i="70"/>
  <c r="J92" i="70"/>
  <c r="I92" i="70"/>
  <c r="F92" i="70"/>
  <c r="H92" i="70"/>
  <c r="G92" i="70"/>
  <c r="E92" i="70"/>
  <c r="L94" i="70"/>
  <c r="J94" i="70"/>
  <c r="I94" i="70"/>
  <c r="H94" i="70"/>
  <c r="G94" i="70"/>
  <c r="F94" i="70"/>
  <c r="E94" i="70"/>
  <c r="N94" i="70"/>
  <c r="M94" i="70"/>
  <c r="K94" i="70"/>
  <c r="N91" i="70"/>
  <c r="M91" i="70"/>
  <c r="L91" i="70"/>
  <c r="K91" i="70"/>
  <c r="J91" i="70"/>
  <c r="I91" i="70"/>
  <c r="H91" i="70"/>
  <c r="G91" i="70"/>
  <c r="F91" i="70"/>
  <c r="E91" i="70"/>
  <c r="J66" i="70"/>
  <c r="I66" i="70"/>
  <c r="H66" i="70"/>
  <c r="G66" i="70"/>
  <c r="F66" i="70"/>
  <c r="E66" i="70"/>
  <c r="L66" i="70"/>
  <c r="N66" i="70"/>
  <c r="M66" i="70"/>
  <c r="K66" i="70"/>
  <c r="N95" i="70"/>
  <c r="M95" i="70"/>
  <c r="L95" i="70"/>
  <c r="K95" i="70"/>
  <c r="J95" i="70"/>
  <c r="I95" i="70"/>
  <c r="H95" i="70"/>
  <c r="G95" i="70"/>
  <c r="F95" i="70"/>
  <c r="E95" i="70"/>
  <c r="N67" i="70"/>
  <c r="M67" i="70"/>
  <c r="L67" i="70"/>
  <c r="K67" i="70"/>
  <c r="J67" i="70"/>
  <c r="I67" i="70"/>
  <c r="H67" i="70"/>
  <c r="G67" i="70"/>
  <c r="F67" i="70"/>
  <c r="E67" i="70"/>
  <c r="F96" i="70"/>
  <c r="E96" i="70"/>
  <c r="N96" i="70"/>
  <c r="M96" i="70"/>
  <c r="L96" i="70"/>
  <c r="H96" i="70"/>
  <c r="K96" i="70"/>
  <c r="J96" i="70"/>
  <c r="I96" i="70"/>
  <c r="G96" i="70"/>
  <c r="J97" i="70"/>
  <c r="I97" i="70"/>
  <c r="H97" i="70"/>
  <c r="G97" i="70"/>
  <c r="F97" i="70"/>
  <c r="E97" i="70"/>
  <c r="N97" i="70"/>
  <c r="M97" i="70"/>
  <c r="L97" i="70"/>
  <c r="K97" i="70"/>
  <c r="L70" i="70"/>
  <c r="K70" i="70"/>
  <c r="J70" i="70"/>
  <c r="E70" i="70"/>
  <c r="I70" i="70"/>
  <c r="H70" i="70"/>
  <c r="G70" i="70"/>
  <c r="F70" i="70"/>
  <c r="N70" i="70"/>
  <c r="M70" i="70"/>
  <c r="N99" i="70"/>
  <c r="M99" i="70"/>
  <c r="L99" i="70"/>
  <c r="K99" i="70"/>
  <c r="J99" i="70"/>
  <c r="I99" i="70"/>
  <c r="F99" i="70"/>
  <c r="H99" i="70"/>
  <c r="G99" i="70"/>
  <c r="E99" i="70"/>
  <c r="N98" i="70"/>
  <c r="L98" i="70"/>
  <c r="K98" i="70"/>
  <c r="J98" i="70"/>
  <c r="I98" i="70"/>
  <c r="H98" i="70"/>
  <c r="G98" i="70"/>
  <c r="F98" i="70"/>
  <c r="E98" i="70"/>
  <c r="M98" i="70"/>
  <c r="N71" i="70"/>
  <c r="M71" i="70"/>
  <c r="L71" i="70"/>
  <c r="K71" i="70"/>
  <c r="J71" i="70"/>
  <c r="I71" i="70"/>
  <c r="H71" i="70"/>
  <c r="G71" i="70"/>
  <c r="F71" i="70"/>
  <c r="E71" i="70"/>
  <c r="N68" i="70"/>
  <c r="M68" i="70"/>
  <c r="L68" i="70"/>
  <c r="K68" i="70"/>
  <c r="J68" i="70"/>
  <c r="G68" i="70"/>
  <c r="F68" i="70"/>
  <c r="I68" i="70"/>
  <c r="H68" i="70"/>
  <c r="E68" i="70"/>
  <c r="F72" i="70"/>
  <c r="E72" i="70"/>
  <c r="H72" i="70"/>
  <c r="N72" i="70"/>
  <c r="M72" i="70"/>
  <c r="L72" i="70"/>
  <c r="K72" i="70"/>
  <c r="J72" i="70"/>
  <c r="I72" i="70"/>
  <c r="G72" i="70"/>
  <c r="H69" i="70"/>
  <c r="G69" i="70"/>
  <c r="F69" i="70"/>
  <c r="E69" i="70"/>
  <c r="J69" i="70"/>
  <c r="N69" i="70"/>
  <c r="M69" i="70"/>
  <c r="L69" i="70"/>
  <c r="K69" i="70"/>
  <c r="I69" i="70"/>
  <c r="J73" i="70"/>
  <c r="H73" i="70"/>
  <c r="G73" i="70"/>
  <c r="F73" i="70"/>
  <c r="L73" i="70"/>
  <c r="E73" i="70"/>
  <c r="N73" i="70"/>
  <c r="M73" i="70"/>
  <c r="K73" i="70"/>
  <c r="I73" i="70"/>
  <c r="N88" i="70"/>
  <c r="M88" i="70"/>
  <c r="L88" i="70"/>
  <c r="K88" i="70"/>
  <c r="I88" i="70"/>
  <c r="J88" i="70"/>
  <c r="H88" i="70"/>
  <c r="G88" i="70"/>
  <c r="F88" i="70"/>
  <c r="E88" i="70"/>
  <c r="H76" i="70"/>
  <c r="F76" i="70"/>
  <c r="E76" i="70"/>
  <c r="N76" i="70"/>
  <c r="M76" i="70"/>
  <c r="J76" i="70"/>
  <c r="L76" i="70"/>
  <c r="K76" i="70"/>
  <c r="I76" i="70"/>
  <c r="G76" i="70"/>
  <c r="N74" i="70"/>
  <c r="M74" i="70"/>
  <c r="L74" i="70"/>
  <c r="K74" i="70"/>
  <c r="J74" i="70"/>
  <c r="I74" i="70"/>
  <c r="G74" i="70"/>
  <c r="H74" i="70"/>
  <c r="F74" i="70"/>
  <c r="E74" i="70"/>
  <c r="F89" i="70"/>
  <c r="N89" i="70"/>
  <c r="M89" i="70"/>
  <c r="L89" i="70"/>
  <c r="K89" i="70"/>
  <c r="J89" i="70"/>
  <c r="I89" i="70"/>
  <c r="H89" i="70"/>
  <c r="G89" i="70"/>
  <c r="E89"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<sst xmlns="http://schemas.openxmlformats.org/spreadsheetml/2006/main" count="1088" uniqueCount="271">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</sst>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3.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55.483747024683538</v>
      </c>
      <c r="F7" s="105">
        <f>'3.2.1.1-2 Enteric Methane'!V161</f>
        <v>56.009352251962476</v>
      </c>
      <c r="G7" s="53" t="s">
        <v>115</v>
      </c>
      <c r="H7" s="105">
        <f>'3.2.1.1-2 Enteric Methane'!E133</f>
        <v>1553.544916691139</v>
      </c>
      <c r="I7" s="105">
        <f>'3.2.1.1-2 Enteric Methane'!V166</f>
        <v>1568.2618630549493</v>
      </c>
      <c r="J7" s="53" t="s">
        <v>118</v>
      </c>
      <c r="K7" s="22"/>
    </row>
    <row r="8" spans="1:11" ht="20.100000000000001" customHeight="1" x14ac:dyDescent="0.3">
      <c r="A8" s="17" t="str">
        <f>HYPERLINK("#'Input - Pasture Beef'!A1", "Pasture Beef")</f>
        <v>Pasture Beef</v>
      </c>
      <c r="C8" s="22"/>
      <c r="D8" s="29" t="s">
        <v>97</v>
      </c>
      <c r="E8" s="23"/>
      <c r="F8" s="23"/>
      <c r="G8" s="29"/>
      <c r="H8" s="106">
        <f>SUM(H7:H7)</f>
        <v>1553.544916691139</v>
      </c>
      <c r="I8" s="106">
        <f>SUM(I7:I7)</f>
        <v>1568.2618630549493</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abSelected="1" topLeftCell="B1" zoomScale="85" zoomScaleNormal="85" workbookViewId="0">
      <selection activeCell="D16" sqref="D1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90.25</v>
      </c>
      <c r="F16" s="51">
        <v>90.25</v>
      </c>
      <c r="G16" s="51">
        <v>90.25</v>
      </c>
      <c r="H16" s="51">
        <v>90.25</v>
      </c>
      <c r="I16" s="51">
        <v>90.25</v>
      </c>
      <c r="J16" s="51">
        <v>90.25</v>
      </c>
      <c r="K16" s="51">
        <v>90.25</v>
      </c>
      <c r="L16" s="51">
        <v>90.25</v>
      </c>
      <c r="M16" s="51">
        <v>90.25</v>
      </c>
      <c r="N16" s="51">
        <v>90.25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2025</v>
      </c>
      <c r="E23" s="64">
        <f t="shared" si="0"/>
        <v>28</v>
      </c>
      <c r="F23" s="64">
        <f t="shared" si="0"/>
        <v>28</v>
      </c>
      <c r="G23" s="64">
        <f t="shared" si="0"/>
        <v>28</v>
      </c>
      <c r="H23" s="64">
        <f t="shared" si="0"/>
        <v>28</v>
      </c>
      <c r="I23" s="64">
        <f t="shared" si="0"/>
        <v>28</v>
      </c>
      <c r="J23" s="64">
        <f t="shared" si="0"/>
        <v>28</v>
      </c>
      <c r="K23" s="64">
        <f t="shared" si="0"/>
        <v>28</v>
      </c>
      <c r="L23" s="64">
        <f t="shared" si="0"/>
        <v>28</v>
      </c>
      <c r="M23" s="64">
        <f t="shared" si="0"/>
        <v>28</v>
      </c>
      <c r="N23" s="64">
        <f t="shared" si="0"/>
        <v>28</v>
      </c>
      <c r="O23" s="2" t="s">
        <v>46</v>
      </c>
      <c r="T23" s="7"/>
    </row>
    <row r="24" spans="1:20" ht="20.100000000000001" customHeight="1" x14ac:dyDescent="0.25">
      <c r="A24" s="17"/>
      <c r="D24" s="1" t="str">
        <f>TEXT(EDATE('Input - Site'!$E$12,2), "mmmm yyyy")</f>
        <v>March 2025</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2025</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2025</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2025</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2025</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2025</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2025</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2025</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2025</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2025</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disablePrompts="1"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opLeftCell="A75" zoomScale="85" zoomScaleNormal="85" workbookViewId="0">
      <selection activeCell="E128" sqref="E128"/>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90.25</v>
      </c>
      <c r="F115" s="51">
        <f>'Input - Pasture Beef'!F16</f>
        <v>90.25</v>
      </c>
      <c r="G115" s="51">
        <f>'Input - Pasture Beef'!G16</f>
        <v>90.25</v>
      </c>
      <c r="H115" s="51">
        <f>'Input - Pasture Beef'!H16</f>
        <v>90.25</v>
      </c>
      <c r="I115" s="51">
        <f>'Input - Pasture Beef'!I16</f>
        <v>90.25</v>
      </c>
      <c r="J115" s="51">
        <f>'Input - Pasture Beef'!J16</f>
        <v>90.25</v>
      </c>
      <c r="K115" s="51">
        <f>'Input - Pasture Beef'!K16</f>
        <v>90.25</v>
      </c>
      <c r="L115" s="51">
        <f>'Input - Pasture Beef'!L16</f>
        <v>90.25</v>
      </c>
      <c r="M115" s="51">
        <f>'Input - Pasture Beef'!M16</f>
        <v>90.25</v>
      </c>
      <c r="N115" s="51">
        <f>'Input - Pasture Beef'!N16</f>
        <v>90.25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1.6198767443220479</v>
      </c>
      <c r="F123" s="51" cm="1">
        <f t="array" ref="F123">EntericMethane_PastureBeef_Equations.VEERG_3_2_1_1__1_TotalAnnualMethaneFromEntericFermentation(F115,F85,F107)</f>
        <v>2.2878605604543756</v>
      </c>
      <c r="G123" s="51" cm="1">
        <f t="array" ref="G123">EntericMethane_PastureBeef_Equations.VEERG_3_2_1_1__1_TotalAnnualMethaneFromEntericFermentation(G115,G85,G107)</f>
        <v>1.234669613483302</v>
      </c>
      <c r="H123" s="51" cm="1">
        <f t="array" ref="H123">EntericMethane_PastureBeef_Equations.VEERG_3_2_1_1__1_TotalAnnualMethaneFromEntericFermentation(H115,H85,H107)</f>
        <v>1.7661093981425564</v>
      </c>
      <c r="I123" s="51" cm="1">
        <f t="array" ref="I123">EntericMethane_PastureBeef_Equations.VEERG_3_2_1_1__1_TotalAnnualMethaneFromEntericFermentation(I115,I85,I107)</f>
        <v>1.8892192698858152</v>
      </c>
      <c r="J123" s="51" cm="1">
        <f t="array" ref="J123">EntericMethane_PastureBeef_Equations.VEERG_3_2_1_1__1_TotalAnnualMethaneFromEntericFermentation(J115,J85,J107)</f>
        <v>1.8892192698858152</v>
      </c>
      <c r="K123" s="51" cm="1">
        <f t="array" ref="K123">EntericMethane_PastureBeef_Equations.VEERG_3_2_1_1__1_TotalAnnualMethaneFromEntericFermentation(K115,K85,K107)</f>
        <v>1.4234103745935747</v>
      </c>
      <c r="L123" s="51" cm="1">
        <f t="array" ref="L123">EntericMethane_PastureBeef_Equations.VEERG_3_2_1_1__1_TotalAnnualMethaneFromEntericFermentation(L115,L85,L107)</f>
        <v>1.8088469845953026</v>
      </c>
      <c r="M123" s="51" cm="1">
        <f t="array" ref="M123">EntericMethane_PastureBeef_Equations.VEERG_3_2_1_1__1_TotalAnnualMethaneFromEntericFermentation(M115,M85,M107)</f>
        <v>1.8088469845953026</v>
      </c>
      <c r="N123" s="51" cm="1">
        <f t="array" ref="N123">EntericMethane_PastureBeef_Equations.VEERG_3_2_1_1__1_TotalAnnualMethaneFromEntericFermentation(N115,N85,N107)</f>
        <v>1.8088469845953026</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55.483747024683538</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55.483747024683538</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1553.544916691139</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56.009352251962476</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56.009352251962476</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1568.2618630549493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125" zoomScale="85" zoomScaleNormal="85" workbookViewId="0">
      <selection activeCell="N158" sqref="N158"/>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ignoredErrors>
    <ignoredError sqref="E223:P282" calculatedColumn="1"/>
  </ignoredErrors>
  <tableParts count="24">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X_Cell_PastureBeef_Breed</vt:lpstr>
      <vt:lpstr>X_Cell_PastureBeef_ProductionRegion</vt:lpstr>
      <vt:lpstr>X_Cell_Site_FarmName</vt:lpstr>
      <vt:lpstr>X_Cell_Site_ReportingEntityName</vt:lpstr>
      <vt:lpstr>X_Cell_Site_StartDate</vt:lpstr>
      <vt:lpstr>X_Cell_Site_State</vt:lpstr>
      <vt:lpstr>X_Coord_PastureBeef_Duration_Method1_Col_Steers2to3Years</vt:lpstr>
      <vt:lpstr>X_Table_PastureBeef_Duration_Method1_Col_BullsOver1Year</vt:lpstr>
      <vt:lpstr>X_Table_PastureBeef_Duration_Method1_Col_BullsUnder1Year</vt:lpstr>
      <vt:lpstr>X_Table_PastureBeef_Duration_Method1_Col_Cows1To2Years</vt:lpstr>
      <vt:lpstr>X_Table_PastureBeef_Duration_Method1_Col_Cows2to3Years</vt:lpstr>
      <vt:lpstr>X_Table_PastureBeef_Duration_Method1_Col_CowsOver3Years</vt:lpstr>
      <vt:lpstr>X_Table_PastureBeef_Duration_Method1_Col_CowsUnder1Year</vt:lpstr>
      <vt:lpstr>X_Table_PastureBeef_Duration_Method1_Col_Steers1To2Years</vt:lpstr>
      <vt:lpstr>X_Table_PastureBeef_Duration_Method1_Col_SteersOver3Years</vt:lpstr>
      <vt:lpstr>X_Table_PastureBeef_Duration_Method1_Col_SteersUnder1Year</vt:lpstr>
      <vt:lpstr>X_Table_PastureBeef_Duration_Method1_Row_Spring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2026-06-11T07:40:10Z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