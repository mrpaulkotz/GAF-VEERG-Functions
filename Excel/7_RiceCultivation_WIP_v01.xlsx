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E68F83C-8596-4A0B-B891-A3CDF1A59BD7}" xr6:coauthVersionLast="47" xr6:coauthVersionMax="47" xr10:uidLastSave="{00000000-0000-0000-0000-000000000000}"/>
  <bookViews>
    <workbookView xWindow="255" yWindow="420" windowWidth="38085" windowHeight="20460" activeTab="1"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11"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_xlfn.LAMBDA(_xlfn.MAKEARRAY(7, 2, _xlfn.LAMBDA(_xlpm.r,_xlpm.c, INDEX({"Organic amendment i","CFOAi";"Straw incorporated shortly (&lt;30 days) before cultivation",1;"Straw incorporated long (&gt;30 days) before cultivation",0.19;"Compost",0.17;"Farm yard manure",0.21;"Green manure",0.45;"Inorganic fertiliser",1}, _xlpm.r, _xlpm.c))))</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69" l="1" a="1"/>
  <c r="D80" i="69" s="1"/>
  <c r="E96" i="69" a="1"/>
  <c r="E96" i="69" s="1"/>
  <c r="J91" i="69"/>
  <c r="A16" i="110"/>
  <c r="A15" i="110"/>
  <c r="A12" i="110"/>
  <c r="A9" i="110"/>
  <c r="A8" i="110"/>
  <c r="A5" i="110"/>
  <c r="A4" i="110"/>
  <c r="A3" i="110"/>
  <c r="A16" i="69"/>
  <c r="A15" i="69"/>
  <c r="A12" i="69"/>
  <c r="A9" i="69"/>
  <c r="A8" i="69"/>
  <c r="A5" i="69"/>
  <c r="A4" i="69"/>
  <c r="A3" i="69"/>
  <c r="A16" i="70"/>
  <c r="A15" i="70"/>
  <c r="A12" i="70"/>
  <c r="A9" i="70"/>
  <c r="A8" i="70"/>
  <c r="A5" i="70"/>
  <c r="A4" i="70"/>
  <c r="A3" i="70"/>
  <c r="A16" i="15"/>
  <c r="A15" i="15"/>
  <c r="A12" i="15"/>
  <c r="A9" i="15"/>
  <c r="A8" i="15"/>
  <c r="A5" i="15"/>
  <c r="A4" i="15"/>
  <c r="A3" i="15"/>
  <c r="A16" i="13"/>
  <c r="A15" i="13"/>
  <c r="A12" i="13"/>
  <c r="A9" i="13"/>
  <c r="A8" i="13"/>
  <c r="A5" i="13"/>
  <c r="A4" i="13"/>
  <c r="A3" i="13"/>
  <c r="A9" i="118"/>
  <c r="A15" i="118"/>
  <c r="A12" i="118"/>
  <c r="H96" i="69"/>
  <c r="J89" i="69" a="1"/>
  <c r="J89" i="69" s="1"/>
  <c r="J90" i="69" a="1"/>
  <c r="J90" i="69" s="1"/>
  <c r="J88" i="69" a="1"/>
  <c r="J88" i="69" s="1"/>
  <c r="H88" i="69" a="1"/>
  <c r="H88" i="69" s="1"/>
  <c r="D88" i="69" a="1"/>
  <c r="D88" i="69" s="1"/>
  <c r="G105" i="69"/>
  <c r="D104" i="69" a="1"/>
  <c r="D104" i="69" s="1"/>
  <c r="F102" i="69"/>
  <c r="F96" i="69" a="1"/>
  <c r="F96" i="69" s="1"/>
  <c r="D96" i="69" a="1"/>
  <c r="D96" i="69" s="1"/>
  <c r="E86" i="69" a="1"/>
  <c r="E86" i="69"/>
  <c r="E85" i="69" a="1"/>
  <c r="E85" i="69" s="1"/>
  <c r="D79" i="69" a="1"/>
  <c r="D79" i="69"/>
  <c r="D78" i="69" a="1"/>
  <c r="D78" i="69"/>
  <c r="J65" i="69" a="1"/>
  <c r="J65" i="69" s="1"/>
  <c r="J64" i="69" a="1"/>
  <c r="J64" i="69" s="1"/>
  <c r="J63" i="69" a="1"/>
  <c r="J63" i="69" s="1"/>
  <c r="J62" i="69" a="1"/>
  <c r="J62" i="69" s="1"/>
  <c r="J61" i="69" a="1"/>
  <c r="J61" i="69" s="1"/>
  <c r="J60" i="69" a="1"/>
  <c r="J60" i="69" s="1"/>
  <c r="D10" i="70"/>
  <c r="F24" i="69" a="1"/>
  <c r="F24" i="69" s="1"/>
  <c r="E24" i="69" a="1"/>
  <c r="E24" i="69" s="1"/>
  <c r="J74" i="69" a="1"/>
  <c r="J74" i="69" s="1"/>
  <c r="I74" i="69" a="1"/>
  <c r="I74" i="69" s="1"/>
  <c r="J73" i="69" a="1"/>
  <c r="J73" i="69" s="1"/>
  <c r="I73" i="69" a="1"/>
  <c r="I73" i="69" s="1"/>
  <c r="J72" i="69" a="1"/>
  <c r="J72" i="69" s="1"/>
  <c r="I72" i="69" a="1"/>
  <c r="I72" i="69" s="1"/>
  <c r="E81" i="69" a="1"/>
  <c r="E53" i="69" a="1"/>
  <c r="E81" i="69" l="1"/>
  <c r="E53" i="69"/>
  <c r="J12" i="110" l="1"/>
  <c r="J11" i="110"/>
  <c r="J10" i="110"/>
  <c r="L12" i="110"/>
  <c r="L11" i="110"/>
  <c r="L10" i="110"/>
  <c r="H11" i="110"/>
  <c r="H10" i="110"/>
  <c r="J59" i="69"/>
  <c r="G70" i="69" a="1"/>
  <c r="F70" i="69" a="1"/>
  <c r="E70" i="69" a="1"/>
  <c r="D70" i="69" a="1"/>
  <c r="D70" i="69" s="1"/>
  <c r="I19" i="69" a="1"/>
  <c r="I19" i="69" s="1"/>
  <c r="I18" i="69" a="1"/>
  <c r="I18" i="69" s="1"/>
  <c r="I17" i="69" a="1"/>
  <c r="I17" i="69" s="1"/>
  <c r="E38" i="69"/>
  <c r="D38" i="69"/>
  <c r="D7" i="69" a="1"/>
  <c r="D7" i="69" s="1"/>
  <c r="D33" i="110" a="1"/>
  <c r="D33" i="110" s="1"/>
  <c r="D44" i="110" a="1"/>
  <c r="D44" i="110" s="1"/>
  <c r="E44" i="110" a="1"/>
  <c r="E44" i="110" s="1"/>
  <c r="D43" i="69" a="1"/>
  <c r="D43" i="69" s="1"/>
  <c r="J24" i="69" a="1"/>
  <c r="J24" i="69" s="1"/>
  <c r="I24" i="69" a="1"/>
  <c r="I24" i="69" s="1"/>
  <c r="H24" i="69" a="1"/>
  <c r="H24" i="69" s="1"/>
  <c r="G24" i="69" a="1"/>
  <c r="G24" i="69" s="1"/>
  <c r="D24" i="69" a="1"/>
  <c r="D24" i="69" s="1"/>
  <c r="F49" i="110" a="1"/>
  <c r="F49" i="110" s="1"/>
  <c r="E49" i="110" a="1"/>
  <c r="E49" i="110"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F17" i="110" a="1"/>
  <c r="F17" i="110" s="1"/>
  <c r="D16" i="110" a="1"/>
  <c r="D16" i="110" s="1"/>
  <c r="E16" i="110" a="1"/>
  <c r="E16" i="110" s="1"/>
  <c r="F16" i="110" a="1"/>
  <c r="F16" i="110" s="1"/>
  <c r="D15" i="110" a="1"/>
  <c r="D15" i="110" s="1"/>
  <c r="E15" i="110" a="1"/>
  <c r="E15" i="110" s="1"/>
  <c r="F15" i="110" a="1"/>
  <c r="F15" i="110" s="1"/>
  <c r="D14" i="110" a="1"/>
  <c r="D14" i="110" s="1"/>
  <c r="E14" i="110" a="1"/>
  <c r="E14" i="110" s="1"/>
  <c r="F14" i="110" a="1"/>
  <c r="F14" i="110" s="1"/>
  <c r="D13" i="110" a="1"/>
  <c r="D13" i="110" s="1"/>
  <c r="E13" i="110" a="1"/>
  <c r="E13" i="110" s="1"/>
  <c r="F13" i="110" a="1"/>
  <c r="F13" i="110" s="1"/>
  <c r="D12" i="110" a="1"/>
  <c r="D12" i="110" s="1"/>
  <c r="E12" i="110" a="1"/>
  <c r="E12" i="110" s="1"/>
  <c r="F12" i="110" a="1"/>
  <c r="F12" i="110" s="1"/>
  <c r="D11" i="110" a="1"/>
  <c r="D11" i="110" s="1"/>
  <c r="E11" i="110" a="1"/>
  <c r="E11" i="110" s="1"/>
  <c r="F11" i="110" a="1"/>
  <c r="F11" i="110" s="1"/>
  <c r="F10" i="110" a="1"/>
  <c r="F10" i="110" s="1"/>
  <c r="E10" i="110" a="1"/>
  <c r="E10" i="110" s="1"/>
  <c r="D10" i="110" a="1"/>
  <c r="D10" i="110" s="1"/>
  <c r="D8" i="110" a="1"/>
  <c r="D8" i="110" s="1"/>
  <c r="D7" i="110" a="1"/>
  <c r="D7" i="110" s="1"/>
  <c r="D6" i="110" a="1"/>
  <c r="D6" i="110" s="1"/>
  <c r="D5" i="110" a="1"/>
  <c r="D5" i="110" s="1"/>
  <c r="E11" i="69" a="1"/>
  <c r="E70" i="69" l="1"/>
  <c r="I70" i="69" s="1" a="1"/>
  <c r="I70" i="69" s="1"/>
  <c r="I71" i="69" a="1"/>
  <c r="I71" i="69" s="1"/>
  <c r="F70" i="69"/>
  <c r="J70" i="69" s="1" a="1"/>
  <c r="J70" i="69" s="1"/>
  <c r="J71" i="69" a="1"/>
  <c r="J71" i="69" s="1"/>
  <c r="G70" i="69"/>
  <c r="E47" i="69" a="1"/>
  <c r="E47" i="69" s="1"/>
  <c r="E43" i="69" a="1"/>
  <c r="E43" i="69" s="1"/>
  <c r="E45" i="69" a="1"/>
  <c r="E45" i="69" s="1"/>
  <c r="H73" i="69" s="1" a="1"/>
  <c r="H73" i="69" s="1"/>
  <c r="K73" i="69" s="1" a="1"/>
  <c r="K73" i="69" s="1"/>
  <c r="G99" i="69" s="1" a="1"/>
  <c r="G99" i="69" s="1"/>
  <c r="E46" i="69" a="1"/>
  <c r="E46" i="69" s="1"/>
  <c r="E44" i="69" a="1"/>
  <c r="E44" i="69" s="1"/>
  <c r="H71" i="69" s="1" a="1"/>
  <c r="H71" i="69" s="1"/>
  <c r="E11" i="69"/>
  <c r="D33" i="69"/>
  <c r="D34" i="69"/>
  <c r="D35" i="69"/>
  <c r="D36" i="69"/>
  <c r="D37" i="69"/>
  <c r="H74" i="69" l="1"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s="1"/>
  <c r="F9" i="13" s="1"/>
  <c r="H59" i="69" l="1"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G104" i="69" l="1"/>
  <c r="E107" i="69" s="1" a="1"/>
  <c r="E107" i="69" s="1"/>
  <c r="H9" i="13" s="1"/>
  <c r="H10" i="13" l="1"/>
  <c r="I9" i="13"/>
  <c r="I10" i="13" s="1"/>
  <c r="A47" i="69"/>
  <c r="A16" i="118" l="1"/>
  <c r="A8" i="118"/>
  <c r="A5" i="118"/>
  <c r="A4" i="118"/>
  <c r="A3" i="118"/>
  <c r="A44" i="70" l="1"/>
  <c r="A83" i="69"/>
  <c r="E259" i="111" a="1"/>
  <c r="E259" i="111" s="1"/>
  <c r="D259" i="111" a="1"/>
  <c r="D259" i="111" s="1"/>
  <c r="E258" i="111" a="1"/>
  <c r="E258" i="111" s="1"/>
  <c r="D258" i="111" a="1"/>
  <c r="D258" i="111" s="1"/>
  <c r="D256" i="111" a="1"/>
  <c r="D256" i="111" s="1"/>
  <c r="D255" i="111" a="1"/>
  <c r="D255" i="111" s="1"/>
  <c r="D254" i="111" a="1"/>
  <c r="D254" i="111" s="1"/>
  <c r="D253" i="111" a="1"/>
  <c r="D253" i="111" s="1"/>
  <c r="S250" i="111" l="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H50" i="111" l="1"/>
  <c r="H51" i="111"/>
  <c r="H49" i="111"/>
  <c r="H53" i="111"/>
  <c r="H48" i="111"/>
  <c r="H54" i="111"/>
  <c r="H52" i="111"/>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<sst xmlns="http://schemas.openxmlformats.org/spreadsheetml/2006/main" count="211" uniqueCount="171">
  <si>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</si>
  <si>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</si>
  <si>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</si>
  <si>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</si>
  <si>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</si>
  <si>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</si>
  <si>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</si>
  <si>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</si>
  <si>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</si>
  <si>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</si>
  <si>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</si>
  <si>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</si>
  <si>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</si>
  <si>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</si>
  <si>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</si>
  <si>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</si>
  <si>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</si>
  <si>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</si>
  <si>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</si>
  <si>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</si>
  <si>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</si>
  <si>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</si>
  <si>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</si>
  <si>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</si>
  <si>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</si>
  <si>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</si>
  <si>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</si>
  <si>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</si>
  <si>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</si>
  <si>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</si>
  <si>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</si>
  <si>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</si>
  <si>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</si>
  <si>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</si>
  <si>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</si>
  <si>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</si>
  <si>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</si>
  <si>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</si>
  <si>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</si>
  <si>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</si>
  <si>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</si>
  <si>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</si>
  <si>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</si>
  <si>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</si>
  <si>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</si>
  <si>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</si>
  <si>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</si>
  <si>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</si>
  <si>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</si>
  <si>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</si>
  <si>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</si>
  <si>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</si>
  <si>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</si>
  <si>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</si>
  <si>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</si>
  <si>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</si>
  <si>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</si>
  <si>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</si>
  <si>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</si>
  <si>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</si>
  <si>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</si>
  <si>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</si>
  <si>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</si>
  <si>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</si>
  <si>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</si>
  <si>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</si>
  <si>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</si>
  <si>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</si>
  <si>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</si>
  <si>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</si>
  <si>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</si>
  <si>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</si>
  <si>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</si>
  <si>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</si>
  <si>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</si>
  <si>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</si>
  <si>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</si>
  <si>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</si>
  <si>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</si>
  <si>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</si>
  <si>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</si>
  <si>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</si>
  <si>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</si>
  <si>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</si>
  <si>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</si>
  <si>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</si>
  <si>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</si>
  <si>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</si>
  <si>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</si>
  <si>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</si>
  <si>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</si>
  <si>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</si>
  <si>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</si>
  <si>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</si>
  <si>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</si>
  <si>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</si>
  <si>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</si>
  <si>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</si>
  <si>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</si>
  <si>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</si>
  <si>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</si>
  <si>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</si>
  <si>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</si>
  <si>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</si>
  <si>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</si>
  <si>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</si>
  <si>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</si>
  <si>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</si>
  <si>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</si>
  <si>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</si>
  <si>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</si>
  <si>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</si>
  <si>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</si>
  <si>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</si>
  <si>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</si>
  <si>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</si>
  <si>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</si>
  <si>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</si>
  <si>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</si>
  <si>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</si>
  <si>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</si>
  <si>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</si>
  <si>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</si>
  <si>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</si>
  <si>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</si>
  <si>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</si>
  <si>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</si>
  <si>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</si>
  <si>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</si>
  <si>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</si>
  <si>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</si>
  <si>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</si>
  <si>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</si>
  <si>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</si>
  <si>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</si>
  <si>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</si>
  <si>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</si>
  <si>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</si>
  <si>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</si>
  <si>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</si>
  <si>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</si>
  <si>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</si>
  <si>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</si>
  <si>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</si>
  <si>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</si>
  <si>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</si>
  <si>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</si>
  <si>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</si>
  <si>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</si>
  <si>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</si>
  <si>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</si>
  <si>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</si>
  <si>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</si>
  <si>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</si>
  <si>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</si>
  <si>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</si>
  <si>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</si>
  <si>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Straw added &lt; 30 days before cultivation (t/ha)</t>
  </si>
  <si>
    <t>Straw added 30+ days before cultivation (t/ha)</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</si>
  <si>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</si>
  <si>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</si>
  <si>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</si>
  <si>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</si>
  <si>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</si>
  <si>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</si>
  <si>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trice,wpo</t>
  </si>
  <si>
    <t>Table_E_rice</t>
  </si>
  <si>
    <t>Methane emissions from rice cultivation</t>
  </si>
  <si>
    <t>7.1.1-2 Rice cultivation</t>
  </si>
  <si>
    <t>7: Rice Cultivation: Overview</t>
  </si>
  <si>
    <t>7: Rice Cultivation: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</si>
</sst>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1" fillId="0" borderId="0"/>
  </cellStyleXfs>
  <cellXfs count="124">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1" fillId="0" borderId="0" xfId="69"/>
    <xf numFmtId="170" fontId="8" fillId="4" borderId="0" xfId="10" applyNumberFormat="1">
      <alignment horizontal="center" vertical="center"/>
    </xf>
    <xf numFmtId="0" fontId="62"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45" fillId="13" borderId="0" xfId="41" applyBorder="1">
      <alignment horizontal="left" vertical="center"/>
    </xf>
    <xf numFmtId="0" fontId="0" fillId="0" borderId="0" xfId="8" applyFont="1" applyFill="1" applyBorder="1">
      <alignment horizontal="left"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before cultivation (t/ha)"/>
    <tableColumn id="8" xr3:uid="{6AB8226E-B5ED-4236-BF1D-312497BC4C8F}" name="Straw added 30+ days before cultivation (t/ha)" dataDxfId="13"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12"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17"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16"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15"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14"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3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3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3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3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3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1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tabSelected="1"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8" t="e" vm="1">
        <v>#VALUE!</v>
      </c>
      <c r="C1" s="115" t="s">
        <v>169</v>
      </c>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6"/>
      <c r="AH1" s="116"/>
      <c r="AI1" s="116"/>
      <c r="AJ1" s="116"/>
      <c r="AK1" s="116"/>
      <c r="AL1" s="116"/>
      <c r="AM1" s="116"/>
      <c r="AN1" s="116"/>
      <c r="AO1" s="116"/>
    </row>
    <row r="2" spans="1:42" ht="20.100000000000001" customHeight="1" x14ac:dyDescent="0.25">
      <c r="A2" s="9"/>
      <c r="C2" s="116"/>
      <c r="D2" s="116"/>
      <c r="E2" s="116"/>
      <c r="F2" s="116"/>
      <c r="G2" s="116"/>
      <c r="H2" s="116"/>
      <c r="I2" s="116"/>
      <c r="J2" s="116"/>
      <c r="K2" s="116"/>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7"/>
    </row>
    <row r="3" spans="1:42" ht="20.100000000000001" customHeight="1" x14ac:dyDescent="0.25">
      <c r="A3" s="17" t="str">
        <f>HYPERLINK("#'Home'!A1", "Home")</f>
        <v>Home</v>
      </c>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8"/>
      <c r="AF3" s="118"/>
      <c r="AG3" s="118"/>
      <c r="AH3" s="118"/>
      <c r="AI3" s="118"/>
      <c r="AJ3" s="118"/>
      <c r="AK3" s="118"/>
      <c r="AL3" s="118"/>
      <c r="AM3" s="118"/>
      <c r="AN3" s="118"/>
      <c r="AO3" s="118"/>
    </row>
    <row r="4" spans="1:42" ht="20.100000000000001" customHeight="1" x14ac:dyDescent="0.25">
      <c r="A4" s="100" t="str">
        <f>HYPERLINK("#'Overview'!A1", "Overview")</f>
        <v>Overview</v>
      </c>
    </row>
    <row r="5" spans="1:42" ht="20.100000000000001" customHeight="1" x14ac:dyDescent="0.25">
      <c r="A5" s="17" t="str">
        <f>HYPERLINK("#'Results'!A1", "Results")</f>
        <v>Results</v>
      </c>
      <c r="D5" s="97" t="s">
        <v>102</v>
      </c>
      <c r="E5" s="80"/>
      <c r="F5" s="80"/>
      <c r="G5" s="80"/>
      <c r="H5" s="80"/>
      <c r="I5" s="80"/>
      <c r="J5" s="80"/>
      <c r="K5" s="80"/>
      <c r="L5" s="80"/>
      <c r="M5" s="80"/>
      <c r="N5" s="80"/>
      <c r="O5" s="76"/>
    </row>
    <row r="6" spans="1:42" ht="20.100000000000001" customHeight="1" x14ac:dyDescent="0.25">
      <c r="A6" s="16"/>
      <c r="D6" s="119" t="s">
        <v>103</v>
      </c>
      <c r="E6" s="79"/>
      <c r="F6" s="79"/>
      <c r="G6" s="79"/>
      <c r="H6" s="79"/>
      <c r="I6" s="79"/>
      <c r="J6" s="79"/>
      <c r="K6" s="79"/>
      <c r="L6" s="79"/>
      <c r="M6" s="79"/>
      <c r="N6" s="79"/>
      <c r="O6" s="77"/>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Rice'!A1", "Rice")</f>
        <v>Rice</v>
      </c>
    </row>
    <row r="10" spans="1:42" ht="20.100000000000001" customHeight="1" x14ac:dyDescent="0.25"/>
    <row r="11" spans="1:42" ht="20.100000000000001" customHeight="1" x14ac:dyDescent="0.25">
      <c r="A11" s="19" t="s">
        <v>52</v>
      </c>
    </row>
    <row r="12" spans="1:42" ht="20.100000000000001" customHeight="1" x14ac:dyDescent="0.25">
      <c r="A12" s="17" t="str">
        <f>HYPERLINK("#'7.1.1-2 Rice cultivation'!A1", "7.1.1-2 Rice cultivation")</f>
        <v>7.1.1-2 Rice cultivation</v>
      </c>
    </row>
    <row r="13" spans="1:42" ht="20.100000000000001" customHeight="1" x14ac:dyDescent="0.25">
      <c r="A13" s="17"/>
    </row>
    <row r="14" spans="1:42" ht="20.100000000000001" customHeight="1" x14ac:dyDescent="0.25">
      <c r="A14" s="18" t="s">
        <v>2</v>
      </c>
    </row>
    <row r="15" spans="1:42" ht="20.100000000000001" customHeight="1" x14ac:dyDescent="0.25">
      <c r="A15" s="17" t="str">
        <f>HYPERLINK("#'Constants - Rice cultivation'!A1", "Constants - Rice cultivation")</f>
        <v>Constants - Rice cultivation</v>
      </c>
    </row>
    <row r="16" spans="1:42" ht="20.100000000000001" customHeight="1" x14ac:dyDescent="0.25">
      <c r="A16" s="17"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100</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8" t="e" vm="1">
        <v>#VALUE!</v>
      </c>
      <c r="C1" s="115" t="s">
        <v>170</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0" t="str">
        <f>HYPERLINK("#'Results'!A1", "Results")</f>
        <v>Results</v>
      </c>
      <c r="C5" s="22"/>
      <c r="D5" s="26"/>
      <c r="E5" s="27"/>
      <c r="F5" s="27"/>
      <c r="G5" s="27"/>
      <c r="H5" s="24"/>
      <c r="I5" s="22"/>
      <c r="J5" s="22"/>
      <c r="K5" s="22"/>
    </row>
    <row r="6" spans="1:11" ht="20.100000000000001" customHeight="1" x14ac:dyDescent="0.25">
      <c r="A6" s="16"/>
      <c r="C6" s="22"/>
      <c r="D6" s="82" t="s">
        <v>99</v>
      </c>
      <c r="E6" s="78"/>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95" t="s">
        <v>63</v>
      </c>
      <c r="E8" s="95" t="s">
        <v>75</v>
      </c>
      <c r="F8" s="95" t="s">
        <v>76</v>
      </c>
      <c r="G8" s="95" t="s">
        <v>69</v>
      </c>
      <c r="H8" s="95" t="s">
        <v>77</v>
      </c>
      <c r="I8" s="95" t="s">
        <v>78</v>
      </c>
      <c r="J8" s="95" t="s">
        <v>70</v>
      </c>
      <c r="K8" s="22"/>
    </row>
    <row r="9" spans="1:11" ht="20.100000000000001" customHeight="1" x14ac:dyDescent="0.25">
      <c r="A9" s="17" t="str">
        <f>HYPERLINK("#'Input - Rice'!A1", "Rice")</f>
        <v>Rice</v>
      </c>
      <c r="C9" s="22"/>
      <c r="D9" s="1" t="s">
        <v>168</v>
      </c>
      <c r="E9" s="114">
        <f>'7.1.1-2 Rice cultivation'!$E$102</f>
        <v>98.450769394817939</v>
      </c>
      <c r="F9" s="114">
        <f>E9</f>
        <v>98.450769394817939</v>
      </c>
      <c r="G9" s="49" t="s">
        <v>80</v>
      </c>
      <c r="H9" s="93">
        <f>'7.1.1-2 Rice cultivation'!$E$107</f>
        <v>2756.6215430549023</v>
      </c>
      <c r="I9" s="93">
        <f>H9</f>
        <v>2756.6215430549023</v>
      </c>
      <c r="J9" s="49" t="s">
        <v>73</v>
      </c>
      <c r="K9" s="22"/>
    </row>
    <row r="10" spans="1:11" ht="20.100000000000001" customHeight="1" x14ac:dyDescent="0.3">
      <c r="C10" s="22"/>
      <c r="D10" s="29" t="s">
        <v>68</v>
      </c>
      <c r="E10" s="23"/>
      <c r="F10" s="23"/>
      <c r="G10" s="29"/>
      <c r="H10" s="94">
        <f>SUM(H9:H9)</f>
        <v>2756.6215430549023</v>
      </c>
      <c r="I10" s="94">
        <f>SUM(I9:I9)</f>
        <v>2756.6215430549023</v>
      </c>
      <c r="J10" s="90" t="s">
        <v>73</v>
      </c>
      <c r="K10" s="22"/>
    </row>
    <row r="11" spans="1:11" ht="20.100000000000001" customHeight="1" x14ac:dyDescent="0.25">
      <c r="A11" s="19" t="s">
        <v>52</v>
      </c>
      <c r="C11" s="22"/>
      <c r="D11" s="1"/>
      <c r="E11" s="1"/>
      <c r="F11" s="1"/>
      <c r="G11" s="1"/>
      <c r="H11" s="1"/>
      <c r="I11" s="1"/>
      <c r="J11" s="1"/>
      <c r="K11" s="22"/>
    </row>
    <row r="12" spans="1:11" ht="20.100000000000001" customHeight="1" x14ac:dyDescent="0.25">
      <c r="A12" s="17" t="str">
        <f>HYPERLINK("#'7.1.1-2 Rice cultivation'!A1", "7.1.1-2 Rice cultivation")</f>
        <v>7.1.1-2 Rice cultivation</v>
      </c>
      <c r="C12" s="22"/>
      <c r="D12" s="91"/>
      <c r="E12" s="91"/>
      <c r="F12" s="91"/>
      <c r="G12" s="91"/>
      <c r="H12" s="91"/>
      <c r="I12" s="91"/>
      <c r="J12" s="91"/>
      <c r="K12" s="22"/>
    </row>
    <row r="13" spans="1:11" ht="20.100000000000001" customHeight="1" x14ac:dyDescent="0.25">
      <c r="A13" s="17"/>
      <c r="C13" s="22"/>
      <c r="D13" s="91"/>
      <c r="E13" s="1"/>
      <c r="F13" s="1"/>
      <c r="G13" s="1"/>
      <c r="H13" s="1"/>
      <c r="I13" s="1"/>
      <c r="J13" s="22"/>
      <c r="K13" s="22"/>
    </row>
    <row r="14" spans="1:11" ht="20.100000000000001" customHeight="1" x14ac:dyDescent="0.25">
      <c r="A14" s="18" t="s">
        <v>2</v>
      </c>
      <c r="C14" s="22"/>
      <c r="D14" s="98"/>
      <c r="E14" s="1"/>
      <c r="F14" s="1"/>
      <c r="G14" s="1"/>
      <c r="H14" s="1"/>
      <c r="I14" s="1"/>
      <c r="J14" s="22"/>
      <c r="K14" s="22"/>
    </row>
    <row r="15" spans="1:11" ht="20.100000000000001" customHeight="1" x14ac:dyDescent="0.25">
      <c r="A15" s="17" t="str">
        <f>HYPERLINK("#'Constants - Rice cultivation'!A1", "Constants - Rice cultivation")</f>
        <v>Constants - Rice cultivation</v>
      </c>
      <c r="C15" s="22"/>
      <c r="D15" s="1"/>
      <c r="E15" s="1"/>
      <c r="F15" s="1"/>
      <c r="G15" s="1"/>
      <c r="H15" s="1"/>
      <c r="I15" s="1"/>
      <c r="J15" s="22"/>
      <c r="K15" s="22"/>
    </row>
    <row r="16" spans="1:11" ht="20.100000000000001" customHeight="1" x14ac:dyDescent="0.25">
      <c r="A16" s="17" t="str">
        <f>HYPERLINK("#'Constants - Common'!A1", "Constants - Common")</f>
        <v>Constants - Common</v>
      </c>
      <c r="C16" s="22"/>
      <c r="D16" s="1"/>
      <c r="E16" s="1"/>
      <c r="F16" s="1"/>
      <c r="G16" s="1"/>
      <c r="H16" s="1"/>
      <c r="I16" s="1"/>
      <c r="J16" s="22"/>
      <c r="K16" s="22"/>
    </row>
    <row r="17" spans="1:11" ht="20.100000000000001" customHeight="1" x14ac:dyDescent="0.25">
      <c r="C17" s="22"/>
      <c r="D17" s="1"/>
      <c r="E17" s="96"/>
      <c r="F17" s="49"/>
      <c r="G17" s="1"/>
      <c r="H17" s="1"/>
      <c r="I17" s="22"/>
      <c r="J17" s="22"/>
      <c r="K17" s="22"/>
    </row>
    <row r="18" spans="1:11" ht="20.100000000000001" customHeight="1" x14ac:dyDescent="0.25">
      <c r="C18" s="22"/>
      <c r="D18" s="1"/>
      <c r="E18" s="1"/>
      <c r="F18" s="1"/>
      <c r="G18" s="1"/>
      <c r="H18" s="1"/>
      <c r="I18" s="1"/>
      <c r="J18" s="1"/>
      <c r="K18" s="22"/>
    </row>
    <row r="19" spans="1:11" ht="20.100000000000001" customHeight="1" x14ac:dyDescent="0.25">
      <c r="C19" s="22"/>
      <c r="D19" s="1"/>
      <c r="E19" s="1"/>
      <c r="F19" s="1"/>
      <c r="G19" s="1"/>
      <c r="H19" s="1"/>
      <c r="I19" s="1"/>
      <c r="J19" s="1"/>
      <c r="K19" s="22"/>
    </row>
    <row r="20" spans="1:11" ht="20.100000000000001" customHeight="1" x14ac:dyDescent="0.25">
      <c r="A20" s="17"/>
      <c r="C20" s="22"/>
      <c r="D20" s="1"/>
      <c r="E20" s="1"/>
      <c r="F20" s="1"/>
      <c r="G20" s="1"/>
      <c r="H20" s="1"/>
      <c r="I20" s="1"/>
      <c r="J20" s="1"/>
      <c r="K20" s="22"/>
    </row>
    <row r="21" spans="1:11" ht="20.100000000000001" customHeight="1" x14ac:dyDescent="0.25">
      <c r="C21" s="22"/>
      <c r="D21" s="1"/>
      <c r="E21" s="1"/>
      <c r="F21" s="1"/>
      <c r="G21" s="1"/>
      <c r="H21" s="1"/>
      <c r="I21" s="1"/>
      <c r="J21" s="1"/>
      <c r="K21" s="22"/>
    </row>
    <row r="22" spans="1:11" ht="20.100000000000001" customHeight="1" x14ac:dyDescent="0.25">
      <c r="C22" s="22"/>
      <c r="D22" s="1"/>
      <c r="E22" s="1"/>
      <c r="F22" s="1"/>
      <c r="G22" s="1"/>
      <c r="H22" s="1"/>
      <c r="I22" s="1"/>
      <c r="J22" s="1"/>
      <c r="K22" s="22"/>
    </row>
    <row r="23" spans="1:11" ht="20.100000000000001" customHeight="1" x14ac:dyDescent="0.25">
      <c r="C23" s="22"/>
      <c r="D23" s="1"/>
      <c r="E23" s="1"/>
      <c r="F23" s="1"/>
      <c r="G23" s="1"/>
      <c r="H23" s="1"/>
      <c r="I23" s="1"/>
      <c r="J23" s="1"/>
      <c r="K23" s="22"/>
    </row>
    <row r="24" spans="1:11" ht="20.100000000000001" customHeight="1" x14ac:dyDescent="0.25">
      <c r="C24" s="22"/>
      <c r="D24" s="1"/>
      <c r="E24" s="1"/>
      <c r="F24" s="1"/>
      <c r="G24" s="1"/>
      <c r="H24" s="1"/>
      <c r="I24" s="1"/>
      <c r="J24" s="1"/>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2"/>
      <c r="J38" s="92"/>
      <c r="K38" s="22"/>
    </row>
    <row r="39" spans="3:11" ht="20.100000000000001" customHeight="1" x14ac:dyDescent="0.25">
      <c r="C39" s="22"/>
      <c r="D39" s="1"/>
      <c r="E39" s="1"/>
      <c r="F39" s="1"/>
      <c r="G39" s="1"/>
      <c r="H39" s="1"/>
      <c r="I39" s="92"/>
      <c r="J39" s="92"/>
      <c r="K39" s="22"/>
    </row>
    <row r="40" spans="3:11" ht="20.100000000000001" customHeight="1" x14ac:dyDescent="0.25">
      <c r="C40" s="22"/>
      <c r="D40" s="1"/>
      <c r="E40" s="1"/>
      <c r="F40" s="1"/>
      <c r="G40" s="1"/>
      <c r="H40" s="1"/>
      <c r="I40" s="92"/>
      <c r="J40" s="92"/>
      <c r="K40" s="22"/>
    </row>
    <row r="41" spans="3:11" ht="20.100000000000001" customHeight="1" x14ac:dyDescent="0.25">
      <c r="C41" s="22"/>
      <c r="D41" s="1"/>
      <c r="E41" s="1"/>
      <c r="F41" s="1"/>
      <c r="G41" s="1"/>
      <c r="H41" s="1"/>
      <c r="I41" s="92"/>
      <c r="J41" s="92"/>
      <c r="K41" s="22"/>
    </row>
    <row r="42" spans="3:11" ht="20.100000000000001" customHeight="1" x14ac:dyDescent="0.25">
      <c r="C42" s="22"/>
      <c r="D42" s="1"/>
      <c r="E42" s="1"/>
      <c r="F42" s="1"/>
      <c r="G42" s="1"/>
      <c r="H42" s="1"/>
      <c r="I42" s="92"/>
      <c r="J42" s="92"/>
      <c r="K42" s="22"/>
    </row>
    <row r="43" spans="3:11" ht="20.100000000000001" customHeight="1" x14ac:dyDescent="0.25">
      <c r="C43" s="22"/>
      <c r="D43" s="1"/>
      <c r="E43" s="1"/>
      <c r="F43" s="1"/>
      <c r="G43" s="1"/>
      <c r="H43" s="1"/>
      <c r="I43" s="92"/>
      <c r="J43" s="92"/>
      <c r="K43" s="22"/>
    </row>
    <row r="44" spans="3:11" ht="20.100000000000001" customHeight="1" x14ac:dyDescent="0.25">
      <c r="C44" s="22"/>
      <c r="D44" s="1"/>
      <c r="E44" s="1"/>
      <c r="F44" s="1"/>
      <c r="G44" s="1"/>
      <c r="H44" s="1"/>
      <c r="I44" s="92"/>
      <c r="J44" s="92"/>
      <c r="K44" s="22"/>
    </row>
    <row r="45" spans="3:11" ht="20.100000000000001" customHeight="1" x14ac:dyDescent="0.25">
      <c r="C45" s="22"/>
      <c r="D45" s="1"/>
      <c r="E45" s="1"/>
      <c r="F45" s="1"/>
      <c r="G45" s="1"/>
      <c r="H45" s="1"/>
      <c r="I45" s="92"/>
      <c r="J45" s="92"/>
      <c r="K45" s="22"/>
    </row>
    <row r="46" spans="3:11" ht="20.100000000000001" customHeight="1" x14ac:dyDescent="0.25">
      <c r="C46" s="22"/>
      <c r="D46" s="1"/>
      <c r="E46" s="1"/>
      <c r="F46" s="1"/>
      <c r="G46" s="1"/>
      <c r="H46" s="1"/>
      <c r="I46" s="92"/>
      <c r="J46" s="92"/>
      <c r="K46" s="22"/>
    </row>
    <row r="47" spans="3:11" ht="20.100000000000001" customHeight="1" x14ac:dyDescent="0.25">
      <c r="C47" s="22"/>
      <c r="D47" s="1"/>
      <c r="E47" s="1"/>
      <c r="F47" s="1"/>
      <c r="G47" s="1"/>
      <c r="H47" s="1"/>
      <c r="I47" s="92"/>
      <c r="J47" s="92"/>
      <c r="K47" s="22"/>
    </row>
    <row r="48" spans="3:11" ht="20.100000000000001" customHeight="1" x14ac:dyDescent="0.25">
      <c r="C48" s="22"/>
      <c r="D48" s="1"/>
      <c r="E48" s="1"/>
      <c r="F48" s="1"/>
      <c r="G48" s="1"/>
      <c r="H48" s="1"/>
      <c r="I48" s="92"/>
      <c r="J48" s="92"/>
      <c r="K48" s="22"/>
    </row>
    <row r="49" spans="3:11" ht="20.100000000000001" customHeight="1" x14ac:dyDescent="0.25">
      <c r="C49" s="22"/>
      <c r="D49" s="1"/>
      <c r="E49" s="1"/>
      <c r="F49" s="1"/>
      <c r="G49" s="1"/>
      <c r="H49" s="92"/>
      <c r="I49" s="92"/>
      <c r="J49" s="92"/>
      <c r="K49" s="22"/>
    </row>
    <row r="50" spans="3:11" ht="20.100000000000001" customHeight="1" x14ac:dyDescent="0.25">
      <c r="C50" s="22"/>
      <c r="D50" s="1"/>
      <c r="E50" s="1"/>
      <c r="F50" s="1"/>
      <c r="G50" s="1"/>
      <c r="H50" s="92"/>
      <c r="I50" s="92"/>
      <c r="J50" s="92"/>
      <c r="K50" s="22"/>
    </row>
    <row r="51" spans="3:11" ht="20.100000000000001" customHeight="1" x14ac:dyDescent="0.25">
      <c r="C51" s="22"/>
      <c r="D51" s="1"/>
      <c r="E51" s="1"/>
      <c r="F51" s="1"/>
      <c r="G51" s="1"/>
      <c r="H51" s="92"/>
      <c r="I51" s="92"/>
      <c r="J51" s="92"/>
      <c r="K51" s="22"/>
    </row>
    <row r="52" spans="3:11" ht="20.100000000000001" customHeight="1" x14ac:dyDescent="0.25">
      <c r="C52" s="22"/>
      <c r="D52" s="1"/>
      <c r="E52" s="1"/>
      <c r="F52" s="1"/>
      <c r="G52" s="1"/>
      <c r="H52" s="92"/>
      <c r="I52" s="92"/>
      <c r="J52" s="92"/>
      <c r="K52" s="22"/>
    </row>
    <row r="53" spans="3:11" ht="20.100000000000001" customHeight="1" x14ac:dyDescent="0.25">
      <c r="C53" s="22"/>
      <c r="D53" s="1"/>
      <c r="E53" s="1"/>
      <c r="F53" s="1"/>
      <c r="G53" s="1"/>
      <c r="H53" s="92"/>
      <c r="I53" s="92"/>
      <c r="J53" s="92"/>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9" sqref="A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8" t="e" vm="1">
        <v>#VALUE!</v>
      </c>
      <c r="C1" s="12" t="s">
        <v>55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7</v>
      </c>
      <c r="N5" s="38"/>
    </row>
    <row r="6" spans="1:24" ht="20.100000000000001" customHeight="1" x14ac:dyDescent="0.25">
      <c r="D6" s="14"/>
      <c r="N6" s="39"/>
    </row>
    <row r="7" spans="1:24" ht="20.100000000000001" customHeight="1" x14ac:dyDescent="0.25">
      <c r="A7" s="20" t="s">
        <v>1</v>
      </c>
      <c r="D7" s="1" t="s">
        <v>5</v>
      </c>
      <c r="E7" s="31" t="s">
        <v>4</v>
      </c>
      <c r="F7" s="2"/>
    </row>
    <row r="8" spans="1:24" ht="20.100000000000001" customHeight="1" x14ac:dyDescent="0.25">
      <c r="A8" s="99" t="str">
        <f>HYPERLINK("#'Input - Site'!A1", "Site")</f>
        <v>Site</v>
      </c>
      <c r="D8" s="10" t="s">
        <v>50</v>
      </c>
      <c r="E8" s="31" t="s">
        <v>51</v>
      </c>
    </row>
    <row r="9" spans="1:24" ht="20.100000000000001" customHeight="1" x14ac:dyDescent="0.25">
      <c r="A9" s="17" t="str">
        <f>HYPERLINK("#'Input - Rice'!A1", "Rice")</f>
        <v>Rice</v>
      </c>
      <c r="N9" s="40"/>
    </row>
    <row r="10" spans="1:24" ht="20.100000000000001" customHeight="1" x14ac:dyDescent="0.25">
      <c r="A10"/>
      <c r="D10" s="82" t="s">
        <v>54</v>
      </c>
      <c r="E10" s="81"/>
      <c r="F10" s="83"/>
      <c r="G10" s="78"/>
      <c r="N10" s="40"/>
    </row>
    <row r="11" spans="1:24" ht="20.100000000000001" customHeight="1" x14ac:dyDescent="0.25">
      <c r="A11" s="19" t="s">
        <v>52</v>
      </c>
      <c r="N11" s="41"/>
    </row>
    <row r="12" spans="1:24" ht="20.100000000000001" customHeight="1" x14ac:dyDescent="0.25">
      <c r="A12" s="17" t="str">
        <f>HYPERLINK("#'7.1.1-2 Rice cultivation'!A1", "7.1.1-2 Rice cultivation")</f>
        <v>7.1.1-2 Rice cultivation</v>
      </c>
      <c r="D12" s="10" t="s">
        <v>58</v>
      </c>
      <c r="E12" s="56">
        <v>45292</v>
      </c>
      <c r="F12" s="2" t="s">
        <v>49</v>
      </c>
    </row>
    <row r="13" spans="1:24" ht="20.100000000000001" customHeight="1" x14ac:dyDescent="0.25">
      <c r="A13" s="17"/>
      <c r="D13" s="10" t="s">
        <v>59</v>
      </c>
      <c r="E13" s="60">
        <f>DATE(YEAR(E12)+1,MONTH(E12),DAY(E12))-1</f>
        <v>45657</v>
      </c>
      <c r="F13" s="2" t="s">
        <v>8</v>
      </c>
      <c r="N13" s="36"/>
      <c r="O13" s="36"/>
    </row>
    <row r="14" spans="1:24" ht="20.100000000000001" customHeight="1" x14ac:dyDescent="0.25">
      <c r="A14" s="18" t="s">
        <v>2</v>
      </c>
      <c r="N14" s="36"/>
      <c r="O14" s="36"/>
    </row>
    <row r="15" spans="1:24" ht="20.100000000000001" customHeight="1" x14ac:dyDescent="0.25">
      <c r="A15" s="17" t="str">
        <f>HYPERLINK("#'Constants - Rice cultivation'!A1", "Constants - Rice cultivation")</f>
        <v>Constants - Rice cultivation</v>
      </c>
      <c r="D15" s="1"/>
      <c r="E15" s="1"/>
      <c r="F15" s="1"/>
      <c r="G15" s="1"/>
      <c r="H15" s="1"/>
      <c r="N15" s="36"/>
      <c r="O15" s="36"/>
    </row>
    <row r="16" spans="1:24" ht="20.100000000000001" customHeight="1" x14ac:dyDescent="0.25">
      <c r="A16" s="17" t="str">
        <f>HYPERLINK("#'Constants - Common'!A1", "Constants - Common")</f>
        <v>Constants - Common</v>
      </c>
      <c r="D16" s="1"/>
      <c r="E16" s="1"/>
      <c r="F16" s="1"/>
      <c r="G16" s="1"/>
      <c r="H16" s="1"/>
      <c r="N16" s="36"/>
      <c r="O16" s="36"/>
    </row>
    <row r="17" spans="1:25" ht="20.100000000000001" customHeight="1" x14ac:dyDescent="0.25">
      <c r="A17"/>
      <c r="D17" s="1"/>
      <c r="E17" s="1"/>
      <c r="F17" s="1"/>
      <c r="G17" s="1"/>
      <c r="H17" s="1"/>
    </row>
    <row r="18" spans="1:25" ht="20.100000000000001" customHeight="1" x14ac:dyDescent="0.25">
      <c r="A18"/>
      <c r="D18" s="1"/>
      <c r="E18" s="1"/>
      <c r="F18" s="1"/>
      <c r="G18" s="1"/>
      <c r="H18" s="1"/>
    </row>
    <row r="19" spans="1:25" ht="20.100000000000001" customHeight="1" x14ac:dyDescent="0.25">
      <c r="A19"/>
      <c r="D19" s="1"/>
      <c r="E19" s="1"/>
      <c r="F19" s="1"/>
      <c r="G19" s="1"/>
      <c r="H19" s="1"/>
      <c r="N19" s="38"/>
    </row>
    <row r="20" spans="1:25" ht="20.100000000000001" customHeight="1" x14ac:dyDescent="0.25">
      <c r="A20" s="17"/>
      <c r="D20" s="1"/>
      <c r="E20" s="1"/>
      <c r="F20" s="1"/>
      <c r="G20" s="1"/>
      <c r="H20" s="1"/>
      <c r="N20" s="39"/>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9"/>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3"/>
      <c r="M31" s="43"/>
      <c r="N31" s="43"/>
      <c r="O31" s="43"/>
      <c r="P31" s="43"/>
      <c r="Q31" s="43"/>
      <c r="R31" s="43"/>
      <c r="S31" s="43"/>
      <c r="T31" s="43"/>
      <c r="U31" s="43"/>
      <c r="V31" s="43"/>
      <c r="W31" s="43"/>
      <c r="X31" s="43"/>
      <c r="Y31" s="43"/>
    </row>
    <row r="32" spans="1:25" ht="20.100000000000001" customHeight="1" x14ac:dyDescent="0.25">
      <c r="A32"/>
      <c r="D32" s="1"/>
      <c r="E32" s="1"/>
      <c r="F32" s="1"/>
      <c r="G32" s="1"/>
      <c r="H32" s="1"/>
      <c r="L32" s="43"/>
      <c r="M32" s="43"/>
      <c r="N32" s="43"/>
      <c r="O32" s="43"/>
      <c r="P32" s="43"/>
      <c r="Q32" s="43"/>
      <c r="R32" s="43"/>
      <c r="S32" s="43"/>
      <c r="T32" s="43"/>
      <c r="U32" s="43"/>
      <c r="V32" s="43"/>
      <c r="W32" s="43"/>
      <c r="X32" s="43"/>
      <c r="Y32" s="43"/>
    </row>
    <row r="33" spans="1:25" ht="20.100000000000001" customHeight="1" x14ac:dyDescent="0.25">
      <c r="A33"/>
      <c r="D33" s="1"/>
      <c r="E33" s="1"/>
      <c r="F33" s="1"/>
      <c r="G33" s="1"/>
      <c r="H33" s="1"/>
      <c r="L33" s="43"/>
      <c r="M33" s="43"/>
      <c r="N33" s="43"/>
      <c r="O33" s="43"/>
      <c r="P33" s="43"/>
      <c r="Q33" s="43"/>
      <c r="R33" s="43"/>
      <c r="S33" s="43"/>
      <c r="T33" s="43"/>
      <c r="U33" s="43"/>
      <c r="V33" s="43"/>
      <c r="W33" s="43"/>
      <c r="X33" s="43"/>
      <c r="Y33" s="43"/>
    </row>
    <row r="34" spans="1:25" ht="20.100000000000001" customHeight="1" x14ac:dyDescent="0.25">
      <c r="A34"/>
      <c r="D34" s="1"/>
      <c r="E34" s="1"/>
      <c r="F34" s="1"/>
      <c r="G34" s="1"/>
      <c r="H34" s="1"/>
      <c r="J34" s="54"/>
      <c r="K34" s="63"/>
      <c r="L34" s="43"/>
      <c r="M34" s="43"/>
      <c r="N34" s="43"/>
      <c r="O34" s="43"/>
      <c r="P34" s="43"/>
      <c r="Q34" s="43"/>
      <c r="R34" s="43"/>
      <c r="S34" s="43"/>
      <c r="T34" s="43"/>
      <c r="U34" s="43"/>
      <c r="V34" s="43"/>
      <c r="W34" s="43"/>
      <c r="X34" s="43"/>
      <c r="Y34" s="43"/>
    </row>
    <row r="35" spans="1:25" ht="20.100000000000001" customHeight="1" x14ac:dyDescent="0.25">
      <c r="A35"/>
      <c r="D35" s="1"/>
      <c r="E35" s="1"/>
      <c r="F35" s="1"/>
      <c r="G35" s="1"/>
      <c r="H35" s="1"/>
      <c r="J35" s="54"/>
      <c r="K35" s="63"/>
      <c r="L35" s="43"/>
      <c r="M35" s="43"/>
      <c r="N35" s="43"/>
      <c r="O35" s="43"/>
      <c r="P35" s="43"/>
      <c r="Q35" s="43"/>
      <c r="R35" s="43"/>
      <c r="S35" s="43"/>
      <c r="T35" s="43"/>
      <c r="U35" s="43"/>
      <c r="V35" s="43"/>
      <c r="W35" s="43"/>
      <c r="X35" s="43"/>
      <c r="Y35" s="43"/>
    </row>
    <row r="36" spans="1:25" ht="20.100000000000001" customHeight="1" x14ac:dyDescent="0.25">
      <c r="A36"/>
      <c r="D36" s="1"/>
      <c r="E36" s="1"/>
      <c r="F36" s="1"/>
      <c r="G36" s="1"/>
      <c r="H36" s="1"/>
      <c r="I36" s="55"/>
      <c r="J36" s="54"/>
      <c r="K36" s="63"/>
      <c r="L36" s="43"/>
      <c r="M36" s="43"/>
      <c r="N36" s="43"/>
      <c r="O36" s="43"/>
      <c r="P36" s="43"/>
      <c r="Q36" s="43"/>
      <c r="R36" s="43"/>
      <c r="S36" s="43"/>
      <c r="T36" s="43"/>
      <c r="U36" s="43"/>
      <c r="V36" s="43"/>
      <c r="W36" s="43"/>
      <c r="X36" s="43"/>
      <c r="Y36" s="43"/>
    </row>
    <row r="37" spans="1:25" ht="20.100000000000001" customHeight="1" x14ac:dyDescent="0.25">
      <c r="A37"/>
      <c r="D37" s="61"/>
      <c r="E37" s="61"/>
      <c r="F37" s="62"/>
      <c r="G37" s="54"/>
      <c r="H37" s="54"/>
      <c r="I37" s="55"/>
      <c r="J37" s="54"/>
      <c r="K37" s="63"/>
      <c r="L37" s="43"/>
      <c r="M37" s="43"/>
      <c r="N37" s="43"/>
      <c r="O37" s="43"/>
      <c r="P37" s="43"/>
      <c r="Q37" s="43"/>
      <c r="R37" s="43"/>
      <c r="S37" s="43"/>
      <c r="T37" s="43"/>
      <c r="U37" s="43"/>
      <c r="V37" s="43"/>
      <c r="W37" s="43"/>
      <c r="X37" s="43"/>
      <c r="Y37" s="43"/>
    </row>
    <row r="38" spans="1:25" ht="20.100000000000001" customHeight="1" x14ac:dyDescent="0.25">
      <c r="A38"/>
      <c r="D38" s="61"/>
      <c r="E38" s="61"/>
      <c r="F38" s="62"/>
      <c r="G38" s="54"/>
      <c r="H38" s="54"/>
      <c r="I38" s="55"/>
      <c r="J38" s="54"/>
      <c r="K38" s="63"/>
      <c r="L38" s="43"/>
      <c r="M38" s="43"/>
      <c r="N38" s="43"/>
      <c r="O38" s="43"/>
      <c r="P38" s="43"/>
      <c r="Q38" s="43"/>
      <c r="R38" s="43"/>
      <c r="S38" s="43"/>
      <c r="T38" s="43"/>
      <c r="U38" s="43"/>
      <c r="V38" s="43"/>
      <c r="W38" s="43"/>
      <c r="X38" s="43"/>
      <c r="Y38" s="43"/>
    </row>
    <row r="39" spans="1:25" ht="20.100000000000001" customHeight="1" x14ac:dyDescent="0.25">
      <c r="A39"/>
      <c r="D39" s="61"/>
      <c r="E39" s="61"/>
      <c r="F39" s="62"/>
      <c r="G39" s="54"/>
      <c r="H39" s="54"/>
      <c r="I39" s="55"/>
      <c r="J39" s="54"/>
      <c r="K39" s="63"/>
      <c r="L39" s="43"/>
      <c r="M39" s="43"/>
      <c r="N39" s="43"/>
      <c r="O39" s="43"/>
      <c r="P39" s="43"/>
      <c r="Q39" s="43"/>
      <c r="R39" s="43"/>
      <c r="S39" s="43"/>
      <c r="T39" s="43"/>
      <c r="U39" s="43"/>
      <c r="V39" s="43"/>
      <c r="W39" s="43"/>
      <c r="X39" s="43"/>
      <c r="Y39" s="43"/>
    </row>
    <row r="40" spans="1:25" ht="20.100000000000001" customHeight="1" x14ac:dyDescent="0.25">
      <c r="A40"/>
      <c r="D40" s="64"/>
      <c r="E40" s="64"/>
      <c r="F40" s="64"/>
      <c r="G40" s="65"/>
      <c r="H40" s="66"/>
      <c r="I40" s="66"/>
      <c r="J40" s="66"/>
      <c r="K40" s="66"/>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67"/>
      <c r="E47" s="67"/>
      <c r="F47" s="67"/>
      <c r="G47" s="67"/>
      <c r="H47" s="67"/>
    </row>
    <row r="48" spans="1:25" ht="20.100000000000001" customHeight="1" x14ac:dyDescent="0.25">
      <c r="D48" s="32"/>
      <c r="E48" s="32"/>
      <c r="F48" s="33"/>
      <c r="G48" s="33"/>
      <c r="H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8"/>
      <c r="E51" s="69"/>
      <c r="F51" s="69"/>
      <c r="G51" s="69"/>
      <c r="H51" s="70"/>
    </row>
    <row r="52" spans="4:8" ht="20.100000000000001" customHeight="1" x14ac:dyDescent="0.25"/>
    <row r="53" spans="4:8" ht="20.100000000000001" customHeight="1" x14ac:dyDescent="0.25"/>
    <row r="54" spans="4:8" ht="20.100000000000001" customHeight="1" x14ac:dyDescent="0.25">
      <c r="G54" s="71"/>
    </row>
    <row r="55" spans="4:8" ht="20.100000000000001" customHeight="1" x14ac:dyDescent="0.25">
      <c r="D55" s="6"/>
    </row>
    <row r="56" spans="4:8" ht="20.100000000000001" customHeight="1" x14ac:dyDescent="0.25"/>
    <row r="57" spans="4:8" ht="20.100000000000001" customHeight="1" x14ac:dyDescent="0.25">
      <c r="D57" s="2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8" customFormat="1" ht="30" customHeight="1" x14ac:dyDescent="0.35">
      <c r="A1" s="58" t="e" vm="1">
        <v>#VALUE!</v>
      </c>
      <c r="C1" s="58" t="s">
        <v>107</v>
      </c>
    </row>
    <row r="2" spans="1:11" s="9" customFormat="1" ht="20.100000000000001" customHeight="1" x14ac:dyDescent="0.25"/>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104</v>
      </c>
    </row>
    <row r="6" spans="1:11" ht="20.100000000000001" customHeight="1" x14ac:dyDescent="0.25">
      <c r="A6" s="16"/>
    </row>
    <row r="7" spans="1:11" ht="20.100000000000001" customHeight="1" x14ac:dyDescent="0.25">
      <c r="A7" s="20" t="s">
        <v>1</v>
      </c>
      <c r="D7" s="82" t="s">
        <v>105</v>
      </c>
      <c r="E7" s="83"/>
      <c r="F7" s="83"/>
      <c r="G7" s="78"/>
      <c r="H7" s="122"/>
      <c r="I7" s="122"/>
      <c r="J7" s="122"/>
    </row>
    <row r="8" spans="1:11" ht="20.100000000000001" customHeight="1" x14ac:dyDescent="0.25">
      <c r="A8" s="17" t="str">
        <f>HYPERLINK("#'Input - Site'!A1", "Site")</f>
        <v>Site</v>
      </c>
    </row>
    <row r="9" spans="1:11" ht="20.100000000000001" customHeight="1" x14ac:dyDescent="0.25">
      <c r="A9" s="99" t="str">
        <f>HYPERLINK("#'Input - Rice'!A1", "Rice")</f>
        <v>Rice</v>
      </c>
    </row>
    <row r="10" spans="1:11" ht="20.100000000000001" customHeight="1" x14ac:dyDescent="0.25">
      <c r="D10" s="1" t="str">
        <f>"Number of full growing seasons between "&amp;TEXT('Input - Site'!$E$12,"d/m/yy")&amp;" and " &amp; TEXT('Input - Site'!$E$13,"d/m/yy") &amp; " that are managed the same way"</f>
        <v>Number of full growing seasons between 1/1/24 and 31/12/24 that are managed the same way</v>
      </c>
      <c r="E10" s="106">
        <v>2</v>
      </c>
      <c r="F10" s="2" t="s">
        <v>152</v>
      </c>
    </row>
    <row r="11" spans="1:11" ht="20.100000000000001" customHeight="1" x14ac:dyDescent="0.25">
      <c r="A11" s="19" t="s">
        <v>52</v>
      </c>
    </row>
    <row r="12" spans="1:11" ht="20.100000000000001" customHeight="1" x14ac:dyDescent="0.25">
      <c r="A12" s="17" t="str">
        <f>HYPERLINK("#'7.1.1-2 Rice cultivation'!A1", "7.1.1-2 Rice cultivation")</f>
        <v>7.1.1-2 Rice cultivation</v>
      </c>
      <c r="D12" s="6" t="s">
        <v>114</v>
      </c>
    </row>
    <row r="13" spans="1:11" ht="20.100000000000001" customHeight="1" x14ac:dyDescent="0.25">
      <c r="A13" s="17"/>
    </row>
    <row r="14" spans="1:11" ht="20.100000000000001" customHeight="1" x14ac:dyDescent="0.25">
      <c r="A14" s="18" t="s">
        <v>2</v>
      </c>
      <c r="D14" s="101" t="s">
        <v>132</v>
      </c>
      <c r="E14" s="101" t="s">
        <v>157</v>
      </c>
      <c r="F14" s="101" t="s">
        <v>158</v>
      </c>
      <c r="G14" s="101" t="s">
        <v>116</v>
      </c>
      <c r="H14" s="101" t="s">
        <v>117</v>
      </c>
      <c r="I14" s="101" t="s">
        <v>118</v>
      </c>
      <c r="J14" s="101" t="s">
        <v>119</v>
      </c>
    </row>
    <row r="15" spans="1:11" ht="20.100000000000001" customHeight="1" x14ac:dyDescent="0.25">
      <c r="A15" s="17" t="str">
        <f>HYPERLINK("#'Constants - Rice cultivation'!A1", "Constants - Rice cultivation")</f>
        <v>Constants - Rice cultivation</v>
      </c>
      <c r="D15" s="123" t="s">
        <v>153</v>
      </c>
      <c r="E15" s="123">
        <v>2</v>
      </c>
      <c r="F15" s="123">
        <v>0</v>
      </c>
      <c r="G15" s="123">
        <v>2</v>
      </c>
      <c r="H15" s="123">
        <v>0</v>
      </c>
      <c r="I15" s="123">
        <v>2</v>
      </c>
      <c r="J15" s="123">
        <v>0</v>
      </c>
    </row>
    <row r="16" spans="1:11" ht="20.100000000000001" customHeight="1" x14ac:dyDescent="0.25">
      <c r="A16" s="17" t="str">
        <f>HYPERLINK("#'Constants - Common'!A1", "Constants - Common")</f>
        <v>Constants - Common</v>
      </c>
      <c r="D16" s="123" t="s">
        <v>154</v>
      </c>
      <c r="E16" s="123">
        <v>0</v>
      </c>
      <c r="F16" s="123">
        <v>2</v>
      </c>
      <c r="G16" s="123">
        <v>0</v>
      </c>
      <c r="H16" s="123">
        <v>2</v>
      </c>
      <c r="I16" s="123">
        <v>0</v>
      </c>
      <c r="J16" s="123">
        <v>2</v>
      </c>
    </row>
    <row r="17" spans="1:10" ht="20.100000000000001" customHeight="1" x14ac:dyDescent="0.25"/>
    <row r="18" spans="1:10" ht="20.100000000000001" customHeight="1" x14ac:dyDescent="0.25"/>
    <row r="19" spans="1:10" ht="20.100000000000001" customHeight="1" x14ac:dyDescent="0.25">
      <c r="D19" s="6" t="s">
        <v>108</v>
      </c>
    </row>
    <row r="20" spans="1:10" ht="20.100000000000001" customHeight="1" x14ac:dyDescent="0.25">
      <c r="A20" s="17"/>
    </row>
    <row r="21" spans="1:10" ht="20.100000000000001" customHeight="1" x14ac:dyDescent="0.25">
      <c r="D21" s="101" t="s">
        <v>110</v>
      </c>
      <c r="E21" s="101" t="s">
        <v>163</v>
      </c>
      <c r="F21" s="101" t="s">
        <v>123</v>
      </c>
      <c r="G21" s="101" t="s">
        <v>122</v>
      </c>
      <c r="H21" s="101" t="s">
        <v>121</v>
      </c>
      <c r="I21" s="101" t="s">
        <v>120</v>
      </c>
      <c r="J21" s="101" t="s">
        <v>161</v>
      </c>
    </row>
    <row r="22" spans="1:10" ht="20.100000000000001" customHeight="1" x14ac:dyDescent="0.25">
      <c r="D22" s="123" t="s">
        <v>141</v>
      </c>
      <c r="E22" s="123">
        <v>100</v>
      </c>
      <c r="F22" s="37" t="s">
        <v>143</v>
      </c>
      <c r="G22" s="37" t="s">
        <v>150</v>
      </c>
      <c r="H22" s="37" t="s">
        <v>156</v>
      </c>
      <c r="I22" s="37" t="s">
        <v>153</v>
      </c>
      <c r="J22" s="123">
        <v>100</v>
      </c>
    </row>
    <row r="23" spans="1:10" ht="20.100000000000001" customHeight="1" x14ac:dyDescent="0.25">
      <c r="D23" s="123" t="s">
        <v>142</v>
      </c>
      <c r="E23" s="123">
        <v>100</v>
      </c>
      <c r="F23" s="37" t="s">
        <v>151</v>
      </c>
      <c r="G23" s="37" t="s">
        <v>148</v>
      </c>
      <c r="H23" s="37" t="s">
        <v>149</v>
      </c>
      <c r="I23" s="37" t="s">
        <v>154</v>
      </c>
      <c r="J23" s="123">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7"/>
    </row>
    <row r="30" spans="1:10" ht="20.100000000000001" customHeight="1" x14ac:dyDescent="0.25">
      <c r="A30" s="17"/>
    </row>
    <row r="31" spans="1:10" ht="20.100000000000001" customHeight="1" x14ac:dyDescent="0.25">
      <c r="A31" s="57"/>
    </row>
    <row r="32" spans="1:10" ht="20.100000000000001" customHeight="1" x14ac:dyDescent="0.25">
      <c r="A32" s="57"/>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4"/>
    </row>
    <row r="38" spans="1:11" ht="20.100000000000001" customHeight="1" x14ac:dyDescent="0.25">
      <c r="C38" s="104"/>
    </row>
    <row r="39" spans="1:11" ht="20.100000000000001" customHeight="1" x14ac:dyDescent="0.25">
      <c r="A39" s="17"/>
    </row>
    <row r="40" spans="1:11" s="105" customFormat="1" ht="20.100000000000001" customHeight="1" x14ac:dyDescent="0.25">
      <c r="C40" s="1"/>
      <c r="D40" s="1"/>
      <c r="E40" s="1"/>
      <c r="F40" s="1"/>
      <c r="G40" s="1"/>
      <c r="H40" s="1"/>
      <c r="I40" s="1"/>
      <c r="J40" s="1"/>
      <c r="K40" s="1"/>
    </row>
    <row r="41" spans="1:11" s="105" customFormat="1" ht="20.100000000000001" customHeight="1" x14ac:dyDescent="0.25">
      <c r="A41" s="107"/>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13" t="str">
        <f>HYPERLINK("#A1", "▲ Back to top")</f>
        <v>▲ Back to top</v>
      </c>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91"/>
    </row>
  </sheetData>
  <conditionalFormatting sqref="J211 E212:I212">
    <cfRule type="cellIs" dxfId="11" priority="79" operator="lessThan">
      <formula>0</formula>
    </cfRule>
  </conditionalFormatting>
  <conditionalFormatting sqref="F86">
    <cfRule type="cellIs" dxfId="10" priority="62" operator="lessThan">
      <formula>0</formula>
    </cfRule>
  </conditionalFormatting>
  <conditionalFormatting sqref="F128:F129">
    <cfRule type="cellIs" dxfId="9" priority="21" operator="lessThan">
      <formula>0</formula>
    </cfRule>
  </conditionalFormatting>
  <conditionalFormatting sqref="F140:F141">
    <cfRule type="cellIs" dxfId="8" priority="20" operator="lessThan">
      <formula>0</formula>
    </cfRule>
  </conditionalFormatting>
  <conditionalFormatting sqref="F152:F153">
    <cfRule type="cellIs" dxfId="7" priority="19" operator="lessThan">
      <formula>0</formula>
    </cfRule>
  </conditionalFormatting>
  <conditionalFormatting sqref="F164:F165">
    <cfRule type="cellIs" dxfId="6" priority="18" operator="lessThan">
      <formula>0</formula>
    </cfRule>
  </conditionalFormatting>
  <conditionalFormatting sqref="F252:F253">
    <cfRule type="cellIs" dxfId="5" priority="93" operator="lessThan">
      <formula>0</formula>
    </cfRule>
  </conditionalFormatting>
  <conditionalFormatting sqref="F257:F258">
    <cfRule type="cellIs" dxfId="4" priority="92" operator="lessThan">
      <formula>0</formula>
    </cfRule>
  </conditionalFormatting>
  <conditionalFormatting sqref="F262:F263">
    <cfRule type="cellIs" dxfId="3" priority="91" operator="lessThan">
      <formula>0</formula>
    </cfRule>
  </conditionalFormatting>
  <conditionalFormatting sqref="F286:F287">
    <cfRule type="cellIs" dxfId="2" priority="85" operator="lessThan">
      <formula>0</formula>
    </cfRule>
  </conditionalFormatting>
  <conditionalFormatting sqref="F291:F292">
    <cfRule type="cellIs" dxfId="1" priority="84" operator="lessThan">
      <formula>0</formula>
    </cfRule>
  </conditionalFormatting>
  <conditionalFormatting sqref="F296:F297">
    <cfRule type="cellIs" dxfId="0" priority="83"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8" t="e" vm="1">
        <v>#VALUE!</v>
      </c>
      <c r="C1" s="8" t="s">
        <v>106</v>
      </c>
      <c r="M1"/>
    </row>
    <row r="2" spans="1:22" s="9" customFormat="1" ht="20.100000000000001" customHeight="1" x14ac:dyDescent="0.25">
      <c r="M2"/>
    </row>
    <row r="3" spans="1:22" ht="20.100000000000001" customHeight="1" x14ac:dyDescent="0.25">
      <c r="A3" s="17" t="str">
        <f>HYPERLINK("#'Home'!A1", "Home")</f>
        <v>Home</v>
      </c>
      <c r="C3" s="4"/>
      <c r="D3" s="4" t="s">
        <v>61</v>
      </c>
      <c r="E3" s="4"/>
      <c r="F3" s="4"/>
      <c r="G3" s="4"/>
      <c r="H3" s="4"/>
      <c r="I3" s="4"/>
      <c r="J3" s="4"/>
      <c r="K3" s="4"/>
      <c r="L3" s="4"/>
      <c r="N3" s="4"/>
      <c r="O3" s="4" t="s">
        <v>62</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2"/>
      <c r="F5" s="22"/>
      <c r="G5" s="22"/>
      <c r="H5" s="22"/>
    </row>
    <row r="6" spans="1:22" ht="20.100000000000001" customHeight="1" x14ac:dyDescent="0.25">
      <c r="A6" s="16"/>
      <c r="D6" s="5" t="str" cm="1">
        <f t="array" ref="D6">RiceCultivation_Equations.VEERG_7_1_1_1__3_OrganicAmendmentsScalingFactor_Source()</f>
        <v>VEERG 2026: 7.1.1.1, Equation (3)</v>
      </c>
      <c r="E6" s="22"/>
      <c r="F6" s="22"/>
      <c r="G6" s="22"/>
      <c r="H6" s="22"/>
      <c r="L6" s="22"/>
    </row>
    <row r="7" spans="1:22" ht="20.100000000000001" customHeight="1" x14ac:dyDescent="0.25">
      <c r="A7" s="20" t="s">
        <v>1</v>
      </c>
      <c r="D7" s="50" t="str" cm="1">
        <f t="array" ref="D7:D10">RiceCultivation_Equations.VEERG_7_1_1_1__3_OrganicAmendmentsScalingFactor_Variation()</f>
        <v>VARIATION ON SOURCE:</v>
      </c>
      <c r="L7" s="22"/>
    </row>
    <row r="8" spans="1:22" ht="20.100000000000001" customHeight="1" x14ac:dyDescent="0.25">
      <c r="A8" s="17" t="str">
        <f>HYPERLINK("#'Input - Site'!A1", "Site")</f>
        <v>Site</v>
      </c>
      <c r="D8" s="50" t="str">
        <v>Included inorganic fertiliser as amendment as per VEERG equation description:</v>
      </c>
      <c r="L8" s="22"/>
    </row>
    <row r="9" spans="1:22" ht="20.100000000000001" customHeight="1" x14ac:dyDescent="0.25">
      <c r="A9" s="17" t="str">
        <f>HYPERLINK("#'Input - Rice'!A1", "Rice")</f>
        <v>Rice</v>
      </c>
      <c r="D9" s="50" t="str">
        <v>Where inorganic fertiliser is applied to the rice fields rather than organic amendments, SF_o is set to 1.</v>
      </c>
      <c r="L9" s="22"/>
    </row>
    <row r="10" spans="1:22" ht="20.100000000000001" customHeight="1" x14ac:dyDescent="0.25">
      <c r="D10" s="50" t="str">
        <v>Declared each amendment separately to allow summing in Excel in one equation</v>
      </c>
    </row>
    <row r="11" spans="1:22" ht="20.100000000000001" customHeight="1" x14ac:dyDescent="0.25">
      <c r="A11" s="19" t="s">
        <v>52</v>
      </c>
      <c r="D11" s="13" t="s">
        <v>14</v>
      </c>
      <c r="E11" s="13" t="str" cm="1">
        <f t="array" aca="1" ref="E11" ca="1">Common_InputFunctions.Utility_DisplayFunctionName(E43)</f>
        <v>=RiceCultivation_Equations.VEERG_7_1_1_1__3_OrganicAmendmentsScalingFactorVariation</v>
      </c>
      <c r="F11" s="22"/>
      <c r="G11" s="22"/>
      <c r="H11" s="22"/>
      <c r="L11" s="22"/>
    </row>
    <row r="12" spans="1:22" ht="20.100000000000001" customHeight="1" x14ac:dyDescent="0.25">
      <c r="A12" s="120" t="str">
        <f>HYPERLINK("#'7.1.1-2 Rice cultivation'!A1", "7.1.1-2 Rice cultivation")</f>
        <v>7.1.1-2 Rice cultivation</v>
      </c>
      <c r="F12" s="5"/>
      <c r="G12" s="22"/>
      <c r="H12" s="22"/>
      <c r="L12" s="22"/>
    </row>
    <row r="13" spans="1:22" ht="20.100000000000001" customHeight="1" x14ac:dyDescent="0.25">
      <c r="A13" s="17"/>
      <c r="D13" s="22"/>
      <c r="E13" s="22"/>
      <c r="F13" s="22"/>
      <c r="G13" s="22"/>
      <c r="H13" s="22"/>
      <c r="L13" s="22"/>
    </row>
    <row r="14" spans="1:22" ht="20.100000000000001" customHeight="1" x14ac:dyDescent="0.25">
      <c r="A14" s="18" t="s">
        <v>2</v>
      </c>
      <c r="D14" s="48" t="s">
        <v>17</v>
      </c>
      <c r="E14" s="1" t="str" cm="1">
        <f t="array" ref="E14">RiceCultivation_Equations.VEERG_7_1_1_1__3_OrganicAmendmentsScalingFactor_Variable()</f>
        <v>SF_o</v>
      </c>
      <c r="F14" s="22"/>
      <c r="G14" s="22"/>
      <c r="H14" s="22"/>
      <c r="L14" s="22"/>
    </row>
    <row r="15" spans="1:22" ht="20.100000000000001" customHeight="1" x14ac:dyDescent="0.25">
      <c r="A15" s="17" t="str">
        <f>HYPERLINK("#'Constants - Rice cultivation'!A1", "Constants - Rice cultivation")</f>
        <v>Constants - Rice cultivation</v>
      </c>
      <c r="D15" s="48" t="s">
        <v>9</v>
      </c>
      <c r="E15" s="49" t="str" cm="1">
        <f t="array" ref="E15">RiceCultivation_Equations.VEERG_7_1_1_1__3_OrganicAmendmentsScalingFactor_Unit()</f>
        <v>dimensionless</v>
      </c>
      <c r="F15" s="6"/>
      <c r="G15" s="22"/>
      <c r="H15" s="22"/>
      <c r="L15" s="22"/>
    </row>
    <row r="16" spans="1:22" ht="20.100000000000001" customHeight="1" x14ac:dyDescent="0.25">
      <c r="A16" s="17" t="str">
        <f>HYPERLINK("#'Constants - Common'!A1", "Constants - Common")</f>
        <v>Constants - Common</v>
      </c>
      <c r="D16" s="22"/>
      <c r="E16" s="22"/>
      <c r="F16" s="22"/>
      <c r="G16" s="22"/>
    </row>
    <row r="17" spans="1:11" ht="20.100000000000001" customHeight="1" x14ac:dyDescent="0.25">
      <c r="D17" s="109" t="str" cm="1">
        <f t="array" ref="D17:E19">_xlfn.CHOOSECOLS(RiceCultivation_Equations.VEERG_7_1_1_1__3_OrganicAmendmentsScalingFactor_Arguments(), 1, 2)</f>
        <v>ROA_o</v>
      </c>
      <c r="E17" s="111" t="str">
        <v>application rate of organic amendment o</v>
      </c>
      <c r="F17" s="110"/>
      <c r="G17" s="109" t="str" cm="1">
        <f t="array" ref="G17:H19">_xlfn.CHOOSECOLS(RiceCultivation_Equations.VEERG_7_1_1_1__3_OrganicAmendmentsScalingFactor_Arguments(), 3,4)</f>
        <v>tonnes/ha</v>
      </c>
      <c r="H17" s="103" t="str">
        <v>Input</v>
      </c>
      <c r="I17" s="108" t="str" cm="1">
        <f t="array" aca="1" ref="I17" ca="1">HYPERLINK(Common_InputFunctions.Utility_SourceHyperlink($D$21),$D$21)</f>
        <v>Table_ROA_o</v>
      </c>
    </row>
    <row r="18" spans="1:11" ht="20.100000000000001" customHeight="1" x14ac:dyDescent="0.25">
      <c r="D18" s="109" t="str">
        <v>CFOA_o</v>
      </c>
      <c r="E18" s="111" t="str">
        <v>conversion factor of organic amendment o</v>
      </c>
      <c r="F18" s="110"/>
      <c r="G18" s="109" t="str">
        <v>fraction</v>
      </c>
      <c r="H18" s="102" t="str">
        <v>Constant</v>
      </c>
      <c r="I18" s="108" t="str" cm="1">
        <f t="array" aca="1" ref="I18" ca="1">HYPERLINK(Common_InputFunctions.Utility_SourceHyperlink($D$30),$D$30)</f>
        <v>Table_CFOA_o</v>
      </c>
    </row>
    <row r="19" spans="1:11" ht="20.100000000000001" customHeight="1" x14ac:dyDescent="0.25">
      <c r="D19" s="109" t="str">
        <v>o</v>
      </c>
      <c r="E19" s="111" t="str">
        <v>organic amendment type</v>
      </c>
      <c r="F19" s="110"/>
      <c r="G19" s="109" t="str">
        <v/>
      </c>
      <c r="H19" s="103" t="str">
        <v>Input</v>
      </c>
      <c r="I19" s="108" t="str" cm="1">
        <f t="array" aca="1" ref="I19" ca="1">HYPERLINK(Common_InputFunctions.Utility_SourceHyperlink($D$21),$D$21)</f>
        <v>Table_ROA_o</v>
      </c>
    </row>
    <row r="20" spans="1:11" ht="20.100000000000001" customHeight="1" x14ac:dyDescent="0.25">
      <c r="A20" s="17"/>
      <c r="D20" s="22"/>
      <c r="E20" s="22"/>
      <c r="F20" s="22"/>
      <c r="G20" s="22"/>
      <c r="H20" s="22"/>
    </row>
    <row r="21" spans="1:11" ht="20.100000000000001" customHeight="1" x14ac:dyDescent="0.25">
      <c r="D21" s="85" t="s">
        <v>137</v>
      </c>
      <c r="E21" s="22"/>
      <c r="F21" s="6"/>
      <c r="G21" s="22"/>
    </row>
    <row r="22" spans="1:11" ht="20.100000000000001" customHeight="1" x14ac:dyDescent="0.25">
      <c r="D22" s="84" t="s">
        <v>113</v>
      </c>
      <c r="E22" s="22"/>
      <c r="F22" s="22"/>
      <c r="G22" s="22"/>
      <c r="H22" s="22"/>
    </row>
    <row r="23" spans="1:11" ht="20.100000000000001" customHeight="1" x14ac:dyDescent="0.25">
      <c r="D23" s="101" t="s">
        <v>131</v>
      </c>
      <c r="E23" s="101" t="str">
        <f>'Constants - Rice cultivation'!D39</f>
        <v>Straw incorporated shortly (&lt;30 days) before cultivation</v>
      </c>
      <c r="F23" s="101" t="str">
        <f>'Constants - Rice cultivation'!D40</f>
        <v>Straw incorporated long (&gt;30 days) before cultivation</v>
      </c>
      <c r="G23" s="101" t="str">
        <f>'Constants - Rice cultivation'!D41</f>
        <v>Compost</v>
      </c>
      <c r="H23" s="101" t="str">
        <f>'Constants - Rice cultivation'!D42</f>
        <v>Farm yard manure</v>
      </c>
      <c r="I23" s="101" t="str">
        <f>'Constants - Rice cultivation'!D43</f>
        <v>Green manure</v>
      </c>
      <c r="J23" s="101" t="s">
        <v>115</v>
      </c>
    </row>
    <row r="24" spans="1:11" ht="20.100000000000001" customHeight="1" x14ac:dyDescent="0.25">
      <c r="D24" s="47" t="str" cm="1">
        <f t="array" ref="D24:D25">Table_Input_AmendmentBlends[Amendment mix name]</f>
        <v>Mix 1</v>
      </c>
      <c r="E24" s="47" cm="1">
        <f t="array" ref="E24:E25">Table_Input_AmendmentBlends[Straw added &lt; 30 days before cultivation (t/ha)]</f>
        <v>2</v>
      </c>
      <c r="F24" s="47" cm="1">
        <f t="array" ref="F24:F25">Table_Input_AmendmentBlends[Straw added 30+ days before cultivation (t/ha)]</f>
        <v>0</v>
      </c>
      <c r="G24" s="47" cm="1">
        <f t="array" ref="G24:G25">Table_Input_AmendmentBlends[Compost (t/ha)]</f>
        <v>2</v>
      </c>
      <c r="H24" s="47" cm="1">
        <f t="array" ref="H24:H25">Table_Input_AmendmentBlends[Farm yard manure (t/ha)]</f>
        <v>0</v>
      </c>
      <c r="I24" s="47" cm="1">
        <f t="array" ref="I24:I25">Table_Input_AmendmentBlends[Green manure (t/ha)]</f>
        <v>2</v>
      </c>
      <c r="J24" s="47" cm="1">
        <f t="array" ref="J24:J25">Table_Input_AmendmentBlends[Inorganic fertiliser (t/ha)]</f>
        <v>0</v>
      </c>
      <c r="K24" s="2" t="str">
        <f>G17</f>
        <v>tonnes/ha</v>
      </c>
    </row>
    <row r="25" spans="1:11" ht="20.100000000000001" customHeight="1" x14ac:dyDescent="0.25">
      <c r="D25" s="47" t="str">
        <v>Mix 2</v>
      </c>
      <c r="E25" s="47">
        <v>0</v>
      </c>
      <c r="F25" s="47">
        <v>2</v>
      </c>
      <c r="G25" s="47">
        <v>0</v>
      </c>
      <c r="H25" s="47">
        <v>2</v>
      </c>
      <c r="I25" s="47">
        <v>0</v>
      </c>
      <c r="J25" s="47">
        <v>2</v>
      </c>
    </row>
    <row r="26" spans="1:11" ht="20.100000000000001" customHeight="1" x14ac:dyDescent="0.25">
      <c r="D26" s="47"/>
      <c r="E26" s="47"/>
      <c r="F26" s="47"/>
      <c r="G26" s="47"/>
      <c r="H26" s="47"/>
      <c r="I26" s="47"/>
      <c r="J26" s="47"/>
    </row>
    <row r="27" spans="1:11" ht="20.100000000000001" customHeight="1" x14ac:dyDescent="0.25">
      <c r="D27" s="47"/>
      <c r="E27" s="47"/>
      <c r="F27" s="47"/>
      <c r="G27" s="47"/>
      <c r="H27" s="47"/>
      <c r="I27" s="47"/>
      <c r="J27" s="47"/>
    </row>
    <row r="28" spans="1:11" ht="20.100000000000001" customHeight="1" x14ac:dyDescent="0.25">
      <c r="D28" s="47"/>
      <c r="E28" s="47"/>
      <c r="F28" s="47"/>
      <c r="G28" s="47"/>
      <c r="H28" s="47"/>
      <c r="I28" s="47"/>
      <c r="J28" s="47"/>
    </row>
    <row r="29" spans="1:11" ht="20.100000000000001" customHeight="1" x14ac:dyDescent="0.25"/>
    <row r="30" spans="1:11" ht="20.100000000000001" customHeight="1" x14ac:dyDescent="0.25">
      <c r="D30" s="85" t="s">
        <v>133</v>
      </c>
    </row>
    <row r="31" spans="1:11" ht="20.100000000000001" customHeight="1" x14ac:dyDescent="0.25">
      <c r="D31" s="84" t="s">
        <v>134</v>
      </c>
    </row>
    <row r="32" spans="1:11" ht="20.100000000000001" customHeight="1" x14ac:dyDescent="0.25">
      <c r="D32" s="46" t="s">
        <v>135</v>
      </c>
      <c r="E32" s="46" t="s">
        <v>136</v>
      </c>
    </row>
    <row r="33" spans="1:6" ht="20.100000000000001" customHeight="1" x14ac:dyDescent="0.25">
      <c r="D33" s="47" t="str">
        <f>'Constants - Rice cultivation'!D39</f>
        <v>Straw incorporated shortly (&lt;30 days) before cultivation</v>
      </c>
      <c r="E33" s="47">
        <f>'Constants - Rice cultivation'!E39</f>
        <v>1</v>
      </c>
      <c r="F33" s="2" t="str">
        <f>G18</f>
        <v>fraction</v>
      </c>
    </row>
    <row r="34" spans="1:6" ht="20.100000000000001" customHeight="1" x14ac:dyDescent="0.25">
      <c r="D34" s="47" t="str">
        <f>'Constants - Rice cultivation'!D40</f>
        <v>Straw incorporated long (&gt;30 days) before cultivation</v>
      </c>
      <c r="E34" s="47">
        <f>'Constants - Rice cultivation'!E40</f>
        <v>0.19</v>
      </c>
    </row>
    <row r="35" spans="1:6" ht="20.100000000000001" customHeight="1" x14ac:dyDescent="0.25">
      <c r="D35" s="47" t="str">
        <f>'Constants - Rice cultivation'!D41</f>
        <v>Compost</v>
      </c>
      <c r="E35" s="47">
        <f>'Constants - Rice cultivation'!E41</f>
        <v>0.17</v>
      </c>
    </row>
    <row r="36" spans="1:6" ht="20.100000000000001" customHeight="1" x14ac:dyDescent="0.25">
      <c r="D36" s="47" t="str">
        <f>'Constants - Rice cultivation'!D42</f>
        <v>Farm yard manure</v>
      </c>
      <c r="E36" s="47">
        <f>'Constants - Rice cultivation'!E42</f>
        <v>0.21</v>
      </c>
    </row>
    <row r="37" spans="1:6" ht="20.100000000000001" customHeight="1" x14ac:dyDescent="0.25">
      <c r="A37" s="113"/>
      <c r="D37" s="47" t="str">
        <f>'Constants - Rice cultivation'!D43</f>
        <v>Green manure</v>
      </c>
      <c r="E37" s="47">
        <f>'Constants - Rice cultivation'!E43</f>
        <v>0.45</v>
      </c>
    </row>
    <row r="38" spans="1:6" ht="20.100000000000001" customHeight="1" x14ac:dyDescent="0.25">
      <c r="D38" s="47" t="str">
        <f>'Constants - Rice cultivation'!D44</f>
        <v>Inorganic fertiliser</v>
      </c>
      <c r="E38" s="47">
        <f>'Constants - Rice cultivation'!E44</f>
        <v>1</v>
      </c>
    </row>
    <row r="39" spans="1:6" ht="20.100000000000001" customHeight="1" x14ac:dyDescent="0.25"/>
    <row r="40" spans="1:6" ht="20.100000000000001" customHeight="1" x14ac:dyDescent="0.25">
      <c r="D40" s="85" t="s">
        <v>130</v>
      </c>
    </row>
    <row r="41" spans="1:6" ht="20.100000000000001" customHeight="1" x14ac:dyDescent="0.25">
      <c r="D41" s="84" t="s">
        <v>138</v>
      </c>
    </row>
    <row r="42" spans="1:6" ht="20.100000000000001" customHeight="1" x14ac:dyDescent="0.25">
      <c r="D42" s="46" t="s">
        <v>131</v>
      </c>
      <c r="E42" s="46" t="s">
        <v>139</v>
      </c>
    </row>
    <row r="43" spans="1:6" ht="20.100000000000001" customHeight="1" x14ac:dyDescent="0.25">
      <c r="D43" s="47" t="str" cm="1">
        <f t="array" ref="D43:D44">Table_Input_AmendmentBlends[Amendment mix name]</f>
        <v>Mix 1</v>
      </c>
      <c r="E43" s="47" cm="1">
        <f t="array" ref="E43">RiceCultivation_Equations.VEERG_7_1_1_1__3_OrganicAmendmentsScalingFactorVariation(E24, $E$33, F24, $E$34, G24, $E$35,H24,$E$36, I24,$E$37,J24,$E$38)</f>
        <v>2.3450162437672319</v>
      </c>
    </row>
    <row r="44" spans="1:6" ht="20.100000000000001" customHeight="1" x14ac:dyDescent="0.25">
      <c r="D44" s="47" t="str">
        <v>Mix 2</v>
      </c>
      <c r="E44" s="47" cm="1">
        <f t="array" ref="E44">RiceCultivation_Equations.VEERG_7_1_1_1__3_OrganicAmendmentsScalingFactorVariation(E25, $E$33, F25, $E$34, G25, $E$35,H25,$E$36, I25,$E$37,J25,$E$38)</f>
        <v>2.1982259075210928</v>
      </c>
    </row>
    <row r="45" spans="1:6" ht="20.100000000000001" customHeight="1" x14ac:dyDescent="0.25">
      <c r="D45" s="47"/>
      <c r="E45" s="47" cm="1">
        <f t="array" ref="E45">RiceCultivation_Equations.VEERG_7_1_1_1__3_OrganicAmendmentsScalingFactorVariation(E26, $E$33, F26, $E$34, G26, $E$35,H26,$E$36, I26,$E$37,J26,$E$38)</f>
        <v>1</v>
      </c>
    </row>
    <row r="46" spans="1:6" ht="20.100000000000001" customHeight="1" x14ac:dyDescent="0.25">
      <c r="D46" s="47"/>
      <c r="E46" s="47" cm="1">
        <f t="array" ref="E46">RiceCultivation_Equations.VEERG_7_1_1_1__3_OrganicAmendmentsScalingFactorVariation(E27, $E$33, F27, $E$34, G27, $E$35,H27,$E$36, I27,$E$37,J27,$E$38)</f>
        <v>1</v>
      </c>
    </row>
    <row r="47" spans="1:6" ht="20.100000000000001" customHeight="1" x14ac:dyDescent="0.25">
      <c r="A47" s="113" t="str">
        <f>HYPERLINK("#A1", "▲ Back to top")</f>
        <v>▲ Back to top</v>
      </c>
      <c r="D47" s="47"/>
      <c r="E47" s="47" cm="1">
        <f t="array" ref="E47">RiceCultivation_Equations.VEERG_7_1_1_1__3_OrganicAmendmentsScalingFactorVariation(E28, $E$33, F28, $E$34, G28, $E$35,H28,$E$36, I28,$E$37,J28,$E$38)</f>
        <v>1</v>
      </c>
    </row>
    <row r="48" spans="1:6" ht="20.100000000000001" customHeight="1" x14ac:dyDescent="0.25"/>
    <row r="49" spans="3:12" ht="20.100000000000001" customHeight="1" x14ac:dyDescent="0.25"/>
    <row r="50" spans="3:12" ht="20.100000000000001" customHeight="1" x14ac:dyDescent="0.25">
      <c r="C50" s="42"/>
      <c r="D50" s="42"/>
      <c r="E50" s="42"/>
      <c r="F50" s="42"/>
      <c r="G50" s="42"/>
      <c r="H50" s="42"/>
      <c r="I50" s="42"/>
      <c r="J50" s="42"/>
      <c r="K50" s="42"/>
      <c r="L50" s="42"/>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14</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8" t="s">
        <v>17</v>
      </c>
      <c r="E56" s="1" t="str" cm="1">
        <f t="array" ref="E56">RiceCultivation_Equations.VEERG_7_1_1_1__2_EmissionFactorForRiceCultivation_Variable()</f>
        <v>EF_ricewpo</v>
      </c>
    </row>
    <row r="57" spans="3:12" ht="20.100000000000001" customHeight="1" x14ac:dyDescent="0.25">
      <c r="D57" s="48" t="s">
        <v>9</v>
      </c>
      <c r="E57" s="49" t="str" cm="1">
        <f t="array" ref="E57">RiceCultivation_Equations.VEERG_7_1_1_1__2_EmissionFactorForRiceCultivation_Unit()</f>
        <v>kg CH4/ha/day</v>
      </c>
    </row>
    <row r="58" spans="3:12" ht="20.100000000000001" customHeight="1" x14ac:dyDescent="0.25"/>
    <row r="59" spans="3:12" ht="20.100000000000001" customHeight="1" x14ac:dyDescent="0.25">
      <c r="D59" s="109" t="str" cm="1">
        <f t="array" ref="D59:E65">_xlfn.CHOOSECOLS(RiceCultivation_Equations.VEERG_7_1_1_1__2_EmissionFactorForRiceCultivation_Arguments(),1,2)</f>
        <v>EF_c</v>
      </c>
      <c r="E59" s="111" t="str">
        <v>baseline emission factor for continuously flooded fields without organic amendments</v>
      </c>
      <c r="F59" s="112"/>
      <c r="G59" s="110"/>
      <c r="H59" s="109" t="str" cm="1">
        <f t="array" ref="H59:I65">_xlfn.CHOOSECOLS(RiceCultivation_Equations.VEERG_7_1_1_1__2_EmissionFactorForRiceCultivation_Arguments(),3,4)</f>
        <v>kg CH4/ha/day</v>
      </c>
      <c r="I59" s="102" t="str">
        <v>Constant</v>
      </c>
      <c r="J59" s="109">
        <f>'Constants - Rice cultivation'!$E$49</f>
        <v>1.19</v>
      </c>
    </row>
    <row r="60" spans="3:12" ht="20.100000000000001" customHeight="1" x14ac:dyDescent="0.25">
      <c r="D60" s="109" t="str">
        <v>SF_w</v>
      </c>
      <c r="E60" s="111" t="str">
        <v>scaling factor for water regime during the growing season</v>
      </c>
      <c r="F60" s="112"/>
      <c r="G60" s="110"/>
      <c r="H60" s="109" t="str">
        <v>fraction</v>
      </c>
      <c r="I60" s="102" t="str">
        <v>Constant</v>
      </c>
      <c r="J60" s="108" t="str" cm="1">
        <f t="array" aca="1" ref="J60" ca="1">HYPERLINK(Common_InputFunctions.Utility_SourceHyperlink($D$67), $D$67)</f>
        <v>Table_EF_rice_w_p_o</v>
      </c>
    </row>
    <row r="61" spans="3:12" ht="20.100000000000001" customHeight="1" x14ac:dyDescent="0.25">
      <c r="D61" s="109" t="str">
        <v>SF_p</v>
      </c>
      <c r="E61" s="111" t="str">
        <v>scaling factor for water regime in the pre-season</v>
      </c>
      <c r="F61" s="112"/>
      <c r="G61" s="110"/>
      <c r="H61" s="109" t="str">
        <v>fraction</v>
      </c>
      <c r="I61" s="102" t="str">
        <v>Constant</v>
      </c>
      <c r="J61" s="108" t="str" cm="1">
        <f t="array" aca="1" ref="J61" ca="1">HYPERLINK(Common_InputFunctions.Utility_SourceHyperlink($D$67), $D$67)</f>
        <v>Table_EF_rice_w_p_o</v>
      </c>
    </row>
    <row r="62" spans="3:12" ht="20.100000000000001" customHeight="1" x14ac:dyDescent="0.25">
      <c r="D62" s="109" t="str">
        <v>SF_o</v>
      </c>
      <c r="E62" s="111" t="str">
        <v>scaling factor for type and amount of organic amendments</v>
      </c>
      <c r="F62" s="112"/>
      <c r="G62" s="110"/>
      <c r="H62" s="109" t="str">
        <v>fraction</v>
      </c>
      <c r="I62" s="102" t="str">
        <v>Calculated from 7.1.1.1, (3)</v>
      </c>
      <c r="J62" s="108" t="str" cm="1">
        <f t="array" aca="1" ref="J62" ca="1">HYPERLINK(Common_InputFunctions.Utility_SourceHyperlink($D$67), $D$67)</f>
        <v>Table_EF_rice_w_p_o</v>
      </c>
    </row>
    <row r="63" spans="3:12" ht="20.100000000000001" customHeight="1" x14ac:dyDescent="0.25">
      <c r="D63" s="109" t="str">
        <v>w</v>
      </c>
      <c r="E63" s="111" t="str">
        <v>water regime during growing season</v>
      </c>
      <c r="F63" s="112"/>
      <c r="G63" s="110"/>
      <c r="H63" s="109" t="str">
        <v/>
      </c>
      <c r="I63" s="103" t="str">
        <v>Input</v>
      </c>
      <c r="J63" s="108" t="str" cm="1">
        <f t="array" aca="1" ref="J63" ca="1">HYPERLINK(Common_InputFunctions.Utility_SourceHyperlink($D$67), $D$67)</f>
        <v>Table_EF_rice_w_p_o</v>
      </c>
      <c r="L63" s="22"/>
    </row>
    <row r="64" spans="3:12" ht="20.100000000000001" customHeight="1" x14ac:dyDescent="0.25">
      <c r="D64" s="109" t="str">
        <v>p</v>
      </c>
      <c r="E64" s="111" t="str">
        <v>pre-season water regime</v>
      </c>
      <c r="F64" s="112"/>
      <c r="G64" s="110"/>
      <c r="H64" s="109" t="str">
        <v/>
      </c>
      <c r="I64" s="103" t="str">
        <v>Input</v>
      </c>
      <c r="J64" s="108" t="str" cm="1">
        <f t="array" aca="1" ref="J64" ca="1">HYPERLINK(Common_InputFunctions.Utility_SourceHyperlink($D$67), $D$67)</f>
        <v>Table_EF_rice_w_p_o</v>
      </c>
      <c r="L64" s="22"/>
    </row>
    <row r="65" spans="3:12" ht="20.100000000000001" customHeight="1" x14ac:dyDescent="0.25">
      <c r="D65" s="109" t="str">
        <v>o</v>
      </c>
      <c r="E65" s="111" t="str">
        <v>organic amendment</v>
      </c>
      <c r="F65" s="112"/>
      <c r="G65" s="110"/>
      <c r="H65" s="109" t="str">
        <v/>
      </c>
      <c r="I65" s="103" t="str">
        <v>Input</v>
      </c>
      <c r="J65" s="108" t="str" cm="1">
        <f t="array" aca="1" ref="J65" ca="1">HYPERLINK(Common_InputFunctions.Utility_SourceHyperlink($D$67), $D$67)</f>
        <v>Table_EF_rice_w_p_o</v>
      </c>
    </row>
    <row r="66" spans="3:12" ht="20.100000000000001" customHeight="1" x14ac:dyDescent="0.25"/>
    <row r="67" spans="3:12" ht="20.100000000000001" customHeight="1" x14ac:dyDescent="0.25">
      <c r="D67" s="85" t="s">
        <v>159</v>
      </c>
    </row>
    <row r="68" spans="3:12" ht="20.100000000000001" customHeight="1" x14ac:dyDescent="0.25">
      <c r="D68" s="84" t="s">
        <v>160</v>
      </c>
    </row>
    <row r="69" spans="3:12" ht="20.100000000000001" customHeight="1" x14ac:dyDescent="0.25">
      <c r="D69" s="101" t="s">
        <v>140</v>
      </c>
      <c r="E69" s="101" t="s">
        <v>111</v>
      </c>
      <c r="F69" s="101" t="s">
        <v>112</v>
      </c>
      <c r="G69" s="101" t="s">
        <v>131</v>
      </c>
      <c r="H69" s="46" t="s">
        <v>139</v>
      </c>
      <c r="I69" s="46" t="s">
        <v>127</v>
      </c>
      <c r="J69" s="46" t="s">
        <v>125</v>
      </c>
      <c r="K69" s="46" t="s">
        <v>155</v>
      </c>
    </row>
    <row r="70" spans="3:12" ht="20.100000000000001" customHeight="1" x14ac:dyDescent="0.25">
      <c r="D70" s="47" t="str" cm="1">
        <f t="array" ref="D70:D71">Table_Input_Regimes[Regime name]</f>
        <v>Regime 1</v>
      </c>
      <c r="E70" s="47" t="str" cm="1">
        <f t="array" ref="E70:E71">Table_Input_Regimes[Pre-cultivation water regime (select)]</f>
        <v>Non flooded pre-season &lt;180 days</v>
      </c>
      <c r="F70" s="47" t="str" cm="1">
        <f t="array" ref="F70:F71">Table_Input_Regimes[Water regime sub-type (select)]</f>
        <v>Drought prone</v>
      </c>
      <c r="G70" s="47" t="str" cm="1">
        <f t="array" ref="G70:G71">Table_Input_Regimes[Amendment blend (select)]</f>
        <v>Mix 1</v>
      </c>
      <c r="H70" s="47" cm="1">
        <f t="array" ref="H70">Common_InputFunctions.Utility_LookupValueInTableNumber(G70,$D$43:$D$47,$E$43:$E$47)</f>
        <v>2.3450162437672319</v>
      </c>
      <c r="I70" s="47" cm="1">
        <f t="array" ref="I70">Common_InputFunctions.Utility_LookupValueInTableNumber(E70,Table_SourceData_WaterScalingFactorPreSeason[Water regime prior to cultivation],Table_SourceData_WaterScalingFactorPreSeason[SFp])</f>
        <v>1</v>
      </c>
      <c r="J70" s="47" cm="1">
        <f t="array" ref="J70">Common_InputFunctions.Utility_LookupValueInTableNumber(F70,Table_SourceData_WaterScalingFactorGrowingSeason[Water regime sub-type],Table_SourceData_WaterScalingFactorGrowingSeason[SFw])</f>
        <v>0.16</v>
      </c>
      <c r="K70" s="47" cm="1">
        <f t="array" ref="K70">RiceCultivation_Equations.VEERG_7_1_1_1__2_EmissionFactorForRiceCultivation($J$59,J70,I70,H70)</f>
        <v>0.44649109281328092</v>
      </c>
    </row>
    <row r="71" spans="3:12" ht="20.100000000000001" customHeight="1" x14ac:dyDescent="0.25">
      <c r="D71" s="47" t="str">
        <v>Regime 2</v>
      </c>
      <c r="E71" s="47" t="str">
        <v>Flooded pre-season &gt;30 days</v>
      </c>
      <c r="F71" s="47" t="str">
        <v>Single drainage period</v>
      </c>
      <c r="G71" s="47" t="str">
        <v>Mix 2</v>
      </c>
      <c r="H71" s="47" cm="1">
        <f t="array" ref="H71">Common_InputFunctions.Utility_LookupValueInTableNumber(G71,$D$43:$D$47,$E$43:$E$47)</f>
        <v>2.1982259075210928</v>
      </c>
      <c r="I71" s="47" cm="1">
        <f t="array" ref="I71">Common_InputFunctions.Utility_LookupValueInTableNumber(E71,Table_SourceData_WaterScalingFactorPreSeason[Water regime prior to cultivation],Table_SourceData_WaterScalingFactorPreSeason[SFp])</f>
        <v>2.41</v>
      </c>
      <c r="J71" s="47" cm="1">
        <f t="array" ref="J71">Common_InputFunctions.Utility_LookupValueInTableNumber(F71,Table_SourceData_WaterScalingFactorGrowingSeason[Water regime sub-type],Table_SourceData_WaterScalingFactorGrowingSeason[SFw])</f>
        <v>0.71</v>
      </c>
      <c r="K71" s="47" cm="1">
        <f t="array" ref="K71">RiceCultivation_Equations.VEERG_7_1_1_1__2_EmissionFactorForRiceCultivation($J$59,J71,I71,H71)</f>
        <v>4.4760473769276166</v>
      </c>
    </row>
    <row r="72" spans="3:12" ht="20.100000000000001" customHeight="1" x14ac:dyDescent="0.25">
      <c r="D72" s="47"/>
      <c r="E72" s="47"/>
      <c r="F72" s="47"/>
      <c r="G72" s="47"/>
      <c r="H72" s="47" cm="1">
        <f t="array" ref="H72">Common_InputFunctions.Utility_LookupValueInTableNumber(G72,$D$43:$D$47,$E$43:$E$47)</f>
        <v>1</v>
      </c>
      <c r="I72" s="47" cm="1">
        <f t="array" ref="I72">Common_InputFunctions.Utility_LookupValueInTableNumber(E72,Table_SourceData_WaterScalingFactorPreSeason[Water regime prior to cultivation],Table_SourceData_WaterScalingFactorPreSeason[SFp])</f>
        <v>0</v>
      </c>
      <c r="J72" s="47" cm="1">
        <f t="array" ref="J72">Common_InputFunctions.Utility_LookupValueInTableNumber(F72,Table_SourceData_WaterScalingFactorGrowingSeason[Water regime sub-type],Table_SourceData_WaterScalingFactorGrowingSeason[SFw])</f>
        <v>0</v>
      </c>
      <c r="K72" s="47" cm="1">
        <f t="array" ref="K72">RiceCultivation_Equations.VEERG_7_1_1_1__2_EmissionFactorForRiceCultivation($J$59,J72,I72,H72)</f>
        <v>0</v>
      </c>
    </row>
    <row r="73" spans="3:12" ht="20.100000000000001" customHeight="1" x14ac:dyDescent="0.25">
      <c r="D73" s="47"/>
      <c r="E73" s="47"/>
      <c r="F73" s="47"/>
      <c r="G73" s="47"/>
      <c r="H73" s="47" cm="1">
        <f t="array" ref="H73">Common_InputFunctions.Utility_LookupValueInTableNumber(G73,$D$43:$D$47,$E$43:$E$47)</f>
        <v>1</v>
      </c>
      <c r="I73" s="47" cm="1">
        <f t="array" ref="I73">Common_InputFunctions.Utility_LookupValueInTableNumber(E73,Table_SourceData_WaterScalingFactorPreSeason[Water regime prior to cultivation],Table_SourceData_WaterScalingFactorPreSeason[SFp])</f>
        <v>0</v>
      </c>
      <c r="J73" s="47" cm="1">
        <f t="array" ref="J73">Common_InputFunctions.Utility_LookupValueInTableNumber(F73,Table_SourceData_WaterScalingFactorGrowingSeason[Water regime sub-type],Table_SourceData_WaterScalingFactorGrowingSeason[SFw])</f>
        <v>0</v>
      </c>
      <c r="K73" s="47" cm="1">
        <f t="array" ref="K73">RiceCultivation_Equations.VEERG_7_1_1_1__2_EmissionFactorForRiceCultivation($J$59,J73,I73,H73)</f>
        <v>0</v>
      </c>
    </row>
    <row r="74" spans="3:12" ht="20.100000000000001" customHeight="1" x14ac:dyDescent="0.25">
      <c r="D74" s="47"/>
      <c r="E74" s="47"/>
      <c r="F74" s="47"/>
      <c r="G74" s="47"/>
      <c r="H74" s="47" cm="1">
        <f t="array" ref="H74">Common_InputFunctions.Utility_LookupValueInTableNumber(G74,$D$43:$D$47,$E$43:$E$47)</f>
        <v>1</v>
      </c>
      <c r="I74" s="47" cm="1">
        <f t="array" ref="I74">Common_InputFunctions.Utility_LookupValueInTableNumber(E74,Table_SourceData_WaterScalingFactorPreSeason[Water regime prior to cultivation],Table_SourceData_WaterScalingFactorPreSeason[SFp])</f>
        <v>0</v>
      </c>
      <c r="J74" s="47" cm="1">
        <f t="array" ref="J74">Common_InputFunctions.Utility_LookupValueInTableNumber(F74,Table_SourceData_WaterScalingFactorGrowingSeason[Water regime sub-type],Table_SourceData_WaterScalingFactorGrowingSeason[SFw])</f>
        <v>0</v>
      </c>
      <c r="K74" s="47"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2"/>
      <c r="D77" s="42"/>
      <c r="E77" s="42"/>
      <c r="F77" s="42"/>
      <c r="G77" s="42"/>
      <c r="H77" s="42"/>
      <c r="I77" s="42"/>
      <c r="J77" s="42"/>
      <c r="K77" s="42"/>
      <c r="L77" s="42"/>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50"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1:10" ht="20.100000000000001" customHeight="1" x14ac:dyDescent="0.25">
      <c r="D81" s="13" t="s">
        <v>14</v>
      </c>
      <c r="E81" s="13" t="str" cm="1">
        <f t="array" aca="1" ref="E81" ca="1">Common_InputFunctions.Utility_DisplayFunctionName(G96)</f>
        <v>=RiceCultivation_Equations.VEERG_7_1_1_1__1_MethaneEmissionsFromRiceCultivation</v>
      </c>
    </row>
    <row r="82" spans="1:10" ht="20.100000000000001" customHeight="1" x14ac:dyDescent="0.25"/>
    <row r="83" spans="1:10" ht="20.100000000000001" customHeight="1" x14ac:dyDescent="0.25">
      <c r="A83" s="113" t="str">
        <f>HYPERLINK("#A1", "▲ Back to top")</f>
        <v>▲ Back to top</v>
      </c>
    </row>
    <row r="84" spans="1:10" ht="20.100000000000001" customHeight="1" x14ac:dyDescent="0.25"/>
    <row r="85" spans="1:10" ht="20.100000000000001" customHeight="1" x14ac:dyDescent="0.25">
      <c r="D85" s="48" t="s">
        <v>17</v>
      </c>
      <c r="E85" s="1" t="str" cm="1">
        <f t="array" ref="E85">RiceCultivation_Equations.VEERG_7_1_1_1__1_MethaneEmissionsFromRiceCultivation_Variable()</f>
        <v>E_rice</v>
      </c>
    </row>
    <row r="86" spans="1:10" ht="20.100000000000001" customHeight="1" x14ac:dyDescent="0.25">
      <c r="D86" s="48" t="s">
        <v>9</v>
      </c>
      <c r="E86" s="49" t="str" cm="1">
        <f t="array" ref="E86">RiceCultivation_Equations.VEERG_7_1_1_1__1_MethaneEmissionsFromRiceCultivation_Unit()</f>
        <v>t CH4</v>
      </c>
    </row>
    <row r="87" spans="1:10" ht="20.100000000000001" customHeight="1" x14ac:dyDescent="0.25"/>
    <row r="88" spans="1:10" ht="20.100000000000001" customHeight="1" x14ac:dyDescent="0.25">
      <c r="D88" s="109" t="str" cm="1">
        <f t="array" ref="D88:E91">_xlfn.CHOOSECOLS(RiceCultivation_Equations.VEERG_7_1_1_1__1_MethaneEmissionsFromRiceCultivation_Arguments(),1,2)</f>
        <v>A_ricewpo</v>
      </c>
      <c r="E88" s="111" t="str">
        <v>annual area of rice cultivation under water regime w, pre-season water regime p, and organic amendment condition o</v>
      </c>
      <c r="F88" s="112"/>
      <c r="G88" s="110"/>
      <c r="H88" s="109" t="str" cm="1">
        <f t="array" ref="H88:I91">_xlfn.CHOOSECOLS(RiceCultivation_Equations.VEERG_7_1_1_1__1_MethaneEmissionsFromRiceCultivation_Arguments(),3,4)</f>
        <v>ha</v>
      </c>
      <c r="I88" s="103" t="str">
        <v>Input</v>
      </c>
      <c r="J88" s="108" t="str" cm="1">
        <f t="array" aca="1" ref="J88" ca="1">HYPERLINK(Common_InputFunctions.Utility_SourceHyperlink($D$93), $D$93)</f>
        <v>Table_E_rice</v>
      </c>
    </row>
    <row r="89" spans="1:10" ht="20.100000000000001" customHeight="1" x14ac:dyDescent="0.25">
      <c r="D89" s="109" t="str">
        <v>EF_ricewpo</v>
      </c>
      <c r="E89" s="111" t="str">
        <v>emission factor for rice cultivation under conditions w, p, and o</v>
      </c>
      <c r="F89" s="112"/>
      <c r="G89" s="110"/>
      <c r="H89" s="109" t="str">
        <v>kg CH4/ha/day</v>
      </c>
      <c r="I89" s="102" t="str">
        <v>Calculated from 7.1.1.1, (2)</v>
      </c>
      <c r="J89" s="108" t="str" cm="1">
        <f t="array" aca="1" ref="J89" ca="1">HYPERLINK(Common_InputFunctions.Utility_SourceHyperlink($D$67),$D$67)</f>
        <v>Table_EF_rice_w_p_o</v>
      </c>
    </row>
    <row r="90" spans="1:10" ht="20.100000000000001" customHeight="1" x14ac:dyDescent="0.25">
      <c r="D90" s="109" t="str">
        <v>t_ricewpo</v>
      </c>
      <c r="E90" s="111" t="str">
        <v>cultivation period for rice under conditions w, p, and o</v>
      </c>
      <c r="F90" s="112"/>
      <c r="G90" s="110"/>
      <c r="H90" s="109" t="str">
        <v>days</v>
      </c>
      <c r="I90" s="103" t="str">
        <v>Input</v>
      </c>
      <c r="J90" s="108" t="str" cm="1">
        <f t="array" aca="1" ref="J90" ca="1">HYPERLINK(Common_InputFunctions.Utility_SourceHyperlink($D$93), $D$93)</f>
        <v>Table_E_rice</v>
      </c>
    </row>
    <row r="91" spans="1:10" ht="20.100000000000001" customHeight="1" x14ac:dyDescent="0.25">
      <c r="D91" s="109" t="str">
        <v>s</v>
      </c>
      <c r="E91" s="111" t="str">
        <v>number of cropping seasons in reporting period managed this way</v>
      </c>
      <c r="F91" s="112"/>
      <c r="G91" s="110"/>
      <c r="H91" s="109" t="str">
        <v>seasons</v>
      </c>
      <c r="I91" s="103" t="str">
        <v>Input</v>
      </c>
      <c r="J91" s="109">
        <f>'Input - Rice'!E10</f>
        <v>2</v>
      </c>
    </row>
    <row r="92" spans="1:10" ht="20.100000000000001" customHeight="1" x14ac:dyDescent="0.25"/>
    <row r="93" spans="1:10" ht="20.100000000000001" customHeight="1" x14ac:dyDescent="0.25">
      <c r="D93" s="85" t="s">
        <v>166</v>
      </c>
    </row>
    <row r="94" spans="1:10" ht="20.100000000000001" customHeight="1" x14ac:dyDescent="0.25">
      <c r="D94" s="84" t="s">
        <v>167</v>
      </c>
    </row>
    <row r="95" spans="1:10" ht="20.100000000000001" customHeight="1" x14ac:dyDescent="0.25">
      <c r="D95" s="101" t="s">
        <v>140</v>
      </c>
      <c r="E95" s="101" t="s">
        <v>164</v>
      </c>
      <c r="F95" s="101" t="s">
        <v>165</v>
      </c>
      <c r="G95" s="46" t="s">
        <v>162</v>
      </c>
    </row>
    <row r="96" spans="1:10" ht="20.100000000000001" customHeight="1" x14ac:dyDescent="0.25">
      <c r="D96" s="47" t="str" cm="1">
        <f t="array" ref="D96:D97">Table_Input_Regimes[Regime name]</f>
        <v>Regime 1</v>
      </c>
      <c r="E96" s="47" cm="1">
        <f t="array" ref="E96:E97">Table_Input_Regimes[Area under cultivation (hectares)]*J91</f>
        <v>200</v>
      </c>
      <c r="F96" s="47" cm="1">
        <f t="array" ref="F96:F97">Table_Input_Regimes[Cultivation period (days)]</f>
        <v>100</v>
      </c>
      <c r="G96" s="47" cm="1">
        <f t="array" ref="G96">RiceCultivation_Equations.VEERG_7_1_1_1__1_MethaneEmissionsFromRiceCultivation(E96,K70,F96)</f>
        <v>8.9298218562656189</v>
      </c>
      <c r="H96" s="2" t="str">
        <f>E86</f>
        <v>t CH4</v>
      </c>
    </row>
    <row r="97" spans="4:12" ht="20.100000000000001" customHeight="1" x14ac:dyDescent="0.25">
      <c r="D97" s="47" t="str">
        <v>Regime 2</v>
      </c>
      <c r="E97" s="47">
        <v>200</v>
      </c>
      <c r="F97" s="47">
        <v>100</v>
      </c>
      <c r="G97" s="47" cm="1">
        <f t="array" ref="G97">RiceCultivation_Equations.VEERG_7_1_1_1__1_MethaneEmissionsFromRiceCultivation(E97,K71,F97)</f>
        <v>89.520947538552321</v>
      </c>
    </row>
    <row r="98" spans="4:12" ht="20.100000000000001" customHeight="1" x14ac:dyDescent="0.25">
      <c r="D98" s="47"/>
      <c r="E98" s="47"/>
      <c r="F98" s="47"/>
      <c r="G98" s="47" cm="1">
        <f t="array" ref="G98">RiceCultivation_Equations.VEERG_7_1_1_1__1_MethaneEmissionsFromRiceCultivation(E98,K72,F98)</f>
        <v>0</v>
      </c>
    </row>
    <row r="99" spans="4:12" ht="20.100000000000001" customHeight="1" x14ac:dyDescent="0.25">
      <c r="D99" s="47"/>
      <c r="E99" s="47"/>
      <c r="F99" s="47"/>
      <c r="G99" s="47" cm="1">
        <f t="array" ref="G99">RiceCultivation_Equations.VEERG_7_1_1_1__1_MethaneEmissionsFromRiceCultivation(E99,K73,F99)</f>
        <v>0</v>
      </c>
    </row>
    <row r="100" spans="4:12" ht="20.100000000000001" customHeight="1" x14ac:dyDescent="0.25">
      <c r="D100" s="47"/>
      <c r="E100" s="47"/>
      <c r="F100" s="47"/>
      <c r="G100" s="47" cm="1">
        <f t="array" ref="G100">RiceCultivation_Equations.VEERG_7_1_1_1__1_MethaneEmissionsFromRiceCultivation(E100,K74,F100)</f>
        <v>0</v>
      </c>
    </row>
    <row r="101" spans="4:12" ht="20.100000000000001" customHeight="1" x14ac:dyDescent="0.25"/>
    <row r="102" spans="4:12" ht="20.100000000000001" customHeight="1" x14ac:dyDescent="0.25">
      <c r="D102" s="86" t="s">
        <v>88</v>
      </c>
      <c r="E102" s="87">
        <f>SUM(G96:G100)</f>
        <v>98.450769394817939</v>
      </c>
      <c r="F102" s="88" t="str">
        <f>E86</f>
        <v>t CH4</v>
      </c>
    </row>
    <row r="103" spans="4:12" ht="20.100000000000001" customHeight="1" x14ac:dyDescent="0.25"/>
    <row r="104" spans="4:12" ht="20.100000000000001" customHeight="1" x14ac:dyDescent="0.25">
      <c r="D104" s="51" t="str" cm="1">
        <f t="array" ref="D104:E105">Common_Equations.Common_ConvertCH4ToCO2e_Arguments()</f>
        <v>ECH4</v>
      </c>
      <c r="E104" s="52" t="str">
        <v>Methane emissions (t CH4)</v>
      </c>
      <c r="F104" s="89"/>
      <c r="G104" s="47">
        <f>E102</f>
        <v>98.450769394817939</v>
      </c>
    </row>
    <row r="105" spans="4:12" ht="20.100000000000001" customHeight="1" x14ac:dyDescent="0.25">
      <c r="D105" s="51" t="str">
        <v>GWPCH4</v>
      </c>
      <c r="E105" s="52" t="str">
        <v>Global warming potential for methane (t CO2-e / t CH4)</v>
      </c>
      <c r="F105" s="89"/>
      <c r="G105" s="47">
        <f>Common_InputFunctions.Utility_LookupValueInTableNumber("CH4",Table_GWPData[Gas],Table_GWPData[CO2-e factor])</f>
        <v>28</v>
      </c>
    </row>
    <row r="106" spans="4:12" ht="20.100000000000001" customHeight="1" x14ac:dyDescent="0.25"/>
    <row r="107" spans="4:12" ht="20.100000000000001" customHeight="1" x14ac:dyDescent="0.25">
      <c r="D107" s="42" t="s">
        <v>60</v>
      </c>
      <c r="E107" s="42" cm="1">
        <f t="array" ref="E107">Common_Equations.Common_ConvertN2OToCO2e(G104,G105)</f>
        <v>2756.6215430549023</v>
      </c>
      <c r="F107" s="90" t="str" cm="1">
        <f t="array" ref="F107">Common_Equations.Common_ConvertN2OToCO2e_Unit()</f>
        <v>t CO2e</v>
      </c>
    </row>
    <row r="108" spans="4:12" ht="20.100000000000001" customHeight="1" x14ac:dyDescent="0.25"/>
    <row r="109" spans="4:12" ht="20.100000000000001" customHeight="1" x14ac:dyDescent="0.25">
      <c r="D109" s="22"/>
      <c r="E109" s="22"/>
      <c r="F109" s="22"/>
      <c r="G109" s="22"/>
      <c r="H109" s="22"/>
    </row>
    <row r="110" spans="4:12" ht="20.100000000000001" customHeight="1" x14ac:dyDescent="0.25"/>
    <row r="111" spans="4:12" ht="20.100000000000001" customHeight="1" x14ac:dyDescent="0.25"/>
    <row r="112" spans="4:12" ht="20.100000000000001" customHeight="1" x14ac:dyDescent="0.25">
      <c r="H112" s="22"/>
      <c r="L112" s="22"/>
    </row>
    <row r="113" spans="4:12" ht="20.100000000000001" customHeight="1" x14ac:dyDescent="0.25">
      <c r="L113" s="22"/>
    </row>
    <row r="114" spans="4:12" ht="20.100000000000001" customHeight="1" x14ac:dyDescent="0.25">
      <c r="H114" s="22"/>
      <c r="L114" s="22"/>
    </row>
    <row r="115" spans="4:12" ht="20.100000000000001" customHeight="1" x14ac:dyDescent="0.25">
      <c r="H115" s="22"/>
      <c r="L115" s="22"/>
    </row>
    <row r="116" spans="4:12" ht="20.100000000000001" customHeight="1" x14ac:dyDescent="0.25">
      <c r="D116" s="22"/>
      <c r="E116" s="22"/>
      <c r="F116" s="96"/>
      <c r="G116" s="22"/>
      <c r="H116" s="22"/>
      <c r="I116" s="22"/>
      <c r="J116" s="22"/>
      <c r="K116" s="22"/>
      <c r="L116" s="22"/>
    </row>
    <row r="117" spans="4:12" ht="20.100000000000001" customHeight="1" x14ac:dyDescent="0.25">
      <c r="L117" s="22"/>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124</v>
      </c>
      <c r="AG1"/>
      <c r="AH1"/>
      <c r="AI1"/>
    </row>
    <row r="2" spans="1:35" s="9" customFormat="1" ht="20.100000000000001" customHeight="1" x14ac:dyDescent="0.25">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A6" s="16"/>
      <c r="D6" s="5" t="str" cm="1">
        <f t="array" ref="D6">RiceCultivation_SourceData.SourceData_RiceCultivation_WaterScalingFactorGrowingSeason_Source()</f>
        <v>VEERG 2026: Table A.2.3.1</v>
      </c>
    </row>
    <row r="7" spans="1:35" ht="20.100000000000001" customHeight="1" x14ac:dyDescent="0.25">
      <c r="A7" s="20" t="s">
        <v>1</v>
      </c>
      <c r="D7" s="1" t="str" cm="1">
        <f t="array" ref="D7">RiceCultivation_SourceData.SourceData_RiceCultivation_WaterScalingFactorGrowingSeason_Variable()</f>
        <v>SFw</v>
      </c>
      <c r="AG7" s="1"/>
      <c r="AH7" s="1"/>
      <c r="AI7" s="1"/>
    </row>
    <row r="8" spans="1:35" ht="20.100000000000001" customHeight="1" x14ac:dyDescent="0.25">
      <c r="A8" s="17" t="str">
        <f>HYPERLINK("#'Input - Site'!A1", "Site")</f>
        <v>Site</v>
      </c>
      <c r="D8" s="49" t="str" cm="1">
        <f t="array" ref="D8">RiceCultivation_SourceData.SourceData_RiceCultivation_WaterScalingFactorGrowingSeason_Unit()</f>
        <v>fraction</v>
      </c>
      <c r="H8" s="1" t="s">
        <v>144</v>
      </c>
      <c r="J8" s="1" t="s">
        <v>145</v>
      </c>
      <c r="L8" s="1" t="s">
        <v>146</v>
      </c>
      <c r="AG8" s="1"/>
      <c r="AH8" s="1"/>
      <c r="AI8" s="1"/>
    </row>
    <row r="9" spans="1:35" ht="20.100000000000001" customHeight="1" x14ac:dyDescent="0.25">
      <c r="A9" s="17" t="str">
        <f>HYPERLINK("#'Input - Rice'!A1", "Rice")</f>
        <v>Rice</v>
      </c>
      <c r="D9" s="123" t="s">
        <v>109</v>
      </c>
      <c r="E9" s="123" t="s">
        <v>112</v>
      </c>
      <c r="F9" s="123" t="s">
        <v>125</v>
      </c>
      <c r="H9" s="123" t="s">
        <v>147</v>
      </c>
      <c r="J9" s="123" t="s">
        <v>147</v>
      </c>
      <c r="L9" s="123" t="s">
        <v>147</v>
      </c>
      <c r="AG9" s="1"/>
      <c r="AH9" s="1"/>
      <c r="AI9" s="1"/>
    </row>
    <row r="10" spans="1:35" ht="20.100000000000001" customHeight="1" x14ac:dyDescent="0.25">
      <c r="D10" s="123" t="str" cm="1">
        <f t="array" ref="D10">Common_InputFunctions.Utility_DisplayArrayInTable(RiceCultivation_SourceData.SourceData_RiceCultivation_WaterScalingFactorGrowingSeason_Data(),Table_SourceData_WaterScalingFactorGrowingSeason[[#Headers],[Water regime type]],0)</f>
        <v>Upland</v>
      </c>
      <c r="E10" s="123" t="str" cm="1">
        <f t="array" ref="E10">Common_InputFunctions.Utility_DisplayArrayInTable(RiceCultivation_SourceData.SourceData_RiceCultivation_WaterScalingFactorGrowingSeason_Data(),Table_SourceData_WaterScalingFactorGrowingSeason[[#Headers],[Water regime type]],0)</f>
        <v>Paddy rotation</v>
      </c>
      <c r="F10" s="123" cm="1">
        <f t="array" ref="F10">Common_InputFunctions.Utility_DisplayArrayInTable(RiceCultivation_SourceData.SourceData_RiceCultivation_WaterScalingFactorGrowingSeason_Data(),Table_SourceData_WaterScalingFactorGrowingSeason[[#Headers],[Water regime type]],0)</f>
        <v>0</v>
      </c>
      <c r="H10" s="123" t="str">
        <f>E10</f>
        <v>Paddy rotation</v>
      </c>
      <c r="J10" s="123" t="str">
        <f>E12</f>
        <v>Continuously flooded</v>
      </c>
      <c r="L10" s="123" t="str">
        <f>E15</f>
        <v>Regular rainfed</v>
      </c>
      <c r="AG10" s="1"/>
      <c r="AH10" s="1"/>
      <c r="AI10" s="1"/>
    </row>
    <row r="11" spans="1:35" ht="20.100000000000001" customHeight="1" x14ac:dyDescent="0.25">
      <c r="A11" s="19" t="s">
        <v>52</v>
      </c>
      <c r="D11" s="1" t="str" cm="1">
        <f t="array" ref="D11">Common_InputFunctions.Utility_DisplayArrayInTable(RiceCultivation_SourceData.SourceData_RiceCultivation_WaterScalingFactorGrowingSeason_Data(),Table_SourceData_WaterScalingFactorGrowingSeason[[#Headers],[Water regime type]],0)</f>
        <v>Upland</v>
      </c>
      <c r="E11" s="35"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5" cm="1">
        <f t="array" ref="F11">Common_InputFunctions.Utility_DisplayArrayInTable(RiceCultivation_SourceData.SourceData_RiceCultivation_WaterScalingFactorGrowingSeason_Data(),Table_SourceData_WaterScalingFactorGrowingSeason[[#Headers],[Water regime type]],0)</f>
        <v>0</v>
      </c>
      <c r="H11" s="123" t="str">
        <f>E11</f>
        <v>Fallow without flooding in previous year</v>
      </c>
      <c r="J11" s="123" t="str">
        <f>E13</f>
        <v>Single drainage period</v>
      </c>
      <c r="L11" s="123" t="str">
        <f>E16</f>
        <v>Drought prone</v>
      </c>
    </row>
    <row r="12" spans="1:35" ht="20.100000000000001" customHeight="1" x14ac:dyDescent="0.25">
      <c r="A12" s="17" t="str">
        <f>HYPERLINK("#'7.1.1-2 Rice cultivation'!A1", "7.1.1-2 Rice cultivation")</f>
        <v>7.1.1-2 Rice cultivation</v>
      </c>
      <c r="D12" s="1" t="str" cm="1">
        <f t="array" ref="D12">Common_InputFunctions.Utility_DisplayArrayInTable(RiceCultivation_SourceData.SourceData_RiceCultivation_WaterScalingFactorGrowingSeason_Data(),Table_SourceData_WaterScalingFactorGrowingSeason[[#Headers],[Water regime type]],0)</f>
        <v>Irrigated</v>
      </c>
      <c r="E12" s="35" t="str" cm="1">
        <f t="array" ref="E12">Common_InputFunctions.Utility_DisplayArrayInTable(RiceCultivation_SourceData.SourceData_RiceCultivation_WaterScalingFactorGrowingSeason_Data(),Table_SourceData_WaterScalingFactorGrowingSeason[[#Headers],[Water regime type]],0)</f>
        <v>Continuously flooded</v>
      </c>
      <c r="F12" s="35" cm="1">
        <f t="array" ref="F12">Common_InputFunctions.Utility_DisplayArrayInTable(RiceCultivation_SourceData.SourceData_RiceCultivation_WaterScalingFactorGrowingSeason_Data(),Table_SourceData_WaterScalingFactorGrowingSeason[[#Headers],[Water regime type]],0)</f>
        <v>1</v>
      </c>
      <c r="J12" s="123" t="str">
        <f>E14</f>
        <v>Multiple drainage periods</v>
      </c>
      <c r="L12" s="123" t="str">
        <f>E17</f>
        <v>Deep water</v>
      </c>
    </row>
    <row r="13" spans="1:35" ht="20.100000000000001" customHeight="1" x14ac:dyDescent="0.25">
      <c r="A13" s="17"/>
      <c r="D13" s="1" t="str" cm="1">
        <f t="array" ref="D13">Common_InputFunctions.Utility_DisplayArrayInTable(RiceCultivation_SourceData.SourceData_RiceCultivation_WaterScalingFactorGrowingSeason_Data(),Table_SourceData_WaterScalingFactorGrowingSeason[[#Headers],[Water regime type]],0)</f>
        <v>Irrigated</v>
      </c>
      <c r="E13" s="35" t="str" cm="1">
        <f t="array" ref="E13">Common_InputFunctions.Utility_DisplayArrayInTable(RiceCultivation_SourceData.SourceData_RiceCultivation_WaterScalingFactorGrowingSeason_Data(),Table_SourceData_WaterScalingFactorGrowingSeason[[#Headers],[Water regime type]],0)</f>
        <v>Single drainage period</v>
      </c>
      <c r="F13" s="35"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8" t="s">
        <v>2</v>
      </c>
      <c r="D14" s="1" t="str" cm="1">
        <f t="array" ref="D14">Common_InputFunctions.Utility_DisplayArrayInTable(RiceCultivation_SourceData.SourceData_RiceCultivation_WaterScalingFactorGrowingSeason_Data(),Table_SourceData_WaterScalingFactorGrowingSeason[[#Headers],[Water regime type]],0)</f>
        <v>Irrigated</v>
      </c>
      <c r="E14" s="35" t="str" cm="1">
        <f t="array" ref="E14">Common_InputFunctions.Utility_DisplayArrayInTable(RiceCultivation_SourceData.SourceData_RiceCultivation_WaterScalingFactorGrowingSeason_Data(),Table_SourceData_WaterScalingFactorGrowingSeason[[#Headers],[Water regime type]],0)</f>
        <v>Multiple drainage periods</v>
      </c>
      <c r="F14" s="35"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A15" s="121" t="str">
        <f>HYPERLINK("#'Constants - Rice cultivation'!A1", "Constants - Rice cultivation")</f>
        <v>Constants - Rice cultivation</v>
      </c>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5" t="str" cm="1">
        <f t="array" ref="E15">Common_InputFunctions.Utility_DisplayArrayInTable(RiceCultivation_SourceData.SourceData_RiceCultivation_WaterScalingFactorGrowingSeason_Data(),Table_SourceData_WaterScalingFactorGrowingSeason[[#Headers],[Water regime type]],0)</f>
        <v>Regular rainfed</v>
      </c>
      <c r="F15" s="35"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A16" s="17" t="str">
        <f>HYPERLINK("#'Constants - Common'!A1", "Constants - Common")</f>
        <v>Constants - Common</v>
      </c>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5" t="str" cm="1">
        <f t="array" ref="E16">Common_InputFunctions.Utility_DisplayArrayInTable(RiceCultivation_SourceData.SourceData_RiceCultivation_WaterScalingFactorGrowingSeason_Data(),Table_SourceData_WaterScalingFactorGrowingSeason[[#Headers],[Water regime type]],0)</f>
        <v>Drought prone</v>
      </c>
      <c r="F16" s="35"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5" t="str" cm="1">
        <f t="array" ref="E17">Common_InputFunctions.Utility_DisplayArrayInTable(RiceCultivation_SourceData.SourceData_RiceCultivation_WaterScalingFactorGrowingSeason_Data(),Table_SourceData_WaterScalingFactorGrowingSeason[[#Headers],[Water regime type]],0)</f>
        <v>Deep water</v>
      </c>
      <c r="F17" s="35"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row r="19" spans="1:6" ht="20.100000000000001" customHeight="1" x14ac:dyDescent="0.25"/>
    <row r="20" spans="1:6" ht="20.100000000000001" customHeight="1" x14ac:dyDescent="0.25">
      <c r="A20" s="17"/>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9" t="str" cm="1">
        <f t="array" ref="D23">RiceCultivation_SourceData.SourceData_RiceCultivation_WaterScalingFactorPreSeason_Unit()</f>
        <v>fraction</v>
      </c>
    </row>
    <row r="24" spans="1:6" ht="20.100000000000001" customHeight="1" x14ac:dyDescent="0.25">
      <c r="D24" s="123" t="s">
        <v>126</v>
      </c>
      <c r="E24" s="123" t="s">
        <v>127</v>
      </c>
    </row>
    <row r="25" spans="1:6" ht="20.100000000000001" customHeight="1" x14ac:dyDescent="0.25">
      <c r="D25" s="123"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123"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5"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5"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5"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50" t="str" cm="1">
        <f t="array" ref="D33:D35">RiceCultivation_SourceData.SourceData_RiceCultivation_OrganicAmendmentConversionFactor_Variation()</f>
        <v>VARIATION ON SOURCE:</v>
      </c>
    </row>
    <row r="34" spans="4:5" ht="20.100000000000001" customHeight="1" x14ac:dyDescent="0.25">
      <c r="D34" s="50" t="str">
        <v>Included inorganic fertiliser as amendment as per VEERG equation description:</v>
      </c>
    </row>
    <row r="35" spans="4:5" ht="20.100000000000001" customHeight="1" x14ac:dyDescent="0.25">
      <c r="D35" s="50"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9" t="str" cm="1">
        <f t="array" ref="D37">RiceCultivation_SourceData.SourceData_RiceCultivation_OrganicAmendmentConversionFactor_Unit()</f>
        <v>fraction</v>
      </c>
    </row>
    <row r="38" spans="4:5" ht="20.100000000000001" customHeight="1" x14ac:dyDescent="0.25">
      <c r="D38" s="123" t="s">
        <v>128</v>
      </c>
      <c r="E38" s="123" t="s">
        <v>129</v>
      </c>
    </row>
    <row r="39" spans="4:5" ht="20.100000000000001" customHeight="1" x14ac:dyDescent="0.25">
      <c r="D39" s="123" t="str" cm="1">
        <f t="array" ref="D39">Common_InputFunctions.Utility_DisplayArrayInTable(RiceCultivation_SourceData.SourceData_RiceCultivation_OrganicAmendmentConversionFactor_Data(),Table15[[#Headers],[Organic amendment i]],0)</f>
        <v>Straw incorporated shortly (&lt;30 days) before cultivation</v>
      </c>
      <c r="E39" s="123"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5"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5"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5"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5"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5"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8" t="str" cm="1">
        <f t="array" ref="D49">RiceCultivation_SourceData.SourceData_RiceCultivation_BaselineEF_Variable()</f>
        <v>EFc</v>
      </c>
      <c r="E49" s="1" cm="1">
        <f t="array" ref="E49">RiceCultivation_SourceData.SourceData_RiceCultivation_BaselineEF_Data()</f>
        <v>1.19</v>
      </c>
      <c r="F49" s="49"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topLeftCell="A117" zoomScale="85" zoomScaleNormal="85" workbookViewId="0">
      <selection activeCell="D144" sqref="D14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10</v>
      </c>
      <c r="E6" s="35" t="s">
        <v>11</v>
      </c>
      <c r="F6" s="35" t="s">
        <v>12</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13</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15</v>
      </c>
      <c r="E36" s="35" t="s">
        <v>16</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15</v>
      </c>
      <c r="E47" s="35" t="s">
        <v>18</v>
      </c>
      <c r="F47" s="35" t="s">
        <v>19</v>
      </c>
      <c r="G47" s="35" t="s">
        <v>20</v>
      </c>
      <c r="H47" s="35" t="s">
        <v>21</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5" t="s">
        <v>6</v>
      </c>
      <c r="E63" s="35" t="s">
        <v>35</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5" t="s">
        <v>6</v>
      </c>
      <c r="E89" s="35" t="s">
        <v>23</v>
      </c>
      <c r="F89" s="35" t="s">
        <v>24</v>
      </c>
      <c r="G89" s="35" t="s">
        <v>25</v>
      </c>
      <c r="H89" s="35" t="s">
        <v>26</v>
      </c>
      <c r="I89" s="35" t="s">
        <v>27</v>
      </c>
      <c r="J89" s="35" t="s">
        <v>28</v>
      </c>
      <c r="K89" s="35" t="s">
        <v>29</v>
      </c>
      <c r="L89" s="35" t="s">
        <v>30</v>
      </c>
      <c r="M89" s="35" t="s">
        <v>31</v>
      </c>
      <c r="N89" s="35" t="s">
        <v>32</v>
      </c>
      <c r="O89" s="35" t="s">
        <v>36</v>
      </c>
      <c r="P89" s="35" t="s">
        <v>33</v>
      </c>
      <c r="Q89" s="35" t="s">
        <v>37</v>
      </c>
      <c r="R89" s="35" t="s">
        <v>34</v>
      </c>
      <c r="S89" s="35" t="s">
        <v>38</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c r="D98" s="49" t="str" cm="1">
        <f t="array" ref="D98:D101">Common_SourceData.Common_SourceData_ClimateZones_Appendices()</f>
        <v>Note:</v>
      </c>
    </row>
    <row r="99" spans="4:20" ht="20.100000000000001" customHeight="1" x14ac:dyDescent="0.25">
      <c r="D99" s="49" t="str">
        <v>MAT = mean annual temperature</v>
      </c>
    </row>
    <row r="100" spans="4:20" ht="20.100000000000001" customHeight="1" x14ac:dyDescent="0.25">
      <c r="D100" s="49" t="str">
        <v>MAP = mean annual precipitation</v>
      </c>
    </row>
    <row r="101" spans="4:20" ht="20.100000000000001" customHeight="1" x14ac:dyDescent="0.25">
      <c r="D101" s="49" t="str">
        <v>PET = potential evapotranspiration</v>
      </c>
    </row>
    <row r="102" spans="4:20" ht="20.100000000000001" customHeight="1" x14ac:dyDescent="0.25">
      <c r="D102" s="49"/>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40</v>
      </c>
      <c r="E109" s="35" t="s">
        <v>23</v>
      </c>
      <c r="F109" s="35" t="s">
        <v>41</v>
      </c>
      <c r="G109" s="35" t="s">
        <v>42</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43</v>
      </c>
      <c r="E119" s="35" t="s">
        <v>44</v>
      </c>
      <c r="F119" s="35" t="s">
        <v>30</v>
      </c>
      <c r="G119" s="35" t="s">
        <v>31</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45</v>
      </c>
      <c r="E127" s="35" t="s">
        <v>46</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72</v>
      </c>
      <c r="E142" s="35" t="s">
        <v>57</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47</v>
      </c>
      <c r="E153" s="35" t="s">
        <v>48</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5" t="s">
        <v>64</v>
      </c>
      <c r="E186" s="35" t="s">
        <v>65</v>
      </c>
      <c r="F186" s="35" t="s">
        <v>66</v>
      </c>
      <c r="G186" s="35" t="s">
        <v>67</v>
      </c>
      <c r="H186" s="35" t="s">
        <v>22</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5" t="s">
        <v>6</v>
      </c>
      <c r="E206" s="35" t="s">
        <v>74</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71</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39</v>
      </c>
      <c r="E231" s="35" t="s">
        <v>89</v>
      </c>
      <c r="F231" s="34" t="s">
        <v>90</v>
      </c>
      <c r="G231" s="35" t="s">
        <v>84</v>
      </c>
      <c r="H231" s="35" t="s">
        <v>91</v>
      </c>
      <c r="I231" s="35" t="s">
        <v>92</v>
      </c>
      <c r="J231" s="35" t="s">
        <v>83</v>
      </c>
      <c r="K231" s="35" t="s">
        <v>82</v>
      </c>
      <c r="L231" s="35" t="s">
        <v>93</v>
      </c>
      <c r="M231" s="35" t="s">
        <v>94</v>
      </c>
      <c r="N231" s="35" t="s">
        <v>81</v>
      </c>
      <c r="O231" s="35" t="s">
        <v>95</v>
      </c>
      <c r="P231" s="35" t="s">
        <v>86</v>
      </c>
      <c r="Q231" s="35" t="s">
        <v>87</v>
      </c>
      <c r="R231" s="35" t="s">
        <v>85</v>
      </c>
      <c r="S231" s="35" t="s">
        <v>96</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5" t="s">
        <v>97</v>
      </c>
      <c r="E257" s="35" t="s">
        <v>98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SAGkAYwBlAEMAdQBsAHQAaQB2AGEAdABpAG8AbgBfAFMAbwB1AHIAYwBlAEQAYQB0AGEAIgAsACIAdABlAHgAdAAiADoAIgBcAG4ALwAqACAAXABuAC0ALQAtAC0ALQAtAC0ALQAtAC0ALQAtAC0ALQAtAC0ALQAtAC0ALQAtAC0ALQAtAC0ALQAtAC0ALQAtAC0ALQAtAC0ALQAtAC0ALQBcAG4AUwBvAHUAcgBjAGUARABhAHQAYQBfAFIAaQBjAGUAQwB1AGwAdABpAHYAYQB0AGkAbwBuAF8AVwBhAHQAZQByAFMAYwBhAGwAaQBuAGcARgBhAGMAdABvAHIARwByAG8AdwBpAG4AZwBTAGUAYQBzAG8AbgBcAG4ALQAtAC0ALQAtAC0ALQAtAC0ALQAtAC0ALQAtAC0ALQAtAC0ALQAtAC0ALQAtAC0ALQAtAC0ALQAtAC0ALQAtAC0ALQAtAC0ALQAtAFwAbgAqAC8AXABuAFwAbgBTAG8AdQByAGMAZQBEAGEAdABhAF8AUgBpAGMAZQBDAHUAbAB0AGkAdgBhAHQAaQBvAG4AXwBXAGEAdABlAHIAUwBjAGEAbABpAG4AZwBGAGEAYwB0AG8AcgBHAHIAbwB3AGkAbgBnAFMAZQBhAHMAbwBuAF8AVABpAHQAbABlAFwAbgAgACAAPQBMAEEATQBCAEQAQQAoAFwAIgBTAGMAYQBsAGkAbgBnACAAZgBhAGMAdABvAHIAIABiAGEAcwBlAGQAIABvAG4AIAB0AGgAZQAgAHcAYQB0AGUAcgAgAHIAZQBnAGkAbQBlACAAZQBtAHAAbABvAHkAZQBkACAAZAB1AHIAaQBuAGcAIAB0AGgAZQAgAGcAcgBvAHcAaQBuAGcAIABzAGUAYQBzAG8AbgAgAGMAdQBsAHQAaQB2AGEAdABpAG8AbgAgAHAAZQByAGkAbwBkAFwAIgApADsAXABuAFwAbgBTAG8AdQByAGMAZQBEAGEAdABhAF8AUgBpAGMAZQBDAHUAbAB0AGkAdgBhAHQAaQBvAG4AXwBXAGEAdABlAHIAUwBjAGEAbABpAG4AZwBGAGEAYwB0AG8AcgBHAHIAbwB3AGkAbgBnAFMAZQBhAHMAbwBuAF8AVgBhAHIAaQBhAGIAbABlAFwAbgAgACAAPQBMAEEATQBCAEQAQQAoAFwAIgBTAEYAdwBcACIAKQA7AFwAbgBcAG4AUwBvAHUAcgBjAGUARABhAHQAYQBfAFIAaQBjAGUAQwB1AGwAdABpAHYAYQB0AGkAbwBuAF8AVwBhAHQAZQByAFMAYwBhAGwAaQBuAGcARgBhAGMAdABvAHIARwByAG8AdwBpAG4AZwBTAGUAYQBzAG8AbgBfAFUAbgBpAHQAXABuACAAIAA9AEwAQQBNAEIARABBACgAXAAiAGYAcgBhAGMAdABpAG8AbgBcACIAKQA7AFwAbgBcAG4AUwBvAHUAcgBjAGUARABhAHQAYQBfAFIAaQBjAGUAQwB1AGwAdABpAHYAYQB0AGkAbwBuAF8AVwBhAHQAZQByAFMAYwBhAGwAaQBuAGcARgBhAGMAdABvAHIARwByAG8AdwBpAG4AZwBTAGUAYQBzAG8AbgBfAFMAbwB1AHIAYwBlAFwAbgAgACAAPQBMAEEATQBCAEQAQQAoAFwAIgBWAEUARQBSAEcAIAAyADAAMgA2ADoAIABUAGEAYgBsAGUAIABBAC4AMgAuADMALgAxAFwAIgApADsAXABuAFwAbgBTAG8AdQByAGMAZQBEAGEAdABhAF8AUgBpAGMAZQBDAHUAbAB0AGkAdgBhAHQAaQBvAG4AXwBXAGEAdABlAHIAUwBjAGEAbABpAG4AZwBGAGEAYwB0AG8AcgBHAHIAbwB3AGkAbgBnAFMAZQBhAHMAbwBuAF8AVgBhAHIAaQBhAHQAaQBvAG4AXABuACAAIAA9AEwAQQBNAEIARABBACgAXAAiAFwAIgApADsAXABuAFwAbgBTAG8AdQByAGMAZQBEAGEAdABhAF8AUgBpAGMAZQBDAHUAbAB0AGkAdgBhAHQAaQBvAG4AXwBXAGEAdABlAHIAUwBjAGEAbABpAG4AZwBGAGEAYwB0AG8AcgBHAHIAbwB3AGkAbgBnAFMAZQBhAHMAbwBuAF8ARABhAHQAYQBcAG4AIAAgAD0ATABBAE0AQgBEAEEAKABcAG4AIAAgACAAIABNAEEASwBFAEEAUgBSAEEAWQAoADkALAAgADMALAAgAFwAbgAgACAAIAAgACAAIABMAEEATQBCAEQAQQAoAHIALABjACwAIABcAG4AIAAgACAAIAAgACAAIAAgAEkATgBEAEUAWAAoAHsAXABuACAAIAAgACAAIAAgACAAIAAgACAAXAAiAFcAYQB0AGUAcgAgAHIAZQBnAGkAbQBlACAAdAB5AHAAZQBcACIALAAgAFwAIgBXAGEAdABlAHIAIAByAGUAZwBpAG0AZQAgAHMAdQBiACAALQAgAHQAeQBwAGUAXAAiACwAIABcACIAUwBGAHcAXAAiADsAXABuACAAIAAgACAAIAAgACAAIAAgACAAXAAiAFUAcABsAGEAbgBkAFwAIgAsACAAXAAiAFAAYQBkAGQAeQAgAHIAbwB0AGEAdABpAG8AbgBcACIALAAgADAAOwBcAG4AIAAgACAAIAAgACAAIAAgACAAIABcACIAVQBwAGwAYQBuAGQAXAAiACwAIABcACIARgBhAGwAbABvAHcAIAB3AGkAdABoAG8AdQB0ACAAZgBsAG8AbwBkAGkAbgBnACAAaQBuACAAcAByAGUAdgBpAG8AdQBzACAAeQBlAGEAcgBcACIALAAgADAAOwBcAG4AIAAgACAAIAAgACAAIAAgACAAIABcACIASQByAHIAaQBnAGEAdABlAGQAXAAiACwAIABcACIAQwBvAG4AdABpAG4AdQBvAHUAcwBsAHkAIABmAGwAbwBvAGQAZQBkAFwAIgAsACAAMQA7AFwAbgAgACAAIAAgACAAIAAgACAAIAAgAFwAIgBJAHIAcgBpAGcAYQB0AGUAZABcACIALAAgAFwAIgBTAGkAbgBnAGwAZQAgAGQAcgBhAGkAbgBhAGcAZQAgAHAAZQByAGkAbwBkAFwAIgAsACAAMAAuADcAMQA7AFwAbgAgACAAIAAgACAAIAAgACAAIAAgAFwAIgBJAHIAcgBpAGcAYQB0AGUAZABcACIALAAgAFwAIgBNAHUAbAB0AGkAcABsAGUAIABkAHIAYQBpAG4AYQBnAGUAIABwAGUAcgBpAG8AZABzAFwAIgAsACAAMAAuADUANQA7AFwAbgAgACAAIAAgACAAIAAgACAAIAAgAFwAIgBSAGEAaQBuAGYAZQBkACAAYQBuAGQAIABkAGUAZQBwACAAdwBhAHQAZQByAFwAIgAsACAAXAAiAFIAZQBnAHUAbABhAHIAIAByAGEAaQBuAGYAZQBkAFwAIgAsACAAMAAuADUANAA7AFwAbgAgACAAIAAgACAAIAAgACAAIAAgAFwAIgBSAGEAaQBuAGYAZQBkACAAYQBuAGQAIABkAGUAZQBwACAAdwBhAHQAZQByAFwAIgAsACAAXAAiAEQAcgBvAHUAZwBoAHQAIABwAHIAbwBuAGUAXAAiACwAIAAwAC4AMQA2ADsAXABuACAAIAAgACAAIAAgACAAIAAgACAAXAAiAFIAYQBpAG4AZgBlAGQAIABhAG4AZAAgAGQAZQBlAHAAIAB3AGEAdABlAHIAXAAiACwAIABcACIARABlAGUAcAAgAHcAYQB0AGUAcgBcACIALAAgADAALgAwADYAXABuACAAIAAgACAAIAAgACAAIAB9ACwAIAByACwAIABjACkAXABuACAAIAAgACAAIAAgACkAXABuACAAIAAgACAAKQBcAG4AIAAgACkAOwBcAG4AXABuAFwAbgBcAG4ALwAqACAAXABuAC0ALQAtAC0ALQAtAC0ALQAtAC0ALQAtAC0ALQAtAC0ALQAtAC0ALQAtAC0ALQAtAC0ALQAtAC0ALQAtAC0ALQAtAC0ALQAtAC0ALQBcAG4AUwBvAHUAcgBjAGUARABhAHQAYQBfAFIAaQBjAGUAQwB1AGwAdABpAHYAYQB0AGkAbwBuAF8AVwBhAHQAZQByAFMAYwBhAGwAaQBuAGcARgBhAGMAdABvAHIAUAByAGUAUwBlAGEAcwBvAG4AXABuAC0ALQAtAC0ALQAtAC0ALQAtAC0ALQAtAC0ALQAtAC0ALQAtAC0ALQAtAC0ALQAtAC0ALQAtAC0ALQAtAC0ALQAtAC0ALQAtAC0ALQBcAG4AKgAvAFwAbgBcAG4AUwBvAHUAcgBjAGUARABhAHQAYQBfAFIAaQBjAGUAQwB1AGwAdABpAHYAYQB0AGkAbwBuAF8AVwBhAHQAZQByAFMAYwBhAGwAaQBuAGcARgBhAGMAdABvAHIAUAByAGUAUwBlAGEAcwBvAG4AXwBUAGkAdABsAGUAXABuACAAIAA9AEwAQQBNAEIARABBACgAXAAiAFMAYwBhAGwAaQBuAGcAIABmAGEAYwB0AG8AcgAgAGIAYQBzAGUAZAAgAG8AbgAgAHQAaABlACAAdwBhAHQAZQByACAAcgBlAGcAaQBtAGUAIABlAG0AcABsAG8AeQBlAGQAIABpAG4AIAB0AGgAZQAgAHAAcgBlACAALQAgAHMAZQBhAHMAbwBuACAAYgBlAGYAbwByAGUAIAB0AGgAZQAgAGcAcgBvAHcAaQBuAGcAIABwAGUAcgBpAG8AZABcACIAKQA7AFwAbgBcAG4AUwBvAHUAcgBjAGUARABhAHQAYQBfAFIAaQBjAGUAQwB1AGwAdABpAHYAYQB0AGkAbwBuAF8AVwBhAHQAZQByAFMAYwBhAGwAaQBuAGcARgBhAGMAdABvAHIAUAByAGUAUwBlAGEAcwBvAG4AXwBWAGEAcgBpAGEAYgBsAGUAXABuACAAIAA9AEwAQQBNAEIARABBACgAXAAiAFMARgBwAFwAIgApADsAXABuAFwAbgBTAG8AdQByAGMAZQBEAGEAdABhAF8AUgBpAGMAZQBDAHUAbAB0AGkAdgBhAHQAaQBvAG4AXwBXAGEAdABlAHIAUwBjAGEAbABpAG4AZwBGAGEAYwB0AG8AcgBQAHIAZQBTAGUAYQBzAG8AbgBfAFUAbgBpAHQAXABuACAAIAA9AEwAQQBNAEIARABBACgAXAAiAGYAcgBhAGMAdABpAG8AbgBcACIAKQA7AFwAbgBcAG4AUwBvAHUAcgBjAGUARABhAHQAYQBfAFIAaQBjAGUAQwB1AGwAdABpAHYAYQB0AGkAbwBuAF8AVwBhAHQAZQByAFMAYwBhAGwAaQBuAGcARgBhAGMAdABvAHIAUAByAGUAUwBlAGEAcwBvAG4AXwBTAG8AdQByAGMAZQBcAG4AIAAgAD0ATABBAE0AQgBEAEEAKABcACIAVgBFAEUAUgBHACAAMgAwADIANgA6ACAAVABhAGIAbABlACAAQQAuADIALgAzAC4AMgBcACIAKQA7AFwAbgBcAG4AUwBvAHUAcgBjAGUARABhAHQAYQBfAFIAaQBjAGUAQwB1AGwAdABpAHYAYQB0AGkAbwBuAF8AVwBhAHQAZQByAFMAYwBhAGwAaQBuAGcARgBhAGMAdABvAHIAUAByAGUAUwBlAGEAcwBvAG4AXwBWAGEAcgBpAGEAdABpAG8AbgBcAG4AIAAgAD0ATABBAE0AQgBEAEEAKABcACIAXAAiACkAOwBcAG4AXABuAFMAbwB1AHIAYwBlAEQAYQB0AGEAXwBSAGkAYwBlAEMAdQBsAHQAaQB2AGEAdABpAG8AbgBfAFcAYQB0AGUAcgBTAGMAYQBsAGkAbgBnAEYAYQBjAHQAbwByAFAAcgBlAFMAZQBhAHMAbwBuAF8ARABhAHQAYQBcAG4AIAAgAD0ATABBAE0AQgBEAEEAKABcAG4AIAAgACAAIABNAEEASwBFAEEAUgBSAEEAWQAoADUALAAgADIALAAgAFwAbgAgACAAIAAgACAAIABMAEEATQBCAEQAQQAoAHIALABjACwAIABcAG4AIAAgACAAIAAgACAAIAAgAEkATgBEAEUAWAAoAHsAXABuACAAIAAgACAAIAAgACAAIAAgACAAXAAiAFcAYQB0AGUAcgAgAHIAZQBnAGkAbQBlACAAcAByAGkAbwByACAAdABvACAAYwB1AGwAdABpAHYAYQB0AGkAbwBuACAAcABlAHIAaQBvAGQAIABwAFwAIgAsACAAXAAiAFMARgBwAFwAIgA7AFwAbgAgACAAIAAgACAAIAAgACAAIAAgAFwAIgBOAG8AbgAgAGYAbABvAG8AZABlAGQAIABwAHIAZQAtAHMAZQBhAHMAbwBuACAAPAAxADgAMAAgAGQAYQB5AHMAXAAiACwAIAAxADsAXABuACAAIAAgACAAIAAgACAAIAAgACAAXAAiAE4AbwBuACAAZgBsAG8AbwBkAGUAZAAgAHAAcgBlAC0AcwBlAGEAcwBvAG4AIAA+ADEAOAAwACAAZABhAHkAcwBcACIALAAgADAALgA4ADkAOwBcAG4AIAAgACAAIAAgACAAIAAgACAAIABcACIARgBsAG8AbwBkAGUAZAAgAHAAcgBlAC0AcwBlAGEAcwBvAG4AIAA+ADMAMAAgAGQAYQB5AHMAXAAiACwAIAAyAC4ANAAxADsAXABuACAAIAAgACAAIAAgACAAIAAgACAAXAAiAE4AbwBuAC0AZgBsAG8AbwBkAGUAZAAgAHAAcgBlAC0AcwBlAGEAcwBvAG4AIAA+ADMANgA1ACAAZABhAHkAcwBcACIALAAgADAALgA1ADkAXABuACAAIAAgACAAIAAgACAAIAB9ACwAIAByACwAIABjACkAXABuACAAIAAgACAAIAAgACkAXABuACAAIAAgACAAKQBcAG4AIAAgACkAOwBcAG4AXABuAFwAbgAvACoAIABcAG4ALQAtAC0ALQAtAC0ALQAtAC0ALQAtAC0ALQAtAC0ALQAtAC0ALQAtAC0ALQAtAC0ALQAtAC0ALQAtAC0ALQAtAC0ALQAtAC0ALQAtAFwAbgBTAG8AdQByAGMAZQBEAGEAdABhAF8AUgBpAGMAZQBDAHUAbAB0AGkAdgBhAHQAaQBvAG4AXwBPAHIAZwBhAG4AaQBjAEEAbQBlAG4AZABtAGUAbgB0AEMAbwBuAHYAZQByAHMAaQBvAG4ARgBhAGMAdABvAHIAXABuAC0ALQAtAC0ALQAtAC0ALQAtAC0ALQAtAC0ALQAtAC0ALQAtAC0ALQAtAC0ALQAtAC0ALQAtAC0ALQAtAC0ALQAtAC0ALQAtAC0ALQBcAG4AKgAvAFwAbgBcAG4AUwBvAHUAcgBjAGUARABhAHQAYQBfAFIAaQBjAGUAQwB1AGwAdABpAHYAYQB0AGkAbwBuAF8ATwByAGcAYQBuAGkAYwBBAG0AZQBuAGQAbQBlAG4AdABDAG8AbgB2AGUAcgBzAGkAbwBuAEYAYQBjAHQAbwByAF8AVABpAHQAbABlAFwAbgAgACAAPQBMAEEATQBCAEQAQQAoAFwAIgBDAG8AbgB2AGUAcgBzAGkAbwBuACAAZgBhAGMAdABvAHIAIABmAG8AcgAgAG8AcgBnAGEAbgBpAGMAIABhAG0AZQBuAGQAbQBlAG4AdAAgAGkAXAAiACkAOwBcAG4AXABuAFMAbwB1AHIAYwBlAEQAYQB0AGEAXwBSAGkAYwBlAEMAdQBsAHQAaQB2AGEAdABpAG8AbgBfAE8AcgBnAGEAbgBpAGMAQQBtAGUAbgBkAG0AZQBuAHQAQwBvAG4AdgBlAHIAcwBpAG8AbgBGAGEAYwB0AG8AcgBfAFYAYQByAGkAYQBiAGwAZQBcAG4AIAAgAD0ATABBAE0AQgBEAEEAKABcACIAQwBGAE8AQQBpAFwAIgApADsAXABuAFwAbgBTAG8AdQByAGMAZQBEAGEAdABhAF8AUgBpAGMAZQBDAHUAbAB0AGkAdgBhAHQAaQBvAG4AXwBPAHIAZwBhAG4AaQBjAEEAbQBlAG4AZABtAGUAbgB0AEMAbwBuAHYAZQByAHMAaQBvAG4ARgBhAGMAdABvAHIAXwBVAG4AaQB0AFwAbgAgACAAPQBMAEEATQBCAEQAQQAoAFwAIgBmAHIAYQBjAHQAaQBvAG4AXAAiACkAOwBcAG4AXABuAFMAbwB1AHIAYwBlAEQAYQB0AGEAXwBSAGkAYwBlAEMAdQBsAHQAaQB2AGEAdABpAG8AbgBfAE8AcgBnAGEAbgBpAGMAQQBtAGUAbgBkAG0AZQBuAHQAQwBvAG4AdgBlAHIAcwBpAG8AbgBGAGEAYwB0AG8AcgBfAFMAbwB1AHIAYwBlAFwAbgAgACAAPQBMAEEATQBCAEQAQQAoAFwAIgBWAEUARQBSAEcAIAAyADAAMgA2ADoAIABUAGEAYgBsAGUAIABBAC4AMgAuADMALgAzAFwAIgApADsAXABuAFwAbgBTAG8AdQByAGMAZQBEAGEAdABhAF8AUgBpAGMAZQBDAHUAbAB0AGkAdgBhAHQAaQBvAG4AXwBPAHIAZwBhAG4AaQBjAEEAbQBlAG4AZABtAGUAbgB0AEMAbwBuAHYAZQByAHMAaQBvAG4ARgBhAGMAdABvAHIAXwBWAGEAcgBpAGEAdABpAG8AbgBcAG4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JAG4AYwBsAHUAZABlAGQAIABpAG4AbwByAGcAYQBuAGkAYwAgAGYAZQByAHQAaQBsAGkAcwBlAHIAIABhAHMAIABhAG0AZQBuAGQAbQBlAG4AdAAgAGEAcwAgAHAAZQByACAAVgBFAEUAUgBHACAAZQBxAHUAYQB0AGkAbwBuACAAZABlAHMAYwByAGkAcAB0AGkAbwBuADoAXAAiADsAXABuACAAIAAgACAAIAAgACAAIAAgACAAXAAiAFcAaABlAHIAZQAgAGkAbgBvAHIAZwBhAG4AaQBjACAAZgBlAHIAdABpAGwAaQBzAGUAcgAgAGkAcwAgAGEAcABwAGwAaQBlAGQAIAB0AG8AIAB0AGgAZQAgAHIAaQBjAGUAIABmAGkAZQBsAGQAcwAgAHIAYQB0AGgAZQByACAAdABoAGEAbgAgAG8AcgBnAGEAbgBpAGMAIABhAG0AZQBuAGQAbQBlAG4AdABzACwAIABTAEYAXwBvACAAaQBzACAAcwBlAHQAIAB0AG8AIAAxAC4AXAAiAFwAbgAgACAAIAAgACAAIAAgACAAfQAsACAAcgAsACAAYwApAFwAbgAgACAAIAAgACAAIAApAFwAbgAgACAAIAAgACkAXABuACAAIAApADsAXABuAFwAbgBTAG8AdQByAGMAZQBEAGEAdABhAF8AUgBpAGMAZQBDAHUAbAB0AGkAdgBhAHQAaQBvAG4AXwBPAHIAZwBhAG4AaQBjAEEAbQBlAG4AZABtAGUAbgB0AEMAbwBuAHYAZQByAHMAaQBvAG4ARgBhAGMAdABvAHIAXwBEAGEAdABhAFwAbgAgACAAPQBMAEEATQBCAEQAQQAoAFwAbgAgACAAIAAgAE0AQQBLAEUAQQBSAFIAQQBZACgANwAsACAAMgAsACAAXABuACAAIAAgACAAIAAgAEwAQQBNAEIARABBACgAcgAsAGMALAAgAFwAbgAgACAAIAAgACAAIAAgACAASQBOAEQARQBYACgAewBcAG4AIAAgACAAIAAgACAAIAAgACAAIABcACIATwByAGcAYQBuAGkAYwAgAGEAbQBlAG4AZABtAGUAbgB0ACAAaQBcACIALAAgAFwAIgBDAEYATwBBAGkAXAAiADsAXABuACAAIAAgACAAIAAgACAAIAAgACAAXAAiAFMAdAByAGEAdwAgAGkAbgBjAG8AcgBwAG8AcgBhAHQAZQBkACAAcwBoAG8AcgB0AGwAeQAgACgAPAAzADAAIABkAGEAeQBzACkAIABiAGUAZgBvAHIAZQAgAGMAdQBsAHQAaQB2AGEAdABpAG8AbgBcACIALAAgADEALgAwADAAOwBcAG4AIAAgACAAIAAgACAAIAAgACAAIABcACIAUwB0AHIAYQB3ACAAaQBuAGMAbwByAHAAbwByAGEAdABlAGQAIABsAG8AbgBnACAAKAA+ADMAMAAgAGQAYQB5AHMAKQAgAGIAZQBmAG8AcgBlACAAYwB1AGwAdABpAHYAYQB0AGkAbwBuAFwAIgAsACAAMAAuADEAOQA7AFwAbgAgACAAIAAgACAAIAAgACAAIAAgAFwAIgBDAG8AbQBwAG8AcwB0AFwAIgAsACAAMAAuADEANwA7AFwAbgAgACAAIAAgACAAIAAgACAAIAAgAFwAIgBGAGEAcgBtACAAeQBhAHIAZAAgAG0AYQBuAHUAcgBlAFwAIgAsACAAMAAuADIAMQA7AFwAbgAgACAAIAAgACAAIAAgACAAIAAgAFwAIgBHAHIAZQBlAG4AIABtAGEAbgB1AHIAZQBcACIALAAgADAALgA0ADUAOwBcAG4AIAAgACAAIAAgACAAIAAgACAAIABcACIASQBuAG8AcgBnAGEAbgBpAGMAIABmAGUAcgB0AGkAbABpAHMAZQByAFwAIgAsACAAM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IAYQBzAGUAbABpAG4AZQBFAEYAXABuAC0ALQAtAC0ALQAtAC0ALQAtAC0ALQAtAC0ALQAtAC0ALQAtAC0ALQAtAC0ALQAtAC0ALQAtAC0ALQAtAC0ALQAtAC0ALQAtAC0ALQBcAG4AKgAvAFwAbgBcAG4AUwBvAHUAcgBjAGUARABhAHQAYQBfAFIAaQBjAGUAQwB1AGwAdABpAHYAYQB0AGkAbwBuAF8AQgBhAHMAZQBsAGkAbgBlAEUARgBfAFQAaQB0AGwAZQBcAG4AIAAgAD0ATABBAE0AQgBEAEEAKABcACIAQgBhAHMAZQBsAGkAbgBlACAAZQBtAGkAcwBzAGkAbwBuACAAZgBhAGMAdABvAHIAIABmAG8AcgAgAGMAbwBuAHQAaQBuAHUAbwB1AHMAbAB5ACAAZgBsAG8AbwBkAGUAZAAgAGYAaQBlAGwAZABzACAAdwBpAHQAaABvAHUAdAAgAG8AcgBnAGEAbgBpAGMAIABhAG0AZQBuAGQAbQBlAG4AdABzAFwAIgApADsAXABuAFwAbgBTAG8AdQByAGMAZQBEAGEAdABhAF8AUgBpAGMAZQBDAHUAbAB0AGkAdgBhAHQAaQBvAG4AXwBCAGEAcwBlAGwAaQBuAGUARQBGAF8AVgBhAHIAaQBhAGIAbABlAFwAbgAgACAAPQBMAEEATQBCAEQAQQAoAFwAIgBFAEYAYwBcACIAKQA7AFwAbgBcAG4AUwBvAHUAcgBjAGUARABhAHQAYQBfAFIAaQBjAGUAQwB1AGwAdABpAHYAYQB0AGkAbwBuAF8AQgBhAHMAZQBsAGkAbgBlAEUARgBfAFUAbgBpAHQAXABuACAAIAA9AEwAQQBNAEIARABBACgAXAAiAGsAZwAgAEMASAA0ACAALwAgAGgAYQAgAC8AIABkAGEAeQBcACIAKQA7AFwAbgBcAG4AUwBvAHUAcgBjAGUARABhAHQAYQBfAFIAaQBjAGUAQwB1AGwAdABpAHYAYQB0AGkAbwBuAF8AQgBhAHMAZQBsAGkAbgBlAEUARgBfAFMAbwB1AHIAYwBlAFwAbgAgACAAPQBMAEEATQBCAEQAQQAoAFwAIgBWAEUARQBSAEcAIAAyADAAMgA2ADoAIAA3AC4AMgAuADMAIABDAG8AbgBzAHQAYQBuAHQAIABQAGEAcgBhAG0AZQB0AGUAcgBzAFwAIgApADsAXABuAFwAbgBTAG8AdQByAGMAZQBEAGEAdABhAF8AUgBpAGMAZQBDAHUAbAB0AGkAdgBhAHQAaQBvAG4AXwBCAGEAcwBlAGwAaQBuAGUARQBGAF8AVgBhAHIAaQBhAHQAaQBvAG4AXABuACAAIAA9AEwAQQBNAEIARABBACgAXAAiAFwAIgApADsAXABuAFwAbgBTAG8AdQByAGMAZQBEAGEAdABhAF8AUgBpAGMAZQBDAHUAbAB0AGkAdgBhAHQAaQBvAG4AXwBCAGEAcwBlAGwAaQBuAGUARQBGAF8ARABhAHQAYQBcAG4AIAAgAD0ATABBAE0AQgBEAEEAKAAxAC4AMQA5ACkAOwAiAH0ALAB7ACIAcABhAHQAaAAiADoAIgAvAHAAcgBvAGoAZQBjAHQAcwAvAFIAaQBjAGUAQwB1AGwAdABpAHYAY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cALgAxADoAIABSAGkAYwBlACAAQwB1AGwAdABpAHYAYQB0AGkAbwBuAFwAbgA9AD0APQA9AD0APQA9AD0APQA9AD0APQA9AD0APQA9AD0APQA9AD0APQA9AD0APQA9AD0APQA9AD0APQA9AD0APQA9AD0APQA9AD0APQA9AD0APQA9AD0APQA9AD0APQA9AD0APQA9AD0APQA9AD0APQA9AD0APQA9AD0APQA9AD0APQA9AD0APQA9AD0APQA9AD0APQA9AFwAbgA3AC4AMQAuADEALgAxACAATQBlAHQAaABvAGQAIAAxACAALQAgAFIAaQBjAGUAIABDAHUAbAB0AGkAdgBhAHQAaQBvAG4AIABDAEgANA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wBfADEAXwAxAF8AMQBfAF8AMQBfAE0AZQB0AGgAYQBuAGUARQBtAGkAcwBzAGkAbwBuAHMARgByAG8AbQBSAGkAYwBlAEMAdQBsAHQAaQB2AGEAdABpAG8AbgBcAG4ATQBlAHQAaABhAG4AZQAgAGUAbQBpAHMAcwBpAG8AbgBzACAAZgByAG8AbQAgAHIAaQBjAGUAIABjAHUAbAB0AGkAdgBhAHQAaQBvAG4AXABuAEUAXwByAGkAYwBlAFwAbgB0ACAAQwBIADQAXABuAEUAXwB7AHIAaQBjAGUAfQA9AFwAXABzAHUAbQBfAHcAXABcAHMAdQBtAF8AcABcAFwAcwB1AG0AXwBvACgAQQBfAHsAcgBpAGMAZQAsAHcAcABvAH0AXABcAHQAaQBtAGUAcwAgAEUARgBfAHsAcgBpAGMAZQAsAHcAcABvAH0AXABcAHQAaQBtAGUAcwAgAHQAXwB7AHIAaQBjAGUALAB3AHAAbwB9ACkAXABcAHQAaQBtAGUAcwAgADEAMABeAHsALQAzAH0AXABuAEEAXwByAGkAYwBlAHcAcABvACAAPQAgAGEAbgBuAHUAYQBsACAAYQByAGUAYQAgAG8AZgAgAHIAaQBjAGUAIABjAHUAbAB0AGkAdgBhAHQAaQBvAG4AIAB1AG4AZABlAHIAIAB3AGEAdABlAHIAIAByAGUAZwBpAG0AZQAgAHcALAAgAHAAcgBlAC0AcwBlAGEAcwBvAG4AIAB3AGEAdABlAHIAIAByAGUAZwBpAG0AZQAgAHAALAAgAGEAbgBkACAAbwByAGcAYQBuAGkAYwAgAGEAbQBlAG4AZABtAGUAbgB0ACAAYwBvAG4AZABpAHQAaQBvAG4AIABvACAAKABoAGEAKQBcAG4ARQBGAF8AcgBpAGMAZQB3AHAAbwAgAD0AIABlAG0AaQBzAHMAaQBvAG4AIABmAGEAYwB0AG8AcgAgAGYAbwByACAAcgBpAGMAZQAgAGMAdQBsAHQAaQB2AGEAdABpAG8AbgAgAHUAbgBkAGUAcgAgAGMAbwBuAGQAaQB0AGkAbwBuAHMAIAB3ACwAIABwACwAIABhAG4AZAAgAG8AIAAoAGsAZwAgAEMASAA0AC8AaABhAC8AZABhAHkAKQBcAG4AdABfAHIAaQBjAGUAdwBwAG8AIAA9ACAAYwB1AGwAdABpAHYAYQB0AGkAbwBuACAAcABlAHIAaQBvAGQAIABmAG8AcgAgAHIAaQBjAGUAIAB1AG4AZABlAHIAIABjAG8AbgBkAGkAdABpAG8AbgBzACAAdwAsACAAcAAsACAAYQBuAGQAIABvACAAKABkAGEAeQBzACkAXABuAC0ALQAtAC0ALQAtAC0ALQAtAC0ALQAtAC0ALQAtAC0ALQAtAC0ALQAtAC0ALQAtAC0ALQAtAC0ALQAtAC0ALQAtAC0ALQAtAC0ALQBcAG4AKgAvAFwAbgBcAG4AVgBFAEUAUgBHAF8ANwBfADEAXwAxAF8AMQBfAF8AMQBfAE0AZQB0AGgAYQBuAGUARQBtAGkAcwBzAGkAbwBuAHMARgByAG8AbQBSAGkAYwBlAEMAdQBsAHQAaQB2AGEAdABpAG8AbgBcAG4AIAAgAD0ATABBAE0AQgBEAEEAKABcAG4AIAAgACAAIABBAF8AcgBpAGMAZQB3AHAAbwAsACAARQBGAF8AcgBpAGMAZQB3AHAAbwAsACAAdABfAHIAaQBjAGUAdwBwAG8ALABcAG4AIAAgACAAIABTAFUATQAoAEEAXwByAGkAYwBlAHcAcABvACAAKgAgAEUARgBfAHIAaQBjAGUAdwBwAG8AIAAqACAAdABfAHIAaQBjAGUAdwBwAG8AKQAgACoAIAAxADAAIABeACAALQAzAFwAbgAgACAAKQA7AFwAbgBcAG4AVgBFAEUAUgBHAF8ANwBfADEAXwAxAF8AMQBfAF8AMQBfAE0AZQB0AGgAYQBuAGUARQBtAGkAcwBzAGkAbwBuAHMARgByAG8AbQBSAGkAYwBlAEMAdQBsAHQAaQB2AGEAdABpAG8AbgBfAFQAaQB0AGwAZQBcAG4AIAAgAD0ATABBAE0AQgBEAEEAKABcACIATQBlAHQAaABhAG4AZQAgAGUAbQBpAHMAcwBpAG8AbgBzACAAZgByAG8AbQAgAHIAaQBjAGUAIABjAHUAbAB0AGkAdgBhAHQAaQBvAG4AXAAiACkAOwBcAG4AXABuAFYARQBFAFIARwBfADcAXwAxAF8AMQBfADEAXwBfADEAXwBNAGUAdABoAGEAbgBlAEUAbQBpAHMAcwBpAG8AbgBzAEYAcgBvAG0AUgBpAGMAZQBDAHUAbAB0AGkAdgBhAHQAaQBvAG4AXwBWAGEAcgBpAGEAYgBsAGUAXABuACAAIAA9AEwAQQBNAEIARABBACgAXAAiAEUAXwByAGkAYwBlAFwAIgApADsAXABuAFwAbgBWAEUARQBSAEcAXwA3AF8AMQBfADEAXwAxAF8AXwAxAF8ATQBlAHQAaABhAG4AZQBFAG0AaQBzAHMAaQBvAG4AcwBGAHIAbwBtAFIAaQBjAGUAQwB1AGwAdABpAHYAYQB0AGkAbwBuAF8AVQBuAGkAdABcAG4AIAAgAD0ATABBAE0AQgBEAEEAKABcACIAdAAgAEMASAA0AFwAIgApADsAXABuAFwAbgBWAEUARQBSAEcAXwA3AF8AMQBfADEAXwAxAF8AXwAxAF8ATQBlAHQAaABhAG4AZQBFAG0AaQBzAHMAaQBvAG4AcwBGAHIAbwBtAFIAaQBjAGUAQwB1AGwAdABpAHYAYQB0AGkAbwBuAF8AUwBvAHUAcgBjAGUAXABuACAAIAA9AEwAQQBNAEIARABBACgAXAAiAFYARQBFAFIARwAgADIAMAAyADYAOgAgADcALgAxAC4AMQAuADEALAAgAEUAcQB1AGEAdABpAG8AbgAgACgAMQApAFwAIgApADsAXABuAFwAbgBWAEUARQBSAEcAXwA3AF8AMQBfADEAXwAxAF8AXwAxAF8ATQBlAHQAaABhAG4AZQBFAG0AaQBzAHMAaQBvAG4AcwBGAHIAbwBtAFIAaQBjAGUAQwB1AGwAdABpAHYAYQB0AGkAbwBuAF8ATgBJAFIAUgBlAGYAZQByAGUAbgBjAGUAXABuACAAIAA9AEwAQQBNAEIARABBACgAXAAiAFwAIgApADsAXABuAFwAbgBWAEUARQBSAEcAXwA3AF8AMQBfADEAXwAxAF8AXwAxAF8ATQBlAHQAaABhAG4AZQBFAG0AaQBzAHMAaQBvAG4AcwBGAHIAbwBtAFIAaQBjAGUAQwB1AGwAdABpAHYAYQB0AGkAbwBuAF8ATABhAHQAZQB4AEUAcQB1AGEAdABpAG8AbgBcAG4AIAAgAD0ATABBAE0AQgBEAEEAKABcACIARQBfAHsAcgBpAGMAZQB9AD0AXABcAHMAdQBtAF8AdwBcAFwAcwB1AG0AXwBwAFwAXABzAHUAbQBfAG8AKABBAF8AewByAGkAYwBlACwAdwBwAG8AfQBcAFwAdABpAG0AZQBzACAARQBGAF8AewByAGkAYwBlACwAdwBwAG8AfQBcAFwAdABpAG0AZQBzACAAdABfAHsAcgBpAGMAZQAsAHcAcABvAH0AKQBcAFwAdABpAG0AZQBzACAAMQAwAF4AewAtADMAfQBcACIAKQA7AFwAbgBcAG4AVgBFAEUAUgBHAF8ANwBfADEAXwAxAF8AMQBfAF8AMQBfAE0AZQB0AGgAYQBuAGUARQBtAGkAcwBzAGkAbwBuAHMARgByAG8AbQBSAGkAYwBlAEMAdQBsAHQAaQB2AGEAdABpAG8AbgBfAEEAcgBnAHUAbQBlAG4AdABzAFwAbgAgACAAPQBMAEEATQBCAEQAQQAoAFwAbgAgACAAIAAgAE0AQQBLAEUAQQBSAFIAQQBZACgANAAsACAANAAsAFwAbgAgACAAIAAgACAAIABMAEEATQBCAEQAQQAoAHIALABjACwAXABuACAAIAAgACAAIAAgACAAIABJAE4ARABFAFgAKAB7AFwAbgAgACAAIAAgACAAIAAgACAAIAAgAFwAIgBBAF8AcgBpAGMAZQB3AHAAbwBcACIALAAgAFwAIg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BcACIALAAgAFwAIgBoAGEAXAAiACwAIABcACIASQBuAHAAdQB0AFwAIgA7AFwAbgAgACAAIAAgACAAIAAgACAAIAAgAFwAIgBFAEYAXwByAGkAYwBlAHcAcABvAFwAIgAsACAAXAAiAGUAbQBpAHMAcwBpAG8AbgAgAGYAYQBjAHQAbwByACAAZgBvAHIAIAByAGkAYwBlACAAYwB1AGwAdABpAHYAYQB0AGkAbwBuACAAdQBuAGQAZQByACAAYwBvAG4AZABpAHQAaQBvAG4AcwAgAHcALAAgAHAALAAgAGEAbgBkACAAbwBcACIALAAgAFwAIgBrAGcAIABDAEgANAAvAGgAYQAvAGQAYQB5AFwAIgAsACAAXAAiAEMAYQBsAGMAdQBsAGEAdABlAGQAIABmAHIAbwBtACAANwAuADEALgAxAC4AMQAsACAAKAAyACkAXAAiADsAXABuACAAIAAgACAAIAAgACAAIAAgACAAXAAiAHQAXwByAGkAYwBlAHcAcABvAFwAIgAsACAAXAAiAGMAdQBsAHQAaQB2AGEAdABpAG8AbgAgAHAAZQByAGkAbwBkACAAZgBvAHIAIAByAGkAYwBlACAAdQBuAGQAZQByACAAYwBvAG4AZABpAHQAaQBvAG4AcwAgAHcALAAgAHAALAAgAGEAbgBkACAAbwBcACIALAAgAFwAIgBkAGEAeQBzAFwAIgAsACAAXAAiAEkAbgBwAHUAdABcACIAOwBcAG4AIAAgACAAIAAgACAAIAAgACAAIABcACIAcwBcACIALAAgAFwAIgBuAHUAbQBiAGUAcgAgAG8AZgAgAGMAcgBvAHAAcABpAG4AZwAgAHMAZQBhAHMAbwBuAHMAIABpAG4AIAByAGUAcABvAHIAdABpAG4AZwAgAHAAZQByAGkAbwBkACAAbQBhAG4AYQBnAGUAZAAgAHQAaABpAHMAIAB3AGEAeQBcACIALAAgAFwAIgBzAGUAYQBzAG8AbgBzAFwAIgAsACAAXAAiAEkAbgBwAHUAdABcACIAXABuACAAIAAgACAAIAAgACAAIAB9ACwAIAByACwAIABjACkAXABuACAAIAAgACAAIAAgACkAXABuACAAIAAgACAAKQBcAG4AIAAgACkAOwBcAG4AXABuAFYARQBFAFIARwBfADcAXwAxAF8AMQBfADEAXwBfADEAXwBNAGUAdABoAGEAbgBlAEUAbQBpAHMAcwBpAG8AbgBzAEYAcgBvAG0AUgBpAGMAZQBDAHUAbAB0AGkAdgBhAHQAaQBvAG4AXwBWAGEAcgBpAGEAdABpAG8AbgBcAG4AIAAgAD0ATABBAE0AQgBEAEEAKABcACIAQQBkAGQAZQBkACAAJwBuAHUAbQBiAGUAcgAgAG8AZgAgAHMAZQBhAHMAbwBuAHMAJwAgAHYAYQByAGkAYQBiAGwAZQAgAGEAcwAgAHAAZQByACAAVgBFAEUAUgBHACAAZABlAHMAYwByAGkAcAB0AGkAbwBuACAAaQBuACAANwAuADIALgAxACAAJwBXAGgAZQByAGUAIAB0AGgAZQByAGUAIABpAHMAIABtAG8AcgBlACAAdABoAGEAbgAgAG8AbgBlACAAYwByAG8AcABwAGkAbgBnACAAcwBlAGEAcwBvAG4AIABwAGUAcgAgAHkAZQBhAHIALAAgAEEAcgBpAGMAZQAsAHcAcABvACAAcwBoAGEAbABsACAAYgBlACAAcwBjAGEAbABlAGQAIABhAGMAYwBvAHIAZABpAG4AZwBsAHkAJwBcACIAKQA7AFwAbgBcAG4ALwAqAFwAbgAtAC0ALQAtAC0ALQAtAC0ALQAtAC0ALQAtAC0ALQAtAC0ALQAtAC0ALQAtAC0ALQAtAC0ALQAtAC0ALQAtAC0ALQAtAC0ALQAtAC0AXABuAFYARQBFAFIARwBfADcAXwAxAF8AMQBfADEAXwBfADIAXwBFAG0AaQBzAHMAaQBvAG4ARgBhAGMAdABvAHIARgBvAHIAUgBpAGMAZQBDAHUAbAB0AGkAdgBhAHQAaQBvAG4AXABuAEUAbQBpAHMAcwBpAG8AbgAgAGYAYQBjAHQAbwByACAAZgBvAHIAIAByAGkAYwBlACAAYwB1AGwAdABpAHYAYQB0AGkAbwBuAFwAbgBFAEYAXwByAGkAYwBlAHcAcABvAFwAbgBrAGcAIABDAEgANAAvAGgAYQAvAGQAYQB5AFwAbgBFAEYAXwB7AHIAaQBjAGUALAB3AHAAbwB9AD0ARQBGAF8AYwBcAFwAdABpAG0AZQBzACAAUwBGAF8AdwBcAFwAdABpAG0AZQBzACAAUwBGAF8AcABcAFwAdABpAG0AZQBzACAAUwBGAF8AbwBcAG4ARQBGAF8AYwAgAD0AIABiAGEAcwBlAGwAaQBuAGUAIABlAG0AaQBzAHMAaQBvAG4AIABmAGEAYwB0AG8AcgAgAGYAbwByACAAYwBvAG4AdABpAG4AdQBvAHUAcwBsAHkAIABmAGwAbwBvAGQAZQBkACAAZgBpAGUAbABkAHMAIAB3AGkAdABoAG8AdQB0ACAAbwByAGcAYQBuAGkAYwAgAGEAbQBlAG4AZABtAGUAbgB0AHMAIAAoAGsAZwAgAEMASAA0AC8AaABhAC8AZABhAHkAKQBcAG4AUwBGAF8AdwAgAD0AIABzAGMAYQBsAGkAbgBnACAAZgBhAGMAdABvAHIAIABmAG8AcgAgAHcAYQB0AGUAcgAgAHIAZQBnAGkAbQBlACAAZAB1AHIAaQBuAGcAIAB0AGgAZQAgAGcAcgBvAHcAaQBuAGcAIABzAGUAYQBzAG8AbgBcAG4AUwBGAF8AcAAgAD0AIABzAGMAYQBsAGkAbgBnACAAZgBhAGMAdABvAHIAIABmAG8AcgAgAHcAYQB0AGUAcgAgAHIAZQBnAGkAbQBlACAAaQBuACAAdABoAGUAIABwAHIAZQAtAHMAZQBhAHMAbwBuAFwAbgBTAEYAXwBvACAAPQAgAHMAYwBhAGwAaQBuAGcAIABmAGEAYwB0AG8AcgAgAGYAbwByACAAdAB5AHAAZQAgAGEAbgBkACAAYQBtAG8AdQBuAHQAIABvAGYAIABvAHIAZwBhAG4AaQBjACAAYQBtAGUAbgBkAG0AZQBuAHQAcwAgACgAcwBlAHQAIAB0AG8AIAAxACAAZgBvAHIAIABpAG4AbwByAGcAYQBuAGkAYwAgAGYAZQByAHQAaQBsAGkAcwBlAHIAIAB1AHMAZQApAFwAbgAtAC0ALQAtAC0ALQAtAC0ALQAtAC0ALQAtAC0ALQAtAC0ALQAtAC0ALQAtAC0ALQAtAC0ALQAtAC0ALQAtAC0ALQAtAC0ALQAtAC0AXABuACoALwBcAG4AXABuAFYARQBFAFIARwBfADcAXwAxAF8AMQBfADEAXwBfADIAXwBFAG0AaQBzAHMAaQBvAG4ARgBhAGMAdABvAHIARgBvAHIAUgBpAGMAZQBDAHUAbAB0AGkAdgBhAHQAaQBvAG4AXABuACAAIAA9AEwAQQBNAEIARABBACgAXABuACAAIAAgACAARQBGAF8AYwAsACAAUwBGAF8AdwAsACAAUwBGAF8AcAAsACAAUwBGAF8AbwAsAFwAbgAgACAAIAAgAEUARgBfAGMAIAAqACAAUwBGAF8AdwAgACoAIABTAEYAXwBwACAAKgAgAFMARgBfAG8AXABuACAAIAApADsAXABuAFwAbgBWAEUARQBSAEcAXwA3AF8AMQBfADEAXwAxAF8AXwAyAF8ARQBtAGkAcwBzAGkAbwBuAEYAYQBjAHQAbwByAEYAbwByAFIAaQBjAGUAQwB1AGwAdABpAHYAYQB0AGkAbwBuAF8AVABpAHQAbABlAFwAbgAgACAAPQBMAEEATQBCAEQAQQAoAFwAIgBFAG0AaQBzAHMAaQBvAG4AIABmAGEAYwB0AG8AcgAgAGYAbwByACAAcgBpAGMAZQAgAGMAdQBsAHQAaQB2AGEAdABpAG8AbgBcACIAKQA7AFwAbgBcAG4AVgBFAEUAUgBHAF8ANwBfADEAXwAxAF8AMQBfAF8AMgBfAEUAbQBpAHMAcwBpAG8AbgBGAGEAYwB0AG8AcgBGAG8AcgBSAGkAYwBlAEMAdQBsAHQAaQB2AGEAdABpAG8AbgBfAFYAYQByAGkAYQBiAGwAZQBcAG4AIAAgAD0ATABBAE0AQgBEAEEAKABcACIARQBGAF8AcgBpAGMAZQB3AHAAbwBcACIAKQA7AFwAbgBcAG4AVgBFAEUAUgBHAF8ANwBfADEAXwAxAF8AMQBfAF8AMgBfAEUAbQBpAHMAcwBpAG8AbgBGAGEAYwB0AG8AcgBGAG8AcgBSAGkAYwBlAEMAdQBsAHQAaQB2AGEAdABpAG8AbgBfAFUAbgBpAHQAXABuACAAIAA9AEwAQQBNAEIARABBACgAXAAiAGsAZwAgAEMASAA0AC8AaABhAC8AZABhAHkAXAAiACkAOwBcAG4AXABuAFYARQBFAFIARwBfADcAXwAxAF8AMQBfADEAXwBfADIAXwBFAG0AaQBzAHMAaQBvAG4ARgBhAGMAdABvAHIARgBvAHIAUgBpAGMAZQBDAHUAbAB0AGkAdgBhAHQAaQBvAG4AXwBTAG8AdQByAGMAZQBcAG4AIAAgAD0ATABBAE0AQgBEAEEAKABcACIAVgBFAEUAUgBHACAAMgAwADIANgA6ACAANwAuADEALgAxAC4AMQAsACAARQBxAHUAYQB0AGkAbwBuACAAKAAyACkAXAAiACkAOwBcAG4AXABuAFYARQBFAFIARwBfADcAXwAxAF8AMQBfADEAXwBfADIAXwBFAG0AaQBzAHMAaQBvAG4ARgBhAGMAdABvAHIARgBvAHIAUgBpAGMAZQBDAHUAbAB0AGkAdgBhAHQAaQBvAG4AXwBOAEkAUgBSAGUAZgBlAHIAZQBuAGMAZQBcAG4AIAAgAD0ATABBAE0AQgBEAEEAKABcACIAXAAiACkAOwBcAG4AXABuAFYARQBFAFIARwBfADcAXwAxAF8AMQBfADEAXwBfADIAXwBFAG0AaQBzAHMAaQBvAG4ARgBhAGMAdABvAHIARgBvAHIAUgBpAGMAZQBDAHUAbAB0AGkAdgBhAHQAaQBvAG4AXwBMAGEAdABlAHgARQBxAHUAYQB0AGkAbwBuAFwAbgAgACAAPQBMAEEATQBCAEQAQQAoAFwAIgBFAEYAXwB7AHIAaQBjAGUALAB3AHAAbwB9AD0ARQBGAF8AYwBcAFwAdABpAG0AZQBzACAAUwBGAF8AdwBcAFwAdABpAG0AZQBzACAAUwBGAF8AcABcAFwAdABpAG0AZQBzACAAUwBGAF8AbwBcACIAKQA7AFwAbgBcAG4AVgBFAEUAUgBHAF8ANwBfADEAXwAxAF8AMQBfAF8AMgBfAEUAbQBpAHMAcwBpAG8AbgBGAGEAYwB0AG8AcgBGAG8AcgBSAGkAYwBlAEMAdQBsAHQAaQB2AGEAdABpAG8AbgBfAEEAcgBnAHUAbQBlAG4AdABzAFwAbgAgACAAPQBMAEEATQBCAEQAQQAoAFwAbgAgACAAIAAgAE0AQQBLAEUAQQBSAFIAQQBZACgANwAsACAANAAsAFwAbgAgACAAIAAgACAAIABMAEEATQBCAEQAQQAoAHIALABjACwAXABuACAAIAAgACAAIAAgACAAIABJAE4ARABFAFgAKAB7AFwAbgAgACAAIAAgACAAIAAgACAAIAAgAFwAIgBFAEYAXwBjAFwAIgAsACAAXAAiAGIAYQBzAGUAbABpAG4AZQAgAGUAbQBpAHMAcwBpAG8AbgAgAGYAYQBjAHQAbwByACAAZgBvAHIAIABjAG8AbgB0AGkAbgB1AG8AdQBzAGwAeQAgAGYAbABvAG8AZABlAGQAIABmAGkAZQBsAGQAcwAgAHcAaQB0AGgAbwB1AHQAIABvAHIAZwBhAG4AaQBjACAAYQBtAGUAbgBkAG0AZQBuAHQAcwBcACIALAAgAFwAIgBrAGcAIABDAEgANAAvAGgAYQAvAGQAYQB5AFwAIgAsACAAXAAiAEMAbwBuAHMAdABhAG4AdABcACIAOwBcAG4AIAAgACAAIAAgACAAIAAgACAAIABcACIAUwBGAF8AdwBcACIALAAgAFwAIgBzAGMAYQBsAGkAbgBnACAAZgBhAGMAdABvAHIAIABmAG8AcgAgAHcAYQB0AGUAcgAgAHIAZQBnAGkAbQBlACAAZAB1AHIAaQBuAGcAIAB0AGgAZQAgAGcAcgBvAHcAaQBuAGcAIABzAGUAYQBzAG8AbgBcACIALAAgAFwAIgBmAHIAYQBjAHQAaQBvAG4AXAAiACwAIABcACIAQwBvAG4AcwB0AGEAbgB0AFwAIgA7AFwAbgAgACAAIAAgACAAIAAgACAAIAAgAFwAIgBTAEYAXwBwAFwAIgAsACAAXAAiAHMAYwBhAGwAaQBuAGcAIABmAGEAYwB0AG8AcgAgAGYAbwByACAAdwBhAHQAZQByACAAcgBlAGcAaQBtAGUAIABpAG4AIAB0AGgAZQAgAHAAcgBlAC0AcwBlAGEAcwBvAG4AXAAiACwAIABcACIAZgByAGEAYwB0AGkAbwBuAFwAIgAsACAAXAAiAEMAbwBuAHMAdABhAG4AdABcACIAOwBcAG4AIAAgACAAIAAgACAAIAAgACAAIABcACIAUwBGAF8AbwBcACIALAAgAFwAIgBzAGMAYQBsAGkAbgBnACAAZgBhAGMAdABvAHIAIABmAG8AcgAgAHQAeQBwAGUAIABhAG4AZAAgAGEAbQBvAHUAbgB0ACAAbwBmACAAbwByAGcAYQBuAGkAYwAgAGEAbQBlAG4AZABtAGUAbgB0AHMAXAAiACwAIABcACIAZgByAGEAYwB0AGkAbwBuAFwAIgAsACAAXAAiAEMAYQBsAGMAdQBsAGEAdABlAGQAIABmAHIAbwBtACAANwAuADEALgAxAC4AMQAsACAAKAAzACkAXAAiADsAXABuACAAIAAgACAAIAAgACAAIAAgACAAXAAiAHcAXAAiACwAIABcACIAdwBhAHQAZQByACAAcgBlAGcAaQBtAGUAIABkAHUAcgBpAG4AZwAgAGcAcgBvAHcAaQBuAGcAIABzAGUAYQBzAG8AbgBcACIALAAgAFwAIgBcACIALAAgAFwAIgBJAG4AcAB1AHQAXAAiADsAXABuACAAIAAgACAAIAAgACAAIAAgACAAXAAiAHAAXAAiACwAIABcACIAcAByAGUALQBzAGUAYQBzAG8AbgAgAHcAYQB0AGUAcgAgAHIAZQBnAGkAbQBlAFwAIgAsACAAXAAiAFwAIgAsACAAXAAiAEkAbgBwAHUAdABcACIAOwBcAG4AIAAgACAAIAAgACAAIAAgACAAIABcACIAbwBcACIALAAgAFwAIgBvAHIAZwBhAG4AaQBjACAAYQBtAGUAbgBkAG0AZQBuAHQ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cAXwAxAF8AMQBfADEAXwBfADMAXwBPAHIAZwBhAG4AaQBjAEEAbQBlAG4AZABtAGUAbgB0AHMAUwBjAGEAbABpAG4AZwBGAGEAYwB0AG8AcgBcAG4ATwByAGcAYQBuAGkAYwAgAGEAbQBlAG4AZABtAGUAbgB0AHMAIABzAGMAYQBsAGkAbgBnACAAZgBhAGMAdABvAHIAXABuAFMARgBfAG8AXABuAGQAaQBtAGUAbgBzAGkAbwBuAGwAZQBzAHMAXABuAFMARgBfAG8APQAoADEAKwBcAFwAcwB1AG0AXwBvACgAUgBPAEEAXwBvAFwAXAB0AGkAbQBlAHMAIABDAEYATwBBAF8AbwApACkAXgB7ADAALgA1ADkAfQBcAG4AUgBPAEEAXwBvACAAPQAgAGEAcABwAGwAaQBjAGEAdABpAG8AbgAgAHIAYQB0AGUAIABvAGYAIABvAHIAZwBhAG4AaQBjACAAYQBtAGUAbgBkAG0AZQBuAHQAIABvACAAKAB0AG8AbgBuAGUAcwAvAGgAYQApAFwAbgBDAEYATwBBAF8AbwAgAD0AIABjAG8AbgB2AGUAcgBzAGkAbwBuACAAZgBhAGMAdABvAHIAIABvAGYAIABvAHIAZwBhAG4AaQBjACAAYQBtAGUAbgBkAG0AZQBuAHQAIABvAFwAbgAtAC0ALQAtAC0ALQAtAC0ALQAtAC0ALQAtAC0ALQAtAC0ALQAtAC0ALQAtAC0ALQAtAC0ALQAtAC0ALQAtAC0ALQAtAC0ALQAtAC0AXABuACoALwBcAG4AXABuAFYARQBFAFIARwBfADcAXwAxAF8AMQBfADEAXwBfADMAXwBPAHIAZwBhAG4AaQBjAEEAbQBlAG4AZABtAGUAbgB0AHMAUwBjAGEAbABpAG4AZwBGAGEAYwB0AG8AcgBcAG4AIAAgAD0ATABBAE0AQgBEAEEAKABcAG4AIAAgACAAIABSAE8AQQBfAG8ALAAgAEMARgBPAEEAXwBvACwAXABuACAAIAAgACAAKAAxACAAKwAgAFMAVQBNACgAUgBPAEEAXwBvACAAKgAgAEMARgBPAEEAXwBvACkAKQAgAF4AIAAwAC4ANQA5AFwAbgAgACAAKQA7AFwAbgBcAG4AVgBFAEUAUgBHAF8ANwBfADEAXwAxAF8AMQBfAF8AMwBfAE8AcgBnAGEAbgBpAGMAQQBtAGUAbgBkAG0AZQBuAHQAcwBTAGMAYQBsAGkAbgBnAEYAYQBjAHQAbwByAFYAYQByAGkAYQB0AGkAbwBuAFwAbgAgACAAPQBMAEEATQBCAEQAQQAoAFwAbgAgACAAIAAgAFIATwBBAF8AbwAxACwAIABDAEYATwBBAF8AbwAxACwAIABSAE8AQQBfAG8AMgAsACAAQwBGAE8AQQBfAG8AMgAsACAAUgBPAEEAXwBvADMALAAgAEMARgBPAEEAXwBvADMALAAgAFIATwBBAF8AbwA0ACwAIABDAEYATwBBAF8AbwA0ACwAIABSAE8AQQBfAG8ANQAsACAAQwBGAE8AQQBfAG8ANQAsACAAUgBPAEEAXwBvADYALAAgAEMARgBPAEEAXwBvADYALABcAG4AIAAgACAAIAAoADEAIAArACAAKAAoAFIATwBBAF8AbwAxACAAKgAgAEMARgBPAEEAXwBvADEAKQAgACsAIAAoAFIATwBBAF8AbwAyACAAKgAgAEMARgBPAEEAXwBvADIAKQAgACsAIAAoAFIATwBBAF8AbwAzACAAKgAgAEMARgBPAEEAXwBvADMAKQArACAAKABSAE8AQQBfAG8ANAAgACoAIABDAEYATwBBAF8AbwA0ACkAIAArACAAKABSAE8AQQBfAG8ANQAgACoAIABDAEYATwBBAF8AbwA1ACkAIAArACAAKABSAE8AQQBfAG8ANgAgACoAIABDAEYATwBBAF8AbwA2ACkAKQApACAAXgAgADAALgA1ADkAXABuACAAIAApADsAXABuAFwAbgBWAEUARQBSAEcAXwA3AF8AMQBfADEAXwAxAF8AXwAzAF8ATwByAGcAYQBuAGkAYwBBAG0AZQBuAGQAbQBlAG4AdABzAFMAYwBhAGwAaQBuAGcARgBhAGMAdABvAHIAXwBUAGkAdABsAGUAXABuACAAIAA9AEwAQQBNAEIARABBACgAXAAiAE8AcgBnAGEAbgBpAGMAIABhAG0AZQBuAGQAbQBlAG4AdABzACAAcwBjAGEAbABpAG4AZwAgAGYAYQBjAHQAbwByAFwAIgApADsAXABuAFwAbgBWAEUARQBSAEcAXwA3AF8AMQBfADEAXwAxAF8AXwAzAF8ATwByAGcAYQBuAGkAYwBBAG0AZQBuAGQAbQBlAG4AdABzAFMAYwBhAGwAaQBuAGcARgBhAGMAdABvAHIAXwBWAGEAcgBpAGEAYgBsAGUAXABuACAAIAA9AEwAQQBNAEIARABBACgAXAAiAFMARgBfAG8AXAAiACkAOwBcAG4AXABuAFYARQBFAFIARwBfADcAXwAxAF8AMQBfADEAXwBfADMAXwBPAHIAZwBhAG4AaQBjAEEAbQBlAG4AZABtAGUAbgB0AHMAUwBjAGEAbABpAG4AZwBGAGEAYwB0AG8AcgBfAFUAbgBpAHQAXABuACAAIAA9AEwAQQBNAEIARABBACgAXAAiAGQAaQBtAGUAbgBzAGkAbwBuAGwAZQBzAHMAXAAiACkAOwBcAG4AXABuAFYARQBFAFIARwBfADcAXwAxAF8AMQBfADEAXwBfADMAXwBPAHIAZwBhAG4AaQBjAEEAbQBlAG4AZABtAGUAbgB0AHMAUwBjAGEAbABpAG4AZwBGAGEAYwB0AG8AcgBfAFMAbwB1AHIAYwBlAFwAbgAgACAAPQBMAEEATQBCAEQAQQAoAFwAIgBWAEUARQBSAEcAIAAyADAAMgA2ADoAIAA3AC4AMQAuADEALgAxACwAIABFAHEAdQBhAHQAaQBvAG4AIAAoADMAKQBcACIAKQA7AFwAbgBcAG4AVgBFAEUAUgBHAF8ANwBfADEAXwAxAF8AMQBfAF8AMwBfAE8AcgBnAGEAbgBpAGMAQQBtAGUAbgBkAG0AZQBuAHQAcwBTAGMAYQBsAGkAbgBnAEYAYQBjAHQAbwByAF8ATgBJAFIAUgBlAGYAZQByAGUAbgBjAGUAXABuACAAIAA9AEwAQQBNAEIARABBACgAXAAiAFwAIgApADsAXABuAFwAbgBWAEUARQBSAEcAXwA3AF8AMQBfADEAXwAxAF8AXwAzAF8ATwByAGcAYQBuAGkAYwBBAG0AZQBuAGQAbQBlAG4AdABzAFMAYwBhAGwAaQBuAGcARgBhAGMAdABvAHIAXwBMAGEAdABlAHgARQBxAHUAYQB0AGkAbwBuAFwAbgAgACAAPQBMAEEATQBCAEQAQQAoAFwAIgBTAEYAXwBvAD0AKAAxACsAXABcAHMAdQBtAF8AbwBSAE8AQQBfAG8AXABcAHQAaQBtAGUAcwAgAEMARgBPAEEAXwBvACkAXgB7ADAALgA1ADkAfQBcACIAKQA7AFwAbgBcAG4AVgBFAEUAUgBHAF8ANwBfADEAXwAxAF8AMQBfAF8AMwBfAE8AcgBnAGEAbgBpAGMAQQBtAGUAbgBkAG0AZQBuAHQAcwBTAGMAYQBsAGkAbgBnAEYAYQBjAHQAbwByAF8ATABhAHQAZQB4AEUAcQB1AGEAdABpAG8AbgBWAGEAcgBpAGEAdABpAG8AbgBcAG4AIAAgAD0ATABBAE0AQgBEAEEAKABcACIAUwBGAF8AbwA9ACgAMQArACAAKAAoAFIATwBBAF8AbwAxAFwAXAB0AGkAbQBlAHMAIABDAEYATwBBAF8AbwAxACkAIAArACAAKABSAE8AQQBfAG8AMgBcAFwAdABpAG0AZQBzACAAQwBGAE8AQQBfAG8AMgApACAAKwAgACgAUgBPAEEAXwBvADMAXABcAHQAaQBtAGUAcwAgAEMARgBPAEEAXwBvADMAKQAgACsAIAAoAFIATwBBAF8AbwA0AFwAXAB0AGkAbQBlAHMAIABDAEYATwBBAF8AbwA0ACkAIAArACAAKABSAE8AQQBfAG8ANQBcAFwAdABpAG0AZQBzACAAQwBGAE8AQQBfAG8ANQApACAAKwAgACgAUgBPAEEAXwBvADYAXABcAHQAaQBtAGUAcwAgAEMARgBPAEEAXwBvADYAKQApAF4AewAwAC4ANQA5AH0AXAAiACkAOwBcAG4AXABuAFYARQBFAFIARwBfADcAXwAxAF8AMQBfADEAXwBfADMAXwBPAHIAZwBhAG4AaQBjAEEAbQBlAG4AZABtAGUAbgB0AHMAUwBjAGEAbABpAG4AZwBGAGEAYwB0AG8AcgBfAEEAcgBnAHUAbQBlAG4AdABzAFwAbgAgACAAPQBMAEEATQBCAEQAQQAoAFwAbgAgACAAIAAgAE0AQQBLAEUAQQBSAFIAQQBZACgAMwAsACAANAAsAFwAbgAgACAAIAAgACAAIABMAEEATQBCAEQAQQAoAHIALABjACwAXABuACAAIAAgACAAIAAgACAAIABJAE4ARABFAFgAKAB7AFwAbgAgACAAIAAgACAAIAAgACAAIAAgAFwAIgBSAE8AQQBfAG8AXAAiACwAIABcACIAYQBwAHAAbABpAGMAYQB0AGkAbwBuACAAcgBhAHQAZQAgAG8AZgAgAG8AcgBnAGEAbgBpAGMAIABhAG0AZQBuAGQAbQBlAG4AdAAgAG8AXAAiACwAIABcACIAdABvAG4AbgBlAHMALwBoAGEAXAAiACwAIABcACIASQBuAHAAdQB0AFwAIgA7AFwAbgAgACAAIAAgACAAIAAgACAAIAAgAFwAIgBDAEYATwBBAF8AbwBcACIALAAgAFwAIgBjAG8AbgB2AGUAcgBzAGkAbwBuACAAZgBhAGMAdABvAHIAIABvAGYAIABvAHIAZwBhAG4AaQBjACAAYQBtAGUAbgBkAG0AZQBuAHQAIABvAFwAIgAsACAAXAAiAGYAcgBhAGMAdABpAG8AbgBcACIALAAgAFwAIgBDAG8AbgBzAHQAYQBuAHQAXAAiADsAXABuACAAIAAgACAAIAAgACAAIAAgACAAXAAiAG8AXAAiACwAIABcACIAbwByAGcAYQBuAGkAYwAgAGEAbQBlAG4AZABtAGUAbgB0ACAAdAB5AHAAZQBcACIALAAgAFwAIgBcACIALAAgAFwAIgBJAG4AcAB1AHQAXAAiAFwAbgAgACAAIAAgACAAIAAgACAAfQAsACAAcgAsACAAYwApAFwAbgAgACAAIAAgACAAIAApAFwAbgAgACAAIAAgACkAXABuACAAIAApADsAXABuAFwAbgBWAEUARQBSAEcAXwA3AF8AMQBfADEAXwAxAF8AXwAzAF8ATwByAGcAYQBuAGkAYwBBAG0AZQBuAGQAbQBlAG4AdABzAFMAYwBhAGwAaQBuAGcARgBhAGMAdABvAHIAXwBWAGEAcgBpAGEAdABpAG8AbgBcAG4AIAAgAD0ATABBAE0AQgBEAEEAKABcAG4AIAAgACAAIABNAEEASwBFAEEAUgBSAEEAWQAoADQALAAgADEALABcAG4AIAAgACAAIAAgACAATABBAE0AQgBEAEEAKAByACwAYwAsAFwAbgAgACAAIAAgACAAIAAgACAASQBOAEQARQBYACgAewBcAG4AIAAgACAAIAAgACAAIAAgACAAIABcACIAVgBBAFIASQBBAFQASQBPAE4AIABPAE4AIABTAE8AVQBSAEMARQA6AFwAIgA7AFwAbgAgACAAIAAgACAAIAAgACAAIAAgAFwAIgBJAG4AYwBsAHUAZABlAGQAIABpAG4AbwByAGcAYQBuAGkAYwAgAGYAZQByAHQAaQBsAGkAcwBlAHIAIABhAHMAIABhAG0AZQBuAGQAbQBlAG4AdAAgAGEAcwAgAHAAZQByACAAVgBFAEUAUgBHACAAZQBxAHUAYQB0AGkAbwBuACAAZABlAHMAYwByAGkAcAB0AGkAbwBuADoAXAAiADsAXABuACAAIAAgACAAIAAgACAAIAAgACAAXAAiAFcAaABlAHIAZQAgAGkAbgBvAHIAZwBhAG4AaQBjACAAZgBlAHIAdABpAGwAaQBzAGUAcgAgAGkAcwAgAGEAcABwAGwAaQBlAGQAIAB0AG8AIAB0AGgAZQAgAHIAaQBjAGUAIABmAGkAZQBsAGQAcwAgAHIAYQB0AGgAZQByACAAdABoAGEAbgAgAG8AcgBnAGEAbgBpAGMAIABhAG0AZQBuAGQAbQBlAG4AdABzACwAIABTAEYAXwBvACAAaQBzACAAcwBlAHQAIAB0AG8AIAAxAC4AXAAiADsAXABuACAAIAAgACAAIAAgACAAIAAgACAAXAAiAEQAZQBjAGwAYQByAGUAZAAgAGUAYQBjAGgAIABhAG0AZQBuAGQAbQBlAG4AdAAgAHMAZQBwAGEAcgBhAHQAZQBsAHkAIAB0AG8AIABhAGwAbABvAHcAIABzAHUAbQBtAGkAbgBnACAAaQBuACAARQB4AGMAZQBsACAAaQBuACAAbwBuAGUAIABlAHEAdQBhAHQAaQBvAG4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SAGkAYwBlAEMAdQBsAHQAaQB2AGEAdABpAG8AbgBfAFMAbwB1AHIAYwBlAEQAYQB0AGEALgBTAG8AdQByAGMAZQBEAGEAdABhAF8AUgBpAGMAZQBDAHUAbAB0AGkAdgBhAHQAaQBvAG4AXwBXAGEAdABlAHIAUwBjAGEAbABpAG4AZwBGAGEAYwB0AG8AcgBHAHIAbwB3AGkAbgBnAFMAZQBhAHMAbwBuAF8AVABpAHQAbABlACIALAAiAFIAaQBjAGUAQwB1AGwAdABpAHYAYQB0AGkAbwBuAF8AUwBvAHUAcgBjAGUARABhAHQAYQAuAFMAbwB1AHIAYwBlAEQAYQB0AGEAXwBSAGkAYwBlAEMAdQBsAHQAaQB2AGEAdABpAG8AbgBfAFcAYQB0AGUAcgBTAGMAYQBsAGkAbgBnAEYAYQBjAHQAbwByAEcAcgBvAHcAaQBuAGcAUwBlAGEAcwBvAG4AXwBWAGEAcgBpAGEAYgBsAGUAIgAsACIAUgBpAGMAZQBDAHUAbAB0AGkAdgBhAHQAaQBvAG4AXwBTAG8AdQByAGMAZQBEAGEAdABhAC4AUwBvAHUAcgBjAGUARABhAHQAYQBfAFIAaQBjAGUAQwB1AGwAdABpAHYAYQB0AGkAbwBuAF8AVwBhAHQAZQByAFMAYwBhAGwAaQBuAGcARgBhAGMAdABvAHIARwByAG8AdwBpAG4AZwBTAGUAYQBzAG8AbgBfAFUAbgBpAHQAIgAsACIAUgBpAGMAZQBDAHUAbAB0AGkAdgBhAHQAaQBvAG4AXwBTAG8AdQByAGMAZQBEAGEAdABhAC4AUwBvAHUAcgBjAGUARABhAHQAYQBfAFIAaQBjAGUAQwB1AGwAdABpAHYAYQB0AGkAbwBuAF8AVwBhAHQAZQByAFMAYwBhAGwAaQBuAGcARgBhAGMAdABvAHIARwByAG8AdwBpAG4AZwBTAGUAYQBzAG8AbgBfAFMAbwB1AHIAYwBlACIALAAiAFIAaQBjAGUAQwB1AGwAdABpAHYAYQB0AGkAbwBuAF8AUwBvAHUAcgBjAGUARABhAHQAYQAuAFMAbwB1AHIAYwBlAEQAYQB0AGEAXwBSAGkAYwBlAEMAdQBsAHQAaQB2AGEAdABpAG8AbgBfAFcAYQB0AGUAcgBTAGMAYQBsAGkAbgBnAEYAYQBjAHQAbwByAEcAcgBvAHcAaQBuAGcAUwBlAGEAcwBvAG4AXwBWAGEAcgBpAGEAdABpAG8AbgAiACwAIgBSAGkAYwBlAEMAdQBsAHQAaQB2AGEAdABpAG8AbgBfAFMAbwB1AHIAYwBlAEQAYQB0AGEALgBTAG8AdQByAGMAZQBEAGEAdABhAF8AUgBpAGMAZQBDAHUAbAB0AGkAdgBhAHQAaQBvAG4AXwBXAGEAdABlAHIAUwBjAGEAbABpAG4AZwBGAGEAYwB0AG8AcgBHAHIAbwB3AGkAbgBnAFMAZQBhAHMAbwBuAF8ARABhAHQAYQAiACwAIgBSAGkAYwBlAEMAdQBsAHQAaQB2AGEAdABpAG8AbgBfAFMAbwB1AHIAYwBlAEQAYQB0AGEALgBTAG8AdQByAGMAZQBEAGEAdABhAF8AUgBpAGMAZQBDAHUAbAB0AGkAdgBhAHQAaQBvAG4AXwBXAGEAdABlAHIAUwBjAGEAbABpAG4AZwBGAGEAYwB0AG8AcgBQAHIAZQBTAGUAYQBzAG8AbgBfAFQAaQB0AGwAZQAiACwAIgBSAGkAYwBlAEMAdQBsAHQAaQB2AGEAdABpAG8AbgBfAFMAbwB1AHIAYwBlAEQAYQB0AGEALgBTAG8AdQByAGMAZQBEAGEAdABhAF8AUgBpAGMAZQBDAHUAbAB0AGkAdgBhAHQAaQBvAG4AXwBXAGEAdABlAHIAUwBjAGEAbABpAG4AZwBGAGEAYwB0AG8AcgBQAHIAZQBTAGUAYQBzAG8AbgBfAFYAYQByAGkAYQBiAGwAZQAiACwAIgBSAGkAYwBlAEMAdQBsAHQAaQB2AGEAdABpAG8AbgBfAFMAbwB1AHIAYwBlAEQAYQB0AGEALgBTAG8AdQByAGMAZQBEAGEAdABhAF8AUgBpAGMAZQBDAHUAbAB0AGkAdgBhAHQAaQBvAG4AXwBXAGEAdABlAHIAUwBjAGEAbABpAG4AZwBGAGEAYwB0AG8AcgBQAHIAZQBTAGUAYQBzAG8AbgBfAFUAbgBpAHQAIgAsACIAUgBpAGMAZQBDAHUAbAB0AGkAdgBhAHQAaQBvAG4AXwBTAG8AdQByAGMAZQBEAGEAdABhAC4AUwBvAHUAcgBjAGUARABhAHQAYQBfAFIAaQBjAGUAQwB1AGwAdABpAHYAYQB0AGkAbwBuAF8AVwBhAHQAZQByAFMAYwBhAGwAaQBuAGcARgBhAGMAdABvAHIAUAByAGUAUwBlAGEAcwBvAG4AXwBTAG8AdQByAGMAZQAiACwAIgBSAGkAYwBlAEMAdQBsAHQAaQB2AGEAdABpAG8AbgBfAFMAbwB1AHIAYwBlAEQAYQB0AGEALgBTAG8AdQByAGMAZQBEAGEAdABhAF8AUgBpAGMAZQBDAHUAbAB0AGkAdgBhAHQAaQBvAG4AXwBXAGEAdABlAHIAUwBjAGEAbABpAG4AZwBGAGEAYwB0AG8AcgBQAHIAZQBTAGUAYQBzAG8AbgBfAFYAYQByAGkAYQB0AGkAbwBuACIALAAiAFIAaQBjAGUAQwB1AGwAdABpAHYAYQB0AGkAbwBuAF8AUwBvAHUAcgBjAGUARABhAHQAYQAuAFMAbwB1AHIAYwBlAEQAYQB0AGEAXwBSAGkAYwBlAEMAdQBsAHQAaQB2AGEAdABpAG8AbgBfAFcAYQB0AGUAcgBTAGMAYQBsAGkAbgBnAEYAYQBjAHQAbwByAFAAcgBlAFMAZQBhAHMAbwBuAF8ARABhAHQAYQAiACwAIgBSAGkAYwBlAEMAdQBsAHQAaQB2AGEAdABpAG8AbgBfAFMAbwB1AHIAYwBlAEQAYQB0AGEALgBTAG8AdQByAGMAZQBEAGEAdABhAF8AUgBpAGMAZQBDAHUAbAB0AGkAdgBhAHQAaQBvAG4AXwBPAHIAZwBhAG4AaQBjAEEAbQBlAG4AZABtAGUAbgB0AEMAbwBuAHYAZQByAHMAaQBvAG4ARgBhAGMAdABvAHIAXwBUAGkAdABsAGUAIgAsACIAUgBpAGMAZQBDAHUAbAB0AGkAdgBhAHQAaQBvAG4AXwBTAG8AdQByAGMAZQBEAGEAdABhAC4AUwBvAHUAcgBjAGUARABhAHQAYQBfAFIAaQBjAGUAQwB1AGwAdABpAHYAYQB0AGkAbwBuAF8ATwByAGcAYQBuAGkAYwBBAG0AZQBuAGQAbQBlAG4AdABDAG8AbgB2AGUAcgBzAGkAbwBuAEYAYQBjAHQAbwByAF8AVgBhAHIAaQBhAGIAbABlACIALAAiAFIAaQBjAGUAQwB1AGwAdABpAHYAYQB0AGkAbwBuAF8AUwBvAHUAcgBjAGUARABhAHQAYQAuAFMAbwB1AHIAYwBlAEQAYQB0AGEAXwBSAGkAYwBlAEMAdQBsAHQAaQB2AGEAdABpAG8AbgBfAE8AcgBnAGEAbgBpAGMAQQBtAGUAbgBkAG0AZQBuAHQAQwBvAG4AdgBlAHIAcwBpAG8AbgBGAGEAYwB0AG8AcgBfAFUAbgBpAHQAIgAsACIAUgBpAGMAZQBDAHUAbAB0AGkAdgBhAHQAaQBvAG4AXwBTAG8AdQByAGMAZQBEAGEAdABhAC4AUwBvAHUAcgBjAGUARABhAHQAYQBfAFIAaQBjAGUAQwB1AGwAdABpAHYAYQB0AGkAbwBuAF8ATwByAGcAYQBuAGkAYwBBAG0AZQBuAGQAbQBlAG4AdABDAG8AbgB2AGUAcgBzAGkAbwBuAEYAYQBjAHQAbwByAF8AUwBvAHUAcgBjAGUAIgAsACIAUgBpAGMAZQBDAHUAbAB0AGkAdgBhAHQAaQBvAG4AXwBTAG8AdQByAGMAZQBEAGEAdABhAC4AUwBvAHUAcgBjAGUARABhAHQAYQBfAFIAaQBjAGUAQwB1AGwAdABpAHYAYQB0AGkAbwBuAF8ATwByAGcAYQBuAGkAYwBBAG0AZQBuAGQAbQBlAG4AdABDAG8AbgB2AGUAcgBzAGkAbwBuAEYAYQBjAHQAbwByAF8AVgBhAHIAaQBhAHQAaQBvAG4AIgAsACIAUgBpAGMAZQBDAHUAbAB0AGkAdgBhAHQAaQBvAG4AXwBTAG8AdQByAGMAZQBEAGEAdABhAC4AUwBvAHUAcgBjAGUARABhAHQAYQBfAFIAaQBjAGUAQwB1AGwAdABpAHYAYQB0AGkAbwBuAF8ATwByAGcAYQBuAGkAYwBBAG0AZQBuAGQAbQBlAG4AdABDAG8AbgB2AGUAcgBzAGkAbwBuAEYAYQBjAHQAbwByAF8ARABhAHQAYQAiACwAIgBSAGkAYwBlAEMAdQBsAHQAaQB2AGEAdABpAG8AbgBfAFMAbwB1AHIAYwBlAEQAYQB0AGEALgBTAG8AdQByAGMAZQBEAGEAdABhAF8AUgBpAGMAZQBDAHUAbAB0AGkAdgBhAHQAaQBvAG4AXwBCAGEAcwBlAGwAaQBuAGUARQBGAF8AVABpAHQAbABlACIALAAiAFIAaQBjAGUAQwB1AGwAdABpAHYAYQB0AGkAbwBuAF8AUwBvAHUAcgBjAGUARABhAHQAYQAuAFMAbwB1AHIAYwBlAEQAYQB0AGEAXwBSAGkAYwBlAEMAdQBsAHQAaQB2AGEAdABpAG8AbgBfAEIAYQBzAGUAbABpAG4AZQBFAEYAXwBWAGEAcgBpAGEAYgBsAGUAIgAsACIAUgBpAGMAZQBDAHUAbAB0AGkAdgBhAHQAaQBvAG4AXwBTAG8AdQByAGMAZQBEAGEAdABhAC4AUwBvAHUAcgBjAGUARABhAHQAYQBfAFIAaQBjAGUAQwB1AGwAdABpAHYAYQB0AGkAbwBuAF8AQgBhAHMAZQBsAGkAbgBlAEUARgBfAFUAbgBpAHQAIgAsACIAUgBpAGMAZQBDAHUAbAB0AGkAdgBhAHQAaQBvAG4AXwBTAG8AdQByAGMAZQBEAGEAdABhAC4AUwBvAHUAcgBjAGUARABhAHQAYQBfAFIAaQBjAGUAQwB1AGwAdABpAHYAYQB0AGkAbwBuAF8AQgBhAHMAZQBsAGkAbgBlAEUARgBfAFMAbwB1AHIAYwBlACIALAAiAFIAaQBjAGUAQwB1AGwAdABpAHYAYQB0AGkAbwBuAF8AUwBvAHUAcgBjAGUARABhAHQAYQAuAFMAbwB1AHIAYwBlAEQAYQB0AGEAXwBSAGkAYwBlAEMAdQBsAHQAaQB2AGEAdABpAG8AbgBfAEIAYQBzAGUAbABpAG4AZQBFAEYAXwBWAGEAcgBpAGEAdABpAG8AbgAiACwAIgBSAGkAYwBlAEMAdQBsAHQAaQB2AGEAdABpAG8AbgBfAFMAbwB1AHIAYwBlAEQAYQB0AGEALgBTAG8AdQByAGMAZQBEAGEAdABhAF8AUgBpAGMAZQBDAHUAbAB0AGkAdgBhAHQAaQBvAG4AXwBCAGEAcwBlAGwAaQBuAGUARQBGAF8ARABhAHQAYQAiACwAIgBSAGkAYwBlAEMAdQBsAHQAaQB2AGEAdABpAG8AbgBfAEUAcQB1AGEAdABpAG8AbgBzAC4AVgBFAEUAUgBHAF8ANwBfADEAXwAxAF8AMQBfAF8AMQBfAE0AZQB0AGgAYQBuAGUARQBtAGkAcwBzAGkAbwBuAHMARgByAG8AbQBSAGkAYwBlAEMAdQBsAHQAaQB2AGEAdABpAG8AbgAiACwAIgBSAGkAYwBlAEMAdQBsAHQAaQB2AGEAdABpAG8AbgBfAEUAcQB1AGEAdABpAG8AbgBzAC4AVgBFAEUAUgBHAF8ANwBfADEAXwAxAF8AMQBfAF8AMQBfAE0AZQB0AGgAYQBuAGUARQBtAGkAcwBzAGkAbwBuAHMARgByAG8AbQBSAGkAYwBlAEMAdQBsAHQAaQB2AGEAdABpAG8AbgBfAFQAaQB0AGwAZQAiACwAIgBSAGkAYwBlAEMAdQBsAHQAaQB2AGEAdABpAG8AbgBfAEUAcQB1AGEAdABpAG8AbgBzAC4AVgBFAEUAUgBHAF8ANwBfADEAXwAxAF8AMQBfAF8AMQBfAE0AZQB0AGgAYQBuAGUARQBtAGkAcwBzAGkAbwBuAHMARgByAG8AbQBSAGkAYwBlAEMAdQBsAHQAaQB2AGEAdABpAG8AbgBfAFYAYQByAGkAYQBiAGwAZQAiACwAIgBSAGkAYwBlAEMAdQBsAHQAaQB2AGEAdABpAG8AbgBfAEUAcQB1AGEAdABpAG8AbgBzAC4AVgBFAEUAUgBHAF8ANwBfADEAXwAxAF8AMQBfAF8AMQBfAE0AZQB0AGgAYQBuAGUARQBtAGkAcwBzAGkAbwBuAHMARgByAG8AbQBSAGkAYwBlAEMAdQBsAHQAaQB2AGEAdABpAG8AbgBfAFUAbgBpAHQAIgAsACIAUgBpAGMAZQBDAHUAbAB0AGkAdgBhAHQAaQBvAG4AXwBFAHEAdQBhAHQAaQBvAG4AcwAuAFYARQBFAFIARwBfADcAXwAxAF8AMQBfADEAXwBfADEAXwBNAGUAdABoAGEAbgBlAEUAbQBpAHMAcwBpAG8AbgBzAEYAcgBvAG0AUgBpAGMAZQBDAHUAbAB0AGkAdgBhAHQAaQBvAG4AXwBTAG8AdQByAGMAZQAiACwAIgBSAGkAYwBlAEMAdQBsAHQAaQB2AGEAdABpAG8AbgBfAEUAcQB1AGEAdABpAG8AbgBzAC4AVgBFAEUAUgBHAF8ANwBfADEAXwAxAF8AMQBfAF8AMQBfAE0AZQB0AGgAYQBuAGUARQBtAGkAcwBzAGkAbwBuAHMARgByAG8AbQBSAGkAYwBlAEMAdQBsAHQAaQB2AGEAdABpAG8AbgBfAE4ASQBSAFIAZQBmAGUAcgBlAG4AYwBlACIALAAiAFIAaQBjAGUAQwB1AGwAdABpAHYAYQB0AGkAbwBuAF8ARQBxAHUAYQB0AGkAbwBuAHMALgBWAEUARQBSAEcAXwA3AF8AMQBfADEAXwAxAF8AXwAxAF8ATQBlAHQAaABhAG4AZQBFAG0AaQBzAHMAaQBvAG4AcwBGAHIAbwBtAFIAaQBjAGUAQwB1AGwAdABpAHYAYQB0AGkAbwBuAF8ATABhAHQAZQB4AEUAcQB1AGEAdABpAG8AbgAiACwAIgBSAGkAYwBlAEMAdQBsAHQAaQB2AGEAdABpAG8AbgBfAEUAcQB1AGEAdABpAG8AbgBzAC4AVgBFAEUAUgBHAF8ANwBfADEAXwAxAF8AMQBfAF8AMQBfAE0AZQB0AGgAYQBuAGUARQBtAGkAcwBzAGkAbwBuAHMARgByAG8AbQBSAGkAYwBlAEMAdQBsAHQAaQB2AGEAdABpAG8AbgBfAEEAcgBnAHUAbQBlAG4AdABzACIALAAiAFIAaQBjAGUAQwB1AGwAdABpAHYAYQB0AGkAbwBuAF8ARQBxAHUAYQB0AGkAbwBuAHMALgBWAEUARQBSAEcAXwA3AF8AMQBfADEAXwAxAF8AXwAxAF8ATQBlAHQAaABhAG4AZQBFAG0AaQBzAHMAaQBvAG4AcwBGAHIAbwBtAFIAaQBjAGUAQwB1AGwAdABpAHYAYQB0AGkAbwBuAF8AVgBhAHIAaQBhAHQAaQBvAG4AIgAsACIAUgBpAGMAZQBDAHUAbAB0AGkAdgBhAHQAaQBvAG4AXwBFAHEAdQBhAHQAaQBvAG4AcwAuAFYARQBFAFIARwBfADcAXwAxAF8AMQBfADEAXwBfADIAXwBFAG0AaQBzAHMAaQBvAG4ARgBhAGMAdABvAHIARgBvAHIAUgBpAGMAZQBDAHUAbAB0AGkAdgBhAHQAaQBvAG4AIgAsACIAUgBpAGMAZQBDAHUAbAB0AGkAdgBhAHQAaQBvAG4AXwBFAHEAdQBhAHQAaQBvAG4AcwAuAFYARQBFAFIARwBfADcAXwAxAF8AMQBfADEAXwBfADIAXwBFAG0AaQBzAHMAaQBvAG4ARgBhAGMAdABvAHIARgBvAHIAUgBpAGMAZQBDAHUAbAB0AGkAdgBhAHQAaQBvAG4AXwBUAGkAdABsAGUAIgAsACIAUgBpAGMAZQBDAHUAbAB0AGkAdgBhAHQAaQBvAG4AXwBFAHEAdQBhAHQAaQBvAG4AcwAuAFYARQBFAFIARwBfADcAXwAxAF8AMQBfADEAXwBfADIAXwBFAG0AaQBzAHMAaQBvAG4ARgBhAGMAdABvAHIARgBvAHIAUgBpAGMAZQBDAHUAbAB0AGkAdgBhAHQAaQBvAG4AXwBWAGEAcgBpAGEAYgBsAGUAIgAsACIAUgBpAGMAZQBDAHUAbAB0AGkAdgBhAHQAaQBvAG4AXwBFAHEAdQBhAHQAaQBvAG4AcwAuAFYARQBFAFIARwBfADcAXwAxAF8AMQBfADEAXwBfADIAXwBFAG0AaQBzAHMAaQBvAG4ARgBhAGMAdABvAHIARgBvAHIAUgBpAGMAZQBDAHUAbAB0AGkAdgBhAHQAaQBvAG4AXwBVAG4AaQB0ACIALAAiAFIAaQBjAGUAQwB1AGwAdABpAHYAYQB0AGkAbwBuAF8ARQBxAHUAYQB0AGkAbwBuAHMALgBWAEUARQBSAEcAXwA3AF8AMQBfADEAXwAxAF8AXwAyAF8ARQBtAGkAcwBzAGkAbwBuAEYAYQBjAHQAbwByAEYAbwByAFIAaQBjAGUAQwB1AGwAdABpAHYAYQB0AGkAbwBuAF8AUwBvAHUAcgBjAGUAIgAsACIAUgBpAGMAZQBDAHUAbAB0AGkAdgBhAHQAaQBvAG4AXwBFAHEAdQBhAHQAaQBvAG4AcwAuAFYARQBFAFIARwBfADcAXwAxAF8AMQBfADEAXwBfADIAXwBFAG0AaQBzAHMAaQBvAG4ARgBhAGMAdABvAHIARgBvAHIAUgBpAGMAZQBDAHUAbAB0AGkAdgBhAHQAaQBvAG4AXwBOAEkAUgBSAGUAZgBlAHIAZQBuAGMAZQAiACwAIgBSAGkAYwBlAEMAdQBsAHQAaQB2AGEAdABpAG8AbgBfAEUAcQB1AGEAdABpAG8AbgBzAC4AVgBFAEUAUgBHAF8ANwBfADEAXwAxAF8AMQBfAF8AMgBfAEUAbQBpAHMAcwBpAG8AbgBGAGEAYwB0AG8AcgBGAG8AcgBSAGkAYwBlAEMAdQBsAHQAaQB2AGEAdABpAG8AbgBfAEwAYQB0AGUAeABFAHEAdQBhAHQAaQBvAG4AIgAsACIAUgBpAGMAZQBDAHUAbAB0AGkAdgBhAHQAaQBvAG4AXwBFAHEAdQBhAHQAaQBvAG4AcwAuAFYARQBFAFIARwBfADcAXwAxAF8AMQBfADEAXwBfADIAXwBFAG0AaQBzAHMAaQBvAG4ARgBhAGMAdABvAHIARgBvAHIAUgBpAGMAZQBDAHUAbAB0AGkAdgBhAHQAaQBvAG4AXwBBAHIAZwB1AG0AZQBuAHQAcwAiACwAIgBSAGkAYwBlAEMAdQBsAHQAaQB2AGEAdABpAG8AbgBfAEUAcQB1AGEAdABpAG8AbgBzAC4AVgBFAEUAUgBHAF8ANwBfADEAXwAxAF8AMQBfAF8AMwBfAE8AcgBnAGEAbgBpAGMAQQBtAGUAbgBkAG0AZQBuAHQAcwBTAGMAYQBsAGkAbgBnAEYAYQBjAHQAbwByACIALAAiAFIAaQBjAGUAQwB1AGwAdABpAHYAYQB0AGkAbwBuAF8ARQBxAHUAYQB0AGkAbwBuAHMALgBWAEUARQBSAEcAXwA3AF8AMQBfADEAXwAxAF8AXwAzAF8ATwByAGcAYQBuAGkAYwBBAG0AZQBuAGQAbQBlAG4AdABzAFMAYwBhAGwAaQBuAGcARgBhAGMAdABvAHIAVgBhAHIAaQBhAHQAaQBvAG4AIgAsACIAUgBpAGMAZQBDAHUAbAB0AGkAdgBhAHQAaQBvAG4AXwBFAHEAdQBhAHQAaQBvAG4AcwAuAFYARQBFAFIARwBfADcAXwAxAF8AMQBfADEAXwBfADMAXwBPAHIAZwBhAG4AaQBjAEEAbQBlAG4AZABtAGUAbgB0AHMAUwBjAGEAbABpAG4AZwBGAGEAYwB0AG8AcgBfAFQAaQB0AGwAZQAiACwAIgBSAGkAYwBlAEMAdQBsAHQAaQB2AGEAdABpAG8AbgBfAEUAcQB1AGEAdABpAG8AbgBzAC4AVgBFAEUAUgBHAF8ANwBfADEAXwAxAF8AMQBfAF8AMwBfAE8AcgBnAGEAbgBpAGMAQQBtAGUAbgBkAG0AZQBuAHQAcwBTAGMAYQBsAGkAbgBnAEYAYQBjAHQAbwByAF8AVgBhAHIAaQBhAGIAbABlACIALAAiAFIAaQBjAGUAQwB1AGwAdABpAHYAYQB0AGkAbwBuAF8ARQBxAHUAYQB0AGkAbwBuAHMALgBWAEUARQBSAEcAXwA3AF8AMQBfADEAXwAxAF8AXwAzAF8ATwByAGcAYQBuAGkAYwBBAG0AZQBuAGQAbQBlAG4AdABzAFMAYwBhAGwAaQBuAGcARgBhAGMAdABvAHIAXwBVAG4AaQB0ACIALAAiAFIAaQBjAGUAQwB1AGwAdABpAHYAYQB0AGkAbwBuAF8ARQBxAHUAYQB0AGkAbwBuAHMALgBWAEUARQBSAEcAXwA3AF8AMQBfADEAXwAxAF8AXwAzAF8ATwByAGcAYQBuAGkAYwBBAG0AZQBuAGQAbQBlAG4AdABzAFMAYwBhAGwAaQBuAGcARgBhAGMAdABvAHIAXwBTAG8AdQByAGMAZQAiACwAIgBSAGkAYwBlAEMAdQBsAHQAaQB2AGEAdABpAG8AbgBfAEUAcQB1AGEAdABpAG8AbgBzAC4AVgBFAEUAUgBHAF8ANwBfADEAXwAxAF8AMQBfAF8AMwBfAE8AcgBnAGEAbgBpAGMAQQBtAGUAbgBkAG0AZQBuAHQAcwBTAGMAYQBsAGkAbgBnAEYAYQBjAHQAbwByAF8ATgBJAFIAUgBlAGYAZQByAGUAbgBjAGUAIgAsACIAUgBpAGMAZQBDAHUAbAB0AGkAdgBhAHQAaQBvAG4AXwBFAHEAdQBhAHQAaQBvAG4AcwAuAFYARQBFAFIARwBfADcAXwAxAF8AMQBfADEAXwBfADMAXwBPAHIAZwBhAG4AaQBjAEEAbQBlAG4AZABtAGUAbgB0AHMAUwBjAGEAbABpAG4AZwBGAGEAYwB0AG8AcgBfAEwAYQB0AGUAeABFAHEAdQBhAHQAaQBvAG4AIgAsACIAUgBpAGMAZQBDAHUAbAB0AGkAdgBhAHQAaQBvAG4AXwBFAHEAdQBhAHQAaQBvAG4AcwAuAFYARQBFAFIARwBfADcAXwAxAF8AMQBfADEAXwBfADMAXwBPAHIAZwBhAG4AaQBjAEEAbQBlAG4AZABtAGUAbgB0AHMAUwBjAGEAbABpAG4AZwBGAGEAYwB0AG8AcgBfAEwAYQB0AGUAeABFAHEAdQBhAHQAaQBvAG4AVgBhAHIAaQBhAHQAaQBvAG4AIgAsACIAUgBpAGMAZQBDAHUAbAB0AGkAdgBhAHQAaQBvAG4AXwBFAHEAdQBhAHQAaQBvAG4AcwAuAFYARQBFAFIARwBfADcAXwAxAF8AMQBfADEAXwBfADMAXwBPAHIAZwBhAG4AaQBjAEEAbQBlAG4AZABtAGUAbgB0AHMAUwBjAGEAbABpAG4AZwBGAGEAYwB0AG8AcgBfAEEAcgBnAHUAbQBlAG4AdABzACIALAAiAFIAaQBjAGUAQwB1AGwAdABpAHYAYQB0AGkAbwBuAF8ARQBxAHUAYQB0AGkAbwBuAHMALgBWAEUARQBSAEcAXwA3AF8AMQBfADEAXwAxAF8AXwAzAF8ATwByAGcAYQBuAGkAYwBBAG0AZQBuAGQAbQBlAG4AdABzAFMAYwBhAGwAaQBuAGcARgBhAGMAdABvAHI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Home</vt:lpstr>
      <vt:lpstr>Overview</vt:lpstr>
      <vt:lpstr>Results</vt:lpstr>
      <vt:lpstr>Input - Site</vt:lpstr>
      <vt:lpstr>Input - Rice</vt:lpstr>
      <vt:lpstr>7.1.1-2 Rice cultivation</vt:lpstr>
      <vt:lpstr>Constants - Rice cultivation</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2026-05-20T00:44:23Z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