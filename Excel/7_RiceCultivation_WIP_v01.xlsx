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E636FF0-E379-4CAF-9430-9D783A9C6F33}" xr6:coauthVersionLast="47" xr6:coauthVersionMax="47" xr10:uidLastSave="{00000000-0000-0000-0000-000000000000}"/>
  <bookViews>
    <workbookView xWindow="825" yWindow="345" windowWidth="37335" windowHeight="19740" firstSheet="3" activeTab="4"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19"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_xlfn.LAMBDA(_xlfn.MAKEARRAY(7, 2, _xlfn.LAMBDA(_xlpm.r,_xlpm.c, INDEX({"Organic amendment i","CFOAi";"Straw incorporated shortly (&lt;30 days) before cultivation",1;"Straw incorporated long (&gt;30 days) before cultivation",0.19;"Compost",0.17;"Farm yard manure",0.21;"Green manure",0.45;"Inorganic fertiliser",1}, _xlpm.r, _xlpm.c))))</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69" l="1"/>
  <c r="E259" i="119" a="1"/>
  <c r="E259" i="119" s="1"/>
  <c r="D259" i="119" a="1"/>
  <c r="D259" i="119" s="1"/>
  <c r="E258" i="119" a="1"/>
  <c r="E258" i="119" s="1"/>
  <c r="D258" i="119" a="1"/>
  <c r="D258" i="119" s="1"/>
  <c r="D256" i="119" a="1"/>
  <c r="D256" i="119" s="1"/>
  <c r="D255" i="119"/>
  <c r="D255" i="119" a="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a="1"/>
  <c r="D227" i="119" s="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c r="D57" i="119" a="1"/>
  <c r="G54" i="119" a="1"/>
  <c r="G54" i="119" s="1"/>
  <c r="F54" i="119" a="1"/>
  <c r="F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H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H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a="1"/>
  <c r="D18"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D80" i="69" a="1"/>
  <c r="D80" i="69" s="1"/>
  <c r="E96" i="69" a="1"/>
  <c r="E96" i="69" s="1"/>
  <c r="J91" i="69"/>
  <c r="A16" i="110"/>
  <c r="A15" i="110"/>
  <c r="A12" i="110"/>
  <c r="A9" i="110"/>
  <c r="A8" i="110"/>
  <c r="A5" i="110"/>
  <c r="A4" i="110"/>
  <c r="A3" i="110"/>
  <c r="A16" i="69"/>
  <c r="A15" i="69"/>
  <c r="A12" i="69"/>
  <c r="A9" i="69"/>
  <c r="A8" i="69"/>
  <c r="A5" i="69"/>
  <c r="A4" i="69"/>
  <c r="A3" i="69"/>
  <c r="A16" i="70"/>
  <c r="A15" i="70"/>
  <c r="A12" i="70"/>
  <c r="A9" i="70"/>
  <c r="A8" i="70"/>
  <c r="A5" i="70"/>
  <c r="A4" i="70"/>
  <c r="A3" i="70"/>
  <c r="A16" i="15"/>
  <c r="A15" i="15"/>
  <c r="A12" i="15"/>
  <c r="A9" i="15"/>
  <c r="A8" i="15"/>
  <c r="A5" i="15"/>
  <c r="A4" i="15"/>
  <c r="A3" i="15"/>
  <c r="A16" i="13"/>
  <c r="A15" i="13"/>
  <c r="A12" i="13"/>
  <c r="A9" i="13"/>
  <c r="A8" i="13"/>
  <c r="A5" i="13"/>
  <c r="A4" i="13"/>
  <c r="A3" i="13"/>
  <c r="A9" i="118"/>
  <c r="A15" i="118"/>
  <c r="A12" i="118"/>
  <c r="J89" i="69" a="1"/>
  <c r="J89" i="69" s="1"/>
  <c r="J90" i="69" a="1"/>
  <c r="J90" i="69" s="1"/>
  <c r="J88" i="69" a="1"/>
  <c r="J88" i="69" s="1"/>
  <c r="H88" i="69" a="1"/>
  <c r="H88" i="69" s="1"/>
  <c r="D88" i="69" a="1"/>
  <c r="D88" i="69" s="1"/>
  <c r="D104" i="69" a="1"/>
  <c r="D104" i="69" s="1"/>
  <c r="F96" i="69" a="1"/>
  <c r="F96" i="69" s="1"/>
  <c r="D96" i="69" a="1"/>
  <c r="D96" i="69" s="1"/>
  <c r="E86" i="69" a="1"/>
  <c r="E86" i="69" s="1"/>
  <c r="E85" i="69" a="1"/>
  <c r="E85" i="69" s="1"/>
  <c r="D79" i="69" a="1"/>
  <c r="D79" i="69"/>
  <c r="D78" i="69" a="1"/>
  <c r="D78" i="69"/>
  <c r="J65" i="69" a="1"/>
  <c r="J65" i="69" s="1"/>
  <c r="J64" i="69" a="1"/>
  <c r="J64" i="69" s="1"/>
  <c r="J63" i="69" a="1"/>
  <c r="J63" i="69" s="1"/>
  <c r="J62" i="69" a="1"/>
  <c r="J62" i="69" s="1"/>
  <c r="J61" i="69" a="1"/>
  <c r="J61" i="69" s="1"/>
  <c r="J60" i="69" a="1"/>
  <c r="J60" i="69" s="1"/>
  <c r="D10" i="70"/>
  <c r="F24" i="69" a="1"/>
  <c r="F24" i="69" s="1"/>
  <c r="E24" i="69" a="1"/>
  <c r="E24" i="69" s="1"/>
  <c r="E53" i="69" a="1"/>
  <c r="E81" i="69" a="1"/>
  <c r="H49" i="119" l="1"/>
  <c r="H54" i="119"/>
  <c r="H50" i="119"/>
  <c r="F102" i="69"/>
  <c r="H96" i="69"/>
  <c r="H53" i="119"/>
  <c r="H52" i="119"/>
  <c r="E81" i="69"/>
  <c r="E53" i="69"/>
  <c r="G70" i="69" l="1" a="1"/>
  <c r="F70" i="69" a="1"/>
  <c r="E70" i="69" a="1"/>
  <c r="D70" i="69" a="1"/>
  <c r="D70" i="69" s="1"/>
  <c r="I19" i="69" a="1"/>
  <c r="I19" i="69" s="1"/>
  <c r="I18" i="69" a="1"/>
  <c r="I18" i="69" s="1"/>
  <c r="I17" i="69" a="1"/>
  <c r="I17" i="69" s="1"/>
  <c r="D7" i="69" a="1"/>
  <c r="D7" i="69" s="1"/>
  <c r="D33" i="110" a="1"/>
  <c r="D33" i="110" s="1"/>
  <c r="D44" i="110" a="1"/>
  <c r="D44" i="110" s="1"/>
  <c r="D38" i="69" s="1"/>
  <c r="E44" i="110" a="1"/>
  <c r="E44" i="110" s="1"/>
  <c r="E38" i="69" s="1"/>
  <c r="D43" i="69" a="1"/>
  <c r="D43" i="69" s="1"/>
  <c r="J24" i="69" a="1"/>
  <c r="J24" i="69" s="1"/>
  <c r="I24" i="69" a="1"/>
  <c r="I24" i="69" s="1"/>
  <c r="H24" i="69" a="1"/>
  <c r="H24" i="69" s="1"/>
  <c r="G24" i="69" a="1"/>
  <c r="G24" i="69" s="1"/>
  <c r="D24" i="69" a="1"/>
  <c r="D24"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E70" i="69"/>
  <c r="I70" i="69" s="1" a="1"/>
  <c r="I70" i="69" s="1"/>
  <c r="I71" i="69" a="1"/>
  <c r="I71" i="69" s="1"/>
  <c r="F70" i="69"/>
  <c r="J70" i="69" s="1" a="1"/>
  <c r="J70" i="69" s="1"/>
  <c r="J71" i="69" a="1"/>
  <c r="J71" i="69" s="1"/>
  <c r="G70" i="69"/>
  <c r="E47" i="69" a="1"/>
  <c r="E47" i="69" s="1"/>
  <c r="E43" i="69" a="1"/>
  <c r="E43" i="69" s="1"/>
  <c r="E45" i="69" a="1"/>
  <c r="E45" i="69" s="1"/>
  <c r="H73" i="69" s="1" a="1"/>
  <c r="H73" i="69" s="1"/>
  <c r="K73" i="69" s="1" a="1"/>
  <c r="K73" i="69" s="1"/>
  <c r="G99" i="69" s="1" a="1"/>
  <c r="G99" i="69" s="1"/>
  <c r="E46" i="69" a="1"/>
  <c r="E46" i="69" s="1"/>
  <c r="E44" i="69" a="1"/>
  <c r="E44" i="69" s="1"/>
  <c r="H71" i="69" s="1" a="1"/>
  <c r="H71" i="69" s="1"/>
  <c r="E11" i="69"/>
  <c r="D33" i="69"/>
  <c r="D34" i="69"/>
  <c r="D35" i="69"/>
  <c r="D36" i="69"/>
  <c r="D37" i="69"/>
  <c r="H74" i="69" l="1"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E9" i="13" s="1"/>
  <c r="F9" i="13" s="1"/>
  <c r="H59" i="69" l="1"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G104" i="69" l="1"/>
  <c r="A47" i="69" l="1"/>
  <c r="A16" i="118" l="1"/>
  <c r="A8" i="118"/>
  <c r="A5" i="118"/>
  <c r="A4" i="118"/>
  <c r="A3" i="118"/>
  <c r="A44" i="70" l="1"/>
  <c r="A83" i="69"/>
  <c r="E107" i="69" l="1" a="1"/>
  <c r="E107" i="69" s="1"/>
  <c r="H9" i="13" s="1"/>
  <c r="H10" i="13" l="1"/>
  <c r="I9" i="13"/>
  <c r="I10" i="13" s="1"/>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<sst xmlns="http://schemas.openxmlformats.org/spreadsheetml/2006/main" count="211" uniqueCount="171">
  <si>
    <t>Home</t>
  </si>
  <si>
    <t>INPUTS</t>
  </si>
  <si>
    <t>APPENDICES</t>
  </si>
  <si>
    <t>Emissions breakdown</t>
  </si>
  <si>
    <t>Test Farms</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</si>
  <si>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</si>
  <si>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</si>
  <si>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</si>
  <si>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</si>
  <si>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</si>
  <si>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</si>
  <si>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</si>
  <si>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</si>
  <si>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</si>
  <si>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</si>
  <si>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</si>
  <si>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</si>
  <si>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</si>
  <si>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</si>
  <si>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</si>
  <si>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</si>
  <si>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</si>
  <si>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</si>
  <si>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</si>
  <si>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</si>
  <si>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</si>
  <si>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</si>
  <si>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</si>
  <si>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</si>
  <si>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</si>
  <si>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</si>
  <si>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</si>
  <si>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</si>
  <si>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</si>
  <si>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</si>
  <si>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</si>
  <si>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</si>
  <si>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</si>
  <si>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</si>
  <si>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</si>
  <si>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</si>
  <si>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</si>
  <si>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</si>
  <si>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</si>
  <si>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</si>
  <si>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</si>
  <si>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</si>
  <si>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</si>
  <si>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</si>
  <si>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</si>
  <si>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</si>
  <si>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</si>
  <si>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</si>
  <si>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</si>
  <si>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</si>
  <si>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</si>
  <si>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</si>
  <si>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</si>
  <si>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</si>
  <si>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</si>
  <si>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</si>
  <si>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</si>
  <si>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</si>
  <si>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</si>
  <si>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</si>
  <si>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</si>
  <si>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</si>
  <si>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</si>
  <si>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</si>
  <si>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</si>
  <si>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</si>
  <si>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</si>
  <si>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</si>
  <si>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</si>
  <si>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</si>
  <si>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</si>
  <si>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</si>
  <si>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</si>
  <si>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</si>
  <si>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</si>
  <si>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</si>
  <si>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</si>
  <si>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</si>
  <si>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</si>
  <si>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</si>
  <si>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</si>
  <si>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</si>
  <si>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</si>
  <si>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6"/>
        <color theme="1" tint="0.24994659260841701"/>
        <rFont val="Times New Roman"/>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</si>
  <si>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</si>
  <si>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</si>
  <si>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</si>
  <si>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</si>
  <si>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</si>
  <si>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</si>
  <si>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</si>
  <si>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</si>
  <si>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</si>
  <si>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</si>
  <si>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</si>
  <si>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</si>
  <si>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</si>
  <si>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</si>
  <si>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</si>
  <si>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</si>
  <si>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</si>
  <si>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</si>
  <si>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</si>
  <si>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</si>
  <si>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</si>
  <si>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</si>
  <si>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</si>
  <si>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</si>
  <si>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</si>
  <si>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</si>
  <si>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</si>
  <si>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</si>
  <si>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</si>
  <si>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</si>
  <si>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</si>
  <si>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</si>
  <si>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</si>
  <si>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</si>
  <si>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</si>
  <si>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</si>
  <si>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</si>
  <si>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</si>
  <si>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</si>
  <si>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</si>
  <si>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</si>
  <si>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</si>
  <si>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</si>
  <si>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</si>
  <si>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</si>
  <si>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</si>
  <si>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</si>
  <si>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</si>
  <si>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</si>
  <si>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</si>
  <si>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</si>
  <si>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</si>
  <si>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</si>
  <si>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</si>
  <si>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</si>
  <si>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</si>
  <si>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</si>
  <si>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</si>
  <si>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</si>
  <si>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</si>
  <si>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</si>
  <si>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</si>
  <si>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</si>
  <si>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</si>
  <si>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</si>
  <si>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</si>
  <si>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</si>
  <si>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</si>
  <si>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Straw added &lt; 30 days before cultivation (t/ha)</t>
  </si>
  <si>
    <t>Straw added 30+ days before cultivation (t/ha)</t>
  </si>
  <si>
    <t>Table_EF_rice_w_p_o</t>
  </si>
  <si>
    <t>Emission factor for rice cultivation</t>
  </si>
  <si>
    <t>Cultivation period (days)</t>
  </si>
  <si>
    <r>
      <t>E</t>
    </r>
    <r>
      <rPr>
        <b/>
        <vertAlign val="subscript"/>
        <sz val="11"/>
        <color rgb="FF183C1B"/>
        <rFont val="Times New Roman"/>
        <family val="1"/>
      </rPr>
      <t>rice,wpo</t>
    </r>
  </si>
  <si>
    <t>Area under cultivation (hectares)</t>
  </si>
  <si>
    <r>
      <t>A</t>
    </r>
    <r>
      <rPr>
        <b/>
        <vertAlign val="subscript"/>
        <sz val="11"/>
        <color rgb="FF533001"/>
        <rFont val="Times New Roman"/>
        <family val="1"/>
      </rPr>
      <t>rice,wpo</t>
    </r>
  </si>
  <si>
    <t>trice,wpo</t>
  </si>
  <si>
    <t>Table_E_rice</t>
  </si>
  <si>
    <t>Methane emissions from rice cultivation</t>
  </si>
  <si>
    <t>7.1.1-2 Rice cultivation</t>
  </si>
  <si>
    <t>7: Rice Cultivation: Overview</t>
  </si>
  <si>
    <t>7: Rice Cultivation: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</si>
</sst>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vertAlign val="subscript"/>
      <sz val="11"/>
      <color rgb="FF183C1B"/>
      <name val="Times New Roman"/>
      <family val="1"/>
    </font>
    <font>
      <b/>
      <vertAlign val="subscript"/>
      <sz val="11"/>
      <color rgb="FF5330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1" fillId="0" borderId="0"/>
  </cellStyleXfs>
  <cellXfs count="12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1" fillId="0" borderId="0" xfId="69"/>
    <xf numFmtId="170" fontId="8" fillId="4" borderId="0" xfId="10" applyNumberFormat="1">
      <alignment horizontal="center" vertical="center"/>
    </xf>
    <xf numFmtId="0" fontId="62"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Equation table" pivot="0" count="6" xr9:uid="{B247698E-E41D-4CCD-AA0A-C14817E9DE65}">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400" b="0" i="0" u="none" strike="noStrike">
              <a:solidFill>
                <a:srgbClr val="0C769E"/>
              </a:solidFill>
              <a:latin typeface="Times New Roman"/>
              <a:cs typeface="Times New Roman"/>
            </a:rPr>
            <a:pPr algn="ctr"/>
            <a:t>7.1.1-2 Rice cultivation CH4 emissions</a:t>
          </a:fld>
          <a:endParaRPr lang="en-AU" sz="14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1000" b="0" i="0" u="none" strike="noStrike">
              <a:solidFill>
                <a:srgbClr val="0C769E"/>
              </a:solidFill>
              <a:latin typeface="Times New Roman"/>
              <a:cs typeface="Times New Roman"/>
            </a:rPr>
            <a:pPr algn="ctr"/>
            <a:t>Emission factor for rice cultivation</a:t>
          </a:fld>
          <a:endParaRPr lang="en-AU" sz="10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1000" b="1" i="0" u="none" strike="noStrike">
              <a:solidFill>
                <a:srgbClr val="0C769E"/>
              </a:solidFill>
              <a:latin typeface="Times New Roman"/>
              <a:cs typeface="Times New Roman"/>
            </a:rPr>
            <a:pPr algn="ctr"/>
            <a:t>Methane emissions from rice cultivation</a:t>
          </a:fld>
          <a:endParaRPr lang="en-AU" sz="10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1000" b="0" i="0" u="none" strike="noStrike">
              <a:solidFill>
                <a:srgbClr val="0C769E"/>
              </a:solidFill>
              <a:latin typeface="Times New Roman"/>
              <a:cs typeface="Times New Roman"/>
            </a:rPr>
            <a:pPr algn="ctr"/>
            <a:t>Organic amendments scaling factor</a:t>
          </a:fld>
          <a:endParaRPr lang="en-AU" sz="10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nary>
                            <m:r>
                              <a:rPr lang="en-AU" sz="1100" i="1">
                                <a:latin typeface="Cambria Math" panose="02040503050406030204" pitchFamily="18" charset="0"/>
                              </a:rPr>
                              <m:t>×</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𝑆𝐹_𝑜=(1+∑8_𝑜▒〖𝑅𝑂𝐴_𝑜 〗×𝐶𝐹𝑂𝐴_𝑜 )^0.59</a:t>
              </a:r>
              <a:endParaRPr lang="en-AU" sz="11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𝐸𝐹_(𝑟𝑖𝑐𝑒,𝑤𝑝𝑜)=𝐸𝐹_𝑐×𝑆𝐹_𝑤×𝑆𝐹_𝑝×𝑆𝐹_𝑜</a:t>
              </a:r>
              <a:endParaRPr lang="en-AU" sz="11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𝑜</m:t>
                        </m:r>
                      </m:sub>
                    </m:sSub>
                    <m:r>
                      <a:rPr lang="en-AU" sz="1100" i="1">
                        <a:latin typeface="Cambria Math" panose="02040503050406030204" pitchFamily="18" charset="0"/>
                      </a:rPr>
                      <m:t>=(1+</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1</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2</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3</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4</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𝑅𝑂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r>
                                  <a:rPr lang="en-AU" sz="1100" i="1">
                                    <a:latin typeface="Cambria Math" panose="02040503050406030204" pitchFamily="18" charset="0"/>
                                  </a:rPr>
                                  <m:t>𝐶𝐹𝑂</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𝑜</m:t>
                                    </m:r>
                                  </m:sub>
                                </m:sSub>
                                <m:r>
                                  <a:rPr lang="en-AU" sz="1100" i="1">
                                    <a:latin typeface="Cambria Math" panose="02040503050406030204" pitchFamily="18" charset="0"/>
                                  </a:rPr>
                                  <m:t>6</m:t>
                                </m:r>
                              </m:e>
                            </m:d>
                          </m:e>
                        </m:d>
                      </m:e>
                      <m:sup>
                        <m:r>
                          <a:rPr lang="en-AU" sz="1100" i="1">
                            <a:latin typeface="Cambria Math" panose="02040503050406030204" pitchFamily="18" charset="0"/>
                          </a:rPr>
                          <m:t>0.59</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1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𝑟𝑖𝑐𝑒</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𝑡</m:t>
                                        </m:r>
                                      </m:e>
                                      <m:sub>
                                        <m:r>
                                          <a:rPr lang="en-AU" sz="1100" i="1">
                                            <a:latin typeface="Cambria Math" panose="02040503050406030204" pitchFamily="18" charset="0"/>
                                          </a:rPr>
                                          <m:t>𝑟𝑖𝑐𝑒</m:t>
                                        </m:r>
                                        <m:r>
                                          <a:rPr lang="en-AU" sz="1100" i="1">
                                            <a:latin typeface="Cambria Math" panose="02040503050406030204" pitchFamily="18" charset="0"/>
                                          </a:rPr>
                                          <m:t>,</m:t>
                                        </m:r>
                                        <m:r>
                                          <a:rPr lang="en-AU" sz="1100" i="1">
                                            <a:latin typeface="Cambria Math" panose="02040503050406030204" pitchFamily="18" charset="0"/>
                                          </a:rPr>
                                          <m:t>𝑤𝑝𝑜</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𝐸_𝑟𝑖𝑐𝑒=∑8_𝑤▒∑8_𝑝▒∑8_𝑜▒(𝐴_(𝑟𝑖𝑐𝑒,𝑤𝑝𝑜)×𝐸𝐹_(𝑟𝑖𝑐𝑒,𝑤𝑝𝑜)×𝑡_(𝑟𝑖𝑐𝑒,𝑤𝑝𝑜)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before cultivation (t/ha)"/>
    <tableColumn id="8" xr3:uid="{6AB8226E-B5ED-4236-BF1D-312497BC4C8F}" name="Straw added 30+ days befo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2292D7-9159-4DA8-868F-97A60010C68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56CCF88-C654-4845-97D7-9D7D362BCE69}" name="State/Territory">
      <calculatedColumnFormula array="1">Common_InputFunctions.Utility_DisplayArrayInTable(Common_SourceData.Common_SourceData_AustralianStatesTerritories_Data(),Table_AustralianStates[[#Headers],[State/Territory]],0)</calculatedColumnFormula>
    </tableColumn>
    <tableColumn id="2" xr3:uid="{281E9821-9727-41EE-9BB2-A0EE34626517}" name="Common Name">
      <calculatedColumnFormula array="1">Common_InputFunctions.Utility_DisplayArrayInTable(Common_SourceData.Common_SourceData_AustralianStatesTerritories_Data(),Table_AustralianStates[[#Headers],[State/Territory]],0)</calculatedColumnFormula>
    </tableColumn>
    <tableColumn id="3" xr3:uid="{DB9ED2A9-4530-4389-9F51-62F4D51CBA8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986F30-D9EC-4803-8DA0-95980EFC62A0}" name="Table_WASA4Areas" displayName="Table_WASA4Areas" ref="D20:D30" totalsRowShown="0">
  <autoFilter ref="D20:D30" xr:uid="{5FA81339-C6C8-4D36-BEEA-6C4AEDD9E676}">
    <filterColumn colId="0" hiddenButton="1"/>
  </autoFilter>
  <tableColumns count="1">
    <tableColumn id="1" xr3:uid="{DB52865D-6F2D-4651-9C10-87FA05E28ED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E5A8FF1-51D1-4DC7-A67C-E1BB1D169339}" name="Table_GWPData" displayName="Table_GWPData" ref="D36:E43" totalsRowShown="0">
  <autoFilter ref="D36:E43" xr:uid="{B8E87A66-3E41-4AD3-925D-01EE21B43D7A}">
    <filterColumn colId="0" hiddenButton="1"/>
    <filterColumn colId="1" hiddenButton="1"/>
  </autoFilter>
  <tableColumns count="2">
    <tableColumn id="1" xr3:uid="{DE7AB944-8934-40CD-9BD0-1EB0965AAF53}" name="Gas">
      <calculatedColumnFormula array="1">Common_InputFunctions.Utility_DisplayArrayInTable(Common_SourceData.Common_SourceData_GWP_Data(), Table_GWPData[[#Headers],[Gas]], 0)</calculatedColumnFormula>
    </tableColumn>
    <tableColumn id="2" xr3:uid="{BF74DAA5-1727-4598-8BDF-A1FFEAF3679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EB336F-AD27-4469-81D9-D75BF39270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FF8E719-A496-4146-95F1-5C74FB0907DF}" name="Gas">
      <calculatedColumnFormula array="1">Common_InputFunctions.Utility_DisplayArrayInTable(Common_SourceData.Common_SourceData_ConvertGasElementalToMolecular_Data(),Table_GasToMolecularConversionFactor[[#Headers],[Gas]], 0)</calculatedColumnFormula>
    </tableColumn>
    <tableColumn id="5" xr3:uid="{141A87B3-BDC7-4BC9-86AA-9AEF8E4516F0}" name="Conversion factor">
      <calculatedColumnFormula array="1">Common_InputFunctions.Utility_DisplayArrayInTable(Common_SourceData.Common_SourceData_ConvertGasElementalToMolecular_Data(),Table_GasToMolecularConversionFactor[[#Headers],[Gas]], 0)</calculatedColumnFormula>
    </tableColumn>
    <tableColumn id="2" xr3:uid="{6EEA02FE-9CA9-42CC-9715-CE1AE379A79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3DBA7EA-762D-4502-893E-4F59C65F1D0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45503ED-E349-402E-BE70-522640844EB2}"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4F6EE9-601E-431C-889B-F490F94AAF6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3EAE8D7-79F7-4CFF-AA60-81BEB0D1F9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0558006-D3B7-45CA-BB08-CBC5FB2D525E}" name="MA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3" xr3:uid="{31536C54-9D90-4BA1-8630-5A5825932E3D}" name="MA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4" xr3:uid="{C736DFB1-216D-41C0-9BDA-AF1DACA0D28E}" name="Frost days per year"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5" xr3:uid="{EBC9733B-D9D6-44EF-92E6-EAE63368707E}" name="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6" xr3:uid="{86BD24B4-BCF5-43E4-9791-66486A239A29}" name="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7" xr3:uid="{04625927-EE66-47A4-9B56-E9FF16A40381}" name="Min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8" xr3:uid="{0B6D7849-AF37-4F92-B3BC-F00F938473A4}" name="Max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9" xr3:uid="{79B2D447-365C-4E5B-9B46-EB9A6FEABC8F}" name="Min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0" xr3:uid="{15AE00CB-0DCC-4C76-9A69-811B2102ABD0}" name="Max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1" xr3:uid="{453B192C-DCF9-4759-9B4F-A3C3978C4EAF}" name="Min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5" xr3:uid="{399D591D-E030-4FE8-8A4D-14B154F55401}" name="Max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2" xr3:uid="{7BB2477B-60BA-4ACB-81E8-FD8FE87495FF}" name="Min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6" xr3:uid="{0A47AD04-56FF-4DD7-A870-3813EAA5B320}" name="Max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3" xr3:uid="{FE9A6C0E-201D-4A67-8D4D-C6A488CA05EA}" name="Min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7" xr3:uid="{3378CC43-2399-435F-A3FE-BB19D039E80F}" name="Max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035090-ADB1-4F10-9C19-A48DE1D5960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ECE3957-9413-4408-BDB8-77552A7231E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3FFA737-2FA7-48E9-A115-73FA50C9393D}" name="Wet or Dry Zone" totalsRowDxfId="3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EF50EEC-58C1-4511-A309-1BA0389F0D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CB9DB5A-F79A-4195-A2D3-345C295DFC8A}" name="Temperature Zone">
      <calculatedColumnFormula array="1">Common_InputFunctions.Utility_DisplayArrayInTable(Common_SourceData.Common_SourceData_TemperatureZones_Data(),Table_SourceData_TemperatureZones[[#Headers],[Temperature Zone]],0)</calculatedColumnFormula>
    </tableColumn>
    <tableColumn id="2" xr3:uid="{25D74762-0A2D-4400-B824-894D618905BB}" name="MAT">
      <calculatedColumnFormula array="1">Common_InputFunctions.Utility_DisplayArrayInTable(Common_SourceData.Common_SourceData_TemperatureZones_Data(),Table_SourceData_TemperatureZones[[#Headers],[Temperature Zone]],0)</calculatedColumnFormula>
    </tableColumn>
    <tableColumn id="3" xr3:uid="{1205EC90-4A04-43FC-A053-69E387CE1D3F}" name="Min MAT">
      <calculatedColumnFormula array="1">Common_InputFunctions.Utility_DisplayArrayInTable(Common_SourceData.Common_SourceData_TemperatureZones_Data(),Table_SourceData_TemperatureZones[[#Headers],[Temperature Zone]],0)</calculatedColumnFormula>
    </tableColumn>
    <tableColumn id="4" xr3:uid="{A0CC6FD8-F8F6-4A79-9CDF-BE796852DAF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6F1A3E-799D-40CF-8D17-7ECCC24A893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2FCA308-B091-442E-94CA-E0A51124F1E1}" name="Rainfall Zone">
      <calculatedColumnFormula array="1">Common_InputFunctions.Utility_DisplayArrayInTable(Common_SourceData.Common_SourceData_RainfallZones_Data(),Table_SourceData_RainfallZones[[#Headers],[Rainfall Zone]],0)</calculatedColumnFormula>
    </tableColumn>
    <tableColumn id="2" xr3:uid="{71D5D2C7-753E-4961-91F7-5D8FD4EBBBB8}" name="Annual rainfall">
      <calculatedColumnFormula array="1">Common_InputFunctions.Utility_DisplayArrayInTable(Common_SourceData.Common_SourceData_RainfallZones_Data(),Table_SourceData_RainfallZones[[#Headers],[Rainfall Zone]],0)</calculatedColumnFormula>
    </tableColumn>
    <tableColumn id="3" xr3:uid="{6FA6F6A2-93E0-4091-A742-AE671B909E65}" name="Min rainfall">
      <calculatedColumnFormula array="1">Common_InputFunctions.Utility_DisplayArrayInTable(Common_SourceData.Common_SourceData_RainfallZones_Data(),Table_SourceData_RainfallZones[[#Headers],[Rainfall Zone]],0)</calculatedColumnFormula>
    </tableColumn>
    <tableColumn id="4" xr3:uid="{EBBE1093-D022-42FA-A758-FE815C9D665B}"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2C58793-EC57-49E4-811D-88A2C42FD54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DEDD535-7F20-4744-95AD-A4D8DE59C041}" name="Leaching Zone">
      <calculatedColumnFormula array="1">Common_InputFunctions.Utility_DisplayArrayInTable(Common_SourceData.Common_SourceData_LeachingZones_Data(), Table_SourceData_LeachingZones[[#Headers],[Leaching Zone]], 0)</calculatedColumnFormula>
    </tableColumn>
    <tableColumn id="2" xr3:uid="{413AA76F-C255-42F1-A6D5-5CD24BBBAF2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111242-9C75-4E29-97AB-7B805B522700}"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DB9D991-F5EB-4B03-9F51-46A4472289C1}" name="Data source">
      <calculatedColumnFormula array="1">Common_InputFunctions.Utility_DisplayArrayInTable(Common_SourceData.Common_SourceData_DataScores_Scope3_Data(), Table_SourceData_DataScores_Scope3[[#Headers],[Data source]], 0)</calculatedColumnFormula>
    </tableColumn>
    <tableColumn id="2" xr3:uid="{01E97336-A13E-4773-A06E-95DCCDC3855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5DAA02-E4E8-4624-A2C5-096D1B60A921}" name="Table_SourceData_FracWET" displayName="Table_SourceData_FracWET" ref="D134:E136" totalsRowShown="0">
  <autoFilter ref="D134:E136" xr:uid="{308E99BE-FE1F-47A4-B2CA-97217277C4E9}">
    <filterColumn colId="0" hiddenButton="1"/>
    <filterColumn colId="1" hiddenButton="1"/>
  </autoFilter>
  <tableColumns count="2">
    <tableColumn id="1" xr3:uid="{1FF542F2-F612-45D7-AC03-2F170C811D2C}" name="Is in leaching zone">
      <calculatedColumnFormula array="1">Common_InputFunctions.Utility_DisplayArrayInTable(Common_SourceData.Common_SourceData_FracWET_Data(),Table_SourceData_FracWET[[#Headers],[Is in leaching zone]],0)</calculatedColumnFormula>
    </tableColumn>
    <tableColumn id="2" xr3:uid="{CAF3234F-1744-4CC7-97FB-29E26283D105}" name="FracWET" dataDxfId="3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C4B023C-39DC-4A61-B287-ACF14E1CC6B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8E69A42-D0D6-4FBD-91D3-EC4843CB8995}" name="Production system j">
      <calculatedColumnFormula array="1">Common_InputFunctions.Utility_DisplayArrayInTable(Common_SourceData.Common_SourceData_EFN2O_Data(), Table_SourceData_Common_EFN2O[[#Headers],[Production system j]], 0)</calculatedColumnFormula>
    </tableColumn>
    <tableColumn id="2" xr3:uid="{FB6F1229-41A4-4698-ADAF-85A7F3BDC850}" name="EFN2O">
      <calculatedColumnFormula array="1">Common_InputFunctions.Utility_DisplayArrayInTable(Common_SourceData.Common_SourceData_EFN2O_Data(), Table_SourceData_Common_EFN2O[[#Headers],[Production system j]], 0)</calculatedColumnFormula>
    </tableColumn>
    <tableColumn id="3" xr3:uid="{48F26286-FAFA-4819-9AFA-F6ECAE3F6B49}" name="Production system only">
      <calculatedColumnFormula array="1">Common_InputFunctions.Utility_DisplayArrayInTable(Common_SourceData.Common_SourceData_EFN2O_Data(), Table_SourceData_Common_EFN2O[[#Headers],[Production system j]], 0)</calculatedColumnFormula>
    </tableColumn>
    <tableColumn id="4" xr3:uid="{99A2A834-E5E1-4659-9E7A-BC2543C1E44F}" name="Irrigation method">
      <calculatedColumnFormula array="1">Common_InputFunctions.Utility_DisplayArrayInTable(Common_SourceData.Common_SourceData_EFN2O_Data(), Table_SourceData_Common_EFN2O[[#Headers],[Production system j]], 0)</calculatedColumnFormula>
    </tableColumn>
    <tableColumn id="5" xr3:uid="{4316727C-0C8D-4A2E-947B-24A6E48379FF}"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71BEDC-DFB7-49CC-BFDB-089589025B03}"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349773D-F8B1-4F20-8D67-02CFFC1D5B01}" name="Irrigation type i">
      <calculatedColumnFormula array="1">Common_InputFunctions.Utility_DisplayArrayInTable(Common_SourceData.Common_SourceData_FracWETIrrigation_Data(), Table_SourceData_FracWETIrrigation[[#Headers],[Irrigation type i]], 0)</calculatedColumnFormula>
    </tableColumn>
    <tableColumn id="2" xr3:uid="{E1A81332-451C-4F13-819A-08B47B324E1A}" name="FracWET" dataDxfId="3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B56AF9D-3A20-46F2-9DF6-908E16C583F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9ECEEA9-A0E2-448E-9242-5EB4612E5A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5BC812F-1B20-433B-A220-45B290E585E4}" name="EFPRP" dataDxfId="3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254172A-1F0A-4DA8-AF3D-FBD2D01D81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622EF0B5-08C2-435D-AD90-194AA40AF483}" name="Month">
      <calculatedColumnFormula array="1">Common_InputFunctions.Utility_DisplayArrayInTable(Common_SourceData.Common_SourceData_MonthsToSeasons_Data(), Table_SourceData_Common_MonthToSeason[[#Headers],[Month]], 0)</calculatedColumnFormula>
    </tableColumn>
    <tableColumn id="2" xr3:uid="{1B155342-2AE7-4ACF-A9BA-20CE30CBC6E1}" name="Season" dataDxfId="3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87B9ADF-B9E3-4BCF-ABE8-F47F94E4CCD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609039-97C4-4729-BC48-B95334FF569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18B5A5E-83DE-4F01-B188-8A16EF097844}" name="MAT (ºC)"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36388A3-2885-4653-8CA5-464AC2653131}" name="Anaerobic lago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C1AA35B-D1B9-4F13-9AFE-E084527288D4}" name="Digester / covered lagoon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6AFD6DE-B5F7-4FA0-8661-5137CBBDF314}" name="Liquid system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9AC720-CEA6-4B40-B794-DA1221D8A639}" name="Daily spread"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54AD809-4295-4C51-9928-79A9335C5131}" name="Composting (passive windro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B58D073-0610-4780-89E8-72FD5F9DE29F}" name="Solid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054B9BB-77F9-4163-856D-1F02090BD29E}" name="Pit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761C4A1-7DEB-4A74-ABFE-16C4A40CA65E}" name="Deep litter"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CBEF1D1-4341-4566-AE85-0BAE80513B23}" name="Poultry manure with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AC3B56F-0E3B-46E4-881E-4A4C23336DB8}" name="Poultry manure without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E2D555B-CCCB-47A0-ABC6-4BBE59B69EB8}" name="Direct process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ABF9296-D829-4357-B8D0-BF198B1CB558}" name="Direct applicati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143C946F-C17F-411D-99BA-FB5337573E30}" name="Pasture range and paddock"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876FAEC-5772-4EAC-8F56-60AF713901CD}" name="MAT raw"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62A48A5-6B2F-4D2D-8025-572DAB9FE02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C964A67-F781-4D99-8B91-5BFC8B5214F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C008960-0F7E-4D6F-90B0-1B33D47696C5}" name="EFNi &amp; EFN2Oi" dataDxfId="1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8" t="e" vm="1">
        <v>#VALUE!</v>
      </c>
      <c r="C1" s="115" t="s">
        <v>169</v>
      </c>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116"/>
    </row>
    <row r="2" spans="1:42" ht="20.100000000000001" customHeight="1" x14ac:dyDescent="0.25">
      <c r="A2" s="9"/>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7"/>
    </row>
    <row r="3" spans="1:42" ht="20.100000000000001" customHeight="1" x14ac:dyDescent="0.25">
      <c r="A3" s="17" t="str">
        <f>HYPERLINK("#'Home'!A1", "Home")</f>
        <v>Home</v>
      </c>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8"/>
      <c r="AN3" s="118"/>
      <c r="AO3" s="118"/>
    </row>
    <row r="4" spans="1:42" ht="20.100000000000001" customHeight="1" x14ac:dyDescent="0.25">
      <c r="A4" s="100" t="str">
        <f>HYPERLINK("#'Overview'!A1", "Overview")</f>
        <v>Overview</v>
      </c>
    </row>
    <row r="5" spans="1:42" ht="20.100000000000001" customHeight="1" x14ac:dyDescent="0.25">
      <c r="A5" s="17" t="str">
        <f>HYPERLINK("#'Results'!A1", "Results")</f>
        <v>Results</v>
      </c>
      <c r="D5" s="97" t="s">
        <v>102</v>
      </c>
      <c r="E5" s="80"/>
      <c r="F5" s="80"/>
      <c r="G5" s="80"/>
      <c r="H5" s="80"/>
      <c r="I5" s="80"/>
      <c r="J5" s="80"/>
      <c r="K5" s="80"/>
      <c r="L5" s="80"/>
      <c r="M5" s="80"/>
      <c r="N5" s="80"/>
      <c r="O5" s="76"/>
    </row>
    <row r="6" spans="1:42" ht="20.100000000000001" customHeight="1" x14ac:dyDescent="0.25">
      <c r="A6" s="16"/>
      <c r="D6" s="119" t="s">
        <v>103</v>
      </c>
      <c r="E6" s="79"/>
      <c r="F6" s="79"/>
      <c r="G6" s="79"/>
      <c r="H6" s="79"/>
      <c r="I6" s="79"/>
      <c r="J6" s="79"/>
      <c r="K6" s="79"/>
      <c r="L6" s="79"/>
      <c r="M6" s="79"/>
      <c r="N6" s="79"/>
      <c r="O6" s="77"/>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Rice'!A1", "Rice")</f>
        <v>Rice</v>
      </c>
    </row>
    <row r="10" spans="1:42" ht="20.100000000000001" customHeight="1" x14ac:dyDescent="0.25"/>
    <row r="11" spans="1:42" ht="20.100000000000001" customHeight="1" x14ac:dyDescent="0.25">
      <c r="A11" s="19" t="s">
        <v>52</v>
      </c>
    </row>
    <row r="12" spans="1:42" ht="20.100000000000001" customHeight="1" x14ac:dyDescent="0.25">
      <c r="A12" s="17" t="str">
        <f>HYPERLINK("#'7.1.1-2 Rice cultivation'!A1", "7.1.1-2 Rice cultivation")</f>
        <v>7.1.1-2 Rice cultivation</v>
      </c>
    </row>
    <row r="13" spans="1:42" ht="20.100000000000001" customHeight="1" x14ac:dyDescent="0.25">
      <c r="A13" s="17"/>
    </row>
    <row r="14" spans="1:42" ht="20.100000000000001" customHeight="1" x14ac:dyDescent="0.25">
      <c r="A14" s="18" t="s">
        <v>2</v>
      </c>
    </row>
    <row r="15" spans="1:42" ht="20.100000000000001" customHeight="1" x14ac:dyDescent="0.25">
      <c r="A15" s="17" t="str">
        <f>HYPERLINK("#'Constants - Rice cultivation'!A1", "Constants - Rice cultivation")</f>
        <v>Constants - Rice cultivation</v>
      </c>
    </row>
    <row r="16" spans="1:42" ht="20.100000000000001" customHeight="1" x14ac:dyDescent="0.25">
      <c r="A16" s="17"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row r="22" spans="1:1" ht="20.100000000000001" customHeight="1" x14ac:dyDescent="0.25"/>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100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8" t="e" vm="1">
        <v>#VALUE!</v>
      </c>
      <c r="C1" s="115" t="s">
        <v>170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0" t="str">
        <f>HYPERLINK("#'Results'!A1", "Results")</f>
        <v>Results</v>
      </c>
      <c r="C5" s="22"/>
      <c r="D5" s="26"/>
      <c r="E5" s="27"/>
      <c r="F5" s="27"/>
      <c r="G5" s="27"/>
      <c r="H5" s="24"/>
      <c r="I5" s="22"/>
      <c r="J5" s="22"/>
      <c r="K5" s="22"/>
    </row>
    <row r="6" spans="1:11" ht="20.100000000000001" customHeight="1" x14ac:dyDescent="0.25">
      <c r="A6" s="16"/>
      <c r="C6" s="22"/>
      <c r="D6" s="82" t="s">
        <v>99</v>
      </c>
      <c r="E6" s="78"/>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95" t="s">
        <v>63</v>
      </c>
      <c r="E8" s="95" t="s">
        <v>75</v>
      </c>
      <c r="F8" s="95" t="s">
        <v>76</v>
      </c>
      <c r="G8" s="95" t="s">
        <v>69</v>
      </c>
      <c r="H8" s="95" t="s">
        <v>77</v>
      </c>
      <c r="I8" s="95" t="s">
        <v>78</v>
      </c>
      <c r="J8" s="95" t="s">
        <v>70</v>
      </c>
      <c r="K8" s="22"/>
    </row>
    <row r="9" spans="1:11" ht="20.100000000000001" customHeight="1" x14ac:dyDescent="0.25">
      <c r="A9" s="17" t="str">
        <f>HYPERLINK("#'Input - Rice'!A1", "Rice")</f>
        <v>Rice</v>
      </c>
      <c r="C9" s="22"/>
      <c r="D9" s="1" t="s">
        <v>168</v>
      </c>
      <c r="E9" s="114">
        <f>'7.1.1-2 Rice cultivation'!$E$102</f>
        <v>98.450769394817939</v>
      </c>
      <c r="F9" s="114">
        <f>E9</f>
        <v>98.450769394817939</v>
      </c>
      <c r="G9" s="49" t="s">
        <v>80</v>
      </c>
      <c r="H9" s="93">
        <f>'7.1.1-2 Rice cultivation'!$E$107</f>
        <v>2756.6215430549023</v>
      </c>
      <c r="I9" s="93">
        <f>H9</f>
        <v>2756.6215430549023</v>
      </c>
      <c r="J9" s="49" t="s">
        <v>73</v>
      </c>
      <c r="K9" s="22"/>
    </row>
    <row r="10" spans="1:11" ht="20.100000000000001" customHeight="1" x14ac:dyDescent="0.3">
      <c r="C10" s="22"/>
      <c r="D10" s="29" t="s">
        <v>68</v>
      </c>
      <c r="E10" s="23"/>
      <c r="F10" s="23"/>
      <c r="G10" s="29"/>
      <c r="H10" s="94">
        <f>SUM(H9:H9)</f>
        <v>2756.6215430549023</v>
      </c>
      <c r="I10" s="94">
        <f>SUM(I9:I9)</f>
        <v>2756.6215430549023</v>
      </c>
      <c r="J10" s="90" t="s">
        <v>73</v>
      </c>
      <c r="K10" s="22"/>
    </row>
    <row r="11" spans="1:11" ht="20.100000000000001" customHeight="1" x14ac:dyDescent="0.25">
      <c r="A11" s="19" t="s">
        <v>52</v>
      </c>
      <c r="C11" s="22"/>
      <c r="D11" s="1"/>
      <c r="E11" s="1"/>
      <c r="F11" s="1"/>
      <c r="G11" s="1"/>
      <c r="H11" s="1"/>
      <c r="I11" s="1"/>
      <c r="J11" s="1"/>
      <c r="K11" s="22"/>
    </row>
    <row r="12" spans="1:11" ht="20.100000000000001" customHeight="1" x14ac:dyDescent="0.25">
      <c r="A12" s="17" t="str">
        <f>HYPERLINK("#'7.1.1-2 Rice cultivation'!A1", "7.1.1-2 Rice cultivation")</f>
        <v>7.1.1-2 Rice cultivation</v>
      </c>
      <c r="C12" s="22"/>
      <c r="D12" s="91"/>
      <c r="E12" s="91"/>
      <c r="F12" s="91"/>
      <c r="G12" s="91"/>
      <c r="H12" s="91"/>
      <c r="I12" s="91"/>
      <c r="J12" s="91"/>
      <c r="K12" s="22"/>
    </row>
    <row r="13" spans="1:11" ht="20.100000000000001" customHeight="1" x14ac:dyDescent="0.25">
      <c r="A13" s="17"/>
      <c r="C13" s="22"/>
      <c r="D13" s="91"/>
      <c r="E13" s="1"/>
      <c r="F13" s="1"/>
      <c r="G13" s="1"/>
      <c r="H13" s="1"/>
      <c r="I13" s="1"/>
      <c r="J13" s="22"/>
      <c r="K13" s="22"/>
    </row>
    <row r="14" spans="1:11" ht="20.100000000000001" customHeight="1" x14ac:dyDescent="0.25">
      <c r="A14" s="18" t="s">
        <v>2</v>
      </c>
      <c r="C14" s="22"/>
      <c r="D14" s="98"/>
      <c r="E14" s="1"/>
      <c r="F14" s="1"/>
      <c r="G14" s="1"/>
      <c r="H14" s="1"/>
      <c r="I14" s="1"/>
      <c r="J14" s="22"/>
      <c r="K14" s="22"/>
    </row>
    <row r="15" spans="1:11" ht="20.100000000000001" customHeight="1" x14ac:dyDescent="0.25">
      <c r="A15" s="17" t="str">
        <f>HYPERLINK("#'Constants - Rice cultivation'!A1", "Constants - Rice cultivation")</f>
        <v>Constants - Rice cultivation</v>
      </c>
      <c r="C15" s="22"/>
      <c r="D15" s="1"/>
      <c r="E15" s="1"/>
      <c r="F15" s="1"/>
      <c r="G15" s="1"/>
      <c r="H15" s="1"/>
      <c r="I15" s="1"/>
      <c r="J15" s="22"/>
      <c r="K15" s="22"/>
    </row>
    <row r="16" spans="1:11" ht="20.100000000000001" customHeight="1" x14ac:dyDescent="0.25">
      <c r="A16" s="17" t="str">
        <f>HYPERLINK("#'Constants - Common'!A1", "Constants - Common")</f>
        <v>Constants - Common</v>
      </c>
      <c r="C16" s="22"/>
      <c r="D16" s="1"/>
      <c r="E16" s="1"/>
      <c r="F16" s="1"/>
      <c r="G16" s="1"/>
      <c r="H16" s="1"/>
      <c r="I16" s="1"/>
      <c r="J16" s="22"/>
      <c r="K16" s="22"/>
    </row>
    <row r="17" spans="1:11" ht="20.100000000000001" customHeight="1" x14ac:dyDescent="0.25">
      <c r="C17" s="22"/>
      <c r="D17" s="1"/>
      <c r="E17" s="96"/>
      <c r="F17" s="49"/>
      <c r="G17" s="1"/>
      <c r="H17" s="1"/>
      <c r="I17" s="22"/>
      <c r="J17" s="22"/>
      <c r="K17" s="22"/>
    </row>
    <row r="18" spans="1:11" ht="20.100000000000001" customHeight="1" x14ac:dyDescent="0.25">
      <c r="C18" s="22"/>
      <c r="D18" s="1"/>
      <c r="E18" s="1"/>
      <c r="F18" s="1"/>
      <c r="G18" s="1"/>
      <c r="H18" s="1"/>
      <c r="I18" s="1"/>
      <c r="J18" s="1"/>
      <c r="K18" s="22"/>
    </row>
    <row r="19" spans="1:11" ht="20.100000000000001" customHeight="1" x14ac:dyDescent="0.25">
      <c r="C19" s="22"/>
      <c r="D19" s="1"/>
      <c r="E19" s="1"/>
      <c r="F19" s="1"/>
      <c r="G19" s="1"/>
      <c r="H19" s="1"/>
      <c r="I19" s="1"/>
      <c r="J19" s="1"/>
      <c r="K19" s="22"/>
    </row>
    <row r="20" spans="1:11" ht="20.100000000000001" customHeight="1" x14ac:dyDescent="0.25">
      <c r="A20" s="17"/>
      <c r="C20" s="22"/>
      <c r="D20" s="1"/>
      <c r="E20" s="1"/>
      <c r="F20" s="1"/>
      <c r="G20" s="1"/>
      <c r="H20" s="1"/>
      <c r="I20" s="1"/>
      <c r="J20" s="1"/>
      <c r="K20" s="22"/>
    </row>
    <row r="21" spans="1:11" ht="20.100000000000001" customHeight="1" x14ac:dyDescent="0.25">
      <c r="C21" s="22"/>
      <c r="D21" s="1"/>
      <c r="E21" s="1"/>
      <c r="F21" s="1"/>
      <c r="G21" s="1"/>
      <c r="H21" s="1"/>
      <c r="I21" s="1"/>
      <c r="J21" s="1"/>
      <c r="K21" s="22"/>
    </row>
    <row r="22" spans="1:11" ht="20.100000000000001" customHeight="1" x14ac:dyDescent="0.25">
      <c r="C22" s="22"/>
      <c r="D22" s="1"/>
      <c r="E22" s="1"/>
      <c r="F22" s="1"/>
      <c r="G22" s="1"/>
      <c r="H22" s="1"/>
      <c r="I22" s="1"/>
      <c r="J22" s="1"/>
      <c r="K22" s="22"/>
    </row>
    <row r="23" spans="1:11" ht="20.100000000000001" customHeight="1" x14ac:dyDescent="0.25">
      <c r="C23" s="22"/>
      <c r="D23" s="1"/>
      <c r="E23" s="1"/>
      <c r="F23" s="1"/>
      <c r="G23" s="1"/>
      <c r="H23" s="1"/>
      <c r="I23" s="1"/>
      <c r="J23" s="1"/>
      <c r="K23" s="22"/>
    </row>
    <row r="24" spans="1:11" ht="20.100000000000001" customHeight="1" x14ac:dyDescent="0.25">
      <c r="C24" s="22"/>
      <c r="D24" s="1"/>
      <c r="E24" s="1"/>
      <c r="F24" s="1"/>
      <c r="G24" s="1"/>
      <c r="H24" s="1"/>
      <c r="I24" s="1"/>
      <c r="J24" s="1"/>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2"/>
      <c r="J38" s="92"/>
      <c r="K38" s="22"/>
    </row>
    <row r="39" spans="3:11" ht="20.100000000000001" customHeight="1" x14ac:dyDescent="0.25">
      <c r="C39" s="22"/>
      <c r="D39" s="1"/>
      <c r="E39" s="1"/>
      <c r="F39" s="1"/>
      <c r="G39" s="1"/>
      <c r="H39" s="1"/>
      <c r="I39" s="92"/>
      <c r="J39" s="92"/>
      <c r="K39" s="22"/>
    </row>
    <row r="40" spans="3:11" ht="20.100000000000001" customHeight="1" x14ac:dyDescent="0.25">
      <c r="C40" s="22"/>
      <c r="D40" s="1"/>
      <c r="E40" s="1"/>
      <c r="F40" s="1"/>
      <c r="G40" s="1"/>
      <c r="H40" s="1"/>
      <c r="I40" s="92"/>
      <c r="J40" s="92"/>
      <c r="K40" s="22"/>
    </row>
    <row r="41" spans="3:11" ht="20.100000000000001" customHeight="1" x14ac:dyDescent="0.25">
      <c r="C41" s="22"/>
      <c r="D41" s="1"/>
      <c r="E41" s="1"/>
      <c r="F41" s="1"/>
      <c r="G41" s="1"/>
      <c r="H41" s="1"/>
      <c r="I41" s="92"/>
      <c r="J41" s="92"/>
      <c r="K41" s="22"/>
    </row>
    <row r="42" spans="3:11" ht="20.100000000000001" customHeight="1" x14ac:dyDescent="0.25">
      <c r="C42" s="22"/>
      <c r="D42" s="1"/>
      <c r="E42" s="1"/>
      <c r="F42" s="1"/>
      <c r="G42" s="1"/>
      <c r="H42" s="1"/>
      <c r="I42" s="92"/>
      <c r="J42" s="92"/>
      <c r="K42" s="22"/>
    </row>
    <row r="43" spans="3:11" ht="20.100000000000001" customHeight="1" x14ac:dyDescent="0.25">
      <c r="C43" s="22"/>
      <c r="D43" s="1"/>
      <c r="E43" s="1"/>
      <c r="F43" s="1"/>
      <c r="G43" s="1"/>
      <c r="H43" s="1"/>
      <c r="I43" s="92"/>
      <c r="J43" s="92"/>
      <c r="K43" s="22"/>
    </row>
    <row r="44" spans="3:11" ht="20.100000000000001" customHeight="1" x14ac:dyDescent="0.25">
      <c r="C44" s="22"/>
      <c r="D44" s="1"/>
      <c r="E44" s="1"/>
      <c r="F44" s="1"/>
      <c r="G44" s="1"/>
      <c r="H44" s="1"/>
      <c r="I44" s="92"/>
      <c r="J44" s="92"/>
      <c r="K44" s="22"/>
    </row>
    <row r="45" spans="3:11" ht="20.100000000000001" customHeight="1" x14ac:dyDescent="0.25">
      <c r="C45" s="22"/>
      <c r="D45" s="1"/>
      <c r="E45" s="1"/>
      <c r="F45" s="1"/>
      <c r="G45" s="1"/>
      <c r="H45" s="1"/>
      <c r="I45" s="92"/>
      <c r="J45" s="92"/>
      <c r="K45" s="22"/>
    </row>
    <row r="46" spans="3:11" ht="20.100000000000001" customHeight="1" x14ac:dyDescent="0.25">
      <c r="C46" s="22"/>
      <c r="D46" s="1"/>
      <c r="E46" s="1"/>
      <c r="F46" s="1"/>
      <c r="G46" s="1"/>
      <c r="H46" s="1"/>
      <c r="I46" s="92"/>
      <c r="J46" s="92"/>
      <c r="K46" s="22"/>
    </row>
    <row r="47" spans="3:11" ht="20.100000000000001" customHeight="1" x14ac:dyDescent="0.25">
      <c r="C47" s="22"/>
      <c r="D47" s="1"/>
      <c r="E47" s="1"/>
      <c r="F47" s="1"/>
      <c r="G47" s="1"/>
      <c r="H47" s="1"/>
      <c r="I47" s="92"/>
      <c r="J47" s="92"/>
      <c r="K47" s="22"/>
    </row>
    <row r="48" spans="3:11" ht="20.100000000000001" customHeight="1" x14ac:dyDescent="0.25">
      <c r="C48" s="22"/>
      <c r="D48" s="1"/>
      <c r="E48" s="1"/>
      <c r="F48" s="1"/>
      <c r="G48" s="1"/>
      <c r="H48" s="1"/>
      <c r="I48" s="92"/>
      <c r="J48" s="92"/>
      <c r="K48" s="22"/>
    </row>
    <row r="49" spans="3:11" ht="20.100000000000001" customHeight="1" x14ac:dyDescent="0.25">
      <c r="C49" s="22"/>
      <c r="D49" s="1"/>
      <c r="E49" s="1"/>
      <c r="F49" s="1"/>
      <c r="G49" s="1"/>
      <c r="H49" s="92"/>
      <c r="I49" s="92"/>
      <c r="J49" s="92"/>
      <c r="K49" s="22"/>
    </row>
    <row r="50" spans="3:11" ht="20.100000000000001" customHeight="1" x14ac:dyDescent="0.25">
      <c r="C50" s="22"/>
      <c r="D50" s="1"/>
      <c r="E50" s="1"/>
      <c r="F50" s="1"/>
      <c r="G50" s="1"/>
      <c r="H50" s="92"/>
      <c r="I50" s="92"/>
      <c r="J50" s="92"/>
      <c r="K50" s="22"/>
    </row>
    <row r="51" spans="3:11" ht="20.100000000000001" customHeight="1" x14ac:dyDescent="0.25">
      <c r="C51" s="22"/>
      <c r="D51" s="1"/>
      <c r="E51" s="1"/>
      <c r="F51" s="1"/>
      <c r="G51" s="1"/>
      <c r="H51" s="92"/>
      <c r="I51" s="92"/>
      <c r="J51" s="92"/>
      <c r="K51" s="22"/>
    </row>
    <row r="52" spans="3:11" ht="20.100000000000001" customHeight="1" x14ac:dyDescent="0.25">
      <c r="C52" s="22"/>
      <c r="D52" s="1"/>
      <c r="E52" s="1"/>
      <c r="F52" s="1"/>
      <c r="G52" s="1"/>
      <c r="H52" s="92"/>
      <c r="I52" s="92"/>
      <c r="J52" s="92"/>
      <c r="K52" s="22"/>
    </row>
    <row r="53" spans="3:11" ht="20.100000000000001" customHeight="1" x14ac:dyDescent="0.25">
      <c r="C53" s="22"/>
      <c r="D53" s="1"/>
      <c r="E53" s="1"/>
      <c r="F53" s="1"/>
      <c r="G53" s="1"/>
      <c r="H53" s="92"/>
      <c r="I53" s="92"/>
      <c r="J53" s="92"/>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9" sqref="A9"/>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8" t="e" vm="1">
        <v>#VALUE!</v>
      </c>
      <c r="C1" s="12" t="s">
        <v>55</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59"/>
      <c r="D4" s="59"/>
      <c r="E4" s="59"/>
      <c r="F4" s="59"/>
      <c r="G4" s="59"/>
      <c r="H4" s="59"/>
      <c r="I4" s="59"/>
      <c r="J4" s="59"/>
      <c r="K4" s="59"/>
    </row>
    <row r="5" spans="1:24" ht="20.100000000000001" customHeight="1" x14ac:dyDescent="0.25">
      <c r="A5" s="17" t="str">
        <f>HYPERLINK("#'Results'!A1", "Results")</f>
        <v>Results</v>
      </c>
      <c r="D5" s="6" t="s">
        <v>7</v>
      </c>
      <c r="N5" s="38"/>
    </row>
    <row r="6" spans="1:24" ht="20.100000000000001" customHeight="1" x14ac:dyDescent="0.25">
      <c r="D6" s="14"/>
      <c r="N6" s="39"/>
    </row>
    <row r="7" spans="1:24" ht="20.100000000000001" customHeight="1" x14ac:dyDescent="0.25">
      <c r="A7" s="20" t="s">
        <v>1</v>
      </c>
      <c r="D7" s="1" t="s">
        <v>5</v>
      </c>
      <c r="E7" s="31" t="s">
        <v>4</v>
      </c>
      <c r="F7" s="2"/>
    </row>
    <row r="8" spans="1:24" ht="20.100000000000001" customHeight="1" x14ac:dyDescent="0.25">
      <c r="A8" s="99" t="str">
        <f>HYPERLINK("#'Input - Site'!A1", "Site")</f>
        <v>Site</v>
      </c>
      <c r="D8" s="10" t="s">
        <v>50</v>
      </c>
      <c r="E8" s="31" t="s">
        <v>51</v>
      </c>
    </row>
    <row r="9" spans="1:24" ht="20.100000000000001" customHeight="1" x14ac:dyDescent="0.25">
      <c r="A9" s="17" t="str">
        <f>HYPERLINK("#'Input - Rice'!A1", "Rice")</f>
        <v>Rice</v>
      </c>
      <c r="N9" s="40"/>
    </row>
    <row r="10" spans="1:24" ht="20.100000000000001" customHeight="1" x14ac:dyDescent="0.25">
      <c r="A10"/>
      <c r="D10" s="82" t="s">
        <v>54</v>
      </c>
      <c r="E10" s="81"/>
      <c r="F10" s="83"/>
      <c r="G10" s="78"/>
      <c r="N10" s="40"/>
    </row>
    <row r="11" spans="1:24" ht="20.100000000000001" customHeight="1" x14ac:dyDescent="0.25">
      <c r="A11" s="19" t="s">
        <v>52</v>
      </c>
      <c r="N11" s="41"/>
    </row>
    <row r="12" spans="1:24" ht="20.100000000000001" customHeight="1" x14ac:dyDescent="0.25">
      <c r="A12" s="17" t="str">
        <f>HYPERLINK("#'7.1.1-2 Rice cultivation'!A1", "7.1.1-2 Rice cultivation")</f>
        <v>7.1.1-2 Rice cultivation</v>
      </c>
      <c r="D12" s="10" t="s">
        <v>58</v>
      </c>
      <c r="E12" s="56">
        <v>45292</v>
      </c>
      <c r="F12" s="2" t="s">
        <v>49</v>
      </c>
    </row>
    <row r="13" spans="1:24" ht="20.100000000000001" customHeight="1" x14ac:dyDescent="0.25">
      <c r="A13" s="17"/>
      <c r="D13" s="10" t="s">
        <v>59</v>
      </c>
      <c r="E13" s="60">
        <f>DATE(YEAR(E12)+1,MONTH(E12),DAY(E12))-1</f>
        <v>45657</v>
      </c>
      <c r="F13" s="2" t="s">
        <v>8</v>
      </c>
      <c r="N13" s="36"/>
      <c r="O13" s="36"/>
    </row>
    <row r="14" spans="1:24" ht="20.100000000000001" customHeight="1" x14ac:dyDescent="0.25">
      <c r="A14" s="18" t="s">
        <v>2</v>
      </c>
      <c r="N14" s="36"/>
      <c r="O14" s="36"/>
    </row>
    <row r="15" spans="1:24" ht="20.100000000000001" customHeight="1" x14ac:dyDescent="0.25">
      <c r="A15" s="17" t="str">
        <f>HYPERLINK("#'Constants - Rice cultivation'!A1", "Constants - Rice cultivation")</f>
        <v>Constants - Rice cultivation</v>
      </c>
      <c r="D15" s="1"/>
      <c r="E15" s="1"/>
      <c r="F15" s="1"/>
      <c r="G15" s="1"/>
      <c r="H15" s="1"/>
      <c r="N15" s="36"/>
      <c r="O15" s="36"/>
    </row>
    <row r="16" spans="1:24" ht="20.100000000000001" customHeight="1" x14ac:dyDescent="0.25">
      <c r="A16" s="17" t="str">
        <f>HYPERLINK("#'Constants - Common'!A1", "Constants - Common")</f>
        <v>Constants - Common</v>
      </c>
      <c r="D16" s="1"/>
      <c r="E16" s="1"/>
      <c r="F16" s="1"/>
      <c r="G16" s="1"/>
      <c r="H16" s="1"/>
      <c r="N16" s="36"/>
      <c r="O16" s="36"/>
    </row>
    <row r="17" spans="1:25" ht="20.100000000000001" customHeight="1" x14ac:dyDescent="0.25">
      <c r="A17"/>
      <c r="D17" s="1"/>
      <c r="E17" s="1"/>
      <c r="F17" s="1"/>
      <c r="G17" s="1"/>
      <c r="H17" s="1"/>
    </row>
    <row r="18" spans="1:25" ht="20.100000000000001" customHeight="1" x14ac:dyDescent="0.25">
      <c r="A18"/>
      <c r="D18" s="1"/>
      <c r="E18" s="1"/>
      <c r="F18" s="1"/>
      <c r="G18" s="1"/>
      <c r="H18" s="1"/>
    </row>
    <row r="19" spans="1:25" ht="20.100000000000001" customHeight="1" x14ac:dyDescent="0.25">
      <c r="A19"/>
      <c r="D19" s="1"/>
      <c r="E19" s="1"/>
      <c r="F19" s="1"/>
      <c r="G19" s="1"/>
      <c r="H19" s="1"/>
      <c r="N19" s="38"/>
    </row>
    <row r="20" spans="1:25" ht="20.100000000000001" customHeight="1" x14ac:dyDescent="0.25">
      <c r="A20" s="17"/>
      <c r="D20" s="1"/>
      <c r="E20" s="1"/>
      <c r="F20" s="1"/>
      <c r="G20" s="1"/>
      <c r="H20" s="1"/>
      <c r="N20" s="39"/>
    </row>
    <row r="21" spans="1:25" ht="20.100000000000001" customHeight="1" x14ac:dyDescent="0.25">
      <c r="A21"/>
      <c r="D21" s="1"/>
      <c r="E21" s="1"/>
      <c r="F21" s="1"/>
      <c r="G21" s="1"/>
      <c r="H21" s="1"/>
    </row>
    <row r="22" spans="1:25" ht="20.100000000000001" customHeight="1" x14ac:dyDescent="0.25">
      <c r="A22"/>
      <c r="D22" s="1"/>
      <c r="E22" s="1"/>
      <c r="F22" s="1"/>
      <c r="G22" s="1"/>
      <c r="H22" s="1"/>
    </row>
    <row r="23" spans="1:25" ht="20.100000000000001" customHeight="1" x14ac:dyDescent="0.25">
      <c r="A23"/>
      <c r="D23" s="1"/>
      <c r="E23" s="1"/>
      <c r="F23" s="1"/>
      <c r="G23" s="1"/>
      <c r="H23" s="1"/>
    </row>
    <row r="24" spans="1:25" ht="20.100000000000001" customHeight="1" x14ac:dyDescent="0.25">
      <c r="A24"/>
      <c r="D24" s="1"/>
      <c r="E24" s="1"/>
      <c r="F24" s="1"/>
      <c r="G24" s="1"/>
      <c r="H24" s="1"/>
    </row>
    <row r="25" spans="1:25" ht="20.100000000000001" customHeight="1" x14ac:dyDescent="0.25">
      <c r="A25"/>
      <c r="D25" s="1"/>
      <c r="E25" s="1"/>
      <c r="F25" s="1"/>
      <c r="G25" s="1"/>
      <c r="H25" s="1"/>
      <c r="N25" s="39"/>
    </row>
    <row r="26" spans="1:25" ht="20.100000000000001" customHeight="1" x14ac:dyDescent="0.25">
      <c r="A26"/>
      <c r="D26" s="1"/>
      <c r="E26" s="1"/>
      <c r="F26" s="1"/>
      <c r="G26" s="1"/>
      <c r="H26" s="1"/>
    </row>
    <row r="27" spans="1:25" ht="20.100000000000001" customHeight="1" x14ac:dyDescent="0.25">
      <c r="A27"/>
      <c r="D27" s="1"/>
      <c r="E27" s="1"/>
      <c r="F27" s="1"/>
      <c r="G27" s="1"/>
      <c r="H27" s="1"/>
    </row>
    <row r="28" spans="1:25" ht="20.100000000000001" customHeight="1" x14ac:dyDescent="0.25">
      <c r="A28"/>
      <c r="D28" s="1"/>
      <c r="E28" s="1"/>
      <c r="F28" s="1"/>
      <c r="G28" s="1"/>
      <c r="H28" s="1"/>
    </row>
    <row r="29" spans="1:25" ht="20.100000000000001" customHeight="1" x14ac:dyDescent="0.25">
      <c r="A29"/>
      <c r="D29" s="1"/>
      <c r="E29" s="1"/>
      <c r="F29" s="1"/>
      <c r="G29" s="1"/>
      <c r="H29" s="1"/>
    </row>
    <row r="30" spans="1:25" ht="20.100000000000001" customHeight="1" x14ac:dyDescent="0.25">
      <c r="A30"/>
      <c r="D30" s="1"/>
      <c r="E30" s="1"/>
      <c r="F30" s="1"/>
      <c r="G30" s="1"/>
      <c r="H30" s="1"/>
      <c r="L30" s="44"/>
      <c r="M30" s="44"/>
      <c r="N30" s="44"/>
      <c r="O30" s="44"/>
      <c r="P30" s="44"/>
      <c r="Q30" s="44"/>
      <c r="R30" s="44"/>
      <c r="S30" s="44"/>
      <c r="T30" s="44"/>
      <c r="U30" s="44"/>
      <c r="V30" s="44"/>
      <c r="W30" s="44"/>
      <c r="X30" s="44"/>
      <c r="Y30" s="44"/>
    </row>
    <row r="31" spans="1:25" ht="20.100000000000001" customHeight="1" x14ac:dyDescent="0.25">
      <c r="A31"/>
      <c r="D31" s="1"/>
      <c r="E31" s="1"/>
      <c r="F31" s="1"/>
      <c r="G31" s="1"/>
      <c r="H31" s="1"/>
      <c r="L31" s="43"/>
      <c r="M31" s="43"/>
      <c r="N31" s="43"/>
      <c r="O31" s="43"/>
      <c r="P31" s="43"/>
      <c r="Q31" s="43"/>
      <c r="R31" s="43"/>
      <c r="S31" s="43"/>
      <c r="T31" s="43"/>
      <c r="U31" s="43"/>
      <c r="V31" s="43"/>
      <c r="W31" s="43"/>
      <c r="X31" s="43"/>
      <c r="Y31" s="43"/>
    </row>
    <row r="32" spans="1:25" ht="20.100000000000001" customHeight="1" x14ac:dyDescent="0.25">
      <c r="A32"/>
      <c r="D32" s="1"/>
      <c r="E32" s="1"/>
      <c r="F32" s="1"/>
      <c r="G32" s="1"/>
      <c r="H32" s="1"/>
      <c r="L32" s="43"/>
      <c r="M32" s="43"/>
      <c r="N32" s="43"/>
      <c r="O32" s="43"/>
      <c r="P32" s="43"/>
      <c r="Q32" s="43"/>
      <c r="R32" s="43"/>
      <c r="S32" s="43"/>
      <c r="T32" s="43"/>
      <c r="U32" s="43"/>
      <c r="V32" s="43"/>
      <c r="W32" s="43"/>
      <c r="X32" s="43"/>
      <c r="Y32" s="43"/>
    </row>
    <row r="33" spans="1:25" ht="20.100000000000001" customHeight="1" x14ac:dyDescent="0.25">
      <c r="A33"/>
      <c r="D33" s="1"/>
      <c r="E33" s="1"/>
      <c r="F33" s="1"/>
      <c r="G33" s="1"/>
      <c r="H33" s="1"/>
      <c r="L33" s="43"/>
      <c r="M33" s="43"/>
      <c r="N33" s="43"/>
      <c r="O33" s="43"/>
      <c r="P33" s="43"/>
      <c r="Q33" s="43"/>
      <c r="R33" s="43"/>
      <c r="S33" s="43"/>
      <c r="T33" s="43"/>
      <c r="U33" s="43"/>
      <c r="V33" s="43"/>
      <c r="W33" s="43"/>
      <c r="X33" s="43"/>
      <c r="Y33" s="43"/>
    </row>
    <row r="34" spans="1:25" ht="20.100000000000001" customHeight="1" x14ac:dyDescent="0.25">
      <c r="A34"/>
      <c r="D34" s="1"/>
      <c r="E34" s="1"/>
      <c r="F34" s="1"/>
      <c r="G34" s="1"/>
      <c r="H34" s="1"/>
      <c r="J34" s="54"/>
      <c r="K34" s="63"/>
      <c r="L34" s="43"/>
      <c r="M34" s="43"/>
      <c r="N34" s="43"/>
      <c r="O34" s="43"/>
      <c r="P34" s="43"/>
      <c r="Q34" s="43"/>
      <c r="R34" s="43"/>
      <c r="S34" s="43"/>
      <c r="T34" s="43"/>
      <c r="U34" s="43"/>
      <c r="V34" s="43"/>
      <c r="W34" s="43"/>
      <c r="X34" s="43"/>
      <c r="Y34" s="43"/>
    </row>
    <row r="35" spans="1:25" ht="20.100000000000001" customHeight="1" x14ac:dyDescent="0.25">
      <c r="A35"/>
      <c r="D35" s="1"/>
      <c r="E35" s="1"/>
      <c r="F35" s="1"/>
      <c r="G35" s="1"/>
      <c r="H35" s="1"/>
      <c r="J35" s="54"/>
      <c r="K35" s="63"/>
      <c r="L35" s="43"/>
      <c r="M35" s="43"/>
      <c r="N35" s="43"/>
      <c r="O35" s="43"/>
      <c r="P35" s="43"/>
      <c r="Q35" s="43"/>
      <c r="R35" s="43"/>
      <c r="S35" s="43"/>
      <c r="T35" s="43"/>
      <c r="U35" s="43"/>
      <c r="V35" s="43"/>
      <c r="W35" s="43"/>
      <c r="X35" s="43"/>
      <c r="Y35" s="43"/>
    </row>
    <row r="36" spans="1:25" ht="20.100000000000001" customHeight="1" x14ac:dyDescent="0.25">
      <c r="A36"/>
      <c r="D36" s="1"/>
      <c r="E36" s="1"/>
      <c r="F36" s="1"/>
      <c r="G36" s="1"/>
      <c r="H36" s="1"/>
      <c r="I36" s="55"/>
      <c r="J36" s="54"/>
      <c r="K36" s="63"/>
      <c r="L36" s="43"/>
      <c r="M36" s="43"/>
      <c r="N36" s="43"/>
      <c r="O36" s="43"/>
      <c r="P36" s="43"/>
      <c r="Q36" s="43"/>
      <c r="R36" s="43"/>
      <c r="S36" s="43"/>
      <c r="T36" s="43"/>
      <c r="U36" s="43"/>
      <c r="V36" s="43"/>
      <c r="W36" s="43"/>
      <c r="X36" s="43"/>
      <c r="Y36" s="43"/>
    </row>
    <row r="37" spans="1:25" ht="20.100000000000001" customHeight="1" x14ac:dyDescent="0.25">
      <c r="A37"/>
      <c r="D37" s="61"/>
      <c r="E37" s="61"/>
      <c r="F37" s="62"/>
      <c r="G37" s="54"/>
      <c r="H37" s="54"/>
      <c r="I37" s="55"/>
      <c r="J37" s="54"/>
      <c r="K37" s="63"/>
      <c r="L37" s="43"/>
      <c r="M37" s="43"/>
      <c r="N37" s="43"/>
      <c r="O37" s="43"/>
      <c r="P37" s="43"/>
      <c r="Q37" s="43"/>
      <c r="R37" s="43"/>
      <c r="S37" s="43"/>
      <c r="T37" s="43"/>
      <c r="U37" s="43"/>
      <c r="V37" s="43"/>
      <c r="W37" s="43"/>
      <c r="X37" s="43"/>
      <c r="Y37" s="43"/>
    </row>
    <row r="38" spans="1:25" ht="20.100000000000001" customHeight="1" x14ac:dyDescent="0.25">
      <c r="A38"/>
      <c r="D38" s="61"/>
      <c r="E38" s="61"/>
      <c r="F38" s="62"/>
      <c r="G38" s="54"/>
      <c r="H38" s="54"/>
      <c r="I38" s="55"/>
      <c r="J38" s="54"/>
      <c r="K38" s="63"/>
      <c r="L38" s="43"/>
      <c r="M38" s="43"/>
      <c r="N38" s="43"/>
      <c r="O38" s="43"/>
      <c r="P38" s="43"/>
      <c r="Q38" s="43"/>
      <c r="R38" s="43"/>
      <c r="S38" s="43"/>
      <c r="T38" s="43"/>
      <c r="U38" s="43"/>
      <c r="V38" s="43"/>
      <c r="W38" s="43"/>
      <c r="X38" s="43"/>
      <c r="Y38" s="43"/>
    </row>
    <row r="39" spans="1:25" ht="20.100000000000001" customHeight="1" x14ac:dyDescent="0.25">
      <c r="A39"/>
      <c r="D39" s="61"/>
      <c r="E39" s="61"/>
      <c r="F39" s="62"/>
      <c r="G39" s="54"/>
      <c r="H39" s="54"/>
      <c r="I39" s="55"/>
      <c r="J39" s="54"/>
      <c r="K39" s="63"/>
      <c r="L39" s="43"/>
      <c r="M39" s="43"/>
      <c r="N39" s="43"/>
      <c r="O39" s="43"/>
      <c r="P39" s="43"/>
      <c r="Q39" s="43"/>
      <c r="R39" s="43"/>
      <c r="S39" s="43"/>
      <c r="T39" s="43"/>
      <c r="U39" s="43"/>
      <c r="V39" s="43"/>
      <c r="W39" s="43"/>
      <c r="X39" s="43"/>
      <c r="Y39" s="43"/>
    </row>
    <row r="40" spans="1:25" ht="20.100000000000001" customHeight="1" x14ac:dyDescent="0.25">
      <c r="A40"/>
      <c r="D40" s="64"/>
      <c r="E40" s="64"/>
      <c r="F40" s="64"/>
      <c r="G40" s="65"/>
      <c r="H40" s="66"/>
      <c r="I40" s="66"/>
      <c r="J40" s="66"/>
      <c r="K40" s="66"/>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7"/>
      <c r="E47" s="67"/>
      <c r="F47" s="67"/>
      <c r="G47" s="67"/>
      <c r="H47" s="67"/>
    </row>
    <row r="48" spans="1:25" ht="20.100000000000001" customHeight="1" x14ac:dyDescent="0.25">
      <c r="D48" s="32"/>
      <c r="E48" s="32"/>
      <c r="F48" s="33"/>
      <c r="G48" s="33"/>
      <c r="H48" s="32"/>
    </row>
    <row r="49" spans="4:8" ht="20.100000000000001" customHeight="1" x14ac:dyDescent="0.25">
      <c r="D49" s="32"/>
      <c r="E49" s="32"/>
      <c r="F49" s="33"/>
      <c r="G49" s="33"/>
      <c r="H49" s="32"/>
    </row>
    <row r="50" spans="4:8" ht="20.100000000000001" customHeight="1" x14ac:dyDescent="0.25">
      <c r="D50" s="32"/>
      <c r="E50" s="32"/>
      <c r="F50" s="33"/>
      <c r="G50" s="33"/>
      <c r="H50" s="32"/>
    </row>
    <row r="51" spans="4:8" ht="20.100000000000001" customHeight="1" x14ac:dyDescent="0.25">
      <c r="D51" s="68"/>
      <c r="E51" s="69"/>
      <c r="F51" s="69"/>
      <c r="G51" s="69"/>
      <c r="H51" s="70"/>
    </row>
    <row r="52" spans="4:8" ht="20.100000000000001" customHeight="1" x14ac:dyDescent="0.25"/>
    <row r="53" spans="4:8" ht="20.100000000000001" customHeight="1" x14ac:dyDescent="0.25"/>
    <row r="54" spans="4:8" ht="20.100000000000001" customHeight="1" x14ac:dyDescent="0.25">
      <c r="G54" s="71"/>
    </row>
    <row r="55" spans="4:8" ht="20.100000000000001" customHeight="1" x14ac:dyDescent="0.25">
      <c r="D55" s="6"/>
    </row>
    <row r="56" spans="4:8" ht="20.100000000000001" customHeight="1" x14ac:dyDescent="0.25"/>
    <row r="57" spans="4:8" ht="20.100000000000001" customHeight="1" x14ac:dyDescent="0.25">
      <c r="D57" s="21"/>
      <c r="F57" s="72"/>
    </row>
    <row r="58" spans="4:8" ht="20.100000000000001" customHeight="1" x14ac:dyDescent="0.25">
      <c r="D58" s="1"/>
      <c r="E58" s="73"/>
    </row>
    <row r="59" spans="4:8" ht="20.100000000000001" customHeight="1" x14ac:dyDescent="0.25">
      <c r="D59" s="1"/>
      <c r="E59" s="73"/>
    </row>
    <row r="60" spans="4:8" ht="20.100000000000001" customHeight="1" x14ac:dyDescent="0.25">
      <c r="D60" s="1"/>
      <c r="E60" s="7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3"/>
    </row>
    <row r="65" spans="4:9" ht="20.100000000000001" customHeight="1" x14ac:dyDescent="0.25">
      <c r="D65" s="1"/>
      <c r="E65" s="73"/>
    </row>
    <row r="66" spans="4:9" ht="20.100000000000001" customHeight="1" x14ac:dyDescent="0.25">
      <c r="D66" s="1"/>
      <c r="E66" s="74"/>
    </row>
    <row r="67" spans="4:9" ht="20.100000000000001" customHeight="1" x14ac:dyDescent="0.25"/>
    <row r="68" spans="4:9" ht="20.100000000000001" customHeight="1" x14ac:dyDescent="0.25"/>
    <row r="69" spans="4:9" ht="20.100000000000001" customHeight="1" x14ac:dyDescent="0.25">
      <c r="D69" s="53"/>
      <c r="E69" s="53"/>
      <c r="F69" s="53"/>
      <c r="G69" s="53"/>
      <c r="H69" s="53"/>
      <c r="I69" s="53"/>
    </row>
    <row r="70" spans="4:9" ht="20.100000000000001" customHeight="1" x14ac:dyDescent="0.25">
      <c r="D70" s="53"/>
      <c r="E70" s="53"/>
      <c r="F70" s="53"/>
      <c r="G70" s="53"/>
      <c r="H70" s="53"/>
      <c r="I70" s="53"/>
    </row>
    <row r="71" spans="4:9" ht="20.100000000000001" customHeight="1" x14ac:dyDescent="0.25">
      <c r="D71" s="53"/>
      <c r="E71" s="53"/>
      <c r="F71" s="53"/>
      <c r="G71" s="53"/>
      <c r="H71" s="53"/>
      <c r="I71" s="53"/>
    </row>
    <row r="72" spans="4:9" ht="20.100000000000001" customHeight="1" x14ac:dyDescent="0.25">
      <c r="D72" s="53"/>
      <c r="E72" s="53"/>
      <c r="F72" s="53"/>
      <c r="G72" s="53"/>
      <c r="H72" s="53"/>
      <c r="I72" s="5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5"/>
    </row>
    <row r="79" spans="4:9" ht="20.100000000000001" customHeight="1" x14ac:dyDescent="0.25">
      <c r="D79" s="75"/>
    </row>
    <row r="80" spans="4:9" ht="20.100000000000001" customHeight="1" x14ac:dyDescent="0.25">
      <c r="D80" s="75"/>
    </row>
    <row r="81" spans="4:4" ht="20.100000000000001" customHeight="1" x14ac:dyDescent="0.25">
      <c r="D81" s="75"/>
    </row>
    <row r="82" spans="4:4" ht="20.100000000000001" customHeight="1" x14ac:dyDescent="0.25">
      <c r="D82" s="7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63"/>
  <sheetViews>
    <sheetView showGridLines="0" tabSelected="1" zoomScaleNormal="100" workbookViewId="0">
      <selection activeCell="D16" sqref="D16"/>
    </sheetView>
  </sheetViews>
  <sheetFormatPr defaultRowHeight="15.75" x14ac:dyDescent="0.25"/>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8" customFormat="1" ht="30" customHeight="1" x14ac:dyDescent="0.35">
      <c r="A1" s="58" t="e" vm="1">
        <v>#VALUE!</v>
      </c>
      <c r="C1" s="58" t="s">
        <v>107</v>
      </c>
    </row>
    <row r="2" spans="1:11" s="9" customFormat="1" ht="20.100000000000001" customHeight="1" x14ac:dyDescent="0.25"/>
    <row r="3" spans="1:11" ht="20.100000000000001" customHeight="1" x14ac:dyDescent="0.25">
      <c r="A3" s="17" t="str">
        <f>HYPERLINK("#'Home'!A1", "Home")</f>
        <v>Home</v>
      </c>
      <c r="C3" s="15"/>
      <c r="D3" s="15"/>
      <c r="E3" s="15"/>
      <c r="F3" s="15"/>
      <c r="G3" s="15"/>
      <c r="H3" s="15"/>
      <c r="I3" s="15"/>
      <c r="J3" s="15"/>
      <c r="K3" s="15"/>
    </row>
    <row r="4" spans="1:11" ht="20.100000000000001" customHeight="1" x14ac:dyDescent="0.25">
      <c r="A4" s="17" t="str">
        <f>HYPERLINK("#'Overview'!A1", "Overview")</f>
        <v>Overview</v>
      </c>
    </row>
    <row r="5" spans="1:11" ht="20.100000000000001" customHeight="1" x14ac:dyDescent="0.25">
      <c r="A5" s="17" t="str">
        <f>HYPERLINK("#'Results'!A1", "Results")</f>
        <v>Results</v>
      </c>
      <c r="D5" s="6" t="s">
        <v>104</v>
      </c>
    </row>
    <row r="6" spans="1:11" ht="20.100000000000001" customHeight="1" x14ac:dyDescent="0.25">
      <c r="A6" s="16"/>
    </row>
    <row r="7" spans="1:11" ht="20.100000000000001" customHeight="1" x14ac:dyDescent="0.25">
      <c r="A7" s="20" t="s">
        <v>1</v>
      </c>
      <c r="D7" s="82" t="s">
        <v>105</v>
      </c>
      <c r="E7" s="83"/>
      <c r="F7" s="83"/>
      <c r="G7" s="78"/>
    </row>
    <row r="8" spans="1:11" ht="20.100000000000001" customHeight="1" x14ac:dyDescent="0.25">
      <c r="A8" s="17" t="str">
        <f>HYPERLINK("#'Input - Site'!A1", "Site")</f>
        <v>Site</v>
      </c>
    </row>
    <row r="9" spans="1:11" ht="20.100000000000001" customHeight="1" x14ac:dyDescent="0.25">
      <c r="A9" s="99" t="str">
        <f>HYPERLINK("#'Input - Rice'!A1", "Rice")</f>
        <v>Rice</v>
      </c>
    </row>
    <row r="10" spans="1:11" ht="20.100000000000001" customHeight="1" x14ac:dyDescent="0.25">
      <c r="D10" s="1" t="str">
        <f>"Number of full growing seasons between "&amp;TEXT('Input - Site'!$E$12,"d/m/yy")&amp;" and " &amp; TEXT('Input - Site'!$E$13,"d/m/yy") &amp; " that are managed the same way"</f>
        <v>Number of full growing seasons between 1/1/24 and 31/12/24 that are managed the same way</v>
      </c>
      <c r="E10" s="106">
        <v>2</v>
      </c>
      <c r="F10" s="2" t="s">
        <v>152</v>
      </c>
    </row>
    <row r="11" spans="1:11" ht="20.100000000000001" customHeight="1" x14ac:dyDescent="0.25">
      <c r="A11" s="19" t="s">
        <v>52</v>
      </c>
    </row>
    <row r="12" spans="1:11" ht="20.100000000000001" customHeight="1" x14ac:dyDescent="0.25">
      <c r="A12" s="17" t="str">
        <f>HYPERLINK("#'7.1.1-2 Rice cultivation'!A1", "7.1.1-2 Rice cultivation")</f>
        <v>7.1.1-2 Rice cultivation</v>
      </c>
      <c r="D12" s="6" t="s">
        <v>114</v>
      </c>
    </row>
    <row r="13" spans="1:11" ht="20.100000000000001" customHeight="1" x14ac:dyDescent="0.25">
      <c r="A13" s="17"/>
    </row>
    <row r="14" spans="1:11" ht="20.100000000000001" customHeight="1" x14ac:dyDescent="0.25">
      <c r="A14" s="18" t="s">
        <v>2</v>
      </c>
      <c r="D14" s="101" t="s">
        <v>132</v>
      </c>
      <c r="E14" s="101" t="s">
        <v>157</v>
      </c>
      <c r="F14" s="101" t="s">
        <v>158</v>
      </c>
      <c r="G14" s="101" t="s">
        <v>116</v>
      </c>
      <c r="H14" s="101" t="s">
        <v>117</v>
      </c>
      <c r="I14" s="101" t="s">
        <v>118</v>
      </c>
      <c r="J14" s="101" t="s">
        <v>119</v>
      </c>
    </row>
    <row r="15" spans="1:11" ht="20.100000000000001" customHeight="1" x14ac:dyDescent="0.25">
      <c r="A15" s="17" t="str">
        <f>HYPERLINK("#'Constants - Rice cultivation'!A1", "Constants - Rice cultivation")</f>
        <v>Constants - Rice cultivation</v>
      </c>
      <c r="D15" s="35" t="s">
        <v>153</v>
      </c>
      <c r="E15" s="35">
        <v>2</v>
      </c>
      <c r="F15" s="35">
        <v>0</v>
      </c>
      <c r="G15" s="35">
        <v>2</v>
      </c>
      <c r="H15" s="35">
        <v>0</v>
      </c>
      <c r="I15" s="35">
        <v>2</v>
      </c>
      <c r="J15" s="35">
        <v>0</v>
      </c>
    </row>
    <row r="16" spans="1:11" ht="20.100000000000001" customHeight="1" x14ac:dyDescent="0.25">
      <c r="A16" s="17" t="str">
        <f>HYPERLINK("#'Constants - Common'!A1", "Constants - Common")</f>
        <v>Constants - Common</v>
      </c>
      <c r="D16" s="35" t="s">
        <v>154</v>
      </c>
      <c r="E16" s="35">
        <v>0</v>
      </c>
      <c r="F16" s="35">
        <v>2</v>
      </c>
      <c r="G16" s="35">
        <v>0</v>
      </c>
      <c r="H16" s="35">
        <v>2</v>
      </c>
      <c r="I16" s="35">
        <v>0</v>
      </c>
      <c r="J16" s="35">
        <v>2</v>
      </c>
    </row>
    <row r="17" spans="1:10" ht="20.100000000000001" customHeight="1" x14ac:dyDescent="0.25"/>
    <row r="18" spans="1:10" ht="20.100000000000001" customHeight="1" x14ac:dyDescent="0.25"/>
    <row r="19" spans="1:10" ht="20.100000000000001" customHeight="1" x14ac:dyDescent="0.25">
      <c r="D19" s="6" t="s">
        <v>108</v>
      </c>
    </row>
    <row r="20" spans="1:10" ht="20.100000000000001" customHeight="1" x14ac:dyDescent="0.25">
      <c r="A20" s="17"/>
    </row>
    <row r="21" spans="1:10" ht="20.100000000000001" customHeight="1" x14ac:dyDescent="0.25">
      <c r="D21" s="101" t="s">
        <v>110</v>
      </c>
      <c r="E21" s="101" t="s">
        <v>163</v>
      </c>
      <c r="F21" s="101" t="s">
        <v>123</v>
      </c>
      <c r="G21" s="101" t="s">
        <v>122</v>
      </c>
      <c r="H21" s="101" t="s">
        <v>121</v>
      </c>
      <c r="I21" s="101" t="s">
        <v>120</v>
      </c>
      <c r="J21" s="101" t="s">
        <v>161</v>
      </c>
    </row>
    <row r="22" spans="1:10" ht="20.100000000000001" customHeight="1" x14ac:dyDescent="0.25">
      <c r="D22" s="35" t="s">
        <v>141</v>
      </c>
      <c r="E22" s="35">
        <v>100</v>
      </c>
      <c r="F22" s="37" t="s">
        <v>143</v>
      </c>
      <c r="G22" s="37" t="s">
        <v>150</v>
      </c>
      <c r="H22" s="37" t="s">
        <v>156</v>
      </c>
      <c r="I22" s="37" t="s">
        <v>153</v>
      </c>
      <c r="J22" s="35">
        <v>100</v>
      </c>
    </row>
    <row r="23" spans="1:10" ht="20.100000000000001" customHeight="1" x14ac:dyDescent="0.25">
      <c r="D23" s="35" t="s">
        <v>142</v>
      </c>
      <c r="E23" s="35">
        <v>100</v>
      </c>
      <c r="F23" s="37" t="s">
        <v>151</v>
      </c>
      <c r="G23" s="37" t="s">
        <v>148</v>
      </c>
      <c r="H23" s="37" t="s">
        <v>149</v>
      </c>
      <c r="I23" s="37" t="s">
        <v>154</v>
      </c>
      <c r="J23" s="35">
        <v>100</v>
      </c>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7"/>
    </row>
    <row r="30" spans="1:10" ht="20.100000000000001" customHeight="1" x14ac:dyDescent="0.25">
      <c r="A30" s="17"/>
    </row>
    <row r="31" spans="1:10" ht="20.100000000000001" customHeight="1" x14ac:dyDescent="0.25">
      <c r="A31" s="57"/>
    </row>
    <row r="32" spans="1:10" ht="20.100000000000001" customHeight="1" x14ac:dyDescent="0.25">
      <c r="A32" s="57"/>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c r="C37" s="104"/>
    </row>
    <row r="38" spans="1:11" ht="20.100000000000001" customHeight="1" x14ac:dyDescent="0.25">
      <c r="C38" s="104"/>
    </row>
    <row r="39" spans="1:11" ht="20.100000000000001" customHeight="1" x14ac:dyDescent="0.25">
      <c r="A39" s="17"/>
    </row>
    <row r="40" spans="1:11" s="105" customFormat="1" ht="20.100000000000001" customHeight="1" x14ac:dyDescent="0.25">
      <c r="C40" s="1"/>
      <c r="D40" s="1"/>
      <c r="E40" s="1"/>
      <c r="F40" s="1"/>
      <c r="G40" s="1"/>
      <c r="H40" s="1"/>
      <c r="I40" s="1"/>
      <c r="J40" s="1"/>
      <c r="K40" s="1"/>
    </row>
    <row r="41" spans="1:11" s="105" customFormat="1" ht="20.100000000000001" customHeight="1" x14ac:dyDescent="0.25">
      <c r="A41" s="107"/>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113" t="str">
        <f>HYPERLINK("#A1", "▲ Back to top")</f>
        <v>▲ Back to top</v>
      </c>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spans="4:4" ht="20.100000000000001" customHeight="1" x14ac:dyDescent="0.25"/>
    <row r="82" spans="4:4" ht="20.100000000000001" customHeight="1" x14ac:dyDescent="0.25"/>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c r="D88" s="6"/>
    </row>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91"/>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V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8" t="e" vm="1">
        <v>#VALUE!</v>
      </c>
      <c r="C1" s="8" t="s">
        <v>106</v>
      </c>
      <c r="M1"/>
    </row>
    <row r="2" spans="1:22" s="9" customFormat="1" ht="20.100000000000001" customHeight="1" x14ac:dyDescent="0.25">
      <c r="M2"/>
    </row>
    <row r="3" spans="1:22" ht="20.100000000000001" customHeight="1" x14ac:dyDescent="0.25">
      <c r="A3" s="17" t="str">
        <f>HYPERLINK("#'Home'!A1", "Home")</f>
        <v>Home</v>
      </c>
      <c r="C3" s="4"/>
      <c r="D3" s="4" t="s">
        <v>61</v>
      </c>
      <c r="E3" s="4"/>
      <c r="F3" s="4"/>
      <c r="G3" s="4"/>
      <c r="H3" s="4"/>
      <c r="I3" s="4"/>
      <c r="J3" s="4"/>
      <c r="K3" s="4"/>
      <c r="L3" s="4"/>
      <c r="N3" s="4"/>
      <c r="O3" s="4" t="s">
        <v>62</v>
      </c>
      <c r="P3" s="4"/>
      <c r="Q3" s="4"/>
      <c r="R3" s="4"/>
      <c r="S3" s="4"/>
      <c r="T3" s="4"/>
      <c r="U3" s="4"/>
      <c r="V3" s="4"/>
    </row>
    <row r="4" spans="1:22" ht="20.100000000000001" customHeight="1" x14ac:dyDescent="0.25">
      <c r="A4" s="17" t="str">
        <f>HYPERLINK("#'Overview'!A1", "Overview")</f>
        <v>Overview</v>
      </c>
    </row>
    <row r="5" spans="1:22" ht="20.100000000000001" customHeight="1" x14ac:dyDescent="0.25">
      <c r="A5" s="17" t="str">
        <f>HYPERLINK("#'Results'!A1", "Results")</f>
        <v>Results</v>
      </c>
      <c r="D5" s="6" t="str" cm="1">
        <f t="array" ref="D5">RiceCultivation_Equations.VEERG_7_1_1_1__3_OrganicAmendmentsScalingFactor_Title()</f>
        <v>Organic amendments scaling factor</v>
      </c>
      <c r="E5" s="22"/>
      <c r="F5" s="22"/>
      <c r="G5" s="22"/>
      <c r="H5" s="22"/>
    </row>
    <row r="6" spans="1:22" ht="20.100000000000001" customHeight="1" x14ac:dyDescent="0.25">
      <c r="A6" s="16"/>
      <c r="D6" s="5" t="str" cm="1">
        <f t="array" ref="D6">RiceCultivation_Equations.VEERG_7_1_1_1__3_OrganicAmendmentsScalingFactor_Source()</f>
        <v>VEERG 2026: 7.1.1.1, Equation (3)</v>
      </c>
      <c r="E6" s="22"/>
      <c r="F6" s="22"/>
      <c r="G6" s="22"/>
      <c r="H6" s="22"/>
      <c r="L6" s="22"/>
    </row>
    <row r="7" spans="1:22" ht="20.100000000000001" customHeight="1" x14ac:dyDescent="0.25">
      <c r="A7" s="20" t="s">
        <v>1</v>
      </c>
      <c r="D7" s="50" t="str" cm="1">
        <f t="array" ref="D7:D10">RiceCultivation_Equations.VEERG_7_1_1_1__3_OrganicAmendmentsScalingFactor_Variation()</f>
        <v>VARIATION ON SOURCE:</v>
      </c>
      <c r="L7" s="22"/>
    </row>
    <row r="8" spans="1:22" ht="20.100000000000001" customHeight="1" x14ac:dyDescent="0.25">
      <c r="A8" s="17" t="str">
        <f>HYPERLINK("#'Input - Site'!A1", "Site")</f>
        <v>Site</v>
      </c>
      <c r="D8" s="50" t="str">
        <v>Included inorganic fertiliser as amendment as per VEERG equation description:</v>
      </c>
      <c r="L8" s="22"/>
    </row>
    <row r="9" spans="1:22" ht="20.100000000000001" customHeight="1" x14ac:dyDescent="0.25">
      <c r="A9" s="17" t="str">
        <f>HYPERLINK("#'Input - Rice'!A1", "Rice")</f>
        <v>Rice</v>
      </c>
      <c r="D9" s="50" t="str">
        <v>Where inorganic fertiliser is applied to the rice fields rather than organic amendments, SF_o is set to 1.</v>
      </c>
      <c r="L9" s="22"/>
    </row>
    <row r="10" spans="1:22" ht="20.100000000000001" customHeight="1" x14ac:dyDescent="0.25">
      <c r="D10" s="50" t="str">
        <v>Declared each amendment separately to allow summing in Excel in one equation</v>
      </c>
    </row>
    <row r="11" spans="1:22" ht="20.100000000000001" customHeight="1" x14ac:dyDescent="0.25">
      <c r="A11" s="19" t="s">
        <v>52</v>
      </c>
      <c r="D11" s="13" t="s">
        <v>14</v>
      </c>
      <c r="E11" s="13" t="str" cm="1">
        <f t="array" aca="1" ref="E11" ca="1">Common_InputFunctions.Utility_DisplayFunctionName(E43)</f>
        <v>=RiceCultivation_Equations.VEERG_7_1_1_1__3_OrganicAmendmentsScalingFactorVariation</v>
      </c>
      <c r="F11" s="22"/>
      <c r="G11" s="22"/>
      <c r="H11" s="22"/>
      <c r="L11" s="22"/>
    </row>
    <row r="12" spans="1:22" ht="20.100000000000001" customHeight="1" x14ac:dyDescent="0.25">
      <c r="A12" s="120" t="str">
        <f>HYPERLINK("#'7.1.1-2 Rice cultivation'!A1", "7.1.1-2 Rice cultivation")</f>
        <v>7.1.1-2 Rice cultivation</v>
      </c>
      <c r="F12" s="5"/>
      <c r="G12" s="22"/>
      <c r="H12" s="22"/>
      <c r="L12" s="22"/>
    </row>
    <row r="13" spans="1:22" ht="20.100000000000001" customHeight="1" x14ac:dyDescent="0.25">
      <c r="A13" s="17"/>
      <c r="D13" s="22"/>
      <c r="E13" s="22"/>
      <c r="F13" s="22"/>
      <c r="G13" s="22"/>
      <c r="H13" s="22"/>
      <c r="L13" s="22"/>
    </row>
    <row r="14" spans="1:22" ht="20.100000000000001" customHeight="1" x14ac:dyDescent="0.25">
      <c r="A14" s="18" t="s">
        <v>2</v>
      </c>
      <c r="D14" s="48" t="s">
        <v>17</v>
      </c>
      <c r="E14" s="1" t="str" cm="1">
        <f t="array" ref="E14">RiceCultivation_Equations.VEERG_7_1_1_1__3_OrganicAmendmentsScalingFactor_Variable()</f>
        <v>SF_o</v>
      </c>
      <c r="F14" s="22"/>
      <c r="G14" s="22"/>
      <c r="H14" s="22"/>
      <c r="L14" s="22"/>
    </row>
    <row r="15" spans="1:22" ht="20.100000000000001" customHeight="1" x14ac:dyDescent="0.25">
      <c r="A15" s="17" t="str">
        <f>HYPERLINK("#'Constants - Rice cultivation'!A1", "Constants - Rice cultivation")</f>
        <v>Constants - Rice cultivation</v>
      </c>
      <c r="D15" s="48" t="s">
        <v>9</v>
      </c>
      <c r="E15" s="49" t="str" cm="1">
        <f t="array" ref="E15">RiceCultivation_Equations.VEERG_7_1_1_1__3_OrganicAmendmentsScalingFactor_Unit()</f>
        <v>dimensionless</v>
      </c>
      <c r="F15" s="6"/>
      <c r="G15" s="22"/>
      <c r="H15" s="22"/>
      <c r="L15" s="22"/>
    </row>
    <row r="16" spans="1:22" ht="20.100000000000001" customHeight="1" x14ac:dyDescent="0.25">
      <c r="A16" s="17" t="str">
        <f>HYPERLINK("#'Constants - Common'!A1", "Constants - Common")</f>
        <v>Constants - Common</v>
      </c>
      <c r="D16" s="22"/>
      <c r="E16" s="22"/>
      <c r="F16" s="22"/>
      <c r="G16" s="22"/>
    </row>
    <row r="17" spans="1:11" ht="20.100000000000001" customHeight="1" x14ac:dyDescent="0.25">
      <c r="D17" s="109" t="str" cm="1">
        <f t="array" ref="D17:E19">_xlfn.CHOOSECOLS(RiceCultivation_Equations.VEERG_7_1_1_1__3_OrganicAmendmentsScalingFactor_Arguments(), 1, 2)</f>
        <v>ROA_o</v>
      </c>
      <c r="E17" s="111" t="str">
        <v>application rate of organic amendment o</v>
      </c>
      <c r="F17" s="110"/>
      <c r="G17" s="109" t="str" cm="1">
        <f t="array" ref="G17:H19">_xlfn.CHOOSECOLS(RiceCultivation_Equations.VEERG_7_1_1_1__3_OrganicAmendmentsScalingFactor_Arguments(), 3,4)</f>
        <v>tonnes/ha</v>
      </c>
      <c r="H17" s="103" t="str">
        <v>Input</v>
      </c>
      <c r="I17" s="108" t="str" cm="1">
        <f t="array" aca="1" ref="I17" ca="1">HYPERLINK(Common_InputFunctions.Utility_SourceHyperlink($D$21),$D$21)</f>
        <v>Table_ROA_o</v>
      </c>
    </row>
    <row r="18" spans="1:11" ht="20.100000000000001" customHeight="1" x14ac:dyDescent="0.25">
      <c r="D18" s="109" t="str">
        <v>CFOA_o</v>
      </c>
      <c r="E18" s="111" t="str">
        <v>conversion factor of organic amendment o</v>
      </c>
      <c r="F18" s="110"/>
      <c r="G18" s="109" t="str">
        <v>fraction</v>
      </c>
      <c r="H18" s="102" t="str">
        <v>Constant</v>
      </c>
      <c r="I18" s="108" t="str" cm="1">
        <f t="array" aca="1" ref="I18" ca="1">HYPERLINK(Common_InputFunctions.Utility_SourceHyperlink($D$30),$D$30)</f>
        <v>Table_CFOA_o</v>
      </c>
    </row>
    <row r="19" spans="1:11" ht="20.100000000000001" customHeight="1" x14ac:dyDescent="0.25">
      <c r="D19" s="109" t="str">
        <v>o</v>
      </c>
      <c r="E19" s="111" t="str">
        <v>organic amendment type</v>
      </c>
      <c r="F19" s="110"/>
      <c r="G19" s="109" t="str">
        <v/>
      </c>
      <c r="H19" s="103" t="str">
        <v>Input</v>
      </c>
      <c r="I19" s="108" t="str" cm="1">
        <f t="array" aca="1" ref="I19" ca="1">HYPERLINK(Common_InputFunctions.Utility_SourceHyperlink($D$21),$D$21)</f>
        <v>Table_ROA_o</v>
      </c>
    </row>
    <row r="20" spans="1:11" ht="20.100000000000001" customHeight="1" x14ac:dyDescent="0.25">
      <c r="A20" s="17"/>
      <c r="D20" s="22"/>
      <c r="E20" s="22"/>
      <c r="F20" s="22"/>
      <c r="G20" s="22"/>
      <c r="H20" s="22"/>
    </row>
    <row r="21" spans="1:11" ht="20.100000000000001" customHeight="1" x14ac:dyDescent="0.25">
      <c r="D21" s="85" t="s">
        <v>137</v>
      </c>
      <c r="E21" s="22"/>
      <c r="F21" s="6"/>
      <c r="G21" s="22"/>
    </row>
    <row r="22" spans="1:11" ht="20.100000000000001" customHeight="1" x14ac:dyDescent="0.25">
      <c r="D22" s="84" t="s">
        <v>113</v>
      </c>
      <c r="E22" s="22"/>
      <c r="F22" s="22"/>
      <c r="G22" s="22"/>
      <c r="H22" s="22"/>
    </row>
    <row r="23" spans="1:11" ht="20.100000000000001" customHeight="1" x14ac:dyDescent="0.25">
      <c r="D23" s="101" t="s">
        <v>131</v>
      </c>
      <c r="E23" s="101" t="str">
        <f>'Constants - Rice cultivation'!D39</f>
        <v>Straw incorporated shortly (&lt;30 days) before cultivation</v>
      </c>
      <c r="F23" s="101" t="str">
        <f>'Constants - Rice cultivation'!D40</f>
        <v>Straw incorporated long (&gt;30 days) before cultivation</v>
      </c>
      <c r="G23" s="101" t="str">
        <f>'Constants - Rice cultivation'!D41</f>
        <v>Compost</v>
      </c>
      <c r="H23" s="101" t="str">
        <f>'Constants - Rice cultivation'!D42</f>
        <v>Farm yard manure</v>
      </c>
      <c r="I23" s="101" t="str">
        <f>'Constants - Rice cultivation'!D43</f>
        <v>Green manure</v>
      </c>
      <c r="J23" s="101" t="s">
        <v>115</v>
      </c>
    </row>
    <row r="24" spans="1:11" ht="20.100000000000001" customHeight="1" x14ac:dyDescent="0.25">
      <c r="D24" s="47" t="str" cm="1">
        <f t="array" ref="D24:D25">Table_Input_AmendmentBlends[Amendment mix name]</f>
        <v>Mix 1</v>
      </c>
      <c r="E24" s="47" cm="1">
        <f t="array" ref="E24:E25">Table_Input_AmendmentBlends[Straw added &lt; 30 days before cultivation (t/ha)]</f>
        <v>2</v>
      </c>
      <c r="F24" s="47" cm="1">
        <f t="array" ref="F24:F25">Table_Input_AmendmentBlends[Straw added 30+ days before cultivation (t/ha)]</f>
        <v>0</v>
      </c>
      <c r="G24" s="47" cm="1">
        <f t="array" ref="G24:G25">Table_Input_AmendmentBlends[Compost (t/ha)]</f>
        <v>2</v>
      </c>
      <c r="H24" s="47" cm="1">
        <f t="array" ref="H24:H25">Table_Input_AmendmentBlends[Farm yard manure (t/ha)]</f>
        <v>0</v>
      </c>
      <c r="I24" s="47" cm="1">
        <f t="array" ref="I24:I25">Table_Input_AmendmentBlends[Green manure (t/ha)]</f>
        <v>2</v>
      </c>
      <c r="J24" s="47" cm="1">
        <f t="array" ref="J24:J25">Table_Input_AmendmentBlends[Inorganic fertiliser (t/ha)]</f>
        <v>0</v>
      </c>
      <c r="K24" s="2" t="str">
        <f>G17</f>
        <v>tonnes/ha</v>
      </c>
    </row>
    <row r="25" spans="1:11" ht="20.100000000000001" customHeight="1" x14ac:dyDescent="0.25">
      <c r="D25" s="47" t="str">
        <v>Mix 2</v>
      </c>
      <c r="E25" s="47">
        <v>0</v>
      </c>
      <c r="F25" s="47">
        <v>2</v>
      </c>
      <c r="G25" s="47">
        <v>0</v>
      </c>
      <c r="H25" s="47">
        <v>2</v>
      </c>
      <c r="I25" s="47">
        <v>0</v>
      </c>
      <c r="J25" s="47">
        <v>2</v>
      </c>
    </row>
    <row r="26" spans="1:11" ht="20.100000000000001" customHeight="1" x14ac:dyDescent="0.25">
      <c r="D26" s="47"/>
      <c r="E26" s="47"/>
      <c r="F26" s="47"/>
      <c r="G26" s="47"/>
      <c r="H26" s="47"/>
      <c r="I26" s="47"/>
      <c r="J26" s="47"/>
    </row>
    <row r="27" spans="1:11" ht="20.100000000000001" customHeight="1" x14ac:dyDescent="0.25">
      <c r="D27" s="47"/>
      <c r="E27" s="47"/>
      <c r="F27" s="47"/>
      <c r="G27" s="47"/>
      <c r="H27" s="47"/>
      <c r="I27" s="47"/>
      <c r="J27" s="47"/>
    </row>
    <row r="28" spans="1:11" ht="20.100000000000001" customHeight="1" x14ac:dyDescent="0.25">
      <c r="D28" s="47"/>
      <c r="E28" s="47"/>
      <c r="F28" s="47"/>
      <c r="G28" s="47"/>
      <c r="H28" s="47"/>
      <c r="I28" s="47"/>
      <c r="J28" s="47"/>
    </row>
    <row r="29" spans="1:11" ht="20.100000000000001" customHeight="1" x14ac:dyDescent="0.25"/>
    <row r="30" spans="1:11" ht="20.100000000000001" customHeight="1" x14ac:dyDescent="0.25">
      <c r="D30" s="85" t="s">
        <v>133</v>
      </c>
    </row>
    <row r="31" spans="1:11" ht="20.100000000000001" customHeight="1" x14ac:dyDescent="0.25">
      <c r="D31" s="84" t="s">
        <v>134</v>
      </c>
    </row>
    <row r="32" spans="1:11" ht="20.100000000000001" customHeight="1" x14ac:dyDescent="0.25">
      <c r="D32" s="46" t="s">
        <v>135</v>
      </c>
      <c r="E32" s="46" t="s">
        <v>136</v>
      </c>
    </row>
    <row r="33" spans="1:6" ht="20.100000000000001" customHeight="1" x14ac:dyDescent="0.25">
      <c r="D33" s="47" t="str">
        <f>'Constants - Rice cultivation'!D39</f>
        <v>Straw incorporated shortly (&lt;30 days) before cultivation</v>
      </c>
      <c r="E33" s="47">
        <f>'Constants - Rice cultivation'!E39</f>
        <v>1</v>
      </c>
      <c r="F33" s="2" t="str">
        <f>G18</f>
        <v>fraction</v>
      </c>
    </row>
    <row r="34" spans="1:6" ht="20.100000000000001" customHeight="1" x14ac:dyDescent="0.25">
      <c r="D34" s="47" t="str">
        <f>'Constants - Rice cultivation'!D40</f>
        <v>Straw incorporated long (&gt;30 days) before cultivation</v>
      </c>
      <c r="E34" s="47">
        <f>'Constants - Rice cultivation'!E40</f>
        <v>0.19</v>
      </c>
    </row>
    <row r="35" spans="1:6" ht="20.100000000000001" customHeight="1" x14ac:dyDescent="0.25">
      <c r="D35" s="47" t="str">
        <f>'Constants - Rice cultivation'!D41</f>
        <v>Compost</v>
      </c>
      <c r="E35" s="47">
        <f>'Constants - Rice cultivation'!E41</f>
        <v>0.17</v>
      </c>
    </row>
    <row r="36" spans="1:6" ht="20.100000000000001" customHeight="1" x14ac:dyDescent="0.25">
      <c r="D36" s="47" t="str">
        <f>'Constants - Rice cultivation'!D42</f>
        <v>Farm yard manure</v>
      </c>
      <c r="E36" s="47">
        <f>'Constants - Rice cultivation'!E42</f>
        <v>0.21</v>
      </c>
    </row>
    <row r="37" spans="1:6" ht="20.100000000000001" customHeight="1" x14ac:dyDescent="0.25">
      <c r="A37" s="113"/>
      <c r="D37" s="47" t="str">
        <f>'Constants - Rice cultivation'!D43</f>
        <v>Green manure</v>
      </c>
      <c r="E37" s="47">
        <f>'Constants - Rice cultivation'!E43</f>
        <v>0.45</v>
      </c>
    </row>
    <row r="38" spans="1:6" ht="20.100000000000001" customHeight="1" x14ac:dyDescent="0.25">
      <c r="D38" s="47" t="str">
        <f>'Constants - Rice cultivation'!D44</f>
        <v>Inorganic fertiliser</v>
      </c>
      <c r="E38" s="47">
        <f>'Constants - Rice cultivation'!E44</f>
        <v>1</v>
      </c>
    </row>
    <row r="39" spans="1:6" ht="20.100000000000001" customHeight="1" x14ac:dyDescent="0.25"/>
    <row r="40" spans="1:6" ht="20.100000000000001" customHeight="1" x14ac:dyDescent="0.25">
      <c r="D40" s="85" t="s">
        <v>130</v>
      </c>
    </row>
    <row r="41" spans="1:6" ht="20.100000000000001" customHeight="1" x14ac:dyDescent="0.25">
      <c r="D41" s="84" t="s">
        <v>138</v>
      </c>
    </row>
    <row r="42" spans="1:6" ht="20.100000000000001" customHeight="1" x14ac:dyDescent="0.25">
      <c r="D42" s="46" t="s">
        <v>131</v>
      </c>
      <c r="E42" s="46" t="s">
        <v>139</v>
      </c>
    </row>
    <row r="43" spans="1:6" ht="20.100000000000001" customHeight="1" x14ac:dyDescent="0.25">
      <c r="D43" s="47" t="str" cm="1">
        <f t="array" ref="D43:D44">Table_Input_AmendmentBlends[Amendment mix name]</f>
        <v>Mix 1</v>
      </c>
      <c r="E43" s="47" cm="1">
        <f t="array" ref="E43">RiceCultivation_Equations.VEERG_7_1_1_1__3_OrganicAmendmentsScalingFactorVariation(E24, $E$33, F24, $E$34, G24, $E$35,H24,$E$36, I24,$E$37,J24,$E$38)</f>
        <v>2.3450162437672319</v>
      </c>
    </row>
    <row r="44" spans="1:6" ht="20.100000000000001" customHeight="1" x14ac:dyDescent="0.25">
      <c r="D44" s="47" t="str">
        <v>Mix 2</v>
      </c>
      <c r="E44" s="47" cm="1">
        <f t="array" ref="E44">RiceCultivation_Equations.VEERG_7_1_1_1__3_OrganicAmendmentsScalingFactorVariation(E25, $E$33, F25, $E$34, G25, $E$35,H25,$E$36, I25,$E$37,J25,$E$38)</f>
        <v>2.1982259075210928</v>
      </c>
    </row>
    <row r="45" spans="1:6" ht="20.100000000000001" customHeight="1" x14ac:dyDescent="0.25">
      <c r="D45" s="47"/>
      <c r="E45" s="47" cm="1">
        <f t="array" ref="E45">RiceCultivation_Equations.VEERG_7_1_1_1__3_OrganicAmendmentsScalingFactorVariation(E26, $E$33, F26, $E$34, G26, $E$35,H26,$E$36, I26,$E$37,J26,$E$38)</f>
        <v>1</v>
      </c>
    </row>
    <row r="46" spans="1:6" ht="20.100000000000001" customHeight="1" x14ac:dyDescent="0.25">
      <c r="D46" s="47"/>
      <c r="E46" s="47" cm="1">
        <f t="array" ref="E46">RiceCultivation_Equations.VEERG_7_1_1_1__3_OrganicAmendmentsScalingFactorVariation(E27, $E$33, F27, $E$34, G27, $E$35,H27,$E$36, I27,$E$37,J27,$E$38)</f>
        <v>1</v>
      </c>
    </row>
    <row r="47" spans="1:6" ht="20.100000000000001" customHeight="1" x14ac:dyDescent="0.25">
      <c r="A47" s="113" t="str">
        <f>HYPERLINK("#A1", "▲ Back to top")</f>
        <v>▲ Back to top</v>
      </c>
      <c r="D47" s="47"/>
      <c r="E47" s="47" cm="1">
        <f t="array" ref="E47">RiceCultivation_Equations.VEERG_7_1_1_1__3_OrganicAmendmentsScalingFactorVariation(E28, $E$33, F28, $E$34, G28, $E$35,H28,$E$36, I28,$E$37,J28,$E$38)</f>
        <v>1</v>
      </c>
    </row>
    <row r="48" spans="1:6" ht="20.100000000000001" customHeight="1" x14ac:dyDescent="0.25"/>
    <row r="49" spans="3:12" ht="20.100000000000001" customHeight="1" x14ac:dyDescent="0.25"/>
    <row r="50" spans="3:12" ht="20.100000000000001" customHeight="1" x14ac:dyDescent="0.25">
      <c r="C50" s="42"/>
      <c r="D50" s="42"/>
      <c r="E50" s="42"/>
      <c r="F50" s="42"/>
      <c r="G50" s="42"/>
      <c r="H50" s="42"/>
      <c r="I50" s="42"/>
      <c r="J50" s="42"/>
      <c r="K50" s="42"/>
      <c r="L50" s="42"/>
    </row>
    <row r="51" spans="3:12" ht="20.100000000000001" customHeight="1" x14ac:dyDescent="0.25">
      <c r="D51" s="6" t="str" cm="1">
        <f t="array" ref="D51">RiceCultivation_Equations.VEERG_7_1_1_1__2_EmissionFactorForRiceCultivation_Title()</f>
        <v>Emission factor for rice cultivation</v>
      </c>
    </row>
    <row r="52" spans="3:12" ht="20.100000000000001" customHeight="1" x14ac:dyDescent="0.25">
      <c r="D52" s="5" t="str" cm="1">
        <f t="array" ref="D52">RiceCultivation_Equations.VEERG_7_1_1_1__2_EmissionFactorForRiceCultivation_Source()</f>
        <v>VEERG 2026: 7.1.1.1, Equation (2)</v>
      </c>
    </row>
    <row r="53" spans="3:12" ht="20.100000000000001" customHeight="1" x14ac:dyDescent="0.25">
      <c r="D53" s="13" t="s">
        <v>14</v>
      </c>
      <c r="E53" s="13" t="str" cm="1">
        <f t="array" aca="1" ref="E53" ca="1">Common_InputFunctions.Utility_DisplayFunctionName(K70)</f>
        <v>=RiceCultivation_Equations.VEERG_7_1_1_1__2_EmissionFactorForRiceCultivation</v>
      </c>
    </row>
    <row r="54" spans="3:12" ht="20.100000000000001" customHeight="1" x14ac:dyDescent="0.25"/>
    <row r="55" spans="3:12" ht="20.100000000000001" customHeight="1" x14ac:dyDescent="0.25"/>
    <row r="56" spans="3:12" ht="20.100000000000001" customHeight="1" x14ac:dyDescent="0.25">
      <c r="D56" s="48" t="s">
        <v>17</v>
      </c>
      <c r="E56" s="1" t="str" cm="1">
        <f t="array" ref="E56">RiceCultivation_Equations.VEERG_7_1_1_1__2_EmissionFactorForRiceCultivation_Variable()</f>
        <v>EF_ricewpo</v>
      </c>
    </row>
    <row r="57" spans="3:12" ht="20.100000000000001" customHeight="1" x14ac:dyDescent="0.25">
      <c r="D57" s="48" t="s">
        <v>9</v>
      </c>
      <c r="E57" s="49" t="str" cm="1">
        <f t="array" ref="E57">RiceCultivation_Equations.VEERG_7_1_1_1__2_EmissionFactorForRiceCultivation_Unit()</f>
        <v>kg CH4/ha/day</v>
      </c>
    </row>
    <row r="58" spans="3:12" ht="20.100000000000001" customHeight="1" x14ac:dyDescent="0.25"/>
    <row r="59" spans="3:12" ht="20.100000000000001" customHeight="1" x14ac:dyDescent="0.25">
      <c r="D59" s="109" t="str" cm="1">
        <f t="array" ref="D59:E65">_xlfn.CHOOSECOLS(RiceCultivation_Equations.VEERG_7_1_1_1__2_EmissionFactorForRiceCultivation_Arguments(),1,2)</f>
        <v>EF_c</v>
      </c>
      <c r="E59" s="111" t="str">
        <v>baseline emission factor for continuously flooded fields without organic amendments</v>
      </c>
      <c r="F59" s="112"/>
      <c r="G59" s="110"/>
      <c r="H59" s="109" t="str" cm="1">
        <f t="array" ref="H59:I65">_xlfn.CHOOSECOLS(RiceCultivation_Equations.VEERG_7_1_1_1__2_EmissionFactorForRiceCultivation_Arguments(),3,4)</f>
        <v>kg CH4/ha/day</v>
      </c>
      <c r="I59" s="102" t="str">
        <v>Constant</v>
      </c>
      <c r="J59" s="109">
        <f>'Constants - Rice cultivation'!$E$49</f>
        <v>1.19</v>
      </c>
    </row>
    <row r="60" spans="3:12" ht="20.100000000000001" customHeight="1" x14ac:dyDescent="0.25">
      <c r="D60" s="109" t="str">
        <v>SF_w</v>
      </c>
      <c r="E60" s="111" t="str">
        <v>scaling factor for water regime during the growing season</v>
      </c>
      <c r="F60" s="112"/>
      <c r="G60" s="110"/>
      <c r="H60" s="109" t="str">
        <v>fraction</v>
      </c>
      <c r="I60" s="102" t="str">
        <v>Constant</v>
      </c>
      <c r="J60" s="108" t="str" cm="1">
        <f t="array" aca="1" ref="J60" ca="1">HYPERLINK(Common_InputFunctions.Utility_SourceHyperlink($D$67), $D$67)</f>
        <v>Table_EF_rice_w_p_o</v>
      </c>
    </row>
    <row r="61" spans="3:12" ht="20.100000000000001" customHeight="1" x14ac:dyDescent="0.25">
      <c r="D61" s="109" t="str">
        <v>SF_p</v>
      </c>
      <c r="E61" s="111" t="str">
        <v>scaling factor for water regime in the pre-season</v>
      </c>
      <c r="F61" s="112"/>
      <c r="G61" s="110"/>
      <c r="H61" s="109" t="str">
        <v>fraction</v>
      </c>
      <c r="I61" s="102" t="str">
        <v>Constant</v>
      </c>
      <c r="J61" s="108" t="str" cm="1">
        <f t="array" aca="1" ref="J61" ca="1">HYPERLINK(Common_InputFunctions.Utility_SourceHyperlink($D$67), $D$67)</f>
        <v>Table_EF_rice_w_p_o</v>
      </c>
    </row>
    <row r="62" spans="3:12" ht="20.100000000000001" customHeight="1" x14ac:dyDescent="0.25">
      <c r="D62" s="109" t="str">
        <v>SF_o</v>
      </c>
      <c r="E62" s="111" t="str">
        <v>scaling factor for type and amount of organic amendments</v>
      </c>
      <c r="F62" s="112"/>
      <c r="G62" s="110"/>
      <c r="H62" s="109" t="str">
        <v>fraction</v>
      </c>
      <c r="I62" s="102" t="str">
        <v>Calculated from 7.1.1.1, (3)</v>
      </c>
      <c r="J62" s="108" t="str" cm="1">
        <f t="array" aca="1" ref="J62" ca="1">HYPERLINK(Common_InputFunctions.Utility_SourceHyperlink($D$67), $D$67)</f>
        <v>Table_EF_rice_w_p_o</v>
      </c>
    </row>
    <row r="63" spans="3:12" ht="20.100000000000001" customHeight="1" x14ac:dyDescent="0.25">
      <c r="D63" s="109" t="str">
        <v>w</v>
      </c>
      <c r="E63" s="111" t="str">
        <v>water regime during growing season</v>
      </c>
      <c r="F63" s="112"/>
      <c r="G63" s="110"/>
      <c r="H63" s="109" t="str">
        <v/>
      </c>
      <c r="I63" s="103" t="str">
        <v>Input</v>
      </c>
      <c r="J63" s="108" t="str" cm="1">
        <f t="array" aca="1" ref="J63" ca="1">HYPERLINK(Common_InputFunctions.Utility_SourceHyperlink($D$67), $D$67)</f>
        <v>Table_EF_rice_w_p_o</v>
      </c>
      <c r="L63" s="22"/>
    </row>
    <row r="64" spans="3:12" ht="20.100000000000001" customHeight="1" x14ac:dyDescent="0.25">
      <c r="D64" s="109" t="str">
        <v>p</v>
      </c>
      <c r="E64" s="111" t="str">
        <v>pre-season water regime</v>
      </c>
      <c r="F64" s="112"/>
      <c r="G64" s="110"/>
      <c r="H64" s="109" t="str">
        <v/>
      </c>
      <c r="I64" s="103" t="str">
        <v>Input</v>
      </c>
      <c r="J64" s="108" t="str" cm="1">
        <f t="array" aca="1" ref="J64" ca="1">HYPERLINK(Common_InputFunctions.Utility_SourceHyperlink($D$67), $D$67)</f>
        <v>Table_EF_rice_w_p_o</v>
      </c>
      <c r="L64" s="22"/>
    </row>
    <row r="65" spans="3:12" ht="20.100000000000001" customHeight="1" x14ac:dyDescent="0.25">
      <c r="D65" s="109" t="str">
        <v>o</v>
      </c>
      <c r="E65" s="111" t="str">
        <v>organic amendment</v>
      </c>
      <c r="F65" s="112"/>
      <c r="G65" s="110"/>
      <c r="H65" s="109" t="str">
        <v/>
      </c>
      <c r="I65" s="103" t="str">
        <v>Input</v>
      </c>
      <c r="J65" s="108" t="str" cm="1">
        <f t="array" aca="1" ref="J65" ca="1">HYPERLINK(Common_InputFunctions.Utility_SourceHyperlink($D$67), $D$67)</f>
        <v>Table_EF_rice_w_p_o</v>
      </c>
    </row>
    <row r="66" spans="3:12" ht="20.100000000000001" customHeight="1" x14ac:dyDescent="0.25"/>
    <row r="67" spans="3:12" ht="20.100000000000001" customHeight="1" x14ac:dyDescent="0.25">
      <c r="D67" s="85" t="s">
        <v>159</v>
      </c>
    </row>
    <row r="68" spans="3:12" ht="20.100000000000001" customHeight="1" x14ac:dyDescent="0.25">
      <c r="D68" s="84" t="s">
        <v>160</v>
      </c>
    </row>
    <row r="69" spans="3:12" ht="20.100000000000001" customHeight="1" x14ac:dyDescent="0.25">
      <c r="D69" s="101" t="s">
        <v>140</v>
      </c>
      <c r="E69" s="101" t="s">
        <v>111</v>
      </c>
      <c r="F69" s="101" t="s">
        <v>112</v>
      </c>
      <c r="G69" s="101" t="s">
        <v>131</v>
      </c>
      <c r="H69" s="46" t="s">
        <v>139</v>
      </c>
      <c r="I69" s="46" t="s">
        <v>127</v>
      </c>
      <c r="J69" s="46" t="s">
        <v>125</v>
      </c>
      <c r="K69" s="46" t="s">
        <v>155</v>
      </c>
    </row>
    <row r="70" spans="3:12" ht="20.100000000000001" customHeight="1" x14ac:dyDescent="0.25">
      <c r="D70" s="47" t="str" cm="1">
        <f t="array" ref="D70:D71">Table_Input_Regimes[Regime name]</f>
        <v>Regime 1</v>
      </c>
      <c r="E70" s="47" t="str" cm="1">
        <f t="array" ref="E70:E71">Table_Input_Regimes[Pre-cultivation water regime (select)]</f>
        <v>Non flooded pre-season &lt;180 days</v>
      </c>
      <c r="F70" s="47" t="str" cm="1">
        <f t="array" ref="F70:F71">Table_Input_Regimes[Water regime sub-type (select)]</f>
        <v>Drought prone</v>
      </c>
      <c r="G70" s="47" t="str" cm="1">
        <f t="array" ref="G70:G71">Table_Input_Regimes[Amendment blend (select)]</f>
        <v>Mix 1</v>
      </c>
      <c r="H70" s="47" cm="1">
        <f t="array" ref="H70">Common_InputFunctions.Utility_LookupValueInTableNumber(G70,$D$43:$D$47,$E$43:$E$47)</f>
        <v>2.3450162437672319</v>
      </c>
      <c r="I70" s="47" cm="1">
        <f t="array" ref="I70">Common_InputFunctions.Utility_LookupValueInTableNumber(E70,Table_SourceData_WaterScalingFactorPreSeason[Water regime prior to cultivation],Table_SourceData_WaterScalingFactorPreSeason[SFp])</f>
        <v>1</v>
      </c>
      <c r="J70" s="47" cm="1">
        <f t="array" ref="J70">Common_InputFunctions.Utility_LookupValueInTableNumber(F70,Table_SourceData_WaterScalingFactorGrowingSeason[Water regime sub-type],Table_SourceData_WaterScalingFactorGrowingSeason[SFw])</f>
        <v>0.16</v>
      </c>
      <c r="K70" s="47" cm="1">
        <f t="array" ref="K70">RiceCultivation_Equations.VEERG_7_1_1_1__2_EmissionFactorForRiceCultivation($J$59,J70,I70,H70)</f>
        <v>0.44649109281328092</v>
      </c>
    </row>
    <row r="71" spans="3:12" ht="20.100000000000001" customHeight="1" x14ac:dyDescent="0.25">
      <c r="D71" s="47" t="str">
        <v>Regime 2</v>
      </c>
      <c r="E71" s="47" t="str">
        <v>Flooded pre-season &gt;30 days</v>
      </c>
      <c r="F71" s="47" t="str">
        <v>Single drainage period</v>
      </c>
      <c r="G71" s="47" t="str">
        <v>Mix 2</v>
      </c>
      <c r="H71" s="47" cm="1">
        <f t="array" ref="H71">Common_InputFunctions.Utility_LookupValueInTableNumber(G71,$D$43:$D$47,$E$43:$E$47)</f>
        <v>2.1982259075210928</v>
      </c>
      <c r="I71" s="47" cm="1">
        <f t="array" ref="I71">Common_InputFunctions.Utility_LookupValueInTableNumber(E71,Table_SourceData_WaterScalingFactorPreSeason[Water regime prior to cultivation],Table_SourceData_WaterScalingFactorPreSeason[SFp])</f>
        <v>2.41</v>
      </c>
      <c r="J71" s="47" cm="1">
        <f t="array" ref="J71">Common_InputFunctions.Utility_LookupValueInTableNumber(F71,Table_SourceData_WaterScalingFactorGrowingSeason[Water regime sub-type],Table_SourceData_WaterScalingFactorGrowingSeason[SFw])</f>
        <v>0.71</v>
      </c>
      <c r="K71" s="47" cm="1">
        <f t="array" ref="K71">RiceCultivation_Equations.VEERG_7_1_1_1__2_EmissionFactorForRiceCultivation($J$59,J71,I71,H71)</f>
        <v>4.4760473769276166</v>
      </c>
    </row>
    <row r="72" spans="3:12" ht="20.100000000000001" customHeight="1" x14ac:dyDescent="0.25">
      <c r="D72" s="47"/>
      <c r="E72" s="47"/>
      <c r="F72" s="47"/>
      <c r="G72" s="47"/>
      <c r="H72" s="47" cm="1">
        <f t="array" ref="H72">Common_InputFunctions.Utility_LookupValueInTableNumber(G72,$D$43:$D$47,$E$43:$E$47)</f>
        <v>1</v>
      </c>
      <c r="I72" s="47" cm="1">
        <f t="array" ref="I72">Common_InputFunctions.Utility_LookupValueInTableNumber(E72,Table_SourceData_WaterScalingFactorPreSeason[Water regime prior to cultivation],Table_SourceData_WaterScalingFactorPreSeason[SFp])</f>
        <v>0</v>
      </c>
      <c r="J72" s="47" cm="1">
        <f t="array" ref="J72">Common_InputFunctions.Utility_LookupValueInTableNumber(F72,Table_SourceData_WaterScalingFactorGrowingSeason[Water regime sub-type],Table_SourceData_WaterScalingFactorGrowingSeason[SFw])</f>
        <v>0</v>
      </c>
      <c r="K72" s="47" cm="1">
        <f t="array" ref="K72">RiceCultivation_Equations.VEERG_7_1_1_1__2_EmissionFactorForRiceCultivation($J$59,J72,I72,H72)</f>
        <v>0</v>
      </c>
    </row>
    <row r="73" spans="3:12" ht="20.100000000000001" customHeight="1" x14ac:dyDescent="0.25">
      <c r="D73" s="47"/>
      <c r="E73" s="47"/>
      <c r="F73" s="47"/>
      <c r="G73" s="47"/>
      <c r="H73" s="47" cm="1">
        <f t="array" ref="H73">Common_InputFunctions.Utility_LookupValueInTableNumber(G73,$D$43:$D$47,$E$43:$E$47)</f>
        <v>1</v>
      </c>
      <c r="I73" s="47" cm="1">
        <f t="array" ref="I73">Common_InputFunctions.Utility_LookupValueInTableNumber(E73,Table_SourceData_WaterScalingFactorPreSeason[Water regime prior to cultivation],Table_SourceData_WaterScalingFactorPreSeason[SFp])</f>
        <v>0</v>
      </c>
      <c r="J73" s="47" cm="1">
        <f t="array" ref="J73">Common_InputFunctions.Utility_LookupValueInTableNumber(F73,Table_SourceData_WaterScalingFactorGrowingSeason[Water regime sub-type],Table_SourceData_WaterScalingFactorGrowingSeason[SFw])</f>
        <v>0</v>
      </c>
      <c r="K73" s="47" cm="1">
        <f t="array" ref="K73">RiceCultivation_Equations.VEERG_7_1_1_1__2_EmissionFactorForRiceCultivation($J$59,J73,I73,H73)</f>
        <v>0</v>
      </c>
    </row>
    <row r="74" spans="3:12" ht="20.100000000000001" customHeight="1" x14ac:dyDescent="0.25">
      <c r="D74" s="47"/>
      <c r="E74" s="47"/>
      <c r="F74" s="47"/>
      <c r="G74" s="47"/>
      <c r="H74" s="47" cm="1">
        <f t="array" ref="H74">Common_InputFunctions.Utility_LookupValueInTableNumber(G74,$D$43:$D$47,$E$43:$E$47)</f>
        <v>1</v>
      </c>
      <c r="I74" s="47" cm="1">
        <f t="array" ref="I74">Common_InputFunctions.Utility_LookupValueInTableNumber(E74,Table_SourceData_WaterScalingFactorPreSeason[Water regime prior to cultivation],Table_SourceData_WaterScalingFactorPreSeason[SFp])</f>
        <v>0</v>
      </c>
      <c r="J74" s="47" cm="1">
        <f t="array" ref="J74">Common_InputFunctions.Utility_LookupValueInTableNumber(F74,Table_SourceData_WaterScalingFactorGrowingSeason[Water regime sub-type],Table_SourceData_WaterScalingFactorGrowingSeason[SFw])</f>
        <v>0</v>
      </c>
      <c r="K74" s="47" cm="1">
        <f t="array" ref="K74">RiceCultivation_Equations.VEERG_7_1_1_1__2_EmissionFactorForRiceCultivation($J$59,J74,I74,H74)</f>
        <v>0</v>
      </c>
    </row>
    <row r="75" spans="3:12" ht="20.100000000000001" customHeight="1" x14ac:dyDescent="0.25"/>
    <row r="76" spans="3:12" ht="20.100000000000001" customHeight="1" x14ac:dyDescent="0.25"/>
    <row r="77" spans="3:12" ht="20.100000000000001" customHeight="1" x14ac:dyDescent="0.25">
      <c r="C77" s="42"/>
      <c r="D77" s="42"/>
      <c r="E77" s="42"/>
      <c r="F77" s="42"/>
      <c r="G77" s="42"/>
      <c r="H77" s="42"/>
      <c r="I77" s="42"/>
      <c r="J77" s="42"/>
      <c r="K77" s="42"/>
      <c r="L77" s="42"/>
    </row>
    <row r="78" spans="3:12" ht="20.100000000000001" customHeight="1" x14ac:dyDescent="0.25">
      <c r="D78" s="6" t="str" cm="1">
        <f t="array" ref="D78">RiceCultivation_Equations.VEERG_7_1_1_1__1_MethaneEmissionsFromRiceCultivation_Title()</f>
        <v>Methane emissions from rice cultivation</v>
      </c>
    </row>
    <row r="79" spans="3:12" ht="20.100000000000001" customHeight="1" x14ac:dyDescent="0.25">
      <c r="D79" s="5" t="str" cm="1">
        <f t="array" ref="D79">RiceCultivation_Equations.VEERG_7_1_1_1__1_MethaneEmissionsFromRiceCultivation_Source()</f>
        <v>VEERG 2026: 7.1.1.1, Equation (1)</v>
      </c>
    </row>
    <row r="80" spans="3:12" ht="20.100000000000001" customHeight="1" x14ac:dyDescent="0.25">
      <c r="D80" s="50"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1:10" ht="20.100000000000001" customHeight="1" x14ac:dyDescent="0.25">
      <c r="D81" s="13" t="s">
        <v>14</v>
      </c>
      <c r="E81" s="13" t="str" cm="1">
        <f t="array" aca="1" ref="E81" ca="1">Common_InputFunctions.Utility_DisplayFunctionName(G96)</f>
        <v>=RiceCultivation_Equations.VEERG_7_1_1_1__1_MethaneEmissionsFromRiceCultivation</v>
      </c>
    </row>
    <row r="82" spans="1:10" ht="20.100000000000001" customHeight="1" x14ac:dyDescent="0.25"/>
    <row r="83" spans="1:10" ht="20.100000000000001" customHeight="1" x14ac:dyDescent="0.25">
      <c r="A83" s="113" t="str">
        <f>HYPERLINK("#A1", "▲ Back to top")</f>
        <v>▲ Back to top</v>
      </c>
    </row>
    <row r="84" spans="1:10" ht="20.100000000000001" customHeight="1" x14ac:dyDescent="0.25"/>
    <row r="85" spans="1:10" ht="20.100000000000001" customHeight="1" x14ac:dyDescent="0.25">
      <c r="D85" s="48" t="s">
        <v>17</v>
      </c>
      <c r="E85" s="1" t="str" cm="1">
        <f t="array" ref="E85">RiceCultivation_Equations.VEERG_7_1_1_1__1_MethaneEmissionsFromRiceCultivation_Variable()</f>
        <v>E_rice</v>
      </c>
    </row>
    <row r="86" spans="1:10" ht="20.100000000000001" customHeight="1" x14ac:dyDescent="0.25">
      <c r="D86" s="48" t="s">
        <v>9</v>
      </c>
      <c r="E86" s="49" t="str" cm="1">
        <f t="array" ref="E86">RiceCultivation_Equations.VEERG_7_1_1_1__1_MethaneEmissionsFromRiceCultivation_Unit()</f>
        <v>t CH4</v>
      </c>
    </row>
    <row r="87" spans="1:10" ht="20.100000000000001" customHeight="1" x14ac:dyDescent="0.25"/>
    <row r="88" spans="1:10" ht="20.100000000000001" customHeight="1" x14ac:dyDescent="0.25">
      <c r="D88" s="109" t="str" cm="1">
        <f t="array" ref="D88:E91">_xlfn.CHOOSECOLS(RiceCultivation_Equations.VEERG_7_1_1_1__1_MethaneEmissionsFromRiceCultivation_Arguments(),1,2)</f>
        <v>A_ricewpo</v>
      </c>
      <c r="E88" s="111" t="str">
        <v>annual area of rice cultivation under water regime w, pre-season water regime p, and organic amendment condition o</v>
      </c>
      <c r="F88" s="112"/>
      <c r="G88" s="110"/>
      <c r="H88" s="109" t="str" cm="1">
        <f t="array" ref="H88:I91">_xlfn.CHOOSECOLS(RiceCultivation_Equations.VEERG_7_1_1_1__1_MethaneEmissionsFromRiceCultivation_Arguments(),3,4)</f>
        <v>ha</v>
      </c>
      <c r="I88" s="103" t="str">
        <v>Input</v>
      </c>
      <c r="J88" s="108" t="str" cm="1">
        <f t="array" aca="1" ref="J88" ca="1">HYPERLINK(Common_InputFunctions.Utility_SourceHyperlink($D$93), $D$93)</f>
        <v>Table_E_rice</v>
      </c>
    </row>
    <row r="89" spans="1:10" ht="20.100000000000001" customHeight="1" x14ac:dyDescent="0.25">
      <c r="D89" s="109" t="str">
        <v>EF_ricewpo</v>
      </c>
      <c r="E89" s="111" t="str">
        <v>emission factor for rice cultivation under conditions w, p, and o</v>
      </c>
      <c r="F89" s="112"/>
      <c r="G89" s="110"/>
      <c r="H89" s="109" t="str">
        <v>kg CH4/ha/day</v>
      </c>
      <c r="I89" s="102" t="str">
        <v>Calculated from 7.1.1.1, (2)</v>
      </c>
      <c r="J89" s="108" t="str" cm="1">
        <f t="array" aca="1" ref="J89" ca="1">HYPERLINK(Common_InputFunctions.Utility_SourceHyperlink($D$67),$D$67)</f>
        <v>Table_EF_rice_w_p_o</v>
      </c>
    </row>
    <row r="90" spans="1:10" ht="20.100000000000001" customHeight="1" x14ac:dyDescent="0.25">
      <c r="D90" s="109" t="str">
        <v>t_ricewpo</v>
      </c>
      <c r="E90" s="111" t="str">
        <v>cultivation period for rice under conditions w, p, and o</v>
      </c>
      <c r="F90" s="112"/>
      <c r="G90" s="110"/>
      <c r="H90" s="109" t="str">
        <v>days</v>
      </c>
      <c r="I90" s="103" t="str">
        <v>Input</v>
      </c>
      <c r="J90" s="108" t="str" cm="1">
        <f t="array" aca="1" ref="J90" ca="1">HYPERLINK(Common_InputFunctions.Utility_SourceHyperlink($D$93), $D$93)</f>
        <v>Table_E_rice</v>
      </c>
    </row>
    <row r="91" spans="1:10" ht="20.100000000000001" customHeight="1" x14ac:dyDescent="0.25">
      <c r="D91" s="109" t="str">
        <v>s</v>
      </c>
      <c r="E91" s="111" t="str">
        <v>number of cropping seasons in reporting period managed this way</v>
      </c>
      <c r="F91" s="112"/>
      <c r="G91" s="110"/>
      <c r="H91" s="109" t="str">
        <v>seasons</v>
      </c>
      <c r="I91" s="103" t="str">
        <v>Input</v>
      </c>
      <c r="J91" s="109">
        <f>'Input - Rice'!E10</f>
        <v>2</v>
      </c>
    </row>
    <row r="92" spans="1:10" ht="20.100000000000001" customHeight="1" x14ac:dyDescent="0.25"/>
    <row r="93" spans="1:10" ht="20.100000000000001" customHeight="1" x14ac:dyDescent="0.25">
      <c r="D93" s="85" t="s">
        <v>166</v>
      </c>
    </row>
    <row r="94" spans="1:10" ht="20.100000000000001" customHeight="1" x14ac:dyDescent="0.25">
      <c r="D94" s="84" t="s">
        <v>167</v>
      </c>
    </row>
    <row r="95" spans="1:10" ht="20.100000000000001" customHeight="1" x14ac:dyDescent="0.25">
      <c r="D95" s="101" t="s">
        <v>140</v>
      </c>
      <c r="E95" s="101" t="s">
        <v>164</v>
      </c>
      <c r="F95" s="101" t="s">
        <v>165</v>
      </c>
      <c r="G95" s="46" t="s">
        <v>162</v>
      </c>
    </row>
    <row r="96" spans="1:10" ht="20.100000000000001" customHeight="1" x14ac:dyDescent="0.25">
      <c r="D96" s="47" t="str" cm="1">
        <f t="array" ref="D96:D97">Table_Input_Regimes[Regime name]</f>
        <v>Regime 1</v>
      </c>
      <c r="E96" s="47" cm="1">
        <f t="array" ref="E96:E97">Table_Input_Regimes[Area under cultivation (hectares)]*J91</f>
        <v>200</v>
      </c>
      <c r="F96" s="47" cm="1">
        <f t="array" ref="F96:F97">Table_Input_Regimes[Cultivation period (days)]</f>
        <v>100</v>
      </c>
      <c r="G96" s="47" cm="1">
        <f t="array" ref="G96">RiceCultivation_Equations.VEERG_7_1_1_1__1_MethaneEmissionsFromRiceCultivation(E96,K70,F96)</f>
        <v>8.9298218562656189</v>
      </c>
      <c r="H96" s="2" t="str">
        <f>E86</f>
        <v>t CH4</v>
      </c>
    </row>
    <row r="97" spans="4:12" ht="20.100000000000001" customHeight="1" x14ac:dyDescent="0.25">
      <c r="D97" s="47" t="str">
        <v>Regime 2</v>
      </c>
      <c r="E97" s="47">
        <v>200</v>
      </c>
      <c r="F97" s="47">
        <v>100</v>
      </c>
      <c r="G97" s="47" cm="1">
        <f t="array" ref="G97">RiceCultivation_Equations.VEERG_7_1_1_1__1_MethaneEmissionsFromRiceCultivation(E97,K71,F97)</f>
        <v>89.520947538552321</v>
      </c>
    </row>
    <row r="98" spans="4:12" ht="20.100000000000001" customHeight="1" x14ac:dyDescent="0.25">
      <c r="D98" s="47"/>
      <c r="E98" s="47"/>
      <c r="F98" s="47"/>
      <c r="G98" s="47" cm="1">
        <f t="array" ref="G98">RiceCultivation_Equations.VEERG_7_1_1_1__1_MethaneEmissionsFromRiceCultivation(E98,K72,F98)</f>
        <v>0</v>
      </c>
    </row>
    <row r="99" spans="4:12" ht="20.100000000000001" customHeight="1" x14ac:dyDescent="0.25">
      <c r="D99" s="47"/>
      <c r="E99" s="47"/>
      <c r="F99" s="47"/>
      <c r="G99" s="47" cm="1">
        <f t="array" ref="G99">RiceCultivation_Equations.VEERG_7_1_1_1__1_MethaneEmissionsFromRiceCultivation(E99,K73,F99)</f>
        <v>0</v>
      </c>
    </row>
    <row r="100" spans="4:12" ht="20.100000000000001" customHeight="1" x14ac:dyDescent="0.25">
      <c r="D100" s="47"/>
      <c r="E100" s="47"/>
      <c r="F100" s="47"/>
      <c r="G100" s="47" cm="1">
        <f t="array" ref="G100">RiceCultivation_Equations.VEERG_7_1_1_1__1_MethaneEmissionsFromRiceCultivation(E100,K74,F100)</f>
        <v>0</v>
      </c>
    </row>
    <row r="101" spans="4:12" ht="20.100000000000001" customHeight="1" x14ac:dyDescent="0.25"/>
    <row r="102" spans="4:12" ht="20.100000000000001" customHeight="1" x14ac:dyDescent="0.25">
      <c r="D102" s="86" t="s">
        <v>88</v>
      </c>
      <c r="E102" s="87">
        <f>SUM(G96:G100)</f>
        <v>98.450769394817939</v>
      </c>
      <c r="F102" s="88" t="str">
        <f>E86</f>
        <v>t CH4</v>
      </c>
    </row>
    <row r="103" spans="4:12" ht="20.100000000000001" customHeight="1" x14ac:dyDescent="0.25"/>
    <row r="104" spans="4:12" ht="20.100000000000001" customHeight="1" x14ac:dyDescent="0.25">
      <c r="D104" s="51" t="str" cm="1">
        <f t="array" ref="D104:E105">Common_Equations.Common_ConvertCH4ToCO2e_Arguments()</f>
        <v>ECH4</v>
      </c>
      <c r="E104" s="52" t="str">
        <v>Methane emissions (t CH4)</v>
      </c>
      <c r="F104" s="89"/>
      <c r="G104" s="47">
        <f>E102</f>
        <v>98.450769394817939</v>
      </c>
    </row>
    <row r="105" spans="4:12" ht="20.100000000000001" customHeight="1" x14ac:dyDescent="0.25">
      <c r="D105" s="51" t="str">
        <v>GWPCH4</v>
      </c>
      <c r="E105" s="52" t="str">
        <v>Global warming potential for methane (t CO2-e / t CH4)</v>
      </c>
      <c r="F105" s="89"/>
      <c r="G105" s="47">
        <f>Common_InputFunctions.Utility_LookupValueInTableNumber("CH4",Table_GWPData[Gas],Table_GWPData[CO2-e factor])</f>
        <v>28</v>
      </c>
    </row>
    <row r="106" spans="4:12" ht="20.100000000000001" customHeight="1" x14ac:dyDescent="0.25"/>
    <row r="107" spans="4:12" ht="20.100000000000001" customHeight="1" x14ac:dyDescent="0.25">
      <c r="D107" s="42" t="s">
        <v>60</v>
      </c>
      <c r="E107" s="42" cm="1">
        <f t="array" ref="E107">Common_Equations.Common_ConvertN2OToCO2e(G104,G105)</f>
        <v>2756.6215430549023</v>
      </c>
      <c r="F107" s="90" t="str" cm="1">
        <f t="array" ref="F107">Common_Equations.Common_ConvertN2OToCO2e_Unit()</f>
        <v>t CO2e</v>
      </c>
    </row>
    <row r="108" spans="4:12" ht="20.100000000000001" customHeight="1" x14ac:dyDescent="0.25"/>
    <row r="109" spans="4:12" ht="20.100000000000001" customHeight="1" x14ac:dyDescent="0.25">
      <c r="D109" s="22"/>
      <c r="E109" s="22"/>
      <c r="F109" s="22"/>
      <c r="G109" s="22"/>
      <c r="H109" s="22"/>
    </row>
    <row r="110" spans="4:12" ht="20.100000000000001" customHeight="1" x14ac:dyDescent="0.25"/>
    <row r="111" spans="4:12" ht="20.100000000000001" customHeight="1" x14ac:dyDescent="0.25"/>
    <row r="112" spans="4:12" ht="20.100000000000001" customHeight="1" x14ac:dyDescent="0.25">
      <c r="H112" s="22"/>
      <c r="L112" s="22"/>
    </row>
    <row r="113" spans="4:12" ht="20.100000000000001" customHeight="1" x14ac:dyDescent="0.25">
      <c r="L113" s="22"/>
    </row>
    <row r="114" spans="4:12" ht="20.100000000000001" customHeight="1" x14ac:dyDescent="0.25">
      <c r="H114" s="22"/>
      <c r="L114" s="22"/>
    </row>
    <row r="115" spans="4:12" ht="20.100000000000001" customHeight="1" x14ac:dyDescent="0.25">
      <c r="H115" s="22"/>
      <c r="L115" s="22"/>
    </row>
    <row r="116" spans="4:12" ht="20.100000000000001" customHeight="1" x14ac:dyDescent="0.25">
      <c r="D116" s="22"/>
      <c r="E116" s="22"/>
      <c r="F116" s="96"/>
      <c r="G116" s="22"/>
      <c r="H116" s="22"/>
      <c r="I116" s="22"/>
      <c r="J116" s="22"/>
      <c r="K116" s="22"/>
      <c r="L116" s="22"/>
    </row>
    <row r="117" spans="4:12" ht="20.100000000000001" customHeight="1" x14ac:dyDescent="0.25">
      <c r="L117" s="22"/>
    </row>
    <row r="118" spans="4:12" ht="20.100000000000001" customHeight="1" x14ac:dyDescent="0.25"/>
    <row r="119" spans="4:12" ht="20.100000000000001" customHeight="1" x14ac:dyDescent="0.25"/>
    <row r="120" spans="4:12" ht="20.100000000000001" customHeight="1" x14ac:dyDescent="0.25"/>
    <row r="121" spans="4:12" ht="20.100000000000001" customHeight="1" x14ac:dyDescent="0.25"/>
    <row r="122" spans="4:12" ht="20.100000000000001" customHeight="1" x14ac:dyDescent="0.25"/>
    <row r="123" spans="4:12" ht="20.100000000000001" customHeight="1" x14ac:dyDescent="0.25"/>
    <row r="124" spans="4:12" ht="20.100000000000001" customHeight="1" x14ac:dyDescent="0.25"/>
    <row r="125" spans="4:12" ht="20.100000000000001" customHeight="1" x14ac:dyDescent="0.25"/>
    <row r="126" spans="4:12" ht="20.100000000000001" customHeight="1" x14ac:dyDescent="0.25"/>
    <row r="127" spans="4:12" ht="20.100000000000001" customHeight="1" x14ac:dyDescent="0.25"/>
    <row r="128" spans="4:12"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124</v>
      </c>
      <c r="AG1"/>
      <c r="AH1"/>
      <c r="AI1"/>
    </row>
    <row r="2" spans="1:35" s="9" customFormat="1" ht="20.100000000000001" customHeight="1" x14ac:dyDescent="0.25">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100000000000001" customHeight="1" x14ac:dyDescent="0.25">
      <c r="A6" s="16"/>
      <c r="D6" s="5" t="str" cm="1">
        <f t="array" ref="D6">RiceCultivation_SourceData.SourceData_RiceCultivation_WaterScalingFactorGrowingSeason_Source()</f>
        <v>VEERG 2026: Table A.2.3.1</v>
      </c>
    </row>
    <row r="7" spans="1:35" ht="20.100000000000001" customHeight="1" x14ac:dyDescent="0.25">
      <c r="A7" s="20" t="s">
        <v>1</v>
      </c>
      <c r="D7" s="1" t="str" cm="1">
        <f t="array" ref="D7">RiceCultivation_SourceData.SourceData_RiceCultivation_WaterScalingFactorGrowingSeason_Variable()</f>
        <v>SFw</v>
      </c>
      <c r="AG7" s="1"/>
      <c r="AH7" s="1"/>
      <c r="AI7" s="1"/>
    </row>
    <row r="8" spans="1:35" ht="20.100000000000001" customHeight="1" x14ac:dyDescent="0.25">
      <c r="A8" s="17" t="str">
        <f>HYPERLINK("#'Input - Site'!A1", "Site")</f>
        <v>Site</v>
      </c>
      <c r="D8" s="49" t="str" cm="1">
        <f t="array" ref="D8">RiceCultivation_SourceData.SourceData_RiceCultivation_WaterScalingFactorGrowingSeason_Unit()</f>
        <v>fraction</v>
      </c>
      <c r="H8" s="1" t="s">
        <v>144</v>
      </c>
      <c r="J8" s="1" t="s">
        <v>145</v>
      </c>
      <c r="L8" s="1" t="s">
        <v>146</v>
      </c>
      <c r="AG8" s="1"/>
      <c r="AH8" s="1"/>
      <c r="AI8" s="1"/>
    </row>
    <row r="9" spans="1:35" ht="20.100000000000001" customHeight="1" x14ac:dyDescent="0.25">
      <c r="A9" s="17" t="str">
        <f>HYPERLINK("#'Input - Rice'!A1", "Rice")</f>
        <v>Rice</v>
      </c>
      <c r="D9" s="35" t="s">
        <v>109</v>
      </c>
      <c r="E9" s="35" t="s">
        <v>112</v>
      </c>
      <c r="F9" s="35" t="s">
        <v>125</v>
      </c>
      <c r="H9" s="35" t="s">
        <v>147</v>
      </c>
      <c r="J9" s="35" t="s">
        <v>147</v>
      </c>
      <c r="L9" s="35" t="s">
        <v>147</v>
      </c>
      <c r="AG9" s="1"/>
      <c r="AH9" s="1"/>
      <c r="AI9" s="1"/>
    </row>
    <row r="10" spans="1:35" ht="20.100000000000001" customHeight="1" x14ac:dyDescent="0.25">
      <c r="D10" s="35" t="str" cm="1">
        <f t="array" ref="D10">Common_InputFunctions.Utility_DisplayArrayInTable(RiceCultivation_SourceData.SourceData_RiceCultivation_WaterScalingFactorGrowingSeason_Data(),Table_SourceData_WaterScalingFactorGrowingSeason[[#Headers],[Water regime type]],0)</f>
        <v>Upland</v>
      </c>
      <c r="E10" s="35" t="str" cm="1">
        <f t="array" ref="E10">Common_InputFunctions.Utility_DisplayArrayInTable(RiceCultivation_SourceData.SourceData_RiceCultivation_WaterScalingFactorGrowingSeason_Data(),Table_SourceData_WaterScalingFactorGrowingSeason[[#Headers],[Water regime type]],0)</f>
        <v>Paddy rotation</v>
      </c>
      <c r="F10" s="35" cm="1">
        <f t="array" ref="F10">Common_InputFunctions.Utility_DisplayArrayInTable(RiceCultivation_SourceData.SourceData_RiceCultivation_WaterScalingFactorGrowingSeason_Data(),Table_SourceData_WaterScalingFactorGrowingSeason[[#Headers],[Water regime type]],0)</f>
        <v>0</v>
      </c>
      <c r="H10" s="35" t="str">
        <f>E10</f>
        <v>Paddy rotation</v>
      </c>
      <c r="J10" s="35" t="str">
        <f>E12</f>
        <v>Continuously flooded</v>
      </c>
      <c r="L10" s="35" t="str">
        <f>E15</f>
        <v>Regular rainfed</v>
      </c>
      <c r="AG10" s="1"/>
      <c r="AH10" s="1"/>
      <c r="AI10" s="1"/>
    </row>
    <row r="11" spans="1:35" ht="20.100000000000001" customHeight="1" x14ac:dyDescent="0.25">
      <c r="A11" s="19" t="s">
        <v>52</v>
      </c>
      <c r="D11" s="1" t="str" cm="1">
        <f t="array" ref="D11">Common_InputFunctions.Utility_DisplayArrayInTable(RiceCultivation_SourceData.SourceData_RiceCultivation_WaterScalingFactorGrowingSeason_Data(),Table_SourceData_WaterScalingFactorGrowingSeason[[#Headers],[Water regime type]],0)</f>
        <v>Upland</v>
      </c>
      <c r="E11" s="35"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5" cm="1">
        <f t="array" ref="F11">Common_InputFunctions.Utility_DisplayArrayInTable(RiceCultivation_SourceData.SourceData_RiceCultivation_WaterScalingFactorGrowingSeason_Data(),Table_SourceData_WaterScalingFactorGrowingSeason[[#Headers],[Water regime type]],0)</f>
        <v>0</v>
      </c>
      <c r="H11" s="35" t="str">
        <f>E11</f>
        <v>Fallow without flooding in previous year</v>
      </c>
      <c r="J11" s="35" t="str">
        <f>E13</f>
        <v>Single drainage period</v>
      </c>
      <c r="L11" s="35" t="str">
        <f>E16</f>
        <v>Drought prone</v>
      </c>
    </row>
    <row r="12" spans="1:35" ht="20.100000000000001" customHeight="1" x14ac:dyDescent="0.25">
      <c r="A12" s="17" t="str">
        <f>HYPERLINK("#'7.1.1-2 Rice cultivation'!A1", "7.1.1-2 Rice cultivation")</f>
        <v>7.1.1-2 Rice cultivation</v>
      </c>
      <c r="D12" s="1" t="str" cm="1">
        <f t="array" ref="D12">Common_InputFunctions.Utility_DisplayArrayInTable(RiceCultivation_SourceData.SourceData_RiceCultivation_WaterScalingFactorGrowingSeason_Data(),Table_SourceData_WaterScalingFactorGrowingSeason[[#Headers],[Water regime type]],0)</f>
        <v>Irrigated</v>
      </c>
      <c r="E12" s="35" t="str" cm="1">
        <f t="array" ref="E12">Common_InputFunctions.Utility_DisplayArrayInTable(RiceCultivation_SourceData.SourceData_RiceCultivation_WaterScalingFactorGrowingSeason_Data(),Table_SourceData_WaterScalingFactorGrowingSeason[[#Headers],[Water regime type]],0)</f>
        <v>Continuously flooded</v>
      </c>
      <c r="F12" s="35" cm="1">
        <f t="array" ref="F12">Common_InputFunctions.Utility_DisplayArrayInTable(RiceCultivation_SourceData.SourceData_RiceCultivation_WaterScalingFactorGrowingSeason_Data(),Table_SourceData_WaterScalingFactorGrowingSeason[[#Headers],[Water regime type]],0)</f>
        <v>1</v>
      </c>
      <c r="J12" s="35" t="str">
        <f>E14</f>
        <v>Multiple drainage periods</v>
      </c>
      <c r="L12" s="35" t="str">
        <f>E17</f>
        <v>Deep water</v>
      </c>
    </row>
    <row r="13" spans="1:35" ht="20.100000000000001" customHeight="1" x14ac:dyDescent="0.25">
      <c r="A13" s="17"/>
      <c r="D13" s="1" t="str" cm="1">
        <f t="array" ref="D13">Common_InputFunctions.Utility_DisplayArrayInTable(RiceCultivation_SourceData.SourceData_RiceCultivation_WaterScalingFactorGrowingSeason_Data(),Table_SourceData_WaterScalingFactorGrowingSeason[[#Headers],[Water regime type]],0)</f>
        <v>Irrigated</v>
      </c>
      <c r="E13" s="35" t="str" cm="1">
        <f t="array" ref="E13">Common_InputFunctions.Utility_DisplayArrayInTable(RiceCultivation_SourceData.SourceData_RiceCultivation_WaterScalingFactorGrowingSeason_Data(),Table_SourceData_WaterScalingFactorGrowingSeason[[#Headers],[Water regime type]],0)</f>
        <v>Single drainage period</v>
      </c>
      <c r="F13" s="35" cm="1">
        <f t="array" ref="F13">Common_InputFunctions.Utility_DisplayArrayInTable(RiceCultivation_SourceData.SourceData_RiceCultivation_WaterScalingFactorGrowingSeason_Data(),Table_SourceData_WaterScalingFactorGrowingSeason[[#Headers],[Water regime type]],0)</f>
        <v>0.71</v>
      </c>
    </row>
    <row r="14" spans="1:35" ht="20.100000000000001" customHeight="1" x14ac:dyDescent="0.25">
      <c r="A14" s="18" t="s">
        <v>2</v>
      </c>
      <c r="D14" s="1" t="str" cm="1">
        <f t="array" ref="D14">Common_InputFunctions.Utility_DisplayArrayInTable(RiceCultivation_SourceData.SourceData_RiceCultivation_WaterScalingFactorGrowingSeason_Data(),Table_SourceData_WaterScalingFactorGrowingSeason[[#Headers],[Water regime type]],0)</f>
        <v>Irrigated</v>
      </c>
      <c r="E14" s="35" t="str" cm="1">
        <f t="array" ref="E14">Common_InputFunctions.Utility_DisplayArrayInTable(RiceCultivation_SourceData.SourceData_RiceCultivation_WaterScalingFactorGrowingSeason_Data(),Table_SourceData_WaterScalingFactorGrowingSeason[[#Headers],[Water regime type]],0)</f>
        <v>Multiple drainage periods</v>
      </c>
      <c r="F14" s="35"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100000000000001" customHeight="1" x14ac:dyDescent="0.25">
      <c r="A15" s="121" t="str">
        <f>HYPERLINK("#'Constants - Rice cultivation'!A1", "Constants - Rice cultivation")</f>
        <v>Constants - Rice cultivation</v>
      </c>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5" t="str" cm="1">
        <f t="array" ref="E15">Common_InputFunctions.Utility_DisplayArrayInTable(RiceCultivation_SourceData.SourceData_RiceCultivation_WaterScalingFactorGrowingSeason_Data(),Table_SourceData_WaterScalingFactorGrowingSeason[[#Headers],[Water regime type]],0)</f>
        <v>Regular rainfed</v>
      </c>
      <c r="F15" s="35" cm="1">
        <f t="array" ref="F15">Common_InputFunctions.Utility_DisplayArrayInTable(RiceCultivation_SourceData.SourceData_RiceCultivation_WaterScalingFactorGrowingSeason_Data(),Table_SourceData_WaterScalingFactorGrowingSeason[[#Headers],[Water regime type]],0)</f>
        <v>0.54</v>
      </c>
    </row>
    <row r="16" spans="1:35" ht="20.100000000000001" customHeight="1" x14ac:dyDescent="0.25">
      <c r="A16" s="17" t="str">
        <f>HYPERLINK("#'Constants - Common'!A1", "Constants - Common")</f>
        <v>Constants - Common</v>
      </c>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5" t="str" cm="1">
        <f t="array" ref="E16">Common_InputFunctions.Utility_DisplayArrayInTable(RiceCultivation_SourceData.SourceData_RiceCultivation_WaterScalingFactorGrowingSeason_Data(),Table_SourceData_WaterScalingFactorGrowingSeason[[#Headers],[Water regime type]],0)</f>
        <v>Drought prone</v>
      </c>
      <c r="F16" s="35" cm="1">
        <f t="array" ref="F16">Common_InputFunctions.Utility_DisplayArrayInTable(RiceCultivation_SourceData.SourceData_RiceCultivation_WaterScalingFactorGrowingSeason_Data(),Table_SourceData_WaterScalingFactorGrowingSeason[[#Headers],[Water regime type]],0)</f>
        <v>0.16</v>
      </c>
    </row>
    <row r="17" spans="1:6" ht="20.100000000000001" customHeight="1" x14ac:dyDescent="0.25">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5" t="str" cm="1">
        <f t="array" ref="E17">Common_InputFunctions.Utility_DisplayArrayInTable(RiceCultivation_SourceData.SourceData_RiceCultivation_WaterScalingFactorGrowingSeason_Data(),Table_SourceData_WaterScalingFactorGrowingSeason[[#Headers],[Water regime type]],0)</f>
        <v>Deep water</v>
      </c>
      <c r="F17" s="35" cm="1">
        <f t="array" ref="F17">Common_InputFunctions.Utility_DisplayArrayInTable(RiceCultivation_SourceData.SourceData_RiceCultivation_WaterScalingFactorGrowingSeason_Data(),Table_SourceData_WaterScalingFactorGrowingSeason[[#Headers],[Water regime type]],0)</f>
        <v>0.06</v>
      </c>
    </row>
    <row r="18" spans="1:6" ht="20.100000000000001" customHeight="1" x14ac:dyDescent="0.25"/>
    <row r="19" spans="1:6" ht="20.100000000000001" customHeight="1" x14ac:dyDescent="0.25"/>
    <row r="20" spans="1:6" ht="20.100000000000001" customHeight="1" x14ac:dyDescent="0.25">
      <c r="A20" s="17"/>
      <c r="D20" s="6" t="str" cm="1">
        <f t="array" ref="D20">RiceCultivation_SourceData.SourceData_RiceCultivation_WaterScalingFactorPreSeason_Title()</f>
        <v>Scaling factor based on the water regime employed in the pre - season before the growing period</v>
      </c>
    </row>
    <row r="21" spans="1:6" ht="20.100000000000001" customHeight="1" x14ac:dyDescent="0.25">
      <c r="D21" s="5" t="str" cm="1">
        <f t="array" ref="D21">RiceCultivation_SourceData.SourceData_RiceCultivation_WaterScalingFactorPreSeason_Source()</f>
        <v>VEERG 2026: Table A.2.3.2</v>
      </c>
    </row>
    <row r="22" spans="1:6" ht="20.100000000000001" customHeight="1" x14ac:dyDescent="0.25">
      <c r="D22" s="1" t="str" cm="1">
        <f t="array" ref="D22">RiceCultivation_SourceData.SourceData_RiceCultivation_WaterScalingFactorPreSeason_Variable()</f>
        <v>SFp</v>
      </c>
    </row>
    <row r="23" spans="1:6" ht="20.100000000000001" customHeight="1" x14ac:dyDescent="0.25">
      <c r="D23" s="49" t="str" cm="1">
        <f t="array" ref="D23">RiceCultivation_SourceData.SourceData_RiceCultivation_WaterScalingFactorPreSeason_Unit()</f>
        <v>fraction</v>
      </c>
    </row>
    <row r="24" spans="1:6" ht="20.100000000000001" customHeight="1" x14ac:dyDescent="0.25">
      <c r="D24" s="35" t="s">
        <v>126</v>
      </c>
      <c r="E24" s="35" t="s">
        <v>127</v>
      </c>
    </row>
    <row r="25" spans="1:6" ht="20.100000000000001" customHeight="1" x14ac:dyDescent="0.25">
      <c r="D25" s="35"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5" cm="1">
        <f t="array" ref="E25">Common_InputFunctions.Utility_DisplayArrayInTable(RiceCultivation_SourceData.SourceData_RiceCultivation_WaterScalingFactorPreSeason_Data(),Table_SourceData_WaterScalingFactorPreSeason[[#Headers],[Water regime prior to cultivation]], 0)</f>
        <v>1</v>
      </c>
    </row>
    <row r="26" spans="1:6" ht="20.100000000000001"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5" cm="1">
        <f t="array" ref="E26">Common_InputFunctions.Utility_DisplayArrayInTable(RiceCultivation_SourceData.SourceData_RiceCultivation_WaterScalingFactorPreSeason_Data(),Table_SourceData_WaterScalingFactorPreSeason[[#Headers],[Water regime prior to cultivation]], 0)</f>
        <v>0.89</v>
      </c>
    </row>
    <row r="27" spans="1:6" ht="20.100000000000001"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5" cm="1">
        <f t="array" ref="E27">Common_InputFunctions.Utility_DisplayArrayInTable(RiceCultivation_SourceData.SourceData_RiceCultivation_WaterScalingFactorPreSeason_Data(),Table_SourceData_WaterScalingFactorPreSeason[[#Headers],[Water regime prior to cultivation]], 0)</f>
        <v>2.41</v>
      </c>
    </row>
    <row r="28" spans="1:6" ht="20.100000000000001"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5" cm="1">
        <f t="array" ref="E28">Common_InputFunctions.Utility_DisplayArrayInTable(RiceCultivation_SourceData.SourceData_RiceCultivation_WaterScalingFactorPreSeason_Data(),Table_SourceData_WaterScalingFactorPreSeason[[#Headers],[Water regime prior to cultivation]], 0)</f>
        <v>0.59</v>
      </c>
    </row>
    <row r="29" spans="1:6" ht="20.100000000000001" customHeight="1" x14ac:dyDescent="0.25"/>
    <row r="30" spans="1:6" ht="20.100000000000001" customHeight="1" x14ac:dyDescent="0.25"/>
    <row r="31" spans="1:6" ht="20.100000000000001" customHeight="1" x14ac:dyDescent="0.25">
      <c r="D31" s="6" t="str" cm="1">
        <f t="array" ref="D31">RiceCultivation_SourceData.SourceData_RiceCultivation_OrganicAmendmentConversionFactor_Title()</f>
        <v>Conversion factor for organic amendment i</v>
      </c>
    </row>
    <row r="32" spans="1:6" ht="20.100000000000001" customHeight="1" x14ac:dyDescent="0.25">
      <c r="D32" s="5" t="str" cm="1">
        <f t="array" ref="D32">RiceCultivation_SourceData.SourceData_RiceCultivation_OrganicAmendmentConversionFactor_Source()</f>
        <v>VEERG 2026: Table A.2.3.3</v>
      </c>
    </row>
    <row r="33" spans="4:5" ht="20.100000000000001" customHeight="1" x14ac:dyDescent="0.25">
      <c r="D33" s="50" t="str" cm="1">
        <f t="array" ref="D33:D35">RiceCultivation_SourceData.SourceData_RiceCultivation_OrganicAmendmentConversionFactor_Variation()</f>
        <v>VARIATION ON SOURCE:</v>
      </c>
    </row>
    <row r="34" spans="4:5" ht="20.100000000000001" customHeight="1" x14ac:dyDescent="0.25">
      <c r="D34" s="50" t="str">
        <v>Included inorganic fertiliser as amendment as per VEERG equation description:</v>
      </c>
    </row>
    <row r="35" spans="4:5" ht="20.100000000000001" customHeight="1" x14ac:dyDescent="0.25">
      <c r="D35" s="50" t="str">
        <v>Where inorganic fertiliser is applied to the rice fields rather than organic amendments, SF_o is set to 1.</v>
      </c>
    </row>
    <row r="36" spans="4:5" ht="20.100000000000001" customHeight="1" x14ac:dyDescent="0.25">
      <c r="D36" s="1" t="str" cm="1">
        <f t="array" ref="D36">RiceCultivation_SourceData.SourceData_RiceCultivation_OrganicAmendmentConversionFactor_Variable()</f>
        <v>CFOAi</v>
      </c>
    </row>
    <row r="37" spans="4:5" ht="20.100000000000001" customHeight="1" x14ac:dyDescent="0.25">
      <c r="D37" s="49" t="str" cm="1">
        <f t="array" ref="D37">RiceCultivation_SourceData.SourceData_RiceCultivation_OrganicAmendmentConversionFactor_Unit()</f>
        <v>fraction</v>
      </c>
    </row>
    <row r="38" spans="4:5" ht="20.100000000000001" customHeight="1" x14ac:dyDescent="0.25">
      <c r="D38" s="35" t="s">
        <v>128</v>
      </c>
      <c r="E38" s="35" t="s">
        <v>129</v>
      </c>
    </row>
    <row r="39" spans="4:5" ht="20.100000000000001" customHeight="1" x14ac:dyDescent="0.25">
      <c r="D39" s="35" t="str" cm="1">
        <f t="array" ref="D39">Common_InputFunctions.Utility_DisplayArrayInTable(RiceCultivation_SourceData.SourceData_RiceCultivation_OrganicAmendmentConversionFactor_Data(),Table15[[#Headers],[Organic amendment i]],0)</f>
        <v>Straw incorporated shortly (&lt;30 days) before cultivation</v>
      </c>
      <c r="E39" s="35" cm="1">
        <f t="array" ref="E39">Common_InputFunctions.Utility_DisplayArrayInTable(RiceCultivation_SourceData.SourceData_RiceCultivation_OrganicAmendmentConversionFactor_Data(),Table15[[#Headers],[Organic amendment i]],0)</f>
        <v>1</v>
      </c>
    </row>
    <row r="40" spans="4:5" ht="20.100000000000001"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5" cm="1">
        <f t="array" ref="E40">Common_InputFunctions.Utility_DisplayArrayInTable(RiceCultivation_SourceData.SourceData_RiceCultivation_OrganicAmendmentConversionFactor_Data(),Table15[[#Headers],[Organic amendment i]],0)</f>
        <v>0.19</v>
      </c>
    </row>
    <row r="41" spans="4:5" ht="20.100000000000001" customHeight="1" x14ac:dyDescent="0.25">
      <c r="D41" s="1" t="str" cm="1">
        <f t="array" ref="D41">Common_InputFunctions.Utility_DisplayArrayInTable(RiceCultivation_SourceData.SourceData_RiceCultivation_OrganicAmendmentConversionFactor_Data(),Table15[[#Headers],[Organic amendment i]],0)</f>
        <v>Compost</v>
      </c>
      <c r="E41" s="35" cm="1">
        <f t="array" ref="E41">Common_InputFunctions.Utility_DisplayArrayInTable(RiceCultivation_SourceData.SourceData_RiceCultivation_OrganicAmendmentConversionFactor_Data(),Table15[[#Headers],[Organic amendment i]],0)</f>
        <v>0.17</v>
      </c>
    </row>
    <row r="42" spans="4:5" ht="20.100000000000001" customHeight="1" x14ac:dyDescent="0.25">
      <c r="D42" s="1" t="str" cm="1">
        <f t="array" ref="D42">Common_InputFunctions.Utility_DisplayArrayInTable(RiceCultivation_SourceData.SourceData_RiceCultivation_OrganicAmendmentConversionFactor_Data(),Table15[[#Headers],[Organic amendment i]],0)</f>
        <v>Farm yard manure</v>
      </c>
      <c r="E42" s="35" cm="1">
        <f t="array" ref="E42">Common_InputFunctions.Utility_DisplayArrayInTable(RiceCultivation_SourceData.SourceData_RiceCultivation_OrganicAmendmentConversionFactor_Data(),Table15[[#Headers],[Organic amendment i]],0)</f>
        <v>0.21</v>
      </c>
    </row>
    <row r="43" spans="4:5" ht="20.100000000000001" customHeight="1" x14ac:dyDescent="0.25">
      <c r="D43" s="1" t="str" cm="1">
        <f t="array" ref="D43">Common_InputFunctions.Utility_DisplayArrayInTable(RiceCultivation_SourceData.SourceData_RiceCultivation_OrganicAmendmentConversionFactor_Data(),Table15[[#Headers],[Organic amendment i]],0)</f>
        <v>Green manure</v>
      </c>
      <c r="E43" s="35" cm="1">
        <f t="array" ref="E43">Common_InputFunctions.Utility_DisplayArrayInTable(RiceCultivation_SourceData.SourceData_RiceCultivation_OrganicAmendmentConversionFactor_Data(),Table15[[#Headers],[Organic amendment i]],0)</f>
        <v>0.45</v>
      </c>
    </row>
    <row r="44" spans="4:5" ht="20.100000000000001" customHeight="1" x14ac:dyDescent="0.25">
      <c r="D44" s="1" t="str" cm="1">
        <f t="array" ref="D44">Common_InputFunctions.Utility_DisplayArrayInTable(RiceCultivation_SourceData.SourceData_RiceCultivation_OrganicAmendmentConversionFactor_Data(),Table15[[#Headers],[Organic amendment i]],0)</f>
        <v>Inorganic fertiliser</v>
      </c>
      <c r="E44" s="35" cm="1">
        <f t="array" ref="E44">Common_InputFunctions.Utility_DisplayArrayInTable(RiceCultivation_SourceData.SourceData_RiceCultivation_OrganicAmendmentConversionFactor_Data(),Table15[[#Headers],[Organic amendment i]],0)</f>
        <v>1</v>
      </c>
    </row>
    <row r="45" spans="4:5" ht="20.100000000000001" customHeight="1" x14ac:dyDescent="0.25"/>
    <row r="46" spans="4:5" ht="20.100000000000001" customHeight="1" x14ac:dyDescent="0.25"/>
    <row r="47" spans="4:5" ht="20.100000000000001" customHeight="1" x14ac:dyDescent="0.25">
      <c r="D47" s="6" t="str" cm="1">
        <f t="array" ref="D47">RiceCultivation_SourceData.SourceData_RiceCultivation_BaselineEF_Title()</f>
        <v>Baseline emission factor for continuously flooded fields without organic amendments</v>
      </c>
    </row>
    <row r="48" spans="4:5" ht="20.100000000000001" customHeight="1" x14ac:dyDescent="0.25">
      <c r="D48" s="5" t="str" cm="1">
        <f t="array" ref="D48">RiceCultivation_SourceData.SourceData_RiceCultivation_BaselineEF_Source()</f>
        <v>VEERG 2026: 7.2.3 Constant Parameters</v>
      </c>
    </row>
    <row r="49" spans="4:6" ht="20.100000000000001" customHeight="1" x14ac:dyDescent="0.25">
      <c r="D49" s="48" t="str" cm="1">
        <f t="array" ref="D49">RiceCultivation_SourceData.SourceData_RiceCultivation_BaselineEF_Variable()</f>
        <v>EFc</v>
      </c>
      <c r="E49" s="1" cm="1">
        <f t="array" ref="E49">RiceCultivation_SourceData.SourceData_RiceCultivation_BaselineEF_Data()</f>
        <v>1.19</v>
      </c>
      <c r="F49" s="49" t="str" cm="1">
        <f t="array" ref="F49">RiceCultivation_SourceData.SourceData_RiceCultivation_BaselineEF_Unit()</f>
        <v>kg CH4 / ha / day</v>
      </c>
    </row>
    <row r="50" spans="4:6" ht="20.100000000000001" customHeight="1" x14ac:dyDescent="0.25"/>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628F-C552-4DBE-BEDA-1D3AB479C82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10</v>
      </c>
      <c r="E6" s="35" t="s">
        <v>11</v>
      </c>
      <c r="F6" s="35" t="s">
        <v>12</v>
      </c>
    </row>
    <row r="7" spans="1:65" ht="20.100000000000001" customHeight="1" x14ac:dyDescent="0.25">
      <c r="A7"/>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5" t="s">
        <v>13</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15</v>
      </c>
      <c r="E36" s="35" t="s">
        <v>16</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5" t="s">
        <v>15</v>
      </c>
      <c r="E47" s="35" t="s">
        <v>18</v>
      </c>
      <c r="F47" s="35" t="s">
        <v>19</v>
      </c>
      <c r="G47" s="35" t="s">
        <v>20</v>
      </c>
      <c r="H47" s="35" t="s">
        <v>21</v>
      </c>
    </row>
    <row r="48" spans="1:8" ht="20.100000000000001" customHeight="1" x14ac:dyDescent="0.25">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4:8" ht="20.100000000000001" customHeight="1" x14ac:dyDescent="0.25">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4:8" ht="20.100000000000001" customHeight="1" x14ac:dyDescent="0.25">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4:8" ht="20.100000000000001" customHeight="1" x14ac:dyDescent="0.25">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4:8" ht="20.100000000000001" customHeight="1" x14ac:dyDescent="0.25">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4:8" ht="20.100000000000001" customHeight="1" x14ac:dyDescent="0.25">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4:8" ht="20.100000000000001" customHeight="1" x14ac:dyDescent="0.25">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5" t="s">
        <v>6</v>
      </c>
      <c r="E63" s="35" t="s">
        <v>35</v>
      </c>
    </row>
    <row r="64" spans="4:8" ht="20.100000000000001" customHeight="1" x14ac:dyDescent="0.25">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5" t="s">
        <v>6</v>
      </c>
      <c r="E89" s="35" t="s">
        <v>23</v>
      </c>
      <c r="F89" s="35" t="s">
        <v>24</v>
      </c>
      <c r="G89" s="35" t="s">
        <v>25</v>
      </c>
      <c r="H89" s="35" t="s">
        <v>26</v>
      </c>
      <c r="I89" s="35" t="s">
        <v>27</v>
      </c>
      <c r="J89" s="35" t="s">
        <v>28</v>
      </c>
      <c r="K89" s="35" t="s">
        <v>29</v>
      </c>
      <c r="L89" s="35" t="s">
        <v>30</v>
      </c>
      <c r="M89" s="35" t="s">
        <v>31</v>
      </c>
      <c r="N89" s="35" t="s">
        <v>32</v>
      </c>
      <c r="O89" s="35" t="s">
        <v>36</v>
      </c>
      <c r="P89" s="35" t="s">
        <v>33</v>
      </c>
      <c r="Q89" s="35" t="s">
        <v>37</v>
      </c>
      <c r="R89" s="35" t="s">
        <v>34</v>
      </c>
      <c r="S89" s="35" t="s">
        <v>38</v>
      </c>
      <c r="T89" s="35"/>
    </row>
    <row r="90" spans="4:20" ht="20.100000000000001" customHeight="1" x14ac:dyDescent="0.25">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4:20" ht="20.100000000000001" customHeight="1" x14ac:dyDescent="0.25">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4:20" ht="20.100000000000001" customHeight="1" x14ac:dyDescent="0.25">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4:20" ht="20.100000000000001" customHeight="1" x14ac:dyDescent="0.25">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4:20" ht="20.100000000000001" customHeight="1" x14ac:dyDescent="0.25">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4:20" ht="20.100000000000001" customHeight="1" x14ac:dyDescent="0.2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4:20" ht="20.100000000000001" customHeight="1" x14ac:dyDescent="0.25">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4:20" ht="20.100000000000001" customHeight="1" x14ac:dyDescent="0.25">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4:20" ht="20.100000000000001" customHeight="1" x14ac:dyDescent="0.25"/>
    <row r="99" spans="4:20" ht="20.100000000000001" customHeight="1" x14ac:dyDescent="0.25">
      <c r="D99" s="49" t="str" cm="1">
        <f t="array" ref="D99:D102">Common_SourceData.Common_SourceData_ClimateZones_Appendices()</f>
        <v>Note:</v>
      </c>
    </row>
    <row r="100" spans="4:20" ht="20.100000000000001" customHeight="1" x14ac:dyDescent="0.25">
      <c r="D100" s="49" t="str">
        <v>MAT = mean annual temperature</v>
      </c>
    </row>
    <row r="101" spans="4:20" ht="20.100000000000001" customHeight="1" x14ac:dyDescent="0.25">
      <c r="D101" s="49" t="str">
        <v>MAP = mean annual precipitation</v>
      </c>
    </row>
    <row r="102" spans="4:20" ht="20.100000000000001" customHeight="1" x14ac:dyDescent="0.25">
      <c r="D102" s="49" t="str">
        <v>PET = potential evapotranspiration</v>
      </c>
    </row>
    <row r="103" spans="4:20" ht="20.100000000000001" customHeight="1" x14ac:dyDescent="0.25">
      <c r="D103" s="49"/>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5" t="s">
        <v>40</v>
      </c>
      <c r="E109" s="35" t="s">
        <v>23</v>
      </c>
      <c r="F109" s="35" t="s">
        <v>41</v>
      </c>
      <c r="G109" s="35" t="s">
        <v>42</v>
      </c>
    </row>
    <row r="110" spans="4:20" ht="20.100000000000001" customHeight="1" x14ac:dyDescent="0.25">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4:20" ht="20.100000000000001" customHeight="1" x14ac:dyDescent="0.25">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5" t="s">
        <v>43</v>
      </c>
      <c r="E119" s="35" t="s">
        <v>44</v>
      </c>
      <c r="F119" s="35" t="s">
        <v>30</v>
      </c>
      <c r="G119" s="35" t="s">
        <v>31</v>
      </c>
      <c r="BN119" s="7"/>
    </row>
    <row r="120" spans="4:66" ht="20.100000000000001" customHeight="1" x14ac:dyDescent="0.25">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5" t="s">
        <v>45</v>
      </c>
      <c r="E127" s="35" t="s">
        <v>46</v>
      </c>
    </row>
    <row r="128" spans="4:66" ht="20.100000000000001" customHeight="1" x14ac:dyDescent="0.25">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5" t="s">
        <v>72</v>
      </c>
      <c r="E142" s="35" t="s">
        <v>57</v>
      </c>
      <c r="BN142" s="7"/>
    </row>
    <row r="143" spans="4:77" ht="20.100000000000001" customHeight="1" x14ac:dyDescent="0.25">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5" t="s">
        <v>47</v>
      </c>
      <c r="E153" s="35" t="s">
        <v>48</v>
      </c>
      <c r="BC153" s="3"/>
      <c r="BD153" s="3"/>
      <c r="BE153" s="3"/>
      <c r="BF153" s="3"/>
      <c r="BG153" s="3"/>
      <c r="BH153" s="3"/>
      <c r="BI153" s="3"/>
      <c r="BJ153" s="3"/>
      <c r="BK153" s="3"/>
      <c r="BL153" s="3"/>
      <c r="BM153" s="3"/>
    </row>
    <row r="154" spans="4:66" ht="20.100000000000001" customHeight="1" x14ac:dyDescent="0.25">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4:66" ht="20.100000000000001" customHeight="1" x14ac:dyDescent="0.25">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4:66" ht="20.100000000000001" customHeight="1" x14ac:dyDescent="0.25">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5" t="s">
        <v>64</v>
      </c>
      <c r="E186" s="35" t="s">
        <v>65</v>
      </c>
      <c r="F186" s="35" t="s">
        <v>66</v>
      </c>
      <c r="G186" s="35" t="s">
        <v>67</v>
      </c>
      <c r="H186" s="35" t="s">
        <v>22</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5" t="s">
        <v>6</v>
      </c>
      <c r="E206" s="35" t="s">
        <v>74</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71</v>
      </c>
      <c r="E212" s="35" t="s">
        <v>79</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39</v>
      </c>
      <c r="E231" s="35" t="s">
        <v>89</v>
      </c>
      <c r="F231" s="34" t="s">
        <v>90</v>
      </c>
      <c r="G231" s="35" t="s">
        <v>84</v>
      </c>
      <c r="H231" s="35" t="s">
        <v>91</v>
      </c>
      <c r="I231" s="35" t="s">
        <v>92</v>
      </c>
      <c r="J231" s="35" t="s">
        <v>83</v>
      </c>
      <c r="K231" s="35" t="s">
        <v>82</v>
      </c>
      <c r="L231" s="35" t="s">
        <v>93</v>
      </c>
      <c r="M231" s="35" t="s">
        <v>94</v>
      </c>
      <c r="N231" s="35" t="s">
        <v>81</v>
      </c>
      <c r="O231" s="35" t="s">
        <v>95</v>
      </c>
      <c r="P231" s="35" t="s">
        <v>86</v>
      </c>
      <c r="Q231" s="35" t="s">
        <v>87</v>
      </c>
      <c r="R231" s="35" t="s">
        <v>85</v>
      </c>
      <c r="S231" s="35" t="s">
        <v>96</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5" t="s">
        <v>97</v>
      </c>
      <c r="E257" s="35" t="s">
        <v>98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gBpAGMAZQBDAHUAbAB0AGkAdgBhAHQAaQBvAG4AXwBTAG8AdQByAGMAZQBEAGEAdABhACIALAAiAHQAZQB4AHQAIgA6ACIAXABuAC8AKgAgAFwAbgAtAC0ALQAtAC0ALQAtAC0ALQAtAC0ALQAtAC0ALQAtAC0ALQAtAC0ALQAtAC0ALQAtAC0ALQAtAC0ALQAtAC0ALQAtAC0ALQAtAC0AXABuAFMAbwB1AHIAYwBlAEQAYQB0AGEAXwBSAGkAYwBlAEMAdQBsAHQAaQB2AGEAdABpAG8AbgBfAFcAYQB0AGUAcgBTAGMAYQBsAGkAbgBnAEYAYQBjAHQAbwByAEcAcgBvAHcAaQBuAGcAUwBlAGEAcwBvAG4AXABuAC0ALQAtAC0ALQAtAC0ALQAtAC0ALQAtAC0ALQAtAC0ALQAtAC0ALQAtAC0ALQAtAC0ALQAtAC0ALQAtAC0ALQAtAC0ALQAtAC0ALQBcAG4AKgAvAFwAbgBcAG4AUwBvAHUAcgBjAGUARABhAHQAYQBfAFIAaQBjAGUAQwB1AGwAdABpAHYAYQB0AGkAbwBuAF8AVwBhAHQAZQByAFMAYwBhAGwAaQBuAGcARgBhAGMAdABvAHIARwByAG8AdwBpAG4AZwBTAGUAYQBzAG8AbgBfAFQAaQB0AGwAZQBcAG4AIAAgAD0ATABBAE0AQgBEAEEAKABcACIAUwBjAGEAbABpAG4AZwAgAGYAYQBjAHQAbwByACAAYgBhAHMAZQBkACAAbwBuACAAdABoAGUAIAB3AGEAdABlAHIAIAByAGUAZwBpAG0AZQAgAGUAbQBwAGwAbwB5AGUAZAAgAGQAdQByAGkAbgBnACAAdABoAGUAIABnAHIAbwB3AGkAbgBnACAAcwBlAGEAcwBvAG4AIABjAHUAbAB0AGkAdgBhAHQAaQBvAG4AIABwAGUAcgBpAG8AZABcACIAKQA7AFwAbgBcAG4AUwBvAHUAcgBjAGUARABhAHQAYQBfAFIAaQBjAGUAQwB1AGwAdABpAHYAYQB0AGkAbwBuAF8AVwBhAHQAZQByAFMAYwBhAGwAaQBuAGcARgBhAGMAdABvAHIARwByAG8AdwBpAG4AZwBTAGUAYQBzAG8AbgBfAFYAYQByAGkAYQBiAGwAZQBcAG4AIAAgAD0ATABBAE0AQgBEAEEAKABcACIAUwBGAHcAXAAiACkAOwBcAG4AXABuAFMAbwB1AHIAYwBlAEQAYQB0AGEAXwBSAGkAYwBlAEMAdQBsAHQAaQB2AGEAdABpAG8AbgBfAFcAYQB0AGUAcgBTAGMAYQBsAGkAbgBnAEYAYQBjAHQAbwByAEcAcgBvAHcAaQBuAGcAUwBlAGEAcwBvAG4AXwBVAG4AaQB0AFwAbgAgACAAPQBMAEEATQBCAEQAQQAoAFwAIgBmAHIAYQBjAHQAaQBvAG4AXAAiACkAOwBcAG4AXABuAFMAbwB1AHIAYwBlAEQAYQB0AGEAXwBSAGkAYwBlAEMAdQBsAHQAaQB2AGEAdABpAG8AbgBfAFcAYQB0AGUAcgBTAGMAYQBsAGkAbgBnAEYAYQBjAHQAbwByAEcAcgBvAHcAaQBuAGcAUwBlAGEAcwBvAG4AXwBTAG8AdQByAGMAZQBcAG4AIAAgAD0ATABBAE0AQgBEAEEAKABcACIAVgBFAEUAUgBHACAAMgAwADIANgA6ACAAVABhAGIAbABlACAAQQAuADIALgAzAC4AMQBcACIAKQA7AFwAbgBcAG4AUwBvAHUAcgBjAGUARABhAHQAYQBfAFIAaQBjAGUAQwB1AGwAdABpAHYAYQB0AGkAbwBuAF8AVwBhAHQAZQByAFMAYwBhAGwAaQBuAGcARgBhAGMAdABvAHIARwByAG8AdwBpAG4AZwBTAGUAYQBzAG8AbgBfAFYAYQByAGkAYQB0AGkAbwBuAFwAbgAgACAAPQBMAEEATQBCAEQAQQAoAFwAIgBcACIAKQA7AFwAbgBcAG4AUwBvAHUAcgBjAGUARABhAHQAYQBfAFIAaQBjAGUAQwB1AGwAdABpAHYAYQB0AGkAbwBuAF8AVwBhAHQAZQByAFMAYwBhAGwAaQBuAGcARgBhAGMAdABvAHIARwByAG8AdwBpAG4AZwBTAGUAYQBzAG8AbgBfAEQAYQB0AGEAXABuACAAIAA9AEwAQQBNAEIARABBACgAXABuACAAIAAgACAATQBBAEsARQBBAFIAUgBBAFkAKAA5ACwAIAAzACwAIABcAG4AIAAgACAAIAAgACAATABBAE0AQgBEAEEAKAByACwAYwAsACAAXABuACAAIAAgACAAIAAgACAAIABJAE4ARABFAFgAKAB7AFwAbgAgACAAIAAgACAAIAAgACAAIAAgAFwAIgBXAGEAdABlAHIAIAByAGUAZwBpAG0AZQAgAHQAeQBwAGUAXAAiACwAIABcACIAVwBhAHQAZQByACAAcgBlAGcAaQBtAGUAIABzAHUAYgAgAC0AIAB0AHkAcABlAFwAIgAsACAAXAAiAFMARgB3AFwAIgA7AFwAbgAgACAAIAAgACAAIAAgACAAIAAgAFwAIgBVAHAAbABhAG4AZABcACIALAAgAFwAIgBQAGEAZABkAHkAIAByAG8AdABhAHQAaQBvAG4AXAAiACwAIAAwADsAXABuACAAIAAgACAAIAAgACAAIAAgACAAXAAiAFUAcABsAGEAbgBkAFwAIgAsACAAXAAiAEYAYQBsAGwAbwB3ACAAdwBpAHQAaABvAHUAdAAgAGYAbABvAG8AZABpAG4AZwAgAGkAbgAgAHAAcgBlAHYAaQBvAHUAcwAgAHkAZQBhAHIAXAAiACwAIAAwADsAXABuACAAIAAgACAAIAAgACAAIAAgACAAXAAiAEkAcgByAGkAZwBhAHQAZQBkAFwAIgAsACAAXAAiAEMAbwBuAHQAaQBuAHUAbwB1AHMAbAB5ACAAZgBsAG8AbwBkAGUAZABcACIALAAgADEAOwBcAG4AIAAgACAAIAAgACAAIAAgACAAIABcACIASQByAHIAaQBnAGEAdABlAGQAXAAiACwAIABcACIAUwBpAG4AZwBsAGUAIABkAHIAYQBpAG4AYQBnAGUAIABwAGUAcgBpAG8AZABcACIALAAgADAALgA3ADEAOwBcAG4AIAAgACAAIAAgACAAIAAgACAAIABcACIASQByAHIAaQBnAGEAdABlAGQAXAAiACwAIABcACIATQB1AGwAdABpAHAAbABlACAAZAByAGEAaQBuAGEAZwBlACAAcABlAHIAaQBvAGQAcwBcACIALAAgADAALgA1ADUAOwBcAG4AIAAgACAAIAAgACAAIAAgACAAIABcACIAUgBhAGkAbgBmAGUAZAAgAGEAbgBkACAAZABlAGUAcAAgAHcAYQB0AGUAcgBcACIALAAgAFwAIgBSAGUAZwB1AGwAYQByACAAcgBhAGkAbgBmAGUAZABcACIALAAgADAALgA1ADQAOwBcAG4AIAAgACAAIAAgACAAIAAgACAAIABcACIAUgBhAGkAbgBmAGUAZAAgAGEAbgBkACAAZABlAGUAcAAgAHcAYQB0AGUAcgBcACIALAAgAFwAIgBEAHIAbwB1AGcAaAB0ACAAcAByAG8AbgBlAFwAIgAsACAAMAAuADEANgA7AFwAbgAgACAAIAAgACAAIAAgACAAIAAgAFwAIgBSAGEAaQBuAGYAZQBkACAAYQBuAGQAIABkAGUAZQBwACAAdwBhAHQAZQByAFwAIgAsACAAXAAiAEQAZQBlAHAAIAB3AGEAdABlAHIAXAAiACwAIAAwAC4AMAA2AFwAbgAgACAAIAAgACAAIAAgACAAfQAsACAAcgAsACAAYwApAFwAbgAgACAAIAAgACAAIAApAFwAbgAgACAAIAAgACkAXABuACAAIAApADsAXABuAFwAbgBcAG4AXABuAC8AKgAgAFwAbgAtAC0ALQAtAC0ALQAtAC0ALQAtAC0ALQAtAC0ALQAtAC0ALQAtAC0ALQAtAC0ALQAtAC0ALQAtAC0ALQAtAC0ALQAtAC0ALQAtAC0AXABuAFMAbwB1AHIAYwBlAEQAYQB0AGEAXwBSAGkAYwBlAEMAdQBsAHQAaQB2AGEAdABpAG8AbgBfAFcAYQB0AGUAcgBTAGMAYQBsAGkAbgBnAEYAYQBjAHQAbwByAFAAcgBlAFMAZQBhAHMAbwBuAFwAbgAtAC0ALQAtAC0ALQAtAC0ALQAtAC0ALQAtAC0ALQAtAC0ALQAtAC0ALQAtAC0ALQAtAC0ALQAtAC0ALQAtAC0ALQAtAC0ALQAtAC0AXABuACoALwBcAG4AXABuAFMAbwB1AHIAYwBlAEQAYQB0AGEAXwBSAGkAYwBlAEMAdQBsAHQAaQB2AGEAdABpAG8AbgBfAFcAYQB0AGUAcgBTAGMAYQBsAGkAbgBnAEYAYQBjAHQAbwByAFAAcgBlAFMAZQBhAHMAbwBuAF8AVABpAHQAbABlAFwAbgAgACAAPQBMAEEATQBCAEQAQQAoAFwAIgBTAGMAYQBsAGkAbgBnACAAZgBhAGMAdABvAHIAIABiAGEAcwBlAGQAIABvAG4AIAB0AGgAZQAgAHcAYQB0AGUAcgAgAHIAZQBnAGkAbQBlACAAZQBtAHAAbABvAHkAZQBkACAAaQBuACAAdABoAGUAIABwAHIAZQAgAC0AIABzAGUAYQBzAG8AbgAgAGIAZQBmAG8AcgBlACAAdABoAGUAIABnAHIAbwB3AGkAbgBnACAAcABlAHIAaQBvAGQAXAAiACkAOwBcAG4AXABuAFMAbwB1AHIAYwBlAEQAYQB0AGEAXwBSAGkAYwBlAEMAdQBsAHQAaQB2AGEAdABpAG8AbgBfAFcAYQB0AGUAcgBTAGMAYQBsAGkAbgBnAEYAYQBjAHQAbwByAFAAcgBlAFMAZQBhAHMAbwBuAF8AVgBhAHIAaQBhAGIAbABlAFwAbgAgACAAPQBMAEEATQBCAEQAQQAoAFwAIgBTAEYAcABcACIAKQA7AFwAbgBcAG4AUwBvAHUAcgBjAGUARABhAHQAYQBfAFIAaQBjAGUAQwB1AGwAdABpAHYAYQB0AGkAbwBuAF8AVwBhAHQAZQByAFMAYwBhAGwAaQBuAGcARgBhAGMAdABvAHIAUAByAGUAUwBlAGEAcwBvAG4AXwBVAG4AaQB0AFwAbgAgACAAPQBMAEEATQBCAEQAQQAoAFwAIgBmAHIAYQBjAHQAaQBvAG4AXAAiACkAOwBcAG4AXABuAFMAbwB1AHIAYwBlAEQAYQB0AGEAXwBSAGkAYwBlAEMAdQBsAHQAaQB2AGEAdABpAG8AbgBfAFcAYQB0AGUAcgBTAGMAYQBsAGkAbgBnAEYAYQBjAHQAbwByAFAAcgBlAFMAZQBhAHMAbwBuAF8AUwBvAHUAcgBjAGUAXABuACAAIAA9AEwAQQBNAEIARABBACgAXAAiAFYARQBFAFIARwAgADIAMAAyADYAOgAgAFQAYQBiAGwAZQAgAEEALgAyAC4AMwAuADIAXAAiACkAOwBcAG4AXABuAFMAbwB1AHIAYwBlAEQAYQB0AGEAXwBSAGkAYwBlAEMAdQBsAHQAaQB2AGEAdABpAG8AbgBfAFcAYQB0AGUAcgBTAGMAYQBsAGkAbgBnAEYAYQBjAHQAbwByAFAAcgBlAFMAZQBhAHMAbwBuAF8AVgBhAHIAaQBhAHQAaQBvAG4AXABuACAAIAA9AEwAQQBNAEIARABBACgAXAAiAFwAIgApADsAXABuAFwAbgBTAG8AdQByAGMAZQBEAGEAdABhAF8AUgBpAGMAZQBDAHUAbAB0AGkAdgBhAHQAaQBvAG4AXwBXAGEAdABlAHIAUwBjAGEAbABpAG4AZwBGAGEAYwB0AG8AcgBQAHIAZQBTAGUAYQBzAG8AbgBfAEQAYQB0AGEAXABuACAAIAA9AEwAQQBNAEIARABBACgAXABuACAAIAAgACAATQBBAEsARQBBAFIAUgBBAFkAKAA1ACwAIAAyACwAIABcAG4AIAAgACAAIAAgACAATABBAE0AQgBEAEEAKAByACwAYwAsACAAXABuACAAIAAgACAAIAAgACAAIABJAE4ARABFAFgAKAB7AFwAbgAgACAAIAAgACAAIAAgACAAIAAgAFwAIgBXAGEAdABlAHIAIAByAGUAZwBpAG0AZQAgAHAAcgBpAG8AcgAgAHQAbwAgAGMAdQBsAHQAaQB2AGEAdABpAG8AbgAgAHAAZQByAGkAbwBkACAAcABcACIALAAgAFwAIgBTAEYAcABcACIAOwBcAG4AIAAgACAAIAAgACAAIAAgACAAIABcACIATgBvAG4AIABmAGwAbwBvAGQAZQBkACAAcAByAGUALQBzAGUAYQBzAG8AbgAgAFwAdQAwADAAMwBjADEAOAAwACAAZABhAHkAcwBcACIALAAgADEAOwBcAG4AIAAgACAAIAAgACAAIAAgACAAIABcACIATgBvAG4AIABmAGwAbwBvAGQAZQBkACAAcAByAGUALQBzAGUAYQBzAG8AbgAgAFwAdQAwADAAMwBlADEAOAAwACAAZABhAHkAcwBcACIALAAgADAALgA4ADkAOwBcAG4AIAAgACAAIAAgACAAIAAgACAAIABcACIARgBsAG8AbwBkAGUAZAAgAHAAcgBlAC0AcwBlAGEAcwBvAG4AIABcAHUAMAAwADMAZQAzADAAIABkAGEAeQBzAFwAIgAsACAAMgAuADQAMQA7AFwAbgAgACAAIAAgACAAIAAgACAAIAAgAFwAIgBOAG8AbgAtAGYAbABvAG8AZABlAGQAIABwAHIAZQAtAHMAZQBhAHMAbwBuACAAXAB1ADAAMAAzAGUAMwA2ADUAIABkAGEAeQBzAFwAIgAsACAAMAAuADUAO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8AcgBnAGEAbgBpAGMAQQBtAGUAbgBkAG0AZQBuAHQAQwBvAG4AdgBlAHIAcwBpAG8AbgBGAGEAYwB0AG8AcgBcAG4ALQAtAC0ALQAtAC0ALQAtAC0ALQAtAC0ALQAtAC0ALQAtAC0ALQAtAC0ALQAtAC0ALQAtAC0ALQAtAC0ALQAtAC0ALQAtAC0ALQAtAFwAbgAqAC8AXABuAFwAbgBTAG8AdQByAGMAZQBEAGEAdABhAF8AUgBpAGMAZQBDAHUAbAB0AGkAdgBhAHQAaQBvAG4AXwBPAHIAZwBhAG4AaQBjAEEAbQBlAG4AZABtAGUAbgB0AEMAbwBuAHYAZQByAHMAaQBvAG4ARgBhAGMAdABvAHIAXwBUAGkAdABsAGUAXABuACAAIAA9AEwAQQBNAEIARABBACgAXAAiAEMAbwBuAHYAZQByAHMAaQBvAG4AIABmAGEAYwB0AG8AcgAgAGYAbwByACAAbwByAGcAYQBuAGkAYwAgAGEAbQBlAG4AZABtAGUAbgB0ACAAaQBcACIAKQA7AFwAbgBcAG4AUwBvAHUAcgBjAGUARABhAHQAYQBfAFIAaQBjAGUAQwB1AGwAdABpAHYAYQB0AGkAbwBuAF8ATwByAGcAYQBuAGkAYwBBAG0AZQBuAGQAbQBlAG4AdABDAG8AbgB2AGUAcgBzAGkAbwBuAEYAYQBjAHQAbwByAF8AVgBhAHIAaQBhAGIAbABlAFwAbgAgACAAPQBMAEEATQBCAEQAQQAoAFwAIgBDAEYATwBBAGkAXAAiACkAOwBcAG4AXABuAFMAbwB1AHIAYwBlAEQAYQB0AGEAXwBSAGkAYwBlAEMAdQBsAHQAaQB2AGEAdABpAG8AbgBfAE8AcgBnAGEAbgBpAGMAQQBtAGUAbgBkAG0AZQBuAHQAQwBvAG4AdgBlAHIAcwBpAG8AbgBGAGEAYwB0AG8AcgBfAFUAbgBpAHQAXABuACAAIAA9AEwAQQBNAEIARABBACgAXAAiAGYAcgBhAGMAdABpAG8AbgBcACIAKQA7AFwAbgBcAG4AUwBvAHUAcgBjAGUARABhAHQAYQBfAFIAaQBjAGUAQwB1AGwAdABpAHYAYQB0AGkAbwBuAF8ATwByAGcAYQBuAGkAYwBBAG0AZQBuAGQAbQBlAG4AdABDAG8AbgB2AGUAcgBzAGkAbwBuAEYAYQBjAHQAbwByAF8AUwBvAHUAcgBjAGUAXABuACAAIAA9AEwAQQBNAEIARABBACgAXAAiAFYARQBFAFIARwAgADIAMAAyADYAOgAgAFQAYQBiAGwAZQAgAEEALgAyAC4AMwAuADMAXAAiACkAOwBcAG4AXABuAFMAbwB1AHIAYwBlAEQAYQB0AGEAXwBSAGkAYwBlAEMAdQBsAHQAaQB2AGEAdABpAG8AbgBfAE8AcgBnAGEAbgBpAGMAQQBtAGUAbgBkAG0AZQBuAHQAQwBvAG4AdgBlAHIAcwBpAG8AbgBGAGEAYwB0AG8AcgBfAFYAYQByAGkAYQB0AGkAbwBuAFwAbg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XABuACAAIAAgACAAIAAgACAAIAB9ACwAIAByACwAIABjACkAXABuACAAIAAgACAAIAAgACkAXABuACAAIAAgACAAKQBcAG4AIAAgACkAOwBcAG4AXABuAFMAbwB1AHIAYwBlAEQAYQB0AGEAXwBSAGkAYwBlAEMAdQBsAHQAaQB2AGEAdABpAG8AbgBfAE8AcgBnAGEAbgBpAGMAQQBtAGUAbgBkAG0AZQBuAHQAQwBvAG4AdgBlAHIAcwBpAG8AbgBGAGEAYwB0AG8AcgBfAEQAYQB0AGEAXABuACAAIAA9AEwAQQBNAEIARABBACgAXABuACAAIAAgACAATQBBAEsARQBBAFIAUgBBAFkAKAA3ACwAIAAyACwAIABcAG4AIAAgACAAIAAgACAATABBAE0AQgBEAEEAKAByACwAYwAsACAAXABuACAAIAAgACAAIAAgACAAIABJAE4ARABFAFgAKAB7AFwAbgAgACAAIAAgACAAIAAgACAAIAAgAFwAIgBPAHIAZwBhAG4AaQBjACAAYQBtAGUAbgBkAG0AZQBuAHQAIABpAFwAIgAsACAAXAAiAEMARgBPAEEAaQBcACIAOwBcAG4AIAAgACAAIAAgACAAIAAgACAAIABcACIAUwB0AHIAYQB3ACAAaQBuAGMAbwByAHAAbwByAGEAdABlAGQAIABzAGgAbwByAHQAbAB5ACAAKABcAHUAMAAwADMAYwAzADAAIABkAGEAeQBzACkAIABiAGUAZgBvAHIAZQAgAGMAdQBsAHQAaQB2AGEAdABpAG8AbgBcACIALAAgADEALgAwADAAOwBcAG4AIAAgACAAIAAgACAAIAAgACAAIABcACIAUwB0AHIAYQB3ACAAaQBuAGMAbwByAHAAbwByAGEAdABlAGQAIABsAG8AbgBnACAAKABcAHUAMAAwADMAZQAzADAAIABkAGEAeQBzACkAIABiAGUAZgBvAHIAZQAgAGMAdQBsAHQAaQB2AGEAdABpAG8AbgBcACIALAAgADAALgAxADkAOwBcAG4AIAAgACAAIAAgACAAIAAgACAAIABcACIAQwBvAG0AcABvAHMAdABcACIALAAgADAALgAxADcAOwBcAG4AIAAgACAAIAAgACAAIAAgACAAIABcACIARgBhAHIAbQAgAHkAYQByAGQAIABtAGEAbgB1AHIAZQBcACIALAAgADAALgAyADEAOwBcAG4AIAAgACAAIAAgACAAIAAgACAAIABcACIARwByAGUAZQBuACAAbQBhAG4AdQByAGUAXAAiACwAIAAwAC4ANAA1ADsAXABuACAAIAAgACAAIAAgACAAIAAgACAAXAAiAEkAbgBvAHIAZwBhAG4AaQBjACAAZgBlAHIAdABpAGwAaQBzAGUAcgBcACIALAAgADEAXABuACAAIAAgACAAIAAgACAAIAB9ACwAIAByACwAIABjACkAXABuACAAIAAgACAAIAAgACkAXABuACAAIAAgACAAKQBcAG4AIAAgACkAOwBcAG4AXABuAFwAbgAvACoAIABcAG4ALQAtAC0ALQAtAC0ALQAtAC0ALQAtAC0ALQAtAC0ALQAtAC0ALQAtAC0ALQAtAC0ALQAtAC0ALQAtAC0ALQAtAC0ALQAtAC0ALQAtAFwAbgBTAG8AdQByAGMAZQBEAGEAdABhAF8AUgBpAGMAZQBDAHUAbAB0AGkAdgBhAHQAaQBvAG4AXwBCAGEAcwBlAGwAaQBuAGUARQBGAFwAbgAtAC0ALQAtAC0ALQAtAC0ALQAtAC0ALQAtAC0ALQAtAC0ALQAtAC0ALQAtAC0ALQAtAC0ALQAtAC0ALQAtAC0ALQAtAC0ALQAtAC0AXABuACoALwBcAG4AXABuAFMAbwB1AHIAYwBlAEQAYQB0AGEAXwBSAGkAYwBlAEMAdQBsAHQAaQB2AGEAdABpAG8AbgBfAEIAYQBzAGUAbABpAG4AZQBFAEYAXwBUAGkAdABsAGUAXABuACAAIAA9AEwAQQBNAEIARABBACgAXAAiAEIAYQBzAGUAbABpAG4AZQAgAGUAbQBpAHMAcwBpAG8AbgAgAGYAYQBjAHQAbwByACAAZgBvAHIAIABjAG8AbgB0AGkAbgB1AG8AdQBzAGwAeQAgAGYAbABvAG8AZABlAGQAIABmAGkAZQBsAGQAcwAgAHcAaQB0AGgAbwB1AHQAIABvAHIAZwBhAG4AaQBjACAAYQBtAGUAbgBkAG0AZQBuAHQAcwBcACIAKQA7AFwAbgBcAG4AUwBvAHUAcgBjAGUARABhAHQAYQBfAFIAaQBjAGUAQwB1AGwAdABpAHYAYQB0AGkAbwBuAF8AQgBhAHMAZQBsAGkAbgBlAEUARgBfAFYAYQByAGkAYQBiAGwAZQBcAG4AIAAgAD0ATABBAE0AQgBEAEEAKABcACIARQBGAGMAXAAiACkAOwBcAG4AXABuAFMAbwB1AHIAYwBlAEQAYQB0AGEAXwBSAGkAYwBlAEMAdQBsAHQAaQB2AGEAdABpAG8AbgBfAEIAYQBzAGUAbABpAG4AZQBFAEYAXwBVAG4AaQB0AFwAbgAgACAAPQBMAEEATQBCAEQAQQAoAFwAIgBrAGcAIABDAEgANAAgAC8AIABoAGEAIAAvACAAZABhAHkAXAAiACkAOwBcAG4AXABuAFMAbwB1AHIAYwBlAEQAYQB0AGEAXwBSAGkAYwBlAEMAdQBsAHQAaQB2AGEAdABpAG8AbgBfAEIAYQBzAGUAbABpAG4AZQBFAEYAXwBTAG8AdQByAGMAZQBcAG4AIAAgAD0ATABBAE0AQgBEAEEAKABcACIAVgBFAEUAUgBHACAAMgAwADIANgA6ACAANwAuADIALgAzACAAQwBvAG4AcwB0AGEAbgB0ACAAUABhAHIAYQBtAGUAdABlAHIAcwBcACIAKQA7AFwAbgBcAG4AUwBvAHUAcgBjAGUARABhAHQAYQBfAFIAaQBjAGUAQwB1AGwAdABpAHYAYQB0AGkAbwBuAF8AQgBhAHMAZQBsAGkAbgBlAEUARgBfAFYAYQByAGkAYQB0AGkAbwBuAFwAbgAgACAAPQBMAEEATQBCAEQAQQAoAFwAIgBcACIAKQA7AFwAbgBcAG4AUwBvAHUAcgBjAGUARABhAHQAYQBfAFIAaQBjAGUAQwB1AGwAdABpAHYAYQB0AGkAbwBuAF8AQgBhAHMAZQBsAGkAbgBlAEUARgBfAEQAYQB0AGEAXABuACAAIAA9AEwAQQBNAEIARABBACgAMQAuADEAOQApADsAIgB9ACwAewAiAHAAYQB0AGgAIgA6ACIALwBwAHIAbwBqAGUAYwB0AHMALwBSAGkAYwBlAEMAdQBsAHQAaQB2AGE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3AC4AMQA6ACAAUgBpAGMAZQAgAEMAdQBsAHQAaQB2AGEAdABpAG8AbgBcAG4APQA9AD0APQA9AD0APQA9AD0APQA9AD0APQA9AD0APQA9AD0APQA9AD0APQA9AD0APQA9AD0APQA9AD0APQA9AD0APQA9AD0APQA9AD0APQA9AD0APQA9AD0APQA9AD0APQA9AD0APQA9AD0APQA9AD0APQA9AD0APQA9AD0APQA9AD0APQA9AD0APQA9AD0APQA9AD0APQBcAG4ANwAuADEALgAxAC4AMQAgAE0AZQB0AGgAbwBkACAAMQAgAC0AIABSAGkAYwBlACAAQwB1AGwAdABpAHYAYQB0AGkAbwBuACAAQwBIADQ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cAXwAxAF8AMQBfADEAXwBfADEAXwBNAGUAdABoAGEAbgBlAEUAbQBpAHMAcwBpAG8AbgBzAEYAcgBvAG0AUgBpAGMAZQBDAHUAbAB0AGkAdgBhAHQAaQBvAG4AXABuAE0AZQB0AGgAYQBuAGUAIABlAG0AaQBzAHMAaQBvAG4AcwAgAGYAcgBvAG0AIAByAGkAYwBlACAAYwB1AGwAdABpAHYAYQB0AGkAbwBuAFwAbgBFAF8AcgBpAGMAZQBcAG4AdAAgAEMASAA0AFwAbgBFAF8AewByAGkAYwBlAH0APQBcAFwAcwB1AG0AXwB3AFwAXABzAHUAbQBfAHAAXABcAHMAdQBtAF8AbwAoAEEAXwB7AHIAaQBjAGUALAB3AHAAbwB9AFwAXAB0AGkAbQBlAHMAIABFAEYAXwB7AHIAaQBjAGUALAB3AHAAbwB9AFwAXAB0AGkAbQBlAHMAIAB0AF8AewByAGkAYwBlACwAdwBwAG8AfQApAFwAXAB0AGkAbQBlAHMAIAAxADAAXgB7AC0AMwB9AFwAbgBBAF8AcgBpAGMAZQB3AHAAbwAgAD0AIA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AgACgAaABhACkAXABuAEUARgBfAHIAaQBjAGUAdwBwAG8AIAA9ACAAZQBtAGkAcwBzAGkAbwBuACAAZgBhAGMAdABvAHIAIABmAG8AcgAgAHIAaQBjAGUAIABjAHUAbAB0AGkAdgBhAHQAaQBvAG4AIAB1AG4AZABlAHIAIABjAG8AbgBkAGkAdABpAG8AbgBzACAAdwAsACAAcAAsACAAYQBuAGQAIABvACAAKABrAGcAIABDAEgANAAvAGgAYQAvAGQAYQB5ACkAXABuAHQAXwByAGkAYwBlAHcAcABvACAAPQAgAGMAdQBsAHQAaQB2AGEAdABpAG8AbgAgAHAAZQByAGkAbwBkACAAZgBvAHIAIAByAGkAYwBlACAAdQBuAGQAZQByACAAYwBvAG4AZABpAHQAaQBvAG4AcwAgAHcALAAgAHAALAAgAGEAbgBkACAAbwAgACgAZABhAHkAcwApAFwAbgAtAC0ALQAtAC0ALQAtAC0ALQAtAC0ALQAtAC0ALQAtAC0ALQAtAC0ALQAtAC0ALQAtAC0ALQAtAC0ALQAtAC0ALQAtAC0ALQAtAC0AXABuACoALwBcAG4AXABuAFYARQBFAFIARwBfADcAXwAxAF8AMQBfADEAXwBfADEAXwBNAGUAdABoAGEAbgBlAEUAbQBpAHMAcwBpAG8AbgBzAEYAcgBvAG0AUgBpAGMAZQBDAHUAbAB0AGkAdgBhAHQAaQBvAG4AXABuACAAIAA9AEwAQQBNAEIARABBACgAXABuACAAIAAgACAAQQBfAHIAaQBjAGUAdwBwAG8ALAAgAEUARgBfAHIAaQBjAGUAdwBwAG8ALAAgAHQAXwByAGkAYwBlAHcAcABvACwAXABuACAAIAAgACAAUwBVAE0AKABBAF8AcgBpAGMAZQB3AHAAbwAgACoAIABFAEYAXwByAGkAYwBlAHcAcABvACAAKgAgAHQAXwByAGkAYwBlAHcAcABvACkAIAAqACAAMQAwACAAXgAgAC0AMwBcAG4AIAAgACkAOwBcAG4AXABuAFYARQBFAFIARwBfADcAXwAxAF8AMQBfADEAXwBfADEAXwBNAGUAdABoAGEAbgBlAEUAbQBpAHMAcwBpAG8AbgBzAEYAcgBvAG0AUgBpAGMAZQBDAHUAbAB0AGkAdgBhAHQAaQBvAG4AXwBUAGkAdABsAGUAXABuACAAIAA9AEwAQQBNAEIARABBACgAXAAiAE0AZQB0AGgAYQBuAGUAIABlAG0AaQBzAHMAaQBvAG4AcwAgAGYAcgBvAG0AIAByAGkAYwBlACAAYwB1AGwAdABpAHYAYQB0AGkAbwBuAFwAIgApADsAXABuAFwAbgBWAEUARQBSAEcAXwA3AF8AMQBfADEAXwAxAF8AXwAxAF8ATQBlAHQAaABhAG4AZQBFAG0AaQBzAHMAaQBvAG4AcwBGAHIAbwBtAFIAaQBjAGUAQwB1AGwAdABpAHYAYQB0AGkAbwBuAF8AVgBhAHIAaQBhAGIAbABlAFwAbgAgACAAPQBMAEEATQBCAEQAQQAoAFwAIgBFAF8AcgBpAGMAZQBcACIAKQA7AFwAbgBcAG4AVgBFAEUAUgBHAF8ANwBfADEAXwAxAF8AMQBfAF8AMQBfAE0AZQB0AGgAYQBuAGUARQBtAGkAcwBzAGkAbwBuAHMARgByAG8AbQBSAGkAYwBlAEMAdQBsAHQAaQB2AGEAdABpAG8AbgBfAFUAbgBpAHQAXABuACAAIAA9AEwAQQBNAEIARABBACgAXAAiAHQAIABDAEgANABcACIAKQA7AFwAbgBcAG4AVgBFAEUAUgBHAF8ANwBfADEAXwAxAF8AMQBfAF8AMQBfAE0AZQB0AGgAYQBuAGUARQBtAGkAcwBzAGkAbwBuAHMARgByAG8AbQBSAGkAYwBlAEMAdQBsAHQAaQB2AGEAdABpAG8AbgBfAFMAbwB1AHIAYwBlAFwAbgAgACAAPQBMAEEATQBCAEQAQQAoAFwAIgBWAEUARQBSAEcAIAAyADAAMgA2ADoAIAA3AC4AMQAuADEALgAxACwAIABFAHEAdQBhAHQAaQBvAG4AIAAoADEAKQBcACIAKQA7AFwAbgBcAG4AVgBFAEUAUgBHAF8ANwBfADEAXwAxAF8AMQBfAF8AMQBfAE0AZQB0AGgAYQBuAGUARQBtAGkAcwBzAGkAbwBuAHMARgByAG8AbQBSAGkAYwBlAEMAdQBsAHQAaQB2AGEAdABpAG8AbgBfAE4ASQBSAFIAZQBmAGUAcgBlAG4AYwBlAFwAbgAgACAAPQBMAEEATQBCAEQAQQAoAFwAIgBcACIAKQA7AFwAbgBcAG4AVgBFAEUAUgBHAF8ANwBfADEAXwAxAF8AMQBfAF8AMQBfAE0AZQB0AGgAYQBuAGUARQBtAGkAcwBzAGkAbwBuAHMARgByAG8AbQBSAGkAYwBlAEMAdQBsAHQAaQB2AGEAdABpAG8AbgBfAEwAYQB0AGUAeABFAHEAdQBhAHQAaQBvAG4AXABuACAAIAA9AEwAQQBNAEIARABBACgAXAAiAEUAXwB7AHIAaQBjAGUAfQA9AFwAXABzAHUAbQBfAHcAXABcAHMAdQBtAF8AcABcAFwAcwB1AG0AXwBvACgAQQBfAHsAcgBpAGMAZQAsAHcAcABvAH0AXABcAHQAaQBtAGUAcwAgAEUARgBfAHsAcgBpAGMAZQAsAHcAcABvAH0AXABcAHQAaQBtAGUAcwAgAHQAXwB7AHIAaQBjAGUALAB3AHAAbwB9ACkAXABcAHQAaQBtAGUAcwAgADEAMABeAHsALQAzAH0AXAAiACkAOwBcAG4AXABuAFYARQBFAFIARwBfADcAXwAxAF8AMQBfADEAXwBfADEAXwBNAGUAdABoAGEAbgBlAEUAbQBpAHMAcwBpAG8AbgBzAEYAcgBvAG0AUgBpAGMAZQBDAHUAbAB0AGkAdgBhAHQAaQBvAG4AXwBBAHIAZwB1AG0AZQBuAHQAcwBcAG4AIAAgAD0ATABBAE0AQgBEAEEAKABcAG4AIAAgACAAIABNAEEASwBFAEEAUgBSAEEAWQAoADQALAAgADQALABcAG4AIAAgACAAIAAgACAATABBAE0AQgBEAEEAKAByACwAYwAsAFwAbgAgACAAIAAgACAAIAAgACAASQBOAEQARQBYACgAewBcAG4AIAAgACAAIAAgACAAIAAgACAAIABcACIAQQBfAHIAaQBjAGUAdwBwAG8AXAAiACwAIABcACIAYQBuAG4AdQBhAGwAIABhAHIAZQBhACAAbwBmACAAcgBpAGMAZQAgAGMAdQBsAHQAaQB2AGEAdABpAG8AbgAgAHUAbgBkAGUAcgAgAHcAYQB0AGUAcgAgAHIAZQBnAGkAbQBlACAAdwAsACAAcAByAGUALQBzAGUAYQBzAG8AbgAgAHcAYQB0AGUAcgAgAHIAZQBnAGkAbQBlACAAcAAsACAAYQBuAGQAIABvAHIAZwBhAG4AaQBjACAAYQBtAGUAbgBkAG0AZQBuAHQAIABjAG8AbgBkAGkAdABpAG8AbgAgAG8AXAAiACwAIABcACIAaABhAFwAIgAsACAAXAAiAEkAbgBwAHUAdABcACIAOwBcAG4AIAAgACAAIAAgACAAIAAgACAAIABcACIARQBGAF8AcgBpAGMAZQB3AHAAbwBcACIALAAgAFwAIgBlAG0AaQBzAHMAaQBvAG4AIABmAGEAYwB0AG8AcgAgAGYAbwByACAAcgBpAGMAZQAgAGMAdQBsAHQAaQB2AGEAdABpAG8AbgAgAHUAbgBkAGUAcgAgAGMAbwBuAGQAaQB0AGkAbwBuAHMAIAB3ACwAIABwACwAIABhAG4AZAAgAG8AXAAiACwAIABcACIAawBnACAAQwBIADQALwBoAGEALwBkAGEAeQBcACIALAAgAFwAIgBDAGEAbABjAHUAbABhAHQAZQBkACAAZgByAG8AbQAgADcALgAxAC4AMQAuADEALAAgACgAMgApAFwAIgA7AFwAbgAgACAAIAAgACAAIAAgACAAIAAgAFwAIgB0AF8AcgBpAGMAZQB3AHAAbwBcACIALAAgAFwAIgBjAHUAbAB0AGkAdgBhAHQAaQBvAG4AIABwAGUAcgBpAG8AZAAgAGYAbwByACAAcgBpAGMAZQAgAHUAbgBkAGUAcgAgAGMAbwBuAGQAaQB0AGkAbwBuAHMAIAB3ACwAIABwACwAIABhAG4AZAAgAG8AXAAiACwAIABcACIAZABhAHkAcwBcACIALAAgAFwAIgBJAG4AcAB1AHQAXAAiADsAXABuACAAIAAgACAAIAAgACAAIAAgACAAXAAiAHMAXAAiACwAIABcACIAbgB1AG0AYgBlAHIAIABvAGYAIABjAHIAbwBwAHAAaQBuAGcAIABzAGUAYQBzAG8AbgBzACAAaQBuACAAcgBlAHAAbwByAHQAaQBuAGcAIABwAGUAcgBpAG8AZAAgAG0AYQBuAGEAZwBlAGQAIAB0AGgAaQBzACAAdwBhAHkAXAAiACwAIABcACIAcwBlAGEAcwBvAG4AcwBcACIALAAgAFwAIgBJAG4AcAB1AHQAXAAiAFwAbgAgACAAIAAgACAAIAAgACAAfQAsACAAcgAsACAAYwApAFwAbgAgACAAIAAgACAAIAApAFwAbgAgACAAIAAgACkAXABuACAAIAApADsAXABuAFwAbgBWAEUARQBSAEcAXwA3AF8AMQBfADEAXwAxAF8AXwAxAF8ATQBlAHQAaABhAG4AZQBFAG0AaQBzAHMAaQBvAG4AcwBGAHIAbwBtAFIAaQBjAGUAQwB1AGwAdABpAHYAYQB0AGkAbwBuAF8AVgBhAHIAaQBhAHQAaQBvAG4AXABuACAAIAA9AEwAQQBNAEIARABBACgAXAAiAEEAZABkAGUAZAAgAFwAdQAwADAAMgA3AG4AdQBtAGIAZQByACAAbwBmACAAcwBlAGEAcwBvAG4AcwBcAHUAMAAwADIANwAgAHYAYQByAGkAYQBiAGwAZQAgAGEAcwAgAHAAZQByACAAVgBFAEUAUgBHACAAZABlAHMAYwByAGkAcAB0AGkAbwBuACAAaQBuACAANwAuADIALgAxACAAXAB1ADAAMAAyADcAVwBoAGUAcgBlACAAdABoAGUAcgBlACAAaQBzACAAbQBvAHIAZQAgAHQAaABhAG4AIABvAG4AZQAgAGMAcgBvAHAAcABpAG4AZwAgAHMAZQBhAHMAbwBuACAAcABlAHIAIAB5AGUAYQByACwAIABBAHIAaQBjAGUALAB3AHAAbwAgAHMAaABhAGwAbAAgAGIAZQAgAHMAYwBhAGwAZQBkACAAYQBjAGMAbwByAGQAaQBuAGcAbAB5AFwAdQAwADAAMgA3AFwAIgApADsAXABuAFwAbgAvACoAXABuAC0ALQAtAC0ALQAtAC0ALQAtAC0ALQAtAC0ALQAtAC0ALQAtAC0ALQAtAC0ALQAtAC0ALQAtAC0ALQAtAC0ALQAtAC0ALQAtAC0ALQBcAG4AVgBFAEUAUgBHAF8ANwBfADEAXwAxAF8AMQBfAF8AMgBfAEUAbQBpAHMAcwBpAG8AbgBGAGEAYwB0AG8AcgBGAG8AcgBSAGkAYwBlAEMAdQBsAHQAaQB2AGEAdABpAG8AbgBcAG4ARQBtAGkAcwBzAGkAbwBuACAAZgBhAGMAdABvAHIAIABmAG8AcgAgAHIAaQBjAGUAIABjAHUAbAB0AGkAdgBhAHQAaQBvAG4AXABuAEUARgBfAHIAaQBjAGUAdwBwAG8AXABuAGsAZwAgAEMASAA0AC8AaABhAC8AZABhAHkAXABuAEUARgBfAHsAcgBpAGMAZQAsAHcAcABvAH0APQBFAEYAXwBjAFwAXAB0AGkAbQBlAHMAIABTAEYAXwB3AFwAXAB0AGkAbQBlAHMAIABTAEYAXwBwAFwAXAB0AGkAbQBlAHMAIABTAEYAXwBvAFwAbgBFAEYAXwBjACAAPQAgAGIAYQBzAGUAbABpAG4AZQAgAGUAbQBpAHMAcwBpAG8AbgAgAGYAYQBjAHQAbwByACAAZgBvAHIAIABjAG8AbgB0AGkAbgB1AG8AdQBzAGwAeQAgAGYAbABvAG8AZABlAGQAIABmAGkAZQBsAGQAcwAgAHcAaQB0AGgAbwB1AHQAIABvAHIAZwBhAG4AaQBjACAAYQBtAGUAbgBkAG0AZQBuAHQAcwAgACgAawBnACAAQwBIADQALwBoAGEALwBkAGEAeQApAFwAbgBTAEYAXwB3ACAAPQAgAHMAYwBhAGwAaQBuAGcAIABmAGEAYwB0AG8AcgAgAGYAbwByACAAdwBhAHQAZQByACAAcgBlAGcAaQBtAGUAIABkAHUAcgBpAG4AZwAgAHQAaABlACAAZwByAG8AdwBpAG4AZwAgAHMAZQBhAHMAbwBuAFwAbgBTAEYAXwBwACAAPQAgAHMAYwBhAGwAaQBuAGcAIABmAGEAYwB0AG8AcgAgAGYAbwByACAAdwBhAHQAZQByACAAcgBlAGcAaQBtAGUAIABpAG4AIAB0AGgAZQAgAHAAcgBlAC0AcwBlAGEAcwBvAG4AXABuAFMARgBfAG8AIAA9ACAAcwBjAGEAbABpAG4AZwAgAGYAYQBjAHQAbwByACAAZgBvAHIAIAB0AHkAcABlACAAYQBuAGQAIABhAG0AbwB1AG4AdAAgAG8AZgAgAG8AcgBnAGEAbgBpAGMAIABhAG0AZQBuAGQAbQBlAG4AdABzACAAKABzAGUAdAAgAHQAbwAgADEAIABmAG8AcgAgAGkAbgBvAHIAZwBhAG4AaQBjACAAZgBlAHIAdABpAGwAaQBzAGUAcgAgAHUAcwBlACkAXABuAC0ALQAtAC0ALQAtAC0ALQAtAC0ALQAtAC0ALQAtAC0ALQAtAC0ALQAtAC0ALQAtAC0ALQAtAC0ALQAtAC0ALQAtAC0ALQAtAC0ALQBcAG4AKgAvAFwAbgBcAG4AVgBFAEUAUgBHAF8ANwBfADEAXwAxAF8AMQBfAF8AMgBfAEUAbQBpAHMAcwBpAG8AbgBGAGEAYwB0AG8AcgBGAG8AcgBSAGkAYwBlAEMAdQBsAHQAaQB2AGEAdABpAG8AbgBcAG4AIAAgAD0ATABBAE0AQgBEAEEAKABcAG4AIAAgACAAIABFAEYAXwBjACwAIABTAEYAXwB3ACwAIABTAEYAXwBwACwAIABTAEYAXwBvACwAXABuACAAIAAgACAARQBGAF8AYwAgACoAIABTAEYAXwB3ACAAKgAgAFMARgBfAHAAIAAqACAAUwBGAF8AbwBcAG4AIAAgACkAOwBcAG4AXABuAFYARQBFAFIARwBfADcAXwAxAF8AMQBfADEAXwBfADIAXwBFAG0AaQBzAHMAaQBvAG4ARgBhAGMAdABvAHIARgBvAHIAUgBpAGMAZQBDAHUAbAB0AGkAdgBhAHQAaQBvAG4AXwBUAGkAdABsAGUAXABuACAAIAA9AEwAQQBNAEIARABBACgAXAAiAEUAbQBpAHMAcwBpAG8AbgAgAGYAYQBjAHQAbwByACAAZgBvAHIAIAByAGkAYwBlACAAYwB1AGwAdABpAHYAYQB0AGkAbwBuAFwAIgApADsAXABuAFwAbgBWAEUARQBSAEcAXwA3AF8AMQBfADEAXwAxAF8AXwAyAF8ARQBtAGkAcwBzAGkAbwBuAEYAYQBjAHQAbwByAEYAbwByAFIAaQBjAGUAQwB1AGwAdABpAHYAYQB0AGkAbwBuAF8AVgBhAHIAaQBhAGIAbABlAFwAbgAgACAAPQBMAEEATQBCAEQAQQAoAFwAIgBFAEYAXwByAGkAYwBlAHcAcABvAFwAIgApADsAXABuAFwAbgBWAEUARQBSAEcAXwA3AF8AMQBfADEAXwAxAF8AXwAyAF8ARQBtAGkAcwBzAGkAbwBuAEYAYQBjAHQAbwByAEYAbwByAFIAaQBjAGUAQwB1AGwAdABpAHYAYQB0AGkAbwBuAF8AVQBuAGkAdABcAG4AIAAgAD0ATABBAE0AQgBEAEEAKABcACIAawBnACAAQwBIADQALwBoAGEALwBkAGEAeQBcACIAKQA7AFwAbgBcAG4AVgBFAEUAUgBHAF8ANwBfADEAXwAxAF8AMQBfAF8AMgBfAEUAbQBpAHMAcwBpAG8AbgBGAGEAYwB0AG8AcgBGAG8AcgBSAGkAYwBlAEMAdQBsAHQAaQB2AGEAdABpAG8AbgBfAFMAbwB1AHIAYwBlAFwAbgAgACAAPQBMAEEATQBCAEQAQQAoAFwAIgBWAEUARQBSAEcAIAAyADAAMgA2ADoAIAA3AC4AMQAuADEALgAxACwAIABFAHEAdQBhAHQAaQBvAG4AIAAoADIAKQBcACIAKQA7AFwAbgBcAG4AVgBFAEUAUgBHAF8ANwBfADEAXwAxAF8AMQBfAF8AMgBfAEUAbQBpAHMAcwBpAG8AbgBGAGEAYwB0AG8AcgBGAG8AcgBSAGkAYwBlAEMAdQBsAHQAaQB2AGEAdABpAG8AbgBfAE4ASQBSAFIAZQBmAGUAcgBlAG4AYwBlAFwAbgAgACAAPQBMAEEATQBCAEQAQQAoAFwAIgBcACIAKQA7AFwAbgBcAG4AVgBFAEUAUgBHAF8ANwBfADEAXwAxAF8AMQBfAF8AMgBfAEUAbQBpAHMAcwBpAG8AbgBGAGEAYwB0AG8AcgBGAG8AcgBSAGkAYwBlAEMAdQBsAHQAaQB2AGEAdABpAG8AbgBfAEwAYQB0AGUAeABFAHEAdQBhAHQAaQBvAG4AXABuACAAIAA9AEwAQQBNAEIARABBACgAXAAiAEUARgBfAHsAcgBpAGMAZQAsAHcAcABvAH0APQBFAEYAXwBjAFwAXAB0AGkAbQBlAHMAIABTAEYAXwB3AFwAXAB0AGkAbQBlAHMAIABTAEYAXwBwAFwAXAB0AGkAbQBlAHMAIABTAEYAXwBvAFwAIgApADsAXABuAFwAbgBWAEUARQBSAEcAXwA3AF8AMQBfADEAXwAxAF8AXwAyAF8ARQBtAGkAcwBzAGkAbwBuAEYAYQBjAHQAbwByAEYAbwByAFIAaQBjAGUAQwB1AGwAdABpAHYAYQB0AGkAbwBuAF8AQQByAGcAdQBtAGUAbgB0AHMAXABuACAAIAA9AEwAQQBNAEIARABBACgAXABuACAAIAAgACAATQBBAEsARQBBAFIAUgBBAFkAKAA3ACwAIAA0ACwAXABuACAAIAAgACAAIAAgAEwAQQBNAEIARABBACgAcgAsAGMALABcAG4AIAAgACAAIAAgACAAIAAgAEkATgBEAEUAWAAoAHsAXABuACAAIAAgACAAIAAgACAAIAAgACAAXAAiAEUARgBfAGMAXAAiACwAIABcACIAYgBhAHMAZQBsAGkAbgBlACAAZQBtAGkAcwBzAGkAbwBuACAAZgBhAGMAdABvAHIAIABmAG8AcgAgAGMAbwBuAHQAaQBuAHUAbwB1AHMAbAB5ACAAZgBsAG8AbwBkAGUAZAAgAGYAaQBlAGwAZABzACAAdwBpAHQAaABvAHUAdAAgAG8AcgBnAGEAbgBpAGMAIABhAG0AZQBuAGQAbQBlAG4AdABzAFwAIgAsACAAXAAiAGsAZwAgAEMASAA0AC8AaABhAC8AZABhAHkAXAAiACwAIABcACIAQwBvAG4AcwB0AGEAbgB0AFwAIgA7AFwAbgAgACAAIAAgACAAIAAgACAAIAAgAFwAIgBTAEYAXwB3AFwAIgAsACAAXAAiAHMAYwBhAGwAaQBuAGcAIABmAGEAYwB0AG8AcgAgAGYAbwByACAAdwBhAHQAZQByACAAcgBlAGcAaQBtAGUAIABkAHUAcgBpAG4AZwAgAHQAaABlACAAZwByAG8AdwBpAG4AZwAgAHMAZQBhAHMAbwBuAFwAIgAsACAAXAAiAGYAcgBhAGMAdABpAG8AbgBcACIALAAgAFwAIgBDAG8AbgBzAHQAYQBuAHQAXAAiADsAXABuACAAIAAgACAAIAAgACAAIAAgACAAXAAiAFMARgBfAHAAXAAiACwAIABcACIAcwBjAGEAbABpAG4AZwAgAGYAYQBjAHQAbwByACAAZgBvAHIAIAB3AGEAdABlAHIAIAByAGUAZwBpAG0AZQAgAGkAbgAgAHQAaABlACAAcAByAGUALQBzAGUAYQBzAG8AbgBcACIALAAgAFwAIgBmAHIAYQBjAHQAaQBvAG4AXAAiACwAIABcACIAQwBvAG4AcwB0AGEAbgB0AFwAIgA7AFwAbgAgACAAIAAgACAAIAAgACAAIAAgAFwAIgBTAEYAXwBvAFwAIgAsACAAXAAiAHMAYwBhAGwAaQBuAGcAIABmAGEAYwB0AG8AcgAgAGYAbwByACAAdAB5AHAAZQAgAGEAbgBkACAAYQBtAG8AdQBuAHQAIABvAGYAIABvAHIAZwBhAG4AaQBjACAAYQBtAGUAbgBkAG0AZQBuAHQAcwBcACIALAAgAFwAIgBmAHIAYQBjAHQAaQBvAG4AXAAiACwAIABcACIAQwBhAGwAYwB1AGwAYQB0AGUAZAAgAGYAcgBvAG0AIAA3AC4AMQAuADEALgAxACwAIAAoADMAKQBcACIAOwBcAG4AIAAgACAAIAAgACAAIAAgACAAIABcACIAdwBcACIALAAgAFwAIgB3AGEAdABlAHIAIAByAGUAZwBpAG0AZQAgAGQAdQByAGkAbgBnACAAZwByAG8AdwBpAG4AZwAgAHMAZQBhAHMAbwBuAFwAIgAsACAAXAAiAFwAIgAsACAAXAAiAEkAbgBwAHUAdABcACIAOwBcAG4AIAAgACAAIAAgACAAIAAgACAAIABcACIAcABcACIALAAgAFwAIgBwAHIAZQAtAHMAZQBhAHMAbwBuACAAdwBhAHQAZQByACAAcgBlAGcAaQBtAGUAXAAiACwAIABcACIAXAAiACwAIABcACIASQBuAHAAdQB0AFwAIgA7AFwAbgAgACAAIAAgACAAIAAgACAAIAAgAFwAIgBvAFwAIgAsACAAXAAiAG8AcgBnAGEAbgBpAGMAIABhAG0AZQBuAGQAbQBlAG4AdA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wBfADEAXwAxAF8AMQBfAF8AMwBfAE8AcgBnAGEAbgBpAGMAQQBtAGUAbgBkAG0AZQBuAHQAcwBTAGMAYQBsAGkAbgBnAEYAYQBjAHQAbwByAFwAbgBPAHIAZwBhAG4AaQBjACAAYQBtAGUAbgBkAG0AZQBuAHQAcwAgAHMAYwBhAGwAaQBuAGcAIABmAGEAYwB0AG8AcgBcAG4AUwBGAF8AbwBcAG4AZABpAG0AZQBuAHMAaQBvAG4AbABlAHMAcwBcAG4AUwBGAF8AbwA9ACgAMQArAFwAXABzAHUAbQBfAG8AKABSAE8AQQBfAG8AXABcAHQAaQBtAGUAcwAgAEMARgBPAEEAXwBvACkAKQBeAHsAMAAuADUAOQB9AFwAbgBSAE8AQQBfAG8AIAA9ACAAYQBwAHAAbABpAGMAYQB0AGkAbwBuACAAcgBhAHQAZQAgAG8AZgAgAG8AcgBnAGEAbgBpAGMAIABhAG0AZQBuAGQAbQBlAG4AdAAgAG8AIAAoAHQAbwBuAG4AZQBzAC8AaABhACkAXABuAEMARgBPAEEAXwBvACAAPQAgAGMAbwBuAHYAZQByAHMAaQBvAG4AIABmAGEAYwB0AG8AcgAgAG8AZgAgAG8AcgBnAGEAbgBpAGMAIABhAG0AZQBuAGQAbQBlAG4AdAAgAG8AXABuAC0ALQAtAC0ALQAtAC0ALQAtAC0ALQAtAC0ALQAtAC0ALQAtAC0ALQAtAC0ALQAtAC0ALQAtAC0ALQAtAC0ALQAtAC0ALQAtAC0ALQBcAG4AKgAvAFwAbgBcAG4AVgBFAEUAUgBHAF8ANwBfADEAXwAxAF8AMQBfAF8AMwBfAE8AcgBnAGEAbgBpAGMAQQBtAGUAbgBkAG0AZQBuAHQAcwBTAGMAYQBsAGkAbgBnAEYAYQBjAHQAbwByAFwAbgAgACAAPQBMAEEATQBCAEQAQQAoAFwAbgAgACAAIAAgAFIATwBBAF8AbwAsACAAQwBGAE8AQQBfAG8ALABcAG4AIAAgACAAIAAoADEAIAArACAAUwBVAE0AKABSAE8AQQBfAG8AIAAqACAAQwBGAE8AQQBfAG8AKQApACAAXgAgADAALgA1ADkAXABuACAAIAApADsAXABuAFwAbgBWAEUARQBSAEcAXwA3AF8AMQBfADEAXwAxAF8AXwAzAF8ATwByAGcAYQBuAGkAYwBBAG0AZQBuAGQAbQBlAG4AdABzAFMAYwBhAGwAaQBuAGcARgBhAGMAdABvAHIAVgBhAHIAaQBhAHQAaQBvAG4AXABuACAAIAA9AEwAQQBNAEIARABBACgAXABuACAAIAAgACAAUgBPAEEAXwBvADEALAAgAEMARgBPAEEAXwBvADEALAAgAFIATwBBAF8AbwAyACwAIABDAEYATwBBAF8AbwAyACwAIABSAE8AQQBfAG8AMwAsACAAQwBGAE8AQQBfAG8AMwAsACAAUgBPAEEAXwBvADQALAAgAEMARgBPAEEAXwBvADQALAAgAFIATwBBAF8AbwA1ACwAIABDAEYATwBBAF8AbwA1ACwAIABSAE8AQQBfAG8ANgAsACAAQwBGAE8AQQBfAG8ANgAsAFwAbgAgACAAIAAgACgAMQAgACsAIAAoACgAUgBPAEEAXwBvADEAIAAqACAAQwBGAE8AQQBfAG8AMQApACAAKwAgACgAUgBPAEEAXwBvADIAIAAqACAAQwBGAE8AQQBfAG8AMgApACAAKwAgACgAUgBPAEEAXwBvADMAIAAqACAAQwBGAE8AQQBfAG8AMwApACsAIAAoAFIATwBBAF8AbwA0ACAAKgAgAEMARgBPAEEAXwBvADQAKQAgACsAIAAoAFIATwBBAF8AbwA1ACAAKgAgAEMARgBPAEEAXwBvADUAKQAgACsAIAAoAFIATwBBAF8AbwA2ACAAKgAgAEMARgBPAEEAXwBvADYAKQApACkAIABeACAAMAAuADUAOQBcAG4AIAAgACkAOwBcAG4AXABuAFYARQBFAFIARwBfADcAXwAxAF8AMQBfADEAXwBfADMAXwBPAHIAZwBhAG4AaQBjAEEAbQBlAG4AZABtAGUAbgB0AHMAUwBjAGEAbABpAG4AZwBGAGEAYwB0AG8AcgBfAFQAaQB0AGwAZQBcAG4AIAAgAD0ATABBAE0AQgBEAEEAKABcACIATwByAGcAYQBuAGkAYwAgAGEAbQBlAG4AZABtAGUAbgB0AHMAIABzAGMAYQBsAGkAbgBnACAAZgBhAGMAdABvAHIAXAAiACkAOwBcAG4AXABuAFYARQBFAFIARwBfADcAXwAxAF8AMQBfADEAXwBfADMAXwBPAHIAZwBhAG4AaQBjAEEAbQBlAG4AZABtAGUAbgB0AHMAUwBjAGEAbABpAG4AZwBGAGEAYwB0AG8AcgBfAFYAYQByAGkAYQBiAGwAZQBcAG4AIAAgAD0ATABBAE0AQgBEAEEAKABcACIAUwBGAF8AbwBcACIAKQA7AFwAbgBcAG4AVgBFAEUAUgBHAF8ANwBfADEAXwAxAF8AMQBfAF8AMwBfAE8AcgBnAGEAbgBpAGMAQQBtAGUAbgBkAG0AZQBuAHQAcwBTAGMAYQBsAGkAbgBnAEYAYQBjAHQAbwByAF8AVQBuAGkAdABcAG4AIAAgAD0ATABBAE0AQgBEAEEAKABcACIAZABpAG0AZQBuAHMAaQBvAG4AbABlAHMAcwBcACIAKQA7AFwAbgBcAG4AVgBFAEUAUgBHAF8ANwBfADEAXwAxAF8AMQBfAF8AMwBfAE8AcgBnAGEAbgBpAGMAQQBtAGUAbgBkAG0AZQBuAHQAcwBTAGMAYQBsAGkAbgBnAEYAYQBjAHQAbwByAF8AUwBvAHUAcgBjAGUAXABuACAAIAA9AEwAQQBNAEIARABBACgAXAAiAFYARQBFAFIARwAgADIAMAAyADYAOgAgADcALgAxAC4AMQAuADEALAAgAEUAcQB1AGEAdABpAG8AbgAgACgAMwApAFwAIgApADsAXABuAFwAbgBWAEUARQBSAEcAXwA3AF8AMQBfADEAXwAxAF8AXwAzAF8ATwByAGcAYQBuAGkAYwBBAG0AZQBuAGQAbQBlAG4AdABzAFMAYwBhAGwAaQBuAGcARgBhAGMAdABvAHIAXwBOAEkAUgBSAGUAZgBlAHIAZQBuAGMAZQBcAG4AIAAgAD0ATABBAE0AQgBEAEEAKABcACIAXAAiACkAOwBcAG4AXABuAFYARQBFAFIARwBfADcAXwAxAF8AMQBfADEAXwBfADMAXwBPAHIAZwBhAG4AaQBjAEEAbQBlAG4AZABtAGUAbgB0AHMAUwBjAGEAbABpAG4AZwBGAGEAYwB0AG8AcgBfAEwAYQB0AGUAeABFAHEAdQBhAHQAaQBvAG4AXABuACAAIAA9AEwAQQBNAEIARABBACgAXAAiAFMARgBfAG8APQAoADEAKwBcAFwAcwB1AG0AXwBvAFIATwBBAF8AbwBcAFwAdABpAG0AZQBzACAAQwBGAE8AQQBfAG8AKQBeAHsAMAAuADUAOQB9AFwAIgApADsAXABuAFwAbgBWAEUARQBSAEcAXwA3AF8AMQBfADEAXwAxAF8AXwAzAF8ATwByAGcAYQBuAGkAYwBBAG0AZQBuAGQAbQBlAG4AdABzAFMAYwBhAGwAaQBuAGcARgBhAGMAdABvAHIAXwBMAGEAdABlAHgARQBxAHUAYQB0AGkAbwBuAFYAYQByAGkAYQB0AGkAbwBuAFwAbgAgACAAPQBMAEEATQBCAEQAQQAoAFwAIgBTAEYAXwBvAD0AKAAxACsAIAAoACgAUgBPAEEAXwBvADEAXABcAHQAaQBtAGUAcwAgAEMARgBPAEEAXwBvADEAKQAgACsAIAAoAFIATwBBAF8AbwAyAFwAXAB0AGkAbQBlAHMAIABDAEYATwBBAF8AbwAyACkAIAArACAAKABSAE8AQQBfAG8AMwBcAFwAdABpAG0AZQBzACAAQwBGAE8AQQBfAG8AMwApACAAKwAgACgAUgBPAEEAXwBvADQAXABcAHQAaQBtAGUAcwAgAEMARgBPAEEAXwBvADQAKQAgACsAIAAoAFIATwBBAF8AbwA1AFwAXAB0AGkAbQBlAHMAIABDAEYATwBBAF8AbwA1ACkAIAArACAAKABSAE8AQQBfAG8ANgBcAFwAdABpAG0AZQBzACAAQwBGAE8AQQBfAG8ANgApACkAXgB7ADAALgA1ADkAfQBcACIAKQA7AFwAbgBcAG4AVgBFAEUAUgBHAF8ANwBfADEAXwAxAF8AMQBfAF8AMwBfAE8AcgBnAGEAbgBpAGMAQQBtAGUAbgBkAG0AZQBuAHQAcwBTAGMAYQBsAGkAbgBnAEYAYQBjAHQAbwByAF8AQQByAGcAdQBtAGUAbgB0AHMAXABuACAAIAA9AEwAQQBNAEIARABBACgAXABuACAAIAAgACAATQBBAEsARQBBAFIAUgBBAFkAKAAzACwAIAA0ACwAXABuACAAIAAgACAAIAAgAEwAQQBNAEIARABBACgAcgAsAGMALABcAG4AIAAgACAAIAAgACAAIAAgAEkATgBEAEUAWAAoAHsAXABuACAAIAAgACAAIAAgACAAIAAgACAAXAAiAFIATwBBAF8AbwBcACIALAAgAFwAIgBhAHAAcABsAGkAYwBhAHQAaQBvAG4AIAByAGEAdABlACAAbwBmACAAbwByAGcAYQBuAGkAYwAgAGEAbQBlAG4AZABtAGUAbgB0ACAAbwBcACIALAAgAFwAIgB0AG8AbgBuAGUAcwAvAGgAYQBcACIALAAgAFwAIgBJAG4AcAB1AHQAXAAiADsAXABuACAAIAAgACAAIAAgACAAIAAgACAAXAAiAEMARgBPAEEAXwBvAFwAIgAsACAAXAAiAGMAbwBuAHYAZQByAHMAaQBvAG4AIABmAGEAYwB0AG8AcgAgAG8AZgAgAG8AcgBnAGEAbgBpAGMAIABhAG0AZQBuAGQAbQBlAG4AdAAgAG8AXAAiACwAIABcACIAZgByAGEAYwB0AGkAbwBuAFwAIgAsACAAXAAiAEMAbwBuAHMAdABhAG4AdABcACIAOwBcAG4AIAAgACAAIAAgACAAIAAgACAAIABcACIAbwBcACIALAAgAFwAIgBvAHIAZwBhAG4AaQBjACAAYQBtAGUAbgBkAG0AZQBuAHQAIAB0AHkAcABlAFwAIgAsACAAXAAiAFwAIgAsACAAXAAiAEkAbgBwAHUAdABcACIAXABuACAAIAAgACAAIAAgACAAIAB9ACwAIAByACwAIABjACkAXABuACAAIAAgACAAIAAgACkAXABuACAAIAAgACAAKQBcAG4AIAAgACkAOwBcAG4AXABuAFYARQBFAFIARwBfADcAXwAxAF8AMQBfADEAXwBfADMAXwBPAHIAZwBhAG4AaQBjAEEAbQBlAG4AZABtAGUAbgB0AHMAUwBjAGEAbABpAG4AZwBGAGEAYwB0AG8AcgBfAFYAYQByAGkAYQB0AGkAbwBuAFwAbgAgACAAPQBMAEEATQBCAEQAQQAoAFwAbgAgACAAIAAgAE0AQQBLAEUAQQBSAFIAQQBZACgANAAsACAAMQAsAFwAbgAgACAAIAAgACAAIABMAEEATQBCAEQAQQAoAHIALABjACwAXABuACAAIAAgACAAIAAgACAAIABJAE4ARABFAFgAKAB7AFwAbgAgACAAIAAgACAAIAAgACAAIAAgAFwAIgBWAEEAUgBJAEEAVABJAE8ATgAgAE8ATgAgAFMATwBVAFIAQwBFADoAXAAiADsAXABuACAAIAAgACAAIAAgACAAIAAgACAAXAAiAEkAbgBjAGwAdQBkAGUAZAAgAGkAbgBvAHIAZwBhAG4AaQBjACAAZgBlAHIAdABpAGwAaQBzAGUAcgAgAGEAcwAgAGEAbQBlAG4AZABtAGUAbgB0ACAAYQBzACAAcABlAHIAIABWAEUARQBSAEcAIABlAHEAdQBhAHQAaQBvAG4AIABkAGUAcwBjAHIAaQBwAHQAaQBvAG4AOgBcACIAOwBcAG4AIAAgACAAIAAgACAAIAAgACAAIABcACIAVwBoAGUAcgBlACAAaQBuAG8AcgBnAGEAbgBpAGMAIABmAGUAcgB0AGkAbABpAHMAZQByACAAaQBzACAAYQBwAHAAbABpAGUAZAAgAHQAbwAgAHQAaABlACAAcgBpAGMAZQAgAGYAaQBlAGwAZABzACAAcgBhAHQAaABlAHIAIAB0AGgAYQBuACAAbwByAGcAYQBuAGkAYwAgAGEAbQBlAG4AZABtAGUAbgB0AHMALAAgAFMARgBfAG8AIABpAHMAIABzAGUAdAAgAHQAbwAgADEALgBcACIAOwBcAG4AIAAgACAAIAAgACAAIAAgACAAIABcACIARABlAGMAbABhAHIAZQBkACAAZQBhAGMAaAAgAGEAbQBlAG4AZABtAGUAbgB0ACAAcwBlAHAAYQByAGEAdABlAGwAeQAgAHQAbwAgAGEAbABsAG8AdwAgAHMAdQBtAG0AaQBuAGcAIABpAG4AIABFAHgAYwBlAGwAIABpAG4AIABvAG4AZQAgAGUAcQB1AGEAdABpAG8Abg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IAaQBjAGUAQwB1AGwAdABpAHYAYQB0AGkAbwBuAF8AUwBvAHUAcgBjAGUARABhAHQAYQAuAFMAbwB1AHIAYwBlAEQAYQB0AGEAXwBSAGkAYwBlAEMAdQBsAHQAaQB2AGEAdABpAG8AbgBfAFcAYQB0AGUAcgBTAGMAYQBsAGkAbgBnAEYAYQBjAHQAbwByAEcAcgBvAHcAaQBuAGcAUwBlAGEAcwBvAG4AXwBUAGkAdABsAGUAIgAsACIAUgBpAGMAZQBDAHUAbAB0AGkAdgBhAHQAaQBvAG4AXwBTAG8AdQByAGMAZQBEAGEAdABhAC4AUwBvAHUAcgBjAGUARABhAHQAYQBfAFIAaQBjAGUAQwB1AGwAdABpAHYAYQB0AGkAbwBuAF8AVwBhAHQAZQByAFMAYwBhAGwAaQBuAGcARgBhAGMAdABvAHIARwByAG8AdwBpAG4AZwBTAGUAYQBzAG8AbgBfAFYAYQByAGkAYQBiAGwAZQAiACwAIgBSAGkAYwBlAEMAdQBsAHQAaQB2AGEAdABpAG8AbgBfAFMAbwB1AHIAYwBlAEQAYQB0AGEALgBTAG8AdQByAGMAZQBEAGEAdABhAF8AUgBpAGMAZQBDAHUAbAB0AGkAdgBhAHQAaQBvAG4AXwBXAGEAdABlAHIAUwBjAGEAbABpAG4AZwBGAGEAYwB0AG8AcgBHAHIAbwB3AGkAbgBnAFMAZQBhAHMAbwBuAF8AVQBuAGkAdAAiACwAIgBSAGkAYwBlAEMAdQBsAHQAaQB2AGEAdABpAG8AbgBfAFMAbwB1AHIAYwBlAEQAYQB0AGEALgBTAG8AdQByAGMAZQBEAGEAdABhAF8AUgBpAGMAZQBDAHUAbAB0AGkAdgBhAHQAaQBvAG4AXwBXAGEAdABlAHIAUwBjAGEAbABpAG4AZwBGAGEAYwB0AG8AcgBHAHIAbwB3AGkAbgBnAFMAZQBhAHMAbwBuAF8AUwBvAHUAcgBjAGUAIgAsACIAUgBpAGMAZQBDAHUAbAB0AGkAdgBhAHQAaQBvAG4AXwBTAG8AdQByAGMAZQBEAGEAdABhAC4AUwBvAHUAcgBjAGUARABhAHQAYQBfAFIAaQBjAGUAQwB1AGwAdABpAHYAYQB0AGkAbwBuAF8AVwBhAHQAZQByAFMAYwBhAGwAaQBuAGcARgBhAGMAdABvAHIARwByAG8AdwBpAG4AZwBTAGUAYQBzAG8AbgBfAFYAYQByAGkAYQB0AGkAbwBuACIALAAiAFIAaQBjAGUAQwB1AGwAdABpAHYAYQB0AGkAbwBuAF8AUwBvAHUAcgBjAGUARABhAHQAYQAuAFMAbwB1AHIAYwBlAEQAYQB0AGEAXwBSAGkAYwBlAEMAdQBsAHQAaQB2AGEAdABpAG8AbgBfAFcAYQB0AGUAcgBTAGMAYQBsAGkAbgBnAEYAYQBjAHQAbwByAEcAcgBvAHcAaQBuAGcAUwBlAGEAcwBvAG4AXwBEAGEAdABhACIALAAiAFIAaQBjAGUAQwB1AGwAdABpAHYAYQB0AGkAbwBuAF8AUwBvAHUAcgBjAGUARABhAHQAYQAuAFMAbwB1AHIAYwBlAEQAYQB0AGEAXwBSAGkAYwBlAEMAdQBsAHQAaQB2AGEAdABpAG8AbgBfAFcAYQB0AGUAcgBTAGMAYQBsAGkAbgBnAEYAYQBjAHQAbwByAFAAcgBlAFMAZQBhAHMAbwBuAF8AVABpAHQAbABlACIALAAiAFIAaQBjAGUAQwB1AGwAdABpAHYAYQB0AGkAbwBuAF8AUwBvAHUAcgBjAGUARABhAHQAYQAuAFMAbwB1AHIAYwBlAEQAYQB0AGEAXwBSAGkAYwBlAEMAdQBsAHQAaQB2AGEAdABpAG8AbgBfAFcAYQB0AGUAcgBTAGMAYQBsAGkAbgBnAEYAYQBjAHQAbwByAFAAcgBlAFMAZQBhAHMAbwBuAF8AVgBhAHIAaQBhAGIAbABlACIALAAiAFIAaQBjAGUAQwB1AGwAdABpAHYAYQB0AGkAbwBuAF8AUwBvAHUAcgBjAGUARABhAHQAYQAuAFMAbwB1AHIAYwBlAEQAYQB0AGEAXwBSAGkAYwBlAEMAdQBsAHQAaQB2AGEAdABpAG8AbgBfAFcAYQB0AGUAcgBTAGMAYQBsAGkAbgBnAEYAYQBjAHQAbwByAFAAcgBlAFMAZQBhAHMAbwBuAF8AVQBuAGkAdAAiACwAIgBSAGkAYwBlAEMAdQBsAHQAaQB2AGEAdABpAG8AbgBfAFMAbwB1AHIAYwBlAEQAYQB0AGEALgBTAG8AdQByAGMAZQBEAGEAdABhAF8AUgBpAGMAZQBDAHUAbAB0AGkAdgBhAHQAaQBvAG4AXwBXAGEAdABlAHIAUwBjAGEAbABpAG4AZwBGAGEAYwB0AG8AcgBQAHIAZQBTAGUAYQBzAG8AbgBfAFMAbwB1AHIAYwBlACIALAAiAFIAaQBjAGUAQwB1AGwAdABpAHYAYQB0AGkAbwBuAF8AUwBvAHUAcgBjAGUARABhAHQAYQAuAFMAbwB1AHIAYwBlAEQAYQB0AGEAXwBSAGkAYwBlAEMAdQBsAHQAaQB2AGEAdABpAG8AbgBfAFcAYQB0AGUAcgBTAGMAYQBsAGkAbgBnAEYAYQBjAHQAbwByAFAAcgBlAFMAZQBhAHMAbwBuAF8AVgBhAHIAaQBhAHQAaQBvAG4AIgAsACIAUgBpAGMAZQBDAHUAbAB0AGkAdgBhAHQAaQBvAG4AXwBTAG8AdQByAGMAZQBEAGEAdABhAC4AUwBvAHUAcgBjAGUARABhAHQAYQBfAFIAaQBjAGUAQwB1AGwAdABpAHYAYQB0AGkAbwBuAF8AVwBhAHQAZQByAFMAYwBhAGwAaQBuAGcARgBhAGMAdABvAHIAUAByAGUAUwBlAGEAcwBvAG4AXwBEAGEAdABhACIALAAiAFIAaQBjAGUAQwB1AGwAdABpAHYAYQB0AGkAbwBuAF8AUwBvAHUAcgBjAGUARABhAHQAYQAuAFMAbwB1AHIAYwBlAEQAYQB0AGEAXwBSAGkAYwBlAEMAdQBsAHQAaQB2AGEAdABpAG8AbgBfAE8AcgBnAGEAbgBpAGMAQQBtAGUAbgBkAG0AZQBuAHQAQwBvAG4AdgBlAHIAcwBpAG8AbgBGAGEAYwB0AG8AcgBfAFQAaQB0AGwAZQAiACwAIgBSAGkAYwBlAEMAdQBsAHQAaQB2AGEAdABpAG8AbgBfAFMAbwB1AHIAYwBlAEQAYQB0AGEALgBTAG8AdQByAGMAZQBEAGEAdABhAF8AUgBpAGMAZQBDAHUAbAB0AGkAdgBhAHQAaQBvAG4AXwBPAHIAZwBhAG4AaQBjAEEAbQBlAG4AZABtAGUAbgB0AEMAbwBuAHYAZQByAHMAaQBvAG4ARgBhAGMAdABvAHIAXwBWAGEAcgBpAGEAYgBsAGUAIgAsACIAUgBpAGMAZQBDAHUAbAB0AGkAdgBhAHQAaQBvAG4AXwBTAG8AdQByAGMAZQBEAGEAdABhAC4AUwBvAHUAcgBjAGUARABhAHQAYQBfAFIAaQBjAGUAQwB1AGwAdABpAHYAYQB0AGkAbwBuAF8ATwByAGcAYQBuAGkAYwBBAG0AZQBuAGQAbQBlAG4AdABDAG8AbgB2AGUAcgBzAGkAbwBuAEYAYQBjAHQAbwByAF8AVQBuAGkAdAAiACwAIgBSAGkAYwBlAEMAdQBsAHQAaQB2AGEAdABpAG8AbgBfAFMAbwB1AHIAYwBlAEQAYQB0AGEALgBTAG8AdQByAGMAZQBEAGEAdABhAF8AUgBpAGMAZQBDAHUAbAB0AGkAdgBhAHQAaQBvAG4AXwBPAHIAZwBhAG4AaQBjAEEAbQBlAG4AZABtAGUAbgB0AEMAbwBuAHYAZQByAHMAaQBvAG4ARgBhAGMAdABvAHIAXwBTAG8AdQByAGMAZQAiACwAIgBSAGkAYwBlAEMAdQBsAHQAaQB2AGEAdABpAG8AbgBfAFMAbwB1AHIAYwBlAEQAYQB0AGEALgBTAG8AdQByAGMAZQBEAGEAdABhAF8AUgBpAGMAZQBDAHUAbAB0AGkAdgBhAHQAaQBvAG4AXwBPAHIAZwBhAG4AaQBjAEEAbQBlAG4AZABtAGUAbgB0AEMAbwBuAHYAZQByAHMAaQBvAG4ARgBhAGMAdABvAHIAXwBWAGEAcgBpAGEAdABpAG8AbgAiACwAIgBSAGkAYwBlAEMAdQBsAHQAaQB2AGEAdABpAG8AbgBfAFMAbwB1AHIAYwBlAEQAYQB0AGEALgBTAG8AdQByAGMAZQBEAGEAdABhAF8AUgBpAGMAZQBDAHUAbAB0AGkAdgBhAHQAaQBvAG4AXwBPAHIAZwBhAG4AaQBjAEEAbQBlAG4AZABtAGUAbgB0AEMAbwBuAHYAZQByAHMAaQBvAG4ARgBhAGMAdABvAHIAXwBEAGEAdABhACIALAAiAFIAaQBjAGUAQwB1AGwAdABpAHYAYQB0AGkAbwBuAF8AUwBvAHUAcgBjAGUARABhAHQAYQAuAFMAbwB1AHIAYwBlAEQAYQB0AGEAXwBSAGkAYwBlAEMAdQBsAHQAaQB2AGEAdABpAG8AbgBfAEIAYQBzAGUAbABpAG4AZQBFAEYAXwBUAGkAdABsAGUAIgAsACIAUgBpAGMAZQBDAHUAbAB0AGkAdgBhAHQAaQBvAG4AXwBTAG8AdQByAGMAZQBEAGEAdABhAC4AUwBvAHUAcgBjAGUARABhAHQAYQBfAFIAaQBjAGUAQwB1AGwAdABpAHYAYQB0AGkAbwBuAF8AQgBhAHMAZQBsAGkAbgBlAEUARgBfAFYAYQByAGkAYQBiAGwAZQAiACwAIgBSAGkAYwBlAEMAdQBsAHQAaQB2AGEAdABpAG8AbgBfAFMAbwB1AHIAYwBlAEQAYQB0AGEALgBTAG8AdQByAGMAZQBEAGEAdABhAF8AUgBpAGMAZQBDAHUAbAB0AGkAdgBhAHQAaQBvAG4AXwBCAGEAcwBlAGwAaQBuAGUARQBGAF8AVQBuAGkAdAAiACwAIgBSAGkAYwBlAEMAdQBsAHQAaQB2AGEAdABpAG8AbgBfAFMAbwB1AHIAYwBlAEQAYQB0AGEALgBTAG8AdQByAGMAZQBEAGEAdABhAF8AUgBpAGMAZQBDAHUAbAB0AGkAdgBhAHQAaQBvAG4AXwBCAGEAcwBlAGwAaQBuAGUARQBGAF8AUwBvAHUAcgBjAGUAIgAsACIAUgBpAGMAZQBDAHUAbAB0AGkAdgBhAHQAaQBvAG4AXwBTAG8AdQByAGMAZQBEAGEAdABhAC4AUwBvAHUAcgBjAGUARABhAHQAYQBfAFIAaQBjAGUAQwB1AGwAdABpAHYAYQB0AGkAbwBuAF8AQgBhAHMAZQBsAGkAbgBlAEUARgBfAFYAYQByAGkAYQB0AGkAbwBuACIALAAiAFIAaQBjAGUAQwB1AGwAdABpAHYAYQB0AGkAbwBuAF8AUwBvAHUAcgBjAGUARABhAHQAYQAuAFMAbwB1AHIAYwBlAEQAYQB0AGEAXwBSAGkAYwBlAEMAdQBsAHQAaQB2AGEAdABpAG8AbgBfAEIAYQBzAGUAbABpAG4AZQBFAEYAXwBEAGEAdABhACIALAAiAFIAaQBjAGUAQwB1AGwAdABpAHYAYQB0AGkAbwBuAF8ARQBxAHUAYQB0AGkAbwBuAHMALgBWAEUARQBSAEcAXwA3AF8AMQBfADEAXwAxAF8AXwAxAF8ATQBlAHQAaABhAG4AZQBFAG0AaQBzAHMAaQBvAG4AcwBGAHIAbwBtAFIAaQBjAGUAQwB1AGwAdABpAHYAYQB0AGkAbwBuACIALAAiAFIAaQBjAGUAQwB1AGwAdABpAHYAYQB0AGkAbwBuAF8ARQBxAHUAYQB0AGkAbwBuAHMALgBWAEUARQBSAEcAXwA3AF8AMQBfADEAXwAxAF8AXwAxAF8ATQBlAHQAaABhAG4AZQBFAG0AaQBzAHMAaQBvAG4AcwBGAHIAbwBtAFIAaQBjAGUAQwB1AGwAdABpAHYAYQB0AGkAbwBuAF8AVABpAHQAbABlACIALAAiAFIAaQBjAGUAQwB1AGwAdABpAHYAYQB0AGkAbwBuAF8ARQBxAHUAYQB0AGkAbwBuAHMALgBWAEUARQBSAEcAXwA3AF8AMQBfADEAXwAxAF8AXwAxAF8ATQBlAHQAaABhAG4AZQBFAG0AaQBzAHMAaQBvAG4AcwBGAHIAbwBtAFIAaQBjAGUAQwB1AGwAdABpAHYAYQB0AGkAbwBuAF8AVgBhAHIAaQBhAGIAbABlACIALAAiAFIAaQBjAGUAQwB1AGwAdABpAHYAYQB0AGkAbwBuAF8ARQBxAHUAYQB0AGkAbwBuAHMALgBWAEUARQBSAEcAXwA3AF8AMQBfADEAXwAxAF8AXwAxAF8ATQBlAHQAaABhAG4AZQBFAG0AaQBzAHMAaQBvAG4AcwBGAHIAbwBtAFIAaQBjAGUAQwB1AGwAdABpAHYAYQB0AGkAbwBuAF8AVQBuAGkAdAAiACwAIgBSAGkAYwBlAEMAdQBsAHQAaQB2AGEAdABpAG8AbgBfAEUAcQB1AGEAdABpAG8AbgBzAC4AVgBFAEUAUgBHAF8ANwBfADEAXwAxAF8AMQBfAF8AMQBfAE0AZQB0AGgAYQBuAGUARQBtAGkAcwBzAGkAbwBuAHMARgByAG8AbQBSAGkAYwBlAEMAdQBsAHQAaQB2AGEAdABpAG8AbgBfAFMAbwB1AHIAYwBlACIALAAiAFIAaQBjAGUAQwB1AGwAdABpAHYAYQB0AGkAbwBuAF8ARQBxAHUAYQB0AGkAbwBuAHMALgBWAEUARQBSAEcAXwA3AF8AMQBfADEAXwAxAF8AXwAxAF8ATQBlAHQAaABhAG4AZQBFAG0AaQBzAHMAaQBvAG4AcwBGAHIAbwBtAFIAaQBjAGUAQwB1AGwAdABpAHYAYQB0AGkAbwBuAF8ATgBJAFIAUgBlAGYAZQByAGUAbgBjAGUAIgAsACIAUgBpAGMAZQBDAHUAbAB0AGkAdgBhAHQAaQBvAG4AXwBFAHEAdQBhAHQAaQBvAG4AcwAuAFYARQBFAFIARwBfADcAXwAxAF8AMQBfADEAXwBfADEAXwBNAGUAdABoAGEAbgBlAEUAbQBpAHMAcwBpAG8AbgBzAEYAcgBvAG0AUgBpAGMAZQBDAHUAbAB0AGkAdgBhAHQAaQBvAG4AXwBMAGEAdABlAHgARQBxAHUAYQB0AGkAbwBuACIALAAiAFIAaQBjAGUAQwB1AGwAdABpAHYAYQB0AGkAbwBuAF8ARQBxAHUAYQB0AGkAbwBuAHMALgBWAEUARQBSAEcAXwA3AF8AMQBfADEAXwAxAF8AXwAxAF8ATQBlAHQAaABhAG4AZQBFAG0AaQBzAHMAaQBvAG4AcwBGAHIAbwBtAFIAaQBjAGUAQwB1AGwAdABpAHYAYQB0AGkAbwBuAF8AQQByAGcAdQBtAGUAbgB0AHMAIgAsACIAUgBpAGMAZQBDAHUAbAB0AGkAdgBhAHQAaQBvAG4AXwBFAHEAdQBhAHQAaQBvAG4AcwAuAFYARQBFAFIARwBfADcAXwAxAF8AMQBfADEAXwBfADEAXwBNAGUAdABoAGEAbgBlAEUAbQBpAHMAcwBpAG8AbgBzAEYAcgBvAG0AUgBpAGMAZQBDAHUAbAB0AGkAdgBhAHQAaQBvAG4AXwBWAGEAcgBpAGEAdABpAG8AbgAiACwAIgBSAGkAYwBlAEMAdQBsAHQAaQB2AGEAdABpAG8AbgBfAEUAcQB1AGEAdABpAG8AbgBzAC4AVgBFAEUAUgBHAF8ANwBfADEAXwAxAF8AMQBfAF8AMgBfAEUAbQBpAHMAcwBpAG8AbgBGAGEAYwB0AG8AcgBGAG8AcgBSAGkAYwBlAEMAdQBsAHQAaQB2AGEAdABpAG8AbgAiACwAIgBSAGkAYwBlAEMAdQBsAHQAaQB2AGEAdABpAG8AbgBfAEUAcQB1AGEAdABpAG8AbgBzAC4AVgBFAEUAUgBHAF8ANwBfADEAXwAxAF8AMQBfAF8AMgBfAEUAbQBpAHMAcwBpAG8AbgBGAGEAYwB0AG8AcgBGAG8AcgBSAGkAYwBlAEMAdQBsAHQAaQB2AGEAdABpAG8AbgBfAFQAaQB0AGwAZQAiACwAIgBSAGkAYwBlAEMAdQBsAHQAaQB2AGEAdABpAG8AbgBfAEUAcQB1AGEAdABpAG8AbgBzAC4AVgBFAEUAUgBHAF8ANwBfADEAXwAxAF8AMQBfAF8AMgBfAEUAbQBpAHMAcwBpAG8AbgBGAGEAYwB0AG8AcgBGAG8AcgBSAGkAYwBlAEMAdQBsAHQAaQB2AGEAdABpAG8AbgBfAFYAYQByAGkAYQBiAGwAZQAiACwAIgBSAGkAYwBlAEMAdQBsAHQAaQB2AGEAdABpAG8AbgBfAEUAcQB1AGEAdABpAG8AbgBzAC4AVgBFAEUAUgBHAF8ANwBfADEAXwAxAF8AMQBfAF8AMgBfAEUAbQBpAHMAcwBpAG8AbgBGAGEAYwB0AG8AcgBGAG8AcgBSAGkAYwBlAEMAdQBsAHQAaQB2AGEAdABpAG8AbgBfAFUAbgBpAHQAIgAsACIAUgBpAGMAZQBDAHUAbAB0AGkAdgBhAHQAaQBvAG4AXwBFAHEAdQBhAHQAaQBvAG4AcwAuAFYARQBFAFIARwBfADcAXwAxAF8AMQBfADEAXwBfADIAXwBFAG0AaQBzAHMAaQBvAG4ARgBhAGMAdABvAHIARgBvAHIAUgBpAGMAZQBDAHUAbAB0AGkAdgBhAHQAaQBvAG4AXwBTAG8AdQByAGMAZQAiACwAIgBSAGkAYwBlAEMAdQBsAHQAaQB2AGEAdABpAG8AbgBfAEUAcQB1AGEAdABpAG8AbgBzAC4AVgBFAEUAUgBHAF8ANwBfADEAXwAxAF8AMQBfAF8AMgBfAEUAbQBpAHMAcwBpAG8AbgBGAGEAYwB0AG8AcgBGAG8AcgBSAGkAYwBlAEMAdQBsAHQAaQB2AGEAdABpAG8AbgBfAE4ASQBSAFIAZQBmAGUAcgBlAG4AYwBlACIALAAiAFIAaQBjAGUAQwB1AGwAdABpAHYAYQB0AGkAbwBuAF8ARQBxAHUAYQB0AGkAbwBuAHMALgBWAEUARQBSAEcAXwA3AF8AMQBfADEAXwAxAF8AXwAyAF8ARQBtAGkAcwBzAGkAbwBuAEYAYQBjAHQAbwByAEYAbwByAFIAaQBjAGUAQwB1AGwAdABpAHYAYQB0AGkAbwBuAF8ATABhAHQAZQB4AEUAcQB1AGEAdABpAG8AbgAiACwAIgBSAGkAYwBlAEMAdQBsAHQAaQB2AGEAdABpAG8AbgBfAEUAcQB1AGEAdABpAG8AbgBzAC4AVgBFAEUAUgBHAF8ANwBfADEAXwAxAF8AMQBfAF8AMgBfAEUAbQBpAHMAcwBpAG8AbgBGAGEAYwB0AG8AcgBGAG8AcgBSAGkAYwBlAEMAdQBsAHQAaQB2AGEAdABpAG8AbgBfAEEAcgBnAHUAbQBlAG4AdABzACIALAAiAFIAaQBjAGUAQwB1AGwAdABpAHYAYQB0AGkAbwBuAF8ARQBxAHUAYQB0AGkAbwBuAHMALgBWAEUARQBSAEcAXwA3AF8AMQBfADEAXwAxAF8AXwAzAF8ATwByAGcAYQBuAGkAYwBBAG0AZQBuAGQAbQBlAG4AdABzAFMAYwBhAGwAaQBuAGcARgBhAGMAdABvAHIAIgAsACIAUgBpAGMAZQBDAHUAbAB0AGkAdgBhAHQAaQBvAG4AXwBFAHEAdQBhAHQAaQBvAG4AcwAuAFYARQBFAFIARwBfADcAXwAxAF8AMQBfADEAXwBfADMAXwBPAHIAZwBhAG4AaQBjAEEAbQBlAG4AZABtAGUAbgB0AHMAUwBjAGEAbABpAG4AZwBGAGEAYwB0AG8AcgBWAGEAcgBpAGEAdABpAG8AbgAiACwAIgBSAGkAYwBlAEMAdQBsAHQAaQB2AGEAdABpAG8AbgBfAEUAcQB1AGEAdABpAG8AbgBzAC4AVgBFAEUAUgBHAF8ANwBfADEAXwAxAF8AMQBfAF8AMwBfAE8AcgBnAGEAbgBpAGMAQQBtAGUAbgBkAG0AZQBuAHQAcwBTAGMAYQBsAGkAbgBnAEYAYQBjAHQAbwByAF8AVABpAHQAbABlACIALAAiAFIAaQBjAGUAQwB1AGwAdABpAHYAYQB0AGkAbwBuAF8ARQBxAHUAYQB0AGkAbwBuAHMALgBWAEUARQBSAEcAXwA3AF8AMQBfADEAXwAxAF8AXwAzAF8ATwByAGcAYQBuAGkAYwBBAG0AZQBuAGQAbQBlAG4AdABzAFMAYwBhAGwAaQBuAGcARgBhAGMAdABvAHIAXwBWAGEAcgBpAGEAYgBsAGUAIgAsACIAUgBpAGMAZQBDAHUAbAB0AGkAdgBhAHQAaQBvAG4AXwBFAHEAdQBhAHQAaQBvAG4AcwAuAFYARQBFAFIARwBfADcAXwAxAF8AMQBfADEAXwBfADMAXwBPAHIAZwBhAG4AaQBjAEEAbQBlAG4AZABtAGUAbgB0AHMAUwBjAGEAbABpAG4AZwBGAGEAYwB0AG8AcgBfAFUAbgBpAHQAIgAsACIAUgBpAGMAZQBDAHUAbAB0AGkAdgBhAHQAaQBvAG4AXwBFAHEAdQBhAHQAaQBvAG4AcwAuAFYARQBFAFIARwBfADcAXwAxAF8AMQBfADEAXwBfADMAXwBPAHIAZwBhAG4AaQBjAEEAbQBlAG4AZABtAGUAbgB0AHMAUwBjAGEAbABpAG4AZwBGAGEAYwB0AG8AcgBfAFMAbwB1AHIAYwBlACIALAAiAFIAaQBjAGUAQwB1AGwAdABpAHYAYQB0AGkAbwBuAF8ARQBxAHUAYQB0AGkAbwBuAHMALgBWAEUARQBSAEcAXwA3AF8AMQBfADEAXwAxAF8AXwAzAF8ATwByAGcAYQBuAGkAYwBBAG0AZQBuAGQAbQBlAG4AdABzAFMAYwBhAGwAaQBuAGcARgBhAGMAdABvAHIAXwBOAEkAUgBSAGUAZgBlAHIAZQBuAGMAZQAiACwAIgBSAGkAYwBlAEMAdQBsAHQAaQB2AGEAdABpAG8AbgBfAEUAcQB1AGEAdABpAG8AbgBzAC4AVgBFAEUAUgBHAF8ANwBfADEAXwAxAF8AMQBfAF8AMwBfAE8AcgBnAGEAbgBpAGMAQQBtAGUAbgBkAG0AZQBuAHQAcwBTAGMAYQBsAGkAbgBnAEYAYQBjAHQAbwByAF8ATABhAHQAZQB4AEUAcQB1AGEAdABpAG8AbgAiACwAIgBSAGkAYwBlAEMAdQBsAHQAaQB2AGEAdABpAG8AbgBfAEUAcQB1AGEAdABpAG8AbgBzAC4AVgBFAEUAUgBHAF8ANwBfADEAXwAxAF8AMQBfAF8AMwBfAE8AcgBnAGEAbgBpAGMAQQBtAGUAbgBkAG0AZQBuAHQAcwBTAGMAYQBsAGkAbgBnAEYAYQBjAHQAbwByAF8ATABhAHQAZQB4AEUAcQB1AGEAdABpAG8AbgBWAGEAcgBpAGEAdABpAG8AbgAiACwAIgBSAGkAYwBlAEMAdQBsAHQAaQB2AGEAdABpAG8AbgBfAEUAcQB1AGEAdABpAG8AbgBzAC4AVgBFAEUAUgBHAF8ANwBfADEAXwAxAF8AMQBfAF8AMwBfAE8AcgBnAGEAbgBpAGMAQQBtAGUAbgBkAG0AZQBuAHQAcwBTAGMAYQBsAGkAbgBnAEYAYQBjAHQAbwByAF8AQQByAGcAdQBtAGUAbgB0AHMAIgAsACIAUgBpAGMAZQBDAHUAbAB0AGkAdgBhAHQAaQBvAG4AXwBFAHEAdQBhAHQAaQBvAG4AcwAuAFYARQBFAFIARwBfADcAXwAxAF8AMQBfADEAXwBfADMAXwBPAHIAZwBhAG4AaQBjAEEAbQBlAG4AZABtAGUAbgB0AHMAUwBjAGEAbABpAG4AZwBGAGEAYwB0AG8Acg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Site</vt:lpstr>
      <vt:lpstr>Input - Rice</vt:lpstr>
      <vt:lpstr>7.1.1-2 Rice cultivation</vt:lpstr>
      <vt:lpstr>Constants - Rice cultivation</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2026-06-17T06:35:35Z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