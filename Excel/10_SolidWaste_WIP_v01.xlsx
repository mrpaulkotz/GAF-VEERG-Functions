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823735E-8D12-4C88-B781-F81342F548BE}" xr6:coauthVersionLast="47" xr6:coauthVersionMax="47" xr10:uidLastSave="{00000000-0000-0000-0000-000000000000}"/>
  <bookViews>
    <workbookView xWindow="165" yWindow="105" windowWidth="28545" windowHeight="16965" firstSheet="1" activeTab="4"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11"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110" l="1"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G16" i="110" a="1"/>
  <c r="G16" i="110" s="1"/>
  <c r="G15" i="110" a="1"/>
  <c r="G15" i="110" s="1"/>
  <c r="G14" i="110" a="1"/>
  <c r="G14" i="110" s="1"/>
  <c r="G13" i="110" a="1"/>
  <c r="G13" i="110" s="1"/>
  <c r="G12" i="110" a="1"/>
  <c r="G12" i="110" s="1"/>
  <c r="G11" i="110" a="1"/>
  <c r="G11" i="110" s="1"/>
  <c r="G10" i="110" a="1"/>
  <c r="G10" i="110" s="1"/>
  <c r="A77" i="110"/>
  <c r="A49" i="110"/>
  <c r="A109" i="69"/>
  <c r="A136" i="69"/>
  <c r="A66" i="69"/>
  <c r="A15" i="110" l="1"/>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70" i="69" a="1"/>
  <c r="D70" i="69" s="1"/>
  <c r="H77" i="69" l="1" a="1"/>
  <c r="H77" i="69" s="1"/>
  <c r="D77" i="69" a="1"/>
  <c r="D77" i="69" s="1"/>
  <c r="E75" i="69" a="1"/>
  <c r="E75" i="69" s="1"/>
  <c r="F136" i="69" s="1"/>
  <c r="E74" i="69" a="1"/>
  <c r="E74" i="69" s="1"/>
  <c r="D69" i="69" a="1"/>
  <c r="D69" i="69" s="1"/>
  <c r="D68" i="69" a="1"/>
  <c r="D68" i="69" s="1"/>
  <c r="J16" i="69" a="1"/>
  <c r="J16" i="69" s="1"/>
  <c r="J15" i="69" a="1"/>
  <c r="J15" i="69" s="1"/>
  <c r="J14" i="69" a="1"/>
  <c r="J14" i="69" s="1"/>
  <c r="J13" i="69" a="1"/>
  <c r="J13" i="69" s="1"/>
  <c r="I16" i="69" a="1"/>
  <c r="I16" i="69" s="1"/>
  <c r="I15" i="69" a="1"/>
  <c r="I15" i="69" s="1"/>
  <c r="I14" i="69" a="1"/>
  <c r="I14" i="69" s="1"/>
  <c r="I13" i="69" a="1"/>
  <c r="I13" i="69" s="1"/>
  <c r="E6" i="110" a="1"/>
  <c r="E6" i="110" s="1"/>
  <c r="G13" i="69" a="1"/>
  <c r="G13" i="69" s="1"/>
  <c r="D13" i="69" a="1"/>
  <c r="D13" i="69" s="1"/>
  <c r="E11" i="69" a="1"/>
  <c r="E11" i="69" s="1"/>
  <c r="E10" i="69" a="1"/>
  <c r="E10" i="69" s="1"/>
  <c r="D6" i="69" a="1"/>
  <c r="D6" i="69" s="1"/>
  <c r="D5" i="69" a="1"/>
  <c r="D5" i="69" s="1"/>
  <c r="D48" i="110" a="1"/>
  <c r="D48" i="110" s="1"/>
  <c r="E48" i="110" a="1"/>
  <c r="E48" i="110" s="1"/>
  <c r="D47" i="110" a="1"/>
  <c r="D47" i="110" s="1"/>
  <c r="E47" i="110" a="1"/>
  <c r="E47" i="110" s="1"/>
  <c r="D46" i="110" a="1"/>
  <c r="D46" i="110" s="1"/>
  <c r="E46" i="110" a="1"/>
  <c r="E46" i="110" s="1"/>
  <c r="D45" i="110" a="1"/>
  <c r="D45" i="110" s="1"/>
  <c r="E45" i="110" a="1"/>
  <c r="E45" i="110" s="1"/>
  <c r="D44" i="110" a="1"/>
  <c r="D44" i="110" s="1"/>
  <c r="E44" i="110" a="1"/>
  <c r="E44" i="110" s="1"/>
  <c r="D43" i="110" a="1"/>
  <c r="D43" i="110" s="1"/>
  <c r="E43" i="110" a="1"/>
  <c r="E43" i="110" s="1"/>
  <c r="D42" i="110" a="1"/>
  <c r="D42" i="110" s="1"/>
  <c r="E42" i="110" a="1"/>
  <c r="E42" i="110" s="1"/>
  <c r="D41" i="110" a="1"/>
  <c r="D41" i="110" s="1"/>
  <c r="E41" i="110" a="1"/>
  <c r="E41" i="110" s="1"/>
  <c r="D40" i="110" a="1"/>
  <c r="D40" i="110" s="1"/>
  <c r="E40" i="110" a="1"/>
  <c r="E40" i="110" s="1"/>
  <c r="D39" i="110" a="1"/>
  <c r="D39" i="110" s="1"/>
  <c r="E39" i="110" a="1"/>
  <c r="E39" i="110" s="1"/>
  <c r="E38" i="110" a="1"/>
  <c r="E38" i="110" s="1"/>
  <c r="D38" i="110" a="1"/>
  <c r="D38" i="110" s="1"/>
  <c r="D36" i="110" a="1"/>
  <c r="D36" i="110" s="1"/>
  <c r="D34" i="110" a="1"/>
  <c r="D34" i="110" s="1"/>
  <c r="D35" i="110" a="1"/>
  <c r="D35" i="110" s="1"/>
  <c r="D33" i="110" a="1"/>
  <c r="D33" i="110" s="1"/>
  <c r="D32" i="110" a="1"/>
  <c r="D32" i="110" s="1"/>
  <c r="D29" i="110" a="1"/>
  <c r="D29" i="110" s="1"/>
  <c r="E29" i="110" a="1"/>
  <c r="E29" i="110" s="1"/>
  <c r="O10" i="110" s="1"/>
  <c r="F29" i="110" a="1"/>
  <c r="F29" i="110" s="1"/>
  <c r="D28" i="110" a="1"/>
  <c r="D28" i="110" s="1"/>
  <c r="E28" i="110" a="1"/>
  <c r="E28" i="110" s="1"/>
  <c r="M10" i="110" s="1"/>
  <c r="F28" i="110" a="1"/>
  <c r="F28" i="110" s="1"/>
  <c r="D27" i="110" a="1"/>
  <c r="D27" i="110" s="1"/>
  <c r="E27" i="110" a="1"/>
  <c r="E27" i="110" s="1"/>
  <c r="K16" i="110" s="1"/>
  <c r="F27" i="110" a="1"/>
  <c r="F27" i="110" s="1"/>
  <c r="D26" i="110" a="1"/>
  <c r="D26" i="110" s="1"/>
  <c r="E26" i="110" a="1"/>
  <c r="E26" i="110" s="1"/>
  <c r="K15" i="110" s="1"/>
  <c r="F26" i="110" a="1"/>
  <c r="F26" i="110" s="1"/>
  <c r="D25" i="110" a="1"/>
  <c r="D25" i="110" s="1"/>
  <c r="E25" i="110" a="1"/>
  <c r="E25" i="110" s="1"/>
  <c r="K14" i="110" s="1"/>
  <c r="F25" i="110" a="1"/>
  <c r="F25" i="110" s="1"/>
  <c r="D24" i="110" a="1"/>
  <c r="D24" i="110" s="1"/>
  <c r="E24" i="110" a="1"/>
  <c r="E24" i="110" s="1"/>
  <c r="K13" i="110" s="1"/>
  <c r="F24" i="110" a="1"/>
  <c r="F24" i="110" s="1"/>
  <c r="D23" i="110" a="1"/>
  <c r="D23" i="110" s="1"/>
  <c r="E23" i="110" a="1"/>
  <c r="E23" i="110" s="1"/>
  <c r="K12" i="110" s="1"/>
  <c r="F23" i="110" a="1"/>
  <c r="F23" i="110" s="1"/>
  <c r="D22" i="110" a="1"/>
  <c r="D22" i="110" s="1"/>
  <c r="E22" i="110" a="1"/>
  <c r="E22" i="110" s="1"/>
  <c r="K11" i="110" s="1"/>
  <c r="F22" i="110" a="1"/>
  <c r="F22" i="110" s="1"/>
  <c r="D21" i="110" a="1"/>
  <c r="D21" i="110" s="1"/>
  <c r="E21" i="110" a="1"/>
  <c r="E21" i="110" s="1"/>
  <c r="K10"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D17" i="110" a="1"/>
  <c r="D17" i="110" s="1"/>
  <c r="E17" i="110" a="1"/>
  <c r="E17" i="110" s="1"/>
  <c r="I17" i="110" s="1"/>
  <c r="F17" i="110" a="1"/>
  <c r="F17" i="110" s="1"/>
  <c r="D16" i="110" a="1"/>
  <c r="D16" i="110" s="1"/>
  <c r="E16" i="110" a="1"/>
  <c r="E16" i="110" s="1"/>
  <c r="I16" i="110" s="1"/>
  <c r="F16" i="110" a="1"/>
  <c r="F16" i="110" s="1"/>
  <c r="D15" i="110" a="1"/>
  <c r="D15" i="110" s="1"/>
  <c r="E15" i="110" a="1"/>
  <c r="E15" i="110" s="1"/>
  <c r="I15" i="110" s="1"/>
  <c r="F15" i="110" a="1"/>
  <c r="F15" i="110" s="1"/>
  <c r="D14" i="110" a="1"/>
  <c r="D14" i="110" s="1"/>
  <c r="E14" i="110" a="1"/>
  <c r="E14" i="110" s="1"/>
  <c r="I14" i="110" s="1"/>
  <c r="F14" i="110" a="1"/>
  <c r="F14" i="110" s="1"/>
  <c r="D13" i="110" a="1"/>
  <c r="D13" i="110" s="1"/>
  <c r="E13" i="110" a="1"/>
  <c r="E13" i="110" s="1"/>
  <c r="I13" i="110" s="1"/>
  <c r="F13" i="110" a="1"/>
  <c r="F13" i="110" s="1"/>
  <c r="D12" i="110" a="1"/>
  <c r="D12" i="110" s="1"/>
  <c r="E12" i="110" a="1"/>
  <c r="E12" i="110" s="1"/>
  <c r="I12" i="110" s="1"/>
  <c r="F12" i="110" a="1"/>
  <c r="F12" i="110" s="1"/>
  <c r="D11" i="110" a="1"/>
  <c r="D11" i="110" s="1"/>
  <c r="E11" i="110" a="1"/>
  <c r="E11" i="110" s="1"/>
  <c r="I11" i="110" s="1"/>
  <c r="F11" i="110" a="1"/>
  <c r="F11" i="110" s="1"/>
  <c r="F10" i="110" a="1"/>
  <c r="F10" i="110" s="1"/>
  <c r="E10" i="110" a="1"/>
  <c r="E10" i="110" s="1"/>
  <c r="I10" i="110" s="1"/>
  <c r="D10" i="110" a="1"/>
  <c r="D10" i="110" s="1"/>
  <c r="D8" i="110" a="1"/>
  <c r="D8" i="110" s="1"/>
  <c r="D7" i="110" a="1"/>
  <c r="D7" i="110" s="1"/>
  <c r="D6" i="110" a="1"/>
  <c r="D6" i="110" s="1"/>
  <c r="D5" i="110" a="1"/>
  <c r="D5" i="110" s="1"/>
  <c r="E71" i="69" a="1"/>
  <c r="E7" i="69" a="1"/>
  <c r="F109" i="69" l="1"/>
  <c r="E71" i="69"/>
  <c r="D115" i="69" a="1"/>
  <c r="D88" i="69" a="1"/>
  <c r="D45" i="69" a="1"/>
  <c r="E88" i="69" a="1"/>
  <c r="E45" i="69" a="1"/>
  <c r="H54" i="69" s="1" a="1"/>
  <c r="H54" i="69" s="1"/>
  <c r="E115" i="69" a="1"/>
  <c r="E7" i="69"/>
  <c r="D21" i="69" a="1"/>
  <c r="E21" i="69" a="1"/>
  <c r="H26" i="69" s="1" a="1"/>
  <c r="H26" i="69" s="1"/>
  <c r="A15" i="13"/>
  <c r="A5" i="13"/>
  <c r="A4" i="13"/>
  <c r="A3" i="13"/>
  <c r="H24" i="69" l="1" a="1"/>
  <c r="H24" i="69" s="1"/>
  <c r="H61" i="69" a="1"/>
  <c r="H61" i="69" s="1"/>
  <c r="G121" i="69" a="1"/>
  <c r="G121" i="69" s="1"/>
  <c r="G101" i="69" a="1"/>
  <c r="G101" i="69" s="1"/>
  <c r="G134" i="69" a="1"/>
  <c r="G134" i="69" s="1"/>
  <c r="G120" i="69" a="1"/>
  <c r="G120" i="69" s="1"/>
  <c r="G100" i="69" a="1"/>
  <c r="G100" i="69" s="1"/>
  <c r="G133" i="69" a="1"/>
  <c r="G133" i="69" s="1"/>
  <c r="G119" i="69" a="1"/>
  <c r="G119" i="69" s="1"/>
  <c r="G99" i="69" a="1"/>
  <c r="G99" i="69" s="1"/>
  <c r="G132" i="69" a="1"/>
  <c r="G132" i="69" s="1"/>
  <c r="G118" i="69" a="1"/>
  <c r="G118" i="69" s="1"/>
  <c r="G98" i="69" a="1"/>
  <c r="G98" i="69" s="1"/>
  <c r="G131" i="69" a="1"/>
  <c r="G131" i="69" s="1"/>
  <c r="G117" i="69" a="1"/>
  <c r="G117" i="69" s="1"/>
  <c r="G97" i="69" a="1"/>
  <c r="G97" i="69" s="1"/>
  <c r="G130" i="69" a="1"/>
  <c r="G130" i="69" s="1"/>
  <c r="G116" i="69" a="1"/>
  <c r="G116" i="69" s="1"/>
  <c r="G96" i="69" a="1"/>
  <c r="G96" i="69" s="1"/>
  <c r="G129" i="69" a="1"/>
  <c r="G129" i="69" s="1"/>
  <c r="G95" i="69" a="1"/>
  <c r="G95" i="69" s="1"/>
  <c r="G127" i="69" a="1"/>
  <c r="G127" i="69" s="1"/>
  <c r="G93" i="69" a="1"/>
  <c r="G93" i="69" s="1"/>
  <c r="G126" i="69" a="1"/>
  <c r="G126" i="69" s="1"/>
  <c r="G106" i="69" a="1"/>
  <c r="G106" i="69" s="1"/>
  <c r="G105" i="69" a="1"/>
  <c r="G105" i="69" s="1"/>
  <c r="G124" i="69" a="1"/>
  <c r="G124" i="69" s="1"/>
  <c r="G104" i="69" a="1"/>
  <c r="G104" i="69" s="1"/>
  <c r="G89" i="69" a="1"/>
  <c r="G89" i="69" s="1"/>
  <c r="G122" i="69" a="1"/>
  <c r="G122" i="69" s="1"/>
  <c r="G102" i="69" a="1"/>
  <c r="G102" i="69" s="1"/>
  <c r="G128" i="69" a="1"/>
  <c r="G128" i="69" s="1"/>
  <c r="G94" i="69" a="1"/>
  <c r="G94" i="69" s="1"/>
  <c r="G107" i="69" a="1"/>
  <c r="G107" i="69" s="1"/>
  <c r="G92" i="69" a="1"/>
  <c r="G92" i="69" s="1"/>
  <c r="G125" i="69" a="1"/>
  <c r="G125" i="69" s="1"/>
  <c r="G91" i="69" a="1"/>
  <c r="G91" i="69" s="1"/>
  <c r="G90" i="69" a="1"/>
  <c r="G90" i="69" s="1"/>
  <c r="G123" i="69" a="1"/>
  <c r="G123" i="69" s="1"/>
  <c r="G103" i="69" a="1"/>
  <c r="G103" i="69" s="1"/>
  <c r="J107" i="69" a="1"/>
  <c r="J107" i="69" s="1"/>
  <c r="J93" i="69" a="1"/>
  <c r="J93" i="69" s="1"/>
  <c r="J100" i="69" a="1"/>
  <c r="J100" i="69" s="1"/>
  <c r="J106" i="69" a="1"/>
  <c r="J106" i="69" s="1"/>
  <c r="J92" i="69" a="1"/>
  <c r="J92" i="69" s="1"/>
  <c r="J102" i="69" a="1"/>
  <c r="J102" i="69" s="1"/>
  <c r="J99" i="69" a="1"/>
  <c r="J99" i="69" s="1"/>
  <c r="J105" i="69" a="1"/>
  <c r="J105" i="69" s="1"/>
  <c r="J91" i="69" a="1"/>
  <c r="J91" i="69" s="1"/>
  <c r="J104" i="69" a="1"/>
  <c r="J104" i="69" s="1"/>
  <c r="J90" i="69" a="1"/>
  <c r="J90" i="69" s="1"/>
  <c r="J101" i="69" a="1"/>
  <c r="J101" i="69" s="1"/>
  <c r="J103" i="69" a="1"/>
  <c r="J103" i="69" s="1"/>
  <c r="J89" i="69" a="1"/>
  <c r="J89" i="69" s="1"/>
  <c r="J98" i="69" a="1"/>
  <c r="J98" i="69" s="1"/>
  <c r="J97" i="69" a="1"/>
  <c r="J97" i="69" s="1"/>
  <c r="J96" i="69" a="1"/>
  <c r="J96" i="69" s="1"/>
  <c r="J94" i="69" a="1"/>
  <c r="J94" i="69" s="1"/>
  <c r="J95" i="69" a="1"/>
  <c r="J95" i="69" s="1"/>
  <c r="J129" i="69" a="1"/>
  <c r="J129" i="69" s="1"/>
  <c r="J128" i="69" a="1"/>
  <c r="J128" i="69" s="1"/>
  <c r="J127" i="69" a="1"/>
  <c r="J127" i="69" s="1"/>
  <c r="J126" i="69" a="1"/>
  <c r="J126" i="69" s="1"/>
  <c r="J125" i="69" a="1"/>
  <c r="J125" i="69" s="1"/>
  <c r="J124" i="69" a="1"/>
  <c r="J124" i="69" s="1"/>
  <c r="J121" i="69" a="1"/>
  <c r="J121" i="69" s="1"/>
  <c r="J119" i="69" a="1"/>
  <c r="J119" i="69" s="1"/>
  <c r="J118" i="69" a="1"/>
  <c r="J118" i="69" s="1"/>
  <c r="J134" i="69" a="1"/>
  <c r="J134" i="69" s="1"/>
  <c r="J120" i="69" a="1"/>
  <c r="J120" i="69" s="1"/>
  <c r="J133" i="69" a="1"/>
  <c r="J133" i="69" s="1"/>
  <c r="J132" i="69" a="1"/>
  <c r="J132" i="69" s="1"/>
  <c r="J131" i="69" a="1"/>
  <c r="J131" i="69" s="1"/>
  <c r="J117" i="69" a="1"/>
  <c r="J117" i="69" s="1"/>
  <c r="J130" i="69" a="1"/>
  <c r="J130" i="69" s="1"/>
  <c r="J116" i="69" a="1"/>
  <c r="J116" i="69" s="1"/>
  <c r="J123" i="69" a="1"/>
  <c r="J123" i="69" s="1"/>
  <c r="J122" i="69" a="1"/>
  <c r="J122" i="69" s="1"/>
  <c r="D115" i="69"/>
  <c r="H56" i="69" a="1"/>
  <c r="H56" i="69" s="1"/>
  <c r="H49" i="69" a="1"/>
  <c r="H49" i="69" s="1"/>
  <c r="H63" i="69" a="1"/>
  <c r="H63" i="69" s="1"/>
  <c r="H39" i="69" a="1"/>
  <c r="H39" i="69" s="1"/>
  <c r="H60" i="69" a="1"/>
  <c r="H60" i="69" s="1"/>
  <c r="E45" i="69"/>
  <c r="H45" i="69" s="1" a="1"/>
  <c r="H45" i="69" s="1"/>
  <c r="H25" i="69" a="1"/>
  <c r="H25" i="69" s="1"/>
  <c r="H55" i="69" a="1"/>
  <c r="H55" i="69" s="1"/>
  <c r="H64" i="69" a="1"/>
  <c r="H64" i="69" s="1"/>
  <c r="H59" i="69" a="1"/>
  <c r="H59" i="69" s="1"/>
  <c r="H31" i="69" a="1"/>
  <c r="H31" i="69" s="1"/>
  <c r="E115" i="69"/>
  <c r="E88" i="69"/>
  <c r="H62" i="69" a="1"/>
  <c r="H62" i="69" s="1"/>
  <c r="H57" i="69" a="1"/>
  <c r="H57" i="69" s="1"/>
  <c r="H53" i="69" a="1"/>
  <c r="H53" i="69" s="1"/>
  <c r="H51" i="69" a="1"/>
  <c r="H51" i="69" s="1"/>
  <c r="H50" i="69" a="1"/>
  <c r="H50" i="69" s="1"/>
  <c r="H48" i="69" a="1"/>
  <c r="H48" i="69" s="1"/>
  <c r="H47" i="69" a="1"/>
  <c r="H47" i="69" s="1"/>
  <c r="H58" i="69" a="1"/>
  <c r="H58" i="69" s="1"/>
  <c r="G57" i="69" a="1"/>
  <c r="G57" i="69" s="1"/>
  <c r="G56" i="69" a="1"/>
  <c r="G56" i="69" s="1"/>
  <c r="G55" i="69" a="1"/>
  <c r="G55" i="69" s="1"/>
  <c r="G54" i="69" a="1"/>
  <c r="G54" i="69" s="1"/>
  <c r="I54" i="69" s="1" a="1"/>
  <c r="I54" i="69" s="1"/>
  <c r="H124" i="69" s="1"/>
  <c r="G53" i="69" a="1"/>
  <c r="G53" i="69" s="1"/>
  <c r="G52" i="69" a="1"/>
  <c r="G52" i="69" s="1"/>
  <c r="G51" i="69" a="1"/>
  <c r="G51" i="69" s="1"/>
  <c r="G64" i="69" a="1"/>
  <c r="G64" i="69" s="1"/>
  <c r="G50" i="69" a="1"/>
  <c r="G50" i="69" s="1"/>
  <c r="G63" i="69" a="1"/>
  <c r="G63" i="69" s="1"/>
  <c r="G49" i="69" a="1"/>
  <c r="G49" i="69" s="1"/>
  <c r="G62" i="69" a="1"/>
  <c r="G62" i="69" s="1"/>
  <c r="G48" i="69" a="1"/>
  <c r="G48" i="69" s="1"/>
  <c r="G61" i="69" a="1"/>
  <c r="G61" i="69" s="1"/>
  <c r="I61" i="69" s="1" a="1"/>
  <c r="I61" i="69" s="1"/>
  <c r="H131" i="69" s="1"/>
  <c r="G47" i="69" a="1"/>
  <c r="G47" i="69" s="1"/>
  <c r="G60" i="69" a="1"/>
  <c r="G60" i="69" s="1"/>
  <c r="G46" i="69" a="1"/>
  <c r="G46" i="69" s="1"/>
  <c r="G59" i="69" a="1"/>
  <c r="G59" i="69" s="1"/>
  <c r="G58" i="69" a="1"/>
  <c r="G58" i="69" s="1"/>
  <c r="D88" i="69"/>
  <c r="J88" i="69" s="1" a="1"/>
  <c r="J88" i="69" s="1"/>
  <c r="H38" i="69" a="1"/>
  <c r="H38" i="69" s="1"/>
  <c r="D45" i="69"/>
  <c r="H37" i="69" a="1"/>
  <c r="H37" i="69" s="1"/>
  <c r="H33" i="69" a="1"/>
  <c r="H33" i="69" s="1"/>
  <c r="D21" i="69"/>
  <c r="G38" i="69" a="1"/>
  <c r="G38" i="69" s="1"/>
  <c r="G24" i="69" a="1"/>
  <c r="G24" i="69" s="1"/>
  <c r="I24" i="69" s="1" a="1"/>
  <c r="I24" i="69" s="1"/>
  <c r="H91" i="69" s="1"/>
  <c r="G37" i="69" a="1"/>
  <c r="G37" i="69" s="1"/>
  <c r="G23" i="69" a="1"/>
  <c r="G23" i="69" s="1"/>
  <c r="G36" i="69" a="1"/>
  <c r="G36" i="69" s="1"/>
  <c r="G22" i="69" a="1"/>
  <c r="G22" i="69" s="1"/>
  <c r="G35" i="69" a="1"/>
  <c r="G35" i="69" s="1"/>
  <c r="G34" i="69" a="1"/>
  <c r="G34" i="69" s="1"/>
  <c r="G33" i="69" a="1"/>
  <c r="G33" i="69" s="1"/>
  <c r="G32" i="69" a="1"/>
  <c r="G32" i="69" s="1"/>
  <c r="G31" i="69" a="1"/>
  <c r="G31" i="69" s="1"/>
  <c r="G30" i="69" a="1"/>
  <c r="G30" i="69" s="1"/>
  <c r="G29" i="69" a="1"/>
  <c r="G29" i="69" s="1"/>
  <c r="G28" i="69" a="1"/>
  <c r="G28" i="69" s="1"/>
  <c r="G27" i="69" a="1"/>
  <c r="G27" i="69" s="1"/>
  <c r="G40" i="69" a="1"/>
  <c r="G40" i="69" s="1"/>
  <c r="G26" i="69" a="1"/>
  <c r="G26" i="69" s="1"/>
  <c r="I26" i="69" s="1" a="1"/>
  <c r="I26" i="69" s="1"/>
  <c r="H93" i="69" s="1"/>
  <c r="G39" i="69" a="1"/>
  <c r="G39" i="69" s="1"/>
  <c r="G25" i="69" a="1"/>
  <c r="G25" i="69" s="1"/>
  <c r="H23" i="69" a="1"/>
  <c r="H23" i="69" s="1"/>
  <c r="H36" i="69" a="1"/>
  <c r="H36" i="69" s="1"/>
  <c r="H22" i="69" a="1"/>
  <c r="H22" i="69" s="1"/>
  <c r="H52" i="69" a="1"/>
  <c r="H52" i="69" s="1"/>
  <c r="H46" i="69" a="1"/>
  <c r="H46" i="69" s="1"/>
  <c r="H35" i="69" a="1"/>
  <c r="H35" i="69" s="1"/>
  <c r="H34" i="69" a="1"/>
  <c r="H34" i="69" s="1"/>
  <c r="H40" i="69" a="1"/>
  <c r="H40" i="69" s="1"/>
  <c r="E21" i="69"/>
  <c r="H21" i="69" s="1" a="1"/>
  <c r="H21" i="69" s="1"/>
  <c r="H32" i="69" a="1"/>
  <c r="H32" i="69" s="1"/>
  <c r="H30" i="69" a="1"/>
  <c r="H30" i="69" s="1"/>
  <c r="H29" i="69" a="1"/>
  <c r="H29" i="69" s="1"/>
  <c r="H28" i="69" a="1"/>
  <c r="H28" i="69" s="1"/>
  <c r="H27" i="69" a="1"/>
  <c r="H27" i="69" s="1"/>
  <c r="I124" i="69" l="1"/>
  <c r="I39" i="69" a="1"/>
  <c r="I39" i="69" s="1"/>
  <c r="H106" i="69" s="1"/>
  <c r="I64" i="69" a="1"/>
  <c r="I64" i="69" s="1"/>
  <c r="H134" i="69" s="1"/>
  <c r="I134" i="69"/>
  <c r="K134" i="69" s="1" a="1"/>
  <c r="K134" i="69" s="1"/>
  <c r="I31" i="69" a="1"/>
  <c r="I31" i="69" s="1"/>
  <c r="H98" i="69" s="1"/>
  <c r="I98" i="69" s="1"/>
  <c r="K98" i="69" s="1" a="1"/>
  <c r="K98" i="69" s="1"/>
  <c r="I91" i="69"/>
  <c r="K91" i="69" s="1" a="1"/>
  <c r="K91" i="69" s="1"/>
  <c r="I62" i="69" a="1"/>
  <c r="I62" i="69" s="1"/>
  <c r="H132" i="69" s="1"/>
  <c r="I132" i="69" s="1"/>
  <c r="K132" i="69" s="1" a="1"/>
  <c r="K132" i="69" s="1"/>
  <c r="I59" i="69" a="1"/>
  <c r="I59" i="69" s="1"/>
  <c r="H129" i="69" s="1"/>
  <c r="I129" i="69" s="1"/>
  <c r="K129" i="69" s="1" a="1"/>
  <c r="K129" i="69" s="1"/>
  <c r="I93" i="69"/>
  <c r="K93" i="69" s="1" a="1"/>
  <c r="K93" i="69" s="1"/>
  <c r="I131" i="69"/>
  <c r="K131" i="69" s="1" a="1"/>
  <c r="K131" i="69" s="1"/>
  <c r="I60" i="69" a="1"/>
  <c r="I60" i="69" s="1"/>
  <c r="H130" i="69" s="1"/>
  <c r="I130" i="69" s="1"/>
  <c r="K130" i="69" s="1" a="1"/>
  <c r="K130" i="69" s="1"/>
  <c r="I25" i="69" a="1"/>
  <c r="I25" i="69" s="1"/>
  <c r="H92" i="69" s="1"/>
  <c r="I92" i="69" s="1"/>
  <c r="K92" i="69" s="1" a="1"/>
  <c r="K92" i="69" s="1"/>
  <c r="I106" i="69"/>
  <c r="K106" i="69" s="1" a="1"/>
  <c r="K106" i="69" s="1"/>
  <c r="I27" i="69" a="1"/>
  <c r="I27" i="69" s="1"/>
  <c r="H94" i="69" s="1"/>
  <c r="I94" i="69" s="1"/>
  <c r="K94" i="69" s="1" a="1"/>
  <c r="K94" i="69" s="1"/>
  <c r="I36" i="69" a="1"/>
  <c r="I36" i="69" s="1"/>
  <c r="H103" i="69" s="1"/>
  <c r="I103" i="69" s="1"/>
  <c r="K103" i="69" s="1" a="1"/>
  <c r="K103" i="69" s="1"/>
  <c r="K124" i="69" a="1"/>
  <c r="K124" i="69" s="1"/>
  <c r="G115" i="69" a="1"/>
  <c r="G115" i="69" s="1"/>
  <c r="G88" i="69" a="1"/>
  <c r="G88" i="69" s="1"/>
  <c r="I49" i="69" a="1"/>
  <c r="I49" i="69" s="1"/>
  <c r="H119" i="69" s="1"/>
  <c r="I119" i="69" s="1"/>
  <c r="K119" i="69" s="1" a="1"/>
  <c r="K119" i="69" s="1"/>
  <c r="J115" i="69" a="1"/>
  <c r="J115" i="69" s="1"/>
  <c r="G45" i="69" a="1"/>
  <c r="G45" i="69" s="1"/>
  <c r="I45" i="69" s="1" a="1"/>
  <c r="I45" i="69" s="1"/>
  <c r="H115" i="69" s="1"/>
  <c r="I58" i="69" a="1"/>
  <c r="I58" i="69" s="1"/>
  <c r="H128" i="69" s="1"/>
  <c r="I128" i="69" s="1"/>
  <c r="K128" i="69" s="1" a="1"/>
  <c r="K128" i="69" s="1"/>
  <c r="I56" i="69" a="1"/>
  <c r="I56" i="69" s="1"/>
  <c r="H126" i="69" s="1"/>
  <c r="I126" i="69" s="1"/>
  <c r="K126" i="69" s="1" a="1"/>
  <c r="K126" i="69" s="1"/>
  <c r="I57" i="69" a="1"/>
  <c r="I57" i="69" s="1"/>
  <c r="H127" i="69" s="1"/>
  <c r="I127" i="69" s="1"/>
  <c r="K127" i="69" s="1" a="1"/>
  <c r="K127" i="69" s="1"/>
  <c r="I63" i="69" a="1"/>
  <c r="I63" i="69" s="1"/>
  <c r="H133" i="69" s="1"/>
  <c r="I133" i="69" s="1"/>
  <c r="K133" i="69" s="1" a="1"/>
  <c r="K133" i="69" s="1"/>
  <c r="I40" i="69" a="1"/>
  <c r="I40" i="69" s="1"/>
  <c r="H107" i="69" s="1"/>
  <c r="I107" i="69" s="1"/>
  <c r="K107" i="69" s="1" a="1"/>
  <c r="K107" i="69" s="1"/>
  <c r="I34" i="69" a="1"/>
  <c r="I34" i="69" s="1"/>
  <c r="H101" i="69" s="1"/>
  <c r="I101" i="69" s="1"/>
  <c r="K101" i="69" s="1" a="1"/>
  <c r="K101" i="69" s="1"/>
  <c r="I51" i="69" a="1"/>
  <c r="I51" i="69" s="1"/>
  <c r="H121" i="69" s="1"/>
  <c r="I121" i="69" s="1"/>
  <c r="K121" i="69" s="1" a="1"/>
  <c r="K121" i="69" s="1"/>
  <c r="I55" i="69" a="1"/>
  <c r="I55" i="69" s="1"/>
  <c r="H125" i="69" s="1"/>
  <c r="I125" i="69" s="1"/>
  <c r="K125" i="69" s="1" a="1"/>
  <c r="K125" i="69" s="1"/>
  <c r="I38" i="69" a="1"/>
  <c r="I38" i="69" s="1"/>
  <c r="H105" i="69" s="1"/>
  <c r="I105" i="69" s="1"/>
  <c r="K105" i="69" s="1" a="1"/>
  <c r="K105" i="69" s="1"/>
  <c r="I47" i="69" a="1"/>
  <c r="I47" i="69" s="1"/>
  <c r="H117" i="69" s="1"/>
  <c r="I117" i="69" s="1"/>
  <c r="K117" i="69" s="1" a="1"/>
  <c r="K117" i="69" s="1"/>
  <c r="G21" i="69" a="1"/>
  <c r="G21" i="69" s="1"/>
  <c r="I21" i="69" s="1" a="1"/>
  <c r="I21" i="69" s="1"/>
  <c r="H88" i="69" s="1"/>
  <c r="I35" i="69" a="1"/>
  <c r="I35" i="69" s="1"/>
  <c r="H102" i="69" s="1"/>
  <c r="I102" i="69" s="1"/>
  <c r="K102" i="69" s="1" a="1"/>
  <c r="K102" i="69" s="1"/>
  <c r="I22" i="69" a="1"/>
  <c r="I22" i="69" s="1"/>
  <c r="H89" i="69" s="1"/>
  <c r="I89" i="69" s="1"/>
  <c r="K89" i="69" s="1" a="1"/>
  <c r="K89" i="69" s="1"/>
  <c r="I50" i="69" a="1"/>
  <c r="I50" i="69" s="1"/>
  <c r="H120" i="69" s="1"/>
  <c r="I120" i="69" s="1"/>
  <c r="K120" i="69" s="1" a="1"/>
  <c r="K120" i="69" s="1"/>
  <c r="I23" i="69" a="1"/>
  <c r="I23" i="69" s="1"/>
  <c r="H90" i="69" s="1"/>
  <c r="I90" i="69" s="1"/>
  <c r="K90" i="69" s="1" a="1"/>
  <c r="K90" i="69" s="1"/>
  <c r="I37" i="69" a="1"/>
  <c r="I37" i="69" s="1"/>
  <c r="H104" i="69" s="1"/>
  <c r="I104" i="69" s="1"/>
  <c r="K104" i="69" s="1" a="1"/>
  <c r="K104" i="69" s="1"/>
  <c r="I52" i="69" a="1"/>
  <c r="I52" i="69" s="1"/>
  <c r="H122" i="69" s="1"/>
  <c r="I122" i="69" s="1"/>
  <c r="K122" i="69" s="1" a="1"/>
  <c r="K122" i="69" s="1"/>
  <c r="I53" i="69" a="1"/>
  <c r="I53" i="69" s="1"/>
  <c r="H123" i="69" s="1"/>
  <c r="I123" i="69" s="1"/>
  <c r="K123" i="69" s="1" a="1"/>
  <c r="K123" i="69" s="1"/>
  <c r="I30" i="69" a="1"/>
  <c r="I30" i="69" s="1"/>
  <c r="H97" i="69" s="1"/>
  <c r="I97" i="69" s="1"/>
  <c r="K97" i="69" s="1" a="1"/>
  <c r="K97" i="69" s="1"/>
  <c r="I29" i="69" a="1"/>
  <c r="I29" i="69" s="1"/>
  <c r="H96" i="69" s="1"/>
  <c r="I96" i="69" s="1"/>
  <c r="K96" i="69" s="1" a="1"/>
  <c r="K96" i="69" s="1"/>
  <c r="I46" i="69" a="1"/>
  <c r="I46" i="69" s="1"/>
  <c r="H116" i="69" s="1"/>
  <c r="I116" i="69" s="1"/>
  <c r="K116" i="69" s="1" a="1"/>
  <c r="K116" i="69" s="1"/>
  <c r="I28" i="69" a="1"/>
  <c r="I28" i="69" s="1"/>
  <c r="H95" i="69" s="1"/>
  <c r="I95" i="69" s="1"/>
  <c r="K95" i="69" s="1" a="1"/>
  <c r="K95" i="69" s="1"/>
  <c r="I32" i="69" a="1"/>
  <c r="I32" i="69" s="1"/>
  <c r="H99" i="69" s="1"/>
  <c r="I99" i="69" s="1"/>
  <c r="K99" i="69" s="1" a="1"/>
  <c r="K99" i="69" s="1"/>
  <c r="I48" i="69" a="1"/>
  <c r="I48" i="69" s="1"/>
  <c r="H118" i="69" s="1"/>
  <c r="I118" i="69" s="1"/>
  <c r="K118" i="69" s="1" a="1"/>
  <c r="K118" i="69" s="1"/>
  <c r="I33" i="69" a="1"/>
  <c r="I33" i="69" s="1"/>
  <c r="H100" i="69" s="1"/>
  <c r="I100" i="69" s="1"/>
  <c r="K100" i="69" s="1" a="1"/>
  <c r="K100" i="69" s="1"/>
  <c r="I88" i="69" l="1"/>
  <c r="K88" i="69" s="1" a="1"/>
  <c r="K88" i="69" s="1"/>
  <c r="E109" i="69" s="1"/>
  <c r="E9" i="13" s="1"/>
  <c r="I115" i="69"/>
  <c r="K115" i="69" a="1"/>
  <c r="K115" i="69" s="1"/>
  <c r="E136" i="69" s="1"/>
  <c r="E13" i="13" s="1"/>
  <c r="F13" i="13" s="1"/>
  <c r="F9" i="13" l="1"/>
  <c r="E259" i="111" l="1" a="1"/>
  <c r="E259" i="111" s="1"/>
  <c r="D259" i="111" a="1"/>
  <c r="D259" i="111" s="1"/>
  <c r="E258" i="111" a="1"/>
  <c r="E258" i="111" s="1"/>
  <c r="D258" i="111" a="1"/>
  <c r="D258" i="111" s="1"/>
  <c r="D256" i="111" a="1"/>
  <c r="D256" i="111" s="1"/>
  <c r="D255" i="111" a="1"/>
  <c r="D255" i="111" s="1"/>
  <c r="D254" i="111" a="1"/>
  <c r="D254" i="111" s="1"/>
  <c r="D253" i="111" a="1"/>
  <c r="D253" i="111" s="1"/>
  <c r="S250" i="111" l="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H50" i="111" l="1"/>
  <c r="H51" i="111"/>
  <c r="H49" i="111"/>
  <c r="H53" i="111"/>
  <c r="H48" i="111"/>
  <c r="H54" i="111"/>
  <c r="H52" i="1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<sst xmlns="http://schemas.openxmlformats.org/spreadsheetml/2006/main" count="214" uniqueCount="138">
  <si>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</si>
  <si>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</si>
  <si>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</si>
  <si>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</si>
  <si>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</si>
  <si>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</si>
  <si>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</si>
  <si>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</si>
  <si>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</si>
  <si>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</si>
  <si>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</si>
  <si>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</si>
  <si>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</si>
  <si>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</si>
  <si>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</si>
  <si>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</si>
  <si>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</si>
  <si>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</si>
  <si>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</si>
  <si>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</si>
  <si>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</si>
  <si>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</si>
  <si>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</si>
  <si>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</si>
  <si>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</si>
  <si>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</si>
  <si>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</si>
  <si>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</si>
  <si>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</si>
  <si>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</si>
  <si>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</si>
  <si>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</si>
  <si>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</si>
  <si>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</si>
  <si>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</si>
  <si>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</si>
  <si>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</si>
  <si>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</si>
  <si>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</si>
  <si>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</si>
  <si>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</si>
  <si>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</si>
  <si>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</si>
  <si>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</si>
  <si>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</si>
  <si>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</si>
  <si>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</si>
  <si>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</si>
  <si>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</si>
  <si>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</si>
  <si>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</si>
  <si>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</si>
  <si>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</si>
  <si>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</si>
  <si>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</si>
  <si>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</si>
  <si>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</si>
  <si>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</si>
  <si>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</si>
  <si>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</si>
  <si>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</si>
  <si>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</si>
  <si>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</si>
  <si>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</si>
  <si>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</si>
  <si>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</si>
  <si>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</si>
  <si>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</si>
  <si>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</si>
  <si>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</si>
  <si>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</si>
  <si>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</si>
  <si>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</si>
  <si>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</si>
  <si>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</si>
  <si>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</si>
  <si>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</si>
  <si>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</si>
  <si>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</si>
  <si>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</si>
  <si>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</si>
  <si>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</si>
  <si>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</si>
  <si>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</si>
  <si>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</si>
  <si>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</si>
  <si>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</si>
  <si>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</si>
  <si>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</si>
  <si>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</si>
  <si>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</si>
  <si>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</si>
  <si>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</si>
  <si>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</si>
  <si>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</si>
  <si>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</si>
  <si>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</si>
  <si>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t>Qwt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</si>
  <si>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</si>
  <si>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</si>
  <si>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</si>
  <si>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</si>
  <si>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</si>
  <si>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</si>
  <si>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</si>
  <si>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</si>
  <si>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</si>
  <si>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</si>
  <si>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</si>
  <si>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</si>
  <si>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</si>
  <si>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</si>
  <si>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</si>
  <si>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</si>
  <si>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</si>
  <si>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Burn all the cardboard</t>
  </si>
  <si>
    <t>Treated on-site</t>
  </si>
  <si>
    <t>Incineration</t>
  </si>
  <si>
    <t>Paper and cardboard</t>
  </si>
  <si>
    <t>Table_V_w_t_onsite</t>
  </si>
  <si>
    <t>Table_V_w_t_offsite</t>
  </si>
  <si>
    <t>EFwtg</t>
  </si>
  <si>
    <t>Eg</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</si>
  <si>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</si>
  <si>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</si>
  <si>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</si>
  <si>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</si>
  <si>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Qmasswt</t>
  </si>
  <si>
    <t>Qvolwt</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</si>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</sst>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7">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68">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𝐸_𝑔=∑10_𝑡▒∑10_𝑤▒(𝑄_𝑤𝑡×𝐸𝐹_𝑤𝑡𝑔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5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9:I20" totalsRowShown="0">
  <autoFilter ref="I9:I20"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9:K16" totalsRowShown="0" headerRowDxfId="55" headerRowCellStyle="Content normal" dataCellStyle="Content normal">
  <autoFilter ref="K9:K16" xr:uid="{9A900595-7035-4239-9059-ACC16835BF72}">
    <filterColumn colId="0" hiddenButton="1"/>
  </autoFilter>
  <tableColumns count="1">
    <tableColumn id="1" xr3:uid="{CF8EAE7E-F7CA-426B-9112-705975B5522A}" name="Waste type w" dataCellStyle="Content normal">
      <calculatedColumnFormula>E21</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9:M10" totalsRowShown="0" headerRowDxfId="54" headerRowCellStyle="Content normal" dataCellStyle="Content normal">
  <autoFilter ref="M9:M10" xr:uid="{5C8D39D3-1330-49EB-B431-1B2B8C8238DC}">
    <filterColumn colId="0" hiddenButton="1"/>
  </autoFilter>
  <tableColumns count="1">
    <tableColumn id="1" xr3:uid="{5B9ABACD-52AE-4D64-BCA6-1DA86A1A3FC3}" name="Waste type w" dataCellStyle="Content normal">
      <calculatedColumnFormula>E28</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9:O10" totalsRowShown="0" headerRowDxfId="53" headerRowCellStyle="Content normal" dataCellStyle="Content normal">
  <autoFilter ref="O9:O10" xr:uid="{331EC43E-DF68-429F-A2A4-58BFE6216EC3}">
    <filterColumn colId="0" hiddenButton="1"/>
  </autoFilter>
  <tableColumns count="1">
    <tableColumn id="1" xr3:uid="{2D7DB5DA-05BB-4621-B5A8-576415999BBC}" name="Waste type w" dataCellStyle="Content normal">
      <calculatedColumnFormula>E29</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136</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137</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129</v>
      </c>
      <c r="E9" s="53">
        <f>'10.1.1-2 Solid waste treatment'!E109</f>
        <v>210.92105000000001</v>
      </c>
      <c r="F9" s="53">
        <f>E9</f>
        <v>210.92105000000001</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130</v>
      </c>
      <c r="E12" s="39" t="s">
        <v>60</v>
      </c>
      <c r="F12" s="39" t="s">
        <v>61</v>
      </c>
      <c r="G12" s="39" t="s">
        <v>55</v>
      </c>
      <c r="H12" s="18"/>
    </row>
    <row r="13" spans="1:8" ht="20.100000000000001" customHeight="1" x14ac:dyDescent="0.25">
      <c r="A13" s="14" t="s">
        <v>2</v>
      </c>
      <c r="C13" s="18"/>
      <c r="D13" s="1" t="s">
        <v>129</v>
      </c>
      <c r="E13" s="53">
        <f>'10.1.1-2 Solid waste treatment'!E136</f>
        <v>158.42105000000001</v>
      </c>
      <c r="F13" s="53">
        <f>E13</f>
        <v>158.42105000000001</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D14" sqref="D14"/>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100</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114</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105</v>
      </c>
      <c r="F9" s="67" t="s">
        <v>104</v>
      </c>
      <c r="G9" s="67" t="s">
        <v>103</v>
      </c>
      <c r="H9" s="67" t="s">
        <v>106</v>
      </c>
      <c r="I9" s="67" t="s">
        <v>102</v>
      </c>
    </row>
    <row r="10" spans="1:10" ht="20.100000000000001" customHeight="1" x14ac:dyDescent="0.25">
      <c r="A10" s="15" t="s">
        <v>45</v>
      </c>
      <c r="D10" s="26" t="s">
        <v>115</v>
      </c>
      <c r="E10" s="27" t="s">
        <v>117</v>
      </c>
      <c r="F10" s="27" t="s">
        <v>118</v>
      </c>
      <c r="G10" s="27" t="s">
        <v>112</v>
      </c>
      <c r="H10" s="75">
        <v>50</v>
      </c>
      <c r="I10" s="27" t="s">
        <v>113</v>
      </c>
    </row>
    <row r="11" spans="1:10" ht="20.100000000000001" customHeight="1" x14ac:dyDescent="0.25">
      <c r="A11" s="13" t="str">
        <f>HYPERLINK("#'10.1.1-2 Solid waste treatment'!A1", "10.1.1-2 Solid waste treatment")</f>
        <v>10.1.1-2 Solid waste treatment</v>
      </c>
      <c r="D11" s="26"/>
      <c r="E11" s="27" t="s">
        <v>117</v>
      </c>
      <c r="F11" s="27" t="s">
        <v>118</v>
      </c>
      <c r="G11" s="27" t="s">
        <v>116</v>
      </c>
      <c r="H11" s="75">
        <v>50</v>
      </c>
      <c r="I11" s="27" t="s">
        <v>113</v>
      </c>
    </row>
    <row r="12" spans="1:10" ht="20.100000000000001" customHeight="1" x14ac:dyDescent="0.25">
      <c r="A12" s="13"/>
      <c r="D12" s="26"/>
      <c r="E12" s="27" t="s">
        <v>117</v>
      </c>
      <c r="F12" s="27" t="s">
        <v>118</v>
      </c>
      <c r="G12" s="27" t="s">
        <v>112</v>
      </c>
      <c r="H12" s="75">
        <v>50</v>
      </c>
      <c r="I12" s="27" t="s">
        <v>101</v>
      </c>
    </row>
    <row r="13" spans="1:10" ht="20.100000000000001" customHeight="1" x14ac:dyDescent="0.25">
      <c r="A13" s="14" t="s">
        <v>2</v>
      </c>
      <c r="D13" s="26"/>
      <c r="E13" s="27" t="s">
        <v>117</v>
      </c>
      <c r="F13" s="27" t="s">
        <v>118</v>
      </c>
      <c r="G13" s="27" t="s">
        <v>116</v>
      </c>
      <c r="H13" s="75">
        <v>50</v>
      </c>
      <c r="I13" s="27" t="s">
        <v>101</v>
      </c>
    </row>
    <row r="14" spans="1:10" ht="20.100000000000001" customHeight="1" x14ac:dyDescent="0.25">
      <c r="A14" s="13" t="str">
        <f>HYPERLINK("#'Constants - Solid waste'!A1", "Constants - Solid waste")</f>
        <v>Constants - Solid waste</v>
      </c>
      <c r="D14" s="26"/>
      <c r="E14" s="27" t="s">
        <v>107</v>
      </c>
      <c r="F14" s="27" t="s">
        <v>126</v>
      </c>
      <c r="G14" s="27" t="s">
        <v>112</v>
      </c>
      <c r="H14" s="75">
        <v>50</v>
      </c>
      <c r="I14" s="27" t="s">
        <v>113</v>
      </c>
    </row>
    <row r="15" spans="1:10" ht="20.100000000000001" customHeight="1" x14ac:dyDescent="0.25">
      <c r="A15" s="13" t="str">
        <f>HYPERLINK("#'Constants - Common'!A1", "Constants - Common")</f>
        <v>Constants - Common</v>
      </c>
      <c r="D15" s="26"/>
      <c r="E15" s="27" t="s">
        <v>107</v>
      </c>
      <c r="F15" s="27" t="s">
        <v>126</v>
      </c>
      <c r="G15" s="27" t="s">
        <v>116</v>
      </c>
      <c r="H15" s="75">
        <v>50</v>
      </c>
      <c r="I15" s="27" t="s">
        <v>113</v>
      </c>
    </row>
    <row r="16" spans="1:10" ht="20.100000000000001" customHeight="1" x14ac:dyDescent="0.25">
      <c r="D16" s="26"/>
      <c r="E16" s="27" t="s">
        <v>107</v>
      </c>
      <c r="F16" s="27" t="s">
        <v>126</v>
      </c>
      <c r="G16" s="27" t="s">
        <v>112</v>
      </c>
      <c r="H16" s="75">
        <v>50</v>
      </c>
      <c r="I16" s="27" t="s">
        <v>101</v>
      </c>
    </row>
    <row r="17" spans="1:11" ht="20.100000000000001" customHeight="1" x14ac:dyDescent="0.25">
      <c r="D17" s="26"/>
      <c r="E17" s="27" t="s">
        <v>107</v>
      </c>
      <c r="F17" s="27" t="s">
        <v>126</v>
      </c>
      <c r="G17" s="27" t="s">
        <v>116</v>
      </c>
      <c r="H17" s="75">
        <v>50</v>
      </c>
      <c r="I17" s="27" t="s">
        <v>101</v>
      </c>
    </row>
    <row r="18" spans="1:11" ht="20.100000000000001" customHeight="1" x14ac:dyDescent="0.25">
      <c r="D18" s="26"/>
      <c r="E18" s="27" t="s">
        <v>107</v>
      </c>
      <c r="F18" s="27" t="s">
        <v>126</v>
      </c>
      <c r="G18" s="27" t="s">
        <v>116</v>
      </c>
      <c r="H18" s="75">
        <v>50</v>
      </c>
      <c r="I18" s="27" t="s">
        <v>113</v>
      </c>
    </row>
    <row r="19" spans="1:11" ht="20.100000000000001" customHeight="1" x14ac:dyDescent="0.25"/>
    <row r="20" spans="1:11" ht="20.100000000000001" customHeight="1" x14ac:dyDescent="0.25">
      <c r="A20" s="13"/>
    </row>
    <row r="21" spans="1:11" ht="20.100000000000001" customHeight="1" x14ac:dyDescent="0.25">
      <c r="A21" s="13"/>
    </row>
    <row r="22" spans="1:11" ht="20.100000000000001" customHeight="1" x14ac:dyDescent="0.25"/>
    <row r="23" spans="1:11" ht="20.100000000000001" customHeight="1" x14ac:dyDescent="0.25">
      <c r="A23" s="13"/>
    </row>
    <row r="24" spans="1:11" ht="20.100000000000001" customHeight="1" x14ac:dyDescent="0.25"/>
    <row r="25" spans="1:11" ht="20.100000000000001" customHeight="1" x14ac:dyDescent="0.25"/>
    <row r="26" spans="1:11" ht="20.100000000000001" customHeight="1" x14ac:dyDescent="0.25"/>
    <row r="27" spans="1:11" ht="20.100000000000001" customHeight="1" x14ac:dyDescent="0.25"/>
    <row r="28" spans="1:11" ht="20.100000000000001" customHeight="1" x14ac:dyDescent="0.25"/>
    <row r="29" spans="1:11" ht="20.100000000000001" customHeight="1" x14ac:dyDescent="0.25">
      <c r="A29" s="13"/>
      <c r="K29" s="47"/>
    </row>
    <row r="30" spans="1:11" ht="20.100000000000001" customHeight="1" x14ac:dyDescent="0.25">
      <c r="A30" s="13"/>
      <c r="K30" s="47"/>
    </row>
    <row r="31" spans="1:11" ht="20.100000000000001" customHeight="1" x14ac:dyDescent="0.25">
      <c r="A31" s="32"/>
      <c r="K31" s="47"/>
    </row>
    <row r="32" spans="1:11" ht="20.100000000000001" customHeight="1" x14ac:dyDescent="0.25">
      <c r="A32" s="32"/>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row r="54" spans="4:4" ht="20.100000000000001" customHeight="1" x14ac:dyDescent="0.25"/>
    <row r="55" spans="4:4" ht="20.100000000000001" customHeight="1" x14ac:dyDescent="0.25"/>
    <row r="56" spans="4:4" ht="20.100000000000001" customHeight="1" x14ac:dyDescent="0.25"/>
    <row r="57" spans="4:4" ht="20.100000000000001" customHeight="1" x14ac:dyDescent="0.25"/>
    <row r="58" spans="4:4" ht="20.100000000000001" customHeight="1" x14ac:dyDescent="0.25"/>
    <row r="59" spans="4:4" ht="20.100000000000001" customHeight="1" x14ac:dyDescent="0.25">
      <c r="D59" s="66"/>
    </row>
    <row r="60" spans="4:4" ht="20.100000000000001" customHeight="1" x14ac:dyDescent="0.25"/>
    <row r="61" spans="4:4" ht="20.100000000000001" customHeight="1" x14ac:dyDescent="0.25">
      <c r="D61" s="66"/>
    </row>
    <row r="62" spans="4:4" ht="20.100000000000001" customHeight="1" x14ac:dyDescent="0.25">
      <c r="D62" s="66"/>
    </row>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F148:F149">
    <cfRule type="cellIs" dxfId="16" priority="20" operator="lessThan">
      <formula>0</formula>
    </cfRule>
  </conditionalFormatting>
  <conditionalFormatting sqref="F160:F161">
    <cfRule type="cellIs" dxfId="15" priority="19" operator="lessThan">
      <formula>0</formula>
    </cfRule>
  </conditionalFormatting>
  <conditionalFormatting sqref="F172:F173">
    <cfRule type="cellIs" dxfId="14" priority="18" operator="lessThan">
      <formula>0</formula>
    </cfRule>
  </conditionalFormatting>
  <conditionalFormatting sqref="F260:F261">
    <cfRule type="cellIs" dxfId="13" priority="93" operator="lessThan">
      <formula>0</formula>
    </cfRule>
  </conditionalFormatting>
  <conditionalFormatting sqref="F265:F266">
    <cfRule type="cellIs" dxfId="12" priority="92" operator="lessThan">
      <formula>0</formula>
    </cfRule>
  </conditionalFormatting>
  <conditionalFormatting sqref="F270:F271">
    <cfRule type="cellIs" dxfId="11" priority="91" operator="lessThan">
      <formula>0</formula>
    </cfRule>
  </conditionalFormatting>
  <conditionalFormatting sqref="F294:F295">
    <cfRule type="cellIs" dxfId="10" priority="85" operator="lessThan">
      <formula>0</formula>
    </cfRule>
  </conditionalFormatting>
  <conditionalFormatting sqref="F299:F300">
    <cfRule type="cellIs" dxfId="9" priority="84" operator="lessThan">
      <formula>0</formula>
    </cfRule>
  </conditionalFormatting>
  <conditionalFormatting sqref="F304:F305">
    <cfRule type="cellIs" dxfId="8" priority="83" operator="lessThan">
      <formula>0</formula>
    </cfRule>
  </conditionalFormatting>
  <conditionalFormatting sqref="I19 F57">
    <cfRule type="cellIs" dxfId="7" priority="62" operator="lessThan">
      <formula>0</formula>
    </cfRule>
  </conditionalFormatting>
  <conditionalFormatting sqref="I65:I69">
    <cfRule type="cellIs" dxfId="6" priority="5" operator="lessThan">
      <formula>0</formula>
    </cfRule>
  </conditionalFormatting>
  <conditionalFormatting sqref="I73 I132">
    <cfRule type="cellIs" dxfId="5" priority="74" operator="lessThan">
      <formula>0</formula>
    </cfRule>
  </conditionalFormatting>
  <conditionalFormatting sqref="I84:I86">
    <cfRule type="cellIs" dxfId="4" priority="4" operator="lessThan">
      <formula>0</formula>
    </cfRule>
  </conditionalFormatting>
  <conditionalFormatting sqref="I90:I93">
    <cfRule type="cellIs" dxfId="3" priority="3" operator="lessThan">
      <formula>0</formula>
    </cfRule>
  </conditionalFormatting>
  <conditionalFormatting sqref="I97:I101">
    <cfRule type="cellIs" dxfId="2" priority="1" operator="lessThan">
      <formula>0</formula>
    </cfRule>
  </conditionalFormatting>
  <conditionalFormatting sqref="J8 I51:I52 H53:H55 I54 I56:I58 I60:I61 I212 I218 E220:G220">
    <cfRule type="cellIs" dxfId="1" priority="79" operator="lessThan">
      <formula>0</formula>
    </cfRule>
  </conditionalFormatting>
  <conditionalFormatting sqref="J37 I45 F136:F137">
    <cfRule type="cellIs" dxfId="0" priority="21" operator="lessThan">
      <formula>0</formula>
    </cfRule>
  </conditionalFormatting>
  <dataValidations count="9">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E21" xr:uid="{48A1E533-1334-4AAC-A5F5-B295A34573CB}">
      <formula1>INDIRECT("Table_SourceData_ElectricityEFs[State, Territory or grid description]")</formula1>
    </dataValidation>
    <dataValidation type="list" allowBlank="1" showInputMessage="1" showErrorMessage="1" sqref="E10:E18" xr:uid="{BE2CA0F8-93F9-493C-B304-DCA372760E4E}">
      <formula1>INDIRECT(_xlfn.UNIQUE("Table_SourceData_WasteSolid_WasteTreatmentEFs[Treatment type t]"))</formula1>
    </dataValidation>
    <dataValidation type="list" allowBlank="1" showInputMessage="1" showErrorMessage="1" sqref="G10:G18" xr:uid="{EB782CB2-069D-4346-96A4-9C640517727F}">
      <formula1>"Treated on-site, Removed and treated off-site"</formula1>
    </dataValidation>
    <dataValidation type="list" allowBlank="1" showInputMessage="1" showErrorMessage="1" sqref="I10:I18" xr:uid="{5637D9FB-43C0-46B6-8C23-E9E5D77EE5AE}">
      <formula1>"tonnes, cubic metres m3"</formula1>
    </dataValidation>
    <dataValidation type="list" allowBlank="1" showInputMessage="1" showErrorMessage="1" sqref="F10:F18"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tabSelected="1" zoomScaleNormal="100" workbookViewId="0">
      <selection activeCell="G21" sqref="G21"/>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HYPERLINK(Common_InputFunctions.Utility_SourceHyperlink($D$42),$D$42)</f>
        <v>Table_V_w_t_offsite</v>
      </c>
      <c r="K13" s="76"/>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HYPERLINK(Common_InputFunctions.Utility_SourceHyperlink($D$42),$D$42)</f>
        <v>Table_V_w_t_offsite</v>
      </c>
      <c r="K14" s="76"/>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HYPERLINK(Common_InputFunctions.Utility_SourceHyperlink($D$42),$D$42)</f>
        <v>Table_V_w_t_offsite</v>
      </c>
      <c r="K15" s="76"/>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HYPERLINK(Common_InputFunctions.Utility_SourceHyperlink($D$42),$D$42)</f>
        <v>Table_V_w_t_offsite</v>
      </c>
      <c r="K16" s="76"/>
    </row>
    <row r="17" spans="1:9" ht="20.100000000000001" customHeight="1" x14ac:dyDescent="0.25"/>
    <row r="18" spans="1:9" ht="20.100000000000001" customHeight="1" x14ac:dyDescent="0.25">
      <c r="D18" s="70" t="s">
        <v>119</v>
      </c>
    </row>
    <row r="19" spans="1:9" ht="20.100000000000001" customHeight="1" x14ac:dyDescent="0.25">
      <c r="D19" s="71" t="s">
        <v>124</v>
      </c>
    </row>
    <row r="20" spans="1:9" ht="20.100000000000001" customHeight="1" x14ac:dyDescent="0.25">
      <c r="A20" s="13"/>
      <c r="D20" s="67" t="s">
        <v>94</v>
      </c>
      <c r="E20" s="67" t="s">
        <v>95</v>
      </c>
      <c r="F20" s="67"/>
      <c r="G20" s="67" t="s">
        <v>96</v>
      </c>
      <c r="H20" s="72" t="s">
        <v>99</v>
      </c>
      <c r="I20" s="72" t="s">
        <v>98</v>
      </c>
    </row>
    <row r="21" spans="1:9" ht="20.100000000000001" customHeight="1" x14ac:dyDescent="0.25">
      <c r="A21" s="13"/>
      <c r="D21" s="49" t="str" cm="1">
        <f t="array" ref="D21:D40">Table_SourceData_WasteSolid_WasteTreatmentEFs[Treatment type t]</f>
        <v>Landfill</v>
      </c>
      <c r="E21" s="51" t="str" cm="1">
        <f t="array" ref="E21:E40">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100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50</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0</v>
      </c>
    </row>
    <row r="23" spans="1:9" ht="20.100000000000001" customHeight="1" x14ac:dyDescent="0.25">
      <c r="A23" s="13"/>
      <c r="D23" s="49" t="str">
        <v>Landfill</v>
      </c>
      <c r="E23" s="51" t="str">
        <v>Green waste (including crop residues or prunnings)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28" cm="1">
        <f t="array" ref="H23">Common_InputFunctions.Utility_LookupValueInTableNumber(E23,Table_SourceData_WasteSolid_VolumeToMassConversion[Waste type w],Table_SourceData_WasteSolid_VolumeToMassConversion[VTMw])</f>
        <v>0</v>
      </c>
      <c r="I23" s="28" cm="1">
        <f t="array" ref="I23">WasteSolid_Equations.VEERG_10_1_1_1__2_MassOfWasteFromVolume(G23,H23)</f>
        <v>0</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28" cm="1">
        <f t="array" ref="H32">Common_InputFunctions.Utility_LookupValueInTableNumber(E32,Table_SourceData_WasteSolid_VolumeToMassConversion[Waste type w],Table_SourceData_WasteSolid_VolumeToMassConversion[VTMw])</f>
        <v>0</v>
      </c>
      <c r="I32" s="28" cm="1">
        <f t="array" ref="I32">WasteSolid_Equations.VEERG_10_1_1_1__2_MassOfWasteFromVolume(G32,H32)</f>
        <v>0</v>
      </c>
    </row>
    <row r="33" spans="4:9" ht="20.100000000000001" customHeight="1" x14ac:dyDescent="0.25">
      <c r="D33" s="49" t="str">
        <v>Incineration</v>
      </c>
      <c r="E33" s="51" t="str">
        <v>Paper and cardboard</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50</v>
      </c>
      <c r="H33" s="28" cm="1">
        <f t="array" ref="H33">Common_InputFunctions.Utility_LookupValueInTableNumber(E33,Table_SourceData_WasteSolid_VolumeToMassConversion[Waste type w],Table_SourceData_WasteSolid_VolumeToMassConversion[VTMw])</f>
        <v>0.09</v>
      </c>
      <c r="I33" s="28" cm="1">
        <f t="array" ref="I33">WasteSolid_Equations.VEERG_10_1_1_1__2_MassOfWasteFromVolume(G33,H33)</f>
        <v>4.5</v>
      </c>
    </row>
    <row r="34" spans="4:9" ht="20.100000000000001" customHeight="1" x14ac:dyDescent="0.25">
      <c r="D34" s="49" t="str">
        <v>Incineration</v>
      </c>
      <c r="E34" s="51" t="str">
        <v>Textiles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28" cm="1">
        <f t="array" ref="H34">Common_InputFunctions.Utility_LookupValueInTableNumber(E34,Table_SourceData_WasteSolid_VolumeToMassConversion[Waste type w],Table_SourceData_WasteSolid_VolumeToMassConversion[VTMw])</f>
        <v>0.14000000000000001</v>
      </c>
      <c r="I34" s="28" cm="1">
        <f t="array" ref="I34">WasteSolid_Equations.VEERG_10_1_1_1__2_MassOfWasteFromVolume(G34,H34)</f>
        <v>0</v>
      </c>
    </row>
    <row r="35" spans="4:9" ht="20.100000000000001" customHeight="1" x14ac:dyDescent="0.25">
      <c r="D35" s="49" t="str">
        <v>Incineration</v>
      </c>
      <c r="E35" s="51" t="str">
        <v>Rubber and leather</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0.14000000000000001</v>
      </c>
      <c r="I35" s="28" cm="1">
        <f t="array" ref="I35">WasteSolid_Equations.VEERG_10_1_1_1__2_MassOfWasteFromVolume(G35,H35)</f>
        <v>0</v>
      </c>
    </row>
    <row r="36" spans="4:9" ht="20.100000000000001" customHeight="1" x14ac:dyDescent="0.25">
      <c r="D36" s="49" t="str">
        <v>Incineration</v>
      </c>
      <c r="E36" s="51" t="str">
        <v>Inert Waste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v>
      </c>
      <c r="I36" s="28" cm="1">
        <f t="array" ref="I36">WasteSolid_Equations.VEERG_10_1_1_1__2_MassOfWasteFromVolume(G36,H36)</f>
        <v>0</v>
      </c>
    </row>
    <row r="37" spans="4:9" ht="20.100000000000001" customHeight="1" x14ac:dyDescent="0.25">
      <c r="D37" s="49" t="str">
        <v>Incineration</v>
      </c>
      <c r="E37" s="51" t="str">
        <v>Municipal Solid Waste</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28" cm="1">
        <f t="array" ref="H37">Common_InputFunctions.Utility_LookupValueInTableNumber(E37,Table_SourceData_WasteSolid_VolumeToMassConversion[Waste type w],Table_SourceData_WasteSolid_VolumeToMassConversion[VTMw])</f>
        <v>0.36</v>
      </c>
      <c r="I37" s="28" cm="1">
        <f t="array" ref="I37">WasteSolid_Equations.VEERG_10_1_1_1__2_MassOfWasteFromVolume(G37,H37)</f>
        <v>0</v>
      </c>
    </row>
    <row r="38" spans="4:9" ht="20.100000000000001" customHeight="1" x14ac:dyDescent="0.25">
      <c r="D38" s="49" t="str">
        <v>Incineration</v>
      </c>
      <c r="E38" s="51" t="str">
        <v>Industrial Waste</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v>
      </c>
      <c r="I38" s="28" cm="1">
        <f t="array" ref="I38">WasteSolid_Equations.VEERG_10_1_1_1__2_MassOfWasteFromVolume(G38,H38)</f>
        <v>0</v>
      </c>
    </row>
    <row r="39" spans="4:9" ht="20.100000000000001" customHeight="1" x14ac:dyDescent="0.25">
      <c r="D39" s="49" t="str">
        <v>Composting</v>
      </c>
      <c r="E39" s="51" t="str">
        <v>All organic waste</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v>
      </c>
      <c r="I39" s="28" cm="1">
        <f t="array" ref="I39">WasteSolid_Equations.VEERG_10_1_1_1__2_MassOfWasteFromVolume(G39,H39)</f>
        <v>0</v>
      </c>
    </row>
    <row r="40" spans="4:9" ht="20.100000000000001" customHeight="1" x14ac:dyDescent="0.25">
      <c r="D40" s="49" t="str">
        <v>Anaerobic digestion</v>
      </c>
      <c r="E40" s="51" t="str">
        <v>All organic waste</v>
      </c>
      <c r="F40" s="73"/>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v>
      </c>
      <c r="I40" s="28" cm="1">
        <f t="array" ref="I40">WasteSolid_Equations.VEERG_10_1_1_1__2_MassOfWasteFromVolume(G40,H40)</f>
        <v>0</v>
      </c>
    </row>
    <row r="41" spans="4:9" ht="20.100000000000001" customHeight="1" x14ac:dyDescent="0.25"/>
    <row r="42" spans="4:9" ht="20.100000000000001" customHeight="1" x14ac:dyDescent="0.25">
      <c r="D42" s="70" t="s">
        <v>120</v>
      </c>
    </row>
    <row r="43" spans="4:9" ht="20.100000000000001" customHeight="1" x14ac:dyDescent="0.25">
      <c r="D43" s="71" t="s">
        <v>125</v>
      </c>
    </row>
    <row r="44" spans="4:9" ht="20.100000000000001" customHeight="1" x14ac:dyDescent="0.25">
      <c r="D44" s="67" t="s">
        <v>94</v>
      </c>
      <c r="E44" s="67" t="s">
        <v>95</v>
      </c>
      <c r="F44" s="67"/>
      <c r="G44" s="67" t="s">
        <v>96</v>
      </c>
      <c r="H44" s="72" t="s">
        <v>99</v>
      </c>
      <c r="I44" s="72" t="s">
        <v>98</v>
      </c>
    </row>
    <row r="45" spans="4:9" ht="20.100000000000001" customHeight="1" x14ac:dyDescent="0.25">
      <c r="D45" s="49" t="str" cm="1">
        <f t="array" ref="D45:D64">Table_SourceData_WasteSolid_WasteTreatmentEFs[Treatment type t]</f>
        <v>Landfill</v>
      </c>
      <c r="E45" s="51" t="str" cm="1">
        <f t="array" ref="E45:E64">Table_SourceData_WasteSolid_WasteTreatmentEFs[Waste type w]</f>
        <v>Food waste (including animal carcasses, spoiled animal feed or crop)</v>
      </c>
      <c r="F45" s="73"/>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50</v>
      </c>
      <c r="H45" s="28" cm="1">
        <f t="array" ref="H45">Common_InputFunctions.Utility_LookupValueInTableNumber(E45,Table_SourceData_WasteSolid_VolumeToMassConversion[Waste type w],Table_SourceData_WasteSolid_VolumeToMassConversion[VTMw])</f>
        <v>0.5</v>
      </c>
      <c r="I45" s="28" cm="1">
        <f t="array" ref="I45">WasteSolid_Equations.VEERG_10_1_1_1__2_MassOfWasteFromVolume(G45,H45)</f>
        <v>25</v>
      </c>
    </row>
    <row r="46" spans="4:9" ht="20.100000000000001" customHeight="1" x14ac:dyDescent="0.25">
      <c r="D46" s="49" t="str">
        <v>Landfill</v>
      </c>
      <c r="E46" s="51" t="str">
        <v>Paper and cardboard</v>
      </c>
      <c r="F46" s="73"/>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28" cm="1">
        <f t="array" ref="H46">Common_InputFunctions.Utility_LookupValueInTableNumber(E46,Table_SourceData_WasteSolid_VolumeToMassConversion[Waste type w],Table_SourceData_WasteSolid_VolumeToMassConversion[VTMw])</f>
        <v>0.09</v>
      </c>
      <c r="I46" s="28" cm="1">
        <f t="array" ref="I46">WasteSolid_Equations.VEERG_10_1_1_1__2_MassOfWasteFromVolume(G46,H46)</f>
        <v>0</v>
      </c>
    </row>
    <row r="47" spans="4:9" ht="20.100000000000001" customHeight="1" x14ac:dyDescent="0.25">
      <c r="D47" s="49" t="str">
        <v>Landfill</v>
      </c>
      <c r="E47" s="51" t="str">
        <v>Green waste (including crop residues or prunnings)</v>
      </c>
      <c r="F47" s="73"/>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28" cm="1">
        <f t="array" ref="H47">Common_InputFunctions.Utility_LookupValueInTableNumber(E47,Table_SourceData_WasteSolid_VolumeToMassConversion[Waste type w],Table_SourceData_WasteSolid_VolumeToMassConversion[VTMw])</f>
        <v>0</v>
      </c>
      <c r="I47" s="28" cm="1">
        <f t="array" ref="I47">WasteSolid_Equations.VEERG_10_1_1_1__2_MassOfWasteFromVolume(G47,H47)</f>
        <v>0</v>
      </c>
    </row>
    <row r="48" spans="4:9" ht="20.100000000000001" customHeight="1" x14ac:dyDescent="0.25">
      <c r="D48" s="49" t="str">
        <v>Landfill</v>
      </c>
      <c r="E48" s="51" t="str">
        <v>Wood</v>
      </c>
      <c r="F48" s="73"/>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28" cm="1">
        <f t="array" ref="H48">Common_InputFunctions.Utility_LookupValueInTableNumber(E48,Table_SourceData_WasteSolid_VolumeToMassConversion[Waste type w],Table_SourceData_WasteSolid_VolumeToMassConversion[VTMw])</f>
        <v>0.15</v>
      </c>
      <c r="I48" s="28" cm="1">
        <f t="array" ref="I48">WasteSolid_Equations.VEERG_10_1_1_1__2_MassOfWasteFromVolume(G48,H48)</f>
        <v>0</v>
      </c>
    </row>
    <row r="49" spans="4:9" ht="20.100000000000001" customHeight="1" x14ac:dyDescent="0.25">
      <c r="D49" s="49" t="str">
        <v>Landfill</v>
      </c>
      <c r="E49" s="51" t="str">
        <v>Textiles</v>
      </c>
      <c r="F49" s="73"/>
      <c r="G49" s="28"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0</v>
      </c>
      <c r="H49" s="28" cm="1">
        <f t="array" ref="H49">Common_InputFunctions.Utility_LookupValueInTableNumber(E49,Table_SourceData_WasteSolid_VolumeToMassConversion[Waste type w],Table_SourceData_WasteSolid_VolumeToMassConversion[VTMw])</f>
        <v>0.14000000000000001</v>
      </c>
      <c r="I49" s="28" cm="1">
        <f t="array" ref="I49">WasteSolid_Equations.VEERG_10_1_1_1__2_MassOfWasteFromVolume(G49,H49)</f>
        <v>0</v>
      </c>
    </row>
    <row r="50" spans="4:9" ht="20.100000000000001" customHeight="1" x14ac:dyDescent="0.25">
      <c r="D50" s="49" t="str">
        <v>Landfill</v>
      </c>
      <c r="E50" s="51" t="str">
        <v>Sludge</v>
      </c>
      <c r="F50" s="73"/>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28" cm="1">
        <f t="array" ref="H50">Common_InputFunctions.Utility_LookupValueInTableNumber(E50,Table_SourceData_WasteSolid_VolumeToMassConversion[Waste type w],Table_SourceData_WasteSolid_VolumeToMassConversion[VTMw])</f>
        <v>0.72</v>
      </c>
      <c r="I50" s="28" cm="1">
        <f t="array" ref="I50">WasteSolid_Equations.VEERG_10_1_1_1__2_MassOfWasteFromVolume(G50,H50)</f>
        <v>0</v>
      </c>
    </row>
    <row r="51" spans="4:9" ht="20.100000000000001" customHeight="1" x14ac:dyDescent="0.25">
      <c r="D51" s="49" t="str">
        <v>Landfill</v>
      </c>
      <c r="E51" s="51" t="str">
        <v>Rubber and leather</v>
      </c>
      <c r="F51" s="73"/>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28" cm="1">
        <f t="array" ref="H51">Common_InputFunctions.Utility_LookupValueInTableNumber(E51,Table_SourceData_WasteSolid_VolumeToMassConversion[Waste type w],Table_SourceData_WasteSolid_VolumeToMassConversion[VTMw])</f>
        <v>0.14000000000000001</v>
      </c>
      <c r="I51" s="28" cm="1">
        <f t="array" ref="I51">WasteSolid_Equations.VEERG_10_1_1_1__2_MassOfWasteFromVolume(G51,H51)</f>
        <v>0</v>
      </c>
    </row>
    <row r="52" spans="4:9" ht="20.100000000000001" customHeight="1" x14ac:dyDescent="0.25">
      <c r="D52" s="49" t="str">
        <v>Landfill</v>
      </c>
      <c r="E52" s="51" t="str">
        <v>Inert waste (including concrete, metal, plastic or glass)</v>
      </c>
      <c r="F52" s="73"/>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28" cm="1">
        <f t="array" ref="H52">Common_InputFunctions.Utility_LookupValueInTableNumber(E52,Table_SourceData_WasteSolid_VolumeToMassConversion[Waste type w],Table_SourceData_WasteSolid_VolumeToMassConversion[VTMw])</f>
        <v>0.42</v>
      </c>
      <c r="I52" s="28" cm="1">
        <f t="array" ref="I52">WasteSolid_Equations.VEERG_10_1_1_1__2_MassOfWasteFromVolume(G52,H52)</f>
        <v>0</v>
      </c>
    </row>
    <row r="53" spans="4:9" ht="20.100000000000001" customHeight="1" x14ac:dyDescent="0.25">
      <c r="D53" s="49" t="str">
        <v>Landfill</v>
      </c>
      <c r="E53" s="51" t="str">
        <v>Municipal solid waste</v>
      </c>
      <c r="F53" s="73"/>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28" cm="1">
        <f t="array" ref="H53">Common_InputFunctions.Utility_LookupValueInTableNumber(E53,Table_SourceData_WasteSolid_VolumeToMassConversion[Waste type w],Table_SourceData_WasteSolid_VolumeToMassConversion[VTMw])</f>
        <v>0.36</v>
      </c>
      <c r="I53" s="28" cm="1">
        <f t="array" ref="I53">WasteSolid_Equations.VEERG_10_1_1_1__2_MassOfWasteFromVolume(G53,H53)</f>
        <v>0</v>
      </c>
    </row>
    <row r="54" spans="4:9" ht="20.100000000000001" customHeight="1" x14ac:dyDescent="0.25">
      <c r="D54" s="49" t="str">
        <v>Landfill</v>
      </c>
      <c r="E54" s="51" t="str">
        <v>Commercial and industrial waste</v>
      </c>
      <c r="F54" s="73"/>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28" cm="1">
        <f t="array" ref="H54">Common_InputFunctions.Utility_LookupValueInTableNumber(E54,Table_SourceData_WasteSolid_VolumeToMassConversion[Waste type w],Table_SourceData_WasteSolid_VolumeToMassConversion[VTMw])</f>
        <v>0.33</v>
      </c>
      <c r="I54" s="28" cm="1">
        <f t="array" ref="I54">WasteSolid_Equations.VEERG_10_1_1_1__2_MassOfWasteFromVolume(G54,H54)</f>
        <v>0</v>
      </c>
    </row>
    <row r="55" spans="4:9" ht="20.100000000000001" customHeight="1" x14ac:dyDescent="0.25">
      <c r="D55" s="49" t="str">
        <v>Landfill</v>
      </c>
      <c r="E55" s="51" t="str">
        <v>Construction and demolition waste</v>
      </c>
      <c r="F55" s="73"/>
      <c r="G55" s="28"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28" cm="1">
        <f t="array" ref="H55">Common_InputFunctions.Utility_LookupValueInTableNumber(E55,Table_SourceData_WasteSolid_VolumeToMassConversion[Waste type w],Table_SourceData_WasteSolid_VolumeToMassConversion[VTMw])</f>
        <v>0.39</v>
      </c>
      <c r="I55" s="28" cm="1">
        <f t="array" ref="I55">WasteSolid_Equations.VEERG_10_1_1_1__2_MassOfWasteFromVolume(G55,H55)</f>
        <v>0</v>
      </c>
    </row>
    <row r="56" spans="4:9" ht="20.100000000000001" customHeight="1" x14ac:dyDescent="0.25">
      <c r="D56" s="49" t="str">
        <v>Incineration</v>
      </c>
      <c r="E56" s="51" t="str">
        <v>Food waste, green waste, wood, sludge</v>
      </c>
      <c r="F56" s="73"/>
      <c r="G56" s="28"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28" cm="1">
        <f t="array" ref="H56">Common_InputFunctions.Utility_LookupValueInTableNumber(E56,Table_SourceData_WasteSolid_VolumeToMassConversion[Waste type w],Table_SourceData_WasteSolid_VolumeToMassConversion[VTMw])</f>
        <v>0</v>
      </c>
      <c r="I56" s="28" cm="1">
        <f t="array" ref="I56">WasteSolid_Equations.VEERG_10_1_1_1__2_MassOfWasteFromVolume(G56,H56)</f>
        <v>0</v>
      </c>
    </row>
    <row r="57" spans="4:9" ht="20.100000000000001" customHeight="1" x14ac:dyDescent="0.25">
      <c r="D57" s="49" t="str">
        <v>Incineration</v>
      </c>
      <c r="E57" s="51" t="str">
        <v>Paper and cardboard</v>
      </c>
      <c r="F57" s="73"/>
      <c r="G57" s="28"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50</v>
      </c>
      <c r="H57" s="28" cm="1">
        <f t="array" ref="H57">Common_InputFunctions.Utility_LookupValueInTableNumber(E57,Table_SourceData_WasteSolid_VolumeToMassConversion[Waste type w],Table_SourceData_WasteSolid_VolumeToMassConversion[VTMw])</f>
        <v>0.09</v>
      </c>
      <c r="I57" s="28" cm="1">
        <f t="array" ref="I57">WasteSolid_Equations.VEERG_10_1_1_1__2_MassOfWasteFromVolume(G57,H57)</f>
        <v>4.5</v>
      </c>
    </row>
    <row r="58" spans="4:9" ht="20.100000000000001" customHeight="1" x14ac:dyDescent="0.25">
      <c r="D58" s="49" t="str">
        <v>Incineration</v>
      </c>
      <c r="E58" s="51" t="str">
        <v>Textiles</v>
      </c>
      <c r="F58" s="73"/>
      <c r="G58" s="28"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28" cm="1">
        <f t="array" ref="H58">Common_InputFunctions.Utility_LookupValueInTableNumber(E58,Table_SourceData_WasteSolid_VolumeToMassConversion[Waste type w],Table_SourceData_WasteSolid_VolumeToMassConversion[VTMw])</f>
        <v>0.14000000000000001</v>
      </c>
      <c r="I58" s="28" cm="1">
        <f t="array" ref="I58">WasteSolid_Equations.VEERG_10_1_1_1__2_MassOfWasteFromVolume(G58,H58)</f>
        <v>0</v>
      </c>
    </row>
    <row r="59" spans="4:9" ht="20.100000000000001" customHeight="1" x14ac:dyDescent="0.25">
      <c r="D59" s="49" t="str">
        <v>Incineration</v>
      </c>
      <c r="E59" s="51" t="str">
        <v>Rubber and leather</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28" cm="1">
        <f t="array" ref="H59">Common_InputFunctions.Utility_LookupValueInTableNumber(E59,Table_SourceData_WasteSolid_VolumeToMassConversion[Waste type w],Table_SourceData_WasteSolid_VolumeToMassConversion[VTMw])</f>
        <v>0.14000000000000001</v>
      </c>
      <c r="I59" s="28" cm="1">
        <f t="array" ref="I59">WasteSolid_Equations.VEERG_10_1_1_1__2_MassOfWasteFromVolume(G59,H59)</f>
        <v>0</v>
      </c>
    </row>
    <row r="60" spans="4:9" ht="20.100000000000001" customHeight="1" x14ac:dyDescent="0.25">
      <c r="D60" s="49" t="str">
        <v>Incineration</v>
      </c>
      <c r="E60" s="51" t="str">
        <v>Inert Waste</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28" cm="1">
        <f t="array" ref="H60">Common_InputFunctions.Utility_LookupValueInTableNumber(E60,Table_SourceData_WasteSolid_VolumeToMassConversion[Waste type w],Table_SourceData_WasteSolid_VolumeToMassConversion[VTMw])</f>
        <v>0</v>
      </c>
      <c r="I60" s="28" cm="1">
        <f t="array" ref="I60">WasteSolid_Equations.VEERG_10_1_1_1__2_MassOfWasteFromVolume(G60,H60)</f>
        <v>0</v>
      </c>
    </row>
    <row r="61" spans="4:9" ht="20.100000000000001" customHeight="1" x14ac:dyDescent="0.25">
      <c r="D61" s="49" t="str">
        <v>Incineration</v>
      </c>
      <c r="E61" s="51" t="str">
        <v>Municipal Solid Waste</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28" cm="1">
        <f t="array" ref="H61">Common_InputFunctions.Utility_LookupValueInTableNumber(E61,Table_SourceData_WasteSolid_VolumeToMassConversion[Waste type w],Table_SourceData_WasteSolid_VolumeToMassConversion[VTMw])</f>
        <v>0.36</v>
      </c>
      <c r="I61" s="28" cm="1">
        <f t="array" ref="I61">WasteSolid_Equations.VEERG_10_1_1_1__2_MassOfWasteFromVolume(G61,H61)</f>
        <v>0</v>
      </c>
    </row>
    <row r="62" spans="4:9" ht="20.100000000000001" customHeight="1" x14ac:dyDescent="0.25">
      <c r="D62" s="49" t="str">
        <v>Incineration</v>
      </c>
      <c r="E62" s="51" t="str">
        <v>Industrial Waste</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v>
      </c>
      <c r="I62" s="28" cm="1">
        <f t="array" ref="I62">WasteSolid_Equations.VEERG_10_1_1_1__2_MassOfWasteFromVolume(G62,H62)</f>
        <v>0</v>
      </c>
    </row>
    <row r="63" spans="4:9" ht="20.100000000000001" customHeight="1" x14ac:dyDescent="0.25">
      <c r="D63" s="49" t="str">
        <v>Composting</v>
      </c>
      <c r="E63" s="51" t="str">
        <v>All organic waste</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v>
      </c>
      <c r="I63" s="28" cm="1">
        <f t="array" ref="I63">WasteSolid_Equations.VEERG_10_1_1_1__2_MassOfWasteFromVolume(G63,H63)</f>
        <v>0</v>
      </c>
    </row>
    <row r="64" spans="4:9" ht="20.100000000000001" customHeight="1" x14ac:dyDescent="0.25">
      <c r="D64" s="49" t="str">
        <v>Anaerobic digestion</v>
      </c>
      <c r="E64" s="51" t="str">
        <v>All organic waste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v>
      </c>
      <c r="I64" s="28" cm="1">
        <f t="array" ref="I64">WasteSolid_Equations.VEERG_10_1_1_1__2_MassOfWasteFromVolume(G64,H64)</f>
        <v>0</v>
      </c>
    </row>
    <row r="65" spans="1:12" ht="20.100000000000001" customHeight="1" x14ac:dyDescent="0.25"/>
    <row r="66" spans="1:12" ht="20.100000000000001" customHeight="1" x14ac:dyDescent="0.25">
      <c r="A66" s="52" t="str">
        <f>HYPERLINK("#A1", "▲ Back to top")</f>
        <v>▲ Back to top</v>
      </c>
    </row>
    <row r="67" spans="1:12" ht="20.100000000000001" customHeight="1" x14ac:dyDescent="0.25">
      <c r="C67" s="63"/>
      <c r="D67" s="63"/>
      <c r="E67" s="63"/>
      <c r="F67" s="63"/>
      <c r="G67" s="63"/>
      <c r="H67" s="63"/>
      <c r="I67" s="63"/>
      <c r="J67" s="63"/>
      <c r="K67" s="63"/>
      <c r="L67" s="63"/>
    </row>
    <row r="68" spans="1:12" ht="20.100000000000001" customHeight="1" x14ac:dyDescent="0.25">
      <c r="D68" s="5" t="str" cm="1">
        <f t="array" ref="D68">WasteSolid_Equations.VEERG_10_1_1_1__1_EmissionsFromWasteManagement_Title()</f>
        <v>Emissions from waste management by greenhouse gas</v>
      </c>
    </row>
    <row r="69" spans="1:12" ht="20.100000000000001" customHeight="1" x14ac:dyDescent="0.25">
      <c r="D69" s="4" t="str" cm="1">
        <f t="array" ref="D69">WasteSolid_Equations.VEERG_10_1_1_1__1_EmissionsFromWasteManagement_Source()</f>
        <v>VEERG 2026: 10.1.1.1, Equation (1)</v>
      </c>
    </row>
    <row r="70" spans="1:12" ht="20.100000000000001" customHeight="1" x14ac:dyDescent="0.25">
      <c r="D70" s="31"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0" t="s">
        <v>10</v>
      </c>
      <c r="E71" s="10"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9" t="s">
        <v>13</v>
      </c>
      <c r="E74" s="1" t="str" cm="1">
        <f t="array" ref="E74">WasteSolid_Equations.VEERG_10_1_1_1__1_EmissionsFromWasteManagement_Variable()</f>
        <v>E_g</v>
      </c>
    </row>
    <row r="75" spans="1:12" ht="20.100000000000001" customHeight="1" x14ac:dyDescent="0.25">
      <c r="D75" s="29" t="s">
        <v>5</v>
      </c>
      <c r="E75" s="30" t="str" cm="1">
        <f t="array" ref="E75">WasteSolid_Equations.VEERG_10_1_1_1__1_EmissionsFromWasteManagement_Unit()</f>
        <v>t CO2e</v>
      </c>
    </row>
    <row r="76" spans="1:12" ht="20.100000000000001" customHeight="1" x14ac:dyDescent="0.25"/>
    <row r="77" spans="1:12" ht="20.100000000000001" customHeight="1" x14ac:dyDescent="0.25">
      <c r="D77" s="49" t="str" cm="1">
        <f t="array" ref="D77:E83">_xlfn.CHOOSECOLS(WasteSolid_Equations.VEERG_10_1_1_1__1_EmissionsFromWasteManagement_Arguments(),1,2)</f>
        <v>Q_wt</v>
      </c>
      <c r="E77" s="51" t="str">
        <v>quantity of solid waste of type w being sent to treatment facility t, on a wet weight basis</v>
      </c>
      <c r="F77" s="65"/>
      <c r="G77" s="50"/>
      <c r="H77" s="49" t="str" cm="1">
        <f t="array" ref="H77:I83">_xlfn.CHOOSECOLS(WasteSolid_Equations.VEERG_10_1_1_1__1_EmissionsFromWasteManagement_Arguments(),3,4)</f>
        <v>t</v>
      </c>
      <c r="I77" s="44" t="str">
        <v>Sum of Q_volwt and Q_masswt</v>
      </c>
    </row>
    <row r="78" spans="1:12" ht="20.100000000000001" customHeight="1" x14ac:dyDescent="0.25">
      <c r="D78" s="49" t="str">
        <v>EF_wtg</v>
      </c>
      <c r="E78" s="51" t="str">
        <v>emission factor for greenhouse gas g for the management of waste at treatment facility t</v>
      </c>
      <c r="F78" s="65"/>
      <c r="G78" s="50"/>
      <c r="H78" s="49" t="str">
        <v>t CO2e/t</v>
      </c>
      <c r="I78" s="44" t="str">
        <v>Constant</v>
      </c>
    </row>
    <row r="79" spans="1:12" ht="20.100000000000001" customHeight="1" x14ac:dyDescent="0.25">
      <c r="D79" s="49" t="str">
        <v>w</v>
      </c>
      <c r="E79" s="51" t="str">
        <v>waste type</v>
      </c>
      <c r="F79" s="65"/>
      <c r="G79" s="50"/>
      <c r="H79" s="49" t="str">
        <v/>
      </c>
      <c r="I79" s="45" t="str">
        <v>Input</v>
      </c>
    </row>
    <row r="80" spans="1:12" ht="20.100000000000001" customHeight="1" x14ac:dyDescent="0.25">
      <c r="D80" s="49" t="str">
        <v>t</v>
      </c>
      <c r="E80" s="51" t="str">
        <v>treatment facility</v>
      </c>
      <c r="F80" s="65"/>
      <c r="G80" s="50"/>
      <c r="H80" s="49" t="str">
        <v/>
      </c>
      <c r="I80" s="45" t="str">
        <v>Input</v>
      </c>
    </row>
    <row r="81" spans="4:11" ht="20.100000000000001" customHeight="1" x14ac:dyDescent="0.25">
      <c r="D81" s="49" t="str">
        <v>g</v>
      </c>
      <c r="E81" s="51" t="str">
        <v>greenhouse gas</v>
      </c>
      <c r="F81" s="65"/>
      <c r="G81" s="50"/>
      <c r="H81" s="49" t="str">
        <v/>
      </c>
      <c r="I81" s="45" t="str">
        <v>Input</v>
      </c>
    </row>
    <row r="82" spans="4:11" ht="20.100000000000001" customHeight="1" x14ac:dyDescent="0.25">
      <c r="D82" s="49" t="str">
        <v>Q_volwt</v>
      </c>
      <c r="E82" s="51" t="str">
        <v>quantity of sold waste input as volume and converted to tonnes</v>
      </c>
      <c r="F82" s="65"/>
      <c r="G82" s="50"/>
      <c r="H82" s="49" t="str">
        <v>tonnes</v>
      </c>
      <c r="I82" s="44" t="str">
        <v>Calculated from 10.1.1.1 (2)</v>
      </c>
    </row>
    <row r="83" spans="4:11" ht="20.100000000000001" customHeight="1" x14ac:dyDescent="0.25">
      <c r="D83" s="49" t="str">
        <v>Q_masswt</v>
      </c>
      <c r="E83" s="51" t="str">
        <v>quantity of solid waste input as mass</v>
      </c>
      <c r="F83" s="65"/>
      <c r="G83" s="50"/>
      <c r="H83" s="49" t="str">
        <v>tonnes</v>
      </c>
      <c r="I83" s="45" t="str">
        <v>Input</v>
      </c>
    </row>
    <row r="84" spans="4:11" ht="20.100000000000001" customHeight="1" x14ac:dyDescent="0.25"/>
    <row r="85" spans="4:11" ht="20.100000000000001" customHeight="1" x14ac:dyDescent="0.25">
      <c r="D85" s="70" t="s">
        <v>133</v>
      </c>
    </row>
    <row r="86" spans="4:11" ht="20.100000000000001" customHeight="1" x14ac:dyDescent="0.25">
      <c r="D86" s="71" t="s">
        <v>134</v>
      </c>
    </row>
    <row r="87" spans="4:11" ht="20.100000000000001" customHeight="1" x14ac:dyDescent="0.25">
      <c r="D87" s="67" t="s">
        <v>94</v>
      </c>
      <c r="E87" s="67" t="s">
        <v>95</v>
      </c>
      <c r="F87" s="67"/>
      <c r="G87" s="67" t="s">
        <v>127</v>
      </c>
      <c r="H87" s="72" t="s">
        <v>128</v>
      </c>
      <c r="I87" s="72" t="s">
        <v>97</v>
      </c>
      <c r="J87" s="72" t="s">
        <v>121</v>
      </c>
      <c r="K87" s="72" t="s">
        <v>122</v>
      </c>
    </row>
    <row r="88" spans="4:11" ht="20.100000000000001" customHeight="1" x14ac:dyDescent="0.25">
      <c r="D88" s="49" t="str" cm="1">
        <f t="array" ref="D88:D107">Table_SourceData_WasteSolid_WasteTreatmentEFs[Treatment type t]</f>
        <v>Landfill</v>
      </c>
      <c r="E88" s="51" t="str" cm="1">
        <f t="array" ref="E88:E107">Table_SourceData_WasteSolid_WasteTreatmentEFs[Waste type w]</f>
        <v>Food waste (including animal carcasses, spoiled animal feed or crop)</v>
      </c>
      <c r="F88" s="73"/>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88" s="28">
        <f t="shared" ref="H88:H107" si="0">I21</f>
        <v>50</v>
      </c>
      <c r="I88" s="28">
        <f>G88+H88</f>
        <v>100</v>
      </c>
      <c r="J88" s="28" cm="1">
        <f t="array" ref="J88">Common_InputFunctions.Utility_LookupValueInTableTwoColumns(D88,E88,Table_SourceData_WasteSolid_WasteTreatmentEFs[Treatment type t],Table_SourceData_WasteSolid_WasteTreatmentEFs[Waste type w],Table_SourceData_WasteSolid_WasteTreatmentEFs[EFwt])</f>
        <v>2.1</v>
      </c>
      <c r="K88" s="28" cm="1">
        <f t="array" ref="K88">WasteSolid_Equations.VEERG_10_1_1_1__1_EmissionsFromWasteManagement(I88, J88)</f>
        <v>210</v>
      </c>
    </row>
    <row r="89" spans="4:11" ht="20.100000000000001" customHeight="1" x14ac:dyDescent="0.25">
      <c r="D89" s="49" t="str">
        <v>Landfill</v>
      </c>
      <c r="E89" s="51" t="str">
        <v>Paper and cardboard</v>
      </c>
      <c r="F89" s="73"/>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28">
        <f t="shared" si="0"/>
        <v>0</v>
      </c>
      <c r="I89" s="28">
        <f t="shared" ref="I89:I107" si="1">G89+H89</f>
        <v>0</v>
      </c>
      <c r="J89" s="28" cm="1">
        <f t="array" ref="J89">Common_InputFunctions.Utility_LookupValueInTableTwoColumns(D89,E89,Table_SourceData_WasteSolid_WasteTreatmentEFs[Treatment type t],Table_SourceData_WasteSolid_WasteTreatmentEFs[Waste type w],Table_SourceData_WasteSolid_WasteTreatmentEFs[EFwt])</f>
        <v>3.3</v>
      </c>
      <c r="K89" s="28" cm="1">
        <f t="array" ref="K89">WasteSolid_Equations.VEERG_10_1_1_1__1_EmissionsFromWasteManagement(I89, J89)</f>
        <v>0</v>
      </c>
    </row>
    <row r="90" spans="4:11" ht="20.100000000000001" customHeight="1" x14ac:dyDescent="0.25">
      <c r="D90" s="49" t="str">
        <v>Landfill</v>
      </c>
      <c r="E90" s="51" t="str">
        <v>Green waste (including crop residues or prunnings)</v>
      </c>
      <c r="F90" s="73"/>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28">
        <f t="shared" si="0"/>
        <v>0</v>
      </c>
      <c r="I90" s="28">
        <f t="shared" si="1"/>
        <v>0</v>
      </c>
      <c r="J90" s="28" cm="1">
        <f t="array" ref="J90">Common_InputFunctions.Utility_LookupValueInTableTwoColumns(D90,E90,Table_SourceData_WasteSolid_WasteTreatmentEFs[Treatment type t],Table_SourceData_WasteSolid_WasteTreatmentEFs[Waste type w],Table_SourceData_WasteSolid_WasteTreatmentEFs[EFwt])</f>
        <v>1.6</v>
      </c>
      <c r="K90" s="28" cm="1">
        <f t="array" ref="K90">WasteSolid_Equations.VEERG_10_1_1_1__1_EmissionsFromWasteManagement(I90, J90)</f>
        <v>0</v>
      </c>
    </row>
    <row r="91" spans="4:11" ht="20.100000000000001" customHeight="1" x14ac:dyDescent="0.25">
      <c r="D91" s="49" t="str">
        <v>Landfill</v>
      </c>
      <c r="E91" s="51" t="str">
        <v>Wood</v>
      </c>
      <c r="F91" s="73"/>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28">
        <f t="shared" si="0"/>
        <v>0</v>
      </c>
      <c r="I91" s="28">
        <f t="shared" si="1"/>
        <v>0</v>
      </c>
      <c r="J91" s="28" cm="1">
        <f t="array" ref="J91">Common_InputFunctions.Utility_LookupValueInTableTwoColumns(D91,E91,Table_SourceData_WasteSolid_WasteTreatmentEFs[Treatment type t],Table_SourceData_WasteSolid_WasteTreatmentEFs[Waste type w],Table_SourceData_WasteSolid_WasteTreatmentEFs[EFwt])</f>
        <v>0.7</v>
      </c>
      <c r="K91" s="28" cm="1">
        <f t="array" ref="K91">WasteSolid_Equations.VEERG_10_1_1_1__1_EmissionsFromWasteManagement(I91, J91)</f>
        <v>0</v>
      </c>
    </row>
    <row r="92" spans="4:11" ht="20.100000000000001" customHeight="1" x14ac:dyDescent="0.25">
      <c r="D92" s="49" t="str">
        <v>Landfill</v>
      </c>
      <c r="E92" s="51" t="str">
        <v>Textiles</v>
      </c>
      <c r="F92" s="73"/>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28">
        <f t="shared" si="0"/>
        <v>0</v>
      </c>
      <c r="I92" s="28">
        <f t="shared" si="1"/>
        <v>0</v>
      </c>
      <c r="J92" s="28" cm="1">
        <f t="array" ref="J92">Common_InputFunctions.Utility_LookupValueInTableTwoColumns(D92,E92,Table_SourceData_WasteSolid_WasteTreatmentEFs[Treatment type t],Table_SourceData_WasteSolid_WasteTreatmentEFs[Waste type w],Table_SourceData_WasteSolid_WasteTreatmentEFs[EFwt])</f>
        <v>2</v>
      </c>
      <c r="K92" s="28" cm="1">
        <f t="array" ref="K92">WasteSolid_Equations.VEERG_10_1_1_1__1_EmissionsFromWasteManagement(I92, J92)</f>
        <v>0</v>
      </c>
    </row>
    <row r="93" spans="4:11" ht="20.100000000000001" customHeight="1" x14ac:dyDescent="0.25">
      <c r="D93" s="49" t="str">
        <v>Landfill</v>
      </c>
      <c r="E93" s="51" t="str">
        <v>Sludge</v>
      </c>
      <c r="F93" s="73"/>
      <c r="G93" s="28"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28">
        <f t="shared" si="0"/>
        <v>0</v>
      </c>
      <c r="I93" s="28">
        <f t="shared" si="1"/>
        <v>0</v>
      </c>
      <c r="J93" s="28" cm="1">
        <f t="array" ref="J93">Common_InputFunctions.Utility_LookupValueInTableTwoColumns(D93,E93,Table_SourceData_WasteSolid_WasteTreatmentEFs[Treatment type t],Table_SourceData_WasteSolid_WasteTreatmentEFs[Waste type w],Table_SourceData_WasteSolid_WasteTreatmentEFs[EFwt])</f>
        <v>0.4</v>
      </c>
      <c r="K93" s="28" cm="1">
        <f t="array" ref="K93">WasteSolid_Equations.VEERG_10_1_1_1__1_EmissionsFromWasteManagement(I93, J93)</f>
        <v>0</v>
      </c>
    </row>
    <row r="94" spans="4:11" ht="20.100000000000001" customHeight="1" x14ac:dyDescent="0.25">
      <c r="D94" s="49" t="str">
        <v>Landfill</v>
      </c>
      <c r="E94" s="51" t="str">
        <v>Rubber and leather</v>
      </c>
      <c r="F94" s="73"/>
      <c r="G94" s="28"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28">
        <f t="shared" si="0"/>
        <v>0</v>
      </c>
      <c r="I94" s="28">
        <f t="shared" si="1"/>
        <v>0</v>
      </c>
      <c r="J94" s="28" cm="1">
        <f t="array" ref="J94">Common_InputFunctions.Utility_LookupValueInTableTwoColumns(D94,E94,Table_SourceData_WasteSolid_WasteTreatmentEFs[Treatment type t],Table_SourceData_WasteSolid_WasteTreatmentEFs[Waste type w],Table_SourceData_WasteSolid_WasteTreatmentEFs[EFwt])</f>
        <v>3.3</v>
      </c>
      <c r="K94" s="28" cm="1">
        <f t="array" ref="K94">WasteSolid_Equations.VEERG_10_1_1_1__1_EmissionsFromWasteManagement(I94, J94)</f>
        <v>0</v>
      </c>
    </row>
    <row r="95" spans="4:11" ht="20.100000000000001" customHeight="1" x14ac:dyDescent="0.25">
      <c r="D95" s="49" t="str">
        <v>Landfill</v>
      </c>
      <c r="E95" s="51" t="str">
        <v>Inert waste (including concrete, metal, plastic or glass)</v>
      </c>
      <c r="F95" s="73"/>
      <c r="G95" s="28"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28">
        <f t="shared" si="0"/>
        <v>0</v>
      </c>
      <c r="I95" s="28">
        <f t="shared" si="1"/>
        <v>0</v>
      </c>
      <c r="J95" s="28" cm="1">
        <f t="array" ref="J95">Common_InputFunctions.Utility_LookupValueInTableTwoColumns(D95,E95,Table_SourceData_WasteSolid_WasteTreatmentEFs[Treatment type t],Table_SourceData_WasteSolid_WasteTreatmentEFs[Waste type w],Table_SourceData_WasteSolid_WasteTreatmentEFs[EFwt])</f>
        <v>0</v>
      </c>
      <c r="K95" s="28" cm="1">
        <f t="array" ref="K95">WasteSolid_Equations.VEERG_10_1_1_1__1_EmissionsFromWasteManagement(I95, J95)</f>
        <v>0</v>
      </c>
    </row>
    <row r="96" spans="4:11" ht="20.100000000000001" customHeight="1" x14ac:dyDescent="0.25">
      <c r="D96" s="49" t="str">
        <v>Landfill</v>
      </c>
      <c r="E96" s="51" t="str">
        <v>Municipal solid waste</v>
      </c>
      <c r="F96" s="73"/>
      <c r="G96" s="28"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28">
        <f t="shared" si="0"/>
        <v>0</v>
      </c>
      <c r="I96" s="28">
        <f t="shared" si="1"/>
        <v>0</v>
      </c>
      <c r="J96" s="28" cm="1">
        <f t="array" ref="J96">Common_InputFunctions.Utility_LookupValueInTableTwoColumns(D96,E96,Table_SourceData_WasteSolid_WasteTreatmentEFs[Treatment type t],Table_SourceData_WasteSolid_WasteTreatmentEFs[Waste type w],Table_SourceData_WasteSolid_WasteTreatmentEFs[EFwt])</f>
        <v>1.6</v>
      </c>
      <c r="K96" s="28" cm="1">
        <f t="array" ref="K96">WasteSolid_Equations.VEERG_10_1_1_1__1_EmissionsFromWasteManagement(I96, J96)</f>
        <v>0</v>
      </c>
    </row>
    <row r="97" spans="1:11" ht="20.100000000000001" customHeight="1" x14ac:dyDescent="0.25">
      <c r="D97" s="49" t="str">
        <v>Landfill</v>
      </c>
      <c r="E97" s="51" t="str">
        <v>Commercial and industrial waste</v>
      </c>
      <c r="F97" s="73"/>
      <c r="G97" s="28"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28">
        <f t="shared" si="0"/>
        <v>0</v>
      </c>
      <c r="I97" s="28">
        <f t="shared" si="1"/>
        <v>0</v>
      </c>
      <c r="J97" s="28" cm="1">
        <f t="array" ref="J97">Common_InputFunctions.Utility_LookupValueInTableTwoColumns(D97,E97,Table_SourceData_WasteSolid_WasteTreatmentEFs[Treatment type t],Table_SourceData_WasteSolid_WasteTreatmentEFs[Waste type w],Table_SourceData_WasteSolid_WasteTreatmentEFs[EFwt])</f>
        <v>1.3</v>
      </c>
      <c r="K97" s="28" cm="1">
        <f t="array" ref="K97">WasteSolid_Equations.VEERG_10_1_1_1__1_EmissionsFromWasteManagement(I97, J97)</f>
        <v>0</v>
      </c>
    </row>
    <row r="98" spans="1:11" ht="20.100000000000001" customHeight="1" x14ac:dyDescent="0.25">
      <c r="D98" s="49" t="str">
        <v>Landfill</v>
      </c>
      <c r="E98" s="51" t="str">
        <v>Construction and demolition waste</v>
      </c>
      <c r="F98" s="73"/>
      <c r="G98" s="28"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28">
        <f t="shared" si="0"/>
        <v>0</v>
      </c>
      <c r="I98" s="28">
        <f t="shared" si="1"/>
        <v>0</v>
      </c>
      <c r="J98" s="28" cm="1">
        <f t="array" ref="J98">Common_InputFunctions.Utility_LookupValueInTableTwoColumns(D98,E98,Table_SourceData_WasteSolid_WasteTreatmentEFs[Treatment type t],Table_SourceData_WasteSolid_WasteTreatmentEFs[Waste type w],Table_SourceData_WasteSolid_WasteTreatmentEFs[EFwt])</f>
        <v>0.2</v>
      </c>
      <c r="K98" s="28" cm="1">
        <f t="array" ref="K98">WasteSolid_Equations.VEERG_10_1_1_1__1_EmissionsFromWasteManagement(I98, J98)</f>
        <v>0</v>
      </c>
    </row>
    <row r="99" spans="1:11" ht="20.100000000000001" customHeight="1" x14ac:dyDescent="0.25">
      <c r="D99" s="49" t="str">
        <v>Incineration</v>
      </c>
      <c r="E99" s="51" t="str">
        <v>Food waste, green waste, wood, sludge</v>
      </c>
      <c r="F99" s="73"/>
      <c r="G99" s="28"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28">
        <f t="shared" si="0"/>
        <v>0</v>
      </c>
      <c r="I99" s="28">
        <f t="shared" si="1"/>
        <v>0</v>
      </c>
      <c r="J99" s="28" cm="1">
        <f t="array" ref="J99">Common_InputFunctions.Utility_LookupValueInTableTwoColumns(D99,E99,Table_SourceData_WasteSolid_WasteTreatmentEFs[Treatment type t],Table_SourceData_WasteSolid_WasteTreatmentEFs[Waste type w],Table_SourceData_WasteSolid_WasteTreatmentEFs[EFwt])</f>
        <v>0</v>
      </c>
      <c r="K99" s="28" cm="1">
        <f t="array" ref="K99">WasteSolid_Equations.VEERG_10_1_1_1__1_EmissionsFromWasteManagement(I99, J99)</f>
        <v>0</v>
      </c>
    </row>
    <row r="100" spans="1:11" ht="20.100000000000001" customHeight="1" x14ac:dyDescent="0.25">
      <c r="D100" s="49" t="str">
        <v>Incineration</v>
      </c>
      <c r="E100" s="51" t="str">
        <v>Paper and cardboard</v>
      </c>
      <c r="F100" s="73"/>
      <c r="G100" s="28"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50</v>
      </c>
      <c r="H100" s="28">
        <f t="shared" si="0"/>
        <v>4.5</v>
      </c>
      <c r="I100" s="28">
        <f t="shared" si="1"/>
        <v>54.5</v>
      </c>
      <c r="J100" s="28"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28" cm="1">
        <f t="array" ref="K100">WasteSolid_Equations.VEERG_10_1_1_1__1_EmissionsFromWasteManagement(I100, J100)</f>
        <v>0.92104999999999992</v>
      </c>
    </row>
    <row r="101" spans="1:11" ht="20.100000000000001" customHeight="1" x14ac:dyDescent="0.25">
      <c r="D101" s="49" t="str">
        <v>Incineration</v>
      </c>
      <c r="E101" s="51" t="str">
        <v>Textiles</v>
      </c>
      <c r="F101" s="73"/>
      <c r="G101" s="28"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28">
        <f t="shared" si="0"/>
        <v>0</v>
      </c>
      <c r="I101" s="28">
        <f t="shared" si="1"/>
        <v>0</v>
      </c>
      <c r="J101" s="28"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28" cm="1">
        <f t="array" ref="K101">WasteSolid_Equations.VEERG_10_1_1_1__1_EmissionsFromWasteManagement(I101, J101)</f>
        <v>0</v>
      </c>
    </row>
    <row r="102" spans="1:11" ht="20.100000000000001" customHeight="1" x14ac:dyDescent="0.25">
      <c r="D102" s="49" t="str">
        <v>Incineration</v>
      </c>
      <c r="E102" s="51" t="str">
        <v>Rubber and leather</v>
      </c>
      <c r="F102" s="73"/>
      <c r="G102" s="28"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28">
        <f t="shared" si="0"/>
        <v>0</v>
      </c>
      <c r="I102" s="28">
        <f t="shared" si="1"/>
        <v>0</v>
      </c>
      <c r="J102" s="28" cm="1">
        <f t="array" ref="J102">Common_InputFunctions.Utility_LookupValueInTableTwoColumns(D102,E102,Table_SourceData_WasteSolid_WasteTreatmentEFs[Treatment type t],Table_SourceData_WasteSolid_WasteTreatmentEFs[Waste type w],Table_SourceData_WasteSolid_WasteTreatmentEFs[EFwt])</f>
        <v>0.4919</v>
      </c>
      <c r="K102" s="28" cm="1">
        <f t="array" ref="K102">WasteSolid_Equations.VEERG_10_1_1_1__1_EmissionsFromWasteManagement(I102, J102)</f>
        <v>0</v>
      </c>
    </row>
    <row r="103" spans="1:11" ht="20.100000000000001" customHeight="1" x14ac:dyDescent="0.25">
      <c r="D103" s="49" t="str">
        <v>Incineration</v>
      </c>
      <c r="E103" s="51" t="str">
        <v>Inert Waste</v>
      </c>
      <c r="F103" s="73"/>
      <c r="G103" s="28"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28">
        <f t="shared" si="0"/>
        <v>0</v>
      </c>
      <c r="I103" s="28">
        <f t="shared" si="1"/>
        <v>0</v>
      </c>
      <c r="J103" s="28" cm="1">
        <f t="array" ref="J103">Common_InputFunctions.Utility_LookupValueInTableTwoColumns(D103,E103,Table_SourceData_WasteSolid_WasteTreatmentEFs[Treatment type t],Table_SourceData_WasteSolid_WasteTreatmentEFs[Waste type w],Table_SourceData_WasteSolid_WasteTreatmentEFs[EFwt])</f>
        <v>0.11</v>
      </c>
      <c r="K103" s="28" cm="1">
        <f t="array" ref="K103">WasteSolid_Equations.VEERG_10_1_1_1__1_EmissionsFromWasteManagement(I103, J103)</f>
        <v>0</v>
      </c>
    </row>
    <row r="104" spans="1:11" ht="20.100000000000001" customHeight="1" x14ac:dyDescent="0.25">
      <c r="D104" s="49" t="str">
        <v>Incineration</v>
      </c>
      <c r="E104" s="51" t="str">
        <v>Municipal Solid Waste</v>
      </c>
      <c r="F104" s="73"/>
      <c r="G104" s="28"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28">
        <f t="shared" si="0"/>
        <v>0</v>
      </c>
      <c r="I104" s="28">
        <f t="shared" si="1"/>
        <v>0</v>
      </c>
      <c r="J104" s="28"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28" cm="1">
        <f t="array" ref="K104">WasteSolid_Equations.VEERG_10_1_1_1__1_EmissionsFromWasteManagement(I104, J104)</f>
        <v>0</v>
      </c>
    </row>
    <row r="105" spans="1:11" ht="20.100000000000001" customHeight="1" x14ac:dyDescent="0.25">
      <c r="D105" s="49" t="str">
        <v>Incineration</v>
      </c>
      <c r="E105" s="51" t="str">
        <v>Industrial Waste</v>
      </c>
      <c r="F105" s="73"/>
      <c r="G105" s="28"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28">
        <f t="shared" si="0"/>
        <v>0</v>
      </c>
      <c r="I105" s="28">
        <f t="shared" si="1"/>
        <v>0</v>
      </c>
      <c r="J105" s="28" cm="1">
        <f t="array" ref="J105">Common_InputFunctions.Utility_LookupValueInTableTwoColumns(D105,E105,Table_SourceData_WasteSolid_WasteTreatmentEFs[Treatment type t],Table_SourceData_WasteSolid_WasteTreatmentEFs[Waste type w],Table_SourceData_WasteSolid_WasteTreatmentEFs[EFwt])</f>
        <v>1.649</v>
      </c>
      <c r="K105" s="28" cm="1">
        <f t="array" ref="K105">WasteSolid_Equations.VEERG_10_1_1_1__1_EmissionsFromWasteManagement(I105, J105)</f>
        <v>0</v>
      </c>
    </row>
    <row r="106" spans="1:11" ht="20.100000000000001" customHeight="1" x14ac:dyDescent="0.25">
      <c r="D106" s="49" t="str">
        <v>Composting</v>
      </c>
      <c r="E106" s="51" t="str">
        <v>All organic waste</v>
      </c>
      <c r="F106" s="73"/>
      <c r="G106" s="28"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28">
        <f t="shared" si="0"/>
        <v>0</v>
      </c>
      <c r="I106" s="28">
        <f t="shared" si="1"/>
        <v>0</v>
      </c>
      <c r="J106" s="28"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28" cm="1">
        <f t="array" ref="K106">WasteSolid_Equations.VEERG_10_1_1_1__1_EmissionsFromWasteManagement(I106, J106)</f>
        <v>0</v>
      </c>
    </row>
    <row r="107" spans="1:11" ht="20.100000000000001" customHeight="1" x14ac:dyDescent="0.25">
      <c r="D107" s="49" t="str">
        <v>Anaerobic digestion</v>
      </c>
      <c r="E107" s="51" t="str">
        <v>All organic waste</v>
      </c>
      <c r="F107" s="73"/>
      <c r="G107" s="28"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28">
        <f t="shared" si="0"/>
        <v>0</v>
      </c>
      <c r="I107" s="28">
        <f t="shared" si="1"/>
        <v>0</v>
      </c>
      <c r="J107" s="28"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28" cm="1">
        <f t="array" ref="K107">WasteSolid_Equations.VEERG_10_1_1_1__1_EmissionsFromWasteManagement(I107, J107)</f>
        <v>0</v>
      </c>
    </row>
    <row r="108" spans="1:11" ht="20.100000000000001" customHeight="1" x14ac:dyDescent="0.25"/>
    <row r="109" spans="1:11" ht="20.100000000000001" customHeight="1" x14ac:dyDescent="0.25">
      <c r="A109" s="52" t="str">
        <f>HYPERLINK("#A1", "▲ Back to top")</f>
        <v>▲ Back to top</v>
      </c>
      <c r="D109" s="62" t="s">
        <v>123</v>
      </c>
      <c r="E109" s="64">
        <f>SUM(K88:K107)</f>
        <v>210.92105000000001</v>
      </c>
      <c r="F109" s="69" t="str">
        <f>$E$75</f>
        <v>t CO2e</v>
      </c>
    </row>
    <row r="110" spans="1:11" ht="20.100000000000001" customHeight="1" x14ac:dyDescent="0.25"/>
    <row r="111" spans="1:11" ht="20.100000000000001" customHeight="1" x14ac:dyDescent="0.25"/>
    <row r="112" spans="1:11" ht="20.100000000000001" customHeight="1" x14ac:dyDescent="0.25">
      <c r="D112" s="70" t="s">
        <v>131</v>
      </c>
    </row>
    <row r="113" spans="4:11" ht="20.100000000000001" customHeight="1" x14ac:dyDescent="0.25">
      <c r="D113" s="71" t="s">
        <v>132</v>
      </c>
    </row>
    <row r="114" spans="4:11" ht="20.100000000000001" customHeight="1" x14ac:dyDescent="0.25">
      <c r="D114" s="67" t="s">
        <v>94</v>
      </c>
      <c r="E114" s="67" t="s">
        <v>95</v>
      </c>
      <c r="F114" s="67"/>
      <c r="G114" s="67" t="s">
        <v>127</v>
      </c>
      <c r="H114" s="72" t="s">
        <v>128</v>
      </c>
      <c r="I114" s="72" t="s">
        <v>97</v>
      </c>
      <c r="J114" s="72" t="s">
        <v>121</v>
      </c>
      <c r="K114" s="72" t="s">
        <v>122</v>
      </c>
    </row>
    <row r="115" spans="4:11" ht="20.100000000000001" customHeight="1" x14ac:dyDescent="0.25">
      <c r="D115" s="49" t="str" cm="1">
        <f t="array" ref="D115:D134">Table_SourceData_WasteSolid_WasteTreatmentEFs[Treatment type t]</f>
        <v>Landfill</v>
      </c>
      <c r="E115" s="51" t="str" cm="1">
        <f t="array" ref="E115:E134">Table_SourceData_WasteSolid_WasteTreatmentEFs[Waste type w]</f>
        <v>Food waste (including animal carcasses, spoiled animal feed or crop)</v>
      </c>
      <c r="F115" s="73"/>
      <c r="G115" s="28"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15" s="28">
        <f t="shared" ref="H115:H134" si="2">I45</f>
        <v>25</v>
      </c>
      <c r="I115" s="28">
        <f>G115+H115</f>
        <v>75</v>
      </c>
      <c r="J115" s="28" cm="1">
        <f t="array" ref="J115">Common_InputFunctions.Utility_LookupValueInTableTwoColumns(D115,E115,Table_SourceData_WasteSolid_WasteTreatmentEFs[Treatment type t],Table_SourceData_WasteSolid_WasteTreatmentEFs[Waste type w],Table_SourceData_WasteSolid_WasteTreatmentEFs[EFwt])</f>
        <v>2.1</v>
      </c>
      <c r="K115" s="28" cm="1">
        <f t="array" ref="K115">WasteSolid_Equations.VEERG_10_1_1_1__1_EmissionsFromWasteManagement(I115, J115)</f>
        <v>157.5</v>
      </c>
    </row>
    <row r="116" spans="4:11" ht="20.100000000000001" customHeight="1" x14ac:dyDescent="0.25">
      <c r="D116" s="49" t="str">
        <v>Landfill</v>
      </c>
      <c r="E116" s="51" t="str">
        <v>Paper and cardboard</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28">
        <f t="shared" si="2"/>
        <v>0</v>
      </c>
      <c r="I116" s="28">
        <f t="shared" ref="I116:I134" si="3">G116+H116</f>
        <v>0</v>
      </c>
      <c r="J116" s="28" cm="1">
        <f t="array" ref="J116">Common_InputFunctions.Utility_LookupValueInTableTwoColumns(D116,E116,Table_SourceData_WasteSolid_WasteTreatmentEFs[Treatment type t],Table_SourceData_WasteSolid_WasteTreatmentEFs[Waste type w],Table_SourceData_WasteSolid_WasteTreatmentEFs[EFwt])</f>
        <v>3.3</v>
      </c>
      <c r="K116" s="28" cm="1">
        <f t="array" ref="K116">WasteSolid_Equations.VEERG_10_1_1_1__1_EmissionsFromWasteManagement(I116, J116)</f>
        <v>0</v>
      </c>
    </row>
    <row r="117" spans="4:11" ht="20.100000000000001" customHeight="1" x14ac:dyDescent="0.25">
      <c r="D117" s="49" t="str">
        <v>Landfill</v>
      </c>
      <c r="E117" s="51" t="str">
        <v>Green waste (including crop residues or prunnings)</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28">
        <f t="shared" si="2"/>
        <v>0</v>
      </c>
      <c r="I117" s="28">
        <f t="shared" si="3"/>
        <v>0</v>
      </c>
      <c r="J117" s="28" cm="1">
        <f t="array" ref="J117">Common_InputFunctions.Utility_LookupValueInTableTwoColumns(D117,E117,Table_SourceData_WasteSolid_WasteTreatmentEFs[Treatment type t],Table_SourceData_WasteSolid_WasteTreatmentEFs[Waste type w],Table_SourceData_WasteSolid_WasteTreatmentEFs[EFwt])</f>
        <v>1.6</v>
      </c>
      <c r="K117" s="28" cm="1">
        <f t="array" ref="K117">WasteSolid_Equations.VEERG_10_1_1_1__1_EmissionsFromWasteManagement(I117, J117)</f>
        <v>0</v>
      </c>
    </row>
    <row r="118" spans="4:11" ht="20.100000000000001" customHeight="1" x14ac:dyDescent="0.25">
      <c r="D118" s="49" t="str">
        <v>Landfill</v>
      </c>
      <c r="E118" s="51" t="str">
        <v>Wood</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28">
        <f t="shared" si="2"/>
        <v>0</v>
      </c>
      <c r="I118" s="28">
        <f t="shared" si="3"/>
        <v>0</v>
      </c>
      <c r="J118" s="28" cm="1">
        <f t="array" ref="J118">Common_InputFunctions.Utility_LookupValueInTableTwoColumns(D118,E118,Table_SourceData_WasteSolid_WasteTreatmentEFs[Treatment type t],Table_SourceData_WasteSolid_WasteTreatmentEFs[Waste type w],Table_SourceData_WasteSolid_WasteTreatmentEFs[EFwt])</f>
        <v>0.7</v>
      </c>
      <c r="K118" s="28" cm="1">
        <f t="array" ref="K118">WasteSolid_Equations.VEERG_10_1_1_1__1_EmissionsFromWasteManagement(I118, J118)</f>
        <v>0</v>
      </c>
    </row>
    <row r="119" spans="4:11" ht="20.100000000000001" customHeight="1" x14ac:dyDescent="0.25">
      <c r="D119" s="49" t="str">
        <v>Landfill</v>
      </c>
      <c r="E119" s="51" t="str">
        <v>Textiles</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28">
        <f t="shared" si="2"/>
        <v>0</v>
      </c>
      <c r="I119" s="28">
        <f t="shared" si="3"/>
        <v>0</v>
      </c>
      <c r="J119" s="28" cm="1">
        <f t="array" ref="J119">Common_InputFunctions.Utility_LookupValueInTableTwoColumns(D119,E119,Table_SourceData_WasteSolid_WasteTreatmentEFs[Treatment type t],Table_SourceData_WasteSolid_WasteTreatmentEFs[Waste type w],Table_SourceData_WasteSolid_WasteTreatmentEFs[EFwt])</f>
        <v>2</v>
      </c>
      <c r="K119" s="28" cm="1">
        <f t="array" ref="K119">WasteSolid_Equations.VEERG_10_1_1_1__1_EmissionsFromWasteManagement(I119, J119)</f>
        <v>0</v>
      </c>
    </row>
    <row r="120" spans="4:11" ht="20.100000000000001" customHeight="1" x14ac:dyDescent="0.25">
      <c r="D120" s="49" t="str">
        <v>Landfill</v>
      </c>
      <c r="E120" s="51" t="str">
        <v>Sludge</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28">
        <f t="shared" si="2"/>
        <v>0</v>
      </c>
      <c r="I120" s="28">
        <f t="shared" si="3"/>
        <v>0</v>
      </c>
      <c r="J120" s="28" cm="1">
        <f t="array" ref="J120">Common_InputFunctions.Utility_LookupValueInTableTwoColumns(D120,E120,Table_SourceData_WasteSolid_WasteTreatmentEFs[Treatment type t],Table_SourceData_WasteSolid_WasteTreatmentEFs[Waste type w],Table_SourceData_WasteSolid_WasteTreatmentEFs[EFwt])</f>
        <v>0.4</v>
      </c>
      <c r="K120" s="28" cm="1">
        <f t="array" ref="K120">WasteSolid_Equations.VEERG_10_1_1_1__1_EmissionsFromWasteManagement(I120, J120)</f>
        <v>0</v>
      </c>
    </row>
    <row r="121" spans="4:11" ht="20.100000000000001" customHeight="1" x14ac:dyDescent="0.25">
      <c r="D121" s="49" t="str">
        <v>Landfill</v>
      </c>
      <c r="E121" s="51" t="str">
        <v>Rubber and leather</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28">
        <f t="shared" si="2"/>
        <v>0</v>
      </c>
      <c r="I121" s="28">
        <f t="shared" si="3"/>
        <v>0</v>
      </c>
      <c r="J121" s="28" cm="1">
        <f t="array" ref="J121">Common_InputFunctions.Utility_LookupValueInTableTwoColumns(D121,E121,Table_SourceData_WasteSolid_WasteTreatmentEFs[Treatment type t],Table_SourceData_WasteSolid_WasteTreatmentEFs[Waste type w],Table_SourceData_WasteSolid_WasteTreatmentEFs[EFwt])</f>
        <v>3.3</v>
      </c>
      <c r="K121" s="28" cm="1">
        <f t="array" ref="K121">WasteSolid_Equations.VEERG_10_1_1_1__1_EmissionsFromWasteManagement(I121, J121)</f>
        <v>0</v>
      </c>
    </row>
    <row r="122" spans="4:11" ht="20.100000000000001" customHeight="1" x14ac:dyDescent="0.25">
      <c r="D122" s="49" t="str">
        <v>Landfill</v>
      </c>
      <c r="E122" s="51" t="str">
        <v>Inert waste (including concrete, metal, plastic or glass)</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28">
        <f t="shared" si="2"/>
        <v>0</v>
      </c>
      <c r="I122" s="28">
        <f t="shared" si="3"/>
        <v>0</v>
      </c>
      <c r="J122" s="28" cm="1">
        <f t="array" ref="J122">Common_InputFunctions.Utility_LookupValueInTableTwoColumns(D122,E122,Table_SourceData_WasteSolid_WasteTreatmentEFs[Treatment type t],Table_SourceData_WasteSolid_WasteTreatmentEFs[Waste type w],Table_SourceData_WasteSolid_WasteTreatmentEFs[EFwt])</f>
        <v>0</v>
      </c>
      <c r="K122" s="28" cm="1">
        <f t="array" ref="K122">WasteSolid_Equations.VEERG_10_1_1_1__1_EmissionsFromWasteManagement(I122, J122)</f>
        <v>0</v>
      </c>
    </row>
    <row r="123" spans="4:11" ht="20.100000000000001" customHeight="1" x14ac:dyDescent="0.25">
      <c r="D123" s="49" t="str">
        <v>Landfill</v>
      </c>
      <c r="E123" s="51" t="str">
        <v>Municipal solid waste</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28">
        <f t="shared" si="2"/>
        <v>0</v>
      </c>
      <c r="I123" s="28">
        <f t="shared" si="3"/>
        <v>0</v>
      </c>
      <c r="J123" s="28" cm="1">
        <f t="array" ref="J123">Common_InputFunctions.Utility_LookupValueInTableTwoColumns(D123,E123,Table_SourceData_WasteSolid_WasteTreatmentEFs[Treatment type t],Table_SourceData_WasteSolid_WasteTreatmentEFs[Waste type w],Table_SourceData_WasteSolid_WasteTreatmentEFs[EFwt])</f>
        <v>1.6</v>
      </c>
      <c r="K123" s="28" cm="1">
        <f t="array" ref="K123">WasteSolid_Equations.VEERG_10_1_1_1__1_EmissionsFromWasteManagement(I123, J123)</f>
        <v>0</v>
      </c>
    </row>
    <row r="124" spans="4:11" ht="20.100000000000001" customHeight="1" x14ac:dyDescent="0.25">
      <c r="D124" s="49" t="str">
        <v>Landfill</v>
      </c>
      <c r="E124" s="51" t="str">
        <v>Commercial and industrial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28">
        <f t="shared" si="2"/>
        <v>0</v>
      </c>
      <c r="I124" s="28">
        <f t="shared" si="3"/>
        <v>0</v>
      </c>
      <c r="J124" s="28" cm="1">
        <f t="array" ref="J124">Common_InputFunctions.Utility_LookupValueInTableTwoColumns(D124,E124,Table_SourceData_WasteSolid_WasteTreatmentEFs[Treatment type t],Table_SourceData_WasteSolid_WasteTreatmentEFs[Waste type w],Table_SourceData_WasteSolid_WasteTreatmentEFs[EFwt])</f>
        <v>1.3</v>
      </c>
      <c r="K124" s="28" cm="1">
        <f t="array" ref="K124">WasteSolid_Equations.VEERG_10_1_1_1__1_EmissionsFromWasteManagement(I124, J124)</f>
        <v>0</v>
      </c>
    </row>
    <row r="125" spans="4:11" ht="20.100000000000001" customHeight="1" x14ac:dyDescent="0.25">
      <c r="D125" s="49" t="str">
        <v>Landfill</v>
      </c>
      <c r="E125" s="51" t="str">
        <v>Construction and demolition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28">
        <f t="shared" si="2"/>
        <v>0</v>
      </c>
      <c r="I125" s="28">
        <f t="shared" si="3"/>
        <v>0</v>
      </c>
      <c r="J125" s="28" cm="1">
        <f t="array" ref="J125">Common_InputFunctions.Utility_LookupValueInTableTwoColumns(D125,E125,Table_SourceData_WasteSolid_WasteTreatmentEFs[Treatment type t],Table_SourceData_WasteSolid_WasteTreatmentEFs[Waste type w],Table_SourceData_WasteSolid_WasteTreatmentEFs[EFwt])</f>
        <v>0.2</v>
      </c>
      <c r="K125" s="28" cm="1">
        <f t="array" ref="K125">WasteSolid_Equations.VEERG_10_1_1_1__1_EmissionsFromWasteManagement(I125, J125)</f>
        <v>0</v>
      </c>
    </row>
    <row r="126" spans="4:11" ht="20.100000000000001" customHeight="1" x14ac:dyDescent="0.25">
      <c r="D126" s="49" t="str">
        <v>Incineration</v>
      </c>
      <c r="E126" s="51" t="str">
        <v>Food waste, green waste, wood, sludge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28">
        <f t="shared" si="2"/>
        <v>0</v>
      </c>
      <c r="I126" s="28">
        <f t="shared" si="3"/>
        <v>0</v>
      </c>
      <c r="J126" s="28" cm="1">
        <f t="array" ref="J126">Common_InputFunctions.Utility_LookupValueInTableTwoColumns(D126,E126,Table_SourceData_WasteSolid_WasteTreatmentEFs[Treatment type t],Table_SourceData_WasteSolid_WasteTreatmentEFs[Waste type w],Table_SourceData_WasteSolid_WasteTreatmentEFs[EFwt])</f>
        <v>0</v>
      </c>
      <c r="K126" s="28" cm="1">
        <f t="array" ref="K126">WasteSolid_Equations.VEERG_10_1_1_1__1_EmissionsFromWasteManagement(I126, J126)</f>
        <v>0</v>
      </c>
    </row>
    <row r="127" spans="4:11" ht="20.100000000000001" customHeight="1" x14ac:dyDescent="0.25">
      <c r="D127" s="49" t="str">
        <v>Incineration</v>
      </c>
      <c r="E127" s="51" t="str">
        <v>Paper and cardboard</v>
      </c>
      <c r="F127" s="73"/>
      <c r="G127" s="28"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50</v>
      </c>
      <c r="H127" s="28">
        <f t="shared" si="2"/>
        <v>4.5</v>
      </c>
      <c r="I127" s="28">
        <f t="shared" si="3"/>
        <v>54.5</v>
      </c>
      <c r="J127" s="28"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28" cm="1">
        <f t="array" ref="K127">WasteSolid_Equations.VEERG_10_1_1_1__1_EmissionsFromWasteManagement(I127, J127)</f>
        <v>0.92104999999999992</v>
      </c>
    </row>
    <row r="128" spans="4:11" ht="20.100000000000001" customHeight="1" x14ac:dyDescent="0.25">
      <c r="D128" s="49" t="str">
        <v>Incineration</v>
      </c>
      <c r="E128" s="51" t="str">
        <v>Textiles</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28">
        <f t="shared" si="2"/>
        <v>0</v>
      </c>
      <c r="I128" s="28">
        <f t="shared" si="3"/>
        <v>0</v>
      </c>
      <c r="J128" s="28"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28" cm="1">
        <f t="array" ref="K128">WasteSolid_Equations.VEERG_10_1_1_1__1_EmissionsFromWasteManagement(I128, J128)</f>
        <v>0</v>
      </c>
    </row>
    <row r="129" spans="1:11" ht="20.100000000000001" customHeight="1" x14ac:dyDescent="0.25">
      <c r="D129" s="49" t="str">
        <v>Incineration</v>
      </c>
      <c r="E129" s="51" t="str">
        <v>Rubber and leather</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28">
        <f t="shared" si="2"/>
        <v>0</v>
      </c>
      <c r="I129" s="28">
        <f t="shared" si="3"/>
        <v>0</v>
      </c>
      <c r="J129" s="28" cm="1">
        <f t="array" ref="J129">Common_InputFunctions.Utility_LookupValueInTableTwoColumns(D129,E129,Table_SourceData_WasteSolid_WasteTreatmentEFs[Treatment type t],Table_SourceData_WasteSolid_WasteTreatmentEFs[Waste type w],Table_SourceData_WasteSolid_WasteTreatmentEFs[EFwt])</f>
        <v>0.4919</v>
      </c>
      <c r="K129" s="28" cm="1">
        <f t="array" ref="K129">WasteSolid_Equations.VEERG_10_1_1_1__1_EmissionsFromWasteManagement(I129, J129)</f>
        <v>0</v>
      </c>
    </row>
    <row r="130" spans="1:11" ht="20.100000000000001" customHeight="1" x14ac:dyDescent="0.25">
      <c r="D130" s="49" t="str">
        <v>Incineration</v>
      </c>
      <c r="E130" s="51" t="str">
        <v>Inert Waste</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28">
        <f t="shared" si="2"/>
        <v>0</v>
      </c>
      <c r="I130" s="28">
        <f t="shared" si="3"/>
        <v>0</v>
      </c>
      <c r="J130" s="28" cm="1">
        <f t="array" ref="J130">Common_InputFunctions.Utility_LookupValueInTableTwoColumns(D130,E130,Table_SourceData_WasteSolid_WasteTreatmentEFs[Treatment type t],Table_SourceData_WasteSolid_WasteTreatmentEFs[Waste type w],Table_SourceData_WasteSolid_WasteTreatmentEFs[EFwt])</f>
        <v>0.11</v>
      </c>
      <c r="K130" s="28" cm="1">
        <f t="array" ref="K130">WasteSolid_Equations.VEERG_10_1_1_1__1_EmissionsFromWasteManagement(I130, J130)</f>
        <v>0</v>
      </c>
    </row>
    <row r="131" spans="1:11" ht="20.100000000000001" customHeight="1" x14ac:dyDescent="0.25">
      <c r="D131" s="49" t="str">
        <v>Incineration</v>
      </c>
      <c r="E131" s="51" t="str">
        <v>Municipal Solid Waste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28">
        <f t="shared" si="2"/>
        <v>0</v>
      </c>
      <c r="I131" s="28">
        <f t="shared" si="3"/>
        <v>0</v>
      </c>
      <c r="J131" s="28"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28" cm="1">
        <f t="array" ref="K131">WasteSolid_Equations.VEERG_10_1_1_1__1_EmissionsFromWasteManagement(I131, J131)</f>
        <v>0</v>
      </c>
    </row>
    <row r="132" spans="1:11" ht="20.100000000000001" customHeight="1" x14ac:dyDescent="0.25">
      <c r="D132" s="49" t="str">
        <v>Incineration</v>
      </c>
      <c r="E132" s="51" t="str">
        <v>Industrial Waste</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28">
        <f t="shared" si="2"/>
        <v>0</v>
      </c>
      <c r="I132" s="28">
        <f t="shared" si="3"/>
        <v>0</v>
      </c>
      <c r="J132" s="28" cm="1">
        <f t="array" ref="J132">Common_InputFunctions.Utility_LookupValueInTableTwoColumns(D132,E132,Table_SourceData_WasteSolid_WasteTreatmentEFs[Treatment type t],Table_SourceData_WasteSolid_WasteTreatmentEFs[Waste type w],Table_SourceData_WasteSolid_WasteTreatmentEFs[EFwt])</f>
        <v>1.649</v>
      </c>
      <c r="K132" s="28" cm="1">
        <f t="array" ref="K132">WasteSolid_Equations.VEERG_10_1_1_1__1_EmissionsFromWasteManagement(I132, J132)</f>
        <v>0</v>
      </c>
    </row>
    <row r="133" spans="1:11" ht="20.100000000000001" customHeight="1" x14ac:dyDescent="0.25">
      <c r="D133" s="49" t="str">
        <v>Composting</v>
      </c>
      <c r="E133" s="51" t="str">
        <v>All organic waste</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28">
        <f t="shared" si="2"/>
        <v>0</v>
      </c>
      <c r="I133" s="28">
        <f t="shared" si="3"/>
        <v>0</v>
      </c>
      <c r="J133" s="28"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28" cm="1">
        <f t="array" ref="K133">WasteSolid_Equations.VEERG_10_1_1_1__1_EmissionsFromWasteManagement(I133, J133)</f>
        <v>0</v>
      </c>
    </row>
    <row r="134" spans="1:11" ht="20.100000000000001" customHeight="1" x14ac:dyDescent="0.25">
      <c r="D134" s="49" t="str">
        <v>Anaerobic digestion</v>
      </c>
      <c r="E134" s="51" t="str">
        <v>All organic waste</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28">
        <f t="shared" si="2"/>
        <v>0</v>
      </c>
      <c r="I134" s="28">
        <f t="shared" si="3"/>
        <v>0</v>
      </c>
      <c r="J134" s="28"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28" cm="1">
        <f t="array" ref="K134">WasteSolid_Equations.VEERG_10_1_1_1__1_EmissionsFromWasteManagement(I134, J134)</f>
        <v>0</v>
      </c>
    </row>
    <row r="135" spans="1:11" ht="20.100000000000001" customHeight="1" x14ac:dyDescent="0.25"/>
    <row r="136" spans="1:11" ht="20.100000000000001" customHeight="1" x14ac:dyDescent="0.25">
      <c r="A136" s="52" t="str">
        <f>HYPERLINK("#A1", "▲ Back to top")</f>
        <v>▲ Back to top</v>
      </c>
      <c r="D136" s="62" t="s">
        <v>123</v>
      </c>
      <c r="E136" s="64">
        <f>SUM(K115:K134)</f>
        <v>158.42105000000001</v>
      </c>
      <c r="F136" s="69"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G60" sqref="G6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c r="E6" s="31"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6" t="s">
        <v>1</v>
      </c>
      <c r="D7" s="1" t="str" cm="1">
        <f t="array" ref="D7">WasteSolid_SourceData.Waste_EmissionFactorsForWasteTreatment_Variable()</f>
        <v>EFwt</v>
      </c>
    </row>
    <row r="8" spans="1:35" ht="20.100000000000001" customHeight="1" x14ac:dyDescent="0.25">
      <c r="A8" s="13" t="str">
        <f>HYPERLINK("#'Input - Solid waste'!A1", "Solid waste")</f>
        <v>Solid waste</v>
      </c>
      <c r="D8" s="30" t="str" cm="1">
        <f t="array" ref="D8">WasteSolid_SourceData.Waste_EmissionFactorsForWasteTreatment_Unit()</f>
        <v>t CO2e / t</v>
      </c>
      <c r="I8" s="1" t="s">
        <v>108</v>
      </c>
      <c r="K8" s="1" t="s">
        <v>109</v>
      </c>
      <c r="M8" s="1" t="s">
        <v>110</v>
      </c>
      <c r="O8" s="1" t="s">
        <v>111</v>
      </c>
    </row>
    <row r="9" spans="1:35" ht="20.100000000000001" customHeight="1" x14ac:dyDescent="0.25">
      <c r="A9" s="13"/>
      <c r="D9" s="26" t="s">
        <v>89</v>
      </c>
      <c r="E9" s="26" t="s">
        <v>90</v>
      </c>
      <c r="F9" s="26" t="s">
        <v>91</v>
      </c>
      <c r="G9" s="26" t="s">
        <v>135</v>
      </c>
      <c r="I9" s="26" t="s">
        <v>90</v>
      </c>
      <c r="K9" s="74" t="s">
        <v>90</v>
      </c>
      <c r="M9" s="74" t="s">
        <v>90</v>
      </c>
      <c r="O9" s="74" t="s">
        <v>90</v>
      </c>
    </row>
    <row r="10" spans="1:35" ht="20.100000000000001" customHeight="1" x14ac:dyDescent="0.25">
      <c r="A10" s="15" t="s">
        <v>45</v>
      </c>
      <c r="D10" s="26" t="str" cm="1">
        <f t="array" ref="D10">Common_InputFunctions.Utility_DisplayArrayInTable(WasteSolid_SourceData.Waste_EmissionFactorsForWasteTreatment_Data(), Table_SourceData_WasteSolid_WasteTreatmentEFs[[#Headers],[Treatment type t]], 0)</f>
        <v>Landfill</v>
      </c>
      <c r="E10" s="26"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26" cm="1">
        <f t="array" ref="F10">Common_InputFunctions.Utility_DisplayArrayInTable(WasteSolid_SourceData.Waste_EmissionFactorsForWasteTreatment_Data(), Table_SourceData_WasteSolid_WasteTreatmentEFs[[#Headers],[Treatment type t]], 0)</f>
        <v>2.1</v>
      </c>
      <c r="G10" s="26" t="str" cm="1">
        <f t="array" ref="G10">Common_InputFunctions.Utility_DisplayArrayInTable(WasteSolid_SourceData.Waste_EmissionFactorsForWasteTreatment_Data(), Table_SourceData_WasteSolid_WasteTreatmentEFs[[#Headers],[Treatment type t]], 0)</f>
        <v>NGAF 2025 table 15</v>
      </c>
      <c r="I10" s="26" t="str">
        <f>Table_SourceData_WasteSolid_WasteTreatmentEFs[[#This Row],[Waste type w]]</f>
        <v>Food waste (including animal carcasses, spoiled animal feed or crop)</v>
      </c>
      <c r="K10" s="1" t="str">
        <f t="shared" ref="K10:K16" si="0">E21</f>
        <v>Food waste, green waste, wood, sludge</v>
      </c>
      <c r="M10" s="1" t="str">
        <f>E28</f>
        <v>All organic waste</v>
      </c>
      <c r="O10" s="1" t="str">
        <f>E29</f>
        <v>All organic waste</v>
      </c>
    </row>
    <row r="11" spans="1:35" ht="20.100000000000001" customHeight="1" x14ac:dyDescent="0.25">
      <c r="A11" s="13" t="str">
        <f>HYPERLINK("#'10.1.1-2 Solid waste treatment'!A1", "10.1.1-2 Solid waste treatment")</f>
        <v>10.1.1-2 Solid waste treatment</v>
      </c>
      <c r="D11" s="1" t="str" cm="1">
        <f t="array" ref="D11">Common_InputFunctions.Utility_DisplayArrayInTable(WasteSolid_SourceData.Waste_EmissionFactorsForWasteTreatment_Data(), Table_SourceData_WasteSolid_WasteTreatmentEFs[[#Headers],[Treatment type t]], 0)</f>
        <v>Landfill</v>
      </c>
      <c r="E11" s="26" t="str" cm="1">
        <f t="array" ref="E11">Common_InputFunctions.Utility_DisplayArrayInTable(WasteSolid_SourceData.Waste_EmissionFactorsForWasteTreatment_Data(), Table_SourceData_WasteSolid_WasteTreatmentEFs[[#Headers],[Treatment type t]], 0)</f>
        <v>Paper and cardboard</v>
      </c>
      <c r="F11" s="26" cm="1">
        <f t="array" ref="F11">Common_InputFunctions.Utility_DisplayArrayInTable(WasteSolid_SourceData.Waste_EmissionFactorsForWasteTreatment_Data(), Table_SourceData_WasteSolid_WasteTreatmentEFs[[#Headers],[Treatment type t]], 0)</f>
        <v>3.3</v>
      </c>
      <c r="G11" s="26" t="str" cm="1">
        <f t="array" ref="G11">Common_InputFunctions.Utility_DisplayArrayInTable(WasteSolid_SourceData.Waste_EmissionFactorsForWasteTreatment_Data(), Table_SourceData_WasteSolid_WasteTreatmentEFs[[#Headers],[Treatment type t]], 0)</f>
        <v>NGAF 2025 table 15</v>
      </c>
      <c r="I11" s="26" t="str">
        <f>Table_SourceData_WasteSolid_WasteTreatmentEFs[[#This Row],[Waste type w]]</f>
        <v>Paper and cardboard</v>
      </c>
      <c r="K11" s="1" t="str">
        <f t="shared" si="0"/>
        <v>Paper and cardboard</v>
      </c>
    </row>
    <row r="12" spans="1:35" ht="20.100000000000001" customHeight="1" x14ac:dyDescent="0.25">
      <c r="A12" s="13"/>
      <c r="D12" s="1" t="str" cm="1">
        <f t="array" ref="D12">Common_InputFunctions.Utility_DisplayArrayInTable(WasteSolid_SourceData.Waste_EmissionFactorsForWasteTreatment_Data(), Table_SourceData_WasteSolid_WasteTreatmentEFs[[#Headers],[Treatment type t]], 0)</f>
        <v>Landfill</v>
      </c>
      <c r="E12" s="26" t="str" cm="1">
        <f t="array" ref="E12">Common_InputFunctions.Utility_DisplayArrayInTable(WasteSolid_SourceData.Waste_EmissionFactorsForWasteTreatment_Data(), Table_SourceData_WasteSolid_WasteTreatmentEFs[[#Headers],[Treatment type t]], 0)</f>
        <v>Green waste (including crop residues or prunnings)</v>
      </c>
      <c r="F12" s="26" cm="1">
        <f t="array" ref="F12">Common_InputFunctions.Utility_DisplayArrayInTable(WasteSolid_SourceData.Waste_EmissionFactorsForWasteTreatment_Data(), Table_SourceData_WasteSolid_WasteTreatmentEFs[[#Headers],[Treatment type t]], 0)</f>
        <v>1.6</v>
      </c>
      <c r="G12" s="26" t="str" cm="1">
        <f t="array" ref="G12">Common_InputFunctions.Utility_DisplayArrayInTable(WasteSolid_SourceData.Waste_EmissionFactorsForWasteTreatment_Data(), Table_SourceData_WasteSolid_WasteTreatmentEFs[[#Headers],[Treatment type t]], 0)</f>
        <v>NGAF 2025 table 15</v>
      </c>
      <c r="I12" s="26" t="str">
        <f>Table_SourceData_WasteSolid_WasteTreatmentEFs[[#This Row],[Waste type w]]</f>
        <v>Green waste (including crop residues or prunnings)</v>
      </c>
      <c r="K12" s="1" t="str">
        <f t="shared" si="0"/>
        <v>Textiles</v>
      </c>
    </row>
    <row r="13" spans="1:35" ht="20.100000000000001" customHeight="1" x14ac:dyDescent="0.25">
      <c r="A13" s="14" t="s">
        <v>2</v>
      </c>
      <c r="D13" s="1" t="str" cm="1">
        <f t="array" ref="D13">Common_InputFunctions.Utility_DisplayArrayInTable(WasteSolid_SourceData.Waste_EmissionFactorsForWasteTreatment_Data(), Table_SourceData_WasteSolid_WasteTreatmentEFs[[#Headers],[Treatment type t]], 0)</f>
        <v>Landfill</v>
      </c>
      <c r="E13" s="26" t="str" cm="1">
        <f t="array" ref="E13">Common_InputFunctions.Utility_DisplayArrayInTable(WasteSolid_SourceData.Waste_EmissionFactorsForWasteTreatment_Data(), Table_SourceData_WasteSolid_WasteTreatmentEFs[[#Headers],[Treatment type t]], 0)</f>
        <v>Wood</v>
      </c>
      <c r="F13" s="26" cm="1">
        <f t="array" ref="F13">Common_InputFunctions.Utility_DisplayArrayInTable(WasteSolid_SourceData.Waste_EmissionFactorsForWasteTreatment_Data(), Table_SourceData_WasteSolid_WasteTreatmentEFs[[#Headers],[Treatment type t]], 0)</f>
        <v>0.7</v>
      </c>
      <c r="G13" s="26" t="str" cm="1">
        <f t="array" ref="G13">Common_InputFunctions.Utility_DisplayArrayInTable(WasteSolid_SourceData.Waste_EmissionFactorsForWasteTreatment_Data(), Table_SourceData_WasteSolid_WasteTreatmentEFs[[#Headers],[Treatment type t]], 0)</f>
        <v>NGAF 2025 table 15</v>
      </c>
      <c r="I13" s="26" t="str">
        <f>Table_SourceData_WasteSolid_WasteTreatmentEFs[[#This Row],[Waste type w]]</f>
        <v>Wood</v>
      </c>
      <c r="K13" s="1" t="str">
        <f t="shared" si="0"/>
        <v>Rubber and leather</v>
      </c>
    </row>
    <row r="14" spans="1:35" ht="20.100000000000001" customHeight="1" x14ac:dyDescent="0.25">
      <c r="A14" s="59" t="str">
        <f>HYPERLINK("#'Constants - Solid waste'!A1", "Constants - Solid waste")</f>
        <v>Constants - Solid waste</v>
      </c>
      <c r="D14" s="1" t="str" cm="1">
        <f t="array" ref="D14">Common_InputFunctions.Utility_DisplayArrayInTable(WasteSolid_SourceData.Waste_EmissionFactorsForWasteTreatment_Data(), Table_SourceData_WasteSolid_WasteTreatmentEFs[[#Headers],[Treatment type t]], 0)</f>
        <v>Landfill</v>
      </c>
      <c r="E14" s="26" t="str" cm="1">
        <f t="array" ref="E14">Common_InputFunctions.Utility_DisplayArrayInTable(WasteSolid_SourceData.Waste_EmissionFactorsForWasteTreatment_Data(), Table_SourceData_WasteSolid_WasteTreatmentEFs[[#Headers],[Treatment type t]], 0)</f>
        <v>Textiles</v>
      </c>
      <c r="F14" s="26" cm="1">
        <f t="array" ref="F14">Common_InputFunctions.Utility_DisplayArrayInTable(WasteSolid_SourceData.Waste_EmissionFactorsForWasteTreatment_Data(), Table_SourceData_WasteSolid_WasteTreatmentEFs[[#Headers],[Treatment type t]], 0)</f>
        <v>2</v>
      </c>
      <c r="G14" s="26" t="str" cm="1">
        <f t="array" ref="G14">Common_InputFunctions.Utility_DisplayArrayInTable(WasteSolid_SourceData.Waste_EmissionFactorsForWasteTreatment_Data(), Table_SourceData_WasteSolid_WasteTreatmentEFs[[#Headers],[Treatment type t]], 0)</f>
        <v>NGAF 2025 table 15</v>
      </c>
      <c r="I14" s="26" t="str">
        <f>Table_SourceData_WasteSolid_WasteTreatmentEFs[[#This Row],[Waste type w]]</f>
        <v>Textiles</v>
      </c>
      <c r="K14" s="1" t="str">
        <f t="shared" si="0"/>
        <v>Inert Waste</v>
      </c>
    </row>
    <row r="15" spans="1:35" ht="20.100000000000001" customHeight="1" x14ac:dyDescent="0.25">
      <c r="A15" s="13" t="str">
        <f>HYPERLINK("#'Constants - Common'!A1", "Constants - Common")</f>
        <v>Constants - Common</v>
      </c>
      <c r="D15" s="1" t="str" cm="1">
        <f t="array" ref="D15">Common_InputFunctions.Utility_DisplayArrayInTable(WasteSolid_SourceData.Waste_EmissionFactorsForWasteTreatment_Data(), Table_SourceData_WasteSolid_WasteTreatmentEFs[[#Headers],[Treatment type t]], 0)</f>
        <v>Landfill</v>
      </c>
      <c r="E15" s="26" t="str" cm="1">
        <f t="array" ref="E15">Common_InputFunctions.Utility_DisplayArrayInTable(WasteSolid_SourceData.Waste_EmissionFactorsForWasteTreatment_Data(), Table_SourceData_WasteSolid_WasteTreatmentEFs[[#Headers],[Treatment type t]], 0)</f>
        <v>Sludge</v>
      </c>
      <c r="F15" s="26" cm="1">
        <f t="array" ref="F15">Common_InputFunctions.Utility_DisplayArrayInTable(WasteSolid_SourceData.Waste_EmissionFactorsForWasteTreatment_Data(), Table_SourceData_WasteSolid_WasteTreatmentEFs[[#Headers],[Treatment type t]], 0)</f>
        <v>0.4</v>
      </c>
      <c r="G15" s="26" t="str" cm="1">
        <f t="array" ref="G15">Common_InputFunctions.Utility_DisplayArrayInTable(WasteSolid_SourceData.Waste_EmissionFactorsForWasteTreatment_Data(), Table_SourceData_WasteSolid_WasteTreatmentEFs[[#Headers],[Treatment type t]], 0)</f>
        <v>NGAF 2025 table 15</v>
      </c>
      <c r="I15" s="26" t="str">
        <f>Table_SourceData_WasteSolid_WasteTreatmentEFs[[#This Row],[Waste type w]]</f>
        <v>Sludge</v>
      </c>
      <c r="K15" s="1" t="str">
        <f t="shared" si="0"/>
        <v>Municipal Solid Waste</v>
      </c>
    </row>
    <row r="16" spans="1:35" ht="20.100000000000001" customHeight="1" x14ac:dyDescent="0.25">
      <c r="D16" s="1" t="str" cm="1">
        <f t="array" ref="D16">Common_InputFunctions.Utility_DisplayArrayInTable(WasteSolid_SourceData.Waste_EmissionFactorsForWasteTreatment_Data(), Table_SourceData_WasteSolid_WasteTreatmentEFs[[#Headers],[Treatment type t]], 0)</f>
        <v>Landfill</v>
      </c>
      <c r="E16" s="26" t="str" cm="1">
        <f t="array" ref="E16">Common_InputFunctions.Utility_DisplayArrayInTable(WasteSolid_SourceData.Waste_EmissionFactorsForWasteTreatment_Data(), Table_SourceData_WasteSolid_WasteTreatmentEFs[[#Headers],[Treatment type t]], 0)</f>
        <v>Rubber and leather</v>
      </c>
      <c r="F16" s="26" cm="1">
        <f t="array" ref="F16">Common_InputFunctions.Utility_DisplayArrayInTable(WasteSolid_SourceData.Waste_EmissionFactorsForWasteTreatment_Data(), Table_SourceData_WasteSolid_WasteTreatmentEFs[[#Headers],[Treatment type t]], 0)</f>
        <v>3.3</v>
      </c>
      <c r="G16" s="26" t="str" cm="1">
        <f t="array" ref="G16">Common_InputFunctions.Utility_DisplayArrayInTable(WasteSolid_SourceData.Waste_EmissionFactorsForWasteTreatment_Data(), Table_SourceData_WasteSolid_WasteTreatmentEFs[[#Headers],[Treatment type t]], 0)</f>
        <v>NGAF 2025 table 15</v>
      </c>
      <c r="I16" s="26" t="str">
        <f>Table_SourceData_WasteSolid_WasteTreatmentEFs[[#This Row],[Waste type w]]</f>
        <v>Rubber and leather</v>
      </c>
      <c r="K16" s="1" t="str">
        <f t="shared" si="0"/>
        <v>Industrial Waste</v>
      </c>
    </row>
    <row r="17" spans="1:9" ht="20.100000000000001" customHeight="1" x14ac:dyDescent="0.25">
      <c r="D17" s="1"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Inert waste (including concrete, metal, plastic or glass)</v>
      </c>
      <c r="F17" s="26" cm="1">
        <f t="array" ref="F17">Common_InputFunctions.Utility_DisplayArrayInTable(WasteSolid_SourceData.Waste_EmissionFactorsForWasteTreatment_Data(), Table_SourceData_WasteSolid_WasteTreatmentEFs[[#Headers],[Treatment type t]], 0)</f>
        <v>0</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Inert waste (including concrete, metal, plastic or glass)</v>
      </c>
    </row>
    <row r="18" spans="1:9"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Municipal solid waste</v>
      </c>
      <c r="F18" s="26" cm="1">
        <f t="array" ref="F18">Common_InputFunctions.Utility_DisplayArrayInTable(WasteSolid_SourceData.Waste_EmissionFactorsForWasteTreatment_Data(), Table_SourceData_WasteSolid_WasteTreatmentEFs[[#Headers],[Treatment type t]], 0)</f>
        <v>1.6</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Municipal solid waste</v>
      </c>
    </row>
    <row r="19" spans="1:9"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Commercial and industrial waste</v>
      </c>
      <c r="F19" s="26" cm="1">
        <f t="array" ref="F19">Common_InputFunctions.Utility_DisplayArrayInTable(WasteSolid_SourceData.Waste_EmissionFactorsForWasteTreatment_Data(), Table_SourceData_WasteSolid_WasteTreatmentEFs[[#Headers],[Treatment type t]], 0)</f>
        <v>1.3</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Commercial and industrial waste</v>
      </c>
    </row>
    <row r="20" spans="1:9"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Construction and demolition waste</v>
      </c>
      <c r="F20" s="26" cm="1">
        <f t="array" ref="F20">Common_InputFunctions.Utility_DisplayArrayInTable(WasteSolid_SourceData.Waste_EmissionFactorsForWasteTreatment_Data(), Table_SourceData_WasteSolid_WasteTreatmentEFs[[#Headers],[Treatment type t]], 0)</f>
        <v>0.2</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Construction and demolition waste</v>
      </c>
    </row>
    <row r="21" spans="1:9"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Incineration</v>
      </c>
      <c r="E21" s="26" t="str" cm="1">
        <f t="array" ref="E21">Common_InputFunctions.Utility_DisplayArrayInTable(WasteSolid_SourceData.Waste_EmissionFactorsForWasteTreatment_Data(), Table_SourceData_WasteSolid_WasteTreatmentEFs[[#Headers],[Treatment type t]], 0)</f>
        <v>Food waste, green waste, wood, sludge</v>
      </c>
      <c r="F21" s="26" cm="1">
        <f t="array" ref="F21">Common_InputFunctions.Utility_DisplayArrayInTable(WasteSolid_SourceData.Waste_EmissionFactorsForWasteTreatment_Data(), Table_SourceData_WasteSolid_WasteTreatmentEFs[[#Headers],[Treatment type t]], 0)</f>
        <v>0</v>
      </c>
      <c r="G21" s="26"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1" t="str" cm="1">
        <f t="array" ref="D22">Common_InputFunctions.Utility_DisplayArrayInTable(WasteSolid_SourceData.Waste_EmissionFactorsForWasteTreatment_Data(), Table_SourceData_WasteSolid_WasteTreatmentEFs[[#Headers],[Treatment type t]], 0)</f>
        <v>Incineration</v>
      </c>
      <c r="E22" s="26" t="str" cm="1">
        <f t="array" ref="E22">Common_InputFunctions.Utility_DisplayArrayInTable(WasteSolid_SourceData.Waste_EmissionFactorsForWasteTreatment_Data(), Table_SourceData_WasteSolid_WasteTreatmentEFs[[#Headers],[Treatment type t]], 0)</f>
        <v>Paper and cardboard</v>
      </c>
      <c r="F22" s="26" cm="1">
        <f t="array" ref="F22">Common_InputFunctions.Utility_DisplayArrayInTable(WasteSolid_SourceData.Waste_EmissionFactorsForWasteTreatment_Data(), Table_SourceData_WasteSolid_WasteTreatmentEFs[[#Headers],[Treatment type t]], 0)</f>
        <v>1.6899999999999998E-2</v>
      </c>
      <c r="G22" s="26"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Incineration</v>
      </c>
      <c r="E23" s="26" t="str" cm="1">
        <f t="array" ref="E23">Common_InputFunctions.Utility_DisplayArrayInTable(WasteSolid_SourceData.Waste_EmissionFactorsForWasteTreatment_Data(), Table_SourceData_WasteSolid_WasteTreatmentEFs[[#Headers],[Treatment type t]], 0)</f>
        <v>Textiles</v>
      </c>
      <c r="F23" s="26" cm="1">
        <f t="array" ref="F23">Common_InputFunctions.Utility_DisplayArrayInTable(WasteSolid_SourceData.Waste_EmissionFactorsForWasteTreatment_Data(), Table_SourceData_WasteSolid_WasteTreatmentEFs[[#Headers],[Treatment type t]], 0)</f>
        <v>0.36670000000000003</v>
      </c>
      <c r="G23" s="26"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1" t="str" cm="1">
        <f t="array" ref="D24">Common_InputFunctions.Utility_DisplayArrayInTable(WasteSolid_SourceData.Waste_EmissionFactorsForWasteTreatment_Data(), Table_SourceData_WasteSolid_WasteTreatmentEFs[[#Headers],[Treatment type t]], 0)</f>
        <v>Incineration</v>
      </c>
      <c r="E24" s="26" t="str" cm="1">
        <f t="array" ref="E24">Common_InputFunctions.Utility_DisplayArrayInTable(WasteSolid_SourceData.Waste_EmissionFactorsForWasteTreatment_Data(), Table_SourceData_WasteSolid_WasteTreatmentEFs[[#Headers],[Treatment type t]], 0)</f>
        <v>Rubber and leather</v>
      </c>
      <c r="F24" s="26" cm="1">
        <f t="array" ref="F24">Common_InputFunctions.Utility_DisplayArrayInTable(WasteSolid_SourceData.Waste_EmissionFactorsForWasteTreatment_Data(), Table_SourceData_WasteSolid_WasteTreatmentEFs[[#Headers],[Treatment type t]], 0)</f>
        <v>0.4919</v>
      </c>
      <c r="G24" s="26"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1" t="str" cm="1">
        <f t="array" ref="D25">Common_InputFunctions.Utility_DisplayArrayInTable(WasteSolid_SourceData.Waste_EmissionFactorsForWasteTreatment_Data(), Table_SourceData_WasteSolid_WasteTreatmentEFs[[#Headers],[Treatment type t]], 0)</f>
        <v>Incineration</v>
      </c>
      <c r="E25" s="26" t="str" cm="1">
        <f t="array" ref="E25">Common_InputFunctions.Utility_DisplayArrayInTable(WasteSolid_SourceData.Waste_EmissionFactorsForWasteTreatment_Data(), Table_SourceData_WasteSolid_WasteTreatmentEFs[[#Headers],[Treatment type t]], 0)</f>
        <v>Inert Waste</v>
      </c>
      <c r="F25" s="26" cm="1">
        <f t="array" ref="F25">Common_InputFunctions.Utility_DisplayArrayInTable(WasteSolid_SourceData.Waste_EmissionFactorsForWasteTreatment_Data(), Table_SourceData_WasteSolid_WasteTreatmentEFs[[#Headers],[Treatment type t]], 0)</f>
        <v>0.11</v>
      </c>
      <c r="G25" s="26"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1" t="str" cm="1">
        <f t="array" ref="D26">Common_InputFunctions.Utility_DisplayArrayInTable(WasteSolid_SourceData.Waste_EmissionFactorsForWasteTreatment_Data(), Table_SourceData_WasteSolid_WasteTreatmentEFs[[#Headers],[Treatment type t]], 0)</f>
        <v>Incineration</v>
      </c>
      <c r="E26" s="26" t="str" cm="1">
        <f t="array" ref="E26">Common_InputFunctions.Utility_DisplayArrayInTable(WasteSolid_SourceData.Waste_EmissionFactorsForWasteTreatment_Data(), Table_SourceData_WasteSolid_WasteTreatmentEFs[[#Headers],[Treatment type t]], 0)</f>
        <v>Municipal Solid Waste</v>
      </c>
      <c r="F26" s="26" cm="1">
        <f t="array" ref="F26">Common_InputFunctions.Utility_DisplayArrayInTable(WasteSolid_SourceData.Waste_EmissionFactorsForWasteTreatment_Data(), Table_SourceData_WasteSolid_WasteTreatmentEFs[[#Headers],[Treatment type t]], 0)</f>
        <v>5.3699999999999998E-2</v>
      </c>
      <c r="G26" s="26"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1" t="str" cm="1">
        <f t="array" ref="D27">Common_InputFunctions.Utility_DisplayArrayInTable(WasteSolid_SourceData.Waste_EmissionFactorsForWasteTreatment_Data(), Table_SourceData_WasteSolid_WasteTreatmentEFs[[#Headers],[Treatment type t]], 0)</f>
        <v>Incineration</v>
      </c>
      <c r="E27" s="26" t="str" cm="1">
        <f t="array" ref="E27">Common_InputFunctions.Utility_DisplayArrayInTable(WasteSolid_SourceData.Waste_EmissionFactorsForWasteTreatment_Data(), Table_SourceData_WasteSolid_WasteTreatmentEFs[[#Headers],[Treatment type t]], 0)</f>
        <v>Industrial Waste</v>
      </c>
      <c r="F27" s="26" cm="1">
        <f t="array" ref="F27">Common_InputFunctions.Utility_DisplayArrayInTable(WasteSolid_SourceData.Waste_EmissionFactorsForWasteTreatment_Data(), Table_SourceData_WasteSolid_WasteTreatmentEFs[[#Headers],[Treatment type t]], 0)</f>
        <v>1.649</v>
      </c>
      <c r="G27" s="26"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1" t="str" cm="1">
        <f t="array" ref="D28">Common_InputFunctions.Utility_DisplayArrayInTable(WasteSolid_SourceData.Waste_EmissionFactorsForWasteTreatment_Data(), Table_SourceData_WasteSolid_WasteTreatmentEFs[[#Headers],[Treatment type t]], 0)</f>
        <v>Composting</v>
      </c>
      <c r="E28" s="26" t="str" cm="1">
        <f t="array" ref="E28">Common_InputFunctions.Utility_DisplayArrayInTable(WasteSolid_SourceData.Waste_EmissionFactorsForWasteTreatment_Data(), Table_SourceData_WasteSolid_WasteTreatmentEFs[[#Headers],[Treatment type t]], 0)</f>
        <v>All organic waste</v>
      </c>
      <c r="F28" s="26" cm="1">
        <f t="array" ref="F28">Common_InputFunctions.Utility_DisplayArrayInTable(WasteSolid_SourceData.Waste_EmissionFactorsForWasteTreatment_Data(), Table_SourceData_WasteSolid_WasteTreatmentEFs[[#Headers],[Treatment type t]], 0)</f>
        <v>4.5999999999999999E-2</v>
      </c>
      <c r="G28" s="26"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1" t="str" cm="1">
        <f t="array" ref="D29">Common_InputFunctions.Utility_DisplayArrayInTable(WasteSolid_SourceData.Waste_EmissionFactorsForWasteTreatment_Data(), Table_SourceData_WasteSolid_WasteTreatmentEFs[[#Headers],[Treatment type t]], 0)</f>
        <v>Anaerobic digestion</v>
      </c>
      <c r="E29" s="26" t="str" cm="1">
        <f t="array" ref="E29">Common_InputFunctions.Utility_DisplayArrayInTable(WasteSolid_SourceData.Waste_EmissionFactorsForWasteTreatment_Data(), Table_SourceData_WasteSolid_WasteTreatmentEFs[[#Headers],[Treatment type t]], 0)</f>
        <v>All organic waste</v>
      </c>
      <c r="F29" s="26" cm="1">
        <f t="array" ref="F29">Common_InputFunctions.Utility_DisplayArrayInTable(WasteSolid_SourceData.Waste_EmissionFactorsForWasteTreatment_Data(), Table_SourceData_WasteSolid_WasteTreatmentEFs[[#Headers],[Treatment type t]], 0)</f>
        <v>2.8000000000000001E-2</v>
      </c>
      <c r="G29" s="26"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5" t="str" cm="1">
        <f t="array" ref="D32">WasteSolid_SourceData.Waste_WasteVolumeToMassConversion_Title()</f>
        <v>Volume to mass conversion factor for various waste types</v>
      </c>
    </row>
    <row r="33" spans="4:5" ht="20.100000000000001" customHeight="1" x14ac:dyDescent="0.25">
      <c r="D33" s="4" t="str" cm="1">
        <f t="array" ref="D33">WasteSolid_SourceData.Waste_WasteVolumeToMassConversion_Source()</f>
        <v>VEERG 2026: Table A.4.1.2</v>
      </c>
    </row>
    <row r="34" spans="4:5" ht="20.100000000000001" customHeight="1" x14ac:dyDescent="0.25">
      <c r="D34" s="31" t="str" cm="1">
        <f t="array" ref="D34">WasteSolid_SourceData.Waste_WasteVolumeToMassConversion_Variation()</f>
        <v>VARIATION OF SOURCE: Changed column header CFw to VTMw to match title variable.</v>
      </c>
    </row>
    <row r="35" spans="4:5" ht="20.100000000000001" customHeight="1" x14ac:dyDescent="0.25">
      <c r="D35" s="1" t="str" cm="1">
        <f t="array" ref="D35">WasteSolid_SourceData.Waste_WasteVolumeToMassConversion_Variable()</f>
        <v>VTMw</v>
      </c>
    </row>
    <row r="36" spans="4:5" ht="20.100000000000001" customHeight="1" x14ac:dyDescent="0.25">
      <c r="D36" s="30" t="str" cm="1">
        <f t="array" ref="D36">WasteSolid_SourceData.Waste_WasteVolumeToMassConversion_Unit()</f>
        <v>t/m3</v>
      </c>
    </row>
    <row r="37" spans="4:5" ht="20.100000000000001" customHeight="1" x14ac:dyDescent="0.25">
      <c r="D37" s="26" t="s">
        <v>90</v>
      </c>
      <c r="E37" s="26" t="s">
        <v>92</v>
      </c>
    </row>
    <row r="38" spans="4:5" ht="20.100000000000001" customHeight="1" x14ac:dyDescent="0.25">
      <c r="D38" s="26"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26"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1" t="str" cm="1">
        <f t="array" ref="D39">Common_InputFunctions.Utility_DisplayArrayInTable(WasteSolid_SourceData.Waste_WasteVolumeToMassConversion_Data(), Table_SourceData_WasteSolid_VolumeToMassConversion[[#Headers],[Waste type w]], 0)</f>
        <v>Paper and cardboard</v>
      </c>
      <c r="E39" s="26"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1" t="str" cm="1">
        <f t="array" ref="D40">Common_InputFunctions.Utility_DisplayArrayInTable(WasteSolid_SourceData.Waste_WasteVolumeToMassConversion_Data(), Table_SourceData_WasteSolid_VolumeToMassConversion[[#Headers],[Waste type w]], 0)</f>
        <v>Green waste (including crop residues or prunings)</v>
      </c>
      <c r="E40" s="26"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1" t="str" cm="1">
        <f t="array" ref="D41">Common_InputFunctions.Utility_DisplayArrayInTable(WasteSolid_SourceData.Waste_WasteVolumeToMassConversion_Data(), Table_SourceData_WasteSolid_VolumeToMassConversion[[#Headers],[Waste type w]], 0)</f>
        <v>Wood</v>
      </c>
      <c r="E41" s="26"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1" t="str" cm="1">
        <f t="array" ref="D42">Common_InputFunctions.Utility_DisplayArrayInTable(WasteSolid_SourceData.Waste_WasteVolumeToMassConversion_Data(), Table_SourceData_WasteSolid_VolumeToMassConversion[[#Headers],[Waste type w]], 0)</f>
        <v>Textiles</v>
      </c>
      <c r="E42" s="26"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1" t="str" cm="1">
        <f t="array" ref="D43">Common_InputFunctions.Utility_DisplayArrayInTable(WasteSolid_SourceData.Waste_WasteVolumeToMassConversion_Data(), Table_SourceData_WasteSolid_VolumeToMassConversion[[#Headers],[Waste type w]], 0)</f>
        <v>Sludge</v>
      </c>
      <c r="E43" s="26"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1" t="str" cm="1">
        <f t="array" ref="D44">Common_InputFunctions.Utility_DisplayArrayInTable(WasteSolid_SourceData.Waste_WasteVolumeToMassConversion_Data(), Table_SourceData_WasteSolid_VolumeToMassConversion[[#Headers],[Waste type w]], 0)</f>
        <v>Rubber and leather</v>
      </c>
      <c r="E44" s="26"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1" t="str" cm="1">
        <f t="array" ref="D45">Common_InputFunctions.Utility_DisplayArrayInTable(WasteSolid_SourceData.Waste_WasteVolumeToMassConversion_Data(), Table_SourceData_WasteSolid_VolumeToMassConversion[[#Headers],[Waste type w]], 0)</f>
        <v>Inert waste (including concrete, metal, plastic or glass)</v>
      </c>
      <c r="E45" s="26"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1" t="str" cm="1">
        <f t="array" ref="D46">Common_InputFunctions.Utility_DisplayArrayInTable(WasteSolid_SourceData.Waste_WasteVolumeToMassConversion_Data(), Table_SourceData_WasteSolid_VolumeToMassConversion[[#Headers],[Waste type w]], 0)</f>
        <v>Municipal solid waste</v>
      </c>
      <c r="E46" s="26"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1" t="str" cm="1">
        <f t="array" ref="D47">Common_InputFunctions.Utility_DisplayArrayInTable(WasteSolid_SourceData.Waste_WasteVolumeToMassConversion_Data(), Table_SourceData_WasteSolid_VolumeToMassConversion[[#Headers],[Waste type w]], 0)</f>
        <v>Commercial and industrial waste</v>
      </c>
      <c r="E47" s="26"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1" t="str" cm="1">
        <f t="array" ref="D48">Common_InputFunctions.Utility_DisplayArrayInTable(WasteSolid_SourceData.Waste_WasteVolumeToMassConversion_Data(), Table_SourceData_WasteSolid_VolumeToMassConversion[[#Headers],[Waste type w]], 0)</f>
        <v>Construction and demolition waste</v>
      </c>
      <c r="E48" s="26"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2"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2"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c r="D98" s="30" t="str" cm="1">
        <f t="array" ref="D98:D101">Common_SourceData.Common_SourceData_ClimateZones_Appendices()</f>
        <v>Note:</v>
      </c>
    </row>
    <row r="99" spans="4:20" ht="20.100000000000001" customHeight="1" x14ac:dyDescent="0.25">
      <c r="D99" s="30" t="str">
        <v>MAT = mean annual temperature</v>
      </c>
    </row>
    <row r="100" spans="4:20" ht="20.100000000000001" customHeight="1" x14ac:dyDescent="0.25">
      <c r="D100" s="30" t="str">
        <v>MAP = mean annual precipitation</v>
      </c>
    </row>
    <row r="101" spans="4:20" ht="20.100000000000001" customHeight="1" x14ac:dyDescent="0.25">
      <c r="D101" s="30" t="str">
        <v>PET = potential evapotranspiration</v>
      </c>
    </row>
    <row r="102" spans="4:20" ht="20.100000000000001" customHeight="1" x14ac:dyDescent="0.25">
      <c r="D102" s="30"/>
    </row>
    <row r="103" spans="4:20" ht="20.100000000000001" customHeight="1" x14ac:dyDescent="0.25"/>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CcAcABhAHAAZQByACAAYQBuAGQAIABjAGEAcgBiAG8AYQByAGQAJwAgAHQAbwAgACcAcABhAHAAZQByACAAYQBuAGQAIABjAGEAcgBkAGIAbwBhAHIAZAAnAC4AIABBAGQAZABlAGQAIABFAEYAIABzAG8AdQByAGMAZQAgAGMAbwBsAHUAbQBuACAAdwBpAHQAaAAgAHMAcABlAGMAaQBmAGkAYwAgAHIAZQBmAGUAcgBlAG4AYwBlAHMALgBcACIAKQApADsAXABuAFwAbgBXAGEAcwB0AGUAXwBFAG0AaQBzAHMAaQBvAG4ARgBhAGMAdABvAHIAcwBGAG8AcgBXAGEAcwB0AGUAVAByAGUAYQB0AG0AZQBuAHQAXwBWAGEAcgBpAGEAdABpAG8AbgBcAG4APQBMAEEATQBCAEQAQQAoACgAXAAiAFwAIgApACkAOw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Overview</vt:lpstr>
      <vt:lpstr>Results</vt:lpstr>
      <vt:lpstr>Input - Solid waste</vt:lpstr>
      <vt:lpstr>10.1.1-2 Solid waste treatment</vt:lpstr>
      <vt:lpstr>Constants - Solid Waste</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2026-06-03T07:41:10Z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