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4A1CA79-77D6-4B2B-B628-A2187C1C0A83}" xr6:coauthVersionLast="47" xr6:coauthVersionMax="47" xr10:uidLastSave="{00000000-0000-0000-0000-000000000000}"/>
  <bookViews>
    <workbookView xWindow="210" yWindow="60" windowWidth="29010" windowHeight="17280" firstSheet="6" activeTab="7"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3" i="69" l="1" a="1"/>
  <c r="V133" i="69" s="1"/>
  <c r="V117" i="69" a="1"/>
  <c r="V117" i="69" s="1"/>
  <c r="U71" i="69"/>
  <c r="U70" i="69"/>
  <c r="U69" i="69"/>
  <c r="U68" i="69"/>
  <c r="U67" i="69"/>
  <c r="U66" i="69"/>
  <c r="U65" i="69"/>
  <c r="U64" i="69"/>
  <c r="U63" i="69"/>
  <c r="U62" i="69"/>
  <c r="U61" i="69"/>
  <c r="U60" i="69"/>
  <c r="V60" i="69" a="1"/>
  <c r="V60" i="69" s="1"/>
  <c r="U55" i="69"/>
  <c r="U54" i="69"/>
  <c r="U53" i="69"/>
  <c r="U52" i="69"/>
  <c r="U51" i="69"/>
  <c r="U50" i="69"/>
  <c r="U49" i="69"/>
  <c r="U48" i="69"/>
  <c r="U47" i="69"/>
  <c r="U46" i="69"/>
  <c r="U45" i="69"/>
  <c r="U44" i="69"/>
  <c r="V44" i="69" a="1"/>
  <c r="V44" i="69" s="1"/>
  <c r="E115" i="69" a="1"/>
  <c r="E115" i="69" s="1"/>
  <c r="E107" i="69" a="1"/>
  <c r="E107" i="69" s="1"/>
  <c r="E56" i="69" a="1"/>
  <c r="E56" i="69" s="1"/>
  <c r="E48" i="69" a="1"/>
  <c r="E48" i="69" s="1"/>
  <c r="J16" i="69"/>
  <c r="V76" i="69" l="1" a="1"/>
  <c r="V76" i="69" s="1"/>
  <c r="U108" i="69"/>
  <c r="U107" i="69"/>
  <c r="U106" i="69"/>
  <c r="U105" i="69"/>
  <c r="U104" i="69"/>
  <c r="U103" i="69"/>
  <c r="U102" i="69"/>
  <c r="U101" i="69"/>
  <c r="U100" i="69"/>
  <c r="U99" i="69"/>
  <c r="U98" i="69"/>
  <c r="U97" i="69"/>
  <c r="G37" i="69" a="1"/>
  <c r="G37" i="69"/>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H53" i="107" l="1"/>
  <c r="H54" i="107"/>
  <c r="H50" i="107"/>
  <c r="H48" i="107"/>
  <c r="H51" i="107"/>
  <c r="H49" i="107"/>
  <c r="H52" i="107"/>
  <c r="O115" i="69"/>
  <c r="O107" i="69"/>
  <c r="F128" i="69"/>
  <c r="AF117" i="69"/>
  <c r="AF149" i="69"/>
  <c r="O85" i="69"/>
  <c r="E94" i="69"/>
  <c r="E73" i="69"/>
  <c r="D21" i="69" l="1"/>
  <c r="E29" i="69" s="1" a="1"/>
  <c r="E29" i="69" s="1"/>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D59" i="69" l="1"/>
  <c r="D58" i="69"/>
  <c r="D57" i="69"/>
  <c r="D56" i="69"/>
  <c r="D51" i="69"/>
  <c r="D50" i="69"/>
  <c r="D49" i="69"/>
  <c r="D48" i="69"/>
  <c r="E39" i="69"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K33" i="70"/>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W161"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G130" i="69"/>
  <c r="E133" i="69" s="1" a="1"/>
  <c r="E133" i="69" s="1"/>
  <c r="H7" i="13" s="1"/>
  <c r="X163" i="69" l="1"/>
  <c r="V166" i="69" s="1" a="1"/>
  <c r="V166" i="69" s="1"/>
  <c r="I7" i="13" s="1"/>
  <c r="F7" i="13"/>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<sst xmlns="http://schemas.openxmlformats.org/spreadsheetml/2006/main" count="1088" uniqueCount="271">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</sst>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 ca="1">'3.2.1.1-2 Enteric Methane'!E128</f>
        <v>55.678061774650885</v>
      </c>
      <c r="F7" s="105">
        <f ca="1">'3.2.1.1-2 Enteric Methane'!V161</f>
        <v>56.163952698425533</v>
      </c>
      <c r="G7" s="53" t="s">
        <v>117</v>
      </c>
      <c r="H7" s="105">
        <f ca="1">'3.2.1.1-2 Enteric Methane'!E133</f>
        <v>1558.9857296902248</v>
      </c>
      <c r="I7" s="105">
        <f ca="1">'3.2.1.1-2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 ca="1">SUM(H7:H7)</f>
        <v>1558.9857296902248</v>
      </c>
      <c r="I8" s="106">
        <f ca="1">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118" zoomScale="85" zoomScaleNormal="85" workbookViewId="0">
      <selection activeCell="E115" sqref="E1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'Input - Pasture Beef'!D60</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'Input - Pasture Beef'!D61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'Input - Pasture Beef'!D62</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'Input - Pasture Beef'!D63</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'Input - Pasture Beef'!D82</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'Input - Pasture Beef'!D83</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'Input - Pasture Beef'!D84</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'Input - Pasture Beef'!D85</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9.4536614511090029</v>
      </c>
      <c r="I64" s="51" cm="1">
        <f t="array" aca="1" ref="I64" ca="1">EntericMethane_PastureBeef_Equations.VEERG_3_2_1_1__3_FeedIntakeForGrazingBeef(I48,I56,K26)</f>
        <v>10.112646138000002</v>
      </c>
      <c r="J64" s="51" cm="1">
        <f t="array" aca="1" ref="J64" ca="1">EntericMethane_PastureBeef_Equations.VEERG_3_2_1_1__3_FeedIntakeForGrazingBeef(J48,J56,L26)</f>
        <v>10.112646138000002</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7.5283222358070025</v>
      </c>
      <c r="I67" s="51" cm="1">
        <f t="array" aca="1" ref="I67" ca="1">EntericMethane_PastureBeef_Equations.VEERG_3_2_1_1__3_FeedIntakeForGrazingBeef(I51,I59,K29)</f>
        <v>9.145195140114998</v>
      </c>
      <c r="J67" s="51" cm="1">
        <f t="array" aca="1" ref="J67" ca="1">EntericMethane_PastureBeef_Equations.VEERG_3_2_1_1__3_FeedIntakeForGrazingBeef(J51,J59,L29)</f>
        <v>9.145195140114998</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8.4608409301875014</v>
      </c>
      <c r="Z76" s="51" cm="1">
        <f t="array" aca="1" ref="Z76" ca="1">EntericMethane_PastureBeef_Equations.VEERG_3_2_1_1__3_FeedIntakeForGrazingBeef(Z44,Z60,AB28)</f>
        <v>8.3772677761199983</v>
      </c>
      <c r="AA76" s="51" cm="1">
        <f t="array" aca="1" ref="AA76" ca="1">EntericMethane_PastureBeef_Equations.VEERG_3_2_1_1__3_FeedIntakeForGrazingBeef(AA44,AA60,AC28)</f>
        <v>8.3772677761199983</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7.2615706605225032</v>
      </c>
      <c r="Z83" s="51" cm="1">
        <f t="array" aca="1" ref="Z83" ca="1">EntericMethane_PastureBeef_Equations.VEERG_3_2_1_1__3_FeedIntakeForGrazingBeef(Z51,Z67,AB35)</f>
        <v>9.7416209101224993</v>
      </c>
      <c r="AA83" s="51" cm="1">
        <f t="array" aca="1" ref="AA83" ca="1">EntericMethane_PastureBeef_Equations.VEERG_3_2_1_1__3_FeedIntakeForGrazingBeef(AA51,AA67,AC35)</f>
        <v>9.7416209101224993</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10.624527777622504</v>
      </c>
      <c r="Z84" s="51" cm="1">
        <f t="array" aca="1" ref="Z84" ca="1">EntericMethane_PastureBeef_Equations.VEERG_3_2_1_1__3_FeedIntakeForGrazingBeef(Z52,Z68,AB36)</f>
        <v>11.798087161000003</v>
      </c>
      <c r="AA84" s="51" cm="1">
        <f t="array" aca="1" ref="AA84" ca="1">EntericMethane_PastureBeef_Equations.VEERG_3_2_1_1__3_FeedIntakeForGrazingBeef(AA52,AA68,AC36)</f>
        <v>11.798087161000003</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0.19569079203795636</v>
      </c>
      <c r="I85" s="51" cm="1">
        <f t="array" aca="1" ref="I85" ca="1">EntericMethane_PastureBeef_Equations.VEERG_3_2_1_1__2_DailyEntericMethaneProduction(I64)</f>
        <v>0.20933177505660003</v>
      </c>
      <c r="J85" s="51" cm="1">
        <f t="array" aca="1" ref="J85" ca="1">EntericMethane_PastureBeef_Equations.VEERG_3_2_1_1__2_DailyEntericMethaneProduction(J64)</f>
        <v>0.20933177505660003</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10.624527777622504</v>
      </c>
      <c r="Z85" s="51" cm="1">
        <f t="array" aca="1" ref="Z85" ca="1">EntericMethane_PastureBeef_Equations.VEERG_3_2_1_1__3_FeedIntakeForGrazingBeef(Z53,Z69,AB37)</f>
        <v>11.798087161000003</v>
      </c>
      <c r="AA85" s="51" cm="1">
        <f t="array" aca="1" ref="AA85" ca="1">EntericMethane_PastureBeef_Equations.VEERG_3_2_1_1__3_FeedIntakeForGrazingBeef(AA53,AA69,AC37)</f>
        <v>11.798087161000003</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9.3235651926075036</v>
      </c>
      <c r="Z86" s="51" cm="1">
        <f t="array" aca="1" ref="Z86" ca="1">EntericMethane_PastureBeef_Equations.VEERG_3_2_1_1__3_FeedIntakeForGrazingBeef(Z54,Z70,AB38)</f>
        <v>10.353423427000003</v>
      </c>
      <c r="AA86" s="51" cm="1">
        <f t="array" aca="1" ref="AA86" ca="1">EntericMethane_PastureBeef_Equations.VEERG_3_2_1_1__3_FeedIntakeForGrazingBeef(AA54,AA70,AC38)</f>
        <v>10.353423427000003</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8.4608409301875014</v>
      </c>
      <c r="Z87" s="51" cm="1">
        <f t="array" aca="1" ref="Z87" ca="1">EntericMethane_PastureBeef_Equations.VEERG_3_2_1_1__3_FeedIntakeForGrazingBeef(Z55,Z71,AB39)</f>
        <v>8.3772677761199983</v>
      </c>
      <c r="AA87" s="51" cm="1">
        <f t="array" aca="1" ref="AA87" ca="1">EntericMethane_PastureBeef_Equations.VEERG_3_2_1_1__3_FeedIntakeForGrazingBeef(AA55,AA71,AC39)</f>
        <v>8.3772677761199983</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0.15583627028120495</v>
      </c>
      <c r="I88" s="51" cm="1">
        <f t="array" aca="1" ref="I88" ca="1">EntericMethane_PastureBeef_Equations.VEERG_3_2_1_1__2_DailyEntericMethaneProduction(I67)</f>
        <v>0.18930553940038045</v>
      </c>
      <c r="J88" s="51" cm="1">
        <f t="array" aca="1" ref="J88" ca="1">EntericMethane_PastureBeef_Equations.VEERG_3_2_1_1__2_DailyEntericMethaneProduction(J67)</f>
        <v>0.18930553940038045</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0.17513940725488128</v>
      </c>
      <c r="Z97" s="51" cm="1">
        <f t="array" aca="1" ref="Z97" ca="1">EntericMethane_PastureBeef_Equations.VEERG_3_2_1_1__2_DailyEntericMethaneProduction(Z76)</f>
        <v>0.17340944296568395</v>
      </c>
      <c r="AA97" s="51" cm="1">
        <f t="array" aca="1" ref="AA97" ca="1">EntericMethane_PastureBeef_Equations.VEERG_3_2_1_1__2_DailyEntericMethaneProduction(AA76)</f>
        <v>0.17340944296568395</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0.15031451267281581</v>
      </c>
      <c r="Z104" s="51" cm="1">
        <f t="array" aca="1" ref="Z104" ca="1">EntericMethane_PastureBeef_Equations.VEERG_3_2_1_1__2_DailyEntericMethaneProduction(Z83)</f>
        <v>0.20165155283953573</v>
      </c>
      <c r="AA104" s="51" cm="1">
        <f t="array" aca="1" ref="AA104" ca="1">EntericMethane_PastureBeef_Equations.VEERG_3_2_1_1__2_DailyEntericMethaneProduction(AA83)</f>
        <v>0.20165155283953573</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0.21992772499678584</v>
      </c>
      <c r="Z105" s="51" cm="1">
        <f t="array" aca="1" ref="Z105" ca="1">EntericMethane_PastureBeef_Equations.VEERG_3_2_1_1__2_DailyEntericMethaneProduction(Z84)</f>
        <v>0.24422040423270006</v>
      </c>
      <c r="AA105" s="51" cm="1">
        <f t="array" aca="1" ref="AA105" ca="1">EntericMethane_PastureBeef_Equations.VEERG_3_2_1_1__2_DailyEntericMethaneProduction(AA84)</f>
        <v>0.24422040423270006</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0.21992772499678584</v>
      </c>
      <c r="Z106" s="51" cm="1">
        <f t="array" aca="1" ref="Z106" ca="1">EntericMethane_PastureBeef_Equations.VEERG_3_2_1_1__2_DailyEntericMethaneProduction(Z85)</f>
        <v>0.24422040423270006</v>
      </c>
      <c r="AA106" s="51" cm="1">
        <f t="array" aca="1" ref="AA106" ca="1">EntericMethane_PastureBeef_Equations.VEERG_3_2_1_1__2_DailyEntericMethaneProduction(AA85)</f>
        <v>0.24422040423270006</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0.19299779948697532</v>
      </c>
      <c r="Z107" s="51" cm="1">
        <f t="array" aca="1" ref="Z107" ca="1">EntericMethane_PastureBeef_Equations.VEERG_3_2_1_1__2_DailyEntericMethaneProduction(Z86)</f>
        <v>0.21431586493890006</v>
      </c>
      <c r="AA107" s="51" cm="1">
        <f t="array" aca="1" ref="AA107" ca="1">EntericMethane_PastureBeef_Equations.VEERG_3_2_1_1__2_DailyEntericMethaneProduction(AA86)</f>
        <v>0.21431586493890006</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0.17513940725488128</v>
      </c>
      <c r="Z108" s="51" cm="1">
        <f t="array" aca="1" ref="Z108" ca="1">EntericMethane_PastureBeef_Equations.VEERG_3_2_1_1__2_DailyEntericMethaneProduction(Z87)</f>
        <v>0.17340944296568395</v>
      </c>
      <c r="AA108" s="51" cm="1">
        <f t="array" aca="1" ref="AA108" ca="1">EntericMethane_PastureBeef_Equations.VEERG_3_2_1_1__2_DailyEntericMethaneProduction(AA87)</f>
        <v>0.17340944296568395</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1.7856784773463517</v>
      </c>
      <c r="I123" s="51" cm="1">
        <f t="array" aca="1" ref="I123" ca="1">EntericMethane_PastureBeef_Equations.VEERG_3_2_1_1__1_TotalAnnualMethaneFromEntericFermentation(I115,I85,I107)</f>
        <v>1.9101524473914753</v>
      </c>
      <c r="J123" s="51" cm="1">
        <f t="array" aca="1" ref="J123" ca="1">EntericMethane_PastureBeef_Equations.VEERG_3_2_1_1__1_TotalAnnualMethaneFromEntericFermentation(J115,J85,J107)</f>
        <v>1.9101524473914753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1.422005966315995</v>
      </c>
      <c r="I126" s="51" cm="1">
        <f t="array" aca="1" ref="I126" ca="1">EntericMethane_PastureBeef_Equations.VEERG_3_2_1_1__1_TotalAnnualMethaneFromEntericFermentation(I118,I88,I110)</f>
        <v>1.7274130470284719</v>
      </c>
      <c r="J126" s="51" cm="1">
        <f t="array" aca="1" ref="J126" ca="1">EntericMethane_PastureBeef_Equations.VEERG_3_2_1_1__1_TotalAnnualMethaneFromEntericFermentation(J118,J88,J110)</f>
        <v>1.7274130470284719</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55.678061774650885</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1558.9857296902248</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0.54293216249013199</v>
      </c>
      <c r="Z149" s="51" cm="1">
        <f t="array" aca="1" ref="Z149" ca="1">EntericMethane_PastureBeef_Equations.VEERG_3_2_1_1__1_TotalAnnualMethaneFromEntericFermentation(Z133,Z97,Z117)</f>
        <v>0.53756927319362025</v>
      </c>
      <c r="AA149" s="51" cm="1">
        <f t="array" aca="1" ref="AA149" ca="1">EntericMethane_PastureBeef_Equations.VEERG_3_2_1_1__1_TotalAnnualMethaneFromEntericFermentation(AA133,AA97,AA117)</f>
        <v>0.53756927319362025</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0.465974989285729</v>
      </c>
      <c r="Z156" s="51" cm="1">
        <f t="array" aca="1" ref="Z156" ca="1">EntericMethane_PastureBeef_Equations.VEERG_3_2_1_1__1_TotalAnnualMethaneFromEntericFermentation(Z140,Z104,Z124)</f>
        <v>0.62511981380256076</v>
      </c>
      <c r="AA156" s="51" cm="1">
        <f t="array" aca="1" ref="AA156" ca="1">EntericMethane_PastureBeef_Equations.VEERG_3_2_1_1__1_TotalAnnualMethaneFromEntericFermentation(AA140,AA104,AA124)</f>
        <v>0.62511981380256076</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0.65978317499035743</v>
      </c>
      <c r="Z157" s="51" cm="1">
        <f t="array" aca="1" ref="Z157" ca="1">EntericMethane_PastureBeef_Equations.VEERG_3_2_1_1__1_TotalAnnualMethaneFromEntericFermentation(Z141,Z105,Z125)</f>
        <v>0.73266121269810014</v>
      </c>
      <c r="AA157" s="51" cm="1">
        <f t="array" aca="1" ref="AA157" ca="1">EntericMethane_PastureBeef_Equations.VEERG_3_2_1_1__1_TotalAnnualMethaneFromEntericFermentation(AA141,AA105,AA125)</f>
        <v>0.73266121269810014</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0.68177594749003623</v>
      </c>
      <c r="Z158" s="51" cm="1">
        <f t="array" aca="1" ref="Z158" ca="1">EntericMethane_PastureBeef_Equations.VEERG_3_2_1_1__1_TotalAnnualMethaneFromEntericFermentation(Z142,Z106,Z126)</f>
        <v>0.75708325312137015</v>
      </c>
      <c r="AA158" s="51" cm="1">
        <f t="array" aca="1" ref="AA158" ca="1">EntericMethane_PastureBeef_Equations.VEERG_3_2_1_1__1_TotalAnnualMethaneFromEntericFermentation(AA142,AA106,AA126)</f>
        <v>0.75708325312137015</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0.57899339846092601</v>
      </c>
      <c r="Z159" s="51" cm="1">
        <f t="array" aca="1" ref="Z159" ca="1">EntericMethane_PastureBeef_Equations.VEERG_3_2_1_1__1_TotalAnnualMethaneFromEntericFermentation(Z143,Z107,Z127)</f>
        <v>0.64294759481670016</v>
      </c>
      <c r="AA159" s="51" cm="1">
        <f t="array" aca="1" ref="AA159" ca="1">EntericMethane_PastureBeef_Equations.VEERG_3_2_1_1__1_TotalAnnualMethaneFromEntericFermentation(AA143,AA107,AA127)</f>
        <v>0.64294759481670016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0.54293216249013199</v>
      </c>
      <c r="Z160" s="51" cm="1">
        <f t="array" aca="1" ref="Z160" ca="1">EntericMethane_PastureBeef_Equations.VEERG_3_2_1_1__1_TotalAnnualMethaneFromEntericFermentation(Z144,Z108,Z128)</f>
        <v>0.53756927319362025</v>
      </c>
      <c r="AA160" s="51" cm="1">
        <f t="array" aca="1" ref="AA160" ca="1">EntericMethane_PastureBeef_Equations.VEERG_3_2_1_1__1_TotalAnnualMethaneFromEntericFermentation(AA144,AA108,AA128)</f>
        <v>0.53756927319362025</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56.163952698425533</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ignoredErrors>
    <ignoredError sqref="E223:P282" calculatedColumn="1"/>
  </ignoredErrors>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abSelected="1"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24</vt:i4>
      </vt:variant>
    </vt:vector>
  </HeadingPairs>
  <TitlesOfParts>
    <vt:vector size="33"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VEERG_3_2_1_1__1_TotalAnnualMethaneFromEntericFermentation_Result</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2026-07-08T03:52:13Z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