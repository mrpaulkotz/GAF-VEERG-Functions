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BB5B82A-70CD-424F-9914-D3E54BE716FF}" xr6:coauthVersionLast="47" xr6:coauthVersionMax="47" xr10:uidLastSave="{00000000-0000-0000-0000-000000000000}"/>
  <bookViews>
    <workbookView xWindow="735" yWindow="735" windowWidth="36990" windowHeight="1951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D_j">'3.2.1.1-2 Enteric Methane'!$D$114:$N$118</definedName>
    <definedName name="M1_Table_E_enteric">'3.2.1.1-2 Enteric Methane'!$D$122:$N$126</definedName>
    <definedName name="M1_Table_I_j_k_l">'3.2.1.1-2 Enteric Methane'!$D$63:$N$67</definedName>
    <definedName name="M1_Table_LC_j_k45">'3.2.1.1-2 Enteric Methane'!$D$20:$G$21</definedName>
    <definedName name="M1_Table_LWG_j_k_l">'3.2.1.1-2 Enteric Methane'!$D$55:$N$59</definedName>
    <definedName name="M1_Table_M_j_k_l">'3.2.1.1-2 Enteric Methane'!$D$84:$N$88</definedName>
    <definedName name="M1_Table_MA_j_k45">'3.2.1.1-2 Enteric Methane'!$D$25:$P$29</definedName>
    <definedName name="M1_Table_N_j_k_l">'3.2.1.1-2 Enteric Methane'!$D$106:$N$110</definedName>
    <definedName name="M1_Table_W_j_k_l">'3.2.1.1-2 Enteric Methane'!$D$47:$N$51</definedName>
    <definedName name="M2_Table_D_j">'3.2.1.1-2 Enteric Methane'!$U$132:$AE$144</definedName>
    <definedName name="M2_Table_E_enteric">'3.2.1.1-2 Enteric Methane'!$U$148:$AE$161</definedName>
    <definedName name="M2_Table_I_j_k_l">'3.2.1.1-2 Enteric Methane'!$U$75:$AE$87</definedName>
    <definedName name="M2_Table_LC_j_k45">'3.2.1.1-2 Enteric Methane'!$U$21:$X$23</definedName>
    <definedName name="M2_Table_LWG_j_k_l">'3.2.1.1-2 Enteric Methane'!$U$59:$AE$71</definedName>
    <definedName name="M2_Table_M_j_k_l">'3.2.1.1-2 Enteric Methane'!$U$96:$AE$108</definedName>
    <definedName name="M2_Table_MA_j_k45">'3.2.1.1-2 Enteric Methane'!$U$27:$AG$39</definedName>
    <definedName name="M2_Table_N_j_k_l">'3.2.1.1-2 Enteric Methane'!$U$116:$AE$128</definedName>
    <definedName name="M2_Table_W_j_k_l">'3.2.1.1-2 Enteric Methane'!$U$43:$AE$55</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4" i="70" l="1"/>
  <c r="U144" i="70"/>
  <c r="U143" i="70"/>
  <c r="U142" i="70"/>
  <c r="U141" i="70"/>
  <c r="U140" i="70"/>
  <c r="U139" i="70"/>
  <c r="U138" i="70"/>
  <c r="U137" i="70"/>
  <c r="U136" i="70"/>
  <c r="U135" i="70"/>
  <c r="U134" i="70"/>
  <c r="U133" i="70"/>
  <c r="U128" i="70"/>
  <c r="U127" i="70"/>
  <c r="U126" i="70"/>
  <c r="U125" i="70"/>
  <c r="U124" i="70"/>
  <c r="U123" i="70"/>
  <c r="U122" i="70"/>
  <c r="U121" i="70"/>
  <c r="U120" i="70"/>
  <c r="U119" i="70"/>
  <c r="U118" i="70"/>
  <c r="U117" i="70"/>
  <c r="U108" i="70"/>
  <c r="U107" i="70"/>
  <c r="U106" i="70"/>
  <c r="U105" i="70"/>
  <c r="U104" i="70"/>
  <c r="U103" i="70"/>
  <c r="U102" i="70"/>
  <c r="U101" i="70"/>
  <c r="U100" i="70"/>
  <c r="U99" i="70"/>
  <c r="U98" i="70"/>
  <c r="U97" i="70"/>
  <c r="U87" i="70"/>
  <c r="U86" i="70"/>
  <c r="U85" i="70"/>
  <c r="U84" i="70"/>
  <c r="U83" i="70"/>
  <c r="U82" i="70"/>
  <c r="U81" i="70"/>
  <c r="U80" i="70"/>
  <c r="U79" i="70"/>
  <c r="U78" i="70"/>
  <c r="U77" i="70"/>
  <c r="U76" i="70"/>
  <c r="U71" i="70"/>
  <c r="U70" i="70"/>
  <c r="U69" i="70"/>
  <c r="U68" i="70"/>
  <c r="U67" i="70"/>
  <c r="U66" i="70"/>
  <c r="U65" i="70"/>
  <c r="U64" i="70"/>
  <c r="U63" i="70"/>
  <c r="U62" i="70"/>
  <c r="U61" i="70"/>
  <c r="U60" i="70"/>
  <c r="U55" i="70"/>
  <c r="U54" i="70"/>
  <c r="U53" i="70"/>
  <c r="U52" i="70"/>
  <c r="U51" i="70"/>
  <c r="U50" i="70"/>
  <c r="U49" i="70"/>
  <c r="U48" i="70"/>
  <c r="U47" i="70"/>
  <c r="U46" i="70"/>
  <c r="U45" i="70"/>
  <c r="U44" i="70"/>
  <c r="U39" i="70"/>
  <c r="U38" i="70"/>
  <c r="U37" i="70"/>
  <c r="U36" i="70"/>
  <c r="U35" i="70"/>
  <c r="U34" i="70"/>
  <c r="U33" i="70"/>
  <c r="U32" i="70"/>
  <c r="U31" i="70"/>
  <c r="U30" i="70"/>
  <c r="U29" i="70"/>
  <c r="U28" i="70"/>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99" i="70"/>
  <c r="D98" i="70"/>
  <c r="D97" i="70"/>
  <c r="D96" i="70"/>
  <c r="D95" i="70"/>
  <c r="D94" i="70"/>
  <c r="D93" i="70"/>
  <c r="D92" i="70"/>
  <c r="D91" i="70"/>
  <c r="D90" i="70"/>
  <c r="D89" i="70"/>
  <c r="D88" i="70"/>
  <c r="D77" i="70"/>
  <c r="D76" i="70"/>
  <c r="D75" i="70"/>
  <c r="D74" i="70"/>
  <c r="D73" i="70"/>
  <c r="D72" i="70"/>
  <c r="D71" i="70"/>
  <c r="D70" i="70"/>
  <c r="D69" i="70"/>
  <c r="D68" i="70"/>
  <c r="D67" i="70"/>
  <c r="D66" i="70"/>
  <c r="D55" i="70"/>
  <c r="D54" i="70"/>
  <c r="D53" i="70"/>
  <c r="D52" i="70"/>
  <c r="D51" i="70"/>
  <c r="D50" i="70"/>
  <c r="D49" i="70"/>
  <c r="D48" i="70"/>
  <c r="D47" i="70"/>
  <c r="D46" i="70"/>
  <c r="D45" i="70"/>
  <c r="D33" i="70"/>
  <c r="D32" i="70"/>
  <c r="D31" i="70"/>
  <c r="D30" i="70"/>
  <c r="D29" i="70"/>
  <c r="D28" i="70"/>
  <c r="D27" i="70"/>
  <c r="D26" i="70"/>
  <c r="D25" i="70"/>
  <c r="D24" i="70"/>
  <c r="D23" i="70"/>
  <c r="D22" i="70"/>
  <c r="D59" i="69"/>
  <c r="D58" i="69"/>
  <c r="D57" i="69"/>
  <c r="D56" i="69"/>
  <c r="D51" i="69"/>
  <c r="D50" i="69"/>
  <c r="D49" i="69"/>
  <c r="D48" i="69"/>
  <c r="E7" i="70"/>
  <c r="V117" i="69" a="1"/>
  <c r="V117" i="69" s="1"/>
  <c r="U71" i="69"/>
  <c r="U70" i="69"/>
  <c r="U69" i="69"/>
  <c r="U68" i="69"/>
  <c r="U67" i="69"/>
  <c r="U66" i="69"/>
  <c r="U65" i="69"/>
  <c r="U64" i="69"/>
  <c r="U63" i="69"/>
  <c r="U62" i="69"/>
  <c r="U61" i="69"/>
  <c r="U60" i="69"/>
  <c r="U55" i="69"/>
  <c r="U54" i="69"/>
  <c r="U53" i="69"/>
  <c r="U52" i="69"/>
  <c r="U51" i="69"/>
  <c r="U50" i="69"/>
  <c r="U49" i="69"/>
  <c r="U48" i="69"/>
  <c r="U47" i="69"/>
  <c r="U46" i="69"/>
  <c r="U45" i="69"/>
  <c r="U44" i="69"/>
  <c r="E115" i="69" a="1"/>
  <c r="E115" i="69" s="1"/>
  <c r="E107" i="69" a="1"/>
  <c r="E107" i="69" s="1"/>
  <c r="J16" i="69"/>
  <c r="U108" i="69" l="1"/>
  <c r="U107" i="69"/>
  <c r="U106" i="69"/>
  <c r="U105" i="69"/>
  <c r="U104" i="69"/>
  <c r="U103" i="69"/>
  <c r="U102" i="69"/>
  <c r="U101" i="69"/>
  <c r="U100" i="69"/>
  <c r="U99" i="69"/>
  <c r="U98" i="69"/>
  <c r="U97" i="69"/>
  <c r="G37" i="69" a="1"/>
  <c r="G37" i="69"/>
  <c r="D9" i="79" l="1"/>
  <c r="D8" i="79"/>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60" i="70"/>
  <c r="M160" i="70"/>
  <c r="L160" i="70"/>
  <c r="K160" i="70"/>
  <c r="J160" i="70"/>
  <c r="I160" i="70"/>
  <c r="H160" i="70"/>
  <c r="G160" i="70"/>
  <c r="F160" i="70"/>
  <c r="E160" i="70"/>
  <c r="N159" i="70"/>
  <c r="M159" i="70"/>
  <c r="L159" i="70"/>
  <c r="K159" i="70"/>
  <c r="J159" i="70"/>
  <c r="I159" i="70"/>
  <c r="H159" i="70"/>
  <c r="G159" i="70"/>
  <c r="F159" i="70"/>
  <c r="E159" i="70"/>
  <c r="N158" i="70"/>
  <c r="M158" i="70"/>
  <c r="L158" i="70"/>
  <c r="K158" i="70"/>
  <c r="J158" i="70"/>
  <c r="I158" i="70"/>
  <c r="H158" i="70"/>
  <c r="G158" i="70"/>
  <c r="F158" i="70"/>
  <c r="E158"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154" i="70"/>
  <c r="M154" i="70"/>
  <c r="L154" i="70"/>
  <c r="K154" i="70"/>
  <c r="J154" i="70"/>
  <c r="I154" i="70"/>
  <c r="H154" i="70"/>
  <c r="G154" i="70"/>
  <c r="F154" i="70"/>
  <c r="E154" i="70"/>
  <c r="N153" i="70"/>
  <c r="M153" i="70"/>
  <c r="L153" i="70"/>
  <c r="K153" i="70"/>
  <c r="J153" i="70"/>
  <c r="I153" i="70"/>
  <c r="H153" i="70"/>
  <c r="G153" i="70"/>
  <c r="F153" i="70"/>
  <c r="E15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8" i="70"/>
  <c r="M138" i="70"/>
  <c r="L138" i="70"/>
  <c r="K138" i="70"/>
  <c r="J138" i="70"/>
  <c r="I138" i="70"/>
  <c r="H138" i="70"/>
  <c r="G138" i="70"/>
  <c r="F138" i="70"/>
  <c r="E138" i="70"/>
  <c r="N137" i="70"/>
  <c r="M137" i="70"/>
  <c r="L137" i="70"/>
  <c r="K137" i="70"/>
  <c r="J137" i="70"/>
  <c r="I137" i="70"/>
  <c r="H137" i="70"/>
  <c r="G137" i="70"/>
  <c r="F137" i="70"/>
  <c r="E137" i="70"/>
  <c r="N136" i="70"/>
  <c r="M136" i="70"/>
  <c r="L136" i="70"/>
  <c r="K136" i="70"/>
  <c r="J136" i="70"/>
  <c r="I136" i="70"/>
  <c r="H136" i="70"/>
  <c r="G136" i="70"/>
  <c r="F136" i="70"/>
  <c r="E136"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132" i="70"/>
  <c r="M132" i="70"/>
  <c r="L132" i="70"/>
  <c r="K132" i="70"/>
  <c r="J132" i="70"/>
  <c r="I132" i="70"/>
  <c r="H132" i="70"/>
  <c r="G132" i="70"/>
  <c r="F132" i="70"/>
  <c r="E132" i="70"/>
  <c r="N131" i="70"/>
  <c r="M131" i="70"/>
  <c r="L131" i="70"/>
  <c r="K131" i="70"/>
  <c r="J131" i="70"/>
  <c r="I131" i="70"/>
  <c r="H131" i="70"/>
  <c r="G131" i="70"/>
  <c r="F131" i="70"/>
  <c r="E131"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88" i="70"/>
  <c r="M88" i="70"/>
  <c r="L88" i="70"/>
  <c r="K88" i="70"/>
  <c r="J88" i="70"/>
  <c r="I88" i="70"/>
  <c r="H88" i="70"/>
  <c r="G88" i="70"/>
  <c r="F88" i="70"/>
  <c r="E8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N66" i="70"/>
  <c r="M66" i="70"/>
  <c r="L66" i="70"/>
  <c r="K66" i="70"/>
  <c r="J66" i="70"/>
  <c r="I66" i="70"/>
  <c r="H66" i="70"/>
  <c r="G66" i="70"/>
  <c r="F66" i="70"/>
  <c r="E66" i="70"/>
  <c r="X164" i="69"/>
  <c r="G131" i="69"/>
  <c r="E173" i="70"/>
  <c r="E172" i="70"/>
  <c r="N150" i="70"/>
  <c r="M150" i="70"/>
  <c r="L150" i="70"/>
  <c r="K150" i="70"/>
  <c r="J150" i="70"/>
  <c r="I150" i="70"/>
  <c r="H150" i="70"/>
  <c r="G150" i="70"/>
  <c r="F150" i="70"/>
  <c r="E15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28" i="70"/>
  <c r="M128" i="70"/>
  <c r="L128" i="70"/>
  <c r="K128" i="70"/>
  <c r="J128" i="70"/>
  <c r="I128" i="70"/>
  <c r="H128" i="70"/>
  <c r="G128" i="70"/>
  <c r="F128" i="70"/>
  <c r="E128" i="70"/>
  <c r="N127" i="70"/>
  <c r="M127" i="70"/>
  <c r="L127" i="70"/>
  <c r="K127" i="70"/>
  <c r="J127" i="70"/>
  <c r="I127" i="70"/>
  <c r="H127" i="70"/>
  <c r="G127" i="70"/>
  <c r="F127" i="70"/>
  <c r="E127" i="70"/>
  <c r="N126" i="70"/>
  <c r="M126" i="70"/>
  <c r="L126" i="70"/>
  <c r="K126" i="70"/>
  <c r="J126" i="70"/>
  <c r="I126" i="70"/>
  <c r="H126" i="70"/>
  <c r="G126" i="70"/>
  <c r="F126" i="70"/>
  <c r="E126" i="70"/>
  <c r="N125" i="70"/>
  <c r="M125" i="70"/>
  <c r="L125" i="70"/>
  <c r="K125" i="70"/>
  <c r="J125" i="70"/>
  <c r="I125" i="70"/>
  <c r="H125" i="70"/>
  <c r="G125" i="70"/>
  <c r="F125" i="70"/>
  <c r="E125"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82" i="70"/>
  <c r="M82" i="70"/>
  <c r="L82" i="70"/>
  <c r="K82" i="70"/>
  <c r="J82" i="70"/>
  <c r="I82" i="70"/>
  <c r="H82" i="70"/>
  <c r="G82" i="70"/>
  <c r="F82" i="70"/>
  <c r="E82"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N60" i="70"/>
  <c r="M60" i="70"/>
  <c r="L60" i="70"/>
  <c r="K60" i="70"/>
  <c r="J60" i="70"/>
  <c r="I60" i="70"/>
  <c r="H60" i="70"/>
  <c r="G60" i="70"/>
  <c r="F60" i="70"/>
  <c r="E60" i="70"/>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V60" i="69" l="1" a="1"/>
  <c r="V60" i="69" s="1"/>
  <c r="V44" i="69" a="1"/>
  <c r="V44" i="69" s="1"/>
  <c r="E56" i="69" a="1"/>
  <c r="E56" i="69" s="1"/>
  <c r="E48" i="69" a="1"/>
  <c r="E48" i="69" s="1"/>
  <c r="H53" i="107"/>
  <c r="H54" i="107"/>
  <c r="H50" i="107"/>
  <c r="H48" i="107"/>
  <c r="H51" i="107"/>
  <c r="H49" i="107"/>
  <c r="H52" i="107"/>
  <c r="O115" i="69"/>
  <c r="O107" i="69"/>
  <c r="F128" i="69"/>
  <c r="AF117" i="69"/>
  <c r="AF149" i="69"/>
  <c r="O85" i="69"/>
  <c r="E94" i="69"/>
  <c r="E73" i="69"/>
  <c r="V76" i="69" l="1" a="1"/>
  <c r="V76" i="69" s="1"/>
  <c r="D21" i="69"/>
  <c r="E29" i="69" s="1" a="1"/>
  <c r="E29" i="69" s="1"/>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U128" i="69"/>
  <c r="U127" i="69"/>
  <c r="U126" i="69"/>
  <c r="U125" i="69"/>
  <c r="U124" i="69"/>
  <c r="U123" i="69"/>
  <c r="U122" i="69"/>
  <c r="U121" i="69"/>
  <c r="U120" i="69"/>
  <c r="U119" i="69"/>
  <c r="U118" i="69"/>
  <c r="U117" i="69"/>
  <c r="D130" i="69" a="1"/>
  <c r="D130" i="69" s="1"/>
  <c r="F133" i="69" a="1"/>
  <c r="F133" i="69" s="1"/>
  <c r="D428" i="79" a="1"/>
  <c r="D428" i="79" s="1"/>
  <c r="D427" i="79" a="1"/>
  <c r="D427" i="79" s="1"/>
  <c r="D426" i="79" a="1"/>
  <c r="D426" i="79" s="1"/>
  <c r="D425" i="79" a="1"/>
  <c r="D425" i="79" s="1"/>
  <c r="D424" i="79" a="1"/>
  <c r="D424" i="79" s="1"/>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E35" i="69" a="1"/>
  <c r="U150" i="69" l="1"/>
  <c r="U149" i="69"/>
  <c r="E35" i="69"/>
  <c r="E39" i="69" l="1"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33" i="70"/>
  <c r="K32" i="70"/>
  <c r="L31" i="70"/>
  <c r="M30" i="70"/>
  <c r="N29" i="70"/>
  <c r="N28" i="70"/>
  <c r="M27" i="70"/>
  <c r="J26" i="70"/>
  <c r="N25" i="70"/>
  <c r="N24" i="70"/>
  <c r="M23" i="70"/>
  <c r="K22" i="70"/>
  <c r="E11" i="69" a="1"/>
  <c r="E11" i="69" s="1"/>
  <c r="E10" i="69" a="1"/>
  <c r="E10" i="69" s="1"/>
  <c r="D5" i="69" a="1"/>
  <c r="D5" i="69" s="1"/>
  <c r="AH39" i="69" l="1"/>
  <c r="AH38" i="69"/>
  <c r="AH37" i="69"/>
  <c r="AH36" i="69"/>
  <c r="AH35" i="69"/>
  <c r="AH34" i="69"/>
  <c r="AH33" i="69"/>
  <c r="AH32" i="69"/>
  <c r="AH31" i="69"/>
  <c r="AH30" i="69"/>
  <c r="J14" i="69" a="1"/>
  <c r="J14" i="69" s="1"/>
  <c r="J15" i="69" a="1"/>
  <c r="J15" i="69" s="1"/>
  <c r="K33" i="70"/>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V133" i="69" l="1" a="1"/>
  <c r="V133" i="69" s="1"/>
  <c r="P149" i="79"/>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W161" i="69" l="1"/>
  <c r="J26" i="69"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AE83" i="69" l="1" a="1"/>
  <c r="AE83" i="69" s="1"/>
  <c r="AE104" i="69" s="1" a="1"/>
  <c r="AE104" i="69" s="1"/>
  <c r="AE156" i="69" s="1" a="1"/>
  <c r="AE156" i="69" s="1"/>
  <c r="AC87" i="69" a="1"/>
  <c r="AC87" i="69" s="1"/>
  <c r="AC108" i="69" s="1" a="1"/>
  <c r="AC108" i="69" s="1"/>
  <c r="AC160" i="69" s="1" a="1"/>
  <c r="AC160" i="69" s="1"/>
  <c r="AB86" i="69" a="1"/>
  <c r="AB86" i="69" s="1"/>
  <c r="AB107" i="69" s="1" a="1"/>
  <c r="AB107" i="69" s="1"/>
  <c r="AB159" i="69" s="1" a="1"/>
  <c r="AB159" i="69" s="1"/>
  <c r="V77" i="69" a="1"/>
  <c r="V77" i="69" s="1"/>
  <c r="V98" i="69" s="1" a="1"/>
  <c r="V98" i="69" s="1"/>
  <c r="V150" i="69" s="1" a="1"/>
  <c r="V150" i="69" s="1"/>
  <c r="AA78" i="69" a="1"/>
  <c r="AA78" i="69" s="1"/>
  <c r="AA99" i="69" s="1" a="1"/>
  <c r="AA99" i="69" s="1"/>
  <c r="AA151" i="69" s="1" a="1"/>
  <c r="AA151" i="69" s="1"/>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97" i="69"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F7" i="13" s="1"/>
  <c r="G130" i="69"/>
  <c r="E133" i="69" s="1" a="1"/>
  <c r="E133" i="69" s="1"/>
  <c r="H7" i="13" s="1"/>
  <c r="X163" i="69" l="1"/>
  <c r="V166" i="69" s="1" a="1"/>
  <c r="V166" i="69" s="1"/>
  <c r="I7" i="13" s="1"/>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<sst xmlns="http://schemas.openxmlformats.org/spreadsheetml/2006/main" count="1088" uniqueCount="271">
  <si>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</si>
  <si>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</si>
  <si>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</si>
  <si>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</si>
  <si>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Test Farms</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</si>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</sst>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0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87</v>
      </c>
      <c r="E6" s="107" t="s">
        <v>122</v>
      </c>
      <c r="F6" s="107" t="s">
        <v>123</v>
      </c>
      <c r="G6" s="107" t="s">
        <v>100</v>
      </c>
      <c r="H6" s="107" t="s">
        <v>124</v>
      </c>
      <c r="I6" s="107" t="s">
        <v>125</v>
      </c>
      <c r="J6" s="107" t="s">
        <v>101</v>
      </c>
      <c r="K6" s="22"/>
    </row>
    <row r="7" spans="1:11" ht="20.100000000000001" customHeight="1" x14ac:dyDescent="0.25">
      <c r="A7" s="17" t="str">
        <f>HYPERLINK("#'Input - Site'!A1", "Site")</f>
        <v>Site</v>
      </c>
      <c r="C7" s="22"/>
      <c r="D7" s="1" t="s">
        <v>266</v>
      </c>
      <c r="E7" s="105" t="e">
        <f>VEERG_3_2_1_1__1_TotalAnnualMethaneFromEntericFermentation_Result</f>
        <v>#NAME?</v>
      </c>
      <c r="F7" s="105">
        <f ca="1">VEERG_3_2_1_1__1_TotalAnnualMethaneFromEntericFermentation_Result_Method2</f>
        <v>56.163952698425533</v>
      </c>
      <c r="G7" s="53" t="s">
        <v>117</v>
      </c>
      <c r="H7" s="105">
        <f ca="1">'3.2.1.1-2 Enteric Methane'!E133</f>
        <v>1558.9857296902248</v>
      </c>
      <c r="I7" s="105">
        <f ca="1">'3.2.1.1-2 Enteric Methane'!V166</f>
        <v>1572.5906755559149</v>
      </c>
      <c r="J7" s="53" t="s">
        <v>120</v>
      </c>
      <c r="K7" s="22"/>
    </row>
    <row r="8" spans="1:11" ht="20.100000000000001" customHeight="1" x14ac:dyDescent="0.3">
      <c r="A8" s="17" t="str">
        <f>HYPERLINK("#'Input - Pasture Beef'!A1", "Pasture Beef")</f>
        <v>Pasture Beef</v>
      </c>
      <c r="C8" s="22"/>
      <c r="D8" s="29" t="s">
        <v>99</v>
      </c>
      <c r="E8" s="23"/>
      <c r="F8" s="23"/>
      <c r="G8" s="29"/>
      <c r="H8" s="106">
        <f ca="1">SUM(H7:H7)</f>
        <v>1558.9857296902248</v>
      </c>
      <c r="I8" s="106">
        <f ca="1">SUM(I7:I7)</f>
        <v>1572.5906755559149</v>
      </c>
      <c r="J8" s="101" t="s">
        <v>120</v>
      </c>
      <c r="K8" s="22"/>
    </row>
    <row r="9" spans="1:11" ht="20.100000000000001" customHeight="1" x14ac:dyDescent="0.25">
      <c r="A9" s="17"/>
      <c r="C9" s="22"/>
      <c r="D9" s="1"/>
      <c r="E9" s="1"/>
      <c r="F9" s="1"/>
      <c r="G9" s="24"/>
      <c r="H9" s="22"/>
      <c r="I9" s="1"/>
      <c r="J9" s="1"/>
      <c r="K9" s="22"/>
    </row>
    <row r="10" spans="1:11" ht="20.100000000000001" customHeight="1" x14ac:dyDescent="0.25">
      <c r="A10" s="19" t="s">
        <v>61</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10</v>
      </c>
      <c r="N5" s="39"/>
    </row>
    <row r="6" spans="1:24" ht="20.100000000000001" customHeight="1" x14ac:dyDescent="0.25">
      <c r="A6" s="20" t="s">
        <v>1</v>
      </c>
      <c r="D6" s="14"/>
      <c r="N6" s="40"/>
    </row>
    <row r="7" spans="1:24" ht="20.100000000000001" customHeight="1" x14ac:dyDescent="0.25">
      <c r="A7" s="119" t="str">
        <f>HYPERLINK("#'Input - Site'!A1", "Site")</f>
        <v>Site</v>
      </c>
      <c r="D7" s="1" t="s">
        <v>5</v>
      </c>
      <c r="E7" s="32" t="s">
        <v>4</v>
      </c>
      <c r="F7" s="2"/>
    </row>
    <row r="8" spans="1:24" ht="20.100000000000001" customHeight="1" x14ac:dyDescent="0.25">
      <c r="A8" s="17" t="str">
        <f>HYPERLINK("#'Input - Pasture Beef'!A1", "Pasture Beef")</f>
        <v>Pasture Beef</v>
      </c>
      <c r="D8" s="10" t="s">
        <v>59</v>
      </c>
      <c r="E8" s="32" t="s">
        <v>60</v>
      </c>
    </row>
    <row r="9" spans="1:24" ht="20.100000000000001" customHeight="1" x14ac:dyDescent="0.25">
      <c r="A9" s="17"/>
      <c r="N9" s="41"/>
    </row>
    <row r="10" spans="1:24" ht="20.100000000000001" customHeight="1" x14ac:dyDescent="0.25">
      <c r="A10" s="19" t="s">
        <v>61</v>
      </c>
      <c r="D10" s="91" t="s">
        <v>74</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78</v>
      </c>
      <c r="E12" s="62">
        <v>45292</v>
      </c>
      <c r="F12" s="2" t="s">
        <v>57</v>
      </c>
    </row>
    <row r="13" spans="1:24" ht="20.100000000000001" customHeight="1" x14ac:dyDescent="0.25">
      <c r="A13" s="18" t="s">
        <v>2</v>
      </c>
      <c r="D13" s="10" t="s">
        <v>79</v>
      </c>
      <c r="E13" s="68">
        <f>DATE(YEAR(E12)+1,MONTH(E12),DAY(E12))-1</f>
        <v>45657</v>
      </c>
      <c r="F13" s="2" t="s">
        <v>12</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9</v>
      </c>
      <c r="N16" s="37"/>
      <c r="O16" s="37"/>
    </row>
    <row r="17" spans="1:25" ht="20.100000000000001" customHeight="1" x14ac:dyDescent="0.25">
      <c r="A17" s="17" t="str">
        <f>HYPERLINK("#'Acknowledgements'!A1", "Acknowledgements")</f>
        <v>Acknowledgements</v>
      </c>
    </row>
    <row r="18" spans="1:25" ht="20.100000000000001" customHeight="1" x14ac:dyDescent="0.25">
      <c r="A18"/>
      <c r="D18" s="93" t="s">
        <v>11</v>
      </c>
      <c r="E18" s="88"/>
      <c r="F18" s="88"/>
      <c r="G18" s="84"/>
    </row>
    <row r="19" spans="1:25" ht="20.100000000000001" customHeight="1" x14ac:dyDescent="0.25">
      <c r="A19" s="17"/>
      <c r="D19" s="90" t="s">
        <v>58</v>
      </c>
      <c r="E19" s="87"/>
      <c r="F19" s="87"/>
      <c r="G19" s="85"/>
      <c r="N19" s="39"/>
    </row>
    <row r="20" spans="1:25" ht="20.100000000000001" customHeight="1" x14ac:dyDescent="0.25">
      <c r="D20" s="1"/>
      <c r="E20" s="31"/>
      <c r="F20" s="2"/>
      <c r="N20" s="40"/>
    </row>
    <row r="21" spans="1:25" ht="20.100000000000001" customHeight="1" x14ac:dyDescent="0.25">
      <c r="D21" s="1" t="s">
        <v>6</v>
      </c>
      <c r="E21" s="38" t="s">
        <v>180</v>
      </c>
      <c r="F21" s="2" t="s">
        <v>8</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A34" zoomScale="85" zoomScaleNormal="85" workbookViewId="0">
      <selection activeCell="D45" sqref="D45"/>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126</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81</v>
      </c>
      <c r="P5" s="3"/>
      <c r="T5" s="7"/>
    </row>
    <row r="6" spans="1:25" ht="20.100000000000001" customHeight="1" x14ac:dyDescent="0.25">
      <c r="A6" s="20" t="s">
        <v>1</v>
      </c>
      <c r="P6" s="3"/>
      <c r="T6" s="7"/>
    </row>
    <row r="7" spans="1:25" ht="20.100000000000001" customHeight="1" x14ac:dyDescent="0.25">
      <c r="A7" s="17" t="str">
        <f>HYPERLINK("#'Input - Site'!A1", "Site")</f>
        <v>Site</v>
      </c>
      <c r="D7" s="1" t="s">
        <v>6</v>
      </c>
      <c r="E7" s="51" t="str">
        <f>X_Cell_Site_State</f>
        <v>Western Australia</v>
      </c>
      <c r="P7" s="3"/>
      <c r="T7" s="7"/>
    </row>
    <row r="8" spans="1:25" ht="20.100000000000001" customHeight="1" x14ac:dyDescent="0.25">
      <c r="A8" s="119" t="str">
        <f>HYPERLINK("#'Input - Pasture Beef'!A1", "Pasture Beef")</f>
        <v>Pasture Beef</v>
      </c>
      <c r="D8" s="1" t="s">
        <v>166</v>
      </c>
      <c r="E8" s="38" t="s">
        <v>171</v>
      </c>
      <c r="F8" s="2" t="s">
        <v>8</v>
      </c>
      <c r="P8" s="3"/>
      <c r="T8" s="7"/>
    </row>
    <row r="9" spans="1:25" ht="20.100000000000001" customHeight="1" x14ac:dyDescent="0.25">
      <c r="A9" s="17"/>
      <c r="D9" s="1" t="s">
        <v>193</v>
      </c>
      <c r="E9" s="38" t="s">
        <v>201</v>
      </c>
      <c r="F9" s="2" t="s">
        <v>8</v>
      </c>
      <c r="T9" s="7"/>
    </row>
    <row r="10" spans="1:25" ht="20.100000000000001" customHeight="1" x14ac:dyDescent="0.25">
      <c r="A10" s="19" t="s">
        <v>61</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143</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140</v>
      </c>
      <c r="T14" s="37"/>
    </row>
    <row r="15" spans="1:25" ht="20.100000000000001" customHeight="1" x14ac:dyDescent="0.25">
      <c r="A15" s="17" t="str">
        <f>HYPERLINK("#'Constants - Livestock'!A1", "Constants - Livestock")</f>
        <v>Constants - Livestock</v>
      </c>
      <c r="D15" s="61" t="s">
        <v>141</v>
      </c>
      <c r="E15" s="61" t="s">
        <v>104</v>
      </c>
      <c r="F15" s="61" t="s">
        <v>103</v>
      </c>
      <c r="G15" s="61" t="s">
        <v>127</v>
      </c>
      <c r="H15" s="61" t="s">
        <v>128</v>
      </c>
      <c r="I15" s="61" t="s">
        <v>129</v>
      </c>
      <c r="J15" s="61" t="s">
        <v>130</v>
      </c>
      <c r="K15" s="61" t="s">
        <v>131</v>
      </c>
      <c r="L15" s="61" t="s">
        <v>132</v>
      </c>
      <c r="M15" s="61" t="s">
        <v>133</v>
      </c>
      <c r="N15" s="61" t="s">
        <v>134</v>
      </c>
      <c r="T15" s="37"/>
    </row>
    <row r="16" spans="1:25" ht="20.100000000000001" customHeight="1" x14ac:dyDescent="0.25">
      <c r="A16" s="17" t="str">
        <f>HYPERLINK("#'Constants - Common'!A1", "Constants - Common")</f>
        <v>Constants - Common</v>
      </c>
      <c r="D16" s="1" t="s">
        <v>135</v>
      </c>
      <c r="E16" s="51">
        <v>91.25</v>
      </c>
      <c r="F16" s="51">
        <v>91.25</v>
      </c>
      <c r="G16" s="51">
        <v>91.25</v>
      </c>
      <c r="H16" s="51">
        <v>91.25</v>
      </c>
      <c r="I16" s="51">
        <v>91.25</v>
      </c>
      <c r="J16" s="51">
        <v>91.25</v>
      </c>
      <c r="K16" s="51">
        <v>91.25</v>
      </c>
      <c r="L16" s="51">
        <v>91.25</v>
      </c>
      <c r="M16" s="51">
        <v>91.25</v>
      </c>
      <c r="N16" s="51">
        <v>91.25</v>
      </c>
      <c r="O16" s="2" t="s">
        <v>47</v>
      </c>
      <c r="T16" s="37"/>
    </row>
    <row r="17" spans="1:21" ht="20.100000000000001" customHeight="1" x14ac:dyDescent="0.25">
      <c r="A17" s="17" t="str">
        <f>HYPERLINK("#'Acknowledgements'!A1", "Acknowledgements")</f>
        <v>Acknowledgements</v>
      </c>
      <c r="D17" s="1" t="s">
        <v>136</v>
      </c>
      <c r="E17" s="51">
        <v>91.25</v>
      </c>
      <c r="F17" s="51">
        <v>91.25</v>
      </c>
      <c r="G17" s="51">
        <v>91.25</v>
      </c>
      <c r="H17" s="51">
        <v>91.25</v>
      </c>
      <c r="I17" s="51">
        <v>91.25</v>
      </c>
      <c r="J17" s="51">
        <v>91.25</v>
      </c>
      <c r="K17" s="51">
        <v>91.25</v>
      </c>
      <c r="L17" s="51">
        <v>91.25</v>
      </c>
      <c r="M17" s="51">
        <v>91.25</v>
      </c>
      <c r="N17" s="51">
        <v>91.25</v>
      </c>
      <c r="O17" s="2" t="s">
        <v>47</v>
      </c>
      <c r="T17" s="7"/>
    </row>
    <row r="18" spans="1:21" ht="20.100000000000001" customHeight="1" x14ac:dyDescent="0.25">
      <c r="D18" s="1" t="s">
        <v>137</v>
      </c>
      <c r="E18" s="51">
        <v>91.25</v>
      </c>
      <c r="F18" s="51">
        <v>91.25</v>
      </c>
      <c r="G18" s="51">
        <v>91.25</v>
      </c>
      <c r="H18" s="51">
        <v>91.25</v>
      </c>
      <c r="I18" s="51">
        <v>91.25</v>
      </c>
      <c r="J18" s="51">
        <v>91.25</v>
      </c>
      <c r="K18" s="51">
        <v>91.25</v>
      </c>
      <c r="L18" s="51">
        <v>91.25</v>
      </c>
      <c r="M18" s="51">
        <v>91.25</v>
      </c>
      <c r="N18" s="51">
        <v>91.25</v>
      </c>
      <c r="O18" s="2" t="s">
        <v>47</v>
      </c>
      <c r="T18" s="7"/>
    </row>
    <row r="19" spans="1:21" ht="20.100000000000001" customHeight="1" x14ac:dyDescent="0.25">
      <c r="A19" s="17"/>
      <c r="D19" s="1" t="s">
        <v>138</v>
      </c>
      <c r="E19" s="51">
        <v>91.25</v>
      </c>
      <c r="F19" s="51">
        <v>91.25</v>
      </c>
      <c r="G19" s="51">
        <v>91.25</v>
      </c>
      <c r="H19" s="51">
        <v>91.25</v>
      </c>
      <c r="I19" s="51">
        <v>91.25</v>
      </c>
      <c r="J19" s="51">
        <v>91.25</v>
      </c>
      <c r="K19" s="51">
        <v>91.25</v>
      </c>
      <c r="L19" s="51">
        <v>91.25</v>
      </c>
      <c r="M19" s="51">
        <v>91.25</v>
      </c>
      <c r="N19" s="51">
        <v>91.25</v>
      </c>
      <c r="O19" s="2" t="s">
        <v>47</v>
      </c>
      <c r="T19" s="7"/>
    </row>
    <row r="20" spans="1:21" ht="20.100000000000001" customHeight="1" x14ac:dyDescent="0.25">
      <c r="A20" s="17"/>
      <c r="T20" s="7"/>
    </row>
    <row r="21" spans="1:21" ht="20.100000000000001" customHeight="1" x14ac:dyDescent="0.25">
      <c r="D21" s="61" t="s">
        <v>142</v>
      </c>
      <c r="E21" s="61" t="s">
        <v>104</v>
      </c>
      <c r="F21" s="61" t="s">
        <v>103</v>
      </c>
      <c r="G21" s="61" t="s">
        <v>127</v>
      </c>
      <c r="H21" s="61" t="s">
        <v>128</v>
      </c>
      <c r="I21" s="61" t="s">
        <v>129</v>
      </c>
      <c r="J21" s="61" t="s">
        <v>130</v>
      </c>
      <c r="K21" s="61" t="s">
        <v>131</v>
      </c>
      <c r="L21" s="61" t="s">
        <v>132</v>
      </c>
      <c r="M21" s="61" t="s">
        <v>133</v>
      </c>
      <c r="N21" s="61" t="s">
        <v>134</v>
      </c>
      <c r="T21" s="7"/>
    </row>
    <row r="22" spans="1:21" ht="20.100000000000001" customHeight="1" x14ac:dyDescent="0.25">
      <c r="A22" s="17"/>
      <c r="D22" s="1" t="str">
        <f>TEXT(X_Cell_Site_StartDate, "mmmm yyyy")</f>
        <v>January 2024</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47</v>
      </c>
      <c r="T22" s="7"/>
    </row>
    <row r="23" spans="1:21" ht="20.100000000000001" customHeight="1" x14ac:dyDescent="0.25">
      <c r="A23" s="17"/>
      <c r="D23" s="1" t="str">
        <f>TEXT(EDATE(X_Cell_Site_StartDate,1), "mmmm yyyy")</f>
        <v>February 2024</v>
      </c>
      <c r="E23" s="64">
        <f t="shared" si="0"/>
        <v>29</v>
      </c>
      <c r="F23" s="64">
        <f t="shared" si="0"/>
        <v>29</v>
      </c>
      <c r="G23" s="64">
        <f t="shared" si="0"/>
        <v>29</v>
      </c>
      <c r="H23" s="64">
        <f t="shared" si="0"/>
        <v>29</v>
      </c>
      <c r="I23" s="64">
        <f t="shared" si="0"/>
        <v>29</v>
      </c>
      <c r="J23" s="64">
        <f t="shared" si="0"/>
        <v>29</v>
      </c>
      <c r="K23" s="64">
        <f t="shared" si="0"/>
        <v>29</v>
      </c>
      <c r="L23" s="64">
        <f t="shared" si="0"/>
        <v>29</v>
      </c>
      <c r="M23" s="64">
        <f t="shared" si="0"/>
        <v>29</v>
      </c>
      <c r="N23" s="64">
        <f t="shared" si="0"/>
        <v>29</v>
      </c>
      <c r="O23" s="2" t="s">
        <v>47</v>
      </c>
      <c r="T23" s="7"/>
    </row>
    <row r="24" spans="1:21" ht="20.100000000000001" customHeight="1" x14ac:dyDescent="0.25">
      <c r="A24" s="17"/>
      <c r="D24" s="1" t="str">
        <f>TEXT(EDATE(X_Cell_Site_StartDate,2), "mmmm yyyy")</f>
        <v>March 2024</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47</v>
      </c>
      <c r="T24" s="7"/>
    </row>
    <row r="25" spans="1:21" ht="20.100000000000001" customHeight="1" x14ac:dyDescent="0.25">
      <c r="D25" s="1" t="str">
        <f>TEXT(EDATE(X_Cell_Site_StartDate,3), "mmmm yyyy")</f>
        <v>April 2024</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47</v>
      </c>
      <c r="T25" s="7"/>
    </row>
    <row r="26" spans="1:21" ht="20.100000000000001" customHeight="1" x14ac:dyDescent="0.25">
      <c r="A26" s="17"/>
      <c r="D26" s="1" t="str">
        <f>TEXT(EDATE(X_Cell_Site_StartDate,4), "mmmm yyyy")</f>
        <v>May 2024</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47</v>
      </c>
      <c r="T26" s="7"/>
    </row>
    <row r="27" spans="1:21" ht="20.100000000000001" customHeight="1" x14ac:dyDescent="0.25">
      <c r="A27" s="17"/>
      <c r="D27" s="1" t="str">
        <f>TEXT(EDATE(X_Cell_Site_StartDate,5), "mmmm yyyy")</f>
        <v>June 2024</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47</v>
      </c>
      <c r="T27" s="7"/>
    </row>
    <row r="28" spans="1:21" ht="20.100000000000001" customHeight="1" x14ac:dyDescent="0.25">
      <c r="A28" s="17"/>
      <c r="D28" s="1" t="str">
        <f>TEXT(EDATE(X_Cell_Site_StartDate,6), "mmmm yyyy")</f>
        <v>July 2024</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47</v>
      </c>
      <c r="T28" s="7"/>
      <c r="U28" s="55" t="str">
        <f>TEXT(X_Cell_Site_StartDate,"mmmm")</f>
        <v>January</v>
      </c>
    </row>
    <row r="29" spans="1:21" ht="20.100000000000001" customHeight="1" x14ac:dyDescent="0.25">
      <c r="A29" s="17"/>
      <c r="D29" s="1" t="str">
        <f>TEXT(EDATE(X_Cell_Site_StartDate,7), "mmmm yyyy")</f>
        <v>August 2024</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47</v>
      </c>
      <c r="T29" s="7"/>
      <c r="U29" s="55" t="str">
        <f>TEXT(EDATE(X_Cell_Site_StartDate,1), "mmmm")</f>
        <v>February</v>
      </c>
    </row>
    <row r="30" spans="1:21" ht="20.100000000000001" customHeight="1" x14ac:dyDescent="0.25">
      <c r="A30" s="17"/>
      <c r="D30" s="1" t="str">
        <f>TEXT(EDATE(X_Cell_Site_StartDate,8), "mmmm yyyy")</f>
        <v>September 2024</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47</v>
      </c>
      <c r="T30" s="7"/>
      <c r="U30" s="55" t="str">
        <f>TEXT(EDATE(X_Cell_Site_StartDate,2), "mmmm")</f>
        <v>March</v>
      </c>
    </row>
    <row r="31" spans="1:21" ht="20.100000000000001" customHeight="1" x14ac:dyDescent="0.25">
      <c r="A31" s="65"/>
      <c r="D31" s="1" t="str">
        <f>TEXT(EDATE(X_Cell_Site_StartDate,9), "mmmm yyyy")</f>
        <v>October 2024</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47</v>
      </c>
      <c r="T31" s="7"/>
      <c r="U31" s="55" t="str">
        <f>TEXT(EDATE(X_Cell_Site_StartDate,3), "mmmm")</f>
        <v>April</v>
      </c>
    </row>
    <row r="32" spans="1:21" ht="20.100000000000001" customHeight="1" x14ac:dyDescent="0.25">
      <c r="A32" s="65"/>
      <c r="D32" s="1" t="str">
        <f>TEXT(EDATE(X_Cell_Site_StartDate,10), "mmmm yyyy")</f>
        <v>November 2024</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47</v>
      </c>
      <c r="T32" s="7"/>
      <c r="U32" s="55" t="str">
        <f>TEXT(EDATE(X_Cell_Site_StartDate,4), "mmmm")</f>
        <v>May</v>
      </c>
    </row>
    <row r="33" spans="1:21" ht="20.100000000000001" customHeight="1" x14ac:dyDescent="0.25">
      <c r="A33" s="17"/>
      <c r="D33" s="1" t="str">
        <f>TEXT(EDATE(X_Cell_Site_StartDate,11), "mmmm yyyy")</f>
        <v>December 2024</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47</v>
      </c>
      <c r="T33" s="7"/>
      <c r="U33" s="55" t="str">
        <f>TEXT(EDATE(X_Cell_Site_StartDate,5), "mmmm")</f>
        <v>June</v>
      </c>
    </row>
    <row r="34" spans="1:21" ht="20.100000000000001" customHeight="1" x14ac:dyDescent="0.25">
      <c r="T34" s="7"/>
      <c r="U34" s="55" t="str">
        <f>TEXT(EDATE(X_Cell_Site_StartDate,6), "mmmm")</f>
        <v>July</v>
      </c>
    </row>
    <row r="35" spans="1:21" ht="20.100000000000001" customHeight="1" x14ac:dyDescent="0.25">
      <c r="T35" s="7"/>
      <c r="U35" s="55" t="str">
        <f>TEXT(EDATE(X_Cell_Site_StartDate,7), "mmmm")</f>
        <v>August</v>
      </c>
    </row>
    <row r="36" spans="1:21" ht="20.100000000000001" customHeight="1" x14ac:dyDescent="0.25">
      <c r="D36" s="47" t="s">
        <v>82</v>
      </c>
      <c r="T36" s="7"/>
      <c r="U36" s="55" t="str">
        <f>TEXT(EDATE(X_Cell_Site_StartDate,8), "mmmm")</f>
        <v>September</v>
      </c>
    </row>
    <row r="37" spans="1:21" ht="20.100000000000001" customHeight="1" x14ac:dyDescent="0.25">
      <c r="D37" s="61" t="s">
        <v>108</v>
      </c>
      <c r="E37" s="61" t="s">
        <v>104</v>
      </c>
      <c r="F37" s="61" t="s">
        <v>103</v>
      </c>
      <c r="G37" s="61" t="s">
        <v>127</v>
      </c>
      <c r="H37" s="61" t="s">
        <v>128</v>
      </c>
      <c r="I37" s="61" t="s">
        <v>129</v>
      </c>
      <c r="J37" s="61" t="s">
        <v>130</v>
      </c>
      <c r="K37" s="61" t="s">
        <v>131</v>
      </c>
      <c r="L37" s="61" t="s">
        <v>132</v>
      </c>
      <c r="M37" s="61" t="s">
        <v>133</v>
      </c>
      <c r="N37" s="61" t="s">
        <v>134</v>
      </c>
      <c r="T37" s="7"/>
      <c r="U37" s="55" t="str">
        <f>TEXT(EDATE(X_Cell_Site_StartDate,9), "mmmm")</f>
        <v>October</v>
      </c>
    </row>
    <row r="38" spans="1:21" ht="20.100000000000001" customHeight="1" x14ac:dyDescent="0.25">
      <c r="D38" s="1" t="s">
        <v>135</v>
      </c>
      <c r="E38" s="64">
        <v>100</v>
      </c>
      <c r="F38" s="64">
        <v>100</v>
      </c>
      <c r="G38" s="64">
        <v>100</v>
      </c>
      <c r="H38" s="64">
        <v>100</v>
      </c>
      <c r="I38" s="64">
        <v>100</v>
      </c>
      <c r="J38" s="64">
        <v>100</v>
      </c>
      <c r="K38" s="64">
        <v>100</v>
      </c>
      <c r="L38" s="64">
        <v>100</v>
      </c>
      <c r="M38" s="64">
        <v>100</v>
      </c>
      <c r="N38" s="64">
        <v>100</v>
      </c>
      <c r="O38" s="2" t="s">
        <v>82</v>
      </c>
      <c r="T38" s="7"/>
      <c r="U38" s="55" t="str">
        <f>TEXT(EDATE(X_Cell_Site_StartDate,10), "mmmm")</f>
        <v>November</v>
      </c>
    </row>
    <row r="39" spans="1:21" ht="20.100000000000001" customHeight="1" x14ac:dyDescent="0.25">
      <c r="A39" s="17"/>
      <c r="D39" s="1" t="s">
        <v>136</v>
      </c>
      <c r="E39" s="64">
        <v>100</v>
      </c>
      <c r="F39" s="64">
        <v>100</v>
      </c>
      <c r="G39" s="64">
        <v>100</v>
      </c>
      <c r="H39" s="64">
        <v>100</v>
      </c>
      <c r="I39" s="64">
        <v>100</v>
      </c>
      <c r="J39" s="64">
        <v>100</v>
      </c>
      <c r="K39" s="64">
        <v>100</v>
      </c>
      <c r="L39" s="64">
        <v>100</v>
      </c>
      <c r="M39" s="64">
        <v>100</v>
      </c>
      <c r="N39" s="64">
        <v>100</v>
      </c>
      <c r="O39" s="2" t="s">
        <v>82</v>
      </c>
      <c r="T39" s="7"/>
      <c r="U39" s="55" t="str">
        <f>TEXT(EDATE(X_Cell_Site_StartDate,11), "mmmm")</f>
        <v>December</v>
      </c>
    </row>
    <row r="40" spans="1:21" ht="20.100000000000001" customHeight="1" x14ac:dyDescent="0.25">
      <c r="D40" s="1" t="s">
        <v>137</v>
      </c>
      <c r="E40" s="64">
        <v>100</v>
      </c>
      <c r="F40" s="64">
        <v>100</v>
      </c>
      <c r="G40" s="64">
        <v>100</v>
      </c>
      <c r="H40" s="64">
        <v>100</v>
      </c>
      <c r="I40" s="64">
        <v>100</v>
      </c>
      <c r="J40" s="64">
        <v>100</v>
      </c>
      <c r="K40" s="64">
        <v>100</v>
      </c>
      <c r="L40" s="64">
        <v>100</v>
      </c>
      <c r="M40" s="64">
        <v>100</v>
      </c>
      <c r="N40" s="64">
        <v>100</v>
      </c>
      <c r="O40" s="2" t="s">
        <v>82</v>
      </c>
      <c r="T40" s="7"/>
    </row>
    <row r="41" spans="1:21" ht="20.100000000000001" customHeight="1" x14ac:dyDescent="0.25">
      <c r="A41" s="43"/>
      <c r="D41" s="1" t="s">
        <v>138</v>
      </c>
      <c r="E41" s="64">
        <v>100</v>
      </c>
      <c r="F41" s="64">
        <v>100</v>
      </c>
      <c r="G41" s="64">
        <v>100</v>
      </c>
      <c r="H41" s="64">
        <v>100</v>
      </c>
      <c r="I41" s="64">
        <v>100</v>
      </c>
      <c r="J41" s="64">
        <v>100</v>
      </c>
      <c r="K41" s="64">
        <v>100</v>
      </c>
      <c r="L41" s="64">
        <v>100</v>
      </c>
      <c r="M41" s="64">
        <v>100</v>
      </c>
      <c r="N41" s="64">
        <v>100</v>
      </c>
      <c r="O41" s="2" t="s">
        <v>82</v>
      </c>
      <c r="T41" s="7"/>
    </row>
    <row r="42" spans="1:21" ht="20.100000000000001" customHeight="1" x14ac:dyDescent="0.25">
      <c r="O42" s="2"/>
      <c r="T42" s="7"/>
    </row>
    <row r="43" spans="1:21" ht="20.100000000000001" customHeight="1" x14ac:dyDescent="0.25">
      <c r="D43" s="61" t="s">
        <v>109</v>
      </c>
      <c r="E43" s="61" t="s">
        <v>104</v>
      </c>
      <c r="F43" s="61" t="s">
        <v>103</v>
      </c>
      <c r="G43" s="61" t="s">
        <v>127</v>
      </c>
      <c r="H43" s="61" t="s">
        <v>128</v>
      </c>
      <c r="I43" s="61" t="s">
        <v>129</v>
      </c>
      <c r="J43" s="61" t="s">
        <v>130</v>
      </c>
      <c r="K43" s="61" t="s">
        <v>131</v>
      </c>
      <c r="L43" s="61" t="s">
        <v>132</v>
      </c>
      <c r="M43" s="61" t="s">
        <v>133</v>
      </c>
      <c r="N43" s="61" t="s">
        <v>134</v>
      </c>
      <c r="O43" s="2"/>
      <c r="T43" s="7"/>
    </row>
    <row r="44" spans="1:21" ht="20.100000000000001" customHeight="1" x14ac:dyDescent="0.25">
      <c r="D44" s="1" t="str">
        <f>TEXT(X_Cell_Site_StartDate, "mmmm yyyy")</f>
        <v>January 2024</v>
      </c>
      <c r="E44" s="64">
        <v>100</v>
      </c>
      <c r="F44" s="64">
        <v>100</v>
      </c>
      <c r="G44" s="64">
        <v>100</v>
      </c>
      <c r="H44" s="64">
        <v>100</v>
      </c>
      <c r="I44" s="64">
        <v>100</v>
      </c>
      <c r="J44" s="64">
        <v>100</v>
      </c>
      <c r="K44" s="64">
        <v>100</v>
      </c>
      <c r="L44" s="64">
        <v>100</v>
      </c>
      <c r="M44" s="64">
        <v>100</v>
      </c>
      <c r="N44" s="64">
        <v>100</v>
      </c>
      <c r="O44" s="2" t="s">
        <v>82</v>
      </c>
      <c r="T44" s="7"/>
      <c r="U44" s="55" t="str">
        <f>TEXT(X_Cell_Site_StartDate,"mmmm")</f>
        <v>January</v>
      </c>
    </row>
    <row r="45" spans="1:21" ht="20.100000000000001" customHeight="1" x14ac:dyDescent="0.25">
      <c r="D45" s="1" t="str">
        <f>TEXT(EDATE(X_Cell_Site_StartDate,1), "mmmm yyyy")</f>
        <v>February 2024</v>
      </c>
      <c r="E45" s="64">
        <v>100</v>
      </c>
      <c r="F45" s="64">
        <v>100</v>
      </c>
      <c r="G45" s="64">
        <v>100</v>
      </c>
      <c r="H45" s="64">
        <v>100</v>
      </c>
      <c r="I45" s="64">
        <v>100</v>
      </c>
      <c r="J45" s="64">
        <v>100</v>
      </c>
      <c r="K45" s="64">
        <v>100</v>
      </c>
      <c r="L45" s="64">
        <v>100</v>
      </c>
      <c r="M45" s="64">
        <v>100</v>
      </c>
      <c r="N45" s="64">
        <v>100</v>
      </c>
      <c r="O45" s="2" t="s">
        <v>82</v>
      </c>
      <c r="T45" s="7"/>
      <c r="U45" s="55" t="str">
        <f>TEXT(EDATE(X_Cell_Site_StartDate,1), "mmmm")</f>
        <v>February</v>
      </c>
    </row>
    <row r="46" spans="1:21" ht="20.100000000000001" customHeight="1" x14ac:dyDescent="0.25">
      <c r="D46" s="1" t="str">
        <f>TEXT(EDATE(X_Cell_Site_StartDate,2), "mmmm yyyy")</f>
        <v>March 2024</v>
      </c>
      <c r="E46" s="64">
        <v>100</v>
      </c>
      <c r="F46" s="64">
        <v>100</v>
      </c>
      <c r="G46" s="64">
        <v>100</v>
      </c>
      <c r="H46" s="64">
        <v>100</v>
      </c>
      <c r="I46" s="64">
        <v>100</v>
      </c>
      <c r="J46" s="64">
        <v>100</v>
      </c>
      <c r="K46" s="64">
        <v>100</v>
      </c>
      <c r="L46" s="64">
        <v>100</v>
      </c>
      <c r="M46" s="64">
        <v>100</v>
      </c>
      <c r="N46" s="64">
        <v>100</v>
      </c>
      <c r="O46" s="2" t="s">
        <v>82</v>
      </c>
      <c r="T46" s="7"/>
      <c r="U46" s="55" t="str">
        <f>TEXT(EDATE(X_Cell_Site_StartDate,2), "mmmm")</f>
        <v>March</v>
      </c>
    </row>
    <row r="47" spans="1:21" ht="20.100000000000001" customHeight="1" x14ac:dyDescent="0.25">
      <c r="D47" s="1" t="str">
        <f>TEXT(EDATE(X_Cell_Site_StartDate,3), "mmmm yyyy")</f>
        <v>April 2024</v>
      </c>
      <c r="E47" s="64">
        <v>100</v>
      </c>
      <c r="F47" s="64">
        <v>100</v>
      </c>
      <c r="G47" s="64">
        <v>100</v>
      </c>
      <c r="H47" s="64">
        <v>100</v>
      </c>
      <c r="I47" s="64">
        <v>100</v>
      </c>
      <c r="J47" s="64">
        <v>100</v>
      </c>
      <c r="K47" s="64">
        <v>100</v>
      </c>
      <c r="L47" s="64">
        <v>100</v>
      </c>
      <c r="M47" s="64">
        <v>100</v>
      </c>
      <c r="N47" s="64">
        <v>100</v>
      </c>
      <c r="O47" s="2" t="s">
        <v>82</v>
      </c>
      <c r="T47" s="7"/>
      <c r="U47" s="55" t="str">
        <f>TEXT(EDATE(X_Cell_Site_StartDate,3), "mmmm")</f>
        <v>April</v>
      </c>
    </row>
    <row r="48" spans="1:21" ht="20.100000000000001" customHeight="1" x14ac:dyDescent="0.25">
      <c r="D48" s="1" t="str">
        <f>TEXT(EDATE(X_Cell_Site_StartDate,4), "mmmm yyyy")</f>
        <v>May 2024</v>
      </c>
      <c r="E48" s="64">
        <v>100</v>
      </c>
      <c r="F48" s="64">
        <v>100</v>
      </c>
      <c r="G48" s="64">
        <v>100</v>
      </c>
      <c r="H48" s="64">
        <v>100</v>
      </c>
      <c r="I48" s="64">
        <v>100</v>
      </c>
      <c r="J48" s="64">
        <v>100</v>
      </c>
      <c r="K48" s="64">
        <v>100</v>
      </c>
      <c r="L48" s="64">
        <v>100</v>
      </c>
      <c r="M48" s="64">
        <v>100</v>
      </c>
      <c r="N48" s="64">
        <v>100</v>
      </c>
      <c r="O48" s="2" t="s">
        <v>82</v>
      </c>
      <c r="T48" s="7"/>
      <c r="U48" s="55" t="str">
        <f>TEXT(EDATE(X_Cell_Site_StartDate,4), "mmmm")</f>
        <v>May</v>
      </c>
    </row>
    <row r="49" spans="4:21" ht="20.100000000000001" customHeight="1" x14ac:dyDescent="0.25">
      <c r="D49" s="1" t="str">
        <f>TEXT(EDATE(X_Cell_Site_StartDate,5), "mmmm yyyy")</f>
        <v>June 2024</v>
      </c>
      <c r="E49" s="64">
        <v>100</v>
      </c>
      <c r="F49" s="64">
        <v>100</v>
      </c>
      <c r="G49" s="64">
        <v>100</v>
      </c>
      <c r="H49" s="64">
        <v>100</v>
      </c>
      <c r="I49" s="64">
        <v>100</v>
      </c>
      <c r="J49" s="64">
        <v>100</v>
      </c>
      <c r="K49" s="64">
        <v>100</v>
      </c>
      <c r="L49" s="64">
        <v>100</v>
      </c>
      <c r="M49" s="64">
        <v>100</v>
      </c>
      <c r="N49" s="64">
        <v>100</v>
      </c>
      <c r="O49" s="2" t="s">
        <v>82</v>
      </c>
      <c r="T49" s="7"/>
      <c r="U49" s="55" t="str">
        <f>TEXT(EDATE(X_Cell_Site_StartDate,5), "mmmm")</f>
        <v>June</v>
      </c>
    </row>
    <row r="50" spans="4:21" ht="20.100000000000001" customHeight="1" x14ac:dyDescent="0.25">
      <c r="D50" s="1" t="str">
        <f>TEXT(EDATE(X_Cell_Site_StartDate,6), "mmmm yyyy")</f>
        <v>July 2024</v>
      </c>
      <c r="E50" s="64">
        <v>100</v>
      </c>
      <c r="F50" s="64">
        <v>100</v>
      </c>
      <c r="G50" s="64">
        <v>100</v>
      </c>
      <c r="H50" s="64">
        <v>100</v>
      </c>
      <c r="I50" s="64">
        <v>100</v>
      </c>
      <c r="J50" s="64">
        <v>100</v>
      </c>
      <c r="K50" s="64">
        <v>100</v>
      </c>
      <c r="L50" s="64">
        <v>100</v>
      </c>
      <c r="M50" s="64">
        <v>100</v>
      </c>
      <c r="N50" s="64">
        <v>100</v>
      </c>
      <c r="O50" s="2" t="s">
        <v>82</v>
      </c>
      <c r="P50" s="3"/>
      <c r="T50" s="7"/>
      <c r="U50" s="55" t="str">
        <f>TEXT(EDATE(X_Cell_Site_StartDate,6), "mmmm")</f>
        <v>July</v>
      </c>
    </row>
    <row r="51" spans="4:21" ht="20.100000000000001" customHeight="1" x14ac:dyDescent="0.25">
      <c r="D51" s="1" t="str">
        <f>TEXT(EDATE(X_Cell_Site_StartDate,7), "mmmm yyyy")</f>
        <v>August 2024</v>
      </c>
      <c r="E51" s="64">
        <v>100</v>
      </c>
      <c r="F51" s="64">
        <v>100</v>
      </c>
      <c r="G51" s="64">
        <v>100</v>
      </c>
      <c r="H51" s="64">
        <v>100</v>
      </c>
      <c r="I51" s="64">
        <v>100</v>
      </c>
      <c r="J51" s="64">
        <v>100</v>
      </c>
      <c r="K51" s="64">
        <v>100</v>
      </c>
      <c r="L51" s="64">
        <v>100</v>
      </c>
      <c r="M51" s="64">
        <v>100</v>
      </c>
      <c r="N51" s="64">
        <v>100</v>
      </c>
      <c r="O51" s="2" t="s">
        <v>82</v>
      </c>
      <c r="P51" s="3"/>
      <c r="T51" s="7"/>
      <c r="U51" s="55" t="str">
        <f>TEXT(EDATE(X_Cell_Site_StartDate,7), "mmmm")</f>
        <v>August</v>
      </c>
    </row>
    <row r="52" spans="4:21" ht="20.100000000000001" customHeight="1" x14ac:dyDescent="0.25">
      <c r="D52" s="1" t="str">
        <f>TEXT(EDATE(X_Cell_Site_StartDate,8), "mmmm yyyy")</f>
        <v>September 2024</v>
      </c>
      <c r="E52" s="64">
        <v>100</v>
      </c>
      <c r="F52" s="64">
        <v>100</v>
      </c>
      <c r="G52" s="64">
        <v>100</v>
      </c>
      <c r="H52" s="64">
        <v>100</v>
      </c>
      <c r="I52" s="64">
        <v>100</v>
      </c>
      <c r="J52" s="64">
        <v>100</v>
      </c>
      <c r="K52" s="64">
        <v>100</v>
      </c>
      <c r="L52" s="64">
        <v>100</v>
      </c>
      <c r="M52" s="64">
        <v>100</v>
      </c>
      <c r="N52" s="64">
        <v>100</v>
      </c>
      <c r="O52" s="2" t="s">
        <v>82</v>
      </c>
      <c r="P52" s="3"/>
      <c r="T52" s="7"/>
      <c r="U52" s="55" t="str">
        <f>TEXT(EDATE(X_Cell_Site_StartDate,8), "mmmm")</f>
        <v>September</v>
      </c>
    </row>
    <row r="53" spans="4:21" ht="20.100000000000001" customHeight="1" x14ac:dyDescent="0.25">
      <c r="D53" s="1" t="str">
        <f>TEXT(EDATE(X_Cell_Site_StartDate,9), "mmmm yyyy")</f>
        <v>October 2024</v>
      </c>
      <c r="E53" s="64">
        <v>100</v>
      </c>
      <c r="F53" s="64">
        <v>100</v>
      </c>
      <c r="G53" s="64">
        <v>100</v>
      </c>
      <c r="H53" s="64">
        <v>100</v>
      </c>
      <c r="I53" s="64">
        <v>100</v>
      </c>
      <c r="J53" s="64">
        <v>100</v>
      </c>
      <c r="K53" s="64">
        <v>100</v>
      </c>
      <c r="L53" s="64">
        <v>100</v>
      </c>
      <c r="M53" s="64">
        <v>100</v>
      </c>
      <c r="N53" s="64">
        <v>100</v>
      </c>
      <c r="O53" s="2" t="s">
        <v>82</v>
      </c>
      <c r="P53" s="3"/>
      <c r="T53" s="7"/>
      <c r="U53" s="55" t="str">
        <f>TEXT(EDATE(X_Cell_Site_StartDate,9), "mmmm")</f>
        <v>October</v>
      </c>
    </row>
    <row r="54" spans="4:21" ht="20.100000000000001" customHeight="1" x14ac:dyDescent="0.25">
      <c r="D54" s="1" t="str">
        <f>TEXT(EDATE(X_Cell_Site_StartDate,10), "mmmm yyyy")</f>
        <v>November 2024</v>
      </c>
      <c r="E54" s="64">
        <v>100</v>
      </c>
      <c r="F54" s="64">
        <v>100</v>
      </c>
      <c r="G54" s="64">
        <v>100</v>
      </c>
      <c r="H54" s="64">
        <v>100</v>
      </c>
      <c r="I54" s="64">
        <v>100</v>
      </c>
      <c r="J54" s="64">
        <v>100</v>
      </c>
      <c r="K54" s="64">
        <v>100</v>
      </c>
      <c r="L54" s="64">
        <v>100</v>
      </c>
      <c r="M54" s="64">
        <v>100</v>
      </c>
      <c r="N54" s="64">
        <v>100</v>
      </c>
      <c r="O54" s="2" t="s">
        <v>82</v>
      </c>
      <c r="P54" s="3"/>
      <c r="T54" s="7"/>
      <c r="U54" s="55" t="str">
        <f>TEXT(EDATE(X_Cell_Site_StartDate,10), "mmmm")</f>
        <v>November</v>
      </c>
    </row>
    <row r="55" spans="4:21" ht="20.100000000000001" customHeight="1" x14ac:dyDescent="0.25">
      <c r="D55" s="1" t="str">
        <f>TEXT(EDATE(X_Cell_Site_StartDate,11), "mmmm yyyy")</f>
        <v>December 2024</v>
      </c>
      <c r="E55" s="64">
        <v>100</v>
      </c>
      <c r="F55" s="64">
        <v>100</v>
      </c>
      <c r="G55" s="64">
        <v>100</v>
      </c>
      <c r="H55" s="64">
        <v>100</v>
      </c>
      <c r="I55" s="64">
        <v>100</v>
      </c>
      <c r="J55" s="64">
        <v>100</v>
      </c>
      <c r="K55" s="64">
        <v>100</v>
      </c>
      <c r="L55" s="64">
        <v>100</v>
      </c>
      <c r="M55" s="64">
        <v>100</v>
      </c>
      <c r="N55" s="64">
        <v>100</v>
      </c>
      <c r="O55" s="2" t="s">
        <v>82</v>
      </c>
      <c r="P55" s="3"/>
      <c r="T55" s="7"/>
      <c r="U55" s="55" t="str">
        <f>TEXT(EDATE(X_Cell_Site_StartDate,11), "mmmm")</f>
        <v>December</v>
      </c>
    </row>
    <row r="56" spans="4:21" ht="20.100000000000001" customHeight="1" x14ac:dyDescent="0.25">
      <c r="P56" s="3"/>
      <c r="T56" s="7"/>
    </row>
    <row r="57" spans="4:21" ht="20.100000000000001" customHeight="1" x14ac:dyDescent="0.25">
      <c r="P57" s="3"/>
      <c r="T57" s="7"/>
    </row>
    <row r="58" spans="4:21" ht="20.100000000000001" customHeight="1" x14ac:dyDescent="0.25">
      <c r="D58" s="47" t="s">
        <v>112</v>
      </c>
      <c r="P58" s="3"/>
      <c r="T58" s="7"/>
    </row>
    <row r="59" spans="4:21" ht="20.100000000000001" customHeight="1" x14ac:dyDescent="0.25">
      <c r="D59" s="61" t="s">
        <v>141</v>
      </c>
      <c r="E59" s="61" t="s">
        <v>104</v>
      </c>
      <c r="F59" s="61" t="s">
        <v>103</v>
      </c>
      <c r="G59" s="61" t="s">
        <v>127</v>
      </c>
      <c r="H59" s="61" t="s">
        <v>128</v>
      </c>
      <c r="I59" s="61" t="s">
        <v>129</v>
      </c>
      <c r="J59" s="61" t="s">
        <v>130</v>
      </c>
      <c r="K59" s="61" t="s">
        <v>131</v>
      </c>
      <c r="L59" s="61" t="s">
        <v>132</v>
      </c>
      <c r="M59" s="61" t="s">
        <v>133</v>
      </c>
      <c r="N59" s="61" t="s">
        <v>134</v>
      </c>
      <c r="P59" s="3"/>
      <c r="T59" s="7"/>
    </row>
    <row r="60" spans="4:21" ht="20.100000000000001" customHeight="1" x14ac:dyDescent="0.25">
      <c r="D60" s="1" t="s">
        <v>135</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106</v>
      </c>
      <c r="P60" s="3"/>
      <c r="T60" s="7"/>
      <c r="U60" s="55" t="str">
        <f>TEXT(X_Cell_Site_StartDate,"mmmm")</f>
        <v>January</v>
      </c>
    </row>
    <row r="61" spans="4:21" ht="20.100000000000001" customHeight="1" x14ac:dyDescent="0.25">
      <c r="D61" s="1" t="s">
        <v>136</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106</v>
      </c>
      <c r="P61" s="3"/>
      <c r="T61" s="7"/>
      <c r="U61" s="55" t="str">
        <f>TEXT(EDATE(X_Cell_Site_StartDate,1), "mmmm")</f>
        <v>February</v>
      </c>
    </row>
    <row r="62" spans="4:21" ht="20.100000000000001" customHeight="1" x14ac:dyDescent="0.25">
      <c r="D62" s="1" t="s">
        <v>137</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106</v>
      </c>
      <c r="P62" s="3"/>
      <c r="T62" s="7"/>
      <c r="U62" s="55" t="str">
        <f>TEXT(EDATE(X_Cell_Site_StartDate,2), "mmmm")</f>
        <v>March</v>
      </c>
    </row>
    <row r="63" spans="4:21" ht="20.100000000000001" customHeight="1" x14ac:dyDescent="0.25">
      <c r="D63" s="1" t="s">
        <v>138</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106</v>
      </c>
      <c r="P63" s="3"/>
      <c r="T63" s="7"/>
      <c r="U63" s="55" t="str">
        <f>TEXT(EDATE(X_Cell_Site_StartDate,3), "mmmm")</f>
        <v>April</v>
      </c>
    </row>
    <row r="64" spans="4:21" ht="20.100000000000001" customHeight="1" x14ac:dyDescent="0.25">
      <c r="O64" s="2"/>
      <c r="P64" s="3"/>
      <c r="T64" s="7"/>
      <c r="U64" s="55" t="str">
        <f>TEXT(EDATE(X_Cell_Site_StartDate,4), "mmmm")</f>
        <v>May</v>
      </c>
    </row>
    <row r="65" spans="4:21" ht="20.100000000000001" customHeight="1" x14ac:dyDescent="0.25">
      <c r="D65" s="61" t="s">
        <v>142</v>
      </c>
      <c r="E65" s="61" t="s">
        <v>104</v>
      </c>
      <c r="F65" s="61" t="s">
        <v>103</v>
      </c>
      <c r="G65" s="61" t="s">
        <v>127</v>
      </c>
      <c r="H65" s="61" t="s">
        <v>128</v>
      </c>
      <c r="I65" s="61" t="s">
        <v>129</v>
      </c>
      <c r="J65" s="61" t="s">
        <v>130</v>
      </c>
      <c r="K65" s="61" t="s">
        <v>131</v>
      </c>
      <c r="L65" s="61" t="s">
        <v>132</v>
      </c>
      <c r="M65" s="61" t="s">
        <v>133</v>
      </c>
      <c r="N65" s="61" t="s">
        <v>134</v>
      </c>
      <c r="O65" s="2"/>
      <c r="P65" s="3"/>
      <c r="T65" s="7"/>
      <c r="U65" s="55" t="str">
        <f>TEXT(EDATE(X_Cell_Site_StartDate,5), "mmmm")</f>
        <v>June</v>
      </c>
    </row>
    <row r="66" spans="4:21" ht="20.100000000000001" customHeight="1" x14ac:dyDescent="0.25">
      <c r="D66" s="1" t="str">
        <f>TEXT(X_Cell_Site_StartDate, "mmmm yyyy")</f>
        <v>January 2024</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106</v>
      </c>
      <c r="P66" s="3"/>
      <c r="T66" s="7"/>
      <c r="U66" s="55" t="str">
        <f>TEXT(EDATE(X_Cell_Site_StartDate,6), "mmmm")</f>
        <v>July</v>
      </c>
    </row>
    <row r="67" spans="4:21" ht="20.100000000000001" customHeight="1" x14ac:dyDescent="0.25">
      <c r="D67" s="1" t="str">
        <f>TEXT(EDATE(X_Cell_Site_StartDate,1), "mmmm yyyy")</f>
        <v>February 2024</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106</v>
      </c>
      <c r="P67" s="3"/>
      <c r="T67" s="7"/>
      <c r="U67" s="55" t="str">
        <f>TEXT(EDATE(X_Cell_Site_StartDate,7), "mmmm")</f>
        <v>August</v>
      </c>
    </row>
    <row r="68" spans="4:21" ht="20.100000000000001" customHeight="1" x14ac:dyDescent="0.25">
      <c r="D68" s="1" t="str">
        <f>TEXT(EDATE(X_Cell_Site_StartDate,2), "mmmm yyyy")</f>
        <v>March 2024</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106</v>
      </c>
      <c r="P68" s="3"/>
      <c r="T68" s="7"/>
      <c r="U68" s="55" t="str">
        <f>TEXT(EDATE(X_Cell_Site_StartDate,8), "mmmm")</f>
        <v>September</v>
      </c>
    </row>
    <row r="69" spans="4:21" ht="20.100000000000001" customHeight="1" x14ac:dyDescent="0.25">
      <c r="D69" s="1" t="str">
        <f>TEXT(EDATE(X_Cell_Site_StartDate,3), "mmmm yyyy")</f>
        <v>April 2024</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106</v>
      </c>
      <c r="P69" s="3"/>
      <c r="T69" s="7"/>
      <c r="U69" s="55" t="str">
        <f>TEXT(EDATE(X_Cell_Site_StartDate,9), "mmmm")</f>
        <v>October</v>
      </c>
    </row>
    <row r="70" spans="4:21" ht="20.100000000000001" customHeight="1" x14ac:dyDescent="0.25">
      <c r="D70" s="1" t="str">
        <f>TEXT(EDATE(X_Cell_Site_StartDate,4), "mmmm yyyy")</f>
        <v>May 2024</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106</v>
      </c>
      <c r="P70" s="3"/>
      <c r="T70" s="7"/>
      <c r="U70" s="55" t="str">
        <f>TEXT(EDATE(X_Cell_Site_StartDate,10), "mmmm")</f>
        <v>November</v>
      </c>
    </row>
    <row r="71" spans="4:21" ht="20.100000000000001" customHeight="1" x14ac:dyDescent="0.25">
      <c r="D71" s="1" t="str">
        <f>TEXT(EDATE(X_Cell_Site_StartDate,5), "mmmm yyyy")</f>
        <v>June 2024</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106</v>
      </c>
      <c r="P71" s="3"/>
      <c r="T71" s="7"/>
      <c r="U71" s="55" t="str">
        <f>TEXT(EDATE(X_Cell_Site_StartDate,11), "mmmm")</f>
        <v>December</v>
      </c>
    </row>
    <row r="72" spans="4:21" ht="20.100000000000001" customHeight="1" x14ac:dyDescent="0.25">
      <c r="D72" s="1" t="str">
        <f>TEXT(EDATE(X_Cell_Site_StartDate,6), "mmmm yyyy")</f>
        <v>July 2024</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106</v>
      </c>
      <c r="T72" s="7"/>
    </row>
    <row r="73" spans="4:21" ht="20.100000000000001" customHeight="1" x14ac:dyDescent="0.25">
      <c r="D73" s="1" t="str">
        <f>TEXT(EDATE(X_Cell_Site_StartDate,7), "mmmm yyyy")</f>
        <v>August 2024</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106</v>
      </c>
      <c r="T73" s="7"/>
    </row>
    <row r="74" spans="4:21" ht="20.100000000000001" customHeight="1" x14ac:dyDescent="0.25">
      <c r="D74" s="1" t="str">
        <f>TEXT(EDATE(X_Cell_Site_StartDate,8), "mmmm yyyy")</f>
        <v>September 2024</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106</v>
      </c>
      <c r="T74" s="7"/>
    </row>
    <row r="75" spans="4:21" ht="20.100000000000001" customHeight="1" x14ac:dyDescent="0.25">
      <c r="D75" s="1" t="str">
        <f>TEXT(EDATE(X_Cell_Site_StartDate,9), "mmmm yyyy")</f>
        <v>October 2024</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106</v>
      </c>
      <c r="T75" s="7"/>
    </row>
    <row r="76" spans="4:21" ht="20.100000000000001" customHeight="1" x14ac:dyDescent="0.25">
      <c r="D76" s="1" t="str">
        <f>TEXT(EDATE(X_Cell_Site_StartDate,10), "mmmm yyyy")</f>
        <v>November 2024</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106</v>
      </c>
      <c r="T76" s="7"/>
      <c r="U76" s="55" t="str">
        <f>TEXT(X_Cell_Site_StartDate, "mmmm yyyy")</f>
        <v>January 2024</v>
      </c>
    </row>
    <row r="77" spans="4:21" ht="20.100000000000001" customHeight="1" x14ac:dyDescent="0.25">
      <c r="D77" s="1" t="str">
        <f>TEXT(EDATE(X_Cell_Site_StartDate,11), "mmmm yyyy")</f>
        <v>December 2024</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106</v>
      </c>
      <c r="T77" s="7"/>
      <c r="U77" s="55" t="str">
        <f>TEXT(EDATE(X_Cell_Site_StartDate,1), "mmmm yyyy")</f>
        <v>February 2024</v>
      </c>
    </row>
    <row r="78" spans="4:21" ht="20.100000000000001" customHeight="1" x14ac:dyDescent="0.25">
      <c r="T78" s="7"/>
      <c r="U78" s="55" t="str">
        <f>TEXT(EDATE(X_Cell_Site_StartDate,2), "mmmm yyyy")</f>
        <v>March 2024</v>
      </c>
    </row>
    <row r="79" spans="4:21" ht="20.100000000000001" customHeight="1" x14ac:dyDescent="0.25">
      <c r="T79" s="7"/>
      <c r="U79" s="55" t="str">
        <f>TEXT(EDATE(X_Cell_Site_StartDate,3), "mmmm yyyy")</f>
        <v>April 2024</v>
      </c>
    </row>
    <row r="80" spans="4:21" ht="20.100000000000001" customHeight="1" x14ac:dyDescent="0.25">
      <c r="D80" s="47" t="s">
        <v>139</v>
      </c>
      <c r="T80" s="7"/>
      <c r="U80" s="55" t="str">
        <f>TEXT(EDATE(X_Cell_Site_StartDate,4), "mmmm yyyy")</f>
        <v>May 2024</v>
      </c>
    </row>
    <row r="81" spans="4:21" ht="20.100000000000001" customHeight="1" x14ac:dyDescent="0.25">
      <c r="D81" s="61" t="s">
        <v>141</v>
      </c>
      <c r="E81" s="61" t="s">
        <v>104</v>
      </c>
      <c r="F81" s="61" t="s">
        <v>103</v>
      </c>
      <c r="G81" s="61" t="s">
        <v>127</v>
      </c>
      <c r="H81" s="61" t="s">
        <v>128</v>
      </c>
      <c r="I81" s="61" t="s">
        <v>129</v>
      </c>
      <c r="J81" s="61" t="s">
        <v>130</v>
      </c>
      <c r="K81" s="61" t="s">
        <v>131</v>
      </c>
      <c r="L81" s="61" t="s">
        <v>132</v>
      </c>
      <c r="M81" s="61" t="s">
        <v>133</v>
      </c>
      <c r="N81" s="61" t="s">
        <v>134</v>
      </c>
      <c r="T81" s="7"/>
      <c r="U81" s="55" t="str">
        <f>TEXT(EDATE(X_Cell_Site_StartDate,5), "mmmm yyyy")</f>
        <v>June 2024</v>
      </c>
    </row>
    <row r="82" spans="4:21" ht="20.100000000000001" customHeight="1" x14ac:dyDescent="0.25">
      <c r="D82" s="1" t="s">
        <v>135</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107</v>
      </c>
      <c r="T82" s="7"/>
      <c r="U82" s="55" t="str">
        <f>TEXT(EDATE(X_Cell_Site_StartDate,6), "mmmm yyyy")</f>
        <v>July 2024</v>
      </c>
    </row>
    <row r="83" spans="4:21" ht="20.100000000000001" customHeight="1" x14ac:dyDescent="0.25">
      <c r="D83" s="1" t="s">
        <v>136</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107</v>
      </c>
      <c r="T83" s="7"/>
      <c r="U83" s="55" t="str">
        <f>TEXT(EDATE(X_Cell_Site_StartDate,7), "mmmm yyyy")</f>
        <v>August 2024</v>
      </c>
    </row>
    <row r="84" spans="4:21" ht="20.100000000000001" customHeight="1" x14ac:dyDescent="0.25">
      <c r="D84" s="1" t="s">
        <v>137</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107</v>
      </c>
      <c r="T84" s="7"/>
      <c r="U84" s="55" t="str">
        <f>TEXT(EDATE(X_Cell_Site_StartDate,8), "mmmm yyyy")</f>
        <v>September 2024</v>
      </c>
    </row>
    <row r="85" spans="4:21" ht="20.100000000000001" customHeight="1" x14ac:dyDescent="0.25">
      <c r="D85" s="1" t="s">
        <v>138</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107</v>
      </c>
      <c r="T85" s="7"/>
      <c r="U85" s="55" t="str">
        <f>TEXT(EDATE(X_Cell_Site_StartDate,9), "mmmm yyyy")</f>
        <v>October 2024</v>
      </c>
    </row>
    <row r="86" spans="4:21" ht="20.100000000000001" customHeight="1" x14ac:dyDescent="0.25">
      <c r="O86" s="2"/>
      <c r="T86" s="7"/>
      <c r="U86" s="55" t="str">
        <f>TEXT(EDATE(X_Cell_Site_StartDate,10), "mmmm yyyy")</f>
        <v>November 2024</v>
      </c>
    </row>
    <row r="87" spans="4:21" ht="20.100000000000001" customHeight="1" x14ac:dyDescent="0.25">
      <c r="D87" s="61" t="s">
        <v>142</v>
      </c>
      <c r="E87" s="61" t="s">
        <v>104</v>
      </c>
      <c r="F87" s="61" t="s">
        <v>103</v>
      </c>
      <c r="G87" s="61" t="s">
        <v>127</v>
      </c>
      <c r="H87" s="61" t="s">
        <v>128</v>
      </c>
      <c r="I87" s="61" t="s">
        <v>129</v>
      </c>
      <c r="J87" s="61" t="s">
        <v>130</v>
      </c>
      <c r="K87" s="61" t="s">
        <v>131</v>
      </c>
      <c r="L87" s="61" t="s">
        <v>132</v>
      </c>
      <c r="M87" s="61" t="s">
        <v>133</v>
      </c>
      <c r="N87" s="61" t="s">
        <v>134</v>
      </c>
      <c r="O87" s="2"/>
      <c r="T87" s="7"/>
      <c r="U87" s="55" t="str">
        <f>TEXT(EDATE(X_Cell_Site_StartDate,11), "mmmm yyyy")</f>
        <v>December 2024</v>
      </c>
    </row>
    <row r="88" spans="4:21" ht="20.100000000000001" customHeight="1" x14ac:dyDescent="0.25">
      <c r="D88" s="1" t="str">
        <f>TEXT(X_Cell_Site_StartDate, "mmmm yyyy")</f>
        <v>January 2024</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107</v>
      </c>
      <c r="T88" s="7"/>
    </row>
    <row r="89" spans="4:21" ht="20.100000000000001" customHeight="1" x14ac:dyDescent="0.25">
      <c r="D89" s="1" t="str">
        <f>TEXT(EDATE(X_Cell_Site_StartDate,1), "mmmm yyyy")</f>
        <v>February 2024</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107</v>
      </c>
      <c r="T89" s="7"/>
    </row>
    <row r="90" spans="4:21" ht="20.100000000000001" customHeight="1" x14ac:dyDescent="0.25">
      <c r="D90" s="1" t="str">
        <f>TEXT(EDATE(X_Cell_Site_StartDate,2), "mmmm yyyy")</f>
        <v>March 2024</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107</v>
      </c>
      <c r="T90" s="7"/>
    </row>
    <row r="91" spans="4:21" ht="20.100000000000001" customHeight="1" x14ac:dyDescent="0.25">
      <c r="D91" s="1" t="str">
        <f>TEXT(EDATE(X_Cell_Site_StartDate,3), "mmmm yyyy")</f>
        <v>April 2024</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107</v>
      </c>
      <c r="T91" s="7"/>
    </row>
    <row r="92" spans="4:21" ht="20.100000000000001" customHeight="1" x14ac:dyDescent="0.25">
      <c r="D92" s="1" t="str">
        <f>TEXT(EDATE(X_Cell_Site_StartDate,4), "mmmm yyyy")</f>
        <v>May 2024</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107</v>
      </c>
      <c r="T92" s="7"/>
    </row>
    <row r="93" spans="4:21" ht="20.100000000000001" customHeight="1" x14ac:dyDescent="0.25">
      <c r="D93" s="1" t="str">
        <f>TEXT(EDATE(X_Cell_Site_StartDate,5), "mmmm yyyy")</f>
        <v>June 2024</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107</v>
      </c>
      <c r="T93" s="7"/>
    </row>
    <row r="94" spans="4:21" ht="20.100000000000001" customHeight="1" x14ac:dyDescent="0.25">
      <c r="D94" s="1" t="str">
        <f>TEXT(EDATE(X_Cell_Site_StartDate,6), "mmmm yyyy")</f>
        <v>July 2024</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107</v>
      </c>
      <c r="T94" s="7"/>
    </row>
    <row r="95" spans="4:21" ht="20.100000000000001" customHeight="1" x14ac:dyDescent="0.25">
      <c r="D95" s="1" t="str">
        <f>TEXT(EDATE(X_Cell_Site_StartDate,7), "mmmm yyyy")</f>
        <v>August 2024</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107</v>
      </c>
      <c r="T95" s="7"/>
    </row>
    <row r="96" spans="4:21" ht="20.100000000000001" customHeight="1" x14ac:dyDescent="0.25">
      <c r="D96" s="1" t="str">
        <f>TEXT(EDATE(X_Cell_Site_StartDate,8), "mmmm yyyy")</f>
        <v>September 2024</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107</v>
      </c>
      <c r="T96" s="7"/>
    </row>
    <row r="97" spans="4:21" ht="20.100000000000001" customHeight="1" x14ac:dyDescent="0.25">
      <c r="D97" s="1" t="str">
        <f>TEXT(EDATE(X_Cell_Site_StartDate,9), "mmmm yyyy")</f>
        <v>October 2024</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107</v>
      </c>
      <c r="T97" s="7"/>
      <c r="U97" s="55" t="str">
        <f>TEXT(X_Cell_Site_StartDate, "mmmm yyyy")</f>
        <v>January 2024</v>
      </c>
    </row>
    <row r="98" spans="4:21" ht="20.100000000000001" customHeight="1" x14ac:dyDescent="0.25">
      <c r="D98" s="1" t="str">
        <f>TEXT(EDATE(X_Cell_Site_StartDate,10), "mmmm yyyy")</f>
        <v>November 2024</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107</v>
      </c>
      <c r="T98" s="7"/>
      <c r="U98" s="55" t="str">
        <f>TEXT(EDATE(X_Cell_Site_StartDate,1), "mmmm yyyy")</f>
        <v>February 2024</v>
      </c>
    </row>
    <row r="99" spans="4:21" ht="20.100000000000001" customHeight="1" x14ac:dyDescent="0.25">
      <c r="D99" s="1" t="str">
        <f>TEXT(EDATE(X_Cell_Site_StartDate,11), "mmmm yyyy")</f>
        <v>December 2024</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107</v>
      </c>
      <c r="T99" s="7"/>
      <c r="U99" s="55" t="str">
        <f>TEXT(EDATE(X_Cell_Site_StartDate,2), "mmmm yyyy")</f>
        <v>March 2024</v>
      </c>
    </row>
    <row r="100" spans="4:21" ht="20.100000000000001" customHeight="1" x14ac:dyDescent="0.25">
      <c r="T100" s="7"/>
      <c r="U100" s="55" t="str">
        <f>TEXT(EDATE(X_Cell_Site_StartDate,3), "mmmm yyyy")</f>
        <v>April 2024</v>
      </c>
    </row>
    <row r="101" spans="4:21" ht="20.100000000000001" customHeight="1" x14ac:dyDescent="0.25">
      <c r="T101" s="7"/>
      <c r="U101" s="55" t="str">
        <f>TEXT(EDATE(X_Cell_Site_StartDate,4), "mmmm yyyy")</f>
        <v>May 2024</v>
      </c>
    </row>
    <row r="102" spans="4:21" ht="20.100000000000001" customHeight="1" x14ac:dyDescent="0.25">
      <c r="D102" s="47" t="s">
        <v>191</v>
      </c>
      <c r="K102" s="2"/>
      <c r="L102" s="2"/>
      <c r="M102" s="2"/>
      <c r="N102" s="2"/>
      <c r="O102" s="2"/>
      <c r="T102" s="7"/>
      <c r="U102" s="55" t="str">
        <f>TEXT(EDATE(X_Cell_Site_StartDate,5), "mmmm yyyy")</f>
        <v>June 2024</v>
      </c>
    </row>
    <row r="103" spans="4:21" ht="20.100000000000001" customHeight="1" x14ac:dyDescent="0.25">
      <c r="D103" s="61" t="s">
        <v>108</v>
      </c>
      <c r="E103" s="61"/>
      <c r="F103" s="61"/>
      <c r="G103" s="61"/>
      <c r="T103" s="7"/>
      <c r="U103" s="55" t="str">
        <f>TEXT(EDATE(X_Cell_Site_StartDate,6), "mmmm yyyy")</f>
        <v>July 2024</v>
      </c>
    </row>
    <row r="104" spans="4:21" ht="20.100000000000001" customHeight="1" x14ac:dyDescent="0.25">
      <c r="D104" s="1" t="s">
        <v>208</v>
      </c>
      <c r="E104" s="38" t="s">
        <v>138</v>
      </c>
      <c r="F104" s="2" t="s">
        <v>8</v>
      </c>
      <c r="T104" s="7"/>
      <c r="U104" s="55" t="str">
        <f>TEXT(EDATE(X_Cell_Site_StartDate,7), "mmmm yyyy")</f>
        <v>August 2024</v>
      </c>
    </row>
    <row r="105" spans="4:21" ht="20.100000000000001" customHeight="1" x14ac:dyDescent="0.25">
      <c r="T105" s="7"/>
      <c r="U105" s="55" t="str">
        <f>TEXT(EDATE(X_Cell_Site_StartDate,8), "mmmm yyyy")</f>
        <v>September 2024</v>
      </c>
    </row>
    <row r="106" spans="4:21" ht="20.100000000000001" customHeight="1" x14ac:dyDescent="0.25">
      <c r="E106" s="61" t="s">
        <v>128</v>
      </c>
      <c r="F106" s="61" t="s">
        <v>129</v>
      </c>
      <c r="G106" s="61" t="s">
        <v>130</v>
      </c>
      <c r="L106" s="2"/>
      <c r="M106" s="2"/>
      <c r="N106" s="2"/>
      <c r="O106" s="2"/>
      <c r="T106" s="7"/>
      <c r="U106" s="55" t="str">
        <f>TEXT(EDATE(X_Cell_Site_StartDate,9), "mmmm yyyy")</f>
        <v>October 2024</v>
      </c>
    </row>
    <row r="107" spans="4:21" ht="20.100000000000001" customHeight="1" x14ac:dyDescent="0.25">
      <c r="D107" s="1" t="str">
        <f>"Proportion of cows &gt; 1 years in calf in " &amp; E104</f>
        <v>Proportion of cows &gt; 1 years in calf in Winter</v>
      </c>
      <c r="E107" s="45">
        <v>0.9</v>
      </c>
      <c r="F107" s="45">
        <v>0.5</v>
      </c>
      <c r="G107" s="45">
        <v>0.5</v>
      </c>
      <c r="H107" s="2" t="s">
        <v>14</v>
      </c>
      <c r="L107" s="2"/>
      <c r="M107" s="2"/>
      <c r="N107" s="2"/>
      <c r="O107" s="2"/>
      <c r="U107" s="55" t="str">
        <f>TEXT(EDATE(X_Cell_Site_StartDate,10), "mmmm yyyy")</f>
        <v>November 2024</v>
      </c>
    </row>
    <row r="108" spans="4:21" ht="20.100000000000001" customHeight="1" x14ac:dyDescent="0.25">
      <c r="U108" s="55" t="str">
        <f>TEXT(EDATE(X_Cell_Site_StartDate,11), "mmmm yyyy")</f>
        <v>December 2024</v>
      </c>
    </row>
    <row r="109" spans="4:21" ht="20.100000000000001" customHeight="1" x14ac:dyDescent="0.25"/>
    <row r="110" spans="4:21" ht="20.100000000000001" customHeight="1" x14ac:dyDescent="0.25">
      <c r="D110" s="61" t="s">
        <v>109</v>
      </c>
      <c r="E110" s="61"/>
      <c r="F110" s="61"/>
      <c r="G110" s="61"/>
    </row>
    <row r="111" spans="4:21" ht="20.100000000000001" customHeight="1" x14ac:dyDescent="0.25">
      <c r="D111" s="1" t="s">
        <v>255</v>
      </c>
      <c r="E111" s="38" t="s">
        <v>253</v>
      </c>
      <c r="F111" s="2" t="s">
        <v>8</v>
      </c>
    </row>
    <row r="112" spans="4:21" ht="20.100000000000001" customHeight="1" x14ac:dyDescent="0.25">
      <c r="D112" s="1" t="s">
        <v>251</v>
      </c>
      <c r="E112" s="51" t="str">
        <f>TEXT(EDATE(E111,1), "mmmm yyyy")</f>
        <v>September 2024</v>
      </c>
    </row>
    <row r="113" spans="4:21" ht="20.100000000000001" customHeight="1" x14ac:dyDescent="0.25">
      <c r="D113" s="1" t="s">
        <v>252</v>
      </c>
      <c r="E113" s="51" t="str">
        <f>TEXT(EDATE(E111,2), "mmmm yyyy")</f>
        <v>October 2024</v>
      </c>
    </row>
    <row r="114" spans="4:21" ht="20.100000000000001" customHeight="1" x14ac:dyDescent="0.25"/>
    <row r="115" spans="4:21" ht="20.100000000000001" customHeight="1" x14ac:dyDescent="0.25"/>
    <row r="116" spans="4:21" ht="20.100000000000001" customHeight="1" x14ac:dyDescent="0.25">
      <c r="E116" s="61" t="s">
        <v>128</v>
      </c>
      <c r="F116" s="61" t="s">
        <v>129</v>
      </c>
      <c r="G116" s="61" t="s">
        <v>130</v>
      </c>
      <c r="L116" s="2"/>
      <c r="M116" s="2"/>
      <c r="N116" s="2"/>
      <c r="O116" s="2"/>
    </row>
    <row r="117" spans="4:21" ht="20.100000000000001" customHeight="1" x14ac:dyDescent="0.25">
      <c r="D117" s="1" t="str">
        <f>E111</f>
        <v>August 2024</v>
      </c>
      <c r="E117" s="45">
        <v>0.25</v>
      </c>
      <c r="F117" s="45">
        <v>0.25</v>
      </c>
      <c r="G117" s="45">
        <v>0.25</v>
      </c>
      <c r="H117" s="2" t="s">
        <v>14</v>
      </c>
      <c r="L117" s="2"/>
      <c r="M117" s="2"/>
      <c r="N117" s="2"/>
      <c r="O117" s="2"/>
      <c r="U117" s="55" t="str">
        <f>TEXT(X_Cell_Site_StartDate, "mmmm yyyy")</f>
        <v>January 2024</v>
      </c>
    </row>
    <row r="118" spans="4:21" ht="20.100000000000001" customHeight="1" x14ac:dyDescent="0.25">
      <c r="D118" s="1" t="str">
        <f>E112</f>
        <v>September 2024</v>
      </c>
      <c r="E118" s="45">
        <v>0.25</v>
      </c>
      <c r="F118" s="45">
        <v>0.25</v>
      </c>
      <c r="G118" s="45">
        <v>0.25</v>
      </c>
      <c r="H118" s="2" t="s">
        <v>14</v>
      </c>
      <c r="U118" s="55" t="str">
        <f>TEXT(EDATE(X_Cell_Site_StartDate,1), "mmmm yyyy")</f>
        <v>February 2024</v>
      </c>
    </row>
    <row r="119" spans="4:21" ht="20.100000000000001" customHeight="1" x14ac:dyDescent="0.25">
      <c r="D119" s="1" t="str">
        <f>E113</f>
        <v>October 2024</v>
      </c>
      <c r="E119" s="45">
        <v>0.25</v>
      </c>
      <c r="F119" s="45">
        <v>0.25</v>
      </c>
      <c r="G119" s="45">
        <v>0.25</v>
      </c>
      <c r="H119" s="2" t="s">
        <v>14</v>
      </c>
      <c r="U119" s="55" t="str">
        <f>TEXT(EDATE(X_Cell_Site_StartDate,2), "mmmm yyyy")</f>
        <v>March 2024</v>
      </c>
    </row>
    <row r="120" spans="4:21"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14</v>
      </c>
      <c r="U120" s="55" t="str">
        <f>TEXT(EDATE(X_Cell_Site_StartDate,3), "mmmm yyyy")</f>
        <v>April 2024</v>
      </c>
    </row>
    <row r="121" spans="4:21" ht="20.100000000000001" customHeight="1" x14ac:dyDescent="0.25">
      <c r="U121" s="55" t="str">
        <f>TEXT(EDATE(X_Cell_Site_StartDate,4), "mmmm yyyy")</f>
        <v>May 2024</v>
      </c>
    </row>
    <row r="122" spans="4:21" ht="20.100000000000001" customHeight="1" x14ac:dyDescent="0.25">
      <c r="K122" s="2"/>
      <c r="L122" s="2"/>
      <c r="M122" s="2"/>
      <c r="N122" s="2"/>
      <c r="O122" s="2"/>
      <c r="U122" s="55" t="str">
        <f>TEXT(EDATE(X_Cell_Site_StartDate,5), "mmmm yyyy")</f>
        <v>June 2024</v>
      </c>
    </row>
    <row r="123" spans="4:21" ht="20.100000000000001" customHeight="1" x14ac:dyDescent="0.25">
      <c r="D123" s="47" t="s">
        <v>13</v>
      </c>
      <c r="K123" s="2"/>
      <c r="L123" s="2"/>
      <c r="M123" s="2"/>
      <c r="N123" s="2"/>
      <c r="O123" s="2"/>
      <c r="U123" s="55" t="str">
        <f>TEXT(EDATE(X_Cell_Site_StartDate,6), "mmmm yyyy")</f>
        <v>July 2024</v>
      </c>
    </row>
    <row r="124" spans="4:21" ht="20.100000000000001" customHeight="1" x14ac:dyDescent="0.25">
      <c r="D124" s="61" t="s">
        <v>141</v>
      </c>
      <c r="E124" s="61" t="s">
        <v>104</v>
      </c>
      <c r="F124" s="61" t="s">
        <v>103</v>
      </c>
      <c r="G124" s="61" t="s">
        <v>127</v>
      </c>
      <c r="H124" s="61" t="s">
        <v>128</v>
      </c>
      <c r="I124" s="61" t="s">
        <v>129</v>
      </c>
      <c r="J124" s="61" t="s">
        <v>130</v>
      </c>
      <c r="K124" s="61" t="s">
        <v>131</v>
      </c>
      <c r="L124" s="61" t="s">
        <v>132</v>
      </c>
      <c r="M124" s="61" t="s">
        <v>133</v>
      </c>
      <c r="N124" s="61" t="s">
        <v>134</v>
      </c>
      <c r="U124" s="55" t="str">
        <f>TEXT(EDATE(X_Cell_Site_StartDate,7), "mmmm yyyy")</f>
        <v>August 2024</v>
      </c>
    </row>
    <row r="125" spans="4:21" ht="20.100000000000001" customHeight="1" x14ac:dyDescent="0.25">
      <c r="D125" s="1" t="s">
        <v>135</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113</v>
      </c>
      <c r="U125" s="55" t="str">
        <f>TEXT(EDATE(X_Cell_Site_StartDate,8), "mmmm yyyy")</f>
        <v>September 2024</v>
      </c>
    </row>
    <row r="126" spans="4:21" ht="20.100000000000001" customHeight="1" x14ac:dyDescent="0.25">
      <c r="D126" s="1" t="s">
        <v>136</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113</v>
      </c>
      <c r="U126" s="55" t="str">
        <f>TEXT(EDATE(X_Cell_Site_StartDate,9), "mmmm yyyy")</f>
        <v>October 2024</v>
      </c>
    </row>
    <row r="127" spans="4:21" ht="20.100000000000001" customHeight="1" x14ac:dyDescent="0.25">
      <c r="D127" s="1" t="s">
        <v>137</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113</v>
      </c>
      <c r="U127" s="55" t="str">
        <f>TEXT(EDATE(X_Cell_Site_StartDate,10), "mmmm yyyy")</f>
        <v>November 2024</v>
      </c>
    </row>
    <row r="128" spans="4:21" ht="20.100000000000001" customHeight="1" x14ac:dyDescent="0.25">
      <c r="D128" s="1" t="s">
        <v>138</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113</v>
      </c>
      <c r="U128" s="55" t="str">
        <f>TEXT(EDATE(X_Cell_Site_StartDate,11), "mmmm yyyy")</f>
        <v>December 2024</v>
      </c>
    </row>
    <row r="129" spans="4:21" ht="20.100000000000001" customHeight="1" x14ac:dyDescent="0.25"/>
    <row r="130" spans="4:21" ht="20.100000000000001" customHeight="1" x14ac:dyDescent="0.25">
      <c r="D130" s="61" t="s">
        <v>142</v>
      </c>
      <c r="E130" s="61" t="s">
        <v>104</v>
      </c>
      <c r="F130" s="61" t="s">
        <v>103</v>
      </c>
      <c r="G130" s="61" t="s">
        <v>127</v>
      </c>
      <c r="H130" s="61" t="s">
        <v>128</v>
      </c>
      <c r="I130" s="61" t="s">
        <v>129</v>
      </c>
      <c r="J130" s="61" t="s">
        <v>130</v>
      </c>
      <c r="K130" s="61" t="s">
        <v>131</v>
      </c>
      <c r="L130" s="61" t="s">
        <v>132</v>
      </c>
      <c r="M130" s="61" t="s">
        <v>133</v>
      </c>
      <c r="N130" s="61" t="s">
        <v>134</v>
      </c>
    </row>
    <row r="131" spans="4:21" ht="20.100000000000001" customHeight="1" x14ac:dyDescent="0.25">
      <c r="D131" s="1" t="str">
        <f>TEXT(X_Cell_Site_StartDate, "mmmm yyyy")</f>
        <v>January 2024</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113</v>
      </c>
    </row>
    <row r="132" spans="4:21" ht="20.100000000000001" customHeight="1" x14ac:dyDescent="0.25">
      <c r="D132" s="1" t="str">
        <f>TEXT(EDATE(X_Cell_Site_StartDate,1), "mmmm yyyy")</f>
        <v>February 2024</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113</v>
      </c>
    </row>
    <row r="133" spans="4:21" ht="20.100000000000001" customHeight="1" x14ac:dyDescent="0.25">
      <c r="D133" s="1" t="str">
        <f>TEXT(EDATE(X_Cell_Site_StartDate,2), "mmmm yyyy")</f>
        <v>March 2024</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113</v>
      </c>
      <c r="U133" s="55" t="str">
        <f>TEXT(X_Cell_Site_StartDate, "mmmm yyyy")</f>
        <v>January 2024</v>
      </c>
    </row>
    <row r="134" spans="4:21" ht="20.100000000000001" customHeight="1" x14ac:dyDescent="0.25">
      <c r="D134" s="1" t="str">
        <f>TEXT(EDATE(X_Cell_Site_StartDate,3), "mmmm yyyy")</f>
        <v>April 2024</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113</v>
      </c>
      <c r="U134" s="55" t="str">
        <f>TEXT(EDATE(X_Cell_Site_StartDate,1), "mmmm yyyy")</f>
        <v>February 2024</v>
      </c>
    </row>
    <row r="135" spans="4:21" ht="20.100000000000001" customHeight="1" x14ac:dyDescent="0.25">
      <c r="D135" s="1" t="str">
        <f>TEXT(EDATE(X_Cell_Site_StartDate,4), "mmmm yyyy")</f>
        <v>May 2024</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113</v>
      </c>
      <c r="U135" s="55" t="str">
        <f>TEXT(EDATE(X_Cell_Site_StartDate,2), "mmmm yyyy")</f>
        <v>March 2024</v>
      </c>
    </row>
    <row r="136" spans="4:21" ht="20.100000000000001" customHeight="1" x14ac:dyDescent="0.25">
      <c r="D136" s="1" t="str">
        <f>TEXT(EDATE(X_Cell_Site_StartDate,5), "mmmm yyyy")</f>
        <v>June 2024</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113</v>
      </c>
      <c r="U136" s="55" t="str">
        <f>TEXT(EDATE(X_Cell_Site_StartDate,3), "mmmm yyyy")</f>
        <v>April 2024</v>
      </c>
    </row>
    <row r="137" spans="4:21" ht="20.100000000000001" customHeight="1" x14ac:dyDescent="0.25">
      <c r="D137" s="1" t="str">
        <f>TEXT(EDATE(X_Cell_Site_StartDate,6), "mmmm yyyy")</f>
        <v>July 2024</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113</v>
      </c>
      <c r="U137" s="55" t="str">
        <f>TEXT(EDATE(X_Cell_Site_StartDate,4), "mmmm yyyy")</f>
        <v>May 2024</v>
      </c>
    </row>
    <row r="138" spans="4:21" ht="20.100000000000001" customHeight="1" x14ac:dyDescent="0.25">
      <c r="D138" s="1" t="str">
        <f>TEXT(EDATE(X_Cell_Site_StartDate,7), "mmmm yyyy")</f>
        <v>August 2024</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113</v>
      </c>
      <c r="U138" s="55" t="str">
        <f>TEXT(EDATE(X_Cell_Site_StartDate,5), "mmmm yyyy")</f>
        <v>June 2024</v>
      </c>
    </row>
    <row r="139" spans="4:21" ht="20.100000000000001" customHeight="1" x14ac:dyDescent="0.25">
      <c r="D139" s="1" t="str">
        <f>TEXT(EDATE(X_Cell_Site_StartDate,8), "mmmm yyyy")</f>
        <v>September 2024</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113</v>
      </c>
      <c r="U139" s="55" t="str">
        <f>TEXT(EDATE(X_Cell_Site_StartDate,6), "mmmm yyyy")</f>
        <v>July 2024</v>
      </c>
    </row>
    <row r="140" spans="4:21" ht="20.100000000000001" customHeight="1" x14ac:dyDescent="0.25">
      <c r="D140" s="1" t="str">
        <f>TEXT(EDATE(X_Cell_Site_StartDate,9), "mmmm yyyy")</f>
        <v>October 2024</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113</v>
      </c>
      <c r="U140" s="55" t="str">
        <f>TEXT(EDATE(X_Cell_Site_StartDate,7), "mmmm yyyy")</f>
        <v>August 2024</v>
      </c>
    </row>
    <row r="141" spans="4:21" ht="20.100000000000001" customHeight="1" x14ac:dyDescent="0.25">
      <c r="D141" s="1" t="str">
        <f>TEXT(EDATE(X_Cell_Site_StartDate,10), "mmmm yyyy")</f>
        <v>November 2024</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113</v>
      </c>
      <c r="U141" s="55" t="str">
        <f>TEXT(EDATE(X_Cell_Site_StartDate,8), "mmmm yyyy")</f>
        <v>September 2024</v>
      </c>
    </row>
    <row r="142" spans="4:21" ht="20.100000000000001" customHeight="1" x14ac:dyDescent="0.25">
      <c r="D142" s="1" t="str">
        <f>TEXT(EDATE(X_Cell_Site_StartDate,11), "mmmm yyyy")</f>
        <v>December 2024</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113</v>
      </c>
      <c r="U142" s="55" t="str">
        <f>TEXT(EDATE(X_Cell_Site_StartDate,9), "mmmm yyyy")</f>
        <v>October 2024</v>
      </c>
    </row>
    <row r="143" spans="4:21" ht="20.100000000000001" customHeight="1" x14ac:dyDescent="0.25">
      <c r="U143" s="55" t="str">
        <f>TEXT(EDATE(X_Cell_Site_StartDate,10), "mmmm yyyy")</f>
        <v>November 2024</v>
      </c>
    </row>
    <row r="144" spans="4:21" ht="20.100000000000001" customHeight="1" x14ac:dyDescent="0.25">
      <c r="U144" s="55" t="str">
        <f>TEXT(EDATE(X_Cell_Site_StartDate,11), "mmmm yyyy")</f>
        <v>December 2024</v>
      </c>
    </row>
    <row r="145" spans="4:15" ht="20.100000000000001" customHeight="1" x14ac:dyDescent="0.25">
      <c r="D145" s="47" t="s">
        <v>84</v>
      </c>
      <c r="K145" s="2"/>
      <c r="L145" s="2"/>
      <c r="M145" s="2"/>
      <c r="N145" s="2"/>
      <c r="O145" s="2"/>
    </row>
    <row r="146" spans="4:15" ht="20.100000000000001" customHeight="1" x14ac:dyDescent="0.25">
      <c r="D146" s="61" t="s">
        <v>141</v>
      </c>
      <c r="E146" s="61" t="s">
        <v>104</v>
      </c>
      <c r="F146" s="61" t="s">
        <v>103</v>
      </c>
      <c r="G146" s="61" t="s">
        <v>127</v>
      </c>
      <c r="H146" s="61" t="s">
        <v>128</v>
      </c>
      <c r="I146" s="61" t="s">
        <v>129</v>
      </c>
      <c r="J146" s="61" t="s">
        <v>130</v>
      </c>
      <c r="K146" s="61" t="s">
        <v>131</v>
      </c>
      <c r="L146" s="61" t="s">
        <v>132</v>
      </c>
      <c r="M146" s="61" t="s">
        <v>133</v>
      </c>
      <c r="N146" s="61" t="s">
        <v>134</v>
      </c>
    </row>
    <row r="147" spans="4:15" ht="20.100000000000001" customHeight="1" x14ac:dyDescent="0.25">
      <c r="D147" s="1" t="s">
        <v>135</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113</v>
      </c>
    </row>
    <row r="148" spans="4:15" ht="20.100000000000001" customHeight="1" x14ac:dyDescent="0.25">
      <c r="D148" s="1" t="s">
        <v>136</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113</v>
      </c>
    </row>
    <row r="149" spans="4:15" ht="20.100000000000001" customHeight="1" x14ac:dyDescent="0.25">
      <c r="D149" s="1" t="s">
        <v>137</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113</v>
      </c>
    </row>
    <row r="150" spans="4:15" ht="20.100000000000001" customHeight="1" x14ac:dyDescent="0.25">
      <c r="D150" s="1" t="s">
        <v>138</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113</v>
      </c>
    </row>
    <row r="151" spans="4:15" ht="20.100000000000001" customHeight="1" x14ac:dyDescent="0.25"/>
    <row r="152" spans="4:15" ht="20.100000000000001" customHeight="1" x14ac:dyDescent="0.25">
      <c r="D152" s="61" t="s">
        <v>142</v>
      </c>
      <c r="E152" s="61" t="s">
        <v>104</v>
      </c>
      <c r="F152" s="61" t="s">
        <v>103</v>
      </c>
      <c r="G152" s="61" t="s">
        <v>127</v>
      </c>
      <c r="H152" s="61" t="s">
        <v>128</v>
      </c>
      <c r="I152" s="61" t="s">
        <v>129</v>
      </c>
      <c r="J152" s="61" t="s">
        <v>130</v>
      </c>
      <c r="K152" s="61" t="s">
        <v>131</v>
      </c>
      <c r="L152" s="61" t="s">
        <v>132</v>
      </c>
      <c r="M152" s="61" t="s">
        <v>133</v>
      </c>
      <c r="N152" s="61" t="s">
        <v>134</v>
      </c>
    </row>
    <row r="153" spans="4:15" ht="20.100000000000001" customHeight="1" x14ac:dyDescent="0.25">
      <c r="D153" s="1" t="str">
        <f>TEXT(X_Cell_Site_StartDate, "mmmm yyyy")</f>
        <v>January 2024</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113</v>
      </c>
    </row>
    <row r="154" spans="4:15" ht="20.100000000000001" customHeight="1" x14ac:dyDescent="0.25">
      <c r="D154" s="1" t="str">
        <f>TEXT(EDATE(X_Cell_Site_StartDate,1), "mmmm yyyy")</f>
        <v>February 2024</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113</v>
      </c>
    </row>
    <row r="155" spans="4:15" ht="20.100000000000001" customHeight="1" x14ac:dyDescent="0.25">
      <c r="D155" s="1" t="str">
        <f>TEXT(EDATE(X_Cell_Site_StartDate,2), "mmmm yyyy")</f>
        <v>March 2024</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113</v>
      </c>
    </row>
    <row r="156" spans="4:15" ht="20.100000000000001" customHeight="1" x14ac:dyDescent="0.25">
      <c r="D156" s="1" t="str">
        <f>TEXT(EDATE(X_Cell_Site_StartDate,3), "mmmm yyyy")</f>
        <v>April 2024</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113</v>
      </c>
    </row>
    <row r="157" spans="4:15" ht="20.100000000000001" customHeight="1" x14ac:dyDescent="0.25">
      <c r="D157" s="1" t="str">
        <f>TEXT(EDATE(X_Cell_Site_StartDate,4), "mmmm yyyy")</f>
        <v>May 2024</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113</v>
      </c>
    </row>
    <row r="158" spans="4:15" ht="20.100000000000001" customHeight="1" x14ac:dyDescent="0.25">
      <c r="D158" s="1" t="str">
        <f>TEXT(EDATE(X_Cell_Site_StartDate,5), "mmmm yyyy")</f>
        <v>June 2024</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113</v>
      </c>
    </row>
    <row r="159" spans="4:15" ht="20.100000000000001" customHeight="1" x14ac:dyDescent="0.25">
      <c r="D159" s="1" t="str">
        <f>TEXT(EDATE(X_Cell_Site_StartDate,6), "mmmm yyyy")</f>
        <v>July 2024</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113</v>
      </c>
    </row>
    <row r="160" spans="4:15" ht="20.100000000000001" customHeight="1" x14ac:dyDescent="0.25">
      <c r="D160" s="1" t="str">
        <f>TEXT(EDATE(X_Cell_Site_StartDate,7), "mmmm yyyy")</f>
        <v>August 2024</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113</v>
      </c>
    </row>
    <row r="161" spans="4:15" ht="20.100000000000001" customHeight="1" x14ac:dyDescent="0.25">
      <c r="D161" s="1" t="str">
        <f>TEXT(EDATE(X_Cell_Site_StartDate,8), "mmmm yyyy")</f>
        <v>September 2024</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113</v>
      </c>
    </row>
    <row r="162" spans="4:15" ht="20.100000000000001" customHeight="1" x14ac:dyDescent="0.25">
      <c r="D162" s="1" t="str">
        <f>TEXT(EDATE(X_Cell_Site_StartDate,9), "mmmm yyyy")</f>
        <v>October 2024</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113</v>
      </c>
    </row>
    <row r="163" spans="4:15" ht="20.100000000000001" customHeight="1" x14ac:dyDescent="0.25">
      <c r="D163" s="1" t="str">
        <f>TEXT(EDATE(X_Cell_Site_StartDate,10), "mmmm yyyy")</f>
        <v>November 2024</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113</v>
      </c>
    </row>
    <row r="164" spans="4:15" ht="20.100000000000001" customHeight="1" x14ac:dyDescent="0.25">
      <c r="D164" s="1" t="str">
        <f>TEXT(EDATE(X_Cell_Site_StartDate,11), "mmmm yyyy")</f>
        <v>December 2024</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113</v>
      </c>
    </row>
    <row r="165" spans="4:15" ht="20.100000000000001" customHeight="1" x14ac:dyDescent="0.25">
      <c r="L165" s="2"/>
      <c r="M165" s="2"/>
      <c r="N165" s="2"/>
      <c r="O165" s="2"/>
    </row>
    <row r="166" spans="4:15" x14ac:dyDescent="0.25">
      <c r="L166" s="2"/>
      <c r="M166" s="2"/>
      <c r="N166" s="2"/>
      <c r="O166" s="2"/>
    </row>
    <row r="167" spans="4:15" ht="18.75" x14ac:dyDescent="0.25">
      <c r="D167" s="47" t="s">
        <v>220</v>
      </c>
      <c r="L167" s="2"/>
      <c r="M167" s="2"/>
      <c r="N167" s="2"/>
      <c r="O167" s="2"/>
    </row>
    <row r="169" spans="4:15" x14ac:dyDescent="0.25">
      <c r="D169" s="1" t="s">
        <v>221</v>
      </c>
      <c r="E169" s="38" t="s">
        <v>111</v>
      </c>
      <c r="F169" s="2" t="s">
        <v>8</v>
      </c>
      <c r="L169" s="2"/>
      <c r="M169" s="2"/>
      <c r="N169" s="2"/>
      <c r="O169" s="2"/>
    </row>
    <row r="171" spans="4:15" x14ac:dyDescent="0.25">
      <c r="D171" s="61" t="s">
        <v>16</v>
      </c>
      <c r="E171" s="61" t="s">
        <v>222</v>
      </c>
      <c r="L171" s="2"/>
      <c r="M171" s="2"/>
      <c r="N171" s="2"/>
      <c r="O171" s="2"/>
    </row>
    <row r="172" spans="4:15" x14ac:dyDescent="0.25">
      <c r="D172" s="1" t="s">
        <v>110</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14</v>
      </c>
      <c r="L172" s="2"/>
      <c r="M172" s="2"/>
      <c r="N172" s="2"/>
      <c r="O172" s="2"/>
    </row>
    <row r="173" spans="4:15" x14ac:dyDescent="0.25">
      <c r="D173" s="1" t="s">
        <v>223</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14</v>
      </c>
      <c r="L173" s="2"/>
      <c r="M173" s="2"/>
      <c r="N173" s="2"/>
      <c r="O173" s="2"/>
    </row>
    <row r="174" spans="4:15" x14ac:dyDescent="0.25">
      <c r="L174" s="2"/>
      <c r="M174" s="2"/>
      <c r="N174" s="2"/>
      <c r="O174" s="2"/>
    </row>
    <row r="176" spans="4:15" x14ac:dyDescent="0.25">
      <c r="D176" s="1" t="s">
        <v>233</v>
      </c>
      <c r="E176" s="38" t="s">
        <v>236</v>
      </c>
      <c r="F176" s="2" t="s">
        <v>8</v>
      </c>
      <c r="L176" s="2"/>
      <c r="M176" s="2"/>
      <c r="N176" s="2"/>
      <c r="O176" s="2"/>
    </row>
    <row r="177" spans="5:6" x14ac:dyDescent="0.25">
      <c r="E177" s="38" t="s">
        <v>94</v>
      </c>
      <c r="F177" s="2" t="s">
        <v>8</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3"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257</v>
      </c>
    </row>
    <row r="2" spans="1:35" s="9" customFormat="1" ht="20.100000000000001" customHeight="1" x14ac:dyDescent="0.25"/>
    <row r="3" spans="1:35" ht="20.100000000000001" customHeight="1" x14ac:dyDescent="0.25">
      <c r="A3" s="17" t="str">
        <f>HYPERLINK("#'Home'!A1", "Home")</f>
        <v>Home</v>
      </c>
      <c r="C3" s="4"/>
      <c r="D3" s="4" t="s">
        <v>85</v>
      </c>
      <c r="E3" s="4"/>
      <c r="F3" s="4"/>
      <c r="G3" s="4"/>
      <c r="H3" s="4"/>
      <c r="I3" s="4"/>
      <c r="J3" s="4"/>
      <c r="K3" s="4"/>
      <c r="L3" s="4"/>
      <c r="M3" s="4"/>
      <c r="N3" s="4"/>
      <c r="O3" s="4"/>
      <c r="P3" s="4"/>
      <c r="Q3" s="4"/>
      <c r="R3" s="4"/>
      <c r="T3" s="4"/>
      <c r="U3" s="4" t="s">
        <v>86</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21</v>
      </c>
      <c r="E7" s="13" t="s">
        <v>254</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61</v>
      </c>
      <c r="D10" s="52" t="s">
        <v>24</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15</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X_Cell_PastureBeef_Breed</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192</v>
      </c>
    </row>
    <row r="19" spans="1:34" ht="20.100000000000001" customHeight="1" x14ac:dyDescent="0.25">
      <c r="A19" s="17"/>
      <c r="D19" s="95" t="s">
        <v>215</v>
      </c>
      <c r="U19" s="96" t="s">
        <v>211</v>
      </c>
    </row>
    <row r="20" spans="1:34" ht="20.100000000000001" customHeight="1" x14ac:dyDescent="0.25">
      <c r="A20" s="17"/>
      <c r="D20" s="50" t="s">
        <v>146</v>
      </c>
      <c r="E20" s="115" t="s">
        <v>128</v>
      </c>
      <c r="F20" s="115" t="s">
        <v>129</v>
      </c>
      <c r="G20" s="115" t="s">
        <v>130</v>
      </c>
      <c r="U20" s="95" t="s">
        <v>212</v>
      </c>
    </row>
    <row r="21" spans="1:34" ht="20.100000000000001" customHeight="1" x14ac:dyDescent="0.25">
      <c r="D21" s="51" t="str">
        <f>'Input - Pasture Beef'!$E$104</f>
        <v>Winter</v>
      </c>
      <c r="E21" s="51">
        <f>'Input - Pasture Beef'!$E$107</f>
        <v>0.9</v>
      </c>
      <c r="F21" s="51">
        <f>'Input - Pasture Beef'!$F$107</f>
        <v>0.5</v>
      </c>
      <c r="G21" s="51">
        <f>'Input - Pasture Beef'!$G$107</f>
        <v>0.5</v>
      </c>
      <c r="H21" s="2" t="s">
        <v>80</v>
      </c>
      <c r="U21" s="50" t="s">
        <v>105</v>
      </c>
      <c r="V21" s="115" t="s">
        <v>128</v>
      </c>
      <c r="W21" s="115" t="s">
        <v>129</v>
      </c>
      <c r="X21" s="115" t="s">
        <v>130</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80</v>
      </c>
    </row>
    <row r="23" spans="1:34" ht="20.100000000000001" customHeight="1" x14ac:dyDescent="0.25">
      <c r="A23" s="17"/>
      <c r="D23" s="96" t="s">
        <v>202</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203</v>
      </c>
      <c r="Y24" s="2"/>
    </row>
    <row r="25" spans="1:34" ht="20.100000000000001" customHeight="1" x14ac:dyDescent="0.25">
      <c r="D25" s="50" t="s">
        <v>146</v>
      </c>
      <c r="E25" s="50" t="s">
        <v>208</v>
      </c>
      <c r="F25" s="50" t="s">
        <v>250</v>
      </c>
      <c r="G25" s="50" t="s">
        <v>104</v>
      </c>
      <c r="H25" s="50" t="s">
        <v>103</v>
      </c>
      <c r="I25" s="50" t="s">
        <v>127</v>
      </c>
      <c r="J25" s="50" t="s">
        <v>128</v>
      </c>
      <c r="K25" s="50" t="s">
        <v>129</v>
      </c>
      <c r="L25" s="50" t="s">
        <v>130</v>
      </c>
      <c r="M25" s="50" t="s">
        <v>131</v>
      </c>
      <c r="N25" s="50" t="s">
        <v>132</v>
      </c>
      <c r="O25" s="50" t="s">
        <v>133</v>
      </c>
      <c r="P25" s="50" t="s">
        <v>134</v>
      </c>
      <c r="U25" s="96" t="s">
        <v>213</v>
      </c>
    </row>
    <row r="26" spans="1:34" ht="20.100000000000001" customHeight="1" x14ac:dyDescent="0.25">
      <c r="D26" s="51" t="s">
        <v>135</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214</v>
      </c>
    </row>
    <row r="27" spans="1:34" ht="20.100000000000001" customHeight="1" x14ac:dyDescent="0.25">
      <c r="D27" s="51" t="s">
        <v>136</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105</v>
      </c>
      <c r="V27" s="50" t="s">
        <v>208</v>
      </c>
      <c r="W27" s="50" t="s">
        <v>250</v>
      </c>
      <c r="X27" s="50" t="s">
        <v>104</v>
      </c>
      <c r="Y27" s="50" t="s">
        <v>103</v>
      </c>
      <c r="Z27" s="50" t="s">
        <v>127</v>
      </c>
      <c r="AA27" s="50" t="s">
        <v>128</v>
      </c>
      <c r="AB27" s="50" t="s">
        <v>129</v>
      </c>
      <c r="AC27" s="50" t="s">
        <v>130</v>
      </c>
      <c r="AD27" s="50" t="s">
        <v>131</v>
      </c>
      <c r="AE27" s="50" t="s">
        <v>132</v>
      </c>
      <c r="AF27" s="50" t="s">
        <v>133</v>
      </c>
      <c r="AG27" s="50" t="s">
        <v>134</v>
      </c>
    </row>
    <row r="28" spans="1:34" ht="20.100000000000001" customHeight="1" x14ac:dyDescent="0.25">
      <c r="D28" s="51" t="s">
        <v>137</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138</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21</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G37" s="6" t="str" cm="1">
        <f t="array" ref="G37">EntericMethane_PastureBeef_Equations.VEERG_3_2_1_1__3_FeedIntakeForGrazingBeef_LatexEquation()</f>
        <v>I_{jkl}=(1.185+0.00454\times W_{jkl}-0.0000026\times W_{jkl}^{2}+0.315\times LWG_{jkl})^2\times MA_{jk=4,5}</v>
      </c>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24</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15</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256</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216</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105</v>
      </c>
      <c r="V43" s="115" t="s">
        <v>104</v>
      </c>
      <c r="W43" s="115" t="s">
        <v>103</v>
      </c>
      <c r="X43" s="115" t="s">
        <v>127</v>
      </c>
      <c r="Y43" s="115" t="s">
        <v>128</v>
      </c>
      <c r="Z43" s="115" t="s">
        <v>129</v>
      </c>
      <c r="AA43" s="115" t="s">
        <v>130</v>
      </c>
      <c r="AB43" s="115" t="s">
        <v>131</v>
      </c>
      <c r="AC43" s="115" t="s">
        <v>132</v>
      </c>
      <c r="AD43" s="115" t="s">
        <v>133</v>
      </c>
      <c r="AE43" s="115" t="s">
        <v>134</v>
      </c>
      <c r="AF43" s="2"/>
    </row>
    <row r="44" spans="4:34" ht="20.100000000000001" customHeight="1" x14ac:dyDescent="0.25">
      <c r="U44" s="51" t="str">
        <f>TEXT('Input - Site'!$E$12,"mmmm")</f>
        <v>January</v>
      </c>
      <c r="V44" s="51" cm="1">
        <f t="array" aca="1" ref="V44:AE55" ca="1">OFFSET(X_Table_PastureBeef_Liveweight_Method2,1,1,12,10)</f>
        <v>380</v>
      </c>
      <c r="W44" s="51">
        <f ca="1"/>
        <v>780</v>
      </c>
      <c r="X44" s="51">
        <f ca="1"/>
        <v>300</v>
      </c>
      <c r="Y44" s="51">
        <f ca="1"/>
        <v>450</v>
      </c>
      <c r="Z44" s="51">
        <f ca="1"/>
        <v>530</v>
      </c>
      <c r="AA44" s="51">
        <f ca="1"/>
        <v>530</v>
      </c>
      <c r="AB44" s="51">
        <f ca="1"/>
        <v>340</v>
      </c>
      <c r="AC44" s="51">
        <f ca="1"/>
        <v>470</v>
      </c>
      <c r="AD44" s="51">
        <f ca="1"/>
        <v>470</v>
      </c>
      <c r="AE44" s="51">
        <f ca="1"/>
        <v>470</v>
      </c>
      <c r="AF44" s="2" t="s">
        <v>106</v>
      </c>
    </row>
    <row r="45" spans="4:34" ht="20.100000000000001" customHeight="1" x14ac:dyDescent="0.25">
      <c r="D45" s="96" t="s">
        <v>231</v>
      </c>
      <c r="U45" s="51" t="str">
        <f>TEXT(EDATE('Input - Site'!$E$12,1), "mmmm")</f>
        <v>February</v>
      </c>
      <c r="V45" s="51">
        <f ca="1"/>
        <v>380</v>
      </c>
      <c r="W45" s="51">
        <f ca="1"/>
        <v>780</v>
      </c>
      <c r="X45" s="51">
        <f ca="1"/>
        <v>300</v>
      </c>
      <c r="Y45" s="51">
        <f ca="1"/>
        <v>450</v>
      </c>
      <c r="Z45" s="51">
        <f ca="1"/>
        <v>530</v>
      </c>
      <c r="AA45" s="51">
        <f ca="1"/>
        <v>530</v>
      </c>
      <c r="AB45" s="51">
        <f ca="1"/>
        <v>340</v>
      </c>
      <c r="AC45" s="51">
        <f ca="1"/>
        <v>470</v>
      </c>
      <c r="AD45" s="51">
        <f ca="1"/>
        <v>470</v>
      </c>
      <c r="AE45" s="51">
        <f ca="1"/>
        <v>470</v>
      </c>
      <c r="AF45" s="2" t="s">
        <v>106</v>
      </c>
    </row>
    <row r="46" spans="4:34" ht="20.100000000000001" customHeight="1" x14ac:dyDescent="0.25">
      <c r="D46" s="95" t="s">
        <v>206</v>
      </c>
      <c r="U46" s="51" t="str">
        <f>TEXT(EDATE('Input - Site'!$E$12,2), "mmmm")</f>
        <v>March</v>
      </c>
      <c r="V46" s="51">
        <f ca="1"/>
        <v>100</v>
      </c>
      <c r="W46" s="51">
        <f ca="1"/>
        <v>680</v>
      </c>
      <c r="X46" s="51">
        <f ca="1"/>
        <v>80</v>
      </c>
      <c r="Y46" s="51">
        <f ca="1"/>
        <v>320</v>
      </c>
      <c r="Z46" s="51">
        <f ca="1"/>
        <v>480</v>
      </c>
      <c r="AA46" s="51">
        <f ca="1"/>
        <v>480</v>
      </c>
      <c r="AB46" s="51">
        <f ca="1"/>
        <v>100</v>
      </c>
      <c r="AC46" s="51">
        <f ca="1"/>
        <v>340</v>
      </c>
      <c r="AD46" s="51">
        <f ca="1"/>
        <v>340</v>
      </c>
      <c r="AE46" s="51">
        <f ca="1"/>
        <v>340</v>
      </c>
      <c r="AF46" s="2" t="s">
        <v>106</v>
      </c>
    </row>
    <row r="47" spans="4:34" ht="20.100000000000001" customHeight="1" x14ac:dyDescent="0.25">
      <c r="D47" s="50" t="s">
        <v>146</v>
      </c>
      <c r="E47" s="115" t="s">
        <v>104</v>
      </c>
      <c r="F47" s="115" t="s">
        <v>103</v>
      </c>
      <c r="G47" s="115" t="s">
        <v>127</v>
      </c>
      <c r="H47" s="115" t="s">
        <v>128</v>
      </c>
      <c r="I47" s="115" t="s">
        <v>129</v>
      </c>
      <c r="J47" s="115" t="s">
        <v>130</v>
      </c>
      <c r="K47" s="115" t="s">
        <v>131</v>
      </c>
      <c r="L47" s="115" t="s">
        <v>132</v>
      </c>
      <c r="M47" s="115" t="s">
        <v>133</v>
      </c>
      <c r="N47" s="115" t="s">
        <v>134</v>
      </c>
      <c r="U47" s="51" t="str">
        <f>TEXT(EDATE('Input - Site'!$E$12,3), "mmmm")</f>
        <v>April</v>
      </c>
      <c r="V47" s="51">
        <f ca="1"/>
        <v>100</v>
      </c>
      <c r="W47" s="51">
        <f ca="1"/>
        <v>680</v>
      </c>
      <c r="X47" s="51">
        <f ca="1"/>
        <v>80</v>
      </c>
      <c r="Y47" s="51">
        <f ca="1"/>
        <v>320</v>
      </c>
      <c r="Z47" s="51">
        <f ca="1"/>
        <v>480</v>
      </c>
      <c r="AA47" s="51">
        <f ca="1"/>
        <v>480</v>
      </c>
      <c r="AB47" s="51">
        <f ca="1"/>
        <v>100</v>
      </c>
      <c r="AC47" s="51">
        <f ca="1"/>
        <v>340</v>
      </c>
      <c r="AD47" s="51">
        <f ca="1"/>
        <v>340</v>
      </c>
      <c r="AE47" s="51">
        <f ca="1"/>
        <v>340</v>
      </c>
      <c r="AF47" s="2" t="s">
        <v>106</v>
      </c>
    </row>
    <row r="48" spans="4:34" ht="20.100000000000001" customHeight="1" x14ac:dyDescent="0.25">
      <c r="D48" s="51" t="str">
        <f>INDEX(X_Table_PastureBeef_Liveweight_Method1,2,1)</f>
        <v>Spring</v>
      </c>
      <c r="E48" s="51" cm="1">
        <f t="array" aca="1" ref="E48:N51" ca="1">OFFSET(X_Table_PastureBeef_Liveweight_Method1, 1,1, 4,10)</f>
        <v>340</v>
      </c>
      <c r="F48" s="51">
        <f ca="1"/>
        <v>800</v>
      </c>
      <c r="G48" s="51">
        <f ca="1"/>
        <v>260</v>
      </c>
      <c r="H48" s="51">
        <f ca="1"/>
        <v>420</v>
      </c>
      <c r="I48" s="51">
        <f ca="1"/>
        <v>550</v>
      </c>
      <c r="J48" s="51">
        <f ca="1"/>
        <v>550</v>
      </c>
      <c r="K48" s="51">
        <f ca="1"/>
        <v>300</v>
      </c>
      <c r="L48" s="51">
        <f ca="1"/>
        <v>480</v>
      </c>
      <c r="M48" s="51">
        <f ca="1"/>
        <v>480</v>
      </c>
      <c r="N48" s="51">
        <f ca="1"/>
        <v>480</v>
      </c>
      <c r="O48" s="2" t="s">
        <v>106</v>
      </c>
      <c r="P48" s="2"/>
      <c r="Q48" s="2"/>
      <c r="U48" s="51" t="str">
        <f>TEXT(EDATE('Input - Site'!$E$12,4), "mmmm")</f>
        <v>May</v>
      </c>
      <c r="V48" s="51">
        <f ca="1"/>
        <v>100</v>
      </c>
      <c r="W48" s="51">
        <f ca="1"/>
        <v>680</v>
      </c>
      <c r="X48" s="51">
        <f ca="1"/>
        <v>80</v>
      </c>
      <c r="Y48" s="51">
        <f ca="1"/>
        <v>320</v>
      </c>
      <c r="Z48" s="51">
        <f ca="1"/>
        <v>480</v>
      </c>
      <c r="AA48" s="51">
        <f ca="1"/>
        <v>480</v>
      </c>
      <c r="AB48" s="51">
        <f ca="1"/>
        <v>100</v>
      </c>
      <c r="AC48" s="51">
        <f ca="1"/>
        <v>340</v>
      </c>
      <c r="AD48" s="51">
        <f ca="1"/>
        <v>340</v>
      </c>
      <c r="AE48" s="51">
        <f ca="1"/>
        <v>340</v>
      </c>
      <c r="AF48" s="2" t="s">
        <v>106</v>
      </c>
    </row>
    <row r="49" spans="4:34" ht="20.100000000000001" customHeight="1" x14ac:dyDescent="0.25">
      <c r="D49" s="51" t="str">
        <f>INDEX(X_Table_PastureBeef_Liveweight_Method1,3,1)</f>
        <v>Summer</v>
      </c>
      <c r="E49" s="51">
        <f ca="1"/>
        <v>380</v>
      </c>
      <c r="F49" s="51">
        <f ca="1"/>
        <v>780</v>
      </c>
      <c r="G49" s="51">
        <f ca="1"/>
        <v>300</v>
      </c>
      <c r="H49" s="51">
        <f ca="1"/>
        <v>450</v>
      </c>
      <c r="I49" s="51">
        <f ca="1"/>
        <v>530</v>
      </c>
      <c r="J49" s="51">
        <f ca="1"/>
        <v>530</v>
      </c>
      <c r="K49" s="51">
        <f ca="1"/>
        <v>340</v>
      </c>
      <c r="L49" s="51">
        <f ca="1"/>
        <v>470</v>
      </c>
      <c r="M49" s="51">
        <f ca="1"/>
        <v>470</v>
      </c>
      <c r="N49" s="51">
        <f ca="1"/>
        <v>470</v>
      </c>
      <c r="O49" s="2" t="s">
        <v>106</v>
      </c>
      <c r="P49" s="2"/>
      <c r="Q49" s="2"/>
      <c r="U49" s="51" t="str">
        <f>TEXT(EDATE('Input - Site'!$E$12,5), "mmmm")</f>
        <v>June</v>
      </c>
      <c r="V49" s="51">
        <f ca="1"/>
        <v>190</v>
      </c>
      <c r="W49" s="51">
        <f ca="1"/>
        <v>700</v>
      </c>
      <c r="X49" s="51">
        <f ca="1"/>
        <v>150</v>
      </c>
      <c r="Y49" s="51">
        <f ca="1"/>
        <v>330</v>
      </c>
      <c r="Z49" s="51">
        <f ca="1"/>
        <v>490</v>
      </c>
      <c r="AA49" s="51">
        <f ca="1"/>
        <v>490</v>
      </c>
      <c r="AB49" s="51">
        <f ca="1"/>
        <v>170</v>
      </c>
      <c r="AC49" s="51">
        <f ca="1"/>
        <v>360</v>
      </c>
      <c r="AD49" s="51">
        <f ca="1"/>
        <v>360</v>
      </c>
      <c r="AE49" s="51">
        <f ca="1"/>
        <v>360</v>
      </c>
      <c r="AF49" s="2" t="s">
        <v>106</v>
      </c>
    </row>
    <row r="50" spans="4:34" ht="20.100000000000001" customHeight="1" x14ac:dyDescent="0.25">
      <c r="D50" s="51" t="str">
        <f>INDEX(X_Table_PastureBeef_Liveweight_Method1,4,1)</f>
        <v>Autumn</v>
      </c>
      <c r="E50" s="51">
        <f ca="1"/>
        <v>100</v>
      </c>
      <c r="F50" s="51">
        <f ca="1"/>
        <v>680</v>
      </c>
      <c r="G50" s="51">
        <f ca="1"/>
        <v>80</v>
      </c>
      <c r="H50" s="51">
        <f ca="1"/>
        <v>320</v>
      </c>
      <c r="I50" s="51">
        <f ca="1"/>
        <v>480</v>
      </c>
      <c r="J50" s="51">
        <f ca="1"/>
        <v>480</v>
      </c>
      <c r="K50" s="51">
        <f ca="1"/>
        <v>100</v>
      </c>
      <c r="L50" s="51">
        <f ca="1"/>
        <v>340</v>
      </c>
      <c r="M50" s="51">
        <f ca="1"/>
        <v>340</v>
      </c>
      <c r="N50" s="51">
        <f ca="1"/>
        <v>340</v>
      </c>
      <c r="O50" s="2" t="s">
        <v>106</v>
      </c>
      <c r="P50" s="2"/>
      <c r="Q50" s="2"/>
      <c r="U50" s="51" t="str">
        <f>TEXT(EDATE('Input - Site'!$E$12,6), "mmmm")</f>
        <v>July</v>
      </c>
      <c r="V50" s="51">
        <f ca="1"/>
        <v>190</v>
      </c>
      <c r="W50" s="51">
        <f ca="1"/>
        <v>700</v>
      </c>
      <c r="X50" s="51">
        <f ca="1"/>
        <v>150</v>
      </c>
      <c r="Y50" s="51">
        <f ca="1"/>
        <v>330</v>
      </c>
      <c r="Z50" s="51">
        <f ca="1"/>
        <v>490</v>
      </c>
      <c r="AA50" s="51">
        <f ca="1"/>
        <v>490</v>
      </c>
      <c r="AB50" s="51">
        <f ca="1"/>
        <v>170</v>
      </c>
      <c r="AC50" s="51">
        <f ca="1"/>
        <v>360</v>
      </c>
      <c r="AD50" s="51">
        <f ca="1"/>
        <v>360</v>
      </c>
      <c r="AE50" s="51">
        <f ca="1"/>
        <v>360</v>
      </c>
      <c r="AF50" s="2" t="s">
        <v>106</v>
      </c>
    </row>
    <row r="51" spans="4:34" ht="20.100000000000001" customHeight="1" x14ac:dyDescent="0.25">
      <c r="D51" s="51" t="str">
        <f>INDEX(X_Table_PastureBeef_Liveweight_Method1,5,1)</f>
        <v>Winter</v>
      </c>
      <c r="E51" s="51">
        <f ca="1"/>
        <v>190</v>
      </c>
      <c r="F51" s="51">
        <f ca="1"/>
        <v>700</v>
      </c>
      <c r="G51" s="51">
        <f ca="1"/>
        <v>150</v>
      </c>
      <c r="H51" s="51">
        <f ca="1"/>
        <v>330</v>
      </c>
      <c r="I51" s="51">
        <f ca="1"/>
        <v>490</v>
      </c>
      <c r="J51" s="51">
        <f ca="1"/>
        <v>490</v>
      </c>
      <c r="K51" s="51">
        <f ca="1"/>
        <v>170</v>
      </c>
      <c r="L51" s="51">
        <f ca="1"/>
        <v>360</v>
      </c>
      <c r="M51" s="51">
        <f ca="1"/>
        <v>360</v>
      </c>
      <c r="N51" s="51">
        <f ca="1"/>
        <v>360</v>
      </c>
      <c r="O51" s="2" t="s">
        <v>106</v>
      </c>
      <c r="P51" s="2"/>
      <c r="Q51" s="2"/>
      <c r="U51" s="51" t="str">
        <f>TEXT(EDATE('Input - Site'!$E$12,7), "mmmm")</f>
        <v>August</v>
      </c>
      <c r="V51" s="51">
        <f ca="1"/>
        <v>190</v>
      </c>
      <c r="W51" s="51">
        <f ca="1"/>
        <v>700</v>
      </c>
      <c r="X51" s="51">
        <f ca="1"/>
        <v>150</v>
      </c>
      <c r="Y51" s="51">
        <f ca="1"/>
        <v>330</v>
      </c>
      <c r="Z51" s="51">
        <f ca="1"/>
        <v>490</v>
      </c>
      <c r="AA51" s="51">
        <f ca="1"/>
        <v>490</v>
      </c>
      <c r="AB51" s="51">
        <f ca="1"/>
        <v>170</v>
      </c>
      <c r="AC51" s="51">
        <f ca="1"/>
        <v>360</v>
      </c>
      <c r="AD51" s="51">
        <f ca="1"/>
        <v>360</v>
      </c>
      <c r="AE51" s="51">
        <f ca="1"/>
        <v>360</v>
      </c>
      <c r="AF51" s="2" t="s">
        <v>106</v>
      </c>
      <c r="AG51" s="2"/>
      <c r="AH51" s="2"/>
    </row>
    <row r="52" spans="4:34" ht="20.100000000000001" customHeight="1" x14ac:dyDescent="0.25">
      <c r="U52" s="51" t="str">
        <f>TEXT(EDATE('Input - Site'!$E$12,8), "mmmm")</f>
        <v>September</v>
      </c>
      <c r="V52" s="51">
        <f ca="1"/>
        <v>340</v>
      </c>
      <c r="W52" s="51">
        <f ca="1"/>
        <v>800</v>
      </c>
      <c r="X52" s="51">
        <f ca="1"/>
        <v>260</v>
      </c>
      <c r="Y52" s="51">
        <f ca="1"/>
        <v>420</v>
      </c>
      <c r="Z52" s="51">
        <f ca="1"/>
        <v>550</v>
      </c>
      <c r="AA52" s="51">
        <f ca="1"/>
        <v>550</v>
      </c>
      <c r="AB52" s="51">
        <f ca="1"/>
        <v>300</v>
      </c>
      <c r="AC52" s="51">
        <f ca="1"/>
        <v>480</v>
      </c>
      <c r="AD52" s="51">
        <f ca="1"/>
        <v>480</v>
      </c>
      <c r="AE52" s="51">
        <f ca="1"/>
        <v>480</v>
      </c>
      <c r="AF52" s="2" t="s">
        <v>106</v>
      </c>
      <c r="AG52" s="2"/>
      <c r="AH52" s="2"/>
    </row>
    <row r="53" spans="4:34" ht="20.100000000000001" customHeight="1" x14ac:dyDescent="0.25">
      <c r="D53" s="96" t="s">
        <v>204</v>
      </c>
      <c r="U53" s="51" t="str">
        <f>TEXT(EDATE('Input - Site'!$E$12,9), "mmmm")</f>
        <v>October</v>
      </c>
      <c r="V53" s="51">
        <f ca="1"/>
        <v>340</v>
      </c>
      <c r="W53" s="51">
        <f ca="1"/>
        <v>800</v>
      </c>
      <c r="X53" s="51">
        <f ca="1"/>
        <v>260</v>
      </c>
      <c r="Y53" s="51">
        <f ca="1"/>
        <v>420</v>
      </c>
      <c r="Z53" s="51">
        <f ca="1"/>
        <v>550</v>
      </c>
      <c r="AA53" s="51">
        <f ca="1"/>
        <v>550</v>
      </c>
      <c r="AB53" s="51">
        <f ca="1"/>
        <v>300</v>
      </c>
      <c r="AC53" s="51">
        <f ca="1"/>
        <v>480</v>
      </c>
      <c r="AD53" s="51">
        <f ca="1"/>
        <v>480</v>
      </c>
      <c r="AE53" s="51">
        <f ca="1"/>
        <v>480</v>
      </c>
      <c r="AF53" s="2" t="s">
        <v>106</v>
      </c>
      <c r="AG53" s="2"/>
      <c r="AH53" s="2"/>
    </row>
    <row r="54" spans="4:34" ht="20.100000000000001" customHeight="1" x14ac:dyDescent="0.25">
      <c r="D54" s="95" t="s">
        <v>205</v>
      </c>
      <c r="U54" s="51" t="str">
        <f>TEXT(EDATE('Input - Site'!$E$12,10), "mmmm")</f>
        <v>November</v>
      </c>
      <c r="V54" s="51">
        <f ca="1"/>
        <v>340</v>
      </c>
      <c r="W54" s="51">
        <f ca="1"/>
        <v>800</v>
      </c>
      <c r="X54" s="51">
        <f ca="1"/>
        <v>260</v>
      </c>
      <c r="Y54" s="51">
        <f ca="1"/>
        <v>420</v>
      </c>
      <c r="Z54" s="51">
        <f ca="1"/>
        <v>550</v>
      </c>
      <c r="AA54" s="51">
        <f ca="1"/>
        <v>550</v>
      </c>
      <c r="AB54" s="51">
        <f ca="1"/>
        <v>300</v>
      </c>
      <c r="AC54" s="51">
        <f ca="1"/>
        <v>480</v>
      </c>
      <c r="AD54" s="51">
        <f ca="1"/>
        <v>480</v>
      </c>
      <c r="AE54" s="51">
        <f ca="1"/>
        <v>480</v>
      </c>
      <c r="AF54" s="2" t="s">
        <v>106</v>
      </c>
      <c r="AG54" s="2"/>
      <c r="AH54" s="2"/>
    </row>
    <row r="55" spans="4:34" ht="20.100000000000001" customHeight="1" x14ac:dyDescent="0.25">
      <c r="D55" s="50" t="s">
        <v>146</v>
      </c>
      <c r="E55" s="115" t="s">
        <v>104</v>
      </c>
      <c r="F55" s="115" t="s">
        <v>103</v>
      </c>
      <c r="G55" s="115" t="s">
        <v>127</v>
      </c>
      <c r="H55" s="115" t="s">
        <v>128</v>
      </c>
      <c r="I55" s="115" t="s">
        <v>129</v>
      </c>
      <c r="J55" s="115" t="s">
        <v>130</v>
      </c>
      <c r="K55" s="115" t="s">
        <v>131</v>
      </c>
      <c r="L55" s="115" t="s">
        <v>132</v>
      </c>
      <c r="M55" s="115" t="s">
        <v>133</v>
      </c>
      <c r="N55" s="115" t="s">
        <v>134</v>
      </c>
      <c r="U55" s="51" t="str">
        <f>TEXT(EDATE('Input - Site'!$E$12,11), "mmmm")</f>
        <v>December</v>
      </c>
      <c r="V55" s="51">
        <f ca="1"/>
        <v>380</v>
      </c>
      <c r="W55" s="51">
        <f ca="1"/>
        <v>780</v>
      </c>
      <c r="X55" s="51">
        <f ca="1"/>
        <v>300</v>
      </c>
      <c r="Y55" s="51">
        <f ca="1"/>
        <v>450</v>
      </c>
      <c r="Z55" s="51">
        <f ca="1"/>
        <v>530</v>
      </c>
      <c r="AA55" s="51">
        <f ca="1"/>
        <v>530</v>
      </c>
      <c r="AB55" s="51">
        <f ca="1"/>
        <v>340</v>
      </c>
      <c r="AC55" s="51">
        <f ca="1"/>
        <v>470</v>
      </c>
      <c r="AD55" s="51">
        <f ca="1"/>
        <v>470</v>
      </c>
      <c r="AE55" s="51">
        <f ca="1"/>
        <v>470</v>
      </c>
      <c r="AF55" s="2" t="s">
        <v>106</v>
      </c>
      <c r="AG55" s="2"/>
      <c r="AH55" s="2"/>
    </row>
    <row r="56" spans="4:34" ht="20.100000000000001" customHeight="1" x14ac:dyDescent="0.25">
      <c r="D56" s="51" t="str">
        <f>INDEX(X_Table_PastureBeef_LiveweightGain_Method1,2,1)</f>
        <v>Spring</v>
      </c>
      <c r="E56" s="51" cm="1">
        <f t="array" aca="1" ref="E56:N59" ca="1">OFFSET(X_Table_PastureBeef_LiveweightGain_Method1, 1,1, 4,10)</f>
        <v>1.64</v>
      </c>
      <c r="F56" s="51">
        <f ca="1"/>
        <v>1.1000000000000001</v>
      </c>
      <c r="G56" s="51">
        <f ca="1"/>
        <v>1.21</v>
      </c>
      <c r="H56" s="51">
        <f ca="1"/>
        <v>0.99</v>
      </c>
      <c r="I56" s="51">
        <f ca="1"/>
        <v>0.66</v>
      </c>
      <c r="J56" s="51">
        <f ca="1"/>
        <v>0.66</v>
      </c>
      <c r="K56" s="51">
        <f ca="1"/>
        <v>1.42</v>
      </c>
      <c r="L56" s="51">
        <f ca="1"/>
        <v>1.1000000000000001</v>
      </c>
      <c r="M56" s="51">
        <f ca="1"/>
        <v>1.1000000000000001</v>
      </c>
      <c r="N56" s="51">
        <f ca="1"/>
        <v>1.1000000000000001</v>
      </c>
      <c r="O56" s="2" t="s">
        <v>106</v>
      </c>
      <c r="P56" s="2"/>
      <c r="Q56" s="2"/>
      <c r="AG56" s="2"/>
      <c r="AH56" s="2"/>
    </row>
    <row r="57" spans="4:34" ht="20.100000000000001" customHeight="1" x14ac:dyDescent="0.25">
      <c r="D57" s="51" t="str">
        <f>INDEX(X_Table_PastureBeef_LiveweightGain_Method1,3,1)</f>
        <v>Summer</v>
      </c>
      <c r="E57" s="51">
        <f ca="1"/>
        <v>0.44</v>
      </c>
      <c r="F57" s="51">
        <f ca="1"/>
        <v>-0.22</v>
      </c>
      <c r="G57" s="51">
        <f ca="1"/>
        <v>0.44</v>
      </c>
      <c r="H57" s="51">
        <f ca="1"/>
        <v>0.33</v>
      </c>
      <c r="I57" s="51">
        <f ca="1"/>
        <v>-0.22</v>
      </c>
      <c r="J57" s="51">
        <f ca="1"/>
        <v>-0.22</v>
      </c>
      <c r="K57" s="51">
        <f ca="1"/>
        <v>0.44</v>
      </c>
      <c r="L57" s="51">
        <f ca="1"/>
        <v>-0.11</v>
      </c>
      <c r="M57" s="51">
        <f ca="1"/>
        <v>-0.11</v>
      </c>
      <c r="N57" s="51">
        <f ca="1"/>
        <v>-0.11</v>
      </c>
      <c r="O57" s="2" t="s">
        <v>106</v>
      </c>
      <c r="P57" s="2"/>
      <c r="Q57" s="2"/>
      <c r="U57" s="96" t="s">
        <v>217</v>
      </c>
      <c r="AG57" s="2"/>
      <c r="AH57" s="2"/>
    </row>
    <row r="58" spans="4:34" ht="20.100000000000001" customHeight="1" x14ac:dyDescent="0.25">
      <c r="D58" s="51" t="str">
        <f>INDEX(X_Table_PastureBeef_LiveweightGain_Method1,4,1)</f>
        <v>Autumn</v>
      </c>
      <c r="E58" s="51">
        <f ca="1"/>
        <v>0.6</v>
      </c>
      <c r="F58" s="51">
        <f ca="1"/>
        <v>0</v>
      </c>
      <c r="G58" s="51">
        <f ca="1"/>
        <v>0.6</v>
      </c>
      <c r="H58" s="51">
        <f ca="1"/>
        <v>0.22</v>
      </c>
      <c r="I58" s="51">
        <f ca="1"/>
        <v>-0.55000000000000004</v>
      </c>
      <c r="J58" s="51">
        <f ca="1"/>
        <v>-0.55000000000000004</v>
      </c>
      <c r="K58" s="51">
        <f ca="1"/>
        <v>0.6</v>
      </c>
      <c r="L58" s="51">
        <f ca="1"/>
        <v>0</v>
      </c>
      <c r="M58" s="51">
        <f ca="1"/>
        <v>0</v>
      </c>
      <c r="N58" s="51">
        <f ca="1"/>
        <v>0</v>
      </c>
      <c r="O58" s="2" t="s">
        <v>106</v>
      </c>
      <c r="P58" s="2"/>
      <c r="Q58" s="2"/>
      <c r="U58" s="95" t="s">
        <v>218</v>
      </c>
      <c r="AG58" s="2"/>
      <c r="AH58" s="2"/>
    </row>
    <row r="59" spans="4:34" ht="20.100000000000001" customHeight="1" x14ac:dyDescent="0.25">
      <c r="D59" s="51" t="str">
        <f>INDEX(X_Table_PastureBeef_LiveweightGain_Method1,5,1)</f>
        <v>Winter</v>
      </c>
      <c r="E59" s="51">
        <f ca="1"/>
        <v>0.99</v>
      </c>
      <c r="F59" s="51">
        <f ca="1"/>
        <v>0.22</v>
      </c>
      <c r="G59" s="51">
        <f ca="1"/>
        <v>0.77</v>
      </c>
      <c r="H59" s="51">
        <f ca="1"/>
        <v>0.11</v>
      </c>
      <c r="I59" s="51">
        <f ca="1"/>
        <v>0.11</v>
      </c>
      <c r="J59" s="51">
        <f ca="1"/>
        <v>0.11</v>
      </c>
      <c r="K59" s="51">
        <f ca="1"/>
        <v>0.77</v>
      </c>
      <c r="L59" s="51">
        <f ca="1"/>
        <v>0.44</v>
      </c>
      <c r="M59" s="51">
        <f ca="1"/>
        <v>0.44</v>
      </c>
      <c r="N59" s="51">
        <f ca="1"/>
        <v>0.44</v>
      </c>
      <c r="O59" s="2" t="s">
        <v>106</v>
      </c>
      <c r="P59" s="2"/>
      <c r="Q59" s="2"/>
      <c r="U59" s="50" t="s">
        <v>105</v>
      </c>
      <c r="V59" s="115" t="s">
        <v>104</v>
      </c>
      <c r="W59" s="115" t="s">
        <v>103</v>
      </c>
      <c r="X59" s="115" t="s">
        <v>127</v>
      </c>
      <c r="Y59" s="115" t="s">
        <v>128</v>
      </c>
      <c r="Z59" s="115" t="s">
        <v>129</v>
      </c>
      <c r="AA59" s="115" t="s">
        <v>130</v>
      </c>
      <c r="AB59" s="115" t="s">
        <v>131</v>
      </c>
      <c r="AC59" s="115" t="s">
        <v>132</v>
      </c>
      <c r="AD59" s="115" t="s">
        <v>133</v>
      </c>
      <c r="AE59" s="115" t="s">
        <v>134</v>
      </c>
      <c r="AG59" s="2"/>
      <c r="AH59" s="2"/>
    </row>
    <row r="60" spans="4:34" ht="20.100000000000001" customHeight="1" x14ac:dyDescent="0.25">
      <c r="U60" s="51" t="str">
        <f>TEXT('Input - Site'!$E$12,"mmmm")</f>
        <v>January</v>
      </c>
      <c r="V60" s="51" cm="1">
        <f t="array" aca="1" ref="V60:AE71" ca="1">OFFSET(X_Table_PastureBeef_LiveweightGain_Method2,1,1,12,10)</f>
        <v>0.44</v>
      </c>
      <c r="W60" s="51">
        <f ca="1"/>
        <v>-0.22</v>
      </c>
      <c r="X60" s="51">
        <f ca="1"/>
        <v>0.44</v>
      </c>
      <c r="Y60" s="51">
        <f ca="1"/>
        <v>0.33</v>
      </c>
      <c r="Z60" s="51">
        <f ca="1"/>
        <v>-0.22</v>
      </c>
      <c r="AA60" s="51">
        <f ca="1"/>
        <v>-0.22</v>
      </c>
      <c r="AB60" s="51">
        <f ca="1"/>
        <v>0.44</v>
      </c>
      <c r="AC60" s="51">
        <f ca="1"/>
        <v>-0.11</v>
      </c>
      <c r="AD60" s="51">
        <f ca="1"/>
        <v>-0.11</v>
      </c>
      <c r="AE60" s="51">
        <f ca="1"/>
        <v>-0.11</v>
      </c>
      <c r="AF60" s="2" t="s">
        <v>107</v>
      </c>
      <c r="AG60" s="2"/>
      <c r="AH60" s="2"/>
    </row>
    <row r="61" spans="4:34" ht="20.100000000000001" customHeight="1" x14ac:dyDescent="0.25">
      <c r="D61" s="96" t="s">
        <v>207</v>
      </c>
      <c r="U61" s="51" t="str">
        <f>TEXT(EDATE('Input - Site'!$E$12,1), "mmmm")</f>
        <v>February</v>
      </c>
      <c r="V61" s="51">
        <f ca="1"/>
        <v>0.44</v>
      </c>
      <c r="W61" s="51">
        <f ca="1"/>
        <v>-0.22</v>
      </c>
      <c r="X61" s="51">
        <f ca="1"/>
        <v>0.44</v>
      </c>
      <c r="Y61" s="51">
        <f ca="1"/>
        <v>0.33</v>
      </c>
      <c r="Z61" s="51">
        <f ca="1"/>
        <v>-0.22</v>
      </c>
      <c r="AA61" s="51">
        <f ca="1"/>
        <v>-0.22</v>
      </c>
      <c r="AB61" s="51">
        <f ca="1"/>
        <v>0.44</v>
      </c>
      <c r="AC61" s="51">
        <f ca="1"/>
        <v>-0.11</v>
      </c>
      <c r="AD61" s="51">
        <f ca="1"/>
        <v>-0.11</v>
      </c>
      <c r="AE61" s="51">
        <f ca="1"/>
        <v>-0.11</v>
      </c>
      <c r="AF61" s="2" t="s">
        <v>107</v>
      </c>
      <c r="AG61" s="2"/>
      <c r="AH61" s="2"/>
    </row>
    <row r="62" spans="4:34" ht="20.100000000000001" customHeight="1" x14ac:dyDescent="0.25">
      <c r="D62" s="95" t="s">
        <v>115</v>
      </c>
      <c r="U62" s="51" t="str">
        <f>TEXT(EDATE('Input - Site'!$E$12,2), "mmmm")</f>
        <v>March</v>
      </c>
      <c r="V62" s="51">
        <f ca="1"/>
        <v>0.6</v>
      </c>
      <c r="W62" s="51">
        <f ca="1"/>
        <v>0</v>
      </c>
      <c r="X62" s="51">
        <f ca="1"/>
        <v>0.6</v>
      </c>
      <c r="Y62" s="51">
        <f ca="1"/>
        <v>0.22</v>
      </c>
      <c r="Z62" s="51">
        <f ca="1"/>
        <v>-0.55000000000000004</v>
      </c>
      <c r="AA62" s="51">
        <f ca="1"/>
        <v>-0.55000000000000004</v>
      </c>
      <c r="AB62" s="51">
        <f ca="1"/>
        <v>0.6</v>
      </c>
      <c r="AC62" s="51">
        <f ca="1"/>
        <v>0</v>
      </c>
      <c r="AD62" s="51">
        <f ca="1"/>
        <v>0</v>
      </c>
      <c r="AE62" s="51">
        <f ca="1"/>
        <v>0</v>
      </c>
      <c r="AF62" s="2" t="s">
        <v>107</v>
      </c>
      <c r="AG62" s="2"/>
      <c r="AH62" s="2"/>
    </row>
    <row r="63" spans="4:34" ht="20.100000000000001" customHeight="1" x14ac:dyDescent="0.25">
      <c r="D63" s="50" t="s">
        <v>146</v>
      </c>
      <c r="E63" s="50" t="s">
        <v>104</v>
      </c>
      <c r="F63" s="50" t="s">
        <v>103</v>
      </c>
      <c r="G63" s="50" t="s">
        <v>127</v>
      </c>
      <c r="H63" s="50" t="s">
        <v>128</v>
      </c>
      <c r="I63" s="50" t="s">
        <v>129</v>
      </c>
      <c r="J63" s="50" t="s">
        <v>130</v>
      </c>
      <c r="K63" s="50" t="s">
        <v>131</v>
      </c>
      <c r="L63" s="50" t="s">
        <v>132</v>
      </c>
      <c r="M63" s="50" t="s">
        <v>133</v>
      </c>
      <c r="N63" s="50" t="s">
        <v>134</v>
      </c>
      <c r="U63" s="51" t="str">
        <f>TEXT(EDATE('Input - Site'!$E$12,3), "mmmm")</f>
        <v>April</v>
      </c>
      <c r="V63" s="51">
        <f ca="1"/>
        <v>0.6</v>
      </c>
      <c r="W63" s="51">
        <f ca="1"/>
        <v>0</v>
      </c>
      <c r="X63" s="51">
        <f ca="1"/>
        <v>0.6</v>
      </c>
      <c r="Y63" s="51">
        <f ca="1"/>
        <v>0.22</v>
      </c>
      <c r="Z63" s="51">
        <f ca="1"/>
        <v>-0.55000000000000004</v>
      </c>
      <c r="AA63" s="51">
        <f ca="1"/>
        <v>-0.55000000000000004</v>
      </c>
      <c r="AB63" s="51">
        <f ca="1"/>
        <v>0.6</v>
      </c>
      <c r="AC63" s="51">
        <f ca="1"/>
        <v>0</v>
      </c>
      <c r="AD63" s="51">
        <f ca="1"/>
        <v>0</v>
      </c>
      <c r="AE63" s="51">
        <f ca="1"/>
        <v>0</v>
      </c>
      <c r="AF63" s="2" t="s">
        <v>107</v>
      </c>
      <c r="AG63" s="2"/>
      <c r="AH63" s="2"/>
    </row>
    <row r="64" spans="4:34" ht="20.100000000000001" customHeight="1" x14ac:dyDescent="0.25">
      <c r="D64" s="51" t="s">
        <v>135</v>
      </c>
      <c r="E64" s="51" cm="1">
        <f t="array" aca="1" ref="E64" ca="1">EntericMethane_PastureBeef_Equations.VEERG_3_2_1_1__3_FeedIntakeForGrazingBeef(E48,E56,G26)</f>
        <v>8.6709047296000001</v>
      </c>
      <c r="F64" s="51" cm="1">
        <f t="array" aca="1" ref="F64" ca="1">EntericMethane_PastureBeef_Equations.VEERG_3_2_1_1__3_FeedIntakeForGrazingBeef(F48,F56,H26)</f>
        <v>12.246500250000002</v>
      </c>
      <c r="G64" s="51" cm="1">
        <f t="array" aca="1" ref="G64" ca="1">EntericMethane_PastureBeef_Equations.VEERG_3_2_1_1__3_FeedIntakeForGrazingBeef(G48,G56,I26)</f>
        <v>6.6089612241000006</v>
      </c>
      <c r="H64" s="51" cm="1">
        <f t="array" aca="1" ref="H64" ca="1">EntericMethane_PastureBeef_Equations.VEERG_3_2_1_1__3_FeedIntakeForGrazingBeef(H48,H56,J26)</f>
        <v>9.4536614511090029</v>
      </c>
      <c r="I64" s="51" cm="1">
        <f t="array" aca="1" ref="I64" ca="1">EntericMethane_PastureBeef_Equations.VEERG_3_2_1_1__3_FeedIntakeForGrazingBeef(I48,I56,K26)</f>
        <v>10.112646138000002</v>
      </c>
      <c r="J64" s="51" cm="1">
        <f t="array" aca="1" ref="J64" ca="1">EntericMethane_PastureBeef_Equations.VEERG_3_2_1_1__3_FeedIntakeForGrazingBeef(J48,J56,L26)</f>
        <v>10.112646138000002</v>
      </c>
      <c r="K64" s="51" cm="1">
        <f t="array" aca="1" ref="K64" ca="1">EntericMethane_PastureBeef_Equations.VEERG_3_2_1_1__3_FeedIntakeForGrazingBeef(K48,K56,M26)</f>
        <v>7.6192560899999977</v>
      </c>
      <c r="L64" s="51" cm="1">
        <f t="array" aca="1" ref="L64" ca="1">EntericMethane_PastureBeef_Equations.VEERG_3_2_1_1__3_FeedIntakeForGrazingBeef(L48,L56,N26)</f>
        <v>9.6824279555999979</v>
      </c>
      <c r="M64" s="51" cm="1">
        <f t="array" aca="1" ref="M64" ca="1">EntericMethane_PastureBeef_Equations.VEERG_3_2_1_1__3_FeedIntakeForGrazingBeef(M48,M56,O26)</f>
        <v>9.6824279555999979</v>
      </c>
      <c r="N64" s="51" cm="1">
        <f t="array" aca="1" ref="N64" ca="1">EntericMethane_PastureBeef_Equations.VEERG_3_2_1_1__3_FeedIntakeForGrazingBeef(N48,N56,P26)</f>
        <v>9.6824279555999979</v>
      </c>
      <c r="O64" s="2" t="str">
        <f>$E$39</f>
        <v>kg DM/head/day</v>
      </c>
      <c r="P64" s="2"/>
      <c r="Q64" s="2"/>
      <c r="U64" s="51" t="str">
        <f>TEXT(EDATE('Input - Site'!$E$12,4), "mmmm")</f>
        <v>May</v>
      </c>
      <c r="V64" s="51">
        <f ca="1"/>
        <v>0.6</v>
      </c>
      <c r="W64" s="51">
        <f ca="1"/>
        <v>0</v>
      </c>
      <c r="X64" s="51">
        <f ca="1"/>
        <v>0.6</v>
      </c>
      <c r="Y64" s="51">
        <f ca="1"/>
        <v>0.22</v>
      </c>
      <c r="Z64" s="51">
        <f ca="1"/>
        <v>-0.55000000000000004</v>
      </c>
      <c r="AA64" s="51">
        <f ca="1"/>
        <v>-0.55000000000000004</v>
      </c>
      <c r="AB64" s="51">
        <f ca="1"/>
        <v>0.6</v>
      </c>
      <c r="AC64" s="51">
        <f ca="1"/>
        <v>0</v>
      </c>
      <c r="AD64" s="51">
        <f ca="1"/>
        <v>0</v>
      </c>
      <c r="AE64" s="51">
        <f ca="1"/>
        <v>0</v>
      </c>
      <c r="AF64" s="2" t="s">
        <v>107</v>
      </c>
    </row>
    <row r="65" spans="3:34" ht="20.100000000000001" customHeight="1" x14ac:dyDescent="0.25">
      <c r="D65" s="51" t="s">
        <v>136</v>
      </c>
      <c r="E65" s="51" cm="1">
        <f t="array" aca="1" ref="E65" ca="1">EntericMethane_PastureBeef_Equations.VEERG_3_2_1_1__3_FeedIntakeForGrazingBeef(E49,E57,G27)</f>
        <v>7.1468536895999959</v>
      </c>
      <c r="F65" s="51" cm="1">
        <f t="array" aca="1" ref="F65" ca="1">EntericMethane_PastureBeef_Equations.VEERG_3_2_1_1__3_FeedIntakeForGrazingBeef(F49,F57,H27)</f>
        <v>9.4559940036000008</v>
      </c>
      <c r="G65" s="51" cm="1">
        <f t="array" aca="1" ref="G65" ca="1">EntericMethane_PastureBeef_Equations.VEERG_3_2_1_1__3_FeedIntakeForGrazingBeef(G49,G57,I27)</f>
        <v>6.010342559999998</v>
      </c>
      <c r="H65" s="51" cm="1">
        <f t="array" aca="1" ref="H65" ca="1">EntericMethane_PastureBeef_Equations.VEERG_3_2_1_1__3_FeedIntakeForGrazingBeef(H49,H57,J27)</f>
        <v>7.8705497025</v>
      </c>
      <c r="I65" s="51" cm="1">
        <f t="array" aca="1" ref="I65" ca="1">EntericMethane_PastureBeef_Equations.VEERG_3_2_1_1__3_FeedIntakeForGrazingBeef(I49,I57,K27)</f>
        <v>7.7928072335999978</v>
      </c>
      <c r="J65" s="51" cm="1">
        <f t="array" aca="1" ref="J65" ca="1">EntericMethane_PastureBeef_Equations.VEERG_3_2_1_1__3_FeedIntakeForGrazingBeef(J49,J57,L27)</f>
        <v>7.7928072335999978</v>
      </c>
      <c r="K65" s="51" cm="1">
        <f t="array" aca="1" ref="K65" ca="1">EntericMethane_PastureBeef_Equations.VEERG_3_2_1_1__3_FeedIntakeForGrazingBeef(K49,K57,M27)</f>
        <v>6.5876408896000003</v>
      </c>
      <c r="L65" s="51" cm="1">
        <f t="array" aca="1" ref="L65" ca="1">EntericMethane_PastureBeef_Equations.VEERG_3_2_1_1__3_FeedIntakeForGrazingBeef(L49,L57,N27)</f>
        <v>7.3430702361</v>
      </c>
      <c r="M65" s="51" cm="1">
        <f t="array" aca="1" ref="M65" ca="1">EntericMethane_PastureBeef_Equations.VEERG_3_2_1_1__3_FeedIntakeForGrazingBeef(M49,M57,O27)</f>
        <v>7.3430702361</v>
      </c>
      <c r="N65" s="51" cm="1">
        <f t="array" aca="1" ref="N65" ca="1">EntericMethane_PastureBeef_Equations.VEERG_3_2_1_1__3_FeedIntakeForGrazingBeef(N49,N57,P27)</f>
        <v>7.3430702361</v>
      </c>
      <c r="O65" s="2" t="str">
        <f>$E$39</f>
        <v>kg DM/head/day</v>
      </c>
      <c r="P65" s="2"/>
      <c r="Q65" s="2"/>
      <c r="U65" s="51" t="str">
        <f>TEXT(EDATE('Input - Site'!$E$12,5), "mmmm")</f>
        <v>June</v>
      </c>
      <c r="V65" s="51">
        <f ca="1"/>
        <v>0.99</v>
      </c>
      <c r="W65" s="51">
        <f ca="1"/>
        <v>0.22</v>
      </c>
      <c r="X65" s="51">
        <f ca="1"/>
        <v>0.77</v>
      </c>
      <c r="Y65" s="51">
        <f ca="1"/>
        <v>0.11</v>
      </c>
      <c r="Z65" s="51">
        <f ca="1"/>
        <v>0.11</v>
      </c>
      <c r="AA65" s="51">
        <f ca="1"/>
        <v>0.11</v>
      </c>
      <c r="AB65" s="51">
        <f ca="1"/>
        <v>0.77</v>
      </c>
      <c r="AC65" s="51">
        <f ca="1"/>
        <v>0.44</v>
      </c>
      <c r="AD65" s="51">
        <f ca="1"/>
        <v>0.44</v>
      </c>
      <c r="AE65" s="51">
        <f ca="1"/>
        <v>0.44</v>
      </c>
      <c r="AF65" s="2" t="s">
        <v>107</v>
      </c>
    </row>
    <row r="66" spans="3:34" ht="20.100000000000001" customHeight="1" x14ac:dyDescent="0.25">
      <c r="D66" s="51" t="s">
        <v>137</v>
      </c>
      <c r="E66" s="51" cm="1">
        <f t="array" aca="1" ref="E66" ca="1">EntericMethane_PastureBeef_Equations.VEERG_3_2_1_1__3_FeedIntakeForGrazingBeef(E50,E58,G28)</f>
        <v>3.247204</v>
      </c>
      <c r="F66" s="51" cm="1">
        <f t="array" aca="1" ref="F66" ca="1">EntericMethane_PastureBeef_Equations.VEERG_3_2_1_1__3_FeedIntakeForGrazingBeef(F50,F58,H28)</f>
        <v>9.4246544015999998</v>
      </c>
      <c r="G66" s="51" cm="1">
        <f t="array" aca="1" ref="G66" ca="1">EntericMethane_PastureBeef_Equations.VEERG_3_2_1_1__3_FeedIntakeForGrazingBeef(G50,G58,I28)</f>
        <v>2.9603267136000002</v>
      </c>
      <c r="H66" s="51" cm="1">
        <f t="array" aca="1" ref="H66" ca="1">EntericMethane_PastureBeef_Equations.VEERG_3_2_1_1__3_FeedIntakeForGrazingBeef(H50,H58,J28)</f>
        <v>5.9577975395999987</v>
      </c>
      <c r="I66" s="51" cm="1">
        <f t="array" aca="1" ref="I66" ca="1">EntericMethane_PastureBeef_Equations.VEERG_3_2_1_1__3_FeedIntakeForGrazingBeef(I50,I58,K28)</f>
        <v>6.7179974480999993</v>
      </c>
      <c r="J66" s="51" cm="1">
        <f t="array" aca="1" ref="J66" ca="1">EntericMethane_PastureBeef_Equations.VEERG_3_2_1_1__3_FeedIntakeForGrazingBeef(J50,J58,L28)</f>
        <v>6.7179974480999993</v>
      </c>
      <c r="K66" s="51" cm="1">
        <f t="array" aca="1" ref="K66" ca="1">EntericMethane_PastureBeef_Equations.VEERG_3_2_1_1__3_FeedIntakeForGrazingBeef(K50,K58,M28)</f>
        <v>3.247204</v>
      </c>
      <c r="L66" s="51" cm="1">
        <f t="array" aca="1" ref="L66" ca="1">EntericMethane_PastureBeef_Equations.VEERG_3_2_1_1__3_FeedIntakeForGrazingBeef(L50,L58,N28)</f>
        <v>5.8953782416000013</v>
      </c>
      <c r="M66" s="51" cm="1">
        <f t="array" aca="1" ref="M66" ca="1">EntericMethane_PastureBeef_Equations.VEERG_3_2_1_1__3_FeedIntakeForGrazingBeef(M50,M58,O28)</f>
        <v>5.8953782416000013</v>
      </c>
      <c r="N66" s="51" cm="1">
        <f t="array" aca="1" ref="N66" ca="1">EntericMethane_PastureBeef_Equations.VEERG_3_2_1_1__3_FeedIntakeForGrazingBeef(N50,N58,P28)</f>
        <v>5.8953782416000013</v>
      </c>
      <c r="O66" s="2" t="str">
        <f>$E$39</f>
        <v>kg DM/head/day</v>
      </c>
      <c r="P66" s="2"/>
      <c r="Q66" s="2"/>
      <c r="U66" s="51" t="str">
        <f>TEXT(EDATE('Input - Site'!$E$12,6), "mmmm")</f>
        <v>July</v>
      </c>
      <c r="V66" s="51">
        <f ca="1"/>
        <v>0.99</v>
      </c>
      <c r="W66" s="51">
        <f ca="1"/>
        <v>0.22</v>
      </c>
      <c r="X66" s="51">
        <f ca="1"/>
        <v>0.77</v>
      </c>
      <c r="Y66" s="51">
        <f ca="1"/>
        <v>0.11</v>
      </c>
      <c r="Z66" s="51">
        <f ca="1"/>
        <v>0.11</v>
      </c>
      <c r="AA66" s="51">
        <f ca="1"/>
        <v>0.11</v>
      </c>
      <c r="AB66" s="51">
        <f ca="1"/>
        <v>0.77</v>
      </c>
      <c r="AC66" s="51">
        <f ca="1"/>
        <v>0.44</v>
      </c>
      <c r="AD66" s="51">
        <f ca="1"/>
        <v>0.44</v>
      </c>
      <c r="AE66" s="51">
        <f ca="1"/>
        <v>0.44</v>
      </c>
      <c r="AF66" s="2" t="s">
        <v>107</v>
      </c>
    </row>
    <row r="67" spans="3:34" ht="20.100000000000001" customHeight="1" x14ac:dyDescent="0.25">
      <c r="D67" s="51" t="s">
        <v>138</v>
      </c>
      <c r="E67" s="51" cm="1">
        <f t="array" aca="1" ref="E67" ca="1">EntericMethane_PastureBeef_Equations.VEERG_3_2_1_1__3_FeedIntakeForGrazingBeef(E51,E59,G29)</f>
        <v>5.1328980481000004</v>
      </c>
      <c r="F67" s="51" cm="1">
        <f t="array" aca="1" ref="F67" ca="1">EntericMethane_PastureBeef_Equations.VEERG_3_2_1_1__3_FeedIntakeForGrazingBeef(F51,F59,H29)</f>
        <v>9.9748588899999984</v>
      </c>
      <c r="G67" s="51" cm="1">
        <f t="array" aca="1" ref="G67" ca="1">EntericMethane_PastureBeef_Equations.VEERG_3_2_1_1__3_FeedIntakeForGrazingBeef(G51,G59,I29)</f>
        <v>4.202705002500001</v>
      </c>
      <c r="H67" s="51" cm="1">
        <f t="array" aca="1" ref="H67" ca="1">EntericMethane_PastureBeef_Equations.VEERG_3_2_1_1__3_FeedIntakeForGrazingBeef(H51,H59,J29)</f>
        <v>7.5283222358070025</v>
      </c>
      <c r="I67" s="51" cm="1">
        <f t="array" aca="1" ref="I67" ca="1">EntericMethane_PastureBeef_Equations.VEERG_3_2_1_1__3_FeedIntakeForGrazingBeef(I51,I59,K29)</f>
        <v>9.145195140114998</v>
      </c>
      <c r="J67" s="51" cm="1">
        <f t="array" aca="1" ref="J67" ca="1">EntericMethane_PastureBeef_Equations.VEERG_3_2_1_1__3_FeedIntakeForGrazingBeef(J51,J59,L29)</f>
        <v>9.145195140114998</v>
      </c>
      <c r="K67" s="51" cm="1">
        <f t="array" aca="1" ref="K67" ca="1">EntericMethane_PastureBeef_Equations.VEERG_3_2_1_1__3_FeedIntakeForGrazingBeef(K51,K59,M29)</f>
        <v>4.5122681240999984</v>
      </c>
      <c r="L67" s="51" cm="1">
        <f t="array" aca="1" ref="L67" ca="1">EntericMethane_PastureBeef_Equations.VEERG_3_2_1_1__3_FeedIntakeForGrazingBeef(L51,L59,N29)</f>
        <v>6.8698506815999991</v>
      </c>
      <c r="M67" s="51" cm="1">
        <f t="array" aca="1" ref="M67" ca="1">EntericMethane_PastureBeef_Equations.VEERG_3_2_1_1__3_FeedIntakeForGrazingBeef(M51,M59,O29)</f>
        <v>6.8698506815999991</v>
      </c>
      <c r="N67" s="51" cm="1">
        <f t="array" aca="1" ref="N67" ca="1">EntericMethane_PastureBeef_Equations.VEERG_3_2_1_1__3_FeedIntakeForGrazingBeef(N51,N59,P29)</f>
        <v>6.8698506815999991</v>
      </c>
      <c r="O67" s="2" t="str">
        <f>$E$39</f>
        <v>kg DM/head/day</v>
      </c>
      <c r="P67" s="2"/>
      <c r="Q67" s="2"/>
      <c r="U67" s="51" t="str">
        <f>TEXT(EDATE('Input - Site'!$E$12,7), "mmmm")</f>
        <v>August</v>
      </c>
      <c r="V67" s="51">
        <f ca="1"/>
        <v>0.99</v>
      </c>
      <c r="W67" s="51">
        <f ca="1"/>
        <v>0.22</v>
      </c>
      <c r="X67" s="51">
        <f ca="1"/>
        <v>0.77</v>
      </c>
      <c r="Y67" s="51">
        <f ca="1"/>
        <v>0.11</v>
      </c>
      <c r="Z67" s="51">
        <f ca="1"/>
        <v>0.11</v>
      </c>
      <c r="AA67" s="51">
        <f ca="1"/>
        <v>0.11</v>
      </c>
      <c r="AB67" s="51">
        <f ca="1"/>
        <v>0.77</v>
      </c>
      <c r="AC67" s="51">
        <f ca="1"/>
        <v>0.44</v>
      </c>
      <c r="AD67" s="51">
        <f ca="1"/>
        <v>0.44</v>
      </c>
      <c r="AE67" s="51">
        <f ca="1"/>
        <v>0.44</v>
      </c>
      <c r="AF67" s="2" t="s">
        <v>107</v>
      </c>
    </row>
    <row r="68" spans="3:34" ht="20.100000000000001" customHeight="1" x14ac:dyDescent="0.25">
      <c r="U68" s="51" t="str">
        <f>TEXT(EDATE('Input - Site'!$E$12,8), "mmmm")</f>
        <v>September</v>
      </c>
      <c r="V68" s="51">
        <f ca="1"/>
        <v>1.64</v>
      </c>
      <c r="W68" s="51">
        <f ca="1"/>
        <v>1.1000000000000001</v>
      </c>
      <c r="X68" s="51">
        <f ca="1"/>
        <v>1.21</v>
      </c>
      <c r="Y68" s="51">
        <f ca="1"/>
        <v>0.99</v>
      </c>
      <c r="Z68" s="51">
        <f ca="1"/>
        <v>0.66</v>
      </c>
      <c r="AA68" s="51">
        <f ca="1"/>
        <v>0.66</v>
      </c>
      <c r="AB68" s="51">
        <f ca="1"/>
        <v>1.42</v>
      </c>
      <c r="AC68" s="51">
        <f ca="1"/>
        <v>1.1000000000000001</v>
      </c>
      <c r="AD68" s="51">
        <f ca="1"/>
        <v>1.1000000000000001</v>
      </c>
      <c r="AE68" s="51">
        <f ca="1"/>
        <v>1.1000000000000001</v>
      </c>
      <c r="AF68" s="2" t="s">
        <v>107</v>
      </c>
      <c r="AG68" s="2"/>
      <c r="AH68" s="2"/>
    </row>
    <row r="69" spans="3:34" ht="20.100000000000001" customHeight="1" x14ac:dyDescent="0.25">
      <c r="U69" s="51" t="str">
        <f>TEXT(EDATE('Input - Site'!$E$12,9), "mmmm")</f>
        <v>October</v>
      </c>
      <c r="V69" s="51">
        <f ca="1"/>
        <v>1.64</v>
      </c>
      <c r="W69" s="51">
        <f ca="1"/>
        <v>1.1000000000000001</v>
      </c>
      <c r="X69" s="51">
        <f ca="1"/>
        <v>1.21</v>
      </c>
      <c r="Y69" s="51">
        <f ca="1"/>
        <v>0.99</v>
      </c>
      <c r="Z69" s="51">
        <f ca="1"/>
        <v>0.66</v>
      </c>
      <c r="AA69" s="51">
        <f ca="1"/>
        <v>0.66</v>
      </c>
      <c r="AB69" s="51">
        <f ca="1"/>
        <v>1.42</v>
      </c>
      <c r="AC69" s="51">
        <f ca="1"/>
        <v>1.1000000000000001</v>
      </c>
      <c r="AD69" s="51">
        <f ca="1"/>
        <v>1.1000000000000001</v>
      </c>
      <c r="AE69" s="51">
        <f ca="1"/>
        <v>1.1000000000000001</v>
      </c>
      <c r="AF69" s="2" t="s">
        <v>107</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f>
        <v>November</v>
      </c>
      <c r="V70" s="51">
        <f ca="1"/>
        <v>1.64</v>
      </c>
      <c r="W70" s="51">
        <f ca="1"/>
        <v>1.1000000000000001</v>
      </c>
      <c r="X70" s="51">
        <f ca="1"/>
        <v>1.21</v>
      </c>
      <c r="Y70" s="51">
        <f ca="1"/>
        <v>0.99</v>
      </c>
      <c r="Z70" s="51">
        <f ca="1"/>
        <v>0.66</v>
      </c>
      <c r="AA70" s="51">
        <f ca="1"/>
        <v>0.66</v>
      </c>
      <c r="AB70" s="51">
        <f ca="1"/>
        <v>1.42</v>
      </c>
      <c r="AC70" s="51">
        <f ca="1"/>
        <v>1.1000000000000001</v>
      </c>
      <c r="AD70" s="51">
        <f ca="1"/>
        <v>1.1000000000000001</v>
      </c>
      <c r="AE70" s="51">
        <f ca="1"/>
        <v>1.1000000000000001</v>
      </c>
      <c r="AF70" s="2" t="s">
        <v>107</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f>
        <v>December</v>
      </c>
      <c r="V71" s="51">
        <f ca="1"/>
        <v>0.44</v>
      </c>
      <c r="W71" s="51">
        <f ca="1"/>
        <v>-0.22</v>
      </c>
      <c r="X71" s="51">
        <f ca="1"/>
        <v>0.44</v>
      </c>
      <c r="Y71" s="51">
        <f ca="1"/>
        <v>0.33</v>
      </c>
      <c r="Z71" s="51">
        <f ca="1"/>
        <v>-0.22</v>
      </c>
      <c r="AA71" s="51">
        <f ca="1"/>
        <v>-0.22</v>
      </c>
      <c r="AB71" s="51">
        <f ca="1"/>
        <v>0.44</v>
      </c>
      <c r="AC71" s="51">
        <f ca="1"/>
        <v>-0.11</v>
      </c>
      <c r="AD71" s="51">
        <f ca="1"/>
        <v>-0.11</v>
      </c>
      <c r="AE71" s="51">
        <f ca="1"/>
        <v>-0.11</v>
      </c>
      <c r="AF71" s="2" t="s">
        <v>107</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21</v>
      </c>
      <c r="E73" s="13" t="str" cm="1">
        <f t="array" aca="1" ref="E73" ca="1">Common_InputFunctions.Utility_DisplayFunctionName(E85)</f>
        <v>=EntericMethane_PastureBeef_Equations.VEERG_3_2_1_1__2_DailyEntericMethaneProduction</v>
      </c>
      <c r="U73" s="96" t="s">
        <v>219</v>
      </c>
      <c r="AG73" s="2"/>
      <c r="AH73" s="2"/>
    </row>
    <row r="74" spans="3:34" ht="20.100000000000001" customHeight="1" x14ac:dyDescent="0.25">
      <c r="U74" s="95" t="s">
        <v>114</v>
      </c>
      <c r="AG74" s="2"/>
      <c r="AH74" s="2"/>
    </row>
    <row r="75" spans="3:34" ht="20.100000000000001" customHeight="1" x14ac:dyDescent="0.25">
      <c r="U75" s="50" t="s">
        <v>105</v>
      </c>
      <c r="V75" s="50" t="s">
        <v>104</v>
      </c>
      <c r="W75" s="50" t="s">
        <v>103</v>
      </c>
      <c r="X75" s="50" t="s">
        <v>127</v>
      </c>
      <c r="Y75" s="50" t="s">
        <v>128</v>
      </c>
      <c r="Z75" s="50" t="s">
        <v>129</v>
      </c>
      <c r="AA75" s="50" t="s">
        <v>130</v>
      </c>
      <c r="AB75" s="50" t="s">
        <v>131</v>
      </c>
      <c r="AC75" s="50" t="s">
        <v>132</v>
      </c>
      <c r="AD75" s="50" t="s">
        <v>133</v>
      </c>
      <c r="AE75" s="50" t="s">
        <v>134</v>
      </c>
      <c r="AG75" s="2"/>
      <c r="AH75" s="2"/>
    </row>
    <row r="76" spans="3:34" ht="20.100000000000001" customHeight="1" x14ac:dyDescent="0.25">
      <c r="U76" s="51" t="str">
        <f>TEXT('Input - Site'!$E$12, "mmmm yyyy")</f>
        <v>January 2024</v>
      </c>
      <c r="V76" s="51" cm="1">
        <f t="array" aca="1" ref="V76" ca="1">EntericMethane_PastureBeef_Equations.VEERG_3_2_1_1__3_FeedIntakeForGrazingBeef(V44,V60,X28)</f>
        <v>7.1468536895999959</v>
      </c>
      <c r="W76" s="51" cm="1">
        <f t="array" aca="1" ref="W76" ca="1">EntericMethane_PastureBeef_Equations.VEERG_3_2_1_1__3_FeedIntakeForGrazingBeef(W44,W60,Y28)</f>
        <v>9.4559940036000008</v>
      </c>
      <c r="X76" s="51" cm="1">
        <f t="array" aca="1" ref="X76" ca="1">EntericMethane_PastureBeef_Equations.VEERG_3_2_1_1__3_FeedIntakeForGrazingBeef(X44,X60,Z28)</f>
        <v>6.010342559999998</v>
      </c>
      <c r="Y76" s="51" cm="1">
        <f t="array" aca="1" ref="Y76" ca="1">EntericMethane_PastureBeef_Equations.VEERG_3_2_1_1__3_FeedIntakeForGrazingBeef(Y44,Y60,AA28)</f>
        <v>8.4608409301875014</v>
      </c>
      <c r="Z76" s="51" cm="1">
        <f t="array" aca="1" ref="Z76" ca="1">EntericMethane_PastureBeef_Equations.VEERG_3_2_1_1__3_FeedIntakeForGrazingBeef(Z44,Z60,AB28)</f>
        <v>8.3772677761199983</v>
      </c>
      <c r="AA76" s="51" cm="1">
        <f t="array" aca="1" ref="AA76" ca="1">EntericMethane_PastureBeef_Equations.VEERG_3_2_1_1__3_FeedIntakeForGrazingBeef(AA44,AA60,AC28)</f>
        <v>8.3772677761199983</v>
      </c>
      <c r="AB76" s="51" cm="1">
        <f t="array" aca="1" ref="AB76" ca="1">EntericMethane_PastureBeef_Equations.VEERG_3_2_1_1__3_FeedIntakeForGrazingBeef(AB44,AB60,AD28)</f>
        <v>6.5876408896000003</v>
      </c>
      <c r="AC76" s="51" cm="1">
        <f t="array" aca="1" ref="AC76" ca="1">EntericMethane_PastureBeef_Equations.VEERG_3_2_1_1__3_FeedIntakeForGrazingBeef(AC44,AC60,AE28)</f>
        <v>7.3430702361</v>
      </c>
      <c r="AD76" s="51" cm="1">
        <f t="array" aca="1" ref="AD76" ca="1">EntericMethane_PastureBeef_Equations.VEERG_3_2_1_1__3_FeedIntakeForGrazingBeef(AD44,AD60,AF28)</f>
        <v>7.3430702361</v>
      </c>
      <c r="AE76" s="51" cm="1">
        <f t="array" aca="1" ref="AE76" ca="1">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24</v>
      </c>
      <c r="E77" s="1" t="str" cm="1">
        <f t="array" ref="E77">EntericMethane_PastureBeef_Equations.VEERG_3_2_1_1__2_DailyEntericMethaneProduction_Variable()</f>
        <v>M_jkl</v>
      </c>
      <c r="U77" s="51" t="str">
        <f>TEXT(EDATE('Input - Site'!$E$12,1), "mmmm yyyy")</f>
        <v>February 2024</v>
      </c>
      <c r="V77" s="51" cm="1">
        <f t="array" aca="1" ref="V77" ca="1">EntericMethane_PastureBeef_Equations.VEERG_3_2_1_1__3_FeedIntakeForGrazingBeef(V45,V61,X29)</f>
        <v>7.1468536895999959</v>
      </c>
      <c r="W77" s="51" cm="1">
        <f t="array" aca="1" ref="W77" ca="1">EntericMethane_PastureBeef_Equations.VEERG_3_2_1_1__3_FeedIntakeForGrazingBeef(W45,W61,Y29)</f>
        <v>9.4559940036000008</v>
      </c>
      <c r="X77" s="51" cm="1">
        <f t="array" aca="1" ref="X77" ca="1">EntericMethane_PastureBeef_Equations.VEERG_3_2_1_1__3_FeedIntakeForGrazingBeef(X45,X61,Z29)</f>
        <v>6.010342559999998</v>
      </c>
      <c r="Y77" s="51" cm="1">
        <f t="array" aca="1" ref="Y77" ca="1">EntericMethane_PastureBeef_Equations.VEERG_3_2_1_1__3_FeedIntakeForGrazingBeef(Y45,Y61,AA29)</f>
        <v>7.8705497025</v>
      </c>
      <c r="Z77" s="51" cm="1">
        <f t="array" aca="1" ref="Z77" ca="1">EntericMethane_PastureBeef_Equations.VEERG_3_2_1_1__3_FeedIntakeForGrazingBeef(Z45,Z61,AB29)</f>
        <v>7.7928072335999978</v>
      </c>
      <c r="AA77" s="51" cm="1">
        <f t="array" aca="1" ref="AA77" ca="1">EntericMethane_PastureBeef_Equations.VEERG_3_2_1_1__3_FeedIntakeForGrazingBeef(AA45,AA61,AC29)</f>
        <v>7.7928072335999978</v>
      </c>
      <c r="AB77" s="51" cm="1">
        <f t="array" aca="1" ref="AB77" ca="1">EntericMethane_PastureBeef_Equations.VEERG_3_2_1_1__3_FeedIntakeForGrazingBeef(AB45,AB61,AD29)</f>
        <v>6.5876408896000003</v>
      </c>
      <c r="AC77" s="51" cm="1">
        <f t="array" aca="1" ref="AC77" ca="1">EntericMethane_PastureBeef_Equations.VEERG_3_2_1_1__3_FeedIntakeForGrazingBeef(AC45,AC61,AE29)</f>
        <v>7.3430702361</v>
      </c>
      <c r="AD77" s="51" cm="1">
        <f t="array" aca="1" ref="AD77" ca="1">EntericMethane_PastureBeef_Equations.VEERG_3_2_1_1__3_FeedIntakeForGrazingBeef(AD45,AD61,AF29)</f>
        <v>7.3430702361</v>
      </c>
      <c r="AE77" s="51" cm="1">
        <f t="array" aca="1" ref="AE77" ca="1">EntericMethane_PastureBeef_Equations.VEERG_3_2_1_1__3_FeedIntakeForGrazingBeef(AE45,AE61,AG29)</f>
        <v>7.3430702361</v>
      </c>
      <c r="AF77" s="2" t="str">
        <f t="shared" si="2"/>
        <v>kg DM/head/day</v>
      </c>
      <c r="AG77" s="2"/>
      <c r="AH77" s="2"/>
    </row>
    <row r="78" spans="3:34" ht="20.100000000000001" customHeight="1" x14ac:dyDescent="0.25">
      <c r="D78" s="52" t="s">
        <v>15</v>
      </c>
      <c r="E78" s="53" t="str" cm="1">
        <f t="array" ref="E78">EntericMethane_PastureBeef_Equations.VEERG_3_2_1_1__2_DailyEntericMethaneProduction_Unit()</f>
        <v>kg CH4/head/day</v>
      </c>
      <c r="U78" s="51" t="str">
        <f>TEXT(EDATE('Input - Site'!$E$12,2), "mmmm yyyy")</f>
        <v>March 2024</v>
      </c>
      <c r="V78" s="51" cm="1">
        <f t="array" aca="1" ref="V78" ca="1">EntericMethane_PastureBeef_Equations.VEERG_3_2_1_1__3_FeedIntakeForGrazingBeef(V46,V62,X30)</f>
        <v>3.247204</v>
      </c>
      <c r="W78" s="51" cm="1">
        <f t="array" aca="1" ref="W78" ca="1">EntericMethane_PastureBeef_Equations.VEERG_3_2_1_1__3_FeedIntakeForGrazingBeef(W46,W62,Y30)</f>
        <v>9.4246544015999998</v>
      </c>
      <c r="X78" s="51" cm="1">
        <f t="array" aca="1" ref="X78" ca="1">EntericMethane_PastureBeef_Equations.VEERG_3_2_1_1__3_FeedIntakeForGrazingBeef(X46,X62,Z30)</f>
        <v>2.9603267136000002</v>
      </c>
      <c r="Y78" s="51" cm="1">
        <f t="array" aca="1" ref="Y78" ca="1">EntericMethane_PastureBeef_Equations.VEERG_3_2_1_1__3_FeedIntakeForGrazingBeef(Y46,Y62,AA30)</f>
        <v>5.9577975395999987</v>
      </c>
      <c r="Z78" s="51" cm="1">
        <f t="array" aca="1" ref="Z78" ca="1">EntericMethane_PastureBeef_Equations.VEERG_3_2_1_1__3_FeedIntakeForGrazingBeef(Z46,Z62,AB30)</f>
        <v>6.7179974480999993</v>
      </c>
      <c r="AA78" s="51" cm="1">
        <f t="array" aca="1" ref="AA78" ca="1">EntericMethane_PastureBeef_Equations.VEERG_3_2_1_1__3_FeedIntakeForGrazingBeef(AA46,AA62,AC30)</f>
        <v>6.7179974480999993</v>
      </c>
      <c r="AB78" s="51" cm="1">
        <f t="array" aca="1" ref="AB78" ca="1">EntericMethane_PastureBeef_Equations.VEERG_3_2_1_1__3_FeedIntakeForGrazingBeef(AB46,AB62,AD30)</f>
        <v>3.247204</v>
      </c>
      <c r="AC78" s="51" cm="1">
        <f t="array" aca="1" ref="AC78" ca="1">EntericMethane_PastureBeef_Equations.VEERG_3_2_1_1__3_FeedIntakeForGrazingBeef(AC46,AC62,AE30)</f>
        <v>5.8953782416000013</v>
      </c>
      <c r="AD78" s="51" cm="1">
        <f t="array" aca="1" ref="AD78" ca="1">EntericMethane_PastureBeef_Equations.VEERG_3_2_1_1__3_FeedIntakeForGrazingBeef(AD46,AD62,AF30)</f>
        <v>5.8953782416000013</v>
      </c>
      <c r="AE78" s="51" cm="1">
        <f t="array" aca="1" ref="AE78" ca="1">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2024</v>
      </c>
      <c r="V79" s="51" cm="1">
        <f t="array" aca="1" ref="V79" ca="1">EntericMethane_PastureBeef_Equations.VEERG_3_2_1_1__3_FeedIntakeForGrazingBeef(V47,V63,X31)</f>
        <v>3.247204</v>
      </c>
      <c r="W79" s="51" cm="1">
        <f t="array" aca="1" ref="W79" ca="1">EntericMethane_PastureBeef_Equations.VEERG_3_2_1_1__3_FeedIntakeForGrazingBeef(W47,W63,Y31)</f>
        <v>9.4246544015999998</v>
      </c>
      <c r="X79" s="51" cm="1">
        <f t="array" aca="1" ref="X79" ca="1">EntericMethane_PastureBeef_Equations.VEERG_3_2_1_1__3_FeedIntakeForGrazingBeef(X47,X63,Z31)</f>
        <v>2.9603267136000002</v>
      </c>
      <c r="Y79" s="51" cm="1">
        <f t="array" aca="1" ref="Y79" ca="1">EntericMethane_PastureBeef_Equations.VEERG_3_2_1_1__3_FeedIntakeForGrazingBeef(Y47,Y63,AA31)</f>
        <v>5.9577975395999987</v>
      </c>
      <c r="Z79" s="51" cm="1">
        <f t="array" aca="1" ref="Z79" ca="1">EntericMethane_PastureBeef_Equations.VEERG_3_2_1_1__3_FeedIntakeForGrazingBeef(Z47,Z63,AB31)</f>
        <v>6.7179974480999993</v>
      </c>
      <c r="AA79" s="51" cm="1">
        <f t="array" aca="1" ref="AA79" ca="1">EntericMethane_PastureBeef_Equations.VEERG_3_2_1_1__3_FeedIntakeForGrazingBeef(AA47,AA63,AC31)</f>
        <v>6.7179974480999993</v>
      </c>
      <c r="AB79" s="51" cm="1">
        <f t="array" aca="1" ref="AB79" ca="1">EntericMethane_PastureBeef_Equations.VEERG_3_2_1_1__3_FeedIntakeForGrazingBeef(AB47,AB63,AD31)</f>
        <v>3.247204</v>
      </c>
      <c r="AC79" s="51" cm="1">
        <f t="array" aca="1" ref="AC79" ca="1">EntericMethane_PastureBeef_Equations.VEERG_3_2_1_1__3_FeedIntakeForGrazingBeef(AC47,AC63,AE31)</f>
        <v>5.8953782416000013</v>
      </c>
      <c r="AD79" s="51" cm="1">
        <f t="array" aca="1" ref="AD79" ca="1">EntericMethane_PastureBeef_Equations.VEERG_3_2_1_1__3_FeedIntakeForGrazingBeef(AD47,AD63,AF31)</f>
        <v>5.8953782416000013</v>
      </c>
      <c r="AE79" s="51" cm="1">
        <f t="array" aca="1" ref="AE79" ca="1">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2024</v>
      </c>
      <c r="V80" s="51" cm="1">
        <f t="array" aca="1" ref="V80" ca="1">EntericMethane_PastureBeef_Equations.VEERG_3_2_1_1__3_FeedIntakeForGrazingBeef(V48,V64,X32)</f>
        <v>3.247204</v>
      </c>
      <c r="W80" s="51" cm="1">
        <f t="array" aca="1" ref="W80" ca="1">EntericMethane_PastureBeef_Equations.VEERG_3_2_1_1__3_FeedIntakeForGrazingBeef(W48,W64,Y32)</f>
        <v>9.4246544015999998</v>
      </c>
      <c r="X80" s="51" cm="1">
        <f t="array" aca="1" ref="X80" ca="1">EntericMethane_PastureBeef_Equations.VEERG_3_2_1_1__3_FeedIntakeForGrazingBeef(X48,X64,Z32)</f>
        <v>2.9603267136000002</v>
      </c>
      <c r="Y80" s="51" cm="1">
        <f t="array" aca="1" ref="Y80" ca="1">EntericMethane_PastureBeef_Equations.VEERG_3_2_1_1__3_FeedIntakeForGrazingBeef(Y48,Y64,AA32)</f>
        <v>5.9577975395999987</v>
      </c>
      <c r="Z80" s="51" cm="1">
        <f t="array" aca="1" ref="Z80" ca="1">EntericMethane_PastureBeef_Equations.VEERG_3_2_1_1__3_FeedIntakeForGrazingBeef(Z48,Z64,AB32)</f>
        <v>6.7179974480999993</v>
      </c>
      <c r="AA80" s="51" cm="1">
        <f t="array" aca="1" ref="AA80" ca="1">EntericMethane_PastureBeef_Equations.VEERG_3_2_1_1__3_FeedIntakeForGrazingBeef(AA48,AA64,AC32)</f>
        <v>6.7179974480999993</v>
      </c>
      <c r="AB80" s="51" cm="1">
        <f t="array" aca="1" ref="AB80" ca="1">EntericMethane_PastureBeef_Equations.VEERG_3_2_1_1__3_FeedIntakeForGrazingBeef(AB48,AB64,AD32)</f>
        <v>3.247204</v>
      </c>
      <c r="AC80" s="51" cm="1">
        <f t="array" aca="1" ref="AC80" ca="1">EntericMethane_PastureBeef_Equations.VEERG_3_2_1_1__3_FeedIntakeForGrazingBeef(AC48,AC64,AE32)</f>
        <v>5.8953782416000013</v>
      </c>
      <c r="AD80" s="51" cm="1">
        <f t="array" aca="1" ref="AD80" ca="1">EntericMethane_PastureBeef_Equations.VEERG_3_2_1_1__3_FeedIntakeForGrazingBeef(AD48,AD64,AF32)</f>
        <v>5.8953782416000013</v>
      </c>
      <c r="AE80" s="51" cm="1">
        <f t="array" aca="1" ref="AE80" ca="1">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2024</v>
      </c>
      <c r="V81" s="51" cm="1">
        <f t="array" aca="1" ref="V81" ca="1">EntericMethane_PastureBeef_Equations.VEERG_3_2_1_1__3_FeedIntakeForGrazingBeef(V49,V65,X33)</f>
        <v>5.1328980481000004</v>
      </c>
      <c r="W81" s="51" cm="1">
        <f t="array" aca="1" ref="W81" ca="1">EntericMethane_PastureBeef_Equations.VEERG_3_2_1_1__3_FeedIntakeForGrazingBeef(W49,W65,Y33)</f>
        <v>9.9748588899999984</v>
      </c>
      <c r="X81" s="51" cm="1">
        <f t="array" aca="1" ref="X81" ca="1">EntericMethane_PastureBeef_Equations.VEERG_3_2_1_1__3_FeedIntakeForGrazingBeef(X49,X65,Z33)</f>
        <v>4.202705002500001</v>
      </c>
      <c r="Y81" s="51" cm="1">
        <f t="array" aca="1" ref="Y81" ca="1">EntericMethane_PastureBeef_Equations.VEERG_3_2_1_1__3_FeedIntakeForGrazingBeef(Y49,Y65,AA33)</f>
        <v>5.9278127841000021</v>
      </c>
      <c r="Z81" s="51" cm="1">
        <f t="array" aca="1" ref="Z81" ca="1">EntericMethane_PastureBeef_Equations.VEERG_3_2_1_1__3_FeedIntakeForGrazingBeef(Z49,Z65,AB33)</f>
        <v>7.952343600099999</v>
      </c>
      <c r="AA81" s="51" cm="1">
        <f t="array" aca="1" ref="AA81" ca="1">EntericMethane_PastureBeef_Equations.VEERG_3_2_1_1__3_FeedIntakeForGrazingBeef(AA49,AA65,AC33)</f>
        <v>7.952343600099999</v>
      </c>
      <c r="AB81" s="51" cm="1">
        <f t="array" aca="1" ref="AB81" ca="1">EntericMethane_PastureBeef_Equations.VEERG_3_2_1_1__3_FeedIntakeForGrazingBeef(AB49,AB65,AD33)</f>
        <v>4.5122681240999984</v>
      </c>
      <c r="AC81" s="51" cm="1">
        <f t="array" aca="1" ref="AC81" ca="1">EntericMethane_PastureBeef_Equations.VEERG_3_2_1_1__3_FeedIntakeForGrazingBeef(AC49,AC65,AE33)</f>
        <v>6.8698506815999991</v>
      </c>
      <c r="AD81" s="51" cm="1">
        <f t="array" aca="1" ref="AD81" ca="1">EntericMethane_PastureBeef_Equations.VEERG_3_2_1_1__3_FeedIntakeForGrazingBeef(AD49,AD65,AF33)</f>
        <v>6.8698506815999991</v>
      </c>
      <c r="AE81" s="51" cm="1">
        <f t="array" aca="1" ref="AE81" ca="1">EntericMethane_PastureBeef_Equations.VEERG_3_2_1_1__3_FeedIntakeForGrazingBeef(AE49,AE65,AG33)</f>
        <v>6.8698506815999991</v>
      </c>
      <c r="AF81" s="2" t="str">
        <f t="shared" si="2"/>
        <v>kg DM/head/day</v>
      </c>
    </row>
    <row r="82" spans="3:35" ht="20.100000000000001" customHeight="1" x14ac:dyDescent="0.25">
      <c r="D82" s="96" t="s">
        <v>258</v>
      </c>
      <c r="U82" s="51" t="str">
        <f>TEXT(EDATE('Input - Site'!$E$12,6), "mmmm yyyy")</f>
        <v>July 2024</v>
      </c>
      <c r="V82" s="51" cm="1">
        <f t="array" aca="1" ref="V82" ca="1">EntericMethane_PastureBeef_Equations.VEERG_3_2_1_1__3_FeedIntakeForGrazingBeef(V50,V66,X34)</f>
        <v>5.1328980481000004</v>
      </c>
      <c r="W82" s="51" cm="1">
        <f t="array" aca="1" ref="W82" ca="1">EntericMethane_PastureBeef_Equations.VEERG_3_2_1_1__3_FeedIntakeForGrazingBeef(W50,W66,Y34)</f>
        <v>9.9748588899999984</v>
      </c>
      <c r="X82" s="51" cm="1">
        <f t="array" aca="1" ref="X82" ca="1">EntericMethane_PastureBeef_Equations.VEERG_3_2_1_1__3_FeedIntakeForGrazingBeef(X50,X66,Z34)</f>
        <v>4.202705002500001</v>
      </c>
      <c r="Y82" s="51" cm="1">
        <f t="array" aca="1" ref="Y82" ca="1">EntericMethane_PastureBeef_Equations.VEERG_3_2_1_1__3_FeedIntakeForGrazingBeef(Y50,Y66,AA34)</f>
        <v>5.9278127841000021</v>
      </c>
      <c r="Z82" s="51" cm="1">
        <f t="array" aca="1" ref="Z82" ca="1">EntericMethane_PastureBeef_Equations.VEERG_3_2_1_1__3_FeedIntakeForGrazingBeef(Z50,Z66,AB34)</f>
        <v>7.952343600099999</v>
      </c>
      <c r="AA82" s="51" cm="1">
        <f t="array" aca="1" ref="AA82" ca="1">EntericMethane_PastureBeef_Equations.VEERG_3_2_1_1__3_FeedIntakeForGrazingBeef(AA50,AA66,AC34)</f>
        <v>7.952343600099999</v>
      </c>
      <c r="AB82" s="51" cm="1">
        <f t="array" aca="1" ref="AB82" ca="1">EntericMethane_PastureBeef_Equations.VEERG_3_2_1_1__3_FeedIntakeForGrazingBeef(AB50,AB66,AD34)</f>
        <v>4.5122681240999984</v>
      </c>
      <c r="AC82" s="51" cm="1">
        <f t="array" aca="1" ref="AC82" ca="1">EntericMethane_PastureBeef_Equations.VEERG_3_2_1_1__3_FeedIntakeForGrazingBeef(AC50,AC66,AE34)</f>
        <v>6.8698506815999991</v>
      </c>
      <c r="AD82" s="51" cm="1">
        <f t="array" aca="1" ref="AD82" ca="1">EntericMethane_PastureBeef_Equations.VEERG_3_2_1_1__3_FeedIntakeForGrazingBeef(AD50,AD66,AF34)</f>
        <v>6.8698506815999991</v>
      </c>
      <c r="AE82" s="51" cm="1">
        <f t="array" aca="1" ref="AE82" ca="1">EntericMethane_PastureBeef_Equations.VEERG_3_2_1_1__3_FeedIntakeForGrazingBeef(AE50,AE66,AG34)</f>
        <v>6.8698506815999991</v>
      </c>
      <c r="AF82" s="2" t="str">
        <f t="shared" si="2"/>
        <v>kg DM/head/day</v>
      </c>
    </row>
    <row r="83" spans="3:35" ht="20.100000000000001" customHeight="1" x14ac:dyDescent="0.25">
      <c r="D83" s="95" t="s">
        <v>259</v>
      </c>
      <c r="U83" s="51" t="str">
        <f>TEXT(EDATE('Input - Site'!$E$12,7), "mmmm yyyy")</f>
        <v>August 2024</v>
      </c>
      <c r="V83" s="51" cm="1">
        <f t="array" aca="1" ref="V83" ca="1">EntericMethane_PastureBeef_Equations.VEERG_3_2_1_1__3_FeedIntakeForGrazingBeef(V51,V67,X35)</f>
        <v>5.1328980481000004</v>
      </c>
      <c r="W83" s="51" cm="1">
        <f t="array" aca="1" ref="W83" ca="1">EntericMethane_PastureBeef_Equations.VEERG_3_2_1_1__3_FeedIntakeForGrazingBeef(W51,W67,Y35)</f>
        <v>9.9748588899999984</v>
      </c>
      <c r="X83" s="51" cm="1">
        <f t="array" aca="1" ref="X83" ca="1">EntericMethane_PastureBeef_Equations.VEERG_3_2_1_1__3_FeedIntakeForGrazingBeef(X51,X67,Z35)</f>
        <v>4.202705002500001</v>
      </c>
      <c r="Y83" s="51" cm="1">
        <f t="array" aca="1" ref="Y83" ca="1">EntericMethane_PastureBeef_Equations.VEERG_3_2_1_1__3_FeedIntakeForGrazingBeef(Y51,Y67,AA35)</f>
        <v>7.2615706605225032</v>
      </c>
      <c r="Z83" s="51" cm="1">
        <f t="array" aca="1" ref="Z83" ca="1">EntericMethane_PastureBeef_Equations.VEERG_3_2_1_1__3_FeedIntakeForGrazingBeef(Z51,Z67,AB35)</f>
        <v>9.7416209101224993</v>
      </c>
      <c r="AA83" s="51" cm="1">
        <f t="array" aca="1" ref="AA83" ca="1">EntericMethane_PastureBeef_Equations.VEERG_3_2_1_1__3_FeedIntakeForGrazingBeef(AA51,AA67,AC35)</f>
        <v>9.7416209101224993</v>
      </c>
      <c r="AB83" s="51" cm="1">
        <f t="array" aca="1" ref="AB83" ca="1">EntericMethane_PastureBeef_Equations.VEERG_3_2_1_1__3_FeedIntakeForGrazingBeef(AB51,AB67,AD35)</f>
        <v>4.5122681240999984</v>
      </c>
      <c r="AC83" s="51" cm="1">
        <f t="array" aca="1" ref="AC83" ca="1">EntericMethane_PastureBeef_Equations.VEERG_3_2_1_1__3_FeedIntakeForGrazingBeef(AC51,AC67,AE35)</f>
        <v>6.8698506815999991</v>
      </c>
      <c r="AD83" s="51" cm="1">
        <f t="array" aca="1" ref="AD83" ca="1">EntericMethane_PastureBeef_Equations.VEERG_3_2_1_1__3_FeedIntakeForGrazingBeef(AD51,AD67,AF35)</f>
        <v>6.8698506815999991</v>
      </c>
      <c r="AE83" s="51" cm="1">
        <f t="array" aca="1" ref="AE83" ca="1">EntericMethane_PastureBeef_Equations.VEERG_3_2_1_1__3_FeedIntakeForGrazingBeef(AE51,AE67,AG35)</f>
        <v>6.8698506815999991</v>
      </c>
      <c r="AF83" s="2" t="str">
        <f t="shared" si="2"/>
        <v>kg DM/head/day</v>
      </c>
    </row>
    <row r="84" spans="3:35" ht="20.100000000000001" customHeight="1" x14ac:dyDescent="0.25">
      <c r="D84" s="50" t="s">
        <v>146</v>
      </c>
      <c r="E84" s="50" t="s">
        <v>104</v>
      </c>
      <c r="F84" s="50" t="s">
        <v>103</v>
      </c>
      <c r="G84" s="50" t="s">
        <v>127</v>
      </c>
      <c r="H84" s="50" t="s">
        <v>128</v>
      </c>
      <c r="I84" s="50" t="s">
        <v>129</v>
      </c>
      <c r="J84" s="50" t="s">
        <v>130</v>
      </c>
      <c r="K84" s="50" t="s">
        <v>131</v>
      </c>
      <c r="L84" s="50" t="s">
        <v>132</v>
      </c>
      <c r="M84" s="50" t="s">
        <v>133</v>
      </c>
      <c r="N84" s="50" t="s">
        <v>134</v>
      </c>
      <c r="U84" s="51" t="str">
        <f>TEXT(EDATE('Input - Site'!$E$12,8), "mmmm yyyy")</f>
        <v>September 2024</v>
      </c>
      <c r="V84" s="51" cm="1">
        <f t="array" aca="1" ref="V84" ca="1">EntericMethane_PastureBeef_Equations.VEERG_3_2_1_1__3_FeedIntakeForGrazingBeef(V52,V68,X36)</f>
        <v>8.6709047296000001</v>
      </c>
      <c r="W84" s="51" cm="1">
        <f t="array" aca="1" ref="W84" ca="1">EntericMethane_PastureBeef_Equations.VEERG_3_2_1_1__3_FeedIntakeForGrazingBeef(W52,W68,Y36)</f>
        <v>12.246500250000002</v>
      </c>
      <c r="X84" s="51" cm="1">
        <f t="array" aca="1" ref="X84" ca="1">EntericMethane_PastureBeef_Equations.VEERG_3_2_1_1__3_FeedIntakeForGrazingBeef(X52,X68,Z36)</f>
        <v>6.6089612241000006</v>
      </c>
      <c r="Y84" s="51" cm="1">
        <f t="array" aca="1" ref="Y84" ca="1">EntericMethane_PastureBeef_Equations.VEERG_3_2_1_1__3_FeedIntakeForGrazingBeef(Y52,Y68,AA36)</f>
        <v>10.624527777622504</v>
      </c>
      <c r="Z84" s="51" cm="1">
        <f t="array" aca="1" ref="Z84" ca="1">EntericMethane_PastureBeef_Equations.VEERG_3_2_1_1__3_FeedIntakeForGrazingBeef(Z52,Z68,AB36)</f>
        <v>11.798087161000003</v>
      </c>
      <c r="AA84" s="51" cm="1">
        <f t="array" aca="1" ref="AA84" ca="1">EntericMethane_PastureBeef_Equations.VEERG_3_2_1_1__3_FeedIntakeForGrazingBeef(AA52,AA68,AC36)</f>
        <v>11.798087161000003</v>
      </c>
      <c r="AB84" s="51" cm="1">
        <f t="array" aca="1" ref="AB84" ca="1">EntericMethane_PastureBeef_Equations.VEERG_3_2_1_1__3_FeedIntakeForGrazingBeef(AB52,AB68,AD36)</f>
        <v>7.6192560899999977</v>
      </c>
      <c r="AC84" s="51" cm="1">
        <f t="array" aca="1" ref="AC84" ca="1">EntericMethane_PastureBeef_Equations.VEERG_3_2_1_1__3_FeedIntakeForGrazingBeef(AC52,AC68,AE36)</f>
        <v>9.6824279555999979</v>
      </c>
      <c r="AD84" s="51" cm="1">
        <f t="array" aca="1" ref="AD84" ca="1">EntericMethane_PastureBeef_Equations.VEERG_3_2_1_1__3_FeedIntakeForGrazingBeef(AD52,AD68,AF36)</f>
        <v>9.6824279555999979</v>
      </c>
      <c r="AE84" s="51" cm="1">
        <f t="array" aca="1" ref="AE84" ca="1">EntericMethane_PastureBeef_Equations.VEERG_3_2_1_1__3_FeedIntakeForGrazingBeef(AE52,AE68,AG36)</f>
        <v>9.6824279555999979</v>
      </c>
      <c r="AF84" s="2" t="str">
        <f t="shared" si="2"/>
        <v>kg DM/head/day</v>
      </c>
      <c r="AG84" s="2"/>
      <c r="AH84" s="2"/>
    </row>
    <row r="85" spans="3:35" ht="20.100000000000001" customHeight="1" x14ac:dyDescent="0.25">
      <c r="D85" s="51" t="s">
        <v>135</v>
      </c>
      <c r="E85" s="51" cm="1">
        <f t="array" aca="1" ref="E85" ca="1">EntericMethane_PastureBeef_Equations.VEERG_3_2_1_1__2_DailyEntericMethaneProduction(E64)</f>
        <v>0.17948772790272</v>
      </c>
      <c r="F85" s="51" cm="1">
        <f t="array" aca="1" ref="F85" ca="1">EntericMethane_PastureBeef_Equations.VEERG_3_2_1_1__2_DailyEntericMethaneProduction(F64)</f>
        <v>0.25350255517500003</v>
      </c>
      <c r="G85" s="51" cm="1">
        <f t="array" aca="1" ref="G85" ca="1">EntericMethane_PastureBeef_Equations.VEERG_3_2_1_1__2_DailyEntericMethaneProduction(G64)</f>
        <v>0.13680549733887001</v>
      </c>
      <c r="H85" s="51" cm="1">
        <f t="array" aca="1" ref="H85" ca="1">EntericMethane_PastureBeef_Equations.VEERG_3_2_1_1__2_DailyEntericMethaneProduction(H64)</f>
        <v>0.19569079203795636</v>
      </c>
      <c r="I85" s="51" cm="1">
        <f t="array" aca="1" ref="I85" ca="1">EntericMethane_PastureBeef_Equations.VEERG_3_2_1_1__2_DailyEntericMethaneProduction(I64)</f>
        <v>0.20933177505660003</v>
      </c>
      <c r="J85" s="51" cm="1">
        <f t="array" aca="1" ref="J85" ca="1">EntericMethane_PastureBeef_Equations.VEERG_3_2_1_1__2_DailyEntericMethaneProduction(J64)</f>
        <v>0.20933177505660003</v>
      </c>
      <c r="K85" s="51" cm="1">
        <f t="array" aca="1" ref="K85" ca="1">EntericMethane_PastureBeef_Equations.VEERG_3_2_1_1__2_DailyEntericMethaneProduction(K64)</f>
        <v>0.15771860106299995</v>
      </c>
      <c r="L85" s="51" cm="1">
        <f t="array" aca="1" ref="L85" ca="1">EntericMethane_PastureBeef_Equations.VEERG_3_2_1_1__2_DailyEntericMethaneProduction(L64)</f>
        <v>0.20042625868091996</v>
      </c>
      <c r="M85" s="51" cm="1">
        <f t="array" aca="1" ref="M85" ca="1">EntericMethane_PastureBeef_Equations.VEERG_3_2_1_1__2_DailyEntericMethaneProduction(M64)</f>
        <v>0.20042625868091996</v>
      </c>
      <c r="N85" s="51" cm="1">
        <f t="array" aca="1" ref="N85" ca="1">EntericMethane_PastureBeef_Equations.VEERG_3_2_1_1__2_DailyEntericMethaneProduction(N64)</f>
        <v>0.20042625868091996</v>
      </c>
      <c r="O85" s="2" t="str">
        <f>G80</f>
        <v>kg DM/head/day</v>
      </c>
      <c r="P85" s="2"/>
      <c r="Q85" s="2"/>
      <c r="U85" s="51" t="str">
        <f>TEXT(EDATE('Input - Site'!$E$12,9), "mmmm yyyy")</f>
        <v>October 2024</v>
      </c>
      <c r="V85" s="51" cm="1">
        <f t="array" aca="1" ref="V85" ca="1">EntericMethane_PastureBeef_Equations.VEERG_3_2_1_1__3_FeedIntakeForGrazingBeef(V53,V69,X37)</f>
        <v>8.6709047296000001</v>
      </c>
      <c r="W85" s="51" cm="1">
        <f t="array" aca="1" ref="W85" ca="1">EntericMethane_PastureBeef_Equations.VEERG_3_2_1_1__3_FeedIntakeForGrazingBeef(W53,W69,Y37)</f>
        <v>12.246500250000002</v>
      </c>
      <c r="X85" s="51" cm="1">
        <f t="array" aca="1" ref="X85" ca="1">EntericMethane_PastureBeef_Equations.VEERG_3_2_1_1__3_FeedIntakeForGrazingBeef(X53,X69,Z37)</f>
        <v>6.6089612241000006</v>
      </c>
      <c r="Y85" s="51" cm="1">
        <f t="array" aca="1" ref="Y85" ca="1">EntericMethane_PastureBeef_Equations.VEERG_3_2_1_1__3_FeedIntakeForGrazingBeef(Y53,Y69,AA37)</f>
        <v>10.624527777622504</v>
      </c>
      <c r="Z85" s="51" cm="1">
        <f t="array" aca="1" ref="Z85" ca="1">EntericMethane_PastureBeef_Equations.VEERG_3_2_1_1__3_FeedIntakeForGrazingBeef(Z53,Z69,AB37)</f>
        <v>11.798087161000003</v>
      </c>
      <c r="AA85" s="51" cm="1">
        <f t="array" aca="1" ref="AA85" ca="1">EntericMethane_PastureBeef_Equations.VEERG_3_2_1_1__3_FeedIntakeForGrazingBeef(AA53,AA69,AC37)</f>
        <v>11.798087161000003</v>
      </c>
      <c r="AB85" s="51" cm="1">
        <f t="array" aca="1" ref="AB85" ca="1">EntericMethane_PastureBeef_Equations.VEERG_3_2_1_1__3_FeedIntakeForGrazingBeef(AB53,AB69,AD37)</f>
        <v>7.6192560899999977</v>
      </c>
      <c r="AC85" s="51" cm="1">
        <f t="array" aca="1" ref="AC85" ca="1">EntericMethane_PastureBeef_Equations.VEERG_3_2_1_1__3_FeedIntakeForGrazingBeef(AC53,AC69,AE37)</f>
        <v>9.6824279555999979</v>
      </c>
      <c r="AD85" s="51" cm="1">
        <f t="array" aca="1" ref="AD85" ca="1">EntericMethane_PastureBeef_Equations.VEERG_3_2_1_1__3_FeedIntakeForGrazingBeef(AD53,AD69,AF37)</f>
        <v>9.6824279555999979</v>
      </c>
      <c r="AE85" s="51" cm="1">
        <f t="array" aca="1" ref="AE85" ca="1">EntericMethane_PastureBeef_Equations.VEERG_3_2_1_1__3_FeedIntakeForGrazingBeef(AE53,AE69,AG37)</f>
        <v>9.6824279555999979</v>
      </c>
      <c r="AF85" s="2" t="str">
        <f t="shared" si="2"/>
        <v>kg DM/head/day</v>
      </c>
      <c r="AG85" s="2"/>
      <c r="AH85" s="2"/>
    </row>
    <row r="86" spans="3:35" ht="20.100000000000001" customHeight="1" x14ac:dyDescent="0.25">
      <c r="D86" s="51" t="s">
        <v>136</v>
      </c>
      <c r="E86" s="51" cm="1">
        <f t="array" aca="1" ref="E86" ca="1">EntericMethane_PastureBeef_Equations.VEERG_3_2_1_1__2_DailyEntericMethaneProduction(E65)</f>
        <v>0.14793987137471989</v>
      </c>
      <c r="F86" s="51" cm="1">
        <f t="array" aca="1" ref="F86" ca="1">EntericMethane_PastureBeef_Equations.VEERG_3_2_1_1__2_DailyEntericMethaneProduction(F65)</f>
        <v>0.19573907587452002</v>
      </c>
      <c r="G86" s="51" cm="1">
        <f t="array" aca="1" ref="G86" ca="1">EntericMethane_PastureBeef_Equations.VEERG_3_2_1_1__2_DailyEntericMethaneProduction(G65)</f>
        <v>0.12441409099199996</v>
      </c>
      <c r="H86" s="51" cm="1">
        <f t="array" aca="1" ref="H86" ca="1">EntericMethane_PastureBeef_Equations.VEERG_3_2_1_1__2_DailyEntericMethaneProduction(H65)</f>
        <v>0.16292037884175001</v>
      </c>
      <c r="I86" s="51" cm="1">
        <f t="array" aca="1" ref="I86" ca="1">EntericMethane_PastureBeef_Equations.VEERG_3_2_1_1__2_DailyEntericMethaneProduction(I65)</f>
        <v>0.16131110973551996</v>
      </c>
      <c r="J86" s="51" cm="1">
        <f t="array" aca="1" ref="J86" ca="1">EntericMethane_PastureBeef_Equations.VEERG_3_2_1_1__2_DailyEntericMethaneProduction(J65)</f>
        <v>0.16131110973551996</v>
      </c>
      <c r="K86" s="51" cm="1">
        <f t="array" aca="1" ref="K86" ca="1">EntericMethane_PastureBeef_Equations.VEERG_3_2_1_1__2_DailyEntericMethaneProduction(K65)</f>
        <v>0.13636416641471999</v>
      </c>
      <c r="L86" s="51" cm="1">
        <f t="array" aca="1" ref="L86" ca="1">EntericMethane_PastureBeef_Equations.VEERG_3_2_1_1__2_DailyEntericMethaneProduction(L65)</f>
        <v>0.15200155388727002</v>
      </c>
      <c r="M86" s="51" cm="1">
        <f t="array" aca="1" ref="M86" ca="1">EntericMethane_PastureBeef_Equations.VEERG_3_2_1_1__2_DailyEntericMethaneProduction(M65)</f>
        <v>0.15200155388727002</v>
      </c>
      <c r="N86" s="51" cm="1">
        <f t="array" aca="1" ref="N86" ca="1">EntericMethane_PastureBeef_Equations.VEERG_3_2_1_1__2_DailyEntericMethaneProduction(N65)</f>
        <v>0.15200155388727002</v>
      </c>
      <c r="O86" s="2"/>
      <c r="P86" s="2"/>
      <c r="Q86" s="2"/>
      <c r="U86" s="51" t="str">
        <f>TEXT(EDATE('Input - Site'!$E$12,10), "mmmm yyyy")</f>
        <v>November 2024</v>
      </c>
      <c r="V86" s="51" cm="1">
        <f t="array" aca="1" ref="V86" ca="1">EntericMethane_PastureBeef_Equations.VEERG_3_2_1_1__3_FeedIntakeForGrazingBeef(V54,V70,X38)</f>
        <v>8.6709047296000001</v>
      </c>
      <c r="W86" s="51" cm="1">
        <f t="array" aca="1" ref="W86" ca="1">EntericMethane_PastureBeef_Equations.VEERG_3_2_1_1__3_FeedIntakeForGrazingBeef(W54,W70,Y38)</f>
        <v>12.246500250000002</v>
      </c>
      <c r="X86" s="51" cm="1">
        <f t="array" aca="1" ref="X86" ca="1">EntericMethane_PastureBeef_Equations.VEERG_3_2_1_1__3_FeedIntakeForGrazingBeef(X54,X70,Z38)</f>
        <v>6.6089612241000006</v>
      </c>
      <c r="Y86" s="51" cm="1">
        <f t="array" aca="1" ref="Y86" ca="1">EntericMethane_PastureBeef_Equations.VEERG_3_2_1_1__3_FeedIntakeForGrazingBeef(Y54,Y70,AA38)</f>
        <v>9.3235651926075036</v>
      </c>
      <c r="Z86" s="51" cm="1">
        <f t="array" aca="1" ref="Z86" ca="1">EntericMethane_PastureBeef_Equations.VEERG_3_2_1_1__3_FeedIntakeForGrazingBeef(Z54,Z70,AB38)</f>
        <v>10.353423427000003</v>
      </c>
      <c r="AA86" s="51" cm="1">
        <f t="array" aca="1" ref="AA86" ca="1">EntericMethane_PastureBeef_Equations.VEERG_3_2_1_1__3_FeedIntakeForGrazingBeef(AA54,AA70,AC38)</f>
        <v>10.353423427000003</v>
      </c>
      <c r="AB86" s="51" cm="1">
        <f t="array" aca="1" ref="AB86" ca="1">EntericMethane_PastureBeef_Equations.VEERG_3_2_1_1__3_FeedIntakeForGrazingBeef(AB54,AB70,AD38)</f>
        <v>7.6192560899999977</v>
      </c>
      <c r="AC86" s="51" cm="1">
        <f t="array" aca="1" ref="AC86" ca="1">EntericMethane_PastureBeef_Equations.VEERG_3_2_1_1__3_FeedIntakeForGrazingBeef(AC54,AC70,AE38)</f>
        <v>9.6824279555999979</v>
      </c>
      <c r="AD86" s="51" cm="1">
        <f t="array" aca="1" ref="AD86" ca="1">EntericMethane_PastureBeef_Equations.VEERG_3_2_1_1__3_FeedIntakeForGrazingBeef(AD54,AD70,AF38)</f>
        <v>9.6824279555999979</v>
      </c>
      <c r="AE86" s="51" cm="1">
        <f t="array" aca="1" ref="AE86" ca="1">EntericMethane_PastureBeef_Equations.VEERG_3_2_1_1__3_FeedIntakeForGrazingBeef(AE54,AE70,AG38)</f>
        <v>9.6824279555999979</v>
      </c>
      <c r="AF86" s="2" t="str">
        <f t="shared" si="2"/>
        <v>kg DM/head/day</v>
      </c>
      <c r="AG86" s="2"/>
      <c r="AH86" s="2"/>
    </row>
    <row r="87" spans="3:35" ht="20.100000000000001" customHeight="1" x14ac:dyDescent="0.25">
      <c r="D87" s="51" t="s">
        <v>137</v>
      </c>
      <c r="E87" s="51" cm="1">
        <f t="array" aca="1" ref="E87" ca="1">EntericMethane_PastureBeef_Equations.VEERG_3_2_1_1__2_DailyEntericMethaneProduction(E66)</f>
        <v>6.7217122800000001E-2</v>
      </c>
      <c r="F87" s="51" cm="1">
        <f t="array" aca="1" ref="F87" ca="1">EntericMethane_PastureBeef_Equations.VEERG_3_2_1_1__2_DailyEntericMethaneProduction(F66)</f>
        <v>0.19509034611311998</v>
      </c>
      <c r="G87" s="51" cm="1">
        <f t="array" aca="1" ref="G87" ca="1">EntericMethane_PastureBeef_Equations.VEERG_3_2_1_1__2_DailyEntericMethaneProduction(G66)</f>
        <v>6.1278762971520004E-2</v>
      </c>
      <c r="H87" s="51" cm="1">
        <f t="array" aca="1" ref="H87" ca="1">EntericMethane_PastureBeef_Equations.VEERG_3_2_1_1__2_DailyEntericMethaneProduction(H66)</f>
        <v>0.12332640906971998</v>
      </c>
      <c r="I87" s="51" cm="1">
        <f t="array" aca="1" ref="I87" ca="1">EntericMethane_PastureBeef_Equations.VEERG_3_2_1_1__2_DailyEntericMethaneProduction(I66)</f>
        <v>0.13906254717566999</v>
      </c>
      <c r="J87" s="51" cm="1">
        <f t="array" aca="1" ref="J87" ca="1">EntericMethane_PastureBeef_Equations.VEERG_3_2_1_1__2_DailyEntericMethaneProduction(J66)</f>
        <v>0.13906254717566999</v>
      </c>
      <c r="K87" s="51" cm="1">
        <f t="array" aca="1" ref="K87" ca="1">EntericMethane_PastureBeef_Equations.VEERG_3_2_1_1__2_DailyEntericMethaneProduction(K66)</f>
        <v>6.7217122800000001E-2</v>
      </c>
      <c r="L87" s="51" cm="1">
        <f t="array" aca="1" ref="L87" ca="1">EntericMethane_PastureBeef_Equations.VEERG_3_2_1_1__2_DailyEntericMethaneProduction(L66)</f>
        <v>0.12203432960112003</v>
      </c>
      <c r="M87" s="51" cm="1">
        <f t="array" aca="1" ref="M87" ca="1">EntericMethane_PastureBeef_Equations.VEERG_3_2_1_1__2_DailyEntericMethaneProduction(M66)</f>
        <v>0.12203432960112003</v>
      </c>
      <c r="N87" s="51" cm="1">
        <f t="array" aca="1" ref="N87" ca="1">EntericMethane_PastureBeef_Equations.VEERG_3_2_1_1__2_DailyEntericMethaneProduction(N66)</f>
        <v>0.12203432960112003</v>
      </c>
      <c r="O87" s="2"/>
      <c r="P87" s="2"/>
      <c r="Q87" s="2"/>
      <c r="U87" s="51" t="str">
        <f>TEXT(EDATE('Input - Site'!$E$12,11), "mmmm yyyy")</f>
        <v>December 2024</v>
      </c>
      <c r="V87" s="51" cm="1">
        <f t="array" aca="1" ref="V87" ca="1">EntericMethane_PastureBeef_Equations.VEERG_3_2_1_1__3_FeedIntakeForGrazingBeef(V55,V71,X39)</f>
        <v>7.1468536895999959</v>
      </c>
      <c r="W87" s="51" cm="1">
        <f t="array" aca="1" ref="W87" ca="1">EntericMethane_PastureBeef_Equations.VEERG_3_2_1_1__3_FeedIntakeForGrazingBeef(W55,W71,Y39)</f>
        <v>9.4559940036000008</v>
      </c>
      <c r="X87" s="51" cm="1">
        <f t="array" aca="1" ref="X87" ca="1">EntericMethane_PastureBeef_Equations.VEERG_3_2_1_1__3_FeedIntakeForGrazingBeef(X55,X71,Z39)</f>
        <v>6.010342559999998</v>
      </c>
      <c r="Y87" s="51" cm="1">
        <f t="array" aca="1" ref="Y87" ca="1">EntericMethane_PastureBeef_Equations.VEERG_3_2_1_1__3_FeedIntakeForGrazingBeef(Y55,Y71,AA39)</f>
        <v>8.4608409301875014</v>
      </c>
      <c r="Z87" s="51" cm="1">
        <f t="array" aca="1" ref="Z87" ca="1">EntericMethane_PastureBeef_Equations.VEERG_3_2_1_1__3_FeedIntakeForGrazingBeef(Z55,Z71,AB39)</f>
        <v>8.3772677761199983</v>
      </c>
      <c r="AA87" s="51" cm="1">
        <f t="array" aca="1" ref="AA87" ca="1">EntericMethane_PastureBeef_Equations.VEERG_3_2_1_1__3_FeedIntakeForGrazingBeef(AA55,AA71,AC39)</f>
        <v>8.3772677761199983</v>
      </c>
      <c r="AB87" s="51" cm="1">
        <f t="array" aca="1" ref="AB87" ca="1">EntericMethane_PastureBeef_Equations.VEERG_3_2_1_1__3_FeedIntakeForGrazingBeef(AB55,AB71,AD39)</f>
        <v>6.5876408896000003</v>
      </c>
      <c r="AC87" s="51" cm="1">
        <f t="array" aca="1" ref="AC87" ca="1">EntericMethane_PastureBeef_Equations.VEERG_3_2_1_1__3_FeedIntakeForGrazingBeef(AC55,AC71,AE39)</f>
        <v>7.3430702361</v>
      </c>
      <c r="AD87" s="51" cm="1">
        <f t="array" aca="1" ref="AD87" ca="1">EntericMethane_PastureBeef_Equations.VEERG_3_2_1_1__3_FeedIntakeForGrazingBeef(AD55,AD71,AF39)</f>
        <v>7.3430702361</v>
      </c>
      <c r="AE87" s="51" cm="1">
        <f t="array" aca="1" ref="AE87" ca="1">EntericMethane_PastureBeef_Equations.VEERG_3_2_1_1__3_FeedIntakeForGrazingBeef(AE55,AE71,AG39)</f>
        <v>7.3430702361</v>
      </c>
      <c r="AF87" s="2" t="str">
        <f t="shared" si="2"/>
        <v>kg DM/head/day</v>
      </c>
      <c r="AG87" s="2"/>
      <c r="AH87" s="2"/>
    </row>
    <row r="88" spans="3:35" ht="20.100000000000001" customHeight="1" x14ac:dyDescent="0.25">
      <c r="D88" s="51" t="s">
        <v>138</v>
      </c>
      <c r="E88" s="51" cm="1">
        <f t="array" aca="1" ref="E88" ca="1">EntericMethane_PastureBeef_Equations.VEERG_3_2_1_1__2_DailyEntericMethaneProduction(E67)</f>
        <v>0.10625098959567</v>
      </c>
      <c r="F88" s="51" cm="1">
        <f t="array" aca="1" ref="F88" ca="1">EntericMethane_PastureBeef_Equations.VEERG_3_2_1_1__2_DailyEntericMethaneProduction(F67)</f>
        <v>0.20647957902299996</v>
      </c>
      <c r="G88" s="51" cm="1">
        <f t="array" aca="1" ref="G88" ca="1">EntericMethane_PastureBeef_Equations.VEERG_3_2_1_1__2_DailyEntericMethaneProduction(G67)</f>
        <v>8.6995993551750014E-2</v>
      </c>
      <c r="H88" s="51" cm="1">
        <f t="array" aca="1" ref="H88" ca="1">EntericMethane_PastureBeef_Equations.VEERG_3_2_1_1__2_DailyEntericMethaneProduction(H67)</f>
        <v>0.15583627028120495</v>
      </c>
      <c r="I88" s="51" cm="1">
        <f t="array" aca="1" ref="I88" ca="1">EntericMethane_PastureBeef_Equations.VEERG_3_2_1_1__2_DailyEntericMethaneProduction(I67)</f>
        <v>0.18930553940038045</v>
      </c>
      <c r="J88" s="51" cm="1">
        <f t="array" aca="1" ref="J88" ca="1">EntericMethane_PastureBeef_Equations.VEERG_3_2_1_1__2_DailyEntericMethaneProduction(J67)</f>
        <v>0.18930553940038045</v>
      </c>
      <c r="K88" s="51" cm="1">
        <f t="array" aca="1" ref="K88" ca="1">EntericMethane_PastureBeef_Equations.VEERG_3_2_1_1__2_DailyEntericMethaneProduction(K67)</f>
        <v>9.3403950168869973E-2</v>
      </c>
      <c r="L88" s="51" cm="1">
        <f t="array" aca="1" ref="L88" ca="1">EntericMethane_PastureBeef_Equations.VEERG_3_2_1_1__2_DailyEntericMethaneProduction(L67)</f>
        <v>0.14220590910911998</v>
      </c>
      <c r="M88" s="51" cm="1">
        <f t="array" aca="1" ref="M88" ca="1">EntericMethane_PastureBeef_Equations.VEERG_3_2_1_1__2_DailyEntericMethaneProduction(M67)</f>
        <v>0.14220590910911998</v>
      </c>
      <c r="N88" s="51" cm="1">
        <f t="array" aca="1" ref="N88" ca="1">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21</v>
      </c>
      <c r="E94" s="13" t="str" cm="1">
        <f t="array" aca="1" ref="E94" ca="1">Common_InputFunctions.Utility_DisplayFunctionName(E123)</f>
        <v>=EntericMethane_PastureBeef_Equations.VEERG_3_2_1_1__1_TotalAnnualMethaneFromEntericFermentation</v>
      </c>
      <c r="U94" s="96" t="s">
        <v>264</v>
      </c>
    </row>
    <row r="95" spans="3:35" ht="20.100000000000001" customHeight="1" x14ac:dyDescent="0.25">
      <c r="U95" s="95" t="s">
        <v>265</v>
      </c>
    </row>
    <row r="96" spans="3:35" ht="20.100000000000001" customHeight="1" x14ac:dyDescent="0.25">
      <c r="U96" s="50" t="s">
        <v>105</v>
      </c>
      <c r="V96" s="50" t="s">
        <v>104</v>
      </c>
      <c r="W96" s="50" t="s">
        <v>103</v>
      </c>
      <c r="X96" s="50" t="s">
        <v>127</v>
      </c>
      <c r="Y96" s="50" t="s">
        <v>128</v>
      </c>
      <c r="Z96" s="50" t="s">
        <v>129</v>
      </c>
      <c r="AA96" s="50" t="s">
        <v>130</v>
      </c>
      <c r="AB96" s="50" t="s">
        <v>131</v>
      </c>
      <c r="AC96" s="50" t="s">
        <v>132</v>
      </c>
      <c r="AD96" s="50" t="s">
        <v>133</v>
      </c>
      <c r="AE96" s="50" t="s">
        <v>134</v>
      </c>
    </row>
    <row r="97" spans="4:35" ht="20.100000000000001" customHeight="1" x14ac:dyDescent="0.25">
      <c r="D97" s="52" t="s">
        <v>24</v>
      </c>
      <c r="E97" s="1" t="str" cm="1">
        <f t="array" ref="E97">EntericMethane_PastureBeef_Equations.VEERG_3_2_1_1__1_TotalAnnualMethaneFromEntericFermentation_Variable()</f>
        <v>E_enteric</v>
      </c>
      <c r="U97" s="51" t="str">
        <f>TEXT('Input - Site'!$E$12, "mmmm yyyy")</f>
        <v>January 2024</v>
      </c>
      <c r="V97" s="51" cm="1">
        <f t="array" aca="1" ref="V97" ca="1">EntericMethane_PastureBeef_Equations.VEERG_3_2_1_1__2_DailyEntericMethaneProduction(V76)</f>
        <v>0.14793987137471989</v>
      </c>
      <c r="W97" s="51" cm="1">
        <f t="array" aca="1" ref="W97" ca="1">EntericMethane_PastureBeef_Equations.VEERG_3_2_1_1__2_DailyEntericMethaneProduction(W76)</f>
        <v>0.19573907587452002</v>
      </c>
      <c r="X97" s="51" cm="1">
        <f t="array" aca="1" ref="X97" ca="1">EntericMethane_PastureBeef_Equations.VEERG_3_2_1_1__2_DailyEntericMethaneProduction(X76)</f>
        <v>0.12441409099199996</v>
      </c>
      <c r="Y97" s="51" cm="1">
        <f t="array" aca="1" ref="Y97" ca="1">EntericMethane_PastureBeef_Equations.VEERG_3_2_1_1__2_DailyEntericMethaneProduction(Y76)</f>
        <v>0.17513940725488128</v>
      </c>
      <c r="Z97" s="51" cm="1">
        <f t="array" aca="1" ref="Z97" ca="1">EntericMethane_PastureBeef_Equations.VEERG_3_2_1_1__2_DailyEntericMethaneProduction(Z76)</f>
        <v>0.17340944296568395</v>
      </c>
      <c r="AA97" s="51" cm="1">
        <f t="array" aca="1" ref="AA97" ca="1">EntericMethane_PastureBeef_Equations.VEERG_3_2_1_1__2_DailyEntericMethaneProduction(AA76)</f>
        <v>0.17340944296568395</v>
      </c>
      <c r="AB97" s="51" cm="1">
        <f t="array" aca="1" ref="AB97" ca="1">EntericMethane_PastureBeef_Equations.VEERG_3_2_1_1__2_DailyEntericMethaneProduction(AB76)</f>
        <v>0.13636416641471999</v>
      </c>
      <c r="AC97" s="51" cm="1">
        <f t="array" aca="1" ref="AC97" ca="1">EntericMethane_PastureBeef_Equations.VEERG_3_2_1_1__2_DailyEntericMethaneProduction(AC76)</f>
        <v>0.15200155388727002</v>
      </c>
      <c r="AD97" s="51" cm="1">
        <f t="array" aca="1" ref="AD97" ca="1">EntericMethane_PastureBeef_Equations.VEERG_3_2_1_1__2_DailyEntericMethaneProduction(AD76)</f>
        <v>0.15200155388727002</v>
      </c>
      <c r="AE97" s="51" cm="1">
        <f t="array" aca="1" ref="AE97" ca="1">EntericMethane_PastureBeef_Equations.VEERG_3_2_1_1__2_DailyEntericMethaneProduction(AE76)</f>
        <v>0.15200155388727002</v>
      </c>
      <c r="AF97" s="2" t="str">
        <f>$G$80</f>
        <v>kg DM/head/day</v>
      </c>
    </row>
    <row r="98" spans="4:35" ht="20.100000000000001" customHeight="1" x14ac:dyDescent="0.25">
      <c r="D98" s="52" t="s">
        <v>15</v>
      </c>
      <c r="E98" s="53" t="str" cm="1">
        <f t="array" ref="E98">EntericMethane_PastureBeef_Equations.VEERG_3_2_1_1__1_TotalAnnualMethaneFromEntericFermentation_Unit()</f>
        <v>t CH4</v>
      </c>
      <c r="U98" s="51" t="str">
        <f>TEXT(EDATE('Input - Site'!$E$12,1), "mmmm yyyy")</f>
        <v>February 2024</v>
      </c>
      <c r="V98" s="51" cm="1">
        <f t="array" aca="1" ref="V98" ca="1">EntericMethane_PastureBeef_Equations.VEERG_3_2_1_1__2_DailyEntericMethaneProduction(V77)</f>
        <v>0.14793987137471989</v>
      </c>
      <c r="W98" s="51" cm="1">
        <f t="array" aca="1" ref="W98" ca="1">EntericMethane_PastureBeef_Equations.VEERG_3_2_1_1__2_DailyEntericMethaneProduction(W77)</f>
        <v>0.19573907587452002</v>
      </c>
      <c r="X98" s="51" cm="1">
        <f t="array" aca="1" ref="X98" ca="1">EntericMethane_PastureBeef_Equations.VEERG_3_2_1_1__2_DailyEntericMethaneProduction(X77)</f>
        <v>0.12441409099199996</v>
      </c>
      <c r="Y98" s="51" cm="1">
        <f t="array" aca="1" ref="Y98" ca="1">EntericMethane_PastureBeef_Equations.VEERG_3_2_1_1__2_DailyEntericMethaneProduction(Y77)</f>
        <v>0.16292037884175001</v>
      </c>
      <c r="Z98" s="51" cm="1">
        <f t="array" aca="1" ref="Z98" ca="1">EntericMethane_PastureBeef_Equations.VEERG_3_2_1_1__2_DailyEntericMethaneProduction(Z77)</f>
        <v>0.16131110973551996</v>
      </c>
      <c r="AA98" s="51" cm="1">
        <f t="array" aca="1" ref="AA98" ca="1">EntericMethane_PastureBeef_Equations.VEERG_3_2_1_1__2_DailyEntericMethaneProduction(AA77)</f>
        <v>0.16131110973551996</v>
      </c>
      <c r="AB98" s="51" cm="1">
        <f t="array" aca="1" ref="AB98" ca="1">EntericMethane_PastureBeef_Equations.VEERG_3_2_1_1__2_DailyEntericMethaneProduction(AB77)</f>
        <v>0.13636416641471999</v>
      </c>
      <c r="AC98" s="51" cm="1">
        <f t="array" aca="1" ref="AC98" ca="1">EntericMethane_PastureBeef_Equations.VEERG_3_2_1_1__2_DailyEntericMethaneProduction(AC77)</f>
        <v>0.15200155388727002</v>
      </c>
      <c r="AD98" s="51" cm="1">
        <f t="array" aca="1" ref="AD98" ca="1">EntericMethane_PastureBeef_Equations.VEERG_3_2_1_1__2_DailyEntericMethaneProduction(AD77)</f>
        <v>0.15200155388727002</v>
      </c>
      <c r="AE98" s="51" cm="1">
        <f t="array" aca="1" ref="AE98" ca="1">EntericMethane_PastureBeef_Equations.VEERG_3_2_1_1__2_DailyEntericMethaneProduction(AE77)</f>
        <v>0.15200155388727002</v>
      </c>
      <c r="AF98" s="2"/>
    </row>
    <row r="99" spans="4:35" ht="20.100000000000001" customHeight="1" x14ac:dyDescent="0.25">
      <c r="U99" s="51" t="str">
        <f>TEXT(EDATE('Input - Site'!$E$12,2), "mmmm yyyy")</f>
        <v>March 2024</v>
      </c>
      <c r="V99" s="51" cm="1">
        <f t="array" aca="1" ref="V99" ca="1">EntericMethane_PastureBeef_Equations.VEERG_3_2_1_1__2_DailyEntericMethaneProduction(V78)</f>
        <v>6.7217122800000001E-2</v>
      </c>
      <c r="W99" s="51" cm="1">
        <f t="array" aca="1" ref="W99" ca="1">EntericMethane_PastureBeef_Equations.VEERG_3_2_1_1__2_DailyEntericMethaneProduction(W78)</f>
        <v>0.19509034611311998</v>
      </c>
      <c r="X99" s="51" cm="1">
        <f t="array" aca="1" ref="X99" ca="1">EntericMethane_PastureBeef_Equations.VEERG_3_2_1_1__2_DailyEntericMethaneProduction(X78)</f>
        <v>6.1278762971520004E-2</v>
      </c>
      <c r="Y99" s="51" cm="1">
        <f t="array" aca="1" ref="Y99" ca="1">EntericMethane_PastureBeef_Equations.VEERG_3_2_1_1__2_DailyEntericMethaneProduction(Y78)</f>
        <v>0.12332640906971998</v>
      </c>
      <c r="Z99" s="51" cm="1">
        <f t="array" aca="1" ref="Z99" ca="1">EntericMethane_PastureBeef_Equations.VEERG_3_2_1_1__2_DailyEntericMethaneProduction(Z78)</f>
        <v>0.13906254717566999</v>
      </c>
      <c r="AA99" s="51" cm="1">
        <f t="array" aca="1" ref="AA99" ca="1">EntericMethane_PastureBeef_Equations.VEERG_3_2_1_1__2_DailyEntericMethaneProduction(AA78)</f>
        <v>0.13906254717566999</v>
      </c>
      <c r="AB99" s="51" cm="1">
        <f t="array" aca="1" ref="AB99" ca="1">EntericMethane_PastureBeef_Equations.VEERG_3_2_1_1__2_DailyEntericMethaneProduction(AB78)</f>
        <v>6.7217122800000001E-2</v>
      </c>
      <c r="AC99" s="51" cm="1">
        <f t="array" aca="1" ref="AC99" ca="1">EntericMethane_PastureBeef_Equations.VEERG_3_2_1_1__2_DailyEntericMethaneProduction(AC78)</f>
        <v>0.12203432960112003</v>
      </c>
      <c r="AD99" s="51" cm="1">
        <f t="array" aca="1" ref="AD99" ca="1">EntericMethane_PastureBeef_Equations.VEERG_3_2_1_1__2_DailyEntericMethaneProduction(AD78)</f>
        <v>0.12203432960112003</v>
      </c>
      <c r="AE99" s="51" cm="1">
        <f t="array" aca="1" ref="AE99" ca="1">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TEXT(EDATE('Input - Site'!$E$12,3), "mmmm yyyy")</f>
        <v>April 2024</v>
      </c>
      <c r="V100" s="51" cm="1">
        <f t="array" aca="1" ref="V100" ca="1">EntericMethane_PastureBeef_Equations.VEERG_3_2_1_1__2_DailyEntericMethaneProduction(V79)</f>
        <v>6.7217122800000001E-2</v>
      </c>
      <c r="W100" s="51" cm="1">
        <f t="array" aca="1" ref="W100" ca="1">EntericMethane_PastureBeef_Equations.VEERG_3_2_1_1__2_DailyEntericMethaneProduction(W79)</f>
        <v>0.19509034611311998</v>
      </c>
      <c r="X100" s="51" cm="1">
        <f t="array" aca="1" ref="X100" ca="1">EntericMethane_PastureBeef_Equations.VEERG_3_2_1_1__2_DailyEntericMethaneProduction(X79)</f>
        <v>6.1278762971520004E-2</v>
      </c>
      <c r="Y100" s="51" cm="1">
        <f t="array" aca="1" ref="Y100" ca="1">EntericMethane_PastureBeef_Equations.VEERG_3_2_1_1__2_DailyEntericMethaneProduction(Y79)</f>
        <v>0.12332640906971998</v>
      </c>
      <c r="Z100" s="51" cm="1">
        <f t="array" aca="1" ref="Z100" ca="1">EntericMethane_PastureBeef_Equations.VEERG_3_2_1_1__2_DailyEntericMethaneProduction(Z79)</f>
        <v>0.13906254717566999</v>
      </c>
      <c r="AA100" s="51" cm="1">
        <f t="array" aca="1" ref="AA100" ca="1">EntericMethane_PastureBeef_Equations.VEERG_3_2_1_1__2_DailyEntericMethaneProduction(AA79)</f>
        <v>0.13906254717566999</v>
      </c>
      <c r="AB100" s="51" cm="1">
        <f t="array" aca="1" ref="AB100" ca="1">EntericMethane_PastureBeef_Equations.VEERG_3_2_1_1__2_DailyEntericMethaneProduction(AB79)</f>
        <v>6.7217122800000001E-2</v>
      </c>
      <c r="AC100" s="51" cm="1">
        <f t="array" aca="1" ref="AC100" ca="1">EntericMethane_PastureBeef_Equations.VEERG_3_2_1_1__2_DailyEntericMethaneProduction(AC79)</f>
        <v>0.12203432960112003</v>
      </c>
      <c r="AD100" s="51" cm="1">
        <f t="array" aca="1" ref="AD100" ca="1">EntericMethane_PastureBeef_Equations.VEERG_3_2_1_1__2_DailyEntericMethaneProduction(AD79)</f>
        <v>0.12203432960112003</v>
      </c>
      <c r="AE100" s="51" cm="1">
        <f t="array" aca="1" ref="AE100" ca="1">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TEXT(EDATE('Input - Site'!$E$12,4), "mmmm yyyy")</f>
        <v>May 2024</v>
      </c>
      <c r="V101" s="51" cm="1">
        <f t="array" aca="1" ref="V101" ca="1">EntericMethane_PastureBeef_Equations.VEERG_3_2_1_1__2_DailyEntericMethaneProduction(V80)</f>
        <v>6.7217122800000001E-2</v>
      </c>
      <c r="W101" s="51" cm="1">
        <f t="array" aca="1" ref="W101" ca="1">EntericMethane_PastureBeef_Equations.VEERG_3_2_1_1__2_DailyEntericMethaneProduction(W80)</f>
        <v>0.19509034611311998</v>
      </c>
      <c r="X101" s="51" cm="1">
        <f t="array" aca="1" ref="X101" ca="1">EntericMethane_PastureBeef_Equations.VEERG_3_2_1_1__2_DailyEntericMethaneProduction(X80)</f>
        <v>6.1278762971520004E-2</v>
      </c>
      <c r="Y101" s="51" cm="1">
        <f t="array" aca="1" ref="Y101" ca="1">EntericMethane_PastureBeef_Equations.VEERG_3_2_1_1__2_DailyEntericMethaneProduction(Y80)</f>
        <v>0.12332640906971998</v>
      </c>
      <c r="Z101" s="51" cm="1">
        <f t="array" aca="1" ref="Z101" ca="1">EntericMethane_PastureBeef_Equations.VEERG_3_2_1_1__2_DailyEntericMethaneProduction(Z80)</f>
        <v>0.13906254717566999</v>
      </c>
      <c r="AA101" s="51" cm="1">
        <f t="array" aca="1" ref="AA101" ca="1">EntericMethane_PastureBeef_Equations.VEERG_3_2_1_1__2_DailyEntericMethaneProduction(AA80)</f>
        <v>0.13906254717566999</v>
      </c>
      <c r="AB101" s="51" cm="1">
        <f t="array" aca="1" ref="AB101" ca="1">EntericMethane_PastureBeef_Equations.VEERG_3_2_1_1__2_DailyEntericMethaneProduction(AB80)</f>
        <v>6.7217122800000001E-2</v>
      </c>
      <c r="AC101" s="51" cm="1">
        <f t="array" aca="1" ref="AC101" ca="1">EntericMethane_PastureBeef_Equations.VEERG_3_2_1_1__2_DailyEntericMethaneProduction(AC80)</f>
        <v>0.12203432960112003</v>
      </c>
      <c r="AD101" s="51" cm="1">
        <f t="array" aca="1" ref="AD101" ca="1">EntericMethane_PastureBeef_Equations.VEERG_3_2_1_1__2_DailyEntericMethaneProduction(AD80)</f>
        <v>0.12203432960112003</v>
      </c>
      <c r="AE101" s="51" cm="1">
        <f t="array" aca="1" ref="AE101" ca="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TEXT(EDATE('Input - Site'!$E$12,5), "mmmm yyyy")</f>
        <v>June 2024</v>
      </c>
      <c r="V102" s="51" cm="1">
        <f t="array" aca="1" ref="V102" ca="1">EntericMethane_PastureBeef_Equations.VEERG_3_2_1_1__2_DailyEntericMethaneProduction(V81)</f>
        <v>0.10625098959567</v>
      </c>
      <c r="W102" s="51" cm="1">
        <f t="array" aca="1" ref="W102" ca="1">EntericMethane_PastureBeef_Equations.VEERG_3_2_1_1__2_DailyEntericMethaneProduction(W81)</f>
        <v>0.20647957902299996</v>
      </c>
      <c r="X102" s="51" cm="1">
        <f t="array" aca="1" ref="X102" ca="1">EntericMethane_PastureBeef_Equations.VEERG_3_2_1_1__2_DailyEntericMethaneProduction(X81)</f>
        <v>8.6995993551750014E-2</v>
      </c>
      <c r="Y102" s="51" cm="1">
        <f t="array" aca="1" ref="Y102" ca="1">EntericMethane_PastureBeef_Equations.VEERG_3_2_1_1__2_DailyEntericMethaneProduction(Y81)</f>
        <v>0.12270572463087004</v>
      </c>
      <c r="Z102" s="51" cm="1">
        <f t="array" aca="1" ref="Z102" ca="1">EntericMethane_PastureBeef_Equations.VEERG_3_2_1_1__2_DailyEntericMethaneProduction(Z81)</f>
        <v>0.16461351252206999</v>
      </c>
      <c r="AA102" s="51" cm="1">
        <f t="array" aca="1" ref="AA102" ca="1">EntericMethane_PastureBeef_Equations.VEERG_3_2_1_1__2_DailyEntericMethaneProduction(AA81)</f>
        <v>0.16461351252206999</v>
      </c>
      <c r="AB102" s="51" cm="1">
        <f t="array" aca="1" ref="AB102" ca="1">EntericMethane_PastureBeef_Equations.VEERG_3_2_1_1__2_DailyEntericMethaneProduction(AB81)</f>
        <v>9.3403950168869973E-2</v>
      </c>
      <c r="AC102" s="51" cm="1">
        <f t="array" aca="1" ref="AC102" ca="1">EntericMethane_PastureBeef_Equations.VEERG_3_2_1_1__2_DailyEntericMethaneProduction(AC81)</f>
        <v>0.14220590910911998</v>
      </c>
      <c r="AD102" s="51" cm="1">
        <f t="array" aca="1" ref="AD102" ca="1">EntericMethane_PastureBeef_Equations.VEERG_3_2_1_1__2_DailyEntericMethaneProduction(AD81)</f>
        <v>0.14220590910911998</v>
      </c>
      <c r="AE102" s="51" cm="1">
        <f t="array" aca="1" ref="AE102" ca="1">EntericMethane_PastureBeef_Equations.VEERG_3_2_1_1__2_DailyEntericMethaneProduction(AE81)</f>
        <v>0.14220590910911998</v>
      </c>
      <c r="AF102" s="2"/>
    </row>
    <row r="103" spans="4:35" ht="20.100000000000001" customHeight="1" x14ac:dyDescent="0.25">
      <c r="U103" s="51" t="str">
        <f>TEXT(EDATE('Input - Site'!$E$12,6), "mmmm yyyy")</f>
        <v>July 2024</v>
      </c>
      <c r="V103" s="51" cm="1">
        <f t="array" aca="1" ref="V103" ca="1">EntericMethane_PastureBeef_Equations.VEERG_3_2_1_1__2_DailyEntericMethaneProduction(V82)</f>
        <v>0.10625098959567</v>
      </c>
      <c r="W103" s="51" cm="1">
        <f t="array" aca="1" ref="W103" ca="1">EntericMethane_PastureBeef_Equations.VEERG_3_2_1_1__2_DailyEntericMethaneProduction(W82)</f>
        <v>0.20647957902299996</v>
      </c>
      <c r="X103" s="51" cm="1">
        <f t="array" aca="1" ref="X103" ca="1">EntericMethane_PastureBeef_Equations.VEERG_3_2_1_1__2_DailyEntericMethaneProduction(X82)</f>
        <v>8.6995993551750014E-2</v>
      </c>
      <c r="Y103" s="51" cm="1">
        <f t="array" aca="1" ref="Y103" ca="1">EntericMethane_PastureBeef_Equations.VEERG_3_2_1_1__2_DailyEntericMethaneProduction(Y82)</f>
        <v>0.12270572463087004</v>
      </c>
      <c r="Z103" s="51" cm="1">
        <f t="array" aca="1" ref="Z103" ca="1">EntericMethane_PastureBeef_Equations.VEERG_3_2_1_1__2_DailyEntericMethaneProduction(Z82)</f>
        <v>0.16461351252206999</v>
      </c>
      <c r="AA103" s="51" cm="1">
        <f t="array" aca="1" ref="AA103" ca="1">EntericMethane_PastureBeef_Equations.VEERG_3_2_1_1__2_DailyEntericMethaneProduction(AA82)</f>
        <v>0.16461351252206999</v>
      </c>
      <c r="AB103" s="51" cm="1">
        <f t="array" aca="1" ref="AB103" ca="1">EntericMethane_PastureBeef_Equations.VEERG_3_2_1_1__2_DailyEntericMethaneProduction(AB82)</f>
        <v>9.3403950168869973E-2</v>
      </c>
      <c r="AC103" s="51" cm="1">
        <f t="array" aca="1" ref="AC103" ca="1">EntericMethane_PastureBeef_Equations.VEERG_3_2_1_1__2_DailyEntericMethaneProduction(AC82)</f>
        <v>0.14220590910911998</v>
      </c>
      <c r="AD103" s="51" cm="1">
        <f t="array" aca="1" ref="AD103" ca="1">EntericMethane_PastureBeef_Equations.VEERG_3_2_1_1__2_DailyEntericMethaneProduction(AD82)</f>
        <v>0.14220590910911998</v>
      </c>
      <c r="AE103" s="51" cm="1">
        <f t="array" aca="1" ref="AE103" ca="1">EntericMethane_PastureBeef_Equations.VEERG_3_2_1_1__2_DailyEntericMethaneProduction(AE82)</f>
        <v>0.14220590910911998</v>
      </c>
      <c r="AF103" s="2"/>
    </row>
    <row r="104" spans="4:35" ht="20.100000000000001" customHeight="1" x14ac:dyDescent="0.25">
      <c r="D104" s="96" t="s">
        <v>225</v>
      </c>
      <c r="U104" s="51" t="str">
        <f>TEXT(EDATE('Input - Site'!$E$12,7), "mmmm yyyy")</f>
        <v>August 2024</v>
      </c>
      <c r="V104" s="51" cm="1">
        <f t="array" aca="1" ref="V104" ca="1">EntericMethane_PastureBeef_Equations.VEERG_3_2_1_1__2_DailyEntericMethaneProduction(V83)</f>
        <v>0.10625098959567</v>
      </c>
      <c r="W104" s="51" cm="1">
        <f t="array" aca="1" ref="W104" ca="1">EntericMethane_PastureBeef_Equations.VEERG_3_2_1_1__2_DailyEntericMethaneProduction(W83)</f>
        <v>0.20647957902299996</v>
      </c>
      <c r="X104" s="51" cm="1">
        <f t="array" aca="1" ref="X104" ca="1">EntericMethane_PastureBeef_Equations.VEERG_3_2_1_1__2_DailyEntericMethaneProduction(X83)</f>
        <v>8.6995993551750014E-2</v>
      </c>
      <c r="Y104" s="51" cm="1">
        <f t="array" aca="1" ref="Y104" ca="1">EntericMethane_PastureBeef_Equations.VEERG_3_2_1_1__2_DailyEntericMethaneProduction(Y83)</f>
        <v>0.15031451267281581</v>
      </c>
      <c r="Z104" s="51" cm="1">
        <f t="array" aca="1" ref="Z104" ca="1">EntericMethane_PastureBeef_Equations.VEERG_3_2_1_1__2_DailyEntericMethaneProduction(Z83)</f>
        <v>0.20165155283953573</v>
      </c>
      <c r="AA104" s="51" cm="1">
        <f t="array" aca="1" ref="AA104" ca="1">EntericMethane_PastureBeef_Equations.VEERG_3_2_1_1__2_DailyEntericMethaneProduction(AA83)</f>
        <v>0.20165155283953573</v>
      </c>
      <c r="AB104" s="51" cm="1">
        <f t="array" aca="1" ref="AB104" ca="1">EntericMethane_PastureBeef_Equations.VEERG_3_2_1_1__2_DailyEntericMethaneProduction(AB83)</f>
        <v>9.3403950168869973E-2</v>
      </c>
      <c r="AC104" s="51" cm="1">
        <f t="array" aca="1" ref="AC104" ca="1">EntericMethane_PastureBeef_Equations.VEERG_3_2_1_1__2_DailyEntericMethaneProduction(AC83)</f>
        <v>0.14220590910911998</v>
      </c>
      <c r="AD104" s="51" cm="1">
        <f t="array" aca="1" ref="AD104" ca="1">EntericMethane_PastureBeef_Equations.VEERG_3_2_1_1__2_DailyEntericMethaneProduction(AD83)</f>
        <v>0.14220590910911998</v>
      </c>
      <c r="AE104" s="51" cm="1">
        <f t="array" aca="1" ref="AE104" ca="1">EntericMethane_PastureBeef_Equations.VEERG_3_2_1_1__2_DailyEntericMethaneProduction(AE83)</f>
        <v>0.14220590910911998</v>
      </c>
      <c r="AF104" s="2"/>
    </row>
    <row r="105" spans="4:35" ht="20.100000000000001" customHeight="1" x14ac:dyDescent="0.25">
      <c r="D105" s="95" t="s">
        <v>226</v>
      </c>
      <c r="U105" s="51" t="str">
        <f>TEXT(EDATE('Input - Site'!$E$12,8), "mmmm yyyy")</f>
        <v>September 2024</v>
      </c>
      <c r="V105" s="51" cm="1">
        <f t="array" aca="1" ref="V105" ca="1">EntericMethane_PastureBeef_Equations.VEERG_3_2_1_1__2_DailyEntericMethaneProduction(V84)</f>
        <v>0.17948772790272</v>
      </c>
      <c r="W105" s="51" cm="1">
        <f t="array" aca="1" ref="W105" ca="1">EntericMethane_PastureBeef_Equations.VEERG_3_2_1_1__2_DailyEntericMethaneProduction(W84)</f>
        <v>0.25350255517500003</v>
      </c>
      <c r="X105" s="51" cm="1">
        <f t="array" aca="1" ref="X105" ca="1">EntericMethane_PastureBeef_Equations.VEERG_3_2_1_1__2_DailyEntericMethaneProduction(X84)</f>
        <v>0.13680549733887001</v>
      </c>
      <c r="Y105" s="51" cm="1">
        <f t="array" aca="1" ref="Y105" ca="1">EntericMethane_PastureBeef_Equations.VEERG_3_2_1_1__2_DailyEntericMethaneProduction(Y84)</f>
        <v>0.21992772499678584</v>
      </c>
      <c r="Z105" s="51" cm="1">
        <f t="array" aca="1" ref="Z105" ca="1">EntericMethane_PastureBeef_Equations.VEERG_3_2_1_1__2_DailyEntericMethaneProduction(Z84)</f>
        <v>0.24422040423270006</v>
      </c>
      <c r="AA105" s="51" cm="1">
        <f t="array" aca="1" ref="AA105" ca="1">EntericMethane_PastureBeef_Equations.VEERG_3_2_1_1__2_DailyEntericMethaneProduction(AA84)</f>
        <v>0.24422040423270006</v>
      </c>
      <c r="AB105" s="51" cm="1">
        <f t="array" aca="1" ref="AB105" ca="1">EntericMethane_PastureBeef_Equations.VEERG_3_2_1_1__2_DailyEntericMethaneProduction(AB84)</f>
        <v>0.15771860106299995</v>
      </c>
      <c r="AC105" s="51" cm="1">
        <f t="array" aca="1" ref="AC105" ca="1">EntericMethane_PastureBeef_Equations.VEERG_3_2_1_1__2_DailyEntericMethaneProduction(AC84)</f>
        <v>0.20042625868091996</v>
      </c>
      <c r="AD105" s="51" cm="1">
        <f t="array" aca="1" ref="AD105" ca="1">EntericMethane_PastureBeef_Equations.VEERG_3_2_1_1__2_DailyEntericMethaneProduction(AD84)</f>
        <v>0.20042625868091996</v>
      </c>
      <c r="AE105" s="51" cm="1">
        <f t="array" aca="1" ref="AE105" ca="1">EntericMethane_PastureBeef_Equations.VEERG_3_2_1_1__2_DailyEntericMethaneProduction(AE84)</f>
        <v>0.20042625868091996</v>
      </c>
      <c r="AF105" s="2"/>
    </row>
    <row r="106" spans="4:35" ht="20.100000000000001" customHeight="1" x14ac:dyDescent="0.25">
      <c r="D106" s="50" t="s">
        <v>146</v>
      </c>
      <c r="E106" s="115" t="s">
        <v>104</v>
      </c>
      <c r="F106" s="115" t="s">
        <v>103</v>
      </c>
      <c r="G106" s="115" t="s">
        <v>127</v>
      </c>
      <c r="H106" s="115" t="s">
        <v>128</v>
      </c>
      <c r="I106" s="115" t="s">
        <v>129</v>
      </c>
      <c r="J106" s="115" t="s">
        <v>130</v>
      </c>
      <c r="K106" s="115" t="s">
        <v>131</v>
      </c>
      <c r="L106" s="115" t="s">
        <v>132</v>
      </c>
      <c r="M106" s="115" t="s">
        <v>133</v>
      </c>
      <c r="N106" s="115" t="s">
        <v>134</v>
      </c>
      <c r="U106" s="51" t="str">
        <f>TEXT(EDATE('Input - Site'!$E$12,9), "mmmm yyyy")</f>
        <v>October 2024</v>
      </c>
      <c r="V106" s="51" cm="1">
        <f t="array" aca="1" ref="V106" ca="1">EntericMethane_PastureBeef_Equations.VEERG_3_2_1_1__2_DailyEntericMethaneProduction(V85)</f>
        <v>0.17948772790272</v>
      </c>
      <c r="W106" s="51" cm="1">
        <f t="array" aca="1" ref="W106" ca="1">EntericMethane_PastureBeef_Equations.VEERG_3_2_1_1__2_DailyEntericMethaneProduction(W85)</f>
        <v>0.25350255517500003</v>
      </c>
      <c r="X106" s="51" cm="1">
        <f t="array" aca="1" ref="X106" ca="1">EntericMethane_PastureBeef_Equations.VEERG_3_2_1_1__2_DailyEntericMethaneProduction(X85)</f>
        <v>0.13680549733887001</v>
      </c>
      <c r="Y106" s="51" cm="1">
        <f t="array" aca="1" ref="Y106" ca="1">EntericMethane_PastureBeef_Equations.VEERG_3_2_1_1__2_DailyEntericMethaneProduction(Y85)</f>
        <v>0.21992772499678584</v>
      </c>
      <c r="Z106" s="51" cm="1">
        <f t="array" aca="1" ref="Z106" ca="1">EntericMethane_PastureBeef_Equations.VEERG_3_2_1_1__2_DailyEntericMethaneProduction(Z85)</f>
        <v>0.24422040423270006</v>
      </c>
      <c r="AA106" s="51" cm="1">
        <f t="array" aca="1" ref="AA106" ca="1">EntericMethane_PastureBeef_Equations.VEERG_3_2_1_1__2_DailyEntericMethaneProduction(AA85)</f>
        <v>0.24422040423270006</v>
      </c>
      <c r="AB106" s="51" cm="1">
        <f t="array" aca="1" ref="AB106" ca="1">EntericMethane_PastureBeef_Equations.VEERG_3_2_1_1__2_DailyEntericMethaneProduction(AB85)</f>
        <v>0.15771860106299995</v>
      </c>
      <c r="AC106" s="51" cm="1">
        <f t="array" aca="1" ref="AC106" ca="1">EntericMethane_PastureBeef_Equations.VEERG_3_2_1_1__2_DailyEntericMethaneProduction(AC85)</f>
        <v>0.20042625868091996</v>
      </c>
      <c r="AD106" s="51" cm="1">
        <f t="array" aca="1" ref="AD106" ca="1">EntericMethane_PastureBeef_Equations.VEERG_3_2_1_1__2_DailyEntericMethaneProduction(AD85)</f>
        <v>0.20042625868091996</v>
      </c>
      <c r="AE106" s="51" cm="1">
        <f t="array" aca="1" ref="AE106" ca="1">EntericMethane_PastureBeef_Equations.VEERG_3_2_1_1__2_DailyEntericMethaneProduction(AE85)</f>
        <v>0.20042625868091996</v>
      </c>
      <c r="AF106" s="2"/>
    </row>
    <row r="107" spans="4:35" ht="20.100000000000001" customHeight="1" x14ac:dyDescent="0.25">
      <c r="D107" s="51" t="s">
        <v>135</v>
      </c>
      <c r="E107" s="51" cm="1">
        <f t="array" aca="1" ref="E107:N110" ca="1">OFFSET(X_Table_PastureBeef_Head_Method1,1,1,4,10)</f>
        <v>100</v>
      </c>
      <c r="F107" s="51">
        <f ca="1"/>
        <v>100</v>
      </c>
      <c r="G107" s="51">
        <f ca="1"/>
        <v>100</v>
      </c>
      <c r="H107" s="51">
        <f ca="1"/>
        <v>100</v>
      </c>
      <c r="I107" s="51">
        <f ca="1"/>
        <v>100</v>
      </c>
      <c r="J107" s="51">
        <f ca="1"/>
        <v>100</v>
      </c>
      <c r="K107" s="51">
        <f ca="1"/>
        <v>100</v>
      </c>
      <c r="L107" s="51">
        <f ca="1"/>
        <v>100</v>
      </c>
      <c r="M107" s="51">
        <f ca="1"/>
        <v>100</v>
      </c>
      <c r="N107" s="51">
        <f ca="1"/>
        <v>100</v>
      </c>
      <c r="O107" s="2" t="str">
        <f>G102</f>
        <v>head</v>
      </c>
      <c r="U107" s="51" t="str">
        <f>TEXT(EDATE('Input - Site'!$E$12,10), "mmmm yyyy")</f>
        <v>November 2024</v>
      </c>
      <c r="V107" s="51" cm="1">
        <f t="array" aca="1" ref="V107" ca="1">EntericMethane_PastureBeef_Equations.VEERG_3_2_1_1__2_DailyEntericMethaneProduction(V86)</f>
        <v>0.17948772790272</v>
      </c>
      <c r="W107" s="51" cm="1">
        <f t="array" aca="1" ref="W107" ca="1">EntericMethane_PastureBeef_Equations.VEERG_3_2_1_1__2_DailyEntericMethaneProduction(W86)</f>
        <v>0.25350255517500003</v>
      </c>
      <c r="X107" s="51" cm="1">
        <f t="array" aca="1" ref="X107" ca="1">EntericMethane_PastureBeef_Equations.VEERG_3_2_1_1__2_DailyEntericMethaneProduction(X86)</f>
        <v>0.13680549733887001</v>
      </c>
      <c r="Y107" s="51" cm="1">
        <f t="array" aca="1" ref="Y107" ca="1">EntericMethane_PastureBeef_Equations.VEERG_3_2_1_1__2_DailyEntericMethaneProduction(Y86)</f>
        <v>0.19299779948697532</v>
      </c>
      <c r="Z107" s="51" cm="1">
        <f t="array" aca="1" ref="Z107" ca="1">EntericMethane_PastureBeef_Equations.VEERG_3_2_1_1__2_DailyEntericMethaneProduction(Z86)</f>
        <v>0.21431586493890006</v>
      </c>
      <c r="AA107" s="51" cm="1">
        <f t="array" aca="1" ref="AA107" ca="1">EntericMethane_PastureBeef_Equations.VEERG_3_2_1_1__2_DailyEntericMethaneProduction(AA86)</f>
        <v>0.21431586493890006</v>
      </c>
      <c r="AB107" s="51" cm="1">
        <f t="array" aca="1" ref="AB107" ca="1">EntericMethane_PastureBeef_Equations.VEERG_3_2_1_1__2_DailyEntericMethaneProduction(AB86)</f>
        <v>0.15771860106299995</v>
      </c>
      <c r="AC107" s="51" cm="1">
        <f t="array" aca="1" ref="AC107" ca="1">EntericMethane_PastureBeef_Equations.VEERG_3_2_1_1__2_DailyEntericMethaneProduction(AC86)</f>
        <v>0.20042625868091996</v>
      </c>
      <c r="AD107" s="51" cm="1">
        <f t="array" aca="1" ref="AD107" ca="1">EntericMethane_PastureBeef_Equations.VEERG_3_2_1_1__2_DailyEntericMethaneProduction(AD86)</f>
        <v>0.20042625868091996</v>
      </c>
      <c r="AE107" s="51" cm="1">
        <f t="array" aca="1" ref="AE107" ca="1">EntericMethane_PastureBeef_Equations.VEERG_3_2_1_1__2_DailyEntericMethaneProduction(AE86)</f>
        <v>0.20042625868091996</v>
      </c>
      <c r="AF107" s="2"/>
    </row>
    <row r="108" spans="4:35" ht="20.100000000000001" customHeight="1" x14ac:dyDescent="0.25">
      <c r="D108" s="51" t="s">
        <v>136</v>
      </c>
      <c r="E108" s="51">
        <f ca="1"/>
        <v>100</v>
      </c>
      <c r="F108" s="51">
        <f ca="1"/>
        <v>100</v>
      </c>
      <c r="G108" s="51">
        <f ca="1"/>
        <v>100</v>
      </c>
      <c r="H108" s="51">
        <f ca="1"/>
        <v>100</v>
      </c>
      <c r="I108" s="51">
        <f ca="1"/>
        <v>100</v>
      </c>
      <c r="J108" s="51">
        <f ca="1"/>
        <v>100</v>
      </c>
      <c r="K108" s="51">
        <f ca="1"/>
        <v>100</v>
      </c>
      <c r="L108" s="51">
        <f ca="1"/>
        <v>100</v>
      </c>
      <c r="M108" s="51">
        <f ca="1"/>
        <v>100</v>
      </c>
      <c r="N108" s="51">
        <f ca="1"/>
        <v>100</v>
      </c>
      <c r="O108" s="2"/>
      <c r="U108" s="51" t="str">
        <f>TEXT(EDATE('Input - Site'!$E$12,11), "mmmm yyyy")</f>
        <v>December 2024</v>
      </c>
      <c r="V108" s="51" cm="1">
        <f t="array" aca="1" ref="V108" ca="1">EntericMethane_PastureBeef_Equations.VEERG_3_2_1_1__2_DailyEntericMethaneProduction(V87)</f>
        <v>0.14793987137471989</v>
      </c>
      <c r="W108" s="51" cm="1">
        <f t="array" aca="1" ref="W108" ca="1">EntericMethane_PastureBeef_Equations.VEERG_3_2_1_1__2_DailyEntericMethaneProduction(W87)</f>
        <v>0.19573907587452002</v>
      </c>
      <c r="X108" s="51" cm="1">
        <f t="array" aca="1" ref="X108" ca="1">EntericMethane_PastureBeef_Equations.VEERG_3_2_1_1__2_DailyEntericMethaneProduction(X87)</f>
        <v>0.12441409099199996</v>
      </c>
      <c r="Y108" s="51" cm="1">
        <f t="array" aca="1" ref="Y108" ca="1">EntericMethane_PastureBeef_Equations.VEERG_3_2_1_1__2_DailyEntericMethaneProduction(Y87)</f>
        <v>0.17513940725488128</v>
      </c>
      <c r="Z108" s="51" cm="1">
        <f t="array" aca="1" ref="Z108" ca="1">EntericMethane_PastureBeef_Equations.VEERG_3_2_1_1__2_DailyEntericMethaneProduction(Z87)</f>
        <v>0.17340944296568395</v>
      </c>
      <c r="AA108" s="51" cm="1">
        <f t="array" aca="1" ref="AA108" ca="1">EntericMethane_PastureBeef_Equations.VEERG_3_2_1_1__2_DailyEntericMethaneProduction(AA87)</f>
        <v>0.17340944296568395</v>
      </c>
      <c r="AB108" s="51" cm="1">
        <f t="array" aca="1" ref="AB108" ca="1">EntericMethane_PastureBeef_Equations.VEERG_3_2_1_1__2_DailyEntericMethaneProduction(AB87)</f>
        <v>0.13636416641471999</v>
      </c>
      <c r="AC108" s="51" cm="1">
        <f t="array" aca="1" ref="AC108" ca="1">EntericMethane_PastureBeef_Equations.VEERG_3_2_1_1__2_DailyEntericMethaneProduction(AC87)</f>
        <v>0.15200155388727002</v>
      </c>
      <c r="AD108" s="51" cm="1">
        <f t="array" aca="1" ref="AD108" ca="1">EntericMethane_PastureBeef_Equations.VEERG_3_2_1_1__2_DailyEntericMethaneProduction(AD87)</f>
        <v>0.15200155388727002</v>
      </c>
      <c r="AE108" s="51" cm="1">
        <f t="array" aca="1" ref="AE108" ca="1">EntericMethane_PastureBeef_Equations.VEERG_3_2_1_1__2_DailyEntericMethaneProduction(AE87)</f>
        <v>0.15200155388727002</v>
      </c>
      <c r="AF108" s="2"/>
    </row>
    <row r="109" spans="4:35" ht="20.100000000000001" customHeight="1" x14ac:dyDescent="0.25">
      <c r="D109" s="51" t="s">
        <v>137</v>
      </c>
      <c r="E109" s="51">
        <f ca="1"/>
        <v>100</v>
      </c>
      <c r="F109" s="51">
        <f ca="1"/>
        <v>100</v>
      </c>
      <c r="G109" s="51">
        <f ca="1"/>
        <v>100</v>
      </c>
      <c r="H109" s="51">
        <f ca="1"/>
        <v>100</v>
      </c>
      <c r="I109" s="51">
        <f ca="1"/>
        <v>100</v>
      </c>
      <c r="J109" s="51">
        <f ca="1"/>
        <v>100</v>
      </c>
      <c r="K109" s="51">
        <f ca="1"/>
        <v>100</v>
      </c>
      <c r="L109" s="51">
        <f ca="1"/>
        <v>100</v>
      </c>
      <c r="M109" s="51">
        <f ca="1"/>
        <v>100</v>
      </c>
      <c r="N109" s="51">
        <f ca="1"/>
        <v>100</v>
      </c>
      <c r="O109" s="2"/>
    </row>
    <row r="110" spans="4:35" ht="20.100000000000001" customHeight="1" x14ac:dyDescent="0.25">
      <c r="D110" s="51" t="s">
        <v>138</v>
      </c>
      <c r="E110" s="51">
        <f ca="1"/>
        <v>100</v>
      </c>
      <c r="F110" s="51">
        <f ca="1"/>
        <v>100</v>
      </c>
      <c r="G110" s="51">
        <f ca="1"/>
        <v>100</v>
      </c>
      <c r="H110" s="51">
        <f ca="1"/>
        <v>100</v>
      </c>
      <c r="I110" s="51">
        <f ca="1"/>
        <v>100</v>
      </c>
      <c r="J110" s="51">
        <f ca="1"/>
        <v>100</v>
      </c>
      <c r="K110" s="51">
        <f ca="1"/>
        <v>100</v>
      </c>
      <c r="L110" s="51">
        <f ca="1"/>
        <v>100</v>
      </c>
      <c r="M110" s="51">
        <f ca="1"/>
        <v>100</v>
      </c>
      <c r="N110" s="51">
        <f ca="1"/>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116</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227</v>
      </c>
    </row>
    <row r="114" spans="4:34" ht="20.100000000000001" customHeight="1" x14ac:dyDescent="0.25">
      <c r="D114" s="50" t="s">
        <v>146</v>
      </c>
      <c r="E114" s="115" t="s">
        <v>104</v>
      </c>
      <c r="F114" s="115" t="s">
        <v>103</v>
      </c>
      <c r="G114" s="115" t="s">
        <v>127</v>
      </c>
      <c r="H114" s="115" t="s">
        <v>128</v>
      </c>
      <c r="I114" s="115" t="s">
        <v>129</v>
      </c>
      <c r="J114" s="115" t="s">
        <v>130</v>
      </c>
      <c r="K114" s="115" t="s">
        <v>131</v>
      </c>
      <c r="L114" s="115" t="s">
        <v>132</v>
      </c>
      <c r="M114" s="115" t="s">
        <v>133</v>
      </c>
      <c r="N114" s="115" t="s">
        <v>134</v>
      </c>
      <c r="U114" s="96" t="s">
        <v>228</v>
      </c>
    </row>
    <row r="115" spans="4:34" ht="20.100000000000001" customHeight="1" x14ac:dyDescent="0.25">
      <c r="D115" s="51" t="s">
        <v>135</v>
      </c>
      <c r="E115" s="51" cm="1">
        <f t="array" aca="1" ref="E115:N118" ca="1">OFFSET(X_Table_PastureBeef_Duration_Method1,1,1,4,10)</f>
        <v>91.25</v>
      </c>
      <c r="F115" s="51">
        <f ca="1"/>
        <v>91.25</v>
      </c>
      <c r="G115" s="51">
        <f ca="1"/>
        <v>91.25</v>
      </c>
      <c r="H115" s="51">
        <f ca="1"/>
        <v>91.25</v>
      </c>
      <c r="I115" s="51">
        <f ca="1"/>
        <v>91.25</v>
      </c>
      <c r="J115" s="51">
        <f ca="1"/>
        <v>91.25</v>
      </c>
      <c r="K115" s="51">
        <f ca="1"/>
        <v>91.25</v>
      </c>
      <c r="L115" s="51">
        <f ca="1"/>
        <v>91.25</v>
      </c>
      <c r="M115" s="51">
        <f ca="1"/>
        <v>91.25</v>
      </c>
      <c r="N115" s="51">
        <f ca="1"/>
        <v>91.25</v>
      </c>
      <c r="O115" s="2" t="str">
        <f>G100</f>
        <v>days</v>
      </c>
      <c r="U115" s="95" t="s">
        <v>229</v>
      </c>
      <c r="AH115" s="2"/>
    </row>
    <row r="116" spans="4:34" ht="20.100000000000001" customHeight="1" x14ac:dyDescent="0.25">
      <c r="D116" s="51" t="s">
        <v>136</v>
      </c>
      <c r="E116" s="51">
        <f ca="1"/>
        <v>91.25</v>
      </c>
      <c r="F116" s="51">
        <f ca="1"/>
        <v>91.25</v>
      </c>
      <c r="G116" s="51">
        <f ca="1"/>
        <v>91.25</v>
      </c>
      <c r="H116" s="51">
        <f ca="1"/>
        <v>91.25</v>
      </c>
      <c r="I116" s="51">
        <f ca="1"/>
        <v>91.25</v>
      </c>
      <c r="J116" s="51">
        <f ca="1"/>
        <v>91.25</v>
      </c>
      <c r="K116" s="51">
        <f ca="1"/>
        <v>91.25</v>
      </c>
      <c r="L116" s="51">
        <f ca="1"/>
        <v>91.25</v>
      </c>
      <c r="M116" s="51">
        <f ca="1"/>
        <v>91.25</v>
      </c>
      <c r="N116" s="51">
        <f ca="1"/>
        <v>91.25</v>
      </c>
      <c r="O116" s="2"/>
      <c r="U116" s="50" t="s">
        <v>105</v>
      </c>
      <c r="V116" s="115" t="s">
        <v>104</v>
      </c>
      <c r="W116" s="115" t="s">
        <v>103</v>
      </c>
      <c r="X116" s="115" t="s">
        <v>127</v>
      </c>
      <c r="Y116" s="115" t="s">
        <v>128</v>
      </c>
      <c r="Z116" s="115" t="s">
        <v>129</v>
      </c>
      <c r="AA116" s="115" t="s">
        <v>130</v>
      </c>
      <c r="AB116" s="115" t="s">
        <v>131</v>
      </c>
      <c r="AC116" s="115" t="s">
        <v>132</v>
      </c>
      <c r="AD116" s="115" t="s">
        <v>133</v>
      </c>
      <c r="AE116" s="115" t="s">
        <v>134</v>
      </c>
      <c r="AF116" s="2"/>
      <c r="AH116" s="2"/>
    </row>
    <row r="117" spans="4:34" ht="20.100000000000001" customHeight="1" x14ac:dyDescent="0.25">
      <c r="D117" s="51" t="s">
        <v>137</v>
      </c>
      <c r="E117" s="51">
        <f ca="1"/>
        <v>91.25</v>
      </c>
      <c r="F117" s="51">
        <f ca="1"/>
        <v>91.25</v>
      </c>
      <c r="G117" s="51">
        <f ca="1"/>
        <v>91.25</v>
      </c>
      <c r="H117" s="51">
        <f ca="1"/>
        <v>91.25</v>
      </c>
      <c r="I117" s="51">
        <f ca="1"/>
        <v>91.25</v>
      </c>
      <c r="J117" s="51">
        <f ca="1"/>
        <v>91.25</v>
      </c>
      <c r="K117" s="51">
        <f ca="1"/>
        <v>91.25</v>
      </c>
      <c r="L117" s="51">
        <f ca="1"/>
        <v>91.25</v>
      </c>
      <c r="M117" s="51">
        <f ca="1"/>
        <v>91.25</v>
      </c>
      <c r="N117" s="51">
        <f ca="1"/>
        <v>91.25</v>
      </c>
      <c r="O117" s="2"/>
      <c r="U117" s="51" t="str">
        <f>TEXT('Input - Site'!$E$12, "mmmm yyyy")</f>
        <v>January 2024</v>
      </c>
      <c r="V117" s="51" cm="1">
        <f t="array" aca="1" ref="V117:AE128" ca="1">OFFSET(X_Table_PastureBeef_Head_Method2,1,1,12,10)</f>
        <v>100</v>
      </c>
      <c r="W117" s="51">
        <f ca="1"/>
        <v>100</v>
      </c>
      <c r="X117" s="51">
        <f ca="1"/>
        <v>100</v>
      </c>
      <c r="Y117" s="51">
        <f ca="1"/>
        <v>100</v>
      </c>
      <c r="Z117" s="51">
        <f ca="1"/>
        <v>100</v>
      </c>
      <c r="AA117" s="51">
        <f ca="1"/>
        <v>100</v>
      </c>
      <c r="AB117" s="51">
        <f ca="1"/>
        <v>100</v>
      </c>
      <c r="AC117" s="51">
        <f ca="1"/>
        <v>100</v>
      </c>
      <c r="AD117" s="51">
        <f ca="1"/>
        <v>100</v>
      </c>
      <c r="AE117" s="51">
        <f ca="1"/>
        <v>100</v>
      </c>
      <c r="AF117" s="2" t="str">
        <f>$G$102</f>
        <v>head</v>
      </c>
      <c r="AH117" s="2"/>
    </row>
    <row r="118" spans="4:34" ht="20.100000000000001" customHeight="1" x14ac:dyDescent="0.25">
      <c r="D118" s="51" t="s">
        <v>138</v>
      </c>
      <c r="E118" s="51">
        <f ca="1"/>
        <v>91.25</v>
      </c>
      <c r="F118" s="51">
        <f ca="1"/>
        <v>91.25</v>
      </c>
      <c r="G118" s="51">
        <f ca="1"/>
        <v>91.25</v>
      </c>
      <c r="H118" s="51">
        <f ca="1"/>
        <v>91.25</v>
      </c>
      <c r="I118" s="51">
        <f ca="1"/>
        <v>91.25</v>
      </c>
      <c r="J118" s="51">
        <f ca="1"/>
        <v>91.25</v>
      </c>
      <c r="K118" s="51">
        <f ca="1"/>
        <v>91.25</v>
      </c>
      <c r="L118" s="51">
        <f ca="1"/>
        <v>91.25</v>
      </c>
      <c r="M118" s="51">
        <f ca="1"/>
        <v>91.25</v>
      </c>
      <c r="N118" s="51">
        <f ca="1"/>
        <v>91.25</v>
      </c>
      <c r="O118" s="2"/>
      <c r="U118" s="51" t="str">
        <f>TEXT(EDATE('Input - Site'!$E$12,1), "mmmm yyyy")</f>
        <v>February 2024</v>
      </c>
      <c r="V118" s="51">
        <f ca="1"/>
        <v>100</v>
      </c>
      <c r="W118" s="51">
        <f ca="1"/>
        <v>100</v>
      </c>
      <c r="X118" s="51">
        <f ca="1"/>
        <v>100</v>
      </c>
      <c r="Y118" s="51">
        <f ca="1"/>
        <v>100</v>
      </c>
      <c r="Z118" s="51">
        <f ca="1"/>
        <v>100</v>
      </c>
      <c r="AA118" s="51">
        <f ca="1"/>
        <v>100</v>
      </c>
      <c r="AB118" s="51">
        <f ca="1"/>
        <v>100</v>
      </c>
      <c r="AC118" s="51">
        <f ca="1"/>
        <v>100</v>
      </c>
      <c r="AD118" s="51">
        <f ca="1"/>
        <v>100</v>
      </c>
      <c r="AE118" s="51">
        <f ca="1"/>
        <v>100</v>
      </c>
      <c r="AF118" s="2"/>
      <c r="AH118" s="2"/>
    </row>
    <row r="119" spans="4:34" ht="20.100000000000001" customHeight="1" x14ac:dyDescent="0.25">
      <c r="U119" s="51" t="str">
        <f>TEXT(EDATE('Input - Site'!$E$12,2), "mmmm yyyy")</f>
        <v>March 2024</v>
      </c>
      <c r="V119" s="51">
        <f ca="1"/>
        <v>100</v>
      </c>
      <c r="W119" s="51">
        <f ca="1"/>
        <v>100</v>
      </c>
      <c r="X119" s="51">
        <f ca="1"/>
        <v>100</v>
      </c>
      <c r="Y119" s="51">
        <f ca="1"/>
        <v>100</v>
      </c>
      <c r="Z119" s="51">
        <f ca="1"/>
        <v>100</v>
      </c>
      <c r="AA119" s="51">
        <f ca="1"/>
        <v>100</v>
      </c>
      <c r="AB119" s="51">
        <f ca="1"/>
        <v>100</v>
      </c>
      <c r="AC119" s="51">
        <f ca="1"/>
        <v>100</v>
      </c>
      <c r="AD119" s="51">
        <f ca="1"/>
        <v>100</v>
      </c>
      <c r="AE119" s="51">
        <f ca="1"/>
        <v>100</v>
      </c>
      <c r="AF119" s="2"/>
      <c r="AH119" s="2"/>
    </row>
    <row r="120" spans="4:34" ht="20.100000000000001" customHeight="1" x14ac:dyDescent="0.25">
      <c r="D120" s="96" t="s">
        <v>260</v>
      </c>
      <c r="U120" s="51" t="str">
        <f>TEXT(EDATE('Input - Site'!$E$12,3), "mmmm yyyy")</f>
        <v>April 2024</v>
      </c>
      <c r="V120" s="51">
        <f ca="1"/>
        <v>100</v>
      </c>
      <c r="W120" s="51">
        <f ca="1"/>
        <v>100</v>
      </c>
      <c r="X120" s="51">
        <f ca="1"/>
        <v>100</v>
      </c>
      <c r="Y120" s="51">
        <f ca="1"/>
        <v>100</v>
      </c>
      <c r="Z120" s="51">
        <f ca="1"/>
        <v>100</v>
      </c>
      <c r="AA120" s="51">
        <f ca="1"/>
        <v>100</v>
      </c>
      <c r="AB120" s="51">
        <f ca="1"/>
        <v>100</v>
      </c>
      <c r="AC120" s="51">
        <f ca="1"/>
        <v>100</v>
      </c>
      <c r="AD120" s="51">
        <f ca="1"/>
        <v>100</v>
      </c>
      <c r="AE120" s="51">
        <f ca="1"/>
        <v>100</v>
      </c>
      <c r="AF120" s="2"/>
      <c r="AH120" s="2"/>
    </row>
    <row r="121" spans="4:34" ht="20.100000000000001" customHeight="1" x14ac:dyDescent="0.25">
      <c r="D121" s="95" t="s">
        <v>261</v>
      </c>
      <c r="U121" s="51" t="str">
        <f>TEXT(EDATE('Input - Site'!$E$12,4), "mmmm yyyy")</f>
        <v>May 2024</v>
      </c>
      <c r="V121" s="51">
        <f ca="1"/>
        <v>100</v>
      </c>
      <c r="W121" s="51">
        <f ca="1"/>
        <v>100</v>
      </c>
      <c r="X121" s="51">
        <f ca="1"/>
        <v>100</v>
      </c>
      <c r="Y121" s="51">
        <f ca="1"/>
        <v>100</v>
      </c>
      <c r="Z121" s="51">
        <f ca="1"/>
        <v>100</v>
      </c>
      <c r="AA121" s="51">
        <f ca="1"/>
        <v>100</v>
      </c>
      <c r="AB121" s="51">
        <f ca="1"/>
        <v>100</v>
      </c>
      <c r="AC121" s="51">
        <f ca="1"/>
        <v>100</v>
      </c>
      <c r="AD121" s="51">
        <f ca="1"/>
        <v>100</v>
      </c>
      <c r="AE121" s="51">
        <f ca="1"/>
        <v>100</v>
      </c>
      <c r="AF121" s="2"/>
      <c r="AH121" s="2"/>
    </row>
    <row r="122" spans="4:34" ht="20.100000000000001" customHeight="1" x14ac:dyDescent="0.25">
      <c r="D122" s="50" t="s">
        <v>146</v>
      </c>
      <c r="E122" s="50" t="s">
        <v>104</v>
      </c>
      <c r="F122" s="50" t="s">
        <v>103</v>
      </c>
      <c r="G122" s="50" t="s">
        <v>127</v>
      </c>
      <c r="H122" s="50" t="s">
        <v>128</v>
      </c>
      <c r="I122" s="50" t="s">
        <v>129</v>
      </c>
      <c r="J122" s="50" t="s">
        <v>130</v>
      </c>
      <c r="K122" s="50" t="s">
        <v>131</v>
      </c>
      <c r="L122" s="50" t="s">
        <v>132</v>
      </c>
      <c r="M122" s="50" t="s">
        <v>133</v>
      </c>
      <c r="N122" s="50" t="s">
        <v>134</v>
      </c>
      <c r="U122" s="51" t="str">
        <f>TEXT(EDATE('Input - Site'!$E$12,5), "mmmm yyyy")</f>
        <v>June 2024</v>
      </c>
      <c r="V122" s="51">
        <f ca="1"/>
        <v>100</v>
      </c>
      <c r="W122" s="51">
        <f ca="1"/>
        <v>100</v>
      </c>
      <c r="X122" s="51">
        <f ca="1"/>
        <v>100</v>
      </c>
      <c r="Y122" s="51">
        <f ca="1"/>
        <v>100</v>
      </c>
      <c r="Z122" s="51">
        <f ca="1"/>
        <v>100</v>
      </c>
      <c r="AA122" s="51">
        <f ca="1"/>
        <v>100</v>
      </c>
      <c r="AB122" s="51">
        <f ca="1"/>
        <v>100</v>
      </c>
      <c r="AC122" s="51">
        <f ca="1"/>
        <v>100</v>
      </c>
      <c r="AD122" s="51">
        <f ca="1"/>
        <v>100</v>
      </c>
      <c r="AE122" s="51">
        <f ca="1"/>
        <v>100</v>
      </c>
      <c r="AF122" s="2"/>
      <c r="AH122" s="2"/>
    </row>
    <row r="123" spans="4:34" ht="20.100000000000001" customHeight="1" x14ac:dyDescent="0.25">
      <c r="D123" s="51" t="s">
        <v>135</v>
      </c>
      <c r="E123" s="51" cm="1">
        <f t="array" aca="1" ref="E123" ca="1">EntericMethane_PastureBeef_Equations.VEERG_3_2_1_1__1_TotalAnnualMethaneFromEntericFermentation(E115,E85,E107)</f>
        <v>1.6378255171123202</v>
      </c>
      <c r="F123" s="51" cm="1">
        <f t="array" aca="1" ref="F123" ca="1">EntericMethane_PastureBeef_Equations.VEERG_3_2_1_1__1_TotalAnnualMethaneFromEntericFermentation(F115,F85,F107)</f>
        <v>2.3132108159718756</v>
      </c>
      <c r="G123" s="51" cm="1">
        <f t="array" aca="1" ref="G123" ca="1">EntericMethane_PastureBeef_Equations.VEERG_3_2_1_1__1_TotalAnnualMethaneFromEntericFermentation(G115,G85,G107)</f>
        <v>1.2483501632171887</v>
      </c>
      <c r="H123" s="51" cm="1">
        <f t="array" aca="1" ref="H123" ca="1">EntericMethane_PastureBeef_Equations.VEERG_3_2_1_1__1_TotalAnnualMethaneFromEntericFermentation(H115,H85,H107)</f>
        <v>1.7856784773463517</v>
      </c>
      <c r="I123" s="51" cm="1">
        <f t="array" aca="1" ref="I123" ca="1">EntericMethane_PastureBeef_Equations.VEERG_3_2_1_1__1_TotalAnnualMethaneFromEntericFermentation(I115,I85,I107)</f>
        <v>1.9101524473914753</v>
      </c>
      <c r="J123" s="51" cm="1">
        <f t="array" aca="1" ref="J123" ca="1">EntericMethane_PastureBeef_Equations.VEERG_3_2_1_1__1_TotalAnnualMethaneFromEntericFermentation(J115,J85,J107)</f>
        <v>1.9101524473914753</v>
      </c>
      <c r="K123" s="51" cm="1">
        <f t="array" aca="1" ref="K123" ca="1">EntericMethane_PastureBeef_Equations.VEERG_3_2_1_1__1_TotalAnnualMethaneFromEntericFermentation(K115,K85,K107)</f>
        <v>1.4391822346998746</v>
      </c>
      <c r="L123" s="51" cm="1">
        <f t="array" aca="1" ref="L123" ca="1">EntericMethane_PastureBeef_Equations.VEERG_3_2_1_1__1_TotalAnnualMethaneFromEntericFermentation(L115,L85,L107)</f>
        <v>1.8288896104633945</v>
      </c>
      <c r="M123" s="51" cm="1">
        <f t="array" aca="1" ref="M123" ca="1">EntericMethane_PastureBeef_Equations.VEERG_3_2_1_1__1_TotalAnnualMethaneFromEntericFermentation(M115,M85,M107)</f>
        <v>1.8288896104633945</v>
      </c>
      <c r="N123" s="51" cm="1">
        <f t="array" aca="1" ref="N123" ca="1">EntericMethane_PastureBeef_Equations.VEERG_3_2_1_1__1_TotalAnnualMethaneFromEntericFermentation(N115,N85,N107)</f>
        <v>1.8288896104633945</v>
      </c>
      <c r="O123" s="2" t="str">
        <f>E98</f>
        <v>t CH4</v>
      </c>
      <c r="Q123" s="2"/>
      <c r="U123" s="51" t="str">
        <f>TEXT(EDATE('Input - Site'!$E$12,6), "mmmm yyyy")</f>
        <v>July 2024</v>
      </c>
      <c r="V123" s="51">
        <f ca="1"/>
        <v>100</v>
      </c>
      <c r="W123" s="51">
        <f ca="1"/>
        <v>100</v>
      </c>
      <c r="X123" s="51">
        <f ca="1"/>
        <v>100</v>
      </c>
      <c r="Y123" s="51">
        <f ca="1"/>
        <v>100</v>
      </c>
      <c r="Z123" s="51">
        <f ca="1"/>
        <v>100</v>
      </c>
      <c r="AA123" s="51">
        <f ca="1"/>
        <v>100</v>
      </c>
      <c r="AB123" s="51">
        <f ca="1"/>
        <v>100</v>
      </c>
      <c r="AC123" s="51">
        <f ca="1"/>
        <v>100</v>
      </c>
      <c r="AD123" s="51">
        <f ca="1"/>
        <v>100</v>
      </c>
      <c r="AE123" s="51">
        <f ca="1"/>
        <v>100</v>
      </c>
      <c r="AF123" s="2"/>
      <c r="AH123" s="2"/>
    </row>
    <row r="124" spans="4:34" ht="20.100000000000001" customHeight="1" x14ac:dyDescent="0.25">
      <c r="D124" s="51" t="s">
        <v>136</v>
      </c>
      <c r="E124" s="51" cm="1">
        <f t="array" aca="1" ref="E124" ca="1">EntericMethane_PastureBeef_Equations.VEERG_3_2_1_1__1_TotalAnnualMethaneFromEntericFermentation(E116,E86,E108)</f>
        <v>1.3499513262943192</v>
      </c>
      <c r="F124" s="51" cm="1">
        <f t="array" aca="1" ref="F124" ca="1">EntericMethane_PastureBeef_Equations.VEERG_3_2_1_1__1_TotalAnnualMethaneFromEntericFermentation(F116,F86,F108)</f>
        <v>1.7861190673549951</v>
      </c>
      <c r="G124" s="51" cm="1">
        <f t="array" aca="1" ref="G124" ca="1">EntericMethane_PastureBeef_Equations.VEERG_3_2_1_1__1_TotalAnnualMethaneFromEntericFermentation(G116,G86,G108)</f>
        <v>1.1352785803019998</v>
      </c>
      <c r="H124" s="51" cm="1">
        <f t="array" aca="1" ref="H124" ca="1">EntericMethane_PastureBeef_Equations.VEERG_3_2_1_1__1_TotalAnnualMethaneFromEntericFermentation(H116,H86,H108)</f>
        <v>1.486648456930969</v>
      </c>
      <c r="I124" s="51" cm="1">
        <f t="array" aca="1" ref="I124" ca="1">EntericMethane_PastureBeef_Equations.VEERG_3_2_1_1__1_TotalAnnualMethaneFromEntericFermentation(I116,I86,I108)</f>
        <v>1.4719638763366196</v>
      </c>
      <c r="J124" s="51" cm="1">
        <f t="array" aca="1" ref="J124" ca="1">EntericMethane_PastureBeef_Equations.VEERG_3_2_1_1__1_TotalAnnualMethaneFromEntericFermentation(J116,J86,J108)</f>
        <v>1.4719638763366196</v>
      </c>
      <c r="K124" s="51" cm="1">
        <f t="array" aca="1" ref="K124" ca="1">EntericMethane_PastureBeef_Equations.VEERG_3_2_1_1__1_TotalAnnualMethaneFromEntericFermentation(K116,K86,K108)</f>
        <v>1.2443230185343197</v>
      </c>
      <c r="L124" s="51" cm="1">
        <f t="array" aca="1" ref="L124" ca="1">EntericMethane_PastureBeef_Equations.VEERG_3_2_1_1__1_TotalAnnualMethaneFromEntericFermentation(L116,L86,L108)</f>
        <v>1.3870141792213391</v>
      </c>
      <c r="M124" s="51" cm="1">
        <f t="array" aca="1" ref="M124" ca="1">EntericMethane_PastureBeef_Equations.VEERG_3_2_1_1__1_TotalAnnualMethaneFromEntericFermentation(M116,M86,M108)</f>
        <v>1.3870141792213391</v>
      </c>
      <c r="N124" s="51" cm="1">
        <f t="array" aca="1" ref="N124" ca="1">EntericMethane_PastureBeef_Equations.VEERG_3_2_1_1__1_TotalAnnualMethaneFromEntericFermentation(N116,N86,N108)</f>
        <v>1.3870141792213391</v>
      </c>
      <c r="O124" s="2"/>
      <c r="Q124" s="2"/>
      <c r="U124" s="51" t="str">
        <f>TEXT(EDATE('Input - Site'!$E$12,7), "mmmm yyyy")</f>
        <v>August 2024</v>
      </c>
      <c r="V124" s="51">
        <f ca="1"/>
        <v>100</v>
      </c>
      <c r="W124" s="51">
        <f ca="1"/>
        <v>100</v>
      </c>
      <c r="X124" s="51">
        <f ca="1"/>
        <v>100</v>
      </c>
      <c r="Y124" s="51">
        <f ca="1"/>
        <v>100</v>
      </c>
      <c r="Z124" s="51">
        <f ca="1"/>
        <v>100</v>
      </c>
      <c r="AA124" s="51">
        <f ca="1"/>
        <v>100</v>
      </c>
      <c r="AB124" s="51">
        <f ca="1"/>
        <v>100</v>
      </c>
      <c r="AC124" s="51">
        <f ca="1"/>
        <v>100</v>
      </c>
      <c r="AD124" s="51">
        <f ca="1"/>
        <v>100</v>
      </c>
      <c r="AE124" s="51">
        <f ca="1"/>
        <v>100</v>
      </c>
      <c r="AF124" s="2"/>
      <c r="AH124" s="2"/>
    </row>
    <row r="125" spans="4:34" ht="20.100000000000001" customHeight="1" x14ac:dyDescent="0.25">
      <c r="D125" s="51" t="s">
        <v>137</v>
      </c>
      <c r="E125" s="51" cm="1">
        <f t="array" aca="1" ref="E125" ca="1">EntericMethane_PastureBeef_Equations.VEERG_3_2_1_1__1_TotalAnnualMethaneFromEntericFermentation(E117,E87,E109)</f>
        <v>0.61335624555000001</v>
      </c>
      <c r="F125" s="51" cm="1">
        <f t="array" aca="1" ref="F125" ca="1">EntericMethane_PastureBeef_Equations.VEERG_3_2_1_1__1_TotalAnnualMethaneFromEntericFermentation(F117,F87,F109)</f>
        <v>1.7801994082822199</v>
      </c>
      <c r="G125" s="51" cm="1">
        <f t="array" aca="1" ref="G125" ca="1">EntericMethane_PastureBeef_Equations.VEERG_3_2_1_1__1_TotalAnnualMethaneFromEntericFermentation(G117,G87,G109)</f>
        <v>0.55916871211511998</v>
      </c>
      <c r="H125" s="51" cm="1">
        <f t="array" aca="1" ref="H125" ca="1">EntericMethane_PastureBeef_Equations.VEERG_3_2_1_1__1_TotalAnnualMethaneFromEntericFermentation(H117,H87,H109)</f>
        <v>1.1253534827611948</v>
      </c>
      <c r="I125" s="51" cm="1">
        <f t="array" aca="1" ref="I125" ca="1">EntericMethane_PastureBeef_Equations.VEERG_3_2_1_1__1_TotalAnnualMethaneFromEntericFermentation(I117,I87,I109)</f>
        <v>1.2689457429779887</v>
      </c>
      <c r="J125" s="51" cm="1">
        <f t="array" aca="1" ref="J125" ca="1">EntericMethane_PastureBeef_Equations.VEERG_3_2_1_1__1_TotalAnnualMethaneFromEntericFermentation(J117,J87,J109)</f>
        <v>1.2689457429779887</v>
      </c>
      <c r="K125" s="51" cm="1">
        <f t="array" aca="1" ref="K125" ca="1">EntericMethane_PastureBeef_Equations.VEERG_3_2_1_1__1_TotalAnnualMethaneFromEntericFermentation(K117,K87,K109)</f>
        <v>0.61335624555000001</v>
      </c>
      <c r="L125" s="51" cm="1">
        <f t="array" aca="1" ref="L125" ca="1">EntericMethane_PastureBeef_Equations.VEERG_3_2_1_1__1_TotalAnnualMethaneFromEntericFermentation(L117,L87,L109)</f>
        <v>1.1135632576102203</v>
      </c>
      <c r="M125" s="51" cm="1">
        <f t="array" aca="1" ref="M125" ca="1">EntericMethane_PastureBeef_Equations.VEERG_3_2_1_1__1_TotalAnnualMethaneFromEntericFermentation(M117,M87,M109)</f>
        <v>1.1135632576102203</v>
      </c>
      <c r="N125" s="51" cm="1">
        <f t="array" aca="1" ref="N125" ca="1">EntericMethane_PastureBeef_Equations.VEERG_3_2_1_1__1_TotalAnnualMethaneFromEntericFermentation(N117,N87,N109)</f>
        <v>1.1135632576102203</v>
      </c>
      <c r="O125" s="2"/>
      <c r="Q125" s="2"/>
      <c r="U125" s="51" t="str">
        <f>TEXT(EDATE('Input - Site'!$E$12,8), "mmmm yyyy")</f>
        <v>September 2024</v>
      </c>
      <c r="V125" s="51">
        <f ca="1"/>
        <v>100</v>
      </c>
      <c r="W125" s="51">
        <f ca="1"/>
        <v>100</v>
      </c>
      <c r="X125" s="51">
        <f ca="1"/>
        <v>100</v>
      </c>
      <c r="Y125" s="51">
        <f ca="1"/>
        <v>100</v>
      </c>
      <c r="Z125" s="51">
        <f ca="1"/>
        <v>100</v>
      </c>
      <c r="AA125" s="51">
        <f ca="1"/>
        <v>100</v>
      </c>
      <c r="AB125" s="51">
        <f ca="1"/>
        <v>100</v>
      </c>
      <c r="AC125" s="51">
        <f ca="1"/>
        <v>100</v>
      </c>
      <c r="AD125" s="51">
        <f ca="1"/>
        <v>100</v>
      </c>
      <c r="AE125" s="51">
        <f ca="1"/>
        <v>100</v>
      </c>
      <c r="AF125" s="2"/>
      <c r="AH125" s="2"/>
    </row>
    <row r="126" spans="4:34" ht="20.100000000000001" customHeight="1" x14ac:dyDescent="0.25">
      <c r="D126" s="51" t="s">
        <v>138</v>
      </c>
      <c r="E126" s="51" cm="1">
        <f t="array" aca="1" ref="E126" ca="1">EntericMethane_PastureBeef_Equations.VEERG_3_2_1_1__1_TotalAnnualMethaneFromEntericFermentation(E118,E88,E110)</f>
        <v>0.96954028006048887</v>
      </c>
      <c r="F126" s="51" cm="1">
        <f t="array" aca="1" ref="F126" ca="1">EntericMethane_PastureBeef_Equations.VEERG_3_2_1_1__1_TotalAnnualMethaneFromEntericFermentation(F118,F88,F110)</f>
        <v>1.8841261585848745</v>
      </c>
      <c r="G126" s="51" cm="1">
        <f t="array" aca="1" ref="G126" ca="1">EntericMethane_PastureBeef_Equations.VEERG_3_2_1_1__1_TotalAnnualMethaneFromEntericFermentation(G118,G88,G110)</f>
        <v>0.79383844115971891</v>
      </c>
      <c r="H126" s="51" cm="1">
        <f t="array" aca="1" ref="H126" ca="1">EntericMethane_PastureBeef_Equations.VEERG_3_2_1_1__1_TotalAnnualMethaneFromEntericFermentation(H118,H88,H110)</f>
        <v>1.422005966315995</v>
      </c>
      <c r="I126" s="51" cm="1">
        <f t="array" aca="1" ref="I126" ca="1">EntericMethane_PastureBeef_Equations.VEERG_3_2_1_1__1_TotalAnnualMethaneFromEntericFermentation(I118,I88,I110)</f>
        <v>1.7274130470284719</v>
      </c>
      <c r="J126" s="51" cm="1">
        <f t="array" aca="1" ref="J126" ca="1">EntericMethane_PastureBeef_Equations.VEERG_3_2_1_1__1_TotalAnnualMethaneFromEntericFermentation(J118,J88,J110)</f>
        <v>1.7274130470284719</v>
      </c>
      <c r="K126" s="51" cm="1">
        <f t="array" aca="1" ref="K126" ca="1">EntericMethane_PastureBeef_Equations.VEERG_3_2_1_1__1_TotalAnnualMethaneFromEntericFermentation(K118,K88,K110)</f>
        <v>0.8523110452909386</v>
      </c>
      <c r="L126" s="51" cm="1">
        <f t="array" aca="1" ref="L126" ca="1">EntericMethane_PastureBeef_Equations.VEERG_3_2_1_1__1_TotalAnnualMethaneFromEntericFermentation(L118,L88,L110)</f>
        <v>1.2976289206207199</v>
      </c>
      <c r="M126" s="51" cm="1">
        <f t="array" aca="1" ref="M126" ca="1">EntericMethane_PastureBeef_Equations.VEERG_3_2_1_1__1_TotalAnnualMethaneFromEntericFermentation(M118,M88,M110)</f>
        <v>1.2976289206207199</v>
      </c>
      <c r="N126" s="51" cm="1">
        <f t="array" aca="1" ref="N126" ca="1">EntericMethane_PastureBeef_Equations.VEERG_3_2_1_1__1_TotalAnnualMethaneFromEntericFermentation(N118,N88,N110)</f>
        <v>1.2976289206207199</v>
      </c>
      <c r="O126" s="2"/>
      <c r="Q126" s="2"/>
      <c r="U126" s="51" t="str">
        <f>TEXT(EDATE('Input - Site'!$E$12,9), "mmmm yyyy")</f>
        <v>October 2024</v>
      </c>
      <c r="V126" s="51">
        <f ca="1"/>
        <v>100</v>
      </c>
      <c r="W126" s="51">
        <f ca="1"/>
        <v>100</v>
      </c>
      <c r="X126" s="51">
        <f ca="1"/>
        <v>100</v>
      </c>
      <c r="Y126" s="51">
        <f ca="1"/>
        <v>100</v>
      </c>
      <c r="Z126" s="51">
        <f ca="1"/>
        <v>100</v>
      </c>
      <c r="AA126" s="51">
        <f ca="1"/>
        <v>100</v>
      </c>
      <c r="AB126" s="51">
        <f ca="1"/>
        <v>100</v>
      </c>
      <c r="AC126" s="51">
        <f ca="1"/>
        <v>100</v>
      </c>
      <c r="AD126" s="51">
        <f ca="1"/>
        <v>100</v>
      </c>
      <c r="AE126" s="51">
        <f ca="1"/>
        <v>100</v>
      </c>
      <c r="AF126" s="2"/>
      <c r="AH126" s="2"/>
    </row>
    <row r="127" spans="4:34" ht="20.100000000000001" customHeight="1" x14ac:dyDescent="0.25">
      <c r="Q127" s="2"/>
      <c r="U127" s="51" t="str">
        <f>TEXT(EDATE('Input - Site'!$E$12,10), "mmmm yyyy")</f>
        <v>November 2024</v>
      </c>
      <c r="V127" s="51">
        <f ca="1"/>
        <v>100</v>
      </c>
      <c r="W127" s="51">
        <f ca="1"/>
        <v>100</v>
      </c>
      <c r="X127" s="51">
        <f ca="1"/>
        <v>100</v>
      </c>
      <c r="Y127" s="51">
        <f ca="1"/>
        <v>100</v>
      </c>
      <c r="Z127" s="51">
        <f ca="1"/>
        <v>100</v>
      </c>
      <c r="AA127" s="51">
        <f ca="1"/>
        <v>100</v>
      </c>
      <c r="AB127" s="51">
        <f ca="1"/>
        <v>100</v>
      </c>
      <c r="AC127" s="51">
        <f ca="1"/>
        <v>100</v>
      </c>
      <c r="AD127" s="51">
        <f ca="1"/>
        <v>100</v>
      </c>
      <c r="AE127" s="51">
        <f ca="1"/>
        <v>100</v>
      </c>
      <c r="AF127" s="2"/>
    </row>
    <row r="128" spans="4:34" ht="20.100000000000001" customHeight="1" x14ac:dyDescent="0.25">
      <c r="D128" s="97" t="s">
        <v>232</v>
      </c>
      <c r="E128" s="98">
        <f ca="1">SUM(E123:N126)</f>
        <v>55.678061774650885</v>
      </c>
      <c r="F128" s="99" t="str">
        <f>$E$98</f>
        <v>t CH4</v>
      </c>
      <c r="Q128" s="2"/>
      <c r="U128" s="51" t="str">
        <f>TEXT(EDATE('Input - Site'!$E$12,11), "mmmm yyyy")</f>
        <v>December 2024</v>
      </c>
      <c r="V128" s="51">
        <f ca="1"/>
        <v>100</v>
      </c>
      <c r="W128" s="51">
        <f ca="1"/>
        <v>100</v>
      </c>
      <c r="X128" s="51">
        <f ca="1"/>
        <v>100</v>
      </c>
      <c r="Y128" s="51">
        <f ca="1"/>
        <v>100</v>
      </c>
      <c r="Z128" s="51">
        <f ca="1"/>
        <v>100</v>
      </c>
      <c r="AA128" s="51">
        <f ca="1"/>
        <v>100</v>
      </c>
      <c r="AB128" s="51">
        <f ca="1"/>
        <v>100</v>
      </c>
      <c r="AC128" s="51">
        <f ca="1"/>
        <v>100</v>
      </c>
      <c r="AD128" s="51">
        <f ca="1"/>
        <v>100</v>
      </c>
      <c r="AE128" s="51">
        <f ca="1"/>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 ca="1">E128</f>
        <v>55.678061774650885</v>
      </c>
      <c r="Q130" s="2"/>
      <c r="U130" s="96" t="s">
        <v>118</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230</v>
      </c>
      <c r="AH131" s="2"/>
    </row>
    <row r="132" spans="4:34" ht="20.100000000000001" customHeight="1" x14ac:dyDescent="0.25">
      <c r="U132" s="50" t="s">
        <v>105</v>
      </c>
      <c r="V132" s="115" t="s">
        <v>104</v>
      </c>
      <c r="W132" s="115" t="s">
        <v>103</v>
      </c>
      <c r="X132" s="115" t="s">
        <v>127</v>
      </c>
      <c r="Y132" s="115" t="s">
        <v>128</v>
      </c>
      <c r="Z132" s="115" t="s">
        <v>129</v>
      </c>
      <c r="AA132" s="115" t="s">
        <v>130</v>
      </c>
      <c r="AB132" s="115" t="s">
        <v>131</v>
      </c>
      <c r="AC132" s="115" t="s">
        <v>132</v>
      </c>
      <c r="AD132" s="115" t="s">
        <v>133</v>
      </c>
      <c r="AE132" s="115" t="s">
        <v>134</v>
      </c>
      <c r="AF132" s="2"/>
      <c r="AH132" s="2"/>
    </row>
    <row r="133" spans="4:34" ht="20.100000000000001" customHeight="1" x14ac:dyDescent="0.25">
      <c r="D133" s="44" t="s">
        <v>83</v>
      </c>
      <c r="E133" s="44" cm="1">
        <f t="array" aca="1" ref="E133" ca="1">Common_Equations.Common_ConvertN2OToCO2e(G130,G131)</f>
        <v>1558.9857296902248</v>
      </c>
      <c r="F133" s="101" t="str" cm="1">
        <f t="array" ref="F133">Common_Equations.Common_ConvertN2OToCO2e_Unit()</f>
        <v>t CO2e</v>
      </c>
      <c r="U133" s="51" t="str">
        <f>TEXT('Input - Site'!$E$12, "mmmm yyyy")</f>
        <v>January 2024</v>
      </c>
      <c r="V133" s="51" cm="1">
        <f t="array" aca="1" ref="V133:AE144" ca="1">OFFSET(X_Table_PastureBeef_Duration_Method2,1,1,12,10)</f>
        <v>31</v>
      </c>
      <c r="W133" s="51">
        <f ca="1"/>
        <v>31</v>
      </c>
      <c r="X133" s="51">
        <f ca="1"/>
        <v>31</v>
      </c>
      <c r="Y133" s="51">
        <f ca="1"/>
        <v>31</v>
      </c>
      <c r="Z133" s="51">
        <f ca="1"/>
        <v>31</v>
      </c>
      <c r="AA133" s="51">
        <f ca="1"/>
        <v>31</v>
      </c>
      <c r="AB133" s="51">
        <f ca="1"/>
        <v>31</v>
      </c>
      <c r="AC133" s="51">
        <f ca="1"/>
        <v>31</v>
      </c>
      <c r="AD133" s="51">
        <f ca="1"/>
        <v>31</v>
      </c>
      <c r="AE133" s="51">
        <f ca="1"/>
        <v>31</v>
      </c>
      <c r="AF133" s="2" t="str">
        <f>$G$100</f>
        <v>days</v>
      </c>
      <c r="AH133" s="2"/>
    </row>
    <row r="134" spans="4:34" ht="20.100000000000001" customHeight="1" x14ac:dyDescent="0.25">
      <c r="U134" s="51" t="str">
        <f>TEXT(EDATE('Input - Site'!$E$12,1), "mmmm yyyy")</f>
        <v>February 2024</v>
      </c>
      <c r="V134" s="51">
        <f ca="1"/>
        <v>29</v>
      </c>
      <c r="W134" s="51">
        <f ca="1"/>
        <v>29</v>
      </c>
      <c r="X134" s="51">
        <f ca="1"/>
        <v>29</v>
      </c>
      <c r="Y134" s="51">
        <f ca="1"/>
        <v>29</v>
      </c>
      <c r="Z134" s="51">
        <f ca="1"/>
        <v>29</v>
      </c>
      <c r="AA134" s="51">
        <f ca="1"/>
        <v>29</v>
      </c>
      <c r="AB134" s="51">
        <f ca="1"/>
        <v>29</v>
      </c>
      <c r="AC134" s="51">
        <f ca="1"/>
        <v>29</v>
      </c>
      <c r="AD134" s="51">
        <f ca="1"/>
        <v>29</v>
      </c>
      <c r="AE134" s="51">
        <f ca="1"/>
        <v>29</v>
      </c>
      <c r="AF134" s="2"/>
      <c r="AH134" s="2"/>
    </row>
    <row r="135" spans="4:34" ht="20.100000000000001" customHeight="1" x14ac:dyDescent="0.25">
      <c r="U135" s="51" t="str">
        <f>TEXT(EDATE('Input - Site'!$E$12,2), "mmmm yyyy")</f>
        <v>March 2024</v>
      </c>
      <c r="V135" s="51">
        <f ca="1"/>
        <v>31</v>
      </c>
      <c r="W135" s="51">
        <f ca="1"/>
        <v>31</v>
      </c>
      <c r="X135" s="51">
        <f ca="1"/>
        <v>31</v>
      </c>
      <c r="Y135" s="51">
        <f ca="1"/>
        <v>31</v>
      </c>
      <c r="Z135" s="51">
        <f ca="1"/>
        <v>31</v>
      </c>
      <c r="AA135" s="51">
        <f ca="1"/>
        <v>31</v>
      </c>
      <c r="AB135" s="51">
        <f ca="1"/>
        <v>31</v>
      </c>
      <c r="AC135" s="51">
        <f ca="1"/>
        <v>31</v>
      </c>
      <c r="AD135" s="51">
        <f ca="1"/>
        <v>31</v>
      </c>
      <c r="AE135" s="51">
        <f ca="1"/>
        <v>31</v>
      </c>
      <c r="AF135" s="2"/>
      <c r="AH135" s="2"/>
    </row>
    <row r="136" spans="4:34" ht="20.100000000000001" customHeight="1" x14ac:dyDescent="0.25">
      <c r="U136" s="51" t="str">
        <f>TEXT(EDATE('Input - Site'!$E$12,3), "mmmm yyyy")</f>
        <v>April 2024</v>
      </c>
      <c r="V136" s="51">
        <f ca="1"/>
        <v>30</v>
      </c>
      <c r="W136" s="51">
        <f ca="1"/>
        <v>30</v>
      </c>
      <c r="X136" s="51">
        <f ca="1"/>
        <v>30</v>
      </c>
      <c r="Y136" s="51">
        <f ca="1"/>
        <v>30</v>
      </c>
      <c r="Z136" s="51">
        <f ca="1"/>
        <v>30</v>
      </c>
      <c r="AA136" s="51">
        <f ca="1"/>
        <v>30</v>
      </c>
      <c r="AB136" s="51">
        <f ca="1"/>
        <v>30</v>
      </c>
      <c r="AC136" s="51">
        <f ca="1"/>
        <v>30</v>
      </c>
      <c r="AD136" s="51">
        <f ca="1"/>
        <v>30</v>
      </c>
      <c r="AE136" s="51">
        <f ca="1"/>
        <v>30</v>
      </c>
      <c r="AF136" s="2"/>
      <c r="AH136" s="2"/>
    </row>
    <row r="137" spans="4:34" ht="20.100000000000001" customHeight="1" x14ac:dyDescent="0.25">
      <c r="U137" s="51" t="str">
        <f>TEXT(EDATE('Input - Site'!$E$12,4), "mmmm yyyy")</f>
        <v>May 2024</v>
      </c>
      <c r="V137" s="51">
        <f ca="1"/>
        <v>31</v>
      </c>
      <c r="W137" s="51">
        <f ca="1"/>
        <v>31</v>
      </c>
      <c r="X137" s="51">
        <f ca="1"/>
        <v>31</v>
      </c>
      <c r="Y137" s="51">
        <f ca="1"/>
        <v>31</v>
      </c>
      <c r="Z137" s="51">
        <f ca="1"/>
        <v>31</v>
      </c>
      <c r="AA137" s="51">
        <f ca="1"/>
        <v>31</v>
      </c>
      <c r="AB137" s="51">
        <f ca="1"/>
        <v>31</v>
      </c>
      <c r="AC137" s="51">
        <f ca="1"/>
        <v>31</v>
      </c>
      <c r="AD137" s="51">
        <f ca="1"/>
        <v>31</v>
      </c>
      <c r="AE137" s="51">
        <f ca="1"/>
        <v>31</v>
      </c>
      <c r="AF137" s="2"/>
      <c r="AH137" s="2"/>
    </row>
    <row r="138" spans="4:34" ht="20.100000000000001" customHeight="1" x14ac:dyDescent="0.25">
      <c r="U138" s="51" t="str">
        <f>TEXT(EDATE('Input - Site'!$E$12,5), "mmmm yyyy")</f>
        <v>June 2024</v>
      </c>
      <c r="V138" s="51">
        <f ca="1"/>
        <v>30</v>
      </c>
      <c r="W138" s="51">
        <f ca="1"/>
        <v>30</v>
      </c>
      <c r="X138" s="51">
        <f ca="1"/>
        <v>30</v>
      </c>
      <c r="Y138" s="51">
        <f ca="1"/>
        <v>30</v>
      </c>
      <c r="Z138" s="51">
        <f ca="1"/>
        <v>30</v>
      </c>
      <c r="AA138" s="51">
        <f ca="1"/>
        <v>30</v>
      </c>
      <c r="AB138" s="51">
        <f ca="1"/>
        <v>30</v>
      </c>
      <c r="AC138" s="51">
        <f ca="1"/>
        <v>30</v>
      </c>
      <c r="AD138" s="51">
        <f ca="1"/>
        <v>30</v>
      </c>
      <c r="AE138" s="51">
        <f ca="1"/>
        <v>30</v>
      </c>
      <c r="AF138" s="2"/>
      <c r="AH138" s="2"/>
    </row>
    <row r="139" spans="4:34" ht="20.100000000000001" customHeight="1" x14ac:dyDescent="0.25">
      <c r="U139" s="51" t="str">
        <f>TEXT(EDATE('Input - Site'!$E$12,6), "mmmm yyyy")</f>
        <v>July 2024</v>
      </c>
      <c r="V139" s="51">
        <f ca="1"/>
        <v>31</v>
      </c>
      <c r="W139" s="51">
        <f ca="1"/>
        <v>31</v>
      </c>
      <c r="X139" s="51">
        <f ca="1"/>
        <v>31</v>
      </c>
      <c r="Y139" s="51">
        <f ca="1"/>
        <v>31</v>
      </c>
      <c r="Z139" s="51">
        <f ca="1"/>
        <v>31</v>
      </c>
      <c r="AA139" s="51">
        <f ca="1"/>
        <v>31</v>
      </c>
      <c r="AB139" s="51">
        <f ca="1"/>
        <v>31</v>
      </c>
      <c r="AC139" s="51">
        <f ca="1"/>
        <v>31</v>
      </c>
      <c r="AD139" s="51">
        <f ca="1"/>
        <v>31</v>
      </c>
      <c r="AE139" s="51">
        <f ca="1"/>
        <v>31</v>
      </c>
      <c r="AF139" s="2"/>
      <c r="AH139" s="2"/>
    </row>
    <row r="140" spans="4:34" ht="20.100000000000001" customHeight="1" x14ac:dyDescent="0.25">
      <c r="U140" s="51" t="str">
        <f>TEXT(EDATE('Input - Site'!$E$12,7), "mmmm yyyy")</f>
        <v>August 2024</v>
      </c>
      <c r="V140" s="51">
        <f ca="1"/>
        <v>31</v>
      </c>
      <c r="W140" s="51">
        <f ca="1"/>
        <v>31</v>
      </c>
      <c r="X140" s="51">
        <f ca="1"/>
        <v>31</v>
      </c>
      <c r="Y140" s="51">
        <f ca="1"/>
        <v>31</v>
      </c>
      <c r="Z140" s="51">
        <f ca="1"/>
        <v>31</v>
      </c>
      <c r="AA140" s="51">
        <f ca="1"/>
        <v>31</v>
      </c>
      <c r="AB140" s="51">
        <f ca="1"/>
        <v>31</v>
      </c>
      <c r="AC140" s="51">
        <f ca="1"/>
        <v>31</v>
      </c>
      <c r="AD140" s="51">
        <f ca="1"/>
        <v>31</v>
      </c>
      <c r="AE140" s="51">
        <f ca="1"/>
        <v>31</v>
      </c>
      <c r="AF140" s="2"/>
      <c r="AH140" s="2"/>
    </row>
    <row r="141" spans="4:34" ht="20.100000000000001" customHeight="1" x14ac:dyDescent="0.25">
      <c r="U141" s="51" t="str">
        <f>TEXT(EDATE('Input - Site'!$E$12,8), "mmmm yyyy")</f>
        <v>September 2024</v>
      </c>
      <c r="V141" s="51">
        <f ca="1"/>
        <v>30</v>
      </c>
      <c r="W141" s="51">
        <f ca="1"/>
        <v>30</v>
      </c>
      <c r="X141" s="51">
        <f ca="1"/>
        <v>30</v>
      </c>
      <c r="Y141" s="51">
        <f ca="1"/>
        <v>30</v>
      </c>
      <c r="Z141" s="51">
        <f ca="1"/>
        <v>30</v>
      </c>
      <c r="AA141" s="51">
        <f ca="1"/>
        <v>30</v>
      </c>
      <c r="AB141" s="51">
        <f ca="1"/>
        <v>30</v>
      </c>
      <c r="AC141" s="51">
        <f ca="1"/>
        <v>30</v>
      </c>
      <c r="AD141" s="51">
        <f ca="1"/>
        <v>30</v>
      </c>
      <c r="AE141" s="51">
        <f ca="1"/>
        <v>30</v>
      </c>
      <c r="AF141" s="2"/>
      <c r="AH141" s="2"/>
    </row>
    <row r="142" spans="4:34" ht="20.100000000000001" customHeight="1" x14ac:dyDescent="0.25">
      <c r="U142" s="51" t="str">
        <f>TEXT(EDATE('Input - Site'!$E$12,9), "mmmm yyyy")</f>
        <v>October 2024</v>
      </c>
      <c r="V142" s="51">
        <f ca="1"/>
        <v>31</v>
      </c>
      <c r="W142" s="51">
        <f ca="1"/>
        <v>31</v>
      </c>
      <c r="X142" s="51">
        <f ca="1"/>
        <v>31</v>
      </c>
      <c r="Y142" s="51">
        <f ca="1"/>
        <v>31</v>
      </c>
      <c r="Z142" s="51">
        <f ca="1"/>
        <v>31</v>
      </c>
      <c r="AA142" s="51">
        <f ca="1"/>
        <v>31</v>
      </c>
      <c r="AB142" s="51">
        <f ca="1"/>
        <v>31</v>
      </c>
      <c r="AC142" s="51">
        <f ca="1"/>
        <v>31</v>
      </c>
      <c r="AD142" s="51">
        <f ca="1"/>
        <v>31</v>
      </c>
      <c r="AE142" s="51">
        <f ca="1"/>
        <v>31</v>
      </c>
      <c r="AF142" s="2"/>
      <c r="AH142" s="2"/>
    </row>
    <row r="143" spans="4:34" ht="20.100000000000001" customHeight="1" x14ac:dyDescent="0.25">
      <c r="U143" s="51" t="str">
        <f>TEXT(EDATE('Input - Site'!$E$12,10), "mmmm yyyy")</f>
        <v>November 2024</v>
      </c>
      <c r="V143" s="51">
        <f ca="1"/>
        <v>30</v>
      </c>
      <c r="W143" s="51">
        <f ca="1"/>
        <v>30</v>
      </c>
      <c r="X143" s="51">
        <f ca="1"/>
        <v>30</v>
      </c>
      <c r="Y143" s="51">
        <f ca="1"/>
        <v>30</v>
      </c>
      <c r="Z143" s="51">
        <f ca="1"/>
        <v>30</v>
      </c>
      <c r="AA143" s="51">
        <f ca="1"/>
        <v>30</v>
      </c>
      <c r="AB143" s="51">
        <f ca="1"/>
        <v>30</v>
      </c>
      <c r="AC143" s="51">
        <f ca="1"/>
        <v>30</v>
      </c>
      <c r="AD143" s="51">
        <f ca="1"/>
        <v>30</v>
      </c>
      <c r="AE143" s="51">
        <f ca="1"/>
        <v>30</v>
      </c>
      <c r="AF143" s="2"/>
    </row>
    <row r="144" spans="4:34" ht="20.100000000000001" customHeight="1" x14ac:dyDescent="0.25">
      <c r="U144" s="51" t="str">
        <f>TEXT(EDATE('Input - Site'!$E$12,11), "mmmm yyyy")</f>
        <v>December 2024</v>
      </c>
      <c r="V144" s="51">
        <f ca="1"/>
        <v>31</v>
      </c>
      <c r="W144" s="51">
        <f ca="1"/>
        <v>31</v>
      </c>
      <c r="X144" s="51">
        <f ca="1"/>
        <v>31</v>
      </c>
      <c r="Y144" s="51">
        <f ca="1"/>
        <v>31</v>
      </c>
      <c r="Z144" s="51">
        <f ca="1"/>
        <v>31</v>
      </c>
      <c r="AA144" s="51">
        <f ca="1"/>
        <v>31</v>
      </c>
      <c r="AB144" s="51">
        <f ca="1"/>
        <v>31</v>
      </c>
      <c r="AC144" s="51">
        <f ca="1"/>
        <v>31</v>
      </c>
      <c r="AD144" s="51">
        <f ca="1"/>
        <v>31</v>
      </c>
      <c r="AE144" s="51">
        <f ca="1"/>
        <v>31</v>
      </c>
      <c r="AF144" s="2"/>
    </row>
    <row r="145" spans="21:32" ht="20.100000000000001" customHeight="1" x14ac:dyDescent="0.25"/>
    <row r="146" spans="21:32" ht="20.100000000000001" customHeight="1" x14ac:dyDescent="0.25">
      <c r="U146" s="96" t="s">
        <v>262</v>
      </c>
    </row>
    <row r="147" spans="21:32" ht="20.100000000000001" customHeight="1" x14ac:dyDescent="0.25">
      <c r="U147" s="95" t="s">
        <v>263</v>
      </c>
    </row>
    <row r="148" spans="21:32" ht="20.100000000000001" customHeight="1" x14ac:dyDescent="0.25">
      <c r="U148" s="50" t="s">
        <v>105</v>
      </c>
      <c r="V148" s="50" t="s">
        <v>104</v>
      </c>
      <c r="W148" s="50" t="s">
        <v>103</v>
      </c>
      <c r="X148" s="50" t="s">
        <v>127</v>
      </c>
      <c r="Y148" s="50" t="s">
        <v>128</v>
      </c>
      <c r="Z148" s="50" t="s">
        <v>129</v>
      </c>
      <c r="AA148" s="50" t="s">
        <v>130</v>
      </c>
      <c r="AB148" s="50" t="s">
        <v>131</v>
      </c>
      <c r="AC148" s="50" t="s">
        <v>132</v>
      </c>
      <c r="AD148" s="50" t="s">
        <v>133</v>
      </c>
      <c r="AE148" s="50" t="s">
        <v>134</v>
      </c>
    </row>
    <row r="149" spans="21:32" ht="20.100000000000001" customHeight="1" x14ac:dyDescent="0.25">
      <c r="U149" s="51" t="str">
        <f t="shared" ref="U149:U160" si="3">U133</f>
        <v>January 2024</v>
      </c>
      <c r="V149" s="51" cm="1">
        <f t="array" aca="1" ref="V149" ca="1">EntericMethane_PastureBeef_Equations.VEERG_3_2_1_1__1_TotalAnnualMethaneFromEntericFermentation(V133,V97,V117)</f>
        <v>0.4586136012616317</v>
      </c>
      <c r="W149" s="51" cm="1">
        <f t="array" aca="1" ref="W149" ca="1">EntericMethane_PastureBeef_Equations.VEERG_3_2_1_1__1_TotalAnnualMethaneFromEntericFermentation(W133,W97,W117)</f>
        <v>0.60679113521101213</v>
      </c>
      <c r="X149" s="51" cm="1">
        <f t="array" aca="1" ref="X149" ca="1">EntericMethane_PastureBeef_Equations.VEERG_3_2_1_1__1_TotalAnnualMethaneFromEntericFermentation(X133,X97,X117)</f>
        <v>0.38568368207519993</v>
      </c>
      <c r="Y149" s="51" cm="1">
        <f t="array" aca="1" ref="Y149" ca="1">EntericMethane_PastureBeef_Equations.VEERG_3_2_1_1__1_TotalAnnualMethaneFromEntericFermentation(Y133,Y97,Y117)</f>
        <v>0.54293216249013199</v>
      </c>
      <c r="Z149" s="51" cm="1">
        <f t="array" aca="1" ref="Z149" ca="1">EntericMethane_PastureBeef_Equations.VEERG_3_2_1_1__1_TotalAnnualMethaneFromEntericFermentation(Z133,Z97,Z117)</f>
        <v>0.53756927319362025</v>
      </c>
      <c r="AA149" s="51" cm="1">
        <f t="array" aca="1" ref="AA149" ca="1">EntericMethane_PastureBeef_Equations.VEERG_3_2_1_1__1_TotalAnnualMethaneFromEntericFermentation(AA133,AA97,AA117)</f>
        <v>0.53756927319362025</v>
      </c>
      <c r="AB149" s="51" cm="1">
        <f t="array" aca="1" ref="AB149" ca="1">EntericMethane_PastureBeef_Equations.VEERG_3_2_1_1__1_TotalAnnualMethaneFromEntericFermentation(AB133,AB97,AB117)</f>
        <v>0.422728915885632</v>
      </c>
      <c r="AC149" s="51" cm="1">
        <f t="array" aca="1" ref="AC149" ca="1">EntericMethane_PastureBeef_Equations.VEERG_3_2_1_1__1_TotalAnnualMethaneFromEntericFermentation(AC133,AC97,AC117)</f>
        <v>0.47120481705053707</v>
      </c>
      <c r="AD149" s="51" cm="1">
        <f t="array" aca="1" ref="AD149" ca="1">EntericMethane_PastureBeef_Equations.VEERG_3_2_1_1__1_TotalAnnualMethaneFromEntericFermentation(AD133,AD97,AD117)</f>
        <v>0.47120481705053707</v>
      </c>
      <c r="AE149" s="51" cm="1">
        <f t="array" aca="1" ref="AE149" ca="1">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2024</v>
      </c>
      <c r="V150" s="51" cm="1">
        <f t="array" aca="1" ref="V150" ca="1">EntericMethane_PastureBeef_Equations.VEERG_3_2_1_1__1_TotalAnnualMethaneFromEntericFermentation(V134,V98,V118)</f>
        <v>0.42902562698668767</v>
      </c>
      <c r="W150" s="51" cm="1">
        <f t="array" aca="1" ref="W150" ca="1">EntericMethane_PastureBeef_Equations.VEERG_3_2_1_1__1_TotalAnnualMethaneFromEntericFermentation(W134,W98,W118)</f>
        <v>0.56764332003610807</v>
      </c>
      <c r="X150" s="51" cm="1">
        <f t="array" aca="1" ref="X150" ca="1">EntericMethane_PastureBeef_Equations.VEERG_3_2_1_1__1_TotalAnnualMethaneFromEntericFermentation(X134,X98,X118)</f>
        <v>0.36080086387679988</v>
      </c>
      <c r="Y150" s="51" cm="1">
        <f t="array" aca="1" ref="Y150" ca="1">EntericMethane_PastureBeef_Equations.VEERG_3_2_1_1__1_TotalAnnualMethaneFromEntericFermentation(Y134,Y98,Y118)</f>
        <v>0.47246909864107506</v>
      </c>
      <c r="Z150" s="51" cm="1">
        <f t="array" aca="1" ref="Z150" ca="1">EntericMethane_PastureBeef_Equations.VEERG_3_2_1_1__1_TotalAnnualMethaneFromEntericFermentation(Z134,Z98,Z118)</f>
        <v>0.46780221823300788</v>
      </c>
      <c r="AA150" s="51" cm="1">
        <f t="array" aca="1" ref="AA150" ca="1">EntericMethane_PastureBeef_Equations.VEERG_3_2_1_1__1_TotalAnnualMethaneFromEntericFermentation(AA134,AA98,AA118)</f>
        <v>0.46780221823300788</v>
      </c>
      <c r="AB150" s="51" cm="1">
        <f t="array" aca="1" ref="AB150" ca="1">EntericMethane_PastureBeef_Equations.VEERG_3_2_1_1__1_TotalAnnualMethaneFromEntericFermentation(AB134,AB98,AB118)</f>
        <v>0.39545608260268794</v>
      </c>
      <c r="AC150" s="51" cm="1">
        <f t="array" aca="1" ref="AC150" ca="1">EntericMethane_PastureBeef_Equations.VEERG_3_2_1_1__1_TotalAnnualMethaneFromEntericFermentation(AC134,AC98,AC118)</f>
        <v>0.4408045062730831</v>
      </c>
      <c r="AD150" s="51" cm="1">
        <f t="array" aca="1" ref="AD150" ca="1">EntericMethane_PastureBeef_Equations.VEERG_3_2_1_1__1_TotalAnnualMethaneFromEntericFermentation(AD134,AD98,AD118)</f>
        <v>0.4408045062730831</v>
      </c>
      <c r="AE150" s="51" cm="1">
        <f t="array" aca="1" ref="AE150" ca="1">EntericMethane_PastureBeef_Equations.VEERG_3_2_1_1__1_TotalAnnualMethaneFromEntericFermentation(AE134,AE98,AE118)</f>
        <v>0.4408045062730831</v>
      </c>
      <c r="AF150" s="2"/>
    </row>
    <row r="151" spans="21:32" ht="20.100000000000001" customHeight="1" x14ac:dyDescent="0.25">
      <c r="U151" s="51" t="str">
        <f t="shared" si="3"/>
        <v>March 2024</v>
      </c>
      <c r="V151" s="51" cm="1">
        <f t="array" aca="1" ref="V151" ca="1">EntericMethane_PastureBeef_Equations.VEERG_3_2_1_1__1_TotalAnnualMethaneFromEntericFermentation(V135,V99,V119)</f>
        <v>0.20837308068000002</v>
      </c>
      <c r="W151" s="51" cm="1">
        <f t="array" aca="1" ref="W151" ca="1">EntericMethane_PastureBeef_Equations.VEERG_3_2_1_1__1_TotalAnnualMethaneFromEntericFermentation(W135,W99,W119)</f>
        <v>0.60478007295067204</v>
      </c>
      <c r="X151" s="51" cm="1">
        <f t="array" aca="1" ref="X151" ca="1">EntericMethane_PastureBeef_Equations.VEERG_3_2_1_1__1_TotalAnnualMethaneFromEntericFermentation(X135,X99,X119)</f>
        <v>0.18996416521171203</v>
      </c>
      <c r="Y151" s="51" cm="1">
        <f t="array" aca="1" ref="Y151" ca="1">EntericMethane_PastureBeef_Equations.VEERG_3_2_1_1__1_TotalAnnualMethaneFromEntericFermentation(Y135,Y99,Y119)</f>
        <v>0.38231186811613199</v>
      </c>
      <c r="Z151" s="51" cm="1">
        <f t="array" aca="1" ref="Z151" ca="1">EntericMethane_PastureBeef_Equations.VEERG_3_2_1_1__1_TotalAnnualMethaneFromEntericFermentation(Z135,Z99,Z119)</f>
        <v>0.431093896244577</v>
      </c>
      <c r="AA151" s="51" cm="1">
        <f t="array" aca="1" ref="AA151" ca="1">EntericMethane_PastureBeef_Equations.VEERG_3_2_1_1__1_TotalAnnualMethaneFromEntericFermentation(AA135,AA99,AA119)</f>
        <v>0.431093896244577</v>
      </c>
      <c r="AB151" s="51" cm="1">
        <f t="array" aca="1" ref="AB151" ca="1">EntericMethane_PastureBeef_Equations.VEERG_3_2_1_1__1_TotalAnnualMethaneFromEntericFermentation(AB135,AB99,AB119)</f>
        <v>0.20837308068000002</v>
      </c>
      <c r="AC151" s="51" cm="1">
        <f t="array" aca="1" ref="AC151" ca="1">EntericMethane_PastureBeef_Equations.VEERG_3_2_1_1__1_TotalAnnualMethaneFromEntericFermentation(AC135,AC99,AC119)</f>
        <v>0.37830642176347212</v>
      </c>
      <c r="AD151" s="51" cm="1">
        <f t="array" aca="1" ref="AD151" ca="1">EntericMethane_PastureBeef_Equations.VEERG_3_2_1_1__1_TotalAnnualMethaneFromEntericFermentation(AD135,AD99,AD119)</f>
        <v>0.37830642176347212</v>
      </c>
      <c r="AE151" s="51" cm="1">
        <f t="array" aca="1" ref="AE151" ca="1">EntericMethane_PastureBeef_Equations.VEERG_3_2_1_1__1_TotalAnnualMethaneFromEntericFermentation(AE135,AE99,AE119)</f>
        <v>0.37830642176347212</v>
      </c>
      <c r="AF151" s="2"/>
    </row>
    <row r="152" spans="21:32" ht="20.100000000000001" customHeight="1" x14ac:dyDescent="0.25">
      <c r="U152" s="51" t="str">
        <f t="shared" si="3"/>
        <v>April 2024</v>
      </c>
      <c r="V152" s="51" cm="1">
        <f t="array" aca="1" ref="V152" ca="1">EntericMethane_PastureBeef_Equations.VEERG_3_2_1_1__1_TotalAnnualMethaneFromEntericFermentation(V136,V100,V120)</f>
        <v>0.2016513684</v>
      </c>
      <c r="W152" s="51" cm="1">
        <f t="array" aca="1" ref="W152" ca="1">EntericMethane_PastureBeef_Equations.VEERG_3_2_1_1__1_TotalAnnualMethaneFromEntericFermentation(W136,W100,W120)</f>
        <v>0.58527103833936001</v>
      </c>
      <c r="X152" s="51" cm="1">
        <f t="array" aca="1" ref="X152" ca="1">EntericMethane_PastureBeef_Equations.VEERG_3_2_1_1__1_TotalAnnualMethaneFromEntericFermentation(X136,X100,X120)</f>
        <v>0.18383628891456003</v>
      </c>
      <c r="Y152" s="51" cm="1">
        <f t="array" aca="1" ref="Y152" ca="1">EntericMethane_PastureBeef_Equations.VEERG_3_2_1_1__1_TotalAnnualMethaneFromEntericFermentation(Y136,Y100,Y120)</f>
        <v>0.36997922720915993</v>
      </c>
      <c r="Z152" s="51" cm="1">
        <f t="array" aca="1" ref="Z152" ca="1">EntericMethane_PastureBeef_Equations.VEERG_3_2_1_1__1_TotalAnnualMethaneFromEntericFermentation(Z136,Z100,Z120)</f>
        <v>0.41718764152700993</v>
      </c>
      <c r="AA152" s="51" cm="1">
        <f t="array" aca="1" ref="AA152" ca="1">EntericMethane_PastureBeef_Equations.VEERG_3_2_1_1__1_TotalAnnualMethaneFromEntericFermentation(AA136,AA100,AA120)</f>
        <v>0.41718764152700993</v>
      </c>
      <c r="AB152" s="51" cm="1">
        <f t="array" aca="1" ref="AB152" ca="1">EntericMethane_PastureBeef_Equations.VEERG_3_2_1_1__1_TotalAnnualMethaneFromEntericFermentation(AB136,AB100,AB120)</f>
        <v>0.2016513684</v>
      </c>
      <c r="AC152" s="51" cm="1">
        <f t="array" aca="1" ref="AC152" ca="1">EntericMethane_PastureBeef_Equations.VEERG_3_2_1_1__1_TotalAnnualMethaneFromEntericFermentation(AC136,AC100,AC120)</f>
        <v>0.36610298880336012</v>
      </c>
      <c r="AD152" s="51" cm="1">
        <f t="array" aca="1" ref="AD152" ca="1">EntericMethane_PastureBeef_Equations.VEERG_3_2_1_1__1_TotalAnnualMethaneFromEntericFermentation(AD136,AD100,AD120)</f>
        <v>0.36610298880336012</v>
      </c>
      <c r="AE152" s="51" cm="1">
        <f t="array" aca="1" ref="AE152" ca="1">EntericMethane_PastureBeef_Equations.VEERG_3_2_1_1__1_TotalAnnualMethaneFromEntericFermentation(AE136,AE100,AE120)</f>
        <v>0.36610298880336012</v>
      </c>
      <c r="AF152" s="2"/>
    </row>
    <row r="153" spans="21:32" ht="20.100000000000001" customHeight="1" x14ac:dyDescent="0.25">
      <c r="U153" s="51" t="str">
        <f t="shared" si="3"/>
        <v>May 2024</v>
      </c>
      <c r="V153" s="51" cm="1">
        <f t="array" aca="1" ref="V153" ca="1">EntericMethane_PastureBeef_Equations.VEERG_3_2_1_1__1_TotalAnnualMethaneFromEntericFermentation(V137,V101,V121)</f>
        <v>0.20837308068000002</v>
      </c>
      <c r="W153" s="51" cm="1">
        <f t="array" aca="1" ref="W153" ca="1">EntericMethane_PastureBeef_Equations.VEERG_3_2_1_1__1_TotalAnnualMethaneFromEntericFermentation(W137,W101,W121)</f>
        <v>0.60478007295067204</v>
      </c>
      <c r="X153" s="51" cm="1">
        <f t="array" aca="1" ref="X153" ca="1">EntericMethane_PastureBeef_Equations.VEERG_3_2_1_1__1_TotalAnnualMethaneFromEntericFermentation(X137,X101,X121)</f>
        <v>0.18996416521171203</v>
      </c>
      <c r="Y153" s="51" cm="1">
        <f t="array" aca="1" ref="Y153" ca="1">EntericMethane_PastureBeef_Equations.VEERG_3_2_1_1__1_TotalAnnualMethaneFromEntericFermentation(Y137,Y101,Y121)</f>
        <v>0.38231186811613199</v>
      </c>
      <c r="Z153" s="51" cm="1">
        <f t="array" aca="1" ref="Z153" ca="1">EntericMethane_PastureBeef_Equations.VEERG_3_2_1_1__1_TotalAnnualMethaneFromEntericFermentation(Z137,Z101,Z121)</f>
        <v>0.431093896244577</v>
      </c>
      <c r="AA153" s="51" cm="1">
        <f t="array" aca="1" ref="AA153" ca="1">EntericMethane_PastureBeef_Equations.VEERG_3_2_1_1__1_TotalAnnualMethaneFromEntericFermentation(AA137,AA101,AA121)</f>
        <v>0.431093896244577</v>
      </c>
      <c r="AB153" s="51" cm="1">
        <f t="array" aca="1" ref="AB153" ca="1">EntericMethane_PastureBeef_Equations.VEERG_3_2_1_1__1_TotalAnnualMethaneFromEntericFermentation(AB137,AB101,AB121)</f>
        <v>0.20837308068000002</v>
      </c>
      <c r="AC153" s="51" cm="1">
        <f t="array" aca="1" ref="AC153" ca="1">EntericMethane_PastureBeef_Equations.VEERG_3_2_1_1__1_TotalAnnualMethaneFromEntericFermentation(AC137,AC101,AC121)</f>
        <v>0.37830642176347212</v>
      </c>
      <c r="AD153" s="51" cm="1">
        <f t="array" aca="1" ref="AD153" ca="1">EntericMethane_PastureBeef_Equations.VEERG_3_2_1_1__1_TotalAnnualMethaneFromEntericFermentation(AD137,AD101,AD121)</f>
        <v>0.37830642176347212</v>
      </c>
      <c r="AE153" s="51" cm="1">
        <f t="array" aca="1" ref="AE153" ca="1">EntericMethane_PastureBeef_Equations.VEERG_3_2_1_1__1_TotalAnnualMethaneFromEntericFermentation(AE137,AE101,AE121)</f>
        <v>0.37830642176347212</v>
      </c>
      <c r="AF153" s="2"/>
    </row>
    <row r="154" spans="21:32" ht="20.100000000000001" customHeight="1" x14ac:dyDescent="0.25">
      <c r="U154" s="51" t="str">
        <f t="shared" si="3"/>
        <v>June 2024</v>
      </c>
      <c r="V154" s="51" cm="1">
        <f t="array" aca="1" ref="V154" ca="1">EntericMethane_PastureBeef_Equations.VEERG_3_2_1_1__1_TotalAnnualMethaneFromEntericFermentation(V138,V102,V122)</f>
        <v>0.31875296878700998</v>
      </c>
      <c r="W154" s="51" cm="1">
        <f t="array" aca="1" ref="W154" ca="1">EntericMethane_PastureBeef_Equations.VEERG_3_2_1_1__1_TotalAnnualMethaneFromEntericFermentation(W138,W102,W122)</f>
        <v>0.61943873706899988</v>
      </c>
      <c r="X154" s="51" cm="1">
        <f t="array" aca="1" ref="X154" ca="1">EntericMethane_PastureBeef_Equations.VEERG_3_2_1_1__1_TotalAnnualMethaneFromEntericFermentation(X138,X102,X122)</f>
        <v>0.26098798065525008</v>
      </c>
      <c r="Y154" s="51" cm="1">
        <f t="array" aca="1" ref="Y154" ca="1">EntericMethane_PastureBeef_Equations.VEERG_3_2_1_1__1_TotalAnnualMethaneFromEntericFermentation(Y138,Y102,Y122)</f>
        <v>0.36811717389261017</v>
      </c>
      <c r="Z154" s="51" cm="1">
        <f t="array" aca="1" ref="Z154" ca="1">EntericMethane_PastureBeef_Equations.VEERG_3_2_1_1__1_TotalAnnualMethaneFromEntericFermentation(Z138,Z102,Z122)</f>
        <v>0.49384053756620999</v>
      </c>
      <c r="AA154" s="51" cm="1">
        <f t="array" aca="1" ref="AA154" ca="1">EntericMethane_PastureBeef_Equations.VEERG_3_2_1_1__1_TotalAnnualMethaneFromEntericFermentation(AA138,AA102,AA122)</f>
        <v>0.49384053756620999</v>
      </c>
      <c r="AB154" s="51" cm="1">
        <f t="array" aca="1" ref="AB154" ca="1">EntericMethane_PastureBeef_Equations.VEERG_3_2_1_1__1_TotalAnnualMethaneFromEntericFermentation(AB138,AB102,AB122)</f>
        <v>0.28021185050660996</v>
      </c>
      <c r="AC154" s="51" cm="1">
        <f t="array" aca="1" ref="AC154" ca="1">EntericMethane_PastureBeef_Equations.VEERG_3_2_1_1__1_TotalAnnualMethaneFromEntericFermentation(AC138,AC102,AC122)</f>
        <v>0.42661772732735997</v>
      </c>
      <c r="AD154" s="51" cm="1">
        <f t="array" aca="1" ref="AD154" ca="1">EntericMethane_PastureBeef_Equations.VEERG_3_2_1_1__1_TotalAnnualMethaneFromEntericFermentation(AD138,AD102,AD122)</f>
        <v>0.42661772732735997</v>
      </c>
      <c r="AE154" s="51" cm="1">
        <f t="array" aca="1" ref="AE154" ca="1">EntericMethane_PastureBeef_Equations.VEERG_3_2_1_1__1_TotalAnnualMethaneFromEntericFermentation(AE138,AE102,AE122)</f>
        <v>0.42661772732735997</v>
      </c>
      <c r="AF154" s="2"/>
    </row>
    <row r="155" spans="21:32" ht="20.100000000000001" customHeight="1" x14ac:dyDescent="0.25">
      <c r="U155" s="51" t="str">
        <f t="shared" si="3"/>
        <v>July 2024</v>
      </c>
      <c r="V155" s="51" cm="1">
        <f t="array" aca="1" ref="V155" ca="1">EntericMethane_PastureBeef_Equations.VEERG_3_2_1_1__1_TotalAnnualMethaneFromEntericFermentation(V139,V103,V123)</f>
        <v>0.32937806774657702</v>
      </c>
      <c r="W155" s="51" cm="1">
        <f t="array" aca="1" ref="W155" ca="1">EntericMethane_PastureBeef_Equations.VEERG_3_2_1_1__1_TotalAnnualMethaneFromEntericFermentation(W139,W103,W123)</f>
        <v>0.64008669497129989</v>
      </c>
      <c r="X155" s="51" cm="1">
        <f t="array" aca="1" ref="X155" ca="1">EntericMethane_PastureBeef_Equations.VEERG_3_2_1_1__1_TotalAnnualMethaneFromEntericFermentation(X139,X103,X123)</f>
        <v>0.26968758001042503</v>
      </c>
      <c r="Y155" s="51" cm="1">
        <f t="array" aca="1" ref="Y155" ca="1">EntericMethane_PastureBeef_Equations.VEERG_3_2_1_1__1_TotalAnnualMethaneFromEntericFermentation(Y139,Y103,Y123)</f>
        <v>0.38038774635569711</v>
      </c>
      <c r="Z155" s="51" cm="1">
        <f t="array" aca="1" ref="Z155" ca="1">EntericMethane_PastureBeef_Equations.VEERG_3_2_1_1__1_TotalAnnualMethaneFromEntericFermentation(Z139,Z103,Z123)</f>
        <v>0.51030188881841698</v>
      </c>
      <c r="AA155" s="51" cm="1">
        <f t="array" aca="1" ref="AA155" ca="1">EntericMethane_PastureBeef_Equations.VEERG_3_2_1_1__1_TotalAnnualMethaneFromEntericFermentation(AA139,AA103,AA123)</f>
        <v>0.51030188881841698</v>
      </c>
      <c r="AB155" s="51" cm="1">
        <f t="array" aca="1" ref="AB155" ca="1">EntericMethane_PastureBeef_Equations.VEERG_3_2_1_1__1_TotalAnnualMethaneFromEntericFermentation(AB139,AB103,AB123)</f>
        <v>0.2895522455234969</v>
      </c>
      <c r="AC155" s="51" cm="1">
        <f t="array" aca="1" ref="AC155" ca="1">EntericMethane_PastureBeef_Equations.VEERG_3_2_1_1__1_TotalAnnualMethaneFromEntericFermentation(AC139,AC103,AC123)</f>
        <v>0.44083831823827196</v>
      </c>
      <c r="AD155" s="51" cm="1">
        <f t="array" aca="1" ref="AD155" ca="1">EntericMethane_PastureBeef_Equations.VEERG_3_2_1_1__1_TotalAnnualMethaneFromEntericFermentation(AD139,AD103,AD123)</f>
        <v>0.44083831823827196</v>
      </c>
      <c r="AE155" s="51" cm="1">
        <f t="array" aca="1" ref="AE155" ca="1">EntericMethane_PastureBeef_Equations.VEERG_3_2_1_1__1_TotalAnnualMethaneFromEntericFermentation(AE139,AE103,AE123)</f>
        <v>0.44083831823827196</v>
      </c>
      <c r="AF155" s="2"/>
    </row>
    <row r="156" spans="21:32" ht="20.100000000000001" customHeight="1" x14ac:dyDescent="0.25">
      <c r="U156" s="51" t="str">
        <f t="shared" si="3"/>
        <v>August 2024</v>
      </c>
      <c r="V156" s="51" cm="1">
        <f t="array" aca="1" ref="V156" ca="1">EntericMethane_PastureBeef_Equations.VEERG_3_2_1_1__1_TotalAnnualMethaneFromEntericFermentation(V140,V104,V124)</f>
        <v>0.32937806774657702</v>
      </c>
      <c r="W156" s="51" cm="1">
        <f t="array" aca="1" ref="W156" ca="1">EntericMethane_PastureBeef_Equations.VEERG_3_2_1_1__1_TotalAnnualMethaneFromEntericFermentation(W140,W104,W124)</f>
        <v>0.64008669497129989</v>
      </c>
      <c r="X156" s="51" cm="1">
        <f t="array" aca="1" ref="X156" ca="1">EntericMethane_PastureBeef_Equations.VEERG_3_2_1_1__1_TotalAnnualMethaneFromEntericFermentation(X140,X104,X124)</f>
        <v>0.26968758001042503</v>
      </c>
      <c r="Y156" s="51" cm="1">
        <f t="array" aca="1" ref="Y156" ca="1">EntericMethane_PastureBeef_Equations.VEERG_3_2_1_1__1_TotalAnnualMethaneFromEntericFermentation(Y140,Y104,Y124)</f>
        <v>0.465974989285729</v>
      </c>
      <c r="Z156" s="51" cm="1">
        <f t="array" aca="1" ref="Z156" ca="1">EntericMethane_PastureBeef_Equations.VEERG_3_2_1_1__1_TotalAnnualMethaneFromEntericFermentation(Z140,Z104,Z124)</f>
        <v>0.62511981380256076</v>
      </c>
      <c r="AA156" s="51" cm="1">
        <f t="array" aca="1" ref="AA156" ca="1">EntericMethane_PastureBeef_Equations.VEERG_3_2_1_1__1_TotalAnnualMethaneFromEntericFermentation(AA140,AA104,AA124)</f>
        <v>0.62511981380256076</v>
      </c>
      <c r="AB156" s="51" cm="1">
        <f t="array" aca="1" ref="AB156" ca="1">EntericMethane_PastureBeef_Equations.VEERG_3_2_1_1__1_TotalAnnualMethaneFromEntericFermentation(AB140,AB104,AB124)</f>
        <v>0.2895522455234969</v>
      </c>
      <c r="AC156" s="51" cm="1">
        <f t="array" aca="1" ref="AC156" ca="1">EntericMethane_PastureBeef_Equations.VEERG_3_2_1_1__1_TotalAnnualMethaneFromEntericFermentation(AC140,AC104,AC124)</f>
        <v>0.44083831823827196</v>
      </c>
      <c r="AD156" s="51" cm="1">
        <f t="array" aca="1" ref="AD156" ca="1">EntericMethane_PastureBeef_Equations.VEERG_3_2_1_1__1_TotalAnnualMethaneFromEntericFermentation(AD140,AD104,AD124)</f>
        <v>0.44083831823827196</v>
      </c>
      <c r="AE156" s="51" cm="1">
        <f t="array" aca="1" ref="AE156" ca="1">EntericMethane_PastureBeef_Equations.VEERG_3_2_1_1__1_TotalAnnualMethaneFromEntericFermentation(AE140,AE104,AE124)</f>
        <v>0.44083831823827196</v>
      </c>
      <c r="AF156" s="2"/>
    </row>
    <row r="157" spans="21:32" ht="20.100000000000001" customHeight="1" x14ac:dyDescent="0.25">
      <c r="U157" s="51" t="str">
        <f t="shared" si="3"/>
        <v>September 2024</v>
      </c>
      <c r="V157" s="51" cm="1">
        <f t="array" aca="1" ref="V157" ca="1">EntericMethane_PastureBeef_Equations.VEERG_3_2_1_1__1_TotalAnnualMethaneFromEntericFermentation(V141,V105,V125)</f>
        <v>0.53846318370816004</v>
      </c>
      <c r="W157" s="51" cm="1">
        <f t="array" aca="1" ref="W157" ca="1">EntericMethane_PastureBeef_Equations.VEERG_3_2_1_1__1_TotalAnnualMethaneFromEntericFermentation(W141,W105,W125)</f>
        <v>0.76050766552500015</v>
      </c>
      <c r="X157" s="51" cm="1">
        <f t="array" aca="1" ref="X157" ca="1">EntericMethane_PastureBeef_Equations.VEERG_3_2_1_1__1_TotalAnnualMethaneFromEntericFermentation(X141,X105,X125)</f>
        <v>0.41041649201661007</v>
      </c>
      <c r="Y157" s="51" cm="1">
        <f t="array" aca="1" ref="Y157" ca="1">EntericMethane_PastureBeef_Equations.VEERG_3_2_1_1__1_TotalAnnualMethaneFromEntericFermentation(Y141,Y105,Y125)</f>
        <v>0.65978317499035743</v>
      </c>
      <c r="Z157" s="51" cm="1">
        <f t="array" aca="1" ref="Z157" ca="1">EntericMethane_PastureBeef_Equations.VEERG_3_2_1_1__1_TotalAnnualMethaneFromEntericFermentation(Z141,Z105,Z125)</f>
        <v>0.73266121269810014</v>
      </c>
      <c r="AA157" s="51" cm="1">
        <f t="array" aca="1" ref="AA157" ca="1">EntericMethane_PastureBeef_Equations.VEERG_3_2_1_1__1_TotalAnnualMethaneFromEntericFermentation(AA141,AA105,AA125)</f>
        <v>0.73266121269810014</v>
      </c>
      <c r="AB157" s="51" cm="1">
        <f t="array" aca="1" ref="AB157" ca="1">EntericMethane_PastureBeef_Equations.VEERG_3_2_1_1__1_TotalAnnualMethaneFromEntericFermentation(AB141,AB105,AB125)</f>
        <v>0.47315580318899986</v>
      </c>
      <c r="AC157" s="51" cm="1">
        <f t="array" aca="1" ref="AC157" ca="1">EntericMethane_PastureBeef_Equations.VEERG_3_2_1_1__1_TotalAnnualMethaneFromEntericFermentation(AC141,AC105,AC125)</f>
        <v>0.60127877604275992</v>
      </c>
      <c r="AD157" s="51" cm="1">
        <f t="array" aca="1" ref="AD157" ca="1">EntericMethane_PastureBeef_Equations.VEERG_3_2_1_1__1_TotalAnnualMethaneFromEntericFermentation(AD141,AD105,AD125)</f>
        <v>0.60127877604275992</v>
      </c>
      <c r="AE157" s="51" cm="1">
        <f t="array" aca="1" ref="AE157" ca="1">EntericMethane_PastureBeef_Equations.VEERG_3_2_1_1__1_TotalAnnualMethaneFromEntericFermentation(AE141,AE105,AE125)</f>
        <v>0.60127877604275992</v>
      </c>
      <c r="AF157" s="2"/>
    </row>
    <row r="158" spans="21:32" ht="20.100000000000001" customHeight="1" x14ac:dyDescent="0.25">
      <c r="U158" s="51" t="str">
        <f t="shared" si="3"/>
        <v>October 2024</v>
      </c>
      <c r="V158" s="51" cm="1">
        <f t="array" aca="1" ref="V158" ca="1">EntericMethane_PastureBeef_Equations.VEERG_3_2_1_1__1_TotalAnnualMethaneFromEntericFermentation(V142,V106,V126)</f>
        <v>0.556411956498432</v>
      </c>
      <c r="W158" s="51" cm="1">
        <f t="array" aca="1" ref="W158" ca="1">EntericMethane_PastureBeef_Equations.VEERG_3_2_1_1__1_TotalAnnualMethaneFromEntericFermentation(W142,W106,W126)</f>
        <v>0.78585792104250007</v>
      </c>
      <c r="X158" s="51" cm="1">
        <f t="array" aca="1" ref="X158" ca="1">EntericMethane_PastureBeef_Equations.VEERG_3_2_1_1__1_TotalAnnualMethaneFromEntericFermentation(X142,X106,X126)</f>
        <v>0.42409704175049701</v>
      </c>
      <c r="Y158" s="51" cm="1">
        <f t="array" aca="1" ref="Y158" ca="1">EntericMethane_PastureBeef_Equations.VEERG_3_2_1_1__1_TotalAnnualMethaneFromEntericFermentation(Y142,Y106,Y126)</f>
        <v>0.68177594749003623</v>
      </c>
      <c r="Z158" s="51" cm="1">
        <f t="array" aca="1" ref="Z158" ca="1">EntericMethane_PastureBeef_Equations.VEERG_3_2_1_1__1_TotalAnnualMethaneFromEntericFermentation(Z142,Z106,Z126)</f>
        <v>0.75708325312137015</v>
      </c>
      <c r="AA158" s="51" cm="1">
        <f t="array" aca="1" ref="AA158" ca="1">EntericMethane_PastureBeef_Equations.VEERG_3_2_1_1__1_TotalAnnualMethaneFromEntericFermentation(AA142,AA106,AA126)</f>
        <v>0.75708325312137015</v>
      </c>
      <c r="AB158" s="51" cm="1">
        <f t="array" aca="1" ref="AB158" ca="1">EntericMethane_PastureBeef_Equations.VEERG_3_2_1_1__1_TotalAnnualMethaneFromEntericFermentation(AB142,AB106,AB126)</f>
        <v>0.4889276632952998</v>
      </c>
      <c r="AC158" s="51" cm="1">
        <f t="array" aca="1" ref="AC158" ca="1">EntericMethane_PastureBeef_Equations.VEERG_3_2_1_1__1_TotalAnnualMethaneFromEntericFermentation(AC142,AC106,AC126)</f>
        <v>0.62132140191085194</v>
      </c>
      <c r="AD158" s="51" cm="1">
        <f t="array" aca="1" ref="AD158" ca="1">EntericMethane_PastureBeef_Equations.VEERG_3_2_1_1__1_TotalAnnualMethaneFromEntericFermentation(AD142,AD106,AD126)</f>
        <v>0.62132140191085194</v>
      </c>
      <c r="AE158" s="51" cm="1">
        <f t="array" aca="1" ref="AE158" ca="1">EntericMethane_PastureBeef_Equations.VEERG_3_2_1_1__1_TotalAnnualMethaneFromEntericFermentation(AE142,AE106,AE126)</f>
        <v>0.62132140191085194</v>
      </c>
      <c r="AF158" s="2"/>
    </row>
    <row r="159" spans="21:32" ht="20.100000000000001" customHeight="1" x14ac:dyDescent="0.25">
      <c r="U159" s="51" t="str">
        <f t="shared" si="3"/>
        <v>November 2024</v>
      </c>
      <c r="V159" s="51" cm="1">
        <f t="array" aca="1" ref="V159" ca="1">EntericMethane_PastureBeef_Equations.VEERG_3_2_1_1__1_TotalAnnualMethaneFromEntericFermentation(V143,V107,V127)</f>
        <v>0.53846318370816004</v>
      </c>
      <c r="W159" s="51" cm="1">
        <f t="array" aca="1" ref="W159" ca="1">EntericMethane_PastureBeef_Equations.VEERG_3_2_1_1__1_TotalAnnualMethaneFromEntericFermentation(W143,W107,W127)</f>
        <v>0.76050766552500015</v>
      </c>
      <c r="X159" s="51" cm="1">
        <f t="array" aca="1" ref="X159" ca="1">EntericMethane_PastureBeef_Equations.VEERG_3_2_1_1__1_TotalAnnualMethaneFromEntericFermentation(X143,X107,X127)</f>
        <v>0.41041649201661007</v>
      </c>
      <c r="Y159" s="51" cm="1">
        <f t="array" aca="1" ref="Y159" ca="1">EntericMethane_PastureBeef_Equations.VEERG_3_2_1_1__1_TotalAnnualMethaneFromEntericFermentation(Y143,Y107,Y127)</f>
        <v>0.57899339846092601</v>
      </c>
      <c r="Z159" s="51" cm="1">
        <f t="array" aca="1" ref="Z159" ca="1">EntericMethane_PastureBeef_Equations.VEERG_3_2_1_1__1_TotalAnnualMethaneFromEntericFermentation(Z143,Z107,Z127)</f>
        <v>0.64294759481670016</v>
      </c>
      <c r="AA159" s="51" cm="1">
        <f t="array" aca="1" ref="AA159" ca="1">EntericMethane_PastureBeef_Equations.VEERG_3_2_1_1__1_TotalAnnualMethaneFromEntericFermentation(AA143,AA107,AA127)</f>
        <v>0.64294759481670016</v>
      </c>
      <c r="AB159" s="51" cm="1">
        <f t="array" aca="1" ref="AB159" ca="1">EntericMethane_PastureBeef_Equations.VEERG_3_2_1_1__1_TotalAnnualMethaneFromEntericFermentation(AB143,AB107,AB127)</f>
        <v>0.47315580318899986</v>
      </c>
      <c r="AC159" s="51" cm="1">
        <f t="array" aca="1" ref="AC159" ca="1">EntericMethane_PastureBeef_Equations.VEERG_3_2_1_1__1_TotalAnnualMethaneFromEntericFermentation(AC143,AC107,AC127)</f>
        <v>0.60127877604275992</v>
      </c>
      <c r="AD159" s="51" cm="1">
        <f t="array" aca="1" ref="AD159" ca="1">EntericMethane_PastureBeef_Equations.VEERG_3_2_1_1__1_TotalAnnualMethaneFromEntericFermentation(AD143,AD107,AD127)</f>
        <v>0.60127877604275992</v>
      </c>
      <c r="AE159" s="51" cm="1">
        <f t="array" aca="1" ref="AE159" ca="1">EntericMethane_PastureBeef_Equations.VEERG_3_2_1_1__1_TotalAnnualMethaneFromEntericFermentation(AE143,AE107,AE127)</f>
        <v>0.60127877604275992</v>
      </c>
      <c r="AF159" s="2"/>
    </row>
    <row r="160" spans="21:32" ht="20.100000000000001" customHeight="1" x14ac:dyDescent="0.25">
      <c r="U160" s="51" t="str">
        <f t="shared" si="3"/>
        <v>December 2024</v>
      </c>
      <c r="V160" s="51" cm="1">
        <f t="array" aca="1" ref="V160" ca="1">EntericMethane_PastureBeef_Equations.VEERG_3_2_1_1__1_TotalAnnualMethaneFromEntericFermentation(V144,V108,V128)</f>
        <v>0.4586136012616317</v>
      </c>
      <c r="W160" s="51" cm="1">
        <f t="array" aca="1" ref="W160" ca="1">EntericMethane_PastureBeef_Equations.VEERG_3_2_1_1__1_TotalAnnualMethaneFromEntericFermentation(W144,W108,W128)</f>
        <v>0.60679113521101213</v>
      </c>
      <c r="X160" s="51" cm="1">
        <f t="array" aca="1" ref="X160" ca="1">EntericMethane_PastureBeef_Equations.VEERG_3_2_1_1__1_TotalAnnualMethaneFromEntericFermentation(X144,X108,X128)</f>
        <v>0.38568368207519993</v>
      </c>
      <c r="Y160" s="51" cm="1">
        <f t="array" aca="1" ref="Y160" ca="1">EntericMethane_PastureBeef_Equations.VEERG_3_2_1_1__1_TotalAnnualMethaneFromEntericFermentation(Y144,Y108,Y128)</f>
        <v>0.54293216249013199</v>
      </c>
      <c r="Z160" s="51" cm="1">
        <f t="array" aca="1" ref="Z160" ca="1">EntericMethane_PastureBeef_Equations.VEERG_3_2_1_1__1_TotalAnnualMethaneFromEntericFermentation(Z144,Z108,Z128)</f>
        <v>0.53756927319362025</v>
      </c>
      <c r="AA160" s="51" cm="1">
        <f t="array" aca="1" ref="AA160" ca="1">EntericMethane_PastureBeef_Equations.VEERG_3_2_1_1__1_TotalAnnualMethaneFromEntericFermentation(AA144,AA108,AA128)</f>
        <v>0.53756927319362025</v>
      </c>
      <c r="AB160" s="51" cm="1">
        <f t="array" aca="1" ref="AB160" ca="1">EntericMethane_PastureBeef_Equations.VEERG_3_2_1_1__1_TotalAnnualMethaneFromEntericFermentation(AB144,AB108,AB128)</f>
        <v>0.422728915885632</v>
      </c>
      <c r="AC160" s="51" cm="1">
        <f t="array" aca="1" ref="AC160" ca="1">EntericMethane_PastureBeef_Equations.VEERG_3_2_1_1__1_TotalAnnualMethaneFromEntericFermentation(AC144,AC108,AC128)</f>
        <v>0.47120481705053707</v>
      </c>
      <c r="AD160" s="51" cm="1">
        <f t="array" aca="1" ref="AD160" ca="1">EntericMethane_PastureBeef_Equations.VEERG_3_2_1_1__1_TotalAnnualMethaneFromEntericFermentation(AD144,AD108,AD128)</f>
        <v>0.47120481705053707</v>
      </c>
      <c r="AE160" s="51" cm="1">
        <f t="array" aca="1" ref="AE160" ca="1">EntericMethane_PastureBeef_Equations.VEERG_3_2_1_1__1_TotalAnnualMethaneFromEntericFermentation(AE144,AE108,AE128)</f>
        <v>0.47120481705053707</v>
      </c>
      <c r="AF160" s="2"/>
    </row>
    <row r="161" spans="21:24" ht="20.100000000000001" customHeight="1" x14ac:dyDescent="0.25">
      <c r="U161" s="97" t="s">
        <v>232</v>
      </c>
      <c r="V161" s="98">
        <f ca="1">SUM(V149:AE160)</f>
        <v>56.163952698425533</v>
      </c>
      <c r="W161" s="99">
        <f ca="1">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 ca="1">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83</v>
      </c>
      <c r="V166" s="44" cm="1">
        <f t="array" aca="1" ref="V166" ca="1">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345" zoomScale="85" zoomScaleNormal="85" workbookViewId="0">
      <selection activeCell="D338" sqref="D338:D33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144</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234</v>
      </c>
      <c r="G5" s="6" t="s">
        <v>93</v>
      </c>
      <c r="M5" s="1" t="s">
        <v>168</v>
      </c>
      <c r="O5" s="1" t="s">
        <v>169</v>
      </c>
      <c r="Q5" s="1" t="s">
        <v>170</v>
      </c>
      <c r="S5" s="1" t="s">
        <v>181</v>
      </c>
    </row>
    <row r="6" spans="1:21" ht="20.100000000000001" customHeight="1" x14ac:dyDescent="0.25">
      <c r="A6" s="20" t="s">
        <v>1</v>
      </c>
      <c r="M6" s="1"/>
    </row>
    <row r="7" spans="1:21" ht="20.100000000000001" customHeight="1" x14ac:dyDescent="0.25">
      <c r="A7" s="17" t="str">
        <f>HYPERLINK("#'Input - Site'!A1", "Site")</f>
        <v>Site</v>
      </c>
      <c r="D7" s="36" t="s">
        <v>92</v>
      </c>
      <c r="G7" s="36" t="s">
        <v>91</v>
      </c>
      <c r="M7" t="s">
        <v>145</v>
      </c>
      <c r="O7" s="36" t="s">
        <v>145</v>
      </c>
      <c r="Q7" s="36" t="s">
        <v>145</v>
      </c>
      <c r="S7" s="36" t="s">
        <v>145</v>
      </c>
    </row>
    <row r="8" spans="1:21" ht="20.100000000000001" customHeight="1" x14ac:dyDescent="0.25">
      <c r="A8" s="17" t="str">
        <f>HYPERLINK("#'Input - Pasture Beef'!A1", "Pasture Beef")</f>
        <v>Pasture Beef</v>
      </c>
      <c r="D8" s="36" t="str">
        <f>'Constants - Common'!$F$187</f>
        <v>Pasture</v>
      </c>
      <c r="G8" s="36" t="s">
        <v>94</v>
      </c>
      <c r="M8" s="36" t="s">
        <v>171</v>
      </c>
      <c r="O8" s="36" t="s">
        <v>173</v>
      </c>
      <c r="Q8" s="36" t="s">
        <v>176</v>
      </c>
      <c r="S8" s="36" t="s">
        <v>164</v>
      </c>
    </row>
    <row r="9" spans="1:21" ht="20.100000000000001" customHeight="1" x14ac:dyDescent="0.25">
      <c r="A9" s="17"/>
      <c r="D9" s="1" t="str">
        <f>'Constants - Common'!$F$188</f>
        <v>Crop</v>
      </c>
      <c r="G9" s="36" t="s">
        <v>95</v>
      </c>
      <c r="M9" s="36" t="s">
        <v>172</v>
      </c>
      <c r="O9" s="36" t="s">
        <v>174</v>
      </c>
      <c r="Q9" s="36" t="s">
        <v>177</v>
      </c>
    </row>
    <row r="10" spans="1:21" ht="20.100000000000001" customHeight="1" x14ac:dyDescent="0.25">
      <c r="A10" s="19" t="s">
        <v>61</v>
      </c>
      <c r="G10" s="1" t="s">
        <v>96</v>
      </c>
      <c r="M10" s="36" t="s">
        <v>167</v>
      </c>
      <c r="O10" s="36" t="s">
        <v>175</v>
      </c>
      <c r="Q10" s="36" t="s">
        <v>178</v>
      </c>
      <c r="S10" s="1" t="s">
        <v>182</v>
      </c>
    </row>
    <row r="11" spans="1:21" ht="20.100000000000001" customHeight="1" x14ac:dyDescent="0.25">
      <c r="A11" s="17" t="str">
        <f>HYPERLINK("#'3.2.1.1-2 Enteric Methane'!A1", "3.2.1.1-2 Enteric Methane")</f>
        <v>3.2.1.1-2 Enteric Methane</v>
      </c>
      <c r="G11" s="1" t="s">
        <v>97</v>
      </c>
      <c r="M11" s="1"/>
      <c r="Q11" s="36" t="s">
        <v>179</v>
      </c>
    </row>
    <row r="12" spans="1:21" ht="20.100000000000001" customHeight="1" x14ac:dyDescent="0.25">
      <c r="A12" s="17"/>
      <c r="G12" s="1" t="s">
        <v>98</v>
      </c>
      <c r="M12" s="1"/>
      <c r="S12" s="36" t="s">
        <v>145</v>
      </c>
    </row>
    <row r="13" spans="1:21" ht="20.100000000000001" customHeight="1" x14ac:dyDescent="0.25">
      <c r="A13" s="18" t="s">
        <v>2</v>
      </c>
      <c r="M13" s="1"/>
      <c r="S13" s="36" t="s">
        <v>164</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183</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145</v>
      </c>
    </row>
    <row r="18" spans="1:19" ht="20.100000000000001" customHeight="1" x14ac:dyDescent="0.25">
      <c r="D18" s="36" t="s">
        <v>6</v>
      </c>
      <c r="E18" s="36" t="s">
        <v>145</v>
      </c>
      <c r="F18" s="36" t="s">
        <v>146</v>
      </c>
      <c r="G18" s="36" t="s">
        <v>147</v>
      </c>
      <c r="H18" s="36" t="s">
        <v>148</v>
      </c>
      <c r="I18" s="36" t="s">
        <v>149</v>
      </c>
      <c r="J18" s="36" t="s">
        <v>150</v>
      </c>
      <c r="K18" s="36" t="s">
        <v>151</v>
      </c>
      <c r="L18" s="36" t="s">
        <v>152</v>
      </c>
      <c r="M18" s="36" t="s">
        <v>153</v>
      </c>
      <c r="S18" s="36" t="s">
        <v>164</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184</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145</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164</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185</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145</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164</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6</v>
      </c>
      <c r="E53" s="36" t="s">
        <v>145</v>
      </c>
      <c r="F53" s="36" t="s">
        <v>146</v>
      </c>
      <c r="G53" s="36" t="s">
        <v>165</v>
      </c>
      <c r="H53" s="36" t="s">
        <v>154</v>
      </c>
      <c r="I53" s="36" t="s">
        <v>155</v>
      </c>
      <c r="J53" s="36" t="s">
        <v>156</v>
      </c>
      <c r="K53" s="36" t="s">
        <v>157</v>
      </c>
      <c r="L53" s="36" t="s">
        <v>158</v>
      </c>
      <c r="M53" s="36" t="s">
        <v>159</v>
      </c>
      <c r="N53" s="36" t="s">
        <v>160</v>
      </c>
      <c r="O53" s="36" t="s">
        <v>161</v>
      </c>
      <c r="P53" s="36" t="s">
        <v>162</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163</v>
      </c>
      <c r="M84" s="1"/>
    </row>
    <row r="85" spans="4:22" ht="20.100000000000001" customHeight="1" x14ac:dyDescent="0.25">
      <c r="D85" s="36" t="s">
        <v>6</v>
      </c>
      <c r="E85" s="36" t="s">
        <v>145</v>
      </c>
      <c r="F85" s="36" t="s">
        <v>146</v>
      </c>
      <c r="G85" s="109" t="s">
        <v>104</v>
      </c>
      <c r="H85" s="109" t="s">
        <v>103</v>
      </c>
      <c r="I85" s="109" t="s">
        <v>127</v>
      </c>
      <c r="J85" s="109" t="s">
        <v>128</v>
      </c>
      <c r="K85" s="109" t="s">
        <v>129</v>
      </c>
      <c r="L85" s="109" t="s">
        <v>130</v>
      </c>
      <c r="M85" s="109" t="s">
        <v>131</v>
      </c>
      <c r="N85" s="109" t="s">
        <v>132</v>
      </c>
      <c r="O85" s="109" t="s">
        <v>133</v>
      </c>
      <c r="P85" s="109" t="s">
        <v>134</v>
      </c>
      <c r="V85" s="1"/>
    </row>
    <row r="86" spans="4:22" ht="20.100000000000001" customHeight="1" x14ac:dyDescent="0.25">
      <c r="D86" s="36" t="s">
        <v>66</v>
      </c>
      <c r="E86" s="36" t="s">
        <v>164</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66</v>
      </c>
      <c r="E87" s="36" t="s">
        <v>164</v>
      </c>
      <c r="F87" s="36" t="s">
        <v>136</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66</v>
      </c>
      <c r="E88" s="36" t="s">
        <v>164</v>
      </c>
      <c r="F88" s="36" t="s">
        <v>137</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66</v>
      </c>
      <c r="E89" s="36" t="s">
        <v>164</v>
      </c>
      <c r="F89" s="36" t="s">
        <v>138</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67</v>
      </c>
      <c r="E90" s="36" t="s">
        <v>164</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67</v>
      </c>
      <c r="E91" s="36" t="s">
        <v>164</v>
      </c>
      <c r="F91" s="36" t="s">
        <v>136</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67</v>
      </c>
      <c r="E92" s="36" t="s">
        <v>164</v>
      </c>
      <c r="F92" s="36" t="s">
        <v>137</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67</v>
      </c>
      <c r="E93" s="36" t="s">
        <v>164</v>
      </c>
      <c r="F93" s="36" t="s">
        <v>138</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70</v>
      </c>
      <c r="E94" s="36" t="s">
        <v>164</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70</v>
      </c>
      <c r="E95" s="36" t="s">
        <v>164</v>
      </c>
      <c r="F95" s="36" t="s">
        <v>136</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70</v>
      </c>
      <c r="E96" s="36" t="s">
        <v>164</v>
      </c>
      <c r="F96" s="36" t="s">
        <v>137</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70</v>
      </c>
      <c r="E97" s="36" t="s">
        <v>164</v>
      </c>
      <c r="F97" s="36" t="s">
        <v>138</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71</v>
      </c>
      <c r="E98" s="36" t="s">
        <v>164</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71</v>
      </c>
      <c r="E99" s="36" t="s">
        <v>164</v>
      </c>
      <c r="F99" s="36" t="s">
        <v>136</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71</v>
      </c>
      <c r="E100" s="36" t="s">
        <v>164</v>
      </c>
      <c r="F100" s="36" t="s">
        <v>137</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71</v>
      </c>
      <c r="E101" s="36" t="s">
        <v>164</v>
      </c>
      <c r="F101" s="36" t="s">
        <v>138</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72</v>
      </c>
      <c r="E102" s="36" t="s">
        <v>164</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72</v>
      </c>
      <c r="E103" s="36" t="s">
        <v>164</v>
      </c>
      <c r="F103" s="36" t="s">
        <v>136</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72</v>
      </c>
      <c r="E104" s="36" t="s">
        <v>164</v>
      </c>
      <c r="F104" s="36" t="s">
        <v>137</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72</v>
      </c>
      <c r="E105" s="36" t="s">
        <v>164</v>
      </c>
      <c r="F105" s="36" t="s">
        <v>138</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73</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73</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73</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73</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73</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73</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73</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73</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73</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73</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73</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73</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68</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68</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68</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68</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68</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68</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68</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68</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68</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68</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68</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68</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69</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69</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69</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69</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69</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69</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69</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69</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69</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69</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69</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69</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69</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69</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69</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69</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268</v>
      </c>
      <c r="E146" s="1" t="s">
        <v>164</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268</v>
      </c>
      <c r="E147" s="1" t="s">
        <v>164</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268</v>
      </c>
      <c r="E148" s="1" t="s">
        <v>164</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268</v>
      </c>
      <c r="E149" s="1" t="s">
        <v>164</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6</v>
      </c>
      <c r="E154" s="36" t="s">
        <v>145</v>
      </c>
      <c r="F154" s="36" t="s">
        <v>146</v>
      </c>
      <c r="G154" s="36" t="s">
        <v>165</v>
      </c>
      <c r="H154" s="36" t="s">
        <v>154</v>
      </c>
      <c r="I154" s="36" t="s">
        <v>186</v>
      </c>
      <c r="J154" s="36" t="s">
        <v>150</v>
      </c>
      <c r="K154" s="36" t="s">
        <v>187</v>
      </c>
      <c r="L154" s="36" t="s">
        <v>159</v>
      </c>
      <c r="M154" s="36" t="s">
        <v>188</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6</v>
      </c>
      <c r="E189" s="36" t="s">
        <v>145</v>
      </c>
      <c r="F189" s="36" t="s">
        <v>146</v>
      </c>
      <c r="G189" s="36" t="s">
        <v>165</v>
      </c>
      <c r="H189" s="36" t="s">
        <v>154</v>
      </c>
      <c r="I189" s="36" t="s">
        <v>186</v>
      </c>
      <c r="J189" s="36" t="s">
        <v>150</v>
      </c>
      <c r="K189" s="36" t="s">
        <v>189</v>
      </c>
      <c r="L189" s="36" t="s">
        <v>190</v>
      </c>
      <c r="M189" s="36" t="s">
        <v>159</v>
      </c>
      <c r="N189" s="36" t="s">
        <v>160</v>
      </c>
      <c r="O189" s="36" t="s">
        <v>161</v>
      </c>
      <c r="P189" s="36" t="s">
        <v>162</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163</v>
      </c>
      <c r="M220" s="1"/>
    </row>
    <row r="221" spans="4:16" x14ac:dyDescent="0.25">
      <c r="M221" s="1"/>
    </row>
    <row r="222" spans="4:16" x14ac:dyDescent="0.25">
      <c r="D222" s="36" t="s">
        <v>6</v>
      </c>
      <c r="E222" s="36" t="s">
        <v>145</v>
      </c>
      <c r="F222" s="36" t="s">
        <v>146</v>
      </c>
      <c r="G222" s="109" t="s">
        <v>104</v>
      </c>
      <c r="H222" s="109" t="s">
        <v>103</v>
      </c>
      <c r="I222" s="109" t="s">
        <v>127</v>
      </c>
      <c r="J222" s="109" t="s">
        <v>128</v>
      </c>
      <c r="K222" s="109" t="s">
        <v>129</v>
      </c>
      <c r="L222" s="109" t="s">
        <v>130</v>
      </c>
      <c r="M222" s="109" t="s">
        <v>131</v>
      </c>
      <c r="N222" s="109" t="s">
        <v>132</v>
      </c>
      <c r="O222" s="109" t="s">
        <v>133</v>
      </c>
      <c r="P222" s="109" t="s">
        <v>134</v>
      </c>
    </row>
    <row r="223" spans="4:16" x14ac:dyDescent="0.25">
      <c r="D223" s="36" t="s">
        <v>66</v>
      </c>
      <c r="E223" s="36" t="s">
        <v>164</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66</v>
      </c>
      <c r="E224" s="36" t="s">
        <v>164</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66</v>
      </c>
      <c r="E225" s="36" t="s">
        <v>164</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66</v>
      </c>
      <c r="E226" s="36" t="s">
        <v>164</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67</v>
      </c>
      <c r="E227" s="36" t="s">
        <v>164</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67</v>
      </c>
      <c r="E228" s="36" t="s">
        <v>164</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67</v>
      </c>
      <c r="E229" s="36" t="s">
        <v>164</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67</v>
      </c>
      <c r="E230" s="36" t="s">
        <v>164</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70</v>
      </c>
      <c r="E231" s="36" t="s">
        <v>164</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70</v>
      </c>
      <c r="E232" s="36" t="s">
        <v>164</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70</v>
      </c>
      <c r="E233" s="36" t="s">
        <v>164</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70</v>
      </c>
      <c r="E234" s="36" t="s">
        <v>164</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71</v>
      </c>
      <c r="E235" s="36" t="s">
        <v>164</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71</v>
      </c>
      <c r="E236" s="36" t="s">
        <v>164</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71</v>
      </c>
      <c r="E237" s="36" t="s">
        <v>164</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71</v>
      </c>
      <c r="E238" s="36" t="s">
        <v>164</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72</v>
      </c>
      <c r="E239" s="36" t="s">
        <v>164</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72</v>
      </c>
      <c r="E240" s="36" t="s">
        <v>164</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72</v>
      </c>
      <c r="E241" s="36" t="s">
        <v>164</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72</v>
      </c>
      <c r="E242" s="36" t="s">
        <v>164</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73</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73</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73</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73</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73</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73</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73</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73</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73</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73</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73</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73</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68</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68</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68</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68</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68</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68</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68</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68</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68</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68</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68</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68</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69</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69</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69</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69</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69</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69</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69</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69</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69</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69</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69</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69</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69</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69</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69</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69</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6</v>
      </c>
      <c r="E290" s="36" t="s">
        <v>145</v>
      </c>
      <c r="F290" s="36" t="s">
        <v>135</v>
      </c>
      <c r="G290" s="36" t="s">
        <v>136</v>
      </c>
      <c r="H290" s="36" t="s">
        <v>137</v>
      </c>
      <c r="I290" s="36" t="s">
        <v>138</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6</v>
      </c>
      <c r="E313" s="36" t="s">
        <v>145</v>
      </c>
      <c r="F313" s="36" t="s">
        <v>135</v>
      </c>
      <c r="G313" s="36" t="s">
        <v>136</v>
      </c>
      <c r="H313" s="36" t="s">
        <v>137</v>
      </c>
      <c r="I313" s="36" t="s">
        <v>138</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210</v>
      </c>
      <c r="M333" s="1"/>
    </row>
    <row r="334" spans="4:13" x14ac:dyDescent="0.25">
      <c r="D334" s="36" t="s">
        <v>102</v>
      </c>
      <c r="E334" s="36" t="s">
        <v>146</v>
      </c>
      <c r="F334" s="36" t="s">
        <v>194</v>
      </c>
      <c r="G334" s="36" t="s">
        <v>195</v>
      </c>
      <c r="I334" s="36" t="s">
        <v>102</v>
      </c>
      <c r="J334" s="36" t="s">
        <v>146</v>
      </c>
      <c r="K334" s="36" t="s">
        <v>194</v>
      </c>
      <c r="L334" s="36" t="s">
        <v>195</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208</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209</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208</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209</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6</v>
      </c>
      <c r="E350" s="36" t="s">
        <v>196</v>
      </c>
      <c r="F350" s="36" t="s">
        <v>197</v>
      </c>
      <c r="G350" s="36" t="s">
        <v>155</v>
      </c>
      <c r="H350" s="36" t="s">
        <v>156</v>
      </c>
      <c r="I350" s="36" t="s">
        <v>198</v>
      </c>
      <c r="J350" s="36" t="s">
        <v>159</v>
      </c>
      <c r="K350" s="36" t="s">
        <v>188</v>
      </c>
      <c r="L350" s="36" t="s">
        <v>199</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6</v>
      </c>
      <c r="E361" s="109" t="s">
        <v>104</v>
      </c>
      <c r="F361" s="109" t="s">
        <v>103</v>
      </c>
      <c r="G361" s="109" t="s">
        <v>127</v>
      </c>
      <c r="H361" s="109" t="s">
        <v>128</v>
      </c>
      <c r="I361" s="109" t="s">
        <v>129</v>
      </c>
      <c r="J361" s="109" t="s">
        <v>130</v>
      </c>
      <c r="K361" s="109" t="s">
        <v>131</v>
      </c>
      <c r="L361" s="109" t="s">
        <v>132</v>
      </c>
      <c r="M361" s="109" t="s">
        <v>133</v>
      </c>
      <c r="N361" s="109" t="s">
        <v>134</v>
      </c>
      <c r="O361" s="36" t="s">
        <v>199</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224</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6</v>
      </c>
      <c r="E377" s="36" t="s">
        <v>145</v>
      </c>
      <c r="F377" s="36" t="s">
        <v>110</v>
      </c>
      <c r="G377" s="36" t="s">
        <v>200</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6</v>
      </c>
      <c r="E400" s="36" t="s">
        <v>145</v>
      </c>
      <c r="F400" s="36" t="s">
        <v>110</v>
      </c>
      <c r="G400" s="36" t="s">
        <v>200</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pageSetup paperSize="9" orientation="portrait" r:id="rId1"/>
  <ignoredErrors>
    <ignoredError sqref="E223:P282" calculatedColumn="1"/>
  </ignoredErrors>
  <tableParts count="2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zoomScale="85" zoomScaleNormal="85" workbookViewId="0">
      <selection activeCell="E7" sqref="E7:E1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17</v>
      </c>
      <c r="E6" s="36" t="s">
        <v>18</v>
      </c>
      <c r="F6" s="36" t="s">
        <v>19</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20</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22</v>
      </c>
      <c r="E47" s="36" t="s">
        <v>25</v>
      </c>
      <c r="F47" s="36" t="s">
        <v>26</v>
      </c>
      <c r="G47" s="36" t="s">
        <v>27</v>
      </c>
      <c r="H47" s="36" t="s">
        <v>28</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7</v>
      </c>
      <c r="E63" s="36" t="s">
        <v>42</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7</v>
      </c>
      <c r="E89" s="36" t="s">
        <v>30</v>
      </c>
      <c r="F89" s="36" t="s">
        <v>31</v>
      </c>
      <c r="G89" s="36" t="s">
        <v>32</v>
      </c>
      <c r="H89" s="36" t="s">
        <v>33</v>
      </c>
      <c r="I89" s="36" t="s">
        <v>34</v>
      </c>
      <c r="J89" s="36" t="s">
        <v>35</v>
      </c>
      <c r="K89" s="36" t="s">
        <v>36</v>
      </c>
      <c r="L89" s="36" t="s">
        <v>37</v>
      </c>
      <c r="M89" s="36" t="s">
        <v>38</v>
      </c>
      <c r="N89" s="36" t="s">
        <v>39</v>
      </c>
      <c r="O89" s="36" t="s">
        <v>43</v>
      </c>
      <c r="P89" s="36" t="s">
        <v>40</v>
      </c>
      <c r="Q89" s="36" t="s">
        <v>44</v>
      </c>
      <c r="R89" s="36" t="s">
        <v>41</v>
      </c>
      <c r="S89" s="36" t="s">
        <v>45</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48</v>
      </c>
      <c r="E109" s="36" t="s">
        <v>30</v>
      </c>
      <c r="F109" s="36" t="s">
        <v>49</v>
      </c>
      <c r="G109" s="36" t="s">
        <v>50</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51</v>
      </c>
      <c r="E119" s="36" t="s">
        <v>52</v>
      </c>
      <c r="F119" s="36" t="s">
        <v>37</v>
      </c>
      <c r="G119" s="36" t="s">
        <v>38</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53</v>
      </c>
      <c r="E127" s="36" t="s">
        <v>54</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76</v>
      </c>
      <c r="E134" t="s">
        <v>77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119</v>
      </c>
      <c r="E142" s="36" t="s">
        <v>77</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55</v>
      </c>
      <c r="E153" s="36" t="s">
        <v>56</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88</v>
      </c>
      <c r="E186" s="36" t="s">
        <v>89</v>
      </c>
      <c r="F186" s="36" t="s">
        <v>90</v>
      </c>
      <c r="G186" s="36" t="s">
        <v>91</v>
      </c>
      <c r="H186" s="36" t="s">
        <v>29</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7</v>
      </c>
      <c r="E206" s="36" t="s">
        <v>121</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105</v>
      </c>
      <c r="E212" s="36" t="s">
        <v>146</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46</v>
      </c>
      <c r="E231" s="36" t="s">
        <v>237</v>
      </c>
      <c r="F231" s="35" t="s">
        <v>223</v>
      </c>
      <c r="G231" s="36" t="s">
        <v>238</v>
      </c>
      <c r="H231" s="36" t="s">
        <v>239</v>
      </c>
      <c r="I231" s="36" t="s">
        <v>240</v>
      </c>
      <c r="J231" s="36" t="s">
        <v>241</v>
      </c>
      <c r="K231" s="36" t="s">
        <v>242</v>
      </c>
      <c r="L231" s="36" t="s">
        <v>243</v>
      </c>
      <c r="M231" s="36" t="s">
        <v>244</v>
      </c>
      <c r="N231" s="36" t="s">
        <v>245</v>
      </c>
      <c r="O231" s="36" t="s">
        <v>246</v>
      </c>
      <c r="P231" s="36" t="s">
        <v>247</v>
      </c>
      <c r="Q231" s="36" t="s">
        <v>248</v>
      </c>
      <c r="R231" s="36" t="s">
        <v>110</v>
      </c>
      <c r="S231" s="36" t="s">
        <v>249</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269</v>
      </c>
      <c r="E257" s="36" t="s">
        <v>270</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1" sqref="A11"/>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63</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64</v>
      </c>
      <c r="E9" s="36" t="s">
        <v>16</v>
      </c>
      <c r="F9" s="36" t="s">
        <v>65</v>
      </c>
      <c r="G9" s="3"/>
    </row>
    <row r="10" spans="1:13" ht="20.100000000000001" customHeight="1" x14ac:dyDescent="0.25">
      <c r="A10" s="19" t="s">
        <v>61</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CAAMQBcACIALAAgAFwAIgBCAHUAbABsACAAPgAgADEAXAAiACwAIABcACIAQwBvAHcAIAA8ACAAMQBcACIALAAgAFwAIgBDAG8AdwAgADEALQAyAFwAIgAsACAAXAAiAEMAbwB3ACAAPgAgADIAXAAiACwAIABcACIAUwB0AGUAZQByACAAPAAgADEAXAAiACwAIABcACIAUwB0AGUAZQByACAAPg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BzACAAPAAxAFwAIgAsACAAXAAiAEMAbwB3AHMAIAAxAC0AMgBcACIALAAgAFwAIgBDAG8AdwBzACAAMgAtADMAXAAiACwAIABcACIAQwBvAHcAc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JwBuAC8AYQAnACAAdwBpAHQAaAAgACcAUwBvAHUAdABoACAAVwBlAHMAdAAn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ADIAXAAiACwAIABcACIAUwB0AGUAZQByACAAPAAxAFwAIgAsACAAXAAiAFMAdABlAGUAcgAgAD4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yAC0AMwBcACIALAAgAFwAIgBDAG8Ad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CcAUwB0AGEAdABlACAAYQBiAGIAcgBlAHYAaQBhAHQAaQBvAG4AJ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PAAxAFwAIgAsACAAXAAiAEIAdQBsAGwAcwAgAD4AMQBcACIALAAgAFwAIgBDAG8AdwBzACAAPAAxAFwAIgAsACAAXAAiAEMAbwB3AHMAIAAxAC0AMgBcACIALAAgAFwAIgBDAG8AdwBzACAAPgAyAFwAIgAsACAAXAAiAFMAdABlAGUAcgAgADwAMQBcACIALAAgAFwAIgBTAHQAZQBlAHIAIAA+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AnAFAAYQBzAHQAdQByAGUAIAByAGEAbgBnAGUAIABhAG4AZAAgAHAAYQBkAGQAbwBjAGsAJ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UAbgB0AGUAcgBpAGMATQBlAHQAaABhAG4AZQBfAFAAYQBzAHQAdQByAGUAQgBlAGUAZgBfAEUAcQB1AGEAdABpAG8AbgBzAC4AVgBFAEUAUgBHAF8AMwBfADIAXwAxAF8AMQBfAF8AMQBfAFQAbwB0AGEAbABBAG4AbgB1AGEAbABNAGUAdABoAGEAbgBlAEYAcgBvAG0ARQBuAHQAZQByAGkAYwBGAGUAcgBtAGUAbgB0AGEAdABpAG8AbgAiACwAIgBFAG4AdABlAHIAaQBjAE0AZQB0AGgAYQBuAGUAXwBQAGEAcwB0AHUAcgBlAEIAZQBlAGYAXwBFAHEAdQBhAHQAaQBvAG4AcwAuAFYARQBFAFIARwBfADMAXwAyAF8AMQBfADEAXwBfADEAXwBUAG8AdABhAGwAQQBuAG4AdQBhAGwATQBlAHQAaABhAG4AZQBGAHIAbwBtAEUAbgB0AGUAcgBpAGMARgBlAHIAbQBlAG4AdABhAHQAaQBvAG4AXwBUAGkAdABsAGUAIgAsACIARQBuAHQAZQByAGkAYwBNAGUAdABoAGEAbgBlAF8AUABhAHMAdAB1AHIAZQBCAGUAZQBmAF8ARQBxAHUAYQB0AGkAbwBuAHMALgBWAEUARQBSAEcAXwAzAF8AMgBfADEAXwAxAF8AXwAxAF8AVABvAHQAYQBsAEEAbgBuAHUAYQBsAE0AZQB0AGgAYQBuAGUARgByAG8AbQBFAG4AdABlAHIAaQBjAEYAZQByAG0AZQBuAHQAYQB0AGkAbwBuAF8AVgBhAHIAaQBhAGIAbABlACIALAAiAEUAbgB0AGUAcgBpAGMATQBlAHQAaABhAG4AZQBfAFAAYQBzAHQAdQByAGUAQgBlAGUAZgBfAEUAcQB1AGEAdABpAG8AbgBzAC4AVgBFAEUAUgBHAF8AMwBfADIAXwAxAF8AMQBfAF8AMQBfAFQAbwB0AGEAbABBAG4AbgB1AGEAbABNAGUAdABoAGEAbgBlAEYAcgBvAG0ARQBuAHQAZQByAGkAYwBGAGUAcgBtAGUAbgB0AGEAdABpAG8AbgBfAFUAbgBpAHQAIgAsACIARQBuAHQAZQByAGkAYwBNAGUAdABoAGEAbgBlAF8AUABhAHMAdAB1AHIAZQBCAGUAZQBmAF8ARQBxAHUAYQB0AGkAbwBuAHMALgBWAEUARQBSAEcAXwAzAF8AMgBfADEAXwAxAF8AXwAxAF8AVABvAHQAYQBsAEEAbgBuAHUAYQBsAE0AZQB0AGgAYQBuAGUARgByAG8AbQBFAG4AdABlAHIAaQBjAEYAZQByAG0AZQBuAHQAYQB0AGkAbwBuAF8AUwBvAHUAcgBjAGUAIgAsACIARQBuAHQAZQByAGkAYwBNAGUAdABoAGEAbgBlAF8AUABhAHMAdAB1AHIAZQBCAGUAZQBmAF8ARQBxAHUAYQB0AGkAbwBuAHMALgBWAEUARQBSAEcAXwAzAF8AMgBfADEAXwAxAF8AXwAxAF8AVABvAHQAYQBsAEEAbgBuAHUAYQBsAE0AZQB0AGgAYQBuAGUARgByAG8AbQBFAG4AdABlAHIAaQBjAEYAZQByAG0AZQBuAHQAYQB0AGkAbwBuAF8ATgBJAFIAUgBlAGYAZQByAGUAbgBjAGUAIgAsACIARQBuAHQAZQByAGkAYwBNAGUAdABoAGEAbgBlAF8AUABhAHMAdAB1AHIAZQBCAGUAZQBmAF8ARQBxAHUAYQB0AGkAbwBuAHMALgBWAEUARQBSAEcAXwAzAF8AMgBfADEAXwAxAF8AXwAxAF8AVABvAHQAYQBsAEEAbgBuAHUAYQBsAE0AZQB0AGgAYQBuAGUARgByAG8AbQBFAG4AdABlAHIAaQBjAEYAZQByAG0AZQBuAHQAYQB0AGkAbwBuAF8ATABhAHQAZQB4AEUAcQB1AGEAdABpAG8AbgAiACwAIgBFAG4AdABlAHIAaQBjAE0AZQB0AGgAYQBuAGUAXwBQAGEAcwB0AHUAcgBlAEIAZQBlAGYAXwBFAHEAdQBhAHQAaQBvAG4AcwAuAFYARQBFAFIARwBfADMAXwAyAF8AMQBfADEAXwBfADEAXwBUAG8AdABhAGwAQQBuAG4AdQBhAGwATQBlAHQAaABhAG4AZQBGAHIAbwBtAEUAbgB0AGUAcgBpAGMARgBlAHIAbQBlAG4AdABhAHQAaQBvAG4AXwBBAHIAZwB1AG0AZQBuAHQAcwAiACwAIgBFAG4AdABlAHIAaQBjAE0AZQB0AGgAYQBuAGUAXwBQAGEAcwB0AHUAcgBlAEIAZQBlAGYAXwBFAHEAdQBhAHQAaQBvAG4AcwAuAFYARQBFAFIARwBfADMAXwAyAF8AMQBfADEAXwBfADIAXwBEAGEAaQBsAHkARQBuAHQAZQByAGkAYwBNAGUAdABoAGEAbgBlAFAAcgBvAGQAdQBjAHQAaQBvAG4AIgAsACIARQBuAHQAZQByAGkAYwBNAGUAdABoAGEAbgBlAF8AUABhAHMAdAB1AHIAZQBCAGUAZQBmAF8ARQBxAHUAYQB0AGkAbwBuAHMALgBWAEUARQBSAEcAXwAzAF8AMgBfADEAXwAxAF8AXwAyAF8ARABhAGkAbAB5AEUAbgB0AGUAcgBpAGMATQBlAHQAaABhAG4AZQBQAHIAbwBkAHUAYwB0AGkAbwBuAF8AVABpAHQAbABlACIALAAiAEUAbgB0AGUAcgBpAGMATQBlAHQAaABhAG4AZQBfAFAAYQBzAHQAdQByAGUAQgBlAGUAZgBfAEUAcQB1AGEAdABpAG8AbgBzAC4AVgBFAEUAUgBHAF8AMwBfADIAXwAxAF8AMQBfAF8AMgBfAEQAYQBpAGwAeQBFAG4AdABlAHIAaQBjAE0AZQB0AGgAYQBuAGUAUAByAG8AZAB1AGMAdABpAG8AbgBfAFYAYQByAGkAYQBiAGwAZQAiACwAIgBFAG4AdABlAHIAaQBjAE0AZQB0AGgAYQBuAGUAXwBQAGEAcwB0AHUAcgBlAEIAZQBlAGYAXwBFAHEAdQBhAHQAaQBvAG4AcwAuAFYARQBFAFIARwBfADMAXwAyAF8AMQBfADEAXwBfADIAXwBEAGEAaQBsAHkARQBuAHQAZQByAGkAYwBNAGUAdABoAGEAbgBlAFAAcgBvAGQAdQBjAHQAaQBvAG4AXwBVAG4AaQB0ACIALAAiAEUAbgB0AGUAcgBpAGMATQBlAHQAaABhAG4AZQBfAFAAYQBzAHQAdQByAGUAQgBlAGUAZgBfAEUAcQB1AGEAdABpAG8AbgBzAC4AVgBFAEUAUgBHAF8AMwBfADIAXwAxAF8AMQBfAF8AMgBfAEQAYQBpAGwAeQBFAG4AdABlAHIAaQBjAE0AZQB0AGgAYQBuAGUAUAByAG8AZAB1AGMAdABpAG8AbgBfAFMAbwB1AHIAYwBlACIALAAiAEUAbgB0AGUAcgBpAGMATQBlAHQAaABhAG4AZQBfAFAAYQBzAHQAdQByAGUAQgBlAGUAZgBfAEUAcQB1AGEAdABpAG8AbgBzAC4AVgBFAEUAUgBHAF8AMwBfADIAXwAxAF8AMQBfAF8AMgBfAEQAYQBpAGwAeQBFAG4AdABlAHIAaQBjAE0AZQB0AGgAYQBuAGUAUAByAG8AZAB1AGMAdABpAG8AbgBfAE4ASQBSAFIAZQBmAGUAcgBlAG4AYwBlACIALAAiAEUAbgB0AGUAcgBpAGMATQBlAHQAaABhAG4AZQBfAFAAYQBzAHQAdQByAGUAQgBlAGUAZgBfAEUAcQB1AGEAdABpAG8AbgBzAC4AVgBFAEUAUgBHAF8AMwBfADIAXwAxAF8AMQBfAF8AMgBfAEQAYQBpAGwAeQBFAG4AdABlAHIAaQBjAE0AZQB0AGgAYQBuAGUAUAByAG8AZAB1AGMAdABpAG8AbgBfAEwAYQB0AGUAeABFAHEAdQBhAHQAaQBvAG4AIgAsACIARQBuAHQAZQByAGkAYwBNAGUAdABoAGEAbgBlAF8AUABhAHMAdAB1AHIAZQBCAGUAZQBmAF8ARQBxAHUAYQB0AGkAbwBuAHMALgBWAEUARQBSAEcAXwAzAF8AMgBfADEAXwAxAF8AXwAyAF8ARABhAGkAbAB5AEUAbgB0AGUAcgBpAGMATQBlAHQAaABhAG4AZQBQAHIAbwBkAHUAYwB0AGkAbwBuAF8AQQByAGcAdQBtAGUAbgB0AHMAIgAsACIARQBuAHQAZQByAGkAYwBNAGUAdABoAGEAbgBlAF8AUABhAHMAdAB1AHIAZQBCAGUAZQBmAF8ARQBxAHUAYQB0AGkAbwBuAHMALgBWAEUARQBSAEcAXwAzAF8AMgBfADEAXwAxAF8AXwAzAF8ARgBlAGUAZABJAG4AdABhAGsAZQBGAG8AcgBHAHIAYQB6AGkAbgBnAEIAZQBlAGYAIgAsACIARQBuAHQAZQByAGkAYwBNAGUAdABoAGEAbgBlAF8AUABhAHMAdAB1AHIAZQBCAGUAZQBmAF8ARQBxAHUAYQB0AGkAbwBuAHMALgBWAEUARQBSAEcAXwAzAF8AMgBfADEAXwAxAF8AXwAzAF8ARgBlAGUAZABJAG4AdABhAGsAZQBGAG8AcgBHAHIAYQB6AGkAbgBnAEIAZQBlAGYAXwBUAGkAdABsAGUAIgAsACIARQBuAHQAZQByAGkAYwBNAGUAdABoAGEAbgBlAF8AUABhAHMAdAB1AHIAZQBCAGUAZQBmAF8ARQBxAHUAYQB0AGkAbwBuAHMALgBWAEUARQBSAEcAXwAzAF8AMgBfADEAXwAxAF8AXwAzAF8ARgBlAGUAZABJAG4AdABhAGsAZQBGAG8AcgBHAHIAYQB6AGkAbgBnAEIAZQBlAGYAXwBWAGEAcgBpAGEAYgBsAGUAIgAsACIARQBuAHQAZQByAGkAYwBNAGUAdABoAGEAbgBlAF8AUABhAHMAdAB1AHIAZQBCAGUAZQBmAF8ARQBxAHUAYQB0AGkAbwBuAHMALgBWAEUARQBSAEcAXwAzAF8AMgBfADEAXwAxAF8AXwAzAF8ARgBlAGUAZABJAG4AdABhAGsAZQBGAG8AcgBHAHIAYQB6AGkAbgBnAEIAZQBlAGYAXwBVAG4AaQB0ACIALAAiAEUAbgB0AGUAcgBpAGMATQBlAHQAaABhAG4AZQBfAFAAYQBzAHQAdQByAGUAQgBlAGUAZgBfAEUAcQB1AGEAdABpAG8AbgBzAC4AVgBFAEUAUgBHAF8AMwBfADIAXwAxAF8AMQBfAF8AMwBfAEYAZQBlAGQASQBuAHQAYQBrAGUARgBvAHIARwByAGEAegBpAG4AZwBCAGUAZQBmAF8AUwBvAHUAcgBjAGUAIgAsACIARQBuAHQAZQByAGkAYwBNAGUAdABoAGEAbgBlAF8AUABhAHMAdAB1AHIAZQBCAGUAZQBmAF8ARQBxAHUAYQB0AGkAbwBuAHMALgBWAEUARQBSAEcAXwAzAF8AMgBfADEAXwAxAF8AXwAzAF8ARgBlAGUAZABJAG4AdABhAGsAZQBGAG8AcgBHAHIAYQB6AGkAbgBnAEIAZQBlAGYAXwBOAEkAUgBSAGUAZgBlAHIAZQBuAGMAZQAiACwAIgBFAG4AdABlAHIAaQBjAE0AZQB0AGgAYQBuAGUAXwBQAGEAcwB0AHUAcgBlAEIAZQBlAGYAXwBFAHEAdQBhAHQAaQBvAG4AcwAuAFYARQBFAFIARwBfADMAXwAyAF8AMQBfADEAXwBfADMAXwBGAGUAZQBkAEkAbgB0AGEAawBlAEYAbwByAEcAcgBhAHoAaQBuAGcAQgBlAGUAZgBfAEwAYQB0AGUAeABFAHEAdQBhAHQAaQBvAG4AIgAsACIARQBuAHQAZQByAGkAYwBNAGUAdABoAGEAbgBlAF8AUABhAHMAdAB1AHIAZQBCAGUAZQBmAF8ARQBxAHUAYQB0AGkAbwBuAHMALgBWAEUARQBSAEcAXwAzAF8AMgBfADEAXwAxAF8AXwAzAF8ARgBlAGUAZABJAG4AdABhAGsAZQBGAG8AcgBHAHIAYQB6AGkAbgBnAEIAZQBlAGYAXwBBAHIAZwB1AG0AZQBuAHQAcwAiACwAIgBFAG4AdABlAHIAaQBjAE0AZQB0AGgAYQBuAGUAXwBQAGEAcwB0AHUAcgBlAEIAZQBlAGYAXwBFAHEAdQBhAHQAaQBvAG4AcwAuAFYARQBFAFIARwBfADMAXwAyAF8AMQBfADEAXwBfADQAXwBBAGQAZABpAHQAaQBvAG4AYQBsAEkAbgB0AGEAawBlAEYAbwByAE0AaQBsAGsAUAByAG8AZAB1AGMAdABpAG8AbgAiACwAIgBFAG4AdABlAHIAaQBjAE0AZQB0AGgAYQBuAGUAXwBQAGEAcwB0AHUAcgBlAEIAZQBlAGYAXwBFAHEAdQBhAHQAaQBvAG4AcwAuAFYARQBFAFIARwBfADMAXwAyAF8AMQBfADEAXwBfADQAXwBBAGQAZABpAHQAaQBvAG4AYQBsAEkAbgB0AGEAawBlAEYAbwByAE0AaQBsAGsAUAByAG8AZAB1AGMAdABpAG8AbgBWAGEAcgBpAGEAdABpAG8AbgAiACwAIgBFAG4AdABlAHIAaQBjAE0AZQB0AGgAYQBuAGUAXwBQAGEAcwB0AHUAcgBlAEIAZQBlAGYAXwBFAHEAdQBhAHQAaQBvAG4AcwAuAFYARQBFAFIARwBfADMAXwAyAF8AMQBfADEAXwBfADQAXwBBAGQAZABpAHQAaQBvAG4AYQBsAEkAbgB0AGEAawBlAEYAbwByAE0AaQBsAGsAUAByAG8AZAB1AGMAdABpAG8AbgBfAFQAaQB0AGwAZQAiACwAIgBFAG4AdABlAHIAaQBjAE0AZQB0AGgAYQBuAGUAXwBQAGEAcwB0AHUAcgBlAEIAZQBlAGYAXwBFAHEAdQBhAHQAaQBvAG4AcwAuAFYARQBFAFIARwBfADMAXwAyAF8AMQBfADEAXwBfADQAXwBBAGQAZABpAHQAaQBvAG4AYQBsAEkAbgB0AGEAawBlAEYAbwByAE0AaQBsAGsAUAByAG8AZAB1AGMAdABpAG8AbgBfAFYAYQByAGkAYQBiAGwAZQAiACwAIgBFAG4AdABlAHIAaQBjAE0AZQB0AGgAYQBuAGUAXwBQAGEAcwB0AHUAcgBlAEIAZQBlAGYAXwBFAHEAdQBhAHQAaQBvAG4AcwAuAFYARQBFAFIARwBfADMAXwAyAF8AMQBfADEAXwBfADQAXwBBAGQAZABpAHQAaQBvAG4AYQBsAEkAbgB0AGEAawBlAEYAbwByAE0AaQBsAGsAUAByAG8AZAB1AGMAdABpAG8AbgBfAFUAbgBpAHQAIgAsACIARQBuAHQAZQByAGkAYwBNAGUAdABoAGEAbgBlAF8AUABhAHMAdAB1AHIAZQBCAGUAZQBmAF8ARQBxAHUAYQB0AGkAbwBuAHMALgBWAEUARQBSAEcAXwAzAF8AMgBfADEAXwAxAF8AXwA0AF8AQQBkAGQAaQB0AGkAbwBuAGEAbABJAG4AdABhAGsAZQBGAG8AcgBNAGkAbABrAFAAcgBvAGQAdQBjAHQAaQBvAG4AXwBTAG8AdQByAGMAZQAiACwAIgBFAG4AdABlAHIAaQBjAE0AZQB0AGgAYQBuAGUAXwBQAGEAcwB0AHUAcgBlAEIAZQBlAGYAXwBFAHEAdQBhAHQAaQBvAG4AcwAuAFYARQBFAFIARwBfADMAXwAyAF8AMQBfADEAXwBfADQAXwBBAGQAZABpAHQAaQBvAG4AYQBsAEkAbgB0AGEAawBlAEYAbwByAE0AaQBsAGsAUAByAG8AZAB1AGMAdABpAG8AbgBfAE4ASQBSAFIAZQBmAGUAcgBlAG4AYwBlACIALAAiAEUAbgB0AGUAcgBpAGMATQBlAHQAaABhAG4AZQBfAFAAYQBzAHQAdQByAGUAQgBlAGUAZgBfAEUAcQB1AGEAdABpAG8AbgBzAC4AVgBFAEUAUgBHAF8AMwBfADIAXwAxAF8AMQBfAF8ANABfAEEAZABkAGkAdABpAG8AbgBhAGwASQBuAHQAYQBrAGUARgBvAHIATQBpAGwAawBQAHIAbwBkAHUAYwB0AGkAbwBuAF8ATABhAHQAZQB4AEUAcQB1AGEAdABpAG8AbgAiACwAIgBFAG4AdABlAHIAaQBjAE0AZQB0AGgAYQBuAGUAXwBQAGEAcwB0AHUAcgBlAEIAZQBlAGYAXwBFAHEAdQBhAHQAaQBvAG4AcwAuAFYARQBFAFIARwBfADMAXwAyAF8AMQBfADEAXwBfADQAXwBBAGQAZABpAHQAaQBvAG4AYQBsAEkAbgB0AGEAawBlAEYAbwByAE0AaQBsAGsAUAByAG8AZAB1AGMAdABpAG8AbgBfAEwAYQB0AGUAeABFAHEAdQBhAHQAaQBvAG4AVgBhAHIAaQBhAHQAaQBvAG4AIgAsACIARQBuAHQAZQByAGkAYwBNAGUAdABoAGEAbgBlAF8AUABhAHMAdAB1AHIAZQBCAGUAZQBmAF8ARQBxAHUAYQB0AGkAbwBuAHMALgBWAEUARQBSAEcAXwAzAF8AMgBfADEAXwAxAF8AXwA0AF8AQQBkAGQAaQB0AGkAbwBuAGEAbABJAG4AdABhAGsAZQBGAG8AcgBNAGkAbABrAFAAcgBvAGQAdQBjAHQAaQBvAG4AXwBBAHIAZwB1AG0AZQBuAHQAcwAiACwAIgBFAG4AdABlAHIAaQBjAE0AZQB0AGgAYQBuAGUAXwBQAGEAcwB0AHUAcgBlAEIAZQBlAGYAXwBFAHEAdQBhAHQAaQBvAG4AcwAuAFYARQBFAFIARwBfADMAXwAyAF8AMQBfADEAXwBfADQAXwBBAGQAZABpAHQAaQBvAG4AYQBsAEkAbgB0AGEAawBlAEYAbwByAE0AaQBsAGsAUAByAG8AZAB1AGMAdABpAG8AbgBfAEEAcgBnAHUAbQBlAG4AdABzAFYAYQByAGkAYQB0AGkAbwBuACIALAAiAEUAbgB0AGUAcgBpAGMATQBlAHQAaABhAG4AZQBfAFAAYQBzAHQAdQByAGUAQgBlAGUAZgBfAEUAcQB1AGEAdABpAG8AbgBzAC4AVgBFAEUAUgBHAF8AMwBfADIAXwAxAF8AMQBfAF8ANABfAEEAZABkAGkAdABpAG8AbgBhAGwASQBuAHQAYQBrAGUARgBvAHIATQBpAGwAawBQAHIAbwBkAHUAYwB0AGkAbwBuAF8AVgBhAHIAaQBhAHQAaQBvAG4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SQBuAHAAdQB0AEYAdQBuAGMAdABpAG8AbgBzAF8AUABhAHMAdAB1AHIAZQBCAGUAZQBmAC4ATABvAG8AawB1AHAATABpAHYAZQB3AGUAaQBnAGgAdABGAHIAbwBtAFMAZQBhAHMAbwBuACIALAAiAEkAbgBwAHUAdABGAHUAbgBjAHQAaQBvAG4AcwBfAFAAYQBzAHQAdQByAGUAQgBlAGUAZgAuAEwAbwBvAGsAdQBwAEwAaQB2AGUAdwBlAGkAZwBoAHQARgByAG8AbQBNAG8AbgB0AGgAIgAsACIASQBuAHAAdQB0AEYAdQBuAGMAdABpAG8AbgBzAF8AUABhAHMAdAB1AHIAZQBCAGUAZQBmAC4AQwBvAG4AdgBlAHIAdABNAG8AbgB0AGgAbAB5AEMAYQBsAHYAaQBuAGcAVABvAFMAZQBhAHMAbwBuACIALAAiAEkAbgBwAHUAdABGAHUAbgBjAHQAaQBvAG4AcwBfAFAAYQBzAHQAdQByAGUAQgBlAGUAZgAuAEwAbwBvAGsAdQBwAFYAYQBsAHUAZQBGAHIAbwBtAFMAdABhAHQAZQBSAGUAZwBpAG8AbgBTAGUAYQBzAG8AbgAiACwAIgBJAG4AcAB1AHQARgB1AG4AYwB0AGkAbwBuAHMAXwBQAGEAcwB0AHUAcgBlAEIAZQBlAGYALgBMAG8AbwBrAHUAcABWAGEAbAB1AGUARgByAG8AbQBTAHQAYQB0AGUAUgBlAGcAaQBvAG4ATQBvAG4AdABo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41</vt:i4>
      </vt:variant>
    </vt:vector>
  </HeadingPairs>
  <TitlesOfParts>
    <vt:vector size="50"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M1_Table_D_j</vt:lpstr>
      <vt:lpstr>M1_Table_E_enteric</vt:lpstr>
      <vt:lpstr>M1_Table_I_j_k_l</vt:lpstr>
      <vt:lpstr>M1_Table_LC_j_k45</vt:lpstr>
      <vt:lpstr>M1_Table_LWG_j_k_l</vt:lpstr>
      <vt:lpstr>M1_Table_M_j_k_l</vt:lpstr>
      <vt:lpstr>M1_Table_MA_j_k45</vt:lpstr>
      <vt:lpstr>M1_Table_N_j_k_l</vt:lpstr>
      <vt:lpstr>M1_Table_W_j_k_l</vt:lpstr>
      <vt:lpstr>M2_Table_D_j</vt:lpstr>
      <vt:lpstr>M2_Table_E_enteric</vt:lpstr>
      <vt:lpstr>M2_Table_I_j_k_l</vt:lpstr>
      <vt:lpstr>M2_Table_LC_j_k45</vt:lpstr>
      <vt:lpstr>M2_Table_LWG_j_k_l</vt:lpstr>
      <vt:lpstr>M2_Table_M_j_k_l</vt:lpstr>
      <vt:lpstr>M2_Table_MA_j_k45</vt:lpstr>
      <vt:lpstr>M2_Table_N_j_k_l</vt:lpstr>
      <vt:lpstr>M2_Table_W_j_k_l</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2026-07-13T07:47:22Z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