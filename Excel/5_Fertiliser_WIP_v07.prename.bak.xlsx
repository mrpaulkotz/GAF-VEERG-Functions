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C65C60E-4F23-4734-9D81-D805FE7FFA7B}" xr6:coauthVersionLast="47" xr6:coauthVersionMax="47" xr10:uidLastSave="{00000000-0000-0000-0000-000000000000}"/>
  <bookViews>
    <workbookView xWindow="4680" yWindow="4680" windowWidth="28800" windowHeight="15345" firstSheet="9" activeTab="12"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20" r:id="rId13"/>
  </sheets>
  <externalReferences>
    <externalReference r:id="rId14"/>
  </externalReference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113" l="1"/>
  <c r="I56" i="116"/>
  <c r="I14" i="116"/>
  <c r="I125" i="115"/>
  <c r="J50" i="115"/>
  <c r="I50" i="69"/>
  <c r="W54" i="69"/>
  <c r="W53" i="69"/>
  <c r="W52" i="69"/>
  <c r="W51" i="69"/>
  <c r="W50" i="69"/>
  <c r="W49" i="69"/>
  <c r="W48" i="69"/>
  <c r="W47" i="69"/>
  <c r="W46" i="69"/>
  <c r="W45" i="69"/>
  <c r="E30" i="15"/>
  <c r="E33" i="15"/>
  <c r="E32" i="15"/>
  <c r="E31" i="15"/>
  <c r="J92" i="116"/>
  <c r="I126" i="115"/>
  <c r="J51" i="115"/>
  <c r="I20" i="114"/>
  <c r="K46" i="113"/>
  <c r="I51" i="74"/>
  <c r="S69" i="69"/>
  <c r="I51" i="69"/>
  <c r="G97" i="116"/>
  <c r="G149" i="115"/>
  <c r="G82" i="115"/>
  <c r="G53" i="113"/>
  <c r="P91" i="69"/>
  <c r="G83" i="69"/>
  <c r="E259" i="120" a="1"/>
  <c r="E259" i="120" s="1"/>
  <c r="D259" i="120" a="1"/>
  <c r="D259" i="120" s="1"/>
  <c r="E258" i="120" a="1"/>
  <c r="E258" i="120" s="1"/>
  <c r="D258" i="120" a="1"/>
  <c r="D258" i="120" s="1"/>
  <c r="D256" i="120" a="1"/>
  <c r="D256" i="120" s="1"/>
  <c r="D255" i="120" a="1"/>
  <c r="D255" i="120" s="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a="1"/>
  <c r="D179" i="120" s="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a="1"/>
  <c r="D161" i="120" s="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c r="D151" i="120" a="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c r="D141" i="120" a="1"/>
  <c r="D140" i="120"/>
  <c r="D140" i="120" a="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a="1"/>
  <c r="D107" i="120" s="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E53" i="120" a="1"/>
  <c r="E53" i="120" s="1"/>
  <c r="D53" i="120" a="1"/>
  <c r="D53" i="120" s="1"/>
  <c r="G52" i="120" a="1"/>
  <c r="G52" i="120" s="1"/>
  <c r="F52" i="120" a="1"/>
  <c r="F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E49" i="120" a="1"/>
  <c r="E49" i="120" s="1"/>
  <c r="D49" i="120" a="1"/>
  <c r="D49" i="120" s="1"/>
  <c r="G48" i="120" a="1"/>
  <c r="G48" i="120" s="1"/>
  <c r="F48" i="120" a="1"/>
  <c r="F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D67" i="116"/>
  <c r="D66" i="116"/>
  <c r="D65" i="116"/>
  <c r="I60" i="116"/>
  <c r="I59" i="116"/>
  <c r="I58" i="116"/>
  <c r="I18" i="116"/>
  <c r="I17" i="116"/>
  <c r="I16" i="116"/>
  <c r="J53" i="115"/>
  <c r="J52" i="115"/>
  <c r="I128" i="115"/>
  <c r="I127" i="115"/>
  <c r="K47" i="113"/>
  <c r="I52" i="74"/>
  <c r="S73" i="69"/>
  <c r="S71" i="69"/>
  <c r="S70" i="69"/>
  <c r="I54" i="69"/>
  <c r="I52" i="69"/>
  <c r="H18" i="70"/>
  <c r="H19" i="70"/>
  <c r="H20" i="70"/>
  <c r="H21" i="70"/>
  <c r="H22" i="70"/>
  <c r="H50" i="120" l="1"/>
  <c r="H54" i="120"/>
  <c r="H48" i="120"/>
  <c r="H53" i="120"/>
  <c r="H49" i="120"/>
  <c r="H51" i="120"/>
  <c r="H52" i="120"/>
  <c r="F39" i="70"/>
  <c r="G39" i="70" s="1"/>
  <c r="K39" i="70"/>
  <c r="F28" i="70"/>
  <c r="G28" i="70" s="1"/>
  <c r="G50" i="70"/>
  <c r="H50" i="70"/>
  <c r="I50" i="70" s="1"/>
  <c r="K48" i="113" l="1"/>
  <c r="I129" i="115"/>
  <c r="S74" i="69"/>
  <c r="I55" i="69"/>
  <c r="J54" i="115"/>
  <c r="J50"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E7" i="116" a="1"/>
  <c r="E83"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90" i="115" a="1"/>
  <c r="E7" i="114" a="1"/>
  <c r="E118" i="115" a="1"/>
  <c r="E38" i="113" a="1"/>
  <c r="E7" i="115" a="1"/>
  <c r="E43" i="115" a="1"/>
  <c r="E7" i="113" a="1"/>
  <c r="E105" i="115" l="1"/>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E102" i="115" l="1"/>
  <c r="E65" i="116"/>
  <c r="I22" i="113" a="1"/>
  <c r="I22" i="113" s="1"/>
  <c r="I21" i="113" a="1"/>
  <c r="I21" i="113" s="1"/>
  <c r="F102" i="115" a="1"/>
  <c r="F102" i="115" s="1"/>
  <c r="E134" i="115" s="1"/>
  <c r="F104" i="115" l="1" a="1"/>
  <c r="F104" i="115" s="1"/>
  <c r="E136" i="115" s="1"/>
  <c r="E104" i="115"/>
  <c r="E67" i="116"/>
  <c r="E66" i="116"/>
  <c r="E103" i="115"/>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T54" i="69"/>
  <c r="T53" i="69"/>
  <c r="N50" i="69" a="1"/>
  <c r="N50" i="69" s="1"/>
  <c r="N45" i="69" a="1"/>
  <c r="N45" i="69" s="1"/>
  <c r="F85" i="69" a="1"/>
  <c r="F85" i="69" s="1"/>
  <c r="D82" i="69" a="1"/>
  <c r="D82" i="69" s="1"/>
  <c r="E7" i="74" a="1"/>
  <c r="E42" i="69" a="1"/>
  <c r="N60"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E12" i="13" l="1"/>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8" i="70" l="1"/>
  <c r="F22" i="70"/>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E19" i="69" l="1"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Q51" i="69"/>
  <c r="T51" i="69"/>
  <c r="U51" i="69" s="1"/>
  <c r="S51" i="69" a="1"/>
  <c r="S51" i="69" s="1"/>
  <c r="R51" i="69" a="1"/>
  <c r="R51" i="69" s="1"/>
  <c r="O45" i="69" a="1"/>
  <c r="G30" i="74" a="1"/>
  <c r="G30" i="74" s="1"/>
  <c r="E69" i="74" s="1" a="1"/>
  <c r="E69" i="74" s="1"/>
  <c r="E31" i="115" l="1"/>
  <c r="E35" i="116"/>
  <c r="F35" i="116" s="1" a="1"/>
  <c r="F35"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28" i="115"/>
  <c r="H28" i="115" s="1" a="1"/>
  <c r="H28" i="115" s="1"/>
  <c r="E68" i="115" s="1"/>
  <c r="F68" i="115" s="1" a="1"/>
  <c r="F68" i="115" s="1"/>
  <c r="E32" i="116"/>
  <c r="F32" i="116" s="1" a="1"/>
  <c r="F32" i="116" s="1"/>
  <c r="E20" i="115"/>
  <c r="H20" i="115" s="1" a="1"/>
  <c r="H20" i="115" s="1"/>
  <c r="E60" i="115" s="1"/>
  <c r="F60" i="115" s="1" a="1"/>
  <c r="F60" i="115" s="1"/>
  <c r="E24" i="116"/>
  <c r="F24" i="116" s="1" a="1"/>
  <c r="F24" i="116" s="1"/>
  <c r="E34" i="115"/>
  <c r="H34" i="115" s="1" a="1"/>
  <c r="H34" i="115" s="1"/>
  <c r="E74" i="115" s="1"/>
  <c r="F74" i="115" s="1" a="1"/>
  <c r="F74" i="115" s="1"/>
  <c r="E38" i="116"/>
  <c r="F38" i="116" s="1" a="1"/>
  <c r="F38" i="116" s="1"/>
  <c r="E31" i="116"/>
  <c r="F31" i="116" s="1" a="1"/>
  <c r="F31" i="116" s="1"/>
  <c r="E27" i="115"/>
  <c r="H27" i="115" s="1" a="1"/>
  <c r="H27" i="115" s="1"/>
  <c r="E67" i="115" s="1"/>
  <c r="F67" i="115" s="1" a="1"/>
  <c r="F67" i="115" s="1"/>
  <c r="E32" i="115"/>
  <c r="E36" i="116"/>
  <c r="F36" i="116" s="1" a="1"/>
  <c r="F36" i="116" s="1"/>
  <c r="E30" i="115"/>
  <c r="H30" i="115" s="1" a="1"/>
  <c r="H30" i="115" s="1"/>
  <c r="E70" i="115" s="1"/>
  <c r="F70" i="115" s="1" a="1"/>
  <c r="F70" i="115" s="1"/>
  <c r="E34" i="116"/>
  <c r="F34" i="116" s="1" a="1"/>
  <c r="F34" i="116" s="1"/>
  <c r="E29" i="115"/>
  <c r="H29" i="115" s="1" a="1"/>
  <c r="H29" i="115" s="1"/>
  <c r="E69" i="115" s="1"/>
  <c r="F69" i="115" s="1" a="1"/>
  <c r="F69" i="115" s="1"/>
  <c r="E33" i="116"/>
  <c r="F33" i="116" s="1" a="1"/>
  <c r="F33" i="116" s="1"/>
  <c r="E19" i="115"/>
  <c r="H19" i="115" s="1" a="1"/>
  <c r="H19" i="115" s="1"/>
  <c r="E59" i="115" s="1"/>
  <c r="F59" i="115" s="1" a="1"/>
  <c r="F59" i="115" s="1"/>
  <c r="E23" i="116"/>
  <c r="F23" i="116" s="1" a="1"/>
  <c r="F23" i="116" s="1"/>
  <c r="E30" i="116"/>
  <c r="F30" i="116" s="1" a="1"/>
  <c r="F30" i="116" s="1"/>
  <c r="E26" i="115"/>
  <c r="H26" i="115" s="1" a="1"/>
  <c r="H26" i="115" s="1"/>
  <c r="E66" i="115" s="1"/>
  <c r="F66" i="115" s="1" a="1"/>
  <c r="F66" i="115" s="1"/>
  <c r="E41" i="116"/>
  <c r="F41" i="116" s="1" a="1"/>
  <c r="F41" i="116" s="1"/>
  <c r="E37" i="115"/>
  <c r="H37" i="115" s="1" a="1"/>
  <c r="H37" i="115" s="1"/>
  <c r="E77" i="115" s="1"/>
  <c r="F77" i="115" s="1" a="1"/>
  <c r="F77" i="115" s="1"/>
  <c r="E27" i="116"/>
  <c r="F27" i="116" s="1" a="1"/>
  <c r="F27" i="116" s="1"/>
  <c r="E23" i="115"/>
  <c r="H23" i="115" s="1" a="1"/>
  <c r="H23" i="115" s="1"/>
  <c r="E63" i="115" s="1"/>
  <c r="F63" i="115" s="1" a="1"/>
  <c r="F63" i="115" s="1"/>
  <c r="E33" i="115"/>
  <c r="H33" i="115" s="1" a="1"/>
  <c r="H33" i="115" s="1"/>
  <c r="E73" i="115" s="1"/>
  <c r="F73" i="115" s="1" a="1"/>
  <c r="F73" i="115" s="1"/>
  <c r="E37" i="116"/>
  <c r="F37" i="116" s="1" a="1"/>
  <c r="F37" i="116" s="1"/>
  <c r="E21" i="115"/>
  <c r="H21" i="115" s="1" a="1"/>
  <c r="H21" i="115" s="1"/>
  <c r="E61" i="115" s="1"/>
  <c r="F61" i="115" s="1" a="1"/>
  <c r="F61" i="115" s="1"/>
  <c r="E25" i="116"/>
  <c r="F25" i="116" s="1" a="1"/>
  <c r="F25" i="116" s="1"/>
  <c r="E40" i="116"/>
  <c r="F40" i="116" s="1" a="1"/>
  <c r="F40" i="116" s="1"/>
  <c r="E36" i="115"/>
  <c r="H36" i="115" s="1" a="1"/>
  <c r="H36" i="115" s="1"/>
  <c r="E76" i="115" s="1"/>
  <c r="F76" i="115" s="1" a="1"/>
  <c r="F76" i="115"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H32" i="115" a="1"/>
  <c r="H32" i="115" s="1"/>
  <c r="E72" i="115" s="1"/>
  <c r="F72" i="115" s="1" a="1"/>
  <c r="F72" i="115" s="1"/>
  <c r="H31" i="115" a="1"/>
  <c r="H31" i="115" s="1"/>
  <c r="E71" i="115" s="1"/>
  <c r="F71" i="115" s="1" a="1"/>
  <c r="F71" i="115" s="1"/>
  <c r="Q46" i="69"/>
  <c r="T46" i="69"/>
  <c r="U46" i="69" s="1"/>
  <c r="S46" i="69" a="1"/>
  <c r="S46" i="69" s="1"/>
  <c r="R46" i="69" a="1"/>
  <c r="R46" i="69" s="1"/>
  <c r="T47" i="69"/>
  <c r="U47" i="69" s="1"/>
  <c r="O45" i="69"/>
  <c r="R47" i="69" a="1"/>
  <c r="R47" i="69" s="1"/>
  <c r="Q47" i="69"/>
  <c r="E43" i="116" l="1"/>
  <c r="J89" i="116" s="1"/>
  <c r="E94" i="116" s="1" a="1"/>
  <c r="E94" i="116" s="1"/>
  <c r="E14" i="13" s="1"/>
  <c r="F14" i="13" s="1"/>
  <c r="H10" i="13"/>
  <c r="E10" i="13"/>
  <c r="F10" i="13" s="1"/>
  <c r="V48" i="69" a="1"/>
  <c r="V48" i="69" s="1"/>
  <c r="V49" i="69" a="1"/>
  <c r="V49" i="69" s="1"/>
  <c r="S45" i="69" a="1"/>
  <c r="S45" i="69" s="1"/>
  <c r="V50" i="69" a="1"/>
  <c r="V50" i="69" s="1"/>
  <c r="E79" i="115"/>
  <c r="E13" i="13" s="1"/>
  <c r="F13" i="13" s="1"/>
  <c r="T45" i="69"/>
  <c r="U45" i="69" s="1"/>
  <c r="I10" i="13"/>
  <c r="Q45" i="69"/>
  <c r="R45" i="69" a="1"/>
  <c r="R45" i="69" s="1"/>
  <c r="V46" i="69" a="1"/>
  <c r="V46" i="69" s="1"/>
  <c r="V47" i="69" a="1"/>
  <c r="V47" i="69" s="1"/>
  <c r="E78" i="69" a="1"/>
  <c r="E78" i="69" s="1"/>
  <c r="G96" i="116" l="1"/>
  <c r="E99" i="116" s="1" a="1"/>
  <c r="E99" i="116" s="1"/>
  <c r="H14" i="13" s="1"/>
  <c r="I14" i="13" s="1"/>
  <c r="G81" i="115"/>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50" i="113" s="1" a="1"/>
  <c r="E50" i="113" s="1"/>
  <c r="E11" i="13" s="1"/>
  <c r="E80" i="69" l="1"/>
  <c r="E9" i="13" s="1"/>
  <c r="G52" i="113"/>
  <c r="E55" i="113" s="1"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N88" i="69"/>
  <c r="F9" i="13" s="1"/>
  <c r="P90" i="69" l="1"/>
  <c r="N93" i="69" s="1" a="1"/>
  <c r="N93" i="69" s="1"/>
  <c r="I9" i="13" s="1"/>
  <c r="I15" i="13" s="1"/>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<sst xmlns="http://schemas.openxmlformats.org/spreadsheetml/2006/main" count="547" uniqueCount="328">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</sst>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9363D9-9CCB-41FF-A906-D7EC79AC0A9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E93067B-2F70-4EF4-BAF5-724475A4145D}" name="State/Territory">
      <calculatedColumnFormula array="1">Common_InputFunctions.Utility_DisplayArrayInTable(Common_SourceData.Common_SourceData_AustralianStatesTerritories_Data(),Table_AustralianStates[[#Headers],[State/Territory]],0)</calculatedColumnFormula>
    </tableColumn>
    <tableColumn id="2" xr3:uid="{B5924230-9466-4808-8F12-2C9E334A1CE9}" name="Common Name">
      <calculatedColumnFormula array="1">Common_InputFunctions.Utility_DisplayArrayInTable(Common_SourceData.Common_SourceData_AustralianStatesTerritories_Data(),Table_AustralianStates[[#Headers],[State/Territory]],0)</calculatedColumnFormula>
    </tableColumn>
    <tableColumn id="3" xr3:uid="{E9A4CCCD-D39C-4553-A647-77114CA0B7E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4B328D-C34F-4D7A-B004-FFF6ABE4BEEC}" name="Table_WASA4Areas" displayName="Table_WASA4Areas" ref="D20:D30" totalsRowShown="0">
  <autoFilter ref="D20:D30" xr:uid="{5FA81339-C6C8-4D36-BEEA-6C4AEDD9E676}">
    <filterColumn colId="0" hiddenButton="1"/>
  </autoFilter>
  <tableColumns count="1">
    <tableColumn id="1" xr3:uid="{AB6BE19F-F514-44F7-96EF-D8E9ADBA5DC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591676B-82E5-408A-AB28-249CEE4C17B9}" name="Table_GWPData" displayName="Table_GWPData" ref="D36:E43" totalsRowShown="0">
  <autoFilter ref="D36:E43" xr:uid="{B8E87A66-3E41-4AD3-925D-01EE21B43D7A}">
    <filterColumn colId="0" hiddenButton="1"/>
    <filterColumn colId="1" hiddenButton="1"/>
  </autoFilter>
  <tableColumns count="2">
    <tableColumn id="1" xr3:uid="{860E20B1-4DCC-4641-B3DF-2DB829366C0C}" name="Gas">
      <calculatedColumnFormula array="1">Common_InputFunctions.Utility_DisplayArrayInTable(Common_SourceData.Common_SourceData_GWP_Data(), Table_GWPData[[#Headers],[Gas]], 0)</calculatedColumnFormula>
    </tableColumn>
    <tableColumn id="2" xr3:uid="{535B8280-B438-4889-BC5B-AFE4203C8EE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D7C6108-BB34-4374-A2AE-B774A1E54F9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461E982-228C-41B7-B25A-0BE9CDEAC53F}" name="Gas">
      <calculatedColumnFormula array="1">Common_InputFunctions.Utility_DisplayArrayInTable(Common_SourceData.Common_SourceData_ConvertGasElementalToMolecular_Data(),Table_GasToMolecularConversionFactor[[#Headers],[Gas]], 0)</calculatedColumnFormula>
    </tableColumn>
    <tableColumn id="5" xr3:uid="{F3928223-FE29-4FCE-8F77-A83249D8D528}" name="Conversion factor">
      <calculatedColumnFormula array="1">Common_InputFunctions.Utility_DisplayArrayInTable(Common_SourceData.Common_SourceData_ConvertGasElementalToMolecular_Data(),Table_GasToMolecularConversionFactor[[#Headers],[Gas]], 0)</calculatedColumnFormula>
    </tableColumn>
    <tableColumn id="2" xr3:uid="{DF66F02E-C840-443D-92DE-BEA6AE1D46C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CED16AE-0B04-407B-B374-8E5E7E3BE49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47E8A4C-5900-449C-A2AB-0DE3DB80741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586AD6C-13D1-4619-8F77-447AD149A33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472C1EE-51C5-49D5-9124-D637F950440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835426D-4022-4D4E-AEE7-FB7F3A6D5CD8}"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87186EB0-F3E8-4CE9-9B5A-7C5C9D34CC38}"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18F890DF-AACD-4C73-B197-D5196AE40EDE}"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330EE513-4581-41E8-B07C-38406550F909}"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7C654545-E4E5-45D3-8272-3AEC26A65DF3}"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74F6613B-63BB-417A-9402-B072F82A37D6}"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ACFC0A00-F331-4994-8F6F-B08D8779D05F}"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194C3FE-A418-487E-B476-AE2BC6135071}"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4758BB7E-34B8-489A-9274-64AC515D3FA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7F0F75AB-8C68-4DBF-926B-184FFC9F15D4}"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5D91D625-35D0-44C1-B25D-DF2890966B4B}"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416E297F-BEAE-43E7-B678-FDBDB8929906}"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88B5F0F9-AB92-497F-8032-0272F1FBE0E3}"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D9C295D-7A9C-473C-B832-AD2FA7DA4CCC}"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82CEC85-804A-4661-AB51-80C9264200B4}"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773CC33-0AE0-47CC-8C66-CDBDFEEE41E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EE08135-F5CC-4A60-AF8C-31CB0A7FA4D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3241D55-23F1-48E6-A13F-C560F2351A78}"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B9DA85D-6DDA-4CBA-AD1D-E8165B95173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BF4B6BB-ACB2-459F-A2D1-5DC0F5E670D8}" name="Temperature Zone">
      <calculatedColumnFormula array="1">Common_InputFunctions.Utility_DisplayArrayInTable(Common_SourceData.Common_SourceData_TemperatureZones_Data(),Table_SourceData_TemperatureZones[[#Headers],[Temperature Zone]],0)</calculatedColumnFormula>
    </tableColumn>
    <tableColumn id="2" xr3:uid="{4AC589B2-8C9F-47A5-AF17-5B843828B39F}" name="MAT">
      <calculatedColumnFormula array="1">Common_InputFunctions.Utility_DisplayArrayInTable(Common_SourceData.Common_SourceData_TemperatureZones_Data(),Table_SourceData_TemperatureZones[[#Headers],[Temperature Zone]],0)</calculatedColumnFormula>
    </tableColumn>
    <tableColumn id="3" xr3:uid="{2025743F-D64F-4F58-8B62-A1602C2D92A7}" name="Min MAT">
      <calculatedColumnFormula array="1">Common_InputFunctions.Utility_DisplayArrayInTable(Common_SourceData.Common_SourceData_TemperatureZones_Data(),Table_SourceData_TemperatureZones[[#Headers],[Temperature Zone]],0)</calculatedColumnFormula>
    </tableColumn>
    <tableColumn id="4" xr3:uid="{23F8B848-2139-4CE7-9B6C-5F73A977187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14A1D36-9704-4025-80B2-B2D8BF7312E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2C2A73E-D19E-40E3-91C5-46D7DDD7B7C2}" name="Rainfall Zone">
      <calculatedColumnFormula array="1">Common_InputFunctions.Utility_DisplayArrayInTable(Common_SourceData.Common_SourceData_RainfallZones_Data(),Table_SourceData_RainfallZones[[#Headers],[Rainfall Zone]],0)</calculatedColumnFormula>
    </tableColumn>
    <tableColumn id="2" xr3:uid="{D5D1D95B-A5DB-4D7C-A98E-AD2DF8F30B86}" name="Annual rainfall">
      <calculatedColumnFormula array="1">Common_InputFunctions.Utility_DisplayArrayInTable(Common_SourceData.Common_SourceData_RainfallZones_Data(),Table_SourceData_RainfallZones[[#Headers],[Rainfall Zone]],0)</calculatedColumnFormula>
    </tableColumn>
    <tableColumn id="3" xr3:uid="{D6919814-4BA8-4AD3-967D-24FC4DAF0A46}" name="Min rainfall">
      <calculatedColumnFormula array="1">Common_InputFunctions.Utility_DisplayArrayInTable(Common_SourceData.Common_SourceData_RainfallZones_Data(),Table_SourceData_RainfallZones[[#Headers],[Rainfall Zone]],0)</calculatedColumnFormula>
    </tableColumn>
    <tableColumn id="4" xr3:uid="{24EFDAF0-0072-4107-AE21-92036A2A80A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9AF9A05-73E1-4028-9E23-F489B738CEE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F423365-0E85-42C7-A123-5272E56DDBB2}" name="Leaching Zone">
      <calculatedColumnFormula array="1">Common_InputFunctions.Utility_DisplayArrayInTable(Common_SourceData.Common_SourceData_LeachingZones_Data(), Table_SourceData_LeachingZones[[#Headers],[Leaching Zone]], 0)</calculatedColumnFormula>
    </tableColumn>
    <tableColumn id="2" xr3:uid="{BE241A4A-667A-49BC-B0EA-E98A14A35CE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66513B4-ACA0-4DF0-8737-86D4B73590A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67B2F84-41EA-4528-AA42-9AE71D654C10}" name="Data source">
      <calculatedColumnFormula array="1">Common_InputFunctions.Utility_DisplayArrayInTable(Common_SourceData.Common_SourceData_DataScores_Scope3_Data(), Table_SourceData_DataScores_Scope3[[#Headers],[Data source]], 0)</calculatedColumnFormula>
    </tableColumn>
    <tableColumn id="2" xr3:uid="{AB48F7BB-54EA-4F29-B612-9CA3CE5FB3B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20EE2EE-707C-4027-ABDD-DF378EE08BFC}" name="Table_SourceData_FracWET" displayName="Table_SourceData_FracWET" ref="D134:E136" totalsRowShown="0">
  <autoFilter ref="D134:E136" xr:uid="{308E99BE-FE1F-47A4-B2CA-97217277C4E9}">
    <filterColumn colId="0" hiddenButton="1"/>
    <filterColumn colId="1" hiddenButton="1"/>
  </autoFilter>
  <tableColumns count="2">
    <tableColumn id="1" xr3:uid="{6966C5A5-16E6-46F7-A6A1-BF56913C63FE}" name="Is in leaching zone">
      <calculatedColumnFormula array="1">Common_InputFunctions.Utility_DisplayArrayInTable(Common_SourceData.Common_SourceData_FracWET_Data(),Table_SourceData_FracWET[[#Headers],[Is in leaching zone]],0)</calculatedColumnFormula>
    </tableColumn>
    <tableColumn id="2" xr3:uid="{C6E3238E-CBA6-40E3-A784-1B9BF575E618}"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2F5FA4F-F90D-40A9-8801-8E95A7BF9AA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472B38B-BC23-477E-A454-41418EB9C4E2}" name="Production system j">
      <calculatedColumnFormula array="1">Common_InputFunctions.Utility_DisplayArrayInTable(Common_SourceData.Common_SourceData_EFN2O_Data(), Table_SourceData_Common_EFN2O[[#Headers],[Production system j]], 0)</calculatedColumnFormula>
    </tableColumn>
    <tableColumn id="2" xr3:uid="{3437C603-0183-4CD3-AB22-A23191E552DE}" name="EFN2O">
      <calculatedColumnFormula array="1">Common_InputFunctions.Utility_DisplayArrayInTable(Common_SourceData.Common_SourceData_EFN2O_Data(), Table_SourceData_Common_EFN2O[[#Headers],[Production system j]], 0)</calculatedColumnFormula>
    </tableColumn>
    <tableColumn id="3" xr3:uid="{3E4947BC-E8FB-4687-BC84-38CF480958ED}" name="Production system only">
      <calculatedColumnFormula array="1">Common_InputFunctions.Utility_DisplayArrayInTable(Common_SourceData.Common_SourceData_EFN2O_Data(), Table_SourceData_Common_EFN2O[[#Headers],[Production system j]], 0)</calculatedColumnFormula>
    </tableColumn>
    <tableColumn id="4" xr3:uid="{A51D00AD-1A68-4975-ACB5-841700318DC2}" name="Irrigation method">
      <calculatedColumnFormula array="1">Common_InputFunctions.Utility_DisplayArrayInTable(Common_SourceData.Common_SourceData_EFN2O_Data(), Table_SourceData_Common_EFN2O[[#Headers],[Production system j]], 0)</calculatedColumnFormula>
    </tableColumn>
    <tableColumn id="5" xr3:uid="{DBFC8078-3583-40F8-9DBE-B0F12857CCD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B043741-C264-43C0-BF61-2C6CC7E3855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3364F6D-E391-4C39-B3C1-539A83EA9F19}" name="Irrigation type i">
      <calculatedColumnFormula array="1">Common_InputFunctions.Utility_DisplayArrayInTable(Common_SourceData.Common_SourceData_FracWETIrrigation_Data(), Table_SourceData_FracWETIrrigation[[#Headers],[Irrigation type i]], 0)</calculatedColumnFormula>
    </tableColumn>
    <tableColumn id="2" xr3:uid="{0ECCD72E-DF3A-48B4-A4E5-8305DE4F6A11}"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E56E47D-2C4E-45A2-84D3-6C67F96F29F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CBBCA1C-36D7-42B5-A4A1-13342416583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224A37-4A38-4688-A664-83A0E94265E7}"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85A1373-E638-4B56-AEF7-C3DBE5440A0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53EAA27-1E2D-488A-9196-DC1F3A943BBE}" name="Month">
      <calculatedColumnFormula array="1">Common_InputFunctions.Utility_DisplayArrayInTable(Common_SourceData.Common_SourceData_MonthsToSeasons_Data(), Table_SourceData_Common_MonthToSeason[[#Headers],[Month]], 0)</calculatedColumnFormula>
    </tableColumn>
    <tableColumn id="2" xr3:uid="{3B004B31-6530-4641-89EF-4164FE9927A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96474E2-830B-45A1-AE6E-F8E4BCECB8D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5B8390-FBF0-4B29-88AE-63810608183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EABCF25-040D-4B3F-AD63-ACC131F2859E}"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99C772E-A158-4201-B44A-B7DC4CC4EBA7}"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A3481A-596A-4E3B-A169-13CDC721A72D}"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0441E7-4F38-486A-B06B-40F6A6E2520F}"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A8902CC-EB1E-4329-8B63-9472C07182C0}"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0C5293E-B201-406E-8B39-D79A75C69AAC}"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DDB434B-5C8D-4242-8CB4-584724846BB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32FCFD5-B291-4BAC-BD24-71124FDFCECD}"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0494FF5-E710-48BF-AC0E-C11807AF7C6E}"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5C26930-04A4-43EC-AA02-EF2735D3B06A}"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0C1A823-44FA-4CDE-9AF1-096655B305CB}"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F61D3C6-F7FE-4084-B491-3A70797F1A40}"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7F8B7BA-2314-43B3-8639-A41F1013E467}"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51E30A-8363-4571-9501-753B01587D7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182B91B-58CD-459D-A74C-A4BE4D621543}"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9A021E7-FC29-4D52-8447-DA67EF91EB2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014170-57BE-427F-A8CC-C5B8FF17EF4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00B3215-3901-4701-A85E-F7D18C5B9E2E}"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306</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308</v>
      </c>
      <c r="E5" s="85"/>
      <c r="F5" s="85"/>
      <c r="G5" s="85"/>
      <c r="H5" s="85"/>
      <c r="I5" s="85"/>
      <c r="J5" s="85"/>
      <c r="K5" s="85"/>
      <c r="L5" s="85"/>
      <c r="M5" s="85"/>
      <c r="N5" s="85"/>
      <c r="O5" s="81"/>
    </row>
    <row r="6" spans="1:42" ht="20.100000000000001" customHeight="1" x14ac:dyDescent="0.25">
      <c r="A6" s="16"/>
      <c r="D6" s="175" t="s">
        <v>309</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302</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295</v>
      </c>
      <c r="E9" s="170">
        <f>VEERG_5_1_1_1__1_InorganicFertiliserApplicationN2OEmissions_Result_Method1</f>
        <v>0.1431067</v>
      </c>
      <c r="F9" s="170">
        <f>VEERG_5_1_1_1__1_InorganicFertiliserApplicationN2OEmissions_Result_Method2</f>
        <v>0.1431067</v>
      </c>
      <c r="G9" s="52" t="s">
        <v>101</v>
      </c>
      <c r="H9" s="102">
        <f>'5.1.1.1-2 Inorganic fert N2O'!E85</f>
        <v>37.923275500000003</v>
      </c>
      <c r="I9" s="102">
        <f>'5.1.1.1-2 Inorganic fert N2O'!N93</f>
        <v>37.923275500000003</v>
      </c>
      <c r="J9" s="52" t="s">
        <v>93</v>
      </c>
      <c r="K9" s="22"/>
    </row>
    <row r="10" spans="1:11" ht="20.100000000000001" customHeight="1" x14ac:dyDescent="0.25">
      <c r="A10" s="17"/>
      <c r="C10" s="22"/>
      <c r="D10" s="1" t="s">
        <v>296</v>
      </c>
      <c r="E10" s="170">
        <f>VEERG_5_1_1_3__1_InorganicFertiliserApplicationCO2Emissions_Result_Method1</f>
        <v>7.333333333333333</v>
      </c>
      <c r="F10" s="170">
        <f>E10</f>
        <v>7.333333333333333</v>
      </c>
      <c r="G10" s="52" t="s">
        <v>260</v>
      </c>
      <c r="H10" s="102">
        <f>VEERG_5_1_1_3__1_InorganicFertiliserApplicationCO2Emissions_Result_Method1</f>
        <v>7.333333333333333</v>
      </c>
      <c r="I10" s="102">
        <f>H10</f>
        <v>7.333333333333333</v>
      </c>
      <c r="J10" s="52" t="s">
        <v>93</v>
      </c>
      <c r="K10" s="22"/>
    </row>
    <row r="11" spans="1:11" ht="20.100000000000001" customHeight="1" x14ac:dyDescent="0.25">
      <c r="A11" s="19" t="s">
        <v>69</v>
      </c>
      <c r="C11" s="22"/>
      <c r="D11" s="1" t="s">
        <v>297</v>
      </c>
      <c r="E11" s="170">
        <f>VEERG_5_2_1_1__2_MassOfNitrogenInOrganicFertiliser_Result_Method1</f>
        <v>5.5785714285714293E-3</v>
      </c>
      <c r="F11" s="170">
        <f>E11</f>
        <v>5.5785714285714293E-3</v>
      </c>
      <c r="G11" s="52" t="s">
        <v>101</v>
      </c>
      <c r="H11" s="102">
        <f>'5.2.1.1-2 Organic Fert N2O'!$E$55</f>
        <v>1.4783214285714288</v>
      </c>
      <c r="I11" s="102">
        <f>H11</f>
        <v>1.4783214285714288</v>
      </c>
      <c r="J11" s="52" t="s">
        <v>93</v>
      </c>
      <c r="K11" s="22"/>
    </row>
    <row r="12" spans="1:11" ht="20.100000000000001" customHeight="1" x14ac:dyDescent="0.25">
      <c r="A12" s="17" t="str">
        <f>HYPERLINK("#'5.1.1.1-2 Inorganic Fert N2O'!A1", "5.1.1.1-2 Inorganic Fert N2O")</f>
        <v>5.1.1.1-2 Inorganic Fert N2O</v>
      </c>
      <c r="C12" s="22"/>
      <c r="D12" s="1" t="s">
        <v>298</v>
      </c>
      <c r="E12" s="170">
        <f>VEERG_5_3_1_1__1_LimeApplicationCO2Emissions_Result_Method1</f>
        <v>75.808333333333337</v>
      </c>
      <c r="F12" s="170">
        <f>E12</f>
        <v>75.808333333333337</v>
      </c>
      <c r="G12" s="52" t="s">
        <v>260</v>
      </c>
      <c r="H12" s="102">
        <f>VEERG_5_3_1_1__1_LimeApplicationCO2Emissions_Result_Method1</f>
        <v>75.808333333333337</v>
      </c>
      <c r="I12" s="102">
        <f>H12</f>
        <v>75.808333333333337</v>
      </c>
      <c r="J12" s="52" t="s">
        <v>93</v>
      </c>
      <c r="K12" s="22"/>
    </row>
    <row r="13" spans="1:11" ht="20.100000000000001" customHeight="1" x14ac:dyDescent="0.25">
      <c r="A13" s="17" t="str">
        <f>HYPERLINK("#'5.1.1.3-4 Inorganic fert CO2'!A1", "5.1.1.3-4 Inorganic fert CO2")</f>
        <v>5.1.1.3-4 Inorganic fert CO2</v>
      </c>
      <c r="C13" s="22"/>
      <c r="D13" s="1" t="s">
        <v>299</v>
      </c>
      <c r="E13" s="170">
        <f>'5.4.1.1-4 Atmos deposition'!E79 + '5.4.1.1-4 Atmos deposition'!$E$146</f>
        <v>1.5692930000000001E-2</v>
      </c>
      <c r="F13" s="170">
        <f>E13</f>
        <v>1.5692930000000001E-2</v>
      </c>
      <c r="G13" s="52" t="s">
        <v>101</v>
      </c>
      <c r="H13" s="102">
        <f>'5.4.1.1-4 Atmos deposition'!E84 + '5.4.1.1-4 Atmos deposition'!$E$151</f>
        <v>4.1586264499999999</v>
      </c>
      <c r="I13" s="102">
        <f>H13</f>
        <v>4.1586264499999999</v>
      </c>
      <c r="J13" s="52" t="s">
        <v>93</v>
      </c>
      <c r="K13" s="22"/>
    </row>
    <row r="14" spans="1:11" ht="20.100000000000001" customHeight="1" x14ac:dyDescent="0.25">
      <c r="A14" s="17" t="str">
        <f>HYPERLINK("#'5.2.1.1-2 Organic Fert N2O'!A1", "5.2.1.1-2 Organic Fert N2O")</f>
        <v>5.2.1.1-2 Organic Fert N2O</v>
      </c>
      <c r="C14" s="22"/>
      <c r="D14" s="1" t="s">
        <v>300</v>
      </c>
      <c r="E14" s="170">
        <f>VEERG_5_5_1_1__1_FertiliserLeachingAndRunoffN2OEmissions_result_Method1</f>
        <v>5.6917155428571425E-2</v>
      </c>
      <c r="F14" s="170">
        <f>E14</f>
        <v>5.6917155428571425E-2</v>
      </c>
      <c r="G14" s="52" t="s">
        <v>101</v>
      </c>
      <c r="H14" s="102">
        <f>'5.5.1.1-2 Leaching and runoff'!$E$99</f>
        <v>15.083046188571428</v>
      </c>
      <c r="I14" s="102">
        <f>H14</f>
        <v>15.083046188571428</v>
      </c>
      <c r="J14" s="52" t="s">
        <v>93</v>
      </c>
      <c r="K14" s="22"/>
    </row>
    <row r="15" spans="1:11" ht="20.100000000000001" customHeight="1" x14ac:dyDescent="0.3">
      <c r="A15" s="17" t="str">
        <f>HYPERLINK("#'5.3.1.1-2 Lime CO2'!A1", "5.3.1.1-2 Lime CO2")</f>
        <v>5.3.1.1-2 Lime CO2</v>
      </c>
      <c r="C15" s="22"/>
      <c r="D15" s="29" t="s">
        <v>88</v>
      </c>
      <c r="E15" s="23"/>
      <c r="F15" s="23"/>
      <c r="G15" s="29"/>
      <c r="H15" s="103">
        <f>SUM(H9:H14)</f>
        <v>141.78493623380953</v>
      </c>
      <c r="I15" s="103">
        <f>SUM(I9:I14)</f>
        <v>141.78493623380953</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opLeftCell="A5" zoomScale="85" zoomScaleNormal="85" workbookViewId="0">
      <selection activeCell="E9" sqref="E9"/>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305</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87</v>
      </c>
      <c r="E6" s="39" t="s">
        <v>131</v>
      </c>
      <c r="F6" s="2" t="s">
        <v>9</v>
      </c>
    </row>
    <row r="7" spans="1:25" ht="20.100000000000001" customHeight="1" x14ac:dyDescent="0.25">
      <c r="A7" s="20" t="s">
        <v>1</v>
      </c>
      <c r="D7" s="1" t="s">
        <v>164</v>
      </c>
      <c r="E7" s="39" t="s">
        <v>141</v>
      </c>
      <c r="F7" s="2" t="s">
        <v>9</v>
      </c>
    </row>
    <row r="8" spans="1:25" ht="20.100000000000001" customHeight="1" x14ac:dyDescent="0.25">
      <c r="A8" s="17" t="str">
        <f>HYPERLINK("#'Input - Site'!A1", "Site")</f>
        <v>Site</v>
      </c>
      <c r="D8" s="1" t="s">
        <v>86</v>
      </c>
      <c r="E8" s="39" t="s">
        <v>132</v>
      </c>
      <c r="F8" s="2" t="s">
        <v>9</v>
      </c>
    </row>
    <row r="9" spans="1:25" ht="20.100000000000001" customHeight="1" x14ac:dyDescent="0.25">
      <c r="A9" s="108" t="str">
        <f>HYPERLINK("#'Input - Fertiliser'!A1", "Fertiliser")</f>
        <v>Fertiliser</v>
      </c>
      <c r="D9" s="1" t="s">
        <v>186</v>
      </c>
      <c r="E9" s="136">
        <v>100</v>
      </c>
      <c r="F9" s="2" t="s">
        <v>178</v>
      </c>
    </row>
    <row r="10" spans="1:25" ht="20.100000000000001" customHeight="1" x14ac:dyDescent="0.25">
      <c r="A10" s="17"/>
    </row>
    <row r="11" spans="1:25" ht="20.100000000000001" customHeight="1" x14ac:dyDescent="0.25">
      <c r="A11" s="19" t="s">
        <v>69</v>
      </c>
      <c r="D11" s="6" t="s">
        <v>146</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150</v>
      </c>
      <c r="E17" s="117" t="s">
        <v>320</v>
      </c>
      <c r="F17" s="179" t="s">
        <v>311</v>
      </c>
      <c r="G17" s="179" t="s">
        <v>312</v>
      </c>
      <c r="H17" s="117" t="s">
        <v>151</v>
      </c>
      <c r="I17" s="117" t="s">
        <v>152</v>
      </c>
      <c r="J17" s="116" t="s">
        <v>115</v>
      </c>
      <c r="K17" s="116" t="s">
        <v>116</v>
      </c>
      <c r="L17" s="116" t="s">
        <v>117</v>
      </c>
      <c r="M17" s="116" t="s">
        <v>118</v>
      </c>
      <c r="N17" s="116" t="s">
        <v>119</v>
      </c>
      <c r="O17" s="116" t="s">
        <v>120</v>
      </c>
      <c r="P17" s="116" t="s">
        <v>121</v>
      </c>
      <c r="Q17" s="116" t="s">
        <v>122</v>
      </c>
      <c r="R17" s="116" t="s">
        <v>123</v>
      </c>
      <c r="S17" s="116" t="s">
        <v>124</v>
      </c>
      <c r="T17" s="116" t="s">
        <v>125</v>
      </c>
      <c r="U17" s="116" t="s">
        <v>126</v>
      </c>
      <c r="V17" s="116" t="s">
        <v>165</v>
      </c>
      <c r="W17" s="178" t="s">
        <v>231</v>
      </c>
      <c r="X17" s="178" t="s">
        <v>232</v>
      </c>
    </row>
    <row r="18" spans="1:24" ht="36" customHeight="1" x14ac:dyDescent="0.25">
      <c r="D18" s="122" t="s">
        <v>301</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321</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321</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323</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322</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153</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154</v>
      </c>
      <c r="E25" s="117" t="s">
        <v>159</v>
      </c>
      <c r="F25" s="117" t="s">
        <v>151</v>
      </c>
      <c r="G25" s="117" t="s">
        <v>152</v>
      </c>
      <c r="H25" s="117" t="s">
        <v>155</v>
      </c>
      <c r="I25" s="117" t="s">
        <v>116</v>
      </c>
      <c r="J25" s="117" t="s">
        <v>117</v>
      </c>
      <c r="K25" s="117" t="s">
        <v>118</v>
      </c>
      <c r="L25" s="117" t="s">
        <v>119</v>
      </c>
      <c r="M25" s="117" t="s">
        <v>120</v>
      </c>
      <c r="N25" s="117" t="s">
        <v>121</v>
      </c>
      <c r="O25" s="117" t="s">
        <v>122</v>
      </c>
      <c r="P25" s="117" t="s">
        <v>165</v>
      </c>
      <c r="Q25" s="178" t="s">
        <v>313</v>
      </c>
      <c r="R25" s="178" t="s">
        <v>314</v>
      </c>
      <c r="S25" s="130"/>
      <c r="T25" s="130"/>
      <c r="V25" s="130"/>
      <c r="W25" s="130"/>
      <c r="X25" s="130"/>
    </row>
    <row r="26" spans="1:24" ht="36" customHeight="1" x14ac:dyDescent="0.25">
      <c r="D26" s="33" t="s">
        <v>156</v>
      </c>
      <c r="E26" s="117">
        <v>100</v>
      </c>
      <c r="F26" s="123">
        <f>$E$9</f>
        <v>100</v>
      </c>
      <c r="G26" s="124">
        <f>Table_Input_InorganicFertiliser_Custom[[#This Row],[Amount applied (kg / ha)]]*Table_Input_InorganicFertiliser_Custom[[#This Row],[Application area (ha)]]</f>
        <v>10000</v>
      </c>
      <c r="H26" s="134" t="s">
        <v>315</v>
      </c>
      <c r="I26" s="137">
        <v>0.5</v>
      </c>
      <c r="J26" s="134" t="s">
        <v>316</v>
      </c>
      <c r="K26" s="137">
        <v>0.2</v>
      </c>
      <c r="L26" s="134" t="s">
        <v>157</v>
      </c>
      <c r="M26" s="137">
        <v>0.2</v>
      </c>
      <c r="N26" s="135" t="s">
        <v>158</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318</v>
      </c>
      <c r="E27" s="117">
        <v>100</v>
      </c>
      <c r="F27" s="180">
        <f>$E$9</f>
        <v>100</v>
      </c>
      <c r="G27" s="124">
        <f>Table_Input_InorganicFertiliser_Custom[[#This Row],[Amount applied (kg / ha)]]*Table_Input_InorganicFertiliser_Custom[[#This Row],[Application area (ha)]]</f>
        <v>10000</v>
      </c>
      <c r="H27" s="134" t="s">
        <v>319</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325</v>
      </c>
      <c r="E28" s="117">
        <v>100</v>
      </c>
      <c r="F28" s="180">
        <f>$E$9</f>
        <v>100</v>
      </c>
      <c r="G28" s="124">
        <f>Table_Input_InorganicFertiliser_Custom[[#This Row],[Amount applied (kg / ha)]]*Table_Input_InorganicFertiliser_Custom[[#This Row],[Application area (ha)]]</f>
        <v>10000</v>
      </c>
      <c r="H28" s="134" t="s">
        <v>326</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317</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187</v>
      </c>
      <c r="E32" s="85"/>
      <c r="F32" s="81"/>
      <c r="G32" s="106"/>
      <c r="H32" s="81"/>
      <c r="I32" s="3"/>
      <c r="J32" s="3"/>
      <c r="K32" s="22"/>
      <c r="L32" s="22"/>
      <c r="M32" s="22"/>
    </row>
    <row r="33" spans="1:25" ht="36" customHeight="1" x14ac:dyDescent="0.25">
      <c r="A33" s="17"/>
      <c r="D33" s="161" t="s">
        <v>188</v>
      </c>
      <c r="E33" s="162"/>
      <c r="F33" s="163"/>
      <c r="G33" s="161"/>
      <c r="H33" s="163"/>
      <c r="I33" s="22"/>
      <c r="J33" s="22"/>
      <c r="K33" s="22"/>
      <c r="L33" s="22"/>
      <c r="M33" s="3"/>
    </row>
    <row r="34" spans="1:25" ht="36" customHeight="1" x14ac:dyDescent="0.25">
      <c r="D34" s="87" t="s">
        <v>148</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114</v>
      </c>
      <c r="E36" s="140" t="s">
        <v>189</v>
      </c>
      <c r="F36" s="140" t="s">
        <v>151</v>
      </c>
      <c r="G36" s="140" t="s">
        <v>190</v>
      </c>
      <c r="H36" s="140" t="s">
        <v>191</v>
      </c>
      <c r="I36" s="140" t="s">
        <v>192</v>
      </c>
      <c r="J36" s="140" t="s">
        <v>193</v>
      </c>
      <c r="K36" s="140" t="s">
        <v>88</v>
      </c>
    </row>
    <row r="37" spans="1:25" ht="20.100000000000001" customHeight="1" x14ac:dyDescent="0.25">
      <c r="D37" s="141" t="s">
        <v>264</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265</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327</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194</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187</v>
      </c>
      <c r="E44" s="85"/>
      <c r="F44" s="85"/>
      <c r="G44" s="85"/>
      <c r="H44" s="81"/>
      <c r="I44" s="22"/>
      <c r="J44" s="22"/>
      <c r="K44" s="22"/>
      <c r="L44" s="22"/>
      <c r="M44" s="22"/>
      <c r="O44" s="130"/>
      <c r="P44" s="130"/>
      <c r="Q44" s="130"/>
      <c r="R44" s="130"/>
    </row>
    <row r="45" spans="1:25" ht="36" customHeight="1" x14ac:dyDescent="0.25">
      <c r="D45" s="87" t="s">
        <v>148</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195</v>
      </c>
      <c r="E47" s="140" t="s">
        <v>196</v>
      </c>
      <c r="F47" s="140" t="s">
        <v>197</v>
      </c>
      <c r="G47" s="140" t="s">
        <v>198</v>
      </c>
      <c r="H47" s="140" t="s">
        <v>151</v>
      </c>
      <c r="I47" s="140" t="s">
        <v>199</v>
      </c>
      <c r="J47" s="140" t="s">
        <v>200</v>
      </c>
      <c r="K47" s="132"/>
    </row>
    <row r="48" spans="1:25" ht="20.100000000000001" customHeight="1" x14ac:dyDescent="0.25">
      <c r="D48" s="122" t="s">
        <v>241</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239</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242</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63" priority="62" operator="lessThan">
      <formula>0</formula>
    </cfRule>
  </conditionalFormatting>
  <conditionalFormatting sqref="F155:F156">
    <cfRule type="cellIs" dxfId="62" priority="19" operator="lessThan">
      <formula>0</formula>
    </cfRule>
  </conditionalFormatting>
  <conditionalFormatting sqref="F167:F168">
    <cfRule type="cellIs" dxfId="61" priority="18" operator="lessThan">
      <formula>0</formula>
    </cfRule>
  </conditionalFormatting>
  <conditionalFormatting sqref="F255:F256">
    <cfRule type="cellIs" dxfId="60" priority="93" operator="lessThan">
      <formula>0</formula>
    </cfRule>
  </conditionalFormatting>
  <conditionalFormatting sqref="F260:F261">
    <cfRule type="cellIs" dxfId="59" priority="92" operator="lessThan">
      <formula>0</formula>
    </cfRule>
  </conditionalFormatting>
  <conditionalFormatting sqref="F265:F266">
    <cfRule type="cellIs" dxfId="58" priority="91" operator="lessThan">
      <formula>0</formula>
    </cfRule>
  </conditionalFormatting>
  <conditionalFormatting sqref="F289:F290">
    <cfRule type="cellIs" dxfId="57" priority="85" operator="lessThan">
      <formula>0</formula>
    </cfRule>
  </conditionalFormatting>
  <conditionalFormatting sqref="F294:F295">
    <cfRule type="cellIs" dxfId="56" priority="84" operator="lessThan">
      <formula>0</formula>
    </cfRule>
  </conditionalFormatting>
  <conditionalFormatting sqref="F299:F300">
    <cfRule type="cellIs" dxfId="55" priority="83" operator="lessThan">
      <formula>0</formula>
    </cfRule>
  </conditionalFormatting>
  <conditionalFormatting sqref="H47:H50 F131:F132">
    <cfRule type="cellIs" dxfId="54"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3" priority="79" operator="lessThan">
      <formula>0</formula>
    </cfRule>
  </conditionalFormatting>
  <conditionalFormatting sqref="I36:I41 F143:F144">
    <cfRule type="cellIs" dxfId="52" priority="20" operator="lessThan">
      <formula>0</formula>
    </cfRule>
  </conditionalFormatting>
  <conditionalFormatting sqref="I62:I66">
    <cfRule type="cellIs" dxfId="51" priority="5" operator="lessThan">
      <formula>0</formula>
    </cfRule>
  </conditionalFormatting>
  <conditionalFormatting sqref="I70 M107 I129:J129">
    <cfRule type="cellIs" dxfId="50" priority="74" operator="lessThan">
      <formula>0</formula>
    </cfRule>
  </conditionalFormatting>
  <conditionalFormatting sqref="I81:I83">
    <cfRule type="cellIs" dxfId="49" priority="4" operator="lessThan">
      <formula>0</formula>
    </cfRule>
  </conditionalFormatting>
  <conditionalFormatting sqref="I87:I90">
    <cfRule type="cellIs" dxfId="48" priority="3" operator="lessThan">
      <formula>0</formula>
    </cfRule>
  </conditionalFormatting>
  <conditionalFormatting sqref="I94:I98">
    <cfRule type="cellIs" dxfId="47" priority="1" operator="lessThan">
      <formula>0</formula>
    </cfRule>
  </conditionalFormatting>
  <conditionalFormatting sqref="J157">
    <cfRule type="cellIs" dxfId="46" priority="24" operator="lessThan">
      <formula>0</formula>
    </cfRule>
  </conditionalFormatting>
  <conditionalFormatting sqref="L119:L122">
    <cfRule type="cellIs" dxfId="45" priority="11" operator="lessThan">
      <formula>0</formula>
    </cfRule>
  </conditionalFormatting>
  <conditionalFormatting sqref="L125">
    <cfRule type="cellIs" dxfId="44" priority="17" operator="lessThan">
      <formula>0</formula>
    </cfRule>
  </conditionalFormatting>
  <conditionalFormatting sqref="L131:L134">
    <cfRule type="cellIs" dxfId="43" priority="10" operator="lessThan">
      <formula>0</formula>
    </cfRule>
  </conditionalFormatting>
  <conditionalFormatting sqref="L137">
    <cfRule type="cellIs" dxfId="42" priority="16" operator="lessThan">
      <formula>0</formula>
    </cfRule>
  </conditionalFormatting>
  <conditionalFormatting sqref="L143:L146">
    <cfRule type="cellIs" dxfId="41" priority="9" operator="lessThan">
      <formula>0</formula>
    </cfRule>
  </conditionalFormatting>
  <conditionalFormatting sqref="L149">
    <cfRule type="cellIs" dxfId="40" priority="15" operator="lessThan">
      <formula>0</formula>
    </cfRule>
  </conditionalFormatting>
  <conditionalFormatting sqref="L155:L158">
    <cfRule type="cellIs" dxfId="39" priority="8" operator="lessThan">
      <formula>0</formula>
    </cfRule>
  </conditionalFormatting>
  <conditionalFormatting sqref="L161">
    <cfRule type="cellIs" dxfId="38" priority="14" operator="lessThan">
      <formula>0</formula>
    </cfRule>
  </conditionalFormatting>
  <conditionalFormatting sqref="L165:L166">
    <cfRule type="cellIs" dxfId="37" priority="12" operator="lessThan">
      <formula>0</formula>
    </cfRule>
  </conditionalFormatting>
  <conditionalFormatting sqref="L218 L220:L223 L225 J233:J235 J238:J240">
    <cfRule type="cellIs" dxfId="36"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G77" sqref="G7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202</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173</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161</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160</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173</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173</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182</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174</v>
      </c>
      <c r="T41" s="100" t="s">
        <v>201</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172</v>
      </c>
    </row>
    <row r="43" spans="1:23" ht="20.100000000000001" customHeight="1" x14ac:dyDescent="0.25">
      <c r="F43" s="2"/>
      <c r="O43" s="118" t="s">
        <v>179</v>
      </c>
      <c r="P43" s="118" t="s">
        <v>178</v>
      </c>
      <c r="Q43" s="118" t="s">
        <v>142</v>
      </c>
      <c r="R43" s="118" t="str">
        <f>$N$10</f>
        <v>kg N2O-N/kg N applied</v>
      </c>
      <c r="S43" s="118" t="str">
        <f>$N$21</f>
        <v>kg N2O-N/kg N applied</v>
      </c>
      <c r="T43" s="118" t="s">
        <v>179</v>
      </c>
      <c r="U43" s="118" t="s">
        <v>142</v>
      </c>
      <c r="V43" s="118" t="str">
        <f>$N$33</f>
        <v>kg N2O-N/kg N applied</v>
      </c>
      <c r="W43" s="118" t="s">
        <v>180</v>
      </c>
    </row>
    <row r="44" spans="1:23" ht="20.100000000000001" customHeight="1" x14ac:dyDescent="0.25">
      <c r="F44" s="2"/>
      <c r="M44" s="49" t="s">
        <v>171</v>
      </c>
      <c r="N44" s="112" t="s">
        <v>171</v>
      </c>
      <c r="O44" s="112" t="s">
        <v>166</v>
      </c>
      <c r="P44" s="112" t="s">
        <v>167</v>
      </c>
      <c r="Q44" s="49" t="s">
        <v>168</v>
      </c>
      <c r="R44" s="49" t="str">
        <f>N9</f>
        <v>EF_fjIrrigatedMaizeN2O</v>
      </c>
      <c r="S44" s="49" t="str">
        <f>N20</f>
        <v>EF_fjNonIrrigatedGrainsN2O</v>
      </c>
      <c r="T44" s="49" t="s">
        <v>181</v>
      </c>
      <c r="U44" s="49" t="s">
        <v>177</v>
      </c>
      <c r="V44" s="49" t="str">
        <f>N32</f>
        <v>EF_fjCottonN2O</v>
      </c>
      <c r="W44" s="49" t="s">
        <v>233</v>
      </c>
    </row>
    <row r="45" spans="1:23" ht="20.100000000000001" customHeight="1" x14ac:dyDescent="0.25">
      <c r="F45" s="2"/>
      <c r="M45" s="50" t="s">
        <v>176</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176</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16</v>
      </c>
      <c r="E47" s="52" t="str" cm="1">
        <f t="array" ref="E47">Fertiliser_Equations_InorganicN2O.VEERG_5_1_1_1__1_InorganicFertiliserApplicationN2OEmissions_Unit()</f>
        <v>t N2O</v>
      </c>
      <c r="F47" s="2"/>
      <c r="M47" s="50" t="s">
        <v>176</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176</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176</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175</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175</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X_Cell_Fertiliser_ProductionSystem</f>
        <v>Crop</v>
      </c>
      <c r="M52" s="50" t="s">
        <v>175</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175</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X_Cell_Fertiliser_IrrigationMethod</f>
        <v>Sprinkler irrigation</v>
      </c>
      <c r="M54" s="50" t="s">
        <v>175</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X_Cell_Site_RainfallZone</f>
        <v>Low rainfall</v>
      </c>
    </row>
    <row r="56" spans="4:24" ht="20.100000000000001" customHeight="1" x14ac:dyDescent="0.25">
      <c r="F56" s="2"/>
    </row>
    <row r="57" spans="4:24" ht="20.100000000000001" customHeight="1" x14ac:dyDescent="0.25">
      <c r="D57" s="92" t="s">
        <v>169</v>
      </c>
      <c r="F57" s="2"/>
      <c r="L57" s="44"/>
      <c r="M57" s="44"/>
      <c r="N57" s="44"/>
      <c r="O57" s="44"/>
      <c r="P57" s="44"/>
      <c r="Q57" s="44"/>
      <c r="R57" s="44"/>
      <c r="S57" s="44"/>
      <c r="T57" s="44"/>
      <c r="U57" s="44"/>
      <c r="V57" s="44"/>
      <c r="W57" s="44"/>
      <c r="X57" s="44"/>
    </row>
    <row r="58" spans="4:24" ht="20.100000000000001" customHeight="1" x14ac:dyDescent="0.25">
      <c r="D58" s="91" t="s">
        <v>170</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183</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X_Cell_Fertiliser_ProductionSystem</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X_Cell_Fertiliser_CropType</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185</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X_Cell_Fertiliser_IrrigationMethod</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X_Cell_Site_RainfallZone</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171</v>
      </c>
      <c r="N76" s="49" t="s">
        <v>171</v>
      </c>
      <c r="O76" s="49" t="s">
        <v>184</v>
      </c>
      <c r="P76" s="49" t="s">
        <v>183</v>
      </c>
    </row>
    <row r="77" spans="4:19" ht="20.100000000000001" customHeight="1" x14ac:dyDescent="0.25">
      <c r="D77" s="50" t="str">
        <v>Ammonia</v>
      </c>
      <c r="E77" s="50" cm="1">
        <f t="array" ref="E77">Fertiliser_Equations_InorganicN2O.VEERG_5_1_1_1__1_InorganicFertiliserApplicationN2OEmissions(G36,$I$50,$I$51)</f>
        <v>4.5292500000000006E-2</v>
      </c>
      <c r="M77" s="50" t="s">
        <v>176</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176</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176</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162</v>
      </c>
      <c r="E80" s="95">
        <f>SUM(E60:E78)</f>
        <v>0.1431067</v>
      </c>
      <c r="F80" s="96" t="str">
        <f>$E$47</f>
        <v>t N2O</v>
      </c>
      <c r="M80" s="50" t="s">
        <v>176</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176</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175</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175</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175</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79</v>
      </c>
      <c r="E85" s="44" cm="1">
        <f t="array" ref="E85">Common_Equations.Common_ConvertN2OToCO2e(G82,G83)</f>
        <v>37.923275500000003</v>
      </c>
      <c r="F85" s="98" t="str" cm="1">
        <f t="array" ref="F85">Common_Equations.Common_ConvertN2OToCO2e_Unit()</f>
        <v>t CO2e</v>
      </c>
      <c r="M85" s="50" t="s">
        <v>175</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175</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162</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workbookViewId="0">
      <selection activeCell="I53" sqref="I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204</v>
      </c>
    </row>
    <row r="17" spans="1:7" ht="20.100000000000001" customHeight="1" x14ac:dyDescent="0.25">
      <c r="A17" s="17" t="str">
        <f>HYPERLINK("#'5.5.1.1-2 Leaching and runoff'!A1", "5.5.1.1-2 Leaching and runoff")</f>
        <v>5.5.1.1-2 Leaching and runoff</v>
      </c>
      <c r="D17" s="91" t="s">
        <v>205</v>
      </c>
    </row>
    <row r="18" spans="1:7" ht="20.100000000000001" customHeight="1" x14ac:dyDescent="0.25">
      <c r="D18" s="49" t="s">
        <v>112</v>
      </c>
      <c r="E18" s="112" t="s">
        <v>144</v>
      </c>
      <c r="F18" s="49" t="s">
        <v>206</v>
      </c>
      <c r="G18" s="49" t="s">
        <v>209</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22</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Fertiliser_Equations_InorganicCO2.VEERG_5_1_1_3__1_InorganicFertiliserApplicationCO2Emissions_Variable()</f>
        <v>E_CO2</v>
      </c>
    </row>
    <row r="47" spans="1:12" ht="20.100000000000001" customHeight="1" x14ac:dyDescent="0.25">
      <c r="D47" s="51" t="s">
        <v>16</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X_Cell_Fertiliser_ProductionSystem</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207</v>
      </c>
    </row>
    <row r="56" spans="4:9" ht="20.100000000000001" customHeight="1" x14ac:dyDescent="0.25">
      <c r="D56" s="91" t="s">
        <v>208</v>
      </c>
    </row>
    <row r="57" spans="4:9" ht="20.100000000000001" customHeight="1" x14ac:dyDescent="0.25">
      <c r="D57" s="49" t="s">
        <v>112</v>
      </c>
      <c r="E57" s="49" t="s">
        <v>183</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234</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K49" sqref="K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243</v>
      </c>
    </row>
    <row r="18" spans="1:10" ht="20.100000000000001" customHeight="1" x14ac:dyDescent="0.25">
      <c r="D18" s="91" t="s">
        <v>250</v>
      </c>
    </row>
    <row r="19" spans="1:10" ht="20.100000000000001" customHeight="1" x14ac:dyDescent="0.25">
      <c r="A19" s="18" t="s">
        <v>2</v>
      </c>
      <c r="D19" s="112" t="s">
        <v>244</v>
      </c>
      <c r="E19" s="112" t="s">
        <v>245</v>
      </c>
      <c r="F19" s="112" t="s">
        <v>151</v>
      </c>
      <c r="G19" s="148" t="s">
        <v>246</v>
      </c>
      <c r="H19" s="148" t="s">
        <v>247</v>
      </c>
      <c r="I19" s="148" t="s">
        <v>248</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249</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X_Cell_Fertiliser_ProductionSystem</f>
        <v>Crop</v>
      </c>
    </row>
    <row r="48" spans="1:12" ht="20.100000000000001" customHeight="1" x14ac:dyDescent="0.25">
      <c r="D48" s="147" t="str">
        <v>i</v>
      </c>
      <c r="E48" s="154" t="str">
        <v>Wet or dry climate zone</v>
      </c>
      <c r="F48" s="155"/>
      <c r="G48" s="155"/>
      <c r="H48" s="153"/>
      <c r="I48" s="147" t="str">
        <v/>
      </c>
      <c r="J48" s="120" t="str">
        <v>Input</v>
      </c>
      <c r="K48" s="147" t="str">
        <f>X_Cell_Site_WetOrDryClimateZone</f>
        <v>Dry climate zone</v>
      </c>
    </row>
    <row r="49" spans="1:7" ht="20.100000000000001" customHeight="1" x14ac:dyDescent="0.25"/>
    <row r="50" spans="1:7" ht="20.100000000000001" customHeight="1" x14ac:dyDescent="0.25">
      <c r="D50" s="94" t="s">
        <v>162</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workbookViewId="0">
      <selection activeCell="H25" sqref="H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261</v>
      </c>
    </row>
    <row r="23" spans="1:9" ht="20.100000000000001" customHeight="1" x14ac:dyDescent="0.25">
      <c r="A23" s="17"/>
      <c r="D23" s="91" t="s">
        <v>266</v>
      </c>
    </row>
    <row r="24" spans="1:9" ht="20.100000000000001" customHeight="1" x14ac:dyDescent="0.25">
      <c r="D24" s="112" t="s">
        <v>254</v>
      </c>
      <c r="E24" s="112" t="s">
        <v>255</v>
      </c>
      <c r="F24" s="112" t="s">
        <v>256</v>
      </c>
      <c r="G24" s="112" t="s">
        <v>257</v>
      </c>
      <c r="H24" s="49" t="s">
        <v>258</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259</v>
      </c>
      <c r="E31" s="95">
        <f>SUM(H25:H29)</f>
        <v>75.808333333333337</v>
      </c>
      <c r="F31" s="160" t="s">
        <v>260</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37" zoomScale="85" zoomScaleNormal="85" workbookViewId="0">
      <selection activeCell="I133" sqref="I13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284</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271</v>
      </c>
    </row>
    <row r="17" spans="1:8" ht="20.100000000000001" customHeight="1" x14ac:dyDescent="0.25">
      <c r="A17" s="17" t="str">
        <f>HYPERLINK("#'5.5.1.1-2 Leaching and runoff'!A1", "5.5.1.1-2 Leaching and runoff")</f>
        <v>5.5.1.1-2 Leaching and runoff</v>
      </c>
      <c r="D17" s="91" t="s">
        <v>272</v>
      </c>
    </row>
    <row r="18" spans="1:8" ht="20.100000000000001" customHeight="1" x14ac:dyDescent="0.25">
      <c r="D18" s="49" t="s">
        <v>267</v>
      </c>
      <c r="E18" s="49" t="s">
        <v>268</v>
      </c>
      <c r="F18" s="49" t="s">
        <v>110</v>
      </c>
      <c r="G18" s="165" t="s">
        <v>269</v>
      </c>
      <c r="H18" s="165" t="s">
        <v>270</v>
      </c>
    </row>
    <row r="19" spans="1:8" ht="20.100000000000001" customHeight="1" x14ac:dyDescent="0.25">
      <c r="A19" s="18" t="s">
        <v>2</v>
      </c>
      <c r="D19" s="50" t="str" cm="1">
        <f t="array" ref="D19:D37">Table_Fertiliser_ChemicalCompounds[Fertiliser type f]</f>
        <v>Monoammonium phosphate (MAP)</v>
      </c>
      <c r="E19" s="50">
        <f>INDEX(Table_MN_j_f,2,4)</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INDEX(Table_MN_j_f,3,4)</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INDEX(Table_MN_j_f,4,4)</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INDEX(Table_MN_j_f,5,4)</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INDEX(Table_MN_j_f,6,4)</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INDEX(Table_MN_j_f,7,4)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INDEX(Table_MN_j_f,8,4)</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INDEX(Table_MN_j_f,9,4)</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INDEX(Table_MN_j_f,10,4)</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INDEX(Table_MN_j_f,11,4)</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INDEX(Table_MN_j_f,12,4)</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INDEX(Table_MN_j_f,13,4)</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INDEX(Table_MN_j_f,14,4)</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INDEX(Table_MN_j_f,15,4)</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INDEX(Table_MN_j_f,16,4)</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INDEX(Table_MN_j_f,17,4)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INDEX(Table_MN_j_f,18,4)</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INDEX(Table_MN_j_f,19,4)</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INDEX(Table_MN_j_f,20,4)</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22</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Fertiliser_Equations_AtmosphericDeposition.VEERG_5_4_1_1__1_InorganicFertiliserAtmosphericDepositionN2OEmissions_Variable()</f>
        <v>E_adinorganic</v>
      </c>
    </row>
    <row r="47" spans="1:12" ht="20.100000000000001" customHeight="1" x14ac:dyDescent="0.25">
      <c r="D47" s="51" t="s">
        <v>16</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X_Cell_Fertiliser_ProductionSystem</f>
        <v>Crop</v>
      </c>
    </row>
    <row r="53" spans="1:10" ht="20.100000000000001" customHeight="1" x14ac:dyDescent="0.25">
      <c r="D53" s="147" t="str">
        <v>ir</v>
      </c>
      <c r="E53" s="154" t="str">
        <v>irrigation method</v>
      </c>
      <c r="F53" s="155"/>
      <c r="G53" s="153"/>
      <c r="H53" s="147" t="str">
        <v/>
      </c>
      <c r="I53" s="120" t="str">
        <v>Input</v>
      </c>
      <c r="J53" s="147" t="str">
        <f>X_Cell_Fertiliser_IrrigationMethod</f>
        <v>Sprinkler irrigation</v>
      </c>
    </row>
    <row r="54" spans="1:10" ht="20.100000000000001" customHeight="1" x14ac:dyDescent="0.25">
      <c r="D54" s="147" t="str">
        <v>r</v>
      </c>
      <c r="E54" s="154" t="str">
        <v>rainfall region</v>
      </c>
      <c r="F54" s="155"/>
      <c r="G54" s="153"/>
      <c r="H54" s="147" t="str">
        <v/>
      </c>
      <c r="I54" s="120" t="str">
        <v>Input</v>
      </c>
      <c r="J54" s="147" t="str">
        <f>X_Cell_Site_RainfallZone</f>
        <v>Low rainfall</v>
      </c>
    </row>
    <row r="55" spans="1:10" ht="20.100000000000001" customHeight="1" x14ac:dyDescent="0.25">
      <c r="A55" s="157" t="str">
        <f>HYPERLINK("#A1", "▲ Back to top")</f>
        <v>▲ Back to top</v>
      </c>
    </row>
    <row r="56" spans="1:10" ht="20.100000000000001" customHeight="1" x14ac:dyDescent="0.25">
      <c r="D56" s="92" t="s">
        <v>280</v>
      </c>
    </row>
    <row r="57" spans="1:10" ht="20.100000000000001" customHeight="1" x14ac:dyDescent="0.25">
      <c r="D57" s="91" t="s">
        <v>281</v>
      </c>
    </row>
    <row r="58" spans="1:10" ht="20.100000000000001" customHeight="1" x14ac:dyDescent="0.25">
      <c r="D58" s="49" t="s">
        <v>267</v>
      </c>
      <c r="E58" s="165" t="s">
        <v>270</v>
      </c>
      <c r="F58" s="165" t="s">
        <v>273</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278</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79</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22</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25</v>
      </c>
      <c r="E93" s="1" t="str" cm="1">
        <f t="array" ref="E93">Fertiliser_Equations_AtmosphericDeposition.VEERG_5_4_1_3__2_MassOfNitrogenVolatilisedFromOrganicFertiliser_Variable()</f>
        <v>M_volorganicjf</v>
      </c>
    </row>
    <row r="94" spans="3:12" ht="20.100000000000001" customHeight="1" x14ac:dyDescent="0.25">
      <c r="D94" s="51" t="s">
        <v>16</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274</v>
      </c>
    </row>
    <row r="100" spans="4:9" ht="20.100000000000001" customHeight="1" x14ac:dyDescent="0.25">
      <c r="D100" s="91" t="s">
        <v>275</v>
      </c>
    </row>
    <row r="101" spans="4:9" ht="20.100000000000001" customHeight="1" x14ac:dyDescent="0.25">
      <c r="D101" s="112" t="s">
        <v>244</v>
      </c>
      <c r="E101" s="148" t="s">
        <v>248</v>
      </c>
      <c r="F101" s="148" t="s">
        <v>277</v>
      </c>
    </row>
    <row r="102" spans="4:9" ht="20.100000000000001" customHeight="1" x14ac:dyDescent="0.25">
      <c r="D102" s="50" t="str" cm="1">
        <f t="array" ref="D102:D104">Table_Input_OrganicFertiliser[Organic fertiliser type (select)]</f>
        <v>Manure - Other</v>
      </c>
      <c r="E102" s="50">
        <f>INDEX(Table_MNSoil_j_f,2,6)</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INDEX(Table_MNSoil_j_f,3,6)</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INDEX(Table_MNSoil_j_f,4,6)</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22</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25</v>
      </c>
      <c r="E121" s="1" t="str" cm="1">
        <f t="array" ref="E121">Fertiliser_Equations_AtmosphericDeposition.VEERG_5_4_1_3__1_OrganicFertiliserAtmosphericDepositionN2OEmissions_Variable()</f>
        <v>E_adorganic</v>
      </c>
    </row>
    <row r="122" spans="3:12" ht="20.100000000000001" customHeight="1" x14ac:dyDescent="0.25">
      <c r="D122" s="51" t="s">
        <v>16</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X_Cell_Fertiliser_ProductionSystem</f>
        <v>Crop</v>
      </c>
    </row>
    <row r="128" spans="3:12" ht="20.100000000000001" customHeight="1" x14ac:dyDescent="0.25">
      <c r="D128" s="147" t="str">
        <v>ir</v>
      </c>
      <c r="E128" s="154" t="str">
        <v>irrigation method</v>
      </c>
      <c r="F128" s="153"/>
      <c r="G128" s="147" t="str">
        <v/>
      </c>
      <c r="H128" s="120" t="str">
        <v>Input</v>
      </c>
      <c r="I128" s="147" t="str">
        <f>X_Cell_Fertiliser_IrrigationMethod</f>
        <v>Sprinkler irrigation</v>
      </c>
    </row>
    <row r="129" spans="4:9" ht="20.100000000000001" customHeight="1" x14ac:dyDescent="0.25">
      <c r="D129" s="147" t="str">
        <v>r</v>
      </c>
      <c r="E129" s="154" t="str">
        <v>rainfall region</v>
      </c>
      <c r="F129" s="153"/>
      <c r="G129" s="147" t="str">
        <v/>
      </c>
      <c r="H129" s="120" t="str">
        <v>Input</v>
      </c>
      <c r="I129" s="147" t="str">
        <f>X_Cell_Site_RainfallZone</f>
        <v>Low rainfall</v>
      </c>
    </row>
    <row r="130" spans="4:9" ht="20.100000000000001" customHeight="1" x14ac:dyDescent="0.25"/>
    <row r="131" spans="4:9" ht="20.100000000000001" customHeight="1" x14ac:dyDescent="0.25">
      <c r="D131" s="92" t="s">
        <v>282</v>
      </c>
    </row>
    <row r="132" spans="4:9" ht="20.100000000000001" customHeight="1" x14ac:dyDescent="0.25">
      <c r="D132" s="91" t="s">
        <v>283</v>
      </c>
    </row>
    <row r="133" spans="4:9" ht="20.100000000000001" customHeight="1" x14ac:dyDescent="0.25">
      <c r="D133" s="112" t="s">
        <v>244</v>
      </c>
      <c r="E133" s="148" t="s">
        <v>277</v>
      </c>
      <c r="F133" s="148" t="s">
        <v>276</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279</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79</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X_Cell_Site_LeachingZone</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X_Cell_Fertiliser_ProductionSystem</f>
        <v>Crop</v>
      </c>
    </row>
    <row r="18" spans="1:9" ht="20.100000000000001" customHeight="1" x14ac:dyDescent="0.25">
      <c r="D18" s="147" t="str">
        <v>ir</v>
      </c>
      <c r="E18" s="154" t="str">
        <v>irrigation method</v>
      </c>
      <c r="F18" s="153"/>
      <c r="G18" s="147" t="str">
        <v/>
      </c>
      <c r="H18" s="120" t="str">
        <v>Input</v>
      </c>
      <c r="I18" s="147" t="str">
        <f>X_Cell_Fertiliser_IrrigationMethod</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287</v>
      </c>
    </row>
    <row r="21" spans="1:9" ht="20.100000000000001" customHeight="1" x14ac:dyDescent="0.25">
      <c r="A21" s="17" t="str">
        <f>HYPERLINK("#'Constants - Common'!A1", "Constants - Common")</f>
        <v>Constants - Common</v>
      </c>
      <c r="D21" s="91" t="s">
        <v>290</v>
      </c>
    </row>
    <row r="22" spans="1:9" ht="20.100000000000001" customHeight="1" x14ac:dyDescent="0.25">
      <c r="D22" s="49" t="s">
        <v>112</v>
      </c>
      <c r="E22" s="49" t="s">
        <v>268</v>
      </c>
      <c r="F22" s="49" t="s">
        <v>286</v>
      </c>
    </row>
    <row r="23" spans="1:9" ht="20.100000000000001" customHeight="1" x14ac:dyDescent="0.25">
      <c r="A23" s="17"/>
      <c r="D23" s="50" t="str" cm="1">
        <f t="array" ref="D23:D41">Table_Fertiliser_ChemicalCompounds[Fertiliser type f]</f>
        <v>Monoammonium phosphate (MAP)</v>
      </c>
      <c r="E23" s="50">
        <f>INDEX(Table_MN_j_f,2,4)</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INDEX(Table_MN_j_f,3,4)</f>
        <v>0</v>
      </c>
      <c r="F24" s="50" cm="1">
        <f t="array" ref="F24">Fertiliser_Equations_LeachingAndRunoff.VEERG_5_5_1_1__2_MassOfNitrogenLeachedFromInorganicFertiliser(E24, $I$14, $I$15)</f>
        <v>0</v>
      </c>
    </row>
    <row r="25" spans="1:9" ht="20.100000000000001" customHeight="1" x14ac:dyDescent="0.25">
      <c r="D25" s="50" t="str">
        <v>Urea</v>
      </c>
      <c r="E25" s="50">
        <f>INDEX(Table_MN_j_f,4,4)</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INDEX(Table_MN_j_f,5,4)</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INDEX(Table_MN_j_f,6,4)</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INDEX(Table_MN_j_f,7,4)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INDEX(Table_MN_j_f,8,4)</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INDEX(Table_MN_j_f,9,4)</f>
        <v>0</v>
      </c>
      <c r="F30" s="50" cm="1">
        <f t="array" ref="F30">Fertiliser_Equations_LeachingAndRunoff.VEERG_5_5_1_1__2_MassOfNitrogenLeachedFromInorganicFertiliser(E30, $I$14, $I$15)</f>
        <v>0</v>
      </c>
    </row>
    <row r="31" spans="1:9" ht="20.100000000000001" customHeight="1" x14ac:dyDescent="0.25">
      <c r="D31" s="50" t="str">
        <v>Nitrogen - Nitrate</v>
      </c>
      <c r="E31" s="50">
        <f>INDEX(Table_MN_j_f,10,4)</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INDEX(Table_MN_j_f,11,4)</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INDEX(Table_MN_j_f,12,4)</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INDEX(Table_MN_j_f,13,4)</f>
        <v>0</v>
      </c>
      <c r="F34" s="50" cm="1">
        <f t="array" ref="F34">Fertiliser_Equations_LeachingAndRunoff.VEERG_5_5_1_1__2_MassOfNitrogenLeachedFromInorganicFertiliser(E34, $I$14, $I$15)</f>
        <v>0</v>
      </c>
    </row>
    <row r="35" spans="1:11" ht="20.100000000000001" customHeight="1" x14ac:dyDescent="0.25">
      <c r="D35" s="50" t="str">
        <v>Sulfur - Generic</v>
      </c>
      <c r="E35" s="50">
        <f>INDEX(Table_MN_j_f,14,4)</f>
        <v>0</v>
      </c>
      <c r="F35" s="50" cm="1">
        <f t="array" ref="F35">Fertiliser_Equations_LeachingAndRunoff.VEERG_5_5_1_1__2_MassOfNitrogenLeachedFromInorganicFertiliser(E35, $I$14, $I$15)</f>
        <v>0</v>
      </c>
    </row>
    <row r="36" spans="1:11" ht="20.100000000000001" customHeight="1" x14ac:dyDescent="0.25">
      <c r="D36" s="50" t="str">
        <v>Zinc - Generic</v>
      </c>
      <c r="E36" s="50">
        <f>INDEX(Table_MN_j_f,15,4)</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INDEX(Table_MN_j_f,16,4)</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INDEX(Table_MN_j_f,17,4)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INDEX(Table_MN_j_f,18,4)</f>
        <v>0</v>
      </c>
      <c r="F39" s="50" cm="1">
        <f t="array" ref="F39">Fertiliser_Equations_LeachingAndRunoff.VEERG_5_5_1_1__2_MassOfNitrogenLeachedFromInorganicFertiliser(E39, $I$14, $I$15)</f>
        <v>0</v>
      </c>
    </row>
    <row r="40" spans="1:11" ht="20.100000000000001" customHeight="1" x14ac:dyDescent="0.25">
      <c r="D40" s="50" t="str">
        <v>Ammonia</v>
      </c>
      <c r="E40" s="50">
        <f>INDEX(Table_MN_j_f,19,4)</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INDEX(Table_MN_j_f,20,4)</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288</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22</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25</v>
      </c>
      <c r="E52" s="1" t="str" cm="1">
        <f t="array" ref="E52">Fertiliser_Equations_LeachingAndRunoff.VEERG_5_5_1_1__3_MassOfNitrogenLeachedFromOrganicFertiliser_Variable()</f>
        <v>M_leachorganicj</v>
      </c>
    </row>
    <row r="53" spans="4:9" ht="20.100000000000001" customHeight="1" x14ac:dyDescent="0.25">
      <c r="D53" s="51" t="s">
        <v>16</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X_Cell_Site_LeachingZone</f>
        <v>NO - Not in leaching zone</v>
      </c>
    </row>
    <row r="59" spans="4:9" ht="20.100000000000001" customHeight="1" x14ac:dyDescent="0.25">
      <c r="D59" s="147" t="str">
        <v>j</v>
      </c>
      <c r="E59" s="154" t="str">
        <v>production system</v>
      </c>
      <c r="F59" s="153"/>
      <c r="G59" s="147" t="str">
        <v/>
      </c>
      <c r="H59" s="120" t="str">
        <v>Input</v>
      </c>
      <c r="I59" s="147" t="str">
        <f>X_Cell_Fertiliser_ProductionSystem</f>
        <v>Crop</v>
      </c>
    </row>
    <row r="60" spans="4:9" ht="20.100000000000001" customHeight="1" x14ac:dyDescent="0.25">
      <c r="D60" s="147" t="str">
        <v>ir</v>
      </c>
      <c r="E60" s="154" t="str">
        <v>irrigation method</v>
      </c>
      <c r="F60" s="153"/>
      <c r="G60" s="147" t="str">
        <v/>
      </c>
      <c r="H60" s="120" t="str">
        <v>Input</v>
      </c>
      <c r="I60" s="147" t="str">
        <f>X_Cell_Fertiliser_IrrigationMethod</f>
        <v>Sprinkler irrigation</v>
      </c>
    </row>
    <row r="61" spans="4:9" ht="20.100000000000001" customHeight="1" x14ac:dyDescent="0.25"/>
    <row r="62" spans="4:9" ht="20.100000000000001" customHeight="1" x14ac:dyDescent="0.25">
      <c r="D62" s="92" t="s">
        <v>289</v>
      </c>
    </row>
    <row r="63" spans="4:9" ht="20.100000000000001" customHeight="1" x14ac:dyDescent="0.25">
      <c r="D63" s="91" t="s">
        <v>291</v>
      </c>
    </row>
    <row r="64" spans="4:9" ht="20.100000000000001" customHeight="1" x14ac:dyDescent="0.25">
      <c r="D64" s="112" t="s">
        <v>244</v>
      </c>
      <c r="E64" s="167" t="s">
        <v>248</v>
      </c>
      <c r="F64" s="49" t="s">
        <v>292</v>
      </c>
    </row>
    <row r="65" spans="1:11" ht="20.100000000000001" customHeight="1" x14ac:dyDescent="0.25">
      <c r="D65" s="50" t="str">
        <f>INDEX(Table_MNSoil_j_f,2,1)</f>
        <v>Manure - Other</v>
      </c>
      <c r="E65" s="50">
        <f>INDEX(Table_MNSoil_j_f,2,6)</f>
        <v>300</v>
      </c>
      <c r="F65" s="50" cm="1">
        <f t="array" ref="F65">Fertiliser_Equations_LeachingAndRunoff.VEERG_5_5_1_1__3_MassOfNitrogenLeachedFromOrganicFertiliser(E65,$I$56, $I$57)</f>
        <v>72</v>
      </c>
    </row>
    <row r="66" spans="1:11" ht="20.100000000000001" customHeight="1" x14ac:dyDescent="0.25">
      <c r="D66" s="50" t="str">
        <f>INDEX(Table_MNSoil_j_f,3,1)</f>
        <v>Manure - Poultry</v>
      </c>
      <c r="E66" s="50">
        <f>INDEX(Table_MNSoil_j_f,3,6)</f>
        <v>250</v>
      </c>
      <c r="F66" s="50" cm="1">
        <f t="array" ref="F66">Fertiliser_Equations_LeachingAndRunoff.VEERG_5_5_1_1__3_MassOfNitrogenLeachedFromOrganicFertiliser(E66,$I$56, $I$57)</f>
        <v>60</v>
      </c>
    </row>
    <row r="67" spans="1:11" ht="20.100000000000001" customHeight="1" x14ac:dyDescent="0.25">
      <c r="D67" s="50" t="str">
        <f>INDEX(Table_MNSoil_j_f,4,1)</f>
        <v>Other organic fertiliser</v>
      </c>
      <c r="E67" s="50">
        <f>INDEX(Table_MNSoil_j_f,4,6)</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293</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22</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25</v>
      </c>
      <c r="E86" s="1" t="str" cm="1">
        <f t="array" ref="E86">Fertiliser_Equations_LeachingAndRunoff.VEERG_5_5_1_1__1_FertiliserLeachingAndRunoffN2OEmissions_Variable()</f>
        <v>E_fertleach</v>
      </c>
    </row>
    <row r="87" spans="4:10" ht="20.100000000000001" customHeight="1" x14ac:dyDescent="0.25">
      <c r="D87" s="51" t="s">
        <v>16</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294</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79</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112</v>
      </c>
      <c r="E19" t="s">
        <v>128</v>
      </c>
      <c r="F19" t="s">
        <v>127</v>
      </c>
      <c r="G19" t="s">
        <v>110</v>
      </c>
      <c r="H19" t="s">
        <v>129</v>
      </c>
      <c r="I19" t="s">
        <v>111</v>
      </c>
      <c r="K19" s="37" t="s">
        <v>112</v>
      </c>
      <c r="L19" s="37" t="s">
        <v>128</v>
      </c>
      <c r="Q19" s="37" t="s">
        <v>112</v>
      </c>
      <c r="R19" s="37" t="s">
        <v>128</v>
      </c>
      <c r="V19" s="37" t="s">
        <v>111</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310</v>
      </c>
      <c r="F40" s="6" t="s">
        <v>163</v>
      </c>
      <c r="H40" s="6" t="s">
        <v>133</v>
      </c>
      <c r="J40" s="6" t="s">
        <v>236</v>
      </c>
    </row>
    <row r="41" spans="4:10" ht="20.100000000000001" customHeight="1" x14ac:dyDescent="0.25">
      <c r="D41" s="37" t="s">
        <v>87</v>
      </c>
      <c r="F41" s="37" t="s">
        <v>87</v>
      </c>
      <c r="H41" s="37" t="s">
        <v>86</v>
      </c>
      <c r="J41" s="37" t="s">
        <v>237</v>
      </c>
    </row>
    <row r="42" spans="4:10" ht="20.100000000000001" customHeight="1" x14ac:dyDescent="0.25">
      <c r="D42" s="37" t="s">
        <v>134</v>
      </c>
      <c r="F42" s="37" t="s">
        <v>134</v>
      </c>
      <c r="H42" s="37" t="s">
        <v>135</v>
      </c>
      <c r="J42" s="37" t="s">
        <v>238</v>
      </c>
    </row>
    <row r="43" spans="4:10" ht="20.100000000000001" customHeight="1" x14ac:dyDescent="0.25">
      <c r="D43" s="1" t="s">
        <v>131</v>
      </c>
      <c r="F43" s="1" t="s">
        <v>141</v>
      </c>
      <c r="H43" s="37" t="s">
        <v>136</v>
      </c>
      <c r="J43" s="1" t="s">
        <v>239</v>
      </c>
    </row>
    <row r="44" spans="4:10" ht="20.100000000000001" customHeight="1" x14ac:dyDescent="0.25">
      <c r="F44" s="1" t="s">
        <v>139</v>
      </c>
      <c r="H44" s="1" t="s">
        <v>132</v>
      </c>
      <c r="J44" s="1" t="s">
        <v>240</v>
      </c>
    </row>
    <row r="45" spans="4:10" ht="20.100000000000001" customHeight="1" x14ac:dyDescent="0.25">
      <c r="F45" s="1" t="s">
        <v>140</v>
      </c>
      <c r="H45" s="1" t="s">
        <v>137</v>
      </c>
      <c r="J45" s="1" t="s">
        <v>241</v>
      </c>
    </row>
    <row r="46" spans="4:10" ht="20.100000000000001" customHeight="1" x14ac:dyDescent="0.25">
      <c r="H46" s="1" t="s">
        <v>138</v>
      </c>
      <c r="J46" s="1" t="s">
        <v>242</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254</v>
      </c>
      <c r="E65" s="37" t="s">
        <v>262</v>
      </c>
      <c r="F65" s="37" t="s">
        <v>263</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324</v>
      </c>
    </row>
    <row r="87" spans="4:31" ht="20.100000000000001" customHeight="1" x14ac:dyDescent="0.25">
      <c r="D87" s="6" t="s">
        <v>113</v>
      </c>
      <c r="E87" s="110"/>
      <c r="F87" s="110"/>
      <c r="G87" s="110"/>
      <c r="H87" s="110"/>
      <c r="I87" s="110"/>
      <c r="J87" s="110"/>
      <c r="K87" s="110"/>
      <c r="L87" s="110"/>
      <c r="N87" s="110" t="s">
        <v>324</v>
      </c>
      <c r="O87" s="110"/>
      <c r="P87" s="110"/>
      <c r="Q87" s="110"/>
      <c r="R87" s="110"/>
      <c r="S87" s="110"/>
      <c r="T87" s="110"/>
      <c r="U87" s="110"/>
    </row>
    <row r="88" spans="4:31" ht="20.100000000000001" customHeight="1" x14ac:dyDescent="0.25">
      <c r="D88" s="110"/>
    </row>
    <row r="89" spans="4:31" ht="20.100000000000001" customHeight="1" x14ac:dyDescent="0.25">
      <c r="D89" s="144" t="s">
        <v>226</v>
      </c>
      <c r="E89" s="37" t="s">
        <v>227</v>
      </c>
      <c r="F89" s="37" t="s">
        <v>228</v>
      </c>
      <c r="G89" s="117" t="s">
        <v>229</v>
      </c>
      <c r="H89" s="117" t="s">
        <v>16</v>
      </c>
      <c r="I89" s="117" t="s">
        <v>230</v>
      </c>
      <c r="J89" s="117" t="s">
        <v>231</v>
      </c>
      <c r="K89" s="117" t="s">
        <v>232</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218</v>
      </c>
      <c r="Y89" s="117" t="s">
        <v>219</v>
      </c>
      <c r="Z89" s="37" t="s">
        <v>220</v>
      </c>
      <c r="AA89" s="37" t="s">
        <v>221</v>
      </c>
      <c r="AB89" s="37" t="s">
        <v>222</v>
      </c>
      <c r="AC89" s="37" t="s">
        <v>223</v>
      </c>
      <c r="AD89" s="37" t="s">
        <v>224</v>
      </c>
      <c r="AE89" s="37" t="s">
        <v>225</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2332-1BDE-4CFA-AE3A-499A10C696C9}">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210</v>
      </c>
      <c r="F231" s="36" t="s">
        <v>211</v>
      </c>
      <c r="G231" s="37" t="s">
        <v>105</v>
      </c>
      <c r="H231" s="37" t="s">
        <v>212</v>
      </c>
      <c r="I231" s="37" t="s">
        <v>213</v>
      </c>
      <c r="J231" s="37" t="s">
        <v>104</v>
      </c>
      <c r="K231" s="37" t="s">
        <v>103</v>
      </c>
      <c r="L231" s="37" t="s">
        <v>214</v>
      </c>
      <c r="M231" s="37" t="s">
        <v>215</v>
      </c>
      <c r="N231" s="37" t="s">
        <v>102</v>
      </c>
      <c r="O231" s="37" t="s">
        <v>216</v>
      </c>
      <c r="P231" s="37" t="s">
        <v>107</v>
      </c>
      <c r="Q231" s="37" t="s">
        <v>108</v>
      </c>
      <c r="R231" s="37" t="s">
        <v>106</v>
      </c>
      <c r="S231" s="37" t="s">
        <v>217</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251</v>
      </c>
      <c r="E257" s="37" t="s">
        <v>252</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OIArCAcIE4AIAArACAATgBPAHgA4gCsIBwg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wA5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GAGUAcgB0AGkAbABpAHMAZQByAF8ARQBxAHUAYQB0AGkAbwBuAHMAXwBJAG4Ab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E4AMgBPAEUAbQBpAHMAcwBpAG8AbgBz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G4ARQBfAE4AMgBPAFwAbgB0ACAATgAyAE8AXABuAFwAXABzAHUAbQBfAHsAagB9AFwAXABzAHUAbQBfAHsAZgB9ACgAKABNAE4AXwB7AGoAZgB9AFwAXAB0AGkAbQBlAHMAIABFAEYAXwB7AGoALABOADIATwB9AFwAXAB0AGkAbQBlAHMAIABDAF8AewBOADIATwB9ACkAXABcAHQAaQBtAGUAcwAgADEAMABeAHsALQAzAH0AKQBcAG4ATQBOAF8AagBmAFwAbgBFAEYAXwBqAE4AMgBPAFwAbgBDAF8ATgAyAE8AXABuAGoAXABuAGYAXABuAC0ALQAtAC0ALQAtAC0ALQAtAC0ALQAtAC0ALQAtAC0ALQAtAC0ALQAtAC0ALQAtAC0ALQAtAC0ALQAtAC0ALQAtAC0ALQAtAC0ALQBcAG4AKgAvAFwAbgBcAG4AVgBFAEUAUgBHAF8ANQBfADEAXwAxAF8AMQBfAF8AMQBfAEkAbgBvAHIAZwBhAG4AaQBjAEYAZQByAHQAaQBsAGkAcwBlAHIAQQBwAHAAbABpAGMAYQB0AGkAbwBuAE4AMgBPAEUAbQBpAHMAcwBpAG8AbgBzAFwAbgAgACAAPQBMAEEATQBCAEQAQQAoAFwAbgAgACAAIAAgAE0ATgBfAGoAZgAsACAARQBGAF8AagBOADIATwAsACAAQwBfAE4AMgBPACwAXABuACAAIAAgACAAKABNAE4AXwBqAGYAIAAqACAARQBGAF8AagBOADIATwAgACoAIABDAF8ATgAyAE8AKQAgACoAIAAxADAAIABeACAALQAzAFwAbgAgACAAKQA7AFwAbgBcAG4AVgBFAEUAUgBHAF8ANQBfADEAXwAxAF8AMQBfAF8AMQBfAEkAbgBv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CIAKQA7AFwAbgBcAG4AVgBFAEUAUgBHAF8ANQBfADEAXwAxAF8AMQBfAF8AMQBfAEkAbgBvAHIAZwBhAG4AaQBjAEYAZQByAHQAaQBsAGkAcwBlAHIAQQBwAHAAbABpAGMAYQB0AGkAbwBuAE4AMgBPAEUAbQBpAHMAcwBpAG8AbgBzAF8AVgBhAHIAaQBhAGIAbABlAFwAbgAgACAAPQBMAEEATQBCAEQAQQAoAFwAIgBFAF8ATgAyAE8AXAAiACkAOwBcAG4AXABuAFYARQBFAFIARwBfADUAXwAxAF8AMQBfADEAXwBfADEAXwBJAG4AbwByAGcAYQBuAGkAYwBGAGUAcgB0AGkAbABpAHMAZQByAEEAcABwAGwAaQBjAGEAdABpAG8AbgBOADIATwBFAG0AaQBzAHMAaQBvAG4AcwBfAFUAbgBpAHQAXABuACAAIAA9AEwAQQBNAEIARABBACgAXAAiAHQAIABOADIATwBcACIAKQA7AFwAbgBcAG4AVgBFAEUAUgBHAF8ANQBfADEAXwAxAF8AMQBfAF8AMQBfAEkAbgBvAHIAZwBhAG4AaQBjAEYAZQByAHQAaQBsAGkAcwBlAHIAQQBwAHAAbABpAGMAYQB0AGkAbwBuAE4AMgBPAEUAbQBpAHMAcwBpAG8AbgBz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TgAyAE8ARQBtAGkAcwBzAGkAbwBuAHMAXwBOAEkAUgBSAGUAZgBlAHIAZQBuAGMAZQBcAG4AIAAgAD0ATABBAE0AQgBEAEEAKABcACIAXAAiACkAOwBcAG4AXABuAFYARQBFAFIARwBfADUAXwAxAF8AMQBfADEAXwBfADEAXwBJAG4AbwByAGcAYQBuAGkAYwBGAGUAcgB0AGkAbABpAHMAZQByAEEAcABwAGwAaQBjAGEAdABpAG8AbgBOADIATwBFAG0AaQBzAHMAaQBvAG4AcwBfAEwAYQB0AGUAeABFAHEAdQBhAHQAaQBvAG4AXABuACAAIAA9AEwAQQBNAEIARABBACgAXAAiAEUAXwB7AE4AMgBPAH0APQBcAFwAcwB1AG0AXwB7AGoAfQBcAFwAcwB1AG0AXwB7AGYAfQAoACgATQBOAF8AewBqAGYAfQBcAFwAdABpAG0AZQBzACAARQBGAF8AewBqACwATgAyAE8AfQBcAFwAdABpAG0AZQBzACAAQwBfAHsATgAyAE8AfQApAFwAXAB0AGkAbQBlAHMAIAAxADAAXgB7AC0AMwB9ACkAXAAiACkAOwBcAG4AXABuAFYARQBFAFIARwBfADUAXwAxAF8AMQBfADEAXwBfADEAXwBJAG4AbwByAGcAYQBuAGkAYwBGAGUAcgB0AGkAbABpAHMAZQByAEEAcABwAGwAaQBjAGEAdABpAG8AbgBOADIATwBFAG0AaQBzAHMAaQBvAG4AcwBfAEEAcgBnAHUAbQBlAG4AdABzAFwAbgAgACAAPQBMAEEATQBCAEQAQQAoAFwAbgAgACAAIAAgAE0AQQBLAEUAQQBSAFIAQQBZACgANw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BWAEUARQBSAEcAXwA1AF8AMQBfADEAXwAxAF8AXwAxAF8ASQBuAG8AcgBnAGEAbgBpAGMARgBlAHIAdABpAGwAaQBzAGUAcgBBAHAAcABsAGkAYwBhAHQAaQBvAG4ATgAyAE8ARQBtAGkAcwBzAGkAbwBuAHMAXwBBAHIAZwB1AG0AZQBuAHQAcwBfAE0AZQB0AGgAbwBkADIAXABuACAAIAA9AEwAQQBNAEIARABBACgAXABuACAAIAAgACAATQBBAEsARQBBAFIAUgBBAFkAKAA4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EAbABjAHUAbABhAHQAZQBkACAAZgByAG8AbQAgADUALgAxAC4AMQAuADIAIAAoADEAKQAoADIAKQAoADMAKQ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YwBcACIALABcACIAQwByAG8AcAAgAHQAeQBwAGU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CAAXAAiAGsAZwBcACIALAAgAFwAIgBJAG4AcAB1AHQAXAAiADsAXABuACAAIAAgACAAIAAgACAAIAAgACAAXAAiAEYATgBfAGkAbgBvAHIAZwBhAG4AaQBjAGYAXAAiACwAXAAiAGYAcgBhAGMAdABpAG8AbgAgAG8AZgAgAG4AaQB0AHIAbwBnAGUAbgAgAGkAbgAgAGkAbgBvAHIAZwBhAG4AaQBjACAAZgBlAHIAdABpAGwAaQBzAGUAcgAgAHQAeQBwAGUAIABmACAAXAAiACwAIABcACIAawBnACAATgAvAGsAZw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gBfAF8AMQBfAEUAbQBpAHMAcwBpAG8AbgBGAGEAYwB0AG8AcgBJAHIAcgBpAGcAYQB0AGUAZABNAGEAaQB6AGUAXABuAEUAbQBpAHMAcwBpAG8AbgAgAGYAYQBjAHQAbwByACAAZgBvAHIAIABuAGkAdAByAG8AdQBzACAAbwB4AGkAZABlACAAZgBvAHIAIABpAHIAcgBpAGcAYQB0AGUAZAAgAG0AYQBpAHoAZQBcAG4ARQBGAF8AZgBqAEkAcgByAGkAZwBhAHQAZQBkAE0AYQBpAHoAZQBOADIATwBcAG4AawBnACAATgAyAE8ALQBOAC8AawBnACAATgAgAGEAcABwAGwAaQBlAGQAXABuAEUARgBfAHsAZgBqAD0AaQByAHIAaQBnAGEAdABlAGQAbQBhAGkAegBlACwATgAyAE8AfQA9ACgALQAwAC4AMQA0ADcANAArACgAMAAuADAAMAA2ADEAXABcAHQAaQBtAGUAcwAgAE4AXwB7AGYAagA9AGkAcgByAGkAZwBhAHQAZQBkAG0AYQBpAHoAZQB9ACkAKQBcAFwAdABpAG0AZQBzACAAMQAwAF4AewAtADIAfQBcAG4ATgBfAGYAagBJAHIAcgBpAGcAYQB0AGUAZABNAGEAaQB6AGUAXABuAGYAXABuAC0ALQAtAC0ALQAtAC0ALQAtAC0ALQAtAC0ALQAtAC0ALQAtAC0ALQAtAC0ALQAtAC0ALQAtAC0ALQAtAC0ALQAtAC0ALQAtAC0ALQBcAG4AKgAvAFwAbgBcAG4AVgBFAEUAUgBHAF8ANQBfADEAXwAxAF8AMgBfAF8AMQBfAEUAbQBpAHMAcwBpAG8AbgBGAGEAYwB0AG8AcgBJAHIAcgBpAGcAYQB0AGUAZABNAGEAaQB6AGUAXABuACAAIAA9AEwAQQBNAEIARABBACgAXABuACAAIAAgACAATgBfAGYAagBJAHIAcgBpAGcAYQB0AGUAZABNAGEAaQB6AGUALABcAG4AIAAgACAAIAAoAC0AMAAuADEANAA3ADQAIAArACAAKAAwAC4AMAAwADYAMQAgACoAIABOAF8AZgBqAEkAcgByAGkAZwBhAHQAZQBkAE0AYQBpAHoAZQApACkAIAAqACAAMQAwACAAXgAgAC0AMgBcAG4AIAAgACkAOwBcAG4AXABuAFYARQBFAFIARwBfADUAXwAxAF8AMQBfADIAXwBfADEAXwBFAG0AaQBzAHMAaQBvAG4ARgBhAGMAdABvAHIASQByAHIAaQBnAGEAdABlAGQATQBhAGkAegBlAF8AVABpAHQAbABlAFwAbgAgACAAPQBMAEEATQBCAEQAQQAoAFwAIgBFAG0AaQBzAHMAaQBvAG4AIABmAGEAYwB0AG8AcgAgAGYAbwByACAAbgBpAHQAcgBvAHUAcwAgAG8AeABpAGQAZQAgAGYAbwByACAAaQByAHIAaQBnAGEAdABlAGQAIABtAGEAaQB6AGUAXAAiACkAOwBcAG4AXABuAFYARQBFAFIARwBfADUAXwAxAF8AMQBfADIAXwBfADEAXwBFAG0AaQBzAHMAaQBvAG4ARgBhAGMAdABvAHIASQByAHIAaQBnAGEAdABlAGQATQBhAGkAegBlAF8AVgBhAHIAaQBhAGIAbABlAFwAbgAgACAAPQBMAEEATQBCAEQAQQAoAFwAIgBFAEYAXwBmAGoASQByAHIAaQBnAGEAdABlAGQATQBhAGkAegBlAE4AMgBPAFwAIgApADsAXABuAFwAbgBWAEUARQBSAEcAXwA1AF8AMQBfADEAXwAyAF8AXwAxAF8ARQBtAGkAcwBzAGkAbwBuAEYAYQBjAHQAbwByAEkAcgByAGkAZwBhAHQAZQBkAE0AYQBpAHoAZQBfAFUAbgBpAHQAXABuACAAIAA9AEwAQQBNAEIARABBACgAXAAiAGsAZwAgAE4AMgBPAC0ATgAvAGsAZwAgAE4AIABhAHAAcABsAGkAZQBkAFwAIgApADsAXABuAFwAbgBWAEUARQBSAEcAXwA1AF8AMQBfADEAXwAyAF8AXwAxAF8ARQBtAGkAcwBzAGkAbwBuAEYAYQBjAHQAbwByAEkAcgByAGkAZwBhAHQAZQBkAE0AYQBpAHoAZQBfAFMAbwB1AHIAYwBlAFwAbgAgACAAPQBMAEEATQBCAEQAQQAoAFwAIgBWAEUARQBSAEcAIAAyADAAMgA2ADoAIAA1AC4AMQAuADEALgAyACwAIABFAHEAdQBhAHQAaQBvAG4AIAAoADEAKQBcACIAKQA7AFwAbgBcAG4AVgBFAEUAUgBHAF8ANQBfADEAXwAxAF8AMgBfAF8AMQBfAEUAbQBpAHMAcwBpAG8AbgBGAGEAYwB0AG8AcgBJAHIAcgBpAGcAYQB0AGUAZABNAGEAaQB6AGUAXwBOAEkAUgBSAGUAZgBlAHIAZQBuAGMAZQBcAG4AIAAgAD0ATABBAE0AQgBEAEEAKABcACIAXAAiACkAOwBcAG4AXABuAFYARQBFAFIARwBfADUAXwAxAF8AMQBfADIAXwBfADEAXwBFAG0AaQBzAHMAaQBvAG4ARgBhAGMAdABvAHIASQByAHIAaQBnAGEAdABlAGQATQBhAGkAegBlAF8ATABhAHQAZQB4AEUAcQB1AGEAdABpAG8AbgBcAG4AIAAgAD0ATABBAE0AQgBEAEEAKABcACIARQBGAF8AewBmAGoAPQBpAHIAcgBpAGcAYQB0AGUAZABtAGEAaQB6AGUALABOADIATwB9AD0AKAAtADAALgAxADQANwA0ACsAKAAwAC4AMAAwADYAMQBcAFwAdABpAG0AZQBzACAATgBfAHsAZgBqAD0AaQByAHIAaQBnAGEAdABlAGQAbQBhAGkAegBlAH0AKQApAFwAXAB0AGkAbQBlAHMAIAAxADAAXgB7AC0AMgB9AFwAIgApADsAXABuAFwAbgBWAEUARQBSAEcAXwA1AF8AMQBfADEAXwAyAF8AXwAxAF8ARQBtAGkAcwBzAGkAbwBuAEYAYQBjAHQAbwByAEkAcgByAGkAZwBhAHQAZQBkAE0AYQBpAHoAZQBfAEEAcgBnAHUAbQBlAG4AdABzAFwAbgAgACAAPQBMAEEATQBCAEQAQQAoAFwAbgAgACAAIAAgAE0AQQBLAEUAQQBSAFIAQQBZACgAMgAsACAANAAsACAAXABuACAAIAAgACAAIAAgAEwAQQBNAEIARABBACgAcgAsAGMALAAgAFwAbgAgACAAIAAgACAAIAAgACAASQBOAEQARQBYACgAewBcAG4AIAAgACAAIAAgACAAIAAgACAAIABcACIATgBfAGYAagBJAHIAcgBpAGcAYQB0AGUAZABNAGEAaQB6AGUAXAAiACwAXAAiAGEAcABwAGwAaQBjAGEAdABpAG8AbgAgAHIAYQB0AGUAIABvAGYAIABpAG4AbwByAGcAYQBuAGkAYwAgAGYAZQByAHQAaQBsAGkAcwBlAHIAIAB0AHkAcABlACAAZgAgAGkAbgAgAHQAaABlACAAaQByAHIAaQBnAGEAdABlAGQAIABtAGEAaQB6AGU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IAXwBFAG0AaQBzAHMAaQBvAG4ARgBhAGMAdABvAHIATgBvAG4ASQByAHIAaQBnAGEAdABlAGQARwByAGEAaQBuAHMASABpAGcAaABSAGEAaQBuAGYAYQBsAGwAXABuAEUAbQBpAHMAcwBpAG8AbgAgAGYAYQBjAHQAbwByACAAZgBvAHIAIABuAGkAdAByAG8AdQBzACAAbwB4AGkAZABlACAAZgBvAHIAIABuAG8AbgAtAGkAcgByAGkAZwBhAHQAZQBkACAAZwByAGEAaQBuAHMAIABpAG4AIABoAGkAZwBoACAAcgBhAGkAbgBmAGEAbABsACAAegBvAG4AZQBcAG4ARQBGAF8AZgBqAE4AbwBuAEkAcgByAGkAZwBhAHQAZQBkAEcAcgBhAGkAbgBzAE4AMgBPAFwAbgBrAGcAIABOADIATwAtAE4ALwBrAGcAIABOACAAYQBwAHAAbABpAGUAZABcAG4ARQBGAF8AewBmAGoAPQBuAG8AbgBpAHIAcgBpAGcAYQB0AGUAZABnAHIAYQBpAG4AcwAsAE4AMgBPAH0APQAoADAALgAwADcAOAAxACsAKAAwAC4AMAAwADcANQBcAFwAdABpAG0AZQBzACAATgBfAHsAZgBqAD0AbgBvAG4AaQByAHIAaQBnAGEAdABlAGQAZwByAGEAaQBuAHMAfQApACkAXABcAHQAaQBtAGUAcwAgADEAMABeAHsALQAyAH0AXABuAE4AXwBmAGoATgBvAG4ASQByAHIAaQBnAGEAdABlAGQARwByAGEAaQBuAHMAXABuAGYAXABuAC0ALQAtAC0ALQAtAC0ALQAtAC0ALQAtAC0ALQAtAC0ALQAtAC0ALQAtAC0ALQAtAC0ALQAtAC0ALQAtAC0ALQAtAC0ALQAtAC0ALQBcAG4AKgAvAFwAbgBcAG4AVgBFAEUAUgBHAF8ANQBfADEAXwAxAF8AMgBfAF8AMgBfAEUAbQBpAHMAcwBpAG8AbgBGAGEAYwB0AG8AcgBOAG8AbgBJAHIAcgBpAGcAYQB0AGUAZABHAHIAYQBpAG4AcwBIAGkAZwBoAFIAYQBpAG4AZgBhAGwAbABcAG4AIAAgAD0ATABBAE0AQgBEAEEAKABcAG4AIAAgACAAIABOAF8AZgBqAE4AbwBuAEkAcgByAGkAZwBhAHQAZQBkAEcAcgBhAGkAbgBzACwAXABuACAAIAAgACAAKAAwAC4AMAA3ADgAMQAgACsAIAAoADAALgAwADAANwA1ACAAKgAgAE4AXwBmAGoATgBvAG4ASQByAHIAaQBnAGEAdABlAGQARwByAGEAaQBuAHMAKQApACAAKgAgADEAMAAgAF4AIAAtADIAXABuACAAIAApADsAXABuAFwAbgBWAEUARQBSAEcAXwA1AF8AMQBfADEAXwAyAF8AXwAyAF8ARQBtAGkAcwBzAGkAbwBuAEYAYQBjAHQAbwByAE4AbwBuAEkAcgByAGkAZwBhAHQAZQBkAEcAcgBhAGkAbgBzAEgAaQBnAGgAUgBhAGkAbgBmAGEAbABsAF8AVABpAHQAbABlAFwAbgAgACAAPQBMAEEATQBCAEQAQQAoAFwAIgBFAG0AaQBzAHMAaQBvAG4AIABmAGEAYwB0AG8AcgAgAGYAbwByACAAbgBpAHQAcgBvAHUAcwAgAG8AeABpAGQAZQAgAGYAbwByACAAbgBvAG4ALQBpAHIAcgBpAGcAYQB0AGUAZAAgAGcAcgBhAGkAbgBzACAAaQBuACAAaABpAGcAaAAgAHIAYQBpAG4AZgBhAGwAbAAgAHoAbwBuAGUAXAAiACkAOwBcAG4AXABuAFYARQBFAFIARwBfADUAXwAxAF8AMQBfADIAXwBfADIAXwBFAG0AaQBzAHMAaQBvAG4ARgBhAGMAdABvAHIATgBvAG4ASQByAHIAaQBnAGEAdABlAGQARwByAGEAaQBuAHMASABpAGcAaABSAGEAaQBuAGYAYQBsAGwAXwBWAGEAcgBpAGEAYgBsAGUAXABuACAAIAA9AEwAQQBNAEIARABBACgAXAAiAEUARgBfAGYAagBOAG8AbgBJAHIAcgBpAGcAYQB0AGUAZABHAHIAYQBpAG4AcwBOADIATwBcACIAKQA7AFwAbgBcAG4AVgBFAEUAUgBHAF8ANQBfADEAXwAxAF8AMgBfAF8AMgBfAEUAbQBpAHMAcwBpAG8AbgBGAGEAYwB0AG8AcgBOAG8AbgBJAHIAcgBpAGcAYQB0AGUAZABHAHIAYQBpAG4AcwBIAGkAZwBoAFIAYQBpAG4AZgBhAGwAbABfAFUAbgBpAHQAXABuACAAIAA9AEwAQQBNAEIARABBACgAXAAiAGsAZwAgAE4AMgBPAC0ATgAvAGsAZwAgAE4AIABhAHAAcABsAGkAZQBkAFwAIgApADsAXABuAFwAbgBWAEUARQBSAEcAXwA1AF8AMQBfADEAXwAyAF8AXwAyAF8ARQBtAGkAcwBzAGkAbwBuAEYAYQBjAHQAbwByAE4AbwBuAEkAcgByAGkAZwBhAHQAZQBkAEcAcgBhAGkAbgBzAEgAaQBnAGgAUgBhAGkAbgBmAGEAbABsAF8AUwBvAHUAcgBjAGUAXABuACAAIAA9AEwAQQBNAEIARABBACgAXAAiAFYARQBFAFIARwAgADIAMAAyADYAOgAgADUALgAxAC4AMQAuADIALAAgAEUAcQB1AGEAdABpAG8AbgAgACgAMgApAFwAIgApADsAXABuAFwAbgBWAEUARQBSAEcAXwA1AF8AMQBfADEAXwAyAF8AXwAyAF8ARQBtAGkAcwBzAGkAbwBuAEYAYQBjAHQAbwByAE4AbwBuAEkAcgByAGkAZwBhAHQAZQBkAEcAcgBhAGkAbgBzAEgAaQBnAGgAUgBhAGkAbgBmAGEAbABsAF8ATgBJAFIAUgBlAGYAZQByAGUAbgBjAGUAXABuACAAIAA9AEwAQQBNAEIARABBACgAXAAiAFwAIgApADsAXABuAFwAbgBWAEUARQBSAEcAXwA1AF8AMQBfADEAXwAyAF8AXwAyAF8ARQBtAGkAcwBzAGkAbwBuAEYAYQBjAHQAbwByAE4AbwBuAEkAcgByAGkAZwBhAHQAZQBkAEcAcgBhAGkAbgBzAEgAaQBnAGgAUgBhAGkAbgBmAGEAbABsAF8ATABhAHQAZQB4AEUAcQB1AGEAdABpAG8AbgBcAG4AIAAgAD0ATABBAE0AQgBEAEEAKABcACIARQBGAF8AewBmAGoAPQBuAG8AbgBpAHIAcgBpAGcAYQB0AGUAZABnAHIAYQBpAG4AcwAsAE4AMgBPAH0APQAoADAALgAwADcAOAAxACsAKAAwAC4AMAAwADcANQBcAFwAdABpAG0AZQBzACAATgBfAHsAZgBqAD0AbgBvAG4AaQByAHIAaQBnAGEAdABlAGQAZwByAGEAaQBuAHMAfQApACkAXABcAHQAaQBtAGUAcwAgADEAMABeAHsALQAyAH0AXAAiACkAOwBcAG4AXABuAFYARQBFAFIARwBfADUAXwAxAF8AMQBfADIAXwBfADIAXwBFAG0AaQBzAHMAaQBvAG4ARgBhAGMAdABvAHIATgBvAG4ASQByAHIAaQBnAGEAdABlAGQARwByAGEAaQBuAHMASABpAGcAaABSAGEAaQBuAGYAYQBsAGwAXwBBAHIAZwB1AG0AZQBuAHQAcwBcAG4AIAAgAD0ATABBAE0AQgBEAEEAKABcAG4AIAAgACAAIABNAEEASwBFAEEAUgBSAEEAWQAoADIALAAgADQALAAgAFwAbgAgACAAIAAgACAAIABMAEEATQBCAEQAQQAoAHIALABjACwAIABcAG4AIAAgACAAIAAgACAAIAAgAEkATgBEAEUAWAAoAHsAXABuACAAIAAgACAAIAAgACAAIAAgACAAXAAiAE4AXwBmAGoATgBvAG4ASQByAHIAaQBnAGEAdABlAGQARwByAGEAaQBuAHMAXAAiACwAXAAiAGEAcABwAGwAaQBjAGEAdABpAG8AbgAgAHIAYQB0AGUAIABvAGYAIABpAG4AbwByAGcAYQBuAGkAYwAgAGYAZQByAHQAaQBsAGkAcwBlAHIAIAB0AHkAcABlACAAZgAgAGkAbgAgAHQAaABlACAAZwByAGEAaQBuAHM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MAXwBFAG0AaQBzAHMAaQBvAG4ARgBhAGMAdABvAHIAQwBvAHQAdABvAG4AXABuAEUAbQBpAHMAcwBpAG8AbgAgAGYAYQBjAHQAbwByACAAZgBvAHIAIABuAGkAdAByAG8AdQBzACAAbwB4AGkAZABlACAAZgBvAHIAIABjAG8AdAB0AG8AbgBcAG4ARQBGAF8AZgBqAEMAbwB0AHQAbwBuAE4AMgBPAFwAbgBrAGcAIABOADIATwAtAE4ALwBrAGcAIABOACAAYQBwAHAAbABpAGUAZABcAG4ARQBGAF8AewBmAGoAPQBjAG8AdAB0AG8AbgAsAE4AMgBPAH0APQBcAFwAbQBpAG4AXABcAGwAZQBmAHQAKAAoADAALgAwADEAXABcAHQAaQBtAGUAcwAoADAALgAyADkAKwAwAC4AMAAwADcAXABcAHQAaQBtAGUAcwAoACgAZQBeAHsAKAAwAC4AMAAzADcAXABcAHQAaQBtAGUAcwAgAE4AXwB7AGYAagA9AGMAbwB0AHQAbwBuAH0AKQB9AC0AMQApAC8ATgBfAHsAZgBqAD0AYwBvAHQAdABvAG4AfQApACkAKQBcAFwAdABpAG0AZQBzACAAMQAwAF4AewAtADIAfQAsADAALgAwADEAOAAzAFwAXAByAGkAZwBoAHQAKQBcAG4ATgBfAGYAagBDAG8AdAB0AG8AbgBcAG4AZgBcAG4ALQAtAC0ALQAtAC0ALQAtAC0ALQAtAC0ALQAtAC0ALQAtAC0ALQAtAC0ALQAtAC0ALQAtAC0ALQAtAC0ALQAtAC0ALQAtAC0ALQAtAFwAbgAqAC8AXABuAFwAbgBWAEUARQBSAEcAXwA1AF8AMQBfADEAXwAyAF8AXwAzAF8ARQBtAGkAcwBzAGkAbwBuAEYAYQBjAHQAbwByAEMAbwB0AHQAbwBuAFwAbgAgACAAPQBMAEEATQBCAEQAQQAoAFwAbgAgACAAIAAgAE4AXwBmAGoAQwBvAHQAdABvAG4ALABcAG4AIAAgACAAIAAoADAALgAwADEAIAAqACAAKAAwAC4AMgA5ACAAKwAgACgAIAAgACgAMAAuADAAMAA3ACAAKgAgACgARQBYAFAAKAAwAC4AMAAzADcAIAAqACAATgBfAGYAagBDAG8AdAB0AG8AbgApACAALQAgADEAKQApACAALwAgAE4AXwBmAGoAQwBvAHQAdABvAG4AIAAgACkAIAApACkAIAAqACAAMQAwACAAXgAgAC0AMgBcAG4AIAAgACkAOwBcAG4AXABuAFYARQBFAFIARwBfADUAXwAxAF8AMQBfADIAXwBfADMAXwBFAG0AaQBzAHMAaQBvAG4ARgBhAGMAdABvAHIAQwBvAHQAdABvAG4AXwBUAGkAdABsAGUAXABuACAAIAA9AEwAQQBNAEIARABBACgAXAAiAEUAbQBpAHMAcwBpAG8AbgAgAGYAYQBjAHQAbwByACAAZgBvAHIAIABuAGkAdAByAG8AdQBzACAAbwB4AGkAZABlACAAZgBvAHIAIABjAG8AdAB0AG8AbgBcACIAKQA7AFwAbgBcAG4AVgBFAEUAUgBHAF8ANQBfADEAXwAxAF8AMgBfAF8AMwBfAEUAbQBpAHMAcwBpAG8AbgBGAGEAYwB0AG8AcgBDAG8AdAB0AG8AbgBfAFYAYQByAGkAYQBiAGwAZQBcAG4AIAAgAD0ATABBAE0AQgBEAEEAKABcACIARQBGAF8AZgBqAEMAbwB0AHQAbwBuAE4AMgBPAFwAIgApADsAXABuAFwAbgBWAEUARQBSAEcAXwA1AF8AMQBfADEAXwAyAF8AXwAzAF8ARQBtAGkAcwBzAGkAbwBuAEYAYQBjAHQAbwByAEMAbwB0AHQAbwBuAF8AVQBuAGkAdABcAG4AIAAgAD0ATABBAE0AQgBEAEEAKABcACIAawBnACAATgAyAE8ALQBOAC8AawBnACAATgAgAGEAcABwAGwAaQBlAGQAXAAiACkAOwBcAG4AXABuAFYARQBFAFIARwBfADUAXwAxAF8AMQBfADIAXwBfADMAXwBFAG0AaQBzAHMAaQBvAG4ARgBhAGMAdABvAHIAQwBvAHQAdABvAG4AXwBTAG8AdQByAGMAZQBcAG4AIAAgAD0ATABBAE0AQgBEAEEAKABcACIAVgBFAEUAUgBHACAAMgAwADIANgA6ACAANQAuADEALgAxAC4AMgAsACAARQBxAHUAYQB0AGkAbwBuACAAKAAzACkAXAAiACkAOwBcAG4AXABuAFYARQBFAFIARwBfADUAXwAxAF8AMQBfADIAXwBfADMAXwBFAG0AaQBzAHMAaQBvAG4ARgBhAGMAdABvAHIAQwBvAHQAdABvAG4AXwBOAEkAUgBSAGUAZgBlAHIAZQBuAGMAZQBcAG4AIAAgAD0ATABBAE0AQgBEAEEAKABcACIAXAAiACkAOwBcAG4AXABuAFYARQBFAFIARwBfADUAXwAxAF8AMQBfADIAXwBfADMAXwBFAG0AaQBzAHMAaQBvAG4ARgBhAGMAdABvAHIAQwBvAHQAdABvAG4AXwBMAGEAdABlAHgARQBxAHUAYQB0AGkAbwBuAFwAbgAgACAAPQBMAEEATQBCAEQAQQAoAFwAIgBFAEYAXwB7AGYAagA9AGMAbwB0AHQAbwBuACwATgAyAE8AfQA9ACgAMAAuADAAMQAgAFwAXAB0AGkAbQBlAHMAIAAoADAALgAyADkAIAArACAAXABcAGYAcgBhAGMAewAwAC4AMAAwADcAKABlAF4AewAwAC4AMAAzADcAIABcAFwAdABpAG0AZQBzACAATgBfAHsAZgBqAD0AYwBvAHQAdABvAG4AfQB9AC0AMQApAH0AewBOAF8AewBmAGoAPQBjAG8AdAB0AG8AbgB9AH0AKQApACAAXABcAHQAaQBtAGUAcwAgADEAMABeAHsALQAyAH0AXABuAFwAIgApADsAXABuAFwAbgBWAEUARQBSAEcAXwA1AF8AMQBfADEAXwAyAF8AXwAzAF8ARQBtAGkAcwBzAGkAbwBuAEYAYQBjAHQAbwByAEMAbwB0AHQAbwBuAF8AQQByAGcAdQBtAGUAbgB0AHMAXABuACAAIAA9AEwAQQBNAEIARABBACgAXABuACAAIAAgACAATQBBAEsARQBBAFIAUgBBAFkAKAAyACwAIAA0ACwAIABcAG4AIAAgACAAIAAgACAATABBAE0AQgBEAEEAKAByACwAYwAsACAAXABuACAAIAAgACAAIAAgACAAIABJAE4ARABFAFgAKAB7AFwAbgAgACAAIAAgACAAIAAgACAAIAAgAFwAIgBOAF8AZgBqAEMAbwB0AHQAbwBuAFwAIgAsAFwAIgBhAHAAcABsAGkAYwBhAHQAaQBvAG4AIAByAGEAdABlACAAbwBmACAAaQBuAG8AcgBnAGEAbgBpAGMAIABmAGUAcgB0AGkAbABpAHMAZQByACAAdAB5AHAAZQAgAGYAIABpAG4AIAB0AGgAZQAgAGMAbwB0AHQAbwBu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kAbgBvAHIAZwBhAG4AaQBjAEMATwAy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zAF8AXwAxAF8ASQBuAG8AcgBnAGEAbgBpAGMARgBlAHIAdABpAGwAaQBzAGUAcgBBAHAAcABsAGkAYwBhAHQAaQBvAG4AQwBPADIARQBtAGkAcwBzAGkAbwBuAHMAXABuAEMAYQByAGIAbwBuACAAZABpAG8AeABpAGQAZQAgAGUAbQBpAHMAcwBpAG8AbgBzACAAcgBlAHMAdQBsAHQAaQBuAGcAIABmAHIAbwBtACAAdABoAGUAIAB1AHMAZQAgAG8AZgAgAGEAbABsACAAaQBuAG8AcgBnAGEAbgBpAGMALAAgAHUAcgBlAGEALQBiAGEAcwBlAGQAIABmAGUAcgB0AGkAbABpAHMAZQByAHMAXABuAEUAXwBDAE8AMgBcAG4AdAAgAEMATwAyAFwAbgBFAF8AewBDAE8AMgB9AD0AXABcAHMAdQBtAF8AewBqAH0AXABcAHMAdQBtAF8AewBmAH0AKAAoAE0AVQBfAHsAagBmAH0AXABcAHQAaQBtAGUAcwAgAEUARgBfAHsAdQByAGUAYQAsAEMATwAyAH0AXABcAHQAaQBtAGUAcwAgAEMAXwB7AEMATwAyAH0AKQBcAFwAdABpAG0AZQBzACAAMQAwAF4AewAtADMAfQApAFwAbgBNAFUAXwBqAGYAXABuAEUARgBfAHUAcgBlAGEAQwBPADIAXABuAEMAXwBDAE8AMgBcAG4AagBcAG4AZgBcAG4ALQAtAC0ALQAtAC0ALQAtAC0ALQAtAC0ALQAtAC0ALQAtAC0ALQAtAC0ALQAtAC0ALQAtAC0ALQAtAC0ALQAtAC0ALQAtAC0ALQAtAFwAbgAqAC8AXABuAFwAbgBWAEUARQBSAEcAXwA1AF8AMQBfADEAXwAzAF8AXwAxAF8ASQBuAG8AcgBnAGEAbgBpAGMARgBlAHIAdABpAGwAaQBzAGUAcgBBAHAAcABsAGkAYwBhAHQAaQBvAG4AQwBPADIARQBtAGkAcwBzAGkAbwBuAHMAXABuACAAIAA9AEwAQQBNAEIARABBACgAXABuACAAIAAgACAATQBVAF8AagBmACwAIABFAEYAXwB1AHIAZQBhAEMATwAyACwAIABDAF8AQwBPADIALABcAG4AIAAgACAAIAAoAE0AVQBfAGoAZgAgACoAIABFAEYAXwB1AHIAZQBhAEMATwAyACAAKgAgAEMAXwBDAE8AMgApACAAKgAgADEAMAAgAF4AIAAtADMAXABuACAAIAApADsAXABuAFwAbgBWAEUARQBSAEcAXwA1AF8AMQBfADEAXwAzAF8AXwAxAF8ASQBuAG8AcgBnAGEAbgBpAGMARgBlAHIAdABpAGwAaQBzAGUAcgBBAHAAcABsAGkAYwBhAHQAaQBvAG4AQwBPADIARQBtAGkAcwBzAGkAbwBuAHMAXwBUAGkAdABsAGUAXABuACAAIAA9AEwAQQBNAEIARABBACgAXAAiAEMAYQByAGIAbwBuACAAZABpAG8AeABpAGQAZQAgAGUAbQBpAHMAcwBpAG8AbgBzACAAcgBlAHMAdQBsAHQAaQBuAGcAIABmAHIAbwBtACAAdABoAGUAIAB1AHMAZQAgAG8AZgAgAGEAbABsACAAaQBuAG8AcgBnAGEAbgBpAGMALAAgAHUAcgBlAGEALQBiAGEAcwBlAGQAIABmAGUAcgB0AGkAbABpAHMAZQByAHMAXAAiACkAOwBcAG4AXABuAFYARQBFAFIARwBfADUAXwAxAF8AMQBfADMAXwBfADEAXwBJAG4AbwByAGcAYQBuAGkAYwBGAGUAcgB0AGkAbABpAHMAZQByAEEAcABwAGwAaQBjAGEAdABpAG8AbgBDAE8AMgBFAG0AaQBzAHMAaQBvAG4AcwBfAFYAYQByAGkAYQBiAGwAZQBcAG4AIAAgAD0ATABBAE0AQgBEAEEAKABcACIARQBfAEMATwAyAFwAIgApADsAXABuAFwAbgBWAEUARQBSAEcAXwA1AF8AMQBfADEAXwAzAF8AXwAxAF8ASQBuAG8AcgBnAGEAbgBpAGMARgBlAHIAdABpAGwAaQBzAGUAcgBBAHAAcABsAGkAYwBhAHQAaQBvAG4AQwBPADIARQBtAGkAcwBzAGkAbwBuAHMAXwBVAG4AaQB0AFwAbgAgACAAPQBMAEEATQBCAEQAQQAoAFwAIgB0ACAAQwBPADIAXAAiACkAOwBcAG4AXABuAFYARQBFAFIARwBfADUAXwAxAF8AMQBfADMAXwBfADEAXwBJAG4AbwByAGcAYQBuAGkAYwBGAGUAcgB0AGkAbABpAHMAZQByAEEAcABwAGwAaQBjAGEAdABpAG8AbgBDAE8AMgBFAG0AaQBzAHMAaQBvAG4AcwBfAFMAbwB1AHIAYwBlAFwAbgAgACAAPQBMAEEATQBCAEQAQQAoAFwAIgBWAEUARQBSAEcAIAAyADAAMgA2ADoAIAA1AC4AMQAuADEALgAzACwAIABFAHEAdQBhAHQAaQBvAG4AIAAoADEAKQBcACIAKQA7AFwAbgBcAG4AVgBFAEUAUgBHAF8ANQBfADEAXwAxAF8AMwBfAF8AMQBfAEkAbgBvAHIAZwBhAG4AaQBjAEYAZQByAHQAaQBsAGkAcwBlAHIAQQBwAHAAbABpAGMAYQB0AGkAbwBuAEMATwAyAEUAbQBpAHMAcwBpAG8AbgBzAF8ATgBJAFIAUgBlAGYAZQByAGUAbgBjAGUAXABuACAAIAA9AEwAQQBNAEIARABBACgAXAAiAFwAIgApADsAXABuAFwAbgBWAEUARQBSAEcAXwA1AF8AMQBfADEAXwAzAF8AXwAxAF8ASQBuAG8AcgBnAGEAbgBpAGMARgBlAHIAdABpAGwAaQBzAGUAcgBBAHAAcABsAGkAYwBhAHQAaQBvAG4AQwBPADIARQBtAGkAcwBzAGkAbwBuAHMAXwBMAGEAdABlAHgARQBxAHUAYQB0AGkAbwBuAFwAbgAgACAAPQBMAEEATQBCAEQAQQAoAFwAIgBFAF8AewBDAE8AMgB9AD0AXABcAHMAdQBtAF8AewBqAH0AXABcAHMAdQBtAF8AewBmAH0AKAAoAE0AVQBfAHsAagBmAH0AXABcAHQAaQBtAGUAcwAgAEUARgBfAHsAdQByAGUAYQAsAEMATwAyAH0AXABcAHQAaQBtAGUAcwAgAEMAXwB7AEMATwAyAH0AKQBcAFwAdABpAG0AZQBzACAAMQAwAF4AewAtADMAfQApAFwAIgApADsAXABuAFwAbgBWAEUARQBSAEcAXwA1AF8AMQBfADEAXwAzAF8AXwAxAF8ASQBuAG8AcgBnAGEAbgBpAGMARgBlAHIAdABpAGwAaQBzAGUAcgBBAHAAcABsAGkAYwBhAHQAaQBvAG4AQwBPADI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VQBfAGoAZgBcACIALABcACIAbQBhAHMAcwAgAG8AZgAgAHUAcgBlAGEAIABvAGYAIABpAG4AbwByAGcAYQBuAGkAYwAgAGYAZQByAHQAaQBsAGkAcwBlAHIAIAB0AHkAcABlACAAZgAgAGEAcABwAGwAaQBlAGQAIAB0AG8AIABwAHIAbwBkAHUAYwB0AGkAbwBuACAAcwB5AHMAdABlAG0AIABqAFwAIgAsACAAXAAiAGsAZwAgAHUAcgBlAGEAXAAiACwAIABcACIAQwBhAGwAYwB1AGwAYQB0AGUAZABcACIAOwBcAG4AIAAgACAAIAAgACAAIAAgACAAIABcACIARQBGAF8AdQByAGUAYQBDAE8AMgBcACIALABcACIAZQBtAGkAcwBzAGkAbwBuACAAZgBhAGMAdABvAHIAIABmAG8AcgAgAGMAYQByAGIAbwBuACAAZQBtAGkAcwBzAGkAbwBuAHMAIABmAHIAbwBtACAAdQByAGUAYQAtAGIAYQBzAGUAZAAgAGYAZQByAHQAaQBsAGkAcwBlAHIAcwBcACIALAAgAFwAIgBrAGcAIABDAC8AawBnACAAdQByAGUAYQBcACIALAAgAFwAIgBDAG8AbgBzAHQAYQBuAHQAXAAiADsAXABuACAAIAAgACAAIAAgACAAIAAgACAAXAAiAEMAXwBDAE8AMgBcACIALABcACIAZgBhAGMAdABvAHIAIAB0AG8AIABjAG8AbgB2AGUAcgB0ACAAZQBsAGUAbQBlAG4AdABhAGwAIABtAGEAcwBzACAAbwBmACAAYwBhAHIAYgBvAG4AIAB0AG8AIABtAG8AbABlAGMAdQBsAGEAcgAgAG0AYQBzAHMAIABvAGYAIABjAGEAcgBiAG8AbgAgAGQAaQBvAHgAaQBkAGU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wAbwBvAGsAdQBw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gBfAE0AYQBzAHMATwBmAFUAcgBlAGEASQBuAEkAbgBvAHIAZwBhAG4AaQBjAEYAZQByAHQAaQBsAGkAcwBlAHIAXABuAE0AYQBzAHMAIABvAGYAIAB1AHIAZQBhACAAYQBwAHAAbABpAGUAZAAgAHQAbwAgAHAAcgBvAGQAdQBjAHQAaQBvAG4AIABzAHkAcwB0AGUAbQBcAG4ATQBVAF8AagBmAFwAbgBrAGcAIAB1AHIAZQBhAFwAbgB7AE0AVQB9AF8AewBqAGYAfQA9AFQATQBfAHsAagBmAH0AXABcAHQAaQBtAGUAcwAgAEYAVQBfAGYAXABuAFQATQBfAGoAZgBcAG4ARgBVAF8AZgBcAG4AagBcAG4AZgBcAG4ALQAtAC0ALQAtAC0ALQAtAC0ALQAtAC0ALQAtAC0ALQAtAC0ALQAtAC0ALQAtAC0ALQAtAC0ALQAtAC0ALQAtAC0ALQAtAC0ALQAtAFwAbgAqAC8AXABuAFwAbgBWAEUARQBSAEcAXwA1AF8AMQBfADEAXwAzAF8AXwAyAF8ATQBhAHMAcwBPAGYAVQByAGUAYQBJAG4ASQBuAG8AcgBnAGEAbgBpAGMARgBlAHIAdABpAGwAaQBzAGUAcgBcAG4AIAAgAD0ATABBAE0AQgBEAEEAKABcAG4AIAAgACAAIABUAE0AXwBqAGYALAAgAEYAVQBfAGYALABcAG4AIAAgACAAIABUAE0AXwBqAGYAIAAqACAARgBVAF8AZgBcAG4AIAAgACkAOwBcAG4AXABuAFYARQBFAFIARwBfADUAXwAxAF8AMQBfADMAXwBfADIAXwBNAGEAcwBzAE8AZgBVAHIAZQBhAEkAbgBJAG4AbwByAGcAYQBuAGkAYwBGAGUAcgB0AGkAbABpAHMAZQByAF8AVABpAHQAbABlAFwAbgAgACAAPQBMAEEATQBCAEQAQQAoAFwAIgBNAGEAcwBzACAAbwBmACAAdQByAGUAYQAgAGEAcABwAGwAaQBlAGQAIAB0AG8AIABwAHIAbwBkAHUAYwB0AGkAbwBuACAAcwB5AHMAdABlAG0AXAAiACkAOwBcAG4AXABuAFYARQBFAFIARwBfADUAXwAxAF8AMQBfADMAXwBfADIAXwBNAGEAcwBzAE8AZgBVAHIAZQBhAEkAbgBJAG4AbwByAGcAYQBuAGkAYwBGAGUAcgB0AGkAbABpAHMAZQByAF8AVgBhAHIAaQBhAGIAbABlAFwAbgAgACAAPQBMAEEATQBCAEQAQQAoAFwAIgBNAFUAXwBqAGYAXAAiACkAOwBcAG4AXABuAFYARQBFAFIARwBfADUAXwAxAF8AMQBfADMAXwBfADIAXwBNAGEAcwBzAE8AZgBVAHIAZQBhAEkAbgBJAG4AbwByAGcAYQBuAGkAYwBGAGUAcgB0AGkAbABpAHMAZQByAF8AVQBuAGkAdABcAG4AIAAgAD0ATABBAE0AQgBEAEEAKABcACIAawBnACAAdQByAGUAYQBcACIAKQA7AFwAbgBcAG4AVgBFAEUAUgBHAF8ANQBfADEAXwAxAF8AMwBfAF8AMgBfAE0AYQBzAHMATwBmAFUAcgBlAGEASQBuAEkAbgBvAHIAZwBhAG4AaQBjAEYAZQByAHQAaQBsAGkAcwBlAHIAXwBTAG8AdQByAGMAZQBcAG4AIAAgAD0ATABBAE0AQgBEAEEAKABcACIAVgBFAEUAUgBHACAAMgAwADIANgA6ACAANQAuADEALgAxAC4AMwAsACAARQBxAHUAYQB0AGkAbwBuACAAKAAyACkAXAAiACkAOwBcAG4AXABuAFYARQBFAFIARwBfADUAXwAxAF8AMQBfADMAXwBfADIAXwBNAGEAcwBzAE8AZgBVAHIAZQBhAEkAbgBJAG4AbwByAGcAYQBuAGkAYwBGAGUAcgB0AGkAbABpAHMAZQByAF8ATgBJAFIAUgBlAGYAZQByAGUAbgBjAGUAXABuACAAIAA9AEwAQQBNAEIARABBACgAXAAiAFwAIgApADsAXABuAFwAbgBWAEUARQBSAEcAXwA1AF8AMQBfADEAXwAzAF8AXwAyAF8ATQBhAHMAcwBPAGYAVQByAGUAYQBJAG4ASQBuAG8AcgBnAGEAbgBpAGMARgBlAHIAdABpAGwAaQBzAGUAcgBfAEwAYQB0AGUAeABFAHEAdQBhAHQAaQBvAG4AXABuACAAIAA9AEwAQQBNAEIARABBACgAXAAiAHsATQBVAH0AXwB7AGoAZgB9AD0AVABNAF8AewBqAGYAfQBcAFwAdABpAG0AZQBzACAARgBVAF8AZgBcACIAKQA7AFwAbgBcAG4AVgBFAEUAUgBHAF8ANQBfADEAXwAxAF8AMwBfAF8AMgBfAE0AYQBzAHMATwBmAFUAcgBlAGE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XAAiAGsAZwBcACIALAAgAFwAIgBJAG4AcAB1AHQAXAAiADsAXABuACAAIAAgACAAIAAgACAAIAAgACAAXAAiAEYAVQBfAGYAXAAiACwAXAAiAGYAcgBhAGMAdABpAG8AbgAgAG8AZgAgAHUAcgBlAGEAIABpAG4AIABmAGUAcgB0AGkAbABpAHMAZQByACAAdAB5AHAAZQAgAGYAXAAiACwAXAAiAGsAZwAgAHUAcgBlAGEALwBrAGcAXAAiACwAIABcACIATABvAG8AawB1AHAAXAAiAFwAbgAgACAAIAAgACAAIAAgACAAfQAsACAAcgAsACAAYwApAFwAbgAgACAAIAAgACAAIAApAFwAbgAgACAAIAAgACkAXABuACAAIAApADs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TABpAG0AZQ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MAIABMAGkAbQBl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zAF8AMQBfADEAXwBfADEAXwBMAGkAbQBlAEEAcABwAGwAaQBjAGEAdABpAG8AbgBDAE8AMgBFAG0AaQBzAHMAaQBvAG4AcwBcAG4ARQBtAGkAcwBzAGkAbwBuAHMAIABmAHIAbwBtACAAdABoAGUAIABhAHAAcABsAGkAYwBhAHQAaQBvAG4AIABvAGYAIABsAGkAbQBlACAAYQBuAGQAIABkAG8AbABvAG0AaQB0AGUAIAB0AG8AIABwAHIAbwBkAHUAYwB0AGkAbwBuACAAcwB5AHMAdABlAG0AcwBcAG4ARQBfAGwAaQBtAGUAXABuAHQAIABDAE8AMgBcAG4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G4ATQBfAGwAaQBtAGUAXABuAEYAcgBhAGMATABpAG0AZQBcAG4AUABfAGwAaQBtAGUAXABuAEUARgBfAGwAaQBtAGUAXABuAEYAcgBhAGMARABvAGwAXABuAFAAXwBkAG8AbABcAG4ARQBGAF8AZABvAGwAXABuAEMAXwBDAE8AMgBcAG4ALQAtAC0ALQAtAC0ALQAtAC0ALQAtAC0ALQAtAC0ALQAtAC0ALQAtAC0ALQAtAC0ALQAtAC0ALQAtAC0ALQAtAC0ALQAtAC0ALQAtAFwAbgAqAC8AXABuAFwAbgBWAEUARQBSAEcAXwA1AF8AMwBfADEAXwAxAF8AXwAxAF8ATABpAG0AZQBBAHAAcABsAGkAYwBhAHQAaQBvAG4AQwBPADIARQBtAGkAcwBzAGkAbwBuAHMAXABuACAAIAA9AEwAQQBNAEIARABBACgAXABuACAAIAAgACAATQBfAGwAaQBtAGUALAAgAEYAcgBhAGMATABpAG0AZQAsACAAUABfAGwAaQBtAGUALAAgAEUARgBfAGwAaQBtAGUALAAgAEYAcgBhAGMARABvAGwALAAgAFAAXwBkAG8AbAAsACAARQBGAF8AZABvAGwALAAgAEMAXwBDAE8AMgAsAFwAbgAgACAAIAAgACgAKABNAF8AbABpAG0AZQAgACoAIABGAHIAYQBjAEwAaQBtAGUAIAAqACAAUABfAGwAaQBtAGUAIAAqACAARQBGAF8AbABpAG0AZQApACAAKwAgACgATQBfAGwAaQBtAGUAIAAqACAARgByAGEAYwBEAG8AbAAgACoAIABQAF8AZABvAGwAIAAqACAARQBGAF8AZABvAGwAKQApACAAKgAgAEMAXwBDAE8AMgAgACoAIAAxADAAIABeACAALQAzAFwAbgAgACAAKQA7AFwAbgBcAG4AVgBFAEUAUgBHAF8ANQBfADMAXwAxAF8AMQBfAF8AMQBfAEwAaQBtAGUAQQBwAHAAbABpAGMAYQB0AGkAbwBuAEMATwAyAEUAbQBpAHMAcwBpAG8AbgBzAF8AVABpAHQAbABlAFwAbgAgACAAPQBMAEEATQBCAEQAQQAoAFwAIgBFAG0AaQBzAHMAaQBvAG4AcwAgAGYAcgBvAG0AIAB0AGgAZQAgAGEAcABwAGwAaQBjAGEAdABpAG8AbgAgAG8AZgAgAGwAaQBtAGUAIABhAG4AZAAgAGQAbwBsAG8AbQBpAHQAZQAgAHQAbwAgAHAAcgBvAGQAdQBjAHQAaQBvAG4AIABzAHkAcwB0AGUAbQBzAFwAIgApADsAXABuAFwAbgBWAEUARQBSAEcAXwA1AF8AMwBfADEAXwAxAF8AXwAxAF8ATABpAG0AZQBBAHAAcABsAGkAYwBhAHQAaQBvAG4AQwBPADIARQBtAGkAcwBzAGkAbwBuAHMAXwBWAGEAcgBpAGEAYgBsAGUAXABuACAAIAA9AEwAQQBNAEIARABBACgAXAAiAEUAXwBsAGkAbQBlAFwAIgApADsAXABuAFwAbgBWAEUARQBSAEcAXwA1AF8AMwBfADEAXwAxAF8AXwAxAF8ATABpAG0AZQBBAHAAcABsAGkAYwBhAHQAaQBvAG4AQwBPADIARQBtAGkAcwBzAGkAbwBuAHMAXwBVAG4AaQB0AFwAbgAgACAAPQBMAEEATQBCAEQAQQAoAFwAIgB0ACAAQwBPADIAXAAiACkAOwBcAG4AXABuAFYARQBFAFIARwBfADUAXwAzAF8AMQBfADEAXwBfADEAXwBMAGkAbQBlAEEAcABwAGwAaQBjAGEAdABpAG8AbgBDAE8AMgBFAG0AaQBzAHMAaQBvAG4AcwBfAFMAbwB1AHIAYwBlAFwAbgAgACAAPQBMAEEATQBCAEQAQQAoAFwAIgBWAEUARQBSAEcAIAAyADAAMgA2ADoAIAA1AC4AMwAuADEALgAxACwAIABFAHEAdQBhAHQAaQBvAG4AIAAoADEAKQBcACIAKQA7AFwAbgBcAG4AVgBFAEUAUgBHAF8ANQBfADMAXwAxAF8AMQBfAF8AMQBfAEwAaQBtAGUAQQBwAHAAbABpAGMAYQB0AGkAbwBuAEMATwAyAEUAbQBpAHMAcwBpAG8AbgBzAF8ATgBJAFIAUgBlAGYAZQByAGUAbgBjAGUAXABuACAAIAA9AEwAQQBNAEIARABBACgAXAAiAFwAIgApADsAXABuAFwAbgBWAEUARQBSAEcAXwA1AF8AMwBfADEAXwAxAF8AXwAxAF8ATABpAG0AZQBBAHAAcABsAGkAYwBhAHQAaQBvAG4AQwBPADIARQBtAGkAcwBzAGkAbwBuAHMAXwBMAGEAdABlAHgARQBxAHUAYQB0AGkAbwBuAFwAbgAgACAAPQBMAEEATQBCAEQAQQAoAFwAI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IgApADsAXABuAFwAbgBWAEUARQBSAEcAXwA1AF8AMwBfADEAXwAxAF8AXwAxAF8ATABpAG0AZQBBAHAAcABsAGkAYwBhAHQAaQBvAG4AQwBPADIARQBtAGkAcwBzAGkAbwBuAHMAXwBBAHIAZwB1AG0AZQBuAHQAcwBcAG4AIAAgAD0ATABBAE0AQgBEAEEAKABcAG4AIAAgACAAIABNAEEASwBFAEEAUgBSAEEAWQAoADgALAAgADQALAAgAFwAbgAgACAAIAAgACAAIABMAEEATQBCAEQAQQAoAHIALABjACwAIABcAG4AIAAgACAAIAAgACAAIAAgAEkATgBEAEUAWAAoAHsAXABuACAAIAAgACAAIAAgACAAIAAgACAAXAAiAE0AXwBsAGkAbQBlAFwAIgAsAFwAIgB0AG8AdABhAGwAIABtAGEAcwBzACAAbwBmACAAbABpAG0AZQAgAGEAcABwAGwAaQBlAGQAIAB0AG8AIABwAHIAbwBkAHUAYwB0AGkAbwBuACAAcwB5AHMAdABlAG0AXAAiACwAIABcACIAawBnAFwAIgAsACAAXAAiAEkAbgBwAHUAdABcACIAOwBcAG4AIAAgACAAIAAgACAAIAAgACAAIABcACIARgByAGEAYwBMAGkAbQBlAFwAIgAsAFwAIgBmAHIAYQBjAHQAaQBvAG4AIABvAGYAIABsAGkAbQBlACAAYQBzACAAbABpAG0AZQBzAHQAbwBuAGUAIAAoAEMAYQBDAE8AMwApAFwAIgAsACAAXAAiAGYAcgBhAGMAdABpAG8AbgBcACIALAAgAFwAIgBJAG4AcAB1AHQAXAAiADsAXABuACAAIAAgACAAIAAgACAAIAAgACAAXAAiAFAAXwBsAGkAbQBlAFwAIgAsAFwAIgBmAHIAYQBjAHQAaQBvAG4AYQBsACAAcAB1AHIAaQB0AHkAIABvAGYAIABsAGkAbQBlAHMAdABvAG4AZQBcACIALAAgAFwAIgBmAHIAYQBjAHQAaQBvAG4AXAAiACwAIABcACIAQwBvAG4AcwB0AGEAbgB0AFwAIgA7AFwAbgAgACAAIAAgACAAIAAgACAAIAAgAFwAIgBFAEYAXwBsAGkAbQBlAFwAIgAsAFwAIgBlAG0AaQBzAHMAaQBvAG4AIABmAGEAYwB0AG8AcgAgAGYAbwByACAAbABpAG0AZQBzAHQAbwBuAGUAIABmAHIAYQBjAHQAaQBvAG4AIABvAGYAIABsAGkAbQBlAFwAIgAsACAAXAAiAGsAZwAgAEMALwBrAGcAXAAiACwAIABcACIAQwBvAG4AcwB0AGEAbgB0AFwAIgA7AFwAbgAgACAAIAAgACAAIAAgACAAIAAgAFwAIgBGAHIAYQBjAEQAbwBsAFwAIgAsAFwAIgBmAHIAYQBjAHQAaQBvAG4AIABvAGYAIABsAGkAbQBlACAAYQBzACAAZABvAGwAbwBtAGkAdABlAFwAIgAsACAAXAAiAGYAcgBhAGMAdABpAG8AbgBcACIALAAgAFwAIgBJAG4AcAB1AHQAXAAiADsAXABuACAAIAAgACAAIAAgACAAIAAgACAAXAAiAFAAXwBkAG8AbABcACIALABcACIAZgByAGEAYwB0AGkAbwBuAGEAbAAgAHAAdQByAGkAdAB5ACAAbwBmACAAZABvAGwAbwBtAGkAdABlAFwAIgAsACAAXAAiAGYAcgBhAGMAdABpAG8AbgBcACIALAAgAFwAIgBDAG8AbgBzAHQAYQBuAHQAXAAiADsAXABuACAAIAAgACAAIAAgACAAIAAgACAAXAAiAEUARgBfAGQAbwBsAFwAIgAsAFwAIgBlAG0AaQBzAHMAaQBvAG4AIABmAGEAYwB0AG8AcgAgAGYAbwByACAAZABvAGwAbwBtAGkAdABlACAAZgByAGEAYwB0AGkAbwBuACAAbwBmACAAbABpAG0AZQBcACIALAAgAFwAIgBrAGcAIABDAC8AawBnAFwAIgAsACAAXAAiAEMAbwBuAHMAdABhAG4AdABcACIAOwBcAG4AIAAgACAAIAAgACAAIAAgACAAIABcACIAQwBfAEMATwAyAFwAIgAsAFwAIgBmAGEAYwB0AG8AcgAgAHQAbwAgAGMAbwBuAHYAZQByAHQAIABlAGwAZQBtAGUAbgB0AGEAbAAgAG0AYQBzAHMAIABvAGYAIABjAGEAcgBiAG8AbgAgAGQAaQBvAHgAaQBkAGUAIAB0AG8AIABtAG8AbABlAGMAdQBsAGEAcgAgAG0AYQBzAHMAXAAiACwAIABcACIAXAAiACwAIABcACIAQwBvAG4AcwB0AGEAbgB0AFwAIgBcAG4AIAAgACAAIAAgACAAIAAgAH0ALAAgAHIALAAgAGMAKQBcAG4AIAAgACAAIAAgACAAKQBcAG4AIAAgACAAIAApAFwAbgAgACAAKQA7AFwAbgBcAG4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45</vt:i4>
      </vt:variant>
    </vt:vector>
  </HeadingPairs>
  <TitlesOfParts>
    <vt:vector size="5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