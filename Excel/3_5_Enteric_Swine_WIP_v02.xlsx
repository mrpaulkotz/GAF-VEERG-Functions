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C438D6E-253E-431A-AE15-E16D960E9FF6}" xr6:coauthVersionLast="47" xr6:coauthVersionMax="47" xr10:uidLastSave="{00000000-0000-0000-0000-000000000000}"/>
  <bookViews>
    <workbookView xWindow="4290" yWindow="4290" windowWidth="28800" windowHeight="15345" firstSheet="2"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2"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1" i="69" l="1"/>
  <c r="G61"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c r="D35" i="112" a="1"/>
  <c r="D34" i="112"/>
  <c r="D34" i="112" a="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49" i="112" l="1"/>
  <c r="H50" i="112"/>
  <c r="H48" i="112"/>
  <c r="H52" i="112"/>
  <c r="H53" i="112"/>
  <c r="H51" i="112"/>
  <c r="H54" i="112"/>
  <c r="Q56" i="69"/>
  <c r="E7" i="69"/>
  <c r="I15" i="69"/>
  <c r="I14" i="69"/>
  <c r="A4" i="13" l="1"/>
  <c r="A92" i="70"/>
  <c r="A46" i="70"/>
  <c r="A117" i="79"/>
  <c r="A63" i="79"/>
  <c r="A266" i="69"/>
  <c r="A231" i="69"/>
  <c r="A213" i="69"/>
  <c r="A186" i="69"/>
  <c r="A110" i="69"/>
  <c r="A70" i="69"/>
  <c r="I13" i="69" a="1"/>
  <c r="I13" i="69" s="1"/>
  <c r="H21" i="69"/>
  <c r="H46" i="69"/>
  <c r="H51" i="69" l="1"/>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6" i="70"/>
  <c r="D7" i="70"/>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P60" i="69" s="1"/>
  <c r="N63" i="69" s="1" a="1"/>
  <c r="N63" i="69" s="1"/>
  <c r="I7" i="13" s="1"/>
  <c r="I8" i="13" s="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E7" i="13" s="1"/>
  <c r="G60" i="69" l="1"/>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<sst xmlns="http://schemas.openxmlformats.org/spreadsheetml/2006/main" count="253" uniqueCount="176">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</sst>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6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4" dataCellStyle="Content normal">
  <autoFilter ref="D78:E82" xr:uid="{E34928EB-73E5-43B2-830B-089F30DA4EF0}">
    <filterColumn colId="0" hiddenButton="1"/>
    <filterColumn colId="1" hiddenButton="1"/>
  </autoFilter>
  <tableColumns count="2">
    <tableColumn id="1" xr3:uid="{CAC8EB28-568F-4E9F-8E36-EBDFF74A58D3}" name="Class" dataDxfId="6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5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A632FB0-D5FB-4763-839C-CCB67102308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D09BC1-068C-4F4B-9FC8-4A4F4ADDBAE8}" name="State/Territory">
      <calculatedColumnFormula array="1">Common_InputFunctions.Utility_DisplayArrayInTable(Common_SourceData.Common_SourceData_AustralianStatesTerritories_Data(),Table_AustralianStates[[#Headers],[State/Territory]],0)</calculatedColumnFormula>
    </tableColumn>
    <tableColumn id="2" xr3:uid="{F8C7EFB0-2C19-4399-9CF3-F70B10F212D0}" name="Common Name">
      <calculatedColumnFormula array="1">Common_InputFunctions.Utility_DisplayArrayInTable(Common_SourceData.Common_SourceData_AustralianStatesTerritories_Data(),Table_AustralianStates[[#Headers],[State/Territory]],0)</calculatedColumnFormula>
    </tableColumn>
    <tableColumn id="3" xr3:uid="{C26361F0-3B85-436D-85B3-8F0F58B4649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2233EFC-6967-4CF9-8EE0-4266DBA85D8E}" name="Table_WASA4Areas" displayName="Table_WASA4Areas" ref="D20:D30" totalsRowShown="0">
  <autoFilter ref="D20:D30" xr:uid="{5FA81339-C6C8-4D36-BEEA-6C4AEDD9E676}">
    <filterColumn colId="0" hiddenButton="1"/>
  </autoFilter>
  <tableColumns count="1">
    <tableColumn id="1" xr3:uid="{7F216CB2-8D70-4953-863C-0E738854BBB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00D972-8842-4FE7-9EAC-C08253F4640F}" name="Table_GWPData" displayName="Table_GWPData" ref="D36:E43" totalsRowShown="0">
  <autoFilter ref="D36:E43" xr:uid="{B8E87A66-3E41-4AD3-925D-01EE21B43D7A}">
    <filterColumn colId="0" hiddenButton="1"/>
    <filterColumn colId="1" hiddenButton="1"/>
  </autoFilter>
  <tableColumns count="2">
    <tableColumn id="1" xr3:uid="{7D6C6A94-0801-45A5-9764-9EEB48FB0AA2}" name="Gas">
      <calculatedColumnFormula array="1">Common_InputFunctions.Utility_DisplayArrayInTable(Common_SourceData.Common_SourceData_GWP_Data(), Table_GWPData[[#Headers],[Gas]], 0)</calculatedColumnFormula>
    </tableColumn>
    <tableColumn id="2" xr3:uid="{A41D568D-98DF-4968-BF1B-0B1D5AB9314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61F4934-4BEC-4EE8-874B-F3207322316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00C4425-5A7B-4040-BD7E-57EC99DC8AC3}" name="Gas">
      <calculatedColumnFormula array="1">Common_InputFunctions.Utility_DisplayArrayInTable(Common_SourceData.Common_SourceData_ConvertGasElementalToMolecular_Data(),Table_GasToMolecularConversionFactor[[#Headers],[Gas]], 0)</calculatedColumnFormula>
    </tableColumn>
    <tableColumn id="5" xr3:uid="{3DFDA546-E907-4AFE-88F0-91153E744874}" name="Conversion factor">
      <calculatedColumnFormula array="1">Common_InputFunctions.Utility_DisplayArrayInTable(Common_SourceData.Common_SourceData_ConvertGasElementalToMolecular_Data(),Table_GasToMolecularConversionFactor[[#Headers],[Gas]], 0)</calculatedColumnFormula>
    </tableColumn>
    <tableColumn id="2" xr3:uid="{767AF149-1650-4B25-B11A-A60C7D2E51D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178CA6B-899C-4680-A530-F671187457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722B390-A296-4326-B7D7-E167A7A7229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7C10A7-7AB5-428A-9287-E7E37F9D29E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4B95AA9-70D5-4441-A8C6-85F2A3C512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D6B7FE-CE1F-4BC8-9FEA-BDBEF1156D8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4FDDFC4B-6E53-4FDF-AEB6-DBF2326E6BF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7385E43F-E287-4472-A369-82F0BDF91CF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25053B4-B03F-4FEF-ABB5-91F9C6142FA9}"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6BEC7DA-7A92-48E1-ABA8-78267869C29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1D44711-DCFB-4E84-B29A-0D5C165FA3C7}"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A414ECE-1A17-4716-ACF6-7A523609630D}"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61B58A3-C82F-44EB-9D72-9CA49978C119}"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4004D45-9AC1-4492-AA55-C4891D435CF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8FFED3FB-823B-4826-BCA5-B6811368EC6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EE507BE-5BEB-4A27-839B-4EDA86F99B1C}"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63095C3D-8BE2-4D9F-9526-D02559F149F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1F5F8C24-5B6C-4B50-A343-EF1EBE83EB99}"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E34E0E4C-84AE-408A-860E-ECAFA79CE45F}"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4EED6F32-202A-4373-BF86-AEDFD12F99A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D7417D5-4F7C-46DB-9CA8-3844331E137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426EAFB-AE55-4FAA-A6F9-46AACAE4F63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7BCC94-5DBE-4AE0-8807-6895B6E73E8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90240BA-38CE-4192-A618-0851B47FBDD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A7A863-49CA-4F48-B3A1-6DE53DD9A8FB}" name="Temperature Zone">
      <calculatedColumnFormula array="1">Common_InputFunctions.Utility_DisplayArrayInTable(Common_SourceData.Common_SourceData_TemperatureZones_Data(),Table_SourceData_TemperatureZones[[#Headers],[Temperature Zone]],0)</calculatedColumnFormula>
    </tableColumn>
    <tableColumn id="2" xr3:uid="{81EBE127-CB97-4A05-AB50-62BAA7BD4684}" name="MAT">
      <calculatedColumnFormula array="1">Common_InputFunctions.Utility_DisplayArrayInTable(Common_SourceData.Common_SourceData_TemperatureZones_Data(),Table_SourceData_TemperatureZones[[#Headers],[Temperature Zone]],0)</calculatedColumnFormula>
    </tableColumn>
    <tableColumn id="3" xr3:uid="{37234318-1D88-4580-BB35-8B1A047A9F33}" name="Min MAT">
      <calculatedColumnFormula array="1">Common_InputFunctions.Utility_DisplayArrayInTable(Common_SourceData.Common_SourceData_TemperatureZones_Data(),Table_SourceData_TemperatureZones[[#Headers],[Temperature Zone]],0)</calculatedColumnFormula>
    </tableColumn>
    <tableColumn id="4" xr3:uid="{505E1900-169F-49D8-85EE-62DB0CAE154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36E2996-6A48-4C24-BBB0-A8327E3DE72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9EB07DB-5AE7-48F1-9B8F-BBC7ABBA7E1F}" name="Rainfall Zone">
      <calculatedColumnFormula array="1">Common_InputFunctions.Utility_DisplayArrayInTable(Common_SourceData.Common_SourceData_RainfallZones_Data(),Table_SourceData_RainfallZones[[#Headers],[Rainfall Zone]],0)</calculatedColumnFormula>
    </tableColumn>
    <tableColumn id="2" xr3:uid="{7518A847-ADC5-4EDA-9B0E-0415C3E2F081}" name="Annual rainfall">
      <calculatedColumnFormula array="1">Common_InputFunctions.Utility_DisplayArrayInTable(Common_SourceData.Common_SourceData_RainfallZones_Data(),Table_SourceData_RainfallZones[[#Headers],[Rainfall Zone]],0)</calculatedColumnFormula>
    </tableColumn>
    <tableColumn id="3" xr3:uid="{AE00C81B-494E-41A9-A75B-F3B80BA77621}" name="Min rainfall">
      <calculatedColumnFormula array="1">Common_InputFunctions.Utility_DisplayArrayInTable(Common_SourceData.Common_SourceData_RainfallZones_Data(),Table_SourceData_RainfallZones[[#Headers],[Rainfall Zone]],0)</calculatedColumnFormula>
    </tableColumn>
    <tableColumn id="4" xr3:uid="{72D3836E-A7BA-43DD-9758-84DE49F823B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CF68D49-D42D-4E62-8277-A8C9DC71425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4F86665-0E71-4D2D-86C4-AC0B9E78EA38}" name="Leaching Zone">
      <calculatedColumnFormula array="1">Common_InputFunctions.Utility_DisplayArrayInTable(Common_SourceData.Common_SourceData_LeachingZones_Data(), Table_SourceData_LeachingZones[[#Headers],[Leaching Zone]], 0)</calculatedColumnFormula>
    </tableColumn>
    <tableColumn id="2" xr3:uid="{8B3F1E11-A25C-491F-937E-FB2B081D5F1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26168C-AE7F-41CB-BE73-77BB38A2B95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F515FAD-A777-48E0-AF61-9282A3DF7B08}" name="Data source">
      <calculatedColumnFormula array="1">Common_InputFunctions.Utility_DisplayArrayInTable(Common_SourceData.Common_SourceData_DataScores_Scope3_Data(), Table_SourceData_DataScores_Scope3[[#Headers],[Data source]], 0)</calculatedColumnFormula>
    </tableColumn>
    <tableColumn id="2" xr3:uid="{CC69BBBC-41D8-4FF0-9143-5D3925B00F6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3A56E0-921A-435C-95E0-C1F76C5E92D9}" name="Table_SourceData_FracWET" displayName="Table_SourceData_FracWET" ref="D134:E136" totalsRowShown="0">
  <autoFilter ref="D134:E136" xr:uid="{308E99BE-FE1F-47A4-B2CA-97217277C4E9}">
    <filterColumn colId="0" hiddenButton="1"/>
    <filterColumn colId="1" hiddenButton="1"/>
  </autoFilter>
  <tableColumns count="2">
    <tableColumn id="1" xr3:uid="{29196EFD-87B1-48E2-8625-346B946663DD}" name="Is in leaching zone">
      <calculatedColumnFormula array="1">Common_InputFunctions.Utility_DisplayArrayInTable(Common_SourceData.Common_SourceData_FracWET_Data(),Table_SourceData_FracWET[[#Headers],[Is in leaching zone]],0)</calculatedColumnFormula>
    </tableColumn>
    <tableColumn id="2" xr3:uid="{0F46760A-ECFD-4705-AFAE-F8BA6B7C1AF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E53E53A-7FEA-463E-A124-E96353BC48D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1DF95E1-AC8A-4641-A4BA-3145F7325E2C}" name="Production system j">
      <calculatedColumnFormula array="1">Common_InputFunctions.Utility_DisplayArrayInTable(Common_SourceData.Common_SourceData_EFN2O_Data(), Table_SourceData_Common_EFN2O[[#Headers],[Production system j]], 0)</calculatedColumnFormula>
    </tableColumn>
    <tableColumn id="2" xr3:uid="{5C4A6FA8-F604-499C-A5B5-DA498A15C4BF}" name="EFN2O">
      <calculatedColumnFormula array="1">Common_InputFunctions.Utility_DisplayArrayInTable(Common_SourceData.Common_SourceData_EFN2O_Data(), Table_SourceData_Common_EFN2O[[#Headers],[Production system j]], 0)</calculatedColumnFormula>
    </tableColumn>
    <tableColumn id="3" xr3:uid="{FA1DA6DF-6FD0-4D9A-9F93-D3355ED1A899}" name="Production system only">
      <calculatedColumnFormula array="1">Common_InputFunctions.Utility_DisplayArrayInTable(Common_SourceData.Common_SourceData_EFN2O_Data(), Table_SourceData_Common_EFN2O[[#Headers],[Production system j]], 0)</calculatedColumnFormula>
    </tableColumn>
    <tableColumn id="4" xr3:uid="{02E4FA05-6884-4A1E-8C48-BDDA2979A5E7}" name="Irrigation method">
      <calculatedColumnFormula array="1">Common_InputFunctions.Utility_DisplayArrayInTable(Common_SourceData.Common_SourceData_EFN2O_Data(), Table_SourceData_Common_EFN2O[[#Headers],[Production system j]], 0)</calculatedColumnFormula>
    </tableColumn>
    <tableColumn id="5" xr3:uid="{85087B44-5C93-4ED8-AD9A-F5AA0FC2F42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595335C-CA35-4591-B20E-D89E889E59A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EFB3404-65A0-4EB7-85BE-66B4EB64AE81}" name="Irrigation type i">
      <calculatedColumnFormula array="1">Common_InputFunctions.Utility_DisplayArrayInTable(Common_SourceData.Common_SourceData_FracWETIrrigation_Data(), Table_SourceData_FracWETIrrigation[[#Headers],[Irrigation type i]], 0)</calculatedColumnFormula>
    </tableColumn>
    <tableColumn id="2" xr3:uid="{43626436-AF98-42C4-BC6D-9C36CE493EC6}"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7D9AB9-CC3F-42BD-B211-E83AEBD7AB6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FABAF77-70FD-4A5B-894F-64F7D54DB84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6EAE40-9326-4EB0-8B0D-555C28A2AC05}"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9468DF9-C4B0-4CD1-AAA7-7A573B5F123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4BE779-98AF-4BBD-848A-EE55FE109D93}" name="Month">
      <calculatedColumnFormula array="1">Common_InputFunctions.Utility_DisplayArrayInTable(Common_SourceData.Common_SourceData_MonthsToSeasons_Data(), Table_SourceData_Common_MonthToSeason[[#Headers],[Month]], 0)</calculatedColumnFormula>
    </tableColumn>
    <tableColumn id="2" xr3:uid="{1BA4C526-3F64-422F-B26E-58D58EF83D9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6EA5144-67D2-48A9-B94F-CCA3CFFB27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B61BBC-DCD6-4A8F-9125-C7FBFD6D677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E7CAF2B-63EF-43CA-A4BF-BC409EB4C2E9}"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91FC352-CBD5-4B2E-9C87-4F323429AC8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C5ABB09-71EF-44FB-AF6E-A3A82FBA58D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1633D29-F8D7-427F-B097-680F840B842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A6F6C8D-FD77-4D2A-A977-66D6A9777DE6}"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9CDE1E4-4839-4B6D-9791-E278775A9B2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4184832-45B4-4C37-ADAD-644CDF7A1D0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B6C6BA3-125A-40EA-9888-2E0497C9D17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271D424-DF3A-409C-8220-C3266B26D68E}"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B5CBEC3-4AFF-4A8A-ADCD-B6835D5649CC}"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72C479-A82B-4CCC-BD1E-6304C442B51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B010A28-E2FA-4F8A-9EF3-5D26E6B8F19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79715ED-7FA4-4686-935D-5E9C8BD5C3A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59BD9D7-0874-4610-8F3E-D7EA680AAF98}"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0320F15-7E5F-4179-806E-241905900C62}"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DE3ABC1-1646-475D-91D6-A05D5ED587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D266DE-C7B9-40C5-98D4-9167B01C9C4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042C116-D439-437A-B21D-5834A2E6654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166</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167</v>
      </c>
      <c r="E5" s="85"/>
      <c r="F5" s="85"/>
      <c r="G5" s="85"/>
      <c r="H5" s="85"/>
      <c r="I5" s="81"/>
    </row>
    <row r="6" spans="1:11" ht="20.100000000000001" customHeight="1" x14ac:dyDescent="0.25">
      <c r="A6" s="16"/>
      <c r="D6" s="120" t="s">
        <v>168</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7" sqref="F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165</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159</v>
      </c>
      <c r="E7" s="109">
        <f ca="1">VEERG_3_5_1_1__1_TotalAnnualMethaneFromEntericFermentation_Result_Method1</f>
        <v>0.78573884462151411</v>
      </c>
      <c r="F7" s="109">
        <f ca="1">VEERG_3_5_1_1__1_TotalAnnualMethaneFromEntericFermentation_Result_Method2</f>
        <v>0.78573884462151411</v>
      </c>
      <c r="G7" s="49" t="s">
        <v>94</v>
      </c>
      <c r="H7" s="97">
        <f ca="1">'3.5.1.1-2 Enteric Methane'!E63</f>
        <v>22.000687649402394</v>
      </c>
      <c r="I7" s="97">
        <f ca="1">'3.5.1.1-2 Enteric Methane'!N63</f>
        <v>22.000687649402394</v>
      </c>
      <c r="J7" s="49" t="s">
        <v>96</v>
      </c>
      <c r="K7" s="21"/>
    </row>
    <row r="8" spans="1:11" ht="20.100000000000001" customHeight="1" x14ac:dyDescent="0.3">
      <c r="A8" s="17" t="str">
        <f>HYPERLINK("#'Input - Site'!A1", "Site")</f>
        <v>Site</v>
      </c>
      <c r="C8" s="21"/>
      <c r="D8" s="28" t="s">
        <v>89</v>
      </c>
      <c r="E8" s="22"/>
      <c r="F8" s="22"/>
      <c r="G8" s="28"/>
      <c r="H8" s="99">
        <f ca="1">SUM(H7:H7)</f>
        <v>22.000687649402394</v>
      </c>
      <c r="I8" s="99">
        <f ca="1">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7" sqref="E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election activeCell="D12" sqref="D11:H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175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56" priority="79" operator="lessThan">
      <formula>0</formula>
    </cfRule>
  </conditionalFormatting>
  <conditionalFormatting sqref="F40:F41">
    <cfRule type="cellIs" dxfId="55" priority="69" operator="lessThan">
      <formula>0</formula>
    </cfRule>
  </conditionalFormatting>
  <conditionalFormatting sqref="F44">
    <cfRule type="cellIs" dxfId="54" priority="68" operator="lessThan">
      <formula>0</formula>
    </cfRule>
  </conditionalFormatting>
  <conditionalFormatting sqref="F53">
    <cfRule type="cellIs" dxfId="53" priority="62" operator="lessThan">
      <formula>0</formula>
    </cfRule>
  </conditionalFormatting>
  <conditionalFormatting sqref="F121:F122">
    <cfRule type="cellIs" dxfId="52" priority="21" operator="lessThan">
      <formula>0</formula>
    </cfRule>
  </conditionalFormatting>
  <conditionalFormatting sqref="F133:F134">
    <cfRule type="cellIs" dxfId="51" priority="20" operator="lessThan">
      <formula>0</formula>
    </cfRule>
  </conditionalFormatting>
  <conditionalFormatting sqref="F145:F146">
    <cfRule type="cellIs" dxfId="50" priority="19" operator="lessThan">
      <formula>0</formula>
    </cfRule>
  </conditionalFormatting>
  <conditionalFormatting sqref="F157:F158">
    <cfRule type="cellIs" dxfId="49" priority="18" operator="lessThan">
      <formula>0</formula>
    </cfRule>
  </conditionalFormatting>
  <conditionalFormatting sqref="F245:F246">
    <cfRule type="cellIs" dxfId="48" priority="93" operator="lessThan">
      <formula>0</formula>
    </cfRule>
  </conditionalFormatting>
  <conditionalFormatting sqref="F250:F251">
    <cfRule type="cellIs" dxfId="47" priority="92" operator="lessThan">
      <formula>0</formula>
    </cfRule>
  </conditionalFormatting>
  <conditionalFormatting sqref="F255:F256">
    <cfRule type="cellIs" dxfId="46" priority="91" operator="lessThan">
      <formula>0</formula>
    </cfRule>
  </conditionalFormatting>
  <conditionalFormatting sqref="F279:F280">
    <cfRule type="cellIs" dxfId="45" priority="85" operator="lessThan">
      <formula>0</formula>
    </cfRule>
  </conditionalFormatting>
  <conditionalFormatting sqref="F284:F285">
    <cfRule type="cellIs" dxfId="44" priority="84" operator="lessThan">
      <formula>0</formula>
    </cfRule>
  </conditionalFormatting>
  <conditionalFormatting sqref="F289:F290">
    <cfRule type="cellIs" dxfId="43" priority="83" operator="lessThan">
      <formula>0</formula>
    </cfRule>
  </conditionalFormatting>
  <conditionalFormatting sqref="I29:I34">
    <cfRule type="cellIs" dxfId="42" priority="55" operator="lessThan">
      <formula>0</formula>
    </cfRule>
  </conditionalFormatting>
  <conditionalFormatting sqref="I55:I59">
    <cfRule type="cellIs" dxfId="41" priority="6" operator="lessThan">
      <formula>0</formula>
    </cfRule>
  </conditionalFormatting>
  <conditionalFormatting sqref="I63:I66">
    <cfRule type="cellIs" dxfId="40" priority="5" operator="lessThan">
      <formula>0</formula>
    </cfRule>
  </conditionalFormatting>
  <conditionalFormatting sqref="I70:I73">
    <cfRule type="cellIs" dxfId="39" priority="4" operator="lessThan">
      <formula>0</formula>
    </cfRule>
  </conditionalFormatting>
  <conditionalFormatting sqref="I77:I80">
    <cfRule type="cellIs" dxfId="38" priority="3" operator="lessThan">
      <formula>0</formula>
    </cfRule>
  </conditionalFormatting>
  <conditionalFormatting sqref="I84:I88">
    <cfRule type="cellIs" dxfId="37" priority="1" operator="lessThan">
      <formula>0</formula>
    </cfRule>
  </conditionalFormatting>
  <conditionalFormatting sqref="K43:L43 I48:I51 J101 I119 I199 I205">
    <cfRule type="cellIs" dxfId="36"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85" zoomScaleNormal="85" workbookViewId="0">
      <selection activeCell="D51" sqref="D5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159</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SourceData_Swine_MegajoulesPerKilogramMethane_Data</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155</v>
      </c>
      <c r="M18" s="105" t="s">
        <v>173</v>
      </c>
    </row>
    <row r="19" spans="1:17" ht="20.100000000000001" customHeight="1" x14ac:dyDescent="0.25">
      <c r="D19" s="106" t="s">
        <v>156</v>
      </c>
      <c r="M19" s="106" t="s">
        <v>174</v>
      </c>
    </row>
    <row r="20" spans="1:17" ht="20.100000000000001" customHeight="1" x14ac:dyDescent="0.25">
      <c r="A20" s="17"/>
      <c r="D20" s="103" t="str" cm="1">
        <f t="array" aca="1" ref="D20:G21" ca="1">OFFSET(X_Table_Swine_VolatileSolidProduction_Method1,0,1,2,4)</f>
        <v>Boars</v>
      </c>
      <c r="E20" s="103" t="str">
        <f ca="1"/>
        <v>Sows</v>
      </c>
      <c r="F20" s="103" t="str">
        <f ca="1"/>
        <v>Gilts</v>
      </c>
      <c r="G20" s="103" t="str">
        <f ca="1"/>
        <v>Others</v>
      </c>
      <c r="M20" s="103" t="str" cm="1">
        <f t="array" aca="1" ref="M20:P21" ca="1">OFFSET(X_Table_Swine_VolatileSolidProduction_Method2,0,1,2,4)</f>
        <v>Boars</v>
      </c>
      <c r="N20" s="103" t="str">
        <f ca="1"/>
        <v>Sows</v>
      </c>
      <c r="O20" s="103" t="str">
        <f ca="1"/>
        <v>Gilts</v>
      </c>
      <c r="P20" s="103" t="str">
        <f ca="1"/>
        <v>Others</v>
      </c>
    </row>
    <row r="21" spans="1:17" ht="20.100000000000001" customHeight="1" x14ac:dyDescent="0.25">
      <c r="D21" s="52">
        <f ca="1"/>
        <v>2.62</v>
      </c>
      <c r="E21" s="52">
        <f ca="1"/>
        <v>2.2999999999999998</v>
      </c>
      <c r="F21" s="52">
        <f ca="1"/>
        <v>2.5</v>
      </c>
      <c r="G21" s="52">
        <f ca="1"/>
        <v>1.71</v>
      </c>
      <c r="H21" s="2" t="str">
        <f>G13</f>
        <v>kg/head/day</v>
      </c>
      <c r="M21" s="52">
        <f ca="1"/>
        <v>2.62</v>
      </c>
      <c r="N21" s="52">
        <f ca="1"/>
        <v>2.2999999999999998</v>
      </c>
      <c r="O21" s="52">
        <f ca="1"/>
        <v>2.5</v>
      </c>
      <c r="P21" s="52">
        <f ca="1"/>
        <v>1.71</v>
      </c>
      <c r="Q21" s="2" t="str">
        <f>G13</f>
        <v>kg/head/day</v>
      </c>
    </row>
    <row r="22" spans="1:17" ht="20.100000000000001" customHeight="1" x14ac:dyDescent="0.25"/>
    <row r="23" spans="1:17" ht="20.100000000000001" customHeight="1" x14ac:dyDescent="0.25">
      <c r="D23" s="105" t="s">
        <v>157</v>
      </c>
      <c r="M23" s="105" t="s">
        <v>157</v>
      </c>
    </row>
    <row r="24" spans="1:17" ht="20.100000000000001" customHeight="1" x14ac:dyDescent="0.25">
      <c r="D24" s="106" t="s">
        <v>158</v>
      </c>
      <c r="M24" s="106" t="s">
        <v>158</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aca="1" ref="D26" ca="1">EntericMethane_Swine_Equations.VEERG_3_5_1_1__2_DailyEntericMethaneProduction(D21,$I$16)</f>
        <v>6.1775443679826158E-3</v>
      </c>
      <c r="E26" s="52" cm="1">
        <f t="array" aca="1" ref="E26" ca="1">EntericMethane_Swine_Equations.VEERG_3_5_1_1__2_DailyEntericMethaneProduction(E21,$I$16)</f>
        <v>5.4230351321984793E-3</v>
      </c>
      <c r="F26" s="52" cm="1">
        <f t="array" aca="1" ref="F26" ca="1">EntericMethane_Swine_Equations.VEERG_3_5_1_1__2_DailyEntericMethaneProduction(F21,$I$16)</f>
        <v>5.8946034045635641E-3</v>
      </c>
      <c r="G26" s="52" cm="1">
        <f t="array" aca="1" ref="G26" ca="1">EntericMethane_Swine_Equations.VEERG_3_5_1_1__2_DailyEntericMethaneProduction(G21,$I$16)</f>
        <v>4.031908728721478E-3</v>
      </c>
      <c r="H26" s="2" t="str">
        <f>$E$11</f>
        <v>kg CH4/head/day</v>
      </c>
      <c r="M26" s="52" cm="1">
        <f t="array" aca="1" ref="M26" ca="1">EntericMethane_Swine_Equations.VEERG_3_5_1_1__2_DailyEntericMethaneProduction(M21,$I$16)</f>
        <v>6.1775443679826158E-3</v>
      </c>
      <c r="N26" s="52" cm="1">
        <f t="array" aca="1" ref="N26" ca="1">EntericMethane_Swine_Equations.VEERG_3_5_1_1__2_DailyEntericMethaneProduction(N21,$I$16)</f>
        <v>5.4230351321984793E-3</v>
      </c>
      <c r="O26" s="52" cm="1">
        <f t="array" aca="1" ref="O26" ca="1">EntericMethane_Swine_Equations.VEERG_3_5_1_1__2_DailyEntericMethaneProduction(O21,$I$16)</f>
        <v>5.8946034045635641E-3</v>
      </c>
      <c r="P26" s="52"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tr" cm="1">
        <f t="array" aca="1" ref="D45:G46" ca="1">OFFSET(X_Table_Swine_HerdMovement,0,1,2,4)</f>
        <v>Boars</v>
      </c>
      <c r="E45" s="103" t="str">
        <f ca="1"/>
        <v>Sows</v>
      </c>
      <c r="F45" s="103" t="str">
        <f ca="1"/>
        <v>Gilts</v>
      </c>
      <c r="G45" s="103" t="str">
        <f ca="1"/>
        <v>Others</v>
      </c>
    </row>
    <row r="46" spans="4:9" ht="20.100000000000001" customHeight="1" x14ac:dyDescent="0.25">
      <c r="D46" s="107">
        <f ca="1"/>
        <v>365</v>
      </c>
      <c r="E46" s="107">
        <f ca="1"/>
        <v>365</v>
      </c>
      <c r="F46" s="107">
        <f ca="1"/>
        <v>365</v>
      </c>
      <c r="G46" s="107">
        <f ca="1"/>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cm="1">
        <f t="array" aca="1" ref="D51:G51" ca="1">OFFSET(X_Table_Swine_HerdMovement,2,1,1,4)</f>
        <v>100</v>
      </c>
      <c r="E51" s="107">
        <f ca="1"/>
        <v>100</v>
      </c>
      <c r="F51" s="107">
        <f ca="1"/>
        <v>100</v>
      </c>
      <c r="G51" s="107">
        <f ca="1"/>
        <v>100</v>
      </c>
      <c r="H51" s="2" t="str">
        <f>G41</f>
        <v>days</v>
      </c>
    </row>
    <row r="52" spans="4:17" ht="20.100000000000001" customHeight="1" x14ac:dyDescent="0.25"/>
    <row r="53" spans="4:17" ht="20.100000000000001" customHeight="1" x14ac:dyDescent="0.25">
      <c r="D53" s="105" t="s">
        <v>160</v>
      </c>
      <c r="M53" s="105" t="s">
        <v>163</v>
      </c>
    </row>
    <row r="54" spans="4:17" ht="20.100000000000001" customHeight="1" x14ac:dyDescent="0.25">
      <c r="D54" s="106" t="s">
        <v>161</v>
      </c>
      <c r="M54" s="106" t="s">
        <v>164</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aca="1" ref="D56" ca="1">EntericMethane_Swine_Equations.VEERG_3_5_1_1__1_TotalAnnualMethaneFromEntericFermentation($D51,D26,$D46)</f>
        <v>0.22548036943136548</v>
      </c>
      <c r="E56" s="47" cm="1">
        <f t="array" aca="1" ref="E56" ca="1">EntericMethane_Swine_Equations.VEERG_3_5_1_1__1_TotalAnnualMethaneFromEntericFermentation($E51,E26,$E46)</f>
        <v>0.19794078232524451</v>
      </c>
      <c r="F56" s="47" cm="1">
        <f t="array" aca="1" ref="F56" ca="1">EntericMethane_Swine_Equations.VEERG_3_5_1_1__1_TotalAnnualMethaneFromEntericFermentation($F51,F26,$F46)</f>
        <v>0.2151530242665701</v>
      </c>
      <c r="G56" s="47" cm="1">
        <f t="array" aca="1" ref="G56" ca="1">EntericMethane_Swine_Equations.VEERG_3_5_1_1__1_TotalAnnualMethaneFromEntericFermentation($G51,G26,$G46)</f>
        <v>0.14716466859833394</v>
      </c>
      <c r="H56" s="2" t="str">
        <f>$E$37</f>
        <v>t CH4</v>
      </c>
      <c r="M56" s="47" cm="1">
        <f t="array" aca="1" ref="M56" ca="1">EntericMethane_Swine_Equations.VEERG_3_5_1_1__1_TotalAnnualMethaneFromEntericFermentation($D51,M26,$D46)</f>
        <v>0.22548036943136548</v>
      </c>
      <c r="N56" s="47" cm="1">
        <f t="array" aca="1" ref="N56" ca="1">EntericMethane_Swine_Equations.VEERG_3_5_1_1__1_TotalAnnualMethaneFromEntericFermentation($E51,N26,$E46)</f>
        <v>0.19794078232524451</v>
      </c>
      <c r="O56" s="47" cm="1">
        <f t="array" aca="1" ref="O56" ca="1">EntericMethane_Swine_Equations.VEERG_3_5_1_1__1_TotalAnnualMethaneFromEntericFermentation($F51,O26,$F46)</f>
        <v>0.2151530242665701</v>
      </c>
      <c r="P56" s="47"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 ca="1">SUM(D56:G56)</f>
        <v>0.78573884462151411</v>
      </c>
      <c r="F58" s="91" t="str">
        <f>$E$37</f>
        <v>t CH4</v>
      </c>
      <c r="M58" s="89" t="s">
        <v>126</v>
      </c>
      <c r="N58" s="90">
        <f ca="1">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 ca="1">E58</f>
        <v>0.78573884462151411</v>
      </c>
      <c r="M60" s="52" t="str" cm="1">
        <f t="array" ref="M60:N61">Common_Equations.Common_ConvertCH4ToCO2e_Arguments()</f>
        <v>ECH4</v>
      </c>
      <c r="N60" s="53" t="str">
        <v>Methane emissions (t CH4)</v>
      </c>
      <c r="O60" s="92"/>
      <c r="P60" s="47">
        <f ca="1">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162</v>
      </c>
      <c r="E63" s="41" cm="1">
        <f t="array" aca="1" ref="E63" ca="1">Common_Equations.Common_ConvertCH4ToCO2e(G60,G61)</f>
        <v>22.000687649402394</v>
      </c>
      <c r="F63" s="93" t="str" cm="1">
        <f t="array" ref="F63">Common_Equations.Common_ConvertN2OToCO2e_Unit()</f>
        <v>t CO2e</v>
      </c>
      <c r="M63" s="98" t="s">
        <v>162</v>
      </c>
      <c r="N63" s="41" cm="1">
        <f t="array" aca="1" ref="N63" ca="1">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34" t="s">
        <v>169</v>
      </c>
      <c r="E127" s="34" t="s">
        <v>170</v>
      </c>
      <c r="M127" s="1"/>
      <c r="V127" s="1"/>
    </row>
    <row r="128" spans="1:22" ht="20.100000000000001" customHeight="1" x14ac:dyDescent="0.25">
      <c r="D128" s="34" t="str" cm="1">
        <f t="array" ref="D128">Common_InputFunctions.Utility_DisplayArrayInTable(SourceData_Swine.SourceData_Swine_AverageLiveweight_Data(),Table_SourceData_Swine_Liveweight[[#Headers],[Livestock type j]],0)</f>
        <v>Sows</v>
      </c>
      <c r="E128" s="34"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17AD5-A917-465B-AB39-DA483B9FADC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4" t="s">
        <v>171</v>
      </c>
      <c r="E257" s="34" t="s">
        <v>172</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