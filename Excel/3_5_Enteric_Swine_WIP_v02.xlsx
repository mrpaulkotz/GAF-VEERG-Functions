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A74F06C-820C-4C49-BF1F-638A82C36EAC}" xr6:coauthVersionLast="47" xr6:coauthVersionMax="47" xr10:uidLastSave="{00000000-0000-0000-0000-000000000000}"/>
  <bookViews>
    <workbookView xWindow="3900" yWindow="3900" windowWidth="28800" windowHeight="15345" firstSheet="7"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5" r:id="rId8"/>
    <sheet name="Constants - Livestock" sheetId="43" r:id="rId9"/>
    <sheet name="Acknowledgements" sheetId="72"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FarmName">'Input - Site'!$E$7</definedName>
    <definedName name="X_Cell_Site_ReportingEntityName">'Input - Site'!$E$8</definedName>
    <definedName name="X_Cell_Site_StartDate">'Input - Site'!$E$12</definedName>
    <definedName name="X_Table_Swine_HerdMovement">'Input - Swine'!$D$5:$H$7</definedName>
    <definedName name="X_Table_Swine_ManureProduction_Method1">'Input - Swine'!$D$11:$H$12</definedName>
    <definedName name="X_Table_Swine_ManureProduction_Method2">'Input - Swine'!$D$14:$H$15</definedName>
    <definedName name="X_Table_Swine_VolatileSolidProduction_Method1">'Input - Swine'!$D$11:$H$12</definedName>
    <definedName name="X_Table_Swine_VolatileSolidProduction_Method2">'Input - Swine'!$D$14:$H$15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P61" i="69"/>
  <c r="G61" i="69"/>
  <c r="E259" i="115" a="1"/>
  <c r="E259" i="115" s="1"/>
  <c r="D259" i="115" a="1"/>
  <c r="D259" i="115" s="1"/>
  <c r="E258" i="115" a="1"/>
  <c r="E258" i="115" s="1"/>
  <c r="D258" i="115" a="1"/>
  <c r="D258" i="115" s="1"/>
  <c r="D256" i="115" a="1"/>
  <c r="D256" i="115" s="1"/>
  <c r="D255" i="115" a="1"/>
  <c r="D255" i="115" s="1"/>
  <c r="D254" i="115" a="1"/>
  <c r="D254" i="115" s="1"/>
  <c r="D253" i="115" a="1"/>
  <c r="D253" i="115" s="1"/>
  <c r="S250" i="115" a="1"/>
  <c r="S250" i="115" s="1"/>
  <c r="R250" i="115" a="1"/>
  <c r="R250" i="115" s="1"/>
  <c r="Q250" i="115" a="1"/>
  <c r="Q250" i="115" s="1"/>
  <c r="P250" i="115" a="1"/>
  <c r="P250" i="115" s="1"/>
  <c r="O250" i="115" a="1"/>
  <c r="O250" i="115" s="1"/>
  <c r="N250" i="115" a="1"/>
  <c r="N250" i="115" s="1"/>
  <c r="M250" i="115" a="1"/>
  <c r="M250" i="115" s="1"/>
  <c r="L250" i="115" a="1"/>
  <c r="L250" i="115" s="1"/>
  <c r="K250" i="115" a="1"/>
  <c r="K250" i="115" s="1"/>
  <c r="J250" i="115" a="1"/>
  <c r="J250" i="115" s="1"/>
  <c r="I250" i="115" a="1"/>
  <c r="I250" i="115" s="1"/>
  <c r="H250" i="115" a="1"/>
  <c r="H250" i="115" s="1"/>
  <c r="G250" i="115" a="1"/>
  <c r="G250" i="115" s="1"/>
  <c r="F250" i="115" a="1"/>
  <c r="F250" i="115" s="1"/>
  <c r="E250" i="115" a="1"/>
  <c r="E250" i="115" s="1"/>
  <c r="D250" i="115" a="1"/>
  <c r="D250" i="115" s="1"/>
  <c r="S249" i="115" a="1"/>
  <c r="S249" i="115" s="1"/>
  <c r="R249" i="115" a="1"/>
  <c r="R249" i="115" s="1"/>
  <c r="Q249" i="115" a="1"/>
  <c r="Q249" i="115" s="1"/>
  <c r="P249" i="115" a="1"/>
  <c r="P249" i="115" s="1"/>
  <c r="O249" i="115" a="1"/>
  <c r="O249" i="115" s="1"/>
  <c r="N249" i="115" a="1"/>
  <c r="N249" i="115" s="1"/>
  <c r="M249" i="115" a="1"/>
  <c r="M249" i="115" s="1"/>
  <c r="L249" i="115" a="1"/>
  <c r="L249" i="115" s="1"/>
  <c r="K249" i="115" a="1"/>
  <c r="K249" i="115" s="1"/>
  <c r="J249" i="115" a="1"/>
  <c r="J249" i="115" s="1"/>
  <c r="I249" i="115" a="1"/>
  <c r="I249" i="115" s="1"/>
  <c r="H249" i="115" a="1"/>
  <c r="H249" i="115" s="1"/>
  <c r="G249" i="115" a="1"/>
  <c r="G249" i="115" s="1"/>
  <c r="F249" i="115" a="1"/>
  <c r="F249" i="115" s="1"/>
  <c r="E249" i="115" a="1"/>
  <c r="E249" i="115" s="1"/>
  <c r="D249" i="115" a="1"/>
  <c r="D249" i="115" s="1"/>
  <c r="S248" i="115" a="1"/>
  <c r="S248" i="115" s="1"/>
  <c r="R248" i="115" a="1"/>
  <c r="R248" i="115" s="1"/>
  <c r="Q248" i="115" a="1"/>
  <c r="Q248" i="115" s="1"/>
  <c r="P248" i="115" a="1"/>
  <c r="P248" i="115" s="1"/>
  <c r="O248" i="115" a="1"/>
  <c r="O248" i="115" s="1"/>
  <c r="N248" i="115" a="1"/>
  <c r="N248" i="115" s="1"/>
  <c r="M248" i="115" a="1"/>
  <c r="M248" i="115" s="1"/>
  <c r="L248" i="115" a="1"/>
  <c r="L248" i="115" s="1"/>
  <c r="K248" i="115" a="1"/>
  <c r="K248" i="115" s="1"/>
  <c r="J248" i="115" a="1"/>
  <c r="J248" i="115" s="1"/>
  <c r="I248" i="115" a="1"/>
  <c r="I248" i="115" s="1"/>
  <c r="H248" i="115" a="1"/>
  <c r="H248" i="115" s="1"/>
  <c r="G248" i="115" a="1"/>
  <c r="G248" i="115" s="1"/>
  <c r="F248" i="115" a="1"/>
  <c r="F248" i="115" s="1"/>
  <c r="E248" i="115" a="1"/>
  <c r="E248" i="115" s="1"/>
  <c r="D248" i="115" a="1"/>
  <c r="D248" i="115" s="1"/>
  <c r="S247" i="115" a="1"/>
  <c r="S247" i="115" s="1"/>
  <c r="R247" i="115" a="1"/>
  <c r="R247" i="115" s="1"/>
  <c r="Q247" i="115" a="1"/>
  <c r="Q247" i="115" s="1"/>
  <c r="P247" i="115" a="1"/>
  <c r="P247" i="115" s="1"/>
  <c r="O247" i="115" a="1"/>
  <c r="O247" i="115" s="1"/>
  <c r="N247" i="115" a="1"/>
  <c r="N247" i="115" s="1"/>
  <c r="M247" i="115" a="1"/>
  <c r="M247" i="115" s="1"/>
  <c r="L247" i="115" a="1"/>
  <c r="L247" i="115" s="1"/>
  <c r="K247" i="115" a="1"/>
  <c r="K247" i="115" s="1"/>
  <c r="J247" i="115" a="1"/>
  <c r="J247" i="115" s="1"/>
  <c r="I247" i="115" a="1"/>
  <c r="I247" i="115" s="1"/>
  <c r="H247" i="115" a="1"/>
  <c r="H247" i="115" s="1"/>
  <c r="G247" i="115" a="1"/>
  <c r="G247" i="115" s="1"/>
  <c r="F247" i="115" a="1"/>
  <c r="F247" i="115" s="1"/>
  <c r="E247" i="115" a="1"/>
  <c r="E247" i="115" s="1"/>
  <c r="D247" i="115" a="1"/>
  <c r="D247" i="115" s="1"/>
  <c r="S246" i="115" a="1"/>
  <c r="S246" i="115" s="1"/>
  <c r="R246" i="115" a="1"/>
  <c r="R246" i="115" s="1"/>
  <c r="Q246" i="115" a="1"/>
  <c r="Q246" i="115" s="1"/>
  <c r="P246" i="115" a="1"/>
  <c r="P246" i="115" s="1"/>
  <c r="O246" i="115" a="1"/>
  <c r="O246" i="115" s="1"/>
  <c r="N246" i="115" a="1"/>
  <c r="N246" i="115" s="1"/>
  <c r="M246" i="115" a="1"/>
  <c r="M246" i="115" s="1"/>
  <c r="L246" i="115" a="1"/>
  <c r="L246" i="115" s="1"/>
  <c r="K246" i="115" a="1"/>
  <c r="K246" i="115" s="1"/>
  <c r="J246" i="115" a="1"/>
  <c r="J246" i="115" s="1"/>
  <c r="I246" i="115" a="1"/>
  <c r="I246" i="115" s="1"/>
  <c r="H246" i="115" a="1"/>
  <c r="H246" i="115" s="1"/>
  <c r="G246" i="115" a="1"/>
  <c r="G246" i="115" s="1"/>
  <c r="F246" i="115" a="1"/>
  <c r="F246" i="115" s="1"/>
  <c r="E246" i="115" a="1"/>
  <c r="E246" i="115" s="1"/>
  <c r="D246" i="115" a="1"/>
  <c r="D246" i="115" s="1"/>
  <c r="S245" i="115" a="1"/>
  <c r="S245" i="115" s="1"/>
  <c r="R245" i="115" a="1"/>
  <c r="R245" i="115" s="1"/>
  <c r="Q245" i="115" a="1"/>
  <c r="Q245" i="115" s="1"/>
  <c r="P245" i="115" a="1"/>
  <c r="P245" i="115" s="1"/>
  <c r="O245" i="115" a="1"/>
  <c r="O245" i="115" s="1"/>
  <c r="N245" i="115" a="1"/>
  <c r="N245" i="115" s="1"/>
  <c r="M245" i="115" a="1"/>
  <c r="M245" i="115" s="1"/>
  <c r="L245" i="115" a="1"/>
  <c r="L245" i="115" s="1"/>
  <c r="K245" i="115" a="1"/>
  <c r="K245" i="115" s="1"/>
  <c r="J245" i="115" a="1"/>
  <c r="J245" i="115" s="1"/>
  <c r="I245" i="115" a="1"/>
  <c r="I245" i="115" s="1"/>
  <c r="H245" i="115" a="1"/>
  <c r="H245" i="115" s="1"/>
  <c r="G245" i="115" a="1"/>
  <c r="G245" i="115" s="1"/>
  <c r="F245" i="115" a="1"/>
  <c r="F245" i="115" s="1"/>
  <c r="E245" i="115" a="1"/>
  <c r="E245" i="115" s="1"/>
  <c r="D245" i="115" a="1"/>
  <c r="D245" i="115" s="1"/>
  <c r="S244" i="115" a="1"/>
  <c r="S244" i="115" s="1"/>
  <c r="R244" i="115" a="1"/>
  <c r="R244" i="115" s="1"/>
  <c r="Q244" i="115" a="1"/>
  <c r="Q244" i="115" s="1"/>
  <c r="P244" i="115" a="1"/>
  <c r="P244" i="115" s="1"/>
  <c r="O244" i="115" a="1"/>
  <c r="O244" i="115" s="1"/>
  <c r="N244" i="115" a="1"/>
  <c r="N244" i="115" s="1"/>
  <c r="M244" i="115" a="1"/>
  <c r="M244" i="115" s="1"/>
  <c r="L244" i="115" a="1"/>
  <c r="L244" i="115" s="1"/>
  <c r="K244" i="115" a="1"/>
  <c r="K244" i="115" s="1"/>
  <c r="J244" i="115" a="1"/>
  <c r="J244" i="115" s="1"/>
  <c r="I244" i="115" a="1"/>
  <c r="I244" i="115" s="1"/>
  <c r="H244" i="115" a="1"/>
  <c r="H244" i="115" s="1"/>
  <c r="G244" i="115" a="1"/>
  <c r="G244" i="115" s="1"/>
  <c r="F244" i="115" a="1"/>
  <c r="F244" i="115" s="1"/>
  <c r="E244" i="115" a="1"/>
  <c r="E244" i="115" s="1"/>
  <c r="D244" i="115" a="1"/>
  <c r="D244" i="115" s="1"/>
  <c r="S243" i="115" a="1"/>
  <c r="S243" i="115" s="1"/>
  <c r="R243" i="115" a="1"/>
  <c r="R243" i="115" s="1"/>
  <c r="Q243" i="115" a="1"/>
  <c r="Q243" i="115" s="1"/>
  <c r="P243" i="115" a="1"/>
  <c r="P243" i="115" s="1"/>
  <c r="O243" i="115" a="1"/>
  <c r="O243" i="115" s="1"/>
  <c r="N243" i="115" a="1"/>
  <c r="N243" i="115" s="1"/>
  <c r="M243" i="115" a="1"/>
  <c r="M243" i="115" s="1"/>
  <c r="L243" i="115" a="1"/>
  <c r="L243" i="115" s="1"/>
  <c r="K243" i="115" a="1"/>
  <c r="K243" i="115" s="1"/>
  <c r="J243" i="115" a="1"/>
  <c r="J243" i="115" s="1"/>
  <c r="I243" i="115" a="1"/>
  <c r="I243" i="115" s="1"/>
  <c r="H243" i="115" a="1"/>
  <c r="H243" i="115" s="1"/>
  <c r="G243" i="115" a="1"/>
  <c r="G243" i="115" s="1"/>
  <c r="F243" i="115" a="1"/>
  <c r="F243" i="115" s="1"/>
  <c r="E243" i="115" a="1"/>
  <c r="E243" i="115" s="1"/>
  <c r="D243" i="115" a="1"/>
  <c r="D243" i="115" s="1"/>
  <c r="S242" i="115" a="1"/>
  <c r="S242" i="115" s="1"/>
  <c r="R242" i="115" a="1"/>
  <c r="R242" i="115" s="1"/>
  <c r="Q242" i="115" a="1"/>
  <c r="Q242" i="115" s="1"/>
  <c r="P242" i="115" a="1"/>
  <c r="P242" i="115" s="1"/>
  <c r="O242" i="115" a="1"/>
  <c r="O242" i="115" s="1"/>
  <c r="N242" i="115" a="1"/>
  <c r="N242" i="115" s="1"/>
  <c r="M242" i="115" a="1"/>
  <c r="M242" i="115" s="1"/>
  <c r="L242" i="115" a="1"/>
  <c r="L242" i="115" s="1"/>
  <c r="K242" i="115" a="1"/>
  <c r="K242" i="115" s="1"/>
  <c r="J242" i="115" a="1"/>
  <c r="J242" i="115" s="1"/>
  <c r="I242" i="115" a="1"/>
  <c r="I242" i="115" s="1"/>
  <c r="H242" i="115" a="1"/>
  <c r="H242" i="115" s="1"/>
  <c r="G242" i="115" a="1"/>
  <c r="G242" i="115" s="1"/>
  <c r="F242" i="115" a="1"/>
  <c r="F242" i="115" s="1"/>
  <c r="E242" i="115" a="1"/>
  <c r="E242" i="115" s="1"/>
  <c r="D242" i="115" a="1"/>
  <c r="D242" i="115" s="1"/>
  <c r="S241" i="115" a="1"/>
  <c r="S241" i="115" s="1"/>
  <c r="R241" i="115" a="1"/>
  <c r="R241" i="115" s="1"/>
  <c r="Q241" i="115" a="1"/>
  <c r="Q241" i="115" s="1"/>
  <c r="P241" i="115" a="1"/>
  <c r="P241" i="115" s="1"/>
  <c r="O241" i="115" a="1"/>
  <c r="O241" i="115" s="1"/>
  <c r="N241" i="115" a="1"/>
  <c r="N241" i="115" s="1"/>
  <c r="M241" i="115" a="1"/>
  <c r="M241" i="115" s="1"/>
  <c r="L241" i="115" a="1"/>
  <c r="L241" i="115" s="1"/>
  <c r="K241" i="115" a="1"/>
  <c r="K241" i="115" s="1"/>
  <c r="J241" i="115" a="1"/>
  <c r="J241" i="115" s="1"/>
  <c r="I241" i="115" a="1"/>
  <c r="I241" i="115" s="1"/>
  <c r="H241" i="115" a="1"/>
  <c r="H241" i="115" s="1"/>
  <c r="G241" i="115" a="1"/>
  <c r="G241" i="115" s="1"/>
  <c r="F241" i="115" a="1"/>
  <c r="F241" i="115" s="1"/>
  <c r="E241" i="115" a="1"/>
  <c r="E241" i="115" s="1"/>
  <c r="D241" i="115" a="1"/>
  <c r="D241" i="115" s="1"/>
  <c r="S240" i="115" a="1"/>
  <c r="S240" i="115" s="1"/>
  <c r="R240" i="115" a="1"/>
  <c r="R240" i="115" s="1"/>
  <c r="Q240" i="115" a="1"/>
  <c r="Q240" i="115" s="1"/>
  <c r="P240" i="115" a="1"/>
  <c r="P240" i="115" s="1"/>
  <c r="O240" i="115" a="1"/>
  <c r="O240" i="115" s="1"/>
  <c r="N240" i="115" a="1"/>
  <c r="N240" i="115" s="1"/>
  <c r="M240" i="115" a="1"/>
  <c r="M240" i="115" s="1"/>
  <c r="L240" i="115" a="1"/>
  <c r="L240" i="115" s="1"/>
  <c r="K240" i="115" a="1"/>
  <c r="K240" i="115" s="1"/>
  <c r="J240" i="115" a="1"/>
  <c r="J240" i="115" s="1"/>
  <c r="I240" i="115" a="1"/>
  <c r="I240" i="115" s="1"/>
  <c r="H240" i="115" a="1"/>
  <c r="H240" i="115" s="1"/>
  <c r="G240" i="115" a="1"/>
  <c r="G240" i="115" s="1"/>
  <c r="F240" i="115" a="1"/>
  <c r="F240" i="115" s="1"/>
  <c r="E240" i="115" a="1"/>
  <c r="E240" i="115" s="1"/>
  <c r="D240" i="115" a="1"/>
  <c r="D240" i="115" s="1"/>
  <c r="S239" i="115" a="1"/>
  <c r="S239" i="115" s="1"/>
  <c r="R239" i="115" a="1"/>
  <c r="R239" i="115" s="1"/>
  <c r="Q239" i="115" a="1"/>
  <c r="Q239" i="115" s="1"/>
  <c r="P239" i="115" a="1"/>
  <c r="P239" i="115" s="1"/>
  <c r="O239" i="115" a="1"/>
  <c r="O239" i="115" s="1"/>
  <c r="N239" i="115" a="1"/>
  <c r="N239" i="115" s="1"/>
  <c r="M239" i="115" a="1"/>
  <c r="M239" i="115" s="1"/>
  <c r="L239" i="115" a="1"/>
  <c r="L239" i="115" s="1"/>
  <c r="K239" i="115" a="1"/>
  <c r="K239" i="115" s="1"/>
  <c r="J239" i="115" a="1"/>
  <c r="J239" i="115" s="1"/>
  <c r="I239" i="115" a="1"/>
  <c r="I239" i="115" s="1"/>
  <c r="H239" i="115" a="1"/>
  <c r="H239" i="115" s="1"/>
  <c r="G239" i="115" a="1"/>
  <c r="G239" i="115" s="1"/>
  <c r="F239" i="115" a="1"/>
  <c r="F239" i="115" s="1"/>
  <c r="E239" i="115" a="1"/>
  <c r="E239" i="115" s="1"/>
  <c r="D239" i="115" a="1"/>
  <c r="D239" i="115" s="1"/>
  <c r="S238" i="115" a="1"/>
  <c r="S238" i="115" s="1"/>
  <c r="R238" i="115" a="1"/>
  <c r="R238" i="115" s="1"/>
  <c r="Q238" i="115" a="1"/>
  <c r="Q238" i="115" s="1"/>
  <c r="P238" i="115" a="1"/>
  <c r="P238" i="115" s="1"/>
  <c r="O238" i="115" a="1"/>
  <c r="O238" i="115" s="1"/>
  <c r="N238" i="115" a="1"/>
  <c r="N238" i="115" s="1"/>
  <c r="M238" i="115" a="1"/>
  <c r="M238" i="115" s="1"/>
  <c r="L238" i="115" a="1"/>
  <c r="L238" i="115" s="1"/>
  <c r="K238" i="115" a="1"/>
  <c r="K238" i="115" s="1"/>
  <c r="J238" i="115" a="1"/>
  <c r="J238" i="115" s="1"/>
  <c r="I238" i="115" a="1"/>
  <c r="I238" i="115" s="1"/>
  <c r="H238" i="115" a="1"/>
  <c r="H238" i="115" s="1"/>
  <c r="G238" i="115" a="1"/>
  <c r="G238" i="115" s="1"/>
  <c r="F238" i="115" a="1"/>
  <c r="F238" i="115" s="1"/>
  <c r="E238" i="115" a="1"/>
  <c r="E238" i="115" s="1"/>
  <c r="D238" i="115" a="1"/>
  <c r="D238" i="115" s="1"/>
  <c r="S237" i="115" a="1"/>
  <c r="S237" i="115" s="1"/>
  <c r="R237" i="115" a="1"/>
  <c r="R237" i="115" s="1"/>
  <c r="Q237" i="115" a="1"/>
  <c r="Q237" i="115" s="1"/>
  <c r="P237" i="115" a="1"/>
  <c r="P237" i="115" s="1"/>
  <c r="O237" i="115" a="1"/>
  <c r="O237" i="115" s="1"/>
  <c r="N237" i="115" a="1"/>
  <c r="N237" i="115" s="1"/>
  <c r="M237" i="115" a="1"/>
  <c r="M237" i="115" s="1"/>
  <c r="L237" i="115" a="1"/>
  <c r="L237" i="115" s="1"/>
  <c r="K237" i="115" a="1"/>
  <c r="K237" i="115" s="1"/>
  <c r="J237" i="115" a="1"/>
  <c r="J237" i="115" s="1"/>
  <c r="I237" i="115" a="1"/>
  <c r="I237" i="115" s="1"/>
  <c r="H237" i="115" a="1"/>
  <c r="H237" i="115" s="1"/>
  <c r="G237" i="115" a="1"/>
  <c r="G237" i="115" s="1"/>
  <c r="F237" i="115" a="1"/>
  <c r="F237" i="115" s="1"/>
  <c r="E237" i="115" a="1"/>
  <c r="E237" i="115" s="1"/>
  <c r="D237" i="115" a="1"/>
  <c r="D237" i="115" s="1"/>
  <c r="S236" i="115" a="1"/>
  <c r="S236" i="115" s="1"/>
  <c r="R236" i="115" a="1"/>
  <c r="R236" i="115" s="1"/>
  <c r="Q236" i="115" a="1"/>
  <c r="Q236" i="115" s="1"/>
  <c r="P236" i="115" a="1"/>
  <c r="P236" i="115" s="1"/>
  <c r="O236" i="115" a="1"/>
  <c r="O236" i="115" s="1"/>
  <c r="N236" i="115" a="1"/>
  <c r="N236" i="115" s="1"/>
  <c r="M236" i="115" a="1"/>
  <c r="M236" i="115" s="1"/>
  <c r="L236" i="115" a="1"/>
  <c r="L236" i="115" s="1"/>
  <c r="K236" i="115" a="1"/>
  <c r="K236" i="115" s="1"/>
  <c r="J236" i="115" a="1"/>
  <c r="J236" i="115" s="1"/>
  <c r="I236" i="115" a="1"/>
  <c r="I236" i="115" s="1"/>
  <c r="H236" i="115" a="1"/>
  <c r="H236" i="115" s="1"/>
  <c r="G236" i="115" a="1"/>
  <c r="G236" i="115" s="1"/>
  <c r="F236" i="115" a="1"/>
  <c r="F236" i="115" s="1"/>
  <c r="E236" i="115" a="1"/>
  <c r="E236" i="115" s="1"/>
  <c r="D236" i="115" a="1"/>
  <c r="D236" i="115" s="1"/>
  <c r="S235" i="115" a="1"/>
  <c r="S235" i="115" s="1"/>
  <c r="R235" i="115" a="1"/>
  <c r="R235" i="115" s="1"/>
  <c r="Q235" i="115" a="1"/>
  <c r="Q235" i="115" s="1"/>
  <c r="P235" i="115" a="1"/>
  <c r="P235" i="115" s="1"/>
  <c r="O235" i="115" a="1"/>
  <c r="O235" i="115" s="1"/>
  <c r="N235" i="115" a="1"/>
  <c r="N235" i="115" s="1"/>
  <c r="M235" i="115" a="1"/>
  <c r="M235" i="115" s="1"/>
  <c r="L235" i="115" a="1"/>
  <c r="L235" i="115" s="1"/>
  <c r="K235" i="115" a="1"/>
  <c r="K235" i="115" s="1"/>
  <c r="J235" i="115" a="1"/>
  <c r="J235" i="115" s="1"/>
  <c r="I235" i="115" a="1"/>
  <c r="I235" i="115" s="1"/>
  <c r="H235" i="115" a="1"/>
  <c r="H235" i="115" s="1"/>
  <c r="G235" i="115" a="1"/>
  <c r="G235" i="115" s="1"/>
  <c r="F235" i="115" a="1"/>
  <c r="F235" i="115" s="1"/>
  <c r="E235" i="115" a="1"/>
  <c r="E235" i="115" s="1"/>
  <c r="D235" i="115" a="1"/>
  <c r="D235" i="115" s="1"/>
  <c r="S234" i="115" a="1"/>
  <c r="S234" i="115" s="1"/>
  <c r="R234" i="115" a="1"/>
  <c r="R234" i="115" s="1"/>
  <c r="Q234" i="115" a="1"/>
  <c r="Q234" i="115" s="1"/>
  <c r="P234" i="115" a="1"/>
  <c r="P234" i="115" s="1"/>
  <c r="O234" i="115" a="1"/>
  <c r="O234" i="115" s="1"/>
  <c r="N234" i="115" a="1"/>
  <c r="N234" i="115" s="1"/>
  <c r="M234" i="115" a="1"/>
  <c r="M234" i="115" s="1"/>
  <c r="L234" i="115" a="1"/>
  <c r="L234" i="115" s="1"/>
  <c r="K234" i="115" a="1"/>
  <c r="K234" i="115" s="1"/>
  <c r="J234" i="115" a="1"/>
  <c r="J234" i="115" s="1"/>
  <c r="I234" i="115" a="1"/>
  <c r="I234" i="115" s="1"/>
  <c r="H234" i="115" a="1"/>
  <c r="H234" i="115" s="1"/>
  <c r="G234" i="115" a="1"/>
  <c r="G234" i="115" s="1"/>
  <c r="F234" i="115" a="1"/>
  <c r="F234" i="115" s="1"/>
  <c r="E234" i="115" a="1"/>
  <c r="E234" i="115" s="1"/>
  <c r="D234" i="115" a="1"/>
  <c r="D234" i="115" s="1"/>
  <c r="S233" i="115" a="1"/>
  <c r="S233" i="115" s="1"/>
  <c r="R233" i="115" a="1"/>
  <c r="R233" i="115" s="1"/>
  <c r="Q233" i="115" a="1"/>
  <c r="Q233" i="115" s="1"/>
  <c r="P233" i="115" a="1"/>
  <c r="P233" i="115" s="1"/>
  <c r="O233" i="115" a="1"/>
  <c r="O233" i="115" s="1"/>
  <c r="N233" i="115" a="1"/>
  <c r="N233" i="115" s="1"/>
  <c r="M233" i="115" a="1"/>
  <c r="M233" i="115" s="1"/>
  <c r="L233" i="115" a="1"/>
  <c r="L233" i="115" s="1"/>
  <c r="K233" i="115" a="1"/>
  <c r="K233" i="115" s="1"/>
  <c r="J233" i="115" a="1"/>
  <c r="J233" i="115" s="1"/>
  <c r="I233" i="115" a="1"/>
  <c r="I233" i="115" s="1"/>
  <c r="H233" i="115" a="1"/>
  <c r="H233" i="115" s="1"/>
  <c r="G233" i="115" a="1"/>
  <c r="G233" i="115" s="1"/>
  <c r="F233" i="115" a="1"/>
  <c r="F233" i="115" s="1"/>
  <c r="E233" i="115" a="1"/>
  <c r="E233" i="115" s="1"/>
  <c r="D233" i="115" a="1"/>
  <c r="D233" i="115" s="1"/>
  <c r="S232" i="115" a="1"/>
  <c r="S232" i="115" s="1"/>
  <c r="R232" i="115" a="1"/>
  <c r="R232" i="115" s="1"/>
  <c r="Q232" i="115" a="1"/>
  <c r="Q232" i="115" s="1"/>
  <c r="P232" i="115" a="1"/>
  <c r="P232" i="115" s="1"/>
  <c r="O232" i="115" a="1"/>
  <c r="O232" i="115" s="1"/>
  <c r="N232" i="115" a="1"/>
  <c r="N232" i="115" s="1"/>
  <c r="M232" i="115" a="1"/>
  <c r="M232" i="115" s="1"/>
  <c r="L232" i="115" a="1"/>
  <c r="L232" i="115" s="1"/>
  <c r="K232" i="115" a="1"/>
  <c r="K232" i="115" s="1"/>
  <c r="J232" i="115" a="1"/>
  <c r="J232" i="115" s="1"/>
  <c r="I232" i="115" a="1"/>
  <c r="I232" i="115" s="1"/>
  <c r="H232" i="115" a="1"/>
  <c r="H232" i="115" s="1"/>
  <c r="G232" i="115" a="1"/>
  <c r="G232" i="115" s="1"/>
  <c r="F232" i="115" a="1"/>
  <c r="F232" i="115" s="1"/>
  <c r="E232" i="115" a="1"/>
  <c r="E232" i="115" s="1"/>
  <c r="D232" i="115" a="1"/>
  <c r="D232" i="115" s="1"/>
  <c r="D229" i="115" a="1"/>
  <c r="D229" i="115" s="1"/>
  <c r="D228" i="115" a="1"/>
  <c r="D228" i="115" s="1"/>
  <c r="D227" i="115"/>
  <c r="D227" i="115" a="1"/>
  <c r="E224" i="115" a="1"/>
  <c r="E224" i="115" s="1"/>
  <c r="D224" i="115" a="1"/>
  <c r="D224" i="115" s="1"/>
  <c r="E223" i="115" a="1"/>
  <c r="E223" i="115" s="1"/>
  <c r="D223" i="115" a="1"/>
  <c r="D223" i="115" s="1"/>
  <c r="E222" i="115" a="1"/>
  <c r="E222" i="115" s="1"/>
  <c r="D222" i="115" a="1"/>
  <c r="D222" i="115" s="1"/>
  <c r="E221" i="115" a="1"/>
  <c r="E221" i="115" s="1"/>
  <c r="D221" i="115" a="1"/>
  <c r="D221" i="115" s="1"/>
  <c r="E220" i="115" a="1"/>
  <c r="E220" i="115" s="1"/>
  <c r="D220" i="115" a="1"/>
  <c r="D220" i="115" s="1"/>
  <c r="E219" i="115" a="1"/>
  <c r="E219" i="115" s="1"/>
  <c r="D219" i="115" a="1"/>
  <c r="D219" i="115" s="1"/>
  <c r="E218" i="115" a="1"/>
  <c r="E218" i="115" s="1"/>
  <c r="D218" i="115" a="1"/>
  <c r="D218" i="115" s="1"/>
  <c r="E217" i="115" a="1"/>
  <c r="E217" i="115" s="1"/>
  <c r="D217" i="115" a="1"/>
  <c r="D217" i="115" s="1"/>
  <c r="E216" i="115" a="1"/>
  <c r="E216" i="115" s="1"/>
  <c r="D216" i="115" a="1"/>
  <c r="D216" i="115" s="1"/>
  <c r="E215" i="115" a="1"/>
  <c r="E215" i="115" s="1"/>
  <c r="D215" i="115" a="1"/>
  <c r="D215" i="115" s="1"/>
  <c r="E214" i="115" a="1"/>
  <c r="E214" i="115" s="1"/>
  <c r="D214" i="115" a="1"/>
  <c r="D214" i="115" s="1"/>
  <c r="E213" i="115" a="1"/>
  <c r="E213" i="115" s="1"/>
  <c r="D213" i="115" a="1"/>
  <c r="D213" i="115" s="1"/>
  <c r="D211" i="115" a="1"/>
  <c r="D211" i="115" s="1"/>
  <c r="E208" i="115" a="1"/>
  <c r="E208" i="115" s="1"/>
  <c r="D208" i="115" a="1"/>
  <c r="D208" i="115" s="1"/>
  <c r="E207" i="115" a="1"/>
  <c r="E207" i="115" s="1"/>
  <c r="D207" i="115" a="1"/>
  <c r="D207" i="115" s="1"/>
  <c r="D205" i="115" a="1"/>
  <c r="D205" i="115" s="1"/>
  <c r="D204" i="115" a="1"/>
  <c r="D204" i="115" s="1"/>
  <c r="D203" i="115" a="1"/>
  <c r="D203" i="115" s="1"/>
  <c r="D202" i="115" a="1"/>
  <c r="D202" i="115" s="1"/>
  <c r="H199" i="115" a="1"/>
  <c r="H199" i="115" s="1"/>
  <c r="G199" i="115" a="1"/>
  <c r="G199" i="115" s="1"/>
  <c r="F199" i="115" a="1"/>
  <c r="F199" i="115" s="1"/>
  <c r="E199" i="115" a="1"/>
  <c r="E199" i="115" s="1"/>
  <c r="D199" i="115" a="1"/>
  <c r="D199" i="115" s="1"/>
  <c r="H198" i="115" a="1"/>
  <c r="H198" i="115" s="1"/>
  <c r="G198" i="115" a="1"/>
  <c r="G198" i="115" s="1"/>
  <c r="F198" i="115" a="1"/>
  <c r="F198" i="115" s="1"/>
  <c r="E198" i="115" a="1"/>
  <c r="E198" i="115" s="1"/>
  <c r="D198" i="115" a="1"/>
  <c r="D198" i="115" s="1"/>
  <c r="H197" i="115" a="1"/>
  <c r="H197" i="115" s="1"/>
  <c r="G197" i="115" a="1"/>
  <c r="G197" i="115" s="1"/>
  <c r="F197" i="115" a="1"/>
  <c r="F197" i="115" s="1"/>
  <c r="E197" i="115" a="1"/>
  <c r="E197" i="115" s="1"/>
  <c r="D197" i="115" a="1"/>
  <c r="D197" i="115" s="1"/>
  <c r="H196" i="115" a="1"/>
  <c r="H196" i="115" s="1"/>
  <c r="G196" i="115" a="1"/>
  <c r="G196" i="115" s="1"/>
  <c r="F196" i="115" a="1"/>
  <c r="F196" i="115" s="1"/>
  <c r="E196" i="115" a="1"/>
  <c r="E196" i="115" s="1"/>
  <c r="D196" i="115" a="1"/>
  <c r="D196" i="115" s="1"/>
  <c r="H195" i="115" a="1"/>
  <c r="H195" i="115" s="1"/>
  <c r="G195" i="115" a="1"/>
  <c r="G195" i="115" s="1"/>
  <c r="F195" i="115" a="1"/>
  <c r="F195" i="115" s="1"/>
  <c r="E195" i="115" a="1"/>
  <c r="E195" i="115" s="1"/>
  <c r="D195" i="115" a="1"/>
  <c r="D195" i="115" s="1"/>
  <c r="H194" i="115" a="1"/>
  <c r="H194" i="115" s="1"/>
  <c r="G194" i="115" a="1"/>
  <c r="G194" i="115" s="1"/>
  <c r="F194" i="115" a="1"/>
  <c r="F194" i="115" s="1"/>
  <c r="E194" i="115" a="1"/>
  <c r="E194" i="115" s="1"/>
  <c r="D194" i="115" a="1"/>
  <c r="D194" i="115" s="1"/>
  <c r="H193" i="115" a="1"/>
  <c r="H193" i="115" s="1"/>
  <c r="G193" i="115" a="1"/>
  <c r="G193" i="115" s="1"/>
  <c r="F193" i="115" a="1"/>
  <c r="F193" i="115" s="1"/>
  <c r="E193" i="115" a="1"/>
  <c r="E193" i="115" s="1"/>
  <c r="D193" i="115" a="1"/>
  <c r="D193" i="115" s="1"/>
  <c r="H192" i="115" a="1"/>
  <c r="H192" i="115" s="1"/>
  <c r="G192" i="115" a="1"/>
  <c r="G192" i="115" s="1"/>
  <c r="F192" i="115" a="1"/>
  <c r="F192" i="115" s="1"/>
  <c r="E192" i="115" a="1"/>
  <c r="E192" i="115" s="1"/>
  <c r="D192" i="115" a="1"/>
  <c r="D192" i="115" s="1"/>
  <c r="H191" i="115" a="1"/>
  <c r="H191" i="115" s="1"/>
  <c r="G191" i="115" a="1"/>
  <c r="G191" i="115" s="1"/>
  <c r="F191" i="115" a="1"/>
  <c r="F191" i="115" s="1"/>
  <c r="E191" i="115" a="1"/>
  <c r="E191" i="115" s="1"/>
  <c r="D191" i="115" a="1"/>
  <c r="D191" i="115" s="1"/>
  <c r="H190" i="115" a="1"/>
  <c r="H190" i="115" s="1"/>
  <c r="G190" i="115" a="1"/>
  <c r="G190" i="115" s="1"/>
  <c r="F190" i="115" a="1"/>
  <c r="F190" i="115" s="1"/>
  <c r="E190" i="115" a="1"/>
  <c r="E190" i="115" s="1"/>
  <c r="D190" i="115" a="1"/>
  <c r="D190" i="115" s="1"/>
  <c r="H189" i="115" a="1"/>
  <c r="H189" i="115" s="1"/>
  <c r="G189" i="115" a="1"/>
  <c r="G189" i="115" s="1"/>
  <c r="F189" i="115" a="1"/>
  <c r="F189" i="115" s="1"/>
  <c r="E189" i="115" a="1"/>
  <c r="E189" i="115" s="1"/>
  <c r="D189" i="115" a="1"/>
  <c r="D189" i="115" s="1"/>
  <c r="H188" i="115" a="1"/>
  <c r="H188" i="115" s="1"/>
  <c r="G188" i="115" a="1"/>
  <c r="G188" i="115" s="1"/>
  <c r="F188" i="115" a="1"/>
  <c r="F188" i="115" s="1"/>
  <c r="E188" i="115" a="1"/>
  <c r="E188" i="115" s="1"/>
  <c r="D188" i="115" a="1"/>
  <c r="D188" i="115" s="1"/>
  <c r="H187" i="115" a="1"/>
  <c r="H187" i="115" s="1"/>
  <c r="G187" i="115" a="1"/>
  <c r="G187" i="115" s="1"/>
  <c r="F187" i="115" a="1"/>
  <c r="F187" i="115" s="1"/>
  <c r="E187" i="115" a="1"/>
  <c r="E187" i="115" s="1"/>
  <c r="D187" i="115" a="1"/>
  <c r="D187" i="115" s="1"/>
  <c r="D181" i="115" a="1"/>
  <c r="D181" i="115" s="1"/>
  <c r="D180" i="115" a="1"/>
  <c r="D180" i="115" s="1"/>
  <c r="D179" i="115" a="1"/>
  <c r="D179" i="115" s="1"/>
  <c r="D178" i="115" a="1"/>
  <c r="D178" i="115" s="1"/>
  <c r="E175" i="115" a="1"/>
  <c r="E175" i="115" s="1"/>
  <c r="D175" i="115" a="1"/>
  <c r="D175" i="115" s="1"/>
  <c r="D174" i="115" a="1"/>
  <c r="D174" i="115" s="1"/>
  <c r="D173" i="115" a="1"/>
  <c r="D173" i="115" s="1"/>
  <c r="D170" i="115" a="1"/>
  <c r="D170" i="115" s="1"/>
  <c r="D169" i="115" a="1"/>
  <c r="D169" i="115" s="1"/>
  <c r="D168" i="115" a="1"/>
  <c r="D168" i="115" s="1"/>
  <c r="D167" i="115" a="1"/>
  <c r="D167" i="115" s="1"/>
  <c r="D164" i="115" a="1"/>
  <c r="D164" i="115" s="1"/>
  <c r="D163" i="115" a="1"/>
  <c r="D163" i="115" s="1"/>
  <c r="D162" i="115" a="1"/>
  <c r="D162" i="115" s="1"/>
  <c r="D161" i="115" a="1"/>
  <c r="D161" i="115" s="1"/>
  <c r="E158" i="115" a="1"/>
  <c r="E158" i="115" s="1"/>
  <c r="D158" i="115" a="1"/>
  <c r="D158" i="115" s="1"/>
  <c r="E157" i="115" a="1"/>
  <c r="E157" i="115" s="1"/>
  <c r="D157" i="115" a="1"/>
  <c r="D157" i="115" s="1"/>
  <c r="E156" i="115" a="1"/>
  <c r="E156" i="115" s="1"/>
  <c r="D156" i="115" a="1"/>
  <c r="D156" i="115" s="1"/>
  <c r="E155" i="115" a="1"/>
  <c r="E155" i="115" s="1"/>
  <c r="D155" i="115" a="1"/>
  <c r="D155" i="115" s="1"/>
  <c r="E154" i="115" a="1"/>
  <c r="E154" i="115" s="1"/>
  <c r="D154" i="115" a="1"/>
  <c r="D154" i="115" s="1"/>
  <c r="D151" i="115" a="1"/>
  <c r="D151" i="115" s="1"/>
  <c r="D150" i="115" a="1"/>
  <c r="D150" i="115" s="1"/>
  <c r="E147" i="115" a="1"/>
  <c r="E147" i="115" s="1"/>
  <c r="D147" i="115" a="1"/>
  <c r="D147" i="115" s="1"/>
  <c r="E146" i="115" a="1"/>
  <c r="E146" i="115" s="1"/>
  <c r="D146" i="115" a="1"/>
  <c r="D146" i="115" s="1"/>
  <c r="E145" i="115" a="1"/>
  <c r="E145" i="115" s="1"/>
  <c r="D145" i="115" a="1"/>
  <c r="D145" i="115" s="1"/>
  <c r="E144" i="115" a="1"/>
  <c r="E144" i="115" s="1"/>
  <c r="D144" i="115" a="1"/>
  <c r="D144" i="115" s="1"/>
  <c r="E143" i="115" a="1"/>
  <c r="E143" i="115" s="1"/>
  <c r="D143" i="115" a="1"/>
  <c r="D143" i="115" s="1"/>
  <c r="D141" i="115" a="1"/>
  <c r="D141" i="115" s="1"/>
  <c r="D140" i="115" a="1"/>
  <c r="D140" i="115" s="1"/>
  <c r="D139" i="115" a="1"/>
  <c r="D139" i="115" s="1"/>
  <c r="E136" i="115" a="1"/>
  <c r="E136" i="115" s="1"/>
  <c r="D136" i="115" a="1"/>
  <c r="D136" i="115" s="1"/>
  <c r="E135" i="115" a="1"/>
  <c r="E135" i="115" s="1"/>
  <c r="D135" i="115" a="1"/>
  <c r="D135" i="115" s="1"/>
  <c r="D133" i="115" a="1"/>
  <c r="D133" i="115" s="1"/>
  <c r="D132" i="115" a="1"/>
  <c r="D132" i="115" s="1"/>
  <c r="E129" i="115" a="1"/>
  <c r="E129" i="115" s="1"/>
  <c r="D129" i="115" a="1"/>
  <c r="D129" i="115" s="1"/>
  <c r="E128" i="115" a="1"/>
  <c r="E128" i="115" s="1"/>
  <c r="D128" i="115" a="1"/>
  <c r="D128" i="115" s="1"/>
  <c r="D125" i="115"/>
  <c r="D125" i="115" a="1"/>
  <c r="D124" i="115" a="1"/>
  <c r="D124" i="115" s="1"/>
  <c r="G121" i="115" a="1"/>
  <c r="G121" i="115" s="1"/>
  <c r="F121" i="115" a="1"/>
  <c r="F121" i="115" s="1"/>
  <c r="E121" i="115" a="1"/>
  <c r="E121" i="115" s="1"/>
  <c r="D121" i="115" a="1"/>
  <c r="D121" i="115" s="1"/>
  <c r="G120" i="115" a="1"/>
  <c r="G120" i="115" s="1"/>
  <c r="F120" i="115" a="1"/>
  <c r="F120" i="115" s="1"/>
  <c r="E120" i="115" a="1"/>
  <c r="E120" i="115" s="1"/>
  <c r="D120" i="115" a="1"/>
  <c r="D120" i="115" s="1"/>
  <c r="D117" i="115" a="1"/>
  <c r="D117" i="115" s="1"/>
  <c r="D116" i="115" a="1"/>
  <c r="D116" i="115" s="1"/>
  <c r="D115" i="115" a="1"/>
  <c r="D115" i="115" s="1"/>
  <c r="G112" i="115" a="1"/>
  <c r="G112" i="115" s="1"/>
  <c r="F112" i="115" a="1"/>
  <c r="F112" i="115" s="1"/>
  <c r="E112" i="115" a="1"/>
  <c r="E112" i="115" s="1"/>
  <c r="D112" i="115" a="1"/>
  <c r="D112" i="115" s="1"/>
  <c r="G111" i="115" a="1"/>
  <c r="G111" i="115" s="1"/>
  <c r="F111" i="115" a="1"/>
  <c r="F111" i="115" s="1"/>
  <c r="E111" i="115" a="1"/>
  <c r="E111" i="115" s="1"/>
  <c r="D111" i="115" a="1"/>
  <c r="D111" i="115" s="1"/>
  <c r="G110" i="115" a="1"/>
  <c r="G110" i="115" s="1"/>
  <c r="F110" i="115" a="1"/>
  <c r="F110" i="115" s="1"/>
  <c r="E110" i="115" a="1"/>
  <c r="E110" i="115" s="1"/>
  <c r="D110" i="115" a="1"/>
  <c r="D110" i="115" s="1"/>
  <c r="D107" i="115" a="1"/>
  <c r="D107" i="115" s="1"/>
  <c r="D106" i="115" a="1"/>
  <c r="D106" i="115" s="1"/>
  <c r="D105" i="115" a="1"/>
  <c r="D105" i="115" s="1"/>
  <c r="D99" i="115" a="1"/>
  <c r="D99" i="115" s="1"/>
  <c r="S97" i="115" a="1"/>
  <c r="S97" i="115" s="1"/>
  <c r="R97" i="115" a="1"/>
  <c r="R97" i="115" s="1"/>
  <c r="Q97" i="115" a="1"/>
  <c r="Q97" i="115" s="1"/>
  <c r="P97" i="115" a="1"/>
  <c r="P97" i="115" s="1"/>
  <c r="O97" i="115" a="1"/>
  <c r="O97" i="115" s="1"/>
  <c r="N97" i="115" a="1"/>
  <c r="N97" i="115" s="1"/>
  <c r="M97" i="115" a="1"/>
  <c r="M97" i="115" s="1"/>
  <c r="L97" i="115" a="1"/>
  <c r="L97" i="115" s="1"/>
  <c r="K97" i="115" a="1"/>
  <c r="K97" i="115" s="1"/>
  <c r="J97" i="115" a="1"/>
  <c r="J97" i="115" s="1"/>
  <c r="I97" i="115" a="1"/>
  <c r="I97" i="115" s="1"/>
  <c r="H97" i="115" a="1"/>
  <c r="H97" i="115" s="1"/>
  <c r="G97" i="115" a="1"/>
  <c r="G97" i="115" s="1"/>
  <c r="F97" i="115" a="1"/>
  <c r="F97" i="115" s="1"/>
  <c r="E97" i="115" a="1"/>
  <c r="E97" i="115" s="1"/>
  <c r="D97" i="115" a="1"/>
  <c r="D97" i="115" s="1"/>
  <c r="S96" i="115" a="1"/>
  <c r="S96" i="115" s="1"/>
  <c r="R96" i="115" a="1"/>
  <c r="R96" i="115" s="1"/>
  <c r="Q96" i="115" a="1"/>
  <c r="Q96" i="115" s="1"/>
  <c r="P96" i="115" a="1"/>
  <c r="P96" i="115" s="1"/>
  <c r="O96" i="115" a="1"/>
  <c r="O96" i="115" s="1"/>
  <c r="N96" i="115" a="1"/>
  <c r="N96" i="115" s="1"/>
  <c r="M96" i="115" a="1"/>
  <c r="M96" i="115" s="1"/>
  <c r="L96" i="115" a="1"/>
  <c r="L96" i="115" s="1"/>
  <c r="K96" i="115" a="1"/>
  <c r="K96" i="115" s="1"/>
  <c r="J96" i="115" a="1"/>
  <c r="J96" i="115" s="1"/>
  <c r="I96" i="115" a="1"/>
  <c r="I96" i="115" s="1"/>
  <c r="H96" i="115" a="1"/>
  <c r="H96" i="115" s="1"/>
  <c r="G96" i="115" a="1"/>
  <c r="G96" i="115" s="1"/>
  <c r="F96" i="115" a="1"/>
  <c r="F96" i="115" s="1"/>
  <c r="E96" i="115" a="1"/>
  <c r="E96" i="115" s="1"/>
  <c r="D96" i="115" a="1"/>
  <c r="D96" i="115" s="1"/>
  <c r="S95" i="115" a="1"/>
  <c r="S95" i="115" s="1"/>
  <c r="R95" i="115" a="1"/>
  <c r="R95" i="115" s="1"/>
  <c r="Q95" i="115" a="1"/>
  <c r="Q95" i="115" s="1"/>
  <c r="P95" i="115" a="1"/>
  <c r="P95" i="115" s="1"/>
  <c r="O95" i="115" a="1"/>
  <c r="O95" i="115" s="1"/>
  <c r="N95" i="115" a="1"/>
  <c r="N95" i="115" s="1"/>
  <c r="M95" i="115" a="1"/>
  <c r="M95" i="115" s="1"/>
  <c r="L95" i="115" a="1"/>
  <c r="L95" i="115" s="1"/>
  <c r="K95" i="115" a="1"/>
  <c r="K95" i="115" s="1"/>
  <c r="J95" i="115" a="1"/>
  <c r="J95" i="115" s="1"/>
  <c r="I95" i="115" a="1"/>
  <c r="I95" i="115" s="1"/>
  <c r="H95" i="115" a="1"/>
  <c r="H95" i="115" s="1"/>
  <c r="G95" i="115" a="1"/>
  <c r="G95" i="115" s="1"/>
  <c r="F95" i="115" a="1"/>
  <c r="F95" i="115" s="1"/>
  <c r="E95" i="115" a="1"/>
  <c r="E95" i="115" s="1"/>
  <c r="D95" i="115" a="1"/>
  <c r="D95" i="115" s="1"/>
  <c r="S94" i="115" a="1"/>
  <c r="S94" i="115" s="1"/>
  <c r="R94" i="115" a="1"/>
  <c r="R94" i="115" s="1"/>
  <c r="Q94" i="115" a="1"/>
  <c r="Q94" i="115" s="1"/>
  <c r="P94" i="115" a="1"/>
  <c r="P94" i="115" s="1"/>
  <c r="O94" i="115" a="1"/>
  <c r="O94" i="115" s="1"/>
  <c r="N94" i="115" a="1"/>
  <c r="N94" i="115" s="1"/>
  <c r="M94" i="115" a="1"/>
  <c r="M94" i="115" s="1"/>
  <c r="L94" i="115" a="1"/>
  <c r="L94" i="115" s="1"/>
  <c r="K94" i="115" a="1"/>
  <c r="K94" i="115" s="1"/>
  <c r="J94" i="115" a="1"/>
  <c r="J94" i="115" s="1"/>
  <c r="I94" i="115" a="1"/>
  <c r="I94" i="115" s="1"/>
  <c r="H94" i="115" a="1"/>
  <c r="H94" i="115" s="1"/>
  <c r="G94" i="115" a="1"/>
  <c r="G94" i="115" s="1"/>
  <c r="F94" i="115" a="1"/>
  <c r="F94" i="115" s="1"/>
  <c r="E94" i="115" a="1"/>
  <c r="E94" i="115" s="1"/>
  <c r="D94" i="115" a="1"/>
  <c r="D94" i="115" s="1"/>
  <c r="S93" i="115" a="1"/>
  <c r="S93" i="115" s="1"/>
  <c r="R93" i="115" a="1"/>
  <c r="R93" i="115" s="1"/>
  <c r="Q93" i="115" a="1"/>
  <c r="Q93" i="115" s="1"/>
  <c r="P93" i="115" a="1"/>
  <c r="P93" i="115" s="1"/>
  <c r="O93" i="115" a="1"/>
  <c r="O93" i="115" s="1"/>
  <c r="N93" i="115" a="1"/>
  <c r="N93" i="115" s="1"/>
  <c r="M93" i="115" a="1"/>
  <c r="M93" i="115" s="1"/>
  <c r="L93" i="115" a="1"/>
  <c r="L93" i="115" s="1"/>
  <c r="K93" i="115" a="1"/>
  <c r="K93" i="115" s="1"/>
  <c r="J93" i="115" a="1"/>
  <c r="J93" i="115" s="1"/>
  <c r="I93" i="115" a="1"/>
  <c r="I93" i="115" s="1"/>
  <c r="H93" i="115" a="1"/>
  <c r="H93" i="115" s="1"/>
  <c r="G93" i="115" a="1"/>
  <c r="G93" i="115" s="1"/>
  <c r="F93" i="115" a="1"/>
  <c r="F93" i="115" s="1"/>
  <c r="E93" i="115" a="1"/>
  <c r="E93" i="115" s="1"/>
  <c r="D93" i="115" a="1"/>
  <c r="D93" i="115" s="1"/>
  <c r="S92" i="115" a="1"/>
  <c r="S92" i="115" s="1"/>
  <c r="R92" i="115" a="1"/>
  <c r="R92" i="115" s="1"/>
  <c r="Q92" i="115" a="1"/>
  <c r="Q92" i="115" s="1"/>
  <c r="P92" i="115" a="1"/>
  <c r="P92" i="115" s="1"/>
  <c r="O92" i="115" a="1"/>
  <c r="O92" i="115" s="1"/>
  <c r="N92" i="115" a="1"/>
  <c r="N92" i="115" s="1"/>
  <c r="M92" i="115" a="1"/>
  <c r="M92" i="115" s="1"/>
  <c r="L92" i="115" a="1"/>
  <c r="L92" i="115" s="1"/>
  <c r="K92" i="115" a="1"/>
  <c r="K92" i="115" s="1"/>
  <c r="J92" i="115" a="1"/>
  <c r="J92" i="115" s="1"/>
  <c r="I92" i="115" a="1"/>
  <c r="I92" i="115" s="1"/>
  <c r="H92" i="115" a="1"/>
  <c r="H92" i="115" s="1"/>
  <c r="G92" i="115" a="1"/>
  <c r="G92" i="115" s="1"/>
  <c r="F92" i="115" a="1"/>
  <c r="F92" i="115" s="1"/>
  <c r="E92" i="115" a="1"/>
  <c r="E92" i="115" s="1"/>
  <c r="D92" i="115" a="1"/>
  <c r="D92" i="115" s="1"/>
  <c r="S91" i="115" a="1"/>
  <c r="S91" i="115" s="1"/>
  <c r="R91" i="115" a="1"/>
  <c r="R91" i="115" s="1"/>
  <c r="Q91" i="115" a="1"/>
  <c r="Q91" i="115" s="1"/>
  <c r="P91" i="115" a="1"/>
  <c r="P91" i="115" s="1"/>
  <c r="O91" i="115" a="1"/>
  <c r="O91" i="115" s="1"/>
  <c r="N91" i="115" a="1"/>
  <c r="N91" i="115" s="1"/>
  <c r="M91" i="115" a="1"/>
  <c r="M91" i="115" s="1"/>
  <c r="L91" i="115" a="1"/>
  <c r="L91" i="115" s="1"/>
  <c r="K91" i="115" a="1"/>
  <c r="K91" i="115" s="1"/>
  <c r="J91" i="115" a="1"/>
  <c r="J91" i="115" s="1"/>
  <c r="I91" i="115" a="1"/>
  <c r="I91" i="115" s="1"/>
  <c r="H91" i="115" a="1"/>
  <c r="H91" i="115" s="1"/>
  <c r="G91" i="115" a="1"/>
  <c r="G91" i="115" s="1"/>
  <c r="F91" i="115" a="1"/>
  <c r="F91" i="115" s="1"/>
  <c r="E91" i="115" a="1"/>
  <c r="E91" i="115" s="1"/>
  <c r="D91" i="115" a="1"/>
  <c r="D91" i="115" s="1"/>
  <c r="S90" i="115" a="1"/>
  <c r="S90" i="115" s="1"/>
  <c r="R90" i="115" a="1"/>
  <c r="R90" i="115" s="1"/>
  <c r="Q90" i="115" a="1"/>
  <c r="Q90" i="115" s="1"/>
  <c r="P90" i="115" a="1"/>
  <c r="P90" i="115" s="1"/>
  <c r="O90" i="115" a="1"/>
  <c r="O90" i="115" s="1"/>
  <c r="N90" i="115" a="1"/>
  <c r="N90" i="115" s="1"/>
  <c r="M90" i="115" a="1"/>
  <c r="M90" i="115" s="1"/>
  <c r="L90" i="115" a="1"/>
  <c r="L90" i="115" s="1"/>
  <c r="K90" i="115" a="1"/>
  <c r="K90" i="115" s="1"/>
  <c r="J90" i="115" a="1"/>
  <c r="J90" i="115" s="1"/>
  <c r="I90" i="115" a="1"/>
  <c r="I90" i="115" s="1"/>
  <c r="H90" i="115" a="1"/>
  <c r="H90" i="115" s="1"/>
  <c r="G90" i="115" a="1"/>
  <c r="G90" i="115" s="1"/>
  <c r="F90" i="115" a="1"/>
  <c r="F90" i="115" s="1"/>
  <c r="E90" i="115" a="1"/>
  <c r="E90" i="115" s="1"/>
  <c r="D90" i="115" a="1"/>
  <c r="D90" i="115" s="1"/>
  <c r="D83" i="115" a="1"/>
  <c r="D83" i="115" s="1"/>
  <c r="D82" i="115" a="1"/>
  <c r="D82" i="115" s="1"/>
  <c r="D81" i="115" a="1"/>
  <c r="D81" i="115" s="1"/>
  <c r="E77" i="115" a="1"/>
  <c r="E77" i="115" s="1"/>
  <c r="D77" i="115" a="1"/>
  <c r="D77" i="115" s="1"/>
  <c r="E76" i="115" a="1"/>
  <c r="E76" i="115" s="1"/>
  <c r="D76" i="115" a="1"/>
  <c r="D76" i="115" s="1"/>
  <c r="E75" i="115" a="1"/>
  <c r="E75" i="115" s="1"/>
  <c r="D75" i="115" a="1"/>
  <c r="D75" i="115" s="1"/>
  <c r="E74" i="115" a="1"/>
  <c r="E74" i="115" s="1"/>
  <c r="D74" i="115" a="1"/>
  <c r="D74" i="115" s="1"/>
  <c r="E73" i="115" a="1"/>
  <c r="E73" i="115" s="1"/>
  <c r="D73" i="115" a="1"/>
  <c r="D73" i="115" s="1"/>
  <c r="E72" i="115" a="1"/>
  <c r="E72" i="115" s="1"/>
  <c r="D72" i="115" a="1"/>
  <c r="D72" i="115" s="1"/>
  <c r="E71" i="115" a="1"/>
  <c r="E71" i="115" s="1"/>
  <c r="D71" i="115" a="1"/>
  <c r="D71" i="115" s="1"/>
  <c r="E70" i="115" a="1"/>
  <c r="E70" i="115" s="1"/>
  <c r="D70" i="115" a="1"/>
  <c r="D70" i="115" s="1"/>
  <c r="E69" i="115" a="1"/>
  <c r="E69" i="115" s="1"/>
  <c r="D69" i="115" a="1"/>
  <c r="D69" i="115" s="1"/>
  <c r="E68" i="115" a="1"/>
  <c r="E68" i="115" s="1"/>
  <c r="D68" i="115" a="1"/>
  <c r="D68" i="115" s="1"/>
  <c r="E67" i="115" a="1"/>
  <c r="E67" i="115" s="1"/>
  <c r="D67" i="115" a="1"/>
  <c r="D67" i="115" s="1"/>
  <c r="E66" i="115" a="1"/>
  <c r="E66" i="115" s="1"/>
  <c r="D66" i="115" a="1"/>
  <c r="D66" i="115" s="1"/>
  <c r="E65" i="115" a="1"/>
  <c r="E65" i="115" s="1"/>
  <c r="D65" i="115" a="1"/>
  <c r="D65" i="115" s="1"/>
  <c r="E64" i="115" a="1"/>
  <c r="E64" i="115" s="1"/>
  <c r="D64" i="115" a="1"/>
  <c r="D64" i="115" s="1"/>
  <c r="D59" i="115" a="1"/>
  <c r="D59" i="115" s="1"/>
  <c r="D58" i="115" a="1"/>
  <c r="D58" i="115" s="1"/>
  <c r="D57" i="115" a="1"/>
  <c r="D57" i="115" s="1"/>
  <c r="G54" i="115" a="1"/>
  <c r="G54" i="115" s="1"/>
  <c r="F54" i="115" a="1"/>
  <c r="F54" i="115" s="1"/>
  <c r="E54" i="115" a="1"/>
  <c r="E54" i="115" s="1"/>
  <c r="D54" i="115" a="1"/>
  <c r="D54" i="115" s="1"/>
  <c r="G53" i="115" a="1"/>
  <c r="G53" i="115" s="1"/>
  <c r="F53" i="115" a="1"/>
  <c r="F53" i="115" s="1"/>
  <c r="E53" i="115" a="1"/>
  <c r="E53" i="115" s="1"/>
  <c r="D53" i="115" a="1"/>
  <c r="D53" i="115" s="1"/>
  <c r="G52" i="115" a="1"/>
  <c r="G52" i="115" s="1"/>
  <c r="F52" i="115" a="1"/>
  <c r="F52" i="115" s="1"/>
  <c r="E52" i="115" a="1"/>
  <c r="E52" i="115" s="1"/>
  <c r="D52" i="115" a="1"/>
  <c r="D52" i="115" s="1"/>
  <c r="G51" i="115" a="1"/>
  <c r="G51" i="115" s="1"/>
  <c r="F51" i="115" a="1"/>
  <c r="F51" i="115" s="1"/>
  <c r="E51" i="115" a="1"/>
  <c r="E51" i="115" s="1"/>
  <c r="D51" i="115" a="1"/>
  <c r="D51" i="115" s="1"/>
  <c r="G50" i="115" a="1"/>
  <c r="G50" i="115" s="1"/>
  <c r="F50" i="115" a="1"/>
  <c r="F50" i="115" s="1"/>
  <c r="E50" i="115" a="1"/>
  <c r="E50" i="115" s="1"/>
  <c r="D50" i="115" a="1"/>
  <c r="D50" i="115" s="1"/>
  <c r="G49" i="115" a="1"/>
  <c r="G49" i="115" s="1"/>
  <c r="F49" i="115" a="1"/>
  <c r="F49" i="115" s="1"/>
  <c r="E49" i="115" a="1"/>
  <c r="E49" i="115" s="1"/>
  <c r="D49" i="115" a="1"/>
  <c r="D49" i="115" s="1"/>
  <c r="G48" i="115" a="1"/>
  <c r="G48" i="115" s="1"/>
  <c r="F48" i="115" a="1"/>
  <c r="F48" i="115" s="1"/>
  <c r="E48" i="115" a="1"/>
  <c r="E48" i="115" s="1"/>
  <c r="D48" i="115" a="1"/>
  <c r="D48" i="115" s="1"/>
  <c r="D46" i="115" a="1"/>
  <c r="D46" i="115" s="1"/>
  <c r="D45" i="115" a="1"/>
  <c r="D45" i="115" s="1"/>
  <c r="E43" i="115" a="1"/>
  <c r="E43" i="115" s="1"/>
  <c r="D43" i="115" a="1"/>
  <c r="D43" i="115" s="1"/>
  <c r="E42" i="115" a="1"/>
  <c r="E42" i="115" s="1"/>
  <c r="D42" i="115" a="1"/>
  <c r="D42" i="115" s="1"/>
  <c r="E41" i="115" a="1"/>
  <c r="E41" i="115" s="1"/>
  <c r="D41" i="115" a="1"/>
  <c r="D41" i="115" s="1"/>
  <c r="E40" i="115" a="1"/>
  <c r="E40" i="115" s="1"/>
  <c r="D40" i="115" a="1"/>
  <c r="D40" i="115" s="1"/>
  <c r="E39" i="115" a="1"/>
  <c r="E39" i="115" s="1"/>
  <c r="D39" i="115" a="1"/>
  <c r="D39" i="115" s="1"/>
  <c r="E38" i="115" a="1"/>
  <c r="E38" i="115" s="1"/>
  <c r="D38" i="115" a="1"/>
  <c r="D38" i="115" s="1"/>
  <c r="E37" i="115" a="1"/>
  <c r="E37" i="115" s="1"/>
  <c r="D37" i="115" a="1"/>
  <c r="D37" i="115" s="1"/>
  <c r="D35" i="115" a="1"/>
  <c r="D35" i="115" s="1"/>
  <c r="D34" i="115" a="1"/>
  <c r="D34" i="115" s="1"/>
  <c r="D30" i="115" a="1"/>
  <c r="D30" i="115" s="1"/>
  <c r="D29" i="115" a="1"/>
  <c r="D29" i="115" s="1"/>
  <c r="D28" i="115" a="1"/>
  <c r="D28" i="115" s="1"/>
  <c r="D27" i="115" a="1"/>
  <c r="D27" i="115" s="1"/>
  <c r="D26" i="115" a="1"/>
  <c r="D26" i="115" s="1"/>
  <c r="D25" i="115" a="1"/>
  <c r="D25" i="115" s="1"/>
  <c r="D24" i="115" a="1"/>
  <c r="D24" i="115" s="1"/>
  <c r="D23" i="115" a="1"/>
  <c r="D23" i="115" s="1"/>
  <c r="D22" i="115" a="1"/>
  <c r="D22" i="115" s="1"/>
  <c r="D21" i="115" a="1"/>
  <c r="D21" i="115" s="1"/>
  <c r="D19" i="115" a="1"/>
  <c r="D19" i="115" s="1"/>
  <c r="D18" i="115" a="1"/>
  <c r="D18" i="115" s="1"/>
  <c r="F14" i="115" a="1"/>
  <c r="F14" i="115" s="1"/>
  <c r="E14" i="115" a="1"/>
  <c r="E14" i="115" s="1"/>
  <c r="D14" i="115" a="1"/>
  <c r="D14" i="115" s="1"/>
  <c r="F13" i="115" a="1"/>
  <c r="F13" i="115" s="1"/>
  <c r="E13" i="115" a="1"/>
  <c r="E13" i="115" s="1"/>
  <c r="D13" i="115" a="1"/>
  <c r="D13" i="115" s="1"/>
  <c r="F12" i="115" a="1"/>
  <c r="F12" i="115" s="1"/>
  <c r="E12" i="115" a="1"/>
  <c r="E12" i="115" s="1"/>
  <c r="D12" i="115" a="1"/>
  <c r="D12" i="115" s="1"/>
  <c r="F11" i="115" a="1"/>
  <c r="F11" i="115" s="1"/>
  <c r="E11" i="115" a="1"/>
  <c r="E11" i="115" s="1"/>
  <c r="D11" i="115" a="1"/>
  <c r="D11" i="115" s="1"/>
  <c r="F10" i="115" a="1"/>
  <c r="F10" i="115" s="1"/>
  <c r="E10" i="115" a="1"/>
  <c r="E10" i="115" s="1"/>
  <c r="D10" i="115" a="1"/>
  <c r="D10" i="115" s="1"/>
  <c r="F9" i="115" a="1"/>
  <c r="F9" i="115" s="1"/>
  <c r="E9" i="115" a="1"/>
  <c r="E9" i="115" s="1"/>
  <c r="D9" i="115" a="1"/>
  <c r="D9" i="115" s="1"/>
  <c r="F8" i="115" a="1"/>
  <c r="F8" i="115" s="1"/>
  <c r="E8" i="115" a="1"/>
  <c r="E8" i="115" s="1"/>
  <c r="D8" i="115" a="1"/>
  <c r="D8" i="115" s="1"/>
  <c r="A8" i="115"/>
  <c r="F7" i="115" a="1"/>
  <c r="F7" i="115" s="1"/>
  <c r="E7" i="115" a="1"/>
  <c r="E7" i="115" s="1"/>
  <c r="D7" i="115" a="1"/>
  <c r="D7" i="115" s="1"/>
  <c r="A7" i="115"/>
  <c r="D5" i="115" a="1"/>
  <c r="D5" i="115" s="1"/>
  <c r="A3" i="115"/>
  <c r="A8" i="71"/>
  <c r="A7" i="71"/>
  <c r="A3" i="71"/>
  <c r="E13" i="15"/>
  <c r="D7" i="70" s="1"/>
  <c r="A21" i="43"/>
  <c r="A20" i="43"/>
  <c r="A19" i="43"/>
  <c r="A18" i="43"/>
  <c r="A14" i="43"/>
  <c r="A10" i="43"/>
  <c r="A9" i="43"/>
  <c r="A5" i="43"/>
  <c r="A4" i="43"/>
  <c r="A3" i="43"/>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9"/>
  <c r="A20" i="109"/>
  <c r="A19" i="109"/>
  <c r="A18" i="109"/>
  <c r="A14" i="109"/>
  <c r="A10" i="109"/>
  <c r="A9" i="109"/>
  <c r="A5" i="109"/>
  <c r="A4" i="109"/>
  <c r="A3" i="109"/>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53" i="115" l="1"/>
  <c r="H54" i="115"/>
  <c r="H49" i="115"/>
  <c r="H50" i="115"/>
  <c r="H48" i="115"/>
  <c r="D6" i="70"/>
  <c r="H51" i="115"/>
  <c r="H52" i="115"/>
  <c r="Q56" i="69"/>
  <c r="E7" i="69"/>
  <c r="I15" i="69"/>
  <c r="I14" i="69"/>
  <c r="A266" i="69" l="1"/>
  <c r="A231" i="69"/>
  <c r="A213" i="69"/>
  <c r="A186" i="69"/>
  <c r="I13" i="69" a="1"/>
  <c r="I13" i="69" s="1"/>
  <c r="H21" i="69"/>
  <c r="H46" i="69"/>
  <c r="H51" i="69" l="1"/>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5" i="70" l="1" a="1"/>
  <c r="H15" i="70" s="1"/>
  <c r="F15" i="70" a="1"/>
  <c r="F15" i="70" s="1"/>
  <c r="E15" i="70" a="1"/>
  <c r="E15" i="70" s="1"/>
  <c r="H12" i="70" a="1"/>
  <c r="H12" i="70" s="1"/>
  <c r="G12" i="70" a="1"/>
  <c r="G12" i="70" s="1"/>
  <c r="F12" i="70" a="1"/>
  <c r="F12" i="70" s="1"/>
  <c r="E12" i="70" a="1"/>
  <c r="E12" i="70" s="1"/>
  <c r="G15" i="70" a="1"/>
  <c r="G15" i="70" s="1"/>
  <c r="D20" i="69" l="1" a="1"/>
  <c r="D20" i="69" s="1"/>
  <c r="M20" i="69" a="1"/>
  <c r="M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G26" i="69" l="1" a="1"/>
  <c r="G26" i="69" s="1"/>
  <c r="G56" i="69" s="1" a="1"/>
  <c r="G56" i="69" s="1"/>
  <c r="P26" i="69" a="1"/>
  <c r="P26" i="69" s="1"/>
  <c r="P56" i="69" s="1" a="1"/>
  <c r="P56" i="69" s="1"/>
  <c r="F26" i="69" a="1"/>
  <c r="F26" i="69" s="1"/>
  <c r="F56" i="69" s="1" a="1"/>
  <c r="F56" i="69" s="1"/>
  <c r="M26" i="69" a="1"/>
  <c r="M26" i="69" s="1"/>
  <c r="M56" i="69" s="1" a="1"/>
  <c r="M56" i="69" s="1"/>
  <c r="N26" i="69" a="1"/>
  <c r="N26" i="69" s="1"/>
  <c r="N56" i="69" s="1" a="1"/>
  <c r="N56" i="69" s="1"/>
  <c r="O26" i="69" a="1"/>
  <c r="O26" i="69" s="1"/>
  <c r="O56" i="69" s="1" a="1"/>
  <c r="O56" i="69" s="1"/>
  <c r="D26" i="69" a="1"/>
  <c r="D26" i="69" s="1"/>
  <c r="D56" i="69" s="1" a="1"/>
  <c r="D56" i="69" s="1"/>
  <c r="E26" i="69" a="1"/>
  <c r="E26" i="69" s="1"/>
  <c r="E56" i="69" s="1" a="1"/>
  <c r="E56" i="69" s="1"/>
  <c r="F58" i="69"/>
  <c r="H26" i="69"/>
  <c r="E32" i="69"/>
  <c r="H56" i="69"/>
  <c r="N58" i="69" l="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P60" i="69" l="1"/>
  <c r="N63" i="69" s="1" a="1"/>
  <c r="N63" i="69" s="1"/>
  <c r="I7" i="13" s="1"/>
  <c r="I8" i="13" s="1"/>
  <c r="F7" i="13"/>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58" i="69" l="1"/>
  <c r="E7" i="13" l="1"/>
  <c r="G60" i="69"/>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<sst xmlns="http://schemas.openxmlformats.org/spreadsheetml/2006/main" count="313" uniqueCount="224">
  <si>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</si>
  <si>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</si>
  <si>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</si>
  <si>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</si>
  <si>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</si>
  <si>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</si>
  <si>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</si>
  <si>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</si>
  <si>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</si>
  <si>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</si>
  <si>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</si>
  <si>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</si>
  <si>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</si>
  <si>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</si>
  <si>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</si>
  <si>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</si>
  <si>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</si>
  <si>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</si>
  <si>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</si>
  <si>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</si>
  <si>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</si>
  <si>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</si>
  <si>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</si>
  <si>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</si>
  <si>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</si>
  <si>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</si>
  <si>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</si>
  <si>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</si>
  <si>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</si>
  <si>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</si>
  <si>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</si>
  <si>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</si>
  <si>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</si>
  <si>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</si>
  <si>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</si>
  <si>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</si>
  <si>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</si>
  <si>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</si>
  <si>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</si>
  <si>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</si>
  <si>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</si>
  <si>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</si>
  <si>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</si>
  <si>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</si>
  <si>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</si>
  <si>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</si>
  <si>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</si>
  <si>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</si>
  <si>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</si>
  <si>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</si>
  <si>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</si>
  <si>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</si>
  <si>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</si>
  <si>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</si>
  <si>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</si>
  <si>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</si>
  <si>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</si>
  <si>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</si>
  <si>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</si>
  <si>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</si>
  <si>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</si>
  <si>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</si>
  <si>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</si>
  <si>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</si>
  <si>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</si>
  <si>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</si>
  <si>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</si>
  <si>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</si>
  <si>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</si>
  <si>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</si>
  <si>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</si>
  <si>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</si>
  <si>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</si>
  <si>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</si>
  <si>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</si>
  <si>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</si>
  <si>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</si>
  <si>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</si>
  <si>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</si>
  <si>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</si>
  <si>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</si>
  <si>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</si>
  <si>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</si>
  <si>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</si>
  <si>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</si>
  <si>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</si>
  <si>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</si>
  <si>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</si>
  <si>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</si>
  <si>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</si>
  <si>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</si>
  <si>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</si>
  <si>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</si>
  <si>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</si>
  <si>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</si>
  <si>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</si>
  <si>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</si>
  <si>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</si>
  <si>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</si>
  <si>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</si>
  <si>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</si>
  <si>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</si>
  <si>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</si>
  <si>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</si>
  <si>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</si>
  <si>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</si>
  <si>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</si>
  <si>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</si>
  <si>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</si>
  <si>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</si>
  <si>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</si>
  <si>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</si>
  <si>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</si>
  <si>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</si>
  <si>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</si>
  <si>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</si>
  <si>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</si>
  <si>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</si>
  <si>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</si>
  <si>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</si>
  <si>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</si>
  <si>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</si>
  <si>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</si>
  <si>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</si>
  <si>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</si>
  <si>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</si>
  <si>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</si>
  <si>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</si>
  <si>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</si>
  <si>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</si>
  <si>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</si>
  <si>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</si>
  <si>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</si>
  <si>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</si>
  <si>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</si>
  <si>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</si>
  <si>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</si>
  <si>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</si>
  <si>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</si>
  <si>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</si>
  <si>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</si>
  <si>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</si>
  <si>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</si>
  <si>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</si>
  <si>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</si>
  <si>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</si>
  <si>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</si>
  <si>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</si>
  <si>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</si>
  <si>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</si>
  <si>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</si>
  <si>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</si>
  <si>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</si>
  <si>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</si>
  <si>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</si>
  <si>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</si>
  <si>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</si>
  <si>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</si>
  <si>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</si>
  <si>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</si>
  <si>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</si>
  <si>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</si>
  <si>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</si>
  <si>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</si>
  <si>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</si>
  <si>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</si>
  <si>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</si>
  <si>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</si>
  <si>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</si>
  <si>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</si>
  <si>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</si>
  <si>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</si>
  <si>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</si>
  <si>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Manure production</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</si>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</sst>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0"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2"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0" fillId="4" borderId="0">
      <alignment horizontal="left" vertical="center"/>
    </xf>
    <xf numFmtId="0" fontId="37"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5" fillId="4" borderId="0">
      <alignment horizontal="left" vertical="center"/>
    </xf>
    <xf numFmtId="0" fontId="46" fillId="4" borderId="0">
      <alignment horizontal="left" vertical="center"/>
    </xf>
    <xf numFmtId="0" fontId="51" fillId="4" borderId="0">
      <alignment horizontal="left" vertical="center"/>
    </xf>
    <xf numFmtId="0" fontId="44" fillId="11" borderId="0">
      <alignment horizontal="center" vertical="center"/>
    </xf>
    <xf numFmtId="0" fontId="21" fillId="11" borderId="0">
      <alignment horizontal="left" vertical="center" indent="1"/>
    </xf>
    <xf numFmtId="0" fontId="57" fillId="15" borderId="2">
      <alignment horizontal="center" vertical="center"/>
    </xf>
    <xf numFmtId="0" fontId="58" fillId="16" borderId="2">
      <alignment horizontal="center" vertical="center"/>
    </xf>
    <xf numFmtId="0" fontId="60" fillId="0" borderId="0" applyNumberFormat="0" applyFill="0" applyBorder="0" applyAlignment="0" applyProtection="0"/>
    <xf numFmtId="0" fontId="59" fillId="4" borderId="2">
      <alignment horizontal="left" vertical="center"/>
    </xf>
    <xf numFmtId="0" fontId="34" fillId="4" borderId="2">
      <alignment horizontal="left" vertical="center"/>
    </xf>
    <xf numFmtId="0" fontId="61" fillId="0" borderId="0"/>
  </cellStyleXfs>
  <cellXfs count="123">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8"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8" fillId="4" borderId="1" xfId="8" applyBorder="1">
      <alignment horizontal="left" vertical="center"/>
    </xf>
    <xf numFmtId="4" fontId="25" fillId="0" borderId="0" xfId="18" applyFont="1" applyBorder="1">
      <alignment horizontal="center" vertical="center"/>
    </xf>
    <xf numFmtId="0" fontId="50"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39" fillId="4" borderId="0" xfId="8" applyFont="1">
      <alignment horizontal="left" vertical="center"/>
    </xf>
    <xf numFmtId="0" fontId="6" fillId="4" borderId="0" xfId="56">
      <alignment horizontal="left" vertical="center"/>
    </xf>
    <xf numFmtId="0" fontId="40"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0"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2" fillId="13" borderId="10" xfId="41" applyBorder="1">
      <alignment horizontal="left" vertical="center"/>
    </xf>
    <xf numFmtId="0" fontId="42" fillId="13" borderId="12" xfId="41" applyBorder="1">
      <alignment horizontal="left" vertical="center"/>
    </xf>
    <xf numFmtId="0" fontId="42" fillId="13" borderId="14" xfId="41" applyBorder="1">
      <alignment horizontal="left" vertical="center"/>
    </xf>
    <xf numFmtId="0" fontId="42" fillId="13" borderId="13" xfId="41" applyBorder="1">
      <alignment horizontal="left" vertical="center"/>
    </xf>
    <xf numFmtId="0" fontId="42" fillId="13" borderId="15" xfId="41" applyBorder="1">
      <alignment horizontal="left" vertical="center"/>
    </xf>
    <xf numFmtId="0" fontId="42" fillId="13" borderId="17" xfId="41" applyBorder="1">
      <alignment horizontal="left" vertical="center"/>
    </xf>
    <xf numFmtId="0" fontId="42" fillId="13" borderId="16" xfId="41" applyBorder="1">
      <alignment horizontal="left" vertical="center"/>
    </xf>
    <xf numFmtId="0" fontId="42" fillId="13" borderId="18" xfId="41" applyBorder="1">
      <alignment horizontal="left" vertical="center"/>
    </xf>
    <xf numFmtId="0" fontId="47" fillId="4" borderId="1" xfId="8" applyFont="1" applyBorder="1">
      <alignment horizontal="left" vertical="center"/>
    </xf>
    <xf numFmtId="0" fontId="48" fillId="4" borderId="1" xfId="8" applyFont="1" applyBorder="1">
      <alignment horizontal="left" vertical="center"/>
    </xf>
    <xf numFmtId="0" fontId="49"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1" fillId="4" borderId="0" xfId="62">
      <alignment horizontal="left" vertical="center"/>
    </xf>
    <xf numFmtId="0" fontId="38"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39" fillId="4" borderId="1" xfId="8" applyFont="1" applyBorder="1">
      <alignment horizontal="left" vertical="center"/>
    </xf>
    <xf numFmtId="2" fontId="31" fillId="4" borderId="1" xfId="0" applyNumberFormat="1" applyFont="1" applyFill="1" applyBorder="1" applyAlignment="1">
      <alignment horizontal="center"/>
    </xf>
    <xf numFmtId="0" fontId="44" fillId="11" borderId="0" xfId="63">
      <alignment horizontal="center" vertical="center"/>
    </xf>
    <xf numFmtId="0" fontId="53" fillId="0" borderId="0" xfId="2" applyFont="1"/>
    <xf numFmtId="0" fontId="54"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5" fillId="4" borderId="0" xfId="8" applyFont="1">
      <alignment horizontal="left" vertical="center"/>
    </xf>
    <xf numFmtId="0" fontId="56" fillId="4" borderId="0" xfId="8" applyFont="1">
      <alignment horizontal="left" vertical="center"/>
    </xf>
    <xf numFmtId="3" fontId="34" fillId="4" borderId="2" xfId="55" applyNumberFormat="1">
      <alignment horizontal="center" vertical="center"/>
    </xf>
    <xf numFmtId="0" fontId="42" fillId="13" borderId="9" xfId="41" applyBorder="1">
      <alignment horizontal="left" vertical="center"/>
    </xf>
    <xf numFmtId="170" fontId="8" fillId="4" borderId="0" xfId="10" applyNumberFormat="1">
      <alignment horizontal="center" vertical="center"/>
    </xf>
    <xf numFmtId="0" fontId="57" fillId="15" borderId="2" xfId="65">
      <alignment horizontal="center" vertical="center"/>
    </xf>
    <xf numFmtId="0" fontId="58" fillId="16" borderId="2" xfId="66">
      <alignment horizontal="center" vertical="center"/>
    </xf>
    <xf numFmtId="0" fontId="58" fillId="16" borderId="6" xfId="66" applyBorder="1">
      <alignment horizontal="center" vertical="center"/>
    </xf>
    <xf numFmtId="0" fontId="59"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1" fillId="0" borderId="0" xfId="70"/>
    <xf numFmtId="0" fontId="17" fillId="11" borderId="0" xfId="32" applyFill="1">
      <alignment vertical="center"/>
    </xf>
    <xf numFmtId="0" fontId="43" fillId="13" borderId="11" xfId="41" applyFont="1" applyBorder="1">
      <alignment horizontal="left" vertical="center"/>
    </xf>
    <xf numFmtId="0" fontId="62"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xf numFmtId="0" fontId="63" fillId="9" borderId="5" xfId="36" applyFont="1">
      <alignment horizontal="left" vertical="center" indent="1"/>
    </xf>
    <xf numFmtId="0" fontId="60" fillId="0" borderId="0" xfId="34"/>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3">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0"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79"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78"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77"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76"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75"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4"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3"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2"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1"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0"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69"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68"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67"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66"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65" dataCellStyle="Content normal">
  <autoFilter ref="D78:E82" xr:uid="{E34928EB-73E5-43B2-830B-089F30DA4EF0}">
    <filterColumn colId="0" hiddenButton="1"/>
    <filterColumn colId="1" hiddenButton="1"/>
  </autoFilter>
  <tableColumns count="2">
    <tableColumn id="1" xr3:uid="{CAC8EB28-568F-4E9F-8E36-EBDFF74A58D3}" name="Class" dataDxfId="64"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3"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2"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1"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0"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59"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58"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19E590C-B431-4360-99F7-BF15688E9D9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90B9421-315C-4071-B251-6653AD9B3154}" name="State/Territory">
      <calculatedColumnFormula array="1">Common_InputFunctions.Utility_DisplayArrayInTable(Common_SourceData.Common_SourceData_AustralianStatesTerritories_Data(),Table_AustralianStates[[#Headers],[State/Territory]],0)</calculatedColumnFormula>
    </tableColumn>
    <tableColumn id="2" xr3:uid="{2504542C-4D55-4706-9716-DA3121349630}" name="Common Name">
      <calculatedColumnFormula array="1">Common_InputFunctions.Utility_DisplayArrayInTable(Common_SourceData.Common_SourceData_AustralianStatesTerritories_Data(),Table_AustralianStates[[#Headers],[State/Territory]],0)</calculatedColumnFormula>
    </tableColumn>
    <tableColumn id="3" xr3:uid="{C892C275-22C5-4623-B2F5-40724BF199E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6B601D-1C01-4B46-893E-AAA2757149D6}" name="Table_WASA4Areas" displayName="Table_WASA4Areas" ref="D20:D30" totalsRowShown="0">
  <autoFilter ref="D20:D30" xr:uid="{5FA81339-C6C8-4D36-BEEA-6C4AEDD9E676}">
    <filterColumn colId="0" hiddenButton="1"/>
  </autoFilter>
  <tableColumns count="1">
    <tableColumn id="1" xr3:uid="{4E86F79A-D8AE-4950-86CD-BBCAC6CED34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C116-03AC-44ED-AA0D-1B08F41554EF}" name="Table_GWPData" displayName="Table_GWPData" ref="D36:E43" totalsRowShown="0">
  <autoFilter ref="D36:E43" xr:uid="{B8E87A66-3E41-4AD3-925D-01EE21B43D7A}">
    <filterColumn colId="0" hiddenButton="1"/>
    <filterColumn colId="1" hiddenButton="1"/>
  </autoFilter>
  <tableColumns count="2">
    <tableColumn id="1" xr3:uid="{9971CC96-08A0-4D2C-BAAF-81A086410785}" name="Gas">
      <calculatedColumnFormula array="1">Common_InputFunctions.Utility_DisplayArrayInTable(Common_SourceData.Common_SourceData_GWP_Data(), Table_GWPData[[#Headers],[Gas]], 0)</calculatedColumnFormula>
    </tableColumn>
    <tableColumn id="2" xr3:uid="{5F97ABE1-C017-40F7-8FAC-ED022A30C89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C65D20E-8BF4-4C9C-92BE-A45A33A5109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CE28ADE-B395-4FFC-AC8E-7F858231C0B7}" name="Gas">
      <calculatedColumnFormula array="1">Common_InputFunctions.Utility_DisplayArrayInTable(Common_SourceData.Common_SourceData_ConvertGasElementalToMolecular_Data(),Table_GasToMolecularConversionFactor[[#Headers],[Gas]], 0)</calculatedColumnFormula>
    </tableColumn>
    <tableColumn id="5" xr3:uid="{F1C1C35B-D5F8-487A-8A62-9A56FC0E59AA}" name="Conversion factor">
      <calculatedColumnFormula array="1">Common_InputFunctions.Utility_DisplayArrayInTable(Common_SourceData.Common_SourceData_ConvertGasElementalToMolecular_Data(),Table_GasToMolecularConversionFactor[[#Headers],[Gas]], 0)</calculatedColumnFormula>
    </tableColumn>
    <tableColumn id="2" xr3:uid="{715BBC73-79C9-40B4-BEC7-D83F5BCB85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9B8CAAB-C131-48B2-AE92-A74780D7150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08FF164-CE32-442A-89A9-EAC13AF4B09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B474A35-BC89-4677-813E-B391DB5A2F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1F77FEF-5DA5-48FC-A4EC-D6565B8E968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33F9369-8EBA-4392-808C-6F82710A50B9}"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E9080D07-580D-4AFF-9E53-17CD4467293E}"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34AC0E99-27E9-4F30-8647-90F9BA108B62}"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C3EBF4E5-C730-497B-A70D-9A7FF2DD3CD5}"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BFD65F2C-CCA4-4893-81D0-318F6ADAABE9}"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BC9C9862-34FA-47DB-9248-2D7316D968C5}"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CE4FF499-BA21-4502-9E55-81F8B39B8CF4}"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B5278575-0B92-45C9-84B2-A1E944E98820}"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F9EF9A9E-D211-4A99-A455-772A6AAF236E}"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862E5ADE-479F-49C7-AD94-EF751714E0A6}"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68486057-8901-4C62-BEF4-640DC77809F7}"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21997671-A002-47F3-834F-FA3ABF166EED}"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5B1B4A66-D90F-4082-809F-58DD0FD24EB8}"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DEB9DEC0-2E93-4A31-ACA3-AB7A4B7B16F7}"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3E216ACC-D918-4D1F-A39C-7415BE8D20B3}"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FC4EA38-AEDC-4047-BDE3-850527C07CA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DBBD1AA-A706-451F-ABDE-23C23829872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F8BE4D4-1976-4E42-8770-483FC880BDB4}"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89320BE-DFD9-4F66-A4C0-CBBED12446B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A59EA3F-D871-4906-9980-C523693CD069}" name="Temperature Zone">
      <calculatedColumnFormula array="1">Common_InputFunctions.Utility_DisplayArrayInTable(Common_SourceData.Common_SourceData_TemperatureZones_Data(),Table_SourceData_TemperatureZones[[#Headers],[Temperature Zone]],0)</calculatedColumnFormula>
    </tableColumn>
    <tableColumn id="2" xr3:uid="{2C02D3D3-18DD-45F5-B2BF-519A118C5DDA}" name="MAT">
      <calculatedColumnFormula array="1">Common_InputFunctions.Utility_DisplayArrayInTable(Common_SourceData.Common_SourceData_TemperatureZones_Data(),Table_SourceData_TemperatureZones[[#Headers],[Temperature Zone]],0)</calculatedColumnFormula>
    </tableColumn>
    <tableColumn id="3" xr3:uid="{2AC2F6AC-0B29-4AB6-A234-5A93067699F5}" name="Min MAT">
      <calculatedColumnFormula array="1">Common_InputFunctions.Utility_DisplayArrayInTable(Common_SourceData.Common_SourceData_TemperatureZones_Data(),Table_SourceData_TemperatureZones[[#Headers],[Temperature Zone]],0)</calculatedColumnFormula>
    </tableColumn>
    <tableColumn id="4" xr3:uid="{E16CA744-EF79-47DF-A4C4-1575D50A985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1CA7512-AAB1-4F94-B403-0FE499B7B4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686B8B6-5C24-47B5-89C1-C1AC7046468E}" name="Rainfall Zone">
      <calculatedColumnFormula array="1">Common_InputFunctions.Utility_DisplayArrayInTable(Common_SourceData.Common_SourceData_RainfallZones_Data(),Table_SourceData_RainfallZones[[#Headers],[Rainfall Zone]],0)</calculatedColumnFormula>
    </tableColumn>
    <tableColumn id="2" xr3:uid="{BC10B790-E6CF-4039-B5BE-D4527C830A98}" name="Annual rainfall">
      <calculatedColumnFormula array="1">Common_InputFunctions.Utility_DisplayArrayInTable(Common_SourceData.Common_SourceData_RainfallZones_Data(),Table_SourceData_RainfallZones[[#Headers],[Rainfall Zone]],0)</calculatedColumnFormula>
    </tableColumn>
    <tableColumn id="3" xr3:uid="{A59164DD-540B-4D75-9CDC-F7CDCF052D16}" name="Min rainfall">
      <calculatedColumnFormula array="1">Common_InputFunctions.Utility_DisplayArrayInTable(Common_SourceData.Common_SourceData_RainfallZones_Data(),Table_SourceData_RainfallZones[[#Headers],[Rainfall Zone]],0)</calculatedColumnFormula>
    </tableColumn>
    <tableColumn id="4" xr3:uid="{6F61B36A-4E51-4CFE-A61E-A88D656968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5E04D3F-E92D-44EC-BC47-56D9FB15549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B337F77-BD80-4F2D-9CB9-1253D05FC28B}" name="Leaching Zone">
      <calculatedColumnFormula array="1">Common_InputFunctions.Utility_DisplayArrayInTable(Common_SourceData.Common_SourceData_LeachingZones_Data(), Table_SourceData_LeachingZones[[#Headers],[Leaching Zone]], 0)</calculatedColumnFormula>
    </tableColumn>
    <tableColumn id="2" xr3:uid="{06F35778-3401-4D60-B840-75094C4F08C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F884470-4BC9-45DC-B3BF-58E560F3290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CD8B53C-2EDF-4646-ADC0-843345BD6873}" name="Data source">
      <calculatedColumnFormula array="1">Common_InputFunctions.Utility_DisplayArrayInTable(Common_SourceData.Common_SourceData_DataScores_Scope3_Data(), Table_SourceData_DataScores_Scope3[[#Headers],[Data source]], 0)</calculatedColumnFormula>
    </tableColumn>
    <tableColumn id="2" xr3:uid="{5239ADE2-ABA1-48E7-A2F6-DCBA6D90C80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0236E93-300B-42C2-8EB7-E26A4C3A462D}" name="Table_SourceData_FracWET" displayName="Table_SourceData_FracWET" ref="D134:E136" totalsRowShown="0">
  <autoFilter ref="D134:E136" xr:uid="{308E99BE-FE1F-47A4-B2CA-97217277C4E9}">
    <filterColumn colId="0" hiddenButton="1"/>
    <filterColumn colId="1" hiddenButton="1"/>
  </autoFilter>
  <tableColumns count="2">
    <tableColumn id="1" xr3:uid="{34AD6582-8E95-4448-A250-240E89847E4A}" name="Is in leaching zone">
      <calculatedColumnFormula array="1">Common_InputFunctions.Utility_DisplayArrayInTable(Common_SourceData.Common_SourceData_FracWET_Data(),Table_SourceData_FracWET[[#Headers],[Is in leaching zone]],0)</calculatedColumnFormula>
    </tableColumn>
    <tableColumn id="2" xr3:uid="{C3940927-214E-4C98-86AE-ADACF192BCA9}"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66D624A-6262-4B79-8B4E-85188CACABE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F4F8A1C-AE42-4EDB-A678-709B40F0E69D}" name="Production system j">
      <calculatedColumnFormula array="1">Common_InputFunctions.Utility_DisplayArrayInTable(Common_SourceData.Common_SourceData_EFN2O_Data(), Table_SourceData_Common_EFN2O[[#Headers],[Production system j]], 0)</calculatedColumnFormula>
    </tableColumn>
    <tableColumn id="2" xr3:uid="{D8B73C61-840C-4A00-A424-AB317B78EA2B}" name="EFN2O">
      <calculatedColumnFormula array="1">Common_InputFunctions.Utility_DisplayArrayInTable(Common_SourceData.Common_SourceData_EFN2O_Data(), Table_SourceData_Common_EFN2O[[#Headers],[Production system j]], 0)</calculatedColumnFormula>
    </tableColumn>
    <tableColumn id="3" xr3:uid="{5C97AB45-4D3E-409F-8A92-8909889E4CA3}" name="Production system only">
      <calculatedColumnFormula array="1">Common_InputFunctions.Utility_DisplayArrayInTable(Common_SourceData.Common_SourceData_EFN2O_Data(), Table_SourceData_Common_EFN2O[[#Headers],[Production system j]], 0)</calculatedColumnFormula>
    </tableColumn>
    <tableColumn id="4" xr3:uid="{FF06AFA2-C8C4-4CB0-B1B7-57DA4B6D9754}" name="Irrigation method">
      <calculatedColumnFormula array="1">Common_InputFunctions.Utility_DisplayArrayInTable(Common_SourceData.Common_SourceData_EFN2O_Data(), Table_SourceData_Common_EFN2O[[#Headers],[Production system j]], 0)</calculatedColumnFormula>
    </tableColumn>
    <tableColumn id="5" xr3:uid="{34A9FAD2-A032-4DAC-B520-E25881B1523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7096799-EE45-4764-903D-631ADE9E396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4CCA43-B7CF-49EB-9E74-60A53ACA8E4D}" name="Irrigation type i">
      <calculatedColumnFormula array="1">Common_InputFunctions.Utility_DisplayArrayInTable(Common_SourceData.Common_SourceData_FracWETIrrigation_Data(), Table_SourceData_FracWETIrrigation[[#Headers],[Irrigation type i]], 0)</calculatedColumnFormula>
    </tableColumn>
    <tableColumn id="2" xr3:uid="{778FEAF3-8D02-41F3-92B0-ED66A58F2CDD}"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4E53EBB-DB8E-477E-9EBC-131BDE06B8A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1AAB06B-7F71-4384-947E-E0AE7E030BA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26D427-C856-4145-9747-F08CCA41A6F5}"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734AA79-CB5F-4195-A7C8-C38C459AB00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489322D-5AE6-40C1-BEED-B2944D80F65F}" name="Month">
      <calculatedColumnFormula array="1">Common_InputFunctions.Utility_DisplayArrayInTable(Common_SourceData.Common_SourceData_MonthsToSeasons_Data(), Table_SourceData_Common_MonthToSeason[[#Headers],[Month]], 0)</calculatedColumnFormula>
    </tableColumn>
    <tableColumn id="2" xr3:uid="{1213DFA2-5F54-4F6A-911F-1A1A0FF066AC}"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E9E1C79-2A76-4C8A-AE27-F309F6C012C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A0B8804-E50D-49C3-BBD5-777B3DD714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F1A988-17D4-4C8D-BB65-F3054B9BA01B}"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DC93EB0-E255-4399-A86A-9372E6369FFB}"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76C1B0-8CD0-499A-8540-4B7AC2E2E8A7}"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2C02B10-F291-41FE-9EC4-A8CBFAA750DE}"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8F63C19-A7C5-4FDE-A285-A2C9EA3B1394}"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F2A7BD1-FEFB-4A0A-A696-FAC1125D9A62}"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8CA7996-BCA8-4516-88C7-D142D109F9BE}"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3C7333B-9136-4A1B-A4B4-C2B38790829B}"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9AA5B79-C37A-45B6-B1DB-FDEC803C706B}"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4E8694A-1411-49D8-B40C-7120CFAED38C}"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9D74DB6-031B-4B4F-8C82-B23E803E6B65}"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F8CC021-5152-48D6-BAE8-74164E9BCBEE}"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E638F19-942A-4CD1-8FC4-E477F63A4622}"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2FEB88-FFD6-4F0D-B66E-0D753D371417}"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CD5B05A-0860-45F3-AF07-E9628AFCE640}"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5857664-B945-44AE-92EB-650E8DF751C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0356E5B-3129-47A2-8B24-08A73DEA386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304323C-8D8C-483A-947E-6C61A5529433}"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328F4F5-6389-439B-A713-4FF69664D925}"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0EBB5A3-AF38-4828-A77A-5F6DD7E49B3F}" name="Description" dataDxfId="0" dataCellStyle="Content normal"/>
    <tableColumn id="1" xr3:uid="{5C065004-98BF-4E2D-98A7-5F09CC477E38}" name="ID"/>
    <tableColumn id="3" xr3:uid="{FC3B7793-2EF6-4110-A0DB-654BAA6B8A02}" name="Scor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AE33C005-3283-4276-9189-7F266A9669D0}"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913979D5-CA13-435B-B6F4-643B288D4B4A}" name="Description"/>
    <tableColumn id="2" xr3:uid="{7B2A908D-D42A-4BE0-AE9A-F492BED3EF39}" name="ID"/>
    <tableColumn id="3" xr3:uid="{A90AFD78-F304-446C-A25D-B38E803CA7B4}"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6BABD70-79D6-4461-B03B-663070A4C31E}"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68E5CC8-A755-450A-984C-BF2C2FADFB99}" name="Description"/>
    <tableColumn id="2" xr3:uid="{562893F4-B9ED-4FC4-90C9-33CD8F8F0AE1}" name="ID"/>
    <tableColumn id="3" xr3:uid="{C6BE3451-A550-4177-99DD-CB6934CD9715}"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014B341-1916-466B-87AC-85890E9EC0AA}"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1A77FD85-17CD-43F0-B330-AE0FF54FA2DF}" name="Description"/>
    <tableColumn id="2" xr3:uid="{133411F6-5065-402B-9184-8A04FA7A8EC5}" name="ID"/>
    <tableColumn id="3" xr3:uid="{C37633B7-17AF-491A-9E91-50C0DE4D1F12}"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21" Type="http://schemas.openxmlformats.org/officeDocument/2006/relationships/table" Target="../tables/table34.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20" Type="http://schemas.openxmlformats.org/officeDocument/2006/relationships/table" Target="../tables/table33.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19" Type="http://schemas.openxmlformats.org/officeDocument/2006/relationships/table" Target="../tables/table32.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 Id="rId22" Type="http://schemas.openxmlformats.org/officeDocument/2006/relationships/table" Target="../tables/table3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1" sqref="A21"/>
    </sheetView>
  </sheetViews>
  <sheetFormatPr defaultRowHeight="15" x14ac:dyDescent="0.25"/>
  <sheetData>
    <row r="1" spans="1:1" x14ac:dyDescent="0.25">
      <c r="A1" t="s">
        <v>174</v>
      </c>
    </row>
    <row r="3" spans="1:1" x14ac:dyDescent="0.25">
      <c r="A3" s="122" t="str">
        <f>HYPERLINK("#'Home'!A1", "Home")</f>
        <v>Home</v>
      </c>
    </row>
    <row r="6" spans="1:1" x14ac:dyDescent="0.25">
      <c r="A6" s="121"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59" t="e" vm="1">
        <v>#VALUE!</v>
      </c>
      <c r="C1" s="116" t="s">
        <v>164</v>
      </c>
      <c r="D1" s="116"/>
      <c r="E1" s="116"/>
      <c r="F1" s="116"/>
      <c r="G1" s="116"/>
      <c r="H1" s="116"/>
      <c r="I1" s="116"/>
      <c r="J1" s="116"/>
      <c r="K1" s="116"/>
    </row>
    <row r="2" spans="1:11" ht="20.100000000000001" customHeight="1" x14ac:dyDescent="0.25">
      <c r="C2"/>
      <c r="D2"/>
      <c r="E2"/>
      <c r="F2"/>
      <c r="G2"/>
      <c r="H2"/>
      <c r="I2"/>
      <c r="J2"/>
      <c r="K2"/>
    </row>
    <row r="3" spans="1:11" ht="20.100000000000001" customHeight="1" x14ac:dyDescent="0.25">
      <c r="A3" s="17" t="str">
        <f>HYPERLINK("#'Home'!A1", "Home")</f>
        <v>Home</v>
      </c>
      <c r="C3" s="114"/>
      <c r="D3" s="114"/>
      <c r="E3" s="114"/>
      <c r="F3" s="114"/>
      <c r="G3" s="114"/>
      <c r="H3" s="114"/>
      <c r="I3" s="114"/>
      <c r="J3" s="114"/>
      <c r="K3" s="114"/>
    </row>
    <row r="4" spans="1:11" ht="20.100000000000001" customHeight="1" x14ac:dyDescent="0.25">
      <c r="A4" s="117" t="str">
        <f>HYPERLINK("#'Overview'!A1", "Overview")</f>
        <v>Overview</v>
      </c>
    </row>
    <row r="5" spans="1:11" ht="20.100000000000001" customHeight="1" x14ac:dyDescent="0.25">
      <c r="A5" s="17" t="str">
        <f>HYPERLINK("#'Results'!A1", "Results")</f>
        <v>Results</v>
      </c>
      <c r="D5" s="104" t="s">
        <v>165</v>
      </c>
      <c r="E5" s="81"/>
      <c r="F5" s="81"/>
      <c r="G5" s="81"/>
      <c r="H5" s="81"/>
      <c r="I5" s="77"/>
    </row>
    <row r="6" spans="1:11" ht="20.100000000000001" customHeight="1" x14ac:dyDescent="0.25">
      <c r="D6" s="115" t="s">
        <v>166</v>
      </c>
      <c r="E6" s="80"/>
      <c r="F6" s="80"/>
      <c r="G6" s="80"/>
      <c r="H6" s="80"/>
      <c r="I6" s="78"/>
    </row>
    <row r="7" spans="1:11" ht="20.100000000000001" customHeight="1" x14ac:dyDescent="0.25"/>
    <row r="8" spans="1:11" ht="20.100000000000001" customHeight="1" x14ac:dyDescent="0.25">
      <c r="A8" s="19" t="s">
        <v>0</v>
      </c>
    </row>
    <row r="9" spans="1:11" ht="20.100000000000001" customHeight="1" x14ac:dyDescent="0.25">
      <c r="A9" s="17" t="str">
        <f>HYPERLINK("#'Input - Site'!A1", "Site")</f>
        <v>Site</v>
      </c>
    </row>
    <row r="10" spans="1:11" ht="20.100000000000001" customHeight="1" x14ac:dyDescent="0.25">
      <c r="A10" s="17" t="str">
        <f>HYPERLINK("#'Input - Swine'!A1", "Swine")</f>
        <v>Swine</v>
      </c>
    </row>
    <row r="11" spans="1:11" ht="20.100000000000001" customHeight="1" x14ac:dyDescent="0.25"/>
    <row r="12" spans="1:11" ht="20.100000000000001" customHeight="1" x14ac:dyDescent="0.25"/>
    <row r="13" spans="1:11" ht="20.100000000000001" customHeight="1" x14ac:dyDescent="0.25">
      <c r="A13" s="18" t="s">
        <v>54</v>
      </c>
    </row>
    <row r="14" spans="1:11" ht="20.100000000000001" customHeight="1" x14ac:dyDescent="0.25">
      <c r="A14" s="17" t="str">
        <f>HYPERLINK("#'3.5.1.1-2 Enteric Methane'!A1", "3.5.1.1-2 Enteric Methane")</f>
        <v>3.5.1.1-2 Enteric Methane</v>
      </c>
    </row>
    <row r="15" spans="1:11" ht="20.100000000000001" customHeight="1" x14ac:dyDescent="0.25"/>
    <row r="16" spans="1:11" ht="20.100000000000001" customHeight="1" x14ac:dyDescent="0.25"/>
    <row r="17" spans="1:1" ht="20.100000000000001" customHeight="1" x14ac:dyDescent="0.25">
      <c r="A17" s="121" t="s">
        <v>1</v>
      </c>
    </row>
    <row r="18" spans="1:1" ht="20.100000000000001" customHeight="1" x14ac:dyDescent="0.25">
      <c r="A18" s="17" t="str">
        <f>HYPERLINK("#'Constants - Swine'!A1", "Constants - Swine")</f>
        <v>Constants - Swine</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59" t="e" vm="1">
        <v>#VALUE!</v>
      </c>
      <c r="C1" s="97" t="s">
        <v>163</v>
      </c>
    </row>
    <row r="2" spans="1:11" ht="20.100000000000001" customHeight="1" x14ac:dyDescent="0.25">
      <c r="C2" s="9"/>
    </row>
    <row r="3" spans="1:11" ht="20.100000000000001" customHeight="1" x14ac:dyDescent="0.25">
      <c r="A3" s="17" t="str">
        <f>HYPERLINK("#'Home'!A1", "Home")</f>
        <v>Home</v>
      </c>
      <c r="C3" s="20"/>
      <c r="D3" s="20"/>
      <c r="E3" s="20"/>
      <c r="F3" s="20"/>
      <c r="G3" s="20"/>
      <c r="H3" s="20"/>
      <c r="I3" s="20"/>
      <c r="J3" s="20"/>
      <c r="K3" s="20"/>
    </row>
    <row r="4" spans="1:11" ht="20.100000000000001" customHeight="1" x14ac:dyDescent="0.25">
      <c r="A4" s="17" t="str">
        <f>HYPERLINK("#'Overview'!A1", "Overview")</f>
        <v>Overview</v>
      </c>
      <c r="C4" s="20"/>
      <c r="D4" s="6" t="s">
        <v>2</v>
      </c>
      <c r="E4" s="22"/>
      <c r="F4" s="22"/>
      <c r="G4" s="22"/>
      <c r="H4" s="6"/>
      <c r="I4" s="6"/>
      <c r="J4" s="6"/>
      <c r="K4" s="23"/>
    </row>
    <row r="5" spans="1:11" ht="20.100000000000001" customHeight="1" x14ac:dyDescent="0.3">
      <c r="A5" s="117" t="str">
        <f>HYPERLINK("#'Results'!A1", "Results")</f>
        <v>Results</v>
      </c>
      <c r="C5" s="20"/>
      <c r="D5" s="24"/>
      <c r="E5" s="25"/>
      <c r="F5" s="25"/>
      <c r="G5" s="25"/>
      <c r="H5" s="22"/>
      <c r="I5" s="20"/>
      <c r="J5" s="20"/>
      <c r="K5" s="20"/>
    </row>
    <row r="6" spans="1:11" ht="20.100000000000001" customHeight="1" x14ac:dyDescent="0.25">
      <c r="C6" s="20"/>
      <c r="D6" s="96" t="s">
        <v>76</v>
      </c>
      <c r="E6" s="96" t="s">
        <v>97</v>
      </c>
      <c r="F6" s="96" t="s">
        <v>98</v>
      </c>
      <c r="G6" s="96" t="s">
        <v>89</v>
      </c>
      <c r="H6" s="96" t="s">
        <v>99</v>
      </c>
      <c r="I6" s="96" t="s">
        <v>100</v>
      </c>
      <c r="J6" s="96" t="s">
        <v>90</v>
      </c>
      <c r="K6" s="20"/>
    </row>
    <row r="7" spans="1:11" ht="20.100000000000001" customHeight="1" x14ac:dyDescent="0.25">
      <c r="C7" s="20"/>
      <c r="D7" s="1" t="s">
        <v>157</v>
      </c>
      <c r="E7" s="105">
        <f ca="1">VEERG_3_5_1_1__1_TotalAnnualMethaneFromEntericFermentation_Result_Method1</f>
        <v>0.78573884462151411</v>
      </c>
      <c r="F7" s="105">
        <f ca="1">VEERG_3_5_1_1__1_TotalAnnualMethaneFromEntericFermentation_Result_Method2</f>
        <v>0.78573884462151411</v>
      </c>
      <c r="G7" s="47" t="s">
        <v>93</v>
      </c>
      <c r="H7" s="93">
        <f ca="1">'3.5.1.1-2 Enteric Methane'!E63</f>
        <v>22.000687649402394</v>
      </c>
      <c r="I7" s="93">
        <f ca="1">'3.5.1.1-2 Enteric Methane'!N63</f>
        <v>22.000687649402394</v>
      </c>
      <c r="J7" s="47" t="s">
        <v>95</v>
      </c>
      <c r="K7" s="20"/>
    </row>
    <row r="8" spans="1:11" ht="20.100000000000001" customHeight="1" x14ac:dyDescent="0.3">
      <c r="A8" s="19" t="s">
        <v>0</v>
      </c>
      <c r="C8" s="20"/>
      <c r="D8" s="27" t="s">
        <v>88</v>
      </c>
      <c r="E8" s="21"/>
      <c r="F8" s="21"/>
      <c r="G8" s="27"/>
      <c r="H8" s="95">
        <f ca="1">SUM(H7:H7)</f>
        <v>22.000687649402394</v>
      </c>
      <c r="I8" s="95">
        <f ca="1">SUM(I7:I7)</f>
        <v>22.000687649402394</v>
      </c>
      <c r="J8" s="89" t="s">
        <v>95</v>
      </c>
      <c r="K8" s="20"/>
    </row>
    <row r="9" spans="1:11" ht="20.100000000000001" customHeight="1" x14ac:dyDescent="0.25">
      <c r="A9" s="17" t="str">
        <f>HYPERLINK("#'Input - Site'!A1", "Site")</f>
        <v>Site</v>
      </c>
      <c r="C9" s="20"/>
      <c r="D9" s="1"/>
      <c r="E9" s="1"/>
      <c r="F9" s="1"/>
      <c r="G9" s="1"/>
      <c r="H9" s="1"/>
      <c r="I9" s="1"/>
      <c r="J9" s="1"/>
      <c r="K9" s="20"/>
    </row>
    <row r="10" spans="1:11" ht="20.100000000000001" customHeight="1" x14ac:dyDescent="0.25">
      <c r="A10" s="17" t="str">
        <f>HYPERLINK("#'Input - Swine'!A1", "Swine")</f>
        <v>Swine</v>
      </c>
      <c r="C10" s="20"/>
      <c r="D10" s="1"/>
      <c r="E10" s="1"/>
      <c r="F10" s="1"/>
      <c r="G10" s="1"/>
      <c r="H10" s="1"/>
      <c r="I10" s="1"/>
      <c r="J10" s="1"/>
      <c r="K10" s="20"/>
    </row>
    <row r="11" spans="1:11" ht="20.100000000000001" customHeight="1" x14ac:dyDescent="0.25">
      <c r="C11" s="20"/>
      <c r="D11" s="1"/>
      <c r="E11" s="1"/>
      <c r="F11" s="1"/>
      <c r="G11" s="1"/>
      <c r="H11" s="1"/>
      <c r="I11" s="1"/>
      <c r="J11" s="1"/>
      <c r="K11" s="20"/>
    </row>
    <row r="12" spans="1:11" ht="20.100000000000001" customHeight="1" x14ac:dyDescent="0.25">
      <c r="C12" s="20"/>
      <c r="D12" s="1"/>
      <c r="E12" s="1"/>
      <c r="F12" s="1"/>
      <c r="G12" s="1"/>
      <c r="H12" s="1"/>
      <c r="I12" s="1"/>
      <c r="J12" s="1"/>
      <c r="K12" s="20"/>
    </row>
    <row r="13" spans="1:11" ht="20.100000000000001" customHeight="1" x14ac:dyDescent="0.25">
      <c r="A13" s="18" t="s">
        <v>54</v>
      </c>
      <c r="C13" s="20"/>
      <c r="D13" s="1"/>
      <c r="E13" s="1"/>
      <c r="F13" s="1"/>
      <c r="G13" s="1"/>
      <c r="H13" s="1"/>
      <c r="I13" s="1"/>
      <c r="J13" s="1"/>
      <c r="K13" s="20"/>
    </row>
    <row r="14" spans="1:11" ht="20.100000000000001" customHeight="1" x14ac:dyDescent="0.25">
      <c r="A14" s="17" t="str">
        <f>HYPERLINK("#'3.5.1.1-2 Enteric Methane'!A1", "3.5.1.1-2 Enteric Methane")</f>
        <v>3.5.1.1-2 Enteric Methane</v>
      </c>
      <c r="C14" s="20"/>
      <c r="D14" s="1"/>
      <c r="E14" s="1"/>
      <c r="F14" s="1"/>
      <c r="G14" s="1"/>
      <c r="H14" s="1"/>
      <c r="I14" s="1"/>
      <c r="J14" s="1"/>
      <c r="K14" s="20"/>
    </row>
    <row r="15" spans="1:11" ht="20.100000000000001" customHeight="1" x14ac:dyDescent="0.25">
      <c r="C15" s="20"/>
      <c r="D15" s="1"/>
      <c r="E15" s="1"/>
      <c r="F15" s="1"/>
      <c r="G15" s="1"/>
      <c r="H15" s="1"/>
      <c r="I15" s="1"/>
      <c r="J15" s="1"/>
      <c r="K15" s="20"/>
    </row>
    <row r="16" spans="1:11" ht="20.100000000000001" customHeight="1" x14ac:dyDescent="0.25">
      <c r="C16" s="20"/>
      <c r="D16" s="1"/>
      <c r="E16" s="1"/>
      <c r="F16" s="1"/>
      <c r="G16" s="1"/>
      <c r="H16" s="1"/>
      <c r="I16" s="1"/>
      <c r="J16" s="1"/>
      <c r="K16" s="20"/>
    </row>
    <row r="17" spans="1:11" ht="20.100000000000001" customHeight="1" x14ac:dyDescent="0.25">
      <c r="A17" s="121" t="s">
        <v>1</v>
      </c>
      <c r="C17" s="20"/>
      <c r="D17" s="1"/>
      <c r="E17" s="1"/>
      <c r="F17" s="1"/>
      <c r="G17" s="1"/>
      <c r="H17" s="1"/>
      <c r="I17" s="1"/>
      <c r="J17" s="1"/>
      <c r="K17" s="20"/>
    </row>
    <row r="18" spans="1:11" ht="20.100000000000001" customHeight="1" x14ac:dyDescent="0.25">
      <c r="A18" s="17" t="str">
        <f>HYPERLINK("#'Constants - Swine'!A1", "Constants - Swine")</f>
        <v>Constants - Swine</v>
      </c>
      <c r="C18" s="20"/>
      <c r="D18" s="1"/>
      <c r="E18" s="1"/>
      <c r="F18" s="1"/>
      <c r="G18" s="1"/>
      <c r="H18" s="1"/>
      <c r="I18" s="1"/>
      <c r="J18" s="1"/>
      <c r="K18" s="20"/>
    </row>
    <row r="19" spans="1:11" ht="20.100000000000001" customHeight="1" x14ac:dyDescent="0.25">
      <c r="A19" s="17" t="str">
        <f>HYPERLINK("#'Constants - Common'!A1", "Constants - Common")</f>
        <v>Constants - Common</v>
      </c>
      <c r="C19" s="20"/>
      <c r="D19" s="1"/>
      <c r="E19" s="1"/>
      <c r="F19" s="1"/>
      <c r="G19" s="1"/>
      <c r="H19" s="1"/>
      <c r="I19" s="1"/>
      <c r="J19" s="1"/>
      <c r="K19" s="20"/>
    </row>
    <row r="20" spans="1:11" ht="20.100000000000001" customHeight="1" x14ac:dyDescent="0.25">
      <c r="A20" s="17" t="str">
        <f>HYPERLINK("#'Constants - Livestock'!A1", "Constants - Livestock")</f>
        <v>Constants - Livestock</v>
      </c>
      <c r="C20" s="20"/>
      <c r="D20" s="1"/>
      <c r="E20" s="1"/>
      <c r="F20" s="1"/>
      <c r="G20" s="1"/>
      <c r="H20" s="1"/>
      <c r="I20" s="1"/>
      <c r="J20" s="1"/>
      <c r="K20" s="20"/>
    </row>
    <row r="21" spans="1:11" ht="20.100000000000001" customHeight="1" x14ac:dyDescent="0.3">
      <c r="A21" s="17" t="str">
        <f>HYPERLINK("#'Acknowledgements'!A1", "Acknowledgements")</f>
        <v>Acknowledgements</v>
      </c>
      <c r="C21" s="20"/>
      <c r="D21" s="1"/>
      <c r="E21" s="1"/>
      <c r="F21" s="1"/>
      <c r="G21" s="1"/>
      <c r="H21" s="25"/>
      <c r="I21" s="20"/>
      <c r="J21" s="20"/>
      <c r="K21" s="20"/>
    </row>
    <row r="22" spans="1:11" ht="20.100000000000001" customHeight="1" x14ac:dyDescent="0.3">
      <c r="C22" s="20"/>
      <c r="D22" s="1"/>
      <c r="E22" s="1"/>
      <c r="F22" s="1"/>
      <c r="G22" s="1"/>
      <c r="H22" s="25"/>
      <c r="I22" s="20"/>
      <c r="J22" s="20"/>
      <c r="K22" s="20"/>
    </row>
    <row r="23" spans="1:11" ht="20.100000000000001" customHeight="1" x14ac:dyDescent="0.3">
      <c r="C23" s="20"/>
      <c r="D23" s="1"/>
      <c r="E23" s="1"/>
      <c r="F23" s="1"/>
      <c r="G23" s="1"/>
      <c r="H23" s="25"/>
      <c r="I23" s="20"/>
      <c r="J23" s="20"/>
      <c r="K23" s="20"/>
    </row>
    <row r="24" spans="1:11" ht="20.100000000000001" customHeight="1" x14ac:dyDescent="0.3">
      <c r="C24" s="20"/>
      <c r="D24" s="1"/>
      <c r="E24" s="1"/>
      <c r="F24" s="1"/>
      <c r="G24" s="1"/>
      <c r="H24" s="25"/>
      <c r="I24" s="20"/>
      <c r="J24" s="20"/>
      <c r="K24" s="20"/>
    </row>
    <row r="25" spans="1:11" ht="20.100000000000001" customHeight="1" x14ac:dyDescent="0.3">
      <c r="C25" s="20"/>
      <c r="D25" s="1"/>
      <c r="E25" s="1"/>
      <c r="F25" s="1"/>
      <c r="G25" s="1"/>
      <c r="H25" s="25"/>
      <c r="I25" s="20"/>
      <c r="J25" s="20"/>
      <c r="K25" s="20"/>
    </row>
    <row r="26" spans="1:11" ht="20.100000000000001" customHeight="1" x14ac:dyDescent="0.3">
      <c r="C26" s="20"/>
      <c r="D26" s="1"/>
      <c r="E26" s="1"/>
      <c r="F26" s="1"/>
      <c r="G26" s="1"/>
      <c r="H26" s="25"/>
      <c r="I26" s="20"/>
      <c r="J26" s="20"/>
      <c r="K26" s="20"/>
    </row>
    <row r="27" spans="1:11" ht="20.100000000000001" customHeight="1" x14ac:dyDescent="0.25">
      <c r="C27" s="20"/>
      <c r="D27" s="1"/>
      <c r="E27" s="1"/>
      <c r="F27" s="1"/>
      <c r="G27" s="1"/>
      <c r="H27" s="1"/>
      <c r="I27" s="1"/>
      <c r="J27" s="20"/>
      <c r="K27" s="20"/>
    </row>
    <row r="28" spans="1:11" ht="20.100000000000001" customHeight="1" x14ac:dyDescent="0.25">
      <c r="C28" s="20"/>
      <c r="D28" s="1"/>
      <c r="E28" s="1"/>
      <c r="F28" s="1"/>
      <c r="G28" s="1"/>
      <c r="H28" s="1"/>
      <c r="I28" s="1"/>
      <c r="J28" s="20"/>
      <c r="K28" s="20"/>
    </row>
    <row r="29" spans="1:11" ht="20.100000000000001" customHeight="1" x14ac:dyDescent="0.25">
      <c r="C29" s="20"/>
      <c r="D29" s="1"/>
      <c r="E29" s="1"/>
      <c r="F29" s="1"/>
      <c r="G29" s="1"/>
      <c r="H29" s="1"/>
      <c r="I29" s="1"/>
      <c r="J29" s="20"/>
      <c r="K29" s="20"/>
    </row>
    <row r="30" spans="1:11" ht="20.100000000000001" customHeight="1" x14ac:dyDescent="0.25">
      <c r="C30" s="20"/>
      <c r="D30" s="1"/>
      <c r="E30" s="1"/>
      <c r="F30" s="1"/>
      <c r="G30" s="1"/>
      <c r="H30" s="1"/>
      <c r="I30" s="1"/>
      <c r="J30" s="20"/>
      <c r="K30" s="20"/>
    </row>
    <row r="31" spans="1:11" ht="20.100000000000001" customHeight="1" x14ac:dyDescent="0.25">
      <c r="C31" s="20"/>
      <c r="D31" s="1"/>
      <c r="E31" s="1"/>
      <c r="F31" s="1"/>
      <c r="G31" s="1"/>
      <c r="H31" s="1"/>
      <c r="I31" s="1"/>
      <c r="J31" s="20"/>
      <c r="K31" s="20"/>
    </row>
    <row r="32" spans="1:11" ht="20.100000000000001" customHeight="1" x14ac:dyDescent="0.25">
      <c r="C32" s="20"/>
      <c r="D32" s="1"/>
      <c r="E32" s="1"/>
      <c r="F32" s="1"/>
      <c r="G32" s="1"/>
      <c r="H32" s="1"/>
      <c r="I32" s="1"/>
      <c r="J32" s="20"/>
      <c r="K32" s="20"/>
    </row>
    <row r="33" spans="3:11" ht="20.100000000000001" customHeight="1" x14ac:dyDescent="0.25">
      <c r="C33" s="20"/>
      <c r="D33" s="1"/>
      <c r="E33" s="1"/>
      <c r="F33" s="1"/>
      <c r="G33" s="1"/>
      <c r="H33" s="1"/>
      <c r="I33" s="1"/>
      <c r="J33" s="20"/>
      <c r="K33" s="20"/>
    </row>
    <row r="34" spans="3:11" ht="20.100000000000001" customHeight="1" x14ac:dyDescent="0.25">
      <c r="C34" s="20"/>
      <c r="D34" s="1"/>
      <c r="E34" s="1"/>
      <c r="F34" s="1"/>
      <c r="G34" s="1"/>
      <c r="H34" s="1"/>
      <c r="I34" s="20"/>
      <c r="J34" s="20"/>
      <c r="K34" s="20"/>
    </row>
    <row r="35" spans="3:11" ht="20.100000000000001" customHeight="1" x14ac:dyDescent="0.25">
      <c r="C35" s="20"/>
      <c r="D35" s="1"/>
      <c r="E35" s="1"/>
      <c r="F35" s="1"/>
      <c r="G35" s="1"/>
      <c r="H35" s="1"/>
      <c r="I35" s="20"/>
      <c r="J35" s="20"/>
      <c r="K35" s="20"/>
    </row>
    <row r="36" spans="3:11" ht="20.100000000000001" customHeight="1" x14ac:dyDescent="0.25">
      <c r="C36" s="20"/>
      <c r="D36" s="1"/>
      <c r="E36" s="1"/>
      <c r="F36" s="1"/>
      <c r="G36" s="1"/>
      <c r="H36" s="1"/>
      <c r="I36" s="20"/>
      <c r="J36" s="20"/>
      <c r="K36" s="20"/>
    </row>
    <row r="37" spans="3:11" ht="20.100000000000001" customHeight="1" x14ac:dyDescent="0.25">
      <c r="C37" s="20"/>
      <c r="D37" s="1"/>
      <c r="E37" s="1"/>
      <c r="F37" s="1"/>
      <c r="G37" s="1"/>
      <c r="H37" s="1"/>
      <c r="I37" s="20"/>
      <c r="J37" s="20"/>
      <c r="K37" s="20"/>
    </row>
    <row r="38" spans="3:11" ht="20.100000000000001" customHeight="1" x14ac:dyDescent="0.25">
      <c r="C38" s="20"/>
      <c r="D38" s="1"/>
      <c r="E38" s="1"/>
      <c r="F38" s="1"/>
      <c r="G38" s="1"/>
      <c r="H38" s="1"/>
      <c r="I38" s="92"/>
      <c r="J38" s="92"/>
      <c r="K38" s="20"/>
    </row>
    <row r="39" spans="3:11" ht="20.100000000000001" customHeight="1" x14ac:dyDescent="0.25">
      <c r="C39" s="20"/>
      <c r="D39" s="1"/>
      <c r="E39" s="1"/>
      <c r="F39" s="1"/>
      <c r="G39" s="1"/>
      <c r="H39" s="1"/>
      <c r="I39" s="92"/>
      <c r="J39" s="92"/>
      <c r="K39" s="20"/>
    </row>
    <row r="40" spans="3:11" ht="20.100000000000001" customHeight="1" x14ac:dyDescent="0.25">
      <c r="C40" s="20"/>
      <c r="D40" s="1"/>
      <c r="E40" s="1"/>
      <c r="F40" s="1"/>
      <c r="G40" s="1"/>
      <c r="H40" s="1"/>
      <c r="I40" s="92"/>
      <c r="J40" s="92"/>
      <c r="K40" s="20"/>
    </row>
    <row r="41" spans="3:11" ht="20.100000000000001" customHeight="1" x14ac:dyDescent="0.25">
      <c r="C41" s="20"/>
      <c r="D41" s="1"/>
      <c r="E41" s="1"/>
      <c r="F41" s="1"/>
      <c r="G41" s="1"/>
      <c r="H41" s="1"/>
      <c r="I41" s="92"/>
      <c r="J41" s="92"/>
      <c r="K41" s="20"/>
    </row>
    <row r="42" spans="3:11" ht="20.100000000000001" customHeight="1" x14ac:dyDescent="0.25">
      <c r="C42" s="20"/>
      <c r="D42" s="1"/>
      <c r="E42" s="1"/>
      <c r="F42" s="1"/>
      <c r="G42" s="1"/>
      <c r="H42" s="1"/>
      <c r="I42" s="92"/>
      <c r="J42" s="92"/>
      <c r="K42" s="20"/>
    </row>
    <row r="43" spans="3:11" ht="20.100000000000001" customHeight="1" x14ac:dyDescent="0.25">
      <c r="C43" s="20"/>
      <c r="D43" s="1"/>
      <c r="E43" s="1"/>
      <c r="F43" s="1"/>
      <c r="G43" s="1"/>
      <c r="H43" s="1"/>
      <c r="I43" s="92"/>
      <c r="J43" s="92"/>
      <c r="K43" s="20"/>
    </row>
    <row r="44" spans="3:11" ht="20.100000000000001" customHeight="1" x14ac:dyDescent="0.25">
      <c r="C44" s="20"/>
      <c r="D44" s="1"/>
      <c r="E44" s="1"/>
      <c r="F44" s="1"/>
      <c r="G44" s="1"/>
      <c r="H44" s="1"/>
      <c r="I44" s="92"/>
      <c r="J44" s="92"/>
      <c r="K44" s="20"/>
    </row>
    <row r="45" spans="3:11" ht="20.100000000000001" customHeight="1" x14ac:dyDescent="0.25">
      <c r="C45" s="20"/>
      <c r="D45" s="1"/>
      <c r="E45" s="1"/>
      <c r="F45" s="1"/>
      <c r="G45" s="1"/>
      <c r="H45" s="1"/>
      <c r="I45" s="92"/>
      <c r="J45" s="92"/>
      <c r="K45" s="20"/>
    </row>
    <row r="46" spans="3:11" ht="20.100000000000001" customHeight="1" x14ac:dyDescent="0.25">
      <c r="C46" s="20"/>
      <c r="D46" s="1"/>
      <c r="E46" s="1"/>
      <c r="F46" s="1"/>
      <c r="G46" s="1"/>
      <c r="H46" s="1"/>
      <c r="I46" s="92"/>
      <c r="J46" s="92"/>
      <c r="K46" s="20"/>
    </row>
    <row r="47" spans="3:11" ht="20.100000000000001" customHeight="1" x14ac:dyDescent="0.25">
      <c r="C47" s="20"/>
      <c r="D47" s="1"/>
      <c r="E47" s="1"/>
      <c r="F47" s="1"/>
      <c r="G47" s="1"/>
      <c r="H47" s="1"/>
      <c r="I47" s="92"/>
      <c r="J47" s="92"/>
      <c r="K47" s="20"/>
    </row>
    <row r="48" spans="3:11" ht="20.100000000000001" customHeight="1" x14ac:dyDescent="0.25">
      <c r="C48" s="20"/>
      <c r="D48" s="1"/>
      <c r="E48" s="1"/>
      <c r="F48" s="1"/>
      <c r="G48" s="1"/>
      <c r="H48" s="1"/>
      <c r="I48" s="92"/>
      <c r="J48" s="92"/>
      <c r="K48" s="20"/>
    </row>
    <row r="49" spans="3:11" ht="20.100000000000001" customHeight="1" x14ac:dyDescent="0.25">
      <c r="C49" s="20"/>
      <c r="D49" s="1"/>
      <c r="E49" s="1"/>
      <c r="F49" s="1"/>
      <c r="G49" s="1"/>
      <c r="H49" s="92"/>
      <c r="I49" s="92"/>
      <c r="J49" s="92"/>
      <c r="K49" s="20"/>
    </row>
    <row r="50" spans="3:11" ht="20.100000000000001" customHeight="1" x14ac:dyDescent="0.25">
      <c r="C50" s="20"/>
      <c r="D50" s="1"/>
      <c r="E50" s="1"/>
      <c r="F50" s="1"/>
      <c r="G50" s="1"/>
      <c r="H50" s="92"/>
      <c r="I50" s="92"/>
      <c r="J50" s="92"/>
      <c r="K50" s="20"/>
    </row>
    <row r="51" spans="3:11" ht="20.100000000000001" customHeight="1" x14ac:dyDescent="0.25">
      <c r="C51" s="20"/>
      <c r="D51" s="1"/>
      <c r="E51" s="1"/>
      <c r="F51" s="1"/>
      <c r="G51" s="1"/>
      <c r="H51" s="92"/>
      <c r="I51" s="92"/>
      <c r="J51" s="92"/>
      <c r="K51" s="20"/>
    </row>
    <row r="52" spans="3:11" ht="20.100000000000001" customHeight="1" x14ac:dyDescent="0.25">
      <c r="C52" s="20"/>
      <c r="D52" s="1"/>
      <c r="E52" s="1"/>
      <c r="F52" s="1"/>
      <c r="G52" s="1"/>
      <c r="H52" s="92"/>
      <c r="I52" s="92"/>
      <c r="J52" s="92"/>
      <c r="K52" s="20"/>
    </row>
    <row r="53" spans="3:11" ht="20.100000000000001" customHeight="1" x14ac:dyDescent="0.25">
      <c r="C53" s="20"/>
      <c r="D53" s="1"/>
      <c r="E53" s="1"/>
      <c r="F53" s="1"/>
      <c r="G53" s="1"/>
      <c r="H53" s="92"/>
      <c r="I53" s="92"/>
      <c r="J53" s="92"/>
      <c r="K53" s="20"/>
    </row>
    <row r="54" spans="3:11" ht="20.100000000000001" customHeight="1" x14ac:dyDescent="0.25">
      <c r="C54" s="20"/>
      <c r="D54" s="1"/>
      <c r="E54" s="1"/>
      <c r="F54" s="1"/>
      <c r="G54" s="1"/>
      <c r="H54" s="20"/>
      <c r="I54" s="20"/>
      <c r="J54" s="20"/>
      <c r="K54" s="20"/>
    </row>
    <row r="55" spans="3:11" ht="20.100000000000001" customHeight="1" x14ac:dyDescent="0.25">
      <c r="C55" s="20"/>
      <c r="D55" s="1"/>
      <c r="E55" s="1"/>
      <c r="F55" s="1"/>
      <c r="G55" s="1"/>
      <c r="H55" s="20"/>
      <c r="I55" s="20"/>
      <c r="J55" s="20"/>
      <c r="K55" s="20"/>
    </row>
    <row r="56" spans="3:11" ht="20.100000000000001" customHeight="1" x14ac:dyDescent="0.25">
      <c r="C56" s="20"/>
      <c r="D56" s="1"/>
      <c r="E56" s="1"/>
      <c r="F56" s="1"/>
      <c r="G56" s="1"/>
      <c r="H56" s="20"/>
      <c r="I56" s="20"/>
      <c r="J56" s="20"/>
      <c r="K56" s="20"/>
    </row>
    <row r="57" spans="3:11" ht="20.100000000000001" customHeight="1" x14ac:dyDescent="0.25">
      <c r="C57" s="20"/>
      <c r="D57" s="1"/>
      <c r="E57" s="1"/>
      <c r="F57" s="1"/>
      <c r="G57" s="1"/>
      <c r="H57" s="20"/>
      <c r="I57" s="20"/>
      <c r="J57" s="20"/>
      <c r="K57" s="20"/>
    </row>
    <row r="58" spans="3:11" ht="20.100000000000001" customHeight="1" x14ac:dyDescent="0.25">
      <c r="C58" s="20"/>
      <c r="D58" s="1"/>
      <c r="E58" s="28"/>
      <c r="F58" s="26"/>
      <c r="G58" s="20"/>
      <c r="H58" s="20"/>
      <c r="I58" s="20"/>
      <c r="J58" s="20"/>
      <c r="K58" s="20"/>
    </row>
    <row r="59" spans="3:11" ht="20.100000000000001" customHeight="1" x14ac:dyDescent="0.25">
      <c r="C59" s="20"/>
      <c r="D59" s="1"/>
      <c r="E59" s="1"/>
      <c r="F59" s="1"/>
      <c r="G59" s="1"/>
      <c r="H59" s="1"/>
      <c r="I59" s="1"/>
      <c r="J59" s="1"/>
      <c r="K59" s="20"/>
    </row>
    <row r="60" spans="3:11" ht="20.100000000000001" customHeight="1" x14ac:dyDescent="0.25">
      <c r="C60" s="20"/>
      <c r="D60" s="1"/>
      <c r="E60" s="1"/>
      <c r="F60" s="1"/>
      <c r="G60" s="1"/>
      <c r="H60" s="1"/>
      <c r="I60" s="1"/>
      <c r="J60" s="1"/>
      <c r="K60" s="20"/>
    </row>
    <row r="61" spans="3:11" ht="20.100000000000001" customHeight="1" x14ac:dyDescent="0.25">
      <c r="C61" s="20"/>
      <c r="D61" s="1"/>
      <c r="E61" s="1"/>
      <c r="F61" s="1"/>
      <c r="G61" s="1"/>
      <c r="H61" s="1"/>
      <c r="I61" s="1"/>
      <c r="J61" s="1"/>
      <c r="K61" s="20"/>
    </row>
    <row r="62" spans="3:11" ht="20.100000000000001" customHeight="1" x14ac:dyDescent="0.25">
      <c r="C62" s="20"/>
      <c r="D62" s="1"/>
      <c r="E62" s="1"/>
      <c r="F62" s="1"/>
      <c r="G62" s="1"/>
      <c r="H62" s="1"/>
      <c r="I62" s="1"/>
      <c r="J62" s="1"/>
      <c r="K62" s="20"/>
    </row>
    <row r="63" spans="3:11" ht="20.100000000000001" customHeight="1" x14ac:dyDescent="0.25">
      <c r="C63" s="20"/>
      <c r="D63" s="1"/>
      <c r="E63" s="1"/>
      <c r="F63" s="1"/>
      <c r="G63" s="1"/>
      <c r="H63" s="1"/>
      <c r="I63" s="1"/>
      <c r="J63" s="1"/>
      <c r="K63" s="20"/>
    </row>
    <row r="64" spans="3:11" ht="20.100000000000001" customHeight="1" x14ac:dyDescent="0.25">
      <c r="C64" s="20"/>
      <c r="D64" s="1"/>
      <c r="E64" s="1"/>
      <c r="F64" s="1"/>
      <c r="G64" s="1"/>
      <c r="H64" s="1"/>
      <c r="I64" s="1"/>
      <c r="J64" s="1"/>
      <c r="K64" s="20"/>
    </row>
    <row r="65" spans="3:11" ht="20.100000000000001" customHeight="1" x14ac:dyDescent="0.25">
      <c r="C65" s="20"/>
      <c r="D65" s="1"/>
      <c r="E65" s="1"/>
      <c r="F65" s="1"/>
      <c r="G65" s="1"/>
      <c r="H65" s="1"/>
      <c r="I65" s="1"/>
      <c r="J65" s="1"/>
      <c r="K65" s="20"/>
    </row>
    <row r="66" spans="3:11" ht="20.100000000000001" customHeight="1" x14ac:dyDescent="0.25">
      <c r="C66" s="20"/>
      <c r="D66" s="1"/>
      <c r="E66" s="1"/>
      <c r="F66" s="1"/>
      <c r="G66" s="1"/>
      <c r="H66" s="1"/>
      <c r="I66" s="1"/>
      <c r="J66" s="1"/>
      <c r="K66" s="20"/>
    </row>
    <row r="67" spans="3:11" ht="20.100000000000001" customHeight="1" x14ac:dyDescent="0.25">
      <c r="C67" s="20"/>
      <c r="D67" s="1"/>
      <c r="E67" s="1"/>
      <c r="F67" s="1"/>
      <c r="G67" s="1"/>
      <c r="H67" s="1"/>
      <c r="I67" s="1"/>
      <c r="J67" s="1"/>
      <c r="K67" s="20"/>
    </row>
    <row r="68" spans="3:11" ht="20.100000000000001" customHeight="1" x14ac:dyDescent="0.25">
      <c r="C68" s="20"/>
      <c r="D68" s="1"/>
      <c r="E68" s="1"/>
      <c r="F68" s="1"/>
      <c r="G68" s="1"/>
      <c r="H68" s="1"/>
      <c r="I68" s="1"/>
      <c r="J68" s="1"/>
      <c r="K68" s="20"/>
    </row>
    <row r="69" spans="3:11" ht="20.100000000000001" customHeight="1" x14ac:dyDescent="0.25">
      <c r="C69" s="20"/>
      <c r="D69" s="1"/>
      <c r="E69" s="1"/>
      <c r="F69" s="1"/>
      <c r="G69" s="1"/>
      <c r="H69" s="1"/>
      <c r="I69" s="1"/>
      <c r="J69" s="1"/>
      <c r="K69" s="20"/>
    </row>
    <row r="70" spans="3:11" ht="20.100000000000001" customHeight="1" x14ac:dyDescent="0.25">
      <c r="C70" s="20"/>
      <c r="D70" s="1"/>
      <c r="E70" s="1"/>
      <c r="F70" s="1"/>
      <c r="G70" s="1"/>
      <c r="H70" s="1"/>
      <c r="I70" s="1"/>
      <c r="J70" s="1"/>
      <c r="K70" s="20"/>
    </row>
    <row r="71" spans="3:11" ht="20.100000000000001" customHeight="1" x14ac:dyDescent="0.25">
      <c r="C71" s="20"/>
      <c r="D71" s="1"/>
      <c r="E71" s="1"/>
      <c r="F71" s="1"/>
      <c r="G71" s="1"/>
      <c r="H71" s="1"/>
      <c r="I71" s="1"/>
      <c r="J71" s="1"/>
      <c r="K71" s="20"/>
    </row>
    <row r="72" spans="3:11" ht="20.100000000000001" customHeight="1" x14ac:dyDescent="0.25">
      <c r="C72" s="20"/>
      <c r="D72" s="1"/>
      <c r="E72" s="1"/>
      <c r="F72" s="1"/>
      <c r="G72" s="1"/>
      <c r="H72" s="1"/>
      <c r="I72" s="1"/>
      <c r="J72" s="1"/>
      <c r="K72" s="20"/>
    </row>
    <row r="73" spans="3:11" ht="20.100000000000001" customHeight="1" x14ac:dyDescent="0.25">
      <c r="C73" s="20"/>
      <c r="D73" s="1"/>
      <c r="E73" s="1"/>
      <c r="F73" s="1"/>
      <c r="G73" s="1"/>
      <c r="H73" s="1"/>
      <c r="I73" s="1"/>
      <c r="J73" s="1"/>
      <c r="K73" s="20"/>
    </row>
    <row r="74" spans="3:11" ht="20.100000000000001" customHeight="1" x14ac:dyDescent="0.25">
      <c r="C74" s="20"/>
      <c r="D74" s="1"/>
      <c r="E74" s="1"/>
      <c r="F74" s="1"/>
      <c r="G74" s="1"/>
      <c r="H74" s="1"/>
      <c r="I74" s="1"/>
      <c r="J74" s="1"/>
      <c r="K74" s="20"/>
    </row>
    <row r="75" spans="3:11" ht="20.100000000000001" customHeight="1" x14ac:dyDescent="0.25">
      <c r="C75" s="20"/>
      <c r="D75" s="1"/>
      <c r="E75" s="1"/>
      <c r="F75" s="1"/>
      <c r="G75" s="1"/>
      <c r="H75" s="1"/>
      <c r="I75" s="1"/>
      <c r="J75" s="1"/>
      <c r="K75" s="20"/>
    </row>
    <row r="76" spans="3:11" ht="15.75" x14ac:dyDescent="0.25">
      <c r="C76" s="20"/>
      <c r="D76" s="1"/>
      <c r="E76" s="1"/>
      <c r="F76" s="1"/>
      <c r="G76" s="1"/>
      <c r="H76" s="1"/>
      <c r="I76" s="1"/>
      <c r="J76" s="1"/>
      <c r="K76" s="20"/>
    </row>
    <row r="77" spans="3:11" ht="15.75" x14ac:dyDescent="0.25">
      <c r="C77" s="20"/>
      <c r="D77" s="1"/>
      <c r="E77" s="1"/>
      <c r="F77" s="1"/>
      <c r="G77" s="1"/>
      <c r="H77" s="1"/>
      <c r="I77" s="1"/>
      <c r="J77" s="1"/>
      <c r="K77" s="20"/>
    </row>
    <row r="78" spans="3:11" ht="15.75" x14ac:dyDescent="0.25">
      <c r="C78" s="20"/>
      <c r="D78" s="1"/>
      <c r="E78" s="1"/>
      <c r="F78" s="1"/>
      <c r="G78" s="1"/>
      <c r="H78" s="1"/>
      <c r="I78" s="1"/>
      <c r="J78" s="1"/>
      <c r="K78" s="20"/>
    </row>
    <row r="79" spans="3:11" ht="15.75" x14ac:dyDescent="0.25">
      <c r="C79" s="20"/>
      <c r="D79" s="1"/>
      <c r="E79" s="1"/>
      <c r="F79" s="1"/>
      <c r="G79" s="1"/>
      <c r="H79" s="1"/>
      <c r="I79" s="1"/>
      <c r="J79" s="1"/>
      <c r="K79" s="20"/>
    </row>
    <row r="80" spans="3:11" ht="15.75" x14ac:dyDescent="0.25">
      <c r="C80" s="20"/>
      <c r="D80" s="1"/>
      <c r="E80" s="1"/>
      <c r="F80" s="1"/>
      <c r="G80" s="1"/>
      <c r="H80" s="1"/>
      <c r="I80" s="1"/>
      <c r="J80" s="1"/>
      <c r="K80" s="20"/>
    </row>
    <row r="81" spans="3:11" ht="15.75" x14ac:dyDescent="0.25">
      <c r="C81" s="20"/>
      <c r="D81" s="1"/>
      <c r="E81" s="1"/>
      <c r="F81" s="1"/>
      <c r="G81" s="1"/>
      <c r="H81" s="1"/>
      <c r="I81" s="1"/>
      <c r="J81" s="1"/>
      <c r="K81" s="20"/>
    </row>
    <row r="82" spans="3:11" ht="15.75" x14ac:dyDescent="0.25">
      <c r="C82" s="20"/>
      <c r="D82" s="1"/>
      <c r="E82" s="1"/>
      <c r="F82" s="1"/>
      <c r="G82" s="1"/>
      <c r="H82" s="1"/>
      <c r="I82" s="1"/>
      <c r="J82" s="1"/>
      <c r="K82" s="20"/>
    </row>
    <row r="83" spans="3:11" ht="15.75" x14ac:dyDescent="0.25">
      <c r="C83" s="20"/>
      <c r="D83" s="1"/>
      <c r="E83" s="1"/>
      <c r="F83" s="1"/>
      <c r="G83" s="1"/>
      <c r="H83" s="1"/>
      <c r="I83" s="1"/>
      <c r="J83" s="1"/>
      <c r="K83" s="20"/>
    </row>
    <row r="84" spans="3:11" ht="15.75" x14ac:dyDescent="0.25">
      <c r="C84" s="20"/>
      <c r="D84" s="1"/>
      <c r="E84" s="1"/>
      <c r="F84" s="1"/>
      <c r="G84" s="1"/>
      <c r="H84" s="1"/>
      <c r="I84" s="1"/>
      <c r="J84" s="1"/>
      <c r="K84" s="20"/>
    </row>
    <row r="85" spans="3:11" ht="15.75" x14ac:dyDescent="0.25">
      <c r="C85" s="20"/>
      <c r="D85" s="1"/>
      <c r="E85" s="1"/>
      <c r="F85" s="1"/>
      <c r="G85" s="1"/>
      <c r="H85" s="1"/>
      <c r="I85" s="1"/>
      <c r="J85" s="1"/>
      <c r="K85" s="20"/>
    </row>
    <row r="86" spans="3:11" x14ac:dyDescent="0.25">
      <c r="C86" s="20"/>
      <c r="D86" s="20"/>
      <c r="E86" s="20"/>
      <c r="F86" s="20"/>
      <c r="G86" s="20"/>
      <c r="H86" s="20"/>
      <c r="I86" s="20"/>
      <c r="J86" s="20"/>
      <c r="K86" s="20"/>
    </row>
    <row r="87" spans="3:11" x14ac:dyDescent="0.25">
      <c r="C87" s="20"/>
      <c r="D87" s="20"/>
      <c r="E87" s="20"/>
      <c r="F87" s="20"/>
      <c r="G87" s="20"/>
      <c r="H87" s="20"/>
      <c r="I87" s="20"/>
      <c r="J87" s="20"/>
      <c r="K87"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68</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0"/>
      <c r="D4" s="60"/>
      <c r="E4" s="60"/>
      <c r="F4" s="60"/>
      <c r="G4" s="60"/>
      <c r="H4" s="60"/>
      <c r="I4" s="60"/>
      <c r="J4" s="60"/>
      <c r="K4" s="60"/>
    </row>
    <row r="5" spans="1:24" ht="20.100000000000001" customHeight="1" x14ac:dyDescent="0.25">
      <c r="A5" s="17" t="str">
        <f>HYPERLINK("#'Results'!A1", "Results")</f>
        <v>Results</v>
      </c>
      <c r="D5" s="6" t="s">
        <v>6</v>
      </c>
      <c r="N5" s="35"/>
    </row>
    <row r="6" spans="1:24" ht="20.100000000000001" customHeight="1" x14ac:dyDescent="0.25">
      <c r="A6"/>
      <c r="D6" s="14"/>
      <c r="N6" s="36"/>
    </row>
    <row r="7" spans="1:24" ht="20.100000000000001" customHeight="1" x14ac:dyDescent="0.25">
      <c r="A7"/>
      <c r="D7" s="1" t="s">
        <v>4</v>
      </c>
      <c r="E7" s="29" t="s">
        <v>3</v>
      </c>
      <c r="F7" s="2"/>
    </row>
    <row r="8" spans="1:24" ht="20.100000000000001" customHeight="1" x14ac:dyDescent="0.25">
      <c r="A8" s="19" t="s">
        <v>0</v>
      </c>
      <c r="D8" s="10" t="s">
        <v>52</v>
      </c>
      <c r="E8" s="29" t="s">
        <v>53</v>
      </c>
    </row>
    <row r="9" spans="1:24" ht="20.100000000000001" customHeight="1" x14ac:dyDescent="0.25">
      <c r="A9" s="118" t="str">
        <f>HYPERLINK("#'Input - Site'!A1", "Site")</f>
        <v>Site</v>
      </c>
      <c r="N9" s="37"/>
    </row>
    <row r="10" spans="1:24" ht="20.100000000000001" customHeight="1" x14ac:dyDescent="0.25">
      <c r="A10" s="17" t="str">
        <f>HYPERLINK("#'Input - Swine'!A1", "Swine")</f>
        <v>Swine</v>
      </c>
      <c r="D10" s="83" t="s">
        <v>67</v>
      </c>
      <c r="E10" s="82"/>
      <c r="F10" s="84"/>
      <c r="G10" s="79"/>
      <c r="N10" s="37"/>
    </row>
    <row r="11" spans="1:24" ht="20.100000000000001" customHeight="1" x14ac:dyDescent="0.25">
      <c r="A11"/>
      <c r="N11" s="38"/>
    </row>
    <row r="12" spans="1:24" ht="20.100000000000001" customHeight="1" x14ac:dyDescent="0.25">
      <c r="A12"/>
      <c r="D12" s="10" t="s">
        <v>71</v>
      </c>
      <c r="E12" s="57">
        <v>45292</v>
      </c>
      <c r="F12" s="2" t="s">
        <v>51</v>
      </c>
    </row>
    <row r="13" spans="1:24" ht="20.100000000000001" customHeight="1" x14ac:dyDescent="0.25">
      <c r="A13" s="18" t="s">
        <v>54</v>
      </c>
      <c r="D13" s="10" t="s">
        <v>72</v>
      </c>
      <c r="E13" s="61">
        <f>DATE(YEAR(X_Cell_Site_StartDate)+1,MONTH(X_Cell_Site_StartDate),DAY(X_Cell_Site_StartDate))-1</f>
        <v>45657</v>
      </c>
      <c r="F13" s="2" t="s">
        <v>7</v>
      </c>
      <c r="N13" s="34"/>
      <c r="O13" s="34"/>
    </row>
    <row r="14" spans="1:24" ht="20.100000000000001" customHeight="1" x14ac:dyDescent="0.25">
      <c r="A14" s="17" t="str">
        <f>HYPERLINK("#'3.5.1.1-2 Enteric Methane'!A1", "3.5.1.1-2 Enteric Methane")</f>
        <v>3.5.1.1-2 Enteric Methane</v>
      </c>
      <c r="N14" s="34"/>
      <c r="O14" s="34"/>
    </row>
    <row r="15" spans="1:24" ht="20.100000000000001" customHeight="1" x14ac:dyDescent="0.25">
      <c r="A15"/>
      <c r="N15" s="34"/>
      <c r="O15" s="34"/>
    </row>
    <row r="16" spans="1:24" ht="20.100000000000001" customHeight="1" x14ac:dyDescent="0.25">
      <c r="A16"/>
      <c r="D16" s="1"/>
      <c r="E16" s="1"/>
      <c r="F16" s="1"/>
      <c r="G16" s="1"/>
      <c r="H16" s="1"/>
      <c r="N16" s="34"/>
      <c r="O16" s="34"/>
    </row>
    <row r="17" spans="1:25" ht="20.100000000000001" customHeight="1" x14ac:dyDescent="0.25">
      <c r="A17" s="121" t="s">
        <v>1</v>
      </c>
      <c r="D17" s="1"/>
      <c r="E17" s="1"/>
      <c r="F17" s="1"/>
      <c r="G17" s="1"/>
      <c r="H17" s="1"/>
    </row>
    <row r="18" spans="1:25" ht="20.100000000000001" customHeight="1" x14ac:dyDescent="0.25">
      <c r="A18" s="17" t="str">
        <f>HYPERLINK("#'Constants - Swine'!A1", "Constants - Swine")</f>
        <v>Constants - Swine</v>
      </c>
      <c r="D18" s="1"/>
      <c r="E18" s="1"/>
      <c r="F18" s="1"/>
      <c r="G18" s="1"/>
      <c r="H18" s="1"/>
    </row>
    <row r="19" spans="1:25" ht="20.100000000000001" customHeight="1" x14ac:dyDescent="0.25">
      <c r="A19" s="17" t="str">
        <f>HYPERLINK("#'Constants - Common'!A1", "Constants - Common")</f>
        <v>Constants - Common</v>
      </c>
      <c r="D19" s="1"/>
      <c r="E19" s="1"/>
      <c r="F19" s="1"/>
      <c r="G19" s="1"/>
      <c r="H19" s="1"/>
      <c r="N19" s="35"/>
    </row>
    <row r="20" spans="1:25" ht="20.100000000000001" customHeight="1" x14ac:dyDescent="0.25">
      <c r="A20" s="17" t="str">
        <f>HYPERLINK("#'Constants - Livestock'!A1", "Constants - Livestock")</f>
        <v>Constants - Livestock</v>
      </c>
      <c r="D20" s="1"/>
      <c r="E20" s="1"/>
      <c r="F20" s="1"/>
      <c r="G20" s="1"/>
      <c r="H20" s="1"/>
      <c r="N20" s="36"/>
    </row>
    <row r="21" spans="1:25" ht="20.100000000000001" customHeight="1" x14ac:dyDescent="0.25">
      <c r="A21" s="17" t="str">
        <f>HYPERLINK("#'Acknowledgements'!A1", "Acknowledgements")</f>
        <v>Acknowledgements</v>
      </c>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6"/>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2"/>
      <c r="M30" s="42"/>
      <c r="N30" s="42"/>
      <c r="O30" s="42"/>
      <c r="P30" s="42"/>
      <c r="Q30" s="42"/>
      <c r="R30" s="42"/>
      <c r="S30" s="42"/>
      <c r="T30" s="42"/>
      <c r="U30" s="42"/>
      <c r="V30" s="42"/>
      <c r="W30" s="42"/>
      <c r="X30" s="42"/>
      <c r="Y30" s="42"/>
    </row>
    <row r="31" spans="1:25" ht="20.100000000000001" customHeight="1" x14ac:dyDescent="0.25">
      <c r="A31"/>
      <c r="D31" s="1"/>
      <c r="E31" s="1"/>
      <c r="F31" s="1"/>
      <c r="G31" s="1"/>
      <c r="H31" s="1"/>
      <c r="L31" s="40"/>
      <c r="M31" s="40"/>
      <c r="N31" s="40"/>
      <c r="O31" s="40"/>
      <c r="P31" s="40"/>
      <c r="Q31" s="40"/>
      <c r="R31" s="40"/>
      <c r="S31" s="40"/>
      <c r="T31" s="40"/>
      <c r="U31" s="40"/>
      <c r="V31" s="40"/>
      <c r="W31" s="40"/>
      <c r="X31" s="40"/>
      <c r="Y31" s="40"/>
    </row>
    <row r="32" spans="1:25" ht="20.100000000000001" customHeight="1" x14ac:dyDescent="0.25">
      <c r="A32"/>
      <c r="D32" s="1"/>
      <c r="E32" s="1"/>
      <c r="F32" s="1"/>
      <c r="G32" s="1"/>
      <c r="H32" s="1"/>
      <c r="L32" s="40"/>
      <c r="M32" s="40"/>
      <c r="N32" s="40"/>
      <c r="O32" s="40"/>
      <c r="P32" s="40"/>
      <c r="Q32" s="40"/>
      <c r="R32" s="40"/>
      <c r="S32" s="40"/>
      <c r="T32" s="40"/>
      <c r="U32" s="40"/>
      <c r="V32" s="40"/>
      <c r="W32" s="40"/>
      <c r="X32" s="40"/>
      <c r="Y32" s="40"/>
    </row>
    <row r="33" spans="1:25" ht="20.100000000000001" customHeight="1" x14ac:dyDescent="0.25">
      <c r="A33"/>
      <c r="D33" s="1"/>
      <c r="E33" s="1"/>
      <c r="F33" s="1"/>
      <c r="G33" s="1"/>
      <c r="H33" s="1"/>
      <c r="L33" s="40"/>
      <c r="M33" s="40"/>
      <c r="N33" s="40"/>
      <c r="O33" s="40"/>
      <c r="P33" s="40"/>
      <c r="Q33" s="40"/>
      <c r="R33" s="40"/>
      <c r="S33" s="40"/>
      <c r="T33" s="40"/>
      <c r="U33" s="40"/>
      <c r="V33" s="40"/>
      <c r="W33" s="40"/>
      <c r="X33" s="40"/>
      <c r="Y33" s="40"/>
    </row>
    <row r="34" spans="1:25" ht="20.100000000000001" customHeight="1" x14ac:dyDescent="0.25">
      <c r="A34"/>
      <c r="D34" s="1"/>
      <c r="E34" s="1"/>
      <c r="F34" s="1"/>
      <c r="G34" s="1"/>
      <c r="H34" s="1"/>
      <c r="J34" s="54"/>
      <c r="K34" s="64"/>
      <c r="L34" s="40"/>
      <c r="M34" s="40"/>
      <c r="N34" s="40"/>
      <c r="O34" s="40"/>
      <c r="P34" s="40"/>
      <c r="Q34" s="40"/>
      <c r="R34" s="40"/>
      <c r="S34" s="40"/>
      <c r="T34" s="40"/>
      <c r="U34" s="40"/>
      <c r="V34" s="40"/>
      <c r="W34" s="40"/>
      <c r="X34" s="40"/>
      <c r="Y34" s="40"/>
    </row>
    <row r="35" spans="1:25" ht="20.100000000000001" customHeight="1" x14ac:dyDescent="0.25">
      <c r="A35"/>
      <c r="D35" s="1"/>
      <c r="E35" s="1"/>
      <c r="F35" s="1"/>
      <c r="G35" s="1"/>
      <c r="H35" s="1"/>
      <c r="J35" s="54"/>
      <c r="K35" s="64"/>
      <c r="L35" s="40"/>
      <c r="M35" s="40"/>
      <c r="N35" s="40"/>
      <c r="O35" s="40"/>
      <c r="P35" s="40"/>
      <c r="Q35" s="40"/>
      <c r="R35" s="40"/>
      <c r="S35" s="40"/>
      <c r="T35" s="40"/>
      <c r="U35" s="40"/>
      <c r="V35" s="40"/>
      <c r="W35" s="40"/>
      <c r="X35" s="40"/>
      <c r="Y35" s="40"/>
    </row>
    <row r="36" spans="1:25" ht="20.100000000000001" customHeight="1" x14ac:dyDescent="0.25">
      <c r="A36"/>
      <c r="D36" s="62"/>
      <c r="E36" s="62"/>
      <c r="F36" s="63"/>
      <c r="G36" s="54"/>
      <c r="H36" s="54"/>
      <c r="I36" s="55"/>
      <c r="J36" s="54"/>
      <c r="K36" s="64"/>
      <c r="L36" s="40"/>
      <c r="M36" s="40"/>
      <c r="N36" s="40"/>
      <c r="O36" s="40"/>
      <c r="P36" s="40"/>
      <c r="Q36" s="40"/>
      <c r="R36" s="40"/>
      <c r="S36" s="40"/>
      <c r="T36" s="40"/>
      <c r="U36" s="40"/>
      <c r="V36" s="40"/>
      <c r="W36" s="40"/>
      <c r="X36" s="40"/>
      <c r="Y36" s="40"/>
    </row>
    <row r="37" spans="1:25" ht="20.100000000000001" customHeight="1" x14ac:dyDescent="0.25">
      <c r="A37"/>
      <c r="D37" s="62"/>
      <c r="E37" s="62"/>
      <c r="F37" s="63"/>
      <c r="G37" s="54"/>
      <c r="H37" s="54"/>
      <c r="I37" s="55"/>
      <c r="J37" s="54"/>
      <c r="K37" s="64"/>
      <c r="L37" s="40"/>
      <c r="M37" s="40"/>
      <c r="N37" s="40"/>
      <c r="O37" s="40"/>
      <c r="P37" s="40"/>
      <c r="Q37" s="40"/>
      <c r="R37" s="40"/>
      <c r="S37" s="40"/>
      <c r="T37" s="40"/>
      <c r="U37" s="40"/>
      <c r="V37" s="40"/>
      <c r="W37" s="40"/>
      <c r="X37" s="40"/>
      <c r="Y37" s="40"/>
    </row>
    <row r="38" spans="1:25" ht="20.100000000000001" customHeight="1" x14ac:dyDescent="0.25">
      <c r="A38"/>
      <c r="D38" s="62"/>
      <c r="E38" s="62"/>
      <c r="F38" s="63"/>
      <c r="G38" s="54"/>
      <c r="H38" s="54"/>
      <c r="I38" s="55"/>
      <c r="J38" s="54"/>
      <c r="K38" s="64"/>
      <c r="L38" s="40"/>
      <c r="M38" s="40"/>
      <c r="N38" s="40"/>
      <c r="O38" s="40"/>
      <c r="P38" s="40"/>
      <c r="Q38" s="40"/>
      <c r="R38" s="40"/>
      <c r="S38" s="40"/>
      <c r="T38" s="40"/>
      <c r="U38" s="40"/>
      <c r="V38" s="40"/>
      <c r="W38" s="40"/>
      <c r="X38" s="40"/>
      <c r="Y38" s="40"/>
    </row>
    <row r="39" spans="1:25" ht="20.100000000000001" customHeight="1" x14ac:dyDescent="0.25">
      <c r="A39"/>
      <c r="D39" s="62"/>
      <c r="E39" s="62"/>
      <c r="F39" s="63"/>
      <c r="G39" s="54"/>
      <c r="H39" s="54"/>
      <c r="I39" s="55"/>
      <c r="J39" s="54"/>
      <c r="K39" s="64"/>
      <c r="L39" s="40"/>
      <c r="M39" s="40"/>
      <c r="N39" s="40"/>
      <c r="O39" s="40"/>
      <c r="P39" s="40"/>
      <c r="Q39" s="40"/>
      <c r="R39" s="40"/>
      <c r="S39" s="40"/>
      <c r="T39" s="40"/>
      <c r="U39" s="40"/>
      <c r="V39" s="40"/>
      <c r="W39" s="40"/>
      <c r="X39" s="40"/>
      <c r="Y39" s="40"/>
    </row>
    <row r="40" spans="1:25" ht="20.100000000000001" customHeight="1" x14ac:dyDescent="0.25">
      <c r="A40"/>
      <c r="D40" s="65"/>
      <c r="E40" s="65"/>
      <c r="F40" s="65"/>
      <c r="G40" s="66"/>
      <c r="H40" s="67"/>
      <c r="I40" s="67"/>
      <c r="J40" s="67"/>
      <c r="K40" s="67"/>
      <c r="L40" s="43"/>
      <c r="M40" s="43"/>
      <c r="N40" s="43"/>
      <c r="O40" s="43"/>
      <c r="P40" s="43"/>
      <c r="Q40" s="43"/>
      <c r="R40" s="43"/>
      <c r="S40" s="43"/>
      <c r="T40" s="43"/>
      <c r="U40" s="43"/>
      <c r="V40" s="43"/>
      <c r="W40" s="43"/>
      <c r="X40" s="43"/>
      <c r="Y40" s="4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68"/>
      <c r="E47" s="68"/>
      <c r="F47" s="68"/>
      <c r="G47" s="68"/>
      <c r="H47" s="68"/>
    </row>
    <row r="48" spans="1:25" ht="20.100000000000001" customHeight="1" x14ac:dyDescent="0.25">
      <c r="A48"/>
      <c r="D48" s="30"/>
      <c r="E48" s="30"/>
      <c r="F48" s="31"/>
      <c r="G48" s="31"/>
      <c r="H48" s="30"/>
    </row>
    <row r="49" spans="1:8" ht="20.100000000000001" customHeight="1" x14ac:dyDescent="0.25">
      <c r="A49"/>
      <c r="D49" s="30"/>
      <c r="E49" s="30"/>
      <c r="F49" s="31"/>
      <c r="G49" s="31"/>
      <c r="H49" s="30"/>
    </row>
    <row r="50" spans="1:8" ht="20.100000000000001" customHeight="1" x14ac:dyDescent="0.25">
      <c r="A50"/>
      <c r="D50" s="30"/>
      <c r="E50" s="30"/>
      <c r="F50" s="31"/>
      <c r="G50" s="31"/>
      <c r="H50" s="30"/>
    </row>
    <row r="51" spans="1:8" ht="20.100000000000001" customHeight="1" x14ac:dyDescent="0.25">
      <c r="A51"/>
      <c r="D51" s="69"/>
      <c r="E51" s="70"/>
      <c r="F51" s="70"/>
      <c r="G51" s="70"/>
      <c r="H51" s="71"/>
    </row>
    <row r="52" spans="1:8" ht="20.100000000000001" customHeight="1" x14ac:dyDescent="0.25">
      <c r="A52"/>
    </row>
    <row r="53" spans="1:8" ht="20.100000000000001" customHeight="1" x14ac:dyDescent="0.25">
      <c r="A53"/>
    </row>
    <row r="54" spans="1:8" ht="20.100000000000001" customHeight="1" x14ac:dyDescent="0.25">
      <c r="A54"/>
      <c r="D54" s="74"/>
      <c r="G54" s="72"/>
    </row>
    <row r="55" spans="1:8" ht="20.100000000000001" customHeight="1" x14ac:dyDescent="0.25">
      <c r="A55"/>
      <c r="D55" s="74"/>
    </row>
    <row r="56" spans="1:8" ht="20.100000000000001" customHeight="1" x14ac:dyDescent="0.25">
      <c r="A56"/>
      <c r="D56" s="74"/>
    </row>
    <row r="57" spans="1:8" ht="20.100000000000001" customHeight="1" x14ac:dyDescent="0.25">
      <c r="A57"/>
      <c r="D57" s="74"/>
      <c r="F57" s="73"/>
    </row>
    <row r="58" spans="1:8" ht="20.100000000000001" customHeight="1" x14ac:dyDescent="0.25">
      <c r="A58"/>
      <c r="D58" s="74"/>
      <c r="E58" s="74"/>
    </row>
    <row r="59" spans="1:8" ht="20.100000000000001" customHeight="1" x14ac:dyDescent="0.25">
      <c r="A59"/>
      <c r="D59" s="74"/>
      <c r="E59" s="74"/>
    </row>
    <row r="60" spans="1:8" ht="20.100000000000001" customHeight="1" x14ac:dyDescent="0.25">
      <c r="A60"/>
      <c r="D60" s="74"/>
      <c r="E60" s="75"/>
    </row>
    <row r="61" spans="1:8" ht="20.100000000000001" customHeight="1" x14ac:dyDescent="0.25">
      <c r="A61"/>
      <c r="D61" s="74"/>
    </row>
    <row r="62" spans="1:8" ht="20.100000000000001" customHeight="1" x14ac:dyDescent="0.25">
      <c r="A62"/>
      <c r="D62" s="74"/>
    </row>
    <row r="63" spans="1:8" ht="20.100000000000001" customHeight="1" x14ac:dyDescent="0.25">
      <c r="A63"/>
      <c r="D63" s="74"/>
    </row>
    <row r="64" spans="1:8" ht="20.100000000000001" customHeight="1" x14ac:dyDescent="0.25">
      <c r="A64"/>
      <c r="D64" s="74"/>
      <c r="E64" s="74"/>
    </row>
    <row r="65" spans="1:9" ht="20.100000000000001" customHeight="1" x14ac:dyDescent="0.25">
      <c r="A65"/>
      <c r="D65" s="74"/>
      <c r="E65" s="74"/>
    </row>
    <row r="66" spans="1:9" ht="20.100000000000001" customHeight="1" x14ac:dyDescent="0.25">
      <c r="A66"/>
      <c r="D66" s="74"/>
      <c r="E66" s="75"/>
    </row>
    <row r="67" spans="1:9" ht="20.100000000000001" customHeight="1" x14ac:dyDescent="0.25">
      <c r="A67"/>
    </row>
    <row r="68" spans="1:9" ht="20.100000000000001" customHeight="1" x14ac:dyDescent="0.25">
      <c r="A68"/>
    </row>
    <row r="69" spans="1:9" ht="20.100000000000001" customHeight="1" x14ac:dyDescent="0.25">
      <c r="A69"/>
      <c r="D69" s="53"/>
      <c r="E69" s="53"/>
      <c r="F69" s="53"/>
      <c r="G69" s="53"/>
      <c r="H69" s="53"/>
      <c r="I69" s="53"/>
    </row>
    <row r="70" spans="1:9" ht="20.100000000000001" customHeight="1" x14ac:dyDescent="0.25">
      <c r="A70"/>
      <c r="D70" s="53"/>
      <c r="E70" s="53"/>
      <c r="F70" s="53"/>
      <c r="G70" s="53"/>
      <c r="H70" s="53"/>
      <c r="I70" s="53"/>
    </row>
    <row r="71" spans="1:9" ht="20.100000000000001" customHeight="1" x14ac:dyDescent="0.25">
      <c r="A71"/>
      <c r="D71" s="53"/>
      <c r="E71" s="53"/>
      <c r="F71" s="53"/>
      <c r="G71" s="53"/>
      <c r="H71" s="53"/>
      <c r="I71" s="53"/>
    </row>
    <row r="72" spans="1:9" ht="20.100000000000001" customHeight="1" x14ac:dyDescent="0.25">
      <c r="A72"/>
      <c r="D72" s="53"/>
      <c r="E72" s="53"/>
      <c r="F72" s="53"/>
      <c r="G72" s="53"/>
      <c r="H72" s="53"/>
      <c r="I72" s="53"/>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6"/>
    </row>
    <row r="79" spans="1:9" ht="20.100000000000001" customHeight="1" x14ac:dyDescent="0.25">
      <c r="A79"/>
      <c r="D79" s="76"/>
    </row>
    <row r="80" spans="1:9" ht="20.100000000000001" customHeight="1" x14ac:dyDescent="0.25">
      <c r="A80"/>
      <c r="D80" s="76"/>
    </row>
    <row r="81" spans="1:4" ht="20.100000000000001" customHeight="1" x14ac:dyDescent="0.25">
      <c r="A81"/>
      <c r="D81" s="76"/>
    </row>
    <row r="82" spans="1:4" ht="20.100000000000001" customHeight="1" x14ac:dyDescent="0.25">
      <c r="A82"/>
      <c r="D82" s="7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49" customWidth="1"/>
    <col min="13" max="18" width="30.7109375" style="49" customWidth="1"/>
    <col min="19" max="19" width="4.7109375" style="49" customWidth="1"/>
  </cols>
  <sheetData>
    <row r="1" spans="1:19" s="59" customFormat="1" ht="30" customHeight="1" x14ac:dyDescent="0.35">
      <c r="A1" s="59" t="e" vm="1">
        <v>#VALUE!</v>
      </c>
      <c r="C1" s="59" t="s">
        <v>103</v>
      </c>
      <c r="K1" s="49"/>
      <c r="L1" s="49"/>
      <c r="M1" s="49"/>
      <c r="N1" s="49"/>
      <c r="O1" s="49"/>
      <c r="P1" s="49"/>
      <c r="Q1" s="49"/>
      <c r="R1" s="49"/>
      <c r="S1" s="49"/>
    </row>
    <row r="2" spans="1:19" s="9" customFormat="1" ht="20.100000000000001" customHeight="1" x14ac:dyDescent="0.25">
      <c r="A2"/>
      <c r="K2" s="49"/>
      <c r="L2" s="49"/>
      <c r="M2" s="49"/>
      <c r="N2" s="49"/>
      <c r="O2" s="49"/>
      <c r="P2" s="49"/>
      <c r="Q2" s="49"/>
      <c r="R2" s="49"/>
      <c r="S2" s="49"/>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98" t="s">
        <v>105</v>
      </c>
      <c r="F5" s="98" t="s">
        <v>106</v>
      </c>
      <c r="G5" s="98" t="s">
        <v>107</v>
      </c>
      <c r="H5" s="98" t="s">
        <v>127</v>
      </c>
      <c r="J5" s="3"/>
      <c r="N5" s="7"/>
    </row>
    <row r="6" spans="1:19" ht="20.100000000000001" customHeight="1" x14ac:dyDescent="0.25">
      <c r="D6" s="41" t="str">
        <f>"Average duration of stay between " &amp; TEXT(X_Cell_Site_StartDate, "dd mmm yy") &amp; " and " &amp; TEXT('Input - Site'!$E$13, "dd mmm yy")</f>
        <v>Average duration of stay between 01 Jan 24 and 31 Dec 24</v>
      </c>
      <c r="E6" s="58">
        <v>365</v>
      </c>
      <c r="F6" s="58">
        <v>365</v>
      </c>
      <c r="G6" s="58">
        <v>365</v>
      </c>
      <c r="H6" s="58">
        <v>365</v>
      </c>
      <c r="I6" s="2" t="s">
        <v>40</v>
      </c>
      <c r="J6" s="3"/>
      <c r="N6" s="7"/>
    </row>
    <row r="7" spans="1:19" ht="20.100000000000001" customHeight="1" x14ac:dyDescent="0.25">
      <c r="D7" s="41" t="str">
        <f>"Average number of head between " &amp; TEXT(X_Cell_Site_StartDate, "dd mmm yy") &amp; " and " &amp; TEXT('Input - Site'!$E$13, "dd mmm yy")</f>
        <v>Average number of head between 01 Jan 24 and 31 Dec 24</v>
      </c>
      <c r="E7" s="58">
        <v>100</v>
      </c>
      <c r="F7" s="58">
        <v>100</v>
      </c>
      <c r="G7" s="58">
        <v>100</v>
      </c>
      <c r="H7" s="58">
        <v>100</v>
      </c>
      <c r="I7" s="2" t="s">
        <v>73</v>
      </c>
      <c r="J7" s="3"/>
      <c r="N7" s="7"/>
    </row>
    <row r="8" spans="1:19" ht="20.100000000000001" customHeight="1" x14ac:dyDescent="0.25">
      <c r="A8" s="19" t="s">
        <v>0</v>
      </c>
      <c r="J8" s="3"/>
      <c r="N8" s="7"/>
    </row>
    <row r="9" spans="1:19" ht="20.100000000000001" customHeight="1" x14ac:dyDescent="0.25">
      <c r="A9" s="17" t="str">
        <f>HYPERLINK("#'Input - Site'!A1", "Site")</f>
        <v>Site</v>
      </c>
      <c r="D9" s="6" t="s">
        <v>173</v>
      </c>
      <c r="N9" s="7"/>
    </row>
    <row r="10" spans="1:19" ht="20.100000000000001" customHeight="1" x14ac:dyDescent="0.25">
      <c r="A10" s="118" t="str">
        <f>HYPERLINK("#'Input - Swine'!A1", "Swine")</f>
        <v>Swine</v>
      </c>
      <c r="N10" s="7"/>
    </row>
    <row r="11" spans="1:19" ht="20.100000000000001" customHeight="1" x14ac:dyDescent="0.25">
      <c r="D11" s="56" t="s">
        <v>125</v>
      </c>
      <c r="E11" s="98" t="s">
        <v>105</v>
      </c>
      <c r="F11" s="98" t="s">
        <v>106</v>
      </c>
      <c r="G11" s="98" t="s">
        <v>107</v>
      </c>
      <c r="H11" s="98" t="s">
        <v>127</v>
      </c>
      <c r="N11" s="7"/>
    </row>
    <row r="12" spans="1:19" ht="20.100000000000001" customHeight="1" x14ac:dyDescent="0.25">
      <c r="D12" s="1" t="s">
        <v>108</v>
      </c>
      <c r="E12" s="45" cm="1">
        <f t="array" ref="E12">Common_InputFunctions.Utility_LookupValueInTableNumber(E11, Table_SourceData_Swine_FeedIntake[Class],Table_SourceData_Swine_FeedIntake[Ij])</f>
        <v>2.62</v>
      </c>
      <c r="F12" s="45" cm="1">
        <f t="array" ref="F12">Common_InputFunctions.Utility_LookupValueInTableNumber(F11, Table_SourceData_Swine_FeedIntake[Class],Table_SourceData_Swine_FeedIntake[Ij])</f>
        <v>2.2999999999999998</v>
      </c>
      <c r="G12" s="45" cm="1">
        <f t="array" ref="G12">Common_InputFunctions.Utility_LookupValueInTableNumber(G11, Table_SourceData_Swine_FeedIntake[Class],Table_SourceData_Swine_FeedIntake[Ij])</f>
        <v>2.5</v>
      </c>
      <c r="H12" s="45" cm="1">
        <f t="array" ref="H12">Common_InputFunctions.Utility_LookupValueInTableNumber(H11, Table_SourceData_Swine_FeedIntake[Class],Table_SourceData_Swine_FeedIntake[Ij])</f>
        <v>1.71</v>
      </c>
      <c r="I12" s="2" t="s">
        <v>92</v>
      </c>
      <c r="N12" s="7"/>
    </row>
    <row r="13" spans="1:19" ht="20.100000000000001" customHeight="1" x14ac:dyDescent="0.25">
      <c r="A13" s="18" t="s">
        <v>54</v>
      </c>
      <c r="N13" s="34"/>
    </row>
    <row r="14" spans="1:19" ht="20.100000000000001" customHeight="1" x14ac:dyDescent="0.25">
      <c r="A14" s="17" t="str">
        <f>HYPERLINK("#'3.5.1.1-2 Enteric Methane'!A1", "3.5.1.1-2 Enteric Methane")</f>
        <v>3.5.1.1-2 Enteric Methane</v>
      </c>
      <c r="D14" s="56" t="s">
        <v>126</v>
      </c>
      <c r="E14" s="98" t="s">
        <v>105</v>
      </c>
      <c r="F14" s="98" t="s">
        <v>106</v>
      </c>
      <c r="G14" s="98" t="s">
        <v>107</v>
      </c>
      <c r="H14" s="98" t="s">
        <v>127</v>
      </c>
      <c r="N14" s="34"/>
    </row>
    <row r="15" spans="1:19" ht="20.100000000000001" customHeight="1" x14ac:dyDescent="0.25">
      <c r="D15" s="1" t="s">
        <v>108</v>
      </c>
      <c r="E15" s="58" cm="1">
        <f t="array" ref="E15">Common_InputFunctions.Utility_LookupValueInTableNumber(E14, Table_SourceData_Swine_FeedIntake[Class],Table_SourceData_Swine_FeedIntake[Ij])</f>
        <v>2.62</v>
      </c>
      <c r="F15" s="58" cm="1">
        <f t="array" ref="F15">Common_InputFunctions.Utility_LookupValueInTableNumber(F14, Table_SourceData_Swine_FeedIntake[Class],Table_SourceData_Swine_FeedIntake[Ij])</f>
        <v>2.2999999999999998</v>
      </c>
      <c r="G15" s="58" cm="1">
        <f t="array" ref="G15">Common_InputFunctions.Utility_LookupValueInTableNumber(G14, Table_SourceData_Swine_FeedIntake[Class],Table_SourceData_Swine_FeedIntake[Ij])</f>
        <v>2.5</v>
      </c>
      <c r="H15" s="58" cm="1">
        <f t="array" ref="H15">Common_InputFunctions.Utility_LookupValueInTableNumber(H14, Table_SourceData_Swine_FeedIntake[Class],Table_SourceData_Swine_FeedIntake[Ij])</f>
        <v>1.71</v>
      </c>
      <c r="I15" s="2" t="s">
        <v>92</v>
      </c>
      <c r="N15" s="34"/>
    </row>
    <row r="16" spans="1:19" ht="20.100000000000001" customHeight="1" x14ac:dyDescent="0.25">
      <c r="N16" s="34"/>
    </row>
    <row r="17" spans="1:14" ht="20.100000000000001" customHeight="1" x14ac:dyDescent="0.25">
      <c r="A17" s="121" t="s">
        <v>1</v>
      </c>
      <c r="N17" s="7"/>
    </row>
    <row r="18" spans="1:14" ht="20.100000000000001" customHeight="1" x14ac:dyDescent="0.25">
      <c r="A18" s="17" t="str">
        <f>HYPERLINK("#'Constants - Swine'!A1", "Constants - Swine")</f>
        <v>Constants - Swine</v>
      </c>
      <c r="N18" s="7"/>
    </row>
    <row r="19" spans="1:14" ht="20.100000000000001" customHeight="1" x14ac:dyDescent="0.25">
      <c r="A19" s="17" t="str">
        <f>HYPERLINK("#'Constants - Common'!A1", "Constants - Common")</f>
        <v>Constants - Common</v>
      </c>
      <c r="N19" s="7"/>
    </row>
    <row r="20" spans="1:14" ht="20.100000000000001" customHeight="1" x14ac:dyDescent="0.25">
      <c r="A20" s="17" t="str">
        <f>HYPERLINK("#'Constants - Livestock'!A1", "Constants - Livestock")</f>
        <v>Constants - Livestock</v>
      </c>
      <c r="N20" s="7"/>
    </row>
    <row r="21" spans="1:14" ht="20.100000000000001" customHeight="1" x14ac:dyDescent="0.25">
      <c r="A21" s="17" t="str">
        <f>HYPERLINK("#'Acknowledgements'!A1", "Acknowledgements")</f>
        <v>Acknowledgements</v>
      </c>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N26" s="7"/>
    </row>
    <row r="27" spans="1:14" ht="20.100000000000001" customHeight="1" x14ac:dyDescent="0.25">
      <c r="N27" s="7"/>
    </row>
    <row r="28" spans="1:14" ht="20.100000000000001" customHeight="1" x14ac:dyDescent="0.25">
      <c r="N28" s="7"/>
    </row>
    <row r="29" spans="1:14" ht="20.100000000000001" customHeight="1" x14ac:dyDescent="0.25">
      <c r="N29" s="7"/>
    </row>
    <row r="30" spans="1:14" ht="20.100000000000001" customHeight="1" x14ac:dyDescent="0.25">
      <c r="N30" s="7"/>
    </row>
    <row r="31" spans="1:14" ht="20.100000000000001" customHeight="1" x14ac:dyDescent="0.25">
      <c r="N31" s="7"/>
    </row>
    <row r="32" spans="1:14" ht="20.100000000000001" customHeight="1" x14ac:dyDescent="0.25">
      <c r="N32" s="7"/>
    </row>
    <row r="33" spans="14:14" ht="20.100000000000001" customHeight="1" x14ac:dyDescent="0.25">
      <c r="N33" s="7"/>
    </row>
    <row r="34" spans="14:14" ht="20.100000000000001" customHeight="1" x14ac:dyDescent="0.25">
      <c r="N34" s="7"/>
    </row>
    <row r="35" spans="14:14" ht="20.100000000000001" customHeight="1" x14ac:dyDescent="0.25">
      <c r="N35" s="7"/>
    </row>
    <row r="36" spans="14:14" ht="20.100000000000001" customHeight="1" x14ac:dyDescent="0.25">
      <c r="N36" s="7"/>
    </row>
    <row r="37" spans="14:14" ht="20.100000000000001" customHeight="1" x14ac:dyDescent="0.25">
      <c r="N37" s="7"/>
    </row>
    <row r="38" spans="14:14" ht="20.100000000000001" customHeight="1" x14ac:dyDescent="0.25">
      <c r="N38" s="7"/>
    </row>
    <row r="39" spans="14:14" ht="20.100000000000001" customHeight="1" x14ac:dyDescent="0.25">
      <c r="N39" s="7"/>
    </row>
    <row r="40" spans="14:14" ht="20.100000000000001" customHeight="1" x14ac:dyDescent="0.25">
      <c r="N40" s="7"/>
    </row>
    <row r="41" spans="14:14" ht="20.100000000000001" customHeight="1" x14ac:dyDescent="0.25">
      <c r="N41" s="7"/>
    </row>
    <row r="42" spans="14:14" ht="20.100000000000001" customHeight="1" x14ac:dyDescent="0.25">
      <c r="N42" s="7"/>
    </row>
    <row r="43" spans="14:14" ht="20.100000000000001" customHeight="1" x14ac:dyDescent="0.25">
      <c r="N43" s="7"/>
    </row>
    <row r="44" spans="14:14" ht="20.100000000000001" customHeight="1" x14ac:dyDescent="0.25">
      <c r="N44" s="7"/>
    </row>
    <row r="45" spans="14:14" ht="20.100000000000001" customHeight="1" x14ac:dyDescent="0.25">
      <c r="N45" s="7"/>
    </row>
    <row r="46" spans="14:14" ht="20.100000000000001" customHeight="1" x14ac:dyDescent="0.25">
      <c r="N46" s="7"/>
    </row>
    <row r="47" spans="14:14" ht="20.100000000000001" customHeight="1" x14ac:dyDescent="0.25">
      <c r="N47" s="7"/>
    </row>
    <row r="48" spans="14: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4:14" ht="20.100000000000001" customHeight="1" x14ac:dyDescent="0.25">
      <c r="N81" s="7"/>
    </row>
    <row r="82" spans="14:14" ht="20.100000000000001" customHeight="1" x14ac:dyDescent="0.25">
      <c r="N82" s="7"/>
    </row>
    <row r="83" spans="14:14" ht="20.100000000000001" customHeight="1" x14ac:dyDescent="0.25">
      <c r="N83" s="7"/>
    </row>
    <row r="84" spans="14:14" ht="20.100000000000001" customHeight="1" x14ac:dyDescent="0.25">
      <c r="N84" s="7"/>
    </row>
    <row r="85" spans="14:14" ht="20.100000000000001" customHeight="1" x14ac:dyDescent="0.25">
      <c r="N85" s="7"/>
    </row>
    <row r="86" spans="14:14" ht="20.100000000000001" customHeight="1" x14ac:dyDescent="0.25">
      <c r="N86" s="7"/>
    </row>
    <row r="87" spans="14:14" ht="20.100000000000001" customHeight="1" x14ac:dyDescent="0.25">
      <c r="N87" s="7"/>
    </row>
    <row r="88" spans="14:14" ht="20.100000000000001" customHeight="1" x14ac:dyDescent="0.25">
      <c r="N88" s="7"/>
    </row>
    <row r="89" spans="14:14" ht="20.100000000000001" customHeight="1" x14ac:dyDescent="0.25">
      <c r="N89" s="7"/>
    </row>
    <row r="90" spans="14:14" ht="20.100000000000001" customHeight="1" x14ac:dyDescent="0.25">
      <c r="N90" s="7"/>
    </row>
    <row r="91" spans="14:14" ht="20.100000000000001" customHeight="1" x14ac:dyDescent="0.25">
      <c r="N91" s="7"/>
    </row>
    <row r="92" spans="14:14" ht="20.100000000000001" customHeight="1" x14ac:dyDescent="0.25">
      <c r="N92" s="7"/>
    </row>
    <row r="93" spans="14:14" ht="20.100000000000001" customHeight="1" x14ac:dyDescent="0.25">
      <c r="N93" s="7"/>
    </row>
    <row r="94" spans="14:14" ht="20.100000000000001" customHeight="1" x14ac:dyDescent="0.25">
      <c r="N94" s="7"/>
    </row>
    <row r="95" spans="14:14" ht="20.100000000000001" customHeight="1" x14ac:dyDescent="0.25">
      <c r="N95" s="7"/>
    </row>
    <row r="96" spans="14: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0"/>
    </row>
  </sheetData>
  <conditionalFormatting sqref="E205:G205">
    <cfRule type="cellIs" dxfId="57" priority="79" operator="lessThan">
      <formula>0</formula>
    </cfRule>
  </conditionalFormatting>
  <conditionalFormatting sqref="F40:F41">
    <cfRule type="cellIs" dxfId="56" priority="69" operator="lessThan">
      <formula>0</formula>
    </cfRule>
  </conditionalFormatting>
  <conditionalFormatting sqref="F44">
    <cfRule type="cellIs" dxfId="55" priority="68" operator="lessThan">
      <formula>0</formula>
    </cfRule>
  </conditionalFormatting>
  <conditionalFormatting sqref="F53">
    <cfRule type="cellIs" dxfId="54" priority="62" operator="lessThan">
      <formula>0</formula>
    </cfRule>
  </conditionalFormatting>
  <conditionalFormatting sqref="F121:F122">
    <cfRule type="cellIs" dxfId="53" priority="21" operator="lessThan">
      <formula>0</formula>
    </cfRule>
  </conditionalFormatting>
  <conditionalFormatting sqref="F133:F134">
    <cfRule type="cellIs" dxfId="52" priority="20" operator="lessThan">
      <formula>0</formula>
    </cfRule>
  </conditionalFormatting>
  <conditionalFormatting sqref="F145:F146">
    <cfRule type="cellIs" dxfId="51" priority="19" operator="lessThan">
      <formula>0</formula>
    </cfRule>
  </conditionalFormatting>
  <conditionalFormatting sqref="F157:F158">
    <cfRule type="cellIs" dxfId="50" priority="18" operator="lessThan">
      <formula>0</formula>
    </cfRule>
  </conditionalFormatting>
  <conditionalFormatting sqref="F245:F246">
    <cfRule type="cellIs" dxfId="49" priority="93" operator="lessThan">
      <formula>0</formula>
    </cfRule>
  </conditionalFormatting>
  <conditionalFormatting sqref="F250:F251">
    <cfRule type="cellIs" dxfId="48" priority="92" operator="lessThan">
      <formula>0</formula>
    </cfRule>
  </conditionalFormatting>
  <conditionalFormatting sqref="F255:F256">
    <cfRule type="cellIs" dxfId="47" priority="91" operator="lessThan">
      <formula>0</formula>
    </cfRule>
  </conditionalFormatting>
  <conditionalFormatting sqref="F279:F280">
    <cfRule type="cellIs" dxfId="46" priority="85" operator="lessThan">
      <formula>0</formula>
    </cfRule>
  </conditionalFormatting>
  <conditionalFormatting sqref="F284:F285">
    <cfRule type="cellIs" dxfId="45" priority="84" operator="lessThan">
      <formula>0</formula>
    </cfRule>
  </conditionalFormatting>
  <conditionalFormatting sqref="F289:F290">
    <cfRule type="cellIs" dxfId="44" priority="83" operator="lessThan">
      <formula>0</formula>
    </cfRule>
  </conditionalFormatting>
  <conditionalFormatting sqref="I29:I34">
    <cfRule type="cellIs" dxfId="43" priority="55" operator="lessThan">
      <formula>0</formula>
    </cfRule>
  </conditionalFormatting>
  <conditionalFormatting sqref="I55:I59">
    <cfRule type="cellIs" dxfId="42" priority="6" operator="lessThan">
      <formula>0</formula>
    </cfRule>
  </conditionalFormatting>
  <conditionalFormatting sqref="I63:I66">
    <cfRule type="cellIs" dxfId="41" priority="5" operator="lessThan">
      <formula>0</formula>
    </cfRule>
  </conditionalFormatting>
  <conditionalFormatting sqref="I70:I73">
    <cfRule type="cellIs" dxfId="40" priority="4" operator="lessThan">
      <formula>0</formula>
    </cfRule>
  </conditionalFormatting>
  <conditionalFormatting sqref="I77:I80">
    <cfRule type="cellIs" dxfId="39" priority="3" operator="lessThan">
      <formula>0</formula>
    </cfRule>
  </conditionalFormatting>
  <conditionalFormatting sqref="I84:I88">
    <cfRule type="cellIs" dxfId="38" priority="1" operator="lessThan">
      <formula>0</formula>
    </cfRule>
  </conditionalFormatting>
  <conditionalFormatting sqref="K43:L43 I48:I51 J101 I119 I199 I205">
    <cfRule type="cellIs" dxfId="37"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D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59" t="e" vm="1">
        <v>#VALUE!</v>
      </c>
      <c r="C1" s="8" t="s">
        <v>157</v>
      </c>
    </row>
    <row r="2" spans="1:18" s="9" customFormat="1" ht="20.100000000000001" customHeight="1" x14ac:dyDescent="0.25">
      <c r="A2"/>
    </row>
    <row r="3" spans="1:18" ht="20.100000000000001" customHeight="1" x14ac:dyDescent="0.25">
      <c r="A3" s="17" t="str">
        <f>HYPERLINK("#'Home'!A1", "Home")</f>
        <v>Home</v>
      </c>
      <c r="C3" s="4"/>
      <c r="D3" s="4" t="s">
        <v>74</v>
      </c>
      <c r="E3" s="4"/>
      <c r="F3" s="4"/>
      <c r="G3" s="4"/>
      <c r="H3" s="4"/>
      <c r="I3" s="4"/>
      <c r="J3" s="4"/>
      <c r="L3" s="4"/>
      <c r="M3" s="4" t="s">
        <v>75</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D6" s="5" t="str" cm="1">
        <f t="array" ref="D6">EntericMethane_Swine_Equations.VEERG_3_5_1_1__2_DailyEntericMethaneProduction_Source()</f>
        <v>VEERG 2026: 3.5.1.1, Equation (2)</v>
      </c>
    </row>
    <row r="7" spans="1:18" ht="20.100000000000001" customHeight="1" x14ac:dyDescent="0.25">
      <c r="D7" s="13" t="s">
        <v>14</v>
      </c>
      <c r="E7" s="13" t="str" cm="1">
        <f t="array" aca="1" ref="E7" ca="1">Common_InputFunctions.Utility_DisplayFunctionName(D26)</f>
        <v>=EntericMethane_Swine_Equations.VEERG_3_5_1_1__2_DailyEntericMethaneProduction</v>
      </c>
    </row>
    <row r="8" spans="1:18" ht="20.100000000000001" customHeight="1" x14ac:dyDescent="0.25">
      <c r="A8" s="19" t="s">
        <v>0</v>
      </c>
      <c r="D8" s="48"/>
    </row>
    <row r="9" spans="1:18" ht="20.100000000000001" customHeight="1" x14ac:dyDescent="0.25">
      <c r="A9" s="17" t="str">
        <f>HYPERLINK("#'Input - Site'!A1", "Site")</f>
        <v>Site</v>
      </c>
    </row>
    <row r="10" spans="1:18" ht="20.100000000000001" customHeight="1" x14ac:dyDescent="0.25">
      <c r="A10" s="17" t="str">
        <f>HYPERLINK("#'Input - Swine'!A1", "Swine")</f>
        <v>Swine</v>
      </c>
      <c r="D10" s="46" t="s">
        <v>17</v>
      </c>
      <c r="E10" s="1" t="str" cm="1">
        <f t="array" ref="E10">EntericMethane_Swine_Equations.VEERG_3_5_1_1__2_DailyEntericMethaneProduction_Variable()</f>
        <v>M_j</v>
      </c>
    </row>
    <row r="11" spans="1:18" ht="20.100000000000001" customHeight="1" x14ac:dyDescent="0.25">
      <c r="D11" s="46" t="s">
        <v>8</v>
      </c>
      <c r="E11" s="47" t="str" cm="1">
        <f t="array" ref="E11">EntericMethane_Swine_Equations.VEERG_3_5_1_1__2_DailyEntericMethaneProduction_Unit()</f>
        <v>kg CH4/head/day</v>
      </c>
    </row>
    <row r="12" spans="1:18" ht="20.100000000000001" customHeight="1" x14ac:dyDescent="0.25"/>
    <row r="13" spans="1:18" ht="20.100000000000001" customHeight="1" x14ac:dyDescent="0.25">
      <c r="A13" s="18" t="s">
        <v>54</v>
      </c>
      <c r="D13" s="110" t="str" cm="1">
        <f t="array" ref="D13:E16">_xlfn.CHOOSECOLS(EntericMethane_Swine_Equations.VEERG_3_5_1_1__2_DailyEntericMethaneProduction_Arguments(),1,2)</f>
        <v>I_j</v>
      </c>
      <c r="E13" s="112" t="str">
        <v>daily feed ingested by each swine class</v>
      </c>
      <c r="F13" s="111"/>
      <c r="G13" s="110" t="str" cm="1">
        <f t="array" ref="G13:H16">_xlfn.CHOOSECOLS(EntericMethane_Swine_Equations.VEERG_3_5_1_1__2_DailyEntericMethaneProduction_Arguments(),3,4)</f>
        <v>kg/head/day</v>
      </c>
      <c r="H13" s="108" t="str">
        <v>Input</v>
      </c>
      <c r="I13" s="110" t="str" cm="1">
        <f t="array" aca="1" ref="I13" ca="1">HYPERLINK(Common_InputFunctions.Utility_SourceHyperlink($D$18), $D$18)</f>
        <v>M1_Table_I_j</v>
      </c>
    </row>
    <row r="14" spans="1:18" ht="20.100000000000001" customHeight="1" x14ac:dyDescent="0.25">
      <c r="A14" s="119" t="str">
        <f>HYPERLINK("#'3.5.1.1-2 Enteric Methane'!A1", "3.5.1.1-2 Enteric Methane")</f>
        <v>3.5.1.1-2 Enteric Methane</v>
      </c>
      <c r="D14" s="110" t="str">
        <v>18.6</v>
      </c>
      <c r="E14" s="112" t="str">
        <v>gross energy (GE) content of feed</v>
      </c>
      <c r="F14" s="111"/>
      <c r="G14" s="110" t="str">
        <v>MJ GE/kg feed</v>
      </c>
      <c r="H14" s="106" t="str">
        <v>Constant</v>
      </c>
      <c r="I14" s="110" t="str">
        <f>D14</f>
        <v>18.6</v>
      </c>
    </row>
    <row r="15" spans="1:18" ht="20.100000000000001" customHeight="1" x14ac:dyDescent="0.25">
      <c r="D15" s="110" t="str">
        <v>0.007</v>
      </c>
      <c r="E15" s="112" t="str">
        <v>fraction of GE intake converted to methane by swine</v>
      </c>
      <c r="F15" s="111"/>
      <c r="G15" s="110" t="str">
        <v>fraction</v>
      </c>
      <c r="H15" s="106" t="str">
        <v>Constant</v>
      </c>
      <c r="I15" s="110" t="str">
        <f>D15</f>
        <v>0.007</v>
      </c>
    </row>
    <row r="16" spans="1:18" ht="20.100000000000001" customHeight="1" x14ac:dyDescent="0.25">
      <c r="D16" s="110" t="str">
        <v>F</v>
      </c>
      <c r="E16" s="112" t="str">
        <v>megajoules per kilogram of methane</v>
      </c>
      <c r="F16" s="111"/>
      <c r="G16" s="110" t="str">
        <v>MJ/kg CH4</v>
      </c>
      <c r="H16" s="106" t="str">
        <v>Constant</v>
      </c>
      <c r="I16" s="110">
        <f>SourceData_Swine_MegajoulesPerKilogramMethane_Data</f>
        <v>55.22</v>
      </c>
    </row>
    <row r="17" spans="1:17" ht="20.100000000000001" customHeight="1" x14ac:dyDescent="0.25">
      <c r="A17" s="121" t="s">
        <v>1</v>
      </c>
    </row>
    <row r="18" spans="1:17" ht="20.100000000000001" customHeight="1" x14ac:dyDescent="0.25">
      <c r="A18" s="17" t="str">
        <f>HYPERLINK("#'Constants - Swine'!A1", "Constants - Swine")</f>
        <v>Constants - Swine</v>
      </c>
      <c r="D18" s="101" t="s">
        <v>153</v>
      </c>
      <c r="M18" s="101" t="s">
        <v>171</v>
      </c>
    </row>
    <row r="19" spans="1:17" ht="20.100000000000001" customHeight="1" x14ac:dyDescent="0.25">
      <c r="A19" s="17" t="str">
        <f>HYPERLINK("#'Constants - Common'!A1", "Constants - Common")</f>
        <v>Constants - Common</v>
      </c>
      <c r="D19" s="102" t="s">
        <v>154</v>
      </c>
      <c r="M19" s="102" t="s">
        <v>172</v>
      </c>
    </row>
    <row r="20" spans="1:17" ht="20.100000000000001" customHeight="1" x14ac:dyDescent="0.25">
      <c r="A20" s="17" t="str">
        <f>HYPERLINK("#'Constants - Livestock'!A1", "Constants - Livestock")</f>
        <v>Constants - Livestock</v>
      </c>
      <c r="D20" s="99" t="str" cm="1">
        <f t="array" aca="1" ref="D20:G21" ca="1">OFFSET(X_Table_Swine_VolatileSolidProduction_Method1,0,1,2,4)</f>
        <v>Boars</v>
      </c>
      <c r="E20" s="99" t="str">
        <f ca="1"/>
        <v>Sows</v>
      </c>
      <c r="F20" s="99" t="str">
        <f ca="1"/>
        <v>Gilts</v>
      </c>
      <c r="G20" s="99" t="str">
        <f ca="1"/>
        <v>Others</v>
      </c>
      <c r="M20" s="99" t="str" cm="1">
        <f t="array" aca="1" ref="M20:P21" ca="1">OFFSET(X_Table_Swine_VolatileSolidProduction_Method2,0,1,2,4)</f>
        <v>Boars</v>
      </c>
      <c r="N20" s="99" t="str">
        <f ca="1"/>
        <v>Sows</v>
      </c>
      <c r="O20" s="99" t="str">
        <f ca="1"/>
        <v>Gilts</v>
      </c>
      <c r="P20" s="99" t="str">
        <f ca="1"/>
        <v>Others</v>
      </c>
    </row>
    <row r="21" spans="1:17" ht="20.100000000000001" customHeight="1" x14ac:dyDescent="0.25">
      <c r="A21" s="17" t="str">
        <f>HYPERLINK("#'Acknowledgements'!A1", "Acknowledgements")</f>
        <v>Acknowledgements</v>
      </c>
      <c r="D21" s="50">
        <f ca="1"/>
        <v>2.62</v>
      </c>
      <c r="E21" s="50">
        <f ca="1"/>
        <v>2.2999999999999998</v>
      </c>
      <c r="F21" s="50">
        <f ca="1"/>
        <v>2.5</v>
      </c>
      <c r="G21" s="50">
        <f ca="1"/>
        <v>1.71</v>
      </c>
      <c r="H21" s="2" t="str">
        <f>G13</f>
        <v>kg/head/day</v>
      </c>
      <c r="M21" s="50">
        <f ca="1"/>
        <v>2.62</v>
      </c>
      <c r="N21" s="50">
        <f ca="1"/>
        <v>2.2999999999999998</v>
      </c>
      <c r="O21" s="50">
        <f ca="1"/>
        <v>2.5</v>
      </c>
      <c r="P21" s="50">
        <f ca="1"/>
        <v>1.71</v>
      </c>
      <c r="Q21" s="2" t="str">
        <f>G13</f>
        <v>kg/head/day</v>
      </c>
    </row>
    <row r="22" spans="1:17" ht="20.100000000000001" customHeight="1" x14ac:dyDescent="0.25"/>
    <row r="23" spans="1:17" ht="20.100000000000001" customHeight="1" x14ac:dyDescent="0.25">
      <c r="D23" s="101" t="s">
        <v>155</v>
      </c>
      <c r="M23" s="101" t="s">
        <v>155</v>
      </c>
    </row>
    <row r="24" spans="1:17" ht="20.100000000000001" customHeight="1" x14ac:dyDescent="0.25">
      <c r="D24" s="102" t="s">
        <v>156</v>
      </c>
      <c r="M24" s="102" t="s">
        <v>156</v>
      </c>
    </row>
    <row r="25" spans="1:17" ht="20.100000000000001" customHeight="1" x14ac:dyDescent="0.25">
      <c r="D25" s="44" t="s">
        <v>105</v>
      </c>
      <c r="E25" s="44" t="s">
        <v>106</v>
      </c>
      <c r="F25" s="44" t="s">
        <v>107</v>
      </c>
      <c r="G25" s="44" t="s">
        <v>127</v>
      </c>
      <c r="M25" s="44" t="s">
        <v>105</v>
      </c>
      <c r="N25" s="44" t="s">
        <v>106</v>
      </c>
      <c r="O25" s="44" t="s">
        <v>107</v>
      </c>
      <c r="P25" s="44" t="s">
        <v>127</v>
      </c>
    </row>
    <row r="26" spans="1:17" ht="20.100000000000001" customHeight="1" x14ac:dyDescent="0.25">
      <c r="D26" s="50" cm="1">
        <f t="array" aca="1" ref="D26" ca="1">EntericMethane_Swine_Equations.VEERG_3_5_1_1__2_DailyEntericMethaneProduction(D21,$I$16)</f>
        <v>6.1775443679826158E-3</v>
      </c>
      <c r="E26" s="50" cm="1">
        <f t="array" aca="1" ref="E26" ca="1">EntericMethane_Swine_Equations.VEERG_3_5_1_1__2_DailyEntericMethaneProduction(E21,$I$16)</f>
        <v>5.4230351321984793E-3</v>
      </c>
      <c r="F26" s="50" cm="1">
        <f t="array" aca="1" ref="F26" ca="1">EntericMethane_Swine_Equations.VEERG_3_5_1_1__2_DailyEntericMethaneProduction(F21,$I$16)</f>
        <v>5.8946034045635641E-3</v>
      </c>
      <c r="G26" s="50" cm="1">
        <f t="array" aca="1" ref="G26" ca="1">EntericMethane_Swine_Equations.VEERG_3_5_1_1__2_DailyEntericMethaneProduction(G21,$I$16)</f>
        <v>4.031908728721478E-3</v>
      </c>
      <c r="H26" s="2" t="str">
        <f>$E$11</f>
        <v>kg CH4/head/day</v>
      </c>
      <c r="M26" s="50" cm="1">
        <f t="array" aca="1" ref="M26" ca="1">EntericMethane_Swine_Equations.VEERG_3_5_1_1__2_DailyEntericMethaneProduction(M21,$I$16)</f>
        <v>6.1775443679826158E-3</v>
      </c>
      <c r="N26" s="50" cm="1">
        <f t="array" aca="1" ref="N26" ca="1">EntericMethane_Swine_Equations.VEERG_3_5_1_1__2_DailyEntericMethaneProduction(N21,$I$16)</f>
        <v>5.4230351321984793E-3</v>
      </c>
      <c r="O26" s="50" cm="1">
        <f t="array" aca="1" ref="O26" ca="1">EntericMethane_Swine_Equations.VEERG_3_5_1_1__2_DailyEntericMethaneProduction(O21,$I$16)</f>
        <v>5.8946034045635641E-3</v>
      </c>
      <c r="P26" s="50"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39"/>
      <c r="D29" s="39"/>
      <c r="E29" s="39"/>
      <c r="F29" s="39"/>
      <c r="G29" s="39"/>
      <c r="H29" s="39"/>
      <c r="I29" s="39"/>
      <c r="J29" s="39"/>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14</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6" t="s">
        <v>17</v>
      </c>
      <c r="E36" s="1" t="str" cm="1">
        <f t="array" ref="E36">EntericMethane_Swine_Equations.VEERG_3_5_1_1__1_TotalAnnualMethaneFromEntericFermentation_Variable()</f>
        <v>E_enteric</v>
      </c>
    </row>
    <row r="37" spans="4:9" ht="20.100000000000001" customHeight="1" x14ac:dyDescent="0.25">
      <c r="D37" s="46" t="s">
        <v>8</v>
      </c>
      <c r="E37" s="47" t="str" cm="1">
        <f t="array" ref="E37">EntericMethane_Swine_Equations.VEERG_3_5_1_1__1_TotalAnnualMethaneFromEntericFermentation_Unit()</f>
        <v>t CH4</v>
      </c>
    </row>
    <row r="38" spans="4:9" ht="20.100000000000001" customHeight="1" x14ac:dyDescent="0.25"/>
    <row r="39" spans="4:9" ht="20.100000000000001" customHeight="1" x14ac:dyDescent="0.25">
      <c r="D39" s="50" t="str" cm="1">
        <f t="array" ref="D39:E41">_xlfn.CHOOSECOLS(EntericMethane_Swine_Equations.VEERG_3_5_1_1__1_TotalAnnualMethaneFromEntericFermentation_Arguments(), 1, 2)</f>
        <v>N_j</v>
      </c>
      <c r="E39" s="51" t="str">
        <v>numbers of swine of each class</v>
      </c>
      <c r="F39" s="52"/>
      <c r="G39" s="50" t="str" cm="1">
        <f t="array" ref="G39:H41">_xlfn.CHOOSECOLS(EntericMethane_Swine_Equations.VEERG_3_5_1_1__1_TotalAnnualMethaneFromEntericFermentation_Arguments(), 3,4)</f>
        <v>head</v>
      </c>
      <c r="H39" s="107" t="str">
        <v>Input</v>
      </c>
      <c r="I39" s="109" t="str" cm="1">
        <f t="array" aca="1" ref="I39" ca="1">HYPERLINK(Common_InputFunctions.Utility_SourceHyperlink($D$48), $D$48)</f>
        <v>Table_N_j</v>
      </c>
    </row>
    <row r="40" spans="4:9" ht="20.100000000000001" customHeight="1" x14ac:dyDescent="0.25">
      <c r="D40" s="50" t="str">
        <v>M_j</v>
      </c>
      <c r="E40" s="51" t="str">
        <v>methane production</v>
      </c>
      <c r="F40" s="52"/>
      <c r="G40" s="50" t="str">
        <v>kg CH4/head/day</v>
      </c>
      <c r="H40" s="106" t="str">
        <v>Calculated from 3.5.1.1, (2)</v>
      </c>
      <c r="I40" s="109" t="str" cm="1">
        <f t="array" aca="1" ref="I40" ca="1">HYPERLINK(Common_InputFunctions.Utility_SourceHyperlink($D$23), $D$23)</f>
        <v>M1_Table_M_j</v>
      </c>
    </row>
    <row r="41" spans="4:9" ht="20.100000000000001" customHeight="1" x14ac:dyDescent="0.25">
      <c r="D41" s="50" t="str">
        <v>D_j</v>
      </c>
      <c r="E41" s="51" t="str">
        <v>the average number of days on farm for each swine class</v>
      </c>
      <c r="F41" s="52"/>
      <c r="G41" s="50" t="str">
        <v>days</v>
      </c>
      <c r="H41" s="107" t="str">
        <v>Input</v>
      </c>
      <c r="I41" s="109" t="str" cm="1">
        <f t="array" aca="1" ref="I41" ca="1">HYPERLINK(Common_InputFunctions.Utility_SourceHyperlink($D$43), $D$43)</f>
        <v>Table_D_j</v>
      </c>
    </row>
    <row r="42" spans="4:9" ht="20.100000000000001" customHeight="1" x14ac:dyDescent="0.25"/>
    <row r="43" spans="4:9" ht="20.100000000000001" customHeight="1" x14ac:dyDescent="0.25">
      <c r="D43" s="101" t="s">
        <v>120</v>
      </c>
    </row>
    <row r="44" spans="4:9" ht="20.100000000000001" customHeight="1" x14ac:dyDescent="0.25">
      <c r="D44" s="102" t="s">
        <v>121</v>
      </c>
    </row>
    <row r="45" spans="4:9" ht="20.100000000000001" customHeight="1" x14ac:dyDescent="0.25">
      <c r="D45" s="99" t="str" cm="1">
        <f t="array" aca="1" ref="D45:G46" ca="1">OFFSET(X_Table_Swine_HerdMovement,0,1,2,4)</f>
        <v>Boars</v>
      </c>
      <c r="E45" s="99" t="str">
        <f ca="1"/>
        <v>Sows</v>
      </c>
      <c r="F45" s="99" t="str">
        <f ca="1"/>
        <v>Gilts</v>
      </c>
      <c r="G45" s="99" t="str">
        <f ca="1"/>
        <v>Others</v>
      </c>
    </row>
    <row r="46" spans="4:9" ht="20.100000000000001" customHeight="1" x14ac:dyDescent="0.25">
      <c r="D46" s="103">
        <f ca="1"/>
        <v>365</v>
      </c>
      <c r="E46" s="103">
        <f ca="1"/>
        <v>365</v>
      </c>
      <c r="F46" s="103">
        <f ca="1"/>
        <v>365</v>
      </c>
      <c r="G46" s="103">
        <f ca="1"/>
        <v>365</v>
      </c>
      <c r="H46" s="2" t="str">
        <f>G39</f>
        <v>head</v>
      </c>
    </row>
    <row r="47" spans="4:9" ht="20.100000000000001" customHeight="1" x14ac:dyDescent="0.25"/>
    <row r="48" spans="4:9" ht="20.100000000000001" customHeight="1" x14ac:dyDescent="0.25">
      <c r="D48" s="101" t="s">
        <v>122</v>
      </c>
    </row>
    <row r="49" spans="4:17" ht="20.100000000000001" customHeight="1" x14ac:dyDescent="0.25">
      <c r="D49" s="102" t="s">
        <v>123</v>
      </c>
    </row>
    <row r="50" spans="4:17" ht="20.100000000000001" customHeight="1" x14ac:dyDescent="0.25">
      <c r="D50" s="99" t="s">
        <v>105</v>
      </c>
      <c r="E50" s="99" t="s">
        <v>106</v>
      </c>
      <c r="F50" s="99" t="s">
        <v>107</v>
      </c>
      <c r="G50" s="99" t="s">
        <v>127</v>
      </c>
    </row>
    <row r="51" spans="4:17" ht="20.100000000000001" customHeight="1" x14ac:dyDescent="0.25">
      <c r="D51" s="103" cm="1">
        <f t="array" aca="1" ref="D51:G51" ca="1">OFFSET(X_Table_Swine_HerdMovement,2,1,1,4)</f>
        <v>100</v>
      </c>
      <c r="E51" s="103">
        <f ca="1"/>
        <v>100</v>
      </c>
      <c r="F51" s="103">
        <f ca="1"/>
        <v>100</v>
      </c>
      <c r="G51" s="103">
        <f ca="1"/>
        <v>100</v>
      </c>
      <c r="H51" s="2" t="str">
        <f>G41</f>
        <v>days</v>
      </c>
    </row>
    <row r="52" spans="4:17" ht="20.100000000000001" customHeight="1" x14ac:dyDescent="0.25"/>
    <row r="53" spans="4:17" ht="20.100000000000001" customHeight="1" x14ac:dyDescent="0.25">
      <c r="D53" s="101" t="s">
        <v>158</v>
      </c>
      <c r="M53" s="101" t="s">
        <v>161</v>
      </c>
    </row>
    <row r="54" spans="4:17" ht="20.100000000000001" customHeight="1" x14ac:dyDescent="0.25">
      <c r="D54" s="102" t="s">
        <v>159</v>
      </c>
      <c r="M54" s="102" t="s">
        <v>162</v>
      </c>
    </row>
    <row r="55" spans="4:17" ht="20.100000000000001" customHeight="1" x14ac:dyDescent="0.25">
      <c r="D55" s="44" t="s">
        <v>105</v>
      </c>
      <c r="E55" s="44" t="s">
        <v>106</v>
      </c>
      <c r="F55" s="44" t="s">
        <v>107</v>
      </c>
      <c r="G55" s="44" t="s">
        <v>127</v>
      </c>
      <c r="M55" s="44" t="s">
        <v>105</v>
      </c>
      <c r="N55" s="44" t="s">
        <v>106</v>
      </c>
      <c r="O55" s="44" t="s">
        <v>107</v>
      </c>
      <c r="P55" s="44" t="s">
        <v>127</v>
      </c>
    </row>
    <row r="56" spans="4:17" ht="20.100000000000001" customHeight="1" x14ac:dyDescent="0.25">
      <c r="D56" s="45" cm="1">
        <f t="array" aca="1" ref="D56" ca="1">EntericMethane_Swine_Equations.VEERG_3_5_1_1__1_TotalAnnualMethaneFromEntericFermentation($D51,D26,$D46)</f>
        <v>0.22548036943136548</v>
      </c>
      <c r="E56" s="45" cm="1">
        <f t="array" aca="1" ref="E56" ca="1">EntericMethane_Swine_Equations.VEERG_3_5_1_1__1_TotalAnnualMethaneFromEntericFermentation($E51,E26,$E46)</f>
        <v>0.19794078232524451</v>
      </c>
      <c r="F56" s="45" cm="1">
        <f t="array" aca="1" ref="F56" ca="1">EntericMethane_Swine_Equations.VEERG_3_5_1_1__1_TotalAnnualMethaneFromEntericFermentation($F51,F26,$F46)</f>
        <v>0.2151530242665701</v>
      </c>
      <c r="G56" s="45" cm="1">
        <f t="array" aca="1" ref="G56" ca="1">EntericMethane_Swine_Equations.VEERG_3_5_1_1__1_TotalAnnualMethaneFromEntericFermentation($G51,G26,$G46)</f>
        <v>0.14716466859833394</v>
      </c>
      <c r="H56" s="2" t="str">
        <f>$E$37</f>
        <v>t CH4</v>
      </c>
      <c r="M56" s="45" cm="1">
        <f t="array" aca="1" ref="M56" ca="1">EntericMethane_Swine_Equations.VEERG_3_5_1_1__1_TotalAnnualMethaneFromEntericFermentation($D51,M26,$D46)</f>
        <v>0.22548036943136548</v>
      </c>
      <c r="N56" s="45" cm="1">
        <f t="array" aca="1" ref="N56" ca="1">EntericMethane_Swine_Equations.VEERG_3_5_1_1__1_TotalAnnualMethaneFromEntericFermentation($E51,N26,$E46)</f>
        <v>0.19794078232524451</v>
      </c>
      <c r="O56" s="45" cm="1">
        <f t="array" aca="1" ref="O56" ca="1">EntericMethane_Swine_Equations.VEERG_3_5_1_1__1_TotalAnnualMethaneFromEntericFermentation($F51,O26,$F46)</f>
        <v>0.2151530242665701</v>
      </c>
      <c r="P56" s="45"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5" t="s">
        <v>124</v>
      </c>
      <c r="E58" s="86">
        <f ca="1">SUM(D56:G56)</f>
        <v>0.78573884462151411</v>
      </c>
      <c r="F58" s="87" t="str">
        <f>$E$37</f>
        <v>t CH4</v>
      </c>
      <c r="M58" s="85" t="s">
        <v>124</v>
      </c>
      <c r="N58" s="86">
        <f ca="1">SUM(M56:P56)</f>
        <v>0.78573884462151411</v>
      </c>
      <c r="O58" s="87" t="str">
        <f>$E$37</f>
        <v>t CH4</v>
      </c>
    </row>
    <row r="59" spans="4:17" ht="20.100000000000001" customHeight="1" x14ac:dyDescent="0.25"/>
    <row r="60" spans="4:17" ht="20.100000000000001" customHeight="1" x14ac:dyDescent="0.25">
      <c r="D60" s="50" t="str" cm="1">
        <f t="array" ref="D60:E61">Common_Equations.Common_ConvertCH4ToCO2e_Arguments()</f>
        <v>ECH4</v>
      </c>
      <c r="E60" s="51" t="str">
        <v>Methane emissions (t CH4)</v>
      </c>
      <c r="F60" s="88"/>
      <c r="G60" s="45">
        <f ca="1">VEERG_3_5_1_1__1_TotalAnnualMethaneFromEntericFermentation_Result_Method1</f>
        <v>0.78573884462151411</v>
      </c>
      <c r="M60" s="50" t="str" cm="1">
        <f t="array" ref="M60:N61">Common_Equations.Common_ConvertCH4ToCO2e_Arguments()</f>
        <v>ECH4</v>
      </c>
      <c r="N60" s="51" t="str">
        <v>Methane emissions (t CH4)</v>
      </c>
      <c r="O60" s="88"/>
      <c r="P60" s="45">
        <f ca="1">VEERG_3_5_1_1__1_TotalAnnualMethaneFromEntericFermentation_Result_Method2</f>
        <v>0.78573884462151411</v>
      </c>
    </row>
    <row r="61" spans="4:17" ht="20.100000000000001" customHeight="1" x14ac:dyDescent="0.25">
      <c r="D61" s="50" t="str">
        <v>GWPCH4</v>
      </c>
      <c r="E61" s="51" t="str">
        <v>Global warming potential for methane (t CO2-e / t CH4)</v>
      </c>
      <c r="F61" s="88"/>
      <c r="G61" s="45">
        <f>Common_InputFunctions.Utility_LookupValueInTableNumber("CH4",Table_GWPData[Gas],Table_GWPData[CO2-e factor])</f>
        <v>28</v>
      </c>
      <c r="M61" s="50" t="str">
        <v>GWPCH4</v>
      </c>
      <c r="N61" s="51" t="str">
        <v>Global warming potential for methane (t CO2-e / t CH4)</v>
      </c>
      <c r="O61" s="88"/>
      <c r="P61" s="45">
        <f>Common_InputFunctions.Utility_LookupValueInTableNumber("CH4",Table_GWPData[Gas],Table_GWPData[CO2-e factor])</f>
        <v>28</v>
      </c>
    </row>
    <row r="62" spans="4:17" ht="20.100000000000001" customHeight="1" x14ac:dyDescent="0.25"/>
    <row r="63" spans="4:17" ht="20.100000000000001" customHeight="1" x14ac:dyDescent="0.25">
      <c r="D63" s="94" t="s">
        <v>160</v>
      </c>
      <c r="E63" s="39" cm="1">
        <f t="array" aca="1" ref="E63" ca="1">Common_Equations.Common_ConvertCH4ToCO2e(G60,G61)</f>
        <v>22.000687649402394</v>
      </c>
      <c r="F63" s="89" t="str" cm="1">
        <f t="array" ref="F63">Common_Equations.Common_ConvertN2OToCO2e_Unit()</f>
        <v>t CO2e</v>
      </c>
      <c r="M63" s="94" t="s">
        <v>160</v>
      </c>
      <c r="N63" s="39" cm="1">
        <f t="array" aca="1" ref="N63" ca="1">Common_Equations.Common_ConvertCH4ToCO2e(P60,P61)</f>
        <v>22.000687649402394</v>
      </c>
      <c r="O63" s="89" t="str" cm="1">
        <f t="array" ref="O63">Common_Equations.Common_ConvertN2OToCO2e_Unit()</f>
        <v>t CO2e</v>
      </c>
    </row>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3"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3"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3"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3"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0"/>
    </row>
    <row r="342" spans="8:8" x14ac:dyDescent="0.25">
      <c r="H342" s="20"/>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104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0"/>
    </row>
    <row r="5" spans="1:21" ht="20.100000000000001" customHeight="1" x14ac:dyDescent="0.25">
      <c r="A5" s="17" t="str">
        <f>HYPERLINK("#'Results'!A1", "Results")</f>
        <v>Results</v>
      </c>
      <c r="M5" s="1"/>
    </row>
    <row r="6" spans="1:21" ht="20.100000000000001" customHeight="1" x14ac:dyDescent="0.25">
      <c r="D6" s="6" t="s">
        <v>135</v>
      </c>
      <c r="G6" s="6" t="s">
        <v>82</v>
      </c>
      <c r="M6" s="1"/>
    </row>
    <row r="7" spans="1:21" ht="20.100000000000001" customHeight="1" x14ac:dyDescent="0.25">
      <c r="M7" s="1"/>
    </row>
    <row r="8" spans="1:21" ht="20.100000000000001" customHeight="1" x14ac:dyDescent="0.25">
      <c r="A8" s="19" t="s">
        <v>0</v>
      </c>
      <c r="D8" s="33" t="s">
        <v>81</v>
      </c>
      <c r="G8" s="33" t="s">
        <v>80</v>
      </c>
      <c r="M8" s="1"/>
    </row>
    <row r="9" spans="1:21" ht="20.100000000000001" customHeight="1" x14ac:dyDescent="0.25">
      <c r="A9" s="17" t="str">
        <f>HYPERLINK("#'Input - Site'!A1", "Site")</f>
        <v>Site</v>
      </c>
      <c r="D9" s="33" t="s">
        <v>137</v>
      </c>
      <c r="G9" s="33" t="s">
        <v>83</v>
      </c>
      <c r="M9" s="1"/>
    </row>
    <row r="10" spans="1:21" ht="20.100000000000001" customHeight="1" x14ac:dyDescent="0.25">
      <c r="A10" s="17" t="str">
        <f>HYPERLINK("#'Input - Swine'!A1", "Swine")</f>
        <v>Swine</v>
      </c>
      <c r="D10" s="1" t="s">
        <v>102</v>
      </c>
      <c r="G10" s="33" t="s">
        <v>84</v>
      </c>
      <c r="M10" s="1"/>
    </row>
    <row r="11" spans="1:21" ht="20.100000000000001" customHeight="1" x14ac:dyDescent="0.25">
      <c r="G11" s="1" t="s">
        <v>85</v>
      </c>
      <c r="M11" s="1"/>
    </row>
    <row r="12" spans="1:21" ht="20.100000000000001" customHeight="1" x14ac:dyDescent="0.25">
      <c r="G12" s="1" t="s">
        <v>86</v>
      </c>
      <c r="M12" s="1"/>
    </row>
    <row r="13" spans="1:21" ht="20.100000000000001" customHeight="1" x14ac:dyDescent="0.25">
      <c r="A13" s="18" t="s">
        <v>54</v>
      </c>
      <c r="G13" s="1" t="s">
        <v>87</v>
      </c>
      <c r="M13" s="1"/>
    </row>
    <row r="14" spans="1:21" ht="20.100000000000001" customHeight="1" x14ac:dyDescent="0.25">
      <c r="A14" s="17" t="str">
        <f>HYPERLINK("#'3.5.1.1-2 Enteric Methane'!A1", "3.5.1.1-2 Enteric Methane")</f>
        <v>3.5.1.1-2 Enteric Methane</v>
      </c>
      <c r="D14" s="6" t="str" cm="1">
        <f t="array" ref="D14">SourceData_Swine.SourceData_Swine_FracLEACH_DrylotMMS_Title()</f>
        <v>Fraction of nitrogen lost through leaching and runoff for drylot MMS</v>
      </c>
      <c r="M14" s="1"/>
    </row>
    <row r="15" spans="1:21" ht="20.100000000000001" customHeight="1" x14ac:dyDescent="0.25">
      <c r="D15" s="5" t="str" cm="1">
        <f t="array" ref="D15">SourceData_Swine.SourceData_Swine_FracLEACH_DrylotMMS_Source()</f>
        <v>VEERG 2026: 4.5.2.3 CONSTANT</v>
      </c>
      <c r="M15" s="1"/>
    </row>
    <row r="16" spans="1:21" ht="20.100000000000001" customHeight="1" x14ac:dyDescent="0.25">
      <c r="D16" s="48" t="str" cm="1">
        <f t="array" ref="D16">SourceData_Swine.SourceData_Swine_FracLEACH_DrylotMMS_Variation()</f>
        <v>VARIATION ON SOURCE: Text refers to 'solid storage' MMS, but equation refers to 'drylot' MMS.</v>
      </c>
      <c r="M16" s="1"/>
    </row>
    <row r="17" spans="1:13" ht="20.100000000000001" customHeight="1" x14ac:dyDescent="0.25">
      <c r="A17" s="121" t="s">
        <v>1</v>
      </c>
      <c r="D17" s="46" t="str" cm="1">
        <f t="array" ref="D17">SourceData_Swine.SourceData_Swine_FracLEACH_DrylotMMS_Variable()</f>
        <v>FracLEACH_MS</v>
      </c>
      <c r="E17" s="1" cm="1">
        <f t="array" ref="E17">SourceData_Swine.SourceData_Swine_FracLEACH_DrylotMMS_Data()</f>
        <v>0.02</v>
      </c>
      <c r="F17" s="47" t="str" cm="1">
        <f t="array" ref="F17">SourceData_Swine.SourceData_Swine_FracLEACH_DrylotMMS_Unit()</f>
        <v>fraction</v>
      </c>
      <c r="M17" s="1"/>
    </row>
    <row r="18" spans="1:13" ht="20.100000000000001" customHeight="1" x14ac:dyDescent="0.25">
      <c r="A18" s="120" t="str">
        <f>HYPERLINK("#'Constants - Swine'!A1", "Constants - Swine")</f>
        <v>Constants - Swine</v>
      </c>
      <c r="M18" s="1"/>
    </row>
    <row r="19" spans="1:13" ht="20.100000000000001" customHeight="1" x14ac:dyDescent="0.25">
      <c r="A19" s="17" t="str">
        <f>HYPERLINK("#'Constants - Common'!A1", "Constants - Common")</f>
        <v>Constants - Common</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HYPERLINK("#'Acknowledgements'!A1", "Acknowledgements")</f>
        <v>Acknowledgements</v>
      </c>
      <c r="D21" s="46" t="str" cm="1">
        <f t="array" ref="D21">SourceData_Swine.SourceData_Swine_MethaneVolatileSolidsEmissionsPotential_Variable()</f>
        <v>B0</v>
      </c>
      <c r="E21" s="1" cm="1">
        <f t="array" ref="E21">SourceData_Swine.SourceData_Swine_MethaneVolatileSolidsEmissionsPotential_Data()</f>
        <v>0.19</v>
      </c>
      <c r="F21" s="47"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1" t="s">
        <v>111</v>
      </c>
      <c r="M24" s="1"/>
    </row>
    <row r="25" spans="1:13" ht="20.100000000000001" customHeight="1" x14ac:dyDescent="0.25">
      <c r="D25" s="5" t="str" cm="1">
        <f t="array" ref="D25">SourceData_Swine.SourceData_Swine_MMS_MCFs_Source()</f>
        <v>VEERG 2026: Table A.1.6.4: Swine - MCFs (MCFim)</v>
      </c>
      <c r="H25" s="91" t="s">
        <v>112</v>
      </c>
      <c r="M25" s="1"/>
    </row>
    <row r="26" spans="1:13" ht="20.100000000000001" customHeight="1" x14ac:dyDescent="0.25">
      <c r="D26" s="48"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3" t="s">
        <v>48</v>
      </c>
      <c r="E28" s="33" t="s">
        <v>60</v>
      </c>
      <c r="F28" s="33" t="s">
        <v>59</v>
      </c>
      <c r="G28" s="33" t="s">
        <v>62</v>
      </c>
      <c r="H28" s="33" t="s">
        <v>61</v>
      </c>
      <c r="I28" s="33" t="s">
        <v>63</v>
      </c>
      <c r="J28" s="33" t="s">
        <v>64</v>
      </c>
      <c r="K28" s="33" t="s">
        <v>65</v>
      </c>
      <c r="L28" s="33" t="s">
        <v>66</v>
      </c>
      <c r="M28" s="33" t="s">
        <v>113</v>
      </c>
    </row>
    <row r="29" spans="1:13" ht="20.100000000000001" customHeight="1" x14ac:dyDescent="0.25">
      <c r="D29" s="33" t="str" cm="1">
        <f t="array" ref="D29">Common_InputFunctions.Utility_DisplayArrayInTable(SourceData_Swine.SourceData_Swine_MMS_MCFs_Data(),Table_SourceData_Swine_MMSMCF[[#Headers],[MMS]],0)</f>
        <v>Outdoor (Dry lot)</v>
      </c>
      <c r="E29" s="33" cm="1">
        <f t="array" ref="E29">Common_InputFunctions.Utility_DisplayArrayInTable(SourceData_Swine.SourceData_Swine_MMS_MCFs_Data(),Table_SourceData_Swine_MMSMCF[[#Headers],[MMS]],0)</f>
        <v>0.01</v>
      </c>
      <c r="F29" s="33" cm="1">
        <f t="array" ref="F29">Common_InputFunctions.Utility_DisplayArrayInTable(SourceData_Swine.SourceData_Swine_MMS_MCFs_Data(),Table_SourceData_Swine_MMSMCF[[#Headers],[MMS]],0)</f>
        <v>0.01</v>
      </c>
      <c r="G29" s="33" cm="1">
        <f t="array" ref="G29">Common_InputFunctions.Utility_DisplayArrayInTable(SourceData_Swine.SourceData_Swine_MMS_MCFs_Data(),Table_SourceData_Swine_MMSMCF[[#Headers],[MMS]],0)</f>
        <v>0.03</v>
      </c>
      <c r="H29" s="33" cm="1">
        <f t="array" ref="H29">Common_InputFunctions.Utility_DisplayArrayInTable(SourceData_Swine.SourceData_Swine_MMS_MCFs_Data(),Table_SourceData_Swine_MMSMCF[[#Headers],[MMS]],0)</f>
        <v>0.03</v>
      </c>
      <c r="I29" s="33" cm="1">
        <f t="array" ref="I29">Common_InputFunctions.Utility_DisplayArrayInTable(SourceData_Swine.SourceData_Swine_MMS_MCFs_Data(),Table_SourceData_Swine_MMSMCF[[#Headers],[MMS]],0)</f>
        <v>0.01</v>
      </c>
      <c r="J29" s="33" cm="1">
        <f t="array" ref="J29">Common_InputFunctions.Utility_DisplayArrayInTable(SourceData_Swine.SourceData_Swine_MMS_MCFs_Data(),Table_SourceData_Swine_MMSMCF[[#Headers],[MMS]],0)</f>
        <v>0.01</v>
      </c>
      <c r="K29" s="33" cm="1">
        <f t="array" ref="K29">Common_InputFunctions.Utility_DisplayArrayInTable(SourceData_Swine.SourceData_Swine_MMS_MCFs_Data(),Table_SourceData_Swine_MMSMCF[[#Headers],[MMS]],0)</f>
        <v>0.01</v>
      </c>
      <c r="L29" s="33" cm="1">
        <f t="array" ref="L29">Common_InputFunctions.Utility_DisplayArrayInTable(SourceData_Swine.SourceData_Swine_MMS_MCFs_Data(),Table_SourceData_Swine_MMSMCF[[#Headers],[MMS]],0)</f>
        <v>0.01</v>
      </c>
      <c r="M29" s="33"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3" cm="1">
        <f t="array" ref="E30">Common_InputFunctions.Utility_DisplayArrayInTable(SourceData_Swine.SourceData_Swine_MMS_MCFs_Data(),Table_SourceData_Swine_MMSMCF[[#Headers],[MMS]],0)</f>
        <v>0.04</v>
      </c>
      <c r="F30" s="33" cm="1">
        <f t="array" ref="F30">Common_InputFunctions.Utility_DisplayArrayInTable(SourceData_Swine.SourceData_Swine_MMS_MCFs_Data(),Table_SourceData_Swine_MMSMCF[[#Headers],[MMS]],0)</f>
        <v>0.04</v>
      </c>
      <c r="G30" s="33" cm="1">
        <f t="array" ref="G30">Common_InputFunctions.Utility_DisplayArrayInTable(SourceData_Swine.SourceData_Swine_MMS_MCFs_Data(),Table_SourceData_Swine_MMSMCF[[#Headers],[MMS]],0)</f>
        <v>0.04</v>
      </c>
      <c r="H30" s="33" cm="1">
        <f t="array" ref="H30">Common_InputFunctions.Utility_DisplayArrayInTable(SourceData_Swine.SourceData_Swine_MMS_MCFs_Data(),Table_SourceData_Swine_MMSMCF[[#Headers],[MMS]],0)</f>
        <v>0.04</v>
      </c>
      <c r="I30" s="33" cm="1">
        <f t="array" ref="I30">Common_InputFunctions.Utility_DisplayArrayInTable(SourceData_Swine.SourceData_Swine_MMS_MCFs_Data(),Table_SourceData_Swine_MMSMCF[[#Headers],[MMS]],0)</f>
        <v>0.04</v>
      </c>
      <c r="J30" s="33" cm="1">
        <f t="array" ref="J30">Common_InputFunctions.Utility_DisplayArrayInTable(SourceData_Swine.SourceData_Swine_MMS_MCFs_Data(),Table_SourceData_Swine_MMSMCF[[#Headers],[MMS]],0)</f>
        <v>0.04</v>
      </c>
      <c r="K30" s="33" cm="1">
        <f t="array" ref="K30">Common_InputFunctions.Utility_DisplayArrayInTable(SourceData_Swine.SourceData_Swine_MMS_MCFs_Data(),Table_SourceData_Swine_MMSMCF[[#Headers],[MMS]],0)</f>
        <v>0.04</v>
      </c>
      <c r="L30" s="33" cm="1">
        <f t="array" ref="L30">Common_InputFunctions.Utility_DisplayArrayInTable(SourceData_Swine.SourceData_Swine_MMS_MCFs_Data(),Table_SourceData_Swine_MMSMCF[[#Headers],[MMS]],0)</f>
        <v>0.04</v>
      </c>
      <c r="M30" s="33"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3" cm="1">
        <f t="array" ref="E31">Common_InputFunctions.Utility_DisplayArrayInTable(SourceData_Swine.SourceData_Swine_MMS_MCFs_Data(),Table_SourceData_Swine_MMSMCF[[#Headers],[MMS]],0)</f>
        <v>0.02</v>
      </c>
      <c r="F31" s="33" cm="1">
        <f t="array" ref="F31">Common_InputFunctions.Utility_DisplayArrayInTable(SourceData_Swine.SourceData_Swine_MMS_MCFs_Data(),Table_SourceData_Swine_MMSMCF[[#Headers],[MMS]],0)</f>
        <v>0.02</v>
      </c>
      <c r="G31" s="33" cm="1">
        <f t="array" ref="G31">Common_InputFunctions.Utility_DisplayArrayInTable(SourceData_Swine.SourceData_Swine_MMS_MCFs_Data(),Table_SourceData_Swine_MMSMCF[[#Headers],[MMS]],0)</f>
        <v>0.02</v>
      </c>
      <c r="H31" s="33" cm="1">
        <f t="array" ref="H31">Common_InputFunctions.Utility_DisplayArrayInTable(SourceData_Swine.SourceData_Swine_MMS_MCFs_Data(),Table_SourceData_Swine_MMSMCF[[#Headers],[MMS]],0)</f>
        <v>0.02</v>
      </c>
      <c r="I31" s="33" cm="1">
        <f t="array" ref="I31">Common_InputFunctions.Utility_DisplayArrayInTable(SourceData_Swine.SourceData_Swine_MMS_MCFs_Data(),Table_SourceData_Swine_MMSMCF[[#Headers],[MMS]],0)</f>
        <v>0.02</v>
      </c>
      <c r="J31" s="33" cm="1">
        <f t="array" ref="J31">Common_InputFunctions.Utility_DisplayArrayInTable(SourceData_Swine.SourceData_Swine_MMS_MCFs_Data(),Table_SourceData_Swine_MMSMCF[[#Headers],[MMS]],0)</f>
        <v>0.02</v>
      </c>
      <c r="K31" s="33" cm="1">
        <f t="array" ref="K31">Common_InputFunctions.Utility_DisplayArrayInTable(SourceData_Swine.SourceData_Swine_MMS_MCFs_Data(),Table_SourceData_Swine_MMSMCF[[#Headers],[MMS]],0)</f>
        <v>0.02</v>
      </c>
      <c r="L31" s="33" cm="1">
        <f t="array" ref="L31">Common_InputFunctions.Utility_DisplayArrayInTable(SourceData_Swine.SourceData_Swine_MMS_MCFs_Data(),Table_SourceData_Swine_MMSMCF[[#Headers],[MMS]],0)</f>
        <v>0.02</v>
      </c>
      <c r="M31" s="33"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3" cm="1">
        <f t="array" ref="E32">Common_InputFunctions.Utility_DisplayArrayInTable(SourceData_Swine.SourceData_Swine_MMS_MCFs_Data(),Table_SourceData_Swine_MMSMCF[[#Headers],[MMS]],0)</f>
        <v>0.75</v>
      </c>
      <c r="F32" s="33" cm="1">
        <f t="array" ref="F32">Common_InputFunctions.Utility_DisplayArrayInTable(SourceData_Swine.SourceData_Swine_MMS_MCFs_Data(),Table_SourceData_Swine_MMSMCF[[#Headers],[MMS]],0)</f>
        <v>0.75</v>
      </c>
      <c r="G32" s="33" cm="1">
        <f t="array" ref="G32">Common_InputFunctions.Utility_DisplayArrayInTable(SourceData_Swine.SourceData_Swine_MMS_MCFs_Data(),Table_SourceData_Swine_MMSMCF[[#Headers],[MMS]],0)</f>
        <v>0.78</v>
      </c>
      <c r="H32" s="33" cm="1">
        <f t="array" ref="H32">Common_InputFunctions.Utility_DisplayArrayInTable(SourceData_Swine.SourceData_Swine_MMS_MCFs_Data(),Table_SourceData_Swine_MMSMCF[[#Headers],[MMS]],0)</f>
        <v>0.78</v>
      </c>
      <c r="I32" s="33" cm="1">
        <f t="array" ref="I32">Common_InputFunctions.Utility_DisplayArrayInTable(SourceData_Swine.SourceData_Swine_MMS_MCFs_Data(),Table_SourceData_Swine_MMSMCF[[#Headers],[MMS]],0)</f>
        <v>0.75</v>
      </c>
      <c r="J32" s="33" cm="1">
        <f t="array" ref="J32">Common_InputFunctions.Utility_DisplayArrayInTable(SourceData_Swine.SourceData_Swine_MMS_MCFs_Data(),Table_SourceData_Swine_MMSMCF[[#Headers],[MMS]],0)</f>
        <v>0.7</v>
      </c>
      <c r="K32" s="33" cm="1">
        <f t="array" ref="K32">Common_InputFunctions.Utility_DisplayArrayInTable(SourceData_Swine.SourceData_Swine_MMS_MCFs_Data(),Table_SourceData_Swine_MMSMCF[[#Headers],[MMS]],0)</f>
        <v>0.74</v>
      </c>
      <c r="L32" s="33" cm="1">
        <f t="array" ref="L32">Common_InputFunctions.Utility_DisplayArrayInTable(SourceData_Swine.SourceData_Swine_MMS_MCFs_Data(),Table_SourceData_Swine_MMSMCF[[#Headers],[MMS]],0)</f>
        <v>0.76</v>
      </c>
      <c r="M32" s="33"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3" cm="1">
        <f t="array" ref="E33">Common_InputFunctions.Utility_DisplayArrayInTable(SourceData_Swine.SourceData_Swine_MMS_MCFs_Data(),Table_SourceData_Swine_MMSMCF[[#Headers],[MMS]],0)</f>
        <v>0.1</v>
      </c>
      <c r="F33" s="33" cm="1">
        <f t="array" ref="F33">Common_InputFunctions.Utility_DisplayArrayInTable(SourceData_Swine.SourceData_Swine_MMS_MCFs_Data(),Table_SourceData_Swine_MMSMCF[[#Headers],[MMS]],0)</f>
        <v>0.1</v>
      </c>
      <c r="G33" s="33" cm="1">
        <f t="array" ref="G33">Common_InputFunctions.Utility_DisplayArrayInTable(SourceData_Swine.SourceData_Swine_MMS_MCFs_Data(),Table_SourceData_Swine_MMSMCF[[#Headers],[MMS]],0)</f>
        <v>0.1</v>
      </c>
      <c r="H33" s="33" cm="1">
        <f t="array" ref="H33">Common_InputFunctions.Utility_DisplayArrayInTable(SourceData_Swine.SourceData_Swine_MMS_MCFs_Data(),Table_SourceData_Swine_MMSMCF[[#Headers],[MMS]],0)</f>
        <v>0.1</v>
      </c>
      <c r="I33" s="33" cm="1">
        <f t="array" ref="I33">Common_InputFunctions.Utility_DisplayArrayInTable(SourceData_Swine.SourceData_Swine_MMS_MCFs_Data(),Table_SourceData_Swine_MMSMCF[[#Headers],[MMS]],0)</f>
        <v>0.1</v>
      </c>
      <c r="J33" s="33" cm="1">
        <f t="array" ref="J33">Common_InputFunctions.Utility_DisplayArrayInTable(SourceData_Swine.SourceData_Swine_MMS_MCFs_Data(),Table_SourceData_Swine_MMSMCF[[#Headers],[MMS]],0)</f>
        <v>0.1</v>
      </c>
      <c r="K33" s="33" cm="1">
        <f t="array" ref="K33">Common_InputFunctions.Utility_DisplayArrayInTable(SourceData_Swine.SourceData_Swine_MMS_MCFs_Data(),Table_SourceData_Swine_MMSMCF[[#Headers],[MMS]],0)</f>
        <v>0.1</v>
      </c>
      <c r="L33" s="33" cm="1">
        <f t="array" ref="L33">Common_InputFunctions.Utility_DisplayArrayInTable(SourceData_Swine.SourceData_Swine_MMS_MCFs_Data(),Table_SourceData_Swine_MMSMCF[[#Headers],[MMS]],0)</f>
        <v>0.1</v>
      </c>
      <c r="M33" s="33"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3" cm="1">
        <f t="array" ref="E34">Common_InputFunctions.Utility_DisplayArrayInTable(SourceData_Swine.SourceData_Swine_MMS_MCFs_Data(),Table_SourceData_Swine_MMSMCF[[#Headers],[MMS]],0)</f>
        <v>0.03</v>
      </c>
      <c r="F34" s="33" cm="1">
        <f t="array" ref="F34">Common_InputFunctions.Utility_DisplayArrayInTable(SourceData_Swine.SourceData_Swine_MMS_MCFs_Data(),Table_SourceData_Swine_MMSMCF[[#Headers],[MMS]],0)</f>
        <v>0.03</v>
      </c>
      <c r="G34" s="33" cm="1">
        <f t="array" ref="G34">Common_InputFunctions.Utility_DisplayArrayInTable(SourceData_Swine.SourceData_Swine_MMS_MCFs_Data(),Table_SourceData_Swine_MMSMCF[[#Headers],[MMS]],0)</f>
        <v>0.03</v>
      </c>
      <c r="H34" s="33" cm="1">
        <f t="array" ref="H34">Common_InputFunctions.Utility_DisplayArrayInTable(SourceData_Swine.SourceData_Swine_MMS_MCFs_Data(),Table_SourceData_Swine_MMSMCF[[#Headers],[MMS]],0)</f>
        <v>0.03</v>
      </c>
      <c r="I34" s="33" cm="1">
        <f t="array" ref="I34">Common_InputFunctions.Utility_DisplayArrayInTable(SourceData_Swine.SourceData_Swine_MMS_MCFs_Data(),Table_SourceData_Swine_MMSMCF[[#Headers],[MMS]],0)</f>
        <v>0.03</v>
      </c>
      <c r="J34" s="33" cm="1">
        <f t="array" ref="J34">Common_InputFunctions.Utility_DisplayArrayInTable(SourceData_Swine.SourceData_Swine_MMS_MCFs_Data(),Table_SourceData_Swine_MMSMCF[[#Headers],[MMS]],0)</f>
        <v>0.03</v>
      </c>
      <c r="K34" s="33" cm="1">
        <f t="array" ref="K34">Common_InputFunctions.Utility_DisplayArrayInTable(SourceData_Swine.SourceData_Swine_MMS_MCFs_Data(),Table_SourceData_Swine_MMSMCF[[#Headers],[MMS]],0)</f>
        <v>0.03</v>
      </c>
      <c r="L34" s="33" cm="1">
        <f t="array" ref="L34">Common_InputFunctions.Utility_DisplayArrayInTable(SourceData_Swine.SourceData_Swine_MMS_MCFs_Data(),Table_SourceData_Swine_MMSMCF[[#Headers],[MMS]],0)</f>
        <v>0.03</v>
      </c>
      <c r="M34" s="33"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3" cm="1">
        <f t="array" ref="E35">Common_InputFunctions.Utility_DisplayArrayInTable(SourceData_Swine.SourceData_Swine_MMS_MCFs_Data(),Table_SourceData_Swine_MMSMCF[[#Headers],[MMS]],0)</f>
        <v>0</v>
      </c>
      <c r="F35" s="33" cm="1">
        <f t="array" ref="F35">Common_InputFunctions.Utility_DisplayArrayInTable(SourceData_Swine.SourceData_Swine_MMS_MCFs_Data(),Table_SourceData_Swine_MMSMCF[[#Headers],[MMS]],0)</f>
        <v>0</v>
      </c>
      <c r="G35" s="33" cm="1">
        <f t="array" ref="G35">Common_InputFunctions.Utility_DisplayArrayInTable(SourceData_Swine.SourceData_Swine_MMS_MCFs_Data(),Table_SourceData_Swine_MMSMCF[[#Headers],[MMS]],0)</f>
        <v>0</v>
      </c>
      <c r="H35" s="33" cm="1">
        <f t="array" ref="H35">Common_InputFunctions.Utility_DisplayArrayInTable(SourceData_Swine.SourceData_Swine_MMS_MCFs_Data(),Table_SourceData_Swine_MMSMCF[[#Headers],[MMS]],0)</f>
        <v>0</v>
      </c>
      <c r="I35" s="33" cm="1">
        <f t="array" ref="I35">Common_InputFunctions.Utility_DisplayArrayInTable(SourceData_Swine.SourceData_Swine_MMS_MCFs_Data(),Table_SourceData_Swine_MMSMCF[[#Headers],[MMS]],0)</f>
        <v>0</v>
      </c>
      <c r="J35" s="33" cm="1">
        <f t="array" ref="J35">Common_InputFunctions.Utility_DisplayArrayInTable(SourceData_Swine.SourceData_Swine_MMS_MCFs_Data(),Table_SourceData_Swine_MMSMCF[[#Headers],[MMS]],0)</f>
        <v>0</v>
      </c>
      <c r="K35" s="33" cm="1">
        <f t="array" ref="K35">Common_InputFunctions.Utility_DisplayArrayInTable(SourceData_Swine.SourceData_Swine_MMS_MCFs_Data(),Table_SourceData_Swine_MMSMCF[[#Headers],[MMS]],0)</f>
        <v>0</v>
      </c>
      <c r="L35" s="33" cm="1">
        <f t="array" ref="L35">Common_InputFunctions.Utility_DisplayArrayInTable(SourceData_Swine.SourceData_Swine_MMS_MCFs_Data(),Table_SourceData_Swine_MMSMCF[[#Headers],[MMS]],0)</f>
        <v>0</v>
      </c>
      <c r="M35" s="33"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114</v>
      </c>
      <c r="G38" s="6" t="s">
        <v>115</v>
      </c>
      <c r="K38" s="6" t="s">
        <v>116</v>
      </c>
      <c r="M38" s="1"/>
    </row>
    <row r="39" spans="4:13" ht="20.100000000000001" customHeight="1" x14ac:dyDescent="0.25">
      <c r="M39" s="1"/>
    </row>
    <row r="40" spans="4:13" ht="20.100000000000001" customHeight="1" x14ac:dyDescent="0.25">
      <c r="D40" s="100" t="s">
        <v>48</v>
      </c>
      <c r="E40" s="33" t="s">
        <v>58</v>
      </c>
      <c r="G40" s="100" t="s">
        <v>48</v>
      </c>
      <c r="H40" s="33" t="s">
        <v>58</v>
      </c>
      <c r="K40" s="100" t="s">
        <v>48</v>
      </c>
      <c r="L40" s="33" t="s">
        <v>58</v>
      </c>
      <c r="M40" s="1"/>
    </row>
    <row r="41" spans="4:13" ht="20.100000000000001" customHeight="1" x14ac:dyDescent="0.25">
      <c r="D41" s="33" t="str">
        <f>'Constants - Livestock'!$E$10</f>
        <v>Anaerobic lagoon</v>
      </c>
      <c r="E41" s="33" t="str">
        <f>'Constants - Livestock'!$F$10</f>
        <v>Anaerobic lagoon (m=1)</v>
      </c>
      <c r="G41" s="33" t="str">
        <f>'Constants - Livestock'!$E$10</f>
        <v>Anaerobic lagoon</v>
      </c>
      <c r="H41" s="33" t="str">
        <f>'Constants - Livestock'!$F$10</f>
        <v>Anaerobic lagoon (m=1)</v>
      </c>
      <c r="K41" s="33" t="str">
        <f>'Constants - Livestock'!$E$10</f>
        <v>Anaerobic lagoon</v>
      </c>
      <c r="L41" s="33" t="str">
        <f>'Constants - Livestock'!$F$10</f>
        <v>Anaerobic lagoon (m=1)</v>
      </c>
      <c r="M41" s="1"/>
    </row>
    <row r="42" spans="4:13" ht="20.100000000000001" customHeight="1" x14ac:dyDescent="0.25">
      <c r="D42" s="33" t="str">
        <f>'Constants - Livestock'!$E$15</f>
        <v>Solid storage</v>
      </c>
      <c r="E42" s="33" t="str">
        <f>'Constants - Livestock'!$F$15</f>
        <v>Solid storage (m=4)</v>
      </c>
      <c r="G42" s="33" t="str">
        <f>'Constants - Livestock'!$E$16</f>
        <v>Drylot (feed pad)</v>
      </c>
      <c r="H42" s="33" t="str">
        <f>'Constants - Livestock'!$F$16</f>
        <v>Drylot (feed pad) (m=5)</v>
      </c>
      <c r="K42" s="33" t="str">
        <f>'Constants - Livestock'!$E$15</f>
        <v>Solid storage</v>
      </c>
      <c r="L42" s="33" t="str">
        <f>'Constants - Livestock'!$F$15</f>
        <v>Solid storage (m=4)</v>
      </c>
      <c r="M42" s="1"/>
    </row>
    <row r="43" spans="4:13" ht="20.100000000000001" customHeight="1" x14ac:dyDescent="0.25">
      <c r="D43" s="33" t="str">
        <f>'Constants - Livestock'!$E$16</f>
        <v>Drylot (feed pad)</v>
      </c>
      <c r="E43" s="33" t="str">
        <f>'Constants - Livestock'!$F$16</f>
        <v>Drylot (feed pad) (m=5)</v>
      </c>
      <c r="G43" s="33" t="str">
        <f>'Constants - Livestock'!$E$18</f>
        <v>Digester / covered lagoons</v>
      </c>
      <c r="H43" s="33" t="str">
        <f>'Constants - Livestock'!$F$18</f>
        <v>Digester / covered lagoons (m=7)</v>
      </c>
      <c r="K43" s="33" t="str">
        <f>'Constants - Livestock'!$E$16</f>
        <v>Drylot (feed pad)</v>
      </c>
      <c r="L43" s="33" t="str">
        <f>'Constants - Livestock'!$F$16</f>
        <v>Drylot (feed pad) (m=5)</v>
      </c>
      <c r="M43" s="1"/>
    </row>
    <row r="44" spans="4:13" ht="20.100000000000001" customHeight="1" x14ac:dyDescent="0.25">
      <c r="D44" s="33" t="str">
        <f>'Constants - Livestock'!$E$18</f>
        <v>Digester / covered lagoons</v>
      </c>
      <c r="E44" s="33" t="str">
        <f>'Constants - Livestock'!$F$18</f>
        <v>Digester / covered lagoons (m=7)</v>
      </c>
      <c r="G44" s="33" t="str">
        <f>'Constants - Livestock'!$E$19</f>
        <v>Deep litter</v>
      </c>
      <c r="H44" s="33" t="str">
        <f>'Constants - Livestock'!$F$19</f>
        <v>Deep litter (m=8)</v>
      </c>
      <c r="K44" s="33" t="str">
        <f>'Constants - Livestock'!$E$18</f>
        <v>Digester / covered lagoons</v>
      </c>
      <c r="L44" s="33" t="str">
        <f>'Constants - Livestock'!$F$18</f>
        <v>Digester / covered lagoons (m=7)</v>
      </c>
      <c r="M44" s="1"/>
    </row>
    <row r="45" spans="4:13" ht="20.100000000000001" customHeight="1" x14ac:dyDescent="0.25">
      <c r="D45" s="33" t="str">
        <f>'Constants - Livestock'!$E$19</f>
        <v>Deep litter</v>
      </c>
      <c r="E45" s="33" t="str">
        <f>'Constants - Livestock'!$F$19</f>
        <v>Deep litter (m=8)</v>
      </c>
      <c r="G45" s="33" t="str">
        <f>'Constants - Livestock'!$E$20</f>
        <v>Pit storage</v>
      </c>
      <c r="H45" s="33" t="str">
        <f>'Constants - Livestock'!$F$20</f>
        <v>Pit storage (m=9)</v>
      </c>
      <c r="K45" s="33" t="str">
        <f>'Constants - Livestock'!$E$19</f>
        <v>Deep litter</v>
      </c>
      <c r="L45" s="33" t="str">
        <f>'Constants - Livestock'!$F$19</f>
        <v>Deep litter (m=8)</v>
      </c>
      <c r="M45" s="1"/>
    </row>
    <row r="46" spans="4:13" ht="20.100000000000001" customHeight="1" x14ac:dyDescent="0.25">
      <c r="D46" s="33" t="str">
        <f>'Constants - Livestock'!$E$20</f>
        <v>Pit storage</v>
      </c>
      <c r="E46" s="33" t="str">
        <f>'Constants - Livestock'!$F$20</f>
        <v>Pit storage (m=9)</v>
      </c>
      <c r="K46" s="33" t="str">
        <f>'Constants - Livestock'!$E$20</f>
        <v>Pit storage</v>
      </c>
      <c r="L46" s="33" t="str">
        <f>'Constants - Livestock'!$F$20</f>
        <v>Pit storage (m=9)</v>
      </c>
      <c r="M46" s="1"/>
    </row>
    <row r="47" spans="4:13" ht="20.100000000000001" customHeight="1" x14ac:dyDescent="0.25">
      <c r="D47" s="33" t="str">
        <f>'Constants - Livestock'!$E$26</f>
        <v>Direct application</v>
      </c>
      <c r="E47" s="33" t="str">
        <f>'Constants - Livestock'!$F$26</f>
        <v>Direct application (m=13)</v>
      </c>
      <c r="M47" s="1"/>
    </row>
    <row r="48" spans="4:13" ht="20.100000000000001" customHeight="1" x14ac:dyDescent="0.25">
      <c r="M48" s="1"/>
    </row>
    <row r="49" spans="4:13" ht="20.100000000000001" customHeight="1" x14ac:dyDescent="0.25">
      <c r="M49" s="1"/>
    </row>
    <row r="50" spans="4:13" ht="20.100000000000001" customHeight="1" x14ac:dyDescent="0.25">
      <c r="M50" s="1"/>
    </row>
    <row r="51" spans="4:13" ht="20.100000000000001" customHeight="1" x14ac:dyDescent="0.25">
      <c r="D51" s="6" t="s">
        <v>117</v>
      </c>
      <c r="G51" s="6" t="s">
        <v>118</v>
      </c>
      <c r="M51" s="1"/>
    </row>
    <row r="52" spans="4:13" ht="20.100000000000001" customHeight="1" x14ac:dyDescent="0.25">
      <c r="M52" s="1"/>
    </row>
    <row r="53" spans="4:13" ht="20.100000000000001" customHeight="1" x14ac:dyDescent="0.25">
      <c r="D53" s="100" t="s">
        <v>48</v>
      </c>
      <c r="E53" s="33" t="s">
        <v>119</v>
      </c>
      <c r="G53" s="33" t="s">
        <v>81</v>
      </c>
      <c r="M53" s="1"/>
    </row>
    <row r="54" spans="4:13" ht="20.100000000000001" customHeight="1" x14ac:dyDescent="0.25">
      <c r="D54" s="33" t="str">
        <f>'Constants - Livestock'!$E$10</f>
        <v>Anaerobic lagoon</v>
      </c>
      <c r="E54" s="33">
        <v>0</v>
      </c>
      <c r="G54" s="33" t="str" cm="1">
        <f t="array" ref="G54">Common_InputFunctions.Utility_DisplayArrayInTable(SourceData_Swine.SourceData_Swine_ProductionSystems_Data(), Table_SourceData_Swine_ProductionSystems[[#Headers],[Production system]], 0)</f>
        <v>Conventional housing</v>
      </c>
      <c r="M54" s="1"/>
    </row>
    <row r="55" spans="4:13" ht="20.100000000000001" customHeight="1" x14ac:dyDescent="0.25">
      <c r="D55" s="33" t="str">
        <f>'Constants - Livestock'!$E$15</f>
        <v>Solid storage</v>
      </c>
      <c r="E55" s="33">
        <v>0</v>
      </c>
      <c r="G55" s="33" t="str" cm="1">
        <f t="array" ref="G55">Common_InputFunctions.Utility_DisplayArrayInTable(SourceData_Swine.SourceData_Swine_ProductionSystems_Data(), Table_SourceData_Swine_ProductionSystems[[#Headers],[Production system]], 0)</f>
        <v>Deep litter housing</v>
      </c>
      <c r="M55" s="1"/>
    </row>
    <row r="56" spans="4:13" ht="20.100000000000001" customHeight="1" x14ac:dyDescent="0.25">
      <c r="D56" s="33" t="str">
        <f>'Constants - Livestock'!$E$16</f>
        <v>Drylot (feed pad)</v>
      </c>
      <c r="E56" s="33">
        <v>0</v>
      </c>
      <c r="G56" s="33" t="str" cm="1">
        <f t="array" ref="G56">Common_InputFunctions.Utility_DisplayArrayInTable(SourceData_Swine.SourceData_Swine_ProductionSystems_Data(), Table_SourceData_Swine_ProductionSystems[[#Headers],[Production system]], 0)</f>
        <v>Outdoor/free range</v>
      </c>
      <c r="M56" s="1"/>
    </row>
    <row r="57" spans="4:13" ht="20.100000000000001" customHeight="1" x14ac:dyDescent="0.25">
      <c r="D57" s="33" t="str">
        <f>'Constants - Livestock'!$E$18</f>
        <v>Digester / covered lagoons</v>
      </c>
      <c r="E57" s="33">
        <v>0.75</v>
      </c>
      <c r="M57" s="1"/>
    </row>
    <row r="58" spans="4:13" ht="20.100000000000001" customHeight="1" x14ac:dyDescent="0.25">
      <c r="D58" s="33" t="str">
        <f>'Constants - Livestock'!$E$19</f>
        <v>Deep litter</v>
      </c>
      <c r="E58" s="33">
        <v>0.05</v>
      </c>
      <c r="M58" s="1"/>
    </row>
    <row r="59" spans="4:13" ht="20.100000000000001" customHeight="1" x14ac:dyDescent="0.25">
      <c r="D59" s="33" t="str">
        <f>'Constants - Livestock'!$E$20</f>
        <v>Pit storage</v>
      </c>
      <c r="E59" s="33">
        <v>0</v>
      </c>
      <c r="M59" s="1"/>
    </row>
    <row r="60" spans="4:13" ht="20.100000000000001" customHeight="1" x14ac:dyDescent="0.25">
      <c r="D60" s="33" t="str">
        <f>'Constants - Livestock'!$E$26</f>
        <v>Direct application</v>
      </c>
      <c r="E60" s="33">
        <v>0</v>
      </c>
      <c r="M60" s="1"/>
    </row>
    <row r="61" spans="4:13" ht="20.100000000000001" customHeight="1" x14ac:dyDescent="0.25">
      <c r="M61" s="1"/>
    </row>
    <row r="62" spans="4:13" ht="20.100000000000001" customHeight="1" x14ac:dyDescent="0.25">
      <c r="M62" s="1"/>
    </row>
    <row r="63" spans="4:13" ht="20.100000000000001" customHeight="1" x14ac:dyDescent="0.25">
      <c r="D63" s="6" t="str" cm="1">
        <f t="array" ref="D63">SourceData_Swine.SourceData_Swine_VolatileSolids_Title()</f>
        <v>Swine - Volatile solids (VSj) - 2020 to 2024</v>
      </c>
      <c r="M63" s="1"/>
    </row>
    <row r="64" spans="4: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48"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3" t="s">
        <v>109</v>
      </c>
      <c r="E67" s="33" t="s">
        <v>110</v>
      </c>
      <c r="M67" s="1"/>
    </row>
    <row r="68" spans="4:22" ht="20.100000000000001" customHeight="1" x14ac:dyDescent="0.25">
      <c r="D68" s="33" t="str" cm="1">
        <f t="array" ref="D68">Common_InputFunctions.Utility_DisplayArrayInTable(SourceData_Swine.SourceData_Swine_VolatileSolids_Data(), Table_SourceData_Swine_VolatileSolids[[#Headers],[Class]], 0)</f>
        <v>Boars</v>
      </c>
      <c r="E68" s="33"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3"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3"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3"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48"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3" t="s">
        <v>109</v>
      </c>
      <c r="E78" s="33" t="s">
        <v>130</v>
      </c>
      <c r="M78" s="1"/>
      <c r="V78" s="1"/>
    </row>
    <row r="79" spans="4:22" ht="20.100000000000001" customHeight="1" x14ac:dyDescent="0.25">
      <c r="D79" s="33" t="str" cm="1">
        <f t="array" ref="D79">Common_InputFunctions.Utility_DisplayArrayInTable(SourceData_Swine.SourceData_Swine_FeedIntake_Data(), Table_SourceData_Swine_FeedIntake[[#Headers],[Class]], 0)</f>
        <v>Boars</v>
      </c>
      <c r="E79" s="33" cm="1">
        <f t="array" ref="E79">Common_InputFunctions.Utility_DisplayArrayInTable(SourceData_Swine.SourceData_Swine_FeedIntake_Data(), Table_SourceData_Swine_FeedIntake[[#Headers],[Class]], 0)</f>
        <v>2.62</v>
      </c>
      <c r="M79" s="1"/>
      <c r="V79" s="1"/>
    </row>
    <row r="80" spans="4:22" ht="20.100000000000001" customHeight="1" x14ac:dyDescent="0.25">
      <c r="D80" s="33" t="str" cm="1">
        <f t="array" ref="D80">Common_InputFunctions.Utility_DisplayArrayInTable(SourceData_Swine.SourceData_Swine_FeedIntake_Data(), Table_SourceData_Swine_FeedIntake[[#Headers],[Class]], 0)</f>
        <v>Sows</v>
      </c>
      <c r="E80" s="33"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3" t="str" cm="1">
        <f t="array" ref="D81">Common_InputFunctions.Utility_DisplayArrayInTable(SourceData_Swine.SourceData_Swine_FeedIntake_Data(), Table_SourceData_Swine_FeedIntake[[#Headers],[Class]], 0)</f>
        <v>Gilts</v>
      </c>
      <c r="E81" s="33" cm="1">
        <f t="array" ref="E81">Common_InputFunctions.Utility_DisplayArrayInTable(SourceData_Swine.SourceData_Swine_FeedIntake_Data(), Table_SourceData_Swine_FeedIntake[[#Headers],[Class]], 0)</f>
        <v>2.5</v>
      </c>
      <c r="M81" s="1"/>
      <c r="V81" s="1"/>
    </row>
    <row r="82" spans="4:23" ht="20.100000000000001" customHeight="1" x14ac:dyDescent="0.25">
      <c r="D82" s="33" t="str" cm="1">
        <f t="array" ref="D82">Common_InputFunctions.Utility_DisplayArrayInTable(SourceData_Swine.SourceData_Swine_FeedIntake_Data(), Table_SourceData_Swine_FeedIntake[[#Headers],[Class]], 0)</f>
        <v>Others</v>
      </c>
      <c r="E82" s="33"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48"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3" t="s">
        <v>109</v>
      </c>
      <c r="E89" s="33" t="s">
        <v>128</v>
      </c>
      <c r="F89" s="33" t="s">
        <v>129</v>
      </c>
      <c r="G89" s="33" t="s">
        <v>136</v>
      </c>
      <c r="M89" s="1"/>
      <c r="V89" s="1"/>
      <c r="W89" s="1"/>
    </row>
    <row r="90" spans="4:23" ht="20.100000000000001" customHeight="1" x14ac:dyDescent="0.25">
      <c r="D90" s="33" t="str" cm="1">
        <f t="array" ref="D90">Common_InputFunctions.Utility_DisplayArrayInTable(SourceData_Swine.SourceData_Swine_NitrogenInWaste_Data(), Table_SourceData_Swine_NitrogenInWaste[[#Headers],[Class]], 0)</f>
        <v>Boars</v>
      </c>
      <c r="E90" s="33" cm="1">
        <f t="array" ref="E90">Common_InputFunctions.Utility_DisplayArrayInTable(SourceData_Swine.SourceData_Swine_NitrogenInWaste_Data(), Table_SourceData_Swine_NitrogenInWaste[[#Headers],[Class]], 0)</f>
        <v>4.5999999999999999E-2</v>
      </c>
      <c r="F90" s="33" cm="1">
        <f t="array" ref="F90">Common_InputFunctions.Utility_DisplayArrayInTable(SourceData_Swine.SourceData_Swine_NitrogenInWaste_Data(), Table_SourceData_Swine_NitrogenInWaste[[#Headers],[Class]], 0)</f>
        <v>4.5999999999999999E-2</v>
      </c>
      <c r="G90" s="33"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3" t="str" cm="1">
        <f t="array" ref="D91">Common_InputFunctions.Utility_DisplayArrayInTable(SourceData_Swine.SourceData_Swine_NitrogenInWaste_Data(), Table_SourceData_Swine_NitrogenInWaste[[#Headers],[Class]], 0)</f>
        <v>Sows</v>
      </c>
      <c r="E91" s="33" cm="1">
        <f t="array" ref="E91">Common_InputFunctions.Utility_DisplayArrayInTable(SourceData_Swine.SourceData_Swine_NitrogenInWaste_Data(), Table_SourceData_Swine_NitrogenInWaste[[#Headers],[Class]], 0)</f>
        <v>4.9000000000000002E-2</v>
      </c>
      <c r="F91" s="33" cm="1">
        <f t="array" ref="F91">Common_InputFunctions.Utility_DisplayArrayInTable(SourceData_Swine.SourceData_Swine_NitrogenInWaste_Data(), Table_SourceData_Swine_NitrogenInWaste[[#Headers],[Class]], 0)</f>
        <v>4.9000000000000002E-2</v>
      </c>
      <c r="G91" s="33"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3" t="str" cm="1">
        <f t="array" ref="D92">Common_InputFunctions.Utility_DisplayArrayInTable(SourceData_Swine.SourceData_Swine_NitrogenInWaste_Data(), Table_SourceData_Swine_NitrogenInWaste[[#Headers],[Class]], 0)</f>
        <v>Gilts</v>
      </c>
      <c r="E92" s="33" cm="1">
        <f t="array" ref="E92">Common_InputFunctions.Utility_DisplayArrayInTable(SourceData_Swine.SourceData_Swine_NitrogenInWaste_Data(), Table_SourceData_Swine_NitrogenInWaste[[#Headers],[Class]], 0)</f>
        <v>4.5999999999999999E-2</v>
      </c>
      <c r="F92" s="33" cm="1">
        <f t="array" ref="F92">Common_InputFunctions.Utility_DisplayArrayInTable(SourceData_Swine.SourceData_Swine_NitrogenInWaste_Data(), Table_SourceData_Swine_NitrogenInWaste[[#Headers],[Class]], 0)</f>
        <v>4.5999999999999999E-2</v>
      </c>
      <c r="G92" s="33"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3" t="str" cm="1">
        <f t="array" ref="D93">Common_InputFunctions.Utility_DisplayArrayInTable(SourceData_Swine.SourceData_Swine_NitrogenInWaste_Data(), Table_SourceData_Swine_NitrogenInWaste[[#Headers],[Class]], 0)</f>
        <v>Others (kg/head/year)</v>
      </c>
      <c r="E93" s="33" cm="1">
        <f t="array" ref="E93">Common_InputFunctions.Utility_DisplayArrayInTable(SourceData_Swine.SourceData_Swine_NitrogenInWaste_Data(), Table_SourceData_Swine_NitrogenInWaste[[#Headers],[Class]], 0)</f>
        <v>11.4</v>
      </c>
      <c r="F93" s="33" cm="1">
        <f t="array" ref="F93">Common_InputFunctions.Utility_DisplayArrayInTable(SourceData_Swine.SourceData_Swine_NitrogenInWaste_Data(), Table_SourceData_Swine_NitrogenInWaste[[#Headers],[Class]], 0)</f>
        <v>3.1199999999999999E-2</v>
      </c>
      <c r="G93" s="33"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48" t="str" cm="1">
        <f t="array" ref="D98">SourceData_Swine.SourceData_Swine_FractionNVolatilised_Variation()</f>
        <v>VARIATION ON SOURCE DATA: Added 'NIR reference column to aid lookup.</v>
      </c>
      <c r="M98" s="1"/>
    </row>
    <row r="99" spans="4:13" ht="20.100000000000001" customHeight="1" x14ac:dyDescent="0.25">
      <c r="D99" s="33" t="s">
        <v>131</v>
      </c>
      <c r="E99" s="33" t="s">
        <v>132</v>
      </c>
      <c r="F99" s="33" t="s">
        <v>133</v>
      </c>
      <c r="M99" s="1"/>
    </row>
    <row r="100" spans="4:13" ht="20.100000000000001" customHeight="1" x14ac:dyDescent="0.25">
      <c r="D100" s="33" t="str" cm="1">
        <f t="array" ref="D100">Common_InputFunctions.Utility_DisplayArrayInTable(SourceData_Swine.SourceData_Swine_FractionNVolatilised_Data(), Table_SourceData_Swine_FracGASM[[#Headers],[MMSm]],0)</f>
        <v>Outdoor (Dry lot)</v>
      </c>
      <c r="E100" s="33" cm="1">
        <f t="array" ref="E100">Common_InputFunctions.Utility_DisplayArrayInTable(SourceData_Swine.SourceData_Swine_FractionNVolatilised_Data(), Table_SourceData_Swine_FracGASM[[#Headers],[MMSm]],0)</f>
        <v>0.3</v>
      </c>
      <c r="F100" s="33"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3" t="str" cm="1">
        <f t="array" ref="D101">Common_InputFunctions.Utility_DisplayArrayInTable(SourceData_Swine.SourceData_Swine_FractionNVolatilised_Data(), Table_SourceData_Swine_FracGASM[[#Headers],[MMSm]],0)</f>
        <v>Deep litter</v>
      </c>
      <c r="E101" s="33" cm="1">
        <f t="array" ref="E101">Common_InputFunctions.Utility_DisplayArrayInTable(SourceData_Swine.SourceData_Swine_FractionNVolatilised_Data(), Table_SourceData_Swine_FracGASM[[#Headers],[MMSm]],0)</f>
        <v>0.125</v>
      </c>
      <c r="F101" s="33"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3" t="str" cm="1">
        <f t="array" ref="D102">Common_InputFunctions.Utility_DisplayArrayInTable(SourceData_Swine.SourceData_Swine_FractionNVolatilised_Data(), Table_SourceData_Swine_FracGASM[[#Headers],[MMSm]],0)</f>
        <v>Stockpile (Solid storage)</v>
      </c>
      <c r="E102" s="33" cm="1">
        <f t="array" ref="E102">Common_InputFunctions.Utility_DisplayArrayInTable(SourceData_Swine.SourceData_Swine_FractionNVolatilised_Data(), Table_SourceData_Swine_FracGASM[[#Headers],[MMSm]],0)</f>
        <v>0.2</v>
      </c>
      <c r="F102" s="33"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3" t="str" cm="1">
        <f t="array" ref="D103">Common_InputFunctions.Utility_DisplayArrayInTable(SourceData_Swine.SourceData_Swine_FractionNVolatilised_Data(), Table_SourceData_Swine_FracGASM[[#Headers],[MMSm]],0)</f>
        <v>Effluent pond (Uncovered anaerobic lagoon)</v>
      </c>
      <c r="E103" s="33" cm="1">
        <f t="array" ref="E103">Common_InputFunctions.Utility_DisplayArrayInTable(SourceData_Swine.SourceData_Swine_FractionNVolatilised_Data(), Table_SourceData_Swine_FracGASM[[#Headers],[MMSm]],0)</f>
        <v>0.55000000000000004</v>
      </c>
      <c r="F103" s="33"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3" t="str" cm="1">
        <f t="array" ref="D104">Common_InputFunctions.Utility_DisplayArrayInTable(SourceData_Swine.SourceData_Swine_FractionNVolatilised_Data(), Table_SourceData_Swine_FracGASM[[#Headers],[MMSm]],0)</f>
        <v>Anaerobic digester / Covered lagoon</v>
      </c>
      <c r="E104" s="33" cm="1">
        <f t="array" ref="E104">Common_InputFunctions.Utility_DisplayArrayInTable(SourceData_Swine.SourceData_Swine_FractionNVolatilised_Data(), Table_SourceData_Swine_FracGASM[[#Headers],[MMSm]],0)</f>
        <v>0</v>
      </c>
      <c r="F104" s="33"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3" t="str" cm="1">
        <f t="array" ref="D105">Common_InputFunctions.Utility_DisplayArrayInTable(SourceData_Swine.SourceData_Swine_FractionNVolatilised_Data(), Table_SourceData_Swine_FracGASM[[#Headers],[MMSm]],0)</f>
        <v>Short HRT tank storage &lt; 1 month (pit storage)</v>
      </c>
      <c r="E105" s="33" cm="1">
        <f t="array" ref="E105">Common_InputFunctions.Utility_DisplayArrayInTable(SourceData_Swine.SourceData_Swine_FractionNVolatilised_Data(), Table_SourceData_Swine_FracGASM[[#Headers],[MMSm]],0)</f>
        <v>0.25</v>
      </c>
      <c r="F105" s="33"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48" t="str" cm="1">
        <f t="array" ref="D110">SourceData_Swine.SourceData_Swine_NitrousOxideEFs_Variation()</f>
        <v>VARIATION ON SOURCE DATA: Added 'NIR reference column to aid lookup.</v>
      </c>
      <c r="M110" s="1"/>
    </row>
    <row r="111" spans="4:13" ht="20.100000000000001" customHeight="1" x14ac:dyDescent="0.25">
      <c r="D111" s="33" t="s">
        <v>131</v>
      </c>
      <c r="E111" s="33" t="s">
        <v>134</v>
      </c>
      <c r="F111" s="33" t="s">
        <v>133</v>
      </c>
      <c r="M111" s="1"/>
    </row>
    <row r="112" spans="4:13" ht="20.100000000000001" customHeight="1" x14ac:dyDescent="0.25">
      <c r="D112" s="33" t="str" cm="1">
        <f t="array" ref="D112">Common_InputFunctions.Utility_DisplayArrayInTable(SourceData_Swine.SourceData_Swine_NitrousOxideEFs_Data(), Table_SourceData_Swine_FracGASM28[[#Headers],[MMSm]],0)</f>
        <v>Outdoor (Dry lot)</v>
      </c>
      <c r="E112" s="33" cm="1">
        <f t="array" ref="E112">Common_InputFunctions.Utility_DisplayArrayInTable(SourceData_Swine.SourceData_Swine_NitrousOxideEFs_Data(), Table_SourceData_Swine_FracGASM28[[#Headers],[MMSm]],0)</f>
        <v>0.02</v>
      </c>
      <c r="F112" s="33" t="str" cm="1">
        <f t="array" ref="F112">Common_InputFunctions.Utility_DisplayArrayInTable(SourceData_Swine.SourceData_Swine_NitrousOxideEFs_Data(), Table_SourceData_Swine_FracGASM28[[#Headers],[MMSm]],0)</f>
        <v>Drylot (feed pad)</v>
      </c>
      <c r="M112" s="1"/>
    </row>
    <row r="113" spans="4:22" ht="20.100000000000001" customHeight="1" x14ac:dyDescent="0.25">
      <c r="D113" s="33" t="str" cm="1">
        <f t="array" ref="D113">Common_InputFunctions.Utility_DisplayArrayInTable(SourceData_Swine.SourceData_Swine_NitrousOxideEFs_Data(), Table_SourceData_Swine_FracGASM28[[#Headers],[MMSm]],0)</f>
        <v>Deep litter</v>
      </c>
      <c r="E113" s="33" cm="1">
        <f t="array" ref="E113">Common_InputFunctions.Utility_DisplayArrayInTable(SourceData_Swine.SourceData_Swine_NitrousOxideEFs_Data(), Table_SourceData_Swine_FracGASM28[[#Headers],[MMSm]],0)</f>
        <v>0.01</v>
      </c>
      <c r="F113" s="33" t="str" cm="1">
        <f t="array" ref="F113">Common_InputFunctions.Utility_DisplayArrayInTable(SourceData_Swine.SourceData_Swine_NitrousOxideEFs_Data(), Table_SourceData_Swine_FracGASM28[[#Headers],[MMSm]],0)</f>
        <v>Deep litter</v>
      </c>
      <c r="M113" s="1"/>
    </row>
    <row r="114" spans="4:22" ht="20.100000000000001" customHeight="1" x14ac:dyDescent="0.25">
      <c r="D114" s="33" t="str" cm="1">
        <f t="array" ref="D114">Common_InputFunctions.Utility_DisplayArrayInTable(SourceData_Swine.SourceData_Swine_NitrousOxideEFs_Data(), Table_SourceData_Swine_FracGASM28[[#Headers],[MMSm]],0)</f>
        <v>Stockpile (Solid storage)</v>
      </c>
      <c r="E114" s="33" cm="1">
        <f t="array" ref="E114">Common_InputFunctions.Utility_DisplayArrayInTable(SourceData_Swine.SourceData_Swine_NitrousOxideEFs_Data(), Table_SourceData_Swine_FracGASM28[[#Headers],[MMSm]],0)</f>
        <v>5.0000000000000001E-3</v>
      </c>
      <c r="F114" s="33" t="str" cm="1">
        <f t="array" ref="F114">Common_InputFunctions.Utility_DisplayArrayInTable(SourceData_Swine.SourceData_Swine_NitrousOxideEFs_Data(), Table_SourceData_Swine_FracGASM28[[#Headers],[MMSm]],0)</f>
        <v>Solid storage</v>
      </c>
      <c r="M114" s="1"/>
    </row>
    <row r="115" spans="4:22" ht="20.100000000000001" customHeight="1" x14ac:dyDescent="0.25">
      <c r="D115" s="33" t="str" cm="1">
        <f t="array" ref="D115">Common_InputFunctions.Utility_DisplayArrayInTable(SourceData_Swine.SourceData_Swine_NitrousOxideEFs_Data(), Table_SourceData_Swine_FracGASM28[[#Headers],[MMSm]],0)</f>
        <v>Effluent pond (Uncovered anaerobic lagoon)</v>
      </c>
      <c r="E115" s="33" cm="1">
        <f t="array" ref="E115">Common_InputFunctions.Utility_DisplayArrayInTable(SourceData_Swine.SourceData_Swine_NitrousOxideEFs_Data(), Table_SourceData_Swine_FracGASM28[[#Headers],[MMSm]],0)</f>
        <v>0</v>
      </c>
      <c r="F115" s="33" t="str" cm="1">
        <f t="array" ref="F115">Common_InputFunctions.Utility_DisplayArrayInTable(SourceData_Swine.SourceData_Swine_NitrousOxideEFs_Data(), Table_SourceData_Swine_FracGASM28[[#Headers],[MMSm]],0)</f>
        <v>Anaerobic lagoon</v>
      </c>
      <c r="M115" s="1"/>
      <c r="V115" s="1"/>
    </row>
    <row r="116" spans="4:22" ht="20.100000000000001" customHeight="1" x14ac:dyDescent="0.25">
      <c r="D116" s="33" t="str" cm="1">
        <f t="array" ref="D116">Common_InputFunctions.Utility_DisplayArrayInTable(SourceData_Swine.SourceData_Swine_NitrousOxideEFs_Data(), Table_SourceData_Swine_FracGASM28[[#Headers],[MMSm]],0)</f>
        <v>Anaerobic digestor / Covered lagoon</v>
      </c>
      <c r="E116" s="33" cm="1">
        <f t="array" ref="E116">Common_InputFunctions.Utility_DisplayArrayInTable(SourceData_Swine.SourceData_Swine_NitrousOxideEFs_Data(), Table_SourceData_Swine_FracGASM28[[#Headers],[MMSm]],0)</f>
        <v>0</v>
      </c>
      <c r="F116" s="33" t="str" cm="1">
        <f t="array" ref="F116">Common_InputFunctions.Utility_DisplayArrayInTable(SourceData_Swine.SourceData_Swine_NitrousOxideEFs_Data(), Table_SourceData_Swine_FracGASM28[[#Headers],[MMSm]],0)</f>
        <v>Digester / covered lagoons</v>
      </c>
      <c r="M116" s="1"/>
      <c r="V116" s="1"/>
    </row>
    <row r="117" spans="4:22" ht="20.100000000000001" customHeight="1" x14ac:dyDescent="0.25">
      <c r="D117" s="33" t="str" cm="1">
        <f t="array" ref="D117">Common_InputFunctions.Utility_DisplayArrayInTable(SourceData_Swine.SourceData_Swine_NitrousOxideEFs_Data(), Table_SourceData_Swine_FracGASM28[[#Headers],[MMSm]],0)</f>
        <v>Short HRT tank storage &lt; 1 month (pit storage)</v>
      </c>
      <c r="E117" s="33" cm="1">
        <f t="array" ref="E117">Common_InputFunctions.Utility_DisplayArrayInTable(SourceData_Swine.SourceData_Swine_NitrousOxideEFs_Data(), Table_SourceData_Swine_FracGASM28[[#Headers],[MMSm]],0)</f>
        <v>2E-3</v>
      </c>
      <c r="F117" s="33" t="str" cm="1">
        <f t="array" ref="F117">Common_InputFunctions.Utility_DisplayArrayInTable(SourceData_Swine.SourceData_Swine_NitrousOxideEFs_Data(), Table_SourceData_Swine_FracGASM28[[#Headers],[MMSm]],0)</f>
        <v>Pit storage</v>
      </c>
      <c r="M117" s="1"/>
      <c r="V117" s="1"/>
    </row>
    <row r="118" spans="4:22" ht="20.100000000000001" customHeight="1" x14ac:dyDescent="0.25">
      <c r="M118" s="1"/>
    </row>
    <row r="119" spans="4:22" ht="20.100000000000001" customHeight="1" x14ac:dyDescent="0.25">
      <c r="M119" s="1"/>
    </row>
    <row r="120" spans="4:22" ht="20.100000000000001" customHeight="1" x14ac:dyDescent="0.25">
      <c r="D120" s="6" t="str" cm="1">
        <f t="array" ref="D120">SourceData_Swine.SourceData_Swine_MegajoulesPerKilogramMethane_Title()</f>
        <v>Megajoules per kilogram of methane</v>
      </c>
      <c r="M120" s="1"/>
    </row>
    <row r="121" spans="4:22" ht="20.100000000000001" customHeight="1" x14ac:dyDescent="0.25">
      <c r="D121" s="5" t="str" cm="1">
        <f t="array" ref="D121">SourceData_Swine.SourceData_Swine_MegajoulesPerKilogramMethane_Source()</f>
        <v>VEERG 2026: 3.5.2.3 CONSTANT</v>
      </c>
      <c r="M121" s="1"/>
    </row>
    <row r="122" spans="4:22" ht="20.100000000000001" customHeight="1" x14ac:dyDescent="0.25">
      <c r="D122" s="46" t="str" cm="1">
        <f t="array" ref="D122">SourceData_Swine.SourceData_Swine_MegajoulesPerKilogramMethane_Variable()</f>
        <v>F</v>
      </c>
      <c r="E122" s="1" cm="1">
        <f t="array" ref="E122">SourceData_Swine.SourceData_Swine_MegajoulesPerKilogramMethane_Data()</f>
        <v>55.22</v>
      </c>
      <c r="F122" s="47" t="str" cm="1">
        <f t="array" ref="F122">SourceData_Swine.SourceData_Swine_MegajoulesPerKilogramMethane_Unit()</f>
        <v>MJ / kg CH4</v>
      </c>
      <c r="M122" s="1"/>
    </row>
    <row r="123" spans="4:22" ht="20.100000000000001" customHeight="1" x14ac:dyDescent="0.25">
      <c r="M123" s="1"/>
    </row>
    <row r="124" spans="4:22" ht="20.100000000000001" customHeight="1" x14ac:dyDescent="0.25">
      <c r="M124" s="1"/>
    </row>
    <row r="125" spans="4:22" ht="20.100000000000001" customHeight="1" x14ac:dyDescent="0.25">
      <c r="D125" s="6" t="str" cm="1">
        <f t="array" ref="D125">SourceData_Swine.SourceData_Swine_AverageLiveweight_Title()</f>
        <v>Swine - Average liveweight (inventory defaults) (kg) (Wco)</v>
      </c>
      <c r="M125" s="1"/>
      <c r="V125" s="1"/>
    </row>
    <row r="126" spans="4:22" ht="20.100000000000001" customHeight="1" x14ac:dyDescent="0.25">
      <c r="D126" s="5" t="str" cm="1">
        <f t="array" ref="D126">SourceData_Swine.SourceData_Swine_AverageLiveweight_Source()</f>
        <v>VEERG 2026: Table A.1.6.5: Swine - Average liveweight (inventory defaults) (kg) (Wco)</v>
      </c>
      <c r="M126" s="1"/>
      <c r="V126" s="1"/>
    </row>
    <row r="127" spans="4:22" ht="20.100000000000001" customHeight="1" x14ac:dyDescent="0.25">
      <c r="D127" s="33" t="s">
        <v>167</v>
      </c>
      <c r="E127" s="33" t="s">
        <v>168</v>
      </c>
      <c r="M127" s="1"/>
      <c r="V127" s="1"/>
    </row>
    <row r="128" spans="4:22" ht="20.100000000000001" customHeight="1" x14ac:dyDescent="0.25">
      <c r="D128" s="33" t="str" cm="1">
        <f t="array" ref="D128">Common_InputFunctions.Utility_DisplayArrayInTable(SourceData_Swine.SourceData_Swine_AverageLiveweight_Data(),Table_SourceData_Swine_Liveweight[[#Headers],[Livestock type j]],0)</f>
        <v>Sows</v>
      </c>
      <c r="E128" s="33"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3"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3"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3"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3"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4190-DC16-496A-9BE2-714E2A342D1D}">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55</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21" t="s">
        <v>1</v>
      </c>
      <c r="D6" s="33" t="s">
        <v>10</v>
      </c>
      <c r="E6" s="33" t="s">
        <v>11</v>
      </c>
      <c r="F6" s="33" t="s">
        <v>12</v>
      </c>
    </row>
    <row r="7" spans="1:65" ht="20.100000000000001" customHeight="1" x14ac:dyDescent="0.25">
      <c r="A7" s="120" t="str">
        <f>HYPERLINK("#'Constants - Common'!A1", "Constants - Common")</f>
        <v>Constants - Common</v>
      </c>
      <c r="D7" s="33" t="str" cm="1">
        <f t="array" ref="D7">Common_InputFunctions.Utility_DisplayArrayInTable(Common_SourceData.Common_SourceData_AustralianStatesTerritories_Data(),Table_AustralianStates[[#Headers],[State/Territory]],0)</f>
        <v>New South Wales</v>
      </c>
      <c r="E7" s="33" t="str" cm="1">
        <f t="array" ref="E7">Common_InputFunctions.Utility_DisplayArrayInTable(Common_SourceData.Common_SourceData_AustralianStatesTerritories_Data(),Table_AustralianStates[[#Headers],[State/Territory]],0)</f>
        <v>New South Wales</v>
      </c>
      <c r="F7" s="33"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3" t="str" cm="1">
        <f t="array" ref="D8">Common_InputFunctions.Utility_DisplayArrayInTable(Common_SourceData.Common_SourceData_AustralianStatesTerritories_Data(),Table_AustralianStates[[#Headers],[State/Territory]],0)</f>
        <v>Australian Capital Territory</v>
      </c>
      <c r="E8" s="33" t="str" cm="1">
        <f t="array" ref="E8">Common_InputFunctions.Utility_DisplayArrayInTable(Common_SourceData.Common_SourceData_AustralianStatesTerritories_Data(),Table_AustralianStates[[#Headers],[State/Territory]],0)</f>
        <v>ACT</v>
      </c>
      <c r="F8" s="33" t="str" cm="1">
        <f t="array" ref="F8">Common_InputFunctions.Utility_DisplayArrayInTable(Common_SourceData.Common_SourceData_AustralianStatesTerritories_Data(),Table_AustralianStates[[#Headers],[State/Territory]],0)</f>
        <v>ACT</v>
      </c>
    </row>
    <row r="9" spans="1:65" ht="20.100000000000001" customHeight="1" x14ac:dyDescent="0.25">
      <c r="A9"/>
      <c r="D9" s="33" t="str" cm="1">
        <f t="array" ref="D9">Common_InputFunctions.Utility_DisplayArrayInTable(Common_SourceData.Common_SourceData_AustralianStatesTerritories_Data(),Table_AustralianStates[[#Headers],[State/Territory]],0)</f>
        <v>Victoria</v>
      </c>
      <c r="E9" s="33" t="str" cm="1">
        <f t="array" ref="E9">Common_InputFunctions.Utility_DisplayArrayInTable(Common_SourceData.Common_SourceData_AustralianStatesTerritories_Data(),Table_AustralianStates[[#Headers],[State/Territory]],0)</f>
        <v>Victoria</v>
      </c>
      <c r="F9" s="33"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3" t="str" cm="1">
        <f t="array" ref="D10">Common_InputFunctions.Utility_DisplayArrayInTable(Common_SourceData.Common_SourceData_AustralianStatesTerritories_Data(),Table_AustralianStates[[#Headers],[State/Territory]],0)</f>
        <v>Queensland</v>
      </c>
      <c r="E10" s="33" t="str" cm="1">
        <f t="array" ref="E10">Common_InputFunctions.Utility_DisplayArrayInTable(Common_SourceData.Common_SourceData_AustralianStatesTerritories_Data(),Table_AustralianStates[[#Headers],[State/Territory]],0)</f>
        <v>Queensland</v>
      </c>
      <c r="F10" s="33"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3" t="str" cm="1">
        <f t="array" ref="D11">Common_InputFunctions.Utility_DisplayArrayInTable(Common_SourceData.Common_SourceData_AustralianStatesTerritories_Data(),Table_AustralianStates[[#Headers],[State/Territory]],0)</f>
        <v>South Australia</v>
      </c>
      <c r="E11" s="33" t="str" cm="1">
        <f t="array" ref="E11">Common_InputFunctions.Utility_DisplayArrayInTable(Common_SourceData.Common_SourceData_AustralianStatesTerritories_Data(),Table_AustralianStates[[#Headers],[State/Territory]],0)</f>
        <v>South Australia</v>
      </c>
      <c r="F11" s="33"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3" t="str" cm="1">
        <f t="array" ref="D12">Common_InputFunctions.Utility_DisplayArrayInTable(Common_SourceData.Common_SourceData_AustralianStatesTerritories_Data(),Table_AustralianStates[[#Headers],[State/Territory]],0)</f>
        <v>Western Australia</v>
      </c>
      <c r="E12" s="33" t="str" cm="1">
        <f t="array" ref="E12">Common_InputFunctions.Utility_DisplayArrayInTable(Common_SourceData.Common_SourceData_AustralianStatesTerritories_Data(),Table_AustralianStates[[#Headers],[State/Territory]],0)</f>
        <v>Western Australia</v>
      </c>
      <c r="F12" s="33"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3" t="str" cm="1">
        <f t="array" ref="D13">Common_InputFunctions.Utility_DisplayArrayInTable(Common_SourceData.Common_SourceData_AustralianStatesTerritories_Data(),Table_AustralianStates[[#Headers],[State/Territory]],0)</f>
        <v>Tasmania</v>
      </c>
      <c r="E13" s="33" t="str" cm="1">
        <f t="array" ref="E13">Common_InputFunctions.Utility_DisplayArrayInTable(Common_SourceData.Common_SourceData_AustralianStatesTerritories_Data(),Table_AustralianStates[[#Headers],[State/Territory]],0)</f>
        <v>Tasmania</v>
      </c>
      <c r="F13" s="33"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3" t="str" cm="1">
        <f t="array" ref="D14">Common_InputFunctions.Utility_DisplayArrayInTable(Common_SourceData.Common_SourceData_AustralianStatesTerritories_Data(),Table_AustralianStates[[#Headers],[State/Territory]],0)</f>
        <v>Northern Territory</v>
      </c>
      <c r="E14" s="33" t="str" cm="1">
        <f t="array" ref="E14">Common_InputFunctions.Utility_DisplayArrayInTable(Common_SourceData.Common_SourceData_AustralianStatesTerritories_Data(),Table_AustralianStates[[#Headers],[State/Territory]],0)</f>
        <v>Northern Territory</v>
      </c>
      <c r="F14" s="33"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3" t="s">
        <v>13</v>
      </c>
    </row>
    <row r="21" spans="1:4" ht="20.100000000000001" customHeight="1" x14ac:dyDescent="0.25">
      <c r="A21"/>
      <c r="D21" s="33" t="str" cm="1">
        <f t="array" ref="D21">Common_InputFunctions.Utility_DisplayArrayInTable(Common_SourceData.Common_SourceData_WASA4Areas_Data(), Table_WASA4Areas[[#Headers],[SA 4 Name]], 0)</f>
        <v>Bunbury</v>
      </c>
    </row>
    <row r="22" spans="1:4" ht="20.100000000000001" customHeight="1" x14ac:dyDescent="0.25">
      <c r="A22"/>
      <c r="D22" s="33" t="str" cm="1">
        <f t="array" ref="D22">Common_InputFunctions.Utility_DisplayArrayInTable(Common_SourceData.Common_SourceData_WASA4Areas_Data(), Table_WASA4Areas[[#Headers],[SA 4 Name]], 0)</f>
        <v>Mandurah</v>
      </c>
    </row>
    <row r="23" spans="1:4" ht="20.100000000000001" customHeight="1" x14ac:dyDescent="0.25">
      <c r="A23"/>
      <c r="D23" s="33" t="str" cm="1">
        <f t="array" ref="D23">Common_InputFunctions.Utility_DisplayArrayInTable(Common_SourceData.Common_SourceData_WASA4Areas_Data(), Table_WASA4Areas[[#Headers],[SA 4 Name]], 0)</f>
        <v>Perth - Inner</v>
      </c>
    </row>
    <row r="24" spans="1:4" ht="20.100000000000001" customHeight="1" x14ac:dyDescent="0.25">
      <c r="A24"/>
      <c r="D24" s="33" t="str" cm="1">
        <f t="array" ref="D24">Common_InputFunctions.Utility_DisplayArrayInTable(Common_SourceData.Common_SourceData_WASA4Areas_Data(), Table_WASA4Areas[[#Headers],[SA 4 Name]], 0)</f>
        <v>Perth - North East</v>
      </c>
    </row>
    <row r="25" spans="1:4" ht="20.100000000000001" customHeight="1" x14ac:dyDescent="0.25">
      <c r="A25"/>
      <c r="D25" s="33" t="str" cm="1">
        <f t="array" ref="D25">Common_InputFunctions.Utility_DisplayArrayInTable(Common_SourceData.Common_SourceData_WASA4Areas_Data(), Table_WASA4Areas[[#Headers],[SA 4 Name]], 0)</f>
        <v>Perth - North West</v>
      </c>
    </row>
    <row r="26" spans="1:4" ht="20.100000000000001" customHeight="1" x14ac:dyDescent="0.25">
      <c r="A26"/>
      <c r="D26" s="33" t="str" cm="1">
        <f t="array" ref="D26">Common_InputFunctions.Utility_DisplayArrayInTable(Common_SourceData.Common_SourceData_WASA4Areas_Data(), Table_WASA4Areas[[#Headers],[SA 4 Name]], 0)</f>
        <v>Perth - South East</v>
      </c>
    </row>
    <row r="27" spans="1:4" ht="20.100000000000001" customHeight="1" x14ac:dyDescent="0.25">
      <c r="A27"/>
      <c r="D27" s="33" t="str" cm="1">
        <f t="array" ref="D27">Common_InputFunctions.Utility_DisplayArrayInTable(Common_SourceData.Common_SourceData_WASA4Areas_Data(), Table_WASA4Areas[[#Headers],[SA 4 Name]], 0)</f>
        <v>Perth - South West</v>
      </c>
    </row>
    <row r="28" spans="1:4" ht="20.100000000000001" customHeight="1" x14ac:dyDescent="0.25">
      <c r="A28"/>
      <c r="D28" s="33"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3"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3"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3" t="s">
        <v>15</v>
      </c>
      <c r="E36" s="33" t="s">
        <v>16</v>
      </c>
    </row>
    <row r="37" spans="1:8" ht="20.100000000000001" customHeight="1" x14ac:dyDescent="0.25">
      <c r="A37"/>
      <c r="D37" s="33" t="str" cm="1">
        <f t="array" ref="D37">Common_InputFunctions.Utility_DisplayArrayInTable(Common_SourceData.Common_SourceData_GWP_Data(), Table_GWPData[[#Headers],[Gas]], 0)</f>
        <v>CO2</v>
      </c>
      <c r="E37" s="33" cm="1">
        <f t="array" ref="E37">Common_InputFunctions.Utility_DisplayArrayInTable(Common_SourceData.Common_SourceData_GWP_Data(), Table_GWPData[[#Headers],[Gas]], 0)</f>
        <v>1</v>
      </c>
    </row>
    <row r="38" spans="1:8" ht="20.100000000000001" customHeight="1" x14ac:dyDescent="0.25">
      <c r="A38"/>
      <c r="D38" s="33" t="str" cm="1">
        <f t="array" ref="D38">Common_InputFunctions.Utility_DisplayArrayInTable(Common_SourceData.Common_SourceData_GWP_Data(), Table_GWPData[[#Headers],[Gas]], 0)</f>
        <v>CH4</v>
      </c>
      <c r="E38" s="33" cm="1">
        <f t="array" ref="E38">Common_InputFunctions.Utility_DisplayArrayInTable(Common_SourceData.Common_SourceData_GWP_Data(), Table_GWPData[[#Headers],[Gas]], 0)</f>
        <v>28</v>
      </c>
    </row>
    <row r="39" spans="1:8" ht="20.100000000000001" customHeight="1" x14ac:dyDescent="0.25">
      <c r="A39"/>
      <c r="D39" s="33" t="str" cm="1">
        <f t="array" ref="D39">Common_InputFunctions.Utility_DisplayArrayInTable(Common_SourceData.Common_SourceData_GWP_Data(), Table_GWPData[[#Headers],[Gas]], 0)</f>
        <v>N2O</v>
      </c>
      <c r="E39" s="33" cm="1">
        <f t="array" ref="E39">Common_InputFunctions.Utility_DisplayArrayInTable(Common_SourceData.Common_SourceData_GWP_Data(), Table_GWPData[[#Headers],[Gas]], 0)</f>
        <v>265</v>
      </c>
    </row>
    <row r="40" spans="1:8" ht="20.100000000000001" customHeight="1" x14ac:dyDescent="0.25">
      <c r="A40"/>
      <c r="D40" s="33" t="str" cm="1">
        <f t="array" ref="D40">Common_InputFunctions.Utility_DisplayArrayInTable(Common_SourceData.Common_SourceData_GWP_Data(), Table_GWPData[[#Headers],[Gas]], 0)</f>
        <v>CF4</v>
      </c>
      <c r="E40" s="33" cm="1">
        <f t="array" ref="E40">Common_InputFunctions.Utility_DisplayArrayInTable(Common_SourceData.Common_SourceData_GWP_Data(), Table_GWPData[[#Headers],[Gas]], 0)</f>
        <v>6630</v>
      </c>
    </row>
    <row r="41" spans="1:8" ht="20.100000000000001" customHeight="1" x14ac:dyDescent="0.25">
      <c r="A41"/>
      <c r="D41" s="33" t="str" cm="1">
        <f t="array" ref="D41">Common_InputFunctions.Utility_DisplayArrayInTable(Common_SourceData.Common_SourceData_GWP_Data(), Table_GWPData[[#Headers],[Gas]], 0)</f>
        <v>C2F6</v>
      </c>
      <c r="E41" s="33" cm="1">
        <f t="array" ref="E41">Common_InputFunctions.Utility_DisplayArrayInTable(Common_SourceData.Common_SourceData_GWP_Data(), Table_GWPData[[#Headers],[Gas]], 0)</f>
        <v>12200</v>
      </c>
    </row>
    <row r="42" spans="1:8" ht="20.100000000000001" customHeight="1" x14ac:dyDescent="0.25">
      <c r="A42"/>
      <c r="D42" s="33" t="str" cm="1">
        <f t="array" ref="D42">Common_InputFunctions.Utility_DisplayArrayInTable(Common_SourceData.Common_SourceData_GWP_Data(), Table_GWPData[[#Headers],[Gas]], 0)</f>
        <v>SF6</v>
      </c>
      <c r="E42" s="33" cm="1">
        <f t="array" ref="E42">Common_InputFunctions.Utility_DisplayArrayInTable(Common_SourceData.Common_SourceData_GWP_Data(), Table_GWPData[[#Headers],[Gas]], 0)</f>
        <v>22800</v>
      </c>
    </row>
    <row r="43" spans="1:8" ht="20.100000000000001" customHeight="1" x14ac:dyDescent="0.25">
      <c r="A43"/>
      <c r="D43" s="33" t="str" cm="1">
        <f t="array" ref="D43">Common_InputFunctions.Utility_DisplayArrayInTable(Common_SourceData.Common_SourceData_GWP_Data(), Table_GWPData[[#Headers],[Gas]], 0)</f>
        <v>NF3</v>
      </c>
      <c r="E43" s="33"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3" t="s">
        <v>15</v>
      </c>
      <c r="E47" s="33" t="s">
        <v>18</v>
      </c>
      <c r="F47" s="33" t="s">
        <v>19</v>
      </c>
      <c r="G47" s="33" t="s">
        <v>20</v>
      </c>
      <c r="H47" s="33" t="s">
        <v>21</v>
      </c>
    </row>
    <row r="48" spans="1:8" ht="20.100000000000001" customHeight="1" x14ac:dyDescent="0.25">
      <c r="A48"/>
      <c r="D48" s="33" t="str" cm="1">
        <f t="array" ref="D48">Common_InputFunctions.Utility_DisplayArrayInTable(Common_SourceData.Common_SourceData_ConvertGasElementalToMolecular_Data(),Table_GasToMolecularConversionFactor[[#Headers],[Gas]], 0)</f>
        <v>CO2</v>
      </c>
      <c r="E48" s="33" t="str" cm="1">
        <f t="array" ref="E48">Common_InputFunctions.Utility_DisplayArrayInTable(Common_SourceData.Common_SourceData_ConvertGasElementalToMolecular_Data(),Table_GasToMolecularConversionFactor[[#Headers],[Gas]], 0)</f>
        <v>44/12</v>
      </c>
      <c r="F48" s="33" cm="1">
        <f t="array" ref="F48">Common_InputFunctions.Utility_DisplayArrayInTable(Common_SourceData.Common_SourceData_ConvertGasElementalToMolecular_Data(),Table_GasToMolecularConversionFactor[[#Headers],[Gas]], 0)</f>
        <v>44</v>
      </c>
      <c r="G48" s="33" cm="1">
        <f t="array" ref="G48">Common_InputFunctions.Utility_DisplayArrayInTable(Common_SourceData.Common_SourceData_ConvertGasElementalToMolecular_Data(),Table_GasToMolecularConversionFactor[[#Headers],[Gas]], 0)</f>
        <v>12</v>
      </c>
      <c r="H48" s="33">
        <f>Table_GasToMolecularConversionFactor[[#This Row],[Conversion factor 1]]/Table_GasToMolecularConversionFactor[[#This Row],[Conversion factor 2]]</f>
        <v>3.6666666666666665</v>
      </c>
    </row>
    <row r="49" spans="1:8" ht="20.100000000000001" customHeight="1" x14ac:dyDescent="0.25">
      <c r="A49"/>
      <c r="D49" s="33" t="str" cm="1">
        <f t="array" ref="D49">Common_InputFunctions.Utility_DisplayArrayInTable(Common_SourceData.Common_SourceData_ConvertGasElementalToMolecular_Data(),Table_GasToMolecularConversionFactor[[#Headers],[Gas]], 0)</f>
        <v>CH4</v>
      </c>
      <c r="E49" s="33" t="str" cm="1">
        <f t="array" ref="E49">Common_InputFunctions.Utility_DisplayArrayInTable(Common_SourceData.Common_SourceData_ConvertGasElementalToMolecular_Data(),Table_GasToMolecularConversionFactor[[#Headers],[Gas]], 0)</f>
        <v>16/12</v>
      </c>
      <c r="F49" s="33" cm="1">
        <f t="array" ref="F49">Common_InputFunctions.Utility_DisplayArrayInTable(Common_SourceData.Common_SourceData_ConvertGasElementalToMolecular_Data(),Table_GasToMolecularConversionFactor[[#Headers],[Gas]], 0)</f>
        <v>16</v>
      </c>
      <c r="G49" s="33" cm="1">
        <f t="array" ref="G49">Common_InputFunctions.Utility_DisplayArrayInTable(Common_SourceData.Common_SourceData_ConvertGasElementalToMolecular_Data(),Table_GasToMolecularConversionFactor[[#Headers],[Gas]], 0)</f>
        <v>12</v>
      </c>
      <c r="H49" s="33">
        <f>Table_GasToMolecularConversionFactor[[#This Row],[Conversion factor 1]]/Table_GasToMolecularConversionFactor[[#This Row],[Conversion factor 2]]</f>
        <v>1.3333333333333333</v>
      </c>
    </row>
    <row r="50" spans="1:8" ht="20.100000000000001" customHeight="1" x14ac:dyDescent="0.25">
      <c r="A50"/>
      <c r="D50" s="33" t="str" cm="1">
        <f t="array" ref="D50">Common_InputFunctions.Utility_DisplayArrayInTable(Common_SourceData.Common_SourceData_ConvertGasElementalToMolecular_Data(),Table_GasToMolecularConversionFactor[[#Headers],[Gas]], 0)</f>
        <v>N2O</v>
      </c>
      <c r="E50" s="33" t="str" cm="1">
        <f t="array" ref="E50">Common_InputFunctions.Utility_DisplayArrayInTable(Common_SourceData.Common_SourceData_ConvertGasElementalToMolecular_Data(),Table_GasToMolecularConversionFactor[[#Headers],[Gas]], 0)</f>
        <v>44/28</v>
      </c>
      <c r="F50" s="33" cm="1">
        <f t="array" ref="F50">Common_InputFunctions.Utility_DisplayArrayInTable(Common_SourceData.Common_SourceData_ConvertGasElementalToMolecular_Data(),Table_GasToMolecularConversionFactor[[#Headers],[Gas]], 0)</f>
        <v>44</v>
      </c>
      <c r="G50" s="33" cm="1">
        <f t="array" ref="G50">Common_InputFunctions.Utility_DisplayArrayInTable(Common_SourceData.Common_SourceData_ConvertGasElementalToMolecular_Data(),Table_GasToMolecularConversionFactor[[#Headers],[Gas]], 0)</f>
        <v>28</v>
      </c>
      <c r="H50" s="33">
        <f>Table_GasToMolecularConversionFactor[[#This Row],[Conversion factor 1]]/Table_GasToMolecularConversionFactor[[#This Row],[Conversion factor 2]]</f>
        <v>1.5714285714285714</v>
      </c>
    </row>
    <row r="51" spans="1:8" ht="20.100000000000001" customHeight="1" x14ac:dyDescent="0.25">
      <c r="A51"/>
      <c r="D51" s="33" t="str" cm="1">
        <f t="array" ref="D51">Common_InputFunctions.Utility_DisplayArrayInTable(Common_SourceData.Common_SourceData_ConvertGasElementalToMolecular_Data(),Table_GasToMolecularConversionFactor[[#Headers],[Gas]], 0)</f>
        <v>Nox</v>
      </c>
      <c r="E51" s="33" t="str" cm="1">
        <f t="array" ref="E51">Common_InputFunctions.Utility_DisplayArrayInTable(Common_SourceData.Common_SourceData_ConvertGasElementalToMolecular_Data(),Table_GasToMolecularConversionFactor[[#Headers],[Gas]], 0)</f>
        <v>46/14</v>
      </c>
      <c r="F51" s="33" cm="1">
        <f t="array" ref="F51">Common_InputFunctions.Utility_DisplayArrayInTable(Common_SourceData.Common_SourceData_ConvertGasElementalToMolecular_Data(),Table_GasToMolecularConversionFactor[[#Headers],[Gas]], 0)</f>
        <v>46</v>
      </c>
      <c r="G51" s="33" cm="1">
        <f t="array" ref="G51">Common_InputFunctions.Utility_DisplayArrayInTable(Common_SourceData.Common_SourceData_ConvertGasElementalToMolecular_Data(),Table_GasToMolecularConversionFactor[[#Headers],[Gas]], 0)</f>
        <v>14</v>
      </c>
      <c r="H51" s="33">
        <f>Table_GasToMolecularConversionFactor[[#This Row],[Conversion factor 1]]/Table_GasToMolecularConversionFactor[[#This Row],[Conversion factor 2]]</f>
        <v>3.2857142857142856</v>
      </c>
    </row>
    <row r="52" spans="1:8" ht="20.100000000000001" customHeight="1" x14ac:dyDescent="0.25">
      <c r="A52"/>
      <c r="D52" s="33" t="str" cm="1">
        <f t="array" ref="D52">Common_InputFunctions.Utility_DisplayArrayInTable(Common_SourceData.Common_SourceData_ConvertGasElementalToMolecular_Data(),Table_GasToMolecularConversionFactor[[#Headers],[Gas]], 0)</f>
        <v>CO</v>
      </c>
      <c r="E52" s="33" t="str" cm="1">
        <f t="array" ref="E52">Common_InputFunctions.Utility_DisplayArrayInTable(Common_SourceData.Common_SourceData_ConvertGasElementalToMolecular_Data(),Table_GasToMolecularConversionFactor[[#Headers],[Gas]], 0)</f>
        <v>28/12</v>
      </c>
      <c r="F52" s="33" cm="1">
        <f t="array" ref="F52">Common_InputFunctions.Utility_DisplayArrayInTable(Common_SourceData.Common_SourceData_ConvertGasElementalToMolecular_Data(),Table_GasToMolecularConversionFactor[[#Headers],[Gas]], 0)</f>
        <v>28</v>
      </c>
      <c r="G52" s="33" cm="1">
        <f t="array" ref="G52">Common_InputFunctions.Utility_DisplayArrayInTable(Common_SourceData.Common_SourceData_ConvertGasElementalToMolecular_Data(),Table_GasToMolecularConversionFactor[[#Headers],[Gas]], 0)</f>
        <v>12</v>
      </c>
      <c r="H52" s="33">
        <f>Table_GasToMolecularConversionFactor[[#This Row],[Conversion factor 1]]/Table_GasToMolecularConversionFactor[[#This Row],[Conversion factor 2]]</f>
        <v>2.3333333333333335</v>
      </c>
    </row>
    <row r="53" spans="1:8" ht="20.100000000000001" customHeight="1" x14ac:dyDescent="0.25">
      <c r="A53"/>
      <c r="D53" s="33" t="str" cm="1">
        <f t="array" ref="D53">Common_InputFunctions.Utility_DisplayArrayInTable(Common_SourceData.Common_SourceData_ConvertGasElementalToMolecular_Data(),Table_GasToMolecularConversionFactor[[#Headers],[Gas]], 0)</f>
        <v>CO2 Lime</v>
      </c>
      <c r="E53" s="33" t="str" cm="1">
        <f t="array" ref="E53">Common_InputFunctions.Utility_DisplayArrayInTable(Common_SourceData.Common_SourceData_ConvertGasElementalToMolecular_Data(),Table_GasToMolecularConversionFactor[[#Headers],[Gas]], 0)</f>
        <v>44/12</v>
      </c>
      <c r="F53" s="33" cm="1">
        <f t="array" ref="F53">Common_InputFunctions.Utility_DisplayArrayInTable(Common_SourceData.Common_SourceData_ConvertGasElementalToMolecular_Data(),Table_GasToMolecularConversionFactor[[#Headers],[Gas]], 0)</f>
        <v>44</v>
      </c>
      <c r="G53" s="33" cm="1">
        <f t="array" ref="G53">Common_InputFunctions.Utility_DisplayArrayInTable(Common_SourceData.Common_SourceData_ConvertGasElementalToMolecular_Data(),Table_GasToMolecularConversionFactor[[#Headers],[Gas]], 0)</f>
        <v>12</v>
      </c>
      <c r="H53" s="33">
        <f>Table_GasToMolecularConversionFactor[[#This Row],[Conversion factor 1]]/Table_GasToMolecularConversionFactor[[#This Row],[Conversion factor 2]]</f>
        <v>3.6666666666666665</v>
      </c>
    </row>
    <row r="54" spans="1:8" ht="20.100000000000001" customHeight="1" x14ac:dyDescent="0.25">
      <c r="A54"/>
      <c r="D54" s="33" t="str" cm="1">
        <f t="array" ref="D54">Common_InputFunctions.Utility_DisplayArrayInTable(Common_SourceData.Common_SourceData_ConvertGasElementalToMolecular_Data(),Table_GasToMolecularConversionFactor[[#Headers],[Gas]], 0)</f>
        <v>NMVOC</v>
      </c>
      <c r="E54" s="33" t="str" cm="1">
        <f t="array" ref="E54">Common_InputFunctions.Utility_DisplayArrayInTable(Common_SourceData.Common_SourceData_ConvertGasElementalToMolecular_Data(),Table_GasToMolecularConversionFactor[[#Headers],[Gas]], 0)</f>
        <v>14/12</v>
      </c>
      <c r="F54" s="33" cm="1">
        <f t="array" ref="F54">Common_InputFunctions.Utility_DisplayArrayInTable(Common_SourceData.Common_SourceData_ConvertGasElementalToMolecular_Data(),Table_GasToMolecularConversionFactor[[#Headers],[Gas]], 0)</f>
        <v>14</v>
      </c>
      <c r="G54" s="33" cm="1">
        <f t="array" ref="G54">Common_InputFunctions.Utility_DisplayArrayInTable(Common_SourceData.Common_SourceData_ConvertGasElementalToMolecular_Data(),Table_GasToMolecularConversionFactor[[#Headers],[Gas]], 0)</f>
        <v>12</v>
      </c>
      <c r="H54" s="33">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8" t="str" cm="1">
        <f t="array" ref="D59:D61">"⚠️" &amp; Common_SourceData.Common_SourceData_WetAndDryZones_Variation()</f>
        <v>⚠️VARIATION OF SOURCE DATA:</v>
      </c>
    </row>
    <row r="60" spans="1:8" ht="20.100000000000001" customHeight="1" x14ac:dyDescent="0.25">
      <c r="A60"/>
      <c r="D60" s="48" t="str">
        <v>⚠️Added warm / cool temperate moist / dry - low frost and high temp classes to accommodate climate scenarios excluded by VEERG criteria.</v>
      </c>
    </row>
    <row r="61" spans="1:8" ht="20.100000000000001" customHeight="1" x14ac:dyDescent="0.25">
      <c r="A61"/>
      <c r="D61" s="48" t="str">
        <v>⚠️Fixed typo - Changed 'Fry' to 'Dry'.</v>
      </c>
    </row>
    <row r="62" spans="1:8" ht="20.100000000000001" customHeight="1" x14ac:dyDescent="0.25">
      <c r="A62"/>
    </row>
    <row r="63" spans="1:8" ht="20.100000000000001" customHeight="1" x14ac:dyDescent="0.25">
      <c r="A63"/>
      <c r="D63" s="33" t="s">
        <v>5</v>
      </c>
      <c r="E63" s="33" t="s">
        <v>35</v>
      </c>
    </row>
    <row r="64" spans="1:8" ht="20.100000000000001" customHeight="1" x14ac:dyDescent="0.25">
      <c r="A64"/>
      <c r="D64" s="33" t="str" cm="1">
        <f t="array" ref="D64">Common_InputFunctions.Utility_DisplayArrayInTable(Common_SourceData.Common_SourceData_WetAndDryZones_Data(), Table_SourceData_WetDryZones[[#Headers],[Climate zone]], 0)</f>
        <v>Tropical montane</v>
      </c>
      <c r="E64" s="33"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3" t="str" cm="1">
        <f t="array" ref="D65">Common_InputFunctions.Utility_DisplayArrayInTable(Common_SourceData.Common_SourceData_WetAndDryZones_Data(), Table_SourceData_WetDryZones[[#Headers],[Climate zone]], 0)</f>
        <v>Tropical wet</v>
      </c>
      <c r="E65" s="33"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3" t="str" cm="1">
        <f t="array" ref="D66">Common_InputFunctions.Utility_DisplayArrayInTable(Common_SourceData.Common_SourceData_WetAndDryZones_Data(), Table_SourceData_WetDryZones[[#Headers],[Climate zone]], 0)</f>
        <v>Tropical moist</v>
      </c>
      <c r="E66" s="33"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3" t="str" cm="1">
        <f t="array" ref="D67">Common_InputFunctions.Utility_DisplayArrayInTable(Common_SourceData.Common_SourceData_WetAndDryZones_Data(), Table_SourceData_WetDryZones[[#Headers],[Climate zone]], 0)</f>
        <v>Tropical dry</v>
      </c>
      <c r="E67" s="33"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3" t="str" cm="1">
        <f t="array" ref="D68">Common_InputFunctions.Utility_DisplayArrayInTable(Common_SourceData.Common_SourceData_WetAndDryZones_Data(), Table_SourceData_WetDryZones[[#Headers],[Climate zone]], 0)</f>
        <v>Warm temperate moist</v>
      </c>
      <c r="E68" s="33"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3" t="str" cm="1">
        <f t="array" ref="D69">Common_InputFunctions.Utility_DisplayArrayInTable(Common_SourceData.Common_SourceData_WetAndDryZones_Data(), Table_SourceData_WetDryZones[[#Headers],[Climate zone]], 0)</f>
        <v>Warm temperate dry</v>
      </c>
      <c r="E69" s="33"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3" t="str" cm="1">
        <f t="array" ref="D70">Common_InputFunctions.Utility_DisplayArrayInTable(Common_SourceData.Common_SourceData_WetAndDryZones_Data(), Table_SourceData_WetDryZones[[#Headers],[Climate zone]], 0)</f>
        <v>Cool temperate moist</v>
      </c>
      <c r="E70" s="33"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3" t="str" cm="1">
        <f t="array" ref="D71">Common_InputFunctions.Utility_DisplayArrayInTable(Common_SourceData.Common_SourceData_WetAndDryZones_Data(), Table_SourceData_WetDryZones[[#Headers],[Climate zone]], 0)</f>
        <v>Cool temperate dry</v>
      </c>
      <c r="E71" s="33"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3" t="str" cm="1">
        <f t="array" ref="D72">Common_InputFunctions.Utility_DisplayArrayInTable(Common_SourceData.Common_SourceData_WetAndDryZones_Data(), Table_SourceData_WetDryZones[[#Headers],[Climate zone]], 0)</f>
        <v>Warm temperate moist - low frost</v>
      </c>
      <c r="E72" s="33"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3" t="str" cm="1">
        <f t="array" ref="D73">Common_InputFunctions.Utility_DisplayArrayInTable(Common_SourceData.Common_SourceData_WetAndDryZones_Data(), Table_SourceData_WetDryZones[[#Headers],[Climate zone]], 0)</f>
        <v>Warm temperate dry - low frost</v>
      </c>
      <c r="E73" s="33"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3" t="str" cm="1">
        <f t="array" ref="D74">Common_InputFunctions.Utility_DisplayArrayInTable(Common_SourceData.Common_SourceData_WetAndDryZones_Data(), Table_SourceData_WetDryZones[[#Headers],[Climate zone]], 0)</f>
        <v>Warm temperate moist - high temp</v>
      </c>
      <c r="E74" s="33"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3" t="str" cm="1">
        <f t="array" ref="D75">Common_InputFunctions.Utility_DisplayArrayInTable(Common_SourceData.Common_SourceData_WetAndDryZones_Data(), Table_SourceData_WetDryZones[[#Headers],[Climate zone]], 0)</f>
        <v>Warm temperate dry - high temp</v>
      </c>
      <c r="E75" s="33"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3" t="str" cm="1">
        <f t="array" ref="D76">Common_InputFunctions.Utility_DisplayArrayInTable(Common_SourceData.Common_SourceData_WetAndDryZones_Data(), Table_SourceData_WetDryZones[[#Headers],[Climate zone]], 0)</f>
        <v>Cool temperate moist - low frost</v>
      </c>
      <c r="E76" s="33"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3" t="str" cm="1">
        <f t="array" ref="D77">Common_InputFunctions.Utility_DisplayArrayInTable(Common_SourceData.Common_SourceData_WetAndDryZones_Data(), Table_SourceData_WetDryZones[[#Headers],[Climate zone]], 0)</f>
        <v>Cool temperate dry - low frost</v>
      </c>
      <c r="E77" s="33"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8" t="str" cm="1">
        <f t="array" ref="D83:D87">"⚠️" &amp; Common_SourceData.Common_SourceData_ClimateZones_Variation()</f>
        <v>⚠️VARIATION OF SOURCE DATA:</v>
      </c>
    </row>
    <row r="84" spans="1:20" ht="20.100000000000001" customHeight="1" x14ac:dyDescent="0.25">
      <c r="A84"/>
      <c r="D84" s="48" t="str">
        <v>⚠️Added warm / cool temperate moist / dry - low frost and high temp classes to accommodate climate scenarios excluded by VEERG criteria.</v>
      </c>
    </row>
    <row r="85" spans="1:20" ht="20.100000000000001" customHeight="1" x14ac:dyDescent="0.25">
      <c r="A85"/>
      <c r="D85" s="48" t="str">
        <v>⚠️Fixed typo in MAT value for warm temperate dry - changed 10 to 11.</v>
      </c>
    </row>
    <row r="86" spans="1:20" ht="20.100000000000001" customHeight="1" x14ac:dyDescent="0.25">
      <c r="A86"/>
      <c r="D86" s="48" t="str">
        <v>⚠️Added min and max columns for MAT, MAP, frost days per year, elevation, MAP:PET to calculate zones from real climate data.</v>
      </c>
    </row>
    <row r="87" spans="1:20" ht="20.100000000000001" customHeight="1" x14ac:dyDescent="0.25">
      <c r="A87"/>
      <c r="D87" s="48" t="str">
        <v>⚠️GAF accepts rainfall as a proxy for precipitation.</v>
      </c>
    </row>
    <row r="88" spans="1:20" ht="20.100000000000001" customHeight="1" x14ac:dyDescent="0.25">
      <c r="A88"/>
    </row>
    <row r="89" spans="1:20" ht="20.100000000000001" customHeight="1" x14ac:dyDescent="0.25">
      <c r="A89"/>
      <c r="D89" s="33" t="s">
        <v>5</v>
      </c>
      <c r="E89" s="33" t="s">
        <v>23</v>
      </c>
      <c r="F89" s="33" t="s">
        <v>24</v>
      </c>
      <c r="G89" s="33" t="s">
        <v>25</v>
      </c>
      <c r="H89" s="33" t="s">
        <v>26</v>
      </c>
      <c r="I89" s="33" t="s">
        <v>27</v>
      </c>
      <c r="J89" s="33" t="s">
        <v>28</v>
      </c>
      <c r="K89" s="33" t="s">
        <v>29</v>
      </c>
      <c r="L89" s="33" t="s">
        <v>30</v>
      </c>
      <c r="M89" s="33" t="s">
        <v>31</v>
      </c>
      <c r="N89" s="33" t="s">
        <v>32</v>
      </c>
      <c r="O89" s="33" t="s">
        <v>36</v>
      </c>
      <c r="P89" s="33" t="s">
        <v>33</v>
      </c>
      <c r="Q89" s="33" t="s">
        <v>37</v>
      </c>
      <c r="R89" s="33" t="s">
        <v>34</v>
      </c>
      <c r="S89" s="33" t="s">
        <v>38</v>
      </c>
      <c r="T89" s="33"/>
    </row>
    <row r="90" spans="1:20" ht="20.100000000000001" customHeight="1" x14ac:dyDescent="0.25">
      <c r="A90"/>
      <c r="D90" s="33" t="str" cm="1">
        <f t="array" ref="D90">Common_InputFunctions.Utility_DisplayArrayInTable(Common_SourceData.Common_SourceData_ClimateZones_Data(), Table_SourceData_ClimateZones[[#Headers],[Climate zone]], 0)</f>
        <v>Tropical montane</v>
      </c>
      <c r="E90" s="33" t="str" cm="1">
        <f t="array" ref="E90">Common_InputFunctions.Utility_DisplayArrayInTable(Common_SourceData.Common_SourceData_ClimateZones_Data(), Table_SourceData_ClimateZones[[#Headers],[Climate zone]], 0)</f>
        <v>&gt; 18 C</v>
      </c>
      <c r="F90" s="33" t="str" cm="1">
        <f t="array" ref="F90">Common_InputFunctions.Utility_DisplayArrayInTable(Common_SourceData.Common_SourceData_ClimateZones_Data(), Table_SourceData_ClimateZones[[#Headers],[Climate zone]], 0)</f>
        <v>Any</v>
      </c>
      <c r="G90" s="33" t="str" cm="1">
        <f t="array" ref="G90">Common_InputFunctions.Utility_DisplayArrayInTable(Common_SourceData.Common_SourceData_ClimateZones_Data(), Table_SourceData_ClimateZones[[#Headers],[Climate zone]], 0)</f>
        <v>≤ 7</v>
      </c>
      <c r="H90" s="33" t="str" cm="1">
        <f t="array" ref="H90">Common_InputFunctions.Utility_DisplayArrayInTable(Common_SourceData.Common_SourceData_ClimateZones_Data(), Table_SourceData_ClimateZones[[#Headers],[Climate zone]], 0)</f>
        <v>&gt; 1000 m</v>
      </c>
      <c r="I90" s="33" t="str" cm="1">
        <f t="array" ref="I90">Common_InputFunctions.Utility_DisplayArrayInTable(Common_SourceData.Common_SourceData_ClimateZones_Data(), Table_SourceData_ClimateZones[[#Headers],[Climate zone]], 0)</f>
        <v>Any</v>
      </c>
      <c r="J90" s="33" cm="1">
        <f t="array" ref="J90">Common_InputFunctions.Utility_DisplayArrayInTable(Common_SourceData.Common_SourceData_ClimateZones_Data(), Table_SourceData_ClimateZones[[#Headers],[Climate zone]], 0)</f>
        <v>18.001000000000001</v>
      </c>
      <c r="K90" s="33" cm="1">
        <f t="array" ref="K90">Common_InputFunctions.Utility_DisplayArrayInTable(Common_SourceData.Common_SourceData_ClimateZones_Data(), Table_SourceData_ClimateZones[[#Headers],[Climate zone]], 0)</f>
        <v>999999</v>
      </c>
      <c r="L90" s="33" cm="1">
        <f t="array" ref="L90">Common_InputFunctions.Utility_DisplayArrayInTable(Common_SourceData.Common_SourceData_ClimateZones_Data(), Table_SourceData_ClimateZones[[#Headers],[Climate zone]], 0)</f>
        <v>-999999</v>
      </c>
      <c r="M90" s="33" cm="1">
        <f t="array" ref="M90">Common_InputFunctions.Utility_DisplayArrayInTable(Common_SourceData.Common_SourceData_ClimateZones_Data(), Table_SourceData_ClimateZones[[#Headers],[Climate zone]], 0)</f>
        <v>999999</v>
      </c>
      <c r="N90" s="33" cm="1">
        <f t="array" ref="N90">Common_InputFunctions.Utility_DisplayArrayInTable(Common_SourceData.Common_SourceData_ClimateZones_Data(), Table_SourceData_ClimateZones[[#Headers],[Climate zone]], 0)</f>
        <v>-999999</v>
      </c>
      <c r="O90" s="33" cm="1">
        <f t="array" ref="O90">Common_InputFunctions.Utility_DisplayArrayInTable(Common_SourceData.Common_SourceData_ClimateZones_Data(), Table_SourceData_ClimateZones[[#Headers],[Climate zone]], 0)</f>
        <v>7</v>
      </c>
      <c r="P90" s="33" cm="1">
        <f t="array" ref="P90">Common_InputFunctions.Utility_DisplayArrayInTable(Common_SourceData.Common_SourceData_ClimateZones_Data(), Table_SourceData_ClimateZones[[#Headers],[Climate zone]], 0)</f>
        <v>1000</v>
      </c>
      <c r="Q90" s="33" cm="1">
        <f t="array" ref="Q90">Common_InputFunctions.Utility_DisplayArrayInTable(Common_SourceData.Common_SourceData_ClimateZones_Data(), Table_SourceData_ClimateZones[[#Headers],[Climate zone]], 0)</f>
        <v>999999</v>
      </c>
      <c r="R90" s="33" cm="1">
        <f t="array" ref="R90">Common_InputFunctions.Utility_DisplayArrayInTable(Common_SourceData.Common_SourceData_ClimateZones_Data(), Table_SourceData_ClimateZones[[#Headers],[Climate zone]], 0)</f>
        <v>-999999</v>
      </c>
      <c r="S90" s="33" cm="1">
        <f t="array" ref="S90">Common_InputFunctions.Utility_DisplayArrayInTable(Common_SourceData.Common_SourceData_ClimateZones_Data(), Table_SourceData_ClimateZones[[#Headers],[Climate zone]], 0)</f>
        <v>999999</v>
      </c>
      <c r="T90" s="33"/>
    </row>
    <row r="91" spans="1:20" ht="20.100000000000001" customHeight="1" x14ac:dyDescent="0.25">
      <c r="A91"/>
      <c r="D91" s="33" t="str" cm="1">
        <f t="array" ref="D91">Common_InputFunctions.Utility_DisplayArrayInTable(Common_SourceData.Common_SourceData_ClimateZones_Data(), Table_SourceData_ClimateZones[[#Headers],[Climate zone]], 0)</f>
        <v>Tropical wet</v>
      </c>
      <c r="E91" s="33" t="str" cm="1">
        <f t="array" ref="E91">Common_InputFunctions.Utility_DisplayArrayInTable(Common_SourceData.Common_SourceData_ClimateZones_Data(), Table_SourceData_ClimateZones[[#Headers],[Climate zone]], 0)</f>
        <v>&gt; 18 C</v>
      </c>
      <c r="F91" s="33" t="str" cm="1">
        <f t="array" ref="F91">Common_InputFunctions.Utility_DisplayArrayInTable(Common_SourceData.Common_SourceData_ClimateZones_Data(), Table_SourceData_ClimateZones[[#Headers],[Climate zone]], 0)</f>
        <v>&gt; 2000 mm</v>
      </c>
      <c r="G91" s="33" t="str" cm="1">
        <f t="array" ref="G91">Common_InputFunctions.Utility_DisplayArrayInTable(Common_SourceData.Common_SourceData_ClimateZones_Data(), Table_SourceData_ClimateZones[[#Headers],[Climate zone]], 0)</f>
        <v>≤ 7</v>
      </c>
      <c r="H91" s="33" t="str" cm="1">
        <f t="array" ref="H91">Common_InputFunctions.Utility_DisplayArrayInTable(Common_SourceData.Common_SourceData_ClimateZones_Data(), Table_SourceData_ClimateZones[[#Headers],[Climate zone]], 0)</f>
        <v>≤ 1000 m</v>
      </c>
      <c r="I91" s="33" t="str" cm="1">
        <f t="array" ref="I91">Common_InputFunctions.Utility_DisplayArrayInTable(Common_SourceData.Common_SourceData_ClimateZones_Data(), Table_SourceData_ClimateZones[[#Headers],[Climate zone]], 0)</f>
        <v>Any</v>
      </c>
      <c r="J91" s="33" cm="1">
        <f t="array" ref="J91">Common_InputFunctions.Utility_DisplayArrayInTable(Common_SourceData.Common_SourceData_ClimateZones_Data(), Table_SourceData_ClimateZones[[#Headers],[Climate zone]], 0)</f>
        <v>18.001000000000001</v>
      </c>
      <c r="K91" s="33" cm="1">
        <f t="array" ref="K91">Common_InputFunctions.Utility_DisplayArrayInTable(Common_SourceData.Common_SourceData_ClimateZones_Data(), Table_SourceData_ClimateZones[[#Headers],[Climate zone]], 0)</f>
        <v>999999</v>
      </c>
      <c r="L91" s="33" cm="1">
        <f t="array" ref="L91">Common_InputFunctions.Utility_DisplayArrayInTable(Common_SourceData.Common_SourceData_ClimateZones_Data(), Table_SourceData_ClimateZones[[#Headers],[Climate zone]], 0)</f>
        <v>2000.001</v>
      </c>
      <c r="M91" s="33" cm="1">
        <f t="array" ref="M91">Common_InputFunctions.Utility_DisplayArrayInTable(Common_SourceData.Common_SourceData_ClimateZones_Data(), Table_SourceData_ClimateZones[[#Headers],[Climate zone]], 0)</f>
        <v>999999</v>
      </c>
      <c r="N91" s="33" cm="1">
        <f t="array" ref="N91">Common_InputFunctions.Utility_DisplayArrayInTable(Common_SourceData.Common_SourceData_ClimateZones_Data(), Table_SourceData_ClimateZones[[#Headers],[Climate zone]], 0)</f>
        <v>-999999</v>
      </c>
      <c r="O91" s="33" cm="1">
        <f t="array" ref="O91">Common_InputFunctions.Utility_DisplayArrayInTable(Common_SourceData.Common_SourceData_ClimateZones_Data(), Table_SourceData_ClimateZones[[#Headers],[Climate zone]], 0)</f>
        <v>7</v>
      </c>
      <c r="P91" s="33" cm="1">
        <f t="array" ref="P91">Common_InputFunctions.Utility_DisplayArrayInTable(Common_SourceData.Common_SourceData_ClimateZones_Data(), Table_SourceData_ClimateZones[[#Headers],[Climate zone]], 0)</f>
        <v>-999999</v>
      </c>
      <c r="Q91" s="33" cm="1">
        <f t="array" ref="Q91">Common_InputFunctions.Utility_DisplayArrayInTable(Common_SourceData.Common_SourceData_ClimateZones_Data(), Table_SourceData_ClimateZones[[#Headers],[Climate zone]], 0)</f>
        <v>999.99900000000002</v>
      </c>
      <c r="R91" s="33" cm="1">
        <f t="array" ref="R91">Common_InputFunctions.Utility_DisplayArrayInTable(Common_SourceData.Common_SourceData_ClimateZones_Data(), Table_SourceData_ClimateZones[[#Headers],[Climate zone]], 0)</f>
        <v>-999999</v>
      </c>
      <c r="S91" s="33" cm="1">
        <f t="array" ref="S91">Common_InputFunctions.Utility_DisplayArrayInTable(Common_SourceData.Common_SourceData_ClimateZones_Data(), Table_SourceData_ClimateZones[[#Headers],[Climate zone]], 0)</f>
        <v>999999</v>
      </c>
      <c r="T91" s="33"/>
    </row>
    <row r="92" spans="1:20" ht="20.100000000000001" customHeight="1" x14ac:dyDescent="0.25">
      <c r="A92"/>
      <c r="D92" s="33" t="str" cm="1">
        <f t="array" ref="D92">Common_InputFunctions.Utility_DisplayArrayInTable(Common_SourceData.Common_SourceData_ClimateZones_Data(), Table_SourceData_ClimateZones[[#Headers],[Climate zone]], 0)</f>
        <v>Tropical moist</v>
      </c>
      <c r="E92" s="33" t="str" cm="1">
        <f t="array" ref="E92">Common_InputFunctions.Utility_DisplayArrayInTable(Common_SourceData.Common_SourceData_ClimateZones_Data(), Table_SourceData_ClimateZones[[#Headers],[Climate zone]], 0)</f>
        <v>&gt; 18 C</v>
      </c>
      <c r="F92" s="33" t="str" cm="1">
        <f t="array" ref="F92">Common_InputFunctions.Utility_DisplayArrayInTable(Common_SourceData.Common_SourceData_ClimateZones_Data(), Table_SourceData_ClimateZones[[#Headers],[Climate zone]], 0)</f>
        <v>&gt; 1000 mm - ≤ 2000 mm</v>
      </c>
      <c r="G92" s="33" t="str" cm="1">
        <f t="array" ref="G92">Common_InputFunctions.Utility_DisplayArrayInTable(Common_SourceData.Common_SourceData_ClimateZones_Data(), Table_SourceData_ClimateZones[[#Headers],[Climate zone]], 0)</f>
        <v>≤ 7</v>
      </c>
      <c r="H92" s="33" t="str" cm="1">
        <f t="array" ref="H92">Common_InputFunctions.Utility_DisplayArrayInTable(Common_SourceData.Common_SourceData_ClimateZones_Data(), Table_SourceData_ClimateZones[[#Headers],[Climate zone]], 0)</f>
        <v>≤ 1000 m</v>
      </c>
      <c r="I92" s="33" t="str" cm="1">
        <f t="array" ref="I92">Common_InputFunctions.Utility_DisplayArrayInTable(Common_SourceData.Common_SourceData_ClimateZones_Data(), Table_SourceData_ClimateZones[[#Headers],[Climate zone]], 0)</f>
        <v>Any</v>
      </c>
      <c r="J92" s="33" cm="1">
        <f t="array" ref="J92">Common_InputFunctions.Utility_DisplayArrayInTable(Common_SourceData.Common_SourceData_ClimateZones_Data(), Table_SourceData_ClimateZones[[#Headers],[Climate zone]], 0)</f>
        <v>18.001000000000001</v>
      </c>
      <c r="K92" s="33" cm="1">
        <f t="array" ref="K92">Common_InputFunctions.Utility_DisplayArrayInTable(Common_SourceData.Common_SourceData_ClimateZones_Data(), Table_SourceData_ClimateZones[[#Headers],[Climate zone]], 0)</f>
        <v>999999</v>
      </c>
      <c r="L92" s="33" cm="1">
        <f t="array" ref="L92">Common_InputFunctions.Utility_DisplayArrayInTable(Common_SourceData.Common_SourceData_ClimateZones_Data(), Table_SourceData_ClimateZones[[#Headers],[Climate zone]], 0)</f>
        <v>1000.001</v>
      </c>
      <c r="M92" s="33" cm="1">
        <f t="array" ref="M92">Common_InputFunctions.Utility_DisplayArrayInTable(Common_SourceData.Common_SourceData_ClimateZones_Data(), Table_SourceData_ClimateZones[[#Headers],[Climate zone]], 0)</f>
        <v>2000</v>
      </c>
      <c r="N92" s="33" cm="1">
        <f t="array" ref="N92">Common_InputFunctions.Utility_DisplayArrayInTable(Common_SourceData.Common_SourceData_ClimateZones_Data(), Table_SourceData_ClimateZones[[#Headers],[Climate zone]], 0)</f>
        <v>-999999</v>
      </c>
      <c r="O92" s="33" cm="1">
        <f t="array" ref="O92">Common_InputFunctions.Utility_DisplayArrayInTable(Common_SourceData.Common_SourceData_ClimateZones_Data(), Table_SourceData_ClimateZones[[#Headers],[Climate zone]], 0)</f>
        <v>7</v>
      </c>
      <c r="P92" s="33" cm="1">
        <f t="array" ref="P92">Common_InputFunctions.Utility_DisplayArrayInTable(Common_SourceData.Common_SourceData_ClimateZones_Data(), Table_SourceData_ClimateZones[[#Headers],[Climate zone]], 0)</f>
        <v>-999999</v>
      </c>
      <c r="Q92" s="33" cm="1">
        <f t="array" ref="Q92">Common_InputFunctions.Utility_DisplayArrayInTable(Common_SourceData.Common_SourceData_ClimateZones_Data(), Table_SourceData_ClimateZones[[#Headers],[Climate zone]], 0)</f>
        <v>999.99900000000002</v>
      </c>
      <c r="R92" s="33" cm="1">
        <f t="array" ref="R92">Common_InputFunctions.Utility_DisplayArrayInTable(Common_SourceData.Common_SourceData_ClimateZones_Data(), Table_SourceData_ClimateZones[[#Headers],[Climate zone]], 0)</f>
        <v>-999999</v>
      </c>
      <c r="S92" s="33" cm="1">
        <f t="array" ref="S92">Common_InputFunctions.Utility_DisplayArrayInTable(Common_SourceData.Common_SourceData_ClimateZones_Data(), Table_SourceData_ClimateZones[[#Headers],[Climate zone]], 0)</f>
        <v>999999</v>
      </c>
      <c r="T92" s="33"/>
    </row>
    <row r="93" spans="1:20" ht="20.100000000000001" customHeight="1" x14ac:dyDescent="0.25">
      <c r="A93"/>
      <c r="D93" s="33" t="str" cm="1">
        <f t="array" ref="D93">Common_InputFunctions.Utility_DisplayArrayInTable(Common_SourceData.Common_SourceData_ClimateZones_Data(), Table_SourceData_ClimateZones[[#Headers],[Climate zone]], 0)</f>
        <v>Tropical dry</v>
      </c>
      <c r="E93" s="33" t="str" cm="1">
        <f t="array" ref="E93">Common_InputFunctions.Utility_DisplayArrayInTable(Common_SourceData.Common_SourceData_ClimateZones_Data(), Table_SourceData_ClimateZones[[#Headers],[Climate zone]], 0)</f>
        <v>&gt; 18 C</v>
      </c>
      <c r="F93" s="33" t="str" cm="1">
        <f t="array" ref="F93">Common_InputFunctions.Utility_DisplayArrayInTable(Common_SourceData.Common_SourceData_ClimateZones_Data(), Table_SourceData_ClimateZones[[#Headers],[Climate zone]], 0)</f>
        <v>≤ 1000 mm</v>
      </c>
      <c r="G93" s="33" t="str" cm="1">
        <f t="array" ref="G93">Common_InputFunctions.Utility_DisplayArrayInTable(Common_SourceData.Common_SourceData_ClimateZones_Data(), Table_SourceData_ClimateZones[[#Headers],[Climate zone]], 0)</f>
        <v>≤ 7</v>
      </c>
      <c r="H93" s="33" t="str" cm="1">
        <f t="array" ref="H93">Common_InputFunctions.Utility_DisplayArrayInTable(Common_SourceData.Common_SourceData_ClimateZones_Data(), Table_SourceData_ClimateZones[[#Headers],[Climate zone]], 0)</f>
        <v>≤ 1000 m</v>
      </c>
      <c r="I93" s="33" t="str" cm="1">
        <f t="array" ref="I93">Common_InputFunctions.Utility_DisplayArrayInTable(Common_SourceData.Common_SourceData_ClimateZones_Data(), Table_SourceData_ClimateZones[[#Headers],[Climate zone]], 0)</f>
        <v>Any</v>
      </c>
      <c r="J93" s="33" cm="1">
        <f t="array" ref="J93">Common_InputFunctions.Utility_DisplayArrayInTable(Common_SourceData.Common_SourceData_ClimateZones_Data(), Table_SourceData_ClimateZones[[#Headers],[Climate zone]], 0)</f>
        <v>18.001000000000001</v>
      </c>
      <c r="K93" s="33" cm="1">
        <f t="array" ref="K93">Common_InputFunctions.Utility_DisplayArrayInTable(Common_SourceData.Common_SourceData_ClimateZones_Data(), Table_SourceData_ClimateZones[[#Headers],[Climate zone]], 0)</f>
        <v>999999</v>
      </c>
      <c r="L93" s="33" cm="1">
        <f t="array" ref="L93">Common_InputFunctions.Utility_DisplayArrayInTable(Common_SourceData.Common_SourceData_ClimateZones_Data(), Table_SourceData_ClimateZones[[#Headers],[Climate zone]], 0)</f>
        <v>-999999</v>
      </c>
      <c r="M93" s="33" cm="1">
        <f t="array" ref="M93">Common_InputFunctions.Utility_DisplayArrayInTable(Common_SourceData.Common_SourceData_ClimateZones_Data(), Table_SourceData_ClimateZones[[#Headers],[Climate zone]], 0)</f>
        <v>1000</v>
      </c>
      <c r="N93" s="33" cm="1">
        <f t="array" ref="N93">Common_InputFunctions.Utility_DisplayArrayInTable(Common_SourceData.Common_SourceData_ClimateZones_Data(), Table_SourceData_ClimateZones[[#Headers],[Climate zone]], 0)</f>
        <v>-999999</v>
      </c>
      <c r="O93" s="33" cm="1">
        <f t="array" ref="O93">Common_InputFunctions.Utility_DisplayArrayInTable(Common_SourceData.Common_SourceData_ClimateZones_Data(), Table_SourceData_ClimateZones[[#Headers],[Climate zone]], 0)</f>
        <v>7</v>
      </c>
      <c r="P93" s="33" cm="1">
        <f t="array" ref="P93">Common_InputFunctions.Utility_DisplayArrayInTable(Common_SourceData.Common_SourceData_ClimateZones_Data(), Table_SourceData_ClimateZones[[#Headers],[Climate zone]], 0)</f>
        <v>-999999</v>
      </c>
      <c r="Q93" s="33" cm="1">
        <f t="array" ref="Q93">Common_InputFunctions.Utility_DisplayArrayInTable(Common_SourceData.Common_SourceData_ClimateZones_Data(), Table_SourceData_ClimateZones[[#Headers],[Climate zone]], 0)</f>
        <v>999.99900000000002</v>
      </c>
      <c r="R93" s="33" cm="1">
        <f t="array" ref="R93">Common_InputFunctions.Utility_DisplayArrayInTable(Common_SourceData.Common_SourceData_ClimateZones_Data(), Table_SourceData_ClimateZones[[#Headers],[Climate zone]], 0)</f>
        <v>-999999</v>
      </c>
      <c r="S93" s="33" cm="1">
        <f t="array" ref="S93">Common_InputFunctions.Utility_DisplayArrayInTable(Common_SourceData.Common_SourceData_ClimateZones_Data(), Table_SourceData_ClimateZones[[#Headers],[Climate zone]], 0)</f>
        <v>999999</v>
      </c>
      <c r="T93" s="33"/>
    </row>
    <row r="94" spans="1:20" ht="20.100000000000001" customHeight="1" x14ac:dyDescent="0.25">
      <c r="A94"/>
      <c r="D94" s="33" t="str" cm="1">
        <f t="array" ref="D94">Common_InputFunctions.Utility_DisplayArrayInTable(Common_SourceData.Common_SourceData_ClimateZones_Data(), Table_SourceData_ClimateZones[[#Headers],[Climate zone]], 0)</f>
        <v>Warm temperate moist</v>
      </c>
      <c r="E94" s="33" t="str" cm="1">
        <f t="array" ref="E94">Common_InputFunctions.Utility_DisplayArrayInTable(Common_SourceData.Common_SourceData_ClimateZones_Data(), Table_SourceData_ClimateZones[[#Headers],[Climate zone]], 0)</f>
        <v>&gt; 10 C</v>
      </c>
      <c r="F94" s="33" t="str" cm="1">
        <f t="array" ref="F94">Common_InputFunctions.Utility_DisplayArrayInTable(Common_SourceData.Common_SourceData_ClimateZones_Data(), Table_SourceData_ClimateZones[[#Headers],[Climate zone]], 0)</f>
        <v>Any</v>
      </c>
      <c r="G94" s="33" t="str" cm="1">
        <f t="array" ref="G94">Common_InputFunctions.Utility_DisplayArrayInTable(Common_SourceData.Common_SourceData_ClimateZones_Data(), Table_SourceData_ClimateZones[[#Headers],[Climate zone]], 0)</f>
        <v>Any</v>
      </c>
      <c r="H94" s="33" t="str" cm="1">
        <f t="array" ref="H94">Common_InputFunctions.Utility_DisplayArrayInTable(Common_SourceData.Common_SourceData_ClimateZones_Data(), Table_SourceData_ClimateZones[[#Headers],[Climate zone]], 0)</f>
        <v>Any</v>
      </c>
      <c r="I94" s="33" t="str" cm="1">
        <f t="array" ref="I94">Common_InputFunctions.Utility_DisplayArrayInTable(Common_SourceData.Common_SourceData_ClimateZones_Data(), Table_SourceData_ClimateZones[[#Headers],[Climate zone]], 0)</f>
        <v>&gt; 1</v>
      </c>
      <c r="J94" s="33" cm="1">
        <f t="array" ref="J94">Common_InputFunctions.Utility_DisplayArrayInTable(Common_SourceData.Common_SourceData_ClimateZones_Data(), Table_SourceData_ClimateZones[[#Headers],[Climate zone]], 0)</f>
        <v>10.000999999999999</v>
      </c>
      <c r="K94" s="33" cm="1">
        <f t="array" ref="K94">Common_InputFunctions.Utility_DisplayArrayInTable(Common_SourceData.Common_SourceData_ClimateZones_Data(), Table_SourceData_ClimateZones[[#Headers],[Climate zone]], 0)</f>
        <v>999999</v>
      </c>
      <c r="L94" s="33" cm="1">
        <f t="array" ref="L94">Common_InputFunctions.Utility_DisplayArrayInTable(Common_SourceData.Common_SourceData_ClimateZones_Data(), Table_SourceData_ClimateZones[[#Headers],[Climate zone]], 0)</f>
        <v>-999999</v>
      </c>
      <c r="M94" s="33" cm="1">
        <f t="array" ref="M94">Common_InputFunctions.Utility_DisplayArrayInTable(Common_SourceData.Common_SourceData_ClimateZones_Data(), Table_SourceData_ClimateZones[[#Headers],[Climate zone]], 0)</f>
        <v>999999</v>
      </c>
      <c r="N94" s="33" cm="1">
        <f t="array" ref="N94">Common_InputFunctions.Utility_DisplayArrayInTable(Common_SourceData.Common_SourceData_ClimateZones_Data(), Table_SourceData_ClimateZones[[#Headers],[Climate zone]], 0)</f>
        <v>-999999</v>
      </c>
      <c r="O94" s="33" cm="1">
        <f t="array" ref="O94">Common_InputFunctions.Utility_DisplayArrayInTable(Common_SourceData.Common_SourceData_ClimateZones_Data(), Table_SourceData_ClimateZones[[#Headers],[Climate zone]], 0)</f>
        <v>999999</v>
      </c>
      <c r="P94" s="33" cm="1">
        <f t="array" ref="P94">Common_InputFunctions.Utility_DisplayArrayInTable(Common_SourceData.Common_SourceData_ClimateZones_Data(), Table_SourceData_ClimateZones[[#Headers],[Climate zone]], 0)</f>
        <v>-999999</v>
      </c>
      <c r="Q94" s="33" cm="1">
        <f t="array" ref="Q94">Common_InputFunctions.Utility_DisplayArrayInTable(Common_SourceData.Common_SourceData_ClimateZones_Data(), Table_SourceData_ClimateZones[[#Headers],[Climate zone]], 0)</f>
        <v>999999</v>
      </c>
      <c r="R94" s="33" cm="1">
        <f t="array" ref="R94">Common_InputFunctions.Utility_DisplayArrayInTable(Common_SourceData.Common_SourceData_ClimateZones_Data(), Table_SourceData_ClimateZones[[#Headers],[Climate zone]], 0)</f>
        <v>1.0009999999999999</v>
      </c>
      <c r="S94" s="33" cm="1">
        <f t="array" ref="S94">Common_InputFunctions.Utility_DisplayArrayInTable(Common_SourceData.Common_SourceData_ClimateZones_Data(), Table_SourceData_ClimateZones[[#Headers],[Climate zone]], 0)</f>
        <v>999999</v>
      </c>
      <c r="T94" s="33"/>
    </row>
    <row r="95" spans="1:20" ht="20.100000000000001" customHeight="1" x14ac:dyDescent="0.25">
      <c r="A95"/>
      <c r="D95" s="33" t="str" cm="1">
        <f t="array" ref="D95">Common_InputFunctions.Utility_DisplayArrayInTable(Common_SourceData.Common_SourceData_ClimateZones_Data(), Table_SourceData_ClimateZones[[#Headers],[Climate zone]], 0)</f>
        <v>Warm temperate dry</v>
      </c>
      <c r="E95" s="33" t="str" cm="1">
        <f t="array" ref="E95">Common_InputFunctions.Utility_DisplayArrayInTable(Common_SourceData.Common_SourceData_ClimateZones_Data(), Table_SourceData_ClimateZones[[#Headers],[Climate zone]], 0)</f>
        <v>&gt; 10 C</v>
      </c>
      <c r="F95" s="33" t="str" cm="1">
        <f t="array" ref="F95">Common_InputFunctions.Utility_DisplayArrayInTable(Common_SourceData.Common_SourceData_ClimateZones_Data(), Table_SourceData_ClimateZones[[#Headers],[Climate zone]], 0)</f>
        <v>Any</v>
      </c>
      <c r="G95" s="33" t="str" cm="1">
        <f t="array" ref="G95">Common_InputFunctions.Utility_DisplayArrayInTable(Common_SourceData.Common_SourceData_ClimateZones_Data(), Table_SourceData_ClimateZones[[#Headers],[Climate zone]], 0)</f>
        <v>Any</v>
      </c>
      <c r="H95" s="33" t="str" cm="1">
        <f t="array" ref="H95">Common_InputFunctions.Utility_DisplayArrayInTable(Common_SourceData.Common_SourceData_ClimateZones_Data(), Table_SourceData_ClimateZones[[#Headers],[Climate zone]], 0)</f>
        <v>Any</v>
      </c>
      <c r="I95" s="33" t="str" cm="1">
        <f t="array" ref="I95">Common_InputFunctions.Utility_DisplayArrayInTable(Common_SourceData.Common_SourceData_ClimateZones_Data(), Table_SourceData_ClimateZones[[#Headers],[Climate zone]], 0)</f>
        <v>≤ 1</v>
      </c>
      <c r="J95" s="33" cm="1">
        <f t="array" ref="J95">Common_InputFunctions.Utility_DisplayArrayInTable(Common_SourceData.Common_SourceData_ClimateZones_Data(), Table_SourceData_ClimateZones[[#Headers],[Climate zone]], 0)</f>
        <v>10.000999999999999</v>
      </c>
      <c r="K95" s="33" cm="1">
        <f t="array" ref="K95">Common_InputFunctions.Utility_DisplayArrayInTable(Common_SourceData.Common_SourceData_ClimateZones_Data(), Table_SourceData_ClimateZones[[#Headers],[Climate zone]], 0)</f>
        <v>999999</v>
      </c>
      <c r="L95" s="33" cm="1">
        <f t="array" ref="L95">Common_InputFunctions.Utility_DisplayArrayInTable(Common_SourceData.Common_SourceData_ClimateZones_Data(), Table_SourceData_ClimateZones[[#Headers],[Climate zone]], 0)</f>
        <v>-999999</v>
      </c>
      <c r="M95" s="33" cm="1">
        <f t="array" ref="M95">Common_InputFunctions.Utility_DisplayArrayInTable(Common_SourceData.Common_SourceData_ClimateZones_Data(), Table_SourceData_ClimateZones[[#Headers],[Climate zone]], 0)</f>
        <v>999999</v>
      </c>
      <c r="N95" s="33" cm="1">
        <f t="array" ref="N95">Common_InputFunctions.Utility_DisplayArrayInTable(Common_SourceData.Common_SourceData_ClimateZones_Data(), Table_SourceData_ClimateZones[[#Headers],[Climate zone]], 0)</f>
        <v>-999999</v>
      </c>
      <c r="O95" s="33" cm="1">
        <f t="array" ref="O95">Common_InputFunctions.Utility_DisplayArrayInTable(Common_SourceData.Common_SourceData_ClimateZones_Data(), Table_SourceData_ClimateZones[[#Headers],[Climate zone]], 0)</f>
        <v>999999</v>
      </c>
      <c r="P95" s="33" cm="1">
        <f t="array" ref="P95">Common_InputFunctions.Utility_DisplayArrayInTable(Common_SourceData.Common_SourceData_ClimateZones_Data(), Table_SourceData_ClimateZones[[#Headers],[Climate zone]], 0)</f>
        <v>-999999</v>
      </c>
      <c r="Q95" s="33" cm="1">
        <f t="array" ref="Q95">Common_InputFunctions.Utility_DisplayArrayInTable(Common_SourceData.Common_SourceData_ClimateZones_Data(), Table_SourceData_ClimateZones[[#Headers],[Climate zone]], 0)</f>
        <v>999999</v>
      </c>
      <c r="R95" s="33" cm="1">
        <f t="array" ref="R95">Common_InputFunctions.Utility_DisplayArrayInTable(Common_SourceData.Common_SourceData_ClimateZones_Data(), Table_SourceData_ClimateZones[[#Headers],[Climate zone]], 0)</f>
        <v>-999999</v>
      </c>
      <c r="S95" s="33" cm="1">
        <f t="array" ref="S95">Common_InputFunctions.Utility_DisplayArrayInTable(Common_SourceData.Common_SourceData_ClimateZones_Data(), Table_SourceData_ClimateZones[[#Headers],[Climate zone]], 0)</f>
        <v>1</v>
      </c>
      <c r="T95" s="33"/>
    </row>
    <row r="96" spans="1:20" ht="20.100000000000001" customHeight="1" x14ac:dyDescent="0.25">
      <c r="A96"/>
      <c r="D96" s="33" t="str" cm="1">
        <f t="array" ref="D96">Common_InputFunctions.Utility_DisplayArrayInTable(Common_SourceData.Common_SourceData_ClimateZones_Data(), Table_SourceData_ClimateZones[[#Headers],[Climate zone]], 0)</f>
        <v>Cool temperate moist</v>
      </c>
      <c r="E96" s="33" t="str" cm="1">
        <f t="array" ref="E96">Common_InputFunctions.Utility_DisplayArrayInTable(Common_SourceData.Common_SourceData_ClimateZones_Data(), Table_SourceData_ClimateZones[[#Headers],[Climate zone]], 0)</f>
        <v>&gt; 0 C - ≤ 10 C</v>
      </c>
      <c r="F96" s="33" t="str" cm="1">
        <f t="array" ref="F96">Common_InputFunctions.Utility_DisplayArrayInTable(Common_SourceData.Common_SourceData_ClimateZones_Data(), Table_SourceData_ClimateZones[[#Headers],[Climate zone]], 0)</f>
        <v>Any</v>
      </c>
      <c r="G96" s="33" t="str" cm="1">
        <f t="array" ref="G96">Common_InputFunctions.Utility_DisplayArrayInTable(Common_SourceData.Common_SourceData_ClimateZones_Data(), Table_SourceData_ClimateZones[[#Headers],[Climate zone]], 0)</f>
        <v>Any</v>
      </c>
      <c r="H96" s="33" t="str" cm="1">
        <f t="array" ref="H96">Common_InputFunctions.Utility_DisplayArrayInTable(Common_SourceData.Common_SourceData_ClimateZones_Data(), Table_SourceData_ClimateZones[[#Headers],[Climate zone]], 0)</f>
        <v>Any</v>
      </c>
      <c r="I96" s="33" t="str" cm="1">
        <f t="array" ref="I96">Common_InputFunctions.Utility_DisplayArrayInTable(Common_SourceData.Common_SourceData_ClimateZones_Data(), Table_SourceData_ClimateZones[[#Headers],[Climate zone]], 0)</f>
        <v>&gt; 1</v>
      </c>
      <c r="J96" s="33" cm="1">
        <f t="array" ref="J96">Common_InputFunctions.Utility_DisplayArrayInTable(Common_SourceData.Common_SourceData_ClimateZones_Data(), Table_SourceData_ClimateZones[[#Headers],[Climate zone]], 0)</f>
        <v>-999999</v>
      </c>
      <c r="K96" s="33" cm="1">
        <f t="array" ref="K96">Common_InputFunctions.Utility_DisplayArrayInTable(Common_SourceData.Common_SourceData_ClimateZones_Data(), Table_SourceData_ClimateZones[[#Headers],[Climate zone]], 0)</f>
        <v>10</v>
      </c>
      <c r="L96" s="33" cm="1">
        <f t="array" ref="L96">Common_InputFunctions.Utility_DisplayArrayInTable(Common_SourceData.Common_SourceData_ClimateZones_Data(), Table_SourceData_ClimateZones[[#Headers],[Climate zone]], 0)</f>
        <v>-999999</v>
      </c>
      <c r="M96" s="33" cm="1">
        <f t="array" ref="M96">Common_InputFunctions.Utility_DisplayArrayInTable(Common_SourceData.Common_SourceData_ClimateZones_Data(), Table_SourceData_ClimateZones[[#Headers],[Climate zone]], 0)</f>
        <v>999999</v>
      </c>
      <c r="N96" s="33" cm="1">
        <f t="array" ref="N96">Common_InputFunctions.Utility_DisplayArrayInTable(Common_SourceData.Common_SourceData_ClimateZones_Data(), Table_SourceData_ClimateZones[[#Headers],[Climate zone]], 0)</f>
        <v>-999999</v>
      </c>
      <c r="O96" s="33" cm="1">
        <f t="array" ref="O96">Common_InputFunctions.Utility_DisplayArrayInTable(Common_SourceData.Common_SourceData_ClimateZones_Data(), Table_SourceData_ClimateZones[[#Headers],[Climate zone]], 0)</f>
        <v>999999</v>
      </c>
      <c r="P96" s="33" cm="1">
        <f t="array" ref="P96">Common_InputFunctions.Utility_DisplayArrayInTable(Common_SourceData.Common_SourceData_ClimateZones_Data(), Table_SourceData_ClimateZones[[#Headers],[Climate zone]], 0)</f>
        <v>-999999</v>
      </c>
      <c r="Q96" s="33" cm="1">
        <f t="array" ref="Q96">Common_InputFunctions.Utility_DisplayArrayInTable(Common_SourceData.Common_SourceData_ClimateZones_Data(), Table_SourceData_ClimateZones[[#Headers],[Climate zone]], 0)</f>
        <v>999999</v>
      </c>
      <c r="R96" s="33" cm="1">
        <f t="array" ref="R96">Common_InputFunctions.Utility_DisplayArrayInTable(Common_SourceData.Common_SourceData_ClimateZones_Data(), Table_SourceData_ClimateZones[[#Headers],[Climate zone]], 0)</f>
        <v>1.0009999999999999</v>
      </c>
      <c r="S96" s="33" cm="1">
        <f t="array" ref="S96">Common_InputFunctions.Utility_DisplayArrayInTable(Common_SourceData.Common_SourceData_ClimateZones_Data(), Table_SourceData_ClimateZones[[#Headers],[Climate zone]], 0)</f>
        <v>999999</v>
      </c>
      <c r="T96" s="33"/>
    </row>
    <row r="97" spans="1:20" ht="20.100000000000001" customHeight="1" x14ac:dyDescent="0.25">
      <c r="A97"/>
      <c r="D97" s="33" t="str" cm="1">
        <f t="array" ref="D97">Common_InputFunctions.Utility_DisplayArrayInTable(Common_SourceData.Common_SourceData_ClimateZones_Data(), Table_SourceData_ClimateZones[[#Headers],[Climate zone]], 0)</f>
        <v>Cool temperate dry</v>
      </c>
      <c r="E97" s="33" t="str" cm="1">
        <f t="array" ref="E97">Common_InputFunctions.Utility_DisplayArrayInTable(Common_SourceData.Common_SourceData_ClimateZones_Data(), Table_SourceData_ClimateZones[[#Headers],[Climate zone]], 0)</f>
        <v>&gt; 0 C - ≤ 10 C</v>
      </c>
      <c r="F97" s="33" t="str" cm="1">
        <f t="array" ref="F97">Common_InputFunctions.Utility_DisplayArrayInTable(Common_SourceData.Common_SourceData_ClimateZones_Data(), Table_SourceData_ClimateZones[[#Headers],[Climate zone]], 0)</f>
        <v>Any</v>
      </c>
      <c r="G97" s="33" t="str" cm="1">
        <f t="array" ref="G97">Common_InputFunctions.Utility_DisplayArrayInTable(Common_SourceData.Common_SourceData_ClimateZones_Data(), Table_SourceData_ClimateZones[[#Headers],[Climate zone]], 0)</f>
        <v>Any</v>
      </c>
      <c r="H97" s="33" t="str" cm="1">
        <f t="array" ref="H97">Common_InputFunctions.Utility_DisplayArrayInTable(Common_SourceData.Common_SourceData_ClimateZones_Data(), Table_SourceData_ClimateZones[[#Headers],[Climate zone]], 0)</f>
        <v>Any</v>
      </c>
      <c r="I97" s="33" t="str" cm="1">
        <f t="array" ref="I97">Common_InputFunctions.Utility_DisplayArrayInTable(Common_SourceData.Common_SourceData_ClimateZones_Data(), Table_SourceData_ClimateZones[[#Headers],[Climate zone]], 0)</f>
        <v>≤ 1</v>
      </c>
      <c r="J97" s="33" cm="1">
        <f t="array" ref="J97">Common_InputFunctions.Utility_DisplayArrayInTable(Common_SourceData.Common_SourceData_ClimateZones_Data(), Table_SourceData_ClimateZones[[#Headers],[Climate zone]], 0)</f>
        <v>-999999</v>
      </c>
      <c r="K97" s="33" cm="1">
        <f t="array" ref="K97">Common_InputFunctions.Utility_DisplayArrayInTable(Common_SourceData.Common_SourceData_ClimateZones_Data(), Table_SourceData_ClimateZones[[#Headers],[Climate zone]], 0)</f>
        <v>10</v>
      </c>
      <c r="L97" s="33" cm="1">
        <f t="array" ref="L97">Common_InputFunctions.Utility_DisplayArrayInTable(Common_SourceData.Common_SourceData_ClimateZones_Data(), Table_SourceData_ClimateZones[[#Headers],[Climate zone]], 0)</f>
        <v>-999999</v>
      </c>
      <c r="M97" s="33" cm="1">
        <f t="array" ref="M97">Common_InputFunctions.Utility_DisplayArrayInTable(Common_SourceData.Common_SourceData_ClimateZones_Data(), Table_SourceData_ClimateZones[[#Headers],[Climate zone]], 0)</f>
        <v>999999</v>
      </c>
      <c r="N97" s="33" cm="1">
        <f t="array" ref="N97">Common_InputFunctions.Utility_DisplayArrayInTable(Common_SourceData.Common_SourceData_ClimateZones_Data(), Table_SourceData_ClimateZones[[#Headers],[Climate zone]], 0)</f>
        <v>-999999</v>
      </c>
      <c r="O97" s="33" cm="1">
        <f t="array" ref="O97">Common_InputFunctions.Utility_DisplayArrayInTable(Common_SourceData.Common_SourceData_ClimateZones_Data(), Table_SourceData_ClimateZones[[#Headers],[Climate zone]], 0)</f>
        <v>999999</v>
      </c>
      <c r="P97" s="33" cm="1">
        <f t="array" ref="P97">Common_InputFunctions.Utility_DisplayArrayInTable(Common_SourceData.Common_SourceData_ClimateZones_Data(), Table_SourceData_ClimateZones[[#Headers],[Climate zone]], 0)</f>
        <v>-999999</v>
      </c>
      <c r="Q97" s="33" cm="1">
        <f t="array" ref="Q97">Common_InputFunctions.Utility_DisplayArrayInTable(Common_SourceData.Common_SourceData_ClimateZones_Data(), Table_SourceData_ClimateZones[[#Headers],[Climate zone]], 0)</f>
        <v>999999</v>
      </c>
      <c r="R97" s="33" cm="1">
        <f t="array" ref="R97">Common_InputFunctions.Utility_DisplayArrayInTable(Common_SourceData.Common_SourceData_ClimateZones_Data(), Table_SourceData_ClimateZones[[#Headers],[Climate zone]], 0)</f>
        <v>-999999</v>
      </c>
      <c r="S97" s="33" cm="1">
        <f t="array" ref="S97">Common_InputFunctions.Utility_DisplayArrayInTable(Common_SourceData.Common_SourceData_ClimateZones_Data(), Table_SourceData_ClimateZones[[#Headers],[Climate zone]], 0)</f>
        <v>1</v>
      </c>
      <c r="T97" s="33"/>
    </row>
    <row r="98" spans="1:20" ht="20.100000000000001" customHeight="1" x14ac:dyDescent="0.25">
      <c r="A98"/>
    </row>
    <row r="99" spans="1:20" ht="20.100000000000001" customHeight="1" x14ac:dyDescent="0.25">
      <c r="A99"/>
      <c r="D99" s="47" t="str" cm="1">
        <f t="array" ref="D99:D102">Common_SourceData.Common_SourceData_ClimateZones_Appendices()</f>
        <v>Note:</v>
      </c>
    </row>
    <row r="100" spans="1:20" ht="20.100000000000001" customHeight="1" x14ac:dyDescent="0.25">
      <c r="A100"/>
      <c r="D100" s="47" t="str">
        <v>MAT = mean annual temperature</v>
      </c>
    </row>
    <row r="101" spans="1:20" ht="20.100000000000001" customHeight="1" x14ac:dyDescent="0.25">
      <c r="A101"/>
      <c r="D101" s="47" t="str">
        <v>MAP = mean annual precipitation</v>
      </c>
    </row>
    <row r="102" spans="1:20" ht="20.100000000000001" customHeight="1" x14ac:dyDescent="0.25">
      <c r="A102"/>
      <c r="D102" s="47" t="str">
        <v>PET = potential evapotranspiration</v>
      </c>
    </row>
    <row r="103" spans="1:20" ht="20.100000000000001" customHeight="1" x14ac:dyDescent="0.25">
      <c r="A103"/>
      <c r="D103" s="47"/>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8"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3" t="s">
        <v>41</v>
      </c>
      <c r="E109" s="33" t="s">
        <v>23</v>
      </c>
      <c r="F109" s="33" t="s">
        <v>42</v>
      </c>
      <c r="G109" s="33" t="s">
        <v>43</v>
      </c>
    </row>
    <row r="110" spans="1:20" ht="20.100000000000001" customHeight="1" x14ac:dyDescent="0.25">
      <c r="A110"/>
      <c r="D110" s="33" t="str" cm="1">
        <f t="array" ref="D110">Common_InputFunctions.Utility_DisplayArrayInTable(Common_SourceData.Common_SourceData_TemperatureZones_Data(),Table_SourceData_TemperatureZones[[#Headers],[Temperature Zone]],0)</f>
        <v>Warm</v>
      </c>
      <c r="E110" s="33" t="str" cm="1">
        <f t="array" ref="E110">Common_InputFunctions.Utility_DisplayArrayInTable(Common_SourceData.Common_SourceData_TemperatureZones_Data(),Table_SourceData_TemperatureZones[[#Headers],[Temperature Zone]],0)</f>
        <v>≥ 26 C</v>
      </c>
      <c r="F110" s="33" cm="1">
        <f t="array" ref="F110">Common_InputFunctions.Utility_DisplayArrayInTable(Common_SourceData.Common_SourceData_TemperatureZones_Data(),Table_SourceData_TemperatureZones[[#Headers],[Temperature Zone]],0)</f>
        <v>26</v>
      </c>
      <c r="G110" s="33"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3" t="str" cm="1">
        <f t="array" ref="D111">Common_InputFunctions.Utility_DisplayArrayInTable(Common_SourceData.Common_SourceData_TemperatureZones_Data(),Table_SourceData_TemperatureZones[[#Headers],[Temperature Zone]],0)</f>
        <v>Temperate</v>
      </c>
      <c r="E111" s="33" t="str" cm="1">
        <f t="array" ref="E111">Common_InputFunctions.Utility_DisplayArrayInTable(Common_SourceData.Common_SourceData_TemperatureZones_Data(),Table_SourceData_TemperatureZones[[#Headers],[Temperature Zone]],0)</f>
        <v>15 - 25 C</v>
      </c>
      <c r="F111" s="33" cm="1">
        <f t="array" ref="F111">Common_InputFunctions.Utility_DisplayArrayInTable(Common_SourceData.Common_SourceData_TemperatureZones_Data(),Table_SourceData_TemperatureZones[[#Headers],[Temperature Zone]],0)</f>
        <v>15</v>
      </c>
      <c r="G111" s="33"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3" t="str" cm="1">
        <f t="array" ref="D112">Common_InputFunctions.Utility_DisplayArrayInTable(Common_SourceData.Common_SourceData_TemperatureZones_Data(),Table_SourceData_TemperatureZones[[#Headers],[Temperature Zone]],0)</f>
        <v>Cool</v>
      </c>
      <c r="E112" s="33" t="str" cm="1">
        <f t="array" ref="E112">Common_InputFunctions.Utility_DisplayArrayInTable(Common_SourceData.Common_SourceData_TemperatureZones_Data(),Table_SourceData_TemperatureZones[[#Headers],[Temperature Zone]],0)</f>
        <v>≤ 14 C</v>
      </c>
      <c r="F112" s="33" cm="1">
        <f t="array" ref="F112">Common_InputFunctions.Utility_DisplayArrayInTable(Common_SourceData.Common_SourceData_TemperatureZones_Data(),Table_SourceData_TemperatureZones[[#Headers],[Temperature Zone]],0)</f>
        <v>-999999</v>
      </c>
      <c r="G112" s="33"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8"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3" t="s">
        <v>44</v>
      </c>
      <c r="E119" s="33" t="s">
        <v>45</v>
      </c>
      <c r="F119" s="33" t="s">
        <v>30</v>
      </c>
      <c r="G119" s="33" t="s">
        <v>31</v>
      </c>
      <c r="BN119" s="7"/>
    </row>
    <row r="120" spans="1:66" ht="20.100000000000001" customHeight="1" x14ac:dyDescent="0.25">
      <c r="A120"/>
      <c r="D120" s="33" t="str" cm="1">
        <f t="array" ref="D120">Common_InputFunctions.Utility_DisplayArrayInTable(Common_SourceData.Common_SourceData_RainfallZones_Data(),Table_SourceData_RainfallZones[[#Headers],[Rainfall Zone]],0)</f>
        <v>High rainfall</v>
      </c>
      <c r="E120" s="33" t="str" cm="1">
        <f t="array" ref="E120">Common_InputFunctions.Utility_DisplayArrayInTable(Common_SourceData.Common_SourceData_RainfallZones_Data(),Table_SourceData_RainfallZones[[#Headers],[Rainfall Zone]],0)</f>
        <v>Annual rainfall &gt; 600mm</v>
      </c>
      <c r="F120" s="33" cm="1">
        <f t="array" ref="F120">Common_InputFunctions.Utility_DisplayArrayInTable(Common_SourceData.Common_SourceData_RainfallZones_Data(),Table_SourceData_RainfallZones[[#Headers],[Rainfall Zone]],0)</f>
        <v>600.00099999999998</v>
      </c>
      <c r="G120" s="33"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3" t="str" cm="1">
        <f t="array" ref="D121">Common_InputFunctions.Utility_DisplayArrayInTable(Common_SourceData.Common_SourceData_RainfallZones_Data(),Table_SourceData_RainfallZones[[#Headers],[Rainfall Zone]],0)</f>
        <v>Low rainfall</v>
      </c>
      <c r="E121" s="33" t="str" cm="1">
        <f t="array" ref="E121">Common_InputFunctions.Utility_DisplayArrayInTable(Common_SourceData.Common_SourceData_RainfallZones_Data(),Table_SourceData_RainfallZones[[#Headers],[Rainfall Zone]],0)</f>
        <v>Annual rainfall ≤ 600mm</v>
      </c>
      <c r="F121" s="33" cm="1">
        <f t="array" ref="F121">Common_InputFunctions.Utility_DisplayArrayInTable(Common_SourceData.Common_SourceData_RainfallZones_Data(),Table_SourceData_RainfallZones[[#Headers],[Rainfall Zone]],0)</f>
        <v>-999999</v>
      </c>
      <c r="G121" s="33"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3" t="s">
        <v>46</v>
      </c>
      <c r="E127" s="33" t="s">
        <v>47</v>
      </c>
    </row>
    <row r="128" spans="1:66" ht="20.100000000000001" customHeight="1" x14ac:dyDescent="0.25">
      <c r="A128"/>
      <c r="D128" s="33" t="str" cm="1">
        <f t="array" ref="D128">Common_InputFunctions.Utility_DisplayArrayInTable(Common_SourceData.Common_SourceData_LeachingZones_Data(), Table_SourceData_LeachingZones[[#Headers],[Leaching Zone]], 0)</f>
        <v>Leaching occurs</v>
      </c>
      <c r="E128" s="33"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3" t="str" cm="1">
        <f t="array" ref="D129">Common_InputFunctions.Utility_DisplayArrayInTable(Common_SourceData.Common_SourceData_LeachingZones_Data(), Table_SourceData_LeachingZones[[#Headers],[Leaching Zone]], 0)</f>
        <v>Leaching does not occur</v>
      </c>
      <c r="E129" s="33"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0"/>
    </row>
    <row r="133" spans="1:77" ht="20.100000000000001" customHeight="1" x14ac:dyDescent="0.25">
      <c r="A133"/>
      <c r="D133" s="5" t="str" cm="1">
        <f t="array" ref="D133">Common_SourceData.Common_SourceData_FracWET_Source()</f>
        <v>VEERG 2026:5.5.2.3 Constant Parameters</v>
      </c>
      <c r="E133" s="20"/>
    </row>
    <row r="134" spans="1:77" ht="20.100000000000001" customHeight="1" x14ac:dyDescent="0.25">
      <c r="A134"/>
      <c r="D134" t="s">
        <v>69</v>
      </c>
      <c r="E134" t="s">
        <v>70</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3"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3" t="s">
        <v>94</v>
      </c>
      <c r="E142" s="33" t="s">
        <v>70</v>
      </c>
      <c r="BN142" s="7"/>
    </row>
    <row r="143" spans="1:77" ht="20.100000000000001" customHeight="1" x14ac:dyDescent="0.25">
      <c r="A143"/>
      <c r="D143" s="33" t="str" cm="1">
        <f t="array" ref="D143">Common_InputFunctions.Utility_DisplayArrayInTable(Common_SourceData.Common_SourceData_FracWETIrrigation_Data(), Table_SourceData_FracWETIrrigation[[#Headers],[Irrigation type i]], 0)</f>
        <v>Not irrigated</v>
      </c>
      <c r="E143" s="33"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3"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3"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3"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3"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3" t="s">
        <v>49</v>
      </c>
      <c r="E153" s="33" t="s">
        <v>50</v>
      </c>
      <c r="BC153" s="3"/>
      <c r="BD153" s="3"/>
      <c r="BE153" s="3"/>
      <c r="BF153" s="3"/>
      <c r="BG153" s="3"/>
      <c r="BH153" s="3"/>
      <c r="BI153" s="3"/>
      <c r="BJ153" s="3"/>
      <c r="BK153" s="3"/>
      <c r="BL153" s="3"/>
      <c r="BM153" s="3"/>
    </row>
    <row r="154" spans="1:66" ht="20.100000000000001" customHeight="1" x14ac:dyDescent="0.25">
      <c r="A154"/>
      <c r="D154" s="33" t="str" cm="1">
        <f t="array" ref="D154">Common_InputFunctions.Utility_DisplayArrayInTable(Common_SourceData.Common_SourceData_DataScores_Scope3_Data(), Table_SourceData_DataScores_Scope3[[#Headers],[Data source]], 0)</f>
        <v>International scope 3 database</v>
      </c>
      <c r="E154" s="33"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3" t="str" cm="1">
        <f t="array" ref="D155">Common_InputFunctions.Utility_DisplayArrayInTable(Common_SourceData.Common_SourceData_DataScores_Scope3_Data(), Table_SourceData_DataScores_Scope3[[#Headers],[Data source]], 0)</f>
        <v>Australian scope 3 database</v>
      </c>
      <c r="E155" s="33"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3" t="str" cm="1">
        <f t="array" ref="D156">Common_InputFunctions.Utility_DisplayArrayInTable(Common_SourceData.Common_SourceData_DataScores_Scope3_Data(), Table_SourceData_DataScores_Scope3[[#Headers],[Data source]], 0)</f>
        <v>State or regional scope 3 database</v>
      </c>
      <c r="E156" s="33"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3" t="str" cm="1">
        <f t="array" ref="D157">Common_InputFunctions.Utility_DisplayArrayInTable(Common_SourceData.Common_SourceData_DataScores_Scope3_Data(), Table_SourceData_DataScores_Scope3[[#Headers],[Data source]], 0)</f>
        <v>Emissions intensity calculated from approved method</v>
      </c>
      <c r="E157" s="33"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3" t="str" cm="1">
        <f t="array" ref="D158">Common_InputFunctions.Utility_DisplayArrayInTable(Common_SourceData.Common_SourceData_DataScores_Scope3_Data(), Table_SourceData_DataScores_Scope3[[#Headers],[Data source]], 0)</f>
        <v>Verified credential matching ISO14067</v>
      </c>
      <c r="E158" s="33"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0"/>
    </row>
    <row r="162" spans="4:68" ht="20.100000000000001" customHeight="1" x14ac:dyDescent="0.25">
      <c r="D162" s="5" t="str" cm="1">
        <f t="array" ref="D162">Common_SourceData.Common_SourceData_FracLEACH_Source()</f>
        <v>VEERG 2026:5.5.2.3 Constant Parameters</v>
      </c>
      <c r="E162" s="20"/>
    </row>
    <row r="163" spans="4:68" ht="20.100000000000001" customHeight="1" x14ac:dyDescent="0.25">
      <c r="D163" s="5" t="str" cm="1">
        <f t="array" ref="D163">Common_SourceData.Common_SourceData_FracLEACH_NIRReference()</f>
        <v>National Inventory Report Volume 1: Leaching and runoff (3.D.b.2)</v>
      </c>
      <c r="E163" s="20"/>
    </row>
    <row r="164" spans="4:68" ht="20.100000000000001" customHeight="1" x14ac:dyDescent="0.25">
      <c r="D164" s="20" t="str" cm="1">
        <f t="array" ref="D164:E164">Common_SourceData.Common_SourceData_FracLEACH_Data()</f>
        <v>FracLEACH</v>
      </c>
      <c r="E164" s="20">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7" t="str" cm="1">
        <f t="array" ref="D180">Common_SourceData.Common_SourceData_EFN2O_Unit()</f>
        <v>(kg N2O-N / kg N</v>
      </c>
    </row>
    <row r="181" spans="4:68" ht="20.100000000000001" customHeight="1" x14ac:dyDescent="0.25">
      <c r="D181" s="48" t="str" cm="1">
        <f t="array" ref="D181:D185">Common_SourceData.Common_SourceData_EFN2O_Variation()</f>
        <v>VARIATION OF SOURCE DATA:</v>
      </c>
    </row>
    <row r="182" spans="4:68" ht="20.100000000000001" customHeight="1" x14ac:dyDescent="0.25">
      <c r="D182" s="48" t="str">
        <v>Removed duplicate 'Aquaculture' row.</v>
      </c>
    </row>
    <row r="183" spans="4:68" ht="20.100000000000001" customHeight="1" x14ac:dyDescent="0.25">
      <c r="D183" s="48" t="str">
        <v>Removed asterisks to aid lookup.</v>
      </c>
    </row>
    <row r="184" spans="4:68" ht="20.100000000000001" customHeight="1" x14ac:dyDescent="0.25">
      <c r="D184" s="48" t="str">
        <v>Added 'production system only', 'rainfall zone' and 'irrigation method' columns to aid lookup.</v>
      </c>
    </row>
    <row r="185" spans="4:68" ht="20.100000000000001" customHeight="1" x14ac:dyDescent="0.25">
      <c r="D185" s="48" t="str">
        <v>Duplicated 'non-irrigated pasture' row with same EF for low and high rainfall zones to aid lookup.</v>
      </c>
    </row>
    <row r="186" spans="4:68" ht="20.100000000000001" customHeight="1" x14ac:dyDescent="0.25">
      <c r="D186" s="33" t="s">
        <v>77</v>
      </c>
      <c r="E186" s="33" t="s">
        <v>78</v>
      </c>
      <c r="F186" s="33" t="s">
        <v>79</v>
      </c>
      <c r="G186" s="33" t="s">
        <v>80</v>
      </c>
      <c r="H186" s="33" t="s">
        <v>22</v>
      </c>
    </row>
    <row r="187" spans="4:68" ht="20.100000000000001" customHeight="1" x14ac:dyDescent="0.25">
      <c r="D187" s="33" t="str" cm="1">
        <f t="array" ref="D187">Common_InputFunctions.Utility_DisplayArrayInTable(Common_SourceData.Common_SourceData_EFN2O_Data(), Table_SourceData_Common_EFN2O[[#Headers],[Production system j]], 0)</f>
        <v>Irrigated pasture</v>
      </c>
      <c r="E187" s="33" cm="1">
        <f t="array" ref="E187">Common_InputFunctions.Utility_DisplayArrayInTable(Common_SourceData.Common_SourceData_EFN2O_Data(), Table_SourceData_Common_EFN2O[[#Headers],[Production system j]], 0)</f>
        <v>5.8999999999999999E-3</v>
      </c>
      <c r="F187" s="33" t="str" cm="1">
        <f t="array" ref="F187">Common_InputFunctions.Utility_DisplayArrayInTable(Common_SourceData.Common_SourceData_EFN2O_Data(), Table_SourceData_Common_EFN2O[[#Headers],[Production system j]], 0)</f>
        <v>Pasture</v>
      </c>
      <c r="G187" s="33" t="str" cm="1">
        <f t="array" ref="G187">Common_InputFunctions.Utility_DisplayArrayInTable(Common_SourceData.Common_SourceData_EFN2O_Data(), Table_SourceData_Common_EFN2O[[#Headers],[Production system j]], 0)</f>
        <v>Any</v>
      </c>
      <c r="H187" s="33" t="str" cm="1">
        <f t="array" ref="H187">Common_InputFunctions.Utility_DisplayArrayInTable(Common_SourceData.Common_SourceData_EFN2O_Data(), Table_SourceData_Common_EFN2O[[#Headers],[Production system j]], 0)</f>
        <v>Any</v>
      </c>
    </row>
    <row r="188" spans="4:68" ht="20.100000000000001" customHeight="1" x14ac:dyDescent="0.25">
      <c r="D188" s="33" t="str" cm="1">
        <f t="array" ref="D188">Common_InputFunctions.Utility_DisplayArrayInTable(Common_SourceData.Common_SourceData_EFN2O_Data(), Table_SourceData_Common_EFN2O[[#Headers],[Production system j]], 0)</f>
        <v>Irrigated crop</v>
      </c>
      <c r="E188" s="33" cm="1">
        <f t="array" ref="E188">Common_InputFunctions.Utility_DisplayArrayInTable(Common_SourceData.Common_SourceData_EFN2O_Data(), Table_SourceData_Common_EFN2O[[#Headers],[Production system j]], 0)</f>
        <v>7.0000000000000001E-3</v>
      </c>
      <c r="F188" s="33" t="str" cm="1">
        <f t="array" ref="F188">Common_InputFunctions.Utility_DisplayArrayInTable(Common_SourceData.Common_SourceData_EFN2O_Data(), Table_SourceData_Common_EFN2O[[#Headers],[Production system j]], 0)</f>
        <v>Crop</v>
      </c>
      <c r="G188" s="33" t="str" cm="1">
        <f t="array" ref="G188">Common_InputFunctions.Utility_DisplayArrayInTable(Common_SourceData.Common_SourceData_EFN2O_Data(), Table_SourceData_Common_EFN2O[[#Headers],[Production system j]], 0)</f>
        <v>Any</v>
      </c>
      <c r="H188" s="33" t="str" cm="1">
        <f t="array" ref="H188">Common_InputFunctions.Utility_DisplayArrayInTable(Common_SourceData.Common_SourceData_EFN2O_Data(), Table_SourceData_Common_EFN2O[[#Headers],[Production system j]], 0)</f>
        <v>Any</v>
      </c>
    </row>
    <row r="189" spans="4:68" ht="20.100000000000001" customHeight="1" x14ac:dyDescent="0.25">
      <c r="D189" s="33" t="str" cm="1">
        <f t="array" ref="D189">Common_InputFunctions.Utility_DisplayArrayInTable(Common_SourceData.Common_SourceData_EFN2O_Data(), Table_SourceData_Common_EFN2O[[#Headers],[Production system j]], 0)</f>
        <v>Non-irrigated pasture</v>
      </c>
      <c r="E189" s="33" cm="1">
        <f t="array" ref="E189">Common_InputFunctions.Utility_DisplayArrayInTable(Common_SourceData.Common_SourceData_EFN2O_Data(), Table_SourceData_Common_EFN2O[[#Headers],[Production system j]], 0)</f>
        <v>1.8E-3</v>
      </c>
      <c r="F189" s="33" t="str" cm="1">
        <f t="array" ref="F189">Common_InputFunctions.Utility_DisplayArrayInTable(Common_SourceData.Common_SourceData_EFN2O_Data(), Table_SourceData_Common_EFN2O[[#Headers],[Production system j]], 0)</f>
        <v>Pasture</v>
      </c>
      <c r="G189" s="33" t="str" cm="1">
        <f t="array" ref="G189">Common_InputFunctions.Utility_DisplayArrayInTable(Common_SourceData.Common_SourceData_EFN2O_Data(), Table_SourceData_Common_EFN2O[[#Headers],[Production system j]], 0)</f>
        <v>Not irrigated</v>
      </c>
      <c r="H189" s="33"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3" t="str" cm="1">
        <f t="array" ref="D190">Common_InputFunctions.Utility_DisplayArrayInTable(Common_SourceData.Common_SourceData_EFN2O_Data(), Table_SourceData_Common_EFN2O[[#Headers],[Production system j]], 0)</f>
        <v>Non-irrigated pasture</v>
      </c>
      <c r="E190" s="33" cm="1">
        <f t="array" ref="E190">Common_InputFunctions.Utility_DisplayArrayInTable(Common_SourceData.Common_SourceData_EFN2O_Data(), Table_SourceData_Common_EFN2O[[#Headers],[Production system j]], 0)</f>
        <v>1.8E-3</v>
      </c>
      <c r="F190" s="33" t="str" cm="1">
        <f t="array" ref="F190">Common_InputFunctions.Utility_DisplayArrayInTable(Common_SourceData.Common_SourceData_EFN2O_Data(), Table_SourceData_Common_EFN2O[[#Headers],[Production system j]], 0)</f>
        <v>Pasture</v>
      </c>
      <c r="G190" s="33" t="str" cm="1">
        <f t="array" ref="G190">Common_InputFunctions.Utility_DisplayArrayInTable(Common_SourceData.Common_SourceData_EFN2O_Data(), Table_SourceData_Common_EFN2O[[#Headers],[Production system j]], 0)</f>
        <v>Not irrigated</v>
      </c>
      <c r="H190" s="33"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3" t="str" cm="1">
        <f t="array" ref="D191">Common_InputFunctions.Utility_DisplayArrayInTable(Common_SourceData.Common_SourceData_EFN2O_Data(), Table_SourceData_Common_EFN2O[[#Headers],[Production system j]], 0)</f>
        <v>Non-irrigated crop (low rainfall)</v>
      </c>
      <c r="E191" s="33" cm="1">
        <f t="array" ref="E191">Common_InputFunctions.Utility_DisplayArrayInTable(Common_SourceData.Common_SourceData_EFN2O_Data(), Table_SourceData_Common_EFN2O[[#Headers],[Production system j]], 0)</f>
        <v>2.8999999999999998E-3</v>
      </c>
      <c r="F191" s="33" t="str" cm="1">
        <f t="array" ref="F191">Common_InputFunctions.Utility_DisplayArrayInTable(Common_SourceData.Common_SourceData_EFN2O_Data(), Table_SourceData_Common_EFN2O[[#Headers],[Production system j]], 0)</f>
        <v>Crop</v>
      </c>
      <c r="G191" s="33" t="str" cm="1">
        <f t="array" ref="G191">Common_InputFunctions.Utility_DisplayArrayInTable(Common_SourceData.Common_SourceData_EFN2O_Data(), Table_SourceData_Common_EFN2O[[#Headers],[Production system j]], 0)</f>
        <v>Not irrigated</v>
      </c>
      <c r="H191" s="33"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3" t="str" cm="1">
        <f t="array" ref="D192">Common_InputFunctions.Utility_DisplayArrayInTable(Common_SourceData.Common_SourceData_EFN2O_Data(), Table_SourceData_Common_EFN2O[[#Headers],[Production system j]], 0)</f>
        <v>Non-irrigated crop (high rainfall)</v>
      </c>
      <c r="E192" s="33" cm="1">
        <f t="array" ref="E192">Common_InputFunctions.Utility_DisplayArrayInTable(Common_SourceData.Common_SourceData_EFN2O_Data(), Table_SourceData_Common_EFN2O[[#Headers],[Production system j]], 0)</f>
        <v>8.0000000000000002E-3</v>
      </c>
      <c r="F192" s="33" t="str" cm="1">
        <f t="array" ref="F192">Common_InputFunctions.Utility_DisplayArrayInTable(Common_SourceData.Common_SourceData_EFN2O_Data(), Table_SourceData_Common_EFN2O[[#Headers],[Production system j]], 0)</f>
        <v>Crop</v>
      </c>
      <c r="G192" s="33" t="str" cm="1">
        <f t="array" ref="G192">Common_InputFunctions.Utility_DisplayArrayInTable(Common_SourceData.Common_SourceData_EFN2O_Data(), Table_SourceData_Common_EFN2O[[#Headers],[Production system j]], 0)</f>
        <v>Not irrigated</v>
      </c>
      <c r="H192" s="33"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3" t="str" cm="1">
        <f t="array" ref="D193">Common_InputFunctions.Utility_DisplayArrayInTable(Common_SourceData.Common_SourceData_EFN2O_Data(), Table_SourceData_Common_EFN2O[[#Headers],[Production system j]], 0)</f>
        <v>Sugar</v>
      </c>
      <c r="E193" s="33" cm="1">
        <f t="array" ref="E193">Common_InputFunctions.Utility_DisplayArrayInTable(Common_SourceData.Common_SourceData_EFN2O_Data(), Table_SourceData_Common_EFN2O[[#Headers],[Production system j]], 0)</f>
        <v>1.9900000000000001E-2</v>
      </c>
      <c r="F193" s="33" t="str" cm="1">
        <f t="array" ref="F193">Common_InputFunctions.Utility_DisplayArrayInTable(Common_SourceData.Common_SourceData_EFN2O_Data(), Table_SourceData_Common_EFN2O[[#Headers],[Production system j]], 0)</f>
        <v>Sugar</v>
      </c>
      <c r="G193" s="33" t="str" cm="1">
        <f t="array" ref="G193">Common_InputFunctions.Utility_DisplayArrayInTable(Common_SourceData.Common_SourceData_EFN2O_Data(), Table_SourceData_Common_EFN2O[[#Headers],[Production system j]], 0)</f>
        <v>Any</v>
      </c>
      <c r="H193" s="33" t="str" cm="1">
        <f t="array" ref="H193">Common_InputFunctions.Utility_DisplayArrayInTable(Common_SourceData.Common_SourceData_EFN2O_Data(), Table_SourceData_Common_EFN2O[[#Headers],[Production system j]], 0)</f>
        <v>Any</v>
      </c>
    </row>
    <row r="194" spans="4:8" ht="20.100000000000001" customHeight="1" x14ac:dyDescent="0.25">
      <c r="D194" s="33" t="str" cm="1">
        <f t="array" ref="D194">Common_InputFunctions.Utility_DisplayArrayInTable(Common_SourceData.Common_SourceData_EFN2O_Data(), Table_SourceData_Common_EFN2O[[#Headers],[Production system j]], 0)</f>
        <v>Cotton</v>
      </c>
      <c r="E194" s="33" cm="1">
        <f t="array" ref="E194">Common_InputFunctions.Utility_DisplayArrayInTable(Common_SourceData.Common_SourceData_EFN2O_Data(), Table_SourceData_Common_EFN2O[[#Headers],[Production system j]], 0)</f>
        <v>5.3E-3</v>
      </c>
      <c r="F194" s="33" t="str" cm="1">
        <f t="array" ref="F194">Common_InputFunctions.Utility_DisplayArrayInTable(Common_SourceData.Common_SourceData_EFN2O_Data(), Table_SourceData_Common_EFN2O[[#Headers],[Production system j]], 0)</f>
        <v>Cotton</v>
      </c>
      <c r="G194" s="33" t="str" cm="1">
        <f t="array" ref="G194">Common_InputFunctions.Utility_DisplayArrayInTable(Common_SourceData.Common_SourceData_EFN2O_Data(), Table_SourceData_Common_EFN2O[[#Headers],[Production system j]], 0)</f>
        <v>Any</v>
      </c>
      <c r="H194" s="33" t="str" cm="1">
        <f t="array" ref="H194">Common_InputFunctions.Utility_DisplayArrayInTable(Common_SourceData.Common_SourceData_EFN2O_Data(), Table_SourceData_Common_EFN2O[[#Headers],[Production system j]], 0)</f>
        <v>Any</v>
      </c>
    </row>
    <row r="195" spans="4:8" ht="20.100000000000001" customHeight="1" x14ac:dyDescent="0.25">
      <c r="D195" s="33" t="str" cm="1">
        <f t="array" ref="D195">Common_InputFunctions.Utility_DisplayArrayInTable(Common_SourceData.Common_SourceData_EFN2O_Data(), Table_SourceData_Common_EFN2O[[#Headers],[Production system j]], 0)</f>
        <v>Horticultural crops</v>
      </c>
      <c r="E195" s="33" cm="1">
        <f t="array" ref="E195">Common_InputFunctions.Utility_DisplayArrayInTable(Common_SourceData.Common_SourceData_EFN2O_Data(), Table_SourceData_Common_EFN2O[[#Headers],[Production system j]], 0)</f>
        <v>6.4000000000000003E-3</v>
      </c>
      <c r="F195" s="33" t="str" cm="1">
        <f t="array" ref="F195">Common_InputFunctions.Utility_DisplayArrayInTable(Common_SourceData.Common_SourceData_EFN2O_Data(), Table_SourceData_Common_EFN2O[[#Headers],[Production system j]], 0)</f>
        <v>Horticultural crops</v>
      </c>
      <c r="G195" s="33" t="str" cm="1">
        <f t="array" ref="G195">Common_InputFunctions.Utility_DisplayArrayInTable(Common_SourceData.Common_SourceData_EFN2O_Data(), Table_SourceData_Common_EFN2O[[#Headers],[Production system j]], 0)</f>
        <v>Any</v>
      </c>
      <c r="H195" s="33" t="str" cm="1">
        <f t="array" ref="H195">Common_InputFunctions.Utility_DisplayArrayInTable(Common_SourceData.Common_SourceData_EFN2O_Data(), Table_SourceData_Common_EFN2O[[#Headers],[Production system j]], 0)</f>
        <v>Any</v>
      </c>
    </row>
    <row r="196" spans="4:8" ht="20.100000000000001" customHeight="1" x14ac:dyDescent="0.25">
      <c r="D196" s="33" t="str" cm="1">
        <f t="array" ref="D196">Common_InputFunctions.Utility_DisplayArrayInTable(Common_SourceData.Common_SourceData_EFN2O_Data(), Table_SourceData_Common_EFN2O[[#Headers],[Production system j]], 0)</f>
        <v>Rice (continuous flooding)</v>
      </c>
      <c r="E196" s="33" cm="1">
        <f t="array" ref="E196">Common_InputFunctions.Utility_DisplayArrayInTable(Common_SourceData.Common_SourceData_EFN2O_Data(), Table_SourceData_Common_EFN2O[[#Headers],[Production system j]], 0)</f>
        <v>3.0000000000000001E-3</v>
      </c>
      <c r="F196" s="33" t="str" cm="1">
        <f t="array" ref="F196">Common_InputFunctions.Utility_DisplayArrayInTable(Common_SourceData.Common_SourceData_EFN2O_Data(), Table_SourceData_Common_EFN2O[[#Headers],[Production system j]], 0)</f>
        <v>Rice</v>
      </c>
      <c r="G196" s="33" t="str" cm="1">
        <f t="array" ref="G196">Common_InputFunctions.Utility_DisplayArrayInTable(Common_SourceData.Common_SourceData_EFN2O_Data(), Table_SourceData_Common_EFN2O[[#Headers],[Production system j]], 0)</f>
        <v>Continuous flooding</v>
      </c>
      <c r="H196" s="33" t="str" cm="1">
        <f t="array" ref="H196">Common_InputFunctions.Utility_DisplayArrayInTable(Common_SourceData.Common_SourceData_EFN2O_Data(), Table_SourceData_Common_EFN2O[[#Headers],[Production system j]], 0)</f>
        <v>Any</v>
      </c>
    </row>
    <row r="197" spans="4:8" x14ac:dyDescent="0.25">
      <c r="D197" s="33" t="str" cm="1">
        <f t="array" ref="D197">Common_InputFunctions.Utility_DisplayArrayInTable(Common_SourceData.Common_SourceData_EFN2O_Data(), Table_SourceData_Common_EFN2O[[#Headers],[Production system j]], 0)</f>
        <v>Rice (single and multiple drainage, or alternate wetting and drying)</v>
      </c>
      <c r="E197" s="33" cm="1">
        <f t="array" ref="E197">Common_InputFunctions.Utility_DisplayArrayInTable(Common_SourceData.Common_SourceData_EFN2O_Data(), Table_SourceData_Common_EFN2O[[#Headers],[Production system j]], 0)</f>
        <v>5.0000000000000001E-3</v>
      </c>
      <c r="F197" s="33" t="str" cm="1">
        <f t="array" ref="F197">Common_InputFunctions.Utility_DisplayArrayInTable(Common_SourceData.Common_SourceData_EFN2O_Data(), Table_SourceData_Common_EFN2O[[#Headers],[Production system j]], 0)</f>
        <v>Rice</v>
      </c>
      <c r="G197" s="33" t="str" cm="1">
        <f t="array" ref="G197">Common_InputFunctions.Utility_DisplayArrayInTable(Common_SourceData.Common_SourceData_EFN2O_Data(), Table_SourceData_Common_EFN2O[[#Headers],[Production system j]], 0)</f>
        <v>Single and multiple drainage, or alternate wetting and drying</v>
      </c>
      <c r="H197" s="33" t="str" cm="1">
        <f t="array" ref="H197">Common_InputFunctions.Utility_DisplayArrayInTable(Common_SourceData.Common_SourceData_EFN2O_Data(), Table_SourceData_Common_EFN2O[[#Headers],[Production system j]], 0)</f>
        <v>Any</v>
      </c>
    </row>
    <row r="198" spans="4:8" x14ac:dyDescent="0.25">
      <c r="D198" s="33" t="str" cm="1">
        <f t="array" ref="D198">Common_InputFunctions.Utility_DisplayArrayInTable(Common_SourceData.Common_SourceData_EFN2O_Data(), Table_SourceData_Common_EFN2O[[#Headers],[Production system j]], 0)</f>
        <v>Aquaculture</v>
      </c>
      <c r="E198" s="33" cm="1">
        <f t="array" ref="E198">Common_InputFunctions.Utility_DisplayArrayInTable(Common_SourceData.Common_SourceData_EFN2O_Data(), Table_SourceData_Common_EFN2O[[#Headers],[Production system j]], 0)</f>
        <v>2.5999999999999999E-3</v>
      </c>
      <c r="F198" s="33" t="str" cm="1">
        <f t="array" ref="F198">Common_InputFunctions.Utility_DisplayArrayInTable(Common_SourceData.Common_SourceData_EFN2O_Data(), Table_SourceData_Common_EFN2O[[#Headers],[Production system j]], 0)</f>
        <v>Aquaculture</v>
      </c>
      <c r="G198" s="33" t="str" cm="1">
        <f t="array" ref="G198">Common_InputFunctions.Utility_DisplayArrayInTable(Common_SourceData.Common_SourceData_EFN2O_Data(), Table_SourceData_Common_EFN2O[[#Headers],[Production system j]], 0)</f>
        <v>Any</v>
      </c>
      <c r="H198" s="33" t="str" cm="1">
        <f t="array" ref="H198">Common_InputFunctions.Utility_DisplayArrayInTable(Common_SourceData.Common_SourceData_EFN2O_Data(), Table_SourceData_Common_EFN2O[[#Headers],[Production system j]], 0)</f>
        <v>Any</v>
      </c>
    </row>
    <row r="199" spans="4:8" x14ac:dyDescent="0.25">
      <c r="D199" s="33" t="str" cm="1">
        <f t="array" ref="D199">Common_InputFunctions.Utility_DisplayArrayInTable(Common_SourceData.Common_SourceData_EFN2O_Data(), Table_SourceData_Common_EFN2O[[#Headers],[Production system j]], 0)</f>
        <v>Forestry</v>
      </c>
      <c r="E199" s="33" cm="1">
        <f t="array" ref="E199">Common_InputFunctions.Utility_DisplayArrayInTable(Common_SourceData.Common_SourceData_EFN2O_Data(), Table_SourceData_Common_EFN2O[[#Headers],[Production system j]], 0)</f>
        <v>1.8E-3</v>
      </c>
      <c r="F199" s="33" t="str" cm="1">
        <f t="array" ref="F199">Common_InputFunctions.Utility_DisplayArrayInTable(Common_SourceData.Common_SourceData_EFN2O_Data(), Table_SourceData_Common_EFN2O[[#Headers],[Production system j]], 0)</f>
        <v>Forestry</v>
      </c>
      <c r="G199" s="33" t="str" cm="1">
        <f t="array" ref="G199">Common_InputFunctions.Utility_DisplayArrayInTable(Common_SourceData.Common_SourceData_EFN2O_Data(), Table_SourceData_Common_EFN2O[[#Headers],[Production system j]], 0)</f>
        <v>Any</v>
      </c>
      <c r="H199" s="33"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8" t="str" cm="1">
        <f t="array" ref="D204">Common_SourceData.Common_SourceData_EFPastureRangeAndPaddock_Variation()</f>
        <v>VARIATION FROM SOURCE DATA: Changed 'Dry climate zones' to singular 'Dry climate zone' to aid lookup.</v>
      </c>
    </row>
    <row r="205" spans="4:8" x14ac:dyDescent="0.25">
      <c r="D205" s="47" t="str" cm="1">
        <f t="array" ref="D205">Common_SourceData.Common_SourceData_EFPastureRangeAndPaddock_Unit()</f>
        <v>kg N2O - N / kg N</v>
      </c>
    </row>
    <row r="206" spans="4:8" x14ac:dyDescent="0.25">
      <c r="D206" s="33" t="s">
        <v>5</v>
      </c>
      <c r="E206" s="33" t="s">
        <v>96</v>
      </c>
    </row>
    <row r="207" spans="4:8" x14ac:dyDescent="0.25">
      <c r="D207" s="33" t="str" cm="1">
        <f t="array" ref="D207">Common_InputFunctions.Utility_DisplayArrayInTable(Common_SourceData.Common_SourceData_EFPastureRangeAndPaddock_Data(), Table_SourceData_EFPastureRangeAndPaddock[[#Headers],[Climate zone]], 0)</f>
        <v>Wet climate zone</v>
      </c>
      <c r="E207" s="33"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3"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3" t="s">
        <v>91</v>
      </c>
      <c r="E212" s="33" t="s">
        <v>101</v>
      </c>
    </row>
    <row r="213" spans="4:5" x14ac:dyDescent="0.25">
      <c r="D213" s="33" t="str" cm="1">
        <f t="array" ref="D213">Common_InputFunctions.Utility_DisplayArrayInTable(Common_SourceData.Common_SourceData_MonthsToSeasons_Data(), Table_SourceData_Common_MonthToSeason[[#Headers],[Month]], 0)</f>
        <v>January</v>
      </c>
      <c r="E213" s="33"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3"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3"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3"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3"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3"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3"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3"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3"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3"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3"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3"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3" t="s">
        <v>39</v>
      </c>
      <c r="E231" s="33" t="s">
        <v>138</v>
      </c>
      <c r="F231" s="32" t="s">
        <v>139</v>
      </c>
      <c r="G231" s="33" t="s">
        <v>140</v>
      </c>
      <c r="H231" s="33" t="s">
        <v>141</v>
      </c>
      <c r="I231" s="33" t="s">
        <v>142</v>
      </c>
      <c r="J231" s="33" t="s">
        <v>143</v>
      </c>
      <c r="K231" s="33" t="s">
        <v>144</v>
      </c>
      <c r="L231" s="33" t="s">
        <v>145</v>
      </c>
      <c r="M231" s="33" t="s">
        <v>146</v>
      </c>
      <c r="N231" s="33" t="s">
        <v>147</v>
      </c>
      <c r="O231" s="33" t="s">
        <v>148</v>
      </c>
      <c r="P231" s="33" t="s">
        <v>149</v>
      </c>
      <c r="Q231" s="33" t="s">
        <v>150</v>
      </c>
      <c r="R231" s="33" t="s">
        <v>151</v>
      </c>
      <c r="S231" s="33" t="s">
        <v>152</v>
      </c>
    </row>
    <row r="232" spans="4:19" x14ac:dyDescent="0.25">
      <c r="D232" s="33" t="str" cm="1">
        <f t="array" ref="D232">Common_InputFunctions.Utility_DisplayArrayInTable(Common_SourceData.Common_SourceData_MCFTemperatureZone_Data(),Table_SourceData_Common_MCFTemperatureZone[[#Headers],[Temperature zone]],0)</f>
        <v>Cool</v>
      </c>
      <c r="E232" s="33" t="str" cm="1">
        <f t="array" ref="E232">Common_InputFunctions.Utility_DisplayArrayInTable(Common_SourceData.Common_SourceData_MCFTemperatureZone_Data(),Table_SourceData_Common_MCFTemperatureZone[[#Headers],[Temperature zone]],0)</f>
        <v>≤10</v>
      </c>
      <c r="F232" s="33" cm="1">
        <f t="array" ref="F232">Common_InputFunctions.Utility_DisplayArrayInTable(Common_SourceData.Common_SourceData_MCFTemperatureZone_Data(),Table_SourceData_Common_MCFTemperatureZone[[#Headers],[Temperature zone]],0)</f>
        <v>0.66</v>
      </c>
      <c r="G232" s="33" cm="1">
        <f t="array" ref="G232">Common_InputFunctions.Utility_DisplayArrayInTable(Common_SourceData.Common_SourceData_MCFTemperatureZone_Data(),Table_SourceData_Common_MCFTemperatureZone[[#Headers],[Temperature zone]],0)</f>
        <v>0.1</v>
      </c>
      <c r="H232" s="33" cm="1">
        <f t="array" ref="H232">Common_InputFunctions.Utility_DisplayArrayInTable(Common_SourceData.Common_SourceData_MCFTemperatureZone_Data(),Table_SourceData_Common_MCFTemperatureZone[[#Headers],[Temperature zone]],0)</f>
        <v>0.1</v>
      </c>
      <c r="I232" s="33" cm="1">
        <f t="array" ref="I232">Common_InputFunctions.Utility_DisplayArrayInTable(Common_SourceData.Common_SourceData_MCFTemperatureZone_Data(),Table_SourceData_Common_MCFTemperatureZone[[#Headers],[Temperature zone]],0)</f>
        <v>1E-3</v>
      </c>
      <c r="J232" s="33" cm="1">
        <f t="array" ref="J232">Common_InputFunctions.Utility_DisplayArrayInTable(Common_SourceData.Common_SourceData_MCFTemperatureZone_Data(),Table_SourceData_Common_MCFTemperatureZone[[#Headers],[Temperature zone]],0)</f>
        <v>5.0000000000000001E-3</v>
      </c>
      <c r="K232" s="33" cm="1">
        <f t="array" ref="K232">Common_InputFunctions.Utility_DisplayArrayInTable(Common_SourceData.Common_SourceData_MCFTemperatureZone_Data(),Table_SourceData_Common_MCFTemperatureZone[[#Headers],[Temperature zone]],0)</f>
        <v>0.02</v>
      </c>
      <c r="L232" s="33" cm="1">
        <f t="array" ref="L232">Common_InputFunctions.Utility_DisplayArrayInTable(Common_SourceData.Common_SourceData_MCFTemperatureZone_Data(),Table_SourceData_Common_MCFTemperatureZone[[#Headers],[Temperature zone]],0)</f>
        <v>0.03</v>
      </c>
      <c r="M232" s="33" cm="1">
        <f t="array" ref="M232">Common_InputFunctions.Utility_DisplayArrayInTable(Common_SourceData.Common_SourceData_MCFTemperatureZone_Data(),Table_SourceData_Common_MCFTemperatureZone[[#Headers],[Temperature zone]],0)</f>
        <v>0.04</v>
      </c>
      <c r="N232" s="33" cm="1">
        <f t="array" ref="N232">Common_InputFunctions.Utility_DisplayArrayInTable(Common_SourceData.Common_SourceData_MCFTemperatureZone_Data(),Table_SourceData_Common_MCFTemperatureZone[[#Headers],[Temperature zone]],0)</f>
        <v>1.4999999999999999E-2</v>
      </c>
      <c r="O232" s="33" cm="1">
        <f t="array" ref="O232">Common_InputFunctions.Utility_DisplayArrayInTable(Common_SourceData.Common_SourceData_MCFTemperatureZone_Data(),Table_SourceData_Common_MCFTemperatureZone[[#Headers],[Temperature zone]],0)</f>
        <v>1.4999999999999999E-2</v>
      </c>
      <c r="P232" s="33" cm="1">
        <f t="array" ref="P232">Common_InputFunctions.Utility_DisplayArrayInTable(Common_SourceData.Common_SourceData_MCFTemperatureZone_Data(),Table_SourceData_Common_MCFTemperatureZone[[#Headers],[Temperature zone]],0)</f>
        <v>0</v>
      </c>
      <c r="Q232" s="33" cm="1">
        <f t="array" ref="Q232">Common_InputFunctions.Utility_DisplayArrayInTable(Common_SourceData.Common_SourceData_MCFTemperatureZone_Data(),Table_SourceData_Common_MCFTemperatureZone[[#Headers],[Temperature zone]],0)</f>
        <v>0</v>
      </c>
      <c r="R232" s="33" cm="1">
        <f t="array" ref="R232">Common_InputFunctions.Utility_DisplayArrayInTable(Common_SourceData.Common_SourceData_MCFTemperatureZone_Data(),Table_SourceData_Common_MCFTemperatureZone[[#Headers],[Temperature zone]],0)</f>
        <v>4.7000000000000002E-3</v>
      </c>
      <c r="S232" s="33"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3" cm="1">
        <f t="array" ref="E233">Common_InputFunctions.Utility_DisplayArrayInTable(Common_SourceData.Common_SourceData_MCFTemperatureZone_Data(),Table_SourceData_Common_MCFTemperatureZone[[#Headers],[Temperature zone]],0)</f>
        <v>11</v>
      </c>
      <c r="F233" s="33" cm="1">
        <f t="array" ref="F233">Common_InputFunctions.Utility_DisplayArrayInTable(Common_SourceData.Common_SourceData_MCFTemperatureZone_Data(),Table_SourceData_Common_MCFTemperatureZone[[#Headers],[Temperature zone]],0)</f>
        <v>0.68</v>
      </c>
      <c r="G233" s="33" cm="1">
        <f t="array" ref="G233">Common_InputFunctions.Utility_DisplayArrayInTable(Common_SourceData.Common_SourceData_MCFTemperatureZone_Data(),Table_SourceData_Common_MCFTemperatureZone[[#Headers],[Temperature zone]],0)</f>
        <v>0.1</v>
      </c>
      <c r="H233" s="33" cm="1">
        <f t="array" ref="H233">Common_InputFunctions.Utility_DisplayArrayInTable(Common_SourceData.Common_SourceData_MCFTemperatureZone_Data(),Table_SourceData_Common_MCFTemperatureZone[[#Headers],[Temperature zone]],0)</f>
        <v>0.11</v>
      </c>
      <c r="I233" s="33" cm="1">
        <f t="array" ref="I233">Common_InputFunctions.Utility_DisplayArrayInTable(Common_SourceData.Common_SourceData_MCFTemperatureZone_Data(),Table_SourceData_Common_MCFTemperatureZone[[#Headers],[Temperature zone]],0)</f>
        <v>1E-3</v>
      </c>
      <c r="J233" s="33" cm="1">
        <f t="array" ref="J233">Common_InputFunctions.Utility_DisplayArrayInTable(Common_SourceData.Common_SourceData_MCFTemperatureZone_Data(),Table_SourceData_Common_MCFTemperatureZone[[#Headers],[Temperature zone]],0)</f>
        <v>5.0000000000000001E-3</v>
      </c>
      <c r="K233" s="33" cm="1">
        <f t="array" ref="K233">Common_InputFunctions.Utility_DisplayArrayInTable(Common_SourceData.Common_SourceData_MCFTemperatureZone_Data(),Table_SourceData_Common_MCFTemperatureZone[[#Headers],[Temperature zone]],0)</f>
        <v>0.02</v>
      </c>
      <c r="L233" s="33" cm="1">
        <f t="array" ref="L233">Common_InputFunctions.Utility_DisplayArrayInTable(Common_SourceData.Common_SourceData_MCFTemperatureZone_Data(),Table_SourceData_Common_MCFTemperatureZone[[#Headers],[Temperature zone]],0)</f>
        <v>0.03</v>
      </c>
      <c r="M233" s="33" cm="1">
        <f t="array" ref="M233">Common_InputFunctions.Utility_DisplayArrayInTable(Common_SourceData.Common_SourceData_MCFTemperatureZone_Data(),Table_SourceData_Common_MCFTemperatureZone[[#Headers],[Temperature zone]],0)</f>
        <v>0.04</v>
      </c>
      <c r="N233" s="33" cm="1">
        <f t="array" ref="N233">Common_InputFunctions.Utility_DisplayArrayInTable(Common_SourceData.Common_SourceData_MCFTemperatureZone_Data(),Table_SourceData_Common_MCFTemperatureZone[[#Headers],[Temperature zone]],0)</f>
        <v>1.4999999999999999E-2</v>
      </c>
      <c r="O233" s="33" cm="1">
        <f t="array" ref="O233">Common_InputFunctions.Utility_DisplayArrayInTable(Common_SourceData.Common_SourceData_MCFTemperatureZone_Data(),Table_SourceData_Common_MCFTemperatureZone[[#Headers],[Temperature zone]],0)</f>
        <v>1.4999999999999999E-2</v>
      </c>
      <c r="P233" s="33" cm="1">
        <f t="array" ref="P233">Common_InputFunctions.Utility_DisplayArrayInTable(Common_SourceData.Common_SourceData_MCFTemperatureZone_Data(),Table_SourceData_Common_MCFTemperatureZone[[#Headers],[Temperature zone]],0)</f>
        <v>0</v>
      </c>
      <c r="Q233" s="33" cm="1">
        <f t="array" ref="Q233">Common_InputFunctions.Utility_DisplayArrayInTable(Common_SourceData.Common_SourceData_MCFTemperatureZone_Data(),Table_SourceData_Common_MCFTemperatureZone[[#Headers],[Temperature zone]],0)</f>
        <v>0</v>
      </c>
      <c r="R233" s="33" cm="1">
        <f t="array" ref="R233">Common_InputFunctions.Utility_DisplayArrayInTable(Common_SourceData.Common_SourceData_MCFTemperatureZone_Data(),Table_SourceData_Common_MCFTemperatureZone[[#Headers],[Temperature zone]],0)</f>
        <v>4.7000000000000002E-3</v>
      </c>
      <c r="S233" s="33"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3" cm="1">
        <f t="array" ref="E234">Common_InputFunctions.Utility_DisplayArrayInTable(Common_SourceData.Common_SourceData_MCFTemperatureZone_Data(),Table_SourceData_Common_MCFTemperatureZone[[#Headers],[Temperature zone]],0)</f>
        <v>12</v>
      </c>
      <c r="F234" s="33" cm="1">
        <f t="array" ref="F234">Common_InputFunctions.Utility_DisplayArrayInTable(Common_SourceData.Common_SourceData_MCFTemperatureZone_Data(),Table_SourceData_Common_MCFTemperatureZone[[#Headers],[Temperature zone]],0)</f>
        <v>0.7</v>
      </c>
      <c r="G234" s="33" cm="1">
        <f t="array" ref="G234">Common_InputFunctions.Utility_DisplayArrayInTable(Common_SourceData.Common_SourceData_MCFTemperatureZone_Data(),Table_SourceData_Common_MCFTemperatureZone[[#Headers],[Temperature zone]],0)</f>
        <v>0.1</v>
      </c>
      <c r="H234" s="33" cm="1">
        <f t="array" ref="H234">Common_InputFunctions.Utility_DisplayArrayInTable(Common_SourceData.Common_SourceData_MCFTemperatureZone_Data(),Table_SourceData_Common_MCFTemperatureZone[[#Headers],[Temperature zone]],0)</f>
        <v>0.13</v>
      </c>
      <c r="I234" s="33" cm="1">
        <f t="array" ref="I234">Common_InputFunctions.Utility_DisplayArrayInTable(Common_SourceData.Common_SourceData_MCFTemperatureZone_Data(),Table_SourceData_Common_MCFTemperatureZone[[#Headers],[Temperature zone]],0)</f>
        <v>1E-3</v>
      </c>
      <c r="J234" s="33" cm="1">
        <f t="array" ref="J234">Common_InputFunctions.Utility_DisplayArrayInTable(Common_SourceData.Common_SourceData_MCFTemperatureZone_Data(),Table_SourceData_Common_MCFTemperatureZone[[#Headers],[Temperature zone]],0)</f>
        <v>5.0000000000000001E-3</v>
      </c>
      <c r="K234" s="33" cm="1">
        <f t="array" ref="K234">Common_InputFunctions.Utility_DisplayArrayInTable(Common_SourceData.Common_SourceData_MCFTemperatureZone_Data(),Table_SourceData_Common_MCFTemperatureZone[[#Headers],[Temperature zone]],0)</f>
        <v>0.02</v>
      </c>
      <c r="L234" s="33" cm="1">
        <f t="array" ref="L234">Common_InputFunctions.Utility_DisplayArrayInTable(Common_SourceData.Common_SourceData_MCFTemperatureZone_Data(),Table_SourceData_Common_MCFTemperatureZone[[#Headers],[Temperature zone]],0)</f>
        <v>0.03</v>
      </c>
      <c r="M234" s="33" cm="1">
        <f t="array" ref="M234">Common_InputFunctions.Utility_DisplayArrayInTable(Common_SourceData.Common_SourceData_MCFTemperatureZone_Data(),Table_SourceData_Common_MCFTemperatureZone[[#Headers],[Temperature zone]],0)</f>
        <v>0.04</v>
      </c>
      <c r="N234" s="33" cm="1">
        <f t="array" ref="N234">Common_InputFunctions.Utility_DisplayArrayInTable(Common_SourceData.Common_SourceData_MCFTemperatureZone_Data(),Table_SourceData_Common_MCFTemperatureZone[[#Headers],[Temperature zone]],0)</f>
        <v>1.4999999999999999E-2</v>
      </c>
      <c r="O234" s="33" cm="1">
        <f t="array" ref="O234">Common_InputFunctions.Utility_DisplayArrayInTable(Common_SourceData.Common_SourceData_MCFTemperatureZone_Data(),Table_SourceData_Common_MCFTemperatureZone[[#Headers],[Temperature zone]],0)</f>
        <v>1.4999999999999999E-2</v>
      </c>
      <c r="P234" s="33" cm="1">
        <f t="array" ref="P234">Common_InputFunctions.Utility_DisplayArrayInTable(Common_SourceData.Common_SourceData_MCFTemperatureZone_Data(),Table_SourceData_Common_MCFTemperatureZone[[#Headers],[Temperature zone]],0)</f>
        <v>0</v>
      </c>
      <c r="Q234" s="33" cm="1">
        <f t="array" ref="Q234">Common_InputFunctions.Utility_DisplayArrayInTable(Common_SourceData.Common_SourceData_MCFTemperatureZone_Data(),Table_SourceData_Common_MCFTemperatureZone[[#Headers],[Temperature zone]],0)</f>
        <v>0</v>
      </c>
      <c r="R234" s="33" cm="1">
        <f t="array" ref="R234">Common_InputFunctions.Utility_DisplayArrayInTable(Common_SourceData.Common_SourceData_MCFTemperatureZone_Data(),Table_SourceData_Common_MCFTemperatureZone[[#Headers],[Temperature zone]],0)</f>
        <v>4.7000000000000002E-3</v>
      </c>
      <c r="S234" s="33"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3" cm="1">
        <f t="array" ref="E235">Common_InputFunctions.Utility_DisplayArrayInTable(Common_SourceData.Common_SourceData_MCFTemperatureZone_Data(),Table_SourceData_Common_MCFTemperatureZone[[#Headers],[Temperature zone]],0)</f>
        <v>13</v>
      </c>
      <c r="F235" s="33" cm="1">
        <f t="array" ref="F235">Common_InputFunctions.Utility_DisplayArrayInTable(Common_SourceData.Common_SourceData_MCFTemperatureZone_Data(),Table_SourceData_Common_MCFTemperatureZone[[#Headers],[Temperature zone]],0)</f>
        <v>0.71</v>
      </c>
      <c r="G235" s="33" cm="1">
        <f t="array" ref="G235">Common_InputFunctions.Utility_DisplayArrayInTable(Common_SourceData.Common_SourceData_MCFTemperatureZone_Data(),Table_SourceData_Common_MCFTemperatureZone[[#Headers],[Temperature zone]],0)</f>
        <v>0.1</v>
      </c>
      <c r="H235" s="33" cm="1">
        <f t="array" ref="H235">Common_InputFunctions.Utility_DisplayArrayInTable(Common_SourceData.Common_SourceData_MCFTemperatureZone_Data(),Table_SourceData_Common_MCFTemperatureZone[[#Headers],[Temperature zone]],0)</f>
        <v>0.14000000000000001</v>
      </c>
      <c r="I235" s="33" cm="1">
        <f t="array" ref="I235">Common_InputFunctions.Utility_DisplayArrayInTable(Common_SourceData.Common_SourceData_MCFTemperatureZone_Data(),Table_SourceData_Common_MCFTemperatureZone[[#Headers],[Temperature zone]],0)</f>
        <v>1E-3</v>
      </c>
      <c r="J235" s="33" cm="1">
        <f t="array" ref="J235">Common_InputFunctions.Utility_DisplayArrayInTable(Common_SourceData.Common_SourceData_MCFTemperatureZone_Data(),Table_SourceData_Common_MCFTemperatureZone[[#Headers],[Temperature zone]],0)</f>
        <v>5.0000000000000001E-3</v>
      </c>
      <c r="K235" s="33" cm="1">
        <f t="array" ref="K235">Common_InputFunctions.Utility_DisplayArrayInTable(Common_SourceData.Common_SourceData_MCFTemperatureZone_Data(),Table_SourceData_Common_MCFTemperatureZone[[#Headers],[Temperature zone]],0)</f>
        <v>0.02</v>
      </c>
      <c r="L235" s="33" cm="1">
        <f t="array" ref="L235">Common_InputFunctions.Utility_DisplayArrayInTable(Common_SourceData.Common_SourceData_MCFTemperatureZone_Data(),Table_SourceData_Common_MCFTemperatureZone[[#Headers],[Temperature zone]],0)</f>
        <v>0.03</v>
      </c>
      <c r="M235" s="33" cm="1">
        <f t="array" ref="M235">Common_InputFunctions.Utility_DisplayArrayInTable(Common_SourceData.Common_SourceData_MCFTemperatureZone_Data(),Table_SourceData_Common_MCFTemperatureZone[[#Headers],[Temperature zone]],0)</f>
        <v>0.04</v>
      </c>
      <c r="N235" s="33" cm="1">
        <f t="array" ref="N235">Common_InputFunctions.Utility_DisplayArrayInTable(Common_SourceData.Common_SourceData_MCFTemperatureZone_Data(),Table_SourceData_Common_MCFTemperatureZone[[#Headers],[Temperature zone]],0)</f>
        <v>1.4999999999999999E-2</v>
      </c>
      <c r="O235" s="33" cm="1">
        <f t="array" ref="O235">Common_InputFunctions.Utility_DisplayArrayInTable(Common_SourceData.Common_SourceData_MCFTemperatureZone_Data(),Table_SourceData_Common_MCFTemperatureZone[[#Headers],[Temperature zone]],0)</f>
        <v>1.4999999999999999E-2</v>
      </c>
      <c r="P235" s="33" cm="1">
        <f t="array" ref="P235">Common_InputFunctions.Utility_DisplayArrayInTable(Common_SourceData.Common_SourceData_MCFTemperatureZone_Data(),Table_SourceData_Common_MCFTemperatureZone[[#Headers],[Temperature zone]],0)</f>
        <v>0</v>
      </c>
      <c r="Q235" s="33" cm="1">
        <f t="array" ref="Q235">Common_InputFunctions.Utility_DisplayArrayInTable(Common_SourceData.Common_SourceData_MCFTemperatureZone_Data(),Table_SourceData_Common_MCFTemperatureZone[[#Headers],[Temperature zone]],0)</f>
        <v>0</v>
      </c>
      <c r="R235" s="33" cm="1">
        <f t="array" ref="R235">Common_InputFunctions.Utility_DisplayArrayInTable(Common_SourceData.Common_SourceData_MCFTemperatureZone_Data(),Table_SourceData_Common_MCFTemperatureZone[[#Headers],[Temperature zone]],0)</f>
        <v>4.7000000000000002E-3</v>
      </c>
      <c r="S235" s="33"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3" cm="1">
        <f t="array" ref="E236">Common_InputFunctions.Utility_DisplayArrayInTable(Common_SourceData.Common_SourceData_MCFTemperatureZone_Data(),Table_SourceData_Common_MCFTemperatureZone[[#Headers],[Temperature zone]],0)</f>
        <v>14</v>
      </c>
      <c r="F236" s="33" cm="1">
        <f t="array" ref="F236">Common_InputFunctions.Utility_DisplayArrayInTable(Common_SourceData.Common_SourceData_MCFTemperatureZone_Data(),Table_SourceData_Common_MCFTemperatureZone[[#Headers],[Temperature zone]],0)</f>
        <v>0.73</v>
      </c>
      <c r="G236" s="33" cm="1">
        <f t="array" ref="G236">Common_InputFunctions.Utility_DisplayArrayInTable(Common_SourceData.Common_SourceData_MCFTemperatureZone_Data(),Table_SourceData_Common_MCFTemperatureZone[[#Headers],[Temperature zone]],0)</f>
        <v>0.1</v>
      </c>
      <c r="H236" s="33" cm="1">
        <f t="array" ref="H236">Common_InputFunctions.Utility_DisplayArrayInTable(Common_SourceData.Common_SourceData_MCFTemperatureZone_Data(),Table_SourceData_Common_MCFTemperatureZone[[#Headers],[Temperature zone]],0)</f>
        <v>0.15</v>
      </c>
      <c r="I236" s="33" cm="1">
        <f t="array" ref="I236">Common_InputFunctions.Utility_DisplayArrayInTable(Common_SourceData.Common_SourceData_MCFTemperatureZone_Data(),Table_SourceData_Common_MCFTemperatureZone[[#Headers],[Temperature zone]],0)</f>
        <v>1E-3</v>
      </c>
      <c r="J236" s="33" cm="1">
        <f t="array" ref="J236">Common_InputFunctions.Utility_DisplayArrayInTable(Common_SourceData.Common_SourceData_MCFTemperatureZone_Data(),Table_SourceData_Common_MCFTemperatureZone[[#Headers],[Temperature zone]],0)</f>
        <v>5.0000000000000001E-3</v>
      </c>
      <c r="K236" s="33" cm="1">
        <f t="array" ref="K236">Common_InputFunctions.Utility_DisplayArrayInTable(Common_SourceData.Common_SourceData_MCFTemperatureZone_Data(),Table_SourceData_Common_MCFTemperatureZone[[#Headers],[Temperature zone]],0)</f>
        <v>0.02</v>
      </c>
      <c r="L236" s="33" cm="1">
        <f t="array" ref="L236">Common_InputFunctions.Utility_DisplayArrayInTable(Common_SourceData.Common_SourceData_MCFTemperatureZone_Data(),Table_SourceData_Common_MCFTemperatureZone[[#Headers],[Temperature zone]],0)</f>
        <v>0.03</v>
      </c>
      <c r="M236" s="33" cm="1">
        <f t="array" ref="M236">Common_InputFunctions.Utility_DisplayArrayInTable(Common_SourceData.Common_SourceData_MCFTemperatureZone_Data(),Table_SourceData_Common_MCFTemperatureZone[[#Headers],[Temperature zone]],0)</f>
        <v>0.04</v>
      </c>
      <c r="N236" s="33" cm="1">
        <f t="array" ref="N236">Common_InputFunctions.Utility_DisplayArrayInTable(Common_SourceData.Common_SourceData_MCFTemperatureZone_Data(),Table_SourceData_Common_MCFTemperatureZone[[#Headers],[Temperature zone]],0)</f>
        <v>1.4999999999999999E-2</v>
      </c>
      <c r="O236" s="33" cm="1">
        <f t="array" ref="O236">Common_InputFunctions.Utility_DisplayArrayInTable(Common_SourceData.Common_SourceData_MCFTemperatureZone_Data(),Table_SourceData_Common_MCFTemperatureZone[[#Headers],[Temperature zone]],0)</f>
        <v>1.4999999999999999E-2</v>
      </c>
      <c r="P236" s="33" cm="1">
        <f t="array" ref="P236">Common_InputFunctions.Utility_DisplayArrayInTable(Common_SourceData.Common_SourceData_MCFTemperatureZone_Data(),Table_SourceData_Common_MCFTemperatureZone[[#Headers],[Temperature zone]],0)</f>
        <v>0</v>
      </c>
      <c r="Q236" s="33" cm="1">
        <f t="array" ref="Q236">Common_InputFunctions.Utility_DisplayArrayInTable(Common_SourceData.Common_SourceData_MCFTemperatureZone_Data(),Table_SourceData_Common_MCFTemperatureZone[[#Headers],[Temperature zone]],0)</f>
        <v>0</v>
      </c>
      <c r="R236" s="33" cm="1">
        <f t="array" ref="R236">Common_InputFunctions.Utility_DisplayArrayInTable(Common_SourceData.Common_SourceData_MCFTemperatureZone_Data(),Table_SourceData_Common_MCFTemperatureZone[[#Headers],[Temperature zone]],0)</f>
        <v>4.7000000000000002E-3</v>
      </c>
      <c r="S236" s="33"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3" cm="1">
        <f t="array" ref="E237">Common_InputFunctions.Utility_DisplayArrayInTable(Common_SourceData.Common_SourceData_MCFTemperatureZone_Data(),Table_SourceData_Common_MCFTemperatureZone[[#Headers],[Temperature zone]],0)</f>
        <v>15</v>
      </c>
      <c r="F237" s="33" cm="1">
        <f t="array" ref="F237">Common_InputFunctions.Utility_DisplayArrayInTable(Common_SourceData.Common_SourceData_MCFTemperatureZone_Data(),Table_SourceData_Common_MCFTemperatureZone[[#Headers],[Temperature zone]],0)</f>
        <v>0.74</v>
      </c>
      <c r="G237" s="33" cm="1">
        <f t="array" ref="G237">Common_InputFunctions.Utility_DisplayArrayInTable(Common_SourceData.Common_SourceData_MCFTemperatureZone_Data(),Table_SourceData_Common_MCFTemperatureZone[[#Headers],[Temperature zone]],0)</f>
        <v>0.1</v>
      </c>
      <c r="H237" s="33" cm="1">
        <f t="array" ref="H237">Common_InputFunctions.Utility_DisplayArrayInTable(Common_SourceData.Common_SourceData_MCFTemperatureZone_Data(),Table_SourceData_Common_MCFTemperatureZone[[#Headers],[Temperature zone]],0)</f>
        <v>0.17</v>
      </c>
      <c r="I237" s="33" cm="1">
        <f t="array" ref="I237">Common_InputFunctions.Utility_DisplayArrayInTable(Common_SourceData.Common_SourceData_MCFTemperatureZone_Data(),Table_SourceData_Common_MCFTemperatureZone[[#Headers],[Temperature zone]],0)</f>
        <v>5.0000000000000001E-3</v>
      </c>
      <c r="J237" s="33" cm="1">
        <f t="array" ref="J237">Common_InputFunctions.Utility_DisplayArrayInTable(Common_SourceData.Common_SourceData_MCFTemperatureZone_Data(),Table_SourceData_Common_MCFTemperatureZone[[#Headers],[Temperature zone]],0)</f>
        <v>0.01</v>
      </c>
      <c r="K237" s="33" cm="1">
        <f t="array" ref="K237">Common_InputFunctions.Utility_DisplayArrayInTable(Common_SourceData.Common_SourceData_MCFTemperatureZone_Data(),Table_SourceData_Common_MCFTemperatureZone[[#Headers],[Temperature zone]],0)</f>
        <v>0.02</v>
      </c>
      <c r="L237" s="33" cm="1">
        <f t="array" ref="L237">Common_InputFunctions.Utility_DisplayArrayInTable(Common_SourceData.Common_SourceData_MCFTemperatureZone_Data(),Table_SourceData_Common_MCFTemperatureZone[[#Headers],[Temperature zone]],0)</f>
        <v>0.03</v>
      </c>
      <c r="M237" s="33" cm="1">
        <f t="array" ref="M237">Common_InputFunctions.Utility_DisplayArrayInTable(Common_SourceData.Common_SourceData_MCFTemperatureZone_Data(),Table_SourceData_Common_MCFTemperatureZone[[#Headers],[Temperature zone]],0)</f>
        <v>0.04</v>
      </c>
      <c r="N237" s="33" cm="1">
        <f t="array" ref="N237">Common_InputFunctions.Utility_DisplayArrayInTable(Common_SourceData.Common_SourceData_MCFTemperatureZone_Data(),Table_SourceData_Common_MCFTemperatureZone[[#Headers],[Temperature zone]],0)</f>
        <v>1.4999999999999999E-2</v>
      </c>
      <c r="O237" s="33" cm="1">
        <f t="array" ref="O237">Common_InputFunctions.Utility_DisplayArrayInTable(Common_SourceData.Common_SourceData_MCFTemperatureZone_Data(),Table_SourceData_Common_MCFTemperatureZone[[#Headers],[Temperature zone]],0)</f>
        <v>1.4999999999999999E-2</v>
      </c>
      <c r="P237" s="33" cm="1">
        <f t="array" ref="P237">Common_InputFunctions.Utility_DisplayArrayInTable(Common_SourceData.Common_SourceData_MCFTemperatureZone_Data(),Table_SourceData_Common_MCFTemperatureZone[[#Headers],[Temperature zone]],0)</f>
        <v>0</v>
      </c>
      <c r="Q237" s="33" cm="1">
        <f t="array" ref="Q237">Common_InputFunctions.Utility_DisplayArrayInTable(Common_SourceData.Common_SourceData_MCFTemperatureZone_Data(),Table_SourceData_Common_MCFTemperatureZone[[#Headers],[Temperature zone]],0)</f>
        <v>0</v>
      </c>
      <c r="R237" s="33" cm="1">
        <f t="array" ref="R237">Common_InputFunctions.Utility_DisplayArrayInTable(Common_SourceData.Common_SourceData_MCFTemperatureZone_Data(),Table_SourceData_Common_MCFTemperatureZone[[#Headers],[Temperature zone]],0)</f>
        <v>4.7000000000000002E-3</v>
      </c>
      <c r="S237" s="33"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3" cm="1">
        <f t="array" ref="E238">Common_InputFunctions.Utility_DisplayArrayInTable(Common_SourceData.Common_SourceData_MCFTemperatureZone_Data(),Table_SourceData_Common_MCFTemperatureZone[[#Headers],[Temperature zone]],0)</f>
        <v>16</v>
      </c>
      <c r="F238" s="33" cm="1">
        <f t="array" ref="F238">Common_InputFunctions.Utility_DisplayArrayInTable(Common_SourceData.Common_SourceData_MCFTemperatureZone_Data(),Table_SourceData_Common_MCFTemperatureZone[[#Headers],[Temperature zone]],0)</f>
        <v>0.75</v>
      </c>
      <c r="G238" s="33" cm="1">
        <f t="array" ref="G238">Common_InputFunctions.Utility_DisplayArrayInTable(Common_SourceData.Common_SourceData_MCFTemperatureZone_Data(),Table_SourceData_Common_MCFTemperatureZone[[#Headers],[Temperature zone]],0)</f>
        <v>0.1</v>
      </c>
      <c r="H238" s="33" cm="1">
        <f t="array" ref="H238">Common_InputFunctions.Utility_DisplayArrayInTable(Common_SourceData.Common_SourceData_MCFTemperatureZone_Data(),Table_SourceData_Common_MCFTemperatureZone[[#Headers],[Temperature zone]],0)</f>
        <v>0.18</v>
      </c>
      <c r="I238" s="33" cm="1">
        <f t="array" ref="I238">Common_InputFunctions.Utility_DisplayArrayInTable(Common_SourceData.Common_SourceData_MCFTemperatureZone_Data(),Table_SourceData_Common_MCFTemperatureZone[[#Headers],[Temperature zone]],0)</f>
        <v>5.0000000000000001E-3</v>
      </c>
      <c r="J238" s="33" cm="1">
        <f t="array" ref="J238">Common_InputFunctions.Utility_DisplayArrayInTable(Common_SourceData.Common_SourceData_MCFTemperatureZone_Data(),Table_SourceData_Common_MCFTemperatureZone[[#Headers],[Temperature zone]],0)</f>
        <v>0.01</v>
      </c>
      <c r="K238" s="33" cm="1">
        <f t="array" ref="K238">Common_InputFunctions.Utility_DisplayArrayInTable(Common_SourceData.Common_SourceData_MCFTemperatureZone_Data(),Table_SourceData_Common_MCFTemperatureZone[[#Headers],[Temperature zone]],0)</f>
        <v>0.02</v>
      </c>
      <c r="L238" s="33" cm="1">
        <f t="array" ref="L238">Common_InputFunctions.Utility_DisplayArrayInTable(Common_SourceData.Common_SourceData_MCFTemperatureZone_Data(),Table_SourceData_Common_MCFTemperatureZone[[#Headers],[Temperature zone]],0)</f>
        <v>0.03</v>
      </c>
      <c r="M238" s="33" cm="1">
        <f t="array" ref="M238">Common_InputFunctions.Utility_DisplayArrayInTable(Common_SourceData.Common_SourceData_MCFTemperatureZone_Data(),Table_SourceData_Common_MCFTemperatureZone[[#Headers],[Temperature zone]],0)</f>
        <v>0.04</v>
      </c>
      <c r="N238" s="33" cm="1">
        <f t="array" ref="N238">Common_InputFunctions.Utility_DisplayArrayInTable(Common_SourceData.Common_SourceData_MCFTemperatureZone_Data(),Table_SourceData_Common_MCFTemperatureZone[[#Headers],[Temperature zone]],0)</f>
        <v>1.4999999999999999E-2</v>
      </c>
      <c r="O238" s="33" cm="1">
        <f t="array" ref="O238">Common_InputFunctions.Utility_DisplayArrayInTable(Common_SourceData.Common_SourceData_MCFTemperatureZone_Data(),Table_SourceData_Common_MCFTemperatureZone[[#Headers],[Temperature zone]],0)</f>
        <v>1.4999999999999999E-2</v>
      </c>
      <c r="P238" s="33" cm="1">
        <f t="array" ref="P238">Common_InputFunctions.Utility_DisplayArrayInTable(Common_SourceData.Common_SourceData_MCFTemperatureZone_Data(),Table_SourceData_Common_MCFTemperatureZone[[#Headers],[Temperature zone]],0)</f>
        <v>0</v>
      </c>
      <c r="Q238" s="33" cm="1">
        <f t="array" ref="Q238">Common_InputFunctions.Utility_DisplayArrayInTable(Common_SourceData.Common_SourceData_MCFTemperatureZone_Data(),Table_SourceData_Common_MCFTemperatureZone[[#Headers],[Temperature zone]],0)</f>
        <v>0</v>
      </c>
      <c r="R238" s="33" cm="1">
        <f t="array" ref="R238">Common_InputFunctions.Utility_DisplayArrayInTable(Common_SourceData.Common_SourceData_MCFTemperatureZone_Data(),Table_SourceData_Common_MCFTemperatureZone[[#Headers],[Temperature zone]],0)</f>
        <v>4.7000000000000002E-3</v>
      </c>
      <c r="S238" s="33"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3" cm="1">
        <f t="array" ref="E239">Common_InputFunctions.Utility_DisplayArrayInTable(Common_SourceData.Common_SourceData_MCFTemperatureZone_Data(),Table_SourceData_Common_MCFTemperatureZone[[#Headers],[Temperature zone]],0)</f>
        <v>17</v>
      </c>
      <c r="F239" s="33" cm="1">
        <f t="array" ref="F239">Common_InputFunctions.Utility_DisplayArrayInTable(Common_SourceData.Common_SourceData_MCFTemperatureZone_Data(),Table_SourceData_Common_MCFTemperatureZone[[#Headers],[Temperature zone]],0)</f>
        <v>0.76</v>
      </c>
      <c r="G239" s="33" cm="1">
        <f t="array" ref="G239">Common_InputFunctions.Utility_DisplayArrayInTable(Common_SourceData.Common_SourceData_MCFTemperatureZone_Data(),Table_SourceData_Common_MCFTemperatureZone[[#Headers],[Temperature zone]],0)</f>
        <v>0.1</v>
      </c>
      <c r="H239" s="33" cm="1">
        <f t="array" ref="H239">Common_InputFunctions.Utility_DisplayArrayInTable(Common_SourceData.Common_SourceData_MCFTemperatureZone_Data(),Table_SourceData_Common_MCFTemperatureZone[[#Headers],[Temperature zone]],0)</f>
        <v>0.2</v>
      </c>
      <c r="I239" s="33" cm="1">
        <f t="array" ref="I239">Common_InputFunctions.Utility_DisplayArrayInTable(Common_SourceData.Common_SourceData_MCFTemperatureZone_Data(),Table_SourceData_Common_MCFTemperatureZone[[#Headers],[Temperature zone]],0)</f>
        <v>5.0000000000000001E-3</v>
      </c>
      <c r="J239" s="33" cm="1">
        <f t="array" ref="J239">Common_InputFunctions.Utility_DisplayArrayInTable(Common_SourceData.Common_SourceData_MCFTemperatureZone_Data(),Table_SourceData_Common_MCFTemperatureZone[[#Headers],[Temperature zone]],0)</f>
        <v>0.01</v>
      </c>
      <c r="K239" s="33" cm="1">
        <f t="array" ref="K239">Common_InputFunctions.Utility_DisplayArrayInTable(Common_SourceData.Common_SourceData_MCFTemperatureZone_Data(),Table_SourceData_Common_MCFTemperatureZone[[#Headers],[Temperature zone]],0)</f>
        <v>0.02</v>
      </c>
      <c r="L239" s="33" cm="1">
        <f t="array" ref="L239">Common_InputFunctions.Utility_DisplayArrayInTable(Common_SourceData.Common_SourceData_MCFTemperatureZone_Data(),Table_SourceData_Common_MCFTemperatureZone[[#Headers],[Temperature zone]],0)</f>
        <v>0.03</v>
      </c>
      <c r="M239" s="33" cm="1">
        <f t="array" ref="M239">Common_InputFunctions.Utility_DisplayArrayInTable(Common_SourceData.Common_SourceData_MCFTemperatureZone_Data(),Table_SourceData_Common_MCFTemperatureZone[[#Headers],[Temperature zone]],0)</f>
        <v>0.04</v>
      </c>
      <c r="N239" s="33" cm="1">
        <f t="array" ref="N239">Common_InputFunctions.Utility_DisplayArrayInTable(Common_SourceData.Common_SourceData_MCFTemperatureZone_Data(),Table_SourceData_Common_MCFTemperatureZone[[#Headers],[Temperature zone]],0)</f>
        <v>1.4999999999999999E-2</v>
      </c>
      <c r="O239" s="33" cm="1">
        <f t="array" ref="O239">Common_InputFunctions.Utility_DisplayArrayInTable(Common_SourceData.Common_SourceData_MCFTemperatureZone_Data(),Table_SourceData_Common_MCFTemperatureZone[[#Headers],[Temperature zone]],0)</f>
        <v>1.4999999999999999E-2</v>
      </c>
      <c r="P239" s="33" cm="1">
        <f t="array" ref="P239">Common_InputFunctions.Utility_DisplayArrayInTable(Common_SourceData.Common_SourceData_MCFTemperatureZone_Data(),Table_SourceData_Common_MCFTemperatureZone[[#Headers],[Temperature zone]],0)</f>
        <v>0</v>
      </c>
      <c r="Q239" s="33" cm="1">
        <f t="array" ref="Q239">Common_InputFunctions.Utility_DisplayArrayInTable(Common_SourceData.Common_SourceData_MCFTemperatureZone_Data(),Table_SourceData_Common_MCFTemperatureZone[[#Headers],[Temperature zone]],0)</f>
        <v>0</v>
      </c>
      <c r="R239" s="33" cm="1">
        <f t="array" ref="R239">Common_InputFunctions.Utility_DisplayArrayInTable(Common_SourceData.Common_SourceData_MCFTemperatureZone_Data(),Table_SourceData_Common_MCFTemperatureZone[[#Headers],[Temperature zone]],0)</f>
        <v>4.7000000000000002E-3</v>
      </c>
      <c r="S239" s="33"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3" cm="1">
        <f t="array" ref="E240">Common_InputFunctions.Utility_DisplayArrayInTable(Common_SourceData.Common_SourceData_MCFTemperatureZone_Data(),Table_SourceData_Common_MCFTemperatureZone[[#Headers],[Temperature zone]],0)</f>
        <v>18</v>
      </c>
      <c r="F240" s="33" cm="1">
        <f t="array" ref="F240">Common_InputFunctions.Utility_DisplayArrayInTable(Common_SourceData.Common_SourceData_MCFTemperatureZone_Data(),Table_SourceData_Common_MCFTemperatureZone[[#Headers],[Temperature zone]],0)</f>
        <v>0.77</v>
      </c>
      <c r="G240" s="33" cm="1">
        <f t="array" ref="G240">Common_InputFunctions.Utility_DisplayArrayInTable(Common_SourceData.Common_SourceData_MCFTemperatureZone_Data(),Table_SourceData_Common_MCFTemperatureZone[[#Headers],[Temperature zone]],0)</f>
        <v>0.1</v>
      </c>
      <c r="H240" s="33" cm="1">
        <f t="array" ref="H240">Common_InputFunctions.Utility_DisplayArrayInTable(Common_SourceData.Common_SourceData_MCFTemperatureZone_Data(),Table_SourceData_Common_MCFTemperatureZone[[#Headers],[Temperature zone]],0)</f>
        <v>0.22</v>
      </c>
      <c r="I240" s="33" cm="1">
        <f t="array" ref="I240">Common_InputFunctions.Utility_DisplayArrayInTable(Common_SourceData.Common_SourceData_MCFTemperatureZone_Data(),Table_SourceData_Common_MCFTemperatureZone[[#Headers],[Temperature zone]],0)</f>
        <v>5.0000000000000001E-3</v>
      </c>
      <c r="J240" s="33" cm="1">
        <f t="array" ref="J240">Common_InputFunctions.Utility_DisplayArrayInTable(Common_SourceData.Common_SourceData_MCFTemperatureZone_Data(),Table_SourceData_Common_MCFTemperatureZone[[#Headers],[Temperature zone]],0)</f>
        <v>0.01</v>
      </c>
      <c r="K240" s="33" cm="1">
        <f t="array" ref="K240">Common_InputFunctions.Utility_DisplayArrayInTable(Common_SourceData.Common_SourceData_MCFTemperatureZone_Data(),Table_SourceData_Common_MCFTemperatureZone[[#Headers],[Temperature zone]],0)</f>
        <v>0.02</v>
      </c>
      <c r="L240" s="33" cm="1">
        <f t="array" ref="L240">Common_InputFunctions.Utility_DisplayArrayInTable(Common_SourceData.Common_SourceData_MCFTemperatureZone_Data(),Table_SourceData_Common_MCFTemperatureZone[[#Headers],[Temperature zone]],0)</f>
        <v>0.03</v>
      </c>
      <c r="M240" s="33" cm="1">
        <f t="array" ref="M240">Common_InputFunctions.Utility_DisplayArrayInTable(Common_SourceData.Common_SourceData_MCFTemperatureZone_Data(),Table_SourceData_Common_MCFTemperatureZone[[#Headers],[Temperature zone]],0)</f>
        <v>0.04</v>
      </c>
      <c r="N240" s="33" cm="1">
        <f t="array" ref="N240">Common_InputFunctions.Utility_DisplayArrayInTable(Common_SourceData.Common_SourceData_MCFTemperatureZone_Data(),Table_SourceData_Common_MCFTemperatureZone[[#Headers],[Temperature zone]],0)</f>
        <v>1.4999999999999999E-2</v>
      </c>
      <c r="O240" s="33" cm="1">
        <f t="array" ref="O240">Common_InputFunctions.Utility_DisplayArrayInTable(Common_SourceData.Common_SourceData_MCFTemperatureZone_Data(),Table_SourceData_Common_MCFTemperatureZone[[#Headers],[Temperature zone]],0)</f>
        <v>1.4999999999999999E-2</v>
      </c>
      <c r="P240" s="33" cm="1">
        <f t="array" ref="P240">Common_InputFunctions.Utility_DisplayArrayInTable(Common_SourceData.Common_SourceData_MCFTemperatureZone_Data(),Table_SourceData_Common_MCFTemperatureZone[[#Headers],[Temperature zone]],0)</f>
        <v>0</v>
      </c>
      <c r="Q240" s="33" cm="1">
        <f t="array" ref="Q240">Common_InputFunctions.Utility_DisplayArrayInTable(Common_SourceData.Common_SourceData_MCFTemperatureZone_Data(),Table_SourceData_Common_MCFTemperatureZone[[#Headers],[Temperature zone]],0)</f>
        <v>0</v>
      </c>
      <c r="R240" s="33" cm="1">
        <f t="array" ref="R240">Common_InputFunctions.Utility_DisplayArrayInTable(Common_SourceData.Common_SourceData_MCFTemperatureZone_Data(),Table_SourceData_Common_MCFTemperatureZone[[#Headers],[Temperature zone]],0)</f>
        <v>4.7000000000000002E-3</v>
      </c>
      <c r="S240" s="33"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3" cm="1">
        <f t="array" ref="E241">Common_InputFunctions.Utility_DisplayArrayInTable(Common_SourceData.Common_SourceData_MCFTemperatureZone_Data(),Table_SourceData_Common_MCFTemperatureZone[[#Headers],[Temperature zone]],0)</f>
        <v>19</v>
      </c>
      <c r="F241" s="33" cm="1">
        <f t="array" ref="F241">Common_InputFunctions.Utility_DisplayArrayInTable(Common_SourceData.Common_SourceData_MCFTemperatureZone_Data(),Table_SourceData_Common_MCFTemperatureZone[[#Headers],[Temperature zone]],0)</f>
        <v>0.77</v>
      </c>
      <c r="G241" s="33" cm="1">
        <f t="array" ref="G241">Common_InputFunctions.Utility_DisplayArrayInTable(Common_SourceData.Common_SourceData_MCFTemperatureZone_Data(),Table_SourceData_Common_MCFTemperatureZone[[#Headers],[Temperature zone]],0)</f>
        <v>0.1</v>
      </c>
      <c r="H241" s="33" cm="1">
        <f t="array" ref="H241">Common_InputFunctions.Utility_DisplayArrayInTable(Common_SourceData.Common_SourceData_MCFTemperatureZone_Data(),Table_SourceData_Common_MCFTemperatureZone[[#Headers],[Temperature zone]],0)</f>
        <v>0.24</v>
      </c>
      <c r="I241" s="33" cm="1">
        <f t="array" ref="I241">Common_InputFunctions.Utility_DisplayArrayInTable(Common_SourceData.Common_SourceData_MCFTemperatureZone_Data(),Table_SourceData_Common_MCFTemperatureZone[[#Headers],[Temperature zone]],0)</f>
        <v>5.0000000000000001E-3</v>
      </c>
      <c r="J241" s="33" cm="1">
        <f t="array" ref="J241">Common_InputFunctions.Utility_DisplayArrayInTable(Common_SourceData.Common_SourceData_MCFTemperatureZone_Data(),Table_SourceData_Common_MCFTemperatureZone[[#Headers],[Temperature zone]],0)</f>
        <v>0.01</v>
      </c>
      <c r="K241" s="33" cm="1">
        <f t="array" ref="K241">Common_InputFunctions.Utility_DisplayArrayInTable(Common_SourceData.Common_SourceData_MCFTemperatureZone_Data(),Table_SourceData_Common_MCFTemperatureZone[[#Headers],[Temperature zone]],0)</f>
        <v>0.02</v>
      </c>
      <c r="L241" s="33" cm="1">
        <f t="array" ref="L241">Common_InputFunctions.Utility_DisplayArrayInTable(Common_SourceData.Common_SourceData_MCFTemperatureZone_Data(),Table_SourceData_Common_MCFTemperatureZone[[#Headers],[Temperature zone]],0)</f>
        <v>0.03</v>
      </c>
      <c r="M241" s="33" cm="1">
        <f t="array" ref="M241">Common_InputFunctions.Utility_DisplayArrayInTable(Common_SourceData.Common_SourceData_MCFTemperatureZone_Data(),Table_SourceData_Common_MCFTemperatureZone[[#Headers],[Temperature zone]],0)</f>
        <v>0.04</v>
      </c>
      <c r="N241" s="33" cm="1">
        <f t="array" ref="N241">Common_InputFunctions.Utility_DisplayArrayInTable(Common_SourceData.Common_SourceData_MCFTemperatureZone_Data(),Table_SourceData_Common_MCFTemperatureZone[[#Headers],[Temperature zone]],0)</f>
        <v>1.4999999999999999E-2</v>
      </c>
      <c r="O241" s="33" cm="1">
        <f t="array" ref="O241">Common_InputFunctions.Utility_DisplayArrayInTable(Common_SourceData.Common_SourceData_MCFTemperatureZone_Data(),Table_SourceData_Common_MCFTemperatureZone[[#Headers],[Temperature zone]],0)</f>
        <v>1.4999999999999999E-2</v>
      </c>
      <c r="P241" s="33" cm="1">
        <f t="array" ref="P241">Common_InputFunctions.Utility_DisplayArrayInTable(Common_SourceData.Common_SourceData_MCFTemperatureZone_Data(),Table_SourceData_Common_MCFTemperatureZone[[#Headers],[Temperature zone]],0)</f>
        <v>0</v>
      </c>
      <c r="Q241" s="33" cm="1">
        <f t="array" ref="Q241">Common_InputFunctions.Utility_DisplayArrayInTable(Common_SourceData.Common_SourceData_MCFTemperatureZone_Data(),Table_SourceData_Common_MCFTemperatureZone[[#Headers],[Temperature zone]],0)</f>
        <v>0</v>
      </c>
      <c r="R241" s="33" cm="1">
        <f t="array" ref="R241">Common_InputFunctions.Utility_DisplayArrayInTable(Common_SourceData.Common_SourceData_MCFTemperatureZone_Data(),Table_SourceData_Common_MCFTemperatureZone[[#Headers],[Temperature zone]],0)</f>
        <v>4.7000000000000002E-3</v>
      </c>
      <c r="S241" s="33"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3" cm="1">
        <f t="array" ref="E242">Common_InputFunctions.Utility_DisplayArrayInTable(Common_SourceData.Common_SourceData_MCFTemperatureZone_Data(),Table_SourceData_Common_MCFTemperatureZone[[#Headers],[Temperature zone]],0)</f>
        <v>20</v>
      </c>
      <c r="F242" s="33" cm="1">
        <f t="array" ref="F242">Common_InputFunctions.Utility_DisplayArrayInTable(Common_SourceData.Common_SourceData_MCFTemperatureZone_Data(),Table_SourceData_Common_MCFTemperatureZone[[#Headers],[Temperature zone]],0)</f>
        <v>0.78</v>
      </c>
      <c r="G242" s="33" cm="1">
        <f t="array" ref="G242">Common_InputFunctions.Utility_DisplayArrayInTable(Common_SourceData.Common_SourceData_MCFTemperatureZone_Data(),Table_SourceData_Common_MCFTemperatureZone[[#Headers],[Temperature zone]],0)</f>
        <v>0.1</v>
      </c>
      <c r="H242" s="33" cm="1">
        <f t="array" ref="H242">Common_InputFunctions.Utility_DisplayArrayInTable(Common_SourceData.Common_SourceData_MCFTemperatureZone_Data(),Table_SourceData_Common_MCFTemperatureZone[[#Headers],[Temperature zone]],0)</f>
        <v>0.26</v>
      </c>
      <c r="I242" s="33" cm="1">
        <f t="array" ref="I242">Common_InputFunctions.Utility_DisplayArrayInTable(Common_SourceData.Common_SourceData_MCFTemperatureZone_Data(),Table_SourceData_Common_MCFTemperatureZone[[#Headers],[Temperature zone]],0)</f>
        <v>5.0000000000000001E-3</v>
      </c>
      <c r="J242" s="33" cm="1">
        <f t="array" ref="J242">Common_InputFunctions.Utility_DisplayArrayInTable(Common_SourceData.Common_SourceData_MCFTemperatureZone_Data(),Table_SourceData_Common_MCFTemperatureZone[[#Headers],[Temperature zone]],0)</f>
        <v>0.01</v>
      </c>
      <c r="K242" s="33" cm="1">
        <f t="array" ref="K242">Common_InputFunctions.Utility_DisplayArrayInTable(Common_SourceData.Common_SourceData_MCFTemperatureZone_Data(),Table_SourceData_Common_MCFTemperatureZone[[#Headers],[Temperature zone]],0)</f>
        <v>0.02</v>
      </c>
      <c r="L242" s="33" cm="1">
        <f t="array" ref="L242">Common_InputFunctions.Utility_DisplayArrayInTable(Common_SourceData.Common_SourceData_MCFTemperatureZone_Data(),Table_SourceData_Common_MCFTemperatureZone[[#Headers],[Temperature zone]],0)</f>
        <v>0.03</v>
      </c>
      <c r="M242" s="33" cm="1">
        <f t="array" ref="M242">Common_InputFunctions.Utility_DisplayArrayInTable(Common_SourceData.Common_SourceData_MCFTemperatureZone_Data(),Table_SourceData_Common_MCFTemperatureZone[[#Headers],[Temperature zone]],0)</f>
        <v>0.04</v>
      </c>
      <c r="N242" s="33" cm="1">
        <f t="array" ref="N242">Common_InputFunctions.Utility_DisplayArrayInTable(Common_SourceData.Common_SourceData_MCFTemperatureZone_Data(),Table_SourceData_Common_MCFTemperatureZone[[#Headers],[Temperature zone]],0)</f>
        <v>1.4999999999999999E-2</v>
      </c>
      <c r="O242" s="33" cm="1">
        <f t="array" ref="O242">Common_InputFunctions.Utility_DisplayArrayInTable(Common_SourceData.Common_SourceData_MCFTemperatureZone_Data(),Table_SourceData_Common_MCFTemperatureZone[[#Headers],[Temperature zone]],0)</f>
        <v>1.4999999999999999E-2</v>
      </c>
      <c r="P242" s="33" cm="1">
        <f t="array" ref="P242">Common_InputFunctions.Utility_DisplayArrayInTable(Common_SourceData.Common_SourceData_MCFTemperatureZone_Data(),Table_SourceData_Common_MCFTemperatureZone[[#Headers],[Temperature zone]],0)</f>
        <v>0</v>
      </c>
      <c r="Q242" s="33" cm="1">
        <f t="array" ref="Q242">Common_InputFunctions.Utility_DisplayArrayInTable(Common_SourceData.Common_SourceData_MCFTemperatureZone_Data(),Table_SourceData_Common_MCFTemperatureZone[[#Headers],[Temperature zone]],0)</f>
        <v>0</v>
      </c>
      <c r="R242" s="33" cm="1">
        <f t="array" ref="R242">Common_InputFunctions.Utility_DisplayArrayInTable(Common_SourceData.Common_SourceData_MCFTemperatureZone_Data(),Table_SourceData_Common_MCFTemperatureZone[[#Headers],[Temperature zone]],0)</f>
        <v>4.7000000000000002E-3</v>
      </c>
      <c r="S242" s="33"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3" cm="1">
        <f t="array" ref="E243">Common_InputFunctions.Utility_DisplayArrayInTable(Common_SourceData.Common_SourceData_MCFTemperatureZone_Data(),Table_SourceData_Common_MCFTemperatureZone[[#Headers],[Temperature zone]],0)</f>
        <v>21</v>
      </c>
      <c r="F243" s="33" cm="1">
        <f t="array" ref="F243">Common_InputFunctions.Utility_DisplayArrayInTable(Common_SourceData.Common_SourceData_MCFTemperatureZone_Data(),Table_SourceData_Common_MCFTemperatureZone[[#Headers],[Temperature zone]],0)</f>
        <v>0.78</v>
      </c>
      <c r="G243" s="33" cm="1">
        <f t="array" ref="G243">Common_InputFunctions.Utility_DisplayArrayInTable(Common_SourceData.Common_SourceData_MCFTemperatureZone_Data(),Table_SourceData_Common_MCFTemperatureZone[[#Headers],[Temperature zone]],0)</f>
        <v>0.1</v>
      </c>
      <c r="H243" s="33" cm="1">
        <f t="array" ref="H243">Common_InputFunctions.Utility_DisplayArrayInTable(Common_SourceData.Common_SourceData_MCFTemperatureZone_Data(),Table_SourceData_Common_MCFTemperatureZone[[#Headers],[Temperature zone]],0)</f>
        <v>0.28999999999999998</v>
      </c>
      <c r="I243" s="33" cm="1">
        <f t="array" ref="I243">Common_InputFunctions.Utility_DisplayArrayInTable(Common_SourceData.Common_SourceData_MCFTemperatureZone_Data(),Table_SourceData_Common_MCFTemperatureZone[[#Headers],[Temperature zone]],0)</f>
        <v>5.0000000000000001E-3</v>
      </c>
      <c r="J243" s="33" cm="1">
        <f t="array" ref="J243">Common_InputFunctions.Utility_DisplayArrayInTable(Common_SourceData.Common_SourceData_MCFTemperatureZone_Data(),Table_SourceData_Common_MCFTemperatureZone[[#Headers],[Temperature zone]],0)</f>
        <v>0.01</v>
      </c>
      <c r="K243" s="33" cm="1">
        <f t="array" ref="K243">Common_InputFunctions.Utility_DisplayArrayInTable(Common_SourceData.Common_SourceData_MCFTemperatureZone_Data(),Table_SourceData_Common_MCFTemperatureZone[[#Headers],[Temperature zone]],0)</f>
        <v>0.02</v>
      </c>
      <c r="L243" s="33" cm="1">
        <f t="array" ref="L243">Common_InputFunctions.Utility_DisplayArrayInTable(Common_SourceData.Common_SourceData_MCFTemperatureZone_Data(),Table_SourceData_Common_MCFTemperatureZone[[#Headers],[Temperature zone]],0)</f>
        <v>0.03</v>
      </c>
      <c r="M243" s="33" cm="1">
        <f t="array" ref="M243">Common_InputFunctions.Utility_DisplayArrayInTable(Common_SourceData.Common_SourceData_MCFTemperatureZone_Data(),Table_SourceData_Common_MCFTemperatureZone[[#Headers],[Temperature zone]],0)</f>
        <v>0.04</v>
      </c>
      <c r="N243" s="33" cm="1">
        <f t="array" ref="N243">Common_InputFunctions.Utility_DisplayArrayInTable(Common_SourceData.Common_SourceData_MCFTemperatureZone_Data(),Table_SourceData_Common_MCFTemperatureZone[[#Headers],[Temperature zone]],0)</f>
        <v>1.4999999999999999E-2</v>
      </c>
      <c r="O243" s="33" cm="1">
        <f t="array" ref="O243">Common_InputFunctions.Utility_DisplayArrayInTable(Common_SourceData.Common_SourceData_MCFTemperatureZone_Data(),Table_SourceData_Common_MCFTemperatureZone[[#Headers],[Temperature zone]],0)</f>
        <v>1.4999999999999999E-2</v>
      </c>
      <c r="P243" s="33" cm="1">
        <f t="array" ref="P243">Common_InputFunctions.Utility_DisplayArrayInTable(Common_SourceData.Common_SourceData_MCFTemperatureZone_Data(),Table_SourceData_Common_MCFTemperatureZone[[#Headers],[Temperature zone]],0)</f>
        <v>0</v>
      </c>
      <c r="Q243" s="33" cm="1">
        <f t="array" ref="Q243">Common_InputFunctions.Utility_DisplayArrayInTable(Common_SourceData.Common_SourceData_MCFTemperatureZone_Data(),Table_SourceData_Common_MCFTemperatureZone[[#Headers],[Temperature zone]],0)</f>
        <v>0</v>
      </c>
      <c r="R243" s="33" cm="1">
        <f t="array" ref="R243">Common_InputFunctions.Utility_DisplayArrayInTable(Common_SourceData.Common_SourceData_MCFTemperatureZone_Data(),Table_SourceData_Common_MCFTemperatureZone[[#Headers],[Temperature zone]],0)</f>
        <v>4.7000000000000002E-3</v>
      </c>
      <c r="S243" s="33"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3" cm="1">
        <f t="array" ref="E244">Common_InputFunctions.Utility_DisplayArrayInTable(Common_SourceData.Common_SourceData_MCFTemperatureZone_Data(),Table_SourceData_Common_MCFTemperatureZone[[#Headers],[Temperature zone]],0)</f>
        <v>22</v>
      </c>
      <c r="F244" s="33" cm="1">
        <f t="array" ref="F244">Common_InputFunctions.Utility_DisplayArrayInTable(Common_SourceData.Common_SourceData_MCFTemperatureZone_Data(),Table_SourceData_Common_MCFTemperatureZone[[#Headers],[Temperature zone]],0)</f>
        <v>0.78</v>
      </c>
      <c r="G244" s="33" cm="1">
        <f t="array" ref="G244">Common_InputFunctions.Utility_DisplayArrayInTable(Common_SourceData.Common_SourceData_MCFTemperatureZone_Data(),Table_SourceData_Common_MCFTemperatureZone[[#Headers],[Temperature zone]],0)</f>
        <v>0.1</v>
      </c>
      <c r="H244" s="33" cm="1">
        <f t="array" ref="H244">Common_InputFunctions.Utility_DisplayArrayInTable(Common_SourceData.Common_SourceData_MCFTemperatureZone_Data(),Table_SourceData_Common_MCFTemperatureZone[[#Headers],[Temperature zone]],0)</f>
        <v>0.31</v>
      </c>
      <c r="I244" s="33" cm="1">
        <f t="array" ref="I244">Common_InputFunctions.Utility_DisplayArrayInTable(Common_SourceData.Common_SourceData_MCFTemperatureZone_Data(),Table_SourceData_Common_MCFTemperatureZone[[#Headers],[Temperature zone]],0)</f>
        <v>5.0000000000000001E-3</v>
      </c>
      <c r="J244" s="33" cm="1">
        <f t="array" ref="J244">Common_InputFunctions.Utility_DisplayArrayInTable(Common_SourceData.Common_SourceData_MCFTemperatureZone_Data(),Table_SourceData_Common_MCFTemperatureZone[[#Headers],[Temperature zone]],0)</f>
        <v>0.01</v>
      </c>
      <c r="K244" s="33" cm="1">
        <f t="array" ref="K244">Common_InputFunctions.Utility_DisplayArrayInTable(Common_SourceData.Common_SourceData_MCFTemperatureZone_Data(),Table_SourceData_Common_MCFTemperatureZone[[#Headers],[Temperature zone]],0)</f>
        <v>0.02</v>
      </c>
      <c r="L244" s="33" cm="1">
        <f t="array" ref="L244">Common_InputFunctions.Utility_DisplayArrayInTable(Common_SourceData.Common_SourceData_MCFTemperatureZone_Data(),Table_SourceData_Common_MCFTemperatureZone[[#Headers],[Temperature zone]],0)</f>
        <v>0.03</v>
      </c>
      <c r="M244" s="33" cm="1">
        <f t="array" ref="M244">Common_InputFunctions.Utility_DisplayArrayInTable(Common_SourceData.Common_SourceData_MCFTemperatureZone_Data(),Table_SourceData_Common_MCFTemperatureZone[[#Headers],[Temperature zone]],0)</f>
        <v>0.04</v>
      </c>
      <c r="N244" s="33" cm="1">
        <f t="array" ref="N244">Common_InputFunctions.Utility_DisplayArrayInTable(Common_SourceData.Common_SourceData_MCFTemperatureZone_Data(),Table_SourceData_Common_MCFTemperatureZone[[#Headers],[Temperature zone]],0)</f>
        <v>1.4999999999999999E-2</v>
      </c>
      <c r="O244" s="33" cm="1">
        <f t="array" ref="O244">Common_InputFunctions.Utility_DisplayArrayInTable(Common_SourceData.Common_SourceData_MCFTemperatureZone_Data(),Table_SourceData_Common_MCFTemperatureZone[[#Headers],[Temperature zone]],0)</f>
        <v>1.4999999999999999E-2</v>
      </c>
      <c r="P244" s="33" cm="1">
        <f t="array" ref="P244">Common_InputFunctions.Utility_DisplayArrayInTable(Common_SourceData.Common_SourceData_MCFTemperatureZone_Data(),Table_SourceData_Common_MCFTemperatureZone[[#Headers],[Temperature zone]],0)</f>
        <v>0</v>
      </c>
      <c r="Q244" s="33" cm="1">
        <f t="array" ref="Q244">Common_InputFunctions.Utility_DisplayArrayInTable(Common_SourceData.Common_SourceData_MCFTemperatureZone_Data(),Table_SourceData_Common_MCFTemperatureZone[[#Headers],[Temperature zone]],0)</f>
        <v>0</v>
      </c>
      <c r="R244" s="33" cm="1">
        <f t="array" ref="R244">Common_InputFunctions.Utility_DisplayArrayInTable(Common_SourceData.Common_SourceData_MCFTemperatureZone_Data(),Table_SourceData_Common_MCFTemperatureZone[[#Headers],[Temperature zone]],0)</f>
        <v>4.7000000000000002E-3</v>
      </c>
      <c r="S244" s="33"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3" cm="1">
        <f t="array" ref="E245">Common_InputFunctions.Utility_DisplayArrayInTable(Common_SourceData.Common_SourceData_MCFTemperatureZone_Data(),Table_SourceData_Common_MCFTemperatureZone[[#Headers],[Temperature zone]],0)</f>
        <v>23</v>
      </c>
      <c r="F245" s="33" cm="1">
        <f t="array" ref="F245">Common_InputFunctions.Utility_DisplayArrayInTable(Common_SourceData.Common_SourceData_MCFTemperatureZone_Data(),Table_SourceData_Common_MCFTemperatureZone[[#Headers],[Temperature zone]],0)</f>
        <v>0.79</v>
      </c>
      <c r="G245" s="33" cm="1">
        <f t="array" ref="G245">Common_InputFunctions.Utility_DisplayArrayInTable(Common_SourceData.Common_SourceData_MCFTemperatureZone_Data(),Table_SourceData_Common_MCFTemperatureZone[[#Headers],[Temperature zone]],0)</f>
        <v>0.1</v>
      </c>
      <c r="H245" s="33" cm="1">
        <f t="array" ref="H245">Common_InputFunctions.Utility_DisplayArrayInTable(Common_SourceData.Common_SourceData_MCFTemperatureZone_Data(),Table_SourceData_Common_MCFTemperatureZone[[#Headers],[Temperature zone]],0)</f>
        <v>0.34</v>
      </c>
      <c r="I245" s="33" cm="1">
        <f t="array" ref="I245">Common_InputFunctions.Utility_DisplayArrayInTable(Common_SourceData.Common_SourceData_MCFTemperatureZone_Data(),Table_SourceData_Common_MCFTemperatureZone[[#Headers],[Temperature zone]],0)</f>
        <v>5.0000000000000001E-3</v>
      </c>
      <c r="J245" s="33" cm="1">
        <f t="array" ref="J245">Common_InputFunctions.Utility_DisplayArrayInTable(Common_SourceData.Common_SourceData_MCFTemperatureZone_Data(),Table_SourceData_Common_MCFTemperatureZone[[#Headers],[Temperature zone]],0)</f>
        <v>0.01</v>
      </c>
      <c r="K245" s="33" cm="1">
        <f t="array" ref="K245">Common_InputFunctions.Utility_DisplayArrayInTable(Common_SourceData.Common_SourceData_MCFTemperatureZone_Data(),Table_SourceData_Common_MCFTemperatureZone[[#Headers],[Temperature zone]],0)</f>
        <v>0.02</v>
      </c>
      <c r="L245" s="33" cm="1">
        <f t="array" ref="L245">Common_InputFunctions.Utility_DisplayArrayInTable(Common_SourceData.Common_SourceData_MCFTemperatureZone_Data(),Table_SourceData_Common_MCFTemperatureZone[[#Headers],[Temperature zone]],0)</f>
        <v>0.03</v>
      </c>
      <c r="M245" s="33" cm="1">
        <f t="array" ref="M245">Common_InputFunctions.Utility_DisplayArrayInTable(Common_SourceData.Common_SourceData_MCFTemperatureZone_Data(),Table_SourceData_Common_MCFTemperatureZone[[#Headers],[Temperature zone]],0)</f>
        <v>0.04</v>
      </c>
      <c r="N245" s="33" cm="1">
        <f t="array" ref="N245">Common_InputFunctions.Utility_DisplayArrayInTable(Common_SourceData.Common_SourceData_MCFTemperatureZone_Data(),Table_SourceData_Common_MCFTemperatureZone[[#Headers],[Temperature zone]],0)</f>
        <v>1.4999999999999999E-2</v>
      </c>
      <c r="O245" s="33" cm="1">
        <f t="array" ref="O245">Common_InputFunctions.Utility_DisplayArrayInTable(Common_SourceData.Common_SourceData_MCFTemperatureZone_Data(),Table_SourceData_Common_MCFTemperatureZone[[#Headers],[Temperature zone]],0)</f>
        <v>1.4999999999999999E-2</v>
      </c>
      <c r="P245" s="33" cm="1">
        <f t="array" ref="P245">Common_InputFunctions.Utility_DisplayArrayInTable(Common_SourceData.Common_SourceData_MCFTemperatureZone_Data(),Table_SourceData_Common_MCFTemperatureZone[[#Headers],[Temperature zone]],0)</f>
        <v>0</v>
      </c>
      <c r="Q245" s="33" cm="1">
        <f t="array" ref="Q245">Common_InputFunctions.Utility_DisplayArrayInTable(Common_SourceData.Common_SourceData_MCFTemperatureZone_Data(),Table_SourceData_Common_MCFTemperatureZone[[#Headers],[Temperature zone]],0)</f>
        <v>0</v>
      </c>
      <c r="R245" s="33" cm="1">
        <f t="array" ref="R245">Common_InputFunctions.Utility_DisplayArrayInTable(Common_SourceData.Common_SourceData_MCFTemperatureZone_Data(),Table_SourceData_Common_MCFTemperatureZone[[#Headers],[Temperature zone]],0)</f>
        <v>4.7000000000000002E-3</v>
      </c>
      <c r="S245" s="33"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3" cm="1">
        <f t="array" ref="E246">Common_InputFunctions.Utility_DisplayArrayInTable(Common_SourceData.Common_SourceData_MCFTemperatureZone_Data(),Table_SourceData_Common_MCFTemperatureZone[[#Headers],[Temperature zone]],0)</f>
        <v>24</v>
      </c>
      <c r="F246" s="33" cm="1">
        <f t="array" ref="F246">Common_InputFunctions.Utility_DisplayArrayInTable(Common_SourceData.Common_SourceData_MCFTemperatureZone_Data(),Table_SourceData_Common_MCFTemperatureZone[[#Headers],[Temperature zone]],0)</f>
        <v>0.79</v>
      </c>
      <c r="G246" s="33" cm="1">
        <f t="array" ref="G246">Common_InputFunctions.Utility_DisplayArrayInTable(Common_SourceData.Common_SourceData_MCFTemperatureZone_Data(),Table_SourceData_Common_MCFTemperatureZone[[#Headers],[Temperature zone]],0)</f>
        <v>0.1</v>
      </c>
      <c r="H246" s="33" cm="1">
        <f t="array" ref="H246">Common_InputFunctions.Utility_DisplayArrayInTable(Common_SourceData.Common_SourceData_MCFTemperatureZone_Data(),Table_SourceData_Common_MCFTemperatureZone[[#Headers],[Temperature zone]],0)</f>
        <v>0.37</v>
      </c>
      <c r="I246" s="33" cm="1">
        <f t="array" ref="I246">Common_InputFunctions.Utility_DisplayArrayInTable(Common_SourceData.Common_SourceData_MCFTemperatureZone_Data(),Table_SourceData_Common_MCFTemperatureZone[[#Headers],[Temperature zone]],0)</f>
        <v>5.0000000000000001E-3</v>
      </c>
      <c r="J246" s="33" cm="1">
        <f t="array" ref="J246">Common_InputFunctions.Utility_DisplayArrayInTable(Common_SourceData.Common_SourceData_MCFTemperatureZone_Data(),Table_SourceData_Common_MCFTemperatureZone[[#Headers],[Temperature zone]],0)</f>
        <v>0.01</v>
      </c>
      <c r="K246" s="33" cm="1">
        <f t="array" ref="K246">Common_InputFunctions.Utility_DisplayArrayInTable(Common_SourceData.Common_SourceData_MCFTemperatureZone_Data(),Table_SourceData_Common_MCFTemperatureZone[[#Headers],[Temperature zone]],0)</f>
        <v>0.02</v>
      </c>
      <c r="L246" s="33" cm="1">
        <f t="array" ref="L246">Common_InputFunctions.Utility_DisplayArrayInTable(Common_SourceData.Common_SourceData_MCFTemperatureZone_Data(),Table_SourceData_Common_MCFTemperatureZone[[#Headers],[Temperature zone]],0)</f>
        <v>0.03</v>
      </c>
      <c r="M246" s="33" cm="1">
        <f t="array" ref="M246">Common_InputFunctions.Utility_DisplayArrayInTable(Common_SourceData.Common_SourceData_MCFTemperatureZone_Data(),Table_SourceData_Common_MCFTemperatureZone[[#Headers],[Temperature zone]],0)</f>
        <v>0.04</v>
      </c>
      <c r="N246" s="33" cm="1">
        <f t="array" ref="N246">Common_InputFunctions.Utility_DisplayArrayInTable(Common_SourceData.Common_SourceData_MCFTemperatureZone_Data(),Table_SourceData_Common_MCFTemperatureZone[[#Headers],[Temperature zone]],0)</f>
        <v>1.4999999999999999E-2</v>
      </c>
      <c r="O246" s="33" cm="1">
        <f t="array" ref="O246">Common_InputFunctions.Utility_DisplayArrayInTable(Common_SourceData.Common_SourceData_MCFTemperatureZone_Data(),Table_SourceData_Common_MCFTemperatureZone[[#Headers],[Temperature zone]],0)</f>
        <v>1.4999999999999999E-2</v>
      </c>
      <c r="P246" s="33" cm="1">
        <f t="array" ref="P246">Common_InputFunctions.Utility_DisplayArrayInTable(Common_SourceData.Common_SourceData_MCFTemperatureZone_Data(),Table_SourceData_Common_MCFTemperatureZone[[#Headers],[Temperature zone]],0)</f>
        <v>0</v>
      </c>
      <c r="Q246" s="33" cm="1">
        <f t="array" ref="Q246">Common_InputFunctions.Utility_DisplayArrayInTable(Common_SourceData.Common_SourceData_MCFTemperatureZone_Data(),Table_SourceData_Common_MCFTemperatureZone[[#Headers],[Temperature zone]],0)</f>
        <v>0</v>
      </c>
      <c r="R246" s="33" cm="1">
        <f t="array" ref="R246">Common_InputFunctions.Utility_DisplayArrayInTable(Common_SourceData.Common_SourceData_MCFTemperatureZone_Data(),Table_SourceData_Common_MCFTemperatureZone[[#Headers],[Temperature zone]],0)</f>
        <v>4.7000000000000002E-3</v>
      </c>
      <c r="S246" s="33"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3" cm="1">
        <f t="array" ref="E247">Common_InputFunctions.Utility_DisplayArrayInTable(Common_SourceData.Common_SourceData_MCFTemperatureZone_Data(),Table_SourceData_Common_MCFTemperatureZone[[#Headers],[Temperature zone]],0)</f>
        <v>25</v>
      </c>
      <c r="F247" s="33" cm="1">
        <f t="array" ref="F247">Common_InputFunctions.Utility_DisplayArrayInTable(Common_SourceData.Common_SourceData_MCFTemperatureZone_Data(),Table_SourceData_Common_MCFTemperatureZone[[#Headers],[Temperature zone]],0)</f>
        <v>0.79</v>
      </c>
      <c r="G247" s="33" cm="1">
        <f t="array" ref="G247">Common_InputFunctions.Utility_DisplayArrayInTable(Common_SourceData.Common_SourceData_MCFTemperatureZone_Data(),Table_SourceData_Common_MCFTemperatureZone[[#Headers],[Temperature zone]],0)</f>
        <v>0.1</v>
      </c>
      <c r="H247" s="33" cm="1">
        <f t="array" ref="H247">Common_InputFunctions.Utility_DisplayArrayInTable(Common_SourceData.Common_SourceData_MCFTemperatureZone_Data(),Table_SourceData_Common_MCFTemperatureZone[[#Headers],[Temperature zone]],0)</f>
        <v>0.41</v>
      </c>
      <c r="I247" s="33" cm="1">
        <f t="array" ref="I247">Common_InputFunctions.Utility_DisplayArrayInTable(Common_SourceData.Common_SourceData_MCFTemperatureZone_Data(),Table_SourceData_Common_MCFTemperatureZone[[#Headers],[Temperature zone]],0)</f>
        <v>5.0000000000000001E-3</v>
      </c>
      <c r="J247" s="33" cm="1">
        <f t="array" ref="J247">Common_InputFunctions.Utility_DisplayArrayInTable(Common_SourceData.Common_SourceData_MCFTemperatureZone_Data(),Table_SourceData_Common_MCFTemperatureZone[[#Headers],[Temperature zone]],0)</f>
        <v>0.01</v>
      </c>
      <c r="K247" s="33" cm="1">
        <f t="array" ref="K247">Common_InputFunctions.Utility_DisplayArrayInTable(Common_SourceData.Common_SourceData_MCFTemperatureZone_Data(),Table_SourceData_Common_MCFTemperatureZone[[#Headers],[Temperature zone]],0)</f>
        <v>0.02</v>
      </c>
      <c r="L247" s="33" cm="1">
        <f t="array" ref="L247">Common_InputFunctions.Utility_DisplayArrayInTable(Common_SourceData.Common_SourceData_MCFTemperatureZone_Data(),Table_SourceData_Common_MCFTemperatureZone[[#Headers],[Temperature zone]],0)</f>
        <v>0.03</v>
      </c>
      <c r="M247" s="33" cm="1">
        <f t="array" ref="M247">Common_InputFunctions.Utility_DisplayArrayInTable(Common_SourceData.Common_SourceData_MCFTemperatureZone_Data(),Table_SourceData_Common_MCFTemperatureZone[[#Headers],[Temperature zone]],0)</f>
        <v>0.04</v>
      </c>
      <c r="N247" s="33" cm="1">
        <f t="array" ref="N247">Common_InputFunctions.Utility_DisplayArrayInTable(Common_SourceData.Common_SourceData_MCFTemperatureZone_Data(),Table_SourceData_Common_MCFTemperatureZone[[#Headers],[Temperature zone]],0)</f>
        <v>1.4999999999999999E-2</v>
      </c>
      <c r="O247" s="33" cm="1">
        <f t="array" ref="O247">Common_InputFunctions.Utility_DisplayArrayInTable(Common_SourceData.Common_SourceData_MCFTemperatureZone_Data(),Table_SourceData_Common_MCFTemperatureZone[[#Headers],[Temperature zone]],0)</f>
        <v>1.4999999999999999E-2</v>
      </c>
      <c r="P247" s="33" cm="1">
        <f t="array" ref="P247">Common_InputFunctions.Utility_DisplayArrayInTable(Common_SourceData.Common_SourceData_MCFTemperatureZone_Data(),Table_SourceData_Common_MCFTemperatureZone[[#Headers],[Temperature zone]],0)</f>
        <v>0</v>
      </c>
      <c r="Q247" s="33" cm="1">
        <f t="array" ref="Q247">Common_InputFunctions.Utility_DisplayArrayInTable(Common_SourceData.Common_SourceData_MCFTemperatureZone_Data(),Table_SourceData_Common_MCFTemperatureZone[[#Headers],[Temperature zone]],0)</f>
        <v>0</v>
      </c>
      <c r="R247" s="33" cm="1">
        <f t="array" ref="R247">Common_InputFunctions.Utility_DisplayArrayInTable(Common_SourceData.Common_SourceData_MCFTemperatureZone_Data(),Table_SourceData_Common_MCFTemperatureZone[[#Headers],[Temperature zone]],0)</f>
        <v>4.7000000000000002E-3</v>
      </c>
      <c r="S247" s="33"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3" cm="1">
        <f t="array" ref="E248">Common_InputFunctions.Utility_DisplayArrayInTable(Common_SourceData.Common_SourceData_MCFTemperatureZone_Data(),Table_SourceData_Common_MCFTemperatureZone[[#Headers],[Temperature zone]],0)</f>
        <v>26</v>
      </c>
      <c r="F248" s="33" cm="1">
        <f t="array" ref="F248">Common_InputFunctions.Utility_DisplayArrayInTable(Common_SourceData.Common_SourceData_MCFTemperatureZone_Data(),Table_SourceData_Common_MCFTemperatureZone[[#Headers],[Temperature zone]],0)</f>
        <v>0.79</v>
      </c>
      <c r="G248" s="33" cm="1">
        <f t="array" ref="G248">Common_InputFunctions.Utility_DisplayArrayInTable(Common_SourceData.Common_SourceData_MCFTemperatureZone_Data(),Table_SourceData_Common_MCFTemperatureZone[[#Headers],[Temperature zone]],0)</f>
        <v>0.1</v>
      </c>
      <c r="H248" s="33" cm="1">
        <f t="array" ref="H248">Common_InputFunctions.Utility_DisplayArrayInTable(Common_SourceData.Common_SourceData_MCFTemperatureZone_Data(),Table_SourceData_Common_MCFTemperatureZone[[#Headers],[Temperature zone]],0)</f>
        <v>0.44</v>
      </c>
      <c r="I248" s="33" cm="1">
        <f t="array" ref="I248">Common_InputFunctions.Utility_DisplayArrayInTable(Common_SourceData.Common_SourceData_MCFTemperatureZone_Data(),Table_SourceData_Common_MCFTemperatureZone[[#Headers],[Temperature zone]],0)</f>
        <v>0.01</v>
      </c>
      <c r="J248" s="33" cm="1">
        <f t="array" ref="J248">Common_InputFunctions.Utility_DisplayArrayInTable(Common_SourceData.Common_SourceData_MCFTemperatureZone_Data(),Table_SourceData_Common_MCFTemperatureZone[[#Headers],[Temperature zone]],0)</f>
        <v>1.4999999999999999E-2</v>
      </c>
      <c r="K248" s="33" cm="1">
        <f t="array" ref="K248">Common_InputFunctions.Utility_DisplayArrayInTable(Common_SourceData.Common_SourceData_MCFTemperatureZone_Data(),Table_SourceData_Common_MCFTemperatureZone[[#Headers],[Temperature zone]],0)</f>
        <v>0.02</v>
      </c>
      <c r="L248" s="33" cm="1">
        <f t="array" ref="L248">Common_InputFunctions.Utility_DisplayArrayInTable(Common_SourceData.Common_SourceData_MCFTemperatureZone_Data(),Table_SourceData_Common_MCFTemperatureZone[[#Headers],[Temperature zone]],0)</f>
        <v>0.03</v>
      </c>
      <c r="M248" s="33" cm="1">
        <f t="array" ref="M248">Common_InputFunctions.Utility_DisplayArrayInTable(Common_SourceData.Common_SourceData_MCFTemperatureZone_Data(),Table_SourceData_Common_MCFTemperatureZone[[#Headers],[Temperature zone]],0)</f>
        <v>0.04</v>
      </c>
      <c r="N248" s="33" cm="1">
        <f t="array" ref="N248">Common_InputFunctions.Utility_DisplayArrayInTable(Common_SourceData.Common_SourceData_MCFTemperatureZone_Data(),Table_SourceData_Common_MCFTemperatureZone[[#Headers],[Temperature zone]],0)</f>
        <v>1.4999999999999999E-2</v>
      </c>
      <c r="O248" s="33" cm="1">
        <f t="array" ref="O248">Common_InputFunctions.Utility_DisplayArrayInTable(Common_SourceData.Common_SourceData_MCFTemperatureZone_Data(),Table_SourceData_Common_MCFTemperatureZone[[#Headers],[Temperature zone]],0)</f>
        <v>1.4999999999999999E-2</v>
      </c>
      <c r="P248" s="33" cm="1">
        <f t="array" ref="P248">Common_InputFunctions.Utility_DisplayArrayInTable(Common_SourceData.Common_SourceData_MCFTemperatureZone_Data(),Table_SourceData_Common_MCFTemperatureZone[[#Headers],[Temperature zone]],0)</f>
        <v>0</v>
      </c>
      <c r="Q248" s="33" cm="1">
        <f t="array" ref="Q248">Common_InputFunctions.Utility_DisplayArrayInTable(Common_SourceData.Common_SourceData_MCFTemperatureZone_Data(),Table_SourceData_Common_MCFTemperatureZone[[#Headers],[Temperature zone]],0)</f>
        <v>0</v>
      </c>
      <c r="R248" s="33" cm="1">
        <f t="array" ref="R248">Common_InputFunctions.Utility_DisplayArrayInTable(Common_SourceData.Common_SourceData_MCFTemperatureZone_Data(),Table_SourceData_Common_MCFTemperatureZone[[#Headers],[Temperature zone]],0)</f>
        <v>4.7000000000000002E-3</v>
      </c>
      <c r="S248" s="33"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3" cm="1">
        <f t="array" ref="E249">Common_InputFunctions.Utility_DisplayArrayInTable(Common_SourceData.Common_SourceData_MCFTemperatureZone_Data(),Table_SourceData_Common_MCFTemperatureZone[[#Headers],[Temperature zone]],0)</f>
        <v>27</v>
      </c>
      <c r="F249" s="33" cm="1">
        <f t="array" ref="F249">Common_InputFunctions.Utility_DisplayArrayInTable(Common_SourceData.Common_SourceData_MCFTemperatureZone_Data(),Table_SourceData_Common_MCFTemperatureZone[[#Headers],[Temperature zone]],0)</f>
        <v>0.8</v>
      </c>
      <c r="G249" s="33" cm="1">
        <f t="array" ref="G249">Common_InputFunctions.Utility_DisplayArrayInTable(Common_SourceData.Common_SourceData_MCFTemperatureZone_Data(),Table_SourceData_Common_MCFTemperatureZone[[#Headers],[Temperature zone]],0)</f>
        <v>0.1</v>
      </c>
      <c r="H249" s="33" cm="1">
        <f t="array" ref="H249">Common_InputFunctions.Utility_DisplayArrayInTable(Common_SourceData.Common_SourceData_MCFTemperatureZone_Data(),Table_SourceData_Common_MCFTemperatureZone[[#Headers],[Temperature zone]],0)</f>
        <v>0.48</v>
      </c>
      <c r="I249" s="33" cm="1">
        <f t="array" ref="I249">Common_InputFunctions.Utility_DisplayArrayInTable(Common_SourceData.Common_SourceData_MCFTemperatureZone_Data(),Table_SourceData_Common_MCFTemperatureZone[[#Headers],[Temperature zone]],0)</f>
        <v>0.01</v>
      </c>
      <c r="J249" s="33" cm="1">
        <f t="array" ref="J249">Common_InputFunctions.Utility_DisplayArrayInTable(Common_SourceData.Common_SourceData_MCFTemperatureZone_Data(),Table_SourceData_Common_MCFTemperatureZone[[#Headers],[Temperature zone]],0)</f>
        <v>1.4999999999999999E-2</v>
      </c>
      <c r="K249" s="33" cm="1">
        <f t="array" ref="K249">Common_InputFunctions.Utility_DisplayArrayInTable(Common_SourceData.Common_SourceData_MCFTemperatureZone_Data(),Table_SourceData_Common_MCFTemperatureZone[[#Headers],[Temperature zone]],0)</f>
        <v>0.02</v>
      </c>
      <c r="L249" s="33" cm="1">
        <f t="array" ref="L249">Common_InputFunctions.Utility_DisplayArrayInTable(Common_SourceData.Common_SourceData_MCFTemperatureZone_Data(),Table_SourceData_Common_MCFTemperatureZone[[#Headers],[Temperature zone]],0)</f>
        <v>0.03</v>
      </c>
      <c r="M249" s="33" cm="1">
        <f t="array" ref="M249">Common_InputFunctions.Utility_DisplayArrayInTable(Common_SourceData.Common_SourceData_MCFTemperatureZone_Data(),Table_SourceData_Common_MCFTemperatureZone[[#Headers],[Temperature zone]],0)</f>
        <v>0.04</v>
      </c>
      <c r="N249" s="33" cm="1">
        <f t="array" ref="N249">Common_InputFunctions.Utility_DisplayArrayInTable(Common_SourceData.Common_SourceData_MCFTemperatureZone_Data(),Table_SourceData_Common_MCFTemperatureZone[[#Headers],[Temperature zone]],0)</f>
        <v>1.4999999999999999E-2</v>
      </c>
      <c r="O249" s="33" cm="1">
        <f t="array" ref="O249">Common_InputFunctions.Utility_DisplayArrayInTable(Common_SourceData.Common_SourceData_MCFTemperatureZone_Data(),Table_SourceData_Common_MCFTemperatureZone[[#Headers],[Temperature zone]],0)</f>
        <v>1.4999999999999999E-2</v>
      </c>
      <c r="P249" s="33" cm="1">
        <f t="array" ref="P249">Common_InputFunctions.Utility_DisplayArrayInTable(Common_SourceData.Common_SourceData_MCFTemperatureZone_Data(),Table_SourceData_Common_MCFTemperatureZone[[#Headers],[Temperature zone]],0)</f>
        <v>0</v>
      </c>
      <c r="Q249" s="33" cm="1">
        <f t="array" ref="Q249">Common_InputFunctions.Utility_DisplayArrayInTable(Common_SourceData.Common_SourceData_MCFTemperatureZone_Data(),Table_SourceData_Common_MCFTemperatureZone[[#Headers],[Temperature zone]],0)</f>
        <v>0</v>
      </c>
      <c r="R249" s="33" cm="1">
        <f t="array" ref="R249">Common_InputFunctions.Utility_DisplayArrayInTable(Common_SourceData.Common_SourceData_MCFTemperatureZone_Data(),Table_SourceData_Common_MCFTemperatureZone[[#Headers],[Temperature zone]],0)</f>
        <v>4.7000000000000002E-3</v>
      </c>
      <c r="S249" s="33"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3" t="str" cm="1">
        <f t="array" ref="E250">Common_InputFunctions.Utility_DisplayArrayInTable(Common_SourceData.Common_SourceData_MCFTemperatureZone_Data(),Table_SourceData_Common_MCFTemperatureZone[[#Headers],[Temperature zone]],0)</f>
        <v>≥28</v>
      </c>
      <c r="F250" s="33" cm="1">
        <f t="array" ref="F250">Common_InputFunctions.Utility_DisplayArrayInTable(Common_SourceData.Common_SourceData_MCFTemperatureZone_Data(),Table_SourceData_Common_MCFTemperatureZone[[#Headers],[Temperature zone]],0)</f>
        <v>0.8</v>
      </c>
      <c r="G250" s="33" cm="1">
        <f t="array" ref="G250">Common_InputFunctions.Utility_DisplayArrayInTable(Common_SourceData.Common_SourceData_MCFTemperatureZone_Data(),Table_SourceData_Common_MCFTemperatureZone[[#Headers],[Temperature zone]],0)</f>
        <v>0.1</v>
      </c>
      <c r="H250" s="33" cm="1">
        <f t="array" ref="H250">Common_InputFunctions.Utility_DisplayArrayInTable(Common_SourceData.Common_SourceData_MCFTemperatureZone_Data(),Table_SourceData_Common_MCFTemperatureZone[[#Headers],[Temperature zone]],0)</f>
        <v>0.5</v>
      </c>
      <c r="I250" s="33" cm="1">
        <f t="array" ref="I250">Common_InputFunctions.Utility_DisplayArrayInTable(Common_SourceData.Common_SourceData_MCFTemperatureZone_Data(),Table_SourceData_Common_MCFTemperatureZone[[#Headers],[Temperature zone]],0)</f>
        <v>0.01</v>
      </c>
      <c r="J250" s="33" cm="1">
        <f t="array" ref="J250">Common_InputFunctions.Utility_DisplayArrayInTable(Common_SourceData.Common_SourceData_MCFTemperatureZone_Data(),Table_SourceData_Common_MCFTemperatureZone[[#Headers],[Temperature zone]],0)</f>
        <v>1.4999999999999999E-2</v>
      </c>
      <c r="K250" s="33" cm="1">
        <f t="array" ref="K250">Common_InputFunctions.Utility_DisplayArrayInTable(Common_SourceData.Common_SourceData_MCFTemperatureZone_Data(),Table_SourceData_Common_MCFTemperatureZone[[#Headers],[Temperature zone]],0)</f>
        <v>0.02</v>
      </c>
      <c r="L250" s="33" cm="1">
        <f t="array" ref="L250">Common_InputFunctions.Utility_DisplayArrayInTable(Common_SourceData.Common_SourceData_MCFTemperatureZone_Data(),Table_SourceData_Common_MCFTemperatureZone[[#Headers],[Temperature zone]],0)</f>
        <v>0.03</v>
      </c>
      <c r="M250" s="33" cm="1">
        <f t="array" ref="M250">Common_InputFunctions.Utility_DisplayArrayInTable(Common_SourceData.Common_SourceData_MCFTemperatureZone_Data(),Table_SourceData_Common_MCFTemperatureZone[[#Headers],[Temperature zone]],0)</f>
        <v>0.04</v>
      </c>
      <c r="N250" s="33" cm="1">
        <f t="array" ref="N250">Common_InputFunctions.Utility_DisplayArrayInTable(Common_SourceData.Common_SourceData_MCFTemperatureZone_Data(),Table_SourceData_Common_MCFTemperatureZone[[#Headers],[Temperature zone]],0)</f>
        <v>1.4999999999999999E-2</v>
      </c>
      <c r="O250" s="33" cm="1">
        <f t="array" ref="O250">Common_InputFunctions.Utility_DisplayArrayInTable(Common_SourceData.Common_SourceData_MCFTemperatureZone_Data(),Table_SourceData_Common_MCFTemperatureZone[[#Headers],[Temperature zone]],0)</f>
        <v>1.4999999999999999E-2</v>
      </c>
      <c r="P250" s="33" cm="1">
        <f t="array" ref="P250">Common_InputFunctions.Utility_DisplayArrayInTable(Common_SourceData.Common_SourceData_MCFTemperatureZone_Data(),Table_SourceData_Common_MCFTemperatureZone[[#Headers],[Temperature zone]],0)</f>
        <v>0</v>
      </c>
      <c r="Q250" s="33" cm="1">
        <f t="array" ref="Q250">Common_InputFunctions.Utility_DisplayArrayInTable(Common_SourceData.Common_SourceData_MCFTemperatureZone_Data(),Table_SourceData_Common_MCFTemperatureZone[[#Headers],[Temperature zone]],0)</f>
        <v>0</v>
      </c>
      <c r="R250" s="33" cm="1">
        <f t="array" ref="R250">Common_InputFunctions.Utility_DisplayArrayInTable(Common_SourceData.Common_SourceData_MCFTemperatureZone_Data(),Table_SourceData_Common_MCFTemperatureZone[[#Headers],[Temperature zone]],0)</f>
        <v>4.7000000000000002E-3</v>
      </c>
      <c r="S250" s="33"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7" t="str" cm="1">
        <f t="array" ref="D256">Common_SourceData.Common_SourceData_EFOrganicFertiliserAndCropResidues_Unit()</f>
        <v>kg N2O - N / kg N</v>
      </c>
    </row>
    <row r="257" spans="4:6" x14ac:dyDescent="0.25">
      <c r="D257" s="33" t="s">
        <v>169</v>
      </c>
      <c r="E257" s="33" t="s">
        <v>170</v>
      </c>
    </row>
    <row r="258" spans="4:6" x14ac:dyDescent="0.25">
      <c r="D258" s="33" t="str" cm="1">
        <f t="array" ref="D258">Common_InputFunctions.Utility_DisplayArrayInTable(Common_SourceData.Common_SourceData_EFOrganicFertiliserAndCropResidues_Data(), Table_SourceData_Common_EFOrganicFertCropResidues[[#Headers],[Climate Zone]], 0)</f>
        <v>Wet climate zone</v>
      </c>
      <c r="E258" s="33"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3"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175</v>
      </c>
    </row>
    <row r="264" spans="4:6" x14ac:dyDescent="0.25">
      <c r="D264" s="1" t="s">
        <v>176</v>
      </c>
    </row>
    <row r="265" spans="4:6" x14ac:dyDescent="0.25">
      <c r="D265" s="33" t="s">
        <v>177</v>
      </c>
      <c r="E265" s="33" t="s">
        <v>178</v>
      </c>
      <c r="F265" s="33" t="s">
        <v>179</v>
      </c>
    </row>
    <row r="266" spans="4:6" x14ac:dyDescent="0.25">
      <c r="D266" s="33" t="s">
        <v>180</v>
      </c>
      <c r="E266" s="33" t="s">
        <v>181</v>
      </c>
      <c r="F266" s="33">
        <v>5</v>
      </c>
    </row>
    <row r="267" spans="4:6" x14ac:dyDescent="0.25">
      <c r="D267" s="33" t="s">
        <v>182</v>
      </c>
      <c r="E267" s="33" t="s">
        <v>183</v>
      </c>
      <c r="F267" s="33">
        <v>4</v>
      </c>
    </row>
    <row r="268" spans="4:6" x14ac:dyDescent="0.25">
      <c r="D268" s="33" t="s">
        <v>184</v>
      </c>
      <c r="E268" s="33" t="s">
        <v>185</v>
      </c>
      <c r="F268" s="33">
        <v>3</v>
      </c>
    </row>
    <row r="269" spans="4:6" x14ac:dyDescent="0.25">
      <c r="D269" s="33" t="s">
        <v>186</v>
      </c>
      <c r="E269" s="33" t="s">
        <v>187</v>
      </c>
      <c r="F269" s="33">
        <v>2</v>
      </c>
    </row>
    <row r="270" spans="4:6" x14ac:dyDescent="0.25">
      <c r="D270" s="33" t="s">
        <v>188</v>
      </c>
      <c r="E270" s="33" t="s">
        <v>189</v>
      </c>
      <c r="F270" s="33">
        <v>1</v>
      </c>
    </row>
    <row r="273" spans="4:6" x14ac:dyDescent="0.25">
      <c r="D273" s="1" t="s">
        <v>190</v>
      </c>
    </row>
    <row r="274" spans="4:6" x14ac:dyDescent="0.25">
      <c r="D274" s="33" t="s">
        <v>177</v>
      </c>
      <c r="E274" s="33" t="s">
        <v>178</v>
      </c>
      <c r="F274" s="33" t="s">
        <v>179</v>
      </c>
    </row>
    <row r="275" spans="4:6" x14ac:dyDescent="0.25">
      <c r="D275" s="33" t="s">
        <v>191</v>
      </c>
      <c r="E275" s="33" t="s">
        <v>192</v>
      </c>
      <c r="F275" s="33">
        <v>5</v>
      </c>
    </row>
    <row r="276" spans="4:6" x14ac:dyDescent="0.25">
      <c r="D276" s="33" t="s">
        <v>193</v>
      </c>
      <c r="E276" s="33" t="s">
        <v>194</v>
      </c>
      <c r="F276" s="33">
        <v>4</v>
      </c>
    </row>
    <row r="277" spans="4:6" x14ac:dyDescent="0.25">
      <c r="D277" s="33" t="s">
        <v>195</v>
      </c>
      <c r="E277" s="33" t="s">
        <v>196</v>
      </c>
      <c r="F277" s="33">
        <v>3</v>
      </c>
    </row>
    <row r="278" spans="4:6" x14ac:dyDescent="0.25">
      <c r="D278" s="33" t="s">
        <v>197</v>
      </c>
      <c r="E278" s="33" t="s">
        <v>198</v>
      </c>
      <c r="F278" s="33">
        <v>2</v>
      </c>
    </row>
    <row r="279" spans="4:6" x14ac:dyDescent="0.25">
      <c r="D279" s="33" t="s">
        <v>199</v>
      </c>
      <c r="E279" s="33" t="s">
        <v>200</v>
      </c>
      <c r="F279" s="33">
        <v>1</v>
      </c>
    </row>
    <row r="282" spans="4:6" x14ac:dyDescent="0.25">
      <c r="D282" s="1" t="s">
        <v>201</v>
      </c>
    </row>
    <row r="283" spans="4:6" x14ac:dyDescent="0.25">
      <c r="D283" s="33" t="s">
        <v>177</v>
      </c>
      <c r="E283" s="33" t="s">
        <v>178</v>
      </c>
      <c r="F283" s="33" t="s">
        <v>179</v>
      </c>
    </row>
    <row r="284" spans="4:6" x14ac:dyDescent="0.25">
      <c r="D284" s="33" t="s">
        <v>202</v>
      </c>
      <c r="E284" s="33" t="s">
        <v>203</v>
      </c>
      <c r="F284" s="33">
        <v>5</v>
      </c>
    </row>
    <row r="285" spans="4:6" x14ac:dyDescent="0.25">
      <c r="D285" s="33" t="s">
        <v>204</v>
      </c>
      <c r="E285" s="33" t="s">
        <v>205</v>
      </c>
      <c r="F285" s="33">
        <v>4</v>
      </c>
    </row>
    <row r="286" spans="4:6" x14ac:dyDescent="0.25">
      <c r="D286" s="33" t="s">
        <v>206</v>
      </c>
      <c r="E286" s="33" t="s">
        <v>207</v>
      </c>
      <c r="F286" s="33">
        <v>3</v>
      </c>
    </row>
    <row r="287" spans="4:6" x14ac:dyDescent="0.25">
      <c r="D287" s="33" t="s">
        <v>208</v>
      </c>
      <c r="E287" s="33" t="s">
        <v>209</v>
      </c>
      <c r="F287" s="33">
        <v>2</v>
      </c>
    </row>
    <row r="288" spans="4:6" x14ac:dyDescent="0.25">
      <c r="D288" s="33" t="s">
        <v>210</v>
      </c>
      <c r="E288" s="33" t="s">
        <v>211</v>
      </c>
      <c r="F288" s="33">
        <v>1</v>
      </c>
    </row>
    <row r="291" spans="4:6" x14ac:dyDescent="0.25">
      <c r="D291" s="1" t="s">
        <v>212</v>
      </c>
    </row>
    <row r="292" spans="4:6" x14ac:dyDescent="0.25">
      <c r="D292" s="33" t="s">
        <v>177</v>
      </c>
      <c r="E292" s="33" t="s">
        <v>178</v>
      </c>
      <c r="F292" s="33" t="s">
        <v>179</v>
      </c>
    </row>
    <row r="293" spans="4:6" x14ac:dyDescent="0.25">
      <c r="D293" s="33" t="s">
        <v>213</v>
      </c>
      <c r="E293" s="33" t="s">
        <v>214</v>
      </c>
      <c r="F293" s="33">
        <v>5</v>
      </c>
    </row>
    <row r="294" spans="4:6" x14ac:dyDescent="0.25">
      <c r="D294" s="33" t="s">
        <v>215</v>
      </c>
      <c r="E294" s="33" t="s">
        <v>216</v>
      </c>
      <c r="F294" s="33">
        <v>4</v>
      </c>
    </row>
    <row r="295" spans="4:6" x14ac:dyDescent="0.25">
      <c r="D295" s="33" t="s">
        <v>217</v>
      </c>
      <c r="E295" s="33" t="s">
        <v>218</v>
      </c>
      <c r="F295" s="33">
        <v>3</v>
      </c>
    </row>
    <row r="296" spans="4:6" x14ac:dyDescent="0.25">
      <c r="D296" s="33" t="s">
        <v>219</v>
      </c>
      <c r="E296" s="33" t="s">
        <v>220</v>
      </c>
      <c r="F296" s="33">
        <v>2</v>
      </c>
    </row>
    <row r="297" spans="4:6" x14ac:dyDescent="0.25">
      <c r="D297" s="33" t="s">
        <v>221</v>
      </c>
      <c r="E297" s="33" t="s">
        <v>222</v>
      </c>
      <c r="F297" s="33">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56</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2" t="s">
        <v>57</v>
      </c>
      <c r="E9" s="33" t="s">
        <v>9</v>
      </c>
      <c r="F9" s="33" t="s">
        <v>58</v>
      </c>
      <c r="G9" s="3"/>
    </row>
    <row r="10" spans="1:13" ht="20.100000000000001" customHeight="1" x14ac:dyDescent="0.25">
      <c r="A10" s="17" t="str">
        <f>HYPERLINK("#'Input - Swine'!A1", "Swine")</f>
        <v>Swine</v>
      </c>
      <c r="D10" s="32" t="str" cm="1">
        <f t="array" ref="D10">Common_InputFunctions.Utility_DisplayArrayInTable(CommonLivestock_SourceData.SourceData_Livestock_Common_SymbolsMMS_Data(), Table_Data_MMSSymbols[[#Headers],[Symbol]], 0)</f>
        <v>1</v>
      </c>
      <c r="E10" s="32" t="str" cm="1">
        <f t="array" ref="E10">Common_InputFunctions.Utility_DisplayArrayInTable(CommonLivestock_SourceData.SourceData_Livestock_Common_SymbolsMMS_Data(), Table_Data_MMSSymbols[[#Headers],[Symbol]], 0)</f>
        <v>Anaerobic lagoon</v>
      </c>
      <c r="F10" s="32"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2" t="str" cm="1">
        <f t="array" ref="D11">Common_InputFunctions.Utility_DisplayArrayInTable(CommonLivestock_SourceData.SourceData_Livestock_Common_SymbolsMMS_Data(), Table_Data_MMSSymbols[[#Headers],[Symbol]], 0)</f>
        <v>2</v>
      </c>
      <c r="E11" s="32" t="str" cm="1">
        <f t="array" ref="E11">Common_InputFunctions.Utility_DisplayArrayInTable(CommonLivestock_SourceData.SourceData_Livestock_Common_SymbolsMMS_Data(), Table_Data_MMSSymbols[[#Headers],[Symbol]], 0)</f>
        <v>Liquid systems</v>
      </c>
      <c r="F11" s="32"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3" t="str" cm="1">
        <f t="array" ref="D12">Common_InputFunctions.Utility_DisplayArrayInTable(CommonLivestock_SourceData.SourceData_Livestock_Common_SymbolsMMS_Data(), Table_Data_MMSSymbols[[#Headers],[Symbol]], 0)</f>
        <v>3</v>
      </c>
      <c r="E12" s="33" t="str" cm="1">
        <f t="array" ref="E12">Common_InputFunctions.Utility_DisplayArrayInTable(CommonLivestock_SourceData.SourceData_Livestock_Common_SymbolsMMS_Data(), Table_Data_MMSSymbols[[#Headers],[Symbol]], 0)</f>
        <v>Daily spread</v>
      </c>
      <c r="F12" s="33"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54</v>
      </c>
      <c r="D13" s="33" t="str" cm="1">
        <f t="array" ref="D13">Common_InputFunctions.Utility_DisplayArrayInTable(CommonLivestock_SourceData.SourceData_Livestock_Common_SymbolsMMS_Data(), Table_Data_MMSSymbols[[#Headers],[Symbol]], 0)</f>
        <v>3a</v>
      </c>
      <c r="E13" s="33" t="str" cm="1">
        <f t="array" ref="E13">Common_InputFunctions.Utility_DisplayArrayInTable(CommonLivestock_SourceData.SourceData_Livestock_Common_SymbolsMMS_Data(), Table_Data_MMSSymbols[[#Headers],[Symbol]], 0)</f>
        <v>Sump and dispersal system</v>
      </c>
      <c r="F13" s="33"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HYPERLINK("#'3.5.1.1-2 Enteric Methane'!A1", "3.5.1.1-2 Enteric Methane")</f>
        <v>3.5.1.1-2 Enteric Methane</v>
      </c>
      <c r="D14" s="33" t="str" cm="1">
        <f t="array" ref="D14">Common_InputFunctions.Utility_DisplayArrayInTable(CommonLivestock_SourceData.SourceData_Livestock_Common_SymbolsMMS_Data(), Table_Data_MMSSymbols[[#Headers],[Symbol]], 0)</f>
        <v>3b</v>
      </c>
      <c r="E14" s="33" t="str" cm="1">
        <f t="array" ref="E14">Common_InputFunctions.Utility_DisplayArrayInTable(CommonLivestock_SourceData.SourceData_Livestock_Common_SymbolsMMS_Data(), Table_Data_MMSSymbols[[#Headers],[Symbol]], 0)</f>
        <v>Drains to paddock</v>
      </c>
      <c r="F14" s="33"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3" t="str" cm="1">
        <f t="array" ref="D15">Common_InputFunctions.Utility_DisplayArrayInTable(CommonLivestock_SourceData.SourceData_Livestock_Common_SymbolsMMS_Data(), Table_Data_MMSSymbols[[#Headers],[Symbol]], 0)</f>
        <v>4</v>
      </c>
      <c r="E15" s="33" t="str" cm="1">
        <f t="array" ref="E15">Common_InputFunctions.Utility_DisplayArrayInTable(CommonLivestock_SourceData.SourceData_Livestock_Common_SymbolsMMS_Data(), Table_Data_MMSSymbols[[#Headers],[Symbol]], 0)</f>
        <v>Solid storage</v>
      </c>
      <c r="F15" s="33"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3" t="str" cm="1">
        <f t="array" ref="D16">Common_InputFunctions.Utility_DisplayArrayInTable(CommonLivestock_SourceData.SourceData_Livestock_Common_SymbolsMMS_Data(), Table_Data_MMSSymbols[[#Headers],[Symbol]], 0)</f>
        <v>5</v>
      </c>
      <c r="E16" s="33" t="str" cm="1">
        <f t="array" ref="E16">Common_InputFunctions.Utility_DisplayArrayInTable(CommonLivestock_SourceData.SourceData_Livestock_Common_SymbolsMMS_Data(), Table_Data_MMSSymbols[[#Headers],[Symbol]], 0)</f>
        <v>Drylot (feed pad)</v>
      </c>
      <c r="F16" s="33"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1" t="s">
        <v>1</v>
      </c>
      <c r="D17" s="33" t="str" cm="1">
        <f t="array" ref="D17">Common_InputFunctions.Utility_DisplayArrayInTable(CommonLivestock_SourceData.SourceData_Livestock_Common_SymbolsMMS_Data(), Table_Data_MMSSymbols[[#Headers],[Symbol]], 0)</f>
        <v>6</v>
      </c>
      <c r="E17" s="33" t="str" cm="1">
        <f t="array" ref="E17">Common_InputFunctions.Utility_DisplayArrayInTable(CommonLivestock_SourceData.SourceData_Livestock_Common_SymbolsMMS_Data(), Table_Data_MMSSymbols[[#Headers],[Symbol]], 0)</f>
        <v>Composting (passive windrow)</v>
      </c>
      <c r="F17" s="33"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Swine'!A1", "Constants - Swine")</f>
        <v>Constants - Swine</v>
      </c>
      <c r="D18" s="33" t="str" cm="1">
        <f t="array" ref="D18">Common_InputFunctions.Utility_DisplayArrayInTable(CommonLivestock_SourceData.SourceData_Livestock_Common_SymbolsMMS_Data(), Table_Data_MMSSymbols[[#Headers],[Symbol]], 0)</f>
        <v>7</v>
      </c>
      <c r="E18" s="33" t="str" cm="1">
        <f t="array" ref="E18">Common_InputFunctions.Utility_DisplayArrayInTable(CommonLivestock_SourceData.SourceData_Livestock_Common_SymbolsMMS_Data(), Table_Data_MMSSymbols[[#Headers],[Symbol]], 0)</f>
        <v>Digester / covered lagoons</v>
      </c>
      <c r="F18" s="33"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3" t="str" cm="1">
        <f t="array" ref="D19">Common_InputFunctions.Utility_DisplayArrayInTable(CommonLivestock_SourceData.SourceData_Livestock_Common_SymbolsMMS_Data(), Table_Data_MMSSymbols[[#Headers],[Symbol]], 0)</f>
        <v>8</v>
      </c>
      <c r="E19" s="33" t="str" cm="1">
        <f t="array" ref="E19">Common_InputFunctions.Utility_DisplayArrayInTable(CommonLivestock_SourceData.SourceData_Livestock_Common_SymbolsMMS_Data(), Table_Data_MMSSymbols[[#Headers],[Symbol]], 0)</f>
        <v>Deep litter</v>
      </c>
      <c r="F19" s="33"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20" t="str">
        <f>HYPERLINK("#'Constants - Livestock'!A1", "Constants - Livestock")</f>
        <v>Constants - Livestock</v>
      </c>
      <c r="D20" s="33" t="str" cm="1">
        <f t="array" ref="D20">Common_InputFunctions.Utility_DisplayArrayInTable(CommonLivestock_SourceData.SourceData_Livestock_Common_SymbolsMMS_Data(), Table_Data_MMSSymbols[[#Headers],[Symbol]], 0)</f>
        <v>9</v>
      </c>
      <c r="E20" s="33" t="str" cm="1">
        <f t="array" ref="E20">Common_InputFunctions.Utility_DisplayArrayInTable(CommonLivestock_SourceData.SourceData_Livestock_Common_SymbolsMMS_Data(), Table_Data_MMSSymbols[[#Headers],[Symbol]], 0)</f>
        <v>Pit storage</v>
      </c>
      <c r="F20" s="33"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3" t="str" cm="1">
        <f t="array" ref="D21">Common_InputFunctions.Utility_DisplayArrayInTable(CommonLivestock_SourceData.SourceData_Livestock_Common_SymbolsMMS_Data(), Table_Data_MMSSymbols[[#Headers],[Symbol]], 0)</f>
        <v>10</v>
      </c>
      <c r="E21" s="33" t="str" cm="1">
        <f t="array" ref="E21">Common_InputFunctions.Utility_DisplayArrayInTable(CommonLivestock_SourceData.SourceData_Livestock_Common_SymbolsMMS_Data(), Table_Data_MMSSymbols[[#Headers],[Symbol]], 0)</f>
        <v>Poultry manure with bedding</v>
      </c>
      <c r="F21" s="33"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3" t="str" cm="1">
        <f t="array" ref="D22">Common_InputFunctions.Utility_DisplayArrayInTable(CommonLivestock_SourceData.SourceData_Livestock_Common_SymbolsMMS_Data(), Table_Data_MMSSymbols[[#Headers],[Symbol]], 0)</f>
        <v>11</v>
      </c>
      <c r="E22" s="33" t="str" cm="1">
        <f t="array" ref="E22">Common_InputFunctions.Utility_DisplayArrayInTable(CommonLivestock_SourceData.SourceData_Livestock_Common_SymbolsMMS_Data(), Table_Data_MMSSymbols[[#Headers],[Symbol]], 0)</f>
        <v>Poultry manure without bedding</v>
      </c>
      <c r="F22" s="33"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3" t="str" cm="1">
        <f t="array" ref="D23">Common_InputFunctions.Utility_DisplayArrayInTable(CommonLivestock_SourceData.SourceData_Livestock_Common_SymbolsMMS_Data(), Table_Data_MMSSymbols[[#Headers],[Symbol]], 0)</f>
        <v>11a</v>
      </c>
      <c r="E23" s="33" t="str" cm="1">
        <f t="array" ref="E23">Common_InputFunctions.Utility_DisplayArrayInTable(CommonLivestock_SourceData.SourceData_Livestock_Common_SymbolsMMS_Data(), Table_Data_MMSSymbols[[#Headers],[Symbol]], 0)</f>
        <v>Belt manure removal</v>
      </c>
      <c r="F23" s="33"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3" t="str" cm="1">
        <f t="array" ref="D24">Common_InputFunctions.Utility_DisplayArrayInTable(CommonLivestock_SourceData.SourceData_Livestock_Common_SymbolsMMS_Data(), Table_Data_MMSSymbols[[#Headers],[Symbol]], 0)</f>
        <v>11b</v>
      </c>
      <c r="E24" s="33" t="str" cm="1">
        <f t="array" ref="E24">Common_InputFunctions.Utility_DisplayArrayInTable(CommonLivestock_SourceData.SourceData_Livestock_Common_SymbolsMMS_Data(), Table_Data_MMSSymbols[[#Headers],[Symbol]], 0)</f>
        <v>Manure stored in house</v>
      </c>
      <c r="F24" s="33"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3" t="str" cm="1">
        <f t="array" ref="D25">Common_InputFunctions.Utility_DisplayArrayInTable(CommonLivestock_SourceData.SourceData_Livestock_Common_SymbolsMMS_Data(), Table_Data_MMSSymbols[[#Headers],[Symbol]], 0)</f>
        <v>12</v>
      </c>
      <c r="E25" s="33" t="str" cm="1">
        <f t="array" ref="E25">Common_InputFunctions.Utility_DisplayArrayInTable(CommonLivestock_SourceData.SourceData_Livestock_Common_SymbolsMMS_Data(), Table_Data_MMSSymbols[[#Headers],[Symbol]], 0)</f>
        <v>Direct processing</v>
      </c>
      <c r="F25" s="33"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3" t="str" cm="1">
        <f t="array" ref="D26">Common_InputFunctions.Utility_DisplayArrayInTable(CommonLivestock_SourceData.SourceData_Livestock_Common_SymbolsMMS_Data(), Table_Data_MMSSymbols[[#Headers],[Symbol]], 0)</f>
        <v>13</v>
      </c>
      <c r="E26" s="33" t="str" cm="1">
        <f t="array" ref="E26">Common_InputFunctions.Utility_DisplayArrayInTable(CommonLivestock_SourceData.SourceData_Livestock_Common_SymbolsMMS_Data(), Table_Data_MMSSymbols[[#Headers],[Symbol]], 0)</f>
        <v>Direct application</v>
      </c>
      <c r="F26" s="33"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3" t="str" cm="1">
        <f t="array" ref="D27">Common_InputFunctions.Utility_DisplayArrayInTable(CommonLivestock_SourceData.SourceData_Livestock_Common_SymbolsMMS_Data(), Table_Data_MMSSymbols[[#Headers],[Symbol]], 0)</f>
        <v>14</v>
      </c>
      <c r="E27" s="33" t="str" cm="1">
        <f t="array" ref="E27">Common_InputFunctions.Utility_DisplayArrayInTable(CommonLivestock_SourceData.SourceData_Livestock_Common_SymbolsMMS_Data(), Table_Data_MMSSymbols[[#Headers],[Symbol]], 0)</f>
        <v>Pasture range and paddock</v>
      </c>
      <c r="F27" s="33"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8"/>
  <sheetViews>
    <sheetView zoomScaleNormal="100" workbookViewId="0">
      <selection activeCell="A21" sqref="A21"/>
    </sheetView>
  </sheetViews>
  <sheetFormatPr defaultRowHeight="15" x14ac:dyDescent="0.25"/>
  <sheetData>
    <row r="1" spans="1:1" x14ac:dyDescent="0.25">
      <c r="A1" t="s">
        <v>223</v>
      </c>
    </row>
    <row r="3" spans="1:1" ht="15.75" x14ac:dyDescent="0.25">
      <c r="A3" s="17" t="str">
        <f>HYPERLINK("#'Home'!A1", "Home")</f>
        <v>Home</v>
      </c>
    </row>
    <row r="6" spans="1:1" x14ac:dyDescent="0.25">
      <c r="A6" s="121" t="s">
        <v>1</v>
      </c>
    </row>
    <row r="7" spans="1:1" ht="15.75" x14ac:dyDescent="0.25">
      <c r="A7" s="17" t="str">
        <f>HYPERLINK("#'Constants - Common'!A1", "Constants - Common")</f>
        <v>Constants - Common</v>
      </c>
    </row>
    <row r="8" spans="1:1" ht="15.75" x14ac:dyDescent="0.25">
      <c r="A8" s="120"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lpstr>Common_SourceData_DensityOfMethane_Data</vt:lpstr>
      <vt:lpstr>SourceData_Swine_FracLEACH_DrylotMMS_Data</vt:lpstr>
      <vt:lpstr>SourceData_Swine_MegajoulesPerKilogramMethane_Data</vt:lpstr>
      <vt:lpstr>SourceData_Swine_MethaneVolatileSolidsEmissionsPotential_Data</vt:lpstr>
      <vt:lpstr>VEERG_3_5_1_1__1_TotalAnnualMethaneFromEntericFermentation_Result_Method1</vt:lpstr>
      <vt:lpstr>VEERG_3_5_1_1__1_TotalAnnualMethaneFromEntericFermentation_Result_Method2</vt:lpstr>
      <vt:lpstr>X_Cell_Site_FarmName</vt:lpstr>
      <vt:lpstr>X_Cell_Site_ReportingEntityName</vt:lpstr>
      <vt:lpstr>X_Cell_Site_StartDate</vt:lpstr>
      <vt:lpstr>X_Table_Swine_HerdMovement</vt:lpstr>
      <vt:lpstr>X_Table_Swine_ManureProduction_Method1</vt:lpstr>
      <vt:lpstr>X_Table_Swine_ManureProduction_Method2</vt:lpstr>
      <vt:lpstr>X_Table_Swine_VolatileSolidProduction_Method1</vt:lpstr>
      <vt:lpstr>X_Table_Swine_VolatileSolidProduction_Method2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2026-08-10T06:17:04Z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