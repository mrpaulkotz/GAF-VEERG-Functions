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4BE49F5-7AFB-4BE1-9217-37AA076FE8C7}" xr6:coauthVersionLast="47" xr6:coauthVersionMax="47" xr10:uidLastSave="{00000000-0000-0000-0000-000000000000}"/>
  <bookViews>
    <workbookView xWindow="1350" yWindow="360" windowWidth="36255" windowHeight="19140" activeTab="5"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1"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69" l="1"/>
  <c r="D51" i="69" a="1"/>
  <c r="D51" i="69" s="1"/>
  <c r="D45" i="69" a="1"/>
  <c r="D45" i="69" s="1"/>
  <c r="M20" i="69" a="1"/>
  <c r="M20" i="69" s="1"/>
  <c r="D20" i="69" a="1"/>
  <c r="D20" i="69" s="1"/>
  <c r="P61" i="69"/>
  <c r="G61"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4" i="111" l="1"/>
  <c r="H52" i="111"/>
  <c r="H51" i="111"/>
  <c r="H48" i="111"/>
  <c r="H49" i="111"/>
  <c r="H53" i="111"/>
  <c r="H50" i="111"/>
  <c r="Q56" i="69"/>
  <c r="E7" i="69"/>
  <c r="I15" i="69"/>
  <c r="I14" i="69"/>
  <c r="A4" i="13" l="1"/>
  <c r="A92" i="70"/>
  <c r="A46" i="70"/>
  <c r="A117" i="79"/>
  <c r="A63" i="79"/>
  <c r="A266" i="69"/>
  <c r="A231" i="69"/>
  <c r="A213" i="69"/>
  <c r="A186" i="69"/>
  <c r="A110" i="69"/>
  <c r="A70" i="69"/>
  <c r="I13" i="69" a="1"/>
  <c r="I13" i="69" s="1"/>
  <c r="H21" i="69"/>
  <c r="H46" i="69"/>
  <c r="H51" i="69" l="1"/>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P26" i="69" s="1" a="1"/>
  <c r="P26" i="69" s="1"/>
  <c r="F15" i="70" a="1"/>
  <c r="F15" i="70" s="1"/>
  <c r="N26" i="69" s="1" a="1"/>
  <c r="N26" i="69" s="1"/>
  <c r="E15" i="70" a="1"/>
  <c r="E15" i="70" s="1"/>
  <c r="M26" i="69" s="1" a="1"/>
  <c r="M26" i="69" s="1"/>
  <c r="H12" i="70" a="1"/>
  <c r="H12" i="70" s="1"/>
  <c r="G26" i="69" s="1" a="1"/>
  <c r="G26" i="69" s="1"/>
  <c r="G12" i="70" a="1"/>
  <c r="G12" i="70" s="1"/>
  <c r="F26" i="69" s="1" a="1"/>
  <c r="F26" i="69" s="1"/>
  <c r="F12" i="70" a="1"/>
  <c r="F12" i="70" s="1"/>
  <c r="E26" i="69" s="1" a="1"/>
  <c r="E26" i="69" s="1"/>
  <c r="E56" i="69" s="1" a="1"/>
  <c r="E56" i="69" s="1"/>
  <c r="E12" i="70" a="1"/>
  <c r="E12" i="70" s="1"/>
  <c r="D26" i="69" s="1" a="1"/>
  <c r="D26" i="69" s="1"/>
  <c r="G15" i="70" a="1"/>
  <c r="G15" i="70" s="1"/>
  <c r="O26" i="69" s="1" a="1"/>
  <c r="O26" i="69" s="1"/>
  <c r="O56" i="69" s="1" a="1"/>
  <c r="O56" i="69" s="1"/>
  <c r="D6" i="70"/>
  <c r="D7" i="70"/>
  <c r="F56" i="69" l="1" a="1"/>
  <c r="F56" i="69" s="1"/>
  <c r="G56" i="69" a="1"/>
  <c r="G56" i="69" s="1"/>
  <c r="M56" i="69" a="1"/>
  <c r="M56" i="69" s="1"/>
  <c r="N56" i="69" a="1"/>
  <c r="N56" i="69" s="1"/>
  <c r="P56" i="69" a="1"/>
  <c r="P56" i="69" s="1"/>
  <c r="D56" i="69" a="1"/>
  <c r="D56"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N58" i="69" l="1"/>
  <c r="F58" i="69"/>
  <c r="H26" i="69"/>
  <c r="E32" i="69"/>
  <c r="H56" i="69"/>
  <c r="P60" i="69" l="1"/>
  <c r="N63" i="69" s="1" a="1"/>
  <c r="N63" i="69" s="1"/>
  <c r="I7" i="13" s="1"/>
  <c r="I8" i="13" s="1"/>
  <c r="F7"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E7" i="13" s="1"/>
  <c r="G60" i="69" l="1"/>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<sst xmlns="http://schemas.openxmlformats.org/spreadsheetml/2006/main" count="253" uniqueCount="176">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</sst>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6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4" dataCellStyle="Content normal">
  <autoFilter ref="D78:E82" xr:uid="{E34928EB-73E5-43B2-830B-089F30DA4EF0}">
    <filterColumn colId="0" hiddenButton="1"/>
    <filterColumn colId="1" hiddenButton="1"/>
  </autoFilter>
  <tableColumns count="2">
    <tableColumn id="1" xr3:uid="{CAC8EB28-568F-4E9F-8E36-EBDFF74A58D3}" name="Class" dataDxfId="6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5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E7C1E4-6403-4F28-8209-832F1AE009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D532CE6-BB01-450D-82A5-4C5F5071B974}" name="State/Territory">
      <calculatedColumnFormula array="1">Common_InputFunctions.Utility_DisplayArrayInTable(Common_SourceData.Common_SourceData_AustralianStatesTerritories_Data(),Table_AustralianStates[[#Headers],[State/Territory]],0)</calculatedColumnFormula>
    </tableColumn>
    <tableColumn id="2" xr3:uid="{11D9C92F-5B95-434F-B380-92F3F9C84F63}" name="Common Name">
      <calculatedColumnFormula array="1">Common_InputFunctions.Utility_DisplayArrayInTable(Common_SourceData.Common_SourceData_AustralianStatesTerritories_Data(),Table_AustralianStates[[#Headers],[State/Territory]],0)</calculatedColumnFormula>
    </tableColumn>
    <tableColumn id="3" xr3:uid="{436AF3A4-282F-4168-AE14-E98FF20F57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197A506-7935-41B3-8230-B300726C222A}" name="Table_WASA4Areas" displayName="Table_WASA4Areas" ref="D20:D30" totalsRowShown="0">
  <autoFilter ref="D20:D30" xr:uid="{5FA81339-C6C8-4D36-BEEA-6C4AEDD9E676}">
    <filterColumn colId="0" hiddenButton="1"/>
  </autoFilter>
  <tableColumns count="1">
    <tableColumn id="1" xr3:uid="{35738AA9-632B-4C74-9D86-4BAD4DA2E81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D38E4CD-E2F7-4D92-8059-A8D9C3FB099F}" name="Table_GWPData" displayName="Table_GWPData" ref="D36:E43" totalsRowShown="0">
  <autoFilter ref="D36:E43" xr:uid="{B8E87A66-3E41-4AD3-925D-01EE21B43D7A}">
    <filterColumn colId="0" hiddenButton="1"/>
    <filterColumn colId="1" hiddenButton="1"/>
  </autoFilter>
  <tableColumns count="2">
    <tableColumn id="1" xr3:uid="{448C98E8-EAEE-4BB5-AE30-B9802D4D981B}" name="Gas">
      <calculatedColumnFormula array="1">Common_InputFunctions.Utility_DisplayArrayInTable(Common_SourceData.Common_SourceData_GWP_Data(), Table_GWPData[[#Headers],[Gas]], 0)</calculatedColumnFormula>
    </tableColumn>
    <tableColumn id="2" xr3:uid="{93CF53E3-F464-47C1-897F-B9311C8FF9C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EF3134-C3BD-4FF1-B7B7-86B42D5A599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576FED0-D49E-4EA9-9A03-D0FC13940F55}" name="Gas">
      <calculatedColumnFormula array="1">Common_InputFunctions.Utility_DisplayArrayInTable(Common_SourceData.Common_SourceData_ConvertGasElementalToMolecular_Data(),Table_GasToMolecularConversionFactor[[#Headers],[Gas]], 0)</calculatedColumnFormula>
    </tableColumn>
    <tableColumn id="5" xr3:uid="{15A82B2D-6B0A-43E6-AEF4-04032F3DC0D2}" name="Conversion factor">
      <calculatedColumnFormula array="1">Common_InputFunctions.Utility_DisplayArrayInTable(Common_SourceData.Common_SourceData_ConvertGasElementalToMolecular_Data(),Table_GasToMolecularConversionFactor[[#Headers],[Gas]], 0)</calculatedColumnFormula>
    </tableColumn>
    <tableColumn id="2" xr3:uid="{DD412816-A312-431D-A60F-0BED39BF841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02C148D-4452-40B9-B0C1-B4ECD0E32D4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3A95A1-ACE1-4160-B5CF-B8372DA696A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29108B1-63BF-49B8-84F2-4B403185B84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208ADB-AB67-424E-9610-88B03E061E9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8E3AD1B-BF36-4E90-9194-0A97F43A8CCC}"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91072CD8-03C6-4958-A23B-B0D84C9C352E}"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268A89E4-1746-4A51-920B-F71452A096F3}"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908B4CD0-2C1B-4AD9-A1A1-EBD1B6FBAD7C}"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638FCDF6-2767-41AF-A9B3-769093267947}"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9BC8C8C3-DEE0-439D-9B9F-EAFE57C3BE6A}"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C5C205E9-12AD-4BAB-81D2-6269B4CA42FD}"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4C2AD9FA-A38E-4AAF-9D27-83303336A667}"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67D95C8B-A269-45F0-9275-5211320DB362}"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A0E7C898-2974-4E85-BB2E-30080780280A}"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68582EF7-292E-43E8-B12C-6C40E9E44480}"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C557A0C2-7B9F-4000-B29C-C828F4F36848}"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A86C5190-21D7-4D40-A97C-5B445BB2036C}"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BAE9AE1A-A75C-426E-B3EC-0EF06EF3F2C4}"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AC011845-7B1F-4BA8-89AC-5ACAF083B4CF}"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024A430-4358-4862-A0D1-3E6B0BAD7F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CC59E7C-AE08-43FD-A31D-1A6E0235C0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987A5F9-4B8D-4E60-B52C-68584596258B}"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6572D4F-9577-49BD-BA42-9BD8E68CA26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4B8E77-7937-4A5D-85FD-4F874DB5D2E6}" name="Temperature Zone">
      <calculatedColumnFormula array="1">Common_InputFunctions.Utility_DisplayArrayInTable(Common_SourceData.Common_SourceData_TemperatureZones_Data(),Table_SourceData_TemperatureZones[[#Headers],[Temperature Zone]],0)</calculatedColumnFormula>
    </tableColumn>
    <tableColumn id="2" xr3:uid="{DF85DD65-FC08-4D95-936C-60DD52C7EEA7}" name="MAT">
      <calculatedColumnFormula array="1">Common_InputFunctions.Utility_DisplayArrayInTable(Common_SourceData.Common_SourceData_TemperatureZones_Data(),Table_SourceData_TemperatureZones[[#Headers],[Temperature Zone]],0)</calculatedColumnFormula>
    </tableColumn>
    <tableColumn id="3" xr3:uid="{4852D7C1-94B2-4D26-8033-D554A00D0931}" name="Min MAT">
      <calculatedColumnFormula array="1">Common_InputFunctions.Utility_DisplayArrayInTable(Common_SourceData.Common_SourceData_TemperatureZones_Data(),Table_SourceData_TemperatureZones[[#Headers],[Temperature Zone]],0)</calculatedColumnFormula>
    </tableColumn>
    <tableColumn id="4" xr3:uid="{CFCC2F62-8E85-4C13-B9D2-68774CB5913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71A7457-184A-4DF9-A3C5-0944D54E75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638BB52-31C0-4EF8-A90A-F41CE0D2834B}" name="Rainfall Zone">
      <calculatedColumnFormula array="1">Common_InputFunctions.Utility_DisplayArrayInTable(Common_SourceData.Common_SourceData_RainfallZones_Data(),Table_SourceData_RainfallZones[[#Headers],[Rainfall Zone]],0)</calculatedColumnFormula>
    </tableColumn>
    <tableColumn id="2" xr3:uid="{3CD24968-FDB5-497B-A158-15286E286D1E}" name="Annual rainfall">
      <calculatedColumnFormula array="1">Common_InputFunctions.Utility_DisplayArrayInTable(Common_SourceData.Common_SourceData_RainfallZones_Data(),Table_SourceData_RainfallZones[[#Headers],[Rainfall Zone]],0)</calculatedColumnFormula>
    </tableColumn>
    <tableColumn id="3" xr3:uid="{9AE88C75-6949-4F97-8928-8337300C60CC}" name="Min rainfall">
      <calculatedColumnFormula array="1">Common_InputFunctions.Utility_DisplayArrayInTable(Common_SourceData.Common_SourceData_RainfallZones_Data(),Table_SourceData_RainfallZones[[#Headers],[Rainfall Zone]],0)</calculatedColumnFormula>
    </tableColumn>
    <tableColumn id="4" xr3:uid="{A44B45C8-BE9C-4FCD-8234-8788F85C5EB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633F88A-C685-44BB-A3EE-C6B89CE66B0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B8B09E6-F484-4A86-A9C6-90DBEF46CDC3}" name="Leaching Zone">
      <calculatedColumnFormula array="1">Common_InputFunctions.Utility_DisplayArrayInTable(Common_SourceData.Common_SourceData_LeachingZones_Data(), Table_SourceData_LeachingZones[[#Headers],[Leaching Zone]], 0)</calculatedColumnFormula>
    </tableColumn>
    <tableColumn id="2" xr3:uid="{A1809FC1-8018-4DCD-A52B-1DA0CAC5B4F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A036A35-AA22-45C8-805D-7446A320421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D024494-6163-4F0F-BA5A-E834E375B384}" name="Data source">
      <calculatedColumnFormula array="1">Common_InputFunctions.Utility_DisplayArrayInTable(Common_SourceData.Common_SourceData_DataScores_Scope3_Data(), Table_SourceData_DataScores_Scope3[[#Headers],[Data source]], 0)</calculatedColumnFormula>
    </tableColumn>
    <tableColumn id="2" xr3:uid="{3F3D40FA-4AE9-4F0F-AC21-B0494BFFE2C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C741027-A191-4BA5-8392-BD05E5C97933}" name="Table_SourceData_FracWET" displayName="Table_SourceData_FracWET" ref="D134:E136" totalsRowShown="0">
  <autoFilter ref="D134:E136" xr:uid="{308E99BE-FE1F-47A4-B2CA-97217277C4E9}">
    <filterColumn colId="0" hiddenButton="1"/>
    <filterColumn colId="1" hiddenButton="1"/>
  </autoFilter>
  <tableColumns count="2">
    <tableColumn id="1" xr3:uid="{C84962BF-DBD8-4300-88E3-CD132FF3D28F}" name="Is in leaching zone">
      <calculatedColumnFormula array="1">Common_InputFunctions.Utility_DisplayArrayInTable(Common_SourceData.Common_SourceData_FracWET_Data(),Table_SourceData_FracWET[[#Headers],[Is in leaching zone]],0)</calculatedColumnFormula>
    </tableColumn>
    <tableColumn id="2" xr3:uid="{45408FAE-2E1A-4F9E-935A-9EE4FD8DCFDC}"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A3018CF-409A-41E0-A723-AAD8BC61E31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9601505-6D4E-400E-A1DE-A467E131BB51}" name="Production system j">
      <calculatedColumnFormula array="1">Common_InputFunctions.Utility_DisplayArrayInTable(Common_SourceData.Common_SourceData_EFN2O_Data(), Table_SourceData_Common_EFN2O[[#Headers],[Production system j]], 0)</calculatedColumnFormula>
    </tableColumn>
    <tableColumn id="2" xr3:uid="{DB77EB4C-F64D-434D-985D-329ADE774551}" name="EFN2O">
      <calculatedColumnFormula array="1">Common_InputFunctions.Utility_DisplayArrayInTable(Common_SourceData.Common_SourceData_EFN2O_Data(), Table_SourceData_Common_EFN2O[[#Headers],[Production system j]], 0)</calculatedColumnFormula>
    </tableColumn>
    <tableColumn id="3" xr3:uid="{E58C180B-3E8D-4978-A361-B4177B2154B0}" name="Production system only">
      <calculatedColumnFormula array="1">Common_InputFunctions.Utility_DisplayArrayInTable(Common_SourceData.Common_SourceData_EFN2O_Data(), Table_SourceData_Common_EFN2O[[#Headers],[Production system j]], 0)</calculatedColumnFormula>
    </tableColumn>
    <tableColumn id="4" xr3:uid="{45292F44-DB1C-473B-8E4C-0D42689301B4}" name="Irrigation method">
      <calculatedColumnFormula array="1">Common_InputFunctions.Utility_DisplayArrayInTable(Common_SourceData.Common_SourceData_EFN2O_Data(), Table_SourceData_Common_EFN2O[[#Headers],[Production system j]], 0)</calculatedColumnFormula>
    </tableColumn>
    <tableColumn id="5" xr3:uid="{091C0121-3FD8-4516-8796-4304279C22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4C0127D-61A6-4925-A00C-3911104EADE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93D3EBC-D313-455E-8D6A-56FC5DF1709D}" name="Irrigation type i">
      <calculatedColumnFormula array="1">Common_InputFunctions.Utility_DisplayArrayInTable(Common_SourceData.Common_SourceData_FracWETIrrigation_Data(), Table_SourceData_FracWETIrrigation[[#Headers],[Irrigation type i]], 0)</calculatedColumnFormula>
    </tableColumn>
    <tableColumn id="2" xr3:uid="{BD31B215-616A-4C84-8CFD-6DB3A05B7C26}"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4B125E7-70AC-4B80-8F51-838964148C1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69701C-ADD7-445E-8E02-EFF2E966855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9530B33-FBD8-471E-9119-E87F5F88B0DC}"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ED0C8C-81A6-4000-B7C7-04FE4E47E2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0C890A-725C-471C-9DBD-973AB078E517}" name="Month">
      <calculatedColumnFormula array="1">Common_InputFunctions.Utility_DisplayArrayInTable(Common_SourceData.Common_SourceData_MonthsToSeasons_Data(), Table_SourceData_Common_MonthToSeason[[#Headers],[Month]], 0)</calculatedColumnFormula>
    </tableColumn>
    <tableColumn id="2" xr3:uid="{DA65B608-F63D-4802-8F24-7BF9C115E410}"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A2CC4FB-6B00-4D6B-ABB1-2DAAC0801ED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DD475A6-4779-4397-B04C-3DD211336AE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0FFFA46-5867-4CA9-A601-600D6D8791AA}"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FE9A949-37B5-4E2A-850E-CD3CFC8CA39D}"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8F0EC3-AE1C-4B69-AC3C-DF3CF2B8EB53}"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9AF04BF-2503-45F0-839D-62669663EDF4}"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0408AF4-074F-4536-8987-A979EDB33EFA}"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6EFC40F-B134-4098-A6E1-384C95509312}"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B9A3939-3C54-4700-9044-43185125F7C7}"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2F77327-DCEF-46C5-8D5C-4306D9CD24CC}"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7FBABE-679E-43BB-89A2-424C9BCC4BD7}"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69F11-96F2-4BF6-82B9-629DE6CD5F31}"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6C7C98-4101-4C77-890D-CA66FFB388A6}"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FD2DBE9-22EC-4983-9CFF-196FBBFB1F7A}"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B1B156-02AF-431D-970E-393824427494}"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56060D5-42C5-4106-BF08-8C76DEBF354C}"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743D72-942F-40D0-BDC1-893034B69FC4}"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0C8760A-30DA-4C92-8800-368E5F2E7CF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F923D5D-512C-4BDC-828E-D197B29189C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98E1055-49EA-4931-B52D-245A088FC117}" name="EFNi &amp; EFN2Oi" dataDxfId="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166</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167</v>
      </c>
      <c r="E5" s="85"/>
      <c r="F5" s="85"/>
      <c r="G5" s="85"/>
      <c r="H5" s="85"/>
      <c r="I5" s="81"/>
    </row>
    <row r="6" spans="1:11" ht="20.100000000000001" customHeight="1" x14ac:dyDescent="0.25">
      <c r="A6" s="16"/>
      <c r="D6" s="120" t="s">
        <v>168</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7" sqref="F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165</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159</v>
      </c>
      <c r="E7" s="109">
        <f ca="1">VEERG_3_5_1_1__1_TotalAnnualMethaneFromEntericFermentation_Result_Method1</f>
        <v>0.78573884462151411</v>
      </c>
      <c r="F7" s="109">
        <f ca="1">VEERG_3_5_1_1__1_TotalAnnualMethaneFromEntericFermentation_Result_Method2</f>
        <v>0.78573884462151411</v>
      </c>
      <c r="G7" s="49" t="s">
        <v>94</v>
      </c>
      <c r="H7" s="97">
        <f ca="1">'3.5.1.1-2 Enteric Methane'!E63</f>
        <v>22.000687649402394</v>
      </c>
      <c r="I7" s="97">
        <f ca="1">'3.5.1.1-2 Enteric Methane'!N63</f>
        <v>22.000687649402394</v>
      </c>
      <c r="J7" s="49" t="s">
        <v>96</v>
      </c>
      <c r="K7" s="21"/>
    </row>
    <row r="8" spans="1:11" ht="20.100000000000001" customHeight="1" x14ac:dyDescent="0.3">
      <c r="A8" s="17" t="str">
        <f>HYPERLINK("#'Input - Site'!A1", "Site")</f>
        <v>Site</v>
      </c>
      <c r="C8" s="21"/>
      <c r="D8" s="28" t="s">
        <v>89</v>
      </c>
      <c r="E8" s="22"/>
      <c r="F8" s="22"/>
      <c r="G8" s="28"/>
      <c r="H8" s="99">
        <f ca="1">SUM(H7:H7)</f>
        <v>22.000687649402394</v>
      </c>
      <c r="I8" s="99">
        <f ca="1">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7" sqref="E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election activeCell="D12" sqref="D11:H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175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abSelected="1" topLeftCell="D39" zoomScale="85" zoomScaleNormal="85" workbookViewId="0">
      <selection activeCell="D51" sqref="D5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159</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SourceData_Swine_MegajoulesPerKilogramMethane_Data</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155</v>
      </c>
      <c r="M18" s="105" t="s">
        <v>173</v>
      </c>
    </row>
    <row r="19" spans="1:17" ht="20.100000000000001" customHeight="1" x14ac:dyDescent="0.25">
      <c r="D19" s="106" t="s">
        <v>156</v>
      </c>
      <c r="M19" s="106" t="s">
        <v>174</v>
      </c>
    </row>
    <row r="20" spans="1:17" ht="20.100000000000001" customHeight="1" x14ac:dyDescent="0.25">
      <c r="A20" s="17"/>
      <c r="D20" s="103" t="str" cm="1">
        <f t="array" aca="1" ref="D20:G21" ca="1">OFFSET(X_Table_Swine_VolatileSolidProduction_Method1,0,1,2,4)</f>
        <v>Boars</v>
      </c>
      <c r="E20" s="103" t="str">
        <f ca="1"/>
        <v>Sows</v>
      </c>
      <c r="F20" s="103" t="str">
        <f ca="1"/>
        <v>Gilts</v>
      </c>
      <c r="G20" s="103" t="str">
        <f ca="1"/>
        <v>Others</v>
      </c>
      <c r="M20" s="103" t="str" cm="1">
        <f t="array" aca="1" ref="M20:P21" ca="1">OFFSET(X_Table_Swine_VolatileSolidProduction_Method2,0,1,2,4)</f>
        <v>Boars</v>
      </c>
      <c r="N20" s="103" t="str">
        <f ca="1"/>
        <v>Sows</v>
      </c>
      <c r="O20" s="103" t="str">
        <f ca="1"/>
        <v>Gilts</v>
      </c>
      <c r="P20" s="103" t="str">
        <f ca="1"/>
        <v>Others</v>
      </c>
    </row>
    <row r="21" spans="1:17" ht="20.100000000000001" customHeight="1" x14ac:dyDescent="0.25">
      <c r="D21" s="52">
        <f ca="1"/>
        <v>2.62</v>
      </c>
      <c r="E21" s="52">
        <f ca="1"/>
        <v>2.2999999999999998</v>
      </c>
      <c r="F21" s="52">
        <f ca="1"/>
        <v>2.5</v>
      </c>
      <c r="G21" s="52">
        <f ca="1"/>
        <v>1.71</v>
      </c>
      <c r="H21" s="2" t="str">
        <f>G13</f>
        <v>kg/head/day</v>
      </c>
      <c r="M21" s="52">
        <f ca="1"/>
        <v>2.62</v>
      </c>
      <c r="N21" s="52">
        <f ca="1"/>
        <v>2.2999999999999998</v>
      </c>
      <c r="O21" s="52">
        <f ca="1"/>
        <v>2.5</v>
      </c>
      <c r="P21" s="52">
        <f ca="1"/>
        <v>1.71</v>
      </c>
      <c r="Q21" s="2" t="str">
        <f>G13</f>
        <v>kg/head/day</v>
      </c>
    </row>
    <row r="22" spans="1:17" ht="20.100000000000001" customHeight="1" x14ac:dyDescent="0.25"/>
    <row r="23" spans="1:17" ht="20.100000000000001" customHeight="1" x14ac:dyDescent="0.25">
      <c r="D23" s="105" t="s">
        <v>157</v>
      </c>
      <c r="M23" s="105" t="s">
        <v>157</v>
      </c>
    </row>
    <row r="24" spans="1:17" ht="20.100000000000001" customHeight="1" x14ac:dyDescent="0.25">
      <c r="D24" s="106" t="s">
        <v>158</v>
      </c>
      <c r="M24" s="106" t="s">
        <v>158</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aca="1" ref="D26" ca="1">EntericMethane_Swine_Equations.VEERG_3_5_1_1__2_DailyEntericMethaneProduction(D21,$I$16)</f>
        <v>6.1775443679826158E-3</v>
      </c>
      <c r="E26" s="52" cm="1">
        <f t="array" aca="1" ref="E26" ca="1">EntericMethane_Swine_Equations.VEERG_3_5_1_1__2_DailyEntericMethaneProduction(E21,$I$16)</f>
        <v>5.4230351321984793E-3</v>
      </c>
      <c r="F26" s="52" cm="1">
        <f t="array" aca="1" ref="F26" ca="1">EntericMethane_Swine_Equations.VEERG_3_5_1_1__2_DailyEntericMethaneProduction(F21,$I$16)</f>
        <v>5.8946034045635641E-3</v>
      </c>
      <c r="G26" s="52" cm="1">
        <f t="array" aca="1" ref="G26" ca="1">EntericMethane_Swine_Equations.VEERG_3_5_1_1__2_DailyEntericMethaneProduction(G21,$I$16)</f>
        <v>4.031908728721478E-3</v>
      </c>
      <c r="H26" s="2" t="str">
        <f>$E$11</f>
        <v>kg CH4/head/day</v>
      </c>
      <c r="M26" s="52" cm="1">
        <f t="array" aca="1" ref="M26" ca="1">EntericMethane_Swine_Equations.VEERG_3_5_1_1__2_DailyEntericMethaneProduction(M21,$I$16)</f>
        <v>6.1775443679826158E-3</v>
      </c>
      <c r="N26" s="52" cm="1">
        <f t="array" aca="1" ref="N26" ca="1">EntericMethane_Swine_Equations.VEERG_3_5_1_1__2_DailyEntericMethaneProduction(N21,$I$16)</f>
        <v>5.4230351321984793E-3</v>
      </c>
      <c r="O26" s="52" cm="1">
        <f t="array" aca="1" ref="O26" ca="1">EntericMethane_Swine_Equations.VEERG_3_5_1_1__2_DailyEntericMethaneProduction(O21,$I$16)</f>
        <v>5.8946034045635641E-3</v>
      </c>
      <c r="P26" s="52"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tr" cm="1">
        <f t="array" aca="1" ref="D45:G46" ca="1">OFFSET(X_Table_Swine_HerdMovement,0,1,2,4)</f>
        <v>Boars</v>
      </c>
      <c r="E45" s="103" t="str">
        <f ca="1"/>
        <v>Sows</v>
      </c>
      <c r="F45" s="103" t="str">
        <f ca="1"/>
        <v>Gilts</v>
      </c>
      <c r="G45" s="103" t="str">
        <f ca="1"/>
        <v>Others</v>
      </c>
    </row>
    <row r="46" spans="4:9" ht="20.100000000000001" customHeight="1" x14ac:dyDescent="0.25">
      <c r="D46" s="107">
        <f ca="1"/>
        <v>365</v>
      </c>
      <c r="E46" s="107">
        <f ca="1"/>
        <v>365</v>
      </c>
      <c r="F46" s="107">
        <f ca="1"/>
        <v>365</v>
      </c>
      <c r="G46" s="107">
        <f ca="1"/>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cm="1">
        <f t="array" aca="1" ref="D51:G51" ca="1">OFFSET(X_Table_Swine_HerdMovement,2,1,1,4)</f>
        <v>100</v>
      </c>
      <c r="E51" s="107">
        <f ca="1"/>
        <v>100</v>
      </c>
      <c r="F51" s="107">
        <f ca="1"/>
        <v>100</v>
      </c>
      <c r="G51" s="107">
        <f ca="1"/>
        <v>100</v>
      </c>
      <c r="H51" s="2" t="str">
        <f>G41</f>
        <v>days</v>
      </c>
    </row>
    <row r="52" spans="4:17" ht="20.100000000000001" customHeight="1" x14ac:dyDescent="0.25"/>
    <row r="53" spans="4:17" ht="20.100000000000001" customHeight="1" x14ac:dyDescent="0.25">
      <c r="D53" s="105" t="s">
        <v>160</v>
      </c>
      <c r="M53" s="105" t="s">
        <v>163</v>
      </c>
    </row>
    <row r="54" spans="4:17" ht="20.100000000000001" customHeight="1" x14ac:dyDescent="0.25">
      <c r="D54" s="106" t="s">
        <v>161</v>
      </c>
      <c r="M54" s="106" t="s">
        <v>164</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aca="1" ref="D56" ca="1">EntericMethane_Swine_Equations.VEERG_3_5_1_1__1_TotalAnnualMethaneFromEntericFermentation($D51,D26,$D46)</f>
        <v>0.22548036943136548</v>
      </c>
      <c r="E56" s="47" cm="1">
        <f t="array" aca="1" ref="E56" ca="1">EntericMethane_Swine_Equations.VEERG_3_5_1_1__1_TotalAnnualMethaneFromEntericFermentation($E51,E26,$E46)</f>
        <v>0.19794078232524451</v>
      </c>
      <c r="F56" s="47" cm="1">
        <f t="array" aca="1" ref="F56" ca="1">EntericMethane_Swine_Equations.VEERG_3_5_1_1__1_TotalAnnualMethaneFromEntericFermentation($F51,F26,$F46)</f>
        <v>0.2151530242665701</v>
      </c>
      <c r="G56" s="47" cm="1">
        <f t="array" aca="1" ref="G56" ca="1">EntericMethane_Swine_Equations.VEERG_3_5_1_1__1_TotalAnnualMethaneFromEntericFermentation($G51,G26,$G46)</f>
        <v>0.14716466859833394</v>
      </c>
      <c r="H56" s="2" t="str">
        <f>$E$37</f>
        <v>t CH4</v>
      </c>
      <c r="M56" s="47" cm="1">
        <f t="array" aca="1" ref="M56" ca="1">EntericMethane_Swine_Equations.VEERG_3_5_1_1__1_TotalAnnualMethaneFromEntericFermentation($D51,M26,$D46)</f>
        <v>0.22548036943136548</v>
      </c>
      <c r="N56" s="47" cm="1">
        <f t="array" aca="1" ref="N56" ca="1">EntericMethane_Swine_Equations.VEERG_3_5_1_1__1_TotalAnnualMethaneFromEntericFermentation($E51,N26,$E46)</f>
        <v>0.19794078232524451</v>
      </c>
      <c r="O56" s="47" cm="1">
        <f t="array" aca="1" ref="O56" ca="1">EntericMethane_Swine_Equations.VEERG_3_5_1_1__1_TotalAnnualMethaneFromEntericFermentation($F51,O26,$F46)</f>
        <v>0.2151530242665701</v>
      </c>
      <c r="P56" s="47"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 ca="1">SUM(D56:G56)</f>
        <v>0.78573884462151411</v>
      </c>
      <c r="F58" s="91" t="str">
        <f>$E$37</f>
        <v>t CH4</v>
      </c>
      <c r="M58" s="89" t="s">
        <v>126</v>
      </c>
      <c r="N58" s="90">
        <f ca="1">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 ca="1">E58</f>
        <v>0.78573884462151411</v>
      </c>
      <c r="M60" s="52" t="str" cm="1">
        <f t="array" ref="M60:N61">Common_Equations.Common_ConvertCH4ToCO2e_Arguments()</f>
        <v>ECH4</v>
      </c>
      <c r="N60" s="53" t="str">
        <v>Methane emissions (t CH4)</v>
      </c>
      <c r="O60" s="92"/>
      <c r="P60" s="47">
        <f ca="1">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162</v>
      </c>
      <c r="E63" s="41" cm="1">
        <f t="array" aca="1" ref="E63" ca="1">Common_Equations.Common_ConvertCH4ToCO2e(G60,G61)</f>
        <v>22.000687649402394</v>
      </c>
      <c r="F63" s="93" t="str" cm="1">
        <f t="array" ref="F63">Common_Equations.Common_ConvertN2OToCO2e_Unit()</f>
        <v>t CO2e</v>
      </c>
      <c r="M63" s="98" t="s">
        <v>162</v>
      </c>
      <c r="N63" s="41" cm="1">
        <f t="array" aca="1" ref="N63" ca="1">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34" t="s">
        <v>169</v>
      </c>
      <c r="E127" s="34" t="s">
        <v>170</v>
      </c>
      <c r="M127" s="1"/>
      <c r="V127" s="1"/>
    </row>
    <row r="128" spans="1:22" ht="20.100000000000001" customHeight="1" x14ac:dyDescent="0.25">
      <c r="D128" s="34" t="str" cm="1">
        <f t="array" ref="D128">Common_InputFunctions.Utility_DisplayArrayInTable(SourceData_Swine.SourceData_Swine_AverageLiveweight_Data(),Table_SourceData_Swine_Liveweight[[#Headers],[Livestock type j]],0)</f>
        <v>Sows</v>
      </c>
      <c r="E128" s="34"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C81B2-B774-4D14-903C-7E20E202643E}">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4" t="s">
        <v>171</v>
      </c>
      <c r="E257" s="34" t="s">
        <v>172</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FAG4AdABlAHIAaQBjAE0AZQB0AGgAYQBuAGUAXwBTAHcAaQBuAGUAXwBFAHEAdQBhAHQAaQBvAG4AcwAuAFYARQBFAFIARwBfADMAXwA1AF8AMQBfADEAXwBfADEAXwBUAG8AdABhAGwAQQBuAG4AdQBhAGwATQBlAHQAaABhAG4AZQBGAHIAbwBtAEUAbgB0AGUAcgBpAGMARgBlAHIAbQBlAG4AdABhAHQAaQBvAG4AIgAsACIARQBuAHQAZQByAGkAYwBNAGUAdABoAGEAbgBlAF8AUwB3AGkAbgBlAF8ARQBxAHUAYQB0AGkAbwBuAHMALgBWAEUARQBSAEcAXwAzAF8ANQBfADEAXwAxAF8AXwAxAF8AVABvAHQAYQBsAEEAbgBuAHUAYQBsAE0AZQB0AGgAYQBuAGUARgByAG8AbQBFAG4AdABlAHIAaQBjAEYAZQByAG0AZQBuAHQAYQB0AGkAbwBuAF8AVABpAHQAbABlACIALAAiAEUAbgB0AGUAcgBpAGMATQBlAHQAaABhAG4AZQBfAFMAdwBpAG4AZQBfAEUAcQB1AGEAdABpAG8AbgBzAC4AVgBFAEUAUgBHAF8AMwBfADUAXwAxAF8AMQBfAF8AMQBfAFQAbwB0AGEAbABBAG4AbgB1AGEAbABNAGUAdABoAGEAbgBlAEYAcgBvAG0ARQBuAHQAZQByAGkAYwBGAGUAcgBtAGUAbgB0AGEAdABpAG8AbgBfAFYAYQByAGkAYQBiAGwAZQAiACwAIgBFAG4AdABlAHIAaQBjAE0AZQB0AGgAYQBuAGUAXwBTAHcAaQBuAGUAXwBFAHEAdQBhAHQAaQBvAG4AcwAuAFYARQBFAFIARwBfADMAXwA1AF8AMQBfADEAXwBfADEAXwBUAG8AdABhAGwAQQBuAG4AdQBhAGwATQBlAHQAaABhAG4AZQBGAHIAbwBtAEUAbgB0AGUAcgBpAGMARgBlAHIAbQBlAG4AdABhAHQAaQBvAG4AXwBVAG4AaQB0ACIALAAiAEUAbgB0AGUAcgBpAGMATQBlAHQAaABhAG4AZQBfAFMAdwBpAG4AZQBfAEUAcQB1AGEAdABpAG8AbgBzAC4AVgBFAEUAUgBHAF8AMwBfADUAXwAxAF8AMQBfAF8AMQBfAFQAbwB0AGEAbABBAG4AbgB1AGEAbABNAGUAdABoAGEAbgBlAEYAcgBvAG0ARQBuAHQAZQByAGkAYwBGAGUAcgBtAGUAbgB0AGEAdABpAG8AbgBfAFMAbwB1AHIAYwBlACIALAAiAEUAbgB0AGUAcgBpAGMATQBlAHQAaABhAG4AZQBfAFMAdwBpAG4AZQBfAEUAcQB1AGEAdABpAG8AbgBzAC4AVgBFAEUAUgBHAF8AMwBfADUAXwAxAF8AMQBfAF8AMQBfAFQAbwB0AGEAbABBAG4AbgB1AGEAbABNAGUAdABoAGEAbgBlAEYAcgBvAG0ARQBuAHQAZQByAGkAYwBGAGUAcgBtAGUAbgB0AGEAdABpAG8AbgBfAE4ASQBSAFIAZQBmAGUAcgBlAG4AYwBlACIALAAiAEUAbgB0AGUAcgBpAGMATQBlAHQAaABhAG4AZQBfAFMAdwBpAG4AZQBfAEUAcQB1AGEAdABpAG8AbgBzAC4AVgBFAEUAUgBHAF8AMwBfADUAXwAxAF8AMQBfAF8AMQBfAFQAbwB0AGEAbABBAG4AbgB1AGEAbABNAGUAdABoAGEAbgBlAEYAcgBvAG0ARQBuAHQAZQByAGkAYwBGAGUAcgBtAGUAbgB0AGEAdABpAG8AbgBfAEwAYQB0AGUAeABFAHEAdQBhAHQAaQBvAG4AIgAsACIARQBuAHQAZQByAGkAYwBNAGUAdABoAGEAbgBlAF8AUwB3AGkAbgBlAF8ARQBxAHUAYQB0AGkAbwBuAHMALgBWAEUARQBSAEcAXwAzAF8ANQBfADEAXwAxAF8AXwAxAF8AVABvAHQAYQBsAEEAbgBuAHUAYQBsAE0AZQB0AGgAYQBuAGUARgByAG8AbQBFAG4AdABlAHIAaQBjAEYAZQByAG0AZQBuAHQAYQB0AGkAbwBuAF8AQQByAGcAdQBtAGUAbgB0AHMAIgAsACIARQBuAHQAZQByAGkAYwBNAGUAdABoAGEAbgBlAF8AUwB3AGkAbgBlAF8ARQBxAHUAYQB0AGkAbwBuAHMALgBWAEUARQBSAEcAXwAzAF8ANQBfADEAXwAxAF8AXwAyAF8ARABhAGkAbAB5AEUAbgB0AGUAcgBpAGMATQBlAHQAaABhAG4AZQBQAHIAbwBkAHUAYwB0AGkAbwBuACIALAAiAEUAbgB0AGUAcgBpAGMATQBlAHQAaABhAG4AZQBfAFMAdwBpAG4AZQBfAEUAcQB1AGEAdABpAG8AbgBzAC4AVgBFAEUAUgBHAF8AMwBfADUAXwAxAF8AMQBfAF8AMgBfAEQAYQBpAGwAeQBFAG4AdABlAHIAaQBjAE0AZQB0AGgAYQBuAGUAUAByAG8AZAB1AGMAdABpAG8AbgBfAFQAaQB0AGwAZQAiACwAIgBFAG4AdABlAHIAaQBjAE0AZQB0AGgAYQBuAGUAXwBTAHcAaQBuAGUAXwBFAHEAdQBhAHQAaQBvAG4AcwAuAFYARQBFAFIARwBfADMAXwA1AF8AMQBfADEAXwBfADIAXwBEAGEAaQBsAHkARQBuAHQAZQByAGkAYwBNAGUAdABoAGEAbgBlAFAAcgBvAGQAdQBjAHQAaQBvAG4AXwBWAGEAcgBpAGEAYgBsAGUAIgAsACIARQBuAHQAZQByAGkAYwBNAGUAdABoAGEAbgBlAF8AUwB3AGkAbgBlAF8ARQBxAHUAYQB0AGkAbwBuAHMALgBWAEUARQBSAEcAXwAzAF8ANQBfADEAXwAxAF8AXwAyAF8ARABhAGkAbAB5AEUAbgB0AGUAcgBpAGMATQBlAHQAaABhAG4AZQBQAHIAbwBkAHUAYwB0AGkAbwBuAF8AVQBuAGkAdAAiACwAIgBFAG4AdABlAHIAaQBjAE0AZQB0AGgAYQBuAGUAXwBTAHcAaQBuAGUAXwBFAHEAdQBhAHQAaQBvAG4AcwAuAFYARQBFAFIARwBfADMAXwA1AF8AMQBfADEAXwBfADIAXwBEAGEAaQBsAHkARQBuAHQAZQByAGkAYwBNAGUAdABoAGEAbgBlAFAAcgBvAGQAdQBjAHQAaQBvAG4AXwBTAG8AdQByAGMAZQAiACwAIgBFAG4AdABlAHIAaQBjAE0AZQB0AGgAYQBuAGUAXwBTAHcAaQBuAGUAXwBFAHEAdQBhAHQAaQBvAG4AcwAuAFYARQBFAFIARwBfADMAXwA1AF8AMQBfADEAXwBfADIAXwBEAGEAaQBsAHkARQBuAHQAZQByAGkAYwBNAGUAdABoAGEAbgBlAFAAcgBvAGQAdQBjAHQAaQBvAG4AXwBOAEkAUgBSAGUAZgBlAHIAZQBuAGMAZQAiACwAIgBFAG4AdABlAHIAaQBjAE0AZQB0AGgAYQBuAGUAXwBTAHcAaQBuAGUAXwBFAHEAdQBhAHQAaQBvAG4AcwAuAFYARQBFAFIARwBfADMAXwA1AF8AMQBfADEAXwBfADIAXwBEAGEAaQBsAHkARQBuAHQAZQByAGkAYwBNAGUAdABoAGEAbgBlAFAAcgBvAGQAdQBjAHQAaQBvAG4AXwBMAGEAdABlAHgARQBxAHUAYQB0AGkAbwBuACIALAAiAEUAbgB0AGUAcgBpAGMATQBlAHQAaABhAG4AZQBfAFMAdwBpAG4AZQBfAEUAcQB1AGEAdABpAG8AbgBzAC4AVgBFAEUAUgBHAF8AMwBfADUAXwAxAF8AMQBfAF8AMgBfAEQAYQBpAGwAeQBFAG4AdABlAHIAaQBjAE0AZQB0AGgAYQBuAGUAUAByAG8AZAB1AGMAdABpAG8AbgBfAEEAcgBnAHUAbQBlAG4AdABz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