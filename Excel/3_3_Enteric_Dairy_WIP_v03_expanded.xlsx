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93BF99A-DBB1-49AC-9261-D8826F2B8880}" xr6:coauthVersionLast="47" xr6:coauthVersionMax="47" xr10:uidLastSave="{00000000-0000-0000-0000-000000000000}"/>
  <bookViews>
    <workbookView xWindow="0" yWindow="135" windowWidth="37140" windowHeight="20475" activeTab="5"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04"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1" i="104" l="1" a="1"/>
  <c r="E101" i="104" s="1"/>
  <c r="F101" i="104" a="1"/>
  <c r="F101" i="104" s="1"/>
  <c r="G101" i="104" a="1"/>
  <c r="G101" i="104" s="1"/>
  <c r="H101" i="104" a="1"/>
  <c r="H101" i="104"/>
  <c r="I101" i="104" a="1"/>
  <c r="I101" i="104" s="1"/>
  <c r="J101" i="104" a="1"/>
  <c r="J101" i="104" s="1"/>
  <c r="K101" i="104" a="1"/>
  <c r="K101" i="104"/>
  <c r="L101" i="104" a="1"/>
  <c r="L101" i="104" s="1"/>
  <c r="M101" i="104" a="1"/>
  <c r="M101" i="104" s="1"/>
  <c r="N101" i="104" a="1"/>
  <c r="N101" i="104" s="1"/>
  <c r="O101" i="104" a="1"/>
  <c r="O101" i="104" s="1"/>
  <c r="P101" i="104" a="1"/>
  <c r="P101" i="104" s="1"/>
  <c r="Q101" i="104" a="1"/>
  <c r="Q101" i="104" s="1"/>
  <c r="R101" i="104" a="1"/>
  <c r="R101" i="104"/>
  <c r="S101" i="104" a="1"/>
  <c r="S101" i="104" s="1"/>
  <c r="E100" i="104" a="1"/>
  <c r="E100" i="104" s="1"/>
  <c r="F100" i="104" a="1"/>
  <c r="F100" i="104" s="1"/>
  <c r="G100" i="104" a="1"/>
  <c r="G100" i="104" s="1"/>
  <c r="H100" i="104" a="1"/>
  <c r="H100" i="104" s="1"/>
  <c r="I100" i="104" a="1"/>
  <c r="I100" i="104" s="1"/>
  <c r="J100" i="104" a="1"/>
  <c r="J100" i="104" s="1"/>
  <c r="K100" i="104" a="1"/>
  <c r="K100" i="104" s="1"/>
  <c r="L100" i="104" a="1"/>
  <c r="L100" i="104" s="1"/>
  <c r="M100" i="104" a="1"/>
  <c r="M100" i="104" s="1"/>
  <c r="N100" i="104" a="1"/>
  <c r="N100" i="104" s="1"/>
  <c r="O100" i="104" a="1"/>
  <c r="O100" i="104" s="1"/>
  <c r="P100" i="104" a="1"/>
  <c r="P100" i="104" s="1"/>
  <c r="Q100" i="104" a="1"/>
  <c r="Q100" i="104" s="1"/>
  <c r="R100" i="104" a="1"/>
  <c r="R100" i="104" s="1"/>
  <c r="S100" i="104" a="1"/>
  <c r="S100" i="104" s="1"/>
  <c r="E99" i="104" a="1"/>
  <c r="E99" i="104" s="1"/>
  <c r="F99" i="104" a="1"/>
  <c r="F99" i="104" s="1"/>
  <c r="G99" i="104" a="1"/>
  <c r="G99" i="104" s="1"/>
  <c r="H99" i="104" a="1"/>
  <c r="H99" i="104" s="1"/>
  <c r="I99" i="104" a="1"/>
  <c r="I99" i="104" s="1"/>
  <c r="J99" i="104" a="1"/>
  <c r="J99" i="104" s="1"/>
  <c r="K99" i="104" a="1"/>
  <c r="K99" i="104" s="1"/>
  <c r="L99" i="104" a="1"/>
  <c r="L99" i="104" s="1"/>
  <c r="M99" i="104" a="1"/>
  <c r="M99" i="104" s="1"/>
  <c r="N99" i="104" a="1"/>
  <c r="N99" i="104" s="1"/>
  <c r="O99" i="104" a="1"/>
  <c r="O99" i="104" s="1"/>
  <c r="P99" i="104" a="1"/>
  <c r="P99" i="104" s="1"/>
  <c r="Q99" i="104" a="1"/>
  <c r="Q99" i="104" s="1"/>
  <c r="R99" i="104" a="1"/>
  <c r="R99" i="104" s="1"/>
  <c r="S99" i="104" a="1"/>
  <c r="S99" i="104" s="1"/>
  <c r="E98" i="104" a="1"/>
  <c r="E98" i="104" s="1"/>
  <c r="F98" i="104" a="1"/>
  <c r="F98" i="104" s="1"/>
  <c r="G98" i="104" a="1"/>
  <c r="G98" i="104" s="1"/>
  <c r="H98" i="104" a="1"/>
  <c r="H98" i="104" s="1"/>
  <c r="I98" i="104" a="1"/>
  <c r="I98" i="104" s="1"/>
  <c r="J98" i="104" a="1"/>
  <c r="J98" i="104" s="1"/>
  <c r="K98" i="104" a="1"/>
  <c r="K98" i="104" s="1"/>
  <c r="L98" i="104" a="1"/>
  <c r="L98" i="104" s="1"/>
  <c r="M98" i="104" a="1"/>
  <c r="M98" i="104" s="1"/>
  <c r="N98" i="104" a="1"/>
  <c r="N98" i="104" s="1"/>
  <c r="O98" i="104" a="1"/>
  <c r="O98" i="104" s="1"/>
  <c r="P98" i="104" a="1"/>
  <c r="P98" i="104" s="1"/>
  <c r="Q98" i="104" a="1"/>
  <c r="Q98" i="104" s="1"/>
  <c r="R98" i="104" a="1"/>
  <c r="R98" i="104" s="1"/>
  <c r="S98" i="104" a="1"/>
  <c r="S98" i="104" s="1"/>
  <c r="D127" i="69" a="1"/>
  <c r="D127" i="69" s="1"/>
  <c r="Q24" i="69"/>
  <c r="P24" i="69"/>
  <c r="O24" i="69"/>
  <c r="N24" i="69"/>
  <c r="M24" i="69"/>
  <c r="F56" i="70"/>
  <c r="F55" i="70"/>
  <c r="E56" i="70"/>
  <c r="E55" i="70"/>
  <c r="R40" i="69" l="1"/>
  <c r="R39" i="69"/>
  <c r="M50" i="69" s="1"/>
  <c r="I40" i="69"/>
  <c r="I39" i="69"/>
  <c r="I64" i="69"/>
  <c r="D75" i="69" s="1"/>
  <c r="I66" i="69" a="1"/>
  <c r="I66" i="69" s="1"/>
  <c r="I38" i="69" a="1"/>
  <c r="I38" i="69" s="1"/>
  <c r="I37" i="69"/>
  <c r="D45" i="69" s="1"/>
  <c r="F52" i="70"/>
  <c r="D50" i="69" l="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3"/>
  <c r="A17" i="13"/>
  <c r="A16" i="13"/>
  <c r="A15" i="13"/>
  <c r="A12" i="13"/>
  <c r="A9" i="13"/>
  <c r="A8" i="13"/>
  <c r="A5" i="13"/>
  <c r="A4" i="13"/>
  <c r="A3" i="13"/>
  <c r="A12" i="106"/>
  <c r="O187" i="69" a="1"/>
  <c r="O187" i="69" s="1"/>
  <c r="P185" i="69"/>
  <c r="M184" i="69" a="1"/>
  <c r="M184" i="69" s="1"/>
  <c r="G185" i="69"/>
  <c r="F187" i="69" a="1"/>
  <c r="F187" i="69" s="1"/>
  <c r="D184" i="69" a="1"/>
  <c r="D184" i="69" s="1"/>
  <c r="I155" i="69" l="1" a="1"/>
  <c r="I155"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I160" i="69"/>
  <c r="H127" i="69" a="1"/>
  <c r="H127" i="69" s="1"/>
  <c r="R132" i="69"/>
  <c r="A215" i="79"/>
  <c r="A174" i="79"/>
  <c r="A137" i="79"/>
  <c r="A104" i="79"/>
  <c r="A79" i="79"/>
  <c r="A55" i="79"/>
  <c r="O182" i="69" l="1"/>
  <c r="F182" i="69"/>
  <c r="G7" i="13" s="1"/>
  <c r="I180" i="69"/>
  <c r="R180" i="69"/>
  <c r="F175" i="69"/>
  <c r="R165" i="69"/>
  <c r="R170" i="69"/>
  <c r="I165" i="69"/>
  <c r="I170" i="69"/>
  <c r="I132" i="69"/>
  <c r="A18" i="106"/>
  <c r="A17" i="106"/>
  <c r="A16" i="106"/>
  <c r="A15" i="106"/>
  <c r="A9" i="106"/>
  <c r="A8" i="106"/>
  <c r="A5" i="106"/>
  <c r="A4" i="106"/>
  <c r="A3" i="106"/>
  <c r="A51" i="69" l="1"/>
  <c r="A105" i="69"/>
  <c r="A151" i="69"/>
  <c r="A178" i="69"/>
  <c r="A217" i="69"/>
  <c r="A275" i="69"/>
  <c r="I92" i="69" l="1" a="1"/>
  <c r="I92" i="69" s="1"/>
  <c r="I93" i="69" a="1"/>
  <c r="I93" i="69" s="1"/>
  <c r="I94" i="69" a="1"/>
  <c r="I94" i="69" s="1"/>
  <c r="I95" i="69" a="1"/>
  <c r="I95" i="69" s="1"/>
  <c r="I65" i="69" a="1"/>
  <c r="I65" i="69" s="1"/>
  <c r="I70" i="69" a="1"/>
  <c r="I70" i="69" s="1"/>
  <c r="G9" i="79" l="1"/>
  <c r="G8" i="79"/>
  <c r="E30" i="15"/>
  <c r="E33" i="15"/>
  <c r="E31" i="15"/>
  <c r="E32" i="15" s="1"/>
  <c r="D117" i="104" a="1"/>
  <c r="D117" i="104" s="1"/>
  <c r="D107" i="104" a="1"/>
  <c r="D107" i="104" s="1"/>
  <c r="D83" i="104" a="1"/>
  <c r="D83" i="104" s="1"/>
  <c r="D59" i="104" a="1"/>
  <c r="D59" i="104" s="1"/>
  <c r="H54" i="104" l="1"/>
  <c r="H52" i="104"/>
  <c r="H49" i="104"/>
  <c r="H50" i="104"/>
  <c r="H53" i="104"/>
  <c r="H48" i="104"/>
  <c r="H51" i="104"/>
  <c r="Q19" i="69" l="1"/>
  <c r="P19" i="69"/>
  <c r="O19" i="69"/>
  <c r="N19" i="69"/>
  <c r="M19" i="69"/>
  <c r="I14" i="69"/>
  <c r="I69" i="69"/>
  <c r="I68" i="69"/>
  <c r="I67" i="69"/>
  <c r="R80" i="69"/>
  <c r="I115" i="69"/>
  <c r="E37" i="70"/>
  <c r="D19" i="69" s="1"/>
  <c r="D24" i="69" s="1"/>
  <c r="F38" i="70"/>
  <c r="Q80" i="69" l="1"/>
  <c r="P80" i="69"/>
  <c r="N80" i="69"/>
  <c r="O80" i="69"/>
  <c r="M80" i="69"/>
  <c r="D80" i="69"/>
  <c r="R115" i="69"/>
  <c r="F37" i="70"/>
  <c r="E19" i="69" s="1"/>
  <c r="E24" i="69" s="1"/>
  <c r="E80" i="69" s="1"/>
  <c r="G37" i="70"/>
  <c r="F19" i="69" s="1"/>
  <c r="F24" i="69" s="1"/>
  <c r="F80" i="69" s="1"/>
  <c r="H37" i="70"/>
  <c r="G19" i="69" s="1"/>
  <c r="G24" i="69" s="1"/>
  <c r="G80" i="69" s="1"/>
  <c r="G38" i="70"/>
  <c r="I38" i="70"/>
  <c r="H38" i="70"/>
  <c r="E38" i="70"/>
  <c r="I37" i="70"/>
  <c r="H19" i="69" s="1"/>
  <c r="H24" i="69" s="1"/>
  <c r="H80" i="69" s="1"/>
  <c r="I24" i="69"/>
  <c r="R24" i="69"/>
  <c r="I80" i="69"/>
  <c r="D29" i="70" l="1"/>
  <c r="D28" i="70"/>
  <c r="D24" i="70"/>
  <c r="D25" i="70"/>
  <c r="D10" i="70"/>
  <c r="E28" i="70" l="1" a="1"/>
  <c r="E28" i="70" s="1"/>
  <c r="M165" i="69" s="1"/>
  <c r="F36" i="70" a="1"/>
  <c r="F36" i="70" s="1"/>
  <c r="I41" i="70" a="1"/>
  <c r="I41" i="70" s="1"/>
  <c r="E36" i="70" a="1"/>
  <c r="E36" i="70" s="1"/>
  <c r="H41" i="70" a="1"/>
  <c r="H41" i="70" s="1"/>
  <c r="G41" i="70" a="1"/>
  <c r="G41" i="70" s="1"/>
  <c r="F41" i="70" a="1"/>
  <c r="F41" i="70" s="1"/>
  <c r="E41" i="70" a="1"/>
  <c r="E41" i="70" s="1"/>
  <c r="I36" i="70" a="1"/>
  <c r="I36" i="70" s="1"/>
  <c r="H36" i="70" a="1"/>
  <c r="H36" i="70" s="1"/>
  <c r="G36" i="70" a="1"/>
  <c r="G36" i="70" s="1"/>
  <c r="G25" i="70" a="1"/>
  <c r="G25" i="70" s="1"/>
  <c r="G28" i="70" a="1"/>
  <c r="G28" i="70" s="1"/>
  <c r="O165" i="69" s="1"/>
  <c r="H25" i="70" a="1"/>
  <c r="H25" i="70" s="1"/>
  <c r="H28" i="70" a="1"/>
  <c r="H28" i="70" s="1"/>
  <c r="P165" i="69" s="1"/>
  <c r="I25" i="70" a="1"/>
  <c r="I25" i="70" s="1"/>
  <c r="F25" i="70" a="1"/>
  <c r="F25" i="70" s="1"/>
  <c r="F28" i="70" a="1"/>
  <c r="F28" i="70" s="1"/>
  <c r="N165" i="69" s="1"/>
  <c r="E24" i="70" a="1"/>
  <c r="E24" i="70" s="1"/>
  <c r="D165" i="69" s="1"/>
  <c r="I28" i="70" a="1"/>
  <c r="I28" i="70" s="1"/>
  <c r="Q165" i="69" s="1"/>
  <c r="F24" i="70" a="1"/>
  <c r="F24" i="70" s="1"/>
  <c r="E165" i="69" s="1"/>
  <c r="G24" i="70" a="1"/>
  <c r="G24" i="70" s="1"/>
  <c r="F165" i="69" s="1"/>
  <c r="H24" i="70" a="1"/>
  <c r="H24" i="70" s="1"/>
  <c r="G165" i="69" s="1"/>
  <c r="I24" i="70" a="1"/>
  <c r="I24" i="70" s="1"/>
  <c r="H165" i="69" s="1"/>
  <c r="E25" i="70" a="1"/>
  <c r="E25" i="70" s="1"/>
  <c r="D170" i="69" s="1"/>
  <c r="G29" i="70" l="1"/>
  <c r="I29" i="70"/>
  <c r="F29" i="70"/>
  <c r="H29" i="70"/>
  <c r="E29" i="70"/>
  <c r="M170" i="69" s="1"/>
  <c r="P170" i="69" l="1"/>
  <c r="G170" i="69"/>
  <c r="N170" i="69"/>
  <c r="E170" i="69"/>
  <c r="H170" i="69"/>
  <c r="Q170" i="69"/>
  <c r="O170" i="69"/>
  <c r="F170" i="69"/>
  <c r="E175" i="69"/>
  <c r="D175" i="69"/>
  <c r="F110" i="69" l="1"/>
  <c r="E110" i="69"/>
  <c r="G110" i="69"/>
  <c r="H110" i="69"/>
  <c r="D110"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P105" i="69" l="1"/>
  <c r="G105" i="69"/>
  <c r="F105" i="69"/>
  <c r="O105" i="69"/>
  <c r="E105" i="69"/>
  <c r="N100" i="69"/>
  <c r="N115" i="69" s="1"/>
  <c r="N132" i="69" s="1"/>
  <c r="N180" i="69" s="1"/>
  <c r="N105" i="69"/>
  <c r="E100" i="69"/>
  <c r="E115" i="69" s="1"/>
  <c r="E132" i="69" s="1"/>
  <c r="E180" i="69" s="1"/>
  <c r="M105" i="69"/>
  <c r="O100" i="69"/>
  <c r="O115" i="69" s="1"/>
  <c r="O132" i="69" s="1"/>
  <c r="O180" i="69" s="1"/>
  <c r="D105" i="69"/>
  <c r="F100" i="69"/>
  <c r="F115" i="69" s="1"/>
  <c r="F132" i="69" s="1"/>
  <c r="F180" i="69" s="1"/>
  <c r="H100" i="69"/>
  <c r="H115" i="69" s="1"/>
  <c r="H132" i="69" s="1"/>
  <c r="H180" i="69" s="1"/>
  <c r="M100" i="69"/>
  <c r="Q100" i="69"/>
  <c r="D100" i="69"/>
  <c r="G100" i="69"/>
  <c r="G115" i="69" s="1"/>
  <c r="G132" i="69" s="1"/>
  <c r="G180" i="69" s="1"/>
  <c r="P100" i="69"/>
  <c r="P115" i="69" s="1"/>
  <c r="P132" i="69" s="1"/>
  <c r="P180" i="69" s="1"/>
  <c r="H105" i="69"/>
  <c r="Q105" i="69"/>
  <c r="Q115" i="69" l="1"/>
  <c r="Q132" i="69" s="1"/>
  <c r="Q180" i="69" s="1"/>
  <c r="M115" i="69"/>
  <c r="M132" i="69" s="1"/>
  <c r="M180" i="69" s="1"/>
  <c r="D115" i="69"/>
  <c r="D132" i="69" s="1"/>
  <c r="D180" i="69" s="1"/>
  <c r="E182" i="69" s="1"/>
  <c r="N182" i="69" l="1"/>
  <c r="F7" i="13" s="1"/>
  <c r="G184" i="69"/>
  <c r="E187" i="69" s="1" a="1"/>
  <c r="E187" i="69" s="1"/>
  <c r="H7" i="13" s="1"/>
  <c r="H8" i="13" s="1"/>
  <c r="E7" i="13"/>
  <c r="D8" i="79"/>
  <c r="P184" i="69" l="1"/>
  <c r="N187" i="69" s="1" a="1"/>
  <c r="N187" i="69" s="1"/>
  <c r="I7" i="13" s="1"/>
  <c r="I8" i="13" s="1"/>
  <c r="E8" i="79"/>
  <c r="D11" i="79"/>
  <c r="D9" i="79"/>
  <c r="E11" i="79"/>
  <c r="E9" i="79"/>
  <c r="D10" i="79"/>
  <c r="E10" i="79"/>
  <c r="E29" i="15"/>
  <c r="E13" i="1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<sst xmlns="http://schemas.openxmlformats.org/spreadsheetml/2006/main" count="1164" uniqueCount="619">
  <si>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</si>
  <si>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</si>
  <si>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</si>
  <si>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</si>
  <si>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</si>
  <si>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</si>
  <si>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</si>
  <si>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</si>
  <si>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</si>
  <si>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</si>
  <si>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</si>
  <si>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</si>
  <si>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</si>
  <si>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</si>
  <si>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</si>
  <si>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</si>
  <si>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</si>
  <si>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</si>
  <si>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</si>
  <si>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</si>
  <si>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</si>
  <si>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</si>
  <si>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</si>
  <si>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</si>
  <si>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</si>
  <si>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</si>
  <si>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</si>
  <si>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</si>
  <si>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</si>
  <si>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</si>
  <si>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</si>
  <si>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</si>
  <si>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</si>
  <si>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</si>
  <si>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</si>
  <si>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</si>
  <si>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</si>
  <si>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</si>
  <si>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</si>
  <si>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</si>
  <si>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</si>
  <si>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</si>
  <si>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</si>
  <si>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</si>
  <si>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</si>
  <si>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</si>
  <si>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</si>
  <si>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</si>
  <si>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</si>
  <si>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</si>
  <si>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</si>
  <si>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</si>
  <si>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</si>
  <si>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</si>
  <si>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</si>
  <si>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</si>
  <si>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</si>
  <si>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</si>
  <si>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</si>
  <si>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</si>
  <si>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</si>
  <si>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</si>
  <si>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</si>
  <si>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</si>
  <si>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</si>
  <si>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</si>
  <si>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</si>
  <si>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</si>
  <si>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</si>
  <si>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</si>
  <si>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</si>
  <si>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</si>
  <si>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</si>
  <si>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</si>
  <si>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</si>
  <si>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</si>
  <si>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</si>
  <si>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</si>
  <si>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</si>
  <si>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</si>
  <si>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</si>
  <si>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</si>
  <si>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</si>
  <si>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</si>
  <si>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</si>
  <si>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</si>
  <si>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</si>
  <si>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</si>
  <si>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</si>
  <si>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</si>
  <si>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</si>
  <si>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</si>
  <si>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</si>
  <si>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</si>
  <si>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New South Wales</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</si>
  <si>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</si>
  <si>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</si>
  <si>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</si>
  <si>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</si>
  <si>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</si>
  <si>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</si>
  <si>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</si>
  <si>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</si>
  <si>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</si>
  <si>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</si>
  <si>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</si>
  <si>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</si>
  <si>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</si>
  <si>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</si>
  <si>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</si>
  <si>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</si>
  <si>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</si>
  <si>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</si>
  <si>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</si>
  <si>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</si>
  <si>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</si>
  <si>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</si>
  <si>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</si>
  <si>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</si>
  <si>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</si>
  <si>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</si>
  <si>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</si>
  <si>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</si>
  <si>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</si>
  <si>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</si>
  <si>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</si>
  <si>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</si>
  <si>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</si>
  <si>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</si>
  <si>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</si>
  <si>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</si>
  <si>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</si>
  <si>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</si>
  <si>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</si>
  <si>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</si>
  <si>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</si>
  <si>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</si>
  <si>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</si>
  <si>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</si>
  <si>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</si>
  <si>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</si>
  <si>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</si>
  <si>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</si>
  <si>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</si>
  <si>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</si>
  <si>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</si>
  <si>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</si>
  <si>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</si>
  <si>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</si>
  <si>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</si>
  <si>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</si>
  <si>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</si>
  <si>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</si>
  <si>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</si>
  <si>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</si>
  <si>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</si>
  <si>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</si>
  <si>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</si>
  <si>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</si>
  <si>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</si>
  <si>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</si>
  <si>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</si>
  <si>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</si>
  <si>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</si>
  <si>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</si>
  <si>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</si>
  <si>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</si>
  <si>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</si>
  <si>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</si>
  <si>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</si>
  <si>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</si>
  <si>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</si>
  <si>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</si>
  <si>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</si>
  <si>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</si>
  <si>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</si>
  <si>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</si>
  <si>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</si>
  <si>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</si>
  <si>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</si>
  <si>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</si>
  <si>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</si>
  <si>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</si>
  <si>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</si>
  <si>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</si>
  <si>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</si>
  <si>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</si>
  <si>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</si>
  <si>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</si>
  <si>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</si>
  <si>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</si>
  <si>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</si>
  <si>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</si>
  <si>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</si>
  <si>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</si>
  <si>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</si>
  <si>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</si>
  <si>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</si>
  <si>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</si>
  <si>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</si>
  <si>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Acknowledgements</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</si>
  <si>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</si>
  <si>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</si>
  <si>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</si>
  <si>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</si>
  <si>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</si>
  <si>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</si>
  <si>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</si>
  <si>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</si>
  <si>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</si>
  <si>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</si>
  <si>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</si>
  <si>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</si>
  <si>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</si>
  <si>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</si>
  <si>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</si>
  <si>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</si>
  <si>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</si>
  <si>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</si>
  <si>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</si>
  <si>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</si>
  <si>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</si>
  <si>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</si>
  <si>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</si>
  <si>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</si>
  <si>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</si>
  <si>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</si>
  <si>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</si>
  <si>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</si>
  <si>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</si>
  <si>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</si>
  <si>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</si>
  <si>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</si>
  <si>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</si>
  <si>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</si>
  <si>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</si>
  <si>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</si>
  <si>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</si>
  <si>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</si>
  <si>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</si>
  <si>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</si>
  <si>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</si>
  <si>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</si>
  <si>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</si>
  <si>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</si>
  <si>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</si>
  <si>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</si>
  <si>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</si>
  <si>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</si>
  <si>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</si>
  <si>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</si>
  <si>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</si>
  <si>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Metabolisability of diet</t>
  </si>
  <si>
    <t>VARIATION ON SOURCE: changed 0.795 to 0.00795 which is the value used in the National Inventory Report</t>
  </si>
  <si>
    <t>VEERG 2026: 3.3.1.1, Equation (6)</t>
  </si>
  <si>
    <t>qm_j</t>
  </si>
  <si>
    <t>DMD_j</t>
  </si>
  <si>
    <t>Milk production converted from milk solids</t>
  </si>
  <si>
    <t>VEERG 2026: 3.3.1.1, Equation (5)</t>
  </si>
  <si>
    <t>VARATION ON SOURCE: Added milk production unit variable to allow for use of either milk solids or litres of milk. Converted input FC and PC percent to integer.</t>
  </si>
  <si>
    <t>MP_j</t>
  </si>
  <si>
    <t>MPU</t>
  </si>
  <si>
    <t>input milk production unit</t>
  </si>
  <si>
    <t>MS_j</t>
  </si>
  <si>
    <t>daily production of milk solids</t>
  </si>
  <si>
    <t>FC_j</t>
  </si>
  <si>
    <t>fat content in fat and protein corrected milk</t>
  </si>
  <si>
    <t>PC_j</t>
  </si>
  <si>
    <t>protein content in fat and protein corrected milk</t>
  </si>
  <si>
    <t>Input</t>
  </si>
  <si>
    <t>kg MS/head/day</t>
  </si>
  <si>
    <t>per cent</t>
  </si>
  <si>
    <t>Constant</t>
  </si>
  <si>
    <t>Additional intake required for milk production</t>
  </si>
  <si>
    <t>VEERG 2026: 3.3.1.1, Equation (4)</t>
  </si>
  <si>
    <t>VARATION ON SOURCE: Added milk production unit variable to allow for use of either milk solids or litres of milk.</t>
  </si>
  <si>
    <t>MI_j</t>
  </si>
  <si>
    <t>kg DM/head/day</t>
  </si>
  <si>
    <t>milk production (if input as litres of milk)</t>
  </si>
  <si>
    <t>milk production (if input as milk solids)</t>
  </si>
  <si>
    <t>NE</t>
  </si>
  <si>
    <t>net energy</t>
  </si>
  <si>
    <t>GEC</t>
  </si>
  <si>
    <t>gross energy content</t>
  </si>
  <si>
    <t>k</t>
  </si>
  <si>
    <t>efficiency of metabolizable energy use for milk production</t>
  </si>
  <si>
    <t>metabolisability of the diet</t>
  </si>
  <si>
    <t>Calculated from 3.3.1.1 (5)</t>
  </si>
  <si>
    <t>MJ net energy/kg milk</t>
  </si>
  <si>
    <t>MJ/kgDM</t>
  </si>
  <si>
    <t>Calculated from 3.3.1.1 (6)</t>
  </si>
  <si>
    <t>Feed intake</t>
  </si>
  <si>
    <t>VEERG 2026: 3.3.1.1, Equation (3)</t>
  </si>
  <si>
    <t>I_j</t>
  </si>
  <si>
    <t>W_j</t>
  </si>
  <si>
    <t>liveweight</t>
  </si>
  <si>
    <t>LWG_j</t>
  </si>
  <si>
    <t>liveweight gain</t>
  </si>
  <si>
    <t>MR_j</t>
  </si>
  <si>
    <t>increase in metabolic rate when producing milk</t>
  </si>
  <si>
    <t>additional intake required for milk production</t>
  </si>
  <si>
    <t>kg</t>
  </si>
  <si>
    <t>Calculated from 3.3.1.1 (4)</t>
  </si>
  <si>
    <t>Daily production of enteric methane</t>
  </si>
  <si>
    <t>VEERG 2026: 3.3.1.1, Equation (2)</t>
  </si>
  <si>
    <t>M_j</t>
  </si>
  <si>
    <t>kg CH4/head/day</t>
  </si>
  <si>
    <t>Total annual methane production from enteric fermentation in dairy cattle</t>
  </si>
  <si>
    <t>VEERG 2026: 3.3.1.1, Equation (1)</t>
  </si>
  <si>
    <t>VARIATION ON SOURCE: Added 'DPW' variable to allow for a separate handling of pre-weaned duration.</t>
  </si>
  <si>
    <t>E_enteric</t>
  </si>
  <si>
    <t>t CH4</t>
  </si>
  <si>
    <t>N_j124</t>
  </si>
  <si>
    <t>number of dairy cattle in classes j=1,2,4</t>
  </si>
  <si>
    <t>M_j124</t>
  </si>
  <si>
    <t>daily enteric methane production for classes j=1,2,4</t>
  </si>
  <si>
    <t>D_j124</t>
  </si>
  <si>
    <t>duration of stay on the farm for classes j=1,2,4</t>
  </si>
  <si>
    <t>N_j35</t>
  </si>
  <si>
    <t>number of dairy cattle in classes j=3,5</t>
  </si>
  <si>
    <t>M_j35</t>
  </si>
  <si>
    <t>daily enteric methane production for weaned classes j=3,5</t>
  </si>
  <si>
    <t>D_j35</t>
  </si>
  <si>
    <t>duration of stay on the farm for weaned classes j=3,5</t>
  </si>
  <si>
    <t>DPW_j35</t>
  </si>
  <si>
    <t>duration of stay on the farm for pre-weaned heifer and bull calves</t>
  </si>
  <si>
    <t>MPW_ENTERIC_j35</t>
  </si>
  <si>
    <t>daily methane production for pre-weaned heifer and bull calves</t>
  </si>
  <si>
    <t>Calculated from 3.3.1.1 (2)</t>
  </si>
  <si>
    <t>days</t>
  </si>
  <si>
    <t>Table A.1.3.1: Dairy cattle - Liveweight (kg) - Cows and Heifers (Wj)</t>
  </si>
  <si>
    <t>VEERG 2026: Table A.1.3.1</t>
  </si>
  <si>
    <t>Wj</t>
  </si>
  <si>
    <t>VARIATION OF SOURCE: Excluded 'Reference', as the value is consistently 'Dairy Australia [1]' and is not used in calculation.</t>
  </si>
  <si>
    <t>Large Friesian</t>
  </si>
  <si>
    <t>Holstein-Friesian</t>
  </si>
  <si>
    <t>Friesian crossbred</t>
  </si>
  <si>
    <t>Jersey</t>
  </si>
  <si>
    <t>Jersey crossbred</t>
  </si>
  <si>
    <t>Ayrshire</t>
  </si>
  <si>
    <t>Guernsey</t>
  </si>
  <si>
    <t>Brown Swiss</t>
  </si>
  <si>
    <t>Illawarra/Aussie Red</t>
  </si>
  <si>
    <t>Table A.1.3.2: Dairy cattle - Liveweight (kg) - Bulls (Wj)</t>
  </si>
  <si>
    <t>VEERG 2026: Table A.1.3.2</t>
  </si>
  <si>
    <t>All breeds</t>
  </si>
  <si>
    <t>Table A.1.3.3: Dairy cattle - Liveweight gain (kg) (LWGj)</t>
  </si>
  <si>
    <t>VEERG 2026: Table A.1.3.3</t>
  </si>
  <si>
    <t>LWGj</t>
  </si>
  <si>
    <t>Table A.1.3.4: Dairy cattle - Reference weights (kg) (WRj)</t>
  </si>
  <si>
    <t>VEERG 2026: Table A.1.3.4</t>
  </si>
  <si>
    <t>WRj</t>
  </si>
  <si>
    <t>Table A.1.3.5: Dairy cattle - Data for pre - weaned calves</t>
  </si>
  <si>
    <t>VEERG 2026: Table A.1.3.5</t>
  </si>
  <si>
    <t>VSj=3,5; NPWj=3,5</t>
  </si>
  <si>
    <t>kg/day</t>
  </si>
  <si>
    <t>Heifers&lt;1</t>
  </si>
  <si>
    <t>Bulls&lt;1</t>
  </si>
  <si>
    <t>Table A.1.3.6: Dairy cattle - Dairy cattle - MCFs (fraction) (MCFjm)</t>
  </si>
  <si>
    <t>VEERG 2026: Table A.1.3.6</t>
  </si>
  <si>
    <t>MCFjm</t>
  </si>
  <si>
    <t>VARIATION OF SOURCE: Added 'NIR reference' column to aid lookup</t>
  </si>
  <si>
    <t>Daily spread - Sump and dispersal systems</t>
  </si>
  <si>
    <t>Sump and dispersal system</t>
  </si>
  <si>
    <t>Daily spread - Drains to paddocks (a)</t>
  </si>
  <si>
    <t>Drains to paddock</t>
  </si>
  <si>
    <t>Solid Storage</t>
  </si>
  <si>
    <t>Direct Application to soil</t>
  </si>
  <si>
    <t>Table A.1.3.7: Dairy cattle - Nitrous oxide EFs and fraction of N volatilised by MMS</t>
  </si>
  <si>
    <t>VEERG 2026: Table A.1.3.7</t>
  </si>
  <si>
    <t>EFm; FracGASMm</t>
  </si>
  <si>
    <t>kg N2O-N/kg N excreted</t>
  </si>
  <si>
    <t>M=14 Pasture</t>
  </si>
  <si>
    <t>M=1 Anaerobic lagoon</t>
  </si>
  <si>
    <t>M=2 Daily Spread - Sump and Dispersal</t>
  </si>
  <si>
    <t>M=3 Daily Spread - Drains to Paddock</t>
  </si>
  <si>
    <t>M=3 Solid Storage</t>
  </si>
  <si>
    <t>Table A.1.3.8: Dairy cattle - Methane production for pre-weaned heifer and bull calves (kg CH4/head/day) (MPWENTERIC,j=3,5)</t>
  </si>
  <si>
    <t>VEERG 2026: Table A.1.3.8</t>
  </si>
  <si>
    <t>MPWENTERIC,j=3,5</t>
  </si>
  <si>
    <t>Table A.1.3.9: Dairy cattle - Increased metabolic rate when producing milk (MRj)</t>
  </si>
  <si>
    <t>VEERG 2026: Table A.1.3.9</t>
  </si>
  <si>
    <t>Milking cows, and house cows</t>
  </si>
  <si>
    <t>All other cattle classes</t>
  </si>
  <si>
    <t>Table A.1.3.10: Dairy cattle - Fraction of volatile solids voided to each manure management system (fraction) (MMSjm)</t>
  </si>
  <si>
    <t>VEERG 2026: Table A.1.3.10</t>
  </si>
  <si>
    <t>MMSjm</t>
  </si>
  <si>
    <t>System 1: Grazed Only</t>
  </si>
  <si>
    <t>System 2: On feedpad for &lt;10 hr/day for &lt;3 months/year</t>
  </si>
  <si>
    <t>System 3: Pasture-grazed 3-9 months/year</t>
  </si>
  <si>
    <t>System 4: Zero grazing</t>
  </si>
  <si>
    <t>Table A.1.3.11: Dairy cattle - EF for nitrous oxide per MMS (kg N2O-N/kg N) (EFm)</t>
  </si>
  <si>
    <t>VEERG 2026: Table A.1.3.11</t>
  </si>
  <si>
    <t>kg N2O-N/kg N</t>
  </si>
  <si>
    <t>m=14 Pasture</t>
  </si>
  <si>
    <t>m=1 Anerobic Lagoon</t>
  </si>
  <si>
    <t>m=2 Daily Spread: Sump and dispersal</t>
  </si>
  <si>
    <t>m=3 Daily Spread: Drains to paddocks</t>
  </si>
  <si>
    <t>m=4 Solid Storage</t>
  </si>
  <si>
    <t>Duration of stay for each dairy cattle input class</t>
  </si>
  <si>
    <t>VEERG 2026: 4.3.2.2	DATA (METHOD 1 AND 2 OPTIONS)</t>
  </si>
  <si>
    <t>D</t>
  </si>
  <si>
    <t>VARIATION OF SOURCE: Converted free text in document to table, matching livestock class names.</t>
  </si>
  <si>
    <t>Crude protein content of feed intake</t>
  </si>
  <si>
    <t>CP</t>
  </si>
  <si>
    <t>VEERG 2026: 3.3.2.2	DATA (METHOD 1 AND 2 OPTIONS)</t>
  </si>
  <si>
    <t>DMD</t>
  </si>
  <si>
    <t>Net energy required for milk production</t>
  </si>
  <si>
    <t>VEERG 2026: 3.3.2.3 CONSTANTS</t>
  </si>
  <si>
    <t>MJ net energy / kg milk</t>
  </si>
  <si>
    <t>Gross energy content of feed dry matter</t>
  </si>
  <si>
    <t>MJ / kgDM</t>
  </si>
  <si>
    <t>Efficiency of use of metabolizable energy for milk production</t>
  </si>
  <si>
    <t>Ash content of manure</t>
  </si>
  <si>
    <t>VEERG 2026: 4.3.2.3 CONSTANTS</t>
  </si>
  <si>
    <t>A</t>
  </si>
  <si>
    <t>Methane emissions potential</t>
  </si>
  <si>
    <t>B_o</t>
  </si>
  <si>
    <t>m3 CH4/kgVS</t>
  </si>
  <si>
    <t>Emission factor for leaching and runoff</t>
  </si>
  <si>
    <t>EF_leach</t>
  </si>
  <si>
    <t>Fraction of N that is lost through leaching and runoff</t>
  </si>
  <si>
    <t>Frac_LEACH_MS</t>
  </si>
  <si>
    <t>Dimensionless</t>
  </si>
  <si>
    <t>Fraction of nitrogen volatilized from urine and faeces deposited on pasture</t>
  </si>
  <si>
    <t>FracGASMsoil</t>
  </si>
  <si>
    <t>(kg NH3-N + NOx-N)/kg N</t>
  </si>
  <si>
    <t>VEERG 2026: 3.3.2.2 DATA (METHOD 1 AND 2 OPTIONS)</t>
  </si>
  <si>
    <t>Australian states and territories</t>
  </si>
  <si>
    <t>Australian Capital Territory</t>
  </si>
  <si>
    <t>Victoria</t>
  </si>
  <si>
    <t>Queensland</t>
  </si>
  <si>
    <t>South Australia</t>
  </si>
  <si>
    <t>Western Australia</t>
  </si>
  <si>
    <t>Tasmania</t>
  </si>
  <si>
    <t>Northern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</si>
  <si>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</si>
  <si>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</si>
  <si>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</si>
  <si>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</si>
  <si>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</si>
  <si>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</si>
  <si>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</si>
  <si>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</si>
  <si>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</si>
  <si>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</si>
  <si>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</si>
  <si>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</si>
  <si>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</si>
  <si>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</si>
  <si>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</si>
  <si>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</si>
  <si>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</si>
  <si>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</si>
  <si>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</si>
  <si>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</si>
  <si>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</si>
  <si>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</si>
  <si>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</si>
  <si>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</si>
  <si>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</si>
  <si>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</si>
  <si>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</si>
  <si>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</si>
  <si>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</si>
  <si>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</si>
  <si>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</si>
  <si>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</si>
  <si>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</si>
  <si>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</si>
  <si>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</si>
  <si>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</si>
  <si>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</si>
  <si>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</si>
  <si>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</si>
  <si>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</si>
  <si>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</si>
  <si>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</si>
  <si>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</si>
  <si>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</si>
  <si>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</si>
  <si>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</si>
  <si>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</si>
  <si>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</si>
  <si>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</si>
  <si>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</si>
  <si>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</si>
  <si>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</si>
  <si>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</si>
  <si>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</si>
  <si>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</si>
  <si>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</si>
  <si>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</si>
  <si>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</si>
  <si>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</si>
  <si>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</si>
  <si>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</si>
  <si>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</si>
  <si>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</si>
  <si>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</si>
  <si>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</si>
  <si>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</si>
  <si>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</si>
  <si>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</si>
  <si>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</si>
  <si>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</si>
  <si>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</si>
  <si>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</si>
  <si>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</si>
  <si>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</si>
  <si>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</si>
  <si>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</si>
  <si>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</si>
  <si>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</si>
  <si>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</si>
  <si>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</si>
  <si>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</si>
  <si>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</si>
  <si>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</si>
  <si>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</si>
  <si>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</si>
  <si>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</si>
  <si>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</si>
  <si>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</si>
  <si>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</si>
  <si>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</si>
  <si>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</si>
  <si>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</si>
  <si>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</si>
  <si>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</si>
  <si>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</si>
  <si>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</si>
  <si>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</si>
  <si>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</si>
  <si>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</si>
  <si>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</si>
  <si>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</si>
  <si>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</si>
  <si>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</si>
  <si>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</si>
  <si>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</si>
  <si>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</si>
  <si>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</si>
  <si>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</si>
  <si>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</si>
  <si>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</si>
  <si>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</si>
  <si>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</si>
  <si>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</si>
  <si>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</si>
  <si>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</si>
  <si>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</si>
  <si>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</si>
  <si>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</si>
  <si>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</si>
  <si>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</si>
  <si>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</si>
  <si>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</si>
  <si>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</si>
  <si>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</si>
  <si>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</si>
  <si>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</si>
  <si>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</si>
  <si>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</si>
  <si>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</si>
  <si>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</si>
  <si>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</si>
  <si>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</si>
  <si>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</si>
  <si>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</si>
  <si>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</si>
  <si>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</si>
  <si>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</si>
  <si>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</si>
  <si>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</si>
  <si>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</si>
  <si>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</si>
  <si>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</si>
  <si>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</si>
  <si>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</si>
  <si>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</si>
  <si>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</si>
  <si>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</si>
  <si>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</si>
  <si>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</si>
  <si>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</si>
  <si>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</si>
  <si>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</si>
  <si>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</si>
  <si>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</si>
  <si>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</si>
  <si>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</si>
  <si>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Table 5.12 Additional symbols used in algorithms for manure related emissions</t>
  </si>
  <si>
    <t>National Inventory Report 2023 Volume 1: Table 5.12</t>
  </si>
  <si>
    <t>Anaerobic lagoon (m=1)</t>
  </si>
  <si>
    <t>Liquid systems (m=2)</t>
  </si>
  <si>
    <t>Daily spread (m=3)</t>
  </si>
  <si>
    <t>3a</t>
  </si>
  <si>
    <t>Sump and dispersal system (m=3a)</t>
  </si>
  <si>
    <t>3b</t>
  </si>
  <si>
    <t>Drains to paddock (m=3b)</t>
  </si>
  <si>
    <t>Solid storage (m=4)</t>
  </si>
  <si>
    <t>Drylot (feed pad)</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</si>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</sst>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60" fillId="4" borderId="2">
      <alignment horizontal="left" vertical="center"/>
    </xf>
    <xf numFmtId="0" fontId="61" fillId="16" borderId="2">
      <alignment horizontal="center" vertical="center"/>
    </xf>
    <xf numFmtId="0" fontId="35" fillId="4" borderId="2">
      <alignment horizontal="left" vertical="center"/>
    </xf>
    <xf numFmtId="0" fontId="62" fillId="0" borderId="0"/>
  </cellStyleXfs>
  <cellXfs count="13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0" fillId="0" borderId="0" xfId="1" applyFont="1" applyFill="1">
      <alignment horizontal="left" vertical="center" indent="1"/>
      <protection locked="0"/>
    </xf>
    <xf numFmtId="0" fontId="49" fillId="4" borderId="0" xfId="61">
      <alignment horizontal="left" vertical="center"/>
    </xf>
    <xf numFmtId="0" fontId="48" fillId="4" borderId="0" xfId="60">
      <alignment horizontal="left" vertical="center"/>
    </xf>
    <xf numFmtId="3" fontId="2" fillId="0" borderId="2" xfId="19">
      <alignment horizontal="center"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0" fillId="14" borderId="0" xfId="8" applyFill="1">
      <alignment horizontal="left" vertical="center"/>
    </xf>
    <xf numFmtId="0" fontId="45"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22" fillId="11" borderId="0" xfId="64">
      <alignment horizontal="left" vertical="center" indent="1"/>
    </xf>
    <xf numFmtId="0" fontId="58" fillId="0" borderId="0" xfId="2" applyFont="1"/>
    <xf numFmtId="0" fontId="56" fillId="2" borderId="0" xfId="8" applyFont="1" applyFill="1">
      <alignment horizontal="left" vertical="center"/>
    </xf>
    <xf numFmtId="0" fontId="17" fillId="4" borderId="0" xfId="32" applyFill="1">
      <alignment vertical="center"/>
    </xf>
    <xf numFmtId="0" fontId="59" fillId="15" borderId="2" xfId="65">
      <alignment horizontal="center" vertical="center"/>
    </xf>
    <xf numFmtId="0" fontId="60" fillId="4" borderId="2" xfId="66">
      <alignment horizontal="left" vertical="center"/>
    </xf>
    <xf numFmtId="0" fontId="61"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2" fillId="0" borderId="0" xfId="69"/>
    <xf numFmtId="0" fontId="63" fillId="9" borderId="0" xfId="33" applyFont="1" applyFill="1"/>
    <xf numFmtId="0" fontId="40" fillId="9" borderId="0" xfId="8" applyFill="1">
      <alignment horizontal="left" vertical="center"/>
    </xf>
    <xf numFmtId="0" fontId="17" fillId="11" borderId="0" xfId="32" applyFill="1">
      <alignment vertical="center"/>
    </xf>
    <xf numFmtId="0" fontId="45" fillId="13" borderId="21" xfId="41" applyBorder="1">
      <alignment horizontal="left" vertical="center"/>
    </xf>
    <xf numFmtId="0" fontId="45" fillId="13" borderId="20" xfId="41" applyBorder="1">
      <alignment horizontal="left" vertical="center"/>
    </xf>
    <xf numFmtId="0" fontId="46" fillId="13" borderId="21" xfId="41" applyFont="1" applyBorder="1">
      <alignment horizontal="left" vertical="center"/>
    </xf>
    <xf numFmtId="170" fontId="2" fillId="0" borderId="2" xfId="17" applyNumberFormat="1">
      <alignment horizontal="center"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2"/>
      <tableStyleElement type="headerRow" dxfId="91"/>
      <tableStyleElement type="totalRow" dxfId="90"/>
      <tableStyleElement type="firstColumn" dxfId="89"/>
      <tableStyleElement type="firstRowStripe" dxfId="88"/>
      <tableStyleElement type="secondRowStripe" dxfId="87"/>
    </tableStyle>
    <tableStyle name="Equation table" pivot="0" count="6" xr9:uid="{B247698E-E41D-4CCD-AA0A-C14817E9DE65}">
      <tableStyleElement type="wholeTable" dxfId="86"/>
      <tableStyleElement type="headerRow" dxfId="85"/>
      <tableStyleElement type="totalRow" dxfId="84"/>
      <tableStyleElement type="firstColumn" dxfId="83"/>
      <tableStyleElement type="firstRowStripe" dxfId="82"/>
      <tableStyleElement type="secondRowStripe" dxfId="81"/>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80"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9"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7"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tableColumn id="2" xr3:uid="{C20ABB8A-524B-457C-86CD-D1ADCBCD6339}" name="Bulls &gt; 1" dataDxfId="76" dataCellStyle="Content normal"/>
    <tableColumn id="3" xr3:uid="{7E843FE2-40FC-4270-88C9-9204E6D4AFBC}" name="Bulls &lt; 1 (weaned)" dataDxfId="75" dataCellStyle="Content normal"/>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tableColumn id="2" xr3:uid="{6F9B3B56-C4EB-4BB7-8805-05635494D786}" name="Heifers &gt; 1" dataDxfId="74" dataCellStyle="Content normal"/>
    <tableColumn id="3" xr3:uid="{9CCB5E7F-697E-47C8-A2FC-07B0CCA18EF6}" name="Heifers &lt; 1 (weaned)" dataDxfId="73" dataCellStyle="Content normal"/>
    <tableColumn id="4" xr3:uid="{E2F3229F-1A83-4902-9C97-123E692B43D6}" name="Bulls &gt; 1" dataDxfId="72" dataCellStyle="Content normal"/>
    <tableColumn id="5" xr3:uid="{409BDD9D-D084-43BF-B34D-A29B0DFF00E7}" name="Bulls &lt; 1 (weaned)" dataDxfId="71"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70"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tableColumn id="2" xr3:uid="{991629E4-B0F0-475C-93F7-4A12ED668A18}" name="Heifers &gt; 1" dataCellStyle="Content normal"/>
    <tableColumn id="3" xr3:uid="{6C94EF39-6711-4487-81B0-B42EDB4594D8}" name="Heifers &lt; 1 (weaned)" dataCellStyle="Content normal"/>
    <tableColumn id="4" xr3:uid="{C3DD81A6-AACD-494F-AF05-233BBF18C20E}" name="Bulls &gt; 1" dataCellStyle="Content normal"/>
    <tableColumn id="5" xr3:uid="{094C9E2A-1500-4255-BA17-5A613FBA8EBC}" name="Bulls &lt; 1 (weaned)"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9"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8"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4"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3"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2"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1"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60"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9"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8"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7"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6"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5"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3"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2"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1"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5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7"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6"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5"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4"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03FF72D-5AA8-4D04-BC68-A876F0B27A9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794626-A850-4164-8339-B540B2DF4318}" name="State/Territory">
      <calculatedColumnFormula array="1">Common_InputFunctions.Utility_DisplayArrayInTable(Common_SourceData.Common_SourceData_AustralianStatesTerritories_Data(),Table_AustralianStates[[#Headers],[State/Territory]],0)</calculatedColumnFormula>
    </tableColumn>
    <tableColumn id="2" xr3:uid="{DAE38D79-3412-44EE-B743-F7EA54525797}" name="Common Name">
      <calculatedColumnFormula array="1">Common_InputFunctions.Utility_DisplayArrayInTable(Common_SourceData.Common_SourceData_AustralianStatesTerritories_Data(),Table_AustralianStates[[#Headers],[State/Territory]],0)</calculatedColumnFormula>
    </tableColumn>
    <tableColumn id="3" xr3:uid="{0A80F820-FBCF-4CD9-BB99-A505AD6A647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467D148-4878-4FAD-BB3C-F97D06CA9512}" name="Table_WASA4Areas" displayName="Table_WASA4Areas" ref="D20:D30" totalsRowShown="0">
  <autoFilter ref="D20:D30" xr:uid="{5FA81339-C6C8-4D36-BEEA-6C4AEDD9E676}">
    <filterColumn colId="0" hiddenButton="1"/>
  </autoFilter>
  <tableColumns count="1">
    <tableColumn id="1" xr3:uid="{C82476DA-E731-4E10-9D5A-E9F0C1FC06B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914CD11-0EFE-4643-96AF-5AA68162B523}" name="Table_GWPData" displayName="Table_GWPData" ref="D36:E43" totalsRowShown="0">
  <autoFilter ref="D36:E43" xr:uid="{B8E87A66-3E41-4AD3-925D-01EE21B43D7A}">
    <filterColumn colId="0" hiddenButton="1"/>
    <filterColumn colId="1" hiddenButton="1"/>
  </autoFilter>
  <tableColumns count="2">
    <tableColumn id="1" xr3:uid="{65D9E7F2-5AA3-4F6D-B872-299BD4277352}" name="Gas">
      <calculatedColumnFormula array="1">Common_InputFunctions.Utility_DisplayArrayInTable(Common_SourceData.Common_SourceData_GWP_Data(), Table_GWPData[[#Headers],[Gas]], 0)</calculatedColumnFormula>
    </tableColumn>
    <tableColumn id="2" xr3:uid="{2E11C296-A27E-44C8-B866-B60D8484DA2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DEC118-7605-4D43-9B0E-4EC1C118899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4DF9520-BD4A-4E94-BBCC-0D5B7E7A8E54}" name="Gas">
      <calculatedColumnFormula array="1">Common_InputFunctions.Utility_DisplayArrayInTable(Common_SourceData.Common_SourceData_ConvertGasElementalToMolecular_Data(),Table_GasToMolecularConversionFactor[[#Headers],[Gas]], 0)</calculatedColumnFormula>
    </tableColumn>
    <tableColumn id="5" xr3:uid="{719EA7B0-E1E5-4B9A-9E3D-3FFF5967D16D}" name="Conversion factor">
      <calculatedColumnFormula array="1">Common_InputFunctions.Utility_DisplayArrayInTable(Common_SourceData.Common_SourceData_ConvertGasElementalToMolecular_Data(),Table_GasToMolecularConversionFactor[[#Headers],[Gas]], 0)</calculatedColumnFormula>
    </tableColumn>
    <tableColumn id="2" xr3:uid="{AF7D1800-FE1C-4287-A8AE-6903F6F799C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AFCE0E3-845A-46DD-9AB0-BABC1C0E7CF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BEB747A-4ACF-4E38-AEBF-06ED8AF9CE7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E267B3-46EA-4CA7-9B3C-1A1F54218027}" name="Table_SourceData_ClimateZones" displayName="Table_SourceData_ClimateZones" ref="D89:S101" totalsRowShown="0">
  <autoFilter ref="D89:S101"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7B6CA81-618B-4698-9F97-AD28407946EB}"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1C1D4B8-FE13-46DA-BB59-A5008C6FE7C1}" name="MA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3" xr3:uid="{102A624F-AE25-4F8F-B3F0-59DB196609CC}" name="MA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4" xr3:uid="{F989612B-CC72-45D5-AE66-26DF38DFC6EA}" name="Frost days per year"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5" xr3:uid="{01545F31-673F-4A04-A77E-2429EE93C858}" name="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6" xr3:uid="{25F16A09-9A57-463B-9BCB-20875BB51C44}" name="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7" xr3:uid="{5AA65FCB-002B-47F1-A287-E218559BCF41}" name="Min temp"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8" xr3:uid="{C0739D72-8114-41EC-AE17-F0842D7BE327}" name="Max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9" xr3:uid="{838C2DB7-9885-4DD3-9B09-44688DEE8F3E}" name="Min rainfall"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0" xr3:uid="{AC6CC6C2-C45B-4428-B2ED-43073BD9C77B}" name="Max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1" xr3:uid="{D27C9106-4113-428E-A02E-BB79B2F36A53}" name="Min frost days"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5" xr3:uid="{2C7CD77E-0CE7-472B-80F9-ED09AE8A7629}" name="Max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2" xr3:uid="{FAF6B10D-23FD-49F4-B389-A5D911DA4EB0}" name="Min 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6" xr3:uid="{C3D3CE5A-28C9-4BA8-9403-42CCEEFC311A}" name="Max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3" xr3:uid="{41AF1E4E-419B-49D3-B5DD-31A71A63AD52}" name="Min MAP:PET"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7" xr3:uid="{0323E4F1-1C74-4A8C-A893-AA2777B9A8E5}" name="Max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CA1693-7EC0-48C3-8123-A6D663D828A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9E074F6-1F46-427E-8A7B-BFEA18900DC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FF83C7F-09C9-4F06-BECA-CDFF7F5BD9FB}" name="Wet or Dry Zone" totalsRowDxfId="2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8520BC8-5672-4822-908B-809C356B033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83149F2-73DE-4562-B91A-1F9C39334064}" name="Temperature Zone">
      <calculatedColumnFormula array="1">Common_InputFunctions.Utility_DisplayArrayInTable(Common_SourceData.Common_SourceData_TemperatureZones_Data(),Table_SourceData_TemperatureZones[[#Headers],[Temperature Zone]],0)</calculatedColumnFormula>
    </tableColumn>
    <tableColumn id="2" xr3:uid="{14D1E32A-5A09-4329-8DC4-EAD6A0F58865}" name="MAT">
      <calculatedColumnFormula array="1">Common_InputFunctions.Utility_DisplayArrayInTable(Common_SourceData.Common_SourceData_TemperatureZones_Data(),Table_SourceData_TemperatureZones[[#Headers],[Temperature Zone]],0)</calculatedColumnFormula>
    </tableColumn>
    <tableColumn id="3" xr3:uid="{C067EEEF-2F54-4838-949C-910BB29190EE}" name="Min MAT">
      <calculatedColumnFormula array="1">Common_InputFunctions.Utility_DisplayArrayInTable(Common_SourceData.Common_SourceData_TemperatureZones_Data(),Table_SourceData_TemperatureZones[[#Headers],[Temperature Zone]],0)</calculatedColumnFormula>
    </tableColumn>
    <tableColumn id="4" xr3:uid="{1A7E3D6B-ED50-49B2-8FFF-27C59B2D229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BCEE09E-35BE-4F5B-9886-18B04A28577F}"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419F08F-BAEF-4F99-9D31-2F07F0CBAEC1}" name="Rainfall Zone">
      <calculatedColumnFormula array="1">Common_InputFunctions.Utility_DisplayArrayInTable(Common_SourceData.Common_SourceData_RainfallZones_Data(),Table_SourceData_RainfallZones[[#Headers],[Rainfall Zone]],0)</calculatedColumnFormula>
    </tableColumn>
    <tableColumn id="2" xr3:uid="{C5E53696-D0AD-48E4-A387-F00098834B82}" name="Annual rainfall">
      <calculatedColumnFormula array="1">Common_InputFunctions.Utility_DisplayArrayInTable(Common_SourceData.Common_SourceData_RainfallZones_Data(),Table_SourceData_RainfallZones[[#Headers],[Rainfall Zone]],0)</calculatedColumnFormula>
    </tableColumn>
    <tableColumn id="3" xr3:uid="{AEB22F2A-45B7-4985-926A-90CE467ACCA3}" name="Min rainfall">
      <calculatedColumnFormula array="1">Common_InputFunctions.Utility_DisplayArrayInTable(Common_SourceData.Common_SourceData_RainfallZones_Data(),Table_SourceData_RainfallZones[[#Headers],[Rainfall Zone]],0)</calculatedColumnFormula>
    </tableColumn>
    <tableColumn id="4" xr3:uid="{1E498886-42FD-468A-8875-3F9783E4700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BDEC461-6A93-4A97-90E4-9A8AA40A19D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479AB66-B537-45F0-95C3-F780F47F5E4D}" name="Leaching Zone">
      <calculatedColumnFormula array="1">Common_InputFunctions.Utility_DisplayArrayInTable(Common_SourceData.Common_SourceData_LeachingZones_Data(), Table_SourceData_LeachingZones[[#Headers],[Leaching Zone]], 0)</calculatedColumnFormula>
    </tableColumn>
    <tableColumn id="2" xr3:uid="{7681297D-A0F0-4054-A87F-AE8E786F8B4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1C81900-DCEC-41E8-B766-0A4CBD6AFDD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242AC1A-2AFA-428F-935B-83A73B49F1AF}" name="Data source">
      <calculatedColumnFormula array="1">Common_InputFunctions.Utility_DisplayArrayInTable(Common_SourceData.Common_SourceData_DataScores_Scope3_Data(), Table_SourceData_DataScores_Scope3[[#Headers],[Data source]], 0)</calculatedColumnFormula>
    </tableColumn>
    <tableColumn id="2" xr3:uid="{A432E50B-9E0E-4A79-9E3B-C047686F9E5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3F08F2B-C3BE-4F58-9F6F-330BA0E52867}" name="Table_SourceData_FracWET" displayName="Table_SourceData_FracWET" ref="D134:E136" totalsRowShown="0">
  <autoFilter ref="D134:E136" xr:uid="{308E99BE-FE1F-47A4-B2CA-97217277C4E9}">
    <filterColumn colId="0" hiddenButton="1"/>
    <filterColumn colId="1" hiddenButton="1"/>
  </autoFilter>
  <tableColumns count="2">
    <tableColumn id="1" xr3:uid="{CA6CB252-C2A3-40D6-9473-9FC46E9D52A4}" name="Is in leaching zone">
      <calculatedColumnFormula array="1">Common_InputFunctions.Utility_DisplayArrayInTable(Common_SourceData.Common_SourceData_FracWET_Data(),Table_SourceData_FracWET[[#Headers],[Is in leaching zone]],0)</calculatedColumnFormula>
    </tableColumn>
    <tableColumn id="2" xr3:uid="{17B50AED-915B-4AAF-A792-B6C8FBF0C02A}" name="FracWET" dataDxfId="2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AE7B8FB-16AF-416E-98A4-D699DD5C5E8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1113FC-3C11-4120-8A7A-C6A066062811}" name="Production system j">
      <calculatedColumnFormula array="1">Common_InputFunctions.Utility_DisplayArrayInTable(Common_SourceData.Common_SourceData_EFN2O_Data(), Table_SourceData_Common_EFN2O[[#Headers],[Production system j]], 0)</calculatedColumnFormula>
    </tableColumn>
    <tableColumn id="2" xr3:uid="{19F26070-D269-4461-9AA9-E73E9C3B4B2E}" name="EFN2O">
      <calculatedColumnFormula array="1">Common_InputFunctions.Utility_DisplayArrayInTable(Common_SourceData.Common_SourceData_EFN2O_Data(), Table_SourceData_Common_EFN2O[[#Headers],[Production system j]], 0)</calculatedColumnFormula>
    </tableColumn>
    <tableColumn id="3" xr3:uid="{21B682C6-C2D0-424C-AD39-4F3E40D4636F}" name="Production system only">
      <calculatedColumnFormula array="1">Common_InputFunctions.Utility_DisplayArrayInTable(Common_SourceData.Common_SourceData_EFN2O_Data(), Table_SourceData_Common_EFN2O[[#Headers],[Production system j]], 0)</calculatedColumnFormula>
    </tableColumn>
    <tableColumn id="4" xr3:uid="{6962E14F-8525-41AD-A04F-63D56983CE42}" name="Irrigation method">
      <calculatedColumnFormula array="1">Common_InputFunctions.Utility_DisplayArrayInTable(Common_SourceData.Common_SourceData_EFN2O_Data(), Table_SourceData_Common_EFN2O[[#Headers],[Production system j]], 0)</calculatedColumnFormula>
    </tableColumn>
    <tableColumn id="5" xr3:uid="{3BE4975D-FE3A-45D5-891E-ED75504CC35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13CB41C-F794-4760-AC66-5B531D674B0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AC3C0F9-1257-4074-B70D-B5E41C33E503}" name="Irrigation type i">
      <calculatedColumnFormula array="1">Common_InputFunctions.Utility_DisplayArrayInTable(Common_SourceData.Common_SourceData_FracWETIrrigation_Data(), Table_SourceData_FracWETIrrigation[[#Headers],[Irrigation type i]], 0)</calculatedColumnFormula>
    </tableColumn>
    <tableColumn id="2" xr3:uid="{493CDD78-3DCB-49BC-B18C-971DBEBBEFAD}" name="FracWET" dataDxfId="2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B66389F-5E7A-480C-811A-03404D9514D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A630E68-DE8C-4AED-8D19-EEAAD9054DF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BCF572D-EFF8-47B4-9A54-09684720C466}" name="EFPRP" dataDxfId="2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6508C63-E9E0-470A-9DC6-5393265238C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3D2FAD8-2DF7-440E-9815-F9954FD522E7}" name="Month">
      <calculatedColumnFormula array="1">Common_InputFunctions.Utility_DisplayArrayInTable(Common_SourceData.Common_SourceData_MonthsToSeasons_Data(), Table_SourceData_Common_MonthToSeason[[#Headers],[Month]], 0)</calculatedColumnFormula>
    </tableColumn>
    <tableColumn id="2" xr3:uid="{E686A930-9FC6-45F2-A491-349E9B878124}" name="Season" dataDxfId="2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C651049-2627-4EC7-8E7F-25B154AFB6E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2F53388-4525-4EB9-9628-BCBEA2F30578}"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6933AB0-11DA-4292-8FE5-DE8E2CA4B88D}" name="MAT (ºC)"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76F11EA-A68F-4DDA-AB7D-A620B6EF4C44}" name="Anaerobic lagoon"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A59FC53-FA95-42F8-A803-83894C899534}" name="Digester / covered lagoons"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8317A95-2AB4-45D9-AACA-B1FFC6DCAD30}" name="Liquid system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0C2DD5C-EF5D-46AB-A17D-EA174DBC06AB}" name="Daily spread"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3E6D90B-E8DC-4961-9A38-4984A6364EC3}" name="Composting (passive windro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5E7893-DB4C-4B24-975D-397921C40F6A}" name="Solid storage"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5D07BA0-D24C-47DD-BCE9-8AEB94688BBD}" name="Pit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A8038AA-B56B-40E7-94C4-CFC40CEFAF7B}" name="Deep litter"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8FB6B0A-E569-4A66-B2B7-67E40B8006C7}" name="Poultry manure with bedding"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708DD5D-0DF4-4D67-BB71-ADF7EFD4F4DF}" name="Poultry manure without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02B5F58-FFEC-4FFD-AC7E-15228F5CB463}" name="Direct process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D5FE3CD-8EA9-40AB-A6D2-55C163061365}" name="Direct application"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89C453B-2907-4AE7-80EF-A626BEEC7189}" name="Pasture range and paddock"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00A278F-92FA-4925-ADAF-21269BA28878}" name="MAT raw"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P16" sqref="P16"/>
    </sheetView>
  </sheetViews>
  <sheetFormatPr defaultRowHeight="15" x14ac:dyDescent="0.25"/>
  <cols>
    <col min="1" max="1" width="30.7109375" customWidth="1"/>
    <col min="2" max="3" width="4.7109375" customWidth="1"/>
  </cols>
  <sheetData>
    <row r="1" spans="1:33" ht="30" customHeight="1" x14ac:dyDescent="0.35">
      <c r="A1" s="69" t="e" vm="1">
        <v>#VALUE!</v>
      </c>
      <c r="C1" s="126" t="s">
        <v>217</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row>
    <row r="2" spans="1:33"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row>
    <row r="3" spans="1:33" ht="20.100000000000001" customHeight="1" x14ac:dyDescent="0.25">
      <c r="A3" s="17" t="str">
        <f>HYPERLINK("#'Home'!A1", "Home")</f>
        <v>Home</v>
      </c>
      <c r="C3" s="128"/>
      <c r="D3" s="128"/>
      <c r="E3" s="128"/>
      <c r="F3" s="128"/>
      <c r="G3" s="128"/>
      <c r="H3" s="128"/>
      <c r="I3" s="128"/>
      <c r="J3" s="128"/>
      <c r="K3" s="128"/>
      <c r="L3" s="128"/>
      <c r="M3" s="128"/>
      <c r="N3" s="128"/>
      <c r="O3" s="128"/>
      <c r="P3" s="128"/>
      <c r="Q3" s="128"/>
      <c r="R3" s="128"/>
      <c r="S3" s="128"/>
      <c r="T3" s="128"/>
      <c r="U3" s="128"/>
      <c r="V3" s="128"/>
      <c r="W3" s="128"/>
    </row>
    <row r="4" spans="1:33" ht="20.100000000000001" customHeight="1" x14ac:dyDescent="0.25">
      <c r="A4" s="114"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30" t="s">
        <v>236</v>
      </c>
      <c r="E5" s="130"/>
      <c r="F5" s="130"/>
      <c r="G5" s="130"/>
      <c r="H5" s="130"/>
      <c r="I5" s="109"/>
      <c r="J5" s="93"/>
      <c r="K5" s="93"/>
      <c r="L5" s="93"/>
      <c r="M5" s="93"/>
      <c r="N5" s="93"/>
      <c r="O5" s="93"/>
      <c r="P5" s="89"/>
      <c r="Q5" s="1"/>
      <c r="R5" s="1"/>
      <c r="S5" s="1"/>
      <c r="T5" s="1"/>
      <c r="U5" s="1"/>
      <c r="V5" s="1"/>
      <c r="W5" s="1"/>
    </row>
    <row r="6" spans="1:33" ht="20.100000000000001" customHeight="1" x14ac:dyDescent="0.25">
      <c r="A6" s="16"/>
      <c r="C6" s="1"/>
      <c r="D6" s="131" t="s">
        <v>216</v>
      </c>
      <c r="E6" s="129"/>
      <c r="F6" s="129"/>
      <c r="G6" s="129"/>
      <c r="H6" s="129"/>
      <c r="I6" s="95"/>
      <c r="J6" s="92"/>
      <c r="K6" s="92"/>
      <c r="L6" s="92"/>
      <c r="M6" s="92"/>
      <c r="N6" s="92"/>
      <c r="O6" s="92"/>
      <c r="P6" s="90"/>
      <c r="Q6" s="1"/>
      <c r="R6" s="1"/>
      <c r="S6" s="1"/>
      <c r="T6" s="1"/>
      <c r="U6" s="1"/>
      <c r="V6" s="1"/>
      <c r="W6" s="1"/>
    </row>
    <row r="7" spans="1:33" ht="20.100000000000001" customHeight="1" x14ac:dyDescent="0.25">
      <c r="A7" s="20" t="s">
        <v>1</v>
      </c>
      <c r="C7" s="1"/>
      <c r="D7" s="1"/>
      <c r="E7" s="1"/>
      <c r="F7" s="1"/>
      <c r="G7" s="1"/>
      <c r="H7" s="1"/>
      <c r="I7" s="1"/>
      <c r="J7" s="1"/>
      <c r="K7" s="1"/>
      <c r="L7" s="1"/>
      <c r="M7" s="1"/>
      <c r="N7" s="1"/>
      <c r="O7" s="1"/>
      <c r="P7" s="1"/>
      <c r="Q7" s="1"/>
      <c r="R7" s="1"/>
      <c r="S7" s="1"/>
      <c r="T7" s="1"/>
      <c r="U7" s="1"/>
      <c r="V7" s="1"/>
      <c r="W7" s="1"/>
    </row>
    <row r="8" spans="1:33"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row>
    <row r="10" spans="1:33" ht="20.100000000000001" customHeight="1" x14ac:dyDescent="0.25">
      <c r="A10" s="17"/>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A11" s="19" t="s">
        <v>71</v>
      </c>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A12" s="17" t="str">
        <f>HYPERLINK("#'3.3.1.1-2 Enteric Methane'!A1", "3.3.1.1-2 Enteric Methane")</f>
        <v>3.3.1.1-2 Enteric Methane</v>
      </c>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7"/>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8" t="s">
        <v>2</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A15" s="17" t="str">
        <f>HYPERLINK("#'Constants - Dairy'!A1", "Constants - Dairy")</f>
        <v>Constants - Dairy</v>
      </c>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4"/>
      <c r="D65" s="24"/>
      <c r="E65" s="24"/>
      <c r="F65" s="24"/>
      <c r="G65" s="24"/>
      <c r="H65" s="24"/>
      <c r="I65" s="24"/>
      <c r="J65" s="24"/>
      <c r="K65" s="24"/>
      <c r="L65" s="24"/>
      <c r="M65" s="24"/>
      <c r="N65" s="24"/>
      <c r="O65" s="24"/>
      <c r="P65" s="24"/>
      <c r="Q65" s="24"/>
      <c r="R65" s="24"/>
      <c r="S65" s="24"/>
      <c r="T65" s="24"/>
      <c r="U65" s="24"/>
      <c r="V65" s="24"/>
      <c r="W65" s="24"/>
    </row>
    <row r="66" spans="3:23" x14ac:dyDescent="0.25">
      <c r="C66" s="24"/>
      <c r="D66" s="24"/>
      <c r="E66" s="24"/>
      <c r="F66" s="24"/>
      <c r="G66" s="24"/>
      <c r="H66" s="24"/>
      <c r="I66" s="24"/>
      <c r="J66" s="24"/>
      <c r="K66" s="24"/>
      <c r="L66" s="24"/>
      <c r="M66" s="24"/>
      <c r="N66" s="24"/>
      <c r="O66" s="24"/>
      <c r="P66" s="24"/>
      <c r="Q66" s="24"/>
      <c r="R66" s="24"/>
      <c r="S66" s="24"/>
      <c r="T66" s="24"/>
      <c r="U66" s="24"/>
      <c r="V66" s="24"/>
      <c r="W66" s="24"/>
    </row>
    <row r="67" spans="3:23" x14ac:dyDescent="0.25">
      <c r="C67" s="24"/>
      <c r="D67" s="24"/>
      <c r="E67" s="24"/>
      <c r="F67" s="24"/>
      <c r="G67" s="24"/>
      <c r="H67" s="24"/>
      <c r="I67" s="24"/>
      <c r="J67" s="24"/>
      <c r="K67" s="24"/>
      <c r="L67" s="24"/>
      <c r="M67" s="24"/>
      <c r="N67" s="24"/>
      <c r="O67" s="24"/>
      <c r="P67" s="24"/>
      <c r="Q67" s="24"/>
      <c r="R67" s="24"/>
      <c r="S67" s="24"/>
      <c r="T67" s="24"/>
      <c r="U67" s="24"/>
      <c r="V67" s="24"/>
      <c r="W67" s="24"/>
    </row>
    <row r="68" spans="3:23" x14ac:dyDescent="0.25">
      <c r="C68" s="24"/>
      <c r="D68" s="24"/>
      <c r="E68" s="24"/>
      <c r="F68" s="24"/>
      <c r="G68" s="24"/>
      <c r="H68" s="24"/>
      <c r="I68" s="24"/>
      <c r="J68" s="24"/>
      <c r="K68" s="24"/>
      <c r="L68" s="24"/>
      <c r="M68" s="24"/>
      <c r="N68" s="24"/>
      <c r="O68" s="24"/>
      <c r="P68" s="24"/>
      <c r="Q68" s="24"/>
      <c r="R68" s="24"/>
      <c r="S68" s="24"/>
      <c r="T68" s="24"/>
      <c r="U68" s="24"/>
      <c r="V68" s="24"/>
      <c r="W68" s="24"/>
    </row>
    <row r="69" spans="3:23" x14ac:dyDescent="0.25">
      <c r="C69" s="24"/>
      <c r="D69" s="24"/>
      <c r="E69" s="24"/>
      <c r="F69" s="24"/>
      <c r="G69" s="24"/>
      <c r="H69" s="24"/>
      <c r="I69" s="24"/>
      <c r="J69" s="24"/>
      <c r="K69" s="24"/>
      <c r="L69" s="24"/>
      <c r="M69" s="24"/>
      <c r="N69" s="24"/>
      <c r="O69" s="24"/>
      <c r="P69" s="24"/>
      <c r="Q69" s="24"/>
      <c r="R69" s="24"/>
      <c r="S69" s="24"/>
      <c r="T69" s="24"/>
      <c r="U69" s="24"/>
      <c r="V69" s="24"/>
      <c r="W69" s="24"/>
    </row>
    <row r="70" spans="3:23" x14ac:dyDescent="0.25">
      <c r="C70" s="24"/>
      <c r="D70" s="24"/>
      <c r="E70" s="24"/>
      <c r="F70" s="24"/>
      <c r="G70" s="24"/>
      <c r="H70" s="24"/>
      <c r="I70" s="24"/>
      <c r="J70" s="24"/>
      <c r="K70" s="24"/>
      <c r="L70" s="24"/>
      <c r="M70" s="24"/>
      <c r="N70" s="24"/>
      <c r="O70" s="24"/>
      <c r="P70" s="24"/>
      <c r="Q70" s="24"/>
      <c r="R70" s="24"/>
      <c r="S70" s="24"/>
      <c r="T70" s="24"/>
      <c r="U70" s="24"/>
      <c r="V70" s="24"/>
      <c r="W70" s="24"/>
    </row>
    <row r="71" spans="3:23" x14ac:dyDescent="0.25">
      <c r="C71" s="24"/>
      <c r="D71" s="24"/>
      <c r="E71" s="24"/>
      <c r="F71" s="24"/>
      <c r="G71" s="24"/>
      <c r="H71" s="24"/>
      <c r="I71" s="24"/>
      <c r="J71" s="24"/>
      <c r="K71" s="24"/>
      <c r="L71" s="24"/>
      <c r="M71" s="24"/>
      <c r="N71" s="24"/>
      <c r="O71" s="24"/>
      <c r="P71" s="24"/>
      <c r="Q71" s="24"/>
      <c r="R71" s="24"/>
      <c r="S71" s="24"/>
      <c r="T71" s="24"/>
      <c r="U71" s="24"/>
      <c r="V71" s="24"/>
      <c r="W71" s="24"/>
    </row>
    <row r="72" spans="3:23" x14ac:dyDescent="0.25">
      <c r="C72" s="24"/>
      <c r="D72" s="24"/>
      <c r="E72" s="24"/>
      <c r="F72" s="24"/>
      <c r="G72" s="24"/>
      <c r="H72" s="24"/>
      <c r="I72" s="24"/>
      <c r="J72" s="24"/>
      <c r="K72" s="24"/>
      <c r="L72" s="24"/>
      <c r="M72" s="24"/>
      <c r="N72" s="24"/>
      <c r="O72" s="24"/>
      <c r="P72" s="24"/>
      <c r="Q72" s="24"/>
      <c r="R72" s="24"/>
      <c r="S72" s="24"/>
      <c r="T72" s="24"/>
      <c r="U72" s="24"/>
      <c r="V72" s="24"/>
      <c r="W72" s="24"/>
    </row>
    <row r="73" spans="3:23" x14ac:dyDescent="0.25">
      <c r="C73" s="24"/>
      <c r="D73" s="24"/>
      <c r="E73" s="24"/>
      <c r="F73" s="24"/>
      <c r="G73" s="24"/>
      <c r="H73" s="24"/>
      <c r="I73" s="24"/>
      <c r="J73" s="24"/>
      <c r="K73" s="24"/>
      <c r="L73" s="24"/>
      <c r="M73" s="24"/>
      <c r="N73" s="24"/>
      <c r="O73" s="24"/>
      <c r="P73" s="24"/>
      <c r="Q73" s="24"/>
      <c r="R73" s="24"/>
      <c r="S73" s="24"/>
      <c r="T73" s="24"/>
      <c r="U73" s="24"/>
      <c r="V73" s="24"/>
      <c r="W73"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J8" sqref="J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9" t="e" vm="1">
        <v>#VALUE!</v>
      </c>
      <c r="C1" s="115" t="s">
        <v>218</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3</v>
      </c>
      <c r="E4" s="26"/>
      <c r="F4" s="26"/>
      <c r="G4" s="26"/>
      <c r="H4" s="6"/>
      <c r="I4" s="6"/>
      <c r="J4" s="6"/>
      <c r="K4" s="27"/>
    </row>
    <row r="5" spans="1:11" ht="20.100000000000001" customHeight="1" x14ac:dyDescent="0.3">
      <c r="A5" s="114" t="str">
        <f>HYPERLINK("#'Results'!A1", "Results")</f>
        <v>Results</v>
      </c>
      <c r="C5" s="24"/>
      <c r="D5" s="28"/>
      <c r="E5" s="29"/>
      <c r="F5" s="29"/>
      <c r="G5" s="29"/>
      <c r="H5" s="26"/>
      <c r="I5" s="24"/>
      <c r="J5" s="24"/>
      <c r="K5" s="24"/>
    </row>
    <row r="6" spans="1:11" ht="20.100000000000001" customHeight="1" x14ac:dyDescent="0.25">
      <c r="A6" s="16"/>
      <c r="C6" s="24"/>
      <c r="D6" s="113" t="s">
        <v>108</v>
      </c>
      <c r="E6" s="113" t="s">
        <v>194</v>
      </c>
      <c r="F6" s="113" t="s">
        <v>195</v>
      </c>
      <c r="G6" s="113" t="s">
        <v>122</v>
      </c>
      <c r="H6" s="113" t="s">
        <v>196</v>
      </c>
      <c r="I6" s="113" t="s">
        <v>197</v>
      </c>
      <c r="J6" s="113" t="s">
        <v>123</v>
      </c>
      <c r="K6" s="24"/>
    </row>
    <row r="7" spans="1:11" ht="20.100000000000001" customHeight="1" x14ac:dyDescent="0.25">
      <c r="A7" s="20" t="s">
        <v>1</v>
      </c>
      <c r="C7" s="24"/>
      <c r="D7" s="1" t="s">
        <v>235</v>
      </c>
      <c r="E7" s="111">
        <f>'3.3.1.1-2 Enteric Methane'!E182</f>
        <v>32.464682683989999</v>
      </c>
      <c r="F7" s="111">
        <f>'3.3.1.1-2 Enteric Methane'!N182</f>
        <v>32.464682683989999</v>
      </c>
      <c r="G7" s="56" t="str">
        <f>'3.3.1.1-2 Enteric Methane'!$F$182</f>
        <v>t CH4</v>
      </c>
      <c r="H7" s="111">
        <f>'3.3.1.1-2 Enteric Methane'!E187</f>
        <v>909.01111515171999</v>
      </c>
      <c r="I7" s="111">
        <f>'3.3.1.1-2 Enteric Methane'!N187</f>
        <v>909.01111515171999</v>
      </c>
      <c r="J7" s="56" t="s">
        <v>192</v>
      </c>
      <c r="K7" s="24"/>
    </row>
    <row r="8" spans="1:11" ht="20.100000000000001" customHeight="1" x14ac:dyDescent="0.3">
      <c r="A8" s="17" t="str">
        <f>HYPERLINK("#'Input - Site'!A1", "Site")</f>
        <v>Site</v>
      </c>
      <c r="C8" s="24"/>
      <c r="D8" s="31" t="s">
        <v>121</v>
      </c>
      <c r="E8" s="25"/>
      <c r="F8" s="25"/>
      <c r="G8" s="31"/>
      <c r="H8" s="112">
        <f>SUM(H7)</f>
        <v>909.01111515171999</v>
      </c>
      <c r="I8" s="112">
        <f>SUM(I7:I7)</f>
        <v>909.01111515171999</v>
      </c>
      <c r="J8" s="107" t="s">
        <v>192</v>
      </c>
      <c r="K8" s="24"/>
    </row>
    <row r="9" spans="1:11" ht="20.100000000000001" customHeight="1" x14ac:dyDescent="0.25">
      <c r="A9" s="17" t="str">
        <f>HYPERLINK("#'Input - Dairy'!A1", "Dairy")</f>
        <v>Dairy</v>
      </c>
      <c r="C9" s="24"/>
      <c r="D9" s="1"/>
      <c r="E9" s="111"/>
      <c r="F9" s="111"/>
      <c r="G9" s="56"/>
      <c r="H9" s="111"/>
      <c r="I9" s="111"/>
      <c r="J9" s="56"/>
      <c r="K9" s="24"/>
    </row>
    <row r="10" spans="1:11" ht="20.100000000000001" customHeight="1" x14ac:dyDescent="0.25">
      <c r="A10" s="17"/>
      <c r="C10" s="24"/>
      <c r="D10" s="1"/>
      <c r="E10" s="111"/>
      <c r="F10" s="111"/>
      <c r="G10" s="56"/>
      <c r="H10" s="111"/>
      <c r="I10" s="111"/>
      <c r="J10" s="56"/>
      <c r="K10" s="24"/>
    </row>
    <row r="11" spans="1:11" ht="20.100000000000001" customHeight="1" x14ac:dyDescent="0.25">
      <c r="A11" s="19" t="s">
        <v>71</v>
      </c>
      <c r="C11" s="24"/>
      <c r="D11" s="111"/>
      <c r="E11" s="111"/>
      <c r="F11" s="111"/>
      <c r="G11" s="111"/>
      <c r="H11" s="111"/>
      <c r="I11" s="111"/>
      <c r="J11" s="111"/>
      <c r="K11" s="24"/>
    </row>
    <row r="12" spans="1:11" ht="20.100000000000001" customHeight="1" x14ac:dyDescent="0.25">
      <c r="A12" s="17" t="str">
        <f>HYPERLINK("#'3.3.1.1-2 Enteric Methane'!A1", "3.3.1.1-2 Enteric Methane")</f>
        <v>3.3.1.1-2 Enteric Methane</v>
      </c>
      <c r="C12" s="24"/>
      <c r="D12" s="111"/>
      <c r="E12" s="111"/>
      <c r="F12" s="111"/>
      <c r="G12" s="111"/>
      <c r="H12" s="111"/>
      <c r="I12" s="111"/>
      <c r="J12" s="111"/>
      <c r="K12" s="24"/>
    </row>
    <row r="13" spans="1:11" ht="20.100000000000001" customHeight="1" x14ac:dyDescent="0.25">
      <c r="A13" s="17"/>
      <c r="C13" s="24"/>
      <c r="D13" s="111"/>
      <c r="E13" s="111"/>
      <c r="F13" s="111"/>
      <c r="G13" s="111"/>
      <c r="H13" s="111"/>
      <c r="I13" s="111"/>
      <c r="J13" s="111"/>
      <c r="K13" s="24"/>
    </row>
    <row r="14" spans="1:11" ht="20.100000000000001" customHeight="1" x14ac:dyDescent="0.25">
      <c r="A14" s="18" t="s">
        <v>2</v>
      </c>
      <c r="C14" s="24"/>
      <c r="D14" s="111"/>
      <c r="E14" s="111"/>
      <c r="F14" s="111"/>
      <c r="G14" s="111"/>
      <c r="H14" s="111"/>
      <c r="I14" s="111"/>
      <c r="J14" s="111"/>
      <c r="K14" s="24"/>
    </row>
    <row r="15" spans="1:11" ht="20.100000000000001" customHeight="1" x14ac:dyDescent="0.25">
      <c r="A15" s="17" t="str">
        <f>HYPERLINK("#'Constants - Dairy'!A1", "Constants - Dairy")</f>
        <v>Constants - Dairy</v>
      </c>
      <c r="C15" s="24"/>
      <c r="D15" s="111"/>
      <c r="E15" s="111"/>
      <c r="F15" s="111"/>
      <c r="G15" s="111"/>
      <c r="H15" s="111"/>
      <c r="I15" s="111"/>
      <c r="J15" s="111"/>
      <c r="K15" s="24"/>
    </row>
    <row r="16" spans="1:11" ht="20.100000000000001" customHeight="1" x14ac:dyDescent="0.25">
      <c r="A16" s="17" t="str">
        <f>HYPERLINK("#'Constants - Livestock'!A1", "Constants - Livestock")</f>
        <v>Constants - Livestock</v>
      </c>
      <c r="C16" s="24"/>
      <c r="D16" s="1"/>
      <c r="E16" s="1"/>
      <c r="F16" s="1"/>
      <c r="G16" s="1"/>
      <c r="H16" s="1"/>
      <c r="I16" s="1"/>
      <c r="J16" s="1"/>
      <c r="K16" s="24"/>
    </row>
    <row r="17" spans="1:11" ht="20.100000000000001" customHeight="1" x14ac:dyDescent="0.25">
      <c r="A17" s="17" t="str">
        <f>HYPERLINK("#'Constants - Common'!A1", "Constants - Common")</f>
        <v>Constants - Common</v>
      </c>
      <c r="C17" s="24"/>
      <c r="D17" s="1"/>
      <c r="E17" s="1"/>
      <c r="F17" s="1"/>
      <c r="G17" s="1"/>
      <c r="H17" s="1"/>
      <c r="I17" s="1"/>
      <c r="J17" s="1"/>
      <c r="K17" s="24"/>
    </row>
    <row r="18" spans="1:11" ht="20.100000000000001" customHeight="1" x14ac:dyDescent="0.25">
      <c r="A18" s="17" t="str">
        <f>HYPERLINK("#'Acknowledgements'!A1", "Acknowledgements")</f>
        <v>Acknowledgements</v>
      </c>
      <c r="C18" s="24"/>
      <c r="D18" s="1"/>
      <c r="E18" s="1"/>
      <c r="F18" s="1"/>
      <c r="G18" s="1"/>
      <c r="H18" s="1"/>
      <c r="I18" s="1"/>
      <c r="J18" s="1"/>
      <c r="K18" s="24"/>
    </row>
    <row r="19" spans="1:11" ht="20.100000000000001" customHeight="1" x14ac:dyDescent="0.25">
      <c r="C19" s="24"/>
      <c r="D19" s="1"/>
      <c r="E19" s="1"/>
      <c r="F19" s="1"/>
      <c r="G19" s="1"/>
      <c r="H19" s="1"/>
      <c r="I19" s="1"/>
      <c r="J19" s="1"/>
      <c r="K19" s="24"/>
    </row>
    <row r="20" spans="1:11" ht="20.100000000000001" customHeight="1" x14ac:dyDescent="0.25">
      <c r="C20" s="24"/>
      <c r="D20" s="1"/>
      <c r="E20" s="1"/>
      <c r="F20" s="1"/>
      <c r="G20" s="1"/>
      <c r="H20" s="1"/>
      <c r="I20" s="1"/>
      <c r="J20" s="1"/>
      <c r="K20" s="24"/>
    </row>
    <row r="21" spans="1:11" ht="20.100000000000001" customHeight="1" x14ac:dyDescent="0.25">
      <c r="C21" s="24"/>
      <c r="D21" s="1"/>
      <c r="E21" s="1"/>
      <c r="F21" s="1"/>
      <c r="G21" s="1"/>
      <c r="H21" s="1"/>
      <c r="I21" s="1"/>
      <c r="J21" s="1"/>
      <c r="K21" s="24"/>
    </row>
    <row r="22" spans="1:11" ht="20.100000000000001" customHeight="1" x14ac:dyDescent="0.25">
      <c r="C22" s="24"/>
      <c r="D22" s="1"/>
      <c r="E22" s="1"/>
      <c r="F22" s="1"/>
      <c r="G22" s="1"/>
      <c r="H22" s="1"/>
      <c r="I22" s="1"/>
      <c r="J22" s="1"/>
      <c r="K22" s="24"/>
    </row>
    <row r="23" spans="1:11" ht="20.100000000000001" customHeight="1" x14ac:dyDescent="0.25">
      <c r="C23" s="24"/>
      <c r="D23" s="1"/>
      <c r="E23" s="1"/>
      <c r="F23" s="1"/>
      <c r="G23" s="1"/>
      <c r="H23" s="1"/>
      <c r="I23" s="1"/>
      <c r="J23" s="1"/>
      <c r="K23" s="24"/>
    </row>
    <row r="24" spans="1:11" ht="20.100000000000001" customHeight="1" x14ac:dyDescent="0.25">
      <c r="C24" s="24"/>
      <c r="D24" s="1"/>
      <c r="E24" s="1"/>
      <c r="F24" s="1"/>
      <c r="G24" s="1"/>
      <c r="H24" s="26"/>
      <c r="I24" s="24"/>
      <c r="J24" s="24"/>
      <c r="K24" s="24"/>
    </row>
    <row r="25" spans="1:11" ht="20.100000000000001" customHeight="1" x14ac:dyDescent="0.3">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0"/>
      <c r="J38" s="110"/>
      <c r="K38" s="24"/>
    </row>
    <row r="39" spans="3:11" ht="20.100000000000001" customHeight="1" x14ac:dyDescent="0.25">
      <c r="C39" s="24"/>
      <c r="D39" s="1"/>
      <c r="E39" s="1"/>
      <c r="F39" s="1"/>
      <c r="G39" s="1"/>
      <c r="H39" s="1"/>
      <c r="I39" s="110"/>
      <c r="J39" s="110"/>
      <c r="K39" s="24"/>
    </row>
    <row r="40" spans="3:11" ht="20.100000000000001" customHeight="1" x14ac:dyDescent="0.25">
      <c r="C40" s="24"/>
      <c r="D40" s="1"/>
      <c r="E40" s="1"/>
      <c r="F40" s="1"/>
      <c r="G40" s="1"/>
      <c r="H40" s="1"/>
      <c r="I40" s="110"/>
      <c r="J40" s="110"/>
      <c r="K40" s="24"/>
    </row>
    <row r="41" spans="3:11" ht="20.100000000000001" customHeight="1" x14ac:dyDescent="0.25">
      <c r="C41" s="24"/>
      <c r="D41" s="1"/>
      <c r="E41" s="1"/>
      <c r="F41" s="1"/>
      <c r="G41" s="1"/>
      <c r="H41" s="1"/>
      <c r="I41" s="110"/>
      <c r="J41" s="110"/>
      <c r="K41" s="24"/>
    </row>
    <row r="42" spans="3:11" ht="20.100000000000001" customHeight="1" x14ac:dyDescent="0.25">
      <c r="C42" s="24"/>
      <c r="D42" s="1"/>
      <c r="E42" s="1"/>
      <c r="F42" s="1"/>
      <c r="G42" s="1"/>
      <c r="H42" s="1"/>
      <c r="I42" s="110"/>
      <c r="J42" s="110"/>
      <c r="K42" s="24"/>
    </row>
    <row r="43" spans="3:11" ht="20.100000000000001" customHeight="1" x14ac:dyDescent="0.25">
      <c r="C43" s="24"/>
      <c r="D43" s="1"/>
      <c r="E43" s="1"/>
      <c r="F43" s="1"/>
      <c r="G43" s="1"/>
      <c r="H43" s="1"/>
      <c r="I43" s="110"/>
      <c r="J43" s="110"/>
      <c r="K43" s="24"/>
    </row>
    <row r="44" spans="3:11" ht="20.100000000000001" customHeight="1" x14ac:dyDescent="0.25">
      <c r="C44" s="24"/>
      <c r="D44" s="1"/>
      <c r="E44" s="1"/>
      <c r="F44" s="1"/>
      <c r="G44" s="1"/>
      <c r="H44" s="1"/>
      <c r="I44" s="110"/>
      <c r="J44" s="110"/>
      <c r="K44" s="24"/>
    </row>
    <row r="45" spans="3:11" ht="20.100000000000001" customHeight="1" x14ac:dyDescent="0.25">
      <c r="C45" s="24"/>
      <c r="D45" s="1"/>
      <c r="E45" s="1"/>
      <c r="F45" s="1"/>
      <c r="G45" s="1"/>
      <c r="H45" s="1"/>
      <c r="I45" s="110"/>
      <c r="J45" s="110"/>
      <c r="K45" s="24"/>
    </row>
    <row r="46" spans="3:11" ht="20.100000000000001" customHeight="1" x14ac:dyDescent="0.25">
      <c r="C46" s="24"/>
      <c r="D46" s="1"/>
      <c r="E46" s="1"/>
      <c r="F46" s="1"/>
      <c r="G46" s="1"/>
      <c r="H46" s="1"/>
      <c r="I46" s="110"/>
      <c r="J46" s="110"/>
      <c r="K46" s="24"/>
    </row>
    <row r="47" spans="3:11" ht="20.100000000000001" customHeight="1" x14ac:dyDescent="0.25">
      <c r="C47" s="24"/>
      <c r="D47" s="1"/>
      <c r="E47" s="1"/>
      <c r="F47" s="1"/>
      <c r="G47" s="1"/>
      <c r="H47" s="1"/>
      <c r="I47" s="110"/>
      <c r="J47" s="110"/>
      <c r="K47" s="24"/>
    </row>
    <row r="48" spans="3:11" ht="20.100000000000001" customHeight="1" x14ac:dyDescent="0.25">
      <c r="C48" s="24"/>
      <c r="D48" s="1"/>
      <c r="E48" s="1"/>
      <c r="F48" s="1"/>
      <c r="G48" s="1"/>
      <c r="H48" s="1"/>
      <c r="I48" s="110"/>
      <c r="J48" s="110"/>
      <c r="K48" s="24"/>
    </row>
    <row r="49" spans="3:11" ht="20.100000000000001" customHeight="1" x14ac:dyDescent="0.25">
      <c r="C49" s="24"/>
      <c r="D49" s="1"/>
      <c r="E49" s="1"/>
      <c r="F49" s="1"/>
      <c r="G49" s="1"/>
      <c r="H49" s="110"/>
      <c r="I49" s="110"/>
      <c r="J49" s="110"/>
      <c r="K49" s="24"/>
    </row>
    <row r="50" spans="3:11" ht="20.100000000000001" customHeight="1" x14ac:dyDescent="0.25">
      <c r="C50" s="24"/>
      <c r="D50" s="1"/>
      <c r="E50" s="1"/>
      <c r="F50" s="1"/>
      <c r="G50" s="1"/>
      <c r="H50" s="110"/>
      <c r="I50" s="110"/>
      <c r="J50" s="110"/>
      <c r="K50" s="24"/>
    </row>
    <row r="51" spans="3:11" ht="20.100000000000001" customHeight="1" x14ac:dyDescent="0.25">
      <c r="C51" s="24"/>
      <c r="D51" s="1"/>
      <c r="E51" s="1"/>
      <c r="F51" s="1"/>
      <c r="G51" s="1"/>
      <c r="H51" s="110"/>
      <c r="I51" s="110"/>
      <c r="J51" s="110"/>
      <c r="K51" s="24"/>
    </row>
    <row r="52" spans="3:11" ht="20.100000000000001" customHeight="1" x14ac:dyDescent="0.25">
      <c r="C52" s="24"/>
      <c r="D52" s="1"/>
      <c r="E52" s="1"/>
      <c r="F52" s="1"/>
      <c r="G52" s="1"/>
      <c r="H52" s="110"/>
      <c r="I52" s="110"/>
      <c r="J52" s="110"/>
      <c r="K52" s="24"/>
    </row>
    <row r="53" spans="3:11" ht="20.100000000000001" customHeight="1" x14ac:dyDescent="0.25">
      <c r="C53" s="24"/>
      <c r="D53" s="1"/>
      <c r="E53" s="1"/>
      <c r="F53" s="1"/>
      <c r="G53" s="1"/>
      <c r="H53" s="110"/>
      <c r="I53" s="110"/>
      <c r="J53" s="110"/>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9" t="e" vm="1">
        <v>#VALUE!</v>
      </c>
      <c r="C1" s="12" t="s">
        <v>85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1"/>
      <c r="D4" s="71"/>
      <c r="E4" s="71"/>
      <c r="F4" s="71"/>
      <c r="G4" s="71"/>
      <c r="H4" s="71"/>
      <c r="I4" s="71"/>
      <c r="J4" s="71"/>
      <c r="K4" s="71"/>
    </row>
    <row r="5" spans="1:24" ht="20.100000000000001" customHeight="1" x14ac:dyDescent="0.25">
      <c r="A5" s="17" t="str">
        <f>HYPERLINK("#'Results'!A1", "Results")</f>
        <v>Results</v>
      </c>
      <c r="D5" s="6" t="s">
        <v>13</v>
      </c>
      <c r="N5" s="43"/>
    </row>
    <row r="6" spans="1:24" ht="20.100000000000001" customHeight="1" x14ac:dyDescent="0.25">
      <c r="D6" s="14"/>
      <c r="N6" s="44"/>
    </row>
    <row r="7" spans="1:24" ht="20.100000000000001" customHeight="1" x14ac:dyDescent="0.25">
      <c r="A7" s="20" t="s">
        <v>1</v>
      </c>
      <c r="D7" s="1" t="s">
        <v>5</v>
      </c>
      <c r="E7" s="35" t="s">
        <v>4</v>
      </c>
      <c r="F7" s="2"/>
    </row>
    <row r="8" spans="1:24" ht="20.100000000000001" customHeight="1" x14ac:dyDescent="0.25">
      <c r="A8" s="21" t="str">
        <f>HYPERLINK("#'Input - Site'!A1", "Site")</f>
        <v>Site</v>
      </c>
      <c r="D8" s="10" t="s">
        <v>69</v>
      </c>
      <c r="E8" s="35" t="s">
        <v>70</v>
      </c>
    </row>
    <row r="9" spans="1:24" ht="20.100000000000001" customHeight="1" x14ac:dyDescent="0.25">
      <c r="A9" s="17" t="str">
        <f>HYPERLINK("#'Input - Dairy'!A1", "Dairy")</f>
        <v>Dairy</v>
      </c>
      <c r="N9" s="45"/>
    </row>
    <row r="10" spans="1:24" ht="20.100000000000001" customHeight="1" x14ac:dyDescent="0.25">
      <c r="A10" s="17"/>
      <c r="D10" s="96" t="s">
        <v>84</v>
      </c>
      <c r="E10" s="94"/>
      <c r="F10" s="97"/>
      <c r="G10" s="91"/>
      <c r="N10" s="45"/>
    </row>
    <row r="11" spans="1:24" ht="20.100000000000001" customHeight="1" x14ac:dyDescent="0.25">
      <c r="A11" s="19" t="s">
        <v>71</v>
      </c>
      <c r="N11" s="46"/>
    </row>
    <row r="12" spans="1:24" ht="20.100000000000001" customHeight="1" x14ac:dyDescent="0.25">
      <c r="A12" s="17" t="str">
        <f>HYPERLINK("#'3.3.1.1-2 Enteric Methane'!A1", "3.3.1.1-2 Enteric Methane")</f>
        <v>3.3.1.1-2 Enteric Methane</v>
      </c>
      <c r="D12" s="10" t="s">
        <v>90</v>
      </c>
      <c r="E12" s="65">
        <v>45292</v>
      </c>
      <c r="F12" s="2" t="s">
        <v>67</v>
      </c>
    </row>
    <row r="13" spans="1:24" ht="20.100000000000001" customHeight="1" x14ac:dyDescent="0.25">
      <c r="A13" s="17"/>
      <c r="D13" s="10" t="s">
        <v>91</v>
      </c>
      <c r="E13" s="72">
        <f>DATE(YEAR(E12)+1,MONTH(E12),DAY(E12))-1</f>
        <v>45657</v>
      </c>
      <c r="F13" s="2" t="s">
        <v>15</v>
      </c>
      <c r="N13" s="40"/>
      <c r="O13" s="40"/>
    </row>
    <row r="14" spans="1:24" ht="20.100000000000001" customHeight="1" x14ac:dyDescent="0.25">
      <c r="A14" s="18" t="s">
        <v>2</v>
      </c>
      <c r="N14" s="40"/>
      <c r="O14" s="40"/>
    </row>
    <row r="15" spans="1:24" ht="20.100000000000001" customHeight="1" x14ac:dyDescent="0.25">
      <c r="A15" s="17" t="str">
        <f>HYPERLINK("#'Constants - Dairy'!A1", "Constants - Dairy")</f>
        <v>Constants - Dairy</v>
      </c>
      <c r="N15" s="40"/>
      <c r="O15" s="40"/>
    </row>
    <row r="16" spans="1:24" ht="20.100000000000001" customHeight="1" x14ac:dyDescent="0.25">
      <c r="A16" s="17" t="str">
        <f>HYPERLINK("#'Constants - Livestock'!A1", "Constants - Livestock")</f>
        <v>Constants - Livestock</v>
      </c>
      <c r="D16" s="6" t="s">
        <v>12</v>
      </c>
      <c r="N16" s="40"/>
      <c r="O16" s="40"/>
    </row>
    <row r="17" spans="1:25" ht="20.100000000000001" customHeight="1" x14ac:dyDescent="0.25">
      <c r="A17" s="17" t="str">
        <f>HYPERLINK("#'Constants - Common'!A1", "Constants - Common")</f>
        <v>Constants - Common</v>
      </c>
    </row>
    <row r="18" spans="1:25" ht="20.100000000000001" customHeight="1" x14ac:dyDescent="0.25">
      <c r="A18" s="17" t="str">
        <f>HYPERLINK("#'Acknowledgements'!A1", "Acknowledgements")</f>
        <v>Acknowledgements</v>
      </c>
      <c r="D18" s="98" t="s">
        <v>14</v>
      </c>
      <c r="E18" s="93"/>
      <c r="F18" s="93"/>
      <c r="G18" s="89"/>
    </row>
    <row r="19" spans="1:25" ht="20.100000000000001" customHeight="1" x14ac:dyDescent="0.25">
      <c r="A19"/>
      <c r="D19" s="95" t="s">
        <v>68</v>
      </c>
      <c r="E19" s="92"/>
      <c r="F19" s="92"/>
      <c r="G19" s="90"/>
      <c r="N19" s="43"/>
    </row>
    <row r="20" spans="1:25" ht="20.100000000000001" customHeight="1" x14ac:dyDescent="0.25">
      <c r="A20"/>
      <c r="D20" s="1"/>
      <c r="E20" s="33"/>
      <c r="F20" s="2"/>
      <c r="N20" s="44"/>
    </row>
    <row r="21" spans="1:25" ht="20.100000000000001" customHeight="1" x14ac:dyDescent="0.25">
      <c r="A21"/>
      <c r="D21" s="1" t="s">
        <v>6</v>
      </c>
      <c r="E21" s="42" t="s">
        <v>94</v>
      </c>
      <c r="F21" s="2" t="s">
        <v>9</v>
      </c>
    </row>
    <row r="22" spans="1:25" ht="20.100000000000001" customHeight="1" x14ac:dyDescent="0.25">
      <c r="A22"/>
      <c r="D22" s="1" t="s">
        <v>23</v>
      </c>
      <c r="E22" s="42" t="s">
        <v>31</v>
      </c>
      <c r="F22" s="2" t="s">
        <v>9</v>
      </c>
      <c r="G22" s="1"/>
    </row>
    <row r="23" spans="1:25" ht="20.100000000000001" customHeight="1" x14ac:dyDescent="0.25">
      <c r="A23"/>
      <c r="D23" s="1" t="s">
        <v>7</v>
      </c>
      <c r="E23" s="42" t="s">
        <v>89</v>
      </c>
      <c r="F23" s="2" t="s">
        <v>9</v>
      </c>
    </row>
    <row r="24" spans="1:25" ht="20.100000000000001" customHeight="1" x14ac:dyDescent="0.25">
      <c r="A24"/>
      <c r="D24" s="1" t="s">
        <v>36</v>
      </c>
      <c r="E24" s="35">
        <v>307.7</v>
      </c>
      <c r="F24" s="2" t="s">
        <v>50</v>
      </c>
    </row>
    <row r="25" spans="1:25" ht="20.100000000000001" customHeight="1" x14ac:dyDescent="0.25">
      <c r="A25"/>
      <c r="D25" s="1" t="s">
        <v>58</v>
      </c>
      <c r="E25" s="35">
        <v>18</v>
      </c>
      <c r="F25" s="2" t="s">
        <v>10</v>
      </c>
      <c r="N25" s="44"/>
    </row>
    <row r="26" spans="1:25" ht="20.100000000000001" customHeight="1" x14ac:dyDescent="0.25">
      <c r="A26"/>
      <c r="D26" s="1" t="s">
        <v>59</v>
      </c>
      <c r="E26" s="35">
        <v>601</v>
      </c>
      <c r="F26" s="2" t="s">
        <v>11</v>
      </c>
    </row>
    <row r="27" spans="1:25" ht="20.100000000000001" customHeight="1" x14ac:dyDescent="0.25">
      <c r="A27"/>
      <c r="D27" s="10" t="s">
        <v>60</v>
      </c>
      <c r="E27" s="35">
        <v>1326</v>
      </c>
      <c r="F27" s="2" t="s">
        <v>11</v>
      </c>
    </row>
    <row r="28" spans="1:25" ht="20.100000000000001" customHeight="1" x14ac:dyDescent="0.25">
      <c r="A28"/>
      <c r="D28" s="1" t="s">
        <v>61</v>
      </c>
      <c r="E28" s="35">
        <v>7</v>
      </c>
      <c r="F28" s="2" t="s">
        <v>51</v>
      </c>
    </row>
    <row r="29" spans="1:25" ht="20.100000000000001" customHeight="1" x14ac:dyDescent="0.25">
      <c r="A29"/>
      <c r="D29" s="10" t="s">
        <v>57</v>
      </c>
      <c r="E29" s="54">
        <f>E26/E27</f>
        <v>0.45324283559577677</v>
      </c>
      <c r="F29" s="2"/>
    </row>
    <row r="30" spans="1:25" ht="20.100000000000001" customHeight="1" x14ac:dyDescent="0.25">
      <c r="A30"/>
      <c r="D30" s="10" t="s">
        <v>32</v>
      </c>
      <c r="E30" s="54" t="str">
        <f>Common_InputFunctions.Utility_LookupItemFromMinMax(E26,Table_SourceData_RainfallZones[Min rainfall],Table_SourceData_RainfallZones[Max rainfall],Table_SourceData_RainfallZones[Rainfall Zone])</f>
        <v>High rainfall</v>
      </c>
      <c r="G30" s="34"/>
      <c r="L30" s="51"/>
      <c r="M30" s="51"/>
      <c r="N30" s="51"/>
      <c r="O30" s="51"/>
      <c r="P30" s="51"/>
      <c r="Q30" s="51"/>
      <c r="R30" s="51"/>
      <c r="S30" s="51"/>
      <c r="T30" s="51"/>
      <c r="U30" s="51"/>
      <c r="V30" s="51"/>
      <c r="W30" s="51"/>
      <c r="X30" s="51"/>
      <c r="Y30" s="51"/>
    </row>
    <row r="31" spans="1:25" ht="20.100000000000001" customHeight="1" x14ac:dyDescent="0.25">
      <c r="A31"/>
      <c r="D31" s="1" t="s">
        <v>8</v>
      </c>
      <c r="E31" s="54" t="e">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#VALUE!</v>
      </c>
      <c r="F31" s="1"/>
      <c r="G31" s="33"/>
      <c r="L31" s="49"/>
      <c r="M31" s="49"/>
      <c r="N31" s="49"/>
      <c r="O31" s="49"/>
      <c r="P31" s="49"/>
      <c r="Q31" s="49"/>
      <c r="R31" s="49"/>
      <c r="S31" s="49"/>
      <c r="T31" s="49"/>
      <c r="U31" s="49"/>
      <c r="V31" s="49"/>
      <c r="W31" s="49"/>
      <c r="X31" s="49"/>
      <c r="Y31" s="49"/>
    </row>
    <row r="32" spans="1:25" ht="20.100000000000001" customHeight="1" x14ac:dyDescent="0.25">
      <c r="A32"/>
      <c r="D32" s="1" t="s">
        <v>86</v>
      </c>
      <c r="E32" s="54" t="e">
        <f>Common_InputFunctions.Utility_LookupValueInTable($E$31,Table_SourceData_WetDryZones[Climate zone],Table_SourceData_WetDryZones[Wet or Dry Zone])</f>
        <v>#VALUE!</v>
      </c>
      <c r="F32" s="1"/>
      <c r="G32" s="33"/>
      <c r="L32" s="49"/>
      <c r="M32" s="49"/>
      <c r="N32" s="49"/>
      <c r="O32" s="49"/>
      <c r="P32" s="49"/>
      <c r="Q32" s="49"/>
      <c r="R32" s="49"/>
      <c r="S32" s="49"/>
      <c r="T32" s="49"/>
      <c r="U32" s="49"/>
      <c r="V32" s="49"/>
      <c r="W32" s="49"/>
      <c r="X32" s="49"/>
      <c r="Y32" s="49"/>
    </row>
    <row r="33" spans="1:25" ht="20.100000000000001" customHeight="1" x14ac:dyDescent="0.25">
      <c r="A33"/>
      <c r="D33" s="1" t="s">
        <v>49</v>
      </c>
      <c r="E33" s="54" t="str">
        <f>Common_InputFunctions.Utility_LookupItemFromMinMax(E25,Table_SourceData_TemperatureZones[Min MAT],Table_SourceData_TemperatureZones[Max MAT],Table_SourceData_TemperatureZones[Temperature Zone])</f>
        <v>Temperate</v>
      </c>
      <c r="G33" s="73"/>
      <c r="L33" s="49"/>
      <c r="M33" s="49"/>
      <c r="N33" s="49"/>
      <c r="O33" s="49"/>
      <c r="P33" s="49"/>
      <c r="Q33" s="49"/>
      <c r="R33" s="49"/>
      <c r="S33" s="49"/>
      <c r="T33" s="49"/>
      <c r="U33" s="49"/>
      <c r="V33" s="49"/>
      <c r="W33" s="49"/>
      <c r="X33" s="49"/>
      <c r="Y33" s="49"/>
    </row>
    <row r="34" spans="1:25" ht="20.100000000000001" customHeight="1" x14ac:dyDescent="0.25">
      <c r="A34"/>
      <c r="J34" s="62"/>
      <c r="K34" s="76"/>
      <c r="L34" s="49"/>
      <c r="M34" s="49"/>
      <c r="N34" s="49"/>
      <c r="O34" s="49"/>
      <c r="P34" s="49"/>
      <c r="Q34" s="49"/>
      <c r="R34" s="49"/>
      <c r="S34" s="49"/>
      <c r="T34" s="49"/>
      <c r="U34" s="49"/>
      <c r="V34" s="49"/>
      <c r="W34" s="49"/>
      <c r="X34" s="49"/>
      <c r="Y34" s="49"/>
    </row>
    <row r="35" spans="1:25" ht="20.100000000000001" customHeight="1" x14ac:dyDescent="0.25">
      <c r="A35"/>
      <c r="J35" s="62"/>
      <c r="K35" s="76"/>
      <c r="L35" s="49"/>
      <c r="M35" s="49"/>
      <c r="N35" s="49"/>
      <c r="O35" s="49"/>
      <c r="P35" s="49"/>
      <c r="Q35" s="49"/>
      <c r="R35" s="49"/>
      <c r="S35" s="49"/>
      <c r="T35" s="49"/>
      <c r="U35" s="49"/>
      <c r="V35" s="49"/>
      <c r="W35" s="49"/>
      <c r="X35" s="49"/>
      <c r="Y35" s="49"/>
    </row>
    <row r="36" spans="1:25" ht="20.100000000000001" customHeight="1" x14ac:dyDescent="0.25">
      <c r="A36"/>
      <c r="D36" s="74"/>
      <c r="E36" s="74"/>
      <c r="F36" s="75"/>
      <c r="G36" s="62"/>
      <c r="H36" s="62"/>
      <c r="I36" s="63"/>
      <c r="J36" s="62"/>
      <c r="K36" s="76"/>
      <c r="L36" s="49"/>
      <c r="M36" s="49"/>
      <c r="N36" s="49"/>
      <c r="O36" s="49"/>
      <c r="P36" s="49"/>
      <c r="Q36" s="49"/>
      <c r="R36" s="49"/>
      <c r="S36" s="49"/>
      <c r="T36" s="49"/>
      <c r="U36" s="49"/>
      <c r="V36" s="49"/>
      <c r="W36" s="49"/>
      <c r="X36" s="49"/>
      <c r="Y36" s="49"/>
    </row>
    <row r="37" spans="1:25" ht="20.100000000000001" customHeight="1" x14ac:dyDescent="0.25">
      <c r="A37"/>
      <c r="D37" s="74"/>
      <c r="E37" s="74"/>
      <c r="F37" s="75"/>
      <c r="G37" s="62"/>
      <c r="H37" s="62"/>
      <c r="I37" s="63"/>
      <c r="J37" s="62"/>
      <c r="K37" s="76"/>
      <c r="L37" s="49"/>
      <c r="M37" s="49"/>
      <c r="N37" s="49"/>
      <c r="O37" s="49"/>
      <c r="P37" s="49"/>
      <c r="Q37" s="49"/>
      <c r="R37" s="49"/>
      <c r="S37" s="49"/>
      <c r="T37" s="49"/>
      <c r="U37" s="49"/>
      <c r="V37" s="49"/>
      <c r="W37" s="49"/>
      <c r="X37" s="49"/>
      <c r="Y37" s="49"/>
    </row>
    <row r="38" spans="1:25" ht="20.100000000000001" customHeight="1" x14ac:dyDescent="0.25">
      <c r="A38"/>
      <c r="D38" s="74"/>
      <c r="E38" s="74"/>
      <c r="F38" s="75"/>
      <c r="G38" s="62"/>
      <c r="H38" s="62"/>
      <c r="I38" s="63"/>
      <c r="J38" s="62"/>
      <c r="K38" s="76"/>
      <c r="L38" s="49"/>
      <c r="M38" s="49"/>
      <c r="N38" s="49"/>
      <c r="O38" s="49"/>
      <c r="P38" s="49"/>
      <c r="Q38" s="49"/>
      <c r="R38" s="49"/>
      <c r="S38" s="49"/>
      <c r="T38" s="49"/>
      <c r="U38" s="49"/>
      <c r="V38" s="49"/>
      <c r="W38" s="49"/>
      <c r="X38" s="49"/>
      <c r="Y38" s="49"/>
    </row>
    <row r="39" spans="1:25" ht="20.100000000000001" customHeight="1" x14ac:dyDescent="0.25">
      <c r="A39"/>
      <c r="D39" s="74"/>
      <c r="E39" s="74"/>
      <c r="F39" s="75"/>
      <c r="G39" s="62"/>
      <c r="H39" s="62"/>
      <c r="I39" s="63"/>
      <c r="J39" s="62"/>
      <c r="K39" s="76"/>
      <c r="L39" s="49"/>
      <c r="M39" s="49"/>
      <c r="N39" s="49"/>
      <c r="O39" s="49"/>
      <c r="P39" s="49"/>
      <c r="Q39" s="49"/>
      <c r="R39" s="49"/>
      <c r="S39" s="49"/>
      <c r="T39" s="49"/>
      <c r="U39" s="49"/>
      <c r="V39" s="49"/>
      <c r="W39" s="49"/>
      <c r="X39" s="49"/>
      <c r="Y39" s="49"/>
    </row>
    <row r="40" spans="1:25" ht="20.100000000000001" customHeight="1" x14ac:dyDescent="0.25">
      <c r="A40"/>
      <c r="D40" s="77"/>
      <c r="E40" s="77"/>
      <c r="F40" s="77"/>
      <c r="G40" s="78"/>
      <c r="H40" s="79"/>
      <c r="I40" s="79"/>
      <c r="J40" s="79"/>
      <c r="K40" s="79"/>
      <c r="L40" s="52"/>
      <c r="M40" s="52"/>
      <c r="N40" s="52"/>
      <c r="O40" s="52"/>
      <c r="P40" s="52"/>
      <c r="Q40" s="52"/>
      <c r="R40" s="52"/>
      <c r="S40" s="52"/>
      <c r="T40" s="52"/>
      <c r="U40" s="52"/>
      <c r="V40" s="52"/>
      <c r="W40" s="52"/>
      <c r="X40" s="52"/>
      <c r="Y40" s="52"/>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0"/>
      <c r="E47" s="80"/>
      <c r="F47" s="80"/>
      <c r="G47" s="80"/>
      <c r="H47" s="80"/>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1"/>
      <c r="E51" s="82"/>
      <c r="F51" s="82"/>
      <c r="G51" s="82"/>
      <c r="H51" s="83"/>
    </row>
    <row r="52" spans="4:8" ht="20.100000000000001" customHeight="1" x14ac:dyDescent="0.25"/>
    <row r="53" spans="4:8" ht="20.100000000000001" customHeight="1" x14ac:dyDescent="0.25"/>
    <row r="54" spans="4:8" ht="20.100000000000001" customHeight="1" x14ac:dyDescent="0.25">
      <c r="G54" s="84"/>
    </row>
    <row r="55" spans="4:8" ht="20.100000000000001" customHeight="1" x14ac:dyDescent="0.25">
      <c r="D55" s="6"/>
    </row>
    <row r="56" spans="4:8" ht="20.100000000000001" customHeight="1" x14ac:dyDescent="0.25"/>
    <row r="57" spans="4:8" ht="20.100000000000001" customHeight="1" x14ac:dyDescent="0.25">
      <c r="D57" s="23"/>
      <c r="F57" s="85"/>
    </row>
    <row r="58" spans="4:8" ht="20.100000000000001" customHeight="1" x14ac:dyDescent="0.25">
      <c r="D58" s="1"/>
      <c r="E58" s="86"/>
    </row>
    <row r="59" spans="4:8" ht="20.100000000000001" customHeight="1" x14ac:dyDescent="0.25">
      <c r="D59" s="1"/>
      <c r="E59" s="86"/>
    </row>
    <row r="60" spans="4:8" ht="20.100000000000001" customHeight="1" x14ac:dyDescent="0.25">
      <c r="D60" s="1"/>
      <c r="E60" s="87"/>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6"/>
    </row>
    <row r="65" spans="4:9" ht="20.100000000000001" customHeight="1" x14ac:dyDescent="0.25">
      <c r="D65" s="1"/>
      <c r="E65" s="86"/>
    </row>
    <row r="66" spans="4:9" ht="20.100000000000001" customHeight="1" x14ac:dyDescent="0.25">
      <c r="D66" s="1"/>
      <c r="E66" s="87"/>
    </row>
    <row r="67" spans="4:9" ht="20.100000000000001" customHeight="1" x14ac:dyDescent="0.25"/>
    <row r="68" spans="4:9" ht="20.100000000000001" customHeight="1" x14ac:dyDescent="0.25"/>
    <row r="69" spans="4:9" ht="20.100000000000001" customHeight="1" x14ac:dyDescent="0.25">
      <c r="D69" s="61"/>
      <c r="E69" s="61"/>
      <c r="F69" s="61"/>
      <c r="G69" s="61"/>
      <c r="H69" s="61"/>
      <c r="I69" s="61"/>
    </row>
    <row r="70" spans="4:9" ht="20.100000000000001" customHeight="1" x14ac:dyDescent="0.25">
      <c r="D70" s="61"/>
      <c r="E70" s="61"/>
      <c r="F70" s="61"/>
      <c r="G70" s="61"/>
      <c r="H70" s="61"/>
      <c r="I70" s="61"/>
    </row>
    <row r="71" spans="4:9" ht="20.100000000000001" customHeight="1" x14ac:dyDescent="0.25">
      <c r="D71" s="61"/>
      <c r="E71" s="61"/>
      <c r="F71" s="61"/>
      <c r="G71" s="61"/>
      <c r="H71" s="61"/>
      <c r="I71" s="61"/>
    </row>
    <row r="72" spans="4:9" ht="20.100000000000001" customHeight="1" x14ac:dyDescent="0.25">
      <c r="D72" s="61"/>
      <c r="E72" s="61"/>
      <c r="F72" s="61"/>
      <c r="G72" s="61"/>
      <c r="H72" s="61"/>
      <c r="I72" s="61"/>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8"/>
    </row>
    <row r="79" spans="4:9" ht="20.100000000000001" customHeight="1" x14ac:dyDescent="0.25">
      <c r="D79" s="88"/>
    </row>
    <row r="80" spans="4:9" ht="20.100000000000001" customHeight="1" x14ac:dyDescent="0.25">
      <c r="D80" s="88"/>
    </row>
    <row r="81" spans="4:4" ht="20.100000000000001" customHeight="1" x14ac:dyDescent="0.25">
      <c r="D81" s="88"/>
    </row>
    <row r="82" spans="4:4" ht="20.100000000000001" customHeight="1" x14ac:dyDescent="0.25">
      <c r="D82" s="8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workbookViewId="0">
      <selection activeCell="D52" sqref="D52"/>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8" customWidth="1"/>
    <col min="17" max="22" width="30.7109375" style="58" customWidth="1"/>
    <col min="23" max="23" width="4.7109375" style="58" customWidth="1"/>
  </cols>
  <sheetData>
    <row r="1" spans="1:23" s="69" customFormat="1" ht="30" customHeight="1" x14ac:dyDescent="0.35">
      <c r="A1" s="69" t="e" vm="1">
        <v>#VALUE!</v>
      </c>
      <c r="C1" s="69" t="s">
        <v>148</v>
      </c>
      <c r="O1" s="58"/>
      <c r="P1" s="58"/>
      <c r="Q1" s="58"/>
      <c r="R1" s="58"/>
      <c r="S1" s="58"/>
      <c r="T1" s="58"/>
      <c r="U1" s="58"/>
      <c r="V1" s="58"/>
      <c r="W1" s="58"/>
    </row>
    <row r="2" spans="1:23" s="9" customFormat="1" ht="20.100000000000001" customHeight="1" x14ac:dyDescent="0.25">
      <c r="O2" s="58"/>
      <c r="P2" s="58"/>
      <c r="Q2" s="58"/>
      <c r="R2" s="58"/>
      <c r="S2" s="58"/>
      <c r="T2" s="58"/>
      <c r="U2" s="58"/>
      <c r="V2" s="58"/>
      <c r="W2" s="58"/>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95</v>
      </c>
      <c r="N5" s="3"/>
      <c r="R5" s="7"/>
    </row>
    <row r="6" spans="1:23" ht="20.100000000000001" customHeight="1" x14ac:dyDescent="0.25">
      <c r="A6" s="16"/>
      <c r="N6" s="3"/>
      <c r="R6" s="7"/>
    </row>
    <row r="7" spans="1:23" ht="20.100000000000001" customHeight="1" x14ac:dyDescent="0.25">
      <c r="A7" s="20" t="s">
        <v>1</v>
      </c>
      <c r="D7" s="1" t="s">
        <v>126</v>
      </c>
      <c r="E7" s="42" t="s">
        <v>164</v>
      </c>
      <c r="F7" s="2" t="s">
        <v>9</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4"/>
      <c r="E9" s="41" t="s">
        <v>127</v>
      </c>
      <c r="F9" s="41" t="s">
        <v>144</v>
      </c>
      <c r="G9" s="41" t="s">
        <v>145</v>
      </c>
      <c r="H9" s="41" t="s">
        <v>146</v>
      </c>
      <c r="I9" s="41" t="s">
        <v>147</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2">
        <v>100</v>
      </c>
      <c r="F10" s="102">
        <v>100</v>
      </c>
      <c r="G10" s="102">
        <v>100</v>
      </c>
      <c r="H10" s="102">
        <v>100</v>
      </c>
      <c r="I10" s="102">
        <v>100</v>
      </c>
      <c r="J10" s="2" t="s">
        <v>97</v>
      </c>
      <c r="K10" s="2"/>
      <c r="L10" s="2"/>
      <c r="M10" s="2"/>
      <c r="R10" s="7"/>
    </row>
    <row r="11" spans="1:23" ht="20.100000000000001" customHeight="1" x14ac:dyDescent="0.25">
      <c r="A11" s="19" t="s">
        <v>71</v>
      </c>
      <c r="R11" s="7"/>
    </row>
    <row r="12" spans="1:23" ht="20.100000000000001" customHeight="1" x14ac:dyDescent="0.25">
      <c r="A12" s="17" t="str">
        <f>HYPERLINK("#'3.3.1.1-2 Enteric Methane'!A1", "3.3.1.1-2 Enteric Methane")</f>
        <v>3.3.1.1-2 Enteric Methane</v>
      </c>
      <c r="D12" s="50" t="s">
        <v>161</v>
      </c>
      <c r="R12" s="7"/>
    </row>
    <row r="13" spans="1:23" ht="20.100000000000001" customHeight="1" x14ac:dyDescent="0.25">
      <c r="A13" s="17"/>
      <c r="D13" s="64" t="s">
        <v>157</v>
      </c>
      <c r="E13" s="41" t="s">
        <v>127</v>
      </c>
      <c r="F13" s="41" t="s">
        <v>144</v>
      </c>
      <c r="G13" s="41" t="s">
        <v>145</v>
      </c>
      <c r="H13" s="41" t="s">
        <v>146</v>
      </c>
      <c r="I13" s="41" t="s">
        <v>147</v>
      </c>
      <c r="R13" s="40"/>
    </row>
    <row r="14" spans="1:23" ht="20.100000000000001" customHeight="1" x14ac:dyDescent="0.25">
      <c r="A14" s="18" t="s">
        <v>2</v>
      </c>
      <c r="D14" s="1" t="s">
        <v>162</v>
      </c>
      <c r="E14" s="54" cm="1">
        <f t="array" ref="E14">Common_InputFunctions.Utility_LookupValueInTableNumber($E$7, Table_SourceData_Dairy_WjCowsHeifers[Breed],Table_SourceData_Dairy_WjCowsHeifers[Milking cows])</f>
        <v>550</v>
      </c>
      <c r="F14" s="54" cm="1">
        <f t="array" ref="F14">Common_InputFunctions.Utility_LookupValueInTableNumber($E$7, Table_SourceData_Dairy_WjCowsHeifers[Breed],Table_SourceData_Dairy_WjCowsHeifers[Heifers &gt; 1])</f>
        <v>380</v>
      </c>
      <c r="G14" s="54" cm="1">
        <f t="array" ref="G14">Common_InputFunctions.Utility_LookupValueInTableNumber($E$7, Table_SourceData_Dairy_WjCowsHeifers[Breed],Table_SourceData_Dairy_WjCowsHeifers[Heifers &lt; 1 (weaned)])</f>
        <v>155</v>
      </c>
      <c r="H14" s="54" cm="1">
        <f t="array" ref="H14">Table_SourceData_Dairy_WjBulls[Bulls &gt; 1]</f>
        <v>600</v>
      </c>
      <c r="I14" s="54" cm="1">
        <f t="array" ref="I14">Table_SourceData_Dairy_WjBulls[Bulls &lt; 1 (weaned)]</f>
        <v>225</v>
      </c>
      <c r="J14" s="2" t="s">
        <v>149</v>
      </c>
      <c r="K14" s="2"/>
      <c r="L14" s="2"/>
      <c r="M14" s="2"/>
      <c r="R14" s="40"/>
    </row>
    <row r="15" spans="1:23" ht="20.100000000000001" customHeight="1" x14ac:dyDescent="0.25">
      <c r="A15" s="17" t="str">
        <f>HYPERLINK("#'Constants - Dairy'!A1", "Constants - Dairy")</f>
        <v>Constants - Dairy</v>
      </c>
      <c r="D15" s="1" t="s">
        <v>163</v>
      </c>
      <c r="E15" s="54" cm="1">
        <f t="array" ref="E15">Table_SourceData_Dairy_LWGj[Milking cows]</f>
        <v>1.6E-2</v>
      </c>
      <c r="F15" s="54" cm="1">
        <f t="array" ref="F15">Table_SourceData_Dairy_LWGj[Heifers &gt; 1]</f>
        <v>0.6</v>
      </c>
      <c r="G15" s="54" cm="1">
        <f t="array" ref="G15">Table_SourceData_Dairy_LWGj[Heifers &lt; 1 (weaned)]</f>
        <v>0.56999999999999995</v>
      </c>
      <c r="H15" s="54" cm="1">
        <f t="array" ref="H15">Table_SourceData_Dairy_LWGj[Bulls &gt; 1]</f>
        <v>0.1</v>
      </c>
      <c r="I15" s="54" cm="1">
        <f t="array" ref="I15">Table_SourceData_Dairy_LWGj[Bulls &lt; 1 (weaned)]</f>
        <v>0.8</v>
      </c>
      <c r="J15" s="2" t="s">
        <v>150</v>
      </c>
      <c r="K15" s="2"/>
      <c r="L15" s="2"/>
      <c r="M15" s="2"/>
      <c r="R15" s="40"/>
    </row>
    <row r="16" spans="1:23" ht="20.100000000000001" customHeight="1" x14ac:dyDescent="0.25">
      <c r="A16" s="17" t="str">
        <f>HYPERLINK("#'Constants - Livestock'!A1", "Constants - Livestock")</f>
        <v>Constants - Livestock</v>
      </c>
      <c r="R16" s="40"/>
    </row>
    <row r="17" spans="1:18" ht="20.100000000000001" customHeight="1" x14ac:dyDescent="0.25">
      <c r="A17" s="17" t="str">
        <f>HYPERLINK("#'Constants - Common'!A1", "Constants - Common")</f>
        <v>Constants - Common</v>
      </c>
      <c r="D17" s="64" t="s">
        <v>156</v>
      </c>
      <c r="E17" s="41" t="s">
        <v>127</v>
      </c>
      <c r="F17" s="41" t="s">
        <v>144</v>
      </c>
      <c r="G17" s="41" t="s">
        <v>145</v>
      </c>
      <c r="H17" s="41" t="s">
        <v>146</v>
      </c>
      <c r="I17" s="41" t="s">
        <v>147</v>
      </c>
      <c r="R17" s="7"/>
    </row>
    <row r="18" spans="1:18" ht="20.100000000000001" customHeight="1" x14ac:dyDescent="0.25">
      <c r="A18" s="17" t="str">
        <f>HYPERLINK("#'Acknowledgements'!A1", "Acknowledgements")</f>
        <v>Acknowledgements</v>
      </c>
      <c r="D18" s="1" t="s">
        <v>162</v>
      </c>
      <c r="E18" s="67" cm="1">
        <f t="array" ref="E18">Common_InputFunctions.Utility_LookupValueInTableNumber($E$7, Table_SourceData_Dairy_WjCowsHeifers[Breed],Table_SourceData_Dairy_WjCowsHeifers[Milking cows])</f>
        <v>550</v>
      </c>
      <c r="F18" s="67" cm="1">
        <f t="array" ref="F18">Common_InputFunctions.Utility_LookupValueInTableNumber($E$7, Table_SourceData_Dairy_WjCowsHeifers[Breed],Table_SourceData_Dairy_WjCowsHeifers[Heifers &gt; 1])</f>
        <v>380</v>
      </c>
      <c r="G18" s="67" cm="1">
        <f t="array" ref="G18">Common_InputFunctions.Utility_LookupValueInTableNumber($E$7, Table_SourceData_Dairy_WjCowsHeifers[Breed],Table_SourceData_Dairy_WjCowsHeifers[Heifers &lt; 1 (weaned)])</f>
        <v>155</v>
      </c>
      <c r="H18" s="67" cm="1">
        <f t="array" ref="H18">Table_SourceData_Dairy_WjBulls[Bulls &gt; 1]</f>
        <v>600</v>
      </c>
      <c r="I18" s="67" cm="1">
        <f t="array" ref="I18">Table_SourceData_Dairy_WjBulls[Bulls &lt; 1 (weaned)]</f>
        <v>225</v>
      </c>
      <c r="J18" s="2" t="s">
        <v>149</v>
      </c>
      <c r="K18" s="2"/>
      <c r="L18" s="2"/>
      <c r="M18" s="2"/>
      <c r="R18" s="7"/>
    </row>
    <row r="19" spans="1:18" ht="20.100000000000001" customHeight="1" x14ac:dyDescent="0.25">
      <c r="D19" s="1" t="s">
        <v>163</v>
      </c>
      <c r="E19" s="67" cm="1">
        <f t="array" ref="E19">Table_SourceData_Dairy_LWGj[Milking cows]</f>
        <v>1.6E-2</v>
      </c>
      <c r="F19" s="67" cm="1">
        <f t="array" ref="F19">Table_SourceData_Dairy_LWGj[Heifers &gt; 1]</f>
        <v>0.6</v>
      </c>
      <c r="G19" s="67" cm="1">
        <f t="array" ref="G19">Table_SourceData_Dairy_LWGj[Heifers &lt; 1 (weaned)]</f>
        <v>0.56999999999999995</v>
      </c>
      <c r="H19" s="67" cm="1">
        <f t="array" ref="H19">Table_SourceData_Dairy_LWGj[Bulls &gt; 1]</f>
        <v>0.1</v>
      </c>
      <c r="I19" s="67" cm="1">
        <f t="array" ref="I19">Table_SourceData_Dairy_LWGj[Bulls &lt; 1 (weaned)]</f>
        <v>0.8</v>
      </c>
      <c r="J19" s="2" t="s">
        <v>150</v>
      </c>
      <c r="K19" s="2"/>
      <c r="L19" s="2"/>
      <c r="M19" s="2"/>
      <c r="R19" s="7"/>
    </row>
    <row r="20" spans="1:18" ht="20.100000000000001" customHeight="1" x14ac:dyDescent="0.25">
      <c r="R20" s="7"/>
    </row>
    <row r="21" spans="1:18" ht="20.100000000000001" customHeight="1" x14ac:dyDescent="0.25">
      <c r="D21" s="50" t="s">
        <v>96</v>
      </c>
      <c r="R21" s="7"/>
    </row>
    <row r="22" spans="1:18" ht="20.100000000000001" customHeight="1" x14ac:dyDescent="0.25">
      <c r="R22" s="7"/>
    </row>
    <row r="23" spans="1:18" ht="20.100000000000001" customHeight="1" x14ac:dyDescent="0.25">
      <c r="D23" s="64" t="s">
        <v>157</v>
      </c>
      <c r="E23" s="41" t="s">
        <v>127</v>
      </c>
      <c r="F23" s="41" t="s">
        <v>144</v>
      </c>
      <c r="G23" s="41" t="s">
        <v>145</v>
      </c>
      <c r="H23" s="41" t="s">
        <v>146</v>
      </c>
      <c r="I23" s="41" t="s">
        <v>147</v>
      </c>
      <c r="R23" s="7"/>
    </row>
    <row r="24" spans="1:18" ht="20.100000000000001" customHeight="1" x14ac:dyDescent="0.25">
      <c r="D24" s="1" t="str">
        <f>"Average duration of stay between " &amp; TEXT('Input - Site'!$E$12, "dd mmm yy") &amp; " and " &amp; TEXT('Input - Site'!$E$13, "dd mmm yy") &amp; " weaned livestock"</f>
        <v>Average duration of stay between 01 Jan 24 and 31 Dec 24 weaned livestock</v>
      </c>
      <c r="E24" s="54" cm="1">
        <f t="array" ref="E24">Common_InputFunctions.Utility_LookupValueInTableNumber(E23,Table_SourceData_Dairy_Duration[Animal class j],Table_SourceData_Dairy_Duration[Duration (weaned)])</f>
        <v>365</v>
      </c>
      <c r="F24" s="54" cm="1">
        <f t="array" ref="F24">Common_InputFunctions.Utility_LookupValueInTableNumber(F23,Table_SourceData_Dairy_Duration[Animal class j],Table_SourceData_Dairy_Duration[Duration (weaned)])</f>
        <v>365</v>
      </c>
      <c r="G24" s="54" cm="1">
        <f t="array" ref="G24">Common_InputFunctions.Utility_LookupValueInTableNumber(G23,Table_SourceData_Dairy_Duration[Animal class j],Table_SourceData_Dairy_Duration[Duration (weaned)])</f>
        <v>281</v>
      </c>
      <c r="H24" s="54" cm="1">
        <f t="array" ref="H24">Common_InputFunctions.Utility_LookupValueInTableNumber(H23,Table_SourceData_Dairy_Duration[Animal class j],Table_SourceData_Dairy_Duration[Duration (weaned)])</f>
        <v>365</v>
      </c>
      <c r="I24" s="54" cm="1">
        <f t="array" ref="I24">Common_InputFunctions.Utility_LookupValueInTableNumber(I23,Table_SourceData_Dairy_Duration[Animal class j],Table_SourceData_Dairy_Duration[Duration (weaned)])</f>
        <v>281</v>
      </c>
      <c r="J24" s="2" t="s">
        <v>51</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24 and 31 Dec 24 pre-weaned livestock</v>
      </c>
      <c r="E25" s="54" cm="1">
        <f t="array" ref="E25">Common_InputFunctions.Utility_LookupValueInTableNumber(E23,Table_SourceData_Dairy_Duration[Animal class j],Table_SourceData_Dairy_Duration[Duration (pre-weaned)])</f>
        <v>0</v>
      </c>
      <c r="F25" s="54" cm="1">
        <f t="array" ref="F25">Common_InputFunctions.Utility_LookupValueInTableNumber(F23,Table_SourceData_Dairy_Duration[Animal class j],Table_SourceData_Dairy_Duration[Duration (pre-weaned)])</f>
        <v>0</v>
      </c>
      <c r="G25" s="54" cm="1">
        <f t="array" ref="G25">Common_InputFunctions.Utility_LookupValueInTableNumber(G23,Table_SourceData_Dairy_Duration[Animal class j],Table_SourceData_Dairy_Duration[Duration (pre-weaned)])</f>
        <v>84</v>
      </c>
      <c r="H25" s="54" cm="1">
        <f t="array" ref="H25">Common_InputFunctions.Utility_LookupValueInTableNumber(H23,Table_SourceData_Dairy_Duration[Animal class j],Table_SourceData_Dairy_Duration[Duration (pre-weaned)])</f>
        <v>0</v>
      </c>
      <c r="I25" s="54" cm="1">
        <f t="array" ref="I25">Common_InputFunctions.Utility_LookupValueInTableNumber(I23,Table_SourceData_Dairy_Duration[Animal class j],Table_SourceData_Dairy_Duration[Duration (pre-weaned)])</f>
        <v>84</v>
      </c>
      <c r="J25" s="2" t="s">
        <v>51</v>
      </c>
      <c r="K25" s="2"/>
      <c r="L25" s="2"/>
      <c r="M25" s="2"/>
      <c r="R25" s="7"/>
    </row>
    <row r="26" spans="1:18" ht="20.100000000000001" customHeight="1" x14ac:dyDescent="0.25">
      <c r="R26" s="7"/>
    </row>
    <row r="27" spans="1:18" ht="20.100000000000001" customHeight="1" x14ac:dyDescent="0.25">
      <c r="D27" s="64" t="s">
        <v>156</v>
      </c>
      <c r="E27" s="41" t="s">
        <v>127</v>
      </c>
      <c r="F27" s="41" t="s">
        <v>144</v>
      </c>
      <c r="G27" s="41" t="s">
        <v>145</v>
      </c>
      <c r="H27" s="41" t="s">
        <v>146</v>
      </c>
      <c r="I27" s="41" t="s">
        <v>147</v>
      </c>
      <c r="R27" s="7"/>
    </row>
    <row r="28" spans="1:18" ht="20.100000000000001" customHeight="1" x14ac:dyDescent="0.25">
      <c r="D28" s="1" t="str">
        <f>"Average duration of stay between " &amp; TEXT('Input - Site'!$E$12, "dd mmm yy") &amp; " and " &amp; TEXT('Input - Site'!$E$13, "dd mmm yy") &amp; " weaned livestock"</f>
        <v>Average duration of stay between 01 Jan 24 and 31 Dec 24 weaned livestock</v>
      </c>
      <c r="E28" s="67" cm="1">
        <f t="array" ref="E28">Common_InputFunctions.Utility_LookupValueInTableNumber(E27,Table_SourceData_Dairy_Duration[Animal class j],Table_SourceData_Dairy_Duration[Duration (weaned)])</f>
        <v>365</v>
      </c>
      <c r="F28" s="67" cm="1">
        <f t="array" ref="F28">Common_InputFunctions.Utility_LookupValueInTableNumber(F27,Table_SourceData_Dairy_Duration[Animal class j],Table_SourceData_Dairy_Duration[Duration (weaned)])</f>
        <v>365</v>
      </c>
      <c r="G28" s="67" cm="1">
        <f t="array" ref="G28">Common_InputFunctions.Utility_LookupValueInTableNumber(G27,Table_SourceData_Dairy_Duration[Animal class j],Table_SourceData_Dairy_Duration[Duration (weaned)])</f>
        <v>281</v>
      </c>
      <c r="H28" s="67" cm="1">
        <f t="array" ref="H28">Common_InputFunctions.Utility_LookupValueInTableNumber(H27,Table_SourceData_Dairy_Duration[Animal class j],Table_SourceData_Dairy_Duration[Duration (weaned)])</f>
        <v>365</v>
      </c>
      <c r="I28" s="67" cm="1">
        <f t="array" ref="I28">Common_InputFunctions.Utility_LookupValueInTableNumber(I27,Table_SourceData_Dairy_Duration[Animal class j],Table_SourceData_Dairy_Duration[Duration (weaned)])</f>
        <v>281</v>
      </c>
      <c r="J28" s="2" t="s">
        <v>51</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24 and 31 Dec 24 pre-weaned livestock</v>
      </c>
      <c r="E29" s="54">
        <f>365-E28</f>
        <v>0</v>
      </c>
      <c r="F29" s="54">
        <f t="shared" ref="F29:I29" si="0">365-F28</f>
        <v>0</v>
      </c>
      <c r="G29" s="54">
        <f t="shared" si="0"/>
        <v>84</v>
      </c>
      <c r="H29" s="54">
        <f t="shared" si="0"/>
        <v>0</v>
      </c>
      <c r="I29" s="54">
        <f t="shared" si="0"/>
        <v>84</v>
      </c>
      <c r="J29" s="2" t="s">
        <v>51</v>
      </c>
      <c r="K29" s="2"/>
      <c r="L29" s="2"/>
      <c r="M29" s="2"/>
      <c r="R29" s="7"/>
    </row>
    <row r="30" spans="1:18" ht="20.100000000000001" customHeight="1" x14ac:dyDescent="0.25">
      <c r="A30" s="17"/>
      <c r="R30" s="7"/>
    </row>
    <row r="31" spans="1:18" ht="20.100000000000001" customHeight="1" x14ac:dyDescent="0.25">
      <c r="A31" s="68"/>
      <c r="R31" s="7"/>
    </row>
    <row r="32" spans="1:18" ht="20.100000000000001" customHeight="1" x14ac:dyDescent="0.25">
      <c r="A32" s="68"/>
      <c r="C32" s="48"/>
      <c r="D32" s="48"/>
      <c r="E32" s="48"/>
      <c r="F32" s="48"/>
      <c r="G32" s="48"/>
      <c r="H32" s="48"/>
      <c r="I32" s="48"/>
      <c r="J32" s="48"/>
      <c r="K32" s="48"/>
      <c r="L32" s="48"/>
      <c r="M32" s="48"/>
      <c r="N32" s="48"/>
      <c r="R32" s="7"/>
    </row>
    <row r="33" spans="1:18" ht="20.100000000000001" customHeight="1" x14ac:dyDescent="0.25">
      <c r="A33" s="17"/>
      <c r="D33" s="6" t="s">
        <v>159</v>
      </c>
      <c r="R33" s="7"/>
    </row>
    <row r="34" spans="1:18" ht="20.100000000000001" customHeight="1" x14ac:dyDescent="0.25">
      <c r="D34" s="50"/>
      <c r="R34" s="7"/>
    </row>
    <row r="35" spans="1:18" ht="20.100000000000001" customHeight="1" x14ac:dyDescent="0.25">
      <c r="D35" s="64" t="s">
        <v>157</v>
      </c>
      <c r="E35" s="41" t="s">
        <v>127</v>
      </c>
      <c r="F35" s="41" t="s">
        <v>144</v>
      </c>
      <c r="G35" s="41" t="s">
        <v>145</v>
      </c>
      <c r="H35" s="41" t="s">
        <v>146</v>
      </c>
      <c r="I35" s="41" t="s">
        <v>147</v>
      </c>
      <c r="R35" s="7"/>
    </row>
    <row r="36" spans="1:18" ht="20.100000000000001" customHeight="1" x14ac:dyDescent="0.25">
      <c r="D36" s="1" t="s">
        <v>158</v>
      </c>
      <c r="E36" s="54" cm="1">
        <f t="array" ref="E36">Common_InputFunctions.Utility_LookupValueInTableNumber(E35,Table_SourceData_Dairy_Duration[Animal class j],Table_SourceData_Dairy_Duration[Duration (weaned)])</f>
        <v>365</v>
      </c>
      <c r="F36" s="54" cm="1">
        <f t="array" ref="F36">Common_InputFunctions.Utility_LookupValueInTableNumber(F35,Table_SourceData_Dairy_Duration[Animal class j],Table_SourceData_Dairy_Duration[Duration (weaned)])</f>
        <v>365</v>
      </c>
      <c r="G36" s="54" cm="1">
        <f t="array" ref="G36">Common_InputFunctions.Utility_LookupValueInTableNumber(G35,Table_SourceData_Dairy_Duration[Animal class j],Table_SourceData_Dairy_Duration[Duration (weaned)])</f>
        <v>281</v>
      </c>
      <c r="H36" s="54" cm="1">
        <f t="array" ref="H36">Common_InputFunctions.Utility_LookupValueInTableNumber(H35,Table_SourceData_Dairy_Duration[Animal class j],Table_SourceData_Dairy_Duration[Duration (weaned)])</f>
        <v>365</v>
      </c>
      <c r="I36" s="54" cm="1">
        <f t="array" ref="I36">Common_InputFunctions.Utility_LookupValueInTableNumber(I35,Table_SourceData_Dairy_Duration[Animal class j],Table_SourceData_Dairy_Duration[Duration (weaned)])</f>
        <v>281</v>
      </c>
      <c r="J36" s="2" t="s">
        <v>160</v>
      </c>
      <c r="K36" s="2"/>
      <c r="L36" s="2"/>
      <c r="M36" s="2"/>
      <c r="R36" s="7"/>
    </row>
    <row r="37" spans="1:18" ht="20.100000000000001" customHeight="1" x14ac:dyDescent="0.25">
      <c r="D37" s="1" t="s">
        <v>16</v>
      </c>
      <c r="E37" s="54">
        <f>'Constants - Dairy'!$D$160</f>
        <v>0.75</v>
      </c>
      <c r="F37" s="54">
        <f>'Constants - Dairy'!$D$160</f>
        <v>0.75</v>
      </c>
      <c r="G37" s="54">
        <f>'Constants - Dairy'!$D$160</f>
        <v>0.75</v>
      </c>
      <c r="H37" s="54">
        <f>'Constants - Dairy'!$D$160</f>
        <v>0.75</v>
      </c>
      <c r="I37" s="54">
        <f>'Constants - Dairy'!$D$160</f>
        <v>0.75</v>
      </c>
      <c r="J37" s="2" t="s">
        <v>92</v>
      </c>
      <c r="K37" s="2"/>
      <c r="L37" s="2"/>
      <c r="M37" s="2"/>
      <c r="R37" s="7"/>
    </row>
    <row r="38" spans="1:18" ht="20.100000000000001" customHeight="1" x14ac:dyDescent="0.25">
      <c r="D38" s="1" t="s">
        <v>100</v>
      </c>
      <c r="E38" s="54">
        <f>'Constants - Dairy'!$D$153</f>
        <v>0.2</v>
      </c>
      <c r="F38" s="54">
        <f>'Constants - Dairy'!$D$153</f>
        <v>0.2</v>
      </c>
      <c r="G38" s="54">
        <f>'Constants - Dairy'!$D$153</f>
        <v>0.2</v>
      </c>
      <c r="H38" s="54">
        <f>'Constants - Dairy'!$D$153</f>
        <v>0.2</v>
      </c>
      <c r="I38" s="54">
        <f>'Constants - Dairy'!$D$153</f>
        <v>0.2</v>
      </c>
      <c r="J38" s="2" t="s">
        <v>92</v>
      </c>
      <c r="K38" s="2"/>
      <c r="L38" s="2"/>
      <c r="M38" s="2"/>
      <c r="R38" s="7"/>
    </row>
    <row r="39" spans="1:18" ht="20.100000000000001" customHeight="1" x14ac:dyDescent="0.25">
      <c r="A39" s="17"/>
      <c r="R39" s="7"/>
    </row>
    <row r="40" spans="1:18" ht="20.100000000000001" customHeight="1" x14ac:dyDescent="0.25">
      <c r="D40" s="64" t="s">
        <v>156</v>
      </c>
      <c r="E40" s="41" t="s">
        <v>127</v>
      </c>
      <c r="F40" s="41" t="s">
        <v>144</v>
      </c>
      <c r="G40" s="41" t="s">
        <v>145</v>
      </c>
      <c r="H40" s="41" t="s">
        <v>146</v>
      </c>
      <c r="I40" s="41" t="s">
        <v>147</v>
      </c>
      <c r="R40" s="7"/>
    </row>
    <row r="41" spans="1:18" ht="20.100000000000001" customHeight="1" x14ac:dyDescent="0.25">
      <c r="A41" s="47"/>
      <c r="D41" s="1" t="s">
        <v>158</v>
      </c>
      <c r="E41" s="67" cm="1">
        <f t="array" ref="E41">Common_InputFunctions.Utility_LookupValueInTableNumber(E40,Table_SourceData_Dairy_Duration[Animal class j],Table_SourceData_Dairy_Duration[Duration (weaned)])</f>
        <v>365</v>
      </c>
      <c r="F41" s="67" cm="1">
        <f t="array" ref="F41">Common_InputFunctions.Utility_LookupValueInTableNumber(F40,Table_SourceData_Dairy_Duration[Animal class j],Table_SourceData_Dairy_Duration[Duration (weaned)])</f>
        <v>365</v>
      </c>
      <c r="G41" s="67" cm="1">
        <f t="array" ref="G41">Common_InputFunctions.Utility_LookupValueInTableNumber(G40,Table_SourceData_Dairy_Duration[Animal class j],Table_SourceData_Dairy_Duration[Duration (weaned)])</f>
        <v>281</v>
      </c>
      <c r="H41" s="67" cm="1">
        <f t="array" ref="H41">Common_InputFunctions.Utility_LookupValueInTableNumber(H40,Table_SourceData_Dairy_Duration[Animal class j],Table_SourceData_Dairy_Duration[Duration (weaned)])</f>
        <v>365</v>
      </c>
      <c r="I41" s="67" cm="1">
        <f t="array" ref="I41">Common_InputFunctions.Utility_LookupValueInTableNumber(I40,Table_SourceData_Dairy_Duration[Animal class j],Table_SourceData_Dairy_Duration[Duration (weaned)])</f>
        <v>281</v>
      </c>
      <c r="J41" s="2" t="s">
        <v>160</v>
      </c>
      <c r="K41" s="2"/>
      <c r="L41" s="2"/>
      <c r="M41" s="2"/>
      <c r="R41" s="7"/>
    </row>
    <row r="42" spans="1:18" ht="20.100000000000001" customHeight="1" x14ac:dyDescent="0.25">
      <c r="D42" s="1" t="s">
        <v>16</v>
      </c>
      <c r="E42" s="67">
        <v>0.75</v>
      </c>
      <c r="F42" s="67">
        <v>0.75</v>
      </c>
      <c r="G42" s="67">
        <v>0.75</v>
      </c>
      <c r="H42" s="67">
        <v>0.75</v>
      </c>
      <c r="I42" s="67">
        <v>0.75</v>
      </c>
      <c r="J42" s="2" t="s">
        <v>92</v>
      </c>
      <c r="K42" s="2"/>
      <c r="L42" s="2"/>
      <c r="M42" s="2"/>
      <c r="R42" s="7"/>
    </row>
    <row r="43" spans="1:18" ht="20.100000000000001" customHeight="1" x14ac:dyDescent="0.25">
      <c r="D43" s="1" t="s">
        <v>100</v>
      </c>
      <c r="E43" s="67">
        <v>0.2</v>
      </c>
      <c r="F43" s="67">
        <v>0.2</v>
      </c>
      <c r="G43" s="67">
        <v>0.2</v>
      </c>
      <c r="H43" s="67">
        <v>0.2</v>
      </c>
      <c r="I43" s="67">
        <v>0.2</v>
      </c>
      <c r="J43" s="2" t="s">
        <v>92</v>
      </c>
      <c r="K43" s="2"/>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151</v>
      </c>
      <c r="E47" s="3"/>
      <c r="F47" s="3"/>
      <c r="G47" s="3"/>
      <c r="H47" s="3"/>
      <c r="I47" s="3"/>
      <c r="J47" s="3"/>
      <c r="K47" s="3"/>
      <c r="L47" s="3"/>
      <c r="M47" s="3"/>
      <c r="R47" s="7"/>
    </row>
    <row r="48" spans="1:18" ht="20.100000000000001" customHeight="1" x14ac:dyDescent="0.25">
      <c r="G48" s="6"/>
      <c r="H48" s="6"/>
      <c r="I48" s="6"/>
      <c r="J48" s="117"/>
      <c r="K48" s="117"/>
      <c r="L48" s="117"/>
      <c r="M48" s="117"/>
      <c r="R48" s="7"/>
    </row>
    <row r="49" spans="4:18" ht="20.100000000000001" customHeight="1" x14ac:dyDescent="0.25">
      <c r="D49" s="1" t="s">
        <v>238</v>
      </c>
      <c r="E49" s="42" t="s">
        <v>251</v>
      </c>
      <c r="F49" s="2" t="s">
        <v>9</v>
      </c>
      <c r="H49" s="3"/>
      <c r="I49" s="3"/>
      <c r="J49" s="3"/>
      <c r="K49" s="3"/>
      <c r="L49" s="3"/>
      <c r="M49" s="3"/>
      <c r="R49" s="7"/>
    </row>
    <row r="50" spans="4:18" ht="20.100000000000001" customHeight="1" x14ac:dyDescent="0.25">
      <c r="R50" s="7"/>
    </row>
    <row r="51" spans="4:18" ht="20.100000000000001" customHeight="1" x14ac:dyDescent="0.25">
      <c r="E51" s="41" t="s">
        <v>127</v>
      </c>
      <c r="R51" s="7"/>
    </row>
    <row r="52" spans="4:18" ht="20.100000000000001" customHeight="1" x14ac:dyDescent="0.25">
      <c r="D52" s="1" t="s">
        <v>152</v>
      </c>
      <c r="E52" s="67">
        <v>20</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5" t="s">
        <v>248</v>
      </c>
      <c r="E54" s="41" t="s">
        <v>245</v>
      </c>
      <c r="F54" s="41" t="s">
        <v>246</v>
      </c>
      <c r="R54" s="7"/>
    </row>
    <row r="55" spans="4:18" ht="20.100000000000001" customHeight="1" x14ac:dyDescent="0.25">
      <c r="D55" s="1" t="s">
        <v>243</v>
      </c>
      <c r="E55" s="124">
        <f>'Constants - Dairy'!$D$221/100</f>
        <v>0.04</v>
      </c>
      <c r="F55" s="132">
        <f>'Constants - Dairy'!$D$221/100</f>
        <v>0.04</v>
      </c>
      <c r="G55" s="2" t="s">
        <v>247</v>
      </c>
      <c r="R55" s="7"/>
    </row>
    <row r="56" spans="4:18" ht="20.100000000000001" customHeight="1" x14ac:dyDescent="0.25">
      <c r="D56" s="1" t="s">
        <v>244</v>
      </c>
      <c r="E56" s="124">
        <f>'Constants - Dairy'!$D$227/100</f>
        <v>3.3000000000000002E-2</v>
      </c>
      <c r="F56" s="132">
        <f>'Constants - Dairy'!$D$227/100</f>
        <v>3.3000000000000002E-2</v>
      </c>
      <c r="G56" s="2" t="s">
        <v>247</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O43:P43 N44 J85:J90 K89:M89 K95:M95 F98 J101:J106 K105:M105 K110:M110 K114:M114 K123:M123">
    <cfRule type="cellIs" dxfId="8" priority="30" operator="lessThan">
      <formula>0</formula>
    </cfRule>
  </conditionalFormatting>
  <conditionalFormatting sqref="E14:M15">
    <cfRule type="cellIs" dxfId="7" priority="2" operator="lessThan">
      <formula>0</formula>
    </cfRule>
  </conditionalFormatting>
  <conditionalFormatting sqref="E18:M19">
    <cfRule type="cellIs" dxfId="6" priority="1" operator="lessThan">
      <formula>0</formula>
    </cfRule>
  </conditionalFormatting>
  <conditionalFormatting sqref="E36:M38">
    <cfRule type="cellIs" dxfId="5" priority="6" operator="lessThan">
      <formula>0</formula>
    </cfRule>
  </conditionalFormatting>
  <conditionalFormatting sqref="E41:M43">
    <cfRule type="cellIs" dxfId="4" priority="3"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abSelected="1" zoomScaleNormal="100" workbookViewId="0">
      <selection activeCell="G190" sqref="G19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9" t="e" vm="1">
        <v>#VALUE!</v>
      </c>
      <c r="C1" s="8" t="s">
        <v>219</v>
      </c>
      <c r="K1"/>
    </row>
    <row r="2" spans="1:19" s="9" customFormat="1" ht="20.100000000000001" customHeight="1" x14ac:dyDescent="0.25">
      <c r="K2"/>
    </row>
    <row r="3" spans="1:19" ht="20.100000000000001" customHeight="1" x14ac:dyDescent="0.25">
      <c r="A3" s="17" t="str">
        <f>HYPERLINK("#'Home'!A1", "Home")</f>
        <v>Home</v>
      </c>
      <c r="C3" s="4"/>
      <c r="D3" s="4" t="s">
        <v>103</v>
      </c>
      <c r="E3" s="4"/>
      <c r="F3" s="4"/>
      <c r="G3" s="4"/>
      <c r="H3" s="4"/>
      <c r="I3" s="4"/>
      <c r="J3" s="4"/>
      <c r="L3" s="4"/>
      <c r="M3" s="4" t="s">
        <v>104</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
        <v>252</v>
      </c>
    </row>
    <row r="6" spans="1:19" ht="20.100000000000001" customHeight="1" x14ac:dyDescent="0.25">
      <c r="A6" s="16"/>
      <c r="D6" s="57" t="s">
        <v>253</v>
      </c>
    </row>
    <row r="7" spans="1:19" ht="20.100000000000001" customHeight="1" x14ac:dyDescent="0.25">
      <c r="A7" s="20" t="s">
        <v>1</v>
      </c>
      <c r="D7" s="5" t="s">
        <v>254</v>
      </c>
    </row>
    <row r="8" spans="1:19" ht="20.100000000000001" customHeight="1" x14ac:dyDescent="0.25">
      <c r="A8" s="17" t="str">
        <f>HYPERLINK("#'Input - Site'!A1", "Site")</f>
        <v>Site</v>
      </c>
      <c r="D8" s="13"/>
      <c r="E8" s="13"/>
    </row>
    <row r="9" spans="1:19" ht="20.100000000000001" customHeight="1" x14ac:dyDescent="0.25">
      <c r="A9" s="17" t="str">
        <f>HYPERLINK("#'Input - Dairy'!A1", "Dairy")</f>
        <v>Dairy</v>
      </c>
    </row>
    <row r="10" spans="1:19" ht="20.100000000000001" customHeight="1" x14ac:dyDescent="0.25">
      <c r="A10" s="17"/>
    </row>
    <row r="11" spans="1:19" ht="20.100000000000001" customHeight="1" x14ac:dyDescent="0.25">
      <c r="A11" s="19" t="s">
        <v>71</v>
      </c>
      <c r="D11" s="55" t="s">
        <v>26</v>
      </c>
      <c r="E11" s="1" t="s">
        <v>255</v>
      </c>
    </row>
    <row r="12" spans="1:19" ht="20.100000000000001" customHeight="1" x14ac:dyDescent="0.25">
      <c r="A12" s="22" t="str">
        <f>HYPERLINK("#'3.3.1.1-2 Enteric Methane'!A1", "3.3.1.1-2 Enteric Methane")</f>
        <v>3.3.1.1-2 Enteric Methane</v>
      </c>
      <c r="D12" s="55" t="s">
        <v>17</v>
      </c>
      <c r="E12" s="56" t="s">
        <v>175</v>
      </c>
    </row>
    <row r="13" spans="1:19" ht="20.100000000000001" customHeight="1" x14ac:dyDescent="0.25">
      <c r="A13" s="17"/>
    </row>
    <row r="14" spans="1:19" ht="20.100000000000001" customHeight="1" x14ac:dyDescent="0.25">
      <c r="A14" s="18" t="s">
        <v>2</v>
      </c>
      <c r="D14" s="122" t="s">
        <v>256</v>
      </c>
      <c r="E14" s="122"/>
      <c r="F14" s="122"/>
      <c r="G14" s="122"/>
      <c r="H14" s="120"/>
      <c r="I14" s="122" t="str">
        <f>"See " &amp; D16</f>
        <v>See M1_Table_DMD_j</v>
      </c>
    </row>
    <row r="15" spans="1:19" ht="20.100000000000001" customHeight="1" x14ac:dyDescent="0.25">
      <c r="A15" s="17" t="str">
        <f>HYPERLINK("#'Constants - Dairy'!A1", "Constants - Dairy")</f>
        <v>Constants - Dairy</v>
      </c>
    </row>
    <row r="16" spans="1:19" ht="20.100000000000001" customHeight="1" x14ac:dyDescent="0.25">
      <c r="A16" s="17" t="str">
        <f>HYPERLINK("#'Constants - Livestock'!A1", "Constants - Livestock")</f>
        <v>Constants - Livestock</v>
      </c>
      <c r="D16" s="101" t="s">
        <v>105</v>
      </c>
      <c r="M16" s="101" t="s">
        <v>107</v>
      </c>
    </row>
    <row r="17" spans="1:19" ht="20.100000000000001" customHeight="1" x14ac:dyDescent="0.25">
      <c r="A17" s="17" t="str">
        <f>HYPERLINK("#'Constants - Common'!A1", "Constants - Common")</f>
        <v>Constants - Common</v>
      </c>
      <c r="D17" s="100" t="s">
        <v>106</v>
      </c>
      <c r="M17" s="100" t="s">
        <v>186</v>
      </c>
    </row>
    <row r="18" spans="1:19" ht="20.100000000000001" customHeight="1" x14ac:dyDescent="0.25">
      <c r="A18" s="17" t="str">
        <f>HYPERLINK("#'Acknowledgements'!A1", "Acknowledgements")</f>
        <v>Acknowledgements</v>
      </c>
      <c r="D18" s="41" t="s">
        <v>127</v>
      </c>
      <c r="E18" s="41" t="s">
        <v>144</v>
      </c>
      <c r="F18" s="41" t="s">
        <v>145</v>
      </c>
      <c r="G18" s="41" t="s">
        <v>146</v>
      </c>
      <c r="H18" s="41" t="s">
        <v>147</v>
      </c>
      <c r="M18" s="41" t="s">
        <v>127</v>
      </c>
      <c r="N18" s="41" t="s">
        <v>144</v>
      </c>
      <c r="O18" s="41" t="s">
        <v>145</v>
      </c>
      <c r="P18" s="41" t="s">
        <v>146</v>
      </c>
      <c r="Q18" s="41" t="s">
        <v>147</v>
      </c>
    </row>
    <row r="19" spans="1:19" ht="20.100000000000001" customHeight="1" x14ac:dyDescent="0.25">
      <c r="D19" s="54">
        <f>'Input - Dairy'!$E$37</f>
        <v>0.75</v>
      </c>
      <c r="E19" s="54">
        <f>'Input - Dairy'!$F$37</f>
        <v>0.75</v>
      </c>
      <c r="F19" s="54">
        <f>'Input - Dairy'!$G$37</f>
        <v>0.75</v>
      </c>
      <c r="G19" s="54">
        <f>'Input - Dairy'!$H$37</f>
        <v>0.75</v>
      </c>
      <c r="H19" s="54">
        <f>'Input - Dairy'!$I$37</f>
        <v>0.75</v>
      </c>
      <c r="I19" s="2" t="s">
        <v>175</v>
      </c>
      <c r="M19" s="54">
        <f>'Input - Dairy'!$E$42</f>
        <v>0.75</v>
      </c>
      <c r="N19" s="54">
        <f>'Input - Dairy'!$F$42</f>
        <v>0.75</v>
      </c>
      <c r="O19" s="54">
        <f>'Input - Dairy'!$G$42</f>
        <v>0.75</v>
      </c>
      <c r="P19" s="54">
        <f>'Input - Dairy'!$H$42</f>
        <v>0.75</v>
      </c>
      <c r="Q19" s="54">
        <f>'Input - Dairy'!$I$42</f>
        <v>0.75</v>
      </c>
      <c r="R19" s="2" t="s">
        <v>175</v>
      </c>
    </row>
    <row r="20" spans="1:19" ht="20.100000000000001" customHeight="1" x14ac:dyDescent="0.25"/>
    <row r="21" spans="1:19" ht="20.100000000000001" customHeight="1" x14ac:dyDescent="0.25">
      <c r="D21" s="101" t="s">
        <v>176</v>
      </c>
      <c r="M21" s="101" t="s">
        <v>178</v>
      </c>
    </row>
    <row r="22" spans="1:19" ht="20.100000000000001" customHeight="1" x14ac:dyDescent="0.25">
      <c r="D22" s="100" t="s">
        <v>177</v>
      </c>
      <c r="M22" s="100" t="s">
        <v>179</v>
      </c>
    </row>
    <row r="23" spans="1:19" ht="20.100000000000001" customHeight="1" x14ac:dyDescent="0.25">
      <c r="D23" s="53" t="s">
        <v>127</v>
      </c>
      <c r="E23" s="53" t="s">
        <v>144</v>
      </c>
      <c r="F23" s="53" t="s">
        <v>145</v>
      </c>
      <c r="G23" s="53" t="s">
        <v>146</v>
      </c>
      <c r="H23" s="53" t="s">
        <v>147</v>
      </c>
      <c r="M23" s="53" t="s">
        <v>127</v>
      </c>
      <c r="N23" s="53" t="s">
        <v>144</v>
      </c>
      <c r="O23" s="53" t="s">
        <v>145</v>
      </c>
      <c r="P23" s="53" t="s">
        <v>146</v>
      </c>
      <c r="Q23" s="53" t="s">
        <v>147</v>
      </c>
    </row>
    <row r="24" spans="1:19" ht="20.100000000000001" customHeight="1" x14ac:dyDescent="0.25">
      <c r="D24" s="54">
        <f>(0.00795 * (D19 * 100) - 0.0014)</f>
        <v>0.5948500000000001</v>
      </c>
      <c r="E24" s="54">
        <f>(0.00795 * (E19 * 100) - 0.0014)</f>
        <v>0.5948500000000001</v>
      </c>
      <c r="F24" s="54">
        <f>(0.00795 * (F19 * 100) - 0.0014)</f>
        <v>0.5948500000000001</v>
      </c>
      <c r="G24" s="54">
        <f>(0.00795 * (G19 * 100) - 0.0014)</f>
        <v>0.5948500000000001</v>
      </c>
      <c r="H24" s="54">
        <f>(0.00795 * (H19 * 100) - 0.0014)</f>
        <v>0.5948500000000001</v>
      </c>
      <c r="I24" s="2" t="str">
        <f>$E$12</f>
        <v>fraction</v>
      </c>
      <c r="M24" s="54">
        <f>(0.00795 * (M19 * 100) - 0.0014)</f>
        <v>0.5948500000000001</v>
      </c>
      <c r="N24" s="54">
        <f>(0.00795 * (N19 * 100) - 0.0014)</f>
        <v>0.5948500000000001</v>
      </c>
      <c r="O24" s="54">
        <f>(0.00795 * (O19 * 100) - 0.0014)</f>
        <v>0.5948500000000001</v>
      </c>
      <c r="P24" s="54">
        <f>(0.00795 * (P19 * 100) - 0.0014)</f>
        <v>0.5948500000000001</v>
      </c>
      <c r="Q24" s="54">
        <f>(0.00795 * (Q19 * 100) - 0.0014)</f>
        <v>0.5948500000000001</v>
      </c>
      <c r="R24" s="2" t="str">
        <f>$E$12</f>
        <v>fraction</v>
      </c>
    </row>
    <row r="25" spans="1:19" ht="20.100000000000001" customHeight="1" x14ac:dyDescent="0.25"/>
    <row r="26" spans="1:19" ht="20.100000000000001" customHeight="1" x14ac:dyDescent="0.25"/>
    <row r="27" spans="1:19" ht="20.100000000000001" customHeight="1" x14ac:dyDescent="0.25">
      <c r="C27" s="48"/>
      <c r="D27" s="48"/>
      <c r="E27" s="48"/>
      <c r="F27" s="48"/>
      <c r="G27" s="48"/>
      <c r="H27" s="48"/>
      <c r="I27" s="48"/>
      <c r="J27" s="48"/>
      <c r="L27" s="48"/>
      <c r="M27" s="48"/>
      <c r="N27" s="48"/>
      <c r="O27" s="48"/>
      <c r="P27" s="48"/>
      <c r="Q27" s="48"/>
      <c r="R27" s="48"/>
      <c r="S27" s="48"/>
    </row>
    <row r="28" spans="1:19" ht="20.100000000000001" customHeight="1" x14ac:dyDescent="0.25">
      <c r="D28" s="6" t="s">
        <v>257</v>
      </c>
    </row>
    <row r="29" spans="1:19" ht="20.100000000000001" customHeight="1" x14ac:dyDescent="0.25">
      <c r="D29" s="5" t="s">
        <v>258</v>
      </c>
    </row>
    <row r="30" spans="1:19" ht="20.100000000000001" customHeight="1" x14ac:dyDescent="0.25">
      <c r="D30" s="57" t="s">
        <v>259</v>
      </c>
    </row>
    <row r="31" spans="1:19" ht="20.100000000000001" customHeight="1" x14ac:dyDescent="0.25">
      <c r="D31" s="13"/>
      <c r="E31" s="13"/>
    </row>
    <row r="32" spans="1:19" ht="20.100000000000001" customHeight="1" x14ac:dyDescent="0.25"/>
    <row r="33" spans="4:18" ht="20.100000000000001" customHeight="1" x14ac:dyDescent="0.25"/>
    <row r="34" spans="4:18" ht="20.100000000000001" customHeight="1" x14ac:dyDescent="0.25">
      <c r="D34" s="55" t="s">
        <v>26</v>
      </c>
      <c r="E34" s="1" t="s">
        <v>260</v>
      </c>
    </row>
    <row r="35" spans="4:18" ht="20.100000000000001" customHeight="1" x14ac:dyDescent="0.25">
      <c r="D35" s="55" t="s">
        <v>17</v>
      </c>
      <c r="E35" s="56" t="s">
        <v>182</v>
      </c>
    </row>
    <row r="36" spans="4:18" ht="20.100000000000001" customHeight="1" x14ac:dyDescent="0.25"/>
    <row r="37" spans="4:18" ht="20.100000000000001" customHeight="1" x14ac:dyDescent="0.25">
      <c r="D37" s="122" t="s">
        <v>261</v>
      </c>
      <c r="E37" s="121" t="s">
        <v>262</v>
      </c>
      <c r="F37" s="123"/>
      <c r="G37" s="122"/>
      <c r="H37" s="120" t="s">
        <v>269</v>
      </c>
      <c r="I37" s="122" t="str">
        <f>'Input - Dairy'!$E$49</f>
        <v>Litres of milk</v>
      </c>
      <c r="M37" s="122" t="s">
        <v>261</v>
      </c>
      <c r="N37" s="121" t="s">
        <v>262</v>
      </c>
      <c r="O37" s="123"/>
      <c r="P37" s="122"/>
      <c r="Q37" s="120" t="s">
        <v>269</v>
      </c>
      <c r="R37" s="122"/>
    </row>
    <row r="38" spans="4:18" ht="20.100000000000001" customHeight="1" x14ac:dyDescent="0.25">
      <c r="D38" s="122" t="s">
        <v>263</v>
      </c>
      <c r="E38" s="121" t="s">
        <v>264</v>
      </c>
      <c r="F38" s="123"/>
      <c r="G38" s="122" t="s">
        <v>270</v>
      </c>
      <c r="H38" s="120" t="s">
        <v>269</v>
      </c>
      <c r="I38" s="119" t="str" cm="1">
        <f t="array" aca="1" ref="I38" ca="1">HYPERLINK(Common_InputFunctions.Utility_SourceHyperlink($D$42),$D$42)</f>
        <v>M1_Table_MS_j</v>
      </c>
      <c r="M38" s="122" t="s">
        <v>263</v>
      </c>
      <c r="N38" s="121" t="s">
        <v>264</v>
      </c>
      <c r="O38" s="123"/>
      <c r="P38" s="122" t="s">
        <v>270</v>
      </c>
      <c r="Q38" s="120" t="s">
        <v>269</v>
      </c>
      <c r="R38" s="119"/>
    </row>
    <row r="39" spans="4:18" ht="20.100000000000001" customHeight="1" x14ac:dyDescent="0.25">
      <c r="D39" s="122" t="s">
        <v>265</v>
      </c>
      <c r="E39" s="121" t="s">
        <v>266</v>
      </c>
      <c r="F39" s="123"/>
      <c r="G39" s="122" t="s">
        <v>271</v>
      </c>
      <c r="H39" s="118" t="s">
        <v>272</v>
      </c>
      <c r="I39" s="122">
        <f>'Input - Dairy'!$E$55*100</f>
        <v>4</v>
      </c>
      <c r="M39" s="122" t="s">
        <v>265</v>
      </c>
      <c r="N39" s="121" t="s">
        <v>266</v>
      </c>
      <c r="O39" s="123"/>
      <c r="P39" s="122" t="s">
        <v>271</v>
      </c>
      <c r="Q39" s="118" t="s">
        <v>272</v>
      </c>
      <c r="R39" s="122">
        <f>'Input - Dairy'!$F$55*100</f>
        <v>4</v>
      </c>
    </row>
    <row r="40" spans="4:18" ht="20.100000000000001" customHeight="1" x14ac:dyDescent="0.25">
      <c r="D40" s="122" t="s">
        <v>267</v>
      </c>
      <c r="E40" s="122" t="s">
        <v>268</v>
      </c>
      <c r="F40" s="122"/>
      <c r="G40" s="122" t="s">
        <v>271</v>
      </c>
      <c r="H40" s="118" t="s">
        <v>272</v>
      </c>
      <c r="I40" s="122">
        <f>'Input - Dairy'!$E$56*100</f>
        <v>3.3000000000000003</v>
      </c>
      <c r="M40" s="122" t="s">
        <v>267</v>
      </c>
      <c r="N40" s="122" t="s">
        <v>268</v>
      </c>
      <c r="O40" s="122"/>
      <c r="P40" s="122" t="s">
        <v>271</v>
      </c>
      <c r="Q40" s="118" t="s">
        <v>272</v>
      </c>
      <c r="R40" s="122">
        <f>'Input - Dairy'!$F$56*100</f>
        <v>3.3000000000000003</v>
      </c>
    </row>
    <row r="41" spans="4:18" ht="20.100000000000001" customHeight="1" x14ac:dyDescent="0.25"/>
    <row r="42" spans="4:18" ht="20.100000000000001" customHeight="1" x14ac:dyDescent="0.25">
      <c r="D42" s="101" t="s">
        <v>239</v>
      </c>
    </row>
    <row r="43" spans="4:18" ht="20.100000000000001" customHeight="1" x14ac:dyDescent="0.25">
      <c r="D43" s="100" t="s">
        <v>240</v>
      </c>
    </row>
    <row r="44" spans="4:18" ht="20.100000000000001" customHeight="1" x14ac:dyDescent="0.25">
      <c r="D44" s="41" t="s">
        <v>127</v>
      </c>
      <c r="E44" s="41" t="s">
        <v>144</v>
      </c>
      <c r="F44" s="41" t="s">
        <v>145</v>
      </c>
      <c r="G44" s="41" t="s">
        <v>146</v>
      </c>
      <c r="H44" s="41" t="s">
        <v>147</v>
      </c>
    </row>
    <row r="45" spans="4:18" ht="20.100000000000001" customHeight="1" x14ac:dyDescent="0.25">
      <c r="D45" s="54">
        <f>IF($I$37="Milk solids", 'Input - Dairy'!$E$52, 0)</f>
        <v>0</v>
      </c>
      <c r="E45" s="54">
        <v>0</v>
      </c>
      <c r="F45" s="54">
        <v>0</v>
      </c>
      <c r="G45" s="54">
        <v>0</v>
      </c>
      <c r="H45" s="54">
        <v>0</v>
      </c>
      <c r="I45" s="2" t="s">
        <v>182</v>
      </c>
    </row>
    <row r="46" spans="4:18" ht="20.100000000000001" customHeight="1" x14ac:dyDescent="0.25"/>
    <row r="47" spans="4:18" ht="20.100000000000001" customHeight="1" x14ac:dyDescent="0.25">
      <c r="D47" s="101" t="s">
        <v>241</v>
      </c>
      <c r="M47" s="101" t="s">
        <v>249</v>
      </c>
    </row>
    <row r="48" spans="4:18" ht="20.100000000000001" customHeight="1" x14ac:dyDescent="0.25">
      <c r="D48" s="100" t="s">
        <v>242</v>
      </c>
      <c r="M48" s="100" t="s">
        <v>250</v>
      </c>
    </row>
    <row r="49" spans="1:19" ht="20.100000000000001" customHeight="1" x14ac:dyDescent="0.25">
      <c r="D49" s="53" t="s">
        <v>127</v>
      </c>
      <c r="E49" s="53" t="s">
        <v>144</v>
      </c>
      <c r="F49" s="53" t="s">
        <v>145</v>
      </c>
      <c r="G49" s="53" t="s">
        <v>146</v>
      </c>
      <c r="H49" s="53" t="s">
        <v>147</v>
      </c>
      <c r="M49" s="53" t="s">
        <v>127</v>
      </c>
      <c r="N49" s="53" t="s">
        <v>144</v>
      </c>
      <c r="O49" s="53" t="s">
        <v>145</v>
      </c>
      <c r="P49" s="53" t="s">
        <v>146</v>
      </c>
      <c r="Q49" s="53" t="s">
        <v>147</v>
      </c>
    </row>
    <row r="50" spans="1:19" ht="20.100000000000001" customHeight="1" x14ac:dyDescent="0.25">
      <c r="D50" s="54">
        <f>(D45 / (0.01 * (I39 + I40)))</f>
        <v>0</v>
      </c>
      <c r="E50" s="54">
        <v>0</v>
      </c>
      <c r="F50" s="54">
        <v>0</v>
      </c>
      <c r="G50" s="54">
        <v>0</v>
      </c>
      <c r="H50" s="54">
        <v>0</v>
      </c>
      <c r="I50" s="2" t="s">
        <v>182</v>
      </c>
      <c r="M50" s="54">
        <f>(D45 / (0.01 * (R39 + R40)))</f>
        <v>0</v>
      </c>
      <c r="N50" s="54">
        <v>0</v>
      </c>
      <c r="O50" s="54">
        <v>0</v>
      </c>
      <c r="P50" s="54">
        <v>0</v>
      </c>
      <c r="Q50" s="54">
        <v>0</v>
      </c>
      <c r="R50" s="2" t="s">
        <v>182</v>
      </c>
    </row>
    <row r="51" spans="1:19" ht="20.100000000000001" customHeight="1" x14ac:dyDescent="0.25">
      <c r="A51" s="125" t="str">
        <f>HYPERLINK("#A1", "▲ Back to top")</f>
        <v>▲ Back to top</v>
      </c>
    </row>
    <row r="52" spans="1:19" ht="20.100000000000001" customHeight="1" x14ac:dyDescent="0.25"/>
    <row r="53" spans="1:19" ht="20.100000000000001" customHeight="1" x14ac:dyDescent="0.25">
      <c r="C53" s="48"/>
      <c r="D53" s="48"/>
      <c r="E53" s="48"/>
      <c r="F53" s="48"/>
      <c r="G53" s="48"/>
      <c r="H53" s="48"/>
      <c r="I53" s="48"/>
      <c r="J53" s="48"/>
      <c r="L53" s="48"/>
      <c r="M53" s="48"/>
      <c r="N53" s="48"/>
      <c r="O53" s="48"/>
      <c r="P53" s="48"/>
      <c r="Q53" s="48"/>
      <c r="R53" s="48"/>
      <c r="S53" s="48"/>
    </row>
    <row r="54" spans="1:19" ht="20.100000000000001" customHeight="1" x14ac:dyDescent="0.25">
      <c r="D54" s="6" t="s">
        <v>273</v>
      </c>
    </row>
    <row r="55" spans="1:19" ht="20.100000000000001" customHeight="1" x14ac:dyDescent="0.25">
      <c r="D55" s="5" t="s">
        <v>274</v>
      </c>
    </row>
    <row r="56" spans="1:19" ht="20.100000000000001" customHeight="1" x14ac:dyDescent="0.25">
      <c r="D56" s="57" t="s">
        <v>275</v>
      </c>
    </row>
    <row r="57" spans="1:19" ht="20.100000000000001" customHeight="1" x14ac:dyDescent="0.25">
      <c r="D57" s="13"/>
      <c r="E57" s="13"/>
    </row>
    <row r="58" spans="1:19" ht="20.100000000000001" customHeight="1" x14ac:dyDescent="0.25">
      <c r="D58" s="6"/>
    </row>
    <row r="59" spans="1:19" ht="20.100000000000001" customHeight="1" x14ac:dyDescent="0.25"/>
    <row r="60" spans="1:19" ht="20.100000000000001" customHeight="1" x14ac:dyDescent="0.25"/>
    <row r="61" spans="1:19" ht="20.100000000000001" customHeight="1" x14ac:dyDescent="0.25">
      <c r="D61" s="55" t="s">
        <v>26</v>
      </c>
      <c r="E61" s="1" t="s">
        <v>276</v>
      </c>
    </row>
    <row r="62" spans="1:19" ht="20.100000000000001" customHeight="1" x14ac:dyDescent="0.25">
      <c r="D62" s="55" t="s">
        <v>17</v>
      </c>
      <c r="E62" s="56" t="s">
        <v>277</v>
      </c>
    </row>
    <row r="63" spans="1:19" ht="20.100000000000001" customHeight="1" x14ac:dyDescent="0.25"/>
    <row r="64" spans="1:19" ht="20.100000000000001" customHeight="1" x14ac:dyDescent="0.25">
      <c r="D64" s="122" t="s">
        <v>261</v>
      </c>
      <c r="E64" s="121" t="s">
        <v>262</v>
      </c>
      <c r="F64" s="123"/>
      <c r="G64" s="122"/>
      <c r="H64" s="120" t="s">
        <v>269</v>
      </c>
      <c r="I64" s="122" t="str">
        <f>'Input - Dairy'!$E$49</f>
        <v>Litres of milk</v>
      </c>
    </row>
    <row r="65" spans="4:18" ht="20.100000000000001" customHeight="1" x14ac:dyDescent="0.25">
      <c r="D65" s="122" t="s">
        <v>260</v>
      </c>
      <c r="E65" s="121" t="s">
        <v>278</v>
      </c>
      <c r="F65" s="123"/>
      <c r="G65" s="122" t="s">
        <v>182</v>
      </c>
      <c r="H65" s="120" t="s">
        <v>269</v>
      </c>
      <c r="I65" s="119" t="str" cm="1">
        <f t="array" aca="1" ref="I65" ca="1">HYPERLINK(Common_InputFunctions.Utility_SourceHyperlink($D$72), $D$72)</f>
        <v>Table_MP_j</v>
      </c>
    </row>
    <row r="66" spans="4:18" ht="20.100000000000001" customHeight="1" x14ac:dyDescent="0.25">
      <c r="D66" s="122" t="s">
        <v>260</v>
      </c>
      <c r="E66" s="121" t="s">
        <v>279</v>
      </c>
      <c r="F66" s="123"/>
      <c r="G66" s="122" t="s">
        <v>182</v>
      </c>
      <c r="H66" s="118" t="s">
        <v>287</v>
      </c>
      <c r="I66" s="119" t="str" cm="1">
        <f t="array" aca="1" ref="I66" ca="1">HYPERLINK(Common_InputFunctions.Utility_SourceHyperlink($D$47),$D$47)</f>
        <v>M1_Table_MP_j_from_solids</v>
      </c>
    </row>
    <row r="67" spans="4:18" ht="20.100000000000001" customHeight="1" x14ac:dyDescent="0.25">
      <c r="D67" s="122" t="s">
        <v>280</v>
      </c>
      <c r="E67" s="121" t="s">
        <v>281</v>
      </c>
      <c r="F67" s="123"/>
      <c r="G67" s="122" t="s">
        <v>288</v>
      </c>
      <c r="H67" s="118" t="s">
        <v>272</v>
      </c>
      <c r="I67" s="122">
        <f>'Constants - Dairy'!$D$167</f>
        <v>3.0539999999999998</v>
      </c>
    </row>
    <row r="68" spans="4:18" ht="20.100000000000001" customHeight="1" x14ac:dyDescent="0.25">
      <c r="D68" s="122" t="s">
        <v>282</v>
      </c>
      <c r="E68" s="121" t="s">
        <v>283</v>
      </c>
      <c r="F68" s="123"/>
      <c r="G68" s="122" t="s">
        <v>289</v>
      </c>
      <c r="H68" s="118" t="s">
        <v>272</v>
      </c>
      <c r="I68" s="122">
        <f>'Constants - Dairy'!$D$174</f>
        <v>18.399999999999999</v>
      </c>
    </row>
    <row r="69" spans="4:18" ht="20.100000000000001" customHeight="1" x14ac:dyDescent="0.25">
      <c r="D69" s="122" t="s">
        <v>284</v>
      </c>
      <c r="E69" s="121" t="s">
        <v>285</v>
      </c>
      <c r="F69" s="123"/>
      <c r="G69" s="122" t="s">
        <v>175</v>
      </c>
      <c r="H69" s="118" t="s">
        <v>272</v>
      </c>
      <c r="I69" s="122">
        <f>'Constants - Dairy'!$D$181</f>
        <v>0.6</v>
      </c>
    </row>
    <row r="70" spans="4:18" ht="20.100000000000001" customHeight="1" x14ac:dyDescent="0.25">
      <c r="D70" s="122" t="s">
        <v>255</v>
      </c>
      <c r="E70" s="121" t="s">
        <v>286</v>
      </c>
      <c r="F70" s="123"/>
      <c r="G70" s="122" t="s">
        <v>175</v>
      </c>
      <c r="H70" s="118" t="s">
        <v>290</v>
      </c>
      <c r="I70" s="119" t="str" cm="1">
        <f t="array" aca="1" ref="I70" ca="1">HYPERLINK(Common_InputFunctions.Utility_SourceHyperlink($D$21), $D$21)</f>
        <v>M1_Table_qm_j</v>
      </c>
    </row>
    <row r="71" spans="4:18" ht="20.100000000000001" customHeight="1" x14ac:dyDescent="0.25"/>
    <row r="72" spans="4:18" ht="20.100000000000001" customHeight="1" x14ac:dyDescent="0.25">
      <c r="D72" s="101" t="s">
        <v>185</v>
      </c>
    </row>
    <row r="73" spans="4:18" ht="20.100000000000001" customHeight="1" x14ac:dyDescent="0.25">
      <c r="D73" s="100" t="s">
        <v>151</v>
      </c>
    </row>
    <row r="74" spans="4:18" ht="20.100000000000001" customHeight="1" x14ac:dyDescent="0.25">
      <c r="D74" s="41" t="s">
        <v>127</v>
      </c>
      <c r="E74" s="41" t="s">
        <v>144</v>
      </c>
      <c r="F74" s="41" t="s">
        <v>145</v>
      </c>
      <c r="G74" s="41" t="s">
        <v>146</v>
      </c>
      <c r="H74" s="41" t="s">
        <v>147</v>
      </c>
    </row>
    <row r="75" spans="4:18" ht="20.100000000000001" customHeight="1" x14ac:dyDescent="0.25">
      <c r="D75" s="54">
        <f>IF(I64="Milk solids", 0, 'Input - Dairy'!$E$52)</f>
        <v>20</v>
      </c>
      <c r="E75" s="54">
        <v>0</v>
      </c>
      <c r="F75" s="54">
        <v>0</v>
      </c>
      <c r="G75" s="54">
        <v>0</v>
      </c>
      <c r="H75" s="54">
        <v>0</v>
      </c>
      <c r="I75" s="2" t="s">
        <v>182</v>
      </c>
    </row>
    <row r="76" spans="4:18" ht="20.100000000000001" customHeight="1" x14ac:dyDescent="0.25"/>
    <row r="77" spans="4:18" ht="20.100000000000001" customHeight="1" x14ac:dyDescent="0.25">
      <c r="D77" s="101" t="s">
        <v>180</v>
      </c>
      <c r="M77" s="101" t="s">
        <v>183</v>
      </c>
    </row>
    <row r="78" spans="4:18" ht="20.100000000000001" customHeight="1" x14ac:dyDescent="0.25">
      <c r="D78" s="100" t="s">
        <v>181</v>
      </c>
      <c r="M78" s="100" t="s">
        <v>184</v>
      </c>
    </row>
    <row r="79" spans="4:18" ht="20.100000000000001" customHeight="1" x14ac:dyDescent="0.25">
      <c r="D79" s="53" t="s">
        <v>127</v>
      </c>
      <c r="E79" s="53" t="s">
        <v>144</v>
      </c>
      <c r="F79" s="53" t="s">
        <v>145</v>
      </c>
      <c r="G79" s="53" t="s">
        <v>146</v>
      </c>
      <c r="H79" s="53" t="s">
        <v>147</v>
      </c>
      <c r="M79" s="53" t="s">
        <v>127</v>
      </c>
      <c r="N79" s="53" t="s">
        <v>144</v>
      </c>
      <c r="O79" s="53" t="s">
        <v>145</v>
      </c>
      <c r="P79" s="53" t="s">
        <v>146</v>
      </c>
      <c r="Q79" s="53" t="s">
        <v>147</v>
      </c>
    </row>
    <row r="80" spans="4:18" ht="20.100000000000001" customHeight="1" x14ac:dyDescent="0.25">
      <c r="D80" s="54">
        <f>(((IF(I64="Milk solids", D50, D75)) * 1.03 * $I$67) / ($I$68 * $I$69 * D24))</f>
        <v>9.5798721636071917</v>
      </c>
      <c r="E80" s="54">
        <f>((E75 * 1.03 * $I$67) / ($I$68 * $I$69 * E24))</f>
        <v>0</v>
      </c>
      <c r="F80" s="54">
        <f>((F75 * 1.03 * $I$67) / ($I$68 * $I$69 * F24))</f>
        <v>0</v>
      </c>
      <c r="G80" s="54">
        <f>((G75 * 1.03 * $I$67) / ($I$68 * $I$69 * G24))</f>
        <v>0</v>
      </c>
      <c r="H80" s="54">
        <f>((H75 * 1.03 * $I$67) / ($I$68 * $I$69 * H24))</f>
        <v>0</v>
      </c>
      <c r="I80" s="2" t="str">
        <f>$E$62</f>
        <v>kg DM/head/day</v>
      </c>
      <c r="M80" s="54">
        <f>(((IF(I64="Milk solids", M50, D75)) * 1.03 * $I$67) / ($I$68 * $I$69 * D24))</f>
        <v>9.5798721636071917</v>
      </c>
      <c r="N80" s="54">
        <f>((E75 * 1.03 * $I$67) / ($I$68 * $I$69 * N24))</f>
        <v>0</v>
      </c>
      <c r="O80" s="54">
        <f>((F75 * 1.03 * $I$67) / ($I$68 * $I$69 * O24))</f>
        <v>0</v>
      </c>
      <c r="P80" s="54">
        <f>((G75 * 1.03 * $I$67) / ($I$68 * $I$69 * P24))</f>
        <v>0</v>
      </c>
      <c r="Q80" s="54">
        <f>((H75 * 1.03 * $I$67) / ($I$68 * $I$69 * Q24))</f>
        <v>0</v>
      </c>
      <c r="R80" s="2" t="str">
        <f>$E$62</f>
        <v>kg DM/head/day</v>
      </c>
    </row>
    <row r="81" spans="3:19" ht="20.100000000000001" customHeight="1" x14ac:dyDescent="0.25"/>
    <row r="82" spans="3:19" ht="20.100000000000001" customHeight="1" x14ac:dyDescent="0.25"/>
    <row r="83" spans="3:19" ht="20.100000000000001" customHeight="1" x14ac:dyDescent="0.25">
      <c r="C83" s="48"/>
      <c r="D83" s="48"/>
      <c r="E83" s="48"/>
      <c r="F83" s="48"/>
      <c r="G83" s="48"/>
      <c r="H83" s="48"/>
      <c r="I83" s="48"/>
      <c r="J83" s="48"/>
      <c r="L83" s="48"/>
      <c r="M83" s="48"/>
      <c r="N83" s="48"/>
      <c r="O83" s="48"/>
      <c r="P83" s="48"/>
      <c r="Q83" s="48"/>
      <c r="R83" s="48"/>
      <c r="S83" s="48"/>
    </row>
    <row r="84" spans="3:19" ht="20.100000000000001" customHeight="1" x14ac:dyDescent="0.25">
      <c r="D84" s="6" t="s">
        <v>291</v>
      </c>
    </row>
    <row r="85" spans="3:19" ht="20.100000000000001" customHeight="1" x14ac:dyDescent="0.25">
      <c r="D85" s="5" t="s">
        <v>292</v>
      </c>
    </row>
    <row r="86" spans="3:19" ht="20.100000000000001" customHeight="1" x14ac:dyDescent="0.25">
      <c r="D86" s="13"/>
      <c r="E86" s="13"/>
    </row>
    <row r="87" spans="3:19" ht="20.100000000000001" customHeight="1" x14ac:dyDescent="0.25"/>
    <row r="88" spans="3:19" ht="20.100000000000001" customHeight="1" x14ac:dyDescent="0.25"/>
    <row r="89" spans="3:19" ht="20.100000000000001" customHeight="1" x14ac:dyDescent="0.25">
      <c r="D89" s="55" t="s">
        <v>26</v>
      </c>
      <c r="E89" s="1" t="s">
        <v>293</v>
      </c>
    </row>
    <row r="90" spans="3:19" ht="20.100000000000001" customHeight="1" x14ac:dyDescent="0.25">
      <c r="D90" s="55" t="s">
        <v>17</v>
      </c>
      <c r="E90" s="56" t="s">
        <v>277</v>
      </c>
    </row>
    <row r="91" spans="3:19" ht="20.100000000000001" customHeight="1" x14ac:dyDescent="0.25"/>
    <row r="92" spans="3:19" ht="20.100000000000001" customHeight="1" x14ac:dyDescent="0.25">
      <c r="D92" s="122" t="s">
        <v>294</v>
      </c>
      <c r="E92" s="121" t="s">
        <v>295</v>
      </c>
      <c r="F92" s="123"/>
      <c r="G92" s="122" t="s">
        <v>301</v>
      </c>
      <c r="H92" s="120" t="s">
        <v>269</v>
      </c>
      <c r="I92" s="119" t="str" cm="1">
        <f t="array" aca="1" ref="I92" ca="1">HYPERLINK(Common_InputFunctions.Utility_SourceHyperlink($D$97), $D$97)</f>
        <v>M1_Table_W_j</v>
      </c>
    </row>
    <row r="93" spans="3:19" ht="20.100000000000001" customHeight="1" x14ac:dyDescent="0.25">
      <c r="D93" s="122" t="s">
        <v>296</v>
      </c>
      <c r="E93" s="121" t="s">
        <v>297</v>
      </c>
      <c r="F93" s="123"/>
      <c r="G93" s="122" t="s">
        <v>150</v>
      </c>
      <c r="H93" s="120" t="s">
        <v>269</v>
      </c>
      <c r="I93" s="119" t="str" cm="1">
        <f t="array" aca="1" ref="I93" ca="1">HYPERLINK(Common_InputFunctions.Utility_SourceHyperlink($D$102), $D$102)</f>
        <v>M1_Table_LWG_j</v>
      </c>
    </row>
    <row r="94" spans="3:19" ht="20.100000000000001" customHeight="1" x14ac:dyDescent="0.25">
      <c r="D94" s="122" t="s">
        <v>298</v>
      </c>
      <c r="E94" s="121" t="s">
        <v>299</v>
      </c>
      <c r="F94" s="123"/>
      <c r="G94" s="122" t="s">
        <v>175</v>
      </c>
      <c r="H94" s="118" t="s">
        <v>272</v>
      </c>
      <c r="I94" s="119" t="str" cm="1">
        <f t="array" aca="1" ref="I94" ca="1">HYPERLINK(Common_InputFunctions.Utility_SourceHyperlink($D$107), $D$107)</f>
        <v>Table_MR_j</v>
      </c>
    </row>
    <row r="95" spans="3:19" ht="20.100000000000001" customHeight="1" x14ac:dyDescent="0.25">
      <c r="D95" s="122" t="s">
        <v>276</v>
      </c>
      <c r="E95" s="121" t="s">
        <v>300</v>
      </c>
      <c r="F95" s="123"/>
      <c r="G95" s="122" t="s">
        <v>277</v>
      </c>
      <c r="H95" s="118" t="s">
        <v>302</v>
      </c>
      <c r="I95" s="119" t="str" cm="1">
        <f t="array" aca="1" ref="I95" ca="1">HYPERLINK(Common_InputFunctions.Utility_SourceHyperlink($D$77), $D$77)</f>
        <v>M1_Table_MI_j</v>
      </c>
    </row>
    <row r="96" spans="3:19" ht="20.100000000000001" customHeight="1" x14ac:dyDescent="0.25"/>
    <row r="97" spans="1:18" ht="20.100000000000001" customHeight="1" x14ac:dyDescent="0.25">
      <c r="D97" s="101" t="s">
        <v>165</v>
      </c>
      <c r="M97" s="101" t="s">
        <v>167</v>
      </c>
    </row>
    <row r="98" spans="1:18" ht="20.100000000000001" customHeight="1" x14ac:dyDescent="0.25">
      <c r="D98" s="100" t="s">
        <v>166</v>
      </c>
      <c r="M98" s="100" t="s">
        <v>168</v>
      </c>
    </row>
    <row r="99" spans="1:18" ht="20.100000000000001" customHeight="1" x14ac:dyDescent="0.25">
      <c r="D99" s="41" t="s">
        <v>127</v>
      </c>
      <c r="E99" s="41" t="s">
        <v>144</v>
      </c>
      <c r="F99" s="41" t="s">
        <v>145</v>
      </c>
      <c r="G99" s="41" t="s">
        <v>146</v>
      </c>
      <c r="H99" s="41" t="s">
        <v>147</v>
      </c>
      <c r="M99" s="41" t="s">
        <v>127</v>
      </c>
      <c r="N99" s="41" t="s">
        <v>144</v>
      </c>
      <c r="O99" s="41" t="s">
        <v>145</v>
      </c>
      <c r="P99" s="41" t="s">
        <v>146</v>
      </c>
      <c r="Q99" s="41" t="s">
        <v>147</v>
      </c>
    </row>
    <row r="100" spans="1:18" ht="20.100000000000001" customHeight="1" x14ac:dyDescent="0.25">
      <c r="D100" s="54">
        <f>'Input - Dairy'!$E$14</f>
        <v>550</v>
      </c>
      <c r="E100" s="54">
        <f>'Input - Dairy'!$F$14</f>
        <v>380</v>
      </c>
      <c r="F100" s="54">
        <f>'Input - Dairy'!$G$14</f>
        <v>155</v>
      </c>
      <c r="G100" s="54">
        <f>'Input - Dairy'!$H$14</f>
        <v>600</v>
      </c>
      <c r="H100" s="54">
        <f>'Input - Dairy'!$I$14</f>
        <v>225</v>
      </c>
      <c r="I100" s="2" t="s">
        <v>149</v>
      </c>
      <c r="M100" s="54">
        <f>'Input - Dairy'!$E$18</f>
        <v>550</v>
      </c>
      <c r="N100" s="54">
        <f>'Input - Dairy'!$F$18</f>
        <v>380</v>
      </c>
      <c r="O100" s="54">
        <f>'Input - Dairy'!$G$18</f>
        <v>155</v>
      </c>
      <c r="P100" s="54">
        <f>'Input - Dairy'!$H$18</f>
        <v>600</v>
      </c>
      <c r="Q100" s="54">
        <f>'Input - Dairy'!$I$18</f>
        <v>225</v>
      </c>
      <c r="R100" s="2" t="s">
        <v>149</v>
      </c>
    </row>
    <row r="101" spans="1:18" ht="20.100000000000001" customHeight="1" x14ac:dyDescent="0.25"/>
    <row r="102" spans="1:18" ht="20.100000000000001" customHeight="1" x14ac:dyDescent="0.25">
      <c r="D102" s="101" t="s">
        <v>169</v>
      </c>
      <c r="M102" s="101" t="s">
        <v>171</v>
      </c>
    </row>
    <row r="103" spans="1:18" ht="20.100000000000001" customHeight="1" x14ac:dyDescent="0.25">
      <c r="D103" s="100" t="s">
        <v>170</v>
      </c>
      <c r="M103" s="100" t="s">
        <v>172</v>
      </c>
    </row>
    <row r="104" spans="1:18" ht="20.100000000000001" customHeight="1" x14ac:dyDescent="0.25">
      <c r="D104" s="41" t="s">
        <v>127</v>
      </c>
      <c r="E104" s="41" t="s">
        <v>144</v>
      </c>
      <c r="F104" s="41" t="s">
        <v>145</v>
      </c>
      <c r="G104" s="41" t="s">
        <v>146</v>
      </c>
      <c r="H104" s="41" t="s">
        <v>147</v>
      </c>
      <c r="M104" s="41" t="s">
        <v>127</v>
      </c>
      <c r="N104" s="41" t="s">
        <v>144</v>
      </c>
      <c r="O104" s="41" t="s">
        <v>145</v>
      </c>
      <c r="P104" s="41" t="s">
        <v>146</v>
      </c>
      <c r="Q104" s="41" t="s">
        <v>147</v>
      </c>
    </row>
    <row r="105" spans="1:18" ht="20.100000000000001" customHeight="1" x14ac:dyDescent="0.25">
      <c r="A105" s="125" t="str">
        <f>HYPERLINK("#A1", "▲ Back to top")</f>
        <v>▲ Back to top</v>
      </c>
      <c r="D105" s="54">
        <f>'Input - Dairy'!$E$15</f>
        <v>1.6E-2</v>
      </c>
      <c r="E105" s="54">
        <f>'Input - Dairy'!$F$15</f>
        <v>0.6</v>
      </c>
      <c r="F105" s="54">
        <f>'Input - Dairy'!$G$15</f>
        <v>0.56999999999999995</v>
      </c>
      <c r="G105" s="54">
        <f>'Input - Dairy'!$H$15</f>
        <v>0.1</v>
      </c>
      <c r="H105" s="54">
        <f>'Input - Dairy'!$I$15</f>
        <v>0.8</v>
      </c>
      <c r="I105" s="2" t="s">
        <v>150</v>
      </c>
      <c r="M105" s="54">
        <f>'Input - Dairy'!$E$19</f>
        <v>1.6E-2</v>
      </c>
      <c r="N105" s="54">
        <f>'Input - Dairy'!$F$19</f>
        <v>0.6</v>
      </c>
      <c r="O105" s="54">
        <f>'Input - Dairy'!$G$19</f>
        <v>0.56999999999999995</v>
      </c>
      <c r="P105" s="54">
        <f>'Input - Dairy'!$H$19</f>
        <v>0.1</v>
      </c>
      <c r="Q105" s="54">
        <f>'Input - Dairy'!$I$19</f>
        <v>0.8</v>
      </c>
      <c r="R105" s="2" t="s">
        <v>150</v>
      </c>
    </row>
    <row r="106" spans="1:18" ht="20.100000000000001" customHeight="1" x14ac:dyDescent="0.25"/>
    <row r="107" spans="1:18" ht="20.100000000000001" customHeight="1" x14ac:dyDescent="0.25">
      <c r="D107" s="101" t="s">
        <v>173</v>
      </c>
    </row>
    <row r="108" spans="1:18" ht="20.100000000000001" customHeight="1" x14ac:dyDescent="0.25">
      <c r="D108" s="100" t="s">
        <v>174</v>
      </c>
    </row>
    <row r="109" spans="1:18" ht="20.100000000000001" customHeight="1" x14ac:dyDescent="0.25">
      <c r="D109" s="53" t="s">
        <v>127</v>
      </c>
      <c r="E109" s="53" t="s">
        <v>144</v>
      </c>
      <c r="F109" s="53" t="s">
        <v>145</v>
      </c>
      <c r="G109" s="53" t="s">
        <v>146</v>
      </c>
      <c r="H109" s="53" t="s">
        <v>147</v>
      </c>
    </row>
    <row r="110" spans="1:18" ht="20.100000000000001" customHeight="1" x14ac:dyDescent="0.25">
      <c r="D110" s="54">
        <f>'Constants - Dairy'!$E$108</f>
        <v>1.1000000000000001</v>
      </c>
      <c r="E110" s="54">
        <f>'Constants - Dairy'!$E$109</f>
        <v>1</v>
      </c>
      <c r="F110" s="54">
        <f>'Constants - Dairy'!$E$109</f>
        <v>1</v>
      </c>
      <c r="G110" s="54">
        <f>'Constants - Dairy'!$E$109</f>
        <v>1</v>
      </c>
      <c r="H110" s="54">
        <f>'Constants - Dairy'!$E$109</f>
        <v>1</v>
      </c>
      <c r="I110" s="2" t="s">
        <v>92</v>
      </c>
    </row>
    <row r="111" spans="1:18" ht="20.100000000000001" customHeight="1" x14ac:dyDescent="0.25"/>
    <row r="112" spans="1:18" ht="20.100000000000001" customHeight="1" x14ac:dyDescent="0.25">
      <c r="D112" s="101" t="s">
        <v>101</v>
      </c>
      <c r="M112" s="101" t="s">
        <v>102</v>
      </c>
    </row>
    <row r="113" spans="3:19" ht="20.100000000000001" customHeight="1" x14ac:dyDescent="0.25">
      <c r="D113" s="100" t="s">
        <v>188</v>
      </c>
      <c r="M113" s="100" t="s">
        <v>187</v>
      </c>
    </row>
    <row r="114" spans="3:19" ht="20.100000000000001" customHeight="1" x14ac:dyDescent="0.25">
      <c r="D114" s="53" t="s">
        <v>127</v>
      </c>
      <c r="E114" s="53" t="s">
        <v>144</v>
      </c>
      <c r="F114" s="53" t="s">
        <v>145</v>
      </c>
      <c r="G114" s="53" t="s">
        <v>146</v>
      </c>
      <c r="H114" s="53" t="s">
        <v>147</v>
      </c>
      <c r="M114" s="53" t="s">
        <v>127</v>
      </c>
      <c r="N114" s="53" t="s">
        <v>144</v>
      </c>
      <c r="O114" s="53" t="s">
        <v>145</v>
      </c>
      <c r="P114" s="53" t="s">
        <v>146</v>
      </c>
      <c r="Q114" s="53" t="s">
        <v>147</v>
      </c>
    </row>
    <row r="115" spans="3:19" ht="20.100000000000001" customHeight="1" x14ac:dyDescent="0.25">
      <c r="D115" s="54">
        <f>((1.185 + 0.00454 * D100 - 0.0000026 * D100 ^ 2 + 0.315 * D105) ^ 2 * D110 + D80)</f>
        <v>18.834317684367193</v>
      </c>
      <c r="E115" s="54">
        <f>((1.185 + 0.00454 * E100 - 0.0000026 * E100 ^ 2 + 0.315 * E105) ^ 2 * E110 + E80)</f>
        <v>7.4188685375999972</v>
      </c>
      <c r="F115" s="54">
        <f>((1.185 + 0.00454 * F100 - 0.0000026 * F100 ^ 2 + 0.315 * F105) ^ 2 * F110 + F80)</f>
        <v>4.0231734662249998</v>
      </c>
      <c r="G115" s="54">
        <f>((1.185 + 0.00454 * G100 - 0.0000026 * G100 ^ 2 + 0.315 * G105) ^ 2 * G110 + G80)</f>
        <v>9.0270202499999979</v>
      </c>
      <c r="H115" s="54">
        <f>((1.185 + 0.00454 * H100 - 0.0000026 * H100 ^ 2 + 0.315 * H105) ^ 2 * H110 + H80)</f>
        <v>5.4143472656250013</v>
      </c>
      <c r="I115" s="2" t="str">
        <f>$E$90</f>
        <v>kg DM/head/day</v>
      </c>
      <c r="M115" s="54">
        <f>((1.185 + 0.00454 * M100 - 0.0000026 * M100 ^ 2 + 0.315 * M105) ^ 2 * D110 + M80)</f>
        <v>18.834317684367193</v>
      </c>
      <c r="N115" s="54">
        <f>((1.185 + 0.00454 * N100 - 0.0000026 * N100 ^ 2 + 0.315 * N105) ^ 2 * E110 + N80)</f>
        <v>7.4188685375999972</v>
      </c>
      <c r="O115" s="54">
        <f>((1.185 + 0.00454 * O100 - 0.0000026 * O100 ^ 2 + 0.315 * O105) ^ 2 * F110 + O80)</f>
        <v>4.0231734662249998</v>
      </c>
      <c r="P115" s="54">
        <f>((1.185 + 0.00454 * P100 - 0.0000026 * P100 ^ 2 + 0.315 * P105) ^ 2 * G110 + P80)</f>
        <v>9.0270202499999979</v>
      </c>
      <c r="Q115" s="54">
        <f>((1.185 + 0.00454 * Q100 - 0.0000026 * Q100 ^ 2 + 0.315 * Q105) ^ 2 * H110 + 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8"/>
      <c r="D118" s="48"/>
      <c r="E118" s="48"/>
      <c r="F118" s="48"/>
      <c r="G118" s="48"/>
      <c r="H118" s="48"/>
      <c r="I118" s="48"/>
      <c r="J118" s="48"/>
      <c r="L118" s="48"/>
      <c r="M118" s="48"/>
      <c r="N118" s="48"/>
      <c r="O118" s="48"/>
      <c r="P118" s="48"/>
      <c r="Q118" s="48"/>
      <c r="R118" s="48"/>
      <c r="S118" s="48"/>
    </row>
    <row r="119" spans="3:19" ht="20.100000000000001" customHeight="1" x14ac:dyDescent="0.25">
      <c r="D119" s="50" t="s">
        <v>303</v>
      </c>
    </row>
    <row r="120" spans="3:19" ht="20.100000000000001" customHeight="1" x14ac:dyDescent="0.25">
      <c r="D120" s="5" t="s">
        <v>304</v>
      </c>
    </row>
    <row r="121" spans="3:19" ht="20.100000000000001" customHeight="1" x14ac:dyDescent="0.25">
      <c r="D121" s="13"/>
      <c r="E121" s="13"/>
    </row>
    <row r="122" spans="3:19" ht="20.100000000000001" customHeight="1" x14ac:dyDescent="0.25"/>
    <row r="123" spans="3:19" ht="20.100000000000001" customHeight="1" x14ac:dyDescent="0.25"/>
    <row r="124" spans="3:19" ht="20.100000000000001" customHeight="1" x14ac:dyDescent="0.25">
      <c r="D124" s="55" t="s">
        <v>26</v>
      </c>
      <c r="E124" s="1" t="s">
        <v>305</v>
      </c>
    </row>
    <row r="125" spans="3:19" ht="20.100000000000001" customHeight="1" x14ac:dyDescent="0.25">
      <c r="D125" s="55" t="s">
        <v>17</v>
      </c>
      <c r="E125" s="56" t="s">
        <v>306</v>
      </c>
    </row>
    <row r="126" spans="3:19" ht="20.100000000000001" customHeight="1" x14ac:dyDescent="0.25"/>
    <row r="127" spans="3:19" ht="20.100000000000001" customHeight="1" x14ac:dyDescent="0.25">
      <c r="D127" s="122" t="str" cm="1">
        <f t="array" ref="D127:G127">(_xlfn.MAKEARRAY(1, 4, _xlfn.LAMBDA(_xlpm.r,_xlpm.c, INDEX({"I_j","dry matter feed intake","kg DM/head/day","Calculated from 3.3.1.1 (3)"}, _xlpm.r, _xlpm.c))))</f>
        <v>I_j</v>
      </c>
      <c r="E127" s="122" t="str">
        <v>dry matter feed intake</v>
      </c>
      <c r="F127" s="122" t="str">
        <v>kg DM/head/day</v>
      </c>
      <c r="G127" s="118" t="str">
        <v>Calculated from 3.3.1.1 (3)</v>
      </c>
      <c r="H127" s="119" t="str" cm="1">
        <f t="array" aca="1" ref="H127" ca="1">HYPERLINK(Common_InputFunctions.Utility_SourceHyperlink($D$112),$D$112)</f>
        <v>M1_Table_I_j</v>
      </c>
    </row>
    <row r="128" spans="3:19" ht="20.100000000000001" customHeight="1" x14ac:dyDescent="0.25"/>
    <row r="129" spans="3:19" ht="20.100000000000001" customHeight="1" x14ac:dyDescent="0.25">
      <c r="D129" s="101" t="s">
        <v>220</v>
      </c>
      <c r="M129" s="101" t="s">
        <v>222</v>
      </c>
    </row>
    <row r="130" spans="3:19" ht="20.100000000000001" customHeight="1" x14ac:dyDescent="0.25">
      <c r="D130" s="100" t="s">
        <v>221</v>
      </c>
      <c r="M130" s="100" t="s">
        <v>223</v>
      </c>
    </row>
    <row r="131" spans="3:19" ht="20.100000000000001" customHeight="1" x14ac:dyDescent="0.25">
      <c r="D131" s="53" t="s">
        <v>127</v>
      </c>
      <c r="E131" s="53" t="s">
        <v>144</v>
      </c>
      <c r="F131" s="53" t="s">
        <v>145</v>
      </c>
      <c r="G131" s="53" t="s">
        <v>146</v>
      </c>
      <c r="H131" s="53" t="s">
        <v>147</v>
      </c>
      <c r="M131" s="53" t="s">
        <v>127</v>
      </c>
      <c r="N131" s="53" t="s">
        <v>144</v>
      </c>
      <c r="O131" s="53" t="s">
        <v>145</v>
      </c>
      <c r="P131" s="53" t="s">
        <v>146</v>
      </c>
      <c r="Q131" s="53" t="s">
        <v>147</v>
      </c>
    </row>
    <row r="132" spans="3:19" ht="20.100000000000001" customHeight="1" x14ac:dyDescent="0.25">
      <c r="D132" s="54">
        <f>(20.7 * D115 * 10 ^ -3)</f>
        <v>0.38987037606640085</v>
      </c>
      <c r="E132" s="54">
        <f>(20.7 * E115 * 10 ^ -3)</f>
        <v>0.15357057872831995</v>
      </c>
      <c r="F132" s="54">
        <f>(20.7 * F115 * 10 ^ -3)</f>
        <v>8.3279690750857505E-2</v>
      </c>
      <c r="G132" s="54">
        <f>(20.7 * G115 * 10 ^ -3)</f>
        <v>0.18685931917499995</v>
      </c>
      <c r="H132" s="54">
        <f>(20.7 * H115 * 10 ^ -3)</f>
        <v>0.11207698839843752</v>
      </c>
      <c r="I132" s="2" t="str">
        <f>$E$125</f>
        <v>kg CH4/head/day</v>
      </c>
      <c r="M132" s="54">
        <f>(20.7 * M115 * 10 ^ -3)</f>
        <v>0.38987037606640085</v>
      </c>
      <c r="N132" s="54">
        <f>(20.7 * N115 * 10 ^ -3)</f>
        <v>0.15357057872831995</v>
      </c>
      <c r="O132" s="54">
        <f>(20.7 * O115 * 10 ^ -3)</f>
        <v>8.3279690750857505E-2</v>
      </c>
      <c r="P132" s="54">
        <f>(20.7 * P115 * 10 ^ -3)</f>
        <v>0.18685931917499995</v>
      </c>
      <c r="Q132" s="54">
        <f>(20.7 * Q115 * 10 ^ -3)</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8"/>
      <c r="D135" s="48"/>
      <c r="E135" s="48"/>
      <c r="F135" s="48"/>
      <c r="G135" s="48"/>
      <c r="H135" s="48"/>
      <c r="I135" s="48"/>
      <c r="J135" s="48"/>
      <c r="L135" s="48"/>
      <c r="M135" s="48"/>
      <c r="N135" s="48"/>
      <c r="O135" s="48"/>
      <c r="P135" s="48"/>
      <c r="Q135" s="48"/>
      <c r="R135" s="48"/>
      <c r="S135" s="48"/>
    </row>
    <row r="136" spans="3:19" ht="20.100000000000001" customHeight="1" x14ac:dyDescent="0.25">
      <c r="D136" s="50" t="s">
        <v>307</v>
      </c>
    </row>
    <row r="137" spans="3:19" ht="20.100000000000001" customHeight="1" x14ac:dyDescent="0.25">
      <c r="D137" s="5" t="s">
        <v>308</v>
      </c>
    </row>
    <row r="138" spans="3:19" ht="20.100000000000001" customHeight="1" x14ac:dyDescent="0.25">
      <c r="D138" s="57" t="s">
        <v>309</v>
      </c>
    </row>
    <row r="139" spans="3:19" ht="20.100000000000001" customHeight="1" x14ac:dyDescent="0.25">
      <c r="D139" s="13"/>
      <c r="E139" s="13"/>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1:9" ht="20.100000000000001" customHeight="1" x14ac:dyDescent="0.25">
      <c r="D145" s="55" t="s">
        <v>26</v>
      </c>
      <c r="E145" s="1" t="s">
        <v>310</v>
      </c>
    </row>
    <row r="146" spans="1:9" ht="20.100000000000001" customHeight="1" x14ac:dyDescent="0.25">
      <c r="D146" s="55" t="s">
        <v>17</v>
      </c>
      <c r="E146" s="56" t="s">
        <v>311</v>
      </c>
    </row>
    <row r="147" spans="1:9" ht="20.100000000000001" customHeight="1" x14ac:dyDescent="0.25"/>
    <row r="148" spans="1:9" ht="20.100000000000001" customHeight="1" x14ac:dyDescent="0.25">
      <c r="D148" s="122" t="s">
        <v>312</v>
      </c>
      <c r="E148" s="121" t="s">
        <v>313</v>
      </c>
      <c r="F148" s="123"/>
      <c r="G148" s="122" t="s">
        <v>97</v>
      </c>
      <c r="H148" s="120" t="s">
        <v>269</v>
      </c>
      <c r="I148" s="119" t="str" cm="1">
        <f t="array" aca="1" ref="I148" ca="1">HYPERLINK(Common_InputFunctions.Utility_SourceHyperlink($D$157),$D$157)</f>
        <v>Table_N_j</v>
      </c>
    </row>
    <row r="149" spans="1:9" ht="20.100000000000001" customHeight="1" x14ac:dyDescent="0.25">
      <c r="D149" s="122" t="s">
        <v>314</v>
      </c>
      <c r="E149" s="121" t="s">
        <v>315</v>
      </c>
      <c r="F149" s="123"/>
      <c r="G149" s="122" t="s">
        <v>306</v>
      </c>
      <c r="H149" s="118" t="s">
        <v>328</v>
      </c>
      <c r="I149" s="119" t="str" cm="1">
        <f t="array" aca="1" ref="I149" ca="1">HYPERLINK(Common_InputFunctions.Utility_SourceHyperlink($D$129),$D$129)</f>
        <v>M1_Table_M_j</v>
      </c>
    </row>
    <row r="150" spans="1:9" ht="20.100000000000001" customHeight="1" x14ac:dyDescent="0.25">
      <c r="D150" s="122" t="s">
        <v>316</v>
      </c>
      <c r="E150" s="121" t="s">
        <v>317</v>
      </c>
      <c r="F150" s="123"/>
      <c r="G150" s="122" t="s">
        <v>329</v>
      </c>
      <c r="H150" s="120" t="s">
        <v>269</v>
      </c>
      <c r="I150" s="119" t="str" cm="1">
        <f t="array" aca="1" ref="I150" ca="1">HYPERLINK(Common_InputFunctions.Utility_SourceHyperlink($D$162),$D$162)</f>
        <v>M1_Table_D_j</v>
      </c>
    </row>
    <row r="151" spans="1:9" ht="20.100000000000001" customHeight="1" x14ac:dyDescent="0.25">
      <c r="A151" s="125" t="str">
        <f>HYPERLINK("#A1", "▲ Back to top")</f>
        <v>▲ Back to top</v>
      </c>
      <c r="D151" s="122" t="s">
        <v>318</v>
      </c>
      <c r="E151" s="121" t="s">
        <v>319</v>
      </c>
      <c r="F151" s="123"/>
      <c r="G151" s="122" t="s">
        <v>97</v>
      </c>
      <c r="H151" s="120" t="s">
        <v>269</v>
      </c>
      <c r="I151" s="119" t="str" cm="1">
        <f t="array" aca="1" ref="I151" ca="1">HYPERLINK(Common_InputFunctions.Utility_SourceHyperlink($D$157),$D$157)</f>
        <v>Table_N_j</v>
      </c>
    </row>
    <row r="152" spans="1:9" ht="20.100000000000001" customHeight="1" x14ac:dyDescent="0.25">
      <c r="D152" s="122" t="s">
        <v>320</v>
      </c>
      <c r="E152" s="121" t="s">
        <v>321</v>
      </c>
      <c r="F152" s="123"/>
      <c r="G152" s="122" t="s">
        <v>306</v>
      </c>
      <c r="H152" s="118" t="s">
        <v>328</v>
      </c>
      <c r="I152" s="119" t="str" cm="1">
        <f t="array" aca="1" ref="I152" ca="1">HYPERLINK(Common_InputFunctions.Utility_SourceHyperlink($D$129),$D$129)</f>
        <v>M1_Table_M_j</v>
      </c>
    </row>
    <row r="153" spans="1:9" ht="20.100000000000001" customHeight="1" x14ac:dyDescent="0.25">
      <c r="D153" s="122" t="s">
        <v>322</v>
      </c>
      <c r="E153" s="121" t="s">
        <v>323</v>
      </c>
      <c r="F153" s="123"/>
      <c r="G153" s="122" t="s">
        <v>329</v>
      </c>
      <c r="H153" s="120" t="s">
        <v>269</v>
      </c>
      <c r="I153" s="119" t="str" cm="1">
        <f t="array" aca="1" ref="I153" ca="1">HYPERLINK(Common_InputFunctions.Utility_SourceHyperlink($D$162),$D$162)</f>
        <v>M1_Table_D_j</v>
      </c>
    </row>
    <row r="154" spans="1:9" ht="20.100000000000001" customHeight="1" x14ac:dyDescent="0.25">
      <c r="D154" s="122" t="s">
        <v>324</v>
      </c>
      <c r="E154" s="121" t="s">
        <v>325</v>
      </c>
      <c r="F154" s="123"/>
      <c r="G154" s="122" t="s">
        <v>329</v>
      </c>
      <c r="H154" s="120" t="s">
        <v>269</v>
      </c>
      <c r="I154" s="119" t="str" cm="1">
        <f t="array" aca="1" ref="I154" ca="1">HYPERLINK(Common_InputFunctions.Utility_SourceHyperlink($D$167),$D$167)</f>
        <v>M1_Table_DPW_j-3-5</v>
      </c>
    </row>
    <row r="155" spans="1:9" ht="20.100000000000001" customHeight="1" x14ac:dyDescent="0.25">
      <c r="D155" s="122" t="s">
        <v>326</v>
      </c>
      <c r="E155" s="122" t="s">
        <v>327</v>
      </c>
      <c r="F155" s="122"/>
      <c r="G155" s="122" t="s">
        <v>306</v>
      </c>
      <c r="H155" s="118" t="s">
        <v>272</v>
      </c>
      <c r="I155" s="119" t="str" cm="1">
        <f t="array" aca="1" ref="I155" ca="1">HYPERLINK(Common_InputFunctions.Utility_SourceHyperlink($D$172),$D$172)</f>
        <v>M1_Table_MPW_j-3-5</v>
      </c>
    </row>
    <row r="156" spans="1:9" ht="20.100000000000001" customHeight="1" x14ac:dyDescent="0.25"/>
    <row r="157" spans="1:9" ht="20.100000000000001" customHeight="1" x14ac:dyDescent="0.25">
      <c r="D157" s="101" t="s">
        <v>98</v>
      </c>
    </row>
    <row r="158" spans="1:9" ht="20.100000000000001" customHeight="1" x14ac:dyDescent="0.25">
      <c r="D158" s="100" t="s">
        <v>224</v>
      </c>
    </row>
    <row r="159" spans="1:9" ht="20.100000000000001" customHeight="1" x14ac:dyDescent="0.25">
      <c r="D159" s="41" t="s">
        <v>127</v>
      </c>
      <c r="E159" s="41" t="s">
        <v>144</v>
      </c>
      <c r="F159" s="41" t="s">
        <v>145</v>
      </c>
      <c r="G159" s="41" t="s">
        <v>146</v>
      </c>
      <c r="H159" s="41" t="s">
        <v>147</v>
      </c>
    </row>
    <row r="160" spans="1:9" ht="20.100000000000001" customHeight="1" x14ac:dyDescent="0.25">
      <c r="D160" s="54">
        <f>'Input - Dairy'!E10</f>
        <v>100</v>
      </c>
      <c r="E160" s="54">
        <f>'Input - Dairy'!F10</f>
        <v>100</v>
      </c>
      <c r="F160" s="54">
        <f>'Input - Dairy'!G10</f>
        <v>100</v>
      </c>
      <c r="G160" s="54">
        <f>'Input - Dairy'!H10</f>
        <v>100</v>
      </c>
      <c r="H160" s="54">
        <f>'Input - Dairy'!I10</f>
        <v>100</v>
      </c>
      <c r="I160" s="56" t="str">
        <f>$G$148</f>
        <v>head</v>
      </c>
    </row>
    <row r="161" spans="4:18" ht="20.100000000000001" customHeight="1" x14ac:dyDescent="0.25"/>
    <row r="162" spans="4:18" ht="20.100000000000001" customHeight="1" x14ac:dyDescent="0.25">
      <c r="D162" s="101" t="s">
        <v>189</v>
      </c>
      <c r="M162" s="101" t="s">
        <v>190</v>
      </c>
    </row>
    <row r="163" spans="4:18" ht="20.100000000000001" customHeight="1" x14ac:dyDescent="0.25">
      <c r="D163" s="100" t="s">
        <v>225</v>
      </c>
      <c r="M163" s="100" t="s">
        <v>227</v>
      </c>
    </row>
    <row r="164" spans="4:18" ht="20.100000000000001" customHeight="1" x14ac:dyDescent="0.25">
      <c r="D164" s="41" t="s">
        <v>127</v>
      </c>
      <c r="E164" s="41" t="s">
        <v>144</v>
      </c>
      <c r="F164" s="41" t="s">
        <v>145</v>
      </c>
      <c r="G164" s="41" t="s">
        <v>146</v>
      </c>
      <c r="H164" s="41" t="s">
        <v>147</v>
      </c>
      <c r="M164" s="41" t="s">
        <v>127</v>
      </c>
      <c r="N164" s="41" t="s">
        <v>144</v>
      </c>
      <c r="O164" s="41" t="s">
        <v>145</v>
      </c>
      <c r="P164" s="41" t="s">
        <v>146</v>
      </c>
      <c r="Q164" s="41" t="s">
        <v>147</v>
      </c>
    </row>
    <row r="165" spans="4:18" ht="20.100000000000001" customHeight="1" x14ac:dyDescent="0.25">
      <c r="D165" s="54">
        <f>'Input - Dairy'!E24</f>
        <v>365</v>
      </c>
      <c r="E165" s="54">
        <f>'Input - Dairy'!F24</f>
        <v>365</v>
      </c>
      <c r="F165" s="54">
        <f>'Input - Dairy'!G24</f>
        <v>281</v>
      </c>
      <c r="G165" s="54">
        <f>'Input - Dairy'!H24</f>
        <v>365</v>
      </c>
      <c r="H165" s="54">
        <f>'Input - Dairy'!I24</f>
        <v>281</v>
      </c>
      <c r="I165" s="56" t="str">
        <f>$G$150</f>
        <v>days</v>
      </c>
      <c r="M165" s="54">
        <f>'Input - Dairy'!E28</f>
        <v>365</v>
      </c>
      <c r="N165" s="54">
        <f>'Input - Dairy'!F28</f>
        <v>365</v>
      </c>
      <c r="O165" s="54">
        <f>'Input - Dairy'!G28</f>
        <v>281</v>
      </c>
      <c r="P165" s="54">
        <f>'Input - Dairy'!H28</f>
        <v>365</v>
      </c>
      <c r="Q165" s="54">
        <f>'Input - Dairy'!I28</f>
        <v>281</v>
      </c>
      <c r="R165" s="56" t="str">
        <f>$G$150</f>
        <v>days</v>
      </c>
    </row>
    <row r="166" spans="4:18" ht="20.100000000000001" customHeight="1" x14ac:dyDescent="0.25"/>
    <row r="167" spans="4:18" ht="20.100000000000001" customHeight="1" x14ac:dyDescent="0.25">
      <c r="D167" s="101" t="s">
        <v>230</v>
      </c>
      <c r="M167" s="101" t="s">
        <v>228</v>
      </c>
    </row>
    <row r="168" spans="4:18" ht="20.100000000000001" customHeight="1" x14ac:dyDescent="0.25">
      <c r="D168" s="100" t="s">
        <v>226</v>
      </c>
      <c r="M168" s="100" t="s">
        <v>229</v>
      </c>
    </row>
    <row r="169" spans="4:18" ht="20.100000000000001" customHeight="1" x14ac:dyDescent="0.25">
      <c r="D169" s="41" t="s">
        <v>127</v>
      </c>
      <c r="E169" s="41" t="s">
        <v>144</v>
      </c>
      <c r="F169" s="41" t="s">
        <v>145</v>
      </c>
      <c r="G169" s="41" t="s">
        <v>146</v>
      </c>
      <c r="H169" s="41" t="s">
        <v>147</v>
      </c>
      <c r="M169" s="41" t="s">
        <v>127</v>
      </c>
      <c r="N169" s="41" t="s">
        <v>144</v>
      </c>
      <c r="O169" s="41" t="s">
        <v>145</v>
      </c>
      <c r="P169" s="41" t="s">
        <v>146</v>
      </c>
      <c r="Q169" s="41" t="s">
        <v>147</v>
      </c>
    </row>
    <row r="170" spans="4:18" ht="20.100000000000001" customHeight="1" x14ac:dyDescent="0.25">
      <c r="D170" s="54">
        <f>'Input - Dairy'!E25</f>
        <v>0</v>
      </c>
      <c r="E170" s="54">
        <f>'Input - Dairy'!F29</f>
        <v>0</v>
      </c>
      <c r="F170" s="54">
        <f>'Input - Dairy'!G29</f>
        <v>84</v>
      </c>
      <c r="G170" s="54">
        <f>'Input - Dairy'!H29</f>
        <v>0</v>
      </c>
      <c r="H170" s="54">
        <f>'Input - Dairy'!I29</f>
        <v>84</v>
      </c>
      <c r="I170" s="56" t="str">
        <f>$G$150</f>
        <v>days</v>
      </c>
      <c r="M170" s="54">
        <f>'Input - Dairy'!E29</f>
        <v>0</v>
      </c>
      <c r="N170" s="54">
        <f>'Input - Dairy'!F29</f>
        <v>0</v>
      </c>
      <c r="O170" s="54">
        <f>'Input - Dairy'!G29</f>
        <v>84</v>
      </c>
      <c r="P170" s="54">
        <f>'Input - Dairy'!H29</f>
        <v>0</v>
      </c>
      <c r="Q170" s="54">
        <f>'Input - Dairy'!I29</f>
        <v>84</v>
      </c>
      <c r="R170" s="56" t="str">
        <f>$G$150</f>
        <v>days</v>
      </c>
    </row>
    <row r="171" spans="4:18" ht="20.100000000000001" customHeight="1" x14ac:dyDescent="0.25"/>
    <row r="172" spans="4:18" ht="20.100000000000001" customHeight="1" x14ac:dyDescent="0.25">
      <c r="D172" s="101" t="s">
        <v>231</v>
      </c>
    </row>
    <row r="173" spans="4:18" ht="20.100000000000001" customHeight="1" x14ac:dyDescent="0.25">
      <c r="D173" s="100" t="s">
        <v>226</v>
      </c>
    </row>
    <row r="174" spans="4:18" ht="20.100000000000001" customHeight="1" x14ac:dyDescent="0.25">
      <c r="D174" s="53" t="s">
        <v>145</v>
      </c>
      <c r="E174" s="53" t="s">
        <v>147</v>
      </c>
    </row>
    <row r="175" spans="4:18" ht="20.100000000000001" customHeight="1" x14ac:dyDescent="0.25">
      <c r="D175" s="54">
        <f>'Constants - Dairy'!$E$99</f>
        <v>1.7600000000000001E-2</v>
      </c>
      <c r="E175" s="54">
        <f>'Constants - Dairy'!$E$100</f>
        <v>2.0400000000000001E-2</v>
      </c>
      <c r="F175" s="56" t="str">
        <f>G155</f>
        <v>kg CH4/head/day</v>
      </c>
    </row>
    <row r="176" spans="4:18" ht="20.100000000000001" customHeight="1" x14ac:dyDescent="0.25"/>
    <row r="177" spans="1:18" ht="20.100000000000001" customHeight="1" x14ac:dyDescent="0.25">
      <c r="D177" s="101" t="s">
        <v>232</v>
      </c>
      <c r="M177" s="101" t="s">
        <v>232</v>
      </c>
    </row>
    <row r="178" spans="1:18" ht="20.100000000000001" customHeight="1" x14ac:dyDescent="0.25">
      <c r="A178" s="125" t="str">
        <f>HYPERLINK("#A1", "▲ Back to top")</f>
        <v>▲ Back to top</v>
      </c>
      <c r="D178" s="100" t="s">
        <v>233</v>
      </c>
      <c r="M178" s="100" t="s">
        <v>233</v>
      </c>
    </row>
    <row r="179" spans="1:18" ht="20.100000000000001" customHeight="1" x14ac:dyDescent="0.25">
      <c r="D179" s="53" t="s">
        <v>127</v>
      </c>
      <c r="E179" s="53" t="s">
        <v>144</v>
      </c>
      <c r="F179" s="53" t="s">
        <v>145</v>
      </c>
      <c r="G179" s="53" t="s">
        <v>146</v>
      </c>
      <c r="H179" s="53" t="s">
        <v>147</v>
      </c>
      <c r="M179" s="53" t="s">
        <v>127</v>
      </c>
      <c r="N179" s="53" t="s">
        <v>144</v>
      </c>
      <c r="O179" s="53" t="s">
        <v>145</v>
      </c>
      <c r="P179" s="53" t="s">
        <v>146</v>
      </c>
      <c r="Q179" s="53" t="s">
        <v>147</v>
      </c>
    </row>
    <row r="180" spans="1:18" ht="20.100000000000001" customHeight="1" x14ac:dyDescent="0.25">
      <c r="D180" s="54">
        <f>(((D160 * D132 * D165) + (0 * 0 * 0) + (0 * 0 * 0)) * 10 ^ -3)</f>
        <v>14.230268726423633</v>
      </c>
      <c r="E180" s="54">
        <f>(((E160 * E132 * E165) + (0 * 0 * 0) + (0 * 0 * 0)) * 10 ^ -3)</f>
        <v>5.6053261235836782</v>
      </c>
      <c r="F180" s="54">
        <f>(((0 * 0 * 0) + (F160 * F132 * F165) + (F160 * $D$175 * F170)) * 10 ^ -3)</f>
        <v>2.487999310099096</v>
      </c>
      <c r="G180" s="54">
        <f>(((G160 * G132 * G165) + (0 * 0 * 0) + (0 * 0 * 0)) * 10 ^ -3)</f>
        <v>6.8203651498874986</v>
      </c>
      <c r="H180" s="54">
        <f>(((0 * 0 * 0) + (H160 * H132 * H165) + (H160 * $E$175 * H170)) * 10 ^ -3)</f>
        <v>3.3207233739960946</v>
      </c>
      <c r="I180" s="56" t="str">
        <f>$E$146</f>
        <v>t CH4</v>
      </c>
      <c r="M180" s="54">
        <f>(((D160 * M132 * M165) + (0 * 0 * 0) + (0 * 0 * 0)) * 10 ^ -3)</f>
        <v>14.230268726423633</v>
      </c>
      <c r="N180" s="54">
        <f>(((E160 * N132 * N165) + (0 * 0 * 0) + (0 * 0 * 0)) * 10 ^ -3)</f>
        <v>5.6053261235836782</v>
      </c>
      <c r="O180" s="54">
        <f>(((0 * 0 * 0) + (F160 * O132 * O165) + (F160 * $D$175 * O170)) * 10 ^ -3)</f>
        <v>2.487999310099096</v>
      </c>
      <c r="P180" s="54">
        <f>(((G160 * P132 * P165) + (0 * 0 * 0) + (0 * 0 * 0)) * 10 ^ -3)</f>
        <v>6.8203651498874986</v>
      </c>
      <c r="Q180" s="54">
        <f>(((0 * 0 * 0) + (H160 * Q132 * Q165) + (H160 * $E$175 * Q170)) * 10 ^ -3)</f>
        <v>3.3207233739960946</v>
      </c>
      <c r="R180" s="56" t="str">
        <f>$E$146</f>
        <v>t CH4</v>
      </c>
    </row>
    <row r="181" spans="1:18" ht="20.100000000000001" customHeight="1" x14ac:dyDescent="0.25"/>
    <row r="182" spans="1:18" ht="20.100000000000001" customHeight="1" x14ac:dyDescent="0.25">
      <c r="D182" s="103" t="s">
        <v>234</v>
      </c>
      <c r="E182" s="104">
        <f>SUM(D180:H180)</f>
        <v>32.464682683989999</v>
      </c>
      <c r="F182" s="105" t="str">
        <f>$E$146</f>
        <v>t CH4</v>
      </c>
      <c r="M182" s="103" t="s">
        <v>234</v>
      </c>
      <c r="N182" s="104">
        <f>SUM(M180:Q180)</f>
        <v>32.464682683989999</v>
      </c>
      <c r="O182" s="105" t="str">
        <f>$E$146</f>
        <v>t CH4</v>
      </c>
    </row>
    <row r="183" spans="1:18" ht="20.100000000000001" customHeight="1" x14ac:dyDescent="0.25"/>
    <row r="184" spans="1:18" ht="20.100000000000001" customHeight="1" x14ac:dyDescent="0.25">
      <c r="D184" s="59" t="str" cm="1">
        <f t="array" ref="D184:E185">Common_Equations.Common_ConvertCH4ToCO2e_Arguments()</f>
        <v>ECH4</v>
      </c>
      <c r="E184" s="60" t="str">
        <v>Methane emissions (t CH4)</v>
      </c>
      <c r="F184" s="106"/>
      <c r="G184" s="54">
        <f>E182</f>
        <v>32.464682683989999</v>
      </c>
      <c r="M184" s="59" t="str" cm="1">
        <f t="array" ref="M184:N185">Common_Equations.Common_ConvertCH4ToCO2e_Arguments()</f>
        <v>ECH4</v>
      </c>
      <c r="N184" s="60" t="str">
        <v>Methane emissions (t CH4)</v>
      </c>
      <c r="O184" s="106"/>
      <c r="P184" s="54">
        <f>N182</f>
        <v>32.464682683989999</v>
      </c>
    </row>
    <row r="185" spans="1:18" ht="20.100000000000001" customHeight="1" x14ac:dyDescent="0.25">
      <c r="D185" s="59" t="str">
        <v>GWPCH4</v>
      </c>
      <c r="E185" s="60" t="str">
        <v>Global warming potential for methane (t CO2-e / t CH4)</v>
      </c>
      <c r="F185" s="106"/>
      <c r="G185" s="54">
        <f>Common_InputFunctions.Utility_LookupValueInTableNumber("CH4",Table_GWPData[Gas],Table_GWPData[CO2-e factor])</f>
        <v>28</v>
      </c>
      <c r="M185" s="59" t="str">
        <v>GWPCH4</v>
      </c>
      <c r="N185" s="60" t="str">
        <v>Global warming potential for methane (t CO2-e / t CH4)</v>
      </c>
      <c r="O185" s="106"/>
      <c r="P185" s="54">
        <f>Common_InputFunctions.Utility_LookupValueInTableNumber("CH4",Table_GWPData[Gas],Table_GWPData[CO2-e factor])</f>
        <v>28</v>
      </c>
    </row>
    <row r="186" spans="1:18" ht="20.100000000000001" customHeight="1" x14ac:dyDescent="0.25"/>
    <row r="187" spans="1:18" ht="20.100000000000001" customHeight="1" x14ac:dyDescent="0.25">
      <c r="D187" s="48" t="s">
        <v>99</v>
      </c>
      <c r="E187" s="48" cm="1">
        <f t="array" ref="E187">Common_Equations.Common_ConvertN2OToCO2e(G184,G185)</f>
        <v>909.01111515171999</v>
      </c>
      <c r="F187" s="107" t="str" cm="1">
        <f t="array" ref="F187">Common_Equations.Common_ConvertN2OToCO2e_Unit()</f>
        <v>t CO2e</v>
      </c>
      <c r="M187" s="48" t="s">
        <v>99</v>
      </c>
      <c r="N187" s="48" cm="1">
        <f t="array" ref="N187">Common_Equations.Common_ConvertN2OToCO2e(P184,P185)</f>
        <v>909.01111515171999</v>
      </c>
      <c r="O187" s="107"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5"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5"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85" zoomScaleNormal="85" workbookViewId="0">
      <selection activeCell="D225" sqref="D22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237</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124</v>
      </c>
      <c r="G5" s="6" t="s">
        <v>125</v>
      </c>
      <c r="J5" s="6" t="s">
        <v>115</v>
      </c>
      <c r="M5" s="1"/>
    </row>
    <row r="6" spans="1:21" ht="20.100000000000001" customHeight="1" x14ac:dyDescent="0.25">
      <c r="A6" s="16"/>
      <c r="M6" s="1"/>
    </row>
    <row r="7" spans="1:21" ht="20.100000000000001" customHeight="1" x14ac:dyDescent="0.25">
      <c r="A7" s="20" t="s">
        <v>1</v>
      </c>
      <c r="D7" s="99" t="s">
        <v>64</v>
      </c>
      <c r="E7" s="39" t="s">
        <v>75</v>
      </c>
      <c r="G7" s="39" t="s">
        <v>114</v>
      </c>
      <c r="J7" s="39" t="s">
        <v>112</v>
      </c>
      <c r="M7" s="1"/>
    </row>
    <row r="8" spans="1:21" ht="20.100000000000001" customHeight="1" x14ac:dyDescent="0.25">
      <c r="A8" s="17" t="str">
        <f>HYPERLINK("#'Input - Site'!A1", "Site")</f>
        <v>Site</v>
      </c>
      <c r="D8" s="39" t="str">
        <f>'Constants - Livestock'!$E$9</f>
        <v>Anaerobic lagoon</v>
      </c>
      <c r="E8" s="39" t="str">
        <f>'Constants - Livestock'!$F$9</f>
        <v>Anaerobic lagoon (m=1)</v>
      </c>
      <c r="G8" s="39" t="str">
        <f>'Constants - Common'!$F$187</f>
        <v>Pasture</v>
      </c>
      <c r="J8" s="39" t="s">
        <v>116</v>
      </c>
      <c r="M8" s="1"/>
    </row>
    <row r="9" spans="1:21" ht="20.100000000000001" customHeight="1" x14ac:dyDescent="0.25">
      <c r="A9" s="17" t="str">
        <f>HYPERLINK("#'Input - Dairy'!A1", "Dairy")</f>
        <v>Dairy</v>
      </c>
      <c r="D9" s="39" t="str">
        <f>'Constants - Livestock'!$E$12</f>
        <v>Sump and dispersal system</v>
      </c>
      <c r="E9" s="39" t="str">
        <f>'Constants - Livestock'!$F$12</f>
        <v>Sump and dispersal system (m=3a)</v>
      </c>
      <c r="G9" s="1" t="str">
        <f>'Constants - Common'!$F$188</f>
        <v>Crop</v>
      </c>
      <c r="J9" s="39" t="s">
        <v>117</v>
      </c>
      <c r="M9" s="1"/>
    </row>
    <row r="10" spans="1:21" ht="20.100000000000001" customHeight="1" x14ac:dyDescent="0.25">
      <c r="A10" s="17"/>
      <c r="D10" s="39" t="str">
        <f>'Constants - Livestock'!$E$13</f>
        <v>Drains to paddock</v>
      </c>
      <c r="E10" s="39" t="str">
        <f>'Constants - Livestock'!$F$13</f>
        <v>Drains to paddock (m=3b)</v>
      </c>
      <c r="J10" s="1" t="s">
        <v>118</v>
      </c>
      <c r="M10" s="1"/>
    </row>
    <row r="11" spans="1:21" ht="20.100000000000001" customHeight="1" x14ac:dyDescent="0.25">
      <c r="A11" s="19" t="s">
        <v>71</v>
      </c>
      <c r="D11" s="39" t="str">
        <f>'Constants - Livestock'!$E$14</f>
        <v>Solid storage</v>
      </c>
      <c r="E11" s="39" t="str">
        <f>'Constants - Livestock'!$F$14</f>
        <v>Solid storage (m=4)</v>
      </c>
      <c r="J11" s="1" t="s">
        <v>119</v>
      </c>
      <c r="M11" s="1"/>
    </row>
    <row r="12" spans="1:21" ht="20.100000000000001" customHeight="1" x14ac:dyDescent="0.25">
      <c r="A12" s="17" t="str">
        <f>HYPERLINK("#'3.3.1.1-2 Enteric Methane'!A1", "3.3.1.1-2 Enteric Methane")</f>
        <v>3.3.1.1-2 Enteric Methane</v>
      </c>
      <c r="J12" s="1" t="s">
        <v>120</v>
      </c>
      <c r="M12" s="1"/>
    </row>
    <row r="13" spans="1:21" ht="20.100000000000001" customHeight="1" x14ac:dyDescent="0.25">
      <c r="A13" s="17"/>
      <c r="M13" s="1"/>
    </row>
    <row r="14" spans="1:21" ht="20.100000000000001" customHeight="1" x14ac:dyDescent="0.25">
      <c r="A14" s="18" t="s">
        <v>2</v>
      </c>
      <c r="M14" s="1"/>
    </row>
    <row r="15" spans="1:21" ht="20.100000000000001" customHeight="1" x14ac:dyDescent="0.25">
      <c r="A15" s="70" t="str">
        <f>HYPERLINK("#'Constants - Dairy'!A1", "Constants - Dairy")</f>
        <v>Constants - Dairy</v>
      </c>
      <c r="M15" s="1"/>
    </row>
    <row r="16" spans="1:21" ht="20.100000000000001" customHeight="1" x14ac:dyDescent="0.25">
      <c r="A16" s="17" t="str">
        <f>HYPERLINK("#'Constants - Livestock'!A1", "Constants - Livestock")</f>
        <v>Constants - Livestock</v>
      </c>
      <c r="D16" s="6" t="s">
        <v>330</v>
      </c>
      <c r="M16" s="1"/>
    </row>
    <row r="17" spans="1:13" ht="20.100000000000001" customHeight="1" x14ac:dyDescent="0.25">
      <c r="A17" s="17" t="str">
        <f>HYPERLINK("#'Constants - Common'!A1", "Constants - Common")</f>
        <v>Constants - Common</v>
      </c>
      <c r="D17" s="5" t="s">
        <v>331</v>
      </c>
      <c r="M17" s="1"/>
    </row>
    <row r="18" spans="1:13" ht="20.100000000000001" customHeight="1" x14ac:dyDescent="0.25">
      <c r="A18" s="17" t="str">
        <f>HYPERLINK("#'Acknowledgements'!A1", "Acknowledgements")</f>
        <v>Acknowledgements</v>
      </c>
      <c r="D18" s="1" t="s">
        <v>332</v>
      </c>
      <c r="M18" s="1"/>
    </row>
    <row r="19" spans="1:13" ht="20.100000000000001" customHeight="1" x14ac:dyDescent="0.25">
      <c r="D19" s="56" t="s">
        <v>301</v>
      </c>
      <c r="M19" s="1"/>
    </row>
    <row r="20" spans="1:13" ht="20.100000000000001" customHeight="1" x14ac:dyDescent="0.25">
      <c r="D20" s="57" t="s">
        <v>333</v>
      </c>
      <c r="M20" s="1"/>
    </row>
    <row r="21" spans="1:13" ht="20.100000000000001" customHeight="1" x14ac:dyDescent="0.25">
      <c r="D21" s="39" t="s">
        <v>126</v>
      </c>
      <c r="E21" s="39" t="s">
        <v>127</v>
      </c>
      <c r="F21" s="39" t="s">
        <v>128</v>
      </c>
      <c r="G21" s="39" t="s">
        <v>129</v>
      </c>
      <c r="M21" s="1"/>
    </row>
    <row r="22" spans="1:13" ht="20.100000000000001" customHeight="1" x14ac:dyDescent="0.25">
      <c r="D22" s="39" t="s">
        <v>164</v>
      </c>
      <c r="E22" s="39">
        <v>550</v>
      </c>
      <c r="F22" s="39">
        <v>380</v>
      </c>
      <c r="G22" s="39">
        <v>155</v>
      </c>
      <c r="M22" s="1"/>
    </row>
    <row r="23" spans="1:13" ht="20.100000000000001" customHeight="1" x14ac:dyDescent="0.25">
      <c r="D23" s="39" t="s">
        <v>334</v>
      </c>
      <c r="E23" s="39">
        <v>600</v>
      </c>
      <c r="F23" s="39">
        <v>415</v>
      </c>
      <c r="G23" s="39">
        <v>170</v>
      </c>
      <c r="M23" s="1"/>
    </row>
    <row r="24" spans="1:13" ht="20.100000000000001" customHeight="1" x14ac:dyDescent="0.25">
      <c r="D24" s="39" t="s">
        <v>335</v>
      </c>
      <c r="E24" s="39">
        <v>650</v>
      </c>
      <c r="F24" s="39">
        <v>450</v>
      </c>
      <c r="G24" s="39">
        <v>185</v>
      </c>
      <c r="M24" s="1"/>
    </row>
    <row r="25" spans="1:13" ht="20.100000000000001" customHeight="1" x14ac:dyDescent="0.25">
      <c r="D25" s="39" t="s">
        <v>336</v>
      </c>
      <c r="E25" s="39">
        <v>500</v>
      </c>
      <c r="F25" s="39">
        <v>350</v>
      </c>
      <c r="G25" s="39">
        <v>145</v>
      </c>
      <c r="M25" s="1"/>
    </row>
    <row r="26" spans="1:13" ht="20.100000000000001" customHeight="1" x14ac:dyDescent="0.25">
      <c r="D26" s="39" t="s">
        <v>337</v>
      </c>
      <c r="E26" s="39">
        <v>400</v>
      </c>
      <c r="F26" s="39">
        <v>275</v>
      </c>
      <c r="G26" s="39">
        <v>115</v>
      </c>
      <c r="M26" s="1"/>
    </row>
    <row r="27" spans="1:13" ht="20.100000000000001" customHeight="1" x14ac:dyDescent="0.25">
      <c r="D27" s="39" t="s">
        <v>338</v>
      </c>
      <c r="E27" s="39">
        <v>450</v>
      </c>
      <c r="F27" s="39">
        <v>315</v>
      </c>
      <c r="G27" s="39">
        <v>130</v>
      </c>
      <c r="M27" s="1"/>
    </row>
    <row r="28" spans="1:13" ht="20.100000000000001" customHeight="1" x14ac:dyDescent="0.25">
      <c r="D28" s="39" t="s">
        <v>339</v>
      </c>
      <c r="E28" s="39">
        <v>540</v>
      </c>
      <c r="F28" s="39">
        <v>375</v>
      </c>
      <c r="G28" s="39">
        <v>150</v>
      </c>
      <c r="M28" s="1"/>
    </row>
    <row r="29" spans="1:13" ht="20.100000000000001" customHeight="1" x14ac:dyDescent="0.25">
      <c r="D29" s="39" t="s">
        <v>340</v>
      </c>
      <c r="E29" s="39">
        <v>480</v>
      </c>
      <c r="F29" s="39">
        <v>335</v>
      </c>
      <c r="G29" s="39">
        <v>140</v>
      </c>
      <c r="M29" s="1"/>
    </row>
    <row r="30" spans="1:13" ht="20.100000000000001" customHeight="1" x14ac:dyDescent="0.25">
      <c r="D30" s="39" t="s">
        <v>341</v>
      </c>
      <c r="E30" s="39">
        <v>600</v>
      </c>
      <c r="F30" s="39">
        <v>415</v>
      </c>
      <c r="G30" s="39">
        <v>170</v>
      </c>
      <c r="M30" s="1"/>
    </row>
    <row r="31" spans="1:13" ht="20.100000000000001" customHeight="1" x14ac:dyDescent="0.25">
      <c r="D31" s="39" t="s">
        <v>342</v>
      </c>
      <c r="E31" s="39">
        <v>550</v>
      </c>
      <c r="F31" s="39">
        <v>375</v>
      </c>
      <c r="G31" s="39">
        <v>150</v>
      </c>
      <c r="M31" s="1"/>
    </row>
    <row r="32" spans="1:13" ht="20.100000000000001" customHeight="1" x14ac:dyDescent="0.25">
      <c r="M32" s="1"/>
    </row>
    <row r="33" spans="4:13" ht="20.100000000000001" customHeight="1" x14ac:dyDescent="0.25">
      <c r="M33" s="1"/>
    </row>
    <row r="34" spans="4:13" ht="20.100000000000001" customHeight="1" x14ac:dyDescent="0.25">
      <c r="D34" s="6" t="s">
        <v>343</v>
      </c>
      <c r="M34" s="1"/>
    </row>
    <row r="35" spans="4:13" ht="20.100000000000001" customHeight="1" x14ac:dyDescent="0.25">
      <c r="D35" s="5" t="s">
        <v>344</v>
      </c>
      <c r="M35" s="1"/>
    </row>
    <row r="36" spans="4:13" ht="20.100000000000001" customHeight="1" x14ac:dyDescent="0.25">
      <c r="D36" s="1" t="s">
        <v>332</v>
      </c>
      <c r="M36" s="1"/>
    </row>
    <row r="37" spans="4:13" ht="20.100000000000001" customHeight="1" x14ac:dyDescent="0.25">
      <c r="D37" s="56" t="s">
        <v>301</v>
      </c>
      <c r="M37" s="1"/>
    </row>
    <row r="38" spans="4:13" ht="20.100000000000001" customHeight="1" x14ac:dyDescent="0.25">
      <c r="D38" s="39" t="s">
        <v>126</v>
      </c>
      <c r="E38" s="39" t="s">
        <v>131</v>
      </c>
      <c r="F38" s="39" t="s">
        <v>130</v>
      </c>
      <c r="M38" s="1"/>
    </row>
    <row r="39" spans="4:13" ht="20.100000000000001" customHeight="1" x14ac:dyDescent="0.25">
      <c r="D39" s="39" t="s">
        <v>345</v>
      </c>
      <c r="E39" s="39">
        <v>600</v>
      </c>
      <c r="F39" s="39">
        <v>225</v>
      </c>
      <c r="M39" s="1"/>
    </row>
    <row r="40" spans="4:13" ht="20.100000000000001" customHeight="1" x14ac:dyDescent="0.25">
      <c r="M40" s="1"/>
    </row>
    <row r="41" spans="4:13" ht="20.100000000000001" customHeight="1" x14ac:dyDescent="0.25">
      <c r="M41" s="1"/>
    </row>
    <row r="42" spans="4:13" ht="20.100000000000001" customHeight="1" x14ac:dyDescent="0.25">
      <c r="D42" s="6" t="s">
        <v>346</v>
      </c>
      <c r="M42" s="1"/>
    </row>
    <row r="43" spans="4:13" ht="20.100000000000001" customHeight="1" x14ac:dyDescent="0.25">
      <c r="D43" s="5" t="s">
        <v>347</v>
      </c>
      <c r="M43" s="1"/>
    </row>
    <row r="44" spans="4:13" ht="20.100000000000001" customHeight="1" x14ac:dyDescent="0.25">
      <c r="D44" s="1" t="s">
        <v>348</v>
      </c>
      <c r="M44" s="1"/>
    </row>
    <row r="45" spans="4:13" ht="20.100000000000001" customHeight="1" x14ac:dyDescent="0.25">
      <c r="D45" s="56" t="s">
        <v>301</v>
      </c>
      <c r="M45" s="1"/>
    </row>
    <row r="46" spans="4:13" ht="20.100000000000001" customHeight="1" x14ac:dyDescent="0.25">
      <c r="D46" s="39" t="s">
        <v>127</v>
      </c>
      <c r="E46" s="39" t="s">
        <v>128</v>
      </c>
      <c r="F46" s="39" t="s">
        <v>129</v>
      </c>
      <c r="G46" s="39" t="s">
        <v>131</v>
      </c>
      <c r="H46" s="39" t="s">
        <v>130</v>
      </c>
      <c r="M46" s="1"/>
    </row>
    <row r="47" spans="4:13" ht="20.100000000000001" customHeight="1" x14ac:dyDescent="0.25">
      <c r="D47" s="39">
        <v>1.6E-2</v>
      </c>
      <c r="E47" s="39">
        <v>0.6</v>
      </c>
      <c r="F47" s="39">
        <v>0.56999999999999995</v>
      </c>
      <c r="G47" s="39">
        <v>0.1</v>
      </c>
      <c r="H47" s="39">
        <v>0.8</v>
      </c>
      <c r="M47" s="1"/>
    </row>
    <row r="48" spans="4:13" ht="20.100000000000001" customHeight="1" x14ac:dyDescent="0.25">
      <c r="M48" s="1"/>
    </row>
    <row r="49" spans="1:13" ht="20.100000000000001" customHeight="1" x14ac:dyDescent="0.25">
      <c r="M49" s="1"/>
    </row>
    <row r="50" spans="1:13" ht="20.100000000000001" customHeight="1" x14ac:dyDescent="0.25">
      <c r="D50" s="6" t="s">
        <v>349</v>
      </c>
      <c r="M50" s="1"/>
    </row>
    <row r="51" spans="1:13" ht="20.100000000000001" customHeight="1" x14ac:dyDescent="0.25">
      <c r="D51" s="5" t="s">
        <v>350</v>
      </c>
      <c r="M51" s="1"/>
    </row>
    <row r="52" spans="1:13" ht="20.100000000000001" customHeight="1" x14ac:dyDescent="0.25">
      <c r="D52" s="1" t="s">
        <v>351</v>
      </c>
      <c r="M52" s="1"/>
    </row>
    <row r="53" spans="1:13" ht="20.100000000000001" customHeight="1" x14ac:dyDescent="0.25">
      <c r="D53" s="56" t="s">
        <v>301</v>
      </c>
      <c r="M53" s="1"/>
    </row>
    <row r="54" spans="1:13" ht="20.100000000000001" customHeight="1" x14ac:dyDescent="0.25">
      <c r="D54" s="116" t="s">
        <v>127</v>
      </c>
      <c r="E54" s="116" t="s">
        <v>128</v>
      </c>
      <c r="F54" s="116" t="s">
        <v>129</v>
      </c>
      <c r="G54" s="116" t="s">
        <v>131</v>
      </c>
      <c r="H54" s="116" t="s">
        <v>130</v>
      </c>
      <c r="M54" s="1"/>
    </row>
    <row r="55" spans="1:13" ht="20.100000000000001" customHeight="1" x14ac:dyDescent="0.25">
      <c r="A55" s="125" t="str">
        <f>HYPERLINK("#A1", "▲ Back to top")</f>
        <v>▲ Back to top</v>
      </c>
      <c r="D55" s="1">
        <v>590</v>
      </c>
      <c r="E55" s="1">
        <v>590</v>
      </c>
      <c r="F55" s="1">
        <v>590</v>
      </c>
      <c r="G55" s="1">
        <v>770</v>
      </c>
      <c r="H55" s="1">
        <v>770</v>
      </c>
      <c r="M55" s="1"/>
    </row>
    <row r="56" spans="1:13" ht="20.100000000000001" customHeight="1" x14ac:dyDescent="0.25">
      <c r="M56" s="1"/>
    </row>
    <row r="57" spans="1:13" ht="20.100000000000001" customHeight="1" x14ac:dyDescent="0.25">
      <c r="M57" s="1"/>
    </row>
    <row r="58" spans="1:13" ht="20.100000000000001" customHeight="1" x14ac:dyDescent="0.25">
      <c r="D58" s="6" t="s">
        <v>352</v>
      </c>
      <c r="M58" s="1"/>
    </row>
    <row r="59" spans="1:13" ht="20.100000000000001" customHeight="1" x14ac:dyDescent="0.25">
      <c r="D59" s="5" t="s">
        <v>353</v>
      </c>
      <c r="M59" s="1"/>
    </row>
    <row r="60" spans="1:13" ht="20.100000000000001" customHeight="1" x14ac:dyDescent="0.25">
      <c r="D60" s="1" t="s">
        <v>354</v>
      </c>
      <c r="M60" s="1"/>
    </row>
    <row r="61" spans="1:13" ht="20.100000000000001" customHeight="1" x14ac:dyDescent="0.25">
      <c r="D61" s="56" t="s">
        <v>355</v>
      </c>
      <c r="M61" s="1"/>
    </row>
    <row r="62" spans="1:13" ht="20.100000000000001" customHeight="1" x14ac:dyDescent="0.25">
      <c r="D62" s="39" t="s">
        <v>132</v>
      </c>
      <c r="E62" s="39" t="s">
        <v>133</v>
      </c>
      <c r="F62" s="39" t="s">
        <v>134</v>
      </c>
      <c r="G62" s="39" t="s">
        <v>135</v>
      </c>
      <c r="M62" s="1"/>
    </row>
    <row r="63" spans="1:13" ht="20.100000000000001" customHeight="1" x14ac:dyDescent="0.25">
      <c r="D63" s="39" t="s">
        <v>356</v>
      </c>
      <c r="E63" s="39">
        <v>1.7600000000000001E-2</v>
      </c>
      <c r="F63" s="39">
        <v>0.26850000000000002</v>
      </c>
      <c r="G63" s="39">
        <v>1.37E-2</v>
      </c>
      <c r="M63" s="1"/>
    </row>
    <row r="64" spans="1:13" ht="20.100000000000001" customHeight="1" x14ac:dyDescent="0.25">
      <c r="D64" s="39" t="s">
        <v>357</v>
      </c>
      <c r="E64" s="39">
        <v>2.0400000000000001E-2</v>
      </c>
      <c r="F64" s="39">
        <v>0.30030000000000001</v>
      </c>
      <c r="G64" s="39">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
        <v>358</v>
      </c>
      <c r="M67" s="1"/>
    </row>
    <row r="68" spans="1:22" ht="20.100000000000001" customHeight="1" x14ac:dyDescent="0.25">
      <c r="D68" s="5" t="s">
        <v>359</v>
      </c>
      <c r="M68" s="1"/>
    </row>
    <row r="69" spans="1:22" ht="20.100000000000001" customHeight="1" x14ac:dyDescent="0.25">
      <c r="D69" s="1" t="s">
        <v>360</v>
      </c>
      <c r="M69" s="1"/>
    </row>
    <row r="70" spans="1:22" ht="20.100000000000001" customHeight="1" x14ac:dyDescent="0.25">
      <c r="D70" s="56" t="s">
        <v>175</v>
      </c>
      <c r="M70" s="1"/>
    </row>
    <row r="71" spans="1:22" ht="20.100000000000001" customHeight="1" x14ac:dyDescent="0.25">
      <c r="D71" s="57" t="s">
        <v>361</v>
      </c>
      <c r="M71" s="1"/>
      <c r="V71" s="1"/>
    </row>
    <row r="72" spans="1:22" ht="20.100000000000001" customHeight="1" x14ac:dyDescent="0.25">
      <c r="D72" s="39" t="s">
        <v>93</v>
      </c>
      <c r="E72" s="39" t="s">
        <v>76</v>
      </c>
      <c r="F72" s="39" t="s">
        <v>77</v>
      </c>
      <c r="G72" s="39" t="s">
        <v>78</v>
      </c>
      <c r="H72" s="39" t="s">
        <v>79</v>
      </c>
      <c r="I72" s="39" t="s">
        <v>80</v>
      </c>
      <c r="J72" s="39" t="s">
        <v>81</v>
      </c>
      <c r="K72" s="39" t="s">
        <v>82</v>
      </c>
      <c r="L72" s="39" t="s">
        <v>83</v>
      </c>
      <c r="M72" s="39" t="s">
        <v>143</v>
      </c>
      <c r="V72" s="1"/>
    </row>
    <row r="73" spans="1:22" ht="20.100000000000001" customHeight="1" x14ac:dyDescent="0.25">
      <c r="D73" s="39" t="s">
        <v>113</v>
      </c>
      <c r="E73" s="39">
        <v>0.01</v>
      </c>
      <c r="F73" s="39">
        <v>0.01</v>
      </c>
      <c r="G73" s="39">
        <v>0.02</v>
      </c>
      <c r="H73" s="39">
        <v>0.01</v>
      </c>
      <c r="I73" s="39">
        <v>0.01</v>
      </c>
      <c r="J73" s="39">
        <v>0.01</v>
      </c>
      <c r="K73" s="39">
        <v>0.01</v>
      </c>
      <c r="L73" s="39">
        <v>0.01</v>
      </c>
      <c r="M73" s="39" t="s">
        <v>214</v>
      </c>
      <c r="V73" s="1"/>
    </row>
    <row r="74" spans="1:22" ht="20.100000000000001" customHeight="1" x14ac:dyDescent="0.25">
      <c r="D74" s="1" t="s">
        <v>202</v>
      </c>
      <c r="E74" s="39">
        <v>0.72</v>
      </c>
      <c r="F74" s="39">
        <v>0.76</v>
      </c>
      <c r="G74" s="39">
        <v>0.8</v>
      </c>
      <c r="H74" s="39">
        <v>0.78</v>
      </c>
      <c r="I74" s="39">
        <v>0.74</v>
      </c>
      <c r="J74" s="39">
        <v>0.69</v>
      </c>
      <c r="K74" s="39">
        <v>0.73</v>
      </c>
      <c r="L74" s="39">
        <v>0.76</v>
      </c>
      <c r="M74" s="39" t="s">
        <v>202</v>
      </c>
      <c r="V74" s="1"/>
    </row>
    <row r="75" spans="1:22" ht="20.100000000000001" customHeight="1" x14ac:dyDescent="0.25">
      <c r="D75" s="1" t="s">
        <v>362</v>
      </c>
      <c r="E75" s="39">
        <v>5.0000000000000001E-3</v>
      </c>
      <c r="F75" s="39">
        <v>5.0000000000000001E-3</v>
      </c>
      <c r="G75" s="39">
        <v>0.01</v>
      </c>
      <c r="H75" s="39">
        <v>5.0000000000000001E-3</v>
      </c>
      <c r="I75" s="39">
        <v>5.0000000000000001E-3</v>
      </c>
      <c r="J75" s="39">
        <v>1E-3</v>
      </c>
      <c r="K75" s="39">
        <v>5.0000000000000001E-3</v>
      </c>
      <c r="L75" s="39">
        <v>5.0000000000000001E-3</v>
      </c>
      <c r="M75" s="39" t="s">
        <v>363</v>
      </c>
      <c r="V75" s="1"/>
    </row>
    <row r="76" spans="1:22" ht="20.100000000000001" customHeight="1" x14ac:dyDescent="0.25">
      <c r="D76" s="1" t="s">
        <v>364</v>
      </c>
      <c r="E76" s="39">
        <v>0.15</v>
      </c>
      <c r="F76" s="39">
        <v>0.18</v>
      </c>
      <c r="G76" s="39">
        <v>0.5</v>
      </c>
      <c r="H76" s="39">
        <v>0.24</v>
      </c>
      <c r="I76" s="39">
        <v>0.17</v>
      </c>
      <c r="J76" s="39">
        <v>0.13</v>
      </c>
      <c r="K76" s="39">
        <v>0.17</v>
      </c>
      <c r="L76" s="39">
        <v>0.18</v>
      </c>
      <c r="M76" s="39" t="s">
        <v>365</v>
      </c>
      <c r="V76" s="1"/>
    </row>
    <row r="77" spans="1:22" ht="20.100000000000001" customHeight="1" x14ac:dyDescent="0.25">
      <c r="D77" s="1" t="s">
        <v>366</v>
      </c>
      <c r="E77" s="39">
        <v>0.02</v>
      </c>
      <c r="F77" s="39">
        <v>0.02</v>
      </c>
      <c r="G77" s="39">
        <v>0.02</v>
      </c>
      <c r="H77" s="39">
        <v>0.02</v>
      </c>
      <c r="I77" s="39">
        <v>0.02</v>
      </c>
      <c r="J77" s="39">
        <v>0.02</v>
      </c>
      <c r="K77" s="39">
        <v>0.02</v>
      </c>
      <c r="L77" s="39">
        <v>0.02</v>
      </c>
      <c r="M77" s="39" t="s">
        <v>207</v>
      </c>
      <c r="V77" s="1"/>
    </row>
    <row r="78" spans="1:22" ht="20.100000000000001" customHeight="1" x14ac:dyDescent="0.25">
      <c r="D78" s="1" t="s">
        <v>367</v>
      </c>
      <c r="E78" s="39">
        <v>0</v>
      </c>
      <c r="F78" s="39">
        <v>0</v>
      </c>
      <c r="G78" s="39">
        <v>0</v>
      </c>
      <c r="H78" s="39">
        <v>0</v>
      </c>
      <c r="I78" s="39">
        <v>0</v>
      </c>
      <c r="J78" s="39">
        <v>0</v>
      </c>
      <c r="K78" s="39">
        <v>0</v>
      </c>
      <c r="L78" s="39">
        <v>0</v>
      </c>
      <c r="M78" s="39" t="s">
        <v>213</v>
      </c>
    </row>
    <row r="79" spans="1:22" ht="20.100000000000001" customHeight="1" x14ac:dyDescent="0.25">
      <c r="A79" s="125" t="str">
        <f>HYPERLINK("#A1", "▲ Back to top")</f>
        <v>▲ Back to top</v>
      </c>
      <c r="M79" s="1"/>
    </row>
    <row r="80" spans="1:22" ht="20.100000000000001" customHeight="1" x14ac:dyDescent="0.25">
      <c r="M80" s="1"/>
    </row>
    <row r="81" spans="4:22" ht="20.100000000000001" customHeight="1" x14ac:dyDescent="0.25">
      <c r="D81" s="6" t="s">
        <v>368</v>
      </c>
      <c r="M81" s="1"/>
    </row>
    <row r="82" spans="4:22" ht="20.100000000000001" customHeight="1" x14ac:dyDescent="0.25">
      <c r="D82" s="5" t="s">
        <v>369</v>
      </c>
      <c r="M82" s="1"/>
    </row>
    <row r="83" spans="4:22" ht="20.100000000000001" customHeight="1" x14ac:dyDescent="0.25">
      <c r="D83" s="1" t="s">
        <v>370</v>
      </c>
      <c r="M83" s="1"/>
    </row>
    <row r="84" spans="4:22" ht="20.100000000000001" customHeight="1" x14ac:dyDescent="0.25">
      <c r="D84" s="56" t="s">
        <v>371</v>
      </c>
      <c r="M84" s="1"/>
    </row>
    <row r="85" spans="4:22" ht="20.100000000000001" customHeight="1" x14ac:dyDescent="0.25">
      <c r="D85" s="57" t="s">
        <v>361</v>
      </c>
      <c r="M85" s="1"/>
      <c r="V85" s="1"/>
    </row>
    <row r="86" spans="4:22" ht="20.100000000000001" customHeight="1" x14ac:dyDescent="0.25">
      <c r="D86" s="39" t="s">
        <v>93</v>
      </c>
      <c r="E86" s="39" t="s">
        <v>136</v>
      </c>
      <c r="F86" s="39" t="s">
        <v>137</v>
      </c>
      <c r="G86" s="39" t="s">
        <v>143</v>
      </c>
      <c r="M86" s="1"/>
      <c r="V86" s="1"/>
    </row>
    <row r="87" spans="4:22" ht="20.100000000000001" customHeight="1" x14ac:dyDescent="0.25">
      <c r="D87" s="39" t="s">
        <v>372</v>
      </c>
      <c r="E87" s="39">
        <v>0</v>
      </c>
      <c r="F87" s="39">
        <v>0</v>
      </c>
      <c r="G87" s="39" t="s">
        <v>214</v>
      </c>
      <c r="M87" s="1"/>
      <c r="V87" s="1"/>
    </row>
    <row r="88" spans="4:22" ht="20.100000000000001" customHeight="1" x14ac:dyDescent="0.25">
      <c r="D88" s="1" t="s">
        <v>373</v>
      </c>
      <c r="E88" s="39">
        <v>0</v>
      </c>
      <c r="F88" s="39">
        <v>0.35</v>
      </c>
      <c r="G88" s="39" t="s">
        <v>202</v>
      </c>
      <c r="M88" s="1"/>
      <c r="V88" s="1"/>
    </row>
    <row r="89" spans="4:22" ht="20.100000000000001" customHeight="1" x14ac:dyDescent="0.25">
      <c r="D89" s="1" t="s">
        <v>374</v>
      </c>
      <c r="E89" s="39">
        <v>0</v>
      </c>
      <c r="F89" s="39">
        <v>7.0000000000000007E-2</v>
      </c>
      <c r="G89" s="39" t="s">
        <v>363</v>
      </c>
      <c r="M89" s="1"/>
      <c r="V89" s="1"/>
    </row>
    <row r="90" spans="4:22" ht="20.100000000000001" customHeight="1" x14ac:dyDescent="0.25">
      <c r="D90" s="1" t="s">
        <v>375</v>
      </c>
      <c r="E90" s="39">
        <v>0</v>
      </c>
      <c r="F90" s="39">
        <v>0.2</v>
      </c>
      <c r="G90" s="39" t="s">
        <v>365</v>
      </c>
      <c r="M90" s="1"/>
      <c r="V90" s="1"/>
    </row>
    <row r="91" spans="4:22" ht="20.100000000000001" customHeight="1" x14ac:dyDescent="0.25">
      <c r="D91" s="1" t="s">
        <v>376</v>
      </c>
      <c r="E91" s="39">
        <v>5.0000000000000001E-3</v>
      </c>
      <c r="F91" s="39">
        <v>0.3</v>
      </c>
      <c r="G91" s="39" t="s">
        <v>207</v>
      </c>
      <c r="M91" s="1"/>
    </row>
    <row r="92" spans="4:22" ht="20.100000000000001" customHeight="1" x14ac:dyDescent="0.25">
      <c r="M92" s="1"/>
    </row>
    <row r="93" spans="4:22" ht="20.100000000000001" customHeight="1" x14ac:dyDescent="0.25">
      <c r="M93" s="1"/>
    </row>
    <row r="94" spans="4:22" ht="20.100000000000001" customHeight="1" x14ac:dyDescent="0.25">
      <c r="D94" s="6" t="s">
        <v>377</v>
      </c>
      <c r="M94" s="1"/>
    </row>
    <row r="95" spans="4:22" ht="20.100000000000001" customHeight="1" x14ac:dyDescent="0.25">
      <c r="D95" s="5" t="s">
        <v>378</v>
      </c>
      <c r="M95" s="1"/>
    </row>
    <row r="96" spans="4:22" ht="20.100000000000001" customHeight="1" x14ac:dyDescent="0.25">
      <c r="D96" s="1" t="s">
        <v>379</v>
      </c>
      <c r="M96" s="1"/>
    </row>
    <row r="97" spans="1:13" ht="20.100000000000001" customHeight="1" x14ac:dyDescent="0.25">
      <c r="D97" s="56" t="s">
        <v>306</v>
      </c>
      <c r="M97" s="1"/>
    </row>
    <row r="98" spans="1:13" ht="20.100000000000001" customHeight="1" x14ac:dyDescent="0.25">
      <c r="D98" s="39" t="s">
        <v>132</v>
      </c>
      <c r="E98" s="39" t="s">
        <v>138</v>
      </c>
      <c r="M98" s="1"/>
    </row>
    <row r="99" spans="1:13" ht="20.100000000000001" customHeight="1" x14ac:dyDescent="0.25">
      <c r="D99" s="39" t="s">
        <v>145</v>
      </c>
      <c r="E99" s="39">
        <v>1.7600000000000001E-2</v>
      </c>
      <c r="M99" s="1"/>
    </row>
    <row r="100" spans="1:13" ht="20.100000000000001" customHeight="1" x14ac:dyDescent="0.25">
      <c r="D100" s="1" t="s">
        <v>147</v>
      </c>
      <c r="E100" s="39">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
        <v>380</v>
      </c>
      <c r="M103" s="1"/>
    </row>
    <row r="104" spans="1:13" ht="20.100000000000001" customHeight="1" x14ac:dyDescent="0.25">
      <c r="A104" s="125" t="str">
        <f>HYPERLINK("#A1", "▲ Back to top")</f>
        <v>▲ Back to top</v>
      </c>
      <c r="D104" s="5" t="s">
        <v>381</v>
      </c>
      <c r="M104" s="1"/>
    </row>
    <row r="105" spans="1:13" ht="20.100000000000001" customHeight="1" x14ac:dyDescent="0.25">
      <c r="D105" s="1" t="s">
        <v>139</v>
      </c>
      <c r="M105" s="1"/>
    </row>
    <row r="106" spans="1:13" ht="20.100000000000001" customHeight="1" x14ac:dyDescent="0.25">
      <c r="D106" s="56"/>
      <c r="M106" s="1"/>
    </row>
    <row r="107" spans="1:13" ht="20.100000000000001" customHeight="1" x14ac:dyDescent="0.25">
      <c r="D107" s="39" t="s">
        <v>132</v>
      </c>
      <c r="E107" s="39" t="s">
        <v>139</v>
      </c>
      <c r="M107" s="1"/>
    </row>
    <row r="108" spans="1:13" ht="20.100000000000001" customHeight="1" x14ac:dyDescent="0.25">
      <c r="D108" s="39" t="s">
        <v>382</v>
      </c>
      <c r="E108" s="39">
        <v>1.1000000000000001</v>
      </c>
      <c r="M108" s="1"/>
    </row>
    <row r="109" spans="1:13" ht="20.100000000000001" customHeight="1" x14ac:dyDescent="0.25">
      <c r="D109" s="1" t="s">
        <v>383</v>
      </c>
      <c r="E109" s="39">
        <v>1</v>
      </c>
      <c r="M109" s="1"/>
    </row>
    <row r="110" spans="1:13" ht="20.100000000000001" customHeight="1" x14ac:dyDescent="0.25">
      <c r="M110" s="1"/>
    </row>
    <row r="111" spans="1:13" ht="20.100000000000001" customHeight="1" x14ac:dyDescent="0.25">
      <c r="M111" s="1"/>
    </row>
    <row r="112" spans="1:13" ht="20.100000000000001" customHeight="1" x14ac:dyDescent="0.25">
      <c r="D112" s="6" t="s">
        <v>384</v>
      </c>
      <c r="M112" s="1"/>
    </row>
    <row r="113" spans="4:22" ht="20.100000000000001" customHeight="1" x14ac:dyDescent="0.25">
      <c r="D113" s="5" t="s">
        <v>385</v>
      </c>
      <c r="M113" s="1"/>
    </row>
    <row r="114" spans="4:22" ht="20.100000000000001" customHeight="1" x14ac:dyDescent="0.25">
      <c r="D114" s="1" t="s">
        <v>386</v>
      </c>
      <c r="M114" s="1"/>
    </row>
    <row r="115" spans="4:22" ht="20.100000000000001" customHeight="1" x14ac:dyDescent="0.25">
      <c r="D115" s="56" t="s">
        <v>175</v>
      </c>
      <c r="M115" s="1"/>
      <c r="V115" s="1"/>
    </row>
    <row r="116" spans="4:22" ht="20.100000000000001" customHeight="1" x14ac:dyDescent="0.25">
      <c r="D116" s="39" t="s">
        <v>140</v>
      </c>
      <c r="E116" s="39" t="s">
        <v>113</v>
      </c>
      <c r="F116" s="39" t="s">
        <v>141</v>
      </c>
      <c r="G116" s="39" t="s">
        <v>142</v>
      </c>
      <c r="M116" s="1"/>
      <c r="V116" s="1"/>
    </row>
    <row r="117" spans="4:22" ht="20.100000000000001" customHeight="1" x14ac:dyDescent="0.25">
      <c r="D117" s="39" t="s">
        <v>387</v>
      </c>
      <c r="E117" s="39">
        <v>0.89</v>
      </c>
      <c r="F117" s="39">
        <v>0.11</v>
      </c>
      <c r="G117" s="39">
        <v>0</v>
      </c>
      <c r="M117" s="1"/>
      <c r="V117" s="1"/>
    </row>
    <row r="118" spans="4:22" ht="20.100000000000001" customHeight="1" x14ac:dyDescent="0.25">
      <c r="D118" s="1" t="s">
        <v>388</v>
      </c>
      <c r="E118" s="39">
        <v>0.79</v>
      </c>
      <c r="F118" s="39">
        <v>0.11</v>
      </c>
      <c r="G118" s="39">
        <v>0.1</v>
      </c>
      <c r="M118" s="1"/>
    </row>
    <row r="119" spans="4:22" ht="20.100000000000001" customHeight="1" x14ac:dyDescent="0.25">
      <c r="D119" s="1" t="s">
        <v>389</v>
      </c>
      <c r="E119" s="39">
        <v>0.53400000000000003</v>
      </c>
      <c r="F119" s="39">
        <v>0.11</v>
      </c>
      <c r="G119" s="39">
        <v>0.35599999999999998</v>
      </c>
      <c r="M119" s="1"/>
    </row>
    <row r="120" spans="4:22" ht="20.100000000000001" customHeight="1" x14ac:dyDescent="0.25">
      <c r="D120" s="1" t="s">
        <v>390</v>
      </c>
      <c r="E120" s="39">
        <v>0</v>
      </c>
      <c r="F120" s="39">
        <v>0.11</v>
      </c>
      <c r="G120" s="39">
        <v>0.89</v>
      </c>
      <c r="M120" s="1"/>
    </row>
    <row r="121" spans="4:22" ht="20.100000000000001" customHeight="1" x14ac:dyDescent="0.25">
      <c r="M121" s="1"/>
    </row>
    <row r="122" spans="4:22" ht="20.100000000000001" customHeight="1" x14ac:dyDescent="0.25">
      <c r="M122" s="1"/>
    </row>
    <row r="123" spans="4:22" ht="20.100000000000001" customHeight="1" x14ac:dyDescent="0.25">
      <c r="D123" s="6" t="s">
        <v>391</v>
      </c>
      <c r="M123" s="1"/>
    </row>
    <row r="124" spans="4:22" ht="20.100000000000001" customHeight="1" x14ac:dyDescent="0.25">
      <c r="D124" s="5" t="s">
        <v>392</v>
      </c>
      <c r="M124" s="1"/>
    </row>
    <row r="125" spans="4:22" ht="20.100000000000001" customHeight="1" x14ac:dyDescent="0.25">
      <c r="D125" s="1" t="s">
        <v>136</v>
      </c>
      <c r="M125" s="1"/>
      <c r="V125" s="1"/>
    </row>
    <row r="126" spans="4:22" ht="20.100000000000001" customHeight="1" x14ac:dyDescent="0.25">
      <c r="D126" s="56" t="s">
        <v>393</v>
      </c>
      <c r="M126" s="1"/>
      <c r="V126" s="1"/>
    </row>
    <row r="127" spans="4:22" ht="20.100000000000001" customHeight="1" x14ac:dyDescent="0.25">
      <c r="D127" s="57" t="s">
        <v>361</v>
      </c>
      <c r="M127" s="1"/>
      <c r="V127" s="1"/>
    </row>
    <row r="128" spans="4:22" ht="20.100000000000001" customHeight="1" x14ac:dyDescent="0.25">
      <c r="D128" s="39" t="s">
        <v>93</v>
      </c>
      <c r="E128" s="39" t="s">
        <v>136</v>
      </c>
      <c r="F128" s="39" t="s">
        <v>143</v>
      </c>
      <c r="G128" s="108" t="s">
        <v>155</v>
      </c>
      <c r="M128" s="1"/>
      <c r="N128" s="24"/>
      <c r="V128" s="1"/>
    </row>
    <row r="129" spans="1:22" ht="20.100000000000001" customHeight="1" x14ac:dyDescent="0.25">
      <c r="D129" s="39" t="s">
        <v>394</v>
      </c>
      <c r="E129" s="39">
        <v>0</v>
      </c>
      <c r="F129" s="39" t="s">
        <v>214</v>
      </c>
      <c r="M129" s="1"/>
      <c r="N129" s="24"/>
      <c r="V129" s="1"/>
    </row>
    <row r="130" spans="1:22" ht="20.100000000000001" customHeight="1" x14ac:dyDescent="0.25">
      <c r="D130" s="1" t="s">
        <v>395</v>
      </c>
      <c r="E130" s="39">
        <v>0</v>
      </c>
      <c r="F130" s="39" t="s">
        <v>202</v>
      </c>
      <c r="M130" s="1"/>
      <c r="N130" s="24"/>
      <c r="V130" s="1"/>
    </row>
    <row r="131" spans="1:22" ht="20.100000000000001" customHeight="1" x14ac:dyDescent="0.25">
      <c r="D131" s="1" t="s">
        <v>396</v>
      </c>
      <c r="E131" s="39">
        <v>0</v>
      </c>
      <c r="F131" s="39" t="s">
        <v>363</v>
      </c>
      <c r="M131" s="1"/>
      <c r="N131" s="24"/>
    </row>
    <row r="132" spans="1:22" ht="20.100000000000001" customHeight="1" x14ac:dyDescent="0.25">
      <c r="D132" s="1" t="s">
        <v>397</v>
      </c>
      <c r="E132" s="39">
        <v>0</v>
      </c>
      <c r="F132" s="39" t="s">
        <v>365</v>
      </c>
      <c r="M132" s="24"/>
    </row>
    <row r="133" spans="1:22" ht="20.100000000000001" customHeight="1" x14ac:dyDescent="0.25">
      <c r="D133" s="1" t="s">
        <v>398</v>
      </c>
      <c r="E133" s="39">
        <v>5.0000000000000001E-3</v>
      </c>
      <c r="F133" s="39" t="s">
        <v>207</v>
      </c>
      <c r="M133" s="24"/>
    </row>
    <row r="134" spans="1:22" ht="20.100000000000001" customHeight="1" x14ac:dyDescent="0.25">
      <c r="M134" s="24"/>
    </row>
    <row r="135" spans="1:22" ht="20.100000000000001" customHeight="1" x14ac:dyDescent="0.25">
      <c r="M135" s="24"/>
    </row>
    <row r="136" spans="1:22" ht="20.100000000000001" customHeight="1" x14ac:dyDescent="0.25">
      <c r="D136" s="6" t="s">
        <v>399</v>
      </c>
      <c r="M136" s="24"/>
    </row>
    <row r="137" spans="1:22" ht="20.100000000000001" customHeight="1" x14ac:dyDescent="0.25">
      <c r="A137" s="125" t="str">
        <f>HYPERLINK("#A1", "▲ Back to top")</f>
        <v>▲ Back to top</v>
      </c>
      <c r="D137" s="5" t="s">
        <v>400</v>
      </c>
      <c r="M137" s="24"/>
    </row>
    <row r="138" spans="1:22" ht="20.100000000000001" customHeight="1" x14ac:dyDescent="0.25">
      <c r="D138" s="1" t="s">
        <v>401</v>
      </c>
      <c r="M138" s="24"/>
    </row>
    <row r="139" spans="1:22" ht="20.100000000000001" customHeight="1" x14ac:dyDescent="0.25">
      <c r="D139" s="56" t="s">
        <v>329</v>
      </c>
      <c r="M139" s="24"/>
    </row>
    <row r="140" spans="1:22" ht="20.100000000000001" customHeight="1" x14ac:dyDescent="0.25">
      <c r="D140" s="57" t="s">
        <v>402</v>
      </c>
      <c r="M140" s="24"/>
    </row>
    <row r="141" spans="1:22" ht="20.100000000000001" customHeight="1" x14ac:dyDescent="0.25">
      <c r="D141" s="39" t="s">
        <v>132</v>
      </c>
      <c r="E141" s="39" t="s">
        <v>153</v>
      </c>
      <c r="F141" s="39" t="s">
        <v>154</v>
      </c>
      <c r="M141" s="24"/>
    </row>
    <row r="142" spans="1:22" ht="20.100000000000001" customHeight="1" x14ac:dyDescent="0.25">
      <c r="D142" s="39" t="s">
        <v>127</v>
      </c>
      <c r="E142" s="39">
        <v>365</v>
      </c>
      <c r="F142" s="39">
        <v>0</v>
      </c>
      <c r="M142" s="24"/>
    </row>
    <row r="143" spans="1:22" ht="20.100000000000001" customHeight="1" x14ac:dyDescent="0.25">
      <c r="D143" s="1" t="s">
        <v>144</v>
      </c>
      <c r="E143" s="39">
        <v>365</v>
      </c>
      <c r="F143" s="39">
        <v>0</v>
      </c>
      <c r="M143" s="24"/>
    </row>
    <row r="144" spans="1:22" ht="20.100000000000001" customHeight="1" x14ac:dyDescent="0.25">
      <c r="D144" s="1" t="s">
        <v>145</v>
      </c>
      <c r="E144" s="39">
        <v>281</v>
      </c>
      <c r="F144" s="39">
        <v>84</v>
      </c>
      <c r="M144" s="24"/>
    </row>
    <row r="145" spans="4:13" ht="20.100000000000001" customHeight="1" x14ac:dyDescent="0.25">
      <c r="D145" s="1" t="s">
        <v>146</v>
      </c>
      <c r="E145" s="39">
        <v>365</v>
      </c>
      <c r="F145" s="39">
        <v>0</v>
      </c>
      <c r="M145" s="24"/>
    </row>
    <row r="146" spans="4:13" ht="20.100000000000001" customHeight="1" x14ac:dyDescent="0.25">
      <c r="D146" s="1" t="s">
        <v>147</v>
      </c>
      <c r="E146" s="39">
        <v>281</v>
      </c>
      <c r="F146" s="39">
        <v>84</v>
      </c>
      <c r="M146" s="24"/>
    </row>
    <row r="147" spans="4:13" ht="20.100000000000001" customHeight="1" x14ac:dyDescent="0.25">
      <c r="M147" s="24"/>
    </row>
    <row r="148" spans="4:13" ht="20.100000000000001" customHeight="1" x14ac:dyDescent="0.25">
      <c r="M148" s="24"/>
    </row>
    <row r="149" spans="4:13" ht="20.100000000000001" customHeight="1" x14ac:dyDescent="0.25">
      <c r="D149" s="6" t="s">
        <v>403</v>
      </c>
      <c r="M149" s="24"/>
    </row>
    <row r="150" spans="4:13" ht="20.100000000000001" customHeight="1" x14ac:dyDescent="0.25">
      <c r="D150" s="5" t="s">
        <v>400</v>
      </c>
      <c r="M150" s="24"/>
    </row>
    <row r="151" spans="4:13" ht="20.100000000000001" customHeight="1" x14ac:dyDescent="0.25">
      <c r="D151" s="1" t="s">
        <v>404</v>
      </c>
      <c r="M151" s="24"/>
    </row>
    <row r="152" spans="4:13" ht="20.100000000000001" customHeight="1" x14ac:dyDescent="0.25">
      <c r="D152" s="56" t="s">
        <v>175</v>
      </c>
      <c r="M152" s="24"/>
    </row>
    <row r="153" spans="4:13" ht="20.100000000000001" customHeight="1" x14ac:dyDescent="0.25">
      <c r="D153" s="55">
        <v>0.2</v>
      </c>
      <c r="M153" s="24"/>
    </row>
    <row r="154" spans="4:13" ht="20.100000000000001" customHeight="1" x14ac:dyDescent="0.25">
      <c r="M154" s="24"/>
    </row>
    <row r="155" spans="4:13" ht="20.100000000000001" customHeight="1" x14ac:dyDescent="0.25">
      <c r="M155" s="24"/>
    </row>
    <row r="156" spans="4:13" ht="20.100000000000001" customHeight="1" x14ac:dyDescent="0.25">
      <c r="D156" s="6" t="s">
        <v>16</v>
      </c>
      <c r="M156" s="24"/>
    </row>
    <row r="157" spans="4:13" ht="20.100000000000001" customHeight="1" x14ac:dyDescent="0.25">
      <c r="D157" s="5" t="s">
        <v>405</v>
      </c>
      <c r="M157" s="24"/>
    </row>
    <row r="158" spans="4:13" ht="20.100000000000001" customHeight="1" x14ac:dyDescent="0.25">
      <c r="D158" s="1" t="s">
        <v>406</v>
      </c>
      <c r="M158" s="24"/>
    </row>
    <row r="159" spans="4:13" ht="20.100000000000001" customHeight="1" x14ac:dyDescent="0.25">
      <c r="D159" s="56" t="s">
        <v>175</v>
      </c>
      <c r="M159" s="24"/>
    </row>
    <row r="160" spans="4:13" ht="20.100000000000001" customHeight="1" x14ac:dyDescent="0.25">
      <c r="D160" s="55">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
        <v>407</v>
      </c>
      <c r="M163" s="24"/>
    </row>
    <row r="164" spans="1:13" ht="20.100000000000001" customHeight="1" x14ac:dyDescent="0.25">
      <c r="D164" s="5" t="s">
        <v>408</v>
      </c>
      <c r="M164" s="24"/>
    </row>
    <row r="165" spans="1:13" ht="20.100000000000001" customHeight="1" x14ac:dyDescent="0.25">
      <c r="D165" s="1" t="s">
        <v>280</v>
      </c>
      <c r="M165" s="24"/>
    </row>
    <row r="166" spans="1:13" x14ac:dyDescent="0.25">
      <c r="D166" s="56" t="s">
        <v>409</v>
      </c>
      <c r="M166" s="24"/>
    </row>
    <row r="167" spans="1:13" x14ac:dyDescent="0.25">
      <c r="D167" s="55">
        <v>3.0539999999999998</v>
      </c>
      <c r="M167" s="24"/>
    </row>
    <row r="168" spans="1:13" x14ac:dyDescent="0.25">
      <c r="M168" s="24"/>
    </row>
    <row r="169" spans="1:13" x14ac:dyDescent="0.25">
      <c r="M169" s="24"/>
    </row>
    <row r="170" spans="1:13" ht="23.25" x14ac:dyDescent="0.25">
      <c r="D170" s="6" t="s">
        <v>410</v>
      </c>
      <c r="M170" s="24"/>
    </row>
    <row r="171" spans="1:13" x14ac:dyDescent="0.25">
      <c r="D171" s="5" t="s">
        <v>408</v>
      </c>
      <c r="M171" s="24"/>
    </row>
    <row r="172" spans="1:13" x14ac:dyDescent="0.25">
      <c r="D172" s="1" t="s">
        <v>282</v>
      </c>
      <c r="M172" s="24"/>
    </row>
    <row r="173" spans="1:13" x14ac:dyDescent="0.25">
      <c r="D173" s="56" t="s">
        <v>411</v>
      </c>
      <c r="M173" s="24"/>
    </row>
    <row r="174" spans="1:13" x14ac:dyDescent="0.25">
      <c r="A174" s="125" t="str">
        <f>HYPERLINK("#A1", "▲ Back to top")</f>
        <v>▲ Back to top</v>
      </c>
      <c r="D174" s="55">
        <v>18.399999999999999</v>
      </c>
      <c r="M174" s="24"/>
    </row>
    <row r="175" spans="1:13" x14ac:dyDescent="0.25">
      <c r="M175" s="24"/>
    </row>
    <row r="176" spans="1:13" x14ac:dyDescent="0.25">
      <c r="M176" s="24"/>
    </row>
    <row r="177" spans="4:13" ht="23.25" x14ac:dyDescent="0.25">
      <c r="D177" s="6" t="s">
        <v>412</v>
      </c>
      <c r="M177" s="24"/>
    </row>
    <row r="178" spans="4:13" x14ac:dyDescent="0.25">
      <c r="D178" s="5" t="s">
        <v>408</v>
      </c>
      <c r="M178" s="24"/>
    </row>
    <row r="179" spans="4:13" x14ac:dyDescent="0.25">
      <c r="D179" s="1" t="s">
        <v>284</v>
      </c>
      <c r="M179" s="24"/>
    </row>
    <row r="180" spans="4:13" x14ac:dyDescent="0.25">
      <c r="D180" s="56" t="s">
        <v>175</v>
      </c>
      <c r="M180" s="24"/>
    </row>
    <row r="181" spans="4:13" x14ac:dyDescent="0.25">
      <c r="D181" s="55">
        <v>0.6</v>
      </c>
      <c r="M181" s="24"/>
    </row>
    <row r="182" spans="4:13" x14ac:dyDescent="0.25">
      <c r="M182" s="24"/>
    </row>
    <row r="183" spans="4:13" x14ac:dyDescent="0.25">
      <c r="M183" s="24"/>
    </row>
    <row r="184" spans="4:13" ht="23.25" x14ac:dyDescent="0.25">
      <c r="D184" s="6" t="s">
        <v>413</v>
      </c>
      <c r="M184" s="24"/>
    </row>
    <row r="185" spans="4:13" x14ac:dyDescent="0.25">
      <c r="D185" s="5" t="s">
        <v>414</v>
      </c>
      <c r="M185" s="24"/>
    </row>
    <row r="186" spans="4:13" x14ac:dyDescent="0.25">
      <c r="D186" s="1" t="s">
        <v>415</v>
      </c>
      <c r="M186" s="24"/>
    </row>
    <row r="187" spans="4:13" x14ac:dyDescent="0.25">
      <c r="D187" s="56" t="s">
        <v>175</v>
      </c>
      <c r="M187" s="24"/>
    </row>
    <row r="188" spans="4:13" x14ac:dyDescent="0.25">
      <c r="D188" s="55">
        <v>0.08</v>
      </c>
      <c r="M188" s="24"/>
    </row>
    <row r="189" spans="4:13" x14ac:dyDescent="0.25">
      <c r="M189" s="24"/>
    </row>
    <row r="190" spans="4:13" x14ac:dyDescent="0.25">
      <c r="M190" s="24"/>
    </row>
    <row r="191" spans="4:13" ht="23.25" x14ac:dyDescent="0.25">
      <c r="D191" s="6" t="s">
        <v>416</v>
      </c>
      <c r="M191" s="24"/>
    </row>
    <row r="192" spans="4:13" x14ac:dyDescent="0.25">
      <c r="D192" s="5" t="s">
        <v>414</v>
      </c>
      <c r="M192" s="24"/>
    </row>
    <row r="193" spans="4:13" x14ac:dyDescent="0.25">
      <c r="D193" s="1" t="s">
        <v>417</v>
      </c>
      <c r="M193" s="24"/>
    </row>
    <row r="194" spans="4:13" x14ac:dyDescent="0.25">
      <c r="D194" s="56" t="s">
        <v>418</v>
      </c>
      <c r="M194" s="24"/>
    </row>
    <row r="195" spans="4:13" x14ac:dyDescent="0.25">
      <c r="D195" s="55">
        <v>0.24</v>
      </c>
      <c r="M195" s="24"/>
    </row>
    <row r="196" spans="4:13" x14ac:dyDescent="0.25">
      <c r="M196" s="24"/>
    </row>
    <row r="197" spans="4:13" x14ac:dyDescent="0.25">
      <c r="M197" s="24"/>
    </row>
    <row r="198" spans="4:13" ht="23.25" x14ac:dyDescent="0.25">
      <c r="D198" s="6" t="s">
        <v>419</v>
      </c>
      <c r="M198" s="24"/>
    </row>
    <row r="199" spans="4:13" x14ac:dyDescent="0.25">
      <c r="D199" s="5" t="s">
        <v>414</v>
      </c>
      <c r="M199" s="24"/>
    </row>
    <row r="200" spans="4:13" x14ac:dyDescent="0.25">
      <c r="D200" s="1" t="s">
        <v>420</v>
      </c>
      <c r="M200" s="24"/>
    </row>
    <row r="201" spans="4:13" x14ac:dyDescent="0.25">
      <c r="D201" s="56" t="s">
        <v>393</v>
      </c>
      <c r="M201" s="24"/>
    </row>
    <row r="202" spans="4:13" x14ac:dyDescent="0.25">
      <c r="D202" s="55">
        <v>1.0999999999999999E-2</v>
      </c>
      <c r="M202" s="24"/>
    </row>
    <row r="203" spans="4:13" x14ac:dyDescent="0.25">
      <c r="M203" s="24"/>
    </row>
    <row r="204" spans="4:13" x14ac:dyDescent="0.25">
      <c r="M204" s="24"/>
    </row>
    <row r="205" spans="4:13" ht="23.25" x14ac:dyDescent="0.25">
      <c r="D205" s="6" t="s">
        <v>421</v>
      </c>
      <c r="M205" s="24"/>
    </row>
    <row r="206" spans="4:13" x14ac:dyDescent="0.25">
      <c r="D206" s="5" t="s">
        <v>414</v>
      </c>
      <c r="M206" s="24"/>
    </row>
    <row r="207" spans="4:13" x14ac:dyDescent="0.25">
      <c r="D207" s="1" t="s">
        <v>422</v>
      </c>
      <c r="M207" s="24"/>
    </row>
    <row r="208" spans="4:13" x14ac:dyDescent="0.25">
      <c r="D208" s="56" t="s">
        <v>423</v>
      </c>
      <c r="M208" s="24"/>
    </row>
    <row r="209" spans="1:13" x14ac:dyDescent="0.25">
      <c r="D209" s="55">
        <v>0.02</v>
      </c>
      <c r="M209" s="24"/>
    </row>
    <row r="210" spans="1:13" x14ac:dyDescent="0.25">
      <c r="M210" s="24"/>
    </row>
    <row r="211" spans="1:13" ht="23.25" x14ac:dyDescent="0.25">
      <c r="D211" s="6" t="s">
        <v>424</v>
      </c>
      <c r="M211" s="24"/>
    </row>
    <row r="212" spans="1:13" x14ac:dyDescent="0.25">
      <c r="D212" s="5" t="s">
        <v>414</v>
      </c>
      <c r="M212" s="24"/>
    </row>
    <row r="213" spans="1:13" x14ac:dyDescent="0.25">
      <c r="D213" s="1" t="s">
        <v>425</v>
      </c>
      <c r="M213" s="24"/>
    </row>
    <row r="214" spans="1:13" x14ac:dyDescent="0.25">
      <c r="D214" s="56" t="s">
        <v>426</v>
      </c>
      <c r="M214" s="24"/>
    </row>
    <row r="215" spans="1:13" x14ac:dyDescent="0.25">
      <c r="A215" s="125" t="str">
        <f>HYPERLINK("#A1", "▲ Back to top")</f>
        <v>▲ Back to top</v>
      </c>
      <c r="D215" s="55">
        <v>0.21</v>
      </c>
      <c r="M215" s="24"/>
    </row>
    <row r="216" spans="1:13" x14ac:dyDescent="0.25">
      <c r="M216" s="24"/>
    </row>
    <row r="217" spans="1:13" ht="23.25" x14ac:dyDescent="0.25">
      <c r="D217" s="6" t="s">
        <v>243</v>
      </c>
      <c r="M217" s="24"/>
    </row>
    <row r="218" spans="1:13" x14ac:dyDescent="0.25">
      <c r="D218" s="5" t="s">
        <v>427</v>
      </c>
      <c r="M218" s="24"/>
    </row>
    <row r="219" spans="1:13" x14ac:dyDescent="0.25">
      <c r="D219" s="1" t="s">
        <v>265</v>
      </c>
      <c r="M219" s="24"/>
    </row>
    <row r="220" spans="1:13" x14ac:dyDescent="0.25">
      <c r="D220" s="56" t="s">
        <v>247</v>
      </c>
      <c r="M220" s="24"/>
    </row>
    <row r="221" spans="1:13" x14ac:dyDescent="0.25">
      <c r="D221" s="55">
        <v>4</v>
      </c>
      <c r="M221" s="24"/>
    </row>
    <row r="222" spans="1:13" x14ac:dyDescent="0.25">
      <c r="M222" s="24"/>
    </row>
    <row r="223" spans="1:13" ht="23.25" x14ac:dyDescent="0.25">
      <c r="D223" s="6" t="s">
        <v>244</v>
      </c>
      <c r="M223" s="24"/>
    </row>
    <row r="224" spans="1:13" x14ac:dyDescent="0.25">
      <c r="D224" s="5" t="s">
        <v>427</v>
      </c>
      <c r="M224" s="24"/>
    </row>
    <row r="225" spans="4:13" x14ac:dyDescent="0.25">
      <c r="D225" s="1" t="s">
        <v>267</v>
      </c>
      <c r="M225" s="24"/>
    </row>
    <row r="226" spans="4:13" x14ac:dyDescent="0.25">
      <c r="D226" s="56" t="s">
        <v>247</v>
      </c>
      <c r="M226" s="24"/>
    </row>
    <row r="227" spans="4:13" x14ac:dyDescent="0.25">
      <c r="D227" s="55">
        <v>3.3</v>
      </c>
      <c r="M227" s="24"/>
    </row>
    <row r="228" spans="4:13" x14ac:dyDescent="0.25">
      <c r="M228" s="24"/>
    </row>
    <row r="229" spans="4:13" x14ac:dyDescent="0.25">
      <c r="M229" s="24"/>
    </row>
    <row r="230" spans="4:13" x14ac:dyDescent="0.25">
      <c r="M230" s="24"/>
    </row>
    <row r="231" spans="4:13" x14ac:dyDescent="0.25">
      <c r="M231" s="24"/>
    </row>
    <row r="232" spans="4:13" x14ac:dyDescent="0.25">
      <c r="M232" s="24"/>
    </row>
    <row r="233" spans="4:13" x14ac:dyDescent="0.25">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1202-1887-4293-9408-079FA11C6DF6}">
  <dimension ref="A1:BY250"/>
  <sheetViews>
    <sheetView showGridLines="0" topLeftCell="A221"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428</v>
      </c>
      <c r="BM5" s="3"/>
    </row>
    <row r="6" spans="1:65" ht="20.100000000000001" customHeight="1" x14ac:dyDescent="0.25">
      <c r="A6"/>
      <c r="D6" s="39" t="s">
        <v>19</v>
      </c>
      <c r="E6" s="39" t="s">
        <v>20</v>
      </c>
      <c r="F6" s="39" t="s">
        <v>21</v>
      </c>
    </row>
    <row r="7" spans="1:65" ht="20.100000000000001" customHeight="1" x14ac:dyDescent="0.25">
      <c r="A7"/>
      <c r="D7" s="39" t="s">
        <v>94</v>
      </c>
      <c r="E7" s="39" t="s">
        <v>94</v>
      </c>
      <c r="F7" s="39" t="s">
        <v>77</v>
      </c>
    </row>
    <row r="8" spans="1:65" ht="20.100000000000001" customHeight="1" x14ac:dyDescent="0.25">
      <c r="A8"/>
      <c r="D8" s="39" t="s">
        <v>429</v>
      </c>
      <c r="E8" s="39" t="s">
        <v>76</v>
      </c>
      <c r="F8" s="39" t="s">
        <v>76</v>
      </c>
    </row>
    <row r="9" spans="1:65" ht="20.100000000000001" customHeight="1" x14ac:dyDescent="0.25">
      <c r="A9"/>
      <c r="D9" s="39" t="s">
        <v>430</v>
      </c>
      <c r="E9" s="39" t="s">
        <v>430</v>
      </c>
      <c r="F9" s="39" t="s">
        <v>82</v>
      </c>
    </row>
    <row r="10" spans="1:65" ht="20.100000000000001" customHeight="1" x14ac:dyDescent="0.25">
      <c r="A10"/>
      <c r="D10" s="39" t="s">
        <v>431</v>
      </c>
      <c r="E10" s="39" t="s">
        <v>431</v>
      </c>
      <c r="F10" s="39" t="s">
        <v>79</v>
      </c>
    </row>
    <row r="11" spans="1:65" ht="20.100000000000001" customHeight="1" x14ac:dyDescent="0.25">
      <c r="A11"/>
      <c r="D11" s="39" t="s">
        <v>432</v>
      </c>
      <c r="E11" s="39" t="s">
        <v>432</v>
      </c>
      <c r="F11" s="39" t="s">
        <v>80</v>
      </c>
      <c r="BM11" s="3"/>
    </row>
    <row r="12" spans="1:65" ht="20.100000000000001" customHeight="1" x14ac:dyDescent="0.25">
      <c r="A12"/>
      <c r="D12" s="39" t="s">
        <v>433</v>
      </c>
      <c r="E12" s="39" t="s">
        <v>433</v>
      </c>
      <c r="F12" s="39" t="s">
        <v>83</v>
      </c>
      <c r="BM12" s="3"/>
    </row>
    <row r="13" spans="1:65" ht="20.100000000000001" customHeight="1" x14ac:dyDescent="0.25">
      <c r="A13"/>
      <c r="D13" s="39" t="s">
        <v>434</v>
      </c>
      <c r="E13" s="39" t="s">
        <v>434</v>
      </c>
      <c r="F13" s="39" t="s">
        <v>81</v>
      </c>
    </row>
    <row r="14" spans="1:65" ht="20.100000000000001" customHeight="1" x14ac:dyDescent="0.25">
      <c r="A14"/>
      <c r="D14" s="39" t="s">
        <v>435</v>
      </c>
      <c r="E14" s="39" t="s">
        <v>435</v>
      </c>
      <c r="F14" s="39" t="s">
        <v>78</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436</v>
      </c>
    </row>
    <row r="19" spans="1:4" ht="20.100000000000001" customHeight="1" x14ac:dyDescent="0.25">
      <c r="A19"/>
      <c r="D19" s="5" t="s">
        <v>437</v>
      </c>
    </row>
    <row r="20" spans="1:4" ht="20.100000000000001" customHeight="1" x14ac:dyDescent="0.25">
      <c r="A20"/>
      <c r="D20" s="39" t="s">
        <v>22</v>
      </c>
    </row>
    <row r="21" spans="1:4" ht="20.100000000000001" customHeight="1" x14ac:dyDescent="0.25">
      <c r="A21"/>
      <c r="D21" s="39" t="s">
        <v>438</v>
      </c>
    </row>
    <row r="22" spans="1:4" ht="20.100000000000001" customHeight="1" x14ac:dyDescent="0.25">
      <c r="A22"/>
      <c r="D22" s="39" t="s">
        <v>439</v>
      </c>
    </row>
    <row r="23" spans="1:4" ht="20.100000000000001" customHeight="1" x14ac:dyDescent="0.25">
      <c r="A23"/>
      <c r="D23" s="39" t="s">
        <v>440</v>
      </c>
    </row>
    <row r="24" spans="1:4" ht="20.100000000000001" customHeight="1" x14ac:dyDescent="0.25">
      <c r="A24"/>
      <c r="D24" s="39" t="s">
        <v>441</v>
      </c>
    </row>
    <row r="25" spans="1:4" ht="20.100000000000001" customHeight="1" x14ac:dyDescent="0.25">
      <c r="A25"/>
      <c r="D25" s="39" t="s">
        <v>442</v>
      </c>
    </row>
    <row r="26" spans="1:4" ht="20.100000000000001" customHeight="1" x14ac:dyDescent="0.25">
      <c r="A26"/>
      <c r="D26" s="39" t="s">
        <v>443</v>
      </c>
    </row>
    <row r="27" spans="1:4" ht="20.100000000000001" customHeight="1" x14ac:dyDescent="0.25">
      <c r="A27"/>
      <c r="D27" s="39" t="s">
        <v>444</v>
      </c>
    </row>
    <row r="28" spans="1:4" ht="20.100000000000001" customHeight="1" x14ac:dyDescent="0.25">
      <c r="A28"/>
      <c r="D28" s="39" t="s">
        <v>445</v>
      </c>
    </row>
    <row r="29" spans="1:4" ht="20.100000000000001" customHeight="1" x14ac:dyDescent="0.25">
      <c r="A29"/>
      <c r="D29" s="39" t="s">
        <v>446</v>
      </c>
    </row>
    <row r="30" spans="1:4" ht="20.100000000000001" customHeight="1" x14ac:dyDescent="0.25">
      <c r="A30"/>
      <c r="D30" s="39" t="s">
        <v>31</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447</v>
      </c>
    </row>
    <row r="35" spans="1:8" ht="20.100000000000001" customHeight="1" x14ac:dyDescent="0.25">
      <c r="A35"/>
      <c r="D35" s="5" t="s">
        <v>448</v>
      </c>
    </row>
    <row r="36" spans="1:8" ht="20.100000000000001" customHeight="1" x14ac:dyDescent="0.25">
      <c r="A36"/>
      <c r="D36" s="39" t="s">
        <v>24</v>
      </c>
      <c r="E36" s="39" t="s">
        <v>25</v>
      </c>
    </row>
    <row r="37" spans="1:8" ht="20.100000000000001" customHeight="1" x14ac:dyDescent="0.25">
      <c r="A37"/>
      <c r="D37" s="39" t="s">
        <v>449</v>
      </c>
      <c r="E37" s="39">
        <v>1</v>
      </c>
    </row>
    <row r="38" spans="1:8" ht="20.100000000000001" customHeight="1" x14ac:dyDescent="0.25">
      <c r="A38"/>
      <c r="D38" s="39" t="s">
        <v>450</v>
      </c>
      <c r="E38" s="39">
        <v>28</v>
      </c>
    </row>
    <row r="39" spans="1:8" ht="20.100000000000001" customHeight="1" x14ac:dyDescent="0.25">
      <c r="A39"/>
      <c r="D39" s="39" t="s">
        <v>451</v>
      </c>
      <c r="E39" s="39">
        <v>265</v>
      </c>
    </row>
    <row r="40" spans="1:8" ht="20.100000000000001" customHeight="1" x14ac:dyDescent="0.25">
      <c r="A40"/>
      <c r="D40" s="39" t="s">
        <v>452</v>
      </c>
      <c r="E40" s="39">
        <v>6630</v>
      </c>
    </row>
    <row r="41" spans="1:8" ht="20.100000000000001" customHeight="1" x14ac:dyDescent="0.25">
      <c r="A41"/>
      <c r="D41" s="39" t="s">
        <v>453</v>
      </c>
      <c r="E41" s="39">
        <v>12200</v>
      </c>
    </row>
    <row r="42" spans="1:8" ht="20.100000000000001" customHeight="1" x14ac:dyDescent="0.25">
      <c r="D42" s="39" t="s">
        <v>454</v>
      </c>
      <c r="E42" s="39">
        <v>22800</v>
      </c>
    </row>
    <row r="43" spans="1:8" ht="20.100000000000001" customHeight="1" x14ac:dyDescent="0.25">
      <c r="D43" s="39" t="s">
        <v>455</v>
      </c>
      <c r="E43" s="39">
        <v>17200</v>
      </c>
    </row>
    <row r="44" spans="1:8" ht="20.100000000000001" customHeight="1" x14ac:dyDescent="0.25"/>
    <row r="45" spans="1:8" ht="20.100000000000001" customHeight="1" x14ac:dyDescent="0.25">
      <c r="D45" s="6" t="s">
        <v>456</v>
      </c>
    </row>
    <row r="46" spans="1:8" ht="20.100000000000001" customHeight="1" x14ac:dyDescent="0.25">
      <c r="D46" s="5" t="s">
        <v>448</v>
      </c>
    </row>
    <row r="47" spans="1:8" ht="20.100000000000001" customHeight="1" x14ac:dyDescent="0.25">
      <c r="D47" s="39" t="s">
        <v>24</v>
      </c>
      <c r="E47" s="39" t="s">
        <v>27</v>
      </c>
      <c r="F47" s="39" t="s">
        <v>28</v>
      </c>
      <c r="G47" s="39" t="s">
        <v>29</v>
      </c>
      <c r="H47" s="39" t="s">
        <v>30</v>
      </c>
    </row>
    <row r="48" spans="1:8" ht="20.100000000000001" customHeight="1" x14ac:dyDescent="0.25">
      <c r="D48" s="39" t="s">
        <v>449</v>
      </c>
      <c r="E48" s="39" t="s">
        <v>457</v>
      </c>
      <c r="F48" s="39">
        <v>44</v>
      </c>
      <c r="G48" s="39">
        <v>12</v>
      </c>
      <c r="H48" s="39">
        <f>Table_GasToMolecularConversionFactor[[#This Row],[Conversion factor 1]]/Table_GasToMolecularConversionFactor[[#This Row],[Conversion factor 2]]</f>
        <v>3.6666666666666665</v>
      </c>
    </row>
    <row r="49" spans="4:8" ht="20.100000000000001" customHeight="1" x14ac:dyDescent="0.25">
      <c r="D49" s="39" t="s">
        <v>450</v>
      </c>
      <c r="E49" s="39" t="s">
        <v>458</v>
      </c>
      <c r="F49" s="39">
        <v>16</v>
      </c>
      <c r="G49" s="39">
        <v>12</v>
      </c>
      <c r="H49" s="39">
        <f>Table_GasToMolecularConversionFactor[[#This Row],[Conversion factor 1]]/Table_GasToMolecularConversionFactor[[#This Row],[Conversion factor 2]]</f>
        <v>1.3333333333333333</v>
      </c>
    </row>
    <row r="50" spans="4:8" ht="20.100000000000001" customHeight="1" x14ac:dyDescent="0.25">
      <c r="D50" s="39" t="s">
        <v>451</v>
      </c>
      <c r="E50" s="39" t="s">
        <v>459</v>
      </c>
      <c r="F50" s="39">
        <v>44</v>
      </c>
      <c r="G50" s="39">
        <v>28</v>
      </c>
      <c r="H50" s="39">
        <f>Table_GasToMolecularConversionFactor[[#This Row],[Conversion factor 1]]/Table_GasToMolecularConversionFactor[[#This Row],[Conversion factor 2]]</f>
        <v>1.5714285714285714</v>
      </c>
    </row>
    <row r="51" spans="4:8" ht="20.100000000000001" customHeight="1" x14ac:dyDescent="0.25">
      <c r="D51" s="39" t="s">
        <v>460</v>
      </c>
      <c r="E51" s="39" t="s">
        <v>461</v>
      </c>
      <c r="F51" s="39">
        <v>46</v>
      </c>
      <c r="G51" s="39">
        <v>14</v>
      </c>
      <c r="H51" s="39">
        <f>Table_GasToMolecularConversionFactor[[#This Row],[Conversion factor 1]]/Table_GasToMolecularConversionFactor[[#This Row],[Conversion factor 2]]</f>
        <v>3.2857142857142856</v>
      </c>
    </row>
    <row r="52" spans="4:8" ht="20.100000000000001" customHeight="1" x14ac:dyDescent="0.25">
      <c r="D52" s="39" t="s">
        <v>462</v>
      </c>
      <c r="E52" s="39" t="s">
        <v>463</v>
      </c>
      <c r="F52" s="39">
        <v>28</v>
      </c>
      <c r="G52" s="39">
        <v>12</v>
      </c>
      <c r="H52" s="39">
        <f>Table_GasToMolecularConversionFactor[[#This Row],[Conversion factor 1]]/Table_GasToMolecularConversionFactor[[#This Row],[Conversion factor 2]]</f>
        <v>2.3333333333333335</v>
      </c>
    </row>
    <row r="53" spans="4:8" ht="20.100000000000001" customHeight="1" x14ac:dyDescent="0.25">
      <c r="D53" s="39" t="s">
        <v>464</v>
      </c>
      <c r="E53" s="39" t="s">
        <v>457</v>
      </c>
      <c r="F53" s="39">
        <v>44</v>
      </c>
      <c r="G53" s="39">
        <v>12</v>
      </c>
      <c r="H53" s="39">
        <f>Table_GasToMolecularConversionFactor[[#This Row],[Conversion factor 1]]/Table_GasToMolecularConversionFactor[[#This Row],[Conversion factor 2]]</f>
        <v>3.6666666666666665</v>
      </c>
    </row>
    <row r="54" spans="4:8" ht="20.100000000000001" customHeight="1" x14ac:dyDescent="0.25">
      <c r="D54" s="39" t="s">
        <v>465</v>
      </c>
      <c r="E54" s="39" t="s">
        <v>466</v>
      </c>
      <c r="F54" s="39">
        <v>14</v>
      </c>
      <c r="G54" s="39">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467</v>
      </c>
    </row>
    <row r="58" spans="4:8" ht="20.100000000000001" customHeight="1" x14ac:dyDescent="0.25">
      <c r="D58" s="5" t="s">
        <v>468</v>
      </c>
    </row>
    <row r="59" spans="4:8" ht="20.100000000000001" customHeight="1" x14ac:dyDescent="0.25">
      <c r="D59" s="57" t="str" cm="1">
        <f t="array" ref="D59:D61">"⚠️" &amp; Common_SourceData.Common_SourceData_WetAndDryZones_Variation()</f>
        <v>⚠️VARIATION OF SOURCE DATA:</v>
      </c>
    </row>
    <row r="60" spans="4:8" ht="20.100000000000001" customHeight="1" x14ac:dyDescent="0.25">
      <c r="D60" s="57" t="str">
        <v>⚠️Added warm / cool temperate moist / dry - low frost and high temp classes to accommodate climate scenarios excluded by VEERG criteria.</v>
      </c>
    </row>
    <row r="61" spans="4:8" ht="20.100000000000001" customHeight="1" x14ac:dyDescent="0.25">
      <c r="D61" s="57" t="str">
        <v>⚠️Fixed typo - Changed 'Fry' to 'Dry'.</v>
      </c>
    </row>
    <row r="62" spans="4:8" ht="20.100000000000001" customHeight="1" x14ac:dyDescent="0.25"/>
    <row r="63" spans="4:8" ht="20.100000000000001" customHeight="1" x14ac:dyDescent="0.25">
      <c r="D63" s="39" t="s">
        <v>8</v>
      </c>
      <c r="E63" s="39" t="s">
        <v>45</v>
      </c>
    </row>
    <row r="64" spans="4:8" ht="20.100000000000001" customHeight="1" x14ac:dyDescent="0.25">
      <c r="D64" s="39" t="s">
        <v>469</v>
      </c>
      <c r="E64" s="39" t="s">
        <v>470</v>
      </c>
    </row>
    <row r="65" spans="4:5" ht="20.100000000000001" customHeight="1" x14ac:dyDescent="0.25">
      <c r="D65" s="39" t="s">
        <v>471</v>
      </c>
      <c r="E65" s="39" t="s">
        <v>470</v>
      </c>
    </row>
    <row r="66" spans="4:5" ht="20.100000000000001" customHeight="1" x14ac:dyDescent="0.25">
      <c r="D66" s="39" t="s">
        <v>472</v>
      </c>
      <c r="E66" s="39" t="s">
        <v>470</v>
      </c>
    </row>
    <row r="67" spans="4:5" ht="20.100000000000001" customHeight="1" x14ac:dyDescent="0.25">
      <c r="D67" s="39" t="s">
        <v>473</v>
      </c>
      <c r="E67" s="39" t="s">
        <v>474</v>
      </c>
    </row>
    <row r="68" spans="4:5" ht="20.100000000000001" customHeight="1" x14ac:dyDescent="0.25">
      <c r="D68" s="39" t="s">
        <v>475</v>
      </c>
      <c r="E68" s="39" t="s">
        <v>470</v>
      </c>
    </row>
    <row r="69" spans="4:5" ht="20.100000000000001" customHeight="1" x14ac:dyDescent="0.25">
      <c r="D69" s="39" t="s">
        <v>476</v>
      </c>
      <c r="E69" s="39" t="s">
        <v>474</v>
      </c>
    </row>
    <row r="70" spans="4:5" ht="20.100000000000001" customHeight="1" x14ac:dyDescent="0.25">
      <c r="D70" s="39" t="s">
        <v>477</v>
      </c>
      <c r="E70" s="39" t="s">
        <v>470</v>
      </c>
    </row>
    <row r="71" spans="4:5" ht="20.100000000000001" customHeight="1" x14ac:dyDescent="0.25">
      <c r="D71" s="39" t="s">
        <v>478</v>
      </c>
      <c r="E71" s="39" t="s">
        <v>474</v>
      </c>
    </row>
    <row r="72" spans="4:5" ht="20.100000000000001" customHeight="1" x14ac:dyDescent="0.25">
      <c r="D72" s="39" t="s">
        <v>479</v>
      </c>
      <c r="E72" s="39" t="s">
        <v>470</v>
      </c>
    </row>
    <row r="73" spans="4:5" ht="20.100000000000001" customHeight="1" x14ac:dyDescent="0.25">
      <c r="D73" s="39" t="s">
        <v>480</v>
      </c>
      <c r="E73" s="39" t="s">
        <v>474</v>
      </c>
    </row>
    <row r="74" spans="4:5" ht="20.100000000000001" customHeight="1" x14ac:dyDescent="0.25">
      <c r="D74" s="39" t="s">
        <v>481</v>
      </c>
      <c r="E74" s="39" t="s">
        <v>470</v>
      </c>
    </row>
    <row r="75" spans="4:5" ht="20.100000000000001" customHeight="1" x14ac:dyDescent="0.25">
      <c r="D75" s="39" t="s">
        <v>482</v>
      </c>
      <c r="E75" s="39" t="s">
        <v>474</v>
      </c>
    </row>
    <row r="76" spans="4:5" ht="20.100000000000001" customHeight="1" x14ac:dyDescent="0.25">
      <c r="D76" s="39" t="s">
        <v>483</v>
      </c>
      <c r="E76" s="39" t="s">
        <v>470</v>
      </c>
    </row>
    <row r="77" spans="4:5" ht="20.100000000000001" customHeight="1" x14ac:dyDescent="0.25">
      <c r="D77" s="39" t="s">
        <v>484</v>
      </c>
      <c r="E77" s="39" t="s">
        <v>474</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485</v>
      </c>
    </row>
    <row r="82" spans="4:20" ht="20.100000000000001" customHeight="1" x14ac:dyDescent="0.25">
      <c r="D82" s="5" t="s">
        <v>486</v>
      </c>
    </row>
    <row r="83" spans="4:20" ht="20.100000000000001" customHeight="1" x14ac:dyDescent="0.25">
      <c r="D83" s="57" t="str" cm="1">
        <f t="array" ref="D83:D87">"⚠️" &amp; Common_SourceData.Common_SourceData_ClimateZones_Variation()</f>
        <v>⚠️VARIATION OF SOURCE DATA:</v>
      </c>
    </row>
    <row r="84" spans="4:20" ht="20.100000000000001" customHeight="1" x14ac:dyDescent="0.25">
      <c r="D84" s="57" t="str">
        <v>⚠️Added warm / cool temperate moist / dry - low frost and high temp classes to accommodate climate scenarios excluded by VEERG criteria.</v>
      </c>
    </row>
    <row r="85" spans="4:20" ht="20.100000000000001" customHeight="1" x14ac:dyDescent="0.25">
      <c r="D85" s="57" t="str">
        <v>⚠️Fixed typo in MAT value for warm temperate dry - changed 10 to 11.</v>
      </c>
    </row>
    <row r="86" spans="4:20" ht="20.100000000000001" customHeight="1" x14ac:dyDescent="0.25">
      <c r="D86" s="57" t="str">
        <v>⚠️Added min and max columns for MAT, MAP, frost days per year, elevation, MAP:PET to calculate zones from real climate data.</v>
      </c>
    </row>
    <row r="87" spans="4:20" ht="20.100000000000001" customHeight="1" x14ac:dyDescent="0.25">
      <c r="D87" s="57" t="str">
        <v>⚠️GAF accepts rainfall as a proxy for precipitation.</v>
      </c>
    </row>
    <row r="88" spans="4:20" ht="20.100000000000001" customHeight="1" x14ac:dyDescent="0.25"/>
    <row r="89" spans="4:20" ht="20.100000000000001" customHeight="1" x14ac:dyDescent="0.25">
      <c r="D89" s="39" t="s">
        <v>8</v>
      </c>
      <c r="E89" s="39" t="s">
        <v>33</v>
      </c>
      <c r="F89" s="39" t="s">
        <v>34</v>
      </c>
      <c r="G89" s="39" t="s">
        <v>35</v>
      </c>
      <c r="H89" s="39" t="s">
        <v>36</v>
      </c>
      <c r="I89" s="39" t="s">
        <v>37</v>
      </c>
      <c r="J89" s="39" t="s">
        <v>38</v>
      </c>
      <c r="K89" s="39" t="s">
        <v>39</v>
      </c>
      <c r="L89" s="39" t="s">
        <v>40</v>
      </c>
      <c r="M89" s="39" t="s">
        <v>41</v>
      </c>
      <c r="N89" s="39" t="s">
        <v>42</v>
      </c>
      <c r="O89" s="39" t="s">
        <v>46</v>
      </c>
      <c r="P89" s="39" t="s">
        <v>43</v>
      </c>
      <c r="Q89" s="39" t="s">
        <v>47</v>
      </c>
      <c r="R89" s="39" t="s">
        <v>44</v>
      </c>
      <c r="S89" s="39" t="s">
        <v>48</v>
      </c>
      <c r="T89" s="39"/>
    </row>
    <row r="90" spans="4:20" ht="20.100000000000001" customHeight="1" x14ac:dyDescent="0.25">
      <c r="D90" s="39" t="s">
        <v>469</v>
      </c>
      <c r="E90" s="39" t="s">
        <v>487</v>
      </c>
      <c r="F90" s="39" t="s">
        <v>488</v>
      </c>
      <c r="G90" s="39" t="s">
        <v>489</v>
      </c>
      <c r="H90" s="39" t="s">
        <v>490</v>
      </c>
      <c r="I90" s="39" t="s">
        <v>488</v>
      </c>
      <c r="J90" s="39">
        <v>18.001000000000001</v>
      </c>
      <c r="K90" s="39">
        <v>999999</v>
      </c>
      <c r="L90" s="39">
        <v>-999999</v>
      </c>
      <c r="M90" s="39">
        <v>999999</v>
      </c>
      <c r="N90" s="39">
        <v>-999999</v>
      </c>
      <c r="O90" s="39">
        <v>7</v>
      </c>
      <c r="P90" s="39">
        <v>1000</v>
      </c>
      <c r="Q90" s="39">
        <v>999999</v>
      </c>
      <c r="R90" s="39">
        <v>-999999</v>
      </c>
      <c r="S90" s="39">
        <v>999999</v>
      </c>
      <c r="T90" s="39"/>
    </row>
    <row r="91" spans="4:20" ht="20.100000000000001" customHeight="1" x14ac:dyDescent="0.25">
      <c r="D91" s="39" t="s">
        <v>471</v>
      </c>
      <c r="E91" s="39" t="s">
        <v>487</v>
      </c>
      <c r="F91" s="39" t="s">
        <v>491</v>
      </c>
      <c r="G91" s="39" t="s">
        <v>489</v>
      </c>
      <c r="H91" s="39" t="s">
        <v>492</v>
      </c>
      <c r="I91" s="39" t="s">
        <v>488</v>
      </c>
      <c r="J91" s="39">
        <v>18.001000000000001</v>
      </c>
      <c r="K91" s="39">
        <v>999999</v>
      </c>
      <c r="L91" s="39">
        <v>2000.001</v>
      </c>
      <c r="M91" s="39">
        <v>999999</v>
      </c>
      <c r="N91" s="39">
        <v>-999999</v>
      </c>
      <c r="O91" s="39">
        <v>7</v>
      </c>
      <c r="P91" s="39">
        <v>-999999</v>
      </c>
      <c r="Q91" s="39">
        <v>999.99900000000002</v>
      </c>
      <c r="R91" s="39">
        <v>-999999</v>
      </c>
      <c r="S91" s="39">
        <v>999999</v>
      </c>
      <c r="T91" s="39"/>
    </row>
    <row r="92" spans="4:20" ht="20.100000000000001" customHeight="1" x14ac:dyDescent="0.25">
      <c r="D92" s="39" t="s">
        <v>472</v>
      </c>
      <c r="E92" s="39" t="s">
        <v>487</v>
      </c>
      <c r="F92" s="39" t="s">
        <v>493</v>
      </c>
      <c r="G92" s="39" t="s">
        <v>489</v>
      </c>
      <c r="H92" s="39" t="s">
        <v>492</v>
      </c>
      <c r="I92" s="39" t="s">
        <v>488</v>
      </c>
      <c r="J92" s="39">
        <v>18.001000000000001</v>
      </c>
      <c r="K92" s="39">
        <v>999999</v>
      </c>
      <c r="L92" s="39">
        <v>1000.001</v>
      </c>
      <c r="M92" s="39">
        <v>2000</v>
      </c>
      <c r="N92" s="39">
        <v>-999999</v>
      </c>
      <c r="O92" s="39">
        <v>7</v>
      </c>
      <c r="P92" s="39">
        <v>-999999</v>
      </c>
      <c r="Q92" s="39">
        <v>999.99900000000002</v>
      </c>
      <c r="R92" s="39">
        <v>-999999</v>
      </c>
      <c r="S92" s="39">
        <v>999999</v>
      </c>
      <c r="T92" s="39"/>
    </row>
    <row r="93" spans="4:20" ht="20.100000000000001" customHeight="1" x14ac:dyDescent="0.25">
      <c r="D93" s="39" t="s">
        <v>473</v>
      </c>
      <c r="E93" s="39" t="s">
        <v>487</v>
      </c>
      <c r="F93" s="39" t="s">
        <v>494</v>
      </c>
      <c r="G93" s="39" t="s">
        <v>489</v>
      </c>
      <c r="H93" s="39" t="s">
        <v>492</v>
      </c>
      <c r="I93" s="39" t="s">
        <v>488</v>
      </c>
      <c r="J93" s="39">
        <v>18.001000000000001</v>
      </c>
      <c r="K93" s="39">
        <v>999999</v>
      </c>
      <c r="L93" s="39">
        <v>-999999</v>
      </c>
      <c r="M93" s="39">
        <v>1000</v>
      </c>
      <c r="N93" s="39">
        <v>-999999</v>
      </c>
      <c r="O93" s="39">
        <v>7</v>
      </c>
      <c r="P93" s="39">
        <v>-999999</v>
      </c>
      <c r="Q93" s="39">
        <v>999.99900000000002</v>
      </c>
      <c r="R93" s="39">
        <v>-999999</v>
      </c>
      <c r="S93" s="39">
        <v>999999</v>
      </c>
      <c r="T93" s="39"/>
    </row>
    <row r="94" spans="4:20" ht="20.100000000000001" customHeight="1" x14ac:dyDescent="0.25">
      <c r="D94" s="39" t="s">
        <v>475</v>
      </c>
      <c r="E94" s="39" t="s">
        <v>495</v>
      </c>
      <c r="F94" s="39" t="s">
        <v>488</v>
      </c>
      <c r="G94" s="39" t="s">
        <v>488</v>
      </c>
      <c r="H94" s="39" t="s">
        <v>488</v>
      </c>
      <c r="I94" s="39" t="s">
        <v>496</v>
      </c>
      <c r="J94" s="39">
        <v>10.000999999999999</v>
      </c>
      <c r="K94" s="39">
        <v>999999</v>
      </c>
      <c r="L94" s="39">
        <v>-999999</v>
      </c>
      <c r="M94" s="39">
        <v>999999</v>
      </c>
      <c r="N94" s="39">
        <v>-999999</v>
      </c>
      <c r="O94" s="39">
        <v>999999</v>
      </c>
      <c r="P94" s="39">
        <v>-999999</v>
      </c>
      <c r="Q94" s="39">
        <v>999999</v>
      </c>
      <c r="R94" s="39">
        <v>1.0009999999999999</v>
      </c>
      <c r="S94" s="39">
        <v>999999</v>
      </c>
      <c r="T94" s="39"/>
    </row>
    <row r="95" spans="4:20" ht="20.100000000000001" customHeight="1" x14ac:dyDescent="0.25">
      <c r="D95" s="39" t="s">
        <v>476</v>
      </c>
      <c r="E95" s="39" t="s">
        <v>495</v>
      </c>
      <c r="F95" s="39" t="s">
        <v>488</v>
      </c>
      <c r="G95" s="39" t="s">
        <v>488</v>
      </c>
      <c r="H95" s="39" t="s">
        <v>488</v>
      </c>
      <c r="I95" s="39" t="s">
        <v>497</v>
      </c>
      <c r="J95" s="39">
        <v>10.000999999999999</v>
      </c>
      <c r="K95" s="39">
        <v>999999</v>
      </c>
      <c r="L95" s="39">
        <v>-999999</v>
      </c>
      <c r="M95" s="39">
        <v>999999</v>
      </c>
      <c r="N95" s="39">
        <v>-999999</v>
      </c>
      <c r="O95" s="39">
        <v>999999</v>
      </c>
      <c r="P95" s="39">
        <v>-999999</v>
      </c>
      <c r="Q95" s="39">
        <v>999999</v>
      </c>
      <c r="R95" s="39">
        <v>-999999</v>
      </c>
      <c r="S95" s="39">
        <v>1</v>
      </c>
      <c r="T95" s="39"/>
    </row>
    <row r="96" spans="4:20" ht="20.100000000000001" customHeight="1" x14ac:dyDescent="0.25">
      <c r="D96" s="39" t="s">
        <v>477</v>
      </c>
      <c r="E96" s="39" t="s">
        <v>498</v>
      </c>
      <c r="F96" s="39" t="s">
        <v>488</v>
      </c>
      <c r="G96" s="39" t="s">
        <v>488</v>
      </c>
      <c r="H96" s="39" t="s">
        <v>488</v>
      </c>
      <c r="I96" s="39" t="s">
        <v>496</v>
      </c>
      <c r="J96" s="39">
        <v>-999999</v>
      </c>
      <c r="K96" s="39">
        <v>10</v>
      </c>
      <c r="L96" s="39">
        <v>-999999</v>
      </c>
      <c r="M96" s="39">
        <v>999999</v>
      </c>
      <c r="N96" s="39">
        <v>-999999</v>
      </c>
      <c r="O96" s="39">
        <v>999999</v>
      </c>
      <c r="P96" s="39">
        <v>-999999</v>
      </c>
      <c r="Q96" s="39">
        <v>999999</v>
      </c>
      <c r="R96" s="39">
        <v>1.0009999999999999</v>
      </c>
      <c r="S96" s="39">
        <v>999999</v>
      </c>
      <c r="T96" s="39"/>
    </row>
    <row r="97" spans="4:20" ht="20.100000000000001" customHeight="1" x14ac:dyDescent="0.25">
      <c r="D97" s="39" t="s">
        <v>478</v>
      </c>
      <c r="E97" s="39" t="s">
        <v>498</v>
      </c>
      <c r="F97" s="39" t="s">
        <v>488</v>
      </c>
      <c r="G97" s="39" t="s">
        <v>488</v>
      </c>
      <c r="H97" s="39" t="s">
        <v>488</v>
      </c>
      <c r="I97" s="39" t="s">
        <v>497</v>
      </c>
      <c r="J97" s="39">
        <v>-999999</v>
      </c>
      <c r="K97" s="39">
        <v>10</v>
      </c>
      <c r="L97" s="39">
        <v>-999999</v>
      </c>
      <c r="M97" s="39">
        <v>999999</v>
      </c>
      <c r="N97" s="39">
        <v>-999999</v>
      </c>
      <c r="O97" s="39">
        <v>999999</v>
      </c>
      <c r="P97" s="39">
        <v>-999999</v>
      </c>
      <c r="Q97" s="39">
        <v>999999</v>
      </c>
      <c r="R97" s="39">
        <v>-999999</v>
      </c>
      <c r="S97" s="39">
        <v>1</v>
      </c>
      <c r="T97" s="39"/>
    </row>
    <row r="98" spans="4:20" ht="20.100000000000001" customHeight="1" x14ac:dyDescent="0.25">
      <c r="D98" s="56" t="s">
        <v>499</v>
      </c>
      <c r="E98" s="1" t="str" cm="1">
        <f t="array" ref="E98">Common_InputFunctions.Utility_DisplayArrayInTable(Common_SourceData.Common_SourceData_ClimateZones_Data(), Table_SourceData_ClimateZones[[#Headers],[Climate zone]], 0)</f>
        <v/>
      </c>
      <c r="F98" s="1" t="str" cm="1">
        <f t="array" ref="F98">Common_InputFunctions.Utility_DisplayArrayInTable(Common_SourceData.Common_SourceData_ClimateZones_Data(), Table_SourceData_ClimateZones[[#Headers],[Climate zone]], 0)</f>
        <v/>
      </c>
      <c r="G98" s="1" t="str" cm="1">
        <f t="array" ref="G98">Common_InputFunctions.Utility_DisplayArrayInTable(Common_SourceData.Common_SourceData_ClimateZones_Data(), Table_SourceData_ClimateZones[[#Headers],[Climate zone]], 0)</f>
        <v/>
      </c>
      <c r="H98" s="1" t="str" cm="1">
        <f t="array" ref="H98">Common_InputFunctions.Utility_DisplayArrayInTable(Common_SourceData.Common_SourceData_ClimateZones_Data(), Table_SourceData_ClimateZones[[#Headers],[Climate zone]], 0)</f>
        <v/>
      </c>
      <c r="I98" s="1" t="str" cm="1">
        <f t="array" ref="I98">Common_InputFunctions.Utility_DisplayArrayInTable(Common_SourceData.Common_SourceData_ClimateZones_Data(), Table_SourceData_ClimateZones[[#Headers],[Climate zone]], 0)</f>
        <v/>
      </c>
      <c r="J98" s="1" t="str" cm="1">
        <f t="array" ref="J98">Common_InputFunctions.Utility_DisplayArrayInTable(Common_SourceData.Common_SourceData_ClimateZones_Data(), Table_SourceData_ClimateZones[[#Headers],[Climate zone]], 0)</f>
        <v/>
      </c>
      <c r="K98" s="1" t="str" cm="1">
        <f t="array" ref="K98">Common_InputFunctions.Utility_DisplayArrayInTable(Common_SourceData.Common_SourceData_ClimateZones_Data(), Table_SourceData_ClimateZones[[#Headers],[Climate zone]], 0)</f>
        <v/>
      </c>
      <c r="L98" s="1" t="str" cm="1">
        <f t="array" ref="L98">Common_InputFunctions.Utility_DisplayArrayInTable(Common_SourceData.Common_SourceData_ClimateZones_Data(), Table_SourceData_ClimateZones[[#Headers],[Climate zone]], 0)</f>
        <v/>
      </c>
      <c r="M98" s="1" t="str" cm="1">
        <f t="array" ref="M98">Common_InputFunctions.Utility_DisplayArrayInTable(Common_SourceData.Common_SourceData_ClimateZones_Data(), Table_SourceData_ClimateZones[[#Headers],[Climate zone]], 0)</f>
        <v/>
      </c>
      <c r="N98" s="1" t="str" cm="1">
        <f t="array" ref="N98">Common_InputFunctions.Utility_DisplayArrayInTable(Common_SourceData.Common_SourceData_ClimateZones_Data(), Table_SourceData_ClimateZones[[#Headers],[Climate zone]], 0)</f>
        <v/>
      </c>
      <c r="O98" s="1" t="str" cm="1">
        <f t="array" ref="O98">Common_InputFunctions.Utility_DisplayArrayInTable(Common_SourceData.Common_SourceData_ClimateZones_Data(), Table_SourceData_ClimateZones[[#Headers],[Climate zone]], 0)</f>
        <v/>
      </c>
      <c r="P98" s="1" t="str" cm="1">
        <f t="array" ref="P98">Common_InputFunctions.Utility_DisplayArrayInTable(Common_SourceData.Common_SourceData_ClimateZones_Data(), Table_SourceData_ClimateZones[[#Headers],[Climate zone]], 0)</f>
        <v/>
      </c>
      <c r="Q98" s="1" t="str" cm="1">
        <f t="array" ref="Q98">Common_InputFunctions.Utility_DisplayArrayInTable(Common_SourceData.Common_SourceData_ClimateZones_Data(), Table_SourceData_ClimateZones[[#Headers],[Climate zone]], 0)</f>
        <v/>
      </c>
      <c r="R98" s="1" t="str" cm="1">
        <f t="array" ref="R98">Common_InputFunctions.Utility_DisplayArrayInTable(Common_SourceData.Common_SourceData_ClimateZones_Data(), Table_SourceData_ClimateZones[[#Headers],[Climate zone]], 0)</f>
        <v/>
      </c>
      <c r="S98" s="1" t="str" cm="1">
        <f t="array" ref="S98">Common_InputFunctions.Utility_DisplayArrayInTable(Common_SourceData.Common_SourceData_ClimateZones_Data(), Table_SourceData_ClimateZones[[#Headers],[Climate zone]], 0)</f>
        <v/>
      </c>
    </row>
    <row r="99" spans="4:20" ht="20.100000000000001" customHeight="1" x14ac:dyDescent="0.25">
      <c r="D99" s="56" t="s">
        <v>500</v>
      </c>
      <c r="E99" s="1" t="str" cm="1">
        <f t="array" ref="E99">Common_InputFunctions.Utility_DisplayArrayInTable(Common_SourceData.Common_SourceData_ClimateZones_Data(), Table_SourceData_ClimateZones[[#Headers],[Climate zone]], 0)</f>
        <v/>
      </c>
      <c r="F99" s="1" t="str" cm="1">
        <f t="array" ref="F99">Common_InputFunctions.Utility_DisplayArrayInTable(Common_SourceData.Common_SourceData_ClimateZones_Data(), Table_SourceData_ClimateZones[[#Headers],[Climate zone]], 0)</f>
        <v/>
      </c>
      <c r="G99" s="1" t="str" cm="1">
        <f t="array" ref="G99">Common_InputFunctions.Utility_DisplayArrayInTable(Common_SourceData.Common_SourceData_ClimateZones_Data(), Table_SourceData_ClimateZones[[#Headers],[Climate zone]], 0)</f>
        <v/>
      </c>
      <c r="H99" s="1" t="str" cm="1">
        <f t="array" ref="H99">Common_InputFunctions.Utility_DisplayArrayInTable(Common_SourceData.Common_SourceData_ClimateZones_Data(), Table_SourceData_ClimateZones[[#Headers],[Climate zone]], 0)</f>
        <v/>
      </c>
      <c r="I99" s="1" t="str" cm="1">
        <f t="array" ref="I99">Common_InputFunctions.Utility_DisplayArrayInTable(Common_SourceData.Common_SourceData_ClimateZones_Data(), Table_SourceData_ClimateZones[[#Headers],[Climate zone]], 0)</f>
        <v/>
      </c>
      <c r="J99" s="1" t="str" cm="1">
        <f t="array" ref="J99">Common_InputFunctions.Utility_DisplayArrayInTable(Common_SourceData.Common_SourceData_ClimateZones_Data(), Table_SourceData_ClimateZones[[#Headers],[Climate zone]], 0)</f>
        <v/>
      </c>
      <c r="K99" s="1" t="str" cm="1">
        <f t="array" ref="K99">Common_InputFunctions.Utility_DisplayArrayInTable(Common_SourceData.Common_SourceData_ClimateZones_Data(), Table_SourceData_ClimateZones[[#Headers],[Climate zone]], 0)</f>
        <v/>
      </c>
      <c r="L99" s="1" t="str" cm="1">
        <f t="array" ref="L99">Common_InputFunctions.Utility_DisplayArrayInTable(Common_SourceData.Common_SourceData_ClimateZones_Data(), Table_SourceData_ClimateZones[[#Headers],[Climate zone]], 0)</f>
        <v/>
      </c>
      <c r="M99" s="1" t="str" cm="1">
        <f t="array" ref="M99">Common_InputFunctions.Utility_DisplayArrayInTable(Common_SourceData.Common_SourceData_ClimateZones_Data(), Table_SourceData_ClimateZones[[#Headers],[Climate zone]], 0)</f>
        <v/>
      </c>
      <c r="N99" s="1" t="str" cm="1">
        <f t="array" ref="N99">Common_InputFunctions.Utility_DisplayArrayInTable(Common_SourceData.Common_SourceData_ClimateZones_Data(), Table_SourceData_ClimateZones[[#Headers],[Climate zone]], 0)</f>
        <v/>
      </c>
      <c r="O99" s="1" t="str" cm="1">
        <f t="array" ref="O99">Common_InputFunctions.Utility_DisplayArrayInTable(Common_SourceData.Common_SourceData_ClimateZones_Data(), Table_SourceData_ClimateZones[[#Headers],[Climate zone]], 0)</f>
        <v/>
      </c>
      <c r="P99" s="1" t="str" cm="1">
        <f t="array" ref="P99">Common_InputFunctions.Utility_DisplayArrayInTable(Common_SourceData.Common_SourceData_ClimateZones_Data(), Table_SourceData_ClimateZones[[#Headers],[Climate zone]], 0)</f>
        <v/>
      </c>
      <c r="Q99" s="1" t="str" cm="1">
        <f t="array" ref="Q99">Common_InputFunctions.Utility_DisplayArrayInTable(Common_SourceData.Common_SourceData_ClimateZones_Data(), Table_SourceData_ClimateZones[[#Headers],[Climate zone]], 0)</f>
        <v/>
      </c>
      <c r="R99" s="1" t="str" cm="1">
        <f t="array" ref="R99">Common_InputFunctions.Utility_DisplayArrayInTable(Common_SourceData.Common_SourceData_ClimateZones_Data(), Table_SourceData_ClimateZones[[#Headers],[Climate zone]], 0)</f>
        <v/>
      </c>
      <c r="S99" s="1" t="str" cm="1">
        <f t="array" ref="S99">Common_InputFunctions.Utility_DisplayArrayInTable(Common_SourceData.Common_SourceData_ClimateZones_Data(), Table_SourceData_ClimateZones[[#Headers],[Climate zone]], 0)</f>
        <v/>
      </c>
    </row>
    <row r="100" spans="4:20" ht="20.100000000000001" customHeight="1" x14ac:dyDescent="0.25">
      <c r="D100" s="56" t="s">
        <v>501</v>
      </c>
      <c r="E100" s="1" t="str" cm="1">
        <f t="array" ref="E100">Common_InputFunctions.Utility_DisplayArrayInTable(Common_SourceData.Common_SourceData_ClimateZones_Data(), Table_SourceData_ClimateZones[[#Headers],[Climate zone]], 0)</f>
        <v/>
      </c>
      <c r="F100" s="1" t="str" cm="1">
        <f t="array" ref="F100">Common_InputFunctions.Utility_DisplayArrayInTable(Common_SourceData.Common_SourceData_ClimateZones_Data(), Table_SourceData_ClimateZones[[#Headers],[Climate zone]], 0)</f>
        <v/>
      </c>
      <c r="G100" s="1" t="str" cm="1">
        <f t="array" ref="G100">Common_InputFunctions.Utility_DisplayArrayInTable(Common_SourceData.Common_SourceData_ClimateZones_Data(), Table_SourceData_ClimateZones[[#Headers],[Climate zone]], 0)</f>
        <v/>
      </c>
      <c r="H100" s="1" t="str" cm="1">
        <f t="array" ref="H100">Common_InputFunctions.Utility_DisplayArrayInTable(Common_SourceData.Common_SourceData_ClimateZones_Data(), Table_SourceData_ClimateZones[[#Headers],[Climate zone]], 0)</f>
        <v/>
      </c>
      <c r="I100" s="1" t="str" cm="1">
        <f t="array" ref="I100">Common_InputFunctions.Utility_DisplayArrayInTable(Common_SourceData.Common_SourceData_ClimateZones_Data(), Table_SourceData_ClimateZones[[#Headers],[Climate zone]], 0)</f>
        <v/>
      </c>
      <c r="J100" s="1" t="str" cm="1">
        <f t="array" ref="J100">Common_InputFunctions.Utility_DisplayArrayInTable(Common_SourceData.Common_SourceData_ClimateZones_Data(), Table_SourceData_ClimateZones[[#Headers],[Climate zone]], 0)</f>
        <v/>
      </c>
      <c r="K100" s="1" t="str" cm="1">
        <f t="array" ref="K100">Common_InputFunctions.Utility_DisplayArrayInTable(Common_SourceData.Common_SourceData_ClimateZones_Data(), Table_SourceData_ClimateZones[[#Headers],[Climate zone]], 0)</f>
        <v/>
      </c>
      <c r="L100" s="1" t="str" cm="1">
        <f t="array" ref="L100">Common_InputFunctions.Utility_DisplayArrayInTable(Common_SourceData.Common_SourceData_ClimateZones_Data(), Table_SourceData_ClimateZones[[#Headers],[Climate zone]], 0)</f>
        <v/>
      </c>
      <c r="M100" s="1" t="str" cm="1">
        <f t="array" ref="M100">Common_InputFunctions.Utility_DisplayArrayInTable(Common_SourceData.Common_SourceData_ClimateZones_Data(), Table_SourceData_ClimateZones[[#Headers],[Climate zone]], 0)</f>
        <v/>
      </c>
      <c r="N100" s="1" t="str" cm="1">
        <f t="array" ref="N100">Common_InputFunctions.Utility_DisplayArrayInTable(Common_SourceData.Common_SourceData_ClimateZones_Data(), Table_SourceData_ClimateZones[[#Headers],[Climate zone]], 0)</f>
        <v/>
      </c>
      <c r="O100" s="1" t="str" cm="1">
        <f t="array" ref="O100">Common_InputFunctions.Utility_DisplayArrayInTable(Common_SourceData.Common_SourceData_ClimateZones_Data(), Table_SourceData_ClimateZones[[#Headers],[Climate zone]], 0)</f>
        <v/>
      </c>
      <c r="P100" s="1" t="str" cm="1">
        <f t="array" ref="P100">Common_InputFunctions.Utility_DisplayArrayInTable(Common_SourceData.Common_SourceData_ClimateZones_Data(), Table_SourceData_ClimateZones[[#Headers],[Climate zone]], 0)</f>
        <v/>
      </c>
      <c r="Q100" s="1" t="str" cm="1">
        <f t="array" ref="Q100">Common_InputFunctions.Utility_DisplayArrayInTable(Common_SourceData.Common_SourceData_ClimateZones_Data(), Table_SourceData_ClimateZones[[#Headers],[Climate zone]], 0)</f>
        <v/>
      </c>
      <c r="R100" s="1" t="str" cm="1">
        <f t="array" ref="R100">Common_InputFunctions.Utility_DisplayArrayInTable(Common_SourceData.Common_SourceData_ClimateZones_Data(), Table_SourceData_ClimateZones[[#Headers],[Climate zone]], 0)</f>
        <v/>
      </c>
      <c r="S100" s="1" t="str" cm="1">
        <f t="array" ref="S100">Common_InputFunctions.Utility_DisplayArrayInTable(Common_SourceData.Common_SourceData_ClimateZones_Data(), Table_SourceData_ClimateZones[[#Headers],[Climate zone]], 0)</f>
        <v/>
      </c>
    </row>
    <row r="101" spans="4:20" ht="20.100000000000001" customHeight="1" x14ac:dyDescent="0.25">
      <c r="D101" s="56" t="s">
        <v>502</v>
      </c>
      <c r="E101" s="1" t="str" cm="1">
        <f t="array" ref="E101">Common_InputFunctions.Utility_DisplayArrayInTable(Common_SourceData.Common_SourceData_ClimateZones_Data(), Table_SourceData_ClimateZones[[#Headers],[Climate zone]], 0)</f>
        <v/>
      </c>
      <c r="F101" s="1" t="str" cm="1">
        <f t="array" ref="F101">Common_InputFunctions.Utility_DisplayArrayInTable(Common_SourceData.Common_SourceData_ClimateZones_Data(), Table_SourceData_ClimateZones[[#Headers],[Climate zone]], 0)</f>
        <v/>
      </c>
      <c r="G101" s="1" t="str" cm="1">
        <f t="array" ref="G101">Common_InputFunctions.Utility_DisplayArrayInTable(Common_SourceData.Common_SourceData_ClimateZones_Data(), Table_SourceData_ClimateZones[[#Headers],[Climate zone]], 0)</f>
        <v/>
      </c>
      <c r="H101" s="1" t="str" cm="1">
        <f t="array" ref="H101">Common_InputFunctions.Utility_DisplayArrayInTable(Common_SourceData.Common_SourceData_ClimateZones_Data(), Table_SourceData_ClimateZones[[#Headers],[Climate zone]], 0)</f>
        <v/>
      </c>
      <c r="I101" s="1" t="str" cm="1">
        <f t="array" ref="I101">Common_InputFunctions.Utility_DisplayArrayInTable(Common_SourceData.Common_SourceData_ClimateZones_Data(), Table_SourceData_ClimateZones[[#Headers],[Climate zone]], 0)</f>
        <v/>
      </c>
      <c r="J101" s="1" t="str" cm="1">
        <f t="array" ref="J101">Common_InputFunctions.Utility_DisplayArrayInTable(Common_SourceData.Common_SourceData_ClimateZones_Data(), Table_SourceData_ClimateZones[[#Headers],[Climate zone]], 0)</f>
        <v/>
      </c>
      <c r="K101" s="1" t="str" cm="1">
        <f t="array" ref="K101">Common_InputFunctions.Utility_DisplayArrayInTable(Common_SourceData.Common_SourceData_ClimateZones_Data(), Table_SourceData_ClimateZones[[#Headers],[Climate zone]], 0)</f>
        <v/>
      </c>
      <c r="L101" s="1" t="str" cm="1">
        <f t="array" ref="L101">Common_InputFunctions.Utility_DisplayArrayInTable(Common_SourceData.Common_SourceData_ClimateZones_Data(), Table_SourceData_ClimateZones[[#Headers],[Climate zone]], 0)</f>
        <v/>
      </c>
      <c r="M101" s="1" t="str" cm="1">
        <f t="array" ref="M101">Common_InputFunctions.Utility_DisplayArrayInTable(Common_SourceData.Common_SourceData_ClimateZones_Data(), Table_SourceData_ClimateZones[[#Headers],[Climate zone]], 0)</f>
        <v/>
      </c>
      <c r="N101" s="1" t="str" cm="1">
        <f t="array" ref="N101">Common_InputFunctions.Utility_DisplayArrayInTable(Common_SourceData.Common_SourceData_ClimateZones_Data(), Table_SourceData_ClimateZones[[#Headers],[Climate zone]], 0)</f>
        <v/>
      </c>
      <c r="O101" s="1" t="str" cm="1">
        <f t="array" ref="O101">Common_InputFunctions.Utility_DisplayArrayInTable(Common_SourceData.Common_SourceData_ClimateZones_Data(), Table_SourceData_ClimateZones[[#Headers],[Climate zone]], 0)</f>
        <v/>
      </c>
      <c r="P101" s="1" t="str" cm="1">
        <f t="array" ref="P101">Common_InputFunctions.Utility_DisplayArrayInTable(Common_SourceData.Common_SourceData_ClimateZones_Data(), Table_SourceData_ClimateZones[[#Headers],[Climate zone]], 0)</f>
        <v/>
      </c>
      <c r="Q101" s="1" t="str" cm="1">
        <f t="array" ref="Q101">Common_InputFunctions.Utility_DisplayArrayInTable(Common_SourceData.Common_SourceData_ClimateZones_Data(), Table_SourceData_ClimateZones[[#Headers],[Climate zone]], 0)</f>
        <v/>
      </c>
      <c r="R101" s="1" t="str" cm="1">
        <f t="array" ref="R101">Common_InputFunctions.Utility_DisplayArrayInTable(Common_SourceData.Common_SourceData_ClimateZones_Data(), Table_SourceData_ClimateZones[[#Headers],[Climate zone]], 0)</f>
        <v/>
      </c>
      <c r="S101" s="1" t="str" cm="1">
        <f t="array" ref="S101">Common_InputFunctions.Utility_DisplayArrayInTable(Common_SourceData.Common_SourceData_ClimateZones_Data(), Table_SourceData_ClimateZones[[#Headers],[Climate zone]], 0)</f>
        <v/>
      </c>
    </row>
    <row r="102" spans="4:20" ht="20.100000000000001" customHeight="1" x14ac:dyDescent="0.25">
      <c r="D102" s="56"/>
    </row>
    <row r="103" spans="4:20" ht="20.100000000000001" customHeight="1" x14ac:dyDescent="0.25"/>
    <row r="104" spans="4:20" ht="20.100000000000001" customHeight="1" x14ac:dyDescent="0.25"/>
    <row r="105" spans="4:20" ht="20.100000000000001" customHeight="1" x14ac:dyDescent="0.25">
      <c r="D105" s="6" t="s">
        <v>503</v>
      </c>
    </row>
    <row r="106" spans="4:20" ht="20.100000000000001" customHeight="1" x14ac:dyDescent="0.25">
      <c r="D106" s="5" t="s">
        <v>486</v>
      </c>
    </row>
    <row r="107" spans="4:20" ht="20.100000000000001" customHeight="1" x14ac:dyDescent="0.25">
      <c r="D107" s="57"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52</v>
      </c>
      <c r="E109" s="39" t="s">
        <v>33</v>
      </c>
      <c r="F109" s="39" t="s">
        <v>53</v>
      </c>
      <c r="G109" s="39" t="s">
        <v>54</v>
      </c>
    </row>
    <row r="110" spans="4:20" ht="20.100000000000001" customHeight="1" x14ac:dyDescent="0.25">
      <c r="D110" s="39" t="s">
        <v>504</v>
      </c>
      <c r="E110" s="39" t="s">
        <v>505</v>
      </c>
      <c r="F110" s="39">
        <v>26</v>
      </c>
      <c r="G110" s="39">
        <v>999999</v>
      </c>
    </row>
    <row r="111" spans="4:20" ht="20.100000000000001" customHeight="1" x14ac:dyDescent="0.25">
      <c r="D111" s="39" t="s">
        <v>506</v>
      </c>
      <c r="E111" s="39" t="s">
        <v>507</v>
      </c>
      <c r="F111" s="39">
        <v>15</v>
      </c>
      <c r="G111" s="39">
        <v>25.998999999999999</v>
      </c>
    </row>
    <row r="112" spans="4:20" ht="20.100000000000001" customHeight="1" x14ac:dyDescent="0.25">
      <c r="D112" s="39" t="s">
        <v>508</v>
      </c>
      <c r="E112" s="39" t="s">
        <v>509</v>
      </c>
      <c r="F112" s="39">
        <v>-999999</v>
      </c>
      <c r="G112" s="39">
        <v>14.999000000000001</v>
      </c>
    </row>
    <row r="113" spans="4:66" ht="20.100000000000001" customHeight="1" x14ac:dyDescent="0.25"/>
    <row r="114" spans="4:66" ht="20.100000000000001" customHeight="1" x14ac:dyDescent="0.25"/>
    <row r="115" spans="4:66" ht="20.100000000000001" customHeight="1" x14ac:dyDescent="0.25">
      <c r="D115" s="6" t="s">
        <v>510</v>
      </c>
      <c r="BN115" s="7"/>
    </row>
    <row r="116" spans="4:66" ht="20.100000000000001" customHeight="1" x14ac:dyDescent="0.25">
      <c r="D116" s="5" t="s">
        <v>486</v>
      </c>
      <c r="BN116" s="7"/>
    </row>
    <row r="117" spans="4:66" ht="20.100000000000001" customHeight="1" x14ac:dyDescent="0.25">
      <c r="D117" s="57"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55</v>
      </c>
      <c r="E119" s="39" t="s">
        <v>56</v>
      </c>
      <c r="F119" s="39" t="s">
        <v>40</v>
      </c>
      <c r="G119" s="39" t="s">
        <v>41</v>
      </c>
      <c r="BN119" s="7"/>
    </row>
    <row r="120" spans="4:66" ht="20.100000000000001" customHeight="1" x14ac:dyDescent="0.25">
      <c r="D120" s="39" t="s">
        <v>511</v>
      </c>
      <c r="E120" s="39" t="s">
        <v>512</v>
      </c>
      <c r="F120" s="39">
        <v>600.00099999999998</v>
      </c>
      <c r="G120" s="39">
        <v>999999</v>
      </c>
      <c r="BN120" s="7"/>
    </row>
    <row r="121" spans="4:66" ht="20.100000000000001" customHeight="1" x14ac:dyDescent="0.25">
      <c r="D121" s="39" t="s">
        <v>513</v>
      </c>
      <c r="E121" s="39" t="s">
        <v>514</v>
      </c>
      <c r="F121" s="39">
        <v>-999999</v>
      </c>
      <c r="G121" s="39">
        <v>600</v>
      </c>
      <c r="BN121" s="7"/>
    </row>
    <row r="122" spans="4:66" ht="20.100000000000001" customHeight="1" x14ac:dyDescent="0.25">
      <c r="BN122" s="7"/>
    </row>
    <row r="123" spans="4:66" ht="20.100000000000001" customHeight="1" x14ac:dyDescent="0.25"/>
    <row r="124" spans="4:66" ht="20.100000000000001" customHeight="1" x14ac:dyDescent="0.25">
      <c r="D124" s="6" t="s">
        <v>515</v>
      </c>
    </row>
    <row r="125" spans="4:66" ht="20.100000000000001" customHeight="1" x14ac:dyDescent="0.25">
      <c r="D125" s="5" t="s">
        <v>486</v>
      </c>
    </row>
    <row r="126" spans="4:66" ht="20.100000000000001" customHeight="1" x14ac:dyDescent="0.25"/>
    <row r="127" spans="4:66" ht="20.100000000000001" customHeight="1" x14ac:dyDescent="0.25">
      <c r="D127" s="39" t="s">
        <v>62</v>
      </c>
      <c r="E127" s="39" t="s">
        <v>63</v>
      </c>
    </row>
    <row r="128" spans="4:66" ht="20.100000000000001" customHeight="1" x14ac:dyDescent="0.25">
      <c r="D128" s="39" t="s">
        <v>516</v>
      </c>
      <c r="E128" s="39" t="s">
        <v>517</v>
      </c>
    </row>
    <row r="129" spans="4:77" ht="20.100000000000001" customHeight="1" x14ac:dyDescent="0.25">
      <c r="D129" s="39" t="s">
        <v>518</v>
      </c>
      <c r="E129" s="39" t="s">
        <v>519</v>
      </c>
    </row>
    <row r="130" spans="4:77" ht="20.100000000000001" customHeight="1" x14ac:dyDescent="0.25"/>
    <row r="131" spans="4:77" ht="20.100000000000001" customHeight="1" x14ac:dyDescent="0.25"/>
    <row r="132" spans="4:77" ht="20.100000000000001" customHeight="1" x14ac:dyDescent="0.25">
      <c r="D132" s="6" t="s">
        <v>520</v>
      </c>
      <c r="E132" s="24"/>
    </row>
    <row r="133" spans="4:77" ht="20.100000000000001" customHeight="1" x14ac:dyDescent="0.25">
      <c r="D133" s="5" t="s">
        <v>521</v>
      </c>
      <c r="E133" s="24"/>
    </row>
    <row r="134" spans="4:77" ht="20.100000000000001" customHeight="1" x14ac:dyDescent="0.25">
      <c r="D134" t="s">
        <v>87</v>
      </c>
      <c r="E134" t="s">
        <v>88</v>
      </c>
    </row>
    <row r="135" spans="4:77" ht="20.100000000000001" customHeight="1" x14ac:dyDescent="0.25">
      <c r="D135" t="s">
        <v>522</v>
      </c>
      <c r="E135">
        <v>1</v>
      </c>
    </row>
    <row r="136" spans="4:77" ht="20.100000000000001" customHeight="1" x14ac:dyDescent="0.25">
      <c r="D136" s="1" t="s">
        <v>523</v>
      </c>
      <c r="E136" s="39">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524</v>
      </c>
      <c r="BN139" s="7"/>
      <c r="BO139" s="7"/>
      <c r="BP139" s="7"/>
      <c r="BQ139" s="7"/>
      <c r="BR139" s="7"/>
      <c r="BS139" s="7"/>
      <c r="BT139" s="7"/>
      <c r="BU139" s="7"/>
      <c r="BV139" s="7"/>
      <c r="BW139" s="7"/>
      <c r="BX139" s="7"/>
      <c r="BY139" s="7"/>
    </row>
    <row r="140" spans="4:77" ht="20.100000000000001" customHeight="1" x14ac:dyDescent="0.25">
      <c r="D140" s="5" t="s">
        <v>525</v>
      </c>
      <c r="BN140" s="7"/>
      <c r="BO140" s="7"/>
      <c r="BP140" s="7"/>
      <c r="BQ140" s="7"/>
      <c r="BR140" s="7"/>
      <c r="BS140" s="7"/>
      <c r="BT140" s="7"/>
      <c r="BU140" s="7"/>
      <c r="BV140" s="7"/>
      <c r="BW140" s="7"/>
      <c r="BX140" s="7"/>
      <c r="BY140" s="7"/>
    </row>
    <row r="141" spans="4:77" ht="20.100000000000001" customHeight="1" x14ac:dyDescent="0.25">
      <c r="D141" s="57" t="s">
        <v>526</v>
      </c>
      <c r="BN141" s="7"/>
    </row>
    <row r="142" spans="4:77" ht="20.100000000000001" customHeight="1" x14ac:dyDescent="0.25">
      <c r="D142" s="39" t="s">
        <v>191</v>
      </c>
      <c r="E142" s="39" t="s">
        <v>88</v>
      </c>
      <c r="BN142" s="7"/>
    </row>
    <row r="143" spans="4:77" ht="20.100000000000001" customHeight="1" x14ac:dyDescent="0.25">
      <c r="D143" s="39" t="s">
        <v>116</v>
      </c>
      <c r="E143" s="39">
        <v>0</v>
      </c>
      <c r="BN143" s="7"/>
    </row>
    <row r="144" spans="4:77" ht="20.100000000000001" customHeight="1" x14ac:dyDescent="0.25">
      <c r="D144" s="1" t="s">
        <v>117</v>
      </c>
      <c r="E144" s="39">
        <v>0</v>
      </c>
      <c r="BN144" s="7"/>
    </row>
    <row r="145" spans="4:66" ht="20.100000000000001" customHeight="1" x14ac:dyDescent="0.25">
      <c r="D145" s="1" t="s">
        <v>118</v>
      </c>
      <c r="E145" s="39">
        <v>1</v>
      </c>
      <c r="BN145" s="7"/>
    </row>
    <row r="146" spans="4:66" ht="20.100000000000001" customHeight="1" x14ac:dyDescent="0.25">
      <c r="D146" s="1" t="s">
        <v>119</v>
      </c>
      <c r="E146" s="39">
        <v>1</v>
      </c>
      <c r="BN146" s="7"/>
    </row>
    <row r="147" spans="4:66" ht="20.100000000000001" customHeight="1" x14ac:dyDescent="0.25">
      <c r="D147" s="1" t="s">
        <v>120</v>
      </c>
      <c r="E147" s="39">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527</v>
      </c>
      <c r="BN150" s="7"/>
    </row>
    <row r="151" spans="4:66" ht="20.100000000000001" customHeight="1" x14ac:dyDescent="0.25">
      <c r="D151" s="5" t="s">
        <v>528</v>
      </c>
      <c r="BN151" s="7"/>
    </row>
    <row r="152" spans="4:66" ht="20.100000000000001" customHeight="1" x14ac:dyDescent="0.25">
      <c r="BN152" s="7"/>
    </row>
    <row r="153" spans="4:66" ht="20.100000000000001" customHeight="1" x14ac:dyDescent="0.25">
      <c r="D153" s="39" t="s">
        <v>65</v>
      </c>
      <c r="E153" s="39" t="s">
        <v>66</v>
      </c>
      <c r="BC153" s="3"/>
      <c r="BD153" s="3"/>
      <c r="BE153" s="3"/>
      <c r="BF153" s="3"/>
      <c r="BG153" s="3"/>
      <c r="BH153" s="3"/>
      <c r="BI153" s="3"/>
      <c r="BJ153" s="3"/>
      <c r="BK153" s="3"/>
      <c r="BL153" s="3"/>
      <c r="BM153" s="3"/>
    </row>
    <row r="154" spans="4:66" ht="20.100000000000001" customHeight="1" x14ac:dyDescent="0.25">
      <c r="D154" s="39" t="s">
        <v>529</v>
      </c>
      <c r="E154" s="39">
        <v>1</v>
      </c>
      <c r="BC154" s="3"/>
      <c r="BD154" s="3"/>
      <c r="BE154" s="3"/>
      <c r="BF154" s="3"/>
      <c r="BG154" s="3"/>
      <c r="BH154" s="3"/>
      <c r="BI154" s="3"/>
      <c r="BJ154" s="3"/>
      <c r="BK154" s="3"/>
      <c r="BL154" s="3"/>
      <c r="BM154" s="3"/>
    </row>
    <row r="155" spans="4:66" ht="20.100000000000001" customHeight="1" x14ac:dyDescent="0.25">
      <c r="D155" s="39" t="s">
        <v>530</v>
      </c>
      <c r="E155" s="39">
        <v>2</v>
      </c>
      <c r="BC155" s="3"/>
      <c r="BD155" s="3"/>
      <c r="BE155" s="3"/>
      <c r="BF155" s="3"/>
      <c r="BG155" s="3"/>
      <c r="BH155" s="3"/>
      <c r="BI155" s="3"/>
      <c r="BJ155" s="3"/>
      <c r="BK155" s="3"/>
      <c r="BL155" s="3"/>
      <c r="BM155" s="3"/>
    </row>
    <row r="156" spans="4:66" ht="20.100000000000001" customHeight="1" x14ac:dyDescent="0.25">
      <c r="D156" s="39" t="s">
        <v>531</v>
      </c>
      <c r="E156" s="39">
        <v>3</v>
      </c>
    </row>
    <row r="157" spans="4:66" ht="20.100000000000001" customHeight="1" x14ac:dyDescent="0.25">
      <c r="D157" s="39" t="s">
        <v>532</v>
      </c>
      <c r="E157" s="39">
        <v>4</v>
      </c>
    </row>
    <row r="158" spans="4:66" ht="20.100000000000001" customHeight="1" x14ac:dyDescent="0.25">
      <c r="D158" s="39" t="s">
        <v>533</v>
      </c>
      <c r="E158" s="39">
        <v>5</v>
      </c>
    </row>
    <row r="159" spans="4:66" ht="20.100000000000001" customHeight="1" x14ac:dyDescent="0.25"/>
    <row r="160" spans="4:66" ht="20.100000000000001" customHeight="1" x14ac:dyDescent="0.25"/>
    <row r="161" spans="4:68" ht="20.100000000000001" customHeight="1" x14ac:dyDescent="0.25">
      <c r="D161" s="6" t="s">
        <v>520</v>
      </c>
      <c r="E161" s="24"/>
    </row>
    <row r="162" spans="4:68" ht="20.100000000000001" customHeight="1" x14ac:dyDescent="0.25">
      <c r="D162" s="5" t="s">
        <v>521</v>
      </c>
      <c r="E162" s="24"/>
    </row>
    <row r="163" spans="4:68" ht="20.100000000000001" customHeight="1" x14ac:dyDescent="0.25">
      <c r="D163" s="5" t="s">
        <v>534</v>
      </c>
      <c r="E163" s="24"/>
    </row>
    <row r="164" spans="4:68" ht="20.100000000000001" customHeight="1" x14ac:dyDescent="0.25">
      <c r="D164" s="24" t="s">
        <v>535</v>
      </c>
      <c r="E164" s="24"/>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536</v>
      </c>
      <c r="BN167" s="7"/>
      <c r="BO167" s="7"/>
      <c r="BP167" s="7"/>
    </row>
    <row r="168" spans="4:68" ht="20.100000000000001" customHeight="1" x14ac:dyDescent="0.25">
      <c r="D168" s="5" t="s">
        <v>521</v>
      </c>
      <c r="BN168" s="7"/>
      <c r="BO168" s="7"/>
      <c r="BP168" s="7"/>
    </row>
    <row r="169" spans="4:68" ht="20.100000000000001" customHeight="1" x14ac:dyDescent="0.25">
      <c r="D169" s="5" t="s">
        <v>537</v>
      </c>
      <c r="BN169" s="7"/>
      <c r="BO169" s="7"/>
      <c r="BP169" s="7"/>
    </row>
    <row r="170" spans="4:68" ht="20.100000000000001" customHeight="1" x14ac:dyDescent="0.25">
      <c r="D170" s="1" t="s">
        <v>538</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539</v>
      </c>
      <c r="BN173" s="7"/>
      <c r="BO173" s="7"/>
      <c r="BP173" s="7"/>
    </row>
    <row r="174" spans="4:68" ht="20.100000000000001" customHeight="1" x14ac:dyDescent="0.25">
      <c r="D174" s="5" t="s">
        <v>540</v>
      </c>
      <c r="BN174" s="7"/>
      <c r="BO174" s="7"/>
      <c r="BP174" s="7"/>
    </row>
    <row r="175" spans="4:68" ht="20.100000000000001" customHeight="1" x14ac:dyDescent="0.25">
      <c r="D175" s="1">
        <v>0.6784</v>
      </c>
      <c r="E175" s="56" t="s">
        <v>541</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542</v>
      </c>
      <c r="BN178" s="7"/>
      <c r="BO178" s="7"/>
      <c r="BP178" s="7"/>
    </row>
    <row r="179" spans="4:68" ht="20.100000000000001" customHeight="1" x14ac:dyDescent="0.25">
      <c r="D179" s="5" t="s">
        <v>543</v>
      </c>
      <c r="BN179" s="7"/>
      <c r="BO179" s="7"/>
      <c r="BP179" s="7"/>
    </row>
    <row r="180" spans="4:68" ht="20.100000000000001" customHeight="1" x14ac:dyDescent="0.25">
      <c r="D180" s="56" t="s">
        <v>544</v>
      </c>
    </row>
    <row r="181" spans="4:68" ht="20.100000000000001" customHeight="1" x14ac:dyDescent="0.25">
      <c r="D181" s="57" t="s">
        <v>545</v>
      </c>
    </row>
    <row r="182" spans="4:68" ht="20.100000000000001" customHeight="1" x14ac:dyDescent="0.25">
      <c r="D182" s="57" t="s">
        <v>546</v>
      </c>
    </row>
    <row r="183" spans="4:68" ht="20.100000000000001" customHeight="1" x14ac:dyDescent="0.25">
      <c r="D183" s="57" t="s">
        <v>547</v>
      </c>
    </row>
    <row r="184" spans="4:68" ht="20.100000000000001" customHeight="1" x14ac:dyDescent="0.25">
      <c r="D184" s="57" t="s">
        <v>548</v>
      </c>
    </row>
    <row r="185" spans="4:68" ht="20.100000000000001" customHeight="1" x14ac:dyDescent="0.25">
      <c r="D185" s="57" t="s">
        <v>549</v>
      </c>
    </row>
    <row r="186" spans="4:68" ht="20.100000000000001" customHeight="1" x14ac:dyDescent="0.25">
      <c r="D186" s="39" t="s">
        <v>109</v>
      </c>
      <c r="E186" s="39" t="s">
        <v>110</v>
      </c>
      <c r="F186" s="39" t="s">
        <v>111</v>
      </c>
      <c r="G186" s="39" t="s">
        <v>112</v>
      </c>
      <c r="H186" s="39" t="s">
        <v>32</v>
      </c>
    </row>
    <row r="187" spans="4:68" ht="20.100000000000001" customHeight="1" x14ac:dyDescent="0.25">
      <c r="D187" s="39" t="s">
        <v>550</v>
      </c>
      <c r="E187" s="39">
        <v>5.8999999999999999E-3</v>
      </c>
      <c r="F187" s="39" t="s">
        <v>113</v>
      </c>
      <c r="G187" s="39" t="s">
        <v>488</v>
      </c>
      <c r="H187" s="39" t="s">
        <v>488</v>
      </c>
    </row>
    <row r="188" spans="4:68" ht="20.100000000000001" customHeight="1" x14ac:dyDescent="0.25">
      <c r="D188" s="39" t="s">
        <v>551</v>
      </c>
      <c r="E188" s="39">
        <v>7.0000000000000001E-3</v>
      </c>
      <c r="F188" s="39" t="s">
        <v>552</v>
      </c>
      <c r="G188" s="39" t="s">
        <v>488</v>
      </c>
      <c r="H188" s="39" t="s">
        <v>488</v>
      </c>
    </row>
    <row r="189" spans="4:68" ht="20.100000000000001" customHeight="1" x14ac:dyDescent="0.25">
      <c r="D189" s="39" t="s">
        <v>553</v>
      </c>
      <c r="E189" s="39">
        <v>1.8E-3</v>
      </c>
      <c r="F189" s="39" t="s">
        <v>113</v>
      </c>
      <c r="G189" s="39" t="s">
        <v>116</v>
      </c>
      <c r="H189" s="39" t="s">
        <v>513</v>
      </c>
    </row>
    <row r="190" spans="4:68" ht="20.100000000000001" customHeight="1" x14ac:dyDescent="0.25">
      <c r="D190" s="39" t="s">
        <v>553</v>
      </c>
      <c r="E190" s="39">
        <v>1.8E-3</v>
      </c>
      <c r="F190" s="39" t="s">
        <v>113</v>
      </c>
      <c r="G190" s="39" t="s">
        <v>116</v>
      </c>
      <c r="H190" s="39" t="s">
        <v>511</v>
      </c>
    </row>
    <row r="191" spans="4:68" ht="20.100000000000001" customHeight="1" x14ac:dyDescent="0.25">
      <c r="D191" s="39" t="s">
        <v>554</v>
      </c>
      <c r="E191" s="39">
        <v>2.8999999999999998E-3</v>
      </c>
      <c r="F191" s="39" t="s">
        <v>552</v>
      </c>
      <c r="G191" s="39" t="s">
        <v>116</v>
      </c>
      <c r="H191" s="39" t="s">
        <v>513</v>
      </c>
    </row>
    <row r="192" spans="4:68" ht="20.100000000000001" customHeight="1" x14ac:dyDescent="0.25">
      <c r="D192" s="39" t="s">
        <v>555</v>
      </c>
      <c r="E192" s="39">
        <v>8.0000000000000002E-3</v>
      </c>
      <c r="F192" s="39" t="s">
        <v>552</v>
      </c>
      <c r="G192" s="39" t="s">
        <v>116</v>
      </c>
      <c r="H192" s="39" t="s">
        <v>511</v>
      </c>
    </row>
    <row r="193" spans="4:8" ht="20.100000000000001" customHeight="1" x14ac:dyDescent="0.25">
      <c r="D193" s="39" t="s">
        <v>556</v>
      </c>
      <c r="E193" s="39">
        <v>1.9900000000000001E-2</v>
      </c>
      <c r="F193" s="39" t="s">
        <v>556</v>
      </c>
      <c r="G193" s="39" t="s">
        <v>488</v>
      </c>
      <c r="H193" s="39" t="s">
        <v>488</v>
      </c>
    </row>
    <row r="194" spans="4:8" ht="20.100000000000001" customHeight="1" x14ac:dyDescent="0.25">
      <c r="D194" s="39" t="s">
        <v>557</v>
      </c>
      <c r="E194" s="39">
        <v>5.3E-3</v>
      </c>
      <c r="F194" s="39" t="s">
        <v>557</v>
      </c>
      <c r="G194" s="39" t="s">
        <v>488</v>
      </c>
      <c r="H194" s="39" t="s">
        <v>488</v>
      </c>
    </row>
    <row r="195" spans="4:8" ht="20.100000000000001" customHeight="1" x14ac:dyDescent="0.25">
      <c r="D195" s="39" t="s">
        <v>558</v>
      </c>
      <c r="E195" s="39">
        <v>6.4000000000000003E-3</v>
      </c>
      <c r="F195" s="39" t="s">
        <v>558</v>
      </c>
      <c r="G195" s="39" t="s">
        <v>488</v>
      </c>
      <c r="H195" s="39" t="s">
        <v>488</v>
      </c>
    </row>
    <row r="196" spans="4:8" ht="20.100000000000001" customHeight="1" x14ac:dyDescent="0.25">
      <c r="D196" s="39" t="s">
        <v>559</v>
      </c>
      <c r="E196" s="39">
        <v>3.0000000000000001E-3</v>
      </c>
      <c r="F196" s="39" t="s">
        <v>560</v>
      </c>
      <c r="G196" s="39" t="s">
        <v>561</v>
      </c>
      <c r="H196" s="39" t="s">
        <v>488</v>
      </c>
    </row>
    <row r="197" spans="4:8" x14ac:dyDescent="0.25">
      <c r="D197" s="39" t="s">
        <v>562</v>
      </c>
      <c r="E197" s="39">
        <v>5.0000000000000001E-3</v>
      </c>
      <c r="F197" s="39" t="s">
        <v>560</v>
      </c>
      <c r="G197" s="39" t="s">
        <v>563</v>
      </c>
      <c r="H197" s="39" t="s">
        <v>488</v>
      </c>
    </row>
    <row r="198" spans="4:8" x14ac:dyDescent="0.25">
      <c r="D198" s="39" t="s">
        <v>564</v>
      </c>
      <c r="E198" s="39">
        <v>2.5999999999999999E-3</v>
      </c>
      <c r="F198" s="39" t="s">
        <v>564</v>
      </c>
      <c r="G198" s="39" t="s">
        <v>488</v>
      </c>
      <c r="H198" s="39" t="s">
        <v>488</v>
      </c>
    </row>
    <row r="199" spans="4:8" x14ac:dyDescent="0.25">
      <c r="D199" s="39" t="s">
        <v>565</v>
      </c>
      <c r="E199" s="39">
        <v>1.8E-3</v>
      </c>
      <c r="F199" s="39" t="s">
        <v>565</v>
      </c>
      <c r="G199" s="39" t="s">
        <v>488</v>
      </c>
      <c r="H199" s="39" t="s">
        <v>488</v>
      </c>
    </row>
    <row r="202" spans="4:8" ht="23.25" x14ac:dyDescent="0.25">
      <c r="D202" s="6" t="s">
        <v>566</v>
      </c>
    </row>
    <row r="203" spans="4:8" x14ac:dyDescent="0.25">
      <c r="D203" s="5" t="s">
        <v>567</v>
      </c>
    </row>
    <row r="204" spans="4:8" x14ac:dyDescent="0.25">
      <c r="D204" s="57" t="s">
        <v>568</v>
      </c>
    </row>
    <row r="205" spans="4:8" x14ac:dyDescent="0.25">
      <c r="D205" s="56" t="s">
        <v>569</v>
      </c>
    </row>
    <row r="206" spans="4:8" x14ac:dyDescent="0.25">
      <c r="D206" s="39" t="s">
        <v>8</v>
      </c>
      <c r="E206" s="39" t="s">
        <v>193</v>
      </c>
    </row>
    <row r="207" spans="4:8" x14ac:dyDescent="0.25">
      <c r="D207" s="39" t="s">
        <v>470</v>
      </c>
      <c r="E207" s="39">
        <v>6.0000000000000001E-3</v>
      </c>
    </row>
    <row r="208" spans="4:8" x14ac:dyDescent="0.25">
      <c r="D208" s="1" t="s">
        <v>474</v>
      </c>
      <c r="E208" s="39">
        <v>2E-3</v>
      </c>
    </row>
    <row r="211" spans="4:5" x14ac:dyDescent="0.25">
      <c r="D211" s="1" t="s">
        <v>570</v>
      </c>
    </row>
    <row r="212" spans="4:5" x14ac:dyDescent="0.25">
      <c r="D212" s="39" t="s">
        <v>198</v>
      </c>
      <c r="E212" s="39" t="s">
        <v>199</v>
      </c>
    </row>
    <row r="213" spans="4:5" x14ac:dyDescent="0.25">
      <c r="D213" s="39" t="s">
        <v>571</v>
      </c>
      <c r="E213" s="39" t="s">
        <v>572</v>
      </c>
    </row>
    <row r="214" spans="4:5" x14ac:dyDescent="0.25">
      <c r="D214" s="1" t="s">
        <v>573</v>
      </c>
      <c r="E214" s="39" t="s">
        <v>572</v>
      </c>
    </row>
    <row r="215" spans="4:5" x14ac:dyDescent="0.25">
      <c r="D215" s="1" t="s">
        <v>574</v>
      </c>
      <c r="E215" s="39" t="s">
        <v>575</v>
      </c>
    </row>
    <row r="216" spans="4:5" x14ac:dyDescent="0.25">
      <c r="D216" s="1" t="s">
        <v>576</v>
      </c>
      <c r="E216" s="39" t="s">
        <v>575</v>
      </c>
    </row>
    <row r="217" spans="4:5" x14ac:dyDescent="0.25">
      <c r="D217" s="1" t="s">
        <v>577</v>
      </c>
      <c r="E217" s="39" t="s">
        <v>575</v>
      </c>
    </row>
    <row r="218" spans="4:5" x14ac:dyDescent="0.25">
      <c r="D218" s="1" t="s">
        <v>578</v>
      </c>
      <c r="E218" s="39" t="s">
        <v>579</v>
      </c>
    </row>
    <row r="219" spans="4:5" x14ac:dyDescent="0.25">
      <c r="D219" s="1" t="s">
        <v>580</v>
      </c>
      <c r="E219" s="39" t="s">
        <v>579</v>
      </c>
    </row>
    <row r="220" spans="4:5" x14ac:dyDescent="0.25">
      <c r="D220" s="1" t="s">
        <v>581</v>
      </c>
      <c r="E220" s="39" t="s">
        <v>579</v>
      </c>
    </row>
    <row r="221" spans="4:5" x14ac:dyDescent="0.25">
      <c r="D221" s="1" t="s">
        <v>582</v>
      </c>
      <c r="E221" s="39" t="s">
        <v>583</v>
      </c>
    </row>
    <row r="222" spans="4:5" x14ac:dyDescent="0.25">
      <c r="D222" s="1" t="s">
        <v>584</v>
      </c>
      <c r="E222" s="39" t="s">
        <v>583</v>
      </c>
    </row>
    <row r="223" spans="4:5" x14ac:dyDescent="0.25">
      <c r="D223" s="1" t="s">
        <v>585</v>
      </c>
      <c r="E223" s="39" t="s">
        <v>583</v>
      </c>
    </row>
    <row r="224" spans="4:5" x14ac:dyDescent="0.25">
      <c r="D224" s="1" t="s">
        <v>586</v>
      </c>
      <c r="E224" s="39" t="s">
        <v>572</v>
      </c>
    </row>
    <row r="227" spans="4:19" ht="23.25" x14ac:dyDescent="0.25">
      <c r="D227" s="6" t="s">
        <v>587</v>
      </c>
    </row>
    <row r="228" spans="4:19" x14ac:dyDescent="0.25">
      <c r="D228" s="5" t="s">
        <v>588</v>
      </c>
    </row>
    <row r="229" spans="4:19" x14ac:dyDescent="0.25">
      <c r="D229" s="57" t="s">
        <v>589</v>
      </c>
    </row>
    <row r="231" spans="4:19" x14ac:dyDescent="0.25">
      <c r="D231" s="39" t="s">
        <v>49</v>
      </c>
      <c r="E231" s="39" t="s">
        <v>201</v>
      </c>
      <c r="F231" s="38" t="s">
        <v>202</v>
      </c>
      <c r="G231" s="39" t="s">
        <v>203</v>
      </c>
      <c r="H231" s="39" t="s">
        <v>204</v>
      </c>
      <c r="I231" s="39" t="s">
        <v>205</v>
      </c>
      <c r="J231" s="39" t="s">
        <v>206</v>
      </c>
      <c r="K231" s="39" t="s">
        <v>207</v>
      </c>
      <c r="L231" s="39" t="s">
        <v>208</v>
      </c>
      <c r="M231" s="39" t="s">
        <v>209</v>
      </c>
      <c r="N231" s="39" t="s">
        <v>210</v>
      </c>
      <c r="O231" s="39" t="s">
        <v>211</v>
      </c>
      <c r="P231" s="39" t="s">
        <v>212</v>
      </c>
      <c r="Q231" s="39" t="s">
        <v>213</v>
      </c>
      <c r="R231" s="39" t="s">
        <v>214</v>
      </c>
      <c r="S231" s="39" t="s">
        <v>215</v>
      </c>
    </row>
    <row r="232" spans="4:19" x14ac:dyDescent="0.25">
      <c r="D232" s="39" t="s">
        <v>508</v>
      </c>
      <c r="E232" s="39" t="s">
        <v>590</v>
      </c>
      <c r="F232" s="39">
        <v>0.66</v>
      </c>
      <c r="G232" s="39">
        <v>0.1</v>
      </c>
      <c r="H232" s="39">
        <v>0.1</v>
      </c>
      <c r="I232" s="39">
        <v>1E-3</v>
      </c>
      <c r="J232" s="39">
        <v>5.0000000000000001E-3</v>
      </c>
      <c r="K232" s="39">
        <v>0.02</v>
      </c>
      <c r="L232" s="39">
        <v>0.03</v>
      </c>
      <c r="M232" s="39">
        <v>0.04</v>
      </c>
      <c r="N232" s="39">
        <v>1.4999999999999999E-2</v>
      </c>
      <c r="O232" s="39">
        <v>1.4999999999999999E-2</v>
      </c>
      <c r="P232" s="39">
        <v>0</v>
      </c>
      <c r="Q232" s="39">
        <v>0</v>
      </c>
      <c r="R232" s="39">
        <v>4.7000000000000002E-3</v>
      </c>
      <c r="S232" s="39">
        <v>10</v>
      </c>
    </row>
    <row r="233" spans="4:19" x14ac:dyDescent="0.25">
      <c r="D233" s="1" t="s">
        <v>508</v>
      </c>
      <c r="E233" s="39">
        <v>11</v>
      </c>
      <c r="F233" s="39">
        <v>0.68</v>
      </c>
      <c r="G233" s="39">
        <v>0.1</v>
      </c>
      <c r="H233" s="39">
        <v>0.11</v>
      </c>
      <c r="I233" s="39">
        <v>1E-3</v>
      </c>
      <c r="J233" s="39">
        <v>5.0000000000000001E-3</v>
      </c>
      <c r="K233" s="39">
        <v>0.02</v>
      </c>
      <c r="L233" s="39">
        <v>0.03</v>
      </c>
      <c r="M233" s="39">
        <v>0.04</v>
      </c>
      <c r="N233" s="39">
        <v>1.4999999999999999E-2</v>
      </c>
      <c r="O233" s="39">
        <v>1.4999999999999999E-2</v>
      </c>
      <c r="P233" s="39">
        <v>0</v>
      </c>
      <c r="Q233" s="39">
        <v>0</v>
      </c>
      <c r="R233" s="39">
        <v>4.7000000000000002E-3</v>
      </c>
      <c r="S233" s="39">
        <v>11</v>
      </c>
    </row>
    <row r="234" spans="4:19" x14ac:dyDescent="0.25">
      <c r="D234" s="1" t="s">
        <v>508</v>
      </c>
      <c r="E234" s="39">
        <v>12</v>
      </c>
      <c r="F234" s="39">
        <v>0.7</v>
      </c>
      <c r="G234" s="39">
        <v>0.1</v>
      </c>
      <c r="H234" s="39">
        <v>0.13</v>
      </c>
      <c r="I234" s="39">
        <v>1E-3</v>
      </c>
      <c r="J234" s="39">
        <v>5.0000000000000001E-3</v>
      </c>
      <c r="K234" s="39">
        <v>0.02</v>
      </c>
      <c r="L234" s="39">
        <v>0.03</v>
      </c>
      <c r="M234" s="39">
        <v>0.04</v>
      </c>
      <c r="N234" s="39">
        <v>1.4999999999999999E-2</v>
      </c>
      <c r="O234" s="39">
        <v>1.4999999999999999E-2</v>
      </c>
      <c r="P234" s="39">
        <v>0</v>
      </c>
      <c r="Q234" s="39">
        <v>0</v>
      </c>
      <c r="R234" s="39">
        <v>4.7000000000000002E-3</v>
      </c>
      <c r="S234" s="39">
        <v>12</v>
      </c>
    </row>
    <row r="235" spans="4:19" x14ac:dyDescent="0.25">
      <c r="D235" s="1" t="s">
        <v>508</v>
      </c>
      <c r="E235" s="39">
        <v>13</v>
      </c>
      <c r="F235" s="39">
        <v>0.71</v>
      </c>
      <c r="G235" s="39">
        <v>0.1</v>
      </c>
      <c r="H235" s="39">
        <v>0.14000000000000001</v>
      </c>
      <c r="I235" s="39">
        <v>1E-3</v>
      </c>
      <c r="J235" s="39">
        <v>5.0000000000000001E-3</v>
      </c>
      <c r="K235" s="39">
        <v>0.02</v>
      </c>
      <c r="L235" s="39">
        <v>0.03</v>
      </c>
      <c r="M235" s="39">
        <v>0.04</v>
      </c>
      <c r="N235" s="39">
        <v>1.4999999999999999E-2</v>
      </c>
      <c r="O235" s="39">
        <v>1.4999999999999999E-2</v>
      </c>
      <c r="P235" s="39">
        <v>0</v>
      </c>
      <c r="Q235" s="39">
        <v>0</v>
      </c>
      <c r="R235" s="39">
        <v>4.7000000000000002E-3</v>
      </c>
      <c r="S235" s="39">
        <v>13</v>
      </c>
    </row>
    <row r="236" spans="4:19" x14ac:dyDescent="0.25">
      <c r="D236" s="1" t="s">
        <v>508</v>
      </c>
      <c r="E236" s="39">
        <v>14</v>
      </c>
      <c r="F236" s="39">
        <v>0.73</v>
      </c>
      <c r="G236" s="39">
        <v>0.1</v>
      </c>
      <c r="H236" s="39">
        <v>0.15</v>
      </c>
      <c r="I236" s="39">
        <v>1E-3</v>
      </c>
      <c r="J236" s="39">
        <v>5.0000000000000001E-3</v>
      </c>
      <c r="K236" s="39">
        <v>0.02</v>
      </c>
      <c r="L236" s="39">
        <v>0.03</v>
      </c>
      <c r="M236" s="39">
        <v>0.04</v>
      </c>
      <c r="N236" s="39">
        <v>1.4999999999999999E-2</v>
      </c>
      <c r="O236" s="39">
        <v>1.4999999999999999E-2</v>
      </c>
      <c r="P236" s="39">
        <v>0</v>
      </c>
      <c r="Q236" s="39">
        <v>0</v>
      </c>
      <c r="R236" s="39">
        <v>4.7000000000000002E-3</v>
      </c>
      <c r="S236" s="39">
        <v>14</v>
      </c>
    </row>
    <row r="237" spans="4:19" x14ac:dyDescent="0.25">
      <c r="D237" s="1" t="s">
        <v>506</v>
      </c>
      <c r="E237" s="39">
        <v>15</v>
      </c>
      <c r="F237" s="39">
        <v>0.74</v>
      </c>
      <c r="G237" s="39">
        <v>0.1</v>
      </c>
      <c r="H237" s="39">
        <v>0.17</v>
      </c>
      <c r="I237" s="39">
        <v>5.0000000000000001E-3</v>
      </c>
      <c r="J237" s="39">
        <v>0.01</v>
      </c>
      <c r="K237" s="39">
        <v>0.02</v>
      </c>
      <c r="L237" s="39">
        <v>0.03</v>
      </c>
      <c r="M237" s="39">
        <v>0.04</v>
      </c>
      <c r="N237" s="39">
        <v>1.4999999999999999E-2</v>
      </c>
      <c r="O237" s="39">
        <v>1.4999999999999999E-2</v>
      </c>
      <c r="P237" s="39">
        <v>0</v>
      </c>
      <c r="Q237" s="39">
        <v>0</v>
      </c>
      <c r="R237" s="39">
        <v>4.7000000000000002E-3</v>
      </c>
      <c r="S237" s="39">
        <v>15</v>
      </c>
    </row>
    <row r="238" spans="4:19" x14ac:dyDescent="0.25">
      <c r="D238" s="1" t="s">
        <v>506</v>
      </c>
      <c r="E238" s="39">
        <v>16</v>
      </c>
      <c r="F238" s="39">
        <v>0.75</v>
      </c>
      <c r="G238" s="39">
        <v>0.1</v>
      </c>
      <c r="H238" s="39">
        <v>0.18</v>
      </c>
      <c r="I238" s="39">
        <v>5.0000000000000001E-3</v>
      </c>
      <c r="J238" s="39">
        <v>0.01</v>
      </c>
      <c r="K238" s="39">
        <v>0.02</v>
      </c>
      <c r="L238" s="39">
        <v>0.03</v>
      </c>
      <c r="M238" s="39">
        <v>0.04</v>
      </c>
      <c r="N238" s="39">
        <v>1.4999999999999999E-2</v>
      </c>
      <c r="O238" s="39">
        <v>1.4999999999999999E-2</v>
      </c>
      <c r="P238" s="39">
        <v>0</v>
      </c>
      <c r="Q238" s="39">
        <v>0</v>
      </c>
      <c r="R238" s="39">
        <v>4.7000000000000002E-3</v>
      </c>
      <c r="S238" s="39">
        <v>16</v>
      </c>
    </row>
    <row r="239" spans="4:19" x14ac:dyDescent="0.25">
      <c r="D239" s="1" t="s">
        <v>506</v>
      </c>
      <c r="E239" s="39">
        <v>17</v>
      </c>
      <c r="F239" s="39">
        <v>0.76</v>
      </c>
      <c r="G239" s="39">
        <v>0.1</v>
      </c>
      <c r="H239" s="39">
        <v>0.2</v>
      </c>
      <c r="I239" s="39">
        <v>5.0000000000000001E-3</v>
      </c>
      <c r="J239" s="39">
        <v>0.01</v>
      </c>
      <c r="K239" s="39">
        <v>0.02</v>
      </c>
      <c r="L239" s="39">
        <v>0.03</v>
      </c>
      <c r="M239" s="39">
        <v>0.04</v>
      </c>
      <c r="N239" s="39">
        <v>1.4999999999999999E-2</v>
      </c>
      <c r="O239" s="39">
        <v>1.4999999999999999E-2</v>
      </c>
      <c r="P239" s="39">
        <v>0</v>
      </c>
      <c r="Q239" s="39">
        <v>0</v>
      </c>
      <c r="R239" s="39">
        <v>4.7000000000000002E-3</v>
      </c>
      <c r="S239" s="39">
        <v>17</v>
      </c>
    </row>
    <row r="240" spans="4:19" x14ac:dyDescent="0.25">
      <c r="D240" s="1" t="s">
        <v>506</v>
      </c>
      <c r="E240" s="39">
        <v>18</v>
      </c>
      <c r="F240" s="39">
        <v>0.77</v>
      </c>
      <c r="G240" s="39">
        <v>0.1</v>
      </c>
      <c r="H240" s="39">
        <v>0.22</v>
      </c>
      <c r="I240" s="39">
        <v>5.0000000000000001E-3</v>
      </c>
      <c r="J240" s="39">
        <v>0.01</v>
      </c>
      <c r="K240" s="39">
        <v>0.02</v>
      </c>
      <c r="L240" s="39">
        <v>0.03</v>
      </c>
      <c r="M240" s="39">
        <v>0.04</v>
      </c>
      <c r="N240" s="39">
        <v>1.4999999999999999E-2</v>
      </c>
      <c r="O240" s="39">
        <v>1.4999999999999999E-2</v>
      </c>
      <c r="P240" s="39">
        <v>0</v>
      </c>
      <c r="Q240" s="39">
        <v>0</v>
      </c>
      <c r="R240" s="39">
        <v>4.7000000000000002E-3</v>
      </c>
      <c r="S240" s="39">
        <v>18</v>
      </c>
    </row>
    <row r="241" spans="4:19" x14ac:dyDescent="0.25">
      <c r="D241" s="1" t="s">
        <v>506</v>
      </c>
      <c r="E241" s="39">
        <v>19</v>
      </c>
      <c r="F241" s="39">
        <v>0.77</v>
      </c>
      <c r="G241" s="39">
        <v>0.1</v>
      </c>
      <c r="H241" s="39">
        <v>0.24</v>
      </c>
      <c r="I241" s="39">
        <v>5.0000000000000001E-3</v>
      </c>
      <c r="J241" s="39">
        <v>0.01</v>
      </c>
      <c r="K241" s="39">
        <v>0.02</v>
      </c>
      <c r="L241" s="39">
        <v>0.03</v>
      </c>
      <c r="M241" s="39">
        <v>0.04</v>
      </c>
      <c r="N241" s="39">
        <v>1.4999999999999999E-2</v>
      </c>
      <c r="O241" s="39">
        <v>1.4999999999999999E-2</v>
      </c>
      <c r="P241" s="39">
        <v>0</v>
      </c>
      <c r="Q241" s="39">
        <v>0</v>
      </c>
      <c r="R241" s="39">
        <v>4.7000000000000002E-3</v>
      </c>
      <c r="S241" s="39">
        <v>19</v>
      </c>
    </row>
    <row r="242" spans="4:19" x14ac:dyDescent="0.25">
      <c r="D242" s="1" t="s">
        <v>506</v>
      </c>
      <c r="E242" s="39">
        <v>20</v>
      </c>
      <c r="F242" s="39">
        <v>0.78</v>
      </c>
      <c r="G242" s="39">
        <v>0.1</v>
      </c>
      <c r="H242" s="39">
        <v>0.26</v>
      </c>
      <c r="I242" s="39">
        <v>5.0000000000000001E-3</v>
      </c>
      <c r="J242" s="39">
        <v>0.01</v>
      </c>
      <c r="K242" s="39">
        <v>0.02</v>
      </c>
      <c r="L242" s="39">
        <v>0.03</v>
      </c>
      <c r="M242" s="39">
        <v>0.04</v>
      </c>
      <c r="N242" s="39">
        <v>1.4999999999999999E-2</v>
      </c>
      <c r="O242" s="39">
        <v>1.4999999999999999E-2</v>
      </c>
      <c r="P242" s="39">
        <v>0</v>
      </c>
      <c r="Q242" s="39">
        <v>0</v>
      </c>
      <c r="R242" s="39">
        <v>4.7000000000000002E-3</v>
      </c>
      <c r="S242" s="39">
        <v>20</v>
      </c>
    </row>
    <row r="243" spans="4:19" x14ac:dyDescent="0.25">
      <c r="D243" s="1" t="s">
        <v>506</v>
      </c>
      <c r="E243" s="39">
        <v>21</v>
      </c>
      <c r="F243" s="39">
        <v>0.78</v>
      </c>
      <c r="G243" s="39">
        <v>0.1</v>
      </c>
      <c r="H243" s="39">
        <v>0.28999999999999998</v>
      </c>
      <c r="I243" s="39">
        <v>5.0000000000000001E-3</v>
      </c>
      <c r="J243" s="39">
        <v>0.01</v>
      </c>
      <c r="K243" s="39">
        <v>0.02</v>
      </c>
      <c r="L243" s="39">
        <v>0.03</v>
      </c>
      <c r="M243" s="39">
        <v>0.04</v>
      </c>
      <c r="N243" s="39">
        <v>1.4999999999999999E-2</v>
      </c>
      <c r="O243" s="39">
        <v>1.4999999999999999E-2</v>
      </c>
      <c r="P243" s="39">
        <v>0</v>
      </c>
      <c r="Q243" s="39">
        <v>0</v>
      </c>
      <c r="R243" s="39">
        <v>4.7000000000000002E-3</v>
      </c>
      <c r="S243" s="39">
        <v>21</v>
      </c>
    </row>
    <row r="244" spans="4:19" x14ac:dyDescent="0.25">
      <c r="D244" s="1" t="s">
        <v>506</v>
      </c>
      <c r="E244" s="39">
        <v>22</v>
      </c>
      <c r="F244" s="39">
        <v>0.78</v>
      </c>
      <c r="G244" s="39">
        <v>0.1</v>
      </c>
      <c r="H244" s="39">
        <v>0.31</v>
      </c>
      <c r="I244" s="39">
        <v>5.0000000000000001E-3</v>
      </c>
      <c r="J244" s="39">
        <v>0.01</v>
      </c>
      <c r="K244" s="39">
        <v>0.02</v>
      </c>
      <c r="L244" s="39">
        <v>0.03</v>
      </c>
      <c r="M244" s="39">
        <v>0.04</v>
      </c>
      <c r="N244" s="39">
        <v>1.4999999999999999E-2</v>
      </c>
      <c r="O244" s="39">
        <v>1.4999999999999999E-2</v>
      </c>
      <c r="P244" s="39">
        <v>0</v>
      </c>
      <c r="Q244" s="39">
        <v>0</v>
      </c>
      <c r="R244" s="39">
        <v>4.7000000000000002E-3</v>
      </c>
      <c r="S244" s="39">
        <v>22</v>
      </c>
    </row>
    <row r="245" spans="4:19" x14ac:dyDescent="0.25">
      <c r="D245" s="1" t="s">
        <v>506</v>
      </c>
      <c r="E245" s="39">
        <v>23</v>
      </c>
      <c r="F245" s="39">
        <v>0.79</v>
      </c>
      <c r="G245" s="39">
        <v>0.1</v>
      </c>
      <c r="H245" s="39">
        <v>0.34</v>
      </c>
      <c r="I245" s="39">
        <v>5.0000000000000001E-3</v>
      </c>
      <c r="J245" s="39">
        <v>0.01</v>
      </c>
      <c r="K245" s="39">
        <v>0.02</v>
      </c>
      <c r="L245" s="39">
        <v>0.03</v>
      </c>
      <c r="M245" s="39">
        <v>0.04</v>
      </c>
      <c r="N245" s="39">
        <v>1.4999999999999999E-2</v>
      </c>
      <c r="O245" s="39">
        <v>1.4999999999999999E-2</v>
      </c>
      <c r="P245" s="39">
        <v>0</v>
      </c>
      <c r="Q245" s="39">
        <v>0</v>
      </c>
      <c r="R245" s="39">
        <v>4.7000000000000002E-3</v>
      </c>
      <c r="S245" s="39">
        <v>23</v>
      </c>
    </row>
    <row r="246" spans="4:19" x14ac:dyDescent="0.25">
      <c r="D246" s="1" t="s">
        <v>506</v>
      </c>
      <c r="E246" s="39">
        <v>24</v>
      </c>
      <c r="F246" s="39">
        <v>0.79</v>
      </c>
      <c r="G246" s="39">
        <v>0.1</v>
      </c>
      <c r="H246" s="39">
        <v>0.37</v>
      </c>
      <c r="I246" s="39">
        <v>5.0000000000000001E-3</v>
      </c>
      <c r="J246" s="39">
        <v>0.01</v>
      </c>
      <c r="K246" s="39">
        <v>0.02</v>
      </c>
      <c r="L246" s="39">
        <v>0.03</v>
      </c>
      <c r="M246" s="39">
        <v>0.04</v>
      </c>
      <c r="N246" s="39">
        <v>1.4999999999999999E-2</v>
      </c>
      <c r="O246" s="39">
        <v>1.4999999999999999E-2</v>
      </c>
      <c r="P246" s="39">
        <v>0</v>
      </c>
      <c r="Q246" s="39">
        <v>0</v>
      </c>
      <c r="R246" s="39">
        <v>4.7000000000000002E-3</v>
      </c>
      <c r="S246" s="39">
        <v>24</v>
      </c>
    </row>
    <row r="247" spans="4:19" x14ac:dyDescent="0.25">
      <c r="D247" s="1" t="s">
        <v>506</v>
      </c>
      <c r="E247" s="39">
        <v>25</v>
      </c>
      <c r="F247" s="39">
        <v>0.79</v>
      </c>
      <c r="G247" s="39">
        <v>0.1</v>
      </c>
      <c r="H247" s="39">
        <v>0.41</v>
      </c>
      <c r="I247" s="39">
        <v>5.0000000000000001E-3</v>
      </c>
      <c r="J247" s="39">
        <v>0.01</v>
      </c>
      <c r="K247" s="39">
        <v>0.02</v>
      </c>
      <c r="L247" s="39">
        <v>0.03</v>
      </c>
      <c r="M247" s="39">
        <v>0.04</v>
      </c>
      <c r="N247" s="39">
        <v>1.4999999999999999E-2</v>
      </c>
      <c r="O247" s="39">
        <v>1.4999999999999999E-2</v>
      </c>
      <c r="P247" s="39">
        <v>0</v>
      </c>
      <c r="Q247" s="39">
        <v>0</v>
      </c>
      <c r="R247" s="39">
        <v>4.7000000000000002E-3</v>
      </c>
      <c r="S247" s="39">
        <v>25</v>
      </c>
    </row>
    <row r="248" spans="4:19" x14ac:dyDescent="0.25">
      <c r="D248" s="1" t="s">
        <v>504</v>
      </c>
      <c r="E248" s="39">
        <v>26</v>
      </c>
      <c r="F248" s="39">
        <v>0.79</v>
      </c>
      <c r="G248" s="39">
        <v>0.1</v>
      </c>
      <c r="H248" s="39">
        <v>0.44</v>
      </c>
      <c r="I248" s="39">
        <v>0.01</v>
      </c>
      <c r="J248" s="39">
        <v>1.4999999999999999E-2</v>
      </c>
      <c r="K248" s="39">
        <v>0.02</v>
      </c>
      <c r="L248" s="39">
        <v>0.03</v>
      </c>
      <c r="M248" s="39">
        <v>0.04</v>
      </c>
      <c r="N248" s="39">
        <v>1.4999999999999999E-2</v>
      </c>
      <c r="O248" s="39">
        <v>1.4999999999999999E-2</v>
      </c>
      <c r="P248" s="39">
        <v>0</v>
      </c>
      <c r="Q248" s="39">
        <v>0</v>
      </c>
      <c r="R248" s="39">
        <v>4.7000000000000002E-3</v>
      </c>
      <c r="S248" s="39">
        <v>26</v>
      </c>
    </row>
    <row r="249" spans="4:19" x14ac:dyDescent="0.25">
      <c r="D249" s="1" t="s">
        <v>504</v>
      </c>
      <c r="E249" s="39">
        <v>27</v>
      </c>
      <c r="F249" s="39">
        <v>0.8</v>
      </c>
      <c r="G249" s="39">
        <v>0.1</v>
      </c>
      <c r="H249" s="39">
        <v>0.48</v>
      </c>
      <c r="I249" s="39">
        <v>0.01</v>
      </c>
      <c r="J249" s="39">
        <v>1.4999999999999999E-2</v>
      </c>
      <c r="K249" s="39">
        <v>0.02</v>
      </c>
      <c r="L249" s="39">
        <v>0.03</v>
      </c>
      <c r="M249" s="39">
        <v>0.04</v>
      </c>
      <c r="N249" s="39">
        <v>1.4999999999999999E-2</v>
      </c>
      <c r="O249" s="39">
        <v>1.4999999999999999E-2</v>
      </c>
      <c r="P249" s="39">
        <v>0</v>
      </c>
      <c r="Q249" s="39">
        <v>0</v>
      </c>
      <c r="R249" s="39">
        <v>4.7000000000000002E-3</v>
      </c>
      <c r="S249" s="39">
        <v>27</v>
      </c>
    </row>
    <row r="250" spans="4:19" x14ac:dyDescent="0.25">
      <c r="D250" s="1" t="s">
        <v>504</v>
      </c>
      <c r="E250" s="39" t="s">
        <v>591</v>
      </c>
      <c r="F250" s="39">
        <v>0.8</v>
      </c>
      <c r="G250" s="39">
        <v>0.1</v>
      </c>
      <c r="H250" s="39">
        <v>0.5</v>
      </c>
      <c r="I250" s="39">
        <v>0.01</v>
      </c>
      <c r="J250" s="39">
        <v>1.4999999999999999E-2</v>
      </c>
      <c r="K250" s="39">
        <v>0.02</v>
      </c>
      <c r="L250" s="39">
        <v>0.03</v>
      </c>
      <c r="M250" s="39">
        <v>0.04</v>
      </c>
      <c r="N250" s="39">
        <v>1.4999999999999999E-2</v>
      </c>
      <c r="O250" s="39">
        <v>1.4999999999999999E-2</v>
      </c>
      <c r="P250" s="39">
        <v>0</v>
      </c>
      <c r="Q250" s="39">
        <v>0</v>
      </c>
      <c r="R250" s="39">
        <v>4.7000000000000002E-3</v>
      </c>
      <c r="S250" s="39">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E24" sqref="E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6" t="e" vm="1">
        <v>#VALUE!</v>
      </c>
      <c r="C1" s="8" t="s">
        <v>73</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
        <v>592</v>
      </c>
      <c r="E5" s="3"/>
      <c r="F5" s="3"/>
      <c r="G5" s="3"/>
    </row>
    <row r="6" spans="1:13" ht="20.100000000000001" customHeight="1" x14ac:dyDescent="0.25">
      <c r="A6" s="16"/>
      <c r="D6" s="3" t="s">
        <v>64</v>
      </c>
      <c r="E6" s="3"/>
      <c r="F6" s="3"/>
      <c r="G6" s="3"/>
      <c r="H6" s="3"/>
    </row>
    <row r="7" spans="1:13" ht="20.100000000000001" customHeight="1" x14ac:dyDescent="0.25">
      <c r="A7" s="20" t="s">
        <v>1</v>
      </c>
      <c r="D7" s="5" t="s">
        <v>593</v>
      </c>
      <c r="E7" s="3"/>
      <c r="F7" s="3"/>
      <c r="G7" s="3"/>
      <c r="H7" s="3"/>
    </row>
    <row r="8" spans="1:13" ht="20.100000000000001" customHeight="1" x14ac:dyDescent="0.25">
      <c r="A8" s="17" t="str">
        <f>HYPERLINK("#'Input - Site'!A1", "Site")</f>
        <v>Site</v>
      </c>
      <c r="D8" s="38" t="s">
        <v>74</v>
      </c>
      <c r="E8" s="39" t="s">
        <v>18</v>
      </c>
      <c r="F8" s="39" t="s">
        <v>75</v>
      </c>
      <c r="G8" s="3"/>
      <c r="H8" s="3"/>
    </row>
    <row r="9" spans="1:13" ht="20.100000000000001" customHeight="1" x14ac:dyDescent="0.25">
      <c r="A9" s="17" t="str">
        <f>HYPERLINK("#'Input - Dairy'!A1", "Dairy")</f>
        <v>Dairy</v>
      </c>
      <c r="D9" s="38">
        <v>1</v>
      </c>
      <c r="E9" s="38" t="s">
        <v>202</v>
      </c>
      <c r="F9" s="38" t="s">
        <v>594</v>
      </c>
      <c r="G9" s="3"/>
    </row>
    <row r="10" spans="1:13" ht="20.100000000000001" customHeight="1" x14ac:dyDescent="0.25">
      <c r="A10" s="17"/>
      <c r="D10" s="38">
        <v>2</v>
      </c>
      <c r="E10" s="38" t="s">
        <v>204</v>
      </c>
      <c r="F10" s="38" t="s">
        <v>595</v>
      </c>
      <c r="G10" s="3"/>
    </row>
    <row r="11" spans="1:13" ht="20.100000000000001" customHeight="1" x14ac:dyDescent="0.25">
      <c r="A11" s="19" t="s">
        <v>71</v>
      </c>
      <c r="D11" s="39">
        <v>3</v>
      </c>
      <c r="E11" s="39" t="s">
        <v>205</v>
      </c>
      <c r="F11" s="39" t="s">
        <v>596</v>
      </c>
      <c r="G11" s="3"/>
    </row>
    <row r="12" spans="1:13" ht="20.100000000000001" customHeight="1" x14ac:dyDescent="0.25">
      <c r="A12" s="17" t="str">
        <f>HYPERLINK("#'3.3.1.1-2 Enteric Methane'!A1", "3.3.1.1-2 Enteric Methane")</f>
        <v>3.3.1.1-2 Enteric Methane</v>
      </c>
      <c r="D12" s="39" t="s">
        <v>597</v>
      </c>
      <c r="E12" s="39" t="s">
        <v>363</v>
      </c>
      <c r="F12" s="39" t="s">
        <v>598</v>
      </c>
      <c r="G12" s="3"/>
    </row>
    <row r="13" spans="1:13" ht="20.100000000000001" customHeight="1" x14ac:dyDescent="0.25">
      <c r="A13" s="17"/>
      <c r="D13" s="39" t="s">
        <v>599</v>
      </c>
      <c r="E13" s="39" t="s">
        <v>365</v>
      </c>
      <c r="F13" s="39" t="s">
        <v>600</v>
      </c>
      <c r="G13" s="3"/>
    </row>
    <row r="14" spans="1:13" ht="20.100000000000001" customHeight="1" x14ac:dyDescent="0.25">
      <c r="A14" s="18" t="s">
        <v>2</v>
      </c>
      <c r="D14" s="39">
        <v>4</v>
      </c>
      <c r="E14" s="39" t="s">
        <v>207</v>
      </c>
      <c r="F14" s="39" t="s">
        <v>601</v>
      </c>
      <c r="G14" s="3"/>
    </row>
    <row r="15" spans="1:13" ht="20.100000000000001" customHeight="1" x14ac:dyDescent="0.25">
      <c r="A15" s="17" t="str">
        <f>HYPERLINK("#'Constants - Dairy'!A1", "Constants - Dairy")</f>
        <v>Constants - Dairy</v>
      </c>
      <c r="D15" s="39">
        <v>5</v>
      </c>
      <c r="E15" s="39" t="s">
        <v>602</v>
      </c>
      <c r="F15" s="39" t="s">
        <v>603</v>
      </c>
      <c r="G15" s="3"/>
    </row>
    <row r="16" spans="1:13" ht="20.100000000000001" customHeight="1" x14ac:dyDescent="0.25">
      <c r="A16" s="70" t="str">
        <f>HYPERLINK("#'Constants - Livestock'!A1", "Constants - Livestock")</f>
        <v>Constants - Livestock</v>
      </c>
      <c r="D16" s="39">
        <v>6</v>
      </c>
      <c r="E16" s="39" t="s">
        <v>206</v>
      </c>
      <c r="F16" s="39" t="s">
        <v>604</v>
      </c>
      <c r="G16" s="3"/>
    </row>
    <row r="17" spans="1:8" ht="20.100000000000001" customHeight="1" x14ac:dyDescent="0.25">
      <c r="A17" s="17" t="str">
        <f>HYPERLINK("#'Constants - Common'!A1", "Constants - Common")</f>
        <v>Constants - Common</v>
      </c>
      <c r="D17" s="39">
        <v>7</v>
      </c>
      <c r="E17" s="39" t="s">
        <v>203</v>
      </c>
      <c r="F17" s="39" t="s">
        <v>605</v>
      </c>
      <c r="G17" s="3"/>
    </row>
    <row r="18" spans="1:8" ht="20.100000000000001" customHeight="1" x14ac:dyDescent="0.25">
      <c r="A18" s="17" t="str">
        <f>HYPERLINK("#'Acknowledgements'!A1", "Acknowledgements")</f>
        <v>Acknowledgements</v>
      </c>
      <c r="D18" s="39">
        <v>8</v>
      </c>
      <c r="E18" s="39" t="s">
        <v>209</v>
      </c>
      <c r="F18" s="39" t="s">
        <v>606</v>
      </c>
      <c r="G18" s="3"/>
    </row>
    <row r="19" spans="1:8" ht="20.100000000000001" customHeight="1" x14ac:dyDescent="0.25">
      <c r="D19" s="39">
        <v>9</v>
      </c>
      <c r="E19" s="39" t="s">
        <v>208</v>
      </c>
      <c r="F19" s="39" t="s">
        <v>607</v>
      </c>
      <c r="G19" s="3"/>
    </row>
    <row r="20" spans="1:8" ht="20.100000000000001" customHeight="1" x14ac:dyDescent="0.25">
      <c r="D20" s="39">
        <v>10</v>
      </c>
      <c r="E20" s="39" t="s">
        <v>210</v>
      </c>
      <c r="F20" s="39" t="s">
        <v>608</v>
      </c>
      <c r="G20" s="3"/>
    </row>
    <row r="21" spans="1:8" ht="20.100000000000001" customHeight="1" x14ac:dyDescent="0.25">
      <c r="D21" s="39">
        <v>11</v>
      </c>
      <c r="E21" s="39" t="s">
        <v>211</v>
      </c>
      <c r="F21" s="39" t="s">
        <v>609</v>
      </c>
      <c r="G21" s="3"/>
    </row>
    <row r="22" spans="1:8" ht="20.100000000000001" customHeight="1" x14ac:dyDescent="0.25">
      <c r="D22" s="39" t="s">
        <v>610</v>
      </c>
      <c r="E22" s="39" t="s">
        <v>611</v>
      </c>
      <c r="F22" s="39" t="s">
        <v>612</v>
      </c>
      <c r="G22" s="3"/>
    </row>
    <row r="23" spans="1:8" ht="20.100000000000001" customHeight="1" x14ac:dyDescent="0.25">
      <c r="D23" s="39" t="s">
        <v>613</v>
      </c>
      <c r="E23" s="39" t="s">
        <v>614</v>
      </c>
      <c r="F23" s="39" t="s">
        <v>615</v>
      </c>
      <c r="G23" s="3"/>
    </row>
    <row r="24" spans="1:8" ht="20.100000000000001" customHeight="1" x14ac:dyDescent="0.25">
      <c r="D24" s="39">
        <v>12</v>
      </c>
      <c r="E24" s="39" t="s">
        <v>212</v>
      </c>
      <c r="F24" s="39" t="s">
        <v>616</v>
      </c>
      <c r="G24" s="3"/>
    </row>
    <row r="25" spans="1:8" ht="20.100000000000001" customHeight="1" x14ac:dyDescent="0.25">
      <c r="D25" s="39">
        <v>13</v>
      </c>
      <c r="E25" s="39" t="s">
        <v>213</v>
      </c>
      <c r="F25" s="39" t="s">
        <v>617</v>
      </c>
      <c r="G25" s="3"/>
    </row>
    <row r="26" spans="1:8" ht="20.100000000000001" customHeight="1" x14ac:dyDescent="0.25">
      <c r="D26" s="39">
        <v>14</v>
      </c>
      <c r="E26" s="39" t="s">
        <v>214</v>
      </c>
      <c r="F26" s="39" t="s">
        <v>618</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ABpAG0AZQBuAHMAaQBvAG4AbABlAHMAcw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JwBEAFAAVwAn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YAYQByAGkAYQB0AGkAbwBu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MAGEAdABlAHgARQBxAHUAYQB0AGkAbwBuAFYAYQByAGkAYQB0AGkAbwBuACIALAAiAEUAbgB0AGUAcgBpAGMATQBlAHQAaABhAG4AZQBfAEQAYQBpAHIAeQBfAEUAcQB1AGEAdABpAG8AbgBzAC4AVgBFAEUAUgBHAF8AMwBfADMAXwAxAF8AMQBfAF8ANgBfAE0AZQB0AGEAYgBvAGwAaQBzAGEAYgBpAGwAaQB0AHkATwBmAEQAaQBlAHQAXwBBAHIAZwB1AG0AZQBuAHQAcwAiACwAIgBFAG4AdABlAHIAaQBjAE0AZQB0AGgAYQBuAGUAXwBEAGEAaQByAHkAXwBFAHEAdQBhAHQAaQBvAG4AcwAuAFYARQBFAFIARwBfADMAXwAzAF8AMQBfADEAXwBfADYAXwBNAGUAdABhAGIAbwBsAGkAcwBhAGIAaQBsAGkAdAB5AE8AZgBEAGkAZQB0AF8AVgBhAHIAaQBhAHQAaQBvAG4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2026-06-04T05:19:52Z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